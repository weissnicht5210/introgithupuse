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전공의명단" sheetId="2" state="visible" r:id="rId2"/>
    <sheet name="요약" sheetId="3" state="visible" r:id="rId3"/>
    <sheet name="코드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164" fontId="2" fillId="0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164" fontId="3" fillId="0" borderId="0" pivotButton="0" quotePrefix="0" xfId="0"/>
    <xf numFmtId="0" fontId="2" fillId="4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전공의" displayName="전공의" ref="A1:Q201" headerRowCount="1">
  <autoFilter ref="A1:Q201"/>
  <tableColumns count="17">
    <tableColumn id="1" name="번호"/>
    <tableColumn id="2" name="이름"/>
    <tableColumn id="3" name="사번"/>
    <tableColumn id="4" name="생년월일"/>
    <tableColumn id="5" name="입사장소"/>
    <tableColumn id="6" name="의사면허번호"/>
    <tableColumn id="7" name="전공의번호"/>
    <tableColumn id="8" name="현재 근무병원"/>
    <tableColumn id="9" name="현재 진료과"/>
    <tableColumn id="10" name="급여지급병원"/>
    <tableColumn id="11" name="파견종류"/>
    <tableColumn id="12" name="파견시작일"/>
    <tableColumn id="13" name="파견종료일"/>
    <tableColumn id="14" name="파견상태"/>
    <tableColumn id="15" name="파견기간(일)"/>
    <tableColumn id="16" name="종료까지(일)"/>
    <tableColumn id="17" name="비고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전공의 파견 모니터링 사용 안내</t>
        </is>
      </c>
    </row>
    <row r="2">
      <c r="A2" s="2" t="inlineStr"/>
    </row>
    <row r="3">
      <c r="A3" s="3" t="inlineStr">
        <is>
          <t>[입력]</t>
        </is>
      </c>
    </row>
    <row r="4">
      <c r="A4" s="2" t="inlineStr">
        <is>
          <t>• 파란 글씨 칸만 입력하세요. 회색 칸(번호·파견상태·파견기간·종료까지)은 자동 계산 수식이므로 지우지 마세요.</t>
        </is>
      </c>
    </row>
    <row r="5">
      <c r="A5" s="2" t="inlineStr">
        <is>
          <t>• 전공의명단 시트의 2~6행은 가상 예시입니다. 삭제하고 실제 정보를 입력하세요. (수식 열은 200행까지 미리 채워져 있습니다)</t>
        </is>
      </c>
    </row>
    <row r="6">
      <c r="A6" s="2" t="inlineStr">
        <is>
          <t>• 입력 가능 인원: 200명 (더 필요하면 표 마지막 행 아래로 수식 열을 복사해 늘리세요).</t>
        </is>
      </c>
    </row>
    <row r="7">
      <c r="A7" s="2" t="inlineStr">
        <is>
          <t>• 입사장소/근무병원/급여지급병원/진료과/파견종류는 드롭다운입니다. 항목은 코드표 시트에서 관리합니다.</t>
        </is>
      </c>
    </row>
    <row r="8">
      <c r="A8" s="2" t="inlineStr">
        <is>
          <t>• 날짜는 yyyy-mm-dd 형식. 파견종료일은 시작일 이후여야 합니다. 파견이 없는 전공의는 파견종류·시작일·종료일을 비워 두세요.</t>
        </is>
      </c>
    </row>
    <row r="9">
      <c r="A9" s="2" t="inlineStr"/>
    </row>
    <row r="10">
      <c r="A10" s="3" t="inlineStr">
        <is>
          <t>[정렬·필터]</t>
        </is>
      </c>
    </row>
    <row r="11">
      <c r="A11" s="2" t="inlineStr">
        <is>
          <t>• 전공의명단 머리글의 ▼ 버튼으로 정렬/필터합니다 (예: 파견상태=파견중, 종료까지(일) 오름차순 → 종료 임박순).</t>
        </is>
      </c>
    </row>
    <row r="12">
      <c r="A12" s="2" t="inlineStr">
        <is>
          <t>• 이름·번호 열은 고정(틀 고정)되어 가로 스크롤 시에도 보입니다.</t>
        </is>
      </c>
    </row>
    <row r="13">
      <c r="A13" s="2" t="inlineStr"/>
    </row>
    <row r="14">
      <c r="A14" s="3" t="inlineStr">
        <is>
          <t>[자동 표시]</t>
        </is>
      </c>
    </row>
    <row r="15">
      <c r="A15" s="2" t="inlineStr">
        <is>
          <t>• 파견상태: 오늘 기준 파견예정 / 파견중 / 파견종료 (파일을 열 때마다 TODAY()로 갱신).</t>
        </is>
      </c>
    </row>
    <row r="16">
      <c r="A16" s="2" t="inlineStr">
        <is>
          <t>• 주황색 행: 파견중이면서 종료까지 요약 시트의 기준일수(기본 30일) 이내.  회색: 파견종료.  노란색 급여지급병원: 현재 근무병원과 다름.</t>
        </is>
      </c>
    </row>
    <row r="17">
      <c r="A17" s="2" t="inlineStr"/>
    </row>
    <row r="18">
      <c r="A18" s="3" t="inlineStr">
        <is>
          <t>[가정 사항]</t>
        </is>
      </c>
    </row>
    <row r="19">
      <c r="A19" s="2" t="inlineStr">
        <is>
          <t>• '파견시작정보/종료정보'는 시작일·종료일로 구성했습니다. 파견처 병원 등 항목이 더 필요하면 열을 추가하세요.</t>
        </is>
      </c>
    </row>
    <row r="20">
      <c r="A20" s="2" t="inlineStr">
        <is>
          <t>• 종료일을 비워 두면 종료 미정(진행 중)으로 보고 파견중으로 표시합니다.</t>
        </is>
      </c>
    </row>
    <row r="21">
      <c r="A21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2" customWidth="1" min="3" max="3"/>
    <col width="12" customWidth="1" min="4" max="4"/>
    <col width="14" customWidth="1" min="5" max="5"/>
    <col width="14" customWidth="1" min="6" max="6"/>
    <col width="13" customWidth="1" min="7" max="7"/>
    <col width="15" customWidth="1" min="8" max="8"/>
    <col width="16" customWidth="1" min="9" max="9"/>
    <col width="15" customWidth="1" min="10" max="10"/>
    <col width="13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  <col width="24" customWidth="1" min="17" max="17"/>
  </cols>
  <sheetData>
    <row r="1" ht="24" customHeight="1">
      <c r="A1" s="4" t="inlineStr">
        <is>
          <t>번호</t>
        </is>
      </c>
      <c r="B1" s="4" t="inlineStr">
        <is>
          <t>이름</t>
        </is>
      </c>
      <c r="C1" s="4" t="inlineStr">
        <is>
          <t>사번</t>
        </is>
      </c>
      <c r="D1" s="4" t="inlineStr">
        <is>
          <t>생년월일</t>
        </is>
      </c>
      <c r="E1" s="4" t="inlineStr">
        <is>
          <t>입사장소</t>
        </is>
      </c>
      <c r="F1" s="4" t="inlineStr">
        <is>
          <t>의사면허번호</t>
        </is>
      </c>
      <c r="G1" s="4" t="inlineStr">
        <is>
          <t>전공의번호</t>
        </is>
      </c>
      <c r="H1" s="4" t="inlineStr">
        <is>
          <t>현재 근무병원</t>
        </is>
      </c>
      <c r="I1" s="4" t="inlineStr">
        <is>
          <t>현재 진료과</t>
        </is>
      </c>
      <c r="J1" s="4" t="inlineStr">
        <is>
          <t>급여지급병원</t>
        </is>
      </c>
      <c r="K1" s="4" t="inlineStr">
        <is>
          <t>파견종류</t>
        </is>
      </c>
      <c r="L1" s="4" t="inlineStr">
        <is>
          <t>파견시작일</t>
        </is>
      </c>
      <c r="M1" s="4" t="inlineStr">
        <is>
          <t>파견종료일</t>
        </is>
      </c>
      <c r="N1" s="4" t="inlineStr">
        <is>
          <t>파견상태</t>
        </is>
      </c>
      <c r="O1" s="4" t="inlineStr">
        <is>
          <t>파견기간(일)</t>
        </is>
      </c>
      <c r="P1" s="4" t="inlineStr">
        <is>
          <t>종료까지(일)</t>
        </is>
      </c>
      <c r="Q1" s="4" t="inlineStr">
        <is>
          <t>비고</t>
        </is>
      </c>
    </row>
    <row r="2">
      <c r="A2" s="5">
        <f>IF(B2="","",ROW()-1)</f>
        <v/>
      </c>
      <c r="B2" s="6" t="inlineStr">
        <is>
          <t>김가상</t>
        </is>
      </c>
      <c r="C2" s="7" t="inlineStr">
        <is>
          <t>A10001</t>
        </is>
      </c>
      <c r="D2" s="8" t="n">
        <v>35138</v>
      </c>
      <c r="E2" s="6" t="inlineStr">
        <is>
          <t>본원</t>
        </is>
      </c>
      <c r="F2" s="7" t="inlineStr">
        <is>
          <t>M-100001</t>
        </is>
      </c>
      <c r="G2" s="7" t="inlineStr">
        <is>
          <t>R-2024-001</t>
        </is>
      </c>
      <c r="H2" s="6" t="inlineStr">
        <is>
          <t>본원</t>
        </is>
      </c>
      <c r="I2" s="6" t="inlineStr">
        <is>
          <t>내과</t>
        </is>
      </c>
      <c r="J2" s="6" t="inlineStr">
        <is>
          <t>본원</t>
        </is>
      </c>
      <c r="K2" s="6" t="inlineStr">
        <is>
          <t>수련 파견</t>
        </is>
      </c>
      <c r="L2" s="8" t="n">
        <v>46266</v>
      </c>
      <c r="M2" s="8" t="n">
        <v>46326</v>
      </c>
      <c r="N2" s="5">
        <f>IF(OR(B2="",L2=""),"",IF(TODAY()&lt;L2,"파견예정",IF(AND(M2&lt;&gt;"",TODAY()&gt;M2),"파견종료","파견중")))</f>
        <v/>
      </c>
      <c r="O2" s="9">
        <f>IF(OR(L2="",M2=""),"",M2-L2+1)</f>
        <v/>
      </c>
      <c r="P2" s="9">
        <f>IF(AND(N2="파견중",M2&lt;&gt;""),M2-TODAY(),"")</f>
        <v/>
      </c>
      <c r="Q2" s="6" t="inlineStr">
        <is>
          <t>예시 데이터</t>
        </is>
      </c>
    </row>
    <row r="3">
      <c r="A3" s="5">
        <f>IF(B3="","",ROW()-1)</f>
        <v/>
      </c>
      <c r="B3" s="6" t="inlineStr">
        <is>
          <t>이예시</t>
        </is>
      </c>
      <c r="C3" s="7" t="inlineStr">
        <is>
          <t>A10002</t>
        </is>
      </c>
      <c r="D3" s="8" t="n">
        <v>34882</v>
      </c>
      <c r="E3" s="6" t="inlineStr">
        <is>
          <t>본원</t>
        </is>
      </c>
      <c r="F3" s="7" t="inlineStr">
        <is>
          <t>M-100002</t>
        </is>
      </c>
      <c r="G3" s="7" t="inlineStr">
        <is>
          <t>R-2024-002</t>
        </is>
      </c>
      <c r="H3" s="6" t="inlineStr">
        <is>
          <t>A병원</t>
        </is>
      </c>
      <c r="I3" s="6" t="inlineStr">
        <is>
          <t>외과</t>
        </is>
      </c>
      <c r="J3" s="6" t="inlineStr">
        <is>
          <t>본원</t>
        </is>
      </c>
      <c r="K3" s="6" t="inlineStr">
        <is>
          <t>지원 파견</t>
        </is>
      </c>
      <c r="L3" s="8" t="n">
        <v>46174</v>
      </c>
      <c r="M3" s="8" t="n">
        <v>46387</v>
      </c>
      <c r="N3" s="5">
        <f>IF(OR(B3="",L3=""),"",IF(TODAY()&lt;L3,"파견예정",IF(AND(M3&lt;&gt;"",TODAY()&gt;M3),"파견종료","파견중")))</f>
        <v/>
      </c>
      <c r="O3" s="9">
        <f>IF(OR(L3="",M3=""),"",M3-L3+1)</f>
        <v/>
      </c>
      <c r="P3" s="9">
        <f>IF(AND(N3="파견중",M3&lt;&gt;""),M3-TODAY(),"")</f>
        <v/>
      </c>
      <c r="Q3" s="6" t="inlineStr">
        <is>
          <t>예시 데이터</t>
        </is>
      </c>
    </row>
    <row r="4">
      <c r="A4" s="5">
        <f>IF(B4="","",ROW()-1)</f>
        <v/>
      </c>
      <c r="B4" s="6" t="inlineStr">
        <is>
          <t>박샘플</t>
        </is>
      </c>
      <c r="C4" s="7" t="inlineStr">
        <is>
          <t>A10003</t>
        </is>
      </c>
      <c r="D4" s="8" t="n">
        <v>35455</v>
      </c>
      <c r="E4" s="6" t="inlineStr">
        <is>
          <t>A병원</t>
        </is>
      </c>
      <c r="F4" s="7" t="inlineStr">
        <is>
          <t>M-100003</t>
        </is>
      </c>
      <c r="G4" s="7" t="inlineStr">
        <is>
          <t>R-2025-003</t>
        </is>
      </c>
      <c r="H4" s="6" t="inlineStr">
        <is>
          <t>A병원</t>
        </is>
      </c>
      <c r="I4" s="6" t="inlineStr">
        <is>
          <t>소아청소년과</t>
        </is>
      </c>
      <c r="J4" s="6" t="inlineStr">
        <is>
          <t>A병원</t>
        </is>
      </c>
      <c r="K4" s="6" t="n"/>
      <c r="L4" s="8" t="n"/>
      <c r="M4" s="8" t="n"/>
      <c r="N4" s="5">
        <f>IF(OR(B4="",L4=""),"",IF(TODAY()&lt;L4,"파견예정",IF(AND(M4&lt;&gt;"",TODAY()&gt;M4),"파견종료","파견중")))</f>
        <v/>
      </c>
      <c r="O4" s="9">
        <f>IF(OR(L4="",M4=""),"",M4-L4+1)</f>
        <v/>
      </c>
      <c r="P4" s="9">
        <f>IF(AND(N4="파견중",M4&lt;&gt;""),M4-TODAY(),"")</f>
        <v/>
      </c>
      <c r="Q4" s="6" t="inlineStr">
        <is>
          <t>예시 데이터</t>
        </is>
      </c>
    </row>
    <row r="5">
      <c r="A5" s="5">
        <f>IF(B5="","",ROW()-1)</f>
        <v/>
      </c>
      <c r="B5" s="6" t="inlineStr">
        <is>
          <t>최테스트</t>
        </is>
      </c>
      <c r="C5" s="7" t="inlineStr">
        <is>
          <t>A10004</t>
        </is>
      </c>
      <c r="D5" s="8" t="n">
        <v>35378</v>
      </c>
      <c r="E5" s="6" t="inlineStr">
        <is>
          <t>본원</t>
        </is>
      </c>
      <c r="F5" s="7" t="inlineStr">
        <is>
          <t>M-100004</t>
        </is>
      </c>
      <c r="G5" s="7" t="inlineStr">
        <is>
          <t>R-2025-004</t>
        </is>
      </c>
      <c r="H5" s="6" t="inlineStr">
        <is>
          <t>B병원</t>
        </is>
      </c>
      <c r="I5" s="6" t="inlineStr">
        <is>
          <t>산부인과</t>
        </is>
      </c>
      <c r="J5" s="6" t="inlineStr">
        <is>
          <t>본원</t>
        </is>
      </c>
      <c r="K5" s="6" t="inlineStr">
        <is>
          <t>교육 파견</t>
        </is>
      </c>
      <c r="L5" s="8" t="n">
        <v>46027</v>
      </c>
      <c r="M5" s="8" t="n">
        <v>46112</v>
      </c>
      <c r="N5" s="5">
        <f>IF(OR(B5="",L5=""),"",IF(TODAY()&lt;L5,"파견예정",IF(AND(M5&lt;&gt;"",TODAY()&gt;M5),"파견종료","파견중")))</f>
        <v/>
      </c>
      <c r="O5" s="9">
        <f>IF(OR(L5="",M5=""),"",M5-L5+1)</f>
        <v/>
      </c>
      <c r="P5" s="9">
        <f>IF(AND(N5="파견중",M5&lt;&gt;""),M5-TODAY(),"")</f>
        <v/>
      </c>
      <c r="Q5" s="6" t="inlineStr">
        <is>
          <t>예시 데이터(종료됨)</t>
        </is>
      </c>
    </row>
    <row r="6">
      <c r="A6" s="5">
        <f>IF(B6="","",ROW()-1)</f>
        <v/>
      </c>
      <c r="B6" s="6" t="inlineStr">
        <is>
          <t>정미래</t>
        </is>
      </c>
      <c r="C6" s="7" t="inlineStr">
        <is>
          <t>A10005</t>
        </is>
      </c>
      <c r="D6" s="8" t="n">
        <v>35945</v>
      </c>
      <c r="E6" s="6" t="inlineStr">
        <is>
          <t>본원</t>
        </is>
      </c>
      <c r="F6" s="7" t="inlineStr">
        <is>
          <t>M-100005</t>
        </is>
      </c>
      <c r="G6" s="7" t="inlineStr">
        <is>
          <t>R-2025-005</t>
        </is>
      </c>
      <c r="H6" s="6" t="inlineStr">
        <is>
          <t>본원</t>
        </is>
      </c>
      <c r="I6" s="6" t="inlineStr">
        <is>
          <t>마취통증의학과</t>
        </is>
      </c>
      <c r="J6" s="6" t="inlineStr">
        <is>
          <t>본원</t>
        </is>
      </c>
      <c r="K6" s="6" t="inlineStr">
        <is>
          <t>교육 파견</t>
        </is>
      </c>
      <c r="L6" s="8" t="n">
        <v>46327</v>
      </c>
      <c r="M6" s="8" t="n">
        <v>46418</v>
      </c>
      <c r="N6" s="5">
        <f>IF(OR(B6="",L6=""),"",IF(TODAY()&lt;L6,"파견예정",IF(AND(M6&lt;&gt;"",TODAY()&gt;M6),"파견종료","파견중")))</f>
        <v/>
      </c>
      <c r="O6" s="9">
        <f>IF(OR(L6="",M6=""),"",M6-L6+1)</f>
        <v/>
      </c>
      <c r="P6" s="9">
        <f>IF(AND(N6="파견중",M6&lt;&gt;""),M6-TODAY(),"")</f>
        <v/>
      </c>
      <c r="Q6" s="6" t="inlineStr">
        <is>
          <t>예시 데이터(예정)</t>
        </is>
      </c>
    </row>
    <row r="7">
      <c r="A7" s="5">
        <f>IF(B7="","",ROW()-1)</f>
        <v/>
      </c>
      <c r="B7" s="6" t="n"/>
      <c r="C7" s="7" t="n"/>
      <c r="D7" s="8" t="n"/>
      <c r="E7" s="6" t="n"/>
      <c r="F7" s="7" t="n"/>
      <c r="G7" s="7" t="n"/>
      <c r="H7" s="6" t="n"/>
      <c r="I7" s="6" t="n"/>
      <c r="J7" s="6" t="n"/>
      <c r="K7" s="6" t="n"/>
      <c r="L7" s="8" t="n"/>
      <c r="M7" s="8" t="n"/>
      <c r="N7" s="5">
        <f>IF(OR(B7="",L7=""),"",IF(TODAY()&lt;L7,"파견예정",IF(AND(M7&lt;&gt;"",TODAY()&gt;M7),"파견종료","파견중")))</f>
        <v/>
      </c>
      <c r="O7" s="9">
        <f>IF(OR(L7="",M7=""),"",M7-L7+1)</f>
        <v/>
      </c>
      <c r="P7" s="9">
        <f>IF(AND(N7="파견중",M7&lt;&gt;""),M7-TODAY(),"")</f>
        <v/>
      </c>
      <c r="Q7" s="6" t="n"/>
    </row>
    <row r="8">
      <c r="A8" s="5">
        <f>IF(B8="","",ROW()-1)</f>
        <v/>
      </c>
      <c r="B8" s="6" t="n"/>
      <c r="C8" s="7" t="n"/>
      <c r="D8" s="8" t="n"/>
      <c r="E8" s="6" t="n"/>
      <c r="F8" s="7" t="n"/>
      <c r="G8" s="7" t="n"/>
      <c r="H8" s="6" t="n"/>
      <c r="I8" s="6" t="n"/>
      <c r="J8" s="6" t="n"/>
      <c r="K8" s="6" t="n"/>
      <c r="L8" s="8" t="n"/>
      <c r="M8" s="8" t="n"/>
      <c r="N8" s="5">
        <f>IF(OR(B8="",L8=""),"",IF(TODAY()&lt;L8,"파견예정",IF(AND(M8&lt;&gt;"",TODAY()&gt;M8),"파견종료","파견중")))</f>
        <v/>
      </c>
      <c r="O8" s="9">
        <f>IF(OR(L8="",M8=""),"",M8-L8+1)</f>
        <v/>
      </c>
      <c r="P8" s="9">
        <f>IF(AND(N8="파견중",M8&lt;&gt;""),M8-TODAY(),"")</f>
        <v/>
      </c>
      <c r="Q8" s="6" t="n"/>
    </row>
    <row r="9">
      <c r="A9" s="5">
        <f>IF(B9="","",ROW()-1)</f>
        <v/>
      </c>
      <c r="B9" s="6" t="n"/>
      <c r="C9" s="7" t="n"/>
      <c r="D9" s="8" t="n"/>
      <c r="E9" s="6" t="n"/>
      <c r="F9" s="7" t="n"/>
      <c r="G9" s="7" t="n"/>
      <c r="H9" s="6" t="n"/>
      <c r="I9" s="6" t="n"/>
      <c r="J9" s="6" t="n"/>
      <c r="K9" s="6" t="n"/>
      <c r="L9" s="8" t="n"/>
      <c r="M9" s="8" t="n"/>
      <c r="N9" s="5">
        <f>IF(OR(B9="",L9=""),"",IF(TODAY()&lt;L9,"파견예정",IF(AND(M9&lt;&gt;"",TODAY()&gt;M9),"파견종료","파견중")))</f>
        <v/>
      </c>
      <c r="O9" s="9">
        <f>IF(OR(L9="",M9=""),"",M9-L9+1)</f>
        <v/>
      </c>
      <c r="P9" s="9">
        <f>IF(AND(N9="파견중",M9&lt;&gt;""),M9-TODAY(),"")</f>
        <v/>
      </c>
      <c r="Q9" s="6" t="n"/>
    </row>
    <row r="10">
      <c r="A10" s="5">
        <f>IF(B10="","",ROW()-1)</f>
        <v/>
      </c>
      <c r="B10" s="6" t="n"/>
      <c r="C10" s="7" t="n"/>
      <c r="D10" s="8" t="n"/>
      <c r="E10" s="6" t="n"/>
      <c r="F10" s="7" t="n"/>
      <c r="G10" s="7" t="n"/>
      <c r="H10" s="6" t="n"/>
      <c r="I10" s="6" t="n"/>
      <c r="J10" s="6" t="n"/>
      <c r="K10" s="6" t="n"/>
      <c r="L10" s="8" t="n"/>
      <c r="M10" s="8" t="n"/>
      <c r="N10" s="5">
        <f>IF(OR(B10="",L10=""),"",IF(TODAY()&lt;L10,"파견예정",IF(AND(M10&lt;&gt;"",TODAY()&gt;M10),"파견종료","파견중")))</f>
        <v/>
      </c>
      <c r="O10" s="9">
        <f>IF(OR(L10="",M10=""),"",M10-L10+1)</f>
        <v/>
      </c>
      <c r="P10" s="9">
        <f>IF(AND(N10="파견중",M10&lt;&gt;""),M10-TODAY(),"")</f>
        <v/>
      </c>
      <c r="Q10" s="6" t="n"/>
    </row>
    <row r="11">
      <c r="A11" s="5">
        <f>IF(B11="","",ROW()-1)</f>
        <v/>
      </c>
      <c r="B11" s="6" t="n"/>
      <c r="C11" s="7" t="n"/>
      <c r="D11" s="8" t="n"/>
      <c r="E11" s="6" t="n"/>
      <c r="F11" s="7" t="n"/>
      <c r="G11" s="7" t="n"/>
      <c r="H11" s="6" t="n"/>
      <c r="I11" s="6" t="n"/>
      <c r="J11" s="6" t="n"/>
      <c r="K11" s="6" t="n"/>
      <c r="L11" s="8" t="n"/>
      <c r="M11" s="8" t="n"/>
      <c r="N11" s="5">
        <f>IF(OR(B11="",L11=""),"",IF(TODAY()&lt;L11,"파견예정",IF(AND(M11&lt;&gt;"",TODAY()&gt;M11),"파견종료","파견중")))</f>
        <v/>
      </c>
      <c r="O11" s="9">
        <f>IF(OR(L11="",M11=""),"",M11-L11+1)</f>
        <v/>
      </c>
      <c r="P11" s="9">
        <f>IF(AND(N11="파견중",M11&lt;&gt;""),M11-TODAY(),"")</f>
        <v/>
      </c>
      <c r="Q11" s="6" t="n"/>
    </row>
    <row r="12">
      <c r="A12" s="5">
        <f>IF(B12="","",ROW()-1)</f>
        <v/>
      </c>
      <c r="B12" s="6" t="n"/>
      <c r="C12" s="7" t="n"/>
      <c r="D12" s="8" t="n"/>
      <c r="E12" s="6" t="n"/>
      <c r="F12" s="7" t="n"/>
      <c r="G12" s="7" t="n"/>
      <c r="H12" s="6" t="n"/>
      <c r="I12" s="6" t="n"/>
      <c r="J12" s="6" t="n"/>
      <c r="K12" s="6" t="n"/>
      <c r="L12" s="8" t="n"/>
      <c r="M12" s="8" t="n"/>
      <c r="N12" s="5">
        <f>IF(OR(B12="",L12=""),"",IF(TODAY()&lt;L12,"파견예정",IF(AND(M12&lt;&gt;"",TODAY()&gt;M12),"파견종료","파견중")))</f>
        <v/>
      </c>
      <c r="O12" s="9">
        <f>IF(OR(L12="",M12=""),"",M12-L12+1)</f>
        <v/>
      </c>
      <c r="P12" s="9">
        <f>IF(AND(N12="파견중",M12&lt;&gt;""),M12-TODAY(),"")</f>
        <v/>
      </c>
      <c r="Q12" s="6" t="n"/>
    </row>
    <row r="13">
      <c r="A13" s="5">
        <f>IF(B13="","",ROW()-1)</f>
        <v/>
      </c>
      <c r="B13" s="6" t="n"/>
      <c r="C13" s="7" t="n"/>
      <c r="D13" s="8" t="n"/>
      <c r="E13" s="6" t="n"/>
      <c r="F13" s="7" t="n"/>
      <c r="G13" s="7" t="n"/>
      <c r="H13" s="6" t="n"/>
      <c r="I13" s="6" t="n"/>
      <c r="J13" s="6" t="n"/>
      <c r="K13" s="6" t="n"/>
      <c r="L13" s="8" t="n"/>
      <c r="M13" s="8" t="n"/>
      <c r="N13" s="5">
        <f>IF(OR(B13="",L13=""),"",IF(TODAY()&lt;L13,"파견예정",IF(AND(M13&lt;&gt;"",TODAY()&gt;M13),"파견종료","파견중")))</f>
        <v/>
      </c>
      <c r="O13" s="9">
        <f>IF(OR(L13="",M13=""),"",M13-L13+1)</f>
        <v/>
      </c>
      <c r="P13" s="9">
        <f>IF(AND(N13="파견중",M13&lt;&gt;""),M13-TODAY(),"")</f>
        <v/>
      </c>
      <c r="Q13" s="6" t="n"/>
    </row>
    <row r="14">
      <c r="A14" s="5">
        <f>IF(B14="","",ROW()-1)</f>
        <v/>
      </c>
      <c r="B14" s="6" t="n"/>
      <c r="C14" s="7" t="n"/>
      <c r="D14" s="8" t="n"/>
      <c r="E14" s="6" t="n"/>
      <c r="F14" s="7" t="n"/>
      <c r="G14" s="7" t="n"/>
      <c r="H14" s="6" t="n"/>
      <c r="I14" s="6" t="n"/>
      <c r="J14" s="6" t="n"/>
      <c r="K14" s="6" t="n"/>
      <c r="L14" s="8" t="n"/>
      <c r="M14" s="8" t="n"/>
      <c r="N14" s="5">
        <f>IF(OR(B14="",L14=""),"",IF(TODAY()&lt;L14,"파견예정",IF(AND(M14&lt;&gt;"",TODAY()&gt;M14),"파견종료","파견중")))</f>
        <v/>
      </c>
      <c r="O14" s="9">
        <f>IF(OR(L14="",M14=""),"",M14-L14+1)</f>
        <v/>
      </c>
      <c r="P14" s="9">
        <f>IF(AND(N14="파견중",M14&lt;&gt;""),M14-TODAY(),"")</f>
        <v/>
      </c>
      <c r="Q14" s="6" t="n"/>
    </row>
    <row r="15">
      <c r="A15" s="5">
        <f>IF(B15="","",ROW()-1)</f>
        <v/>
      </c>
      <c r="B15" s="6" t="n"/>
      <c r="C15" s="7" t="n"/>
      <c r="D15" s="8" t="n"/>
      <c r="E15" s="6" t="n"/>
      <c r="F15" s="7" t="n"/>
      <c r="G15" s="7" t="n"/>
      <c r="H15" s="6" t="n"/>
      <c r="I15" s="6" t="n"/>
      <c r="J15" s="6" t="n"/>
      <c r="K15" s="6" t="n"/>
      <c r="L15" s="8" t="n"/>
      <c r="M15" s="8" t="n"/>
      <c r="N15" s="5">
        <f>IF(OR(B15="",L15=""),"",IF(TODAY()&lt;L15,"파견예정",IF(AND(M15&lt;&gt;"",TODAY()&gt;M15),"파견종료","파견중")))</f>
        <v/>
      </c>
      <c r="O15" s="9">
        <f>IF(OR(L15="",M15=""),"",M15-L15+1)</f>
        <v/>
      </c>
      <c r="P15" s="9">
        <f>IF(AND(N15="파견중",M15&lt;&gt;""),M15-TODAY(),"")</f>
        <v/>
      </c>
      <c r="Q15" s="6" t="n"/>
    </row>
    <row r="16">
      <c r="A16" s="5">
        <f>IF(B16="","",ROW()-1)</f>
        <v/>
      </c>
      <c r="B16" s="6" t="n"/>
      <c r="C16" s="7" t="n"/>
      <c r="D16" s="8" t="n"/>
      <c r="E16" s="6" t="n"/>
      <c r="F16" s="7" t="n"/>
      <c r="G16" s="7" t="n"/>
      <c r="H16" s="6" t="n"/>
      <c r="I16" s="6" t="n"/>
      <c r="J16" s="6" t="n"/>
      <c r="K16" s="6" t="n"/>
      <c r="L16" s="8" t="n"/>
      <c r="M16" s="8" t="n"/>
      <c r="N16" s="5">
        <f>IF(OR(B16="",L16=""),"",IF(TODAY()&lt;L16,"파견예정",IF(AND(M16&lt;&gt;"",TODAY()&gt;M16),"파견종료","파견중")))</f>
        <v/>
      </c>
      <c r="O16" s="9">
        <f>IF(OR(L16="",M16=""),"",M16-L16+1)</f>
        <v/>
      </c>
      <c r="P16" s="9">
        <f>IF(AND(N16="파견중",M16&lt;&gt;""),M16-TODAY(),"")</f>
        <v/>
      </c>
      <c r="Q16" s="6" t="n"/>
    </row>
    <row r="17">
      <c r="A17" s="5">
        <f>IF(B17="","",ROW()-1)</f>
        <v/>
      </c>
      <c r="B17" s="6" t="n"/>
      <c r="C17" s="7" t="n"/>
      <c r="D17" s="8" t="n"/>
      <c r="E17" s="6" t="n"/>
      <c r="F17" s="7" t="n"/>
      <c r="G17" s="7" t="n"/>
      <c r="H17" s="6" t="n"/>
      <c r="I17" s="6" t="n"/>
      <c r="J17" s="6" t="n"/>
      <c r="K17" s="6" t="n"/>
      <c r="L17" s="8" t="n"/>
      <c r="M17" s="8" t="n"/>
      <c r="N17" s="5">
        <f>IF(OR(B17="",L17=""),"",IF(TODAY()&lt;L17,"파견예정",IF(AND(M17&lt;&gt;"",TODAY()&gt;M17),"파견종료","파견중")))</f>
        <v/>
      </c>
      <c r="O17" s="9">
        <f>IF(OR(L17="",M17=""),"",M17-L17+1)</f>
        <v/>
      </c>
      <c r="P17" s="9">
        <f>IF(AND(N17="파견중",M17&lt;&gt;""),M17-TODAY(),"")</f>
        <v/>
      </c>
      <c r="Q17" s="6" t="n"/>
    </row>
    <row r="18">
      <c r="A18" s="5">
        <f>IF(B18="","",ROW()-1)</f>
        <v/>
      </c>
      <c r="B18" s="6" t="n"/>
      <c r="C18" s="7" t="n"/>
      <c r="D18" s="8" t="n"/>
      <c r="E18" s="6" t="n"/>
      <c r="F18" s="7" t="n"/>
      <c r="G18" s="7" t="n"/>
      <c r="H18" s="6" t="n"/>
      <c r="I18" s="6" t="n"/>
      <c r="J18" s="6" t="n"/>
      <c r="K18" s="6" t="n"/>
      <c r="L18" s="8" t="n"/>
      <c r="M18" s="8" t="n"/>
      <c r="N18" s="5">
        <f>IF(OR(B18="",L18=""),"",IF(TODAY()&lt;L18,"파견예정",IF(AND(M18&lt;&gt;"",TODAY()&gt;M18),"파견종료","파견중")))</f>
        <v/>
      </c>
      <c r="O18" s="9">
        <f>IF(OR(L18="",M18=""),"",M18-L18+1)</f>
        <v/>
      </c>
      <c r="P18" s="9">
        <f>IF(AND(N18="파견중",M18&lt;&gt;""),M18-TODAY(),"")</f>
        <v/>
      </c>
      <c r="Q18" s="6" t="n"/>
    </row>
    <row r="19">
      <c r="A19" s="5">
        <f>IF(B19="","",ROW()-1)</f>
        <v/>
      </c>
      <c r="B19" s="6" t="n"/>
      <c r="C19" s="7" t="n"/>
      <c r="D19" s="8" t="n"/>
      <c r="E19" s="6" t="n"/>
      <c r="F19" s="7" t="n"/>
      <c r="G19" s="7" t="n"/>
      <c r="H19" s="6" t="n"/>
      <c r="I19" s="6" t="n"/>
      <c r="J19" s="6" t="n"/>
      <c r="K19" s="6" t="n"/>
      <c r="L19" s="8" t="n"/>
      <c r="M19" s="8" t="n"/>
      <c r="N19" s="5">
        <f>IF(OR(B19="",L19=""),"",IF(TODAY()&lt;L19,"파견예정",IF(AND(M19&lt;&gt;"",TODAY()&gt;M19),"파견종료","파견중")))</f>
        <v/>
      </c>
      <c r="O19" s="9">
        <f>IF(OR(L19="",M19=""),"",M19-L19+1)</f>
        <v/>
      </c>
      <c r="P19" s="9">
        <f>IF(AND(N19="파견중",M19&lt;&gt;""),M19-TODAY(),"")</f>
        <v/>
      </c>
      <c r="Q19" s="6" t="n"/>
    </row>
    <row r="20">
      <c r="A20" s="5">
        <f>IF(B20="","",ROW()-1)</f>
        <v/>
      </c>
      <c r="B20" s="6" t="n"/>
      <c r="C20" s="7" t="n"/>
      <c r="D20" s="8" t="n"/>
      <c r="E20" s="6" t="n"/>
      <c r="F20" s="7" t="n"/>
      <c r="G20" s="7" t="n"/>
      <c r="H20" s="6" t="n"/>
      <c r="I20" s="6" t="n"/>
      <c r="J20" s="6" t="n"/>
      <c r="K20" s="6" t="n"/>
      <c r="L20" s="8" t="n"/>
      <c r="M20" s="8" t="n"/>
      <c r="N20" s="5">
        <f>IF(OR(B20="",L20=""),"",IF(TODAY()&lt;L20,"파견예정",IF(AND(M20&lt;&gt;"",TODAY()&gt;M20),"파견종료","파견중")))</f>
        <v/>
      </c>
      <c r="O20" s="9">
        <f>IF(OR(L20="",M20=""),"",M20-L20+1)</f>
        <v/>
      </c>
      <c r="P20" s="9">
        <f>IF(AND(N20="파견중",M20&lt;&gt;""),M20-TODAY(),"")</f>
        <v/>
      </c>
      <c r="Q20" s="6" t="n"/>
    </row>
    <row r="21">
      <c r="A21" s="5">
        <f>IF(B21="","",ROW()-1)</f>
        <v/>
      </c>
      <c r="B21" s="6" t="n"/>
      <c r="C21" s="7" t="n"/>
      <c r="D21" s="8" t="n"/>
      <c r="E21" s="6" t="n"/>
      <c r="F21" s="7" t="n"/>
      <c r="G21" s="7" t="n"/>
      <c r="H21" s="6" t="n"/>
      <c r="I21" s="6" t="n"/>
      <c r="J21" s="6" t="n"/>
      <c r="K21" s="6" t="n"/>
      <c r="L21" s="8" t="n"/>
      <c r="M21" s="8" t="n"/>
      <c r="N21" s="5">
        <f>IF(OR(B21="",L21=""),"",IF(TODAY()&lt;L21,"파견예정",IF(AND(M21&lt;&gt;"",TODAY()&gt;M21),"파견종료","파견중")))</f>
        <v/>
      </c>
      <c r="O21" s="9">
        <f>IF(OR(L21="",M21=""),"",M21-L21+1)</f>
        <v/>
      </c>
      <c r="P21" s="9">
        <f>IF(AND(N21="파견중",M21&lt;&gt;""),M21-TODAY(),"")</f>
        <v/>
      </c>
      <c r="Q21" s="6" t="n"/>
    </row>
    <row r="22">
      <c r="A22" s="5">
        <f>IF(B22="","",ROW()-1)</f>
        <v/>
      </c>
      <c r="B22" s="6" t="n"/>
      <c r="C22" s="7" t="n"/>
      <c r="D22" s="8" t="n"/>
      <c r="E22" s="6" t="n"/>
      <c r="F22" s="7" t="n"/>
      <c r="G22" s="7" t="n"/>
      <c r="H22" s="6" t="n"/>
      <c r="I22" s="6" t="n"/>
      <c r="J22" s="6" t="n"/>
      <c r="K22" s="6" t="n"/>
      <c r="L22" s="8" t="n"/>
      <c r="M22" s="8" t="n"/>
      <c r="N22" s="5">
        <f>IF(OR(B22="",L22=""),"",IF(TODAY()&lt;L22,"파견예정",IF(AND(M22&lt;&gt;"",TODAY()&gt;M22),"파견종료","파견중")))</f>
        <v/>
      </c>
      <c r="O22" s="9">
        <f>IF(OR(L22="",M22=""),"",M22-L22+1)</f>
        <v/>
      </c>
      <c r="P22" s="9">
        <f>IF(AND(N22="파견중",M22&lt;&gt;""),M22-TODAY(),"")</f>
        <v/>
      </c>
      <c r="Q22" s="6" t="n"/>
    </row>
    <row r="23">
      <c r="A23" s="5">
        <f>IF(B23="","",ROW()-1)</f>
        <v/>
      </c>
      <c r="B23" s="6" t="n"/>
      <c r="C23" s="7" t="n"/>
      <c r="D23" s="8" t="n"/>
      <c r="E23" s="6" t="n"/>
      <c r="F23" s="7" t="n"/>
      <c r="G23" s="7" t="n"/>
      <c r="H23" s="6" t="n"/>
      <c r="I23" s="6" t="n"/>
      <c r="J23" s="6" t="n"/>
      <c r="K23" s="6" t="n"/>
      <c r="L23" s="8" t="n"/>
      <c r="M23" s="8" t="n"/>
      <c r="N23" s="5">
        <f>IF(OR(B23="",L23=""),"",IF(TODAY()&lt;L23,"파견예정",IF(AND(M23&lt;&gt;"",TODAY()&gt;M23),"파견종료","파견중")))</f>
        <v/>
      </c>
      <c r="O23" s="9">
        <f>IF(OR(L23="",M23=""),"",M23-L23+1)</f>
        <v/>
      </c>
      <c r="P23" s="9">
        <f>IF(AND(N23="파견중",M23&lt;&gt;""),M23-TODAY(),"")</f>
        <v/>
      </c>
      <c r="Q23" s="6" t="n"/>
    </row>
    <row r="24">
      <c r="A24" s="5">
        <f>IF(B24="","",ROW()-1)</f>
        <v/>
      </c>
      <c r="B24" s="6" t="n"/>
      <c r="C24" s="7" t="n"/>
      <c r="D24" s="8" t="n"/>
      <c r="E24" s="6" t="n"/>
      <c r="F24" s="7" t="n"/>
      <c r="G24" s="7" t="n"/>
      <c r="H24" s="6" t="n"/>
      <c r="I24" s="6" t="n"/>
      <c r="J24" s="6" t="n"/>
      <c r="K24" s="6" t="n"/>
      <c r="L24" s="8" t="n"/>
      <c r="M24" s="8" t="n"/>
      <c r="N24" s="5">
        <f>IF(OR(B24="",L24=""),"",IF(TODAY()&lt;L24,"파견예정",IF(AND(M24&lt;&gt;"",TODAY()&gt;M24),"파견종료","파견중")))</f>
        <v/>
      </c>
      <c r="O24" s="9">
        <f>IF(OR(L24="",M24=""),"",M24-L24+1)</f>
        <v/>
      </c>
      <c r="P24" s="9">
        <f>IF(AND(N24="파견중",M24&lt;&gt;""),M24-TODAY(),"")</f>
        <v/>
      </c>
      <c r="Q24" s="6" t="n"/>
    </row>
    <row r="25">
      <c r="A25" s="5">
        <f>IF(B25="","",ROW()-1)</f>
        <v/>
      </c>
      <c r="B25" s="6" t="n"/>
      <c r="C25" s="7" t="n"/>
      <c r="D25" s="8" t="n"/>
      <c r="E25" s="6" t="n"/>
      <c r="F25" s="7" t="n"/>
      <c r="G25" s="7" t="n"/>
      <c r="H25" s="6" t="n"/>
      <c r="I25" s="6" t="n"/>
      <c r="J25" s="6" t="n"/>
      <c r="K25" s="6" t="n"/>
      <c r="L25" s="8" t="n"/>
      <c r="M25" s="8" t="n"/>
      <c r="N25" s="5">
        <f>IF(OR(B25="",L25=""),"",IF(TODAY()&lt;L25,"파견예정",IF(AND(M25&lt;&gt;"",TODAY()&gt;M25),"파견종료","파견중")))</f>
        <v/>
      </c>
      <c r="O25" s="9">
        <f>IF(OR(L25="",M25=""),"",M25-L25+1)</f>
        <v/>
      </c>
      <c r="P25" s="9">
        <f>IF(AND(N25="파견중",M25&lt;&gt;""),M25-TODAY(),"")</f>
        <v/>
      </c>
      <c r="Q25" s="6" t="n"/>
    </row>
    <row r="26">
      <c r="A26" s="5">
        <f>IF(B26="","",ROW()-1)</f>
        <v/>
      </c>
      <c r="B26" s="6" t="n"/>
      <c r="C26" s="7" t="n"/>
      <c r="D26" s="8" t="n"/>
      <c r="E26" s="6" t="n"/>
      <c r="F26" s="7" t="n"/>
      <c r="G26" s="7" t="n"/>
      <c r="H26" s="6" t="n"/>
      <c r="I26" s="6" t="n"/>
      <c r="J26" s="6" t="n"/>
      <c r="K26" s="6" t="n"/>
      <c r="L26" s="8" t="n"/>
      <c r="M26" s="8" t="n"/>
      <c r="N26" s="5">
        <f>IF(OR(B26="",L26=""),"",IF(TODAY()&lt;L26,"파견예정",IF(AND(M26&lt;&gt;"",TODAY()&gt;M26),"파견종료","파견중")))</f>
        <v/>
      </c>
      <c r="O26" s="9">
        <f>IF(OR(L26="",M26=""),"",M26-L26+1)</f>
        <v/>
      </c>
      <c r="P26" s="9">
        <f>IF(AND(N26="파견중",M26&lt;&gt;""),M26-TODAY(),"")</f>
        <v/>
      </c>
      <c r="Q26" s="6" t="n"/>
    </row>
    <row r="27">
      <c r="A27" s="5">
        <f>IF(B27="","",ROW()-1)</f>
        <v/>
      </c>
      <c r="B27" s="6" t="n"/>
      <c r="C27" s="7" t="n"/>
      <c r="D27" s="8" t="n"/>
      <c r="E27" s="6" t="n"/>
      <c r="F27" s="7" t="n"/>
      <c r="G27" s="7" t="n"/>
      <c r="H27" s="6" t="n"/>
      <c r="I27" s="6" t="n"/>
      <c r="J27" s="6" t="n"/>
      <c r="K27" s="6" t="n"/>
      <c r="L27" s="8" t="n"/>
      <c r="M27" s="8" t="n"/>
      <c r="N27" s="5">
        <f>IF(OR(B27="",L27=""),"",IF(TODAY()&lt;L27,"파견예정",IF(AND(M27&lt;&gt;"",TODAY()&gt;M27),"파견종료","파견중")))</f>
        <v/>
      </c>
      <c r="O27" s="9">
        <f>IF(OR(L27="",M27=""),"",M27-L27+1)</f>
        <v/>
      </c>
      <c r="P27" s="9">
        <f>IF(AND(N27="파견중",M27&lt;&gt;""),M27-TODAY(),"")</f>
        <v/>
      </c>
      <c r="Q27" s="6" t="n"/>
    </row>
    <row r="28">
      <c r="A28" s="5">
        <f>IF(B28="","",ROW()-1)</f>
        <v/>
      </c>
      <c r="B28" s="6" t="n"/>
      <c r="C28" s="7" t="n"/>
      <c r="D28" s="8" t="n"/>
      <c r="E28" s="6" t="n"/>
      <c r="F28" s="7" t="n"/>
      <c r="G28" s="7" t="n"/>
      <c r="H28" s="6" t="n"/>
      <c r="I28" s="6" t="n"/>
      <c r="J28" s="6" t="n"/>
      <c r="K28" s="6" t="n"/>
      <c r="L28" s="8" t="n"/>
      <c r="M28" s="8" t="n"/>
      <c r="N28" s="5">
        <f>IF(OR(B28="",L28=""),"",IF(TODAY()&lt;L28,"파견예정",IF(AND(M28&lt;&gt;"",TODAY()&gt;M28),"파견종료","파견중")))</f>
        <v/>
      </c>
      <c r="O28" s="9">
        <f>IF(OR(L28="",M28=""),"",M28-L28+1)</f>
        <v/>
      </c>
      <c r="P28" s="9">
        <f>IF(AND(N28="파견중",M28&lt;&gt;""),M28-TODAY(),"")</f>
        <v/>
      </c>
      <c r="Q28" s="6" t="n"/>
    </row>
    <row r="29">
      <c r="A29" s="5">
        <f>IF(B29="","",ROW()-1)</f>
        <v/>
      </c>
      <c r="B29" s="6" t="n"/>
      <c r="C29" s="7" t="n"/>
      <c r="D29" s="8" t="n"/>
      <c r="E29" s="6" t="n"/>
      <c r="F29" s="7" t="n"/>
      <c r="G29" s="7" t="n"/>
      <c r="H29" s="6" t="n"/>
      <c r="I29" s="6" t="n"/>
      <c r="J29" s="6" t="n"/>
      <c r="K29" s="6" t="n"/>
      <c r="L29" s="8" t="n"/>
      <c r="M29" s="8" t="n"/>
      <c r="N29" s="5">
        <f>IF(OR(B29="",L29=""),"",IF(TODAY()&lt;L29,"파견예정",IF(AND(M29&lt;&gt;"",TODAY()&gt;M29),"파견종료","파견중")))</f>
        <v/>
      </c>
      <c r="O29" s="9">
        <f>IF(OR(L29="",M29=""),"",M29-L29+1)</f>
        <v/>
      </c>
      <c r="P29" s="9">
        <f>IF(AND(N29="파견중",M29&lt;&gt;""),M29-TODAY(),"")</f>
        <v/>
      </c>
      <c r="Q29" s="6" t="n"/>
    </row>
    <row r="30">
      <c r="A30" s="5">
        <f>IF(B30="","",ROW()-1)</f>
        <v/>
      </c>
      <c r="B30" s="6" t="n"/>
      <c r="C30" s="7" t="n"/>
      <c r="D30" s="8" t="n"/>
      <c r="E30" s="6" t="n"/>
      <c r="F30" s="7" t="n"/>
      <c r="G30" s="7" t="n"/>
      <c r="H30" s="6" t="n"/>
      <c r="I30" s="6" t="n"/>
      <c r="J30" s="6" t="n"/>
      <c r="K30" s="6" t="n"/>
      <c r="L30" s="8" t="n"/>
      <c r="M30" s="8" t="n"/>
      <c r="N30" s="5">
        <f>IF(OR(B30="",L30=""),"",IF(TODAY()&lt;L30,"파견예정",IF(AND(M30&lt;&gt;"",TODAY()&gt;M30),"파견종료","파견중")))</f>
        <v/>
      </c>
      <c r="O30" s="9">
        <f>IF(OR(L30="",M30=""),"",M30-L30+1)</f>
        <v/>
      </c>
      <c r="P30" s="9">
        <f>IF(AND(N30="파견중",M30&lt;&gt;""),M30-TODAY(),"")</f>
        <v/>
      </c>
      <c r="Q30" s="6" t="n"/>
    </row>
    <row r="31">
      <c r="A31" s="5">
        <f>IF(B31="","",ROW()-1)</f>
        <v/>
      </c>
      <c r="B31" s="6" t="n"/>
      <c r="C31" s="7" t="n"/>
      <c r="D31" s="8" t="n"/>
      <c r="E31" s="6" t="n"/>
      <c r="F31" s="7" t="n"/>
      <c r="G31" s="7" t="n"/>
      <c r="H31" s="6" t="n"/>
      <c r="I31" s="6" t="n"/>
      <c r="J31" s="6" t="n"/>
      <c r="K31" s="6" t="n"/>
      <c r="L31" s="8" t="n"/>
      <c r="M31" s="8" t="n"/>
      <c r="N31" s="5">
        <f>IF(OR(B31="",L31=""),"",IF(TODAY()&lt;L31,"파견예정",IF(AND(M31&lt;&gt;"",TODAY()&gt;M31),"파견종료","파견중")))</f>
        <v/>
      </c>
      <c r="O31" s="9">
        <f>IF(OR(L31="",M31=""),"",M31-L31+1)</f>
        <v/>
      </c>
      <c r="P31" s="9">
        <f>IF(AND(N31="파견중",M31&lt;&gt;""),M31-TODAY(),"")</f>
        <v/>
      </c>
      <c r="Q31" s="6" t="n"/>
    </row>
    <row r="32">
      <c r="A32" s="5">
        <f>IF(B32="","",ROW()-1)</f>
        <v/>
      </c>
      <c r="B32" s="6" t="n"/>
      <c r="C32" s="7" t="n"/>
      <c r="D32" s="8" t="n"/>
      <c r="E32" s="6" t="n"/>
      <c r="F32" s="7" t="n"/>
      <c r="G32" s="7" t="n"/>
      <c r="H32" s="6" t="n"/>
      <c r="I32" s="6" t="n"/>
      <c r="J32" s="6" t="n"/>
      <c r="K32" s="6" t="n"/>
      <c r="L32" s="8" t="n"/>
      <c r="M32" s="8" t="n"/>
      <c r="N32" s="5">
        <f>IF(OR(B32="",L32=""),"",IF(TODAY()&lt;L32,"파견예정",IF(AND(M32&lt;&gt;"",TODAY()&gt;M32),"파견종료","파견중")))</f>
        <v/>
      </c>
      <c r="O32" s="9">
        <f>IF(OR(L32="",M32=""),"",M32-L32+1)</f>
        <v/>
      </c>
      <c r="P32" s="9">
        <f>IF(AND(N32="파견중",M32&lt;&gt;""),M32-TODAY(),"")</f>
        <v/>
      </c>
      <c r="Q32" s="6" t="n"/>
    </row>
    <row r="33">
      <c r="A33" s="5">
        <f>IF(B33="","",ROW()-1)</f>
        <v/>
      </c>
      <c r="B33" s="6" t="n"/>
      <c r="C33" s="7" t="n"/>
      <c r="D33" s="8" t="n"/>
      <c r="E33" s="6" t="n"/>
      <c r="F33" s="7" t="n"/>
      <c r="G33" s="7" t="n"/>
      <c r="H33" s="6" t="n"/>
      <c r="I33" s="6" t="n"/>
      <c r="J33" s="6" t="n"/>
      <c r="K33" s="6" t="n"/>
      <c r="L33" s="8" t="n"/>
      <c r="M33" s="8" t="n"/>
      <c r="N33" s="5">
        <f>IF(OR(B33="",L33=""),"",IF(TODAY()&lt;L33,"파견예정",IF(AND(M33&lt;&gt;"",TODAY()&gt;M33),"파견종료","파견중")))</f>
        <v/>
      </c>
      <c r="O33" s="9">
        <f>IF(OR(L33="",M33=""),"",M33-L33+1)</f>
        <v/>
      </c>
      <c r="P33" s="9">
        <f>IF(AND(N33="파견중",M33&lt;&gt;""),M33-TODAY(),"")</f>
        <v/>
      </c>
      <c r="Q33" s="6" t="n"/>
    </row>
    <row r="34">
      <c r="A34" s="5">
        <f>IF(B34="","",ROW()-1)</f>
        <v/>
      </c>
      <c r="B34" s="6" t="n"/>
      <c r="C34" s="7" t="n"/>
      <c r="D34" s="8" t="n"/>
      <c r="E34" s="6" t="n"/>
      <c r="F34" s="7" t="n"/>
      <c r="G34" s="7" t="n"/>
      <c r="H34" s="6" t="n"/>
      <c r="I34" s="6" t="n"/>
      <c r="J34" s="6" t="n"/>
      <c r="K34" s="6" t="n"/>
      <c r="L34" s="8" t="n"/>
      <c r="M34" s="8" t="n"/>
      <c r="N34" s="5">
        <f>IF(OR(B34="",L34=""),"",IF(TODAY()&lt;L34,"파견예정",IF(AND(M34&lt;&gt;"",TODAY()&gt;M34),"파견종료","파견중")))</f>
        <v/>
      </c>
      <c r="O34" s="9">
        <f>IF(OR(L34="",M34=""),"",M34-L34+1)</f>
        <v/>
      </c>
      <c r="P34" s="9">
        <f>IF(AND(N34="파견중",M34&lt;&gt;""),M34-TODAY(),"")</f>
        <v/>
      </c>
      <c r="Q34" s="6" t="n"/>
    </row>
    <row r="35">
      <c r="A35" s="5">
        <f>IF(B35="","",ROW()-1)</f>
        <v/>
      </c>
      <c r="B35" s="6" t="n"/>
      <c r="C35" s="7" t="n"/>
      <c r="D35" s="8" t="n"/>
      <c r="E35" s="6" t="n"/>
      <c r="F35" s="7" t="n"/>
      <c r="G35" s="7" t="n"/>
      <c r="H35" s="6" t="n"/>
      <c r="I35" s="6" t="n"/>
      <c r="J35" s="6" t="n"/>
      <c r="K35" s="6" t="n"/>
      <c r="L35" s="8" t="n"/>
      <c r="M35" s="8" t="n"/>
      <c r="N35" s="5">
        <f>IF(OR(B35="",L35=""),"",IF(TODAY()&lt;L35,"파견예정",IF(AND(M35&lt;&gt;"",TODAY()&gt;M35),"파견종료","파견중")))</f>
        <v/>
      </c>
      <c r="O35" s="9">
        <f>IF(OR(L35="",M35=""),"",M35-L35+1)</f>
        <v/>
      </c>
      <c r="P35" s="9">
        <f>IF(AND(N35="파견중",M35&lt;&gt;""),M35-TODAY(),"")</f>
        <v/>
      </c>
      <c r="Q35" s="6" t="n"/>
    </row>
    <row r="36">
      <c r="A36" s="5">
        <f>IF(B36="","",ROW()-1)</f>
        <v/>
      </c>
      <c r="B36" s="6" t="n"/>
      <c r="C36" s="7" t="n"/>
      <c r="D36" s="8" t="n"/>
      <c r="E36" s="6" t="n"/>
      <c r="F36" s="7" t="n"/>
      <c r="G36" s="7" t="n"/>
      <c r="H36" s="6" t="n"/>
      <c r="I36" s="6" t="n"/>
      <c r="J36" s="6" t="n"/>
      <c r="K36" s="6" t="n"/>
      <c r="L36" s="8" t="n"/>
      <c r="M36" s="8" t="n"/>
      <c r="N36" s="5">
        <f>IF(OR(B36="",L36=""),"",IF(TODAY()&lt;L36,"파견예정",IF(AND(M36&lt;&gt;"",TODAY()&gt;M36),"파견종료","파견중")))</f>
        <v/>
      </c>
      <c r="O36" s="9">
        <f>IF(OR(L36="",M36=""),"",M36-L36+1)</f>
        <v/>
      </c>
      <c r="P36" s="9">
        <f>IF(AND(N36="파견중",M36&lt;&gt;""),M36-TODAY(),"")</f>
        <v/>
      </c>
      <c r="Q36" s="6" t="n"/>
    </row>
    <row r="37">
      <c r="A37" s="5">
        <f>IF(B37="","",ROW()-1)</f>
        <v/>
      </c>
      <c r="B37" s="6" t="n"/>
      <c r="C37" s="7" t="n"/>
      <c r="D37" s="8" t="n"/>
      <c r="E37" s="6" t="n"/>
      <c r="F37" s="7" t="n"/>
      <c r="G37" s="7" t="n"/>
      <c r="H37" s="6" t="n"/>
      <c r="I37" s="6" t="n"/>
      <c r="J37" s="6" t="n"/>
      <c r="K37" s="6" t="n"/>
      <c r="L37" s="8" t="n"/>
      <c r="M37" s="8" t="n"/>
      <c r="N37" s="5">
        <f>IF(OR(B37="",L37=""),"",IF(TODAY()&lt;L37,"파견예정",IF(AND(M37&lt;&gt;"",TODAY()&gt;M37),"파견종료","파견중")))</f>
        <v/>
      </c>
      <c r="O37" s="9">
        <f>IF(OR(L37="",M37=""),"",M37-L37+1)</f>
        <v/>
      </c>
      <c r="P37" s="9">
        <f>IF(AND(N37="파견중",M37&lt;&gt;""),M37-TODAY(),"")</f>
        <v/>
      </c>
      <c r="Q37" s="6" t="n"/>
    </row>
    <row r="38">
      <c r="A38" s="5">
        <f>IF(B38="","",ROW()-1)</f>
        <v/>
      </c>
      <c r="B38" s="6" t="n"/>
      <c r="C38" s="7" t="n"/>
      <c r="D38" s="8" t="n"/>
      <c r="E38" s="6" t="n"/>
      <c r="F38" s="7" t="n"/>
      <c r="G38" s="7" t="n"/>
      <c r="H38" s="6" t="n"/>
      <c r="I38" s="6" t="n"/>
      <c r="J38" s="6" t="n"/>
      <c r="K38" s="6" t="n"/>
      <c r="L38" s="8" t="n"/>
      <c r="M38" s="8" t="n"/>
      <c r="N38" s="5">
        <f>IF(OR(B38="",L38=""),"",IF(TODAY()&lt;L38,"파견예정",IF(AND(M38&lt;&gt;"",TODAY()&gt;M38),"파견종료","파견중")))</f>
        <v/>
      </c>
      <c r="O38" s="9">
        <f>IF(OR(L38="",M38=""),"",M38-L38+1)</f>
        <v/>
      </c>
      <c r="P38" s="9">
        <f>IF(AND(N38="파견중",M38&lt;&gt;""),M38-TODAY(),"")</f>
        <v/>
      </c>
      <c r="Q38" s="6" t="n"/>
    </row>
    <row r="39">
      <c r="A39" s="5">
        <f>IF(B39="","",ROW()-1)</f>
        <v/>
      </c>
      <c r="B39" s="6" t="n"/>
      <c r="C39" s="7" t="n"/>
      <c r="D39" s="8" t="n"/>
      <c r="E39" s="6" t="n"/>
      <c r="F39" s="7" t="n"/>
      <c r="G39" s="7" t="n"/>
      <c r="H39" s="6" t="n"/>
      <c r="I39" s="6" t="n"/>
      <c r="J39" s="6" t="n"/>
      <c r="K39" s="6" t="n"/>
      <c r="L39" s="8" t="n"/>
      <c r="M39" s="8" t="n"/>
      <c r="N39" s="5">
        <f>IF(OR(B39="",L39=""),"",IF(TODAY()&lt;L39,"파견예정",IF(AND(M39&lt;&gt;"",TODAY()&gt;M39),"파견종료","파견중")))</f>
        <v/>
      </c>
      <c r="O39" s="9">
        <f>IF(OR(L39="",M39=""),"",M39-L39+1)</f>
        <v/>
      </c>
      <c r="P39" s="9">
        <f>IF(AND(N39="파견중",M39&lt;&gt;""),M39-TODAY(),"")</f>
        <v/>
      </c>
      <c r="Q39" s="6" t="n"/>
    </row>
    <row r="40">
      <c r="A40" s="5">
        <f>IF(B40="","",ROW()-1)</f>
        <v/>
      </c>
      <c r="B40" s="6" t="n"/>
      <c r="C40" s="7" t="n"/>
      <c r="D40" s="8" t="n"/>
      <c r="E40" s="6" t="n"/>
      <c r="F40" s="7" t="n"/>
      <c r="G40" s="7" t="n"/>
      <c r="H40" s="6" t="n"/>
      <c r="I40" s="6" t="n"/>
      <c r="J40" s="6" t="n"/>
      <c r="K40" s="6" t="n"/>
      <c r="L40" s="8" t="n"/>
      <c r="M40" s="8" t="n"/>
      <c r="N40" s="5">
        <f>IF(OR(B40="",L40=""),"",IF(TODAY()&lt;L40,"파견예정",IF(AND(M40&lt;&gt;"",TODAY()&gt;M40),"파견종료","파견중")))</f>
        <v/>
      </c>
      <c r="O40" s="9">
        <f>IF(OR(L40="",M40=""),"",M40-L40+1)</f>
        <v/>
      </c>
      <c r="P40" s="9">
        <f>IF(AND(N40="파견중",M40&lt;&gt;""),M40-TODAY(),"")</f>
        <v/>
      </c>
      <c r="Q40" s="6" t="n"/>
    </row>
    <row r="41">
      <c r="A41" s="5">
        <f>IF(B41="","",ROW()-1)</f>
        <v/>
      </c>
      <c r="B41" s="6" t="n"/>
      <c r="C41" s="7" t="n"/>
      <c r="D41" s="8" t="n"/>
      <c r="E41" s="6" t="n"/>
      <c r="F41" s="7" t="n"/>
      <c r="G41" s="7" t="n"/>
      <c r="H41" s="6" t="n"/>
      <c r="I41" s="6" t="n"/>
      <c r="J41" s="6" t="n"/>
      <c r="K41" s="6" t="n"/>
      <c r="L41" s="8" t="n"/>
      <c r="M41" s="8" t="n"/>
      <c r="N41" s="5">
        <f>IF(OR(B41="",L41=""),"",IF(TODAY()&lt;L41,"파견예정",IF(AND(M41&lt;&gt;"",TODAY()&gt;M41),"파견종료","파견중")))</f>
        <v/>
      </c>
      <c r="O41" s="9">
        <f>IF(OR(L41="",M41=""),"",M41-L41+1)</f>
        <v/>
      </c>
      <c r="P41" s="9">
        <f>IF(AND(N41="파견중",M41&lt;&gt;""),M41-TODAY(),"")</f>
        <v/>
      </c>
      <c r="Q41" s="6" t="n"/>
    </row>
    <row r="42">
      <c r="A42" s="5">
        <f>IF(B42="","",ROW()-1)</f>
        <v/>
      </c>
      <c r="B42" s="6" t="n"/>
      <c r="C42" s="7" t="n"/>
      <c r="D42" s="8" t="n"/>
      <c r="E42" s="6" t="n"/>
      <c r="F42" s="7" t="n"/>
      <c r="G42" s="7" t="n"/>
      <c r="H42" s="6" t="n"/>
      <c r="I42" s="6" t="n"/>
      <c r="J42" s="6" t="n"/>
      <c r="K42" s="6" t="n"/>
      <c r="L42" s="8" t="n"/>
      <c r="M42" s="8" t="n"/>
      <c r="N42" s="5">
        <f>IF(OR(B42="",L42=""),"",IF(TODAY()&lt;L42,"파견예정",IF(AND(M42&lt;&gt;"",TODAY()&gt;M42),"파견종료","파견중")))</f>
        <v/>
      </c>
      <c r="O42" s="9">
        <f>IF(OR(L42="",M42=""),"",M42-L42+1)</f>
        <v/>
      </c>
      <c r="P42" s="9">
        <f>IF(AND(N42="파견중",M42&lt;&gt;""),M42-TODAY(),"")</f>
        <v/>
      </c>
      <c r="Q42" s="6" t="n"/>
    </row>
    <row r="43">
      <c r="A43" s="5">
        <f>IF(B43="","",ROW()-1)</f>
        <v/>
      </c>
      <c r="B43" s="6" t="n"/>
      <c r="C43" s="7" t="n"/>
      <c r="D43" s="8" t="n"/>
      <c r="E43" s="6" t="n"/>
      <c r="F43" s="7" t="n"/>
      <c r="G43" s="7" t="n"/>
      <c r="H43" s="6" t="n"/>
      <c r="I43" s="6" t="n"/>
      <c r="J43" s="6" t="n"/>
      <c r="K43" s="6" t="n"/>
      <c r="L43" s="8" t="n"/>
      <c r="M43" s="8" t="n"/>
      <c r="N43" s="5">
        <f>IF(OR(B43="",L43=""),"",IF(TODAY()&lt;L43,"파견예정",IF(AND(M43&lt;&gt;"",TODAY()&gt;M43),"파견종료","파견중")))</f>
        <v/>
      </c>
      <c r="O43" s="9">
        <f>IF(OR(L43="",M43=""),"",M43-L43+1)</f>
        <v/>
      </c>
      <c r="P43" s="9">
        <f>IF(AND(N43="파견중",M43&lt;&gt;""),M43-TODAY(),"")</f>
        <v/>
      </c>
      <c r="Q43" s="6" t="n"/>
    </row>
    <row r="44">
      <c r="A44" s="5">
        <f>IF(B44="","",ROW()-1)</f>
        <v/>
      </c>
      <c r="B44" s="6" t="n"/>
      <c r="C44" s="7" t="n"/>
      <c r="D44" s="8" t="n"/>
      <c r="E44" s="6" t="n"/>
      <c r="F44" s="7" t="n"/>
      <c r="G44" s="7" t="n"/>
      <c r="H44" s="6" t="n"/>
      <c r="I44" s="6" t="n"/>
      <c r="J44" s="6" t="n"/>
      <c r="K44" s="6" t="n"/>
      <c r="L44" s="8" t="n"/>
      <c r="M44" s="8" t="n"/>
      <c r="N44" s="5">
        <f>IF(OR(B44="",L44=""),"",IF(TODAY()&lt;L44,"파견예정",IF(AND(M44&lt;&gt;"",TODAY()&gt;M44),"파견종료","파견중")))</f>
        <v/>
      </c>
      <c r="O44" s="9">
        <f>IF(OR(L44="",M44=""),"",M44-L44+1)</f>
        <v/>
      </c>
      <c r="P44" s="9">
        <f>IF(AND(N44="파견중",M44&lt;&gt;""),M44-TODAY(),"")</f>
        <v/>
      </c>
      <c r="Q44" s="6" t="n"/>
    </row>
    <row r="45">
      <c r="A45" s="5">
        <f>IF(B45="","",ROW()-1)</f>
        <v/>
      </c>
      <c r="B45" s="6" t="n"/>
      <c r="C45" s="7" t="n"/>
      <c r="D45" s="8" t="n"/>
      <c r="E45" s="6" t="n"/>
      <c r="F45" s="7" t="n"/>
      <c r="G45" s="7" t="n"/>
      <c r="H45" s="6" t="n"/>
      <c r="I45" s="6" t="n"/>
      <c r="J45" s="6" t="n"/>
      <c r="K45" s="6" t="n"/>
      <c r="L45" s="8" t="n"/>
      <c r="M45" s="8" t="n"/>
      <c r="N45" s="5">
        <f>IF(OR(B45="",L45=""),"",IF(TODAY()&lt;L45,"파견예정",IF(AND(M45&lt;&gt;"",TODAY()&gt;M45),"파견종료","파견중")))</f>
        <v/>
      </c>
      <c r="O45" s="9">
        <f>IF(OR(L45="",M45=""),"",M45-L45+1)</f>
        <v/>
      </c>
      <c r="P45" s="9">
        <f>IF(AND(N45="파견중",M45&lt;&gt;""),M45-TODAY(),"")</f>
        <v/>
      </c>
      <c r="Q45" s="6" t="n"/>
    </row>
    <row r="46">
      <c r="A46" s="5">
        <f>IF(B46="","",ROW()-1)</f>
        <v/>
      </c>
      <c r="B46" s="6" t="n"/>
      <c r="C46" s="7" t="n"/>
      <c r="D46" s="8" t="n"/>
      <c r="E46" s="6" t="n"/>
      <c r="F46" s="7" t="n"/>
      <c r="G46" s="7" t="n"/>
      <c r="H46" s="6" t="n"/>
      <c r="I46" s="6" t="n"/>
      <c r="J46" s="6" t="n"/>
      <c r="K46" s="6" t="n"/>
      <c r="L46" s="8" t="n"/>
      <c r="M46" s="8" t="n"/>
      <c r="N46" s="5">
        <f>IF(OR(B46="",L46=""),"",IF(TODAY()&lt;L46,"파견예정",IF(AND(M46&lt;&gt;"",TODAY()&gt;M46),"파견종료","파견중")))</f>
        <v/>
      </c>
      <c r="O46" s="9">
        <f>IF(OR(L46="",M46=""),"",M46-L46+1)</f>
        <v/>
      </c>
      <c r="P46" s="9">
        <f>IF(AND(N46="파견중",M46&lt;&gt;""),M46-TODAY(),"")</f>
        <v/>
      </c>
      <c r="Q46" s="6" t="n"/>
    </row>
    <row r="47">
      <c r="A47" s="5">
        <f>IF(B47="","",ROW()-1)</f>
        <v/>
      </c>
      <c r="B47" s="6" t="n"/>
      <c r="C47" s="7" t="n"/>
      <c r="D47" s="8" t="n"/>
      <c r="E47" s="6" t="n"/>
      <c r="F47" s="7" t="n"/>
      <c r="G47" s="7" t="n"/>
      <c r="H47" s="6" t="n"/>
      <c r="I47" s="6" t="n"/>
      <c r="J47" s="6" t="n"/>
      <c r="K47" s="6" t="n"/>
      <c r="L47" s="8" t="n"/>
      <c r="M47" s="8" t="n"/>
      <c r="N47" s="5">
        <f>IF(OR(B47="",L47=""),"",IF(TODAY()&lt;L47,"파견예정",IF(AND(M47&lt;&gt;"",TODAY()&gt;M47),"파견종료","파견중")))</f>
        <v/>
      </c>
      <c r="O47" s="9">
        <f>IF(OR(L47="",M47=""),"",M47-L47+1)</f>
        <v/>
      </c>
      <c r="P47" s="9">
        <f>IF(AND(N47="파견중",M47&lt;&gt;""),M47-TODAY(),"")</f>
        <v/>
      </c>
      <c r="Q47" s="6" t="n"/>
    </row>
    <row r="48">
      <c r="A48" s="5">
        <f>IF(B48="","",ROW()-1)</f>
        <v/>
      </c>
      <c r="B48" s="6" t="n"/>
      <c r="C48" s="7" t="n"/>
      <c r="D48" s="8" t="n"/>
      <c r="E48" s="6" t="n"/>
      <c r="F48" s="7" t="n"/>
      <c r="G48" s="7" t="n"/>
      <c r="H48" s="6" t="n"/>
      <c r="I48" s="6" t="n"/>
      <c r="J48" s="6" t="n"/>
      <c r="K48" s="6" t="n"/>
      <c r="L48" s="8" t="n"/>
      <c r="M48" s="8" t="n"/>
      <c r="N48" s="5">
        <f>IF(OR(B48="",L48=""),"",IF(TODAY()&lt;L48,"파견예정",IF(AND(M48&lt;&gt;"",TODAY()&gt;M48),"파견종료","파견중")))</f>
        <v/>
      </c>
      <c r="O48" s="9">
        <f>IF(OR(L48="",M48=""),"",M48-L48+1)</f>
        <v/>
      </c>
      <c r="P48" s="9">
        <f>IF(AND(N48="파견중",M48&lt;&gt;""),M48-TODAY(),"")</f>
        <v/>
      </c>
      <c r="Q48" s="6" t="n"/>
    </row>
    <row r="49">
      <c r="A49" s="5">
        <f>IF(B49="","",ROW()-1)</f>
        <v/>
      </c>
      <c r="B49" s="6" t="n"/>
      <c r="C49" s="7" t="n"/>
      <c r="D49" s="8" t="n"/>
      <c r="E49" s="6" t="n"/>
      <c r="F49" s="7" t="n"/>
      <c r="G49" s="7" t="n"/>
      <c r="H49" s="6" t="n"/>
      <c r="I49" s="6" t="n"/>
      <c r="J49" s="6" t="n"/>
      <c r="K49" s="6" t="n"/>
      <c r="L49" s="8" t="n"/>
      <c r="M49" s="8" t="n"/>
      <c r="N49" s="5">
        <f>IF(OR(B49="",L49=""),"",IF(TODAY()&lt;L49,"파견예정",IF(AND(M49&lt;&gt;"",TODAY()&gt;M49),"파견종료","파견중")))</f>
        <v/>
      </c>
      <c r="O49" s="9">
        <f>IF(OR(L49="",M49=""),"",M49-L49+1)</f>
        <v/>
      </c>
      <c r="P49" s="9">
        <f>IF(AND(N49="파견중",M49&lt;&gt;""),M49-TODAY(),"")</f>
        <v/>
      </c>
      <c r="Q49" s="6" t="n"/>
    </row>
    <row r="50">
      <c r="A50" s="5">
        <f>IF(B50="","",ROW()-1)</f>
        <v/>
      </c>
      <c r="B50" s="6" t="n"/>
      <c r="C50" s="7" t="n"/>
      <c r="D50" s="8" t="n"/>
      <c r="E50" s="6" t="n"/>
      <c r="F50" s="7" t="n"/>
      <c r="G50" s="7" t="n"/>
      <c r="H50" s="6" t="n"/>
      <c r="I50" s="6" t="n"/>
      <c r="J50" s="6" t="n"/>
      <c r="K50" s="6" t="n"/>
      <c r="L50" s="8" t="n"/>
      <c r="M50" s="8" t="n"/>
      <c r="N50" s="5">
        <f>IF(OR(B50="",L50=""),"",IF(TODAY()&lt;L50,"파견예정",IF(AND(M50&lt;&gt;"",TODAY()&gt;M50),"파견종료","파견중")))</f>
        <v/>
      </c>
      <c r="O50" s="9">
        <f>IF(OR(L50="",M50=""),"",M50-L50+1)</f>
        <v/>
      </c>
      <c r="P50" s="9">
        <f>IF(AND(N50="파견중",M50&lt;&gt;""),M50-TODAY(),"")</f>
        <v/>
      </c>
      <c r="Q50" s="6" t="n"/>
    </row>
    <row r="51">
      <c r="A51" s="5">
        <f>IF(B51="","",ROW()-1)</f>
        <v/>
      </c>
      <c r="B51" s="6" t="n"/>
      <c r="C51" s="7" t="n"/>
      <c r="D51" s="8" t="n"/>
      <c r="E51" s="6" t="n"/>
      <c r="F51" s="7" t="n"/>
      <c r="G51" s="7" t="n"/>
      <c r="H51" s="6" t="n"/>
      <c r="I51" s="6" t="n"/>
      <c r="J51" s="6" t="n"/>
      <c r="K51" s="6" t="n"/>
      <c r="L51" s="8" t="n"/>
      <c r="M51" s="8" t="n"/>
      <c r="N51" s="5">
        <f>IF(OR(B51="",L51=""),"",IF(TODAY()&lt;L51,"파견예정",IF(AND(M51&lt;&gt;"",TODAY()&gt;M51),"파견종료","파견중")))</f>
        <v/>
      </c>
      <c r="O51" s="9">
        <f>IF(OR(L51="",M51=""),"",M51-L51+1)</f>
        <v/>
      </c>
      <c r="P51" s="9">
        <f>IF(AND(N51="파견중",M51&lt;&gt;""),M51-TODAY(),"")</f>
        <v/>
      </c>
      <c r="Q51" s="6" t="n"/>
    </row>
    <row r="52">
      <c r="A52" s="5">
        <f>IF(B52="","",ROW()-1)</f>
        <v/>
      </c>
      <c r="B52" s="6" t="n"/>
      <c r="C52" s="7" t="n"/>
      <c r="D52" s="8" t="n"/>
      <c r="E52" s="6" t="n"/>
      <c r="F52" s="7" t="n"/>
      <c r="G52" s="7" t="n"/>
      <c r="H52" s="6" t="n"/>
      <c r="I52" s="6" t="n"/>
      <c r="J52" s="6" t="n"/>
      <c r="K52" s="6" t="n"/>
      <c r="L52" s="8" t="n"/>
      <c r="M52" s="8" t="n"/>
      <c r="N52" s="5">
        <f>IF(OR(B52="",L52=""),"",IF(TODAY()&lt;L52,"파견예정",IF(AND(M52&lt;&gt;"",TODAY()&gt;M52),"파견종료","파견중")))</f>
        <v/>
      </c>
      <c r="O52" s="9">
        <f>IF(OR(L52="",M52=""),"",M52-L52+1)</f>
        <v/>
      </c>
      <c r="P52" s="9">
        <f>IF(AND(N52="파견중",M52&lt;&gt;""),M52-TODAY(),"")</f>
        <v/>
      </c>
      <c r="Q52" s="6" t="n"/>
    </row>
    <row r="53">
      <c r="A53" s="5">
        <f>IF(B53="","",ROW()-1)</f>
        <v/>
      </c>
      <c r="B53" s="6" t="n"/>
      <c r="C53" s="7" t="n"/>
      <c r="D53" s="8" t="n"/>
      <c r="E53" s="6" t="n"/>
      <c r="F53" s="7" t="n"/>
      <c r="G53" s="7" t="n"/>
      <c r="H53" s="6" t="n"/>
      <c r="I53" s="6" t="n"/>
      <c r="J53" s="6" t="n"/>
      <c r="K53" s="6" t="n"/>
      <c r="L53" s="8" t="n"/>
      <c r="M53" s="8" t="n"/>
      <c r="N53" s="5">
        <f>IF(OR(B53="",L53=""),"",IF(TODAY()&lt;L53,"파견예정",IF(AND(M53&lt;&gt;"",TODAY()&gt;M53),"파견종료","파견중")))</f>
        <v/>
      </c>
      <c r="O53" s="9">
        <f>IF(OR(L53="",M53=""),"",M53-L53+1)</f>
        <v/>
      </c>
      <c r="P53" s="9">
        <f>IF(AND(N53="파견중",M53&lt;&gt;""),M53-TODAY(),"")</f>
        <v/>
      </c>
      <c r="Q53" s="6" t="n"/>
    </row>
    <row r="54">
      <c r="A54" s="5">
        <f>IF(B54="","",ROW()-1)</f>
        <v/>
      </c>
      <c r="B54" s="6" t="n"/>
      <c r="C54" s="7" t="n"/>
      <c r="D54" s="8" t="n"/>
      <c r="E54" s="6" t="n"/>
      <c r="F54" s="7" t="n"/>
      <c r="G54" s="7" t="n"/>
      <c r="H54" s="6" t="n"/>
      <c r="I54" s="6" t="n"/>
      <c r="J54" s="6" t="n"/>
      <c r="K54" s="6" t="n"/>
      <c r="L54" s="8" t="n"/>
      <c r="M54" s="8" t="n"/>
      <c r="N54" s="5">
        <f>IF(OR(B54="",L54=""),"",IF(TODAY()&lt;L54,"파견예정",IF(AND(M54&lt;&gt;"",TODAY()&gt;M54),"파견종료","파견중")))</f>
        <v/>
      </c>
      <c r="O54" s="9">
        <f>IF(OR(L54="",M54=""),"",M54-L54+1)</f>
        <v/>
      </c>
      <c r="P54" s="9">
        <f>IF(AND(N54="파견중",M54&lt;&gt;""),M54-TODAY(),"")</f>
        <v/>
      </c>
      <c r="Q54" s="6" t="n"/>
    </row>
    <row r="55">
      <c r="A55" s="5">
        <f>IF(B55="","",ROW()-1)</f>
        <v/>
      </c>
      <c r="B55" s="6" t="n"/>
      <c r="C55" s="7" t="n"/>
      <c r="D55" s="8" t="n"/>
      <c r="E55" s="6" t="n"/>
      <c r="F55" s="7" t="n"/>
      <c r="G55" s="7" t="n"/>
      <c r="H55" s="6" t="n"/>
      <c r="I55" s="6" t="n"/>
      <c r="J55" s="6" t="n"/>
      <c r="K55" s="6" t="n"/>
      <c r="L55" s="8" t="n"/>
      <c r="M55" s="8" t="n"/>
      <c r="N55" s="5">
        <f>IF(OR(B55="",L55=""),"",IF(TODAY()&lt;L55,"파견예정",IF(AND(M55&lt;&gt;"",TODAY()&gt;M55),"파견종료","파견중")))</f>
        <v/>
      </c>
      <c r="O55" s="9">
        <f>IF(OR(L55="",M55=""),"",M55-L55+1)</f>
        <v/>
      </c>
      <c r="P55" s="9">
        <f>IF(AND(N55="파견중",M55&lt;&gt;""),M55-TODAY(),"")</f>
        <v/>
      </c>
      <c r="Q55" s="6" t="n"/>
    </row>
    <row r="56">
      <c r="A56" s="5">
        <f>IF(B56="","",ROW()-1)</f>
        <v/>
      </c>
      <c r="B56" s="6" t="n"/>
      <c r="C56" s="7" t="n"/>
      <c r="D56" s="8" t="n"/>
      <c r="E56" s="6" t="n"/>
      <c r="F56" s="7" t="n"/>
      <c r="G56" s="7" t="n"/>
      <c r="H56" s="6" t="n"/>
      <c r="I56" s="6" t="n"/>
      <c r="J56" s="6" t="n"/>
      <c r="K56" s="6" t="n"/>
      <c r="L56" s="8" t="n"/>
      <c r="M56" s="8" t="n"/>
      <c r="N56" s="5">
        <f>IF(OR(B56="",L56=""),"",IF(TODAY()&lt;L56,"파견예정",IF(AND(M56&lt;&gt;"",TODAY()&gt;M56),"파견종료","파견중")))</f>
        <v/>
      </c>
      <c r="O56" s="9">
        <f>IF(OR(L56="",M56=""),"",M56-L56+1)</f>
        <v/>
      </c>
      <c r="P56" s="9">
        <f>IF(AND(N56="파견중",M56&lt;&gt;""),M56-TODAY(),"")</f>
        <v/>
      </c>
      <c r="Q56" s="6" t="n"/>
    </row>
    <row r="57">
      <c r="A57" s="5">
        <f>IF(B57="","",ROW()-1)</f>
        <v/>
      </c>
      <c r="B57" s="6" t="n"/>
      <c r="C57" s="7" t="n"/>
      <c r="D57" s="8" t="n"/>
      <c r="E57" s="6" t="n"/>
      <c r="F57" s="7" t="n"/>
      <c r="G57" s="7" t="n"/>
      <c r="H57" s="6" t="n"/>
      <c r="I57" s="6" t="n"/>
      <c r="J57" s="6" t="n"/>
      <c r="K57" s="6" t="n"/>
      <c r="L57" s="8" t="n"/>
      <c r="M57" s="8" t="n"/>
      <c r="N57" s="5">
        <f>IF(OR(B57="",L57=""),"",IF(TODAY()&lt;L57,"파견예정",IF(AND(M57&lt;&gt;"",TODAY()&gt;M57),"파견종료","파견중")))</f>
        <v/>
      </c>
      <c r="O57" s="9">
        <f>IF(OR(L57="",M57=""),"",M57-L57+1)</f>
        <v/>
      </c>
      <c r="P57" s="9">
        <f>IF(AND(N57="파견중",M57&lt;&gt;""),M57-TODAY(),"")</f>
        <v/>
      </c>
      <c r="Q57" s="6" t="n"/>
    </row>
    <row r="58">
      <c r="A58" s="5">
        <f>IF(B58="","",ROW()-1)</f>
        <v/>
      </c>
      <c r="B58" s="6" t="n"/>
      <c r="C58" s="7" t="n"/>
      <c r="D58" s="8" t="n"/>
      <c r="E58" s="6" t="n"/>
      <c r="F58" s="7" t="n"/>
      <c r="G58" s="7" t="n"/>
      <c r="H58" s="6" t="n"/>
      <c r="I58" s="6" t="n"/>
      <c r="J58" s="6" t="n"/>
      <c r="K58" s="6" t="n"/>
      <c r="L58" s="8" t="n"/>
      <c r="M58" s="8" t="n"/>
      <c r="N58" s="5">
        <f>IF(OR(B58="",L58=""),"",IF(TODAY()&lt;L58,"파견예정",IF(AND(M58&lt;&gt;"",TODAY()&gt;M58),"파견종료","파견중")))</f>
        <v/>
      </c>
      <c r="O58" s="9">
        <f>IF(OR(L58="",M58=""),"",M58-L58+1)</f>
        <v/>
      </c>
      <c r="P58" s="9">
        <f>IF(AND(N58="파견중",M58&lt;&gt;""),M58-TODAY(),"")</f>
        <v/>
      </c>
      <c r="Q58" s="6" t="n"/>
    </row>
    <row r="59">
      <c r="A59" s="5">
        <f>IF(B59="","",ROW()-1)</f>
        <v/>
      </c>
      <c r="B59" s="6" t="n"/>
      <c r="C59" s="7" t="n"/>
      <c r="D59" s="8" t="n"/>
      <c r="E59" s="6" t="n"/>
      <c r="F59" s="7" t="n"/>
      <c r="G59" s="7" t="n"/>
      <c r="H59" s="6" t="n"/>
      <c r="I59" s="6" t="n"/>
      <c r="J59" s="6" t="n"/>
      <c r="K59" s="6" t="n"/>
      <c r="L59" s="8" t="n"/>
      <c r="M59" s="8" t="n"/>
      <c r="N59" s="5">
        <f>IF(OR(B59="",L59=""),"",IF(TODAY()&lt;L59,"파견예정",IF(AND(M59&lt;&gt;"",TODAY()&gt;M59),"파견종료","파견중")))</f>
        <v/>
      </c>
      <c r="O59" s="9">
        <f>IF(OR(L59="",M59=""),"",M59-L59+1)</f>
        <v/>
      </c>
      <c r="P59" s="9">
        <f>IF(AND(N59="파견중",M59&lt;&gt;""),M59-TODAY(),"")</f>
        <v/>
      </c>
      <c r="Q59" s="6" t="n"/>
    </row>
    <row r="60">
      <c r="A60" s="5">
        <f>IF(B60="","",ROW()-1)</f>
        <v/>
      </c>
      <c r="B60" s="6" t="n"/>
      <c r="C60" s="7" t="n"/>
      <c r="D60" s="8" t="n"/>
      <c r="E60" s="6" t="n"/>
      <c r="F60" s="7" t="n"/>
      <c r="G60" s="7" t="n"/>
      <c r="H60" s="6" t="n"/>
      <c r="I60" s="6" t="n"/>
      <c r="J60" s="6" t="n"/>
      <c r="K60" s="6" t="n"/>
      <c r="L60" s="8" t="n"/>
      <c r="M60" s="8" t="n"/>
      <c r="N60" s="5">
        <f>IF(OR(B60="",L60=""),"",IF(TODAY()&lt;L60,"파견예정",IF(AND(M60&lt;&gt;"",TODAY()&gt;M60),"파견종료","파견중")))</f>
        <v/>
      </c>
      <c r="O60" s="9">
        <f>IF(OR(L60="",M60=""),"",M60-L60+1)</f>
        <v/>
      </c>
      <c r="P60" s="9">
        <f>IF(AND(N60="파견중",M60&lt;&gt;""),M60-TODAY(),"")</f>
        <v/>
      </c>
      <c r="Q60" s="6" t="n"/>
    </row>
    <row r="61">
      <c r="A61" s="5">
        <f>IF(B61="","",ROW()-1)</f>
        <v/>
      </c>
      <c r="B61" s="6" t="n"/>
      <c r="C61" s="7" t="n"/>
      <c r="D61" s="8" t="n"/>
      <c r="E61" s="6" t="n"/>
      <c r="F61" s="7" t="n"/>
      <c r="G61" s="7" t="n"/>
      <c r="H61" s="6" t="n"/>
      <c r="I61" s="6" t="n"/>
      <c r="J61" s="6" t="n"/>
      <c r="K61" s="6" t="n"/>
      <c r="L61" s="8" t="n"/>
      <c r="M61" s="8" t="n"/>
      <c r="N61" s="5">
        <f>IF(OR(B61="",L61=""),"",IF(TODAY()&lt;L61,"파견예정",IF(AND(M61&lt;&gt;"",TODAY()&gt;M61),"파견종료","파견중")))</f>
        <v/>
      </c>
      <c r="O61" s="9">
        <f>IF(OR(L61="",M61=""),"",M61-L61+1)</f>
        <v/>
      </c>
      <c r="P61" s="9">
        <f>IF(AND(N61="파견중",M61&lt;&gt;""),M61-TODAY(),"")</f>
        <v/>
      </c>
      <c r="Q61" s="6" t="n"/>
    </row>
    <row r="62">
      <c r="A62" s="5">
        <f>IF(B62="","",ROW()-1)</f>
        <v/>
      </c>
      <c r="B62" s="6" t="n"/>
      <c r="C62" s="7" t="n"/>
      <c r="D62" s="8" t="n"/>
      <c r="E62" s="6" t="n"/>
      <c r="F62" s="7" t="n"/>
      <c r="G62" s="7" t="n"/>
      <c r="H62" s="6" t="n"/>
      <c r="I62" s="6" t="n"/>
      <c r="J62" s="6" t="n"/>
      <c r="K62" s="6" t="n"/>
      <c r="L62" s="8" t="n"/>
      <c r="M62" s="8" t="n"/>
      <c r="N62" s="5">
        <f>IF(OR(B62="",L62=""),"",IF(TODAY()&lt;L62,"파견예정",IF(AND(M62&lt;&gt;"",TODAY()&gt;M62),"파견종료","파견중")))</f>
        <v/>
      </c>
      <c r="O62" s="9">
        <f>IF(OR(L62="",M62=""),"",M62-L62+1)</f>
        <v/>
      </c>
      <c r="P62" s="9">
        <f>IF(AND(N62="파견중",M62&lt;&gt;""),M62-TODAY(),"")</f>
        <v/>
      </c>
      <c r="Q62" s="6" t="n"/>
    </row>
    <row r="63">
      <c r="A63" s="5">
        <f>IF(B63="","",ROW()-1)</f>
        <v/>
      </c>
      <c r="B63" s="6" t="n"/>
      <c r="C63" s="7" t="n"/>
      <c r="D63" s="8" t="n"/>
      <c r="E63" s="6" t="n"/>
      <c r="F63" s="7" t="n"/>
      <c r="G63" s="7" t="n"/>
      <c r="H63" s="6" t="n"/>
      <c r="I63" s="6" t="n"/>
      <c r="J63" s="6" t="n"/>
      <c r="K63" s="6" t="n"/>
      <c r="L63" s="8" t="n"/>
      <c r="M63" s="8" t="n"/>
      <c r="N63" s="5">
        <f>IF(OR(B63="",L63=""),"",IF(TODAY()&lt;L63,"파견예정",IF(AND(M63&lt;&gt;"",TODAY()&gt;M63),"파견종료","파견중")))</f>
        <v/>
      </c>
      <c r="O63" s="9">
        <f>IF(OR(L63="",M63=""),"",M63-L63+1)</f>
        <v/>
      </c>
      <c r="P63" s="9">
        <f>IF(AND(N63="파견중",M63&lt;&gt;""),M63-TODAY(),"")</f>
        <v/>
      </c>
      <c r="Q63" s="6" t="n"/>
    </row>
    <row r="64">
      <c r="A64" s="5">
        <f>IF(B64="","",ROW()-1)</f>
        <v/>
      </c>
      <c r="B64" s="6" t="n"/>
      <c r="C64" s="7" t="n"/>
      <c r="D64" s="8" t="n"/>
      <c r="E64" s="6" t="n"/>
      <c r="F64" s="7" t="n"/>
      <c r="G64" s="7" t="n"/>
      <c r="H64" s="6" t="n"/>
      <c r="I64" s="6" t="n"/>
      <c r="J64" s="6" t="n"/>
      <c r="K64" s="6" t="n"/>
      <c r="L64" s="8" t="n"/>
      <c r="M64" s="8" t="n"/>
      <c r="N64" s="5">
        <f>IF(OR(B64="",L64=""),"",IF(TODAY()&lt;L64,"파견예정",IF(AND(M64&lt;&gt;"",TODAY()&gt;M64),"파견종료","파견중")))</f>
        <v/>
      </c>
      <c r="O64" s="9">
        <f>IF(OR(L64="",M64=""),"",M64-L64+1)</f>
        <v/>
      </c>
      <c r="P64" s="9">
        <f>IF(AND(N64="파견중",M64&lt;&gt;""),M64-TODAY(),"")</f>
        <v/>
      </c>
      <c r="Q64" s="6" t="n"/>
    </row>
    <row r="65">
      <c r="A65" s="5">
        <f>IF(B65="","",ROW()-1)</f>
        <v/>
      </c>
      <c r="B65" s="6" t="n"/>
      <c r="C65" s="7" t="n"/>
      <c r="D65" s="8" t="n"/>
      <c r="E65" s="6" t="n"/>
      <c r="F65" s="7" t="n"/>
      <c r="G65" s="7" t="n"/>
      <c r="H65" s="6" t="n"/>
      <c r="I65" s="6" t="n"/>
      <c r="J65" s="6" t="n"/>
      <c r="K65" s="6" t="n"/>
      <c r="L65" s="8" t="n"/>
      <c r="M65" s="8" t="n"/>
      <c r="N65" s="5">
        <f>IF(OR(B65="",L65=""),"",IF(TODAY()&lt;L65,"파견예정",IF(AND(M65&lt;&gt;"",TODAY()&gt;M65),"파견종료","파견중")))</f>
        <v/>
      </c>
      <c r="O65" s="9">
        <f>IF(OR(L65="",M65=""),"",M65-L65+1)</f>
        <v/>
      </c>
      <c r="P65" s="9">
        <f>IF(AND(N65="파견중",M65&lt;&gt;""),M65-TODAY(),"")</f>
        <v/>
      </c>
      <c r="Q65" s="6" t="n"/>
    </row>
    <row r="66">
      <c r="A66" s="5">
        <f>IF(B66="","",ROW()-1)</f>
        <v/>
      </c>
      <c r="B66" s="6" t="n"/>
      <c r="C66" s="7" t="n"/>
      <c r="D66" s="8" t="n"/>
      <c r="E66" s="6" t="n"/>
      <c r="F66" s="7" t="n"/>
      <c r="G66" s="7" t="n"/>
      <c r="H66" s="6" t="n"/>
      <c r="I66" s="6" t="n"/>
      <c r="J66" s="6" t="n"/>
      <c r="K66" s="6" t="n"/>
      <c r="L66" s="8" t="n"/>
      <c r="M66" s="8" t="n"/>
      <c r="N66" s="5">
        <f>IF(OR(B66="",L66=""),"",IF(TODAY()&lt;L66,"파견예정",IF(AND(M66&lt;&gt;"",TODAY()&gt;M66),"파견종료","파견중")))</f>
        <v/>
      </c>
      <c r="O66" s="9">
        <f>IF(OR(L66="",M66=""),"",M66-L66+1)</f>
        <v/>
      </c>
      <c r="P66" s="9">
        <f>IF(AND(N66="파견중",M66&lt;&gt;""),M66-TODAY(),"")</f>
        <v/>
      </c>
      <c r="Q66" s="6" t="n"/>
    </row>
    <row r="67">
      <c r="A67" s="5">
        <f>IF(B67="","",ROW()-1)</f>
        <v/>
      </c>
      <c r="B67" s="6" t="n"/>
      <c r="C67" s="7" t="n"/>
      <c r="D67" s="8" t="n"/>
      <c r="E67" s="6" t="n"/>
      <c r="F67" s="7" t="n"/>
      <c r="G67" s="7" t="n"/>
      <c r="H67" s="6" t="n"/>
      <c r="I67" s="6" t="n"/>
      <c r="J67" s="6" t="n"/>
      <c r="K67" s="6" t="n"/>
      <c r="L67" s="8" t="n"/>
      <c r="M67" s="8" t="n"/>
      <c r="N67" s="5">
        <f>IF(OR(B67="",L67=""),"",IF(TODAY()&lt;L67,"파견예정",IF(AND(M67&lt;&gt;"",TODAY()&gt;M67),"파견종료","파견중")))</f>
        <v/>
      </c>
      <c r="O67" s="9">
        <f>IF(OR(L67="",M67=""),"",M67-L67+1)</f>
        <v/>
      </c>
      <c r="P67" s="9">
        <f>IF(AND(N67="파견중",M67&lt;&gt;""),M67-TODAY(),"")</f>
        <v/>
      </c>
      <c r="Q67" s="6" t="n"/>
    </row>
    <row r="68">
      <c r="A68" s="5">
        <f>IF(B68="","",ROW()-1)</f>
        <v/>
      </c>
      <c r="B68" s="6" t="n"/>
      <c r="C68" s="7" t="n"/>
      <c r="D68" s="8" t="n"/>
      <c r="E68" s="6" t="n"/>
      <c r="F68" s="7" t="n"/>
      <c r="G68" s="7" t="n"/>
      <c r="H68" s="6" t="n"/>
      <c r="I68" s="6" t="n"/>
      <c r="J68" s="6" t="n"/>
      <c r="K68" s="6" t="n"/>
      <c r="L68" s="8" t="n"/>
      <c r="M68" s="8" t="n"/>
      <c r="N68" s="5">
        <f>IF(OR(B68="",L68=""),"",IF(TODAY()&lt;L68,"파견예정",IF(AND(M68&lt;&gt;"",TODAY()&gt;M68),"파견종료","파견중")))</f>
        <v/>
      </c>
      <c r="O68" s="9">
        <f>IF(OR(L68="",M68=""),"",M68-L68+1)</f>
        <v/>
      </c>
      <c r="P68" s="9">
        <f>IF(AND(N68="파견중",M68&lt;&gt;""),M68-TODAY(),"")</f>
        <v/>
      </c>
      <c r="Q68" s="6" t="n"/>
    </row>
    <row r="69">
      <c r="A69" s="5">
        <f>IF(B69="","",ROW()-1)</f>
        <v/>
      </c>
      <c r="B69" s="6" t="n"/>
      <c r="C69" s="7" t="n"/>
      <c r="D69" s="8" t="n"/>
      <c r="E69" s="6" t="n"/>
      <c r="F69" s="7" t="n"/>
      <c r="G69" s="7" t="n"/>
      <c r="H69" s="6" t="n"/>
      <c r="I69" s="6" t="n"/>
      <c r="J69" s="6" t="n"/>
      <c r="K69" s="6" t="n"/>
      <c r="L69" s="8" t="n"/>
      <c r="M69" s="8" t="n"/>
      <c r="N69" s="5">
        <f>IF(OR(B69="",L69=""),"",IF(TODAY()&lt;L69,"파견예정",IF(AND(M69&lt;&gt;"",TODAY()&gt;M69),"파견종료","파견중")))</f>
        <v/>
      </c>
      <c r="O69" s="9">
        <f>IF(OR(L69="",M69=""),"",M69-L69+1)</f>
        <v/>
      </c>
      <c r="P69" s="9">
        <f>IF(AND(N69="파견중",M69&lt;&gt;""),M69-TODAY(),"")</f>
        <v/>
      </c>
      <c r="Q69" s="6" t="n"/>
    </row>
    <row r="70">
      <c r="A70" s="5">
        <f>IF(B70="","",ROW()-1)</f>
        <v/>
      </c>
      <c r="B70" s="6" t="n"/>
      <c r="C70" s="7" t="n"/>
      <c r="D70" s="8" t="n"/>
      <c r="E70" s="6" t="n"/>
      <c r="F70" s="7" t="n"/>
      <c r="G70" s="7" t="n"/>
      <c r="H70" s="6" t="n"/>
      <c r="I70" s="6" t="n"/>
      <c r="J70" s="6" t="n"/>
      <c r="K70" s="6" t="n"/>
      <c r="L70" s="8" t="n"/>
      <c r="M70" s="8" t="n"/>
      <c r="N70" s="5">
        <f>IF(OR(B70="",L70=""),"",IF(TODAY()&lt;L70,"파견예정",IF(AND(M70&lt;&gt;"",TODAY()&gt;M70),"파견종료","파견중")))</f>
        <v/>
      </c>
      <c r="O70" s="9">
        <f>IF(OR(L70="",M70=""),"",M70-L70+1)</f>
        <v/>
      </c>
      <c r="P70" s="9">
        <f>IF(AND(N70="파견중",M70&lt;&gt;""),M70-TODAY(),"")</f>
        <v/>
      </c>
      <c r="Q70" s="6" t="n"/>
    </row>
    <row r="71">
      <c r="A71" s="5">
        <f>IF(B71="","",ROW()-1)</f>
        <v/>
      </c>
      <c r="B71" s="6" t="n"/>
      <c r="C71" s="7" t="n"/>
      <c r="D71" s="8" t="n"/>
      <c r="E71" s="6" t="n"/>
      <c r="F71" s="7" t="n"/>
      <c r="G71" s="7" t="n"/>
      <c r="H71" s="6" t="n"/>
      <c r="I71" s="6" t="n"/>
      <c r="J71" s="6" t="n"/>
      <c r="K71" s="6" t="n"/>
      <c r="L71" s="8" t="n"/>
      <c r="M71" s="8" t="n"/>
      <c r="N71" s="5">
        <f>IF(OR(B71="",L71=""),"",IF(TODAY()&lt;L71,"파견예정",IF(AND(M71&lt;&gt;"",TODAY()&gt;M71),"파견종료","파견중")))</f>
        <v/>
      </c>
      <c r="O71" s="9">
        <f>IF(OR(L71="",M71=""),"",M71-L71+1)</f>
        <v/>
      </c>
      <c r="P71" s="9">
        <f>IF(AND(N71="파견중",M71&lt;&gt;""),M71-TODAY(),"")</f>
        <v/>
      </c>
      <c r="Q71" s="6" t="n"/>
    </row>
    <row r="72">
      <c r="A72" s="5">
        <f>IF(B72="","",ROW()-1)</f>
        <v/>
      </c>
      <c r="B72" s="6" t="n"/>
      <c r="C72" s="7" t="n"/>
      <c r="D72" s="8" t="n"/>
      <c r="E72" s="6" t="n"/>
      <c r="F72" s="7" t="n"/>
      <c r="G72" s="7" t="n"/>
      <c r="H72" s="6" t="n"/>
      <c r="I72" s="6" t="n"/>
      <c r="J72" s="6" t="n"/>
      <c r="K72" s="6" t="n"/>
      <c r="L72" s="8" t="n"/>
      <c r="M72" s="8" t="n"/>
      <c r="N72" s="5">
        <f>IF(OR(B72="",L72=""),"",IF(TODAY()&lt;L72,"파견예정",IF(AND(M72&lt;&gt;"",TODAY()&gt;M72),"파견종료","파견중")))</f>
        <v/>
      </c>
      <c r="O72" s="9">
        <f>IF(OR(L72="",M72=""),"",M72-L72+1)</f>
        <v/>
      </c>
      <c r="P72" s="9">
        <f>IF(AND(N72="파견중",M72&lt;&gt;""),M72-TODAY(),"")</f>
        <v/>
      </c>
      <c r="Q72" s="6" t="n"/>
    </row>
    <row r="73">
      <c r="A73" s="5">
        <f>IF(B73="","",ROW()-1)</f>
        <v/>
      </c>
      <c r="B73" s="6" t="n"/>
      <c r="C73" s="7" t="n"/>
      <c r="D73" s="8" t="n"/>
      <c r="E73" s="6" t="n"/>
      <c r="F73" s="7" t="n"/>
      <c r="G73" s="7" t="n"/>
      <c r="H73" s="6" t="n"/>
      <c r="I73" s="6" t="n"/>
      <c r="J73" s="6" t="n"/>
      <c r="K73" s="6" t="n"/>
      <c r="L73" s="8" t="n"/>
      <c r="M73" s="8" t="n"/>
      <c r="N73" s="5">
        <f>IF(OR(B73="",L73=""),"",IF(TODAY()&lt;L73,"파견예정",IF(AND(M73&lt;&gt;"",TODAY()&gt;M73),"파견종료","파견중")))</f>
        <v/>
      </c>
      <c r="O73" s="9">
        <f>IF(OR(L73="",M73=""),"",M73-L73+1)</f>
        <v/>
      </c>
      <c r="P73" s="9">
        <f>IF(AND(N73="파견중",M73&lt;&gt;""),M73-TODAY(),"")</f>
        <v/>
      </c>
      <c r="Q73" s="6" t="n"/>
    </row>
    <row r="74">
      <c r="A74" s="5">
        <f>IF(B74="","",ROW()-1)</f>
        <v/>
      </c>
      <c r="B74" s="6" t="n"/>
      <c r="C74" s="7" t="n"/>
      <c r="D74" s="8" t="n"/>
      <c r="E74" s="6" t="n"/>
      <c r="F74" s="7" t="n"/>
      <c r="G74" s="7" t="n"/>
      <c r="H74" s="6" t="n"/>
      <c r="I74" s="6" t="n"/>
      <c r="J74" s="6" t="n"/>
      <c r="K74" s="6" t="n"/>
      <c r="L74" s="8" t="n"/>
      <c r="M74" s="8" t="n"/>
      <c r="N74" s="5">
        <f>IF(OR(B74="",L74=""),"",IF(TODAY()&lt;L74,"파견예정",IF(AND(M74&lt;&gt;"",TODAY()&gt;M74),"파견종료","파견중")))</f>
        <v/>
      </c>
      <c r="O74" s="9">
        <f>IF(OR(L74="",M74=""),"",M74-L74+1)</f>
        <v/>
      </c>
      <c r="P74" s="9">
        <f>IF(AND(N74="파견중",M74&lt;&gt;""),M74-TODAY(),"")</f>
        <v/>
      </c>
      <c r="Q74" s="6" t="n"/>
    </row>
    <row r="75">
      <c r="A75" s="5">
        <f>IF(B75="","",ROW()-1)</f>
        <v/>
      </c>
      <c r="B75" s="6" t="n"/>
      <c r="C75" s="7" t="n"/>
      <c r="D75" s="8" t="n"/>
      <c r="E75" s="6" t="n"/>
      <c r="F75" s="7" t="n"/>
      <c r="G75" s="7" t="n"/>
      <c r="H75" s="6" t="n"/>
      <c r="I75" s="6" t="n"/>
      <c r="J75" s="6" t="n"/>
      <c r="K75" s="6" t="n"/>
      <c r="L75" s="8" t="n"/>
      <c r="M75" s="8" t="n"/>
      <c r="N75" s="5">
        <f>IF(OR(B75="",L75=""),"",IF(TODAY()&lt;L75,"파견예정",IF(AND(M75&lt;&gt;"",TODAY()&gt;M75),"파견종료","파견중")))</f>
        <v/>
      </c>
      <c r="O75" s="9">
        <f>IF(OR(L75="",M75=""),"",M75-L75+1)</f>
        <v/>
      </c>
      <c r="P75" s="9">
        <f>IF(AND(N75="파견중",M75&lt;&gt;""),M75-TODAY(),"")</f>
        <v/>
      </c>
      <c r="Q75" s="6" t="n"/>
    </row>
    <row r="76">
      <c r="A76" s="5">
        <f>IF(B76="","",ROW()-1)</f>
        <v/>
      </c>
      <c r="B76" s="6" t="n"/>
      <c r="C76" s="7" t="n"/>
      <c r="D76" s="8" t="n"/>
      <c r="E76" s="6" t="n"/>
      <c r="F76" s="7" t="n"/>
      <c r="G76" s="7" t="n"/>
      <c r="H76" s="6" t="n"/>
      <c r="I76" s="6" t="n"/>
      <c r="J76" s="6" t="n"/>
      <c r="K76" s="6" t="n"/>
      <c r="L76" s="8" t="n"/>
      <c r="M76" s="8" t="n"/>
      <c r="N76" s="5">
        <f>IF(OR(B76="",L76=""),"",IF(TODAY()&lt;L76,"파견예정",IF(AND(M76&lt;&gt;"",TODAY()&gt;M76),"파견종료","파견중")))</f>
        <v/>
      </c>
      <c r="O76" s="9">
        <f>IF(OR(L76="",M76=""),"",M76-L76+1)</f>
        <v/>
      </c>
      <c r="P76" s="9">
        <f>IF(AND(N76="파견중",M76&lt;&gt;""),M76-TODAY(),"")</f>
        <v/>
      </c>
      <c r="Q76" s="6" t="n"/>
    </row>
    <row r="77">
      <c r="A77" s="5">
        <f>IF(B77="","",ROW()-1)</f>
        <v/>
      </c>
      <c r="B77" s="6" t="n"/>
      <c r="C77" s="7" t="n"/>
      <c r="D77" s="8" t="n"/>
      <c r="E77" s="6" t="n"/>
      <c r="F77" s="7" t="n"/>
      <c r="G77" s="7" t="n"/>
      <c r="H77" s="6" t="n"/>
      <c r="I77" s="6" t="n"/>
      <c r="J77" s="6" t="n"/>
      <c r="K77" s="6" t="n"/>
      <c r="L77" s="8" t="n"/>
      <c r="M77" s="8" t="n"/>
      <c r="N77" s="5">
        <f>IF(OR(B77="",L77=""),"",IF(TODAY()&lt;L77,"파견예정",IF(AND(M77&lt;&gt;"",TODAY()&gt;M77),"파견종료","파견중")))</f>
        <v/>
      </c>
      <c r="O77" s="9">
        <f>IF(OR(L77="",M77=""),"",M77-L77+1)</f>
        <v/>
      </c>
      <c r="P77" s="9">
        <f>IF(AND(N77="파견중",M77&lt;&gt;""),M77-TODAY(),"")</f>
        <v/>
      </c>
      <c r="Q77" s="6" t="n"/>
    </row>
    <row r="78">
      <c r="A78" s="5">
        <f>IF(B78="","",ROW()-1)</f>
        <v/>
      </c>
      <c r="B78" s="6" t="n"/>
      <c r="C78" s="7" t="n"/>
      <c r="D78" s="8" t="n"/>
      <c r="E78" s="6" t="n"/>
      <c r="F78" s="7" t="n"/>
      <c r="G78" s="7" t="n"/>
      <c r="H78" s="6" t="n"/>
      <c r="I78" s="6" t="n"/>
      <c r="J78" s="6" t="n"/>
      <c r="K78" s="6" t="n"/>
      <c r="L78" s="8" t="n"/>
      <c r="M78" s="8" t="n"/>
      <c r="N78" s="5">
        <f>IF(OR(B78="",L78=""),"",IF(TODAY()&lt;L78,"파견예정",IF(AND(M78&lt;&gt;"",TODAY()&gt;M78),"파견종료","파견중")))</f>
        <v/>
      </c>
      <c r="O78" s="9">
        <f>IF(OR(L78="",M78=""),"",M78-L78+1)</f>
        <v/>
      </c>
      <c r="P78" s="9">
        <f>IF(AND(N78="파견중",M78&lt;&gt;""),M78-TODAY(),"")</f>
        <v/>
      </c>
      <c r="Q78" s="6" t="n"/>
    </row>
    <row r="79">
      <c r="A79" s="5">
        <f>IF(B79="","",ROW()-1)</f>
        <v/>
      </c>
      <c r="B79" s="6" t="n"/>
      <c r="C79" s="7" t="n"/>
      <c r="D79" s="8" t="n"/>
      <c r="E79" s="6" t="n"/>
      <c r="F79" s="7" t="n"/>
      <c r="G79" s="7" t="n"/>
      <c r="H79" s="6" t="n"/>
      <c r="I79" s="6" t="n"/>
      <c r="J79" s="6" t="n"/>
      <c r="K79" s="6" t="n"/>
      <c r="L79" s="8" t="n"/>
      <c r="M79" s="8" t="n"/>
      <c r="N79" s="5">
        <f>IF(OR(B79="",L79=""),"",IF(TODAY()&lt;L79,"파견예정",IF(AND(M79&lt;&gt;"",TODAY()&gt;M79),"파견종료","파견중")))</f>
        <v/>
      </c>
      <c r="O79" s="9">
        <f>IF(OR(L79="",M79=""),"",M79-L79+1)</f>
        <v/>
      </c>
      <c r="P79" s="9">
        <f>IF(AND(N79="파견중",M79&lt;&gt;""),M79-TODAY(),"")</f>
        <v/>
      </c>
      <c r="Q79" s="6" t="n"/>
    </row>
    <row r="80">
      <c r="A80" s="5">
        <f>IF(B80="","",ROW()-1)</f>
        <v/>
      </c>
      <c r="B80" s="6" t="n"/>
      <c r="C80" s="7" t="n"/>
      <c r="D80" s="8" t="n"/>
      <c r="E80" s="6" t="n"/>
      <c r="F80" s="7" t="n"/>
      <c r="G80" s="7" t="n"/>
      <c r="H80" s="6" t="n"/>
      <c r="I80" s="6" t="n"/>
      <c r="J80" s="6" t="n"/>
      <c r="K80" s="6" t="n"/>
      <c r="L80" s="8" t="n"/>
      <c r="M80" s="8" t="n"/>
      <c r="N80" s="5">
        <f>IF(OR(B80="",L80=""),"",IF(TODAY()&lt;L80,"파견예정",IF(AND(M80&lt;&gt;"",TODAY()&gt;M80),"파견종료","파견중")))</f>
        <v/>
      </c>
      <c r="O80" s="9">
        <f>IF(OR(L80="",M80=""),"",M80-L80+1)</f>
        <v/>
      </c>
      <c r="P80" s="9">
        <f>IF(AND(N80="파견중",M80&lt;&gt;""),M80-TODAY(),"")</f>
        <v/>
      </c>
      <c r="Q80" s="6" t="n"/>
    </row>
    <row r="81">
      <c r="A81" s="5">
        <f>IF(B81="","",ROW()-1)</f>
        <v/>
      </c>
      <c r="B81" s="6" t="n"/>
      <c r="C81" s="7" t="n"/>
      <c r="D81" s="8" t="n"/>
      <c r="E81" s="6" t="n"/>
      <c r="F81" s="7" t="n"/>
      <c r="G81" s="7" t="n"/>
      <c r="H81" s="6" t="n"/>
      <c r="I81" s="6" t="n"/>
      <c r="J81" s="6" t="n"/>
      <c r="K81" s="6" t="n"/>
      <c r="L81" s="8" t="n"/>
      <c r="M81" s="8" t="n"/>
      <c r="N81" s="5">
        <f>IF(OR(B81="",L81=""),"",IF(TODAY()&lt;L81,"파견예정",IF(AND(M81&lt;&gt;"",TODAY()&gt;M81),"파견종료","파견중")))</f>
        <v/>
      </c>
      <c r="O81" s="9">
        <f>IF(OR(L81="",M81=""),"",M81-L81+1)</f>
        <v/>
      </c>
      <c r="P81" s="9">
        <f>IF(AND(N81="파견중",M81&lt;&gt;""),M81-TODAY(),"")</f>
        <v/>
      </c>
      <c r="Q81" s="6" t="n"/>
    </row>
    <row r="82">
      <c r="A82" s="5">
        <f>IF(B82="","",ROW()-1)</f>
        <v/>
      </c>
      <c r="B82" s="6" t="n"/>
      <c r="C82" s="7" t="n"/>
      <c r="D82" s="8" t="n"/>
      <c r="E82" s="6" t="n"/>
      <c r="F82" s="7" t="n"/>
      <c r="G82" s="7" t="n"/>
      <c r="H82" s="6" t="n"/>
      <c r="I82" s="6" t="n"/>
      <c r="J82" s="6" t="n"/>
      <c r="K82" s="6" t="n"/>
      <c r="L82" s="8" t="n"/>
      <c r="M82" s="8" t="n"/>
      <c r="N82" s="5">
        <f>IF(OR(B82="",L82=""),"",IF(TODAY()&lt;L82,"파견예정",IF(AND(M82&lt;&gt;"",TODAY()&gt;M82),"파견종료","파견중")))</f>
        <v/>
      </c>
      <c r="O82" s="9">
        <f>IF(OR(L82="",M82=""),"",M82-L82+1)</f>
        <v/>
      </c>
      <c r="P82" s="9">
        <f>IF(AND(N82="파견중",M82&lt;&gt;""),M82-TODAY(),"")</f>
        <v/>
      </c>
      <c r="Q82" s="6" t="n"/>
    </row>
    <row r="83">
      <c r="A83" s="5">
        <f>IF(B83="","",ROW()-1)</f>
        <v/>
      </c>
      <c r="B83" s="6" t="n"/>
      <c r="C83" s="7" t="n"/>
      <c r="D83" s="8" t="n"/>
      <c r="E83" s="6" t="n"/>
      <c r="F83" s="7" t="n"/>
      <c r="G83" s="7" t="n"/>
      <c r="H83" s="6" t="n"/>
      <c r="I83" s="6" t="n"/>
      <c r="J83" s="6" t="n"/>
      <c r="K83" s="6" t="n"/>
      <c r="L83" s="8" t="n"/>
      <c r="M83" s="8" t="n"/>
      <c r="N83" s="5">
        <f>IF(OR(B83="",L83=""),"",IF(TODAY()&lt;L83,"파견예정",IF(AND(M83&lt;&gt;"",TODAY()&gt;M83),"파견종료","파견중")))</f>
        <v/>
      </c>
      <c r="O83" s="9">
        <f>IF(OR(L83="",M83=""),"",M83-L83+1)</f>
        <v/>
      </c>
      <c r="P83" s="9">
        <f>IF(AND(N83="파견중",M83&lt;&gt;""),M83-TODAY(),"")</f>
        <v/>
      </c>
      <c r="Q83" s="6" t="n"/>
    </row>
    <row r="84">
      <c r="A84" s="5">
        <f>IF(B84="","",ROW()-1)</f>
        <v/>
      </c>
      <c r="B84" s="6" t="n"/>
      <c r="C84" s="7" t="n"/>
      <c r="D84" s="8" t="n"/>
      <c r="E84" s="6" t="n"/>
      <c r="F84" s="7" t="n"/>
      <c r="G84" s="7" t="n"/>
      <c r="H84" s="6" t="n"/>
      <c r="I84" s="6" t="n"/>
      <c r="J84" s="6" t="n"/>
      <c r="K84" s="6" t="n"/>
      <c r="L84" s="8" t="n"/>
      <c r="M84" s="8" t="n"/>
      <c r="N84" s="5">
        <f>IF(OR(B84="",L84=""),"",IF(TODAY()&lt;L84,"파견예정",IF(AND(M84&lt;&gt;"",TODAY()&gt;M84),"파견종료","파견중")))</f>
        <v/>
      </c>
      <c r="O84" s="9">
        <f>IF(OR(L84="",M84=""),"",M84-L84+1)</f>
        <v/>
      </c>
      <c r="P84" s="9">
        <f>IF(AND(N84="파견중",M84&lt;&gt;""),M84-TODAY(),"")</f>
        <v/>
      </c>
      <c r="Q84" s="6" t="n"/>
    </row>
    <row r="85">
      <c r="A85" s="5">
        <f>IF(B85="","",ROW()-1)</f>
        <v/>
      </c>
      <c r="B85" s="6" t="n"/>
      <c r="C85" s="7" t="n"/>
      <c r="D85" s="8" t="n"/>
      <c r="E85" s="6" t="n"/>
      <c r="F85" s="7" t="n"/>
      <c r="G85" s="7" t="n"/>
      <c r="H85" s="6" t="n"/>
      <c r="I85" s="6" t="n"/>
      <c r="J85" s="6" t="n"/>
      <c r="K85" s="6" t="n"/>
      <c r="L85" s="8" t="n"/>
      <c r="M85" s="8" t="n"/>
      <c r="N85" s="5">
        <f>IF(OR(B85="",L85=""),"",IF(TODAY()&lt;L85,"파견예정",IF(AND(M85&lt;&gt;"",TODAY()&gt;M85),"파견종료","파견중")))</f>
        <v/>
      </c>
      <c r="O85" s="9">
        <f>IF(OR(L85="",M85=""),"",M85-L85+1)</f>
        <v/>
      </c>
      <c r="P85" s="9">
        <f>IF(AND(N85="파견중",M85&lt;&gt;""),M85-TODAY(),"")</f>
        <v/>
      </c>
      <c r="Q85" s="6" t="n"/>
    </row>
    <row r="86">
      <c r="A86" s="5">
        <f>IF(B86="","",ROW()-1)</f>
        <v/>
      </c>
      <c r="B86" s="6" t="n"/>
      <c r="C86" s="7" t="n"/>
      <c r="D86" s="8" t="n"/>
      <c r="E86" s="6" t="n"/>
      <c r="F86" s="7" t="n"/>
      <c r="G86" s="7" t="n"/>
      <c r="H86" s="6" t="n"/>
      <c r="I86" s="6" t="n"/>
      <c r="J86" s="6" t="n"/>
      <c r="K86" s="6" t="n"/>
      <c r="L86" s="8" t="n"/>
      <c r="M86" s="8" t="n"/>
      <c r="N86" s="5">
        <f>IF(OR(B86="",L86=""),"",IF(TODAY()&lt;L86,"파견예정",IF(AND(M86&lt;&gt;"",TODAY()&gt;M86),"파견종료","파견중")))</f>
        <v/>
      </c>
      <c r="O86" s="9">
        <f>IF(OR(L86="",M86=""),"",M86-L86+1)</f>
        <v/>
      </c>
      <c r="P86" s="9">
        <f>IF(AND(N86="파견중",M86&lt;&gt;""),M86-TODAY(),"")</f>
        <v/>
      </c>
      <c r="Q86" s="6" t="n"/>
    </row>
    <row r="87">
      <c r="A87" s="5">
        <f>IF(B87="","",ROW()-1)</f>
        <v/>
      </c>
      <c r="B87" s="6" t="n"/>
      <c r="C87" s="7" t="n"/>
      <c r="D87" s="8" t="n"/>
      <c r="E87" s="6" t="n"/>
      <c r="F87" s="7" t="n"/>
      <c r="G87" s="7" t="n"/>
      <c r="H87" s="6" t="n"/>
      <c r="I87" s="6" t="n"/>
      <c r="J87" s="6" t="n"/>
      <c r="K87" s="6" t="n"/>
      <c r="L87" s="8" t="n"/>
      <c r="M87" s="8" t="n"/>
      <c r="N87" s="5">
        <f>IF(OR(B87="",L87=""),"",IF(TODAY()&lt;L87,"파견예정",IF(AND(M87&lt;&gt;"",TODAY()&gt;M87),"파견종료","파견중")))</f>
        <v/>
      </c>
      <c r="O87" s="9">
        <f>IF(OR(L87="",M87=""),"",M87-L87+1)</f>
        <v/>
      </c>
      <c r="P87" s="9">
        <f>IF(AND(N87="파견중",M87&lt;&gt;""),M87-TODAY(),"")</f>
        <v/>
      </c>
      <c r="Q87" s="6" t="n"/>
    </row>
    <row r="88">
      <c r="A88" s="5">
        <f>IF(B88="","",ROW()-1)</f>
        <v/>
      </c>
      <c r="B88" s="6" t="n"/>
      <c r="C88" s="7" t="n"/>
      <c r="D88" s="8" t="n"/>
      <c r="E88" s="6" t="n"/>
      <c r="F88" s="7" t="n"/>
      <c r="G88" s="7" t="n"/>
      <c r="H88" s="6" t="n"/>
      <c r="I88" s="6" t="n"/>
      <c r="J88" s="6" t="n"/>
      <c r="K88" s="6" t="n"/>
      <c r="L88" s="8" t="n"/>
      <c r="M88" s="8" t="n"/>
      <c r="N88" s="5">
        <f>IF(OR(B88="",L88=""),"",IF(TODAY()&lt;L88,"파견예정",IF(AND(M88&lt;&gt;"",TODAY()&gt;M88),"파견종료","파견중")))</f>
        <v/>
      </c>
      <c r="O88" s="9">
        <f>IF(OR(L88="",M88=""),"",M88-L88+1)</f>
        <v/>
      </c>
      <c r="P88" s="9">
        <f>IF(AND(N88="파견중",M88&lt;&gt;""),M88-TODAY(),"")</f>
        <v/>
      </c>
      <c r="Q88" s="6" t="n"/>
    </row>
    <row r="89">
      <c r="A89" s="5">
        <f>IF(B89="","",ROW()-1)</f>
        <v/>
      </c>
      <c r="B89" s="6" t="n"/>
      <c r="C89" s="7" t="n"/>
      <c r="D89" s="8" t="n"/>
      <c r="E89" s="6" t="n"/>
      <c r="F89" s="7" t="n"/>
      <c r="G89" s="7" t="n"/>
      <c r="H89" s="6" t="n"/>
      <c r="I89" s="6" t="n"/>
      <c r="J89" s="6" t="n"/>
      <c r="K89" s="6" t="n"/>
      <c r="L89" s="8" t="n"/>
      <c r="M89" s="8" t="n"/>
      <c r="N89" s="5">
        <f>IF(OR(B89="",L89=""),"",IF(TODAY()&lt;L89,"파견예정",IF(AND(M89&lt;&gt;"",TODAY()&gt;M89),"파견종료","파견중")))</f>
        <v/>
      </c>
      <c r="O89" s="9">
        <f>IF(OR(L89="",M89=""),"",M89-L89+1)</f>
        <v/>
      </c>
      <c r="P89" s="9">
        <f>IF(AND(N89="파견중",M89&lt;&gt;""),M89-TODAY(),"")</f>
        <v/>
      </c>
      <c r="Q89" s="6" t="n"/>
    </row>
    <row r="90">
      <c r="A90" s="5">
        <f>IF(B90="","",ROW()-1)</f>
        <v/>
      </c>
      <c r="B90" s="6" t="n"/>
      <c r="C90" s="7" t="n"/>
      <c r="D90" s="8" t="n"/>
      <c r="E90" s="6" t="n"/>
      <c r="F90" s="7" t="n"/>
      <c r="G90" s="7" t="n"/>
      <c r="H90" s="6" t="n"/>
      <c r="I90" s="6" t="n"/>
      <c r="J90" s="6" t="n"/>
      <c r="K90" s="6" t="n"/>
      <c r="L90" s="8" t="n"/>
      <c r="M90" s="8" t="n"/>
      <c r="N90" s="5">
        <f>IF(OR(B90="",L90=""),"",IF(TODAY()&lt;L90,"파견예정",IF(AND(M90&lt;&gt;"",TODAY()&gt;M90),"파견종료","파견중")))</f>
        <v/>
      </c>
      <c r="O90" s="9">
        <f>IF(OR(L90="",M90=""),"",M90-L90+1)</f>
        <v/>
      </c>
      <c r="P90" s="9">
        <f>IF(AND(N90="파견중",M90&lt;&gt;""),M90-TODAY(),"")</f>
        <v/>
      </c>
      <c r="Q90" s="6" t="n"/>
    </row>
    <row r="91">
      <c r="A91" s="5">
        <f>IF(B91="","",ROW()-1)</f>
        <v/>
      </c>
      <c r="B91" s="6" t="n"/>
      <c r="C91" s="7" t="n"/>
      <c r="D91" s="8" t="n"/>
      <c r="E91" s="6" t="n"/>
      <c r="F91" s="7" t="n"/>
      <c r="G91" s="7" t="n"/>
      <c r="H91" s="6" t="n"/>
      <c r="I91" s="6" t="n"/>
      <c r="J91" s="6" t="n"/>
      <c r="K91" s="6" t="n"/>
      <c r="L91" s="8" t="n"/>
      <c r="M91" s="8" t="n"/>
      <c r="N91" s="5">
        <f>IF(OR(B91="",L91=""),"",IF(TODAY()&lt;L91,"파견예정",IF(AND(M91&lt;&gt;"",TODAY()&gt;M91),"파견종료","파견중")))</f>
        <v/>
      </c>
      <c r="O91" s="9">
        <f>IF(OR(L91="",M91=""),"",M91-L91+1)</f>
        <v/>
      </c>
      <c r="P91" s="9">
        <f>IF(AND(N91="파견중",M91&lt;&gt;""),M91-TODAY(),"")</f>
        <v/>
      </c>
      <c r="Q91" s="6" t="n"/>
    </row>
    <row r="92">
      <c r="A92" s="5">
        <f>IF(B92="","",ROW()-1)</f>
        <v/>
      </c>
      <c r="B92" s="6" t="n"/>
      <c r="C92" s="7" t="n"/>
      <c r="D92" s="8" t="n"/>
      <c r="E92" s="6" t="n"/>
      <c r="F92" s="7" t="n"/>
      <c r="G92" s="7" t="n"/>
      <c r="H92" s="6" t="n"/>
      <c r="I92" s="6" t="n"/>
      <c r="J92" s="6" t="n"/>
      <c r="K92" s="6" t="n"/>
      <c r="L92" s="8" t="n"/>
      <c r="M92" s="8" t="n"/>
      <c r="N92" s="5">
        <f>IF(OR(B92="",L92=""),"",IF(TODAY()&lt;L92,"파견예정",IF(AND(M92&lt;&gt;"",TODAY()&gt;M92),"파견종료","파견중")))</f>
        <v/>
      </c>
      <c r="O92" s="9">
        <f>IF(OR(L92="",M92=""),"",M92-L92+1)</f>
        <v/>
      </c>
      <c r="P92" s="9">
        <f>IF(AND(N92="파견중",M92&lt;&gt;""),M92-TODAY(),"")</f>
        <v/>
      </c>
      <c r="Q92" s="6" t="n"/>
    </row>
    <row r="93">
      <c r="A93" s="5">
        <f>IF(B93="","",ROW()-1)</f>
        <v/>
      </c>
      <c r="B93" s="6" t="n"/>
      <c r="C93" s="7" t="n"/>
      <c r="D93" s="8" t="n"/>
      <c r="E93" s="6" t="n"/>
      <c r="F93" s="7" t="n"/>
      <c r="G93" s="7" t="n"/>
      <c r="H93" s="6" t="n"/>
      <c r="I93" s="6" t="n"/>
      <c r="J93" s="6" t="n"/>
      <c r="K93" s="6" t="n"/>
      <c r="L93" s="8" t="n"/>
      <c r="M93" s="8" t="n"/>
      <c r="N93" s="5">
        <f>IF(OR(B93="",L93=""),"",IF(TODAY()&lt;L93,"파견예정",IF(AND(M93&lt;&gt;"",TODAY()&gt;M93),"파견종료","파견중")))</f>
        <v/>
      </c>
      <c r="O93" s="9">
        <f>IF(OR(L93="",M93=""),"",M93-L93+1)</f>
        <v/>
      </c>
      <c r="P93" s="9">
        <f>IF(AND(N93="파견중",M93&lt;&gt;""),M93-TODAY(),"")</f>
        <v/>
      </c>
      <c r="Q93" s="6" t="n"/>
    </row>
    <row r="94">
      <c r="A94" s="5">
        <f>IF(B94="","",ROW()-1)</f>
        <v/>
      </c>
      <c r="B94" s="6" t="n"/>
      <c r="C94" s="7" t="n"/>
      <c r="D94" s="8" t="n"/>
      <c r="E94" s="6" t="n"/>
      <c r="F94" s="7" t="n"/>
      <c r="G94" s="7" t="n"/>
      <c r="H94" s="6" t="n"/>
      <c r="I94" s="6" t="n"/>
      <c r="J94" s="6" t="n"/>
      <c r="K94" s="6" t="n"/>
      <c r="L94" s="8" t="n"/>
      <c r="M94" s="8" t="n"/>
      <c r="N94" s="5">
        <f>IF(OR(B94="",L94=""),"",IF(TODAY()&lt;L94,"파견예정",IF(AND(M94&lt;&gt;"",TODAY()&gt;M94),"파견종료","파견중")))</f>
        <v/>
      </c>
      <c r="O94" s="9">
        <f>IF(OR(L94="",M94=""),"",M94-L94+1)</f>
        <v/>
      </c>
      <c r="P94" s="9">
        <f>IF(AND(N94="파견중",M94&lt;&gt;""),M94-TODAY(),"")</f>
        <v/>
      </c>
      <c r="Q94" s="6" t="n"/>
    </row>
    <row r="95">
      <c r="A95" s="5">
        <f>IF(B95="","",ROW()-1)</f>
        <v/>
      </c>
      <c r="B95" s="6" t="n"/>
      <c r="C95" s="7" t="n"/>
      <c r="D95" s="8" t="n"/>
      <c r="E95" s="6" t="n"/>
      <c r="F95" s="7" t="n"/>
      <c r="G95" s="7" t="n"/>
      <c r="H95" s="6" t="n"/>
      <c r="I95" s="6" t="n"/>
      <c r="J95" s="6" t="n"/>
      <c r="K95" s="6" t="n"/>
      <c r="L95" s="8" t="n"/>
      <c r="M95" s="8" t="n"/>
      <c r="N95" s="5">
        <f>IF(OR(B95="",L95=""),"",IF(TODAY()&lt;L95,"파견예정",IF(AND(M95&lt;&gt;"",TODAY()&gt;M95),"파견종료","파견중")))</f>
        <v/>
      </c>
      <c r="O95" s="9">
        <f>IF(OR(L95="",M95=""),"",M95-L95+1)</f>
        <v/>
      </c>
      <c r="P95" s="9">
        <f>IF(AND(N95="파견중",M95&lt;&gt;""),M95-TODAY(),"")</f>
        <v/>
      </c>
      <c r="Q95" s="6" t="n"/>
    </row>
    <row r="96">
      <c r="A96" s="5">
        <f>IF(B96="","",ROW()-1)</f>
        <v/>
      </c>
      <c r="B96" s="6" t="n"/>
      <c r="C96" s="7" t="n"/>
      <c r="D96" s="8" t="n"/>
      <c r="E96" s="6" t="n"/>
      <c r="F96" s="7" t="n"/>
      <c r="G96" s="7" t="n"/>
      <c r="H96" s="6" t="n"/>
      <c r="I96" s="6" t="n"/>
      <c r="J96" s="6" t="n"/>
      <c r="K96" s="6" t="n"/>
      <c r="L96" s="8" t="n"/>
      <c r="M96" s="8" t="n"/>
      <c r="N96" s="5">
        <f>IF(OR(B96="",L96=""),"",IF(TODAY()&lt;L96,"파견예정",IF(AND(M96&lt;&gt;"",TODAY()&gt;M96),"파견종료","파견중")))</f>
        <v/>
      </c>
      <c r="O96" s="9">
        <f>IF(OR(L96="",M96=""),"",M96-L96+1)</f>
        <v/>
      </c>
      <c r="P96" s="9">
        <f>IF(AND(N96="파견중",M96&lt;&gt;""),M96-TODAY(),"")</f>
        <v/>
      </c>
      <c r="Q96" s="6" t="n"/>
    </row>
    <row r="97">
      <c r="A97" s="5">
        <f>IF(B97="","",ROW()-1)</f>
        <v/>
      </c>
      <c r="B97" s="6" t="n"/>
      <c r="C97" s="7" t="n"/>
      <c r="D97" s="8" t="n"/>
      <c r="E97" s="6" t="n"/>
      <c r="F97" s="7" t="n"/>
      <c r="G97" s="7" t="n"/>
      <c r="H97" s="6" t="n"/>
      <c r="I97" s="6" t="n"/>
      <c r="J97" s="6" t="n"/>
      <c r="K97" s="6" t="n"/>
      <c r="L97" s="8" t="n"/>
      <c r="M97" s="8" t="n"/>
      <c r="N97" s="5">
        <f>IF(OR(B97="",L97=""),"",IF(TODAY()&lt;L97,"파견예정",IF(AND(M97&lt;&gt;"",TODAY()&gt;M97),"파견종료","파견중")))</f>
        <v/>
      </c>
      <c r="O97" s="9">
        <f>IF(OR(L97="",M97=""),"",M97-L97+1)</f>
        <v/>
      </c>
      <c r="P97" s="9">
        <f>IF(AND(N97="파견중",M97&lt;&gt;""),M97-TODAY(),"")</f>
        <v/>
      </c>
      <c r="Q97" s="6" t="n"/>
    </row>
    <row r="98">
      <c r="A98" s="5">
        <f>IF(B98="","",ROW()-1)</f>
        <v/>
      </c>
      <c r="B98" s="6" t="n"/>
      <c r="C98" s="7" t="n"/>
      <c r="D98" s="8" t="n"/>
      <c r="E98" s="6" t="n"/>
      <c r="F98" s="7" t="n"/>
      <c r="G98" s="7" t="n"/>
      <c r="H98" s="6" t="n"/>
      <c r="I98" s="6" t="n"/>
      <c r="J98" s="6" t="n"/>
      <c r="K98" s="6" t="n"/>
      <c r="L98" s="8" t="n"/>
      <c r="M98" s="8" t="n"/>
      <c r="N98" s="5">
        <f>IF(OR(B98="",L98=""),"",IF(TODAY()&lt;L98,"파견예정",IF(AND(M98&lt;&gt;"",TODAY()&gt;M98),"파견종료","파견중")))</f>
        <v/>
      </c>
      <c r="O98" s="9">
        <f>IF(OR(L98="",M98=""),"",M98-L98+1)</f>
        <v/>
      </c>
      <c r="P98" s="9">
        <f>IF(AND(N98="파견중",M98&lt;&gt;""),M98-TODAY(),"")</f>
        <v/>
      </c>
      <c r="Q98" s="6" t="n"/>
    </row>
    <row r="99">
      <c r="A99" s="5">
        <f>IF(B99="","",ROW()-1)</f>
        <v/>
      </c>
      <c r="B99" s="6" t="n"/>
      <c r="C99" s="7" t="n"/>
      <c r="D99" s="8" t="n"/>
      <c r="E99" s="6" t="n"/>
      <c r="F99" s="7" t="n"/>
      <c r="G99" s="7" t="n"/>
      <c r="H99" s="6" t="n"/>
      <c r="I99" s="6" t="n"/>
      <c r="J99" s="6" t="n"/>
      <c r="K99" s="6" t="n"/>
      <c r="L99" s="8" t="n"/>
      <c r="M99" s="8" t="n"/>
      <c r="N99" s="5">
        <f>IF(OR(B99="",L99=""),"",IF(TODAY()&lt;L99,"파견예정",IF(AND(M99&lt;&gt;"",TODAY()&gt;M99),"파견종료","파견중")))</f>
        <v/>
      </c>
      <c r="O99" s="9">
        <f>IF(OR(L99="",M99=""),"",M99-L99+1)</f>
        <v/>
      </c>
      <c r="P99" s="9">
        <f>IF(AND(N99="파견중",M99&lt;&gt;""),M99-TODAY(),"")</f>
        <v/>
      </c>
      <c r="Q99" s="6" t="n"/>
    </row>
    <row r="100">
      <c r="A100" s="5">
        <f>IF(B100="","",ROW()-1)</f>
        <v/>
      </c>
      <c r="B100" s="6" t="n"/>
      <c r="C100" s="7" t="n"/>
      <c r="D100" s="8" t="n"/>
      <c r="E100" s="6" t="n"/>
      <c r="F100" s="7" t="n"/>
      <c r="G100" s="7" t="n"/>
      <c r="H100" s="6" t="n"/>
      <c r="I100" s="6" t="n"/>
      <c r="J100" s="6" t="n"/>
      <c r="K100" s="6" t="n"/>
      <c r="L100" s="8" t="n"/>
      <c r="M100" s="8" t="n"/>
      <c r="N100" s="5">
        <f>IF(OR(B100="",L100=""),"",IF(TODAY()&lt;L100,"파견예정",IF(AND(M100&lt;&gt;"",TODAY()&gt;M100),"파견종료","파견중")))</f>
        <v/>
      </c>
      <c r="O100" s="9">
        <f>IF(OR(L100="",M100=""),"",M100-L100+1)</f>
        <v/>
      </c>
      <c r="P100" s="9">
        <f>IF(AND(N100="파견중",M100&lt;&gt;""),M100-TODAY(),"")</f>
        <v/>
      </c>
      <c r="Q100" s="6" t="n"/>
    </row>
    <row r="101">
      <c r="A101" s="5">
        <f>IF(B101="","",ROW()-1)</f>
        <v/>
      </c>
      <c r="B101" s="6" t="n"/>
      <c r="C101" s="7" t="n"/>
      <c r="D101" s="8" t="n"/>
      <c r="E101" s="6" t="n"/>
      <c r="F101" s="7" t="n"/>
      <c r="G101" s="7" t="n"/>
      <c r="H101" s="6" t="n"/>
      <c r="I101" s="6" t="n"/>
      <c r="J101" s="6" t="n"/>
      <c r="K101" s="6" t="n"/>
      <c r="L101" s="8" t="n"/>
      <c r="M101" s="8" t="n"/>
      <c r="N101" s="5">
        <f>IF(OR(B101="",L101=""),"",IF(TODAY()&lt;L101,"파견예정",IF(AND(M101&lt;&gt;"",TODAY()&gt;M101),"파견종료","파견중")))</f>
        <v/>
      </c>
      <c r="O101" s="9">
        <f>IF(OR(L101="",M101=""),"",M101-L101+1)</f>
        <v/>
      </c>
      <c r="P101" s="9">
        <f>IF(AND(N101="파견중",M101&lt;&gt;""),M101-TODAY(),"")</f>
        <v/>
      </c>
      <c r="Q101" s="6" t="n"/>
    </row>
    <row r="102">
      <c r="A102" s="5">
        <f>IF(B102="","",ROW()-1)</f>
        <v/>
      </c>
      <c r="B102" s="6" t="n"/>
      <c r="C102" s="7" t="n"/>
      <c r="D102" s="8" t="n"/>
      <c r="E102" s="6" t="n"/>
      <c r="F102" s="7" t="n"/>
      <c r="G102" s="7" t="n"/>
      <c r="H102" s="6" t="n"/>
      <c r="I102" s="6" t="n"/>
      <c r="J102" s="6" t="n"/>
      <c r="K102" s="6" t="n"/>
      <c r="L102" s="8" t="n"/>
      <c r="M102" s="8" t="n"/>
      <c r="N102" s="5">
        <f>IF(OR(B102="",L102=""),"",IF(TODAY()&lt;L102,"파견예정",IF(AND(M102&lt;&gt;"",TODAY()&gt;M102),"파견종료","파견중")))</f>
        <v/>
      </c>
      <c r="O102" s="9">
        <f>IF(OR(L102="",M102=""),"",M102-L102+1)</f>
        <v/>
      </c>
      <c r="P102" s="9">
        <f>IF(AND(N102="파견중",M102&lt;&gt;""),M102-TODAY(),"")</f>
        <v/>
      </c>
      <c r="Q102" s="6" t="n"/>
    </row>
    <row r="103">
      <c r="A103" s="5">
        <f>IF(B103="","",ROW()-1)</f>
        <v/>
      </c>
      <c r="B103" s="6" t="n"/>
      <c r="C103" s="7" t="n"/>
      <c r="D103" s="8" t="n"/>
      <c r="E103" s="6" t="n"/>
      <c r="F103" s="7" t="n"/>
      <c r="G103" s="7" t="n"/>
      <c r="H103" s="6" t="n"/>
      <c r="I103" s="6" t="n"/>
      <c r="J103" s="6" t="n"/>
      <c r="K103" s="6" t="n"/>
      <c r="L103" s="8" t="n"/>
      <c r="M103" s="8" t="n"/>
      <c r="N103" s="5">
        <f>IF(OR(B103="",L103=""),"",IF(TODAY()&lt;L103,"파견예정",IF(AND(M103&lt;&gt;"",TODAY()&gt;M103),"파견종료","파견중")))</f>
        <v/>
      </c>
      <c r="O103" s="9">
        <f>IF(OR(L103="",M103=""),"",M103-L103+1)</f>
        <v/>
      </c>
      <c r="P103" s="9">
        <f>IF(AND(N103="파견중",M103&lt;&gt;""),M103-TODAY(),"")</f>
        <v/>
      </c>
      <c r="Q103" s="6" t="n"/>
    </row>
    <row r="104">
      <c r="A104" s="5">
        <f>IF(B104="","",ROW()-1)</f>
        <v/>
      </c>
      <c r="B104" s="6" t="n"/>
      <c r="C104" s="7" t="n"/>
      <c r="D104" s="8" t="n"/>
      <c r="E104" s="6" t="n"/>
      <c r="F104" s="7" t="n"/>
      <c r="G104" s="7" t="n"/>
      <c r="H104" s="6" t="n"/>
      <c r="I104" s="6" t="n"/>
      <c r="J104" s="6" t="n"/>
      <c r="K104" s="6" t="n"/>
      <c r="L104" s="8" t="n"/>
      <c r="M104" s="8" t="n"/>
      <c r="N104" s="5">
        <f>IF(OR(B104="",L104=""),"",IF(TODAY()&lt;L104,"파견예정",IF(AND(M104&lt;&gt;"",TODAY()&gt;M104),"파견종료","파견중")))</f>
        <v/>
      </c>
      <c r="O104" s="9">
        <f>IF(OR(L104="",M104=""),"",M104-L104+1)</f>
        <v/>
      </c>
      <c r="P104" s="9">
        <f>IF(AND(N104="파견중",M104&lt;&gt;""),M104-TODAY(),"")</f>
        <v/>
      </c>
      <c r="Q104" s="6" t="n"/>
    </row>
    <row r="105">
      <c r="A105" s="5">
        <f>IF(B105="","",ROW()-1)</f>
        <v/>
      </c>
      <c r="B105" s="6" t="n"/>
      <c r="C105" s="7" t="n"/>
      <c r="D105" s="8" t="n"/>
      <c r="E105" s="6" t="n"/>
      <c r="F105" s="7" t="n"/>
      <c r="G105" s="7" t="n"/>
      <c r="H105" s="6" t="n"/>
      <c r="I105" s="6" t="n"/>
      <c r="J105" s="6" t="n"/>
      <c r="K105" s="6" t="n"/>
      <c r="L105" s="8" t="n"/>
      <c r="M105" s="8" t="n"/>
      <c r="N105" s="5">
        <f>IF(OR(B105="",L105=""),"",IF(TODAY()&lt;L105,"파견예정",IF(AND(M105&lt;&gt;"",TODAY()&gt;M105),"파견종료","파견중")))</f>
        <v/>
      </c>
      <c r="O105" s="9">
        <f>IF(OR(L105="",M105=""),"",M105-L105+1)</f>
        <v/>
      </c>
      <c r="P105" s="9">
        <f>IF(AND(N105="파견중",M105&lt;&gt;""),M105-TODAY(),"")</f>
        <v/>
      </c>
      <c r="Q105" s="6" t="n"/>
    </row>
    <row r="106">
      <c r="A106" s="5">
        <f>IF(B106="","",ROW()-1)</f>
        <v/>
      </c>
      <c r="B106" s="6" t="n"/>
      <c r="C106" s="7" t="n"/>
      <c r="D106" s="8" t="n"/>
      <c r="E106" s="6" t="n"/>
      <c r="F106" s="7" t="n"/>
      <c r="G106" s="7" t="n"/>
      <c r="H106" s="6" t="n"/>
      <c r="I106" s="6" t="n"/>
      <c r="J106" s="6" t="n"/>
      <c r="K106" s="6" t="n"/>
      <c r="L106" s="8" t="n"/>
      <c r="M106" s="8" t="n"/>
      <c r="N106" s="5">
        <f>IF(OR(B106="",L106=""),"",IF(TODAY()&lt;L106,"파견예정",IF(AND(M106&lt;&gt;"",TODAY()&gt;M106),"파견종료","파견중")))</f>
        <v/>
      </c>
      <c r="O106" s="9">
        <f>IF(OR(L106="",M106=""),"",M106-L106+1)</f>
        <v/>
      </c>
      <c r="P106" s="9">
        <f>IF(AND(N106="파견중",M106&lt;&gt;""),M106-TODAY(),"")</f>
        <v/>
      </c>
      <c r="Q106" s="6" t="n"/>
    </row>
    <row r="107">
      <c r="A107" s="5">
        <f>IF(B107="","",ROW()-1)</f>
        <v/>
      </c>
      <c r="B107" s="6" t="n"/>
      <c r="C107" s="7" t="n"/>
      <c r="D107" s="8" t="n"/>
      <c r="E107" s="6" t="n"/>
      <c r="F107" s="7" t="n"/>
      <c r="G107" s="7" t="n"/>
      <c r="H107" s="6" t="n"/>
      <c r="I107" s="6" t="n"/>
      <c r="J107" s="6" t="n"/>
      <c r="K107" s="6" t="n"/>
      <c r="L107" s="8" t="n"/>
      <c r="M107" s="8" t="n"/>
      <c r="N107" s="5">
        <f>IF(OR(B107="",L107=""),"",IF(TODAY()&lt;L107,"파견예정",IF(AND(M107&lt;&gt;"",TODAY()&gt;M107),"파견종료","파견중")))</f>
        <v/>
      </c>
      <c r="O107" s="9">
        <f>IF(OR(L107="",M107=""),"",M107-L107+1)</f>
        <v/>
      </c>
      <c r="P107" s="9">
        <f>IF(AND(N107="파견중",M107&lt;&gt;""),M107-TODAY(),"")</f>
        <v/>
      </c>
      <c r="Q107" s="6" t="n"/>
    </row>
    <row r="108">
      <c r="A108" s="5">
        <f>IF(B108="","",ROW()-1)</f>
        <v/>
      </c>
      <c r="B108" s="6" t="n"/>
      <c r="C108" s="7" t="n"/>
      <c r="D108" s="8" t="n"/>
      <c r="E108" s="6" t="n"/>
      <c r="F108" s="7" t="n"/>
      <c r="G108" s="7" t="n"/>
      <c r="H108" s="6" t="n"/>
      <c r="I108" s="6" t="n"/>
      <c r="J108" s="6" t="n"/>
      <c r="K108" s="6" t="n"/>
      <c r="L108" s="8" t="n"/>
      <c r="M108" s="8" t="n"/>
      <c r="N108" s="5">
        <f>IF(OR(B108="",L108=""),"",IF(TODAY()&lt;L108,"파견예정",IF(AND(M108&lt;&gt;"",TODAY()&gt;M108),"파견종료","파견중")))</f>
        <v/>
      </c>
      <c r="O108" s="9">
        <f>IF(OR(L108="",M108=""),"",M108-L108+1)</f>
        <v/>
      </c>
      <c r="P108" s="9">
        <f>IF(AND(N108="파견중",M108&lt;&gt;""),M108-TODAY(),"")</f>
        <v/>
      </c>
      <c r="Q108" s="6" t="n"/>
    </row>
    <row r="109">
      <c r="A109" s="5">
        <f>IF(B109="","",ROW()-1)</f>
        <v/>
      </c>
      <c r="B109" s="6" t="n"/>
      <c r="C109" s="7" t="n"/>
      <c r="D109" s="8" t="n"/>
      <c r="E109" s="6" t="n"/>
      <c r="F109" s="7" t="n"/>
      <c r="G109" s="7" t="n"/>
      <c r="H109" s="6" t="n"/>
      <c r="I109" s="6" t="n"/>
      <c r="J109" s="6" t="n"/>
      <c r="K109" s="6" t="n"/>
      <c r="L109" s="8" t="n"/>
      <c r="M109" s="8" t="n"/>
      <c r="N109" s="5">
        <f>IF(OR(B109="",L109=""),"",IF(TODAY()&lt;L109,"파견예정",IF(AND(M109&lt;&gt;"",TODAY()&gt;M109),"파견종료","파견중")))</f>
        <v/>
      </c>
      <c r="O109" s="9">
        <f>IF(OR(L109="",M109=""),"",M109-L109+1)</f>
        <v/>
      </c>
      <c r="P109" s="9">
        <f>IF(AND(N109="파견중",M109&lt;&gt;""),M109-TODAY(),"")</f>
        <v/>
      </c>
      <c r="Q109" s="6" t="n"/>
    </row>
    <row r="110">
      <c r="A110" s="5">
        <f>IF(B110="","",ROW()-1)</f>
        <v/>
      </c>
      <c r="B110" s="6" t="n"/>
      <c r="C110" s="7" t="n"/>
      <c r="D110" s="8" t="n"/>
      <c r="E110" s="6" t="n"/>
      <c r="F110" s="7" t="n"/>
      <c r="G110" s="7" t="n"/>
      <c r="H110" s="6" t="n"/>
      <c r="I110" s="6" t="n"/>
      <c r="J110" s="6" t="n"/>
      <c r="K110" s="6" t="n"/>
      <c r="L110" s="8" t="n"/>
      <c r="M110" s="8" t="n"/>
      <c r="N110" s="5">
        <f>IF(OR(B110="",L110=""),"",IF(TODAY()&lt;L110,"파견예정",IF(AND(M110&lt;&gt;"",TODAY()&gt;M110),"파견종료","파견중")))</f>
        <v/>
      </c>
      <c r="O110" s="9">
        <f>IF(OR(L110="",M110=""),"",M110-L110+1)</f>
        <v/>
      </c>
      <c r="P110" s="9">
        <f>IF(AND(N110="파견중",M110&lt;&gt;""),M110-TODAY(),"")</f>
        <v/>
      </c>
      <c r="Q110" s="6" t="n"/>
    </row>
    <row r="111">
      <c r="A111" s="5">
        <f>IF(B111="","",ROW()-1)</f>
        <v/>
      </c>
      <c r="B111" s="6" t="n"/>
      <c r="C111" s="7" t="n"/>
      <c r="D111" s="8" t="n"/>
      <c r="E111" s="6" t="n"/>
      <c r="F111" s="7" t="n"/>
      <c r="G111" s="7" t="n"/>
      <c r="H111" s="6" t="n"/>
      <c r="I111" s="6" t="n"/>
      <c r="J111" s="6" t="n"/>
      <c r="K111" s="6" t="n"/>
      <c r="L111" s="8" t="n"/>
      <c r="M111" s="8" t="n"/>
      <c r="N111" s="5">
        <f>IF(OR(B111="",L111=""),"",IF(TODAY()&lt;L111,"파견예정",IF(AND(M111&lt;&gt;"",TODAY()&gt;M111),"파견종료","파견중")))</f>
        <v/>
      </c>
      <c r="O111" s="9">
        <f>IF(OR(L111="",M111=""),"",M111-L111+1)</f>
        <v/>
      </c>
      <c r="P111" s="9">
        <f>IF(AND(N111="파견중",M111&lt;&gt;""),M111-TODAY(),"")</f>
        <v/>
      </c>
      <c r="Q111" s="6" t="n"/>
    </row>
    <row r="112">
      <c r="A112" s="5">
        <f>IF(B112="","",ROW()-1)</f>
        <v/>
      </c>
      <c r="B112" s="6" t="n"/>
      <c r="C112" s="7" t="n"/>
      <c r="D112" s="8" t="n"/>
      <c r="E112" s="6" t="n"/>
      <c r="F112" s="7" t="n"/>
      <c r="G112" s="7" t="n"/>
      <c r="H112" s="6" t="n"/>
      <c r="I112" s="6" t="n"/>
      <c r="J112" s="6" t="n"/>
      <c r="K112" s="6" t="n"/>
      <c r="L112" s="8" t="n"/>
      <c r="M112" s="8" t="n"/>
      <c r="N112" s="5">
        <f>IF(OR(B112="",L112=""),"",IF(TODAY()&lt;L112,"파견예정",IF(AND(M112&lt;&gt;"",TODAY()&gt;M112),"파견종료","파견중")))</f>
        <v/>
      </c>
      <c r="O112" s="9">
        <f>IF(OR(L112="",M112=""),"",M112-L112+1)</f>
        <v/>
      </c>
      <c r="P112" s="9">
        <f>IF(AND(N112="파견중",M112&lt;&gt;""),M112-TODAY(),"")</f>
        <v/>
      </c>
      <c r="Q112" s="6" t="n"/>
    </row>
    <row r="113">
      <c r="A113" s="5">
        <f>IF(B113="","",ROW()-1)</f>
        <v/>
      </c>
      <c r="B113" s="6" t="n"/>
      <c r="C113" s="7" t="n"/>
      <c r="D113" s="8" t="n"/>
      <c r="E113" s="6" t="n"/>
      <c r="F113" s="7" t="n"/>
      <c r="G113" s="7" t="n"/>
      <c r="H113" s="6" t="n"/>
      <c r="I113" s="6" t="n"/>
      <c r="J113" s="6" t="n"/>
      <c r="K113" s="6" t="n"/>
      <c r="L113" s="8" t="n"/>
      <c r="M113" s="8" t="n"/>
      <c r="N113" s="5">
        <f>IF(OR(B113="",L113=""),"",IF(TODAY()&lt;L113,"파견예정",IF(AND(M113&lt;&gt;"",TODAY()&gt;M113),"파견종료","파견중")))</f>
        <v/>
      </c>
      <c r="O113" s="9">
        <f>IF(OR(L113="",M113=""),"",M113-L113+1)</f>
        <v/>
      </c>
      <c r="P113" s="9">
        <f>IF(AND(N113="파견중",M113&lt;&gt;""),M113-TODAY(),"")</f>
        <v/>
      </c>
      <c r="Q113" s="6" t="n"/>
    </row>
    <row r="114">
      <c r="A114" s="5">
        <f>IF(B114="","",ROW()-1)</f>
        <v/>
      </c>
      <c r="B114" s="6" t="n"/>
      <c r="C114" s="7" t="n"/>
      <c r="D114" s="8" t="n"/>
      <c r="E114" s="6" t="n"/>
      <c r="F114" s="7" t="n"/>
      <c r="G114" s="7" t="n"/>
      <c r="H114" s="6" t="n"/>
      <c r="I114" s="6" t="n"/>
      <c r="J114" s="6" t="n"/>
      <c r="K114" s="6" t="n"/>
      <c r="L114" s="8" t="n"/>
      <c r="M114" s="8" t="n"/>
      <c r="N114" s="5">
        <f>IF(OR(B114="",L114=""),"",IF(TODAY()&lt;L114,"파견예정",IF(AND(M114&lt;&gt;"",TODAY()&gt;M114),"파견종료","파견중")))</f>
        <v/>
      </c>
      <c r="O114" s="9">
        <f>IF(OR(L114="",M114=""),"",M114-L114+1)</f>
        <v/>
      </c>
      <c r="P114" s="9">
        <f>IF(AND(N114="파견중",M114&lt;&gt;""),M114-TODAY(),"")</f>
        <v/>
      </c>
      <c r="Q114" s="6" t="n"/>
    </row>
    <row r="115">
      <c r="A115" s="5">
        <f>IF(B115="","",ROW()-1)</f>
        <v/>
      </c>
      <c r="B115" s="6" t="n"/>
      <c r="C115" s="7" t="n"/>
      <c r="D115" s="8" t="n"/>
      <c r="E115" s="6" t="n"/>
      <c r="F115" s="7" t="n"/>
      <c r="G115" s="7" t="n"/>
      <c r="H115" s="6" t="n"/>
      <c r="I115" s="6" t="n"/>
      <c r="J115" s="6" t="n"/>
      <c r="K115" s="6" t="n"/>
      <c r="L115" s="8" t="n"/>
      <c r="M115" s="8" t="n"/>
      <c r="N115" s="5">
        <f>IF(OR(B115="",L115=""),"",IF(TODAY()&lt;L115,"파견예정",IF(AND(M115&lt;&gt;"",TODAY()&gt;M115),"파견종료","파견중")))</f>
        <v/>
      </c>
      <c r="O115" s="9">
        <f>IF(OR(L115="",M115=""),"",M115-L115+1)</f>
        <v/>
      </c>
      <c r="P115" s="9">
        <f>IF(AND(N115="파견중",M115&lt;&gt;""),M115-TODAY(),"")</f>
        <v/>
      </c>
      <c r="Q115" s="6" t="n"/>
    </row>
    <row r="116">
      <c r="A116" s="5">
        <f>IF(B116="","",ROW()-1)</f>
        <v/>
      </c>
      <c r="B116" s="6" t="n"/>
      <c r="C116" s="7" t="n"/>
      <c r="D116" s="8" t="n"/>
      <c r="E116" s="6" t="n"/>
      <c r="F116" s="7" t="n"/>
      <c r="G116" s="7" t="n"/>
      <c r="H116" s="6" t="n"/>
      <c r="I116" s="6" t="n"/>
      <c r="J116" s="6" t="n"/>
      <c r="K116" s="6" t="n"/>
      <c r="L116" s="8" t="n"/>
      <c r="M116" s="8" t="n"/>
      <c r="N116" s="5">
        <f>IF(OR(B116="",L116=""),"",IF(TODAY()&lt;L116,"파견예정",IF(AND(M116&lt;&gt;"",TODAY()&gt;M116),"파견종료","파견중")))</f>
        <v/>
      </c>
      <c r="O116" s="9">
        <f>IF(OR(L116="",M116=""),"",M116-L116+1)</f>
        <v/>
      </c>
      <c r="P116" s="9">
        <f>IF(AND(N116="파견중",M116&lt;&gt;""),M116-TODAY(),"")</f>
        <v/>
      </c>
      <c r="Q116" s="6" t="n"/>
    </row>
    <row r="117">
      <c r="A117" s="5">
        <f>IF(B117="","",ROW()-1)</f>
        <v/>
      </c>
      <c r="B117" s="6" t="n"/>
      <c r="C117" s="7" t="n"/>
      <c r="D117" s="8" t="n"/>
      <c r="E117" s="6" t="n"/>
      <c r="F117" s="7" t="n"/>
      <c r="G117" s="7" t="n"/>
      <c r="H117" s="6" t="n"/>
      <c r="I117" s="6" t="n"/>
      <c r="J117" s="6" t="n"/>
      <c r="K117" s="6" t="n"/>
      <c r="L117" s="8" t="n"/>
      <c r="M117" s="8" t="n"/>
      <c r="N117" s="5">
        <f>IF(OR(B117="",L117=""),"",IF(TODAY()&lt;L117,"파견예정",IF(AND(M117&lt;&gt;"",TODAY()&gt;M117),"파견종료","파견중")))</f>
        <v/>
      </c>
      <c r="O117" s="9">
        <f>IF(OR(L117="",M117=""),"",M117-L117+1)</f>
        <v/>
      </c>
      <c r="P117" s="9">
        <f>IF(AND(N117="파견중",M117&lt;&gt;""),M117-TODAY(),"")</f>
        <v/>
      </c>
      <c r="Q117" s="6" t="n"/>
    </row>
    <row r="118">
      <c r="A118" s="5">
        <f>IF(B118="","",ROW()-1)</f>
        <v/>
      </c>
      <c r="B118" s="6" t="n"/>
      <c r="C118" s="7" t="n"/>
      <c r="D118" s="8" t="n"/>
      <c r="E118" s="6" t="n"/>
      <c r="F118" s="7" t="n"/>
      <c r="G118" s="7" t="n"/>
      <c r="H118" s="6" t="n"/>
      <c r="I118" s="6" t="n"/>
      <c r="J118" s="6" t="n"/>
      <c r="K118" s="6" t="n"/>
      <c r="L118" s="8" t="n"/>
      <c r="M118" s="8" t="n"/>
      <c r="N118" s="5">
        <f>IF(OR(B118="",L118=""),"",IF(TODAY()&lt;L118,"파견예정",IF(AND(M118&lt;&gt;"",TODAY()&gt;M118),"파견종료","파견중")))</f>
        <v/>
      </c>
      <c r="O118" s="9">
        <f>IF(OR(L118="",M118=""),"",M118-L118+1)</f>
        <v/>
      </c>
      <c r="P118" s="9">
        <f>IF(AND(N118="파견중",M118&lt;&gt;""),M118-TODAY(),"")</f>
        <v/>
      </c>
      <c r="Q118" s="6" t="n"/>
    </row>
    <row r="119">
      <c r="A119" s="5">
        <f>IF(B119="","",ROW()-1)</f>
        <v/>
      </c>
      <c r="B119" s="6" t="n"/>
      <c r="C119" s="7" t="n"/>
      <c r="D119" s="8" t="n"/>
      <c r="E119" s="6" t="n"/>
      <c r="F119" s="7" t="n"/>
      <c r="G119" s="7" t="n"/>
      <c r="H119" s="6" t="n"/>
      <c r="I119" s="6" t="n"/>
      <c r="J119" s="6" t="n"/>
      <c r="K119" s="6" t="n"/>
      <c r="L119" s="8" t="n"/>
      <c r="M119" s="8" t="n"/>
      <c r="N119" s="5">
        <f>IF(OR(B119="",L119=""),"",IF(TODAY()&lt;L119,"파견예정",IF(AND(M119&lt;&gt;"",TODAY()&gt;M119),"파견종료","파견중")))</f>
        <v/>
      </c>
      <c r="O119" s="9">
        <f>IF(OR(L119="",M119=""),"",M119-L119+1)</f>
        <v/>
      </c>
      <c r="P119" s="9">
        <f>IF(AND(N119="파견중",M119&lt;&gt;""),M119-TODAY(),"")</f>
        <v/>
      </c>
      <c r="Q119" s="6" t="n"/>
    </row>
    <row r="120">
      <c r="A120" s="5">
        <f>IF(B120="","",ROW()-1)</f>
        <v/>
      </c>
      <c r="B120" s="6" t="n"/>
      <c r="C120" s="7" t="n"/>
      <c r="D120" s="8" t="n"/>
      <c r="E120" s="6" t="n"/>
      <c r="F120" s="7" t="n"/>
      <c r="G120" s="7" t="n"/>
      <c r="H120" s="6" t="n"/>
      <c r="I120" s="6" t="n"/>
      <c r="J120" s="6" t="n"/>
      <c r="K120" s="6" t="n"/>
      <c r="L120" s="8" t="n"/>
      <c r="M120" s="8" t="n"/>
      <c r="N120" s="5">
        <f>IF(OR(B120="",L120=""),"",IF(TODAY()&lt;L120,"파견예정",IF(AND(M120&lt;&gt;"",TODAY()&gt;M120),"파견종료","파견중")))</f>
        <v/>
      </c>
      <c r="O120" s="9">
        <f>IF(OR(L120="",M120=""),"",M120-L120+1)</f>
        <v/>
      </c>
      <c r="P120" s="9">
        <f>IF(AND(N120="파견중",M120&lt;&gt;""),M120-TODAY(),"")</f>
        <v/>
      </c>
      <c r="Q120" s="6" t="n"/>
    </row>
    <row r="121">
      <c r="A121" s="5">
        <f>IF(B121="","",ROW()-1)</f>
        <v/>
      </c>
      <c r="B121" s="6" t="n"/>
      <c r="C121" s="7" t="n"/>
      <c r="D121" s="8" t="n"/>
      <c r="E121" s="6" t="n"/>
      <c r="F121" s="7" t="n"/>
      <c r="G121" s="7" t="n"/>
      <c r="H121" s="6" t="n"/>
      <c r="I121" s="6" t="n"/>
      <c r="J121" s="6" t="n"/>
      <c r="K121" s="6" t="n"/>
      <c r="L121" s="8" t="n"/>
      <c r="M121" s="8" t="n"/>
      <c r="N121" s="5">
        <f>IF(OR(B121="",L121=""),"",IF(TODAY()&lt;L121,"파견예정",IF(AND(M121&lt;&gt;"",TODAY()&gt;M121),"파견종료","파견중")))</f>
        <v/>
      </c>
      <c r="O121" s="9">
        <f>IF(OR(L121="",M121=""),"",M121-L121+1)</f>
        <v/>
      </c>
      <c r="P121" s="9">
        <f>IF(AND(N121="파견중",M121&lt;&gt;""),M121-TODAY(),"")</f>
        <v/>
      </c>
      <c r="Q121" s="6" t="n"/>
    </row>
    <row r="122">
      <c r="A122" s="5">
        <f>IF(B122="","",ROW()-1)</f>
        <v/>
      </c>
      <c r="B122" s="6" t="n"/>
      <c r="C122" s="7" t="n"/>
      <c r="D122" s="8" t="n"/>
      <c r="E122" s="6" t="n"/>
      <c r="F122" s="7" t="n"/>
      <c r="G122" s="7" t="n"/>
      <c r="H122" s="6" t="n"/>
      <c r="I122" s="6" t="n"/>
      <c r="J122" s="6" t="n"/>
      <c r="K122" s="6" t="n"/>
      <c r="L122" s="8" t="n"/>
      <c r="M122" s="8" t="n"/>
      <c r="N122" s="5">
        <f>IF(OR(B122="",L122=""),"",IF(TODAY()&lt;L122,"파견예정",IF(AND(M122&lt;&gt;"",TODAY()&gt;M122),"파견종료","파견중")))</f>
        <v/>
      </c>
      <c r="O122" s="9">
        <f>IF(OR(L122="",M122=""),"",M122-L122+1)</f>
        <v/>
      </c>
      <c r="P122" s="9">
        <f>IF(AND(N122="파견중",M122&lt;&gt;""),M122-TODAY(),"")</f>
        <v/>
      </c>
      <c r="Q122" s="6" t="n"/>
    </row>
    <row r="123">
      <c r="A123" s="5">
        <f>IF(B123="","",ROW()-1)</f>
        <v/>
      </c>
      <c r="B123" s="6" t="n"/>
      <c r="C123" s="7" t="n"/>
      <c r="D123" s="8" t="n"/>
      <c r="E123" s="6" t="n"/>
      <c r="F123" s="7" t="n"/>
      <c r="G123" s="7" t="n"/>
      <c r="H123" s="6" t="n"/>
      <c r="I123" s="6" t="n"/>
      <c r="J123" s="6" t="n"/>
      <c r="K123" s="6" t="n"/>
      <c r="L123" s="8" t="n"/>
      <c r="M123" s="8" t="n"/>
      <c r="N123" s="5">
        <f>IF(OR(B123="",L123=""),"",IF(TODAY()&lt;L123,"파견예정",IF(AND(M123&lt;&gt;"",TODAY()&gt;M123),"파견종료","파견중")))</f>
        <v/>
      </c>
      <c r="O123" s="9">
        <f>IF(OR(L123="",M123=""),"",M123-L123+1)</f>
        <v/>
      </c>
      <c r="P123" s="9">
        <f>IF(AND(N123="파견중",M123&lt;&gt;""),M123-TODAY(),"")</f>
        <v/>
      </c>
      <c r="Q123" s="6" t="n"/>
    </row>
    <row r="124">
      <c r="A124" s="5">
        <f>IF(B124="","",ROW()-1)</f>
        <v/>
      </c>
      <c r="B124" s="6" t="n"/>
      <c r="C124" s="7" t="n"/>
      <c r="D124" s="8" t="n"/>
      <c r="E124" s="6" t="n"/>
      <c r="F124" s="7" t="n"/>
      <c r="G124" s="7" t="n"/>
      <c r="H124" s="6" t="n"/>
      <c r="I124" s="6" t="n"/>
      <c r="J124" s="6" t="n"/>
      <c r="K124" s="6" t="n"/>
      <c r="L124" s="8" t="n"/>
      <c r="M124" s="8" t="n"/>
      <c r="N124" s="5">
        <f>IF(OR(B124="",L124=""),"",IF(TODAY()&lt;L124,"파견예정",IF(AND(M124&lt;&gt;"",TODAY()&gt;M124),"파견종료","파견중")))</f>
        <v/>
      </c>
      <c r="O124" s="9">
        <f>IF(OR(L124="",M124=""),"",M124-L124+1)</f>
        <v/>
      </c>
      <c r="P124" s="9">
        <f>IF(AND(N124="파견중",M124&lt;&gt;""),M124-TODAY(),"")</f>
        <v/>
      </c>
      <c r="Q124" s="6" t="n"/>
    </row>
    <row r="125">
      <c r="A125" s="5">
        <f>IF(B125="","",ROW()-1)</f>
        <v/>
      </c>
      <c r="B125" s="6" t="n"/>
      <c r="C125" s="7" t="n"/>
      <c r="D125" s="8" t="n"/>
      <c r="E125" s="6" t="n"/>
      <c r="F125" s="7" t="n"/>
      <c r="G125" s="7" t="n"/>
      <c r="H125" s="6" t="n"/>
      <c r="I125" s="6" t="n"/>
      <c r="J125" s="6" t="n"/>
      <c r="K125" s="6" t="n"/>
      <c r="L125" s="8" t="n"/>
      <c r="M125" s="8" t="n"/>
      <c r="N125" s="5">
        <f>IF(OR(B125="",L125=""),"",IF(TODAY()&lt;L125,"파견예정",IF(AND(M125&lt;&gt;"",TODAY()&gt;M125),"파견종료","파견중")))</f>
        <v/>
      </c>
      <c r="O125" s="9">
        <f>IF(OR(L125="",M125=""),"",M125-L125+1)</f>
        <v/>
      </c>
      <c r="P125" s="9">
        <f>IF(AND(N125="파견중",M125&lt;&gt;""),M125-TODAY(),"")</f>
        <v/>
      </c>
      <c r="Q125" s="6" t="n"/>
    </row>
    <row r="126">
      <c r="A126" s="5">
        <f>IF(B126="","",ROW()-1)</f>
        <v/>
      </c>
      <c r="B126" s="6" t="n"/>
      <c r="C126" s="7" t="n"/>
      <c r="D126" s="8" t="n"/>
      <c r="E126" s="6" t="n"/>
      <c r="F126" s="7" t="n"/>
      <c r="G126" s="7" t="n"/>
      <c r="H126" s="6" t="n"/>
      <c r="I126" s="6" t="n"/>
      <c r="J126" s="6" t="n"/>
      <c r="K126" s="6" t="n"/>
      <c r="L126" s="8" t="n"/>
      <c r="M126" s="8" t="n"/>
      <c r="N126" s="5">
        <f>IF(OR(B126="",L126=""),"",IF(TODAY()&lt;L126,"파견예정",IF(AND(M126&lt;&gt;"",TODAY()&gt;M126),"파견종료","파견중")))</f>
        <v/>
      </c>
      <c r="O126" s="9">
        <f>IF(OR(L126="",M126=""),"",M126-L126+1)</f>
        <v/>
      </c>
      <c r="P126" s="9">
        <f>IF(AND(N126="파견중",M126&lt;&gt;""),M126-TODAY(),"")</f>
        <v/>
      </c>
      <c r="Q126" s="6" t="n"/>
    </row>
    <row r="127">
      <c r="A127" s="5">
        <f>IF(B127="","",ROW()-1)</f>
        <v/>
      </c>
      <c r="B127" s="6" t="n"/>
      <c r="C127" s="7" t="n"/>
      <c r="D127" s="8" t="n"/>
      <c r="E127" s="6" t="n"/>
      <c r="F127" s="7" t="n"/>
      <c r="G127" s="7" t="n"/>
      <c r="H127" s="6" t="n"/>
      <c r="I127" s="6" t="n"/>
      <c r="J127" s="6" t="n"/>
      <c r="K127" s="6" t="n"/>
      <c r="L127" s="8" t="n"/>
      <c r="M127" s="8" t="n"/>
      <c r="N127" s="5">
        <f>IF(OR(B127="",L127=""),"",IF(TODAY()&lt;L127,"파견예정",IF(AND(M127&lt;&gt;"",TODAY()&gt;M127),"파견종료","파견중")))</f>
        <v/>
      </c>
      <c r="O127" s="9">
        <f>IF(OR(L127="",M127=""),"",M127-L127+1)</f>
        <v/>
      </c>
      <c r="P127" s="9">
        <f>IF(AND(N127="파견중",M127&lt;&gt;""),M127-TODAY(),"")</f>
        <v/>
      </c>
      <c r="Q127" s="6" t="n"/>
    </row>
    <row r="128">
      <c r="A128" s="5">
        <f>IF(B128="","",ROW()-1)</f>
        <v/>
      </c>
      <c r="B128" s="6" t="n"/>
      <c r="C128" s="7" t="n"/>
      <c r="D128" s="8" t="n"/>
      <c r="E128" s="6" t="n"/>
      <c r="F128" s="7" t="n"/>
      <c r="G128" s="7" t="n"/>
      <c r="H128" s="6" t="n"/>
      <c r="I128" s="6" t="n"/>
      <c r="J128" s="6" t="n"/>
      <c r="K128" s="6" t="n"/>
      <c r="L128" s="8" t="n"/>
      <c r="M128" s="8" t="n"/>
      <c r="N128" s="5">
        <f>IF(OR(B128="",L128=""),"",IF(TODAY()&lt;L128,"파견예정",IF(AND(M128&lt;&gt;"",TODAY()&gt;M128),"파견종료","파견중")))</f>
        <v/>
      </c>
      <c r="O128" s="9">
        <f>IF(OR(L128="",M128=""),"",M128-L128+1)</f>
        <v/>
      </c>
      <c r="P128" s="9">
        <f>IF(AND(N128="파견중",M128&lt;&gt;""),M128-TODAY(),"")</f>
        <v/>
      </c>
      <c r="Q128" s="6" t="n"/>
    </row>
    <row r="129">
      <c r="A129" s="5">
        <f>IF(B129="","",ROW()-1)</f>
        <v/>
      </c>
      <c r="B129" s="6" t="n"/>
      <c r="C129" s="7" t="n"/>
      <c r="D129" s="8" t="n"/>
      <c r="E129" s="6" t="n"/>
      <c r="F129" s="7" t="n"/>
      <c r="G129" s="7" t="n"/>
      <c r="H129" s="6" t="n"/>
      <c r="I129" s="6" t="n"/>
      <c r="J129" s="6" t="n"/>
      <c r="K129" s="6" t="n"/>
      <c r="L129" s="8" t="n"/>
      <c r="M129" s="8" t="n"/>
      <c r="N129" s="5">
        <f>IF(OR(B129="",L129=""),"",IF(TODAY()&lt;L129,"파견예정",IF(AND(M129&lt;&gt;"",TODAY()&gt;M129),"파견종료","파견중")))</f>
        <v/>
      </c>
      <c r="O129" s="9">
        <f>IF(OR(L129="",M129=""),"",M129-L129+1)</f>
        <v/>
      </c>
      <c r="P129" s="9">
        <f>IF(AND(N129="파견중",M129&lt;&gt;""),M129-TODAY(),"")</f>
        <v/>
      </c>
      <c r="Q129" s="6" t="n"/>
    </row>
    <row r="130">
      <c r="A130" s="5">
        <f>IF(B130="","",ROW()-1)</f>
        <v/>
      </c>
      <c r="B130" s="6" t="n"/>
      <c r="C130" s="7" t="n"/>
      <c r="D130" s="8" t="n"/>
      <c r="E130" s="6" t="n"/>
      <c r="F130" s="7" t="n"/>
      <c r="G130" s="7" t="n"/>
      <c r="H130" s="6" t="n"/>
      <c r="I130" s="6" t="n"/>
      <c r="J130" s="6" t="n"/>
      <c r="K130" s="6" t="n"/>
      <c r="L130" s="8" t="n"/>
      <c r="M130" s="8" t="n"/>
      <c r="N130" s="5">
        <f>IF(OR(B130="",L130=""),"",IF(TODAY()&lt;L130,"파견예정",IF(AND(M130&lt;&gt;"",TODAY()&gt;M130),"파견종료","파견중")))</f>
        <v/>
      </c>
      <c r="O130" s="9">
        <f>IF(OR(L130="",M130=""),"",M130-L130+1)</f>
        <v/>
      </c>
      <c r="P130" s="9">
        <f>IF(AND(N130="파견중",M130&lt;&gt;""),M130-TODAY(),"")</f>
        <v/>
      </c>
      <c r="Q130" s="6" t="n"/>
    </row>
    <row r="131">
      <c r="A131" s="5">
        <f>IF(B131="","",ROW()-1)</f>
        <v/>
      </c>
      <c r="B131" s="6" t="n"/>
      <c r="C131" s="7" t="n"/>
      <c r="D131" s="8" t="n"/>
      <c r="E131" s="6" t="n"/>
      <c r="F131" s="7" t="n"/>
      <c r="G131" s="7" t="n"/>
      <c r="H131" s="6" t="n"/>
      <c r="I131" s="6" t="n"/>
      <c r="J131" s="6" t="n"/>
      <c r="K131" s="6" t="n"/>
      <c r="L131" s="8" t="n"/>
      <c r="M131" s="8" t="n"/>
      <c r="N131" s="5">
        <f>IF(OR(B131="",L131=""),"",IF(TODAY()&lt;L131,"파견예정",IF(AND(M131&lt;&gt;"",TODAY()&gt;M131),"파견종료","파견중")))</f>
        <v/>
      </c>
      <c r="O131" s="9">
        <f>IF(OR(L131="",M131=""),"",M131-L131+1)</f>
        <v/>
      </c>
      <c r="P131" s="9">
        <f>IF(AND(N131="파견중",M131&lt;&gt;""),M131-TODAY(),"")</f>
        <v/>
      </c>
      <c r="Q131" s="6" t="n"/>
    </row>
    <row r="132">
      <c r="A132" s="5">
        <f>IF(B132="","",ROW()-1)</f>
        <v/>
      </c>
      <c r="B132" s="6" t="n"/>
      <c r="C132" s="7" t="n"/>
      <c r="D132" s="8" t="n"/>
      <c r="E132" s="6" t="n"/>
      <c r="F132" s="7" t="n"/>
      <c r="G132" s="7" t="n"/>
      <c r="H132" s="6" t="n"/>
      <c r="I132" s="6" t="n"/>
      <c r="J132" s="6" t="n"/>
      <c r="K132" s="6" t="n"/>
      <c r="L132" s="8" t="n"/>
      <c r="M132" s="8" t="n"/>
      <c r="N132" s="5">
        <f>IF(OR(B132="",L132=""),"",IF(TODAY()&lt;L132,"파견예정",IF(AND(M132&lt;&gt;"",TODAY()&gt;M132),"파견종료","파견중")))</f>
        <v/>
      </c>
      <c r="O132" s="9">
        <f>IF(OR(L132="",M132=""),"",M132-L132+1)</f>
        <v/>
      </c>
      <c r="P132" s="9">
        <f>IF(AND(N132="파견중",M132&lt;&gt;""),M132-TODAY(),"")</f>
        <v/>
      </c>
      <c r="Q132" s="6" t="n"/>
    </row>
    <row r="133">
      <c r="A133" s="5">
        <f>IF(B133="","",ROW()-1)</f>
        <v/>
      </c>
      <c r="B133" s="6" t="n"/>
      <c r="C133" s="7" t="n"/>
      <c r="D133" s="8" t="n"/>
      <c r="E133" s="6" t="n"/>
      <c r="F133" s="7" t="n"/>
      <c r="G133" s="7" t="n"/>
      <c r="H133" s="6" t="n"/>
      <c r="I133" s="6" t="n"/>
      <c r="J133" s="6" t="n"/>
      <c r="K133" s="6" t="n"/>
      <c r="L133" s="8" t="n"/>
      <c r="M133" s="8" t="n"/>
      <c r="N133" s="5">
        <f>IF(OR(B133="",L133=""),"",IF(TODAY()&lt;L133,"파견예정",IF(AND(M133&lt;&gt;"",TODAY()&gt;M133),"파견종료","파견중")))</f>
        <v/>
      </c>
      <c r="O133" s="9">
        <f>IF(OR(L133="",M133=""),"",M133-L133+1)</f>
        <v/>
      </c>
      <c r="P133" s="9">
        <f>IF(AND(N133="파견중",M133&lt;&gt;""),M133-TODAY(),"")</f>
        <v/>
      </c>
      <c r="Q133" s="6" t="n"/>
    </row>
    <row r="134">
      <c r="A134" s="5">
        <f>IF(B134="","",ROW()-1)</f>
        <v/>
      </c>
      <c r="B134" s="6" t="n"/>
      <c r="C134" s="7" t="n"/>
      <c r="D134" s="8" t="n"/>
      <c r="E134" s="6" t="n"/>
      <c r="F134" s="7" t="n"/>
      <c r="G134" s="7" t="n"/>
      <c r="H134" s="6" t="n"/>
      <c r="I134" s="6" t="n"/>
      <c r="J134" s="6" t="n"/>
      <c r="K134" s="6" t="n"/>
      <c r="L134" s="8" t="n"/>
      <c r="M134" s="8" t="n"/>
      <c r="N134" s="5">
        <f>IF(OR(B134="",L134=""),"",IF(TODAY()&lt;L134,"파견예정",IF(AND(M134&lt;&gt;"",TODAY()&gt;M134),"파견종료","파견중")))</f>
        <v/>
      </c>
      <c r="O134" s="9">
        <f>IF(OR(L134="",M134=""),"",M134-L134+1)</f>
        <v/>
      </c>
      <c r="P134" s="9">
        <f>IF(AND(N134="파견중",M134&lt;&gt;""),M134-TODAY(),"")</f>
        <v/>
      </c>
      <c r="Q134" s="6" t="n"/>
    </row>
    <row r="135">
      <c r="A135" s="5">
        <f>IF(B135="","",ROW()-1)</f>
        <v/>
      </c>
      <c r="B135" s="6" t="n"/>
      <c r="C135" s="7" t="n"/>
      <c r="D135" s="8" t="n"/>
      <c r="E135" s="6" t="n"/>
      <c r="F135" s="7" t="n"/>
      <c r="G135" s="7" t="n"/>
      <c r="H135" s="6" t="n"/>
      <c r="I135" s="6" t="n"/>
      <c r="J135" s="6" t="n"/>
      <c r="K135" s="6" t="n"/>
      <c r="L135" s="8" t="n"/>
      <c r="M135" s="8" t="n"/>
      <c r="N135" s="5">
        <f>IF(OR(B135="",L135=""),"",IF(TODAY()&lt;L135,"파견예정",IF(AND(M135&lt;&gt;"",TODAY()&gt;M135),"파견종료","파견중")))</f>
        <v/>
      </c>
      <c r="O135" s="9">
        <f>IF(OR(L135="",M135=""),"",M135-L135+1)</f>
        <v/>
      </c>
      <c r="P135" s="9">
        <f>IF(AND(N135="파견중",M135&lt;&gt;""),M135-TODAY(),"")</f>
        <v/>
      </c>
      <c r="Q135" s="6" t="n"/>
    </row>
    <row r="136">
      <c r="A136" s="5">
        <f>IF(B136="","",ROW()-1)</f>
        <v/>
      </c>
      <c r="B136" s="6" t="n"/>
      <c r="C136" s="7" t="n"/>
      <c r="D136" s="8" t="n"/>
      <c r="E136" s="6" t="n"/>
      <c r="F136" s="7" t="n"/>
      <c r="G136" s="7" t="n"/>
      <c r="H136" s="6" t="n"/>
      <c r="I136" s="6" t="n"/>
      <c r="J136" s="6" t="n"/>
      <c r="K136" s="6" t="n"/>
      <c r="L136" s="8" t="n"/>
      <c r="M136" s="8" t="n"/>
      <c r="N136" s="5">
        <f>IF(OR(B136="",L136=""),"",IF(TODAY()&lt;L136,"파견예정",IF(AND(M136&lt;&gt;"",TODAY()&gt;M136),"파견종료","파견중")))</f>
        <v/>
      </c>
      <c r="O136" s="9">
        <f>IF(OR(L136="",M136=""),"",M136-L136+1)</f>
        <v/>
      </c>
      <c r="P136" s="9">
        <f>IF(AND(N136="파견중",M136&lt;&gt;""),M136-TODAY(),"")</f>
        <v/>
      </c>
      <c r="Q136" s="6" t="n"/>
    </row>
    <row r="137">
      <c r="A137" s="5">
        <f>IF(B137="","",ROW()-1)</f>
        <v/>
      </c>
      <c r="B137" s="6" t="n"/>
      <c r="C137" s="7" t="n"/>
      <c r="D137" s="8" t="n"/>
      <c r="E137" s="6" t="n"/>
      <c r="F137" s="7" t="n"/>
      <c r="G137" s="7" t="n"/>
      <c r="H137" s="6" t="n"/>
      <c r="I137" s="6" t="n"/>
      <c r="J137" s="6" t="n"/>
      <c r="K137" s="6" t="n"/>
      <c r="L137" s="8" t="n"/>
      <c r="M137" s="8" t="n"/>
      <c r="N137" s="5">
        <f>IF(OR(B137="",L137=""),"",IF(TODAY()&lt;L137,"파견예정",IF(AND(M137&lt;&gt;"",TODAY()&gt;M137),"파견종료","파견중")))</f>
        <v/>
      </c>
      <c r="O137" s="9">
        <f>IF(OR(L137="",M137=""),"",M137-L137+1)</f>
        <v/>
      </c>
      <c r="P137" s="9">
        <f>IF(AND(N137="파견중",M137&lt;&gt;""),M137-TODAY(),"")</f>
        <v/>
      </c>
      <c r="Q137" s="6" t="n"/>
    </row>
    <row r="138">
      <c r="A138" s="5">
        <f>IF(B138="","",ROW()-1)</f>
        <v/>
      </c>
      <c r="B138" s="6" t="n"/>
      <c r="C138" s="7" t="n"/>
      <c r="D138" s="8" t="n"/>
      <c r="E138" s="6" t="n"/>
      <c r="F138" s="7" t="n"/>
      <c r="G138" s="7" t="n"/>
      <c r="H138" s="6" t="n"/>
      <c r="I138" s="6" t="n"/>
      <c r="J138" s="6" t="n"/>
      <c r="K138" s="6" t="n"/>
      <c r="L138" s="8" t="n"/>
      <c r="M138" s="8" t="n"/>
      <c r="N138" s="5">
        <f>IF(OR(B138="",L138=""),"",IF(TODAY()&lt;L138,"파견예정",IF(AND(M138&lt;&gt;"",TODAY()&gt;M138),"파견종료","파견중")))</f>
        <v/>
      </c>
      <c r="O138" s="9">
        <f>IF(OR(L138="",M138=""),"",M138-L138+1)</f>
        <v/>
      </c>
      <c r="P138" s="9">
        <f>IF(AND(N138="파견중",M138&lt;&gt;""),M138-TODAY(),"")</f>
        <v/>
      </c>
      <c r="Q138" s="6" t="n"/>
    </row>
    <row r="139">
      <c r="A139" s="5">
        <f>IF(B139="","",ROW()-1)</f>
        <v/>
      </c>
      <c r="B139" s="6" t="n"/>
      <c r="C139" s="7" t="n"/>
      <c r="D139" s="8" t="n"/>
      <c r="E139" s="6" t="n"/>
      <c r="F139" s="7" t="n"/>
      <c r="G139" s="7" t="n"/>
      <c r="H139" s="6" t="n"/>
      <c r="I139" s="6" t="n"/>
      <c r="J139" s="6" t="n"/>
      <c r="K139" s="6" t="n"/>
      <c r="L139" s="8" t="n"/>
      <c r="M139" s="8" t="n"/>
      <c r="N139" s="5">
        <f>IF(OR(B139="",L139=""),"",IF(TODAY()&lt;L139,"파견예정",IF(AND(M139&lt;&gt;"",TODAY()&gt;M139),"파견종료","파견중")))</f>
        <v/>
      </c>
      <c r="O139" s="9">
        <f>IF(OR(L139="",M139=""),"",M139-L139+1)</f>
        <v/>
      </c>
      <c r="P139" s="9">
        <f>IF(AND(N139="파견중",M139&lt;&gt;""),M139-TODAY(),"")</f>
        <v/>
      </c>
      <c r="Q139" s="6" t="n"/>
    </row>
    <row r="140">
      <c r="A140" s="5">
        <f>IF(B140="","",ROW()-1)</f>
        <v/>
      </c>
      <c r="B140" s="6" t="n"/>
      <c r="C140" s="7" t="n"/>
      <c r="D140" s="8" t="n"/>
      <c r="E140" s="6" t="n"/>
      <c r="F140" s="7" t="n"/>
      <c r="G140" s="7" t="n"/>
      <c r="H140" s="6" t="n"/>
      <c r="I140" s="6" t="n"/>
      <c r="J140" s="6" t="n"/>
      <c r="K140" s="6" t="n"/>
      <c r="L140" s="8" t="n"/>
      <c r="M140" s="8" t="n"/>
      <c r="N140" s="5">
        <f>IF(OR(B140="",L140=""),"",IF(TODAY()&lt;L140,"파견예정",IF(AND(M140&lt;&gt;"",TODAY()&gt;M140),"파견종료","파견중")))</f>
        <v/>
      </c>
      <c r="O140" s="9">
        <f>IF(OR(L140="",M140=""),"",M140-L140+1)</f>
        <v/>
      </c>
      <c r="P140" s="9">
        <f>IF(AND(N140="파견중",M140&lt;&gt;""),M140-TODAY(),"")</f>
        <v/>
      </c>
      <c r="Q140" s="6" t="n"/>
    </row>
    <row r="141">
      <c r="A141" s="5">
        <f>IF(B141="","",ROW()-1)</f>
        <v/>
      </c>
      <c r="B141" s="6" t="n"/>
      <c r="C141" s="7" t="n"/>
      <c r="D141" s="8" t="n"/>
      <c r="E141" s="6" t="n"/>
      <c r="F141" s="7" t="n"/>
      <c r="G141" s="7" t="n"/>
      <c r="H141" s="6" t="n"/>
      <c r="I141" s="6" t="n"/>
      <c r="J141" s="6" t="n"/>
      <c r="K141" s="6" t="n"/>
      <c r="L141" s="8" t="n"/>
      <c r="M141" s="8" t="n"/>
      <c r="N141" s="5">
        <f>IF(OR(B141="",L141=""),"",IF(TODAY()&lt;L141,"파견예정",IF(AND(M141&lt;&gt;"",TODAY()&gt;M141),"파견종료","파견중")))</f>
        <v/>
      </c>
      <c r="O141" s="9">
        <f>IF(OR(L141="",M141=""),"",M141-L141+1)</f>
        <v/>
      </c>
      <c r="P141" s="9">
        <f>IF(AND(N141="파견중",M141&lt;&gt;""),M141-TODAY(),"")</f>
        <v/>
      </c>
      <c r="Q141" s="6" t="n"/>
    </row>
    <row r="142">
      <c r="A142" s="5">
        <f>IF(B142="","",ROW()-1)</f>
        <v/>
      </c>
      <c r="B142" s="6" t="n"/>
      <c r="C142" s="7" t="n"/>
      <c r="D142" s="8" t="n"/>
      <c r="E142" s="6" t="n"/>
      <c r="F142" s="7" t="n"/>
      <c r="G142" s="7" t="n"/>
      <c r="H142" s="6" t="n"/>
      <c r="I142" s="6" t="n"/>
      <c r="J142" s="6" t="n"/>
      <c r="K142" s="6" t="n"/>
      <c r="L142" s="8" t="n"/>
      <c r="M142" s="8" t="n"/>
      <c r="N142" s="5">
        <f>IF(OR(B142="",L142=""),"",IF(TODAY()&lt;L142,"파견예정",IF(AND(M142&lt;&gt;"",TODAY()&gt;M142),"파견종료","파견중")))</f>
        <v/>
      </c>
      <c r="O142" s="9">
        <f>IF(OR(L142="",M142=""),"",M142-L142+1)</f>
        <v/>
      </c>
      <c r="P142" s="9">
        <f>IF(AND(N142="파견중",M142&lt;&gt;""),M142-TODAY(),"")</f>
        <v/>
      </c>
      <c r="Q142" s="6" t="n"/>
    </row>
    <row r="143">
      <c r="A143" s="5">
        <f>IF(B143="","",ROW()-1)</f>
        <v/>
      </c>
      <c r="B143" s="6" t="n"/>
      <c r="C143" s="7" t="n"/>
      <c r="D143" s="8" t="n"/>
      <c r="E143" s="6" t="n"/>
      <c r="F143" s="7" t="n"/>
      <c r="G143" s="7" t="n"/>
      <c r="H143" s="6" t="n"/>
      <c r="I143" s="6" t="n"/>
      <c r="J143" s="6" t="n"/>
      <c r="K143" s="6" t="n"/>
      <c r="L143" s="8" t="n"/>
      <c r="M143" s="8" t="n"/>
      <c r="N143" s="5">
        <f>IF(OR(B143="",L143=""),"",IF(TODAY()&lt;L143,"파견예정",IF(AND(M143&lt;&gt;"",TODAY()&gt;M143),"파견종료","파견중")))</f>
        <v/>
      </c>
      <c r="O143" s="9">
        <f>IF(OR(L143="",M143=""),"",M143-L143+1)</f>
        <v/>
      </c>
      <c r="P143" s="9">
        <f>IF(AND(N143="파견중",M143&lt;&gt;""),M143-TODAY(),"")</f>
        <v/>
      </c>
      <c r="Q143" s="6" t="n"/>
    </row>
    <row r="144">
      <c r="A144" s="5">
        <f>IF(B144="","",ROW()-1)</f>
        <v/>
      </c>
      <c r="B144" s="6" t="n"/>
      <c r="C144" s="7" t="n"/>
      <c r="D144" s="8" t="n"/>
      <c r="E144" s="6" t="n"/>
      <c r="F144" s="7" t="n"/>
      <c r="G144" s="7" t="n"/>
      <c r="H144" s="6" t="n"/>
      <c r="I144" s="6" t="n"/>
      <c r="J144" s="6" t="n"/>
      <c r="K144" s="6" t="n"/>
      <c r="L144" s="8" t="n"/>
      <c r="M144" s="8" t="n"/>
      <c r="N144" s="5">
        <f>IF(OR(B144="",L144=""),"",IF(TODAY()&lt;L144,"파견예정",IF(AND(M144&lt;&gt;"",TODAY()&gt;M144),"파견종료","파견중")))</f>
        <v/>
      </c>
      <c r="O144" s="9">
        <f>IF(OR(L144="",M144=""),"",M144-L144+1)</f>
        <v/>
      </c>
      <c r="P144" s="9">
        <f>IF(AND(N144="파견중",M144&lt;&gt;""),M144-TODAY(),"")</f>
        <v/>
      </c>
      <c r="Q144" s="6" t="n"/>
    </row>
    <row r="145">
      <c r="A145" s="5">
        <f>IF(B145="","",ROW()-1)</f>
        <v/>
      </c>
      <c r="B145" s="6" t="n"/>
      <c r="C145" s="7" t="n"/>
      <c r="D145" s="8" t="n"/>
      <c r="E145" s="6" t="n"/>
      <c r="F145" s="7" t="n"/>
      <c r="G145" s="7" t="n"/>
      <c r="H145" s="6" t="n"/>
      <c r="I145" s="6" t="n"/>
      <c r="J145" s="6" t="n"/>
      <c r="K145" s="6" t="n"/>
      <c r="L145" s="8" t="n"/>
      <c r="M145" s="8" t="n"/>
      <c r="N145" s="5">
        <f>IF(OR(B145="",L145=""),"",IF(TODAY()&lt;L145,"파견예정",IF(AND(M145&lt;&gt;"",TODAY()&gt;M145),"파견종료","파견중")))</f>
        <v/>
      </c>
      <c r="O145" s="9">
        <f>IF(OR(L145="",M145=""),"",M145-L145+1)</f>
        <v/>
      </c>
      <c r="P145" s="9">
        <f>IF(AND(N145="파견중",M145&lt;&gt;""),M145-TODAY(),"")</f>
        <v/>
      </c>
      <c r="Q145" s="6" t="n"/>
    </row>
    <row r="146">
      <c r="A146" s="5">
        <f>IF(B146="","",ROW()-1)</f>
        <v/>
      </c>
      <c r="B146" s="6" t="n"/>
      <c r="C146" s="7" t="n"/>
      <c r="D146" s="8" t="n"/>
      <c r="E146" s="6" t="n"/>
      <c r="F146" s="7" t="n"/>
      <c r="G146" s="7" t="n"/>
      <c r="H146" s="6" t="n"/>
      <c r="I146" s="6" t="n"/>
      <c r="J146" s="6" t="n"/>
      <c r="K146" s="6" t="n"/>
      <c r="L146" s="8" t="n"/>
      <c r="M146" s="8" t="n"/>
      <c r="N146" s="5">
        <f>IF(OR(B146="",L146=""),"",IF(TODAY()&lt;L146,"파견예정",IF(AND(M146&lt;&gt;"",TODAY()&gt;M146),"파견종료","파견중")))</f>
        <v/>
      </c>
      <c r="O146" s="9">
        <f>IF(OR(L146="",M146=""),"",M146-L146+1)</f>
        <v/>
      </c>
      <c r="P146" s="9">
        <f>IF(AND(N146="파견중",M146&lt;&gt;""),M146-TODAY(),"")</f>
        <v/>
      </c>
      <c r="Q146" s="6" t="n"/>
    </row>
    <row r="147">
      <c r="A147" s="5">
        <f>IF(B147="","",ROW()-1)</f>
        <v/>
      </c>
      <c r="B147" s="6" t="n"/>
      <c r="C147" s="7" t="n"/>
      <c r="D147" s="8" t="n"/>
      <c r="E147" s="6" t="n"/>
      <c r="F147" s="7" t="n"/>
      <c r="G147" s="7" t="n"/>
      <c r="H147" s="6" t="n"/>
      <c r="I147" s="6" t="n"/>
      <c r="J147" s="6" t="n"/>
      <c r="K147" s="6" t="n"/>
      <c r="L147" s="8" t="n"/>
      <c r="M147" s="8" t="n"/>
      <c r="N147" s="5">
        <f>IF(OR(B147="",L147=""),"",IF(TODAY()&lt;L147,"파견예정",IF(AND(M147&lt;&gt;"",TODAY()&gt;M147),"파견종료","파견중")))</f>
        <v/>
      </c>
      <c r="O147" s="9">
        <f>IF(OR(L147="",M147=""),"",M147-L147+1)</f>
        <v/>
      </c>
      <c r="P147" s="9">
        <f>IF(AND(N147="파견중",M147&lt;&gt;""),M147-TODAY(),"")</f>
        <v/>
      </c>
      <c r="Q147" s="6" t="n"/>
    </row>
    <row r="148">
      <c r="A148" s="5">
        <f>IF(B148="","",ROW()-1)</f>
        <v/>
      </c>
      <c r="B148" s="6" t="n"/>
      <c r="C148" s="7" t="n"/>
      <c r="D148" s="8" t="n"/>
      <c r="E148" s="6" t="n"/>
      <c r="F148" s="7" t="n"/>
      <c r="G148" s="7" t="n"/>
      <c r="H148" s="6" t="n"/>
      <c r="I148" s="6" t="n"/>
      <c r="J148" s="6" t="n"/>
      <c r="K148" s="6" t="n"/>
      <c r="L148" s="8" t="n"/>
      <c r="M148" s="8" t="n"/>
      <c r="N148" s="5">
        <f>IF(OR(B148="",L148=""),"",IF(TODAY()&lt;L148,"파견예정",IF(AND(M148&lt;&gt;"",TODAY()&gt;M148),"파견종료","파견중")))</f>
        <v/>
      </c>
      <c r="O148" s="9">
        <f>IF(OR(L148="",M148=""),"",M148-L148+1)</f>
        <v/>
      </c>
      <c r="P148" s="9">
        <f>IF(AND(N148="파견중",M148&lt;&gt;""),M148-TODAY(),"")</f>
        <v/>
      </c>
      <c r="Q148" s="6" t="n"/>
    </row>
    <row r="149">
      <c r="A149" s="5">
        <f>IF(B149="","",ROW()-1)</f>
        <v/>
      </c>
      <c r="B149" s="6" t="n"/>
      <c r="C149" s="7" t="n"/>
      <c r="D149" s="8" t="n"/>
      <c r="E149" s="6" t="n"/>
      <c r="F149" s="7" t="n"/>
      <c r="G149" s="7" t="n"/>
      <c r="H149" s="6" t="n"/>
      <c r="I149" s="6" t="n"/>
      <c r="J149" s="6" t="n"/>
      <c r="K149" s="6" t="n"/>
      <c r="L149" s="8" t="n"/>
      <c r="M149" s="8" t="n"/>
      <c r="N149" s="5">
        <f>IF(OR(B149="",L149=""),"",IF(TODAY()&lt;L149,"파견예정",IF(AND(M149&lt;&gt;"",TODAY()&gt;M149),"파견종료","파견중")))</f>
        <v/>
      </c>
      <c r="O149" s="9">
        <f>IF(OR(L149="",M149=""),"",M149-L149+1)</f>
        <v/>
      </c>
      <c r="P149" s="9">
        <f>IF(AND(N149="파견중",M149&lt;&gt;""),M149-TODAY(),"")</f>
        <v/>
      </c>
      <c r="Q149" s="6" t="n"/>
    </row>
    <row r="150">
      <c r="A150" s="5">
        <f>IF(B150="","",ROW()-1)</f>
        <v/>
      </c>
      <c r="B150" s="6" t="n"/>
      <c r="C150" s="7" t="n"/>
      <c r="D150" s="8" t="n"/>
      <c r="E150" s="6" t="n"/>
      <c r="F150" s="7" t="n"/>
      <c r="G150" s="7" t="n"/>
      <c r="H150" s="6" t="n"/>
      <c r="I150" s="6" t="n"/>
      <c r="J150" s="6" t="n"/>
      <c r="K150" s="6" t="n"/>
      <c r="L150" s="8" t="n"/>
      <c r="M150" s="8" t="n"/>
      <c r="N150" s="5">
        <f>IF(OR(B150="",L150=""),"",IF(TODAY()&lt;L150,"파견예정",IF(AND(M150&lt;&gt;"",TODAY()&gt;M150),"파견종료","파견중")))</f>
        <v/>
      </c>
      <c r="O150" s="9">
        <f>IF(OR(L150="",M150=""),"",M150-L150+1)</f>
        <v/>
      </c>
      <c r="P150" s="9">
        <f>IF(AND(N150="파견중",M150&lt;&gt;""),M150-TODAY(),"")</f>
        <v/>
      </c>
      <c r="Q150" s="6" t="n"/>
    </row>
    <row r="151">
      <c r="A151" s="5">
        <f>IF(B151="","",ROW()-1)</f>
        <v/>
      </c>
      <c r="B151" s="6" t="n"/>
      <c r="C151" s="7" t="n"/>
      <c r="D151" s="8" t="n"/>
      <c r="E151" s="6" t="n"/>
      <c r="F151" s="7" t="n"/>
      <c r="G151" s="7" t="n"/>
      <c r="H151" s="6" t="n"/>
      <c r="I151" s="6" t="n"/>
      <c r="J151" s="6" t="n"/>
      <c r="K151" s="6" t="n"/>
      <c r="L151" s="8" t="n"/>
      <c r="M151" s="8" t="n"/>
      <c r="N151" s="5">
        <f>IF(OR(B151="",L151=""),"",IF(TODAY()&lt;L151,"파견예정",IF(AND(M151&lt;&gt;"",TODAY()&gt;M151),"파견종료","파견중")))</f>
        <v/>
      </c>
      <c r="O151" s="9">
        <f>IF(OR(L151="",M151=""),"",M151-L151+1)</f>
        <v/>
      </c>
      <c r="P151" s="9">
        <f>IF(AND(N151="파견중",M151&lt;&gt;""),M151-TODAY(),"")</f>
        <v/>
      </c>
      <c r="Q151" s="6" t="n"/>
    </row>
    <row r="152">
      <c r="A152" s="5">
        <f>IF(B152="","",ROW()-1)</f>
        <v/>
      </c>
      <c r="B152" s="6" t="n"/>
      <c r="C152" s="7" t="n"/>
      <c r="D152" s="8" t="n"/>
      <c r="E152" s="6" t="n"/>
      <c r="F152" s="7" t="n"/>
      <c r="G152" s="7" t="n"/>
      <c r="H152" s="6" t="n"/>
      <c r="I152" s="6" t="n"/>
      <c r="J152" s="6" t="n"/>
      <c r="K152" s="6" t="n"/>
      <c r="L152" s="8" t="n"/>
      <c r="M152" s="8" t="n"/>
      <c r="N152" s="5">
        <f>IF(OR(B152="",L152=""),"",IF(TODAY()&lt;L152,"파견예정",IF(AND(M152&lt;&gt;"",TODAY()&gt;M152),"파견종료","파견중")))</f>
        <v/>
      </c>
      <c r="O152" s="9">
        <f>IF(OR(L152="",M152=""),"",M152-L152+1)</f>
        <v/>
      </c>
      <c r="P152" s="9">
        <f>IF(AND(N152="파견중",M152&lt;&gt;""),M152-TODAY(),"")</f>
        <v/>
      </c>
      <c r="Q152" s="6" t="n"/>
    </row>
    <row r="153">
      <c r="A153" s="5">
        <f>IF(B153="","",ROW()-1)</f>
        <v/>
      </c>
      <c r="B153" s="6" t="n"/>
      <c r="C153" s="7" t="n"/>
      <c r="D153" s="8" t="n"/>
      <c r="E153" s="6" t="n"/>
      <c r="F153" s="7" t="n"/>
      <c r="G153" s="7" t="n"/>
      <c r="H153" s="6" t="n"/>
      <c r="I153" s="6" t="n"/>
      <c r="J153" s="6" t="n"/>
      <c r="K153" s="6" t="n"/>
      <c r="L153" s="8" t="n"/>
      <c r="M153" s="8" t="n"/>
      <c r="N153" s="5">
        <f>IF(OR(B153="",L153=""),"",IF(TODAY()&lt;L153,"파견예정",IF(AND(M153&lt;&gt;"",TODAY()&gt;M153),"파견종료","파견중")))</f>
        <v/>
      </c>
      <c r="O153" s="9">
        <f>IF(OR(L153="",M153=""),"",M153-L153+1)</f>
        <v/>
      </c>
      <c r="P153" s="9">
        <f>IF(AND(N153="파견중",M153&lt;&gt;""),M153-TODAY(),"")</f>
        <v/>
      </c>
      <c r="Q153" s="6" t="n"/>
    </row>
    <row r="154">
      <c r="A154" s="5">
        <f>IF(B154="","",ROW()-1)</f>
        <v/>
      </c>
      <c r="B154" s="6" t="n"/>
      <c r="C154" s="7" t="n"/>
      <c r="D154" s="8" t="n"/>
      <c r="E154" s="6" t="n"/>
      <c r="F154" s="7" t="n"/>
      <c r="G154" s="7" t="n"/>
      <c r="H154" s="6" t="n"/>
      <c r="I154" s="6" t="n"/>
      <c r="J154" s="6" t="n"/>
      <c r="K154" s="6" t="n"/>
      <c r="L154" s="8" t="n"/>
      <c r="M154" s="8" t="n"/>
      <c r="N154" s="5">
        <f>IF(OR(B154="",L154=""),"",IF(TODAY()&lt;L154,"파견예정",IF(AND(M154&lt;&gt;"",TODAY()&gt;M154),"파견종료","파견중")))</f>
        <v/>
      </c>
      <c r="O154" s="9">
        <f>IF(OR(L154="",M154=""),"",M154-L154+1)</f>
        <v/>
      </c>
      <c r="P154" s="9">
        <f>IF(AND(N154="파견중",M154&lt;&gt;""),M154-TODAY(),"")</f>
        <v/>
      </c>
      <c r="Q154" s="6" t="n"/>
    </row>
    <row r="155">
      <c r="A155" s="5">
        <f>IF(B155="","",ROW()-1)</f>
        <v/>
      </c>
      <c r="B155" s="6" t="n"/>
      <c r="C155" s="7" t="n"/>
      <c r="D155" s="8" t="n"/>
      <c r="E155" s="6" t="n"/>
      <c r="F155" s="7" t="n"/>
      <c r="G155" s="7" t="n"/>
      <c r="H155" s="6" t="n"/>
      <c r="I155" s="6" t="n"/>
      <c r="J155" s="6" t="n"/>
      <c r="K155" s="6" t="n"/>
      <c r="L155" s="8" t="n"/>
      <c r="M155" s="8" t="n"/>
      <c r="N155" s="5">
        <f>IF(OR(B155="",L155=""),"",IF(TODAY()&lt;L155,"파견예정",IF(AND(M155&lt;&gt;"",TODAY()&gt;M155),"파견종료","파견중")))</f>
        <v/>
      </c>
      <c r="O155" s="9">
        <f>IF(OR(L155="",M155=""),"",M155-L155+1)</f>
        <v/>
      </c>
      <c r="P155" s="9">
        <f>IF(AND(N155="파견중",M155&lt;&gt;""),M155-TODAY(),"")</f>
        <v/>
      </c>
      <c r="Q155" s="6" t="n"/>
    </row>
    <row r="156">
      <c r="A156" s="5">
        <f>IF(B156="","",ROW()-1)</f>
        <v/>
      </c>
      <c r="B156" s="6" t="n"/>
      <c r="C156" s="7" t="n"/>
      <c r="D156" s="8" t="n"/>
      <c r="E156" s="6" t="n"/>
      <c r="F156" s="7" t="n"/>
      <c r="G156" s="7" t="n"/>
      <c r="H156" s="6" t="n"/>
      <c r="I156" s="6" t="n"/>
      <c r="J156" s="6" t="n"/>
      <c r="K156" s="6" t="n"/>
      <c r="L156" s="8" t="n"/>
      <c r="M156" s="8" t="n"/>
      <c r="N156" s="5">
        <f>IF(OR(B156="",L156=""),"",IF(TODAY()&lt;L156,"파견예정",IF(AND(M156&lt;&gt;"",TODAY()&gt;M156),"파견종료","파견중")))</f>
        <v/>
      </c>
      <c r="O156" s="9">
        <f>IF(OR(L156="",M156=""),"",M156-L156+1)</f>
        <v/>
      </c>
      <c r="P156" s="9">
        <f>IF(AND(N156="파견중",M156&lt;&gt;""),M156-TODAY(),"")</f>
        <v/>
      </c>
      <c r="Q156" s="6" t="n"/>
    </row>
    <row r="157">
      <c r="A157" s="5">
        <f>IF(B157="","",ROW()-1)</f>
        <v/>
      </c>
      <c r="B157" s="6" t="n"/>
      <c r="C157" s="7" t="n"/>
      <c r="D157" s="8" t="n"/>
      <c r="E157" s="6" t="n"/>
      <c r="F157" s="7" t="n"/>
      <c r="G157" s="7" t="n"/>
      <c r="H157" s="6" t="n"/>
      <c r="I157" s="6" t="n"/>
      <c r="J157" s="6" t="n"/>
      <c r="K157" s="6" t="n"/>
      <c r="L157" s="8" t="n"/>
      <c r="M157" s="8" t="n"/>
      <c r="N157" s="5">
        <f>IF(OR(B157="",L157=""),"",IF(TODAY()&lt;L157,"파견예정",IF(AND(M157&lt;&gt;"",TODAY()&gt;M157),"파견종료","파견중")))</f>
        <v/>
      </c>
      <c r="O157" s="9">
        <f>IF(OR(L157="",M157=""),"",M157-L157+1)</f>
        <v/>
      </c>
      <c r="P157" s="9">
        <f>IF(AND(N157="파견중",M157&lt;&gt;""),M157-TODAY(),"")</f>
        <v/>
      </c>
      <c r="Q157" s="6" t="n"/>
    </row>
    <row r="158">
      <c r="A158" s="5">
        <f>IF(B158="","",ROW()-1)</f>
        <v/>
      </c>
      <c r="B158" s="6" t="n"/>
      <c r="C158" s="7" t="n"/>
      <c r="D158" s="8" t="n"/>
      <c r="E158" s="6" t="n"/>
      <c r="F158" s="7" t="n"/>
      <c r="G158" s="7" t="n"/>
      <c r="H158" s="6" t="n"/>
      <c r="I158" s="6" t="n"/>
      <c r="J158" s="6" t="n"/>
      <c r="K158" s="6" t="n"/>
      <c r="L158" s="8" t="n"/>
      <c r="M158" s="8" t="n"/>
      <c r="N158" s="5">
        <f>IF(OR(B158="",L158=""),"",IF(TODAY()&lt;L158,"파견예정",IF(AND(M158&lt;&gt;"",TODAY()&gt;M158),"파견종료","파견중")))</f>
        <v/>
      </c>
      <c r="O158" s="9">
        <f>IF(OR(L158="",M158=""),"",M158-L158+1)</f>
        <v/>
      </c>
      <c r="P158" s="9">
        <f>IF(AND(N158="파견중",M158&lt;&gt;""),M158-TODAY(),"")</f>
        <v/>
      </c>
      <c r="Q158" s="6" t="n"/>
    </row>
    <row r="159">
      <c r="A159" s="5">
        <f>IF(B159="","",ROW()-1)</f>
        <v/>
      </c>
      <c r="B159" s="6" t="n"/>
      <c r="C159" s="7" t="n"/>
      <c r="D159" s="8" t="n"/>
      <c r="E159" s="6" t="n"/>
      <c r="F159" s="7" t="n"/>
      <c r="G159" s="7" t="n"/>
      <c r="H159" s="6" t="n"/>
      <c r="I159" s="6" t="n"/>
      <c r="J159" s="6" t="n"/>
      <c r="K159" s="6" t="n"/>
      <c r="L159" s="8" t="n"/>
      <c r="M159" s="8" t="n"/>
      <c r="N159" s="5">
        <f>IF(OR(B159="",L159=""),"",IF(TODAY()&lt;L159,"파견예정",IF(AND(M159&lt;&gt;"",TODAY()&gt;M159),"파견종료","파견중")))</f>
        <v/>
      </c>
      <c r="O159" s="9">
        <f>IF(OR(L159="",M159=""),"",M159-L159+1)</f>
        <v/>
      </c>
      <c r="P159" s="9">
        <f>IF(AND(N159="파견중",M159&lt;&gt;""),M159-TODAY(),"")</f>
        <v/>
      </c>
      <c r="Q159" s="6" t="n"/>
    </row>
    <row r="160">
      <c r="A160" s="5">
        <f>IF(B160="","",ROW()-1)</f>
        <v/>
      </c>
      <c r="B160" s="6" t="n"/>
      <c r="C160" s="7" t="n"/>
      <c r="D160" s="8" t="n"/>
      <c r="E160" s="6" t="n"/>
      <c r="F160" s="7" t="n"/>
      <c r="G160" s="7" t="n"/>
      <c r="H160" s="6" t="n"/>
      <c r="I160" s="6" t="n"/>
      <c r="J160" s="6" t="n"/>
      <c r="K160" s="6" t="n"/>
      <c r="L160" s="8" t="n"/>
      <c r="M160" s="8" t="n"/>
      <c r="N160" s="5">
        <f>IF(OR(B160="",L160=""),"",IF(TODAY()&lt;L160,"파견예정",IF(AND(M160&lt;&gt;"",TODAY()&gt;M160),"파견종료","파견중")))</f>
        <v/>
      </c>
      <c r="O160" s="9">
        <f>IF(OR(L160="",M160=""),"",M160-L160+1)</f>
        <v/>
      </c>
      <c r="P160" s="9">
        <f>IF(AND(N160="파견중",M160&lt;&gt;""),M160-TODAY(),"")</f>
        <v/>
      </c>
      <c r="Q160" s="6" t="n"/>
    </row>
    <row r="161">
      <c r="A161" s="5">
        <f>IF(B161="","",ROW()-1)</f>
        <v/>
      </c>
      <c r="B161" s="6" t="n"/>
      <c r="C161" s="7" t="n"/>
      <c r="D161" s="8" t="n"/>
      <c r="E161" s="6" t="n"/>
      <c r="F161" s="7" t="n"/>
      <c r="G161" s="7" t="n"/>
      <c r="H161" s="6" t="n"/>
      <c r="I161" s="6" t="n"/>
      <c r="J161" s="6" t="n"/>
      <c r="K161" s="6" t="n"/>
      <c r="L161" s="8" t="n"/>
      <c r="M161" s="8" t="n"/>
      <c r="N161" s="5">
        <f>IF(OR(B161="",L161=""),"",IF(TODAY()&lt;L161,"파견예정",IF(AND(M161&lt;&gt;"",TODAY()&gt;M161),"파견종료","파견중")))</f>
        <v/>
      </c>
      <c r="O161" s="9">
        <f>IF(OR(L161="",M161=""),"",M161-L161+1)</f>
        <v/>
      </c>
      <c r="P161" s="9">
        <f>IF(AND(N161="파견중",M161&lt;&gt;""),M161-TODAY(),"")</f>
        <v/>
      </c>
      <c r="Q161" s="6" t="n"/>
    </row>
    <row r="162">
      <c r="A162" s="5">
        <f>IF(B162="","",ROW()-1)</f>
        <v/>
      </c>
      <c r="B162" s="6" t="n"/>
      <c r="C162" s="7" t="n"/>
      <c r="D162" s="8" t="n"/>
      <c r="E162" s="6" t="n"/>
      <c r="F162" s="7" t="n"/>
      <c r="G162" s="7" t="n"/>
      <c r="H162" s="6" t="n"/>
      <c r="I162" s="6" t="n"/>
      <c r="J162" s="6" t="n"/>
      <c r="K162" s="6" t="n"/>
      <c r="L162" s="8" t="n"/>
      <c r="M162" s="8" t="n"/>
      <c r="N162" s="5">
        <f>IF(OR(B162="",L162=""),"",IF(TODAY()&lt;L162,"파견예정",IF(AND(M162&lt;&gt;"",TODAY()&gt;M162),"파견종료","파견중")))</f>
        <v/>
      </c>
      <c r="O162" s="9">
        <f>IF(OR(L162="",M162=""),"",M162-L162+1)</f>
        <v/>
      </c>
      <c r="P162" s="9">
        <f>IF(AND(N162="파견중",M162&lt;&gt;""),M162-TODAY(),"")</f>
        <v/>
      </c>
      <c r="Q162" s="6" t="n"/>
    </row>
    <row r="163">
      <c r="A163" s="5">
        <f>IF(B163="","",ROW()-1)</f>
        <v/>
      </c>
      <c r="B163" s="6" t="n"/>
      <c r="C163" s="7" t="n"/>
      <c r="D163" s="8" t="n"/>
      <c r="E163" s="6" t="n"/>
      <c r="F163" s="7" t="n"/>
      <c r="G163" s="7" t="n"/>
      <c r="H163" s="6" t="n"/>
      <c r="I163" s="6" t="n"/>
      <c r="J163" s="6" t="n"/>
      <c r="K163" s="6" t="n"/>
      <c r="L163" s="8" t="n"/>
      <c r="M163" s="8" t="n"/>
      <c r="N163" s="5">
        <f>IF(OR(B163="",L163=""),"",IF(TODAY()&lt;L163,"파견예정",IF(AND(M163&lt;&gt;"",TODAY()&gt;M163),"파견종료","파견중")))</f>
        <v/>
      </c>
      <c r="O163" s="9">
        <f>IF(OR(L163="",M163=""),"",M163-L163+1)</f>
        <v/>
      </c>
      <c r="P163" s="9">
        <f>IF(AND(N163="파견중",M163&lt;&gt;""),M163-TODAY(),"")</f>
        <v/>
      </c>
      <c r="Q163" s="6" t="n"/>
    </row>
    <row r="164">
      <c r="A164" s="5">
        <f>IF(B164="","",ROW()-1)</f>
        <v/>
      </c>
      <c r="B164" s="6" t="n"/>
      <c r="C164" s="7" t="n"/>
      <c r="D164" s="8" t="n"/>
      <c r="E164" s="6" t="n"/>
      <c r="F164" s="7" t="n"/>
      <c r="G164" s="7" t="n"/>
      <c r="H164" s="6" t="n"/>
      <c r="I164" s="6" t="n"/>
      <c r="J164" s="6" t="n"/>
      <c r="K164" s="6" t="n"/>
      <c r="L164" s="8" t="n"/>
      <c r="M164" s="8" t="n"/>
      <c r="N164" s="5">
        <f>IF(OR(B164="",L164=""),"",IF(TODAY()&lt;L164,"파견예정",IF(AND(M164&lt;&gt;"",TODAY()&gt;M164),"파견종료","파견중")))</f>
        <v/>
      </c>
      <c r="O164" s="9">
        <f>IF(OR(L164="",M164=""),"",M164-L164+1)</f>
        <v/>
      </c>
      <c r="P164" s="9">
        <f>IF(AND(N164="파견중",M164&lt;&gt;""),M164-TODAY(),"")</f>
        <v/>
      </c>
      <c r="Q164" s="6" t="n"/>
    </row>
    <row r="165">
      <c r="A165" s="5">
        <f>IF(B165="","",ROW()-1)</f>
        <v/>
      </c>
      <c r="B165" s="6" t="n"/>
      <c r="C165" s="7" t="n"/>
      <c r="D165" s="8" t="n"/>
      <c r="E165" s="6" t="n"/>
      <c r="F165" s="7" t="n"/>
      <c r="G165" s="7" t="n"/>
      <c r="H165" s="6" t="n"/>
      <c r="I165" s="6" t="n"/>
      <c r="J165" s="6" t="n"/>
      <c r="K165" s="6" t="n"/>
      <c r="L165" s="8" t="n"/>
      <c r="M165" s="8" t="n"/>
      <c r="N165" s="5">
        <f>IF(OR(B165="",L165=""),"",IF(TODAY()&lt;L165,"파견예정",IF(AND(M165&lt;&gt;"",TODAY()&gt;M165),"파견종료","파견중")))</f>
        <v/>
      </c>
      <c r="O165" s="9">
        <f>IF(OR(L165="",M165=""),"",M165-L165+1)</f>
        <v/>
      </c>
      <c r="P165" s="9">
        <f>IF(AND(N165="파견중",M165&lt;&gt;""),M165-TODAY(),"")</f>
        <v/>
      </c>
      <c r="Q165" s="6" t="n"/>
    </row>
    <row r="166">
      <c r="A166" s="5">
        <f>IF(B166="","",ROW()-1)</f>
        <v/>
      </c>
      <c r="B166" s="6" t="n"/>
      <c r="C166" s="7" t="n"/>
      <c r="D166" s="8" t="n"/>
      <c r="E166" s="6" t="n"/>
      <c r="F166" s="7" t="n"/>
      <c r="G166" s="7" t="n"/>
      <c r="H166" s="6" t="n"/>
      <c r="I166" s="6" t="n"/>
      <c r="J166" s="6" t="n"/>
      <c r="K166" s="6" t="n"/>
      <c r="L166" s="8" t="n"/>
      <c r="M166" s="8" t="n"/>
      <c r="N166" s="5">
        <f>IF(OR(B166="",L166=""),"",IF(TODAY()&lt;L166,"파견예정",IF(AND(M166&lt;&gt;"",TODAY()&gt;M166),"파견종료","파견중")))</f>
        <v/>
      </c>
      <c r="O166" s="9">
        <f>IF(OR(L166="",M166=""),"",M166-L166+1)</f>
        <v/>
      </c>
      <c r="P166" s="9">
        <f>IF(AND(N166="파견중",M166&lt;&gt;""),M166-TODAY(),"")</f>
        <v/>
      </c>
      <c r="Q166" s="6" t="n"/>
    </row>
    <row r="167">
      <c r="A167" s="5">
        <f>IF(B167="","",ROW()-1)</f>
        <v/>
      </c>
      <c r="B167" s="6" t="n"/>
      <c r="C167" s="7" t="n"/>
      <c r="D167" s="8" t="n"/>
      <c r="E167" s="6" t="n"/>
      <c r="F167" s="7" t="n"/>
      <c r="G167" s="7" t="n"/>
      <c r="H167" s="6" t="n"/>
      <c r="I167" s="6" t="n"/>
      <c r="J167" s="6" t="n"/>
      <c r="K167" s="6" t="n"/>
      <c r="L167" s="8" t="n"/>
      <c r="M167" s="8" t="n"/>
      <c r="N167" s="5">
        <f>IF(OR(B167="",L167=""),"",IF(TODAY()&lt;L167,"파견예정",IF(AND(M167&lt;&gt;"",TODAY()&gt;M167),"파견종료","파견중")))</f>
        <v/>
      </c>
      <c r="O167" s="9">
        <f>IF(OR(L167="",M167=""),"",M167-L167+1)</f>
        <v/>
      </c>
      <c r="P167" s="9">
        <f>IF(AND(N167="파견중",M167&lt;&gt;""),M167-TODAY(),"")</f>
        <v/>
      </c>
      <c r="Q167" s="6" t="n"/>
    </row>
    <row r="168">
      <c r="A168" s="5">
        <f>IF(B168="","",ROW()-1)</f>
        <v/>
      </c>
      <c r="B168" s="6" t="n"/>
      <c r="C168" s="7" t="n"/>
      <c r="D168" s="8" t="n"/>
      <c r="E168" s="6" t="n"/>
      <c r="F168" s="7" t="n"/>
      <c r="G168" s="7" t="n"/>
      <c r="H168" s="6" t="n"/>
      <c r="I168" s="6" t="n"/>
      <c r="J168" s="6" t="n"/>
      <c r="K168" s="6" t="n"/>
      <c r="L168" s="8" t="n"/>
      <c r="M168" s="8" t="n"/>
      <c r="N168" s="5">
        <f>IF(OR(B168="",L168=""),"",IF(TODAY()&lt;L168,"파견예정",IF(AND(M168&lt;&gt;"",TODAY()&gt;M168),"파견종료","파견중")))</f>
        <v/>
      </c>
      <c r="O168" s="9">
        <f>IF(OR(L168="",M168=""),"",M168-L168+1)</f>
        <v/>
      </c>
      <c r="P168" s="9">
        <f>IF(AND(N168="파견중",M168&lt;&gt;""),M168-TODAY(),"")</f>
        <v/>
      </c>
      <c r="Q168" s="6" t="n"/>
    </row>
    <row r="169">
      <c r="A169" s="5">
        <f>IF(B169="","",ROW()-1)</f>
        <v/>
      </c>
      <c r="B169" s="6" t="n"/>
      <c r="C169" s="7" t="n"/>
      <c r="D169" s="8" t="n"/>
      <c r="E169" s="6" t="n"/>
      <c r="F169" s="7" t="n"/>
      <c r="G169" s="7" t="n"/>
      <c r="H169" s="6" t="n"/>
      <c r="I169" s="6" t="n"/>
      <c r="J169" s="6" t="n"/>
      <c r="K169" s="6" t="n"/>
      <c r="L169" s="8" t="n"/>
      <c r="M169" s="8" t="n"/>
      <c r="N169" s="5">
        <f>IF(OR(B169="",L169=""),"",IF(TODAY()&lt;L169,"파견예정",IF(AND(M169&lt;&gt;"",TODAY()&gt;M169),"파견종료","파견중")))</f>
        <v/>
      </c>
      <c r="O169" s="9">
        <f>IF(OR(L169="",M169=""),"",M169-L169+1)</f>
        <v/>
      </c>
      <c r="P169" s="9">
        <f>IF(AND(N169="파견중",M169&lt;&gt;""),M169-TODAY(),"")</f>
        <v/>
      </c>
      <c r="Q169" s="6" t="n"/>
    </row>
    <row r="170">
      <c r="A170" s="5">
        <f>IF(B170="","",ROW()-1)</f>
        <v/>
      </c>
      <c r="B170" s="6" t="n"/>
      <c r="C170" s="7" t="n"/>
      <c r="D170" s="8" t="n"/>
      <c r="E170" s="6" t="n"/>
      <c r="F170" s="7" t="n"/>
      <c r="G170" s="7" t="n"/>
      <c r="H170" s="6" t="n"/>
      <c r="I170" s="6" t="n"/>
      <c r="J170" s="6" t="n"/>
      <c r="K170" s="6" t="n"/>
      <c r="L170" s="8" t="n"/>
      <c r="M170" s="8" t="n"/>
      <c r="N170" s="5">
        <f>IF(OR(B170="",L170=""),"",IF(TODAY()&lt;L170,"파견예정",IF(AND(M170&lt;&gt;"",TODAY()&gt;M170),"파견종료","파견중")))</f>
        <v/>
      </c>
      <c r="O170" s="9">
        <f>IF(OR(L170="",M170=""),"",M170-L170+1)</f>
        <v/>
      </c>
      <c r="P170" s="9">
        <f>IF(AND(N170="파견중",M170&lt;&gt;""),M170-TODAY(),"")</f>
        <v/>
      </c>
      <c r="Q170" s="6" t="n"/>
    </row>
    <row r="171">
      <c r="A171" s="5">
        <f>IF(B171="","",ROW()-1)</f>
        <v/>
      </c>
      <c r="B171" s="6" t="n"/>
      <c r="C171" s="7" t="n"/>
      <c r="D171" s="8" t="n"/>
      <c r="E171" s="6" t="n"/>
      <c r="F171" s="7" t="n"/>
      <c r="G171" s="7" t="n"/>
      <c r="H171" s="6" t="n"/>
      <c r="I171" s="6" t="n"/>
      <c r="J171" s="6" t="n"/>
      <c r="K171" s="6" t="n"/>
      <c r="L171" s="8" t="n"/>
      <c r="M171" s="8" t="n"/>
      <c r="N171" s="5">
        <f>IF(OR(B171="",L171=""),"",IF(TODAY()&lt;L171,"파견예정",IF(AND(M171&lt;&gt;"",TODAY()&gt;M171),"파견종료","파견중")))</f>
        <v/>
      </c>
      <c r="O171" s="9">
        <f>IF(OR(L171="",M171=""),"",M171-L171+1)</f>
        <v/>
      </c>
      <c r="P171" s="9">
        <f>IF(AND(N171="파견중",M171&lt;&gt;""),M171-TODAY(),"")</f>
        <v/>
      </c>
      <c r="Q171" s="6" t="n"/>
    </row>
    <row r="172">
      <c r="A172" s="5">
        <f>IF(B172="","",ROW()-1)</f>
        <v/>
      </c>
      <c r="B172" s="6" t="n"/>
      <c r="C172" s="7" t="n"/>
      <c r="D172" s="8" t="n"/>
      <c r="E172" s="6" t="n"/>
      <c r="F172" s="7" t="n"/>
      <c r="G172" s="7" t="n"/>
      <c r="H172" s="6" t="n"/>
      <c r="I172" s="6" t="n"/>
      <c r="J172" s="6" t="n"/>
      <c r="K172" s="6" t="n"/>
      <c r="L172" s="8" t="n"/>
      <c r="M172" s="8" t="n"/>
      <c r="N172" s="5">
        <f>IF(OR(B172="",L172=""),"",IF(TODAY()&lt;L172,"파견예정",IF(AND(M172&lt;&gt;"",TODAY()&gt;M172),"파견종료","파견중")))</f>
        <v/>
      </c>
      <c r="O172" s="9">
        <f>IF(OR(L172="",M172=""),"",M172-L172+1)</f>
        <v/>
      </c>
      <c r="P172" s="9">
        <f>IF(AND(N172="파견중",M172&lt;&gt;""),M172-TODAY(),"")</f>
        <v/>
      </c>
      <c r="Q172" s="6" t="n"/>
    </row>
    <row r="173">
      <c r="A173" s="5">
        <f>IF(B173="","",ROW()-1)</f>
        <v/>
      </c>
      <c r="B173" s="6" t="n"/>
      <c r="C173" s="7" t="n"/>
      <c r="D173" s="8" t="n"/>
      <c r="E173" s="6" t="n"/>
      <c r="F173" s="7" t="n"/>
      <c r="G173" s="7" t="n"/>
      <c r="H173" s="6" t="n"/>
      <c r="I173" s="6" t="n"/>
      <c r="J173" s="6" t="n"/>
      <c r="K173" s="6" t="n"/>
      <c r="L173" s="8" t="n"/>
      <c r="M173" s="8" t="n"/>
      <c r="N173" s="5">
        <f>IF(OR(B173="",L173=""),"",IF(TODAY()&lt;L173,"파견예정",IF(AND(M173&lt;&gt;"",TODAY()&gt;M173),"파견종료","파견중")))</f>
        <v/>
      </c>
      <c r="O173" s="9">
        <f>IF(OR(L173="",M173=""),"",M173-L173+1)</f>
        <v/>
      </c>
      <c r="P173" s="9">
        <f>IF(AND(N173="파견중",M173&lt;&gt;""),M173-TODAY(),"")</f>
        <v/>
      </c>
      <c r="Q173" s="6" t="n"/>
    </row>
    <row r="174">
      <c r="A174" s="5">
        <f>IF(B174="","",ROW()-1)</f>
        <v/>
      </c>
      <c r="B174" s="6" t="n"/>
      <c r="C174" s="7" t="n"/>
      <c r="D174" s="8" t="n"/>
      <c r="E174" s="6" t="n"/>
      <c r="F174" s="7" t="n"/>
      <c r="G174" s="7" t="n"/>
      <c r="H174" s="6" t="n"/>
      <c r="I174" s="6" t="n"/>
      <c r="J174" s="6" t="n"/>
      <c r="K174" s="6" t="n"/>
      <c r="L174" s="8" t="n"/>
      <c r="M174" s="8" t="n"/>
      <c r="N174" s="5">
        <f>IF(OR(B174="",L174=""),"",IF(TODAY()&lt;L174,"파견예정",IF(AND(M174&lt;&gt;"",TODAY()&gt;M174),"파견종료","파견중")))</f>
        <v/>
      </c>
      <c r="O174" s="9">
        <f>IF(OR(L174="",M174=""),"",M174-L174+1)</f>
        <v/>
      </c>
      <c r="P174" s="9">
        <f>IF(AND(N174="파견중",M174&lt;&gt;""),M174-TODAY(),"")</f>
        <v/>
      </c>
      <c r="Q174" s="6" t="n"/>
    </row>
    <row r="175">
      <c r="A175" s="5">
        <f>IF(B175="","",ROW()-1)</f>
        <v/>
      </c>
      <c r="B175" s="6" t="n"/>
      <c r="C175" s="7" t="n"/>
      <c r="D175" s="8" t="n"/>
      <c r="E175" s="6" t="n"/>
      <c r="F175" s="7" t="n"/>
      <c r="G175" s="7" t="n"/>
      <c r="H175" s="6" t="n"/>
      <c r="I175" s="6" t="n"/>
      <c r="J175" s="6" t="n"/>
      <c r="K175" s="6" t="n"/>
      <c r="L175" s="8" t="n"/>
      <c r="M175" s="8" t="n"/>
      <c r="N175" s="5">
        <f>IF(OR(B175="",L175=""),"",IF(TODAY()&lt;L175,"파견예정",IF(AND(M175&lt;&gt;"",TODAY()&gt;M175),"파견종료","파견중")))</f>
        <v/>
      </c>
      <c r="O175" s="9">
        <f>IF(OR(L175="",M175=""),"",M175-L175+1)</f>
        <v/>
      </c>
      <c r="P175" s="9">
        <f>IF(AND(N175="파견중",M175&lt;&gt;""),M175-TODAY(),"")</f>
        <v/>
      </c>
      <c r="Q175" s="6" t="n"/>
    </row>
    <row r="176">
      <c r="A176" s="5">
        <f>IF(B176="","",ROW()-1)</f>
        <v/>
      </c>
      <c r="B176" s="6" t="n"/>
      <c r="C176" s="7" t="n"/>
      <c r="D176" s="8" t="n"/>
      <c r="E176" s="6" t="n"/>
      <c r="F176" s="7" t="n"/>
      <c r="G176" s="7" t="n"/>
      <c r="H176" s="6" t="n"/>
      <c r="I176" s="6" t="n"/>
      <c r="J176" s="6" t="n"/>
      <c r="K176" s="6" t="n"/>
      <c r="L176" s="8" t="n"/>
      <c r="M176" s="8" t="n"/>
      <c r="N176" s="5">
        <f>IF(OR(B176="",L176=""),"",IF(TODAY()&lt;L176,"파견예정",IF(AND(M176&lt;&gt;"",TODAY()&gt;M176),"파견종료","파견중")))</f>
        <v/>
      </c>
      <c r="O176" s="9">
        <f>IF(OR(L176="",M176=""),"",M176-L176+1)</f>
        <v/>
      </c>
      <c r="P176" s="9">
        <f>IF(AND(N176="파견중",M176&lt;&gt;""),M176-TODAY(),"")</f>
        <v/>
      </c>
      <c r="Q176" s="6" t="n"/>
    </row>
    <row r="177">
      <c r="A177" s="5">
        <f>IF(B177="","",ROW()-1)</f>
        <v/>
      </c>
      <c r="B177" s="6" t="n"/>
      <c r="C177" s="7" t="n"/>
      <c r="D177" s="8" t="n"/>
      <c r="E177" s="6" t="n"/>
      <c r="F177" s="7" t="n"/>
      <c r="G177" s="7" t="n"/>
      <c r="H177" s="6" t="n"/>
      <c r="I177" s="6" t="n"/>
      <c r="J177" s="6" t="n"/>
      <c r="K177" s="6" t="n"/>
      <c r="L177" s="8" t="n"/>
      <c r="M177" s="8" t="n"/>
      <c r="N177" s="5">
        <f>IF(OR(B177="",L177=""),"",IF(TODAY()&lt;L177,"파견예정",IF(AND(M177&lt;&gt;"",TODAY()&gt;M177),"파견종료","파견중")))</f>
        <v/>
      </c>
      <c r="O177" s="9">
        <f>IF(OR(L177="",M177=""),"",M177-L177+1)</f>
        <v/>
      </c>
      <c r="P177" s="9">
        <f>IF(AND(N177="파견중",M177&lt;&gt;""),M177-TODAY(),"")</f>
        <v/>
      </c>
      <c r="Q177" s="6" t="n"/>
    </row>
    <row r="178">
      <c r="A178" s="5">
        <f>IF(B178="","",ROW()-1)</f>
        <v/>
      </c>
      <c r="B178" s="6" t="n"/>
      <c r="C178" s="7" t="n"/>
      <c r="D178" s="8" t="n"/>
      <c r="E178" s="6" t="n"/>
      <c r="F178" s="7" t="n"/>
      <c r="G178" s="7" t="n"/>
      <c r="H178" s="6" t="n"/>
      <c r="I178" s="6" t="n"/>
      <c r="J178" s="6" t="n"/>
      <c r="K178" s="6" t="n"/>
      <c r="L178" s="8" t="n"/>
      <c r="M178" s="8" t="n"/>
      <c r="N178" s="5">
        <f>IF(OR(B178="",L178=""),"",IF(TODAY()&lt;L178,"파견예정",IF(AND(M178&lt;&gt;"",TODAY()&gt;M178),"파견종료","파견중")))</f>
        <v/>
      </c>
      <c r="O178" s="9">
        <f>IF(OR(L178="",M178=""),"",M178-L178+1)</f>
        <v/>
      </c>
      <c r="P178" s="9">
        <f>IF(AND(N178="파견중",M178&lt;&gt;""),M178-TODAY(),"")</f>
        <v/>
      </c>
      <c r="Q178" s="6" t="n"/>
    </row>
    <row r="179">
      <c r="A179" s="5">
        <f>IF(B179="","",ROW()-1)</f>
        <v/>
      </c>
      <c r="B179" s="6" t="n"/>
      <c r="C179" s="7" t="n"/>
      <c r="D179" s="8" t="n"/>
      <c r="E179" s="6" t="n"/>
      <c r="F179" s="7" t="n"/>
      <c r="G179" s="7" t="n"/>
      <c r="H179" s="6" t="n"/>
      <c r="I179" s="6" t="n"/>
      <c r="J179" s="6" t="n"/>
      <c r="K179" s="6" t="n"/>
      <c r="L179" s="8" t="n"/>
      <c r="M179" s="8" t="n"/>
      <c r="N179" s="5">
        <f>IF(OR(B179="",L179=""),"",IF(TODAY()&lt;L179,"파견예정",IF(AND(M179&lt;&gt;"",TODAY()&gt;M179),"파견종료","파견중")))</f>
        <v/>
      </c>
      <c r="O179" s="9">
        <f>IF(OR(L179="",M179=""),"",M179-L179+1)</f>
        <v/>
      </c>
      <c r="P179" s="9">
        <f>IF(AND(N179="파견중",M179&lt;&gt;""),M179-TODAY(),"")</f>
        <v/>
      </c>
      <c r="Q179" s="6" t="n"/>
    </row>
    <row r="180">
      <c r="A180" s="5">
        <f>IF(B180="","",ROW()-1)</f>
        <v/>
      </c>
      <c r="B180" s="6" t="n"/>
      <c r="C180" s="7" t="n"/>
      <c r="D180" s="8" t="n"/>
      <c r="E180" s="6" t="n"/>
      <c r="F180" s="7" t="n"/>
      <c r="G180" s="7" t="n"/>
      <c r="H180" s="6" t="n"/>
      <c r="I180" s="6" t="n"/>
      <c r="J180" s="6" t="n"/>
      <c r="K180" s="6" t="n"/>
      <c r="L180" s="8" t="n"/>
      <c r="M180" s="8" t="n"/>
      <c r="N180" s="5">
        <f>IF(OR(B180="",L180=""),"",IF(TODAY()&lt;L180,"파견예정",IF(AND(M180&lt;&gt;"",TODAY()&gt;M180),"파견종료","파견중")))</f>
        <v/>
      </c>
      <c r="O180" s="9">
        <f>IF(OR(L180="",M180=""),"",M180-L180+1)</f>
        <v/>
      </c>
      <c r="P180" s="9">
        <f>IF(AND(N180="파견중",M180&lt;&gt;""),M180-TODAY(),"")</f>
        <v/>
      </c>
      <c r="Q180" s="6" t="n"/>
    </row>
    <row r="181">
      <c r="A181" s="5">
        <f>IF(B181="","",ROW()-1)</f>
        <v/>
      </c>
      <c r="B181" s="6" t="n"/>
      <c r="C181" s="7" t="n"/>
      <c r="D181" s="8" t="n"/>
      <c r="E181" s="6" t="n"/>
      <c r="F181" s="7" t="n"/>
      <c r="G181" s="7" t="n"/>
      <c r="H181" s="6" t="n"/>
      <c r="I181" s="6" t="n"/>
      <c r="J181" s="6" t="n"/>
      <c r="K181" s="6" t="n"/>
      <c r="L181" s="8" t="n"/>
      <c r="M181" s="8" t="n"/>
      <c r="N181" s="5">
        <f>IF(OR(B181="",L181=""),"",IF(TODAY()&lt;L181,"파견예정",IF(AND(M181&lt;&gt;"",TODAY()&gt;M181),"파견종료","파견중")))</f>
        <v/>
      </c>
      <c r="O181" s="9">
        <f>IF(OR(L181="",M181=""),"",M181-L181+1)</f>
        <v/>
      </c>
      <c r="P181" s="9">
        <f>IF(AND(N181="파견중",M181&lt;&gt;""),M181-TODAY(),"")</f>
        <v/>
      </c>
      <c r="Q181" s="6" t="n"/>
    </row>
    <row r="182">
      <c r="A182" s="5">
        <f>IF(B182="","",ROW()-1)</f>
        <v/>
      </c>
      <c r="B182" s="6" t="n"/>
      <c r="C182" s="7" t="n"/>
      <c r="D182" s="8" t="n"/>
      <c r="E182" s="6" t="n"/>
      <c r="F182" s="7" t="n"/>
      <c r="G182" s="7" t="n"/>
      <c r="H182" s="6" t="n"/>
      <c r="I182" s="6" t="n"/>
      <c r="J182" s="6" t="n"/>
      <c r="K182" s="6" t="n"/>
      <c r="L182" s="8" t="n"/>
      <c r="M182" s="8" t="n"/>
      <c r="N182" s="5">
        <f>IF(OR(B182="",L182=""),"",IF(TODAY()&lt;L182,"파견예정",IF(AND(M182&lt;&gt;"",TODAY()&gt;M182),"파견종료","파견중")))</f>
        <v/>
      </c>
      <c r="O182" s="9">
        <f>IF(OR(L182="",M182=""),"",M182-L182+1)</f>
        <v/>
      </c>
      <c r="P182" s="9">
        <f>IF(AND(N182="파견중",M182&lt;&gt;""),M182-TODAY(),"")</f>
        <v/>
      </c>
      <c r="Q182" s="6" t="n"/>
    </row>
    <row r="183">
      <c r="A183" s="5">
        <f>IF(B183="","",ROW()-1)</f>
        <v/>
      </c>
      <c r="B183" s="6" t="n"/>
      <c r="C183" s="7" t="n"/>
      <c r="D183" s="8" t="n"/>
      <c r="E183" s="6" t="n"/>
      <c r="F183" s="7" t="n"/>
      <c r="G183" s="7" t="n"/>
      <c r="H183" s="6" t="n"/>
      <c r="I183" s="6" t="n"/>
      <c r="J183" s="6" t="n"/>
      <c r="K183" s="6" t="n"/>
      <c r="L183" s="8" t="n"/>
      <c r="M183" s="8" t="n"/>
      <c r="N183" s="5">
        <f>IF(OR(B183="",L183=""),"",IF(TODAY()&lt;L183,"파견예정",IF(AND(M183&lt;&gt;"",TODAY()&gt;M183),"파견종료","파견중")))</f>
        <v/>
      </c>
      <c r="O183" s="9">
        <f>IF(OR(L183="",M183=""),"",M183-L183+1)</f>
        <v/>
      </c>
      <c r="P183" s="9">
        <f>IF(AND(N183="파견중",M183&lt;&gt;""),M183-TODAY(),"")</f>
        <v/>
      </c>
      <c r="Q183" s="6" t="n"/>
    </row>
    <row r="184">
      <c r="A184" s="5">
        <f>IF(B184="","",ROW()-1)</f>
        <v/>
      </c>
      <c r="B184" s="6" t="n"/>
      <c r="C184" s="7" t="n"/>
      <c r="D184" s="8" t="n"/>
      <c r="E184" s="6" t="n"/>
      <c r="F184" s="7" t="n"/>
      <c r="G184" s="7" t="n"/>
      <c r="H184" s="6" t="n"/>
      <c r="I184" s="6" t="n"/>
      <c r="J184" s="6" t="n"/>
      <c r="K184" s="6" t="n"/>
      <c r="L184" s="8" t="n"/>
      <c r="M184" s="8" t="n"/>
      <c r="N184" s="5">
        <f>IF(OR(B184="",L184=""),"",IF(TODAY()&lt;L184,"파견예정",IF(AND(M184&lt;&gt;"",TODAY()&gt;M184),"파견종료","파견중")))</f>
        <v/>
      </c>
      <c r="O184" s="9">
        <f>IF(OR(L184="",M184=""),"",M184-L184+1)</f>
        <v/>
      </c>
      <c r="P184" s="9">
        <f>IF(AND(N184="파견중",M184&lt;&gt;""),M184-TODAY(),"")</f>
        <v/>
      </c>
      <c r="Q184" s="6" t="n"/>
    </row>
    <row r="185">
      <c r="A185" s="5">
        <f>IF(B185="","",ROW()-1)</f>
        <v/>
      </c>
      <c r="B185" s="6" t="n"/>
      <c r="C185" s="7" t="n"/>
      <c r="D185" s="8" t="n"/>
      <c r="E185" s="6" t="n"/>
      <c r="F185" s="7" t="n"/>
      <c r="G185" s="7" t="n"/>
      <c r="H185" s="6" t="n"/>
      <c r="I185" s="6" t="n"/>
      <c r="J185" s="6" t="n"/>
      <c r="K185" s="6" t="n"/>
      <c r="L185" s="8" t="n"/>
      <c r="M185" s="8" t="n"/>
      <c r="N185" s="5">
        <f>IF(OR(B185="",L185=""),"",IF(TODAY()&lt;L185,"파견예정",IF(AND(M185&lt;&gt;"",TODAY()&gt;M185),"파견종료","파견중")))</f>
        <v/>
      </c>
      <c r="O185" s="9">
        <f>IF(OR(L185="",M185=""),"",M185-L185+1)</f>
        <v/>
      </c>
      <c r="P185" s="9">
        <f>IF(AND(N185="파견중",M185&lt;&gt;""),M185-TODAY(),"")</f>
        <v/>
      </c>
      <c r="Q185" s="6" t="n"/>
    </row>
    <row r="186">
      <c r="A186" s="5">
        <f>IF(B186="","",ROW()-1)</f>
        <v/>
      </c>
      <c r="B186" s="6" t="n"/>
      <c r="C186" s="7" t="n"/>
      <c r="D186" s="8" t="n"/>
      <c r="E186" s="6" t="n"/>
      <c r="F186" s="7" t="n"/>
      <c r="G186" s="7" t="n"/>
      <c r="H186" s="6" t="n"/>
      <c r="I186" s="6" t="n"/>
      <c r="J186" s="6" t="n"/>
      <c r="K186" s="6" t="n"/>
      <c r="L186" s="8" t="n"/>
      <c r="M186" s="8" t="n"/>
      <c r="N186" s="5">
        <f>IF(OR(B186="",L186=""),"",IF(TODAY()&lt;L186,"파견예정",IF(AND(M186&lt;&gt;"",TODAY()&gt;M186),"파견종료","파견중")))</f>
        <v/>
      </c>
      <c r="O186" s="9">
        <f>IF(OR(L186="",M186=""),"",M186-L186+1)</f>
        <v/>
      </c>
      <c r="P186" s="9">
        <f>IF(AND(N186="파견중",M186&lt;&gt;""),M186-TODAY(),"")</f>
        <v/>
      </c>
      <c r="Q186" s="6" t="n"/>
    </row>
    <row r="187">
      <c r="A187" s="5">
        <f>IF(B187="","",ROW()-1)</f>
        <v/>
      </c>
      <c r="B187" s="6" t="n"/>
      <c r="C187" s="7" t="n"/>
      <c r="D187" s="8" t="n"/>
      <c r="E187" s="6" t="n"/>
      <c r="F187" s="7" t="n"/>
      <c r="G187" s="7" t="n"/>
      <c r="H187" s="6" t="n"/>
      <c r="I187" s="6" t="n"/>
      <c r="J187" s="6" t="n"/>
      <c r="K187" s="6" t="n"/>
      <c r="L187" s="8" t="n"/>
      <c r="M187" s="8" t="n"/>
      <c r="N187" s="5">
        <f>IF(OR(B187="",L187=""),"",IF(TODAY()&lt;L187,"파견예정",IF(AND(M187&lt;&gt;"",TODAY()&gt;M187),"파견종료","파견중")))</f>
        <v/>
      </c>
      <c r="O187" s="9">
        <f>IF(OR(L187="",M187=""),"",M187-L187+1)</f>
        <v/>
      </c>
      <c r="P187" s="9">
        <f>IF(AND(N187="파견중",M187&lt;&gt;""),M187-TODAY(),"")</f>
        <v/>
      </c>
      <c r="Q187" s="6" t="n"/>
    </row>
    <row r="188">
      <c r="A188" s="5">
        <f>IF(B188="","",ROW()-1)</f>
        <v/>
      </c>
      <c r="B188" s="6" t="n"/>
      <c r="C188" s="7" t="n"/>
      <c r="D188" s="8" t="n"/>
      <c r="E188" s="6" t="n"/>
      <c r="F188" s="7" t="n"/>
      <c r="G188" s="7" t="n"/>
      <c r="H188" s="6" t="n"/>
      <c r="I188" s="6" t="n"/>
      <c r="J188" s="6" t="n"/>
      <c r="K188" s="6" t="n"/>
      <c r="L188" s="8" t="n"/>
      <c r="M188" s="8" t="n"/>
      <c r="N188" s="5">
        <f>IF(OR(B188="",L188=""),"",IF(TODAY()&lt;L188,"파견예정",IF(AND(M188&lt;&gt;"",TODAY()&gt;M188),"파견종료","파견중")))</f>
        <v/>
      </c>
      <c r="O188" s="9">
        <f>IF(OR(L188="",M188=""),"",M188-L188+1)</f>
        <v/>
      </c>
      <c r="P188" s="9">
        <f>IF(AND(N188="파견중",M188&lt;&gt;""),M188-TODAY(),"")</f>
        <v/>
      </c>
      <c r="Q188" s="6" t="n"/>
    </row>
    <row r="189">
      <c r="A189" s="5">
        <f>IF(B189="","",ROW()-1)</f>
        <v/>
      </c>
      <c r="B189" s="6" t="n"/>
      <c r="C189" s="7" t="n"/>
      <c r="D189" s="8" t="n"/>
      <c r="E189" s="6" t="n"/>
      <c r="F189" s="7" t="n"/>
      <c r="G189" s="7" t="n"/>
      <c r="H189" s="6" t="n"/>
      <c r="I189" s="6" t="n"/>
      <c r="J189" s="6" t="n"/>
      <c r="K189" s="6" t="n"/>
      <c r="L189" s="8" t="n"/>
      <c r="M189" s="8" t="n"/>
      <c r="N189" s="5">
        <f>IF(OR(B189="",L189=""),"",IF(TODAY()&lt;L189,"파견예정",IF(AND(M189&lt;&gt;"",TODAY()&gt;M189),"파견종료","파견중")))</f>
        <v/>
      </c>
      <c r="O189" s="9">
        <f>IF(OR(L189="",M189=""),"",M189-L189+1)</f>
        <v/>
      </c>
      <c r="P189" s="9">
        <f>IF(AND(N189="파견중",M189&lt;&gt;""),M189-TODAY(),"")</f>
        <v/>
      </c>
      <c r="Q189" s="6" t="n"/>
    </row>
    <row r="190">
      <c r="A190" s="5">
        <f>IF(B190="","",ROW()-1)</f>
        <v/>
      </c>
      <c r="B190" s="6" t="n"/>
      <c r="C190" s="7" t="n"/>
      <c r="D190" s="8" t="n"/>
      <c r="E190" s="6" t="n"/>
      <c r="F190" s="7" t="n"/>
      <c r="G190" s="7" t="n"/>
      <c r="H190" s="6" t="n"/>
      <c r="I190" s="6" t="n"/>
      <c r="J190" s="6" t="n"/>
      <c r="K190" s="6" t="n"/>
      <c r="L190" s="8" t="n"/>
      <c r="M190" s="8" t="n"/>
      <c r="N190" s="5">
        <f>IF(OR(B190="",L190=""),"",IF(TODAY()&lt;L190,"파견예정",IF(AND(M190&lt;&gt;"",TODAY()&gt;M190),"파견종료","파견중")))</f>
        <v/>
      </c>
      <c r="O190" s="9">
        <f>IF(OR(L190="",M190=""),"",M190-L190+1)</f>
        <v/>
      </c>
      <c r="P190" s="9">
        <f>IF(AND(N190="파견중",M190&lt;&gt;""),M190-TODAY(),"")</f>
        <v/>
      </c>
      <c r="Q190" s="6" t="n"/>
    </row>
    <row r="191">
      <c r="A191" s="5">
        <f>IF(B191="","",ROW()-1)</f>
        <v/>
      </c>
      <c r="B191" s="6" t="n"/>
      <c r="C191" s="7" t="n"/>
      <c r="D191" s="8" t="n"/>
      <c r="E191" s="6" t="n"/>
      <c r="F191" s="7" t="n"/>
      <c r="G191" s="7" t="n"/>
      <c r="H191" s="6" t="n"/>
      <c r="I191" s="6" t="n"/>
      <c r="J191" s="6" t="n"/>
      <c r="K191" s="6" t="n"/>
      <c r="L191" s="8" t="n"/>
      <c r="M191" s="8" t="n"/>
      <c r="N191" s="5">
        <f>IF(OR(B191="",L191=""),"",IF(TODAY()&lt;L191,"파견예정",IF(AND(M191&lt;&gt;"",TODAY()&gt;M191),"파견종료","파견중")))</f>
        <v/>
      </c>
      <c r="O191" s="9">
        <f>IF(OR(L191="",M191=""),"",M191-L191+1)</f>
        <v/>
      </c>
      <c r="P191" s="9">
        <f>IF(AND(N191="파견중",M191&lt;&gt;""),M191-TODAY(),"")</f>
        <v/>
      </c>
      <c r="Q191" s="6" t="n"/>
    </row>
    <row r="192">
      <c r="A192" s="5">
        <f>IF(B192="","",ROW()-1)</f>
        <v/>
      </c>
      <c r="B192" s="6" t="n"/>
      <c r="C192" s="7" t="n"/>
      <c r="D192" s="8" t="n"/>
      <c r="E192" s="6" t="n"/>
      <c r="F192" s="7" t="n"/>
      <c r="G192" s="7" t="n"/>
      <c r="H192" s="6" t="n"/>
      <c r="I192" s="6" t="n"/>
      <c r="J192" s="6" t="n"/>
      <c r="K192" s="6" t="n"/>
      <c r="L192" s="8" t="n"/>
      <c r="M192" s="8" t="n"/>
      <c r="N192" s="5">
        <f>IF(OR(B192="",L192=""),"",IF(TODAY()&lt;L192,"파견예정",IF(AND(M192&lt;&gt;"",TODAY()&gt;M192),"파견종료","파견중")))</f>
        <v/>
      </c>
      <c r="O192" s="9">
        <f>IF(OR(L192="",M192=""),"",M192-L192+1)</f>
        <v/>
      </c>
      <c r="P192" s="9">
        <f>IF(AND(N192="파견중",M192&lt;&gt;""),M192-TODAY(),"")</f>
        <v/>
      </c>
      <c r="Q192" s="6" t="n"/>
    </row>
    <row r="193">
      <c r="A193" s="5">
        <f>IF(B193="","",ROW()-1)</f>
        <v/>
      </c>
      <c r="B193" s="6" t="n"/>
      <c r="C193" s="7" t="n"/>
      <c r="D193" s="8" t="n"/>
      <c r="E193" s="6" t="n"/>
      <c r="F193" s="7" t="n"/>
      <c r="G193" s="7" t="n"/>
      <c r="H193" s="6" t="n"/>
      <c r="I193" s="6" t="n"/>
      <c r="J193" s="6" t="n"/>
      <c r="K193" s="6" t="n"/>
      <c r="L193" s="8" t="n"/>
      <c r="M193" s="8" t="n"/>
      <c r="N193" s="5">
        <f>IF(OR(B193="",L193=""),"",IF(TODAY()&lt;L193,"파견예정",IF(AND(M193&lt;&gt;"",TODAY()&gt;M193),"파견종료","파견중")))</f>
        <v/>
      </c>
      <c r="O193" s="9">
        <f>IF(OR(L193="",M193=""),"",M193-L193+1)</f>
        <v/>
      </c>
      <c r="P193" s="9">
        <f>IF(AND(N193="파견중",M193&lt;&gt;""),M193-TODAY(),"")</f>
        <v/>
      </c>
      <c r="Q193" s="6" t="n"/>
    </row>
    <row r="194">
      <c r="A194" s="5">
        <f>IF(B194="","",ROW()-1)</f>
        <v/>
      </c>
      <c r="B194" s="6" t="n"/>
      <c r="C194" s="7" t="n"/>
      <c r="D194" s="8" t="n"/>
      <c r="E194" s="6" t="n"/>
      <c r="F194" s="7" t="n"/>
      <c r="G194" s="7" t="n"/>
      <c r="H194" s="6" t="n"/>
      <c r="I194" s="6" t="n"/>
      <c r="J194" s="6" t="n"/>
      <c r="K194" s="6" t="n"/>
      <c r="L194" s="8" t="n"/>
      <c r="M194" s="8" t="n"/>
      <c r="N194" s="5">
        <f>IF(OR(B194="",L194=""),"",IF(TODAY()&lt;L194,"파견예정",IF(AND(M194&lt;&gt;"",TODAY()&gt;M194),"파견종료","파견중")))</f>
        <v/>
      </c>
      <c r="O194" s="9">
        <f>IF(OR(L194="",M194=""),"",M194-L194+1)</f>
        <v/>
      </c>
      <c r="P194" s="9">
        <f>IF(AND(N194="파견중",M194&lt;&gt;""),M194-TODAY(),"")</f>
        <v/>
      </c>
      <c r="Q194" s="6" t="n"/>
    </row>
    <row r="195">
      <c r="A195" s="5">
        <f>IF(B195="","",ROW()-1)</f>
        <v/>
      </c>
      <c r="B195" s="6" t="n"/>
      <c r="C195" s="7" t="n"/>
      <c r="D195" s="8" t="n"/>
      <c r="E195" s="6" t="n"/>
      <c r="F195" s="7" t="n"/>
      <c r="G195" s="7" t="n"/>
      <c r="H195" s="6" t="n"/>
      <c r="I195" s="6" t="n"/>
      <c r="J195" s="6" t="n"/>
      <c r="K195" s="6" t="n"/>
      <c r="L195" s="8" t="n"/>
      <c r="M195" s="8" t="n"/>
      <c r="N195" s="5">
        <f>IF(OR(B195="",L195=""),"",IF(TODAY()&lt;L195,"파견예정",IF(AND(M195&lt;&gt;"",TODAY()&gt;M195),"파견종료","파견중")))</f>
        <v/>
      </c>
      <c r="O195" s="9">
        <f>IF(OR(L195="",M195=""),"",M195-L195+1)</f>
        <v/>
      </c>
      <c r="P195" s="9">
        <f>IF(AND(N195="파견중",M195&lt;&gt;""),M195-TODAY(),"")</f>
        <v/>
      </c>
      <c r="Q195" s="6" t="n"/>
    </row>
    <row r="196">
      <c r="A196" s="5">
        <f>IF(B196="","",ROW()-1)</f>
        <v/>
      </c>
      <c r="B196" s="6" t="n"/>
      <c r="C196" s="7" t="n"/>
      <c r="D196" s="8" t="n"/>
      <c r="E196" s="6" t="n"/>
      <c r="F196" s="7" t="n"/>
      <c r="G196" s="7" t="n"/>
      <c r="H196" s="6" t="n"/>
      <c r="I196" s="6" t="n"/>
      <c r="J196" s="6" t="n"/>
      <c r="K196" s="6" t="n"/>
      <c r="L196" s="8" t="n"/>
      <c r="M196" s="8" t="n"/>
      <c r="N196" s="5">
        <f>IF(OR(B196="",L196=""),"",IF(TODAY()&lt;L196,"파견예정",IF(AND(M196&lt;&gt;"",TODAY()&gt;M196),"파견종료","파견중")))</f>
        <v/>
      </c>
      <c r="O196" s="9">
        <f>IF(OR(L196="",M196=""),"",M196-L196+1)</f>
        <v/>
      </c>
      <c r="P196" s="9">
        <f>IF(AND(N196="파견중",M196&lt;&gt;""),M196-TODAY(),"")</f>
        <v/>
      </c>
      <c r="Q196" s="6" t="n"/>
    </row>
    <row r="197">
      <c r="A197" s="5">
        <f>IF(B197="","",ROW()-1)</f>
        <v/>
      </c>
      <c r="B197" s="6" t="n"/>
      <c r="C197" s="7" t="n"/>
      <c r="D197" s="8" t="n"/>
      <c r="E197" s="6" t="n"/>
      <c r="F197" s="7" t="n"/>
      <c r="G197" s="7" t="n"/>
      <c r="H197" s="6" t="n"/>
      <c r="I197" s="6" t="n"/>
      <c r="J197" s="6" t="n"/>
      <c r="K197" s="6" t="n"/>
      <c r="L197" s="8" t="n"/>
      <c r="M197" s="8" t="n"/>
      <c r="N197" s="5">
        <f>IF(OR(B197="",L197=""),"",IF(TODAY()&lt;L197,"파견예정",IF(AND(M197&lt;&gt;"",TODAY()&gt;M197),"파견종료","파견중")))</f>
        <v/>
      </c>
      <c r="O197" s="9">
        <f>IF(OR(L197="",M197=""),"",M197-L197+1)</f>
        <v/>
      </c>
      <c r="P197" s="9">
        <f>IF(AND(N197="파견중",M197&lt;&gt;""),M197-TODAY(),"")</f>
        <v/>
      </c>
      <c r="Q197" s="6" t="n"/>
    </row>
    <row r="198">
      <c r="A198" s="5">
        <f>IF(B198="","",ROW()-1)</f>
        <v/>
      </c>
      <c r="B198" s="6" t="n"/>
      <c r="C198" s="7" t="n"/>
      <c r="D198" s="8" t="n"/>
      <c r="E198" s="6" t="n"/>
      <c r="F198" s="7" t="n"/>
      <c r="G198" s="7" t="n"/>
      <c r="H198" s="6" t="n"/>
      <c r="I198" s="6" t="n"/>
      <c r="J198" s="6" t="n"/>
      <c r="K198" s="6" t="n"/>
      <c r="L198" s="8" t="n"/>
      <c r="M198" s="8" t="n"/>
      <c r="N198" s="5">
        <f>IF(OR(B198="",L198=""),"",IF(TODAY()&lt;L198,"파견예정",IF(AND(M198&lt;&gt;"",TODAY()&gt;M198),"파견종료","파견중")))</f>
        <v/>
      </c>
      <c r="O198" s="9">
        <f>IF(OR(L198="",M198=""),"",M198-L198+1)</f>
        <v/>
      </c>
      <c r="P198" s="9">
        <f>IF(AND(N198="파견중",M198&lt;&gt;""),M198-TODAY(),"")</f>
        <v/>
      </c>
      <c r="Q198" s="6" t="n"/>
    </row>
    <row r="199">
      <c r="A199" s="5">
        <f>IF(B199="","",ROW()-1)</f>
        <v/>
      </c>
      <c r="B199" s="6" t="n"/>
      <c r="C199" s="7" t="n"/>
      <c r="D199" s="8" t="n"/>
      <c r="E199" s="6" t="n"/>
      <c r="F199" s="7" t="n"/>
      <c r="G199" s="7" t="n"/>
      <c r="H199" s="6" t="n"/>
      <c r="I199" s="6" t="n"/>
      <c r="J199" s="6" t="n"/>
      <c r="K199" s="6" t="n"/>
      <c r="L199" s="8" t="n"/>
      <c r="M199" s="8" t="n"/>
      <c r="N199" s="5">
        <f>IF(OR(B199="",L199=""),"",IF(TODAY()&lt;L199,"파견예정",IF(AND(M199&lt;&gt;"",TODAY()&gt;M199),"파견종료","파견중")))</f>
        <v/>
      </c>
      <c r="O199" s="9">
        <f>IF(OR(L199="",M199=""),"",M199-L199+1)</f>
        <v/>
      </c>
      <c r="P199" s="9">
        <f>IF(AND(N199="파견중",M199&lt;&gt;""),M199-TODAY(),"")</f>
        <v/>
      </c>
      <c r="Q199" s="6" t="n"/>
    </row>
    <row r="200">
      <c r="A200" s="5">
        <f>IF(B200="","",ROW()-1)</f>
        <v/>
      </c>
      <c r="B200" s="6" t="n"/>
      <c r="C200" s="7" t="n"/>
      <c r="D200" s="8" t="n"/>
      <c r="E200" s="6" t="n"/>
      <c r="F200" s="7" t="n"/>
      <c r="G200" s="7" t="n"/>
      <c r="H200" s="6" t="n"/>
      <c r="I200" s="6" t="n"/>
      <c r="J200" s="6" t="n"/>
      <c r="K200" s="6" t="n"/>
      <c r="L200" s="8" t="n"/>
      <c r="M200" s="8" t="n"/>
      <c r="N200" s="5">
        <f>IF(OR(B200="",L200=""),"",IF(TODAY()&lt;L200,"파견예정",IF(AND(M200&lt;&gt;"",TODAY()&gt;M200),"파견종료","파견중")))</f>
        <v/>
      </c>
      <c r="O200" s="9">
        <f>IF(OR(L200="",M200=""),"",M200-L200+1)</f>
        <v/>
      </c>
      <c r="P200" s="9">
        <f>IF(AND(N200="파견중",M200&lt;&gt;""),M200-TODAY(),"")</f>
        <v/>
      </c>
      <c r="Q200" s="6" t="n"/>
    </row>
    <row r="201">
      <c r="A201" s="5">
        <f>IF(B201="","",ROW()-1)</f>
        <v/>
      </c>
      <c r="B201" s="6" t="n"/>
      <c r="C201" s="7" t="n"/>
      <c r="D201" s="8" t="n"/>
      <c r="E201" s="6" t="n"/>
      <c r="F201" s="7" t="n"/>
      <c r="G201" s="7" t="n"/>
      <c r="H201" s="6" t="n"/>
      <c r="I201" s="6" t="n"/>
      <c r="J201" s="6" t="n"/>
      <c r="K201" s="6" t="n"/>
      <c r="L201" s="8" t="n"/>
      <c r="M201" s="8" t="n"/>
      <c r="N201" s="5">
        <f>IF(OR(B201="",L201=""),"",IF(TODAY()&lt;L201,"파견예정",IF(AND(M201&lt;&gt;"",TODAY()&gt;M201),"파견종료","파견중")))</f>
        <v/>
      </c>
      <c r="O201" s="9">
        <f>IF(OR(L201="",M201=""),"",M201-L201+1)</f>
        <v/>
      </c>
      <c r="P201" s="9">
        <f>IF(AND(N201="파견중",M201&lt;&gt;""),M201-TODAY(),"")</f>
        <v/>
      </c>
      <c r="Q201" s="6" t="n"/>
    </row>
  </sheetData>
  <conditionalFormatting sqref="N2:P201">
    <cfRule type="expression" priority="1" dxfId="0">
      <formula>$N2="파견종료"</formula>
    </cfRule>
  </conditionalFormatting>
  <conditionalFormatting sqref="A2:Q201">
    <cfRule type="expression" priority="2" dxfId="1">
      <formula>AND($N2="파견중",$P2&lt;&gt;"",$P2&lt;=요약!$E$2)</formula>
    </cfRule>
  </conditionalFormatting>
  <conditionalFormatting sqref="N2:N201">
    <cfRule type="expression" priority="3" dxfId="2">
      <formula>$N2="파견중"</formula>
    </cfRule>
    <cfRule type="expression" priority="4" dxfId="3">
      <formula>$N2="파견예정"</formula>
    </cfRule>
  </conditionalFormatting>
  <conditionalFormatting sqref="J2:J201">
    <cfRule type="expression" priority="5" dxfId="4">
      <formula>AND($J2&lt;&gt;"",$H2&lt;&gt;"",$J2&lt;&gt;$H2)</formula>
    </cfRule>
  </conditionalFormatting>
  <dataValidations count="7">
    <dataValidation sqref="E2:E201" showDropDown="0" showInputMessage="0" showErrorMessage="1" allowBlank="1" errorTitle="목록 선택" error="코드표 시트의 목록에서 선택하세요." type="list">
      <formula1>=코드표!$A$2:$A$21</formula1>
    </dataValidation>
    <dataValidation sqref="H2:H201" showDropDown="0" showInputMessage="0" showErrorMessage="1" allowBlank="1" errorTitle="목록 선택" error="코드표 시트의 목록에서 선택하세요." type="list">
      <formula1>=코드표!$A$2:$A$21</formula1>
    </dataValidation>
    <dataValidation sqref="I2:I201" showDropDown="0" showInputMessage="0" showErrorMessage="1" allowBlank="1" errorTitle="목록 선택" error="코드표 시트의 목록에서 선택하세요." type="list">
      <formula1>=코드표!$B$2:$B$21</formula1>
    </dataValidation>
    <dataValidation sqref="J2:J201" showDropDown="0" showInputMessage="0" showErrorMessage="1" allowBlank="1" errorTitle="목록 선택" error="코드표 시트의 목록에서 선택하세요." type="list">
      <formula1>=코드표!$A$2:$A$21</formula1>
    </dataValidation>
    <dataValidation sqref="K2:K201" showDropDown="0" showInputMessage="0" showErrorMessage="1" allowBlank="1" errorTitle="목록 선택" error="코드표 시트의 목록에서 선택하세요." type="list">
      <formula1>=코드표!$C$2:$C$21</formula1>
    </dataValidation>
    <dataValidation sqref="D2:D201 L2:M201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M2:M201" showDropDown="0" showInputMessage="0" showErrorMessage="1" allowBlank="1" errorTitle="종료일 오류" error="종료일은 시작일 이후여야 합니다." type="custom">
      <formula1>OR(M2="",L2="",M2&gt;=L2)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3" customWidth="1" min="3" max="3"/>
    <col width="14" customWidth="1" min="4" max="4"/>
    <col width="12" customWidth="1" min="5" max="5"/>
    <col width="12" customWidth="1" min="6" max="6"/>
    <col width="16" customWidth="1" min="7" max="7"/>
    <col width="3" customWidth="1" min="8" max="8"/>
    <col width="18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10">
        <f>TODAY()</f>
        <v/>
      </c>
      <c r="D2" s="3" t="inlineStr">
        <is>
          <t>종료 임박 기준(일)</t>
        </is>
      </c>
      <c r="E2" s="11" t="n">
        <v>30</v>
      </c>
      <c r="F2" s="2" t="inlineStr">
        <is>
          <t>← 변경 가능 (전공의명단 주황색 강조에도 반영)</t>
        </is>
      </c>
    </row>
    <row r="4">
      <c r="A4" s="4" t="inlineStr">
        <is>
          <t>파견상태</t>
        </is>
      </c>
      <c r="B4" s="4" t="inlineStr">
        <is>
          <t>인원</t>
        </is>
      </c>
      <c r="D4" s="4" t="inlineStr">
        <is>
          <t>병원</t>
        </is>
      </c>
      <c r="E4" s="4" t="inlineStr">
        <is>
          <t>현재 근무</t>
        </is>
      </c>
      <c r="F4" s="4" t="inlineStr">
        <is>
          <t>급여 지급</t>
        </is>
      </c>
      <c r="G4" s="4" t="inlineStr">
        <is>
          <t>파견중(근무기준)</t>
        </is>
      </c>
      <c r="I4" s="4" t="inlineStr">
        <is>
          <t>진료과</t>
        </is>
      </c>
      <c r="J4" s="4" t="inlineStr">
        <is>
          <t>인원</t>
        </is>
      </c>
    </row>
    <row r="5">
      <c r="A5" s="12" t="inlineStr">
        <is>
          <t>파견중</t>
        </is>
      </c>
      <c r="B5" s="12">
        <f>COUNTIF(전공의명단!$N$2:$N$201,A5)</f>
        <v/>
      </c>
      <c r="D5" s="12">
        <f>IF(코드표!A2="","",코드표!A2)</f>
        <v/>
      </c>
      <c r="E5" s="12">
        <f>IF(D5="","",COUNTIF(전공의명단!$H$2:$H$201,D5))</f>
        <v/>
      </c>
      <c r="F5" s="12">
        <f>IF(D5="","",COUNTIF(전공의명단!$J$2:$J$201,D5))</f>
        <v/>
      </c>
      <c r="G5" s="12">
        <f>IF(D5="","",COUNTIFS(전공의명단!$H$2:$H$201,D5,전공의명단!$N$2:$N$201,"파견중"))</f>
        <v/>
      </c>
      <c r="I5" s="12">
        <f>IF(코드표!B2="","",코드표!B2)</f>
        <v/>
      </c>
      <c r="J5" s="12">
        <f>IF(I5="","",COUNTIF(전공의명단!$I$2:$I$201,I5))</f>
        <v/>
      </c>
    </row>
    <row r="6">
      <c r="A6" s="12" t="inlineStr">
        <is>
          <t>파견예정</t>
        </is>
      </c>
      <c r="B6" s="12">
        <f>COUNTIF(전공의명단!$N$2:$N$201,A6)</f>
        <v/>
      </c>
      <c r="D6" s="12">
        <f>IF(코드표!A3="","",코드표!A3)</f>
        <v/>
      </c>
      <c r="E6" s="12">
        <f>IF(D6="","",COUNTIF(전공의명단!$H$2:$H$201,D6))</f>
        <v/>
      </c>
      <c r="F6" s="12">
        <f>IF(D6="","",COUNTIF(전공의명단!$J$2:$J$201,D6))</f>
        <v/>
      </c>
      <c r="G6" s="12">
        <f>IF(D6="","",COUNTIFS(전공의명단!$H$2:$H$201,D6,전공의명단!$N$2:$N$201,"파견중"))</f>
        <v/>
      </c>
      <c r="I6" s="12">
        <f>IF(코드표!B3="","",코드표!B3)</f>
        <v/>
      </c>
      <c r="J6" s="12">
        <f>IF(I6="","",COUNTIF(전공의명단!$I$2:$I$201,I6))</f>
        <v/>
      </c>
    </row>
    <row r="7">
      <c r="A7" s="12" t="inlineStr">
        <is>
          <t>파견종료</t>
        </is>
      </c>
      <c r="B7" s="12">
        <f>COUNTIF(전공의명단!$N$2:$N$201,A7)</f>
        <v/>
      </c>
      <c r="D7" s="12">
        <f>IF(코드표!A4="","",코드표!A4)</f>
        <v/>
      </c>
      <c r="E7" s="12">
        <f>IF(D7="","",COUNTIF(전공의명단!$H$2:$H$201,D7))</f>
        <v/>
      </c>
      <c r="F7" s="12">
        <f>IF(D7="","",COUNTIF(전공의명단!$J$2:$J$201,D7))</f>
        <v/>
      </c>
      <c r="G7" s="12">
        <f>IF(D7="","",COUNTIFS(전공의명단!$H$2:$H$201,D7,전공의명단!$N$2:$N$201,"파견중"))</f>
        <v/>
      </c>
      <c r="I7" s="12">
        <f>IF(코드표!B4="","",코드표!B4)</f>
        <v/>
      </c>
      <c r="J7" s="12">
        <f>IF(I7="","",COUNTIF(전공의명단!$I$2:$I$201,I7))</f>
        <v/>
      </c>
    </row>
    <row r="8">
      <c r="A8" s="13" t="inlineStr">
        <is>
          <t>전체 인원</t>
        </is>
      </c>
      <c r="B8" s="13">
        <f>COUNTA(전공의명단!$B$2:$B$201)</f>
        <v/>
      </c>
      <c r="D8" s="12">
        <f>IF(코드표!A5="","",코드표!A5)</f>
        <v/>
      </c>
      <c r="E8" s="12">
        <f>IF(D8="","",COUNTIF(전공의명단!$H$2:$H$201,D8))</f>
        <v/>
      </c>
      <c r="F8" s="12">
        <f>IF(D8="","",COUNTIF(전공의명단!$J$2:$J$201,D8))</f>
        <v/>
      </c>
      <c r="G8" s="12">
        <f>IF(D8="","",COUNTIFS(전공의명단!$H$2:$H$201,D8,전공의명단!$N$2:$N$201,"파견중"))</f>
        <v/>
      </c>
      <c r="I8" s="12">
        <f>IF(코드표!B5="","",코드표!B5)</f>
        <v/>
      </c>
      <c r="J8" s="12">
        <f>IF(I8="","",COUNTIF(전공의명단!$I$2:$I$201,I8))</f>
        <v/>
      </c>
    </row>
    <row r="9">
      <c r="A9" s="12" t="inlineStr">
        <is>
          <t>종료 임박(파견중)</t>
        </is>
      </c>
      <c r="B9" s="12">
        <f>COUNTIFS(전공의명단!$N$2:$N$201,"파견중",전공의명단!$P$2:$P$201,"&lt;="&amp;$E$2)</f>
        <v/>
      </c>
      <c r="D9" s="12">
        <f>IF(코드표!A6="","",코드표!A6)</f>
        <v/>
      </c>
      <c r="E9" s="12">
        <f>IF(D9="","",COUNTIF(전공의명단!$H$2:$H$201,D9))</f>
        <v/>
      </c>
      <c r="F9" s="12">
        <f>IF(D9="","",COUNTIF(전공의명단!$J$2:$J$201,D9))</f>
        <v/>
      </c>
      <c r="G9" s="12">
        <f>IF(D9="","",COUNTIFS(전공의명단!$H$2:$H$201,D9,전공의명단!$N$2:$N$201,"파견중"))</f>
        <v/>
      </c>
      <c r="I9" s="12">
        <f>IF(코드표!B6="","",코드표!B6)</f>
        <v/>
      </c>
      <c r="J9" s="12">
        <f>IF(I9="","",COUNTIF(전공의명단!$I$2:$I$201,I9))</f>
        <v/>
      </c>
    </row>
    <row r="10">
      <c r="D10" s="12">
        <f>IF(코드표!A7="","",코드표!A7)</f>
        <v/>
      </c>
      <c r="E10" s="12">
        <f>IF(D10="","",COUNTIF(전공의명단!$H$2:$H$201,D10))</f>
        <v/>
      </c>
      <c r="F10" s="12">
        <f>IF(D10="","",COUNTIF(전공의명단!$J$2:$J$201,D10))</f>
        <v/>
      </c>
      <c r="G10" s="12">
        <f>IF(D10="","",COUNTIFS(전공의명단!$H$2:$H$201,D10,전공의명단!$N$2:$N$201,"파견중"))</f>
        <v/>
      </c>
      <c r="I10" s="12">
        <f>IF(코드표!B7="","",코드표!B7)</f>
        <v/>
      </c>
      <c r="J10" s="12">
        <f>IF(I10="","",COUNTIF(전공의명단!$I$2:$I$201,I10))</f>
        <v/>
      </c>
    </row>
    <row r="11">
      <c r="D11" s="12">
        <f>IF(코드표!A8="","",코드표!A8)</f>
        <v/>
      </c>
      <c r="E11" s="12">
        <f>IF(D11="","",COUNTIF(전공의명단!$H$2:$H$201,D11))</f>
        <v/>
      </c>
      <c r="F11" s="12">
        <f>IF(D11="","",COUNTIF(전공의명단!$J$2:$J$201,D11))</f>
        <v/>
      </c>
      <c r="G11" s="12">
        <f>IF(D11="","",COUNTIFS(전공의명단!$H$2:$H$201,D11,전공의명단!$N$2:$N$201,"파견중"))</f>
        <v/>
      </c>
      <c r="I11" s="12">
        <f>IF(코드표!B8="","",코드표!B8)</f>
        <v/>
      </c>
      <c r="J11" s="12">
        <f>IF(I11="","",COUNTIF(전공의명단!$I$2:$I$201,I11))</f>
        <v/>
      </c>
    </row>
    <row r="12">
      <c r="A12" s="4" t="inlineStr">
        <is>
          <t>파견종류</t>
        </is>
      </c>
      <c r="B12" s="4" t="inlineStr">
        <is>
          <t>인원</t>
        </is>
      </c>
      <c r="D12" s="12">
        <f>IF(코드표!A9="","",코드표!A9)</f>
        <v/>
      </c>
      <c r="E12" s="12">
        <f>IF(D12="","",COUNTIF(전공의명단!$H$2:$H$201,D12))</f>
        <v/>
      </c>
      <c r="F12" s="12">
        <f>IF(D12="","",COUNTIF(전공의명단!$J$2:$J$201,D12))</f>
        <v/>
      </c>
      <c r="G12" s="12">
        <f>IF(D12="","",COUNTIFS(전공의명단!$H$2:$H$201,D12,전공의명단!$N$2:$N$201,"파견중"))</f>
        <v/>
      </c>
      <c r="I12" s="12">
        <f>IF(코드표!B9="","",코드표!B9)</f>
        <v/>
      </c>
      <c r="J12" s="12">
        <f>IF(I12="","",COUNTIF(전공의명단!$I$2:$I$201,I12))</f>
        <v/>
      </c>
    </row>
    <row r="13">
      <c r="A13" s="12">
        <f>IF(코드표!C2="","",코드표!C2)</f>
        <v/>
      </c>
      <c r="B13" s="12">
        <f>IF(A13="","",COUNTIF(전공의명단!$K$2:$K$201,A13))</f>
        <v/>
      </c>
      <c r="D13" s="12">
        <f>IF(코드표!A10="","",코드표!A10)</f>
        <v/>
      </c>
      <c r="E13" s="12">
        <f>IF(D13="","",COUNTIF(전공의명단!$H$2:$H$201,D13))</f>
        <v/>
      </c>
      <c r="F13" s="12">
        <f>IF(D13="","",COUNTIF(전공의명단!$J$2:$J$201,D13))</f>
        <v/>
      </c>
      <c r="G13" s="12">
        <f>IF(D13="","",COUNTIFS(전공의명단!$H$2:$H$201,D13,전공의명단!$N$2:$N$201,"파견중"))</f>
        <v/>
      </c>
      <c r="I13" s="12">
        <f>IF(코드표!B10="","",코드표!B10)</f>
        <v/>
      </c>
      <c r="J13" s="12">
        <f>IF(I13="","",COUNTIF(전공의명단!$I$2:$I$201,I13))</f>
        <v/>
      </c>
    </row>
    <row r="14">
      <c r="A14" s="12">
        <f>IF(코드표!C3="","",코드표!C3)</f>
        <v/>
      </c>
      <c r="B14" s="12">
        <f>IF(A14="","",COUNTIF(전공의명단!$K$2:$K$201,A14))</f>
        <v/>
      </c>
      <c r="D14" s="12">
        <f>IF(코드표!A11="","",코드표!A11)</f>
        <v/>
      </c>
      <c r="E14" s="12">
        <f>IF(D14="","",COUNTIF(전공의명단!$H$2:$H$201,D14))</f>
        <v/>
      </c>
      <c r="F14" s="12">
        <f>IF(D14="","",COUNTIF(전공의명단!$J$2:$J$201,D14))</f>
        <v/>
      </c>
      <c r="G14" s="12">
        <f>IF(D14="","",COUNTIFS(전공의명단!$H$2:$H$201,D14,전공의명단!$N$2:$N$201,"파견중"))</f>
        <v/>
      </c>
      <c r="I14" s="12">
        <f>IF(코드표!B11="","",코드표!B11)</f>
        <v/>
      </c>
      <c r="J14" s="12">
        <f>IF(I14="","",COUNTIF(전공의명단!$I$2:$I$201,I14))</f>
        <v/>
      </c>
    </row>
    <row r="15">
      <c r="A15" s="12">
        <f>IF(코드표!C4="","",코드표!C4)</f>
        <v/>
      </c>
      <c r="B15" s="12">
        <f>IF(A15="","",COUNTIF(전공의명단!$K$2:$K$201,A15))</f>
        <v/>
      </c>
      <c r="D15" s="12">
        <f>IF(코드표!A12="","",코드표!A12)</f>
        <v/>
      </c>
      <c r="E15" s="12">
        <f>IF(D15="","",COUNTIF(전공의명단!$H$2:$H$201,D15))</f>
        <v/>
      </c>
      <c r="F15" s="12">
        <f>IF(D15="","",COUNTIF(전공의명단!$J$2:$J$201,D15))</f>
        <v/>
      </c>
      <c r="G15" s="12">
        <f>IF(D15="","",COUNTIFS(전공의명단!$H$2:$H$201,D15,전공의명단!$N$2:$N$201,"파견중"))</f>
        <v/>
      </c>
      <c r="I15" s="12">
        <f>IF(코드표!B12="","",코드표!B12)</f>
        <v/>
      </c>
      <c r="J15" s="12">
        <f>IF(I15="","",COUNTIF(전공의명단!$I$2:$I$201,I15))</f>
        <v/>
      </c>
    </row>
    <row r="16">
      <c r="A16" s="12">
        <f>IF(코드표!C5="","",코드표!C5)</f>
        <v/>
      </c>
      <c r="B16" s="12">
        <f>IF(A16="","",COUNTIF(전공의명단!$K$2:$K$201,A16))</f>
        <v/>
      </c>
      <c r="D16" s="12">
        <f>IF(코드표!A13="","",코드표!A13)</f>
        <v/>
      </c>
      <c r="E16" s="12">
        <f>IF(D16="","",COUNTIF(전공의명단!$H$2:$H$201,D16))</f>
        <v/>
      </c>
      <c r="F16" s="12">
        <f>IF(D16="","",COUNTIF(전공의명단!$J$2:$J$201,D16))</f>
        <v/>
      </c>
      <c r="G16" s="12">
        <f>IF(D16="","",COUNTIFS(전공의명단!$H$2:$H$201,D16,전공의명단!$N$2:$N$201,"파견중"))</f>
        <v/>
      </c>
      <c r="I16" s="12">
        <f>IF(코드표!B13="","",코드표!B13)</f>
        <v/>
      </c>
      <c r="J16" s="12">
        <f>IF(I16="","",COUNTIF(전공의명단!$I$2:$I$201,I16))</f>
        <v/>
      </c>
    </row>
    <row r="17">
      <c r="A17" s="12">
        <f>IF(코드표!C6="","",코드표!C6)</f>
        <v/>
      </c>
      <c r="B17" s="12">
        <f>IF(A17="","",COUNTIF(전공의명단!$K$2:$K$201,A17))</f>
        <v/>
      </c>
      <c r="D17" s="12">
        <f>IF(코드표!A14="","",코드표!A14)</f>
        <v/>
      </c>
      <c r="E17" s="12">
        <f>IF(D17="","",COUNTIF(전공의명단!$H$2:$H$201,D17))</f>
        <v/>
      </c>
      <c r="F17" s="12">
        <f>IF(D17="","",COUNTIF(전공의명단!$J$2:$J$201,D17))</f>
        <v/>
      </c>
      <c r="G17" s="12">
        <f>IF(D17="","",COUNTIFS(전공의명단!$H$2:$H$201,D17,전공의명단!$N$2:$N$201,"파견중"))</f>
        <v/>
      </c>
      <c r="I17" s="12">
        <f>IF(코드표!B14="","",코드표!B14)</f>
        <v/>
      </c>
      <c r="J17" s="12">
        <f>IF(I17="","",COUNTIF(전공의명단!$I$2:$I$201,I17))</f>
        <v/>
      </c>
    </row>
    <row r="18">
      <c r="A18" s="12">
        <f>IF(코드표!C7="","",코드표!C7)</f>
        <v/>
      </c>
      <c r="B18" s="12">
        <f>IF(A18="","",COUNTIF(전공의명단!$K$2:$K$201,A18))</f>
        <v/>
      </c>
      <c r="D18" s="12">
        <f>IF(코드표!A15="","",코드표!A15)</f>
        <v/>
      </c>
      <c r="E18" s="12">
        <f>IF(D18="","",COUNTIF(전공의명단!$H$2:$H$201,D18))</f>
        <v/>
      </c>
      <c r="F18" s="12">
        <f>IF(D18="","",COUNTIF(전공의명단!$J$2:$J$201,D18))</f>
        <v/>
      </c>
      <c r="G18" s="12">
        <f>IF(D18="","",COUNTIFS(전공의명단!$H$2:$H$201,D18,전공의명단!$N$2:$N$201,"파견중"))</f>
        <v/>
      </c>
      <c r="I18" s="12">
        <f>IF(코드표!B15="","",코드표!B15)</f>
        <v/>
      </c>
      <c r="J18" s="12">
        <f>IF(I18="","",COUNTIF(전공의명단!$I$2:$I$201,I18))</f>
        <v/>
      </c>
    </row>
    <row r="19">
      <c r="A19" s="12">
        <f>IF(코드표!C8="","",코드표!C8)</f>
        <v/>
      </c>
      <c r="B19" s="12">
        <f>IF(A19="","",COUNTIF(전공의명단!$K$2:$K$201,A19))</f>
        <v/>
      </c>
      <c r="D19" s="12">
        <f>IF(코드표!A16="","",코드표!A16)</f>
        <v/>
      </c>
      <c r="E19" s="12">
        <f>IF(D19="","",COUNTIF(전공의명단!$H$2:$H$201,D19))</f>
        <v/>
      </c>
      <c r="F19" s="12">
        <f>IF(D19="","",COUNTIF(전공의명단!$J$2:$J$201,D19))</f>
        <v/>
      </c>
      <c r="G19" s="12">
        <f>IF(D19="","",COUNTIFS(전공의명단!$H$2:$H$201,D19,전공의명단!$N$2:$N$201,"파견중"))</f>
        <v/>
      </c>
      <c r="I19" s="12">
        <f>IF(코드표!B16="","",코드표!B16)</f>
        <v/>
      </c>
      <c r="J19" s="12">
        <f>IF(I19="","",COUNTIF(전공의명단!$I$2:$I$201,I19))</f>
        <v/>
      </c>
    </row>
    <row r="20">
      <c r="A20" s="12">
        <f>IF(코드표!C9="","",코드표!C9)</f>
        <v/>
      </c>
      <c r="B20" s="12">
        <f>IF(A20="","",COUNTIF(전공의명단!$K$2:$K$201,A20))</f>
        <v/>
      </c>
      <c r="D20" s="12">
        <f>IF(코드표!A17="","",코드표!A17)</f>
        <v/>
      </c>
      <c r="E20" s="12">
        <f>IF(D20="","",COUNTIF(전공의명단!$H$2:$H$201,D20))</f>
        <v/>
      </c>
      <c r="F20" s="12">
        <f>IF(D20="","",COUNTIF(전공의명단!$J$2:$J$201,D20))</f>
        <v/>
      </c>
      <c r="G20" s="12">
        <f>IF(D20="","",COUNTIFS(전공의명단!$H$2:$H$201,D20,전공의명단!$N$2:$N$201,"파견중"))</f>
        <v/>
      </c>
      <c r="I20" s="12">
        <f>IF(코드표!B17="","",코드표!B17)</f>
        <v/>
      </c>
      <c r="J20" s="12">
        <f>IF(I20="","",COUNTIF(전공의명단!$I$2:$I$201,I20))</f>
        <v/>
      </c>
    </row>
    <row r="21">
      <c r="D21" s="12">
        <f>IF(코드표!A18="","",코드표!A18)</f>
        <v/>
      </c>
      <c r="E21" s="12">
        <f>IF(D21="","",COUNTIF(전공의명단!$H$2:$H$201,D21))</f>
        <v/>
      </c>
      <c r="F21" s="12">
        <f>IF(D21="","",COUNTIF(전공의명단!$J$2:$J$201,D21))</f>
        <v/>
      </c>
      <c r="G21" s="12">
        <f>IF(D21="","",COUNTIFS(전공의명단!$H$2:$H$201,D21,전공의명단!$N$2:$N$201,"파견중"))</f>
        <v/>
      </c>
      <c r="I21" s="12">
        <f>IF(코드표!B18="","",코드표!B18)</f>
        <v/>
      </c>
      <c r="J21" s="12">
        <f>IF(I21="","",COUNTIF(전공의명단!$I$2:$I$201,I21))</f>
        <v/>
      </c>
    </row>
    <row r="22">
      <c r="D22" s="12">
        <f>IF(코드표!A19="","",코드표!A19)</f>
        <v/>
      </c>
      <c r="E22" s="12">
        <f>IF(D22="","",COUNTIF(전공의명단!$H$2:$H$201,D22))</f>
        <v/>
      </c>
      <c r="F22" s="12">
        <f>IF(D22="","",COUNTIF(전공의명단!$J$2:$J$201,D22))</f>
        <v/>
      </c>
      <c r="G22" s="12">
        <f>IF(D22="","",COUNTIFS(전공의명단!$H$2:$H$201,D22,전공의명단!$N$2:$N$201,"파견중"))</f>
        <v/>
      </c>
      <c r="I22" s="12">
        <f>IF(코드표!B19="","",코드표!B19)</f>
        <v/>
      </c>
      <c r="J22" s="12">
        <f>IF(I22="","",COUNTIF(전공의명단!$I$2:$I$201,I22))</f>
        <v/>
      </c>
    </row>
    <row r="23">
      <c r="D23" s="12">
        <f>IF(코드표!A20="","",코드표!A20)</f>
        <v/>
      </c>
      <c r="E23" s="12">
        <f>IF(D23="","",COUNTIF(전공의명단!$H$2:$H$201,D23))</f>
        <v/>
      </c>
      <c r="F23" s="12">
        <f>IF(D23="","",COUNTIF(전공의명단!$J$2:$J$201,D23))</f>
        <v/>
      </c>
      <c r="G23" s="12">
        <f>IF(D23="","",COUNTIFS(전공의명단!$H$2:$H$201,D23,전공의명단!$N$2:$N$201,"파견중"))</f>
        <v/>
      </c>
      <c r="I23" s="12">
        <f>IF(코드표!B20="","",코드표!B20)</f>
        <v/>
      </c>
      <c r="J23" s="12">
        <f>IF(I23="","",COUNTIF(전공의명단!$I$2:$I$201,I23))</f>
        <v/>
      </c>
    </row>
    <row r="24">
      <c r="D24" s="12">
        <f>IF(코드표!A21="","",코드표!A21)</f>
        <v/>
      </c>
      <c r="E24" s="12">
        <f>IF(D24="","",COUNTIF(전공의명단!$H$2:$H$201,D24))</f>
        <v/>
      </c>
      <c r="F24" s="12">
        <f>IF(D24="","",COUNTIF(전공의명단!$J$2:$J$201,D24))</f>
        <v/>
      </c>
      <c r="G24" s="12">
        <f>IF(D24="","",COUNTIFS(전공의명단!$H$2:$H$201,D24,전공의명단!$N$2:$N$201,"파견중"))</f>
        <v/>
      </c>
      <c r="I24" s="12">
        <f>IF(코드표!B21="","",코드표!B21)</f>
        <v/>
      </c>
      <c r="J24" s="12">
        <f>IF(I24="","",COUNTIF(전공의명단!$I$2:$I$201,I24))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4" t="inlineStr">
        <is>
          <t>병원</t>
        </is>
      </c>
      <c r="B1" s="4" t="inlineStr">
        <is>
          <t>진료과</t>
        </is>
      </c>
      <c r="C1" s="4" t="inlineStr">
        <is>
          <t>파견종류</t>
        </is>
      </c>
      <c r="E1" s="2" t="inlineStr">
        <is>
          <t>※ 파란 글씨 칸이 드롭다운 목록입니다. 병원/진료과/파견종류를 이 표에서 추가·수정하면 입력 목록과 요약이 같이 바뀝니다.</t>
        </is>
      </c>
    </row>
    <row r="2">
      <c r="A2" s="6" t="inlineStr">
        <is>
          <t>본원</t>
        </is>
      </c>
      <c r="B2" s="6" t="inlineStr">
        <is>
          <t>내과</t>
        </is>
      </c>
      <c r="C2" s="6" t="inlineStr">
        <is>
          <t>수련 파견</t>
        </is>
      </c>
    </row>
    <row r="3">
      <c r="A3" s="6" t="inlineStr">
        <is>
          <t>A병원</t>
        </is>
      </c>
      <c r="B3" s="6" t="inlineStr">
        <is>
          <t>외과</t>
        </is>
      </c>
      <c r="C3" s="6" t="inlineStr">
        <is>
          <t>교육 파견</t>
        </is>
      </c>
    </row>
    <row r="4">
      <c r="A4" s="6" t="inlineStr">
        <is>
          <t>B병원</t>
        </is>
      </c>
      <c r="B4" s="6" t="inlineStr">
        <is>
          <t>소아청소년과</t>
        </is>
      </c>
      <c r="C4" s="6" t="inlineStr">
        <is>
          <t>지원 파견</t>
        </is>
      </c>
    </row>
    <row r="5">
      <c r="A5" s="6" t="inlineStr">
        <is>
          <t>C병원</t>
        </is>
      </c>
      <c r="B5" s="6" t="inlineStr">
        <is>
          <t>산부인과</t>
        </is>
      </c>
      <c r="C5" s="6" t="inlineStr">
        <is>
          <t>기타</t>
        </is>
      </c>
    </row>
    <row r="6">
      <c r="A6" s="6" t="inlineStr">
        <is>
          <t>D병원</t>
        </is>
      </c>
      <c r="B6" s="6" t="inlineStr">
        <is>
          <t>정형외과</t>
        </is>
      </c>
      <c r="C6" s="6" t="n"/>
    </row>
    <row r="7">
      <c r="A7" s="6" t="n"/>
      <c r="B7" s="6" t="inlineStr">
        <is>
          <t>마취통증의학과</t>
        </is>
      </c>
      <c r="C7" s="6" t="n"/>
    </row>
    <row r="8">
      <c r="A8" s="6" t="n"/>
      <c r="B8" s="6" t="inlineStr">
        <is>
          <t>영상의학과</t>
        </is>
      </c>
      <c r="C8" s="6" t="n"/>
    </row>
    <row r="9">
      <c r="A9" s="6" t="n"/>
      <c r="B9" s="6" t="inlineStr">
        <is>
          <t>응급의학과</t>
        </is>
      </c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2026-10-03T07:49:58Z</dcterms:created>
  <dcterms:modified xsi:type="dcterms:W3CDTF">2026-10-03T07:49:58Z</dcterms:modified>
</cp:coreProperties>
</file>