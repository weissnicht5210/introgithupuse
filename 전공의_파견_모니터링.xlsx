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안내" sheetId="1" state="visible" r:id="rId1"/>
    <sheet name="기본자료" sheetId="2" state="visible" r:id="rId2"/>
    <sheet name="인턴근무계획" sheetId="3" state="visible" r:id="rId3"/>
    <sheet name="파견수련계획" sheetId="4" state="visible" r:id="rId4"/>
    <sheet name="전공의명단" sheetId="5" state="visible" r:id="rId5"/>
    <sheet name="요약" sheetId="6" state="visible" r:id="rId6"/>
    <sheet name="인턴현황" sheetId="7" state="visible" r:id="rId7"/>
    <sheet name="코드표" sheetId="8" state="visible" r:id="rId8"/>
  </sheets>
  <definedNames>
    <definedName name="_xlnm._FilterDatabase" localSheetId="1" hidden="1">'기본자료'!$A$1:$L$501</definedName>
    <definedName name="_xlnm._FilterDatabase" localSheetId="6" hidden="1">'인턴현황'!$A$5:$Q$205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FF"/>
      <sz val="10"/>
    </font>
    <font>
      <name val="맑은 고딕"/>
      <sz val="10"/>
    </font>
    <font>
      <name val="맑은 고딕"/>
      <b val="1"/>
      <sz val="14"/>
    </font>
    <font>
      <name val="맑은 고딕"/>
      <color rgb="007F7F7F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F2F2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49" fontId="2" fillId="0" borderId="1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3" borderId="0" pivotButton="0" quotePrefix="0" xfId="0"/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3" fillId="4" borderId="1" pivotButton="0" quotePrefix="0" xfId="0"/>
    <xf numFmtId="164" fontId="3" fillId="0" borderId="0" pivotButton="0" quotePrefix="0" xfId="0"/>
    <xf numFmtId="0" fontId="2" fillId="5" borderId="0" pivotButton="0" quotePrefix="0" xfId="0"/>
    <xf numFmtId="164" fontId="2" fillId="5" borderId="0" pivotButton="0" quotePrefix="0" xfId="0"/>
    <xf numFmtId="0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13">
    <dxf>
      <fill>
        <patternFill patternType="solid">
          <bgColor rgb="00FFC7CE"/>
        </patternFill>
      </fill>
    </dxf>
    <dxf>
      <font>
        <name val="맑은 고딕"/>
        <b val="1"/>
        <color rgb="00C00000"/>
      </font>
      <fill>
        <patternFill patternType="solid">
          <bgColor rgb="00FFC7CE"/>
        </patternFill>
      </fill>
    </dxf>
    <dxf>
      <font>
        <name val="맑은 고딕"/>
        <b val="1"/>
        <color rgb="00C00000"/>
      </font>
    </dxf>
    <dxf>
      <font>
        <name val="맑은 고딕"/>
        <b val="1"/>
        <color rgb="00FFFFFF"/>
      </font>
      <fill>
        <patternFill patternType="solid">
          <bgColor rgb="00FF0000"/>
        </patternFill>
      </fill>
    </dxf>
    <dxf>
      <fill>
        <patternFill patternType="solid">
          <bgColor rgb="00FFC000"/>
        </patternFill>
      </fill>
    </dxf>
    <dxf>
      <font>
        <name val="맑은 고딕"/>
        <b val="1"/>
        <color rgb="00FF0000"/>
      </font>
    </dxf>
    <dxf>
      <font>
        <name val="맑은 고딕"/>
        <b val="1"/>
        <color rgb="009C0006"/>
      </font>
      <fill>
        <patternFill patternType="solid">
          <bgColor rgb="00FFC7CE"/>
        </patternFill>
      </fill>
    </dxf>
    <dxf>
      <font>
        <name val="맑은 고딕"/>
        <color rgb="007F7F7F"/>
      </font>
      <fill>
        <patternFill patternType="solid">
          <bgColor rgb="00D9D9D9"/>
        </patternFill>
      </fill>
    </dxf>
    <dxf>
      <fill>
        <patternFill patternType="solid">
          <bgColor rgb="00F8CBAD"/>
        </patternFill>
      </fill>
    </dxf>
    <dxf>
      <fill>
        <patternFill patternType="solid">
          <bgColor rgb="00C6E0B4"/>
        </patternFill>
      </fill>
    </dxf>
    <dxf>
      <fill>
        <patternFill patternType="solid">
          <bgColor rgb="00BDD7EE"/>
        </patternFill>
      </fill>
    </dxf>
    <dxf>
      <fill>
        <patternFill patternType="solid">
          <bgColor rgb="00FFFF00"/>
        </patternFill>
      </fill>
    </dxf>
    <dxf>
      <fill>
        <patternFill patternType="solid">
          <b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전공의" displayName="전공의" ref="A1:AL201" headerRowCount="1">
  <autoFilter ref="A1:AL201"/>
  <tableColumns count="38">
    <tableColumn id="1" name="번호"/>
    <tableColumn id="2" name="사번"/>
    <tableColumn id="3" name="이름"/>
    <tableColumn id="4" name="성별"/>
    <tableColumn id="5" name="생년월일"/>
    <tableColumn id="6" name="수련과목"/>
    <tableColumn id="7" name="연차"/>
    <tableColumn id="8" name="근무지"/>
    <tableColumn id="9" name="수련개시일"/>
    <tableColumn id="10" name="전공의등록번호"/>
    <tableColumn id="11" name="의사면허번호"/>
    <tableColumn id="12" name="재직여부"/>
    <tableColumn id="13" name="입사장소"/>
    <tableColumn id="14" name="현재 근무병원"/>
    <tableColumn id="15" name="현재 진료과"/>
    <tableColumn id="16" name="파견근거"/>
    <tableColumn id="17" name="파견병원"/>
    <tableColumn id="18" name="파견진료과"/>
    <tableColumn id="19" name="파견시작일"/>
    <tableColumn id="20" name="파견종료일"/>
    <tableColumn id="21" name="파견상태"/>
    <tableColumn id="22" name="파견기간(일)"/>
    <tableColumn id="23" name="종료까지(일)"/>
    <tableColumn id="24" name="급여기준월 파견일수"/>
    <tableColumn id="25" name="급여지급병원(기준월)"/>
    <tableColumn id="26" name="점검"/>
    <tableColumn id="27" name="비고"/>
    <tableColumn id="28" name="기본자료행"/>
    <tableColumn id="29" name="인턴계획행"/>
    <tableColumn id="30" name="인턴 이번달"/>
    <tableColumn id="31" name="소속병원"/>
    <tableColumn id="32" name="파견기록행"/>
    <tableColumn id="33" name="기준월 근무병원"/>
    <tableColumn id="34" name="서울 근무일(기준월)"/>
    <tableColumn id="35" name="구리 근무일(기준월)"/>
    <tableColumn id="36" name="기준월 대표파견행"/>
    <tableColumn id="37" name="다기관 기록행"/>
    <tableColumn id="38" name="다기관(비고 기재 기간)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showGridLines="0" workbookViewId="0">
      <selection activeCell="A1" sqref="A1"/>
    </sheetView>
  </sheetViews>
  <sheetFormatPr baseColWidth="8" defaultRowHeight="15"/>
  <cols>
    <col width="175" customWidth="1" min="1" max="1"/>
  </cols>
  <sheetData>
    <row r="1">
      <c r="A1" s="1" t="inlineStr">
        <is>
          <t>전공의·인턴 파견 모니터링 사용 안내</t>
        </is>
      </c>
    </row>
    <row r="2">
      <c r="A2" s="2" t="inlineStr"/>
    </row>
    <row r="3">
      <c r="A3" s="3" t="inlineStr">
        <is>
          <t>[전체 흐름]</t>
        </is>
      </c>
    </row>
    <row r="4">
      <c r="A4" s="2" t="inlineStr">
        <is>
          <t>1) 기본자료  2) 인턴근무계획  3) 파견수련계획 — 세 시트에 각 양식 그대로 붙여넣기  4) 전공의명단에 사번·입사장소만 입력  5) 요약·인턴현황에서 확인</t>
        </is>
      </c>
    </row>
    <row r="5">
      <c r="A5" s="2" t="inlineStr"/>
    </row>
    <row r="6">
      <c r="A6" s="3" t="inlineStr">
        <is>
          <t>[기본자료 업로드]</t>
        </is>
      </c>
    </row>
    <row r="7">
      <c r="A7" s="2" t="inlineStr">
        <is>
          <t>• 기본자료 시트 A1:L1 머리글 순서(현재근무 여부·사번·이름·수련과목·연차·근무지·수련개시일·전공의등록번호·의사면허번호·성별·생년월일·비고)로 A2부터 붙여넣으세요. 최대 500명. 열 순서는 유지해야 합니다.</t>
        </is>
      </c>
    </row>
    <row r="8">
      <c r="A8" s="2" t="inlineStr">
        <is>
          <t>• 날짜(수련개시일·생년월일)는 20260301 형식 숫자도 자동으로 날짜로 변환됩니다. 변환이 안 되는 값(예: 19999999)은 빨간 글씨 원문으로 표시되고 요약의 '날짜 형식 오류'에 집계됩니다.</t>
        </is>
      </c>
    </row>
    <row r="9">
      <c r="A9" s="2" t="inlineStr">
        <is>
          <t>• 기본자료 2~9행은 가상 예시입니다. 삭제하고 실제 자료를 붙여넣으세요. 인턴도 올리고 수련과목을 '인턴'으로 적으면 현재 진료과가 수련교육부(인턴)로 표시됩니다.</t>
        </is>
      </c>
    </row>
    <row r="10">
      <c r="A10" s="2" t="inlineStr"/>
    </row>
    <row r="11">
      <c r="A11" s="3" t="inlineStr">
        <is>
          <t>[인턴근무계획 업로드]</t>
        </is>
      </c>
    </row>
    <row r="12">
      <c r="A12" s="2" t="inlineStr">
        <is>
          <t>• 인턴근무계획 시트의 업로드 양식(B1 제목, B2:K2 머리글, 3행부터 자료) 그대로 붙여넣으세요. 최대 200명. 오른쪽 초록 열(M~T)은 자동 정규화 결과이므로 지우지 마세요.</t>
        </is>
      </c>
    </row>
    <row r="13">
      <c r="A13" s="2" t="inlineStr">
        <is>
          <t>• 월 칸은 '지역 진료과'(예: 서울 내과, 서울 산부, 제주 에스중앙 내과)로 읽습니다. 첫 단어=지역(병원 표기표로 정식 병원 변환), 마지막 단어=진료과(약칭표로 정식 명칭 변환). 사이 단어는 무시합니다.</t>
        </is>
      </c>
    </row>
    <row r="14">
      <c r="A14" s="2" t="inlineStr">
        <is>
          <t>• 통합(과 미지정)과 핵방/핵/방(핵의학과+방사선종양학과)은 인턴 전용 구분으로 인정됩니다.</t>
        </is>
      </c>
    </row>
    <row r="15">
      <c r="A15" s="2" t="inlineStr">
        <is>
          <t>• 인턴근무계획에만 있는 내용은 해당 월 1일~말일 근무로 간주합니다(기본값). 비고의 2026.03은 2026년 3월 1일 입사로 해석해 인턴현황 '입사일'에 표시합니다.</t>
        </is>
      </c>
    </row>
    <row r="16">
      <c r="A16" s="2" t="inlineStr"/>
    </row>
    <row r="17">
      <c r="A17" s="3" t="inlineStr">
        <is>
          <t>[파견수련계획 업로드]</t>
        </is>
      </c>
    </row>
    <row r="18">
      <c r="A18" s="2" t="inlineStr">
        <is>
          <t>• 파견수련계획 시트의 양식(1~3행 병합 머리글, 4행부터 자료: 연번·모병원명·수련종별·수련과목·연차·성명·전공의등록번호·파견시작일·파견종료일·파견일수·파견병원·파견과목·파견근거·비고)대로 붙여넣으세요. 최대 200건.</t>
        </is>
      </c>
    </row>
    <row r="19">
      <c r="A19" s="2" t="inlineStr">
        <is>
          <t>• 한 사람이 여러 번 파견되면 행을 여러 개 입력합니다. 전공의명단과는 '전공의등록번호'로 연결됩니다(기본자료의 등록번호와 같아야 함).</t>
        </is>
      </c>
    </row>
    <row r="20">
      <c r="A20" s="2" t="inlineStr">
        <is>
          <t>• 모병원명·파견병원은 코드표의 '병원 표기' 표로 정식 병원(서울병원 등)에 연결됩니다. 표에 없는 기관명(인천·창원·오산 등)은 코드표 J·K열에 추가하세요.</t>
        </is>
      </c>
    </row>
    <row r="21">
      <c r="A21" s="2" t="inlineStr">
        <is>
          <t>• 파견근거는 모자 / 통합수련 / 다기관 입니다. 비고(N열, 또는 O열)에 '다기관'이 들어 있으면 다기관 파견으로 인식합니다. 비고가 '2026.09.01-2026.09.30 다기관 파견'처럼 기간으로 시작하면 그 기간을, 아니면 해당 행의 파견 기간을 다기관 기간으로 봅니다.</t>
        </is>
      </c>
    </row>
    <row r="22">
      <c r="A22" s="2" t="inlineStr">
        <is>
          <t>• 다기관 기간에는 전공의명단 '파견근거'에 다기관으로 표시되고, 오른쪽 끝 '다기관(비고 기재 기간)' 열에 기간이 보입니다. 급여 기준월에 다기관 기간이 걸리면 급여는 소속병원이 지급하는 것으로 계산합니다(가정).</t>
        </is>
      </c>
    </row>
    <row r="23">
      <c r="A23" s="2" t="inlineStr">
        <is>
          <t>• 코드표에 없는 병원·진료과·파견근거를 직접 입력하면 오류 팝업이 뜹니다. 붙여넣기는 엑셀 특성상 팝업이 뜨지 않으므로, 대신 해당 행이 빨갛게 표시되고 오른쪽 '입력 오류' 열과 요약에 집계됩니다.</t>
        </is>
      </c>
    </row>
    <row r="24">
      <c r="A24" s="2" t="inlineStr"/>
    </row>
    <row r="25">
      <c r="A25" s="3" t="inlineStr">
        <is>
          <t>[전공의명단]</t>
        </is>
      </c>
    </row>
    <row r="26">
      <c r="A26" s="2" t="inlineStr">
        <is>
          <t>• 입력은 사번, 입사장소, 비고뿐입니다. 인적사항은 기본자료에서, 파견 정보(파견근거·병원·과·기간·상태)는 파견수련계획에서 자동 연결됩니다(파견중 &gt; 파견예정 &gt; 파견종료 순으로 대표 1건 표시).</t>
        </is>
      </c>
    </row>
    <row r="27">
      <c r="A27" s="2" t="inlineStr">
        <is>
          <t>• 입사장소 = 채용된 병원(구리병원에서 채용해 근무하면 구리병원). 비워 두면 파견수련계획의 모병원명, 그것도 없으면 기본자료 근무지를 사용합니다.</t>
        </is>
      </c>
    </row>
    <row r="28">
      <c r="A28" s="2" t="inlineStr">
        <is>
          <t>• 현재 근무병원/진료과: ①파견중이면 파견병원/파견과목 ②인턴이면 이번 달 근무계획 ③그 외는 기본자료의 근무지/수련과목.</t>
        </is>
      </c>
    </row>
    <row r="29">
      <c r="A29" s="2" t="inlineStr"/>
    </row>
    <row r="30">
      <c r="A30" s="3" t="inlineStr">
        <is>
          <t>[급여지급병원(기준월) 규칙 — 전공의명단 Y열]</t>
        </is>
      </c>
    </row>
    <row r="31">
      <c r="A31" s="2" t="inlineStr">
        <is>
          <t>• 서울병원·구리병원 사이: 소속과 무관하게 급여 기준월에 15일 이상 근무한 병원이 그 달 전체를 한꺼번에 지급합니다. (예: 구리 10일·서울 20일이면 구리 10일치까지 서울병원에서 지급)</t>
        </is>
      </c>
    </row>
    <row r="32">
      <c r="A32" s="2" t="inlineStr">
        <is>
          <t>• 근무일 계산: 파견 기간은 파견병원, 나머지 날은 소속병원(인턴은 해당 월 근무계획 병원)에서 근무한 것으로 봅니다. 양쪽 모두 15일 이상이거나 모두 미만이면 판정할 수 없으므로 급여지급병원 칸에 빨간 ⚠ 오류가 표시되고, 점검 열과 요약에 집계됩니다.</t>
        </is>
      </c>
    </row>
    <row r="33">
      <c r="A33" s="2" t="inlineStr">
        <is>
          <t>• 서울·구리 외 병원이 섞인 경우(가정): 통합수련=파견병원이 지급, 모자·다기관=소속병원이 지급. 이 부분은 확정 규칙이 아니므로 실제 규정에 맞는지 확인하세요.</t>
        </is>
      </c>
    </row>
    <row r="34">
      <c r="A34" s="2" t="inlineStr">
        <is>
          <t>• 파견이 없는 달은 그 달 근무병원(소속 또는 인턴 근무계획 병원)이 지급합니다.</t>
        </is>
      </c>
    </row>
    <row r="35">
      <c r="A35" s="2" t="inlineStr">
        <is>
          <t>• 급여 기준월은 요약 시트 B3(기본값=이번 달 1일)입니다. 다른 달 급여는 그 달 1일 날짜로 바꾸세요. 15일 기준은 요약 E3에서 바꿀 수 있습니다. 급여지급병원 칸이 노란색이면 소속과 다른 병원에서 지급되는 경우입니다.</t>
        </is>
      </c>
    </row>
    <row r="36">
      <c r="A36" s="2" t="inlineStr"/>
    </row>
    <row r="37">
      <c r="A37" s="3" t="inlineStr">
        <is>
          <t>[점검 열]</t>
        </is>
      </c>
    </row>
    <row r="38">
      <c r="A38" s="2" t="inlineStr">
        <is>
          <t>• 전공의명단 '점검' 열이 '정상'이 아니면 빨간색으로 표시됩니다 (기본자료에 없는 사번, 중복, 소속 누락, 파견수련계획/인턴계획 입력오류, 인턴 타지역 근무인데 파견 입력 없음 등).</t>
        </is>
      </c>
    </row>
    <row r="39">
      <c r="A39" s="2" t="inlineStr"/>
    </row>
    <row r="40">
      <c r="A40" s="3" t="inlineStr">
        <is>
          <t>[정렬·필터]</t>
        </is>
      </c>
    </row>
    <row r="41">
      <c r="A41" s="2" t="inlineStr">
        <is>
          <t>• 전공의명단·인턴현황 머리글의 ▼ 버튼으로 정렬/필터합니다 (예: 파견상태=파견중, 종료까지(일) 오름차순 → 종료 임박순).</t>
        </is>
      </c>
    </row>
    <row r="42">
      <c r="A42" s="2" t="inlineStr">
        <is>
          <t>• 주황색 행: 파견중이면서 종료까지 요약 시트의 기준일수(기본 30일) 이내.  회색: 파견종료.</t>
        </is>
      </c>
    </row>
    <row r="43">
      <c r="A43" s="2" t="inlineStr"/>
    </row>
    <row r="44">
      <c r="A44" s="3" t="inlineStr">
        <is>
          <t>[행 늘리기]</t>
        </is>
      </c>
    </row>
    <row r="45">
      <c r="A45" s="2" t="inlineStr">
        <is>
          <t>• 전공의명단은 200행까지 수식이 채워져 있습니다. 더 필요하면 표의 마지막 행 '위'에 행을 삽입하고 바로 위 행을 복사해 붙여넣으세요. 마지막 행 아래에 붙이면 요약 등이 참조하는 범위에 포함되지 않습니다. (인턴근무계획·파견수련계획·인턴현황도 같은 방법)</t>
        </is>
      </c>
    </row>
    <row r="46">
      <c r="A46" s="2" t="inlineStr"/>
    </row>
    <row r="47">
      <c r="A47" s="3" t="inlineStr">
        <is>
          <t>[참고]</t>
        </is>
      </c>
    </row>
    <row r="48">
      <c r="A48" s="2" t="inlineStr">
        <is>
          <t>• 개인정보(생년월일·면허번호 등)가 포함되므로 파일 암호 설정과 접근 권한 관리를 권장합니다.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4" customWidth="1" min="4" max="4"/>
    <col width="12" customWidth="1" min="5" max="5"/>
    <col width="10" customWidth="1" min="6" max="6"/>
    <col width="13" customWidth="1" min="7" max="7"/>
    <col width="15" customWidth="1" min="8" max="8"/>
    <col width="14" customWidth="1" min="9" max="9"/>
    <col width="7" customWidth="1" min="10" max="10"/>
    <col width="13" customWidth="1" min="11" max="11"/>
    <col width="18" customWidth="1" min="12" max="12"/>
  </cols>
  <sheetData>
    <row r="1">
      <c r="A1" s="4" t="inlineStr">
        <is>
          <t>현재근무 여부</t>
        </is>
      </c>
      <c r="B1" s="4" t="inlineStr">
        <is>
          <t>사번</t>
        </is>
      </c>
      <c r="C1" s="4" t="inlineStr">
        <is>
          <t>이름</t>
        </is>
      </c>
      <c r="D1" s="4" t="inlineStr">
        <is>
          <t>수련과목</t>
        </is>
      </c>
      <c r="E1" s="4" t="inlineStr">
        <is>
          <t>연차</t>
        </is>
      </c>
      <c r="F1" s="4" t="inlineStr">
        <is>
          <t>근무지</t>
        </is>
      </c>
      <c r="G1" s="4" t="inlineStr">
        <is>
          <t>수련개시일</t>
        </is>
      </c>
      <c r="H1" s="4" t="inlineStr">
        <is>
          <t>전공의등록번호</t>
        </is>
      </c>
      <c r="I1" s="4" t="inlineStr">
        <is>
          <t>의사면허번호</t>
        </is>
      </c>
      <c r="J1" s="4" t="inlineStr">
        <is>
          <t>성별</t>
        </is>
      </c>
      <c r="K1" s="4" t="inlineStr">
        <is>
          <t>생년월일</t>
        </is>
      </c>
      <c r="L1" s="4" t="inlineStr">
        <is>
          <t>비고</t>
        </is>
      </c>
    </row>
    <row r="2">
      <c r="A2" s="5" t="inlineStr">
        <is>
          <t>재직</t>
        </is>
      </c>
      <c r="B2" s="6" t="inlineStr">
        <is>
          <t>2261212</t>
        </is>
      </c>
      <c r="C2" s="5" t="inlineStr">
        <is>
          <t>김ㅇㅇ</t>
        </is>
      </c>
      <c r="D2" s="5" t="inlineStr">
        <is>
          <t>가정의학과</t>
        </is>
      </c>
      <c r="E2" s="5" t="inlineStr">
        <is>
          <t>레지던트1</t>
        </is>
      </c>
      <c r="F2" s="5" t="inlineStr">
        <is>
          <t>서울</t>
        </is>
      </c>
      <c r="G2" s="5" t="n">
        <v>20260301</v>
      </c>
      <c r="H2" s="6" t="inlineStr">
        <is>
          <t>11-1111</t>
        </is>
      </c>
      <c r="I2" s="5" t="n">
        <v>111111</v>
      </c>
      <c r="J2" s="5" t="inlineStr">
        <is>
          <t>여</t>
        </is>
      </c>
      <c r="K2" s="5" t="n">
        <v>19999999</v>
      </c>
      <c r="L2" s="5" t="n"/>
    </row>
    <row r="3">
      <c r="A3" s="5" t="inlineStr">
        <is>
          <t>재직</t>
        </is>
      </c>
      <c r="B3" s="6" t="inlineStr">
        <is>
          <t>2261213</t>
        </is>
      </c>
      <c r="C3" s="5" t="inlineStr">
        <is>
          <t>이ㅇㅇ</t>
        </is>
      </c>
      <c r="D3" s="5" t="inlineStr">
        <is>
          <t>내과</t>
        </is>
      </c>
      <c r="E3" s="5" t="inlineStr">
        <is>
          <t>레지던트2</t>
        </is>
      </c>
      <c r="F3" s="5" t="inlineStr">
        <is>
          <t>서울</t>
        </is>
      </c>
      <c r="G3" s="5" t="n">
        <v>20250301</v>
      </c>
      <c r="H3" s="6" t="inlineStr">
        <is>
          <t>11-1112</t>
        </is>
      </c>
      <c r="I3" s="5" t="n">
        <v>111112</v>
      </c>
      <c r="J3" s="5" t="inlineStr">
        <is>
          <t>남</t>
        </is>
      </c>
      <c r="K3" s="5" t="n">
        <v>19950702</v>
      </c>
      <c r="L3" s="5" t="n"/>
    </row>
    <row r="4">
      <c r="A4" s="5" t="inlineStr">
        <is>
          <t>재직</t>
        </is>
      </c>
      <c r="B4" s="6" t="inlineStr">
        <is>
          <t>2261214</t>
        </is>
      </c>
      <c r="C4" s="5" t="inlineStr">
        <is>
          <t>박ㅇㅇ</t>
        </is>
      </c>
      <c r="D4" s="5" t="inlineStr">
        <is>
          <t>내과</t>
        </is>
      </c>
      <c r="E4" s="5" t="inlineStr">
        <is>
          <t>레지던트3</t>
        </is>
      </c>
      <c r="F4" s="5" t="inlineStr">
        <is>
          <t>서울</t>
        </is>
      </c>
      <c r="G4" s="5" t="n">
        <v>20240301</v>
      </c>
      <c r="H4" s="6" t="inlineStr">
        <is>
          <t>21-1111</t>
        </is>
      </c>
      <c r="I4" s="5" t="n">
        <v>111113</v>
      </c>
      <c r="J4" s="5" t="inlineStr">
        <is>
          <t>여</t>
        </is>
      </c>
      <c r="K4" s="5" t="n">
        <v>19970125</v>
      </c>
      <c r="L4" s="5" t="n"/>
    </row>
    <row r="5">
      <c r="A5" s="5" t="inlineStr">
        <is>
          <t>재직</t>
        </is>
      </c>
      <c r="B5" s="6" t="inlineStr">
        <is>
          <t>2261215</t>
        </is>
      </c>
      <c r="C5" s="5" t="inlineStr">
        <is>
          <t>최ㅇㅇ</t>
        </is>
      </c>
      <c r="D5" s="5" t="inlineStr">
        <is>
          <t>산부인과</t>
        </is>
      </c>
      <c r="E5" s="5" t="inlineStr">
        <is>
          <t>레지던트3</t>
        </is>
      </c>
      <c r="F5" s="5" t="inlineStr">
        <is>
          <t>서울</t>
        </is>
      </c>
      <c r="G5" s="5" t="n">
        <v>20240301</v>
      </c>
      <c r="H5" s="6" t="inlineStr">
        <is>
          <t>11-1114</t>
        </is>
      </c>
      <c r="I5" s="5" t="n">
        <v>111114</v>
      </c>
      <c r="J5" s="5" t="inlineStr">
        <is>
          <t>남</t>
        </is>
      </c>
      <c r="K5" s="5" t="n">
        <v>19961109</v>
      </c>
      <c r="L5" s="5" t="n"/>
    </row>
    <row r="6">
      <c r="A6" s="5" t="inlineStr">
        <is>
          <t>재직</t>
        </is>
      </c>
      <c r="B6" s="6" t="inlineStr">
        <is>
          <t>2261216</t>
        </is>
      </c>
      <c r="C6" s="5" t="inlineStr">
        <is>
          <t>정ㅇㅇ</t>
        </is>
      </c>
      <c r="D6" s="5" t="inlineStr">
        <is>
          <t>마취통증의학과</t>
        </is>
      </c>
      <c r="E6" s="5" t="inlineStr">
        <is>
          <t>레지던트2</t>
        </is>
      </c>
      <c r="F6" s="5" t="inlineStr">
        <is>
          <t>구리</t>
        </is>
      </c>
      <c r="G6" s="5" t="n">
        <v>20250301</v>
      </c>
      <c r="H6" s="6" t="inlineStr">
        <is>
          <t>11-1115</t>
        </is>
      </c>
      <c r="I6" s="5" t="n">
        <v>111115</v>
      </c>
      <c r="J6" s="5" t="inlineStr">
        <is>
          <t>여</t>
        </is>
      </c>
      <c r="K6" s="5" t="n">
        <v>19980530</v>
      </c>
      <c r="L6" s="5" t="n"/>
    </row>
    <row r="7">
      <c r="A7" s="5" t="inlineStr">
        <is>
          <t>재직</t>
        </is>
      </c>
      <c r="B7" s="6" t="inlineStr">
        <is>
          <t>222222</t>
        </is>
      </c>
      <c r="C7" s="5" t="inlineStr">
        <is>
          <t>김ㅇㅇ</t>
        </is>
      </c>
      <c r="D7" s="5" t="inlineStr">
        <is>
          <t>인턴</t>
        </is>
      </c>
      <c r="E7" s="5" t="inlineStr">
        <is>
          <t>인턴</t>
        </is>
      </c>
      <c r="F7" s="5" t="inlineStr">
        <is>
          <t>서울</t>
        </is>
      </c>
      <c r="G7" s="5" t="n">
        <v>20260301</v>
      </c>
      <c r="H7" s="6" t="inlineStr">
        <is>
          <t>22-2222</t>
        </is>
      </c>
      <c r="I7" s="5" t="n">
        <v>222222</v>
      </c>
      <c r="J7" s="5" t="inlineStr">
        <is>
          <t>여</t>
        </is>
      </c>
      <c r="K7" s="5" t="n">
        <v>19990101</v>
      </c>
      <c r="L7" s="5" t="n"/>
    </row>
    <row r="8">
      <c r="A8" s="5" t="inlineStr">
        <is>
          <t>재직</t>
        </is>
      </c>
      <c r="B8" s="6" t="inlineStr">
        <is>
          <t>222223</t>
        </is>
      </c>
      <c r="C8" s="5" t="inlineStr">
        <is>
          <t>이ㅇㅇ</t>
        </is>
      </c>
      <c r="D8" s="5" t="inlineStr">
        <is>
          <t>인턴</t>
        </is>
      </c>
      <c r="E8" s="5" t="inlineStr">
        <is>
          <t>인턴</t>
        </is>
      </c>
      <c r="F8" s="5" t="inlineStr">
        <is>
          <t>서울</t>
        </is>
      </c>
      <c r="G8" s="5" t="n">
        <v>20260301</v>
      </c>
      <c r="H8" s="6" t="inlineStr">
        <is>
          <t>22-2223</t>
        </is>
      </c>
      <c r="I8" s="5" t="n">
        <v>222223</v>
      </c>
      <c r="J8" s="5" t="inlineStr">
        <is>
          <t>남</t>
        </is>
      </c>
      <c r="K8" s="5" t="n">
        <v>19990202</v>
      </c>
      <c r="L8" s="5" t="n"/>
    </row>
    <row r="9">
      <c r="A9" s="5" t="inlineStr">
        <is>
          <t>재직</t>
        </is>
      </c>
      <c r="B9" s="6" t="inlineStr">
        <is>
          <t>222224</t>
        </is>
      </c>
      <c r="C9" s="5" t="inlineStr">
        <is>
          <t>박ㅇㅇ</t>
        </is>
      </c>
      <c r="D9" s="5" t="inlineStr">
        <is>
          <t>인턴</t>
        </is>
      </c>
      <c r="E9" s="5" t="inlineStr">
        <is>
          <t>인턴</t>
        </is>
      </c>
      <c r="F9" s="5" t="inlineStr">
        <is>
          <t>구리</t>
        </is>
      </c>
      <c r="G9" s="5" t="n">
        <v>20260301</v>
      </c>
      <c r="H9" s="6" t="inlineStr">
        <is>
          <t>22-2224</t>
        </is>
      </c>
      <c r="I9" s="5" t="n">
        <v>222224</v>
      </c>
      <c r="J9" s="5" t="inlineStr">
        <is>
          <t>남</t>
        </is>
      </c>
      <c r="K9" s="5" t="n">
        <v>19990303</v>
      </c>
      <c r="L9" s="5" t="n"/>
    </row>
    <row r="10">
      <c r="A10" s="5" t="n"/>
      <c r="B10" s="6" t="n"/>
      <c r="C10" s="5" t="n"/>
      <c r="D10" s="5" t="n"/>
      <c r="E10" s="5" t="n"/>
      <c r="F10" s="5" t="n"/>
      <c r="G10" s="5" t="n"/>
      <c r="H10" s="6" t="n"/>
      <c r="I10" s="5" t="n"/>
      <c r="J10" s="5" t="n"/>
      <c r="K10" s="5" t="n"/>
      <c r="L10" s="5" t="n"/>
    </row>
    <row r="11">
      <c r="A11" s="5" t="n"/>
      <c r="B11" s="6" t="n"/>
      <c r="C11" s="5" t="n"/>
      <c r="D11" s="5" t="n"/>
      <c r="E11" s="5" t="n"/>
      <c r="F11" s="5" t="n"/>
      <c r="G11" s="5" t="n"/>
      <c r="H11" s="6" t="n"/>
      <c r="I11" s="5" t="n"/>
      <c r="J11" s="5" t="n"/>
      <c r="K11" s="5" t="n"/>
      <c r="L11" s="5" t="n"/>
    </row>
    <row r="12">
      <c r="A12" s="5" t="n"/>
      <c r="B12" s="6" t="n"/>
      <c r="C12" s="5" t="n"/>
      <c r="D12" s="5" t="n"/>
      <c r="E12" s="5" t="n"/>
      <c r="F12" s="5" t="n"/>
      <c r="G12" s="5" t="n"/>
      <c r="H12" s="6" t="n"/>
      <c r="I12" s="5" t="n"/>
      <c r="J12" s="5" t="n"/>
      <c r="K12" s="5" t="n"/>
      <c r="L12" s="5" t="n"/>
    </row>
    <row r="13">
      <c r="A13" s="5" t="n"/>
      <c r="B13" s="6" t="n"/>
      <c r="C13" s="5" t="n"/>
      <c r="D13" s="5" t="n"/>
      <c r="E13" s="5" t="n"/>
      <c r="F13" s="5" t="n"/>
      <c r="G13" s="5" t="n"/>
      <c r="H13" s="6" t="n"/>
      <c r="I13" s="5" t="n"/>
      <c r="J13" s="5" t="n"/>
      <c r="K13" s="5" t="n"/>
      <c r="L13" s="5" t="n"/>
    </row>
    <row r="14">
      <c r="A14" s="5" t="n"/>
      <c r="B14" s="6" t="n"/>
      <c r="C14" s="5" t="n"/>
      <c r="D14" s="5" t="n"/>
      <c r="E14" s="5" t="n"/>
      <c r="F14" s="5" t="n"/>
      <c r="G14" s="5" t="n"/>
      <c r="H14" s="6" t="n"/>
      <c r="I14" s="5" t="n"/>
      <c r="J14" s="5" t="n"/>
      <c r="K14" s="5" t="n"/>
      <c r="L14" s="5" t="n"/>
    </row>
    <row r="15">
      <c r="A15" s="5" t="n"/>
      <c r="B15" s="6" t="n"/>
      <c r="C15" s="5" t="n"/>
      <c r="D15" s="5" t="n"/>
      <c r="E15" s="5" t="n"/>
      <c r="F15" s="5" t="n"/>
      <c r="G15" s="5" t="n"/>
      <c r="H15" s="6" t="n"/>
      <c r="I15" s="5" t="n"/>
      <c r="J15" s="5" t="n"/>
      <c r="K15" s="5" t="n"/>
      <c r="L15" s="5" t="n"/>
    </row>
    <row r="16">
      <c r="A16" s="5" t="n"/>
      <c r="B16" s="6" t="n"/>
      <c r="C16" s="5" t="n"/>
      <c r="D16" s="5" t="n"/>
      <c r="E16" s="5" t="n"/>
      <c r="F16" s="5" t="n"/>
      <c r="G16" s="5" t="n"/>
      <c r="H16" s="6" t="n"/>
      <c r="I16" s="5" t="n"/>
      <c r="J16" s="5" t="n"/>
      <c r="K16" s="5" t="n"/>
      <c r="L16" s="5" t="n"/>
    </row>
    <row r="17">
      <c r="A17" s="5" t="n"/>
      <c r="B17" s="6" t="n"/>
      <c r="C17" s="5" t="n"/>
      <c r="D17" s="5" t="n"/>
      <c r="E17" s="5" t="n"/>
      <c r="F17" s="5" t="n"/>
      <c r="G17" s="5" t="n"/>
      <c r="H17" s="6" t="n"/>
      <c r="I17" s="5" t="n"/>
      <c r="J17" s="5" t="n"/>
      <c r="K17" s="5" t="n"/>
      <c r="L17" s="5" t="n"/>
    </row>
    <row r="18">
      <c r="A18" s="5" t="n"/>
      <c r="B18" s="6" t="n"/>
      <c r="C18" s="5" t="n"/>
      <c r="D18" s="5" t="n"/>
      <c r="E18" s="5" t="n"/>
      <c r="F18" s="5" t="n"/>
      <c r="G18" s="5" t="n"/>
      <c r="H18" s="6" t="n"/>
      <c r="I18" s="5" t="n"/>
      <c r="J18" s="5" t="n"/>
      <c r="K18" s="5" t="n"/>
      <c r="L18" s="5" t="n"/>
    </row>
    <row r="19">
      <c r="A19" s="5" t="n"/>
      <c r="B19" s="6" t="n"/>
      <c r="C19" s="5" t="n"/>
      <c r="D19" s="5" t="n"/>
      <c r="E19" s="5" t="n"/>
      <c r="F19" s="5" t="n"/>
      <c r="G19" s="5" t="n"/>
      <c r="H19" s="6" t="n"/>
      <c r="I19" s="5" t="n"/>
      <c r="J19" s="5" t="n"/>
      <c r="K19" s="5" t="n"/>
      <c r="L19" s="5" t="n"/>
    </row>
    <row r="20">
      <c r="A20" s="5" t="n"/>
      <c r="B20" s="6" t="n"/>
      <c r="C20" s="5" t="n"/>
      <c r="D20" s="5" t="n"/>
      <c r="E20" s="5" t="n"/>
      <c r="F20" s="5" t="n"/>
      <c r="G20" s="5" t="n"/>
      <c r="H20" s="6" t="n"/>
      <c r="I20" s="5" t="n"/>
      <c r="J20" s="5" t="n"/>
      <c r="K20" s="5" t="n"/>
      <c r="L20" s="5" t="n"/>
    </row>
    <row r="21">
      <c r="A21" s="5" t="n"/>
      <c r="B21" s="6" t="n"/>
      <c r="C21" s="5" t="n"/>
      <c r="D21" s="5" t="n"/>
      <c r="E21" s="5" t="n"/>
      <c r="F21" s="5" t="n"/>
      <c r="G21" s="5" t="n"/>
      <c r="H21" s="6" t="n"/>
      <c r="I21" s="5" t="n"/>
      <c r="J21" s="5" t="n"/>
      <c r="K21" s="5" t="n"/>
      <c r="L21" s="5" t="n"/>
    </row>
    <row r="22">
      <c r="A22" s="5" t="n"/>
      <c r="B22" s="6" t="n"/>
      <c r="C22" s="5" t="n"/>
      <c r="D22" s="5" t="n"/>
      <c r="E22" s="5" t="n"/>
      <c r="F22" s="5" t="n"/>
      <c r="G22" s="5" t="n"/>
      <c r="H22" s="6" t="n"/>
      <c r="I22" s="5" t="n"/>
      <c r="J22" s="5" t="n"/>
      <c r="K22" s="5" t="n"/>
      <c r="L22" s="5" t="n"/>
    </row>
    <row r="23">
      <c r="A23" s="5" t="n"/>
      <c r="B23" s="6" t="n"/>
      <c r="C23" s="5" t="n"/>
      <c r="D23" s="5" t="n"/>
      <c r="E23" s="5" t="n"/>
      <c r="F23" s="5" t="n"/>
      <c r="G23" s="5" t="n"/>
      <c r="H23" s="6" t="n"/>
      <c r="I23" s="5" t="n"/>
      <c r="J23" s="5" t="n"/>
      <c r="K23" s="5" t="n"/>
      <c r="L23" s="5" t="n"/>
    </row>
    <row r="24">
      <c r="A24" s="5" t="n"/>
      <c r="B24" s="6" t="n"/>
      <c r="C24" s="5" t="n"/>
      <c r="D24" s="5" t="n"/>
      <c r="E24" s="5" t="n"/>
      <c r="F24" s="5" t="n"/>
      <c r="G24" s="5" t="n"/>
      <c r="H24" s="6" t="n"/>
      <c r="I24" s="5" t="n"/>
      <c r="J24" s="5" t="n"/>
      <c r="K24" s="5" t="n"/>
      <c r="L24" s="5" t="n"/>
    </row>
    <row r="25">
      <c r="A25" s="5" t="n"/>
      <c r="B25" s="6" t="n"/>
      <c r="C25" s="5" t="n"/>
      <c r="D25" s="5" t="n"/>
      <c r="E25" s="5" t="n"/>
      <c r="F25" s="5" t="n"/>
      <c r="G25" s="5" t="n"/>
      <c r="H25" s="6" t="n"/>
      <c r="I25" s="5" t="n"/>
      <c r="J25" s="5" t="n"/>
      <c r="K25" s="5" t="n"/>
      <c r="L25" s="5" t="n"/>
    </row>
    <row r="26">
      <c r="A26" s="5" t="n"/>
      <c r="B26" s="6" t="n"/>
      <c r="C26" s="5" t="n"/>
      <c r="D26" s="5" t="n"/>
      <c r="E26" s="5" t="n"/>
      <c r="F26" s="5" t="n"/>
      <c r="G26" s="5" t="n"/>
      <c r="H26" s="6" t="n"/>
      <c r="I26" s="5" t="n"/>
      <c r="J26" s="5" t="n"/>
      <c r="K26" s="5" t="n"/>
      <c r="L26" s="5" t="n"/>
    </row>
    <row r="27">
      <c r="A27" s="5" t="n"/>
      <c r="B27" s="6" t="n"/>
      <c r="C27" s="5" t="n"/>
      <c r="D27" s="5" t="n"/>
      <c r="E27" s="5" t="n"/>
      <c r="F27" s="5" t="n"/>
      <c r="G27" s="5" t="n"/>
      <c r="H27" s="6" t="n"/>
      <c r="I27" s="5" t="n"/>
      <c r="J27" s="5" t="n"/>
      <c r="K27" s="5" t="n"/>
      <c r="L27" s="5" t="n"/>
    </row>
    <row r="28">
      <c r="A28" s="5" t="n"/>
      <c r="B28" s="6" t="n"/>
      <c r="C28" s="5" t="n"/>
      <c r="D28" s="5" t="n"/>
      <c r="E28" s="5" t="n"/>
      <c r="F28" s="5" t="n"/>
      <c r="G28" s="5" t="n"/>
      <c r="H28" s="6" t="n"/>
      <c r="I28" s="5" t="n"/>
      <c r="J28" s="5" t="n"/>
      <c r="K28" s="5" t="n"/>
      <c r="L28" s="5" t="n"/>
    </row>
    <row r="29">
      <c r="A29" s="5" t="n"/>
      <c r="B29" s="6" t="n"/>
      <c r="C29" s="5" t="n"/>
      <c r="D29" s="5" t="n"/>
      <c r="E29" s="5" t="n"/>
      <c r="F29" s="5" t="n"/>
      <c r="G29" s="5" t="n"/>
      <c r="H29" s="6" t="n"/>
      <c r="I29" s="5" t="n"/>
      <c r="J29" s="5" t="n"/>
      <c r="K29" s="5" t="n"/>
      <c r="L29" s="5" t="n"/>
    </row>
    <row r="30">
      <c r="A30" s="5" t="n"/>
      <c r="B30" s="6" t="n"/>
      <c r="C30" s="5" t="n"/>
      <c r="D30" s="5" t="n"/>
      <c r="E30" s="5" t="n"/>
      <c r="F30" s="5" t="n"/>
      <c r="G30" s="5" t="n"/>
      <c r="H30" s="6" t="n"/>
      <c r="I30" s="5" t="n"/>
      <c r="J30" s="5" t="n"/>
      <c r="K30" s="5" t="n"/>
      <c r="L30" s="5" t="n"/>
    </row>
    <row r="31">
      <c r="A31" s="5" t="n"/>
      <c r="B31" s="6" t="n"/>
      <c r="C31" s="5" t="n"/>
      <c r="D31" s="5" t="n"/>
      <c r="E31" s="5" t="n"/>
      <c r="F31" s="5" t="n"/>
      <c r="G31" s="5" t="n"/>
      <c r="H31" s="6" t="n"/>
      <c r="I31" s="5" t="n"/>
      <c r="J31" s="5" t="n"/>
      <c r="K31" s="5" t="n"/>
      <c r="L31" s="5" t="n"/>
    </row>
    <row r="32">
      <c r="A32" s="5" t="n"/>
      <c r="B32" s="6" t="n"/>
      <c r="C32" s="5" t="n"/>
      <c r="D32" s="5" t="n"/>
      <c r="E32" s="5" t="n"/>
      <c r="F32" s="5" t="n"/>
      <c r="G32" s="5" t="n"/>
      <c r="H32" s="6" t="n"/>
      <c r="I32" s="5" t="n"/>
      <c r="J32" s="5" t="n"/>
      <c r="K32" s="5" t="n"/>
      <c r="L32" s="5" t="n"/>
    </row>
    <row r="33">
      <c r="A33" s="5" t="n"/>
      <c r="B33" s="6" t="n"/>
      <c r="C33" s="5" t="n"/>
      <c r="D33" s="5" t="n"/>
      <c r="E33" s="5" t="n"/>
      <c r="F33" s="5" t="n"/>
      <c r="G33" s="5" t="n"/>
      <c r="H33" s="6" t="n"/>
      <c r="I33" s="5" t="n"/>
      <c r="J33" s="5" t="n"/>
      <c r="K33" s="5" t="n"/>
      <c r="L33" s="5" t="n"/>
    </row>
    <row r="34">
      <c r="A34" s="5" t="n"/>
      <c r="B34" s="6" t="n"/>
      <c r="C34" s="5" t="n"/>
      <c r="D34" s="5" t="n"/>
      <c r="E34" s="5" t="n"/>
      <c r="F34" s="5" t="n"/>
      <c r="G34" s="5" t="n"/>
      <c r="H34" s="6" t="n"/>
      <c r="I34" s="5" t="n"/>
      <c r="J34" s="5" t="n"/>
      <c r="K34" s="5" t="n"/>
      <c r="L34" s="5" t="n"/>
    </row>
    <row r="35">
      <c r="A35" s="5" t="n"/>
      <c r="B35" s="6" t="n"/>
      <c r="C35" s="5" t="n"/>
      <c r="D35" s="5" t="n"/>
      <c r="E35" s="5" t="n"/>
      <c r="F35" s="5" t="n"/>
      <c r="G35" s="5" t="n"/>
      <c r="H35" s="6" t="n"/>
      <c r="I35" s="5" t="n"/>
      <c r="J35" s="5" t="n"/>
      <c r="K35" s="5" t="n"/>
      <c r="L35" s="5" t="n"/>
    </row>
    <row r="36">
      <c r="A36" s="5" t="n"/>
      <c r="B36" s="6" t="n"/>
      <c r="C36" s="5" t="n"/>
      <c r="D36" s="5" t="n"/>
      <c r="E36" s="5" t="n"/>
      <c r="F36" s="5" t="n"/>
      <c r="G36" s="5" t="n"/>
      <c r="H36" s="6" t="n"/>
      <c r="I36" s="5" t="n"/>
      <c r="J36" s="5" t="n"/>
      <c r="K36" s="5" t="n"/>
      <c r="L36" s="5" t="n"/>
    </row>
    <row r="37">
      <c r="A37" s="5" t="n"/>
      <c r="B37" s="6" t="n"/>
      <c r="C37" s="5" t="n"/>
      <c r="D37" s="5" t="n"/>
      <c r="E37" s="5" t="n"/>
      <c r="F37" s="5" t="n"/>
      <c r="G37" s="5" t="n"/>
      <c r="H37" s="6" t="n"/>
      <c r="I37" s="5" t="n"/>
      <c r="J37" s="5" t="n"/>
      <c r="K37" s="5" t="n"/>
      <c r="L37" s="5" t="n"/>
    </row>
    <row r="38">
      <c r="A38" s="5" t="n"/>
      <c r="B38" s="6" t="n"/>
      <c r="C38" s="5" t="n"/>
      <c r="D38" s="5" t="n"/>
      <c r="E38" s="5" t="n"/>
      <c r="F38" s="5" t="n"/>
      <c r="G38" s="5" t="n"/>
      <c r="H38" s="6" t="n"/>
      <c r="I38" s="5" t="n"/>
      <c r="J38" s="5" t="n"/>
      <c r="K38" s="5" t="n"/>
      <c r="L38" s="5" t="n"/>
    </row>
    <row r="39">
      <c r="A39" s="5" t="n"/>
      <c r="B39" s="6" t="n"/>
      <c r="C39" s="5" t="n"/>
      <c r="D39" s="5" t="n"/>
      <c r="E39" s="5" t="n"/>
      <c r="F39" s="5" t="n"/>
      <c r="G39" s="5" t="n"/>
      <c r="H39" s="6" t="n"/>
      <c r="I39" s="5" t="n"/>
      <c r="J39" s="5" t="n"/>
      <c r="K39" s="5" t="n"/>
      <c r="L39" s="5" t="n"/>
    </row>
    <row r="40">
      <c r="A40" s="5" t="n"/>
      <c r="B40" s="6" t="n"/>
      <c r="C40" s="5" t="n"/>
      <c r="D40" s="5" t="n"/>
      <c r="E40" s="5" t="n"/>
      <c r="F40" s="5" t="n"/>
      <c r="G40" s="5" t="n"/>
      <c r="H40" s="6" t="n"/>
      <c r="I40" s="5" t="n"/>
      <c r="J40" s="5" t="n"/>
      <c r="K40" s="5" t="n"/>
      <c r="L40" s="5" t="n"/>
    </row>
    <row r="41">
      <c r="A41" s="5" t="n"/>
      <c r="B41" s="6" t="n"/>
      <c r="C41" s="5" t="n"/>
      <c r="D41" s="5" t="n"/>
      <c r="E41" s="5" t="n"/>
      <c r="F41" s="5" t="n"/>
      <c r="G41" s="5" t="n"/>
      <c r="H41" s="6" t="n"/>
      <c r="I41" s="5" t="n"/>
      <c r="J41" s="5" t="n"/>
      <c r="K41" s="5" t="n"/>
      <c r="L41" s="5" t="n"/>
    </row>
    <row r="42">
      <c r="A42" s="5" t="n"/>
      <c r="B42" s="6" t="n"/>
      <c r="C42" s="5" t="n"/>
      <c r="D42" s="5" t="n"/>
      <c r="E42" s="5" t="n"/>
      <c r="F42" s="5" t="n"/>
      <c r="G42" s="5" t="n"/>
      <c r="H42" s="6" t="n"/>
      <c r="I42" s="5" t="n"/>
      <c r="J42" s="5" t="n"/>
      <c r="K42" s="5" t="n"/>
      <c r="L42" s="5" t="n"/>
    </row>
    <row r="43">
      <c r="A43" s="5" t="n"/>
      <c r="B43" s="6" t="n"/>
      <c r="C43" s="5" t="n"/>
      <c r="D43" s="5" t="n"/>
      <c r="E43" s="5" t="n"/>
      <c r="F43" s="5" t="n"/>
      <c r="G43" s="5" t="n"/>
      <c r="H43" s="6" t="n"/>
      <c r="I43" s="5" t="n"/>
      <c r="J43" s="5" t="n"/>
      <c r="K43" s="5" t="n"/>
      <c r="L43" s="5" t="n"/>
    </row>
    <row r="44">
      <c r="A44" s="5" t="n"/>
      <c r="B44" s="6" t="n"/>
      <c r="C44" s="5" t="n"/>
      <c r="D44" s="5" t="n"/>
      <c r="E44" s="5" t="n"/>
      <c r="F44" s="5" t="n"/>
      <c r="G44" s="5" t="n"/>
      <c r="H44" s="6" t="n"/>
      <c r="I44" s="5" t="n"/>
      <c r="J44" s="5" t="n"/>
      <c r="K44" s="5" t="n"/>
      <c r="L44" s="5" t="n"/>
    </row>
    <row r="45">
      <c r="A45" s="5" t="n"/>
      <c r="B45" s="6" t="n"/>
      <c r="C45" s="5" t="n"/>
      <c r="D45" s="5" t="n"/>
      <c r="E45" s="5" t="n"/>
      <c r="F45" s="5" t="n"/>
      <c r="G45" s="5" t="n"/>
      <c r="H45" s="6" t="n"/>
      <c r="I45" s="5" t="n"/>
      <c r="J45" s="5" t="n"/>
      <c r="K45" s="5" t="n"/>
      <c r="L45" s="5" t="n"/>
    </row>
    <row r="46">
      <c r="A46" s="5" t="n"/>
      <c r="B46" s="6" t="n"/>
      <c r="C46" s="5" t="n"/>
      <c r="D46" s="5" t="n"/>
      <c r="E46" s="5" t="n"/>
      <c r="F46" s="5" t="n"/>
      <c r="G46" s="5" t="n"/>
      <c r="H46" s="6" t="n"/>
      <c r="I46" s="5" t="n"/>
      <c r="J46" s="5" t="n"/>
      <c r="K46" s="5" t="n"/>
      <c r="L46" s="5" t="n"/>
    </row>
    <row r="47">
      <c r="A47" s="5" t="n"/>
      <c r="B47" s="6" t="n"/>
      <c r="C47" s="5" t="n"/>
      <c r="D47" s="5" t="n"/>
      <c r="E47" s="5" t="n"/>
      <c r="F47" s="5" t="n"/>
      <c r="G47" s="5" t="n"/>
      <c r="H47" s="6" t="n"/>
      <c r="I47" s="5" t="n"/>
      <c r="J47" s="5" t="n"/>
      <c r="K47" s="5" t="n"/>
      <c r="L47" s="5" t="n"/>
    </row>
    <row r="48">
      <c r="A48" s="5" t="n"/>
      <c r="B48" s="6" t="n"/>
      <c r="C48" s="5" t="n"/>
      <c r="D48" s="5" t="n"/>
      <c r="E48" s="5" t="n"/>
      <c r="F48" s="5" t="n"/>
      <c r="G48" s="5" t="n"/>
      <c r="H48" s="6" t="n"/>
      <c r="I48" s="5" t="n"/>
      <c r="J48" s="5" t="n"/>
      <c r="K48" s="5" t="n"/>
      <c r="L48" s="5" t="n"/>
    </row>
    <row r="49">
      <c r="A49" s="5" t="n"/>
      <c r="B49" s="6" t="n"/>
      <c r="C49" s="5" t="n"/>
      <c r="D49" s="5" t="n"/>
      <c r="E49" s="5" t="n"/>
      <c r="F49" s="5" t="n"/>
      <c r="G49" s="5" t="n"/>
      <c r="H49" s="6" t="n"/>
      <c r="I49" s="5" t="n"/>
      <c r="J49" s="5" t="n"/>
      <c r="K49" s="5" t="n"/>
      <c r="L49" s="5" t="n"/>
    </row>
    <row r="50">
      <c r="A50" s="5" t="n"/>
      <c r="B50" s="6" t="n"/>
      <c r="C50" s="5" t="n"/>
      <c r="D50" s="5" t="n"/>
      <c r="E50" s="5" t="n"/>
      <c r="F50" s="5" t="n"/>
      <c r="G50" s="5" t="n"/>
      <c r="H50" s="6" t="n"/>
      <c r="I50" s="5" t="n"/>
      <c r="J50" s="5" t="n"/>
      <c r="K50" s="5" t="n"/>
      <c r="L50" s="5" t="n"/>
    </row>
    <row r="51">
      <c r="A51" s="5" t="n"/>
      <c r="B51" s="6" t="n"/>
      <c r="C51" s="5" t="n"/>
      <c r="D51" s="5" t="n"/>
      <c r="E51" s="5" t="n"/>
      <c r="F51" s="5" t="n"/>
      <c r="G51" s="5" t="n"/>
      <c r="H51" s="6" t="n"/>
      <c r="I51" s="5" t="n"/>
      <c r="J51" s="5" t="n"/>
      <c r="K51" s="5" t="n"/>
      <c r="L51" s="5" t="n"/>
    </row>
    <row r="52">
      <c r="A52" s="5" t="n"/>
      <c r="B52" s="6" t="n"/>
      <c r="C52" s="5" t="n"/>
      <c r="D52" s="5" t="n"/>
      <c r="E52" s="5" t="n"/>
      <c r="F52" s="5" t="n"/>
      <c r="G52" s="5" t="n"/>
      <c r="H52" s="6" t="n"/>
      <c r="I52" s="5" t="n"/>
      <c r="J52" s="5" t="n"/>
      <c r="K52" s="5" t="n"/>
      <c r="L52" s="5" t="n"/>
    </row>
    <row r="53">
      <c r="A53" s="5" t="n"/>
      <c r="B53" s="6" t="n"/>
      <c r="C53" s="5" t="n"/>
      <c r="D53" s="5" t="n"/>
      <c r="E53" s="5" t="n"/>
      <c r="F53" s="5" t="n"/>
      <c r="G53" s="5" t="n"/>
      <c r="H53" s="6" t="n"/>
      <c r="I53" s="5" t="n"/>
      <c r="J53" s="5" t="n"/>
      <c r="K53" s="5" t="n"/>
      <c r="L53" s="5" t="n"/>
    </row>
    <row r="54">
      <c r="A54" s="5" t="n"/>
      <c r="B54" s="6" t="n"/>
      <c r="C54" s="5" t="n"/>
      <c r="D54" s="5" t="n"/>
      <c r="E54" s="5" t="n"/>
      <c r="F54" s="5" t="n"/>
      <c r="G54" s="5" t="n"/>
      <c r="H54" s="6" t="n"/>
      <c r="I54" s="5" t="n"/>
      <c r="J54" s="5" t="n"/>
      <c r="K54" s="5" t="n"/>
      <c r="L54" s="5" t="n"/>
    </row>
    <row r="55">
      <c r="A55" s="5" t="n"/>
      <c r="B55" s="6" t="n"/>
      <c r="C55" s="5" t="n"/>
      <c r="D55" s="5" t="n"/>
      <c r="E55" s="5" t="n"/>
      <c r="F55" s="5" t="n"/>
      <c r="G55" s="5" t="n"/>
      <c r="H55" s="6" t="n"/>
      <c r="I55" s="5" t="n"/>
      <c r="J55" s="5" t="n"/>
      <c r="K55" s="5" t="n"/>
      <c r="L55" s="5" t="n"/>
    </row>
    <row r="56">
      <c r="A56" s="5" t="n"/>
      <c r="B56" s="6" t="n"/>
      <c r="C56" s="5" t="n"/>
      <c r="D56" s="5" t="n"/>
      <c r="E56" s="5" t="n"/>
      <c r="F56" s="5" t="n"/>
      <c r="G56" s="5" t="n"/>
      <c r="H56" s="6" t="n"/>
      <c r="I56" s="5" t="n"/>
      <c r="J56" s="5" t="n"/>
      <c r="K56" s="5" t="n"/>
      <c r="L56" s="5" t="n"/>
    </row>
    <row r="57">
      <c r="A57" s="5" t="n"/>
      <c r="B57" s="6" t="n"/>
      <c r="C57" s="5" t="n"/>
      <c r="D57" s="5" t="n"/>
      <c r="E57" s="5" t="n"/>
      <c r="F57" s="5" t="n"/>
      <c r="G57" s="5" t="n"/>
      <c r="H57" s="6" t="n"/>
      <c r="I57" s="5" t="n"/>
      <c r="J57" s="5" t="n"/>
      <c r="K57" s="5" t="n"/>
      <c r="L57" s="5" t="n"/>
    </row>
    <row r="58">
      <c r="A58" s="5" t="n"/>
      <c r="B58" s="6" t="n"/>
      <c r="C58" s="5" t="n"/>
      <c r="D58" s="5" t="n"/>
      <c r="E58" s="5" t="n"/>
      <c r="F58" s="5" t="n"/>
      <c r="G58" s="5" t="n"/>
      <c r="H58" s="6" t="n"/>
      <c r="I58" s="5" t="n"/>
      <c r="J58" s="5" t="n"/>
      <c r="K58" s="5" t="n"/>
      <c r="L58" s="5" t="n"/>
    </row>
    <row r="59">
      <c r="A59" s="5" t="n"/>
      <c r="B59" s="6" t="n"/>
      <c r="C59" s="5" t="n"/>
      <c r="D59" s="5" t="n"/>
      <c r="E59" s="5" t="n"/>
      <c r="F59" s="5" t="n"/>
      <c r="G59" s="5" t="n"/>
      <c r="H59" s="6" t="n"/>
      <c r="I59" s="5" t="n"/>
      <c r="J59" s="5" t="n"/>
      <c r="K59" s="5" t="n"/>
      <c r="L59" s="5" t="n"/>
    </row>
    <row r="60">
      <c r="A60" s="5" t="n"/>
      <c r="B60" s="6" t="n"/>
      <c r="C60" s="5" t="n"/>
      <c r="D60" s="5" t="n"/>
      <c r="E60" s="5" t="n"/>
      <c r="F60" s="5" t="n"/>
      <c r="G60" s="5" t="n"/>
      <c r="H60" s="6" t="n"/>
      <c r="I60" s="5" t="n"/>
      <c r="J60" s="5" t="n"/>
      <c r="K60" s="5" t="n"/>
      <c r="L60" s="5" t="n"/>
    </row>
    <row r="61">
      <c r="A61" s="5" t="n"/>
      <c r="B61" s="6" t="n"/>
      <c r="C61" s="5" t="n"/>
      <c r="D61" s="5" t="n"/>
      <c r="E61" s="5" t="n"/>
      <c r="F61" s="5" t="n"/>
      <c r="G61" s="5" t="n"/>
      <c r="H61" s="6" t="n"/>
      <c r="I61" s="5" t="n"/>
      <c r="J61" s="5" t="n"/>
      <c r="K61" s="5" t="n"/>
      <c r="L61" s="5" t="n"/>
    </row>
    <row r="62">
      <c r="A62" s="5" t="n"/>
      <c r="B62" s="6" t="n"/>
      <c r="C62" s="5" t="n"/>
      <c r="D62" s="5" t="n"/>
      <c r="E62" s="5" t="n"/>
      <c r="F62" s="5" t="n"/>
      <c r="G62" s="5" t="n"/>
      <c r="H62" s="6" t="n"/>
      <c r="I62" s="5" t="n"/>
      <c r="J62" s="5" t="n"/>
      <c r="K62" s="5" t="n"/>
      <c r="L62" s="5" t="n"/>
    </row>
    <row r="63">
      <c r="A63" s="5" t="n"/>
      <c r="B63" s="6" t="n"/>
      <c r="C63" s="5" t="n"/>
      <c r="D63" s="5" t="n"/>
      <c r="E63" s="5" t="n"/>
      <c r="F63" s="5" t="n"/>
      <c r="G63" s="5" t="n"/>
      <c r="H63" s="6" t="n"/>
      <c r="I63" s="5" t="n"/>
      <c r="J63" s="5" t="n"/>
      <c r="K63" s="5" t="n"/>
      <c r="L63" s="5" t="n"/>
    </row>
    <row r="64">
      <c r="A64" s="5" t="n"/>
      <c r="B64" s="6" t="n"/>
      <c r="C64" s="5" t="n"/>
      <c r="D64" s="5" t="n"/>
      <c r="E64" s="5" t="n"/>
      <c r="F64" s="5" t="n"/>
      <c r="G64" s="5" t="n"/>
      <c r="H64" s="6" t="n"/>
      <c r="I64" s="5" t="n"/>
      <c r="J64" s="5" t="n"/>
      <c r="K64" s="5" t="n"/>
      <c r="L64" s="5" t="n"/>
    </row>
    <row r="65">
      <c r="A65" s="5" t="n"/>
      <c r="B65" s="6" t="n"/>
      <c r="C65" s="5" t="n"/>
      <c r="D65" s="5" t="n"/>
      <c r="E65" s="5" t="n"/>
      <c r="F65" s="5" t="n"/>
      <c r="G65" s="5" t="n"/>
      <c r="H65" s="6" t="n"/>
      <c r="I65" s="5" t="n"/>
      <c r="J65" s="5" t="n"/>
      <c r="K65" s="5" t="n"/>
      <c r="L65" s="5" t="n"/>
    </row>
    <row r="66">
      <c r="A66" s="5" t="n"/>
      <c r="B66" s="6" t="n"/>
      <c r="C66" s="5" t="n"/>
      <c r="D66" s="5" t="n"/>
      <c r="E66" s="5" t="n"/>
      <c r="F66" s="5" t="n"/>
      <c r="G66" s="5" t="n"/>
      <c r="H66" s="6" t="n"/>
      <c r="I66" s="5" t="n"/>
      <c r="J66" s="5" t="n"/>
      <c r="K66" s="5" t="n"/>
      <c r="L66" s="5" t="n"/>
    </row>
    <row r="67">
      <c r="A67" s="5" t="n"/>
      <c r="B67" s="6" t="n"/>
      <c r="C67" s="5" t="n"/>
      <c r="D67" s="5" t="n"/>
      <c r="E67" s="5" t="n"/>
      <c r="F67" s="5" t="n"/>
      <c r="G67" s="5" t="n"/>
      <c r="H67" s="6" t="n"/>
      <c r="I67" s="5" t="n"/>
      <c r="J67" s="5" t="n"/>
      <c r="K67" s="5" t="n"/>
      <c r="L67" s="5" t="n"/>
    </row>
    <row r="68">
      <c r="A68" s="5" t="n"/>
      <c r="B68" s="6" t="n"/>
      <c r="C68" s="5" t="n"/>
      <c r="D68" s="5" t="n"/>
      <c r="E68" s="5" t="n"/>
      <c r="F68" s="5" t="n"/>
      <c r="G68" s="5" t="n"/>
      <c r="H68" s="6" t="n"/>
      <c r="I68" s="5" t="n"/>
      <c r="J68" s="5" t="n"/>
      <c r="K68" s="5" t="n"/>
      <c r="L68" s="5" t="n"/>
    </row>
    <row r="69">
      <c r="A69" s="5" t="n"/>
      <c r="B69" s="6" t="n"/>
      <c r="C69" s="5" t="n"/>
      <c r="D69" s="5" t="n"/>
      <c r="E69" s="5" t="n"/>
      <c r="F69" s="5" t="n"/>
      <c r="G69" s="5" t="n"/>
      <c r="H69" s="6" t="n"/>
      <c r="I69" s="5" t="n"/>
      <c r="J69" s="5" t="n"/>
      <c r="K69" s="5" t="n"/>
      <c r="L69" s="5" t="n"/>
    </row>
    <row r="70">
      <c r="A70" s="5" t="n"/>
      <c r="B70" s="6" t="n"/>
      <c r="C70" s="5" t="n"/>
      <c r="D70" s="5" t="n"/>
      <c r="E70" s="5" t="n"/>
      <c r="F70" s="5" t="n"/>
      <c r="G70" s="5" t="n"/>
      <c r="H70" s="6" t="n"/>
      <c r="I70" s="5" t="n"/>
      <c r="J70" s="5" t="n"/>
      <c r="K70" s="5" t="n"/>
      <c r="L70" s="5" t="n"/>
    </row>
    <row r="71">
      <c r="A71" s="5" t="n"/>
      <c r="B71" s="6" t="n"/>
      <c r="C71" s="5" t="n"/>
      <c r="D71" s="5" t="n"/>
      <c r="E71" s="5" t="n"/>
      <c r="F71" s="5" t="n"/>
      <c r="G71" s="5" t="n"/>
      <c r="H71" s="6" t="n"/>
      <c r="I71" s="5" t="n"/>
      <c r="J71" s="5" t="n"/>
      <c r="K71" s="5" t="n"/>
      <c r="L71" s="5" t="n"/>
    </row>
    <row r="72">
      <c r="A72" s="5" t="n"/>
      <c r="B72" s="6" t="n"/>
      <c r="C72" s="5" t="n"/>
      <c r="D72" s="5" t="n"/>
      <c r="E72" s="5" t="n"/>
      <c r="F72" s="5" t="n"/>
      <c r="G72" s="5" t="n"/>
      <c r="H72" s="6" t="n"/>
      <c r="I72" s="5" t="n"/>
      <c r="J72" s="5" t="n"/>
      <c r="K72" s="5" t="n"/>
      <c r="L72" s="5" t="n"/>
    </row>
    <row r="73">
      <c r="A73" s="5" t="n"/>
      <c r="B73" s="6" t="n"/>
      <c r="C73" s="5" t="n"/>
      <c r="D73" s="5" t="n"/>
      <c r="E73" s="5" t="n"/>
      <c r="F73" s="5" t="n"/>
      <c r="G73" s="5" t="n"/>
      <c r="H73" s="6" t="n"/>
      <c r="I73" s="5" t="n"/>
      <c r="J73" s="5" t="n"/>
      <c r="K73" s="5" t="n"/>
      <c r="L73" s="5" t="n"/>
    </row>
    <row r="74">
      <c r="A74" s="5" t="n"/>
      <c r="B74" s="6" t="n"/>
      <c r="C74" s="5" t="n"/>
      <c r="D74" s="5" t="n"/>
      <c r="E74" s="5" t="n"/>
      <c r="F74" s="5" t="n"/>
      <c r="G74" s="5" t="n"/>
      <c r="H74" s="6" t="n"/>
      <c r="I74" s="5" t="n"/>
      <c r="J74" s="5" t="n"/>
      <c r="K74" s="5" t="n"/>
      <c r="L74" s="5" t="n"/>
    </row>
    <row r="75">
      <c r="A75" s="5" t="n"/>
      <c r="B75" s="6" t="n"/>
      <c r="C75" s="5" t="n"/>
      <c r="D75" s="5" t="n"/>
      <c r="E75" s="5" t="n"/>
      <c r="F75" s="5" t="n"/>
      <c r="G75" s="5" t="n"/>
      <c r="H75" s="6" t="n"/>
      <c r="I75" s="5" t="n"/>
      <c r="J75" s="5" t="n"/>
      <c r="K75" s="5" t="n"/>
      <c r="L75" s="5" t="n"/>
    </row>
    <row r="76">
      <c r="A76" s="5" t="n"/>
      <c r="B76" s="6" t="n"/>
      <c r="C76" s="5" t="n"/>
      <c r="D76" s="5" t="n"/>
      <c r="E76" s="5" t="n"/>
      <c r="F76" s="5" t="n"/>
      <c r="G76" s="5" t="n"/>
      <c r="H76" s="6" t="n"/>
      <c r="I76" s="5" t="n"/>
      <c r="J76" s="5" t="n"/>
      <c r="K76" s="5" t="n"/>
      <c r="L76" s="5" t="n"/>
    </row>
    <row r="77">
      <c r="A77" s="5" t="n"/>
      <c r="B77" s="6" t="n"/>
      <c r="C77" s="5" t="n"/>
      <c r="D77" s="5" t="n"/>
      <c r="E77" s="5" t="n"/>
      <c r="F77" s="5" t="n"/>
      <c r="G77" s="5" t="n"/>
      <c r="H77" s="6" t="n"/>
      <c r="I77" s="5" t="n"/>
      <c r="J77" s="5" t="n"/>
      <c r="K77" s="5" t="n"/>
      <c r="L77" s="5" t="n"/>
    </row>
    <row r="78">
      <c r="A78" s="5" t="n"/>
      <c r="B78" s="6" t="n"/>
      <c r="C78" s="5" t="n"/>
      <c r="D78" s="5" t="n"/>
      <c r="E78" s="5" t="n"/>
      <c r="F78" s="5" t="n"/>
      <c r="G78" s="5" t="n"/>
      <c r="H78" s="6" t="n"/>
      <c r="I78" s="5" t="n"/>
      <c r="J78" s="5" t="n"/>
      <c r="K78" s="5" t="n"/>
      <c r="L78" s="5" t="n"/>
    </row>
    <row r="79">
      <c r="A79" s="5" t="n"/>
      <c r="B79" s="6" t="n"/>
      <c r="C79" s="5" t="n"/>
      <c r="D79" s="5" t="n"/>
      <c r="E79" s="5" t="n"/>
      <c r="F79" s="5" t="n"/>
      <c r="G79" s="5" t="n"/>
      <c r="H79" s="6" t="n"/>
      <c r="I79" s="5" t="n"/>
      <c r="J79" s="5" t="n"/>
      <c r="K79" s="5" t="n"/>
      <c r="L79" s="5" t="n"/>
    </row>
    <row r="80">
      <c r="A80" s="5" t="n"/>
      <c r="B80" s="6" t="n"/>
      <c r="C80" s="5" t="n"/>
      <c r="D80" s="5" t="n"/>
      <c r="E80" s="5" t="n"/>
      <c r="F80" s="5" t="n"/>
      <c r="G80" s="5" t="n"/>
      <c r="H80" s="6" t="n"/>
      <c r="I80" s="5" t="n"/>
      <c r="J80" s="5" t="n"/>
      <c r="K80" s="5" t="n"/>
      <c r="L80" s="5" t="n"/>
    </row>
    <row r="81">
      <c r="A81" s="5" t="n"/>
      <c r="B81" s="6" t="n"/>
      <c r="C81" s="5" t="n"/>
      <c r="D81" s="5" t="n"/>
      <c r="E81" s="5" t="n"/>
      <c r="F81" s="5" t="n"/>
      <c r="G81" s="5" t="n"/>
      <c r="H81" s="6" t="n"/>
      <c r="I81" s="5" t="n"/>
      <c r="J81" s="5" t="n"/>
      <c r="K81" s="5" t="n"/>
      <c r="L81" s="5" t="n"/>
    </row>
    <row r="82">
      <c r="A82" s="5" t="n"/>
      <c r="B82" s="6" t="n"/>
      <c r="C82" s="5" t="n"/>
      <c r="D82" s="5" t="n"/>
      <c r="E82" s="5" t="n"/>
      <c r="F82" s="5" t="n"/>
      <c r="G82" s="5" t="n"/>
      <c r="H82" s="6" t="n"/>
      <c r="I82" s="5" t="n"/>
      <c r="J82" s="5" t="n"/>
      <c r="K82" s="5" t="n"/>
      <c r="L82" s="5" t="n"/>
    </row>
    <row r="83">
      <c r="A83" s="5" t="n"/>
      <c r="B83" s="6" t="n"/>
      <c r="C83" s="5" t="n"/>
      <c r="D83" s="5" t="n"/>
      <c r="E83" s="5" t="n"/>
      <c r="F83" s="5" t="n"/>
      <c r="G83" s="5" t="n"/>
      <c r="H83" s="6" t="n"/>
      <c r="I83" s="5" t="n"/>
      <c r="J83" s="5" t="n"/>
      <c r="K83" s="5" t="n"/>
      <c r="L83" s="5" t="n"/>
    </row>
    <row r="84">
      <c r="A84" s="5" t="n"/>
      <c r="B84" s="6" t="n"/>
      <c r="C84" s="5" t="n"/>
      <c r="D84" s="5" t="n"/>
      <c r="E84" s="5" t="n"/>
      <c r="F84" s="5" t="n"/>
      <c r="G84" s="5" t="n"/>
      <c r="H84" s="6" t="n"/>
      <c r="I84" s="5" t="n"/>
      <c r="J84" s="5" t="n"/>
      <c r="K84" s="5" t="n"/>
      <c r="L84" s="5" t="n"/>
    </row>
    <row r="85">
      <c r="A85" s="5" t="n"/>
      <c r="B85" s="6" t="n"/>
      <c r="C85" s="5" t="n"/>
      <c r="D85" s="5" t="n"/>
      <c r="E85" s="5" t="n"/>
      <c r="F85" s="5" t="n"/>
      <c r="G85" s="5" t="n"/>
      <c r="H85" s="6" t="n"/>
      <c r="I85" s="5" t="n"/>
      <c r="J85" s="5" t="n"/>
      <c r="K85" s="5" t="n"/>
      <c r="L85" s="5" t="n"/>
    </row>
    <row r="86">
      <c r="A86" s="5" t="n"/>
      <c r="B86" s="6" t="n"/>
      <c r="C86" s="5" t="n"/>
      <c r="D86" s="5" t="n"/>
      <c r="E86" s="5" t="n"/>
      <c r="F86" s="5" t="n"/>
      <c r="G86" s="5" t="n"/>
      <c r="H86" s="6" t="n"/>
      <c r="I86" s="5" t="n"/>
      <c r="J86" s="5" t="n"/>
      <c r="K86" s="5" t="n"/>
      <c r="L86" s="5" t="n"/>
    </row>
    <row r="87">
      <c r="A87" s="5" t="n"/>
      <c r="B87" s="6" t="n"/>
      <c r="C87" s="5" t="n"/>
      <c r="D87" s="5" t="n"/>
      <c r="E87" s="5" t="n"/>
      <c r="F87" s="5" t="n"/>
      <c r="G87" s="5" t="n"/>
      <c r="H87" s="6" t="n"/>
      <c r="I87" s="5" t="n"/>
      <c r="J87" s="5" t="n"/>
      <c r="K87" s="5" t="n"/>
      <c r="L87" s="5" t="n"/>
    </row>
    <row r="88">
      <c r="A88" s="5" t="n"/>
      <c r="B88" s="6" t="n"/>
      <c r="C88" s="5" t="n"/>
      <c r="D88" s="5" t="n"/>
      <c r="E88" s="5" t="n"/>
      <c r="F88" s="5" t="n"/>
      <c r="G88" s="5" t="n"/>
      <c r="H88" s="6" t="n"/>
      <c r="I88" s="5" t="n"/>
      <c r="J88" s="5" t="n"/>
      <c r="K88" s="5" t="n"/>
      <c r="L88" s="5" t="n"/>
    </row>
    <row r="89">
      <c r="A89" s="5" t="n"/>
      <c r="B89" s="6" t="n"/>
      <c r="C89" s="5" t="n"/>
      <c r="D89" s="5" t="n"/>
      <c r="E89" s="5" t="n"/>
      <c r="F89" s="5" t="n"/>
      <c r="G89" s="5" t="n"/>
      <c r="H89" s="6" t="n"/>
      <c r="I89" s="5" t="n"/>
      <c r="J89" s="5" t="n"/>
      <c r="K89" s="5" t="n"/>
      <c r="L89" s="5" t="n"/>
    </row>
    <row r="90">
      <c r="A90" s="5" t="n"/>
      <c r="B90" s="6" t="n"/>
      <c r="C90" s="5" t="n"/>
      <c r="D90" s="5" t="n"/>
      <c r="E90" s="5" t="n"/>
      <c r="F90" s="5" t="n"/>
      <c r="G90" s="5" t="n"/>
      <c r="H90" s="6" t="n"/>
      <c r="I90" s="5" t="n"/>
      <c r="J90" s="5" t="n"/>
      <c r="K90" s="5" t="n"/>
      <c r="L90" s="5" t="n"/>
    </row>
    <row r="91">
      <c r="A91" s="5" t="n"/>
      <c r="B91" s="6" t="n"/>
      <c r="C91" s="5" t="n"/>
      <c r="D91" s="5" t="n"/>
      <c r="E91" s="5" t="n"/>
      <c r="F91" s="5" t="n"/>
      <c r="G91" s="5" t="n"/>
      <c r="H91" s="6" t="n"/>
      <c r="I91" s="5" t="n"/>
      <c r="J91" s="5" t="n"/>
      <c r="K91" s="5" t="n"/>
      <c r="L91" s="5" t="n"/>
    </row>
    <row r="92">
      <c r="A92" s="5" t="n"/>
      <c r="B92" s="6" t="n"/>
      <c r="C92" s="5" t="n"/>
      <c r="D92" s="5" t="n"/>
      <c r="E92" s="5" t="n"/>
      <c r="F92" s="5" t="n"/>
      <c r="G92" s="5" t="n"/>
      <c r="H92" s="6" t="n"/>
      <c r="I92" s="5" t="n"/>
      <c r="J92" s="5" t="n"/>
      <c r="K92" s="5" t="n"/>
      <c r="L92" s="5" t="n"/>
    </row>
    <row r="93">
      <c r="A93" s="5" t="n"/>
      <c r="B93" s="6" t="n"/>
      <c r="C93" s="5" t="n"/>
      <c r="D93" s="5" t="n"/>
      <c r="E93" s="5" t="n"/>
      <c r="F93" s="5" t="n"/>
      <c r="G93" s="5" t="n"/>
      <c r="H93" s="6" t="n"/>
      <c r="I93" s="5" t="n"/>
      <c r="J93" s="5" t="n"/>
      <c r="K93" s="5" t="n"/>
      <c r="L93" s="5" t="n"/>
    </row>
    <row r="94">
      <c r="A94" s="5" t="n"/>
      <c r="B94" s="6" t="n"/>
      <c r="C94" s="5" t="n"/>
      <c r="D94" s="5" t="n"/>
      <c r="E94" s="5" t="n"/>
      <c r="F94" s="5" t="n"/>
      <c r="G94" s="5" t="n"/>
      <c r="H94" s="6" t="n"/>
      <c r="I94" s="5" t="n"/>
      <c r="J94" s="5" t="n"/>
      <c r="K94" s="5" t="n"/>
      <c r="L94" s="5" t="n"/>
    </row>
    <row r="95">
      <c r="A95" s="5" t="n"/>
      <c r="B95" s="6" t="n"/>
      <c r="C95" s="5" t="n"/>
      <c r="D95" s="5" t="n"/>
      <c r="E95" s="5" t="n"/>
      <c r="F95" s="5" t="n"/>
      <c r="G95" s="5" t="n"/>
      <c r="H95" s="6" t="n"/>
      <c r="I95" s="5" t="n"/>
      <c r="J95" s="5" t="n"/>
      <c r="K95" s="5" t="n"/>
      <c r="L95" s="5" t="n"/>
    </row>
    <row r="96">
      <c r="A96" s="5" t="n"/>
      <c r="B96" s="6" t="n"/>
      <c r="C96" s="5" t="n"/>
      <c r="D96" s="5" t="n"/>
      <c r="E96" s="5" t="n"/>
      <c r="F96" s="5" t="n"/>
      <c r="G96" s="5" t="n"/>
      <c r="H96" s="6" t="n"/>
      <c r="I96" s="5" t="n"/>
      <c r="J96" s="5" t="n"/>
      <c r="K96" s="5" t="n"/>
      <c r="L96" s="5" t="n"/>
    </row>
    <row r="97">
      <c r="A97" s="5" t="n"/>
      <c r="B97" s="6" t="n"/>
      <c r="C97" s="5" t="n"/>
      <c r="D97" s="5" t="n"/>
      <c r="E97" s="5" t="n"/>
      <c r="F97" s="5" t="n"/>
      <c r="G97" s="5" t="n"/>
      <c r="H97" s="6" t="n"/>
      <c r="I97" s="5" t="n"/>
      <c r="J97" s="5" t="n"/>
      <c r="K97" s="5" t="n"/>
      <c r="L97" s="5" t="n"/>
    </row>
    <row r="98">
      <c r="A98" s="5" t="n"/>
      <c r="B98" s="6" t="n"/>
      <c r="C98" s="5" t="n"/>
      <c r="D98" s="5" t="n"/>
      <c r="E98" s="5" t="n"/>
      <c r="F98" s="5" t="n"/>
      <c r="G98" s="5" t="n"/>
      <c r="H98" s="6" t="n"/>
      <c r="I98" s="5" t="n"/>
      <c r="J98" s="5" t="n"/>
      <c r="K98" s="5" t="n"/>
      <c r="L98" s="5" t="n"/>
    </row>
    <row r="99">
      <c r="A99" s="5" t="n"/>
      <c r="B99" s="6" t="n"/>
      <c r="C99" s="5" t="n"/>
      <c r="D99" s="5" t="n"/>
      <c r="E99" s="5" t="n"/>
      <c r="F99" s="5" t="n"/>
      <c r="G99" s="5" t="n"/>
      <c r="H99" s="6" t="n"/>
      <c r="I99" s="5" t="n"/>
      <c r="J99" s="5" t="n"/>
      <c r="K99" s="5" t="n"/>
      <c r="L99" s="5" t="n"/>
    </row>
    <row r="100">
      <c r="A100" s="5" t="n"/>
      <c r="B100" s="6" t="n"/>
      <c r="C100" s="5" t="n"/>
      <c r="D100" s="5" t="n"/>
      <c r="E100" s="5" t="n"/>
      <c r="F100" s="5" t="n"/>
      <c r="G100" s="5" t="n"/>
      <c r="H100" s="6" t="n"/>
      <c r="I100" s="5" t="n"/>
      <c r="J100" s="5" t="n"/>
      <c r="K100" s="5" t="n"/>
      <c r="L100" s="5" t="n"/>
    </row>
    <row r="101">
      <c r="A101" s="5" t="n"/>
      <c r="B101" s="6" t="n"/>
      <c r="C101" s="5" t="n"/>
      <c r="D101" s="5" t="n"/>
      <c r="E101" s="5" t="n"/>
      <c r="F101" s="5" t="n"/>
      <c r="G101" s="5" t="n"/>
      <c r="H101" s="6" t="n"/>
      <c r="I101" s="5" t="n"/>
      <c r="J101" s="5" t="n"/>
      <c r="K101" s="5" t="n"/>
      <c r="L101" s="5" t="n"/>
    </row>
    <row r="102">
      <c r="A102" s="5" t="n"/>
      <c r="B102" s="6" t="n"/>
      <c r="C102" s="5" t="n"/>
      <c r="D102" s="5" t="n"/>
      <c r="E102" s="5" t="n"/>
      <c r="F102" s="5" t="n"/>
      <c r="G102" s="5" t="n"/>
      <c r="H102" s="6" t="n"/>
      <c r="I102" s="5" t="n"/>
      <c r="J102" s="5" t="n"/>
      <c r="K102" s="5" t="n"/>
      <c r="L102" s="5" t="n"/>
    </row>
    <row r="103">
      <c r="A103" s="5" t="n"/>
      <c r="B103" s="6" t="n"/>
      <c r="C103" s="5" t="n"/>
      <c r="D103" s="5" t="n"/>
      <c r="E103" s="5" t="n"/>
      <c r="F103" s="5" t="n"/>
      <c r="G103" s="5" t="n"/>
      <c r="H103" s="6" t="n"/>
      <c r="I103" s="5" t="n"/>
      <c r="J103" s="5" t="n"/>
      <c r="K103" s="5" t="n"/>
      <c r="L103" s="5" t="n"/>
    </row>
    <row r="104">
      <c r="A104" s="5" t="n"/>
      <c r="B104" s="6" t="n"/>
      <c r="C104" s="5" t="n"/>
      <c r="D104" s="5" t="n"/>
      <c r="E104" s="5" t="n"/>
      <c r="F104" s="5" t="n"/>
      <c r="G104" s="5" t="n"/>
      <c r="H104" s="6" t="n"/>
      <c r="I104" s="5" t="n"/>
      <c r="J104" s="5" t="n"/>
      <c r="K104" s="5" t="n"/>
      <c r="L104" s="5" t="n"/>
    </row>
    <row r="105">
      <c r="A105" s="5" t="n"/>
      <c r="B105" s="6" t="n"/>
      <c r="C105" s="5" t="n"/>
      <c r="D105" s="5" t="n"/>
      <c r="E105" s="5" t="n"/>
      <c r="F105" s="5" t="n"/>
      <c r="G105" s="5" t="n"/>
      <c r="H105" s="6" t="n"/>
      <c r="I105" s="5" t="n"/>
      <c r="J105" s="5" t="n"/>
      <c r="K105" s="5" t="n"/>
      <c r="L105" s="5" t="n"/>
    </row>
    <row r="106">
      <c r="A106" s="5" t="n"/>
      <c r="B106" s="6" t="n"/>
      <c r="C106" s="5" t="n"/>
      <c r="D106" s="5" t="n"/>
      <c r="E106" s="5" t="n"/>
      <c r="F106" s="5" t="n"/>
      <c r="G106" s="5" t="n"/>
      <c r="H106" s="6" t="n"/>
      <c r="I106" s="5" t="n"/>
      <c r="J106" s="5" t="n"/>
      <c r="K106" s="5" t="n"/>
      <c r="L106" s="5" t="n"/>
    </row>
    <row r="107">
      <c r="A107" s="5" t="n"/>
      <c r="B107" s="6" t="n"/>
      <c r="C107" s="5" t="n"/>
      <c r="D107" s="5" t="n"/>
      <c r="E107" s="5" t="n"/>
      <c r="F107" s="5" t="n"/>
      <c r="G107" s="5" t="n"/>
      <c r="H107" s="6" t="n"/>
      <c r="I107" s="5" t="n"/>
      <c r="J107" s="5" t="n"/>
      <c r="K107" s="5" t="n"/>
      <c r="L107" s="5" t="n"/>
    </row>
    <row r="108">
      <c r="A108" s="5" t="n"/>
      <c r="B108" s="6" t="n"/>
      <c r="C108" s="5" t="n"/>
      <c r="D108" s="5" t="n"/>
      <c r="E108" s="5" t="n"/>
      <c r="F108" s="5" t="n"/>
      <c r="G108" s="5" t="n"/>
      <c r="H108" s="6" t="n"/>
      <c r="I108" s="5" t="n"/>
      <c r="J108" s="5" t="n"/>
      <c r="K108" s="5" t="n"/>
      <c r="L108" s="5" t="n"/>
    </row>
    <row r="109">
      <c r="A109" s="5" t="n"/>
      <c r="B109" s="6" t="n"/>
      <c r="C109" s="5" t="n"/>
      <c r="D109" s="5" t="n"/>
      <c r="E109" s="5" t="n"/>
      <c r="F109" s="5" t="n"/>
      <c r="G109" s="5" t="n"/>
      <c r="H109" s="6" t="n"/>
      <c r="I109" s="5" t="n"/>
      <c r="J109" s="5" t="n"/>
      <c r="K109" s="5" t="n"/>
      <c r="L109" s="5" t="n"/>
    </row>
    <row r="110">
      <c r="A110" s="5" t="n"/>
      <c r="B110" s="6" t="n"/>
      <c r="C110" s="5" t="n"/>
      <c r="D110" s="5" t="n"/>
      <c r="E110" s="5" t="n"/>
      <c r="F110" s="5" t="n"/>
      <c r="G110" s="5" t="n"/>
      <c r="H110" s="6" t="n"/>
      <c r="I110" s="5" t="n"/>
      <c r="J110" s="5" t="n"/>
      <c r="K110" s="5" t="n"/>
      <c r="L110" s="5" t="n"/>
    </row>
    <row r="111">
      <c r="A111" s="5" t="n"/>
      <c r="B111" s="6" t="n"/>
      <c r="C111" s="5" t="n"/>
      <c r="D111" s="5" t="n"/>
      <c r="E111" s="5" t="n"/>
      <c r="F111" s="5" t="n"/>
      <c r="G111" s="5" t="n"/>
      <c r="H111" s="6" t="n"/>
      <c r="I111" s="5" t="n"/>
      <c r="J111" s="5" t="n"/>
      <c r="K111" s="5" t="n"/>
      <c r="L111" s="5" t="n"/>
    </row>
    <row r="112">
      <c r="A112" s="5" t="n"/>
      <c r="B112" s="6" t="n"/>
      <c r="C112" s="5" t="n"/>
      <c r="D112" s="5" t="n"/>
      <c r="E112" s="5" t="n"/>
      <c r="F112" s="5" t="n"/>
      <c r="G112" s="5" t="n"/>
      <c r="H112" s="6" t="n"/>
      <c r="I112" s="5" t="n"/>
      <c r="J112" s="5" t="n"/>
      <c r="K112" s="5" t="n"/>
      <c r="L112" s="5" t="n"/>
    </row>
    <row r="113">
      <c r="A113" s="5" t="n"/>
      <c r="B113" s="6" t="n"/>
      <c r="C113" s="5" t="n"/>
      <c r="D113" s="5" t="n"/>
      <c r="E113" s="5" t="n"/>
      <c r="F113" s="5" t="n"/>
      <c r="G113" s="5" t="n"/>
      <c r="H113" s="6" t="n"/>
      <c r="I113" s="5" t="n"/>
      <c r="J113" s="5" t="n"/>
      <c r="K113" s="5" t="n"/>
      <c r="L113" s="5" t="n"/>
    </row>
    <row r="114">
      <c r="A114" s="5" t="n"/>
      <c r="B114" s="6" t="n"/>
      <c r="C114" s="5" t="n"/>
      <c r="D114" s="5" t="n"/>
      <c r="E114" s="5" t="n"/>
      <c r="F114" s="5" t="n"/>
      <c r="G114" s="5" t="n"/>
      <c r="H114" s="6" t="n"/>
      <c r="I114" s="5" t="n"/>
      <c r="J114" s="5" t="n"/>
      <c r="K114" s="5" t="n"/>
      <c r="L114" s="5" t="n"/>
    </row>
    <row r="115">
      <c r="A115" s="5" t="n"/>
      <c r="B115" s="6" t="n"/>
      <c r="C115" s="5" t="n"/>
      <c r="D115" s="5" t="n"/>
      <c r="E115" s="5" t="n"/>
      <c r="F115" s="5" t="n"/>
      <c r="G115" s="5" t="n"/>
      <c r="H115" s="6" t="n"/>
      <c r="I115" s="5" t="n"/>
      <c r="J115" s="5" t="n"/>
      <c r="K115" s="5" t="n"/>
      <c r="L115" s="5" t="n"/>
    </row>
    <row r="116">
      <c r="A116" s="5" t="n"/>
      <c r="B116" s="6" t="n"/>
      <c r="C116" s="5" t="n"/>
      <c r="D116" s="5" t="n"/>
      <c r="E116" s="5" t="n"/>
      <c r="F116" s="5" t="n"/>
      <c r="G116" s="5" t="n"/>
      <c r="H116" s="6" t="n"/>
      <c r="I116" s="5" t="n"/>
      <c r="J116" s="5" t="n"/>
      <c r="K116" s="5" t="n"/>
      <c r="L116" s="5" t="n"/>
    </row>
    <row r="117">
      <c r="A117" s="5" t="n"/>
      <c r="B117" s="6" t="n"/>
      <c r="C117" s="5" t="n"/>
      <c r="D117" s="5" t="n"/>
      <c r="E117" s="5" t="n"/>
      <c r="F117" s="5" t="n"/>
      <c r="G117" s="5" t="n"/>
      <c r="H117" s="6" t="n"/>
      <c r="I117" s="5" t="n"/>
      <c r="J117" s="5" t="n"/>
      <c r="K117" s="5" t="n"/>
      <c r="L117" s="5" t="n"/>
    </row>
    <row r="118">
      <c r="A118" s="5" t="n"/>
      <c r="B118" s="6" t="n"/>
      <c r="C118" s="5" t="n"/>
      <c r="D118" s="5" t="n"/>
      <c r="E118" s="5" t="n"/>
      <c r="F118" s="5" t="n"/>
      <c r="G118" s="5" t="n"/>
      <c r="H118" s="6" t="n"/>
      <c r="I118" s="5" t="n"/>
      <c r="J118" s="5" t="n"/>
      <c r="K118" s="5" t="n"/>
      <c r="L118" s="5" t="n"/>
    </row>
    <row r="119">
      <c r="A119" s="5" t="n"/>
      <c r="B119" s="6" t="n"/>
      <c r="C119" s="5" t="n"/>
      <c r="D119" s="5" t="n"/>
      <c r="E119" s="5" t="n"/>
      <c r="F119" s="5" t="n"/>
      <c r="G119" s="5" t="n"/>
      <c r="H119" s="6" t="n"/>
      <c r="I119" s="5" t="n"/>
      <c r="J119" s="5" t="n"/>
      <c r="K119" s="5" t="n"/>
      <c r="L119" s="5" t="n"/>
    </row>
    <row r="120">
      <c r="A120" s="5" t="n"/>
      <c r="B120" s="6" t="n"/>
      <c r="C120" s="5" t="n"/>
      <c r="D120" s="5" t="n"/>
      <c r="E120" s="5" t="n"/>
      <c r="F120" s="5" t="n"/>
      <c r="G120" s="5" t="n"/>
      <c r="H120" s="6" t="n"/>
      <c r="I120" s="5" t="n"/>
      <c r="J120" s="5" t="n"/>
      <c r="K120" s="5" t="n"/>
      <c r="L120" s="5" t="n"/>
    </row>
    <row r="121">
      <c r="A121" s="5" t="n"/>
      <c r="B121" s="6" t="n"/>
      <c r="C121" s="5" t="n"/>
      <c r="D121" s="5" t="n"/>
      <c r="E121" s="5" t="n"/>
      <c r="F121" s="5" t="n"/>
      <c r="G121" s="5" t="n"/>
      <c r="H121" s="6" t="n"/>
      <c r="I121" s="5" t="n"/>
      <c r="J121" s="5" t="n"/>
      <c r="K121" s="5" t="n"/>
      <c r="L121" s="5" t="n"/>
    </row>
    <row r="122">
      <c r="A122" s="5" t="n"/>
      <c r="B122" s="6" t="n"/>
      <c r="C122" s="5" t="n"/>
      <c r="D122" s="5" t="n"/>
      <c r="E122" s="5" t="n"/>
      <c r="F122" s="5" t="n"/>
      <c r="G122" s="5" t="n"/>
      <c r="H122" s="6" t="n"/>
      <c r="I122" s="5" t="n"/>
      <c r="J122" s="5" t="n"/>
      <c r="K122" s="5" t="n"/>
      <c r="L122" s="5" t="n"/>
    </row>
    <row r="123">
      <c r="A123" s="5" t="n"/>
      <c r="B123" s="6" t="n"/>
      <c r="C123" s="5" t="n"/>
      <c r="D123" s="5" t="n"/>
      <c r="E123" s="5" t="n"/>
      <c r="F123" s="5" t="n"/>
      <c r="G123" s="5" t="n"/>
      <c r="H123" s="6" t="n"/>
      <c r="I123" s="5" t="n"/>
      <c r="J123" s="5" t="n"/>
      <c r="K123" s="5" t="n"/>
      <c r="L123" s="5" t="n"/>
    </row>
    <row r="124">
      <c r="A124" s="5" t="n"/>
      <c r="B124" s="6" t="n"/>
      <c r="C124" s="5" t="n"/>
      <c r="D124" s="5" t="n"/>
      <c r="E124" s="5" t="n"/>
      <c r="F124" s="5" t="n"/>
      <c r="G124" s="5" t="n"/>
      <c r="H124" s="6" t="n"/>
      <c r="I124" s="5" t="n"/>
      <c r="J124" s="5" t="n"/>
      <c r="K124" s="5" t="n"/>
      <c r="L124" s="5" t="n"/>
    </row>
    <row r="125">
      <c r="A125" s="5" t="n"/>
      <c r="B125" s="6" t="n"/>
      <c r="C125" s="5" t="n"/>
      <c r="D125" s="5" t="n"/>
      <c r="E125" s="5" t="n"/>
      <c r="F125" s="5" t="n"/>
      <c r="G125" s="5" t="n"/>
      <c r="H125" s="6" t="n"/>
      <c r="I125" s="5" t="n"/>
      <c r="J125" s="5" t="n"/>
      <c r="K125" s="5" t="n"/>
      <c r="L125" s="5" t="n"/>
    </row>
    <row r="126">
      <c r="A126" s="5" t="n"/>
      <c r="B126" s="6" t="n"/>
      <c r="C126" s="5" t="n"/>
      <c r="D126" s="5" t="n"/>
      <c r="E126" s="5" t="n"/>
      <c r="F126" s="5" t="n"/>
      <c r="G126" s="5" t="n"/>
      <c r="H126" s="6" t="n"/>
      <c r="I126" s="5" t="n"/>
      <c r="J126" s="5" t="n"/>
      <c r="K126" s="5" t="n"/>
      <c r="L126" s="5" t="n"/>
    </row>
    <row r="127">
      <c r="A127" s="5" t="n"/>
      <c r="B127" s="6" t="n"/>
      <c r="C127" s="5" t="n"/>
      <c r="D127" s="5" t="n"/>
      <c r="E127" s="5" t="n"/>
      <c r="F127" s="5" t="n"/>
      <c r="G127" s="5" t="n"/>
      <c r="H127" s="6" t="n"/>
      <c r="I127" s="5" t="n"/>
      <c r="J127" s="5" t="n"/>
      <c r="K127" s="5" t="n"/>
      <c r="L127" s="5" t="n"/>
    </row>
    <row r="128">
      <c r="A128" s="5" t="n"/>
      <c r="B128" s="6" t="n"/>
      <c r="C128" s="5" t="n"/>
      <c r="D128" s="5" t="n"/>
      <c r="E128" s="5" t="n"/>
      <c r="F128" s="5" t="n"/>
      <c r="G128" s="5" t="n"/>
      <c r="H128" s="6" t="n"/>
      <c r="I128" s="5" t="n"/>
      <c r="J128" s="5" t="n"/>
      <c r="K128" s="5" t="n"/>
      <c r="L128" s="5" t="n"/>
    </row>
    <row r="129">
      <c r="A129" s="5" t="n"/>
      <c r="B129" s="6" t="n"/>
      <c r="C129" s="5" t="n"/>
      <c r="D129" s="5" t="n"/>
      <c r="E129" s="5" t="n"/>
      <c r="F129" s="5" t="n"/>
      <c r="G129" s="5" t="n"/>
      <c r="H129" s="6" t="n"/>
      <c r="I129" s="5" t="n"/>
      <c r="J129" s="5" t="n"/>
      <c r="K129" s="5" t="n"/>
      <c r="L129" s="5" t="n"/>
    </row>
    <row r="130">
      <c r="A130" s="5" t="n"/>
      <c r="B130" s="6" t="n"/>
      <c r="C130" s="5" t="n"/>
      <c r="D130" s="5" t="n"/>
      <c r="E130" s="5" t="n"/>
      <c r="F130" s="5" t="n"/>
      <c r="G130" s="5" t="n"/>
      <c r="H130" s="6" t="n"/>
      <c r="I130" s="5" t="n"/>
      <c r="J130" s="5" t="n"/>
      <c r="K130" s="5" t="n"/>
      <c r="L130" s="5" t="n"/>
    </row>
    <row r="131">
      <c r="A131" s="5" t="n"/>
      <c r="B131" s="6" t="n"/>
      <c r="C131" s="5" t="n"/>
      <c r="D131" s="5" t="n"/>
      <c r="E131" s="5" t="n"/>
      <c r="F131" s="5" t="n"/>
      <c r="G131" s="5" t="n"/>
      <c r="H131" s="6" t="n"/>
      <c r="I131" s="5" t="n"/>
      <c r="J131" s="5" t="n"/>
      <c r="K131" s="5" t="n"/>
      <c r="L131" s="5" t="n"/>
    </row>
    <row r="132">
      <c r="A132" s="5" t="n"/>
      <c r="B132" s="6" t="n"/>
      <c r="C132" s="5" t="n"/>
      <c r="D132" s="5" t="n"/>
      <c r="E132" s="5" t="n"/>
      <c r="F132" s="5" t="n"/>
      <c r="G132" s="5" t="n"/>
      <c r="H132" s="6" t="n"/>
      <c r="I132" s="5" t="n"/>
      <c r="J132" s="5" t="n"/>
      <c r="K132" s="5" t="n"/>
      <c r="L132" s="5" t="n"/>
    </row>
    <row r="133">
      <c r="A133" s="5" t="n"/>
      <c r="B133" s="6" t="n"/>
      <c r="C133" s="5" t="n"/>
      <c r="D133" s="5" t="n"/>
      <c r="E133" s="5" t="n"/>
      <c r="F133" s="5" t="n"/>
      <c r="G133" s="5" t="n"/>
      <c r="H133" s="6" t="n"/>
      <c r="I133" s="5" t="n"/>
      <c r="J133" s="5" t="n"/>
      <c r="K133" s="5" t="n"/>
      <c r="L133" s="5" t="n"/>
    </row>
    <row r="134">
      <c r="A134" s="5" t="n"/>
      <c r="B134" s="6" t="n"/>
      <c r="C134" s="5" t="n"/>
      <c r="D134" s="5" t="n"/>
      <c r="E134" s="5" t="n"/>
      <c r="F134" s="5" t="n"/>
      <c r="G134" s="5" t="n"/>
      <c r="H134" s="6" t="n"/>
      <c r="I134" s="5" t="n"/>
      <c r="J134" s="5" t="n"/>
      <c r="K134" s="5" t="n"/>
      <c r="L134" s="5" t="n"/>
    </row>
    <row r="135">
      <c r="A135" s="5" t="n"/>
      <c r="B135" s="6" t="n"/>
      <c r="C135" s="5" t="n"/>
      <c r="D135" s="5" t="n"/>
      <c r="E135" s="5" t="n"/>
      <c r="F135" s="5" t="n"/>
      <c r="G135" s="5" t="n"/>
      <c r="H135" s="6" t="n"/>
      <c r="I135" s="5" t="n"/>
      <c r="J135" s="5" t="n"/>
      <c r="K135" s="5" t="n"/>
      <c r="L135" s="5" t="n"/>
    </row>
    <row r="136">
      <c r="A136" s="5" t="n"/>
      <c r="B136" s="6" t="n"/>
      <c r="C136" s="5" t="n"/>
      <c r="D136" s="5" t="n"/>
      <c r="E136" s="5" t="n"/>
      <c r="F136" s="5" t="n"/>
      <c r="G136" s="5" t="n"/>
      <c r="H136" s="6" t="n"/>
      <c r="I136" s="5" t="n"/>
      <c r="J136" s="5" t="n"/>
      <c r="K136" s="5" t="n"/>
      <c r="L136" s="5" t="n"/>
    </row>
    <row r="137">
      <c r="A137" s="5" t="n"/>
      <c r="B137" s="6" t="n"/>
      <c r="C137" s="5" t="n"/>
      <c r="D137" s="5" t="n"/>
      <c r="E137" s="5" t="n"/>
      <c r="F137" s="5" t="n"/>
      <c r="G137" s="5" t="n"/>
      <c r="H137" s="6" t="n"/>
      <c r="I137" s="5" t="n"/>
      <c r="J137" s="5" t="n"/>
      <c r="K137" s="5" t="n"/>
      <c r="L137" s="5" t="n"/>
    </row>
    <row r="138">
      <c r="A138" s="5" t="n"/>
      <c r="B138" s="6" t="n"/>
      <c r="C138" s="5" t="n"/>
      <c r="D138" s="5" t="n"/>
      <c r="E138" s="5" t="n"/>
      <c r="F138" s="5" t="n"/>
      <c r="G138" s="5" t="n"/>
      <c r="H138" s="6" t="n"/>
      <c r="I138" s="5" t="n"/>
      <c r="J138" s="5" t="n"/>
      <c r="K138" s="5" t="n"/>
      <c r="L138" s="5" t="n"/>
    </row>
    <row r="139">
      <c r="A139" s="5" t="n"/>
      <c r="B139" s="6" t="n"/>
      <c r="C139" s="5" t="n"/>
      <c r="D139" s="5" t="n"/>
      <c r="E139" s="5" t="n"/>
      <c r="F139" s="5" t="n"/>
      <c r="G139" s="5" t="n"/>
      <c r="H139" s="6" t="n"/>
      <c r="I139" s="5" t="n"/>
      <c r="J139" s="5" t="n"/>
      <c r="K139" s="5" t="n"/>
      <c r="L139" s="5" t="n"/>
    </row>
    <row r="140">
      <c r="A140" s="5" t="n"/>
      <c r="B140" s="6" t="n"/>
      <c r="C140" s="5" t="n"/>
      <c r="D140" s="5" t="n"/>
      <c r="E140" s="5" t="n"/>
      <c r="F140" s="5" t="n"/>
      <c r="G140" s="5" t="n"/>
      <c r="H140" s="6" t="n"/>
      <c r="I140" s="5" t="n"/>
      <c r="J140" s="5" t="n"/>
      <c r="K140" s="5" t="n"/>
      <c r="L140" s="5" t="n"/>
    </row>
    <row r="141">
      <c r="A141" s="5" t="n"/>
      <c r="B141" s="6" t="n"/>
      <c r="C141" s="5" t="n"/>
      <c r="D141" s="5" t="n"/>
      <c r="E141" s="5" t="n"/>
      <c r="F141" s="5" t="n"/>
      <c r="G141" s="5" t="n"/>
      <c r="H141" s="6" t="n"/>
      <c r="I141" s="5" t="n"/>
      <c r="J141" s="5" t="n"/>
      <c r="K141" s="5" t="n"/>
      <c r="L141" s="5" t="n"/>
    </row>
    <row r="142">
      <c r="A142" s="5" t="n"/>
      <c r="B142" s="6" t="n"/>
      <c r="C142" s="5" t="n"/>
      <c r="D142" s="5" t="n"/>
      <c r="E142" s="5" t="n"/>
      <c r="F142" s="5" t="n"/>
      <c r="G142" s="5" t="n"/>
      <c r="H142" s="6" t="n"/>
      <c r="I142" s="5" t="n"/>
      <c r="J142" s="5" t="n"/>
      <c r="K142" s="5" t="n"/>
      <c r="L142" s="5" t="n"/>
    </row>
    <row r="143">
      <c r="A143" s="5" t="n"/>
      <c r="B143" s="6" t="n"/>
      <c r="C143" s="5" t="n"/>
      <c r="D143" s="5" t="n"/>
      <c r="E143" s="5" t="n"/>
      <c r="F143" s="5" t="n"/>
      <c r="G143" s="5" t="n"/>
      <c r="H143" s="6" t="n"/>
      <c r="I143" s="5" t="n"/>
      <c r="J143" s="5" t="n"/>
      <c r="K143" s="5" t="n"/>
      <c r="L143" s="5" t="n"/>
    </row>
    <row r="144">
      <c r="A144" s="5" t="n"/>
      <c r="B144" s="6" t="n"/>
      <c r="C144" s="5" t="n"/>
      <c r="D144" s="5" t="n"/>
      <c r="E144" s="5" t="n"/>
      <c r="F144" s="5" t="n"/>
      <c r="G144" s="5" t="n"/>
      <c r="H144" s="6" t="n"/>
      <c r="I144" s="5" t="n"/>
      <c r="J144" s="5" t="n"/>
      <c r="K144" s="5" t="n"/>
      <c r="L144" s="5" t="n"/>
    </row>
    <row r="145">
      <c r="A145" s="5" t="n"/>
      <c r="B145" s="6" t="n"/>
      <c r="C145" s="5" t="n"/>
      <c r="D145" s="5" t="n"/>
      <c r="E145" s="5" t="n"/>
      <c r="F145" s="5" t="n"/>
      <c r="G145" s="5" t="n"/>
      <c r="H145" s="6" t="n"/>
      <c r="I145" s="5" t="n"/>
      <c r="J145" s="5" t="n"/>
      <c r="K145" s="5" t="n"/>
      <c r="L145" s="5" t="n"/>
    </row>
    <row r="146">
      <c r="A146" s="5" t="n"/>
      <c r="B146" s="6" t="n"/>
      <c r="C146" s="5" t="n"/>
      <c r="D146" s="5" t="n"/>
      <c r="E146" s="5" t="n"/>
      <c r="F146" s="5" t="n"/>
      <c r="G146" s="5" t="n"/>
      <c r="H146" s="6" t="n"/>
      <c r="I146" s="5" t="n"/>
      <c r="J146" s="5" t="n"/>
      <c r="K146" s="5" t="n"/>
      <c r="L146" s="5" t="n"/>
    </row>
    <row r="147">
      <c r="A147" s="5" t="n"/>
      <c r="B147" s="6" t="n"/>
      <c r="C147" s="5" t="n"/>
      <c r="D147" s="5" t="n"/>
      <c r="E147" s="5" t="n"/>
      <c r="F147" s="5" t="n"/>
      <c r="G147" s="5" t="n"/>
      <c r="H147" s="6" t="n"/>
      <c r="I147" s="5" t="n"/>
      <c r="J147" s="5" t="n"/>
      <c r="K147" s="5" t="n"/>
      <c r="L147" s="5" t="n"/>
    </row>
    <row r="148">
      <c r="A148" s="5" t="n"/>
      <c r="B148" s="6" t="n"/>
      <c r="C148" s="5" t="n"/>
      <c r="D148" s="5" t="n"/>
      <c r="E148" s="5" t="n"/>
      <c r="F148" s="5" t="n"/>
      <c r="G148" s="5" t="n"/>
      <c r="H148" s="6" t="n"/>
      <c r="I148" s="5" t="n"/>
      <c r="J148" s="5" t="n"/>
      <c r="K148" s="5" t="n"/>
      <c r="L148" s="5" t="n"/>
    </row>
    <row r="149">
      <c r="A149" s="5" t="n"/>
      <c r="B149" s="6" t="n"/>
      <c r="C149" s="5" t="n"/>
      <c r="D149" s="5" t="n"/>
      <c r="E149" s="5" t="n"/>
      <c r="F149" s="5" t="n"/>
      <c r="G149" s="5" t="n"/>
      <c r="H149" s="6" t="n"/>
      <c r="I149" s="5" t="n"/>
      <c r="J149" s="5" t="n"/>
      <c r="K149" s="5" t="n"/>
      <c r="L149" s="5" t="n"/>
    </row>
    <row r="150">
      <c r="A150" s="5" t="n"/>
      <c r="B150" s="6" t="n"/>
      <c r="C150" s="5" t="n"/>
      <c r="D150" s="5" t="n"/>
      <c r="E150" s="5" t="n"/>
      <c r="F150" s="5" t="n"/>
      <c r="G150" s="5" t="n"/>
      <c r="H150" s="6" t="n"/>
      <c r="I150" s="5" t="n"/>
      <c r="J150" s="5" t="n"/>
      <c r="K150" s="5" t="n"/>
      <c r="L150" s="5" t="n"/>
    </row>
    <row r="151">
      <c r="A151" s="5" t="n"/>
      <c r="B151" s="6" t="n"/>
      <c r="C151" s="5" t="n"/>
      <c r="D151" s="5" t="n"/>
      <c r="E151" s="5" t="n"/>
      <c r="F151" s="5" t="n"/>
      <c r="G151" s="5" t="n"/>
      <c r="H151" s="6" t="n"/>
      <c r="I151" s="5" t="n"/>
      <c r="J151" s="5" t="n"/>
      <c r="K151" s="5" t="n"/>
      <c r="L151" s="5" t="n"/>
    </row>
    <row r="152">
      <c r="A152" s="5" t="n"/>
      <c r="B152" s="6" t="n"/>
      <c r="C152" s="5" t="n"/>
      <c r="D152" s="5" t="n"/>
      <c r="E152" s="5" t="n"/>
      <c r="F152" s="5" t="n"/>
      <c r="G152" s="5" t="n"/>
      <c r="H152" s="6" t="n"/>
      <c r="I152" s="5" t="n"/>
      <c r="J152" s="5" t="n"/>
      <c r="K152" s="5" t="n"/>
      <c r="L152" s="5" t="n"/>
    </row>
    <row r="153">
      <c r="A153" s="5" t="n"/>
      <c r="B153" s="6" t="n"/>
      <c r="C153" s="5" t="n"/>
      <c r="D153" s="5" t="n"/>
      <c r="E153" s="5" t="n"/>
      <c r="F153" s="5" t="n"/>
      <c r="G153" s="5" t="n"/>
      <c r="H153" s="6" t="n"/>
      <c r="I153" s="5" t="n"/>
      <c r="J153" s="5" t="n"/>
      <c r="K153" s="5" t="n"/>
      <c r="L153" s="5" t="n"/>
    </row>
    <row r="154">
      <c r="A154" s="5" t="n"/>
      <c r="B154" s="6" t="n"/>
      <c r="C154" s="5" t="n"/>
      <c r="D154" s="5" t="n"/>
      <c r="E154" s="5" t="n"/>
      <c r="F154" s="5" t="n"/>
      <c r="G154" s="5" t="n"/>
      <c r="H154" s="6" t="n"/>
      <c r="I154" s="5" t="n"/>
      <c r="J154" s="5" t="n"/>
      <c r="K154" s="5" t="n"/>
      <c r="L154" s="5" t="n"/>
    </row>
    <row r="155">
      <c r="A155" s="5" t="n"/>
      <c r="B155" s="6" t="n"/>
      <c r="C155" s="5" t="n"/>
      <c r="D155" s="5" t="n"/>
      <c r="E155" s="5" t="n"/>
      <c r="F155" s="5" t="n"/>
      <c r="G155" s="5" t="n"/>
      <c r="H155" s="6" t="n"/>
      <c r="I155" s="5" t="n"/>
      <c r="J155" s="5" t="n"/>
      <c r="K155" s="5" t="n"/>
      <c r="L155" s="5" t="n"/>
    </row>
    <row r="156">
      <c r="A156" s="5" t="n"/>
      <c r="B156" s="6" t="n"/>
      <c r="C156" s="5" t="n"/>
      <c r="D156" s="5" t="n"/>
      <c r="E156" s="5" t="n"/>
      <c r="F156" s="5" t="n"/>
      <c r="G156" s="5" t="n"/>
      <c r="H156" s="6" t="n"/>
      <c r="I156" s="5" t="n"/>
      <c r="J156" s="5" t="n"/>
      <c r="K156" s="5" t="n"/>
      <c r="L156" s="5" t="n"/>
    </row>
    <row r="157">
      <c r="A157" s="5" t="n"/>
      <c r="B157" s="6" t="n"/>
      <c r="C157" s="5" t="n"/>
      <c r="D157" s="5" t="n"/>
      <c r="E157" s="5" t="n"/>
      <c r="F157" s="5" t="n"/>
      <c r="G157" s="5" t="n"/>
      <c r="H157" s="6" t="n"/>
      <c r="I157" s="5" t="n"/>
      <c r="J157" s="5" t="n"/>
      <c r="K157" s="5" t="n"/>
      <c r="L157" s="5" t="n"/>
    </row>
    <row r="158">
      <c r="A158" s="5" t="n"/>
      <c r="B158" s="6" t="n"/>
      <c r="C158" s="5" t="n"/>
      <c r="D158" s="5" t="n"/>
      <c r="E158" s="5" t="n"/>
      <c r="F158" s="5" t="n"/>
      <c r="G158" s="5" t="n"/>
      <c r="H158" s="6" t="n"/>
      <c r="I158" s="5" t="n"/>
      <c r="J158" s="5" t="n"/>
      <c r="K158" s="5" t="n"/>
      <c r="L158" s="5" t="n"/>
    </row>
    <row r="159">
      <c r="A159" s="5" t="n"/>
      <c r="B159" s="6" t="n"/>
      <c r="C159" s="5" t="n"/>
      <c r="D159" s="5" t="n"/>
      <c r="E159" s="5" t="n"/>
      <c r="F159" s="5" t="n"/>
      <c r="G159" s="5" t="n"/>
      <c r="H159" s="6" t="n"/>
      <c r="I159" s="5" t="n"/>
      <c r="J159" s="5" t="n"/>
      <c r="K159" s="5" t="n"/>
      <c r="L159" s="5" t="n"/>
    </row>
    <row r="160">
      <c r="A160" s="5" t="n"/>
      <c r="B160" s="6" t="n"/>
      <c r="C160" s="5" t="n"/>
      <c r="D160" s="5" t="n"/>
      <c r="E160" s="5" t="n"/>
      <c r="F160" s="5" t="n"/>
      <c r="G160" s="5" t="n"/>
      <c r="H160" s="6" t="n"/>
      <c r="I160" s="5" t="n"/>
      <c r="J160" s="5" t="n"/>
      <c r="K160" s="5" t="n"/>
      <c r="L160" s="5" t="n"/>
    </row>
    <row r="161">
      <c r="A161" s="5" t="n"/>
      <c r="B161" s="6" t="n"/>
      <c r="C161" s="5" t="n"/>
      <c r="D161" s="5" t="n"/>
      <c r="E161" s="5" t="n"/>
      <c r="F161" s="5" t="n"/>
      <c r="G161" s="5" t="n"/>
      <c r="H161" s="6" t="n"/>
      <c r="I161" s="5" t="n"/>
      <c r="J161" s="5" t="n"/>
      <c r="K161" s="5" t="n"/>
      <c r="L161" s="5" t="n"/>
    </row>
    <row r="162">
      <c r="A162" s="5" t="n"/>
      <c r="B162" s="6" t="n"/>
      <c r="C162" s="5" t="n"/>
      <c r="D162" s="5" t="n"/>
      <c r="E162" s="5" t="n"/>
      <c r="F162" s="5" t="n"/>
      <c r="G162" s="5" t="n"/>
      <c r="H162" s="6" t="n"/>
      <c r="I162" s="5" t="n"/>
      <c r="J162" s="5" t="n"/>
      <c r="K162" s="5" t="n"/>
      <c r="L162" s="5" t="n"/>
    </row>
    <row r="163">
      <c r="A163" s="5" t="n"/>
      <c r="B163" s="6" t="n"/>
      <c r="C163" s="5" t="n"/>
      <c r="D163" s="5" t="n"/>
      <c r="E163" s="5" t="n"/>
      <c r="F163" s="5" t="n"/>
      <c r="G163" s="5" t="n"/>
      <c r="H163" s="6" t="n"/>
      <c r="I163" s="5" t="n"/>
      <c r="J163" s="5" t="n"/>
      <c r="K163" s="5" t="n"/>
      <c r="L163" s="5" t="n"/>
    </row>
    <row r="164">
      <c r="A164" s="5" t="n"/>
      <c r="B164" s="6" t="n"/>
      <c r="C164" s="5" t="n"/>
      <c r="D164" s="5" t="n"/>
      <c r="E164" s="5" t="n"/>
      <c r="F164" s="5" t="n"/>
      <c r="G164" s="5" t="n"/>
      <c r="H164" s="6" t="n"/>
      <c r="I164" s="5" t="n"/>
      <c r="J164" s="5" t="n"/>
      <c r="K164" s="5" t="n"/>
      <c r="L164" s="5" t="n"/>
    </row>
    <row r="165">
      <c r="A165" s="5" t="n"/>
      <c r="B165" s="6" t="n"/>
      <c r="C165" s="5" t="n"/>
      <c r="D165" s="5" t="n"/>
      <c r="E165" s="5" t="n"/>
      <c r="F165" s="5" t="n"/>
      <c r="G165" s="5" t="n"/>
      <c r="H165" s="6" t="n"/>
      <c r="I165" s="5" t="n"/>
      <c r="J165" s="5" t="n"/>
      <c r="K165" s="5" t="n"/>
      <c r="L165" s="5" t="n"/>
    </row>
    <row r="166">
      <c r="A166" s="5" t="n"/>
      <c r="B166" s="6" t="n"/>
      <c r="C166" s="5" t="n"/>
      <c r="D166" s="5" t="n"/>
      <c r="E166" s="5" t="n"/>
      <c r="F166" s="5" t="n"/>
      <c r="G166" s="5" t="n"/>
      <c r="H166" s="6" t="n"/>
      <c r="I166" s="5" t="n"/>
      <c r="J166" s="5" t="n"/>
      <c r="K166" s="5" t="n"/>
      <c r="L166" s="5" t="n"/>
    </row>
    <row r="167">
      <c r="A167" s="5" t="n"/>
      <c r="B167" s="6" t="n"/>
      <c r="C167" s="5" t="n"/>
      <c r="D167" s="5" t="n"/>
      <c r="E167" s="5" t="n"/>
      <c r="F167" s="5" t="n"/>
      <c r="G167" s="5" t="n"/>
      <c r="H167" s="6" t="n"/>
      <c r="I167" s="5" t="n"/>
      <c r="J167" s="5" t="n"/>
      <c r="K167" s="5" t="n"/>
      <c r="L167" s="5" t="n"/>
    </row>
    <row r="168">
      <c r="A168" s="5" t="n"/>
      <c r="B168" s="6" t="n"/>
      <c r="C168" s="5" t="n"/>
      <c r="D168" s="5" t="n"/>
      <c r="E168" s="5" t="n"/>
      <c r="F168" s="5" t="n"/>
      <c r="G168" s="5" t="n"/>
      <c r="H168" s="6" t="n"/>
      <c r="I168" s="5" t="n"/>
      <c r="J168" s="5" t="n"/>
      <c r="K168" s="5" t="n"/>
      <c r="L168" s="5" t="n"/>
    </row>
    <row r="169">
      <c r="A169" s="5" t="n"/>
      <c r="B169" s="6" t="n"/>
      <c r="C169" s="5" t="n"/>
      <c r="D169" s="5" t="n"/>
      <c r="E169" s="5" t="n"/>
      <c r="F169" s="5" t="n"/>
      <c r="G169" s="5" t="n"/>
      <c r="H169" s="6" t="n"/>
      <c r="I169" s="5" t="n"/>
      <c r="J169" s="5" t="n"/>
      <c r="K169" s="5" t="n"/>
      <c r="L169" s="5" t="n"/>
    </row>
    <row r="170">
      <c r="A170" s="5" t="n"/>
      <c r="B170" s="6" t="n"/>
      <c r="C170" s="5" t="n"/>
      <c r="D170" s="5" t="n"/>
      <c r="E170" s="5" t="n"/>
      <c r="F170" s="5" t="n"/>
      <c r="G170" s="5" t="n"/>
      <c r="H170" s="6" t="n"/>
      <c r="I170" s="5" t="n"/>
      <c r="J170" s="5" t="n"/>
      <c r="K170" s="5" t="n"/>
      <c r="L170" s="5" t="n"/>
    </row>
    <row r="171">
      <c r="A171" s="5" t="n"/>
      <c r="B171" s="6" t="n"/>
      <c r="C171" s="5" t="n"/>
      <c r="D171" s="5" t="n"/>
      <c r="E171" s="5" t="n"/>
      <c r="F171" s="5" t="n"/>
      <c r="G171" s="5" t="n"/>
      <c r="H171" s="6" t="n"/>
      <c r="I171" s="5" t="n"/>
      <c r="J171" s="5" t="n"/>
      <c r="K171" s="5" t="n"/>
      <c r="L171" s="5" t="n"/>
    </row>
    <row r="172">
      <c r="A172" s="5" t="n"/>
      <c r="B172" s="6" t="n"/>
      <c r="C172" s="5" t="n"/>
      <c r="D172" s="5" t="n"/>
      <c r="E172" s="5" t="n"/>
      <c r="F172" s="5" t="n"/>
      <c r="G172" s="5" t="n"/>
      <c r="H172" s="6" t="n"/>
      <c r="I172" s="5" t="n"/>
      <c r="J172" s="5" t="n"/>
      <c r="K172" s="5" t="n"/>
      <c r="L172" s="5" t="n"/>
    </row>
    <row r="173">
      <c r="A173" s="5" t="n"/>
      <c r="B173" s="6" t="n"/>
      <c r="C173" s="5" t="n"/>
      <c r="D173" s="5" t="n"/>
      <c r="E173" s="5" t="n"/>
      <c r="F173" s="5" t="n"/>
      <c r="G173" s="5" t="n"/>
      <c r="H173" s="6" t="n"/>
      <c r="I173" s="5" t="n"/>
      <c r="J173" s="5" t="n"/>
      <c r="K173" s="5" t="n"/>
      <c r="L173" s="5" t="n"/>
    </row>
    <row r="174">
      <c r="A174" s="5" t="n"/>
      <c r="B174" s="6" t="n"/>
      <c r="C174" s="5" t="n"/>
      <c r="D174" s="5" t="n"/>
      <c r="E174" s="5" t="n"/>
      <c r="F174" s="5" t="n"/>
      <c r="G174" s="5" t="n"/>
      <c r="H174" s="6" t="n"/>
      <c r="I174" s="5" t="n"/>
      <c r="J174" s="5" t="n"/>
      <c r="K174" s="5" t="n"/>
      <c r="L174" s="5" t="n"/>
    </row>
    <row r="175">
      <c r="A175" s="5" t="n"/>
      <c r="B175" s="6" t="n"/>
      <c r="C175" s="5" t="n"/>
      <c r="D175" s="5" t="n"/>
      <c r="E175" s="5" t="n"/>
      <c r="F175" s="5" t="n"/>
      <c r="G175" s="5" t="n"/>
      <c r="H175" s="6" t="n"/>
      <c r="I175" s="5" t="n"/>
      <c r="J175" s="5" t="n"/>
      <c r="K175" s="5" t="n"/>
      <c r="L175" s="5" t="n"/>
    </row>
    <row r="176">
      <c r="A176" s="5" t="n"/>
      <c r="B176" s="6" t="n"/>
      <c r="C176" s="5" t="n"/>
      <c r="D176" s="5" t="n"/>
      <c r="E176" s="5" t="n"/>
      <c r="F176" s="5" t="n"/>
      <c r="G176" s="5" t="n"/>
      <c r="H176" s="6" t="n"/>
      <c r="I176" s="5" t="n"/>
      <c r="J176" s="5" t="n"/>
      <c r="K176" s="5" t="n"/>
      <c r="L176" s="5" t="n"/>
    </row>
    <row r="177">
      <c r="A177" s="5" t="n"/>
      <c r="B177" s="6" t="n"/>
      <c r="C177" s="5" t="n"/>
      <c r="D177" s="5" t="n"/>
      <c r="E177" s="5" t="n"/>
      <c r="F177" s="5" t="n"/>
      <c r="G177" s="5" t="n"/>
      <c r="H177" s="6" t="n"/>
      <c r="I177" s="5" t="n"/>
      <c r="J177" s="5" t="n"/>
      <c r="K177" s="5" t="n"/>
      <c r="L177" s="5" t="n"/>
    </row>
    <row r="178">
      <c r="A178" s="5" t="n"/>
      <c r="B178" s="6" t="n"/>
      <c r="C178" s="5" t="n"/>
      <c r="D178" s="5" t="n"/>
      <c r="E178" s="5" t="n"/>
      <c r="F178" s="5" t="n"/>
      <c r="G178" s="5" t="n"/>
      <c r="H178" s="6" t="n"/>
      <c r="I178" s="5" t="n"/>
      <c r="J178" s="5" t="n"/>
      <c r="K178" s="5" t="n"/>
      <c r="L178" s="5" t="n"/>
    </row>
    <row r="179">
      <c r="A179" s="5" t="n"/>
      <c r="B179" s="6" t="n"/>
      <c r="C179" s="5" t="n"/>
      <c r="D179" s="5" t="n"/>
      <c r="E179" s="5" t="n"/>
      <c r="F179" s="5" t="n"/>
      <c r="G179" s="5" t="n"/>
      <c r="H179" s="6" t="n"/>
      <c r="I179" s="5" t="n"/>
      <c r="J179" s="5" t="n"/>
      <c r="K179" s="5" t="n"/>
      <c r="L179" s="5" t="n"/>
    </row>
    <row r="180">
      <c r="A180" s="5" t="n"/>
      <c r="B180" s="6" t="n"/>
      <c r="C180" s="5" t="n"/>
      <c r="D180" s="5" t="n"/>
      <c r="E180" s="5" t="n"/>
      <c r="F180" s="5" t="n"/>
      <c r="G180" s="5" t="n"/>
      <c r="H180" s="6" t="n"/>
      <c r="I180" s="5" t="n"/>
      <c r="J180" s="5" t="n"/>
      <c r="K180" s="5" t="n"/>
      <c r="L180" s="5" t="n"/>
    </row>
    <row r="181">
      <c r="A181" s="5" t="n"/>
      <c r="B181" s="6" t="n"/>
      <c r="C181" s="5" t="n"/>
      <c r="D181" s="5" t="n"/>
      <c r="E181" s="5" t="n"/>
      <c r="F181" s="5" t="n"/>
      <c r="G181" s="5" t="n"/>
      <c r="H181" s="6" t="n"/>
      <c r="I181" s="5" t="n"/>
      <c r="J181" s="5" t="n"/>
      <c r="K181" s="5" t="n"/>
      <c r="L181" s="5" t="n"/>
    </row>
    <row r="182">
      <c r="A182" s="5" t="n"/>
      <c r="B182" s="6" t="n"/>
      <c r="C182" s="5" t="n"/>
      <c r="D182" s="5" t="n"/>
      <c r="E182" s="5" t="n"/>
      <c r="F182" s="5" t="n"/>
      <c r="G182" s="5" t="n"/>
      <c r="H182" s="6" t="n"/>
      <c r="I182" s="5" t="n"/>
      <c r="J182" s="5" t="n"/>
      <c r="K182" s="5" t="n"/>
      <c r="L182" s="5" t="n"/>
    </row>
    <row r="183">
      <c r="A183" s="5" t="n"/>
      <c r="B183" s="6" t="n"/>
      <c r="C183" s="5" t="n"/>
      <c r="D183" s="5" t="n"/>
      <c r="E183" s="5" t="n"/>
      <c r="F183" s="5" t="n"/>
      <c r="G183" s="5" t="n"/>
      <c r="H183" s="6" t="n"/>
      <c r="I183" s="5" t="n"/>
      <c r="J183" s="5" t="n"/>
      <c r="K183" s="5" t="n"/>
      <c r="L183" s="5" t="n"/>
    </row>
    <row r="184">
      <c r="A184" s="5" t="n"/>
      <c r="B184" s="6" t="n"/>
      <c r="C184" s="5" t="n"/>
      <c r="D184" s="5" t="n"/>
      <c r="E184" s="5" t="n"/>
      <c r="F184" s="5" t="n"/>
      <c r="G184" s="5" t="n"/>
      <c r="H184" s="6" t="n"/>
      <c r="I184" s="5" t="n"/>
      <c r="J184" s="5" t="n"/>
      <c r="K184" s="5" t="n"/>
      <c r="L184" s="5" t="n"/>
    </row>
    <row r="185">
      <c r="A185" s="5" t="n"/>
      <c r="B185" s="6" t="n"/>
      <c r="C185" s="5" t="n"/>
      <c r="D185" s="5" t="n"/>
      <c r="E185" s="5" t="n"/>
      <c r="F185" s="5" t="n"/>
      <c r="G185" s="5" t="n"/>
      <c r="H185" s="6" t="n"/>
      <c r="I185" s="5" t="n"/>
      <c r="J185" s="5" t="n"/>
      <c r="K185" s="5" t="n"/>
      <c r="L185" s="5" t="n"/>
    </row>
    <row r="186">
      <c r="A186" s="5" t="n"/>
      <c r="B186" s="6" t="n"/>
      <c r="C186" s="5" t="n"/>
      <c r="D186" s="5" t="n"/>
      <c r="E186" s="5" t="n"/>
      <c r="F186" s="5" t="n"/>
      <c r="G186" s="5" t="n"/>
      <c r="H186" s="6" t="n"/>
      <c r="I186" s="5" t="n"/>
      <c r="J186" s="5" t="n"/>
      <c r="K186" s="5" t="n"/>
      <c r="L186" s="5" t="n"/>
    </row>
    <row r="187">
      <c r="A187" s="5" t="n"/>
      <c r="B187" s="6" t="n"/>
      <c r="C187" s="5" t="n"/>
      <c r="D187" s="5" t="n"/>
      <c r="E187" s="5" t="n"/>
      <c r="F187" s="5" t="n"/>
      <c r="G187" s="5" t="n"/>
      <c r="H187" s="6" t="n"/>
      <c r="I187" s="5" t="n"/>
      <c r="J187" s="5" t="n"/>
      <c r="K187" s="5" t="n"/>
      <c r="L187" s="5" t="n"/>
    </row>
    <row r="188">
      <c r="A188" s="5" t="n"/>
      <c r="B188" s="6" t="n"/>
      <c r="C188" s="5" t="n"/>
      <c r="D188" s="5" t="n"/>
      <c r="E188" s="5" t="n"/>
      <c r="F188" s="5" t="n"/>
      <c r="G188" s="5" t="n"/>
      <c r="H188" s="6" t="n"/>
      <c r="I188" s="5" t="n"/>
      <c r="J188" s="5" t="n"/>
      <c r="K188" s="5" t="n"/>
      <c r="L188" s="5" t="n"/>
    </row>
    <row r="189">
      <c r="A189" s="5" t="n"/>
      <c r="B189" s="6" t="n"/>
      <c r="C189" s="5" t="n"/>
      <c r="D189" s="5" t="n"/>
      <c r="E189" s="5" t="n"/>
      <c r="F189" s="5" t="n"/>
      <c r="G189" s="5" t="n"/>
      <c r="H189" s="6" t="n"/>
      <c r="I189" s="5" t="n"/>
      <c r="J189" s="5" t="n"/>
      <c r="K189" s="5" t="n"/>
      <c r="L189" s="5" t="n"/>
    </row>
    <row r="190">
      <c r="A190" s="5" t="n"/>
      <c r="B190" s="6" t="n"/>
      <c r="C190" s="5" t="n"/>
      <c r="D190" s="5" t="n"/>
      <c r="E190" s="5" t="n"/>
      <c r="F190" s="5" t="n"/>
      <c r="G190" s="5" t="n"/>
      <c r="H190" s="6" t="n"/>
      <c r="I190" s="5" t="n"/>
      <c r="J190" s="5" t="n"/>
      <c r="K190" s="5" t="n"/>
      <c r="L190" s="5" t="n"/>
    </row>
    <row r="191">
      <c r="A191" s="5" t="n"/>
      <c r="B191" s="6" t="n"/>
      <c r="C191" s="5" t="n"/>
      <c r="D191" s="5" t="n"/>
      <c r="E191" s="5" t="n"/>
      <c r="F191" s="5" t="n"/>
      <c r="G191" s="5" t="n"/>
      <c r="H191" s="6" t="n"/>
      <c r="I191" s="5" t="n"/>
      <c r="J191" s="5" t="n"/>
      <c r="K191" s="5" t="n"/>
      <c r="L191" s="5" t="n"/>
    </row>
    <row r="192">
      <c r="A192" s="5" t="n"/>
      <c r="B192" s="6" t="n"/>
      <c r="C192" s="5" t="n"/>
      <c r="D192" s="5" t="n"/>
      <c r="E192" s="5" t="n"/>
      <c r="F192" s="5" t="n"/>
      <c r="G192" s="5" t="n"/>
      <c r="H192" s="6" t="n"/>
      <c r="I192" s="5" t="n"/>
      <c r="J192" s="5" t="n"/>
      <c r="K192" s="5" t="n"/>
      <c r="L192" s="5" t="n"/>
    </row>
    <row r="193">
      <c r="A193" s="5" t="n"/>
      <c r="B193" s="6" t="n"/>
      <c r="C193" s="5" t="n"/>
      <c r="D193" s="5" t="n"/>
      <c r="E193" s="5" t="n"/>
      <c r="F193" s="5" t="n"/>
      <c r="G193" s="5" t="n"/>
      <c r="H193" s="6" t="n"/>
      <c r="I193" s="5" t="n"/>
      <c r="J193" s="5" t="n"/>
      <c r="K193" s="5" t="n"/>
      <c r="L193" s="5" t="n"/>
    </row>
    <row r="194">
      <c r="A194" s="5" t="n"/>
      <c r="B194" s="6" t="n"/>
      <c r="C194" s="5" t="n"/>
      <c r="D194" s="5" t="n"/>
      <c r="E194" s="5" t="n"/>
      <c r="F194" s="5" t="n"/>
      <c r="G194" s="5" t="n"/>
      <c r="H194" s="6" t="n"/>
      <c r="I194" s="5" t="n"/>
      <c r="J194" s="5" t="n"/>
      <c r="K194" s="5" t="n"/>
      <c r="L194" s="5" t="n"/>
    </row>
    <row r="195">
      <c r="A195" s="5" t="n"/>
      <c r="B195" s="6" t="n"/>
      <c r="C195" s="5" t="n"/>
      <c r="D195" s="5" t="n"/>
      <c r="E195" s="5" t="n"/>
      <c r="F195" s="5" t="n"/>
      <c r="G195" s="5" t="n"/>
      <c r="H195" s="6" t="n"/>
      <c r="I195" s="5" t="n"/>
      <c r="J195" s="5" t="n"/>
      <c r="K195" s="5" t="n"/>
      <c r="L195" s="5" t="n"/>
    </row>
    <row r="196">
      <c r="A196" s="5" t="n"/>
      <c r="B196" s="6" t="n"/>
      <c r="C196" s="5" t="n"/>
      <c r="D196" s="5" t="n"/>
      <c r="E196" s="5" t="n"/>
      <c r="F196" s="5" t="n"/>
      <c r="G196" s="5" t="n"/>
      <c r="H196" s="6" t="n"/>
      <c r="I196" s="5" t="n"/>
      <c r="J196" s="5" t="n"/>
      <c r="K196" s="5" t="n"/>
      <c r="L196" s="5" t="n"/>
    </row>
    <row r="197">
      <c r="A197" s="5" t="n"/>
      <c r="B197" s="6" t="n"/>
      <c r="C197" s="5" t="n"/>
      <c r="D197" s="5" t="n"/>
      <c r="E197" s="5" t="n"/>
      <c r="F197" s="5" t="n"/>
      <c r="G197" s="5" t="n"/>
      <c r="H197" s="6" t="n"/>
      <c r="I197" s="5" t="n"/>
      <c r="J197" s="5" t="n"/>
      <c r="K197" s="5" t="n"/>
      <c r="L197" s="5" t="n"/>
    </row>
    <row r="198">
      <c r="A198" s="5" t="n"/>
      <c r="B198" s="6" t="n"/>
      <c r="C198" s="5" t="n"/>
      <c r="D198" s="5" t="n"/>
      <c r="E198" s="5" t="n"/>
      <c r="F198" s="5" t="n"/>
      <c r="G198" s="5" t="n"/>
      <c r="H198" s="6" t="n"/>
      <c r="I198" s="5" t="n"/>
      <c r="J198" s="5" t="n"/>
      <c r="K198" s="5" t="n"/>
      <c r="L198" s="5" t="n"/>
    </row>
    <row r="199">
      <c r="A199" s="5" t="n"/>
      <c r="B199" s="6" t="n"/>
      <c r="C199" s="5" t="n"/>
      <c r="D199" s="5" t="n"/>
      <c r="E199" s="5" t="n"/>
      <c r="F199" s="5" t="n"/>
      <c r="G199" s="5" t="n"/>
      <c r="H199" s="6" t="n"/>
      <c r="I199" s="5" t="n"/>
      <c r="J199" s="5" t="n"/>
      <c r="K199" s="5" t="n"/>
      <c r="L199" s="5" t="n"/>
    </row>
    <row r="200">
      <c r="A200" s="5" t="n"/>
      <c r="B200" s="6" t="n"/>
      <c r="C200" s="5" t="n"/>
      <c r="D200" s="5" t="n"/>
      <c r="E200" s="5" t="n"/>
      <c r="F200" s="5" t="n"/>
      <c r="G200" s="5" t="n"/>
      <c r="H200" s="6" t="n"/>
      <c r="I200" s="5" t="n"/>
      <c r="J200" s="5" t="n"/>
      <c r="K200" s="5" t="n"/>
      <c r="L200" s="5" t="n"/>
    </row>
    <row r="201">
      <c r="A201" s="5" t="n"/>
      <c r="B201" s="6" t="n"/>
      <c r="C201" s="5" t="n"/>
      <c r="D201" s="5" t="n"/>
      <c r="E201" s="5" t="n"/>
      <c r="F201" s="5" t="n"/>
      <c r="G201" s="5" t="n"/>
      <c r="H201" s="6" t="n"/>
      <c r="I201" s="5" t="n"/>
      <c r="J201" s="5" t="n"/>
      <c r="K201" s="5" t="n"/>
      <c r="L201" s="5" t="n"/>
    </row>
    <row r="202">
      <c r="A202" s="5" t="n"/>
      <c r="B202" s="6" t="n"/>
      <c r="C202" s="5" t="n"/>
      <c r="D202" s="5" t="n"/>
      <c r="E202" s="5" t="n"/>
      <c r="F202" s="5" t="n"/>
      <c r="G202" s="5" t="n"/>
      <c r="H202" s="6" t="n"/>
      <c r="I202" s="5" t="n"/>
      <c r="J202" s="5" t="n"/>
      <c r="K202" s="5" t="n"/>
      <c r="L202" s="5" t="n"/>
    </row>
    <row r="203">
      <c r="A203" s="5" t="n"/>
      <c r="B203" s="6" t="n"/>
      <c r="C203" s="5" t="n"/>
      <c r="D203" s="5" t="n"/>
      <c r="E203" s="5" t="n"/>
      <c r="F203" s="5" t="n"/>
      <c r="G203" s="5" t="n"/>
      <c r="H203" s="6" t="n"/>
      <c r="I203" s="5" t="n"/>
      <c r="J203" s="5" t="n"/>
      <c r="K203" s="5" t="n"/>
      <c r="L203" s="5" t="n"/>
    </row>
    <row r="204">
      <c r="A204" s="5" t="n"/>
      <c r="B204" s="6" t="n"/>
      <c r="C204" s="5" t="n"/>
      <c r="D204" s="5" t="n"/>
      <c r="E204" s="5" t="n"/>
      <c r="F204" s="5" t="n"/>
      <c r="G204" s="5" t="n"/>
      <c r="H204" s="6" t="n"/>
      <c r="I204" s="5" t="n"/>
      <c r="J204" s="5" t="n"/>
      <c r="K204" s="5" t="n"/>
      <c r="L204" s="5" t="n"/>
    </row>
    <row r="205">
      <c r="A205" s="5" t="n"/>
      <c r="B205" s="6" t="n"/>
      <c r="C205" s="5" t="n"/>
      <c r="D205" s="5" t="n"/>
      <c r="E205" s="5" t="n"/>
      <c r="F205" s="5" t="n"/>
      <c r="G205" s="5" t="n"/>
      <c r="H205" s="6" t="n"/>
      <c r="I205" s="5" t="n"/>
      <c r="J205" s="5" t="n"/>
      <c r="K205" s="5" t="n"/>
      <c r="L205" s="5" t="n"/>
    </row>
    <row r="206">
      <c r="A206" s="5" t="n"/>
      <c r="B206" s="6" t="n"/>
      <c r="C206" s="5" t="n"/>
      <c r="D206" s="5" t="n"/>
      <c r="E206" s="5" t="n"/>
      <c r="F206" s="5" t="n"/>
      <c r="G206" s="5" t="n"/>
      <c r="H206" s="6" t="n"/>
      <c r="I206" s="5" t="n"/>
      <c r="J206" s="5" t="n"/>
      <c r="K206" s="5" t="n"/>
      <c r="L206" s="5" t="n"/>
    </row>
    <row r="207">
      <c r="A207" s="5" t="n"/>
      <c r="B207" s="6" t="n"/>
      <c r="C207" s="5" t="n"/>
      <c r="D207" s="5" t="n"/>
      <c r="E207" s="5" t="n"/>
      <c r="F207" s="5" t="n"/>
      <c r="G207" s="5" t="n"/>
      <c r="H207" s="6" t="n"/>
      <c r="I207" s="5" t="n"/>
      <c r="J207" s="5" t="n"/>
      <c r="K207" s="5" t="n"/>
      <c r="L207" s="5" t="n"/>
    </row>
    <row r="208">
      <c r="A208" s="5" t="n"/>
      <c r="B208" s="6" t="n"/>
      <c r="C208" s="5" t="n"/>
      <c r="D208" s="5" t="n"/>
      <c r="E208" s="5" t="n"/>
      <c r="F208" s="5" t="n"/>
      <c r="G208" s="5" t="n"/>
      <c r="H208" s="6" t="n"/>
      <c r="I208" s="5" t="n"/>
      <c r="J208" s="5" t="n"/>
      <c r="K208" s="5" t="n"/>
      <c r="L208" s="5" t="n"/>
    </row>
    <row r="209">
      <c r="A209" s="5" t="n"/>
      <c r="B209" s="6" t="n"/>
      <c r="C209" s="5" t="n"/>
      <c r="D209" s="5" t="n"/>
      <c r="E209" s="5" t="n"/>
      <c r="F209" s="5" t="n"/>
      <c r="G209" s="5" t="n"/>
      <c r="H209" s="6" t="n"/>
      <c r="I209" s="5" t="n"/>
      <c r="J209" s="5" t="n"/>
      <c r="K209" s="5" t="n"/>
      <c r="L209" s="5" t="n"/>
    </row>
    <row r="210">
      <c r="A210" s="5" t="n"/>
      <c r="B210" s="6" t="n"/>
      <c r="C210" s="5" t="n"/>
      <c r="D210" s="5" t="n"/>
      <c r="E210" s="5" t="n"/>
      <c r="F210" s="5" t="n"/>
      <c r="G210" s="5" t="n"/>
      <c r="H210" s="6" t="n"/>
      <c r="I210" s="5" t="n"/>
      <c r="J210" s="5" t="n"/>
      <c r="K210" s="5" t="n"/>
      <c r="L210" s="5" t="n"/>
    </row>
    <row r="211">
      <c r="A211" s="5" t="n"/>
      <c r="B211" s="6" t="n"/>
      <c r="C211" s="5" t="n"/>
      <c r="D211" s="5" t="n"/>
      <c r="E211" s="5" t="n"/>
      <c r="F211" s="5" t="n"/>
      <c r="G211" s="5" t="n"/>
      <c r="H211" s="6" t="n"/>
      <c r="I211" s="5" t="n"/>
      <c r="J211" s="5" t="n"/>
      <c r="K211" s="5" t="n"/>
      <c r="L211" s="5" t="n"/>
    </row>
    <row r="212">
      <c r="A212" s="5" t="n"/>
      <c r="B212" s="6" t="n"/>
      <c r="C212" s="5" t="n"/>
      <c r="D212" s="5" t="n"/>
      <c r="E212" s="5" t="n"/>
      <c r="F212" s="5" t="n"/>
      <c r="G212" s="5" t="n"/>
      <c r="H212" s="6" t="n"/>
      <c r="I212" s="5" t="n"/>
      <c r="J212" s="5" t="n"/>
      <c r="K212" s="5" t="n"/>
      <c r="L212" s="5" t="n"/>
    </row>
    <row r="213">
      <c r="A213" s="5" t="n"/>
      <c r="B213" s="6" t="n"/>
      <c r="C213" s="5" t="n"/>
      <c r="D213" s="5" t="n"/>
      <c r="E213" s="5" t="n"/>
      <c r="F213" s="5" t="n"/>
      <c r="G213" s="5" t="n"/>
      <c r="H213" s="6" t="n"/>
      <c r="I213" s="5" t="n"/>
      <c r="J213" s="5" t="n"/>
      <c r="K213" s="5" t="n"/>
      <c r="L213" s="5" t="n"/>
    </row>
    <row r="214">
      <c r="A214" s="5" t="n"/>
      <c r="B214" s="6" t="n"/>
      <c r="C214" s="5" t="n"/>
      <c r="D214" s="5" t="n"/>
      <c r="E214" s="5" t="n"/>
      <c r="F214" s="5" t="n"/>
      <c r="G214" s="5" t="n"/>
      <c r="H214" s="6" t="n"/>
      <c r="I214" s="5" t="n"/>
      <c r="J214" s="5" t="n"/>
      <c r="K214" s="5" t="n"/>
      <c r="L214" s="5" t="n"/>
    </row>
    <row r="215">
      <c r="A215" s="5" t="n"/>
      <c r="B215" s="6" t="n"/>
      <c r="C215" s="5" t="n"/>
      <c r="D215" s="5" t="n"/>
      <c r="E215" s="5" t="n"/>
      <c r="F215" s="5" t="n"/>
      <c r="G215" s="5" t="n"/>
      <c r="H215" s="6" t="n"/>
      <c r="I215" s="5" t="n"/>
      <c r="J215" s="5" t="n"/>
      <c r="K215" s="5" t="n"/>
      <c r="L215" s="5" t="n"/>
    </row>
    <row r="216">
      <c r="A216" s="5" t="n"/>
      <c r="B216" s="6" t="n"/>
      <c r="C216" s="5" t="n"/>
      <c r="D216" s="5" t="n"/>
      <c r="E216" s="5" t="n"/>
      <c r="F216" s="5" t="n"/>
      <c r="G216" s="5" t="n"/>
      <c r="H216" s="6" t="n"/>
      <c r="I216" s="5" t="n"/>
      <c r="J216" s="5" t="n"/>
      <c r="K216" s="5" t="n"/>
      <c r="L216" s="5" t="n"/>
    </row>
    <row r="217">
      <c r="A217" s="5" t="n"/>
      <c r="B217" s="6" t="n"/>
      <c r="C217" s="5" t="n"/>
      <c r="D217" s="5" t="n"/>
      <c r="E217" s="5" t="n"/>
      <c r="F217" s="5" t="n"/>
      <c r="G217" s="5" t="n"/>
      <c r="H217" s="6" t="n"/>
      <c r="I217" s="5" t="n"/>
      <c r="J217" s="5" t="n"/>
      <c r="K217" s="5" t="n"/>
      <c r="L217" s="5" t="n"/>
    </row>
    <row r="218">
      <c r="A218" s="5" t="n"/>
      <c r="B218" s="6" t="n"/>
      <c r="C218" s="5" t="n"/>
      <c r="D218" s="5" t="n"/>
      <c r="E218" s="5" t="n"/>
      <c r="F218" s="5" t="n"/>
      <c r="G218" s="5" t="n"/>
      <c r="H218" s="6" t="n"/>
      <c r="I218" s="5" t="n"/>
      <c r="J218" s="5" t="n"/>
      <c r="K218" s="5" t="n"/>
      <c r="L218" s="5" t="n"/>
    </row>
    <row r="219">
      <c r="A219" s="5" t="n"/>
      <c r="B219" s="6" t="n"/>
      <c r="C219" s="5" t="n"/>
      <c r="D219" s="5" t="n"/>
      <c r="E219" s="5" t="n"/>
      <c r="F219" s="5" t="n"/>
      <c r="G219" s="5" t="n"/>
      <c r="H219" s="6" t="n"/>
      <c r="I219" s="5" t="n"/>
      <c r="J219" s="5" t="n"/>
      <c r="K219" s="5" t="n"/>
      <c r="L219" s="5" t="n"/>
    </row>
    <row r="220">
      <c r="A220" s="5" t="n"/>
      <c r="B220" s="6" t="n"/>
      <c r="C220" s="5" t="n"/>
      <c r="D220" s="5" t="n"/>
      <c r="E220" s="5" t="n"/>
      <c r="F220" s="5" t="n"/>
      <c r="G220" s="5" t="n"/>
      <c r="H220" s="6" t="n"/>
      <c r="I220" s="5" t="n"/>
      <c r="J220" s="5" t="n"/>
      <c r="K220" s="5" t="n"/>
      <c r="L220" s="5" t="n"/>
    </row>
    <row r="221">
      <c r="A221" s="5" t="n"/>
      <c r="B221" s="6" t="n"/>
      <c r="C221" s="5" t="n"/>
      <c r="D221" s="5" t="n"/>
      <c r="E221" s="5" t="n"/>
      <c r="F221" s="5" t="n"/>
      <c r="G221" s="5" t="n"/>
      <c r="H221" s="6" t="n"/>
      <c r="I221" s="5" t="n"/>
      <c r="J221" s="5" t="n"/>
      <c r="K221" s="5" t="n"/>
      <c r="L221" s="5" t="n"/>
    </row>
    <row r="222">
      <c r="A222" s="5" t="n"/>
      <c r="B222" s="6" t="n"/>
      <c r="C222" s="5" t="n"/>
      <c r="D222" s="5" t="n"/>
      <c r="E222" s="5" t="n"/>
      <c r="F222" s="5" t="n"/>
      <c r="G222" s="5" t="n"/>
      <c r="H222" s="6" t="n"/>
      <c r="I222" s="5" t="n"/>
      <c r="J222" s="5" t="n"/>
      <c r="K222" s="5" t="n"/>
      <c r="L222" s="5" t="n"/>
    </row>
    <row r="223">
      <c r="A223" s="5" t="n"/>
      <c r="B223" s="6" t="n"/>
      <c r="C223" s="5" t="n"/>
      <c r="D223" s="5" t="n"/>
      <c r="E223" s="5" t="n"/>
      <c r="F223" s="5" t="n"/>
      <c r="G223" s="5" t="n"/>
      <c r="H223" s="6" t="n"/>
      <c r="I223" s="5" t="n"/>
      <c r="J223" s="5" t="n"/>
      <c r="K223" s="5" t="n"/>
      <c r="L223" s="5" t="n"/>
    </row>
    <row r="224">
      <c r="A224" s="5" t="n"/>
      <c r="B224" s="6" t="n"/>
      <c r="C224" s="5" t="n"/>
      <c r="D224" s="5" t="n"/>
      <c r="E224" s="5" t="n"/>
      <c r="F224" s="5" t="n"/>
      <c r="G224" s="5" t="n"/>
      <c r="H224" s="6" t="n"/>
      <c r="I224" s="5" t="n"/>
      <c r="J224" s="5" t="n"/>
      <c r="K224" s="5" t="n"/>
      <c r="L224" s="5" t="n"/>
    </row>
    <row r="225">
      <c r="A225" s="5" t="n"/>
      <c r="B225" s="6" t="n"/>
      <c r="C225" s="5" t="n"/>
      <c r="D225" s="5" t="n"/>
      <c r="E225" s="5" t="n"/>
      <c r="F225" s="5" t="n"/>
      <c r="G225" s="5" t="n"/>
      <c r="H225" s="6" t="n"/>
      <c r="I225" s="5" t="n"/>
      <c r="J225" s="5" t="n"/>
      <c r="K225" s="5" t="n"/>
      <c r="L225" s="5" t="n"/>
    </row>
    <row r="226">
      <c r="A226" s="5" t="n"/>
      <c r="B226" s="6" t="n"/>
      <c r="C226" s="5" t="n"/>
      <c r="D226" s="5" t="n"/>
      <c r="E226" s="5" t="n"/>
      <c r="F226" s="5" t="n"/>
      <c r="G226" s="5" t="n"/>
      <c r="H226" s="6" t="n"/>
      <c r="I226" s="5" t="n"/>
      <c r="J226" s="5" t="n"/>
      <c r="K226" s="5" t="n"/>
      <c r="L226" s="5" t="n"/>
    </row>
    <row r="227">
      <c r="A227" s="5" t="n"/>
      <c r="B227" s="6" t="n"/>
      <c r="C227" s="5" t="n"/>
      <c r="D227" s="5" t="n"/>
      <c r="E227" s="5" t="n"/>
      <c r="F227" s="5" t="n"/>
      <c r="G227" s="5" t="n"/>
      <c r="H227" s="6" t="n"/>
      <c r="I227" s="5" t="n"/>
      <c r="J227" s="5" t="n"/>
      <c r="K227" s="5" t="n"/>
      <c r="L227" s="5" t="n"/>
    </row>
    <row r="228">
      <c r="A228" s="5" t="n"/>
      <c r="B228" s="6" t="n"/>
      <c r="C228" s="5" t="n"/>
      <c r="D228" s="5" t="n"/>
      <c r="E228" s="5" t="n"/>
      <c r="F228" s="5" t="n"/>
      <c r="G228" s="5" t="n"/>
      <c r="H228" s="6" t="n"/>
      <c r="I228" s="5" t="n"/>
      <c r="J228" s="5" t="n"/>
      <c r="K228" s="5" t="n"/>
      <c r="L228" s="5" t="n"/>
    </row>
    <row r="229">
      <c r="A229" s="5" t="n"/>
      <c r="B229" s="6" t="n"/>
      <c r="C229" s="5" t="n"/>
      <c r="D229" s="5" t="n"/>
      <c r="E229" s="5" t="n"/>
      <c r="F229" s="5" t="n"/>
      <c r="G229" s="5" t="n"/>
      <c r="H229" s="6" t="n"/>
      <c r="I229" s="5" t="n"/>
      <c r="J229" s="5" t="n"/>
      <c r="K229" s="5" t="n"/>
      <c r="L229" s="5" t="n"/>
    </row>
    <row r="230">
      <c r="A230" s="5" t="n"/>
      <c r="B230" s="6" t="n"/>
      <c r="C230" s="5" t="n"/>
      <c r="D230" s="5" t="n"/>
      <c r="E230" s="5" t="n"/>
      <c r="F230" s="5" t="n"/>
      <c r="G230" s="5" t="n"/>
      <c r="H230" s="6" t="n"/>
      <c r="I230" s="5" t="n"/>
      <c r="J230" s="5" t="n"/>
      <c r="K230" s="5" t="n"/>
      <c r="L230" s="5" t="n"/>
    </row>
    <row r="231">
      <c r="A231" s="5" t="n"/>
      <c r="B231" s="6" t="n"/>
      <c r="C231" s="5" t="n"/>
      <c r="D231" s="5" t="n"/>
      <c r="E231" s="5" t="n"/>
      <c r="F231" s="5" t="n"/>
      <c r="G231" s="5" t="n"/>
      <c r="H231" s="6" t="n"/>
      <c r="I231" s="5" t="n"/>
      <c r="J231" s="5" t="n"/>
      <c r="K231" s="5" t="n"/>
      <c r="L231" s="5" t="n"/>
    </row>
    <row r="232">
      <c r="A232" s="5" t="n"/>
      <c r="B232" s="6" t="n"/>
      <c r="C232" s="5" t="n"/>
      <c r="D232" s="5" t="n"/>
      <c r="E232" s="5" t="n"/>
      <c r="F232" s="5" t="n"/>
      <c r="G232" s="5" t="n"/>
      <c r="H232" s="6" t="n"/>
      <c r="I232" s="5" t="n"/>
      <c r="J232" s="5" t="n"/>
      <c r="K232" s="5" t="n"/>
      <c r="L232" s="5" t="n"/>
    </row>
    <row r="233">
      <c r="A233" s="5" t="n"/>
      <c r="B233" s="6" t="n"/>
      <c r="C233" s="5" t="n"/>
      <c r="D233" s="5" t="n"/>
      <c r="E233" s="5" t="n"/>
      <c r="F233" s="5" t="n"/>
      <c r="G233" s="5" t="n"/>
      <c r="H233" s="6" t="n"/>
      <c r="I233" s="5" t="n"/>
      <c r="J233" s="5" t="n"/>
      <c r="K233" s="5" t="n"/>
      <c r="L233" s="5" t="n"/>
    </row>
    <row r="234">
      <c r="A234" s="5" t="n"/>
      <c r="B234" s="6" t="n"/>
      <c r="C234" s="5" t="n"/>
      <c r="D234" s="5" t="n"/>
      <c r="E234" s="5" t="n"/>
      <c r="F234" s="5" t="n"/>
      <c r="G234" s="5" t="n"/>
      <c r="H234" s="6" t="n"/>
      <c r="I234" s="5" t="n"/>
      <c r="J234" s="5" t="n"/>
      <c r="K234" s="5" t="n"/>
      <c r="L234" s="5" t="n"/>
    </row>
    <row r="235">
      <c r="A235" s="5" t="n"/>
      <c r="B235" s="6" t="n"/>
      <c r="C235" s="5" t="n"/>
      <c r="D235" s="5" t="n"/>
      <c r="E235" s="5" t="n"/>
      <c r="F235" s="5" t="n"/>
      <c r="G235" s="5" t="n"/>
      <c r="H235" s="6" t="n"/>
      <c r="I235" s="5" t="n"/>
      <c r="J235" s="5" t="n"/>
      <c r="K235" s="5" t="n"/>
      <c r="L235" s="5" t="n"/>
    </row>
    <row r="236">
      <c r="A236" s="5" t="n"/>
      <c r="B236" s="6" t="n"/>
      <c r="C236" s="5" t="n"/>
      <c r="D236" s="5" t="n"/>
      <c r="E236" s="5" t="n"/>
      <c r="F236" s="5" t="n"/>
      <c r="G236" s="5" t="n"/>
      <c r="H236" s="6" t="n"/>
      <c r="I236" s="5" t="n"/>
      <c r="J236" s="5" t="n"/>
      <c r="K236" s="5" t="n"/>
      <c r="L236" s="5" t="n"/>
    </row>
    <row r="237">
      <c r="A237" s="5" t="n"/>
      <c r="B237" s="6" t="n"/>
      <c r="C237" s="5" t="n"/>
      <c r="D237" s="5" t="n"/>
      <c r="E237" s="5" t="n"/>
      <c r="F237" s="5" t="n"/>
      <c r="G237" s="5" t="n"/>
      <c r="H237" s="6" t="n"/>
      <c r="I237" s="5" t="n"/>
      <c r="J237" s="5" t="n"/>
      <c r="K237" s="5" t="n"/>
      <c r="L237" s="5" t="n"/>
    </row>
    <row r="238">
      <c r="A238" s="5" t="n"/>
      <c r="B238" s="6" t="n"/>
      <c r="C238" s="5" t="n"/>
      <c r="D238" s="5" t="n"/>
      <c r="E238" s="5" t="n"/>
      <c r="F238" s="5" t="n"/>
      <c r="G238" s="5" t="n"/>
      <c r="H238" s="6" t="n"/>
      <c r="I238" s="5" t="n"/>
      <c r="J238" s="5" t="n"/>
      <c r="K238" s="5" t="n"/>
      <c r="L238" s="5" t="n"/>
    </row>
    <row r="239">
      <c r="A239" s="5" t="n"/>
      <c r="B239" s="6" t="n"/>
      <c r="C239" s="5" t="n"/>
      <c r="D239" s="5" t="n"/>
      <c r="E239" s="5" t="n"/>
      <c r="F239" s="5" t="n"/>
      <c r="G239" s="5" t="n"/>
      <c r="H239" s="6" t="n"/>
      <c r="I239" s="5" t="n"/>
      <c r="J239" s="5" t="n"/>
      <c r="K239" s="5" t="n"/>
      <c r="L239" s="5" t="n"/>
    </row>
    <row r="240">
      <c r="A240" s="5" t="n"/>
      <c r="B240" s="6" t="n"/>
      <c r="C240" s="5" t="n"/>
      <c r="D240" s="5" t="n"/>
      <c r="E240" s="5" t="n"/>
      <c r="F240" s="5" t="n"/>
      <c r="G240" s="5" t="n"/>
      <c r="H240" s="6" t="n"/>
      <c r="I240" s="5" t="n"/>
      <c r="J240" s="5" t="n"/>
      <c r="K240" s="5" t="n"/>
      <c r="L240" s="5" t="n"/>
    </row>
    <row r="241">
      <c r="A241" s="5" t="n"/>
      <c r="B241" s="6" t="n"/>
      <c r="C241" s="5" t="n"/>
      <c r="D241" s="5" t="n"/>
      <c r="E241" s="5" t="n"/>
      <c r="F241" s="5" t="n"/>
      <c r="G241" s="5" t="n"/>
      <c r="H241" s="6" t="n"/>
      <c r="I241" s="5" t="n"/>
      <c r="J241" s="5" t="n"/>
      <c r="K241" s="5" t="n"/>
      <c r="L241" s="5" t="n"/>
    </row>
    <row r="242">
      <c r="A242" s="5" t="n"/>
      <c r="B242" s="6" t="n"/>
      <c r="C242" s="5" t="n"/>
      <c r="D242" s="5" t="n"/>
      <c r="E242" s="5" t="n"/>
      <c r="F242" s="5" t="n"/>
      <c r="G242" s="5" t="n"/>
      <c r="H242" s="6" t="n"/>
      <c r="I242" s="5" t="n"/>
      <c r="J242" s="5" t="n"/>
      <c r="K242" s="5" t="n"/>
      <c r="L242" s="5" t="n"/>
    </row>
    <row r="243">
      <c r="A243" s="5" t="n"/>
      <c r="B243" s="6" t="n"/>
      <c r="C243" s="5" t="n"/>
      <c r="D243" s="5" t="n"/>
      <c r="E243" s="5" t="n"/>
      <c r="F243" s="5" t="n"/>
      <c r="G243" s="5" t="n"/>
      <c r="H243" s="6" t="n"/>
      <c r="I243" s="5" t="n"/>
      <c r="J243" s="5" t="n"/>
      <c r="K243" s="5" t="n"/>
      <c r="L243" s="5" t="n"/>
    </row>
    <row r="244">
      <c r="A244" s="5" t="n"/>
      <c r="B244" s="6" t="n"/>
      <c r="C244" s="5" t="n"/>
      <c r="D244" s="5" t="n"/>
      <c r="E244" s="5" t="n"/>
      <c r="F244" s="5" t="n"/>
      <c r="G244" s="5" t="n"/>
      <c r="H244" s="6" t="n"/>
      <c r="I244" s="5" t="n"/>
      <c r="J244" s="5" t="n"/>
      <c r="K244" s="5" t="n"/>
      <c r="L244" s="5" t="n"/>
    </row>
    <row r="245">
      <c r="A245" s="5" t="n"/>
      <c r="B245" s="6" t="n"/>
      <c r="C245" s="5" t="n"/>
      <c r="D245" s="5" t="n"/>
      <c r="E245" s="5" t="n"/>
      <c r="F245" s="5" t="n"/>
      <c r="G245" s="5" t="n"/>
      <c r="H245" s="6" t="n"/>
      <c r="I245" s="5" t="n"/>
      <c r="J245" s="5" t="n"/>
      <c r="K245" s="5" t="n"/>
      <c r="L245" s="5" t="n"/>
    </row>
    <row r="246">
      <c r="A246" s="5" t="n"/>
      <c r="B246" s="6" t="n"/>
      <c r="C246" s="5" t="n"/>
      <c r="D246" s="5" t="n"/>
      <c r="E246" s="5" t="n"/>
      <c r="F246" s="5" t="n"/>
      <c r="G246" s="5" t="n"/>
      <c r="H246" s="6" t="n"/>
      <c r="I246" s="5" t="n"/>
      <c r="J246" s="5" t="n"/>
      <c r="K246" s="5" t="n"/>
      <c r="L246" s="5" t="n"/>
    </row>
    <row r="247">
      <c r="A247" s="5" t="n"/>
      <c r="B247" s="6" t="n"/>
      <c r="C247" s="5" t="n"/>
      <c r="D247" s="5" t="n"/>
      <c r="E247" s="5" t="n"/>
      <c r="F247" s="5" t="n"/>
      <c r="G247" s="5" t="n"/>
      <c r="H247" s="6" t="n"/>
      <c r="I247" s="5" t="n"/>
      <c r="J247" s="5" t="n"/>
      <c r="K247" s="5" t="n"/>
      <c r="L247" s="5" t="n"/>
    </row>
    <row r="248">
      <c r="A248" s="5" t="n"/>
      <c r="B248" s="6" t="n"/>
      <c r="C248" s="5" t="n"/>
      <c r="D248" s="5" t="n"/>
      <c r="E248" s="5" t="n"/>
      <c r="F248" s="5" t="n"/>
      <c r="G248" s="5" t="n"/>
      <c r="H248" s="6" t="n"/>
      <c r="I248" s="5" t="n"/>
      <c r="J248" s="5" t="n"/>
      <c r="K248" s="5" t="n"/>
      <c r="L248" s="5" t="n"/>
    </row>
    <row r="249">
      <c r="A249" s="5" t="n"/>
      <c r="B249" s="6" t="n"/>
      <c r="C249" s="5" t="n"/>
      <c r="D249" s="5" t="n"/>
      <c r="E249" s="5" t="n"/>
      <c r="F249" s="5" t="n"/>
      <c r="G249" s="5" t="n"/>
      <c r="H249" s="6" t="n"/>
      <c r="I249" s="5" t="n"/>
      <c r="J249" s="5" t="n"/>
      <c r="K249" s="5" t="n"/>
      <c r="L249" s="5" t="n"/>
    </row>
    <row r="250">
      <c r="A250" s="5" t="n"/>
      <c r="B250" s="6" t="n"/>
      <c r="C250" s="5" t="n"/>
      <c r="D250" s="5" t="n"/>
      <c r="E250" s="5" t="n"/>
      <c r="F250" s="5" t="n"/>
      <c r="G250" s="5" t="n"/>
      <c r="H250" s="6" t="n"/>
      <c r="I250" s="5" t="n"/>
      <c r="J250" s="5" t="n"/>
      <c r="K250" s="5" t="n"/>
      <c r="L250" s="5" t="n"/>
    </row>
    <row r="251">
      <c r="A251" s="5" t="n"/>
      <c r="B251" s="6" t="n"/>
      <c r="C251" s="5" t="n"/>
      <c r="D251" s="5" t="n"/>
      <c r="E251" s="5" t="n"/>
      <c r="F251" s="5" t="n"/>
      <c r="G251" s="5" t="n"/>
      <c r="H251" s="6" t="n"/>
      <c r="I251" s="5" t="n"/>
      <c r="J251" s="5" t="n"/>
      <c r="K251" s="5" t="n"/>
      <c r="L251" s="5" t="n"/>
    </row>
    <row r="252">
      <c r="A252" s="5" t="n"/>
      <c r="B252" s="6" t="n"/>
      <c r="C252" s="5" t="n"/>
      <c r="D252" s="5" t="n"/>
      <c r="E252" s="5" t="n"/>
      <c r="F252" s="5" t="n"/>
      <c r="G252" s="5" t="n"/>
      <c r="H252" s="6" t="n"/>
      <c r="I252" s="5" t="n"/>
      <c r="J252" s="5" t="n"/>
      <c r="K252" s="5" t="n"/>
      <c r="L252" s="5" t="n"/>
    </row>
    <row r="253">
      <c r="A253" s="5" t="n"/>
      <c r="B253" s="6" t="n"/>
      <c r="C253" s="5" t="n"/>
      <c r="D253" s="5" t="n"/>
      <c r="E253" s="5" t="n"/>
      <c r="F253" s="5" t="n"/>
      <c r="G253" s="5" t="n"/>
      <c r="H253" s="6" t="n"/>
      <c r="I253" s="5" t="n"/>
      <c r="J253" s="5" t="n"/>
      <c r="K253" s="5" t="n"/>
      <c r="L253" s="5" t="n"/>
    </row>
    <row r="254">
      <c r="A254" s="5" t="n"/>
      <c r="B254" s="6" t="n"/>
      <c r="C254" s="5" t="n"/>
      <c r="D254" s="5" t="n"/>
      <c r="E254" s="5" t="n"/>
      <c r="F254" s="5" t="n"/>
      <c r="G254" s="5" t="n"/>
      <c r="H254" s="6" t="n"/>
      <c r="I254" s="5" t="n"/>
      <c r="J254" s="5" t="n"/>
      <c r="K254" s="5" t="n"/>
      <c r="L254" s="5" t="n"/>
    </row>
    <row r="255">
      <c r="A255" s="5" t="n"/>
      <c r="B255" s="6" t="n"/>
      <c r="C255" s="5" t="n"/>
      <c r="D255" s="5" t="n"/>
      <c r="E255" s="5" t="n"/>
      <c r="F255" s="5" t="n"/>
      <c r="G255" s="5" t="n"/>
      <c r="H255" s="6" t="n"/>
      <c r="I255" s="5" t="n"/>
      <c r="J255" s="5" t="n"/>
      <c r="K255" s="5" t="n"/>
      <c r="L255" s="5" t="n"/>
    </row>
    <row r="256">
      <c r="A256" s="5" t="n"/>
      <c r="B256" s="6" t="n"/>
      <c r="C256" s="5" t="n"/>
      <c r="D256" s="5" t="n"/>
      <c r="E256" s="5" t="n"/>
      <c r="F256" s="5" t="n"/>
      <c r="G256" s="5" t="n"/>
      <c r="H256" s="6" t="n"/>
      <c r="I256" s="5" t="n"/>
      <c r="J256" s="5" t="n"/>
      <c r="K256" s="5" t="n"/>
      <c r="L256" s="5" t="n"/>
    </row>
    <row r="257">
      <c r="A257" s="5" t="n"/>
      <c r="B257" s="6" t="n"/>
      <c r="C257" s="5" t="n"/>
      <c r="D257" s="5" t="n"/>
      <c r="E257" s="5" t="n"/>
      <c r="F257" s="5" t="n"/>
      <c r="G257" s="5" t="n"/>
      <c r="H257" s="6" t="n"/>
      <c r="I257" s="5" t="n"/>
      <c r="J257" s="5" t="n"/>
      <c r="K257" s="5" t="n"/>
      <c r="L257" s="5" t="n"/>
    </row>
    <row r="258">
      <c r="A258" s="5" t="n"/>
      <c r="B258" s="6" t="n"/>
      <c r="C258" s="5" t="n"/>
      <c r="D258" s="5" t="n"/>
      <c r="E258" s="5" t="n"/>
      <c r="F258" s="5" t="n"/>
      <c r="G258" s="5" t="n"/>
      <c r="H258" s="6" t="n"/>
      <c r="I258" s="5" t="n"/>
      <c r="J258" s="5" t="n"/>
      <c r="K258" s="5" t="n"/>
      <c r="L258" s="5" t="n"/>
    </row>
    <row r="259">
      <c r="A259" s="5" t="n"/>
      <c r="B259" s="6" t="n"/>
      <c r="C259" s="5" t="n"/>
      <c r="D259" s="5" t="n"/>
      <c r="E259" s="5" t="n"/>
      <c r="F259" s="5" t="n"/>
      <c r="G259" s="5" t="n"/>
      <c r="H259" s="6" t="n"/>
      <c r="I259" s="5" t="n"/>
      <c r="J259" s="5" t="n"/>
      <c r="K259" s="5" t="n"/>
      <c r="L259" s="5" t="n"/>
    </row>
    <row r="260">
      <c r="A260" s="5" t="n"/>
      <c r="B260" s="6" t="n"/>
      <c r="C260" s="5" t="n"/>
      <c r="D260" s="5" t="n"/>
      <c r="E260" s="5" t="n"/>
      <c r="F260" s="5" t="n"/>
      <c r="G260" s="5" t="n"/>
      <c r="H260" s="6" t="n"/>
      <c r="I260" s="5" t="n"/>
      <c r="J260" s="5" t="n"/>
      <c r="K260" s="5" t="n"/>
      <c r="L260" s="5" t="n"/>
    </row>
    <row r="261">
      <c r="A261" s="5" t="n"/>
      <c r="B261" s="6" t="n"/>
      <c r="C261" s="5" t="n"/>
      <c r="D261" s="5" t="n"/>
      <c r="E261" s="5" t="n"/>
      <c r="F261" s="5" t="n"/>
      <c r="G261" s="5" t="n"/>
      <c r="H261" s="6" t="n"/>
      <c r="I261" s="5" t="n"/>
      <c r="J261" s="5" t="n"/>
      <c r="K261" s="5" t="n"/>
      <c r="L261" s="5" t="n"/>
    </row>
    <row r="262">
      <c r="A262" s="5" t="n"/>
      <c r="B262" s="6" t="n"/>
      <c r="C262" s="5" t="n"/>
      <c r="D262" s="5" t="n"/>
      <c r="E262" s="5" t="n"/>
      <c r="F262" s="5" t="n"/>
      <c r="G262" s="5" t="n"/>
      <c r="H262" s="6" t="n"/>
      <c r="I262" s="5" t="n"/>
      <c r="J262" s="5" t="n"/>
      <c r="K262" s="5" t="n"/>
      <c r="L262" s="5" t="n"/>
    </row>
    <row r="263">
      <c r="A263" s="5" t="n"/>
      <c r="B263" s="6" t="n"/>
      <c r="C263" s="5" t="n"/>
      <c r="D263" s="5" t="n"/>
      <c r="E263" s="5" t="n"/>
      <c r="F263" s="5" t="n"/>
      <c r="G263" s="5" t="n"/>
      <c r="H263" s="6" t="n"/>
      <c r="I263" s="5" t="n"/>
      <c r="J263" s="5" t="n"/>
      <c r="K263" s="5" t="n"/>
      <c r="L263" s="5" t="n"/>
    </row>
    <row r="264">
      <c r="A264" s="5" t="n"/>
      <c r="B264" s="6" t="n"/>
      <c r="C264" s="5" t="n"/>
      <c r="D264" s="5" t="n"/>
      <c r="E264" s="5" t="n"/>
      <c r="F264" s="5" t="n"/>
      <c r="G264" s="5" t="n"/>
      <c r="H264" s="6" t="n"/>
      <c r="I264" s="5" t="n"/>
      <c r="J264" s="5" t="n"/>
      <c r="K264" s="5" t="n"/>
      <c r="L264" s="5" t="n"/>
    </row>
    <row r="265">
      <c r="A265" s="5" t="n"/>
      <c r="B265" s="6" t="n"/>
      <c r="C265" s="5" t="n"/>
      <c r="D265" s="5" t="n"/>
      <c r="E265" s="5" t="n"/>
      <c r="F265" s="5" t="n"/>
      <c r="G265" s="5" t="n"/>
      <c r="H265" s="6" t="n"/>
      <c r="I265" s="5" t="n"/>
      <c r="J265" s="5" t="n"/>
      <c r="K265" s="5" t="n"/>
      <c r="L265" s="5" t="n"/>
    </row>
    <row r="266">
      <c r="A266" s="5" t="n"/>
      <c r="B266" s="6" t="n"/>
      <c r="C266" s="5" t="n"/>
      <c r="D266" s="5" t="n"/>
      <c r="E266" s="5" t="n"/>
      <c r="F266" s="5" t="n"/>
      <c r="G266" s="5" t="n"/>
      <c r="H266" s="6" t="n"/>
      <c r="I266" s="5" t="n"/>
      <c r="J266" s="5" t="n"/>
      <c r="K266" s="5" t="n"/>
      <c r="L266" s="5" t="n"/>
    </row>
    <row r="267">
      <c r="A267" s="5" t="n"/>
      <c r="B267" s="6" t="n"/>
      <c r="C267" s="5" t="n"/>
      <c r="D267" s="5" t="n"/>
      <c r="E267" s="5" t="n"/>
      <c r="F267" s="5" t="n"/>
      <c r="G267" s="5" t="n"/>
      <c r="H267" s="6" t="n"/>
      <c r="I267" s="5" t="n"/>
      <c r="J267" s="5" t="n"/>
      <c r="K267" s="5" t="n"/>
      <c r="L267" s="5" t="n"/>
    </row>
    <row r="268">
      <c r="A268" s="5" t="n"/>
      <c r="B268" s="6" t="n"/>
      <c r="C268" s="5" t="n"/>
      <c r="D268" s="5" t="n"/>
      <c r="E268" s="5" t="n"/>
      <c r="F268" s="5" t="n"/>
      <c r="G268" s="5" t="n"/>
      <c r="H268" s="6" t="n"/>
      <c r="I268" s="5" t="n"/>
      <c r="J268" s="5" t="n"/>
      <c r="K268" s="5" t="n"/>
      <c r="L268" s="5" t="n"/>
    </row>
    <row r="269">
      <c r="A269" s="5" t="n"/>
      <c r="B269" s="6" t="n"/>
      <c r="C269" s="5" t="n"/>
      <c r="D269" s="5" t="n"/>
      <c r="E269" s="5" t="n"/>
      <c r="F269" s="5" t="n"/>
      <c r="G269" s="5" t="n"/>
      <c r="H269" s="6" t="n"/>
      <c r="I269" s="5" t="n"/>
      <c r="J269" s="5" t="n"/>
      <c r="K269" s="5" t="n"/>
      <c r="L269" s="5" t="n"/>
    </row>
    <row r="270">
      <c r="A270" s="5" t="n"/>
      <c r="B270" s="6" t="n"/>
      <c r="C270" s="5" t="n"/>
      <c r="D270" s="5" t="n"/>
      <c r="E270" s="5" t="n"/>
      <c r="F270" s="5" t="n"/>
      <c r="G270" s="5" t="n"/>
      <c r="H270" s="6" t="n"/>
      <c r="I270" s="5" t="n"/>
      <c r="J270" s="5" t="n"/>
      <c r="K270" s="5" t="n"/>
      <c r="L270" s="5" t="n"/>
    </row>
    <row r="271">
      <c r="A271" s="5" t="n"/>
      <c r="B271" s="6" t="n"/>
      <c r="C271" s="5" t="n"/>
      <c r="D271" s="5" t="n"/>
      <c r="E271" s="5" t="n"/>
      <c r="F271" s="5" t="n"/>
      <c r="G271" s="5" t="n"/>
      <c r="H271" s="6" t="n"/>
      <c r="I271" s="5" t="n"/>
      <c r="J271" s="5" t="n"/>
      <c r="K271" s="5" t="n"/>
      <c r="L271" s="5" t="n"/>
    </row>
    <row r="272">
      <c r="A272" s="5" t="n"/>
      <c r="B272" s="6" t="n"/>
      <c r="C272" s="5" t="n"/>
      <c r="D272" s="5" t="n"/>
      <c r="E272" s="5" t="n"/>
      <c r="F272" s="5" t="n"/>
      <c r="G272" s="5" t="n"/>
      <c r="H272" s="6" t="n"/>
      <c r="I272" s="5" t="n"/>
      <c r="J272" s="5" t="n"/>
      <c r="K272" s="5" t="n"/>
      <c r="L272" s="5" t="n"/>
    </row>
    <row r="273">
      <c r="A273" s="5" t="n"/>
      <c r="B273" s="6" t="n"/>
      <c r="C273" s="5" t="n"/>
      <c r="D273" s="5" t="n"/>
      <c r="E273" s="5" t="n"/>
      <c r="F273" s="5" t="n"/>
      <c r="G273" s="5" t="n"/>
      <c r="H273" s="6" t="n"/>
      <c r="I273" s="5" t="n"/>
      <c r="J273" s="5" t="n"/>
      <c r="K273" s="5" t="n"/>
      <c r="L273" s="5" t="n"/>
    </row>
    <row r="274">
      <c r="A274" s="5" t="n"/>
      <c r="B274" s="6" t="n"/>
      <c r="C274" s="5" t="n"/>
      <c r="D274" s="5" t="n"/>
      <c r="E274" s="5" t="n"/>
      <c r="F274" s="5" t="n"/>
      <c r="G274" s="5" t="n"/>
      <c r="H274" s="6" t="n"/>
      <c r="I274" s="5" t="n"/>
      <c r="J274" s="5" t="n"/>
      <c r="K274" s="5" t="n"/>
      <c r="L274" s="5" t="n"/>
    </row>
    <row r="275">
      <c r="A275" s="5" t="n"/>
      <c r="B275" s="6" t="n"/>
      <c r="C275" s="5" t="n"/>
      <c r="D275" s="5" t="n"/>
      <c r="E275" s="5" t="n"/>
      <c r="F275" s="5" t="n"/>
      <c r="G275" s="5" t="n"/>
      <c r="H275" s="6" t="n"/>
      <c r="I275" s="5" t="n"/>
      <c r="J275" s="5" t="n"/>
      <c r="K275" s="5" t="n"/>
      <c r="L275" s="5" t="n"/>
    </row>
    <row r="276">
      <c r="A276" s="5" t="n"/>
      <c r="B276" s="6" t="n"/>
      <c r="C276" s="5" t="n"/>
      <c r="D276" s="5" t="n"/>
      <c r="E276" s="5" t="n"/>
      <c r="F276" s="5" t="n"/>
      <c r="G276" s="5" t="n"/>
      <c r="H276" s="6" t="n"/>
      <c r="I276" s="5" t="n"/>
      <c r="J276" s="5" t="n"/>
      <c r="K276" s="5" t="n"/>
      <c r="L276" s="5" t="n"/>
    </row>
    <row r="277">
      <c r="A277" s="5" t="n"/>
      <c r="B277" s="6" t="n"/>
      <c r="C277" s="5" t="n"/>
      <c r="D277" s="5" t="n"/>
      <c r="E277" s="5" t="n"/>
      <c r="F277" s="5" t="n"/>
      <c r="G277" s="5" t="n"/>
      <c r="H277" s="6" t="n"/>
      <c r="I277" s="5" t="n"/>
      <c r="J277" s="5" t="n"/>
      <c r="K277" s="5" t="n"/>
      <c r="L277" s="5" t="n"/>
    </row>
    <row r="278">
      <c r="A278" s="5" t="n"/>
      <c r="B278" s="6" t="n"/>
      <c r="C278" s="5" t="n"/>
      <c r="D278" s="5" t="n"/>
      <c r="E278" s="5" t="n"/>
      <c r="F278" s="5" t="n"/>
      <c r="G278" s="5" t="n"/>
      <c r="H278" s="6" t="n"/>
      <c r="I278" s="5" t="n"/>
      <c r="J278" s="5" t="n"/>
      <c r="K278" s="5" t="n"/>
      <c r="L278" s="5" t="n"/>
    </row>
    <row r="279">
      <c r="A279" s="5" t="n"/>
      <c r="B279" s="6" t="n"/>
      <c r="C279" s="5" t="n"/>
      <c r="D279" s="5" t="n"/>
      <c r="E279" s="5" t="n"/>
      <c r="F279" s="5" t="n"/>
      <c r="G279" s="5" t="n"/>
      <c r="H279" s="6" t="n"/>
      <c r="I279" s="5" t="n"/>
      <c r="J279" s="5" t="n"/>
      <c r="K279" s="5" t="n"/>
      <c r="L279" s="5" t="n"/>
    </row>
    <row r="280">
      <c r="A280" s="5" t="n"/>
      <c r="B280" s="6" t="n"/>
      <c r="C280" s="5" t="n"/>
      <c r="D280" s="5" t="n"/>
      <c r="E280" s="5" t="n"/>
      <c r="F280" s="5" t="n"/>
      <c r="G280" s="5" t="n"/>
      <c r="H280" s="6" t="n"/>
      <c r="I280" s="5" t="n"/>
      <c r="J280" s="5" t="n"/>
      <c r="K280" s="5" t="n"/>
      <c r="L280" s="5" t="n"/>
    </row>
    <row r="281">
      <c r="A281" s="5" t="n"/>
      <c r="B281" s="6" t="n"/>
      <c r="C281" s="5" t="n"/>
      <c r="D281" s="5" t="n"/>
      <c r="E281" s="5" t="n"/>
      <c r="F281" s="5" t="n"/>
      <c r="G281" s="5" t="n"/>
      <c r="H281" s="6" t="n"/>
      <c r="I281" s="5" t="n"/>
      <c r="J281" s="5" t="n"/>
      <c r="K281" s="5" t="n"/>
      <c r="L281" s="5" t="n"/>
    </row>
    <row r="282">
      <c r="A282" s="5" t="n"/>
      <c r="B282" s="6" t="n"/>
      <c r="C282" s="5" t="n"/>
      <c r="D282" s="5" t="n"/>
      <c r="E282" s="5" t="n"/>
      <c r="F282" s="5" t="n"/>
      <c r="G282" s="5" t="n"/>
      <c r="H282" s="6" t="n"/>
      <c r="I282" s="5" t="n"/>
      <c r="J282" s="5" t="n"/>
      <c r="K282" s="5" t="n"/>
      <c r="L282" s="5" t="n"/>
    </row>
    <row r="283">
      <c r="A283" s="5" t="n"/>
      <c r="B283" s="6" t="n"/>
      <c r="C283" s="5" t="n"/>
      <c r="D283" s="5" t="n"/>
      <c r="E283" s="5" t="n"/>
      <c r="F283" s="5" t="n"/>
      <c r="G283" s="5" t="n"/>
      <c r="H283" s="6" t="n"/>
      <c r="I283" s="5" t="n"/>
      <c r="J283" s="5" t="n"/>
      <c r="K283" s="5" t="n"/>
      <c r="L283" s="5" t="n"/>
    </row>
    <row r="284">
      <c r="A284" s="5" t="n"/>
      <c r="B284" s="6" t="n"/>
      <c r="C284" s="5" t="n"/>
      <c r="D284" s="5" t="n"/>
      <c r="E284" s="5" t="n"/>
      <c r="F284" s="5" t="n"/>
      <c r="G284" s="5" t="n"/>
      <c r="H284" s="6" t="n"/>
      <c r="I284" s="5" t="n"/>
      <c r="J284" s="5" t="n"/>
      <c r="K284" s="5" t="n"/>
      <c r="L284" s="5" t="n"/>
    </row>
    <row r="285">
      <c r="A285" s="5" t="n"/>
      <c r="B285" s="6" t="n"/>
      <c r="C285" s="5" t="n"/>
      <c r="D285" s="5" t="n"/>
      <c r="E285" s="5" t="n"/>
      <c r="F285" s="5" t="n"/>
      <c r="G285" s="5" t="n"/>
      <c r="H285" s="6" t="n"/>
      <c r="I285" s="5" t="n"/>
      <c r="J285" s="5" t="n"/>
      <c r="K285" s="5" t="n"/>
      <c r="L285" s="5" t="n"/>
    </row>
    <row r="286">
      <c r="A286" s="5" t="n"/>
      <c r="B286" s="6" t="n"/>
      <c r="C286" s="5" t="n"/>
      <c r="D286" s="5" t="n"/>
      <c r="E286" s="5" t="n"/>
      <c r="F286" s="5" t="n"/>
      <c r="G286" s="5" t="n"/>
      <c r="H286" s="6" t="n"/>
      <c r="I286" s="5" t="n"/>
      <c r="J286" s="5" t="n"/>
      <c r="K286" s="5" t="n"/>
      <c r="L286" s="5" t="n"/>
    </row>
    <row r="287">
      <c r="A287" s="5" t="n"/>
      <c r="B287" s="6" t="n"/>
      <c r="C287" s="5" t="n"/>
      <c r="D287" s="5" t="n"/>
      <c r="E287" s="5" t="n"/>
      <c r="F287" s="5" t="n"/>
      <c r="G287" s="5" t="n"/>
      <c r="H287" s="6" t="n"/>
      <c r="I287" s="5" t="n"/>
      <c r="J287" s="5" t="n"/>
      <c r="K287" s="5" t="n"/>
      <c r="L287" s="5" t="n"/>
    </row>
    <row r="288">
      <c r="A288" s="5" t="n"/>
      <c r="B288" s="6" t="n"/>
      <c r="C288" s="5" t="n"/>
      <c r="D288" s="5" t="n"/>
      <c r="E288" s="5" t="n"/>
      <c r="F288" s="5" t="n"/>
      <c r="G288" s="5" t="n"/>
      <c r="H288" s="6" t="n"/>
      <c r="I288" s="5" t="n"/>
      <c r="J288" s="5" t="n"/>
      <c r="K288" s="5" t="n"/>
      <c r="L288" s="5" t="n"/>
    </row>
    <row r="289">
      <c r="A289" s="5" t="n"/>
      <c r="B289" s="6" t="n"/>
      <c r="C289" s="5" t="n"/>
      <c r="D289" s="5" t="n"/>
      <c r="E289" s="5" t="n"/>
      <c r="F289" s="5" t="n"/>
      <c r="G289" s="5" t="n"/>
      <c r="H289" s="6" t="n"/>
      <c r="I289" s="5" t="n"/>
      <c r="J289" s="5" t="n"/>
      <c r="K289" s="5" t="n"/>
      <c r="L289" s="5" t="n"/>
    </row>
    <row r="290">
      <c r="A290" s="5" t="n"/>
      <c r="B290" s="6" t="n"/>
      <c r="C290" s="5" t="n"/>
      <c r="D290" s="5" t="n"/>
      <c r="E290" s="5" t="n"/>
      <c r="F290" s="5" t="n"/>
      <c r="G290" s="5" t="n"/>
      <c r="H290" s="6" t="n"/>
      <c r="I290" s="5" t="n"/>
      <c r="J290" s="5" t="n"/>
      <c r="K290" s="5" t="n"/>
      <c r="L290" s="5" t="n"/>
    </row>
    <row r="291">
      <c r="A291" s="5" t="n"/>
      <c r="B291" s="6" t="n"/>
      <c r="C291" s="5" t="n"/>
      <c r="D291" s="5" t="n"/>
      <c r="E291" s="5" t="n"/>
      <c r="F291" s="5" t="n"/>
      <c r="G291" s="5" t="n"/>
      <c r="H291" s="6" t="n"/>
      <c r="I291" s="5" t="n"/>
      <c r="J291" s="5" t="n"/>
      <c r="K291" s="5" t="n"/>
      <c r="L291" s="5" t="n"/>
    </row>
    <row r="292">
      <c r="A292" s="5" t="n"/>
      <c r="B292" s="6" t="n"/>
      <c r="C292" s="5" t="n"/>
      <c r="D292" s="5" t="n"/>
      <c r="E292" s="5" t="n"/>
      <c r="F292" s="5" t="n"/>
      <c r="G292" s="5" t="n"/>
      <c r="H292" s="6" t="n"/>
      <c r="I292" s="5" t="n"/>
      <c r="J292" s="5" t="n"/>
      <c r="K292" s="5" t="n"/>
      <c r="L292" s="5" t="n"/>
    </row>
    <row r="293">
      <c r="A293" s="5" t="n"/>
      <c r="B293" s="6" t="n"/>
      <c r="C293" s="5" t="n"/>
      <c r="D293" s="5" t="n"/>
      <c r="E293" s="5" t="n"/>
      <c r="F293" s="5" t="n"/>
      <c r="G293" s="5" t="n"/>
      <c r="H293" s="6" t="n"/>
      <c r="I293" s="5" t="n"/>
      <c r="J293" s="5" t="n"/>
      <c r="K293" s="5" t="n"/>
      <c r="L293" s="5" t="n"/>
    </row>
    <row r="294">
      <c r="A294" s="5" t="n"/>
      <c r="B294" s="6" t="n"/>
      <c r="C294" s="5" t="n"/>
      <c r="D294" s="5" t="n"/>
      <c r="E294" s="5" t="n"/>
      <c r="F294" s="5" t="n"/>
      <c r="G294" s="5" t="n"/>
      <c r="H294" s="6" t="n"/>
      <c r="I294" s="5" t="n"/>
      <c r="J294" s="5" t="n"/>
      <c r="K294" s="5" t="n"/>
      <c r="L294" s="5" t="n"/>
    </row>
    <row r="295">
      <c r="A295" s="5" t="n"/>
      <c r="B295" s="6" t="n"/>
      <c r="C295" s="5" t="n"/>
      <c r="D295" s="5" t="n"/>
      <c r="E295" s="5" t="n"/>
      <c r="F295" s="5" t="n"/>
      <c r="G295" s="5" t="n"/>
      <c r="H295" s="6" t="n"/>
      <c r="I295" s="5" t="n"/>
      <c r="J295" s="5" t="n"/>
      <c r="K295" s="5" t="n"/>
      <c r="L295" s="5" t="n"/>
    </row>
    <row r="296">
      <c r="A296" s="5" t="n"/>
      <c r="B296" s="6" t="n"/>
      <c r="C296" s="5" t="n"/>
      <c r="D296" s="5" t="n"/>
      <c r="E296" s="5" t="n"/>
      <c r="F296" s="5" t="n"/>
      <c r="G296" s="5" t="n"/>
      <c r="H296" s="6" t="n"/>
      <c r="I296" s="5" t="n"/>
      <c r="J296" s="5" t="n"/>
      <c r="K296" s="5" t="n"/>
      <c r="L296" s="5" t="n"/>
    </row>
    <row r="297">
      <c r="A297" s="5" t="n"/>
      <c r="B297" s="6" t="n"/>
      <c r="C297" s="5" t="n"/>
      <c r="D297" s="5" t="n"/>
      <c r="E297" s="5" t="n"/>
      <c r="F297" s="5" t="n"/>
      <c r="G297" s="5" t="n"/>
      <c r="H297" s="6" t="n"/>
      <c r="I297" s="5" t="n"/>
      <c r="J297" s="5" t="n"/>
      <c r="K297" s="5" t="n"/>
      <c r="L297" s="5" t="n"/>
    </row>
    <row r="298">
      <c r="A298" s="5" t="n"/>
      <c r="B298" s="6" t="n"/>
      <c r="C298" s="5" t="n"/>
      <c r="D298" s="5" t="n"/>
      <c r="E298" s="5" t="n"/>
      <c r="F298" s="5" t="n"/>
      <c r="G298" s="5" t="n"/>
      <c r="H298" s="6" t="n"/>
      <c r="I298" s="5" t="n"/>
      <c r="J298" s="5" t="n"/>
      <c r="K298" s="5" t="n"/>
      <c r="L298" s="5" t="n"/>
    </row>
    <row r="299">
      <c r="A299" s="5" t="n"/>
      <c r="B299" s="6" t="n"/>
      <c r="C299" s="5" t="n"/>
      <c r="D299" s="5" t="n"/>
      <c r="E299" s="5" t="n"/>
      <c r="F299" s="5" t="n"/>
      <c r="G299" s="5" t="n"/>
      <c r="H299" s="6" t="n"/>
      <c r="I299" s="5" t="n"/>
      <c r="J299" s="5" t="n"/>
      <c r="K299" s="5" t="n"/>
      <c r="L299" s="5" t="n"/>
    </row>
    <row r="300">
      <c r="A300" s="5" t="n"/>
      <c r="B300" s="6" t="n"/>
      <c r="C300" s="5" t="n"/>
      <c r="D300" s="5" t="n"/>
      <c r="E300" s="5" t="n"/>
      <c r="F300" s="5" t="n"/>
      <c r="G300" s="5" t="n"/>
      <c r="H300" s="6" t="n"/>
      <c r="I300" s="5" t="n"/>
      <c r="J300" s="5" t="n"/>
      <c r="K300" s="5" t="n"/>
      <c r="L300" s="5" t="n"/>
    </row>
    <row r="301">
      <c r="A301" s="5" t="n"/>
      <c r="B301" s="6" t="n"/>
      <c r="C301" s="5" t="n"/>
      <c r="D301" s="5" t="n"/>
      <c r="E301" s="5" t="n"/>
      <c r="F301" s="5" t="n"/>
      <c r="G301" s="5" t="n"/>
      <c r="H301" s="6" t="n"/>
      <c r="I301" s="5" t="n"/>
      <c r="J301" s="5" t="n"/>
      <c r="K301" s="5" t="n"/>
      <c r="L301" s="5" t="n"/>
    </row>
    <row r="302">
      <c r="A302" s="5" t="n"/>
      <c r="B302" s="6" t="n"/>
      <c r="C302" s="5" t="n"/>
      <c r="D302" s="5" t="n"/>
      <c r="E302" s="5" t="n"/>
      <c r="F302" s="5" t="n"/>
      <c r="G302" s="5" t="n"/>
      <c r="H302" s="6" t="n"/>
      <c r="I302" s="5" t="n"/>
      <c r="J302" s="5" t="n"/>
      <c r="K302" s="5" t="n"/>
      <c r="L302" s="5" t="n"/>
    </row>
    <row r="303">
      <c r="A303" s="5" t="n"/>
      <c r="B303" s="6" t="n"/>
      <c r="C303" s="5" t="n"/>
      <c r="D303" s="5" t="n"/>
      <c r="E303" s="5" t="n"/>
      <c r="F303" s="5" t="n"/>
      <c r="G303" s="5" t="n"/>
      <c r="H303" s="6" t="n"/>
      <c r="I303" s="5" t="n"/>
      <c r="J303" s="5" t="n"/>
      <c r="K303" s="5" t="n"/>
      <c r="L303" s="5" t="n"/>
    </row>
    <row r="304">
      <c r="A304" s="5" t="n"/>
      <c r="B304" s="6" t="n"/>
      <c r="C304" s="5" t="n"/>
      <c r="D304" s="5" t="n"/>
      <c r="E304" s="5" t="n"/>
      <c r="F304" s="5" t="n"/>
      <c r="G304" s="5" t="n"/>
      <c r="H304" s="6" t="n"/>
      <c r="I304" s="5" t="n"/>
      <c r="J304" s="5" t="n"/>
      <c r="K304" s="5" t="n"/>
      <c r="L304" s="5" t="n"/>
    </row>
    <row r="305">
      <c r="A305" s="5" t="n"/>
      <c r="B305" s="6" t="n"/>
      <c r="C305" s="5" t="n"/>
      <c r="D305" s="5" t="n"/>
      <c r="E305" s="5" t="n"/>
      <c r="F305" s="5" t="n"/>
      <c r="G305" s="5" t="n"/>
      <c r="H305" s="6" t="n"/>
      <c r="I305" s="5" t="n"/>
      <c r="J305" s="5" t="n"/>
      <c r="K305" s="5" t="n"/>
      <c r="L305" s="5" t="n"/>
    </row>
    <row r="306">
      <c r="A306" s="5" t="n"/>
      <c r="B306" s="6" t="n"/>
      <c r="C306" s="5" t="n"/>
      <c r="D306" s="5" t="n"/>
      <c r="E306" s="5" t="n"/>
      <c r="F306" s="5" t="n"/>
      <c r="G306" s="5" t="n"/>
      <c r="H306" s="6" t="n"/>
      <c r="I306" s="5" t="n"/>
      <c r="J306" s="5" t="n"/>
      <c r="K306" s="5" t="n"/>
      <c r="L306" s="5" t="n"/>
    </row>
    <row r="307">
      <c r="A307" s="5" t="n"/>
      <c r="B307" s="6" t="n"/>
      <c r="C307" s="5" t="n"/>
      <c r="D307" s="5" t="n"/>
      <c r="E307" s="5" t="n"/>
      <c r="F307" s="5" t="n"/>
      <c r="G307" s="5" t="n"/>
      <c r="H307" s="6" t="n"/>
      <c r="I307" s="5" t="n"/>
      <c r="J307" s="5" t="n"/>
      <c r="K307" s="5" t="n"/>
      <c r="L307" s="5" t="n"/>
    </row>
    <row r="308">
      <c r="A308" s="5" t="n"/>
      <c r="B308" s="6" t="n"/>
      <c r="C308" s="5" t="n"/>
      <c r="D308" s="5" t="n"/>
      <c r="E308" s="5" t="n"/>
      <c r="F308" s="5" t="n"/>
      <c r="G308" s="5" t="n"/>
      <c r="H308" s="6" t="n"/>
      <c r="I308" s="5" t="n"/>
      <c r="J308" s="5" t="n"/>
      <c r="K308" s="5" t="n"/>
      <c r="L308" s="5" t="n"/>
    </row>
    <row r="309">
      <c r="A309" s="5" t="n"/>
      <c r="B309" s="6" t="n"/>
      <c r="C309" s="5" t="n"/>
      <c r="D309" s="5" t="n"/>
      <c r="E309" s="5" t="n"/>
      <c r="F309" s="5" t="n"/>
      <c r="G309" s="5" t="n"/>
      <c r="H309" s="6" t="n"/>
      <c r="I309" s="5" t="n"/>
      <c r="J309" s="5" t="n"/>
      <c r="K309" s="5" t="n"/>
      <c r="L309" s="5" t="n"/>
    </row>
    <row r="310">
      <c r="A310" s="5" t="n"/>
      <c r="B310" s="6" t="n"/>
      <c r="C310" s="5" t="n"/>
      <c r="D310" s="5" t="n"/>
      <c r="E310" s="5" t="n"/>
      <c r="F310" s="5" t="n"/>
      <c r="G310" s="5" t="n"/>
      <c r="H310" s="6" t="n"/>
      <c r="I310" s="5" t="n"/>
      <c r="J310" s="5" t="n"/>
      <c r="K310" s="5" t="n"/>
      <c r="L310" s="5" t="n"/>
    </row>
    <row r="311">
      <c r="A311" s="5" t="n"/>
      <c r="B311" s="6" t="n"/>
      <c r="C311" s="5" t="n"/>
      <c r="D311" s="5" t="n"/>
      <c r="E311" s="5" t="n"/>
      <c r="F311" s="5" t="n"/>
      <c r="G311" s="5" t="n"/>
      <c r="H311" s="6" t="n"/>
      <c r="I311" s="5" t="n"/>
      <c r="J311" s="5" t="n"/>
      <c r="K311" s="5" t="n"/>
      <c r="L311" s="5" t="n"/>
    </row>
    <row r="312">
      <c r="A312" s="5" t="n"/>
      <c r="B312" s="6" t="n"/>
      <c r="C312" s="5" t="n"/>
      <c r="D312" s="5" t="n"/>
      <c r="E312" s="5" t="n"/>
      <c r="F312" s="5" t="n"/>
      <c r="G312" s="5" t="n"/>
      <c r="H312" s="6" t="n"/>
      <c r="I312" s="5" t="n"/>
      <c r="J312" s="5" t="n"/>
      <c r="K312" s="5" t="n"/>
      <c r="L312" s="5" t="n"/>
    </row>
    <row r="313">
      <c r="A313" s="5" t="n"/>
      <c r="B313" s="6" t="n"/>
      <c r="C313" s="5" t="n"/>
      <c r="D313" s="5" t="n"/>
      <c r="E313" s="5" t="n"/>
      <c r="F313" s="5" t="n"/>
      <c r="G313" s="5" t="n"/>
      <c r="H313" s="6" t="n"/>
      <c r="I313" s="5" t="n"/>
      <c r="J313" s="5" t="n"/>
      <c r="K313" s="5" t="n"/>
      <c r="L313" s="5" t="n"/>
    </row>
    <row r="314">
      <c r="A314" s="5" t="n"/>
      <c r="B314" s="6" t="n"/>
      <c r="C314" s="5" t="n"/>
      <c r="D314" s="5" t="n"/>
      <c r="E314" s="5" t="n"/>
      <c r="F314" s="5" t="n"/>
      <c r="G314" s="5" t="n"/>
      <c r="H314" s="6" t="n"/>
      <c r="I314" s="5" t="n"/>
      <c r="J314" s="5" t="n"/>
      <c r="K314" s="5" t="n"/>
      <c r="L314" s="5" t="n"/>
    </row>
    <row r="315">
      <c r="A315" s="5" t="n"/>
      <c r="B315" s="6" t="n"/>
      <c r="C315" s="5" t="n"/>
      <c r="D315" s="5" t="n"/>
      <c r="E315" s="5" t="n"/>
      <c r="F315" s="5" t="n"/>
      <c r="G315" s="5" t="n"/>
      <c r="H315" s="6" t="n"/>
      <c r="I315" s="5" t="n"/>
      <c r="J315" s="5" t="n"/>
      <c r="K315" s="5" t="n"/>
      <c r="L315" s="5" t="n"/>
    </row>
    <row r="316">
      <c r="A316" s="5" t="n"/>
      <c r="B316" s="6" t="n"/>
      <c r="C316" s="5" t="n"/>
      <c r="D316" s="5" t="n"/>
      <c r="E316" s="5" t="n"/>
      <c r="F316" s="5" t="n"/>
      <c r="G316" s="5" t="n"/>
      <c r="H316" s="6" t="n"/>
      <c r="I316" s="5" t="n"/>
      <c r="J316" s="5" t="n"/>
      <c r="K316" s="5" t="n"/>
      <c r="L316" s="5" t="n"/>
    </row>
    <row r="317">
      <c r="A317" s="5" t="n"/>
      <c r="B317" s="6" t="n"/>
      <c r="C317" s="5" t="n"/>
      <c r="D317" s="5" t="n"/>
      <c r="E317" s="5" t="n"/>
      <c r="F317" s="5" t="n"/>
      <c r="G317" s="5" t="n"/>
      <c r="H317" s="6" t="n"/>
      <c r="I317" s="5" t="n"/>
      <c r="J317" s="5" t="n"/>
      <c r="K317" s="5" t="n"/>
      <c r="L317" s="5" t="n"/>
    </row>
    <row r="318">
      <c r="A318" s="5" t="n"/>
      <c r="B318" s="6" t="n"/>
      <c r="C318" s="5" t="n"/>
      <c r="D318" s="5" t="n"/>
      <c r="E318" s="5" t="n"/>
      <c r="F318" s="5" t="n"/>
      <c r="G318" s="5" t="n"/>
      <c r="H318" s="6" t="n"/>
      <c r="I318" s="5" t="n"/>
      <c r="J318" s="5" t="n"/>
      <c r="K318" s="5" t="n"/>
      <c r="L318" s="5" t="n"/>
    </row>
    <row r="319">
      <c r="A319" s="5" t="n"/>
      <c r="B319" s="6" t="n"/>
      <c r="C319" s="5" t="n"/>
      <c r="D319" s="5" t="n"/>
      <c r="E319" s="5" t="n"/>
      <c r="F319" s="5" t="n"/>
      <c r="G319" s="5" t="n"/>
      <c r="H319" s="6" t="n"/>
      <c r="I319" s="5" t="n"/>
      <c r="J319" s="5" t="n"/>
      <c r="K319" s="5" t="n"/>
      <c r="L319" s="5" t="n"/>
    </row>
    <row r="320">
      <c r="A320" s="5" t="n"/>
      <c r="B320" s="6" t="n"/>
      <c r="C320" s="5" t="n"/>
      <c r="D320" s="5" t="n"/>
      <c r="E320" s="5" t="n"/>
      <c r="F320" s="5" t="n"/>
      <c r="G320" s="5" t="n"/>
      <c r="H320" s="6" t="n"/>
      <c r="I320" s="5" t="n"/>
      <c r="J320" s="5" t="n"/>
      <c r="K320" s="5" t="n"/>
      <c r="L320" s="5" t="n"/>
    </row>
    <row r="321">
      <c r="A321" s="5" t="n"/>
      <c r="B321" s="6" t="n"/>
      <c r="C321" s="5" t="n"/>
      <c r="D321" s="5" t="n"/>
      <c r="E321" s="5" t="n"/>
      <c r="F321" s="5" t="n"/>
      <c r="G321" s="5" t="n"/>
      <c r="H321" s="6" t="n"/>
      <c r="I321" s="5" t="n"/>
      <c r="J321" s="5" t="n"/>
      <c r="K321" s="5" t="n"/>
      <c r="L321" s="5" t="n"/>
    </row>
    <row r="322">
      <c r="A322" s="5" t="n"/>
      <c r="B322" s="6" t="n"/>
      <c r="C322" s="5" t="n"/>
      <c r="D322" s="5" t="n"/>
      <c r="E322" s="5" t="n"/>
      <c r="F322" s="5" t="n"/>
      <c r="G322" s="5" t="n"/>
      <c r="H322" s="6" t="n"/>
      <c r="I322" s="5" t="n"/>
      <c r="J322" s="5" t="n"/>
      <c r="K322" s="5" t="n"/>
      <c r="L322" s="5" t="n"/>
    </row>
    <row r="323">
      <c r="A323" s="5" t="n"/>
      <c r="B323" s="6" t="n"/>
      <c r="C323" s="5" t="n"/>
      <c r="D323" s="5" t="n"/>
      <c r="E323" s="5" t="n"/>
      <c r="F323" s="5" t="n"/>
      <c r="G323" s="5" t="n"/>
      <c r="H323" s="6" t="n"/>
      <c r="I323" s="5" t="n"/>
      <c r="J323" s="5" t="n"/>
      <c r="K323" s="5" t="n"/>
      <c r="L323" s="5" t="n"/>
    </row>
    <row r="324">
      <c r="A324" s="5" t="n"/>
      <c r="B324" s="6" t="n"/>
      <c r="C324" s="5" t="n"/>
      <c r="D324" s="5" t="n"/>
      <c r="E324" s="5" t="n"/>
      <c r="F324" s="5" t="n"/>
      <c r="G324" s="5" t="n"/>
      <c r="H324" s="6" t="n"/>
      <c r="I324" s="5" t="n"/>
      <c r="J324" s="5" t="n"/>
      <c r="K324" s="5" t="n"/>
      <c r="L324" s="5" t="n"/>
    </row>
    <row r="325">
      <c r="A325" s="5" t="n"/>
      <c r="B325" s="6" t="n"/>
      <c r="C325" s="5" t="n"/>
      <c r="D325" s="5" t="n"/>
      <c r="E325" s="5" t="n"/>
      <c r="F325" s="5" t="n"/>
      <c r="G325" s="5" t="n"/>
      <c r="H325" s="6" t="n"/>
      <c r="I325" s="5" t="n"/>
      <c r="J325" s="5" t="n"/>
      <c r="K325" s="5" t="n"/>
      <c r="L325" s="5" t="n"/>
    </row>
    <row r="326">
      <c r="A326" s="5" t="n"/>
      <c r="B326" s="6" t="n"/>
      <c r="C326" s="5" t="n"/>
      <c r="D326" s="5" t="n"/>
      <c r="E326" s="5" t="n"/>
      <c r="F326" s="5" t="n"/>
      <c r="G326" s="5" t="n"/>
      <c r="H326" s="6" t="n"/>
      <c r="I326" s="5" t="n"/>
      <c r="J326" s="5" t="n"/>
      <c r="K326" s="5" t="n"/>
      <c r="L326" s="5" t="n"/>
    </row>
    <row r="327">
      <c r="A327" s="5" t="n"/>
      <c r="B327" s="6" t="n"/>
      <c r="C327" s="5" t="n"/>
      <c r="D327" s="5" t="n"/>
      <c r="E327" s="5" t="n"/>
      <c r="F327" s="5" t="n"/>
      <c r="G327" s="5" t="n"/>
      <c r="H327" s="6" t="n"/>
      <c r="I327" s="5" t="n"/>
      <c r="J327" s="5" t="n"/>
      <c r="K327" s="5" t="n"/>
      <c r="L327" s="5" t="n"/>
    </row>
    <row r="328">
      <c r="A328" s="5" t="n"/>
      <c r="B328" s="6" t="n"/>
      <c r="C328" s="5" t="n"/>
      <c r="D328" s="5" t="n"/>
      <c r="E328" s="5" t="n"/>
      <c r="F328" s="5" t="n"/>
      <c r="G328" s="5" t="n"/>
      <c r="H328" s="6" t="n"/>
      <c r="I328" s="5" t="n"/>
      <c r="J328" s="5" t="n"/>
      <c r="K328" s="5" t="n"/>
      <c r="L328" s="5" t="n"/>
    </row>
    <row r="329">
      <c r="A329" s="5" t="n"/>
      <c r="B329" s="6" t="n"/>
      <c r="C329" s="5" t="n"/>
      <c r="D329" s="5" t="n"/>
      <c r="E329" s="5" t="n"/>
      <c r="F329" s="5" t="n"/>
      <c r="G329" s="5" t="n"/>
      <c r="H329" s="6" t="n"/>
      <c r="I329" s="5" t="n"/>
      <c r="J329" s="5" t="n"/>
      <c r="K329" s="5" t="n"/>
      <c r="L329" s="5" t="n"/>
    </row>
    <row r="330">
      <c r="A330" s="5" t="n"/>
      <c r="B330" s="6" t="n"/>
      <c r="C330" s="5" t="n"/>
      <c r="D330" s="5" t="n"/>
      <c r="E330" s="5" t="n"/>
      <c r="F330" s="5" t="n"/>
      <c r="G330" s="5" t="n"/>
      <c r="H330" s="6" t="n"/>
      <c r="I330" s="5" t="n"/>
      <c r="J330" s="5" t="n"/>
      <c r="K330" s="5" t="n"/>
      <c r="L330" s="5" t="n"/>
    </row>
    <row r="331">
      <c r="A331" s="5" t="n"/>
      <c r="B331" s="6" t="n"/>
      <c r="C331" s="5" t="n"/>
      <c r="D331" s="5" t="n"/>
      <c r="E331" s="5" t="n"/>
      <c r="F331" s="5" t="n"/>
      <c r="G331" s="5" t="n"/>
      <c r="H331" s="6" t="n"/>
      <c r="I331" s="5" t="n"/>
      <c r="J331" s="5" t="n"/>
      <c r="K331" s="5" t="n"/>
      <c r="L331" s="5" t="n"/>
    </row>
    <row r="332">
      <c r="A332" s="5" t="n"/>
      <c r="B332" s="6" t="n"/>
      <c r="C332" s="5" t="n"/>
      <c r="D332" s="5" t="n"/>
      <c r="E332" s="5" t="n"/>
      <c r="F332" s="5" t="n"/>
      <c r="G332" s="5" t="n"/>
      <c r="H332" s="6" t="n"/>
      <c r="I332" s="5" t="n"/>
      <c r="J332" s="5" t="n"/>
      <c r="K332" s="5" t="n"/>
      <c r="L332" s="5" t="n"/>
    </row>
    <row r="333">
      <c r="A333" s="5" t="n"/>
      <c r="B333" s="6" t="n"/>
      <c r="C333" s="5" t="n"/>
      <c r="D333" s="5" t="n"/>
      <c r="E333" s="5" t="n"/>
      <c r="F333" s="5" t="n"/>
      <c r="G333" s="5" t="n"/>
      <c r="H333" s="6" t="n"/>
      <c r="I333" s="5" t="n"/>
      <c r="J333" s="5" t="n"/>
      <c r="K333" s="5" t="n"/>
      <c r="L333" s="5" t="n"/>
    </row>
    <row r="334">
      <c r="A334" s="5" t="n"/>
      <c r="B334" s="6" t="n"/>
      <c r="C334" s="5" t="n"/>
      <c r="D334" s="5" t="n"/>
      <c r="E334" s="5" t="n"/>
      <c r="F334" s="5" t="n"/>
      <c r="G334" s="5" t="n"/>
      <c r="H334" s="6" t="n"/>
      <c r="I334" s="5" t="n"/>
      <c r="J334" s="5" t="n"/>
      <c r="K334" s="5" t="n"/>
      <c r="L334" s="5" t="n"/>
    </row>
    <row r="335">
      <c r="A335" s="5" t="n"/>
      <c r="B335" s="6" t="n"/>
      <c r="C335" s="5" t="n"/>
      <c r="D335" s="5" t="n"/>
      <c r="E335" s="5" t="n"/>
      <c r="F335" s="5" t="n"/>
      <c r="G335" s="5" t="n"/>
      <c r="H335" s="6" t="n"/>
      <c r="I335" s="5" t="n"/>
      <c r="J335" s="5" t="n"/>
      <c r="K335" s="5" t="n"/>
      <c r="L335" s="5" t="n"/>
    </row>
    <row r="336">
      <c r="A336" s="5" t="n"/>
      <c r="B336" s="6" t="n"/>
      <c r="C336" s="5" t="n"/>
      <c r="D336" s="5" t="n"/>
      <c r="E336" s="5" t="n"/>
      <c r="F336" s="5" t="n"/>
      <c r="G336" s="5" t="n"/>
      <c r="H336" s="6" t="n"/>
      <c r="I336" s="5" t="n"/>
      <c r="J336" s="5" t="n"/>
      <c r="K336" s="5" t="n"/>
      <c r="L336" s="5" t="n"/>
    </row>
    <row r="337">
      <c r="A337" s="5" t="n"/>
      <c r="B337" s="6" t="n"/>
      <c r="C337" s="5" t="n"/>
      <c r="D337" s="5" t="n"/>
      <c r="E337" s="5" t="n"/>
      <c r="F337" s="5" t="n"/>
      <c r="G337" s="5" t="n"/>
      <c r="H337" s="6" t="n"/>
      <c r="I337" s="5" t="n"/>
      <c r="J337" s="5" t="n"/>
      <c r="K337" s="5" t="n"/>
      <c r="L337" s="5" t="n"/>
    </row>
    <row r="338">
      <c r="A338" s="5" t="n"/>
      <c r="B338" s="6" t="n"/>
      <c r="C338" s="5" t="n"/>
      <c r="D338" s="5" t="n"/>
      <c r="E338" s="5" t="n"/>
      <c r="F338" s="5" t="n"/>
      <c r="G338" s="5" t="n"/>
      <c r="H338" s="6" t="n"/>
      <c r="I338" s="5" t="n"/>
      <c r="J338" s="5" t="n"/>
      <c r="K338" s="5" t="n"/>
      <c r="L338" s="5" t="n"/>
    </row>
    <row r="339">
      <c r="A339" s="5" t="n"/>
      <c r="B339" s="6" t="n"/>
      <c r="C339" s="5" t="n"/>
      <c r="D339" s="5" t="n"/>
      <c r="E339" s="5" t="n"/>
      <c r="F339" s="5" t="n"/>
      <c r="G339" s="5" t="n"/>
      <c r="H339" s="6" t="n"/>
      <c r="I339" s="5" t="n"/>
      <c r="J339" s="5" t="n"/>
      <c r="K339" s="5" t="n"/>
      <c r="L339" s="5" t="n"/>
    </row>
    <row r="340">
      <c r="A340" s="5" t="n"/>
      <c r="B340" s="6" t="n"/>
      <c r="C340" s="5" t="n"/>
      <c r="D340" s="5" t="n"/>
      <c r="E340" s="5" t="n"/>
      <c r="F340" s="5" t="n"/>
      <c r="G340" s="5" t="n"/>
      <c r="H340" s="6" t="n"/>
      <c r="I340" s="5" t="n"/>
      <c r="J340" s="5" t="n"/>
      <c r="K340" s="5" t="n"/>
      <c r="L340" s="5" t="n"/>
    </row>
    <row r="341">
      <c r="A341" s="5" t="n"/>
      <c r="B341" s="6" t="n"/>
      <c r="C341" s="5" t="n"/>
      <c r="D341" s="5" t="n"/>
      <c r="E341" s="5" t="n"/>
      <c r="F341" s="5" t="n"/>
      <c r="G341" s="5" t="n"/>
      <c r="H341" s="6" t="n"/>
      <c r="I341" s="5" t="n"/>
      <c r="J341" s="5" t="n"/>
      <c r="K341" s="5" t="n"/>
      <c r="L341" s="5" t="n"/>
    </row>
    <row r="342">
      <c r="A342" s="5" t="n"/>
      <c r="B342" s="6" t="n"/>
      <c r="C342" s="5" t="n"/>
      <c r="D342" s="5" t="n"/>
      <c r="E342" s="5" t="n"/>
      <c r="F342" s="5" t="n"/>
      <c r="G342" s="5" t="n"/>
      <c r="H342" s="6" t="n"/>
      <c r="I342" s="5" t="n"/>
      <c r="J342" s="5" t="n"/>
      <c r="K342" s="5" t="n"/>
      <c r="L342" s="5" t="n"/>
    </row>
    <row r="343">
      <c r="A343" s="5" t="n"/>
      <c r="B343" s="6" t="n"/>
      <c r="C343" s="5" t="n"/>
      <c r="D343" s="5" t="n"/>
      <c r="E343" s="5" t="n"/>
      <c r="F343" s="5" t="n"/>
      <c r="G343" s="5" t="n"/>
      <c r="H343" s="6" t="n"/>
      <c r="I343" s="5" t="n"/>
      <c r="J343" s="5" t="n"/>
      <c r="K343" s="5" t="n"/>
      <c r="L343" s="5" t="n"/>
    </row>
    <row r="344">
      <c r="A344" s="5" t="n"/>
      <c r="B344" s="6" t="n"/>
      <c r="C344" s="5" t="n"/>
      <c r="D344" s="5" t="n"/>
      <c r="E344" s="5" t="n"/>
      <c r="F344" s="5" t="n"/>
      <c r="G344" s="5" t="n"/>
      <c r="H344" s="6" t="n"/>
      <c r="I344" s="5" t="n"/>
      <c r="J344" s="5" t="n"/>
      <c r="K344" s="5" t="n"/>
      <c r="L344" s="5" t="n"/>
    </row>
    <row r="345">
      <c r="A345" s="5" t="n"/>
      <c r="B345" s="6" t="n"/>
      <c r="C345" s="5" t="n"/>
      <c r="D345" s="5" t="n"/>
      <c r="E345" s="5" t="n"/>
      <c r="F345" s="5" t="n"/>
      <c r="G345" s="5" t="n"/>
      <c r="H345" s="6" t="n"/>
      <c r="I345" s="5" t="n"/>
      <c r="J345" s="5" t="n"/>
      <c r="K345" s="5" t="n"/>
      <c r="L345" s="5" t="n"/>
    </row>
    <row r="346">
      <c r="A346" s="5" t="n"/>
      <c r="B346" s="6" t="n"/>
      <c r="C346" s="5" t="n"/>
      <c r="D346" s="5" t="n"/>
      <c r="E346" s="5" t="n"/>
      <c r="F346" s="5" t="n"/>
      <c r="G346" s="5" t="n"/>
      <c r="H346" s="6" t="n"/>
      <c r="I346" s="5" t="n"/>
      <c r="J346" s="5" t="n"/>
      <c r="K346" s="5" t="n"/>
      <c r="L346" s="5" t="n"/>
    </row>
    <row r="347">
      <c r="A347" s="5" t="n"/>
      <c r="B347" s="6" t="n"/>
      <c r="C347" s="5" t="n"/>
      <c r="D347" s="5" t="n"/>
      <c r="E347" s="5" t="n"/>
      <c r="F347" s="5" t="n"/>
      <c r="G347" s="5" t="n"/>
      <c r="H347" s="6" t="n"/>
      <c r="I347" s="5" t="n"/>
      <c r="J347" s="5" t="n"/>
      <c r="K347" s="5" t="n"/>
      <c r="L347" s="5" t="n"/>
    </row>
    <row r="348">
      <c r="A348" s="5" t="n"/>
      <c r="B348" s="6" t="n"/>
      <c r="C348" s="5" t="n"/>
      <c r="D348" s="5" t="n"/>
      <c r="E348" s="5" t="n"/>
      <c r="F348" s="5" t="n"/>
      <c r="G348" s="5" t="n"/>
      <c r="H348" s="6" t="n"/>
      <c r="I348" s="5" t="n"/>
      <c r="J348" s="5" t="n"/>
      <c r="K348" s="5" t="n"/>
      <c r="L348" s="5" t="n"/>
    </row>
    <row r="349">
      <c r="A349" s="5" t="n"/>
      <c r="B349" s="6" t="n"/>
      <c r="C349" s="5" t="n"/>
      <c r="D349" s="5" t="n"/>
      <c r="E349" s="5" t="n"/>
      <c r="F349" s="5" t="n"/>
      <c r="G349" s="5" t="n"/>
      <c r="H349" s="6" t="n"/>
      <c r="I349" s="5" t="n"/>
      <c r="J349" s="5" t="n"/>
      <c r="K349" s="5" t="n"/>
      <c r="L349" s="5" t="n"/>
    </row>
    <row r="350">
      <c r="A350" s="5" t="n"/>
      <c r="B350" s="6" t="n"/>
      <c r="C350" s="5" t="n"/>
      <c r="D350" s="5" t="n"/>
      <c r="E350" s="5" t="n"/>
      <c r="F350" s="5" t="n"/>
      <c r="G350" s="5" t="n"/>
      <c r="H350" s="6" t="n"/>
      <c r="I350" s="5" t="n"/>
      <c r="J350" s="5" t="n"/>
      <c r="K350" s="5" t="n"/>
      <c r="L350" s="5" t="n"/>
    </row>
    <row r="351">
      <c r="A351" s="5" t="n"/>
      <c r="B351" s="6" t="n"/>
      <c r="C351" s="5" t="n"/>
      <c r="D351" s="5" t="n"/>
      <c r="E351" s="5" t="n"/>
      <c r="F351" s="5" t="n"/>
      <c r="G351" s="5" t="n"/>
      <c r="H351" s="6" t="n"/>
      <c r="I351" s="5" t="n"/>
      <c r="J351" s="5" t="n"/>
      <c r="K351" s="5" t="n"/>
      <c r="L351" s="5" t="n"/>
    </row>
    <row r="352">
      <c r="A352" s="5" t="n"/>
      <c r="B352" s="6" t="n"/>
      <c r="C352" s="5" t="n"/>
      <c r="D352" s="5" t="n"/>
      <c r="E352" s="5" t="n"/>
      <c r="F352" s="5" t="n"/>
      <c r="G352" s="5" t="n"/>
      <c r="H352" s="6" t="n"/>
      <c r="I352" s="5" t="n"/>
      <c r="J352" s="5" t="n"/>
      <c r="K352" s="5" t="n"/>
      <c r="L352" s="5" t="n"/>
    </row>
    <row r="353">
      <c r="A353" s="5" t="n"/>
      <c r="B353" s="6" t="n"/>
      <c r="C353" s="5" t="n"/>
      <c r="D353" s="5" t="n"/>
      <c r="E353" s="5" t="n"/>
      <c r="F353" s="5" t="n"/>
      <c r="G353" s="5" t="n"/>
      <c r="H353" s="6" t="n"/>
      <c r="I353" s="5" t="n"/>
      <c r="J353" s="5" t="n"/>
      <c r="K353" s="5" t="n"/>
      <c r="L353" s="5" t="n"/>
    </row>
    <row r="354">
      <c r="A354" s="5" t="n"/>
      <c r="B354" s="6" t="n"/>
      <c r="C354" s="5" t="n"/>
      <c r="D354" s="5" t="n"/>
      <c r="E354" s="5" t="n"/>
      <c r="F354" s="5" t="n"/>
      <c r="G354" s="5" t="n"/>
      <c r="H354" s="6" t="n"/>
      <c r="I354" s="5" t="n"/>
      <c r="J354" s="5" t="n"/>
      <c r="K354" s="5" t="n"/>
      <c r="L354" s="5" t="n"/>
    </row>
    <row r="355">
      <c r="A355" s="5" t="n"/>
      <c r="B355" s="6" t="n"/>
      <c r="C355" s="5" t="n"/>
      <c r="D355" s="5" t="n"/>
      <c r="E355" s="5" t="n"/>
      <c r="F355" s="5" t="n"/>
      <c r="G355" s="5" t="n"/>
      <c r="H355" s="6" t="n"/>
      <c r="I355" s="5" t="n"/>
      <c r="J355" s="5" t="n"/>
      <c r="K355" s="5" t="n"/>
      <c r="L355" s="5" t="n"/>
    </row>
    <row r="356">
      <c r="A356" s="5" t="n"/>
      <c r="B356" s="6" t="n"/>
      <c r="C356" s="5" t="n"/>
      <c r="D356" s="5" t="n"/>
      <c r="E356" s="5" t="n"/>
      <c r="F356" s="5" t="n"/>
      <c r="G356" s="5" t="n"/>
      <c r="H356" s="6" t="n"/>
      <c r="I356" s="5" t="n"/>
      <c r="J356" s="5" t="n"/>
      <c r="K356" s="5" t="n"/>
      <c r="L356" s="5" t="n"/>
    </row>
    <row r="357">
      <c r="A357" s="5" t="n"/>
      <c r="B357" s="6" t="n"/>
      <c r="C357" s="5" t="n"/>
      <c r="D357" s="5" t="n"/>
      <c r="E357" s="5" t="n"/>
      <c r="F357" s="5" t="n"/>
      <c r="G357" s="5" t="n"/>
      <c r="H357" s="6" t="n"/>
      <c r="I357" s="5" t="n"/>
      <c r="J357" s="5" t="n"/>
      <c r="K357" s="5" t="n"/>
      <c r="L357" s="5" t="n"/>
    </row>
    <row r="358">
      <c r="A358" s="5" t="n"/>
      <c r="B358" s="6" t="n"/>
      <c r="C358" s="5" t="n"/>
      <c r="D358" s="5" t="n"/>
      <c r="E358" s="5" t="n"/>
      <c r="F358" s="5" t="n"/>
      <c r="G358" s="5" t="n"/>
      <c r="H358" s="6" t="n"/>
      <c r="I358" s="5" t="n"/>
      <c r="J358" s="5" t="n"/>
      <c r="K358" s="5" t="n"/>
      <c r="L358" s="5" t="n"/>
    </row>
    <row r="359">
      <c r="A359" s="5" t="n"/>
      <c r="B359" s="6" t="n"/>
      <c r="C359" s="5" t="n"/>
      <c r="D359" s="5" t="n"/>
      <c r="E359" s="5" t="n"/>
      <c r="F359" s="5" t="n"/>
      <c r="G359" s="5" t="n"/>
      <c r="H359" s="6" t="n"/>
      <c r="I359" s="5" t="n"/>
      <c r="J359" s="5" t="n"/>
      <c r="K359" s="5" t="n"/>
      <c r="L359" s="5" t="n"/>
    </row>
    <row r="360">
      <c r="A360" s="5" t="n"/>
      <c r="B360" s="6" t="n"/>
      <c r="C360" s="5" t="n"/>
      <c r="D360" s="5" t="n"/>
      <c r="E360" s="5" t="n"/>
      <c r="F360" s="5" t="n"/>
      <c r="G360" s="5" t="n"/>
      <c r="H360" s="6" t="n"/>
      <c r="I360" s="5" t="n"/>
      <c r="J360" s="5" t="n"/>
      <c r="K360" s="5" t="n"/>
      <c r="L360" s="5" t="n"/>
    </row>
    <row r="361">
      <c r="A361" s="5" t="n"/>
      <c r="B361" s="6" t="n"/>
      <c r="C361" s="5" t="n"/>
      <c r="D361" s="5" t="n"/>
      <c r="E361" s="5" t="n"/>
      <c r="F361" s="5" t="n"/>
      <c r="G361" s="5" t="n"/>
      <c r="H361" s="6" t="n"/>
      <c r="I361" s="5" t="n"/>
      <c r="J361" s="5" t="n"/>
      <c r="K361" s="5" t="n"/>
      <c r="L361" s="5" t="n"/>
    </row>
    <row r="362">
      <c r="A362" s="5" t="n"/>
      <c r="B362" s="6" t="n"/>
      <c r="C362" s="5" t="n"/>
      <c r="D362" s="5" t="n"/>
      <c r="E362" s="5" t="n"/>
      <c r="F362" s="5" t="n"/>
      <c r="G362" s="5" t="n"/>
      <c r="H362" s="6" t="n"/>
      <c r="I362" s="5" t="n"/>
      <c r="J362" s="5" t="n"/>
      <c r="K362" s="5" t="n"/>
      <c r="L362" s="5" t="n"/>
    </row>
    <row r="363">
      <c r="A363" s="5" t="n"/>
      <c r="B363" s="6" t="n"/>
      <c r="C363" s="5" t="n"/>
      <c r="D363" s="5" t="n"/>
      <c r="E363" s="5" t="n"/>
      <c r="F363" s="5" t="n"/>
      <c r="G363" s="5" t="n"/>
      <c r="H363" s="6" t="n"/>
      <c r="I363" s="5" t="n"/>
      <c r="J363" s="5" t="n"/>
      <c r="K363" s="5" t="n"/>
      <c r="L363" s="5" t="n"/>
    </row>
    <row r="364">
      <c r="A364" s="5" t="n"/>
      <c r="B364" s="6" t="n"/>
      <c r="C364" s="5" t="n"/>
      <c r="D364" s="5" t="n"/>
      <c r="E364" s="5" t="n"/>
      <c r="F364" s="5" t="n"/>
      <c r="G364" s="5" t="n"/>
      <c r="H364" s="6" t="n"/>
      <c r="I364" s="5" t="n"/>
      <c r="J364" s="5" t="n"/>
      <c r="K364" s="5" t="n"/>
      <c r="L364" s="5" t="n"/>
    </row>
    <row r="365">
      <c r="A365" s="5" t="n"/>
      <c r="B365" s="6" t="n"/>
      <c r="C365" s="5" t="n"/>
      <c r="D365" s="5" t="n"/>
      <c r="E365" s="5" t="n"/>
      <c r="F365" s="5" t="n"/>
      <c r="G365" s="5" t="n"/>
      <c r="H365" s="6" t="n"/>
      <c r="I365" s="5" t="n"/>
      <c r="J365" s="5" t="n"/>
      <c r="K365" s="5" t="n"/>
      <c r="L365" s="5" t="n"/>
    </row>
    <row r="366">
      <c r="A366" s="5" t="n"/>
      <c r="B366" s="6" t="n"/>
      <c r="C366" s="5" t="n"/>
      <c r="D366" s="5" t="n"/>
      <c r="E366" s="5" t="n"/>
      <c r="F366" s="5" t="n"/>
      <c r="G366" s="5" t="n"/>
      <c r="H366" s="6" t="n"/>
      <c r="I366" s="5" t="n"/>
      <c r="J366" s="5" t="n"/>
      <c r="K366" s="5" t="n"/>
      <c r="L366" s="5" t="n"/>
    </row>
    <row r="367">
      <c r="A367" s="5" t="n"/>
      <c r="B367" s="6" t="n"/>
      <c r="C367" s="5" t="n"/>
      <c r="D367" s="5" t="n"/>
      <c r="E367" s="5" t="n"/>
      <c r="F367" s="5" t="n"/>
      <c r="G367" s="5" t="n"/>
      <c r="H367" s="6" t="n"/>
      <c r="I367" s="5" t="n"/>
      <c r="J367" s="5" t="n"/>
      <c r="K367" s="5" t="n"/>
      <c r="L367" s="5" t="n"/>
    </row>
    <row r="368">
      <c r="A368" s="5" t="n"/>
      <c r="B368" s="6" t="n"/>
      <c r="C368" s="5" t="n"/>
      <c r="D368" s="5" t="n"/>
      <c r="E368" s="5" t="n"/>
      <c r="F368" s="5" t="n"/>
      <c r="G368" s="5" t="n"/>
      <c r="H368" s="6" t="n"/>
      <c r="I368" s="5" t="n"/>
      <c r="J368" s="5" t="n"/>
      <c r="K368" s="5" t="n"/>
      <c r="L368" s="5" t="n"/>
    </row>
    <row r="369">
      <c r="A369" s="5" t="n"/>
      <c r="B369" s="6" t="n"/>
      <c r="C369" s="5" t="n"/>
      <c r="D369" s="5" t="n"/>
      <c r="E369" s="5" t="n"/>
      <c r="F369" s="5" t="n"/>
      <c r="G369" s="5" t="n"/>
      <c r="H369" s="6" t="n"/>
      <c r="I369" s="5" t="n"/>
      <c r="J369" s="5" t="n"/>
      <c r="K369" s="5" t="n"/>
      <c r="L369" s="5" t="n"/>
    </row>
    <row r="370">
      <c r="A370" s="5" t="n"/>
      <c r="B370" s="6" t="n"/>
      <c r="C370" s="5" t="n"/>
      <c r="D370" s="5" t="n"/>
      <c r="E370" s="5" t="n"/>
      <c r="F370" s="5" t="n"/>
      <c r="G370" s="5" t="n"/>
      <c r="H370" s="6" t="n"/>
      <c r="I370" s="5" t="n"/>
      <c r="J370" s="5" t="n"/>
      <c r="K370" s="5" t="n"/>
      <c r="L370" s="5" t="n"/>
    </row>
    <row r="371">
      <c r="A371" s="5" t="n"/>
      <c r="B371" s="6" t="n"/>
      <c r="C371" s="5" t="n"/>
      <c r="D371" s="5" t="n"/>
      <c r="E371" s="5" t="n"/>
      <c r="F371" s="5" t="n"/>
      <c r="G371" s="5" t="n"/>
      <c r="H371" s="6" t="n"/>
      <c r="I371" s="5" t="n"/>
      <c r="J371" s="5" t="n"/>
      <c r="K371" s="5" t="n"/>
      <c r="L371" s="5" t="n"/>
    </row>
    <row r="372">
      <c r="A372" s="5" t="n"/>
      <c r="B372" s="6" t="n"/>
      <c r="C372" s="5" t="n"/>
      <c r="D372" s="5" t="n"/>
      <c r="E372" s="5" t="n"/>
      <c r="F372" s="5" t="n"/>
      <c r="G372" s="5" t="n"/>
      <c r="H372" s="6" t="n"/>
      <c r="I372" s="5" t="n"/>
      <c r="J372" s="5" t="n"/>
      <c r="K372" s="5" t="n"/>
      <c r="L372" s="5" t="n"/>
    </row>
    <row r="373">
      <c r="A373" s="5" t="n"/>
      <c r="B373" s="6" t="n"/>
      <c r="C373" s="5" t="n"/>
      <c r="D373" s="5" t="n"/>
      <c r="E373" s="5" t="n"/>
      <c r="F373" s="5" t="n"/>
      <c r="G373" s="5" t="n"/>
      <c r="H373" s="6" t="n"/>
      <c r="I373" s="5" t="n"/>
      <c r="J373" s="5" t="n"/>
      <c r="K373" s="5" t="n"/>
      <c r="L373" s="5" t="n"/>
    </row>
    <row r="374">
      <c r="A374" s="5" t="n"/>
      <c r="B374" s="6" t="n"/>
      <c r="C374" s="5" t="n"/>
      <c r="D374" s="5" t="n"/>
      <c r="E374" s="5" t="n"/>
      <c r="F374" s="5" t="n"/>
      <c r="G374" s="5" t="n"/>
      <c r="H374" s="6" t="n"/>
      <c r="I374" s="5" t="n"/>
      <c r="J374" s="5" t="n"/>
      <c r="K374" s="5" t="n"/>
      <c r="L374" s="5" t="n"/>
    </row>
    <row r="375">
      <c r="A375" s="5" t="n"/>
      <c r="B375" s="6" t="n"/>
      <c r="C375" s="5" t="n"/>
      <c r="D375" s="5" t="n"/>
      <c r="E375" s="5" t="n"/>
      <c r="F375" s="5" t="n"/>
      <c r="G375" s="5" t="n"/>
      <c r="H375" s="6" t="n"/>
      <c r="I375" s="5" t="n"/>
      <c r="J375" s="5" t="n"/>
      <c r="K375" s="5" t="n"/>
      <c r="L375" s="5" t="n"/>
    </row>
    <row r="376">
      <c r="A376" s="5" t="n"/>
      <c r="B376" s="6" t="n"/>
      <c r="C376" s="5" t="n"/>
      <c r="D376" s="5" t="n"/>
      <c r="E376" s="5" t="n"/>
      <c r="F376" s="5" t="n"/>
      <c r="G376" s="5" t="n"/>
      <c r="H376" s="6" t="n"/>
      <c r="I376" s="5" t="n"/>
      <c r="J376" s="5" t="n"/>
      <c r="K376" s="5" t="n"/>
      <c r="L376" s="5" t="n"/>
    </row>
    <row r="377">
      <c r="A377" s="5" t="n"/>
      <c r="B377" s="6" t="n"/>
      <c r="C377" s="5" t="n"/>
      <c r="D377" s="5" t="n"/>
      <c r="E377" s="5" t="n"/>
      <c r="F377" s="5" t="n"/>
      <c r="G377" s="5" t="n"/>
      <c r="H377" s="6" t="n"/>
      <c r="I377" s="5" t="n"/>
      <c r="J377" s="5" t="n"/>
      <c r="K377" s="5" t="n"/>
      <c r="L377" s="5" t="n"/>
    </row>
    <row r="378">
      <c r="A378" s="5" t="n"/>
      <c r="B378" s="6" t="n"/>
      <c r="C378" s="5" t="n"/>
      <c r="D378" s="5" t="n"/>
      <c r="E378" s="5" t="n"/>
      <c r="F378" s="5" t="n"/>
      <c r="G378" s="5" t="n"/>
      <c r="H378" s="6" t="n"/>
      <c r="I378" s="5" t="n"/>
      <c r="J378" s="5" t="n"/>
      <c r="K378" s="5" t="n"/>
      <c r="L378" s="5" t="n"/>
    </row>
    <row r="379">
      <c r="A379" s="5" t="n"/>
      <c r="B379" s="6" t="n"/>
      <c r="C379" s="5" t="n"/>
      <c r="D379" s="5" t="n"/>
      <c r="E379" s="5" t="n"/>
      <c r="F379" s="5" t="n"/>
      <c r="G379" s="5" t="n"/>
      <c r="H379" s="6" t="n"/>
      <c r="I379" s="5" t="n"/>
      <c r="J379" s="5" t="n"/>
      <c r="K379" s="5" t="n"/>
      <c r="L379" s="5" t="n"/>
    </row>
    <row r="380">
      <c r="A380" s="5" t="n"/>
      <c r="B380" s="6" t="n"/>
      <c r="C380" s="5" t="n"/>
      <c r="D380" s="5" t="n"/>
      <c r="E380" s="5" t="n"/>
      <c r="F380" s="5" t="n"/>
      <c r="G380" s="5" t="n"/>
      <c r="H380" s="6" t="n"/>
      <c r="I380" s="5" t="n"/>
      <c r="J380" s="5" t="n"/>
      <c r="K380" s="5" t="n"/>
      <c r="L380" s="5" t="n"/>
    </row>
    <row r="381">
      <c r="A381" s="5" t="n"/>
      <c r="B381" s="6" t="n"/>
      <c r="C381" s="5" t="n"/>
      <c r="D381" s="5" t="n"/>
      <c r="E381" s="5" t="n"/>
      <c r="F381" s="5" t="n"/>
      <c r="G381" s="5" t="n"/>
      <c r="H381" s="6" t="n"/>
      <c r="I381" s="5" t="n"/>
      <c r="J381" s="5" t="n"/>
      <c r="K381" s="5" t="n"/>
      <c r="L381" s="5" t="n"/>
    </row>
    <row r="382">
      <c r="A382" s="5" t="n"/>
      <c r="B382" s="6" t="n"/>
      <c r="C382" s="5" t="n"/>
      <c r="D382" s="5" t="n"/>
      <c r="E382" s="5" t="n"/>
      <c r="F382" s="5" t="n"/>
      <c r="G382" s="5" t="n"/>
      <c r="H382" s="6" t="n"/>
      <c r="I382" s="5" t="n"/>
      <c r="J382" s="5" t="n"/>
      <c r="K382" s="5" t="n"/>
      <c r="L382" s="5" t="n"/>
    </row>
    <row r="383">
      <c r="A383" s="5" t="n"/>
      <c r="B383" s="6" t="n"/>
      <c r="C383" s="5" t="n"/>
      <c r="D383" s="5" t="n"/>
      <c r="E383" s="5" t="n"/>
      <c r="F383" s="5" t="n"/>
      <c r="G383" s="5" t="n"/>
      <c r="H383" s="6" t="n"/>
      <c r="I383" s="5" t="n"/>
      <c r="J383" s="5" t="n"/>
      <c r="K383" s="5" t="n"/>
      <c r="L383" s="5" t="n"/>
    </row>
    <row r="384">
      <c r="A384" s="5" t="n"/>
      <c r="B384" s="6" t="n"/>
      <c r="C384" s="5" t="n"/>
      <c r="D384" s="5" t="n"/>
      <c r="E384" s="5" t="n"/>
      <c r="F384" s="5" t="n"/>
      <c r="G384" s="5" t="n"/>
      <c r="H384" s="6" t="n"/>
      <c r="I384" s="5" t="n"/>
      <c r="J384" s="5" t="n"/>
      <c r="K384" s="5" t="n"/>
      <c r="L384" s="5" t="n"/>
    </row>
    <row r="385">
      <c r="A385" s="5" t="n"/>
      <c r="B385" s="6" t="n"/>
      <c r="C385" s="5" t="n"/>
      <c r="D385" s="5" t="n"/>
      <c r="E385" s="5" t="n"/>
      <c r="F385" s="5" t="n"/>
      <c r="G385" s="5" t="n"/>
      <c r="H385" s="6" t="n"/>
      <c r="I385" s="5" t="n"/>
      <c r="J385" s="5" t="n"/>
      <c r="K385" s="5" t="n"/>
      <c r="L385" s="5" t="n"/>
    </row>
    <row r="386">
      <c r="A386" s="5" t="n"/>
      <c r="B386" s="6" t="n"/>
      <c r="C386" s="5" t="n"/>
      <c r="D386" s="5" t="n"/>
      <c r="E386" s="5" t="n"/>
      <c r="F386" s="5" t="n"/>
      <c r="G386" s="5" t="n"/>
      <c r="H386" s="6" t="n"/>
      <c r="I386" s="5" t="n"/>
      <c r="J386" s="5" t="n"/>
      <c r="K386" s="5" t="n"/>
      <c r="L386" s="5" t="n"/>
    </row>
    <row r="387">
      <c r="A387" s="5" t="n"/>
      <c r="B387" s="6" t="n"/>
      <c r="C387" s="5" t="n"/>
      <c r="D387" s="5" t="n"/>
      <c r="E387" s="5" t="n"/>
      <c r="F387" s="5" t="n"/>
      <c r="G387" s="5" t="n"/>
      <c r="H387" s="6" t="n"/>
      <c r="I387" s="5" t="n"/>
      <c r="J387" s="5" t="n"/>
      <c r="K387" s="5" t="n"/>
      <c r="L387" s="5" t="n"/>
    </row>
    <row r="388">
      <c r="A388" s="5" t="n"/>
      <c r="B388" s="6" t="n"/>
      <c r="C388" s="5" t="n"/>
      <c r="D388" s="5" t="n"/>
      <c r="E388" s="5" t="n"/>
      <c r="F388" s="5" t="n"/>
      <c r="G388" s="5" t="n"/>
      <c r="H388" s="6" t="n"/>
      <c r="I388" s="5" t="n"/>
      <c r="J388" s="5" t="n"/>
      <c r="K388" s="5" t="n"/>
      <c r="L388" s="5" t="n"/>
    </row>
    <row r="389">
      <c r="A389" s="5" t="n"/>
      <c r="B389" s="6" t="n"/>
      <c r="C389" s="5" t="n"/>
      <c r="D389" s="5" t="n"/>
      <c r="E389" s="5" t="n"/>
      <c r="F389" s="5" t="n"/>
      <c r="G389" s="5" t="n"/>
      <c r="H389" s="6" t="n"/>
      <c r="I389" s="5" t="n"/>
      <c r="J389" s="5" t="n"/>
      <c r="K389" s="5" t="n"/>
      <c r="L389" s="5" t="n"/>
    </row>
    <row r="390">
      <c r="A390" s="5" t="n"/>
      <c r="B390" s="6" t="n"/>
      <c r="C390" s="5" t="n"/>
      <c r="D390" s="5" t="n"/>
      <c r="E390" s="5" t="n"/>
      <c r="F390" s="5" t="n"/>
      <c r="G390" s="5" t="n"/>
      <c r="H390" s="6" t="n"/>
      <c r="I390" s="5" t="n"/>
      <c r="J390" s="5" t="n"/>
      <c r="K390" s="5" t="n"/>
      <c r="L390" s="5" t="n"/>
    </row>
    <row r="391">
      <c r="A391" s="5" t="n"/>
      <c r="B391" s="6" t="n"/>
      <c r="C391" s="5" t="n"/>
      <c r="D391" s="5" t="n"/>
      <c r="E391" s="5" t="n"/>
      <c r="F391" s="5" t="n"/>
      <c r="G391" s="5" t="n"/>
      <c r="H391" s="6" t="n"/>
      <c r="I391" s="5" t="n"/>
      <c r="J391" s="5" t="n"/>
      <c r="K391" s="5" t="n"/>
      <c r="L391" s="5" t="n"/>
    </row>
    <row r="392">
      <c r="A392" s="5" t="n"/>
      <c r="B392" s="6" t="n"/>
      <c r="C392" s="5" t="n"/>
      <c r="D392" s="5" t="n"/>
      <c r="E392" s="5" t="n"/>
      <c r="F392" s="5" t="n"/>
      <c r="G392" s="5" t="n"/>
      <c r="H392" s="6" t="n"/>
      <c r="I392" s="5" t="n"/>
      <c r="J392" s="5" t="n"/>
      <c r="K392" s="5" t="n"/>
      <c r="L392" s="5" t="n"/>
    </row>
    <row r="393">
      <c r="A393" s="5" t="n"/>
      <c r="B393" s="6" t="n"/>
      <c r="C393" s="5" t="n"/>
      <c r="D393" s="5" t="n"/>
      <c r="E393" s="5" t="n"/>
      <c r="F393" s="5" t="n"/>
      <c r="G393" s="5" t="n"/>
      <c r="H393" s="6" t="n"/>
      <c r="I393" s="5" t="n"/>
      <c r="J393" s="5" t="n"/>
      <c r="K393" s="5" t="n"/>
      <c r="L393" s="5" t="n"/>
    </row>
    <row r="394">
      <c r="A394" s="5" t="n"/>
      <c r="B394" s="6" t="n"/>
      <c r="C394" s="5" t="n"/>
      <c r="D394" s="5" t="n"/>
      <c r="E394" s="5" t="n"/>
      <c r="F394" s="5" t="n"/>
      <c r="G394" s="5" t="n"/>
      <c r="H394" s="6" t="n"/>
      <c r="I394" s="5" t="n"/>
      <c r="J394" s="5" t="n"/>
      <c r="K394" s="5" t="n"/>
      <c r="L394" s="5" t="n"/>
    </row>
    <row r="395">
      <c r="A395" s="5" t="n"/>
      <c r="B395" s="6" t="n"/>
      <c r="C395" s="5" t="n"/>
      <c r="D395" s="5" t="n"/>
      <c r="E395" s="5" t="n"/>
      <c r="F395" s="5" t="n"/>
      <c r="G395" s="5" t="n"/>
      <c r="H395" s="6" t="n"/>
      <c r="I395" s="5" t="n"/>
      <c r="J395" s="5" t="n"/>
      <c r="K395" s="5" t="n"/>
      <c r="L395" s="5" t="n"/>
    </row>
    <row r="396">
      <c r="A396" s="5" t="n"/>
      <c r="B396" s="6" t="n"/>
      <c r="C396" s="5" t="n"/>
      <c r="D396" s="5" t="n"/>
      <c r="E396" s="5" t="n"/>
      <c r="F396" s="5" t="n"/>
      <c r="G396" s="5" t="n"/>
      <c r="H396" s="6" t="n"/>
      <c r="I396" s="5" t="n"/>
      <c r="J396" s="5" t="n"/>
      <c r="K396" s="5" t="n"/>
      <c r="L396" s="5" t="n"/>
    </row>
    <row r="397">
      <c r="A397" s="5" t="n"/>
      <c r="B397" s="6" t="n"/>
      <c r="C397" s="5" t="n"/>
      <c r="D397" s="5" t="n"/>
      <c r="E397" s="5" t="n"/>
      <c r="F397" s="5" t="n"/>
      <c r="G397" s="5" t="n"/>
      <c r="H397" s="6" t="n"/>
      <c r="I397" s="5" t="n"/>
      <c r="J397" s="5" t="n"/>
      <c r="K397" s="5" t="n"/>
      <c r="L397" s="5" t="n"/>
    </row>
    <row r="398">
      <c r="A398" s="5" t="n"/>
      <c r="B398" s="6" t="n"/>
      <c r="C398" s="5" t="n"/>
      <c r="D398" s="5" t="n"/>
      <c r="E398" s="5" t="n"/>
      <c r="F398" s="5" t="n"/>
      <c r="G398" s="5" t="n"/>
      <c r="H398" s="6" t="n"/>
      <c r="I398" s="5" t="n"/>
      <c r="J398" s="5" t="n"/>
      <c r="K398" s="5" t="n"/>
      <c r="L398" s="5" t="n"/>
    </row>
    <row r="399">
      <c r="A399" s="5" t="n"/>
      <c r="B399" s="6" t="n"/>
      <c r="C399" s="5" t="n"/>
      <c r="D399" s="5" t="n"/>
      <c r="E399" s="5" t="n"/>
      <c r="F399" s="5" t="n"/>
      <c r="G399" s="5" t="n"/>
      <c r="H399" s="6" t="n"/>
      <c r="I399" s="5" t="n"/>
      <c r="J399" s="5" t="n"/>
      <c r="K399" s="5" t="n"/>
      <c r="L399" s="5" t="n"/>
    </row>
    <row r="400">
      <c r="A400" s="5" t="n"/>
      <c r="B400" s="6" t="n"/>
      <c r="C400" s="5" t="n"/>
      <c r="D400" s="5" t="n"/>
      <c r="E400" s="5" t="n"/>
      <c r="F400" s="5" t="n"/>
      <c r="G400" s="5" t="n"/>
      <c r="H400" s="6" t="n"/>
      <c r="I400" s="5" t="n"/>
      <c r="J400" s="5" t="n"/>
      <c r="K400" s="5" t="n"/>
      <c r="L400" s="5" t="n"/>
    </row>
    <row r="401">
      <c r="A401" s="5" t="n"/>
      <c r="B401" s="6" t="n"/>
      <c r="C401" s="5" t="n"/>
      <c r="D401" s="5" t="n"/>
      <c r="E401" s="5" t="n"/>
      <c r="F401" s="5" t="n"/>
      <c r="G401" s="5" t="n"/>
      <c r="H401" s="6" t="n"/>
      <c r="I401" s="5" t="n"/>
      <c r="J401" s="5" t="n"/>
      <c r="K401" s="5" t="n"/>
      <c r="L401" s="5" t="n"/>
    </row>
    <row r="402">
      <c r="A402" s="5" t="n"/>
      <c r="B402" s="6" t="n"/>
      <c r="C402" s="5" t="n"/>
      <c r="D402" s="5" t="n"/>
      <c r="E402" s="5" t="n"/>
      <c r="F402" s="5" t="n"/>
      <c r="G402" s="5" t="n"/>
      <c r="H402" s="6" t="n"/>
      <c r="I402" s="5" t="n"/>
      <c r="J402" s="5" t="n"/>
      <c r="K402" s="5" t="n"/>
      <c r="L402" s="5" t="n"/>
    </row>
    <row r="403">
      <c r="A403" s="5" t="n"/>
      <c r="B403" s="6" t="n"/>
      <c r="C403" s="5" t="n"/>
      <c r="D403" s="5" t="n"/>
      <c r="E403" s="5" t="n"/>
      <c r="F403" s="5" t="n"/>
      <c r="G403" s="5" t="n"/>
      <c r="H403" s="6" t="n"/>
      <c r="I403" s="5" t="n"/>
      <c r="J403" s="5" t="n"/>
      <c r="K403" s="5" t="n"/>
      <c r="L403" s="5" t="n"/>
    </row>
    <row r="404">
      <c r="A404" s="5" t="n"/>
      <c r="B404" s="6" t="n"/>
      <c r="C404" s="5" t="n"/>
      <c r="D404" s="5" t="n"/>
      <c r="E404" s="5" t="n"/>
      <c r="F404" s="5" t="n"/>
      <c r="G404" s="5" t="n"/>
      <c r="H404" s="6" t="n"/>
      <c r="I404" s="5" t="n"/>
      <c r="J404" s="5" t="n"/>
      <c r="K404" s="5" t="n"/>
      <c r="L404" s="5" t="n"/>
    </row>
    <row r="405">
      <c r="A405" s="5" t="n"/>
      <c r="B405" s="6" t="n"/>
      <c r="C405" s="5" t="n"/>
      <c r="D405" s="5" t="n"/>
      <c r="E405" s="5" t="n"/>
      <c r="F405" s="5" t="n"/>
      <c r="G405" s="5" t="n"/>
      <c r="H405" s="6" t="n"/>
      <c r="I405" s="5" t="n"/>
      <c r="J405" s="5" t="n"/>
      <c r="K405" s="5" t="n"/>
      <c r="L405" s="5" t="n"/>
    </row>
    <row r="406">
      <c r="A406" s="5" t="n"/>
      <c r="B406" s="6" t="n"/>
      <c r="C406" s="5" t="n"/>
      <c r="D406" s="5" t="n"/>
      <c r="E406" s="5" t="n"/>
      <c r="F406" s="5" t="n"/>
      <c r="G406" s="5" t="n"/>
      <c r="H406" s="6" t="n"/>
      <c r="I406" s="5" t="n"/>
      <c r="J406" s="5" t="n"/>
      <c r="K406" s="5" t="n"/>
      <c r="L406" s="5" t="n"/>
    </row>
    <row r="407">
      <c r="A407" s="5" t="n"/>
      <c r="B407" s="6" t="n"/>
      <c r="C407" s="5" t="n"/>
      <c r="D407" s="5" t="n"/>
      <c r="E407" s="5" t="n"/>
      <c r="F407" s="5" t="n"/>
      <c r="G407" s="5" t="n"/>
      <c r="H407" s="6" t="n"/>
      <c r="I407" s="5" t="n"/>
      <c r="J407" s="5" t="n"/>
      <c r="K407" s="5" t="n"/>
      <c r="L407" s="5" t="n"/>
    </row>
    <row r="408">
      <c r="A408" s="5" t="n"/>
      <c r="B408" s="6" t="n"/>
      <c r="C408" s="5" t="n"/>
      <c r="D408" s="5" t="n"/>
      <c r="E408" s="5" t="n"/>
      <c r="F408" s="5" t="n"/>
      <c r="G408" s="5" t="n"/>
      <c r="H408" s="6" t="n"/>
      <c r="I408" s="5" t="n"/>
      <c r="J408" s="5" t="n"/>
      <c r="K408" s="5" t="n"/>
      <c r="L408" s="5" t="n"/>
    </row>
    <row r="409">
      <c r="A409" s="5" t="n"/>
      <c r="B409" s="6" t="n"/>
      <c r="C409" s="5" t="n"/>
      <c r="D409" s="5" t="n"/>
      <c r="E409" s="5" t="n"/>
      <c r="F409" s="5" t="n"/>
      <c r="G409" s="5" t="n"/>
      <c r="H409" s="6" t="n"/>
      <c r="I409" s="5" t="n"/>
      <c r="J409" s="5" t="n"/>
      <c r="K409" s="5" t="n"/>
      <c r="L409" s="5" t="n"/>
    </row>
    <row r="410">
      <c r="A410" s="5" t="n"/>
      <c r="B410" s="6" t="n"/>
      <c r="C410" s="5" t="n"/>
      <c r="D410" s="5" t="n"/>
      <c r="E410" s="5" t="n"/>
      <c r="F410" s="5" t="n"/>
      <c r="G410" s="5" t="n"/>
      <c r="H410" s="6" t="n"/>
      <c r="I410" s="5" t="n"/>
      <c r="J410" s="5" t="n"/>
      <c r="K410" s="5" t="n"/>
      <c r="L410" s="5" t="n"/>
    </row>
    <row r="411">
      <c r="A411" s="5" t="n"/>
      <c r="B411" s="6" t="n"/>
      <c r="C411" s="5" t="n"/>
      <c r="D411" s="5" t="n"/>
      <c r="E411" s="5" t="n"/>
      <c r="F411" s="5" t="n"/>
      <c r="G411" s="5" t="n"/>
      <c r="H411" s="6" t="n"/>
      <c r="I411" s="5" t="n"/>
      <c r="J411" s="5" t="n"/>
      <c r="K411" s="5" t="n"/>
      <c r="L411" s="5" t="n"/>
    </row>
    <row r="412">
      <c r="A412" s="5" t="n"/>
      <c r="B412" s="6" t="n"/>
      <c r="C412" s="5" t="n"/>
      <c r="D412" s="5" t="n"/>
      <c r="E412" s="5" t="n"/>
      <c r="F412" s="5" t="n"/>
      <c r="G412" s="5" t="n"/>
      <c r="H412" s="6" t="n"/>
      <c r="I412" s="5" t="n"/>
      <c r="J412" s="5" t="n"/>
      <c r="K412" s="5" t="n"/>
      <c r="L412" s="5" t="n"/>
    </row>
    <row r="413">
      <c r="A413" s="5" t="n"/>
      <c r="B413" s="6" t="n"/>
      <c r="C413" s="5" t="n"/>
      <c r="D413" s="5" t="n"/>
      <c r="E413" s="5" t="n"/>
      <c r="F413" s="5" t="n"/>
      <c r="G413" s="5" t="n"/>
      <c r="H413" s="6" t="n"/>
      <c r="I413" s="5" t="n"/>
      <c r="J413" s="5" t="n"/>
      <c r="K413" s="5" t="n"/>
      <c r="L413" s="5" t="n"/>
    </row>
    <row r="414">
      <c r="A414" s="5" t="n"/>
      <c r="B414" s="6" t="n"/>
      <c r="C414" s="5" t="n"/>
      <c r="D414" s="5" t="n"/>
      <c r="E414" s="5" t="n"/>
      <c r="F414" s="5" t="n"/>
      <c r="G414" s="5" t="n"/>
      <c r="H414" s="6" t="n"/>
      <c r="I414" s="5" t="n"/>
      <c r="J414" s="5" t="n"/>
      <c r="K414" s="5" t="n"/>
      <c r="L414" s="5" t="n"/>
    </row>
    <row r="415">
      <c r="A415" s="5" t="n"/>
      <c r="B415" s="6" t="n"/>
      <c r="C415" s="5" t="n"/>
      <c r="D415" s="5" t="n"/>
      <c r="E415" s="5" t="n"/>
      <c r="F415" s="5" t="n"/>
      <c r="G415" s="5" t="n"/>
      <c r="H415" s="6" t="n"/>
      <c r="I415" s="5" t="n"/>
      <c r="J415" s="5" t="n"/>
      <c r="K415" s="5" t="n"/>
      <c r="L415" s="5" t="n"/>
    </row>
    <row r="416">
      <c r="A416" s="5" t="n"/>
      <c r="B416" s="6" t="n"/>
      <c r="C416" s="5" t="n"/>
      <c r="D416" s="5" t="n"/>
      <c r="E416" s="5" t="n"/>
      <c r="F416" s="5" t="n"/>
      <c r="G416" s="5" t="n"/>
      <c r="H416" s="6" t="n"/>
      <c r="I416" s="5" t="n"/>
      <c r="J416" s="5" t="n"/>
      <c r="K416" s="5" t="n"/>
      <c r="L416" s="5" t="n"/>
    </row>
    <row r="417">
      <c r="A417" s="5" t="n"/>
      <c r="B417" s="6" t="n"/>
      <c r="C417" s="5" t="n"/>
      <c r="D417" s="5" t="n"/>
      <c r="E417" s="5" t="n"/>
      <c r="F417" s="5" t="n"/>
      <c r="G417" s="5" t="n"/>
      <c r="H417" s="6" t="n"/>
      <c r="I417" s="5" t="n"/>
      <c r="J417" s="5" t="n"/>
      <c r="K417" s="5" t="n"/>
      <c r="L417" s="5" t="n"/>
    </row>
    <row r="418">
      <c r="A418" s="5" t="n"/>
      <c r="B418" s="6" t="n"/>
      <c r="C418" s="5" t="n"/>
      <c r="D418" s="5" t="n"/>
      <c r="E418" s="5" t="n"/>
      <c r="F418" s="5" t="n"/>
      <c r="G418" s="5" t="n"/>
      <c r="H418" s="6" t="n"/>
      <c r="I418" s="5" t="n"/>
      <c r="J418" s="5" t="n"/>
      <c r="K418" s="5" t="n"/>
      <c r="L418" s="5" t="n"/>
    </row>
    <row r="419">
      <c r="A419" s="5" t="n"/>
      <c r="B419" s="6" t="n"/>
      <c r="C419" s="5" t="n"/>
      <c r="D419" s="5" t="n"/>
      <c r="E419" s="5" t="n"/>
      <c r="F419" s="5" t="n"/>
      <c r="G419" s="5" t="n"/>
      <c r="H419" s="6" t="n"/>
      <c r="I419" s="5" t="n"/>
      <c r="J419" s="5" t="n"/>
      <c r="K419" s="5" t="n"/>
      <c r="L419" s="5" t="n"/>
    </row>
    <row r="420">
      <c r="A420" s="5" t="n"/>
      <c r="B420" s="6" t="n"/>
      <c r="C420" s="5" t="n"/>
      <c r="D420" s="5" t="n"/>
      <c r="E420" s="5" t="n"/>
      <c r="F420" s="5" t="n"/>
      <c r="G420" s="5" t="n"/>
      <c r="H420" s="6" t="n"/>
      <c r="I420" s="5" t="n"/>
      <c r="J420" s="5" t="n"/>
      <c r="K420" s="5" t="n"/>
      <c r="L420" s="5" t="n"/>
    </row>
    <row r="421">
      <c r="A421" s="5" t="n"/>
      <c r="B421" s="6" t="n"/>
      <c r="C421" s="5" t="n"/>
      <c r="D421" s="5" t="n"/>
      <c r="E421" s="5" t="n"/>
      <c r="F421" s="5" t="n"/>
      <c r="G421" s="5" t="n"/>
      <c r="H421" s="6" t="n"/>
      <c r="I421" s="5" t="n"/>
      <c r="J421" s="5" t="n"/>
      <c r="K421" s="5" t="n"/>
      <c r="L421" s="5" t="n"/>
    </row>
    <row r="422">
      <c r="A422" s="5" t="n"/>
      <c r="B422" s="6" t="n"/>
      <c r="C422" s="5" t="n"/>
      <c r="D422" s="5" t="n"/>
      <c r="E422" s="5" t="n"/>
      <c r="F422" s="5" t="n"/>
      <c r="G422" s="5" t="n"/>
      <c r="H422" s="6" t="n"/>
      <c r="I422" s="5" t="n"/>
      <c r="J422" s="5" t="n"/>
      <c r="K422" s="5" t="n"/>
      <c r="L422" s="5" t="n"/>
    </row>
    <row r="423">
      <c r="A423" s="5" t="n"/>
      <c r="B423" s="6" t="n"/>
      <c r="C423" s="5" t="n"/>
      <c r="D423" s="5" t="n"/>
      <c r="E423" s="5" t="n"/>
      <c r="F423" s="5" t="n"/>
      <c r="G423" s="5" t="n"/>
      <c r="H423" s="6" t="n"/>
      <c r="I423" s="5" t="n"/>
      <c r="J423" s="5" t="n"/>
      <c r="K423" s="5" t="n"/>
      <c r="L423" s="5" t="n"/>
    </row>
    <row r="424">
      <c r="A424" s="5" t="n"/>
      <c r="B424" s="6" t="n"/>
      <c r="C424" s="5" t="n"/>
      <c r="D424" s="5" t="n"/>
      <c r="E424" s="5" t="n"/>
      <c r="F424" s="5" t="n"/>
      <c r="G424" s="5" t="n"/>
      <c r="H424" s="6" t="n"/>
      <c r="I424" s="5" t="n"/>
      <c r="J424" s="5" t="n"/>
      <c r="K424" s="5" t="n"/>
      <c r="L424" s="5" t="n"/>
    </row>
    <row r="425">
      <c r="A425" s="5" t="n"/>
      <c r="B425" s="6" t="n"/>
      <c r="C425" s="5" t="n"/>
      <c r="D425" s="5" t="n"/>
      <c r="E425" s="5" t="n"/>
      <c r="F425" s="5" t="n"/>
      <c r="G425" s="5" t="n"/>
      <c r="H425" s="6" t="n"/>
      <c r="I425" s="5" t="n"/>
      <c r="J425" s="5" t="n"/>
      <c r="K425" s="5" t="n"/>
      <c r="L425" s="5" t="n"/>
    </row>
    <row r="426">
      <c r="A426" s="5" t="n"/>
      <c r="B426" s="6" t="n"/>
      <c r="C426" s="5" t="n"/>
      <c r="D426" s="5" t="n"/>
      <c r="E426" s="5" t="n"/>
      <c r="F426" s="5" t="n"/>
      <c r="G426" s="5" t="n"/>
      <c r="H426" s="6" t="n"/>
      <c r="I426" s="5" t="n"/>
      <c r="J426" s="5" t="n"/>
      <c r="K426" s="5" t="n"/>
      <c r="L426" s="5" t="n"/>
    </row>
    <row r="427">
      <c r="A427" s="5" t="n"/>
      <c r="B427" s="6" t="n"/>
      <c r="C427" s="5" t="n"/>
      <c r="D427" s="5" t="n"/>
      <c r="E427" s="5" t="n"/>
      <c r="F427" s="5" t="n"/>
      <c r="G427" s="5" t="n"/>
      <c r="H427" s="6" t="n"/>
      <c r="I427" s="5" t="n"/>
      <c r="J427" s="5" t="n"/>
      <c r="K427" s="5" t="n"/>
      <c r="L427" s="5" t="n"/>
    </row>
    <row r="428">
      <c r="A428" s="5" t="n"/>
      <c r="B428" s="6" t="n"/>
      <c r="C428" s="5" t="n"/>
      <c r="D428" s="5" t="n"/>
      <c r="E428" s="5" t="n"/>
      <c r="F428" s="5" t="n"/>
      <c r="G428" s="5" t="n"/>
      <c r="H428" s="6" t="n"/>
      <c r="I428" s="5" t="n"/>
      <c r="J428" s="5" t="n"/>
      <c r="K428" s="5" t="n"/>
      <c r="L428" s="5" t="n"/>
    </row>
    <row r="429">
      <c r="A429" s="5" t="n"/>
      <c r="B429" s="6" t="n"/>
      <c r="C429" s="5" t="n"/>
      <c r="D429" s="5" t="n"/>
      <c r="E429" s="5" t="n"/>
      <c r="F429" s="5" t="n"/>
      <c r="G429" s="5" t="n"/>
      <c r="H429" s="6" t="n"/>
      <c r="I429" s="5" t="n"/>
      <c r="J429" s="5" t="n"/>
      <c r="K429" s="5" t="n"/>
      <c r="L429" s="5" t="n"/>
    </row>
    <row r="430">
      <c r="A430" s="5" t="n"/>
      <c r="B430" s="6" t="n"/>
      <c r="C430" s="5" t="n"/>
      <c r="D430" s="5" t="n"/>
      <c r="E430" s="5" t="n"/>
      <c r="F430" s="5" t="n"/>
      <c r="G430" s="5" t="n"/>
      <c r="H430" s="6" t="n"/>
      <c r="I430" s="5" t="n"/>
      <c r="J430" s="5" t="n"/>
      <c r="K430" s="5" t="n"/>
      <c r="L430" s="5" t="n"/>
    </row>
    <row r="431">
      <c r="A431" s="5" t="n"/>
      <c r="B431" s="6" t="n"/>
      <c r="C431" s="5" t="n"/>
      <c r="D431" s="5" t="n"/>
      <c r="E431" s="5" t="n"/>
      <c r="F431" s="5" t="n"/>
      <c r="G431" s="5" t="n"/>
      <c r="H431" s="6" t="n"/>
      <c r="I431" s="5" t="n"/>
      <c r="J431" s="5" t="n"/>
      <c r="K431" s="5" t="n"/>
      <c r="L431" s="5" t="n"/>
    </row>
    <row r="432">
      <c r="A432" s="5" t="n"/>
      <c r="B432" s="6" t="n"/>
      <c r="C432" s="5" t="n"/>
      <c r="D432" s="5" t="n"/>
      <c r="E432" s="5" t="n"/>
      <c r="F432" s="5" t="n"/>
      <c r="G432" s="5" t="n"/>
      <c r="H432" s="6" t="n"/>
      <c r="I432" s="5" t="n"/>
      <c r="J432" s="5" t="n"/>
      <c r="K432" s="5" t="n"/>
      <c r="L432" s="5" t="n"/>
    </row>
    <row r="433">
      <c r="A433" s="5" t="n"/>
      <c r="B433" s="6" t="n"/>
      <c r="C433" s="5" t="n"/>
      <c r="D433" s="5" t="n"/>
      <c r="E433" s="5" t="n"/>
      <c r="F433" s="5" t="n"/>
      <c r="G433" s="5" t="n"/>
      <c r="H433" s="6" t="n"/>
      <c r="I433" s="5" t="n"/>
      <c r="J433" s="5" t="n"/>
      <c r="K433" s="5" t="n"/>
      <c r="L433" s="5" t="n"/>
    </row>
    <row r="434">
      <c r="A434" s="5" t="n"/>
      <c r="B434" s="6" t="n"/>
      <c r="C434" s="5" t="n"/>
      <c r="D434" s="5" t="n"/>
      <c r="E434" s="5" t="n"/>
      <c r="F434" s="5" t="n"/>
      <c r="G434" s="5" t="n"/>
      <c r="H434" s="6" t="n"/>
      <c r="I434" s="5" t="n"/>
      <c r="J434" s="5" t="n"/>
      <c r="K434" s="5" t="n"/>
      <c r="L434" s="5" t="n"/>
    </row>
    <row r="435">
      <c r="A435" s="5" t="n"/>
      <c r="B435" s="6" t="n"/>
      <c r="C435" s="5" t="n"/>
      <c r="D435" s="5" t="n"/>
      <c r="E435" s="5" t="n"/>
      <c r="F435" s="5" t="n"/>
      <c r="G435" s="5" t="n"/>
      <c r="H435" s="6" t="n"/>
      <c r="I435" s="5" t="n"/>
      <c r="J435" s="5" t="n"/>
      <c r="K435" s="5" t="n"/>
      <c r="L435" s="5" t="n"/>
    </row>
    <row r="436">
      <c r="A436" s="5" t="n"/>
      <c r="B436" s="6" t="n"/>
      <c r="C436" s="5" t="n"/>
      <c r="D436" s="5" t="n"/>
      <c r="E436" s="5" t="n"/>
      <c r="F436" s="5" t="n"/>
      <c r="G436" s="5" t="n"/>
      <c r="H436" s="6" t="n"/>
      <c r="I436" s="5" t="n"/>
      <c r="J436" s="5" t="n"/>
      <c r="K436" s="5" t="n"/>
      <c r="L436" s="5" t="n"/>
    </row>
    <row r="437">
      <c r="A437" s="5" t="n"/>
      <c r="B437" s="6" t="n"/>
      <c r="C437" s="5" t="n"/>
      <c r="D437" s="5" t="n"/>
      <c r="E437" s="5" t="n"/>
      <c r="F437" s="5" t="n"/>
      <c r="G437" s="5" t="n"/>
      <c r="H437" s="6" t="n"/>
      <c r="I437" s="5" t="n"/>
      <c r="J437" s="5" t="n"/>
      <c r="K437" s="5" t="n"/>
      <c r="L437" s="5" t="n"/>
    </row>
    <row r="438">
      <c r="A438" s="5" t="n"/>
      <c r="B438" s="6" t="n"/>
      <c r="C438" s="5" t="n"/>
      <c r="D438" s="5" t="n"/>
      <c r="E438" s="5" t="n"/>
      <c r="F438" s="5" t="n"/>
      <c r="G438" s="5" t="n"/>
      <c r="H438" s="6" t="n"/>
      <c r="I438" s="5" t="n"/>
      <c r="J438" s="5" t="n"/>
      <c r="K438" s="5" t="n"/>
      <c r="L438" s="5" t="n"/>
    </row>
    <row r="439">
      <c r="A439" s="5" t="n"/>
      <c r="B439" s="6" t="n"/>
      <c r="C439" s="5" t="n"/>
      <c r="D439" s="5" t="n"/>
      <c r="E439" s="5" t="n"/>
      <c r="F439" s="5" t="n"/>
      <c r="G439" s="5" t="n"/>
      <c r="H439" s="6" t="n"/>
      <c r="I439" s="5" t="n"/>
      <c r="J439" s="5" t="n"/>
      <c r="K439" s="5" t="n"/>
      <c r="L439" s="5" t="n"/>
    </row>
    <row r="440">
      <c r="A440" s="5" t="n"/>
      <c r="B440" s="6" t="n"/>
      <c r="C440" s="5" t="n"/>
      <c r="D440" s="5" t="n"/>
      <c r="E440" s="5" t="n"/>
      <c r="F440" s="5" t="n"/>
      <c r="G440" s="5" t="n"/>
      <c r="H440" s="6" t="n"/>
      <c r="I440" s="5" t="n"/>
      <c r="J440" s="5" t="n"/>
      <c r="K440" s="5" t="n"/>
      <c r="L440" s="5" t="n"/>
    </row>
    <row r="441">
      <c r="A441" s="5" t="n"/>
      <c r="B441" s="6" t="n"/>
      <c r="C441" s="5" t="n"/>
      <c r="D441" s="5" t="n"/>
      <c r="E441" s="5" t="n"/>
      <c r="F441" s="5" t="n"/>
      <c r="G441" s="5" t="n"/>
      <c r="H441" s="6" t="n"/>
      <c r="I441" s="5" t="n"/>
      <c r="J441" s="5" t="n"/>
      <c r="K441" s="5" t="n"/>
      <c r="L441" s="5" t="n"/>
    </row>
    <row r="442">
      <c r="A442" s="5" t="n"/>
      <c r="B442" s="6" t="n"/>
      <c r="C442" s="5" t="n"/>
      <c r="D442" s="5" t="n"/>
      <c r="E442" s="5" t="n"/>
      <c r="F442" s="5" t="n"/>
      <c r="G442" s="5" t="n"/>
      <c r="H442" s="6" t="n"/>
      <c r="I442" s="5" t="n"/>
      <c r="J442" s="5" t="n"/>
      <c r="K442" s="5" t="n"/>
      <c r="L442" s="5" t="n"/>
    </row>
    <row r="443">
      <c r="A443" s="5" t="n"/>
      <c r="B443" s="6" t="n"/>
      <c r="C443" s="5" t="n"/>
      <c r="D443" s="5" t="n"/>
      <c r="E443" s="5" t="n"/>
      <c r="F443" s="5" t="n"/>
      <c r="G443" s="5" t="n"/>
      <c r="H443" s="6" t="n"/>
      <c r="I443" s="5" t="n"/>
      <c r="J443" s="5" t="n"/>
      <c r="K443" s="5" t="n"/>
      <c r="L443" s="5" t="n"/>
    </row>
    <row r="444">
      <c r="A444" s="5" t="n"/>
      <c r="B444" s="6" t="n"/>
      <c r="C444" s="5" t="n"/>
      <c r="D444" s="5" t="n"/>
      <c r="E444" s="5" t="n"/>
      <c r="F444" s="5" t="n"/>
      <c r="G444" s="5" t="n"/>
      <c r="H444" s="6" t="n"/>
      <c r="I444" s="5" t="n"/>
      <c r="J444" s="5" t="n"/>
      <c r="K444" s="5" t="n"/>
      <c r="L444" s="5" t="n"/>
    </row>
    <row r="445">
      <c r="A445" s="5" t="n"/>
      <c r="B445" s="6" t="n"/>
      <c r="C445" s="5" t="n"/>
      <c r="D445" s="5" t="n"/>
      <c r="E445" s="5" t="n"/>
      <c r="F445" s="5" t="n"/>
      <c r="G445" s="5" t="n"/>
      <c r="H445" s="6" t="n"/>
      <c r="I445" s="5" t="n"/>
      <c r="J445" s="5" t="n"/>
      <c r="K445" s="5" t="n"/>
      <c r="L445" s="5" t="n"/>
    </row>
    <row r="446">
      <c r="A446" s="5" t="n"/>
      <c r="B446" s="6" t="n"/>
      <c r="C446" s="5" t="n"/>
      <c r="D446" s="5" t="n"/>
      <c r="E446" s="5" t="n"/>
      <c r="F446" s="5" t="n"/>
      <c r="G446" s="5" t="n"/>
      <c r="H446" s="6" t="n"/>
      <c r="I446" s="5" t="n"/>
      <c r="J446" s="5" t="n"/>
      <c r="K446" s="5" t="n"/>
      <c r="L446" s="5" t="n"/>
    </row>
    <row r="447">
      <c r="A447" s="5" t="n"/>
      <c r="B447" s="6" t="n"/>
      <c r="C447" s="5" t="n"/>
      <c r="D447" s="5" t="n"/>
      <c r="E447" s="5" t="n"/>
      <c r="F447" s="5" t="n"/>
      <c r="G447" s="5" t="n"/>
      <c r="H447" s="6" t="n"/>
      <c r="I447" s="5" t="n"/>
      <c r="J447" s="5" t="n"/>
      <c r="K447" s="5" t="n"/>
      <c r="L447" s="5" t="n"/>
    </row>
    <row r="448">
      <c r="A448" s="5" t="n"/>
      <c r="B448" s="6" t="n"/>
      <c r="C448" s="5" t="n"/>
      <c r="D448" s="5" t="n"/>
      <c r="E448" s="5" t="n"/>
      <c r="F448" s="5" t="n"/>
      <c r="G448" s="5" t="n"/>
      <c r="H448" s="6" t="n"/>
      <c r="I448" s="5" t="n"/>
      <c r="J448" s="5" t="n"/>
      <c r="K448" s="5" t="n"/>
      <c r="L448" s="5" t="n"/>
    </row>
    <row r="449">
      <c r="A449" s="5" t="n"/>
      <c r="B449" s="6" t="n"/>
      <c r="C449" s="5" t="n"/>
      <c r="D449" s="5" t="n"/>
      <c r="E449" s="5" t="n"/>
      <c r="F449" s="5" t="n"/>
      <c r="G449" s="5" t="n"/>
      <c r="H449" s="6" t="n"/>
      <c r="I449" s="5" t="n"/>
      <c r="J449" s="5" t="n"/>
      <c r="K449" s="5" t="n"/>
      <c r="L449" s="5" t="n"/>
    </row>
    <row r="450">
      <c r="A450" s="5" t="n"/>
      <c r="B450" s="6" t="n"/>
      <c r="C450" s="5" t="n"/>
      <c r="D450" s="5" t="n"/>
      <c r="E450" s="5" t="n"/>
      <c r="F450" s="5" t="n"/>
      <c r="G450" s="5" t="n"/>
      <c r="H450" s="6" t="n"/>
      <c r="I450" s="5" t="n"/>
      <c r="J450" s="5" t="n"/>
      <c r="K450" s="5" t="n"/>
      <c r="L450" s="5" t="n"/>
    </row>
    <row r="451">
      <c r="A451" s="5" t="n"/>
      <c r="B451" s="6" t="n"/>
      <c r="C451" s="5" t="n"/>
      <c r="D451" s="5" t="n"/>
      <c r="E451" s="5" t="n"/>
      <c r="F451" s="5" t="n"/>
      <c r="G451" s="5" t="n"/>
      <c r="H451" s="6" t="n"/>
      <c r="I451" s="5" t="n"/>
      <c r="J451" s="5" t="n"/>
      <c r="K451" s="5" t="n"/>
      <c r="L451" s="5" t="n"/>
    </row>
    <row r="452">
      <c r="A452" s="5" t="n"/>
      <c r="B452" s="6" t="n"/>
      <c r="C452" s="5" t="n"/>
      <c r="D452" s="5" t="n"/>
      <c r="E452" s="5" t="n"/>
      <c r="F452" s="5" t="n"/>
      <c r="G452" s="5" t="n"/>
      <c r="H452" s="6" t="n"/>
      <c r="I452" s="5" t="n"/>
      <c r="J452" s="5" t="n"/>
      <c r="K452" s="5" t="n"/>
      <c r="L452" s="5" t="n"/>
    </row>
    <row r="453">
      <c r="A453" s="5" t="n"/>
      <c r="B453" s="6" t="n"/>
      <c r="C453" s="5" t="n"/>
      <c r="D453" s="5" t="n"/>
      <c r="E453" s="5" t="n"/>
      <c r="F453" s="5" t="n"/>
      <c r="G453" s="5" t="n"/>
      <c r="H453" s="6" t="n"/>
      <c r="I453" s="5" t="n"/>
      <c r="J453" s="5" t="n"/>
      <c r="K453" s="5" t="n"/>
      <c r="L453" s="5" t="n"/>
    </row>
    <row r="454">
      <c r="A454" s="5" t="n"/>
      <c r="B454" s="6" t="n"/>
      <c r="C454" s="5" t="n"/>
      <c r="D454" s="5" t="n"/>
      <c r="E454" s="5" t="n"/>
      <c r="F454" s="5" t="n"/>
      <c r="G454" s="5" t="n"/>
      <c r="H454" s="6" t="n"/>
      <c r="I454" s="5" t="n"/>
      <c r="J454" s="5" t="n"/>
      <c r="K454" s="5" t="n"/>
      <c r="L454" s="5" t="n"/>
    </row>
    <row r="455">
      <c r="A455" s="5" t="n"/>
      <c r="B455" s="6" t="n"/>
      <c r="C455" s="5" t="n"/>
      <c r="D455" s="5" t="n"/>
      <c r="E455" s="5" t="n"/>
      <c r="F455" s="5" t="n"/>
      <c r="G455" s="5" t="n"/>
      <c r="H455" s="6" t="n"/>
      <c r="I455" s="5" t="n"/>
      <c r="J455" s="5" t="n"/>
      <c r="K455" s="5" t="n"/>
      <c r="L455" s="5" t="n"/>
    </row>
    <row r="456">
      <c r="A456" s="5" t="n"/>
      <c r="B456" s="6" t="n"/>
      <c r="C456" s="5" t="n"/>
      <c r="D456" s="5" t="n"/>
      <c r="E456" s="5" t="n"/>
      <c r="F456" s="5" t="n"/>
      <c r="G456" s="5" t="n"/>
      <c r="H456" s="6" t="n"/>
      <c r="I456" s="5" t="n"/>
      <c r="J456" s="5" t="n"/>
      <c r="K456" s="5" t="n"/>
      <c r="L456" s="5" t="n"/>
    </row>
    <row r="457">
      <c r="A457" s="5" t="n"/>
      <c r="B457" s="6" t="n"/>
      <c r="C457" s="5" t="n"/>
      <c r="D457" s="5" t="n"/>
      <c r="E457" s="5" t="n"/>
      <c r="F457" s="5" t="n"/>
      <c r="G457" s="5" t="n"/>
      <c r="H457" s="6" t="n"/>
      <c r="I457" s="5" t="n"/>
      <c r="J457" s="5" t="n"/>
      <c r="K457" s="5" t="n"/>
      <c r="L457" s="5" t="n"/>
    </row>
    <row r="458">
      <c r="A458" s="5" t="n"/>
      <c r="B458" s="6" t="n"/>
      <c r="C458" s="5" t="n"/>
      <c r="D458" s="5" t="n"/>
      <c r="E458" s="5" t="n"/>
      <c r="F458" s="5" t="n"/>
      <c r="G458" s="5" t="n"/>
      <c r="H458" s="6" t="n"/>
      <c r="I458" s="5" t="n"/>
      <c r="J458" s="5" t="n"/>
      <c r="K458" s="5" t="n"/>
      <c r="L458" s="5" t="n"/>
    </row>
    <row r="459">
      <c r="A459" s="5" t="n"/>
      <c r="B459" s="6" t="n"/>
      <c r="C459" s="5" t="n"/>
      <c r="D459" s="5" t="n"/>
      <c r="E459" s="5" t="n"/>
      <c r="F459" s="5" t="n"/>
      <c r="G459" s="5" t="n"/>
      <c r="H459" s="6" t="n"/>
      <c r="I459" s="5" t="n"/>
      <c r="J459" s="5" t="n"/>
      <c r="K459" s="5" t="n"/>
      <c r="L459" s="5" t="n"/>
    </row>
    <row r="460">
      <c r="A460" s="5" t="n"/>
      <c r="B460" s="6" t="n"/>
      <c r="C460" s="5" t="n"/>
      <c r="D460" s="5" t="n"/>
      <c r="E460" s="5" t="n"/>
      <c r="F460" s="5" t="n"/>
      <c r="G460" s="5" t="n"/>
      <c r="H460" s="6" t="n"/>
      <c r="I460" s="5" t="n"/>
      <c r="J460" s="5" t="n"/>
      <c r="K460" s="5" t="n"/>
      <c r="L460" s="5" t="n"/>
    </row>
    <row r="461">
      <c r="A461" s="5" t="n"/>
      <c r="B461" s="6" t="n"/>
      <c r="C461" s="5" t="n"/>
      <c r="D461" s="5" t="n"/>
      <c r="E461" s="5" t="n"/>
      <c r="F461" s="5" t="n"/>
      <c r="G461" s="5" t="n"/>
      <c r="H461" s="6" t="n"/>
      <c r="I461" s="5" t="n"/>
      <c r="J461" s="5" t="n"/>
      <c r="K461" s="5" t="n"/>
      <c r="L461" s="5" t="n"/>
    </row>
    <row r="462">
      <c r="A462" s="5" t="n"/>
      <c r="B462" s="6" t="n"/>
      <c r="C462" s="5" t="n"/>
      <c r="D462" s="5" t="n"/>
      <c r="E462" s="5" t="n"/>
      <c r="F462" s="5" t="n"/>
      <c r="G462" s="5" t="n"/>
      <c r="H462" s="6" t="n"/>
      <c r="I462" s="5" t="n"/>
      <c r="J462" s="5" t="n"/>
      <c r="K462" s="5" t="n"/>
      <c r="L462" s="5" t="n"/>
    </row>
    <row r="463">
      <c r="A463" s="5" t="n"/>
      <c r="B463" s="6" t="n"/>
      <c r="C463" s="5" t="n"/>
      <c r="D463" s="5" t="n"/>
      <c r="E463" s="5" t="n"/>
      <c r="F463" s="5" t="n"/>
      <c r="G463" s="5" t="n"/>
      <c r="H463" s="6" t="n"/>
      <c r="I463" s="5" t="n"/>
      <c r="J463" s="5" t="n"/>
      <c r="K463" s="5" t="n"/>
      <c r="L463" s="5" t="n"/>
    </row>
    <row r="464">
      <c r="A464" s="5" t="n"/>
      <c r="B464" s="6" t="n"/>
      <c r="C464" s="5" t="n"/>
      <c r="D464" s="5" t="n"/>
      <c r="E464" s="5" t="n"/>
      <c r="F464" s="5" t="n"/>
      <c r="G464" s="5" t="n"/>
      <c r="H464" s="6" t="n"/>
      <c r="I464" s="5" t="n"/>
      <c r="J464" s="5" t="n"/>
      <c r="K464" s="5" t="n"/>
      <c r="L464" s="5" t="n"/>
    </row>
    <row r="465">
      <c r="A465" s="5" t="n"/>
      <c r="B465" s="6" t="n"/>
      <c r="C465" s="5" t="n"/>
      <c r="D465" s="5" t="n"/>
      <c r="E465" s="5" t="n"/>
      <c r="F465" s="5" t="n"/>
      <c r="G465" s="5" t="n"/>
      <c r="H465" s="6" t="n"/>
      <c r="I465" s="5" t="n"/>
      <c r="J465" s="5" t="n"/>
      <c r="K465" s="5" t="n"/>
      <c r="L465" s="5" t="n"/>
    </row>
    <row r="466">
      <c r="A466" s="5" t="n"/>
      <c r="B466" s="6" t="n"/>
      <c r="C466" s="5" t="n"/>
      <c r="D466" s="5" t="n"/>
      <c r="E466" s="5" t="n"/>
      <c r="F466" s="5" t="n"/>
      <c r="G466" s="5" t="n"/>
      <c r="H466" s="6" t="n"/>
      <c r="I466" s="5" t="n"/>
      <c r="J466" s="5" t="n"/>
      <c r="K466" s="5" t="n"/>
      <c r="L466" s="5" t="n"/>
    </row>
    <row r="467">
      <c r="A467" s="5" t="n"/>
      <c r="B467" s="6" t="n"/>
      <c r="C467" s="5" t="n"/>
      <c r="D467" s="5" t="n"/>
      <c r="E467" s="5" t="n"/>
      <c r="F467" s="5" t="n"/>
      <c r="G467" s="5" t="n"/>
      <c r="H467" s="6" t="n"/>
      <c r="I467" s="5" t="n"/>
      <c r="J467" s="5" t="n"/>
      <c r="K467" s="5" t="n"/>
      <c r="L467" s="5" t="n"/>
    </row>
    <row r="468">
      <c r="A468" s="5" t="n"/>
      <c r="B468" s="6" t="n"/>
      <c r="C468" s="5" t="n"/>
      <c r="D468" s="5" t="n"/>
      <c r="E468" s="5" t="n"/>
      <c r="F468" s="5" t="n"/>
      <c r="G468" s="5" t="n"/>
      <c r="H468" s="6" t="n"/>
      <c r="I468" s="5" t="n"/>
      <c r="J468" s="5" t="n"/>
      <c r="K468" s="5" t="n"/>
      <c r="L468" s="5" t="n"/>
    </row>
    <row r="469">
      <c r="A469" s="5" t="n"/>
      <c r="B469" s="6" t="n"/>
      <c r="C469" s="5" t="n"/>
      <c r="D469" s="5" t="n"/>
      <c r="E469" s="5" t="n"/>
      <c r="F469" s="5" t="n"/>
      <c r="G469" s="5" t="n"/>
      <c r="H469" s="6" t="n"/>
      <c r="I469" s="5" t="n"/>
      <c r="J469" s="5" t="n"/>
      <c r="K469" s="5" t="n"/>
      <c r="L469" s="5" t="n"/>
    </row>
    <row r="470">
      <c r="A470" s="5" t="n"/>
      <c r="B470" s="6" t="n"/>
      <c r="C470" s="5" t="n"/>
      <c r="D470" s="5" t="n"/>
      <c r="E470" s="5" t="n"/>
      <c r="F470" s="5" t="n"/>
      <c r="G470" s="5" t="n"/>
      <c r="H470" s="6" t="n"/>
      <c r="I470" s="5" t="n"/>
      <c r="J470" s="5" t="n"/>
      <c r="K470" s="5" t="n"/>
      <c r="L470" s="5" t="n"/>
    </row>
    <row r="471">
      <c r="A471" s="5" t="n"/>
      <c r="B471" s="6" t="n"/>
      <c r="C471" s="5" t="n"/>
      <c r="D471" s="5" t="n"/>
      <c r="E471" s="5" t="n"/>
      <c r="F471" s="5" t="n"/>
      <c r="G471" s="5" t="n"/>
      <c r="H471" s="6" t="n"/>
      <c r="I471" s="5" t="n"/>
      <c r="J471" s="5" t="n"/>
      <c r="K471" s="5" t="n"/>
      <c r="L471" s="5" t="n"/>
    </row>
    <row r="472">
      <c r="A472" s="5" t="n"/>
      <c r="B472" s="6" t="n"/>
      <c r="C472" s="5" t="n"/>
      <c r="D472" s="5" t="n"/>
      <c r="E472" s="5" t="n"/>
      <c r="F472" s="5" t="n"/>
      <c r="G472" s="5" t="n"/>
      <c r="H472" s="6" t="n"/>
      <c r="I472" s="5" t="n"/>
      <c r="J472" s="5" t="n"/>
      <c r="K472" s="5" t="n"/>
      <c r="L472" s="5" t="n"/>
    </row>
    <row r="473">
      <c r="A473" s="5" t="n"/>
      <c r="B473" s="6" t="n"/>
      <c r="C473" s="5" t="n"/>
      <c r="D473" s="5" t="n"/>
      <c r="E473" s="5" t="n"/>
      <c r="F473" s="5" t="n"/>
      <c r="G473" s="5" t="n"/>
      <c r="H473" s="6" t="n"/>
      <c r="I473" s="5" t="n"/>
      <c r="J473" s="5" t="n"/>
      <c r="K473" s="5" t="n"/>
      <c r="L473" s="5" t="n"/>
    </row>
    <row r="474">
      <c r="A474" s="5" t="n"/>
      <c r="B474" s="6" t="n"/>
      <c r="C474" s="5" t="n"/>
      <c r="D474" s="5" t="n"/>
      <c r="E474" s="5" t="n"/>
      <c r="F474" s="5" t="n"/>
      <c r="G474" s="5" t="n"/>
      <c r="H474" s="6" t="n"/>
      <c r="I474" s="5" t="n"/>
      <c r="J474" s="5" t="n"/>
      <c r="K474" s="5" t="n"/>
      <c r="L474" s="5" t="n"/>
    </row>
    <row r="475">
      <c r="A475" s="5" t="n"/>
      <c r="B475" s="6" t="n"/>
      <c r="C475" s="5" t="n"/>
      <c r="D475" s="5" t="n"/>
      <c r="E475" s="5" t="n"/>
      <c r="F475" s="5" t="n"/>
      <c r="G475" s="5" t="n"/>
      <c r="H475" s="6" t="n"/>
      <c r="I475" s="5" t="n"/>
      <c r="J475" s="5" t="n"/>
      <c r="K475" s="5" t="n"/>
      <c r="L475" s="5" t="n"/>
    </row>
    <row r="476">
      <c r="A476" s="5" t="n"/>
      <c r="B476" s="6" t="n"/>
      <c r="C476" s="5" t="n"/>
      <c r="D476" s="5" t="n"/>
      <c r="E476" s="5" t="n"/>
      <c r="F476" s="5" t="n"/>
      <c r="G476" s="5" t="n"/>
      <c r="H476" s="6" t="n"/>
      <c r="I476" s="5" t="n"/>
      <c r="J476" s="5" t="n"/>
      <c r="K476" s="5" t="n"/>
      <c r="L476" s="5" t="n"/>
    </row>
    <row r="477">
      <c r="A477" s="5" t="n"/>
      <c r="B477" s="6" t="n"/>
      <c r="C477" s="5" t="n"/>
      <c r="D477" s="5" t="n"/>
      <c r="E477" s="5" t="n"/>
      <c r="F477" s="5" t="n"/>
      <c r="G477" s="5" t="n"/>
      <c r="H477" s="6" t="n"/>
      <c r="I477" s="5" t="n"/>
      <c r="J477" s="5" t="n"/>
      <c r="K477" s="5" t="n"/>
      <c r="L477" s="5" t="n"/>
    </row>
    <row r="478">
      <c r="A478" s="5" t="n"/>
      <c r="B478" s="6" t="n"/>
      <c r="C478" s="5" t="n"/>
      <c r="D478" s="5" t="n"/>
      <c r="E478" s="5" t="n"/>
      <c r="F478" s="5" t="n"/>
      <c r="G478" s="5" t="n"/>
      <c r="H478" s="6" t="n"/>
      <c r="I478" s="5" t="n"/>
      <c r="J478" s="5" t="n"/>
      <c r="K478" s="5" t="n"/>
      <c r="L478" s="5" t="n"/>
    </row>
    <row r="479">
      <c r="A479" s="5" t="n"/>
      <c r="B479" s="6" t="n"/>
      <c r="C479" s="5" t="n"/>
      <c r="D479" s="5" t="n"/>
      <c r="E479" s="5" t="n"/>
      <c r="F479" s="5" t="n"/>
      <c r="G479" s="5" t="n"/>
      <c r="H479" s="6" t="n"/>
      <c r="I479" s="5" t="n"/>
      <c r="J479" s="5" t="n"/>
      <c r="K479" s="5" t="n"/>
      <c r="L479" s="5" t="n"/>
    </row>
    <row r="480">
      <c r="A480" s="5" t="n"/>
      <c r="B480" s="6" t="n"/>
      <c r="C480" s="5" t="n"/>
      <c r="D480" s="5" t="n"/>
      <c r="E480" s="5" t="n"/>
      <c r="F480" s="5" t="n"/>
      <c r="G480" s="5" t="n"/>
      <c r="H480" s="6" t="n"/>
      <c r="I480" s="5" t="n"/>
      <c r="J480" s="5" t="n"/>
      <c r="K480" s="5" t="n"/>
      <c r="L480" s="5" t="n"/>
    </row>
    <row r="481">
      <c r="A481" s="5" t="n"/>
      <c r="B481" s="6" t="n"/>
      <c r="C481" s="5" t="n"/>
      <c r="D481" s="5" t="n"/>
      <c r="E481" s="5" t="n"/>
      <c r="F481" s="5" t="n"/>
      <c r="G481" s="5" t="n"/>
      <c r="H481" s="6" t="n"/>
      <c r="I481" s="5" t="n"/>
      <c r="J481" s="5" t="n"/>
      <c r="K481" s="5" t="n"/>
      <c r="L481" s="5" t="n"/>
    </row>
    <row r="482">
      <c r="A482" s="5" t="n"/>
      <c r="B482" s="6" t="n"/>
      <c r="C482" s="5" t="n"/>
      <c r="D482" s="5" t="n"/>
      <c r="E482" s="5" t="n"/>
      <c r="F482" s="5" t="n"/>
      <c r="G482" s="5" t="n"/>
      <c r="H482" s="6" t="n"/>
      <c r="I482" s="5" t="n"/>
      <c r="J482" s="5" t="n"/>
      <c r="K482" s="5" t="n"/>
      <c r="L482" s="5" t="n"/>
    </row>
    <row r="483">
      <c r="A483" s="5" t="n"/>
      <c r="B483" s="6" t="n"/>
      <c r="C483" s="5" t="n"/>
      <c r="D483" s="5" t="n"/>
      <c r="E483" s="5" t="n"/>
      <c r="F483" s="5" t="n"/>
      <c r="G483" s="5" t="n"/>
      <c r="H483" s="6" t="n"/>
      <c r="I483" s="5" t="n"/>
      <c r="J483" s="5" t="n"/>
      <c r="K483" s="5" t="n"/>
      <c r="L483" s="5" t="n"/>
    </row>
    <row r="484">
      <c r="A484" s="5" t="n"/>
      <c r="B484" s="6" t="n"/>
      <c r="C484" s="5" t="n"/>
      <c r="D484" s="5" t="n"/>
      <c r="E484" s="5" t="n"/>
      <c r="F484" s="5" t="n"/>
      <c r="G484" s="5" t="n"/>
      <c r="H484" s="6" t="n"/>
      <c r="I484" s="5" t="n"/>
      <c r="J484" s="5" t="n"/>
      <c r="K484" s="5" t="n"/>
      <c r="L484" s="5" t="n"/>
    </row>
    <row r="485">
      <c r="A485" s="5" t="n"/>
      <c r="B485" s="6" t="n"/>
      <c r="C485" s="5" t="n"/>
      <c r="D485" s="5" t="n"/>
      <c r="E485" s="5" t="n"/>
      <c r="F485" s="5" t="n"/>
      <c r="G485" s="5" t="n"/>
      <c r="H485" s="6" t="n"/>
      <c r="I485" s="5" t="n"/>
      <c r="J485" s="5" t="n"/>
      <c r="K485" s="5" t="n"/>
      <c r="L485" s="5" t="n"/>
    </row>
    <row r="486">
      <c r="A486" s="5" t="n"/>
      <c r="B486" s="6" t="n"/>
      <c r="C486" s="5" t="n"/>
      <c r="D486" s="5" t="n"/>
      <c r="E486" s="5" t="n"/>
      <c r="F486" s="5" t="n"/>
      <c r="G486" s="5" t="n"/>
      <c r="H486" s="6" t="n"/>
      <c r="I486" s="5" t="n"/>
      <c r="J486" s="5" t="n"/>
      <c r="K486" s="5" t="n"/>
      <c r="L486" s="5" t="n"/>
    </row>
    <row r="487">
      <c r="A487" s="5" t="n"/>
      <c r="B487" s="6" t="n"/>
      <c r="C487" s="5" t="n"/>
      <c r="D487" s="5" t="n"/>
      <c r="E487" s="5" t="n"/>
      <c r="F487" s="5" t="n"/>
      <c r="G487" s="5" t="n"/>
      <c r="H487" s="6" t="n"/>
      <c r="I487" s="5" t="n"/>
      <c r="J487" s="5" t="n"/>
      <c r="K487" s="5" t="n"/>
      <c r="L487" s="5" t="n"/>
    </row>
    <row r="488">
      <c r="A488" s="5" t="n"/>
      <c r="B488" s="6" t="n"/>
      <c r="C488" s="5" t="n"/>
      <c r="D488" s="5" t="n"/>
      <c r="E488" s="5" t="n"/>
      <c r="F488" s="5" t="n"/>
      <c r="G488" s="5" t="n"/>
      <c r="H488" s="6" t="n"/>
      <c r="I488" s="5" t="n"/>
      <c r="J488" s="5" t="n"/>
      <c r="K488" s="5" t="n"/>
      <c r="L488" s="5" t="n"/>
    </row>
    <row r="489">
      <c r="A489" s="5" t="n"/>
      <c r="B489" s="6" t="n"/>
      <c r="C489" s="5" t="n"/>
      <c r="D489" s="5" t="n"/>
      <c r="E489" s="5" t="n"/>
      <c r="F489" s="5" t="n"/>
      <c r="G489" s="5" t="n"/>
      <c r="H489" s="6" t="n"/>
      <c r="I489" s="5" t="n"/>
      <c r="J489" s="5" t="n"/>
      <c r="K489" s="5" t="n"/>
      <c r="L489" s="5" t="n"/>
    </row>
    <row r="490">
      <c r="A490" s="5" t="n"/>
      <c r="B490" s="6" t="n"/>
      <c r="C490" s="5" t="n"/>
      <c r="D490" s="5" t="n"/>
      <c r="E490" s="5" t="n"/>
      <c r="F490" s="5" t="n"/>
      <c r="G490" s="5" t="n"/>
      <c r="H490" s="6" t="n"/>
      <c r="I490" s="5" t="n"/>
      <c r="J490" s="5" t="n"/>
      <c r="K490" s="5" t="n"/>
      <c r="L490" s="5" t="n"/>
    </row>
    <row r="491">
      <c r="A491" s="5" t="n"/>
      <c r="B491" s="6" t="n"/>
      <c r="C491" s="5" t="n"/>
      <c r="D491" s="5" t="n"/>
      <c r="E491" s="5" t="n"/>
      <c r="F491" s="5" t="n"/>
      <c r="G491" s="5" t="n"/>
      <c r="H491" s="6" t="n"/>
      <c r="I491" s="5" t="n"/>
      <c r="J491" s="5" t="n"/>
      <c r="K491" s="5" t="n"/>
      <c r="L491" s="5" t="n"/>
    </row>
    <row r="492">
      <c r="A492" s="5" t="n"/>
      <c r="B492" s="6" t="n"/>
      <c r="C492" s="5" t="n"/>
      <c r="D492" s="5" t="n"/>
      <c r="E492" s="5" t="n"/>
      <c r="F492" s="5" t="n"/>
      <c r="G492" s="5" t="n"/>
      <c r="H492" s="6" t="n"/>
      <c r="I492" s="5" t="n"/>
      <c r="J492" s="5" t="n"/>
      <c r="K492" s="5" t="n"/>
      <c r="L492" s="5" t="n"/>
    </row>
    <row r="493">
      <c r="A493" s="5" t="n"/>
      <c r="B493" s="6" t="n"/>
      <c r="C493" s="5" t="n"/>
      <c r="D493" s="5" t="n"/>
      <c r="E493" s="5" t="n"/>
      <c r="F493" s="5" t="n"/>
      <c r="G493" s="5" t="n"/>
      <c r="H493" s="6" t="n"/>
      <c r="I493" s="5" t="n"/>
      <c r="J493" s="5" t="n"/>
      <c r="K493" s="5" t="n"/>
      <c r="L493" s="5" t="n"/>
    </row>
    <row r="494">
      <c r="A494" s="5" t="n"/>
      <c r="B494" s="6" t="n"/>
      <c r="C494" s="5" t="n"/>
      <c r="D494" s="5" t="n"/>
      <c r="E494" s="5" t="n"/>
      <c r="F494" s="5" t="n"/>
      <c r="G494" s="5" t="n"/>
      <c r="H494" s="6" t="n"/>
      <c r="I494" s="5" t="n"/>
      <c r="J494" s="5" t="n"/>
      <c r="K494" s="5" t="n"/>
      <c r="L494" s="5" t="n"/>
    </row>
    <row r="495">
      <c r="A495" s="5" t="n"/>
      <c r="B495" s="6" t="n"/>
      <c r="C495" s="5" t="n"/>
      <c r="D495" s="5" t="n"/>
      <c r="E495" s="5" t="n"/>
      <c r="F495" s="5" t="n"/>
      <c r="G495" s="5" t="n"/>
      <c r="H495" s="6" t="n"/>
      <c r="I495" s="5" t="n"/>
      <c r="J495" s="5" t="n"/>
      <c r="K495" s="5" t="n"/>
      <c r="L495" s="5" t="n"/>
    </row>
    <row r="496">
      <c r="A496" s="5" t="n"/>
      <c r="B496" s="6" t="n"/>
      <c r="C496" s="5" t="n"/>
      <c r="D496" s="5" t="n"/>
      <c r="E496" s="5" t="n"/>
      <c r="F496" s="5" t="n"/>
      <c r="G496" s="5" t="n"/>
      <c r="H496" s="6" t="n"/>
      <c r="I496" s="5" t="n"/>
      <c r="J496" s="5" t="n"/>
      <c r="K496" s="5" t="n"/>
      <c r="L496" s="5" t="n"/>
    </row>
    <row r="497">
      <c r="A497" s="5" t="n"/>
      <c r="B497" s="6" t="n"/>
      <c r="C497" s="5" t="n"/>
      <c r="D497" s="5" t="n"/>
      <c r="E497" s="5" t="n"/>
      <c r="F497" s="5" t="n"/>
      <c r="G497" s="5" t="n"/>
      <c r="H497" s="6" t="n"/>
      <c r="I497" s="5" t="n"/>
      <c r="J497" s="5" t="n"/>
      <c r="K497" s="5" t="n"/>
      <c r="L497" s="5" t="n"/>
    </row>
    <row r="498">
      <c r="A498" s="5" t="n"/>
      <c r="B498" s="6" t="n"/>
      <c r="C498" s="5" t="n"/>
      <c r="D498" s="5" t="n"/>
      <c r="E498" s="5" t="n"/>
      <c r="F498" s="5" t="n"/>
      <c r="G498" s="5" t="n"/>
      <c r="H498" s="6" t="n"/>
      <c r="I498" s="5" t="n"/>
      <c r="J498" s="5" t="n"/>
      <c r="K498" s="5" t="n"/>
      <c r="L498" s="5" t="n"/>
    </row>
    <row r="499">
      <c r="A499" s="5" t="n"/>
      <c r="B499" s="6" t="n"/>
      <c r="C499" s="5" t="n"/>
      <c r="D499" s="5" t="n"/>
      <c r="E499" s="5" t="n"/>
      <c r="F499" s="5" t="n"/>
      <c r="G499" s="5" t="n"/>
      <c r="H499" s="6" t="n"/>
      <c r="I499" s="5" t="n"/>
      <c r="J499" s="5" t="n"/>
      <c r="K499" s="5" t="n"/>
      <c r="L499" s="5" t="n"/>
    </row>
    <row r="500">
      <c r="A500" s="5" t="n"/>
      <c r="B500" s="6" t="n"/>
      <c r="C500" s="5" t="n"/>
      <c r="D500" s="5" t="n"/>
      <c r="E500" s="5" t="n"/>
      <c r="F500" s="5" t="n"/>
      <c r="G500" s="5" t="n"/>
      <c r="H500" s="6" t="n"/>
      <c r="I500" s="5" t="n"/>
      <c r="J500" s="5" t="n"/>
      <c r="K500" s="5" t="n"/>
      <c r="L500" s="5" t="n"/>
    </row>
    <row r="501">
      <c r="A501" s="5" t="n"/>
      <c r="B501" s="6" t="n"/>
      <c r="C501" s="5" t="n"/>
      <c r="D501" s="5" t="n"/>
      <c r="E501" s="5" t="n"/>
      <c r="F501" s="5" t="n"/>
      <c r="G501" s="5" t="n"/>
      <c r="H501" s="6" t="n"/>
      <c r="I501" s="5" t="n"/>
      <c r="J501" s="5" t="n"/>
      <c r="K501" s="5" t="n"/>
      <c r="L501" s="5" t="n"/>
    </row>
  </sheetData>
  <autoFilter ref="A1:L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T20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7" customWidth="1" min="2" max="2"/>
    <col width="10" customWidth="1" min="3" max="3"/>
    <col width="11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0" customWidth="1" min="11" max="11"/>
    <col width="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13" customWidth="1" min="19" max="19"/>
    <col width="11" customWidth="1" min="20" max="20"/>
  </cols>
  <sheetData>
    <row r="1">
      <c r="B1" s="7" t="inlineStr">
        <is>
          <t>2026년도 하반기 인턴근무계획표(9~2월)</t>
        </is>
      </c>
      <c r="M1" s="8" t="inlineStr">
        <is>
          <t>↓ 자동 정규화 (수정 금지) — '병원 진료과'로 통일, 인식 불가는 ⚠ 표시</t>
        </is>
      </c>
    </row>
    <row r="2" ht="28" customHeight="1">
      <c r="B2" s="4" t="inlineStr">
        <is>
          <t xml:space="preserve">순번 </t>
        </is>
      </c>
      <c r="C2" s="4" t="inlineStr">
        <is>
          <t xml:space="preserve">이름 </t>
        </is>
      </c>
      <c r="D2" s="4" t="inlineStr">
        <is>
          <t>사번</t>
        </is>
      </c>
      <c r="E2" s="4" t="inlineStr">
        <is>
          <t>9월</t>
        </is>
      </c>
      <c r="F2" s="4" t="inlineStr">
        <is>
          <t>10월</t>
        </is>
      </c>
      <c r="G2" s="4" t="inlineStr">
        <is>
          <t>11월</t>
        </is>
      </c>
      <c r="H2" s="4" t="inlineStr">
        <is>
          <t>12월</t>
        </is>
      </c>
      <c r="I2" s="4" t="inlineStr">
        <is>
          <t>1월</t>
        </is>
      </c>
      <c r="J2" s="4" t="inlineStr">
        <is>
          <t xml:space="preserve">2월 </t>
        </is>
      </c>
      <c r="K2" s="4" t="inlineStr">
        <is>
          <t>비고</t>
        </is>
      </c>
      <c r="M2" s="9">
        <f>TRIM(E$2&amp;"")&amp;" 정규화"</f>
        <v/>
      </c>
      <c r="N2" s="9">
        <f>TRIM(F$2&amp;"")&amp;" 정규화"</f>
        <v/>
      </c>
      <c r="O2" s="9">
        <f>TRIM(G$2&amp;"")&amp;" 정규화"</f>
        <v/>
      </c>
      <c r="P2" s="9">
        <f>TRIM(H$2&amp;"")&amp;" 정규화"</f>
        <v/>
      </c>
      <c r="Q2" s="9">
        <f>TRIM(I$2&amp;"")&amp;" 정규화"</f>
        <v/>
      </c>
      <c r="R2" s="9">
        <f>TRIM(J$2&amp;"")&amp;" 정규화"</f>
        <v/>
      </c>
      <c r="S2" s="9" t="inlineStr">
        <is>
          <t>입사일(비고)</t>
        </is>
      </c>
      <c r="T2" s="9" t="inlineStr">
        <is>
          <t>입력오류(건)</t>
        </is>
      </c>
    </row>
    <row r="3">
      <c r="B3" s="5" t="n">
        <v>1</v>
      </c>
      <c r="C3" s="5" t="inlineStr">
        <is>
          <t>김ㅇㅇ</t>
        </is>
      </c>
      <c r="D3" s="5" t="n">
        <v>222222</v>
      </c>
      <c r="E3" s="5" t="inlineStr">
        <is>
          <t>구리 안과</t>
        </is>
      </c>
      <c r="F3" s="5" t="inlineStr">
        <is>
          <t>구리 내과</t>
        </is>
      </c>
      <c r="G3" s="5" t="inlineStr">
        <is>
          <t>서울 핵방</t>
        </is>
      </c>
      <c r="H3" s="5" t="inlineStr">
        <is>
          <t>서울 재활의학과</t>
        </is>
      </c>
      <c r="I3" s="5" t="inlineStr">
        <is>
          <t>제주 산부</t>
        </is>
      </c>
      <c r="J3" s="5" t="inlineStr">
        <is>
          <t>서울 소아과</t>
        </is>
      </c>
      <c r="K3" s="5" t="n">
        <v>2026.03</v>
      </c>
      <c r="M3" s="10">
        <f>IFERROR(IF(TRIM(E3&amp;"")="","",IF(AND(ISNUMBER(FIND(" ",TRIM(E3&amp;""))),ISNUMBER(MATCH(LEFT(TRIM(E3&amp;""),FIND(" ",TRIM(E3&amp;""))-1),코드표!$J$2:$J$101,0)),ISNUMBER(MATCH(TRIM(RIGHT(SUBSTITUTE(TRIM(E3&amp;"")," ",REPT(" ",60)),60)),코드표!$F$2:$F$101,0))),INDEX(코드표!$K$2:$K$101,MATCH(LEFT(TRIM(E3&amp;""),FIND(" ",TRIM(E3&amp;""))-1),코드표!$J$2:$J$101,0))&amp;" "&amp;INDEX(코드표!$G$2:$G$101,MATCH(TRIM(RIGHT(SUBSTITUTE(TRIM(E3&amp;"")," ",REPT(" ",60)),60)),코드표!$F$2:$F$101,0)),"⚠"&amp;TRIM(E3&amp;""))),"⚠"&amp;TRIM(E3&amp;""))</f>
        <v/>
      </c>
      <c r="N3" s="10">
        <f>IFERROR(IF(TRIM(F3&amp;"")="","",IF(AND(ISNUMBER(FIND(" ",TRIM(F3&amp;""))),ISNUMBER(MATCH(LEFT(TRIM(F3&amp;""),FIND(" ",TRIM(F3&amp;""))-1),코드표!$J$2:$J$101,0)),ISNUMBER(MATCH(TRIM(RIGHT(SUBSTITUTE(TRIM(F3&amp;"")," ",REPT(" ",60)),60)),코드표!$F$2:$F$101,0))),INDEX(코드표!$K$2:$K$101,MATCH(LEFT(TRIM(F3&amp;""),FIND(" ",TRIM(F3&amp;""))-1),코드표!$J$2:$J$101,0))&amp;" "&amp;INDEX(코드표!$G$2:$G$101,MATCH(TRIM(RIGHT(SUBSTITUTE(TRIM(F3&amp;"")," ",REPT(" ",60)),60)),코드표!$F$2:$F$101,0)),"⚠"&amp;TRIM(F3&amp;""))),"⚠"&amp;TRIM(F3&amp;""))</f>
        <v/>
      </c>
      <c r="O3" s="10">
        <f>IFERROR(IF(TRIM(G3&amp;"")="","",IF(AND(ISNUMBER(FIND(" ",TRIM(G3&amp;""))),ISNUMBER(MATCH(LEFT(TRIM(G3&amp;""),FIND(" ",TRIM(G3&amp;""))-1),코드표!$J$2:$J$101,0)),ISNUMBER(MATCH(TRIM(RIGHT(SUBSTITUTE(TRIM(G3&amp;"")," ",REPT(" ",60)),60)),코드표!$F$2:$F$101,0))),INDEX(코드표!$K$2:$K$101,MATCH(LEFT(TRIM(G3&amp;""),FIND(" ",TRIM(G3&amp;""))-1),코드표!$J$2:$J$101,0))&amp;" "&amp;INDEX(코드표!$G$2:$G$101,MATCH(TRIM(RIGHT(SUBSTITUTE(TRIM(G3&amp;"")," ",REPT(" ",60)),60)),코드표!$F$2:$F$101,0)),"⚠"&amp;TRIM(G3&amp;""))),"⚠"&amp;TRIM(G3&amp;""))</f>
        <v/>
      </c>
      <c r="P3" s="10">
        <f>IFERROR(IF(TRIM(H3&amp;"")="","",IF(AND(ISNUMBER(FIND(" ",TRIM(H3&amp;""))),ISNUMBER(MATCH(LEFT(TRIM(H3&amp;""),FIND(" ",TRIM(H3&amp;""))-1),코드표!$J$2:$J$101,0)),ISNUMBER(MATCH(TRIM(RIGHT(SUBSTITUTE(TRIM(H3&amp;"")," ",REPT(" ",60)),60)),코드표!$F$2:$F$101,0))),INDEX(코드표!$K$2:$K$101,MATCH(LEFT(TRIM(H3&amp;""),FIND(" ",TRIM(H3&amp;""))-1),코드표!$J$2:$J$101,0))&amp;" "&amp;INDEX(코드표!$G$2:$G$101,MATCH(TRIM(RIGHT(SUBSTITUTE(TRIM(H3&amp;"")," ",REPT(" ",60)),60)),코드표!$F$2:$F$101,0)),"⚠"&amp;TRIM(H3&amp;""))),"⚠"&amp;TRIM(H3&amp;""))</f>
        <v/>
      </c>
      <c r="Q3" s="10">
        <f>IFERROR(IF(TRIM(I3&amp;"")="","",IF(AND(ISNUMBER(FIND(" ",TRIM(I3&amp;""))),ISNUMBER(MATCH(LEFT(TRIM(I3&amp;""),FIND(" ",TRIM(I3&amp;""))-1),코드표!$J$2:$J$101,0)),ISNUMBER(MATCH(TRIM(RIGHT(SUBSTITUTE(TRIM(I3&amp;"")," ",REPT(" ",60)),60)),코드표!$F$2:$F$101,0))),INDEX(코드표!$K$2:$K$101,MATCH(LEFT(TRIM(I3&amp;""),FIND(" ",TRIM(I3&amp;""))-1),코드표!$J$2:$J$101,0))&amp;" "&amp;INDEX(코드표!$G$2:$G$101,MATCH(TRIM(RIGHT(SUBSTITUTE(TRIM(I3&amp;"")," ",REPT(" ",60)),60)),코드표!$F$2:$F$101,0)),"⚠"&amp;TRIM(I3&amp;""))),"⚠"&amp;TRIM(I3&amp;""))</f>
        <v/>
      </c>
      <c r="R3" s="10">
        <f>IFERROR(IF(TRIM(J3&amp;"")="","",IF(AND(ISNUMBER(FIND(" ",TRIM(J3&amp;""))),ISNUMBER(MATCH(LEFT(TRIM(J3&amp;""),FIND(" ",TRIM(J3&amp;""))-1),코드표!$J$2:$J$101,0)),ISNUMBER(MATCH(TRIM(RIGHT(SUBSTITUTE(TRIM(J3&amp;"")," ",REPT(" ",60)),60)),코드표!$F$2:$F$101,0))),INDEX(코드표!$K$2:$K$101,MATCH(LEFT(TRIM(J3&amp;""),FIND(" ",TRIM(J3&amp;""))-1),코드표!$J$2:$J$101,0))&amp;" "&amp;INDEX(코드표!$G$2:$G$101,MATCH(TRIM(RIGHT(SUBSTITUTE(TRIM(J3&amp;"")," ",REPT(" ",60)),60)),코드표!$F$2:$F$101,0)),"⚠"&amp;TRIM(J3&amp;""))),"⚠"&amp;TRIM(J3&amp;""))</f>
        <v/>
      </c>
      <c r="S3" s="11">
        <f>IF(K3="","",IFERROR(IF(AND(ROUND((VALUE(K3&amp;"")-INT(VALUE(K3&amp;"")))*100,0)&gt;=1,ROUND((VALUE(K3&amp;"")-INT(VALUE(K3&amp;"")))*100,0)&lt;=12,INT(VALUE(K3&amp;""))&gt;=1900),DATE(INT(VALUE(K3&amp;"")),ROUND((VALUE(K3&amp;"")-INT(VALUE(K3&amp;"")))*100,0),1),K3&amp;""),K3&amp;""))</f>
        <v/>
      </c>
      <c r="T3" s="10">
        <f>COUNTIF(M3:R3,"⚠*")</f>
        <v/>
      </c>
    </row>
    <row r="4">
      <c r="B4" s="5" t="n">
        <v>2</v>
      </c>
      <c r="C4" s="5" t="inlineStr">
        <is>
          <t>이ㅇㅇ</t>
        </is>
      </c>
      <c r="D4" s="5" t="n">
        <v>222223</v>
      </c>
      <c r="E4" s="5" t="inlineStr">
        <is>
          <t>서울 내과</t>
        </is>
      </c>
      <c r="F4" s="5" t="inlineStr">
        <is>
          <t>서울 외과</t>
        </is>
      </c>
      <c r="G4" s="5" t="inlineStr">
        <is>
          <t>구리 통합</t>
        </is>
      </c>
      <c r="H4" s="5" t="inlineStr">
        <is>
          <t>인천 산부인과</t>
        </is>
      </c>
      <c r="I4" s="5" t="inlineStr">
        <is>
          <t>제주 에스중앙 내과</t>
        </is>
      </c>
      <c r="J4" s="5" t="inlineStr">
        <is>
          <t>서울 가정의학과</t>
        </is>
      </c>
      <c r="K4" s="5" t="n">
        <v>2026.03</v>
      </c>
      <c r="M4" s="10">
        <f>IFERROR(IF(TRIM(E4&amp;"")="","",IF(AND(ISNUMBER(FIND(" ",TRIM(E4&amp;""))),ISNUMBER(MATCH(LEFT(TRIM(E4&amp;""),FIND(" ",TRIM(E4&amp;""))-1),코드표!$J$2:$J$101,0)),ISNUMBER(MATCH(TRIM(RIGHT(SUBSTITUTE(TRIM(E4&amp;"")," ",REPT(" ",60)),60)),코드표!$F$2:$F$101,0))),INDEX(코드표!$K$2:$K$101,MATCH(LEFT(TRIM(E4&amp;""),FIND(" ",TRIM(E4&amp;""))-1),코드표!$J$2:$J$101,0))&amp;" "&amp;INDEX(코드표!$G$2:$G$101,MATCH(TRIM(RIGHT(SUBSTITUTE(TRIM(E4&amp;"")," ",REPT(" ",60)),60)),코드표!$F$2:$F$101,0)),"⚠"&amp;TRIM(E4&amp;""))),"⚠"&amp;TRIM(E4&amp;""))</f>
        <v/>
      </c>
      <c r="N4" s="10">
        <f>IFERROR(IF(TRIM(F4&amp;"")="","",IF(AND(ISNUMBER(FIND(" ",TRIM(F4&amp;""))),ISNUMBER(MATCH(LEFT(TRIM(F4&amp;""),FIND(" ",TRIM(F4&amp;""))-1),코드표!$J$2:$J$101,0)),ISNUMBER(MATCH(TRIM(RIGHT(SUBSTITUTE(TRIM(F4&amp;"")," ",REPT(" ",60)),60)),코드표!$F$2:$F$101,0))),INDEX(코드표!$K$2:$K$101,MATCH(LEFT(TRIM(F4&amp;""),FIND(" ",TRIM(F4&amp;""))-1),코드표!$J$2:$J$101,0))&amp;" "&amp;INDEX(코드표!$G$2:$G$101,MATCH(TRIM(RIGHT(SUBSTITUTE(TRIM(F4&amp;"")," ",REPT(" ",60)),60)),코드표!$F$2:$F$101,0)),"⚠"&amp;TRIM(F4&amp;""))),"⚠"&amp;TRIM(F4&amp;""))</f>
        <v/>
      </c>
      <c r="O4" s="10">
        <f>IFERROR(IF(TRIM(G4&amp;"")="","",IF(AND(ISNUMBER(FIND(" ",TRIM(G4&amp;""))),ISNUMBER(MATCH(LEFT(TRIM(G4&amp;""),FIND(" ",TRIM(G4&amp;""))-1),코드표!$J$2:$J$101,0)),ISNUMBER(MATCH(TRIM(RIGHT(SUBSTITUTE(TRIM(G4&amp;"")," ",REPT(" ",60)),60)),코드표!$F$2:$F$101,0))),INDEX(코드표!$K$2:$K$101,MATCH(LEFT(TRIM(G4&amp;""),FIND(" ",TRIM(G4&amp;""))-1),코드표!$J$2:$J$101,0))&amp;" "&amp;INDEX(코드표!$G$2:$G$101,MATCH(TRIM(RIGHT(SUBSTITUTE(TRIM(G4&amp;"")," ",REPT(" ",60)),60)),코드표!$F$2:$F$101,0)),"⚠"&amp;TRIM(G4&amp;""))),"⚠"&amp;TRIM(G4&amp;""))</f>
        <v/>
      </c>
      <c r="P4" s="10">
        <f>IFERROR(IF(TRIM(H4&amp;"")="","",IF(AND(ISNUMBER(FIND(" ",TRIM(H4&amp;""))),ISNUMBER(MATCH(LEFT(TRIM(H4&amp;""),FIND(" ",TRIM(H4&amp;""))-1),코드표!$J$2:$J$101,0)),ISNUMBER(MATCH(TRIM(RIGHT(SUBSTITUTE(TRIM(H4&amp;"")," ",REPT(" ",60)),60)),코드표!$F$2:$F$101,0))),INDEX(코드표!$K$2:$K$101,MATCH(LEFT(TRIM(H4&amp;""),FIND(" ",TRIM(H4&amp;""))-1),코드표!$J$2:$J$101,0))&amp;" "&amp;INDEX(코드표!$G$2:$G$101,MATCH(TRIM(RIGHT(SUBSTITUTE(TRIM(H4&amp;"")," ",REPT(" ",60)),60)),코드표!$F$2:$F$101,0)),"⚠"&amp;TRIM(H4&amp;""))),"⚠"&amp;TRIM(H4&amp;""))</f>
        <v/>
      </c>
      <c r="Q4" s="10">
        <f>IFERROR(IF(TRIM(I4&amp;"")="","",IF(AND(ISNUMBER(FIND(" ",TRIM(I4&amp;""))),ISNUMBER(MATCH(LEFT(TRIM(I4&amp;""),FIND(" ",TRIM(I4&amp;""))-1),코드표!$J$2:$J$101,0)),ISNUMBER(MATCH(TRIM(RIGHT(SUBSTITUTE(TRIM(I4&amp;"")," ",REPT(" ",60)),60)),코드표!$F$2:$F$101,0))),INDEX(코드표!$K$2:$K$101,MATCH(LEFT(TRIM(I4&amp;""),FIND(" ",TRIM(I4&amp;""))-1),코드표!$J$2:$J$101,0))&amp;" "&amp;INDEX(코드표!$G$2:$G$101,MATCH(TRIM(RIGHT(SUBSTITUTE(TRIM(I4&amp;"")," ",REPT(" ",60)),60)),코드표!$F$2:$F$101,0)),"⚠"&amp;TRIM(I4&amp;""))),"⚠"&amp;TRIM(I4&amp;""))</f>
        <v/>
      </c>
      <c r="R4" s="10">
        <f>IFERROR(IF(TRIM(J4&amp;"")="","",IF(AND(ISNUMBER(FIND(" ",TRIM(J4&amp;""))),ISNUMBER(MATCH(LEFT(TRIM(J4&amp;""),FIND(" ",TRIM(J4&amp;""))-1),코드표!$J$2:$J$101,0)),ISNUMBER(MATCH(TRIM(RIGHT(SUBSTITUTE(TRIM(J4&amp;"")," ",REPT(" ",60)),60)),코드표!$F$2:$F$101,0))),INDEX(코드표!$K$2:$K$101,MATCH(LEFT(TRIM(J4&amp;""),FIND(" ",TRIM(J4&amp;""))-1),코드표!$J$2:$J$101,0))&amp;" "&amp;INDEX(코드표!$G$2:$G$101,MATCH(TRIM(RIGHT(SUBSTITUTE(TRIM(J4&amp;"")," ",REPT(" ",60)),60)),코드표!$F$2:$F$101,0)),"⚠"&amp;TRIM(J4&amp;""))),"⚠"&amp;TRIM(J4&amp;""))</f>
        <v/>
      </c>
      <c r="S4" s="11">
        <f>IF(K4="","",IFERROR(IF(AND(ROUND((VALUE(K4&amp;"")-INT(VALUE(K4&amp;"")))*100,0)&gt;=1,ROUND((VALUE(K4&amp;"")-INT(VALUE(K4&amp;"")))*100,0)&lt;=12,INT(VALUE(K4&amp;""))&gt;=1900),DATE(INT(VALUE(K4&amp;"")),ROUND((VALUE(K4&amp;"")-INT(VALUE(K4&amp;"")))*100,0),1),K4&amp;""),K4&amp;""))</f>
        <v/>
      </c>
      <c r="T4" s="10">
        <f>COUNTIF(M4:R4,"⚠*")</f>
        <v/>
      </c>
    </row>
    <row r="5">
      <c r="B5" s="5" t="n">
        <v>3</v>
      </c>
      <c r="C5" s="5" t="inlineStr">
        <is>
          <t>박ㅇㅇ</t>
        </is>
      </c>
      <c r="D5" s="5" t="n">
        <v>222224</v>
      </c>
      <c r="E5" s="5" t="inlineStr">
        <is>
          <t>제주 외과</t>
        </is>
      </c>
      <c r="F5" s="5" t="inlineStr">
        <is>
          <t>서울 내과</t>
        </is>
      </c>
      <c r="G5" s="5" t="inlineStr">
        <is>
          <t>서울 응급</t>
        </is>
      </c>
      <c r="H5" s="5" t="inlineStr">
        <is>
          <t>구리 내과</t>
        </is>
      </c>
      <c r="I5" s="5" t="inlineStr">
        <is>
          <t>서울 소아과</t>
        </is>
      </c>
      <c r="J5" s="5" t="inlineStr">
        <is>
          <t>제주 산부</t>
        </is>
      </c>
      <c r="K5" s="5" t="n">
        <v>2026.03</v>
      </c>
      <c r="M5" s="10">
        <f>IFERROR(IF(TRIM(E5&amp;"")="","",IF(AND(ISNUMBER(FIND(" ",TRIM(E5&amp;""))),ISNUMBER(MATCH(LEFT(TRIM(E5&amp;""),FIND(" ",TRIM(E5&amp;""))-1),코드표!$J$2:$J$101,0)),ISNUMBER(MATCH(TRIM(RIGHT(SUBSTITUTE(TRIM(E5&amp;"")," ",REPT(" ",60)),60)),코드표!$F$2:$F$101,0))),INDEX(코드표!$K$2:$K$101,MATCH(LEFT(TRIM(E5&amp;""),FIND(" ",TRIM(E5&amp;""))-1),코드표!$J$2:$J$101,0))&amp;" "&amp;INDEX(코드표!$G$2:$G$101,MATCH(TRIM(RIGHT(SUBSTITUTE(TRIM(E5&amp;"")," ",REPT(" ",60)),60)),코드표!$F$2:$F$101,0)),"⚠"&amp;TRIM(E5&amp;""))),"⚠"&amp;TRIM(E5&amp;""))</f>
        <v/>
      </c>
      <c r="N5" s="10">
        <f>IFERROR(IF(TRIM(F5&amp;"")="","",IF(AND(ISNUMBER(FIND(" ",TRIM(F5&amp;""))),ISNUMBER(MATCH(LEFT(TRIM(F5&amp;""),FIND(" ",TRIM(F5&amp;""))-1),코드표!$J$2:$J$101,0)),ISNUMBER(MATCH(TRIM(RIGHT(SUBSTITUTE(TRIM(F5&amp;"")," ",REPT(" ",60)),60)),코드표!$F$2:$F$101,0))),INDEX(코드표!$K$2:$K$101,MATCH(LEFT(TRIM(F5&amp;""),FIND(" ",TRIM(F5&amp;""))-1),코드표!$J$2:$J$101,0))&amp;" "&amp;INDEX(코드표!$G$2:$G$101,MATCH(TRIM(RIGHT(SUBSTITUTE(TRIM(F5&amp;"")," ",REPT(" ",60)),60)),코드표!$F$2:$F$101,0)),"⚠"&amp;TRIM(F5&amp;""))),"⚠"&amp;TRIM(F5&amp;""))</f>
        <v/>
      </c>
      <c r="O5" s="10">
        <f>IFERROR(IF(TRIM(G5&amp;"")="","",IF(AND(ISNUMBER(FIND(" ",TRIM(G5&amp;""))),ISNUMBER(MATCH(LEFT(TRIM(G5&amp;""),FIND(" ",TRIM(G5&amp;""))-1),코드표!$J$2:$J$101,0)),ISNUMBER(MATCH(TRIM(RIGHT(SUBSTITUTE(TRIM(G5&amp;"")," ",REPT(" ",60)),60)),코드표!$F$2:$F$101,0))),INDEX(코드표!$K$2:$K$101,MATCH(LEFT(TRIM(G5&amp;""),FIND(" ",TRIM(G5&amp;""))-1),코드표!$J$2:$J$101,0))&amp;" "&amp;INDEX(코드표!$G$2:$G$101,MATCH(TRIM(RIGHT(SUBSTITUTE(TRIM(G5&amp;"")," ",REPT(" ",60)),60)),코드표!$F$2:$F$101,0)),"⚠"&amp;TRIM(G5&amp;""))),"⚠"&amp;TRIM(G5&amp;""))</f>
        <v/>
      </c>
      <c r="P5" s="10">
        <f>IFERROR(IF(TRIM(H5&amp;"")="","",IF(AND(ISNUMBER(FIND(" ",TRIM(H5&amp;""))),ISNUMBER(MATCH(LEFT(TRIM(H5&amp;""),FIND(" ",TRIM(H5&amp;""))-1),코드표!$J$2:$J$101,0)),ISNUMBER(MATCH(TRIM(RIGHT(SUBSTITUTE(TRIM(H5&amp;"")," ",REPT(" ",60)),60)),코드표!$F$2:$F$101,0))),INDEX(코드표!$K$2:$K$101,MATCH(LEFT(TRIM(H5&amp;""),FIND(" ",TRIM(H5&amp;""))-1),코드표!$J$2:$J$101,0))&amp;" "&amp;INDEX(코드표!$G$2:$G$101,MATCH(TRIM(RIGHT(SUBSTITUTE(TRIM(H5&amp;"")," ",REPT(" ",60)),60)),코드표!$F$2:$F$101,0)),"⚠"&amp;TRIM(H5&amp;""))),"⚠"&amp;TRIM(H5&amp;""))</f>
        <v/>
      </c>
      <c r="Q5" s="10">
        <f>IFERROR(IF(TRIM(I5&amp;"")="","",IF(AND(ISNUMBER(FIND(" ",TRIM(I5&amp;""))),ISNUMBER(MATCH(LEFT(TRIM(I5&amp;""),FIND(" ",TRIM(I5&amp;""))-1),코드표!$J$2:$J$101,0)),ISNUMBER(MATCH(TRIM(RIGHT(SUBSTITUTE(TRIM(I5&amp;"")," ",REPT(" ",60)),60)),코드표!$F$2:$F$101,0))),INDEX(코드표!$K$2:$K$101,MATCH(LEFT(TRIM(I5&amp;""),FIND(" ",TRIM(I5&amp;""))-1),코드표!$J$2:$J$101,0))&amp;" "&amp;INDEX(코드표!$G$2:$G$101,MATCH(TRIM(RIGHT(SUBSTITUTE(TRIM(I5&amp;"")," ",REPT(" ",60)),60)),코드표!$F$2:$F$101,0)),"⚠"&amp;TRIM(I5&amp;""))),"⚠"&amp;TRIM(I5&amp;""))</f>
        <v/>
      </c>
      <c r="R5" s="10">
        <f>IFERROR(IF(TRIM(J5&amp;"")="","",IF(AND(ISNUMBER(FIND(" ",TRIM(J5&amp;""))),ISNUMBER(MATCH(LEFT(TRIM(J5&amp;""),FIND(" ",TRIM(J5&amp;""))-1),코드표!$J$2:$J$101,0)),ISNUMBER(MATCH(TRIM(RIGHT(SUBSTITUTE(TRIM(J5&amp;"")," ",REPT(" ",60)),60)),코드표!$F$2:$F$101,0))),INDEX(코드표!$K$2:$K$101,MATCH(LEFT(TRIM(J5&amp;""),FIND(" ",TRIM(J5&amp;""))-1),코드표!$J$2:$J$101,0))&amp;" "&amp;INDEX(코드표!$G$2:$G$101,MATCH(TRIM(RIGHT(SUBSTITUTE(TRIM(J5&amp;"")," ",REPT(" ",60)),60)),코드표!$F$2:$F$101,0)),"⚠"&amp;TRIM(J5&amp;""))),"⚠"&amp;TRIM(J5&amp;""))</f>
        <v/>
      </c>
      <c r="S5" s="11">
        <f>IF(K5="","",IFERROR(IF(AND(ROUND((VALUE(K5&amp;"")-INT(VALUE(K5&amp;"")))*100,0)&gt;=1,ROUND((VALUE(K5&amp;"")-INT(VALUE(K5&amp;"")))*100,0)&lt;=12,INT(VALUE(K5&amp;""))&gt;=1900),DATE(INT(VALUE(K5&amp;"")),ROUND((VALUE(K5&amp;"")-INT(VALUE(K5&amp;"")))*100,0),1),K5&amp;""),K5&amp;""))</f>
        <v/>
      </c>
      <c r="T5" s="10">
        <f>COUNTIF(M5:R5,"⚠*")</f>
        <v/>
      </c>
    </row>
    <row r="6"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M6" s="10">
        <f>IFERROR(IF(TRIM(E6&amp;"")="","",IF(AND(ISNUMBER(FIND(" ",TRIM(E6&amp;""))),ISNUMBER(MATCH(LEFT(TRIM(E6&amp;""),FIND(" ",TRIM(E6&amp;""))-1),코드표!$J$2:$J$101,0)),ISNUMBER(MATCH(TRIM(RIGHT(SUBSTITUTE(TRIM(E6&amp;"")," ",REPT(" ",60)),60)),코드표!$F$2:$F$101,0))),INDEX(코드표!$K$2:$K$101,MATCH(LEFT(TRIM(E6&amp;""),FIND(" ",TRIM(E6&amp;""))-1),코드표!$J$2:$J$101,0))&amp;" "&amp;INDEX(코드표!$G$2:$G$101,MATCH(TRIM(RIGHT(SUBSTITUTE(TRIM(E6&amp;"")," ",REPT(" ",60)),60)),코드표!$F$2:$F$101,0)),"⚠"&amp;TRIM(E6&amp;""))),"⚠"&amp;TRIM(E6&amp;""))</f>
        <v/>
      </c>
      <c r="N6" s="10">
        <f>IFERROR(IF(TRIM(F6&amp;"")="","",IF(AND(ISNUMBER(FIND(" ",TRIM(F6&amp;""))),ISNUMBER(MATCH(LEFT(TRIM(F6&amp;""),FIND(" ",TRIM(F6&amp;""))-1),코드표!$J$2:$J$101,0)),ISNUMBER(MATCH(TRIM(RIGHT(SUBSTITUTE(TRIM(F6&amp;"")," ",REPT(" ",60)),60)),코드표!$F$2:$F$101,0))),INDEX(코드표!$K$2:$K$101,MATCH(LEFT(TRIM(F6&amp;""),FIND(" ",TRIM(F6&amp;""))-1),코드표!$J$2:$J$101,0))&amp;" "&amp;INDEX(코드표!$G$2:$G$101,MATCH(TRIM(RIGHT(SUBSTITUTE(TRIM(F6&amp;"")," ",REPT(" ",60)),60)),코드표!$F$2:$F$101,0)),"⚠"&amp;TRIM(F6&amp;""))),"⚠"&amp;TRIM(F6&amp;""))</f>
        <v/>
      </c>
      <c r="O6" s="10">
        <f>IFERROR(IF(TRIM(G6&amp;"")="","",IF(AND(ISNUMBER(FIND(" ",TRIM(G6&amp;""))),ISNUMBER(MATCH(LEFT(TRIM(G6&amp;""),FIND(" ",TRIM(G6&amp;""))-1),코드표!$J$2:$J$101,0)),ISNUMBER(MATCH(TRIM(RIGHT(SUBSTITUTE(TRIM(G6&amp;"")," ",REPT(" ",60)),60)),코드표!$F$2:$F$101,0))),INDEX(코드표!$K$2:$K$101,MATCH(LEFT(TRIM(G6&amp;""),FIND(" ",TRIM(G6&amp;""))-1),코드표!$J$2:$J$101,0))&amp;" "&amp;INDEX(코드표!$G$2:$G$101,MATCH(TRIM(RIGHT(SUBSTITUTE(TRIM(G6&amp;"")," ",REPT(" ",60)),60)),코드표!$F$2:$F$101,0)),"⚠"&amp;TRIM(G6&amp;""))),"⚠"&amp;TRIM(G6&amp;""))</f>
        <v/>
      </c>
      <c r="P6" s="10">
        <f>IFERROR(IF(TRIM(H6&amp;"")="","",IF(AND(ISNUMBER(FIND(" ",TRIM(H6&amp;""))),ISNUMBER(MATCH(LEFT(TRIM(H6&amp;""),FIND(" ",TRIM(H6&amp;""))-1),코드표!$J$2:$J$101,0)),ISNUMBER(MATCH(TRIM(RIGHT(SUBSTITUTE(TRIM(H6&amp;"")," ",REPT(" ",60)),60)),코드표!$F$2:$F$101,0))),INDEX(코드표!$K$2:$K$101,MATCH(LEFT(TRIM(H6&amp;""),FIND(" ",TRIM(H6&amp;""))-1),코드표!$J$2:$J$101,0))&amp;" "&amp;INDEX(코드표!$G$2:$G$101,MATCH(TRIM(RIGHT(SUBSTITUTE(TRIM(H6&amp;"")," ",REPT(" ",60)),60)),코드표!$F$2:$F$101,0)),"⚠"&amp;TRIM(H6&amp;""))),"⚠"&amp;TRIM(H6&amp;""))</f>
        <v/>
      </c>
      <c r="Q6" s="10">
        <f>IFERROR(IF(TRIM(I6&amp;"")="","",IF(AND(ISNUMBER(FIND(" ",TRIM(I6&amp;""))),ISNUMBER(MATCH(LEFT(TRIM(I6&amp;""),FIND(" ",TRIM(I6&amp;""))-1),코드표!$J$2:$J$101,0)),ISNUMBER(MATCH(TRIM(RIGHT(SUBSTITUTE(TRIM(I6&amp;"")," ",REPT(" ",60)),60)),코드표!$F$2:$F$101,0))),INDEX(코드표!$K$2:$K$101,MATCH(LEFT(TRIM(I6&amp;""),FIND(" ",TRIM(I6&amp;""))-1),코드표!$J$2:$J$101,0))&amp;" "&amp;INDEX(코드표!$G$2:$G$101,MATCH(TRIM(RIGHT(SUBSTITUTE(TRIM(I6&amp;"")," ",REPT(" ",60)),60)),코드표!$F$2:$F$101,0)),"⚠"&amp;TRIM(I6&amp;""))),"⚠"&amp;TRIM(I6&amp;""))</f>
        <v/>
      </c>
      <c r="R6" s="10">
        <f>IFERROR(IF(TRIM(J6&amp;"")="","",IF(AND(ISNUMBER(FIND(" ",TRIM(J6&amp;""))),ISNUMBER(MATCH(LEFT(TRIM(J6&amp;""),FIND(" ",TRIM(J6&amp;""))-1),코드표!$J$2:$J$101,0)),ISNUMBER(MATCH(TRIM(RIGHT(SUBSTITUTE(TRIM(J6&amp;"")," ",REPT(" ",60)),60)),코드표!$F$2:$F$101,0))),INDEX(코드표!$K$2:$K$101,MATCH(LEFT(TRIM(J6&amp;""),FIND(" ",TRIM(J6&amp;""))-1),코드표!$J$2:$J$101,0))&amp;" "&amp;INDEX(코드표!$G$2:$G$101,MATCH(TRIM(RIGHT(SUBSTITUTE(TRIM(J6&amp;"")," ",REPT(" ",60)),60)),코드표!$F$2:$F$101,0)),"⚠"&amp;TRIM(J6&amp;""))),"⚠"&amp;TRIM(J6&amp;""))</f>
        <v/>
      </c>
      <c r="S6" s="11">
        <f>IF(K6="","",IFERROR(IF(AND(ROUND((VALUE(K6&amp;"")-INT(VALUE(K6&amp;"")))*100,0)&gt;=1,ROUND((VALUE(K6&amp;"")-INT(VALUE(K6&amp;"")))*100,0)&lt;=12,INT(VALUE(K6&amp;""))&gt;=1900),DATE(INT(VALUE(K6&amp;"")),ROUND((VALUE(K6&amp;"")-INT(VALUE(K6&amp;"")))*100,0),1),K6&amp;""),K6&amp;""))</f>
        <v/>
      </c>
      <c r="T6" s="10">
        <f>COUNTIF(M6:R6,"⚠*")</f>
        <v/>
      </c>
    </row>
    <row r="7"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M7" s="10">
        <f>IFERROR(IF(TRIM(E7&amp;"")="","",IF(AND(ISNUMBER(FIND(" ",TRIM(E7&amp;""))),ISNUMBER(MATCH(LEFT(TRIM(E7&amp;""),FIND(" ",TRIM(E7&amp;""))-1),코드표!$J$2:$J$101,0)),ISNUMBER(MATCH(TRIM(RIGHT(SUBSTITUTE(TRIM(E7&amp;"")," ",REPT(" ",60)),60)),코드표!$F$2:$F$101,0))),INDEX(코드표!$K$2:$K$101,MATCH(LEFT(TRIM(E7&amp;""),FIND(" ",TRIM(E7&amp;""))-1),코드표!$J$2:$J$101,0))&amp;" "&amp;INDEX(코드표!$G$2:$G$101,MATCH(TRIM(RIGHT(SUBSTITUTE(TRIM(E7&amp;"")," ",REPT(" ",60)),60)),코드표!$F$2:$F$101,0)),"⚠"&amp;TRIM(E7&amp;""))),"⚠"&amp;TRIM(E7&amp;""))</f>
        <v/>
      </c>
      <c r="N7" s="10">
        <f>IFERROR(IF(TRIM(F7&amp;"")="","",IF(AND(ISNUMBER(FIND(" ",TRIM(F7&amp;""))),ISNUMBER(MATCH(LEFT(TRIM(F7&amp;""),FIND(" ",TRIM(F7&amp;""))-1),코드표!$J$2:$J$101,0)),ISNUMBER(MATCH(TRIM(RIGHT(SUBSTITUTE(TRIM(F7&amp;"")," ",REPT(" ",60)),60)),코드표!$F$2:$F$101,0))),INDEX(코드표!$K$2:$K$101,MATCH(LEFT(TRIM(F7&amp;""),FIND(" ",TRIM(F7&amp;""))-1),코드표!$J$2:$J$101,0))&amp;" "&amp;INDEX(코드표!$G$2:$G$101,MATCH(TRIM(RIGHT(SUBSTITUTE(TRIM(F7&amp;"")," ",REPT(" ",60)),60)),코드표!$F$2:$F$101,0)),"⚠"&amp;TRIM(F7&amp;""))),"⚠"&amp;TRIM(F7&amp;""))</f>
        <v/>
      </c>
      <c r="O7" s="10">
        <f>IFERROR(IF(TRIM(G7&amp;"")="","",IF(AND(ISNUMBER(FIND(" ",TRIM(G7&amp;""))),ISNUMBER(MATCH(LEFT(TRIM(G7&amp;""),FIND(" ",TRIM(G7&amp;""))-1),코드표!$J$2:$J$101,0)),ISNUMBER(MATCH(TRIM(RIGHT(SUBSTITUTE(TRIM(G7&amp;"")," ",REPT(" ",60)),60)),코드표!$F$2:$F$101,0))),INDEX(코드표!$K$2:$K$101,MATCH(LEFT(TRIM(G7&amp;""),FIND(" ",TRIM(G7&amp;""))-1),코드표!$J$2:$J$101,0))&amp;" "&amp;INDEX(코드표!$G$2:$G$101,MATCH(TRIM(RIGHT(SUBSTITUTE(TRIM(G7&amp;"")," ",REPT(" ",60)),60)),코드표!$F$2:$F$101,0)),"⚠"&amp;TRIM(G7&amp;""))),"⚠"&amp;TRIM(G7&amp;""))</f>
        <v/>
      </c>
      <c r="P7" s="10">
        <f>IFERROR(IF(TRIM(H7&amp;"")="","",IF(AND(ISNUMBER(FIND(" ",TRIM(H7&amp;""))),ISNUMBER(MATCH(LEFT(TRIM(H7&amp;""),FIND(" ",TRIM(H7&amp;""))-1),코드표!$J$2:$J$101,0)),ISNUMBER(MATCH(TRIM(RIGHT(SUBSTITUTE(TRIM(H7&amp;"")," ",REPT(" ",60)),60)),코드표!$F$2:$F$101,0))),INDEX(코드표!$K$2:$K$101,MATCH(LEFT(TRIM(H7&amp;""),FIND(" ",TRIM(H7&amp;""))-1),코드표!$J$2:$J$101,0))&amp;" "&amp;INDEX(코드표!$G$2:$G$101,MATCH(TRIM(RIGHT(SUBSTITUTE(TRIM(H7&amp;"")," ",REPT(" ",60)),60)),코드표!$F$2:$F$101,0)),"⚠"&amp;TRIM(H7&amp;""))),"⚠"&amp;TRIM(H7&amp;""))</f>
        <v/>
      </c>
      <c r="Q7" s="10">
        <f>IFERROR(IF(TRIM(I7&amp;"")="","",IF(AND(ISNUMBER(FIND(" ",TRIM(I7&amp;""))),ISNUMBER(MATCH(LEFT(TRIM(I7&amp;""),FIND(" ",TRIM(I7&amp;""))-1),코드표!$J$2:$J$101,0)),ISNUMBER(MATCH(TRIM(RIGHT(SUBSTITUTE(TRIM(I7&amp;"")," ",REPT(" ",60)),60)),코드표!$F$2:$F$101,0))),INDEX(코드표!$K$2:$K$101,MATCH(LEFT(TRIM(I7&amp;""),FIND(" ",TRIM(I7&amp;""))-1),코드표!$J$2:$J$101,0))&amp;" "&amp;INDEX(코드표!$G$2:$G$101,MATCH(TRIM(RIGHT(SUBSTITUTE(TRIM(I7&amp;"")," ",REPT(" ",60)),60)),코드표!$F$2:$F$101,0)),"⚠"&amp;TRIM(I7&amp;""))),"⚠"&amp;TRIM(I7&amp;""))</f>
        <v/>
      </c>
      <c r="R7" s="10">
        <f>IFERROR(IF(TRIM(J7&amp;"")="","",IF(AND(ISNUMBER(FIND(" ",TRIM(J7&amp;""))),ISNUMBER(MATCH(LEFT(TRIM(J7&amp;""),FIND(" ",TRIM(J7&amp;""))-1),코드표!$J$2:$J$101,0)),ISNUMBER(MATCH(TRIM(RIGHT(SUBSTITUTE(TRIM(J7&amp;"")," ",REPT(" ",60)),60)),코드표!$F$2:$F$101,0))),INDEX(코드표!$K$2:$K$101,MATCH(LEFT(TRIM(J7&amp;""),FIND(" ",TRIM(J7&amp;""))-1),코드표!$J$2:$J$101,0))&amp;" "&amp;INDEX(코드표!$G$2:$G$101,MATCH(TRIM(RIGHT(SUBSTITUTE(TRIM(J7&amp;"")," ",REPT(" ",60)),60)),코드표!$F$2:$F$101,0)),"⚠"&amp;TRIM(J7&amp;""))),"⚠"&amp;TRIM(J7&amp;""))</f>
        <v/>
      </c>
      <c r="S7" s="11">
        <f>IF(K7="","",IFERROR(IF(AND(ROUND((VALUE(K7&amp;"")-INT(VALUE(K7&amp;"")))*100,0)&gt;=1,ROUND((VALUE(K7&amp;"")-INT(VALUE(K7&amp;"")))*100,0)&lt;=12,INT(VALUE(K7&amp;""))&gt;=1900),DATE(INT(VALUE(K7&amp;"")),ROUND((VALUE(K7&amp;"")-INT(VALUE(K7&amp;"")))*100,0),1),K7&amp;""),K7&amp;""))</f>
        <v/>
      </c>
      <c r="T7" s="10">
        <f>COUNTIF(M7:R7,"⚠*")</f>
        <v/>
      </c>
    </row>
    <row r="8"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M8" s="10">
        <f>IFERROR(IF(TRIM(E8&amp;"")="","",IF(AND(ISNUMBER(FIND(" ",TRIM(E8&amp;""))),ISNUMBER(MATCH(LEFT(TRIM(E8&amp;""),FIND(" ",TRIM(E8&amp;""))-1),코드표!$J$2:$J$101,0)),ISNUMBER(MATCH(TRIM(RIGHT(SUBSTITUTE(TRIM(E8&amp;"")," ",REPT(" ",60)),60)),코드표!$F$2:$F$101,0))),INDEX(코드표!$K$2:$K$101,MATCH(LEFT(TRIM(E8&amp;""),FIND(" ",TRIM(E8&amp;""))-1),코드표!$J$2:$J$101,0))&amp;" "&amp;INDEX(코드표!$G$2:$G$101,MATCH(TRIM(RIGHT(SUBSTITUTE(TRIM(E8&amp;"")," ",REPT(" ",60)),60)),코드표!$F$2:$F$101,0)),"⚠"&amp;TRIM(E8&amp;""))),"⚠"&amp;TRIM(E8&amp;""))</f>
        <v/>
      </c>
      <c r="N8" s="10">
        <f>IFERROR(IF(TRIM(F8&amp;"")="","",IF(AND(ISNUMBER(FIND(" ",TRIM(F8&amp;""))),ISNUMBER(MATCH(LEFT(TRIM(F8&amp;""),FIND(" ",TRIM(F8&amp;""))-1),코드표!$J$2:$J$101,0)),ISNUMBER(MATCH(TRIM(RIGHT(SUBSTITUTE(TRIM(F8&amp;"")," ",REPT(" ",60)),60)),코드표!$F$2:$F$101,0))),INDEX(코드표!$K$2:$K$101,MATCH(LEFT(TRIM(F8&amp;""),FIND(" ",TRIM(F8&amp;""))-1),코드표!$J$2:$J$101,0))&amp;" "&amp;INDEX(코드표!$G$2:$G$101,MATCH(TRIM(RIGHT(SUBSTITUTE(TRIM(F8&amp;"")," ",REPT(" ",60)),60)),코드표!$F$2:$F$101,0)),"⚠"&amp;TRIM(F8&amp;""))),"⚠"&amp;TRIM(F8&amp;""))</f>
        <v/>
      </c>
      <c r="O8" s="10">
        <f>IFERROR(IF(TRIM(G8&amp;"")="","",IF(AND(ISNUMBER(FIND(" ",TRIM(G8&amp;""))),ISNUMBER(MATCH(LEFT(TRIM(G8&amp;""),FIND(" ",TRIM(G8&amp;""))-1),코드표!$J$2:$J$101,0)),ISNUMBER(MATCH(TRIM(RIGHT(SUBSTITUTE(TRIM(G8&amp;"")," ",REPT(" ",60)),60)),코드표!$F$2:$F$101,0))),INDEX(코드표!$K$2:$K$101,MATCH(LEFT(TRIM(G8&amp;""),FIND(" ",TRIM(G8&amp;""))-1),코드표!$J$2:$J$101,0))&amp;" "&amp;INDEX(코드표!$G$2:$G$101,MATCH(TRIM(RIGHT(SUBSTITUTE(TRIM(G8&amp;"")," ",REPT(" ",60)),60)),코드표!$F$2:$F$101,0)),"⚠"&amp;TRIM(G8&amp;""))),"⚠"&amp;TRIM(G8&amp;""))</f>
        <v/>
      </c>
      <c r="P8" s="10">
        <f>IFERROR(IF(TRIM(H8&amp;"")="","",IF(AND(ISNUMBER(FIND(" ",TRIM(H8&amp;""))),ISNUMBER(MATCH(LEFT(TRIM(H8&amp;""),FIND(" ",TRIM(H8&amp;""))-1),코드표!$J$2:$J$101,0)),ISNUMBER(MATCH(TRIM(RIGHT(SUBSTITUTE(TRIM(H8&amp;"")," ",REPT(" ",60)),60)),코드표!$F$2:$F$101,0))),INDEX(코드표!$K$2:$K$101,MATCH(LEFT(TRIM(H8&amp;""),FIND(" ",TRIM(H8&amp;""))-1),코드표!$J$2:$J$101,0))&amp;" "&amp;INDEX(코드표!$G$2:$G$101,MATCH(TRIM(RIGHT(SUBSTITUTE(TRIM(H8&amp;"")," ",REPT(" ",60)),60)),코드표!$F$2:$F$101,0)),"⚠"&amp;TRIM(H8&amp;""))),"⚠"&amp;TRIM(H8&amp;""))</f>
        <v/>
      </c>
      <c r="Q8" s="10">
        <f>IFERROR(IF(TRIM(I8&amp;"")="","",IF(AND(ISNUMBER(FIND(" ",TRIM(I8&amp;""))),ISNUMBER(MATCH(LEFT(TRIM(I8&amp;""),FIND(" ",TRIM(I8&amp;""))-1),코드표!$J$2:$J$101,0)),ISNUMBER(MATCH(TRIM(RIGHT(SUBSTITUTE(TRIM(I8&amp;"")," ",REPT(" ",60)),60)),코드표!$F$2:$F$101,0))),INDEX(코드표!$K$2:$K$101,MATCH(LEFT(TRIM(I8&amp;""),FIND(" ",TRIM(I8&amp;""))-1),코드표!$J$2:$J$101,0))&amp;" "&amp;INDEX(코드표!$G$2:$G$101,MATCH(TRIM(RIGHT(SUBSTITUTE(TRIM(I8&amp;"")," ",REPT(" ",60)),60)),코드표!$F$2:$F$101,0)),"⚠"&amp;TRIM(I8&amp;""))),"⚠"&amp;TRIM(I8&amp;""))</f>
        <v/>
      </c>
      <c r="R8" s="10">
        <f>IFERROR(IF(TRIM(J8&amp;"")="","",IF(AND(ISNUMBER(FIND(" ",TRIM(J8&amp;""))),ISNUMBER(MATCH(LEFT(TRIM(J8&amp;""),FIND(" ",TRIM(J8&amp;""))-1),코드표!$J$2:$J$101,0)),ISNUMBER(MATCH(TRIM(RIGHT(SUBSTITUTE(TRIM(J8&amp;"")," ",REPT(" ",60)),60)),코드표!$F$2:$F$101,0))),INDEX(코드표!$K$2:$K$101,MATCH(LEFT(TRIM(J8&amp;""),FIND(" ",TRIM(J8&amp;""))-1),코드표!$J$2:$J$101,0))&amp;" "&amp;INDEX(코드표!$G$2:$G$101,MATCH(TRIM(RIGHT(SUBSTITUTE(TRIM(J8&amp;"")," ",REPT(" ",60)),60)),코드표!$F$2:$F$101,0)),"⚠"&amp;TRIM(J8&amp;""))),"⚠"&amp;TRIM(J8&amp;""))</f>
        <v/>
      </c>
      <c r="S8" s="11">
        <f>IF(K8="","",IFERROR(IF(AND(ROUND((VALUE(K8&amp;"")-INT(VALUE(K8&amp;"")))*100,0)&gt;=1,ROUND((VALUE(K8&amp;"")-INT(VALUE(K8&amp;"")))*100,0)&lt;=12,INT(VALUE(K8&amp;""))&gt;=1900),DATE(INT(VALUE(K8&amp;"")),ROUND((VALUE(K8&amp;"")-INT(VALUE(K8&amp;"")))*100,0),1),K8&amp;""),K8&amp;""))</f>
        <v/>
      </c>
      <c r="T8" s="10">
        <f>COUNTIF(M8:R8,"⚠*")</f>
        <v/>
      </c>
    </row>
    <row r="9"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M9" s="10">
        <f>IFERROR(IF(TRIM(E9&amp;"")="","",IF(AND(ISNUMBER(FIND(" ",TRIM(E9&amp;""))),ISNUMBER(MATCH(LEFT(TRIM(E9&amp;""),FIND(" ",TRIM(E9&amp;""))-1),코드표!$J$2:$J$101,0)),ISNUMBER(MATCH(TRIM(RIGHT(SUBSTITUTE(TRIM(E9&amp;"")," ",REPT(" ",60)),60)),코드표!$F$2:$F$101,0))),INDEX(코드표!$K$2:$K$101,MATCH(LEFT(TRIM(E9&amp;""),FIND(" ",TRIM(E9&amp;""))-1),코드표!$J$2:$J$101,0))&amp;" "&amp;INDEX(코드표!$G$2:$G$101,MATCH(TRIM(RIGHT(SUBSTITUTE(TRIM(E9&amp;"")," ",REPT(" ",60)),60)),코드표!$F$2:$F$101,0)),"⚠"&amp;TRIM(E9&amp;""))),"⚠"&amp;TRIM(E9&amp;""))</f>
        <v/>
      </c>
      <c r="N9" s="10">
        <f>IFERROR(IF(TRIM(F9&amp;"")="","",IF(AND(ISNUMBER(FIND(" ",TRIM(F9&amp;""))),ISNUMBER(MATCH(LEFT(TRIM(F9&amp;""),FIND(" ",TRIM(F9&amp;""))-1),코드표!$J$2:$J$101,0)),ISNUMBER(MATCH(TRIM(RIGHT(SUBSTITUTE(TRIM(F9&amp;"")," ",REPT(" ",60)),60)),코드표!$F$2:$F$101,0))),INDEX(코드표!$K$2:$K$101,MATCH(LEFT(TRIM(F9&amp;""),FIND(" ",TRIM(F9&amp;""))-1),코드표!$J$2:$J$101,0))&amp;" "&amp;INDEX(코드표!$G$2:$G$101,MATCH(TRIM(RIGHT(SUBSTITUTE(TRIM(F9&amp;"")," ",REPT(" ",60)),60)),코드표!$F$2:$F$101,0)),"⚠"&amp;TRIM(F9&amp;""))),"⚠"&amp;TRIM(F9&amp;""))</f>
        <v/>
      </c>
      <c r="O9" s="10">
        <f>IFERROR(IF(TRIM(G9&amp;"")="","",IF(AND(ISNUMBER(FIND(" ",TRIM(G9&amp;""))),ISNUMBER(MATCH(LEFT(TRIM(G9&amp;""),FIND(" ",TRIM(G9&amp;""))-1),코드표!$J$2:$J$101,0)),ISNUMBER(MATCH(TRIM(RIGHT(SUBSTITUTE(TRIM(G9&amp;"")," ",REPT(" ",60)),60)),코드표!$F$2:$F$101,0))),INDEX(코드표!$K$2:$K$101,MATCH(LEFT(TRIM(G9&amp;""),FIND(" ",TRIM(G9&amp;""))-1),코드표!$J$2:$J$101,0))&amp;" "&amp;INDEX(코드표!$G$2:$G$101,MATCH(TRIM(RIGHT(SUBSTITUTE(TRIM(G9&amp;"")," ",REPT(" ",60)),60)),코드표!$F$2:$F$101,0)),"⚠"&amp;TRIM(G9&amp;""))),"⚠"&amp;TRIM(G9&amp;""))</f>
        <v/>
      </c>
      <c r="P9" s="10">
        <f>IFERROR(IF(TRIM(H9&amp;"")="","",IF(AND(ISNUMBER(FIND(" ",TRIM(H9&amp;""))),ISNUMBER(MATCH(LEFT(TRIM(H9&amp;""),FIND(" ",TRIM(H9&amp;""))-1),코드표!$J$2:$J$101,0)),ISNUMBER(MATCH(TRIM(RIGHT(SUBSTITUTE(TRIM(H9&amp;"")," ",REPT(" ",60)),60)),코드표!$F$2:$F$101,0))),INDEX(코드표!$K$2:$K$101,MATCH(LEFT(TRIM(H9&amp;""),FIND(" ",TRIM(H9&amp;""))-1),코드표!$J$2:$J$101,0))&amp;" "&amp;INDEX(코드표!$G$2:$G$101,MATCH(TRIM(RIGHT(SUBSTITUTE(TRIM(H9&amp;"")," ",REPT(" ",60)),60)),코드표!$F$2:$F$101,0)),"⚠"&amp;TRIM(H9&amp;""))),"⚠"&amp;TRIM(H9&amp;""))</f>
        <v/>
      </c>
      <c r="Q9" s="10">
        <f>IFERROR(IF(TRIM(I9&amp;"")="","",IF(AND(ISNUMBER(FIND(" ",TRIM(I9&amp;""))),ISNUMBER(MATCH(LEFT(TRIM(I9&amp;""),FIND(" ",TRIM(I9&amp;""))-1),코드표!$J$2:$J$101,0)),ISNUMBER(MATCH(TRIM(RIGHT(SUBSTITUTE(TRIM(I9&amp;"")," ",REPT(" ",60)),60)),코드표!$F$2:$F$101,0))),INDEX(코드표!$K$2:$K$101,MATCH(LEFT(TRIM(I9&amp;""),FIND(" ",TRIM(I9&amp;""))-1),코드표!$J$2:$J$101,0))&amp;" "&amp;INDEX(코드표!$G$2:$G$101,MATCH(TRIM(RIGHT(SUBSTITUTE(TRIM(I9&amp;"")," ",REPT(" ",60)),60)),코드표!$F$2:$F$101,0)),"⚠"&amp;TRIM(I9&amp;""))),"⚠"&amp;TRIM(I9&amp;""))</f>
        <v/>
      </c>
      <c r="R9" s="10">
        <f>IFERROR(IF(TRIM(J9&amp;"")="","",IF(AND(ISNUMBER(FIND(" ",TRIM(J9&amp;""))),ISNUMBER(MATCH(LEFT(TRIM(J9&amp;""),FIND(" ",TRIM(J9&amp;""))-1),코드표!$J$2:$J$101,0)),ISNUMBER(MATCH(TRIM(RIGHT(SUBSTITUTE(TRIM(J9&amp;"")," ",REPT(" ",60)),60)),코드표!$F$2:$F$101,0))),INDEX(코드표!$K$2:$K$101,MATCH(LEFT(TRIM(J9&amp;""),FIND(" ",TRIM(J9&amp;""))-1),코드표!$J$2:$J$101,0))&amp;" "&amp;INDEX(코드표!$G$2:$G$101,MATCH(TRIM(RIGHT(SUBSTITUTE(TRIM(J9&amp;"")," ",REPT(" ",60)),60)),코드표!$F$2:$F$101,0)),"⚠"&amp;TRIM(J9&amp;""))),"⚠"&amp;TRIM(J9&amp;""))</f>
        <v/>
      </c>
      <c r="S9" s="11">
        <f>IF(K9="","",IFERROR(IF(AND(ROUND((VALUE(K9&amp;"")-INT(VALUE(K9&amp;"")))*100,0)&gt;=1,ROUND((VALUE(K9&amp;"")-INT(VALUE(K9&amp;"")))*100,0)&lt;=12,INT(VALUE(K9&amp;""))&gt;=1900),DATE(INT(VALUE(K9&amp;"")),ROUND((VALUE(K9&amp;"")-INT(VALUE(K9&amp;"")))*100,0),1),K9&amp;""),K9&amp;""))</f>
        <v/>
      </c>
      <c r="T9" s="10">
        <f>COUNTIF(M9:R9,"⚠*")</f>
        <v/>
      </c>
    </row>
    <row r="10"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M10" s="10">
        <f>IFERROR(IF(TRIM(E10&amp;"")="","",IF(AND(ISNUMBER(FIND(" ",TRIM(E10&amp;""))),ISNUMBER(MATCH(LEFT(TRIM(E10&amp;""),FIND(" ",TRIM(E10&amp;""))-1),코드표!$J$2:$J$101,0)),ISNUMBER(MATCH(TRIM(RIGHT(SUBSTITUTE(TRIM(E10&amp;"")," ",REPT(" ",60)),60)),코드표!$F$2:$F$101,0))),INDEX(코드표!$K$2:$K$101,MATCH(LEFT(TRIM(E10&amp;""),FIND(" ",TRIM(E10&amp;""))-1),코드표!$J$2:$J$101,0))&amp;" "&amp;INDEX(코드표!$G$2:$G$101,MATCH(TRIM(RIGHT(SUBSTITUTE(TRIM(E10&amp;"")," ",REPT(" ",60)),60)),코드표!$F$2:$F$101,0)),"⚠"&amp;TRIM(E10&amp;""))),"⚠"&amp;TRIM(E10&amp;""))</f>
        <v/>
      </c>
      <c r="N10" s="10">
        <f>IFERROR(IF(TRIM(F10&amp;"")="","",IF(AND(ISNUMBER(FIND(" ",TRIM(F10&amp;""))),ISNUMBER(MATCH(LEFT(TRIM(F10&amp;""),FIND(" ",TRIM(F10&amp;""))-1),코드표!$J$2:$J$101,0)),ISNUMBER(MATCH(TRIM(RIGHT(SUBSTITUTE(TRIM(F10&amp;"")," ",REPT(" ",60)),60)),코드표!$F$2:$F$101,0))),INDEX(코드표!$K$2:$K$101,MATCH(LEFT(TRIM(F10&amp;""),FIND(" ",TRIM(F10&amp;""))-1),코드표!$J$2:$J$101,0))&amp;" "&amp;INDEX(코드표!$G$2:$G$101,MATCH(TRIM(RIGHT(SUBSTITUTE(TRIM(F10&amp;"")," ",REPT(" ",60)),60)),코드표!$F$2:$F$101,0)),"⚠"&amp;TRIM(F10&amp;""))),"⚠"&amp;TRIM(F10&amp;""))</f>
        <v/>
      </c>
      <c r="O10" s="10">
        <f>IFERROR(IF(TRIM(G10&amp;"")="","",IF(AND(ISNUMBER(FIND(" ",TRIM(G10&amp;""))),ISNUMBER(MATCH(LEFT(TRIM(G10&amp;""),FIND(" ",TRIM(G10&amp;""))-1),코드표!$J$2:$J$101,0)),ISNUMBER(MATCH(TRIM(RIGHT(SUBSTITUTE(TRIM(G10&amp;"")," ",REPT(" ",60)),60)),코드표!$F$2:$F$101,0))),INDEX(코드표!$K$2:$K$101,MATCH(LEFT(TRIM(G10&amp;""),FIND(" ",TRIM(G10&amp;""))-1),코드표!$J$2:$J$101,0))&amp;" "&amp;INDEX(코드표!$G$2:$G$101,MATCH(TRIM(RIGHT(SUBSTITUTE(TRIM(G10&amp;"")," ",REPT(" ",60)),60)),코드표!$F$2:$F$101,0)),"⚠"&amp;TRIM(G10&amp;""))),"⚠"&amp;TRIM(G10&amp;""))</f>
        <v/>
      </c>
      <c r="P10" s="10">
        <f>IFERROR(IF(TRIM(H10&amp;"")="","",IF(AND(ISNUMBER(FIND(" ",TRIM(H10&amp;""))),ISNUMBER(MATCH(LEFT(TRIM(H10&amp;""),FIND(" ",TRIM(H10&amp;""))-1),코드표!$J$2:$J$101,0)),ISNUMBER(MATCH(TRIM(RIGHT(SUBSTITUTE(TRIM(H10&amp;"")," ",REPT(" ",60)),60)),코드표!$F$2:$F$101,0))),INDEX(코드표!$K$2:$K$101,MATCH(LEFT(TRIM(H10&amp;""),FIND(" ",TRIM(H10&amp;""))-1),코드표!$J$2:$J$101,0))&amp;" "&amp;INDEX(코드표!$G$2:$G$101,MATCH(TRIM(RIGHT(SUBSTITUTE(TRIM(H10&amp;"")," ",REPT(" ",60)),60)),코드표!$F$2:$F$101,0)),"⚠"&amp;TRIM(H10&amp;""))),"⚠"&amp;TRIM(H10&amp;""))</f>
        <v/>
      </c>
      <c r="Q10" s="10">
        <f>IFERROR(IF(TRIM(I10&amp;"")="","",IF(AND(ISNUMBER(FIND(" ",TRIM(I10&amp;""))),ISNUMBER(MATCH(LEFT(TRIM(I10&amp;""),FIND(" ",TRIM(I10&amp;""))-1),코드표!$J$2:$J$101,0)),ISNUMBER(MATCH(TRIM(RIGHT(SUBSTITUTE(TRIM(I10&amp;"")," ",REPT(" ",60)),60)),코드표!$F$2:$F$101,0))),INDEX(코드표!$K$2:$K$101,MATCH(LEFT(TRIM(I10&amp;""),FIND(" ",TRIM(I10&amp;""))-1),코드표!$J$2:$J$101,0))&amp;" "&amp;INDEX(코드표!$G$2:$G$101,MATCH(TRIM(RIGHT(SUBSTITUTE(TRIM(I10&amp;"")," ",REPT(" ",60)),60)),코드표!$F$2:$F$101,0)),"⚠"&amp;TRIM(I10&amp;""))),"⚠"&amp;TRIM(I10&amp;""))</f>
        <v/>
      </c>
      <c r="R10" s="10">
        <f>IFERROR(IF(TRIM(J10&amp;"")="","",IF(AND(ISNUMBER(FIND(" ",TRIM(J10&amp;""))),ISNUMBER(MATCH(LEFT(TRIM(J10&amp;""),FIND(" ",TRIM(J10&amp;""))-1),코드표!$J$2:$J$101,0)),ISNUMBER(MATCH(TRIM(RIGHT(SUBSTITUTE(TRIM(J10&amp;"")," ",REPT(" ",60)),60)),코드표!$F$2:$F$101,0))),INDEX(코드표!$K$2:$K$101,MATCH(LEFT(TRIM(J10&amp;""),FIND(" ",TRIM(J10&amp;""))-1),코드표!$J$2:$J$101,0))&amp;" "&amp;INDEX(코드표!$G$2:$G$101,MATCH(TRIM(RIGHT(SUBSTITUTE(TRIM(J10&amp;"")," ",REPT(" ",60)),60)),코드표!$F$2:$F$101,0)),"⚠"&amp;TRIM(J10&amp;""))),"⚠"&amp;TRIM(J10&amp;""))</f>
        <v/>
      </c>
      <c r="S10" s="11">
        <f>IF(K10="","",IFERROR(IF(AND(ROUND((VALUE(K10&amp;"")-INT(VALUE(K10&amp;"")))*100,0)&gt;=1,ROUND((VALUE(K10&amp;"")-INT(VALUE(K10&amp;"")))*100,0)&lt;=12,INT(VALUE(K10&amp;""))&gt;=1900),DATE(INT(VALUE(K10&amp;"")),ROUND((VALUE(K10&amp;"")-INT(VALUE(K10&amp;"")))*100,0),1),K10&amp;""),K10&amp;""))</f>
        <v/>
      </c>
      <c r="T10" s="10">
        <f>COUNTIF(M10:R10,"⚠*")</f>
        <v/>
      </c>
    </row>
    <row r="11"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M11" s="10">
        <f>IFERROR(IF(TRIM(E11&amp;"")="","",IF(AND(ISNUMBER(FIND(" ",TRIM(E11&amp;""))),ISNUMBER(MATCH(LEFT(TRIM(E11&amp;""),FIND(" ",TRIM(E11&amp;""))-1),코드표!$J$2:$J$101,0)),ISNUMBER(MATCH(TRIM(RIGHT(SUBSTITUTE(TRIM(E11&amp;"")," ",REPT(" ",60)),60)),코드표!$F$2:$F$101,0))),INDEX(코드표!$K$2:$K$101,MATCH(LEFT(TRIM(E11&amp;""),FIND(" ",TRIM(E11&amp;""))-1),코드표!$J$2:$J$101,0))&amp;" "&amp;INDEX(코드표!$G$2:$G$101,MATCH(TRIM(RIGHT(SUBSTITUTE(TRIM(E11&amp;"")," ",REPT(" ",60)),60)),코드표!$F$2:$F$101,0)),"⚠"&amp;TRIM(E11&amp;""))),"⚠"&amp;TRIM(E11&amp;""))</f>
        <v/>
      </c>
      <c r="N11" s="10">
        <f>IFERROR(IF(TRIM(F11&amp;"")="","",IF(AND(ISNUMBER(FIND(" ",TRIM(F11&amp;""))),ISNUMBER(MATCH(LEFT(TRIM(F11&amp;""),FIND(" ",TRIM(F11&amp;""))-1),코드표!$J$2:$J$101,0)),ISNUMBER(MATCH(TRIM(RIGHT(SUBSTITUTE(TRIM(F11&amp;"")," ",REPT(" ",60)),60)),코드표!$F$2:$F$101,0))),INDEX(코드표!$K$2:$K$101,MATCH(LEFT(TRIM(F11&amp;""),FIND(" ",TRIM(F11&amp;""))-1),코드표!$J$2:$J$101,0))&amp;" "&amp;INDEX(코드표!$G$2:$G$101,MATCH(TRIM(RIGHT(SUBSTITUTE(TRIM(F11&amp;"")," ",REPT(" ",60)),60)),코드표!$F$2:$F$101,0)),"⚠"&amp;TRIM(F11&amp;""))),"⚠"&amp;TRIM(F11&amp;""))</f>
        <v/>
      </c>
      <c r="O11" s="10">
        <f>IFERROR(IF(TRIM(G11&amp;"")="","",IF(AND(ISNUMBER(FIND(" ",TRIM(G11&amp;""))),ISNUMBER(MATCH(LEFT(TRIM(G11&amp;""),FIND(" ",TRIM(G11&amp;""))-1),코드표!$J$2:$J$101,0)),ISNUMBER(MATCH(TRIM(RIGHT(SUBSTITUTE(TRIM(G11&amp;"")," ",REPT(" ",60)),60)),코드표!$F$2:$F$101,0))),INDEX(코드표!$K$2:$K$101,MATCH(LEFT(TRIM(G11&amp;""),FIND(" ",TRIM(G11&amp;""))-1),코드표!$J$2:$J$101,0))&amp;" "&amp;INDEX(코드표!$G$2:$G$101,MATCH(TRIM(RIGHT(SUBSTITUTE(TRIM(G11&amp;"")," ",REPT(" ",60)),60)),코드표!$F$2:$F$101,0)),"⚠"&amp;TRIM(G11&amp;""))),"⚠"&amp;TRIM(G11&amp;""))</f>
        <v/>
      </c>
      <c r="P11" s="10">
        <f>IFERROR(IF(TRIM(H11&amp;"")="","",IF(AND(ISNUMBER(FIND(" ",TRIM(H11&amp;""))),ISNUMBER(MATCH(LEFT(TRIM(H11&amp;""),FIND(" ",TRIM(H11&amp;""))-1),코드표!$J$2:$J$101,0)),ISNUMBER(MATCH(TRIM(RIGHT(SUBSTITUTE(TRIM(H11&amp;"")," ",REPT(" ",60)),60)),코드표!$F$2:$F$101,0))),INDEX(코드표!$K$2:$K$101,MATCH(LEFT(TRIM(H11&amp;""),FIND(" ",TRIM(H11&amp;""))-1),코드표!$J$2:$J$101,0))&amp;" "&amp;INDEX(코드표!$G$2:$G$101,MATCH(TRIM(RIGHT(SUBSTITUTE(TRIM(H11&amp;"")," ",REPT(" ",60)),60)),코드표!$F$2:$F$101,0)),"⚠"&amp;TRIM(H11&amp;""))),"⚠"&amp;TRIM(H11&amp;""))</f>
        <v/>
      </c>
      <c r="Q11" s="10">
        <f>IFERROR(IF(TRIM(I11&amp;"")="","",IF(AND(ISNUMBER(FIND(" ",TRIM(I11&amp;""))),ISNUMBER(MATCH(LEFT(TRIM(I11&amp;""),FIND(" ",TRIM(I11&amp;""))-1),코드표!$J$2:$J$101,0)),ISNUMBER(MATCH(TRIM(RIGHT(SUBSTITUTE(TRIM(I11&amp;"")," ",REPT(" ",60)),60)),코드표!$F$2:$F$101,0))),INDEX(코드표!$K$2:$K$101,MATCH(LEFT(TRIM(I11&amp;""),FIND(" ",TRIM(I11&amp;""))-1),코드표!$J$2:$J$101,0))&amp;" "&amp;INDEX(코드표!$G$2:$G$101,MATCH(TRIM(RIGHT(SUBSTITUTE(TRIM(I11&amp;"")," ",REPT(" ",60)),60)),코드표!$F$2:$F$101,0)),"⚠"&amp;TRIM(I11&amp;""))),"⚠"&amp;TRIM(I11&amp;""))</f>
        <v/>
      </c>
      <c r="R11" s="10">
        <f>IFERROR(IF(TRIM(J11&amp;"")="","",IF(AND(ISNUMBER(FIND(" ",TRIM(J11&amp;""))),ISNUMBER(MATCH(LEFT(TRIM(J11&amp;""),FIND(" ",TRIM(J11&amp;""))-1),코드표!$J$2:$J$101,0)),ISNUMBER(MATCH(TRIM(RIGHT(SUBSTITUTE(TRIM(J11&amp;"")," ",REPT(" ",60)),60)),코드표!$F$2:$F$101,0))),INDEX(코드표!$K$2:$K$101,MATCH(LEFT(TRIM(J11&amp;""),FIND(" ",TRIM(J11&amp;""))-1),코드표!$J$2:$J$101,0))&amp;" "&amp;INDEX(코드표!$G$2:$G$101,MATCH(TRIM(RIGHT(SUBSTITUTE(TRIM(J11&amp;"")," ",REPT(" ",60)),60)),코드표!$F$2:$F$101,0)),"⚠"&amp;TRIM(J11&amp;""))),"⚠"&amp;TRIM(J11&amp;""))</f>
        <v/>
      </c>
      <c r="S11" s="11">
        <f>IF(K11="","",IFERROR(IF(AND(ROUND((VALUE(K11&amp;"")-INT(VALUE(K11&amp;"")))*100,0)&gt;=1,ROUND((VALUE(K11&amp;"")-INT(VALUE(K11&amp;"")))*100,0)&lt;=12,INT(VALUE(K11&amp;""))&gt;=1900),DATE(INT(VALUE(K11&amp;"")),ROUND((VALUE(K11&amp;"")-INT(VALUE(K11&amp;"")))*100,0),1),K11&amp;""),K11&amp;""))</f>
        <v/>
      </c>
      <c r="T11" s="10">
        <f>COUNTIF(M11:R11,"⚠*")</f>
        <v/>
      </c>
    </row>
    <row r="12"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M12" s="10">
        <f>IFERROR(IF(TRIM(E12&amp;"")="","",IF(AND(ISNUMBER(FIND(" ",TRIM(E12&amp;""))),ISNUMBER(MATCH(LEFT(TRIM(E12&amp;""),FIND(" ",TRIM(E12&amp;""))-1),코드표!$J$2:$J$101,0)),ISNUMBER(MATCH(TRIM(RIGHT(SUBSTITUTE(TRIM(E12&amp;"")," ",REPT(" ",60)),60)),코드표!$F$2:$F$101,0))),INDEX(코드표!$K$2:$K$101,MATCH(LEFT(TRIM(E12&amp;""),FIND(" ",TRIM(E12&amp;""))-1),코드표!$J$2:$J$101,0))&amp;" "&amp;INDEX(코드표!$G$2:$G$101,MATCH(TRIM(RIGHT(SUBSTITUTE(TRIM(E12&amp;"")," ",REPT(" ",60)),60)),코드표!$F$2:$F$101,0)),"⚠"&amp;TRIM(E12&amp;""))),"⚠"&amp;TRIM(E12&amp;""))</f>
        <v/>
      </c>
      <c r="N12" s="10">
        <f>IFERROR(IF(TRIM(F12&amp;"")="","",IF(AND(ISNUMBER(FIND(" ",TRIM(F12&amp;""))),ISNUMBER(MATCH(LEFT(TRIM(F12&amp;""),FIND(" ",TRIM(F12&amp;""))-1),코드표!$J$2:$J$101,0)),ISNUMBER(MATCH(TRIM(RIGHT(SUBSTITUTE(TRIM(F12&amp;"")," ",REPT(" ",60)),60)),코드표!$F$2:$F$101,0))),INDEX(코드표!$K$2:$K$101,MATCH(LEFT(TRIM(F12&amp;""),FIND(" ",TRIM(F12&amp;""))-1),코드표!$J$2:$J$101,0))&amp;" "&amp;INDEX(코드표!$G$2:$G$101,MATCH(TRIM(RIGHT(SUBSTITUTE(TRIM(F12&amp;"")," ",REPT(" ",60)),60)),코드표!$F$2:$F$101,0)),"⚠"&amp;TRIM(F12&amp;""))),"⚠"&amp;TRIM(F12&amp;""))</f>
        <v/>
      </c>
      <c r="O12" s="10">
        <f>IFERROR(IF(TRIM(G12&amp;"")="","",IF(AND(ISNUMBER(FIND(" ",TRIM(G12&amp;""))),ISNUMBER(MATCH(LEFT(TRIM(G12&amp;""),FIND(" ",TRIM(G12&amp;""))-1),코드표!$J$2:$J$101,0)),ISNUMBER(MATCH(TRIM(RIGHT(SUBSTITUTE(TRIM(G12&amp;"")," ",REPT(" ",60)),60)),코드표!$F$2:$F$101,0))),INDEX(코드표!$K$2:$K$101,MATCH(LEFT(TRIM(G12&amp;""),FIND(" ",TRIM(G12&amp;""))-1),코드표!$J$2:$J$101,0))&amp;" "&amp;INDEX(코드표!$G$2:$G$101,MATCH(TRIM(RIGHT(SUBSTITUTE(TRIM(G12&amp;"")," ",REPT(" ",60)),60)),코드표!$F$2:$F$101,0)),"⚠"&amp;TRIM(G12&amp;""))),"⚠"&amp;TRIM(G12&amp;""))</f>
        <v/>
      </c>
      <c r="P12" s="10">
        <f>IFERROR(IF(TRIM(H12&amp;"")="","",IF(AND(ISNUMBER(FIND(" ",TRIM(H12&amp;""))),ISNUMBER(MATCH(LEFT(TRIM(H12&amp;""),FIND(" ",TRIM(H12&amp;""))-1),코드표!$J$2:$J$101,0)),ISNUMBER(MATCH(TRIM(RIGHT(SUBSTITUTE(TRIM(H12&amp;"")," ",REPT(" ",60)),60)),코드표!$F$2:$F$101,0))),INDEX(코드표!$K$2:$K$101,MATCH(LEFT(TRIM(H12&amp;""),FIND(" ",TRIM(H12&amp;""))-1),코드표!$J$2:$J$101,0))&amp;" "&amp;INDEX(코드표!$G$2:$G$101,MATCH(TRIM(RIGHT(SUBSTITUTE(TRIM(H12&amp;"")," ",REPT(" ",60)),60)),코드표!$F$2:$F$101,0)),"⚠"&amp;TRIM(H12&amp;""))),"⚠"&amp;TRIM(H12&amp;""))</f>
        <v/>
      </c>
      <c r="Q12" s="10">
        <f>IFERROR(IF(TRIM(I12&amp;"")="","",IF(AND(ISNUMBER(FIND(" ",TRIM(I12&amp;""))),ISNUMBER(MATCH(LEFT(TRIM(I12&amp;""),FIND(" ",TRIM(I12&amp;""))-1),코드표!$J$2:$J$101,0)),ISNUMBER(MATCH(TRIM(RIGHT(SUBSTITUTE(TRIM(I12&amp;"")," ",REPT(" ",60)),60)),코드표!$F$2:$F$101,0))),INDEX(코드표!$K$2:$K$101,MATCH(LEFT(TRIM(I12&amp;""),FIND(" ",TRIM(I12&amp;""))-1),코드표!$J$2:$J$101,0))&amp;" "&amp;INDEX(코드표!$G$2:$G$101,MATCH(TRIM(RIGHT(SUBSTITUTE(TRIM(I12&amp;"")," ",REPT(" ",60)),60)),코드표!$F$2:$F$101,0)),"⚠"&amp;TRIM(I12&amp;""))),"⚠"&amp;TRIM(I12&amp;""))</f>
        <v/>
      </c>
      <c r="R12" s="10">
        <f>IFERROR(IF(TRIM(J12&amp;"")="","",IF(AND(ISNUMBER(FIND(" ",TRIM(J12&amp;""))),ISNUMBER(MATCH(LEFT(TRIM(J12&amp;""),FIND(" ",TRIM(J12&amp;""))-1),코드표!$J$2:$J$101,0)),ISNUMBER(MATCH(TRIM(RIGHT(SUBSTITUTE(TRIM(J12&amp;"")," ",REPT(" ",60)),60)),코드표!$F$2:$F$101,0))),INDEX(코드표!$K$2:$K$101,MATCH(LEFT(TRIM(J12&amp;""),FIND(" ",TRIM(J12&amp;""))-1),코드표!$J$2:$J$101,0))&amp;" "&amp;INDEX(코드표!$G$2:$G$101,MATCH(TRIM(RIGHT(SUBSTITUTE(TRIM(J12&amp;"")," ",REPT(" ",60)),60)),코드표!$F$2:$F$101,0)),"⚠"&amp;TRIM(J12&amp;""))),"⚠"&amp;TRIM(J12&amp;""))</f>
        <v/>
      </c>
      <c r="S12" s="11">
        <f>IF(K12="","",IFERROR(IF(AND(ROUND((VALUE(K12&amp;"")-INT(VALUE(K12&amp;"")))*100,0)&gt;=1,ROUND((VALUE(K12&amp;"")-INT(VALUE(K12&amp;"")))*100,0)&lt;=12,INT(VALUE(K12&amp;""))&gt;=1900),DATE(INT(VALUE(K12&amp;"")),ROUND((VALUE(K12&amp;"")-INT(VALUE(K12&amp;"")))*100,0),1),K12&amp;""),K12&amp;""))</f>
        <v/>
      </c>
      <c r="T12" s="10">
        <f>COUNTIF(M12:R12,"⚠*")</f>
        <v/>
      </c>
    </row>
    <row r="13"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M13" s="10">
        <f>IFERROR(IF(TRIM(E13&amp;"")="","",IF(AND(ISNUMBER(FIND(" ",TRIM(E13&amp;""))),ISNUMBER(MATCH(LEFT(TRIM(E13&amp;""),FIND(" ",TRIM(E13&amp;""))-1),코드표!$J$2:$J$101,0)),ISNUMBER(MATCH(TRIM(RIGHT(SUBSTITUTE(TRIM(E13&amp;"")," ",REPT(" ",60)),60)),코드표!$F$2:$F$101,0))),INDEX(코드표!$K$2:$K$101,MATCH(LEFT(TRIM(E13&amp;""),FIND(" ",TRIM(E13&amp;""))-1),코드표!$J$2:$J$101,0))&amp;" "&amp;INDEX(코드표!$G$2:$G$101,MATCH(TRIM(RIGHT(SUBSTITUTE(TRIM(E13&amp;"")," ",REPT(" ",60)),60)),코드표!$F$2:$F$101,0)),"⚠"&amp;TRIM(E13&amp;""))),"⚠"&amp;TRIM(E13&amp;""))</f>
        <v/>
      </c>
      <c r="N13" s="10">
        <f>IFERROR(IF(TRIM(F13&amp;"")="","",IF(AND(ISNUMBER(FIND(" ",TRIM(F13&amp;""))),ISNUMBER(MATCH(LEFT(TRIM(F13&amp;""),FIND(" ",TRIM(F13&amp;""))-1),코드표!$J$2:$J$101,0)),ISNUMBER(MATCH(TRIM(RIGHT(SUBSTITUTE(TRIM(F13&amp;"")," ",REPT(" ",60)),60)),코드표!$F$2:$F$101,0))),INDEX(코드표!$K$2:$K$101,MATCH(LEFT(TRIM(F13&amp;""),FIND(" ",TRIM(F13&amp;""))-1),코드표!$J$2:$J$101,0))&amp;" "&amp;INDEX(코드표!$G$2:$G$101,MATCH(TRIM(RIGHT(SUBSTITUTE(TRIM(F13&amp;"")," ",REPT(" ",60)),60)),코드표!$F$2:$F$101,0)),"⚠"&amp;TRIM(F13&amp;""))),"⚠"&amp;TRIM(F13&amp;""))</f>
        <v/>
      </c>
      <c r="O13" s="10">
        <f>IFERROR(IF(TRIM(G13&amp;"")="","",IF(AND(ISNUMBER(FIND(" ",TRIM(G13&amp;""))),ISNUMBER(MATCH(LEFT(TRIM(G13&amp;""),FIND(" ",TRIM(G13&amp;""))-1),코드표!$J$2:$J$101,0)),ISNUMBER(MATCH(TRIM(RIGHT(SUBSTITUTE(TRIM(G13&amp;"")," ",REPT(" ",60)),60)),코드표!$F$2:$F$101,0))),INDEX(코드표!$K$2:$K$101,MATCH(LEFT(TRIM(G13&amp;""),FIND(" ",TRIM(G13&amp;""))-1),코드표!$J$2:$J$101,0))&amp;" "&amp;INDEX(코드표!$G$2:$G$101,MATCH(TRIM(RIGHT(SUBSTITUTE(TRIM(G13&amp;"")," ",REPT(" ",60)),60)),코드표!$F$2:$F$101,0)),"⚠"&amp;TRIM(G13&amp;""))),"⚠"&amp;TRIM(G13&amp;""))</f>
        <v/>
      </c>
      <c r="P13" s="10">
        <f>IFERROR(IF(TRIM(H13&amp;"")="","",IF(AND(ISNUMBER(FIND(" ",TRIM(H13&amp;""))),ISNUMBER(MATCH(LEFT(TRIM(H13&amp;""),FIND(" ",TRIM(H13&amp;""))-1),코드표!$J$2:$J$101,0)),ISNUMBER(MATCH(TRIM(RIGHT(SUBSTITUTE(TRIM(H13&amp;"")," ",REPT(" ",60)),60)),코드표!$F$2:$F$101,0))),INDEX(코드표!$K$2:$K$101,MATCH(LEFT(TRIM(H13&amp;""),FIND(" ",TRIM(H13&amp;""))-1),코드표!$J$2:$J$101,0))&amp;" "&amp;INDEX(코드표!$G$2:$G$101,MATCH(TRIM(RIGHT(SUBSTITUTE(TRIM(H13&amp;"")," ",REPT(" ",60)),60)),코드표!$F$2:$F$101,0)),"⚠"&amp;TRIM(H13&amp;""))),"⚠"&amp;TRIM(H13&amp;""))</f>
        <v/>
      </c>
      <c r="Q13" s="10">
        <f>IFERROR(IF(TRIM(I13&amp;"")="","",IF(AND(ISNUMBER(FIND(" ",TRIM(I13&amp;""))),ISNUMBER(MATCH(LEFT(TRIM(I13&amp;""),FIND(" ",TRIM(I13&amp;""))-1),코드표!$J$2:$J$101,0)),ISNUMBER(MATCH(TRIM(RIGHT(SUBSTITUTE(TRIM(I13&amp;"")," ",REPT(" ",60)),60)),코드표!$F$2:$F$101,0))),INDEX(코드표!$K$2:$K$101,MATCH(LEFT(TRIM(I13&amp;""),FIND(" ",TRIM(I13&amp;""))-1),코드표!$J$2:$J$101,0))&amp;" "&amp;INDEX(코드표!$G$2:$G$101,MATCH(TRIM(RIGHT(SUBSTITUTE(TRIM(I13&amp;"")," ",REPT(" ",60)),60)),코드표!$F$2:$F$101,0)),"⚠"&amp;TRIM(I13&amp;""))),"⚠"&amp;TRIM(I13&amp;""))</f>
        <v/>
      </c>
      <c r="R13" s="10">
        <f>IFERROR(IF(TRIM(J13&amp;"")="","",IF(AND(ISNUMBER(FIND(" ",TRIM(J13&amp;""))),ISNUMBER(MATCH(LEFT(TRIM(J13&amp;""),FIND(" ",TRIM(J13&amp;""))-1),코드표!$J$2:$J$101,0)),ISNUMBER(MATCH(TRIM(RIGHT(SUBSTITUTE(TRIM(J13&amp;"")," ",REPT(" ",60)),60)),코드표!$F$2:$F$101,0))),INDEX(코드표!$K$2:$K$101,MATCH(LEFT(TRIM(J13&amp;""),FIND(" ",TRIM(J13&amp;""))-1),코드표!$J$2:$J$101,0))&amp;" "&amp;INDEX(코드표!$G$2:$G$101,MATCH(TRIM(RIGHT(SUBSTITUTE(TRIM(J13&amp;"")," ",REPT(" ",60)),60)),코드표!$F$2:$F$101,0)),"⚠"&amp;TRIM(J13&amp;""))),"⚠"&amp;TRIM(J13&amp;""))</f>
        <v/>
      </c>
      <c r="S13" s="11">
        <f>IF(K13="","",IFERROR(IF(AND(ROUND((VALUE(K13&amp;"")-INT(VALUE(K13&amp;"")))*100,0)&gt;=1,ROUND((VALUE(K13&amp;"")-INT(VALUE(K13&amp;"")))*100,0)&lt;=12,INT(VALUE(K13&amp;""))&gt;=1900),DATE(INT(VALUE(K13&amp;"")),ROUND((VALUE(K13&amp;"")-INT(VALUE(K13&amp;"")))*100,0),1),K13&amp;""),K13&amp;""))</f>
        <v/>
      </c>
      <c r="T13" s="10">
        <f>COUNTIF(M13:R13,"⚠*")</f>
        <v/>
      </c>
    </row>
    <row r="14"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M14" s="10">
        <f>IFERROR(IF(TRIM(E14&amp;"")="","",IF(AND(ISNUMBER(FIND(" ",TRIM(E14&amp;""))),ISNUMBER(MATCH(LEFT(TRIM(E14&amp;""),FIND(" ",TRIM(E14&amp;""))-1),코드표!$J$2:$J$101,0)),ISNUMBER(MATCH(TRIM(RIGHT(SUBSTITUTE(TRIM(E14&amp;"")," ",REPT(" ",60)),60)),코드표!$F$2:$F$101,0))),INDEX(코드표!$K$2:$K$101,MATCH(LEFT(TRIM(E14&amp;""),FIND(" ",TRIM(E14&amp;""))-1),코드표!$J$2:$J$101,0))&amp;" "&amp;INDEX(코드표!$G$2:$G$101,MATCH(TRIM(RIGHT(SUBSTITUTE(TRIM(E14&amp;"")," ",REPT(" ",60)),60)),코드표!$F$2:$F$101,0)),"⚠"&amp;TRIM(E14&amp;""))),"⚠"&amp;TRIM(E14&amp;""))</f>
        <v/>
      </c>
      <c r="N14" s="10">
        <f>IFERROR(IF(TRIM(F14&amp;"")="","",IF(AND(ISNUMBER(FIND(" ",TRIM(F14&amp;""))),ISNUMBER(MATCH(LEFT(TRIM(F14&amp;""),FIND(" ",TRIM(F14&amp;""))-1),코드표!$J$2:$J$101,0)),ISNUMBER(MATCH(TRIM(RIGHT(SUBSTITUTE(TRIM(F14&amp;"")," ",REPT(" ",60)),60)),코드표!$F$2:$F$101,0))),INDEX(코드표!$K$2:$K$101,MATCH(LEFT(TRIM(F14&amp;""),FIND(" ",TRIM(F14&amp;""))-1),코드표!$J$2:$J$101,0))&amp;" "&amp;INDEX(코드표!$G$2:$G$101,MATCH(TRIM(RIGHT(SUBSTITUTE(TRIM(F14&amp;"")," ",REPT(" ",60)),60)),코드표!$F$2:$F$101,0)),"⚠"&amp;TRIM(F14&amp;""))),"⚠"&amp;TRIM(F14&amp;""))</f>
        <v/>
      </c>
      <c r="O14" s="10">
        <f>IFERROR(IF(TRIM(G14&amp;"")="","",IF(AND(ISNUMBER(FIND(" ",TRIM(G14&amp;""))),ISNUMBER(MATCH(LEFT(TRIM(G14&amp;""),FIND(" ",TRIM(G14&amp;""))-1),코드표!$J$2:$J$101,0)),ISNUMBER(MATCH(TRIM(RIGHT(SUBSTITUTE(TRIM(G14&amp;"")," ",REPT(" ",60)),60)),코드표!$F$2:$F$101,0))),INDEX(코드표!$K$2:$K$101,MATCH(LEFT(TRIM(G14&amp;""),FIND(" ",TRIM(G14&amp;""))-1),코드표!$J$2:$J$101,0))&amp;" "&amp;INDEX(코드표!$G$2:$G$101,MATCH(TRIM(RIGHT(SUBSTITUTE(TRIM(G14&amp;"")," ",REPT(" ",60)),60)),코드표!$F$2:$F$101,0)),"⚠"&amp;TRIM(G14&amp;""))),"⚠"&amp;TRIM(G14&amp;""))</f>
        <v/>
      </c>
      <c r="P14" s="10">
        <f>IFERROR(IF(TRIM(H14&amp;"")="","",IF(AND(ISNUMBER(FIND(" ",TRIM(H14&amp;""))),ISNUMBER(MATCH(LEFT(TRIM(H14&amp;""),FIND(" ",TRIM(H14&amp;""))-1),코드표!$J$2:$J$101,0)),ISNUMBER(MATCH(TRIM(RIGHT(SUBSTITUTE(TRIM(H14&amp;"")," ",REPT(" ",60)),60)),코드표!$F$2:$F$101,0))),INDEX(코드표!$K$2:$K$101,MATCH(LEFT(TRIM(H14&amp;""),FIND(" ",TRIM(H14&amp;""))-1),코드표!$J$2:$J$101,0))&amp;" "&amp;INDEX(코드표!$G$2:$G$101,MATCH(TRIM(RIGHT(SUBSTITUTE(TRIM(H14&amp;"")," ",REPT(" ",60)),60)),코드표!$F$2:$F$101,0)),"⚠"&amp;TRIM(H14&amp;""))),"⚠"&amp;TRIM(H14&amp;""))</f>
        <v/>
      </c>
      <c r="Q14" s="10">
        <f>IFERROR(IF(TRIM(I14&amp;"")="","",IF(AND(ISNUMBER(FIND(" ",TRIM(I14&amp;""))),ISNUMBER(MATCH(LEFT(TRIM(I14&amp;""),FIND(" ",TRIM(I14&amp;""))-1),코드표!$J$2:$J$101,0)),ISNUMBER(MATCH(TRIM(RIGHT(SUBSTITUTE(TRIM(I14&amp;"")," ",REPT(" ",60)),60)),코드표!$F$2:$F$101,0))),INDEX(코드표!$K$2:$K$101,MATCH(LEFT(TRIM(I14&amp;""),FIND(" ",TRIM(I14&amp;""))-1),코드표!$J$2:$J$101,0))&amp;" "&amp;INDEX(코드표!$G$2:$G$101,MATCH(TRIM(RIGHT(SUBSTITUTE(TRIM(I14&amp;"")," ",REPT(" ",60)),60)),코드표!$F$2:$F$101,0)),"⚠"&amp;TRIM(I14&amp;""))),"⚠"&amp;TRIM(I14&amp;""))</f>
        <v/>
      </c>
      <c r="R14" s="10">
        <f>IFERROR(IF(TRIM(J14&amp;"")="","",IF(AND(ISNUMBER(FIND(" ",TRIM(J14&amp;""))),ISNUMBER(MATCH(LEFT(TRIM(J14&amp;""),FIND(" ",TRIM(J14&amp;""))-1),코드표!$J$2:$J$101,0)),ISNUMBER(MATCH(TRIM(RIGHT(SUBSTITUTE(TRIM(J14&amp;"")," ",REPT(" ",60)),60)),코드표!$F$2:$F$101,0))),INDEX(코드표!$K$2:$K$101,MATCH(LEFT(TRIM(J14&amp;""),FIND(" ",TRIM(J14&amp;""))-1),코드표!$J$2:$J$101,0))&amp;" "&amp;INDEX(코드표!$G$2:$G$101,MATCH(TRIM(RIGHT(SUBSTITUTE(TRIM(J14&amp;"")," ",REPT(" ",60)),60)),코드표!$F$2:$F$101,0)),"⚠"&amp;TRIM(J14&amp;""))),"⚠"&amp;TRIM(J14&amp;""))</f>
        <v/>
      </c>
      <c r="S14" s="11">
        <f>IF(K14="","",IFERROR(IF(AND(ROUND((VALUE(K14&amp;"")-INT(VALUE(K14&amp;"")))*100,0)&gt;=1,ROUND((VALUE(K14&amp;"")-INT(VALUE(K14&amp;"")))*100,0)&lt;=12,INT(VALUE(K14&amp;""))&gt;=1900),DATE(INT(VALUE(K14&amp;"")),ROUND((VALUE(K14&amp;"")-INT(VALUE(K14&amp;"")))*100,0),1),K14&amp;""),K14&amp;""))</f>
        <v/>
      </c>
      <c r="T14" s="10">
        <f>COUNTIF(M14:R14,"⚠*")</f>
        <v/>
      </c>
    </row>
    <row r="15"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M15" s="10">
        <f>IFERROR(IF(TRIM(E15&amp;"")="","",IF(AND(ISNUMBER(FIND(" ",TRIM(E15&amp;""))),ISNUMBER(MATCH(LEFT(TRIM(E15&amp;""),FIND(" ",TRIM(E15&amp;""))-1),코드표!$J$2:$J$101,0)),ISNUMBER(MATCH(TRIM(RIGHT(SUBSTITUTE(TRIM(E15&amp;"")," ",REPT(" ",60)),60)),코드표!$F$2:$F$101,0))),INDEX(코드표!$K$2:$K$101,MATCH(LEFT(TRIM(E15&amp;""),FIND(" ",TRIM(E15&amp;""))-1),코드표!$J$2:$J$101,0))&amp;" "&amp;INDEX(코드표!$G$2:$G$101,MATCH(TRIM(RIGHT(SUBSTITUTE(TRIM(E15&amp;"")," ",REPT(" ",60)),60)),코드표!$F$2:$F$101,0)),"⚠"&amp;TRIM(E15&amp;""))),"⚠"&amp;TRIM(E15&amp;""))</f>
        <v/>
      </c>
      <c r="N15" s="10">
        <f>IFERROR(IF(TRIM(F15&amp;"")="","",IF(AND(ISNUMBER(FIND(" ",TRIM(F15&amp;""))),ISNUMBER(MATCH(LEFT(TRIM(F15&amp;""),FIND(" ",TRIM(F15&amp;""))-1),코드표!$J$2:$J$101,0)),ISNUMBER(MATCH(TRIM(RIGHT(SUBSTITUTE(TRIM(F15&amp;"")," ",REPT(" ",60)),60)),코드표!$F$2:$F$101,0))),INDEX(코드표!$K$2:$K$101,MATCH(LEFT(TRIM(F15&amp;""),FIND(" ",TRIM(F15&amp;""))-1),코드표!$J$2:$J$101,0))&amp;" "&amp;INDEX(코드표!$G$2:$G$101,MATCH(TRIM(RIGHT(SUBSTITUTE(TRIM(F15&amp;"")," ",REPT(" ",60)),60)),코드표!$F$2:$F$101,0)),"⚠"&amp;TRIM(F15&amp;""))),"⚠"&amp;TRIM(F15&amp;""))</f>
        <v/>
      </c>
      <c r="O15" s="10">
        <f>IFERROR(IF(TRIM(G15&amp;"")="","",IF(AND(ISNUMBER(FIND(" ",TRIM(G15&amp;""))),ISNUMBER(MATCH(LEFT(TRIM(G15&amp;""),FIND(" ",TRIM(G15&amp;""))-1),코드표!$J$2:$J$101,0)),ISNUMBER(MATCH(TRIM(RIGHT(SUBSTITUTE(TRIM(G15&amp;"")," ",REPT(" ",60)),60)),코드표!$F$2:$F$101,0))),INDEX(코드표!$K$2:$K$101,MATCH(LEFT(TRIM(G15&amp;""),FIND(" ",TRIM(G15&amp;""))-1),코드표!$J$2:$J$101,0))&amp;" "&amp;INDEX(코드표!$G$2:$G$101,MATCH(TRIM(RIGHT(SUBSTITUTE(TRIM(G15&amp;"")," ",REPT(" ",60)),60)),코드표!$F$2:$F$101,0)),"⚠"&amp;TRIM(G15&amp;""))),"⚠"&amp;TRIM(G15&amp;""))</f>
        <v/>
      </c>
      <c r="P15" s="10">
        <f>IFERROR(IF(TRIM(H15&amp;"")="","",IF(AND(ISNUMBER(FIND(" ",TRIM(H15&amp;""))),ISNUMBER(MATCH(LEFT(TRIM(H15&amp;""),FIND(" ",TRIM(H15&amp;""))-1),코드표!$J$2:$J$101,0)),ISNUMBER(MATCH(TRIM(RIGHT(SUBSTITUTE(TRIM(H15&amp;"")," ",REPT(" ",60)),60)),코드표!$F$2:$F$101,0))),INDEX(코드표!$K$2:$K$101,MATCH(LEFT(TRIM(H15&amp;""),FIND(" ",TRIM(H15&amp;""))-1),코드표!$J$2:$J$101,0))&amp;" "&amp;INDEX(코드표!$G$2:$G$101,MATCH(TRIM(RIGHT(SUBSTITUTE(TRIM(H15&amp;"")," ",REPT(" ",60)),60)),코드표!$F$2:$F$101,0)),"⚠"&amp;TRIM(H15&amp;""))),"⚠"&amp;TRIM(H15&amp;""))</f>
        <v/>
      </c>
      <c r="Q15" s="10">
        <f>IFERROR(IF(TRIM(I15&amp;"")="","",IF(AND(ISNUMBER(FIND(" ",TRIM(I15&amp;""))),ISNUMBER(MATCH(LEFT(TRIM(I15&amp;""),FIND(" ",TRIM(I15&amp;""))-1),코드표!$J$2:$J$101,0)),ISNUMBER(MATCH(TRIM(RIGHT(SUBSTITUTE(TRIM(I15&amp;"")," ",REPT(" ",60)),60)),코드표!$F$2:$F$101,0))),INDEX(코드표!$K$2:$K$101,MATCH(LEFT(TRIM(I15&amp;""),FIND(" ",TRIM(I15&amp;""))-1),코드표!$J$2:$J$101,0))&amp;" "&amp;INDEX(코드표!$G$2:$G$101,MATCH(TRIM(RIGHT(SUBSTITUTE(TRIM(I15&amp;"")," ",REPT(" ",60)),60)),코드표!$F$2:$F$101,0)),"⚠"&amp;TRIM(I15&amp;""))),"⚠"&amp;TRIM(I15&amp;""))</f>
        <v/>
      </c>
      <c r="R15" s="10">
        <f>IFERROR(IF(TRIM(J15&amp;"")="","",IF(AND(ISNUMBER(FIND(" ",TRIM(J15&amp;""))),ISNUMBER(MATCH(LEFT(TRIM(J15&amp;""),FIND(" ",TRIM(J15&amp;""))-1),코드표!$J$2:$J$101,0)),ISNUMBER(MATCH(TRIM(RIGHT(SUBSTITUTE(TRIM(J15&amp;"")," ",REPT(" ",60)),60)),코드표!$F$2:$F$101,0))),INDEX(코드표!$K$2:$K$101,MATCH(LEFT(TRIM(J15&amp;""),FIND(" ",TRIM(J15&amp;""))-1),코드표!$J$2:$J$101,0))&amp;" "&amp;INDEX(코드표!$G$2:$G$101,MATCH(TRIM(RIGHT(SUBSTITUTE(TRIM(J15&amp;"")," ",REPT(" ",60)),60)),코드표!$F$2:$F$101,0)),"⚠"&amp;TRIM(J15&amp;""))),"⚠"&amp;TRIM(J15&amp;""))</f>
        <v/>
      </c>
      <c r="S15" s="11">
        <f>IF(K15="","",IFERROR(IF(AND(ROUND((VALUE(K15&amp;"")-INT(VALUE(K15&amp;"")))*100,0)&gt;=1,ROUND((VALUE(K15&amp;"")-INT(VALUE(K15&amp;"")))*100,0)&lt;=12,INT(VALUE(K15&amp;""))&gt;=1900),DATE(INT(VALUE(K15&amp;"")),ROUND((VALUE(K15&amp;"")-INT(VALUE(K15&amp;"")))*100,0),1),K15&amp;""),K15&amp;""))</f>
        <v/>
      </c>
      <c r="T15" s="10">
        <f>COUNTIF(M15:R15,"⚠*")</f>
        <v/>
      </c>
    </row>
    <row r="16"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M16" s="10">
        <f>IFERROR(IF(TRIM(E16&amp;"")="","",IF(AND(ISNUMBER(FIND(" ",TRIM(E16&amp;""))),ISNUMBER(MATCH(LEFT(TRIM(E16&amp;""),FIND(" ",TRIM(E16&amp;""))-1),코드표!$J$2:$J$101,0)),ISNUMBER(MATCH(TRIM(RIGHT(SUBSTITUTE(TRIM(E16&amp;"")," ",REPT(" ",60)),60)),코드표!$F$2:$F$101,0))),INDEX(코드표!$K$2:$K$101,MATCH(LEFT(TRIM(E16&amp;""),FIND(" ",TRIM(E16&amp;""))-1),코드표!$J$2:$J$101,0))&amp;" "&amp;INDEX(코드표!$G$2:$G$101,MATCH(TRIM(RIGHT(SUBSTITUTE(TRIM(E16&amp;"")," ",REPT(" ",60)),60)),코드표!$F$2:$F$101,0)),"⚠"&amp;TRIM(E16&amp;""))),"⚠"&amp;TRIM(E16&amp;""))</f>
        <v/>
      </c>
      <c r="N16" s="10">
        <f>IFERROR(IF(TRIM(F16&amp;"")="","",IF(AND(ISNUMBER(FIND(" ",TRIM(F16&amp;""))),ISNUMBER(MATCH(LEFT(TRIM(F16&amp;""),FIND(" ",TRIM(F16&amp;""))-1),코드표!$J$2:$J$101,0)),ISNUMBER(MATCH(TRIM(RIGHT(SUBSTITUTE(TRIM(F16&amp;"")," ",REPT(" ",60)),60)),코드표!$F$2:$F$101,0))),INDEX(코드표!$K$2:$K$101,MATCH(LEFT(TRIM(F16&amp;""),FIND(" ",TRIM(F16&amp;""))-1),코드표!$J$2:$J$101,0))&amp;" "&amp;INDEX(코드표!$G$2:$G$101,MATCH(TRIM(RIGHT(SUBSTITUTE(TRIM(F16&amp;"")," ",REPT(" ",60)),60)),코드표!$F$2:$F$101,0)),"⚠"&amp;TRIM(F16&amp;""))),"⚠"&amp;TRIM(F16&amp;""))</f>
        <v/>
      </c>
      <c r="O16" s="10">
        <f>IFERROR(IF(TRIM(G16&amp;"")="","",IF(AND(ISNUMBER(FIND(" ",TRIM(G16&amp;""))),ISNUMBER(MATCH(LEFT(TRIM(G16&amp;""),FIND(" ",TRIM(G16&amp;""))-1),코드표!$J$2:$J$101,0)),ISNUMBER(MATCH(TRIM(RIGHT(SUBSTITUTE(TRIM(G16&amp;"")," ",REPT(" ",60)),60)),코드표!$F$2:$F$101,0))),INDEX(코드표!$K$2:$K$101,MATCH(LEFT(TRIM(G16&amp;""),FIND(" ",TRIM(G16&amp;""))-1),코드표!$J$2:$J$101,0))&amp;" "&amp;INDEX(코드표!$G$2:$G$101,MATCH(TRIM(RIGHT(SUBSTITUTE(TRIM(G16&amp;"")," ",REPT(" ",60)),60)),코드표!$F$2:$F$101,0)),"⚠"&amp;TRIM(G16&amp;""))),"⚠"&amp;TRIM(G16&amp;""))</f>
        <v/>
      </c>
      <c r="P16" s="10">
        <f>IFERROR(IF(TRIM(H16&amp;"")="","",IF(AND(ISNUMBER(FIND(" ",TRIM(H16&amp;""))),ISNUMBER(MATCH(LEFT(TRIM(H16&amp;""),FIND(" ",TRIM(H16&amp;""))-1),코드표!$J$2:$J$101,0)),ISNUMBER(MATCH(TRIM(RIGHT(SUBSTITUTE(TRIM(H16&amp;"")," ",REPT(" ",60)),60)),코드표!$F$2:$F$101,0))),INDEX(코드표!$K$2:$K$101,MATCH(LEFT(TRIM(H16&amp;""),FIND(" ",TRIM(H16&amp;""))-1),코드표!$J$2:$J$101,0))&amp;" "&amp;INDEX(코드표!$G$2:$G$101,MATCH(TRIM(RIGHT(SUBSTITUTE(TRIM(H16&amp;"")," ",REPT(" ",60)),60)),코드표!$F$2:$F$101,0)),"⚠"&amp;TRIM(H16&amp;""))),"⚠"&amp;TRIM(H16&amp;""))</f>
        <v/>
      </c>
      <c r="Q16" s="10">
        <f>IFERROR(IF(TRIM(I16&amp;"")="","",IF(AND(ISNUMBER(FIND(" ",TRIM(I16&amp;""))),ISNUMBER(MATCH(LEFT(TRIM(I16&amp;""),FIND(" ",TRIM(I16&amp;""))-1),코드표!$J$2:$J$101,0)),ISNUMBER(MATCH(TRIM(RIGHT(SUBSTITUTE(TRIM(I16&amp;"")," ",REPT(" ",60)),60)),코드표!$F$2:$F$101,0))),INDEX(코드표!$K$2:$K$101,MATCH(LEFT(TRIM(I16&amp;""),FIND(" ",TRIM(I16&amp;""))-1),코드표!$J$2:$J$101,0))&amp;" "&amp;INDEX(코드표!$G$2:$G$101,MATCH(TRIM(RIGHT(SUBSTITUTE(TRIM(I16&amp;"")," ",REPT(" ",60)),60)),코드표!$F$2:$F$101,0)),"⚠"&amp;TRIM(I16&amp;""))),"⚠"&amp;TRIM(I16&amp;""))</f>
        <v/>
      </c>
      <c r="R16" s="10">
        <f>IFERROR(IF(TRIM(J16&amp;"")="","",IF(AND(ISNUMBER(FIND(" ",TRIM(J16&amp;""))),ISNUMBER(MATCH(LEFT(TRIM(J16&amp;""),FIND(" ",TRIM(J16&amp;""))-1),코드표!$J$2:$J$101,0)),ISNUMBER(MATCH(TRIM(RIGHT(SUBSTITUTE(TRIM(J16&amp;"")," ",REPT(" ",60)),60)),코드표!$F$2:$F$101,0))),INDEX(코드표!$K$2:$K$101,MATCH(LEFT(TRIM(J16&amp;""),FIND(" ",TRIM(J16&amp;""))-1),코드표!$J$2:$J$101,0))&amp;" "&amp;INDEX(코드표!$G$2:$G$101,MATCH(TRIM(RIGHT(SUBSTITUTE(TRIM(J16&amp;"")," ",REPT(" ",60)),60)),코드표!$F$2:$F$101,0)),"⚠"&amp;TRIM(J16&amp;""))),"⚠"&amp;TRIM(J16&amp;""))</f>
        <v/>
      </c>
      <c r="S16" s="11">
        <f>IF(K16="","",IFERROR(IF(AND(ROUND((VALUE(K16&amp;"")-INT(VALUE(K16&amp;"")))*100,0)&gt;=1,ROUND((VALUE(K16&amp;"")-INT(VALUE(K16&amp;"")))*100,0)&lt;=12,INT(VALUE(K16&amp;""))&gt;=1900),DATE(INT(VALUE(K16&amp;"")),ROUND((VALUE(K16&amp;"")-INT(VALUE(K16&amp;"")))*100,0),1),K16&amp;""),K16&amp;""))</f>
        <v/>
      </c>
      <c r="T16" s="10">
        <f>COUNTIF(M16:R16,"⚠*")</f>
        <v/>
      </c>
    </row>
    <row r="17"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M17" s="10">
        <f>IFERROR(IF(TRIM(E17&amp;"")="","",IF(AND(ISNUMBER(FIND(" ",TRIM(E17&amp;""))),ISNUMBER(MATCH(LEFT(TRIM(E17&amp;""),FIND(" ",TRIM(E17&amp;""))-1),코드표!$J$2:$J$101,0)),ISNUMBER(MATCH(TRIM(RIGHT(SUBSTITUTE(TRIM(E17&amp;"")," ",REPT(" ",60)),60)),코드표!$F$2:$F$101,0))),INDEX(코드표!$K$2:$K$101,MATCH(LEFT(TRIM(E17&amp;""),FIND(" ",TRIM(E17&amp;""))-1),코드표!$J$2:$J$101,0))&amp;" "&amp;INDEX(코드표!$G$2:$G$101,MATCH(TRIM(RIGHT(SUBSTITUTE(TRIM(E17&amp;"")," ",REPT(" ",60)),60)),코드표!$F$2:$F$101,0)),"⚠"&amp;TRIM(E17&amp;""))),"⚠"&amp;TRIM(E17&amp;""))</f>
        <v/>
      </c>
      <c r="N17" s="10">
        <f>IFERROR(IF(TRIM(F17&amp;"")="","",IF(AND(ISNUMBER(FIND(" ",TRIM(F17&amp;""))),ISNUMBER(MATCH(LEFT(TRIM(F17&amp;""),FIND(" ",TRIM(F17&amp;""))-1),코드표!$J$2:$J$101,0)),ISNUMBER(MATCH(TRIM(RIGHT(SUBSTITUTE(TRIM(F17&amp;"")," ",REPT(" ",60)),60)),코드표!$F$2:$F$101,0))),INDEX(코드표!$K$2:$K$101,MATCH(LEFT(TRIM(F17&amp;""),FIND(" ",TRIM(F17&amp;""))-1),코드표!$J$2:$J$101,0))&amp;" "&amp;INDEX(코드표!$G$2:$G$101,MATCH(TRIM(RIGHT(SUBSTITUTE(TRIM(F17&amp;"")," ",REPT(" ",60)),60)),코드표!$F$2:$F$101,0)),"⚠"&amp;TRIM(F17&amp;""))),"⚠"&amp;TRIM(F17&amp;""))</f>
        <v/>
      </c>
      <c r="O17" s="10">
        <f>IFERROR(IF(TRIM(G17&amp;"")="","",IF(AND(ISNUMBER(FIND(" ",TRIM(G17&amp;""))),ISNUMBER(MATCH(LEFT(TRIM(G17&amp;""),FIND(" ",TRIM(G17&amp;""))-1),코드표!$J$2:$J$101,0)),ISNUMBER(MATCH(TRIM(RIGHT(SUBSTITUTE(TRIM(G17&amp;"")," ",REPT(" ",60)),60)),코드표!$F$2:$F$101,0))),INDEX(코드표!$K$2:$K$101,MATCH(LEFT(TRIM(G17&amp;""),FIND(" ",TRIM(G17&amp;""))-1),코드표!$J$2:$J$101,0))&amp;" "&amp;INDEX(코드표!$G$2:$G$101,MATCH(TRIM(RIGHT(SUBSTITUTE(TRIM(G17&amp;"")," ",REPT(" ",60)),60)),코드표!$F$2:$F$101,0)),"⚠"&amp;TRIM(G17&amp;""))),"⚠"&amp;TRIM(G17&amp;""))</f>
        <v/>
      </c>
      <c r="P17" s="10">
        <f>IFERROR(IF(TRIM(H17&amp;"")="","",IF(AND(ISNUMBER(FIND(" ",TRIM(H17&amp;""))),ISNUMBER(MATCH(LEFT(TRIM(H17&amp;""),FIND(" ",TRIM(H17&amp;""))-1),코드표!$J$2:$J$101,0)),ISNUMBER(MATCH(TRIM(RIGHT(SUBSTITUTE(TRIM(H17&amp;"")," ",REPT(" ",60)),60)),코드표!$F$2:$F$101,0))),INDEX(코드표!$K$2:$K$101,MATCH(LEFT(TRIM(H17&amp;""),FIND(" ",TRIM(H17&amp;""))-1),코드표!$J$2:$J$101,0))&amp;" "&amp;INDEX(코드표!$G$2:$G$101,MATCH(TRIM(RIGHT(SUBSTITUTE(TRIM(H17&amp;"")," ",REPT(" ",60)),60)),코드표!$F$2:$F$101,0)),"⚠"&amp;TRIM(H17&amp;""))),"⚠"&amp;TRIM(H17&amp;""))</f>
        <v/>
      </c>
      <c r="Q17" s="10">
        <f>IFERROR(IF(TRIM(I17&amp;"")="","",IF(AND(ISNUMBER(FIND(" ",TRIM(I17&amp;""))),ISNUMBER(MATCH(LEFT(TRIM(I17&amp;""),FIND(" ",TRIM(I17&amp;""))-1),코드표!$J$2:$J$101,0)),ISNUMBER(MATCH(TRIM(RIGHT(SUBSTITUTE(TRIM(I17&amp;"")," ",REPT(" ",60)),60)),코드표!$F$2:$F$101,0))),INDEX(코드표!$K$2:$K$101,MATCH(LEFT(TRIM(I17&amp;""),FIND(" ",TRIM(I17&amp;""))-1),코드표!$J$2:$J$101,0))&amp;" "&amp;INDEX(코드표!$G$2:$G$101,MATCH(TRIM(RIGHT(SUBSTITUTE(TRIM(I17&amp;"")," ",REPT(" ",60)),60)),코드표!$F$2:$F$101,0)),"⚠"&amp;TRIM(I17&amp;""))),"⚠"&amp;TRIM(I17&amp;""))</f>
        <v/>
      </c>
      <c r="R17" s="10">
        <f>IFERROR(IF(TRIM(J17&amp;"")="","",IF(AND(ISNUMBER(FIND(" ",TRIM(J17&amp;""))),ISNUMBER(MATCH(LEFT(TRIM(J17&amp;""),FIND(" ",TRIM(J17&amp;""))-1),코드표!$J$2:$J$101,0)),ISNUMBER(MATCH(TRIM(RIGHT(SUBSTITUTE(TRIM(J17&amp;"")," ",REPT(" ",60)),60)),코드표!$F$2:$F$101,0))),INDEX(코드표!$K$2:$K$101,MATCH(LEFT(TRIM(J17&amp;""),FIND(" ",TRIM(J17&amp;""))-1),코드표!$J$2:$J$101,0))&amp;" "&amp;INDEX(코드표!$G$2:$G$101,MATCH(TRIM(RIGHT(SUBSTITUTE(TRIM(J17&amp;"")," ",REPT(" ",60)),60)),코드표!$F$2:$F$101,0)),"⚠"&amp;TRIM(J17&amp;""))),"⚠"&amp;TRIM(J17&amp;""))</f>
        <v/>
      </c>
      <c r="S17" s="11">
        <f>IF(K17="","",IFERROR(IF(AND(ROUND((VALUE(K17&amp;"")-INT(VALUE(K17&amp;"")))*100,0)&gt;=1,ROUND((VALUE(K17&amp;"")-INT(VALUE(K17&amp;"")))*100,0)&lt;=12,INT(VALUE(K17&amp;""))&gt;=1900),DATE(INT(VALUE(K17&amp;"")),ROUND((VALUE(K17&amp;"")-INT(VALUE(K17&amp;"")))*100,0),1),K17&amp;""),K17&amp;""))</f>
        <v/>
      </c>
      <c r="T17" s="10">
        <f>COUNTIF(M17:R17,"⚠*")</f>
        <v/>
      </c>
    </row>
    <row r="18"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M18" s="10">
        <f>IFERROR(IF(TRIM(E18&amp;"")="","",IF(AND(ISNUMBER(FIND(" ",TRIM(E18&amp;""))),ISNUMBER(MATCH(LEFT(TRIM(E18&amp;""),FIND(" ",TRIM(E18&amp;""))-1),코드표!$J$2:$J$101,0)),ISNUMBER(MATCH(TRIM(RIGHT(SUBSTITUTE(TRIM(E18&amp;"")," ",REPT(" ",60)),60)),코드표!$F$2:$F$101,0))),INDEX(코드표!$K$2:$K$101,MATCH(LEFT(TRIM(E18&amp;""),FIND(" ",TRIM(E18&amp;""))-1),코드표!$J$2:$J$101,0))&amp;" "&amp;INDEX(코드표!$G$2:$G$101,MATCH(TRIM(RIGHT(SUBSTITUTE(TRIM(E18&amp;"")," ",REPT(" ",60)),60)),코드표!$F$2:$F$101,0)),"⚠"&amp;TRIM(E18&amp;""))),"⚠"&amp;TRIM(E18&amp;""))</f>
        <v/>
      </c>
      <c r="N18" s="10">
        <f>IFERROR(IF(TRIM(F18&amp;"")="","",IF(AND(ISNUMBER(FIND(" ",TRIM(F18&amp;""))),ISNUMBER(MATCH(LEFT(TRIM(F18&amp;""),FIND(" ",TRIM(F18&amp;""))-1),코드표!$J$2:$J$101,0)),ISNUMBER(MATCH(TRIM(RIGHT(SUBSTITUTE(TRIM(F18&amp;"")," ",REPT(" ",60)),60)),코드표!$F$2:$F$101,0))),INDEX(코드표!$K$2:$K$101,MATCH(LEFT(TRIM(F18&amp;""),FIND(" ",TRIM(F18&amp;""))-1),코드표!$J$2:$J$101,0))&amp;" "&amp;INDEX(코드표!$G$2:$G$101,MATCH(TRIM(RIGHT(SUBSTITUTE(TRIM(F18&amp;"")," ",REPT(" ",60)),60)),코드표!$F$2:$F$101,0)),"⚠"&amp;TRIM(F18&amp;""))),"⚠"&amp;TRIM(F18&amp;""))</f>
        <v/>
      </c>
      <c r="O18" s="10">
        <f>IFERROR(IF(TRIM(G18&amp;"")="","",IF(AND(ISNUMBER(FIND(" ",TRIM(G18&amp;""))),ISNUMBER(MATCH(LEFT(TRIM(G18&amp;""),FIND(" ",TRIM(G18&amp;""))-1),코드표!$J$2:$J$101,0)),ISNUMBER(MATCH(TRIM(RIGHT(SUBSTITUTE(TRIM(G18&amp;"")," ",REPT(" ",60)),60)),코드표!$F$2:$F$101,0))),INDEX(코드표!$K$2:$K$101,MATCH(LEFT(TRIM(G18&amp;""),FIND(" ",TRIM(G18&amp;""))-1),코드표!$J$2:$J$101,0))&amp;" "&amp;INDEX(코드표!$G$2:$G$101,MATCH(TRIM(RIGHT(SUBSTITUTE(TRIM(G18&amp;"")," ",REPT(" ",60)),60)),코드표!$F$2:$F$101,0)),"⚠"&amp;TRIM(G18&amp;""))),"⚠"&amp;TRIM(G18&amp;""))</f>
        <v/>
      </c>
      <c r="P18" s="10">
        <f>IFERROR(IF(TRIM(H18&amp;"")="","",IF(AND(ISNUMBER(FIND(" ",TRIM(H18&amp;""))),ISNUMBER(MATCH(LEFT(TRIM(H18&amp;""),FIND(" ",TRIM(H18&amp;""))-1),코드표!$J$2:$J$101,0)),ISNUMBER(MATCH(TRIM(RIGHT(SUBSTITUTE(TRIM(H18&amp;"")," ",REPT(" ",60)),60)),코드표!$F$2:$F$101,0))),INDEX(코드표!$K$2:$K$101,MATCH(LEFT(TRIM(H18&amp;""),FIND(" ",TRIM(H18&amp;""))-1),코드표!$J$2:$J$101,0))&amp;" "&amp;INDEX(코드표!$G$2:$G$101,MATCH(TRIM(RIGHT(SUBSTITUTE(TRIM(H18&amp;"")," ",REPT(" ",60)),60)),코드표!$F$2:$F$101,0)),"⚠"&amp;TRIM(H18&amp;""))),"⚠"&amp;TRIM(H18&amp;""))</f>
        <v/>
      </c>
      <c r="Q18" s="10">
        <f>IFERROR(IF(TRIM(I18&amp;"")="","",IF(AND(ISNUMBER(FIND(" ",TRIM(I18&amp;""))),ISNUMBER(MATCH(LEFT(TRIM(I18&amp;""),FIND(" ",TRIM(I18&amp;""))-1),코드표!$J$2:$J$101,0)),ISNUMBER(MATCH(TRIM(RIGHT(SUBSTITUTE(TRIM(I18&amp;"")," ",REPT(" ",60)),60)),코드표!$F$2:$F$101,0))),INDEX(코드표!$K$2:$K$101,MATCH(LEFT(TRIM(I18&amp;""),FIND(" ",TRIM(I18&amp;""))-1),코드표!$J$2:$J$101,0))&amp;" "&amp;INDEX(코드표!$G$2:$G$101,MATCH(TRIM(RIGHT(SUBSTITUTE(TRIM(I18&amp;"")," ",REPT(" ",60)),60)),코드표!$F$2:$F$101,0)),"⚠"&amp;TRIM(I18&amp;""))),"⚠"&amp;TRIM(I18&amp;""))</f>
        <v/>
      </c>
      <c r="R18" s="10">
        <f>IFERROR(IF(TRIM(J18&amp;"")="","",IF(AND(ISNUMBER(FIND(" ",TRIM(J18&amp;""))),ISNUMBER(MATCH(LEFT(TRIM(J18&amp;""),FIND(" ",TRIM(J18&amp;""))-1),코드표!$J$2:$J$101,0)),ISNUMBER(MATCH(TRIM(RIGHT(SUBSTITUTE(TRIM(J18&amp;"")," ",REPT(" ",60)),60)),코드표!$F$2:$F$101,0))),INDEX(코드표!$K$2:$K$101,MATCH(LEFT(TRIM(J18&amp;""),FIND(" ",TRIM(J18&amp;""))-1),코드표!$J$2:$J$101,0))&amp;" "&amp;INDEX(코드표!$G$2:$G$101,MATCH(TRIM(RIGHT(SUBSTITUTE(TRIM(J18&amp;"")," ",REPT(" ",60)),60)),코드표!$F$2:$F$101,0)),"⚠"&amp;TRIM(J18&amp;""))),"⚠"&amp;TRIM(J18&amp;""))</f>
        <v/>
      </c>
      <c r="S18" s="11">
        <f>IF(K18="","",IFERROR(IF(AND(ROUND((VALUE(K18&amp;"")-INT(VALUE(K18&amp;"")))*100,0)&gt;=1,ROUND((VALUE(K18&amp;"")-INT(VALUE(K18&amp;"")))*100,0)&lt;=12,INT(VALUE(K18&amp;""))&gt;=1900),DATE(INT(VALUE(K18&amp;"")),ROUND((VALUE(K18&amp;"")-INT(VALUE(K18&amp;"")))*100,0),1),K18&amp;""),K18&amp;""))</f>
        <v/>
      </c>
      <c r="T18" s="10">
        <f>COUNTIF(M18:R18,"⚠*")</f>
        <v/>
      </c>
    </row>
    <row r="19"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M19" s="10">
        <f>IFERROR(IF(TRIM(E19&amp;"")="","",IF(AND(ISNUMBER(FIND(" ",TRIM(E19&amp;""))),ISNUMBER(MATCH(LEFT(TRIM(E19&amp;""),FIND(" ",TRIM(E19&amp;""))-1),코드표!$J$2:$J$101,0)),ISNUMBER(MATCH(TRIM(RIGHT(SUBSTITUTE(TRIM(E19&amp;"")," ",REPT(" ",60)),60)),코드표!$F$2:$F$101,0))),INDEX(코드표!$K$2:$K$101,MATCH(LEFT(TRIM(E19&amp;""),FIND(" ",TRIM(E19&amp;""))-1),코드표!$J$2:$J$101,0))&amp;" "&amp;INDEX(코드표!$G$2:$G$101,MATCH(TRIM(RIGHT(SUBSTITUTE(TRIM(E19&amp;"")," ",REPT(" ",60)),60)),코드표!$F$2:$F$101,0)),"⚠"&amp;TRIM(E19&amp;""))),"⚠"&amp;TRIM(E19&amp;""))</f>
        <v/>
      </c>
      <c r="N19" s="10">
        <f>IFERROR(IF(TRIM(F19&amp;"")="","",IF(AND(ISNUMBER(FIND(" ",TRIM(F19&amp;""))),ISNUMBER(MATCH(LEFT(TRIM(F19&amp;""),FIND(" ",TRIM(F19&amp;""))-1),코드표!$J$2:$J$101,0)),ISNUMBER(MATCH(TRIM(RIGHT(SUBSTITUTE(TRIM(F19&amp;"")," ",REPT(" ",60)),60)),코드표!$F$2:$F$101,0))),INDEX(코드표!$K$2:$K$101,MATCH(LEFT(TRIM(F19&amp;""),FIND(" ",TRIM(F19&amp;""))-1),코드표!$J$2:$J$101,0))&amp;" "&amp;INDEX(코드표!$G$2:$G$101,MATCH(TRIM(RIGHT(SUBSTITUTE(TRIM(F19&amp;"")," ",REPT(" ",60)),60)),코드표!$F$2:$F$101,0)),"⚠"&amp;TRIM(F19&amp;""))),"⚠"&amp;TRIM(F19&amp;""))</f>
        <v/>
      </c>
      <c r="O19" s="10">
        <f>IFERROR(IF(TRIM(G19&amp;"")="","",IF(AND(ISNUMBER(FIND(" ",TRIM(G19&amp;""))),ISNUMBER(MATCH(LEFT(TRIM(G19&amp;""),FIND(" ",TRIM(G19&amp;""))-1),코드표!$J$2:$J$101,0)),ISNUMBER(MATCH(TRIM(RIGHT(SUBSTITUTE(TRIM(G19&amp;"")," ",REPT(" ",60)),60)),코드표!$F$2:$F$101,0))),INDEX(코드표!$K$2:$K$101,MATCH(LEFT(TRIM(G19&amp;""),FIND(" ",TRIM(G19&amp;""))-1),코드표!$J$2:$J$101,0))&amp;" "&amp;INDEX(코드표!$G$2:$G$101,MATCH(TRIM(RIGHT(SUBSTITUTE(TRIM(G19&amp;"")," ",REPT(" ",60)),60)),코드표!$F$2:$F$101,0)),"⚠"&amp;TRIM(G19&amp;""))),"⚠"&amp;TRIM(G19&amp;""))</f>
        <v/>
      </c>
      <c r="P19" s="10">
        <f>IFERROR(IF(TRIM(H19&amp;"")="","",IF(AND(ISNUMBER(FIND(" ",TRIM(H19&amp;""))),ISNUMBER(MATCH(LEFT(TRIM(H19&amp;""),FIND(" ",TRIM(H19&amp;""))-1),코드표!$J$2:$J$101,0)),ISNUMBER(MATCH(TRIM(RIGHT(SUBSTITUTE(TRIM(H19&amp;"")," ",REPT(" ",60)),60)),코드표!$F$2:$F$101,0))),INDEX(코드표!$K$2:$K$101,MATCH(LEFT(TRIM(H19&amp;""),FIND(" ",TRIM(H19&amp;""))-1),코드표!$J$2:$J$101,0))&amp;" "&amp;INDEX(코드표!$G$2:$G$101,MATCH(TRIM(RIGHT(SUBSTITUTE(TRIM(H19&amp;"")," ",REPT(" ",60)),60)),코드표!$F$2:$F$101,0)),"⚠"&amp;TRIM(H19&amp;""))),"⚠"&amp;TRIM(H19&amp;""))</f>
        <v/>
      </c>
      <c r="Q19" s="10">
        <f>IFERROR(IF(TRIM(I19&amp;"")="","",IF(AND(ISNUMBER(FIND(" ",TRIM(I19&amp;""))),ISNUMBER(MATCH(LEFT(TRIM(I19&amp;""),FIND(" ",TRIM(I19&amp;""))-1),코드표!$J$2:$J$101,0)),ISNUMBER(MATCH(TRIM(RIGHT(SUBSTITUTE(TRIM(I19&amp;"")," ",REPT(" ",60)),60)),코드표!$F$2:$F$101,0))),INDEX(코드표!$K$2:$K$101,MATCH(LEFT(TRIM(I19&amp;""),FIND(" ",TRIM(I19&amp;""))-1),코드표!$J$2:$J$101,0))&amp;" "&amp;INDEX(코드표!$G$2:$G$101,MATCH(TRIM(RIGHT(SUBSTITUTE(TRIM(I19&amp;"")," ",REPT(" ",60)),60)),코드표!$F$2:$F$101,0)),"⚠"&amp;TRIM(I19&amp;""))),"⚠"&amp;TRIM(I19&amp;""))</f>
        <v/>
      </c>
      <c r="R19" s="10">
        <f>IFERROR(IF(TRIM(J19&amp;"")="","",IF(AND(ISNUMBER(FIND(" ",TRIM(J19&amp;""))),ISNUMBER(MATCH(LEFT(TRIM(J19&amp;""),FIND(" ",TRIM(J19&amp;""))-1),코드표!$J$2:$J$101,0)),ISNUMBER(MATCH(TRIM(RIGHT(SUBSTITUTE(TRIM(J19&amp;"")," ",REPT(" ",60)),60)),코드표!$F$2:$F$101,0))),INDEX(코드표!$K$2:$K$101,MATCH(LEFT(TRIM(J19&amp;""),FIND(" ",TRIM(J19&amp;""))-1),코드표!$J$2:$J$101,0))&amp;" "&amp;INDEX(코드표!$G$2:$G$101,MATCH(TRIM(RIGHT(SUBSTITUTE(TRIM(J19&amp;"")," ",REPT(" ",60)),60)),코드표!$F$2:$F$101,0)),"⚠"&amp;TRIM(J19&amp;""))),"⚠"&amp;TRIM(J19&amp;""))</f>
        <v/>
      </c>
      <c r="S19" s="11">
        <f>IF(K19="","",IFERROR(IF(AND(ROUND((VALUE(K19&amp;"")-INT(VALUE(K19&amp;"")))*100,0)&gt;=1,ROUND((VALUE(K19&amp;"")-INT(VALUE(K19&amp;"")))*100,0)&lt;=12,INT(VALUE(K19&amp;""))&gt;=1900),DATE(INT(VALUE(K19&amp;"")),ROUND((VALUE(K19&amp;"")-INT(VALUE(K19&amp;"")))*100,0),1),K19&amp;""),K19&amp;""))</f>
        <v/>
      </c>
      <c r="T19" s="10">
        <f>COUNTIF(M19:R19,"⚠*")</f>
        <v/>
      </c>
    </row>
    <row r="20"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M20" s="10">
        <f>IFERROR(IF(TRIM(E20&amp;"")="","",IF(AND(ISNUMBER(FIND(" ",TRIM(E20&amp;""))),ISNUMBER(MATCH(LEFT(TRIM(E20&amp;""),FIND(" ",TRIM(E20&amp;""))-1),코드표!$J$2:$J$101,0)),ISNUMBER(MATCH(TRIM(RIGHT(SUBSTITUTE(TRIM(E20&amp;"")," ",REPT(" ",60)),60)),코드표!$F$2:$F$101,0))),INDEX(코드표!$K$2:$K$101,MATCH(LEFT(TRIM(E20&amp;""),FIND(" ",TRIM(E20&amp;""))-1),코드표!$J$2:$J$101,0))&amp;" "&amp;INDEX(코드표!$G$2:$G$101,MATCH(TRIM(RIGHT(SUBSTITUTE(TRIM(E20&amp;"")," ",REPT(" ",60)),60)),코드표!$F$2:$F$101,0)),"⚠"&amp;TRIM(E20&amp;""))),"⚠"&amp;TRIM(E20&amp;""))</f>
        <v/>
      </c>
      <c r="N20" s="10">
        <f>IFERROR(IF(TRIM(F20&amp;"")="","",IF(AND(ISNUMBER(FIND(" ",TRIM(F20&amp;""))),ISNUMBER(MATCH(LEFT(TRIM(F20&amp;""),FIND(" ",TRIM(F20&amp;""))-1),코드표!$J$2:$J$101,0)),ISNUMBER(MATCH(TRIM(RIGHT(SUBSTITUTE(TRIM(F20&amp;"")," ",REPT(" ",60)),60)),코드표!$F$2:$F$101,0))),INDEX(코드표!$K$2:$K$101,MATCH(LEFT(TRIM(F20&amp;""),FIND(" ",TRIM(F20&amp;""))-1),코드표!$J$2:$J$101,0))&amp;" "&amp;INDEX(코드표!$G$2:$G$101,MATCH(TRIM(RIGHT(SUBSTITUTE(TRIM(F20&amp;"")," ",REPT(" ",60)),60)),코드표!$F$2:$F$101,0)),"⚠"&amp;TRIM(F20&amp;""))),"⚠"&amp;TRIM(F20&amp;""))</f>
        <v/>
      </c>
      <c r="O20" s="10">
        <f>IFERROR(IF(TRIM(G20&amp;"")="","",IF(AND(ISNUMBER(FIND(" ",TRIM(G20&amp;""))),ISNUMBER(MATCH(LEFT(TRIM(G20&amp;""),FIND(" ",TRIM(G20&amp;""))-1),코드표!$J$2:$J$101,0)),ISNUMBER(MATCH(TRIM(RIGHT(SUBSTITUTE(TRIM(G20&amp;"")," ",REPT(" ",60)),60)),코드표!$F$2:$F$101,0))),INDEX(코드표!$K$2:$K$101,MATCH(LEFT(TRIM(G20&amp;""),FIND(" ",TRIM(G20&amp;""))-1),코드표!$J$2:$J$101,0))&amp;" "&amp;INDEX(코드표!$G$2:$G$101,MATCH(TRIM(RIGHT(SUBSTITUTE(TRIM(G20&amp;"")," ",REPT(" ",60)),60)),코드표!$F$2:$F$101,0)),"⚠"&amp;TRIM(G20&amp;""))),"⚠"&amp;TRIM(G20&amp;""))</f>
        <v/>
      </c>
      <c r="P20" s="10">
        <f>IFERROR(IF(TRIM(H20&amp;"")="","",IF(AND(ISNUMBER(FIND(" ",TRIM(H20&amp;""))),ISNUMBER(MATCH(LEFT(TRIM(H20&amp;""),FIND(" ",TRIM(H20&amp;""))-1),코드표!$J$2:$J$101,0)),ISNUMBER(MATCH(TRIM(RIGHT(SUBSTITUTE(TRIM(H20&amp;"")," ",REPT(" ",60)),60)),코드표!$F$2:$F$101,0))),INDEX(코드표!$K$2:$K$101,MATCH(LEFT(TRIM(H20&amp;""),FIND(" ",TRIM(H20&amp;""))-1),코드표!$J$2:$J$101,0))&amp;" "&amp;INDEX(코드표!$G$2:$G$101,MATCH(TRIM(RIGHT(SUBSTITUTE(TRIM(H20&amp;"")," ",REPT(" ",60)),60)),코드표!$F$2:$F$101,0)),"⚠"&amp;TRIM(H20&amp;""))),"⚠"&amp;TRIM(H20&amp;""))</f>
        <v/>
      </c>
      <c r="Q20" s="10">
        <f>IFERROR(IF(TRIM(I20&amp;"")="","",IF(AND(ISNUMBER(FIND(" ",TRIM(I20&amp;""))),ISNUMBER(MATCH(LEFT(TRIM(I20&amp;""),FIND(" ",TRIM(I20&amp;""))-1),코드표!$J$2:$J$101,0)),ISNUMBER(MATCH(TRIM(RIGHT(SUBSTITUTE(TRIM(I20&amp;"")," ",REPT(" ",60)),60)),코드표!$F$2:$F$101,0))),INDEX(코드표!$K$2:$K$101,MATCH(LEFT(TRIM(I20&amp;""),FIND(" ",TRIM(I20&amp;""))-1),코드표!$J$2:$J$101,0))&amp;" "&amp;INDEX(코드표!$G$2:$G$101,MATCH(TRIM(RIGHT(SUBSTITUTE(TRIM(I20&amp;"")," ",REPT(" ",60)),60)),코드표!$F$2:$F$101,0)),"⚠"&amp;TRIM(I20&amp;""))),"⚠"&amp;TRIM(I20&amp;""))</f>
        <v/>
      </c>
      <c r="R20" s="10">
        <f>IFERROR(IF(TRIM(J20&amp;"")="","",IF(AND(ISNUMBER(FIND(" ",TRIM(J20&amp;""))),ISNUMBER(MATCH(LEFT(TRIM(J20&amp;""),FIND(" ",TRIM(J20&amp;""))-1),코드표!$J$2:$J$101,0)),ISNUMBER(MATCH(TRIM(RIGHT(SUBSTITUTE(TRIM(J20&amp;"")," ",REPT(" ",60)),60)),코드표!$F$2:$F$101,0))),INDEX(코드표!$K$2:$K$101,MATCH(LEFT(TRIM(J20&amp;""),FIND(" ",TRIM(J20&amp;""))-1),코드표!$J$2:$J$101,0))&amp;" "&amp;INDEX(코드표!$G$2:$G$101,MATCH(TRIM(RIGHT(SUBSTITUTE(TRIM(J20&amp;"")," ",REPT(" ",60)),60)),코드표!$F$2:$F$101,0)),"⚠"&amp;TRIM(J20&amp;""))),"⚠"&amp;TRIM(J20&amp;""))</f>
        <v/>
      </c>
      <c r="S20" s="11">
        <f>IF(K20="","",IFERROR(IF(AND(ROUND((VALUE(K20&amp;"")-INT(VALUE(K20&amp;"")))*100,0)&gt;=1,ROUND((VALUE(K20&amp;"")-INT(VALUE(K20&amp;"")))*100,0)&lt;=12,INT(VALUE(K20&amp;""))&gt;=1900),DATE(INT(VALUE(K20&amp;"")),ROUND((VALUE(K20&amp;"")-INT(VALUE(K20&amp;"")))*100,0),1),K20&amp;""),K20&amp;""))</f>
        <v/>
      </c>
      <c r="T20" s="10">
        <f>COUNTIF(M20:R20,"⚠*")</f>
        <v/>
      </c>
    </row>
    <row r="21"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M21" s="10">
        <f>IFERROR(IF(TRIM(E21&amp;"")="","",IF(AND(ISNUMBER(FIND(" ",TRIM(E21&amp;""))),ISNUMBER(MATCH(LEFT(TRIM(E21&amp;""),FIND(" ",TRIM(E21&amp;""))-1),코드표!$J$2:$J$101,0)),ISNUMBER(MATCH(TRIM(RIGHT(SUBSTITUTE(TRIM(E21&amp;"")," ",REPT(" ",60)),60)),코드표!$F$2:$F$101,0))),INDEX(코드표!$K$2:$K$101,MATCH(LEFT(TRIM(E21&amp;""),FIND(" ",TRIM(E21&amp;""))-1),코드표!$J$2:$J$101,0))&amp;" "&amp;INDEX(코드표!$G$2:$G$101,MATCH(TRIM(RIGHT(SUBSTITUTE(TRIM(E21&amp;"")," ",REPT(" ",60)),60)),코드표!$F$2:$F$101,0)),"⚠"&amp;TRIM(E21&amp;""))),"⚠"&amp;TRIM(E21&amp;""))</f>
        <v/>
      </c>
      <c r="N21" s="10">
        <f>IFERROR(IF(TRIM(F21&amp;"")="","",IF(AND(ISNUMBER(FIND(" ",TRIM(F21&amp;""))),ISNUMBER(MATCH(LEFT(TRIM(F21&amp;""),FIND(" ",TRIM(F21&amp;""))-1),코드표!$J$2:$J$101,0)),ISNUMBER(MATCH(TRIM(RIGHT(SUBSTITUTE(TRIM(F21&amp;"")," ",REPT(" ",60)),60)),코드표!$F$2:$F$101,0))),INDEX(코드표!$K$2:$K$101,MATCH(LEFT(TRIM(F21&amp;""),FIND(" ",TRIM(F21&amp;""))-1),코드표!$J$2:$J$101,0))&amp;" "&amp;INDEX(코드표!$G$2:$G$101,MATCH(TRIM(RIGHT(SUBSTITUTE(TRIM(F21&amp;"")," ",REPT(" ",60)),60)),코드표!$F$2:$F$101,0)),"⚠"&amp;TRIM(F21&amp;""))),"⚠"&amp;TRIM(F21&amp;""))</f>
        <v/>
      </c>
      <c r="O21" s="10">
        <f>IFERROR(IF(TRIM(G21&amp;"")="","",IF(AND(ISNUMBER(FIND(" ",TRIM(G21&amp;""))),ISNUMBER(MATCH(LEFT(TRIM(G21&amp;""),FIND(" ",TRIM(G21&amp;""))-1),코드표!$J$2:$J$101,0)),ISNUMBER(MATCH(TRIM(RIGHT(SUBSTITUTE(TRIM(G21&amp;"")," ",REPT(" ",60)),60)),코드표!$F$2:$F$101,0))),INDEX(코드표!$K$2:$K$101,MATCH(LEFT(TRIM(G21&amp;""),FIND(" ",TRIM(G21&amp;""))-1),코드표!$J$2:$J$101,0))&amp;" "&amp;INDEX(코드표!$G$2:$G$101,MATCH(TRIM(RIGHT(SUBSTITUTE(TRIM(G21&amp;"")," ",REPT(" ",60)),60)),코드표!$F$2:$F$101,0)),"⚠"&amp;TRIM(G21&amp;""))),"⚠"&amp;TRIM(G21&amp;""))</f>
        <v/>
      </c>
      <c r="P21" s="10">
        <f>IFERROR(IF(TRIM(H21&amp;"")="","",IF(AND(ISNUMBER(FIND(" ",TRIM(H21&amp;""))),ISNUMBER(MATCH(LEFT(TRIM(H21&amp;""),FIND(" ",TRIM(H21&amp;""))-1),코드표!$J$2:$J$101,0)),ISNUMBER(MATCH(TRIM(RIGHT(SUBSTITUTE(TRIM(H21&amp;"")," ",REPT(" ",60)),60)),코드표!$F$2:$F$101,0))),INDEX(코드표!$K$2:$K$101,MATCH(LEFT(TRIM(H21&amp;""),FIND(" ",TRIM(H21&amp;""))-1),코드표!$J$2:$J$101,0))&amp;" "&amp;INDEX(코드표!$G$2:$G$101,MATCH(TRIM(RIGHT(SUBSTITUTE(TRIM(H21&amp;"")," ",REPT(" ",60)),60)),코드표!$F$2:$F$101,0)),"⚠"&amp;TRIM(H21&amp;""))),"⚠"&amp;TRIM(H21&amp;""))</f>
        <v/>
      </c>
      <c r="Q21" s="10">
        <f>IFERROR(IF(TRIM(I21&amp;"")="","",IF(AND(ISNUMBER(FIND(" ",TRIM(I21&amp;""))),ISNUMBER(MATCH(LEFT(TRIM(I21&amp;""),FIND(" ",TRIM(I21&amp;""))-1),코드표!$J$2:$J$101,0)),ISNUMBER(MATCH(TRIM(RIGHT(SUBSTITUTE(TRIM(I21&amp;"")," ",REPT(" ",60)),60)),코드표!$F$2:$F$101,0))),INDEX(코드표!$K$2:$K$101,MATCH(LEFT(TRIM(I21&amp;""),FIND(" ",TRIM(I21&amp;""))-1),코드표!$J$2:$J$101,0))&amp;" "&amp;INDEX(코드표!$G$2:$G$101,MATCH(TRIM(RIGHT(SUBSTITUTE(TRIM(I21&amp;"")," ",REPT(" ",60)),60)),코드표!$F$2:$F$101,0)),"⚠"&amp;TRIM(I21&amp;""))),"⚠"&amp;TRIM(I21&amp;""))</f>
        <v/>
      </c>
      <c r="R21" s="10">
        <f>IFERROR(IF(TRIM(J21&amp;"")="","",IF(AND(ISNUMBER(FIND(" ",TRIM(J21&amp;""))),ISNUMBER(MATCH(LEFT(TRIM(J21&amp;""),FIND(" ",TRIM(J21&amp;""))-1),코드표!$J$2:$J$101,0)),ISNUMBER(MATCH(TRIM(RIGHT(SUBSTITUTE(TRIM(J21&amp;"")," ",REPT(" ",60)),60)),코드표!$F$2:$F$101,0))),INDEX(코드표!$K$2:$K$101,MATCH(LEFT(TRIM(J21&amp;""),FIND(" ",TRIM(J21&amp;""))-1),코드표!$J$2:$J$101,0))&amp;" "&amp;INDEX(코드표!$G$2:$G$101,MATCH(TRIM(RIGHT(SUBSTITUTE(TRIM(J21&amp;"")," ",REPT(" ",60)),60)),코드표!$F$2:$F$101,0)),"⚠"&amp;TRIM(J21&amp;""))),"⚠"&amp;TRIM(J21&amp;""))</f>
        <v/>
      </c>
      <c r="S21" s="11">
        <f>IF(K21="","",IFERROR(IF(AND(ROUND((VALUE(K21&amp;"")-INT(VALUE(K21&amp;"")))*100,0)&gt;=1,ROUND((VALUE(K21&amp;"")-INT(VALUE(K21&amp;"")))*100,0)&lt;=12,INT(VALUE(K21&amp;""))&gt;=1900),DATE(INT(VALUE(K21&amp;"")),ROUND((VALUE(K21&amp;"")-INT(VALUE(K21&amp;"")))*100,0),1),K21&amp;""),K21&amp;""))</f>
        <v/>
      </c>
      <c r="T21" s="10">
        <f>COUNTIF(M21:R21,"⚠*")</f>
        <v/>
      </c>
    </row>
    <row r="22"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M22" s="10">
        <f>IFERROR(IF(TRIM(E22&amp;"")="","",IF(AND(ISNUMBER(FIND(" ",TRIM(E22&amp;""))),ISNUMBER(MATCH(LEFT(TRIM(E22&amp;""),FIND(" ",TRIM(E22&amp;""))-1),코드표!$J$2:$J$101,0)),ISNUMBER(MATCH(TRIM(RIGHT(SUBSTITUTE(TRIM(E22&amp;"")," ",REPT(" ",60)),60)),코드표!$F$2:$F$101,0))),INDEX(코드표!$K$2:$K$101,MATCH(LEFT(TRIM(E22&amp;""),FIND(" ",TRIM(E22&amp;""))-1),코드표!$J$2:$J$101,0))&amp;" "&amp;INDEX(코드표!$G$2:$G$101,MATCH(TRIM(RIGHT(SUBSTITUTE(TRIM(E22&amp;"")," ",REPT(" ",60)),60)),코드표!$F$2:$F$101,0)),"⚠"&amp;TRIM(E22&amp;""))),"⚠"&amp;TRIM(E22&amp;""))</f>
        <v/>
      </c>
      <c r="N22" s="10">
        <f>IFERROR(IF(TRIM(F22&amp;"")="","",IF(AND(ISNUMBER(FIND(" ",TRIM(F22&amp;""))),ISNUMBER(MATCH(LEFT(TRIM(F22&amp;""),FIND(" ",TRIM(F22&amp;""))-1),코드표!$J$2:$J$101,0)),ISNUMBER(MATCH(TRIM(RIGHT(SUBSTITUTE(TRIM(F22&amp;"")," ",REPT(" ",60)),60)),코드표!$F$2:$F$101,0))),INDEX(코드표!$K$2:$K$101,MATCH(LEFT(TRIM(F22&amp;""),FIND(" ",TRIM(F22&amp;""))-1),코드표!$J$2:$J$101,0))&amp;" "&amp;INDEX(코드표!$G$2:$G$101,MATCH(TRIM(RIGHT(SUBSTITUTE(TRIM(F22&amp;"")," ",REPT(" ",60)),60)),코드표!$F$2:$F$101,0)),"⚠"&amp;TRIM(F22&amp;""))),"⚠"&amp;TRIM(F22&amp;""))</f>
        <v/>
      </c>
      <c r="O22" s="10">
        <f>IFERROR(IF(TRIM(G22&amp;"")="","",IF(AND(ISNUMBER(FIND(" ",TRIM(G22&amp;""))),ISNUMBER(MATCH(LEFT(TRIM(G22&amp;""),FIND(" ",TRIM(G22&amp;""))-1),코드표!$J$2:$J$101,0)),ISNUMBER(MATCH(TRIM(RIGHT(SUBSTITUTE(TRIM(G22&amp;"")," ",REPT(" ",60)),60)),코드표!$F$2:$F$101,0))),INDEX(코드표!$K$2:$K$101,MATCH(LEFT(TRIM(G22&amp;""),FIND(" ",TRIM(G22&amp;""))-1),코드표!$J$2:$J$101,0))&amp;" "&amp;INDEX(코드표!$G$2:$G$101,MATCH(TRIM(RIGHT(SUBSTITUTE(TRIM(G22&amp;"")," ",REPT(" ",60)),60)),코드표!$F$2:$F$101,0)),"⚠"&amp;TRIM(G22&amp;""))),"⚠"&amp;TRIM(G22&amp;""))</f>
        <v/>
      </c>
      <c r="P22" s="10">
        <f>IFERROR(IF(TRIM(H22&amp;"")="","",IF(AND(ISNUMBER(FIND(" ",TRIM(H22&amp;""))),ISNUMBER(MATCH(LEFT(TRIM(H22&amp;""),FIND(" ",TRIM(H22&amp;""))-1),코드표!$J$2:$J$101,0)),ISNUMBER(MATCH(TRIM(RIGHT(SUBSTITUTE(TRIM(H22&amp;"")," ",REPT(" ",60)),60)),코드표!$F$2:$F$101,0))),INDEX(코드표!$K$2:$K$101,MATCH(LEFT(TRIM(H22&amp;""),FIND(" ",TRIM(H22&amp;""))-1),코드표!$J$2:$J$101,0))&amp;" "&amp;INDEX(코드표!$G$2:$G$101,MATCH(TRIM(RIGHT(SUBSTITUTE(TRIM(H22&amp;"")," ",REPT(" ",60)),60)),코드표!$F$2:$F$101,0)),"⚠"&amp;TRIM(H22&amp;""))),"⚠"&amp;TRIM(H22&amp;""))</f>
        <v/>
      </c>
      <c r="Q22" s="10">
        <f>IFERROR(IF(TRIM(I22&amp;"")="","",IF(AND(ISNUMBER(FIND(" ",TRIM(I22&amp;""))),ISNUMBER(MATCH(LEFT(TRIM(I22&amp;""),FIND(" ",TRIM(I22&amp;""))-1),코드표!$J$2:$J$101,0)),ISNUMBER(MATCH(TRIM(RIGHT(SUBSTITUTE(TRIM(I22&amp;"")," ",REPT(" ",60)),60)),코드표!$F$2:$F$101,0))),INDEX(코드표!$K$2:$K$101,MATCH(LEFT(TRIM(I22&amp;""),FIND(" ",TRIM(I22&amp;""))-1),코드표!$J$2:$J$101,0))&amp;" "&amp;INDEX(코드표!$G$2:$G$101,MATCH(TRIM(RIGHT(SUBSTITUTE(TRIM(I22&amp;"")," ",REPT(" ",60)),60)),코드표!$F$2:$F$101,0)),"⚠"&amp;TRIM(I22&amp;""))),"⚠"&amp;TRIM(I22&amp;""))</f>
        <v/>
      </c>
      <c r="R22" s="10">
        <f>IFERROR(IF(TRIM(J22&amp;"")="","",IF(AND(ISNUMBER(FIND(" ",TRIM(J22&amp;""))),ISNUMBER(MATCH(LEFT(TRIM(J22&amp;""),FIND(" ",TRIM(J22&amp;""))-1),코드표!$J$2:$J$101,0)),ISNUMBER(MATCH(TRIM(RIGHT(SUBSTITUTE(TRIM(J22&amp;"")," ",REPT(" ",60)),60)),코드표!$F$2:$F$101,0))),INDEX(코드표!$K$2:$K$101,MATCH(LEFT(TRIM(J22&amp;""),FIND(" ",TRIM(J22&amp;""))-1),코드표!$J$2:$J$101,0))&amp;" "&amp;INDEX(코드표!$G$2:$G$101,MATCH(TRIM(RIGHT(SUBSTITUTE(TRIM(J22&amp;"")," ",REPT(" ",60)),60)),코드표!$F$2:$F$101,0)),"⚠"&amp;TRIM(J22&amp;""))),"⚠"&amp;TRIM(J22&amp;""))</f>
        <v/>
      </c>
      <c r="S22" s="11">
        <f>IF(K22="","",IFERROR(IF(AND(ROUND((VALUE(K22&amp;"")-INT(VALUE(K22&amp;"")))*100,0)&gt;=1,ROUND((VALUE(K22&amp;"")-INT(VALUE(K22&amp;"")))*100,0)&lt;=12,INT(VALUE(K22&amp;""))&gt;=1900),DATE(INT(VALUE(K22&amp;"")),ROUND((VALUE(K22&amp;"")-INT(VALUE(K22&amp;"")))*100,0),1),K22&amp;""),K22&amp;""))</f>
        <v/>
      </c>
      <c r="T22" s="10">
        <f>COUNTIF(M22:R22,"⚠*")</f>
        <v/>
      </c>
    </row>
    <row r="23"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M23" s="10">
        <f>IFERROR(IF(TRIM(E23&amp;"")="","",IF(AND(ISNUMBER(FIND(" ",TRIM(E23&amp;""))),ISNUMBER(MATCH(LEFT(TRIM(E23&amp;""),FIND(" ",TRIM(E23&amp;""))-1),코드표!$J$2:$J$101,0)),ISNUMBER(MATCH(TRIM(RIGHT(SUBSTITUTE(TRIM(E23&amp;"")," ",REPT(" ",60)),60)),코드표!$F$2:$F$101,0))),INDEX(코드표!$K$2:$K$101,MATCH(LEFT(TRIM(E23&amp;""),FIND(" ",TRIM(E23&amp;""))-1),코드표!$J$2:$J$101,0))&amp;" "&amp;INDEX(코드표!$G$2:$G$101,MATCH(TRIM(RIGHT(SUBSTITUTE(TRIM(E23&amp;"")," ",REPT(" ",60)),60)),코드표!$F$2:$F$101,0)),"⚠"&amp;TRIM(E23&amp;""))),"⚠"&amp;TRIM(E23&amp;""))</f>
        <v/>
      </c>
      <c r="N23" s="10">
        <f>IFERROR(IF(TRIM(F23&amp;"")="","",IF(AND(ISNUMBER(FIND(" ",TRIM(F23&amp;""))),ISNUMBER(MATCH(LEFT(TRIM(F23&amp;""),FIND(" ",TRIM(F23&amp;""))-1),코드표!$J$2:$J$101,0)),ISNUMBER(MATCH(TRIM(RIGHT(SUBSTITUTE(TRIM(F23&amp;"")," ",REPT(" ",60)),60)),코드표!$F$2:$F$101,0))),INDEX(코드표!$K$2:$K$101,MATCH(LEFT(TRIM(F23&amp;""),FIND(" ",TRIM(F23&amp;""))-1),코드표!$J$2:$J$101,0))&amp;" "&amp;INDEX(코드표!$G$2:$G$101,MATCH(TRIM(RIGHT(SUBSTITUTE(TRIM(F23&amp;"")," ",REPT(" ",60)),60)),코드표!$F$2:$F$101,0)),"⚠"&amp;TRIM(F23&amp;""))),"⚠"&amp;TRIM(F23&amp;""))</f>
        <v/>
      </c>
      <c r="O23" s="10">
        <f>IFERROR(IF(TRIM(G23&amp;"")="","",IF(AND(ISNUMBER(FIND(" ",TRIM(G23&amp;""))),ISNUMBER(MATCH(LEFT(TRIM(G23&amp;""),FIND(" ",TRIM(G23&amp;""))-1),코드표!$J$2:$J$101,0)),ISNUMBER(MATCH(TRIM(RIGHT(SUBSTITUTE(TRIM(G23&amp;"")," ",REPT(" ",60)),60)),코드표!$F$2:$F$101,0))),INDEX(코드표!$K$2:$K$101,MATCH(LEFT(TRIM(G23&amp;""),FIND(" ",TRIM(G23&amp;""))-1),코드표!$J$2:$J$101,0))&amp;" "&amp;INDEX(코드표!$G$2:$G$101,MATCH(TRIM(RIGHT(SUBSTITUTE(TRIM(G23&amp;"")," ",REPT(" ",60)),60)),코드표!$F$2:$F$101,0)),"⚠"&amp;TRIM(G23&amp;""))),"⚠"&amp;TRIM(G23&amp;""))</f>
        <v/>
      </c>
      <c r="P23" s="10">
        <f>IFERROR(IF(TRIM(H23&amp;"")="","",IF(AND(ISNUMBER(FIND(" ",TRIM(H23&amp;""))),ISNUMBER(MATCH(LEFT(TRIM(H23&amp;""),FIND(" ",TRIM(H23&amp;""))-1),코드표!$J$2:$J$101,0)),ISNUMBER(MATCH(TRIM(RIGHT(SUBSTITUTE(TRIM(H23&amp;"")," ",REPT(" ",60)),60)),코드표!$F$2:$F$101,0))),INDEX(코드표!$K$2:$K$101,MATCH(LEFT(TRIM(H23&amp;""),FIND(" ",TRIM(H23&amp;""))-1),코드표!$J$2:$J$101,0))&amp;" "&amp;INDEX(코드표!$G$2:$G$101,MATCH(TRIM(RIGHT(SUBSTITUTE(TRIM(H23&amp;"")," ",REPT(" ",60)),60)),코드표!$F$2:$F$101,0)),"⚠"&amp;TRIM(H23&amp;""))),"⚠"&amp;TRIM(H23&amp;""))</f>
        <v/>
      </c>
      <c r="Q23" s="10">
        <f>IFERROR(IF(TRIM(I23&amp;"")="","",IF(AND(ISNUMBER(FIND(" ",TRIM(I23&amp;""))),ISNUMBER(MATCH(LEFT(TRIM(I23&amp;""),FIND(" ",TRIM(I23&amp;""))-1),코드표!$J$2:$J$101,0)),ISNUMBER(MATCH(TRIM(RIGHT(SUBSTITUTE(TRIM(I23&amp;"")," ",REPT(" ",60)),60)),코드표!$F$2:$F$101,0))),INDEX(코드표!$K$2:$K$101,MATCH(LEFT(TRIM(I23&amp;""),FIND(" ",TRIM(I23&amp;""))-1),코드표!$J$2:$J$101,0))&amp;" "&amp;INDEX(코드표!$G$2:$G$101,MATCH(TRIM(RIGHT(SUBSTITUTE(TRIM(I23&amp;"")," ",REPT(" ",60)),60)),코드표!$F$2:$F$101,0)),"⚠"&amp;TRIM(I23&amp;""))),"⚠"&amp;TRIM(I23&amp;""))</f>
        <v/>
      </c>
      <c r="R23" s="10">
        <f>IFERROR(IF(TRIM(J23&amp;"")="","",IF(AND(ISNUMBER(FIND(" ",TRIM(J23&amp;""))),ISNUMBER(MATCH(LEFT(TRIM(J23&amp;""),FIND(" ",TRIM(J23&amp;""))-1),코드표!$J$2:$J$101,0)),ISNUMBER(MATCH(TRIM(RIGHT(SUBSTITUTE(TRIM(J23&amp;"")," ",REPT(" ",60)),60)),코드표!$F$2:$F$101,0))),INDEX(코드표!$K$2:$K$101,MATCH(LEFT(TRIM(J23&amp;""),FIND(" ",TRIM(J23&amp;""))-1),코드표!$J$2:$J$101,0))&amp;" "&amp;INDEX(코드표!$G$2:$G$101,MATCH(TRIM(RIGHT(SUBSTITUTE(TRIM(J23&amp;"")," ",REPT(" ",60)),60)),코드표!$F$2:$F$101,0)),"⚠"&amp;TRIM(J23&amp;""))),"⚠"&amp;TRIM(J23&amp;""))</f>
        <v/>
      </c>
      <c r="S23" s="11">
        <f>IF(K23="","",IFERROR(IF(AND(ROUND((VALUE(K23&amp;"")-INT(VALUE(K23&amp;"")))*100,0)&gt;=1,ROUND((VALUE(K23&amp;"")-INT(VALUE(K23&amp;"")))*100,0)&lt;=12,INT(VALUE(K23&amp;""))&gt;=1900),DATE(INT(VALUE(K23&amp;"")),ROUND((VALUE(K23&amp;"")-INT(VALUE(K23&amp;"")))*100,0),1),K23&amp;""),K23&amp;""))</f>
        <v/>
      </c>
      <c r="T23" s="10">
        <f>COUNTIF(M23:R23,"⚠*")</f>
        <v/>
      </c>
    </row>
    <row r="24"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M24" s="10">
        <f>IFERROR(IF(TRIM(E24&amp;"")="","",IF(AND(ISNUMBER(FIND(" ",TRIM(E24&amp;""))),ISNUMBER(MATCH(LEFT(TRIM(E24&amp;""),FIND(" ",TRIM(E24&amp;""))-1),코드표!$J$2:$J$101,0)),ISNUMBER(MATCH(TRIM(RIGHT(SUBSTITUTE(TRIM(E24&amp;"")," ",REPT(" ",60)),60)),코드표!$F$2:$F$101,0))),INDEX(코드표!$K$2:$K$101,MATCH(LEFT(TRIM(E24&amp;""),FIND(" ",TRIM(E24&amp;""))-1),코드표!$J$2:$J$101,0))&amp;" "&amp;INDEX(코드표!$G$2:$G$101,MATCH(TRIM(RIGHT(SUBSTITUTE(TRIM(E24&amp;"")," ",REPT(" ",60)),60)),코드표!$F$2:$F$101,0)),"⚠"&amp;TRIM(E24&amp;""))),"⚠"&amp;TRIM(E24&amp;""))</f>
        <v/>
      </c>
      <c r="N24" s="10">
        <f>IFERROR(IF(TRIM(F24&amp;"")="","",IF(AND(ISNUMBER(FIND(" ",TRIM(F24&amp;""))),ISNUMBER(MATCH(LEFT(TRIM(F24&amp;""),FIND(" ",TRIM(F24&amp;""))-1),코드표!$J$2:$J$101,0)),ISNUMBER(MATCH(TRIM(RIGHT(SUBSTITUTE(TRIM(F24&amp;"")," ",REPT(" ",60)),60)),코드표!$F$2:$F$101,0))),INDEX(코드표!$K$2:$K$101,MATCH(LEFT(TRIM(F24&amp;""),FIND(" ",TRIM(F24&amp;""))-1),코드표!$J$2:$J$101,0))&amp;" "&amp;INDEX(코드표!$G$2:$G$101,MATCH(TRIM(RIGHT(SUBSTITUTE(TRIM(F24&amp;"")," ",REPT(" ",60)),60)),코드표!$F$2:$F$101,0)),"⚠"&amp;TRIM(F24&amp;""))),"⚠"&amp;TRIM(F24&amp;""))</f>
        <v/>
      </c>
      <c r="O24" s="10">
        <f>IFERROR(IF(TRIM(G24&amp;"")="","",IF(AND(ISNUMBER(FIND(" ",TRIM(G24&amp;""))),ISNUMBER(MATCH(LEFT(TRIM(G24&amp;""),FIND(" ",TRIM(G24&amp;""))-1),코드표!$J$2:$J$101,0)),ISNUMBER(MATCH(TRIM(RIGHT(SUBSTITUTE(TRIM(G24&amp;"")," ",REPT(" ",60)),60)),코드표!$F$2:$F$101,0))),INDEX(코드표!$K$2:$K$101,MATCH(LEFT(TRIM(G24&amp;""),FIND(" ",TRIM(G24&amp;""))-1),코드표!$J$2:$J$101,0))&amp;" "&amp;INDEX(코드표!$G$2:$G$101,MATCH(TRIM(RIGHT(SUBSTITUTE(TRIM(G24&amp;"")," ",REPT(" ",60)),60)),코드표!$F$2:$F$101,0)),"⚠"&amp;TRIM(G24&amp;""))),"⚠"&amp;TRIM(G24&amp;""))</f>
        <v/>
      </c>
      <c r="P24" s="10">
        <f>IFERROR(IF(TRIM(H24&amp;"")="","",IF(AND(ISNUMBER(FIND(" ",TRIM(H24&amp;""))),ISNUMBER(MATCH(LEFT(TRIM(H24&amp;""),FIND(" ",TRIM(H24&amp;""))-1),코드표!$J$2:$J$101,0)),ISNUMBER(MATCH(TRIM(RIGHT(SUBSTITUTE(TRIM(H24&amp;"")," ",REPT(" ",60)),60)),코드표!$F$2:$F$101,0))),INDEX(코드표!$K$2:$K$101,MATCH(LEFT(TRIM(H24&amp;""),FIND(" ",TRIM(H24&amp;""))-1),코드표!$J$2:$J$101,0))&amp;" "&amp;INDEX(코드표!$G$2:$G$101,MATCH(TRIM(RIGHT(SUBSTITUTE(TRIM(H24&amp;"")," ",REPT(" ",60)),60)),코드표!$F$2:$F$101,0)),"⚠"&amp;TRIM(H24&amp;""))),"⚠"&amp;TRIM(H24&amp;""))</f>
        <v/>
      </c>
      <c r="Q24" s="10">
        <f>IFERROR(IF(TRIM(I24&amp;"")="","",IF(AND(ISNUMBER(FIND(" ",TRIM(I24&amp;""))),ISNUMBER(MATCH(LEFT(TRIM(I24&amp;""),FIND(" ",TRIM(I24&amp;""))-1),코드표!$J$2:$J$101,0)),ISNUMBER(MATCH(TRIM(RIGHT(SUBSTITUTE(TRIM(I24&amp;"")," ",REPT(" ",60)),60)),코드표!$F$2:$F$101,0))),INDEX(코드표!$K$2:$K$101,MATCH(LEFT(TRIM(I24&amp;""),FIND(" ",TRIM(I24&amp;""))-1),코드표!$J$2:$J$101,0))&amp;" "&amp;INDEX(코드표!$G$2:$G$101,MATCH(TRIM(RIGHT(SUBSTITUTE(TRIM(I24&amp;"")," ",REPT(" ",60)),60)),코드표!$F$2:$F$101,0)),"⚠"&amp;TRIM(I24&amp;""))),"⚠"&amp;TRIM(I24&amp;""))</f>
        <v/>
      </c>
      <c r="R24" s="10">
        <f>IFERROR(IF(TRIM(J24&amp;"")="","",IF(AND(ISNUMBER(FIND(" ",TRIM(J24&amp;""))),ISNUMBER(MATCH(LEFT(TRIM(J24&amp;""),FIND(" ",TRIM(J24&amp;""))-1),코드표!$J$2:$J$101,0)),ISNUMBER(MATCH(TRIM(RIGHT(SUBSTITUTE(TRIM(J24&amp;"")," ",REPT(" ",60)),60)),코드표!$F$2:$F$101,0))),INDEX(코드표!$K$2:$K$101,MATCH(LEFT(TRIM(J24&amp;""),FIND(" ",TRIM(J24&amp;""))-1),코드표!$J$2:$J$101,0))&amp;" "&amp;INDEX(코드표!$G$2:$G$101,MATCH(TRIM(RIGHT(SUBSTITUTE(TRIM(J24&amp;"")," ",REPT(" ",60)),60)),코드표!$F$2:$F$101,0)),"⚠"&amp;TRIM(J24&amp;""))),"⚠"&amp;TRIM(J24&amp;""))</f>
        <v/>
      </c>
      <c r="S24" s="11">
        <f>IF(K24="","",IFERROR(IF(AND(ROUND((VALUE(K24&amp;"")-INT(VALUE(K24&amp;"")))*100,0)&gt;=1,ROUND((VALUE(K24&amp;"")-INT(VALUE(K24&amp;"")))*100,0)&lt;=12,INT(VALUE(K24&amp;""))&gt;=1900),DATE(INT(VALUE(K24&amp;"")),ROUND((VALUE(K24&amp;"")-INT(VALUE(K24&amp;"")))*100,0),1),K24&amp;""),K24&amp;""))</f>
        <v/>
      </c>
      <c r="T24" s="10">
        <f>COUNTIF(M24:R24,"⚠*")</f>
        <v/>
      </c>
    </row>
    <row r="25"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M25" s="10">
        <f>IFERROR(IF(TRIM(E25&amp;"")="","",IF(AND(ISNUMBER(FIND(" ",TRIM(E25&amp;""))),ISNUMBER(MATCH(LEFT(TRIM(E25&amp;""),FIND(" ",TRIM(E25&amp;""))-1),코드표!$J$2:$J$101,0)),ISNUMBER(MATCH(TRIM(RIGHT(SUBSTITUTE(TRIM(E25&amp;"")," ",REPT(" ",60)),60)),코드표!$F$2:$F$101,0))),INDEX(코드표!$K$2:$K$101,MATCH(LEFT(TRIM(E25&amp;""),FIND(" ",TRIM(E25&amp;""))-1),코드표!$J$2:$J$101,0))&amp;" "&amp;INDEX(코드표!$G$2:$G$101,MATCH(TRIM(RIGHT(SUBSTITUTE(TRIM(E25&amp;"")," ",REPT(" ",60)),60)),코드표!$F$2:$F$101,0)),"⚠"&amp;TRIM(E25&amp;""))),"⚠"&amp;TRIM(E25&amp;""))</f>
        <v/>
      </c>
      <c r="N25" s="10">
        <f>IFERROR(IF(TRIM(F25&amp;"")="","",IF(AND(ISNUMBER(FIND(" ",TRIM(F25&amp;""))),ISNUMBER(MATCH(LEFT(TRIM(F25&amp;""),FIND(" ",TRIM(F25&amp;""))-1),코드표!$J$2:$J$101,0)),ISNUMBER(MATCH(TRIM(RIGHT(SUBSTITUTE(TRIM(F25&amp;"")," ",REPT(" ",60)),60)),코드표!$F$2:$F$101,0))),INDEX(코드표!$K$2:$K$101,MATCH(LEFT(TRIM(F25&amp;""),FIND(" ",TRIM(F25&amp;""))-1),코드표!$J$2:$J$101,0))&amp;" "&amp;INDEX(코드표!$G$2:$G$101,MATCH(TRIM(RIGHT(SUBSTITUTE(TRIM(F25&amp;"")," ",REPT(" ",60)),60)),코드표!$F$2:$F$101,0)),"⚠"&amp;TRIM(F25&amp;""))),"⚠"&amp;TRIM(F25&amp;""))</f>
        <v/>
      </c>
      <c r="O25" s="10">
        <f>IFERROR(IF(TRIM(G25&amp;"")="","",IF(AND(ISNUMBER(FIND(" ",TRIM(G25&amp;""))),ISNUMBER(MATCH(LEFT(TRIM(G25&amp;""),FIND(" ",TRIM(G25&amp;""))-1),코드표!$J$2:$J$101,0)),ISNUMBER(MATCH(TRIM(RIGHT(SUBSTITUTE(TRIM(G25&amp;"")," ",REPT(" ",60)),60)),코드표!$F$2:$F$101,0))),INDEX(코드표!$K$2:$K$101,MATCH(LEFT(TRIM(G25&amp;""),FIND(" ",TRIM(G25&amp;""))-1),코드표!$J$2:$J$101,0))&amp;" "&amp;INDEX(코드표!$G$2:$G$101,MATCH(TRIM(RIGHT(SUBSTITUTE(TRIM(G25&amp;"")," ",REPT(" ",60)),60)),코드표!$F$2:$F$101,0)),"⚠"&amp;TRIM(G25&amp;""))),"⚠"&amp;TRIM(G25&amp;""))</f>
        <v/>
      </c>
      <c r="P25" s="10">
        <f>IFERROR(IF(TRIM(H25&amp;"")="","",IF(AND(ISNUMBER(FIND(" ",TRIM(H25&amp;""))),ISNUMBER(MATCH(LEFT(TRIM(H25&amp;""),FIND(" ",TRIM(H25&amp;""))-1),코드표!$J$2:$J$101,0)),ISNUMBER(MATCH(TRIM(RIGHT(SUBSTITUTE(TRIM(H25&amp;"")," ",REPT(" ",60)),60)),코드표!$F$2:$F$101,0))),INDEX(코드표!$K$2:$K$101,MATCH(LEFT(TRIM(H25&amp;""),FIND(" ",TRIM(H25&amp;""))-1),코드표!$J$2:$J$101,0))&amp;" "&amp;INDEX(코드표!$G$2:$G$101,MATCH(TRIM(RIGHT(SUBSTITUTE(TRIM(H25&amp;"")," ",REPT(" ",60)),60)),코드표!$F$2:$F$101,0)),"⚠"&amp;TRIM(H25&amp;""))),"⚠"&amp;TRIM(H25&amp;""))</f>
        <v/>
      </c>
      <c r="Q25" s="10">
        <f>IFERROR(IF(TRIM(I25&amp;"")="","",IF(AND(ISNUMBER(FIND(" ",TRIM(I25&amp;""))),ISNUMBER(MATCH(LEFT(TRIM(I25&amp;""),FIND(" ",TRIM(I25&amp;""))-1),코드표!$J$2:$J$101,0)),ISNUMBER(MATCH(TRIM(RIGHT(SUBSTITUTE(TRIM(I25&amp;"")," ",REPT(" ",60)),60)),코드표!$F$2:$F$101,0))),INDEX(코드표!$K$2:$K$101,MATCH(LEFT(TRIM(I25&amp;""),FIND(" ",TRIM(I25&amp;""))-1),코드표!$J$2:$J$101,0))&amp;" "&amp;INDEX(코드표!$G$2:$G$101,MATCH(TRIM(RIGHT(SUBSTITUTE(TRIM(I25&amp;"")," ",REPT(" ",60)),60)),코드표!$F$2:$F$101,0)),"⚠"&amp;TRIM(I25&amp;""))),"⚠"&amp;TRIM(I25&amp;""))</f>
        <v/>
      </c>
      <c r="R25" s="10">
        <f>IFERROR(IF(TRIM(J25&amp;"")="","",IF(AND(ISNUMBER(FIND(" ",TRIM(J25&amp;""))),ISNUMBER(MATCH(LEFT(TRIM(J25&amp;""),FIND(" ",TRIM(J25&amp;""))-1),코드표!$J$2:$J$101,0)),ISNUMBER(MATCH(TRIM(RIGHT(SUBSTITUTE(TRIM(J25&amp;"")," ",REPT(" ",60)),60)),코드표!$F$2:$F$101,0))),INDEX(코드표!$K$2:$K$101,MATCH(LEFT(TRIM(J25&amp;""),FIND(" ",TRIM(J25&amp;""))-1),코드표!$J$2:$J$101,0))&amp;" "&amp;INDEX(코드표!$G$2:$G$101,MATCH(TRIM(RIGHT(SUBSTITUTE(TRIM(J25&amp;"")," ",REPT(" ",60)),60)),코드표!$F$2:$F$101,0)),"⚠"&amp;TRIM(J25&amp;""))),"⚠"&amp;TRIM(J25&amp;""))</f>
        <v/>
      </c>
      <c r="S25" s="11">
        <f>IF(K25="","",IFERROR(IF(AND(ROUND((VALUE(K25&amp;"")-INT(VALUE(K25&amp;"")))*100,0)&gt;=1,ROUND((VALUE(K25&amp;"")-INT(VALUE(K25&amp;"")))*100,0)&lt;=12,INT(VALUE(K25&amp;""))&gt;=1900),DATE(INT(VALUE(K25&amp;"")),ROUND((VALUE(K25&amp;"")-INT(VALUE(K25&amp;"")))*100,0),1),K25&amp;""),K25&amp;""))</f>
        <v/>
      </c>
      <c r="T25" s="10">
        <f>COUNTIF(M25:R25,"⚠*")</f>
        <v/>
      </c>
    </row>
    <row r="26"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M26" s="10">
        <f>IFERROR(IF(TRIM(E26&amp;"")="","",IF(AND(ISNUMBER(FIND(" ",TRIM(E26&amp;""))),ISNUMBER(MATCH(LEFT(TRIM(E26&amp;""),FIND(" ",TRIM(E26&amp;""))-1),코드표!$J$2:$J$101,0)),ISNUMBER(MATCH(TRIM(RIGHT(SUBSTITUTE(TRIM(E26&amp;"")," ",REPT(" ",60)),60)),코드표!$F$2:$F$101,0))),INDEX(코드표!$K$2:$K$101,MATCH(LEFT(TRIM(E26&amp;""),FIND(" ",TRIM(E26&amp;""))-1),코드표!$J$2:$J$101,0))&amp;" "&amp;INDEX(코드표!$G$2:$G$101,MATCH(TRIM(RIGHT(SUBSTITUTE(TRIM(E26&amp;"")," ",REPT(" ",60)),60)),코드표!$F$2:$F$101,0)),"⚠"&amp;TRIM(E26&amp;""))),"⚠"&amp;TRIM(E26&amp;""))</f>
        <v/>
      </c>
      <c r="N26" s="10">
        <f>IFERROR(IF(TRIM(F26&amp;"")="","",IF(AND(ISNUMBER(FIND(" ",TRIM(F26&amp;""))),ISNUMBER(MATCH(LEFT(TRIM(F26&amp;""),FIND(" ",TRIM(F26&amp;""))-1),코드표!$J$2:$J$101,0)),ISNUMBER(MATCH(TRIM(RIGHT(SUBSTITUTE(TRIM(F26&amp;"")," ",REPT(" ",60)),60)),코드표!$F$2:$F$101,0))),INDEX(코드표!$K$2:$K$101,MATCH(LEFT(TRIM(F26&amp;""),FIND(" ",TRIM(F26&amp;""))-1),코드표!$J$2:$J$101,0))&amp;" "&amp;INDEX(코드표!$G$2:$G$101,MATCH(TRIM(RIGHT(SUBSTITUTE(TRIM(F26&amp;"")," ",REPT(" ",60)),60)),코드표!$F$2:$F$101,0)),"⚠"&amp;TRIM(F26&amp;""))),"⚠"&amp;TRIM(F26&amp;""))</f>
        <v/>
      </c>
      <c r="O26" s="10">
        <f>IFERROR(IF(TRIM(G26&amp;"")="","",IF(AND(ISNUMBER(FIND(" ",TRIM(G26&amp;""))),ISNUMBER(MATCH(LEFT(TRIM(G26&amp;""),FIND(" ",TRIM(G26&amp;""))-1),코드표!$J$2:$J$101,0)),ISNUMBER(MATCH(TRIM(RIGHT(SUBSTITUTE(TRIM(G26&amp;"")," ",REPT(" ",60)),60)),코드표!$F$2:$F$101,0))),INDEX(코드표!$K$2:$K$101,MATCH(LEFT(TRIM(G26&amp;""),FIND(" ",TRIM(G26&amp;""))-1),코드표!$J$2:$J$101,0))&amp;" "&amp;INDEX(코드표!$G$2:$G$101,MATCH(TRIM(RIGHT(SUBSTITUTE(TRIM(G26&amp;"")," ",REPT(" ",60)),60)),코드표!$F$2:$F$101,0)),"⚠"&amp;TRIM(G26&amp;""))),"⚠"&amp;TRIM(G26&amp;""))</f>
        <v/>
      </c>
      <c r="P26" s="10">
        <f>IFERROR(IF(TRIM(H26&amp;"")="","",IF(AND(ISNUMBER(FIND(" ",TRIM(H26&amp;""))),ISNUMBER(MATCH(LEFT(TRIM(H26&amp;""),FIND(" ",TRIM(H26&amp;""))-1),코드표!$J$2:$J$101,0)),ISNUMBER(MATCH(TRIM(RIGHT(SUBSTITUTE(TRIM(H26&amp;"")," ",REPT(" ",60)),60)),코드표!$F$2:$F$101,0))),INDEX(코드표!$K$2:$K$101,MATCH(LEFT(TRIM(H26&amp;""),FIND(" ",TRIM(H26&amp;""))-1),코드표!$J$2:$J$101,0))&amp;" "&amp;INDEX(코드표!$G$2:$G$101,MATCH(TRIM(RIGHT(SUBSTITUTE(TRIM(H26&amp;"")," ",REPT(" ",60)),60)),코드표!$F$2:$F$101,0)),"⚠"&amp;TRIM(H26&amp;""))),"⚠"&amp;TRIM(H26&amp;""))</f>
        <v/>
      </c>
      <c r="Q26" s="10">
        <f>IFERROR(IF(TRIM(I26&amp;"")="","",IF(AND(ISNUMBER(FIND(" ",TRIM(I26&amp;""))),ISNUMBER(MATCH(LEFT(TRIM(I26&amp;""),FIND(" ",TRIM(I26&amp;""))-1),코드표!$J$2:$J$101,0)),ISNUMBER(MATCH(TRIM(RIGHT(SUBSTITUTE(TRIM(I26&amp;"")," ",REPT(" ",60)),60)),코드표!$F$2:$F$101,0))),INDEX(코드표!$K$2:$K$101,MATCH(LEFT(TRIM(I26&amp;""),FIND(" ",TRIM(I26&amp;""))-1),코드표!$J$2:$J$101,0))&amp;" "&amp;INDEX(코드표!$G$2:$G$101,MATCH(TRIM(RIGHT(SUBSTITUTE(TRIM(I26&amp;"")," ",REPT(" ",60)),60)),코드표!$F$2:$F$101,0)),"⚠"&amp;TRIM(I26&amp;""))),"⚠"&amp;TRIM(I26&amp;""))</f>
        <v/>
      </c>
      <c r="R26" s="10">
        <f>IFERROR(IF(TRIM(J26&amp;"")="","",IF(AND(ISNUMBER(FIND(" ",TRIM(J26&amp;""))),ISNUMBER(MATCH(LEFT(TRIM(J26&amp;""),FIND(" ",TRIM(J26&amp;""))-1),코드표!$J$2:$J$101,0)),ISNUMBER(MATCH(TRIM(RIGHT(SUBSTITUTE(TRIM(J26&amp;"")," ",REPT(" ",60)),60)),코드표!$F$2:$F$101,0))),INDEX(코드표!$K$2:$K$101,MATCH(LEFT(TRIM(J26&amp;""),FIND(" ",TRIM(J26&amp;""))-1),코드표!$J$2:$J$101,0))&amp;" "&amp;INDEX(코드표!$G$2:$G$101,MATCH(TRIM(RIGHT(SUBSTITUTE(TRIM(J26&amp;"")," ",REPT(" ",60)),60)),코드표!$F$2:$F$101,0)),"⚠"&amp;TRIM(J26&amp;""))),"⚠"&amp;TRIM(J26&amp;""))</f>
        <v/>
      </c>
      <c r="S26" s="11">
        <f>IF(K26="","",IFERROR(IF(AND(ROUND((VALUE(K26&amp;"")-INT(VALUE(K26&amp;"")))*100,0)&gt;=1,ROUND((VALUE(K26&amp;"")-INT(VALUE(K26&amp;"")))*100,0)&lt;=12,INT(VALUE(K26&amp;""))&gt;=1900),DATE(INT(VALUE(K26&amp;"")),ROUND((VALUE(K26&amp;"")-INT(VALUE(K26&amp;"")))*100,0),1),K26&amp;""),K26&amp;""))</f>
        <v/>
      </c>
      <c r="T26" s="10">
        <f>COUNTIF(M26:R26,"⚠*")</f>
        <v/>
      </c>
    </row>
    <row r="27"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M27" s="10">
        <f>IFERROR(IF(TRIM(E27&amp;"")="","",IF(AND(ISNUMBER(FIND(" ",TRIM(E27&amp;""))),ISNUMBER(MATCH(LEFT(TRIM(E27&amp;""),FIND(" ",TRIM(E27&amp;""))-1),코드표!$J$2:$J$101,0)),ISNUMBER(MATCH(TRIM(RIGHT(SUBSTITUTE(TRIM(E27&amp;"")," ",REPT(" ",60)),60)),코드표!$F$2:$F$101,0))),INDEX(코드표!$K$2:$K$101,MATCH(LEFT(TRIM(E27&amp;""),FIND(" ",TRIM(E27&amp;""))-1),코드표!$J$2:$J$101,0))&amp;" "&amp;INDEX(코드표!$G$2:$G$101,MATCH(TRIM(RIGHT(SUBSTITUTE(TRIM(E27&amp;"")," ",REPT(" ",60)),60)),코드표!$F$2:$F$101,0)),"⚠"&amp;TRIM(E27&amp;""))),"⚠"&amp;TRIM(E27&amp;""))</f>
        <v/>
      </c>
      <c r="N27" s="10">
        <f>IFERROR(IF(TRIM(F27&amp;"")="","",IF(AND(ISNUMBER(FIND(" ",TRIM(F27&amp;""))),ISNUMBER(MATCH(LEFT(TRIM(F27&amp;""),FIND(" ",TRIM(F27&amp;""))-1),코드표!$J$2:$J$101,0)),ISNUMBER(MATCH(TRIM(RIGHT(SUBSTITUTE(TRIM(F27&amp;"")," ",REPT(" ",60)),60)),코드표!$F$2:$F$101,0))),INDEX(코드표!$K$2:$K$101,MATCH(LEFT(TRIM(F27&amp;""),FIND(" ",TRIM(F27&amp;""))-1),코드표!$J$2:$J$101,0))&amp;" "&amp;INDEX(코드표!$G$2:$G$101,MATCH(TRIM(RIGHT(SUBSTITUTE(TRIM(F27&amp;"")," ",REPT(" ",60)),60)),코드표!$F$2:$F$101,0)),"⚠"&amp;TRIM(F27&amp;""))),"⚠"&amp;TRIM(F27&amp;""))</f>
        <v/>
      </c>
      <c r="O27" s="10">
        <f>IFERROR(IF(TRIM(G27&amp;"")="","",IF(AND(ISNUMBER(FIND(" ",TRIM(G27&amp;""))),ISNUMBER(MATCH(LEFT(TRIM(G27&amp;""),FIND(" ",TRIM(G27&amp;""))-1),코드표!$J$2:$J$101,0)),ISNUMBER(MATCH(TRIM(RIGHT(SUBSTITUTE(TRIM(G27&amp;"")," ",REPT(" ",60)),60)),코드표!$F$2:$F$101,0))),INDEX(코드표!$K$2:$K$101,MATCH(LEFT(TRIM(G27&amp;""),FIND(" ",TRIM(G27&amp;""))-1),코드표!$J$2:$J$101,0))&amp;" "&amp;INDEX(코드표!$G$2:$G$101,MATCH(TRIM(RIGHT(SUBSTITUTE(TRIM(G27&amp;"")," ",REPT(" ",60)),60)),코드표!$F$2:$F$101,0)),"⚠"&amp;TRIM(G27&amp;""))),"⚠"&amp;TRIM(G27&amp;""))</f>
        <v/>
      </c>
      <c r="P27" s="10">
        <f>IFERROR(IF(TRIM(H27&amp;"")="","",IF(AND(ISNUMBER(FIND(" ",TRIM(H27&amp;""))),ISNUMBER(MATCH(LEFT(TRIM(H27&amp;""),FIND(" ",TRIM(H27&amp;""))-1),코드표!$J$2:$J$101,0)),ISNUMBER(MATCH(TRIM(RIGHT(SUBSTITUTE(TRIM(H27&amp;"")," ",REPT(" ",60)),60)),코드표!$F$2:$F$101,0))),INDEX(코드표!$K$2:$K$101,MATCH(LEFT(TRIM(H27&amp;""),FIND(" ",TRIM(H27&amp;""))-1),코드표!$J$2:$J$101,0))&amp;" "&amp;INDEX(코드표!$G$2:$G$101,MATCH(TRIM(RIGHT(SUBSTITUTE(TRIM(H27&amp;"")," ",REPT(" ",60)),60)),코드표!$F$2:$F$101,0)),"⚠"&amp;TRIM(H27&amp;""))),"⚠"&amp;TRIM(H27&amp;""))</f>
        <v/>
      </c>
      <c r="Q27" s="10">
        <f>IFERROR(IF(TRIM(I27&amp;"")="","",IF(AND(ISNUMBER(FIND(" ",TRIM(I27&amp;""))),ISNUMBER(MATCH(LEFT(TRIM(I27&amp;""),FIND(" ",TRIM(I27&amp;""))-1),코드표!$J$2:$J$101,0)),ISNUMBER(MATCH(TRIM(RIGHT(SUBSTITUTE(TRIM(I27&amp;"")," ",REPT(" ",60)),60)),코드표!$F$2:$F$101,0))),INDEX(코드표!$K$2:$K$101,MATCH(LEFT(TRIM(I27&amp;""),FIND(" ",TRIM(I27&amp;""))-1),코드표!$J$2:$J$101,0))&amp;" "&amp;INDEX(코드표!$G$2:$G$101,MATCH(TRIM(RIGHT(SUBSTITUTE(TRIM(I27&amp;"")," ",REPT(" ",60)),60)),코드표!$F$2:$F$101,0)),"⚠"&amp;TRIM(I27&amp;""))),"⚠"&amp;TRIM(I27&amp;""))</f>
        <v/>
      </c>
      <c r="R27" s="10">
        <f>IFERROR(IF(TRIM(J27&amp;"")="","",IF(AND(ISNUMBER(FIND(" ",TRIM(J27&amp;""))),ISNUMBER(MATCH(LEFT(TRIM(J27&amp;""),FIND(" ",TRIM(J27&amp;""))-1),코드표!$J$2:$J$101,0)),ISNUMBER(MATCH(TRIM(RIGHT(SUBSTITUTE(TRIM(J27&amp;"")," ",REPT(" ",60)),60)),코드표!$F$2:$F$101,0))),INDEX(코드표!$K$2:$K$101,MATCH(LEFT(TRIM(J27&amp;""),FIND(" ",TRIM(J27&amp;""))-1),코드표!$J$2:$J$101,0))&amp;" "&amp;INDEX(코드표!$G$2:$G$101,MATCH(TRIM(RIGHT(SUBSTITUTE(TRIM(J27&amp;"")," ",REPT(" ",60)),60)),코드표!$F$2:$F$101,0)),"⚠"&amp;TRIM(J27&amp;""))),"⚠"&amp;TRIM(J27&amp;""))</f>
        <v/>
      </c>
      <c r="S27" s="11">
        <f>IF(K27="","",IFERROR(IF(AND(ROUND((VALUE(K27&amp;"")-INT(VALUE(K27&amp;"")))*100,0)&gt;=1,ROUND((VALUE(K27&amp;"")-INT(VALUE(K27&amp;"")))*100,0)&lt;=12,INT(VALUE(K27&amp;""))&gt;=1900),DATE(INT(VALUE(K27&amp;"")),ROUND((VALUE(K27&amp;"")-INT(VALUE(K27&amp;"")))*100,0),1),K27&amp;""),K27&amp;""))</f>
        <v/>
      </c>
      <c r="T27" s="10">
        <f>COUNTIF(M27:R27,"⚠*")</f>
        <v/>
      </c>
    </row>
    <row r="28"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M28" s="10">
        <f>IFERROR(IF(TRIM(E28&amp;"")="","",IF(AND(ISNUMBER(FIND(" ",TRIM(E28&amp;""))),ISNUMBER(MATCH(LEFT(TRIM(E28&amp;""),FIND(" ",TRIM(E28&amp;""))-1),코드표!$J$2:$J$101,0)),ISNUMBER(MATCH(TRIM(RIGHT(SUBSTITUTE(TRIM(E28&amp;"")," ",REPT(" ",60)),60)),코드표!$F$2:$F$101,0))),INDEX(코드표!$K$2:$K$101,MATCH(LEFT(TRIM(E28&amp;""),FIND(" ",TRIM(E28&amp;""))-1),코드표!$J$2:$J$101,0))&amp;" "&amp;INDEX(코드표!$G$2:$G$101,MATCH(TRIM(RIGHT(SUBSTITUTE(TRIM(E28&amp;"")," ",REPT(" ",60)),60)),코드표!$F$2:$F$101,0)),"⚠"&amp;TRIM(E28&amp;""))),"⚠"&amp;TRIM(E28&amp;""))</f>
        <v/>
      </c>
      <c r="N28" s="10">
        <f>IFERROR(IF(TRIM(F28&amp;"")="","",IF(AND(ISNUMBER(FIND(" ",TRIM(F28&amp;""))),ISNUMBER(MATCH(LEFT(TRIM(F28&amp;""),FIND(" ",TRIM(F28&amp;""))-1),코드표!$J$2:$J$101,0)),ISNUMBER(MATCH(TRIM(RIGHT(SUBSTITUTE(TRIM(F28&amp;"")," ",REPT(" ",60)),60)),코드표!$F$2:$F$101,0))),INDEX(코드표!$K$2:$K$101,MATCH(LEFT(TRIM(F28&amp;""),FIND(" ",TRIM(F28&amp;""))-1),코드표!$J$2:$J$101,0))&amp;" "&amp;INDEX(코드표!$G$2:$G$101,MATCH(TRIM(RIGHT(SUBSTITUTE(TRIM(F28&amp;"")," ",REPT(" ",60)),60)),코드표!$F$2:$F$101,0)),"⚠"&amp;TRIM(F28&amp;""))),"⚠"&amp;TRIM(F28&amp;""))</f>
        <v/>
      </c>
      <c r="O28" s="10">
        <f>IFERROR(IF(TRIM(G28&amp;"")="","",IF(AND(ISNUMBER(FIND(" ",TRIM(G28&amp;""))),ISNUMBER(MATCH(LEFT(TRIM(G28&amp;""),FIND(" ",TRIM(G28&amp;""))-1),코드표!$J$2:$J$101,0)),ISNUMBER(MATCH(TRIM(RIGHT(SUBSTITUTE(TRIM(G28&amp;"")," ",REPT(" ",60)),60)),코드표!$F$2:$F$101,0))),INDEX(코드표!$K$2:$K$101,MATCH(LEFT(TRIM(G28&amp;""),FIND(" ",TRIM(G28&amp;""))-1),코드표!$J$2:$J$101,0))&amp;" "&amp;INDEX(코드표!$G$2:$G$101,MATCH(TRIM(RIGHT(SUBSTITUTE(TRIM(G28&amp;"")," ",REPT(" ",60)),60)),코드표!$F$2:$F$101,0)),"⚠"&amp;TRIM(G28&amp;""))),"⚠"&amp;TRIM(G28&amp;""))</f>
        <v/>
      </c>
      <c r="P28" s="10">
        <f>IFERROR(IF(TRIM(H28&amp;"")="","",IF(AND(ISNUMBER(FIND(" ",TRIM(H28&amp;""))),ISNUMBER(MATCH(LEFT(TRIM(H28&amp;""),FIND(" ",TRIM(H28&amp;""))-1),코드표!$J$2:$J$101,0)),ISNUMBER(MATCH(TRIM(RIGHT(SUBSTITUTE(TRIM(H28&amp;"")," ",REPT(" ",60)),60)),코드표!$F$2:$F$101,0))),INDEX(코드표!$K$2:$K$101,MATCH(LEFT(TRIM(H28&amp;""),FIND(" ",TRIM(H28&amp;""))-1),코드표!$J$2:$J$101,0))&amp;" "&amp;INDEX(코드표!$G$2:$G$101,MATCH(TRIM(RIGHT(SUBSTITUTE(TRIM(H28&amp;"")," ",REPT(" ",60)),60)),코드표!$F$2:$F$101,0)),"⚠"&amp;TRIM(H28&amp;""))),"⚠"&amp;TRIM(H28&amp;""))</f>
        <v/>
      </c>
      <c r="Q28" s="10">
        <f>IFERROR(IF(TRIM(I28&amp;"")="","",IF(AND(ISNUMBER(FIND(" ",TRIM(I28&amp;""))),ISNUMBER(MATCH(LEFT(TRIM(I28&amp;""),FIND(" ",TRIM(I28&amp;""))-1),코드표!$J$2:$J$101,0)),ISNUMBER(MATCH(TRIM(RIGHT(SUBSTITUTE(TRIM(I28&amp;"")," ",REPT(" ",60)),60)),코드표!$F$2:$F$101,0))),INDEX(코드표!$K$2:$K$101,MATCH(LEFT(TRIM(I28&amp;""),FIND(" ",TRIM(I28&amp;""))-1),코드표!$J$2:$J$101,0))&amp;" "&amp;INDEX(코드표!$G$2:$G$101,MATCH(TRIM(RIGHT(SUBSTITUTE(TRIM(I28&amp;"")," ",REPT(" ",60)),60)),코드표!$F$2:$F$101,0)),"⚠"&amp;TRIM(I28&amp;""))),"⚠"&amp;TRIM(I28&amp;""))</f>
        <v/>
      </c>
      <c r="R28" s="10">
        <f>IFERROR(IF(TRIM(J28&amp;"")="","",IF(AND(ISNUMBER(FIND(" ",TRIM(J28&amp;""))),ISNUMBER(MATCH(LEFT(TRIM(J28&amp;""),FIND(" ",TRIM(J28&amp;""))-1),코드표!$J$2:$J$101,0)),ISNUMBER(MATCH(TRIM(RIGHT(SUBSTITUTE(TRIM(J28&amp;"")," ",REPT(" ",60)),60)),코드표!$F$2:$F$101,0))),INDEX(코드표!$K$2:$K$101,MATCH(LEFT(TRIM(J28&amp;""),FIND(" ",TRIM(J28&amp;""))-1),코드표!$J$2:$J$101,0))&amp;" "&amp;INDEX(코드표!$G$2:$G$101,MATCH(TRIM(RIGHT(SUBSTITUTE(TRIM(J28&amp;"")," ",REPT(" ",60)),60)),코드표!$F$2:$F$101,0)),"⚠"&amp;TRIM(J28&amp;""))),"⚠"&amp;TRIM(J28&amp;""))</f>
        <v/>
      </c>
      <c r="S28" s="11">
        <f>IF(K28="","",IFERROR(IF(AND(ROUND((VALUE(K28&amp;"")-INT(VALUE(K28&amp;"")))*100,0)&gt;=1,ROUND((VALUE(K28&amp;"")-INT(VALUE(K28&amp;"")))*100,0)&lt;=12,INT(VALUE(K28&amp;""))&gt;=1900),DATE(INT(VALUE(K28&amp;"")),ROUND((VALUE(K28&amp;"")-INT(VALUE(K28&amp;"")))*100,0),1),K28&amp;""),K28&amp;""))</f>
        <v/>
      </c>
      <c r="T28" s="10">
        <f>COUNTIF(M28:R28,"⚠*")</f>
        <v/>
      </c>
    </row>
    <row r="29"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M29" s="10">
        <f>IFERROR(IF(TRIM(E29&amp;"")="","",IF(AND(ISNUMBER(FIND(" ",TRIM(E29&amp;""))),ISNUMBER(MATCH(LEFT(TRIM(E29&amp;""),FIND(" ",TRIM(E29&amp;""))-1),코드표!$J$2:$J$101,0)),ISNUMBER(MATCH(TRIM(RIGHT(SUBSTITUTE(TRIM(E29&amp;"")," ",REPT(" ",60)),60)),코드표!$F$2:$F$101,0))),INDEX(코드표!$K$2:$K$101,MATCH(LEFT(TRIM(E29&amp;""),FIND(" ",TRIM(E29&amp;""))-1),코드표!$J$2:$J$101,0))&amp;" "&amp;INDEX(코드표!$G$2:$G$101,MATCH(TRIM(RIGHT(SUBSTITUTE(TRIM(E29&amp;"")," ",REPT(" ",60)),60)),코드표!$F$2:$F$101,0)),"⚠"&amp;TRIM(E29&amp;""))),"⚠"&amp;TRIM(E29&amp;""))</f>
        <v/>
      </c>
      <c r="N29" s="10">
        <f>IFERROR(IF(TRIM(F29&amp;"")="","",IF(AND(ISNUMBER(FIND(" ",TRIM(F29&amp;""))),ISNUMBER(MATCH(LEFT(TRIM(F29&amp;""),FIND(" ",TRIM(F29&amp;""))-1),코드표!$J$2:$J$101,0)),ISNUMBER(MATCH(TRIM(RIGHT(SUBSTITUTE(TRIM(F29&amp;"")," ",REPT(" ",60)),60)),코드표!$F$2:$F$101,0))),INDEX(코드표!$K$2:$K$101,MATCH(LEFT(TRIM(F29&amp;""),FIND(" ",TRIM(F29&amp;""))-1),코드표!$J$2:$J$101,0))&amp;" "&amp;INDEX(코드표!$G$2:$G$101,MATCH(TRIM(RIGHT(SUBSTITUTE(TRIM(F29&amp;"")," ",REPT(" ",60)),60)),코드표!$F$2:$F$101,0)),"⚠"&amp;TRIM(F29&amp;""))),"⚠"&amp;TRIM(F29&amp;""))</f>
        <v/>
      </c>
      <c r="O29" s="10">
        <f>IFERROR(IF(TRIM(G29&amp;"")="","",IF(AND(ISNUMBER(FIND(" ",TRIM(G29&amp;""))),ISNUMBER(MATCH(LEFT(TRIM(G29&amp;""),FIND(" ",TRIM(G29&amp;""))-1),코드표!$J$2:$J$101,0)),ISNUMBER(MATCH(TRIM(RIGHT(SUBSTITUTE(TRIM(G29&amp;"")," ",REPT(" ",60)),60)),코드표!$F$2:$F$101,0))),INDEX(코드표!$K$2:$K$101,MATCH(LEFT(TRIM(G29&amp;""),FIND(" ",TRIM(G29&amp;""))-1),코드표!$J$2:$J$101,0))&amp;" "&amp;INDEX(코드표!$G$2:$G$101,MATCH(TRIM(RIGHT(SUBSTITUTE(TRIM(G29&amp;"")," ",REPT(" ",60)),60)),코드표!$F$2:$F$101,0)),"⚠"&amp;TRIM(G29&amp;""))),"⚠"&amp;TRIM(G29&amp;""))</f>
        <v/>
      </c>
      <c r="P29" s="10">
        <f>IFERROR(IF(TRIM(H29&amp;"")="","",IF(AND(ISNUMBER(FIND(" ",TRIM(H29&amp;""))),ISNUMBER(MATCH(LEFT(TRIM(H29&amp;""),FIND(" ",TRIM(H29&amp;""))-1),코드표!$J$2:$J$101,0)),ISNUMBER(MATCH(TRIM(RIGHT(SUBSTITUTE(TRIM(H29&amp;"")," ",REPT(" ",60)),60)),코드표!$F$2:$F$101,0))),INDEX(코드표!$K$2:$K$101,MATCH(LEFT(TRIM(H29&amp;""),FIND(" ",TRIM(H29&amp;""))-1),코드표!$J$2:$J$101,0))&amp;" "&amp;INDEX(코드표!$G$2:$G$101,MATCH(TRIM(RIGHT(SUBSTITUTE(TRIM(H29&amp;"")," ",REPT(" ",60)),60)),코드표!$F$2:$F$101,0)),"⚠"&amp;TRIM(H29&amp;""))),"⚠"&amp;TRIM(H29&amp;""))</f>
        <v/>
      </c>
      <c r="Q29" s="10">
        <f>IFERROR(IF(TRIM(I29&amp;"")="","",IF(AND(ISNUMBER(FIND(" ",TRIM(I29&amp;""))),ISNUMBER(MATCH(LEFT(TRIM(I29&amp;""),FIND(" ",TRIM(I29&amp;""))-1),코드표!$J$2:$J$101,0)),ISNUMBER(MATCH(TRIM(RIGHT(SUBSTITUTE(TRIM(I29&amp;"")," ",REPT(" ",60)),60)),코드표!$F$2:$F$101,0))),INDEX(코드표!$K$2:$K$101,MATCH(LEFT(TRIM(I29&amp;""),FIND(" ",TRIM(I29&amp;""))-1),코드표!$J$2:$J$101,0))&amp;" "&amp;INDEX(코드표!$G$2:$G$101,MATCH(TRIM(RIGHT(SUBSTITUTE(TRIM(I29&amp;"")," ",REPT(" ",60)),60)),코드표!$F$2:$F$101,0)),"⚠"&amp;TRIM(I29&amp;""))),"⚠"&amp;TRIM(I29&amp;""))</f>
        <v/>
      </c>
      <c r="R29" s="10">
        <f>IFERROR(IF(TRIM(J29&amp;"")="","",IF(AND(ISNUMBER(FIND(" ",TRIM(J29&amp;""))),ISNUMBER(MATCH(LEFT(TRIM(J29&amp;""),FIND(" ",TRIM(J29&amp;""))-1),코드표!$J$2:$J$101,0)),ISNUMBER(MATCH(TRIM(RIGHT(SUBSTITUTE(TRIM(J29&amp;"")," ",REPT(" ",60)),60)),코드표!$F$2:$F$101,0))),INDEX(코드표!$K$2:$K$101,MATCH(LEFT(TRIM(J29&amp;""),FIND(" ",TRIM(J29&amp;""))-1),코드표!$J$2:$J$101,0))&amp;" "&amp;INDEX(코드표!$G$2:$G$101,MATCH(TRIM(RIGHT(SUBSTITUTE(TRIM(J29&amp;"")," ",REPT(" ",60)),60)),코드표!$F$2:$F$101,0)),"⚠"&amp;TRIM(J29&amp;""))),"⚠"&amp;TRIM(J29&amp;""))</f>
        <v/>
      </c>
      <c r="S29" s="11">
        <f>IF(K29="","",IFERROR(IF(AND(ROUND((VALUE(K29&amp;"")-INT(VALUE(K29&amp;"")))*100,0)&gt;=1,ROUND((VALUE(K29&amp;"")-INT(VALUE(K29&amp;"")))*100,0)&lt;=12,INT(VALUE(K29&amp;""))&gt;=1900),DATE(INT(VALUE(K29&amp;"")),ROUND((VALUE(K29&amp;"")-INT(VALUE(K29&amp;"")))*100,0),1),K29&amp;""),K29&amp;""))</f>
        <v/>
      </c>
      <c r="T29" s="10">
        <f>COUNTIF(M29:R29,"⚠*")</f>
        <v/>
      </c>
    </row>
    <row r="30"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M30" s="10">
        <f>IFERROR(IF(TRIM(E30&amp;"")="","",IF(AND(ISNUMBER(FIND(" ",TRIM(E30&amp;""))),ISNUMBER(MATCH(LEFT(TRIM(E30&amp;""),FIND(" ",TRIM(E30&amp;""))-1),코드표!$J$2:$J$101,0)),ISNUMBER(MATCH(TRIM(RIGHT(SUBSTITUTE(TRIM(E30&amp;"")," ",REPT(" ",60)),60)),코드표!$F$2:$F$101,0))),INDEX(코드표!$K$2:$K$101,MATCH(LEFT(TRIM(E30&amp;""),FIND(" ",TRIM(E30&amp;""))-1),코드표!$J$2:$J$101,0))&amp;" "&amp;INDEX(코드표!$G$2:$G$101,MATCH(TRIM(RIGHT(SUBSTITUTE(TRIM(E30&amp;"")," ",REPT(" ",60)),60)),코드표!$F$2:$F$101,0)),"⚠"&amp;TRIM(E30&amp;""))),"⚠"&amp;TRIM(E30&amp;""))</f>
        <v/>
      </c>
      <c r="N30" s="10">
        <f>IFERROR(IF(TRIM(F30&amp;"")="","",IF(AND(ISNUMBER(FIND(" ",TRIM(F30&amp;""))),ISNUMBER(MATCH(LEFT(TRIM(F30&amp;""),FIND(" ",TRIM(F30&amp;""))-1),코드표!$J$2:$J$101,0)),ISNUMBER(MATCH(TRIM(RIGHT(SUBSTITUTE(TRIM(F30&amp;"")," ",REPT(" ",60)),60)),코드표!$F$2:$F$101,0))),INDEX(코드표!$K$2:$K$101,MATCH(LEFT(TRIM(F30&amp;""),FIND(" ",TRIM(F30&amp;""))-1),코드표!$J$2:$J$101,0))&amp;" "&amp;INDEX(코드표!$G$2:$G$101,MATCH(TRIM(RIGHT(SUBSTITUTE(TRIM(F30&amp;"")," ",REPT(" ",60)),60)),코드표!$F$2:$F$101,0)),"⚠"&amp;TRIM(F30&amp;""))),"⚠"&amp;TRIM(F30&amp;""))</f>
        <v/>
      </c>
      <c r="O30" s="10">
        <f>IFERROR(IF(TRIM(G30&amp;"")="","",IF(AND(ISNUMBER(FIND(" ",TRIM(G30&amp;""))),ISNUMBER(MATCH(LEFT(TRIM(G30&amp;""),FIND(" ",TRIM(G30&amp;""))-1),코드표!$J$2:$J$101,0)),ISNUMBER(MATCH(TRIM(RIGHT(SUBSTITUTE(TRIM(G30&amp;"")," ",REPT(" ",60)),60)),코드표!$F$2:$F$101,0))),INDEX(코드표!$K$2:$K$101,MATCH(LEFT(TRIM(G30&amp;""),FIND(" ",TRIM(G30&amp;""))-1),코드표!$J$2:$J$101,0))&amp;" "&amp;INDEX(코드표!$G$2:$G$101,MATCH(TRIM(RIGHT(SUBSTITUTE(TRIM(G30&amp;"")," ",REPT(" ",60)),60)),코드표!$F$2:$F$101,0)),"⚠"&amp;TRIM(G30&amp;""))),"⚠"&amp;TRIM(G30&amp;""))</f>
        <v/>
      </c>
      <c r="P30" s="10">
        <f>IFERROR(IF(TRIM(H30&amp;"")="","",IF(AND(ISNUMBER(FIND(" ",TRIM(H30&amp;""))),ISNUMBER(MATCH(LEFT(TRIM(H30&amp;""),FIND(" ",TRIM(H30&amp;""))-1),코드표!$J$2:$J$101,0)),ISNUMBER(MATCH(TRIM(RIGHT(SUBSTITUTE(TRIM(H30&amp;"")," ",REPT(" ",60)),60)),코드표!$F$2:$F$101,0))),INDEX(코드표!$K$2:$K$101,MATCH(LEFT(TRIM(H30&amp;""),FIND(" ",TRIM(H30&amp;""))-1),코드표!$J$2:$J$101,0))&amp;" "&amp;INDEX(코드표!$G$2:$G$101,MATCH(TRIM(RIGHT(SUBSTITUTE(TRIM(H30&amp;"")," ",REPT(" ",60)),60)),코드표!$F$2:$F$101,0)),"⚠"&amp;TRIM(H30&amp;""))),"⚠"&amp;TRIM(H30&amp;""))</f>
        <v/>
      </c>
      <c r="Q30" s="10">
        <f>IFERROR(IF(TRIM(I30&amp;"")="","",IF(AND(ISNUMBER(FIND(" ",TRIM(I30&amp;""))),ISNUMBER(MATCH(LEFT(TRIM(I30&amp;""),FIND(" ",TRIM(I30&amp;""))-1),코드표!$J$2:$J$101,0)),ISNUMBER(MATCH(TRIM(RIGHT(SUBSTITUTE(TRIM(I30&amp;"")," ",REPT(" ",60)),60)),코드표!$F$2:$F$101,0))),INDEX(코드표!$K$2:$K$101,MATCH(LEFT(TRIM(I30&amp;""),FIND(" ",TRIM(I30&amp;""))-1),코드표!$J$2:$J$101,0))&amp;" "&amp;INDEX(코드표!$G$2:$G$101,MATCH(TRIM(RIGHT(SUBSTITUTE(TRIM(I30&amp;"")," ",REPT(" ",60)),60)),코드표!$F$2:$F$101,0)),"⚠"&amp;TRIM(I30&amp;""))),"⚠"&amp;TRIM(I30&amp;""))</f>
        <v/>
      </c>
      <c r="R30" s="10">
        <f>IFERROR(IF(TRIM(J30&amp;"")="","",IF(AND(ISNUMBER(FIND(" ",TRIM(J30&amp;""))),ISNUMBER(MATCH(LEFT(TRIM(J30&amp;""),FIND(" ",TRIM(J30&amp;""))-1),코드표!$J$2:$J$101,0)),ISNUMBER(MATCH(TRIM(RIGHT(SUBSTITUTE(TRIM(J30&amp;"")," ",REPT(" ",60)),60)),코드표!$F$2:$F$101,0))),INDEX(코드표!$K$2:$K$101,MATCH(LEFT(TRIM(J30&amp;""),FIND(" ",TRIM(J30&amp;""))-1),코드표!$J$2:$J$101,0))&amp;" "&amp;INDEX(코드표!$G$2:$G$101,MATCH(TRIM(RIGHT(SUBSTITUTE(TRIM(J30&amp;"")," ",REPT(" ",60)),60)),코드표!$F$2:$F$101,0)),"⚠"&amp;TRIM(J30&amp;""))),"⚠"&amp;TRIM(J30&amp;""))</f>
        <v/>
      </c>
      <c r="S30" s="11">
        <f>IF(K30="","",IFERROR(IF(AND(ROUND((VALUE(K30&amp;"")-INT(VALUE(K30&amp;"")))*100,0)&gt;=1,ROUND((VALUE(K30&amp;"")-INT(VALUE(K30&amp;"")))*100,0)&lt;=12,INT(VALUE(K30&amp;""))&gt;=1900),DATE(INT(VALUE(K30&amp;"")),ROUND((VALUE(K30&amp;"")-INT(VALUE(K30&amp;"")))*100,0),1),K30&amp;""),K30&amp;""))</f>
        <v/>
      </c>
      <c r="T30" s="10">
        <f>COUNTIF(M30:R30,"⚠*")</f>
        <v/>
      </c>
    </row>
    <row r="31"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M31" s="10">
        <f>IFERROR(IF(TRIM(E31&amp;"")="","",IF(AND(ISNUMBER(FIND(" ",TRIM(E31&amp;""))),ISNUMBER(MATCH(LEFT(TRIM(E31&amp;""),FIND(" ",TRIM(E31&amp;""))-1),코드표!$J$2:$J$101,0)),ISNUMBER(MATCH(TRIM(RIGHT(SUBSTITUTE(TRIM(E31&amp;"")," ",REPT(" ",60)),60)),코드표!$F$2:$F$101,0))),INDEX(코드표!$K$2:$K$101,MATCH(LEFT(TRIM(E31&amp;""),FIND(" ",TRIM(E31&amp;""))-1),코드표!$J$2:$J$101,0))&amp;" "&amp;INDEX(코드표!$G$2:$G$101,MATCH(TRIM(RIGHT(SUBSTITUTE(TRIM(E31&amp;"")," ",REPT(" ",60)),60)),코드표!$F$2:$F$101,0)),"⚠"&amp;TRIM(E31&amp;""))),"⚠"&amp;TRIM(E31&amp;""))</f>
        <v/>
      </c>
      <c r="N31" s="10">
        <f>IFERROR(IF(TRIM(F31&amp;"")="","",IF(AND(ISNUMBER(FIND(" ",TRIM(F31&amp;""))),ISNUMBER(MATCH(LEFT(TRIM(F31&amp;""),FIND(" ",TRIM(F31&amp;""))-1),코드표!$J$2:$J$101,0)),ISNUMBER(MATCH(TRIM(RIGHT(SUBSTITUTE(TRIM(F31&amp;"")," ",REPT(" ",60)),60)),코드표!$F$2:$F$101,0))),INDEX(코드표!$K$2:$K$101,MATCH(LEFT(TRIM(F31&amp;""),FIND(" ",TRIM(F31&amp;""))-1),코드표!$J$2:$J$101,0))&amp;" "&amp;INDEX(코드표!$G$2:$G$101,MATCH(TRIM(RIGHT(SUBSTITUTE(TRIM(F31&amp;"")," ",REPT(" ",60)),60)),코드표!$F$2:$F$101,0)),"⚠"&amp;TRIM(F31&amp;""))),"⚠"&amp;TRIM(F31&amp;""))</f>
        <v/>
      </c>
      <c r="O31" s="10">
        <f>IFERROR(IF(TRIM(G31&amp;"")="","",IF(AND(ISNUMBER(FIND(" ",TRIM(G31&amp;""))),ISNUMBER(MATCH(LEFT(TRIM(G31&amp;""),FIND(" ",TRIM(G31&amp;""))-1),코드표!$J$2:$J$101,0)),ISNUMBER(MATCH(TRIM(RIGHT(SUBSTITUTE(TRIM(G31&amp;"")," ",REPT(" ",60)),60)),코드표!$F$2:$F$101,0))),INDEX(코드표!$K$2:$K$101,MATCH(LEFT(TRIM(G31&amp;""),FIND(" ",TRIM(G31&amp;""))-1),코드표!$J$2:$J$101,0))&amp;" "&amp;INDEX(코드표!$G$2:$G$101,MATCH(TRIM(RIGHT(SUBSTITUTE(TRIM(G31&amp;"")," ",REPT(" ",60)),60)),코드표!$F$2:$F$101,0)),"⚠"&amp;TRIM(G31&amp;""))),"⚠"&amp;TRIM(G31&amp;""))</f>
        <v/>
      </c>
      <c r="P31" s="10">
        <f>IFERROR(IF(TRIM(H31&amp;"")="","",IF(AND(ISNUMBER(FIND(" ",TRIM(H31&amp;""))),ISNUMBER(MATCH(LEFT(TRIM(H31&amp;""),FIND(" ",TRIM(H31&amp;""))-1),코드표!$J$2:$J$101,0)),ISNUMBER(MATCH(TRIM(RIGHT(SUBSTITUTE(TRIM(H31&amp;"")," ",REPT(" ",60)),60)),코드표!$F$2:$F$101,0))),INDEX(코드표!$K$2:$K$101,MATCH(LEFT(TRIM(H31&amp;""),FIND(" ",TRIM(H31&amp;""))-1),코드표!$J$2:$J$101,0))&amp;" "&amp;INDEX(코드표!$G$2:$G$101,MATCH(TRIM(RIGHT(SUBSTITUTE(TRIM(H31&amp;"")," ",REPT(" ",60)),60)),코드표!$F$2:$F$101,0)),"⚠"&amp;TRIM(H31&amp;""))),"⚠"&amp;TRIM(H31&amp;""))</f>
        <v/>
      </c>
      <c r="Q31" s="10">
        <f>IFERROR(IF(TRIM(I31&amp;"")="","",IF(AND(ISNUMBER(FIND(" ",TRIM(I31&amp;""))),ISNUMBER(MATCH(LEFT(TRIM(I31&amp;""),FIND(" ",TRIM(I31&amp;""))-1),코드표!$J$2:$J$101,0)),ISNUMBER(MATCH(TRIM(RIGHT(SUBSTITUTE(TRIM(I31&amp;"")," ",REPT(" ",60)),60)),코드표!$F$2:$F$101,0))),INDEX(코드표!$K$2:$K$101,MATCH(LEFT(TRIM(I31&amp;""),FIND(" ",TRIM(I31&amp;""))-1),코드표!$J$2:$J$101,0))&amp;" "&amp;INDEX(코드표!$G$2:$G$101,MATCH(TRIM(RIGHT(SUBSTITUTE(TRIM(I31&amp;"")," ",REPT(" ",60)),60)),코드표!$F$2:$F$101,0)),"⚠"&amp;TRIM(I31&amp;""))),"⚠"&amp;TRIM(I31&amp;""))</f>
        <v/>
      </c>
      <c r="R31" s="10">
        <f>IFERROR(IF(TRIM(J31&amp;"")="","",IF(AND(ISNUMBER(FIND(" ",TRIM(J31&amp;""))),ISNUMBER(MATCH(LEFT(TRIM(J31&amp;""),FIND(" ",TRIM(J31&amp;""))-1),코드표!$J$2:$J$101,0)),ISNUMBER(MATCH(TRIM(RIGHT(SUBSTITUTE(TRIM(J31&amp;"")," ",REPT(" ",60)),60)),코드표!$F$2:$F$101,0))),INDEX(코드표!$K$2:$K$101,MATCH(LEFT(TRIM(J31&amp;""),FIND(" ",TRIM(J31&amp;""))-1),코드표!$J$2:$J$101,0))&amp;" "&amp;INDEX(코드표!$G$2:$G$101,MATCH(TRIM(RIGHT(SUBSTITUTE(TRIM(J31&amp;"")," ",REPT(" ",60)),60)),코드표!$F$2:$F$101,0)),"⚠"&amp;TRIM(J31&amp;""))),"⚠"&amp;TRIM(J31&amp;""))</f>
        <v/>
      </c>
      <c r="S31" s="11">
        <f>IF(K31="","",IFERROR(IF(AND(ROUND((VALUE(K31&amp;"")-INT(VALUE(K31&amp;"")))*100,0)&gt;=1,ROUND((VALUE(K31&amp;"")-INT(VALUE(K31&amp;"")))*100,0)&lt;=12,INT(VALUE(K31&amp;""))&gt;=1900),DATE(INT(VALUE(K31&amp;"")),ROUND((VALUE(K31&amp;"")-INT(VALUE(K31&amp;"")))*100,0),1),K31&amp;""),K31&amp;""))</f>
        <v/>
      </c>
      <c r="T31" s="10">
        <f>COUNTIF(M31:R31,"⚠*")</f>
        <v/>
      </c>
    </row>
    <row r="32"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M32" s="10">
        <f>IFERROR(IF(TRIM(E32&amp;"")="","",IF(AND(ISNUMBER(FIND(" ",TRIM(E32&amp;""))),ISNUMBER(MATCH(LEFT(TRIM(E32&amp;""),FIND(" ",TRIM(E32&amp;""))-1),코드표!$J$2:$J$101,0)),ISNUMBER(MATCH(TRIM(RIGHT(SUBSTITUTE(TRIM(E32&amp;"")," ",REPT(" ",60)),60)),코드표!$F$2:$F$101,0))),INDEX(코드표!$K$2:$K$101,MATCH(LEFT(TRIM(E32&amp;""),FIND(" ",TRIM(E32&amp;""))-1),코드표!$J$2:$J$101,0))&amp;" "&amp;INDEX(코드표!$G$2:$G$101,MATCH(TRIM(RIGHT(SUBSTITUTE(TRIM(E32&amp;"")," ",REPT(" ",60)),60)),코드표!$F$2:$F$101,0)),"⚠"&amp;TRIM(E32&amp;""))),"⚠"&amp;TRIM(E32&amp;""))</f>
        <v/>
      </c>
      <c r="N32" s="10">
        <f>IFERROR(IF(TRIM(F32&amp;"")="","",IF(AND(ISNUMBER(FIND(" ",TRIM(F32&amp;""))),ISNUMBER(MATCH(LEFT(TRIM(F32&amp;""),FIND(" ",TRIM(F32&amp;""))-1),코드표!$J$2:$J$101,0)),ISNUMBER(MATCH(TRIM(RIGHT(SUBSTITUTE(TRIM(F32&amp;"")," ",REPT(" ",60)),60)),코드표!$F$2:$F$101,0))),INDEX(코드표!$K$2:$K$101,MATCH(LEFT(TRIM(F32&amp;""),FIND(" ",TRIM(F32&amp;""))-1),코드표!$J$2:$J$101,0))&amp;" "&amp;INDEX(코드표!$G$2:$G$101,MATCH(TRIM(RIGHT(SUBSTITUTE(TRIM(F32&amp;"")," ",REPT(" ",60)),60)),코드표!$F$2:$F$101,0)),"⚠"&amp;TRIM(F32&amp;""))),"⚠"&amp;TRIM(F32&amp;""))</f>
        <v/>
      </c>
      <c r="O32" s="10">
        <f>IFERROR(IF(TRIM(G32&amp;"")="","",IF(AND(ISNUMBER(FIND(" ",TRIM(G32&amp;""))),ISNUMBER(MATCH(LEFT(TRIM(G32&amp;""),FIND(" ",TRIM(G32&amp;""))-1),코드표!$J$2:$J$101,0)),ISNUMBER(MATCH(TRIM(RIGHT(SUBSTITUTE(TRIM(G32&amp;"")," ",REPT(" ",60)),60)),코드표!$F$2:$F$101,0))),INDEX(코드표!$K$2:$K$101,MATCH(LEFT(TRIM(G32&amp;""),FIND(" ",TRIM(G32&amp;""))-1),코드표!$J$2:$J$101,0))&amp;" "&amp;INDEX(코드표!$G$2:$G$101,MATCH(TRIM(RIGHT(SUBSTITUTE(TRIM(G32&amp;"")," ",REPT(" ",60)),60)),코드표!$F$2:$F$101,0)),"⚠"&amp;TRIM(G32&amp;""))),"⚠"&amp;TRIM(G32&amp;""))</f>
        <v/>
      </c>
      <c r="P32" s="10">
        <f>IFERROR(IF(TRIM(H32&amp;"")="","",IF(AND(ISNUMBER(FIND(" ",TRIM(H32&amp;""))),ISNUMBER(MATCH(LEFT(TRIM(H32&amp;""),FIND(" ",TRIM(H32&amp;""))-1),코드표!$J$2:$J$101,0)),ISNUMBER(MATCH(TRIM(RIGHT(SUBSTITUTE(TRIM(H32&amp;"")," ",REPT(" ",60)),60)),코드표!$F$2:$F$101,0))),INDEX(코드표!$K$2:$K$101,MATCH(LEFT(TRIM(H32&amp;""),FIND(" ",TRIM(H32&amp;""))-1),코드표!$J$2:$J$101,0))&amp;" "&amp;INDEX(코드표!$G$2:$G$101,MATCH(TRIM(RIGHT(SUBSTITUTE(TRIM(H32&amp;"")," ",REPT(" ",60)),60)),코드표!$F$2:$F$101,0)),"⚠"&amp;TRIM(H32&amp;""))),"⚠"&amp;TRIM(H32&amp;""))</f>
        <v/>
      </c>
      <c r="Q32" s="10">
        <f>IFERROR(IF(TRIM(I32&amp;"")="","",IF(AND(ISNUMBER(FIND(" ",TRIM(I32&amp;""))),ISNUMBER(MATCH(LEFT(TRIM(I32&amp;""),FIND(" ",TRIM(I32&amp;""))-1),코드표!$J$2:$J$101,0)),ISNUMBER(MATCH(TRIM(RIGHT(SUBSTITUTE(TRIM(I32&amp;"")," ",REPT(" ",60)),60)),코드표!$F$2:$F$101,0))),INDEX(코드표!$K$2:$K$101,MATCH(LEFT(TRIM(I32&amp;""),FIND(" ",TRIM(I32&amp;""))-1),코드표!$J$2:$J$101,0))&amp;" "&amp;INDEX(코드표!$G$2:$G$101,MATCH(TRIM(RIGHT(SUBSTITUTE(TRIM(I32&amp;"")," ",REPT(" ",60)),60)),코드표!$F$2:$F$101,0)),"⚠"&amp;TRIM(I32&amp;""))),"⚠"&amp;TRIM(I32&amp;""))</f>
        <v/>
      </c>
      <c r="R32" s="10">
        <f>IFERROR(IF(TRIM(J32&amp;"")="","",IF(AND(ISNUMBER(FIND(" ",TRIM(J32&amp;""))),ISNUMBER(MATCH(LEFT(TRIM(J32&amp;""),FIND(" ",TRIM(J32&amp;""))-1),코드표!$J$2:$J$101,0)),ISNUMBER(MATCH(TRIM(RIGHT(SUBSTITUTE(TRIM(J32&amp;"")," ",REPT(" ",60)),60)),코드표!$F$2:$F$101,0))),INDEX(코드표!$K$2:$K$101,MATCH(LEFT(TRIM(J32&amp;""),FIND(" ",TRIM(J32&amp;""))-1),코드표!$J$2:$J$101,0))&amp;" "&amp;INDEX(코드표!$G$2:$G$101,MATCH(TRIM(RIGHT(SUBSTITUTE(TRIM(J32&amp;"")," ",REPT(" ",60)),60)),코드표!$F$2:$F$101,0)),"⚠"&amp;TRIM(J32&amp;""))),"⚠"&amp;TRIM(J32&amp;""))</f>
        <v/>
      </c>
      <c r="S32" s="11">
        <f>IF(K32="","",IFERROR(IF(AND(ROUND((VALUE(K32&amp;"")-INT(VALUE(K32&amp;"")))*100,0)&gt;=1,ROUND((VALUE(K32&amp;"")-INT(VALUE(K32&amp;"")))*100,0)&lt;=12,INT(VALUE(K32&amp;""))&gt;=1900),DATE(INT(VALUE(K32&amp;"")),ROUND((VALUE(K32&amp;"")-INT(VALUE(K32&amp;"")))*100,0),1),K32&amp;""),K32&amp;""))</f>
        <v/>
      </c>
      <c r="T32" s="10">
        <f>COUNTIF(M32:R32,"⚠*")</f>
        <v/>
      </c>
    </row>
    <row r="33"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M33" s="10">
        <f>IFERROR(IF(TRIM(E33&amp;"")="","",IF(AND(ISNUMBER(FIND(" ",TRIM(E33&amp;""))),ISNUMBER(MATCH(LEFT(TRIM(E33&amp;""),FIND(" ",TRIM(E33&amp;""))-1),코드표!$J$2:$J$101,0)),ISNUMBER(MATCH(TRIM(RIGHT(SUBSTITUTE(TRIM(E33&amp;"")," ",REPT(" ",60)),60)),코드표!$F$2:$F$101,0))),INDEX(코드표!$K$2:$K$101,MATCH(LEFT(TRIM(E33&amp;""),FIND(" ",TRIM(E33&amp;""))-1),코드표!$J$2:$J$101,0))&amp;" "&amp;INDEX(코드표!$G$2:$G$101,MATCH(TRIM(RIGHT(SUBSTITUTE(TRIM(E33&amp;"")," ",REPT(" ",60)),60)),코드표!$F$2:$F$101,0)),"⚠"&amp;TRIM(E33&amp;""))),"⚠"&amp;TRIM(E33&amp;""))</f>
        <v/>
      </c>
      <c r="N33" s="10">
        <f>IFERROR(IF(TRIM(F33&amp;"")="","",IF(AND(ISNUMBER(FIND(" ",TRIM(F33&amp;""))),ISNUMBER(MATCH(LEFT(TRIM(F33&amp;""),FIND(" ",TRIM(F33&amp;""))-1),코드표!$J$2:$J$101,0)),ISNUMBER(MATCH(TRIM(RIGHT(SUBSTITUTE(TRIM(F33&amp;"")," ",REPT(" ",60)),60)),코드표!$F$2:$F$101,0))),INDEX(코드표!$K$2:$K$101,MATCH(LEFT(TRIM(F33&amp;""),FIND(" ",TRIM(F33&amp;""))-1),코드표!$J$2:$J$101,0))&amp;" "&amp;INDEX(코드표!$G$2:$G$101,MATCH(TRIM(RIGHT(SUBSTITUTE(TRIM(F33&amp;"")," ",REPT(" ",60)),60)),코드표!$F$2:$F$101,0)),"⚠"&amp;TRIM(F33&amp;""))),"⚠"&amp;TRIM(F33&amp;""))</f>
        <v/>
      </c>
      <c r="O33" s="10">
        <f>IFERROR(IF(TRIM(G33&amp;"")="","",IF(AND(ISNUMBER(FIND(" ",TRIM(G33&amp;""))),ISNUMBER(MATCH(LEFT(TRIM(G33&amp;""),FIND(" ",TRIM(G33&amp;""))-1),코드표!$J$2:$J$101,0)),ISNUMBER(MATCH(TRIM(RIGHT(SUBSTITUTE(TRIM(G33&amp;"")," ",REPT(" ",60)),60)),코드표!$F$2:$F$101,0))),INDEX(코드표!$K$2:$K$101,MATCH(LEFT(TRIM(G33&amp;""),FIND(" ",TRIM(G33&amp;""))-1),코드표!$J$2:$J$101,0))&amp;" "&amp;INDEX(코드표!$G$2:$G$101,MATCH(TRIM(RIGHT(SUBSTITUTE(TRIM(G33&amp;"")," ",REPT(" ",60)),60)),코드표!$F$2:$F$101,0)),"⚠"&amp;TRIM(G33&amp;""))),"⚠"&amp;TRIM(G33&amp;""))</f>
        <v/>
      </c>
      <c r="P33" s="10">
        <f>IFERROR(IF(TRIM(H33&amp;"")="","",IF(AND(ISNUMBER(FIND(" ",TRIM(H33&amp;""))),ISNUMBER(MATCH(LEFT(TRIM(H33&amp;""),FIND(" ",TRIM(H33&amp;""))-1),코드표!$J$2:$J$101,0)),ISNUMBER(MATCH(TRIM(RIGHT(SUBSTITUTE(TRIM(H33&amp;"")," ",REPT(" ",60)),60)),코드표!$F$2:$F$101,0))),INDEX(코드표!$K$2:$K$101,MATCH(LEFT(TRIM(H33&amp;""),FIND(" ",TRIM(H33&amp;""))-1),코드표!$J$2:$J$101,0))&amp;" "&amp;INDEX(코드표!$G$2:$G$101,MATCH(TRIM(RIGHT(SUBSTITUTE(TRIM(H33&amp;"")," ",REPT(" ",60)),60)),코드표!$F$2:$F$101,0)),"⚠"&amp;TRIM(H33&amp;""))),"⚠"&amp;TRIM(H33&amp;""))</f>
        <v/>
      </c>
      <c r="Q33" s="10">
        <f>IFERROR(IF(TRIM(I33&amp;"")="","",IF(AND(ISNUMBER(FIND(" ",TRIM(I33&amp;""))),ISNUMBER(MATCH(LEFT(TRIM(I33&amp;""),FIND(" ",TRIM(I33&amp;""))-1),코드표!$J$2:$J$101,0)),ISNUMBER(MATCH(TRIM(RIGHT(SUBSTITUTE(TRIM(I33&amp;"")," ",REPT(" ",60)),60)),코드표!$F$2:$F$101,0))),INDEX(코드표!$K$2:$K$101,MATCH(LEFT(TRIM(I33&amp;""),FIND(" ",TRIM(I33&amp;""))-1),코드표!$J$2:$J$101,0))&amp;" "&amp;INDEX(코드표!$G$2:$G$101,MATCH(TRIM(RIGHT(SUBSTITUTE(TRIM(I33&amp;"")," ",REPT(" ",60)),60)),코드표!$F$2:$F$101,0)),"⚠"&amp;TRIM(I33&amp;""))),"⚠"&amp;TRIM(I33&amp;""))</f>
        <v/>
      </c>
      <c r="R33" s="10">
        <f>IFERROR(IF(TRIM(J33&amp;"")="","",IF(AND(ISNUMBER(FIND(" ",TRIM(J33&amp;""))),ISNUMBER(MATCH(LEFT(TRIM(J33&amp;""),FIND(" ",TRIM(J33&amp;""))-1),코드표!$J$2:$J$101,0)),ISNUMBER(MATCH(TRIM(RIGHT(SUBSTITUTE(TRIM(J33&amp;"")," ",REPT(" ",60)),60)),코드표!$F$2:$F$101,0))),INDEX(코드표!$K$2:$K$101,MATCH(LEFT(TRIM(J33&amp;""),FIND(" ",TRIM(J33&amp;""))-1),코드표!$J$2:$J$101,0))&amp;" "&amp;INDEX(코드표!$G$2:$G$101,MATCH(TRIM(RIGHT(SUBSTITUTE(TRIM(J33&amp;"")," ",REPT(" ",60)),60)),코드표!$F$2:$F$101,0)),"⚠"&amp;TRIM(J33&amp;""))),"⚠"&amp;TRIM(J33&amp;""))</f>
        <v/>
      </c>
      <c r="S33" s="11">
        <f>IF(K33="","",IFERROR(IF(AND(ROUND((VALUE(K33&amp;"")-INT(VALUE(K33&amp;"")))*100,0)&gt;=1,ROUND((VALUE(K33&amp;"")-INT(VALUE(K33&amp;"")))*100,0)&lt;=12,INT(VALUE(K33&amp;""))&gt;=1900),DATE(INT(VALUE(K33&amp;"")),ROUND((VALUE(K33&amp;"")-INT(VALUE(K33&amp;"")))*100,0),1),K33&amp;""),K33&amp;""))</f>
        <v/>
      </c>
      <c r="T33" s="10">
        <f>COUNTIF(M33:R33,"⚠*")</f>
        <v/>
      </c>
    </row>
    <row r="34"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M34" s="10">
        <f>IFERROR(IF(TRIM(E34&amp;"")="","",IF(AND(ISNUMBER(FIND(" ",TRIM(E34&amp;""))),ISNUMBER(MATCH(LEFT(TRIM(E34&amp;""),FIND(" ",TRIM(E34&amp;""))-1),코드표!$J$2:$J$101,0)),ISNUMBER(MATCH(TRIM(RIGHT(SUBSTITUTE(TRIM(E34&amp;"")," ",REPT(" ",60)),60)),코드표!$F$2:$F$101,0))),INDEX(코드표!$K$2:$K$101,MATCH(LEFT(TRIM(E34&amp;""),FIND(" ",TRIM(E34&amp;""))-1),코드표!$J$2:$J$101,0))&amp;" "&amp;INDEX(코드표!$G$2:$G$101,MATCH(TRIM(RIGHT(SUBSTITUTE(TRIM(E34&amp;"")," ",REPT(" ",60)),60)),코드표!$F$2:$F$101,0)),"⚠"&amp;TRIM(E34&amp;""))),"⚠"&amp;TRIM(E34&amp;""))</f>
        <v/>
      </c>
      <c r="N34" s="10">
        <f>IFERROR(IF(TRIM(F34&amp;"")="","",IF(AND(ISNUMBER(FIND(" ",TRIM(F34&amp;""))),ISNUMBER(MATCH(LEFT(TRIM(F34&amp;""),FIND(" ",TRIM(F34&amp;""))-1),코드표!$J$2:$J$101,0)),ISNUMBER(MATCH(TRIM(RIGHT(SUBSTITUTE(TRIM(F34&amp;"")," ",REPT(" ",60)),60)),코드표!$F$2:$F$101,0))),INDEX(코드표!$K$2:$K$101,MATCH(LEFT(TRIM(F34&amp;""),FIND(" ",TRIM(F34&amp;""))-1),코드표!$J$2:$J$101,0))&amp;" "&amp;INDEX(코드표!$G$2:$G$101,MATCH(TRIM(RIGHT(SUBSTITUTE(TRIM(F34&amp;"")," ",REPT(" ",60)),60)),코드표!$F$2:$F$101,0)),"⚠"&amp;TRIM(F34&amp;""))),"⚠"&amp;TRIM(F34&amp;""))</f>
        <v/>
      </c>
      <c r="O34" s="10">
        <f>IFERROR(IF(TRIM(G34&amp;"")="","",IF(AND(ISNUMBER(FIND(" ",TRIM(G34&amp;""))),ISNUMBER(MATCH(LEFT(TRIM(G34&amp;""),FIND(" ",TRIM(G34&amp;""))-1),코드표!$J$2:$J$101,0)),ISNUMBER(MATCH(TRIM(RIGHT(SUBSTITUTE(TRIM(G34&amp;"")," ",REPT(" ",60)),60)),코드표!$F$2:$F$101,0))),INDEX(코드표!$K$2:$K$101,MATCH(LEFT(TRIM(G34&amp;""),FIND(" ",TRIM(G34&amp;""))-1),코드표!$J$2:$J$101,0))&amp;" "&amp;INDEX(코드표!$G$2:$G$101,MATCH(TRIM(RIGHT(SUBSTITUTE(TRIM(G34&amp;"")," ",REPT(" ",60)),60)),코드표!$F$2:$F$101,0)),"⚠"&amp;TRIM(G34&amp;""))),"⚠"&amp;TRIM(G34&amp;""))</f>
        <v/>
      </c>
      <c r="P34" s="10">
        <f>IFERROR(IF(TRIM(H34&amp;"")="","",IF(AND(ISNUMBER(FIND(" ",TRIM(H34&amp;""))),ISNUMBER(MATCH(LEFT(TRIM(H34&amp;""),FIND(" ",TRIM(H34&amp;""))-1),코드표!$J$2:$J$101,0)),ISNUMBER(MATCH(TRIM(RIGHT(SUBSTITUTE(TRIM(H34&amp;"")," ",REPT(" ",60)),60)),코드표!$F$2:$F$101,0))),INDEX(코드표!$K$2:$K$101,MATCH(LEFT(TRIM(H34&amp;""),FIND(" ",TRIM(H34&amp;""))-1),코드표!$J$2:$J$101,0))&amp;" "&amp;INDEX(코드표!$G$2:$G$101,MATCH(TRIM(RIGHT(SUBSTITUTE(TRIM(H34&amp;"")," ",REPT(" ",60)),60)),코드표!$F$2:$F$101,0)),"⚠"&amp;TRIM(H34&amp;""))),"⚠"&amp;TRIM(H34&amp;""))</f>
        <v/>
      </c>
      <c r="Q34" s="10">
        <f>IFERROR(IF(TRIM(I34&amp;"")="","",IF(AND(ISNUMBER(FIND(" ",TRIM(I34&amp;""))),ISNUMBER(MATCH(LEFT(TRIM(I34&amp;""),FIND(" ",TRIM(I34&amp;""))-1),코드표!$J$2:$J$101,0)),ISNUMBER(MATCH(TRIM(RIGHT(SUBSTITUTE(TRIM(I34&amp;"")," ",REPT(" ",60)),60)),코드표!$F$2:$F$101,0))),INDEX(코드표!$K$2:$K$101,MATCH(LEFT(TRIM(I34&amp;""),FIND(" ",TRIM(I34&amp;""))-1),코드표!$J$2:$J$101,0))&amp;" "&amp;INDEX(코드표!$G$2:$G$101,MATCH(TRIM(RIGHT(SUBSTITUTE(TRIM(I34&amp;"")," ",REPT(" ",60)),60)),코드표!$F$2:$F$101,0)),"⚠"&amp;TRIM(I34&amp;""))),"⚠"&amp;TRIM(I34&amp;""))</f>
        <v/>
      </c>
      <c r="R34" s="10">
        <f>IFERROR(IF(TRIM(J34&amp;"")="","",IF(AND(ISNUMBER(FIND(" ",TRIM(J34&amp;""))),ISNUMBER(MATCH(LEFT(TRIM(J34&amp;""),FIND(" ",TRIM(J34&amp;""))-1),코드표!$J$2:$J$101,0)),ISNUMBER(MATCH(TRIM(RIGHT(SUBSTITUTE(TRIM(J34&amp;"")," ",REPT(" ",60)),60)),코드표!$F$2:$F$101,0))),INDEX(코드표!$K$2:$K$101,MATCH(LEFT(TRIM(J34&amp;""),FIND(" ",TRIM(J34&amp;""))-1),코드표!$J$2:$J$101,0))&amp;" "&amp;INDEX(코드표!$G$2:$G$101,MATCH(TRIM(RIGHT(SUBSTITUTE(TRIM(J34&amp;"")," ",REPT(" ",60)),60)),코드표!$F$2:$F$101,0)),"⚠"&amp;TRIM(J34&amp;""))),"⚠"&amp;TRIM(J34&amp;""))</f>
        <v/>
      </c>
      <c r="S34" s="11">
        <f>IF(K34="","",IFERROR(IF(AND(ROUND((VALUE(K34&amp;"")-INT(VALUE(K34&amp;"")))*100,0)&gt;=1,ROUND((VALUE(K34&amp;"")-INT(VALUE(K34&amp;"")))*100,0)&lt;=12,INT(VALUE(K34&amp;""))&gt;=1900),DATE(INT(VALUE(K34&amp;"")),ROUND((VALUE(K34&amp;"")-INT(VALUE(K34&amp;"")))*100,0),1),K34&amp;""),K34&amp;""))</f>
        <v/>
      </c>
      <c r="T34" s="10">
        <f>COUNTIF(M34:R34,"⚠*")</f>
        <v/>
      </c>
    </row>
    <row r="35"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M35" s="10">
        <f>IFERROR(IF(TRIM(E35&amp;"")="","",IF(AND(ISNUMBER(FIND(" ",TRIM(E35&amp;""))),ISNUMBER(MATCH(LEFT(TRIM(E35&amp;""),FIND(" ",TRIM(E35&amp;""))-1),코드표!$J$2:$J$101,0)),ISNUMBER(MATCH(TRIM(RIGHT(SUBSTITUTE(TRIM(E35&amp;"")," ",REPT(" ",60)),60)),코드표!$F$2:$F$101,0))),INDEX(코드표!$K$2:$K$101,MATCH(LEFT(TRIM(E35&amp;""),FIND(" ",TRIM(E35&amp;""))-1),코드표!$J$2:$J$101,0))&amp;" "&amp;INDEX(코드표!$G$2:$G$101,MATCH(TRIM(RIGHT(SUBSTITUTE(TRIM(E35&amp;"")," ",REPT(" ",60)),60)),코드표!$F$2:$F$101,0)),"⚠"&amp;TRIM(E35&amp;""))),"⚠"&amp;TRIM(E35&amp;""))</f>
        <v/>
      </c>
      <c r="N35" s="10">
        <f>IFERROR(IF(TRIM(F35&amp;"")="","",IF(AND(ISNUMBER(FIND(" ",TRIM(F35&amp;""))),ISNUMBER(MATCH(LEFT(TRIM(F35&amp;""),FIND(" ",TRIM(F35&amp;""))-1),코드표!$J$2:$J$101,0)),ISNUMBER(MATCH(TRIM(RIGHT(SUBSTITUTE(TRIM(F35&amp;"")," ",REPT(" ",60)),60)),코드표!$F$2:$F$101,0))),INDEX(코드표!$K$2:$K$101,MATCH(LEFT(TRIM(F35&amp;""),FIND(" ",TRIM(F35&amp;""))-1),코드표!$J$2:$J$101,0))&amp;" "&amp;INDEX(코드표!$G$2:$G$101,MATCH(TRIM(RIGHT(SUBSTITUTE(TRIM(F35&amp;"")," ",REPT(" ",60)),60)),코드표!$F$2:$F$101,0)),"⚠"&amp;TRIM(F35&amp;""))),"⚠"&amp;TRIM(F35&amp;""))</f>
        <v/>
      </c>
      <c r="O35" s="10">
        <f>IFERROR(IF(TRIM(G35&amp;"")="","",IF(AND(ISNUMBER(FIND(" ",TRIM(G35&amp;""))),ISNUMBER(MATCH(LEFT(TRIM(G35&amp;""),FIND(" ",TRIM(G35&amp;""))-1),코드표!$J$2:$J$101,0)),ISNUMBER(MATCH(TRIM(RIGHT(SUBSTITUTE(TRIM(G35&amp;"")," ",REPT(" ",60)),60)),코드표!$F$2:$F$101,0))),INDEX(코드표!$K$2:$K$101,MATCH(LEFT(TRIM(G35&amp;""),FIND(" ",TRIM(G35&amp;""))-1),코드표!$J$2:$J$101,0))&amp;" "&amp;INDEX(코드표!$G$2:$G$101,MATCH(TRIM(RIGHT(SUBSTITUTE(TRIM(G35&amp;"")," ",REPT(" ",60)),60)),코드표!$F$2:$F$101,0)),"⚠"&amp;TRIM(G35&amp;""))),"⚠"&amp;TRIM(G35&amp;""))</f>
        <v/>
      </c>
      <c r="P35" s="10">
        <f>IFERROR(IF(TRIM(H35&amp;"")="","",IF(AND(ISNUMBER(FIND(" ",TRIM(H35&amp;""))),ISNUMBER(MATCH(LEFT(TRIM(H35&amp;""),FIND(" ",TRIM(H35&amp;""))-1),코드표!$J$2:$J$101,0)),ISNUMBER(MATCH(TRIM(RIGHT(SUBSTITUTE(TRIM(H35&amp;"")," ",REPT(" ",60)),60)),코드표!$F$2:$F$101,0))),INDEX(코드표!$K$2:$K$101,MATCH(LEFT(TRIM(H35&amp;""),FIND(" ",TRIM(H35&amp;""))-1),코드표!$J$2:$J$101,0))&amp;" "&amp;INDEX(코드표!$G$2:$G$101,MATCH(TRIM(RIGHT(SUBSTITUTE(TRIM(H35&amp;"")," ",REPT(" ",60)),60)),코드표!$F$2:$F$101,0)),"⚠"&amp;TRIM(H35&amp;""))),"⚠"&amp;TRIM(H35&amp;""))</f>
        <v/>
      </c>
      <c r="Q35" s="10">
        <f>IFERROR(IF(TRIM(I35&amp;"")="","",IF(AND(ISNUMBER(FIND(" ",TRIM(I35&amp;""))),ISNUMBER(MATCH(LEFT(TRIM(I35&amp;""),FIND(" ",TRIM(I35&amp;""))-1),코드표!$J$2:$J$101,0)),ISNUMBER(MATCH(TRIM(RIGHT(SUBSTITUTE(TRIM(I35&amp;"")," ",REPT(" ",60)),60)),코드표!$F$2:$F$101,0))),INDEX(코드표!$K$2:$K$101,MATCH(LEFT(TRIM(I35&amp;""),FIND(" ",TRIM(I35&amp;""))-1),코드표!$J$2:$J$101,0))&amp;" "&amp;INDEX(코드표!$G$2:$G$101,MATCH(TRIM(RIGHT(SUBSTITUTE(TRIM(I35&amp;"")," ",REPT(" ",60)),60)),코드표!$F$2:$F$101,0)),"⚠"&amp;TRIM(I35&amp;""))),"⚠"&amp;TRIM(I35&amp;""))</f>
        <v/>
      </c>
      <c r="R35" s="10">
        <f>IFERROR(IF(TRIM(J35&amp;"")="","",IF(AND(ISNUMBER(FIND(" ",TRIM(J35&amp;""))),ISNUMBER(MATCH(LEFT(TRIM(J35&amp;""),FIND(" ",TRIM(J35&amp;""))-1),코드표!$J$2:$J$101,0)),ISNUMBER(MATCH(TRIM(RIGHT(SUBSTITUTE(TRIM(J35&amp;"")," ",REPT(" ",60)),60)),코드표!$F$2:$F$101,0))),INDEX(코드표!$K$2:$K$101,MATCH(LEFT(TRIM(J35&amp;""),FIND(" ",TRIM(J35&amp;""))-1),코드표!$J$2:$J$101,0))&amp;" "&amp;INDEX(코드표!$G$2:$G$101,MATCH(TRIM(RIGHT(SUBSTITUTE(TRIM(J35&amp;"")," ",REPT(" ",60)),60)),코드표!$F$2:$F$101,0)),"⚠"&amp;TRIM(J35&amp;""))),"⚠"&amp;TRIM(J35&amp;""))</f>
        <v/>
      </c>
      <c r="S35" s="11">
        <f>IF(K35="","",IFERROR(IF(AND(ROUND((VALUE(K35&amp;"")-INT(VALUE(K35&amp;"")))*100,0)&gt;=1,ROUND((VALUE(K35&amp;"")-INT(VALUE(K35&amp;"")))*100,0)&lt;=12,INT(VALUE(K35&amp;""))&gt;=1900),DATE(INT(VALUE(K35&amp;"")),ROUND((VALUE(K35&amp;"")-INT(VALUE(K35&amp;"")))*100,0),1),K35&amp;""),K35&amp;""))</f>
        <v/>
      </c>
      <c r="T35" s="10">
        <f>COUNTIF(M35:R35,"⚠*")</f>
        <v/>
      </c>
    </row>
    <row r="36"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M36" s="10">
        <f>IFERROR(IF(TRIM(E36&amp;"")="","",IF(AND(ISNUMBER(FIND(" ",TRIM(E36&amp;""))),ISNUMBER(MATCH(LEFT(TRIM(E36&amp;""),FIND(" ",TRIM(E36&amp;""))-1),코드표!$J$2:$J$101,0)),ISNUMBER(MATCH(TRIM(RIGHT(SUBSTITUTE(TRIM(E36&amp;"")," ",REPT(" ",60)),60)),코드표!$F$2:$F$101,0))),INDEX(코드표!$K$2:$K$101,MATCH(LEFT(TRIM(E36&amp;""),FIND(" ",TRIM(E36&amp;""))-1),코드표!$J$2:$J$101,0))&amp;" "&amp;INDEX(코드표!$G$2:$G$101,MATCH(TRIM(RIGHT(SUBSTITUTE(TRIM(E36&amp;"")," ",REPT(" ",60)),60)),코드표!$F$2:$F$101,0)),"⚠"&amp;TRIM(E36&amp;""))),"⚠"&amp;TRIM(E36&amp;""))</f>
        <v/>
      </c>
      <c r="N36" s="10">
        <f>IFERROR(IF(TRIM(F36&amp;"")="","",IF(AND(ISNUMBER(FIND(" ",TRIM(F36&amp;""))),ISNUMBER(MATCH(LEFT(TRIM(F36&amp;""),FIND(" ",TRIM(F36&amp;""))-1),코드표!$J$2:$J$101,0)),ISNUMBER(MATCH(TRIM(RIGHT(SUBSTITUTE(TRIM(F36&amp;"")," ",REPT(" ",60)),60)),코드표!$F$2:$F$101,0))),INDEX(코드표!$K$2:$K$101,MATCH(LEFT(TRIM(F36&amp;""),FIND(" ",TRIM(F36&amp;""))-1),코드표!$J$2:$J$101,0))&amp;" "&amp;INDEX(코드표!$G$2:$G$101,MATCH(TRIM(RIGHT(SUBSTITUTE(TRIM(F36&amp;"")," ",REPT(" ",60)),60)),코드표!$F$2:$F$101,0)),"⚠"&amp;TRIM(F36&amp;""))),"⚠"&amp;TRIM(F36&amp;""))</f>
        <v/>
      </c>
      <c r="O36" s="10">
        <f>IFERROR(IF(TRIM(G36&amp;"")="","",IF(AND(ISNUMBER(FIND(" ",TRIM(G36&amp;""))),ISNUMBER(MATCH(LEFT(TRIM(G36&amp;""),FIND(" ",TRIM(G36&amp;""))-1),코드표!$J$2:$J$101,0)),ISNUMBER(MATCH(TRIM(RIGHT(SUBSTITUTE(TRIM(G36&amp;"")," ",REPT(" ",60)),60)),코드표!$F$2:$F$101,0))),INDEX(코드표!$K$2:$K$101,MATCH(LEFT(TRIM(G36&amp;""),FIND(" ",TRIM(G36&amp;""))-1),코드표!$J$2:$J$101,0))&amp;" "&amp;INDEX(코드표!$G$2:$G$101,MATCH(TRIM(RIGHT(SUBSTITUTE(TRIM(G36&amp;"")," ",REPT(" ",60)),60)),코드표!$F$2:$F$101,0)),"⚠"&amp;TRIM(G36&amp;""))),"⚠"&amp;TRIM(G36&amp;""))</f>
        <v/>
      </c>
      <c r="P36" s="10">
        <f>IFERROR(IF(TRIM(H36&amp;"")="","",IF(AND(ISNUMBER(FIND(" ",TRIM(H36&amp;""))),ISNUMBER(MATCH(LEFT(TRIM(H36&amp;""),FIND(" ",TRIM(H36&amp;""))-1),코드표!$J$2:$J$101,0)),ISNUMBER(MATCH(TRIM(RIGHT(SUBSTITUTE(TRIM(H36&amp;"")," ",REPT(" ",60)),60)),코드표!$F$2:$F$101,0))),INDEX(코드표!$K$2:$K$101,MATCH(LEFT(TRIM(H36&amp;""),FIND(" ",TRIM(H36&amp;""))-1),코드표!$J$2:$J$101,0))&amp;" "&amp;INDEX(코드표!$G$2:$G$101,MATCH(TRIM(RIGHT(SUBSTITUTE(TRIM(H36&amp;"")," ",REPT(" ",60)),60)),코드표!$F$2:$F$101,0)),"⚠"&amp;TRIM(H36&amp;""))),"⚠"&amp;TRIM(H36&amp;""))</f>
        <v/>
      </c>
      <c r="Q36" s="10">
        <f>IFERROR(IF(TRIM(I36&amp;"")="","",IF(AND(ISNUMBER(FIND(" ",TRIM(I36&amp;""))),ISNUMBER(MATCH(LEFT(TRIM(I36&amp;""),FIND(" ",TRIM(I36&amp;""))-1),코드표!$J$2:$J$101,0)),ISNUMBER(MATCH(TRIM(RIGHT(SUBSTITUTE(TRIM(I36&amp;"")," ",REPT(" ",60)),60)),코드표!$F$2:$F$101,0))),INDEX(코드표!$K$2:$K$101,MATCH(LEFT(TRIM(I36&amp;""),FIND(" ",TRIM(I36&amp;""))-1),코드표!$J$2:$J$101,0))&amp;" "&amp;INDEX(코드표!$G$2:$G$101,MATCH(TRIM(RIGHT(SUBSTITUTE(TRIM(I36&amp;"")," ",REPT(" ",60)),60)),코드표!$F$2:$F$101,0)),"⚠"&amp;TRIM(I36&amp;""))),"⚠"&amp;TRIM(I36&amp;""))</f>
        <v/>
      </c>
      <c r="R36" s="10">
        <f>IFERROR(IF(TRIM(J36&amp;"")="","",IF(AND(ISNUMBER(FIND(" ",TRIM(J36&amp;""))),ISNUMBER(MATCH(LEFT(TRIM(J36&amp;""),FIND(" ",TRIM(J36&amp;""))-1),코드표!$J$2:$J$101,0)),ISNUMBER(MATCH(TRIM(RIGHT(SUBSTITUTE(TRIM(J36&amp;"")," ",REPT(" ",60)),60)),코드표!$F$2:$F$101,0))),INDEX(코드표!$K$2:$K$101,MATCH(LEFT(TRIM(J36&amp;""),FIND(" ",TRIM(J36&amp;""))-1),코드표!$J$2:$J$101,0))&amp;" "&amp;INDEX(코드표!$G$2:$G$101,MATCH(TRIM(RIGHT(SUBSTITUTE(TRIM(J36&amp;"")," ",REPT(" ",60)),60)),코드표!$F$2:$F$101,0)),"⚠"&amp;TRIM(J36&amp;""))),"⚠"&amp;TRIM(J36&amp;""))</f>
        <v/>
      </c>
      <c r="S36" s="11">
        <f>IF(K36="","",IFERROR(IF(AND(ROUND((VALUE(K36&amp;"")-INT(VALUE(K36&amp;"")))*100,0)&gt;=1,ROUND((VALUE(K36&amp;"")-INT(VALUE(K36&amp;"")))*100,0)&lt;=12,INT(VALUE(K36&amp;""))&gt;=1900),DATE(INT(VALUE(K36&amp;"")),ROUND((VALUE(K36&amp;"")-INT(VALUE(K36&amp;"")))*100,0),1),K36&amp;""),K36&amp;""))</f>
        <v/>
      </c>
      <c r="T36" s="10">
        <f>COUNTIF(M36:R36,"⚠*")</f>
        <v/>
      </c>
    </row>
    <row r="37"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M37" s="10">
        <f>IFERROR(IF(TRIM(E37&amp;"")="","",IF(AND(ISNUMBER(FIND(" ",TRIM(E37&amp;""))),ISNUMBER(MATCH(LEFT(TRIM(E37&amp;""),FIND(" ",TRIM(E37&amp;""))-1),코드표!$J$2:$J$101,0)),ISNUMBER(MATCH(TRIM(RIGHT(SUBSTITUTE(TRIM(E37&amp;"")," ",REPT(" ",60)),60)),코드표!$F$2:$F$101,0))),INDEX(코드표!$K$2:$K$101,MATCH(LEFT(TRIM(E37&amp;""),FIND(" ",TRIM(E37&amp;""))-1),코드표!$J$2:$J$101,0))&amp;" "&amp;INDEX(코드표!$G$2:$G$101,MATCH(TRIM(RIGHT(SUBSTITUTE(TRIM(E37&amp;"")," ",REPT(" ",60)),60)),코드표!$F$2:$F$101,0)),"⚠"&amp;TRIM(E37&amp;""))),"⚠"&amp;TRIM(E37&amp;""))</f>
        <v/>
      </c>
      <c r="N37" s="10">
        <f>IFERROR(IF(TRIM(F37&amp;"")="","",IF(AND(ISNUMBER(FIND(" ",TRIM(F37&amp;""))),ISNUMBER(MATCH(LEFT(TRIM(F37&amp;""),FIND(" ",TRIM(F37&amp;""))-1),코드표!$J$2:$J$101,0)),ISNUMBER(MATCH(TRIM(RIGHT(SUBSTITUTE(TRIM(F37&amp;"")," ",REPT(" ",60)),60)),코드표!$F$2:$F$101,0))),INDEX(코드표!$K$2:$K$101,MATCH(LEFT(TRIM(F37&amp;""),FIND(" ",TRIM(F37&amp;""))-1),코드표!$J$2:$J$101,0))&amp;" "&amp;INDEX(코드표!$G$2:$G$101,MATCH(TRIM(RIGHT(SUBSTITUTE(TRIM(F37&amp;"")," ",REPT(" ",60)),60)),코드표!$F$2:$F$101,0)),"⚠"&amp;TRIM(F37&amp;""))),"⚠"&amp;TRIM(F37&amp;""))</f>
        <v/>
      </c>
      <c r="O37" s="10">
        <f>IFERROR(IF(TRIM(G37&amp;"")="","",IF(AND(ISNUMBER(FIND(" ",TRIM(G37&amp;""))),ISNUMBER(MATCH(LEFT(TRIM(G37&amp;""),FIND(" ",TRIM(G37&amp;""))-1),코드표!$J$2:$J$101,0)),ISNUMBER(MATCH(TRIM(RIGHT(SUBSTITUTE(TRIM(G37&amp;"")," ",REPT(" ",60)),60)),코드표!$F$2:$F$101,0))),INDEX(코드표!$K$2:$K$101,MATCH(LEFT(TRIM(G37&amp;""),FIND(" ",TRIM(G37&amp;""))-1),코드표!$J$2:$J$101,0))&amp;" "&amp;INDEX(코드표!$G$2:$G$101,MATCH(TRIM(RIGHT(SUBSTITUTE(TRIM(G37&amp;"")," ",REPT(" ",60)),60)),코드표!$F$2:$F$101,0)),"⚠"&amp;TRIM(G37&amp;""))),"⚠"&amp;TRIM(G37&amp;""))</f>
        <v/>
      </c>
      <c r="P37" s="10">
        <f>IFERROR(IF(TRIM(H37&amp;"")="","",IF(AND(ISNUMBER(FIND(" ",TRIM(H37&amp;""))),ISNUMBER(MATCH(LEFT(TRIM(H37&amp;""),FIND(" ",TRIM(H37&amp;""))-1),코드표!$J$2:$J$101,0)),ISNUMBER(MATCH(TRIM(RIGHT(SUBSTITUTE(TRIM(H37&amp;"")," ",REPT(" ",60)),60)),코드표!$F$2:$F$101,0))),INDEX(코드표!$K$2:$K$101,MATCH(LEFT(TRIM(H37&amp;""),FIND(" ",TRIM(H37&amp;""))-1),코드표!$J$2:$J$101,0))&amp;" "&amp;INDEX(코드표!$G$2:$G$101,MATCH(TRIM(RIGHT(SUBSTITUTE(TRIM(H37&amp;"")," ",REPT(" ",60)),60)),코드표!$F$2:$F$101,0)),"⚠"&amp;TRIM(H37&amp;""))),"⚠"&amp;TRIM(H37&amp;""))</f>
        <v/>
      </c>
      <c r="Q37" s="10">
        <f>IFERROR(IF(TRIM(I37&amp;"")="","",IF(AND(ISNUMBER(FIND(" ",TRIM(I37&amp;""))),ISNUMBER(MATCH(LEFT(TRIM(I37&amp;""),FIND(" ",TRIM(I37&amp;""))-1),코드표!$J$2:$J$101,0)),ISNUMBER(MATCH(TRIM(RIGHT(SUBSTITUTE(TRIM(I37&amp;"")," ",REPT(" ",60)),60)),코드표!$F$2:$F$101,0))),INDEX(코드표!$K$2:$K$101,MATCH(LEFT(TRIM(I37&amp;""),FIND(" ",TRIM(I37&amp;""))-1),코드표!$J$2:$J$101,0))&amp;" "&amp;INDEX(코드표!$G$2:$G$101,MATCH(TRIM(RIGHT(SUBSTITUTE(TRIM(I37&amp;"")," ",REPT(" ",60)),60)),코드표!$F$2:$F$101,0)),"⚠"&amp;TRIM(I37&amp;""))),"⚠"&amp;TRIM(I37&amp;""))</f>
        <v/>
      </c>
      <c r="R37" s="10">
        <f>IFERROR(IF(TRIM(J37&amp;"")="","",IF(AND(ISNUMBER(FIND(" ",TRIM(J37&amp;""))),ISNUMBER(MATCH(LEFT(TRIM(J37&amp;""),FIND(" ",TRIM(J37&amp;""))-1),코드표!$J$2:$J$101,0)),ISNUMBER(MATCH(TRIM(RIGHT(SUBSTITUTE(TRIM(J37&amp;"")," ",REPT(" ",60)),60)),코드표!$F$2:$F$101,0))),INDEX(코드표!$K$2:$K$101,MATCH(LEFT(TRIM(J37&amp;""),FIND(" ",TRIM(J37&amp;""))-1),코드표!$J$2:$J$101,0))&amp;" "&amp;INDEX(코드표!$G$2:$G$101,MATCH(TRIM(RIGHT(SUBSTITUTE(TRIM(J37&amp;"")," ",REPT(" ",60)),60)),코드표!$F$2:$F$101,0)),"⚠"&amp;TRIM(J37&amp;""))),"⚠"&amp;TRIM(J37&amp;""))</f>
        <v/>
      </c>
      <c r="S37" s="11">
        <f>IF(K37="","",IFERROR(IF(AND(ROUND((VALUE(K37&amp;"")-INT(VALUE(K37&amp;"")))*100,0)&gt;=1,ROUND((VALUE(K37&amp;"")-INT(VALUE(K37&amp;"")))*100,0)&lt;=12,INT(VALUE(K37&amp;""))&gt;=1900),DATE(INT(VALUE(K37&amp;"")),ROUND((VALUE(K37&amp;"")-INT(VALUE(K37&amp;"")))*100,0),1),K37&amp;""),K37&amp;""))</f>
        <v/>
      </c>
      <c r="T37" s="10">
        <f>COUNTIF(M37:R37,"⚠*")</f>
        <v/>
      </c>
    </row>
    <row r="38"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M38" s="10">
        <f>IFERROR(IF(TRIM(E38&amp;"")="","",IF(AND(ISNUMBER(FIND(" ",TRIM(E38&amp;""))),ISNUMBER(MATCH(LEFT(TRIM(E38&amp;""),FIND(" ",TRIM(E38&amp;""))-1),코드표!$J$2:$J$101,0)),ISNUMBER(MATCH(TRIM(RIGHT(SUBSTITUTE(TRIM(E38&amp;"")," ",REPT(" ",60)),60)),코드표!$F$2:$F$101,0))),INDEX(코드표!$K$2:$K$101,MATCH(LEFT(TRIM(E38&amp;""),FIND(" ",TRIM(E38&amp;""))-1),코드표!$J$2:$J$101,0))&amp;" "&amp;INDEX(코드표!$G$2:$G$101,MATCH(TRIM(RIGHT(SUBSTITUTE(TRIM(E38&amp;"")," ",REPT(" ",60)),60)),코드표!$F$2:$F$101,0)),"⚠"&amp;TRIM(E38&amp;""))),"⚠"&amp;TRIM(E38&amp;""))</f>
        <v/>
      </c>
      <c r="N38" s="10">
        <f>IFERROR(IF(TRIM(F38&amp;"")="","",IF(AND(ISNUMBER(FIND(" ",TRIM(F38&amp;""))),ISNUMBER(MATCH(LEFT(TRIM(F38&amp;""),FIND(" ",TRIM(F38&amp;""))-1),코드표!$J$2:$J$101,0)),ISNUMBER(MATCH(TRIM(RIGHT(SUBSTITUTE(TRIM(F38&amp;"")," ",REPT(" ",60)),60)),코드표!$F$2:$F$101,0))),INDEX(코드표!$K$2:$K$101,MATCH(LEFT(TRIM(F38&amp;""),FIND(" ",TRIM(F38&amp;""))-1),코드표!$J$2:$J$101,0))&amp;" "&amp;INDEX(코드표!$G$2:$G$101,MATCH(TRIM(RIGHT(SUBSTITUTE(TRIM(F38&amp;"")," ",REPT(" ",60)),60)),코드표!$F$2:$F$101,0)),"⚠"&amp;TRIM(F38&amp;""))),"⚠"&amp;TRIM(F38&amp;""))</f>
        <v/>
      </c>
      <c r="O38" s="10">
        <f>IFERROR(IF(TRIM(G38&amp;"")="","",IF(AND(ISNUMBER(FIND(" ",TRIM(G38&amp;""))),ISNUMBER(MATCH(LEFT(TRIM(G38&amp;""),FIND(" ",TRIM(G38&amp;""))-1),코드표!$J$2:$J$101,0)),ISNUMBER(MATCH(TRIM(RIGHT(SUBSTITUTE(TRIM(G38&amp;"")," ",REPT(" ",60)),60)),코드표!$F$2:$F$101,0))),INDEX(코드표!$K$2:$K$101,MATCH(LEFT(TRIM(G38&amp;""),FIND(" ",TRIM(G38&amp;""))-1),코드표!$J$2:$J$101,0))&amp;" "&amp;INDEX(코드표!$G$2:$G$101,MATCH(TRIM(RIGHT(SUBSTITUTE(TRIM(G38&amp;"")," ",REPT(" ",60)),60)),코드표!$F$2:$F$101,0)),"⚠"&amp;TRIM(G38&amp;""))),"⚠"&amp;TRIM(G38&amp;""))</f>
        <v/>
      </c>
      <c r="P38" s="10">
        <f>IFERROR(IF(TRIM(H38&amp;"")="","",IF(AND(ISNUMBER(FIND(" ",TRIM(H38&amp;""))),ISNUMBER(MATCH(LEFT(TRIM(H38&amp;""),FIND(" ",TRIM(H38&amp;""))-1),코드표!$J$2:$J$101,0)),ISNUMBER(MATCH(TRIM(RIGHT(SUBSTITUTE(TRIM(H38&amp;"")," ",REPT(" ",60)),60)),코드표!$F$2:$F$101,0))),INDEX(코드표!$K$2:$K$101,MATCH(LEFT(TRIM(H38&amp;""),FIND(" ",TRIM(H38&amp;""))-1),코드표!$J$2:$J$101,0))&amp;" "&amp;INDEX(코드표!$G$2:$G$101,MATCH(TRIM(RIGHT(SUBSTITUTE(TRIM(H38&amp;"")," ",REPT(" ",60)),60)),코드표!$F$2:$F$101,0)),"⚠"&amp;TRIM(H38&amp;""))),"⚠"&amp;TRIM(H38&amp;""))</f>
        <v/>
      </c>
      <c r="Q38" s="10">
        <f>IFERROR(IF(TRIM(I38&amp;"")="","",IF(AND(ISNUMBER(FIND(" ",TRIM(I38&amp;""))),ISNUMBER(MATCH(LEFT(TRIM(I38&amp;""),FIND(" ",TRIM(I38&amp;""))-1),코드표!$J$2:$J$101,0)),ISNUMBER(MATCH(TRIM(RIGHT(SUBSTITUTE(TRIM(I38&amp;"")," ",REPT(" ",60)),60)),코드표!$F$2:$F$101,0))),INDEX(코드표!$K$2:$K$101,MATCH(LEFT(TRIM(I38&amp;""),FIND(" ",TRIM(I38&amp;""))-1),코드표!$J$2:$J$101,0))&amp;" "&amp;INDEX(코드표!$G$2:$G$101,MATCH(TRIM(RIGHT(SUBSTITUTE(TRIM(I38&amp;"")," ",REPT(" ",60)),60)),코드표!$F$2:$F$101,0)),"⚠"&amp;TRIM(I38&amp;""))),"⚠"&amp;TRIM(I38&amp;""))</f>
        <v/>
      </c>
      <c r="R38" s="10">
        <f>IFERROR(IF(TRIM(J38&amp;"")="","",IF(AND(ISNUMBER(FIND(" ",TRIM(J38&amp;""))),ISNUMBER(MATCH(LEFT(TRIM(J38&amp;""),FIND(" ",TRIM(J38&amp;""))-1),코드표!$J$2:$J$101,0)),ISNUMBER(MATCH(TRIM(RIGHT(SUBSTITUTE(TRIM(J38&amp;"")," ",REPT(" ",60)),60)),코드표!$F$2:$F$101,0))),INDEX(코드표!$K$2:$K$101,MATCH(LEFT(TRIM(J38&amp;""),FIND(" ",TRIM(J38&amp;""))-1),코드표!$J$2:$J$101,0))&amp;" "&amp;INDEX(코드표!$G$2:$G$101,MATCH(TRIM(RIGHT(SUBSTITUTE(TRIM(J38&amp;"")," ",REPT(" ",60)),60)),코드표!$F$2:$F$101,0)),"⚠"&amp;TRIM(J38&amp;""))),"⚠"&amp;TRIM(J38&amp;""))</f>
        <v/>
      </c>
      <c r="S38" s="11">
        <f>IF(K38="","",IFERROR(IF(AND(ROUND((VALUE(K38&amp;"")-INT(VALUE(K38&amp;"")))*100,0)&gt;=1,ROUND((VALUE(K38&amp;"")-INT(VALUE(K38&amp;"")))*100,0)&lt;=12,INT(VALUE(K38&amp;""))&gt;=1900),DATE(INT(VALUE(K38&amp;"")),ROUND((VALUE(K38&amp;"")-INT(VALUE(K38&amp;"")))*100,0),1),K38&amp;""),K38&amp;""))</f>
        <v/>
      </c>
      <c r="T38" s="10">
        <f>COUNTIF(M38:R38,"⚠*")</f>
        <v/>
      </c>
    </row>
    <row r="39"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M39" s="10">
        <f>IFERROR(IF(TRIM(E39&amp;"")="","",IF(AND(ISNUMBER(FIND(" ",TRIM(E39&amp;""))),ISNUMBER(MATCH(LEFT(TRIM(E39&amp;""),FIND(" ",TRIM(E39&amp;""))-1),코드표!$J$2:$J$101,0)),ISNUMBER(MATCH(TRIM(RIGHT(SUBSTITUTE(TRIM(E39&amp;"")," ",REPT(" ",60)),60)),코드표!$F$2:$F$101,0))),INDEX(코드표!$K$2:$K$101,MATCH(LEFT(TRIM(E39&amp;""),FIND(" ",TRIM(E39&amp;""))-1),코드표!$J$2:$J$101,0))&amp;" "&amp;INDEX(코드표!$G$2:$G$101,MATCH(TRIM(RIGHT(SUBSTITUTE(TRIM(E39&amp;"")," ",REPT(" ",60)),60)),코드표!$F$2:$F$101,0)),"⚠"&amp;TRIM(E39&amp;""))),"⚠"&amp;TRIM(E39&amp;""))</f>
        <v/>
      </c>
      <c r="N39" s="10">
        <f>IFERROR(IF(TRIM(F39&amp;"")="","",IF(AND(ISNUMBER(FIND(" ",TRIM(F39&amp;""))),ISNUMBER(MATCH(LEFT(TRIM(F39&amp;""),FIND(" ",TRIM(F39&amp;""))-1),코드표!$J$2:$J$101,0)),ISNUMBER(MATCH(TRIM(RIGHT(SUBSTITUTE(TRIM(F39&amp;"")," ",REPT(" ",60)),60)),코드표!$F$2:$F$101,0))),INDEX(코드표!$K$2:$K$101,MATCH(LEFT(TRIM(F39&amp;""),FIND(" ",TRIM(F39&amp;""))-1),코드표!$J$2:$J$101,0))&amp;" "&amp;INDEX(코드표!$G$2:$G$101,MATCH(TRIM(RIGHT(SUBSTITUTE(TRIM(F39&amp;"")," ",REPT(" ",60)),60)),코드표!$F$2:$F$101,0)),"⚠"&amp;TRIM(F39&amp;""))),"⚠"&amp;TRIM(F39&amp;""))</f>
        <v/>
      </c>
      <c r="O39" s="10">
        <f>IFERROR(IF(TRIM(G39&amp;"")="","",IF(AND(ISNUMBER(FIND(" ",TRIM(G39&amp;""))),ISNUMBER(MATCH(LEFT(TRIM(G39&amp;""),FIND(" ",TRIM(G39&amp;""))-1),코드표!$J$2:$J$101,0)),ISNUMBER(MATCH(TRIM(RIGHT(SUBSTITUTE(TRIM(G39&amp;"")," ",REPT(" ",60)),60)),코드표!$F$2:$F$101,0))),INDEX(코드표!$K$2:$K$101,MATCH(LEFT(TRIM(G39&amp;""),FIND(" ",TRIM(G39&amp;""))-1),코드표!$J$2:$J$101,0))&amp;" "&amp;INDEX(코드표!$G$2:$G$101,MATCH(TRIM(RIGHT(SUBSTITUTE(TRIM(G39&amp;"")," ",REPT(" ",60)),60)),코드표!$F$2:$F$101,0)),"⚠"&amp;TRIM(G39&amp;""))),"⚠"&amp;TRIM(G39&amp;""))</f>
        <v/>
      </c>
      <c r="P39" s="10">
        <f>IFERROR(IF(TRIM(H39&amp;"")="","",IF(AND(ISNUMBER(FIND(" ",TRIM(H39&amp;""))),ISNUMBER(MATCH(LEFT(TRIM(H39&amp;""),FIND(" ",TRIM(H39&amp;""))-1),코드표!$J$2:$J$101,0)),ISNUMBER(MATCH(TRIM(RIGHT(SUBSTITUTE(TRIM(H39&amp;"")," ",REPT(" ",60)),60)),코드표!$F$2:$F$101,0))),INDEX(코드표!$K$2:$K$101,MATCH(LEFT(TRIM(H39&amp;""),FIND(" ",TRIM(H39&amp;""))-1),코드표!$J$2:$J$101,0))&amp;" "&amp;INDEX(코드표!$G$2:$G$101,MATCH(TRIM(RIGHT(SUBSTITUTE(TRIM(H39&amp;"")," ",REPT(" ",60)),60)),코드표!$F$2:$F$101,0)),"⚠"&amp;TRIM(H39&amp;""))),"⚠"&amp;TRIM(H39&amp;""))</f>
        <v/>
      </c>
      <c r="Q39" s="10">
        <f>IFERROR(IF(TRIM(I39&amp;"")="","",IF(AND(ISNUMBER(FIND(" ",TRIM(I39&amp;""))),ISNUMBER(MATCH(LEFT(TRIM(I39&amp;""),FIND(" ",TRIM(I39&amp;""))-1),코드표!$J$2:$J$101,0)),ISNUMBER(MATCH(TRIM(RIGHT(SUBSTITUTE(TRIM(I39&amp;"")," ",REPT(" ",60)),60)),코드표!$F$2:$F$101,0))),INDEX(코드표!$K$2:$K$101,MATCH(LEFT(TRIM(I39&amp;""),FIND(" ",TRIM(I39&amp;""))-1),코드표!$J$2:$J$101,0))&amp;" "&amp;INDEX(코드표!$G$2:$G$101,MATCH(TRIM(RIGHT(SUBSTITUTE(TRIM(I39&amp;"")," ",REPT(" ",60)),60)),코드표!$F$2:$F$101,0)),"⚠"&amp;TRIM(I39&amp;""))),"⚠"&amp;TRIM(I39&amp;""))</f>
        <v/>
      </c>
      <c r="R39" s="10">
        <f>IFERROR(IF(TRIM(J39&amp;"")="","",IF(AND(ISNUMBER(FIND(" ",TRIM(J39&amp;""))),ISNUMBER(MATCH(LEFT(TRIM(J39&amp;""),FIND(" ",TRIM(J39&amp;""))-1),코드표!$J$2:$J$101,0)),ISNUMBER(MATCH(TRIM(RIGHT(SUBSTITUTE(TRIM(J39&amp;"")," ",REPT(" ",60)),60)),코드표!$F$2:$F$101,0))),INDEX(코드표!$K$2:$K$101,MATCH(LEFT(TRIM(J39&amp;""),FIND(" ",TRIM(J39&amp;""))-1),코드표!$J$2:$J$101,0))&amp;" "&amp;INDEX(코드표!$G$2:$G$101,MATCH(TRIM(RIGHT(SUBSTITUTE(TRIM(J39&amp;"")," ",REPT(" ",60)),60)),코드표!$F$2:$F$101,0)),"⚠"&amp;TRIM(J39&amp;""))),"⚠"&amp;TRIM(J39&amp;""))</f>
        <v/>
      </c>
      <c r="S39" s="11">
        <f>IF(K39="","",IFERROR(IF(AND(ROUND((VALUE(K39&amp;"")-INT(VALUE(K39&amp;"")))*100,0)&gt;=1,ROUND((VALUE(K39&amp;"")-INT(VALUE(K39&amp;"")))*100,0)&lt;=12,INT(VALUE(K39&amp;""))&gt;=1900),DATE(INT(VALUE(K39&amp;"")),ROUND((VALUE(K39&amp;"")-INT(VALUE(K39&amp;"")))*100,0),1),K39&amp;""),K39&amp;""))</f>
        <v/>
      </c>
      <c r="T39" s="10">
        <f>COUNTIF(M39:R39,"⚠*")</f>
        <v/>
      </c>
    </row>
    <row r="40"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M40" s="10">
        <f>IFERROR(IF(TRIM(E40&amp;"")="","",IF(AND(ISNUMBER(FIND(" ",TRIM(E40&amp;""))),ISNUMBER(MATCH(LEFT(TRIM(E40&amp;""),FIND(" ",TRIM(E40&amp;""))-1),코드표!$J$2:$J$101,0)),ISNUMBER(MATCH(TRIM(RIGHT(SUBSTITUTE(TRIM(E40&amp;"")," ",REPT(" ",60)),60)),코드표!$F$2:$F$101,0))),INDEX(코드표!$K$2:$K$101,MATCH(LEFT(TRIM(E40&amp;""),FIND(" ",TRIM(E40&amp;""))-1),코드표!$J$2:$J$101,0))&amp;" "&amp;INDEX(코드표!$G$2:$G$101,MATCH(TRIM(RIGHT(SUBSTITUTE(TRIM(E40&amp;"")," ",REPT(" ",60)),60)),코드표!$F$2:$F$101,0)),"⚠"&amp;TRIM(E40&amp;""))),"⚠"&amp;TRIM(E40&amp;""))</f>
        <v/>
      </c>
      <c r="N40" s="10">
        <f>IFERROR(IF(TRIM(F40&amp;"")="","",IF(AND(ISNUMBER(FIND(" ",TRIM(F40&amp;""))),ISNUMBER(MATCH(LEFT(TRIM(F40&amp;""),FIND(" ",TRIM(F40&amp;""))-1),코드표!$J$2:$J$101,0)),ISNUMBER(MATCH(TRIM(RIGHT(SUBSTITUTE(TRIM(F40&amp;"")," ",REPT(" ",60)),60)),코드표!$F$2:$F$101,0))),INDEX(코드표!$K$2:$K$101,MATCH(LEFT(TRIM(F40&amp;""),FIND(" ",TRIM(F40&amp;""))-1),코드표!$J$2:$J$101,0))&amp;" "&amp;INDEX(코드표!$G$2:$G$101,MATCH(TRIM(RIGHT(SUBSTITUTE(TRIM(F40&amp;"")," ",REPT(" ",60)),60)),코드표!$F$2:$F$101,0)),"⚠"&amp;TRIM(F40&amp;""))),"⚠"&amp;TRIM(F40&amp;""))</f>
        <v/>
      </c>
      <c r="O40" s="10">
        <f>IFERROR(IF(TRIM(G40&amp;"")="","",IF(AND(ISNUMBER(FIND(" ",TRIM(G40&amp;""))),ISNUMBER(MATCH(LEFT(TRIM(G40&amp;""),FIND(" ",TRIM(G40&amp;""))-1),코드표!$J$2:$J$101,0)),ISNUMBER(MATCH(TRIM(RIGHT(SUBSTITUTE(TRIM(G40&amp;"")," ",REPT(" ",60)),60)),코드표!$F$2:$F$101,0))),INDEX(코드표!$K$2:$K$101,MATCH(LEFT(TRIM(G40&amp;""),FIND(" ",TRIM(G40&amp;""))-1),코드표!$J$2:$J$101,0))&amp;" "&amp;INDEX(코드표!$G$2:$G$101,MATCH(TRIM(RIGHT(SUBSTITUTE(TRIM(G40&amp;"")," ",REPT(" ",60)),60)),코드표!$F$2:$F$101,0)),"⚠"&amp;TRIM(G40&amp;""))),"⚠"&amp;TRIM(G40&amp;""))</f>
        <v/>
      </c>
      <c r="P40" s="10">
        <f>IFERROR(IF(TRIM(H40&amp;"")="","",IF(AND(ISNUMBER(FIND(" ",TRIM(H40&amp;""))),ISNUMBER(MATCH(LEFT(TRIM(H40&amp;""),FIND(" ",TRIM(H40&amp;""))-1),코드표!$J$2:$J$101,0)),ISNUMBER(MATCH(TRIM(RIGHT(SUBSTITUTE(TRIM(H40&amp;"")," ",REPT(" ",60)),60)),코드표!$F$2:$F$101,0))),INDEX(코드표!$K$2:$K$101,MATCH(LEFT(TRIM(H40&amp;""),FIND(" ",TRIM(H40&amp;""))-1),코드표!$J$2:$J$101,0))&amp;" "&amp;INDEX(코드표!$G$2:$G$101,MATCH(TRIM(RIGHT(SUBSTITUTE(TRIM(H40&amp;"")," ",REPT(" ",60)),60)),코드표!$F$2:$F$101,0)),"⚠"&amp;TRIM(H40&amp;""))),"⚠"&amp;TRIM(H40&amp;""))</f>
        <v/>
      </c>
      <c r="Q40" s="10">
        <f>IFERROR(IF(TRIM(I40&amp;"")="","",IF(AND(ISNUMBER(FIND(" ",TRIM(I40&amp;""))),ISNUMBER(MATCH(LEFT(TRIM(I40&amp;""),FIND(" ",TRIM(I40&amp;""))-1),코드표!$J$2:$J$101,0)),ISNUMBER(MATCH(TRIM(RIGHT(SUBSTITUTE(TRIM(I40&amp;"")," ",REPT(" ",60)),60)),코드표!$F$2:$F$101,0))),INDEX(코드표!$K$2:$K$101,MATCH(LEFT(TRIM(I40&amp;""),FIND(" ",TRIM(I40&amp;""))-1),코드표!$J$2:$J$101,0))&amp;" "&amp;INDEX(코드표!$G$2:$G$101,MATCH(TRIM(RIGHT(SUBSTITUTE(TRIM(I40&amp;"")," ",REPT(" ",60)),60)),코드표!$F$2:$F$101,0)),"⚠"&amp;TRIM(I40&amp;""))),"⚠"&amp;TRIM(I40&amp;""))</f>
        <v/>
      </c>
      <c r="R40" s="10">
        <f>IFERROR(IF(TRIM(J40&amp;"")="","",IF(AND(ISNUMBER(FIND(" ",TRIM(J40&amp;""))),ISNUMBER(MATCH(LEFT(TRIM(J40&amp;""),FIND(" ",TRIM(J40&amp;""))-1),코드표!$J$2:$J$101,0)),ISNUMBER(MATCH(TRIM(RIGHT(SUBSTITUTE(TRIM(J40&amp;"")," ",REPT(" ",60)),60)),코드표!$F$2:$F$101,0))),INDEX(코드표!$K$2:$K$101,MATCH(LEFT(TRIM(J40&amp;""),FIND(" ",TRIM(J40&amp;""))-1),코드표!$J$2:$J$101,0))&amp;" "&amp;INDEX(코드표!$G$2:$G$101,MATCH(TRIM(RIGHT(SUBSTITUTE(TRIM(J40&amp;"")," ",REPT(" ",60)),60)),코드표!$F$2:$F$101,0)),"⚠"&amp;TRIM(J40&amp;""))),"⚠"&amp;TRIM(J40&amp;""))</f>
        <v/>
      </c>
      <c r="S40" s="11">
        <f>IF(K40="","",IFERROR(IF(AND(ROUND((VALUE(K40&amp;"")-INT(VALUE(K40&amp;"")))*100,0)&gt;=1,ROUND((VALUE(K40&amp;"")-INT(VALUE(K40&amp;"")))*100,0)&lt;=12,INT(VALUE(K40&amp;""))&gt;=1900),DATE(INT(VALUE(K40&amp;"")),ROUND((VALUE(K40&amp;"")-INT(VALUE(K40&amp;"")))*100,0),1),K40&amp;""),K40&amp;""))</f>
        <v/>
      </c>
      <c r="T40" s="10">
        <f>COUNTIF(M40:R40,"⚠*")</f>
        <v/>
      </c>
    </row>
    <row r="41"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M41" s="10">
        <f>IFERROR(IF(TRIM(E41&amp;"")="","",IF(AND(ISNUMBER(FIND(" ",TRIM(E41&amp;""))),ISNUMBER(MATCH(LEFT(TRIM(E41&amp;""),FIND(" ",TRIM(E41&amp;""))-1),코드표!$J$2:$J$101,0)),ISNUMBER(MATCH(TRIM(RIGHT(SUBSTITUTE(TRIM(E41&amp;"")," ",REPT(" ",60)),60)),코드표!$F$2:$F$101,0))),INDEX(코드표!$K$2:$K$101,MATCH(LEFT(TRIM(E41&amp;""),FIND(" ",TRIM(E41&amp;""))-1),코드표!$J$2:$J$101,0))&amp;" "&amp;INDEX(코드표!$G$2:$G$101,MATCH(TRIM(RIGHT(SUBSTITUTE(TRIM(E41&amp;"")," ",REPT(" ",60)),60)),코드표!$F$2:$F$101,0)),"⚠"&amp;TRIM(E41&amp;""))),"⚠"&amp;TRIM(E41&amp;""))</f>
        <v/>
      </c>
      <c r="N41" s="10">
        <f>IFERROR(IF(TRIM(F41&amp;"")="","",IF(AND(ISNUMBER(FIND(" ",TRIM(F41&amp;""))),ISNUMBER(MATCH(LEFT(TRIM(F41&amp;""),FIND(" ",TRIM(F41&amp;""))-1),코드표!$J$2:$J$101,0)),ISNUMBER(MATCH(TRIM(RIGHT(SUBSTITUTE(TRIM(F41&amp;"")," ",REPT(" ",60)),60)),코드표!$F$2:$F$101,0))),INDEX(코드표!$K$2:$K$101,MATCH(LEFT(TRIM(F41&amp;""),FIND(" ",TRIM(F41&amp;""))-1),코드표!$J$2:$J$101,0))&amp;" "&amp;INDEX(코드표!$G$2:$G$101,MATCH(TRIM(RIGHT(SUBSTITUTE(TRIM(F41&amp;"")," ",REPT(" ",60)),60)),코드표!$F$2:$F$101,0)),"⚠"&amp;TRIM(F41&amp;""))),"⚠"&amp;TRIM(F41&amp;""))</f>
        <v/>
      </c>
      <c r="O41" s="10">
        <f>IFERROR(IF(TRIM(G41&amp;"")="","",IF(AND(ISNUMBER(FIND(" ",TRIM(G41&amp;""))),ISNUMBER(MATCH(LEFT(TRIM(G41&amp;""),FIND(" ",TRIM(G41&amp;""))-1),코드표!$J$2:$J$101,0)),ISNUMBER(MATCH(TRIM(RIGHT(SUBSTITUTE(TRIM(G41&amp;"")," ",REPT(" ",60)),60)),코드표!$F$2:$F$101,0))),INDEX(코드표!$K$2:$K$101,MATCH(LEFT(TRIM(G41&amp;""),FIND(" ",TRIM(G41&amp;""))-1),코드표!$J$2:$J$101,0))&amp;" "&amp;INDEX(코드표!$G$2:$G$101,MATCH(TRIM(RIGHT(SUBSTITUTE(TRIM(G41&amp;"")," ",REPT(" ",60)),60)),코드표!$F$2:$F$101,0)),"⚠"&amp;TRIM(G41&amp;""))),"⚠"&amp;TRIM(G41&amp;""))</f>
        <v/>
      </c>
      <c r="P41" s="10">
        <f>IFERROR(IF(TRIM(H41&amp;"")="","",IF(AND(ISNUMBER(FIND(" ",TRIM(H41&amp;""))),ISNUMBER(MATCH(LEFT(TRIM(H41&amp;""),FIND(" ",TRIM(H41&amp;""))-1),코드표!$J$2:$J$101,0)),ISNUMBER(MATCH(TRIM(RIGHT(SUBSTITUTE(TRIM(H41&amp;"")," ",REPT(" ",60)),60)),코드표!$F$2:$F$101,0))),INDEX(코드표!$K$2:$K$101,MATCH(LEFT(TRIM(H41&amp;""),FIND(" ",TRIM(H41&amp;""))-1),코드표!$J$2:$J$101,0))&amp;" "&amp;INDEX(코드표!$G$2:$G$101,MATCH(TRIM(RIGHT(SUBSTITUTE(TRIM(H41&amp;"")," ",REPT(" ",60)),60)),코드표!$F$2:$F$101,0)),"⚠"&amp;TRIM(H41&amp;""))),"⚠"&amp;TRIM(H41&amp;""))</f>
        <v/>
      </c>
      <c r="Q41" s="10">
        <f>IFERROR(IF(TRIM(I41&amp;"")="","",IF(AND(ISNUMBER(FIND(" ",TRIM(I41&amp;""))),ISNUMBER(MATCH(LEFT(TRIM(I41&amp;""),FIND(" ",TRIM(I41&amp;""))-1),코드표!$J$2:$J$101,0)),ISNUMBER(MATCH(TRIM(RIGHT(SUBSTITUTE(TRIM(I41&amp;"")," ",REPT(" ",60)),60)),코드표!$F$2:$F$101,0))),INDEX(코드표!$K$2:$K$101,MATCH(LEFT(TRIM(I41&amp;""),FIND(" ",TRIM(I41&amp;""))-1),코드표!$J$2:$J$101,0))&amp;" "&amp;INDEX(코드표!$G$2:$G$101,MATCH(TRIM(RIGHT(SUBSTITUTE(TRIM(I41&amp;"")," ",REPT(" ",60)),60)),코드표!$F$2:$F$101,0)),"⚠"&amp;TRIM(I41&amp;""))),"⚠"&amp;TRIM(I41&amp;""))</f>
        <v/>
      </c>
      <c r="R41" s="10">
        <f>IFERROR(IF(TRIM(J41&amp;"")="","",IF(AND(ISNUMBER(FIND(" ",TRIM(J41&amp;""))),ISNUMBER(MATCH(LEFT(TRIM(J41&amp;""),FIND(" ",TRIM(J41&amp;""))-1),코드표!$J$2:$J$101,0)),ISNUMBER(MATCH(TRIM(RIGHT(SUBSTITUTE(TRIM(J41&amp;"")," ",REPT(" ",60)),60)),코드표!$F$2:$F$101,0))),INDEX(코드표!$K$2:$K$101,MATCH(LEFT(TRIM(J41&amp;""),FIND(" ",TRIM(J41&amp;""))-1),코드표!$J$2:$J$101,0))&amp;" "&amp;INDEX(코드표!$G$2:$G$101,MATCH(TRIM(RIGHT(SUBSTITUTE(TRIM(J41&amp;"")," ",REPT(" ",60)),60)),코드표!$F$2:$F$101,0)),"⚠"&amp;TRIM(J41&amp;""))),"⚠"&amp;TRIM(J41&amp;""))</f>
        <v/>
      </c>
      <c r="S41" s="11">
        <f>IF(K41="","",IFERROR(IF(AND(ROUND((VALUE(K41&amp;"")-INT(VALUE(K41&amp;"")))*100,0)&gt;=1,ROUND((VALUE(K41&amp;"")-INT(VALUE(K41&amp;"")))*100,0)&lt;=12,INT(VALUE(K41&amp;""))&gt;=1900),DATE(INT(VALUE(K41&amp;"")),ROUND((VALUE(K41&amp;"")-INT(VALUE(K41&amp;"")))*100,0),1),K41&amp;""),K41&amp;""))</f>
        <v/>
      </c>
      <c r="T41" s="10">
        <f>COUNTIF(M41:R41,"⚠*")</f>
        <v/>
      </c>
    </row>
    <row r="42"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M42" s="10">
        <f>IFERROR(IF(TRIM(E42&amp;"")="","",IF(AND(ISNUMBER(FIND(" ",TRIM(E42&amp;""))),ISNUMBER(MATCH(LEFT(TRIM(E42&amp;""),FIND(" ",TRIM(E42&amp;""))-1),코드표!$J$2:$J$101,0)),ISNUMBER(MATCH(TRIM(RIGHT(SUBSTITUTE(TRIM(E42&amp;"")," ",REPT(" ",60)),60)),코드표!$F$2:$F$101,0))),INDEX(코드표!$K$2:$K$101,MATCH(LEFT(TRIM(E42&amp;""),FIND(" ",TRIM(E42&amp;""))-1),코드표!$J$2:$J$101,0))&amp;" "&amp;INDEX(코드표!$G$2:$G$101,MATCH(TRIM(RIGHT(SUBSTITUTE(TRIM(E42&amp;"")," ",REPT(" ",60)),60)),코드표!$F$2:$F$101,0)),"⚠"&amp;TRIM(E42&amp;""))),"⚠"&amp;TRIM(E42&amp;""))</f>
        <v/>
      </c>
      <c r="N42" s="10">
        <f>IFERROR(IF(TRIM(F42&amp;"")="","",IF(AND(ISNUMBER(FIND(" ",TRIM(F42&amp;""))),ISNUMBER(MATCH(LEFT(TRIM(F42&amp;""),FIND(" ",TRIM(F42&amp;""))-1),코드표!$J$2:$J$101,0)),ISNUMBER(MATCH(TRIM(RIGHT(SUBSTITUTE(TRIM(F42&amp;"")," ",REPT(" ",60)),60)),코드표!$F$2:$F$101,0))),INDEX(코드표!$K$2:$K$101,MATCH(LEFT(TRIM(F42&amp;""),FIND(" ",TRIM(F42&amp;""))-1),코드표!$J$2:$J$101,0))&amp;" "&amp;INDEX(코드표!$G$2:$G$101,MATCH(TRIM(RIGHT(SUBSTITUTE(TRIM(F42&amp;"")," ",REPT(" ",60)),60)),코드표!$F$2:$F$101,0)),"⚠"&amp;TRIM(F42&amp;""))),"⚠"&amp;TRIM(F42&amp;""))</f>
        <v/>
      </c>
      <c r="O42" s="10">
        <f>IFERROR(IF(TRIM(G42&amp;"")="","",IF(AND(ISNUMBER(FIND(" ",TRIM(G42&amp;""))),ISNUMBER(MATCH(LEFT(TRIM(G42&amp;""),FIND(" ",TRIM(G42&amp;""))-1),코드표!$J$2:$J$101,0)),ISNUMBER(MATCH(TRIM(RIGHT(SUBSTITUTE(TRIM(G42&amp;"")," ",REPT(" ",60)),60)),코드표!$F$2:$F$101,0))),INDEX(코드표!$K$2:$K$101,MATCH(LEFT(TRIM(G42&amp;""),FIND(" ",TRIM(G42&amp;""))-1),코드표!$J$2:$J$101,0))&amp;" "&amp;INDEX(코드표!$G$2:$G$101,MATCH(TRIM(RIGHT(SUBSTITUTE(TRIM(G42&amp;"")," ",REPT(" ",60)),60)),코드표!$F$2:$F$101,0)),"⚠"&amp;TRIM(G42&amp;""))),"⚠"&amp;TRIM(G42&amp;""))</f>
        <v/>
      </c>
      <c r="P42" s="10">
        <f>IFERROR(IF(TRIM(H42&amp;"")="","",IF(AND(ISNUMBER(FIND(" ",TRIM(H42&amp;""))),ISNUMBER(MATCH(LEFT(TRIM(H42&amp;""),FIND(" ",TRIM(H42&amp;""))-1),코드표!$J$2:$J$101,0)),ISNUMBER(MATCH(TRIM(RIGHT(SUBSTITUTE(TRIM(H42&amp;"")," ",REPT(" ",60)),60)),코드표!$F$2:$F$101,0))),INDEX(코드표!$K$2:$K$101,MATCH(LEFT(TRIM(H42&amp;""),FIND(" ",TRIM(H42&amp;""))-1),코드표!$J$2:$J$101,0))&amp;" "&amp;INDEX(코드표!$G$2:$G$101,MATCH(TRIM(RIGHT(SUBSTITUTE(TRIM(H42&amp;"")," ",REPT(" ",60)),60)),코드표!$F$2:$F$101,0)),"⚠"&amp;TRIM(H42&amp;""))),"⚠"&amp;TRIM(H42&amp;""))</f>
        <v/>
      </c>
      <c r="Q42" s="10">
        <f>IFERROR(IF(TRIM(I42&amp;"")="","",IF(AND(ISNUMBER(FIND(" ",TRIM(I42&amp;""))),ISNUMBER(MATCH(LEFT(TRIM(I42&amp;""),FIND(" ",TRIM(I42&amp;""))-1),코드표!$J$2:$J$101,0)),ISNUMBER(MATCH(TRIM(RIGHT(SUBSTITUTE(TRIM(I42&amp;"")," ",REPT(" ",60)),60)),코드표!$F$2:$F$101,0))),INDEX(코드표!$K$2:$K$101,MATCH(LEFT(TRIM(I42&amp;""),FIND(" ",TRIM(I42&amp;""))-1),코드표!$J$2:$J$101,0))&amp;" "&amp;INDEX(코드표!$G$2:$G$101,MATCH(TRIM(RIGHT(SUBSTITUTE(TRIM(I42&amp;"")," ",REPT(" ",60)),60)),코드표!$F$2:$F$101,0)),"⚠"&amp;TRIM(I42&amp;""))),"⚠"&amp;TRIM(I42&amp;""))</f>
        <v/>
      </c>
      <c r="R42" s="10">
        <f>IFERROR(IF(TRIM(J42&amp;"")="","",IF(AND(ISNUMBER(FIND(" ",TRIM(J42&amp;""))),ISNUMBER(MATCH(LEFT(TRIM(J42&amp;""),FIND(" ",TRIM(J42&amp;""))-1),코드표!$J$2:$J$101,0)),ISNUMBER(MATCH(TRIM(RIGHT(SUBSTITUTE(TRIM(J42&amp;"")," ",REPT(" ",60)),60)),코드표!$F$2:$F$101,0))),INDEX(코드표!$K$2:$K$101,MATCH(LEFT(TRIM(J42&amp;""),FIND(" ",TRIM(J42&amp;""))-1),코드표!$J$2:$J$101,0))&amp;" "&amp;INDEX(코드표!$G$2:$G$101,MATCH(TRIM(RIGHT(SUBSTITUTE(TRIM(J42&amp;"")," ",REPT(" ",60)),60)),코드표!$F$2:$F$101,0)),"⚠"&amp;TRIM(J42&amp;""))),"⚠"&amp;TRIM(J42&amp;""))</f>
        <v/>
      </c>
      <c r="S42" s="11">
        <f>IF(K42="","",IFERROR(IF(AND(ROUND((VALUE(K42&amp;"")-INT(VALUE(K42&amp;"")))*100,0)&gt;=1,ROUND((VALUE(K42&amp;"")-INT(VALUE(K42&amp;"")))*100,0)&lt;=12,INT(VALUE(K42&amp;""))&gt;=1900),DATE(INT(VALUE(K42&amp;"")),ROUND((VALUE(K42&amp;"")-INT(VALUE(K42&amp;"")))*100,0),1),K42&amp;""),K42&amp;""))</f>
        <v/>
      </c>
      <c r="T42" s="10">
        <f>COUNTIF(M42:R42,"⚠*")</f>
        <v/>
      </c>
    </row>
    <row r="43"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M43" s="10">
        <f>IFERROR(IF(TRIM(E43&amp;"")="","",IF(AND(ISNUMBER(FIND(" ",TRIM(E43&amp;""))),ISNUMBER(MATCH(LEFT(TRIM(E43&amp;""),FIND(" ",TRIM(E43&amp;""))-1),코드표!$J$2:$J$101,0)),ISNUMBER(MATCH(TRIM(RIGHT(SUBSTITUTE(TRIM(E43&amp;"")," ",REPT(" ",60)),60)),코드표!$F$2:$F$101,0))),INDEX(코드표!$K$2:$K$101,MATCH(LEFT(TRIM(E43&amp;""),FIND(" ",TRIM(E43&amp;""))-1),코드표!$J$2:$J$101,0))&amp;" "&amp;INDEX(코드표!$G$2:$G$101,MATCH(TRIM(RIGHT(SUBSTITUTE(TRIM(E43&amp;"")," ",REPT(" ",60)),60)),코드표!$F$2:$F$101,0)),"⚠"&amp;TRIM(E43&amp;""))),"⚠"&amp;TRIM(E43&amp;""))</f>
        <v/>
      </c>
      <c r="N43" s="10">
        <f>IFERROR(IF(TRIM(F43&amp;"")="","",IF(AND(ISNUMBER(FIND(" ",TRIM(F43&amp;""))),ISNUMBER(MATCH(LEFT(TRIM(F43&amp;""),FIND(" ",TRIM(F43&amp;""))-1),코드표!$J$2:$J$101,0)),ISNUMBER(MATCH(TRIM(RIGHT(SUBSTITUTE(TRIM(F43&amp;"")," ",REPT(" ",60)),60)),코드표!$F$2:$F$101,0))),INDEX(코드표!$K$2:$K$101,MATCH(LEFT(TRIM(F43&amp;""),FIND(" ",TRIM(F43&amp;""))-1),코드표!$J$2:$J$101,0))&amp;" "&amp;INDEX(코드표!$G$2:$G$101,MATCH(TRIM(RIGHT(SUBSTITUTE(TRIM(F43&amp;"")," ",REPT(" ",60)),60)),코드표!$F$2:$F$101,0)),"⚠"&amp;TRIM(F43&amp;""))),"⚠"&amp;TRIM(F43&amp;""))</f>
        <v/>
      </c>
      <c r="O43" s="10">
        <f>IFERROR(IF(TRIM(G43&amp;"")="","",IF(AND(ISNUMBER(FIND(" ",TRIM(G43&amp;""))),ISNUMBER(MATCH(LEFT(TRIM(G43&amp;""),FIND(" ",TRIM(G43&amp;""))-1),코드표!$J$2:$J$101,0)),ISNUMBER(MATCH(TRIM(RIGHT(SUBSTITUTE(TRIM(G43&amp;"")," ",REPT(" ",60)),60)),코드표!$F$2:$F$101,0))),INDEX(코드표!$K$2:$K$101,MATCH(LEFT(TRIM(G43&amp;""),FIND(" ",TRIM(G43&amp;""))-1),코드표!$J$2:$J$101,0))&amp;" "&amp;INDEX(코드표!$G$2:$G$101,MATCH(TRIM(RIGHT(SUBSTITUTE(TRIM(G43&amp;"")," ",REPT(" ",60)),60)),코드표!$F$2:$F$101,0)),"⚠"&amp;TRIM(G43&amp;""))),"⚠"&amp;TRIM(G43&amp;""))</f>
        <v/>
      </c>
      <c r="P43" s="10">
        <f>IFERROR(IF(TRIM(H43&amp;"")="","",IF(AND(ISNUMBER(FIND(" ",TRIM(H43&amp;""))),ISNUMBER(MATCH(LEFT(TRIM(H43&amp;""),FIND(" ",TRIM(H43&amp;""))-1),코드표!$J$2:$J$101,0)),ISNUMBER(MATCH(TRIM(RIGHT(SUBSTITUTE(TRIM(H43&amp;"")," ",REPT(" ",60)),60)),코드표!$F$2:$F$101,0))),INDEX(코드표!$K$2:$K$101,MATCH(LEFT(TRIM(H43&amp;""),FIND(" ",TRIM(H43&amp;""))-1),코드표!$J$2:$J$101,0))&amp;" "&amp;INDEX(코드표!$G$2:$G$101,MATCH(TRIM(RIGHT(SUBSTITUTE(TRIM(H43&amp;"")," ",REPT(" ",60)),60)),코드표!$F$2:$F$101,0)),"⚠"&amp;TRIM(H43&amp;""))),"⚠"&amp;TRIM(H43&amp;""))</f>
        <v/>
      </c>
      <c r="Q43" s="10">
        <f>IFERROR(IF(TRIM(I43&amp;"")="","",IF(AND(ISNUMBER(FIND(" ",TRIM(I43&amp;""))),ISNUMBER(MATCH(LEFT(TRIM(I43&amp;""),FIND(" ",TRIM(I43&amp;""))-1),코드표!$J$2:$J$101,0)),ISNUMBER(MATCH(TRIM(RIGHT(SUBSTITUTE(TRIM(I43&amp;"")," ",REPT(" ",60)),60)),코드표!$F$2:$F$101,0))),INDEX(코드표!$K$2:$K$101,MATCH(LEFT(TRIM(I43&amp;""),FIND(" ",TRIM(I43&amp;""))-1),코드표!$J$2:$J$101,0))&amp;" "&amp;INDEX(코드표!$G$2:$G$101,MATCH(TRIM(RIGHT(SUBSTITUTE(TRIM(I43&amp;"")," ",REPT(" ",60)),60)),코드표!$F$2:$F$101,0)),"⚠"&amp;TRIM(I43&amp;""))),"⚠"&amp;TRIM(I43&amp;""))</f>
        <v/>
      </c>
      <c r="R43" s="10">
        <f>IFERROR(IF(TRIM(J43&amp;"")="","",IF(AND(ISNUMBER(FIND(" ",TRIM(J43&amp;""))),ISNUMBER(MATCH(LEFT(TRIM(J43&amp;""),FIND(" ",TRIM(J43&amp;""))-1),코드표!$J$2:$J$101,0)),ISNUMBER(MATCH(TRIM(RIGHT(SUBSTITUTE(TRIM(J43&amp;"")," ",REPT(" ",60)),60)),코드표!$F$2:$F$101,0))),INDEX(코드표!$K$2:$K$101,MATCH(LEFT(TRIM(J43&amp;""),FIND(" ",TRIM(J43&amp;""))-1),코드표!$J$2:$J$101,0))&amp;" "&amp;INDEX(코드표!$G$2:$G$101,MATCH(TRIM(RIGHT(SUBSTITUTE(TRIM(J43&amp;"")," ",REPT(" ",60)),60)),코드표!$F$2:$F$101,0)),"⚠"&amp;TRIM(J43&amp;""))),"⚠"&amp;TRIM(J43&amp;""))</f>
        <v/>
      </c>
      <c r="S43" s="11">
        <f>IF(K43="","",IFERROR(IF(AND(ROUND((VALUE(K43&amp;"")-INT(VALUE(K43&amp;"")))*100,0)&gt;=1,ROUND((VALUE(K43&amp;"")-INT(VALUE(K43&amp;"")))*100,0)&lt;=12,INT(VALUE(K43&amp;""))&gt;=1900),DATE(INT(VALUE(K43&amp;"")),ROUND((VALUE(K43&amp;"")-INT(VALUE(K43&amp;"")))*100,0),1),K43&amp;""),K43&amp;""))</f>
        <v/>
      </c>
      <c r="T43" s="10">
        <f>COUNTIF(M43:R43,"⚠*")</f>
        <v/>
      </c>
    </row>
    <row r="44"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M44" s="10">
        <f>IFERROR(IF(TRIM(E44&amp;"")="","",IF(AND(ISNUMBER(FIND(" ",TRIM(E44&amp;""))),ISNUMBER(MATCH(LEFT(TRIM(E44&amp;""),FIND(" ",TRIM(E44&amp;""))-1),코드표!$J$2:$J$101,0)),ISNUMBER(MATCH(TRIM(RIGHT(SUBSTITUTE(TRIM(E44&amp;"")," ",REPT(" ",60)),60)),코드표!$F$2:$F$101,0))),INDEX(코드표!$K$2:$K$101,MATCH(LEFT(TRIM(E44&amp;""),FIND(" ",TRIM(E44&amp;""))-1),코드표!$J$2:$J$101,0))&amp;" "&amp;INDEX(코드표!$G$2:$G$101,MATCH(TRIM(RIGHT(SUBSTITUTE(TRIM(E44&amp;"")," ",REPT(" ",60)),60)),코드표!$F$2:$F$101,0)),"⚠"&amp;TRIM(E44&amp;""))),"⚠"&amp;TRIM(E44&amp;""))</f>
        <v/>
      </c>
      <c r="N44" s="10">
        <f>IFERROR(IF(TRIM(F44&amp;"")="","",IF(AND(ISNUMBER(FIND(" ",TRIM(F44&amp;""))),ISNUMBER(MATCH(LEFT(TRIM(F44&amp;""),FIND(" ",TRIM(F44&amp;""))-1),코드표!$J$2:$J$101,0)),ISNUMBER(MATCH(TRIM(RIGHT(SUBSTITUTE(TRIM(F44&amp;"")," ",REPT(" ",60)),60)),코드표!$F$2:$F$101,0))),INDEX(코드표!$K$2:$K$101,MATCH(LEFT(TRIM(F44&amp;""),FIND(" ",TRIM(F44&amp;""))-1),코드표!$J$2:$J$101,0))&amp;" "&amp;INDEX(코드표!$G$2:$G$101,MATCH(TRIM(RIGHT(SUBSTITUTE(TRIM(F44&amp;"")," ",REPT(" ",60)),60)),코드표!$F$2:$F$101,0)),"⚠"&amp;TRIM(F44&amp;""))),"⚠"&amp;TRIM(F44&amp;""))</f>
        <v/>
      </c>
      <c r="O44" s="10">
        <f>IFERROR(IF(TRIM(G44&amp;"")="","",IF(AND(ISNUMBER(FIND(" ",TRIM(G44&amp;""))),ISNUMBER(MATCH(LEFT(TRIM(G44&amp;""),FIND(" ",TRIM(G44&amp;""))-1),코드표!$J$2:$J$101,0)),ISNUMBER(MATCH(TRIM(RIGHT(SUBSTITUTE(TRIM(G44&amp;"")," ",REPT(" ",60)),60)),코드표!$F$2:$F$101,0))),INDEX(코드표!$K$2:$K$101,MATCH(LEFT(TRIM(G44&amp;""),FIND(" ",TRIM(G44&amp;""))-1),코드표!$J$2:$J$101,0))&amp;" "&amp;INDEX(코드표!$G$2:$G$101,MATCH(TRIM(RIGHT(SUBSTITUTE(TRIM(G44&amp;"")," ",REPT(" ",60)),60)),코드표!$F$2:$F$101,0)),"⚠"&amp;TRIM(G44&amp;""))),"⚠"&amp;TRIM(G44&amp;""))</f>
        <v/>
      </c>
      <c r="P44" s="10">
        <f>IFERROR(IF(TRIM(H44&amp;"")="","",IF(AND(ISNUMBER(FIND(" ",TRIM(H44&amp;""))),ISNUMBER(MATCH(LEFT(TRIM(H44&amp;""),FIND(" ",TRIM(H44&amp;""))-1),코드표!$J$2:$J$101,0)),ISNUMBER(MATCH(TRIM(RIGHT(SUBSTITUTE(TRIM(H44&amp;"")," ",REPT(" ",60)),60)),코드표!$F$2:$F$101,0))),INDEX(코드표!$K$2:$K$101,MATCH(LEFT(TRIM(H44&amp;""),FIND(" ",TRIM(H44&amp;""))-1),코드표!$J$2:$J$101,0))&amp;" "&amp;INDEX(코드표!$G$2:$G$101,MATCH(TRIM(RIGHT(SUBSTITUTE(TRIM(H44&amp;"")," ",REPT(" ",60)),60)),코드표!$F$2:$F$101,0)),"⚠"&amp;TRIM(H44&amp;""))),"⚠"&amp;TRIM(H44&amp;""))</f>
        <v/>
      </c>
      <c r="Q44" s="10">
        <f>IFERROR(IF(TRIM(I44&amp;"")="","",IF(AND(ISNUMBER(FIND(" ",TRIM(I44&amp;""))),ISNUMBER(MATCH(LEFT(TRIM(I44&amp;""),FIND(" ",TRIM(I44&amp;""))-1),코드표!$J$2:$J$101,0)),ISNUMBER(MATCH(TRIM(RIGHT(SUBSTITUTE(TRIM(I44&amp;"")," ",REPT(" ",60)),60)),코드표!$F$2:$F$101,0))),INDEX(코드표!$K$2:$K$101,MATCH(LEFT(TRIM(I44&amp;""),FIND(" ",TRIM(I44&amp;""))-1),코드표!$J$2:$J$101,0))&amp;" "&amp;INDEX(코드표!$G$2:$G$101,MATCH(TRIM(RIGHT(SUBSTITUTE(TRIM(I44&amp;"")," ",REPT(" ",60)),60)),코드표!$F$2:$F$101,0)),"⚠"&amp;TRIM(I44&amp;""))),"⚠"&amp;TRIM(I44&amp;""))</f>
        <v/>
      </c>
      <c r="R44" s="10">
        <f>IFERROR(IF(TRIM(J44&amp;"")="","",IF(AND(ISNUMBER(FIND(" ",TRIM(J44&amp;""))),ISNUMBER(MATCH(LEFT(TRIM(J44&amp;""),FIND(" ",TRIM(J44&amp;""))-1),코드표!$J$2:$J$101,0)),ISNUMBER(MATCH(TRIM(RIGHT(SUBSTITUTE(TRIM(J44&amp;"")," ",REPT(" ",60)),60)),코드표!$F$2:$F$101,0))),INDEX(코드표!$K$2:$K$101,MATCH(LEFT(TRIM(J44&amp;""),FIND(" ",TRIM(J44&amp;""))-1),코드표!$J$2:$J$101,0))&amp;" "&amp;INDEX(코드표!$G$2:$G$101,MATCH(TRIM(RIGHT(SUBSTITUTE(TRIM(J44&amp;"")," ",REPT(" ",60)),60)),코드표!$F$2:$F$101,0)),"⚠"&amp;TRIM(J44&amp;""))),"⚠"&amp;TRIM(J44&amp;""))</f>
        <v/>
      </c>
      <c r="S44" s="11">
        <f>IF(K44="","",IFERROR(IF(AND(ROUND((VALUE(K44&amp;"")-INT(VALUE(K44&amp;"")))*100,0)&gt;=1,ROUND((VALUE(K44&amp;"")-INT(VALUE(K44&amp;"")))*100,0)&lt;=12,INT(VALUE(K44&amp;""))&gt;=1900),DATE(INT(VALUE(K44&amp;"")),ROUND((VALUE(K44&amp;"")-INT(VALUE(K44&amp;"")))*100,0),1),K44&amp;""),K44&amp;""))</f>
        <v/>
      </c>
      <c r="T44" s="10">
        <f>COUNTIF(M44:R44,"⚠*")</f>
        <v/>
      </c>
    </row>
    <row r="45"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M45" s="10">
        <f>IFERROR(IF(TRIM(E45&amp;"")="","",IF(AND(ISNUMBER(FIND(" ",TRIM(E45&amp;""))),ISNUMBER(MATCH(LEFT(TRIM(E45&amp;""),FIND(" ",TRIM(E45&amp;""))-1),코드표!$J$2:$J$101,0)),ISNUMBER(MATCH(TRIM(RIGHT(SUBSTITUTE(TRIM(E45&amp;"")," ",REPT(" ",60)),60)),코드표!$F$2:$F$101,0))),INDEX(코드표!$K$2:$K$101,MATCH(LEFT(TRIM(E45&amp;""),FIND(" ",TRIM(E45&amp;""))-1),코드표!$J$2:$J$101,0))&amp;" "&amp;INDEX(코드표!$G$2:$G$101,MATCH(TRIM(RIGHT(SUBSTITUTE(TRIM(E45&amp;"")," ",REPT(" ",60)),60)),코드표!$F$2:$F$101,0)),"⚠"&amp;TRIM(E45&amp;""))),"⚠"&amp;TRIM(E45&amp;""))</f>
        <v/>
      </c>
      <c r="N45" s="10">
        <f>IFERROR(IF(TRIM(F45&amp;"")="","",IF(AND(ISNUMBER(FIND(" ",TRIM(F45&amp;""))),ISNUMBER(MATCH(LEFT(TRIM(F45&amp;""),FIND(" ",TRIM(F45&amp;""))-1),코드표!$J$2:$J$101,0)),ISNUMBER(MATCH(TRIM(RIGHT(SUBSTITUTE(TRIM(F45&amp;"")," ",REPT(" ",60)),60)),코드표!$F$2:$F$101,0))),INDEX(코드표!$K$2:$K$101,MATCH(LEFT(TRIM(F45&amp;""),FIND(" ",TRIM(F45&amp;""))-1),코드표!$J$2:$J$101,0))&amp;" "&amp;INDEX(코드표!$G$2:$G$101,MATCH(TRIM(RIGHT(SUBSTITUTE(TRIM(F45&amp;"")," ",REPT(" ",60)),60)),코드표!$F$2:$F$101,0)),"⚠"&amp;TRIM(F45&amp;""))),"⚠"&amp;TRIM(F45&amp;""))</f>
        <v/>
      </c>
      <c r="O45" s="10">
        <f>IFERROR(IF(TRIM(G45&amp;"")="","",IF(AND(ISNUMBER(FIND(" ",TRIM(G45&amp;""))),ISNUMBER(MATCH(LEFT(TRIM(G45&amp;""),FIND(" ",TRIM(G45&amp;""))-1),코드표!$J$2:$J$101,0)),ISNUMBER(MATCH(TRIM(RIGHT(SUBSTITUTE(TRIM(G45&amp;"")," ",REPT(" ",60)),60)),코드표!$F$2:$F$101,0))),INDEX(코드표!$K$2:$K$101,MATCH(LEFT(TRIM(G45&amp;""),FIND(" ",TRIM(G45&amp;""))-1),코드표!$J$2:$J$101,0))&amp;" "&amp;INDEX(코드표!$G$2:$G$101,MATCH(TRIM(RIGHT(SUBSTITUTE(TRIM(G45&amp;"")," ",REPT(" ",60)),60)),코드표!$F$2:$F$101,0)),"⚠"&amp;TRIM(G45&amp;""))),"⚠"&amp;TRIM(G45&amp;""))</f>
        <v/>
      </c>
      <c r="P45" s="10">
        <f>IFERROR(IF(TRIM(H45&amp;"")="","",IF(AND(ISNUMBER(FIND(" ",TRIM(H45&amp;""))),ISNUMBER(MATCH(LEFT(TRIM(H45&amp;""),FIND(" ",TRIM(H45&amp;""))-1),코드표!$J$2:$J$101,0)),ISNUMBER(MATCH(TRIM(RIGHT(SUBSTITUTE(TRIM(H45&amp;"")," ",REPT(" ",60)),60)),코드표!$F$2:$F$101,0))),INDEX(코드표!$K$2:$K$101,MATCH(LEFT(TRIM(H45&amp;""),FIND(" ",TRIM(H45&amp;""))-1),코드표!$J$2:$J$101,0))&amp;" "&amp;INDEX(코드표!$G$2:$G$101,MATCH(TRIM(RIGHT(SUBSTITUTE(TRIM(H45&amp;"")," ",REPT(" ",60)),60)),코드표!$F$2:$F$101,0)),"⚠"&amp;TRIM(H45&amp;""))),"⚠"&amp;TRIM(H45&amp;""))</f>
        <v/>
      </c>
      <c r="Q45" s="10">
        <f>IFERROR(IF(TRIM(I45&amp;"")="","",IF(AND(ISNUMBER(FIND(" ",TRIM(I45&amp;""))),ISNUMBER(MATCH(LEFT(TRIM(I45&amp;""),FIND(" ",TRIM(I45&amp;""))-1),코드표!$J$2:$J$101,0)),ISNUMBER(MATCH(TRIM(RIGHT(SUBSTITUTE(TRIM(I45&amp;"")," ",REPT(" ",60)),60)),코드표!$F$2:$F$101,0))),INDEX(코드표!$K$2:$K$101,MATCH(LEFT(TRIM(I45&amp;""),FIND(" ",TRIM(I45&amp;""))-1),코드표!$J$2:$J$101,0))&amp;" "&amp;INDEX(코드표!$G$2:$G$101,MATCH(TRIM(RIGHT(SUBSTITUTE(TRIM(I45&amp;"")," ",REPT(" ",60)),60)),코드표!$F$2:$F$101,0)),"⚠"&amp;TRIM(I45&amp;""))),"⚠"&amp;TRIM(I45&amp;""))</f>
        <v/>
      </c>
      <c r="R45" s="10">
        <f>IFERROR(IF(TRIM(J45&amp;"")="","",IF(AND(ISNUMBER(FIND(" ",TRIM(J45&amp;""))),ISNUMBER(MATCH(LEFT(TRIM(J45&amp;""),FIND(" ",TRIM(J45&amp;""))-1),코드표!$J$2:$J$101,0)),ISNUMBER(MATCH(TRIM(RIGHT(SUBSTITUTE(TRIM(J45&amp;"")," ",REPT(" ",60)),60)),코드표!$F$2:$F$101,0))),INDEX(코드표!$K$2:$K$101,MATCH(LEFT(TRIM(J45&amp;""),FIND(" ",TRIM(J45&amp;""))-1),코드표!$J$2:$J$101,0))&amp;" "&amp;INDEX(코드표!$G$2:$G$101,MATCH(TRIM(RIGHT(SUBSTITUTE(TRIM(J45&amp;"")," ",REPT(" ",60)),60)),코드표!$F$2:$F$101,0)),"⚠"&amp;TRIM(J45&amp;""))),"⚠"&amp;TRIM(J45&amp;""))</f>
        <v/>
      </c>
      <c r="S45" s="11">
        <f>IF(K45="","",IFERROR(IF(AND(ROUND((VALUE(K45&amp;"")-INT(VALUE(K45&amp;"")))*100,0)&gt;=1,ROUND((VALUE(K45&amp;"")-INT(VALUE(K45&amp;"")))*100,0)&lt;=12,INT(VALUE(K45&amp;""))&gt;=1900),DATE(INT(VALUE(K45&amp;"")),ROUND((VALUE(K45&amp;"")-INT(VALUE(K45&amp;"")))*100,0),1),K45&amp;""),K45&amp;""))</f>
        <v/>
      </c>
      <c r="T45" s="10">
        <f>COUNTIF(M45:R45,"⚠*")</f>
        <v/>
      </c>
    </row>
    <row r="46"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M46" s="10">
        <f>IFERROR(IF(TRIM(E46&amp;"")="","",IF(AND(ISNUMBER(FIND(" ",TRIM(E46&amp;""))),ISNUMBER(MATCH(LEFT(TRIM(E46&amp;""),FIND(" ",TRIM(E46&amp;""))-1),코드표!$J$2:$J$101,0)),ISNUMBER(MATCH(TRIM(RIGHT(SUBSTITUTE(TRIM(E46&amp;"")," ",REPT(" ",60)),60)),코드표!$F$2:$F$101,0))),INDEX(코드표!$K$2:$K$101,MATCH(LEFT(TRIM(E46&amp;""),FIND(" ",TRIM(E46&amp;""))-1),코드표!$J$2:$J$101,0))&amp;" "&amp;INDEX(코드표!$G$2:$G$101,MATCH(TRIM(RIGHT(SUBSTITUTE(TRIM(E46&amp;"")," ",REPT(" ",60)),60)),코드표!$F$2:$F$101,0)),"⚠"&amp;TRIM(E46&amp;""))),"⚠"&amp;TRIM(E46&amp;""))</f>
        <v/>
      </c>
      <c r="N46" s="10">
        <f>IFERROR(IF(TRIM(F46&amp;"")="","",IF(AND(ISNUMBER(FIND(" ",TRIM(F46&amp;""))),ISNUMBER(MATCH(LEFT(TRIM(F46&amp;""),FIND(" ",TRIM(F46&amp;""))-1),코드표!$J$2:$J$101,0)),ISNUMBER(MATCH(TRIM(RIGHT(SUBSTITUTE(TRIM(F46&amp;"")," ",REPT(" ",60)),60)),코드표!$F$2:$F$101,0))),INDEX(코드표!$K$2:$K$101,MATCH(LEFT(TRIM(F46&amp;""),FIND(" ",TRIM(F46&amp;""))-1),코드표!$J$2:$J$101,0))&amp;" "&amp;INDEX(코드표!$G$2:$G$101,MATCH(TRIM(RIGHT(SUBSTITUTE(TRIM(F46&amp;"")," ",REPT(" ",60)),60)),코드표!$F$2:$F$101,0)),"⚠"&amp;TRIM(F46&amp;""))),"⚠"&amp;TRIM(F46&amp;""))</f>
        <v/>
      </c>
      <c r="O46" s="10">
        <f>IFERROR(IF(TRIM(G46&amp;"")="","",IF(AND(ISNUMBER(FIND(" ",TRIM(G46&amp;""))),ISNUMBER(MATCH(LEFT(TRIM(G46&amp;""),FIND(" ",TRIM(G46&amp;""))-1),코드표!$J$2:$J$101,0)),ISNUMBER(MATCH(TRIM(RIGHT(SUBSTITUTE(TRIM(G46&amp;"")," ",REPT(" ",60)),60)),코드표!$F$2:$F$101,0))),INDEX(코드표!$K$2:$K$101,MATCH(LEFT(TRIM(G46&amp;""),FIND(" ",TRIM(G46&amp;""))-1),코드표!$J$2:$J$101,0))&amp;" "&amp;INDEX(코드표!$G$2:$G$101,MATCH(TRIM(RIGHT(SUBSTITUTE(TRIM(G46&amp;"")," ",REPT(" ",60)),60)),코드표!$F$2:$F$101,0)),"⚠"&amp;TRIM(G46&amp;""))),"⚠"&amp;TRIM(G46&amp;""))</f>
        <v/>
      </c>
      <c r="P46" s="10">
        <f>IFERROR(IF(TRIM(H46&amp;"")="","",IF(AND(ISNUMBER(FIND(" ",TRIM(H46&amp;""))),ISNUMBER(MATCH(LEFT(TRIM(H46&amp;""),FIND(" ",TRIM(H46&amp;""))-1),코드표!$J$2:$J$101,0)),ISNUMBER(MATCH(TRIM(RIGHT(SUBSTITUTE(TRIM(H46&amp;"")," ",REPT(" ",60)),60)),코드표!$F$2:$F$101,0))),INDEX(코드표!$K$2:$K$101,MATCH(LEFT(TRIM(H46&amp;""),FIND(" ",TRIM(H46&amp;""))-1),코드표!$J$2:$J$101,0))&amp;" "&amp;INDEX(코드표!$G$2:$G$101,MATCH(TRIM(RIGHT(SUBSTITUTE(TRIM(H46&amp;"")," ",REPT(" ",60)),60)),코드표!$F$2:$F$101,0)),"⚠"&amp;TRIM(H46&amp;""))),"⚠"&amp;TRIM(H46&amp;""))</f>
        <v/>
      </c>
      <c r="Q46" s="10">
        <f>IFERROR(IF(TRIM(I46&amp;"")="","",IF(AND(ISNUMBER(FIND(" ",TRIM(I46&amp;""))),ISNUMBER(MATCH(LEFT(TRIM(I46&amp;""),FIND(" ",TRIM(I46&amp;""))-1),코드표!$J$2:$J$101,0)),ISNUMBER(MATCH(TRIM(RIGHT(SUBSTITUTE(TRIM(I46&amp;"")," ",REPT(" ",60)),60)),코드표!$F$2:$F$101,0))),INDEX(코드표!$K$2:$K$101,MATCH(LEFT(TRIM(I46&amp;""),FIND(" ",TRIM(I46&amp;""))-1),코드표!$J$2:$J$101,0))&amp;" "&amp;INDEX(코드표!$G$2:$G$101,MATCH(TRIM(RIGHT(SUBSTITUTE(TRIM(I46&amp;"")," ",REPT(" ",60)),60)),코드표!$F$2:$F$101,0)),"⚠"&amp;TRIM(I46&amp;""))),"⚠"&amp;TRIM(I46&amp;""))</f>
        <v/>
      </c>
      <c r="R46" s="10">
        <f>IFERROR(IF(TRIM(J46&amp;"")="","",IF(AND(ISNUMBER(FIND(" ",TRIM(J46&amp;""))),ISNUMBER(MATCH(LEFT(TRIM(J46&amp;""),FIND(" ",TRIM(J46&amp;""))-1),코드표!$J$2:$J$101,0)),ISNUMBER(MATCH(TRIM(RIGHT(SUBSTITUTE(TRIM(J46&amp;"")," ",REPT(" ",60)),60)),코드표!$F$2:$F$101,0))),INDEX(코드표!$K$2:$K$101,MATCH(LEFT(TRIM(J46&amp;""),FIND(" ",TRIM(J46&amp;""))-1),코드표!$J$2:$J$101,0))&amp;" "&amp;INDEX(코드표!$G$2:$G$101,MATCH(TRIM(RIGHT(SUBSTITUTE(TRIM(J46&amp;"")," ",REPT(" ",60)),60)),코드표!$F$2:$F$101,0)),"⚠"&amp;TRIM(J46&amp;""))),"⚠"&amp;TRIM(J46&amp;""))</f>
        <v/>
      </c>
      <c r="S46" s="11">
        <f>IF(K46="","",IFERROR(IF(AND(ROUND((VALUE(K46&amp;"")-INT(VALUE(K46&amp;"")))*100,0)&gt;=1,ROUND((VALUE(K46&amp;"")-INT(VALUE(K46&amp;"")))*100,0)&lt;=12,INT(VALUE(K46&amp;""))&gt;=1900),DATE(INT(VALUE(K46&amp;"")),ROUND((VALUE(K46&amp;"")-INT(VALUE(K46&amp;"")))*100,0),1),K46&amp;""),K46&amp;""))</f>
        <v/>
      </c>
      <c r="T46" s="10">
        <f>COUNTIF(M46:R46,"⚠*")</f>
        <v/>
      </c>
    </row>
    <row r="47"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M47" s="10">
        <f>IFERROR(IF(TRIM(E47&amp;"")="","",IF(AND(ISNUMBER(FIND(" ",TRIM(E47&amp;""))),ISNUMBER(MATCH(LEFT(TRIM(E47&amp;""),FIND(" ",TRIM(E47&amp;""))-1),코드표!$J$2:$J$101,0)),ISNUMBER(MATCH(TRIM(RIGHT(SUBSTITUTE(TRIM(E47&amp;"")," ",REPT(" ",60)),60)),코드표!$F$2:$F$101,0))),INDEX(코드표!$K$2:$K$101,MATCH(LEFT(TRIM(E47&amp;""),FIND(" ",TRIM(E47&amp;""))-1),코드표!$J$2:$J$101,0))&amp;" "&amp;INDEX(코드표!$G$2:$G$101,MATCH(TRIM(RIGHT(SUBSTITUTE(TRIM(E47&amp;"")," ",REPT(" ",60)),60)),코드표!$F$2:$F$101,0)),"⚠"&amp;TRIM(E47&amp;""))),"⚠"&amp;TRIM(E47&amp;""))</f>
        <v/>
      </c>
      <c r="N47" s="10">
        <f>IFERROR(IF(TRIM(F47&amp;"")="","",IF(AND(ISNUMBER(FIND(" ",TRIM(F47&amp;""))),ISNUMBER(MATCH(LEFT(TRIM(F47&amp;""),FIND(" ",TRIM(F47&amp;""))-1),코드표!$J$2:$J$101,0)),ISNUMBER(MATCH(TRIM(RIGHT(SUBSTITUTE(TRIM(F47&amp;"")," ",REPT(" ",60)),60)),코드표!$F$2:$F$101,0))),INDEX(코드표!$K$2:$K$101,MATCH(LEFT(TRIM(F47&amp;""),FIND(" ",TRIM(F47&amp;""))-1),코드표!$J$2:$J$101,0))&amp;" "&amp;INDEX(코드표!$G$2:$G$101,MATCH(TRIM(RIGHT(SUBSTITUTE(TRIM(F47&amp;"")," ",REPT(" ",60)),60)),코드표!$F$2:$F$101,0)),"⚠"&amp;TRIM(F47&amp;""))),"⚠"&amp;TRIM(F47&amp;""))</f>
        <v/>
      </c>
      <c r="O47" s="10">
        <f>IFERROR(IF(TRIM(G47&amp;"")="","",IF(AND(ISNUMBER(FIND(" ",TRIM(G47&amp;""))),ISNUMBER(MATCH(LEFT(TRIM(G47&amp;""),FIND(" ",TRIM(G47&amp;""))-1),코드표!$J$2:$J$101,0)),ISNUMBER(MATCH(TRIM(RIGHT(SUBSTITUTE(TRIM(G47&amp;"")," ",REPT(" ",60)),60)),코드표!$F$2:$F$101,0))),INDEX(코드표!$K$2:$K$101,MATCH(LEFT(TRIM(G47&amp;""),FIND(" ",TRIM(G47&amp;""))-1),코드표!$J$2:$J$101,0))&amp;" "&amp;INDEX(코드표!$G$2:$G$101,MATCH(TRIM(RIGHT(SUBSTITUTE(TRIM(G47&amp;"")," ",REPT(" ",60)),60)),코드표!$F$2:$F$101,0)),"⚠"&amp;TRIM(G47&amp;""))),"⚠"&amp;TRIM(G47&amp;""))</f>
        <v/>
      </c>
      <c r="P47" s="10">
        <f>IFERROR(IF(TRIM(H47&amp;"")="","",IF(AND(ISNUMBER(FIND(" ",TRIM(H47&amp;""))),ISNUMBER(MATCH(LEFT(TRIM(H47&amp;""),FIND(" ",TRIM(H47&amp;""))-1),코드표!$J$2:$J$101,0)),ISNUMBER(MATCH(TRIM(RIGHT(SUBSTITUTE(TRIM(H47&amp;"")," ",REPT(" ",60)),60)),코드표!$F$2:$F$101,0))),INDEX(코드표!$K$2:$K$101,MATCH(LEFT(TRIM(H47&amp;""),FIND(" ",TRIM(H47&amp;""))-1),코드표!$J$2:$J$101,0))&amp;" "&amp;INDEX(코드표!$G$2:$G$101,MATCH(TRIM(RIGHT(SUBSTITUTE(TRIM(H47&amp;"")," ",REPT(" ",60)),60)),코드표!$F$2:$F$101,0)),"⚠"&amp;TRIM(H47&amp;""))),"⚠"&amp;TRIM(H47&amp;""))</f>
        <v/>
      </c>
      <c r="Q47" s="10">
        <f>IFERROR(IF(TRIM(I47&amp;"")="","",IF(AND(ISNUMBER(FIND(" ",TRIM(I47&amp;""))),ISNUMBER(MATCH(LEFT(TRIM(I47&amp;""),FIND(" ",TRIM(I47&amp;""))-1),코드표!$J$2:$J$101,0)),ISNUMBER(MATCH(TRIM(RIGHT(SUBSTITUTE(TRIM(I47&amp;"")," ",REPT(" ",60)),60)),코드표!$F$2:$F$101,0))),INDEX(코드표!$K$2:$K$101,MATCH(LEFT(TRIM(I47&amp;""),FIND(" ",TRIM(I47&amp;""))-1),코드표!$J$2:$J$101,0))&amp;" "&amp;INDEX(코드표!$G$2:$G$101,MATCH(TRIM(RIGHT(SUBSTITUTE(TRIM(I47&amp;"")," ",REPT(" ",60)),60)),코드표!$F$2:$F$101,0)),"⚠"&amp;TRIM(I47&amp;""))),"⚠"&amp;TRIM(I47&amp;""))</f>
        <v/>
      </c>
      <c r="R47" s="10">
        <f>IFERROR(IF(TRIM(J47&amp;"")="","",IF(AND(ISNUMBER(FIND(" ",TRIM(J47&amp;""))),ISNUMBER(MATCH(LEFT(TRIM(J47&amp;""),FIND(" ",TRIM(J47&amp;""))-1),코드표!$J$2:$J$101,0)),ISNUMBER(MATCH(TRIM(RIGHT(SUBSTITUTE(TRIM(J47&amp;"")," ",REPT(" ",60)),60)),코드표!$F$2:$F$101,0))),INDEX(코드표!$K$2:$K$101,MATCH(LEFT(TRIM(J47&amp;""),FIND(" ",TRIM(J47&amp;""))-1),코드표!$J$2:$J$101,0))&amp;" "&amp;INDEX(코드표!$G$2:$G$101,MATCH(TRIM(RIGHT(SUBSTITUTE(TRIM(J47&amp;"")," ",REPT(" ",60)),60)),코드표!$F$2:$F$101,0)),"⚠"&amp;TRIM(J47&amp;""))),"⚠"&amp;TRIM(J47&amp;""))</f>
        <v/>
      </c>
      <c r="S47" s="11">
        <f>IF(K47="","",IFERROR(IF(AND(ROUND((VALUE(K47&amp;"")-INT(VALUE(K47&amp;"")))*100,0)&gt;=1,ROUND((VALUE(K47&amp;"")-INT(VALUE(K47&amp;"")))*100,0)&lt;=12,INT(VALUE(K47&amp;""))&gt;=1900),DATE(INT(VALUE(K47&amp;"")),ROUND((VALUE(K47&amp;"")-INT(VALUE(K47&amp;"")))*100,0),1),K47&amp;""),K47&amp;""))</f>
        <v/>
      </c>
      <c r="T47" s="10">
        <f>COUNTIF(M47:R47,"⚠*")</f>
        <v/>
      </c>
    </row>
    <row r="48"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M48" s="10">
        <f>IFERROR(IF(TRIM(E48&amp;"")="","",IF(AND(ISNUMBER(FIND(" ",TRIM(E48&amp;""))),ISNUMBER(MATCH(LEFT(TRIM(E48&amp;""),FIND(" ",TRIM(E48&amp;""))-1),코드표!$J$2:$J$101,0)),ISNUMBER(MATCH(TRIM(RIGHT(SUBSTITUTE(TRIM(E48&amp;"")," ",REPT(" ",60)),60)),코드표!$F$2:$F$101,0))),INDEX(코드표!$K$2:$K$101,MATCH(LEFT(TRIM(E48&amp;""),FIND(" ",TRIM(E48&amp;""))-1),코드표!$J$2:$J$101,0))&amp;" "&amp;INDEX(코드표!$G$2:$G$101,MATCH(TRIM(RIGHT(SUBSTITUTE(TRIM(E48&amp;"")," ",REPT(" ",60)),60)),코드표!$F$2:$F$101,0)),"⚠"&amp;TRIM(E48&amp;""))),"⚠"&amp;TRIM(E48&amp;""))</f>
        <v/>
      </c>
      <c r="N48" s="10">
        <f>IFERROR(IF(TRIM(F48&amp;"")="","",IF(AND(ISNUMBER(FIND(" ",TRIM(F48&amp;""))),ISNUMBER(MATCH(LEFT(TRIM(F48&amp;""),FIND(" ",TRIM(F48&amp;""))-1),코드표!$J$2:$J$101,0)),ISNUMBER(MATCH(TRIM(RIGHT(SUBSTITUTE(TRIM(F48&amp;"")," ",REPT(" ",60)),60)),코드표!$F$2:$F$101,0))),INDEX(코드표!$K$2:$K$101,MATCH(LEFT(TRIM(F48&amp;""),FIND(" ",TRIM(F48&amp;""))-1),코드표!$J$2:$J$101,0))&amp;" "&amp;INDEX(코드표!$G$2:$G$101,MATCH(TRIM(RIGHT(SUBSTITUTE(TRIM(F48&amp;"")," ",REPT(" ",60)),60)),코드표!$F$2:$F$101,0)),"⚠"&amp;TRIM(F48&amp;""))),"⚠"&amp;TRIM(F48&amp;""))</f>
        <v/>
      </c>
      <c r="O48" s="10">
        <f>IFERROR(IF(TRIM(G48&amp;"")="","",IF(AND(ISNUMBER(FIND(" ",TRIM(G48&amp;""))),ISNUMBER(MATCH(LEFT(TRIM(G48&amp;""),FIND(" ",TRIM(G48&amp;""))-1),코드표!$J$2:$J$101,0)),ISNUMBER(MATCH(TRIM(RIGHT(SUBSTITUTE(TRIM(G48&amp;"")," ",REPT(" ",60)),60)),코드표!$F$2:$F$101,0))),INDEX(코드표!$K$2:$K$101,MATCH(LEFT(TRIM(G48&amp;""),FIND(" ",TRIM(G48&amp;""))-1),코드표!$J$2:$J$101,0))&amp;" "&amp;INDEX(코드표!$G$2:$G$101,MATCH(TRIM(RIGHT(SUBSTITUTE(TRIM(G48&amp;"")," ",REPT(" ",60)),60)),코드표!$F$2:$F$101,0)),"⚠"&amp;TRIM(G48&amp;""))),"⚠"&amp;TRIM(G48&amp;""))</f>
        <v/>
      </c>
      <c r="P48" s="10">
        <f>IFERROR(IF(TRIM(H48&amp;"")="","",IF(AND(ISNUMBER(FIND(" ",TRIM(H48&amp;""))),ISNUMBER(MATCH(LEFT(TRIM(H48&amp;""),FIND(" ",TRIM(H48&amp;""))-1),코드표!$J$2:$J$101,0)),ISNUMBER(MATCH(TRIM(RIGHT(SUBSTITUTE(TRIM(H48&amp;"")," ",REPT(" ",60)),60)),코드표!$F$2:$F$101,0))),INDEX(코드표!$K$2:$K$101,MATCH(LEFT(TRIM(H48&amp;""),FIND(" ",TRIM(H48&amp;""))-1),코드표!$J$2:$J$101,0))&amp;" "&amp;INDEX(코드표!$G$2:$G$101,MATCH(TRIM(RIGHT(SUBSTITUTE(TRIM(H48&amp;"")," ",REPT(" ",60)),60)),코드표!$F$2:$F$101,0)),"⚠"&amp;TRIM(H48&amp;""))),"⚠"&amp;TRIM(H48&amp;""))</f>
        <v/>
      </c>
      <c r="Q48" s="10">
        <f>IFERROR(IF(TRIM(I48&amp;"")="","",IF(AND(ISNUMBER(FIND(" ",TRIM(I48&amp;""))),ISNUMBER(MATCH(LEFT(TRIM(I48&amp;""),FIND(" ",TRIM(I48&amp;""))-1),코드표!$J$2:$J$101,0)),ISNUMBER(MATCH(TRIM(RIGHT(SUBSTITUTE(TRIM(I48&amp;"")," ",REPT(" ",60)),60)),코드표!$F$2:$F$101,0))),INDEX(코드표!$K$2:$K$101,MATCH(LEFT(TRIM(I48&amp;""),FIND(" ",TRIM(I48&amp;""))-1),코드표!$J$2:$J$101,0))&amp;" "&amp;INDEX(코드표!$G$2:$G$101,MATCH(TRIM(RIGHT(SUBSTITUTE(TRIM(I48&amp;"")," ",REPT(" ",60)),60)),코드표!$F$2:$F$101,0)),"⚠"&amp;TRIM(I48&amp;""))),"⚠"&amp;TRIM(I48&amp;""))</f>
        <v/>
      </c>
      <c r="R48" s="10">
        <f>IFERROR(IF(TRIM(J48&amp;"")="","",IF(AND(ISNUMBER(FIND(" ",TRIM(J48&amp;""))),ISNUMBER(MATCH(LEFT(TRIM(J48&amp;""),FIND(" ",TRIM(J48&amp;""))-1),코드표!$J$2:$J$101,0)),ISNUMBER(MATCH(TRIM(RIGHT(SUBSTITUTE(TRIM(J48&amp;"")," ",REPT(" ",60)),60)),코드표!$F$2:$F$101,0))),INDEX(코드표!$K$2:$K$101,MATCH(LEFT(TRIM(J48&amp;""),FIND(" ",TRIM(J48&amp;""))-1),코드표!$J$2:$J$101,0))&amp;" "&amp;INDEX(코드표!$G$2:$G$101,MATCH(TRIM(RIGHT(SUBSTITUTE(TRIM(J48&amp;"")," ",REPT(" ",60)),60)),코드표!$F$2:$F$101,0)),"⚠"&amp;TRIM(J48&amp;""))),"⚠"&amp;TRIM(J48&amp;""))</f>
        <v/>
      </c>
      <c r="S48" s="11">
        <f>IF(K48="","",IFERROR(IF(AND(ROUND((VALUE(K48&amp;"")-INT(VALUE(K48&amp;"")))*100,0)&gt;=1,ROUND((VALUE(K48&amp;"")-INT(VALUE(K48&amp;"")))*100,0)&lt;=12,INT(VALUE(K48&amp;""))&gt;=1900),DATE(INT(VALUE(K48&amp;"")),ROUND((VALUE(K48&amp;"")-INT(VALUE(K48&amp;"")))*100,0),1),K48&amp;""),K48&amp;""))</f>
        <v/>
      </c>
      <c r="T48" s="10">
        <f>COUNTIF(M48:R48,"⚠*")</f>
        <v/>
      </c>
    </row>
    <row r="49"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M49" s="10">
        <f>IFERROR(IF(TRIM(E49&amp;"")="","",IF(AND(ISNUMBER(FIND(" ",TRIM(E49&amp;""))),ISNUMBER(MATCH(LEFT(TRIM(E49&amp;""),FIND(" ",TRIM(E49&amp;""))-1),코드표!$J$2:$J$101,0)),ISNUMBER(MATCH(TRIM(RIGHT(SUBSTITUTE(TRIM(E49&amp;"")," ",REPT(" ",60)),60)),코드표!$F$2:$F$101,0))),INDEX(코드표!$K$2:$K$101,MATCH(LEFT(TRIM(E49&amp;""),FIND(" ",TRIM(E49&amp;""))-1),코드표!$J$2:$J$101,0))&amp;" "&amp;INDEX(코드표!$G$2:$G$101,MATCH(TRIM(RIGHT(SUBSTITUTE(TRIM(E49&amp;"")," ",REPT(" ",60)),60)),코드표!$F$2:$F$101,0)),"⚠"&amp;TRIM(E49&amp;""))),"⚠"&amp;TRIM(E49&amp;""))</f>
        <v/>
      </c>
      <c r="N49" s="10">
        <f>IFERROR(IF(TRIM(F49&amp;"")="","",IF(AND(ISNUMBER(FIND(" ",TRIM(F49&amp;""))),ISNUMBER(MATCH(LEFT(TRIM(F49&amp;""),FIND(" ",TRIM(F49&amp;""))-1),코드표!$J$2:$J$101,0)),ISNUMBER(MATCH(TRIM(RIGHT(SUBSTITUTE(TRIM(F49&amp;"")," ",REPT(" ",60)),60)),코드표!$F$2:$F$101,0))),INDEX(코드표!$K$2:$K$101,MATCH(LEFT(TRIM(F49&amp;""),FIND(" ",TRIM(F49&amp;""))-1),코드표!$J$2:$J$101,0))&amp;" "&amp;INDEX(코드표!$G$2:$G$101,MATCH(TRIM(RIGHT(SUBSTITUTE(TRIM(F49&amp;"")," ",REPT(" ",60)),60)),코드표!$F$2:$F$101,0)),"⚠"&amp;TRIM(F49&amp;""))),"⚠"&amp;TRIM(F49&amp;""))</f>
        <v/>
      </c>
      <c r="O49" s="10">
        <f>IFERROR(IF(TRIM(G49&amp;"")="","",IF(AND(ISNUMBER(FIND(" ",TRIM(G49&amp;""))),ISNUMBER(MATCH(LEFT(TRIM(G49&amp;""),FIND(" ",TRIM(G49&amp;""))-1),코드표!$J$2:$J$101,0)),ISNUMBER(MATCH(TRIM(RIGHT(SUBSTITUTE(TRIM(G49&amp;"")," ",REPT(" ",60)),60)),코드표!$F$2:$F$101,0))),INDEX(코드표!$K$2:$K$101,MATCH(LEFT(TRIM(G49&amp;""),FIND(" ",TRIM(G49&amp;""))-1),코드표!$J$2:$J$101,0))&amp;" "&amp;INDEX(코드표!$G$2:$G$101,MATCH(TRIM(RIGHT(SUBSTITUTE(TRIM(G49&amp;"")," ",REPT(" ",60)),60)),코드표!$F$2:$F$101,0)),"⚠"&amp;TRIM(G49&amp;""))),"⚠"&amp;TRIM(G49&amp;""))</f>
        <v/>
      </c>
      <c r="P49" s="10">
        <f>IFERROR(IF(TRIM(H49&amp;"")="","",IF(AND(ISNUMBER(FIND(" ",TRIM(H49&amp;""))),ISNUMBER(MATCH(LEFT(TRIM(H49&amp;""),FIND(" ",TRIM(H49&amp;""))-1),코드표!$J$2:$J$101,0)),ISNUMBER(MATCH(TRIM(RIGHT(SUBSTITUTE(TRIM(H49&amp;"")," ",REPT(" ",60)),60)),코드표!$F$2:$F$101,0))),INDEX(코드표!$K$2:$K$101,MATCH(LEFT(TRIM(H49&amp;""),FIND(" ",TRIM(H49&amp;""))-1),코드표!$J$2:$J$101,0))&amp;" "&amp;INDEX(코드표!$G$2:$G$101,MATCH(TRIM(RIGHT(SUBSTITUTE(TRIM(H49&amp;"")," ",REPT(" ",60)),60)),코드표!$F$2:$F$101,0)),"⚠"&amp;TRIM(H49&amp;""))),"⚠"&amp;TRIM(H49&amp;""))</f>
        <v/>
      </c>
      <c r="Q49" s="10">
        <f>IFERROR(IF(TRIM(I49&amp;"")="","",IF(AND(ISNUMBER(FIND(" ",TRIM(I49&amp;""))),ISNUMBER(MATCH(LEFT(TRIM(I49&amp;""),FIND(" ",TRIM(I49&amp;""))-1),코드표!$J$2:$J$101,0)),ISNUMBER(MATCH(TRIM(RIGHT(SUBSTITUTE(TRIM(I49&amp;"")," ",REPT(" ",60)),60)),코드표!$F$2:$F$101,0))),INDEX(코드표!$K$2:$K$101,MATCH(LEFT(TRIM(I49&amp;""),FIND(" ",TRIM(I49&amp;""))-1),코드표!$J$2:$J$101,0))&amp;" "&amp;INDEX(코드표!$G$2:$G$101,MATCH(TRIM(RIGHT(SUBSTITUTE(TRIM(I49&amp;"")," ",REPT(" ",60)),60)),코드표!$F$2:$F$101,0)),"⚠"&amp;TRIM(I49&amp;""))),"⚠"&amp;TRIM(I49&amp;""))</f>
        <v/>
      </c>
      <c r="R49" s="10">
        <f>IFERROR(IF(TRIM(J49&amp;"")="","",IF(AND(ISNUMBER(FIND(" ",TRIM(J49&amp;""))),ISNUMBER(MATCH(LEFT(TRIM(J49&amp;""),FIND(" ",TRIM(J49&amp;""))-1),코드표!$J$2:$J$101,0)),ISNUMBER(MATCH(TRIM(RIGHT(SUBSTITUTE(TRIM(J49&amp;"")," ",REPT(" ",60)),60)),코드표!$F$2:$F$101,0))),INDEX(코드표!$K$2:$K$101,MATCH(LEFT(TRIM(J49&amp;""),FIND(" ",TRIM(J49&amp;""))-1),코드표!$J$2:$J$101,0))&amp;" "&amp;INDEX(코드표!$G$2:$G$101,MATCH(TRIM(RIGHT(SUBSTITUTE(TRIM(J49&amp;"")," ",REPT(" ",60)),60)),코드표!$F$2:$F$101,0)),"⚠"&amp;TRIM(J49&amp;""))),"⚠"&amp;TRIM(J49&amp;""))</f>
        <v/>
      </c>
      <c r="S49" s="11">
        <f>IF(K49="","",IFERROR(IF(AND(ROUND((VALUE(K49&amp;"")-INT(VALUE(K49&amp;"")))*100,0)&gt;=1,ROUND((VALUE(K49&amp;"")-INT(VALUE(K49&amp;"")))*100,0)&lt;=12,INT(VALUE(K49&amp;""))&gt;=1900),DATE(INT(VALUE(K49&amp;"")),ROUND((VALUE(K49&amp;"")-INT(VALUE(K49&amp;"")))*100,0),1),K49&amp;""),K49&amp;""))</f>
        <v/>
      </c>
      <c r="T49" s="10">
        <f>COUNTIF(M49:R49,"⚠*")</f>
        <v/>
      </c>
    </row>
    <row r="50"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M50" s="10">
        <f>IFERROR(IF(TRIM(E50&amp;"")="","",IF(AND(ISNUMBER(FIND(" ",TRIM(E50&amp;""))),ISNUMBER(MATCH(LEFT(TRIM(E50&amp;""),FIND(" ",TRIM(E50&amp;""))-1),코드표!$J$2:$J$101,0)),ISNUMBER(MATCH(TRIM(RIGHT(SUBSTITUTE(TRIM(E50&amp;"")," ",REPT(" ",60)),60)),코드표!$F$2:$F$101,0))),INDEX(코드표!$K$2:$K$101,MATCH(LEFT(TRIM(E50&amp;""),FIND(" ",TRIM(E50&amp;""))-1),코드표!$J$2:$J$101,0))&amp;" "&amp;INDEX(코드표!$G$2:$G$101,MATCH(TRIM(RIGHT(SUBSTITUTE(TRIM(E50&amp;"")," ",REPT(" ",60)),60)),코드표!$F$2:$F$101,0)),"⚠"&amp;TRIM(E50&amp;""))),"⚠"&amp;TRIM(E50&amp;""))</f>
        <v/>
      </c>
      <c r="N50" s="10">
        <f>IFERROR(IF(TRIM(F50&amp;"")="","",IF(AND(ISNUMBER(FIND(" ",TRIM(F50&amp;""))),ISNUMBER(MATCH(LEFT(TRIM(F50&amp;""),FIND(" ",TRIM(F50&amp;""))-1),코드표!$J$2:$J$101,0)),ISNUMBER(MATCH(TRIM(RIGHT(SUBSTITUTE(TRIM(F50&amp;"")," ",REPT(" ",60)),60)),코드표!$F$2:$F$101,0))),INDEX(코드표!$K$2:$K$101,MATCH(LEFT(TRIM(F50&amp;""),FIND(" ",TRIM(F50&amp;""))-1),코드표!$J$2:$J$101,0))&amp;" "&amp;INDEX(코드표!$G$2:$G$101,MATCH(TRIM(RIGHT(SUBSTITUTE(TRIM(F50&amp;"")," ",REPT(" ",60)),60)),코드표!$F$2:$F$101,0)),"⚠"&amp;TRIM(F50&amp;""))),"⚠"&amp;TRIM(F50&amp;""))</f>
        <v/>
      </c>
      <c r="O50" s="10">
        <f>IFERROR(IF(TRIM(G50&amp;"")="","",IF(AND(ISNUMBER(FIND(" ",TRIM(G50&amp;""))),ISNUMBER(MATCH(LEFT(TRIM(G50&amp;""),FIND(" ",TRIM(G50&amp;""))-1),코드표!$J$2:$J$101,0)),ISNUMBER(MATCH(TRIM(RIGHT(SUBSTITUTE(TRIM(G50&amp;"")," ",REPT(" ",60)),60)),코드표!$F$2:$F$101,0))),INDEX(코드표!$K$2:$K$101,MATCH(LEFT(TRIM(G50&amp;""),FIND(" ",TRIM(G50&amp;""))-1),코드표!$J$2:$J$101,0))&amp;" "&amp;INDEX(코드표!$G$2:$G$101,MATCH(TRIM(RIGHT(SUBSTITUTE(TRIM(G50&amp;"")," ",REPT(" ",60)),60)),코드표!$F$2:$F$101,0)),"⚠"&amp;TRIM(G50&amp;""))),"⚠"&amp;TRIM(G50&amp;""))</f>
        <v/>
      </c>
      <c r="P50" s="10">
        <f>IFERROR(IF(TRIM(H50&amp;"")="","",IF(AND(ISNUMBER(FIND(" ",TRIM(H50&amp;""))),ISNUMBER(MATCH(LEFT(TRIM(H50&amp;""),FIND(" ",TRIM(H50&amp;""))-1),코드표!$J$2:$J$101,0)),ISNUMBER(MATCH(TRIM(RIGHT(SUBSTITUTE(TRIM(H50&amp;"")," ",REPT(" ",60)),60)),코드표!$F$2:$F$101,0))),INDEX(코드표!$K$2:$K$101,MATCH(LEFT(TRIM(H50&amp;""),FIND(" ",TRIM(H50&amp;""))-1),코드표!$J$2:$J$101,0))&amp;" "&amp;INDEX(코드표!$G$2:$G$101,MATCH(TRIM(RIGHT(SUBSTITUTE(TRIM(H50&amp;"")," ",REPT(" ",60)),60)),코드표!$F$2:$F$101,0)),"⚠"&amp;TRIM(H50&amp;""))),"⚠"&amp;TRIM(H50&amp;""))</f>
        <v/>
      </c>
      <c r="Q50" s="10">
        <f>IFERROR(IF(TRIM(I50&amp;"")="","",IF(AND(ISNUMBER(FIND(" ",TRIM(I50&amp;""))),ISNUMBER(MATCH(LEFT(TRIM(I50&amp;""),FIND(" ",TRIM(I50&amp;""))-1),코드표!$J$2:$J$101,0)),ISNUMBER(MATCH(TRIM(RIGHT(SUBSTITUTE(TRIM(I50&amp;"")," ",REPT(" ",60)),60)),코드표!$F$2:$F$101,0))),INDEX(코드표!$K$2:$K$101,MATCH(LEFT(TRIM(I50&amp;""),FIND(" ",TRIM(I50&amp;""))-1),코드표!$J$2:$J$101,0))&amp;" "&amp;INDEX(코드표!$G$2:$G$101,MATCH(TRIM(RIGHT(SUBSTITUTE(TRIM(I50&amp;"")," ",REPT(" ",60)),60)),코드표!$F$2:$F$101,0)),"⚠"&amp;TRIM(I50&amp;""))),"⚠"&amp;TRIM(I50&amp;""))</f>
        <v/>
      </c>
      <c r="R50" s="10">
        <f>IFERROR(IF(TRIM(J50&amp;"")="","",IF(AND(ISNUMBER(FIND(" ",TRIM(J50&amp;""))),ISNUMBER(MATCH(LEFT(TRIM(J50&amp;""),FIND(" ",TRIM(J50&amp;""))-1),코드표!$J$2:$J$101,0)),ISNUMBER(MATCH(TRIM(RIGHT(SUBSTITUTE(TRIM(J50&amp;"")," ",REPT(" ",60)),60)),코드표!$F$2:$F$101,0))),INDEX(코드표!$K$2:$K$101,MATCH(LEFT(TRIM(J50&amp;""),FIND(" ",TRIM(J50&amp;""))-1),코드표!$J$2:$J$101,0))&amp;" "&amp;INDEX(코드표!$G$2:$G$101,MATCH(TRIM(RIGHT(SUBSTITUTE(TRIM(J50&amp;"")," ",REPT(" ",60)),60)),코드표!$F$2:$F$101,0)),"⚠"&amp;TRIM(J50&amp;""))),"⚠"&amp;TRIM(J50&amp;""))</f>
        <v/>
      </c>
      <c r="S50" s="11">
        <f>IF(K50="","",IFERROR(IF(AND(ROUND((VALUE(K50&amp;"")-INT(VALUE(K50&amp;"")))*100,0)&gt;=1,ROUND((VALUE(K50&amp;"")-INT(VALUE(K50&amp;"")))*100,0)&lt;=12,INT(VALUE(K50&amp;""))&gt;=1900),DATE(INT(VALUE(K50&amp;"")),ROUND((VALUE(K50&amp;"")-INT(VALUE(K50&amp;"")))*100,0),1),K50&amp;""),K50&amp;""))</f>
        <v/>
      </c>
      <c r="T50" s="10">
        <f>COUNTIF(M50:R50,"⚠*")</f>
        <v/>
      </c>
    </row>
    <row r="51"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M51" s="10">
        <f>IFERROR(IF(TRIM(E51&amp;"")="","",IF(AND(ISNUMBER(FIND(" ",TRIM(E51&amp;""))),ISNUMBER(MATCH(LEFT(TRIM(E51&amp;""),FIND(" ",TRIM(E51&amp;""))-1),코드표!$J$2:$J$101,0)),ISNUMBER(MATCH(TRIM(RIGHT(SUBSTITUTE(TRIM(E51&amp;"")," ",REPT(" ",60)),60)),코드표!$F$2:$F$101,0))),INDEX(코드표!$K$2:$K$101,MATCH(LEFT(TRIM(E51&amp;""),FIND(" ",TRIM(E51&amp;""))-1),코드표!$J$2:$J$101,0))&amp;" "&amp;INDEX(코드표!$G$2:$G$101,MATCH(TRIM(RIGHT(SUBSTITUTE(TRIM(E51&amp;"")," ",REPT(" ",60)),60)),코드표!$F$2:$F$101,0)),"⚠"&amp;TRIM(E51&amp;""))),"⚠"&amp;TRIM(E51&amp;""))</f>
        <v/>
      </c>
      <c r="N51" s="10">
        <f>IFERROR(IF(TRIM(F51&amp;"")="","",IF(AND(ISNUMBER(FIND(" ",TRIM(F51&amp;""))),ISNUMBER(MATCH(LEFT(TRIM(F51&amp;""),FIND(" ",TRIM(F51&amp;""))-1),코드표!$J$2:$J$101,0)),ISNUMBER(MATCH(TRIM(RIGHT(SUBSTITUTE(TRIM(F51&amp;"")," ",REPT(" ",60)),60)),코드표!$F$2:$F$101,0))),INDEX(코드표!$K$2:$K$101,MATCH(LEFT(TRIM(F51&amp;""),FIND(" ",TRIM(F51&amp;""))-1),코드표!$J$2:$J$101,0))&amp;" "&amp;INDEX(코드표!$G$2:$G$101,MATCH(TRIM(RIGHT(SUBSTITUTE(TRIM(F51&amp;"")," ",REPT(" ",60)),60)),코드표!$F$2:$F$101,0)),"⚠"&amp;TRIM(F51&amp;""))),"⚠"&amp;TRIM(F51&amp;""))</f>
        <v/>
      </c>
      <c r="O51" s="10">
        <f>IFERROR(IF(TRIM(G51&amp;"")="","",IF(AND(ISNUMBER(FIND(" ",TRIM(G51&amp;""))),ISNUMBER(MATCH(LEFT(TRIM(G51&amp;""),FIND(" ",TRIM(G51&amp;""))-1),코드표!$J$2:$J$101,0)),ISNUMBER(MATCH(TRIM(RIGHT(SUBSTITUTE(TRIM(G51&amp;"")," ",REPT(" ",60)),60)),코드표!$F$2:$F$101,0))),INDEX(코드표!$K$2:$K$101,MATCH(LEFT(TRIM(G51&amp;""),FIND(" ",TRIM(G51&amp;""))-1),코드표!$J$2:$J$101,0))&amp;" "&amp;INDEX(코드표!$G$2:$G$101,MATCH(TRIM(RIGHT(SUBSTITUTE(TRIM(G51&amp;"")," ",REPT(" ",60)),60)),코드표!$F$2:$F$101,0)),"⚠"&amp;TRIM(G51&amp;""))),"⚠"&amp;TRIM(G51&amp;""))</f>
        <v/>
      </c>
      <c r="P51" s="10">
        <f>IFERROR(IF(TRIM(H51&amp;"")="","",IF(AND(ISNUMBER(FIND(" ",TRIM(H51&amp;""))),ISNUMBER(MATCH(LEFT(TRIM(H51&amp;""),FIND(" ",TRIM(H51&amp;""))-1),코드표!$J$2:$J$101,0)),ISNUMBER(MATCH(TRIM(RIGHT(SUBSTITUTE(TRIM(H51&amp;"")," ",REPT(" ",60)),60)),코드표!$F$2:$F$101,0))),INDEX(코드표!$K$2:$K$101,MATCH(LEFT(TRIM(H51&amp;""),FIND(" ",TRIM(H51&amp;""))-1),코드표!$J$2:$J$101,0))&amp;" "&amp;INDEX(코드표!$G$2:$G$101,MATCH(TRIM(RIGHT(SUBSTITUTE(TRIM(H51&amp;"")," ",REPT(" ",60)),60)),코드표!$F$2:$F$101,0)),"⚠"&amp;TRIM(H51&amp;""))),"⚠"&amp;TRIM(H51&amp;""))</f>
        <v/>
      </c>
      <c r="Q51" s="10">
        <f>IFERROR(IF(TRIM(I51&amp;"")="","",IF(AND(ISNUMBER(FIND(" ",TRIM(I51&amp;""))),ISNUMBER(MATCH(LEFT(TRIM(I51&amp;""),FIND(" ",TRIM(I51&amp;""))-1),코드표!$J$2:$J$101,0)),ISNUMBER(MATCH(TRIM(RIGHT(SUBSTITUTE(TRIM(I51&amp;"")," ",REPT(" ",60)),60)),코드표!$F$2:$F$101,0))),INDEX(코드표!$K$2:$K$101,MATCH(LEFT(TRIM(I51&amp;""),FIND(" ",TRIM(I51&amp;""))-1),코드표!$J$2:$J$101,0))&amp;" "&amp;INDEX(코드표!$G$2:$G$101,MATCH(TRIM(RIGHT(SUBSTITUTE(TRIM(I51&amp;"")," ",REPT(" ",60)),60)),코드표!$F$2:$F$101,0)),"⚠"&amp;TRIM(I51&amp;""))),"⚠"&amp;TRIM(I51&amp;""))</f>
        <v/>
      </c>
      <c r="R51" s="10">
        <f>IFERROR(IF(TRIM(J51&amp;"")="","",IF(AND(ISNUMBER(FIND(" ",TRIM(J51&amp;""))),ISNUMBER(MATCH(LEFT(TRIM(J51&amp;""),FIND(" ",TRIM(J51&amp;""))-1),코드표!$J$2:$J$101,0)),ISNUMBER(MATCH(TRIM(RIGHT(SUBSTITUTE(TRIM(J51&amp;"")," ",REPT(" ",60)),60)),코드표!$F$2:$F$101,0))),INDEX(코드표!$K$2:$K$101,MATCH(LEFT(TRIM(J51&amp;""),FIND(" ",TRIM(J51&amp;""))-1),코드표!$J$2:$J$101,0))&amp;" "&amp;INDEX(코드표!$G$2:$G$101,MATCH(TRIM(RIGHT(SUBSTITUTE(TRIM(J51&amp;"")," ",REPT(" ",60)),60)),코드표!$F$2:$F$101,0)),"⚠"&amp;TRIM(J51&amp;""))),"⚠"&amp;TRIM(J51&amp;""))</f>
        <v/>
      </c>
      <c r="S51" s="11">
        <f>IF(K51="","",IFERROR(IF(AND(ROUND((VALUE(K51&amp;"")-INT(VALUE(K51&amp;"")))*100,0)&gt;=1,ROUND((VALUE(K51&amp;"")-INT(VALUE(K51&amp;"")))*100,0)&lt;=12,INT(VALUE(K51&amp;""))&gt;=1900),DATE(INT(VALUE(K51&amp;"")),ROUND((VALUE(K51&amp;"")-INT(VALUE(K51&amp;"")))*100,0),1),K51&amp;""),K51&amp;""))</f>
        <v/>
      </c>
      <c r="T51" s="10">
        <f>COUNTIF(M51:R51,"⚠*")</f>
        <v/>
      </c>
    </row>
    <row r="52"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M52" s="10">
        <f>IFERROR(IF(TRIM(E52&amp;"")="","",IF(AND(ISNUMBER(FIND(" ",TRIM(E52&amp;""))),ISNUMBER(MATCH(LEFT(TRIM(E52&amp;""),FIND(" ",TRIM(E52&amp;""))-1),코드표!$J$2:$J$101,0)),ISNUMBER(MATCH(TRIM(RIGHT(SUBSTITUTE(TRIM(E52&amp;"")," ",REPT(" ",60)),60)),코드표!$F$2:$F$101,0))),INDEX(코드표!$K$2:$K$101,MATCH(LEFT(TRIM(E52&amp;""),FIND(" ",TRIM(E52&amp;""))-1),코드표!$J$2:$J$101,0))&amp;" "&amp;INDEX(코드표!$G$2:$G$101,MATCH(TRIM(RIGHT(SUBSTITUTE(TRIM(E52&amp;"")," ",REPT(" ",60)),60)),코드표!$F$2:$F$101,0)),"⚠"&amp;TRIM(E52&amp;""))),"⚠"&amp;TRIM(E52&amp;""))</f>
        <v/>
      </c>
      <c r="N52" s="10">
        <f>IFERROR(IF(TRIM(F52&amp;"")="","",IF(AND(ISNUMBER(FIND(" ",TRIM(F52&amp;""))),ISNUMBER(MATCH(LEFT(TRIM(F52&amp;""),FIND(" ",TRIM(F52&amp;""))-1),코드표!$J$2:$J$101,0)),ISNUMBER(MATCH(TRIM(RIGHT(SUBSTITUTE(TRIM(F52&amp;"")," ",REPT(" ",60)),60)),코드표!$F$2:$F$101,0))),INDEX(코드표!$K$2:$K$101,MATCH(LEFT(TRIM(F52&amp;""),FIND(" ",TRIM(F52&amp;""))-1),코드표!$J$2:$J$101,0))&amp;" "&amp;INDEX(코드표!$G$2:$G$101,MATCH(TRIM(RIGHT(SUBSTITUTE(TRIM(F52&amp;"")," ",REPT(" ",60)),60)),코드표!$F$2:$F$101,0)),"⚠"&amp;TRIM(F52&amp;""))),"⚠"&amp;TRIM(F52&amp;""))</f>
        <v/>
      </c>
      <c r="O52" s="10">
        <f>IFERROR(IF(TRIM(G52&amp;"")="","",IF(AND(ISNUMBER(FIND(" ",TRIM(G52&amp;""))),ISNUMBER(MATCH(LEFT(TRIM(G52&amp;""),FIND(" ",TRIM(G52&amp;""))-1),코드표!$J$2:$J$101,0)),ISNUMBER(MATCH(TRIM(RIGHT(SUBSTITUTE(TRIM(G52&amp;"")," ",REPT(" ",60)),60)),코드표!$F$2:$F$101,0))),INDEX(코드표!$K$2:$K$101,MATCH(LEFT(TRIM(G52&amp;""),FIND(" ",TRIM(G52&amp;""))-1),코드표!$J$2:$J$101,0))&amp;" "&amp;INDEX(코드표!$G$2:$G$101,MATCH(TRIM(RIGHT(SUBSTITUTE(TRIM(G52&amp;"")," ",REPT(" ",60)),60)),코드표!$F$2:$F$101,0)),"⚠"&amp;TRIM(G52&amp;""))),"⚠"&amp;TRIM(G52&amp;""))</f>
        <v/>
      </c>
      <c r="P52" s="10">
        <f>IFERROR(IF(TRIM(H52&amp;"")="","",IF(AND(ISNUMBER(FIND(" ",TRIM(H52&amp;""))),ISNUMBER(MATCH(LEFT(TRIM(H52&amp;""),FIND(" ",TRIM(H52&amp;""))-1),코드표!$J$2:$J$101,0)),ISNUMBER(MATCH(TRIM(RIGHT(SUBSTITUTE(TRIM(H52&amp;"")," ",REPT(" ",60)),60)),코드표!$F$2:$F$101,0))),INDEX(코드표!$K$2:$K$101,MATCH(LEFT(TRIM(H52&amp;""),FIND(" ",TRIM(H52&amp;""))-1),코드표!$J$2:$J$101,0))&amp;" "&amp;INDEX(코드표!$G$2:$G$101,MATCH(TRIM(RIGHT(SUBSTITUTE(TRIM(H52&amp;"")," ",REPT(" ",60)),60)),코드표!$F$2:$F$101,0)),"⚠"&amp;TRIM(H52&amp;""))),"⚠"&amp;TRIM(H52&amp;""))</f>
        <v/>
      </c>
      <c r="Q52" s="10">
        <f>IFERROR(IF(TRIM(I52&amp;"")="","",IF(AND(ISNUMBER(FIND(" ",TRIM(I52&amp;""))),ISNUMBER(MATCH(LEFT(TRIM(I52&amp;""),FIND(" ",TRIM(I52&amp;""))-1),코드표!$J$2:$J$101,0)),ISNUMBER(MATCH(TRIM(RIGHT(SUBSTITUTE(TRIM(I52&amp;"")," ",REPT(" ",60)),60)),코드표!$F$2:$F$101,0))),INDEX(코드표!$K$2:$K$101,MATCH(LEFT(TRIM(I52&amp;""),FIND(" ",TRIM(I52&amp;""))-1),코드표!$J$2:$J$101,0))&amp;" "&amp;INDEX(코드표!$G$2:$G$101,MATCH(TRIM(RIGHT(SUBSTITUTE(TRIM(I52&amp;"")," ",REPT(" ",60)),60)),코드표!$F$2:$F$101,0)),"⚠"&amp;TRIM(I52&amp;""))),"⚠"&amp;TRIM(I52&amp;""))</f>
        <v/>
      </c>
      <c r="R52" s="10">
        <f>IFERROR(IF(TRIM(J52&amp;"")="","",IF(AND(ISNUMBER(FIND(" ",TRIM(J52&amp;""))),ISNUMBER(MATCH(LEFT(TRIM(J52&amp;""),FIND(" ",TRIM(J52&amp;""))-1),코드표!$J$2:$J$101,0)),ISNUMBER(MATCH(TRIM(RIGHT(SUBSTITUTE(TRIM(J52&amp;"")," ",REPT(" ",60)),60)),코드표!$F$2:$F$101,0))),INDEX(코드표!$K$2:$K$101,MATCH(LEFT(TRIM(J52&amp;""),FIND(" ",TRIM(J52&amp;""))-1),코드표!$J$2:$J$101,0))&amp;" "&amp;INDEX(코드표!$G$2:$G$101,MATCH(TRIM(RIGHT(SUBSTITUTE(TRIM(J52&amp;"")," ",REPT(" ",60)),60)),코드표!$F$2:$F$101,0)),"⚠"&amp;TRIM(J52&amp;""))),"⚠"&amp;TRIM(J52&amp;""))</f>
        <v/>
      </c>
      <c r="S52" s="11">
        <f>IF(K52="","",IFERROR(IF(AND(ROUND((VALUE(K52&amp;"")-INT(VALUE(K52&amp;"")))*100,0)&gt;=1,ROUND((VALUE(K52&amp;"")-INT(VALUE(K52&amp;"")))*100,0)&lt;=12,INT(VALUE(K52&amp;""))&gt;=1900),DATE(INT(VALUE(K52&amp;"")),ROUND((VALUE(K52&amp;"")-INT(VALUE(K52&amp;"")))*100,0),1),K52&amp;""),K52&amp;""))</f>
        <v/>
      </c>
      <c r="T52" s="10">
        <f>COUNTIF(M52:R52,"⚠*")</f>
        <v/>
      </c>
    </row>
    <row r="53"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M53" s="10">
        <f>IFERROR(IF(TRIM(E53&amp;"")="","",IF(AND(ISNUMBER(FIND(" ",TRIM(E53&amp;""))),ISNUMBER(MATCH(LEFT(TRIM(E53&amp;""),FIND(" ",TRIM(E53&amp;""))-1),코드표!$J$2:$J$101,0)),ISNUMBER(MATCH(TRIM(RIGHT(SUBSTITUTE(TRIM(E53&amp;"")," ",REPT(" ",60)),60)),코드표!$F$2:$F$101,0))),INDEX(코드표!$K$2:$K$101,MATCH(LEFT(TRIM(E53&amp;""),FIND(" ",TRIM(E53&amp;""))-1),코드표!$J$2:$J$101,0))&amp;" "&amp;INDEX(코드표!$G$2:$G$101,MATCH(TRIM(RIGHT(SUBSTITUTE(TRIM(E53&amp;"")," ",REPT(" ",60)),60)),코드표!$F$2:$F$101,0)),"⚠"&amp;TRIM(E53&amp;""))),"⚠"&amp;TRIM(E53&amp;""))</f>
        <v/>
      </c>
      <c r="N53" s="10">
        <f>IFERROR(IF(TRIM(F53&amp;"")="","",IF(AND(ISNUMBER(FIND(" ",TRIM(F53&amp;""))),ISNUMBER(MATCH(LEFT(TRIM(F53&amp;""),FIND(" ",TRIM(F53&amp;""))-1),코드표!$J$2:$J$101,0)),ISNUMBER(MATCH(TRIM(RIGHT(SUBSTITUTE(TRIM(F53&amp;"")," ",REPT(" ",60)),60)),코드표!$F$2:$F$101,0))),INDEX(코드표!$K$2:$K$101,MATCH(LEFT(TRIM(F53&amp;""),FIND(" ",TRIM(F53&amp;""))-1),코드표!$J$2:$J$101,0))&amp;" "&amp;INDEX(코드표!$G$2:$G$101,MATCH(TRIM(RIGHT(SUBSTITUTE(TRIM(F53&amp;"")," ",REPT(" ",60)),60)),코드표!$F$2:$F$101,0)),"⚠"&amp;TRIM(F53&amp;""))),"⚠"&amp;TRIM(F53&amp;""))</f>
        <v/>
      </c>
      <c r="O53" s="10">
        <f>IFERROR(IF(TRIM(G53&amp;"")="","",IF(AND(ISNUMBER(FIND(" ",TRIM(G53&amp;""))),ISNUMBER(MATCH(LEFT(TRIM(G53&amp;""),FIND(" ",TRIM(G53&amp;""))-1),코드표!$J$2:$J$101,0)),ISNUMBER(MATCH(TRIM(RIGHT(SUBSTITUTE(TRIM(G53&amp;"")," ",REPT(" ",60)),60)),코드표!$F$2:$F$101,0))),INDEX(코드표!$K$2:$K$101,MATCH(LEFT(TRIM(G53&amp;""),FIND(" ",TRIM(G53&amp;""))-1),코드표!$J$2:$J$101,0))&amp;" "&amp;INDEX(코드표!$G$2:$G$101,MATCH(TRIM(RIGHT(SUBSTITUTE(TRIM(G53&amp;"")," ",REPT(" ",60)),60)),코드표!$F$2:$F$101,0)),"⚠"&amp;TRIM(G53&amp;""))),"⚠"&amp;TRIM(G53&amp;""))</f>
        <v/>
      </c>
      <c r="P53" s="10">
        <f>IFERROR(IF(TRIM(H53&amp;"")="","",IF(AND(ISNUMBER(FIND(" ",TRIM(H53&amp;""))),ISNUMBER(MATCH(LEFT(TRIM(H53&amp;""),FIND(" ",TRIM(H53&amp;""))-1),코드표!$J$2:$J$101,0)),ISNUMBER(MATCH(TRIM(RIGHT(SUBSTITUTE(TRIM(H53&amp;"")," ",REPT(" ",60)),60)),코드표!$F$2:$F$101,0))),INDEX(코드표!$K$2:$K$101,MATCH(LEFT(TRIM(H53&amp;""),FIND(" ",TRIM(H53&amp;""))-1),코드표!$J$2:$J$101,0))&amp;" "&amp;INDEX(코드표!$G$2:$G$101,MATCH(TRIM(RIGHT(SUBSTITUTE(TRIM(H53&amp;"")," ",REPT(" ",60)),60)),코드표!$F$2:$F$101,0)),"⚠"&amp;TRIM(H53&amp;""))),"⚠"&amp;TRIM(H53&amp;""))</f>
        <v/>
      </c>
      <c r="Q53" s="10">
        <f>IFERROR(IF(TRIM(I53&amp;"")="","",IF(AND(ISNUMBER(FIND(" ",TRIM(I53&amp;""))),ISNUMBER(MATCH(LEFT(TRIM(I53&amp;""),FIND(" ",TRIM(I53&amp;""))-1),코드표!$J$2:$J$101,0)),ISNUMBER(MATCH(TRIM(RIGHT(SUBSTITUTE(TRIM(I53&amp;"")," ",REPT(" ",60)),60)),코드표!$F$2:$F$101,0))),INDEX(코드표!$K$2:$K$101,MATCH(LEFT(TRIM(I53&amp;""),FIND(" ",TRIM(I53&amp;""))-1),코드표!$J$2:$J$101,0))&amp;" "&amp;INDEX(코드표!$G$2:$G$101,MATCH(TRIM(RIGHT(SUBSTITUTE(TRIM(I53&amp;"")," ",REPT(" ",60)),60)),코드표!$F$2:$F$101,0)),"⚠"&amp;TRIM(I53&amp;""))),"⚠"&amp;TRIM(I53&amp;""))</f>
        <v/>
      </c>
      <c r="R53" s="10">
        <f>IFERROR(IF(TRIM(J53&amp;"")="","",IF(AND(ISNUMBER(FIND(" ",TRIM(J53&amp;""))),ISNUMBER(MATCH(LEFT(TRIM(J53&amp;""),FIND(" ",TRIM(J53&amp;""))-1),코드표!$J$2:$J$101,0)),ISNUMBER(MATCH(TRIM(RIGHT(SUBSTITUTE(TRIM(J53&amp;"")," ",REPT(" ",60)),60)),코드표!$F$2:$F$101,0))),INDEX(코드표!$K$2:$K$101,MATCH(LEFT(TRIM(J53&amp;""),FIND(" ",TRIM(J53&amp;""))-1),코드표!$J$2:$J$101,0))&amp;" "&amp;INDEX(코드표!$G$2:$G$101,MATCH(TRIM(RIGHT(SUBSTITUTE(TRIM(J53&amp;"")," ",REPT(" ",60)),60)),코드표!$F$2:$F$101,0)),"⚠"&amp;TRIM(J53&amp;""))),"⚠"&amp;TRIM(J53&amp;""))</f>
        <v/>
      </c>
      <c r="S53" s="11">
        <f>IF(K53="","",IFERROR(IF(AND(ROUND((VALUE(K53&amp;"")-INT(VALUE(K53&amp;"")))*100,0)&gt;=1,ROUND((VALUE(K53&amp;"")-INT(VALUE(K53&amp;"")))*100,0)&lt;=12,INT(VALUE(K53&amp;""))&gt;=1900),DATE(INT(VALUE(K53&amp;"")),ROUND((VALUE(K53&amp;"")-INT(VALUE(K53&amp;"")))*100,0),1),K53&amp;""),K53&amp;""))</f>
        <v/>
      </c>
      <c r="T53" s="10">
        <f>COUNTIF(M53:R53,"⚠*")</f>
        <v/>
      </c>
    </row>
    <row r="54"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M54" s="10">
        <f>IFERROR(IF(TRIM(E54&amp;"")="","",IF(AND(ISNUMBER(FIND(" ",TRIM(E54&amp;""))),ISNUMBER(MATCH(LEFT(TRIM(E54&amp;""),FIND(" ",TRIM(E54&amp;""))-1),코드표!$J$2:$J$101,0)),ISNUMBER(MATCH(TRIM(RIGHT(SUBSTITUTE(TRIM(E54&amp;"")," ",REPT(" ",60)),60)),코드표!$F$2:$F$101,0))),INDEX(코드표!$K$2:$K$101,MATCH(LEFT(TRIM(E54&amp;""),FIND(" ",TRIM(E54&amp;""))-1),코드표!$J$2:$J$101,0))&amp;" "&amp;INDEX(코드표!$G$2:$G$101,MATCH(TRIM(RIGHT(SUBSTITUTE(TRIM(E54&amp;"")," ",REPT(" ",60)),60)),코드표!$F$2:$F$101,0)),"⚠"&amp;TRIM(E54&amp;""))),"⚠"&amp;TRIM(E54&amp;""))</f>
        <v/>
      </c>
      <c r="N54" s="10">
        <f>IFERROR(IF(TRIM(F54&amp;"")="","",IF(AND(ISNUMBER(FIND(" ",TRIM(F54&amp;""))),ISNUMBER(MATCH(LEFT(TRIM(F54&amp;""),FIND(" ",TRIM(F54&amp;""))-1),코드표!$J$2:$J$101,0)),ISNUMBER(MATCH(TRIM(RIGHT(SUBSTITUTE(TRIM(F54&amp;"")," ",REPT(" ",60)),60)),코드표!$F$2:$F$101,0))),INDEX(코드표!$K$2:$K$101,MATCH(LEFT(TRIM(F54&amp;""),FIND(" ",TRIM(F54&amp;""))-1),코드표!$J$2:$J$101,0))&amp;" "&amp;INDEX(코드표!$G$2:$G$101,MATCH(TRIM(RIGHT(SUBSTITUTE(TRIM(F54&amp;"")," ",REPT(" ",60)),60)),코드표!$F$2:$F$101,0)),"⚠"&amp;TRIM(F54&amp;""))),"⚠"&amp;TRIM(F54&amp;""))</f>
        <v/>
      </c>
      <c r="O54" s="10">
        <f>IFERROR(IF(TRIM(G54&amp;"")="","",IF(AND(ISNUMBER(FIND(" ",TRIM(G54&amp;""))),ISNUMBER(MATCH(LEFT(TRIM(G54&amp;""),FIND(" ",TRIM(G54&amp;""))-1),코드표!$J$2:$J$101,0)),ISNUMBER(MATCH(TRIM(RIGHT(SUBSTITUTE(TRIM(G54&amp;"")," ",REPT(" ",60)),60)),코드표!$F$2:$F$101,0))),INDEX(코드표!$K$2:$K$101,MATCH(LEFT(TRIM(G54&amp;""),FIND(" ",TRIM(G54&amp;""))-1),코드표!$J$2:$J$101,0))&amp;" "&amp;INDEX(코드표!$G$2:$G$101,MATCH(TRIM(RIGHT(SUBSTITUTE(TRIM(G54&amp;"")," ",REPT(" ",60)),60)),코드표!$F$2:$F$101,0)),"⚠"&amp;TRIM(G54&amp;""))),"⚠"&amp;TRIM(G54&amp;""))</f>
        <v/>
      </c>
      <c r="P54" s="10">
        <f>IFERROR(IF(TRIM(H54&amp;"")="","",IF(AND(ISNUMBER(FIND(" ",TRIM(H54&amp;""))),ISNUMBER(MATCH(LEFT(TRIM(H54&amp;""),FIND(" ",TRIM(H54&amp;""))-1),코드표!$J$2:$J$101,0)),ISNUMBER(MATCH(TRIM(RIGHT(SUBSTITUTE(TRIM(H54&amp;"")," ",REPT(" ",60)),60)),코드표!$F$2:$F$101,0))),INDEX(코드표!$K$2:$K$101,MATCH(LEFT(TRIM(H54&amp;""),FIND(" ",TRIM(H54&amp;""))-1),코드표!$J$2:$J$101,0))&amp;" "&amp;INDEX(코드표!$G$2:$G$101,MATCH(TRIM(RIGHT(SUBSTITUTE(TRIM(H54&amp;"")," ",REPT(" ",60)),60)),코드표!$F$2:$F$101,0)),"⚠"&amp;TRIM(H54&amp;""))),"⚠"&amp;TRIM(H54&amp;""))</f>
        <v/>
      </c>
      <c r="Q54" s="10">
        <f>IFERROR(IF(TRIM(I54&amp;"")="","",IF(AND(ISNUMBER(FIND(" ",TRIM(I54&amp;""))),ISNUMBER(MATCH(LEFT(TRIM(I54&amp;""),FIND(" ",TRIM(I54&amp;""))-1),코드표!$J$2:$J$101,0)),ISNUMBER(MATCH(TRIM(RIGHT(SUBSTITUTE(TRIM(I54&amp;"")," ",REPT(" ",60)),60)),코드표!$F$2:$F$101,0))),INDEX(코드표!$K$2:$K$101,MATCH(LEFT(TRIM(I54&amp;""),FIND(" ",TRIM(I54&amp;""))-1),코드표!$J$2:$J$101,0))&amp;" "&amp;INDEX(코드표!$G$2:$G$101,MATCH(TRIM(RIGHT(SUBSTITUTE(TRIM(I54&amp;"")," ",REPT(" ",60)),60)),코드표!$F$2:$F$101,0)),"⚠"&amp;TRIM(I54&amp;""))),"⚠"&amp;TRIM(I54&amp;""))</f>
        <v/>
      </c>
      <c r="R54" s="10">
        <f>IFERROR(IF(TRIM(J54&amp;"")="","",IF(AND(ISNUMBER(FIND(" ",TRIM(J54&amp;""))),ISNUMBER(MATCH(LEFT(TRIM(J54&amp;""),FIND(" ",TRIM(J54&amp;""))-1),코드표!$J$2:$J$101,0)),ISNUMBER(MATCH(TRIM(RIGHT(SUBSTITUTE(TRIM(J54&amp;"")," ",REPT(" ",60)),60)),코드표!$F$2:$F$101,0))),INDEX(코드표!$K$2:$K$101,MATCH(LEFT(TRIM(J54&amp;""),FIND(" ",TRIM(J54&amp;""))-1),코드표!$J$2:$J$101,0))&amp;" "&amp;INDEX(코드표!$G$2:$G$101,MATCH(TRIM(RIGHT(SUBSTITUTE(TRIM(J54&amp;"")," ",REPT(" ",60)),60)),코드표!$F$2:$F$101,0)),"⚠"&amp;TRIM(J54&amp;""))),"⚠"&amp;TRIM(J54&amp;""))</f>
        <v/>
      </c>
      <c r="S54" s="11">
        <f>IF(K54="","",IFERROR(IF(AND(ROUND((VALUE(K54&amp;"")-INT(VALUE(K54&amp;"")))*100,0)&gt;=1,ROUND((VALUE(K54&amp;"")-INT(VALUE(K54&amp;"")))*100,0)&lt;=12,INT(VALUE(K54&amp;""))&gt;=1900),DATE(INT(VALUE(K54&amp;"")),ROUND((VALUE(K54&amp;"")-INT(VALUE(K54&amp;"")))*100,0),1),K54&amp;""),K54&amp;""))</f>
        <v/>
      </c>
      <c r="T54" s="10">
        <f>COUNTIF(M54:R54,"⚠*")</f>
        <v/>
      </c>
    </row>
    <row r="55"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M55" s="10">
        <f>IFERROR(IF(TRIM(E55&amp;"")="","",IF(AND(ISNUMBER(FIND(" ",TRIM(E55&amp;""))),ISNUMBER(MATCH(LEFT(TRIM(E55&amp;""),FIND(" ",TRIM(E55&amp;""))-1),코드표!$J$2:$J$101,0)),ISNUMBER(MATCH(TRIM(RIGHT(SUBSTITUTE(TRIM(E55&amp;"")," ",REPT(" ",60)),60)),코드표!$F$2:$F$101,0))),INDEX(코드표!$K$2:$K$101,MATCH(LEFT(TRIM(E55&amp;""),FIND(" ",TRIM(E55&amp;""))-1),코드표!$J$2:$J$101,0))&amp;" "&amp;INDEX(코드표!$G$2:$G$101,MATCH(TRIM(RIGHT(SUBSTITUTE(TRIM(E55&amp;"")," ",REPT(" ",60)),60)),코드표!$F$2:$F$101,0)),"⚠"&amp;TRIM(E55&amp;""))),"⚠"&amp;TRIM(E55&amp;""))</f>
        <v/>
      </c>
      <c r="N55" s="10">
        <f>IFERROR(IF(TRIM(F55&amp;"")="","",IF(AND(ISNUMBER(FIND(" ",TRIM(F55&amp;""))),ISNUMBER(MATCH(LEFT(TRIM(F55&amp;""),FIND(" ",TRIM(F55&amp;""))-1),코드표!$J$2:$J$101,0)),ISNUMBER(MATCH(TRIM(RIGHT(SUBSTITUTE(TRIM(F55&amp;"")," ",REPT(" ",60)),60)),코드표!$F$2:$F$101,0))),INDEX(코드표!$K$2:$K$101,MATCH(LEFT(TRIM(F55&amp;""),FIND(" ",TRIM(F55&amp;""))-1),코드표!$J$2:$J$101,0))&amp;" "&amp;INDEX(코드표!$G$2:$G$101,MATCH(TRIM(RIGHT(SUBSTITUTE(TRIM(F55&amp;"")," ",REPT(" ",60)),60)),코드표!$F$2:$F$101,0)),"⚠"&amp;TRIM(F55&amp;""))),"⚠"&amp;TRIM(F55&amp;""))</f>
        <v/>
      </c>
      <c r="O55" s="10">
        <f>IFERROR(IF(TRIM(G55&amp;"")="","",IF(AND(ISNUMBER(FIND(" ",TRIM(G55&amp;""))),ISNUMBER(MATCH(LEFT(TRIM(G55&amp;""),FIND(" ",TRIM(G55&amp;""))-1),코드표!$J$2:$J$101,0)),ISNUMBER(MATCH(TRIM(RIGHT(SUBSTITUTE(TRIM(G55&amp;"")," ",REPT(" ",60)),60)),코드표!$F$2:$F$101,0))),INDEX(코드표!$K$2:$K$101,MATCH(LEFT(TRIM(G55&amp;""),FIND(" ",TRIM(G55&amp;""))-1),코드표!$J$2:$J$101,0))&amp;" "&amp;INDEX(코드표!$G$2:$G$101,MATCH(TRIM(RIGHT(SUBSTITUTE(TRIM(G55&amp;"")," ",REPT(" ",60)),60)),코드표!$F$2:$F$101,0)),"⚠"&amp;TRIM(G55&amp;""))),"⚠"&amp;TRIM(G55&amp;""))</f>
        <v/>
      </c>
      <c r="P55" s="10">
        <f>IFERROR(IF(TRIM(H55&amp;"")="","",IF(AND(ISNUMBER(FIND(" ",TRIM(H55&amp;""))),ISNUMBER(MATCH(LEFT(TRIM(H55&amp;""),FIND(" ",TRIM(H55&amp;""))-1),코드표!$J$2:$J$101,0)),ISNUMBER(MATCH(TRIM(RIGHT(SUBSTITUTE(TRIM(H55&amp;"")," ",REPT(" ",60)),60)),코드표!$F$2:$F$101,0))),INDEX(코드표!$K$2:$K$101,MATCH(LEFT(TRIM(H55&amp;""),FIND(" ",TRIM(H55&amp;""))-1),코드표!$J$2:$J$101,0))&amp;" "&amp;INDEX(코드표!$G$2:$G$101,MATCH(TRIM(RIGHT(SUBSTITUTE(TRIM(H55&amp;"")," ",REPT(" ",60)),60)),코드표!$F$2:$F$101,0)),"⚠"&amp;TRIM(H55&amp;""))),"⚠"&amp;TRIM(H55&amp;""))</f>
        <v/>
      </c>
      <c r="Q55" s="10">
        <f>IFERROR(IF(TRIM(I55&amp;"")="","",IF(AND(ISNUMBER(FIND(" ",TRIM(I55&amp;""))),ISNUMBER(MATCH(LEFT(TRIM(I55&amp;""),FIND(" ",TRIM(I55&amp;""))-1),코드표!$J$2:$J$101,0)),ISNUMBER(MATCH(TRIM(RIGHT(SUBSTITUTE(TRIM(I55&amp;"")," ",REPT(" ",60)),60)),코드표!$F$2:$F$101,0))),INDEX(코드표!$K$2:$K$101,MATCH(LEFT(TRIM(I55&amp;""),FIND(" ",TRIM(I55&amp;""))-1),코드표!$J$2:$J$101,0))&amp;" "&amp;INDEX(코드표!$G$2:$G$101,MATCH(TRIM(RIGHT(SUBSTITUTE(TRIM(I55&amp;"")," ",REPT(" ",60)),60)),코드표!$F$2:$F$101,0)),"⚠"&amp;TRIM(I55&amp;""))),"⚠"&amp;TRIM(I55&amp;""))</f>
        <v/>
      </c>
      <c r="R55" s="10">
        <f>IFERROR(IF(TRIM(J55&amp;"")="","",IF(AND(ISNUMBER(FIND(" ",TRIM(J55&amp;""))),ISNUMBER(MATCH(LEFT(TRIM(J55&amp;""),FIND(" ",TRIM(J55&amp;""))-1),코드표!$J$2:$J$101,0)),ISNUMBER(MATCH(TRIM(RIGHT(SUBSTITUTE(TRIM(J55&amp;"")," ",REPT(" ",60)),60)),코드표!$F$2:$F$101,0))),INDEX(코드표!$K$2:$K$101,MATCH(LEFT(TRIM(J55&amp;""),FIND(" ",TRIM(J55&amp;""))-1),코드표!$J$2:$J$101,0))&amp;" "&amp;INDEX(코드표!$G$2:$G$101,MATCH(TRIM(RIGHT(SUBSTITUTE(TRIM(J55&amp;"")," ",REPT(" ",60)),60)),코드표!$F$2:$F$101,0)),"⚠"&amp;TRIM(J55&amp;""))),"⚠"&amp;TRIM(J55&amp;""))</f>
        <v/>
      </c>
      <c r="S55" s="11">
        <f>IF(K55="","",IFERROR(IF(AND(ROUND((VALUE(K55&amp;"")-INT(VALUE(K55&amp;"")))*100,0)&gt;=1,ROUND((VALUE(K55&amp;"")-INT(VALUE(K55&amp;"")))*100,0)&lt;=12,INT(VALUE(K55&amp;""))&gt;=1900),DATE(INT(VALUE(K55&amp;"")),ROUND((VALUE(K55&amp;"")-INT(VALUE(K55&amp;"")))*100,0),1),K55&amp;""),K55&amp;""))</f>
        <v/>
      </c>
      <c r="T55" s="10">
        <f>COUNTIF(M55:R55,"⚠*")</f>
        <v/>
      </c>
    </row>
    <row r="56"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M56" s="10">
        <f>IFERROR(IF(TRIM(E56&amp;"")="","",IF(AND(ISNUMBER(FIND(" ",TRIM(E56&amp;""))),ISNUMBER(MATCH(LEFT(TRIM(E56&amp;""),FIND(" ",TRIM(E56&amp;""))-1),코드표!$J$2:$J$101,0)),ISNUMBER(MATCH(TRIM(RIGHT(SUBSTITUTE(TRIM(E56&amp;"")," ",REPT(" ",60)),60)),코드표!$F$2:$F$101,0))),INDEX(코드표!$K$2:$K$101,MATCH(LEFT(TRIM(E56&amp;""),FIND(" ",TRIM(E56&amp;""))-1),코드표!$J$2:$J$101,0))&amp;" "&amp;INDEX(코드표!$G$2:$G$101,MATCH(TRIM(RIGHT(SUBSTITUTE(TRIM(E56&amp;"")," ",REPT(" ",60)),60)),코드표!$F$2:$F$101,0)),"⚠"&amp;TRIM(E56&amp;""))),"⚠"&amp;TRIM(E56&amp;""))</f>
        <v/>
      </c>
      <c r="N56" s="10">
        <f>IFERROR(IF(TRIM(F56&amp;"")="","",IF(AND(ISNUMBER(FIND(" ",TRIM(F56&amp;""))),ISNUMBER(MATCH(LEFT(TRIM(F56&amp;""),FIND(" ",TRIM(F56&amp;""))-1),코드표!$J$2:$J$101,0)),ISNUMBER(MATCH(TRIM(RIGHT(SUBSTITUTE(TRIM(F56&amp;"")," ",REPT(" ",60)),60)),코드표!$F$2:$F$101,0))),INDEX(코드표!$K$2:$K$101,MATCH(LEFT(TRIM(F56&amp;""),FIND(" ",TRIM(F56&amp;""))-1),코드표!$J$2:$J$101,0))&amp;" "&amp;INDEX(코드표!$G$2:$G$101,MATCH(TRIM(RIGHT(SUBSTITUTE(TRIM(F56&amp;"")," ",REPT(" ",60)),60)),코드표!$F$2:$F$101,0)),"⚠"&amp;TRIM(F56&amp;""))),"⚠"&amp;TRIM(F56&amp;""))</f>
        <v/>
      </c>
      <c r="O56" s="10">
        <f>IFERROR(IF(TRIM(G56&amp;"")="","",IF(AND(ISNUMBER(FIND(" ",TRIM(G56&amp;""))),ISNUMBER(MATCH(LEFT(TRIM(G56&amp;""),FIND(" ",TRIM(G56&amp;""))-1),코드표!$J$2:$J$101,0)),ISNUMBER(MATCH(TRIM(RIGHT(SUBSTITUTE(TRIM(G56&amp;"")," ",REPT(" ",60)),60)),코드표!$F$2:$F$101,0))),INDEX(코드표!$K$2:$K$101,MATCH(LEFT(TRIM(G56&amp;""),FIND(" ",TRIM(G56&amp;""))-1),코드표!$J$2:$J$101,0))&amp;" "&amp;INDEX(코드표!$G$2:$G$101,MATCH(TRIM(RIGHT(SUBSTITUTE(TRIM(G56&amp;"")," ",REPT(" ",60)),60)),코드표!$F$2:$F$101,0)),"⚠"&amp;TRIM(G56&amp;""))),"⚠"&amp;TRIM(G56&amp;""))</f>
        <v/>
      </c>
      <c r="P56" s="10">
        <f>IFERROR(IF(TRIM(H56&amp;"")="","",IF(AND(ISNUMBER(FIND(" ",TRIM(H56&amp;""))),ISNUMBER(MATCH(LEFT(TRIM(H56&amp;""),FIND(" ",TRIM(H56&amp;""))-1),코드표!$J$2:$J$101,0)),ISNUMBER(MATCH(TRIM(RIGHT(SUBSTITUTE(TRIM(H56&amp;"")," ",REPT(" ",60)),60)),코드표!$F$2:$F$101,0))),INDEX(코드표!$K$2:$K$101,MATCH(LEFT(TRIM(H56&amp;""),FIND(" ",TRIM(H56&amp;""))-1),코드표!$J$2:$J$101,0))&amp;" "&amp;INDEX(코드표!$G$2:$G$101,MATCH(TRIM(RIGHT(SUBSTITUTE(TRIM(H56&amp;"")," ",REPT(" ",60)),60)),코드표!$F$2:$F$101,0)),"⚠"&amp;TRIM(H56&amp;""))),"⚠"&amp;TRIM(H56&amp;""))</f>
        <v/>
      </c>
      <c r="Q56" s="10">
        <f>IFERROR(IF(TRIM(I56&amp;"")="","",IF(AND(ISNUMBER(FIND(" ",TRIM(I56&amp;""))),ISNUMBER(MATCH(LEFT(TRIM(I56&amp;""),FIND(" ",TRIM(I56&amp;""))-1),코드표!$J$2:$J$101,0)),ISNUMBER(MATCH(TRIM(RIGHT(SUBSTITUTE(TRIM(I56&amp;"")," ",REPT(" ",60)),60)),코드표!$F$2:$F$101,0))),INDEX(코드표!$K$2:$K$101,MATCH(LEFT(TRIM(I56&amp;""),FIND(" ",TRIM(I56&amp;""))-1),코드표!$J$2:$J$101,0))&amp;" "&amp;INDEX(코드표!$G$2:$G$101,MATCH(TRIM(RIGHT(SUBSTITUTE(TRIM(I56&amp;"")," ",REPT(" ",60)),60)),코드표!$F$2:$F$101,0)),"⚠"&amp;TRIM(I56&amp;""))),"⚠"&amp;TRIM(I56&amp;""))</f>
        <v/>
      </c>
      <c r="R56" s="10">
        <f>IFERROR(IF(TRIM(J56&amp;"")="","",IF(AND(ISNUMBER(FIND(" ",TRIM(J56&amp;""))),ISNUMBER(MATCH(LEFT(TRIM(J56&amp;""),FIND(" ",TRIM(J56&amp;""))-1),코드표!$J$2:$J$101,0)),ISNUMBER(MATCH(TRIM(RIGHT(SUBSTITUTE(TRIM(J56&amp;"")," ",REPT(" ",60)),60)),코드표!$F$2:$F$101,0))),INDEX(코드표!$K$2:$K$101,MATCH(LEFT(TRIM(J56&amp;""),FIND(" ",TRIM(J56&amp;""))-1),코드표!$J$2:$J$101,0))&amp;" "&amp;INDEX(코드표!$G$2:$G$101,MATCH(TRIM(RIGHT(SUBSTITUTE(TRIM(J56&amp;"")," ",REPT(" ",60)),60)),코드표!$F$2:$F$101,0)),"⚠"&amp;TRIM(J56&amp;""))),"⚠"&amp;TRIM(J56&amp;""))</f>
        <v/>
      </c>
      <c r="S56" s="11">
        <f>IF(K56="","",IFERROR(IF(AND(ROUND((VALUE(K56&amp;"")-INT(VALUE(K56&amp;"")))*100,0)&gt;=1,ROUND((VALUE(K56&amp;"")-INT(VALUE(K56&amp;"")))*100,0)&lt;=12,INT(VALUE(K56&amp;""))&gt;=1900),DATE(INT(VALUE(K56&amp;"")),ROUND((VALUE(K56&amp;"")-INT(VALUE(K56&amp;"")))*100,0),1),K56&amp;""),K56&amp;""))</f>
        <v/>
      </c>
      <c r="T56" s="10">
        <f>COUNTIF(M56:R56,"⚠*")</f>
        <v/>
      </c>
    </row>
    <row r="57"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M57" s="10">
        <f>IFERROR(IF(TRIM(E57&amp;"")="","",IF(AND(ISNUMBER(FIND(" ",TRIM(E57&amp;""))),ISNUMBER(MATCH(LEFT(TRIM(E57&amp;""),FIND(" ",TRIM(E57&amp;""))-1),코드표!$J$2:$J$101,0)),ISNUMBER(MATCH(TRIM(RIGHT(SUBSTITUTE(TRIM(E57&amp;"")," ",REPT(" ",60)),60)),코드표!$F$2:$F$101,0))),INDEX(코드표!$K$2:$K$101,MATCH(LEFT(TRIM(E57&amp;""),FIND(" ",TRIM(E57&amp;""))-1),코드표!$J$2:$J$101,0))&amp;" "&amp;INDEX(코드표!$G$2:$G$101,MATCH(TRIM(RIGHT(SUBSTITUTE(TRIM(E57&amp;"")," ",REPT(" ",60)),60)),코드표!$F$2:$F$101,0)),"⚠"&amp;TRIM(E57&amp;""))),"⚠"&amp;TRIM(E57&amp;""))</f>
        <v/>
      </c>
      <c r="N57" s="10">
        <f>IFERROR(IF(TRIM(F57&amp;"")="","",IF(AND(ISNUMBER(FIND(" ",TRIM(F57&amp;""))),ISNUMBER(MATCH(LEFT(TRIM(F57&amp;""),FIND(" ",TRIM(F57&amp;""))-1),코드표!$J$2:$J$101,0)),ISNUMBER(MATCH(TRIM(RIGHT(SUBSTITUTE(TRIM(F57&amp;"")," ",REPT(" ",60)),60)),코드표!$F$2:$F$101,0))),INDEX(코드표!$K$2:$K$101,MATCH(LEFT(TRIM(F57&amp;""),FIND(" ",TRIM(F57&amp;""))-1),코드표!$J$2:$J$101,0))&amp;" "&amp;INDEX(코드표!$G$2:$G$101,MATCH(TRIM(RIGHT(SUBSTITUTE(TRIM(F57&amp;"")," ",REPT(" ",60)),60)),코드표!$F$2:$F$101,0)),"⚠"&amp;TRIM(F57&amp;""))),"⚠"&amp;TRIM(F57&amp;""))</f>
        <v/>
      </c>
      <c r="O57" s="10">
        <f>IFERROR(IF(TRIM(G57&amp;"")="","",IF(AND(ISNUMBER(FIND(" ",TRIM(G57&amp;""))),ISNUMBER(MATCH(LEFT(TRIM(G57&amp;""),FIND(" ",TRIM(G57&amp;""))-1),코드표!$J$2:$J$101,0)),ISNUMBER(MATCH(TRIM(RIGHT(SUBSTITUTE(TRIM(G57&amp;"")," ",REPT(" ",60)),60)),코드표!$F$2:$F$101,0))),INDEX(코드표!$K$2:$K$101,MATCH(LEFT(TRIM(G57&amp;""),FIND(" ",TRIM(G57&amp;""))-1),코드표!$J$2:$J$101,0))&amp;" "&amp;INDEX(코드표!$G$2:$G$101,MATCH(TRIM(RIGHT(SUBSTITUTE(TRIM(G57&amp;"")," ",REPT(" ",60)),60)),코드표!$F$2:$F$101,0)),"⚠"&amp;TRIM(G57&amp;""))),"⚠"&amp;TRIM(G57&amp;""))</f>
        <v/>
      </c>
      <c r="P57" s="10">
        <f>IFERROR(IF(TRIM(H57&amp;"")="","",IF(AND(ISNUMBER(FIND(" ",TRIM(H57&amp;""))),ISNUMBER(MATCH(LEFT(TRIM(H57&amp;""),FIND(" ",TRIM(H57&amp;""))-1),코드표!$J$2:$J$101,0)),ISNUMBER(MATCH(TRIM(RIGHT(SUBSTITUTE(TRIM(H57&amp;"")," ",REPT(" ",60)),60)),코드표!$F$2:$F$101,0))),INDEX(코드표!$K$2:$K$101,MATCH(LEFT(TRIM(H57&amp;""),FIND(" ",TRIM(H57&amp;""))-1),코드표!$J$2:$J$101,0))&amp;" "&amp;INDEX(코드표!$G$2:$G$101,MATCH(TRIM(RIGHT(SUBSTITUTE(TRIM(H57&amp;"")," ",REPT(" ",60)),60)),코드표!$F$2:$F$101,0)),"⚠"&amp;TRIM(H57&amp;""))),"⚠"&amp;TRIM(H57&amp;""))</f>
        <v/>
      </c>
      <c r="Q57" s="10">
        <f>IFERROR(IF(TRIM(I57&amp;"")="","",IF(AND(ISNUMBER(FIND(" ",TRIM(I57&amp;""))),ISNUMBER(MATCH(LEFT(TRIM(I57&amp;""),FIND(" ",TRIM(I57&amp;""))-1),코드표!$J$2:$J$101,0)),ISNUMBER(MATCH(TRIM(RIGHT(SUBSTITUTE(TRIM(I57&amp;"")," ",REPT(" ",60)),60)),코드표!$F$2:$F$101,0))),INDEX(코드표!$K$2:$K$101,MATCH(LEFT(TRIM(I57&amp;""),FIND(" ",TRIM(I57&amp;""))-1),코드표!$J$2:$J$101,0))&amp;" "&amp;INDEX(코드표!$G$2:$G$101,MATCH(TRIM(RIGHT(SUBSTITUTE(TRIM(I57&amp;"")," ",REPT(" ",60)),60)),코드표!$F$2:$F$101,0)),"⚠"&amp;TRIM(I57&amp;""))),"⚠"&amp;TRIM(I57&amp;""))</f>
        <v/>
      </c>
      <c r="R57" s="10">
        <f>IFERROR(IF(TRIM(J57&amp;"")="","",IF(AND(ISNUMBER(FIND(" ",TRIM(J57&amp;""))),ISNUMBER(MATCH(LEFT(TRIM(J57&amp;""),FIND(" ",TRIM(J57&amp;""))-1),코드표!$J$2:$J$101,0)),ISNUMBER(MATCH(TRIM(RIGHT(SUBSTITUTE(TRIM(J57&amp;"")," ",REPT(" ",60)),60)),코드표!$F$2:$F$101,0))),INDEX(코드표!$K$2:$K$101,MATCH(LEFT(TRIM(J57&amp;""),FIND(" ",TRIM(J57&amp;""))-1),코드표!$J$2:$J$101,0))&amp;" "&amp;INDEX(코드표!$G$2:$G$101,MATCH(TRIM(RIGHT(SUBSTITUTE(TRIM(J57&amp;"")," ",REPT(" ",60)),60)),코드표!$F$2:$F$101,0)),"⚠"&amp;TRIM(J57&amp;""))),"⚠"&amp;TRIM(J57&amp;""))</f>
        <v/>
      </c>
      <c r="S57" s="11">
        <f>IF(K57="","",IFERROR(IF(AND(ROUND((VALUE(K57&amp;"")-INT(VALUE(K57&amp;"")))*100,0)&gt;=1,ROUND((VALUE(K57&amp;"")-INT(VALUE(K57&amp;"")))*100,0)&lt;=12,INT(VALUE(K57&amp;""))&gt;=1900),DATE(INT(VALUE(K57&amp;"")),ROUND((VALUE(K57&amp;"")-INT(VALUE(K57&amp;"")))*100,0),1),K57&amp;""),K57&amp;""))</f>
        <v/>
      </c>
      <c r="T57" s="10">
        <f>COUNTIF(M57:R57,"⚠*")</f>
        <v/>
      </c>
    </row>
    <row r="58"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M58" s="10">
        <f>IFERROR(IF(TRIM(E58&amp;"")="","",IF(AND(ISNUMBER(FIND(" ",TRIM(E58&amp;""))),ISNUMBER(MATCH(LEFT(TRIM(E58&amp;""),FIND(" ",TRIM(E58&amp;""))-1),코드표!$J$2:$J$101,0)),ISNUMBER(MATCH(TRIM(RIGHT(SUBSTITUTE(TRIM(E58&amp;"")," ",REPT(" ",60)),60)),코드표!$F$2:$F$101,0))),INDEX(코드표!$K$2:$K$101,MATCH(LEFT(TRIM(E58&amp;""),FIND(" ",TRIM(E58&amp;""))-1),코드표!$J$2:$J$101,0))&amp;" "&amp;INDEX(코드표!$G$2:$G$101,MATCH(TRIM(RIGHT(SUBSTITUTE(TRIM(E58&amp;"")," ",REPT(" ",60)),60)),코드표!$F$2:$F$101,0)),"⚠"&amp;TRIM(E58&amp;""))),"⚠"&amp;TRIM(E58&amp;""))</f>
        <v/>
      </c>
      <c r="N58" s="10">
        <f>IFERROR(IF(TRIM(F58&amp;"")="","",IF(AND(ISNUMBER(FIND(" ",TRIM(F58&amp;""))),ISNUMBER(MATCH(LEFT(TRIM(F58&amp;""),FIND(" ",TRIM(F58&amp;""))-1),코드표!$J$2:$J$101,0)),ISNUMBER(MATCH(TRIM(RIGHT(SUBSTITUTE(TRIM(F58&amp;"")," ",REPT(" ",60)),60)),코드표!$F$2:$F$101,0))),INDEX(코드표!$K$2:$K$101,MATCH(LEFT(TRIM(F58&amp;""),FIND(" ",TRIM(F58&amp;""))-1),코드표!$J$2:$J$101,0))&amp;" "&amp;INDEX(코드표!$G$2:$G$101,MATCH(TRIM(RIGHT(SUBSTITUTE(TRIM(F58&amp;"")," ",REPT(" ",60)),60)),코드표!$F$2:$F$101,0)),"⚠"&amp;TRIM(F58&amp;""))),"⚠"&amp;TRIM(F58&amp;""))</f>
        <v/>
      </c>
      <c r="O58" s="10">
        <f>IFERROR(IF(TRIM(G58&amp;"")="","",IF(AND(ISNUMBER(FIND(" ",TRIM(G58&amp;""))),ISNUMBER(MATCH(LEFT(TRIM(G58&amp;""),FIND(" ",TRIM(G58&amp;""))-1),코드표!$J$2:$J$101,0)),ISNUMBER(MATCH(TRIM(RIGHT(SUBSTITUTE(TRIM(G58&amp;"")," ",REPT(" ",60)),60)),코드표!$F$2:$F$101,0))),INDEX(코드표!$K$2:$K$101,MATCH(LEFT(TRIM(G58&amp;""),FIND(" ",TRIM(G58&amp;""))-1),코드표!$J$2:$J$101,0))&amp;" "&amp;INDEX(코드표!$G$2:$G$101,MATCH(TRIM(RIGHT(SUBSTITUTE(TRIM(G58&amp;"")," ",REPT(" ",60)),60)),코드표!$F$2:$F$101,0)),"⚠"&amp;TRIM(G58&amp;""))),"⚠"&amp;TRIM(G58&amp;""))</f>
        <v/>
      </c>
      <c r="P58" s="10">
        <f>IFERROR(IF(TRIM(H58&amp;"")="","",IF(AND(ISNUMBER(FIND(" ",TRIM(H58&amp;""))),ISNUMBER(MATCH(LEFT(TRIM(H58&amp;""),FIND(" ",TRIM(H58&amp;""))-1),코드표!$J$2:$J$101,0)),ISNUMBER(MATCH(TRIM(RIGHT(SUBSTITUTE(TRIM(H58&amp;"")," ",REPT(" ",60)),60)),코드표!$F$2:$F$101,0))),INDEX(코드표!$K$2:$K$101,MATCH(LEFT(TRIM(H58&amp;""),FIND(" ",TRIM(H58&amp;""))-1),코드표!$J$2:$J$101,0))&amp;" "&amp;INDEX(코드표!$G$2:$G$101,MATCH(TRIM(RIGHT(SUBSTITUTE(TRIM(H58&amp;"")," ",REPT(" ",60)),60)),코드표!$F$2:$F$101,0)),"⚠"&amp;TRIM(H58&amp;""))),"⚠"&amp;TRIM(H58&amp;""))</f>
        <v/>
      </c>
      <c r="Q58" s="10">
        <f>IFERROR(IF(TRIM(I58&amp;"")="","",IF(AND(ISNUMBER(FIND(" ",TRIM(I58&amp;""))),ISNUMBER(MATCH(LEFT(TRIM(I58&amp;""),FIND(" ",TRIM(I58&amp;""))-1),코드표!$J$2:$J$101,0)),ISNUMBER(MATCH(TRIM(RIGHT(SUBSTITUTE(TRIM(I58&amp;"")," ",REPT(" ",60)),60)),코드표!$F$2:$F$101,0))),INDEX(코드표!$K$2:$K$101,MATCH(LEFT(TRIM(I58&amp;""),FIND(" ",TRIM(I58&amp;""))-1),코드표!$J$2:$J$101,0))&amp;" "&amp;INDEX(코드표!$G$2:$G$101,MATCH(TRIM(RIGHT(SUBSTITUTE(TRIM(I58&amp;"")," ",REPT(" ",60)),60)),코드표!$F$2:$F$101,0)),"⚠"&amp;TRIM(I58&amp;""))),"⚠"&amp;TRIM(I58&amp;""))</f>
        <v/>
      </c>
      <c r="R58" s="10">
        <f>IFERROR(IF(TRIM(J58&amp;"")="","",IF(AND(ISNUMBER(FIND(" ",TRIM(J58&amp;""))),ISNUMBER(MATCH(LEFT(TRIM(J58&amp;""),FIND(" ",TRIM(J58&amp;""))-1),코드표!$J$2:$J$101,0)),ISNUMBER(MATCH(TRIM(RIGHT(SUBSTITUTE(TRIM(J58&amp;"")," ",REPT(" ",60)),60)),코드표!$F$2:$F$101,0))),INDEX(코드표!$K$2:$K$101,MATCH(LEFT(TRIM(J58&amp;""),FIND(" ",TRIM(J58&amp;""))-1),코드표!$J$2:$J$101,0))&amp;" "&amp;INDEX(코드표!$G$2:$G$101,MATCH(TRIM(RIGHT(SUBSTITUTE(TRIM(J58&amp;"")," ",REPT(" ",60)),60)),코드표!$F$2:$F$101,0)),"⚠"&amp;TRIM(J58&amp;""))),"⚠"&amp;TRIM(J58&amp;""))</f>
        <v/>
      </c>
      <c r="S58" s="11">
        <f>IF(K58="","",IFERROR(IF(AND(ROUND((VALUE(K58&amp;"")-INT(VALUE(K58&amp;"")))*100,0)&gt;=1,ROUND((VALUE(K58&amp;"")-INT(VALUE(K58&amp;"")))*100,0)&lt;=12,INT(VALUE(K58&amp;""))&gt;=1900),DATE(INT(VALUE(K58&amp;"")),ROUND((VALUE(K58&amp;"")-INT(VALUE(K58&amp;"")))*100,0),1),K58&amp;""),K58&amp;""))</f>
        <v/>
      </c>
      <c r="T58" s="10">
        <f>COUNTIF(M58:R58,"⚠*")</f>
        <v/>
      </c>
    </row>
    <row r="59"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M59" s="10">
        <f>IFERROR(IF(TRIM(E59&amp;"")="","",IF(AND(ISNUMBER(FIND(" ",TRIM(E59&amp;""))),ISNUMBER(MATCH(LEFT(TRIM(E59&amp;""),FIND(" ",TRIM(E59&amp;""))-1),코드표!$J$2:$J$101,0)),ISNUMBER(MATCH(TRIM(RIGHT(SUBSTITUTE(TRIM(E59&amp;"")," ",REPT(" ",60)),60)),코드표!$F$2:$F$101,0))),INDEX(코드표!$K$2:$K$101,MATCH(LEFT(TRIM(E59&amp;""),FIND(" ",TRIM(E59&amp;""))-1),코드표!$J$2:$J$101,0))&amp;" "&amp;INDEX(코드표!$G$2:$G$101,MATCH(TRIM(RIGHT(SUBSTITUTE(TRIM(E59&amp;"")," ",REPT(" ",60)),60)),코드표!$F$2:$F$101,0)),"⚠"&amp;TRIM(E59&amp;""))),"⚠"&amp;TRIM(E59&amp;""))</f>
        <v/>
      </c>
      <c r="N59" s="10">
        <f>IFERROR(IF(TRIM(F59&amp;"")="","",IF(AND(ISNUMBER(FIND(" ",TRIM(F59&amp;""))),ISNUMBER(MATCH(LEFT(TRIM(F59&amp;""),FIND(" ",TRIM(F59&amp;""))-1),코드표!$J$2:$J$101,0)),ISNUMBER(MATCH(TRIM(RIGHT(SUBSTITUTE(TRIM(F59&amp;"")," ",REPT(" ",60)),60)),코드표!$F$2:$F$101,0))),INDEX(코드표!$K$2:$K$101,MATCH(LEFT(TRIM(F59&amp;""),FIND(" ",TRIM(F59&amp;""))-1),코드표!$J$2:$J$101,0))&amp;" "&amp;INDEX(코드표!$G$2:$G$101,MATCH(TRIM(RIGHT(SUBSTITUTE(TRIM(F59&amp;"")," ",REPT(" ",60)),60)),코드표!$F$2:$F$101,0)),"⚠"&amp;TRIM(F59&amp;""))),"⚠"&amp;TRIM(F59&amp;""))</f>
        <v/>
      </c>
      <c r="O59" s="10">
        <f>IFERROR(IF(TRIM(G59&amp;"")="","",IF(AND(ISNUMBER(FIND(" ",TRIM(G59&amp;""))),ISNUMBER(MATCH(LEFT(TRIM(G59&amp;""),FIND(" ",TRIM(G59&amp;""))-1),코드표!$J$2:$J$101,0)),ISNUMBER(MATCH(TRIM(RIGHT(SUBSTITUTE(TRIM(G59&amp;"")," ",REPT(" ",60)),60)),코드표!$F$2:$F$101,0))),INDEX(코드표!$K$2:$K$101,MATCH(LEFT(TRIM(G59&amp;""),FIND(" ",TRIM(G59&amp;""))-1),코드표!$J$2:$J$101,0))&amp;" "&amp;INDEX(코드표!$G$2:$G$101,MATCH(TRIM(RIGHT(SUBSTITUTE(TRIM(G59&amp;"")," ",REPT(" ",60)),60)),코드표!$F$2:$F$101,0)),"⚠"&amp;TRIM(G59&amp;""))),"⚠"&amp;TRIM(G59&amp;""))</f>
        <v/>
      </c>
      <c r="P59" s="10">
        <f>IFERROR(IF(TRIM(H59&amp;"")="","",IF(AND(ISNUMBER(FIND(" ",TRIM(H59&amp;""))),ISNUMBER(MATCH(LEFT(TRIM(H59&amp;""),FIND(" ",TRIM(H59&amp;""))-1),코드표!$J$2:$J$101,0)),ISNUMBER(MATCH(TRIM(RIGHT(SUBSTITUTE(TRIM(H59&amp;"")," ",REPT(" ",60)),60)),코드표!$F$2:$F$101,0))),INDEX(코드표!$K$2:$K$101,MATCH(LEFT(TRIM(H59&amp;""),FIND(" ",TRIM(H59&amp;""))-1),코드표!$J$2:$J$101,0))&amp;" "&amp;INDEX(코드표!$G$2:$G$101,MATCH(TRIM(RIGHT(SUBSTITUTE(TRIM(H59&amp;"")," ",REPT(" ",60)),60)),코드표!$F$2:$F$101,0)),"⚠"&amp;TRIM(H59&amp;""))),"⚠"&amp;TRIM(H59&amp;""))</f>
        <v/>
      </c>
      <c r="Q59" s="10">
        <f>IFERROR(IF(TRIM(I59&amp;"")="","",IF(AND(ISNUMBER(FIND(" ",TRIM(I59&amp;""))),ISNUMBER(MATCH(LEFT(TRIM(I59&amp;""),FIND(" ",TRIM(I59&amp;""))-1),코드표!$J$2:$J$101,0)),ISNUMBER(MATCH(TRIM(RIGHT(SUBSTITUTE(TRIM(I59&amp;"")," ",REPT(" ",60)),60)),코드표!$F$2:$F$101,0))),INDEX(코드표!$K$2:$K$101,MATCH(LEFT(TRIM(I59&amp;""),FIND(" ",TRIM(I59&amp;""))-1),코드표!$J$2:$J$101,0))&amp;" "&amp;INDEX(코드표!$G$2:$G$101,MATCH(TRIM(RIGHT(SUBSTITUTE(TRIM(I59&amp;"")," ",REPT(" ",60)),60)),코드표!$F$2:$F$101,0)),"⚠"&amp;TRIM(I59&amp;""))),"⚠"&amp;TRIM(I59&amp;""))</f>
        <v/>
      </c>
      <c r="R59" s="10">
        <f>IFERROR(IF(TRIM(J59&amp;"")="","",IF(AND(ISNUMBER(FIND(" ",TRIM(J59&amp;""))),ISNUMBER(MATCH(LEFT(TRIM(J59&amp;""),FIND(" ",TRIM(J59&amp;""))-1),코드표!$J$2:$J$101,0)),ISNUMBER(MATCH(TRIM(RIGHT(SUBSTITUTE(TRIM(J59&amp;"")," ",REPT(" ",60)),60)),코드표!$F$2:$F$101,0))),INDEX(코드표!$K$2:$K$101,MATCH(LEFT(TRIM(J59&amp;""),FIND(" ",TRIM(J59&amp;""))-1),코드표!$J$2:$J$101,0))&amp;" "&amp;INDEX(코드표!$G$2:$G$101,MATCH(TRIM(RIGHT(SUBSTITUTE(TRIM(J59&amp;"")," ",REPT(" ",60)),60)),코드표!$F$2:$F$101,0)),"⚠"&amp;TRIM(J59&amp;""))),"⚠"&amp;TRIM(J59&amp;""))</f>
        <v/>
      </c>
      <c r="S59" s="11">
        <f>IF(K59="","",IFERROR(IF(AND(ROUND((VALUE(K59&amp;"")-INT(VALUE(K59&amp;"")))*100,0)&gt;=1,ROUND((VALUE(K59&amp;"")-INT(VALUE(K59&amp;"")))*100,0)&lt;=12,INT(VALUE(K59&amp;""))&gt;=1900),DATE(INT(VALUE(K59&amp;"")),ROUND((VALUE(K59&amp;"")-INT(VALUE(K59&amp;"")))*100,0),1),K59&amp;""),K59&amp;""))</f>
        <v/>
      </c>
      <c r="T59" s="10">
        <f>COUNTIF(M59:R59,"⚠*")</f>
        <v/>
      </c>
    </row>
    <row r="60"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M60" s="10">
        <f>IFERROR(IF(TRIM(E60&amp;"")="","",IF(AND(ISNUMBER(FIND(" ",TRIM(E60&amp;""))),ISNUMBER(MATCH(LEFT(TRIM(E60&amp;""),FIND(" ",TRIM(E60&amp;""))-1),코드표!$J$2:$J$101,0)),ISNUMBER(MATCH(TRIM(RIGHT(SUBSTITUTE(TRIM(E60&amp;"")," ",REPT(" ",60)),60)),코드표!$F$2:$F$101,0))),INDEX(코드표!$K$2:$K$101,MATCH(LEFT(TRIM(E60&amp;""),FIND(" ",TRIM(E60&amp;""))-1),코드표!$J$2:$J$101,0))&amp;" "&amp;INDEX(코드표!$G$2:$G$101,MATCH(TRIM(RIGHT(SUBSTITUTE(TRIM(E60&amp;"")," ",REPT(" ",60)),60)),코드표!$F$2:$F$101,0)),"⚠"&amp;TRIM(E60&amp;""))),"⚠"&amp;TRIM(E60&amp;""))</f>
        <v/>
      </c>
      <c r="N60" s="10">
        <f>IFERROR(IF(TRIM(F60&amp;"")="","",IF(AND(ISNUMBER(FIND(" ",TRIM(F60&amp;""))),ISNUMBER(MATCH(LEFT(TRIM(F60&amp;""),FIND(" ",TRIM(F60&amp;""))-1),코드표!$J$2:$J$101,0)),ISNUMBER(MATCH(TRIM(RIGHT(SUBSTITUTE(TRIM(F60&amp;"")," ",REPT(" ",60)),60)),코드표!$F$2:$F$101,0))),INDEX(코드표!$K$2:$K$101,MATCH(LEFT(TRIM(F60&amp;""),FIND(" ",TRIM(F60&amp;""))-1),코드표!$J$2:$J$101,0))&amp;" "&amp;INDEX(코드표!$G$2:$G$101,MATCH(TRIM(RIGHT(SUBSTITUTE(TRIM(F60&amp;"")," ",REPT(" ",60)),60)),코드표!$F$2:$F$101,0)),"⚠"&amp;TRIM(F60&amp;""))),"⚠"&amp;TRIM(F60&amp;""))</f>
        <v/>
      </c>
      <c r="O60" s="10">
        <f>IFERROR(IF(TRIM(G60&amp;"")="","",IF(AND(ISNUMBER(FIND(" ",TRIM(G60&amp;""))),ISNUMBER(MATCH(LEFT(TRIM(G60&amp;""),FIND(" ",TRIM(G60&amp;""))-1),코드표!$J$2:$J$101,0)),ISNUMBER(MATCH(TRIM(RIGHT(SUBSTITUTE(TRIM(G60&amp;"")," ",REPT(" ",60)),60)),코드표!$F$2:$F$101,0))),INDEX(코드표!$K$2:$K$101,MATCH(LEFT(TRIM(G60&amp;""),FIND(" ",TRIM(G60&amp;""))-1),코드표!$J$2:$J$101,0))&amp;" "&amp;INDEX(코드표!$G$2:$G$101,MATCH(TRIM(RIGHT(SUBSTITUTE(TRIM(G60&amp;"")," ",REPT(" ",60)),60)),코드표!$F$2:$F$101,0)),"⚠"&amp;TRIM(G60&amp;""))),"⚠"&amp;TRIM(G60&amp;""))</f>
        <v/>
      </c>
      <c r="P60" s="10">
        <f>IFERROR(IF(TRIM(H60&amp;"")="","",IF(AND(ISNUMBER(FIND(" ",TRIM(H60&amp;""))),ISNUMBER(MATCH(LEFT(TRIM(H60&amp;""),FIND(" ",TRIM(H60&amp;""))-1),코드표!$J$2:$J$101,0)),ISNUMBER(MATCH(TRIM(RIGHT(SUBSTITUTE(TRIM(H60&amp;"")," ",REPT(" ",60)),60)),코드표!$F$2:$F$101,0))),INDEX(코드표!$K$2:$K$101,MATCH(LEFT(TRIM(H60&amp;""),FIND(" ",TRIM(H60&amp;""))-1),코드표!$J$2:$J$101,0))&amp;" "&amp;INDEX(코드표!$G$2:$G$101,MATCH(TRIM(RIGHT(SUBSTITUTE(TRIM(H60&amp;"")," ",REPT(" ",60)),60)),코드표!$F$2:$F$101,0)),"⚠"&amp;TRIM(H60&amp;""))),"⚠"&amp;TRIM(H60&amp;""))</f>
        <v/>
      </c>
      <c r="Q60" s="10">
        <f>IFERROR(IF(TRIM(I60&amp;"")="","",IF(AND(ISNUMBER(FIND(" ",TRIM(I60&amp;""))),ISNUMBER(MATCH(LEFT(TRIM(I60&amp;""),FIND(" ",TRIM(I60&amp;""))-1),코드표!$J$2:$J$101,0)),ISNUMBER(MATCH(TRIM(RIGHT(SUBSTITUTE(TRIM(I60&amp;"")," ",REPT(" ",60)),60)),코드표!$F$2:$F$101,0))),INDEX(코드표!$K$2:$K$101,MATCH(LEFT(TRIM(I60&amp;""),FIND(" ",TRIM(I60&amp;""))-1),코드표!$J$2:$J$101,0))&amp;" "&amp;INDEX(코드표!$G$2:$G$101,MATCH(TRIM(RIGHT(SUBSTITUTE(TRIM(I60&amp;"")," ",REPT(" ",60)),60)),코드표!$F$2:$F$101,0)),"⚠"&amp;TRIM(I60&amp;""))),"⚠"&amp;TRIM(I60&amp;""))</f>
        <v/>
      </c>
      <c r="R60" s="10">
        <f>IFERROR(IF(TRIM(J60&amp;"")="","",IF(AND(ISNUMBER(FIND(" ",TRIM(J60&amp;""))),ISNUMBER(MATCH(LEFT(TRIM(J60&amp;""),FIND(" ",TRIM(J60&amp;""))-1),코드표!$J$2:$J$101,0)),ISNUMBER(MATCH(TRIM(RIGHT(SUBSTITUTE(TRIM(J60&amp;"")," ",REPT(" ",60)),60)),코드표!$F$2:$F$101,0))),INDEX(코드표!$K$2:$K$101,MATCH(LEFT(TRIM(J60&amp;""),FIND(" ",TRIM(J60&amp;""))-1),코드표!$J$2:$J$101,0))&amp;" "&amp;INDEX(코드표!$G$2:$G$101,MATCH(TRIM(RIGHT(SUBSTITUTE(TRIM(J60&amp;"")," ",REPT(" ",60)),60)),코드표!$F$2:$F$101,0)),"⚠"&amp;TRIM(J60&amp;""))),"⚠"&amp;TRIM(J60&amp;""))</f>
        <v/>
      </c>
      <c r="S60" s="11">
        <f>IF(K60="","",IFERROR(IF(AND(ROUND((VALUE(K60&amp;"")-INT(VALUE(K60&amp;"")))*100,0)&gt;=1,ROUND((VALUE(K60&amp;"")-INT(VALUE(K60&amp;"")))*100,0)&lt;=12,INT(VALUE(K60&amp;""))&gt;=1900),DATE(INT(VALUE(K60&amp;"")),ROUND((VALUE(K60&amp;"")-INT(VALUE(K60&amp;"")))*100,0),1),K60&amp;""),K60&amp;""))</f>
        <v/>
      </c>
      <c r="T60" s="10">
        <f>COUNTIF(M60:R60,"⚠*")</f>
        <v/>
      </c>
    </row>
    <row r="61"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M61" s="10">
        <f>IFERROR(IF(TRIM(E61&amp;"")="","",IF(AND(ISNUMBER(FIND(" ",TRIM(E61&amp;""))),ISNUMBER(MATCH(LEFT(TRIM(E61&amp;""),FIND(" ",TRIM(E61&amp;""))-1),코드표!$J$2:$J$101,0)),ISNUMBER(MATCH(TRIM(RIGHT(SUBSTITUTE(TRIM(E61&amp;"")," ",REPT(" ",60)),60)),코드표!$F$2:$F$101,0))),INDEX(코드표!$K$2:$K$101,MATCH(LEFT(TRIM(E61&amp;""),FIND(" ",TRIM(E61&amp;""))-1),코드표!$J$2:$J$101,0))&amp;" "&amp;INDEX(코드표!$G$2:$G$101,MATCH(TRIM(RIGHT(SUBSTITUTE(TRIM(E61&amp;"")," ",REPT(" ",60)),60)),코드표!$F$2:$F$101,0)),"⚠"&amp;TRIM(E61&amp;""))),"⚠"&amp;TRIM(E61&amp;""))</f>
        <v/>
      </c>
      <c r="N61" s="10">
        <f>IFERROR(IF(TRIM(F61&amp;"")="","",IF(AND(ISNUMBER(FIND(" ",TRIM(F61&amp;""))),ISNUMBER(MATCH(LEFT(TRIM(F61&amp;""),FIND(" ",TRIM(F61&amp;""))-1),코드표!$J$2:$J$101,0)),ISNUMBER(MATCH(TRIM(RIGHT(SUBSTITUTE(TRIM(F61&amp;"")," ",REPT(" ",60)),60)),코드표!$F$2:$F$101,0))),INDEX(코드표!$K$2:$K$101,MATCH(LEFT(TRIM(F61&amp;""),FIND(" ",TRIM(F61&amp;""))-1),코드표!$J$2:$J$101,0))&amp;" "&amp;INDEX(코드표!$G$2:$G$101,MATCH(TRIM(RIGHT(SUBSTITUTE(TRIM(F61&amp;"")," ",REPT(" ",60)),60)),코드표!$F$2:$F$101,0)),"⚠"&amp;TRIM(F61&amp;""))),"⚠"&amp;TRIM(F61&amp;""))</f>
        <v/>
      </c>
      <c r="O61" s="10">
        <f>IFERROR(IF(TRIM(G61&amp;"")="","",IF(AND(ISNUMBER(FIND(" ",TRIM(G61&amp;""))),ISNUMBER(MATCH(LEFT(TRIM(G61&amp;""),FIND(" ",TRIM(G61&amp;""))-1),코드표!$J$2:$J$101,0)),ISNUMBER(MATCH(TRIM(RIGHT(SUBSTITUTE(TRIM(G61&amp;"")," ",REPT(" ",60)),60)),코드표!$F$2:$F$101,0))),INDEX(코드표!$K$2:$K$101,MATCH(LEFT(TRIM(G61&amp;""),FIND(" ",TRIM(G61&amp;""))-1),코드표!$J$2:$J$101,0))&amp;" "&amp;INDEX(코드표!$G$2:$G$101,MATCH(TRIM(RIGHT(SUBSTITUTE(TRIM(G61&amp;"")," ",REPT(" ",60)),60)),코드표!$F$2:$F$101,0)),"⚠"&amp;TRIM(G61&amp;""))),"⚠"&amp;TRIM(G61&amp;""))</f>
        <v/>
      </c>
      <c r="P61" s="10">
        <f>IFERROR(IF(TRIM(H61&amp;"")="","",IF(AND(ISNUMBER(FIND(" ",TRIM(H61&amp;""))),ISNUMBER(MATCH(LEFT(TRIM(H61&amp;""),FIND(" ",TRIM(H61&amp;""))-1),코드표!$J$2:$J$101,0)),ISNUMBER(MATCH(TRIM(RIGHT(SUBSTITUTE(TRIM(H61&amp;"")," ",REPT(" ",60)),60)),코드표!$F$2:$F$101,0))),INDEX(코드표!$K$2:$K$101,MATCH(LEFT(TRIM(H61&amp;""),FIND(" ",TRIM(H61&amp;""))-1),코드표!$J$2:$J$101,0))&amp;" "&amp;INDEX(코드표!$G$2:$G$101,MATCH(TRIM(RIGHT(SUBSTITUTE(TRIM(H61&amp;"")," ",REPT(" ",60)),60)),코드표!$F$2:$F$101,0)),"⚠"&amp;TRIM(H61&amp;""))),"⚠"&amp;TRIM(H61&amp;""))</f>
        <v/>
      </c>
      <c r="Q61" s="10">
        <f>IFERROR(IF(TRIM(I61&amp;"")="","",IF(AND(ISNUMBER(FIND(" ",TRIM(I61&amp;""))),ISNUMBER(MATCH(LEFT(TRIM(I61&amp;""),FIND(" ",TRIM(I61&amp;""))-1),코드표!$J$2:$J$101,0)),ISNUMBER(MATCH(TRIM(RIGHT(SUBSTITUTE(TRIM(I61&amp;"")," ",REPT(" ",60)),60)),코드표!$F$2:$F$101,0))),INDEX(코드표!$K$2:$K$101,MATCH(LEFT(TRIM(I61&amp;""),FIND(" ",TRIM(I61&amp;""))-1),코드표!$J$2:$J$101,0))&amp;" "&amp;INDEX(코드표!$G$2:$G$101,MATCH(TRIM(RIGHT(SUBSTITUTE(TRIM(I61&amp;"")," ",REPT(" ",60)),60)),코드표!$F$2:$F$101,0)),"⚠"&amp;TRIM(I61&amp;""))),"⚠"&amp;TRIM(I61&amp;""))</f>
        <v/>
      </c>
      <c r="R61" s="10">
        <f>IFERROR(IF(TRIM(J61&amp;"")="","",IF(AND(ISNUMBER(FIND(" ",TRIM(J61&amp;""))),ISNUMBER(MATCH(LEFT(TRIM(J61&amp;""),FIND(" ",TRIM(J61&amp;""))-1),코드표!$J$2:$J$101,0)),ISNUMBER(MATCH(TRIM(RIGHT(SUBSTITUTE(TRIM(J61&amp;"")," ",REPT(" ",60)),60)),코드표!$F$2:$F$101,0))),INDEX(코드표!$K$2:$K$101,MATCH(LEFT(TRIM(J61&amp;""),FIND(" ",TRIM(J61&amp;""))-1),코드표!$J$2:$J$101,0))&amp;" "&amp;INDEX(코드표!$G$2:$G$101,MATCH(TRIM(RIGHT(SUBSTITUTE(TRIM(J61&amp;"")," ",REPT(" ",60)),60)),코드표!$F$2:$F$101,0)),"⚠"&amp;TRIM(J61&amp;""))),"⚠"&amp;TRIM(J61&amp;""))</f>
        <v/>
      </c>
      <c r="S61" s="11">
        <f>IF(K61="","",IFERROR(IF(AND(ROUND((VALUE(K61&amp;"")-INT(VALUE(K61&amp;"")))*100,0)&gt;=1,ROUND((VALUE(K61&amp;"")-INT(VALUE(K61&amp;"")))*100,0)&lt;=12,INT(VALUE(K61&amp;""))&gt;=1900),DATE(INT(VALUE(K61&amp;"")),ROUND((VALUE(K61&amp;"")-INT(VALUE(K61&amp;"")))*100,0),1),K61&amp;""),K61&amp;""))</f>
        <v/>
      </c>
      <c r="T61" s="10">
        <f>COUNTIF(M61:R61,"⚠*")</f>
        <v/>
      </c>
    </row>
    <row r="62"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M62" s="10">
        <f>IFERROR(IF(TRIM(E62&amp;"")="","",IF(AND(ISNUMBER(FIND(" ",TRIM(E62&amp;""))),ISNUMBER(MATCH(LEFT(TRIM(E62&amp;""),FIND(" ",TRIM(E62&amp;""))-1),코드표!$J$2:$J$101,0)),ISNUMBER(MATCH(TRIM(RIGHT(SUBSTITUTE(TRIM(E62&amp;"")," ",REPT(" ",60)),60)),코드표!$F$2:$F$101,0))),INDEX(코드표!$K$2:$K$101,MATCH(LEFT(TRIM(E62&amp;""),FIND(" ",TRIM(E62&amp;""))-1),코드표!$J$2:$J$101,0))&amp;" "&amp;INDEX(코드표!$G$2:$G$101,MATCH(TRIM(RIGHT(SUBSTITUTE(TRIM(E62&amp;"")," ",REPT(" ",60)),60)),코드표!$F$2:$F$101,0)),"⚠"&amp;TRIM(E62&amp;""))),"⚠"&amp;TRIM(E62&amp;""))</f>
        <v/>
      </c>
      <c r="N62" s="10">
        <f>IFERROR(IF(TRIM(F62&amp;"")="","",IF(AND(ISNUMBER(FIND(" ",TRIM(F62&amp;""))),ISNUMBER(MATCH(LEFT(TRIM(F62&amp;""),FIND(" ",TRIM(F62&amp;""))-1),코드표!$J$2:$J$101,0)),ISNUMBER(MATCH(TRIM(RIGHT(SUBSTITUTE(TRIM(F62&amp;"")," ",REPT(" ",60)),60)),코드표!$F$2:$F$101,0))),INDEX(코드표!$K$2:$K$101,MATCH(LEFT(TRIM(F62&amp;""),FIND(" ",TRIM(F62&amp;""))-1),코드표!$J$2:$J$101,0))&amp;" "&amp;INDEX(코드표!$G$2:$G$101,MATCH(TRIM(RIGHT(SUBSTITUTE(TRIM(F62&amp;"")," ",REPT(" ",60)),60)),코드표!$F$2:$F$101,0)),"⚠"&amp;TRIM(F62&amp;""))),"⚠"&amp;TRIM(F62&amp;""))</f>
        <v/>
      </c>
      <c r="O62" s="10">
        <f>IFERROR(IF(TRIM(G62&amp;"")="","",IF(AND(ISNUMBER(FIND(" ",TRIM(G62&amp;""))),ISNUMBER(MATCH(LEFT(TRIM(G62&amp;""),FIND(" ",TRIM(G62&amp;""))-1),코드표!$J$2:$J$101,0)),ISNUMBER(MATCH(TRIM(RIGHT(SUBSTITUTE(TRIM(G62&amp;"")," ",REPT(" ",60)),60)),코드표!$F$2:$F$101,0))),INDEX(코드표!$K$2:$K$101,MATCH(LEFT(TRIM(G62&amp;""),FIND(" ",TRIM(G62&amp;""))-1),코드표!$J$2:$J$101,0))&amp;" "&amp;INDEX(코드표!$G$2:$G$101,MATCH(TRIM(RIGHT(SUBSTITUTE(TRIM(G62&amp;"")," ",REPT(" ",60)),60)),코드표!$F$2:$F$101,0)),"⚠"&amp;TRIM(G62&amp;""))),"⚠"&amp;TRIM(G62&amp;""))</f>
        <v/>
      </c>
      <c r="P62" s="10">
        <f>IFERROR(IF(TRIM(H62&amp;"")="","",IF(AND(ISNUMBER(FIND(" ",TRIM(H62&amp;""))),ISNUMBER(MATCH(LEFT(TRIM(H62&amp;""),FIND(" ",TRIM(H62&amp;""))-1),코드표!$J$2:$J$101,0)),ISNUMBER(MATCH(TRIM(RIGHT(SUBSTITUTE(TRIM(H62&amp;"")," ",REPT(" ",60)),60)),코드표!$F$2:$F$101,0))),INDEX(코드표!$K$2:$K$101,MATCH(LEFT(TRIM(H62&amp;""),FIND(" ",TRIM(H62&amp;""))-1),코드표!$J$2:$J$101,0))&amp;" "&amp;INDEX(코드표!$G$2:$G$101,MATCH(TRIM(RIGHT(SUBSTITUTE(TRIM(H62&amp;"")," ",REPT(" ",60)),60)),코드표!$F$2:$F$101,0)),"⚠"&amp;TRIM(H62&amp;""))),"⚠"&amp;TRIM(H62&amp;""))</f>
        <v/>
      </c>
      <c r="Q62" s="10">
        <f>IFERROR(IF(TRIM(I62&amp;"")="","",IF(AND(ISNUMBER(FIND(" ",TRIM(I62&amp;""))),ISNUMBER(MATCH(LEFT(TRIM(I62&amp;""),FIND(" ",TRIM(I62&amp;""))-1),코드표!$J$2:$J$101,0)),ISNUMBER(MATCH(TRIM(RIGHT(SUBSTITUTE(TRIM(I62&amp;"")," ",REPT(" ",60)),60)),코드표!$F$2:$F$101,0))),INDEX(코드표!$K$2:$K$101,MATCH(LEFT(TRIM(I62&amp;""),FIND(" ",TRIM(I62&amp;""))-1),코드표!$J$2:$J$101,0))&amp;" "&amp;INDEX(코드표!$G$2:$G$101,MATCH(TRIM(RIGHT(SUBSTITUTE(TRIM(I62&amp;"")," ",REPT(" ",60)),60)),코드표!$F$2:$F$101,0)),"⚠"&amp;TRIM(I62&amp;""))),"⚠"&amp;TRIM(I62&amp;""))</f>
        <v/>
      </c>
      <c r="R62" s="10">
        <f>IFERROR(IF(TRIM(J62&amp;"")="","",IF(AND(ISNUMBER(FIND(" ",TRIM(J62&amp;""))),ISNUMBER(MATCH(LEFT(TRIM(J62&amp;""),FIND(" ",TRIM(J62&amp;""))-1),코드표!$J$2:$J$101,0)),ISNUMBER(MATCH(TRIM(RIGHT(SUBSTITUTE(TRIM(J62&amp;"")," ",REPT(" ",60)),60)),코드표!$F$2:$F$101,0))),INDEX(코드표!$K$2:$K$101,MATCH(LEFT(TRIM(J62&amp;""),FIND(" ",TRIM(J62&amp;""))-1),코드표!$J$2:$J$101,0))&amp;" "&amp;INDEX(코드표!$G$2:$G$101,MATCH(TRIM(RIGHT(SUBSTITUTE(TRIM(J62&amp;"")," ",REPT(" ",60)),60)),코드표!$F$2:$F$101,0)),"⚠"&amp;TRIM(J62&amp;""))),"⚠"&amp;TRIM(J62&amp;""))</f>
        <v/>
      </c>
      <c r="S62" s="11">
        <f>IF(K62="","",IFERROR(IF(AND(ROUND((VALUE(K62&amp;"")-INT(VALUE(K62&amp;"")))*100,0)&gt;=1,ROUND((VALUE(K62&amp;"")-INT(VALUE(K62&amp;"")))*100,0)&lt;=12,INT(VALUE(K62&amp;""))&gt;=1900),DATE(INT(VALUE(K62&amp;"")),ROUND((VALUE(K62&amp;"")-INT(VALUE(K62&amp;"")))*100,0),1),K62&amp;""),K62&amp;""))</f>
        <v/>
      </c>
      <c r="T62" s="10">
        <f>COUNTIF(M62:R62,"⚠*")</f>
        <v/>
      </c>
    </row>
    <row r="63"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M63" s="10">
        <f>IFERROR(IF(TRIM(E63&amp;"")="","",IF(AND(ISNUMBER(FIND(" ",TRIM(E63&amp;""))),ISNUMBER(MATCH(LEFT(TRIM(E63&amp;""),FIND(" ",TRIM(E63&amp;""))-1),코드표!$J$2:$J$101,0)),ISNUMBER(MATCH(TRIM(RIGHT(SUBSTITUTE(TRIM(E63&amp;"")," ",REPT(" ",60)),60)),코드표!$F$2:$F$101,0))),INDEX(코드표!$K$2:$K$101,MATCH(LEFT(TRIM(E63&amp;""),FIND(" ",TRIM(E63&amp;""))-1),코드표!$J$2:$J$101,0))&amp;" "&amp;INDEX(코드표!$G$2:$G$101,MATCH(TRIM(RIGHT(SUBSTITUTE(TRIM(E63&amp;"")," ",REPT(" ",60)),60)),코드표!$F$2:$F$101,0)),"⚠"&amp;TRIM(E63&amp;""))),"⚠"&amp;TRIM(E63&amp;""))</f>
        <v/>
      </c>
      <c r="N63" s="10">
        <f>IFERROR(IF(TRIM(F63&amp;"")="","",IF(AND(ISNUMBER(FIND(" ",TRIM(F63&amp;""))),ISNUMBER(MATCH(LEFT(TRIM(F63&amp;""),FIND(" ",TRIM(F63&amp;""))-1),코드표!$J$2:$J$101,0)),ISNUMBER(MATCH(TRIM(RIGHT(SUBSTITUTE(TRIM(F63&amp;"")," ",REPT(" ",60)),60)),코드표!$F$2:$F$101,0))),INDEX(코드표!$K$2:$K$101,MATCH(LEFT(TRIM(F63&amp;""),FIND(" ",TRIM(F63&amp;""))-1),코드표!$J$2:$J$101,0))&amp;" "&amp;INDEX(코드표!$G$2:$G$101,MATCH(TRIM(RIGHT(SUBSTITUTE(TRIM(F63&amp;"")," ",REPT(" ",60)),60)),코드표!$F$2:$F$101,0)),"⚠"&amp;TRIM(F63&amp;""))),"⚠"&amp;TRIM(F63&amp;""))</f>
        <v/>
      </c>
      <c r="O63" s="10">
        <f>IFERROR(IF(TRIM(G63&amp;"")="","",IF(AND(ISNUMBER(FIND(" ",TRIM(G63&amp;""))),ISNUMBER(MATCH(LEFT(TRIM(G63&amp;""),FIND(" ",TRIM(G63&amp;""))-1),코드표!$J$2:$J$101,0)),ISNUMBER(MATCH(TRIM(RIGHT(SUBSTITUTE(TRIM(G63&amp;"")," ",REPT(" ",60)),60)),코드표!$F$2:$F$101,0))),INDEX(코드표!$K$2:$K$101,MATCH(LEFT(TRIM(G63&amp;""),FIND(" ",TRIM(G63&amp;""))-1),코드표!$J$2:$J$101,0))&amp;" "&amp;INDEX(코드표!$G$2:$G$101,MATCH(TRIM(RIGHT(SUBSTITUTE(TRIM(G63&amp;"")," ",REPT(" ",60)),60)),코드표!$F$2:$F$101,0)),"⚠"&amp;TRIM(G63&amp;""))),"⚠"&amp;TRIM(G63&amp;""))</f>
        <v/>
      </c>
      <c r="P63" s="10">
        <f>IFERROR(IF(TRIM(H63&amp;"")="","",IF(AND(ISNUMBER(FIND(" ",TRIM(H63&amp;""))),ISNUMBER(MATCH(LEFT(TRIM(H63&amp;""),FIND(" ",TRIM(H63&amp;""))-1),코드표!$J$2:$J$101,0)),ISNUMBER(MATCH(TRIM(RIGHT(SUBSTITUTE(TRIM(H63&amp;"")," ",REPT(" ",60)),60)),코드표!$F$2:$F$101,0))),INDEX(코드표!$K$2:$K$101,MATCH(LEFT(TRIM(H63&amp;""),FIND(" ",TRIM(H63&amp;""))-1),코드표!$J$2:$J$101,0))&amp;" "&amp;INDEX(코드표!$G$2:$G$101,MATCH(TRIM(RIGHT(SUBSTITUTE(TRIM(H63&amp;"")," ",REPT(" ",60)),60)),코드표!$F$2:$F$101,0)),"⚠"&amp;TRIM(H63&amp;""))),"⚠"&amp;TRIM(H63&amp;""))</f>
        <v/>
      </c>
      <c r="Q63" s="10">
        <f>IFERROR(IF(TRIM(I63&amp;"")="","",IF(AND(ISNUMBER(FIND(" ",TRIM(I63&amp;""))),ISNUMBER(MATCH(LEFT(TRIM(I63&amp;""),FIND(" ",TRIM(I63&amp;""))-1),코드표!$J$2:$J$101,0)),ISNUMBER(MATCH(TRIM(RIGHT(SUBSTITUTE(TRIM(I63&amp;"")," ",REPT(" ",60)),60)),코드표!$F$2:$F$101,0))),INDEX(코드표!$K$2:$K$101,MATCH(LEFT(TRIM(I63&amp;""),FIND(" ",TRIM(I63&amp;""))-1),코드표!$J$2:$J$101,0))&amp;" "&amp;INDEX(코드표!$G$2:$G$101,MATCH(TRIM(RIGHT(SUBSTITUTE(TRIM(I63&amp;"")," ",REPT(" ",60)),60)),코드표!$F$2:$F$101,0)),"⚠"&amp;TRIM(I63&amp;""))),"⚠"&amp;TRIM(I63&amp;""))</f>
        <v/>
      </c>
      <c r="R63" s="10">
        <f>IFERROR(IF(TRIM(J63&amp;"")="","",IF(AND(ISNUMBER(FIND(" ",TRIM(J63&amp;""))),ISNUMBER(MATCH(LEFT(TRIM(J63&amp;""),FIND(" ",TRIM(J63&amp;""))-1),코드표!$J$2:$J$101,0)),ISNUMBER(MATCH(TRIM(RIGHT(SUBSTITUTE(TRIM(J63&amp;"")," ",REPT(" ",60)),60)),코드표!$F$2:$F$101,0))),INDEX(코드표!$K$2:$K$101,MATCH(LEFT(TRIM(J63&amp;""),FIND(" ",TRIM(J63&amp;""))-1),코드표!$J$2:$J$101,0))&amp;" "&amp;INDEX(코드표!$G$2:$G$101,MATCH(TRIM(RIGHT(SUBSTITUTE(TRIM(J63&amp;"")," ",REPT(" ",60)),60)),코드표!$F$2:$F$101,0)),"⚠"&amp;TRIM(J63&amp;""))),"⚠"&amp;TRIM(J63&amp;""))</f>
        <v/>
      </c>
      <c r="S63" s="11">
        <f>IF(K63="","",IFERROR(IF(AND(ROUND((VALUE(K63&amp;"")-INT(VALUE(K63&amp;"")))*100,0)&gt;=1,ROUND((VALUE(K63&amp;"")-INT(VALUE(K63&amp;"")))*100,0)&lt;=12,INT(VALUE(K63&amp;""))&gt;=1900),DATE(INT(VALUE(K63&amp;"")),ROUND((VALUE(K63&amp;"")-INT(VALUE(K63&amp;"")))*100,0),1),K63&amp;""),K63&amp;""))</f>
        <v/>
      </c>
      <c r="T63" s="10">
        <f>COUNTIF(M63:R63,"⚠*")</f>
        <v/>
      </c>
    </row>
    <row r="64"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M64" s="10">
        <f>IFERROR(IF(TRIM(E64&amp;"")="","",IF(AND(ISNUMBER(FIND(" ",TRIM(E64&amp;""))),ISNUMBER(MATCH(LEFT(TRIM(E64&amp;""),FIND(" ",TRIM(E64&amp;""))-1),코드표!$J$2:$J$101,0)),ISNUMBER(MATCH(TRIM(RIGHT(SUBSTITUTE(TRIM(E64&amp;"")," ",REPT(" ",60)),60)),코드표!$F$2:$F$101,0))),INDEX(코드표!$K$2:$K$101,MATCH(LEFT(TRIM(E64&amp;""),FIND(" ",TRIM(E64&amp;""))-1),코드표!$J$2:$J$101,0))&amp;" "&amp;INDEX(코드표!$G$2:$G$101,MATCH(TRIM(RIGHT(SUBSTITUTE(TRIM(E64&amp;"")," ",REPT(" ",60)),60)),코드표!$F$2:$F$101,0)),"⚠"&amp;TRIM(E64&amp;""))),"⚠"&amp;TRIM(E64&amp;""))</f>
        <v/>
      </c>
      <c r="N64" s="10">
        <f>IFERROR(IF(TRIM(F64&amp;"")="","",IF(AND(ISNUMBER(FIND(" ",TRIM(F64&amp;""))),ISNUMBER(MATCH(LEFT(TRIM(F64&amp;""),FIND(" ",TRIM(F64&amp;""))-1),코드표!$J$2:$J$101,0)),ISNUMBER(MATCH(TRIM(RIGHT(SUBSTITUTE(TRIM(F64&amp;"")," ",REPT(" ",60)),60)),코드표!$F$2:$F$101,0))),INDEX(코드표!$K$2:$K$101,MATCH(LEFT(TRIM(F64&amp;""),FIND(" ",TRIM(F64&amp;""))-1),코드표!$J$2:$J$101,0))&amp;" "&amp;INDEX(코드표!$G$2:$G$101,MATCH(TRIM(RIGHT(SUBSTITUTE(TRIM(F64&amp;"")," ",REPT(" ",60)),60)),코드표!$F$2:$F$101,0)),"⚠"&amp;TRIM(F64&amp;""))),"⚠"&amp;TRIM(F64&amp;""))</f>
        <v/>
      </c>
      <c r="O64" s="10">
        <f>IFERROR(IF(TRIM(G64&amp;"")="","",IF(AND(ISNUMBER(FIND(" ",TRIM(G64&amp;""))),ISNUMBER(MATCH(LEFT(TRIM(G64&amp;""),FIND(" ",TRIM(G64&amp;""))-1),코드표!$J$2:$J$101,0)),ISNUMBER(MATCH(TRIM(RIGHT(SUBSTITUTE(TRIM(G64&amp;"")," ",REPT(" ",60)),60)),코드표!$F$2:$F$101,0))),INDEX(코드표!$K$2:$K$101,MATCH(LEFT(TRIM(G64&amp;""),FIND(" ",TRIM(G64&amp;""))-1),코드표!$J$2:$J$101,0))&amp;" "&amp;INDEX(코드표!$G$2:$G$101,MATCH(TRIM(RIGHT(SUBSTITUTE(TRIM(G64&amp;"")," ",REPT(" ",60)),60)),코드표!$F$2:$F$101,0)),"⚠"&amp;TRIM(G64&amp;""))),"⚠"&amp;TRIM(G64&amp;""))</f>
        <v/>
      </c>
      <c r="P64" s="10">
        <f>IFERROR(IF(TRIM(H64&amp;"")="","",IF(AND(ISNUMBER(FIND(" ",TRIM(H64&amp;""))),ISNUMBER(MATCH(LEFT(TRIM(H64&amp;""),FIND(" ",TRIM(H64&amp;""))-1),코드표!$J$2:$J$101,0)),ISNUMBER(MATCH(TRIM(RIGHT(SUBSTITUTE(TRIM(H64&amp;"")," ",REPT(" ",60)),60)),코드표!$F$2:$F$101,0))),INDEX(코드표!$K$2:$K$101,MATCH(LEFT(TRIM(H64&amp;""),FIND(" ",TRIM(H64&amp;""))-1),코드표!$J$2:$J$101,0))&amp;" "&amp;INDEX(코드표!$G$2:$G$101,MATCH(TRIM(RIGHT(SUBSTITUTE(TRIM(H64&amp;"")," ",REPT(" ",60)),60)),코드표!$F$2:$F$101,0)),"⚠"&amp;TRIM(H64&amp;""))),"⚠"&amp;TRIM(H64&amp;""))</f>
        <v/>
      </c>
      <c r="Q64" s="10">
        <f>IFERROR(IF(TRIM(I64&amp;"")="","",IF(AND(ISNUMBER(FIND(" ",TRIM(I64&amp;""))),ISNUMBER(MATCH(LEFT(TRIM(I64&amp;""),FIND(" ",TRIM(I64&amp;""))-1),코드표!$J$2:$J$101,0)),ISNUMBER(MATCH(TRIM(RIGHT(SUBSTITUTE(TRIM(I64&amp;"")," ",REPT(" ",60)),60)),코드표!$F$2:$F$101,0))),INDEX(코드표!$K$2:$K$101,MATCH(LEFT(TRIM(I64&amp;""),FIND(" ",TRIM(I64&amp;""))-1),코드표!$J$2:$J$101,0))&amp;" "&amp;INDEX(코드표!$G$2:$G$101,MATCH(TRIM(RIGHT(SUBSTITUTE(TRIM(I64&amp;"")," ",REPT(" ",60)),60)),코드표!$F$2:$F$101,0)),"⚠"&amp;TRIM(I64&amp;""))),"⚠"&amp;TRIM(I64&amp;""))</f>
        <v/>
      </c>
      <c r="R64" s="10">
        <f>IFERROR(IF(TRIM(J64&amp;"")="","",IF(AND(ISNUMBER(FIND(" ",TRIM(J64&amp;""))),ISNUMBER(MATCH(LEFT(TRIM(J64&amp;""),FIND(" ",TRIM(J64&amp;""))-1),코드표!$J$2:$J$101,0)),ISNUMBER(MATCH(TRIM(RIGHT(SUBSTITUTE(TRIM(J64&amp;"")," ",REPT(" ",60)),60)),코드표!$F$2:$F$101,0))),INDEX(코드표!$K$2:$K$101,MATCH(LEFT(TRIM(J64&amp;""),FIND(" ",TRIM(J64&amp;""))-1),코드표!$J$2:$J$101,0))&amp;" "&amp;INDEX(코드표!$G$2:$G$101,MATCH(TRIM(RIGHT(SUBSTITUTE(TRIM(J64&amp;"")," ",REPT(" ",60)),60)),코드표!$F$2:$F$101,0)),"⚠"&amp;TRIM(J64&amp;""))),"⚠"&amp;TRIM(J64&amp;""))</f>
        <v/>
      </c>
      <c r="S64" s="11">
        <f>IF(K64="","",IFERROR(IF(AND(ROUND((VALUE(K64&amp;"")-INT(VALUE(K64&amp;"")))*100,0)&gt;=1,ROUND((VALUE(K64&amp;"")-INT(VALUE(K64&amp;"")))*100,0)&lt;=12,INT(VALUE(K64&amp;""))&gt;=1900),DATE(INT(VALUE(K64&amp;"")),ROUND((VALUE(K64&amp;"")-INT(VALUE(K64&amp;"")))*100,0),1),K64&amp;""),K64&amp;""))</f>
        <v/>
      </c>
      <c r="T64" s="10">
        <f>COUNTIF(M64:R64,"⚠*")</f>
        <v/>
      </c>
    </row>
    <row r="65"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M65" s="10">
        <f>IFERROR(IF(TRIM(E65&amp;"")="","",IF(AND(ISNUMBER(FIND(" ",TRIM(E65&amp;""))),ISNUMBER(MATCH(LEFT(TRIM(E65&amp;""),FIND(" ",TRIM(E65&amp;""))-1),코드표!$J$2:$J$101,0)),ISNUMBER(MATCH(TRIM(RIGHT(SUBSTITUTE(TRIM(E65&amp;"")," ",REPT(" ",60)),60)),코드표!$F$2:$F$101,0))),INDEX(코드표!$K$2:$K$101,MATCH(LEFT(TRIM(E65&amp;""),FIND(" ",TRIM(E65&amp;""))-1),코드표!$J$2:$J$101,0))&amp;" "&amp;INDEX(코드표!$G$2:$G$101,MATCH(TRIM(RIGHT(SUBSTITUTE(TRIM(E65&amp;"")," ",REPT(" ",60)),60)),코드표!$F$2:$F$101,0)),"⚠"&amp;TRIM(E65&amp;""))),"⚠"&amp;TRIM(E65&amp;""))</f>
        <v/>
      </c>
      <c r="N65" s="10">
        <f>IFERROR(IF(TRIM(F65&amp;"")="","",IF(AND(ISNUMBER(FIND(" ",TRIM(F65&amp;""))),ISNUMBER(MATCH(LEFT(TRIM(F65&amp;""),FIND(" ",TRIM(F65&amp;""))-1),코드표!$J$2:$J$101,0)),ISNUMBER(MATCH(TRIM(RIGHT(SUBSTITUTE(TRIM(F65&amp;"")," ",REPT(" ",60)),60)),코드표!$F$2:$F$101,0))),INDEX(코드표!$K$2:$K$101,MATCH(LEFT(TRIM(F65&amp;""),FIND(" ",TRIM(F65&amp;""))-1),코드표!$J$2:$J$101,0))&amp;" "&amp;INDEX(코드표!$G$2:$G$101,MATCH(TRIM(RIGHT(SUBSTITUTE(TRIM(F65&amp;"")," ",REPT(" ",60)),60)),코드표!$F$2:$F$101,0)),"⚠"&amp;TRIM(F65&amp;""))),"⚠"&amp;TRIM(F65&amp;""))</f>
        <v/>
      </c>
      <c r="O65" s="10">
        <f>IFERROR(IF(TRIM(G65&amp;"")="","",IF(AND(ISNUMBER(FIND(" ",TRIM(G65&amp;""))),ISNUMBER(MATCH(LEFT(TRIM(G65&amp;""),FIND(" ",TRIM(G65&amp;""))-1),코드표!$J$2:$J$101,0)),ISNUMBER(MATCH(TRIM(RIGHT(SUBSTITUTE(TRIM(G65&amp;"")," ",REPT(" ",60)),60)),코드표!$F$2:$F$101,0))),INDEX(코드표!$K$2:$K$101,MATCH(LEFT(TRIM(G65&amp;""),FIND(" ",TRIM(G65&amp;""))-1),코드표!$J$2:$J$101,0))&amp;" "&amp;INDEX(코드표!$G$2:$G$101,MATCH(TRIM(RIGHT(SUBSTITUTE(TRIM(G65&amp;"")," ",REPT(" ",60)),60)),코드표!$F$2:$F$101,0)),"⚠"&amp;TRIM(G65&amp;""))),"⚠"&amp;TRIM(G65&amp;""))</f>
        <v/>
      </c>
      <c r="P65" s="10">
        <f>IFERROR(IF(TRIM(H65&amp;"")="","",IF(AND(ISNUMBER(FIND(" ",TRIM(H65&amp;""))),ISNUMBER(MATCH(LEFT(TRIM(H65&amp;""),FIND(" ",TRIM(H65&amp;""))-1),코드표!$J$2:$J$101,0)),ISNUMBER(MATCH(TRIM(RIGHT(SUBSTITUTE(TRIM(H65&amp;"")," ",REPT(" ",60)),60)),코드표!$F$2:$F$101,0))),INDEX(코드표!$K$2:$K$101,MATCH(LEFT(TRIM(H65&amp;""),FIND(" ",TRIM(H65&amp;""))-1),코드표!$J$2:$J$101,0))&amp;" "&amp;INDEX(코드표!$G$2:$G$101,MATCH(TRIM(RIGHT(SUBSTITUTE(TRIM(H65&amp;"")," ",REPT(" ",60)),60)),코드표!$F$2:$F$101,0)),"⚠"&amp;TRIM(H65&amp;""))),"⚠"&amp;TRIM(H65&amp;""))</f>
        <v/>
      </c>
      <c r="Q65" s="10">
        <f>IFERROR(IF(TRIM(I65&amp;"")="","",IF(AND(ISNUMBER(FIND(" ",TRIM(I65&amp;""))),ISNUMBER(MATCH(LEFT(TRIM(I65&amp;""),FIND(" ",TRIM(I65&amp;""))-1),코드표!$J$2:$J$101,0)),ISNUMBER(MATCH(TRIM(RIGHT(SUBSTITUTE(TRIM(I65&amp;"")," ",REPT(" ",60)),60)),코드표!$F$2:$F$101,0))),INDEX(코드표!$K$2:$K$101,MATCH(LEFT(TRIM(I65&amp;""),FIND(" ",TRIM(I65&amp;""))-1),코드표!$J$2:$J$101,0))&amp;" "&amp;INDEX(코드표!$G$2:$G$101,MATCH(TRIM(RIGHT(SUBSTITUTE(TRIM(I65&amp;"")," ",REPT(" ",60)),60)),코드표!$F$2:$F$101,0)),"⚠"&amp;TRIM(I65&amp;""))),"⚠"&amp;TRIM(I65&amp;""))</f>
        <v/>
      </c>
      <c r="R65" s="10">
        <f>IFERROR(IF(TRIM(J65&amp;"")="","",IF(AND(ISNUMBER(FIND(" ",TRIM(J65&amp;""))),ISNUMBER(MATCH(LEFT(TRIM(J65&amp;""),FIND(" ",TRIM(J65&amp;""))-1),코드표!$J$2:$J$101,0)),ISNUMBER(MATCH(TRIM(RIGHT(SUBSTITUTE(TRIM(J65&amp;"")," ",REPT(" ",60)),60)),코드표!$F$2:$F$101,0))),INDEX(코드표!$K$2:$K$101,MATCH(LEFT(TRIM(J65&amp;""),FIND(" ",TRIM(J65&amp;""))-1),코드표!$J$2:$J$101,0))&amp;" "&amp;INDEX(코드표!$G$2:$G$101,MATCH(TRIM(RIGHT(SUBSTITUTE(TRIM(J65&amp;"")," ",REPT(" ",60)),60)),코드표!$F$2:$F$101,0)),"⚠"&amp;TRIM(J65&amp;""))),"⚠"&amp;TRIM(J65&amp;""))</f>
        <v/>
      </c>
      <c r="S65" s="11">
        <f>IF(K65="","",IFERROR(IF(AND(ROUND((VALUE(K65&amp;"")-INT(VALUE(K65&amp;"")))*100,0)&gt;=1,ROUND((VALUE(K65&amp;"")-INT(VALUE(K65&amp;"")))*100,0)&lt;=12,INT(VALUE(K65&amp;""))&gt;=1900),DATE(INT(VALUE(K65&amp;"")),ROUND((VALUE(K65&amp;"")-INT(VALUE(K65&amp;"")))*100,0),1),K65&amp;""),K65&amp;""))</f>
        <v/>
      </c>
      <c r="T65" s="10">
        <f>COUNTIF(M65:R65,"⚠*")</f>
        <v/>
      </c>
    </row>
    <row r="66"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M66" s="10">
        <f>IFERROR(IF(TRIM(E66&amp;"")="","",IF(AND(ISNUMBER(FIND(" ",TRIM(E66&amp;""))),ISNUMBER(MATCH(LEFT(TRIM(E66&amp;""),FIND(" ",TRIM(E66&amp;""))-1),코드표!$J$2:$J$101,0)),ISNUMBER(MATCH(TRIM(RIGHT(SUBSTITUTE(TRIM(E66&amp;"")," ",REPT(" ",60)),60)),코드표!$F$2:$F$101,0))),INDEX(코드표!$K$2:$K$101,MATCH(LEFT(TRIM(E66&amp;""),FIND(" ",TRIM(E66&amp;""))-1),코드표!$J$2:$J$101,0))&amp;" "&amp;INDEX(코드표!$G$2:$G$101,MATCH(TRIM(RIGHT(SUBSTITUTE(TRIM(E66&amp;"")," ",REPT(" ",60)),60)),코드표!$F$2:$F$101,0)),"⚠"&amp;TRIM(E66&amp;""))),"⚠"&amp;TRIM(E66&amp;""))</f>
        <v/>
      </c>
      <c r="N66" s="10">
        <f>IFERROR(IF(TRIM(F66&amp;"")="","",IF(AND(ISNUMBER(FIND(" ",TRIM(F66&amp;""))),ISNUMBER(MATCH(LEFT(TRIM(F66&amp;""),FIND(" ",TRIM(F66&amp;""))-1),코드표!$J$2:$J$101,0)),ISNUMBER(MATCH(TRIM(RIGHT(SUBSTITUTE(TRIM(F66&amp;"")," ",REPT(" ",60)),60)),코드표!$F$2:$F$101,0))),INDEX(코드표!$K$2:$K$101,MATCH(LEFT(TRIM(F66&amp;""),FIND(" ",TRIM(F66&amp;""))-1),코드표!$J$2:$J$101,0))&amp;" "&amp;INDEX(코드표!$G$2:$G$101,MATCH(TRIM(RIGHT(SUBSTITUTE(TRIM(F66&amp;"")," ",REPT(" ",60)),60)),코드표!$F$2:$F$101,0)),"⚠"&amp;TRIM(F66&amp;""))),"⚠"&amp;TRIM(F66&amp;""))</f>
        <v/>
      </c>
      <c r="O66" s="10">
        <f>IFERROR(IF(TRIM(G66&amp;"")="","",IF(AND(ISNUMBER(FIND(" ",TRIM(G66&amp;""))),ISNUMBER(MATCH(LEFT(TRIM(G66&amp;""),FIND(" ",TRIM(G66&amp;""))-1),코드표!$J$2:$J$101,0)),ISNUMBER(MATCH(TRIM(RIGHT(SUBSTITUTE(TRIM(G66&amp;"")," ",REPT(" ",60)),60)),코드표!$F$2:$F$101,0))),INDEX(코드표!$K$2:$K$101,MATCH(LEFT(TRIM(G66&amp;""),FIND(" ",TRIM(G66&amp;""))-1),코드표!$J$2:$J$101,0))&amp;" "&amp;INDEX(코드표!$G$2:$G$101,MATCH(TRIM(RIGHT(SUBSTITUTE(TRIM(G66&amp;"")," ",REPT(" ",60)),60)),코드표!$F$2:$F$101,0)),"⚠"&amp;TRIM(G66&amp;""))),"⚠"&amp;TRIM(G66&amp;""))</f>
        <v/>
      </c>
      <c r="P66" s="10">
        <f>IFERROR(IF(TRIM(H66&amp;"")="","",IF(AND(ISNUMBER(FIND(" ",TRIM(H66&amp;""))),ISNUMBER(MATCH(LEFT(TRIM(H66&amp;""),FIND(" ",TRIM(H66&amp;""))-1),코드표!$J$2:$J$101,0)),ISNUMBER(MATCH(TRIM(RIGHT(SUBSTITUTE(TRIM(H66&amp;"")," ",REPT(" ",60)),60)),코드표!$F$2:$F$101,0))),INDEX(코드표!$K$2:$K$101,MATCH(LEFT(TRIM(H66&amp;""),FIND(" ",TRIM(H66&amp;""))-1),코드표!$J$2:$J$101,0))&amp;" "&amp;INDEX(코드표!$G$2:$G$101,MATCH(TRIM(RIGHT(SUBSTITUTE(TRIM(H66&amp;"")," ",REPT(" ",60)),60)),코드표!$F$2:$F$101,0)),"⚠"&amp;TRIM(H66&amp;""))),"⚠"&amp;TRIM(H66&amp;""))</f>
        <v/>
      </c>
      <c r="Q66" s="10">
        <f>IFERROR(IF(TRIM(I66&amp;"")="","",IF(AND(ISNUMBER(FIND(" ",TRIM(I66&amp;""))),ISNUMBER(MATCH(LEFT(TRIM(I66&amp;""),FIND(" ",TRIM(I66&amp;""))-1),코드표!$J$2:$J$101,0)),ISNUMBER(MATCH(TRIM(RIGHT(SUBSTITUTE(TRIM(I66&amp;"")," ",REPT(" ",60)),60)),코드표!$F$2:$F$101,0))),INDEX(코드표!$K$2:$K$101,MATCH(LEFT(TRIM(I66&amp;""),FIND(" ",TRIM(I66&amp;""))-1),코드표!$J$2:$J$101,0))&amp;" "&amp;INDEX(코드표!$G$2:$G$101,MATCH(TRIM(RIGHT(SUBSTITUTE(TRIM(I66&amp;"")," ",REPT(" ",60)),60)),코드표!$F$2:$F$101,0)),"⚠"&amp;TRIM(I66&amp;""))),"⚠"&amp;TRIM(I66&amp;""))</f>
        <v/>
      </c>
      <c r="R66" s="10">
        <f>IFERROR(IF(TRIM(J66&amp;"")="","",IF(AND(ISNUMBER(FIND(" ",TRIM(J66&amp;""))),ISNUMBER(MATCH(LEFT(TRIM(J66&amp;""),FIND(" ",TRIM(J66&amp;""))-1),코드표!$J$2:$J$101,0)),ISNUMBER(MATCH(TRIM(RIGHT(SUBSTITUTE(TRIM(J66&amp;"")," ",REPT(" ",60)),60)),코드표!$F$2:$F$101,0))),INDEX(코드표!$K$2:$K$101,MATCH(LEFT(TRIM(J66&amp;""),FIND(" ",TRIM(J66&amp;""))-1),코드표!$J$2:$J$101,0))&amp;" "&amp;INDEX(코드표!$G$2:$G$101,MATCH(TRIM(RIGHT(SUBSTITUTE(TRIM(J66&amp;"")," ",REPT(" ",60)),60)),코드표!$F$2:$F$101,0)),"⚠"&amp;TRIM(J66&amp;""))),"⚠"&amp;TRIM(J66&amp;""))</f>
        <v/>
      </c>
      <c r="S66" s="11">
        <f>IF(K66="","",IFERROR(IF(AND(ROUND((VALUE(K66&amp;"")-INT(VALUE(K66&amp;"")))*100,0)&gt;=1,ROUND((VALUE(K66&amp;"")-INT(VALUE(K66&amp;"")))*100,0)&lt;=12,INT(VALUE(K66&amp;""))&gt;=1900),DATE(INT(VALUE(K66&amp;"")),ROUND((VALUE(K66&amp;"")-INT(VALUE(K66&amp;"")))*100,0),1),K66&amp;""),K66&amp;""))</f>
        <v/>
      </c>
      <c r="T66" s="10">
        <f>COUNTIF(M66:R66,"⚠*")</f>
        <v/>
      </c>
    </row>
    <row r="67"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M67" s="10">
        <f>IFERROR(IF(TRIM(E67&amp;"")="","",IF(AND(ISNUMBER(FIND(" ",TRIM(E67&amp;""))),ISNUMBER(MATCH(LEFT(TRIM(E67&amp;""),FIND(" ",TRIM(E67&amp;""))-1),코드표!$J$2:$J$101,0)),ISNUMBER(MATCH(TRIM(RIGHT(SUBSTITUTE(TRIM(E67&amp;"")," ",REPT(" ",60)),60)),코드표!$F$2:$F$101,0))),INDEX(코드표!$K$2:$K$101,MATCH(LEFT(TRIM(E67&amp;""),FIND(" ",TRIM(E67&amp;""))-1),코드표!$J$2:$J$101,0))&amp;" "&amp;INDEX(코드표!$G$2:$G$101,MATCH(TRIM(RIGHT(SUBSTITUTE(TRIM(E67&amp;"")," ",REPT(" ",60)),60)),코드표!$F$2:$F$101,0)),"⚠"&amp;TRIM(E67&amp;""))),"⚠"&amp;TRIM(E67&amp;""))</f>
        <v/>
      </c>
      <c r="N67" s="10">
        <f>IFERROR(IF(TRIM(F67&amp;"")="","",IF(AND(ISNUMBER(FIND(" ",TRIM(F67&amp;""))),ISNUMBER(MATCH(LEFT(TRIM(F67&amp;""),FIND(" ",TRIM(F67&amp;""))-1),코드표!$J$2:$J$101,0)),ISNUMBER(MATCH(TRIM(RIGHT(SUBSTITUTE(TRIM(F67&amp;"")," ",REPT(" ",60)),60)),코드표!$F$2:$F$101,0))),INDEX(코드표!$K$2:$K$101,MATCH(LEFT(TRIM(F67&amp;""),FIND(" ",TRIM(F67&amp;""))-1),코드표!$J$2:$J$101,0))&amp;" "&amp;INDEX(코드표!$G$2:$G$101,MATCH(TRIM(RIGHT(SUBSTITUTE(TRIM(F67&amp;"")," ",REPT(" ",60)),60)),코드표!$F$2:$F$101,0)),"⚠"&amp;TRIM(F67&amp;""))),"⚠"&amp;TRIM(F67&amp;""))</f>
        <v/>
      </c>
      <c r="O67" s="10">
        <f>IFERROR(IF(TRIM(G67&amp;"")="","",IF(AND(ISNUMBER(FIND(" ",TRIM(G67&amp;""))),ISNUMBER(MATCH(LEFT(TRIM(G67&amp;""),FIND(" ",TRIM(G67&amp;""))-1),코드표!$J$2:$J$101,0)),ISNUMBER(MATCH(TRIM(RIGHT(SUBSTITUTE(TRIM(G67&amp;"")," ",REPT(" ",60)),60)),코드표!$F$2:$F$101,0))),INDEX(코드표!$K$2:$K$101,MATCH(LEFT(TRIM(G67&amp;""),FIND(" ",TRIM(G67&amp;""))-1),코드표!$J$2:$J$101,0))&amp;" "&amp;INDEX(코드표!$G$2:$G$101,MATCH(TRIM(RIGHT(SUBSTITUTE(TRIM(G67&amp;"")," ",REPT(" ",60)),60)),코드표!$F$2:$F$101,0)),"⚠"&amp;TRIM(G67&amp;""))),"⚠"&amp;TRIM(G67&amp;""))</f>
        <v/>
      </c>
      <c r="P67" s="10">
        <f>IFERROR(IF(TRIM(H67&amp;"")="","",IF(AND(ISNUMBER(FIND(" ",TRIM(H67&amp;""))),ISNUMBER(MATCH(LEFT(TRIM(H67&amp;""),FIND(" ",TRIM(H67&amp;""))-1),코드표!$J$2:$J$101,0)),ISNUMBER(MATCH(TRIM(RIGHT(SUBSTITUTE(TRIM(H67&amp;"")," ",REPT(" ",60)),60)),코드표!$F$2:$F$101,0))),INDEX(코드표!$K$2:$K$101,MATCH(LEFT(TRIM(H67&amp;""),FIND(" ",TRIM(H67&amp;""))-1),코드표!$J$2:$J$101,0))&amp;" "&amp;INDEX(코드표!$G$2:$G$101,MATCH(TRIM(RIGHT(SUBSTITUTE(TRIM(H67&amp;"")," ",REPT(" ",60)),60)),코드표!$F$2:$F$101,0)),"⚠"&amp;TRIM(H67&amp;""))),"⚠"&amp;TRIM(H67&amp;""))</f>
        <v/>
      </c>
      <c r="Q67" s="10">
        <f>IFERROR(IF(TRIM(I67&amp;"")="","",IF(AND(ISNUMBER(FIND(" ",TRIM(I67&amp;""))),ISNUMBER(MATCH(LEFT(TRIM(I67&amp;""),FIND(" ",TRIM(I67&amp;""))-1),코드표!$J$2:$J$101,0)),ISNUMBER(MATCH(TRIM(RIGHT(SUBSTITUTE(TRIM(I67&amp;"")," ",REPT(" ",60)),60)),코드표!$F$2:$F$101,0))),INDEX(코드표!$K$2:$K$101,MATCH(LEFT(TRIM(I67&amp;""),FIND(" ",TRIM(I67&amp;""))-1),코드표!$J$2:$J$101,0))&amp;" "&amp;INDEX(코드표!$G$2:$G$101,MATCH(TRIM(RIGHT(SUBSTITUTE(TRIM(I67&amp;"")," ",REPT(" ",60)),60)),코드표!$F$2:$F$101,0)),"⚠"&amp;TRIM(I67&amp;""))),"⚠"&amp;TRIM(I67&amp;""))</f>
        <v/>
      </c>
      <c r="R67" s="10">
        <f>IFERROR(IF(TRIM(J67&amp;"")="","",IF(AND(ISNUMBER(FIND(" ",TRIM(J67&amp;""))),ISNUMBER(MATCH(LEFT(TRIM(J67&amp;""),FIND(" ",TRIM(J67&amp;""))-1),코드표!$J$2:$J$101,0)),ISNUMBER(MATCH(TRIM(RIGHT(SUBSTITUTE(TRIM(J67&amp;"")," ",REPT(" ",60)),60)),코드표!$F$2:$F$101,0))),INDEX(코드표!$K$2:$K$101,MATCH(LEFT(TRIM(J67&amp;""),FIND(" ",TRIM(J67&amp;""))-1),코드표!$J$2:$J$101,0))&amp;" "&amp;INDEX(코드표!$G$2:$G$101,MATCH(TRIM(RIGHT(SUBSTITUTE(TRIM(J67&amp;"")," ",REPT(" ",60)),60)),코드표!$F$2:$F$101,0)),"⚠"&amp;TRIM(J67&amp;""))),"⚠"&amp;TRIM(J67&amp;""))</f>
        <v/>
      </c>
      <c r="S67" s="11">
        <f>IF(K67="","",IFERROR(IF(AND(ROUND((VALUE(K67&amp;"")-INT(VALUE(K67&amp;"")))*100,0)&gt;=1,ROUND((VALUE(K67&amp;"")-INT(VALUE(K67&amp;"")))*100,0)&lt;=12,INT(VALUE(K67&amp;""))&gt;=1900),DATE(INT(VALUE(K67&amp;"")),ROUND((VALUE(K67&amp;"")-INT(VALUE(K67&amp;"")))*100,0),1),K67&amp;""),K67&amp;""))</f>
        <v/>
      </c>
      <c r="T67" s="10">
        <f>COUNTIF(M67:R67,"⚠*")</f>
        <v/>
      </c>
    </row>
    <row r="68"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M68" s="10">
        <f>IFERROR(IF(TRIM(E68&amp;"")="","",IF(AND(ISNUMBER(FIND(" ",TRIM(E68&amp;""))),ISNUMBER(MATCH(LEFT(TRIM(E68&amp;""),FIND(" ",TRIM(E68&amp;""))-1),코드표!$J$2:$J$101,0)),ISNUMBER(MATCH(TRIM(RIGHT(SUBSTITUTE(TRIM(E68&amp;"")," ",REPT(" ",60)),60)),코드표!$F$2:$F$101,0))),INDEX(코드표!$K$2:$K$101,MATCH(LEFT(TRIM(E68&amp;""),FIND(" ",TRIM(E68&amp;""))-1),코드표!$J$2:$J$101,0))&amp;" "&amp;INDEX(코드표!$G$2:$G$101,MATCH(TRIM(RIGHT(SUBSTITUTE(TRIM(E68&amp;"")," ",REPT(" ",60)),60)),코드표!$F$2:$F$101,0)),"⚠"&amp;TRIM(E68&amp;""))),"⚠"&amp;TRIM(E68&amp;""))</f>
        <v/>
      </c>
      <c r="N68" s="10">
        <f>IFERROR(IF(TRIM(F68&amp;"")="","",IF(AND(ISNUMBER(FIND(" ",TRIM(F68&amp;""))),ISNUMBER(MATCH(LEFT(TRIM(F68&amp;""),FIND(" ",TRIM(F68&amp;""))-1),코드표!$J$2:$J$101,0)),ISNUMBER(MATCH(TRIM(RIGHT(SUBSTITUTE(TRIM(F68&amp;"")," ",REPT(" ",60)),60)),코드표!$F$2:$F$101,0))),INDEX(코드표!$K$2:$K$101,MATCH(LEFT(TRIM(F68&amp;""),FIND(" ",TRIM(F68&amp;""))-1),코드표!$J$2:$J$101,0))&amp;" "&amp;INDEX(코드표!$G$2:$G$101,MATCH(TRIM(RIGHT(SUBSTITUTE(TRIM(F68&amp;"")," ",REPT(" ",60)),60)),코드표!$F$2:$F$101,0)),"⚠"&amp;TRIM(F68&amp;""))),"⚠"&amp;TRIM(F68&amp;""))</f>
        <v/>
      </c>
      <c r="O68" s="10">
        <f>IFERROR(IF(TRIM(G68&amp;"")="","",IF(AND(ISNUMBER(FIND(" ",TRIM(G68&amp;""))),ISNUMBER(MATCH(LEFT(TRIM(G68&amp;""),FIND(" ",TRIM(G68&amp;""))-1),코드표!$J$2:$J$101,0)),ISNUMBER(MATCH(TRIM(RIGHT(SUBSTITUTE(TRIM(G68&amp;"")," ",REPT(" ",60)),60)),코드표!$F$2:$F$101,0))),INDEX(코드표!$K$2:$K$101,MATCH(LEFT(TRIM(G68&amp;""),FIND(" ",TRIM(G68&amp;""))-1),코드표!$J$2:$J$101,0))&amp;" "&amp;INDEX(코드표!$G$2:$G$101,MATCH(TRIM(RIGHT(SUBSTITUTE(TRIM(G68&amp;"")," ",REPT(" ",60)),60)),코드표!$F$2:$F$101,0)),"⚠"&amp;TRIM(G68&amp;""))),"⚠"&amp;TRIM(G68&amp;""))</f>
        <v/>
      </c>
      <c r="P68" s="10">
        <f>IFERROR(IF(TRIM(H68&amp;"")="","",IF(AND(ISNUMBER(FIND(" ",TRIM(H68&amp;""))),ISNUMBER(MATCH(LEFT(TRIM(H68&amp;""),FIND(" ",TRIM(H68&amp;""))-1),코드표!$J$2:$J$101,0)),ISNUMBER(MATCH(TRIM(RIGHT(SUBSTITUTE(TRIM(H68&amp;"")," ",REPT(" ",60)),60)),코드표!$F$2:$F$101,0))),INDEX(코드표!$K$2:$K$101,MATCH(LEFT(TRIM(H68&amp;""),FIND(" ",TRIM(H68&amp;""))-1),코드표!$J$2:$J$101,0))&amp;" "&amp;INDEX(코드표!$G$2:$G$101,MATCH(TRIM(RIGHT(SUBSTITUTE(TRIM(H68&amp;"")," ",REPT(" ",60)),60)),코드표!$F$2:$F$101,0)),"⚠"&amp;TRIM(H68&amp;""))),"⚠"&amp;TRIM(H68&amp;""))</f>
        <v/>
      </c>
      <c r="Q68" s="10">
        <f>IFERROR(IF(TRIM(I68&amp;"")="","",IF(AND(ISNUMBER(FIND(" ",TRIM(I68&amp;""))),ISNUMBER(MATCH(LEFT(TRIM(I68&amp;""),FIND(" ",TRIM(I68&amp;""))-1),코드표!$J$2:$J$101,0)),ISNUMBER(MATCH(TRIM(RIGHT(SUBSTITUTE(TRIM(I68&amp;"")," ",REPT(" ",60)),60)),코드표!$F$2:$F$101,0))),INDEX(코드표!$K$2:$K$101,MATCH(LEFT(TRIM(I68&amp;""),FIND(" ",TRIM(I68&amp;""))-1),코드표!$J$2:$J$101,0))&amp;" "&amp;INDEX(코드표!$G$2:$G$101,MATCH(TRIM(RIGHT(SUBSTITUTE(TRIM(I68&amp;"")," ",REPT(" ",60)),60)),코드표!$F$2:$F$101,0)),"⚠"&amp;TRIM(I68&amp;""))),"⚠"&amp;TRIM(I68&amp;""))</f>
        <v/>
      </c>
      <c r="R68" s="10">
        <f>IFERROR(IF(TRIM(J68&amp;"")="","",IF(AND(ISNUMBER(FIND(" ",TRIM(J68&amp;""))),ISNUMBER(MATCH(LEFT(TRIM(J68&amp;""),FIND(" ",TRIM(J68&amp;""))-1),코드표!$J$2:$J$101,0)),ISNUMBER(MATCH(TRIM(RIGHT(SUBSTITUTE(TRIM(J68&amp;"")," ",REPT(" ",60)),60)),코드표!$F$2:$F$101,0))),INDEX(코드표!$K$2:$K$101,MATCH(LEFT(TRIM(J68&amp;""),FIND(" ",TRIM(J68&amp;""))-1),코드표!$J$2:$J$101,0))&amp;" "&amp;INDEX(코드표!$G$2:$G$101,MATCH(TRIM(RIGHT(SUBSTITUTE(TRIM(J68&amp;"")," ",REPT(" ",60)),60)),코드표!$F$2:$F$101,0)),"⚠"&amp;TRIM(J68&amp;""))),"⚠"&amp;TRIM(J68&amp;""))</f>
        <v/>
      </c>
      <c r="S68" s="11">
        <f>IF(K68="","",IFERROR(IF(AND(ROUND((VALUE(K68&amp;"")-INT(VALUE(K68&amp;"")))*100,0)&gt;=1,ROUND((VALUE(K68&amp;"")-INT(VALUE(K68&amp;"")))*100,0)&lt;=12,INT(VALUE(K68&amp;""))&gt;=1900),DATE(INT(VALUE(K68&amp;"")),ROUND((VALUE(K68&amp;"")-INT(VALUE(K68&amp;"")))*100,0),1),K68&amp;""),K68&amp;""))</f>
        <v/>
      </c>
      <c r="T68" s="10">
        <f>COUNTIF(M68:R68,"⚠*")</f>
        <v/>
      </c>
    </row>
    <row r="69"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M69" s="10">
        <f>IFERROR(IF(TRIM(E69&amp;"")="","",IF(AND(ISNUMBER(FIND(" ",TRIM(E69&amp;""))),ISNUMBER(MATCH(LEFT(TRIM(E69&amp;""),FIND(" ",TRIM(E69&amp;""))-1),코드표!$J$2:$J$101,0)),ISNUMBER(MATCH(TRIM(RIGHT(SUBSTITUTE(TRIM(E69&amp;"")," ",REPT(" ",60)),60)),코드표!$F$2:$F$101,0))),INDEX(코드표!$K$2:$K$101,MATCH(LEFT(TRIM(E69&amp;""),FIND(" ",TRIM(E69&amp;""))-1),코드표!$J$2:$J$101,0))&amp;" "&amp;INDEX(코드표!$G$2:$G$101,MATCH(TRIM(RIGHT(SUBSTITUTE(TRIM(E69&amp;"")," ",REPT(" ",60)),60)),코드표!$F$2:$F$101,0)),"⚠"&amp;TRIM(E69&amp;""))),"⚠"&amp;TRIM(E69&amp;""))</f>
        <v/>
      </c>
      <c r="N69" s="10">
        <f>IFERROR(IF(TRIM(F69&amp;"")="","",IF(AND(ISNUMBER(FIND(" ",TRIM(F69&amp;""))),ISNUMBER(MATCH(LEFT(TRIM(F69&amp;""),FIND(" ",TRIM(F69&amp;""))-1),코드표!$J$2:$J$101,0)),ISNUMBER(MATCH(TRIM(RIGHT(SUBSTITUTE(TRIM(F69&amp;"")," ",REPT(" ",60)),60)),코드표!$F$2:$F$101,0))),INDEX(코드표!$K$2:$K$101,MATCH(LEFT(TRIM(F69&amp;""),FIND(" ",TRIM(F69&amp;""))-1),코드표!$J$2:$J$101,0))&amp;" "&amp;INDEX(코드표!$G$2:$G$101,MATCH(TRIM(RIGHT(SUBSTITUTE(TRIM(F69&amp;"")," ",REPT(" ",60)),60)),코드표!$F$2:$F$101,0)),"⚠"&amp;TRIM(F69&amp;""))),"⚠"&amp;TRIM(F69&amp;""))</f>
        <v/>
      </c>
      <c r="O69" s="10">
        <f>IFERROR(IF(TRIM(G69&amp;"")="","",IF(AND(ISNUMBER(FIND(" ",TRIM(G69&amp;""))),ISNUMBER(MATCH(LEFT(TRIM(G69&amp;""),FIND(" ",TRIM(G69&amp;""))-1),코드표!$J$2:$J$101,0)),ISNUMBER(MATCH(TRIM(RIGHT(SUBSTITUTE(TRIM(G69&amp;"")," ",REPT(" ",60)),60)),코드표!$F$2:$F$101,0))),INDEX(코드표!$K$2:$K$101,MATCH(LEFT(TRIM(G69&amp;""),FIND(" ",TRIM(G69&amp;""))-1),코드표!$J$2:$J$101,0))&amp;" "&amp;INDEX(코드표!$G$2:$G$101,MATCH(TRIM(RIGHT(SUBSTITUTE(TRIM(G69&amp;"")," ",REPT(" ",60)),60)),코드표!$F$2:$F$101,0)),"⚠"&amp;TRIM(G69&amp;""))),"⚠"&amp;TRIM(G69&amp;""))</f>
        <v/>
      </c>
      <c r="P69" s="10">
        <f>IFERROR(IF(TRIM(H69&amp;"")="","",IF(AND(ISNUMBER(FIND(" ",TRIM(H69&amp;""))),ISNUMBER(MATCH(LEFT(TRIM(H69&amp;""),FIND(" ",TRIM(H69&amp;""))-1),코드표!$J$2:$J$101,0)),ISNUMBER(MATCH(TRIM(RIGHT(SUBSTITUTE(TRIM(H69&amp;"")," ",REPT(" ",60)),60)),코드표!$F$2:$F$101,0))),INDEX(코드표!$K$2:$K$101,MATCH(LEFT(TRIM(H69&amp;""),FIND(" ",TRIM(H69&amp;""))-1),코드표!$J$2:$J$101,0))&amp;" "&amp;INDEX(코드표!$G$2:$G$101,MATCH(TRIM(RIGHT(SUBSTITUTE(TRIM(H69&amp;"")," ",REPT(" ",60)),60)),코드표!$F$2:$F$101,0)),"⚠"&amp;TRIM(H69&amp;""))),"⚠"&amp;TRIM(H69&amp;""))</f>
        <v/>
      </c>
      <c r="Q69" s="10">
        <f>IFERROR(IF(TRIM(I69&amp;"")="","",IF(AND(ISNUMBER(FIND(" ",TRIM(I69&amp;""))),ISNUMBER(MATCH(LEFT(TRIM(I69&amp;""),FIND(" ",TRIM(I69&amp;""))-1),코드표!$J$2:$J$101,0)),ISNUMBER(MATCH(TRIM(RIGHT(SUBSTITUTE(TRIM(I69&amp;"")," ",REPT(" ",60)),60)),코드표!$F$2:$F$101,0))),INDEX(코드표!$K$2:$K$101,MATCH(LEFT(TRIM(I69&amp;""),FIND(" ",TRIM(I69&amp;""))-1),코드표!$J$2:$J$101,0))&amp;" "&amp;INDEX(코드표!$G$2:$G$101,MATCH(TRIM(RIGHT(SUBSTITUTE(TRIM(I69&amp;"")," ",REPT(" ",60)),60)),코드표!$F$2:$F$101,0)),"⚠"&amp;TRIM(I69&amp;""))),"⚠"&amp;TRIM(I69&amp;""))</f>
        <v/>
      </c>
      <c r="R69" s="10">
        <f>IFERROR(IF(TRIM(J69&amp;"")="","",IF(AND(ISNUMBER(FIND(" ",TRIM(J69&amp;""))),ISNUMBER(MATCH(LEFT(TRIM(J69&amp;""),FIND(" ",TRIM(J69&amp;""))-1),코드표!$J$2:$J$101,0)),ISNUMBER(MATCH(TRIM(RIGHT(SUBSTITUTE(TRIM(J69&amp;"")," ",REPT(" ",60)),60)),코드표!$F$2:$F$101,0))),INDEX(코드표!$K$2:$K$101,MATCH(LEFT(TRIM(J69&amp;""),FIND(" ",TRIM(J69&amp;""))-1),코드표!$J$2:$J$101,0))&amp;" "&amp;INDEX(코드표!$G$2:$G$101,MATCH(TRIM(RIGHT(SUBSTITUTE(TRIM(J69&amp;"")," ",REPT(" ",60)),60)),코드표!$F$2:$F$101,0)),"⚠"&amp;TRIM(J69&amp;""))),"⚠"&amp;TRIM(J69&amp;""))</f>
        <v/>
      </c>
      <c r="S69" s="11">
        <f>IF(K69="","",IFERROR(IF(AND(ROUND((VALUE(K69&amp;"")-INT(VALUE(K69&amp;"")))*100,0)&gt;=1,ROUND((VALUE(K69&amp;"")-INT(VALUE(K69&amp;"")))*100,0)&lt;=12,INT(VALUE(K69&amp;""))&gt;=1900),DATE(INT(VALUE(K69&amp;"")),ROUND((VALUE(K69&amp;"")-INT(VALUE(K69&amp;"")))*100,0),1),K69&amp;""),K69&amp;""))</f>
        <v/>
      </c>
      <c r="T69" s="10">
        <f>COUNTIF(M69:R69,"⚠*")</f>
        <v/>
      </c>
    </row>
    <row r="70"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M70" s="10">
        <f>IFERROR(IF(TRIM(E70&amp;"")="","",IF(AND(ISNUMBER(FIND(" ",TRIM(E70&amp;""))),ISNUMBER(MATCH(LEFT(TRIM(E70&amp;""),FIND(" ",TRIM(E70&amp;""))-1),코드표!$J$2:$J$101,0)),ISNUMBER(MATCH(TRIM(RIGHT(SUBSTITUTE(TRIM(E70&amp;"")," ",REPT(" ",60)),60)),코드표!$F$2:$F$101,0))),INDEX(코드표!$K$2:$K$101,MATCH(LEFT(TRIM(E70&amp;""),FIND(" ",TRIM(E70&amp;""))-1),코드표!$J$2:$J$101,0))&amp;" "&amp;INDEX(코드표!$G$2:$G$101,MATCH(TRIM(RIGHT(SUBSTITUTE(TRIM(E70&amp;"")," ",REPT(" ",60)),60)),코드표!$F$2:$F$101,0)),"⚠"&amp;TRIM(E70&amp;""))),"⚠"&amp;TRIM(E70&amp;""))</f>
        <v/>
      </c>
      <c r="N70" s="10">
        <f>IFERROR(IF(TRIM(F70&amp;"")="","",IF(AND(ISNUMBER(FIND(" ",TRIM(F70&amp;""))),ISNUMBER(MATCH(LEFT(TRIM(F70&amp;""),FIND(" ",TRIM(F70&amp;""))-1),코드표!$J$2:$J$101,0)),ISNUMBER(MATCH(TRIM(RIGHT(SUBSTITUTE(TRIM(F70&amp;"")," ",REPT(" ",60)),60)),코드표!$F$2:$F$101,0))),INDEX(코드표!$K$2:$K$101,MATCH(LEFT(TRIM(F70&amp;""),FIND(" ",TRIM(F70&amp;""))-1),코드표!$J$2:$J$101,0))&amp;" "&amp;INDEX(코드표!$G$2:$G$101,MATCH(TRIM(RIGHT(SUBSTITUTE(TRIM(F70&amp;"")," ",REPT(" ",60)),60)),코드표!$F$2:$F$101,0)),"⚠"&amp;TRIM(F70&amp;""))),"⚠"&amp;TRIM(F70&amp;""))</f>
        <v/>
      </c>
      <c r="O70" s="10">
        <f>IFERROR(IF(TRIM(G70&amp;"")="","",IF(AND(ISNUMBER(FIND(" ",TRIM(G70&amp;""))),ISNUMBER(MATCH(LEFT(TRIM(G70&amp;""),FIND(" ",TRIM(G70&amp;""))-1),코드표!$J$2:$J$101,0)),ISNUMBER(MATCH(TRIM(RIGHT(SUBSTITUTE(TRIM(G70&amp;"")," ",REPT(" ",60)),60)),코드표!$F$2:$F$101,0))),INDEX(코드표!$K$2:$K$101,MATCH(LEFT(TRIM(G70&amp;""),FIND(" ",TRIM(G70&amp;""))-1),코드표!$J$2:$J$101,0))&amp;" "&amp;INDEX(코드표!$G$2:$G$101,MATCH(TRIM(RIGHT(SUBSTITUTE(TRIM(G70&amp;"")," ",REPT(" ",60)),60)),코드표!$F$2:$F$101,0)),"⚠"&amp;TRIM(G70&amp;""))),"⚠"&amp;TRIM(G70&amp;""))</f>
        <v/>
      </c>
      <c r="P70" s="10">
        <f>IFERROR(IF(TRIM(H70&amp;"")="","",IF(AND(ISNUMBER(FIND(" ",TRIM(H70&amp;""))),ISNUMBER(MATCH(LEFT(TRIM(H70&amp;""),FIND(" ",TRIM(H70&amp;""))-1),코드표!$J$2:$J$101,0)),ISNUMBER(MATCH(TRIM(RIGHT(SUBSTITUTE(TRIM(H70&amp;"")," ",REPT(" ",60)),60)),코드표!$F$2:$F$101,0))),INDEX(코드표!$K$2:$K$101,MATCH(LEFT(TRIM(H70&amp;""),FIND(" ",TRIM(H70&amp;""))-1),코드표!$J$2:$J$101,0))&amp;" "&amp;INDEX(코드표!$G$2:$G$101,MATCH(TRIM(RIGHT(SUBSTITUTE(TRIM(H70&amp;"")," ",REPT(" ",60)),60)),코드표!$F$2:$F$101,0)),"⚠"&amp;TRIM(H70&amp;""))),"⚠"&amp;TRIM(H70&amp;""))</f>
        <v/>
      </c>
      <c r="Q70" s="10">
        <f>IFERROR(IF(TRIM(I70&amp;"")="","",IF(AND(ISNUMBER(FIND(" ",TRIM(I70&amp;""))),ISNUMBER(MATCH(LEFT(TRIM(I70&amp;""),FIND(" ",TRIM(I70&amp;""))-1),코드표!$J$2:$J$101,0)),ISNUMBER(MATCH(TRIM(RIGHT(SUBSTITUTE(TRIM(I70&amp;"")," ",REPT(" ",60)),60)),코드표!$F$2:$F$101,0))),INDEX(코드표!$K$2:$K$101,MATCH(LEFT(TRIM(I70&amp;""),FIND(" ",TRIM(I70&amp;""))-1),코드표!$J$2:$J$101,0))&amp;" "&amp;INDEX(코드표!$G$2:$G$101,MATCH(TRIM(RIGHT(SUBSTITUTE(TRIM(I70&amp;"")," ",REPT(" ",60)),60)),코드표!$F$2:$F$101,0)),"⚠"&amp;TRIM(I70&amp;""))),"⚠"&amp;TRIM(I70&amp;""))</f>
        <v/>
      </c>
      <c r="R70" s="10">
        <f>IFERROR(IF(TRIM(J70&amp;"")="","",IF(AND(ISNUMBER(FIND(" ",TRIM(J70&amp;""))),ISNUMBER(MATCH(LEFT(TRIM(J70&amp;""),FIND(" ",TRIM(J70&amp;""))-1),코드표!$J$2:$J$101,0)),ISNUMBER(MATCH(TRIM(RIGHT(SUBSTITUTE(TRIM(J70&amp;"")," ",REPT(" ",60)),60)),코드표!$F$2:$F$101,0))),INDEX(코드표!$K$2:$K$101,MATCH(LEFT(TRIM(J70&amp;""),FIND(" ",TRIM(J70&amp;""))-1),코드표!$J$2:$J$101,0))&amp;" "&amp;INDEX(코드표!$G$2:$G$101,MATCH(TRIM(RIGHT(SUBSTITUTE(TRIM(J70&amp;"")," ",REPT(" ",60)),60)),코드표!$F$2:$F$101,0)),"⚠"&amp;TRIM(J70&amp;""))),"⚠"&amp;TRIM(J70&amp;""))</f>
        <v/>
      </c>
      <c r="S70" s="11">
        <f>IF(K70="","",IFERROR(IF(AND(ROUND((VALUE(K70&amp;"")-INT(VALUE(K70&amp;"")))*100,0)&gt;=1,ROUND((VALUE(K70&amp;"")-INT(VALUE(K70&amp;"")))*100,0)&lt;=12,INT(VALUE(K70&amp;""))&gt;=1900),DATE(INT(VALUE(K70&amp;"")),ROUND((VALUE(K70&amp;"")-INT(VALUE(K70&amp;"")))*100,0),1),K70&amp;""),K70&amp;""))</f>
        <v/>
      </c>
      <c r="T70" s="10">
        <f>COUNTIF(M70:R70,"⚠*")</f>
        <v/>
      </c>
    </row>
    <row r="71"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M71" s="10">
        <f>IFERROR(IF(TRIM(E71&amp;"")="","",IF(AND(ISNUMBER(FIND(" ",TRIM(E71&amp;""))),ISNUMBER(MATCH(LEFT(TRIM(E71&amp;""),FIND(" ",TRIM(E71&amp;""))-1),코드표!$J$2:$J$101,0)),ISNUMBER(MATCH(TRIM(RIGHT(SUBSTITUTE(TRIM(E71&amp;"")," ",REPT(" ",60)),60)),코드표!$F$2:$F$101,0))),INDEX(코드표!$K$2:$K$101,MATCH(LEFT(TRIM(E71&amp;""),FIND(" ",TRIM(E71&amp;""))-1),코드표!$J$2:$J$101,0))&amp;" "&amp;INDEX(코드표!$G$2:$G$101,MATCH(TRIM(RIGHT(SUBSTITUTE(TRIM(E71&amp;"")," ",REPT(" ",60)),60)),코드표!$F$2:$F$101,0)),"⚠"&amp;TRIM(E71&amp;""))),"⚠"&amp;TRIM(E71&amp;""))</f>
        <v/>
      </c>
      <c r="N71" s="10">
        <f>IFERROR(IF(TRIM(F71&amp;"")="","",IF(AND(ISNUMBER(FIND(" ",TRIM(F71&amp;""))),ISNUMBER(MATCH(LEFT(TRIM(F71&amp;""),FIND(" ",TRIM(F71&amp;""))-1),코드표!$J$2:$J$101,0)),ISNUMBER(MATCH(TRIM(RIGHT(SUBSTITUTE(TRIM(F71&amp;"")," ",REPT(" ",60)),60)),코드표!$F$2:$F$101,0))),INDEX(코드표!$K$2:$K$101,MATCH(LEFT(TRIM(F71&amp;""),FIND(" ",TRIM(F71&amp;""))-1),코드표!$J$2:$J$101,0))&amp;" "&amp;INDEX(코드표!$G$2:$G$101,MATCH(TRIM(RIGHT(SUBSTITUTE(TRIM(F71&amp;"")," ",REPT(" ",60)),60)),코드표!$F$2:$F$101,0)),"⚠"&amp;TRIM(F71&amp;""))),"⚠"&amp;TRIM(F71&amp;""))</f>
        <v/>
      </c>
      <c r="O71" s="10">
        <f>IFERROR(IF(TRIM(G71&amp;"")="","",IF(AND(ISNUMBER(FIND(" ",TRIM(G71&amp;""))),ISNUMBER(MATCH(LEFT(TRIM(G71&amp;""),FIND(" ",TRIM(G71&amp;""))-1),코드표!$J$2:$J$101,0)),ISNUMBER(MATCH(TRIM(RIGHT(SUBSTITUTE(TRIM(G71&amp;"")," ",REPT(" ",60)),60)),코드표!$F$2:$F$101,0))),INDEX(코드표!$K$2:$K$101,MATCH(LEFT(TRIM(G71&amp;""),FIND(" ",TRIM(G71&amp;""))-1),코드표!$J$2:$J$101,0))&amp;" "&amp;INDEX(코드표!$G$2:$G$101,MATCH(TRIM(RIGHT(SUBSTITUTE(TRIM(G71&amp;"")," ",REPT(" ",60)),60)),코드표!$F$2:$F$101,0)),"⚠"&amp;TRIM(G71&amp;""))),"⚠"&amp;TRIM(G71&amp;""))</f>
        <v/>
      </c>
      <c r="P71" s="10">
        <f>IFERROR(IF(TRIM(H71&amp;"")="","",IF(AND(ISNUMBER(FIND(" ",TRIM(H71&amp;""))),ISNUMBER(MATCH(LEFT(TRIM(H71&amp;""),FIND(" ",TRIM(H71&amp;""))-1),코드표!$J$2:$J$101,0)),ISNUMBER(MATCH(TRIM(RIGHT(SUBSTITUTE(TRIM(H71&amp;"")," ",REPT(" ",60)),60)),코드표!$F$2:$F$101,0))),INDEX(코드표!$K$2:$K$101,MATCH(LEFT(TRIM(H71&amp;""),FIND(" ",TRIM(H71&amp;""))-1),코드표!$J$2:$J$101,0))&amp;" "&amp;INDEX(코드표!$G$2:$G$101,MATCH(TRIM(RIGHT(SUBSTITUTE(TRIM(H71&amp;"")," ",REPT(" ",60)),60)),코드표!$F$2:$F$101,0)),"⚠"&amp;TRIM(H71&amp;""))),"⚠"&amp;TRIM(H71&amp;""))</f>
        <v/>
      </c>
      <c r="Q71" s="10">
        <f>IFERROR(IF(TRIM(I71&amp;"")="","",IF(AND(ISNUMBER(FIND(" ",TRIM(I71&amp;""))),ISNUMBER(MATCH(LEFT(TRIM(I71&amp;""),FIND(" ",TRIM(I71&amp;""))-1),코드표!$J$2:$J$101,0)),ISNUMBER(MATCH(TRIM(RIGHT(SUBSTITUTE(TRIM(I71&amp;"")," ",REPT(" ",60)),60)),코드표!$F$2:$F$101,0))),INDEX(코드표!$K$2:$K$101,MATCH(LEFT(TRIM(I71&amp;""),FIND(" ",TRIM(I71&amp;""))-1),코드표!$J$2:$J$101,0))&amp;" "&amp;INDEX(코드표!$G$2:$G$101,MATCH(TRIM(RIGHT(SUBSTITUTE(TRIM(I71&amp;"")," ",REPT(" ",60)),60)),코드표!$F$2:$F$101,0)),"⚠"&amp;TRIM(I71&amp;""))),"⚠"&amp;TRIM(I71&amp;""))</f>
        <v/>
      </c>
      <c r="R71" s="10">
        <f>IFERROR(IF(TRIM(J71&amp;"")="","",IF(AND(ISNUMBER(FIND(" ",TRIM(J71&amp;""))),ISNUMBER(MATCH(LEFT(TRIM(J71&amp;""),FIND(" ",TRIM(J71&amp;""))-1),코드표!$J$2:$J$101,0)),ISNUMBER(MATCH(TRIM(RIGHT(SUBSTITUTE(TRIM(J71&amp;"")," ",REPT(" ",60)),60)),코드표!$F$2:$F$101,0))),INDEX(코드표!$K$2:$K$101,MATCH(LEFT(TRIM(J71&amp;""),FIND(" ",TRIM(J71&amp;""))-1),코드표!$J$2:$J$101,0))&amp;" "&amp;INDEX(코드표!$G$2:$G$101,MATCH(TRIM(RIGHT(SUBSTITUTE(TRIM(J71&amp;"")," ",REPT(" ",60)),60)),코드표!$F$2:$F$101,0)),"⚠"&amp;TRIM(J71&amp;""))),"⚠"&amp;TRIM(J71&amp;""))</f>
        <v/>
      </c>
      <c r="S71" s="11">
        <f>IF(K71="","",IFERROR(IF(AND(ROUND((VALUE(K71&amp;"")-INT(VALUE(K71&amp;"")))*100,0)&gt;=1,ROUND((VALUE(K71&amp;"")-INT(VALUE(K71&amp;"")))*100,0)&lt;=12,INT(VALUE(K71&amp;""))&gt;=1900),DATE(INT(VALUE(K71&amp;"")),ROUND((VALUE(K71&amp;"")-INT(VALUE(K71&amp;"")))*100,0),1),K71&amp;""),K71&amp;""))</f>
        <v/>
      </c>
      <c r="T71" s="10">
        <f>COUNTIF(M71:R71,"⚠*")</f>
        <v/>
      </c>
    </row>
    <row r="72"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M72" s="10">
        <f>IFERROR(IF(TRIM(E72&amp;"")="","",IF(AND(ISNUMBER(FIND(" ",TRIM(E72&amp;""))),ISNUMBER(MATCH(LEFT(TRIM(E72&amp;""),FIND(" ",TRIM(E72&amp;""))-1),코드표!$J$2:$J$101,0)),ISNUMBER(MATCH(TRIM(RIGHT(SUBSTITUTE(TRIM(E72&amp;"")," ",REPT(" ",60)),60)),코드표!$F$2:$F$101,0))),INDEX(코드표!$K$2:$K$101,MATCH(LEFT(TRIM(E72&amp;""),FIND(" ",TRIM(E72&amp;""))-1),코드표!$J$2:$J$101,0))&amp;" "&amp;INDEX(코드표!$G$2:$G$101,MATCH(TRIM(RIGHT(SUBSTITUTE(TRIM(E72&amp;"")," ",REPT(" ",60)),60)),코드표!$F$2:$F$101,0)),"⚠"&amp;TRIM(E72&amp;""))),"⚠"&amp;TRIM(E72&amp;""))</f>
        <v/>
      </c>
      <c r="N72" s="10">
        <f>IFERROR(IF(TRIM(F72&amp;"")="","",IF(AND(ISNUMBER(FIND(" ",TRIM(F72&amp;""))),ISNUMBER(MATCH(LEFT(TRIM(F72&amp;""),FIND(" ",TRIM(F72&amp;""))-1),코드표!$J$2:$J$101,0)),ISNUMBER(MATCH(TRIM(RIGHT(SUBSTITUTE(TRIM(F72&amp;"")," ",REPT(" ",60)),60)),코드표!$F$2:$F$101,0))),INDEX(코드표!$K$2:$K$101,MATCH(LEFT(TRIM(F72&amp;""),FIND(" ",TRIM(F72&amp;""))-1),코드표!$J$2:$J$101,0))&amp;" "&amp;INDEX(코드표!$G$2:$G$101,MATCH(TRIM(RIGHT(SUBSTITUTE(TRIM(F72&amp;"")," ",REPT(" ",60)),60)),코드표!$F$2:$F$101,0)),"⚠"&amp;TRIM(F72&amp;""))),"⚠"&amp;TRIM(F72&amp;""))</f>
        <v/>
      </c>
      <c r="O72" s="10">
        <f>IFERROR(IF(TRIM(G72&amp;"")="","",IF(AND(ISNUMBER(FIND(" ",TRIM(G72&amp;""))),ISNUMBER(MATCH(LEFT(TRIM(G72&amp;""),FIND(" ",TRIM(G72&amp;""))-1),코드표!$J$2:$J$101,0)),ISNUMBER(MATCH(TRIM(RIGHT(SUBSTITUTE(TRIM(G72&amp;"")," ",REPT(" ",60)),60)),코드표!$F$2:$F$101,0))),INDEX(코드표!$K$2:$K$101,MATCH(LEFT(TRIM(G72&amp;""),FIND(" ",TRIM(G72&amp;""))-1),코드표!$J$2:$J$101,0))&amp;" "&amp;INDEX(코드표!$G$2:$G$101,MATCH(TRIM(RIGHT(SUBSTITUTE(TRIM(G72&amp;"")," ",REPT(" ",60)),60)),코드표!$F$2:$F$101,0)),"⚠"&amp;TRIM(G72&amp;""))),"⚠"&amp;TRIM(G72&amp;""))</f>
        <v/>
      </c>
      <c r="P72" s="10">
        <f>IFERROR(IF(TRIM(H72&amp;"")="","",IF(AND(ISNUMBER(FIND(" ",TRIM(H72&amp;""))),ISNUMBER(MATCH(LEFT(TRIM(H72&amp;""),FIND(" ",TRIM(H72&amp;""))-1),코드표!$J$2:$J$101,0)),ISNUMBER(MATCH(TRIM(RIGHT(SUBSTITUTE(TRIM(H72&amp;"")," ",REPT(" ",60)),60)),코드표!$F$2:$F$101,0))),INDEX(코드표!$K$2:$K$101,MATCH(LEFT(TRIM(H72&amp;""),FIND(" ",TRIM(H72&amp;""))-1),코드표!$J$2:$J$101,0))&amp;" "&amp;INDEX(코드표!$G$2:$G$101,MATCH(TRIM(RIGHT(SUBSTITUTE(TRIM(H72&amp;"")," ",REPT(" ",60)),60)),코드표!$F$2:$F$101,0)),"⚠"&amp;TRIM(H72&amp;""))),"⚠"&amp;TRIM(H72&amp;""))</f>
        <v/>
      </c>
      <c r="Q72" s="10">
        <f>IFERROR(IF(TRIM(I72&amp;"")="","",IF(AND(ISNUMBER(FIND(" ",TRIM(I72&amp;""))),ISNUMBER(MATCH(LEFT(TRIM(I72&amp;""),FIND(" ",TRIM(I72&amp;""))-1),코드표!$J$2:$J$101,0)),ISNUMBER(MATCH(TRIM(RIGHT(SUBSTITUTE(TRIM(I72&amp;"")," ",REPT(" ",60)),60)),코드표!$F$2:$F$101,0))),INDEX(코드표!$K$2:$K$101,MATCH(LEFT(TRIM(I72&amp;""),FIND(" ",TRIM(I72&amp;""))-1),코드표!$J$2:$J$101,0))&amp;" "&amp;INDEX(코드표!$G$2:$G$101,MATCH(TRIM(RIGHT(SUBSTITUTE(TRIM(I72&amp;"")," ",REPT(" ",60)),60)),코드표!$F$2:$F$101,0)),"⚠"&amp;TRIM(I72&amp;""))),"⚠"&amp;TRIM(I72&amp;""))</f>
        <v/>
      </c>
      <c r="R72" s="10">
        <f>IFERROR(IF(TRIM(J72&amp;"")="","",IF(AND(ISNUMBER(FIND(" ",TRIM(J72&amp;""))),ISNUMBER(MATCH(LEFT(TRIM(J72&amp;""),FIND(" ",TRIM(J72&amp;""))-1),코드표!$J$2:$J$101,0)),ISNUMBER(MATCH(TRIM(RIGHT(SUBSTITUTE(TRIM(J72&amp;"")," ",REPT(" ",60)),60)),코드표!$F$2:$F$101,0))),INDEX(코드표!$K$2:$K$101,MATCH(LEFT(TRIM(J72&amp;""),FIND(" ",TRIM(J72&amp;""))-1),코드표!$J$2:$J$101,0))&amp;" "&amp;INDEX(코드표!$G$2:$G$101,MATCH(TRIM(RIGHT(SUBSTITUTE(TRIM(J72&amp;"")," ",REPT(" ",60)),60)),코드표!$F$2:$F$101,0)),"⚠"&amp;TRIM(J72&amp;""))),"⚠"&amp;TRIM(J72&amp;""))</f>
        <v/>
      </c>
      <c r="S72" s="11">
        <f>IF(K72="","",IFERROR(IF(AND(ROUND((VALUE(K72&amp;"")-INT(VALUE(K72&amp;"")))*100,0)&gt;=1,ROUND((VALUE(K72&amp;"")-INT(VALUE(K72&amp;"")))*100,0)&lt;=12,INT(VALUE(K72&amp;""))&gt;=1900),DATE(INT(VALUE(K72&amp;"")),ROUND((VALUE(K72&amp;"")-INT(VALUE(K72&amp;"")))*100,0),1),K72&amp;""),K72&amp;""))</f>
        <v/>
      </c>
      <c r="T72" s="10">
        <f>COUNTIF(M72:R72,"⚠*")</f>
        <v/>
      </c>
    </row>
    <row r="73"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M73" s="10">
        <f>IFERROR(IF(TRIM(E73&amp;"")="","",IF(AND(ISNUMBER(FIND(" ",TRIM(E73&amp;""))),ISNUMBER(MATCH(LEFT(TRIM(E73&amp;""),FIND(" ",TRIM(E73&amp;""))-1),코드표!$J$2:$J$101,0)),ISNUMBER(MATCH(TRIM(RIGHT(SUBSTITUTE(TRIM(E73&amp;"")," ",REPT(" ",60)),60)),코드표!$F$2:$F$101,0))),INDEX(코드표!$K$2:$K$101,MATCH(LEFT(TRIM(E73&amp;""),FIND(" ",TRIM(E73&amp;""))-1),코드표!$J$2:$J$101,0))&amp;" "&amp;INDEX(코드표!$G$2:$G$101,MATCH(TRIM(RIGHT(SUBSTITUTE(TRIM(E73&amp;"")," ",REPT(" ",60)),60)),코드표!$F$2:$F$101,0)),"⚠"&amp;TRIM(E73&amp;""))),"⚠"&amp;TRIM(E73&amp;""))</f>
        <v/>
      </c>
      <c r="N73" s="10">
        <f>IFERROR(IF(TRIM(F73&amp;"")="","",IF(AND(ISNUMBER(FIND(" ",TRIM(F73&amp;""))),ISNUMBER(MATCH(LEFT(TRIM(F73&amp;""),FIND(" ",TRIM(F73&amp;""))-1),코드표!$J$2:$J$101,0)),ISNUMBER(MATCH(TRIM(RIGHT(SUBSTITUTE(TRIM(F73&amp;"")," ",REPT(" ",60)),60)),코드표!$F$2:$F$101,0))),INDEX(코드표!$K$2:$K$101,MATCH(LEFT(TRIM(F73&amp;""),FIND(" ",TRIM(F73&amp;""))-1),코드표!$J$2:$J$101,0))&amp;" "&amp;INDEX(코드표!$G$2:$G$101,MATCH(TRIM(RIGHT(SUBSTITUTE(TRIM(F73&amp;"")," ",REPT(" ",60)),60)),코드표!$F$2:$F$101,0)),"⚠"&amp;TRIM(F73&amp;""))),"⚠"&amp;TRIM(F73&amp;""))</f>
        <v/>
      </c>
      <c r="O73" s="10">
        <f>IFERROR(IF(TRIM(G73&amp;"")="","",IF(AND(ISNUMBER(FIND(" ",TRIM(G73&amp;""))),ISNUMBER(MATCH(LEFT(TRIM(G73&amp;""),FIND(" ",TRIM(G73&amp;""))-1),코드표!$J$2:$J$101,0)),ISNUMBER(MATCH(TRIM(RIGHT(SUBSTITUTE(TRIM(G73&amp;"")," ",REPT(" ",60)),60)),코드표!$F$2:$F$101,0))),INDEX(코드표!$K$2:$K$101,MATCH(LEFT(TRIM(G73&amp;""),FIND(" ",TRIM(G73&amp;""))-1),코드표!$J$2:$J$101,0))&amp;" "&amp;INDEX(코드표!$G$2:$G$101,MATCH(TRIM(RIGHT(SUBSTITUTE(TRIM(G73&amp;"")," ",REPT(" ",60)),60)),코드표!$F$2:$F$101,0)),"⚠"&amp;TRIM(G73&amp;""))),"⚠"&amp;TRIM(G73&amp;""))</f>
        <v/>
      </c>
      <c r="P73" s="10">
        <f>IFERROR(IF(TRIM(H73&amp;"")="","",IF(AND(ISNUMBER(FIND(" ",TRIM(H73&amp;""))),ISNUMBER(MATCH(LEFT(TRIM(H73&amp;""),FIND(" ",TRIM(H73&amp;""))-1),코드표!$J$2:$J$101,0)),ISNUMBER(MATCH(TRIM(RIGHT(SUBSTITUTE(TRIM(H73&amp;"")," ",REPT(" ",60)),60)),코드표!$F$2:$F$101,0))),INDEX(코드표!$K$2:$K$101,MATCH(LEFT(TRIM(H73&amp;""),FIND(" ",TRIM(H73&amp;""))-1),코드표!$J$2:$J$101,0))&amp;" "&amp;INDEX(코드표!$G$2:$G$101,MATCH(TRIM(RIGHT(SUBSTITUTE(TRIM(H73&amp;"")," ",REPT(" ",60)),60)),코드표!$F$2:$F$101,0)),"⚠"&amp;TRIM(H73&amp;""))),"⚠"&amp;TRIM(H73&amp;""))</f>
        <v/>
      </c>
      <c r="Q73" s="10">
        <f>IFERROR(IF(TRIM(I73&amp;"")="","",IF(AND(ISNUMBER(FIND(" ",TRIM(I73&amp;""))),ISNUMBER(MATCH(LEFT(TRIM(I73&amp;""),FIND(" ",TRIM(I73&amp;""))-1),코드표!$J$2:$J$101,0)),ISNUMBER(MATCH(TRIM(RIGHT(SUBSTITUTE(TRIM(I73&amp;"")," ",REPT(" ",60)),60)),코드표!$F$2:$F$101,0))),INDEX(코드표!$K$2:$K$101,MATCH(LEFT(TRIM(I73&amp;""),FIND(" ",TRIM(I73&amp;""))-1),코드표!$J$2:$J$101,0))&amp;" "&amp;INDEX(코드표!$G$2:$G$101,MATCH(TRIM(RIGHT(SUBSTITUTE(TRIM(I73&amp;"")," ",REPT(" ",60)),60)),코드표!$F$2:$F$101,0)),"⚠"&amp;TRIM(I73&amp;""))),"⚠"&amp;TRIM(I73&amp;""))</f>
        <v/>
      </c>
      <c r="R73" s="10">
        <f>IFERROR(IF(TRIM(J73&amp;"")="","",IF(AND(ISNUMBER(FIND(" ",TRIM(J73&amp;""))),ISNUMBER(MATCH(LEFT(TRIM(J73&amp;""),FIND(" ",TRIM(J73&amp;""))-1),코드표!$J$2:$J$101,0)),ISNUMBER(MATCH(TRIM(RIGHT(SUBSTITUTE(TRIM(J73&amp;"")," ",REPT(" ",60)),60)),코드표!$F$2:$F$101,0))),INDEX(코드표!$K$2:$K$101,MATCH(LEFT(TRIM(J73&amp;""),FIND(" ",TRIM(J73&amp;""))-1),코드표!$J$2:$J$101,0))&amp;" "&amp;INDEX(코드표!$G$2:$G$101,MATCH(TRIM(RIGHT(SUBSTITUTE(TRIM(J73&amp;"")," ",REPT(" ",60)),60)),코드표!$F$2:$F$101,0)),"⚠"&amp;TRIM(J73&amp;""))),"⚠"&amp;TRIM(J73&amp;""))</f>
        <v/>
      </c>
      <c r="S73" s="11">
        <f>IF(K73="","",IFERROR(IF(AND(ROUND((VALUE(K73&amp;"")-INT(VALUE(K73&amp;"")))*100,0)&gt;=1,ROUND((VALUE(K73&amp;"")-INT(VALUE(K73&amp;"")))*100,0)&lt;=12,INT(VALUE(K73&amp;""))&gt;=1900),DATE(INT(VALUE(K73&amp;"")),ROUND((VALUE(K73&amp;"")-INT(VALUE(K73&amp;"")))*100,0),1),K73&amp;""),K73&amp;""))</f>
        <v/>
      </c>
      <c r="T73" s="10">
        <f>COUNTIF(M73:R73,"⚠*")</f>
        <v/>
      </c>
    </row>
    <row r="74"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M74" s="10">
        <f>IFERROR(IF(TRIM(E74&amp;"")="","",IF(AND(ISNUMBER(FIND(" ",TRIM(E74&amp;""))),ISNUMBER(MATCH(LEFT(TRIM(E74&amp;""),FIND(" ",TRIM(E74&amp;""))-1),코드표!$J$2:$J$101,0)),ISNUMBER(MATCH(TRIM(RIGHT(SUBSTITUTE(TRIM(E74&amp;"")," ",REPT(" ",60)),60)),코드표!$F$2:$F$101,0))),INDEX(코드표!$K$2:$K$101,MATCH(LEFT(TRIM(E74&amp;""),FIND(" ",TRIM(E74&amp;""))-1),코드표!$J$2:$J$101,0))&amp;" "&amp;INDEX(코드표!$G$2:$G$101,MATCH(TRIM(RIGHT(SUBSTITUTE(TRIM(E74&amp;"")," ",REPT(" ",60)),60)),코드표!$F$2:$F$101,0)),"⚠"&amp;TRIM(E74&amp;""))),"⚠"&amp;TRIM(E74&amp;""))</f>
        <v/>
      </c>
      <c r="N74" s="10">
        <f>IFERROR(IF(TRIM(F74&amp;"")="","",IF(AND(ISNUMBER(FIND(" ",TRIM(F74&amp;""))),ISNUMBER(MATCH(LEFT(TRIM(F74&amp;""),FIND(" ",TRIM(F74&amp;""))-1),코드표!$J$2:$J$101,0)),ISNUMBER(MATCH(TRIM(RIGHT(SUBSTITUTE(TRIM(F74&amp;"")," ",REPT(" ",60)),60)),코드표!$F$2:$F$101,0))),INDEX(코드표!$K$2:$K$101,MATCH(LEFT(TRIM(F74&amp;""),FIND(" ",TRIM(F74&amp;""))-1),코드표!$J$2:$J$101,0))&amp;" "&amp;INDEX(코드표!$G$2:$G$101,MATCH(TRIM(RIGHT(SUBSTITUTE(TRIM(F74&amp;"")," ",REPT(" ",60)),60)),코드표!$F$2:$F$101,0)),"⚠"&amp;TRIM(F74&amp;""))),"⚠"&amp;TRIM(F74&amp;""))</f>
        <v/>
      </c>
      <c r="O74" s="10">
        <f>IFERROR(IF(TRIM(G74&amp;"")="","",IF(AND(ISNUMBER(FIND(" ",TRIM(G74&amp;""))),ISNUMBER(MATCH(LEFT(TRIM(G74&amp;""),FIND(" ",TRIM(G74&amp;""))-1),코드표!$J$2:$J$101,0)),ISNUMBER(MATCH(TRIM(RIGHT(SUBSTITUTE(TRIM(G74&amp;"")," ",REPT(" ",60)),60)),코드표!$F$2:$F$101,0))),INDEX(코드표!$K$2:$K$101,MATCH(LEFT(TRIM(G74&amp;""),FIND(" ",TRIM(G74&amp;""))-1),코드표!$J$2:$J$101,0))&amp;" "&amp;INDEX(코드표!$G$2:$G$101,MATCH(TRIM(RIGHT(SUBSTITUTE(TRIM(G74&amp;"")," ",REPT(" ",60)),60)),코드표!$F$2:$F$101,0)),"⚠"&amp;TRIM(G74&amp;""))),"⚠"&amp;TRIM(G74&amp;""))</f>
        <v/>
      </c>
      <c r="P74" s="10">
        <f>IFERROR(IF(TRIM(H74&amp;"")="","",IF(AND(ISNUMBER(FIND(" ",TRIM(H74&amp;""))),ISNUMBER(MATCH(LEFT(TRIM(H74&amp;""),FIND(" ",TRIM(H74&amp;""))-1),코드표!$J$2:$J$101,0)),ISNUMBER(MATCH(TRIM(RIGHT(SUBSTITUTE(TRIM(H74&amp;"")," ",REPT(" ",60)),60)),코드표!$F$2:$F$101,0))),INDEX(코드표!$K$2:$K$101,MATCH(LEFT(TRIM(H74&amp;""),FIND(" ",TRIM(H74&amp;""))-1),코드표!$J$2:$J$101,0))&amp;" "&amp;INDEX(코드표!$G$2:$G$101,MATCH(TRIM(RIGHT(SUBSTITUTE(TRIM(H74&amp;"")," ",REPT(" ",60)),60)),코드표!$F$2:$F$101,0)),"⚠"&amp;TRIM(H74&amp;""))),"⚠"&amp;TRIM(H74&amp;""))</f>
        <v/>
      </c>
      <c r="Q74" s="10">
        <f>IFERROR(IF(TRIM(I74&amp;"")="","",IF(AND(ISNUMBER(FIND(" ",TRIM(I74&amp;""))),ISNUMBER(MATCH(LEFT(TRIM(I74&amp;""),FIND(" ",TRIM(I74&amp;""))-1),코드표!$J$2:$J$101,0)),ISNUMBER(MATCH(TRIM(RIGHT(SUBSTITUTE(TRIM(I74&amp;"")," ",REPT(" ",60)),60)),코드표!$F$2:$F$101,0))),INDEX(코드표!$K$2:$K$101,MATCH(LEFT(TRIM(I74&amp;""),FIND(" ",TRIM(I74&amp;""))-1),코드표!$J$2:$J$101,0))&amp;" "&amp;INDEX(코드표!$G$2:$G$101,MATCH(TRIM(RIGHT(SUBSTITUTE(TRIM(I74&amp;"")," ",REPT(" ",60)),60)),코드표!$F$2:$F$101,0)),"⚠"&amp;TRIM(I74&amp;""))),"⚠"&amp;TRIM(I74&amp;""))</f>
        <v/>
      </c>
      <c r="R74" s="10">
        <f>IFERROR(IF(TRIM(J74&amp;"")="","",IF(AND(ISNUMBER(FIND(" ",TRIM(J74&amp;""))),ISNUMBER(MATCH(LEFT(TRIM(J74&amp;""),FIND(" ",TRIM(J74&amp;""))-1),코드표!$J$2:$J$101,0)),ISNUMBER(MATCH(TRIM(RIGHT(SUBSTITUTE(TRIM(J74&amp;"")," ",REPT(" ",60)),60)),코드표!$F$2:$F$101,0))),INDEX(코드표!$K$2:$K$101,MATCH(LEFT(TRIM(J74&amp;""),FIND(" ",TRIM(J74&amp;""))-1),코드표!$J$2:$J$101,0))&amp;" "&amp;INDEX(코드표!$G$2:$G$101,MATCH(TRIM(RIGHT(SUBSTITUTE(TRIM(J74&amp;"")," ",REPT(" ",60)),60)),코드표!$F$2:$F$101,0)),"⚠"&amp;TRIM(J74&amp;""))),"⚠"&amp;TRIM(J74&amp;""))</f>
        <v/>
      </c>
      <c r="S74" s="11">
        <f>IF(K74="","",IFERROR(IF(AND(ROUND((VALUE(K74&amp;"")-INT(VALUE(K74&amp;"")))*100,0)&gt;=1,ROUND((VALUE(K74&amp;"")-INT(VALUE(K74&amp;"")))*100,0)&lt;=12,INT(VALUE(K74&amp;""))&gt;=1900),DATE(INT(VALUE(K74&amp;"")),ROUND((VALUE(K74&amp;"")-INT(VALUE(K74&amp;"")))*100,0),1),K74&amp;""),K74&amp;""))</f>
        <v/>
      </c>
      <c r="T74" s="10">
        <f>COUNTIF(M74:R74,"⚠*")</f>
        <v/>
      </c>
    </row>
    <row r="75"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M75" s="10">
        <f>IFERROR(IF(TRIM(E75&amp;"")="","",IF(AND(ISNUMBER(FIND(" ",TRIM(E75&amp;""))),ISNUMBER(MATCH(LEFT(TRIM(E75&amp;""),FIND(" ",TRIM(E75&amp;""))-1),코드표!$J$2:$J$101,0)),ISNUMBER(MATCH(TRIM(RIGHT(SUBSTITUTE(TRIM(E75&amp;"")," ",REPT(" ",60)),60)),코드표!$F$2:$F$101,0))),INDEX(코드표!$K$2:$K$101,MATCH(LEFT(TRIM(E75&amp;""),FIND(" ",TRIM(E75&amp;""))-1),코드표!$J$2:$J$101,0))&amp;" "&amp;INDEX(코드표!$G$2:$G$101,MATCH(TRIM(RIGHT(SUBSTITUTE(TRIM(E75&amp;"")," ",REPT(" ",60)),60)),코드표!$F$2:$F$101,0)),"⚠"&amp;TRIM(E75&amp;""))),"⚠"&amp;TRIM(E75&amp;""))</f>
        <v/>
      </c>
      <c r="N75" s="10">
        <f>IFERROR(IF(TRIM(F75&amp;"")="","",IF(AND(ISNUMBER(FIND(" ",TRIM(F75&amp;""))),ISNUMBER(MATCH(LEFT(TRIM(F75&amp;""),FIND(" ",TRIM(F75&amp;""))-1),코드표!$J$2:$J$101,0)),ISNUMBER(MATCH(TRIM(RIGHT(SUBSTITUTE(TRIM(F75&amp;"")," ",REPT(" ",60)),60)),코드표!$F$2:$F$101,0))),INDEX(코드표!$K$2:$K$101,MATCH(LEFT(TRIM(F75&amp;""),FIND(" ",TRIM(F75&amp;""))-1),코드표!$J$2:$J$101,0))&amp;" "&amp;INDEX(코드표!$G$2:$G$101,MATCH(TRIM(RIGHT(SUBSTITUTE(TRIM(F75&amp;"")," ",REPT(" ",60)),60)),코드표!$F$2:$F$101,0)),"⚠"&amp;TRIM(F75&amp;""))),"⚠"&amp;TRIM(F75&amp;""))</f>
        <v/>
      </c>
      <c r="O75" s="10">
        <f>IFERROR(IF(TRIM(G75&amp;"")="","",IF(AND(ISNUMBER(FIND(" ",TRIM(G75&amp;""))),ISNUMBER(MATCH(LEFT(TRIM(G75&amp;""),FIND(" ",TRIM(G75&amp;""))-1),코드표!$J$2:$J$101,0)),ISNUMBER(MATCH(TRIM(RIGHT(SUBSTITUTE(TRIM(G75&amp;"")," ",REPT(" ",60)),60)),코드표!$F$2:$F$101,0))),INDEX(코드표!$K$2:$K$101,MATCH(LEFT(TRIM(G75&amp;""),FIND(" ",TRIM(G75&amp;""))-1),코드표!$J$2:$J$101,0))&amp;" "&amp;INDEX(코드표!$G$2:$G$101,MATCH(TRIM(RIGHT(SUBSTITUTE(TRIM(G75&amp;"")," ",REPT(" ",60)),60)),코드표!$F$2:$F$101,0)),"⚠"&amp;TRIM(G75&amp;""))),"⚠"&amp;TRIM(G75&amp;""))</f>
        <v/>
      </c>
      <c r="P75" s="10">
        <f>IFERROR(IF(TRIM(H75&amp;"")="","",IF(AND(ISNUMBER(FIND(" ",TRIM(H75&amp;""))),ISNUMBER(MATCH(LEFT(TRIM(H75&amp;""),FIND(" ",TRIM(H75&amp;""))-1),코드표!$J$2:$J$101,0)),ISNUMBER(MATCH(TRIM(RIGHT(SUBSTITUTE(TRIM(H75&amp;"")," ",REPT(" ",60)),60)),코드표!$F$2:$F$101,0))),INDEX(코드표!$K$2:$K$101,MATCH(LEFT(TRIM(H75&amp;""),FIND(" ",TRIM(H75&amp;""))-1),코드표!$J$2:$J$101,0))&amp;" "&amp;INDEX(코드표!$G$2:$G$101,MATCH(TRIM(RIGHT(SUBSTITUTE(TRIM(H75&amp;"")," ",REPT(" ",60)),60)),코드표!$F$2:$F$101,0)),"⚠"&amp;TRIM(H75&amp;""))),"⚠"&amp;TRIM(H75&amp;""))</f>
        <v/>
      </c>
      <c r="Q75" s="10">
        <f>IFERROR(IF(TRIM(I75&amp;"")="","",IF(AND(ISNUMBER(FIND(" ",TRIM(I75&amp;""))),ISNUMBER(MATCH(LEFT(TRIM(I75&amp;""),FIND(" ",TRIM(I75&amp;""))-1),코드표!$J$2:$J$101,0)),ISNUMBER(MATCH(TRIM(RIGHT(SUBSTITUTE(TRIM(I75&amp;"")," ",REPT(" ",60)),60)),코드표!$F$2:$F$101,0))),INDEX(코드표!$K$2:$K$101,MATCH(LEFT(TRIM(I75&amp;""),FIND(" ",TRIM(I75&amp;""))-1),코드표!$J$2:$J$101,0))&amp;" "&amp;INDEX(코드표!$G$2:$G$101,MATCH(TRIM(RIGHT(SUBSTITUTE(TRIM(I75&amp;"")," ",REPT(" ",60)),60)),코드표!$F$2:$F$101,0)),"⚠"&amp;TRIM(I75&amp;""))),"⚠"&amp;TRIM(I75&amp;""))</f>
        <v/>
      </c>
      <c r="R75" s="10">
        <f>IFERROR(IF(TRIM(J75&amp;"")="","",IF(AND(ISNUMBER(FIND(" ",TRIM(J75&amp;""))),ISNUMBER(MATCH(LEFT(TRIM(J75&amp;""),FIND(" ",TRIM(J75&amp;""))-1),코드표!$J$2:$J$101,0)),ISNUMBER(MATCH(TRIM(RIGHT(SUBSTITUTE(TRIM(J75&amp;"")," ",REPT(" ",60)),60)),코드표!$F$2:$F$101,0))),INDEX(코드표!$K$2:$K$101,MATCH(LEFT(TRIM(J75&amp;""),FIND(" ",TRIM(J75&amp;""))-1),코드표!$J$2:$J$101,0))&amp;" "&amp;INDEX(코드표!$G$2:$G$101,MATCH(TRIM(RIGHT(SUBSTITUTE(TRIM(J75&amp;"")," ",REPT(" ",60)),60)),코드표!$F$2:$F$101,0)),"⚠"&amp;TRIM(J75&amp;""))),"⚠"&amp;TRIM(J75&amp;""))</f>
        <v/>
      </c>
      <c r="S75" s="11">
        <f>IF(K75="","",IFERROR(IF(AND(ROUND((VALUE(K75&amp;"")-INT(VALUE(K75&amp;"")))*100,0)&gt;=1,ROUND((VALUE(K75&amp;"")-INT(VALUE(K75&amp;"")))*100,0)&lt;=12,INT(VALUE(K75&amp;""))&gt;=1900),DATE(INT(VALUE(K75&amp;"")),ROUND((VALUE(K75&amp;"")-INT(VALUE(K75&amp;"")))*100,0),1),K75&amp;""),K75&amp;""))</f>
        <v/>
      </c>
      <c r="T75" s="10">
        <f>COUNTIF(M75:R75,"⚠*")</f>
        <v/>
      </c>
    </row>
    <row r="76"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M76" s="10">
        <f>IFERROR(IF(TRIM(E76&amp;"")="","",IF(AND(ISNUMBER(FIND(" ",TRIM(E76&amp;""))),ISNUMBER(MATCH(LEFT(TRIM(E76&amp;""),FIND(" ",TRIM(E76&amp;""))-1),코드표!$J$2:$J$101,0)),ISNUMBER(MATCH(TRIM(RIGHT(SUBSTITUTE(TRIM(E76&amp;"")," ",REPT(" ",60)),60)),코드표!$F$2:$F$101,0))),INDEX(코드표!$K$2:$K$101,MATCH(LEFT(TRIM(E76&amp;""),FIND(" ",TRIM(E76&amp;""))-1),코드표!$J$2:$J$101,0))&amp;" "&amp;INDEX(코드표!$G$2:$G$101,MATCH(TRIM(RIGHT(SUBSTITUTE(TRIM(E76&amp;"")," ",REPT(" ",60)),60)),코드표!$F$2:$F$101,0)),"⚠"&amp;TRIM(E76&amp;""))),"⚠"&amp;TRIM(E76&amp;""))</f>
        <v/>
      </c>
      <c r="N76" s="10">
        <f>IFERROR(IF(TRIM(F76&amp;"")="","",IF(AND(ISNUMBER(FIND(" ",TRIM(F76&amp;""))),ISNUMBER(MATCH(LEFT(TRIM(F76&amp;""),FIND(" ",TRIM(F76&amp;""))-1),코드표!$J$2:$J$101,0)),ISNUMBER(MATCH(TRIM(RIGHT(SUBSTITUTE(TRIM(F76&amp;"")," ",REPT(" ",60)),60)),코드표!$F$2:$F$101,0))),INDEX(코드표!$K$2:$K$101,MATCH(LEFT(TRIM(F76&amp;""),FIND(" ",TRIM(F76&amp;""))-1),코드표!$J$2:$J$101,0))&amp;" "&amp;INDEX(코드표!$G$2:$G$101,MATCH(TRIM(RIGHT(SUBSTITUTE(TRIM(F76&amp;"")," ",REPT(" ",60)),60)),코드표!$F$2:$F$101,0)),"⚠"&amp;TRIM(F76&amp;""))),"⚠"&amp;TRIM(F76&amp;""))</f>
        <v/>
      </c>
      <c r="O76" s="10">
        <f>IFERROR(IF(TRIM(G76&amp;"")="","",IF(AND(ISNUMBER(FIND(" ",TRIM(G76&amp;""))),ISNUMBER(MATCH(LEFT(TRIM(G76&amp;""),FIND(" ",TRIM(G76&amp;""))-1),코드표!$J$2:$J$101,0)),ISNUMBER(MATCH(TRIM(RIGHT(SUBSTITUTE(TRIM(G76&amp;"")," ",REPT(" ",60)),60)),코드표!$F$2:$F$101,0))),INDEX(코드표!$K$2:$K$101,MATCH(LEFT(TRIM(G76&amp;""),FIND(" ",TRIM(G76&amp;""))-1),코드표!$J$2:$J$101,0))&amp;" "&amp;INDEX(코드표!$G$2:$G$101,MATCH(TRIM(RIGHT(SUBSTITUTE(TRIM(G76&amp;"")," ",REPT(" ",60)),60)),코드표!$F$2:$F$101,0)),"⚠"&amp;TRIM(G76&amp;""))),"⚠"&amp;TRIM(G76&amp;""))</f>
        <v/>
      </c>
      <c r="P76" s="10">
        <f>IFERROR(IF(TRIM(H76&amp;"")="","",IF(AND(ISNUMBER(FIND(" ",TRIM(H76&amp;""))),ISNUMBER(MATCH(LEFT(TRIM(H76&amp;""),FIND(" ",TRIM(H76&amp;""))-1),코드표!$J$2:$J$101,0)),ISNUMBER(MATCH(TRIM(RIGHT(SUBSTITUTE(TRIM(H76&amp;"")," ",REPT(" ",60)),60)),코드표!$F$2:$F$101,0))),INDEX(코드표!$K$2:$K$101,MATCH(LEFT(TRIM(H76&amp;""),FIND(" ",TRIM(H76&amp;""))-1),코드표!$J$2:$J$101,0))&amp;" "&amp;INDEX(코드표!$G$2:$G$101,MATCH(TRIM(RIGHT(SUBSTITUTE(TRIM(H76&amp;"")," ",REPT(" ",60)),60)),코드표!$F$2:$F$101,0)),"⚠"&amp;TRIM(H76&amp;""))),"⚠"&amp;TRIM(H76&amp;""))</f>
        <v/>
      </c>
      <c r="Q76" s="10">
        <f>IFERROR(IF(TRIM(I76&amp;"")="","",IF(AND(ISNUMBER(FIND(" ",TRIM(I76&amp;""))),ISNUMBER(MATCH(LEFT(TRIM(I76&amp;""),FIND(" ",TRIM(I76&amp;""))-1),코드표!$J$2:$J$101,0)),ISNUMBER(MATCH(TRIM(RIGHT(SUBSTITUTE(TRIM(I76&amp;"")," ",REPT(" ",60)),60)),코드표!$F$2:$F$101,0))),INDEX(코드표!$K$2:$K$101,MATCH(LEFT(TRIM(I76&amp;""),FIND(" ",TRIM(I76&amp;""))-1),코드표!$J$2:$J$101,0))&amp;" "&amp;INDEX(코드표!$G$2:$G$101,MATCH(TRIM(RIGHT(SUBSTITUTE(TRIM(I76&amp;"")," ",REPT(" ",60)),60)),코드표!$F$2:$F$101,0)),"⚠"&amp;TRIM(I76&amp;""))),"⚠"&amp;TRIM(I76&amp;""))</f>
        <v/>
      </c>
      <c r="R76" s="10">
        <f>IFERROR(IF(TRIM(J76&amp;"")="","",IF(AND(ISNUMBER(FIND(" ",TRIM(J76&amp;""))),ISNUMBER(MATCH(LEFT(TRIM(J76&amp;""),FIND(" ",TRIM(J76&amp;""))-1),코드표!$J$2:$J$101,0)),ISNUMBER(MATCH(TRIM(RIGHT(SUBSTITUTE(TRIM(J76&amp;"")," ",REPT(" ",60)),60)),코드표!$F$2:$F$101,0))),INDEX(코드표!$K$2:$K$101,MATCH(LEFT(TRIM(J76&amp;""),FIND(" ",TRIM(J76&amp;""))-1),코드표!$J$2:$J$101,0))&amp;" "&amp;INDEX(코드표!$G$2:$G$101,MATCH(TRIM(RIGHT(SUBSTITUTE(TRIM(J76&amp;"")," ",REPT(" ",60)),60)),코드표!$F$2:$F$101,0)),"⚠"&amp;TRIM(J76&amp;""))),"⚠"&amp;TRIM(J76&amp;""))</f>
        <v/>
      </c>
      <c r="S76" s="11">
        <f>IF(K76="","",IFERROR(IF(AND(ROUND((VALUE(K76&amp;"")-INT(VALUE(K76&amp;"")))*100,0)&gt;=1,ROUND((VALUE(K76&amp;"")-INT(VALUE(K76&amp;"")))*100,0)&lt;=12,INT(VALUE(K76&amp;""))&gt;=1900),DATE(INT(VALUE(K76&amp;"")),ROUND((VALUE(K76&amp;"")-INT(VALUE(K76&amp;"")))*100,0),1),K76&amp;""),K76&amp;""))</f>
        <v/>
      </c>
      <c r="T76" s="10">
        <f>COUNTIF(M76:R76,"⚠*")</f>
        <v/>
      </c>
    </row>
    <row r="77"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M77" s="10">
        <f>IFERROR(IF(TRIM(E77&amp;"")="","",IF(AND(ISNUMBER(FIND(" ",TRIM(E77&amp;""))),ISNUMBER(MATCH(LEFT(TRIM(E77&amp;""),FIND(" ",TRIM(E77&amp;""))-1),코드표!$J$2:$J$101,0)),ISNUMBER(MATCH(TRIM(RIGHT(SUBSTITUTE(TRIM(E77&amp;"")," ",REPT(" ",60)),60)),코드표!$F$2:$F$101,0))),INDEX(코드표!$K$2:$K$101,MATCH(LEFT(TRIM(E77&amp;""),FIND(" ",TRIM(E77&amp;""))-1),코드표!$J$2:$J$101,0))&amp;" "&amp;INDEX(코드표!$G$2:$G$101,MATCH(TRIM(RIGHT(SUBSTITUTE(TRIM(E77&amp;"")," ",REPT(" ",60)),60)),코드표!$F$2:$F$101,0)),"⚠"&amp;TRIM(E77&amp;""))),"⚠"&amp;TRIM(E77&amp;""))</f>
        <v/>
      </c>
      <c r="N77" s="10">
        <f>IFERROR(IF(TRIM(F77&amp;"")="","",IF(AND(ISNUMBER(FIND(" ",TRIM(F77&amp;""))),ISNUMBER(MATCH(LEFT(TRIM(F77&amp;""),FIND(" ",TRIM(F77&amp;""))-1),코드표!$J$2:$J$101,0)),ISNUMBER(MATCH(TRIM(RIGHT(SUBSTITUTE(TRIM(F77&amp;"")," ",REPT(" ",60)),60)),코드표!$F$2:$F$101,0))),INDEX(코드표!$K$2:$K$101,MATCH(LEFT(TRIM(F77&amp;""),FIND(" ",TRIM(F77&amp;""))-1),코드표!$J$2:$J$101,0))&amp;" "&amp;INDEX(코드표!$G$2:$G$101,MATCH(TRIM(RIGHT(SUBSTITUTE(TRIM(F77&amp;"")," ",REPT(" ",60)),60)),코드표!$F$2:$F$101,0)),"⚠"&amp;TRIM(F77&amp;""))),"⚠"&amp;TRIM(F77&amp;""))</f>
        <v/>
      </c>
      <c r="O77" s="10">
        <f>IFERROR(IF(TRIM(G77&amp;"")="","",IF(AND(ISNUMBER(FIND(" ",TRIM(G77&amp;""))),ISNUMBER(MATCH(LEFT(TRIM(G77&amp;""),FIND(" ",TRIM(G77&amp;""))-1),코드표!$J$2:$J$101,0)),ISNUMBER(MATCH(TRIM(RIGHT(SUBSTITUTE(TRIM(G77&amp;"")," ",REPT(" ",60)),60)),코드표!$F$2:$F$101,0))),INDEX(코드표!$K$2:$K$101,MATCH(LEFT(TRIM(G77&amp;""),FIND(" ",TRIM(G77&amp;""))-1),코드표!$J$2:$J$101,0))&amp;" "&amp;INDEX(코드표!$G$2:$G$101,MATCH(TRIM(RIGHT(SUBSTITUTE(TRIM(G77&amp;"")," ",REPT(" ",60)),60)),코드표!$F$2:$F$101,0)),"⚠"&amp;TRIM(G77&amp;""))),"⚠"&amp;TRIM(G77&amp;""))</f>
        <v/>
      </c>
      <c r="P77" s="10">
        <f>IFERROR(IF(TRIM(H77&amp;"")="","",IF(AND(ISNUMBER(FIND(" ",TRIM(H77&amp;""))),ISNUMBER(MATCH(LEFT(TRIM(H77&amp;""),FIND(" ",TRIM(H77&amp;""))-1),코드표!$J$2:$J$101,0)),ISNUMBER(MATCH(TRIM(RIGHT(SUBSTITUTE(TRIM(H77&amp;"")," ",REPT(" ",60)),60)),코드표!$F$2:$F$101,0))),INDEX(코드표!$K$2:$K$101,MATCH(LEFT(TRIM(H77&amp;""),FIND(" ",TRIM(H77&amp;""))-1),코드표!$J$2:$J$101,0))&amp;" "&amp;INDEX(코드표!$G$2:$G$101,MATCH(TRIM(RIGHT(SUBSTITUTE(TRIM(H77&amp;"")," ",REPT(" ",60)),60)),코드표!$F$2:$F$101,0)),"⚠"&amp;TRIM(H77&amp;""))),"⚠"&amp;TRIM(H77&amp;""))</f>
        <v/>
      </c>
      <c r="Q77" s="10">
        <f>IFERROR(IF(TRIM(I77&amp;"")="","",IF(AND(ISNUMBER(FIND(" ",TRIM(I77&amp;""))),ISNUMBER(MATCH(LEFT(TRIM(I77&amp;""),FIND(" ",TRIM(I77&amp;""))-1),코드표!$J$2:$J$101,0)),ISNUMBER(MATCH(TRIM(RIGHT(SUBSTITUTE(TRIM(I77&amp;"")," ",REPT(" ",60)),60)),코드표!$F$2:$F$101,0))),INDEX(코드표!$K$2:$K$101,MATCH(LEFT(TRIM(I77&amp;""),FIND(" ",TRIM(I77&amp;""))-1),코드표!$J$2:$J$101,0))&amp;" "&amp;INDEX(코드표!$G$2:$G$101,MATCH(TRIM(RIGHT(SUBSTITUTE(TRIM(I77&amp;"")," ",REPT(" ",60)),60)),코드표!$F$2:$F$101,0)),"⚠"&amp;TRIM(I77&amp;""))),"⚠"&amp;TRIM(I77&amp;""))</f>
        <v/>
      </c>
      <c r="R77" s="10">
        <f>IFERROR(IF(TRIM(J77&amp;"")="","",IF(AND(ISNUMBER(FIND(" ",TRIM(J77&amp;""))),ISNUMBER(MATCH(LEFT(TRIM(J77&amp;""),FIND(" ",TRIM(J77&amp;""))-1),코드표!$J$2:$J$101,0)),ISNUMBER(MATCH(TRIM(RIGHT(SUBSTITUTE(TRIM(J77&amp;"")," ",REPT(" ",60)),60)),코드표!$F$2:$F$101,0))),INDEX(코드표!$K$2:$K$101,MATCH(LEFT(TRIM(J77&amp;""),FIND(" ",TRIM(J77&amp;""))-1),코드표!$J$2:$J$101,0))&amp;" "&amp;INDEX(코드표!$G$2:$G$101,MATCH(TRIM(RIGHT(SUBSTITUTE(TRIM(J77&amp;"")," ",REPT(" ",60)),60)),코드표!$F$2:$F$101,0)),"⚠"&amp;TRIM(J77&amp;""))),"⚠"&amp;TRIM(J77&amp;""))</f>
        <v/>
      </c>
      <c r="S77" s="11">
        <f>IF(K77="","",IFERROR(IF(AND(ROUND((VALUE(K77&amp;"")-INT(VALUE(K77&amp;"")))*100,0)&gt;=1,ROUND((VALUE(K77&amp;"")-INT(VALUE(K77&amp;"")))*100,0)&lt;=12,INT(VALUE(K77&amp;""))&gt;=1900),DATE(INT(VALUE(K77&amp;"")),ROUND((VALUE(K77&amp;"")-INT(VALUE(K77&amp;"")))*100,0),1),K77&amp;""),K77&amp;""))</f>
        <v/>
      </c>
      <c r="T77" s="10">
        <f>COUNTIF(M77:R77,"⚠*")</f>
        <v/>
      </c>
    </row>
    <row r="78"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M78" s="10">
        <f>IFERROR(IF(TRIM(E78&amp;"")="","",IF(AND(ISNUMBER(FIND(" ",TRIM(E78&amp;""))),ISNUMBER(MATCH(LEFT(TRIM(E78&amp;""),FIND(" ",TRIM(E78&amp;""))-1),코드표!$J$2:$J$101,0)),ISNUMBER(MATCH(TRIM(RIGHT(SUBSTITUTE(TRIM(E78&amp;"")," ",REPT(" ",60)),60)),코드표!$F$2:$F$101,0))),INDEX(코드표!$K$2:$K$101,MATCH(LEFT(TRIM(E78&amp;""),FIND(" ",TRIM(E78&amp;""))-1),코드표!$J$2:$J$101,0))&amp;" "&amp;INDEX(코드표!$G$2:$G$101,MATCH(TRIM(RIGHT(SUBSTITUTE(TRIM(E78&amp;"")," ",REPT(" ",60)),60)),코드표!$F$2:$F$101,0)),"⚠"&amp;TRIM(E78&amp;""))),"⚠"&amp;TRIM(E78&amp;""))</f>
        <v/>
      </c>
      <c r="N78" s="10">
        <f>IFERROR(IF(TRIM(F78&amp;"")="","",IF(AND(ISNUMBER(FIND(" ",TRIM(F78&amp;""))),ISNUMBER(MATCH(LEFT(TRIM(F78&amp;""),FIND(" ",TRIM(F78&amp;""))-1),코드표!$J$2:$J$101,0)),ISNUMBER(MATCH(TRIM(RIGHT(SUBSTITUTE(TRIM(F78&amp;"")," ",REPT(" ",60)),60)),코드표!$F$2:$F$101,0))),INDEX(코드표!$K$2:$K$101,MATCH(LEFT(TRIM(F78&amp;""),FIND(" ",TRIM(F78&amp;""))-1),코드표!$J$2:$J$101,0))&amp;" "&amp;INDEX(코드표!$G$2:$G$101,MATCH(TRIM(RIGHT(SUBSTITUTE(TRIM(F78&amp;"")," ",REPT(" ",60)),60)),코드표!$F$2:$F$101,0)),"⚠"&amp;TRIM(F78&amp;""))),"⚠"&amp;TRIM(F78&amp;""))</f>
        <v/>
      </c>
      <c r="O78" s="10">
        <f>IFERROR(IF(TRIM(G78&amp;"")="","",IF(AND(ISNUMBER(FIND(" ",TRIM(G78&amp;""))),ISNUMBER(MATCH(LEFT(TRIM(G78&amp;""),FIND(" ",TRIM(G78&amp;""))-1),코드표!$J$2:$J$101,0)),ISNUMBER(MATCH(TRIM(RIGHT(SUBSTITUTE(TRIM(G78&amp;"")," ",REPT(" ",60)),60)),코드표!$F$2:$F$101,0))),INDEX(코드표!$K$2:$K$101,MATCH(LEFT(TRIM(G78&amp;""),FIND(" ",TRIM(G78&amp;""))-1),코드표!$J$2:$J$101,0))&amp;" "&amp;INDEX(코드표!$G$2:$G$101,MATCH(TRIM(RIGHT(SUBSTITUTE(TRIM(G78&amp;"")," ",REPT(" ",60)),60)),코드표!$F$2:$F$101,0)),"⚠"&amp;TRIM(G78&amp;""))),"⚠"&amp;TRIM(G78&amp;""))</f>
        <v/>
      </c>
      <c r="P78" s="10">
        <f>IFERROR(IF(TRIM(H78&amp;"")="","",IF(AND(ISNUMBER(FIND(" ",TRIM(H78&amp;""))),ISNUMBER(MATCH(LEFT(TRIM(H78&amp;""),FIND(" ",TRIM(H78&amp;""))-1),코드표!$J$2:$J$101,0)),ISNUMBER(MATCH(TRIM(RIGHT(SUBSTITUTE(TRIM(H78&amp;"")," ",REPT(" ",60)),60)),코드표!$F$2:$F$101,0))),INDEX(코드표!$K$2:$K$101,MATCH(LEFT(TRIM(H78&amp;""),FIND(" ",TRIM(H78&amp;""))-1),코드표!$J$2:$J$101,0))&amp;" "&amp;INDEX(코드표!$G$2:$G$101,MATCH(TRIM(RIGHT(SUBSTITUTE(TRIM(H78&amp;"")," ",REPT(" ",60)),60)),코드표!$F$2:$F$101,0)),"⚠"&amp;TRIM(H78&amp;""))),"⚠"&amp;TRIM(H78&amp;""))</f>
        <v/>
      </c>
      <c r="Q78" s="10">
        <f>IFERROR(IF(TRIM(I78&amp;"")="","",IF(AND(ISNUMBER(FIND(" ",TRIM(I78&amp;""))),ISNUMBER(MATCH(LEFT(TRIM(I78&amp;""),FIND(" ",TRIM(I78&amp;""))-1),코드표!$J$2:$J$101,0)),ISNUMBER(MATCH(TRIM(RIGHT(SUBSTITUTE(TRIM(I78&amp;"")," ",REPT(" ",60)),60)),코드표!$F$2:$F$101,0))),INDEX(코드표!$K$2:$K$101,MATCH(LEFT(TRIM(I78&amp;""),FIND(" ",TRIM(I78&amp;""))-1),코드표!$J$2:$J$101,0))&amp;" "&amp;INDEX(코드표!$G$2:$G$101,MATCH(TRIM(RIGHT(SUBSTITUTE(TRIM(I78&amp;"")," ",REPT(" ",60)),60)),코드표!$F$2:$F$101,0)),"⚠"&amp;TRIM(I78&amp;""))),"⚠"&amp;TRIM(I78&amp;""))</f>
        <v/>
      </c>
      <c r="R78" s="10">
        <f>IFERROR(IF(TRIM(J78&amp;"")="","",IF(AND(ISNUMBER(FIND(" ",TRIM(J78&amp;""))),ISNUMBER(MATCH(LEFT(TRIM(J78&amp;""),FIND(" ",TRIM(J78&amp;""))-1),코드표!$J$2:$J$101,0)),ISNUMBER(MATCH(TRIM(RIGHT(SUBSTITUTE(TRIM(J78&amp;"")," ",REPT(" ",60)),60)),코드표!$F$2:$F$101,0))),INDEX(코드표!$K$2:$K$101,MATCH(LEFT(TRIM(J78&amp;""),FIND(" ",TRIM(J78&amp;""))-1),코드표!$J$2:$J$101,0))&amp;" "&amp;INDEX(코드표!$G$2:$G$101,MATCH(TRIM(RIGHT(SUBSTITUTE(TRIM(J78&amp;"")," ",REPT(" ",60)),60)),코드표!$F$2:$F$101,0)),"⚠"&amp;TRIM(J78&amp;""))),"⚠"&amp;TRIM(J78&amp;""))</f>
        <v/>
      </c>
      <c r="S78" s="11">
        <f>IF(K78="","",IFERROR(IF(AND(ROUND((VALUE(K78&amp;"")-INT(VALUE(K78&amp;"")))*100,0)&gt;=1,ROUND((VALUE(K78&amp;"")-INT(VALUE(K78&amp;"")))*100,0)&lt;=12,INT(VALUE(K78&amp;""))&gt;=1900),DATE(INT(VALUE(K78&amp;"")),ROUND((VALUE(K78&amp;"")-INT(VALUE(K78&amp;"")))*100,0),1),K78&amp;""),K78&amp;""))</f>
        <v/>
      </c>
      <c r="T78" s="10">
        <f>COUNTIF(M78:R78,"⚠*")</f>
        <v/>
      </c>
    </row>
    <row r="79"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M79" s="10">
        <f>IFERROR(IF(TRIM(E79&amp;"")="","",IF(AND(ISNUMBER(FIND(" ",TRIM(E79&amp;""))),ISNUMBER(MATCH(LEFT(TRIM(E79&amp;""),FIND(" ",TRIM(E79&amp;""))-1),코드표!$J$2:$J$101,0)),ISNUMBER(MATCH(TRIM(RIGHT(SUBSTITUTE(TRIM(E79&amp;"")," ",REPT(" ",60)),60)),코드표!$F$2:$F$101,0))),INDEX(코드표!$K$2:$K$101,MATCH(LEFT(TRIM(E79&amp;""),FIND(" ",TRIM(E79&amp;""))-1),코드표!$J$2:$J$101,0))&amp;" "&amp;INDEX(코드표!$G$2:$G$101,MATCH(TRIM(RIGHT(SUBSTITUTE(TRIM(E79&amp;"")," ",REPT(" ",60)),60)),코드표!$F$2:$F$101,0)),"⚠"&amp;TRIM(E79&amp;""))),"⚠"&amp;TRIM(E79&amp;""))</f>
        <v/>
      </c>
      <c r="N79" s="10">
        <f>IFERROR(IF(TRIM(F79&amp;"")="","",IF(AND(ISNUMBER(FIND(" ",TRIM(F79&amp;""))),ISNUMBER(MATCH(LEFT(TRIM(F79&amp;""),FIND(" ",TRIM(F79&amp;""))-1),코드표!$J$2:$J$101,0)),ISNUMBER(MATCH(TRIM(RIGHT(SUBSTITUTE(TRIM(F79&amp;"")," ",REPT(" ",60)),60)),코드표!$F$2:$F$101,0))),INDEX(코드표!$K$2:$K$101,MATCH(LEFT(TRIM(F79&amp;""),FIND(" ",TRIM(F79&amp;""))-1),코드표!$J$2:$J$101,0))&amp;" "&amp;INDEX(코드표!$G$2:$G$101,MATCH(TRIM(RIGHT(SUBSTITUTE(TRIM(F79&amp;"")," ",REPT(" ",60)),60)),코드표!$F$2:$F$101,0)),"⚠"&amp;TRIM(F79&amp;""))),"⚠"&amp;TRIM(F79&amp;""))</f>
        <v/>
      </c>
      <c r="O79" s="10">
        <f>IFERROR(IF(TRIM(G79&amp;"")="","",IF(AND(ISNUMBER(FIND(" ",TRIM(G79&amp;""))),ISNUMBER(MATCH(LEFT(TRIM(G79&amp;""),FIND(" ",TRIM(G79&amp;""))-1),코드표!$J$2:$J$101,0)),ISNUMBER(MATCH(TRIM(RIGHT(SUBSTITUTE(TRIM(G79&amp;"")," ",REPT(" ",60)),60)),코드표!$F$2:$F$101,0))),INDEX(코드표!$K$2:$K$101,MATCH(LEFT(TRIM(G79&amp;""),FIND(" ",TRIM(G79&amp;""))-1),코드표!$J$2:$J$101,0))&amp;" "&amp;INDEX(코드표!$G$2:$G$101,MATCH(TRIM(RIGHT(SUBSTITUTE(TRIM(G79&amp;"")," ",REPT(" ",60)),60)),코드표!$F$2:$F$101,0)),"⚠"&amp;TRIM(G79&amp;""))),"⚠"&amp;TRIM(G79&amp;""))</f>
        <v/>
      </c>
      <c r="P79" s="10">
        <f>IFERROR(IF(TRIM(H79&amp;"")="","",IF(AND(ISNUMBER(FIND(" ",TRIM(H79&amp;""))),ISNUMBER(MATCH(LEFT(TRIM(H79&amp;""),FIND(" ",TRIM(H79&amp;""))-1),코드표!$J$2:$J$101,0)),ISNUMBER(MATCH(TRIM(RIGHT(SUBSTITUTE(TRIM(H79&amp;"")," ",REPT(" ",60)),60)),코드표!$F$2:$F$101,0))),INDEX(코드표!$K$2:$K$101,MATCH(LEFT(TRIM(H79&amp;""),FIND(" ",TRIM(H79&amp;""))-1),코드표!$J$2:$J$101,0))&amp;" "&amp;INDEX(코드표!$G$2:$G$101,MATCH(TRIM(RIGHT(SUBSTITUTE(TRIM(H79&amp;"")," ",REPT(" ",60)),60)),코드표!$F$2:$F$101,0)),"⚠"&amp;TRIM(H79&amp;""))),"⚠"&amp;TRIM(H79&amp;""))</f>
        <v/>
      </c>
      <c r="Q79" s="10">
        <f>IFERROR(IF(TRIM(I79&amp;"")="","",IF(AND(ISNUMBER(FIND(" ",TRIM(I79&amp;""))),ISNUMBER(MATCH(LEFT(TRIM(I79&amp;""),FIND(" ",TRIM(I79&amp;""))-1),코드표!$J$2:$J$101,0)),ISNUMBER(MATCH(TRIM(RIGHT(SUBSTITUTE(TRIM(I79&amp;"")," ",REPT(" ",60)),60)),코드표!$F$2:$F$101,0))),INDEX(코드표!$K$2:$K$101,MATCH(LEFT(TRIM(I79&amp;""),FIND(" ",TRIM(I79&amp;""))-1),코드표!$J$2:$J$101,0))&amp;" "&amp;INDEX(코드표!$G$2:$G$101,MATCH(TRIM(RIGHT(SUBSTITUTE(TRIM(I79&amp;"")," ",REPT(" ",60)),60)),코드표!$F$2:$F$101,0)),"⚠"&amp;TRIM(I79&amp;""))),"⚠"&amp;TRIM(I79&amp;""))</f>
        <v/>
      </c>
      <c r="R79" s="10">
        <f>IFERROR(IF(TRIM(J79&amp;"")="","",IF(AND(ISNUMBER(FIND(" ",TRIM(J79&amp;""))),ISNUMBER(MATCH(LEFT(TRIM(J79&amp;""),FIND(" ",TRIM(J79&amp;""))-1),코드표!$J$2:$J$101,0)),ISNUMBER(MATCH(TRIM(RIGHT(SUBSTITUTE(TRIM(J79&amp;"")," ",REPT(" ",60)),60)),코드표!$F$2:$F$101,0))),INDEX(코드표!$K$2:$K$101,MATCH(LEFT(TRIM(J79&amp;""),FIND(" ",TRIM(J79&amp;""))-1),코드표!$J$2:$J$101,0))&amp;" "&amp;INDEX(코드표!$G$2:$G$101,MATCH(TRIM(RIGHT(SUBSTITUTE(TRIM(J79&amp;"")," ",REPT(" ",60)),60)),코드표!$F$2:$F$101,0)),"⚠"&amp;TRIM(J79&amp;""))),"⚠"&amp;TRIM(J79&amp;""))</f>
        <v/>
      </c>
      <c r="S79" s="11">
        <f>IF(K79="","",IFERROR(IF(AND(ROUND((VALUE(K79&amp;"")-INT(VALUE(K79&amp;"")))*100,0)&gt;=1,ROUND((VALUE(K79&amp;"")-INT(VALUE(K79&amp;"")))*100,0)&lt;=12,INT(VALUE(K79&amp;""))&gt;=1900),DATE(INT(VALUE(K79&amp;"")),ROUND((VALUE(K79&amp;"")-INT(VALUE(K79&amp;"")))*100,0),1),K79&amp;""),K79&amp;""))</f>
        <v/>
      </c>
      <c r="T79" s="10">
        <f>COUNTIF(M79:R79,"⚠*")</f>
        <v/>
      </c>
    </row>
    <row r="80"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M80" s="10">
        <f>IFERROR(IF(TRIM(E80&amp;"")="","",IF(AND(ISNUMBER(FIND(" ",TRIM(E80&amp;""))),ISNUMBER(MATCH(LEFT(TRIM(E80&amp;""),FIND(" ",TRIM(E80&amp;""))-1),코드표!$J$2:$J$101,0)),ISNUMBER(MATCH(TRIM(RIGHT(SUBSTITUTE(TRIM(E80&amp;"")," ",REPT(" ",60)),60)),코드표!$F$2:$F$101,0))),INDEX(코드표!$K$2:$K$101,MATCH(LEFT(TRIM(E80&amp;""),FIND(" ",TRIM(E80&amp;""))-1),코드표!$J$2:$J$101,0))&amp;" "&amp;INDEX(코드표!$G$2:$G$101,MATCH(TRIM(RIGHT(SUBSTITUTE(TRIM(E80&amp;"")," ",REPT(" ",60)),60)),코드표!$F$2:$F$101,0)),"⚠"&amp;TRIM(E80&amp;""))),"⚠"&amp;TRIM(E80&amp;""))</f>
        <v/>
      </c>
      <c r="N80" s="10">
        <f>IFERROR(IF(TRIM(F80&amp;"")="","",IF(AND(ISNUMBER(FIND(" ",TRIM(F80&amp;""))),ISNUMBER(MATCH(LEFT(TRIM(F80&amp;""),FIND(" ",TRIM(F80&amp;""))-1),코드표!$J$2:$J$101,0)),ISNUMBER(MATCH(TRIM(RIGHT(SUBSTITUTE(TRIM(F80&amp;"")," ",REPT(" ",60)),60)),코드표!$F$2:$F$101,0))),INDEX(코드표!$K$2:$K$101,MATCH(LEFT(TRIM(F80&amp;""),FIND(" ",TRIM(F80&amp;""))-1),코드표!$J$2:$J$101,0))&amp;" "&amp;INDEX(코드표!$G$2:$G$101,MATCH(TRIM(RIGHT(SUBSTITUTE(TRIM(F80&amp;"")," ",REPT(" ",60)),60)),코드표!$F$2:$F$101,0)),"⚠"&amp;TRIM(F80&amp;""))),"⚠"&amp;TRIM(F80&amp;""))</f>
        <v/>
      </c>
      <c r="O80" s="10">
        <f>IFERROR(IF(TRIM(G80&amp;"")="","",IF(AND(ISNUMBER(FIND(" ",TRIM(G80&amp;""))),ISNUMBER(MATCH(LEFT(TRIM(G80&amp;""),FIND(" ",TRIM(G80&amp;""))-1),코드표!$J$2:$J$101,0)),ISNUMBER(MATCH(TRIM(RIGHT(SUBSTITUTE(TRIM(G80&amp;"")," ",REPT(" ",60)),60)),코드표!$F$2:$F$101,0))),INDEX(코드표!$K$2:$K$101,MATCH(LEFT(TRIM(G80&amp;""),FIND(" ",TRIM(G80&amp;""))-1),코드표!$J$2:$J$101,0))&amp;" "&amp;INDEX(코드표!$G$2:$G$101,MATCH(TRIM(RIGHT(SUBSTITUTE(TRIM(G80&amp;"")," ",REPT(" ",60)),60)),코드표!$F$2:$F$101,0)),"⚠"&amp;TRIM(G80&amp;""))),"⚠"&amp;TRIM(G80&amp;""))</f>
        <v/>
      </c>
      <c r="P80" s="10">
        <f>IFERROR(IF(TRIM(H80&amp;"")="","",IF(AND(ISNUMBER(FIND(" ",TRIM(H80&amp;""))),ISNUMBER(MATCH(LEFT(TRIM(H80&amp;""),FIND(" ",TRIM(H80&amp;""))-1),코드표!$J$2:$J$101,0)),ISNUMBER(MATCH(TRIM(RIGHT(SUBSTITUTE(TRIM(H80&amp;"")," ",REPT(" ",60)),60)),코드표!$F$2:$F$101,0))),INDEX(코드표!$K$2:$K$101,MATCH(LEFT(TRIM(H80&amp;""),FIND(" ",TRIM(H80&amp;""))-1),코드표!$J$2:$J$101,0))&amp;" "&amp;INDEX(코드표!$G$2:$G$101,MATCH(TRIM(RIGHT(SUBSTITUTE(TRIM(H80&amp;"")," ",REPT(" ",60)),60)),코드표!$F$2:$F$101,0)),"⚠"&amp;TRIM(H80&amp;""))),"⚠"&amp;TRIM(H80&amp;""))</f>
        <v/>
      </c>
      <c r="Q80" s="10">
        <f>IFERROR(IF(TRIM(I80&amp;"")="","",IF(AND(ISNUMBER(FIND(" ",TRIM(I80&amp;""))),ISNUMBER(MATCH(LEFT(TRIM(I80&amp;""),FIND(" ",TRIM(I80&amp;""))-1),코드표!$J$2:$J$101,0)),ISNUMBER(MATCH(TRIM(RIGHT(SUBSTITUTE(TRIM(I80&amp;"")," ",REPT(" ",60)),60)),코드표!$F$2:$F$101,0))),INDEX(코드표!$K$2:$K$101,MATCH(LEFT(TRIM(I80&amp;""),FIND(" ",TRIM(I80&amp;""))-1),코드표!$J$2:$J$101,0))&amp;" "&amp;INDEX(코드표!$G$2:$G$101,MATCH(TRIM(RIGHT(SUBSTITUTE(TRIM(I80&amp;"")," ",REPT(" ",60)),60)),코드표!$F$2:$F$101,0)),"⚠"&amp;TRIM(I80&amp;""))),"⚠"&amp;TRIM(I80&amp;""))</f>
        <v/>
      </c>
      <c r="R80" s="10">
        <f>IFERROR(IF(TRIM(J80&amp;"")="","",IF(AND(ISNUMBER(FIND(" ",TRIM(J80&amp;""))),ISNUMBER(MATCH(LEFT(TRIM(J80&amp;""),FIND(" ",TRIM(J80&amp;""))-1),코드표!$J$2:$J$101,0)),ISNUMBER(MATCH(TRIM(RIGHT(SUBSTITUTE(TRIM(J80&amp;"")," ",REPT(" ",60)),60)),코드표!$F$2:$F$101,0))),INDEX(코드표!$K$2:$K$101,MATCH(LEFT(TRIM(J80&amp;""),FIND(" ",TRIM(J80&amp;""))-1),코드표!$J$2:$J$101,0))&amp;" "&amp;INDEX(코드표!$G$2:$G$101,MATCH(TRIM(RIGHT(SUBSTITUTE(TRIM(J80&amp;"")," ",REPT(" ",60)),60)),코드표!$F$2:$F$101,0)),"⚠"&amp;TRIM(J80&amp;""))),"⚠"&amp;TRIM(J80&amp;""))</f>
        <v/>
      </c>
      <c r="S80" s="11">
        <f>IF(K80="","",IFERROR(IF(AND(ROUND((VALUE(K80&amp;"")-INT(VALUE(K80&amp;"")))*100,0)&gt;=1,ROUND((VALUE(K80&amp;"")-INT(VALUE(K80&amp;"")))*100,0)&lt;=12,INT(VALUE(K80&amp;""))&gt;=1900),DATE(INT(VALUE(K80&amp;"")),ROUND((VALUE(K80&amp;"")-INT(VALUE(K80&amp;"")))*100,0),1),K80&amp;""),K80&amp;""))</f>
        <v/>
      </c>
      <c r="T80" s="10">
        <f>COUNTIF(M80:R80,"⚠*")</f>
        <v/>
      </c>
    </row>
    <row r="81"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M81" s="10">
        <f>IFERROR(IF(TRIM(E81&amp;"")="","",IF(AND(ISNUMBER(FIND(" ",TRIM(E81&amp;""))),ISNUMBER(MATCH(LEFT(TRIM(E81&amp;""),FIND(" ",TRIM(E81&amp;""))-1),코드표!$J$2:$J$101,0)),ISNUMBER(MATCH(TRIM(RIGHT(SUBSTITUTE(TRIM(E81&amp;"")," ",REPT(" ",60)),60)),코드표!$F$2:$F$101,0))),INDEX(코드표!$K$2:$K$101,MATCH(LEFT(TRIM(E81&amp;""),FIND(" ",TRIM(E81&amp;""))-1),코드표!$J$2:$J$101,0))&amp;" "&amp;INDEX(코드표!$G$2:$G$101,MATCH(TRIM(RIGHT(SUBSTITUTE(TRIM(E81&amp;"")," ",REPT(" ",60)),60)),코드표!$F$2:$F$101,0)),"⚠"&amp;TRIM(E81&amp;""))),"⚠"&amp;TRIM(E81&amp;""))</f>
        <v/>
      </c>
      <c r="N81" s="10">
        <f>IFERROR(IF(TRIM(F81&amp;"")="","",IF(AND(ISNUMBER(FIND(" ",TRIM(F81&amp;""))),ISNUMBER(MATCH(LEFT(TRIM(F81&amp;""),FIND(" ",TRIM(F81&amp;""))-1),코드표!$J$2:$J$101,0)),ISNUMBER(MATCH(TRIM(RIGHT(SUBSTITUTE(TRIM(F81&amp;"")," ",REPT(" ",60)),60)),코드표!$F$2:$F$101,0))),INDEX(코드표!$K$2:$K$101,MATCH(LEFT(TRIM(F81&amp;""),FIND(" ",TRIM(F81&amp;""))-1),코드표!$J$2:$J$101,0))&amp;" "&amp;INDEX(코드표!$G$2:$G$101,MATCH(TRIM(RIGHT(SUBSTITUTE(TRIM(F81&amp;"")," ",REPT(" ",60)),60)),코드표!$F$2:$F$101,0)),"⚠"&amp;TRIM(F81&amp;""))),"⚠"&amp;TRIM(F81&amp;""))</f>
        <v/>
      </c>
      <c r="O81" s="10">
        <f>IFERROR(IF(TRIM(G81&amp;"")="","",IF(AND(ISNUMBER(FIND(" ",TRIM(G81&amp;""))),ISNUMBER(MATCH(LEFT(TRIM(G81&amp;""),FIND(" ",TRIM(G81&amp;""))-1),코드표!$J$2:$J$101,0)),ISNUMBER(MATCH(TRIM(RIGHT(SUBSTITUTE(TRIM(G81&amp;"")," ",REPT(" ",60)),60)),코드표!$F$2:$F$101,0))),INDEX(코드표!$K$2:$K$101,MATCH(LEFT(TRIM(G81&amp;""),FIND(" ",TRIM(G81&amp;""))-1),코드표!$J$2:$J$101,0))&amp;" "&amp;INDEX(코드표!$G$2:$G$101,MATCH(TRIM(RIGHT(SUBSTITUTE(TRIM(G81&amp;"")," ",REPT(" ",60)),60)),코드표!$F$2:$F$101,0)),"⚠"&amp;TRIM(G81&amp;""))),"⚠"&amp;TRIM(G81&amp;""))</f>
        <v/>
      </c>
      <c r="P81" s="10">
        <f>IFERROR(IF(TRIM(H81&amp;"")="","",IF(AND(ISNUMBER(FIND(" ",TRIM(H81&amp;""))),ISNUMBER(MATCH(LEFT(TRIM(H81&amp;""),FIND(" ",TRIM(H81&amp;""))-1),코드표!$J$2:$J$101,0)),ISNUMBER(MATCH(TRIM(RIGHT(SUBSTITUTE(TRIM(H81&amp;"")," ",REPT(" ",60)),60)),코드표!$F$2:$F$101,0))),INDEX(코드표!$K$2:$K$101,MATCH(LEFT(TRIM(H81&amp;""),FIND(" ",TRIM(H81&amp;""))-1),코드표!$J$2:$J$101,0))&amp;" "&amp;INDEX(코드표!$G$2:$G$101,MATCH(TRIM(RIGHT(SUBSTITUTE(TRIM(H81&amp;"")," ",REPT(" ",60)),60)),코드표!$F$2:$F$101,0)),"⚠"&amp;TRIM(H81&amp;""))),"⚠"&amp;TRIM(H81&amp;""))</f>
        <v/>
      </c>
      <c r="Q81" s="10">
        <f>IFERROR(IF(TRIM(I81&amp;"")="","",IF(AND(ISNUMBER(FIND(" ",TRIM(I81&amp;""))),ISNUMBER(MATCH(LEFT(TRIM(I81&amp;""),FIND(" ",TRIM(I81&amp;""))-1),코드표!$J$2:$J$101,0)),ISNUMBER(MATCH(TRIM(RIGHT(SUBSTITUTE(TRIM(I81&amp;"")," ",REPT(" ",60)),60)),코드표!$F$2:$F$101,0))),INDEX(코드표!$K$2:$K$101,MATCH(LEFT(TRIM(I81&amp;""),FIND(" ",TRIM(I81&amp;""))-1),코드표!$J$2:$J$101,0))&amp;" "&amp;INDEX(코드표!$G$2:$G$101,MATCH(TRIM(RIGHT(SUBSTITUTE(TRIM(I81&amp;"")," ",REPT(" ",60)),60)),코드표!$F$2:$F$101,0)),"⚠"&amp;TRIM(I81&amp;""))),"⚠"&amp;TRIM(I81&amp;""))</f>
        <v/>
      </c>
      <c r="R81" s="10">
        <f>IFERROR(IF(TRIM(J81&amp;"")="","",IF(AND(ISNUMBER(FIND(" ",TRIM(J81&amp;""))),ISNUMBER(MATCH(LEFT(TRIM(J81&amp;""),FIND(" ",TRIM(J81&amp;""))-1),코드표!$J$2:$J$101,0)),ISNUMBER(MATCH(TRIM(RIGHT(SUBSTITUTE(TRIM(J81&amp;"")," ",REPT(" ",60)),60)),코드표!$F$2:$F$101,0))),INDEX(코드표!$K$2:$K$101,MATCH(LEFT(TRIM(J81&amp;""),FIND(" ",TRIM(J81&amp;""))-1),코드표!$J$2:$J$101,0))&amp;" "&amp;INDEX(코드표!$G$2:$G$101,MATCH(TRIM(RIGHT(SUBSTITUTE(TRIM(J81&amp;"")," ",REPT(" ",60)),60)),코드표!$F$2:$F$101,0)),"⚠"&amp;TRIM(J81&amp;""))),"⚠"&amp;TRIM(J81&amp;""))</f>
        <v/>
      </c>
      <c r="S81" s="11">
        <f>IF(K81="","",IFERROR(IF(AND(ROUND((VALUE(K81&amp;"")-INT(VALUE(K81&amp;"")))*100,0)&gt;=1,ROUND((VALUE(K81&amp;"")-INT(VALUE(K81&amp;"")))*100,0)&lt;=12,INT(VALUE(K81&amp;""))&gt;=1900),DATE(INT(VALUE(K81&amp;"")),ROUND((VALUE(K81&amp;"")-INT(VALUE(K81&amp;"")))*100,0),1),K81&amp;""),K81&amp;""))</f>
        <v/>
      </c>
      <c r="T81" s="10">
        <f>COUNTIF(M81:R81,"⚠*")</f>
        <v/>
      </c>
    </row>
    <row r="82"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M82" s="10">
        <f>IFERROR(IF(TRIM(E82&amp;"")="","",IF(AND(ISNUMBER(FIND(" ",TRIM(E82&amp;""))),ISNUMBER(MATCH(LEFT(TRIM(E82&amp;""),FIND(" ",TRIM(E82&amp;""))-1),코드표!$J$2:$J$101,0)),ISNUMBER(MATCH(TRIM(RIGHT(SUBSTITUTE(TRIM(E82&amp;"")," ",REPT(" ",60)),60)),코드표!$F$2:$F$101,0))),INDEX(코드표!$K$2:$K$101,MATCH(LEFT(TRIM(E82&amp;""),FIND(" ",TRIM(E82&amp;""))-1),코드표!$J$2:$J$101,0))&amp;" "&amp;INDEX(코드표!$G$2:$G$101,MATCH(TRIM(RIGHT(SUBSTITUTE(TRIM(E82&amp;"")," ",REPT(" ",60)),60)),코드표!$F$2:$F$101,0)),"⚠"&amp;TRIM(E82&amp;""))),"⚠"&amp;TRIM(E82&amp;""))</f>
        <v/>
      </c>
      <c r="N82" s="10">
        <f>IFERROR(IF(TRIM(F82&amp;"")="","",IF(AND(ISNUMBER(FIND(" ",TRIM(F82&amp;""))),ISNUMBER(MATCH(LEFT(TRIM(F82&amp;""),FIND(" ",TRIM(F82&amp;""))-1),코드표!$J$2:$J$101,0)),ISNUMBER(MATCH(TRIM(RIGHT(SUBSTITUTE(TRIM(F82&amp;"")," ",REPT(" ",60)),60)),코드표!$F$2:$F$101,0))),INDEX(코드표!$K$2:$K$101,MATCH(LEFT(TRIM(F82&amp;""),FIND(" ",TRIM(F82&amp;""))-1),코드표!$J$2:$J$101,0))&amp;" "&amp;INDEX(코드표!$G$2:$G$101,MATCH(TRIM(RIGHT(SUBSTITUTE(TRIM(F82&amp;"")," ",REPT(" ",60)),60)),코드표!$F$2:$F$101,0)),"⚠"&amp;TRIM(F82&amp;""))),"⚠"&amp;TRIM(F82&amp;""))</f>
        <v/>
      </c>
      <c r="O82" s="10">
        <f>IFERROR(IF(TRIM(G82&amp;"")="","",IF(AND(ISNUMBER(FIND(" ",TRIM(G82&amp;""))),ISNUMBER(MATCH(LEFT(TRIM(G82&amp;""),FIND(" ",TRIM(G82&amp;""))-1),코드표!$J$2:$J$101,0)),ISNUMBER(MATCH(TRIM(RIGHT(SUBSTITUTE(TRIM(G82&amp;"")," ",REPT(" ",60)),60)),코드표!$F$2:$F$101,0))),INDEX(코드표!$K$2:$K$101,MATCH(LEFT(TRIM(G82&amp;""),FIND(" ",TRIM(G82&amp;""))-1),코드표!$J$2:$J$101,0))&amp;" "&amp;INDEX(코드표!$G$2:$G$101,MATCH(TRIM(RIGHT(SUBSTITUTE(TRIM(G82&amp;"")," ",REPT(" ",60)),60)),코드표!$F$2:$F$101,0)),"⚠"&amp;TRIM(G82&amp;""))),"⚠"&amp;TRIM(G82&amp;""))</f>
        <v/>
      </c>
      <c r="P82" s="10">
        <f>IFERROR(IF(TRIM(H82&amp;"")="","",IF(AND(ISNUMBER(FIND(" ",TRIM(H82&amp;""))),ISNUMBER(MATCH(LEFT(TRIM(H82&amp;""),FIND(" ",TRIM(H82&amp;""))-1),코드표!$J$2:$J$101,0)),ISNUMBER(MATCH(TRIM(RIGHT(SUBSTITUTE(TRIM(H82&amp;"")," ",REPT(" ",60)),60)),코드표!$F$2:$F$101,0))),INDEX(코드표!$K$2:$K$101,MATCH(LEFT(TRIM(H82&amp;""),FIND(" ",TRIM(H82&amp;""))-1),코드표!$J$2:$J$101,0))&amp;" "&amp;INDEX(코드표!$G$2:$G$101,MATCH(TRIM(RIGHT(SUBSTITUTE(TRIM(H82&amp;"")," ",REPT(" ",60)),60)),코드표!$F$2:$F$101,0)),"⚠"&amp;TRIM(H82&amp;""))),"⚠"&amp;TRIM(H82&amp;""))</f>
        <v/>
      </c>
      <c r="Q82" s="10">
        <f>IFERROR(IF(TRIM(I82&amp;"")="","",IF(AND(ISNUMBER(FIND(" ",TRIM(I82&amp;""))),ISNUMBER(MATCH(LEFT(TRIM(I82&amp;""),FIND(" ",TRIM(I82&amp;""))-1),코드표!$J$2:$J$101,0)),ISNUMBER(MATCH(TRIM(RIGHT(SUBSTITUTE(TRIM(I82&amp;"")," ",REPT(" ",60)),60)),코드표!$F$2:$F$101,0))),INDEX(코드표!$K$2:$K$101,MATCH(LEFT(TRIM(I82&amp;""),FIND(" ",TRIM(I82&amp;""))-1),코드표!$J$2:$J$101,0))&amp;" "&amp;INDEX(코드표!$G$2:$G$101,MATCH(TRIM(RIGHT(SUBSTITUTE(TRIM(I82&amp;"")," ",REPT(" ",60)),60)),코드표!$F$2:$F$101,0)),"⚠"&amp;TRIM(I82&amp;""))),"⚠"&amp;TRIM(I82&amp;""))</f>
        <v/>
      </c>
      <c r="R82" s="10">
        <f>IFERROR(IF(TRIM(J82&amp;"")="","",IF(AND(ISNUMBER(FIND(" ",TRIM(J82&amp;""))),ISNUMBER(MATCH(LEFT(TRIM(J82&amp;""),FIND(" ",TRIM(J82&amp;""))-1),코드표!$J$2:$J$101,0)),ISNUMBER(MATCH(TRIM(RIGHT(SUBSTITUTE(TRIM(J82&amp;"")," ",REPT(" ",60)),60)),코드표!$F$2:$F$101,0))),INDEX(코드표!$K$2:$K$101,MATCH(LEFT(TRIM(J82&amp;""),FIND(" ",TRIM(J82&amp;""))-1),코드표!$J$2:$J$101,0))&amp;" "&amp;INDEX(코드표!$G$2:$G$101,MATCH(TRIM(RIGHT(SUBSTITUTE(TRIM(J82&amp;"")," ",REPT(" ",60)),60)),코드표!$F$2:$F$101,0)),"⚠"&amp;TRIM(J82&amp;""))),"⚠"&amp;TRIM(J82&amp;""))</f>
        <v/>
      </c>
      <c r="S82" s="11">
        <f>IF(K82="","",IFERROR(IF(AND(ROUND((VALUE(K82&amp;"")-INT(VALUE(K82&amp;"")))*100,0)&gt;=1,ROUND((VALUE(K82&amp;"")-INT(VALUE(K82&amp;"")))*100,0)&lt;=12,INT(VALUE(K82&amp;""))&gt;=1900),DATE(INT(VALUE(K82&amp;"")),ROUND((VALUE(K82&amp;"")-INT(VALUE(K82&amp;"")))*100,0),1),K82&amp;""),K82&amp;""))</f>
        <v/>
      </c>
      <c r="T82" s="10">
        <f>COUNTIF(M82:R82,"⚠*")</f>
        <v/>
      </c>
    </row>
    <row r="83"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M83" s="10">
        <f>IFERROR(IF(TRIM(E83&amp;"")="","",IF(AND(ISNUMBER(FIND(" ",TRIM(E83&amp;""))),ISNUMBER(MATCH(LEFT(TRIM(E83&amp;""),FIND(" ",TRIM(E83&amp;""))-1),코드표!$J$2:$J$101,0)),ISNUMBER(MATCH(TRIM(RIGHT(SUBSTITUTE(TRIM(E83&amp;"")," ",REPT(" ",60)),60)),코드표!$F$2:$F$101,0))),INDEX(코드표!$K$2:$K$101,MATCH(LEFT(TRIM(E83&amp;""),FIND(" ",TRIM(E83&amp;""))-1),코드표!$J$2:$J$101,0))&amp;" "&amp;INDEX(코드표!$G$2:$G$101,MATCH(TRIM(RIGHT(SUBSTITUTE(TRIM(E83&amp;"")," ",REPT(" ",60)),60)),코드표!$F$2:$F$101,0)),"⚠"&amp;TRIM(E83&amp;""))),"⚠"&amp;TRIM(E83&amp;""))</f>
        <v/>
      </c>
      <c r="N83" s="10">
        <f>IFERROR(IF(TRIM(F83&amp;"")="","",IF(AND(ISNUMBER(FIND(" ",TRIM(F83&amp;""))),ISNUMBER(MATCH(LEFT(TRIM(F83&amp;""),FIND(" ",TRIM(F83&amp;""))-1),코드표!$J$2:$J$101,0)),ISNUMBER(MATCH(TRIM(RIGHT(SUBSTITUTE(TRIM(F83&amp;"")," ",REPT(" ",60)),60)),코드표!$F$2:$F$101,0))),INDEX(코드표!$K$2:$K$101,MATCH(LEFT(TRIM(F83&amp;""),FIND(" ",TRIM(F83&amp;""))-1),코드표!$J$2:$J$101,0))&amp;" "&amp;INDEX(코드표!$G$2:$G$101,MATCH(TRIM(RIGHT(SUBSTITUTE(TRIM(F83&amp;"")," ",REPT(" ",60)),60)),코드표!$F$2:$F$101,0)),"⚠"&amp;TRIM(F83&amp;""))),"⚠"&amp;TRIM(F83&amp;""))</f>
        <v/>
      </c>
      <c r="O83" s="10">
        <f>IFERROR(IF(TRIM(G83&amp;"")="","",IF(AND(ISNUMBER(FIND(" ",TRIM(G83&amp;""))),ISNUMBER(MATCH(LEFT(TRIM(G83&amp;""),FIND(" ",TRIM(G83&amp;""))-1),코드표!$J$2:$J$101,0)),ISNUMBER(MATCH(TRIM(RIGHT(SUBSTITUTE(TRIM(G83&amp;"")," ",REPT(" ",60)),60)),코드표!$F$2:$F$101,0))),INDEX(코드표!$K$2:$K$101,MATCH(LEFT(TRIM(G83&amp;""),FIND(" ",TRIM(G83&amp;""))-1),코드표!$J$2:$J$101,0))&amp;" "&amp;INDEX(코드표!$G$2:$G$101,MATCH(TRIM(RIGHT(SUBSTITUTE(TRIM(G83&amp;"")," ",REPT(" ",60)),60)),코드표!$F$2:$F$101,0)),"⚠"&amp;TRIM(G83&amp;""))),"⚠"&amp;TRIM(G83&amp;""))</f>
        <v/>
      </c>
      <c r="P83" s="10">
        <f>IFERROR(IF(TRIM(H83&amp;"")="","",IF(AND(ISNUMBER(FIND(" ",TRIM(H83&amp;""))),ISNUMBER(MATCH(LEFT(TRIM(H83&amp;""),FIND(" ",TRIM(H83&amp;""))-1),코드표!$J$2:$J$101,0)),ISNUMBER(MATCH(TRIM(RIGHT(SUBSTITUTE(TRIM(H83&amp;"")," ",REPT(" ",60)),60)),코드표!$F$2:$F$101,0))),INDEX(코드표!$K$2:$K$101,MATCH(LEFT(TRIM(H83&amp;""),FIND(" ",TRIM(H83&amp;""))-1),코드표!$J$2:$J$101,0))&amp;" "&amp;INDEX(코드표!$G$2:$G$101,MATCH(TRIM(RIGHT(SUBSTITUTE(TRIM(H83&amp;"")," ",REPT(" ",60)),60)),코드표!$F$2:$F$101,0)),"⚠"&amp;TRIM(H83&amp;""))),"⚠"&amp;TRIM(H83&amp;""))</f>
        <v/>
      </c>
      <c r="Q83" s="10">
        <f>IFERROR(IF(TRIM(I83&amp;"")="","",IF(AND(ISNUMBER(FIND(" ",TRIM(I83&amp;""))),ISNUMBER(MATCH(LEFT(TRIM(I83&amp;""),FIND(" ",TRIM(I83&amp;""))-1),코드표!$J$2:$J$101,0)),ISNUMBER(MATCH(TRIM(RIGHT(SUBSTITUTE(TRIM(I83&amp;"")," ",REPT(" ",60)),60)),코드표!$F$2:$F$101,0))),INDEX(코드표!$K$2:$K$101,MATCH(LEFT(TRIM(I83&amp;""),FIND(" ",TRIM(I83&amp;""))-1),코드표!$J$2:$J$101,0))&amp;" "&amp;INDEX(코드표!$G$2:$G$101,MATCH(TRIM(RIGHT(SUBSTITUTE(TRIM(I83&amp;"")," ",REPT(" ",60)),60)),코드표!$F$2:$F$101,0)),"⚠"&amp;TRIM(I83&amp;""))),"⚠"&amp;TRIM(I83&amp;""))</f>
        <v/>
      </c>
      <c r="R83" s="10">
        <f>IFERROR(IF(TRIM(J83&amp;"")="","",IF(AND(ISNUMBER(FIND(" ",TRIM(J83&amp;""))),ISNUMBER(MATCH(LEFT(TRIM(J83&amp;""),FIND(" ",TRIM(J83&amp;""))-1),코드표!$J$2:$J$101,0)),ISNUMBER(MATCH(TRIM(RIGHT(SUBSTITUTE(TRIM(J83&amp;"")," ",REPT(" ",60)),60)),코드표!$F$2:$F$101,0))),INDEX(코드표!$K$2:$K$101,MATCH(LEFT(TRIM(J83&amp;""),FIND(" ",TRIM(J83&amp;""))-1),코드표!$J$2:$J$101,0))&amp;" "&amp;INDEX(코드표!$G$2:$G$101,MATCH(TRIM(RIGHT(SUBSTITUTE(TRIM(J83&amp;"")," ",REPT(" ",60)),60)),코드표!$F$2:$F$101,0)),"⚠"&amp;TRIM(J83&amp;""))),"⚠"&amp;TRIM(J83&amp;""))</f>
        <v/>
      </c>
      <c r="S83" s="11">
        <f>IF(K83="","",IFERROR(IF(AND(ROUND((VALUE(K83&amp;"")-INT(VALUE(K83&amp;"")))*100,0)&gt;=1,ROUND((VALUE(K83&amp;"")-INT(VALUE(K83&amp;"")))*100,0)&lt;=12,INT(VALUE(K83&amp;""))&gt;=1900),DATE(INT(VALUE(K83&amp;"")),ROUND((VALUE(K83&amp;"")-INT(VALUE(K83&amp;"")))*100,0),1),K83&amp;""),K83&amp;""))</f>
        <v/>
      </c>
      <c r="T83" s="10">
        <f>COUNTIF(M83:R83,"⚠*")</f>
        <v/>
      </c>
    </row>
    <row r="84"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M84" s="10">
        <f>IFERROR(IF(TRIM(E84&amp;"")="","",IF(AND(ISNUMBER(FIND(" ",TRIM(E84&amp;""))),ISNUMBER(MATCH(LEFT(TRIM(E84&amp;""),FIND(" ",TRIM(E84&amp;""))-1),코드표!$J$2:$J$101,0)),ISNUMBER(MATCH(TRIM(RIGHT(SUBSTITUTE(TRIM(E84&amp;"")," ",REPT(" ",60)),60)),코드표!$F$2:$F$101,0))),INDEX(코드표!$K$2:$K$101,MATCH(LEFT(TRIM(E84&amp;""),FIND(" ",TRIM(E84&amp;""))-1),코드표!$J$2:$J$101,0))&amp;" "&amp;INDEX(코드표!$G$2:$G$101,MATCH(TRIM(RIGHT(SUBSTITUTE(TRIM(E84&amp;"")," ",REPT(" ",60)),60)),코드표!$F$2:$F$101,0)),"⚠"&amp;TRIM(E84&amp;""))),"⚠"&amp;TRIM(E84&amp;""))</f>
        <v/>
      </c>
      <c r="N84" s="10">
        <f>IFERROR(IF(TRIM(F84&amp;"")="","",IF(AND(ISNUMBER(FIND(" ",TRIM(F84&amp;""))),ISNUMBER(MATCH(LEFT(TRIM(F84&amp;""),FIND(" ",TRIM(F84&amp;""))-1),코드표!$J$2:$J$101,0)),ISNUMBER(MATCH(TRIM(RIGHT(SUBSTITUTE(TRIM(F84&amp;"")," ",REPT(" ",60)),60)),코드표!$F$2:$F$101,0))),INDEX(코드표!$K$2:$K$101,MATCH(LEFT(TRIM(F84&amp;""),FIND(" ",TRIM(F84&amp;""))-1),코드표!$J$2:$J$101,0))&amp;" "&amp;INDEX(코드표!$G$2:$G$101,MATCH(TRIM(RIGHT(SUBSTITUTE(TRIM(F84&amp;"")," ",REPT(" ",60)),60)),코드표!$F$2:$F$101,0)),"⚠"&amp;TRIM(F84&amp;""))),"⚠"&amp;TRIM(F84&amp;""))</f>
        <v/>
      </c>
      <c r="O84" s="10">
        <f>IFERROR(IF(TRIM(G84&amp;"")="","",IF(AND(ISNUMBER(FIND(" ",TRIM(G84&amp;""))),ISNUMBER(MATCH(LEFT(TRIM(G84&amp;""),FIND(" ",TRIM(G84&amp;""))-1),코드표!$J$2:$J$101,0)),ISNUMBER(MATCH(TRIM(RIGHT(SUBSTITUTE(TRIM(G84&amp;"")," ",REPT(" ",60)),60)),코드표!$F$2:$F$101,0))),INDEX(코드표!$K$2:$K$101,MATCH(LEFT(TRIM(G84&amp;""),FIND(" ",TRIM(G84&amp;""))-1),코드표!$J$2:$J$101,0))&amp;" "&amp;INDEX(코드표!$G$2:$G$101,MATCH(TRIM(RIGHT(SUBSTITUTE(TRIM(G84&amp;"")," ",REPT(" ",60)),60)),코드표!$F$2:$F$101,0)),"⚠"&amp;TRIM(G84&amp;""))),"⚠"&amp;TRIM(G84&amp;""))</f>
        <v/>
      </c>
      <c r="P84" s="10">
        <f>IFERROR(IF(TRIM(H84&amp;"")="","",IF(AND(ISNUMBER(FIND(" ",TRIM(H84&amp;""))),ISNUMBER(MATCH(LEFT(TRIM(H84&amp;""),FIND(" ",TRIM(H84&amp;""))-1),코드표!$J$2:$J$101,0)),ISNUMBER(MATCH(TRIM(RIGHT(SUBSTITUTE(TRIM(H84&amp;"")," ",REPT(" ",60)),60)),코드표!$F$2:$F$101,0))),INDEX(코드표!$K$2:$K$101,MATCH(LEFT(TRIM(H84&amp;""),FIND(" ",TRIM(H84&amp;""))-1),코드표!$J$2:$J$101,0))&amp;" "&amp;INDEX(코드표!$G$2:$G$101,MATCH(TRIM(RIGHT(SUBSTITUTE(TRIM(H84&amp;"")," ",REPT(" ",60)),60)),코드표!$F$2:$F$101,0)),"⚠"&amp;TRIM(H84&amp;""))),"⚠"&amp;TRIM(H84&amp;""))</f>
        <v/>
      </c>
      <c r="Q84" s="10">
        <f>IFERROR(IF(TRIM(I84&amp;"")="","",IF(AND(ISNUMBER(FIND(" ",TRIM(I84&amp;""))),ISNUMBER(MATCH(LEFT(TRIM(I84&amp;""),FIND(" ",TRIM(I84&amp;""))-1),코드표!$J$2:$J$101,0)),ISNUMBER(MATCH(TRIM(RIGHT(SUBSTITUTE(TRIM(I84&amp;"")," ",REPT(" ",60)),60)),코드표!$F$2:$F$101,0))),INDEX(코드표!$K$2:$K$101,MATCH(LEFT(TRIM(I84&amp;""),FIND(" ",TRIM(I84&amp;""))-1),코드표!$J$2:$J$101,0))&amp;" "&amp;INDEX(코드표!$G$2:$G$101,MATCH(TRIM(RIGHT(SUBSTITUTE(TRIM(I84&amp;"")," ",REPT(" ",60)),60)),코드표!$F$2:$F$101,0)),"⚠"&amp;TRIM(I84&amp;""))),"⚠"&amp;TRIM(I84&amp;""))</f>
        <v/>
      </c>
      <c r="R84" s="10">
        <f>IFERROR(IF(TRIM(J84&amp;"")="","",IF(AND(ISNUMBER(FIND(" ",TRIM(J84&amp;""))),ISNUMBER(MATCH(LEFT(TRIM(J84&amp;""),FIND(" ",TRIM(J84&amp;""))-1),코드표!$J$2:$J$101,0)),ISNUMBER(MATCH(TRIM(RIGHT(SUBSTITUTE(TRIM(J84&amp;"")," ",REPT(" ",60)),60)),코드표!$F$2:$F$101,0))),INDEX(코드표!$K$2:$K$101,MATCH(LEFT(TRIM(J84&amp;""),FIND(" ",TRIM(J84&amp;""))-1),코드표!$J$2:$J$101,0))&amp;" "&amp;INDEX(코드표!$G$2:$G$101,MATCH(TRIM(RIGHT(SUBSTITUTE(TRIM(J84&amp;"")," ",REPT(" ",60)),60)),코드표!$F$2:$F$101,0)),"⚠"&amp;TRIM(J84&amp;""))),"⚠"&amp;TRIM(J84&amp;""))</f>
        <v/>
      </c>
      <c r="S84" s="11">
        <f>IF(K84="","",IFERROR(IF(AND(ROUND((VALUE(K84&amp;"")-INT(VALUE(K84&amp;"")))*100,0)&gt;=1,ROUND((VALUE(K84&amp;"")-INT(VALUE(K84&amp;"")))*100,0)&lt;=12,INT(VALUE(K84&amp;""))&gt;=1900),DATE(INT(VALUE(K84&amp;"")),ROUND((VALUE(K84&amp;"")-INT(VALUE(K84&amp;"")))*100,0),1),K84&amp;""),K84&amp;""))</f>
        <v/>
      </c>
      <c r="T84" s="10">
        <f>COUNTIF(M84:R84,"⚠*")</f>
        <v/>
      </c>
    </row>
    <row r="85"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M85" s="10">
        <f>IFERROR(IF(TRIM(E85&amp;"")="","",IF(AND(ISNUMBER(FIND(" ",TRIM(E85&amp;""))),ISNUMBER(MATCH(LEFT(TRIM(E85&amp;""),FIND(" ",TRIM(E85&amp;""))-1),코드표!$J$2:$J$101,0)),ISNUMBER(MATCH(TRIM(RIGHT(SUBSTITUTE(TRIM(E85&amp;"")," ",REPT(" ",60)),60)),코드표!$F$2:$F$101,0))),INDEX(코드표!$K$2:$K$101,MATCH(LEFT(TRIM(E85&amp;""),FIND(" ",TRIM(E85&amp;""))-1),코드표!$J$2:$J$101,0))&amp;" "&amp;INDEX(코드표!$G$2:$G$101,MATCH(TRIM(RIGHT(SUBSTITUTE(TRIM(E85&amp;"")," ",REPT(" ",60)),60)),코드표!$F$2:$F$101,0)),"⚠"&amp;TRIM(E85&amp;""))),"⚠"&amp;TRIM(E85&amp;""))</f>
        <v/>
      </c>
      <c r="N85" s="10">
        <f>IFERROR(IF(TRIM(F85&amp;"")="","",IF(AND(ISNUMBER(FIND(" ",TRIM(F85&amp;""))),ISNUMBER(MATCH(LEFT(TRIM(F85&amp;""),FIND(" ",TRIM(F85&amp;""))-1),코드표!$J$2:$J$101,0)),ISNUMBER(MATCH(TRIM(RIGHT(SUBSTITUTE(TRIM(F85&amp;"")," ",REPT(" ",60)),60)),코드표!$F$2:$F$101,0))),INDEX(코드표!$K$2:$K$101,MATCH(LEFT(TRIM(F85&amp;""),FIND(" ",TRIM(F85&amp;""))-1),코드표!$J$2:$J$101,0))&amp;" "&amp;INDEX(코드표!$G$2:$G$101,MATCH(TRIM(RIGHT(SUBSTITUTE(TRIM(F85&amp;"")," ",REPT(" ",60)),60)),코드표!$F$2:$F$101,0)),"⚠"&amp;TRIM(F85&amp;""))),"⚠"&amp;TRIM(F85&amp;""))</f>
        <v/>
      </c>
      <c r="O85" s="10">
        <f>IFERROR(IF(TRIM(G85&amp;"")="","",IF(AND(ISNUMBER(FIND(" ",TRIM(G85&amp;""))),ISNUMBER(MATCH(LEFT(TRIM(G85&amp;""),FIND(" ",TRIM(G85&amp;""))-1),코드표!$J$2:$J$101,0)),ISNUMBER(MATCH(TRIM(RIGHT(SUBSTITUTE(TRIM(G85&amp;"")," ",REPT(" ",60)),60)),코드표!$F$2:$F$101,0))),INDEX(코드표!$K$2:$K$101,MATCH(LEFT(TRIM(G85&amp;""),FIND(" ",TRIM(G85&amp;""))-1),코드표!$J$2:$J$101,0))&amp;" "&amp;INDEX(코드표!$G$2:$G$101,MATCH(TRIM(RIGHT(SUBSTITUTE(TRIM(G85&amp;"")," ",REPT(" ",60)),60)),코드표!$F$2:$F$101,0)),"⚠"&amp;TRIM(G85&amp;""))),"⚠"&amp;TRIM(G85&amp;""))</f>
        <v/>
      </c>
      <c r="P85" s="10">
        <f>IFERROR(IF(TRIM(H85&amp;"")="","",IF(AND(ISNUMBER(FIND(" ",TRIM(H85&amp;""))),ISNUMBER(MATCH(LEFT(TRIM(H85&amp;""),FIND(" ",TRIM(H85&amp;""))-1),코드표!$J$2:$J$101,0)),ISNUMBER(MATCH(TRIM(RIGHT(SUBSTITUTE(TRIM(H85&amp;"")," ",REPT(" ",60)),60)),코드표!$F$2:$F$101,0))),INDEX(코드표!$K$2:$K$101,MATCH(LEFT(TRIM(H85&amp;""),FIND(" ",TRIM(H85&amp;""))-1),코드표!$J$2:$J$101,0))&amp;" "&amp;INDEX(코드표!$G$2:$G$101,MATCH(TRIM(RIGHT(SUBSTITUTE(TRIM(H85&amp;"")," ",REPT(" ",60)),60)),코드표!$F$2:$F$101,0)),"⚠"&amp;TRIM(H85&amp;""))),"⚠"&amp;TRIM(H85&amp;""))</f>
        <v/>
      </c>
      <c r="Q85" s="10">
        <f>IFERROR(IF(TRIM(I85&amp;"")="","",IF(AND(ISNUMBER(FIND(" ",TRIM(I85&amp;""))),ISNUMBER(MATCH(LEFT(TRIM(I85&amp;""),FIND(" ",TRIM(I85&amp;""))-1),코드표!$J$2:$J$101,0)),ISNUMBER(MATCH(TRIM(RIGHT(SUBSTITUTE(TRIM(I85&amp;"")," ",REPT(" ",60)),60)),코드표!$F$2:$F$101,0))),INDEX(코드표!$K$2:$K$101,MATCH(LEFT(TRIM(I85&amp;""),FIND(" ",TRIM(I85&amp;""))-1),코드표!$J$2:$J$101,0))&amp;" "&amp;INDEX(코드표!$G$2:$G$101,MATCH(TRIM(RIGHT(SUBSTITUTE(TRIM(I85&amp;"")," ",REPT(" ",60)),60)),코드표!$F$2:$F$101,0)),"⚠"&amp;TRIM(I85&amp;""))),"⚠"&amp;TRIM(I85&amp;""))</f>
        <v/>
      </c>
      <c r="R85" s="10">
        <f>IFERROR(IF(TRIM(J85&amp;"")="","",IF(AND(ISNUMBER(FIND(" ",TRIM(J85&amp;""))),ISNUMBER(MATCH(LEFT(TRIM(J85&amp;""),FIND(" ",TRIM(J85&amp;""))-1),코드표!$J$2:$J$101,0)),ISNUMBER(MATCH(TRIM(RIGHT(SUBSTITUTE(TRIM(J85&amp;"")," ",REPT(" ",60)),60)),코드표!$F$2:$F$101,0))),INDEX(코드표!$K$2:$K$101,MATCH(LEFT(TRIM(J85&amp;""),FIND(" ",TRIM(J85&amp;""))-1),코드표!$J$2:$J$101,0))&amp;" "&amp;INDEX(코드표!$G$2:$G$101,MATCH(TRIM(RIGHT(SUBSTITUTE(TRIM(J85&amp;"")," ",REPT(" ",60)),60)),코드표!$F$2:$F$101,0)),"⚠"&amp;TRIM(J85&amp;""))),"⚠"&amp;TRIM(J85&amp;""))</f>
        <v/>
      </c>
      <c r="S85" s="11">
        <f>IF(K85="","",IFERROR(IF(AND(ROUND((VALUE(K85&amp;"")-INT(VALUE(K85&amp;"")))*100,0)&gt;=1,ROUND((VALUE(K85&amp;"")-INT(VALUE(K85&amp;"")))*100,0)&lt;=12,INT(VALUE(K85&amp;""))&gt;=1900),DATE(INT(VALUE(K85&amp;"")),ROUND((VALUE(K85&amp;"")-INT(VALUE(K85&amp;"")))*100,0),1),K85&amp;""),K85&amp;""))</f>
        <v/>
      </c>
      <c r="T85" s="10">
        <f>COUNTIF(M85:R85,"⚠*")</f>
        <v/>
      </c>
    </row>
    <row r="86"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M86" s="10">
        <f>IFERROR(IF(TRIM(E86&amp;"")="","",IF(AND(ISNUMBER(FIND(" ",TRIM(E86&amp;""))),ISNUMBER(MATCH(LEFT(TRIM(E86&amp;""),FIND(" ",TRIM(E86&amp;""))-1),코드표!$J$2:$J$101,0)),ISNUMBER(MATCH(TRIM(RIGHT(SUBSTITUTE(TRIM(E86&amp;"")," ",REPT(" ",60)),60)),코드표!$F$2:$F$101,0))),INDEX(코드표!$K$2:$K$101,MATCH(LEFT(TRIM(E86&amp;""),FIND(" ",TRIM(E86&amp;""))-1),코드표!$J$2:$J$101,0))&amp;" "&amp;INDEX(코드표!$G$2:$G$101,MATCH(TRIM(RIGHT(SUBSTITUTE(TRIM(E86&amp;"")," ",REPT(" ",60)),60)),코드표!$F$2:$F$101,0)),"⚠"&amp;TRIM(E86&amp;""))),"⚠"&amp;TRIM(E86&amp;""))</f>
        <v/>
      </c>
      <c r="N86" s="10">
        <f>IFERROR(IF(TRIM(F86&amp;"")="","",IF(AND(ISNUMBER(FIND(" ",TRIM(F86&amp;""))),ISNUMBER(MATCH(LEFT(TRIM(F86&amp;""),FIND(" ",TRIM(F86&amp;""))-1),코드표!$J$2:$J$101,0)),ISNUMBER(MATCH(TRIM(RIGHT(SUBSTITUTE(TRIM(F86&amp;"")," ",REPT(" ",60)),60)),코드표!$F$2:$F$101,0))),INDEX(코드표!$K$2:$K$101,MATCH(LEFT(TRIM(F86&amp;""),FIND(" ",TRIM(F86&amp;""))-1),코드표!$J$2:$J$101,0))&amp;" "&amp;INDEX(코드표!$G$2:$G$101,MATCH(TRIM(RIGHT(SUBSTITUTE(TRIM(F86&amp;"")," ",REPT(" ",60)),60)),코드표!$F$2:$F$101,0)),"⚠"&amp;TRIM(F86&amp;""))),"⚠"&amp;TRIM(F86&amp;""))</f>
        <v/>
      </c>
      <c r="O86" s="10">
        <f>IFERROR(IF(TRIM(G86&amp;"")="","",IF(AND(ISNUMBER(FIND(" ",TRIM(G86&amp;""))),ISNUMBER(MATCH(LEFT(TRIM(G86&amp;""),FIND(" ",TRIM(G86&amp;""))-1),코드표!$J$2:$J$101,0)),ISNUMBER(MATCH(TRIM(RIGHT(SUBSTITUTE(TRIM(G86&amp;"")," ",REPT(" ",60)),60)),코드표!$F$2:$F$101,0))),INDEX(코드표!$K$2:$K$101,MATCH(LEFT(TRIM(G86&amp;""),FIND(" ",TRIM(G86&amp;""))-1),코드표!$J$2:$J$101,0))&amp;" "&amp;INDEX(코드표!$G$2:$G$101,MATCH(TRIM(RIGHT(SUBSTITUTE(TRIM(G86&amp;"")," ",REPT(" ",60)),60)),코드표!$F$2:$F$101,0)),"⚠"&amp;TRIM(G86&amp;""))),"⚠"&amp;TRIM(G86&amp;""))</f>
        <v/>
      </c>
      <c r="P86" s="10">
        <f>IFERROR(IF(TRIM(H86&amp;"")="","",IF(AND(ISNUMBER(FIND(" ",TRIM(H86&amp;""))),ISNUMBER(MATCH(LEFT(TRIM(H86&amp;""),FIND(" ",TRIM(H86&amp;""))-1),코드표!$J$2:$J$101,0)),ISNUMBER(MATCH(TRIM(RIGHT(SUBSTITUTE(TRIM(H86&amp;"")," ",REPT(" ",60)),60)),코드표!$F$2:$F$101,0))),INDEX(코드표!$K$2:$K$101,MATCH(LEFT(TRIM(H86&amp;""),FIND(" ",TRIM(H86&amp;""))-1),코드표!$J$2:$J$101,0))&amp;" "&amp;INDEX(코드표!$G$2:$G$101,MATCH(TRIM(RIGHT(SUBSTITUTE(TRIM(H86&amp;"")," ",REPT(" ",60)),60)),코드표!$F$2:$F$101,0)),"⚠"&amp;TRIM(H86&amp;""))),"⚠"&amp;TRIM(H86&amp;""))</f>
        <v/>
      </c>
      <c r="Q86" s="10">
        <f>IFERROR(IF(TRIM(I86&amp;"")="","",IF(AND(ISNUMBER(FIND(" ",TRIM(I86&amp;""))),ISNUMBER(MATCH(LEFT(TRIM(I86&amp;""),FIND(" ",TRIM(I86&amp;""))-1),코드표!$J$2:$J$101,0)),ISNUMBER(MATCH(TRIM(RIGHT(SUBSTITUTE(TRIM(I86&amp;"")," ",REPT(" ",60)),60)),코드표!$F$2:$F$101,0))),INDEX(코드표!$K$2:$K$101,MATCH(LEFT(TRIM(I86&amp;""),FIND(" ",TRIM(I86&amp;""))-1),코드표!$J$2:$J$101,0))&amp;" "&amp;INDEX(코드표!$G$2:$G$101,MATCH(TRIM(RIGHT(SUBSTITUTE(TRIM(I86&amp;"")," ",REPT(" ",60)),60)),코드표!$F$2:$F$101,0)),"⚠"&amp;TRIM(I86&amp;""))),"⚠"&amp;TRIM(I86&amp;""))</f>
        <v/>
      </c>
      <c r="R86" s="10">
        <f>IFERROR(IF(TRIM(J86&amp;"")="","",IF(AND(ISNUMBER(FIND(" ",TRIM(J86&amp;""))),ISNUMBER(MATCH(LEFT(TRIM(J86&amp;""),FIND(" ",TRIM(J86&amp;""))-1),코드표!$J$2:$J$101,0)),ISNUMBER(MATCH(TRIM(RIGHT(SUBSTITUTE(TRIM(J86&amp;"")," ",REPT(" ",60)),60)),코드표!$F$2:$F$101,0))),INDEX(코드표!$K$2:$K$101,MATCH(LEFT(TRIM(J86&amp;""),FIND(" ",TRIM(J86&amp;""))-1),코드표!$J$2:$J$101,0))&amp;" "&amp;INDEX(코드표!$G$2:$G$101,MATCH(TRIM(RIGHT(SUBSTITUTE(TRIM(J86&amp;"")," ",REPT(" ",60)),60)),코드표!$F$2:$F$101,0)),"⚠"&amp;TRIM(J86&amp;""))),"⚠"&amp;TRIM(J86&amp;""))</f>
        <v/>
      </c>
      <c r="S86" s="11">
        <f>IF(K86="","",IFERROR(IF(AND(ROUND((VALUE(K86&amp;"")-INT(VALUE(K86&amp;"")))*100,0)&gt;=1,ROUND((VALUE(K86&amp;"")-INT(VALUE(K86&amp;"")))*100,0)&lt;=12,INT(VALUE(K86&amp;""))&gt;=1900),DATE(INT(VALUE(K86&amp;"")),ROUND((VALUE(K86&amp;"")-INT(VALUE(K86&amp;"")))*100,0),1),K86&amp;""),K86&amp;""))</f>
        <v/>
      </c>
      <c r="T86" s="10">
        <f>COUNTIF(M86:R86,"⚠*")</f>
        <v/>
      </c>
    </row>
    <row r="87"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M87" s="10">
        <f>IFERROR(IF(TRIM(E87&amp;"")="","",IF(AND(ISNUMBER(FIND(" ",TRIM(E87&amp;""))),ISNUMBER(MATCH(LEFT(TRIM(E87&amp;""),FIND(" ",TRIM(E87&amp;""))-1),코드표!$J$2:$J$101,0)),ISNUMBER(MATCH(TRIM(RIGHT(SUBSTITUTE(TRIM(E87&amp;"")," ",REPT(" ",60)),60)),코드표!$F$2:$F$101,0))),INDEX(코드표!$K$2:$K$101,MATCH(LEFT(TRIM(E87&amp;""),FIND(" ",TRIM(E87&amp;""))-1),코드표!$J$2:$J$101,0))&amp;" "&amp;INDEX(코드표!$G$2:$G$101,MATCH(TRIM(RIGHT(SUBSTITUTE(TRIM(E87&amp;"")," ",REPT(" ",60)),60)),코드표!$F$2:$F$101,0)),"⚠"&amp;TRIM(E87&amp;""))),"⚠"&amp;TRIM(E87&amp;""))</f>
        <v/>
      </c>
      <c r="N87" s="10">
        <f>IFERROR(IF(TRIM(F87&amp;"")="","",IF(AND(ISNUMBER(FIND(" ",TRIM(F87&amp;""))),ISNUMBER(MATCH(LEFT(TRIM(F87&amp;""),FIND(" ",TRIM(F87&amp;""))-1),코드표!$J$2:$J$101,0)),ISNUMBER(MATCH(TRIM(RIGHT(SUBSTITUTE(TRIM(F87&amp;"")," ",REPT(" ",60)),60)),코드표!$F$2:$F$101,0))),INDEX(코드표!$K$2:$K$101,MATCH(LEFT(TRIM(F87&amp;""),FIND(" ",TRIM(F87&amp;""))-1),코드표!$J$2:$J$101,0))&amp;" "&amp;INDEX(코드표!$G$2:$G$101,MATCH(TRIM(RIGHT(SUBSTITUTE(TRIM(F87&amp;"")," ",REPT(" ",60)),60)),코드표!$F$2:$F$101,0)),"⚠"&amp;TRIM(F87&amp;""))),"⚠"&amp;TRIM(F87&amp;""))</f>
        <v/>
      </c>
      <c r="O87" s="10">
        <f>IFERROR(IF(TRIM(G87&amp;"")="","",IF(AND(ISNUMBER(FIND(" ",TRIM(G87&amp;""))),ISNUMBER(MATCH(LEFT(TRIM(G87&amp;""),FIND(" ",TRIM(G87&amp;""))-1),코드표!$J$2:$J$101,0)),ISNUMBER(MATCH(TRIM(RIGHT(SUBSTITUTE(TRIM(G87&amp;"")," ",REPT(" ",60)),60)),코드표!$F$2:$F$101,0))),INDEX(코드표!$K$2:$K$101,MATCH(LEFT(TRIM(G87&amp;""),FIND(" ",TRIM(G87&amp;""))-1),코드표!$J$2:$J$101,0))&amp;" "&amp;INDEX(코드표!$G$2:$G$101,MATCH(TRIM(RIGHT(SUBSTITUTE(TRIM(G87&amp;"")," ",REPT(" ",60)),60)),코드표!$F$2:$F$101,0)),"⚠"&amp;TRIM(G87&amp;""))),"⚠"&amp;TRIM(G87&amp;""))</f>
        <v/>
      </c>
      <c r="P87" s="10">
        <f>IFERROR(IF(TRIM(H87&amp;"")="","",IF(AND(ISNUMBER(FIND(" ",TRIM(H87&amp;""))),ISNUMBER(MATCH(LEFT(TRIM(H87&amp;""),FIND(" ",TRIM(H87&amp;""))-1),코드표!$J$2:$J$101,0)),ISNUMBER(MATCH(TRIM(RIGHT(SUBSTITUTE(TRIM(H87&amp;"")," ",REPT(" ",60)),60)),코드표!$F$2:$F$101,0))),INDEX(코드표!$K$2:$K$101,MATCH(LEFT(TRIM(H87&amp;""),FIND(" ",TRIM(H87&amp;""))-1),코드표!$J$2:$J$101,0))&amp;" "&amp;INDEX(코드표!$G$2:$G$101,MATCH(TRIM(RIGHT(SUBSTITUTE(TRIM(H87&amp;"")," ",REPT(" ",60)),60)),코드표!$F$2:$F$101,0)),"⚠"&amp;TRIM(H87&amp;""))),"⚠"&amp;TRIM(H87&amp;""))</f>
        <v/>
      </c>
      <c r="Q87" s="10">
        <f>IFERROR(IF(TRIM(I87&amp;"")="","",IF(AND(ISNUMBER(FIND(" ",TRIM(I87&amp;""))),ISNUMBER(MATCH(LEFT(TRIM(I87&amp;""),FIND(" ",TRIM(I87&amp;""))-1),코드표!$J$2:$J$101,0)),ISNUMBER(MATCH(TRIM(RIGHT(SUBSTITUTE(TRIM(I87&amp;"")," ",REPT(" ",60)),60)),코드표!$F$2:$F$101,0))),INDEX(코드표!$K$2:$K$101,MATCH(LEFT(TRIM(I87&amp;""),FIND(" ",TRIM(I87&amp;""))-1),코드표!$J$2:$J$101,0))&amp;" "&amp;INDEX(코드표!$G$2:$G$101,MATCH(TRIM(RIGHT(SUBSTITUTE(TRIM(I87&amp;"")," ",REPT(" ",60)),60)),코드표!$F$2:$F$101,0)),"⚠"&amp;TRIM(I87&amp;""))),"⚠"&amp;TRIM(I87&amp;""))</f>
        <v/>
      </c>
      <c r="R87" s="10">
        <f>IFERROR(IF(TRIM(J87&amp;"")="","",IF(AND(ISNUMBER(FIND(" ",TRIM(J87&amp;""))),ISNUMBER(MATCH(LEFT(TRIM(J87&amp;""),FIND(" ",TRIM(J87&amp;""))-1),코드표!$J$2:$J$101,0)),ISNUMBER(MATCH(TRIM(RIGHT(SUBSTITUTE(TRIM(J87&amp;"")," ",REPT(" ",60)),60)),코드표!$F$2:$F$101,0))),INDEX(코드표!$K$2:$K$101,MATCH(LEFT(TRIM(J87&amp;""),FIND(" ",TRIM(J87&amp;""))-1),코드표!$J$2:$J$101,0))&amp;" "&amp;INDEX(코드표!$G$2:$G$101,MATCH(TRIM(RIGHT(SUBSTITUTE(TRIM(J87&amp;"")," ",REPT(" ",60)),60)),코드표!$F$2:$F$101,0)),"⚠"&amp;TRIM(J87&amp;""))),"⚠"&amp;TRIM(J87&amp;""))</f>
        <v/>
      </c>
      <c r="S87" s="11">
        <f>IF(K87="","",IFERROR(IF(AND(ROUND((VALUE(K87&amp;"")-INT(VALUE(K87&amp;"")))*100,0)&gt;=1,ROUND((VALUE(K87&amp;"")-INT(VALUE(K87&amp;"")))*100,0)&lt;=12,INT(VALUE(K87&amp;""))&gt;=1900),DATE(INT(VALUE(K87&amp;"")),ROUND((VALUE(K87&amp;"")-INT(VALUE(K87&amp;"")))*100,0),1),K87&amp;""),K87&amp;""))</f>
        <v/>
      </c>
      <c r="T87" s="10">
        <f>COUNTIF(M87:R87,"⚠*")</f>
        <v/>
      </c>
    </row>
    <row r="88"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M88" s="10">
        <f>IFERROR(IF(TRIM(E88&amp;"")="","",IF(AND(ISNUMBER(FIND(" ",TRIM(E88&amp;""))),ISNUMBER(MATCH(LEFT(TRIM(E88&amp;""),FIND(" ",TRIM(E88&amp;""))-1),코드표!$J$2:$J$101,0)),ISNUMBER(MATCH(TRIM(RIGHT(SUBSTITUTE(TRIM(E88&amp;"")," ",REPT(" ",60)),60)),코드표!$F$2:$F$101,0))),INDEX(코드표!$K$2:$K$101,MATCH(LEFT(TRIM(E88&amp;""),FIND(" ",TRIM(E88&amp;""))-1),코드표!$J$2:$J$101,0))&amp;" "&amp;INDEX(코드표!$G$2:$G$101,MATCH(TRIM(RIGHT(SUBSTITUTE(TRIM(E88&amp;"")," ",REPT(" ",60)),60)),코드표!$F$2:$F$101,0)),"⚠"&amp;TRIM(E88&amp;""))),"⚠"&amp;TRIM(E88&amp;""))</f>
        <v/>
      </c>
      <c r="N88" s="10">
        <f>IFERROR(IF(TRIM(F88&amp;"")="","",IF(AND(ISNUMBER(FIND(" ",TRIM(F88&amp;""))),ISNUMBER(MATCH(LEFT(TRIM(F88&amp;""),FIND(" ",TRIM(F88&amp;""))-1),코드표!$J$2:$J$101,0)),ISNUMBER(MATCH(TRIM(RIGHT(SUBSTITUTE(TRIM(F88&amp;"")," ",REPT(" ",60)),60)),코드표!$F$2:$F$101,0))),INDEX(코드표!$K$2:$K$101,MATCH(LEFT(TRIM(F88&amp;""),FIND(" ",TRIM(F88&amp;""))-1),코드표!$J$2:$J$101,0))&amp;" "&amp;INDEX(코드표!$G$2:$G$101,MATCH(TRIM(RIGHT(SUBSTITUTE(TRIM(F88&amp;"")," ",REPT(" ",60)),60)),코드표!$F$2:$F$101,0)),"⚠"&amp;TRIM(F88&amp;""))),"⚠"&amp;TRIM(F88&amp;""))</f>
        <v/>
      </c>
      <c r="O88" s="10">
        <f>IFERROR(IF(TRIM(G88&amp;"")="","",IF(AND(ISNUMBER(FIND(" ",TRIM(G88&amp;""))),ISNUMBER(MATCH(LEFT(TRIM(G88&amp;""),FIND(" ",TRIM(G88&amp;""))-1),코드표!$J$2:$J$101,0)),ISNUMBER(MATCH(TRIM(RIGHT(SUBSTITUTE(TRIM(G88&amp;"")," ",REPT(" ",60)),60)),코드표!$F$2:$F$101,0))),INDEX(코드표!$K$2:$K$101,MATCH(LEFT(TRIM(G88&amp;""),FIND(" ",TRIM(G88&amp;""))-1),코드표!$J$2:$J$101,0))&amp;" "&amp;INDEX(코드표!$G$2:$G$101,MATCH(TRIM(RIGHT(SUBSTITUTE(TRIM(G88&amp;"")," ",REPT(" ",60)),60)),코드표!$F$2:$F$101,0)),"⚠"&amp;TRIM(G88&amp;""))),"⚠"&amp;TRIM(G88&amp;""))</f>
        <v/>
      </c>
      <c r="P88" s="10">
        <f>IFERROR(IF(TRIM(H88&amp;"")="","",IF(AND(ISNUMBER(FIND(" ",TRIM(H88&amp;""))),ISNUMBER(MATCH(LEFT(TRIM(H88&amp;""),FIND(" ",TRIM(H88&amp;""))-1),코드표!$J$2:$J$101,0)),ISNUMBER(MATCH(TRIM(RIGHT(SUBSTITUTE(TRIM(H88&amp;"")," ",REPT(" ",60)),60)),코드표!$F$2:$F$101,0))),INDEX(코드표!$K$2:$K$101,MATCH(LEFT(TRIM(H88&amp;""),FIND(" ",TRIM(H88&amp;""))-1),코드표!$J$2:$J$101,0))&amp;" "&amp;INDEX(코드표!$G$2:$G$101,MATCH(TRIM(RIGHT(SUBSTITUTE(TRIM(H88&amp;"")," ",REPT(" ",60)),60)),코드표!$F$2:$F$101,0)),"⚠"&amp;TRIM(H88&amp;""))),"⚠"&amp;TRIM(H88&amp;""))</f>
        <v/>
      </c>
      <c r="Q88" s="10">
        <f>IFERROR(IF(TRIM(I88&amp;"")="","",IF(AND(ISNUMBER(FIND(" ",TRIM(I88&amp;""))),ISNUMBER(MATCH(LEFT(TRIM(I88&amp;""),FIND(" ",TRIM(I88&amp;""))-1),코드표!$J$2:$J$101,0)),ISNUMBER(MATCH(TRIM(RIGHT(SUBSTITUTE(TRIM(I88&amp;"")," ",REPT(" ",60)),60)),코드표!$F$2:$F$101,0))),INDEX(코드표!$K$2:$K$101,MATCH(LEFT(TRIM(I88&amp;""),FIND(" ",TRIM(I88&amp;""))-1),코드표!$J$2:$J$101,0))&amp;" "&amp;INDEX(코드표!$G$2:$G$101,MATCH(TRIM(RIGHT(SUBSTITUTE(TRIM(I88&amp;"")," ",REPT(" ",60)),60)),코드표!$F$2:$F$101,0)),"⚠"&amp;TRIM(I88&amp;""))),"⚠"&amp;TRIM(I88&amp;""))</f>
        <v/>
      </c>
      <c r="R88" s="10">
        <f>IFERROR(IF(TRIM(J88&amp;"")="","",IF(AND(ISNUMBER(FIND(" ",TRIM(J88&amp;""))),ISNUMBER(MATCH(LEFT(TRIM(J88&amp;""),FIND(" ",TRIM(J88&amp;""))-1),코드표!$J$2:$J$101,0)),ISNUMBER(MATCH(TRIM(RIGHT(SUBSTITUTE(TRIM(J88&amp;"")," ",REPT(" ",60)),60)),코드표!$F$2:$F$101,0))),INDEX(코드표!$K$2:$K$101,MATCH(LEFT(TRIM(J88&amp;""),FIND(" ",TRIM(J88&amp;""))-1),코드표!$J$2:$J$101,0))&amp;" "&amp;INDEX(코드표!$G$2:$G$101,MATCH(TRIM(RIGHT(SUBSTITUTE(TRIM(J88&amp;"")," ",REPT(" ",60)),60)),코드표!$F$2:$F$101,0)),"⚠"&amp;TRIM(J88&amp;""))),"⚠"&amp;TRIM(J88&amp;""))</f>
        <v/>
      </c>
      <c r="S88" s="11">
        <f>IF(K88="","",IFERROR(IF(AND(ROUND((VALUE(K88&amp;"")-INT(VALUE(K88&amp;"")))*100,0)&gt;=1,ROUND((VALUE(K88&amp;"")-INT(VALUE(K88&amp;"")))*100,0)&lt;=12,INT(VALUE(K88&amp;""))&gt;=1900),DATE(INT(VALUE(K88&amp;"")),ROUND((VALUE(K88&amp;"")-INT(VALUE(K88&amp;"")))*100,0),1),K88&amp;""),K88&amp;""))</f>
        <v/>
      </c>
      <c r="T88" s="10">
        <f>COUNTIF(M88:R88,"⚠*")</f>
        <v/>
      </c>
    </row>
    <row r="89"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M89" s="10">
        <f>IFERROR(IF(TRIM(E89&amp;"")="","",IF(AND(ISNUMBER(FIND(" ",TRIM(E89&amp;""))),ISNUMBER(MATCH(LEFT(TRIM(E89&amp;""),FIND(" ",TRIM(E89&amp;""))-1),코드표!$J$2:$J$101,0)),ISNUMBER(MATCH(TRIM(RIGHT(SUBSTITUTE(TRIM(E89&amp;"")," ",REPT(" ",60)),60)),코드표!$F$2:$F$101,0))),INDEX(코드표!$K$2:$K$101,MATCH(LEFT(TRIM(E89&amp;""),FIND(" ",TRIM(E89&amp;""))-1),코드표!$J$2:$J$101,0))&amp;" "&amp;INDEX(코드표!$G$2:$G$101,MATCH(TRIM(RIGHT(SUBSTITUTE(TRIM(E89&amp;"")," ",REPT(" ",60)),60)),코드표!$F$2:$F$101,0)),"⚠"&amp;TRIM(E89&amp;""))),"⚠"&amp;TRIM(E89&amp;""))</f>
        <v/>
      </c>
      <c r="N89" s="10">
        <f>IFERROR(IF(TRIM(F89&amp;"")="","",IF(AND(ISNUMBER(FIND(" ",TRIM(F89&amp;""))),ISNUMBER(MATCH(LEFT(TRIM(F89&amp;""),FIND(" ",TRIM(F89&amp;""))-1),코드표!$J$2:$J$101,0)),ISNUMBER(MATCH(TRIM(RIGHT(SUBSTITUTE(TRIM(F89&amp;"")," ",REPT(" ",60)),60)),코드표!$F$2:$F$101,0))),INDEX(코드표!$K$2:$K$101,MATCH(LEFT(TRIM(F89&amp;""),FIND(" ",TRIM(F89&amp;""))-1),코드표!$J$2:$J$101,0))&amp;" "&amp;INDEX(코드표!$G$2:$G$101,MATCH(TRIM(RIGHT(SUBSTITUTE(TRIM(F89&amp;"")," ",REPT(" ",60)),60)),코드표!$F$2:$F$101,0)),"⚠"&amp;TRIM(F89&amp;""))),"⚠"&amp;TRIM(F89&amp;""))</f>
        <v/>
      </c>
      <c r="O89" s="10">
        <f>IFERROR(IF(TRIM(G89&amp;"")="","",IF(AND(ISNUMBER(FIND(" ",TRIM(G89&amp;""))),ISNUMBER(MATCH(LEFT(TRIM(G89&amp;""),FIND(" ",TRIM(G89&amp;""))-1),코드표!$J$2:$J$101,0)),ISNUMBER(MATCH(TRIM(RIGHT(SUBSTITUTE(TRIM(G89&amp;"")," ",REPT(" ",60)),60)),코드표!$F$2:$F$101,0))),INDEX(코드표!$K$2:$K$101,MATCH(LEFT(TRIM(G89&amp;""),FIND(" ",TRIM(G89&amp;""))-1),코드표!$J$2:$J$101,0))&amp;" "&amp;INDEX(코드표!$G$2:$G$101,MATCH(TRIM(RIGHT(SUBSTITUTE(TRIM(G89&amp;"")," ",REPT(" ",60)),60)),코드표!$F$2:$F$101,0)),"⚠"&amp;TRIM(G89&amp;""))),"⚠"&amp;TRIM(G89&amp;""))</f>
        <v/>
      </c>
      <c r="P89" s="10">
        <f>IFERROR(IF(TRIM(H89&amp;"")="","",IF(AND(ISNUMBER(FIND(" ",TRIM(H89&amp;""))),ISNUMBER(MATCH(LEFT(TRIM(H89&amp;""),FIND(" ",TRIM(H89&amp;""))-1),코드표!$J$2:$J$101,0)),ISNUMBER(MATCH(TRIM(RIGHT(SUBSTITUTE(TRIM(H89&amp;"")," ",REPT(" ",60)),60)),코드표!$F$2:$F$101,0))),INDEX(코드표!$K$2:$K$101,MATCH(LEFT(TRIM(H89&amp;""),FIND(" ",TRIM(H89&amp;""))-1),코드표!$J$2:$J$101,0))&amp;" "&amp;INDEX(코드표!$G$2:$G$101,MATCH(TRIM(RIGHT(SUBSTITUTE(TRIM(H89&amp;"")," ",REPT(" ",60)),60)),코드표!$F$2:$F$101,0)),"⚠"&amp;TRIM(H89&amp;""))),"⚠"&amp;TRIM(H89&amp;""))</f>
        <v/>
      </c>
      <c r="Q89" s="10">
        <f>IFERROR(IF(TRIM(I89&amp;"")="","",IF(AND(ISNUMBER(FIND(" ",TRIM(I89&amp;""))),ISNUMBER(MATCH(LEFT(TRIM(I89&amp;""),FIND(" ",TRIM(I89&amp;""))-1),코드표!$J$2:$J$101,0)),ISNUMBER(MATCH(TRIM(RIGHT(SUBSTITUTE(TRIM(I89&amp;"")," ",REPT(" ",60)),60)),코드표!$F$2:$F$101,0))),INDEX(코드표!$K$2:$K$101,MATCH(LEFT(TRIM(I89&amp;""),FIND(" ",TRIM(I89&amp;""))-1),코드표!$J$2:$J$101,0))&amp;" "&amp;INDEX(코드표!$G$2:$G$101,MATCH(TRIM(RIGHT(SUBSTITUTE(TRIM(I89&amp;"")," ",REPT(" ",60)),60)),코드표!$F$2:$F$101,0)),"⚠"&amp;TRIM(I89&amp;""))),"⚠"&amp;TRIM(I89&amp;""))</f>
        <v/>
      </c>
      <c r="R89" s="10">
        <f>IFERROR(IF(TRIM(J89&amp;"")="","",IF(AND(ISNUMBER(FIND(" ",TRIM(J89&amp;""))),ISNUMBER(MATCH(LEFT(TRIM(J89&amp;""),FIND(" ",TRIM(J89&amp;""))-1),코드표!$J$2:$J$101,0)),ISNUMBER(MATCH(TRIM(RIGHT(SUBSTITUTE(TRIM(J89&amp;"")," ",REPT(" ",60)),60)),코드표!$F$2:$F$101,0))),INDEX(코드표!$K$2:$K$101,MATCH(LEFT(TRIM(J89&amp;""),FIND(" ",TRIM(J89&amp;""))-1),코드표!$J$2:$J$101,0))&amp;" "&amp;INDEX(코드표!$G$2:$G$101,MATCH(TRIM(RIGHT(SUBSTITUTE(TRIM(J89&amp;"")," ",REPT(" ",60)),60)),코드표!$F$2:$F$101,0)),"⚠"&amp;TRIM(J89&amp;""))),"⚠"&amp;TRIM(J89&amp;""))</f>
        <v/>
      </c>
      <c r="S89" s="11">
        <f>IF(K89="","",IFERROR(IF(AND(ROUND((VALUE(K89&amp;"")-INT(VALUE(K89&amp;"")))*100,0)&gt;=1,ROUND((VALUE(K89&amp;"")-INT(VALUE(K89&amp;"")))*100,0)&lt;=12,INT(VALUE(K89&amp;""))&gt;=1900),DATE(INT(VALUE(K89&amp;"")),ROUND((VALUE(K89&amp;"")-INT(VALUE(K89&amp;"")))*100,0),1),K89&amp;""),K89&amp;""))</f>
        <v/>
      </c>
      <c r="T89" s="10">
        <f>COUNTIF(M89:R89,"⚠*")</f>
        <v/>
      </c>
    </row>
    <row r="90"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M90" s="10">
        <f>IFERROR(IF(TRIM(E90&amp;"")="","",IF(AND(ISNUMBER(FIND(" ",TRIM(E90&amp;""))),ISNUMBER(MATCH(LEFT(TRIM(E90&amp;""),FIND(" ",TRIM(E90&amp;""))-1),코드표!$J$2:$J$101,0)),ISNUMBER(MATCH(TRIM(RIGHT(SUBSTITUTE(TRIM(E90&amp;"")," ",REPT(" ",60)),60)),코드표!$F$2:$F$101,0))),INDEX(코드표!$K$2:$K$101,MATCH(LEFT(TRIM(E90&amp;""),FIND(" ",TRIM(E90&amp;""))-1),코드표!$J$2:$J$101,0))&amp;" "&amp;INDEX(코드표!$G$2:$G$101,MATCH(TRIM(RIGHT(SUBSTITUTE(TRIM(E90&amp;"")," ",REPT(" ",60)),60)),코드표!$F$2:$F$101,0)),"⚠"&amp;TRIM(E90&amp;""))),"⚠"&amp;TRIM(E90&amp;""))</f>
        <v/>
      </c>
      <c r="N90" s="10">
        <f>IFERROR(IF(TRIM(F90&amp;"")="","",IF(AND(ISNUMBER(FIND(" ",TRIM(F90&amp;""))),ISNUMBER(MATCH(LEFT(TRIM(F90&amp;""),FIND(" ",TRIM(F90&amp;""))-1),코드표!$J$2:$J$101,0)),ISNUMBER(MATCH(TRIM(RIGHT(SUBSTITUTE(TRIM(F90&amp;"")," ",REPT(" ",60)),60)),코드표!$F$2:$F$101,0))),INDEX(코드표!$K$2:$K$101,MATCH(LEFT(TRIM(F90&amp;""),FIND(" ",TRIM(F90&amp;""))-1),코드표!$J$2:$J$101,0))&amp;" "&amp;INDEX(코드표!$G$2:$G$101,MATCH(TRIM(RIGHT(SUBSTITUTE(TRIM(F90&amp;"")," ",REPT(" ",60)),60)),코드표!$F$2:$F$101,0)),"⚠"&amp;TRIM(F90&amp;""))),"⚠"&amp;TRIM(F90&amp;""))</f>
        <v/>
      </c>
      <c r="O90" s="10">
        <f>IFERROR(IF(TRIM(G90&amp;"")="","",IF(AND(ISNUMBER(FIND(" ",TRIM(G90&amp;""))),ISNUMBER(MATCH(LEFT(TRIM(G90&amp;""),FIND(" ",TRIM(G90&amp;""))-1),코드표!$J$2:$J$101,0)),ISNUMBER(MATCH(TRIM(RIGHT(SUBSTITUTE(TRIM(G90&amp;"")," ",REPT(" ",60)),60)),코드표!$F$2:$F$101,0))),INDEX(코드표!$K$2:$K$101,MATCH(LEFT(TRIM(G90&amp;""),FIND(" ",TRIM(G90&amp;""))-1),코드표!$J$2:$J$101,0))&amp;" "&amp;INDEX(코드표!$G$2:$G$101,MATCH(TRIM(RIGHT(SUBSTITUTE(TRIM(G90&amp;"")," ",REPT(" ",60)),60)),코드표!$F$2:$F$101,0)),"⚠"&amp;TRIM(G90&amp;""))),"⚠"&amp;TRIM(G90&amp;""))</f>
        <v/>
      </c>
      <c r="P90" s="10">
        <f>IFERROR(IF(TRIM(H90&amp;"")="","",IF(AND(ISNUMBER(FIND(" ",TRIM(H90&amp;""))),ISNUMBER(MATCH(LEFT(TRIM(H90&amp;""),FIND(" ",TRIM(H90&amp;""))-1),코드표!$J$2:$J$101,0)),ISNUMBER(MATCH(TRIM(RIGHT(SUBSTITUTE(TRIM(H90&amp;"")," ",REPT(" ",60)),60)),코드표!$F$2:$F$101,0))),INDEX(코드표!$K$2:$K$101,MATCH(LEFT(TRIM(H90&amp;""),FIND(" ",TRIM(H90&amp;""))-1),코드표!$J$2:$J$101,0))&amp;" "&amp;INDEX(코드표!$G$2:$G$101,MATCH(TRIM(RIGHT(SUBSTITUTE(TRIM(H90&amp;"")," ",REPT(" ",60)),60)),코드표!$F$2:$F$101,0)),"⚠"&amp;TRIM(H90&amp;""))),"⚠"&amp;TRIM(H90&amp;""))</f>
        <v/>
      </c>
      <c r="Q90" s="10">
        <f>IFERROR(IF(TRIM(I90&amp;"")="","",IF(AND(ISNUMBER(FIND(" ",TRIM(I90&amp;""))),ISNUMBER(MATCH(LEFT(TRIM(I90&amp;""),FIND(" ",TRIM(I90&amp;""))-1),코드표!$J$2:$J$101,0)),ISNUMBER(MATCH(TRIM(RIGHT(SUBSTITUTE(TRIM(I90&amp;"")," ",REPT(" ",60)),60)),코드표!$F$2:$F$101,0))),INDEX(코드표!$K$2:$K$101,MATCH(LEFT(TRIM(I90&amp;""),FIND(" ",TRIM(I90&amp;""))-1),코드표!$J$2:$J$101,0))&amp;" "&amp;INDEX(코드표!$G$2:$G$101,MATCH(TRIM(RIGHT(SUBSTITUTE(TRIM(I90&amp;"")," ",REPT(" ",60)),60)),코드표!$F$2:$F$101,0)),"⚠"&amp;TRIM(I90&amp;""))),"⚠"&amp;TRIM(I90&amp;""))</f>
        <v/>
      </c>
      <c r="R90" s="10">
        <f>IFERROR(IF(TRIM(J90&amp;"")="","",IF(AND(ISNUMBER(FIND(" ",TRIM(J90&amp;""))),ISNUMBER(MATCH(LEFT(TRIM(J90&amp;""),FIND(" ",TRIM(J90&amp;""))-1),코드표!$J$2:$J$101,0)),ISNUMBER(MATCH(TRIM(RIGHT(SUBSTITUTE(TRIM(J90&amp;"")," ",REPT(" ",60)),60)),코드표!$F$2:$F$101,0))),INDEX(코드표!$K$2:$K$101,MATCH(LEFT(TRIM(J90&amp;""),FIND(" ",TRIM(J90&amp;""))-1),코드표!$J$2:$J$101,0))&amp;" "&amp;INDEX(코드표!$G$2:$G$101,MATCH(TRIM(RIGHT(SUBSTITUTE(TRIM(J90&amp;"")," ",REPT(" ",60)),60)),코드표!$F$2:$F$101,0)),"⚠"&amp;TRIM(J90&amp;""))),"⚠"&amp;TRIM(J90&amp;""))</f>
        <v/>
      </c>
      <c r="S90" s="11">
        <f>IF(K90="","",IFERROR(IF(AND(ROUND((VALUE(K90&amp;"")-INT(VALUE(K90&amp;"")))*100,0)&gt;=1,ROUND((VALUE(K90&amp;"")-INT(VALUE(K90&amp;"")))*100,0)&lt;=12,INT(VALUE(K90&amp;""))&gt;=1900),DATE(INT(VALUE(K90&amp;"")),ROUND((VALUE(K90&amp;"")-INT(VALUE(K90&amp;"")))*100,0),1),K90&amp;""),K90&amp;""))</f>
        <v/>
      </c>
      <c r="T90" s="10">
        <f>COUNTIF(M90:R90,"⚠*")</f>
        <v/>
      </c>
    </row>
    <row r="91"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M91" s="10">
        <f>IFERROR(IF(TRIM(E91&amp;"")="","",IF(AND(ISNUMBER(FIND(" ",TRIM(E91&amp;""))),ISNUMBER(MATCH(LEFT(TRIM(E91&amp;""),FIND(" ",TRIM(E91&amp;""))-1),코드표!$J$2:$J$101,0)),ISNUMBER(MATCH(TRIM(RIGHT(SUBSTITUTE(TRIM(E91&amp;"")," ",REPT(" ",60)),60)),코드표!$F$2:$F$101,0))),INDEX(코드표!$K$2:$K$101,MATCH(LEFT(TRIM(E91&amp;""),FIND(" ",TRIM(E91&amp;""))-1),코드표!$J$2:$J$101,0))&amp;" "&amp;INDEX(코드표!$G$2:$G$101,MATCH(TRIM(RIGHT(SUBSTITUTE(TRIM(E91&amp;"")," ",REPT(" ",60)),60)),코드표!$F$2:$F$101,0)),"⚠"&amp;TRIM(E91&amp;""))),"⚠"&amp;TRIM(E91&amp;""))</f>
        <v/>
      </c>
      <c r="N91" s="10">
        <f>IFERROR(IF(TRIM(F91&amp;"")="","",IF(AND(ISNUMBER(FIND(" ",TRIM(F91&amp;""))),ISNUMBER(MATCH(LEFT(TRIM(F91&amp;""),FIND(" ",TRIM(F91&amp;""))-1),코드표!$J$2:$J$101,0)),ISNUMBER(MATCH(TRIM(RIGHT(SUBSTITUTE(TRIM(F91&amp;"")," ",REPT(" ",60)),60)),코드표!$F$2:$F$101,0))),INDEX(코드표!$K$2:$K$101,MATCH(LEFT(TRIM(F91&amp;""),FIND(" ",TRIM(F91&amp;""))-1),코드표!$J$2:$J$101,0))&amp;" "&amp;INDEX(코드표!$G$2:$G$101,MATCH(TRIM(RIGHT(SUBSTITUTE(TRIM(F91&amp;"")," ",REPT(" ",60)),60)),코드표!$F$2:$F$101,0)),"⚠"&amp;TRIM(F91&amp;""))),"⚠"&amp;TRIM(F91&amp;""))</f>
        <v/>
      </c>
      <c r="O91" s="10">
        <f>IFERROR(IF(TRIM(G91&amp;"")="","",IF(AND(ISNUMBER(FIND(" ",TRIM(G91&amp;""))),ISNUMBER(MATCH(LEFT(TRIM(G91&amp;""),FIND(" ",TRIM(G91&amp;""))-1),코드표!$J$2:$J$101,0)),ISNUMBER(MATCH(TRIM(RIGHT(SUBSTITUTE(TRIM(G91&amp;"")," ",REPT(" ",60)),60)),코드표!$F$2:$F$101,0))),INDEX(코드표!$K$2:$K$101,MATCH(LEFT(TRIM(G91&amp;""),FIND(" ",TRIM(G91&amp;""))-1),코드표!$J$2:$J$101,0))&amp;" "&amp;INDEX(코드표!$G$2:$G$101,MATCH(TRIM(RIGHT(SUBSTITUTE(TRIM(G91&amp;"")," ",REPT(" ",60)),60)),코드표!$F$2:$F$101,0)),"⚠"&amp;TRIM(G91&amp;""))),"⚠"&amp;TRIM(G91&amp;""))</f>
        <v/>
      </c>
      <c r="P91" s="10">
        <f>IFERROR(IF(TRIM(H91&amp;"")="","",IF(AND(ISNUMBER(FIND(" ",TRIM(H91&amp;""))),ISNUMBER(MATCH(LEFT(TRIM(H91&amp;""),FIND(" ",TRIM(H91&amp;""))-1),코드표!$J$2:$J$101,0)),ISNUMBER(MATCH(TRIM(RIGHT(SUBSTITUTE(TRIM(H91&amp;"")," ",REPT(" ",60)),60)),코드표!$F$2:$F$101,0))),INDEX(코드표!$K$2:$K$101,MATCH(LEFT(TRIM(H91&amp;""),FIND(" ",TRIM(H91&amp;""))-1),코드표!$J$2:$J$101,0))&amp;" "&amp;INDEX(코드표!$G$2:$G$101,MATCH(TRIM(RIGHT(SUBSTITUTE(TRIM(H91&amp;"")," ",REPT(" ",60)),60)),코드표!$F$2:$F$101,0)),"⚠"&amp;TRIM(H91&amp;""))),"⚠"&amp;TRIM(H91&amp;""))</f>
        <v/>
      </c>
      <c r="Q91" s="10">
        <f>IFERROR(IF(TRIM(I91&amp;"")="","",IF(AND(ISNUMBER(FIND(" ",TRIM(I91&amp;""))),ISNUMBER(MATCH(LEFT(TRIM(I91&amp;""),FIND(" ",TRIM(I91&amp;""))-1),코드표!$J$2:$J$101,0)),ISNUMBER(MATCH(TRIM(RIGHT(SUBSTITUTE(TRIM(I91&amp;"")," ",REPT(" ",60)),60)),코드표!$F$2:$F$101,0))),INDEX(코드표!$K$2:$K$101,MATCH(LEFT(TRIM(I91&amp;""),FIND(" ",TRIM(I91&amp;""))-1),코드표!$J$2:$J$101,0))&amp;" "&amp;INDEX(코드표!$G$2:$G$101,MATCH(TRIM(RIGHT(SUBSTITUTE(TRIM(I91&amp;"")," ",REPT(" ",60)),60)),코드표!$F$2:$F$101,0)),"⚠"&amp;TRIM(I91&amp;""))),"⚠"&amp;TRIM(I91&amp;""))</f>
        <v/>
      </c>
      <c r="R91" s="10">
        <f>IFERROR(IF(TRIM(J91&amp;"")="","",IF(AND(ISNUMBER(FIND(" ",TRIM(J91&amp;""))),ISNUMBER(MATCH(LEFT(TRIM(J91&amp;""),FIND(" ",TRIM(J91&amp;""))-1),코드표!$J$2:$J$101,0)),ISNUMBER(MATCH(TRIM(RIGHT(SUBSTITUTE(TRIM(J91&amp;"")," ",REPT(" ",60)),60)),코드표!$F$2:$F$101,0))),INDEX(코드표!$K$2:$K$101,MATCH(LEFT(TRIM(J91&amp;""),FIND(" ",TRIM(J91&amp;""))-1),코드표!$J$2:$J$101,0))&amp;" "&amp;INDEX(코드표!$G$2:$G$101,MATCH(TRIM(RIGHT(SUBSTITUTE(TRIM(J91&amp;"")," ",REPT(" ",60)),60)),코드표!$F$2:$F$101,0)),"⚠"&amp;TRIM(J91&amp;""))),"⚠"&amp;TRIM(J91&amp;""))</f>
        <v/>
      </c>
      <c r="S91" s="11">
        <f>IF(K91="","",IFERROR(IF(AND(ROUND((VALUE(K91&amp;"")-INT(VALUE(K91&amp;"")))*100,0)&gt;=1,ROUND((VALUE(K91&amp;"")-INT(VALUE(K91&amp;"")))*100,0)&lt;=12,INT(VALUE(K91&amp;""))&gt;=1900),DATE(INT(VALUE(K91&amp;"")),ROUND((VALUE(K91&amp;"")-INT(VALUE(K91&amp;"")))*100,0),1),K91&amp;""),K91&amp;""))</f>
        <v/>
      </c>
      <c r="T91" s="10">
        <f>COUNTIF(M91:R91,"⚠*")</f>
        <v/>
      </c>
    </row>
    <row r="92"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M92" s="10">
        <f>IFERROR(IF(TRIM(E92&amp;"")="","",IF(AND(ISNUMBER(FIND(" ",TRIM(E92&amp;""))),ISNUMBER(MATCH(LEFT(TRIM(E92&amp;""),FIND(" ",TRIM(E92&amp;""))-1),코드표!$J$2:$J$101,0)),ISNUMBER(MATCH(TRIM(RIGHT(SUBSTITUTE(TRIM(E92&amp;"")," ",REPT(" ",60)),60)),코드표!$F$2:$F$101,0))),INDEX(코드표!$K$2:$K$101,MATCH(LEFT(TRIM(E92&amp;""),FIND(" ",TRIM(E92&amp;""))-1),코드표!$J$2:$J$101,0))&amp;" "&amp;INDEX(코드표!$G$2:$G$101,MATCH(TRIM(RIGHT(SUBSTITUTE(TRIM(E92&amp;"")," ",REPT(" ",60)),60)),코드표!$F$2:$F$101,0)),"⚠"&amp;TRIM(E92&amp;""))),"⚠"&amp;TRIM(E92&amp;""))</f>
        <v/>
      </c>
      <c r="N92" s="10">
        <f>IFERROR(IF(TRIM(F92&amp;"")="","",IF(AND(ISNUMBER(FIND(" ",TRIM(F92&amp;""))),ISNUMBER(MATCH(LEFT(TRIM(F92&amp;""),FIND(" ",TRIM(F92&amp;""))-1),코드표!$J$2:$J$101,0)),ISNUMBER(MATCH(TRIM(RIGHT(SUBSTITUTE(TRIM(F92&amp;"")," ",REPT(" ",60)),60)),코드표!$F$2:$F$101,0))),INDEX(코드표!$K$2:$K$101,MATCH(LEFT(TRIM(F92&amp;""),FIND(" ",TRIM(F92&amp;""))-1),코드표!$J$2:$J$101,0))&amp;" "&amp;INDEX(코드표!$G$2:$G$101,MATCH(TRIM(RIGHT(SUBSTITUTE(TRIM(F92&amp;"")," ",REPT(" ",60)),60)),코드표!$F$2:$F$101,0)),"⚠"&amp;TRIM(F92&amp;""))),"⚠"&amp;TRIM(F92&amp;""))</f>
        <v/>
      </c>
      <c r="O92" s="10">
        <f>IFERROR(IF(TRIM(G92&amp;"")="","",IF(AND(ISNUMBER(FIND(" ",TRIM(G92&amp;""))),ISNUMBER(MATCH(LEFT(TRIM(G92&amp;""),FIND(" ",TRIM(G92&amp;""))-1),코드표!$J$2:$J$101,0)),ISNUMBER(MATCH(TRIM(RIGHT(SUBSTITUTE(TRIM(G92&amp;"")," ",REPT(" ",60)),60)),코드표!$F$2:$F$101,0))),INDEX(코드표!$K$2:$K$101,MATCH(LEFT(TRIM(G92&amp;""),FIND(" ",TRIM(G92&amp;""))-1),코드표!$J$2:$J$101,0))&amp;" "&amp;INDEX(코드표!$G$2:$G$101,MATCH(TRIM(RIGHT(SUBSTITUTE(TRIM(G92&amp;"")," ",REPT(" ",60)),60)),코드표!$F$2:$F$101,0)),"⚠"&amp;TRIM(G92&amp;""))),"⚠"&amp;TRIM(G92&amp;""))</f>
        <v/>
      </c>
      <c r="P92" s="10">
        <f>IFERROR(IF(TRIM(H92&amp;"")="","",IF(AND(ISNUMBER(FIND(" ",TRIM(H92&amp;""))),ISNUMBER(MATCH(LEFT(TRIM(H92&amp;""),FIND(" ",TRIM(H92&amp;""))-1),코드표!$J$2:$J$101,0)),ISNUMBER(MATCH(TRIM(RIGHT(SUBSTITUTE(TRIM(H92&amp;"")," ",REPT(" ",60)),60)),코드표!$F$2:$F$101,0))),INDEX(코드표!$K$2:$K$101,MATCH(LEFT(TRIM(H92&amp;""),FIND(" ",TRIM(H92&amp;""))-1),코드표!$J$2:$J$101,0))&amp;" "&amp;INDEX(코드표!$G$2:$G$101,MATCH(TRIM(RIGHT(SUBSTITUTE(TRIM(H92&amp;"")," ",REPT(" ",60)),60)),코드표!$F$2:$F$101,0)),"⚠"&amp;TRIM(H92&amp;""))),"⚠"&amp;TRIM(H92&amp;""))</f>
        <v/>
      </c>
      <c r="Q92" s="10">
        <f>IFERROR(IF(TRIM(I92&amp;"")="","",IF(AND(ISNUMBER(FIND(" ",TRIM(I92&amp;""))),ISNUMBER(MATCH(LEFT(TRIM(I92&amp;""),FIND(" ",TRIM(I92&amp;""))-1),코드표!$J$2:$J$101,0)),ISNUMBER(MATCH(TRIM(RIGHT(SUBSTITUTE(TRIM(I92&amp;"")," ",REPT(" ",60)),60)),코드표!$F$2:$F$101,0))),INDEX(코드표!$K$2:$K$101,MATCH(LEFT(TRIM(I92&amp;""),FIND(" ",TRIM(I92&amp;""))-1),코드표!$J$2:$J$101,0))&amp;" "&amp;INDEX(코드표!$G$2:$G$101,MATCH(TRIM(RIGHT(SUBSTITUTE(TRIM(I92&amp;"")," ",REPT(" ",60)),60)),코드표!$F$2:$F$101,0)),"⚠"&amp;TRIM(I92&amp;""))),"⚠"&amp;TRIM(I92&amp;""))</f>
        <v/>
      </c>
      <c r="R92" s="10">
        <f>IFERROR(IF(TRIM(J92&amp;"")="","",IF(AND(ISNUMBER(FIND(" ",TRIM(J92&amp;""))),ISNUMBER(MATCH(LEFT(TRIM(J92&amp;""),FIND(" ",TRIM(J92&amp;""))-1),코드표!$J$2:$J$101,0)),ISNUMBER(MATCH(TRIM(RIGHT(SUBSTITUTE(TRIM(J92&amp;"")," ",REPT(" ",60)),60)),코드표!$F$2:$F$101,0))),INDEX(코드표!$K$2:$K$101,MATCH(LEFT(TRIM(J92&amp;""),FIND(" ",TRIM(J92&amp;""))-1),코드표!$J$2:$J$101,0))&amp;" "&amp;INDEX(코드표!$G$2:$G$101,MATCH(TRIM(RIGHT(SUBSTITUTE(TRIM(J92&amp;"")," ",REPT(" ",60)),60)),코드표!$F$2:$F$101,0)),"⚠"&amp;TRIM(J92&amp;""))),"⚠"&amp;TRIM(J92&amp;""))</f>
        <v/>
      </c>
      <c r="S92" s="11">
        <f>IF(K92="","",IFERROR(IF(AND(ROUND((VALUE(K92&amp;"")-INT(VALUE(K92&amp;"")))*100,0)&gt;=1,ROUND((VALUE(K92&amp;"")-INT(VALUE(K92&amp;"")))*100,0)&lt;=12,INT(VALUE(K92&amp;""))&gt;=1900),DATE(INT(VALUE(K92&amp;"")),ROUND((VALUE(K92&amp;"")-INT(VALUE(K92&amp;"")))*100,0),1),K92&amp;""),K92&amp;""))</f>
        <v/>
      </c>
      <c r="T92" s="10">
        <f>COUNTIF(M92:R92,"⚠*")</f>
        <v/>
      </c>
    </row>
    <row r="93"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M93" s="10">
        <f>IFERROR(IF(TRIM(E93&amp;"")="","",IF(AND(ISNUMBER(FIND(" ",TRIM(E93&amp;""))),ISNUMBER(MATCH(LEFT(TRIM(E93&amp;""),FIND(" ",TRIM(E93&amp;""))-1),코드표!$J$2:$J$101,0)),ISNUMBER(MATCH(TRIM(RIGHT(SUBSTITUTE(TRIM(E93&amp;"")," ",REPT(" ",60)),60)),코드표!$F$2:$F$101,0))),INDEX(코드표!$K$2:$K$101,MATCH(LEFT(TRIM(E93&amp;""),FIND(" ",TRIM(E93&amp;""))-1),코드표!$J$2:$J$101,0))&amp;" "&amp;INDEX(코드표!$G$2:$G$101,MATCH(TRIM(RIGHT(SUBSTITUTE(TRIM(E93&amp;"")," ",REPT(" ",60)),60)),코드표!$F$2:$F$101,0)),"⚠"&amp;TRIM(E93&amp;""))),"⚠"&amp;TRIM(E93&amp;""))</f>
        <v/>
      </c>
      <c r="N93" s="10">
        <f>IFERROR(IF(TRIM(F93&amp;"")="","",IF(AND(ISNUMBER(FIND(" ",TRIM(F93&amp;""))),ISNUMBER(MATCH(LEFT(TRIM(F93&amp;""),FIND(" ",TRIM(F93&amp;""))-1),코드표!$J$2:$J$101,0)),ISNUMBER(MATCH(TRIM(RIGHT(SUBSTITUTE(TRIM(F93&amp;"")," ",REPT(" ",60)),60)),코드표!$F$2:$F$101,0))),INDEX(코드표!$K$2:$K$101,MATCH(LEFT(TRIM(F93&amp;""),FIND(" ",TRIM(F93&amp;""))-1),코드표!$J$2:$J$101,0))&amp;" "&amp;INDEX(코드표!$G$2:$G$101,MATCH(TRIM(RIGHT(SUBSTITUTE(TRIM(F93&amp;"")," ",REPT(" ",60)),60)),코드표!$F$2:$F$101,0)),"⚠"&amp;TRIM(F93&amp;""))),"⚠"&amp;TRIM(F93&amp;""))</f>
        <v/>
      </c>
      <c r="O93" s="10">
        <f>IFERROR(IF(TRIM(G93&amp;"")="","",IF(AND(ISNUMBER(FIND(" ",TRIM(G93&amp;""))),ISNUMBER(MATCH(LEFT(TRIM(G93&amp;""),FIND(" ",TRIM(G93&amp;""))-1),코드표!$J$2:$J$101,0)),ISNUMBER(MATCH(TRIM(RIGHT(SUBSTITUTE(TRIM(G93&amp;"")," ",REPT(" ",60)),60)),코드표!$F$2:$F$101,0))),INDEX(코드표!$K$2:$K$101,MATCH(LEFT(TRIM(G93&amp;""),FIND(" ",TRIM(G93&amp;""))-1),코드표!$J$2:$J$101,0))&amp;" "&amp;INDEX(코드표!$G$2:$G$101,MATCH(TRIM(RIGHT(SUBSTITUTE(TRIM(G93&amp;"")," ",REPT(" ",60)),60)),코드표!$F$2:$F$101,0)),"⚠"&amp;TRIM(G93&amp;""))),"⚠"&amp;TRIM(G93&amp;""))</f>
        <v/>
      </c>
      <c r="P93" s="10">
        <f>IFERROR(IF(TRIM(H93&amp;"")="","",IF(AND(ISNUMBER(FIND(" ",TRIM(H93&amp;""))),ISNUMBER(MATCH(LEFT(TRIM(H93&amp;""),FIND(" ",TRIM(H93&amp;""))-1),코드표!$J$2:$J$101,0)),ISNUMBER(MATCH(TRIM(RIGHT(SUBSTITUTE(TRIM(H93&amp;"")," ",REPT(" ",60)),60)),코드표!$F$2:$F$101,0))),INDEX(코드표!$K$2:$K$101,MATCH(LEFT(TRIM(H93&amp;""),FIND(" ",TRIM(H93&amp;""))-1),코드표!$J$2:$J$101,0))&amp;" "&amp;INDEX(코드표!$G$2:$G$101,MATCH(TRIM(RIGHT(SUBSTITUTE(TRIM(H93&amp;"")," ",REPT(" ",60)),60)),코드표!$F$2:$F$101,0)),"⚠"&amp;TRIM(H93&amp;""))),"⚠"&amp;TRIM(H93&amp;""))</f>
        <v/>
      </c>
      <c r="Q93" s="10">
        <f>IFERROR(IF(TRIM(I93&amp;"")="","",IF(AND(ISNUMBER(FIND(" ",TRIM(I93&amp;""))),ISNUMBER(MATCH(LEFT(TRIM(I93&amp;""),FIND(" ",TRIM(I93&amp;""))-1),코드표!$J$2:$J$101,0)),ISNUMBER(MATCH(TRIM(RIGHT(SUBSTITUTE(TRIM(I93&amp;"")," ",REPT(" ",60)),60)),코드표!$F$2:$F$101,0))),INDEX(코드표!$K$2:$K$101,MATCH(LEFT(TRIM(I93&amp;""),FIND(" ",TRIM(I93&amp;""))-1),코드표!$J$2:$J$101,0))&amp;" "&amp;INDEX(코드표!$G$2:$G$101,MATCH(TRIM(RIGHT(SUBSTITUTE(TRIM(I93&amp;"")," ",REPT(" ",60)),60)),코드표!$F$2:$F$101,0)),"⚠"&amp;TRIM(I93&amp;""))),"⚠"&amp;TRIM(I93&amp;""))</f>
        <v/>
      </c>
      <c r="R93" s="10">
        <f>IFERROR(IF(TRIM(J93&amp;"")="","",IF(AND(ISNUMBER(FIND(" ",TRIM(J93&amp;""))),ISNUMBER(MATCH(LEFT(TRIM(J93&amp;""),FIND(" ",TRIM(J93&amp;""))-1),코드표!$J$2:$J$101,0)),ISNUMBER(MATCH(TRIM(RIGHT(SUBSTITUTE(TRIM(J93&amp;"")," ",REPT(" ",60)),60)),코드표!$F$2:$F$101,0))),INDEX(코드표!$K$2:$K$101,MATCH(LEFT(TRIM(J93&amp;""),FIND(" ",TRIM(J93&amp;""))-1),코드표!$J$2:$J$101,0))&amp;" "&amp;INDEX(코드표!$G$2:$G$101,MATCH(TRIM(RIGHT(SUBSTITUTE(TRIM(J93&amp;"")," ",REPT(" ",60)),60)),코드표!$F$2:$F$101,0)),"⚠"&amp;TRIM(J93&amp;""))),"⚠"&amp;TRIM(J93&amp;""))</f>
        <v/>
      </c>
      <c r="S93" s="11">
        <f>IF(K93="","",IFERROR(IF(AND(ROUND((VALUE(K93&amp;"")-INT(VALUE(K93&amp;"")))*100,0)&gt;=1,ROUND((VALUE(K93&amp;"")-INT(VALUE(K93&amp;"")))*100,0)&lt;=12,INT(VALUE(K93&amp;""))&gt;=1900),DATE(INT(VALUE(K93&amp;"")),ROUND((VALUE(K93&amp;"")-INT(VALUE(K93&amp;"")))*100,0),1),K93&amp;""),K93&amp;""))</f>
        <v/>
      </c>
      <c r="T93" s="10">
        <f>COUNTIF(M93:R93,"⚠*")</f>
        <v/>
      </c>
    </row>
    <row r="94"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M94" s="10">
        <f>IFERROR(IF(TRIM(E94&amp;"")="","",IF(AND(ISNUMBER(FIND(" ",TRIM(E94&amp;""))),ISNUMBER(MATCH(LEFT(TRIM(E94&amp;""),FIND(" ",TRIM(E94&amp;""))-1),코드표!$J$2:$J$101,0)),ISNUMBER(MATCH(TRIM(RIGHT(SUBSTITUTE(TRIM(E94&amp;"")," ",REPT(" ",60)),60)),코드표!$F$2:$F$101,0))),INDEX(코드표!$K$2:$K$101,MATCH(LEFT(TRIM(E94&amp;""),FIND(" ",TRIM(E94&amp;""))-1),코드표!$J$2:$J$101,0))&amp;" "&amp;INDEX(코드표!$G$2:$G$101,MATCH(TRIM(RIGHT(SUBSTITUTE(TRIM(E94&amp;"")," ",REPT(" ",60)),60)),코드표!$F$2:$F$101,0)),"⚠"&amp;TRIM(E94&amp;""))),"⚠"&amp;TRIM(E94&amp;""))</f>
        <v/>
      </c>
      <c r="N94" s="10">
        <f>IFERROR(IF(TRIM(F94&amp;"")="","",IF(AND(ISNUMBER(FIND(" ",TRIM(F94&amp;""))),ISNUMBER(MATCH(LEFT(TRIM(F94&amp;""),FIND(" ",TRIM(F94&amp;""))-1),코드표!$J$2:$J$101,0)),ISNUMBER(MATCH(TRIM(RIGHT(SUBSTITUTE(TRIM(F94&amp;"")," ",REPT(" ",60)),60)),코드표!$F$2:$F$101,0))),INDEX(코드표!$K$2:$K$101,MATCH(LEFT(TRIM(F94&amp;""),FIND(" ",TRIM(F94&amp;""))-1),코드표!$J$2:$J$101,0))&amp;" "&amp;INDEX(코드표!$G$2:$G$101,MATCH(TRIM(RIGHT(SUBSTITUTE(TRIM(F94&amp;"")," ",REPT(" ",60)),60)),코드표!$F$2:$F$101,0)),"⚠"&amp;TRIM(F94&amp;""))),"⚠"&amp;TRIM(F94&amp;""))</f>
        <v/>
      </c>
      <c r="O94" s="10">
        <f>IFERROR(IF(TRIM(G94&amp;"")="","",IF(AND(ISNUMBER(FIND(" ",TRIM(G94&amp;""))),ISNUMBER(MATCH(LEFT(TRIM(G94&amp;""),FIND(" ",TRIM(G94&amp;""))-1),코드표!$J$2:$J$101,0)),ISNUMBER(MATCH(TRIM(RIGHT(SUBSTITUTE(TRIM(G94&amp;"")," ",REPT(" ",60)),60)),코드표!$F$2:$F$101,0))),INDEX(코드표!$K$2:$K$101,MATCH(LEFT(TRIM(G94&amp;""),FIND(" ",TRIM(G94&amp;""))-1),코드표!$J$2:$J$101,0))&amp;" "&amp;INDEX(코드표!$G$2:$G$101,MATCH(TRIM(RIGHT(SUBSTITUTE(TRIM(G94&amp;"")," ",REPT(" ",60)),60)),코드표!$F$2:$F$101,0)),"⚠"&amp;TRIM(G94&amp;""))),"⚠"&amp;TRIM(G94&amp;""))</f>
        <v/>
      </c>
      <c r="P94" s="10">
        <f>IFERROR(IF(TRIM(H94&amp;"")="","",IF(AND(ISNUMBER(FIND(" ",TRIM(H94&amp;""))),ISNUMBER(MATCH(LEFT(TRIM(H94&amp;""),FIND(" ",TRIM(H94&amp;""))-1),코드표!$J$2:$J$101,0)),ISNUMBER(MATCH(TRIM(RIGHT(SUBSTITUTE(TRIM(H94&amp;"")," ",REPT(" ",60)),60)),코드표!$F$2:$F$101,0))),INDEX(코드표!$K$2:$K$101,MATCH(LEFT(TRIM(H94&amp;""),FIND(" ",TRIM(H94&amp;""))-1),코드표!$J$2:$J$101,0))&amp;" "&amp;INDEX(코드표!$G$2:$G$101,MATCH(TRIM(RIGHT(SUBSTITUTE(TRIM(H94&amp;"")," ",REPT(" ",60)),60)),코드표!$F$2:$F$101,0)),"⚠"&amp;TRIM(H94&amp;""))),"⚠"&amp;TRIM(H94&amp;""))</f>
        <v/>
      </c>
      <c r="Q94" s="10">
        <f>IFERROR(IF(TRIM(I94&amp;"")="","",IF(AND(ISNUMBER(FIND(" ",TRIM(I94&amp;""))),ISNUMBER(MATCH(LEFT(TRIM(I94&amp;""),FIND(" ",TRIM(I94&amp;""))-1),코드표!$J$2:$J$101,0)),ISNUMBER(MATCH(TRIM(RIGHT(SUBSTITUTE(TRIM(I94&amp;"")," ",REPT(" ",60)),60)),코드표!$F$2:$F$101,0))),INDEX(코드표!$K$2:$K$101,MATCH(LEFT(TRIM(I94&amp;""),FIND(" ",TRIM(I94&amp;""))-1),코드표!$J$2:$J$101,0))&amp;" "&amp;INDEX(코드표!$G$2:$G$101,MATCH(TRIM(RIGHT(SUBSTITUTE(TRIM(I94&amp;"")," ",REPT(" ",60)),60)),코드표!$F$2:$F$101,0)),"⚠"&amp;TRIM(I94&amp;""))),"⚠"&amp;TRIM(I94&amp;""))</f>
        <v/>
      </c>
      <c r="R94" s="10">
        <f>IFERROR(IF(TRIM(J94&amp;"")="","",IF(AND(ISNUMBER(FIND(" ",TRIM(J94&amp;""))),ISNUMBER(MATCH(LEFT(TRIM(J94&amp;""),FIND(" ",TRIM(J94&amp;""))-1),코드표!$J$2:$J$101,0)),ISNUMBER(MATCH(TRIM(RIGHT(SUBSTITUTE(TRIM(J94&amp;"")," ",REPT(" ",60)),60)),코드표!$F$2:$F$101,0))),INDEX(코드표!$K$2:$K$101,MATCH(LEFT(TRIM(J94&amp;""),FIND(" ",TRIM(J94&amp;""))-1),코드표!$J$2:$J$101,0))&amp;" "&amp;INDEX(코드표!$G$2:$G$101,MATCH(TRIM(RIGHT(SUBSTITUTE(TRIM(J94&amp;"")," ",REPT(" ",60)),60)),코드표!$F$2:$F$101,0)),"⚠"&amp;TRIM(J94&amp;""))),"⚠"&amp;TRIM(J94&amp;""))</f>
        <v/>
      </c>
      <c r="S94" s="11">
        <f>IF(K94="","",IFERROR(IF(AND(ROUND((VALUE(K94&amp;"")-INT(VALUE(K94&amp;"")))*100,0)&gt;=1,ROUND((VALUE(K94&amp;"")-INT(VALUE(K94&amp;"")))*100,0)&lt;=12,INT(VALUE(K94&amp;""))&gt;=1900),DATE(INT(VALUE(K94&amp;"")),ROUND((VALUE(K94&amp;"")-INT(VALUE(K94&amp;"")))*100,0),1),K94&amp;""),K94&amp;""))</f>
        <v/>
      </c>
      <c r="T94" s="10">
        <f>COUNTIF(M94:R94,"⚠*")</f>
        <v/>
      </c>
    </row>
    <row r="95"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M95" s="10">
        <f>IFERROR(IF(TRIM(E95&amp;"")="","",IF(AND(ISNUMBER(FIND(" ",TRIM(E95&amp;""))),ISNUMBER(MATCH(LEFT(TRIM(E95&amp;""),FIND(" ",TRIM(E95&amp;""))-1),코드표!$J$2:$J$101,0)),ISNUMBER(MATCH(TRIM(RIGHT(SUBSTITUTE(TRIM(E95&amp;"")," ",REPT(" ",60)),60)),코드표!$F$2:$F$101,0))),INDEX(코드표!$K$2:$K$101,MATCH(LEFT(TRIM(E95&amp;""),FIND(" ",TRIM(E95&amp;""))-1),코드표!$J$2:$J$101,0))&amp;" "&amp;INDEX(코드표!$G$2:$G$101,MATCH(TRIM(RIGHT(SUBSTITUTE(TRIM(E95&amp;"")," ",REPT(" ",60)),60)),코드표!$F$2:$F$101,0)),"⚠"&amp;TRIM(E95&amp;""))),"⚠"&amp;TRIM(E95&amp;""))</f>
        <v/>
      </c>
      <c r="N95" s="10">
        <f>IFERROR(IF(TRIM(F95&amp;"")="","",IF(AND(ISNUMBER(FIND(" ",TRIM(F95&amp;""))),ISNUMBER(MATCH(LEFT(TRIM(F95&amp;""),FIND(" ",TRIM(F95&amp;""))-1),코드표!$J$2:$J$101,0)),ISNUMBER(MATCH(TRIM(RIGHT(SUBSTITUTE(TRIM(F95&amp;"")," ",REPT(" ",60)),60)),코드표!$F$2:$F$101,0))),INDEX(코드표!$K$2:$K$101,MATCH(LEFT(TRIM(F95&amp;""),FIND(" ",TRIM(F95&amp;""))-1),코드표!$J$2:$J$101,0))&amp;" "&amp;INDEX(코드표!$G$2:$G$101,MATCH(TRIM(RIGHT(SUBSTITUTE(TRIM(F95&amp;"")," ",REPT(" ",60)),60)),코드표!$F$2:$F$101,0)),"⚠"&amp;TRIM(F95&amp;""))),"⚠"&amp;TRIM(F95&amp;""))</f>
        <v/>
      </c>
      <c r="O95" s="10">
        <f>IFERROR(IF(TRIM(G95&amp;"")="","",IF(AND(ISNUMBER(FIND(" ",TRIM(G95&amp;""))),ISNUMBER(MATCH(LEFT(TRIM(G95&amp;""),FIND(" ",TRIM(G95&amp;""))-1),코드표!$J$2:$J$101,0)),ISNUMBER(MATCH(TRIM(RIGHT(SUBSTITUTE(TRIM(G95&amp;"")," ",REPT(" ",60)),60)),코드표!$F$2:$F$101,0))),INDEX(코드표!$K$2:$K$101,MATCH(LEFT(TRIM(G95&amp;""),FIND(" ",TRIM(G95&amp;""))-1),코드표!$J$2:$J$101,0))&amp;" "&amp;INDEX(코드표!$G$2:$G$101,MATCH(TRIM(RIGHT(SUBSTITUTE(TRIM(G95&amp;"")," ",REPT(" ",60)),60)),코드표!$F$2:$F$101,0)),"⚠"&amp;TRIM(G95&amp;""))),"⚠"&amp;TRIM(G95&amp;""))</f>
        <v/>
      </c>
      <c r="P95" s="10">
        <f>IFERROR(IF(TRIM(H95&amp;"")="","",IF(AND(ISNUMBER(FIND(" ",TRIM(H95&amp;""))),ISNUMBER(MATCH(LEFT(TRIM(H95&amp;""),FIND(" ",TRIM(H95&amp;""))-1),코드표!$J$2:$J$101,0)),ISNUMBER(MATCH(TRIM(RIGHT(SUBSTITUTE(TRIM(H95&amp;"")," ",REPT(" ",60)),60)),코드표!$F$2:$F$101,0))),INDEX(코드표!$K$2:$K$101,MATCH(LEFT(TRIM(H95&amp;""),FIND(" ",TRIM(H95&amp;""))-1),코드표!$J$2:$J$101,0))&amp;" "&amp;INDEX(코드표!$G$2:$G$101,MATCH(TRIM(RIGHT(SUBSTITUTE(TRIM(H95&amp;"")," ",REPT(" ",60)),60)),코드표!$F$2:$F$101,0)),"⚠"&amp;TRIM(H95&amp;""))),"⚠"&amp;TRIM(H95&amp;""))</f>
        <v/>
      </c>
      <c r="Q95" s="10">
        <f>IFERROR(IF(TRIM(I95&amp;"")="","",IF(AND(ISNUMBER(FIND(" ",TRIM(I95&amp;""))),ISNUMBER(MATCH(LEFT(TRIM(I95&amp;""),FIND(" ",TRIM(I95&amp;""))-1),코드표!$J$2:$J$101,0)),ISNUMBER(MATCH(TRIM(RIGHT(SUBSTITUTE(TRIM(I95&amp;"")," ",REPT(" ",60)),60)),코드표!$F$2:$F$101,0))),INDEX(코드표!$K$2:$K$101,MATCH(LEFT(TRIM(I95&amp;""),FIND(" ",TRIM(I95&amp;""))-1),코드표!$J$2:$J$101,0))&amp;" "&amp;INDEX(코드표!$G$2:$G$101,MATCH(TRIM(RIGHT(SUBSTITUTE(TRIM(I95&amp;"")," ",REPT(" ",60)),60)),코드표!$F$2:$F$101,0)),"⚠"&amp;TRIM(I95&amp;""))),"⚠"&amp;TRIM(I95&amp;""))</f>
        <v/>
      </c>
      <c r="R95" s="10">
        <f>IFERROR(IF(TRIM(J95&amp;"")="","",IF(AND(ISNUMBER(FIND(" ",TRIM(J95&amp;""))),ISNUMBER(MATCH(LEFT(TRIM(J95&amp;""),FIND(" ",TRIM(J95&amp;""))-1),코드표!$J$2:$J$101,0)),ISNUMBER(MATCH(TRIM(RIGHT(SUBSTITUTE(TRIM(J95&amp;"")," ",REPT(" ",60)),60)),코드표!$F$2:$F$101,0))),INDEX(코드표!$K$2:$K$101,MATCH(LEFT(TRIM(J95&amp;""),FIND(" ",TRIM(J95&amp;""))-1),코드표!$J$2:$J$101,0))&amp;" "&amp;INDEX(코드표!$G$2:$G$101,MATCH(TRIM(RIGHT(SUBSTITUTE(TRIM(J95&amp;"")," ",REPT(" ",60)),60)),코드표!$F$2:$F$101,0)),"⚠"&amp;TRIM(J95&amp;""))),"⚠"&amp;TRIM(J95&amp;""))</f>
        <v/>
      </c>
      <c r="S95" s="11">
        <f>IF(K95="","",IFERROR(IF(AND(ROUND((VALUE(K95&amp;"")-INT(VALUE(K95&amp;"")))*100,0)&gt;=1,ROUND((VALUE(K95&amp;"")-INT(VALUE(K95&amp;"")))*100,0)&lt;=12,INT(VALUE(K95&amp;""))&gt;=1900),DATE(INT(VALUE(K95&amp;"")),ROUND((VALUE(K95&amp;"")-INT(VALUE(K95&amp;"")))*100,0),1),K95&amp;""),K95&amp;""))</f>
        <v/>
      </c>
      <c r="T95" s="10">
        <f>COUNTIF(M95:R95,"⚠*")</f>
        <v/>
      </c>
    </row>
    <row r="96"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M96" s="10">
        <f>IFERROR(IF(TRIM(E96&amp;"")="","",IF(AND(ISNUMBER(FIND(" ",TRIM(E96&amp;""))),ISNUMBER(MATCH(LEFT(TRIM(E96&amp;""),FIND(" ",TRIM(E96&amp;""))-1),코드표!$J$2:$J$101,0)),ISNUMBER(MATCH(TRIM(RIGHT(SUBSTITUTE(TRIM(E96&amp;"")," ",REPT(" ",60)),60)),코드표!$F$2:$F$101,0))),INDEX(코드표!$K$2:$K$101,MATCH(LEFT(TRIM(E96&amp;""),FIND(" ",TRIM(E96&amp;""))-1),코드표!$J$2:$J$101,0))&amp;" "&amp;INDEX(코드표!$G$2:$G$101,MATCH(TRIM(RIGHT(SUBSTITUTE(TRIM(E96&amp;"")," ",REPT(" ",60)),60)),코드표!$F$2:$F$101,0)),"⚠"&amp;TRIM(E96&amp;""))),"⚠"&amp;TRIM(E96&amp;""))</f>
        <v/>
      </c>
      <c r="N96" s="10">
        <f>IFERROR(IF(TRIM(F96&amp;"")="","",IF(AND(ISNUMBER(FIND(" ",TRIM(F96&amp;""))),ISNUMBER(MATCH(LEFT(TRIM(F96&amp;""),FIND(" ",TRIM(F96&amp;""))-1),코드표!$J$2:$J$101,0)),ISNUMBER(MATCH(TRIM(RIGHT(SUBSTITUTE(TRIM(F96&amp;"")," ",REPT(" ",60)),60)),코드표!$F$2:$F$101,0))),INDEX(코드표!$K$2:$K$101,MATCH(LEFT(TRIM(F96&amp;""),FIND(" ",TRIM(F96&amp;""))-1),코드표!$J$2:$J$101,0))&amp;" "&amp;INDEX(코드표!$G$2:$G$101,MATCH(TRIM(RIGHT(SUBSTITUTE(TRIM(F96&amp;"")," ",REPT(" ",60)),60)),코드표!$F$2:$F$101,0)),"⚠"&amp;TRIM(F96&amp;""))),"⚠"&amp;TRIM(F96&amp;""))</f>
        <v/>
      </c>
      <c r="O96" s="10">
        <f>IFERROR(IF(TRIM(G96&amp;"")="","",IF(AND(ISNUMBER(FIND(" ",TRIM(G96&amp;""))),ISNUMBER(MATCH(LEFT(TRIM(G96&amp;""),FIND(" ",TRIM(G96&amp;""))-1),코드표!$J$2:$J$101,0)),ISNUMBER(MATCH(TRIM(RIGHT(SUBSTITUTE(TRIM(G96&amp;"")," ",REPT(" ",60)),60)),코드표!$F$2:$F$101,0))),INDEX(코드표!$K$2:$K$101,MATCH(LEFT(TRIM(G96&amp;""),FIND(" ",TRIM(G96&amp;""))-1),코드표!$J$2:$J$101,0))&amp;" "&amp;INDEX(코드표!$G$2:$G$101,MATCH(TRIM(RIGHT(SUBSTITUTE(TRIM(G96&amp;"")," ",REPT(" ",60)),60)),코드표!$F$2:$F$101,0)),"⚠"&amp;TRIM(G96&amp;""))),"⚠"&amp;TRIM(G96&amp;""))</f>
        <v/>
      </c>
      <c r="P96" s="10">
        <f>IFERROR(IF(TRIM(H96&amp;"")="","",IF(AND(ISNUMBER(FIND(" ",TRIM(H96&amp;""))),ISNUMBER(MATCH(LEFT(TRIM(H96&amp;""),FIND(" ",TRIM(H96&amp;""))-1),코드표!$J$2:$J$101,0)),ISNUMBER(MATCH(TRIM(RIGHT(SUBSTITUTE(TRIM(H96&amp;"")," ",REPT(" ",60)),60)),코드표!$F$2:$F$101,0))),INDEX(코드표!$K$2:$K$101,MATCH(LEFT(TRIM(H96&amp;""),FIND(" ",TRIM(H96&amp;""))-1),코드표!$J$2:$J$101,0))&amp;" "&amp;INDEX(코드표!$G$2:$G$101,MATCH(TRIM(RIGHT(SUBSTITUTE(TRIM(H96&amp;"")," ",REPT(" ",60)),60)),코드표!$F$2:$F$101,0)),"⚠"&amp;TRIM(H96&amp;""))),"⚠"&amp;TRIM(H96&amp;""))</f>
        <v/>
      </c>
      <c r="Q96" s="10">
        <f>IFERROR(IF(TRIM(I96&amp;"")="","",IF(AND(ISNUMBER(FIND(" ",TRIM(I96&amp;""))),ISNUMBER(MATCH(LEFT(TRIM(I96&amp;""),FIND(" ",TRIM(I96&amp;""))-1),코드표!$J$2:$J$101,0)),ISNUMBER(MATCH(TRIM(RIGHT(SUBSTITUTE(TRIM(I96&amp;"")," ",REPT(" ",60)),60)),코드표!$F$2:$F$101,0))),INDEX(코드표!$K$2:$K$101,MATCH(LEFT(TRIM(I96&amp;""),FIND(" ",TRIM(I96&amp;""))-1),코드표!$J$2:$J$101,0))&amp;" "&amp;INDEX(코드표!$G$2:$G$101,MATCH(TRIM(RIGHT(SUBSTITUTE(TRIM(I96&amp;"")," ",REPT(" ",60)),60)),코드표!$F$2:$F$101,0)),"⚠"&amp;TRIM(I96&amp;""))),"⚠"&amp;TRIM(I96&amp;""))</f>
        <v/>
      </c>
      <c r="R96" s="10">
        <f>IFERROR(IF(TRIM(J96&amp;"")="","",IF(AND(ISNUMBER(FIND(" ",TRIM(J96&amp;""))),ISNUMBER(MATCH(LEFT(TRIM(J96&amp;""),FIND(" ",TRIM(J96&amp;""))-1),코드표!$J$2:$J$101,0)),ISNUMBER(MATCH(TRIM(RIGHT(SUBSTITUTE(TRIM(J96&amp;"")," ",REPT(" ",60)),60)),코드표!$F$2:$F$101,0))),INDEX(코드표!$K$2:$K$101,MATCH(LEFT(TRIM(J96&amp;""),FIND(" ",TRIM(J96&amp;""))-1),코드표!$J$2:$J$101,0))&amp;" "&amp;INDEX(코드표!$G$2:$G$101,MATCH(TRIM(RIGHT(SUBSTITUTE(TRIM(J96&amp;"")," ",REPT(" ",60)),60)),코드표!$F$2:$F$101,0)),"⚠"&amp;TRIM(J96&amp;""))),"⚠"&amp;TRIM(J96&amp;""))</f>
        <v/>
      </c>
      <c r="S96" s="11">
        <f>IF(K96="","",IFERROR(IF(AND(ROUND((VALUE(K96&amp;"")-INT(VALUE(K96&amp;"")))*100,0)&gt;=1,ROUND((VALUE(K96&amp;"")-INT(VALUE(K96&amp;"")))*100,0)&lt;=12,INT(VALUE(K96&amp;""))&gt;=1900),DATE(INT(VALUE(K96&amp;"")),ROUND((VALUE(K96&amp;"")-INT(VALUE(K96&amp;"")))*100,0),1),K96&amp;""),K96&amp;""))</f>
        <v/>
      </c>
      <c r="T96" s="10">
        <f>COUNTIF(M96:R96,"⚠*")</f>
        <v/>
      </c>
    </row>
    <row r="97"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M97" s="10">
        <f>IFERROR(IF(TRIM(E97&amp;"")="","",IF(AND(ISNUMBER(FIND(" ",TRIM(E97&amp;""))),ISNUMBER(MATCH(LEFT(TRIM(E97&amp;""),FIND(" ",TRIM(E97&amp;""))-1),코드표!$J$2:$J$101,0)),ISNUMBER(MATCH(TRIM(RIGHT(SUBSTITUTE(TRIM(E97&amp;"")," ",REPT(" ",60)),60)),코드표!$F$2:$F$101,0))),INDEX(코드표!$K$2:$K$101,MATCH(LEFT(TRIM(E97&amp;""),FIND(" ",TRIM(E97&amp;""))-1),코드표!$J$2:$J$101,0))&amp;" "&amp;INDEX(코드표!$G$2:$G$101,MATCH(TRIM(RIGHT(SUBSTITUTE(TRIM(E97&amp;"")," ",REPT(" ",60)),60)),코드표!$F$2:$F$101,0)),"⚠"&amp;TRIM(E97&amp;""))),"⚠"&amp;TRIM(E97&amp;""))</f>
        <v/>
      </c>
      <c r="N97" s="10">
        <f>IFERROR(IF(TRIM(F97&amp;"")="","",IF(AND(ISNUMBER(FIND(" ",TRIM(F97&amp;""))),ISNUMBER(MATCH(LEFT(TRIM(F97&amp;""),FIND(" ",TRIM(F97&amp;""))-1),코드표!$J$2:$J$101,0)),ISNUMBER(MATCH(TRIM(RIGHT(SUBSTITUTE(TRIM(F97&amp;"")," ",REPT(" ",60)),60)),코드표!$F$2:$F$101,0))),INDEX(코드표!$K$2:$K$101,MATCH(LEFT(TRIM(F97&amp;""),FIND(" ",TRIM(F97&amp;""))-1),코드표!$J$2:$J$101,0))&amp;" "&amp;INDEX(코드표!$G$2:$G$101,MATCH(TRIM(RIGHT(SUBSTITUTE(TRIM(F97&amp;"")," ",REPT(" ",60)),60)),코드표!$F$2:$F$101,0)),"⚠"&amp;TRIM(F97&amp;""))),"⚠"&amp;TRIM(F97&amp;""))</f>
        <v/>
      </c>
      <c r="O97" s="10">
        <f>IFERROR(IF(TRIM(G97&amp;"")="","",IF(AND(ISNUMBER(FIND(" ",TRIM(G97&amp;""))),ISNUMBER(MATCH(LEFT(TRIM(G97&amp;""),FIND(" ",TRIM(G97&amp;""))-1),코드표!$J$2:$J$101,0)),ISNUMBER(MATCH(TRIM(RIGHT(SUBSTITUTE(TRIM(G97&amp;"")," ",REPT(" ",60)),60)),코드표!$F$2:$F$101,0))),INDEX(코드표!$K$2:$K$101,MATCH(LEFT(TRIM(G97&amp;""),FIND(" ",TRIM(G97&amp;""))-1),코드표!$J$2:$J$101,0))&amp;" "&amp;INDEX(코드표!$G$2:$G$101,MATCH(TRIM(RIGHT(SUBSTITUTE(TRIM(G97&amp;"")," ",REPT(" ",60)),60)),코드표!$F$2:$F$101,0)),"⚠"&amp;TRIM(G97&amp;""))),"⚠"&amp;TRIM(G97&amp;""))</f>
        <v/>
      </c>
      <c r="P97" s="10">
        <f>IFERROR(IF(TRIM(H97&amp;"")="","",IF(AND(ISNUMBER(FIND(" ",TRIM(H97&amp;""))),ISNUMBER(MATCH(LEFT(TRIM(H97&amp;""),FIND(" ",TRIM(H97&amp;""))-1),코드표!$J$2:$J$101,0)),ISNUMBER(MATCH(TRIM(RIGHT(SUBSTITUTE(TRIM(H97&amp;"")," ",REPT(" ",60)),60)),코드표!$F$2:$F$101,0))),INDEX(코드표!$K$2:$K$101,MATCH(LEFT(TRIM(H97&amp;""),FIND(" ",TRIM(H97&amp;""))-1),코드표!$J$2:$J$101,0))&amp;" "&amp;INDEX(코드표!$G$2:$G$101,MATCH(TRIM(RIGHT(SUBSTITUTE(TRIM(H97&amp;"")," ",REPT(" ",60)),60)),코드표!$F$2:$F$101,0)),"⚠"&amp;TRIM(H97&amp;""))),"⚠"&amp;TRIM(H97&amp;""))</f>
        <v/>
      </c>
      <c r="Q97" s="10">
        <f>IFERROR(IF(TRIM(I97&amp;"")="","",IF(AND(ISNUMBER(FIND(" ",TRIM(I97&amp;""))),ISNUMBER(MATCH(LEFT(TRIM(I97&amp;""),FIND(" ",TRIM(I97&amp;""))-1),코드표!$J$2:$J$101,0)),ISNUMBER(MATCH(TRIM(RIGHT(SUBSTITUTE(TRIM(I97&amp;"")," ",REPT(" ",60)),60)),코드표!$F$2:$F$101,0))),INDEX(코드표!$K$2:$K$101,MATCH(LEFT(TRIM(I97&amp;""),FIND(" ",TRIM(I97&amp;""))-1),코드표!$J$2:$J$101,0))&amp;" "&amp;INDEX(코드표!$G$2:$G$101,MATCH(TRIM(RIGHT(SUBSTITUTE(TRIM(I97&amp;"")," ",REPT(" ",60)),60)),코드표!$F$2:$F$101,0)),"⚠"&amp;TRIM(I97&amp;""))),"⚠"&amp;TRIM(I97&amp;""))</f>
        <v/>
      </c>
      <c r="R97" s="10">
        <f>IFERROR(IF(TRIM(J97&amp;"")="","",IF(AND(ISNUMBER(FIND(" ",TRIM(J97&amp;""))),ISNUMBER(MATCH(LEFT(TRIM(J97&amp;""),FIND(" ",TRIM(J97&amp;""))-1),코드표!$J$2:$J$101,0)),ISNUMBER(MATCH(TRIM(RIGHT(SUBSTITUTE(TRIM(J97&amp;"")," ",REPT(" ",60)),60)),코드표!$F$2:$F$101,0))),INDEX(코드표!$K$2:$K$101,MATCH(LEFT(TRIM(J97&amp;""),FIND(" ",TRIM(J97&amp;""))-1),코드표!$J$2:$J$101,0))&amp;" "&amp;INDEX(코드표!$G$2:$G$101,MATCH(TRIM(RIGHT(SUBSTITUTE(TRIM(J97&amp;"")," ",REPT(" ",60)),60)),코드표!$F$2:$F$101,0)),"⚠"&amp;TRIM(J97&amp;""))),"⚠"&amp;TRIM(J97&amp;""))</f>
        <v/>
      </c>
      <c r="S97" s="11">
        <f>IF(K97="","",IFERROR(IF(AND(ROUND((VALUE(K97&amp;"")-INT(VALUE(K97&amp;"")))*100,0)&gt;=1,ROUND((VALUE(K97&amp;"")-INT(VALUE(K97&amp;"")))*100,0)&lt;=12,INT(VALUE(K97&amp;""))&gt;=1900),DATE(INT(VALUE(K97&amp;"")),ROUND((VALUE(K97&amp;"")-INT(VALUE(K97&amp;"")))*100,0),1),K97&amp;""),K97&amp;""))</f>
        <v/>
      </c>
      <c r="T97" s="10">
        <f>COUNTIF(M97:R97,"⚠*")</f>
        <v/>
      </c>
    </row>
    <row r="98"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M98" s="10">
        <f>IFERROR(IF(TRIM(E98&amp;"")="","",IF(AND(ISNUMBER(FIND(" ",TRIM(E98&amp;""))),ISNUMBER(MATCH(LEFT(TRIM(E98&amp;""),FIND(" ",TRIM(E98&amp;""))-1),코드표!$J$2:$J$101,0)),ISNUMBER(MATCH(TRIM(RIGHT(SUBSTITUTE(TRIM(E98&amp;"")," ",REPT(" ",60)),60)),코드표!$F$2:$F$101,0))),INDEX(코드표!$K$2:$K$101,MATCH(LEFT(TRIM(E98&amp;""),FIND(" ",TRIM(E98&amp;""))-1),코드표!$J$2:$J$101,0))&amp;" "&amp;INDEX(코드표!$G$2:$G$101,MATCH(TRIM(RIGHT(SUBSTITUTE(TRIM(E98&amp;"")," ",REPT(" ",60)),60)),코드표!$F$2:$F$101,0)),"⚠"&amp;TRIM(E98&amp;""))),"⚠"&amp;TRIM(E98&amp;""))</f>
        <v/>
      </c>
      <c r="N98" s="10">
        <f>IFERROR(IF(TRIM(F98&amp;"")="","",IF(AND(ISNUMBER(FIND(" ",TRIM(F98&amp;""))),ISNUMBER(MATCH(LEFT(TRIM(F98&amp;""),FIND(" ",TRIM(F98&amp;""))-1),코드표!$J$2:$J$101,0)),ISNUMBER(MATCH(TRIM(RIGHT(SUBSTITUTE(TRIM(F98&amp;"")," ",REPT(" ",60)),60)),코드표!$F$2:$F$101,0))),INDEX(코드표!$K$2:$K$101,MATCH(LEFT(TRIM(F98&amp;""),FIND(" ",TRIM(F98&amp;""))-1),코드표!$J$2:$J$101,0))&amp;" "&amp;INDEX(코드표!$G$2:$G$101,MATCH(TRIM(RIGHT(SUBSTITUTE(TRIM(F98&amp;"")," ",REPT(" ",60)),60)),코드표!$F$2:$F$101,0)),"⚠"&amp;TRIM(F98&amp;""))),"⚠"&amp;TRIM(F98&amp;""))</f>
        <v/>
      </c>
      <c r="O98" s="10">
        <f>IFERROR(IF(TRIM(G98&amp;"")="","",IF(AND(ISNUMBER(FIND(" ",TRIM(G98&amp;""))),ISNUMBER(MATCH(LEFT(TRIM(G98&amp;""),FIND(" ",TRIM(G98&amp;""))-1),코드표!$J$2:$J$101,0)),ISNUMBER(MATCH(TRIM(RIGHT(SUBSTITUTE(TRIM(G98&amp;"")," ",REPT(" ",60)),60)),코드표!$F$2:$F$101,0))),INDEX(코드표!$K$2:$K$101,MATCH(LEFT(TRIM(G98&amp;""),FIND(" ",TRIM(G98&amp;""))-1),코드표!$J$2:$J$101,0))&amp;" "&amp;INDEX(코드표!$G$2:$G$101,MATCH(TRIM(RIGHT(SUBSTITUTE(TRIM(G98&amp;"")," ",REPT(" ",60)),60)),코드표!$F$2:$F$101,0)),"⚠"&amp;TRIM(G98&amp;""))),"⚠"&amp;TRIM(G98&amp;""))</f>
        <v/>
      </c>
      <c r="P98" s="10">
        <f>IFERROR(IF(TRIM(H98&amp;"")="","",IF(AND(ISNUMBER(FIND(" ",TRIM(H98&amp;""))),ISNUMBER(MATCH(LEFT(TRIM(H98&amp;""),FIND(" ",TRIM(H98&amp;""))-1),코드표!$J$2:$J$101,0)),ISNUMBER(MATCH(TRIM(RIGHT(SUBSTITUTE(TRIM(H98&amp;"")," ",REPT(" ",60)),60)),코드표!$F$2:$F$101,0))),INDEX(코드표!$K$2:$K$101,MATCH(LEFT(TRIM(H98&amp;""),FIND(" ",TRIM(H98&amp;""))-1),코드표!$J$2:$J$101,0))&amp;" "&amp;INDEX(코드표!$G$2:$G$101,MATCH(TRIM(RIGHT(SUBSTITUTE(TRIM(H98&amp;"")," ",REPT(" ",60)),60)),코드표!$F$2:$F$101,0)),"⚠"&amp;TRIM(H98&amp;""))),"⚠"&amp;TRIM(H98&amp;""))</f>
        <v/>
      </c>
      <c r="Q98" s="10">
        <f>IFERROR(IF(TRIM(I98&amp;"")="","",IF(AND(ISNUMBER(FIND(" ",TRIM(I98&amp;""))),ISNUMBER(MATCH(LEFT(TRIM(I98&amp;""),FIND(" ",TRIM(I98&amp;""))-1),코드표!$J$2:$J$101,0)),ISNUMBER(MATCH(TRIM(RIGHT(SUBSTITUTE(TRIM(I98&amp;"")," ",REPT(" ",60)),60)),코드표!$F$2:$F$101,0))),INDEX(코드표!$K$2:$K$101,MATCH(LEFT(TRIM(I98&amp;""),FIND(" ",TRIM(I98&amp;""))-1),코드표!$J$2:$J$101,0))&amp;" "&amp;INDEX(코드표!$G$2:$G$101,MATCH(TRIM(RIGHT(SUBSTITUTE(TRIM(I98&amp;"")," ",REPT(" ",60)),60)),코드표!$F$2:$F$101,0)),"⚠"&amp;TRIM(I98&amp;""))),"⚠"&amp;TRIM(I98&amp;""))</f>
        <v/>
      </c>
      <c r="R98" s="10">
        <f>IFERROR(IF(TRIM(J98&amp;"")="","",IF(AND(ISNUMBER(FIND(" ",TRIM(J98&amp;""))),ISNUMBER(MATCH(LEFT(TRIM(J98&amp;""),FIND(" ",TRIM(J98&amp;""))-1),코드표!$J$2:$J$101,0)),ISNUMBER(MATCH(TRIM(RIGHT(SUBSTITUTE(TRIM(J98&amp;"")," ",REPT(" ",60)),60)),코드표!$F$2:$F$101,0))),INDEX(코드표!$K$2:$K$101,MATCH(LEFT(TRIM(J98&amp;""),FIND(" ",TRIM(J98&amp;""))-1),코드표!$J$2:$J$101,0))&amp;" "&amp;INDEX(코드표!$G$2:$G$101,MATCH(TRIM(RIGHT(SUBSTITUTE(TRIM(J98&amp;"")," ",REPT(" ",60)),60)),코드표!$F$2:$F$101,0)),"⚠"&amp;TRIM(J98&amp;""))),"⚠"&amp;TRIM(J98&amp;""))</f>
        <v/>
      </c>
      <c r="S98" s="11">
        <f>IF(K98="","",IFERROR(IF(AND(ROUND((VALUE(K98&amp;"")-INT(VALUE(K98&amp;"")))*100,0)&gt;=1,ROUND((VALUE(K98&amp;"")-INT(VALUE(K98&amp;"")))*100,0)&lt;=12,INT(VALUE(K98&amp;""))&gt;=1900),DATE(INT(VALUE(K98&amp;"")),ROUND((VALUE(K98&amp;"")-INT(VALUE(K98&amp;"")))*100,0),1),K98&amp;""),K98&amp;""))</f>
        <v/>
      </c>
      <c r="T98" s="10">
        <f>COUNTIF(M98:R98,"⚠*")</f>
        <v/>
      </c>
    </row>
    <row r="99"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M99" s="10">
        <f>IFERROR(IF(TRIM(E99&amp;"")="","",IF(AND(ISNUMBER(FIND(" ",TRIM(E99&amp;""))),ISNUMBER(MATCH(LEFT(TRIM(E99&amp;""),FIND(" ",TRIM(E99&amp;""))-1),코드표!$J$2:$J$101,0)),ISNUMBER(MATCH(TRIM(RIGHT(SUBSTITUTE(TRIM(E99&amp;"")," ",REPT(" ",60)),60)),코드표!$F$2:$F$101,0))),INDEX(코드표!$K$2:$K$101,MATCH(LEFT(TRIM(E99&amp;""),FIND(" ",TRIM(E99&amp;""))-1),코드표!$J$2:$J$101,0))&amp;" "&amp;INDEX(코드표!$G$2:$G$101,MATCH(TRIM(RIGHT(SUBSTITUTE(TRIM(E99&amp;"")," ",REPT(" ",60)),60)),코드표!$F$2:$F$101,0)),"⚠"&amp;TRIM(E99&amp;""))),"⚠"&amp;TRIM(E99&amp;""))</f>
        <v/>
      </c>
      <c r="N99" s="10">
        <f>IFERROR(IF(TRIM(F99&amp;"")="","",IF(AND(ISNUMBER(FIND(" ",TRIM(F99&amp;""))),ISNUMBER(MATCH(LEFT(TRIM(F99&amp;""),FIND(" ",TRIM(F99&amp;""))-1),코드표!$J$2:$J$101,0)),ISNUMBER(MATCH(TRIM(RIGHT(SUBSTITUTE(TRIM(F99&amp;"")," ",REPT(" ",60)),60)),코드표!$F$2:$F$101,0))),INDEX(코드표!$K$2:$K$101,MATCH(LEFT(TRIM(F99&amp;""),FIND(" ",TRIM(F99&amp;""))-1),코드표!$J$2:$J$101,0))&amp;" "&amp;INDEX(코드표!$G$2:$G$101,MATCH(TRIM(RIGHT(SUBSTITUTE(TRIM(F99&amp;"")," ",REPT(" ",60)),60)),코드표!$F$2:$F$101,0)),"⚠"&amp;TRIM(F99&amp;""))),"⚠"&amp;TRIM(F99&amp;""))</f>
        <v/>
      </c>
      <c r="O99" s="10">
        <f>IFERROR(IF(TRIM(G99&amp;"")="","",IF(AND(ISNUMBER(FIND(" ",TRIM(G99&amp;""))),ISNUMBER(MATCH(LEFT(TRIM(G99&amp;""),FIND(" ",TRIM(G99&amp;""))-1),코드표!$J$2:$J$101,0)),ISNUMBER(MATCH(TRIM(RIGHT(SUBSTITUTE(TRIM(G99&amp;"")," ",REPT(" ",60)),60)),코드표!$F$2:$F$101,0))),INDEX(코드표!$K$2:$K$101,MATCH(LEFT(TRIM(G99&amp;""),FIND(" ",TRIM(G99&amp;""))-1),코드표!$J$2:$J$101,0))&amp;" "&amp;INDEX(코드표!$G$2:$G$101,MATCH(TRIM(RIGHT(SUBSTITUTE(TRIM(G99&amp;"")," ",REPT(" ",60)),60)),코드표!$F$2:$F$101,0)),"⚠"&amp;TRIM(G99&amp;""))),"⚠"&amp;TRIM(G99&amp;""))</f>
        <v/>
      </c>
      <c r="P99" s="10">
        <f>IFERROR(IF(TRIM(H99&amp;"")="","",IF(AND(ISNUMBER(FIND(" ",TRIM(H99&amp;""))),ISNUMBER(MATCH(LEFT(TRIM(H99&amp;""),FIND(" ",TRIM(H99&amp;""))-1),코드표!$J$2:$J$101,0)),ISNUMBER(MATCH(TRIM(RIGHT(SUBSTITUTE(TRIM(H99&amp;"")," ",REPT(" ",60)),60)),코드표!$F$2:$F$101,0))),INDEX(코드표!$K$2:$K$101,MATCH(LEFT(TRIM(H99&amp;""),FIND(" ",TRIM(H99&amp;""))-1),코드표!$J$2:$J$101,0))&amp;" "&amp;INDEX(코드표!$G$2:$G$101,MATCH(TRIM(RIGHT(SUBSTITUTE(TRIM(H99&amp;"")," ",REPT(" ",60)),60)),코드표!$F$2:$F$101,0)),"⚠"&amp;TRIM(H99&amp;""))),"⚠"&amp;TRIM(H99&amp;""))</f>
        <v/>
      </c>
      <c r="Q99" s="10">
        <f>IFERROR(IF(TRIM(I99&amp;"")="","",IF(AND(ISNUMBER(FIND(" ",TRIM(I99&amp;""))),ISNUMBER(MATCH(LEFT(TRIM(I99&amp;""),FIND(" ",TRIM(I99&amp;""))-1),코드표!$J$2:$J$101,0)),ISNUMBER(MATCH(TRIM(RIGHT(SUBSTITUTE(TRIM(I99&amp;"")," ",REPT(" ",60)),60)),코드표!$F$2:$F$101,0))),INDEX(코드표!$K$2:$K$101,MATCH(LEFT(TRIM(I99&amp;""),FIND(" ",TRIM(I99&amp;""))-1),코드표!$J$2:$J$101,0))&amp;" "&amp;INDEX(코드표!$G$2:$G$101,MATCH(TRIM(RIGHT(SUBSTITUTE(TRIM(I99&amp;"")," ",REPT(" ",60)),60)),코드표!$F$2:$F$101,0)),"⚠"&amp;TRIM(I99&amp;""))),"⚠"&amp;TRIM(I99&amp;""))</f>
        <v/>
      </c>
      <c r="R99" s="10">
        <f>IFERROR(IF(TRIM(J99&amp;"")="","",IF(AND(ISNUMBER(FIND(" ",TRIM(J99&amp;""))),ISNUMBER(MATCH(LEFT(TRIM(J99&amp;""),FIND(" ",TRIM(J99&amp;""))-1),코드표!$J$2:$J$101,0)),ISNUMBER(MATCH(TRIM(RIGHT(SUBSTITUTE(TRIM(J99&amp;"")," ",REPT(" ",60)),60)),코드표!$F$2:$F$101,0))),INDEX(코드표!$K$2:$K$101,MATCH(LEFT(TRIM(J99&amp;""),FIND(" ",TRIM(J99&amp;""))-1),코드표!$J$2:$J$101,0))&amp;" "&amp;INDEX(코드표!$G$2:$G$101,MATCH(TRIM(RIGHT(SUBSTITUTE(TRIM(J99&amp;"")," ",REPT(" ",60)),60)),코드표!$F$2:$F$101,0)),"⚠"&amp;TRIM(J99&amp;""))),"⚠"&amp;TRIM(J99&amp;""))</f>
        <v/>
      </c>
      <c r="S99" s="11">
        <f>IF(K99="","",IFERROR(IF(AND(ROUND((VALUE(K99&amp;"")-INT(VALUE(K99&amp;"")))*100,0)&gt;=1,ROUND((VALUE(K99&amp;"")-INT(VALUE(K99&amp;"")))*100,0)&lt;=12,INT(VALUE(K99&amp;""))&gt;=1900),DATE(INT(VALUE(K99&amp;"")),ROUND((VALUE(K99&amp;"")-INT(VALUE(K99&amp;"")))*100,0),1),K99&amp;""),K99&amp;""))</f>
        <v/>
      </c>
      <c r="T99" s="10">
        <f>COUNTIF(M99:R99,"⚠*")</f>
        <v/>
      </c>
    </row>
    <row r="100"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M100" s="10">
        <f>IFERROR(IF(TRIM(E100&amp;"")="","",IF(AND(ISNUMBER(FIND(" ",TRIM(E100&amp;""))),ISNUMBER(MATCH(LEFT(TRIM(E100&amp;""),FIND(" ",TRIM(E100&amp;""))-1),코드표!$J$2:$J$101,0)),ISNUMBER(MATCH(TRIM(RIGHT(SUBSTITUTE(TRIM(E100&amp;"")," ",REPT(" ",60)),60)),코드표!$F$2:$F$101,0))),INDEX(코드표!$K$2:$K$101,MATCH(LEFT(TRIM(E100&amp;""),FIND(" ",TRIM(E100&amp;""))-1),코드표!$J$2:$J$101,0))&amp;" "&amp;INDEX(코드표!$G$2:$G$101,MATCH(TRIM(RIGHT(SUBSTITUTE(TRIM(E100&amp;"")," ",REPT(" ",60)),60)),코드표!$F$2:$F$101,0)),"⚠"&amp;TRIM(E100&amp;""))),"⚠"&amp;TRIM(E100&amp;""))</f>
        <v/>
      </c>
      <c r="N100" s="10">
        <f>IFERROR(IF(TRIM(F100&amp;"")="","",IF(AND(ISNUMBER(FIND(" ",TRIM(F100&amp;""))),ISNUMBER(MATCH(LEFT(TRIM(F100&amp;""),FIND(" ",TRIM(F100&amp;""))-1),코드표!$J$2:$J$101,0)),ISNUMBER(MATCH(TRIM(RIGHT(SUBSTITUTE(TRIM(F100&amp;"")," ",REPT(" ",60)),60)),코드표!$F$2:$F$101,0))),INDEX(코드표!$K$2:$K$101,MATCH(LEFT(TRIM(F100&amp;""),FIND(" ",TRIM(F100&amp;""))-1),코드표!$J$2:$J$101,0))&amp;" "&amp;INDEX(코드표!$G$2:$G$101,MATCH(TRIM(RIGHT(SUBSTITUTE(TRIM(F100&amp;"")," ",REPT(" ",60)),60)),코드표!$F$2:$F$101,0)),"⚠"&amp;TRIM(F100&amp;""))),"⚠"&amp;TRIM(F100&amp;""))</f>
        <v/>
      </c>
      <c r="O100" s="10">
        <f>IFERROR(IF(TRIM(G100&amp;"")="","",IF(AND(ISNUMBER(FIND(" ",TRIM(G100&amp;""))),ISNUMBER(MATCH(LEFT(TRIM(G100&amp;""),FIND(" ",TRIM(G100&amp;""))-1),코드표!$J$2:$J$101,0)),ISNUMBER(MATCH(TRIM(RIGHT(SUBSTITUTE(TRIM(G100&amp;"")," ",REPT(" ",60)),60)),코드표!$F$2:$F$101,0))),INDEX(코드표!$K$2:$K$101,MATCH(LEFT(TRIM(G100&amp;""),FIND(" ",TRIM(G100&amp;""))-1),코드표!$J$2:$J$101,0))&amp;" "&amp;INDEX(코드표!$G$2:$G$101,MATCH(TRIM(RIGHT(SUBSTITUTE(TRIM(G100&amp;"")," ",REPT(" ",60)),60)),코드표!$F$2:$F$101,0)),"⚠"&amp;TRIM(G100&amp;""))),"⚠"&amp;TRIM(G100&amp;""))</f>
        <v/>
      </c>
      <c r="P100" s="10">
        <f>IFERROR(IF(TRIM(H100&amp;"")="","",IF(AND(ISNUMBER(FIND(" ",TRIM(H100&amp;""))),ISNUMBER(MATCH(LEFT(TRIM(H100&amp;""),FIND(" ",TRIM(H100&amp;""))-1),코드표!$J$2:$J$101,0)),ISNUMBER(MATCH(TRIM(RIGHT(SUBSTITUTE(TRIM(H100&amp;"")," ",REPT(" ",60)),60)),코드표!$F$2:$F$101,0))),INDEX(코드표!$K$2:$K$101,MATCH(LEFT(TRIM(H100&amp;""),FIND(" ",TRIM(H100&amp;""))-1),코드표!$J$2:$J$101,0))&amp;" "&amp;INDEX(코드표!$G$2:$G$101,MATCH(TRIM(RIGHT(SUBSTITUTE(TRIM(H100&amp;"")," ",REPT(" ",60)),60)),코드표!$F$2:$F$101,0)),"⚠"&amp;TRIM(H100&amp;""))),"⚠"&amp;TRIM(H100&amp;""))</f>
        <v/>
      </c>
      <c r="Q100" s="10">
        <f>IFERROR(IF(TRIM(I100&amp;"")="","",IF(AND(ISNUMBER(FIND(" ",TRIM(I100&amp;""))),ISNUMBER(MATCH(LEFT(TRIM(I100&amp;""),FIND(" ",TRIM(I100&amp;""))-1),코드표!$J$2:$J$101,0)),ISNUMBER(MATCH(TRIM(RIGHT(SUBSTITUTE(TRIM(I100&amp;"")," ",REPT(" ",60)),60)),코드표!$F$2:$F$101,0))),INDEX(코드표!$K$2:$K$101,MATCH(LEFT(TRIM(I100&amp;""),FIND(" ",TRIM(I100&amp;""))-1),코드표!$J$2:$J$101,0))&amp;" "&amp;INDEX(코드표!$G$2:$G$101,MATCH(TRIM(RIGHT(SUBSTITUTE(TRIM(I100&amp;"")," ",REPT(" ",60)),60)),코드표!$F$2:$F$101,0)),"⚠"&amp;TRIM(I100&amp;""))),"⚠"&amp;TRIM(I100&amp;""))</f>
        <v/>
      </c>
      <c r="R100" s="10">
        <f>IFERROR(IF(TRIM(J100&amp;"")="","",IF(AND(ISNUMBER(FIND(" ",TRIM(J100&amp;""))),ISNUMBER(MATCH(LEFT(TRIM(J100&amp;""),FIND(" ",TRIM(J100&amp;""))-1),코드표!$J$2:$J$101,0)),ISNUMBER(MATCH(TRIM(RIGHT(SUBSTITUTE(TRIM(J100&amp;"")," ",REPT(" ",60)),60)),코드표!$F$2:$F$101,0))),INDEX(코드표!$K$2:$K$101,MATCH(LEFT(TRIM(J100&amp;""),FIND(" ",TRIM(J100&amp;""))-1),코드표!$J$2:$J$101,0))&amp;" "&amp;INDEX(코드표!$G$2:$G$101,MATCH(TRIM(RIGHT(SUBSTITUTE(TRIM(J100&amp;"")," ",REPT(" ",60)),60)),코드표!$F$2:$F$101,0)),"⚠"&amp;TRIM(J100&amp;""))),"⚠"&amp;TRIM(J100&amp;""))</f>
        <v/>
      </c>
      <c r="S100" s="11">
        <f>IF(K100="","",IFERROR(IF(AND(ROUND((VALUE(K100&amp;"")-INT(VALUE(K100&amp;"")))*100,0)&gt;=1,ROUND((VALUE(K100&amp;"")-INT(VALUE(K100&amp;"")))*100,0)&lt;=12,INT(VALUE(K100&amp;""))&gt;=1900),DATE(INT(VALUE(K100&amp;"")),ROUND((VALUE(K100&amp;"")-INT(VALUE(K100&amp;"")))*100,0),1),K100&amp;""),K100&amp;""))</f>
        <v/>
      </c>
      <c r="T100" s="10">
        <f>COUNTIF(M100:R100,"⚠*")</f>
        <v/>
      </c>
    </row>
    <row r="101"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M101" s="10">
        <f>IFERROR(IF(TRIM(E101&amp;"")="","",IF(AND(ISNUMBER(FIND(" ",TRIM(E101&amp;""))),ISNUMBER(MATCH(LEFT(TRIM(E101&amp;""),FIND(" ",TRIM(E101&amp;""))-1),코드표!$J$2:$J$101,0)),ISNUMBER(MATCH(TRIM(RIGHT(SUBSTITUTE(TRIM(E101&amp;"")," ",REPT(" ",60)),60)),코드표!$F$2:$F$101,0))),INDEX(코드표!$K$2:$K$101,MATCH(LEFT(TRIM(E101&amp;""),FIND(" ",TRIM(E101&amp;""))-1),코드표!$J$2:$J$101,0))&amp;" "&amp;INDEX(코드표!$G$2:$G$101,MATCH(TRIM(RIGHT(SUBSTITUTE(TRIM(E101&amp;"")," ",REPT(" ",60)),60)),코드표!$F$2:$F$101,0)),"⚠"&amp;TRIM(E101&amp;""))),"⚠"&amp;TRIM(E101&amp;""))</f>
        <v/>
      </c>
      <c r="N101" s="10">
        <f>IFERROR(IF(TRIM(F101&amp;"")="","",IF(AND(ISNUMBER(FIND(" ",TRIM(F101&amp;""))),ISNUMBER(MATCH(LEFT(TRIM(F101&amp;""),FIND(" ",TRIM(F101&amp;""))-1),코드표!$J$2:$J$101,0)),ISNUMBER(MATCH(TRIM(RIGHT(SUBSTITUTE(TRIM(F101&amp;"")," ",REPT(" ",60)),60)),코드표!$F$2:$F$101,0))),INDEX(코드표!$K$2:$K$101,MATCH(LEFT(TRIM(F101&amp;""),FIND(" ",TRIM(F101&amp;""))-1),코드표!$J$2:$J$101,0))&amp;" "&amp;INDEX(코드표!$G$2:$G$101,MATCH(TRIM(RIGHT(SUBSTITUTE(TRIM(F101&amp;"")," ",REPT(" ",60)),60)),코드표!$F$2:$F$101,0)),"⚠"&amp;TRIM(F101&amp;""))),"⚠"&amp;TRIM(F101&amp;""))</f>
        <v/>
      </c>
      <c r="O101" s="10">
        <f>IFERROR(IF(TRIM(G101&amp;"")="","",IF(AND(ISNUMBER(FIND(" ",TRIM(G101&amp;""))),ISNUMBER(MATCH(LEFT(TRIM(G101&amp;""),FIND(" ",TRIM(G101&amp;""))-1),코드표!$J$2:$J$101,0)),ISNUMBER(MATCH(TRIM(RIGHT(SUBSTITUTE(TRIM(G101&amp;"")," ",REPT(" ",60)),60)),코드표!$F$2:$F$101,0))),INDEX(코드표!$K$2:$K$101,MATCH(LEFT(TRIM(G101&amp;""),FIND(" ",TRIM(G101&amp;""))-1),코드표!$J$2:$J$101,0))&amp;" "&amp;INDEX(코드표!$G$2:$G$101,MATCH(TRIM(RIGHT(SUBSTITUTE(TRIM(G101&amp;"")," ",REPT(" ",60)),60)),코드표!$F$2:$F$101,0)),"⚠"&amp;TRIM(G101&amp;""))),"⚠"&amp;TRIM(G101&amp;""))</f>
        <v/>
      </c>
      <c r="P101" s="10">
        <f>IFERROR(IF(TRIM(H101&amp;"")="","",IF(AND(ISNUMBER(FIND(" ",TRIM(H101&amp;""))),ISNUMBER(MATCH(LEFT(TRIM(H101&amp;""),FIND(" ",TRIM(H101&amp;""))-1),코드표!$J$2:$J$101,0)),ISNUMBER(MATCH(TRIM(RIGHT(SUBSTITUTE(TRIM(H101&amp;"")," ",REPT(" ",60)),60)),코드표!$F$2:$F$101,0))),INDEX(코드표!$K$2:$K$101,MATCH(LEFT(TRIM(H101&amp;""),FIND(" ",TRIM(H101&amp;""))-1),코드표!$J$2:$J$101,0))&amp;" "&amp;INDEX(코드표!$G$2:$G$101,MATCH(TRIM(RIGHT(SUBSTITUTE(TRIM(H101&amp;"")," ",REPT(" ",60)),60)),코드표!$F$2:$F$101,0)),"⚠"&amp;TRIM(H101&amp;""))),"⚠"&amp;TRIM(H101&amp;""))</f>
        <v/>
      </c>
      <c r="Q101" s="10">
        <f>IFERROR(IF(TRIM(I101&amp;"")="","",IF(AND(ISNUMBER(FIND(" ",TRIM(I101&amp;""))),ISNUMBER(MATCH(LEFT(TRIM(I101&amp;""),FIND(" ",TRIM(I101&amp;""))-1),코드표!$J$2:$J$101,0)),ISNUMBER(MATCH(TRIM(RIGHT(SUBSTITUTE(TRIM(I101&amp;"")," ",REPT(" ",60)),60)),코드표!$F$2:$F$101,0))),INDEX(코드표!$K$2:$K$101,MATCH(LEFT(TRIM(I101&amp;""),FIND(" ",TRIM(I101&amp;""))-1),코드표!$J$2:$J$101,0))&amp;" "&amp;INDEX(코드표!$G$2:$G$101,MATCH(TRIM(RIGHT(SUBSTITUTE(TRIM(I101&amp;"")," ",REPT(" ",60)),60)),코드표!$F$2:$F$101,0)),"⚠"&amp;TRIM(I101&amp;""))),"⚠"&amp;TRIM(I101&amp;""))</f>
        <v/>
      </c>
      <c r="R101" s="10">
        <f>IFERROR(IF(TRIM(J101&amp;"")="","",IF(AND(ISNUMBER(FIND(" ",TRIM(J101&amp;""))),ISNUMBER(MATCH(LEFT(TRIM(J101&amp;""),FIND(" ",TRIM(J101&amp;""))-1),코드표!$J$2:$J$101,0)),ISNUMBER(MATCH(TRIM(RIGHT(SUBSTITUTE(TRIM(J101&amp;"")," ",REPT(" ",60)),60)),코드표!$F$2:$F$101,0))),INDEX(코드표!$K$2:$K$101,MATCH(LEFT(TRIM(J101&amp;""),FIND(" ",TRIM(J101&amp;""))-1),코드표!$J$2:$J$101,0))&amp;" "&amp;INDEX(코드표!$G$2:$G$101,MATCH(TRIM(RIGHT(SUBSTITUTE(TRIM(J101&amp;"")," ",REPT(" ",60)),60)),코드표!$F$2:$F$101,0)),"⚠"&amp;TRIM(J101&amp;""))),"⚠"&amp;TRIM(J101&amp;""))</f>
        <v/>
      </c>
      <c r="S101" s="11">
        <f>IF(K101="","",IFERROR(IF(AND(ROUND((VALUE(K101&amp;"")-INT(VALUE(K101&amp;"")))*100,0)&gt;=1,ROUND((VALUE(K101&amp;"")-INT(VALUE(K101&amp;"")))*100,0)&lt;=12,INT(VALUE(K101&amp;""))&gt;=1900),DATE(INT(VALUE(K101&amp;"")),ROUND((VALUE(K101&amp;"")-INT(VALUE(K101&amp;"")))*100,0),1),K101&amp;""),K101&amp;""))</f>
        <v/>
      </c>
      <c r="T101" s="10">
        <f>COUNTIF(M101:R101,"⚠*")</f>
        <v/>
      </c>
    </row>
    <row r="102"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M102" s="10">
        <f>IFERROR(IF(TRIM(E102&amp;"")="","",IF(AND(ISNUMBER(FIND(" ",TRIM(E102&amp;""))),ISNUMBER(MATCH(LEFT(TRIM(E102&amp;""),FIND(" ",TRIM(E102&amp;""))-1),코드표!$J$2:$J$101,0)),ISNUMBER(MATCH(TRIM(RIGHT(SUBSTITUTE(TRIM(E102&amp;"")," ",REPT(" ",60)),60)),코드표!$F$2:$F$101,0))),INDEX(코드표!$K$2:$K$101,MATCH(LEFT(TRIM(E102&amp;""),FIND(" ",TRIM(E102&amp;""))-1),코드표!$J$2:$J$101,0))&amp;" "&amp;INDEX(코드표!$G$2:$G$101,MATCH(TRIM(RIGHT(SUBSTITUTE(TRIM(E102&amp;"")," ",REPT(" ",60)),60)),코드표!$F$2:$F$101,0)),"⚠"&amp;TRIM(E102&amp;""))),"⚠"&amp;TRIM(E102&amp;""))</f>
        <v/>
      </c>
      <c r="N102" s="10">
        <f>IFERROR(IF(TRIM(F102&amp;"")="","",IF(AND(ISNUMBER(FIND(" ",TRIM(F102&amp;""))),ISNUMBER(MATCH(LEFT(TRIM(F102&amp;""),FIND(" ",TRIM(F102&amp;""))-1),코드표!$J$2:$J$101,0)),ISNUMBER(MATCH(TRIM(RIGHT(SUBSTITUTE(TRIM(F102&amp;"")," ",REPT(" ",60)),60)),코드표!$F$2:$F$101,0))),INDEX(코드표!$K$2:$K$101,MATCH(LEFT(TRIM(F102&amp;""),FIND(" ",TRIM(F102&amp;""))-1),코드표!$J$2:$J$101,0))&amp;" "&amp;INDEX(코드표!$G$2:$G$101,MATCH(TRIM(RIGHT(SUBSTITUTE(TRIM(F102&amp;"")," ",REPT(" ",60)),60)),코드표!$F$2:$F$101,0)),"⚠"&amp;TRIM(F102&amp;""))),"⚠"&amp;TRIM(F102&amp;""))</f>
        <v/>
      </c>
      <c r="O102" s="10">
        <f>IFERROR(IF(TRIM(G102&amp;"")="","",IF(AND(ISNUMBER(FIND(" ",TRIM(G102&amp;""))),ISNUMBER(MATCH(LEFT(TRIM(G102&amp;""),FIND(" ",TRIM(G102&amp;""))-1),코드표!$J$2:$J$101,0)),ISNUMBER(MATCH(TRIM(RIGHT(SUBSTITUTE(TRIM(G102&amp;"")," ",REPT(" ",60)),60)),코드표!$F$2:$F$101,0))),INDEX(코드표!$K$2:$K$101,MATCH(LEFT(TRIM(G102&amp;""),FIND(" ",TRIM(G102&amp;""))-1),코드표!$J$2:$J$101,0))&amp;" "&amp;INDEX(코드표!$G$2:$G$101,MATCH(TRIM(RIGHT(SUBSTITUTE(TRIM(G102&amp;"")," ",REPT(" ",60)),60)),코드표!$F$2:$F$101,0)),"⚠"&amp;TRIM(G102&amp;""))),"⚠"&amp;TRIM(G102&amp;""))</f>
        <v/>
      </c>
      <c r="P102" s="10">
        <f>IFERROR(IF(TRIM(H102&amp;"")="","",IF(AND(ISNUMBER(FIND(" ",TRIM(H102&amp;""))),ISNUMBER(MATCH(LEFT(TRIM(H102&amp;""),FIND(" ",TRIM(H102&amp;""))-1),코드표!$J$2:$J$101,0)),ISNUMBER(MATCH(TRIM(RIGHT(SUBSTITUTE(TRIM(H102&amp;"")," ",REPT(" ",60)),60)),코드표!$F$2:$F$101,0))),INDEX(코드표!$K$2:$K$101,MATCH(LEFT(TRIM(H102&amp;""),FIND(" ",TRIM(H102&amp;""))-1),코드표!$J$2:$J$101,0))&amp;" "&amp;INDEX(코드표!$G$2:$G$101,MATCH(TRIM(RIGHT(SUBSTITUTE(TRIM(H102&amp;"")," ",REPT(" ",60)),60)),코드표!$F$2:$F$101,0)),"⚠"&amp;TRIM(H102&amp;""))),"⚠"&amp;TRIM(H102&amp;""))</f>
        <v/>
      </c>
      <c r="Q102" s="10">
        <f>IFERROR(IF(TRIM(I102&amp;"")="","",IF(AND(ISNUMBER(FIND(" ",TRIM(I102&amp;""))),ISNUMBER(MATCH(LEFT(TRIM(I102&amp;""),FIND(" ",TRIM(I102&amp;""))-1),코드표!$J$2:$J$101,0)),ISNUMBER(MATCH(TRIM(RIGHT(SUBSTITUTE(TRIM(I102&amp;"")," ",REPT(" ",60)),60)),코드표!$F$2:$F$101,0))),INDEX(코드표!$K$2:$K$101,MATCH(LEFT(TRIM(I102&amp;""),FIND(" ",TRIM(I102&amp;""))-1),코드표!$J$2:$J$101,0))&amp;" "&amp;INDEX(코드표!$G$2:$G$101,MATCH(TRIM(RIGHT(SUBSTITUTE(TRIM(I102&amp;"")," ",REPT(" ",60)),60)),코드표!$F$2:$F$101,0)),"⚠"&amp;TRIM(I102&amp;""))),"⚠"&amp;TRIM(I102&amp;""))</f>
        <v/>
      </c>
      <c r="R102" s="10">
        <f>IFERROR(IF(TRIM(J102&amp;"")="","",IF(AND(ISNUMBER(FIND(" ",TRIM(J102&amp;""))),ISNUMBER(MATCH(LEFT(TRIM(J102&amp;""),FIND(" ",TRIM(J102&amp;""))-1),코드표!$J$2:$J$101,0)),ISNUMBER(MATCH(TRIM(RIGHT(SUBSTITUTE(TRIM(J102&amp;"")," ",REPT(" ",60)),60)),코드표!$F$2:$F$101,0))),INDEX(코드표!$K$2:$K$101,MATCH(LEFT(TRIM(J102&amp;""),FIND(" ",TRIM(J102&amp;""))-1),코드표!$J$2:$J$101,0))&amp;" "&amp;INDEX(코드표!$G$2:$G$101,MATCH(TRIM(RIGHT(SUBSTITUTE(TRIM(J102&amp;"")," ",REPT(" ",60)),60)),코드표!$F$2:$F$101,0)),"⚠"&amp;TRIM(J102&amp;""))),"⚠"&amp;TRIM(J102&amp;""))</f>
        <v/>
      </c>
      <c r="S102" s="11">
        <f>IF(K102="","",IFERROR(IF(AND(ROUND((VALUE(K102&amp;"")-INT(VALUE(K102&amp;"")))*100,0)&gt;=1,ROUND((VALUE(K102&amp;"")-INT(VALUE(K102&amp;"")))*100,0)&lt;=12,INT(VALUE(K102&amp;""))&gt;=1900),DATE(INT(VALUE(K102&amp;"")),ROUND((VALUE(K102&amp;"")-INT(VALUE(K102&amp;"")))*100,0),1),K102&amp;""),K102&amp;""))</f>
        <v/>
      </c>
      <c r="T102" s="10">
        <f>COUNTIF(M102:R102,"⚠*")</f>
        <v/>
      </c>
    </row>
    <row r="103"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M103" s="10">
        <f>IFERROR(IF(TRIM(E103&amp;"")="","",IF(AND(ISNUMBER(FIND(" ",TRIM(E103&amp;""))),ISNUMBER(MATCH(LEFT(TRIM(E103&amp;""),FIND(" ",TRIM(E103&amp;""))-1),코드표!$J$2:$J$101,0)),ISNUMBER(MATCH(TRIM(RIGHT(SUBSTITUTE(TRIM(E103&amp;"")," ",REPT(" ",60)),60)),코드표!$F$2:$F$101,0))),INDEX(코드표!$K$2:$K$101,MATCH(LEFT(TRIM(E103&amp;""),FIND(" ",TRIM(E103&amp;""))-1),코드표!$J$2:$J$101,0))&amp;" "&amp;INDEX(코드표!$G$2:$G$101,MATCH(TRIM(RIGHT(SUBSTITUTE(TRIM(E103&amp;"")," ",REPT(" ",60)),60)),코드표!$F$2:$F$101,0)),"⚠"&amp;TRIM(E103&amp;""))),"⚠"&amp;TRIM(E103&amp;""))</f>
        <v/>
      </c>
      <c r="N103" s="10">
        <f>IFERROR(IF(TRIM(F103&amp;"")="","",IF(AND(ISNUMBER(FIND(" ",TRIM(F103&amp;""))),ISNUMBER(MATCH(LEFT(TRIM(F103&amp;""),FIND(" ",TRIM(F103&amp;""))-1),코드표!$J$2:$J$101,0)),ISNUMBER(MATCH(TRIM(RIGHT(SUBSTITUTE(TRIM(F103&amp;"")," ",REPT(" ",60)),60)),코드표!$F$2:$F$101,0))),INDEX(코드표!$K$2:$K$101,MATCH(LEFT(TRIM(F103&amp;""),FIND(" ",TRIM(F103&amp;""))-1),코드표!$J$2:$J$101,0))&amp;" "&amp;INDEX(코드표!$G$2:$G$101,MATCH(TRIM(RIGHT(SUBSTITUTE(TRIM(F103&amp;"")," ",REPT(" ",60)),60)),코드표!$F$2:$F$101,0)),"⚠"&amp;TRIM(F103&amp;""))),"⚠"&amp;TRIM(F103&amp;""))</f>
        <v/>
      </c>
      <c r="O103" s="10">
        <f>IFERROR(IF(TRIM(G103&amp;"")="","",IF(AND(ISNUMBER(FIND(" ",TRIM(G103&amp;""))),ISNUMBER(MATCH(LEFT(TRIM(G103&amp;""),FIND(" ",TRIM(G103&amp;""))-1),코드표!$J$2:$J$101,0)),ISNUMBER(MATCH(TRIM(RIGHT(SUBSTITUTE(TRIM(G103&amp;"")," ",REPT(" ",60)),60)),코드표!$F$2:$F$101,0))),INDEX(코드표!$K$2:$K$101,MATCH(LEFT(TRIM(G103&amp;""),FIND(" ",TRIM(G103&amp;""))-1),코드표!$J$2:$J$101,0))&amp;" "&amp;INDEX(코드표!$G$2:$G$101,MATCH(TRIM(RIGHT(SUBSTITUTE(TRIM(G103&amp;"")," ",REPT(" ",60)),60)),코드표!$F$2:$F$101,0)),"⚠"&amp;TRIM(G103&amp;""))),"⚠"&amp;TRIM(G103&amp;""))</f>
        <v/>
      </c>
      <c r="P103" s="10">
        <f>IFERROR(IF(TRIM(H103&amp;"")="","",IF(AND(ISNUMBER(FIND(" ",TRIM(H103&amp;""))),ISNUMBER(MATCH(LEFT(TRIM(H103&amp;""),FIND(" ",TRIM(H103&amp;""))-1),코드표!$J$2:$J$101,0)),ISNUMBER(MATCH(TRIM(RIGHT(SUBSTITUTE(TRIM(H103&amp;"")," ",REPT(" ",60)),60)),코드표!$F$2:$F$101,0))),INDEX(코드표!$K$2:$K$101,MATCH(LEFT(TRIM(H103&amp;""),FIND(" ",TRIM(H103&amp;""))-1),코드표!$J$2:$J$101,0))&amp;" "&amp;INDEX(코드표!$G$2:$G$101,MATCH(TRIM(RIGHT(SUBSTITUTE(TRIM(H103&amp;"")," ",REPT(" ",60)),60)),코드표!$F$2:$F$101,0)),"⚠"&amp;TRIM(H103&amp;""))),"⚠"&amp;TRIM(H103&amp;""))</f>
        <v/>
      </c>
      <c r="Q103" s="10">
        <f>IFERROR(IF(TRIM(I103&amp;"")="","",IF(AND(ISNUMBER(FIND(" ",TRIM(I103&amp;""))),ISNUMBER(MATCH(LEFT(TRIM(I103&amp;""),FIND(" ",TRIM(I103&amp;""))-1),코드표!$J$2:$J$101,0)),ISNUMBER(MATCH(TRIM(RIGHT(SUBSTITUTE(TRIM(I103&amp;"")," ",REPT(" ",60)),60)),코드표!$F$2:$F$101,0))),INDEX(코드표!$K$2:$K$101,MATCH(LEFT(TRIM(I103&amp;""),FIND(" ",TRIM(I103&amp;""))-1),코드표!$J$2:$J$101,0))&amp;" "&amp;INDEX(코드표!$G$2:$G$101,MATCH(TRIM(RIGHT(SUBSTITUTE(TRIM(I103&amp;"")," ",REPT(" ",60)),60)),코드표!$F$2:$F$101,0)),"⚠"&amp;TRIM(I103&amp;""))),"⚠"&amp;TRIM(I103&amp;""))</f>
        <v/>
      </c>
      <c r="R103" s="10">
        <f>IFERROR(IF(TRIM(J103&amp;"")="","",IF(AND(ISNUMBER(FIND(" ",TRIM(J103&amp;""))),ISNUMBER(MATCH(LEFT(TRIM(J103&amp;""),FIND(" ",TRIM(J103&amp;""))-1),코드표!$J$2:$J$101,0)),ISNUMBER(MATCH(TRIM(RIGHT(SUBSTITUTE(TRIM(J103&amp;"")," ",REPT(" ",60)),60)),코드표!$F$2:$F$101,0))),INDEX(코드표!$K$2:$K$101,MATCH(LEFT(TRIM(J103&amp;""),FIND(" ",TRIM(J103&amp;""))-1),코드표!$J$2:$J$101,0))&amp;" "&amp;INDEX(코드표!$G$2:$G$101,MATCH(TRIM(RIGHT(SUBSTITUTE(TRIM(J103&amp;"")," ",REPT(" ",60)),60)),코드표!$F$2:$F$101,0)),"⚠"&amp;TRIM(J103&amp;""))),"⚠"&amp;TRIM(J103&amp;""))</f>
        <v/>
      </c>
      <c r="S103" s="11">
        <f>IF(K103="","",IFERROR(IF(AND(ROUND((VALUE(K103&amp;"")-INT(VALUE(K103&amp;"")))*100,0)&gt;=1,ROUND((VALUE(K103&amp;"")-INT(VALUE(K103&amp;"")))*100,0)&lt;=12,INT(VALUE(K103&amp;""))&gt;=1900),DATE(INT(VALUE(K103&amp;"")),ROUND((VALUE(K103&amp;"")-INT(VALUE(K103&amp;"")))*100,0),1),K103&amp;""),K103&amp;""))</f>
        <v/>
      </c>
      <c r="T103" s="10">
        <f>COUNTIF(M103:R103,"⚠*")</f>
        <v/>
      </c>
    </row>
    <row r="104"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M104" s="10">
        <f>IFERROR(IF(TRIM(E104&amp;"")="","",IF(AND(ISNUMBER(FIND(" ",TRIM(E104&amp;""))),ISNUMBER(MATCH(LEFT(TRIM(E104&amp;""),FIND(" ",TRIM(E104&amp;""))-1),코드표!$J$2:$J$101,0)),ISNUMBER(MATCH(TRIM(RIGHT(SUBSTITUTE(TRIM(E104&amp;"")," ",REPT(" ",60)),60)),코드표!$F$2:$F$101,0))),INDEX(코드표!$K$2:$K$101,MATCH(LEFT(TRIM(E104&amp;""),FIND(" ",TRIM(E104&amp;""))-1),코드표!$J$2:$J$101,0))&amp;" "&amp;INDEX(코드표!$G$2:$G$101,MATCH(TRIM(RIGHT(SUBSTITUTE(TRIM(E104&amp;"")," ",REPT(" ",60)),60)),코드표!$F$2:$F$101,0)),"⚠"&amp;TRIM(E104&amp;""))),"⚠"&amp;TRIM(E104&amp;""))</f>
        <v/>
      </c>
      <c r="N104" s="10">
        <f>IFERROR(IF(TRIM(F104&amp;"")="","",IF(AND(ISNUMBER(FIND(" ",TRIM(F104&amp;""))),ISNUMBER(MATCH(LEFT(TRIM(F104&amp;""),FIND(" ",TRIM(F104&amp;""))-1),코드표!$J$2:$J$101,0)),ISNUMBER(MATCH(TRIM(RIGHT(SUBSTITUTE(TRIM(F104&amp;"")," ",REPT(" ",60)),60)),코드표!$F$2:$F$101,0))),INDEX(코드표!$K$2:$K$101,MATCH(LEFT(TRIM(F104&amp;""),FIND(" ",TRIM(F104&amp;""))-1),코드표!$J$2:$J$101,0))&amp;" "&amp;INDEX(코드표!$G$2:$G$101,MATCH(TRIM(RIGHT(SUBSTITUTE(TRIM(F104&amp;"")," ",REPT(" ",60)),60)),코드표!$F$2:$F$101,0)),"⚠"&amp;TRIM(F104&amp;""))),"⚠"&amp;TRIM(F104&amp;""))</f>
        <v/>
      </c>
      <c r="O104" s="10">
        <f>IFERROR(IF(TRIM(G104&amp;"")="","",IF(AND(ISNUMBER(FIND(" ",TRIM(G104&amp;""))),ISNUMBER(MATCH(LEFT(TRIM(G104&amp;""),FIND(" ",TRIM(G104&amp;""))-1),코드표!$J$2:$J$101,0)),ISNUMBER(MATCH(TRIM(RIGHT(SUBSTITUTE(TRIM(G104&amp;"")," ",REPT(" ",60)),60)),코드표!$F$2:$F$101,0))),INDEX(코드표!$K$2:$K$101,MATCH(LEFT(TRIM(G104&amp;""),FIND(" ",TRIM(G104&amp;""))-1),코드표!$J$2:$J$101,0))&amp;" "&amp;INDEX(코드표!$G$2:$G$101,MATCH(TRIM(RIGHT(SUBSTITUTE(TRIM(G104&amp;"")," ",REPT(" ",60)),60)),코드표!$F$2:$F$101,0)),"⚠"&amp;TRIM(G104&amp;""))),"⚠"&amp;TRIM(G104&amp;""))</f>
        <v/>
      </c>
      <c r="P104" s="10">
        <f>IFERROR(IF(TRIM(H104&amp;"")="","",IF(AND(ISNUMBER(FIND(" ",TRIM(H104&amp;""))),ISNUMBER(MATCH(LEFT(TRIM(H104&amp;""),FIND(" ",TRIM(H104&amp;""))-1),코드표!$J$2:$J$101,0)),ISNUMBER(MATCH(TRIM(RIGHT(SUBSTITUTE(TRIM(H104&amp;"")," ",REPT(" ",60)),60)),코드표!$F$2:$F$101,0))),INDEX(코드표!$K$2:$K$101,MATCH(LEFT(TRIM(H104&amp;""),FIND(" ",TRIM(H104&amp;""))-1),코드표!$J$2:$J$101,0))&amp;" "&amp;INDEX(코드표!$G$2:$G$101,MATCH(TRIM(RIGHT(SUBSTITUTE(TRIM(H104&amp;"")," ",REPT(" ",60)),60)),코드표!$F$2:$F$101,0)),"⚠"&amp;TRIM(H104&amp;""))),"⚠"&amp;TRIM(H104&amp;""))</f>
        <v/>
      </c>
      <c r="Q104" s="10">
        <f>IFERROR(IF(TRIM(I104&amp;"")="","",IF(AND(ISNUMBER(FIND(" ",TRIM(I104&amp;""))),ISNUMBER(MATCH(LEFT(TRIM(I104&amp;""),FIND(" ",TRIM(I104&amp;""))-1),코드표!$J$2:$J$101,0)),ISNUMBER(MATCH(TRIM(RIGHT(SUBSTITUTE(TRIM(I104&amp;"")," ",REPT(" ",60)),60)),코드표!$F$2:$F$101,0))),INDEX(코드표!$K$2:$K$101,MATCH(LEFT(TRIM(I104&amp;""),FIND(" ",TRIM(I104&amp;""))-1),코드표!$J$2:$J$101,0))&amp;" "&amp;INDEX(코드표!$G$2:$G$101,MATCH(TRIM(RIGHT(SUBSTITUTE(TRIM(I104&amp;"")," ",REPT(" ",60)),60)),코드표!$F$2:$F$101,0)),"⚠"&amp;TRIM(I104&amp;""))),"⚠"&amp;TRIM(I104&amp;""))</f>
        <v/>
      </c>
      <c r="R104" s="10">
        <f>IFERROR(IF(TRIM(J104&amp;"")="","",IF(AND(ISNUMBER(FIND(" ",TRIM(J104&amp;""))),ISNUMBER(MATCH(LEFT(TRIM(J104&amp;""),FIND(" ",TRIM(J104&amp;""))-1),코드표!$J$2:$J$101,0)),ISNUMBER(MATCH(TRIM(RIGHT(SUBSTITUTE(TRIM(J104&amp;"")," ",REPT(" ",60)),60)),코드표!$F$2:$F$101,0))),INDEX(코드표!$K$2:$K$101,MATCH(LEFT(TRIM(J104&amp;""),FIND(" ",TRIM(J104&amp;""))-1),코드표!$J$2:$J$101,0))&amp;" "&amp;INDEX(코드표!$G$2:$G$101,MATCH(TRIM(RIGHT(SUBSTITUTE(TRIM(J104&amp;"")," ",REPT(" ",60)),60)),코드표!$F$2:$F$101,0)),"⚠"&amp;TRIM(J104&amp;""))),"⚠"&amp;TRIM(J104&amp;""))</f>
        <v/>
      </c>
      <c r="S104" s="11">
        <f>IF(K104="","",IFERROR(IF(AND(ROUND((VALUE(K104&amp;"")-INT(VALUE(K104&amp;"")))*100,0)&gt;=1,ROUND((VALUE(K104&amp;"")-INT(VALUE(K104&amp;"")))*100,0)&lt;=12,INT(VALUE(K104&amp;""))&gt;=1900),DATE(INT(VALUE(K104&amp;"")),ROUND((VALUE(K104&amp;"")-INT(VALUE(K104&amp;"")))*100,0),1),K104&amp;""),K104&amp;""))</f>
        <v/>
      </c>
      <c r="T104" s="10">
        <f>COUNTIF(M104:R104,"⚠*")</f>
        <v/>
      </c>
    </row>
    <row r="105"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M105" s="10">
        <f>IFERROR(IF(TRIM(E105&amp;"")="","",IF(AND(ISNUMBER(FIND(" ",TRIM(E105&amp;""))),ISNUMBER(MATCH(LEFT(TRIM(E105&amp;""),FIND(" ",TRIM(E105&amp;""))-1),코드표!$J$2:$J$101,0)),ISNUMBER(MATCH(TRIM(RIGHT(SUBSTITUTE(TRIM(E105&amp;"")," ",REPT(" ",60)),60)),코드표!$F$2:$F$101,0))),INDEX(코드표!$K$2:$K$101,MATCH(LEFT(TRIM(E105&amp;""),FIND(" ",TRIM(E105&amp;""))-1),코드표!$J$2:$J$101,0))&amp;" "&amp;INDEX(코드표!$G$2:$G$101,MATCH(TRIM(RIGHT(SUBSTITUTE(TRIM(E105&amp;"")," ",REPT(" ",60)),60)),코드표!$F$2:$F$101,0)),"⚠"&amp;TRIM(E105&amp;""))),"⚠"&amp;TRIM(E105&amp;""))</f>
        <v/>
      </c>
      <c r="N105" s="10">
        <f>IFERROR(IF(TRIM(F105&amp;"")="","",IF(AND(ISNUMBER(FIND(" ",TRIM(F105&amp;""))),ISNUMBER(MATCH(LEFT(TRIM(F105&amp;""),FIND(" ",TRIM(F105&amp;""))-1),코드표!$J$2:$J$101,0)),ISNUMBER(MATCH(TRIM(RIGHT(SUBSTITUTE(TRIM(F105&amp;"")," ",REPT(" ",60)),60)),코드표!$F$2:$F$101,0))),INDEX(코드표!$K$2:$K$101,MATCH(LEFT(TRIM(F105&amp;""),FIND(" ",TRIM(F105&amp;""))-1),코드표!$J$2:$J$101,0))&amp;" "&amp;INDEX(코드표!$G$2:$G$101,MATCH(TRIM(RIGHT(SUBSTITUTE(TRIM(F105&amp;"")," ",REPT(" ",60)),60)),코드표!$F$2:$F$101,0)),"⚠"&amp;TRIM(F105&amp;""))),"⚠"&amp;TRIM(F105&amp;""))</f>
        <v/>
      </c>
      <c r="O105" s="10">
        <f>IFERROR(IF(TRIM(G105&amp;"")="","",IF(AND(ISNUMBER(FIND(" ",TRIM(G105&amp;""))),ISNUMBER(MATCH(LEFT(TRIM(G105&amp;""),FIND(" ",TRIM(G105&amp;""))-1),코드표!$J$2:$J$101,0)),ISNUMBER(MATCH(TRIM(RIGHT(SUBSTITUTE(TRIM(G105&amp;"")," ",REPT(" ",60)),60)),코드표!$F$2:$F$101,0))),INDEX(코드표!$K$2:$K$101,MATCH(LEFT(TRIM(G105&amp;""),FIND(" ",TRIM(G105&amp;""))-1),코드표!$J$2:$J$101,0))&amp;" "&amp;INDEX(코드표!$G$2:$G$101,MATCH(TRIM(RIGHT(SUBSTITUTE(TRIM(G105&amp;"")," ",REPT(" ",60)),60)),코드표!$F$2:$F$101,0)),"⚠"&amp;TRIM(G105&amp;""))),"⚠"&amp;TRIM(G105&amp;""))</f>
        <v/>
      </c>
      <c r="P105" s="10">
        <f>IFERROR(IF(TRIM(H105&amp;"")="","",IF(AND(ISNUMBER(FIND(" ",TRIM(H105&amp;""))),ISNUMBER(MATCH(LEFT(TRIM(H105&amp;""),FIND(" ",TRIM(H105&amp;""))-1),코드표!$J$2:$J$101,0)),ISNUMBER(MATCH(TRIM(RIGHT(SUBSTITUTE(TRIM(H105&amp;"")," ",REPT(" ",60)),60)),코드표!$F$2:$F$101,0))),INDEX(코드표!$K$2:$K$101,MATCH(LEFT(TRIM(H105&amp;""),FIND(" ",TRIM(H105&amp;""))-1),코드표!$J$2:$J$101,0))&amp;" "&amp;INDEX(코드표!$G$2:$G$101,MATCH(TRIM(RIGHT(SUBSTITUTE(TRIM(H105&amp;"")," ",REPT(" ",60)),60)),코드표!$F$2:$F$101,0)),"⚠"&amp;TRIM(H105&amp;""))),"⚠"&amp;TRIM(H105&amp;""))</f>
        <v/>
      </c>
      <c r="Q105" s="10">
        <f>IFERROR(IF(TRIM(I105&amp;"")="","",IF(AND(ISNUMBER(FIND(" ",TRIM(I105&amp;""))),ISNUMBER(MATCH(LEFT(TRIM(I105&amp;""),FIND(" ",TRIM(I105&amp;""))-1),코드표!$J$2:$J$101,0)),ISNUMBER(MATCH(TRIM(RIGHT(SUBSTITUTE(TRIM(I105&amp;"")," ",REPT(" ",60)),60)),코드표!$F$2:$F$101,0))),INDEX(코드표!$K$2:$K$101,MATCH(LEFT(TRIM(I105&amp;""),FIND(" ",TRIM(I105&amp;""))-1),코드표!$J$2:$J$101,0))&amp;" "&amp;INDEX(코드표!$G$2:$G$101,MATCH(TRIM(RIGHT(SUBSTITUTE(TRIM(I105&amp;"")," ",REPT(" ",60)),60)),코드표!$F$2:$F$101,0)),"⚠"&amp;TRIM(I105&amp;""))),"⚠"&amp;TRIM(I105&amp;""))</f>
        <v/>
      </c>
      <c r="R105" s="10">
        <f>IFERROR(IF(TRIM(J105&amp;"")="","",IF(AND(ISNUMBER(FIND(" ",TRIM(J105&amp;""))),ISNUMBER(MATCH(LEFT(TRIM(J105&amp;""),FIND(" ",TRIM(J105&amp;""))-1),코드표!$J$2:$J$101,0)),ISNUMBER(MATCH(TRIM(RIGHT(SUBSTITUTE(TRIM(J105&amp;"")," ",REPT(" ",60)),60)),코드표!$F$2:$F$101,0))),INDEX(코드표!$K$2:$K$101,MATCH(LEFT(TRIM(J105&amp;""),FIND(" ",TRIM(J105&amp;""))-1),코드표!$J$2:$J$101,0))&amp;" "&amp;INDEX(코드표!$G$2:$G$101,MATCH(TRIM(RIGHT(SUBSTITUTE(TRIM(J105&amp;"")," ",REPT(" ",60)),60)),코드표!$F$2:$F$101,0)),"⚠"&amp;TRIM(J105&amp;""))),"⚠"&amp;TRIM(J105&amp;""))</f>
        <v/>
      </c>
      <c r="S105" s="11">
        <f>IF(K105="","",IFERROR(IF(AND(ROUND((VALUE(K105&amp;"")-INT(VALUE(K105&amp;"")))*100,0)&gt;=1,ROUND((VALUE(K105&amp;"")-INT(VALUE(K105&amp;"")))*100,0)&lt;=12,INT(VALUE(K105&amp;""))&gt;=1900),DATE(INT(VALUE(K105&amp;"")),ROUND((VALUE(K105&amp;"")-INT(VALUE(K105&amp;"")))*100,0),1),K105&amp;""),K105&amp;""))</f>
        <v/>
      </c>
      <c r="T105" s="10">
        <f>COUNTIF(M105:R105,"⚠*")</f>
        <v/>
      </c>
    </row>
    <row r="106"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M106" s="10">
        <f>IFERROR(IF(TRIM(E106&amp;"")="","",IF(AND(ISNUMBER(FIND(" ",TRIM(E106&amp;""))),ISNUMBER(MATCH(LEFT(TRIM(E106&amp;""),FIND(" ",TRIM(E106&amp;""))-1),코드표!$J$2:$J$101,0)),ISNUMBER(MATCH(TRIM(RIGHT(SUBSTITUTE(TRIM(E106&amp;"")," ",REPT(" ",60)),60)),코드표!$F$2:$F$101,0))),INDEX(코드표!$K$2:$K$101,MATCH(LEFT(TRIM(E106&amp;""),FIND(" ",TRIM(E106&amp;""))-1),코드표!$J$2:$J$101,0))&amp;" "&amp;INDEX(코드표!$G$2:$G$101,MATCH(TRIM(RIGHT(SUBSTITUTE(TRIM(E106&amp;"")," ",REPT(" ",60)),60)),코드표!$F$2:$F$101,0)),"⚠"&amp;TRIM(E106&amp;""))),"⚠"&amp;TRIM(E106&amp;""))</f>
        <v/>
      </c>
      <c r="N106" s="10">
        <f>IFERROR(IF(TRIM(F106&amp;"")="","",IF(AND(ISNUMBER(FIND(" ",TRIM(F106&amp;""))),ISNUMBER(MATCH(LEFT(TRIM(F106&amp;""),FIND(" ",TRIM(F106&amp;""))-1),코드표!$J$2:$J$101,0)),ISNUMBER(MATCH(TRIM(RIGHT(SUBSTITUTE(TRIM(F106&amp;"")," ",REPT(" ",60)),60)),코드표!$F$2:$F$101,0))),INDEX(코드표!$K$2:$K$101,MATCH(LEFT(TRIM(F106&amp;""),FIND(" ",TRIM(F106&amp;""))-1),코드표!$J$2:$J$101,0))&amp;" "&amp;INDEX(코드표!$G$2:$G$101,MATCH(TRIM(RIGHT(SUBSTITUTE(TRIM(F106&amp;"")," ",REPT(" ",60)),60)),코드표!$F$2:$F$101,0)),"⚠"&amp;TRIM(F106&amp;""))),"⚠"&amp;TRIM(F106&amp;""))</f>
        <v/>
      </c>
      <c r="O106" s="10">
        <f>IFERROR(IF(TRIM(G106&amp;"")="","",IF(AND(ISNUMBER(FIND(" ",TRIM(G106&amp;""))),ISNUMBER(MATCH(LEFT(TRIM(G106&amp;""),FIND(" ",TRIM(G106&amp;""))-1),코드표!$J$2:$J$101,0)),ISNUMBER(MATCH(TRIM(RIGHT(SUBSTITUTE(TRIM(G106&amp;"")," ",REPT(" ",60)),60)),코드표!$F$2:$F$101,0))),INDEX(코드표!$K$2:$K$101,MATCH(LEFT(TRIM(G106&amp;""),FIND(" ",TRIM(G106&amp;""))-1),코드표!$J$2:$J$101,0))&amp;" "&amp;INDEX(코드표!$G$2:$G$101,MATCH(TRIM(RIGHT(SUBSTITUTE(TRIM(G106&amp;"")," ",REPT(" ",60)),60)),코드표!$F$2:$F$101,0)),"⚠"&amp;TRIM(G106&amp;""))),"⚠"&amp;TRIM(G106&amp;""))</f>
        <v/>
      </c>
      <c r="P106" s="10">
        <f>IFERROR(IF(TRIM(H106&amp;"")="","",IF(AND(ISNUMBER(FIND(" ",TRIM(H106&amp;""))),ISNUMBER(MATCH(LEFT(TRIM(H106&amp;""),FIND(" ",TRIM(H106&amp;""))-1),코드표!$J$2:$J$101,0)),ISNUMBER(MATCH(TRIM(RIGHT(SUBSTITUTE(TRIM(H106&amp;"")," ",REPT(" ",60)),60)),코드표!$F$2:$F$101,0))),INDEX(코드표!$K$2:$K$101,MATCH(LEFT(TRIM(H106&amp;""),FIND(" ",TRIM(H106&amp;""))-1),코드표!$J$2:$J$101,0))&amp;" "&amp;INDEX(코드표!$G$2:$G$101,MATCH(TRIM(RIGHT(SUBSTITUTE(TRIM(H106&amp;"")," ",REPT(" ",60)),60)),코드표!$F$2:$F$101,0)),"⚠"&amp;TRIM(H106&amp;""))),"⚠"&amp;TRIM(H106&amp;""))</f>
        <v/>
      </c>
      <c r="Q106" s="10">
        <f>IFERROR(IF(TRIM(I106&amp;"")="","",IF(AND(ISNUMBER(FIND(" ",TRIM(I106&amp;""))),ISNUMBER(MATCH(LEFT(TRIM(I106&amp;""),FIND(" ",TRIM(I106&amp;""))-1),코드표!$J$2:$J$101,0)),ISNUMBER(MATCH(TRIM(RIGHT(SUBSTITUTE(TRIM(I106&amp;"")," ",REPT(" ",60)),60)),코드표!$F$2:$F$101,0))),INDEX(코드표!$K$2:$K$101,MATCH(LEFT(TRIM(I106&amp;""),FIND(" ",TRIM(I106&amp;""))-1),코드표!$J$2:$J$101,0))&amp;" "&amp;INDEX(코드표!$G$2:$G$101,MATCH(TRIM(RIGHT(SUBSTITUTE(TRIM(I106&amp;"")," ",REPT(" ",60)),60)),코드표!$F$2:$F$101,0)),"⚠"&amp;TRIM(I106&amp;""))),"⚠"&amp;TRIM(I106&amp;""))</f>
        <v/>
      </c>
      <c r="R106" s="10">
        <f>IFERROR(IF(TRIM(J106&amp;"")="","",IF(AND(ISNUMBER(FIND(" ",TRIM(J106&amp;""))),ISNUMBER(MATCH(LEFT(TRIM(J106&amp;""),FIND(" ",TRIM(J106&amp;""))-1),코드표!$J$2:$J$101,0)),ISNUMBER(MATCH(TRIM(RIGHT(SUBSTITUTE(TRIM(J106&amp;"")," ",REPT(" ",60)),60)),코드표!$F$2:$F$101,0))),INDEX(코드표!$K$2:$K$101,MATCH(LEFT(TRIM(J106&amp;""),FIND(" ",TRIM(J106&amp;""))-1),코드표!$J$2:$J$101,0))&amp;" "&amp;INDEX(코드표!$G$2:$G$101,MATCH(TRIM(RIGHT(SUBSTITUTE(TRIM(J106&amp;"")," ",REPT(" ",60)),60)),코드표!$F$2:$F$101,0)),"⚠"&amp;TRIM(J106&amp;""))),"⚠"&amp;TRIM(J106&amp;""))</f>
        <v/>
      </c>
      <c r="S106" s="11">
        <f>IF(K106="","",IFERROR(IF(AND(ROUND((VALUE(K106&amp;"")-INT(VALUE(K106&amp;"")))*100,0)&gt;=1,ROUND((VALUE(K106&amp;"")-INT(VALUE(K106&amp;"")))*100,0)&lt;=12,INT(VALUE(K106&amp;""))&gt;=1900),DATE(INT(VALUE(K106&amp;"")),ROUND((VALUE(K106&amp;"")-INT(VALUE(K106&amp;"")))*100,0),1),K106&amp;""),K106&amp;""))</f>
        <v/>
      </c>
      <c r="T106" s="10">
        <f>COUNTIF(M106:R106,"⚠*")</f>
        <v/>
      </c>
    </row>
    <row r="107"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M107" s="10">
        <f>IFERROR(IF(TRIM(E107&amp;"")="","",IF(AND(ISNUMBER(FIND(" ",TRIM(E107&amp;""))),ISNUMBER(MATCH(LEFT(TRIM(E107&amp;""),FIND(" ",TRIM(E107&amp;""))-1),코드표!$J$2:$J$101,0)),ISNUMBER(MATCH(TRIM(RIGHT(SUBSTITUTE(TRIM(E107&amp;"")," ",REPT(" ",60)),60)),코드표!$F$2:$F$101,0))),INDEX(코드표!$K$2:$K$101,MATCH(LEFT(TRIM(E107&amp;""),FIND(" ",TRIM(E107&amp;""))-1),코드표!$J$2:$J$101,0))&amp;" "&amp;INDEX(코드표!$G$2:$G$101,MATCH(TRIM(RIGHT(SUBSTITUTE(TRIM(E107&amp;"")," ",REPT(" ",60)),60)),코드표!$F$2:$F$101,0)),"⚠"&amp;TRIM(E107&amp;""))),"⚠"&amp;TRIM(E107&amp;""))</f>
        <v/>
      </c>
      <c r="N107" s="10">
        <f>IFERROR(IF(TRIM(F107&amp;"")="","",IF(AND(ISNUMBER(FIND(" ",TRIM(F107&amp;""))),ISNUMBER(MATCH(LEFT(TRIM(F107&amp;""),FIND(" ",TRIM(F107&amp;""))-1),코드표!$J$2:$J$101,0)),ISNUMBER(MATCH(TRIM(RIGHT(SUBSTITUTE(TRIM(F107&amp;"")," ",REPT(" ",60)),60)),코드표!$F$2:$F$101,0))),INDEX(코드표!$K$2:$K$101,MATCH(LEFT(TRIM(F107&amp;""),FIND(" ",TRIM(F107&amp;""))-1),코드표!$J$2:$J$101,0))&amp;" "&amp;INDEX(코드표!$G$2:$G$101,MATCH(TRIM(RIGHT(SUBSTITUTE(TRIM(F107&amp;"")," ",REPT(" ",60)),60)),코드표!$F$2:$F$101,0)),"⚠"&amp;TRIM(F107&amp;""))),"⚠"&amp;TRIM(F107&amp;""))</f>
        <v/>
      </c>
      <c r="O107" s="10">
        <f>IFERROR(IF(TRIM(G107&amp;"")="","",IF(AND(ISNUMBER(FIND(" ",TRIM(G107&amp;""))),ISNUMBER(MATCH(LEFT(TRIM(G107&amp;""),FIND(" ",TRIM(G107&amp;""))-1),코드표!$J$2:$J$101,0)),ISNUMBER(MATCH(TRIM(RIGHT(SUBSTITUTE(TRIM(G107&amp;"")," ",REPT(" ",60)),60)),코드표!$F$2:$F$101,0))),INDEX(코드표!$K$2:$K$101,MATCH(LEFT(TRIM(G107&amp;""),FIND(" ",TRIM(G107&amp;""))-1),코드표!$J$2:$J$101,0))&amp;" "&amp;INDEX(코드표!$G$2:$G$101,MATCH(TRIM(RIGHT(SUBSTITUTE(TRIM(G107&amp;"")," ",REPT(" ",60)),60)),코드표!$F$2:$F$101,0)),"⚠"&amp;TRIM(G107&amp;""))),"⚠"&amp;TRIM(G107&amp;""))</f>
        <v/>
      </c>
      <c r="P107" s="10">
        <f>IFERROR(IF(TRIM(H107&amp;"")="","",IF(AND(ISNUMBER(FIND(" ",TRIM(H107&amp;""))),ISNUMBER(MATCH(LEFT(TRIM(H107&amp;""),FIND(" ",TRIM(H107&amp;""))-1),코드표!$J$2:$J$101,0)),ISNUMBER(MATCH(TRIM(RIGHT(SUBSTITUTE(TRIM(H107&amp;"")," ",REPT(" ",60)),60)),코드표!$F$2:$F$101,0))),INDEX(코드표!$K$2:$K$101,MATCH(LEFT(TRIM(H107&amp;""),FIND(" ",TRIM(H107&amp;""))-1),코드표!$J$2:$J$101,0))&amp;" "&amp;INDEX(코드표!$G$2:$G$101,MATCH(TRIM(RIGHT(SUBSTITUTE(TRIM(H107&amp;"")," ",REPT(" ",60)),60)),코드표!$F$2:$F$101,0)),"⚠"&amp;TRIM(H107&amp;""))),"⚠"&amp;TRIM(H107&amp;""))</f>
        <v/>
      </c>
      <c r="Q107" s="10">
        <f>IFERROR(IF(TRIM(I107&amp;"")="","",IF(AND(ISNUMBER(FIND(" ",TRIM(I107&amp;""))),ISNUMBER(MATCH(LEFT(TRIM(I107&amp;""),FIND(" ",TRIM(I107&amp;""))-1),코드표!$J$2:$J$101,0)),ISNUMBER(MATCH(TRIM(RIGHT(SUBSTITUTE(TRIM(I107&amp;"")," ",REPT(" ",60)),60)),코드표!$F$2:$F$101,0))),INDEX(코드표!$K$2:$K$101,MATCH(LEFT(TRIM(I107&amp;""),FIND(" ",TRIM(I107&amp;""))-1),코드표!$J$2:$J$101,0))&amp;" "&amp;INDEX(코드표!$G$2:$G$101,MATCH(TRIM(RIGHT(SUBSTITUTE(TRIM(I107&amp;"")," ",REPT(" ",60)),60)),코드표!$F$2:$F$101,0)),"⚠"&amp;TRIM(I107&amp;""))),"⚠"&amp;TRIM(I107&amp;""))</f>
        <v/>
      </c>
      <c r="R107" s="10">
        <f>IFERROR(IF(TRIM(J107&amp;"")="","",IF(AND(ISNUMBER(FIND(" ",TRIM(J107&amp;""))),ISNUMBER(MATCH(LEFT(TRIM(J107&amp;""),FIND(" ",TRIM(J107&amp;""))-1),코드표!$J$2:$J$101,0)),ISNUMBER(MATCH(TRIM(RIGHT(SUBSTITUTE(TRIM(J107&amp;"")," ",REPT(" ",60)),60)),코드표!$F$2:$F$101,0))),INDEX(코드표!$K$2:$K$101,MATCH(LEFT(TRIM(J107&amp;""),FIND(" ",TRIM(J107&amp;""))-1),코드표!$J$2:$J$101,0))&amp;" "&amp;INDEX(코드표!$G$2:$G$101,MATCH(TRIM(RIGHT(SUBSTITUTE(TRIM(J107&amp;"")," ",REPT(" ",60)),60)),코드표!$F$2:$F$101,0)),"⚠"&amp;TRIM(J107&amp;""))),"⚠"&amp;TRIM(J107&amp;""))</f>
        <v/>
      </c>
      <c r="S107" s="11">
        <f>IF(K107="","",IFERROR(IF(AND(ROUND((VALUE(K107&amp;"")-INT(VALUE(K107&amp;"")))*100,0)&gt;=1,ROUND((VALUE(K107&amp;"")-INT(VALUE(K107&amp;"")))*100,0)&lt;=12,INT(VALUE(K107&amp;""))&gt;=1900),DATE(INT(VALUE(K107&amp;"")),ROUND((VALUE(K107&amp;"")-INT(VALUE(K107&amp;"")))*100,0),1),K107&amp;""),K107&amp;""))</f>
        <v/>
      </c>
      <c r="T107" s="10">
        <f>COUNTIF(M107:R107,"⚠*")</f>
        <v/>
      </c>
    </row>
    <row r="108"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M108" s="10">
        <f>IFERROR(IF(TRIM(E108&amp;"")="","",IF(AND(ISNUMBER(FIND(" ",TRIM(E108&amp;""))),ISNUMBER(MATCH(LEFT(TRIM(E108&amp;""),FIND(" ",TRIM(E108&amp;""))-1),코드표!$J$2:$J$101,0)),ISNUMBER(MATCH(TRIM(RIGHT(SUBSTITUTE(TRIM(E108&amp;"")," ",REPT(" ",60)),60)),코드표!$F$2:$F$101,0))),INDEX(코드표!$K$2:$K$101,MATCH(LEFT(TRIM(E108&amp;""),FIND(" ",TRIM(E108&amp;""))-1),코드표!$J$2:$J$101,0))&amp;" "&amp;INDEX(코드표!$G$2:$G$101,MATCH(TRIM(RIGHT(SUBSTITUTE(TRIM(E108&amp;"")," ",REPT(" ",60)),60)),코드표!$F$2:$F$101,0)),"⚠"&amp;TRIM(E108&amp;""))),"⚠"&amp;TRIM(E108&amp;""))</f>
        <v/>
      </c>
      <c r="N108" s="10">
        <f>IFERROR(IF(TRIM(F108&amp;"")="","",IF(AND(ISNUMBER(FIND(" ",TRIM(F108&amp;""))),ISNUMBER(MATCH(LEFT(TRIM(F108&amp;""),FIND(" ",TRIM(F108&amp;""))-1),코드표!$J$2:$J$101,0)),ISNUMBER(MATCH(TRIM(RIGHT(SUBSTITUTE(TRIM(F108&amp;"")," ",REPT(" ",60)),60)),코드표!$F$2:$F$101,0))),INDEX(코드표!$K$2:$K$101,MATCH(LEFT(TRIM(F108&amp;""),FIND(" ",TRIM(F108&amp;""))-1),코드표!$J$2:$J$101,0))&amp;" "&amp;INDEX(코드표!$G$2:$G$101,MATCH(TRIM(RIGHT(SUBSTITUTE(TRIM(F108&amp;"")," ",REPT(" ",60)),60)),코드표!$F$2:$F$101,0)),"⚠"&amp;TRIM(F108&amp;""))),"⚠"&amp;TRIM(F108&amp;""))</f>
        <v/>
      </c>
      <c r="O108" s="10">
        <f>IFERROR(IF(TRIM(G108&amp;"")="","",IF(AND(ISNUMBER(FIND(" ",TRIM(G108&amp;""))),ISNUMBER(MATCH(LEFT(TRIM(G108&amp;""),FIND(" ",TRIM(G108&amp;""))-1),코드표!$J$2:$J$101,0)),ISNUMBER(MATCH(TRIM(RIGHT(SUBSTITUTE(TRIM(G108&amp;"")," ",REPT(" ",60)),60)),코드표!$F$2:$F$101,0))),INDEX(코드표!$K$2:$K$101,MATCH(LEFT(TRIM(G108&amp;""),FIND(" ",TRIM(G108&amp;""))-1),코드표!$J$2:$J$101,0))&amp;" "&amp;INDEX(코드표!$G$2:$G$101,MATCH(TRIM(RIGHT(SUBSTITUTE(TRIM(G108&amp;"")," ",REPT(" ",60)),60)),코드표!$F$2:$F$101,0)),"⚠"&amp;TRIM(G108&amp;""))),"⚠"&amp;TRIM(G108&amp;""))</f>
        <v/>
      </c>
      <c r="P108" s="10">
        <f>IFERROR(IF(TRIM(H108&amp;"")="","",IF(AND(ISNUMBER(FIND(" ",TRIM(H108&amp;""))),ISNUMBER(MATCH(LEFT(TRIM(H108&amp;""),FIND(" ",TRIM(H108&amp;""))-1),코드표!$J$2:$J$101,0)),ISNUMBER(MATCH(TRIM(RIGHT(SUBSTITUTE(TRIM(H108&amp;"")," ",REPT(" ",60)),60)),코드표!$F$2:$F$101,0))),INDEX(코드표!$K$2:$K$101,MATCH(LEFT(TRIM(H108&amp;""),FIND(" ",TRIM(H108&amp;""))-1),코드표!$J$2:$J$101,0))&amp;" "&amp;INDEX(코드표!$G$2:$G$101,MATCH(TRIM(RIGHT(SUBSTITUTE(TRIM(H108&amp;"")," ",REPT(" ",60)),60)),코드표!$F$2:$F$101,0)),"⚠"&amp;TRIM(H108&amp;""))),"⚠"&amp;TRIM(H108&amp;""))</f>
        <v/>
      </c>
      <c r="Q108" s="10">
        <f>IFERROR(IF(TRIM(I108&amp;"")="","",IF(AND(ISNUMBER(FIND(" ",TRIM(I108&amp;""))),ISNUMBER(MATCH(LEFT(TRIM(I108&amp;""),FIND(" ",TRIM(I108&amp;""))-1),코드표!$J$2:$J$101,0)),ISNUMBER(MATCH(TRIM(RIGHT(SUBSTITUTE(TRIM(I108&amp;"")," ",REPT(" ",60)),60)),코드표!$F$2:$F$101,0))),INDEX(코드표!$K$2:$K$101,MATCH(LEFT(TRIM(I108&amp;""),FIND(" ",TRIM(I108&amp;""))-1),코드표!$J$2:$J$101,0))&amp;" "&amp;INDEX(코드표!$G$2:$G$101,MATCH(TRIM(RIGHT(SUBSTITUTE(TRIM(I108&amp;"")," ",REPT(" ",60)),60)),코드표!$F$2:$F$101,0)),"⚠"&amp;TRIM(I108&amp;""))),"⚠"&amp;TRIM(I108&amp;""))</f>
        <v/>
      </c>
      <c r="R108" s="10">
        <f>IFERROR(IF(TRIM(J108&amp;"")="","",IF(AND(ISNUMBER(FIND(" ",TRIM(J108&amp;""))),ISNUMBER(MATCH(LEFT(TRIM(J108&amp;""),FIND(" ",TRIM(J108&amp;""))-1),코드표!$J$2:$J$101,0)),ISNUMBER(MATCH(TRIM(RIGHT(SUBSTITUTE(TRIM(J108&amp;"")," ",REPT(" ",60)),60)),코드표!$F$2:$F$101,0))),INDEX(코드표!$K$2:$K$101,MATCH(LEFT(TRIM(J108&amp;""),FIND(" ",TRIM(J108&amp;""))-1),코드표!$J$2:$J$101,0))&amp;" "&amp;INDEX(코드표!$G$2:$G$101,MATCH(TRIM(RIGHT(SUBSTITUTE(TRIM(J108&amp;"")," ",REPT(" ",60)),60)),코드표!$F$2:$F$101,0)),"⚠"&amp;TRIM(J108&amp;""))),"⚠"&amp;TRIM(J108&amp;""))</f>
        <v/>
      </c>
      <c r="S108" s="11">
        <f>IF(K108="","",IFERROR(IF(AND(ROUND((VALUE(K108&amp;"")-INT(VALUE(K108&amp;"")))*100,0)&gt;=1,ROUND((VALUE(K108&amp;"")-INT(VALUE(K108&amp;"")))*100,0)&lt;=12,INT(VALUE(K108&amp;""))&gt;=1900),DATE(INT(VALUE(K108&amp;"")),ROUND((VALUE(K108&amp;"")-INT(VALUE(K108&amp;"")))*100,0),1),K108&amp;""),K108&amp;""))</f>
        <v/>
      </c>
      <c r="T108" s="10">
        <f>COUNTIF(M108:R108,"⚠*")</f>
        <v/>
      </c>
    </row>
    <row r="109"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M109" s="10">
        <f>IFERROR(IF(TRIM(E109&amp;"")="","",IF(AND(ISNUMBER(FIND(" ",TRIM(E109&amp;""))),ISNUMBER(MATCH(LEFT(TRIM(E109&amp;""),FIND(" ",TRIM(E109&amp;""))-1),코드표!$J$2:$J$101,0)),ISNUMBER(MATCH(TRIM(RIGHT(SUBSTITUTE(TRIM(E109&amp;"")," ",REPT(" ",60)),60)),코드표!$F$2:$F$101,0))),INDEX(코드표!$K$2:$K$101,MATCH(LEFT(TRIM(E109&amp;""),FIND(" ",TRIM(E109&amp;""))-1),코드표!$J$2:$J$101,0))&amp;" "&amp;INDEX(코드표!$G$2:$G$101,MATCH(TRIM(RIGHT(SUBSTITUTE(TRIM(E109&amp;"")," ",REPT(" ",60)),60)),코드표!$F$2:$F$101,0)),"⚠"&amp;TRIM(E109&amp;""))),"⚠"&amp;TRIM(E109&amp;""))</f>
        <v/>
      </c>
      <c r="N109" s="10">
        <f>IFERROR(IF(TRIM(F109&amp;"")="","",IF(AND(ISNUMBER(FIND(" ",TRIM(F109&amp;""))),ISNUMBER(MATCH(LEFT(TRIM(F109&amp;""),FIND(" ",TRIM(F109&amp;""))-1),코드표!$J$2:$J$101,0)),ISNUMBER(MATCH(TRIM(RIGHT(SUBSTITUTE(TRIM(F109&amp;"")," ",REPT(" ",60)),60)),코드표!$F$2:$F$101,0))),INDEX(코드표!$K$2:$K$101,MATCH(LEFT(TRIM(F109&amp;""),FIND(" ",TRIM(F109&amp;""))-1),코드표!$J$2:$J$101,0))&amp;" "&amp;INDEX(코드표!$G$2:$G$101,MATCH(TRIM(RIGHT(SUBSTITUTE(TRIM(F109&amp;"")," ",REPT(" ",60)),60)),코드표!$F$2:$F$101,0)),"⚠"&amp;TRIM(F109&amp;""))),"⚠"&amp;TRIM(F109&amp;""))</f>
        <v/>
      </c>
      <c r="O109" s="10">
        <f>IFERROR(IF(TRIM(G109&amp;"")="","",IF(AND(ISNUMBER(FIND(" ",TRIM(G109&amp;""))),ISNUMBER(MATCH(LEFT(TRIM(G109&amp;""),FIND(" ",TRIM(G109&amp;""))-1),코드표!$J$2:$J$101,0)),ISNUMBER(MATCH(TRIM(RIGHT(SUBSTITUTE(TRIM(G109&amp;"")," ",REPT(" ",60)),60)),코드표!$F$2:$F$101,0))),INDEX(코드표!$K$2:$K$101,MATCH(LEFT(TRIM(G109&amp;""),FIND(" ",TRIM(G109&amp;""))-1),코드표!$J$2:$J$101,0))&amp;" "&amp;INDEX(코드표!$G$2:$G$101,MATCH(TRIM(RIGHT(SUBSTITUTE(TRIM(G109&amp;"")," ",REPT(" ",60)),60)),코드표!$F$2:$F$101,0)),"⚠"&amp;TRIM(G109&amp;""))),"⚠"&amp;TRIM(G109&amp;""))</f>
        <v/>
      </c>
      <c r="P109" s="10">
        <f>IFERROR(IF(TRIM(H109&amp;"")="","",IF(AND(ISNUMBER(FIND(" ",TRIM(H109&amp;""))),ISNUMBER(MATCH(LEFT(TRIM(H109&amp;""),FIND(" ",TRIM(H109&amp;""))-1),코드표!$J$2:$J$101,0)),ISNUMBER(MATCH(TRIM(RIGHT(SUBSTITUTE(TRIM(H109&amp;"")," ",REPT(" ",60)),60)),코드표!$F$2:$F$101,0))),INDEX(코드표!$K$2:$K$101,MATCH(LEFT(TRIM(H109&amp;""),FIND(" ",TRIM(H109&amp;""))-1),코드표!$J$2:$J$101,0))&amp;" "&amp;INDEX(코드표!$G$2:$G$101,MATCH(TRIM(RIGHT(SUBSTITUTE(TRIM(H109&amp;"")," ",REPT(" ",60)),60)),코드표!$F$2:$F$101,0)),"⚠"&amp;TRIM(H109&amp;""))),"⚠"&amp;TRIM(H109&amp;""))</f>
        <v/>
      </c>
      <c r="Q109" s="10">
        <f>IFERROR(IF(TRIM(I109&amp;"")="","",IF(AND(ISNUMBER(FIND(" ",TRIM(I109&amp;""))),ISNUMBER(MATCH(LEFT(TRIM(I109&amp;""),FIND(" ",TRIM(I109&amp;""))-1),코드표!$J$2:$J$101,0)),ISNUMBER(MATCH(TRIM(RIGHT(SUBSTITUTE(TRIM(I109&amp;"")," ",REPT(" ",60)),60)),코드표!$F$2:$F$101,0))),INDEX(코드표!$K$2:$K$101,MATCH(LEFT(TRIM(I109&amp;""),FIND(" ",TRIM(I109&amp;""))-1),코드표!$J$2:$J$101,0))&amp;" "&amp;INDEX(코드표!$G$2:$G$101,MATCH(TRIM(RIGHT(SUBSTITUTE(TRIM(I109&amp;"")," ",REPT(" ",60)),60)),코드표!$F$2:$F$101,0)),"⚠"&amp;TRIM(I109&amp;""))),"⚠"&amp;TRIM(I109&amp;""))</f>
        <v/>
      </c>
      <c r="R109" s="10">
        <f>IFERROR(IF(TRIM(J109&amp;"")="","",IF(AND(ISNUMBER(FIND(" ",TRIM(J109&amp;""))),ISNUMBER(MATCH(LEFT(TRIM(J109&amp;""),FIND(" ",TRIM(J109&amp;""))-1),코드표!$J$2:$J$101,0)),ISNUMBER(MATCH(TRIM(RIGHT(SUBSTITUTE(TRIM(J109&amp;"")," ",REPT(" ",60)),60)),코드표!$F$2:$F$101,0))),INDEX(코드표!$K$2:$K$101,MATCH(LEFT(TRIM(J109&amp;""),FIND(" ",TRIM(J109&amp;""))-1),코드표!$J$2:$J$101,0))&amp;" "&amp;INDEX(코드표!$G$2:$G$101,MATCH(TRIM(RIGHT(SUBSTITUTE(TRIM(J109&amp;"")," ",REPT(" ",60)),60)),코드표!$F$2:$F$101,0)),"⚠"&amp;TRIM(J109&amp;""))),"⚠"&amp;TRIM(J109&amp;""))</f>
        <v/>
      </c>
      <c r="S109" s="11">
        <f>IF(K109="","",IFERROR(IF(AND(ROUND((VALUE(K109&amp;"")-INT(VALUE(K109&amp;"")))*100,0)&gt;=1,ROUND((VALUE(K109&amp;"")-INT(VALUE(K109&amp;"")))*100,0)&lt;=12,INT(VALUE(K109&amp;""))&gt;=1900),DATE(INT(VALUE(K109&amp;"")),ROUND((VALUE(K109&amp;"")-INT(VALUE(K109&amp;"")))*100,0),1),K109&amp;""),K109&amp;""))</f>
        <v/>
      </c>
      <c r="T109" s="10">
        <f>COUNTIF(M109:R109,"⚠*")</f>
        <v/>
      </c>
    </row>
    <row r="110"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M110" s="10">
        <f>IFERROR(IF(TRIM(E110&amp;"")="","",IF(AND(ISNUMBER(FIND(" ",TRIM(E110&amp;""))),ISNUMBER(MATCH(LEFT(TRIM(E110&amp;""),FIND(" ",TRIM(E110&amp;""))-1),코드표!$J$2:$J$101,0)),ISNUMBER(MATCH(TRIM(RIGHT(SUBSTITUTE(TRIM(E110&amp;"")," ",REPT(" ",60)),60)),코드표!$F$2:$F$101,0))),INDEX(코드표!$K$2:$K$101,MATCH(LEFT(TRIM(E110&amp;""),FIND(" ",TRIM(E110&amp;""))-1),코드표!$J$2:$J$101,0))&amp;" "&amp;INDEX(코드표!$G$2:$G$101,MATCH(TRIM(RIGHT(SUBSTITUTE(TRIM(E110&amp;"")," ",REPT(" ",60)),60)),코드표!$F$2:$F$101,0)),"⚠"&amp;TRIM(E110&amp;""))),"⚠"&amp;TRIM(E110&amp;""))</f>
        <v/>
      </c>
      <c r="N110" s="10">
        <f>IFERROR(IF(TRIM(F110&amp;"")="","",IF(AND(ISNUMBER(FIND(" ",TRIM(F110&amp;""))),ISNUMBER(MATCH(LEFT(TRIM(F110&amp;""),FIND(" ",TRIM(F110&amp;""))-1),코드표!$J$2:$J$101,0)),ISNUMBER(MATCH(TRIM(RIGHT(SUBSTITUTE(TRIM(F110&amp;"")," ",REPT(" ",60)),60)),코드표!$F$2:$F$101,0))),INDEX(코드표!$K$2:$K$101,MATCH(LEFT(TRIM(F110&amp;""),FIND(" ",TRIM(F110&amp;""))-1),코드표!$J$2:$J$101,0))&amp;" "&amp;INDEX(코드표!$G$2:$G$101,MATCH(TRIM(RIGHT(SUBSTITUTE(TRIM(F110&amp;"")," ",REPT(" ",60)),60)),코드표!$F$2:$F$101,0)),"⚠"&amp;TRIM(F110&amp;""))),"⚠"&amp;TRIM(F110&amp;""))</f>
        <v/>
      </c>
      <c r="O110" s="10">
        <f>IFERROR(IF(TRIM(G110&amp;"")="","",IF(AND(ISNUMBER(FIND(" ",TRIM(G110&amp;""))),ISNUMBER(MATCH(LEFT(TRIM(G110&amp;""),FIND(" ",TRIM(G110&amp;""))-1),코드표!$J$2:$J$101,0)),ISNUMBER(MATCH(TRIM(RIGHT(SUBSTITUTE(TRIM(G110&amp;"")," ",REPT(" ",60)),60)),코드표!$F$2:$F$101,0))),INDEX(코드표!$K$2:$K$101,MATCH(LEFT(TRIM(G110&amp;""),FIND(" ",TRIM(G110&amp;""))-1),코드표!$J$2:$J$101,0))&amp;" "&amp;INDEX(코드표!$G$2:$G$101,MATCH(TRIM(RIGHT(SUBSTITUTE(TRIM(G110&amp;"")," ",REPT(" ",60)),60)),코드표!$F$2:$F$101,0)),"⚠"&amp;TRIM(G110&amp;""))),"⚠"&amp;TRIM(G110&amp;""))</f>
        <v/>
      </c>
      <c r="P110" s="10">
        <f>IFERROR(IF(TRIM(H110&amp;"")="","",IF(AND(ISNUMBER(FIND(" ",TRIM(H110&amp;""))),ISNUMBER(MATCH(LEFT(TRIM(H110&amp;""),FIND(" ",TRIM(H110&amp;""))-1),코드표!$J$2:$J$101,0)),ISNUMBER(MATCH(TRIM(RIGHT(SUBSTITUTE(TRIM(H110&amp;"")," ",REPT(" ",60)),60)),코드표!$F$2:$F$101,0))),INDEX(코드표!$K$2:$K$101,MATCH(LEFT(TRIM(H110&amp;""),FIND(" ",TRIM(H110&amp;""))-1),코드표!$J$2:$J$101,0))&amp;" "&amp;INDEX(코드표!$G$2:$G$101,MATCH(TRIM(RIGHT(SUBSTITUTE(TRIM(H110&amp;"")," ",REPT(" ",60)),60)),코드표!$F$2:$F$101,0)),"⚠"&amp;TRIM(H110&amp;""))),"⚠"&amp;TRIM(H110&amp;""))</f>
        <v/>
      </c>
      <c r="Q110" s="10">
        <f>IFERROR(IF(TRIM(I110&amp;"")="","",IF(AND(ISNUMBER(FIND(" ",TRIM(I110&amp;""))),ISNUMBER(MATCH(LEFT(TRIM(I110&amp;""),FIND(" ",TRIM(I110&amp;""))-1),코드표!$J$2:$J$101,0)),ISNUMBER(MATCH(TRIM(RIGHT(SUBSTITUTE(TRIM(I110&amp;"")," ",REPT(" ",60)),60)),코드표!$F$2:$F$101,0))),INDEX(코드표!$K$2:$K$101,MATCH(LEFT(TRIM(I110&amp;""),FIND(" ",TRIM(I110&amp;""))-1),코드표!$J$2:$J$101,0))&amp;" "&amp;INDEX(코드표!$G$2:$G$101,MATCH(TRIM(RIGHT(SUBSTITUTE(TRIM(I110&amp;"")," ",REPT(" ",60)),60)),코드표!$F$2:$F$101,0)),"⚠"&amp;TRIM(I110&amp;""))),"⚠"&amp;TRIM(I110&amp;""))</f>
        <v/>
      </c>
      <c r="R110" s="10">
        <f>IFERROR(IF(TRIM(J110&amp;"")="","",IF(AND(ISNUMBER(FIND(" ",TRIM(J110&amp;""))),ISNUMBER(MATCH(LEFT(TRIM(J110&amp;""),FIND(" ",TRIM(J110&amp;""))-1),코드표!$J$2:$J$101,0)),ISNUMBER(MATCH(TRIM(RIGHT(SUBSTITUTE(TRIM(J110&amp;"")," ",REPT(" ",60)),60)),코드표!$F$2:$F$101,0))),INDEX(코드표!$K$2:$K$101,MATCH(LEFT(TRIM(J110&amp;""),FIND(" ",TRIM(J110&amp;""))-1),코드표!$J$2:$J$101,0))&amp;" "&amp;INDEX(코드표!$G$2:$G$101,MATCH(TRIM(RIGHT(SUBSTITUTE(TRIM(J110&amp;"")," ",REPT(" ",60)),60)),코드표!$F$2:$F$101,0)),"⚠"&amp;TRIM(J110&amp;""))),"⚠"&amp;TRIM(J110&amp;""))</f>
        <v/>
      </c>
      <c r="S110" s="11">
        <f>IF(K110="","",IFERROR(IF(AND(ROUND((VALUE(K110&amp;"")-INT(VALUE(K110&amp;"")))*100,0)&gt;=1,ROUND((VALUE(K110&amp;"")-INT(VALUE(K110&amp;"")))*100,0)&lt;=12,INT(VALUE(K110&amp;""))&gt;=1900),DATE(INT(VALUE(K110&amp;"")),ROUND((VALUE(K110&amp;"")-INT(VALUE(K110&amp;"")))*100,0),1),K110&amp;""),K110&amp;""))</f>
        <v/>
      </c>
      <c r="T110" s="10">
        <f>COUNTIF(M110:R110,"⚠*")</f>
        <v/>
      </c>
    </row>
    <row r="111"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M111" s="10">
        <f>IFERROR(IF(TRIM(E111&amp;"")="","",IF(AND(ISNUMBER(FIND(" ",TRIM(E111&amp;""))),ISNUMBER(MATCH(LEFT(TRIM(E111&amp;""),FIND(" ",TRIM(E111&amp;""))-1),코드표!$J$2:$J$101,0)),ISNUMBER(MATCH(TRIM(RIGHT(SUBSTITUTE(TRIM(E111&amp;"")," ",REPT(" ",60)),60)),코드표!$F$2:$F$101,0))),INDEX(코드표!$K$2:$K$101,MATCH(LEFT(TRIM(E111&amp;""),FIND(" ",TRIM(E111&amp;""))-1),코드표!$J$2:$J$101,0))&amp;" "&amp;INDEX(코드표!$G$2:$G$101,MATCH(TRIM(RIGHT(SUBSTITUTE(TRIM(E111&amp;"")," ",REPT(" ",60)),60)),코드표!$F$2:$F$101,0)),"⚠"&amp;TRIM(E111&amp;""))),"⚠"&amp;TRIM(E111&amp;""))</f>
        <v/>
      </c>
      <c r="N111" s="10">
        <f>IFERROR(IF(TRIM(F111&amp;"")="","",IF(AND(ISNUMBER(FIND(" ",TRIM(F111&amp;""))),ISNUMBER(MATCH(LEFT(TRIM(F111&amp;""),FIND(" ",TRIM(F111&amp;""))-1),코드표!$J$2:$J$101,0)),ISNUMBER(MATCH(TRIM(RIGHT(SUBSTITUTE(TRIM(F111&amp;"")," ",REPT(" ",60)),60)),코드표!$F$2:$F$101,0))),INDEX(코드표!$K$2:$K$101,MATCH(LEFT(TRIM(F111&amp;""),FIND(" ",TRIM(F111&amp;""))-1),코드표!$J$2:$J$101,0))&amp;" "&amp;INDEX(코드표!$G$2:$G$101,MATCH(TRIM(RIGHT(SUBSTITUTE(TRIM(F111&amp;"")," ",REPT(" ",60)),60)),코드표!$F$2:$F$101,0)),"⚠"&amp;TRIM(F111&amp;""))),"⚠"&amp;TRIM(F111&amp;""))</f>
        <v/>
      </c>
      <c r="O111" s="10">
        <f>IFERROR(IF(TRIM(G111&amp;"")="","",IF(AND(ISNUMBER(FIND(" ",TRIM(G111&amp;""))),ISNUMBER(MATCH(LEFT(TRIM(G111&amp;""),FIND(" ",TRIM(G111&amp;""))-1),코드표!$J$2:$J$101,0)),ISNUMBER(MATCH(TRIM(RIGHT(SUBSTITUTE(TRIM(G111&amp;"")," ",REPT(" ",60)),60)),코드표!$F$2:$F$101,0))),INDEX(코드표!$K$2:$K$101,MATCH(LEFT(TRIM(G111&amp;""),FIND(" ",TRIM(G111&amp;""))-1),코드표!$J$2:$J$101,0))&amp;" "&amp;INDEX(코드표!$G$2:$G$101,MATCH(TRIM(RIGHT(SUBSTITUTE(TRIM(G111&amp;"")," ",REPT(" ",60)),60)),코드표!$F$2:$F$101,0)),"⚠"&amp;TRIM(G111&amp;""))),"⚠"&amp;TRIM(G111&amp;""))</f>
        <v/>
      </c>
      <c r="P111" s="10">
        <f>IFERROR(IF(TRIM(H111&amp;"")="","",IF(AND(ISNUMBER(FIND(" ",TRIM(H111&amp;""))),ISNUMBER(MATCH(LEFT(TRIM(H111&amp;""),FIND(" ",TRIM(H111&amp;""))-1),코드표!$J$2:$J$101,0)),ISNUMBER(MATCH(TRIM(RIGHT(SUBSTITUTE(TRIM(H111&amp;"")," ",REPT(" ",60)),60)),코드표!$F$2:$F$101,0))),INDEX(코드표!$K$2:$K$101,MATCH(LEFT(TRIM(H111&amp;""),FIND(" ",TRIM(H111&amp;""))-1),코드표!$J$2:$J$101,0))&amp;" "&amp;INDEX(코드표!$G$2:$G$101,MATCH(TRIM(RIGHT(SUBSTITUTE(TRIM(H111&amp;"")," ",REPT(" ",60)),60)),코드표!$F$2:$F$101,0)),"⚠"&amp;TRIM(H111&amp;""))),"⚠"&amp;TRIM(H111&amp;""))</f>
        <v/>
      </c>
      <c r="Q111" s="10">
        <f>IFERROR(IF(TRIM(I111&amp;"")="","",IF(AND(ISNUMBER(FIND(" ",TRIM(I111&amp;""))),ISNUMBER(MATCH(LEFT(TRIM(I111&amp;""),FIND(" ",TRIM(I111&amp;""))-1),코드표!$J$2:$J$101,0)),ISNUMBER(MATCH(TRIM(RIGHT(SUBSTITUTE(TRIM(I111&amp;"")," ",REPT(" ",60)),60)),코드표!$F$2:$F$101,0))),INDEX(코드표!$K$2:$K$101,MATCH(LEFT(TRIM(I111&amp;""),FIND(" ",TRIM(I111&amp;""))-1),코드표!$J$2:$J$101,0))&amp;" "&amp;INDEX(코드표!$G$2:$G$101,MATCH(TRIM(RIGHT(SUBSTITUTE(TRIM(I111&amp;"")," ",REPT(" ",60)),60)),코드표!$F$2:$F$101,0)),"⚠"&amp;TRIM(I111&amp;""))),"⚠"&amp;TRIM(I111&amp;""))</f>
        <v/>
      </c>
      <c r="R111" s="10">
        <f>IFERROR(IF(TRIM(J111&amp;"")="","",IF(AND(ISNUMBER(FIND(" ",TRIM(J111&amp;""))),ISNUMBER(MATCH(LEFT(TRIM(J111&amp;""),FIND(" ",TRIM(J111&amp;""))-1),코드표!$J$2:$J$101,0)),ISNUMBER(MATCH(TRIM(RIGHT(SUBSTITUTE(TRIM(J111&amp;"")," ",REPT(" ",60)),60)),코드표!$F$2:$F$101,0))),INDEX(코드표!$K$2:$K$101,MATCH(LEFT(TRIM(J111&amp;""),FIND(" ",TRIM(J111&amp;""))-1),코드표!$J$2:$J$101,0))&amp;" "&amp;INDEX(코드표!$G$2:$G$101,MATCH(TRIM(RIGHT(SUBSTITUTE(TRIM(J111&amp;"")," ",REPT(" ",60)),60)),코드표!$F$2:$F$101,0)),"⚠"&amp;TRIM(J111&amp;""))),"⚠"&amp;TRIM(J111&amp;""))</f>
        <v/>
      </c>
      <c r="S111" s="11">
        <f>IF(K111="","",IFERROR(IF(AND(ROUND((VALUE(K111&amp;"")-INT(VALUE(K111&amp;"")))*100,0)&gt;=1,ROUND((VALUE(K111&amp;"")-INT(VALUE(K111&amp;"")))*100,0)&lt;=12,INT(VALUE(K111&amp;""))&gt;=1900),DATE(INT(VALUE(K111&amp;"")),ROUND((VALUE(K111&amp;"")-INT(VALUE(K111&amp;"")))*100,0),1),K111&amp;""),K111&amp;""))</f>
        <v/>
      </c>
      <c r="T111" s="10">
        <f>COUNTIF(M111:R111,"⚠*")</f>
        <v/>
      </c>
    </row>
    <row r="112"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M112" s="10">
        <f>IFERROR(IF(TRIM(E112&amp;"")="","",IF(AND(ISNUMBER(FIND(" ",TRIM(E112&amp;""))),ISNUMBER(MATCH(LEFT(TRIM(E112&amp;""),FIND(" ",TRIM(E112&amp;""))-1),코드표!$J$2:$J$101,0)),ISNUMBER(MATCH(TRIM(RIGHT(SUBSTITUTE(TRIM(E112&amp;"")," ",REPT(" ",60)),60)),코드표!$F$2:$F$101,0))),INDEX(코드표!$K$2:$K$101,MATCH(LEFT(TRIM(E112&amp;""),FIND(" ",TRIM(E112&amp;""))-1),코드표!$J$2:$J$101,0))&amp;" "&amp;INDEX(코드표!$G$2:$G$101,MATCH(TRIM(RIGHT(SUBSTITUTE(TRIM(E112&amp;"")," ",REPT(" ",60)),60)),코드표!$F$2:$F$101,0)),"⚠"&amp;TRIM(E112&amp;""))),"⚠"&amp;TRIM(E112&amp;""))</f>
        <v/>
      </c>
      <c r="N112" s="10">
        <f>IFERROR(IF(TRIM(F112&amp;"")="","",IF(AND(ISNUMBER(FIND(" ",TRIM(F112&amp;""))),ISNUMBER(MATCH(LEFT(TRIM(F112&amp;""),FIND(" ",TRIM(F112&amp;""))-1),코드표!$J$2:$J$101,0)),ISNUMBER(MATCH(TRIM(RIGHT(SUBSTITUTE(TRIM(F112&amp;"")," ",REPT(" ",60)),60)),코드표!$F$2:$F$101,0))),INDEX(코드표!$K$2:$K$101,MATCH(LEFT(TRIM(F112&amp;""),FIND(" ",TRIM(F112&amp;""))-1),코드표!$J$2:$J$101,0))&amp;" "&amp;INDEX(코드표!$G$2:$G$101,MATCH(TRIM(RIGHT(SUBSTITUTE(TRIM(F112&amp;"")," ",REPT(" ",60)),60)),코드표!$F$2:$F$101,0)),"⚠"&amp;TRIM(F112&amp;""))),"⚠"&amp;TRIM(F112&amp;""))</f>
        <v/>
      </c>
      <c r="O112" s="10">
        <f>IFERROR(IF(TRIM(G112&amp;"")="","",IF(AND(ISNUMBER(FIND(" ",TRIM(G112&amp;""))),ISNUMBER(MATCH(LEFT(TRIM(G112&amp;""),FIND(" ",TRIM(G112&amp;""))-1),코드표!$J$2:$J$101,0)),ISNUMBER(MATCH(TRIM(RIGHT(SUBSTITUTE(TRIM(G112&amp;"")," ",REPT(" ",60)),60)),코드표!$F$2:$F$101,0))),INDEX(코드표!$K$2:$K$101,MATCH(LEFT(TRIM(G112&amp;""),FIND(" ",TRIM(G112&amp;""))-1),코드표!$J$2:$J$101,0))&amp;" "&amp;INDEX(코드표!$G$2:$G$101,MATCH(TRIM(RIGHT(SUBSTITUTE(TRIM(G112&amp;"")," ",REPT(" ",60)),60)),코드표!$F$2:$F$101,0)),"⚠"&amp;TRIM(G112&amp;""))),"⚠"&amp;TRIM(G112&amp;""))</f>
        <v/>
      </c>
      <c r="P112" s="10">
        <f>IFERROR(IF(TRIM(H112&amp;"")="","",IF(AND(ISNUMBER(FIND(" ",TRIM(H112&amp;""))),ISNUMBER(MATCH(LEFT(TRIM(H112&amp;""),FIND(" ",TRIM(H112&amp;""))-1),코드표!$J$2:$J$101,0)),ISNUMBER(MATCH(TRIM(RIGHT(SUBSTITUTE(TRIM(H112&amp;"")," ",REPT(" ",60)),60)),코드표!$F$2:$F$101,0))),INDEX(코드표!$K$2:$K$101,MATCH(LEFT(TRIM(H112&amp;""),FIND(" ",TRIM(H112&amp;""))-1),코드표!$J$2:$J$101,0))&amp;" "&amp;INDEX(코드표!$G$2:$G$101,MATCH(TRIM(RIGHT(SUBSTITUTE(TRIM(H112&amp;"")," ",REPT(" ",60)),60)),코드표!$F$2:$F$101,0)),"⚠"&amp;TRIM(H112&amp;""))),"⚠"&amp;TRIM(H112&amp;""))</f>
        <v/>
      </c>
      <c r="Q112" s="10">
        <f>IFERROR(IF(TRIM(I112&amp;"")="","",IF(AND(ISNUMBER(FIND(" ",TRIM(I112&amp;""))),ISNUMBER(MATCH(LEFT(TRIM(I112&amp;""),FIND(" ",TRIM(I112&amp;""))-1),코드표!$J$2:$J$101,0)),ISNUMBER(MATCH(TRIM(RIGHT(SUBSTITUTE(TRIM(I112&amp;"")," ",REPT(" ",60)),60)),코드표!$F$2:$F$101,0))),INDEX(코드표!$K$2:$K$101,MATCH(LEFT(TRIM(I112&amp;""),FIND(" ",TRIM(I112&amp;""))-1),코드표!$J$2:$J$101,0))&amp;" "&amp;INDEX(코드표!$G$2:$G$101,MATCH(TRIM(RIGHT(SUBSTITUTE(TRIM(I112&amp;"")," ",REPT(" ",60)),60)),코드표!$F$2:$F$101,0)),"⚠"&amp;TRIM(I112&amp;""))),"⚠"&amp;TRIM(I112&amp;""))</f>
        <v/>
      </c>
      <c r="R112" s="10">
        <f>IFERROR(IF(TRIM(J112&amp;"")="","",IF(AND(ISNUMBER(FIND(" ",TRIM(J112&amp;""))),ISNUMBER(MATCH(LEFT(TRIM(J112&amp;""),FIND(" ",TRIM(J112&amp;""))-1),코드표!$J$2:$J$101,0)),ISNUMBER(MATCH(TRIM(RIGHT(SUBSTITUTE(TRIM(J112&amp;"")," ",REPT(" ",60)),60)),코드표!$F$2:$F$101,0))),INDEX(코드표!$K$2:$K$101,MATCH(LEFT(TRIM(J112&amp;""),FIND(" ",TRIM(J112&amp;""))-1),코드표!$J$2:$J$101,0))&amp;" "&amp;INDEX(코드표!$G$2:$G$101,MATCH(TRIM(RIGHT(SUBSTITUTE(TRIM(J112&amp;"")," ",REPT(" ",60)),60)),코드표!$F$2:$F$101,0)),"⚠"&amp;TRIM(J112&amp;""))),"⚠"&amp;TRIM(J112&amp;""))</f>
        <v/>
      </c>
      <c r="S112" s="11">
        <f>IF(K112="","",IFERROR(IF(AND(ROUND((VALUE(K112&amp;"")-INT(VALUE(K112&amp;"")))*100,0)&gt;=1,ROUND((VALUE(K112&amp;"")-INT(VALUE(K112&amp;"")))*100,0)&lt;=12,INT(VALUE(K112&amp;""))&gt;=1900),DATE(INT(VALUE(K112&amp;"")),ROUND((VALUE(K112&amp;"")-INT(VALUE(K112&amp;"")))*100,0),1),K112&amp;""),K112&amp;""))</f>
        <v/>
      </c>
      <c r="T112" s="10">
        <f>COUNTIF(M112:R112,"⚠*")</f>
        <v/>
      </c>
    </row>
    <row r="113"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M113" s="10">
        <f>IFERROR(IF(TRIM(E113&amp;"")="","",IF(AND(ISNUMBER(FIND(" ",TRIM(E113&amp;""))),ISNUMBER(MATCH(LEFT(TRIM(E113&amp;""),FIND(" ",TRIM(E113&amp;""))-1),코드표!$J$2:$J$101,0)),ISNUMBER(MATCH(TRIM(RIGHT(SUBSTITUTE(TRIM(E113&amp;"")," ",REPT(" ",60)),60)),코드표!$F$2:$F$101,0))),INDEX(코드표!$K$2:$K$101,MATCH(LEFT(TRIM(E113&amp;""),FIND(" ",TRIM(E113&amp;""))-1),코드표!$J$2:$J$101,0))&amp;" "&amp;INDEX(코드표!$G$2:$G$101,MATCH(TRIM(RIGHT(SUBSTITUTE(TRIM(E113&amp;"")," ",REPT(" ",60)),60)),코드표!$F$2:$F$101,0)),"⚠"&amp;TRIM(E113&amp;""))),"⚠"&amp;TRIM(E113&amp;""))</f>
        <v/>
      </c>
      <c r="N113" s="10">
        <f>IFERROR(IF(TRIM(F113&amp;"")="","",IF(AND(ISNUMBER(FIND(" ",TRIM(F113&amp;""))),ISNUMBER(MATCH(LEFT(TRIM(F113&amp;""),FIND(" ",TRIM(F113&amp;""))-1),코드표!$J$2:$J$101,0)),ISNUMBER(MATCH(TRIM(RIGHT(SUBSTITUTE(TRIM(F113&amp;"")," ",REPT(" ",60)),60)),코드표!$F$2:$F$101,0))),INDEX(코드표!$K$2:$K$101,MATCH(LEFT(TRIM(F113&amp;""),FIND(" ",TRIM(F113&amp;""))-1),코드표!$J$2:$J$101,0))&amp;" "&amp;INDEX(코드표!$G$2:$G$101,MATCH(TRIM(RIGHT(SUBSTITUTE(TRIM(F113&amp;"")," ",REPT(" ",60)),60)),코드표!$F$2:$F$101,0)),"⚠"&amp;TRIM(F113&amp;""))),"⚠"&amp;TRIM(F113&amp;""))</f>
        <v/>
      </c>
      <c r="O113" s="10">
        <f>IFERROR(IF(TRIM(G113&amp;"")="","",IF(AND(ISNUMBER(FIND(" ",TRIM(G113&amp;""))),ISNUMBER(MATCH(LEFT(TRIM(G113&amp;""),FIND(" ",TRIM(G113&amp;""))-1),코드표!$J$2:$J$101,0)),ISNUMBER(MATCH(TRIM(RIGHT(SUBSTITUTE(TRIM(G113&amp;"")," ",REPT(" ",60)),60)),코드표!$F$2:$F$101,0))),INDEX(코드표!$K$2:$K$101,MATCH(LEFT(TRIM(G113&amp;""),FIND(" ",TRIM(G113&amp;""))-1),코드표!$J$2:$J$101,0))&amp;" "&amp;INDEX(코드표!$G$2:$G$101,MATCH(TRIM(RIGHT(SUBSTITUTE(TRIM(G113&amp;"")," ",REPT(" ",60)),60)),코드표!$F$2:$F$101,0)),"⚠"&amp;TRIM(G113&amp;""))),"⚠"&amp;TRIM(G113&amp;""))</f>
        <v/>
      </c>
      <c r="P113" s="10">
        <f>IFERROR(IF(TRIM(H113&amp;"")="","",IF(AND(ISNUMBER(FIND(" ",TRIM(H113&amp;""))),ISNUMBER(MATCH(LEFT(TRIM(H113&amp;""),FIND(" ",TRIM(H113&amp;""))-1),코드표!$J$2:$J$101,0)),ISNUMBER(MATCH(TRIM(RIGHT(SUBSTITUTE(TRIM(H113&amp;"")," ",REPT(" ",60)),60)),코드표!$F$2:$F$101,0))),INDEX(코드표!$K$2:$K$101,MATCH(LEFT(TRIM(H113&amp;""),FIND(" ",TRIM(H113&amp;""))-1),코드표!$J$2:$J$101,0))&amp;" "&amp;INDEX(코드표!$G$2:$G$101,MATCH(TRIM(RIGHT(SUBSTITUTE(TRIM(H113&amp;"")," ",REPT(" ",60)),60)),코드표!$F$2:$F$101,0)),"⚠"&amp;TRIM(H113&amp;""))),"⚠"&amp;TRIM(H113&amp;""))</f>
        <v/>
      </c>
      <c r="Q113" s="10">
        <f>IFERROR(IF(TRIM(I113&amp;"")="","",IF(AND(ISNUMBER(FIND(" ",TRIM(I113&amp;""))),ISNUMBER(MATCH(LEFT(TRIM(I113&amp;""),FIND(" ",TRIM(I113&amp;""))-1),코드표!$J$2:$J$101,0)),ISNUMBER(MATCH(TRIM(RIGHT(SUBSTITUTE(TRIM(I113&amp;"")," ",REPT(" ",60)),60)),코드표!$F$2:$F$101,0))),INDEX(코드표!$K$2:$K$101,MATCH(LEFT(TRIM(I113&amp;""),FIND(" ",TRIM(I113&amp;""))-1),코드표!$J$2:$J$101,0))&amp;" "&amp;INDEX(코드표!$G$2:$G$101,MATCH(TRIM(RIGHT(SUBSTITUTE(TRIM(I113&amp;"")," ",REPT(" ",60)),60)),코드표!$F$2:$F$101,0)),"⚠"&amp;TRIM(I113&amp;""))),"⚠"&amp;TRIM(I113&amp;""))</f>
        <v/>
      </c>
      <c r="R113" s="10">
        <f>IFERROR(IF(TRIM(J113&amp;"")="","",IF(AND(ISNUMBER(FIND(" ",TRIM(J113&amp;""))),ISNUMBER(MATCH(LEFT(TRIM(J113&amp;""),FIND(" ",TRIM(J113&amp;""))-1),코드표!$J$2:$J$101,0)),ISNUMBER(MATCH(TRIM(RIGHT(SUBSTITUTE(TRIM(J113&amp;"")," ",REPT(" ",60)),60)),코드표!$F$2:$F$101,0))),INDEX(코드표!$K$2:$K$101,MATCH(LEFT(TRIM(J113&amp;""),FIND(" ",TRIM(J113&amp;""))-1),코드표!$J$2:$J$101,0))&amp;" "&amp;INDEX(코드표!$G$2:$G$101,MATCH(TRIM(RIGHT(SUBSTITUTE(TRIM(J113&amp;"")," ",REPT(" ",60)),60)),코드표!$F$2:$F$101,0)),"⚠"&amp;TRIM(J113&amp;""))),"⚠"&amp;TRIM(J113&amp;""))</f>
        <v/>
      </c>
      <c r="S113" s="11">
        <f>IF(K113="","",IFERROR(IF(AND(ROUND((VALUE(K113&amp;"")-INT(VALUE(K113&amp;"")))*100,0)&gt;=1,ROUND((VALUE(K113&amp;"")-INT(VALUE(K113&amp;"")))*100,0)&lt;=12,INT(VALUE(K113&amp;""))&gt;=1900),DATE(INT(VALUE(K113&amp;"")),ROUND((VALUE(K113&amp;"")-INT(VALUE(K113&amp;"")))*100,0),1),K113&amp;""),K113&amp;""))</f>
        <v/>
      </c>
      <c r="T113" s="10">
        <f>COUNTIF(M113:R113,"⚠*")</f>
        <v/>
      </c>
    </row>
    <row r="114"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M114" s="10">
        <f>IFERROR(IF(TRIM(E114&amp;"")="","",IF(AND(ISNUMBER(FIND(" ",TRIM(E114&amp;""))),ISNUMBER(MATCH(LEFT(TRIM(E114&amp;""),FIND(" ",TRIM(E114&amp;""))-1),코드표!$J$2:$J$101,0)),ISNUMBER(MATCH(TRIM(RIGHT(SUBSTITUTE(TRIM(E114&amp;"")," ",REPT(" ",60)),60)),코드표!$F$2:$F$101,0))),INDEX(코드표!$K$2:$K$101,MATCH(LEFT(TRIM(E114&amp;""),FIND(" ",TRIM(E114&amp;""))-1),코드표!$J$2:$J$101,0))&amp;" "&amp;INDEX(코드표!$G$2:$G$101,MATCH(TRIM(RIGHT(SUBSTITUTE(TRIM(E114&amp;"")," ",REPT(" ",60)),60)),코드표!$F$2:$F$101,0)),"⚠"&amp;TRIM(E114&amp;""))),"⚠"&amp;TRIM(E114&amp;""))</f>
        <v/>
      </c>
      <c r="N114" s="10">
        <f>IFERROR(IF(TRIM(F114&amp;"")="","",IF(AND(ISNUMBER(FIND(" ",TRIM(F114&amp;""))),ISNUMBER(MATCH(LEFT(TRIM(F114&amp;""),FIND(" ",TRIM(F114&amp;""))-1),코드표!$J$2:$J$101,0)),ISNUMBER(MATCH(TRIM(RIGHT(SUBSTITUTE(TRIM(F114&amp;"")," ",REPT(" ",60)),60)),코드표!$F$2:$F$101,0))),INDEX(코드표!$K$2:$K$101,MATCH(LEFT(TRIM(F114&amp;""),FIND(" ",TRIM(F114&amp;""))-1),코드표!$J$2:$J$101,0))&amp;" "&amp;INDEX(코드표!$G$2:$G$101,MATCH(TRIM(RIGHT(SUBSTITUTE(TRIM(F114&amp;"")," ",REPT(" ",60)),60)),코드표!$F$2:$F$101,0)),"⚠"&amp;TRIM(F114&amp;""))),"⚠"&amp;TRIM(F114&amp;""))</f>
        <v/>
      </c>
      <c r="O114" s="10">
        <f>IFERROR(IF(TRIM(G114&amp;"")="","",IF(AND(ISNUMBER(FIND(" ",TRIM(G114&amp;""))),ISNUMBER(MATCH(LEFT(TRIM(G114&amp;""),FIND(" ",TRIM(G114&amp;""))-1),코드표!$J$2:$J$101,0)),ISNUMBER(MATCH(TRIM(RIGHT(SUBSTITUTE(TRIM(G114&amp;"")," ",REPT(" ",60)),60)),코드표!$F$2:$F$101,0))),INDEX(코드표!$K$2:$K$101,MATCH(LEFT(TRIM(G114&amp;""),FIND(" ",TRIM(G114&amp;""))-1),코드표!$J$2:$J$101,0))&amp;" "&amp;INDEX(코드표!$G$2:$G$101,MATCH(TRIM(RIGHT(SUBSTITUTE(TRIM(G114&amp;"")," ",REPT(" ",60)),60)),코드표!$F$2:$F$101,0)),"⚠"&amp;TRIM(G114&amp;""))),"⚠"&amp;TRIM(G114&amp;""))</f>
        <v/>
      </c>
      <c r="P114" s="10">
        <f>IFERROR(IF(TRIM(H114&amp;"")="","",IF(AND(ISNUMBER(FIND(" ",TRIM(H114&amp;""))),ISNUMBER(MATCH(LEFT(TRIM(H114&amp;""),FIND(" ",TRIM(H114&amp;""))-1),코드표!$J$2:$J$101,0)),ISNUMBER(MATCH(TRIM(RIGHT(SUBSTITUTE(TRIM(H114&amp;"")," ",REPT(" ",60)),60)),코드표!$F$2:$F$101,0))),INDEX(코드표!$K$2:$K$101,MATCH(LEFT(TRIM(H114&amp;""),FIND(" ",TRIM(H114&amp;""))-1),코드표!$J$2:$J$101,0))&amp;" "&amp;INDEX(코드표!$G$2:$G$101,MATCH(TRIM(RIGHT(SUBSTITUTE(TRIM(H114&amp;"")," ",REPT(" ",60)),60)),코드표!$F$2:$F$101,0)),"⚠"&amp;TRIM(H114&amp;""))),"⚠"&amp;TRIM(H114&amp;""))</f>
        <v/>
      </c>
      <c r="Q114" s="10">
        <f>IFERROR(IF(TRIM(I114&amp;"")="","",IF(AND(ISNUMBER(FIND(" ",TRIM(I114&amp;""))),ISNUMBER(MATCH(LEFT(TRIM(I114&amp;""),FIND(" ",TRIM(I114&amp;""))-1),코드표!$J$2:$J$101,0)),ISNUMBER(MATCH(TRIM(RIGHT(SUBSTITUTE(TRIM(I114&amp;"")," ",REPT(" ",60)),60)),코드표!$F$2:$F$101,0))),INDEX(코드표!$K$2:$K$101,MATCH(LEFT(TRIM(I114&amp;""),FIND(" ",TRIM(I114&amp;""))-1),코드표!$J$2:$J$101,0))&amp;" "&amp;INDEX(코드표!$G$2:$G$101,MATCH(TRIM(RIGHT(SUBSTITUTE(TRIM(I114&amp;"")," ",REPT(" ",60)),60)),코드표!$F$2:$F$101,0)),"⚠"&amp;TRIM(I114&amp;""))),"⚠"&amp;TRIM(I114&amp;""))</f>
        <v/>
      </c>
      <c r="R114" s="10">
        <f>IFERROR(IF(TRIM(J114&amp;"")="","",IF(AND(ISNUMBER(FIND(" ",TRIM(J114&amp;""))),ISNUMBER(MATCH(LEFT(TRIM(J114&amp;""),FIND(" ",TRIM(J114&amp;""))-1),코드표!$J$2:$J$101,0)),ISNUMBER(MATCH(TRIM(RIGHT(SUBSTITUTE(TRIM(J114&amp;"")," ",REPT(" ",60)),60)),코드표!$F$2:$F$101,0))),INDEX(코드표!$K$2:$K$101,MATCH(LEFT(TRIM(J114&amp;""),FIND(" ",TRIM(J114&amp;""))-1),코드표!$J$2:$J$101,0))&amp;" "&amp;INDEX(코드표!$G$2:$G$101,MATCH(TRIM(RIGHT(SUBSTITUTE(TRIM(J114&amp;"")," ",REPT(" ",60)),60)),코드표!$F$2:$F$101,0)),"⚠"&amp;TRIM(J114&amp;""))),"⚠"&amp;TRIM(J114&amp;""))</f>
        <v/>
      </c>
      <c r="S114" s="11">
        <f>IF(K114="","",IFERROR(IF(AND(ROUND((VALUE(K114&amp;"")-INT(VALUE(K114&amp;"")))*100,0)&gt;=1,ROUND((VALUE(K114&amp;"")-INT(VALUE(K114&amp;"")))*100,0)&lt;=12,INT(VALUE(K114&amp;""))&gt;=1900),DATE(INT(VALUE(K114&amp;"")),ROUND((VALUE(K114&amp;"")-INT(VALUE(K114&amp;"")))*100,0),1),K114&amp;""),K114&amp;""))</f>
        <v/>
      </c>
      <c r="T114" s="10">
        <f>COUNTIF(M114:R114,"⚠*")</f>
        <v/>
      </c>
    </row>
    <row r="115"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M115" s="10">
        <f>IFERROR(IF(TRIM(E115&amp;"")="","",IF(AND(ISNUMBER(FIND(" ",TRIM(E115&amp;""))),ISNUMBER(MATCH(LEFT(TRIM(E115&amp;""),FIND(" ",TRIM(E115&amp;""))-1),코드표!$J$2:$J$101,0)),ISNUMBER(MATCH(TRIM(RIGHT(SUBSTITUTE(TRIM(E115&amp;"")," ",REPT(" ",60)),60)),코드표!$F$2:$F$101,0))),INDEX(코드표!$K$2:$K$101,MATCH(LEFT(TRIM(E115&amp;""),FIND(" ",TRIM(E115&amp;""))-1),코드표!$J$2:$J$101,0))&amp;" "&amp;INDEX(코드표!$G$2:$G$101,MATCH(TRIM(RIGHT(SUBSTITUTE(TRIM(E115&amp;"")," ",REPT(" ",60)),60)),코드표!$F$2:$F$101,0)),"⚠"&amp;TRIM(E115&amp;""))),"⚠"&amp;TRIM(E115&amp;""))</f>
        <v/>
      </c>
      <c r="N115" s="10">
        <f>IFERROR(IF(TRIM(F115&amp;"")="","",IF(AND(ISNUMBER(FIND(" ",TRIM(F115&amp;""))),ISNUMBER(MATCH(LEFT(TRIM(F115&amp;""),FIND(" ",TRIM(F115&amp;""))-1),코드표!$J$2:$J$101,0)),ISNUMBER(MATCH(TRIM(RIGHT(SUBSTITUTE(TRIM(F115&amp;"")," ",REPT(" ",60)),60)),코드표!$F$2:$F$101,0))),INDEX(코드표!$K$2:$K$101,MATCH(LEFT(TRIM(F115&amp;""),FIND(" ",TRIM(F115&amp;""))-1),코드표!$J$2:$J$101,0))&amp;" "&amp;INDEX(코드표!$G$2:$G$101,MATCH(TRIM(RIGHT(SUBSTITUTE(TRIM(F115&amp;"")," ",REPT(" ",60)),60)),코드표!$F$2:$F$101,0)),"⚠"&amp;TRIM(F115&amp;""))),"⚠"&amp;TRIM(F115&amp;""))</f>
        <v/>
      </c>
      <c r="O115" s="10">
        <f>IFERROR(IF(TRIM(G115&amp;"")="","",IF(AND(ISNUMBER(FIND(" ",TRIM(G115&amp;""))),ISNUMBER(MATCH(LEFT(TRIM(G115&amp;""),FIND(" ",TRIM(G115&amp;""))-1),코드표!$J$2:$J$101,0)),ISNUMBER(MATCH(TRIM(RIGHT(SUBSTITUTE(TRIM(G115&amp;"")," ",REPT(" ",60)),60)),코드표!$F$2:$F$101,0))),INDEX(코드표!$K$2:$K$101,MATCH(LEFT(TRIM(G115&amp;""),FIND(" ",TRIM(G115&amp;""))-1),코드표!$J$2:$J$101,0))&amp;" "&amp;INDEX(코드표!$G$2:$G$101,MATCH(TRIM(RIGHT(SUBSTITUTE(TRIM(G115&amp;"")," ",REPT(" ",60)),60)),코드표!$F$2:$F$101,0)),"⚠"&amp;TRIM(G115&amp;""))),"⚠"&amp;TRIM(G115&amp;""))</f>
        <v/>
      </c>
      <c r="P115" s="10">
        <f>IFERROR(IF(TRIM(H115&amp;"")="","",IF(AND(ISNUMBER(FIND(" ",TRIM(H115&amp;""))),ISNUMBER(MATCH(LEFT(TRIM(H115&amp;""),FIND(" ",TRIM(H115&amp;""))-1),코드표!$J$2:$J$101,0)),ISNUMBER(MATCH(TRIM(RIGHT(SUBSTITUTE(TRIM(H115&amp;"")," ",REPT(" ",60)),60)),코드표!$F$2:$F$101,0))),INDEX(코드표!$K$2:$K$101,MATCH(LEFT(TRIM(H115&amp;""),FIND(" ",TRIM(H115&amp;""))-1),코드표!$J$2:$J$101,0))&amp;" "&amp;INDEX(코드표!$G$2:$G$101,MATCH(TRIM(RIGHT(SUBSTITUTE(TRIM(H115&amp;"")," ",REPT(" ",60)),60)),코드표!$F$2:$F$101,0)),"⚠"&amp;TRIM(H115&amp;""))),"⚠"&amp;TRIM(H115&amp;""))</f>
        <v/>
      </c>
      <c r="Q115" s="10">
        <f>IFERROR(IF(TRIM(I115&amp;"")="","",IF(AND(ISNUMBER(FIND(" ",TRIM(I115&amp;""))),ISNUMBER(MATCH(LEFT(TRIM(I115&amp;""),FIND(" ",TRIM(I115&amp;""))-1),코드표!$J$2:$J$101,0)),ISNUMBER(MATCH(TRIM(RIGHT(SUBSTITUTE(TRIM(I115&amp;"")," ",REPT(" ",60)),60)),코드표!$F$2:$F$101,0))),INDEX(코드표!$K$2:$K$101,MATCH(LEFT(TRIM(I115&amp;""),FIND(" ",TRIM(I115&amp;""))-1),코드표!$J$2:$J$101,0))&amp;" "&amp;INDEX(코드표!$G$2:$G$101,MATCH(TRIM(RIGHT(SUBSTITUTE(TRIM(I115&amp;"")," ",REPT(" ",60)),60)),코드표!$F$2:$F$101,0)),"⚠"&amp;TRIM(I115&amp;""))),"⚠"&amp;TRIM(I115&amp;""))</f>
        <v/>
      </c>
      <c r="R115" s="10">
        <f>IFERROR(IF(TRIM(J115&amp;"")="","",IF(AND(ISNUMBER(FIND(" ",TRIM(J115&amp;""))),ISNUMBER(MATCH(LEFT(TRIM(J115&amp;""),FIND(" ",TRIM(J115&amp;""))-1),코드표!$J$2:$J$101,0)),ISNUMBER(MATCH(TRIM(RIGHT(SUBSTITUTE(TRIM(J115&amp;"")," ",REPT(" ",60)),60)),코드표!$F$2:$F$101,0))),INDEX(코드표!$K$2:$K$101,MATCH(LEFT(TRIM(J115&amp;""),FIND(" ",TRIM(J115&amp;""))-1),코드표!$J$2:$J$101,0))&amp;" "&amp;INDEX(코드표!$G$2:$G$101,MATCH(TRIM(RIGHT(SUBSTITUTE(TRIM(J115&amp;"")," ",REPT(" ",60)),60)),코드표!$F$2:$F$101,0)),"⚠"&amp;TRIM(J115&amp;""))),"⚠"&amp;TRIM(J115&amp;""))</f>
        <v/>
      </c>
      <c r="S115" s="11">
        <f>IF(K115="","",IFERROR(IF(AND(ROUND((VALUE(K115&amp;"")-INT(VALUE(K115&amp;"")))*100,0)&gt;=1,ROUND((VALUE(K115&amp;"")-INT(VALUE(K115&amp;"")))*100,0)&lt;=12,INT(VALUE(K115&amp;""))&gt;=1900),DATE(INT(VALUE(K115&amp;"")),ROUND((VALUE(K115&amp;"")-INT(VALUE(K115&amp;"")))*100,0),1),K115&amp;""),K115&amp;""))</f>
        <v/>
      </c>
      <c r="T115" s="10">
        <f>COUNTIF(M115:R115,"⚠*")</f>
        <v/>
      </c>
    </row>
    <row r="116"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M116" s="10">
        <f>IFERROR(IF(TRIM(E116&amp;"")="","",IF(AND(ISNUMBER(FIND(" ",TRIM(E116&amp;""))),ISNUMBER(MATCH(LEFT(TRIM(E116&amp;""),FIND(" ",TRIM(E116&amp;""))-1),코드표!$J$2:$J$101,0)),ISNUMBER(MATCH(TRIM(RIGHT(SUBSTITUTE(TRIM(E116&amp;"")," ",REPT(" ",60)),60)),코드표!$F$2:$F$101,0))),INDEX(코드표!$K$2:$K$101,MATCH(LEFT(TRIM(E116&amp;""),FIND(" ",TRIM(E116&amp;""))-1),코드표!$J$2:$J$101,0))&amp;" "&amp;INDEX(코드표!$G$2:$G$101,MATCH(TRIM(RIGHT(SUBSTITUTE(TRIM(E116&amp;"")," ",REPT(" ",60)),60)),코드표!$F$2:$F$101,0)),"⚠"&amp;TRIM(E116&amp;""))),"⚠"&amp;TRIM(E116&amp;""))</f>
        <v/>
      </c>
      <c r="N116" s="10">
        <f>IFERROR(IF(TRIM(F116&amp;"")="","",IF(AND(ISNUMBER(FIND(" ",TRIM(F116&amp;""))),ISNUMBER(MATCH(LEFT(TRIM(F116&amp;""),FIND(" ",TRIM(F116&amp;""))-1),코드표!$J$2:$J$101,0)),ISNUMBER(MATCH(TRIM(RIGHT(SUBSTITUTE(TRIM(F116&amp;"")," ",REPT(" ",60)),60)),코드표!$F$2:$F$101,0))),INDEX(코드표!$K$2:$K$101,MATCH(LEFT(TRIM(F116&amp;""),FIND(" ",TRIM(F116&amp;""))-1),코드표!$J$2:$J$101,0))&amp;" "&amp;INDEX(코드표!$G$2:$G$101,MATCH(TRIM(RIGHT(SUBSTITUTE(TRIM(F116&amp;"")," ",REPT(" ",60)),60)),코드표!$F$2:$F$101,0)),"⚠"&amp;TRIM(F116&amp;""))),"⚠"&amp;TRIM(F116&amp;""))</f>
        <v/>
      </c>
      <c r="O116" s="10">
        <f>IFERROR(IF(TRIM(G116&amp;"")="","",IF(AND(ISNUMBER(FIND(" ",TRIM(G116&amp;""))),ISNUMBER(MATCH(LEFT(TRIM(G116&amp;""),FIND(" ",TRIM(G116&amp;""))-1),코드표!$J$2:$J$101,0)),ISNUMBER(MATCH(TRIM(RIGHT(SUBSTITUTE(TRIM(G116&amp;"")," ",REPT(" ",60)),60)),코드표!$F$2:$F$101,0))),INDEX(코드표!$K$2:$K$101,MATCH(LEFT(TRIM(G116&amp;""),FIND(" ",TRIM(G116&amp;""))-1),코드표!$J$2:$J$101,0))&amp;" "&amp;INDEX(코드표!$G$2:$G$101,MATCH(TRIM(RIGHT(SUBSTITUTE(TRIM(G116&amp;"")," ",REPT(" ",60)),60)),코드표!$F$2:$F$101,0)),"⚠"&amp;TRIM(G116&amp;""))),"⚠"&amp;TRIM(G116&amp;""))</f>
        <v/>
      </c>
      <c r="P116" s="10">
        <f>IFERROR(IF(TRIM(H116&amp;"")="","",IF(AND(ISNUMBER(FIND(" ",TRIM(H116&amp;""))),ISNUMBER(MATCH(LEFT(TRIM(H116&amp;""),FIND(" ",TRIM(H116&amp;""))-1),코드표!$J$2:$J$101,0)),ISNUMBER(MATCH(TRIM(RIGHT(SUBSTITUTE(TRIM(H116&amp;"")," ",REPT(" ",60)),60)),코드표!$F$2:$F$101,0))),INDEX(코드표!$K$2:$K$101,MATCH(LEFT(TRIM(H116&amp;""),FIND(" ",TRIM(H116&amp;""))-1),코드표!$J$2:$J$101,0))&amp;" "&amp;INDEX(코드표!$G$2:$G$101,MATCH(TRIM(RIGHT(SUBSTITUTE(TRIM(H116&amp;"")," ",REPT(" ",60)),60)),코드표!$F$2:$F$101,0)),"⚠"&amp;TRIM(H116&amp;""))),"⚠"&amp;TRIM(H116&amp;""))</f>
        <v/>
      </c>
      <c r="Q116" s="10">
        <f>IFERROR(IF(TRIM(I116&amp;"")="","",IF(AND(ISNUMBER(FIND(" ",TRIM(I116&amp;""))),ISNUMBER(MATCH(LEFT(TRIM(I116&amp;""),FIND(" ",TRIM(I116&amp;""))-1),코드표!$J$2:$J$101,0)),ISNUMBER(MATCH(TRIM(RIGHT(SUBSTITUTE(TRIM(I116&amp;"")," ",REPT(" ",60)),60)),코드표!$F$2:$F$101,0))),INDEX(코드표!$K$2:$K$101,MATCH(LEFT(TRIM(I116&amp;""),FIND(" ",TRIM(I116&amp;""))-1),코드표!$J$2:$J$101,0))&amp;" "&amp;INDEX(코드표!$G$2:$G$101,MATCH(TRIM(RIGHT(SUBSTITUTE(TRIM(I116&amp;"")," ",REPT(" ",60)),60)),코드표!$F$2:$F$101,0)),"⚠"&amp;TRIM(I116&amp;""))),"⚠"&amp;TRIM(I116&amp;""))</f>
        <v/>
      </c>
      <c r="R116" s="10">
        <f>IFERROR(IF(TRIM(J116&amp;"")="","",IF(AND(ISNUMBER(FIND(" ",TRIM(J116&amp;""))),ISNUMBER(MATCH(LEFT(TRIM(J116&amp;""),FIND(" ",TRIM(J116&amp;""))-1),코드표!$J$2:$J$101,0)),ISNUMBER(MATCH(TRIM(RIGHT(SUBSTITUTE(TRIM(J116&amp;"")," ",REPT(" ",60)),60)),코드표!$F$2:$F$101,0))),INDEX(코드표!$K$2:$K$101,MATCH(LEFT(TRIM(J116&amp;""),FIND(" ",TRIM(J116&amp;""))-1),코드표!$J$2:$J$101,0))&amp;" "&amp;INDEX(코드표!$G$2:$G$101,MATCH(TRIM(RIGHT(SUBSTITUTE(TRIM(J116&amp;"")," ",REPT(" ",60)),60)),코드표!$F$2:$F$101,0)),"⚠"&amp;TRIM(J116&amp;""))),"⚠"&amp;TRIM(J116&amp;""))</f>
        <v/>
      </c>
      <c r="S116" s="11">
        <f>IF(K116="","",IFERROR(IF(AND(ROUND((VALUE(K116&amp;"")-INT(VALUE(K116&amp;"")))*100,0)&gt;=1,ROUND((VALUE(K116&amp;"")-INT(VALUE(K116&amp;"")))*100,0)&lt;=12,INT(VALUE(K116&amp;""))&gt;=1900),DATE(INT(VALUE(K116&amp;"")),ROUND((VALUE(K116&amp;"")-INT(VALUE(K116&amp;"")))*100,0),1),K116&amp;""),K116&amp;""))</f>
        <v/>
      </c>
      <c r="T116" s="10">
        <f>COUNTIF(M116:R116,"⚠*")</f>
        <v/>
      </c>
    </row>
    <row r="117"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M117" s="10">
        <f>IFERROR(IF(TRIM(E117&amp;"")="","",IF(AND(ISNUMBER(FIND(" ",TRIM(E117&amp;""))),ISNUMBER(MATCH(LEFT(TRIM(E117&amp;""),FIND(" ",TRIM(E117&amp;""))-1),코드표!$J$2:$J$101,0)),ISNUMBER(MATCH(TRIM(RIGHT(SUBSTITUTE(TRIM(E117&amp;"")," ",REPT(" ",60)),60)),코드표!$F$2:$F$101,0))),INDEX(코드표!$K$2:$K$101,MATCH(LEFT(TRIM(E117&amp;""),FIND(" ",TRIM(E117&amp;""))-1),코드표!$J$2:$J$101,0))&amp;" "&amp;INDEX(코드표!$G$2:$G$101,MATCH(TRIM(RIGHT(SUBSTITUTE(TRIM(E117&amp;"")," ",REPT(" ",60)),60)),코드표!$F$2:$F$101,0)),"⚠"&amp;TRIM(E117&amp;""))),"⚠"&amp;TRIM(E117&amp;""))</f>
        <v/>
      </c>
      <c r="N117" s="10">
        <f>IFERROR(IF(TRIM(F117&amp;"")="","",IF(AND(ISNUMBER(FIND(" ",TRIM(F117&amp;""))),ISNUMBER(MATCH(LEFT(TRIM(F117&amp;""),FIND(" ",TRIM(F117&amp;""))-1),코드표!$J$2:$J$101,0)),ISNUMBER(MATCH(TRIM(RIGHT(SUBSTITUTE(TRIM(F117&amp;"")," ",REPT(" ",60)),60)),코드표!$F$2:$F$101,0))),INDEX(코드표!$K$2:$K$101,MATCH(LEFT(TRIM(F117&amp;""),FIND(" ",TRIM(F117&amp;""))-1),코드표!$J$2:$J$101,0))&amp;" "&amp;INDEX(코드표!$G$2:$G$101,MATCH(TRIM(RIGHT(SUBSTITUTE(TRIM(F117&amp;"")," ",REPT(" ",60)),60)),코드표!$F$2:$F$101,0)),"⚠"&amp;TRIM(F117&amp;""))),"⚠"&amp;TRIM(F117&amp;""))</f>
        <v/>
      </c>
      <c r="O117" s="10">
        <f>IFERROR(IF(TRIM(G117&amp;"")="","",IF(AND(ISNUMBER(FIND(" ",TRIM(G117&amp;""))),ISNUMBER(MATCH(LEFT(TRIM(G117&amp;""),FIND(" ",TRIM(G117&amp;""))-1),코드표!$J$2:$J$101,0)),ISNUMBER(MATCH(TRIM(RIGHT(SUBSTITUTE(TRIM(G117&amp;"")," ",REPT(" ",60)),60)),코드표!$F$2:$F$101,0))),INDEX(코드표!$K$2:$K$101,MATCH(LEFT(TRIM(G117&amp;""),FIND(" ",TRIM(G117&amp;""))-1),코드표!$J$2:$J$101,0))&amp;" "&amp;INDEX(코드표!$G$2:$G$101,MATCH(TRIM(RIGHT(SUBSTITUTE(TRIM(G117&amp;"")," ",REPT(" ",60)),60)),코드표!$F$2:$F$101,0)),"⚠"&amp;TRIM(G117&amp;""))),"⚠"&amp;TRIM(G117&amp;""))</f>
        <v/>
      </c>
      <c r="P117" s="10">
        <f>IFERROR(IF(TRIM(H117&amp;"")="","",IF(AND(ISNUMBER(FIND(" ",TRIM(H117&amp;""))),ISNUMBER(MATCH(LEFT(TRIM(H117&amp;""),FIND(" ",TRIM(H117&amp;""))-1),코드표!$J$2:$J$101,0)),ISNUMBER(MATCH(TRIM(RIGHT(SUBSTITUTE(TRIM(H117&amp;"")," ",REPT(" ",60)),60)),코드표!$F$2:$F$101,0))),INDEX(코드표!$K$2:$K$101,MATCH(LEFT(TRIM(H117&amp;""),FIND(" ",TRIM(H117&amp;""))-1),코드표!$J$2:$J$101,0))&amp;" "&amp;INDEX(코드표!$G$2:$G$101,MATCH(TRIM(RIGHT(SUBSTITUTE(TRIM(H117&amp;"")," ",REPT(" ",60)),60)),코드표!$F$2:$F$101,0)),"⚠"&amp;TRIM(H117&amp;""))),"⚠"&amp;TRIM(H117&amp;""))</f>
        <v/>
      </c>
      <c r="Q117" s="10">
        <f>IFERROR(IF(TRIM(I117&amp;"")="","",IF(AND(ISNUMBER(FIND(" ",TRIM(I117&amp;""))),ISNUMBER(MATCH(LEFT(TRIM(I117&amp;""),FIND(" ",TRIM(I117&amp;""))-1),코드표!$J$2:$J$101,0)),ISNUMBER(MATCH(TRIM(RIGHT(SUBSTITUTE(TRIM(I117&amp;"")," ",REPT(" ",60)),60)),코드표!$F$2:$F$101,0))),INDEX(코드표!$K$2:$K$101,MATCH(LEFT(TRIM(I117&amp;""),FIND(" ",TRIM(I117&amp;""))-1),코드표!$J$2:$J$101,0))&amp;" "&amp;INDEX(코드표!$G$2:$G$101,MATCH(TRIM(RIGHT(SUBSTITUTE(TRIM(I117&amp;"")," ",REPT(" ",60)),60)),코드표!$F$2:$F$101,0)),"⚠"&amp;TRIM(I117&amp;""))),"⚠"&amp;TRIM(I117&amp;""))</f>
        <v/>
      </c>
      <c r="R117" s="10">
        <f>IFERROR(IF(TRIM(J117&amp;"")="","",IF(AND(ISNUMBER(FIND(" ",TRIM(J117&amp;""))),ISNUMBER(MATCH(LEFT(TRIM(J117&amp;""),FIND(" ",TRIM(J117&amp;""))-1),코드표!$J$2:$J$101,0)),ISNUMBER(MATCH(TRIM(RIGHT(SUBSTITUTE(TRIM(J117&amp;"")," ",REPT(" ",60)),60)),코드표!$F$2:$F$101,0))),INDEX(코드표!$K$2:$K$101,MATCH(LEFT(TRIM(J117&amp;""),FIND(" ",TRIM(J117&amp;""))-1),코드표!$J$2:$J$101,0))&amp;" "&amp;INDEX(코드표!$G$2:$G$101,MATCH(TRIM(RIGHT(SUBSTITUTE(TRIM(J117&amp;"")," ",REPT(" ",60)),60)),코드표!$F$2:$F$101,0)),"⚠"&amp;TRIM(J117&amp;""))),"⚠"&amp;TRIM(J117&amp;""))</f>
        <v/>
      </c>
      <c r="S117" s="11">
        <f>IF(K117="","",IFERROR(IF(AND(ROUND((VALUE(K117&amp;"")-INT(VALUE(K117&amp;"")))*100,0)&gt;=1,ROUND((VALUE(K117&amp;"")-INT(VALUE(K117&amp;"")))*100,0)&lt;=12,INT(VALUE(K117&amp;""))&gt;=1900),DATE(INT(VALUE(K117&amp;"")),ROUND((VALUE(K117&amp;"")-INT(VALUE(K117&amp;"")))*100,0),1),K117&amp;""),K117&amp;""))</f>
        <v/>
      </c>
      <c r="T117" s="10">
        <f>COUNTIF(M117:R117,"⚠*")</f>
        <v/>
      </c>
    </row>
    <row r="118"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M118" s="10">
        <f>IFERROR(IF(TRIM(E118&amp;"")="","",IF(AND(ISNUMBER(FIND(" ",TRIM(E118&amp;""))),ISNUMBER(MATCH(LEFT(TRIM(E118&amp;""),FIND(" ",TRIM(E118&amp;""))-1),코드표!$J$2:$J$101,0)),ISNUMBER(MATCH(TRIM(RIGHT(SUBSTITUTE(TRIM(E118&amp;"")," ",REPT(" ",60)),60)),코드표!$F$2:$F$101,0))),INDEX(코드표!$K$2:$K$101,MATCH(LEFT(TRIM(E118&amp;""),FIND(" ",TRIM(E118&amp;""))-1),코드표!$J$2:$J$101,0))&amp;" "&amp;INDEX(코드표!$G$2:$G$101,MATCH(TRIM(RIGHT(SUBSTITUTE(TRIM(E118&amp;"")," ",REPT(" ",60)),60)),코드표!$F$2:$F$101,0)),"⚠"&amp;TRIM(E118&amp;""))),"⚠"&amp;TRIM(E118&amp;""))</f>
        <v/>
      </c>
      <c r="N118" s="10">
        <f>IFERROR(IF(TRIM(F118&amp;"")="","",IF(AND(ISNUMBER(FIND(" ",TRIM(F118&amp;""))),ISNUMBER(MATCH(LEFT(TRIM(F118&amp;""),FIND(" ",TRIM(F118&amp;""))-1),코드표!$J$2:$J$101,0)),ISNUMBER(MATCH(TRIM(RIGHT(SUBSTITUTE(TRIM(F118&amp;"")," ",REPT(" ",60)),60)),코드표!$F$2:$F$101,0))),INDEX(코드표!$K$2:$K$101,MATCH(LEFT(TRIM(F118&amp;""),FIND(" ",TRIM(F118&amp;""))-1),코드표!$J$2:$J$101,0))&amp;" "&amp;INDEX(코드표!$G$2:$G$101,MATCH(TRIM(RIGHT(SUBSTITUTE(TRIM(F118&amp;"")," ",REPT(" ",60)),60)),코드표!$F$2:$F$101,0)),"⚠"&amp;TRIM(F118&amp;""))),"⚠"&amp;TRIM(F118&amp;""))</f>
        <v/>
      </c>
      <c r="O118" s="10">
        <f>IFERROR(IF(TRIM(G118&amp;"")="","",IF(AND(ISNUMBER(FIND(" ",TRIM(G118&amp;""))),ISNUMBER(MATCH(LEFT(TRIM(G118&amp;""),FIND(" ",TRIM(G118&amp;""))-1),코드표!$J$2:$J$101,0)),ISNUMBER(MATCH(TRIM(RIGHT(SUBSTITUTE(TRIM(G118&amp;"")," ",REPT(" ",60)),60)),코드표!$F$2:$F$101,0))),INDEX(코드표!$K$2:$K$101,MATCH(LEFT(TRIM(G118&amp;""),FIND(" ",TRIM(G118&amp;""))-1),코드표!$J$2:$J$101,0))&amp;" "&amp;INDEX(코드표!$G$2:$G$101,MATCH(TRIM(RIGHT(SUBSTITUTE(TRIM(G118&amp;"")," ",REPT(" ",60)),60)),코드표!$F$2:$F$101,0)),"⚠"&amp;TRIM(G118&amp;""))),"⚠"&amp;TRIM(G118&amp;""))</f>
        <v/>
      </c>
      <c r="P118" s="10">
        <f>IFERROR(IF(TRIM(H118&amp;"")="","",IF(AND(ISNUMBER(FIND(" ",TRIM(H118&amp;""))),ISNUMBER(MATCH(LEFT(TRIM(H118&amp;""),FIND(" ",TRIM(H118&amp;""))-1),코드표!$J$2:$J$101,0)),ISNUMBER(MATCH(TRIM(RIGHT(SUBSTITUTE(TRIM(H118&amp;"")," ",REPT(" ",60)),60)),코드표!$F$2:$F$101,0))),INDEX(코드표!$K$2:$K$101,MATCH(LEFT(TRIM(H118&amp;""),FIND(" ",TRIM(H118&amp;""))-1),코드표!$J$2:$J$101,0))&amp;" "&amp;INDEX(코드표!$G$2:$G$101,MATCH(TRIM(RIGHT(SUBSTITUTE(TRIM(H118&amp;"")," ",REPT(" ",60)),60)),코드표!$F$2:$F$101,0)),"⚠"&amp;TRIM(H118&amp;""))),"⚠"&amp;TRIM(H118&amp;""))</f>
        <v/>
      </c>
      <c r="Q118" s="10">
        <f>IFERROR(IF(TRIM(I118&amp;"")="","",IF(AND(ISNUMBER(FIND(" ",TRIM(I118&amp;""))),ISNUMBER(MATCH(LEFT(TRIM(I118&amp;""),FIND(" ",TRIM(I118&amp;""))-1),코드표!$J$2:$J$101,0)),ISNUMBER(MATCH(TRIM(RIGHT(SUBSTITUTE(TRIM(I118&amp;"")," ",REPT(" ",60)),60)),코드표!$F$2:$F$101,0))),INDEX(코드표!$K$2:$K$101,MATCH(LEFT(TRIM(I118&amp;""),FIND(" ",TRIM(I118&amp;""))-1),코드표!$J$2:$J$101,0))&amp;" "&amp;INDEX(코드표!$G$2:$G$101,MATCH(TRIM(RIGHT(SUBSTITUTE(TRIM(I118&amp;"")," ",REPT(" ",60)),60)),코드표!$F$2:$F$101,0)),"⚠"&amp;TRIM(I118&amp;""))),"⚠"&amp;TRIM(I118&amp;""))</f>
        <v/>
      </c>
      <c r="R118" s="10">
        <f>IFERROR(IF(TRIM(J118&amp;"")="","",IF(AND(ISNUMBER(FIND(" ",TRIM(J118&amp;""))),ISNUMBER(MATCH(LEFT(TRIM(J118&amp;""),FIND(" ",TRIM(J118&amp;""))-1),코드표!$J$2:$J$101,0)),ISNUMBER(MATCH(TRIM(RIGHT(SUBSTITUTE(TRIM(J118&amp;"")," ",REPT(" ",60)),60)),코드표!$F$2:$F$101,0))),INDEX(코드표!$K$2:$K$101,MATCH(LEFT(TRIM(J118&amp;""),FIND(" ",TRIM(J118&amp;""))-1),코드표!$J$2:$J$101,0))&amp;" "&amp;INDEX(코드표!$G$2:$G$101,MATCH(TRIM(RIGHT(SUBSTITUTE(TRIM(J118&amp;"")," ",REPT(" ",60)),60)),코드표!$F$2:$F$101,0)),"⚠"&amp;TRIM(J118&amp;""))),"⚠"&amp;TRIM(J118&amp;""))</f>
        <v/>
      </c>
      <c r="S118" s="11">
        <f>IF(K118="","",IFERROR(IF(AND(ROUND((VALUE(K118&amp;"")-INT(VALUE(K118&amp;"")))*100,0)&gt;=1,ROUND((VALUE(K118&amp;"")-INT(VALUE(K118&amp;"")))*100,0)&lt;=12,INT(VALUE(K118&amp;""))&gt;=1900),DATE(INT(VALUE(K118&amp;"")),ROUND((VALUE(K118&amp;"")-INT(VALUE(K118&amp;"")))*100,0),1),K118&amp;""),K118&amp;""))</f>
        <v/>
      </c>
      <c r="T118" s="10">
        <f>COUNTIF(M118:R118,"⚠*")</f>
        <v/>
      </c>
    </row>
    <row r="119"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M119" s="10">
        <f>IFERROR(IF(TRIM(E119&amp;"")="","",IF(AND(ISNUMBER(FIND(" ",TRIM(E119&amp;""))),ISNUMBER(MATCH(LEFT(TRIM(E119&amp;""),FIND(" ",TRIM(E119&amp;""))-1),코드표!$J$2:$J$101,0)),ISNUMBER(MATCH(TRIM(RIGHT(SUBSTITUTE(TRIM(E119&amp;"")," ",REPT(" ",60)),60)),코드표!$F$2:$F$101,0))),INDEX(코드표!$K$2:$K$101,MATCH(LEFT(TRIM(E119&amp;""),FIND(" ",TRIM(E119&amp;""))-1),코드표!$J$2:$J$101,0))&amp;" "&amp;INDEX(코드표!$G$2:$G$101,MATCH(TRIM(RIGHT(SUBSTITUTE(TRIM(E119&amp;"")," ",REPT(" ",60)),60)),코드표!$F$2:$F$101,0)),"⚠"&amp;TRIM(E119&amp;""))),"⚠"&amp;TRIM(E119&amp;""))</f>
        <v/>
      </c>
      <c r="N119" s="10">
        <f>IFERROR(IF(TRIM(F119&amp;"")="","",IF(AND(ISNUMBER(FIND(" ",TRIM(F119&amp;""))),ISNUMBER(MATCH(LEFT(TRIM(F119&amp;""),FIND(" ",TRIM(F119&amp;""))-1),코드표!$J$2:$J$101,0)),ISNUMBER(MATCH(TRIM(RIGHT(SUBSTITUTE(TRIM(F119&amp;"")," ",REPT(" ",60)),60)),코드표!$F$2:$F$101,0))),INDEX(코드표!$K$2:$K$101,MATCH(LEFT(TRIM(F119&amp;""),FIND(" ",TRIM(F119&amp;""))-1),코드표!$J$2:$J$101,0))&amp;" "&amp;INDEX(코드표!$G$2:$G$101,MATCH(TRIM(RIGHT(SUBSTITUTE(TRIM(F119&amp;"")," ",REPT(" ",60)),60)),코드표!$F$2:$F$101,0)),"⚠"&amp;TRIM(F119&amp;""))),"⚠"&amp;TRIM(F119&amp;""))</f>
        <v/>
      </c>
      <c r="O119" s="10">
        <f>IFERROR(IF(TRIM(G119&amp;"")="","",IF(AND(ISNUMBER(FIND(" ",TRIM(G119&amp;""))),ISNUMBER(MATCH(LEFT(TRIM(G119&amp;""),FIND(" ",TRIM(G119&amp;""))-1),코드표!$J$2:$J$101,0)),ISNUMBER(MATCH(TRIM(RIGHT(SUBSTITUTE(TRIM(G119&amp;"")," ",REPT(" ",60)),60)),코드표!$F$2:$F$101,0))),INDEX(코드표!$K$2:$K$101,MATCH(LEFT(TRIM(G119&amp;""),FIND(" ",TRIM(G119&amp;""))-1),코드표!$J$2:$J$101,0))&amp;" "&amp;INDEX(코드표!$G$2:$G$101,MATCH(TRIM(RIGHT(SUBSTITUTE(TRIM(G119&amp;"")," ",REPT(" ",60)),60)),코드표!$F$2:$F$101,0)),"⚠"&amp;TRIM(G119&amp;""))),"⚠"&amp;TRIM(G119&amp;""))</f>
        <v/>
      </c>
      <c r="P119" s="10">
        <f>IFERROR(IF(TRIM(H119&amp;"")="","",IF(AND(ISNUMBER(FIND(" ",TRIM(H119&amp;""))),ISNUMBER(MATCH(LEFT(TRIM(H119&amp;""),FIND(" ",TRIM(H119&amp;""))-1),코드표!$J$2:$J$101,0)),ISNUMBER(MATCH(TRIM(RIGHT(SUBSTITUTE(TRIM(H119&amp;"")," ",REPT(" ",60)),60)),코드표!$F$2:$F$101,0))),INDEX(코드표!$K$2:$K$101,MATCH(LEFT(TRIM(H119&amp;""),FIND(" ",TRIM(H119&amp;""))-1),코드표!$J$2:$J$101,0))&amp;" "&amp;INDEX(코드표!$G$2:$G$101,MATCH(TRIM(RIGHT(SUBSTITUTE(TRIM(H119&amp;"")," ",REPT(" ",60)),60)),코드표!$F$2:$F$101,0)),"⚠"&amp;TRIM(H119&amp;""))),"⚠"&amp;TRIM(H119&amp;""))</f>
        <v/>
      </c>
      <c r="Q119" s="10">
        <f>IFERROR(IF(TRIM(I119&amp;"")="","",IF(AND(ISNUMBER(FIND(" ",TRIM(I119&amp;""))),ISNUMBER(MATCH(LEFT(TRIM(I119&amp;""),FIND(" ",TRIM(I119&amp;""))-1),코드표!$J$2:$J$101,0)),ISNUMBER(MATCH(TRIM(RIGHT(SUBSTITUTE(TRIM(I119&amp;"")," ",REPT(" ",60)),60)),코드표!$F$2:$F$101,0))),INDEX(코드표!$K$2:$K$101,MATCH(LEFT(TRIM(I119&amp;""),FIND(" ",TRIM(I119&amp;""))-1),코드표!$J$2:$J$101,0))&amp;" "&amp;INDEX(코드표!$G$2:$G$101,MATCH(TRIM(RIGHT(SUBSTITUTE(TRIM(I119&amp;"")," ",REPT(" ",60)),60)),코드표!$F$2:$F$101,0)),"⚠"&amp;TRIM(I119&amp;""))),"⚠"&amp;TRIM(I119&amp;""))</f>
        <v/>
      </c>
      <c r="R119" s="10">
        <f>IFERROR(IF(TRIM(J119&amp;"")="","",IF(AND(ISNUMBER(FIND(" ",TRIM(J119&amp;""))),ISNUMBER(MATCH(LEFT(TRIM(J119&amp;""),FIND(" ",TRIM(J119&amp;""))-1),코드표!$J$2:$J$101,0)),ISNUMBER(MATCH(TRIM(RIGHT(SUBSTITUTE(TRIM(J119&amp;"")," ",REPT(" ",60)),60)),코드표!$F$2:$F$101,0))),INDEX(코드표!$K$2:$K$101,MATCH(LEFT(TRIM(J119&amp;""),FIND(" ",TRIM(J119&amp;""))-1),코드표!$J$2:$J$101,0))&amp;" "&amp;INDEX(코드표!$G$2:$G$101,MATCH(TRIM(RIGHT(SUBSTITUTE(TRIM(J119&amp;"")," ",REPT(" ",60)),60)),코드표!$F$2:$F$101,0)),"⚠"&amp;TRIM(J119&amp;""))),"⚠"&amp;TRIM(J119&amp;""))</f>
        <v/>
      </c>
      <c r="S119" s="11">
        <f>IF(K119="","",IFERROR(IF(AND(ROUND((VALUE(K119&amp;"")-INT(VALUE(K119&amp;"")))*100,0)&gt;=1,ROUND((VALUE(K119&amp;"")-INT(VALUE(K119&amp;"")))*100,0)&lt;=12,INT(VALUE(K119&amp;""))&gt;=1900),DATE(INT(VALUE(K119&amp;"")),ROUND((VALUE(K119&amp;"")-INT(VALUE(K119&amp;"")))*100,0),1),K119&amp;""),K119&amp;""))</f>
        <v/>
      </c>
      <c r="T119" s="10">
        <f>COUNTIF(M119:R119,"⚠*")</f>
        <v/>
      </c>
    </row>
    <row r="120"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M120" s="10">
        <f>IFERROR(IF(TRIM(E120&amp;"")="","",IF(AND(ISNUMBER(FIND(" ",TRIM(E120&amp;""))),ISNUMBER(MATCH(LEFT(TRIM(E120&amp;""),FIND(" ",TRIM(E120&amp;""))-1),코드표!$J$2:$J$101,0)),ISNUMBER(MATCH(TRIM(RIGHT(SUBSTITUTE(TRIM(E120&amp;"")," ",REPT(" ",60)),60)),코드표!$F$2:$F$101,0))),INDEX(코드표!$K$2:$K$101,MATCH(LEFT(TRIM(E120&amp;""),FIND(" ",TRIM(E120&amp;""))-1),코드표!$J$2:$J$101,0))&amp;" "&amp;INDEX(코드표!$G$2:$G$101,MATCH(TRIM(RIGHT(SUBSTITUTE(TRIM(E120&amp;"")," ",REPT(" ",60)),60)),코드표!$F$2:$F$101,0)),"⚠"&amp;TRIM(E120&amp;""))),"⚠"&amp;TRIM(E120&amp;""))</f>
        <v/>
      </c>
      <c r="N120" s="10">
        <f>IFERROR(IF(TRIM(F120&amp;"")="","",IF(AND(ISNUMBER(FIND(" ",TRIM(F120&amp;""))),ISNUMBER(MATCH(LEFT(TRIM(F120&amp;""),FIND(" ",TRIM(F120&amp;""))-1),코드표!$J$2:$J$101,0)),ISNUMBER(MATCH(TRIM(RIGHT(SUBSTITUTE(TRIM(F120&amp;"")," ",REPT(" ",60)),60)),코드표!$F$2:$F$101,0))),INDEX(코드표!$K$2:$K$101,MATCH(LEFT(TRIM(F120&amp;""),FIND(" ",TRIM(F120&amp;""))-1),코드표!$J$2:$J$101,0))&amp;" "&amp;INDEX(코드표!$G$2:$G$101,MATCH(TRIM(RIGHT(SUBSTITUTE(TRIM(F120&amp;"")," ",REPT(" ",60)),60)),코드표!$F$2:$F$101,0)),"⚠"&amp;TRIM(F120&amp;""))),"⚠"&amp;TRIM(F120&amp;""))</f>
        <v/>
      </c>
      <c r="O120" s="10">
        <f>IFERROR(IF(TRIM(G120&amp;"")="","",IF(AND(ISNUMBER(FIND(" ",TRIM(G120&amp;""))),ISNUMBER(MATCH(LEFT(TRIM(G120&amp;""),FIND(" ",TRIM(G120&amp;""))-1),코드표!$J$2:$J$101,0)),ISNUMBER(MATCH(TRIM(RIGHT(SUBSTITUTE(TRIM(G120&amp;"")," ",REPT(" ",60)),60)),코드표!$F$2:$F$101,0))),INDEX(코드표!$K$2:$K$101,MATCH(LEFT(TRIM(G120&amp;""),FIND(" ",TRIM(G120&amp;""))-1),코드표!$J$2:$J$101,0))&amp;" "&amp;INDEX(코드표!$G$2:$G$101,MATCH(TRIM(RIGHT(SUBSTITUTE(TRIM(G120&amp;"")," ",REPT(" ",60)),60)),코드표!$F$2:$F$101,0)),"⚠"&amp;TRIM(G120&amp;""))),"⚠"&amp;TRIM(G120&amp;""))</f>
        <v/>
      </c>
      <c r="P120" s="10">
        <f>IFERROR(IF(TRIM(H120&amp;"")="","",IF(AND(ISNUMBER(FIND(" ",TRIM(H120&amp;""))),ISNUMBER(MATCH(LEFT(TRIM(H120&amp;""),FIND(" ",TRIM(H120&amp;""))-1),코드표!$J$2:$J$101,0)),ISNUMBER(MATCH(TRIM(RIGHT(SUBSTITUTE(TRIM(H120&amp;"")," ",REPT(" ",60)),60)),코드표!$F$2:$F$101,0))),INDEX(코드표!$K$2:$K$101,MATCH(LEFT(TRIM(H120&amp;""),FIND(" ",TRIM(H120&amp;""))-1),코드표!$J$2:$J$101,0))&amp;" "&amp;INDEX(코드표!$G$2:$G$101,MATCH(TRIM(RIGHT(SUBSTITUTE(TRIM(H120&amp;"")," ",REPT(" ",60)),60)),코드표!$F$2:$F$101,0)),"⚠"&amp;TRIM(H120&amp;""))),"⚠"&amp;TRIM(H120&amp;""))</f>
        <v/>
      </c>
      <c r="Q120" s="10">
        <f>IFERROR(IF(TRIM(I120&amp;"")="","",IF(AND(ISNUMBER(FIND(" ",TRIM(I120&amp;""))),ISNUMBER(MATCH(LEFT(TRIM(I120&amp;""),FIND(" ",TRIM(I120&amp;""))-1),코드표!$J$2:$J$101,0)),ISNUMBER(MATCH(TRIM(RIGHT(SUBSTITUTE(TRIM(I120&amp;"")," ",REPT(" ",60)),60)),코드표!$F$2:$F$101,0))),INDEX(코드표!$K$2:$K$101,MATCH(LEFT(TRIM(I120&amp;""),FIND(" ",TRIM(I120&amp;""))-1),코드표!$J$2:$J$101,0))&amp;" "&amp;INDEX(코드표!$G$2:$G$101,MATCH(TRIM(RIGHT(SUBSTITUTE(TRIM(I120&amp;"")," ",REPT(" ",60)),60)),코드표!$F$2:$F$101,0)),"⚠"&amp;TRIM(I120&amp;""))),"⚠"&amp;TRIM(I120&amp;""))</f>
        <v/>
      </c>
      <c r="R120" s="10">
        <f>IFERROR(IF(TRIM(J120&amp;"")="","",IF(AND(ISNUMBER(FIND(" ",TRIM(J120&amp;""))),ISNUMBER(MATCH(LEFT(TRIM(J120&amp;""),FIND(" ",TRIM(J120&amp;""))-1),코드표!$J$2:$J$101,0)),ISNUMBER(MATCH(TRIM(RIGHT(SUBSTITUTE(TRIM(J120&amp;"")," ",REPT(" ",60)),60)),코드표!$F$2:$F$101,0))),INDEX(코드표!$K$2:$K$101,MATCH(LEFT(TRIM(J120&amp;""),FIND(" ",TRIM(J120&amp;""))-1),코드표!$J$2:$J$101,0))&amp;" "&amp;INDEX(코드표!$G$2:$G$101,MATCH(TRIM(RIGHT(SUBSTITUTE(TRIM(J120&amp;"")," ",REPT(" ",60)),60)),코드표!$F$2:$F$101,0)),"⚠"&amp;TRIM(J120&amp;""))),"⚠"&amp;TRIM(J120&amp;""))</f>
        <v/>
      </c>
      <c r="S120" s="11">
        <f>IF(K120="","",IFERROR(IF(AND(ROUND((VALUE(K120&amp;"")-INT(VALUE(K120&amp;"")))*100,0)&gt;=1,ROUND((VALUE(K120&amp;"")-INT(VALUE(K120&amp;"")))*100,0)&lt;=12,INT(VALUE(K120&amp;""))&gt;=1900),DATE(INT(VALUE(K120&amp;"")),ROUND((VALUE(K120&amp;"")-INT(VALUE(K120&amp;"")))*100,0),1),K120&amp;""),K120&amp;""))</f>
        <v/>
      </c>
      <c r="T120" s="10">
        <f>COUNTIF(M120:R120,"⚠*")</f>
        <v/>
      </c>
    </row>
    <row r="121"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M121" s="10">
        <f>IFERROR(IF(TRIM(E121&amp;"")="","",IF(AND(ISNUMBER(FIND(" ",TRIM(E121&amp;""))),ISNUMBER(MATCH(LEFT(TRIM(E121&amp;""),FIND(" ",TRIM(E121&amp;""))-1),코드표!$J$2:$J$101,0)),ISNUMBER(MATCH(TRIM(RIGHT(SUBSTITUTE(TRIM(E121&amp;"")," ",REPT(" ",60)),60)),코드표!$F$2:$F$101,0))),INDEX(코드표!$K$2:$K$101,MATCH(LEFT(TRIM(E121&amp;""),FIND(" ",TRIM(E121&amp;""))-1),코드표!$J$2:$J$101,0))&amp;" "&amp;INDEX(코드표!$G$2:$G$101,MATCH(TRIM(RIGHT(SUBSTITUTE(TRIM(E121&amp;"")," ",REPT(" ",60)),60)),코드표!$F$2:$F$101,0)),"⚠"&amp;TRIM(E121&amp;""))),"⚠"&amp;TRIM(E121&amp;""))</f>
        <v/>
      </c>
      <c r="N121" s="10">
        <f>IFERROR(IF(TRIM(F121&amp;"")="","",IF(AND(ISNUMBER(FIND(" ",TRIM(F121&amp;""))),ISNUMBER(MATCH(LEFT(TRIM(F121&amp;""),FIND(" ",TRIM(F121&amp;""))-1),코드표!$J$2:$J$101,0)),ISNUMBER(MATCH(TRIM(RIGHT(SUBSTITUTE(TRIM(F121&amp;"")," ",REPT(" ",60)),60)),코드표!$F$2:$F$101,0))),INDEX(코드표!$K$2:$K$101,MATCH(LEFT(TRIM(F121&amp;""),FIND(" ",TRIM(F121&amp;""))-1),코드표!$J$2:$J$101,0))&amp;" "&amp;INDEX(코드표!$G$2:$G$101,MATCH(TRIM(RIGHT(SUBSTITUTE(TRIM(F121&amp;"")," ",REPT(" ",60)),60)),코드표!$F$2:$F$101,0)),"⚠"&amp;TRIM(F121&amp;""))),"⚠"&amp;TRIM(F121&amp;""))</f>
        <v/>
      </c>
      <c r="O121" s="10">
        <f>IFERROR(IF(TRIM(G121&amp;"")="","",IF(AND(ISNUMBER(FIND(" ",TRIM(G121&amp;""))),ISNUMBER(MATCH(LEFT(TRIM(G121&amp;""),FIND(" ",TRIM(G121&amp;""))-1),코드표!$J$2:$J$101,0)),ISNUMBER(MATCH(TRIM(RIGHT(SUBSTITUTE(TRIM(G121&amp;"")," ",REPT(" ",60)),60)),코드표!$F$2:$F$101,0))),INDEX(코드표!$K$2:$K$101,MATCH(LEFT(TRIM(G121&amp;""),FIND(" ",TRIM(G121&amp;""))-1),코드표!$J$2:$J$101,0))&amp;" "&amp;INDEX(코드표!$G$2:$G$101,MATCH(TRIM(RIGHT(SUBSTITUTE(TRIM(G121&amp;"")," ",REPT(" ",60)),60)),코드표!$F$2:$F$101,0)),"⚠"&amp;TRIM(G121&amp;""))),"⚠"&amp;TRIM(G121&amp;""))</f>
        <v/>
      </c>
      <c r="P121" s="10">
        <f>IFERROR(IF(TRIM(H121&amp;"")="","",IF(AND(ISNUMBER(FIND(" ",TRIM(H121&amp;""))),ISNUMBER(MATCH(LEFT(TRIM(H121&amp;""),FIND(" ",TRIM(H121&amp;""))-1),코드표!$J$2:$J$101,0)),ISNUMBER(MATCH(TRIM(RIGHT(SUBSTITUTE(TRIM(H121&amp;"")," ",REPT(" ",60)),60)),코드표!$F$2:$F$101,0))),INDEX(코드표!$K$2:$K$101,MATCH(LEFT(TRIM(H121&amp;""),FIND(" ",TRIM(H121&amp;""))-1),코드표!$J$2:$J$101,0))&amp;" "&amp;INDEX(코드표!$G$2:$G$101,MATCH(TRIM(RIGHT(SUBSTITUTE(TRIM(H121&amp;"")," ",REPT(" ",60)),60)),코드표!$F$2:$F$101,0)),"⚠"&amp;TRIM(H121&amp;""))),"⚠"&amp;TRIM(H121&amp;""))</f>
        <v/>
      </c>
      <c r="Q121" s="10">
        <f>IFERROR(IF(TRIM(I121&amp;"")="","",IF(AND(ISNUMBER(FIND(" ",TRIM(I121&amp;""))),ISNUMBER(MATCH(LEFT(TRIM(I121&amp;""),FIND(" ",TRIM(I121&amp;""))-1),코드표!$J$2:$J$101,0)),ISNUMBER(MATCH(TRIM(RIGHT(SUBSTITUTE(TRIM(I121&amp;"")," ",REPT(" ",60)),60)),코드표!$F$2:$F$101,0))),INDEX(코드표!$K$2:$K$101,MATCH(LEFT(TRIM(I121&amp;""),FIND(" ",TRIM(I121&amp;""))-1),코드표!$J$2:$J$101,0))&amp;" "&amp;INDEX(코드표!$G$2:$G$101,MATCH(TRIM(RIGHT(SUBSTITUTE(TRIM(I121&amp;"")," ",REPT(" ",60)),60)),코드표!$F$2:$F$101,0)),"⚠"&amp;TRIM(I121&amp;""))),"⚠"&amp;TRIM(I121&amp;""))</f>
        <v/>
      </c>
      <c r="R121" s="10">
        <f>IFERROR(IF(TRIM(J121&amp;"")="","",IF(AND(ISNUMBER(FIND(" ",TRIM(J121&amp;""))),ISNUMBER(MATCH(LEFT(TRIM(J121&amp;""),FIND(" ",TRIM(J121&amp;""))-1),코드표!$J$2:$J$101,0)),ISNUMBER(MATCH(TRIM(RIGHT(SUBSTITUTE(TRIM(J121&amp;"")," ",REPT(" ",60)),60)),코드표!$F$2:$F$101,0))),INDEX(코드표!$K$2:$K$101,MATCH(LEFT(TRIM(J121&amp;""),FIND(" ",TRIM(J121&amp;""))-1),코드표!$J$2:$J$101,0))&amp;" "&amp;INDEX(코드표!$G$2:$G$101,MATCH(TRIM(RIGHT(SUBSTITUTE(TRIM(J121&amp;"")," ",REPT(" ",60)),60)),코드표!$F$2:$F$101,0)),"⚠"&amp;TRIM(J121&amp;""))),"⚠"&amp;TRIM(J121&amp;""))</f>
        <v/>
      </c>
      <c r="S121" s="11">
        <f>IF(K121="","",IFERROR(IF(AND(ROUND((VALUE(K121&amp;"")-INT(VALUE(K121&amp;"")))*100,0)&gt;=1,ROUND((VALUE(K121&amp;"")-INT(VALUE(K121&amp;"")))*100,0)&lt;=12,INT(VALUE(K121&amp;""))&gt;=1900),DATE(INT(VALUE(K121&amp;"")),ROUND((VALUE(K121&amp;"")-INT(VALUE(K121&amp;"")))*100,0),1),K121&amp;""),K121&amp;""))</f>
        <v/>
      </c>
      <c r="T121" s="10">
        <f>COUNTIF(M121:R121,"⚠*")</f>
        <v/>
      </c>
    </row>
    <row r="122"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M122" s="10">
        <f>IFERROR(IF(TRIM(E122&amp;"")="","",IF(AND(ISNUMBER(FIND(" ",TRIM(E122&amp;""))),ISNUMBER(MATCH(LEFT(TRIM(E122&amp;""),FIND(" ",TRIM(E122&amp;""))-1),코드표!$J$2:$J$101,0)),ISNUMBER(MATCH(TRIM(RIGHT(SUBSTITUTE(TRIM(E122&amp;"")," ",REPT(" ",60)),60)),코드표!$F$2:$F$101,0))),INDEX(코드표!$K$2:$K$101,MATCH(LEFT(TRIM(E122&amp;""),FIND(" ",TRIM(E122&amp;""))-1),코드표!$J$2:$J$101,0))&amp;" "&amp;INDEX(코드표!$G$2:$G$101,MATCH(TRIM(RIGHT(SUBSTITUTE(TRIM(E122&amp;"")," ",REPT(" ",60)),60)),코드표!$F$2:$F$101,0)),"⚠"&amp;TRIM(E122&amp;""))),"⚠"&amp;TRIM(E122&amp;""))</f>
        <v/>
      </c>
      <c r="N122" s="10">
        <f>IFERROR(IF(TRIM(F122&amp;"")="","",IF(AND(ISNUMBER(FIND(" ",TRIM(F122&amp;""))),ISNUMBER(MATCH(LEFT(TRIM(F122&amp;""),FIND(" ",TRIM(F122&amp;""))-1),코드표!$J$2:$J$101,0)),ISNUMBER(MATCH(TRIM(RIGHT(SUBSTITUTE(TRIM(F122&amp;"")," ",REPT(" ",60)),60)),코드표!$F$2:$F$101,0))),INDEX(코드표!$K$2:$K$101,MATCH(LEFT(TRIM(F122&amp;""),FIND(" ",TRIM(F122&amp;""))-1),코드표!$J$2:$J$101,0))&amp;" "&amp;INDEX(코드표!$G$2:$G$101,MATCH(TRIM(RIGHT(SUBSTITUTE(TRIM(F122&amp;"")," ",REPT(" ",60)),60)),코드표!$F$2:$F$101,0)),"⚠"&amp;TRIM(F122&amp;""))),"⚠"&amp;TRIM(F122&amp;""))</f>
        <v/>
      </c>
      <c r="O122" s="10">
        <f>IFERROR(IF(TRIM(G122&amp;"")="","",IF(AND(ISNUMBER(FIND(" ",TRIM(G122&amp;""))),ISNUMBER(MATCH(LEFT(TRIM(G122&amp;""),FIND(" ",TRIM(G122&amp;""))-1),코드표!$J$2:$J$101,0)),ISNUMBER(MATCH(TRIM(RIGHT(SUBSTITUTE(TRIM(G122&amp;"")," ",REPT(" ",60)),60)),코드표!$F$2:$F$101,0))),INDEX(코드표!$K$2:$K$101,MATCH(LEFT(TRIM(G122&amp;""),FIND(" ",TRIM(G122&amp;""))-1),코드표!$J$2:$J$101,0))&amp;" "&amp;INDEX(코드표!$G$2:$G$101,MATCH(TRIM(RIGHT(SUBSTITUTE(TRIM(G122&amp;"")," ",REPT(" ",60)),60)),코드표!$F$2:$F$101,0)),"⚠"&amp;TRIM(G122&amp;""))),"⚠"&amp;TRIM(G122&amp;""))</f>
        <v/>
      </c>
      <c r="P122" s="10">
        <f>IFERROR(IF(TRIM(H122&amp;"")="","",IF(AND(ISNUMBER(FIND(" ",TRIM(H122&amp;""))),ISNUMBER(MATCH(LEFT(TRIM(H122&amp;""),FIND(" ",TRIM(H122&amp;""))-1),코드표!$J$2:$J$101,0)),ISNUMBER(MATCH(TRIM(RIGHT(SUBSTITUTE(TRIM(H122&amp;"")," ",REPT(" ",60)),60)),코드표!$F$2:$F$101,0))),INDEX(코드표!$K$2:$K$101,MATCH(LEFT(TRIM(H122&amp;""),FIND(" ",TRIM(H122&amp;""))-1),코드표!$J$2:$J$101,0))&amp;" "&amp;INDEX(코드표!$G$2:$G$101,MATCH(TRIM(RIGHT(SUBSTITUTE(TRIM(H122&amp;"")," ",REPT(" ",60)),60)),코드표!$F$2:$F$101,0)),"⚠"&amp;TRIM(H122&amp;""))),"⚠"&amp;TRIM(H122&amp;""))</f>
        <v/>
      </c>
      <c r="Q122" s="10">
        <f>IFERROR(IF(TRIM(I122&amp;"")="","",IF(AND(ISNUMBER(FIND(" ",TRIM(I122&amp;""))),ISNUMBER(MATCH(LEFT(TRIM(I122&amp;""),FIND(" ",TRIM(I122&amp;""))-1),코드표!$J$2:$J$101,0)),ISNUMBER(MATCH(TRIM(RIGHT(SUBSTITUTE(TRIM(I122&amp;"")," ",REPT(" ",60)),60)),코드표!$F$2:$F$101,0))),INDEX(코드표!$K$2:$K$101,MATCH(LEFT(TRIM(I122&amp;""),FIND(" ",TRIM(I122&amp;""))-1),코드표!$J$2:$J$101,0))&amp;" "&amp;INDEX(코드표!$G$2:$G$101,MATCH(TRIM(RIGHT(SUBSTITUTE(TRIM(I122&amp;"")," ",REPT(" ",60)),60)),코드표!$F$2:$F$101,0)),"⚠"&amp;TRIM(I122&amp;""))),"⚠"&amp;TRIM(I122&amp;""))</f>
        <v/>
      </c>
      <c r="R122" s="10">
        <f>IFERROR(IF(TRIM(J122&amp;"")="","",IF(AND(ISNUMBER(FIND(" ",TRIM(J122&amp;""))),ISNUMBER(MATCH(LEFT(TRIM(J122&amp;""),FIND(" ",TRIM(J122&amp;""))-1),코드표!$J$2:$J$101,0)),ISNUMBER(MATCH(TRIM(RIGHT(SUBSTITUTE(TRIM(J122&amp;"")," ",REPT(" ",60)),60)),코드표!$F$2:$F$101,0))),INDEX(코드표!$K$2:$K$101,MATCH(LEFT(TRIM(J122&amp;""),FIND(" ",TRIM(J122&amp;""))-1),코드표!$J$2:$J$101,0))&amp;" "&amp;INDEX(코드표!$G$2:$G$101,MATCH(TRIM(RIGHT(SUBSTITUTE(TRIM(J122&amp;"")," ",REPT(" ",60)),60)),코드표!$F$2:$F$101,0)),"⚠"&amp;TRIM(J122&amp;""))),"⚠"&amp;TRIM(J122&amp;""))</f>
        <v/>
      </c>
      <c r="S122" s="11">
        <f>IF(K122="","",IFERROR(IF(AND(ROUND((VALUE(K122&amp;"")-INT(VALUE(K122&amp;"")))*100,0)&gt;=1,ROUND((VALUE(K122&amp;"")-INT(VALUE(K122&amp;"")))*100,0)&lt;=12,INT(VALUE(K122&amp;""))&gt;=1900),DATE(INT(VALUE(K122&amp;"")),ROUND((VALUE(K122&amp;"")-INT(VALUE(K122&amp;"")))*100,0),1),K122&amp;""),K122&amp;""))</f>
        <v/>
      </c>
      <c r="T122" s="10">
        <f>COUNTIF(M122:R122,"⚠*")</f>
        <v/>
      </c>
    </row>
    <row r="123"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M123" s="10">
        <f>IFERROR(IF(TRIM(E123&amp;"")="","",IF(AND(ISNUMBER(FIND(" ",TRIM(E123&amp;""))),ISNUMBER(MATCH(LEFT(TRIM(E123&amp;""),FIND(" ",TRIM(E123&amp;""))-1),코드표!$J$2:$J$101,0)),ISNUMBER(MATCH(TRIM(RIGHT(SUBSTITUTE(TRIM(E123&amp;"")," ",REPT(" ",60)),60)),코드표!$F$2:$F$101,0))),INDEX(코드표!$K$2:$K$101,MATCH(LEFT(TRIM(E123&amp;""),FIND(" ",TRIM(E123&amp;""))-1),코드표!$J$2:$J$101,0))&amp;" "&amp;INDEX(코드표!$G$2:$G$101,MATCH(TRIM(RIGHT(SUBSTITUTE(TRIM(E123&amp;"")," ",REPT(" ",60)),60)),코드표!$F$2:$F$101,0)),"⚠"&amp;TRIM(E123&amp;""))),"⚠"&amp;TRIM(E123&amp;""))</f>
        <v/>
      </c>
      <c r="N123" s="10">
        <f>IFERROR(IF(TRIM(F123&amp;"")="","",IF(AND(ISNUMBER(FIND(" ",TRIM(F123&amp;""))),ISNUMBER(MATCH(LEFT(TRIM(F123&amp;""),FIND(" ",TRIM(F123&amp;""))-1),코드표!$J$2:$J$101,0)),ISNUMBER(MATCH(TRIM(RIGHT(SUBSTITUTE(TRIM(F123&amp;"")," ",REPT(" ",60)),60)),코드표!$F$2:$F$101,0))),INDEX(코드표!$K$2:$K$101,MATCH(LEFT(TRIM(F123&amp;""),FIND(" ",TRIM(F123&amp;""))-1),코드표!$J$2:$J$101,0))&amp;" "&amp;INDEX(코드표!$G$2:$G$101,MATCH(TRIM(RIGHT(SUBSTITUTE(TRIM(F123&amp;"")," ",REPT(" ",60)),60)),코드표!$F$2:$F$101,0)),"⚠"&amp;TRIM(F123&amp;""))),"⚠"&amp;TRIM(F123&amp;""))</f>
        <v/>
      </c>
      <c r="O123" s="10">
        <f>IFERROR(IF(TRIM(G123&amp;"")="","",IF(AND(ISNUMBER(FIND(" ",TRIM(G123&amp;""))),ISNUMBER(MATCH(LEFT(TRIM(G123&amp;""),FIND(" ",TRIM(G123&amp;""))-1),코드표!$J$2:$J$101,0)),ISNUMBER(MATCH(TRIM(RIGHT(SUBSTITUTE(TRIM(G123&amp;"")," ",REPT(" ",60)),60)),코드표!$F$2:$F$101,0))),INDEX(코드표!$K$2:$K$101,MATCH(LEFT(TRIM(G123&amp;""),FIND(" ",TRIM(G123&amp;""))-1),코드표!$J$2:$J$101,0))&amp;" "&amp;INDEX(코드표!$G$2:$G$101,MATCH(TRIM(RIGHT(SUBSTITUTE(TRIM(G123&amp;"")," ",REPT(" ",60)),60)),코드표!$F$2:$F$101,0)),"⚠"&amp;TRIM(G123&amp;""))),"⚠"&amp;TRIM(G123&amp;""))</f>
        <v/>
      </c>
      <c r="P123" s="10">
        <f>IFERROR(IF(TRIM(H123&amp;"")="","",IF(AND(ISNUMBER(FIND(" ",TRIM(H123&amp;""))),ISNUMBER(MATCH(LEFT(TRIM(H123&amp;""),FIND(" ",TRIM(H123&amp;""))-1),코드표!$J$2:$J$101,0)),ISNUMBER(MATCH(TRIM(RIGHT(SUBSTITUTE(TRIM(H123&amp;"")," ",REPT(" ",60)),60)),코드표!$F$2:$F$101,0))),INDEX(코드표!$K$2:$K$101,MATCH(LEFT(TRIM(H123&amp;""),FIND(" ",TRIM(H123&amp;""))-1),코드표!$J$2:$J$101,0))&amp;" "&amp;INDEX(코드표!$G$2:$G$101,MATCH(TRIM(RIGHT(SUBSTITUTE(TRIM(H123&amp;"")," ",REPT(" ",60)),60)),코드표!$F$2:$F$101,0)),"⚠"&amp;TRIM(H123&amp;""))),"⚠"&amp;TRIM(H123&amp;""))</f>
        <v/>
      </c>
      <c r="Q123" s="10">
        <f>IFERROR(IF(TRIM(I123&amp;"")="","",IF(AND(ISNUMBER(FIND(" ",TRIM(I123&amp;""))),ISNUMBER(MATCH(LEFT(TRIM(I123&amp;""),FIND(" ",TRIM(I123&amp;""))-1),코드표!$J$2:$J$101,0)),ISNUMBER(MATCH(TRIM(RIGHT(SUBSTITUTE(TRIM(I123&amp;"")," ",REPT(" ",60)),60)),코드표!$F$2:$F$101,0))),INDEX(코드표!$K$2:$K$101,MATCH(LEFT(TRIM(I123&amp;""),FIND(" ",TRIM(I123&amp;""))-1),코드표!$J$2:$J$101,0))&amp;" "&amp;INDEX(코드표!$G$2:$G$101,MATCH(TRIM(RIGHT(SUBSTITUTE(TRIM(I123&amp;"")," ",REPT(" ",60)),60)),코드표!$F$2:$F$101,0)),"⚠"&amp;TRIM(I123&amp;""))),"⚠"&amp;TRIM(I123&amp;""))</f>
        <v/>
      </c>
      <c r="R123" s="10">
        <f>IFERROR(IF(TRIM(J123&amp;"")="","",IF(AND(ISNUMBER(FIND(" ",TRIM(J123&amp;""))),ISNUMBER(MATCH(LEFT(TRIM(J123&amp;""),FIND(" ",TRIM(J123&amp;""))-1),코드표!$J$2:$J$101,0)),ISNUMBER(MATCH(TRIM(RIGHT(SUBSTITUTE(TRIM(J123&amp;"")," ",REPT(" ",60)),60)),코드표!$F$2:$F$101,0))),INDEX(코드표!$K$2:$K$101,MATCH(LEFT(TRIM(J123&amp;""),FIND(" ",TRIM(J123&amp;""))-1),코드표!$J$2:$J$101,0))&amp;" "&amp;INDEX(코드표!$G$2:$G$101,MATCH(TRIM(RIGHT(SUBSTITUTE(TRIM(J123&amp;"")," ",REPT(" ",60)),60)),코드표!$F$2:$F$101,0)),"⚠"&amp;TRIM(J123&amp;""))),"⚠"&amp;TRIM(J123&amp;""))</f>
        <v/>
      </c>
      <c r="S123" s="11">
        <f>IF(K123="","",IFERROR(IF(AND(ROUND((VALUE(K123&amp;"")-INT(VALUE(K123&amp;"")))*100,0)&gt;=1,ROUND((VALUE(K123&amp;"")-INT(VALUE(K123&amp;"")))*100,0)&lt;=12,INT(VALUE(K123&amp;""))&gt;=1900),DATE(INT(VALUE(K123&amp;"")),ROUND((VALUE(K123&amp;"")-INT(VALUE(K123&amp;"")))*100,0),1),K123&amp;""),K123&amp;""))</f>
        <v/>
      </c>
      <c r="T123" s="10">
        <f>COUNTIF(M123:R123,"⚠*")</f>
        <v/>
      </c>
    </row>
    <row r="124"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M124" s="10">
        <f>IFERROR(IF(TRIM(E124&amp;"")="","",IF(AND(ISNUMBER(FIND(" ",TRIM(E124&amp;""))),ISNUMBER(MATCH(LEFT(TRIM(E124&amp;""),FIND(" ",TRIM(E124&amp;""))-1),코드표!$J$2:$J$101,0)),ISNUMBER(MATCH(TRIM(RIGHT(SUBSTITUTE(TRIM(E124&amp;"")," ",REPT(" ",60)),60)),코드표!$F$2:$F$101,0))),INDEX(코드표!$K$2:$K$101,MATCH(LEFT(TRIM(E124&amp;""),FIND(" ",TRIM(E124&amp;""))-1),코드표!$J$2:$J$101,0))&amp;" "&amp;INDEX(코드표!$G$2:$G$101,MATCH(TRIM(RIGHT(SUBSTITUTE(TRIM(E124&amp;"")," ",REPT(" ",60)),60)),코드표!$F$2:$F$101,0)),"⚠"&amp;TRIM(E124&amp;""))),"⚠"&amp;TRIM(E124&amp;""))</f>
        <v/>
      </c>
      <c r="N124" s="10">
        <f>IFERROR(IF(TRIM(F124&amp;"")="","",IF(AND(ISNUMBER(FIND(" ",TRIM(F124&amp;""))),ISNUMBER(MATCH(LEFT(TRIM(F124&amp;""),FIND(" ",TRIM(F124&amp;""))-1),코드표!$J$2:$J$101,0)),ISNUMBER(MATCH(TRIM(RIGHT(SUBSTITUTE(TRIM(F124&amp;"")," ",REPT(" ",60)),60)),코드표!$F$2:$F$101,0))),INDEX(코드표!$K$2:$K$101,MATCH(LEFT(TRIM(F124&amp;""),FIND(" ",TRIM(F124&amp;""))-1),코드표!$J$2:$J$101,0))&amp;" "&amp;INDEX(코드표!$G$2:$G$101,MATCH(TRIM(RIGHT(SUBSTITUTE(TRIM(F124&amp;"")," ",REPT(" ",60)),60)),코드표!$F$2:$F$101,0)),"⚠"&amp;TRIM(F124&amp;""))),"⚠"&amp;TRIM(F124&amp;""))</f>
        <v/>
      </c>
      <c r="O124" s="10">
        <f>IFERROR(IF(TRIM(G124&amp;"")="","",IF(AND(ISNUMBER(FIND(" ",TRIM(G124&amp;""))),ISNUMBER(MATCH(LEFT(TRIM(G124&amp;""),FIND(" ",TRIM(G124&amp;""))-1),코드표!$J$2:$J$101,0)),ISNUMBER(MATCH(TRIM(RIGHT(SUBSTITUTE(TRIM(G124&amp;"")," ",REPT(" ",60)),60)),코드표!$F$2:$F$101,0))),INDEX(코드표!$K$2:$K$101,MATCH(LEFT(TRIM(G124&amp;""),FIND(" ",TRIM(G124&amp;""))-1),코드표!$J$2:$J$101,0))&amp;" "&amp;INDEX(코드표!$G$2:$G$101,MATCH(TRIM(RIGHT(SUBSTITUTE(TRIM(G124&amp;"")," ",REPT(" ",60)),60)),코드표!$F$2:$F$101,0)),"⚠"&amp;TRIM(G124&amp;""))),"⚠"&amp;TRIM(G124&amp;""))</f>
        <v/>
      </c>
      <c r="P124" s="10">
        <f>IFERROR(IF(TRIM(H124&amp;"")="","",IF(AND(ISNUMBER(FIND(" ",TRIM(H124&amp;""))),ISNUMBER(MATCH(LEFT(TRIM(H124&amp;""),FIND(" ",TRIM(H124&amp;""))-1),코드표!$J$2:$J$101,0)),ISNUMBER(MATCH(TRIM(RIGHT(SUBSTITUTE(TRIM(H124&amp;"")," ",REPT(" ",60)),60)),코드표!$F$2:$F$101,0))),INDEX(코드표!$K$2:$K$101,MATCH(LEFT(TRIM(H124&amp;""),FIND(" ",TRIM(H124&amp;""))-1),코드표!$J$2:$J$101,0))&amp;" "&amp;INDEX(코드표!$G$2:$G$101,MATCH(TRIM(RIGHT(SUBSTITUTE(TRIM(H124&amp;"")," ",REPT(" ",60)),60)),코드표!$F$2:$F$101,0)),"⚠"&amp;TRIM(H124&amp;""))),"⚠"&amp;TRIM(H124&amp;""))</f>
        <v/>
      </c>
      <c r="Q124" s="10">
        <f>IFERROR(IF(TRIM(I124&amp;"")="","",IF(AND(ISNUMBER(FIND(" ",TRIM(I124&amp;""))),ISNUMBER(MATCH(LEFT(TRIM(I124&amp;""),FIND(" ",TRIM(I124&amp;""))-1),코드표!$J$2:$J$101,0)),ISNUMBER(MATCH(TRIM(RIGHT(SUBSTITUTE(TRIM(I124&amp;"")," ",REPT(" ",60)),60)),코드표!$F$2:$F$101,0))),INDEX(코드표!$K$2:$K$101,MATCH(LEFT(TRIM(I124&amp;""),FIND(" ",TRIM(I124&amp;""))-1),코드표!$J$2:$J$101,0))&amp;" "&amp;INDEX(코드표!$G$2:$G$101,MATCH(TRIM(RIGHT(SUBSTITUTE(TRIM(I124&amp;"")," ",REPT(" ",60)),60)),코드표!$F$2:$F$101,0)),"⚠"&amp;TRIM(I124&amp;""))),"⚠"&amp;TRIM(I124&amp;""))</f>
        <v/>
      </c>
      <c r="R124" s="10">
        <f>IFERROR(IF(TRIM(J124&amp;"")="","",IF(AND(ISNUMBER(FIND(" ",TRIM(J124&amp;""))),ISNUMBER(MATCH(LEFT(TRIM(J124&amp;""),FIND(" ",TRIM(J124&amp;""))-1),코드표!$J$2:$J$101,0)),ISNUMBER(MATCH(TRIM(RIGHT(SUBSTITUTE(TRIM(J124&amp;"")," ",REPT(" ",60)),60)),코드표!$F$2:$F$101,0))),INDEX(코드표!$K$2:$K$101,MATCH(LEFT(TRIM(J124&amp;""),FIND(" ",TRIM(J124&amp;""))-1),코드표!$J$2:$J$101,0))&amp;" "&amp;INDEX(코드표!$G$2:$G$101,MATCH(TRIM(RIGHT(SUBSTITUTE(TRIM(J124&amp;"")," ",REPT(" ",60)),60)),코드표!$F$2:$F$101,0)),"⚠"&amp;TRIM(J124&amp;""))),"⚠"&amp;TRIM(J124&amp;""))</f>
        <v/>
      </c>
      <c r="S124" s="11">
        <f>IF(K124="","",IFERROR(IF(AND(ROUND((VALUE(K124&amp;"")-INT(VALUE(K124&amp;"")))*100,0)&gt;=1,ROUND((VALUE(K124&amp;"")-INT(VALUE(K124&amp;"")))*100,0)&lt;=12,INT(VALUE(K124&amp;""))&gt;=1900),DATE(INT(VALUE(K124&amp;"")),ROUND((VALUE(K124&amp;"")-INT(VALUE(K124&amp;"")))*100,0),1),K124&amp;""),K124&amp;""))</f>
        <v/>
      </c>
      <c r="T124" s="10">
        <f>COUNTIF(M124:R124,"⚠*")</f>
        <v/>
      </c>
    </row>
    <row r="125"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M125" s="10">
        <f>IFERROR(IF(TRIM(E125&amp;"")="","",IF(AND(ISNUMBER(FIND(" ",TRIM(E125&amp;""))),ISNUMBER(MATCH(LEFT(TRIM(E125&amp;""),FIND(" ",TRIM(E125&amp;""))-1),코드표!$J$2:$J$101,0)),ISNUMBER(MATCH(TRIM(RIGHT(SUBSTITUTE(TRIM(E125&amp;"")," ",REPT(" ",60)),60)),코드표!$F$2:$F$101,0))),INDEX(코드표!$K$2:$K$101,MATCH(LEFT(TRIM(E125&amp;""),FIND(" ",TRIM(E125&amp;""))-1),코드표!$J$2:$J$101,0))&amp;" "&amp;INDEX(코드표!$G$2:$G$101,MATCH(TRIM(RIGHT(SUBSTITUTE(TRIM(E125&amp;"")," ",REPT(" ",60)),60)),코드표!$F$2:$F$101,0)),"⚠"&amp;TRIM(E125&amp;""))),"⚠"&amp;TRIM(E125&amp;""))</f>
        <v/>
      </c>
      <c r="N125" s="10">
        <f>IFERROR(IF(TRIM(F125&amp;"")="","",IF(AND(ISNUMBER(FIND(" ",TRIM(F125&amp;""))),ISNUMBER(MATCH(LEFT(TRIM(F125&amp;""),FIND(" ",TRIM(F125&amp;""))-1),코드표!$J$2:$J$101,0)),ISNUMBER(MATCH(TRIM(RIGHT(SUBSTITUTE(TRIM(F125&amp;"")," ",REPT(" ",60)),60)),코드표!$F$2:$F$101,0))),INDEX(코드표!$K$2:$K$101,MATCH(LEFT(TRIM(F125&amp;""),FIND(" ",TRIM(F125&amp;""))-1),코드표!$J$2:$J$101,0))&amp;" "&amp;INDEX(코드표!$G$2:$G$101,MATCH(TRIM(RIGHT(SUBSTITUTE(TRIM(F125&amp;"")," ",REPT(" ",60)),60)),코드표!$F$2:$F$101,0)),"⚠"&amp;TRIM(F125&amp;""))),"⚠"&amp;TRIM(F125&amp;""))</f>
        <v/>
      </c>
      <c r="O125" s="10">
        <f>IFERROR(IF(TRIM(G125&amp;"")="","",IF(AND(ISNUMBER(FIND(" ",TRIM(G125&amp;""))),ISNUMBER(MATCH(LEFT(TRIM(G125&amp;""),FIND(" ",TRIM(G125&amp;""))-1),코드표!$J$2:$J$101,0)),ISNUMBER(MATCH(TRIM(RIGHT(SUBSTITUTE(TRIM(G125&amp;"")," ",REPT(" ",60)),60)),코드표!$F$2:$F$101,0))),INDEX(코드표!$K$2:$K$101,MATCH(LEFT(TRIM(G125&amp;""),FIND(" ",TRIM(G125&amp;""))-1),코드표!$J$2:$J$101,0))&amp;" "&amp;INDEX(코드표!$G$2:$G$101,MATCH(TRIM(RIGHT(SUBSTITUTE(TRIM(G125&amp;"")," ",REPT(" ",60)),60)),코드표!$F$2:$F$101,0)),"⚠"&amp;TRIM(G125&amp;""))),"⚠"&amp;TRIM(G125&amp;""))</f>
        <v/>
      </c>
      <c r="P125" s="10">
        <f>IFERROR(IF(TRIM(H125&amp;"")="","",IF(AND(ISNUMBER(FIND(" ",TRIM(H125&amp;""))),ISNUMBER(MATCH(LEFT(TRIM(H125&amp;""),FIND(" ",TRIM(H125&amp;""))-1),코드표!$J$2:$J$101,0)),ISNUMBER(MATCH(TRIM(RIGHT(SUBSTITUTE(TRIM(H125&amp;"")," ",REPT(" ",60)),60)),코드표!$F$2:$F$101,0))),INDEX(코드표!$K$2:$K$101,MATCH(LEFT(TRIM(H125&amp;""),FIND(" ",TRIM(H125&amp;""))-1),코드표!$J$2:$J$101,0))&amp;" "&amp;INDEX(코드표!$G$2:$G$101,MATCH(TRIM(RIGHT(SUBSTITUTE(TRIM(H125&amp;"")," ",REPT(" ",60)),60)),코드표!$F$2:$F$101,0)),"⚠"&amp;TRIM(H125&amp;""))),"⚠"&amp;TRIM(H125&amp;""))</f>
        <v/>
      </c>
      <c r="Q125" s="10">
        <f>IFERROR(IF(TRIM(I125&amp;"")="","",IF(AND(ISNUMBER(FIND(" ",TRIM(I125&amp;""))),ISNUMBER(MATCH(LEFT(TRIM(I125&amp;""),FIND(" ",TRIM(I125&amp;""))-1),코드표!$J$2:$J$101,0)),ISNUMBER(MATCH(TRIM(RIGHT(SUBSTITUTE(TRIM(I125&amp;"")," ",REPT(" ",60)),60)),코드표!$F$2:$F$101,0))),INDEX(코드표!$K$2:$K$101,MATCH(LEFT(TRIM(I125&amp;""),FIND(" ",TRIM(I125&amp;""))-1),코드표!$J$2:$J$101,0))&amp;" "&amp;INDEX(코드표!$G$2:$G$101,MATCH(TRIM(RIGHT(SUBSTITUTE(TRIM(I125&amp;"")," ",REPT(" ",60)),60)),코드표!$F$2:$F$101,0)),"⚠"&amp;TRIM(I125&amp;""))),"⚠"&amp;TRIM(I125&amp;""))</f>
        <v/>
      </c>
      <c r="R125" s="10">
        <f>IFERROR(IF(TRIM(J125&amp;"")="","",IF(AND(ISNUMBER(FIND(" ",TRIM(J125&amp;""))),ISNUMBER(MATCH(LEFT(TRIM(J125&amp;""),FIND(" ",TRIM(J125&amp;""))-1),코드표!$J$2:$J$101,0)),ISNUMBER(MATCH(TRIM(RIGHT(SUBSTITUTE(TRIM(J125&amp;"")," ",REPT(" ",60)),60)),코드표!$F$2:$F$101,0))),INDEX(코드표!$K$2:$K$101,MATCH(LEFT(TRIM(J125&amp;""),FIND(" ",TRIM(J125&amp;""))-1),코드표!$J$2:$J$101,0))&amp;" "&amp;INDEX(코드표!$G$2:$G$101,MATCH(TRIM(RIGHT(SUBSTITUTE(TRIM(J125&amp;"")," ",REPT(" ",60)),60)),코드표!$F$2:$F$101,0)),"⚠"&amp;TRIM(J125&amp;""))),"⚠"&amp;TRIM(J125&amp;""))</f>
        <v/>
      </c>
      <c r="S125" s="11">
        <f>IF(K125="","",IFERROR(IF(AND(ROUND((VALUE(K125&amp;"")-INT(VALUE(K125&amp;"")))*100,0)&gt;=1,ROUND((VALUE(K125&amp;"")-INT(VALUE(K125&amp;"")))*100,0)&lt;=12,INT(VALUE(K125&amp;""))&gt;=1900),DATE(INT(VALUE(K125&amp;"")),ROUND((VALUE(K125&amp;"")-INT(VALUE(K125&amp;"")))*100,0),1),K125&amp;""),K125&amp;""))</f>
        <v/>
      </c>
      <c r="T125" s="10">
        <f>COUNTIF(M125:R125,"⚠*")</f>
        <v/>
      </c>
    </row>
    <row r="126"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M126" s="10">
        <f>IFERROR(IF(TRIM(E126&amp;"")="","",IF(AND(ISNUMBER(FIND(" ",TRIM(E126&amp;""))),ISNUMBER(MATCH(LEFT(TRIM(E126&amp;""),FIND(" ",TRIM(E126&amp;""))-1),코드표!$J$2:$J$101,0)),ISNUMBER(MATCH(TRIM(RIGHT(SUBSTITUTE(TRIM(E126&amp;"")," ",REPT(" ",60)),60)),코드표!$F$2:$F$101,0))),INDEX(코드표!$K$2:$K$101,MATCH(LEFT(TRIM(E126&amp;""),FIND(" ",TRIM(E126&amp;""))-1),코드표!$J$2:$J$101,0))&amp;" "&amp;INDEX(코드표!$G$2:$G$101,MATCH(TRIM(RIGHT(SUBSTITUTE(TRIM(E126&amp;"")," ",REPT(" ",60)),60)),코드표!$F$2:$F$101,0)),"⚠"&amp;TRIM(E126&amp;""))),"⚠"&amp;TRIM(E126&amp;""))</f>
        <v/>
      </c>
      <c r="N126" s="10">
        <f>IFERROR(IF(TRIM(F126&amp;"")="","",IF(AND(ISNUMBER(FIND(" ",TRIM(F126&amp;""))),ISNUMBER(MATCH(LEFT(TRIM(F126&amp;""),FIND(" ",TRIM(F126&amp;""))-1),코드표!$J$2:$J$101,0)),ISNUMBER(MATCH(TRIM(RIGHT(SUBSTITUTE(TRIM(F126&amp;"")," ",REPT(" ",60)),60)),코드표!$F$2:$F$101,0))),INDEX(코드표!$K$2:$K$101,MATCH(LEFT(TRIM(F126&amp;""),FIND(" ",TRIM(F126&amp;""))-1),코드표!$J$2:$J$101,0))&amp;" "&amp;INDEX(코드표!$G$2:$G$101,MATCH(TRIM(RIGHT(SUBSTITUTE(TRIM(F126&amp;"")," ",REPT(" ",60)),60)),코드표!$F$2:$F$101,0)),"⚠"&amp;TRIM(F126&amp;""))),"⚠"&amp;TRIM(F126&amp;""))</f>
        <v/>
      </c>
      <c r="O126" s="10">
        <f>IFERROR(IF(TRIM(G126&amp;"")="","",IF(AND(ISNUMBER(FIND(" ",TRIM(G126&amp;""))),ISNUMBER(MATCH(LEFT(TRIM(G126&amp;""),FIND(" ",TRIM(G126&amp;""))-1),코드표!$J$2:$J$101,0)),ISNUMBER(MATCH(TRIM(RIGHT(SUBSTITUTE(TRIM(G126&amp;"")," ",REPT(" ",60)),60)),코드표!$F$2:$F$101,0))),INDEX(코드표!$K$2:$K$101,MATCH(LEFT(TRIM(G126&amp;""),FIND(" ",TRIM(G126&amp;""))-1),코드표!$J$2:$J$101,0))&amp;" "&amp;INDEX(코드표!$G$2:$G$101,MATCH(TRIM(RIGHT(SUBSTITUTE(TRIM(G126&amp;"")," ",REPT(" ",60)),60)),코드표!$F$2:$F$101,0)),"⚠"&amp;TRIM(G126&amp;""))),"⚠"&amp;TRIM(G126&amp;""))</f>
        <v/>
      </c>
      <c r="P126" s="10">
        <f>IFERROR(IF(TRIM(H126&amp;"")="","",IF(AND(ISNUMBER(FIND(" ",TRIM(H126&amp;""))),ISNUMBER(MATCH(LEFT(TRIM(H126&amp;""),FIND(" ",TRIM(H126&amp;""))-1),코드표!$J$2:$J$101,0)),ISNUMBER(MATCH(TRIM(RIGHT(SUBSTITUTE(TRIM(H126&amp;"")," ",REPT(" ",60)),60)),코드표!$F$2:$F$101,0))),INDEX(코드표!$K$2:$K$101,MATCH(LEFT(TRIM(H126&amp;""),FIND(" ",TRIM(H126&amp;""))-1),코드표!$J$2:$J$101,0))&amp;" "&amp;INDEX(코드표!$G$2:$G$101,MATCH(TRIM(RIGHT(SUBSTITUTE(TRIM(H126&amp;"")," ",REPT(" ",60)),60)),코드표!$F$2:$F$101,0)),"⚠"&amp;TRIM(H126&amp;""))),"⚠"&amp;TRIM(H126&amp;""))</f>
        <v/>
      </c>
      <c r="Q126" s="10">
        <f>IFERROR(IF(TRIM(I126&amp;"")="","",IF(AND(ISNUMBER(FIND(" ",TRIM(I126&amp;""))),ISNUMBER(MATCH(LEFT(TRIM(I126&amp;""),FIND(" ",TRIM(I126&amp;""))-1),코드표!$J$2:$J$101,0)),ISNUMBER(MATCH(TRIM(RIGHT(SUBSTITUTE(TRIM(I126&amp;"")," ",REPT(" ",60)),60)),코드표!$F$2:$F$101,0))),INDEX(코드표!$K$2:$K$101,MATCH(LEFT(TRIM(I126&amp;""),FIND(" ",TRIM(I126&amp;""))-1),코드표!$J$2:$J$101,0))&amp;" "&amp;INDEX(코드표!$G$2:$G$101,MATCH(TRIM(RIGHT(SUBSTITUTE(TRIM(I126&amp;"")," ",REPT(" ",60)),60)),코드표!$F$2:$F$101,0)),"⚠"&amp;TRIM(I126&amp;""))),"⚠"&amp;TRIM(I126&amp;""))</f>
        <v/>
      </c>
      <c r="R126" s="10">
        <f>IFERROR(IF(TRIM(J126&amp;"")="","",IF(AND(ISNUMBER(FIND(" ",TRIM(J126&amp;""))),ISNUMBER(MATCH(LEFT(TRIM(J126&amp;""),FIND(" ",TRIM(J126&amp;""))-1),코드표!$J$2:$J$101,0)),ISNUMBER(MATCH(TRIM(RIGHT(SUBSTITUTE(TRIM(J126&amp;"")," ",REPT(" ",60)),60)),코드표!$F$2:$F$101,0))),INDEX(코드표!$K$2:$K$101,MATCH(LEFT(TRIM(J126&amp;""),FIND(" ",TRIM(J126&amp;""))-1),코드표!$J$2:$J$101,0))&amp;" "&amp;INDEX(코드표!$G$2:$G$101,MATCH(TRIM(RIGHT(SUBSTITUTE(TRIM(J126&amp;"")," ",REPT(" ",60)),60)),코드표!$F$2:$F$101,0)),"⚠"&amp;TRIM(J126&amp;""))),"⚠"&amp;TRIM(J126&amp;""))</f>
        <v/>
      </c>
      <c r="S126" s="11">
        <f>IF(K126="","",IFERROR(IF(AND(ROUND((VALUE(K126&amp;"")-INT(VALUE(K126&amp;"")))*100,0)&gt;=1,ROUND((VALUE(K126&amp;"")-INT(VALUE(K126&amp;"")))*100,0)&lt;=12,INT(VALUE(K126&amp;""))&gt;=1900),DATE(INT(VALUE(K126&amp;"")),ROUND((VALUE(K126&amp;"")-INT(VALUE(K126&amp;"")))*100,0),1),K126&amp;""),K126&amp;""))</f>
        <v/>
      </c>
      <c r="T126" s="10">
        <f>COUNTIF(M126:R126,"⚠*")</f>
        <v/>
      </c>
    </row>
    <row r="127"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M127" s="10">
        <f>IFERROR(IF(TRIM(E127&amp;"")="","",IF(AND(ISNUMBER(FIND(" ",TRIM(E127&amp;""))),ISNUMBER(MATCH(LEFT(TRIM(E127&amp;""),FIND(" ",TRIM(E127&amp;""))-1),코드표!$J$2:$J$101,0)),ISNUMBER(MATCH(TRIM(RIGHT(SUBSTITUTE(TRIM(E127&amp;"")," ",REPT(" ",60)),60)),코드표!$F$2:$F$101,0))),INDEX(코드표!$K$2:$K$101,MATCH(LEFT(TRIM(E127&amp;""),FIND(" ",TRIM(E127&amp;""))-1),코드표!$J$2:$J$101,0))&amp;" "&amp;INDEX(코드표!$G$2:$G$101,MATCH(TRIM(RIGHT(SUBSTITUTE(TRIM(E127&amp;"")," ",REPT(" ",60)),60)),코드표!$F$2:$F$101,0)),"⚠"&amp;TRIM(E127&amp;""))),"⚠"&amp;TRIM(E127&amp;""))</f>
        <v/>
      </c>
      <c r="N127" s="10">
        <f>IFERROR(IF(TRIM(F127&amp;"")="","",IF(AND(ISNUMBER(FIND(" ",TRIM(F127&amp;""))),ISNUMBER(MATCH(LEFT(TRIM(F127&amp;""),FIND(" ",TRIM(F127&amp;""))-1),코드표!$J$2:$J$101,0)),ISNUMBER(MATCH(TRIM(RIGHT(SUBSTITUTE(TRIM(F127&amp;"")," ",REPT(" ",60)),60)),코드표!$F$2:$F$101,0))),INDEX(코드표!$K$2:$K$101,MATCH(LEFT(TRIM(F127&amp;""),FIND(" ",TRIM(F127&amp;""))-1),코드표!$J$2:$J$101,0))&amp;" "&amp;INDEX(코드표!$G$2:$G$101,MATCH(TRIM(RIGHT(SUBSTITUTE(TRIM(F127&amp;"")," ",REPT(" ",60)),60)),코드표!$F$2:$F$101,0)),"⚠"&amp;TRIM(F127&amp;""))),"⚠"&amp;TRIM(F127&amp;""))</f>
        <v/>
      </c>
      <c r="O127" s="10">
        <f>IFERROR(IF(TRIM(G127&amp;"")="","",IF(AND(ISNUMBER(FIND(" ",TRIM(G127&amp;""))),ISNUMBER(MATCH(LEFT(TRIM(G127&amp;""),FIND(" ",TRIM(G127&amp;""))-1),코드표!$J$2:$J$101,0)),ISNUMBER(MATCH(TRIM(RIGHT(SUBSTITUTE(TRIM(G127&amp;"")," ",REPT(" ",60)),60)),코드표!$F$2:$F$101,0))),INDEX(코드표!$K$2:$K$101,MATCH(LEFT(TRIM(G127&amp;""),FIND(" ",TRIM(G127&amp;""))-1),코드표!$J$2:$J$101,0))&amp;" "&amp;INDEX(코드표!$G$2:$G$101,MATCH(TRIM(RIGHT(SUBSTITUTE(TRIM(G127&amp;"")," ",REPT(" ",60)),60)),코드표!$F$2:$F$101,0)),"⚠"&amp;TRIM(G127&amp;""))),"⚠"&amp;TRIM(G127&amp;""))</f>
        <v/>
      </c>
      <c r="P127" s="10">
        <f>IFERROR(IF(TRIM(H127&amp;"")="","",IF(AND(ISNUMBER(FIND(" ",TRIM(H127&amp;""))),ISNUMBER(MATCH(LEFT(TRIM(H127&amp;""),FIND(" ",TRIM(H127&amp;""))-1),코드표!$J$2:$J$101,0)),ISNUMBER(MATCH(TRIM(RIGHT(SUBSTITUTE(TRIM(H127&amp;"")," ",REPT(" ",60)),60)),코드표!$F$2:$F$101,0))),INDEX(코드표!$K$2:$K$101,MATCH(LEFT(TRIM(H127&amp;""),FIND(" ",TRIM(H127&amp;""))-1),코드표!$J$2:$J$101,0))&amp;" "&amp;INDEX(코드표!$G$2:$G$101,MATCH(TRIM(RIGHT(SUBSTITUTE(TRIM(H127&amp;"")," ",REPT(" ",60)),60)),코드표!$F$2:$F$101,0)),"⚠"&amp;TRIM(H127&amp;""))),"⚠"&amp;TRIM(H127&amp;""))</f>
        <v/>
      </c>
      <c r="Q127" s="10">
        <f>IFERROR(IF(TRIM(I127&amp;"")="","",IF(AND(ISNUMBER(FIND(" ",TRIM(I127&amp;""))),ISNUMBER(MATCH(LEFT(TRIM(I127&amp;""),FIND(" ",TRIM(I127&amp;""))-1),코드표!$J$2:$J$101,0)),ISNUMBER(MATCH(TRIM(RIGHT(SUBSTITUTE(TRIM(I127&amp;"")," ",REPT(" ",60)),60)),코드표!$F$2:$F$101,0))),INDEX(코드표!$K$2:$K$101,MATCH(LEFT(TRIM(I127&amp;""),FIND(" ",TRIM(I127&amp;""))-1),코드표!$J$2:$J$101,0))&amp;" "&amp;INDEX(코드표!$G$2:$G$101,MATCH(TRIM(RIGHT(SUBSTITUTE(TRIM(I127&amp;"")," ",REPT(" ",60)),60)),코드표!$F$2:$F$101,0)),"⚠"&amp;TRIM(I127&amp;""))),"⚠"&amp;TRIM(I127&amp;""))</f>
        <v/>
      </c>
      <c r="R127" s="10">
        <f>IFERROR(IF(TRIM(J127&amp;"")="","",IF(AND(ISNUMBER(FIND(" ",TRIM(J127&amp;""))),ISNUMBER(MATCH(LEFT(TRIM(J127&amp;""),FIND(" ",TRIM(J127&amp;""))-1),코드표!$J$2:$J$101,0)),ISNUMBER(MATCH(TRIM(RIGHT(SUBSTITUTE(TRIM(J127&amp;"")," ",REPT(" ",60)),60)),코드표!$F$2:$F$101,0))),INDEX(코드표!$K$2:$K$101,MATCH(LEFT(TRIM(J127&amp;""),FIND(" ",TRIM(J127&amp;""))-1),코드표!$J$2:$J$101,0))&amp;" "&amp;INDEX(코드표!$G$2:$G$101,MATCH(TRIM(RIGHT(SUBSTITUTE(TRIM(J127&amp;"")," ",REPT(" ",60)),60)),코드표!$F$2:$F$101,0)),"⚠"&amp;TRIM(J127&amp;""))),"⚠"&amp;TRIM(J127&amp;""))</f>
        <v/>
      </c>
      <c r="S127" s="11">
        <f>IF(K127="","",IFERROR(IF(AND(ROUND((VALUE(K127&amp;"")-INT(VALUE(K127&amp;"")))*100,0)&gt;=1,ROUND((VALUE(K127&amp;"")-INT(VALUE(K127&amp;"")))*100,0)&lt;=12,INT(VALUE(K127&amp;""))&gt;=1900),DATE(INT(VALUE(K127&amp;"")),ROUND((VALUE(K127&amp;"")-INT(VALUE(K127&amp;"")))*100,0),1),K127&amp;""),K127&amp;""))</f>
        <v/>
      </c>
      <c r="T127" s="10">
        <f>COUNTIF(M127:R127,"⚠*")</f>
        <v/>
      </c>
    </row>
    <row r="128"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M128" s="10">
        <f>IFERROR(IF(TRIM(E128&amp;"")="","",IF(AND(ISNUMBER(FIND(" ",TRIM(E128&amp;""))),ISNUMBER(MATCH(LEFT(TRIM(E128&amp;""),FIND(" ",TRIM(E128&amp;""))-1),코드표!$J$2:$J$101,0)),ISNUMBER(MATCH(TRIM(RIGHT(SUBSTITUTE(TRIM(E128&amp;"")," ",REPT(" ",60)),60)),코드표!$F$2:$F$101,0))),INDEX(코드표!$K$2:$K$101,MATCH(LEFT(TRIM(E128&amp;""),FIND(" ",TRIM(E128&amp;""))-1),코드표!$J$2:$J$101,0))&amp;" "&amp;INDEX(코드표!$G$2:$G$101,MATCH(TRIM(RIGHT(SUBSTITUTE(TRIM(E128&amp;"")," ",REPT(" ",60)),60)),코드표!$F$2:$F$101,0)),"⚠"&amp;TRIM(E128&amp;""))),"⚠"&amp;TRIM(E128&amp;""))</f>
        <v/>
      </c>
      <c r="N128" s="10">
        <f>IFERROR(IF(TRIM(F128&amp;"")="","",IF(AND(ISNUMBER(FIND(" ",TRIM(F128&amp;""))),ISNUMBER(MATCH(LEFT(TRIM(F128&amp;""),FIND(" ",TRIM(F128&amp;""))-1),코드표!$J$2:$J$101,0)),ISNUMBER(MATCH(TRIM(RIGHT(SUBSTITUTE(TRIM(F128&amp;"")," ",REPT(" ",60)),60)),코드표!$F$2:$F$101,0))),INDEX(코드표!$K$2:$K$101,MATCH(LEFT(TRIM(F128&amp;""),FIND(" ",TRIM(F128&amp;""))-1),코드표!$J$2:$J$101,0))&amp;" "&amp;INDEX(코드표!$G$2:$G$101,MATCH(TRIM(RIGHT(SUBSTITUTE(TRIM(F128&amp;"")," ",REPT(" ",60)),60)),코드표!$F$2:$F$101,0)),"⚠"&amp;TRIM(F128&amp;""))),"⚠"&amp;TRIM(F128&amp;""))</f>
        <v/>
      </c>
      <c r="O128" s="10">
        <f>IFERROR(IF(TRIM(G128&amp;"")="","",IF(AND(ISNUMBER(FIND(" ",TRIM(G128&amp;""))),ISNUMBER(MATCH(LEFT(TRIM(G128&amp;""),FIND(" ",TRIM(G128&amp;""))-1),코드표!$J$2:$J$101,0)),ISNUMBER(MATCH(TRIM(RIGHT(SUBSTITUTE(TRIM(G128&amp;"")," ",REPT(" ",60)),60)),코드표!$F$2:$F$101,0))),INDEX(코드표!$K$2:$K$101,MATCH(LEFT(TRIM(G128&amp;""),FIND(" ",TRIM(G128&amp;""))-1),코드표!$J$2:$J$101,0))&amp;" "&amp;INDEX(코드표!$G$2:$G$101,MATCH(TRIM(RIGHT(SUBSTITUTE(TRIM(G128&amp;"")," ",REPT(" ",60)),60)),코드표!$F$2:$F$101,0)),"⚠"&amp;TRIM(G128&amp;""))),"⚠"&amp;TRIM(G128&amp;""))</f>
        <v/>
      </c>
      <c r="P128" s="10">
        <f>IFERROR(IF(TRIM(H128&amp;"")="","",IF(AND(ISNUMBER(FIND(" ",TRIM(H128&amp;""))),ISNUMBER(MATCH(LEFT(TRIM(H128&amp;""),FIND(" ",TRIM(H128&amp;""))-1),코드표!$J$2:$J$101,0)),ISNUMBER(MATCH(TRIM(RIGHT(SUBSTITUTE(TRIM(H128&amp;"")," ",REPT(" ",60)),60)),코드표!$F$2:$F$101,0))),INDEX(코드표!$K$2:$K$101,MATCH(LEFT(TRIM(H128&amp;""),FIND(" ",TRIM(H128&amp;""))-1),코드표!$J$2:$J$101,0))&amp;" "&amp;INDEX(코드표!$G$2:$G$101,MATCH(TRIM(RIGHT(SUBSTITUTE(TRIM(H128&amp;"")," ",REPT(" ",60)),60)),코드표!$F$2:$F$101,0)),"⚠"&amp;TRIM(H128&amp;""))),"⚠"&amp;TRIM(H128&amp;""))</f>
        <v/>
      </c>
      <c r="Q128" s="10">
        <f>IFERROR(IF(TRIM(I128&amp;"")="","",IF(AND(ISNUMBER(FIND(" ",TRIM(I128&amp;""))),ISNUMBER(MATCH(LEFT(TRIM(I128&amp;""),FIND(" ",TRIM(I128&amp;""))-1),코드표!$J$2:$J$101,0)),ISNUMBER(MATCH(TRIM(RIGHT(SUBSTITUTE(TRIM(I128&amp;"")," ",REPT(" ",60)),60)),코드표!$F$2:$F$101,0))),INDEX(코드표!$K$2:$K$101,MATCH(LEFT(TRIM(I128&amp;""),FIND(" ",TRIM(I128&amp;""))-1),코드표!$J$2:$J$101,0))&amp;" "&amp;INDEX(코드표!$G$2:$G$101,MATCH(TRIM(RIGHT(SUBSTITUTE(TRIM(I128&amp;"")," ",REPT(" ",60)),60)),코드표!$F$2:$F$101,0)),"⚠"&amp;TRIM(I128&amp;""))),"⚠"&amp;TRIM(I128&amp;""))</f>
        <v/>
      </c>
      <c r="R128" s="10">
        <f>IFERROR(IF(TRIM(J128&amp;"")="","",IF(AND(ISNUMBER(FIND(" ",TRIM(J128&amp;""))),ISNUMBER(MATCH(LEFT(TRIM(J128&amp;""),FIND(" ",TRIM(J128&amp;""))-1),코드표!$J$2:$J$101,0)),ISNUMBER(MATCH(TRIM(RIGHT(SUBSTITUTE(TRIM(J128&amp;"")," ",REPT(" ",60)),60)),코드표!$F$2:$F$101,0))),INDEX(코드표!$K$2:$K$101,MATCH(LEFT(TRIM(J128&amp;""),FIND(" ",TRIM(J128&amp;""))-1),코드표!$J$2:$J$101,0))&amp;" "&amp;INDEX(코드표!$G$2:$G$101,MATCH(TRIM(RIGHT(SUBSTITUTE(TRIM(J128&amp;"")," ",REPT(" ",60)),60)),코드표!$F$2:$F$101,0)),"⚠"&amp;TRIM(J128&amp;""))),"⚠"&amp;TRIM(J128&amp;""))</f>
        <v/>
      </c>
      <c r="S128" s="11">
        <f>IF(K128="","",IFERROR(IF(AND(ROUND((VALUE(K128&amp;"")-INT(VALUE(K128&amp;"")))*100,0)&gt;=1,ROUND((VALUE(K128&amp;"")-INT(VALUE(K128&amp;"")))*100,0)&lt;=12,INT(VALUE(K128&amp;""))&gt;=1900),DATE(INT(VALUE(K128&amp;"")),ROUND((VALUE(K128&amp;"")-INT(VALUE(K128&amp;"")))*100,0),1),K128&amp;""),K128&amp;""))</f>
        <v/>
      </c>
      <c r="T128" s="10">
        <f>COUNTIF(M128:R128,"⚠*")</f>
        <v/>
      </c>
    </row>
    <row r="129"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M129" s="10">
        <f>IFERROR(IF(TRIM(E129&amp;"")="","",IF(AND(ISNUMBER(FIND(" ",TRIM(E129&amp;""))),ISNUMBER(MATCH(LEFT(TRIM(E129&amp;""),FIND(" ",TRIM(E129&amp;""))-1),코드표!$J$2:$J$101,0)),ISNUMBER(MATCH(TRIM(RIGHT(SUBSTITUTE(TRIM(E129&amp;"")," ",REPT(" ",60)),60)),코드표!$F$2:$F$101,0))),INDEX(코드표!$K$2:$K$101,MATCH(LEFT(TRIM(E129&amp;""),FIND(" ",TRIM(E129&amp;""))-1),코드표!$J$2:$J$101,0))&amp;" "&amp;INDEX(코드표!$G$2:$G$101,MATCH(TRIM(RIGHT(SUBSTITUTE(TRIM(E129&amp;"")," ",REPT(" ",60)),60)),코드표!$F$2:$F$101,0)),"⚠"&amp;TRIM(E129&amp;""))),"⚠"&amp;TRIM(E129&amp;""))</f>
        <v/>
      </c>
      <c r="N129" s="10">
        <f>IFERROR(IF(TRIM(F129&amp;"")="","",IF(AND(ISNUMBER(FIND(" ",TRIM(F129&amp;""))),ISNUMBER(MATCH(LEFT(TRIM(F129&amp;""),FIND(" ",TRIM(F129&amp;""))-1),코드표!$J$2:$J$101,0)),ISNUMBER(MATCH(TRIM(RIGHT(SUBSTITUTE(TRIM(F129&amp;"")," ",REPT(" ",60)),60)),코드표!$F$2:$F$101,0))),INDEX(코드표!$K$2:$K$101,MATCH(LEFT(TRIM(F129&amp;""),FIND(" ",TRIM(F129&amp;""))-1),코드표!$J$2:$J$101,0))&amp;" "&amp;INDEX(코드표!$G$2:$G$101,MATCH(TRIM(RIGHT(SUBSTITUTE(TRIM(F129&amp;"")," ",REPT(" ",60)),60)),코드표!$F$2:$F$101,0)),"⚠"&amp;TRIM(F129&amp;""))),"⚠"&amp;TRIM(F129&amp;""))</f>
        <v/>
      </c>
      <c r="O129" s="10">
        <f>IFERROR(IF(TRIM(G129&amp;"")="","",IF(AND(ISNUMBER(FIND(" ",TRIM(G129&amp;""))),ISNUMBER(MATCH(LEFT(TRIM(G129&amp;""),FIND(" ",TRIM(G129&amp;""))-1),코드표!$J$2:$J$101,0)),ISNUMBER(MATCH(TRIM(RIGHT(SUBSTITUTE(TRIM(G129&amp;"")," ",REPT(" ",60)),60)),코드표!$F$2:$F$101,0))),INDEX(코드표!$K$2:$K$101,MATCH(LEFT(TRIM(G129&amp;""),FIND(" ",TRIM(G129&amp;""))-1),코드표!$J$2:$J$101,0))&amp;" "&amp;INDEX(코드표!$G$2:$G$101,MATCH(TRIM(RIGHT(SUBSTITUTE(TRIM(G129&amp;"")," ",REPT(" ",60)),60)),코드표!$F$2:$F$101,0)),"⚠"&amp;TRIM(G129&amp;""))),"⚠"&amp;TRIM(G129&amp;""))</f>
        <v/>
      </c>
      <c r="P129" s="10">
        <f>IFERROR(IF(TRIM(H129&amp;"")="","",IF(AND(ISNUMBER(FIND(" ",TRIM(H129&amp;""))),ISNUMBER(MATCH(LEFT(TRIM(H129&amp;""),FIND(" ",TRIM(H129&amp;""))-1),코드표!$J$2:$J$101,0)),ISNUMBER(MATCH(TRIM(RIGHT(SUBSTITUTE(TRIM(H129&amp;"")," ",REPT(" ",60)),60)),코드표!$F$2:$F$101,0))),INDEX(코드표!$K$2:$K$101,MATCH(LEFT(TRIM(H129&amp;""),FIND(" ",TRIM(H129&amp;""))-1),코드표!$J$2:$J$101,0))&amp;" "&amp;INDEX(코드표!$G$2:$G$101,MATCH(TRIM(RIGHT(SUBSTITUTE(TRIM(H129&amp;"")," ",REPT(" ",60)),60)),코드표!$F$2:$F$101,0)),"⚠"&amp;TRIM(H129&amp;""))),"⚠"&amp;TRIM(H129&amp;""))</f>
        <v/>
      </c>
      <c r="Q129" s="10">
        <f>IFERROR(IF(TRIM(I129&amp;"")="","",IF(AND(ISNUMBER(FIND(" ",TRIM(I129&amp;""))),ISNUMBER(MATCH(LEFT(TRIM(I129&amp;""),FIND(" ",TRIM(I129&amp;""))-1),코드표!$J$2:$J$101,0)),ISNUMBER(MATCH(TRIM(RIGHT(SUBSTITUTE(TRIM(I129&amp;"")," ",REPT(" ",60)),60)),코드표!$F$2:$F$101,0))),INDEX(코드표!$K$2:$K$101,MATCH(LEFT(TRIM(I129&amp;""),FIND(" ",TRIM(I129&amp;""))-1),코드표!$J$2:$J$101,0))&amp;" "&amp;INDEX(코드표!$G$2:$G$101,MATCH(TRIM(RIGHT(SUBSTITUTE(TRIM(I129&amp;"")," ",REPT(" ",60)),60)),코드표!$F$2:$F$101,0)),"⚠"&amp;TRIM(I129&amp;""))),"⚠"&amp;TRIM(I129&amp;""))</f>
        <v/>
      </c>
      <c r="R129" s="10">
        <f>IFERROR(IF(TRIM(J129&amp;"")="","",IF(AND(ISNUMBER(FIND(" ",TRIM(J129&amp;""))),ISNUMBER(MATCH(LEFT(TRIM(J129&amp;""),FIND(" ",TRIM(J129&amp;""))-1),코드표!$J$2:$J$101,0)),ISNUMBER(MATCH(TRIM(RIGHT(SUBSTITUTE(TRIM(J129&amp;"")," ",REPT(" ",60)),60)),코드표!$F$2:$F$101,0))),INDEX(코드표!$K$2:$K$101,MATCH(LEFT(TRIM(J129&amp;""),FIND(" ",TRIM(J129&amp;""))-1),코드표!$J$2:$J$101,0))&amp;" "&amp;INDEX(코드표!$G$2:$G$101,MATCH(TRIM(RIGHT(SUBSTITUTE(TRIM(J129&amp;"")," ",REPT(" ",60)),60)),코드표!$F$2:$F$101,0)),"⚠"&amp;TRIM(J129&amp;""))),"⚠"&amp;TRIM(J129&amp;""))</f>
        <v/>
      </c>
      <c r="S129" s="11">
        <f>IF(K129="","",IFERROR(IF(AND(ROUND((VALUE(K129&amp;"")-INT(VALUE(K129&amp;"")))*100,0)&gt;=1,ROUND((VALUE(K129&amp;"")-INT(VALUE(K129&amp;"")))*100,0)&lt;=12,INT(VALUE(K129&amp;""))&gt;=1900),DATE(INT(VALUE(K129&amp;"")),ROUND((VALUE(K129&amp;"")-INT(VALUE(K129&amp;"")))*100,0),1),K129&amp;""),K129&amp;""))</f>
        <v/>
      </c>
      <c r="T129" s="10">
        <f>COUNTIF(M129:R129,"⚠*")</f>
        <v/>
      </c>
    </row>
    <row r="130"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M130" s="10">
        <f>IFERROR(IF(TRIM(E130&amp;"")="","",IF(AND(ISNUMBER(FIND(" ",TRIM(E130&amp;""))),ISNUMBER(MATCH(LEFT(TRIM(E130&amp;""),FIND(" ",TRIM(E130&amp;""))-1),코드표!$J$2:$J$101,0)),ISNUMBER(MATCH(TRIM(RIGHT(SUBSTITUTE(TRIM(E130&amp;"")," ",REPT(" ",60)),60)),코드표!$F$2:$F$101,0))),INDEX(코드표!$K$2:$K$101,MATCH(LEFT(TRIM(E130&amp;""),FIND(" ",TRIM(E130&amp;""))-1),코드표!$J$2:$J$101,0))&amp;" "&amp;INDEX(코드표!$G$2:$G$101,MATCH(TRIM(RIGHT(SUBSTITUTE(TRIM(E130&amp;"")," ",REPT(" ",60)),60)),코드표!$F$2:$F$101,0)),"⚠"&amp;TRIM(E130&amp;""))),"⚠"&amp;TRIM(E130&amp;""))</f>
        <v/>
      </c>
      <c r="N130" s="10">
        <f>IFERROR(IF(TRIM(F130&amp;"")="","",IF(AND(ISNUMBER(FIND(" ",TRIM(F130&amp;""))),ISNUMBER(MATCH(LEFT(TRIM(F130&amp;""),FIND(" ",TRIM(F130&amp;""))-1),코드표!$J$2:$J$101,0)),ISNUMBER(MATCH(TRIM(RIGHT(SUBSTITUTE(TRIM(F130&amp;"")," ",REPT(" ",60)),60)),코드표!$F$2:$F$101,0))),INDEX(코드표!$K$2:$K$101,MATCH(LEFT(TRIM(F130&amp;""),FIND(" ",TRIM(F130&amp;""))-1),코드표!$J$2:$J$101,0))&amp;" "&amp;INDEX(코드표!$G$2:$G$101,MATCH(TRIM(RIGHT(SUBSTITUTE(TRIM(F130&amp;"")," ",REPT(" ",60)),60)),코드표!$F$2:$F$101,0)),"⚠"&amp;TRIM(F130&amp;""))),"⚠"&amp;TRIM(F130&amp;""))</f>
        <v/>
      </c>
      <c r="O130" s="10">
        <f>IFERROR(IF(TRIM(G130&amp;"")="","",IF(AND(ISNUMBER(FIND(" ",TRIM(G130&amp;""))),ISNUMBER(MATCH(LEFT(TRIM(G130&amp;""),FIND(" ",TRIM(G130&amp;""))-1),코드표!$J$2:$J$101,0)),ISNUMBER(MATCH(TRIM(RIGHT(SUBSTITUTE(TRIM(G130&amp;"")," ",REPT(" ",60)),60)),코드표!$F$2:$F$101,0))),INDEX(코드표!$K$2:$K$101,MATCH(LEFT(TRIM(G130&amp;""),FIND(" ",TRIM(G130&amp;""))-1),코드표!$J$2:$J$101,0))&amp;" "&amp;INDEX(코드표!$G$2:$G$101,MATCH(TRIM(RIGHT(SUBSTITUTE(TRIM(G130&amp;"")," ",REPT(" ",60)),60)),코드표!$F$2:$F$101,0)),"⚠"&amp;TRIM(G130&amp;""))),"⚠"&amp;TRIM(G130&amp;""))</f>
        <v/>
      </c>
      <c r="P130" s="10">
        <f>IFERROR(IF(TRIM(H130&amp;"")="","",IF(AND(ISNUMBER(FIND(" ",TRIM(H130&amp;""))),ISNUMBER(MATCH(LEFT(TRIM(H130&amp;""),FIND(" ",TRIM(H130&amp;""))-1),코드표!$J$2:$J$101,0)),ISNUMBER(MATCH(TRIM(RIGHT(SUBSTITUTE(TRIM(H130&amp;"")," ",REPT(" ",60)),60)),코드표!$F$2:$F$101,0))),INDEX(코드표!$K$2:$K$101,MATCH(LEFT(TRIM(H130&amp;""),FIND(" ",TRIM(H130&amp;""))-1),코드표!$J$2:$J$101,0))&amp;" "&amp;INDEX(코드표!$G$2:$G$101,MATCH(TRIM(RIGHT(SUBSTITUTE(TRIM(H130&amp;"")," ",REPT(" ",60)),60)),코드표!$F$2:$F$101,0)),"⚠"&amp;TRIM(H130&amp;""))),"⚠"&amp;TRIM(H130&amp;""))</f>
        <v/>
      </c>
      <c r="Q130" s="10">
        <f>IFERROR(IF(TRIM(I130&amp;"")="","",IF(AND(ISNUMBER(FIND(" ",TRIM(I130&amp;""))),ISNUMBER(MATCH(LEFT(TRIM(I130&amp;""),FIND(" ",TRIM(I130&amp;""))-1),코드표!$J$2:$J$101,0)),ISNUMBER(MATCH(TRIM(RIGHT(SUBSTITUTE(TRIM(I130&amp;"")," ",REPT(" ",60)),60)),코드표!$F$2:$F$101,0))),INDEX(코드표!$K$2:$K$101,MATCH(LEFT(TRIM(I130&amp;""),FIND(" ",TRIM(I130&amp;""))-1),코드표!$J$2:$J$101,0))&amp;" "&amp;INDEX(코드표!$G$2:$G$101,MATCH(TRIM(RIGHT(SUBSTITUTE(TRIM(I130&amp;"")," ",REPT(" ",60)),60)),코드표!$F$2:$F$101,0)),"⚠"&amp;TRIM(I130&amp;""))),"⚠"&amp;TRIM(I130&amp;""))</f>
        <v/>
      </c>
      <c r="R130" s="10">
        <f>IFERROR(IF(TRIM(J130&amp;"")="","",IF(AND(ISNUMBER(FIND(" ",TRIM(J130&amp;""))),ISNUMBER(MATCH(LEFT(TRIM(J130&amp;""),FIND(" ",TRIM(J130&amp;""))-1),코드표!$J$2:$J$101,0)),ISNUMBER(MATCH(TRIM(RIGHT(SUBSTITUTE(TRIM(J130&amp;"")," ",REPT(" ",60)),60)),코드표!$F$2:$F$101,0))),INDEX(코드표!$K$2:$K$101,MATCH(LEFT(TRIM(J130&amp;""),FIND(" ",TRIM(J130&amp;""))-1),코드표!$J$2:$J$101,0))&amp;" "&amp;INDEX(코드표!$G$2:$G$101,MATCH(TRIM(RIGHT(SUBSTITUTE(TRIM(J130&amp;"")," ",REPT(" ",60)),60)),코드표!$F$2:$F$101,0)),"⚠"&amp;TRIM(J130&amp;""))),"⚠"&amp;TRIM(J130&amp;""))</f>
        <v/>
      </c>
      <c r="S130" s="11">
        <f>IF(K130="","",IFERROR(IF(AND(ROUND((VALUE(K130&amp;"")-INT(VALUE(K130&amp;"")))*100,0)&gt;=1,ROUND((VALUE(K130&amp;"")-INT(VALUE(K130&amp;"")))*100,0)&lt;=12,INT(VALUE(K130&amp;""))&gt;=1900),DATE(INT(VALUE(K130&amp;"")),ROUND((VALUE(K130&amp;"")-INT(VALUE(K130&amp;"")))*100,0),1),K130&amp;""),K130&amp;""))</f>
        <v/>
      </c>
      <c r="T130" s="10">
        <f>COUNTIF(M130:R130,"⚠*")</f>
        <v/>
      </c>
    </row>
    <row r="131"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M131" s="10">
        <f>IFERROR(IF(TRIM(E131&amp;"")="","",IF(AND(ISNUMBER(FIND(" ",TRIM(E131&amp;""))),ISNUMBER(MATCH(LEFT(TRIM(E131&amp;""),FIND(" ",TRIM(E131&amp;""))-1),코드표!$J$2:$J$101,0)),ISNUMBER(MATCH(TRIM(RIGHT(SUBSTITUTE(TRIM(E131&amp;"")," ",REPT(" ",60)),60)),코드표!$F$2:$F$101,0))),INDEX(코드표!$K$2:$K$101,MATCH(LEFT(TRIM(E131&amp;""),FIND(" ",TRIM(E131&amp;""))-1),코드표!$J$2:$J$101,0))&amp;" "&amp;INDEX(코드표!$G$2:$G$101,MATCH(TRIM(RIGHT(SUBSTITUTE(TRIM(E131&amp;"")," ",REPT(" ",60)),60)),코드표!$F$2:$F$101,0)),"⚠"&amp;TRIM(E131&amp;""))),"⚠"&amp;TRIM(E131&amp;""))</f>
        <v/>
      </c>
      <c r="N131" s="10">
        <f>IFERROR(IF(TRIM(F131&amp;"")="","",IF(AND(ISNUMBER(FIND(" ",TRIM(F131&amp;""))),ISNUMBER(MATCH(LEFT(TRIM(F131&amp;""),FIND(" ",TRIM(F131&amp;""))-1),코드표!$J$2:$J$101,0)),ISNUMBER(MATCH(TRIM(RIGHT(SUBSTITUTE(TRIM(F131&amp;"")," ",REPT(" ",60)),60)),코드표!$F$2:$F$101,0))),INDEX(코드표!$K$2:$K$101,MATCH(LEFT(TRIM(F131&amp;""),FIND(" ",TRIM(F131&amp;""))-1),코드표!$J$2:$J$101,0))&amp;" "&amp;INDEX(코드표!$G$2:$G$101,MATCH(TRIM(RIGHT(SUBSTITUTE(TRIM(F131&amp;"")," ",REPT(" ",60)),60)),코드표!$F$2:$F$101,0)),"⚠"&amp;TRIM(F131&amp;""))),"⚠"&amp;TRIM(F131&amp;""))</f>
        <v/>
      </c>
      <c r="O131" s="10">
        <f>IFERROR(IF(TRIM(G131&amp;"")="","",IF(AND(ISNUMBER(FIND(" ",TRIM(G131&amp;""))),ISNUMBER(MATCH(LEFT(TRIM(G131&amp;""),FIND(" ",TRIM(G131&amp;""))-1),코드표!$J$2:$J$101,0)),ISNUMBER(MATCH(TRIM(RIGHT(SUBSTITUTE(TRIM(G131&amp;"")," ",REPT(" ",60)),60)),코드표!$F$2:$F$101,0))),INDEX(코드표!$K$2:$K$101,MATCH(LEFT(TRIM(G131&amp;""),FIND(" ",TRIM(G131&amp;""))-1),코드표!$J$2:$J$101,0))&amp;" "&amp;INDEX(코드표!$G$2:$G$101,MATCH(TRIM(RIGHT(SUBSTITUTE(TRIM(G131&amp;"")," ",REPT(" ",60)),60)),코드표!$F$2:$F$101,0)),"⚠"&amp;TRIM(G131&amp;""))),"⚠"&amp;TRIM(G131&amp;""))</f>
        <v/>
      </c>
      <c r="P131" s="10">
        <f>IFERROR(IF(TRIM(H131&amp;"")="","",IF(AND(ISNUMBER(FIND(" ",TRIM(H131&amp;""))),ISNUMBER(MATCH(LEFT(TRIM(H131&amp;""),FIND(" ",TRIM(H131&amp;""))-1),코드표!$J$2:$J$101,0)),ISNUMBER(MATCH(TRIM(RIGHT(SUBSTITUTE(TRIM(H131&amp;"")," ",REPT(" ",60)),60)),코드표!$F$2:$F$101,0))),INDEX(코드표!$K$2:$K$101,MATCH(LEFT(TRIM(H131&amp;""),FIND(" ",TRIM(H131&amp;""))-1),코드표!$J$2:$J$101,0))&amp;" "&amp;INDEX(코드표!$G$2:$G$101,MATCH(TRIM(RIGHT(SUBSTITUTE(TRIM(H131&amp;"")," ",REPT(" ",60)),60)),코드표!$F$2:$F$101,0)),"⚠"&amp;TRIM(H131&amp;""))),"⚠"&amp;TRIM(H131&amp;""))</f>
        <v/>
      </c>
      <c r="Q131" s="10">
        <f>IFERROR(IF(TRIM(I131&amp;"")="","",IF(AND(ISNUMBER(FIND(" ",TRIM(I131&amp;""))),ISNUMBER(MATCH(LEFT(TRIM(I131&amp;""),FIND(" ",TRIM(I131&amp;""))-1),코드표!$J$2:$J$101,0)),ISNUMBER(MATCH(TRIM(RIGHT(SUBSTITUTE(TRIM(I131&amp;"")," ",REPT(" ",60)),60)),코드표!$F$2:$F$101,0))),INDEX(코드표!$K$2:$K$101,MATCH(LEFT(TRIM(I131&amp;""),FIND(" ",TRIM(I131&amp;""))-1),코드표!$J$2:$J$101,0))&amp;" "&amp;INDEX(코드표!$G$2:$G$101,MATCH(TRIM(RIGHT(SUBSTITUTE(TRIM(I131&amp;"")," ",REPT(" ",60)),60)),코드표!$F$2:$F$101,0)),"⚠"&amp;TRIM(I131&amp;""))),"⚠"&amp;TRIM(I131&amp;""))</f>
        <v/>
      </c>
      <c r="R131" s="10">
        <f>IFERROR(IF(TRIM(J131&amp;"")="","",IF(AND(ISNUMBER(FIND(" ",TRIM(J131&amp;""))),ISNUMBER(MATCH(LEFT(TRIM(J131&amp;""),FIND(" ",TRIM(J131&amp;""))-1),코드표!$J$2:$J$101,0)),ISNUMBER(MATCH(TRIM(RIGHT(SUBSTITUTE(TRIM(J131&amp;"")," ",REPT(" ",60)),60)),코드표!$F$2:$F$101,0))),INDEX(코드표!$K$2:$K$101,MATCH(LEFT(TRIM(J131&amp;""),FIND(" ",TRIM(J131&amp;""))-1),코드표!$J$2:$J$101,0))&amp;" "&amp;INDEX(코드표!$G$2:$G$101,MATCH(TRIM(RIGHT(SUBSTITUTE(TRIM(J131&amp;"")," ",REPT(" ",60)),60)),코드표!$F$2:$F$101,0)),"⚠"&amp;TRIM(J131&amp;""))),"⚠"&amp;TRIM(J131&amp;""))</f>
        <v/>
      </c>
      <c r="S131" s="11">
        <f>IF(K131="","",IFERROR(IF(AND(ROUND((VALUE(K131&amp;"")-INT(VALUE(K131&amp;"")))*100,0)&gt;=1,ROUND((VALUE(K131&amp;"")-INT(VALUE(K131&amp;"")))*100,0)&lt;=12,INT(VALUE(K131&amp;""))&gt;=1900),DATE(INT(VALUE(K131&amp;"")),ROUND((VALUE(K131&amp;"")-INT(VALUE(K131&amp;"")))*100,0),1),K131&amp;""),K131&amp;""))</f>
        <v/>
      </c>
      <c r="T131" s="10">
        <f>COUNTIF(M131:R131,"⚠*")</f>
        <v/>
      </c>
    </row>
    <row r="132"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M132" s="10">
        <f>IFERROR(IF(TRIM(E132&amp;"")="","",IF(AND(ISNUMBER(FIND(" ",TRIM(E132&amp;""))),ISNUMBER(MATCH(LEFT(TRIM(E132&amp;""),FIND(" ",TRIM(E132&amp;""))-1),코드표!$J$2:$J$101,0)),ISNUMBER(MATCH(TRIM(RIGHT(SUBSTITUTE(TRIM(E132&amp;"")," ",REPT(" ",60)),60)),코드표!$F$2:$F$101,0))),INDEX(코드표!$K$2:$K$101,MATCH(LEFT(TRIM(E132&amp;""),FIND(" ",TRIM(E132&amp;""))-1),코드표!$J$2:$J$101,0))&amp;" "&amp;INDEX(코드표!$G$2:$G$101,MATCH(TRIM(RIGHT(SUBSTITUTE(TRIM(E132&amp;"")," ",REPT(" ",60)),60)),코드표!$F$2:$F$101,0)),"⚠"&amp;TRIM(E132&amp;""))),"⚠"&amp;TRIM(E132&amp;""))</f>
        <v/>
      </c>
      <c r="N132" s="10">
        <f>IFERROR(IF(TRIM(F132&amp;"")="","",IF(AND(ISNUMBER(FIND(" ",TRIM(F132&amp;""))),ISNUMBER(MATCH(LEFT(TRIM(F132&amp;""),FIND(" ",TRIM(F132&amp;""))-1),코드표!$J$2:$J$101,0)),ISNUMBER(MATCH(TRIM(RIGHT(SUBSTITUTE(TRIM(F132&amp;"")," ",REPT(" ",60)),60)),코드표!$F$2:$F$101,0))),INDEX(코드표!$K$2:$K$101,MATCH(LEFT(TRIM(F132&amp;""),FIND(" ",TRIM(F132&amp;""))-1),코드표!$J$2:$J$101,0))&amp;" "&amp;INDEX(코드표!$G$2:$G$101,MATCH(TRIM(RIGHT(SUBSTITUTE(TRIM(F132&amp;"")," ",REPT(" ",60)),60)),코드표!$F$2:$F$101,0)),"⚠"&amp;TRIM(F132&amp;""))),"⚠"&amp;TRIM(F132&amp;""))</f>
        <v/>
      </c>
      <c r="O132" s="10">
        <f>IFERROR(IF(TRIM(G132&amp;"")="","",IF(AND(ISNUMBER(FIND(" ",TRIM(G132&amp;""))),ISNUMBER(MATCH(LEFT(TRIM(G132&amp;""),FIND(" ",TRIM(G132&amp;""))-1),코드표!$J$2:$J$101,0)),ISNUMBER(MATCH(TRIM(RIGHT(SUBSTITUTE(TRIM(G132&amp;"")," ",REPT(" ",60)),60)),코드표!$F$2:$F$101,0))),INDEX(코드표!$K$2:$K$101,MATCH(LEFT(TRIM(G132&amp;""),FIND(" ",TRIM(G132&amp;""))-1),코드표!$J$2:$J$101,0))&amp;" "&amp;INDEX(코드표!$G$2:$G$101,MATCH(TRIM(RIGHT(SUBSTITUTE(TRIM(G132&amp;"")," ",REPT(" ",60)),60)),코드표!$F$2:$F$101,0)),"⚠"&amp;TRIM(G132&amp;""))),"⚠"&amp;TRIM(G132&amp;""))</f>
        <v/>
      </c>
      <c r="P132" s="10">
        <f>IFERROR(IF(TRIM(H132&amp;"")="","",IF(AND(ISNUMBER(FIND(" ",TRIM(H132&amp;""))),ISNUMBER(MATCH(LEFT(TRIM(H132&amp;""),FIND(" ",TRIM(H132&amp;""))-1),코드표!$J$2:$J$101,0)),ISNUMBER(MATCH(TRIM(RIGHT(SUBSTITUTE(TRIM(H132&amp;"")," ",REPT(" ",60)),60)),코드표!$F$2:$F$101,0))),INDEX(코드표!$K$2:$K$101,MATCH(LEFT(TRIM(H132&amp;""),FIND(" ",TRIM(H132&amp;""))-1),코드표!$J$2:$J$101,0))&amp;" "&amp;INDEX(코드표!$G$2:$G$101,MATCH(TRIM(RIGHT(SUBSTITUTE(TRIM(H132&amp;"")," ",REPT(" ",60)),60)),코드표!$F$2:$F$101,0)),"⚠"&amp;TRIM(H132&amp;""))),"⚠"&amp;TRIM(H132&amp;""))</f>
        <v/>
      </c>
      <c r="Q132" s="10">
        <f>IFERROR(IF(TRIM(I132&amp;"")="","",IF(AND(ISNUMBER(FIND(" ",TRIM(I132&amp;""))),ISNUMBER(MATCH(LEFT(TRIM(I132&amp;""),FIND(" ",TRIM(I132&amp;""))-1),코드표!$J$2:$J$101,0)),ISNUMBER(MATCH(TRIM(RIGHT(SUBSTITUTE(TRIM(I132&amp;"")," ",REPT(" ",60)),60)),코드표!$F$2:$F$101,0))),INDEX(코드표!$K$2:$K$101,MATCH(LEFT(TRIM(I132&amp;""),FIND(" ",TRIM(I132&amp;""))-1),코드표!$J$2:$J$101,0))&amp;" "&amp;INDEX(코드표!$G$2:$G$101,MATCH(TRIM(RIGHT(SUBSTITUTE(TRIM(I132&amp;"")," ",REPT(" ",60)),60)),코드표!$F$2:$F$101,0)),"⚠"&amp;TRIM(I132&amp;""))),"⚠"&amp;TRIM(I132&amp;""))</f>
        <v/>
      </c>
      <c r="R132" s="10">
        <f>IFERROR(IF(TRIM(J132&amp;"")="","",IF(AND(ISNUMBER(FIND(" ",TRIM(J132&amp;""))),ISNUMBER(MATCH(LEFT(TRIM(J132&amp;""),FIND(" ",TRIM(J132&amp;""))-1),코드표!$J$2:$J$101,0)),ISNUMBER(MATCH(TRIM(RIGHT(SUBSTITUTE(TRIM(J132&amp;"")," ",REPT(" ",60)),60)),코드표!$F$2:$F$101,0))),INDEX(코드표!$K$2:$K$101,MATCH(LEFT(TRIM(J132&amp;""),FIND(" ",TRIM(J132&amp;""))-1),코드표!$J$2:$J$101,0))&amp;" "&amp;INDEX(코드표!$G$2:$G$101,MATCH(TRIM(RIGHT(SUBSTITUTE(TRIM(J132&amp;"")," ",REPT(" ",60)),60)),코드표!$F$2:$F$101,0)),"⚠"&amp;TRIM(J132&amp;""))),"⚠"&amp;TRIM(J132&amp;""))</f>
        <v/>
      </c>
      <c r="S132" s="11">
        <f>IF(K132="","",IFERROR(IF(AND(ROUND((VALUE(K132&amp;"")-INT(VALUE(K132&amp;"")))*100,0)&gt;=1,ROUND((VALUE(K132&amp;"")-INT(VALUE(K132&amp;"")))*100,0)&lt;=12,INT(VALUE(K132&amp;""))&gt;=1900),DATE(INT(VALUE(K132&amp;"")),ROUND((VALUE(K132&amp;"")-INT(VALUE(K132&amp;"")))*100,0),1),K132&amp;""),K132&amp;""))</f>
        <v/>
      </c>
      <c r="T132" s="10">
        <f>COUNTIF(M132:R132,"⚠*")</f>
        <v/>
      </c>
    </row>
    <row r="133"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M133" s="10">
        <f>IFERROR(IF(TRIM(E133&amp;"")="","",IF(AND(ISNUMBER(FIND(" ",TRIM(E133&amp;""))),ISNUMBER(MATCH(LEFT(TRIM(E133&amp;""),FIND(" ",TRIM(E133&amp;""))-1),코드표!$J$2:$J$101,0)),ISNUMBER(MATCH(TRIM(RIGHT(SUBSTITUTE(TRIM(E133&amp;"")," ",REPT(" ",60)),60)),코드표!$F$2:$F$101,0))),INDEX(코드표!$K$2:$K$101,MATCH(LEFT(TRIM(E133&amp;""),FIND(" ",TRIM(E133&amp;""))-1),코드표!$J$2:$J$101,0))&amp;" "&amp;INDEX(코드표!$G$2:$G$101,MATCH(TRIM(RIGHT(SUBSTITUTE(TRIM(E133&amp;"")," ",REPT(" ",60)),60)),코드표!$F$2:$F$101,0)),"⚠"&amp;TRIM(E133&amp;""))),"⚠"&amp;TRIM(E133&amp;""))</f>
        <v/>
      </c>
      <c r="N133" s="10">
        <f>IFERROR(IF(TRIM(F133&amp;"")="","",IF(AND(ISNUMBER(FIND(" ",TRIM(F133&amp;""))),ISNUMBER(MATCH(LEFT(TRIM(F133&amp;""),FIND(" ",TRIM(F133&amp;""))-1),코드표!$J$2:$J$101,0)),ISNUMBER(MATCH(TRIM(RIGHT(SUBSTITUTE(TRIM(F133&amp;"")," ",REPT(" ",60)),60)),코드표!$F$2:$F$101,0))),INDEX(코드표!$K$2:$K$101,MATCH(LEFT(TRIM(F133&amp;""),FIND(" ",TRIM(F133&amp;""))-1),코드표!$J$2:$J$101,0))&amp;" "&amp;INDEX(코드표!$G$2:$G$101,MATCH(TRIM(RIGHT(SUBSTITUTE(TRIM(F133&amp;"")," ",REPT(" ",60)),60)),코드표!$F$2:$F$101,0)),"⚠"&amp;TRIM(F133&amp;""))),"⚠"&amp;TRIM(F133&amp;""))</f>
        <v/>
      </c>
      <c r="O133" s="10">
        <f>IFERROR(IF(TRIM(G133&amp;"")="","",IF(AND(ISNUMBER(FIND(" ",TRIM(G133&amp;""))),ISNUMBER(MATCH(LEFT(TRIM(G133&amp;""),FIND(" ",TRIM(G133&amp;""))-1),코드표!$J$2:$J$101,0)),ISNUMBER(MATCH(TRIM(RIGHT(SUBSTITUTE(TRIM(G133&amp;"")," ",REPT(" ",60)),60)),코드표!$F$2:$F$101,0))),INDEX(코드표!$K$2:$K$101,MATCH(LEFT(TRIM(G133&amp;""),FIND(" ",TRIM(G133&amp;""))-1),코드표!$J$2:$J$101,0))&amp;" "&amp;INDEX(코드표!$G$2:$G$101,MATCH(TRIM(RIGHT(SUBSTITUTE(TRIM(G133&amp;"")," ",REPT(" ",60)),60)),코드표!$F$2:$F$101,0)),"⚠"&amp;TRIM(G133&amp;""))),"⚠"&amp;TRIM(G133&amp;""))</f>
        <v/>
      </c>
      <c r="P133" s="10">
        <f>IFERROR(IF(TRIM(H133&amp;"")="","",IF(AND(ISNUMBER(FIND(" ",TRIM(H133&amp;""))),ISNUMBER(MATCH(LEFT(TRIM(H133&amp;""),FIND(" ",TRIM(H133&amp;""))-1),코드표!$J$2:$J$101,0)),ISNUMBER(MATCH(TRIM(RIGHT(SUBSTITUTE(TRIM(H133&amp;"")," ",REPT(" ",60)),60)),코드표!$F$2:$F$101,0))),INDEX(코드표!$K$2:$K$101,MATCH(LEFT(TRIM(H133&amp;""),FIND(" ",TRIM(H133&amp;""))-1),코드표!$J$2:$J$101,0))&amp;" "&amp;INDEX(코드표!$G$2:$G$101,MATCH(TRIM(RIGHT(SUBSTITUTE(TRIM(H133&amp;"")," ",REPT(" ",60)),60)),코드표!$F$2:$F$101,0)),"⚠"&amp;TRIM(H133&amp;""))),"⚠"&amp;TRIM(H133&amp;""))</f>
        <v/>
      </c>
      <c r="Q133" s="10">
        <f>IFERROR(IF(TRIM(I133&amp;"")="","",IF(AND(ISNUMBER(FIND(" ",TRIM(I133&amp;""))),ISNUMBER(MATCH(LEFT(TRIM(I133&amp;""),FIND(" ",TRIM(I133&amp;""))-1),코드표!$J$2:$J$101,0)),ISNUMBER(MATCH(TRIM(RIGHT(SUBSTITUTE(TRIM(I133&amp;"")," ",REPT(" ",60)),60)),코드표!$F$2:$F$101,0))),INDEX(코드표!$K$2:$K$101,MATCH(LEFT(TRIM(I133&amp;""),FIND(" ",TRIM(I133&amp;""))-1),코드표!$J$2:$J$101,0))&amp;" "&amp;INDEX(코드표!$G$2:$G$101,MATCH(TRIM(RIGHT(SUBSTITUTE(TRIM(I133&amp;"")," ",REPT(" ",60)),60)),코드표!$F$2:$F$101,0)),"⚠"&amp;TRIM(I133&amp;""))),"⚠"&amp;TRIM(I133&amp;""))</f>
        <v/>
      </c>
      <c r="R133" s="10">
        <f>IFERROR(IF(TRIM(J133&amp;"")="","",IF(AND(ISNUMBER(FIND(" ",TRIM(J133&amp;""))),ISNUMBER(MATCH(LEFT(TRIM(J133&amp;""),FIND(" ",TRIM(J133&amp;""))-1),코드표!$J$2:$J$101,0)),ISNUMBER(MATCH(TRIM(RIGHT(SUBSTITUTE(TRIM(J133&amp;"")," ",REPT(" ",60)),60)),코드표!$F$2:$F$101,0))),INDEX(코드표!$K$2:$K$101,MATCH(LEFT(TRIM(J133&amp;""),FIND(" ",TRIM(J133&amp;""))-1),코드표!$J$2:$J$101,0))&amp;" "&amp;INDEX(코드표!$G$2:$G$101,MATCH(TRIM(RIGHT(SUBSTITUTE(TRIM(J133&amp;"")," ",REPT(" ",60)),60)),코드표!$F$2:$F$101,0)),"⚠"&amp;TRIM(J133&amp;""))),"⚠"&amp;TRIM(J133&amp;""))</f>
        <v/>
      </c>
      <c r="S133" s="11">
        <f>IF(K133="","",IFERROR(IF(AND(ROUND((VALUE(K133&amp;"")-INT(VALUE(K133&amp;"")))*100,0)&gt;=1,ROUND((VALUE(K133&amp;"")-INT(VALUE(K133&amp;"")))*100,0)&lt;=12,INT(VALUE(K133&amp;""))&gt;=1900),DATE(INT(VALUE(K133&amp;"")),ROUND((VALUE(K133&amp;"")-INT(VALUE(K133&amp;"")))*100,0),1),K133&amp;""),K133&amp;""))</f>
        <v/>
      </c>
      <c r="T133" s="10">
        <f>COUNTIF(M133:R133,"⚠*")</f>
        <v/>
      </c>
    </row>
    <row r="134"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M134" s="10">
        <f>IFERROR(IF(TRIM(E134&amp;"")="","",IF(AND(ISNUMBER(FIND(" ",TRIM(E134&amp;""))),ISNUMBER(MATCH(LEFT(TRIM(E134&amp;""),FIND(" ",TRIM(E134&amp;""))-1),코드표!$J$2:$J$101,0)),ISNUMBER(MATCH(TRIM(RIGHT(SUBSTITUTE(TRIM(E134&amp;"")," ",REPT(" ",60)),60)),코드표!$F$2:$F$101,0))),INDEX(코드표!$K$2:$K$101,MATCH(LEFT(TRIM(E134&amp;""),FIND(" ",TRIM(E134&amp;""))-1),코드표!$J$2:$J$101,0))&amp;" "&amp;INDEX(코드표!$G$2:$G$101,MATCH(TRIM(RIGHT(SUBSTITUTE(TRIM(E134&amp;"")," ",REPT(" ",60)),60)),코드표!$F$2:$F$101,0)),"⚠"&amp;TRIM(E134&amp;""))),"⚠"&amp;TRIM(E134&amp;""))</f>
        <v/>
      </c>
      <c r="N134" s="10">
        <f>IFERROR(IF(TRIM(F134&amp;"")="","",IF(AND(ISNUMBER(FIND(" ",TRIM(F134&amp;""))),ISNUMBER(MATCH(LEFT(TRIM(F134&amp;""),FIND(" ",TRIM(F134&amp;""))-1),코드표!$J$2:$J$101,0)),ISNUMBER(MATCH(TRIM(RIGHT(SUBSTITUTE(TRIM(F134&amp;"")," ",REPT(" ",60)),60)),코드표!$F$2:$F$101,0))),INDEX(코드표!$K$2:$K$101,MATCH(LEFT(TRIM(F134&amp;""),FIND(" ",TRIM(F134&amp;""))-1),코드표!$J$2:$J$101,0))&amp;" "&amp;INDEX(코드표!$G$2:$G$101,MATCH(TRIM(RIGHT(SUBSTITUTE(TRIM(F134&amp;"")," ",REPT(" ",60)),60)),코드표!$F$2:$F$101,0)),"⚠"&amp;TRIM(F134&amp;""))),"⚠"&amp;TRIM(F134&amp;""))</f>
        <v/>
      </c>
      <c r="O134" s="10">
        <f>IFERROR(IF(TRIM(G134&amp;"")="","",IF(AND(ISNUMBER(FIND(" ",TRIM(G134&amp;""))),ISNUMBER(MATCH(LEFT(TRIM(G134&amp;""),FIND(" ",TRIM(G134&amp;""))-1),코드표!$J$2:$J$101,0)),ISNUMBER(MATCH(TRIM(RIGHT(SUBSTITUTE(TRIM(G134&amp;"")," ",REPT(" ",60)),60)),코드표!$F$2:$F$101,0))),INDEX(코드표!$K$2:$K$101,MATCH(LEFT(TRIM(G134&amp;""),FIND(" ",TRIM(G134&amp;""))-1),코드표!$J$2:$J$101,0))&amp;" "&amp;INDEX(코드표!$G$2:$G$101,MATCH(TRIM(RIGHT(SUBSTITUTE(TRIM(G134&amp;"")," ",REPT(" ",60)),60)),코드표!$F$2:$F$101,0)),"⚠"&amp;TRIM(G134&amp;""))),"⚠"&amp;TRIM(G134&amp;""))</f>
        <v/>
      </c>
      <c r="P134" s="10">
        <f>IFERROR(IF(TRIM(H134&amp;"")="","",IF(AND(ISNUMBER(FIND(" ",TRIM(H134&amp;""))),ISNUMBER(MATCH(LEFT(TRIM(H134&amp;""),FIND(" ",TRIM(H134&amp;""))-1),코드표!$J$2:$J$101,0)),ISNUMBER(MATCH(TRIM(RIGHT(SUBSTITUTE(TRIM(H134&amp;"")," ",REPT(" ",60)),60)),코드표!$F$2:$F$101,0))),INDEX(코드표!$K$2:$K$101,MATCH(LEFT(TRIM(H134&amp;""),FIND(" ",TRIM(H134&amp;""))-1),코드표!$J$2:$J$101,0))&amp;" "&amp;INDEX(코드표!$G$2:$G$101,MATCH(TRIM(RIGHT(SUBSTITUTE(TRIM(H134&amp;"")," ",REPT(" ",60)),60)),코드표!$F$2:$F$101,0)),"⚠"&amp;TRIM(H134&amp;""))),"⚠"&amp;TRIM(H134&amp;""))</f>
        <v/>
      </c>
      <c r="Q134" s="10">
        <f>IFERROR(IF(TRIM(I134&amp;"")="","",IF(AND(ISNUMBER(FIND(" ",TRIM(I134&amp;""))),ISNUMBER(MATCH(LEFT(TRIM(I134&amp;""),FIND(" ",TRIM(I134&amp;""))-1),코드표!$J$2:$J$101,0)),ISNUMBER(MATCH(TRIM(RIGHT(SUBSTITUTE(TRIM(I134&amp;"")," ",REPT(" ",60)),60)),코드표!$F$2:$F$101,0))),INDEX(코드표!$K$2:$K$101,MATCH(LEFT(TRIM(I134&amp;""),FIND(" ",TRIM(I134&amp;""))-1),코드표!$J$2:$J$101,0))&amp;" "&amp;INDEX(코드표!$G$2:$G$101,MATCH(TRIM(RIGHT(SUBSTITUTE(TRIM(I134&amp;"")," ",REPT(" ",60)),60)),코드표!$F$2:$F$101,0)),"⚠"&amp;TRIM(I134&amp;""))),"⚠"&amp;TRIM(I134&amp;""))</f>
        <v/>
      </c>
      <c r="R134" s="10">
        <f>IFERROR(IF(TRIM(J134&amp;"")="","",IF(AND(ISNUMBER(FIND(" ",TRIM(J134&amp;""))),ISNUMBER(MATCH(LEFT(TRIM(J134&amp;""),FIND(" ",TRIM(J134&amp;""))-1),코드표!$J$2:$J$101,0)),ISNUMBER(MATCH(TRIM(RIGHT(SUBSTITUTE(TRIM(J134&amp;"")," ",REPT(" ",60)),60)),코드표!$F$2:$F$101,0))),INDEX(코드표!$K$2:$K$101,MATCH(LEFT(TRIM(J134&amp;""),FIND(" ",TRIM(J134&amp;""))-1),코드표!$J$2:$J$101,0))&amp;" "&amp;INDEX(코드표!$G$2:$G$101,MATCH(TRIM(RIGHT(SUBSTITUTE(TRIM(J134&amp;"")," ",REPT(" ",60)),60)),코드표!$F$2:$F$101,0)),"⚠"&amp;TRIM(J134&amp;""))),"⚠"&amp;TRIM(J134&amp;""))</f>
        <v/>
      </c>
      <c r="S134" s="11">
        <f>IF(K134="","",IFERROR(IF(AND(ROUND((VALUE(K134&amp;"")-INT(VALUE(K134&amp;"")))*100,0)&gt;=1,ROUND((VALUE(K134&amp;"")-INT(VALUE(K134&amp;"")))*100,0)&lt;=12,INT(VALUE(K134&amp;""))&gt;=1900),DATE(INT(VALUE(K134&amp;"")),ROUND((VALUE(K134&amp;"")-INT(VALUE(K134&amp;"")))*100,0),1),K134&amp;""),K134&amp;""))</f>
        <v/>
      </c>
      <c r="T134" s="10">
        <f>COUNTIF(M134:R134,"⚠*")</f>
        <v/>
      </c>
    </row>
    <row r="135"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M135" s="10">
        <f>IFERROR(IF(TRIM(E135&amp;"")="","",IF(AND(ISNUMBER(FIND(" ",TRIM(E135&amp;""))),ISNUMBER(MATCH(LEFT(TRIM(E135&amp;""),FIND(" ",TRIM(E135&amp;""))-1),코드표!$J$2:$J$101,0)),ISNUMBER(MATCH(TRIM(RIGHT(SUBSTITUTE(TRIM(E135&amp;"")," ",REPT(" ",60)),60)),코드표!$F$2:$F$101,0))),INDEX(코드표!$K$2:$K$101,MATCH(LEFT(TRIM(E135&amp;""),FIND(" ",TRIM(E135&amp;""))-1),코드표!$J$2:$J$101,0))&amp;" "&amp;INDEX(코드표!$G$2:$G$101,MATCH(TRIM(RIGHT(SUBSTITUTE(TRIM(E135&amp;"")," ",REPT(" ",60)),60)),코드표!$F$2:$F$101,0)),"⚠"&amp;TRIM(E135&amp;""))),"⚠"&amp;TRIM(E135&amp;""))</f>
        <v/>
      </c>
      <c r="N135" s="10">
        <f>IFERROR(IF(TRIM(F135&amp;"")="","",IF(AND(ISNUMBER(FIND(" ",TRIM(F135&amp;""))),ISNUMBER(MATCH(LEFT(TRIM(F135&amp;""),FIND(" ",TRIM(F135&amp;""))-1),코드표!$J$2:$J$101,0)),ISNUMBER(MATCH(TRIM(RIGHT(SUBSTITUTE(TRIM(F135&amp;"")," ",REPT(" ",60)),60)),코드표!$F$2:$F$101,0))),INDEX(코드표!$K$2:$K$101,MATCH(LEFT(TRIM(F135&amp;""),FIND(" ",TRIM(F135&amp;""))-1),코드표!$J$2:$J$101,0))&amp;" "&amp;INDEX(코드표!$G$2:$G$101,MATCH(TRIM(RIGHT(SUBSTITUTE(TRIM(F135&amp;"")," ",REPT(" ",60)),60)),코드표!$F$2:$F$101,0)),"⚠"&amp;TRIM(F135&amp;""))),"⚠"&amp;TRIM(F135&amp;""))</f>
        <v/>
      </c>
      <c r="O135" s="10">
        <f>IFERROR(IF(TRIM(G135&amp;"")="","",IF(AND(ISNUMBER(FIND(" ",TRIM(G135&amp;""))),ISNUMBER(MATCH(LEFT(TRIM(G135&amp;""),FIND(" ",TRIM(G135&amp;""))-1),코드표!$J$2:$J$101,0)),ISNUMBER(MATCH(TRIM(RIGHT(SUBSTITUTE(TRIM(G135&amp;"")," ",REPT(" ",60)),60)),코드표!$F$2:$F$101,0))),INDEX(코드표!$K$2:$K$101,MATCH(LEFT(TRIM(G135&amp;""),FIND(" ",TRIM(G135&amp;""))-1),코드표!$J$2:$J$101,0))&amp;" "&amp;INDEX(코드표!$G$2:$G$101,MATCH(TRIM(RIGHT(SUBSTITUTE(TRIM(G135&amp;"")," ",REPT(" ",60)),60)),코드표!$F$2:$F$101,0)),"⚠"&amp;TRIM(G135&amp;""))),"⚠"&amp;TRIM(G135&amp;""))</f>
        <v/>
      </c>
      <c r="P135" s="10">
        <f>IFERROR(IF(TRIM(H135&amp;"")="","",IF(AND(ISNUMBER(FIND(" ",TRIM(H135&amp;""))),ISNUMBER(MATCH(LEFT(TRIM(H135&amp;""),FIND(" ",TRIM(H135&amp;""))-1),코드표!$J$2:$J$101,0)),ISNUMBER(MATCH(TRIM(RIGHT(SUBSTITUTE(TRIM(H135&amp;"")," ",REPT(" ",60)),60)),코드표!$F$2:$F$101,0))),INDEX(코드표!$K$2:$K$101,MATCH(LEFT(TRIM(H135&amp;""),FIND(" ",TRIM(H135&amp;""))-1),코드표!$J$2:$J$101,0))&amp;" "&amp;INDEX(코드표!$G$2:$G$101,MATCH(TRIM(RIGHT(SUBSTITUTE(TRIM(H135&amp;"")," ",REPT(" ",60)),60)),코드표!$F$2:$F$101,0)),"⚠"&amp;TRIM(H135&amp;""))),"⚠"&amp;TRIM(H135&amp;""))</f>
        <v/>
      </c>
      <c r="Q135" s="10">
        <f>IFERROR(IF(TRIM(I135&amp;"")="","",IF(AND(ISNUMBER(FIND(" ",TRIM(I135&amp;""))),ISNUMBER(MATCH(LEFT(TRIM(I135&amp;""),FIND(" ",TRIM(I135&amp;""))-1),코드표!$J$2:$J$101,0)),ISNUMBER(MATCH(TRIM(RIGHT(SUBSTITUTE(TRIM(I135&amp;"")," ",REPT(" ",60)),60)),코드표!$F$2:$F$101,0))),INDEX(코드표!$K$2:$K$101,MATCH(LEFT(TRIM(I135&amp;""),FIND(" ",TRIM(I135&amp;""))-1),코드표!$J$2:$J$101,0))&amp;" "&amp;INDEX(코드표!$G$2:$G$101,MATCH(TRIM(RIGHT(SUBSTITUTE(TRIM(I135&amp;"")," ",REPT(" ",60)),60)),코드표!$F$2:$F$101,0)),"⚠"&amp;TRIM(I135&amp;""))),"⚠"&amp;TRIM(I135&amp;""))</f>
        <v/>
      </c>
      <c r="R135" s="10">
        <f>IFERROR(IF(TRIM(J135&amp;"")="","",IF(AND(ISNUMBER(FIND(" ",TRIM(J135&amp;""))),ISNUMBER(MATCH(LEFT(TRIM(J135&amp;""),FIND(" ",TRIM(J135&amp;""))-1),코드표!$J$2:$J$101,0)),ISNUMBER(MATCH(TRIM(RIGHT(SUBSTITUTE(TRIM(J135&amp;"")," ",REPT(" ",60)),60)),코드표!$F$2:$F$101,0))),INDEX(코드표!$K$2:$K$101,MATCH(LEFT(TRIM(J135&amp;""),FIND(" ",TRIM(J135&amp;""))-1),코드표!$J$2:$J$101,0))&amp;" "&amp;INDEX(코드표!$G$2:$G$101,MATCH(TRIM(RIGHT(SUBSTITUTE(TRIM(J135&amp;"")," ",REPT(" ",60)),60)),코드표!$F$2:$F$101,0)),"⚠"&amp;TRIM(J135&amp;""))),"⚠"&amp;TRIM(J135&amp;""))</f>
        <v/>
      </c>
      <c r="S135" s="11">
        <f>IF(K135="","",IFERROR(IF(AND(ROUND((VALUE(K135&amp;"")-INT(VALUE(K135&amp;"")))*100,0)&gt;=1,ROUND((VALUE(K135&amp;"")-INT(VALUE(K135&amp;"")))*100,0)&lt;=12,INT(VALUE(K135&amp;""))&gt;=1900),DATE(INT(VALUE(K135&amp;"")),ROUND((VALUE(K135&amp;"")-INT(VALUE(K135&amp;"")))*100,0),1),K135&amp;""),K135&amp;""))</f>
        <v/>
      </c>
      <c r="T135" s="10">
        <f>COUNTIF(M135:R135,"⚠*")</f>
        <v/>
      </c>
    </row>
    <row r="136"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M136" s="10">
        <f>IFERROR(IF(TRIM(E136&amp;"")="","",IF(AND(ISNUMBER(FIND(" ",TRIM(E136&amp;""))),ISNUMBER(MATCH(LEFT(TRIM(E136&amp;""),FIND(" ",TRIM(E136&amp;""))-1),코드표!$J$2:$J$101,0)),ISNUMBER(MATCH(TRIM(RIGHT(SUBSTITUTE(TRIM(E136&amp;"")," ",REPT(" ",60)),60)),코드표!$F$2:$F$101,0))),INDEX(코드표!$K$2:$K$101,MATCH(LEFT(TRIM(E136&amp;""),FIND(" ",TRIM(E136&amp;""))-1),코드표!$J$2:$J$101,0))&amp;" "&amp;INDEX(코드표!$G$2:$G$101,MATCH(TRIM(RIGHT(SUBSTITUTE(TRIM(E136&amp;"")," ",REPT(" ",60)),60)),코드표!$F$2:$F$101,0)),"⚠"&amp;TRIM(E136&amp;""))),"⚠"&amp;TRIM(E136&amp;""))</f>
        <v/>
      </c>
      <c r="N136" s="10">
        <f>IFERROR(IF(TRIM(F136&amp;"")="","",IF(AND(ISNUMBER(FIND(" ",TRIM(F136&amp;""))),ISNUMBER(MATCH(LEFT(TRIM(F136&amp;""),FIND(" ",TRIM(F136&amp;""))-1),코드표!$J$2:$J$101,0)),ISNUMBER(MATCH(TRIM(RIGHT(SUBSTITUTE(TRIM(F136&amp;"")," ",REPT(" ",60)),60)),코드표!$F$2:$F$101,0))),INDEX(코드표!$K$2:$K$101,MATCH(LEFT(TRIM(F136&amp;""),FIND(" ",TRIM(F136&amp;""))-1),코드표!$J$2:$J$101,0))&amp;" "&amp;INDEX(코드표!$G$2:$G$101,MATCH(TRIM(RIGHT(SUBSTITUTE(TRIM(F136&amp;"")," ",REPT(" ",60)),60)),코드표!$F$2:$F$101,0)),"⚠"&amp;TRIM(F136&amp;""))),"⚠"&amp;TRIM(F136&amp;""))</f>
        <v/>
      </c>
      <c r="O136" s="10">
        <f>IFERROR(IF(TRIM(G136&amp;"")="","",IF(AND(ISNUMBER(FIND(" ",TRIM(G136&amp;""))),ISNUMBER(MATCH(LEFT(TRIM(G136&amp;""),FIND(" ",TRIM(G136&amp;""))-1),코드표!$J$2:$J$101,0)),ISNUMBER(MATCH(TRIM(RIGHT(SUBSTITUTE(TRIM(G136&amp;"")," ",REPT(" ",60)),60)),코드표!$F$2:$F$101,0))),INDEX(코드표!$K$2:$K$101,MATCH(LEFT(TRIM(G136&amp;""),FIND(" ",TRIM(G136&amp;""))-1),코드표!$J$2:$J$101,0))&amp;" "&amp;INDEX(코드표!$G$2:$G$101,MATCH(TRIM(RIGHT(SUBSTITUTE(TRIM(G136&amp;"")," ",REPT(" ",60)),60)),코드표!$F$2:$F$101,0)),"⚠"&amp;TRIM(G136&amp;""))),"⚠"&amp;TRIM(G136&amp;""))</f>
        <v/>
      </c>
      <c r="P136" s="10">
        <f>IFERROR(IF(TRIM(H136&amp;"")="","",IF(AND(ISNUMBER(FIND(" ",TRIM(H136&amp;""))),ISNUMBER(MATCH(LEFT(TRIM(H136&amp;""),FIND(" ",TRIM(H136&amp;""))-1),코드표!$J$2:$J$101,0)),ISNUMBER(MATCH(TRIM(RIGHT(SUBSTITUTE(TRIM(H136&amp;"")," ",REPT(" ",60)),60)),코드표!$F$2:$F$101,0))),INDEX(코드표!$K$2:$K$101,MATCH(LEFT(TRIM(H136&amp;""),FIND(" ",TRIM(H136&amp;""))-1),코드표!$J$2:$J$101,0))&amp;" "&amp;INDEX(코드표!$G$2:$G$101,MATCH(TRIM(RIGHT(SUBSTITUTE(TRIM(H136&amp;"")," ",REPT(" ",60)),60)),코드표!$F$2:$F$101,0)),"⚠"&amp;TRIM(H136&amp;""))),"⚠"&amp;TRIM(H136&amp;""))</f>
        <v/>
      </c>
      <c r="Q136" s="10">
        <f>IFERROR(IF(TRIM(I136&amp;"")="","",IF(AND(ISNUMBER(FIND(" ",TRIM(I136&amp;""))),ISNUMBER(MATCH(LEFT(TRIM(I136&amp;""),FIND(" ",TRIM(I136&amp;""))-1),코드표!$J$2:$J$101,0)),ISNUMBER(MATCH(TRIM(RIGHT(SUBSTITUTE(TRIM(I136&amp;"")," ",REPT(" ",60)),60)),코드표!$F$2:$F$101,0))),INDEX(코드표!$K$2:$K$101,MATCH(LEFT(TRIM(I136&amp;""),FIND(" ",TRIM(I136&amp;""))-1),코드표!$J$2:$J$101,0))&amp;" "&amp;INDEX(코드표!$G$2:$G$101,MATCH(TRIM(RIGHT(SUBSTITUTE(TRIM(I136&amp;"")," ",REPT(" ",60)),60)),코드표!$F$2:$F$101,0)),"⚠"&amp;TRIM(I136&amp;""))),"⚠"&amp;TRIM(I136&amp;""))</f>
        <v/>
      </c>
      <c r="R136" s="10">
        <f>IFERROR(IF(TRIM(J136&amp;"")="","",IF(AND(ISNUMBER(FIND(" ",TRIM(J136&amp;""))),ISNUMBER(MATCH(LEFT(TRIM(J136&amp;""),FIND(" ",TRIM(J136&amp;""))-1),코드표!$J$2:$J$101,0)),ISNUMBER(MATCH(TRIM(RIGHT(SUBSTITUTE(TRIM(J136&amp;"")," ",REPT(" ",60)),60)),코드표!$F$2:$F$101,0))),INDEX(코드표!$K$2:$K$101,MATCH(LEFT(TRIM(J136&amp;""),FIND(" ",TRIM(J136&amp;""))-1),코드표!$J$2:$J$101,0))&amp;" "&amp;INDEX(코드표!$G$2:$G$101,MATCH(TRIM(RIGHT(SUBSTITUTE(TRIM(J136&amp;"")," ",REPT(" ",60)),60)),코드표!$F$2:$F$101,0)),"⚠"&amp;TRIM(J136&amp;""))),"⚠"&amp;TRIM(J136&amp;""))</f>
        <v/>
      </c>
      <c r="S136" s="11">
        <f>IF(K136="","",IFERROR(IF(AND(ROUND((VALUE(K136&amp;"")-INT(VALUE(K136&amp;"")))*100,0)&gt;=1,ROUND((VALUE(K136&amp;"")-INT(VALUE(K136&amp;"")))*100,0)&lt;=12,INT(VALUE(K136&amp;""))&gt;=1900),DATE(INT(VALUE(K136&amp;"")),ROUND((VALUE(K136&amp;"")-INT(VALUE(K136&amp;"")))*100,0),1),K136&amp;""),K136&amp;""))</f>
        <v/>
      </c>
      <c r="T136" s="10">
        <f>COUNTIF(M136:R136,"⚠*")</f>
        <v/>
      </c>
    </row>
    <row r="137"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M137" s="10">
        <f>IFERROR(IF(TRIM(E137&amp;"")="","",IF(AND(ISNUMBER(FIND(" ",TRIM(E137&amp;""))),ISNUMBER(MATCH(LEFT(TRIM(E137&amp;""),FIND(" ",TRIM(E137&amp;""))-1),코드표!$J$2:$J$101,0)),ISNUMBER(MATCH(TRIM(RIGHT(SUBSTITUTE(TRIM(E137&amp;"")," ",REPT(" ",60)),60)),코드표!$F$2:$F$101,0))),INDEX(코드표!$K$2:$K$101,MATCH(LEFT(TRIM(E137&amp;""),FIND(" ",TRIM(E137&amp;""))-1),코드표!$J$2:$J$101,0))&amp;" "&amp;INDEX(코드표!$G$2:$G$101,MATCH(TRIM(RIGHT(SUBSTITUTE(TRIM(E137&amp;"")," ",REPT(" ",60)),60)),코드표!$F$2:$F$101,0)),"⚠"&amp;TRIM(E137&amp;""))),"⚠"&amp;TRIM(E137&amp;""))</f>
        <v/>
      </c>
      <c r="N137" s="10">
        <f>IFERROR(IF(TRIM(F137&amp;"")="","",IF(AND(ISNUMBER(FIND(" ",TRIM(F137&amp;""))),ISNUMBER(MATCH(LEFT(TRIM(F137&amp;""),FIND(" ",TRIM(F137&amp;""))-1),코드표!$J$2:$J$101,0)),ISNUMBER(MATCH(TRIM(RIGHT(SUBSTITUTE(TRIM(F137&amp;"")," ",REPT(" ",60)),60)),코드표!$F$2:$F$101,0))),INDEX(코드표!$K$2:$K$101,MATCH(LEFT(TRIM(F137&amp;""),FIND(" ",TRIM(F137&amp;""))-1),코드표!$J$2:$J$101,0))&amp;" "&amp;INDEX(코드표!$G$2:$G$101,MATCH(TRIM(RIGHT(SUBSTITUTE(TRIM(F137&amp;"")," ",REPT(" ",60)),60)),코드표!$F$2:$F$101,0)),"⚠"&amp;TRIM(F137&amp;""))),"⚠"&amp;TRIM(F137&amp;""))</f>
        <v/>
      </c>
      <c r="O137" s="10">
        <f>IFERROR(IF(TRIM(G137&amp;"")="","",IF(AND(ISNUMBER(FIND(" ",TRIM(G137&amp;""))),ISNUMBER(MATCH(LEFT(TRIM(G137&amp;""),FIND(" ",TRIM(G137&amp;""))-1),코드표!$J$2:$J$101,0)),ISNUMBER(MATCH(TRIM(RIGHT(SUBSTITUTE(TRIM(G137&amp;"")," ",REPT(" ",60)),60)),코드표!$F$2:$F$101,0))),INDEX(코드표!$K$2:$K$101,MATCH(LEFT(TRIM(G137&amp;""),FIND(" ",TRIM(G137&amp;""))-1),코드표!$J$2:$J$101,0))&amp;" "&amp;INDEX(코드표!$G$2:$G$101,MATCH(TRIM(RIGHT(SUBSTITUTE(TRIM(G137&amp;"")," ",REPT(" ",60)),60)),코드표!$F$2:$F$101,0)),"⚠"&amp;TRIM(G137&amp;""))),"⚠"&amp;TRIM(G137&amp;""))</f>
        <v/>
      </c>
      <c r="P137" s="10">
        <f>IFERROR(IF(TRIM(H137&amp;"")="","",IF(AND(ISNUMBER(FIND(" ",TRIM(H137&amp;""))),ISNUMBER(MATCH(LEFT(TRIM(H137&amp;""),FIND(" ",TRIM(H137&amp;""))-1),코드표!$J$2:$J$101,0)),ISNUMBER(MATCH(TRIM(RIGHT(SUBSTITUTE(TRIM(H137&amp;"")," ",REPT(" ",60)),60)),코드표!$F$2:$F$101,0))),INDEX(코드표!$K$2:$K$101,MATCH(LEFT(TRIM(H137&amp;""),FIND(" ",TRIM(H137&amp;""))-1),코드표!$J$2:$J$101,0))&amp;" "&amp;INDEX(코드표!$G$2:$G$101,MATCH(TRIM(RIGHT(SUBSTITUTE(TRIM(H137&amp;"")," ",REPT(" ",60)),60)),코드표!$F$2:$F$101,0)),"⚠"&amp;TRIM(H137&amp;""))),"⚠"&amp;TRIM(H137&amp;""))</f>
        <v/>
      </c>
      <c r="Q137" s="10">
        <f>IFERROR(IF(TRIM(I137&amp;"")="","",IF(AND(ISNUMBER(FIND(" ",TRIM(I137&amp;""))),ISNUMBER(MATCH(LEFT(TRIM(I137&amp;""),FIND(" ",TRIM(I137&amp;""))-1),코드표!$J$2:$J$101,0)),ISNUMBER(MATCH(TRIM(RIGHT(SUBSTITUTE(TRIM(I137&amp;"")," ",REPT(" ",60)),60)),코드표!$F$2:$F$101,0))),INDEX(코드표!$K$2:$K$101,MATCH(LEFT(TRIM(I137&amp;""),FIND(" ",TRIM(I137&amp;""))-1),코드표!$J$2:$J$101,0))&amp;" "&amp;INDEX(코드표!$G$2:$G$101,MATCH(TRIM(RIGHT(SUBSTITUTE(TRIM(I137&amp;"")," ",REPT(" ",60)),60)),코드표!$F$2:$F$101,0)),"⚠"&amp;TRIM(I137&amp;""))),"⚠"&amp;TRIM(I137&amp;""))</f>
        <v/>
      </c>
      <c r="R137" s="10">
        <f>IFERROR(IF(TRIM(J137&amp;"")="","",IF(AND(ISNUMBER(FIND(" ",TRIM(J137&amp;""))),ISNUMBER(MATCH(LEFT(TRIM(J137&amp;""),FIND(" ",TRIM(J137&amp;""))-1),코드표!$J$2:$J$101,0)),ISNUMBER(MATCH(TRIM(RIGHT(SUBSTITUTE(TRIM(J137&amp;"")," ",REPT(" ",60)),60)),코드표!$F$2:$F$101,0))),INDEX(코드표!$K$2:$K$101,MATCH(LEFT(TRIM(J137&amp;""),FIND(" ",TRIM(J137&amp;""))-1),코드표!$J$2:$J$101,0))&amp;" "&amp;INDEX(코드표!$G$2:$G$101,MATCH(TRIM(RIGHT(SUBSTITUTE(TRIM(J137&amp;"")," ",REPT(" ",60)),60)),코드표!$F$2:$F$101,0)),"⚠"&amp;TRIM(J137&amp;""))),"⚠"&amp;TRIM(J137&amp;""))</f>
        <v/>
      </c>
      <c r="S137" s="11">
        <f>IF(K137="","",IFERROR(IF(AND(ROUND((VALUE(K137&amp;"")-INT(VALUE(K137&amp;"")))*100,0)&gt;=1,ROUND((VALUE(K137&amp;"")-INT(VALUE(K137&amp;"")))*100,0)&lt;=12,INT(VALUE(K137&amp;""))&gt;=1900),DATE(INT(VALUE(K137&amp;"")),ROUND((VALUE(K137&amp;"")-INT(VALUE(K137&amp;"")))*100,0),1),K137&amp;""),K137&amp;""))</f>
        <v/>
      </c>
      <c r="T137" s="10">
        <f>COUNTIF(M137:R137,"⚠*")</f>
        <v/>
      </c>
    </row>
    <row r="138"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M138" s="10">
        <f>IFERROR(IF(TRIM(E138&amp;"")="","",IF(AND(ISNUMBER(FIND(" ",TRIM(E138&amp;""))),ISNUMBER(MATCH(LEFT(TRIM(E138&amp;""),FIND(" ",TRIM(E138&amp;""))-1),코드표!$J$2:$J$101,0)),ISNUMBER(MATCH(TRIM(RIGHT(SUBSTITUTE(TRIM(E138&amp;"")," ",REPT(" ",60)),60)),코드표!$F$2:$F$101,0))),INDEX(코드표!$K$2:$K$101,MATCH(LEFT(TRIM(E138&amp;""),FIND(" ",TRIM(E138&amp;""))-1),코드표!$J$2:$J$101,0))&amp;" "&amp;INDEX(코드표!$G$2:$G$101,MATCH(TRIM(RIGHT(SUBSTITUTE(TRIM(E138&amp;"")," ",REPT(" ",60)),60)),코드표!$F$2:$F$101,0)),"⚠"&amp;TRIM(E138&amp;""))),"⚠"&amp;TRIM(E138&amp;""))</f>
        <v/>
      </c>
      <c r="N138" s="10">
        <f>IFERROR(IF(TRIM(F138&amp;"")="","",IF(AND(ISNUMBER(FIND(" ",TRIM(F138&amp;""))),ISNUMBER(MATCH(LEFT(TRIM(F138&amp;""),FIND(" ",TRIM(F138&amp;""))-1),코드표!$J$2:$J$101,0)),ISNUMBER(MATCH(TRIM(RIGHT(SUBSTITUTE(TRIM(F138&amp;"")," ",REPT(" ",60)),60)),코드표!$F$2:$F$101,0))),INDEX(코드표!$K$2:$K$101,MATCH(LEFT(TRIM(F138&amp;""),FIND(" ",TRIM(F138&amp;""))-1),코드표!$J$2:$J$101,0))&amp;" "&amp;INDEX(코드표!$G$2:$G$101,MATCH(TRIM(RIGHT(SUBSTITUTE(TRIM(F138&amp;"")," ",REPT(" ",60)),60)),코드표!$F$2:$F$101,0)),"⚠"&amp;TRIM(F138&amp;""))),"⚠"&amp;TRIM(F138&amp;""))</f>
        <v/>
      </c>
      <c r="O138" s="10">
        <f>IFERROR(IF(TRIM(G138&amp;"")="","",IF(AND(ISNUMBER(FIND(" ",TRIM(G138&amp;""))),ISNUMBER(MATCH(LEFT(TRIM(G138&amp;""),FIND(" ",TRIM(G138&amp;""))-1),코드표!$J$2:$J$101,0)),ISNUMBER(MATCH(TRIM(RIGHT(SUBSTITUTE(TRIM(G138&amp;"")," ",REPT(" ",60)),60)),코드표!$F$2:$F$101,0))),INDEX(코드표!$K$2:$K$101,MATCH(LEFT(TRIM(G138&amp;""),FIND(" ",TRIM(G138&amp;""))-1),코드표!$J$2:$J$101,0))&amp;" "&amp;INDEX(코드표!$G$2:$G$101,MATCH(TRIM(RIGHT(SUBSTITUTE(TRIM(G138&amp;"")," ",REPT(" ",60)),60)),코드표!$F$2:$F$101,0)),"⚠"&amp;TRIM(G138&amp;""))),"⚠"&amp;TRIM(G138&amp;""))</f>
        <v/>
      </c>
      <c r="P138" s="10">
        <f>IFERROR(IF(TRIM(H138&amp;"")="","",IF(AND(ISNUMBER(FIND(" ",TRIM(H138&amp;""))),ISNUMBER(MATCH(LEFT(TRIM(H138&amp;""),FIND(" ",TRIM(H138&amp;""))-1),코드표!$J$2:$J$101,0)),ISNUMBER(MATCH(TRIM(RIGHT(SUBSTITUTE(TRIM(H138&amp;"")," ",REPT(" ",60)),60)),코드표!$F$2:$F$101,0))),INDEX(코드표!$K$2:$K$101,MATCH(LEFT(TRIM(H138&amp;""),FIND(" ",TRIM(H138&amp;""))-1),코드표!$J$2:$J$101,0))&amp;" "&amp;INDEX(코드표!$G$2:$G$101,MATCH(TRIM(RIGHT(SUBSTITUTE(TRIM(H138&amp;"")," ",REPT(" ",60)),60)),코드표!$F$2:$F$101,0)),"⚠"&amp;TRIM(H138&amp;""))),"⚠"&amp;TRIM(H138&amp;""))</f>
        <v/>
      </c>
      <c r="Q138" s="10">
        <f>IFERROR(IF(TRIM(I138&amp;"")="","",IF(AND(ISNUMBER(FIND(" ",TRIM(I138&amp;""))),ISNUMBER(MATCH(LEFT(TRIM(I138&amp;""),FIND(" ",TRIM(I138&amp;""))-1),코드표!$J$2:$J$101,0)),ISNUMBER(MATCH(TRIM(RIGHT(SUBSTITUTE(TRIM(I138&amp;"")," ",REPT(" ",60)),60)),코드표!$F$2:$F$101,0))),INDEX(코드표!$K$2:$K$101,MATCH(LEFT(TRIM(I138&amp;""),FIND(" ",TRIM(I138&amp;""))-1),코드표!$J$2:$J$101,0))&amp;" "&amp;INDEX(코드표!$G$2:$G$101,MATCH(TRIM(RIGHT(SUBSTITUTE(TRIM(I138&amp;"")," ",REPT(" ",60)),60)),코드표!$F$2:$F$101,0)),"⚠"&amp;TRIM(I138&amp;""))),"⚠"&amp;TRIM(I138&amp;""))</f>
        <v/>
      </c>
      <c r="R138" s="10">
        <f>IFERROR(IF(TRIM(J138&amp;"")="","",IF(AND(ISNUMBER(FIND(" ",TRIM(J138&amp;""))),ISNUMBER(MATCH(LEFT(TRIM(J138&amp;""),FIND(" ",TRIM(J138&amp;""))-1),코드표!$J$2:$J$101,0)),ISNUMBER(MATCH(TRIM(RIGHT(SUBSTITUTE(TRIM(J138&amp;"")," ",REPT(" ",60)),60)),코드표!$F$2:$F$101,0))),INDEX(코드표!$K$2:$K$101,MATCH(LEFT(TRIM(J138&amp;""),FIND(" ",TRIM(J138&amp;""))-1),코드표!$J$2:$J$101,0))&amp;" "&amp;INDEX(코드표!$G$2:$G$101,MATCH(TRIM(RIGHT(SUBSTITUTE(TRIM(J138&amp;"")," ",REPT(" ",60)),60)),코드표!$F$2:$F$101,0)),"⚠"&amp;TRIM(J138&amp;""))),"⚠"&amp;TRIM(J138&amp;""))</f>
        <v/>
      </c>
      <c r="S138" s="11">
        <f>IF(K138="","",IFERROR(IF(AND(ROUND((VALUE(K138&amp;"")-INT(VALUE(K138&amp;"")))*100,0)&gt;=1,ROUND((VALUE(K138&amp;"")-INT(VALUE(K138&amp;"")))*100,0)&lt;=12,INT(VALUE(K138&amp;""))&gt;=1900),DATE(INT(VALUE(K138&amp;"")),ROUND((VALUE(K138&amp;"")-INT(VALUE(K138&amp;"")))*100,0),1),K138&amp;""),K138&amp;""))</f>
        <v/>
      </c>
      <c r="T138" s="10">
        <f>COUNTIF(M138:R138,"⚠*")</f>
        <v/>
      </c>
    </row>
    <row r="139"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M139" s="10">
        <f>IFERROR(IF(TRIM(E139&amp;"")="","",IF(AND(ISNUMBER(FIND(" ",TRIM(E139&amp;""))),ISNUMBER(MATCH(LEFT(TRIM(E139&amp;""),FIND(" ",TRIM(E139&amp;""))-1),코드표!$J$2:$J$101,0)),ISNUMBER(MATCH(TRIM(RIGHT(SUBSTITUTE(TRIM(E139&amp;"")," ",REPT(" ",60)),60)),코드표!$F$2:$F$101,0))),INDEX(코드표!$K$2:$K$101,MATCH(LEFT(TRIM(E139&amp;""),FIND(" ",TRIM(E139&amp;""))-1),코드표!$J$2:$J$101,0))&amp;" "&amp;INDEX(코드표!$G$2:$G$101,MATCH(TRIM(RIGHT(SUBSTITUTE(TRIM(E139&amp;"")," ",REPT(" ",60)),60)),코드표!$F$2:$F$101,0)),"⚠"&amp;TRIM(E139&amp;""))),"⚠"&amp;TRIM(E139&amp;""))</f>
        <v/>
      </c>
      <c r="N139" s="10">
        <f>IFERROR(IF(TRIM(F139&amp;"")="","",IF(AND(ISNUMBER(FIND(" ",TRIM(F139&amp;""))),ISNUMBER(MATCH(LEFT(TRIM(F139&amp;""),FIND(" ",TRIM(F139&amp;""))-1),코드표!$J$2:$J$101,0)),ISNUMBER(MATCH(TRIM(RIGHT(SUBSTITUTE(TRIM(F139&amp;"")," ",REPT(" ",60)),60)),코드표!$F$2:$F$101,0))),INDEX(코드표!$K$2:$K$101,MATCH(LEFT(TRIM(F139&amp;""),FIND(" ",TRIM(F139&amp;""))-1),코드표!$J$2:$J$101,0))&amp;" "&amp;INDEX(코드표!$G$2:$G$101,MATCH(TRIM(RIGHT(SUBSTITUTE(TRIM(F139&amp;"")," ",REPT(" ",60)),60)),코드표!$F$2:$F$101,0)),"⚠"&amp;TRIM(F139&amp;""))),"⚠"&amp;TRIM(F139&amp;""))</f>
        <v/>
      </c>
      <c r="O139" s="10">
        <f>IFERROR(IF(TRIM(G139&amp;"")="","",IF(AND(ISNUMBER(FIND(" ",TRIM(G139&amp;""))),ISNUMBER(MATCH(LEFT(TRIM(G139&amp;""),FIND(" ",TRIM(G139&amp;""))-1),코드표!$J$2:$J$101,0)),ISNUMBER(MATCH(TRIM(RIGHT(SUBSTITUTE(TRIM(G139&amp;"")," ",REPT(" ",60)),60)),코드표!$F$2:$F$101,0))),INDEX(코드표!$K$2:$K$101,MATCH(LEFT(TRIM(G139&amp;""),FIND(" ",TRIM(G139&amp;""))-1),코드표!$J$2:$J$101,0))&amp;" "&amp;INDEX(코드표!$G$2:$G$101,MATCH(TRIM(RIGHT(SUBSTITUTE(TRIM(G139&amp;"")," ",REPT(" ",60)),60)),코드표!$F$2:$F$101,0)),"⚠"&amp;TRIM(G139&amp;""))),"⚠"&amp;TRIM(G139&amp;""))</f>
        <v/>
      </c>
      <c r="P139" s="10">
        <f>IFERROR(IF(TRIM(H139&amp;"")="","",IF(AND(ISNUMBER(FIND(" ",TRIM(H139&amp;""))),ISNUMBER(MATCH(LEFT(TRIM(H139&amp;""),FIND(" ",TRIM(H139&amp;""))-1),코드표!$J$2:$J$101,0)),ISNUMBER(MATCH(TRIM(RIGHT(SUBSTITUTE(TRIM(H139&amp;"")," ",REPT(" ",60)),60)),코드표!$F$2:$F$101,0))),INDEX(코드표!$K$2:$K$101,MATCH(LEFT(TRIM(H139&amp;""),FIND(" ",TRIM(H139&amp;""))-1),코드표!$J$2:$J$101,0))&amp;" "&amp;INDEX(코드표!$G$2:$G$101,MATCH(TRIM(RIGHT(SUBSTITUTE(TRIM(H139&amp;"")," ",REPT(" ",60)),60)),코드표!$F$2:$F$101,0)),"⚠"&amp;TRIM(H139&amp;""))),"⚠"&amp;TRIM(H139&amp;""))</f>
        <v/>
      </c>
      <c r="Q139" s="10">
        <f>IFERROR(IF(TRIM(I139&amp;"")="","",IF(AND(ISNUMBER(FIND(" ",TRIM(I139&amp;""))),ISNUMBER(MATCH(LEFT(TRIM(I139&amp;""),FIND(" ",TRIM(I139&amp;""))-1),코드표!$J$2:$J$101,0)),ISNUMBER(MATCH(TRIM(RIGHT(SUBSTITUTE(TRIM(I139&amp;"")," ",REPT(" ",60)),60)),코드표!$F$2:$F$101,0))),INDEX(코드표!$K$2:$K$101,MATCH(LEFT(TRIM(I139&amp;""),FIND(" ",TRIM(I139&amp;""))-1),코드표!$J$2:$J$101,0))&amp;" "&amp;INDEX(코드표!$G$2:$G$101,MATCH(TRIM(RIGHT(SUBSTITUTE(TRIM(I139&amp;"")," ",REPT(" ",60)),60)),코드표!$F$2:$F$101,0)),"⚠"&amp;TRIM(I139&amp;""))),"⚠"&amp;TRIM(I139&amp;""))</f>
        <v/>
      </c>
      <c r="R139" s="10">
        <f>IFERROR(IF(TRIM(J139&amp;"")="","",IF(AND(ISNUMBER(FIND(" ",TRIM(J139&amp;""))),ISNUMBER(MATCH(LEFT(TRIM(J139&amp;""),FIND(" ",TRIM(J139&amp;""))-1),코드표!$J$2:$J$101,0)),ISNUMBER(MATCH(TRIM(RIGHT(SUBSTITUTE(TRIM(J139&amp;"")," ",REPT(" ",60)),60)),코드표!$F$2:$F$101,0))),INDEX(코드표!$K$2:$K$101,MATCH(LEFT(TRIM(J139&amp;""),FIND(" ",TRIM(J139&amp;""))-1),코드표!$J$2:$J$101,0))&amp;" "&amp;INDEX(코드표!$G$2:$G$101,MATCH(TRIM(RIGHT(SUBSTITUTE(TRIM(J139&amp;"")," ",REPT(" ",60)),60)),코드표!$F$2:$F$101,0)),"⚠"&amp;TRIM(J139&amp;""))),"⚠"&amp;TRIM(J139&amp;""))</f>
        <v/>
      </c>
      <c r="S139" s="11">
        <f>IF(K139="","",IFERROR(IF(AND(ROUND((VALUE(K139&amp;"")-INT(VALUE(K139&amp;"")))*100,0)&gt;=1,ROUND((VALUE(K139&amp;"")-INT(VALUE(K139&amp;"")))*100,0)&lt;=12,INT(VALUE(K139&amp;""))&gt;=1900),DATE(INT(VALUE(K139&amp;"")),ROUND((VALUE(K139&amp;"")-INT(VALUE(K139&amp;"")))*100,0),1),K139&amp;""),K139&amp;""))</f>
        <v/>
      </c>
      <c r="T139" s="10">
        <f>COUNTIF(M139:R139,"⚠*")</f>
        <v/>
      </c>
    </row>
    <row r="140"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M140" s="10">
        <f>IFERROR(IF(TRIM(E140&amp;"")="","",IF(AND(ISNUMBER(FIND(" ",TRIM(E140&amp;""))),ISNUMBER(MATCH(LEFT(TRIM(E140&amp;""),FIND(" ",TRIM(E140&amp;""))-1),코드표!$J$2:$J$101,0)),ISNUMBER(MATCH(TRIM(RIGHT(SUBSTITUTE(TRIM(E140&amp;"")," ",REPT(" ",60)),60)),코드표!$F$2:$F$101,0))),INDEX(코드표!$K$2:$K$101,MATCH(LEFT(TRIM(E140&amp;""),FIND(" ",TRIM(E140&amp;""))-1),코드표!$J$2:$J$101,0))&amp;" "&amp;INDEX(코드표!$G$2:$G$101,MATCH(TRIM(RIGHT(SUBSTITUTE(TRIM(E140&amp;"")," ",REPT(" ",60)),60)),코드표!$F$2:$F$101,0)),"⚠"&amp;TRIM(E140&amp;""))),"⚠"&amp;TRIM(E140&amp;""))</f>
        <v/>
      </c>
      <c r="N140" s="10">
        <f>IFERROR(IF(TRIM(F140&amp;"")="","",IF(AND(ISNUMBER(FIND(" ",TRIM(F140&amp;""))),ISNUMBER(MATCH(LEFT(TRIM(F140&amp;""),FIND(" ",TRIM(F140&amp;""))-1),코드표!$J$2:$J$101,0)),ISNUMBER(MATCH(TRIM(RIGHT(SUBSTITUTE(TRIM(F140&amp;"")," ",REPT(" ",60)),60)),코드표!$F$2:$F$101,0))),INDEX(코드표!$K$2:$K$101,MATCH(LEFT(TRIM(F140&amp;""),FIND(" ",TRIM(F140&amp;""))-1),코드표!$J$2:$J$101,0))&amp;" "&amp;INDEX(코드표!$G$2:$G$101,MATCH(TRIM(RIGHT(SUBSTITUTE(TRIM(F140&amp;"")," ",REPT(" ",60)),60)),코드표!$F$2:$F$101,0)),"⚠"&amp;TRIM(F140&amp;""))),"⚠"&amp;TRIM(F140&amp;""))</f>
        <v/>
      </c>
      <c r="O140" s="10">
        <f>IFERROR(IF(TRIM(G140&amp;"")="","",IF(AND(ISNUMBER(FIND(" ",TRIM(G140&amp;""))),ISNUMBER(MATCH(LEFT(TRIM(G140&amp;""),FIND(" ",TRIM(G140&amp;""))-1),코드표!$J$2:$J$101,0)),ISNUMBER(MATCH(TRIM(RIGHT(SUBSTITUTE(TRIM(G140&amp;"")," ",REPT(" ",60)),60)),코드표!$F$2:$F$101,0))),INDEX(코드표!$K$2:$K$101,MATCH(LEFT(TRIM(G140&amp;""),FIND(" ",TRIM(G140&amp;""))-1),코드표!$J$2:$J$101,0))&amp;" "&amp;INDEX(코드표!$G$2:$G$101,MATCH(TRIM(RIGHT(SUBSTITUTE(TRIM(G140&amp;"")," ",REPT(" ",60)),60)),코드표!$F$2:$F$101,0)),"⚠"&amp;TRIM(G140&amp;""))),"⚠"&amp;TRIM(G140&amp;""))</f>
        <v/>
      </c>
      <c r="P140" s="10">
        <f>IFERROR(IF(TRIM(H140&amp;"")="","",IF(AND(ISNUMBER(FIND(" ",TRIM(H140&amp;""))),ISNUMBER(MATCH(LEFT(TRIM(H140&amp;""),FIND(" ",TRIM(H140&amp;""))-1),코드표!$J$2:$J$101,0)),ISNUMBER(MATCH(TRIM(RIGHT(SUBSTITUTE(TRIM(H140&amp;"")," ",REPT(" ",60)),60)),코드표!$F$2:$F$101,0))),INDEX(코드표!$K$2:$K$101,MATCH(LEFT(TRIM(H140&amp;""),FIND(" ",TRIM(H140&amp;""))-1),코드표!$J$2:$J$101,0))&amp;" "&amp;INDEX(코드표!$G$2:$G$101,MATCH(TRIM(RIGHT(SUBSTITUTE(TRIM(H140&amp;"")," ",REPT(" ",60)),60)),코드표!$F$2:$F$101,0)),"⚠"&amp;TRIM(H140&amp;""))),"⚠"&amp;TRIM(H140&amp;""))</f>
        <v/>
      </c>
      <c r="Q140" s="10">
        <f>IFERROR(IF(TRIM(I140&amp;"")="","",IF(AND(ISNUMBER(FIND(" ",TRIM(I140&amp;""))),ISNUMBER(MATCH(LEFT(TRIM(I140&amp;""),FIND(" ",TRIM(I140&amp;""))-1),코드표!$J$2:$J$101,0)),ISNUMBER(MATCH(TRIM(RIGHT(SUBSTITUTE(TRIM(I140&amp;"")," ",REPT(" ",60)),60)),코드표!$F$2:$F$101,0))),INDEX(코드표!$K$2:$K$101,MATCH(LEFT(TRIM(I140&amp;""),FIND(" ",TRIM(I140&amp;""))-1),코드표!$J$2:$J$101,0))&amp;" "&amp;INDEX(코드표!$G$2:$G$101,MATCH(TRIM(RIGHT(SUBSTITUTE(TRIM(I140&amp;"")," ",REPT(" ",60)),60)),코드표!$F$2:$F$101,0)),"⚠"&amp;TRIM(I140&amp;""))),"⚠"&amp;TRIM(I140&amp;""))</f>
        <v/>
      </c>
      <c r="R140" s="10">
        <f>IFERROR(IF(TRIM(J140&amp;"")="","",IF(AND(ISNUMBER(FIND(" ",TRIM(J140&amp;""))),ISNUMBER(MATCH(LEFT(TRIM(J140&amp;""),FIND(" ",TRIM(J140&amp;""))-1),코드표!$J$2:$J$101,0)),ISNUMBER(MATCH(TRIM(RIGHT(SUBSTITUTE(TRIM(J140&amp;"")," ",REPT(" ",60)),60)),코드표!$F$2:$F$101,0))),INDEX(코드표!$K$2:$K$101,MATCH(LEFT(TRIM(J140&amp;""),FIND(" ",TRIM(J140&amp;""))-1),코드표!$J$2:$J$101,0))&amp;" "&amp;INDEX(코드표!$G$2:$G$101,MATCH(TRIM(RIGHT(SUBSTITUTE(TRIM(J140&amp;"")," ",REPT(" ",60)),60)),코드표!$F$2:$F$101,0)),"⚠"&amp;TRIM(J140&amp;""))),"⚠"&amp;TRIM(J140&amp;""))</f>
        <v/>
      </c>
      <c r="S140" s="11">
        <f>IF(K140="","",IFERROR(IF(AND(ROUND((VALUE(K140&amp;"")-INT(VALUE(K140&amp;"")))*100,0)&gt;=1,ROUND((VALUE(K140&amp;"")-INT(VALUE(K140&amp;"")))*100,0)&lt;=12,INT(VALUE(K140&amp;""))&gt;=1900),DATE(INT(VALUE(K140&amp;"")),ROUND((VALUE(K140&amp;"")-INT(VALUE(K140&amp;"")))*100,0),1),K140&amp;""),K140&amp;""))</f>
        <v/>
      </c>
      <c r="T140" s="10">
        <f>COUNTIF(M140:R140,"⚠*")</f>
        <v/>
      </c>
    </row>
    <row r="141"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M141" s="10">
        <f>IFERROR(IF(TRIM(E141&amp;"")="","",IF(AND(ISNUMBER(FIND(" ",TRIM(E141&amp;""))),ISNUMBER(MATCH(LEFT(TRIM(E141&amp;""),FIND(" ",TRIM(E141&amp;""))-1),코드표!$J$2:$J$101,0)),ISNUMBER(MATCH(TRIM(RIGHT(SUBSTITUTE(TRIM(E141&amp;"")," ",REPT(" ",60)),60)),코드표!$F$2:$F$101,0))),INDEX(코드표!$K$2:$K$101,MATCH(LEFT(TRIM(E141&amp;""),FIND(" ",TRIM(E141&amp;""))-1),코드표!$J$2:$J$101,0))&amp;" "&amp;INDEX(코드표!$G$2:$G$101,MATCH(TRIM(RIGHT(SUBSTITUTE(TRIM(E141&amp;"")," ",REPT(" ",60)),60)),코드표!$F$2:$F$101,0)),"⚠"&amp;TRIM(E141&amp;""))),"⚠"&amp;TRIM(E141&amp;""))</f>
        <v/>
      </c>
      <c r="N141" s="10">
        <f>IFERROR(IF(TRIM(F141&amp;"")="","",IF(AND(ISNUMBER(FIND(" ",TRIM(F141&amp;""))),ISNUMBER(MATCH(LEFT(TRIM(F141&amp;""),FIND(" ",TRIM(F141&amp;""))-1),코드표!$J$2:$J$101,0)),ISNUMBER(MATCH(TRIM(RIGHT(SUBSTITUTE(TRIM(F141&amp;"")," ",REPT(" ",60)),60)),코드표!$F$2:$F$101,0))),INDEX(코드표!$K$2:$K$101,MATCH(LEFT(TRIM(F141&amp;""),FIND(" ",TRIM(F141&amp;""))-1),코드표!$J$2:$J$101,0))&amp;" "&amp;INDEX(코드표!$G$2:$G$101,MATCH(TRIM(RIGHT(SUBSTITUTE(TRIM(F141&amp;"")," ",REPT(" ",60)),60)),코드표!$F$2:$F$101,0)),"⚠"&amp;TRIM(F141&amp;""))),"⚠"&amp;TRIM(F141&amp;""))</f>
        <v/>
      </c>
      <c r="O141" s="10">
        <f>IFERROR(IF(TRIM(G141&amp;"")="","",IF(AND(ISNUMBER(FIND(" ",TRIM(G141&amp;""))),ISNUMBER(MATCH(LEFT(TRIM(G141&amp;""),FIND(" ",TRIM(G141&amp;""))-1),코드표!$J$2:$J$101,0)),ISNUMBER(MATCH(TRIM(RIGHT(SUBSTITUTE(TRIM(G141&amp;"")," ",REPT(" ",60)),60)),코드표!$F$2:$F$101,0))),INDEX(코드표!$K$2:$K$101,MATCH(LEFT(TRIM(G141&amp;""),FIND(" ",TRIM(G141&amp;""))-1),코드표!$J$2:$J$101,0))&amp;" "&amp;INDEX(코드표!$G$2:$G$101,MATCH(TRIM(RIGHT(SUBSTITUTE(TRIM(G141&amp;"")," ",REPT(" ",60)),60)),코드표!$F$2:$F$101,0)),"⚠"&amp;TRIM(G141&amp;""))),"⚠"&amp;TRIM(G141&amp;""))</f>
        <v/>
      </c>
      <c r="P141" s="10">
        <f>IFERROR(IF(TRIM(H141&amp;"")="","",IF(AND(ISNUMBER(FIND(" ",TRIM(H141&amp;""))),ISNUMBER(MATCH(LEFT(TRIM(H141&amp;""),FIND(" ",TRIM(H141&amp;""))-1),코드표!$J$2:$J$101,0)),ISNUMBER(MATCH(TRIM(RIGHT(SUBSTITUTE(TRIM(H141&amp;"")," ",REPT(" ",60)),60)),코드표!$F$2:$F$101,0))),INDEX(코드표!$K$2:$K$101,MATCH(LEFT(TRIM(H141&amp;""),FIND(" ",TRIM(H141&amp;""))-1),코드표!$J$2:$J$101,0))&amp;" "&amp;INDEX(코드표!$G$2:$G$101,MATCH(TRIM(RIGHT(SUBSTITUTE(TRIM(H141&amp;"")," ",REPT(" ",60)),60)),코드표!$F$2:$F$101,0)),"⚠"&amp;TRIM(H141&amp;""))),"⚠"&amp;TRIM(H141&amp;""))</f>
        <v/>
      </c>
      <c r="Q141" s="10">
        <f>IFERROR(IF(TRIM(I141&amp;"")="","",IF(AND(ISNUMBER(FIND(" ",TRIM(I141&amp;""))),ISNUMBER(MATCH(LEFT(TRIM(I141&amp;""),FIND(" ",TRIM(I141&amp;""))-1),코드표!$J$2:$J$101,0)),ISNUMBER(MATCH(TRIM(RIGHT(SUBSTITUTE(TRIM(I141&amp;"")," ",REPT(" ",60)),60)),코드표!$F$2:$F$101,0))),INDEX(코드표!$K$2:$K$101,MATCH(LEFT(TRIM(I141&amp;""),FIND(" ",TRIM(I141&amp;""))-1),코드표!$J$2:$J$101,0))&amp;" "&amp;INDEX(코드표!$G$2:$G$101,MATCH(TRIM(RIGHT(SUBSTITUTE(TRIM(I141&amp;"")," ",REPT(" ",60)),60)),코드표!$F$2:$F$101,0)),"⚠"&amp;TRIM(I141&amp;""))),"⚠"&amp;TRIM(I141&amp;""))</f>
        <v/>
      </c>
      <c r="R141" s="10">
        <f>IFERROR(IF(TRIM(J141&amp;"")="","",IF(AND(ISNUMBER(FIND(" ",TRIM(J141&amp;""))),ISNUMBER(MATCH(LEFT(TRIM(J141&amp;""),FIND(" ",TRIM(J141&amp;""))-1),코드표!$J$2:$J$101,0)),ISNUMBER(MATCH(TRIM(RIGHT(SUBSTITUTE(TRIM(J141&amp;"")," ",REPT(" ",60)),60)),코드표!$F$2:$F$101,0))),INDEX(코드표!$K$2:$K$101,MATCH(LEFT(TRIM(J141&amp;""),FIND(" ",TRIM(J141&amp;""))-1),코드표!$J$2:$J$101,0))&amp;" "&amp;INDEX(코드표!$G$2:$G$101,MATCH(TRIM(RIGHT(SUBSTITUTE(TRIM(J141&amp;"")," ",REPT(" ",60)),60)),코드표!$F$2:$F$101,0)),"⚠"&amp;TRIM(J141&amp;""))),"⚠"&amp;TRIM(J141&amp;""))</f>
        <v/>
      </c>
      <c r="S141" s="11">
        <f>IF(K141="","",IFERROR(IF(AND(ROUND((VALUE(K141&amp;"")-INT(VALUE(K141&amp;"")))*100,0)&gt;=1,ROUND((VALUE(K141&amp;"")-INT(VALUE(K141&amp;"")))*100,0)&lt;=12,INT(VALUE(K141&amp;""))&gt;=1900),DATE(INT(VALUE(K141&amp;"")),ROUND((VALUE(K141&amp;"")-INT(VALUE(K141&amp;"")))*100,0),1),K141&amp;""),K141&amp;""))</f>
        <v/>
      </c>
      <c r="T141" s="10">
        <f>COUNTIF(M141:R141,"⚠*")</f>
        <v/>
      </c>
    </row>
    <row r="142"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M142" s="10">
        <f>IFERROR(IF(TRIM(E142&amp;"")="","",IF(AND(ISNUMBER(FIND(" ",TRIM(E142&amp;""))),ISNUMBER(MATCH(LEFT(TRIM(E142&amp;""),FIND(" ",TRIM(E142&amp;""))-1),코드표!$J$2:$J$101,0)),ISNUMBER(MATCH(TRIM(RIGHT(SUBSTITUTE(TRIM(E142&amp;"")," ",REPT(" ",60)),60)),코드표!$F$2:$F$101,0))),INDEX(코드표!$K$2:$K$101,MATCH(LEFT(TRIM(E142&amp;""),FIND(" ",TRIM(E142&amp;""))-1),코드표!$J$2:$J$101,0))&amp;" "&amp;INDEX(코드표!$G$2:$G$101,MATCH(TRIM(RIGHT(SUBSTITUTE(TRIM(E142&amp;"")," ",REPT(" ",60)),60)),코드표!$F$2:$F$101,0)),"⚠"&amp;TRIM(E142&amp;""))),"⚠"&amp;TRIM(E142&amp;""))</f>
        <v/>
      </c>
      <c r="N142" s="10">
        <f>IFERROR(IF(TRIM(F142&amp;"")="","",IF(AND(ISNUMBER(FIND(" ",TRIM(F142&amp;""))),ISNUMBER(MATCH(LEFT(TRIM(F142&amp;""),FIND(" ",TRIM(F142&amp;""))-1),코드표!$J$2:$J$101,0)),ISNUMBER(MATCH(TRIM(RIGHT(SUBSTITUTE(TRIM(F142&amp;"")," ",REPT(" ",60)),60)),코드표!$F$2:$F$101,0))),INDEX(코드표!$K$2:$K$101,MATCH(LEFT(TRIM(F142&amp;""),FIND(" ",TRIM(F142&amp;""))-1),코드표!$J$2:$J$101,0))&amp;" "&amp;INDEX(코드표!$G$2:$G$101,MATCH(TRIM(RIGHT(SUBSTITUTE(TRIM(F142&amp;"")," ",REPT(" ",60)),60)),코드표!$F$2:$F$101,0)),"⚠"&amp;TRIM(F142&amp;""))),"⚠"&amp;TRIM(F142&amp;""))</f>
        <v/>
      </c>
      <c r="O142" s="10">
        <f>IFERROR(IF(TRIM(G142&amp;"")="","",IF(AND(ISNUMBER(FIND(" ",TRIM(G142&amp;""))),ISNUMBER(MATCH(LEFT(TRIM(G142&amp;""),FIND(" ",TRIM(G142&amp;""))-1),코드표!$J$2:$J$101,0)),ISNUMBER(MATCH(TRIM(RIGHT(SUBSTITUTE(TRIM(G142&amp;"")," ",REPT(" ",60)),60)),코드표!$F$2:$F$101,0))),INDEX(코드표!$K$2:$K$101,MATCH(LEFT(TRIM(G142&amp;""),FIND(" ",TRIM(G142&amp;""))-1),코드표!$J$2:$J$101,0))&amp;" "&amp;INDEX(코드표!$G$2:$G$101,MATCH(TRIM(RIGHT(SUBSTITUTE(TRIM(G142&amp;"")," ",REPT(" ",60)),60)),코드표!$F$2:$F$101,0)),"⚠"&amp;TRIM(G142&amp;""))),"⚠"&amp;TRIM(G142&amp;""))</f>
        <v/>
      </c>
      <c r="P142" s="10">
        <f>IFERROR(IF(TRIM(H142&amp;"")="","",IF(AND(ISNUMBER(FIND(" ",TRIM(H142&amp;""))),ISNUMBER(MATCH(LEFT(TRIM(H142&amp;""),FIND(" ",TRIM(H142&amp;""))-1),코드표!$J$2:$J$101,0)),ISNUMBER(MATCH(TRIM(RIGHT(SUBSTITUTE(TRIM(H142&amp;"")," ",REPT(" ",60)),60)),코드표!$F$2:$F$101,0))),INDEX(코드표!$K$2:$K$101,MATCH(LEFT(TRIM(H142&amp;""),FIND(" ",TRIM(H142&amp;""))-1),코드표!$J$2:$J$101,0))&amp;" "&amp;INDEX(코드표!$G$2:$G$101,MATCH(TRIM(RIGHT(SUBSTITUTE(TRIM(H142&amp;"")," ",REPT(" ",60)),60)),코드표!$F$2:$F$101,0)),"⚠"&amp;TRIM(H142&amp;""))),"⚠"&amp;TRIM(H142&amp;""))</f>
        <v/>
      </c>
      <c r="Q142" s="10">
        <f>IFERROR(IF(TRIM(I142&amp;"")="","",IF(AND(ISNUMBER(FIND(" ",TRIM(I142&amp;""))),ISNUMBER(MATCH(LEFT(TRIM(I142&amp;""),FIND(" ",TRIM(I142&amp;""))-1),코드표!$J$2:$J$101,0)),ISNUMBER(MATCH(TRIM(RIGHT(SUBSTITUTE(TRIM(I142&amp;"")," ",REPT(" ",60)),60)),코드표!$F$2:$F$101,0))),INDEX(코드표!$K$2:$K$101,MATCH(LEFT(TRIM(I142&amp;""),FIND(" ",TRIM(I142&amp;""))-1),코드표!$J$2:$J$101,0))&amp;" "&amp;INDEX(코드표!$G$2:$G$101,MATCH(TRIM(RIGHT(SUBSTITUTE(TRIM(I142&amp;"")," ",REPT(" ",60)),60)),코드표!$F$2:$F$101,0)),"⚠"&amp;TRIM(I142&amp;""))),"⚠"&amp;TRIM(I142&amp;""))</f>
        <v/>
      </c>
      <c r="R142" s="10">
        <f>IFERROR(IF(TRIM(J142&amp;"")="","",IF(AND(ISNUMBER(FIND(" ",TRIM(J142&amp;""))),ISNUMBER(MATCH(LEFT(TRIM(J142&amp;""),FIND(" ",TRIM(J142&amp;""))-1),코드표!$J$2:$J$101,0)),ISNUMBER(MATCH(TRIM(RIGHT(SUBSTITUTE(TRIM(J142&amp;"")," ",REPT(" ",60)),60)),코드표!$F$2:$F$101,0))),INDEX(코드표!$K$2:$K$101,MATCH(LEFT(TRIM(J142&amp;""),FIND(" ",TRIM(J142&amp;""))-1),코드표!$J$2:$J$101,0))&amp;" "&amp;INDEX(코드표!$G$2:$G$101,MATCH(TRIM(RIGHT(SUBSTITUTE(TRIM(J142&amp;"")," ",REPT(" ",60)),60)),코드표!$F$2:$F$101,0)),"⚠"&amp;TRIM(J142&amp;""))),"⚠"&amp;TRIM(J142&amp;""))</f>
        <v/>
      </c>
      <c r="S142" s="11">
        <f>IF(K142="","",IFERROR(IF(AND(ROUND((VALUE(K142&amp;"")-INT(VALUE(K142&amp;"")))*100,0)&gt;=1,ROUND((VALUE(K142&amp;"")-INT(VALUE(K142&amp;"")))*100,0)&lt;=12,INT(VALUE(K142&amp;""))&gt;=1900),DATE(INT(VALUE(K142&amp;"")),ROUND((VALUE(K142&amp;"")-INT(VALUE(K142&amp;"")))*100,0),1),K142&amp;""),K142&amp;""))</f>
        <v/>
      </c>
      <c r="T142" s="10">
        <f>COUNTIF(M142:R142,"⚠*")</f>
        <v/>
      </c>
    </row>
    <row r="143"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M143" s="10">
        <f>IFERROR(IF(TRIM(E143&amp;"")="","",IF(AND(ISNUMBER(FIND(" ",TRIM(E143&amp;""))),ISNUMBER(MATCH(LEFT(TRIM(E143&amp;""),FIND(" ",TRIM(E143&amp;""))-1),코드표!$J$2:$J$101,0)),ISNUMBER(MATCH(TRIM(RIGHT(SUBSTITUTE(TRIM(E143&amp;"")," ",REPT(" ",60)),60)),코드표!$F$2:$F$101,0))),INDEX(코드표!$K$2:$K$101,MATCH(LEFT(TRIM(E143&amp;""),FIND(" ",TRIM(E143&amp;""))-1),코드표!$J$2:$J$101,0))&amp;" "&amp;INDEX(코드표!$G$2:$G$101,MATCH(TRIM(RIGHT(SUBSTITUTE(TRIM(E143&amp;"")," ",REPT(" ",60)),60)),코드표!$F$2:$F$101,0)),"⚠"&amp;TRIM(E143&amp;""))),"⚠"&amp;TRIM(E143&amp;""))</f>
        <v/>
      </c>
      <c r="N143" s="10">
        <f>IFERROR(IF(TRIM(F143&amp;"")="","",IF(AND(ISNUMBER(FIND(" ",TRIM(F143&amp;""))),ISNUMBER(MATCH(LEFT(TRIM(F143&amp;""),FIND(" ",TRIM(F143&amp;""))-1),코드표!$J$2:$J$101,0)),ISNUMBER(MATCH(TRIM(RIGHT(SUBSTITUTE(TRIM(F143&amp;"")," ",REPT(" ",60)),60)),코드표!$F$2:$F$101,0))),INDEX(코드표!$K$2:$K$101,MATCH(LEFT(TRIM(F143&amp;""),FIND(" ",TRIM(F143&amp;""))-1),코드표!$J$2:$J$101,0))&amp;" "&amp;INDEX(코드표!$G$2:$G$101,MATCH(TRIM(RIGHT(SUBSTITUTE(TRIM(F143&amp;"")," ",REPT(" ",60)),60)),코드표!$F$2:$F$101,0)),"⚠"&amp;TRIM(F143&amp;""))),"⚠"&amp;TRIM(F143&amp;""))</f>
        <v/>
      </c>
      <c r="O143" s="10">
        <f>IFERROR(IF(TRIM(G143&amp;"")="","",IF(AND(ISNUMBER(FIND(" ",TRIM(G143&amp;""))),ISNUMBER(MATCH(LEFT(TRIM(G143&amp;""),FIND(" ",TRIM(G143&amp;""))-1),코드표!$J$2:$J$101,0)),ISNUMBER(MATCH(TRIM(RIGHT(SUBSTITUTE(TRIM(G143&amp;"")," ",REPT(" ",60)),60)),코드표!$F$2:$F$101,0))),INDEX(코드표!$K$2:$K$101,MATCH(LEFT(TRIM(G143&amp;""),FIND(" ",TRIM(G143&amp;""))-1),코드표!$J$2:$J$101,0))&amp;" "&amp;INDEX(코드표!$G$2:$G$101,MATCH(TRIM(RIGHT(SUBSTITUTE(TRIM(G143&amp;"")," ",REPT(" ",60)),60)),코드표!$F$2:$F$101,0)),"⚠"&amp;TRIM(G143&amp;""))),"⚠"&amp;TRIM(G143&amp;""))</f>
        <v/>
      </c>
      <c r="P143" s="10">
        <f>IFERROR(IF(TRIM(H143&amp;"")="","",IF(AND(ISNUMBER(FIND(" ",TRIM(H143&amp;""))),ISNUMBER(MATCH(LEFT(TRIM(H143&amp;""),FIND(" ",TRIM(H143&amp;""))-1),코드표!$J$2:$J$101,0)),ISNUMBER(MATCH(TRIM(RIGHT(SUBSTITUTE(TRIM(H143&amp;"")," ",REPT(" ",60)),60)),코드표!$F$2:$F$101,0))),INDEX(코드표!$K$2:$K$101,MATCH(LEFT(TRIM(H143&amp;""),FIND(" ",TRIM(H143&amp;""))-1),코드표!$J$2:$J$101,0))&amp;" "&amp;INDEX(코드표!$G$2:$G$101,MATCH(TRIM(RIGHT(SUBSTITUTE(TRIM(H143&amp;"")," ",REPT(" ",60)),60)),코드표!$F$2:$F$101,0)),"⚠"&amp;TRIM(H143&amp;""))),"⚠"&amp;TRIM(H143&amp;""))</f>
        <v/>
      </c>
      <c r="Q143" s="10">
        <f>IFERROR(IF(TRIM(I143&amp;"")="","",IF(AND(ISNUMBER(FIND(" ",TRIM(I143&amp;""))),ISNUMBER(MATCH(LEFT(TRIM(I143&amp;""),FIND(" ",TRIM(I143&amp;""))-1),코드표!$J$2:$J$101,0)),ISNUMBER(MATCH(TRIM(RIGHT(SUBSTITUTE(TRIM(I143&amp;"")," ",REPT(" ",60)),60)),코드표!$F$2:$F$101,0))),INDEX(코드표!$K$2:$K$101,MATCH(LEFT(TRIM(I143&amp;""),FIND(" ",TRIM(I143&amp;""))-1),코드표!$J$2:$J$101,0))&amp;" "&amp;INDEX(코드표!$G$2:$G$101,MATCH(TRIM(RIGHT(SUBSTITUTE(TRIM(I143&amp;"")," ",REPT(" ",60)),60)),코드표!$F$2:$F$101,0)),"⚠"&amp;TRIM(I143&amp;""))),"⚠"&amp;TRIM(I143&amp;""))</f>
        <v/>
      </c>
      <c r="R143" s="10">
        <f>IFERROR(IF(TRIM(J143&amp;"")="","",IF(AND(ISNUMBER(FIND(" ",TRIM(J143&amp;""))),ISNUMBER(MATCH(LEFT(TRIM(J143&amp;""),FIND(" ",TRIM(J143&amp;""))-1),코드표!$J$2:$J$101,0)),ISNUMBER(MATCH(TRIM(RIGHT(SUBSTITUTE(TRIM(J143&amp;"")," ",REPT(" ",60)),60)),코드표!$F$2:$F$101,0))),INDEX(코드표!$K$2:$K$101,MATCH(LEFT(TRIM(J143&amp;""),FIND(" ",TRIM(J143&amp;""))-1),코드표!$J$2:$J$101,0))&amp;" "&amp;INDEX(코드표!$G$2:$G$101,MATCH(TRIM(RIGHT(SUBSTITUTE(TRIM(J143&amp;"")," ",REPT(" ",60)),60)),코드표!$F$2:$F$101,0)),"⚠"&amp;TRIM(J143&amp;""))),"⚠"&amp;TRIM(J143&amp;""))</f>
        <v/>
      </c>
      <c r="S143" s="11">
        <f>IF(K143="","",IFERROR(IF(AND(ROUND((VALUE(K143&amp;"")-INT(VALUE(K143&amp;"")))*100,0)&gt;=1,ROUND((VALUE(K143&amp;"")-INT(VALUE(K143&amp;"")))*100,0)&lt;=12,INT(VALUE(K143&amp;""))&gt;=1900),DATE(INT(VALUE(K143&amp;"")),ROUND((VALUE(K143&amp;"")-INT(VALUE(K143&amp;"")))*100,0),1),K143&amp;""),K143&amp;""))</f>
        <v/>
      </c>
      <c r="T143" s="10">
        <f>COUNTIF(M143:R143,"⚠*")</f>
        <v/>
      </c>
    </row>
    <row r="144"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M144" s="10">
        <f>IFERROR(IF(TRIM(E144&amp;"")="","",IF(AND(ISNUMBER(FIND(" ",TRIM(E144&amp;""))),ISNUMBER(MATCH(LEFT(TRIM(E144&amp;""),FIND(" ",TRIM(E144&amp;""))-1),코드표!$J$2:$J$101,0)),ISNUMBER(MATCH(TRIM(RIGHT(SUBSTITUTE(TRIM(E144&amp;"")," ",REPT(" ",60)),60)),코드표!$F$2:$F$101,0))),INDEX(코드표!$K$2:$K$101,MATCH(LEFT(TRIM(E144&amp;""),FIND(" ",TRIM(E144&amp;""))-1),코드표!$J$2:$J$101,0))&amp;" "&amp;INDEX(코드표!$G$2:$G$101,MATCH(TRIM(RIGHT(SUBSTITUTE(TRIM(E144&amp;"")," ",REPT(" ",60)),60)),코드표!$F$2:$F$101,0)),"⚠"&amp;TRIM(E144&amp;""))),"⚠"&amp;TRIM(E144&amp;""))</f>
        <v/>
      </c>
      <c r="N144" s="10">
        <f>IFERROR(IF(TRIM(F144&amp;"")="","",IF(AND(ISNUMBER(FIND(" ",TRIM(F144&amp;""))),ISNUMBER(MATCH(LEFT(TRIM(F144&amp;""),FIND(" ",TRIM(F144&amp;""))-1),코드표!$J$2:$J$101,0)),ISNUMBER(MATCH(TRIM(RIGHT(SUBSTITUTE(TRIM(F144&amp;"")," ",REPT(" ",60)),60)),코드표!$F$2:$F$101,0))),INDEX(코드표!$K$2:$K$101,MATCH(LEFT(TRIM(F144&amp;""),FIND(" ",TRIM(F144&amp;""))-1),코드표!$J$2:$J$101,0))&amp;" "&amp;INDEX(코드표!$G$2:$G$101,MATCH(TRIM(RIGHT(SUBSTITUTE(TRIM(F144&amp;"")," ",REPT(" ",60)),60)),코드표!$F$2:$F$101,0)),"⚠"&amp;TRIM(F144&amp;""))),"⚠"&amp;TRIM(F144&amp;""))</f>
        <v/>
      </c>
      <c r="O144" s="10">
        <f>IFERROR(IF(TRIM(G144&amp;"")="","",IF(AND(ISNUMBER(FIND(" ",TRIM(G144&amp;""))),ISNUMBER(MATCH(LEFT(TRIM(G144&amp;""),FIND(" ",TRIM(G144&amp;""))-1),코드표!$J$2:$J$101,0)),ISNUMBER(MATCH(TRIM(RIGHT(SUBSTITUTE(TRIM(G144&amp;"")," ",REPT(" ",60)),60)),코드표!$F$2:$F$101,0))),INDEX(코드표!$K$2:$K$101,MATCH(LEFT(TRIM(G144&amp;""),FIND(" ",TRIM(G144&amp;""))-1),코드표!$J$2:$J$101,0))&amp;" "&amp;INDEX(코드표!$G$2:$G$101,MATCH(TRIM(RIGHT(SUBSTITUTE(TRIM(G144&amp;"")," ",REPT(" ",60)),60)),코드표!$F$2:$F$101,0)),"⚠"&amp;TRIM(G144&amp;""))),"⚠"&amp;TRIM(G144&amp;""))</f>
        <v/>
      </c>
      <c r="P144" s="10">
        <f>IFERROR(IF(TRIM(H144&amp;"")="","",IF(AND(ISNUMBER(FIND(" ",TRIM(H144&amp;""))),ISNUMBER(MATCH(LEFT(TRIM(H144&amp;""),FIND(" ",TRIM(H144&amp;""))-1),코드표!$J$2:$J$101,0)),ISNUMBER(MATCH(TRIM(RIGHT(SUBSTITUTE(TRIM(H144&amp;"")," ",REPT(" ",60)),60)),코드표!$F$2:$F$101,0))),INDEX(코드표!$K$2:$K$101,MATCH(LEFT(TRIM(H144&amp;""),FIND(" ",TRIM(H144&amp;""))-1),코드표!$J$2:$J$101,0))&amp;" "&amp;INDEX(코드표!$G$2:$G$101,MATCH(TRIM(RIGHT(SUBSTITUTE(TRIM(H144&amp;"")," ",REPT(" ",60)),60)),코드표!$F$2:$F$101,0)),"⚠"&amp;TRIM(H144&amp;""))),"⚠"&amp;TRIM(H144&amp;""))</f>
        <v/>
      </c>
      <c r="Q144" s="10">
        <f>IFERROR(IF(TRIM(I144&amp;"")="","",IF(AND(ISNUMBER(FIND(" ",TRIM(I144&amp;""))),ISNUMBER(MATCH(LEFT(TRIM(I144&amp;""),FIND(" ",TRIM(I144&amp;""))-1),코드표!$J$2:$J$101,0)),ISNUMBER(MATCH(TRIM(RIGHT(SUBSTITUTE(TRIM(I144&amp;"")," ",REPT(" ",60)),60)),코드표!$F$2:$F$101,0))),INDEX(코드표!$K$2:$K$101,MATCH(LEFT(TRIM(I144&amp;""),FIND(" ",TRIM(I144&amp;""))-1),코드표!$J$2:$J$101,0))&amp;" "&amp;INDEX(코드표!$G$2:$G$101,MATCH(TRIM(RIGHT(SUBSTITUTE(TRIM(I144&amp;"")," ",REPT(" ",60)),60)),코드표!$F$2:$F$101,0)),"⚠"&amp;TRIM(I144&amp;""))),"⚠"&amp;TRIM(I144&amp;""))</f>
        <v/>
      </c>
      <c r="R144" s="10">
        <f>IFERROR(IF(TRIM(J144&amp;"")="","",IF(AND(ISNUMBER(FIND(" ",TRIM(J144&amp;""))),ISNUMBER(MATCH(LEFT(TRIM(J144&amp;""),FIND(" ",TRIM(J144&amp;""))-1),코드표!$J$2:$J$101,0)),ISNUMBER(MATCH(TRIM(RIGHT(SUBSTITUTE(TRIM(J144&amp;"")," ",REPT(" ",60)),60)),코드표!$F$2:$F$101,0))),INDEX(코드표!$K$2:$K$101,MATCH(LEFT(TRIM(J144&amp;""),FIND(" ",TRIM(J144&amp;""))-1),코드표!$J$2:$J$101,0))&amp;" "&amp;INDEX(코드표!$G$2:$G$101,MATCH(TRIM(RIGHT(SUBSTITUTE(TRIM(J144&amp;"")," ",REPT(" ",60)),60)),코드표!$F$2:$F$101,0)),"⚠"&amp;TRIM(J144&amp;""))),"⚠"&amp;TRIM(J144&amp;""))</f>
        <v/>
      </c>
      <c r="S144" s="11">
        <f>IF(K144="","",IFERROR(IF(AND(ROUND((VALUE(K144&amp;"")-INT(VALUE(K144&amp;"")))*100,0)&gt;=1,ROUND((VALUE(K144&amp;"")-INT(VALUE(K144&amp;"")))*100,0)&lt;=12,INT(VALUE(K144&amp;""))&gt;=1900),DATE(INT(VALUE(K144&amp;"")),ROUND((VALUE(K144&amp;"")-INT(VALUE(K144&amp;"")))*100,0),1),K144&amp;""),K144&amp;""))</f>
        <v/>
      </c>
      <c r="T144" s="10">
        <f>COUNTIF(M144:R144,"⚠*")</f>
        <v/>
      </c>
    </row>
    <row r="145"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M145" s="10">
        <f>IFERROR(IF(TRIM(E145&amp;"")="","",IF(AND(ISNUMBER(FIND(" ",TRIM(E145&amp;""))),ISNUMBER(MATCH(LEFT(TRIM(E145&amp;""),FIND(" ",TRIM(E145&amp;""))-1),코드표!$J$2:$J$101,0)),ISNUMBER(MATCH(TRIM(RIGHT(SUBSTITUTE(TRIM(E145&amp;"")," ",REPT(" ",60)),60)),코드표!$F$2:$F$101,0))),INDEX(코드표!$K$2:$K$101,MATCH(LEFT(TRIM(E145&amp;""),FIND(" ",TRIM(E145&amp;""))-1),코드표!$J$2:$J$101,0))&amp;" "&amp;INDEX(코드표!$G$2:$G$101,MATCH(TRIM(RIGHT(SUBSTITUTE(TRIM(E145&amp;"")," ",REPT(" ",60)),60)),코드표!$F$2:$F$101,0)),"⚠"&amp;TRIM(E145&amp;""))),"⚠"&amp;TRIM(E145&amp;""))</f>
        <v/>
      </c>
      <c r="N145" s="10">
        <f>IFERROR(IF(TRIM(F145&amp;"")="","",IF(AND(ISNUMBER(FIND(" ",TRIM(F145&amp;""))),ISNUMBER(MATCH(LEFT(TRIM(F145&amp;""),FIND(" ",TRIM(F145&amp;""))-1),코드표!$J$2:$J$101,0)),ISNUMBER(MATCH(TRIM(RIGHT(SUBSTITUTE(TRIM(F145&amp;"")," ",REPT(" ",60)),60)),코드표!$F$2:$F$101,0))),INDEX(코드표!$K$2:$K$101,MATCH(LEFT(TRIM(F145&amp;""),FIND(" ",TRIM(F145&amp;""))-1),코드표!$J$2:$J$101,0))&amp;" "&amp;INDEX(코드표!$G$2:$G$101,MATCH(TRIM(RIGHT(SUBSTITUTE(TRIM(F145&amp;"")," ",REPT(" ",60)),60)),코드표!$F$2:$F$101,0)),"⚠"&amp;TRIM(F145&amp;""))),"⚠"&amp;TRIM(F145&amp;""))</f>
        <v/>
      </c>
      <c r="O145" s="10">
        <f>IFERROR(IF(TRIM(G145&amp;"")="","",IF(AND(ISNUMBER(FIND(" ",TRIM(G145&amp;""))),ISNUMBER(MATCH(LEFT(TRIM(G145&amp;""),FIND(" ",TRIM(G145&amp;""))-1),코드표!$J$2:$J$101,0)),ISNUMBER(MATCH(TRIM(RIGHT(SUBSTITUTE(TRIM(G145&amp;"")," ",REPT(" ",60)),60)),코드표!$F$2:$F$101,0))),INDEX(코드표!$K$2:$K$101,MATCH(LEFT(TRIM(G145&amp;""),FIND(" ",TRIM(G145&amp;""))-1),코드표!$J$2:$J$101,0))&amp;" "&amp;INDEX(코드표!$G$2:$G$101,MATCH(TRIM(RIGHT(SUBSTITUTE(TRIM(G145&amp;"")," ",REPT(" ",60)),60)),코드표!$F$2:$F$101,0)),"⚠"&amp;TRIM(G145&amp;""))),"⚠"&amp;TRIM(G145&amp;""))</f>
        <v/>
      </c>
      <c r="P145" s="10">
        <f>IFERROR(IF(TRIM(H145&amp;"")="","",IF(AND(ISNUMBER(FIND(" ",TRIM(H145&amp;""))),ISNUMBER(MATCH(LEFT(TRIM(H145&amp;""),FIND(" ",TRIM(H145&amp;""))-1),코드표!$J$2:$J$101,0)),ISNUMBER(MATCH(TRIM(RIGHT(SUBSTITUTE(TRIM(H145&amp;"")," ",REPT(" ",60)),60)),코드표!$F$2:$F$101,0))),INDEX(코드표!$K$2:$K$101,MATCH(LEFT(TRIM(H145&amp;""),FIND(" ",TRIM(H145&amp;""))-1),코드표!$J$2:$J$101,0))&amp;" "&amp;INDEX(코드표!$G$2:$G$101,MATCH(TRIM(RIGHT(SUBSTITUTE(TRIM(H145&amp;"")," ",REPT(" ",60)),60)),코드표!$F$2:$F$101,0)),"⚠"&amp;TRIM(H145&amp;""))),"⚠"&amp;TRIM(H145&amp;""))</f>
        <v/>
      </c>
      <c r="Q145" s="10">
        <f>IFERROR(IF(TRIM(I145&amp;"")="","",IF(AND(ISNUMBER(FIND(" ",TRIM(I145&amp;""))),ISNUMBER(MATCH(LEFT(TRIM(I145&amp;""),FIND(" ",TRIM(I145&amp;""))-1),코드표!$J$2:$J$101,0)),ISNUMBER(MATCH(TRIM(RIGHT(SUBSTITUTE(TRIM(I145&amp;"")," ",REPT(" ",60)),60)),코드표!$F$2:$F$101,0))),INDEX(코드표!$K$2:$K$101,MATCH(LEFT(TRIM(I145&amp;""),FIND(" ",TRIM(I145&amp;""))-1),코드표!$J$2:$J$101,0))&amp;" "&amp;INDEX(코드표!$G$2:$G$101,MATCH(TRIM(RIGHT(SUBSTITUTE(TRIM(I145&amp;"")," ",REPT(" ",60)),60)),코드표!$F$2:$F$101,0)),"⚠"&amp;TRIM(I145&amp;""))),"⚠"&amp;TRIM(I145&amp;""))</f>
        <v/>
      </c>
      <c r="R145" s="10">
        <f>IFERROR(IF(TRIM(J145&amp;"")="","",IF(AND(ISNUMBER(FIND(" ",TRIM(J145&amp;""))),ISNUMBER(MATCH(LEFT(TRIM(J145&amp;""),FIND(" ",TRIM(J145&amp;""))-1),코드표!$J$2:$J$101,0)),ISNUMBER(MATCH(TRIM(RIGHT(SUBSTITUTE(TRIM(J145&amp;"")," ",REPT(" ",60)),60)),코드표!$F$2:$F$101,0))),INDEX(코드표!$K$2:$K$101,MATCH(LEFT(TRIM(J145&amp;""),FIND(" ",TRIM(J145&amp;""))-1),코드표!$J$2:$J$101,0))&amp;" "&amp;INDEX(코드표!$G$2:$G$101,MATCH(TRIM(RIGHT(SUBSTITUTE(TRIM(J145&amp;"")," ",REPT(" ",60)),60)),코드표!$F$2:$F$101,0)),"⚠"&amp;TRIM(J145&amp;""))),"⚠"&amp;TRIM(J145&amp;""))</f>
        <v/>
      </c>
      <c r="S145" s="11">
        <f>IF(K145="","",IFERROR(IF(AND(ROUND((VALUE(K145&amp;"")-INT(VALUE(K145&amp;"")))*100,0)&gt;=1,ROUND((VALUE(K145&amp;"")-INT(VALUE(K145&amp;"")))*100,0)&lt;=12,INT(VALUE(K145&amp;""))&gt;=1900),DATE(INT(VALUE(K145&amp;"")),ROUND((VALUE(K145&amp;"")-INT(VALUE(K145&amp;"")))*100,0),1),K145&amp;""),K145&amp;""))</f>
        <v/>
      </c>
      <c r="T145" s="10">
        <f>COUNTIF(M145:R145,"⚠*")</f>
        <v/>
      </c>
    </row>
    <row r="146"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M146" s="10">
        <f>IFERROR(IF(TRIM(E146&amp;"")="","",IF(AND(ISNUMBER(FIND(" ",TRIM(E146&amp;""))),ISNUMBER(MATCH(LEFT(TRIM(E146&amp;""),FIND(" ",TRIM(E146&amp;""))-1),코드표!$J$2:$J$101,0)),ISNUMBER(MATCH(TRIM(RIGHT(SUBSTITUTE(TRIM(E146&amp;"")," ",REPT(" ",60)),60)),코드표!$F$2:$F$101,0))),INDEX(코드표!$K$2:$K$101,MATCH(LEFT(TRIM(E146&amp;""),FIND(" ",TRIM(E146&amp;""))-1),코드표!$J$2:$J$101,0))&amp;" "&amp;INDEX(코드표!$G$2:$G$101,MATCH(TRIM(RIGHT(SUBSTITUTE(TRIM(E146&amp;"")," ",REPT(" ",60)),60)),코드표!$F$2:$F$101,0)),"⚠"&amp;TRIM(E146&amp;""))),"⚠"&amp;TRIM(E146&amp;""))</f>
        <v/>
      </c>
      <c r="N146" s="10">
        <f>IFERROR(IF(TRIM(F146&amp;"")="","",IF(AND(ISNUMBER(FIND(" ",TRIM(F146&amp;""))),ISNUMBER(MATCH(LEFT(TRIM(F146&amp;""),FIND(" ",TRIM(F146&amp;""))-1),코드표!$J$2:$J$101,0)),ISNUMBER(MATCH(TRIM(RIGHT(SUBSTITUTE(TRIM(F146&amp;"")," ",REPT(" ",60)),60)),코드표!$F$2:$F$101,0))),INDEX(코드표!$K$2:$K$101,MATCH(LEFT(TRIM(F146&amp;""),FIND(" ",TRIM(F146&amp;""))-1),코드표!$J$2:$J$101,0))&amp;" "&amp;INDEX(코드표!$G$2:$G$101,MATCH(TRIM(RIGHT(SUBSTITUTE(TRIM(F146&amp;"")," ",REPT(" ",60)),60)),코드표!$F$2:$F$101,0)),"⚠"&amp;TRIM(F146&amp;""))),"⚠"&amp;TRIM(F146&amp;""))</f>
        <v/>
      </c>
      <c r="O146" s="10">
        <f>IFERROR(IF(TRIM(G146&amp;"")="","",IF(AND(ISNUMBER(FIND(" ",TRIM(G146&amp;""))),ISNUMBER(MATCH(LEFT(TRIM(G146&amp;""),FIND(" ",TRIM(G146&amp;""))-1),코드표!$J$2:$J$101,0)),ISNUMBER(MATCH(TRIM(RIGHT(SUBSTITUTE(TRIM(G146&amp;"")," ",REPT(" ",60)),60)),코드표!$F$2:$F$101,0))),INDEX(코드표!$K$2:$K$101,MATCH(LEFT(TRIM(G146&amp;""),FIND(" ",TRIM(G146&amp;""))-1),코드표!$J$2:$J$101,0))&amp;" "&amp;INDEX(코드표!$G$2:$G$101,MATCH(TRIM(RIGHT(SUBSTITUTE(TRIM(G146&amp;"")," ",REPT(" ",60)),60)),코드표!$F$2:$F$101,0)),"⚠"&amp;TRIM(G146&amp;""))),"⚠"&amp;TRIM(G146&amp;""))</f>
        <v/>
      </c>
      <c r="P146" s="10">
        <f>IFERROR(IF(TRIM(H146&amp;"")="","",IF(AND(ISNUMBER(FIND(" ",TRIM(H146&amp;""))),ISNUMBER(MATCH(LEFT(TRIM(H146&amp;""),FIND(" ",TRIM(H146&amp;""))-1),코드표!$J$2:$J$101,0)),ISNUMBER(MATCH(TRIM(RIGHT(SUBSTITUTE(TRIM(H146&amp;"")," ",REPT(" ",60)),60)),코드표!$F$2:$F$101,0))),INDEX(코드표!$K$2:$K$101,MATCH(LEFT(TRIM(H146&amp;""),FIND(" ",TRIM(H146&amp;""))-1),코드표!$J$2:$J$101,0))&amp;" "&amp;INDEX(코드표!$G$2:$G$101,MATCH(TRIM(RIGHT(SUBSTITUTE(TRIM(H146&amp;"")," ",REPT(" ",60)),60)),코드표!$F$2:$F$101,0)),"⚠"&amp;TRIM(H146&amp;""))),"⚠"&amp;TRIM(H146&amp;""))</f>
        <v/>
      </c>
      <c r="Q146" s="10">
        <f>IFERROR(IF(TRIM(I146&amp;"")="","",IF(AND(ISNUMBER(FIND(" ",TRIM(I146&amp;""))),ISNUMBER(MATCH(LEFT(TRIM(I146&amp;""),FIND(" ",TRIM(I146&amp;""))-1),코드표!$J$2:$J$101,0)),ISNUMBER(MATCH(TRIM(RIGHT(SUBSTITUTE(TRIM(I146&amp;"")," ",REPT(" ",60)),60)),코드표!$F$2:$F$101,0))),INDEX(코드표!$K$2:$K$101,MATCH(LEFT(TRIM(I146&amp;""),FIND(" ",TRIM(I146&amp;""))-1),코드표!$J$2:$J$101,0))&amp;" "&amp;INDEX(코드표!$G$2:$G$101,MATCH(TRIM(RIGHT(SUBSTITUTE(TRIM(I146&amp;"")," ",REPT(" ",60)),60)),코드표!$F$2:$F$101,0)),"⚠"&amp;TRIM(I146&amp;""))),"⚠"&amp;TRIM(I146&amp;""))</f>
        <v/>
      </c>
      <c r="R146" s="10">
        <f>IFERROR(IF(TRIM(J146&amp;"")="","",IF(AND(ISNUMBER(FIND(" ",TRIM(J146&amp;""))),ISNUMBER(MATCH(LEFT(TRIM(J146&amp;""),FIND(" ",TRIM(J146&amp;""))-1),코드표!$J$2:$J$101,0)),ISNUMBER(MATCH(TRIM(RIGHT(SUBSTITUTE(TRIM(J146&amp;"")," ",REPT(" ",60)),60)),코드표!$F$2:$F$101,0))),INDEX(코드표!$K$2:$K$101,MATCH(LEFT(TRIM(J146&amp;""),FIND(" ",TRIM(J146&amp;""))-1),코드표!$J$2:$J$101,0))&amp;" "&amp;INDEX(코드표!$G$2:$G$101,MATCH(TRIM(RIGHT(SUBSTITUTE(TRIM(J146&amp;"")," ",REPT(" ",60)),60)),코드표!$F$2:$F$101,0)),"⚠"&amp;TRIM(J146&amp;""))),"⚠"&amp;TRIM(J146&amp;""))</f>
        <v/>
      </c>
      <c r="S146" s="11">
        <f>IF(K146="","",IFERROR(IF(AND(ROUND((VALUE(K146&amp;"")-INT(VALUE(K146&amp;"")))*100,0)&gt;=1,ROUND((VALUE(K146&amp;"")-INT(VALUE(K146&amp;"")))*100,0)&lt;=12,INT(VALUE(K146&amp;""))&gt;=1900),DATE(INT(VALUE(K146&amp;"")),ROUND((VALUE(K146&amp;"")-INT(VALUE(K146&amp;"")))*100,0),1),K146&amp;""),K146&amp;""))</f>
        <v/>
      </c>
      <c r="T146" s="10">
        <f>COUNTIF(M146:R146,"⚠*")</f>
        <v/>
      </c>
    </row>
    <row r="147"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M147" s="10">
        <f>IFERROR(IF(TRIM(E147&amp;"")="","",IF(AND(ISNUMBER(FIND(" ",TRIM(E147&amp;""))),ISNUMBER(MATCH(LEFT(TRIM(E147&amp;""),FIND(" ",TRIM(E147&amp;""))-1),코드표!$J$2:$J$101,0)),ISNUMBER(MATCH(TRIM(RIGHT(SUBSTITUTE(TRIM(E147&amp;"")," ",REPT(" ",60)),60)),코드표!$F$2:$F$101,0))),INDEX(코드표!$K$2:$K$101,MATCH(LEFT(TRIM(E147&amp;""),FIND(" ",TRIM(E147&amp;""))-1),코드표!$J$2:$J$101,0))&amp;" "&amp;INDEX(코드표!$G$2:$G$101,MATCH(TRIM(RIGHT(SUBSTITUTE(TRIM(E147&amp;"")," ",REPT(" ",60)),60)),코드표!$F$2:$F$101,0)),"⚠"&amp;TRIM(E147&amp;""))),"⚠"&amp;TRIM(E147&amp;""))</f>
        <v/>
      </c>
      <c r="N147" s="10">
        <f>IFERROR(IF(TRIM(F147&amp;"")="","",IF(AND(ISNUMBER(FIND(" ",TRIM(F147&amp;""))),ISNUMBER(MATCH(LEFT(TRIM(F147&amp;""),FIND(" ",TRIM(F147&amp;""))-1),코드표!$J$2:$J$101,0)),ISNUMBER(MATCH(TRIM(RIGHT(SUBSTITUTE(TRIM(F147&amp;"")," ",REPT(" ",60)),60)),코드표!$F$2:$F$101,0))),INDEX(코드표!$K$2:$K$101,MATCH(LEFT(TRIM(F147&amp;""),FIND(" ",TRIM(F147&amp;""))-1),코드표!$J$2:$J$101,0))&amp;" "&amp;INDEX(코드표!$G$2:$G$101,MATCH(TRIM(RIGHT(SUBSTITUTE(TRIM(F147&amp;"")," ",REPT(" ",60)),60)),코드표!$F$2:$F$101,0)),"⚠"&amp;TRIM(F147&amp;""))),"⚠"&amp;TRIM(F147&amp;""))</f>
        <v/>
      </c>
      <c r="O147" s="10">
        <f>IFERROR(IF(TRIM(G147&amp;"")="","",IF(AND(ISNUMBER(FIND(" ",TRIM(G147&amp;""))),ISNUMBER(MATCH(LEFT(TRIM(G147&amp;""),FIND(" ",TRIM(G147&amp;""))-1),코드표!$J$2:$J$101,0)),ISNUMBER(MATCH(TRIM(RIGHT(SUBSTITUTE(TRIM(G147&amp;"")," ",REPT(" ",60)),60)),코드표!$F$2:$F$101,0))),INDEX(코드표!$K$2:$K$101,MATCH(LEFT(TRIM(G147&amp;""),FIND(" ",TRIM(G147&amp;""))-1),코드표!$J$2:$J$101,0))&amp;" "&amp;INDEX(코드표!$G$2:$G$101,MATCH(TRIM(RIGHT(SUBSTITUTE(TRIM(G147&amp;"")," ",REPT(" ",60)),60)),코드표!$F$2:$F$101,0)),"⚠"&amp;TRIM(G147&amp;""))),"⚠"&amp;TRIM(G147&amp;""))</f>
        <v/>
      </c>
      <c r="P147" s="10">
        <f>IFERROR(IF(TRIM(H147&amp;"")="","",IF(AND(ISNUMBER(FIND(" ",TRIM(H147&amp;""))),ISNUMBER(MATCH(LEFT(TRIM(H147&amp;""),FIND(" ",TRIM(H147&amp;""))-1),코드표!$J$2:$J$101,0)),ISNUMBER(MATCH(TRIM(RIGHT(SUBSTITUTE(TRIM(H147&amp;"")," ",REPT(" ",60)),60)),코드표!$F$2:$F$101,0))),INDEX(코드표!$K$2:$K$101,MATCH(LEFT(TRIM(H147&amp;""),FIND(" ",TRIM(H147&amp;""))-1),코드표!$J$2:$J$101,0))&amp;" "&amp;INDEX(코드표!$G$2:$G$101,MATCH(TRIM(RIGHT(SUBSTITUTE(TRIM(H147&amp;"")," ",REPT(" ",60)),60)),코드표!$F$2:$F$101,0)),"⚠"&amp;TRIM(H147&amp;""))),"⚠"&amp;TRIM(H147&amp;""))</f>
        <v/>
      </c>
      <c r="Q147" s="10">
        <f>IFERROR(IF(TRIM(I147&amp;"")="","",IF(AND(ISNUMBER(FIND(" ",TRIM(I147&amp;""))),ISNUMBER(MATCH(LEFT(TRIM(I147&amp;""),FIND(" ",TRIM(I147&amp;""))-1),코드표!$J$2:$J$101,0)),ISNUMBER(MATCH(TRIM(RIGHT(SUBSTITUTE(TRIM(I147&amp;"")," ",REPT(" ",60)),60)),코드표!$F$2:$F$101,0))),INDEX(코드표!$K$2:$K$101,MATCH(LEFT(TRIM(I147&amp;""),FIND(" ",TRIM(I147&amp;""))-1),코드표!$J$2:$J$101,0))&amp;" "&amp;INDEX(코드표!$G$2:$G$101,MATCH(TRIM(RIGHT(SUBSTITUTE(TRIM(I147&amp;"")," ",REPT(" ",60)),60)),코드표!$F$2:$F$101,0)),"⚠"&amp;TRIM(I147&amp;""))),"⚠"&amp;TRIM(I147&amp;""))</f>
        <v/>
      </c>
      <c r="R147" s="10">
        <f>IFERROR(IF(TRIM(J147&amp;"")="","",IF(AND(ISNUMBER(FIND(" ",TRIM(J147&amp;""))),ISNUMBER(MATCH(LEFT(TRIM(J147&amp;""),FIND(" ",TRIM(J147&amp;""))-1),코드표!$J$2:$J$101,0)),ISNUMBER(MATCH(TRIM(RIGHT(SUBSTITUTE(TRIM(J147&amp;"")," ",REPT(" ",60)),60)),코드표!$F$2:$F$101,0))),INDEX(코드표!$K$2:$K$101,MATCH(LEFT(TRIM(J147&amp;""),FIND(" ",TRIM(J147&amp;""))-1),코드표!$J$2:$J$101,0))&amp;" "&amp;INDEX(코드표!$G$2:$G$101,MATCH(TRIM(RIGHT(SUBSTITUTE(TRIM(J147&amp;"")," ",REPT(" ",60)),60)),코드표!$F$2:$F$101,0)),"⚠"&amp;TRIM(J147&amp;""))),"⚠"&amp;TRIM(J147&amp;""))</f>
        <v/>
      </c>
      <c r="S147" s="11">
        <f>IF(K147="","",IFERROR(IF(AND(ROUND((VALUE(K147&amp;"")-INT(VALUE(K147&amp;"")))*100,0)&gt;=1,ROUND((VALUE(K147&amp;"")-INT(VALUE(K147&amp;"")))*100,0)&lt;=12,INT(VALUE(K147&amp;""))&gt;=1900),DATE(INT(VALUE(K147&amp;"")),ROUND((VALUE(K147&amp;"")-INT(VALUE(K147&amp;"")))*100,0),1),K147&amp;""),K147&amp;""))</f>
        <v/>
      </c>
      <c r="T147" s="10">
        <f>COUNTIF(M147:R147,"⚠*")</f>
        <v/>
      </c>
    </row>
    <row r="148"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M148" s="10">
        <f>IFERROR(IF(TRIM(E148&amp;"")="","",IF(AND(ISNUMBER(FIND(" ",TRIM(E148&amp;""))),ISNUMBER(MATCH(LEFT(TRIM(E148&amp;""),FIND(" ",TRIM(E148&amp;""))-1),코드표!$J$2:$J$101,0)),ISNUMBER(MATCH(TRIM(RIGHT(SUBSTITUTE(TRIM(E148&amp;"")," ",REPT(" ",60)),60)),코드표!$F$2:$F$101,0))),INDEX(코드표!$K$2:$K$101,MATCH(LEFT(TRIM(E148&amp;""),FIND(" ",TRIM(E148&amp;""))-1),코드표!$J$2:$J$101,0))&amp;" "&amp;INDEX(코드표!$G$2:$G$101,MATCH(TRIM(RIGHT(SUBSTITUTE(TRIM(E148&amp;"")," ",REPT(" ",60)),60)),코드표!$F$2:$F$101,0)),"⚠"&amp;TRIM(E148&amp;""))),"⚠"&amp;TRIM(E148&amp;""))</f>
        <v/>
      </c>
      <c r="N148" s="10">
        <f>IFERROR(IF(TRIM(F148&amp;"")="","",IF(AND(ISNUMBER(FIND(" ",TRIM(F148&amp;""))),ISNUMBER(MATCH(LEFT(TRIM(F148&amp;""),FIND(" ",TRIM(F148&amp;""))-1),코드표!$J$2:$J$101,0)),ISNUMBER(MATCH(TRIM(RIGHT(SUBSTITUTE(TRIM(F148&amp;"")," ",REPT(" ",60)),60)),코드표!$F$2:$F$101,0))),INDEX(코드표!$K$2:$K$101,MATCH(LEFT(TRIM(F148&amp;""),FIND(" ",TRIM(F148&amp;""))-1),코드표!$J$2:$J$101,0))&amp;" "&amp;INDEX(코드표!$G$2:$G$101,MATCH(TRIM(RIGHT(SUBSTITUTE(TRIM(F148&amp;"")," ",REPT(" ",60)),60)),코드표!$F$2:$F$101,0)),"⚠"&amp;TRIM(F148&amp;""))),"⚠"&amp;TRIM(F148&amp;""))</f>
        <v/>
      </c>
      <c r="O148" s="10">
        <f>IFERROR(IF(TRIM(G148&amp;"")="","",IF(AND(ISNUMBER(FIND(" ",TRIM(G148&amp;""))),ISNUMBER(MATCH(LEFT(TRIM(G148&amp;""),FIND(" ",TRIM(G148&amp;""))-1),코드표!$J$2:$J$101,0)),ISNUMBER(MATCH(TRIM(RIGHT(SUBSTITUTE(TRIM(G148&amp;"")," ",REPT(" ",60)),60)),코드표!$F$2:$F$101,0))),INDEX(코드표!$K$2:$K$101,MATCH(LEFT(TRIM(G148&amp;""),FIND(" ",TRIM(G148&amp;""))-1),코드표!$J$2:$J$101,0))&amp;" "&amp;INDEX(코드표!$G$2:$G$101,MATCH(TRIM(RIGHT(SUBSTITUTE(TRIM(G148&amp;"")," ",REPT(" ",60)),60)),코드표!$F$2:$F$101,0)),"⚠"&amp;TRIM(G148&amp;""))),"⚠"&amp;TRIM(G148&amp;""))</f>
        <v/>
      </c>
      <c r="P148" s="10">
        <f>IFERROR(IF(TRIM(H148&amp;"")="","",IF(AND(ISNUMBER(FIND(" ",TRIM(H148&amp;""))),ISNUMBER(MATCH(LEFT(TRIM(H148&amp;""),FIND(" ",TRIM(H148&amp;""))-1),코드표!$J$2:$J$101,0)),ISNUMBER(MATCH(TRIM(RIGHT(SUBSTITUTE(TRIM(H148&amp;"")," ",REPT(" ",60)),60)),코드표!$F$2:$F$101,0))),INDEX(코드표!$K$2:$K$101,MATCH(LEFT(TRIM(H148&amp;""),FIND(" ",TRIM(H148&amp;""))-1),코드표!$J$2:$J$101,0))&amp;" "&amp;INDEX(코드표!$G$2:$G$101,MATCH(TRIM(RIGHT(SUBSTITUTE(TRIM(H148&amp;"")," ",REPT(" ",60)),60)),코드표!$F$2:$F$101,0)),"⚠"&amp;TRIM(H148&amp;""))),"⚠"&amp;TRIM(H148&amp;""))</f>
        <v/>
      </c>
      <c r="Q148" s="10">
        <f>IFERROR(IF(TRIM(I148&amp;"")="","",IF(AND(ISNUMBER(FIND(" ",TRIM(I148&amp;""))),ISNUMBER(MATCH(LEFT(TRIM(I148&amp;""),FIND(" ",TRIM(I148&amp;""))-1),코드표!$J$2:$J$101,0)),ISNUMBER(MATCH(TRIM(RIGHT(SUBSTITUTE(TRIM(I148&amp;"")," ",REPT(" ",60)),60)),코드표!$F$2:$F$101,0))),INDEX(코드표!$K$2:$K$101,MATCH(LEFT(TRIM(I148&amp;""),FIND(" ",TRIM(I148&amp;""))-1),코드표!$J$2:$J$101,0))&amp;" "&amp;INDEX(코드표!$G$2:$G$101,MATCH(TRIM(RIGHT(SUBSTITUTE(TRIM(I148&amp;"")," ",REPT(" ",60)),60)),코드표!$F$2:$F$101,0)),"⚠"&amp;TRIM(I148&amp;""))),"⚠"&amp;TRIM(I148&amp;""))</f>
        <v/>
      </c>
      <c r="R148" s="10">
        <f>IFERROR(IF(TRIM(J148&amp;"")="","",IF(AND(ISNUMBER(FIND(" ",TRIM(J148&amp;""))),ISNUMBER(MATCH(LEFT(TRIM(J148&amp;""),FIND(" ",TRIM(J148&amp;""))-1),코드표!$J$2:$J$101,0)),ISNUMBER(MATCH(TRIM(RIGHT(SUBSTITUTE(TRIM(J148&amp;"")," ",REPT(" ",60)),60)),코드표!$F$2:$F$101,0))),INDEX(코드표!$K$2:$K$101,MATCH(LEFT(TRIM(J148&amp;""),FIND(" ",TRIM(J148&amp;""))-1),코드표!$J$2:$J$101,0))&amp;" "&amp;INDEX(코드표!$G$2:$G$101,MATCH(TRIM(RIGHT(SUBSTITUTE(TRIM(J148&amp;"")," ",REPT(" ",60)),60)),코드표!$F$2:$F$101,0)),"⚠"&amp;TRIM(J148&amp;""))),"⚠"&amp;TRIM(J148&amp;""))</f>
        <v/>
      </c>
      <c r="S148" s="11">
        <f>IF(K148="","",IFERROR(IF(AND(ROUND((VALUE(K148&amp;"")-INT(VALUE(K148&amp;"")))*100,0)&gt;=1,ROUND((VALUE(K148&amp;"")-INT(VALUE(K148&amp;"")))*100,0)&lt;=12,INT(VALUE(K148&amp;""))&gt;=1900),DATE(INT(VALUE(K148&amp;"")),ROUND((VALUE(K148&amp;"")-INT(VALUE(K148&amp;"")))*100,0),1),K148&amp;""),K148&amp;""))</f>
        <v/>
      </c>
      <c r="T148" s="10">
        <f>COUNTIF(M148:R148,"⚠*")</f>
        <v/>
      </c>
    </row>
    <row r="149"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M149" s="10">
        <f>IFERROR(IF(TRIM(E149&amp;"")="","",IF(AND(ISNUMBER(FIND(" ",TRIM(E149&amp;""))),ISNUMBER(MATCH(LEFT(TRIM(E149&amp;""),FIND(" ",TRIM(E149&amp;""))-1),코드표!$J$2:$J$101,0)),ISNUMBER(MATCH(TRIM(RIGHT(SUBSTITUTE(TRIM(E149&amp;"")," ",REPT(" ",60)),60)),코드표!$F$2:$F$101,0))),INDEX(코드표!$K$2:$K$101,MATCH(LEFT(TRIM(E149&amp;""),FIND(" ",TRIM(E149&amp;""))-1),코드표!$J$2:$J$101,0))&amp;" "&amp;INDEX(코드표!$G$2:$G$101,MATCH(TRIM(RIGHT(SUBSTITUTE(TRIM(E149&amp;"")," ",REPT(" ",60)),60)),코드표!$F$2:$F$101,0)),"⚠"&amp;TRIM(E149&amp;""))),"⚠"&amp;TRIM(E149&amp;""))</f>
        <v/>
      </c>
      <c r="N149" s="10">
        <f>IFERROR(IF(TRIM(F149&amp;"")="","",IF(AND(ISNUMBER(FIND(" ",TRIM(F149&amp;""))),ISNUMBER(MATCH(LEFT(TRIM(F149&amp;""),FIND(" ",TRIM(F149&amp;""))-1),코드표!$J$2:$J$101,0)),ISNUMBER(MATCH(TRIM(RIGHT(SUBSTITUTE(TRIM(F149&amp;"")," ",REPT(" ",60)),60)),코드표!$F$2:$F$101,0))),INDEX(코드표!$K$2:$K$101,MATCH(LEFT(TRIM(F149&amp;""),FIND(" ",TRIM(F149&amp;""))-1),코드표!$J$2:$J$101,0))&amp;" "&amp;INDEX(코드표!$G$2:$G$101,MATCH(TRIM(RIGHT(SUBSTITUTE(TRIM(F149&amp;"")," ",REPT(" ",60)),60)),코드표!$F$2:$F$101,0)),"⚠"&amp;TRIM(F149&amp;""))),"⚠"&amp;TRIM(F149&amp;""))</f>
        <v/>
      </c>
      <c r="O149" s="10">
        <f>IFERROR(IF(TRIM(G149&amp;"")="","",IF(AND(ISNUMBER(FIND(" ",TRIM(G149&amp;""))),ISNUMBER(MATCH(LEFT(TRIM(G149&amp;""),FIND(" ",TRIM(G149&amp;""))-1),코드표!$J$2:$J$101,0)),ISNUMBER(MATCH(TRIM(RIGHT(SUBSTITUTE(TRIM(G149&amp;"")," ",REPT(" ",60)),60)),코드표!$F$2:$F$101,0))),INDEX(코드표!$K$2:$K$101,MATCH(LEFT(TRIM(G149&amp;""),FIND(" ",TRIM(G149&amp;""))-1),코드표!$J$2:$J$101,0))&amp;" "&amp;INDEX(코드표!$G$2:$G$101,MATCH(TRIM(RIGHT(SUBSTITUTE(TRIM(G149&amp;"")," ",REPT(" ",60)),60)),코드표!$F$2:$F$101,0)),"⚠"&amp;TRIM(G149&amp;""))),"⚠"&amp;TRIM(G149&amp;""))</f>
        <v/>
      </c>
      <c r="P149" s="10">
        <f>IFERROR(IF(TRIM(H149&amp;"")="","",IF(AND(ISNUMBER(FIND(" ",TRIM(H149&amp;""))),ISNUMBER(MATCH(LEFT(TRIM(H149&amp;""),FIND(" ",TRIM(H149&amp;""))-1),코드표!$J$2:$J$101,0)),ISNUMBER(MATCH(TRIM(RIGHT(SUBSTITUTE(TRIM(H149&amp;"")," ",REPT(" ",60)),60)),코드표!$F$2:$F$101,0))),INDEX(코드표!$K$2:$K$101,MATCH(LEFT(TRIM(H149&amp;""),FIND(" ",TRIM(H149&amp;""))-1),코드표!$J$2:$J$101,0))&amp;" "&amp;INDEX(코드표!$G$2:$G$101,MATCH(TRIM(RIGHT(SUBSTITUTE(TRIM(H149&amp;"")," ",REPT(" ",60)),60)),코드표!$F$2:$F$101,0)),"⚠"&amp;TRIM(H149&amp;""))),"⚠"&amp;TRIM(H149&amp;""))</f>
        <v/>
      </c>
      <c r="Q149" s="10">
        <f>IFERROR(IF(TRIM(I149&amp;"")="","",IF(AND(ISNUMBER(FIND(" ",TRIM(I149&amp;""))),ISNUMBER(MATCH(LEFT(TRIM(I149&amp;""),FIND(" ",TRIM(I149&amp;""))-1),코드표!$J$2:$J$101,0)),ISNUMBER(MATCH(TRIM(RIGHT(SUBSTITUTE(TRIM(I149&amp;"")," ",REPT(" ",60)),60)),코드표!$F$2:$F$101,0))),INDEX(코드표!$K$2:$K$101,MATCH(LEFT(TRIM(I149&amp;""),FIND(" ",TRIM(I149&amp;""))-1),코드표!$J$2:$J$101,0))&amp;" "&amp;INDEX(코드표!$G$2:$G$101,MATCH(TRIM(RIGHT(SUBSTITUTE(TRIM(I149&amp;"")," ",REPT(" ",60)),60)),코드표!$F$2:$F$101,0)),"⚠"&amp;TRIM(I149&amp;""))),"⚠"&amp;TRIM(I149&amp;""))</f>
        <v/>
      </c>
      <c r="R149" s="10">
        <f>IFERROR(IF(TRIM(J149&amp;"")="","",IF(AND(ISNUMBER(FIND(" ",TRIM(J149&amp;""))),ISNUMBER(MATCH(LEFT(TRIM(J149&amp;""),FIND(" ",TRIM(J149&amp;""))-1),코드표!$J$2:$J$101,0)),ISNUMBER(MATCH(TRIM(RIGHT(SUBSTITUTE(TRIM(J149&amp;"")," ",REPT(" ",60)),60)),코드표!$F$2:$F$101,0))),INDEX(코드표!$K$2:$K$101,MATCH(LEFT(TRIM(J149&amp;""),FIND(" ",TRIM(J149&amp;""))-1),코드표!$J$2:$J$101,0))&amp;" "&amp;INDEX(코드표!$G$2:$G$101,MATCH(TRIM(RIGHT(SUBSTITUTE(TRIM(J149&amp;"")," ",REPT(" ",60)),60)),코드표!$F$2:$F$101,0)),"⚠"&amp;TRIM(J149&amp;""))),"⚠"&amp;TRIM(J149&amp;""))</f>
        <v/>
      </c>
      <c r="S149" s="11">
        <f>IF(K149="","",IFERROR(IF(AND(ROUND((VALUE(K149&amp;"")-INT(VALUE(K149&amp;"")))*100,0)&gt;=1,ROUND((VALUE(K149&amp;"")-INT(VALUE(K149&amp;"")))*100,0)&lt;=12,INT(VALUE(K149&amp;""))&gt;=1900),DATE(INT(VALUE(K149&amp;"")),ROUND((VALUE(K149&amp;"")-INT(VALUE(K149&amp;"")))*100,0),1),K149&amp;""),K149&amp;""))</f>
        <v/>
      </c>
      <c r="T149" s="10">
        <f>COUNTIF(M149:R149,"⚠*")</f>
        <v/>
      </c>
    </row>
    <row r="150"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M150" s="10">
        <f>IFERROR(IF(TRIM(E150&amp;"")="","",IF(AND(ISNUMBER(FIND(" ",TRIM(E150&amp;""))),ISNUMBER(MATCH(LEFT(TRIM(E150&amp;""),FIND(" ",TRIM(E150&amp;""))-1),코드표!$J$2:$J$101,0)),ISNUMBER(MATCH(TRIM(RIGHT(SUBSTITUTE(TRIM(E150&amp;"")," ",REPT(" ",60)),60)),코드표!$F$2:$F$101,0))),INDEX(코드표!$K$2:$K$101,MATCH(LEFT(TRIM(E150&amp;""),FIND(" ",TRIM(E150&amp;""))-1),코드표!$J$2:$J$101,0))&amp;" "&amp;INDEX(코드표!$G$2:$G$101,MATCH(TRIM(RIGHT(SUBSTITUTE(TRIM(E150&amp;"")," ",REPT(" ",60)),60)),코드표!$F$2:$F$101,0)),"⚠"&amp;TRIM(E150&amp;""))),"⚠"&amp;TRIM(E150&amp;""))</f>
        <v/>
      </c>
      <c r="N150" s="10">
        <f>IFERROR(IF(TRIM(F150&amp;"")="","",IF(AND(ISNUMBER(FIND(" ",TRIM(F150&amp;""))),ISNUMBER(MATCH(LEFT(TRIM(F150&amp;""),FIND(" ",TRIM(F150&amp;""))-1),코드표!$J$2:$J$101,0)),ISNUMBER(MATCH(TRIM(RIGHT(SUBSTITUTE(TRIM(F150&amp;"")," ",REPT(" ",60)),60)),코드표!$F$2:$F$101,0))),INDEX(코드표!$K$2:$K$101,MATCH(LEFT(TRIM(F150&amp;""),FIND(" ",TRIM(F150&amp;""))-1),코드표!$J$2:$J$101,0))&amp;" "&amp;INDEX(코드표!$G$2:$G$101,MATCH(TRIM(RIGHT(SUBSTITUTE(TRIM(F150&amp;"")," ",REPT(" ",60)),60)),코드표!$F$2:$F$101,0)),"⚠"&amp;TRIM(F150&amp;""))),"⚠"&amp;TRIM(F150&amp;""))</f>
        <v/>
      </c>
      <c r="O150" s="10">
        <f>IFERROR(IF(TRIM(G150&amp;"")="","",IF(AND(ISNUMBER(FIND(" ",TRIM(G150&amp;""))),ISNUMBER(MATCH(LEFT(TRIM(G150&amp;""),FIND(" ",TRIM(G150&amp;""))-1),코드표!$J$2:$J$101,0)),ISNUMBER(MATCH(TRIM(RIGHT(SUBSTITUTE(TRIM(G150&amp;"")," ",REPT(" ",60)),60)),코드표!$F$2:$F$101,0))),INDEX(코드표!$K$2:$K$101,MATCH(LEFT(TRIM(G150&amp;""),FIND(" ",TRIM(G150&amp;""))-1),코드표!$J$2:$J$101,0))&amp;" "&amp;INDEX(코드표!$G$2:$G$101,MATCH(TRIM(RIGHT(SUBSTITUTE(TRIM(G150&amp;"")," ",REPT(" ",60)),60)),코드표!$F$2:$F$101,0)),"⚠"&amp;TRIM(G150&amp;""))),"⚠"&amp;TRIM(G150&amp;""))</f>
        <v/>
      </c>
      <c r="P150" s="10">
        <f>IFERROR(IF(TRIM(H150&amp;"")="","",IF(AND(ISNUMBER(FIND(" ",TRIM(H150&amp;""))),ISNUMBER(MATCH(LEFT(TRIM(H150&amp;""),FIND(" ",TRIM(H150&amp;""))-1),코드표!$J$2:$J$101,0)),ISNUMBER(MATCH(TRIM(RIGHT(SUBSTITUTE(TRIM(H150&amp;"")," ",REPT(" ",60)),60)),코드표!$F$2:$F$101,0))),INDEX(코드표!$K$2:$K$101,MATCH(LEFT(TRIM(H150&amp;""),FIND(" ",TRIM(H150&amp;""))-1),코드표!$J$2:$J$101,0))&amp;" "&amp;INDEX(코드표!$G$2:$G$101,MATCH(TRIM(RIGHT(SUBSTITUTE(TRIM(H150&amp;"")," ",REPT(" ",60)),60)),코드표!$F$2:$F$101,0)),"⚠"&amp;TRIM(H150&amp;""))),"⚠"&amp;TRIM(H150&amp;""))</f>
        <v/>
      </c>
      <c r="Q150" s="10">
        <f>IFERROR(IF(TRIM(I150&amp;"")="","",IF(AND(ISNUMBER(FIND(" ",TRIM(I150&amp;""))),ISNUMBER(MATCH(LEFT(TRIM(I150&amp;""),FIND(" ",TRIM(I150&amp;""))-1),코드표!$J$2:$J$101,0)),ISNUMBER(MATCH(TRIM(RIGHT(SUBSTITUTE(TRIM(I150&amp;"")," ",REPT(" ",60)),60)),코드표!$F$2:$F$101,0))),INDEX(코드표!$K$2:$K$101,MATCH(LEFT(TRIM(I150&amp;""),FIND(" ",TRIM(I150&amp;""))-1),코드표!$J$2:$J$101,0))&amp;" "&amp;INDEX(코드표!$G$2:$G$101,MATCH(TRIM(RIGHT(SUBSTITUTE(TRIM(I150&amp;"")," ",REPT(" ",60)),60)),코드표!$F$2:$F$101,0)),"⚠"&amp;TRIM(I150&amp;""))),"⚠"&amp;TRIM(I150&amp;""))</f>
        <v/>
      </c>
      <c r="R150" s="10">
        <f>IFERROR(IF(TRIM(J150&amp;"")="","",IF(AND(ISNUMBER(FIND(" ",TRIM(J150&amp;""))),ISNUMBER(MATCH(LEFT(TRIM(J150&amp;""),FIND(" ",TRIM(J150&amp;""))-1),코드표!$J$2:$J$101,0)),ISNUMBER(MATCH(TRIM(RIGHT(SUBSTITUTE(TRIM(J150&amp;"")," ",REPT(" ",60)),60)),코드표!$F$2:$F$101,0))),INDEX(코드표!$K$2:$K$101,MATCH(LEFT(TRIM(J150&amp;""),FIND(" ",TRIM(J150&amp;""))-1),코드표!$J$2:$J$101,0))&amp;" "&amp;INDEX(코드표!$G$2:$G$101,MATCH(TRIM(RIGHT(SUBSTITUTE(TRIM(J150&amp;"")," ",REPT(" ",60)),60)),코드표!$F$2:$F$101,0)),"⚠"&amp;TRIM(J150&amp;""))),"⚠"&amp;TRIM(J150&amp;""))</f>
        <v/>
      </c>
      <c r="S150" s="11">
        <f>IF(K150="","",IFERROR(IF(AND(ROUND((VALUE(K150&amp;"")-INT(VALUE(K150&amp;"")))*100,0)&gt;=1,ROUND((VALUE(K150&amp;"")-INT(VALUE(K150&amp;"")))*100,0)&lt;=12,INT(VALUE(K150&amp;""))&gt;=1900),DATE(INT(VALUE(K150&amp;"")),ROUND((VALUE(K150&amp;"")-INT(VALUE(K150&amp;"")))*100,0),1),K150&amp;""),K150&amp;""))</f>
        <v/>
      </c>
      <c r="T150" s="10">
        <f>COUNTIF(M150:R150,"⚠*")</f>
        <v/>
      </c>
    </row>
    <row r="151"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M151" s="10">
        <f>IFERROR(IF(TRIM(E151&amp;"")="","",IF(AND(ISNUMBER(FIND(" ",TRIM(E151&amp;""))),ISNUMBER(MATCH(LEFT(TRIM(E151&amp;""),FIND(" ",TRIM(E151&amp;""))-1),코드표!$J$2:$J$101,0)),ISNUMBER(MATCH(TRIM(RIGHT(SUBSTITUTE(TRIM(E151&amp;"")," ",REPT(" ",60)),60)),코드표!$F$2:$F$101,0))),INDEX(코드표!$K$2:$K$101,MATCH(LEFT(TRIM(E151&amp;""),FIND(" ",TRIM(E151&amp;""))-1),코드표!$J$2:$J$101,0))&amp;" "&amp;INDEX(코드표!$G$2:$G$101,MATCH(TRIM(RIGHT(SUBSTITUTE(TRIM(E151&amp;"")," ",REPT(" ",60)),60)),코드표!$F$2:$F$101,0)),"⚠"&amp;TRIM(E151&amp;""))),"⚠"&amp;TRIM(E151&amp;""))</f>
        <v/>
      </c>
      <c r="N151" s="10">
        <f>IFERROR(IF(TRIM(F151&amp;"")="","",IF(AND(ISNUMBER(FIND(" ",TRIM(F151&amp;""))),ISNUMBER(MATCH(LEFT(TRIM(F151&amp;""),FIND(" ",TRIM(F151&amp;""))-1),코드표!$J$2:$J$101,0)),ISNUMBER(MATCH(TRIM(RIGHT(SUBSTITUTE(TRIM(F151&amp;"")," ",REPT(" ",60)),60)),코드표!$F$2:$F$101,0))),INDEX(코드표!$K$2:$K$101,MATCH(LEFT(TRIM(F151&amp;""),FIND(" ",TRIM(F151&amp;""))-1),코드표!$J$2:$J$101,0))&amp;" "&amp;INDEX(코드표!$G$2:$G$101,MATCH(TRIM(RIGHT(SUBSTITUTE(TRIM(F151&amp;"")," ",REPT(" ",60)),60)),코드표!$F$2:$F$101,0)),"⚠"&amp;TRIM(F151&amp;""))),"⚠"&amp;TRIM(F151&amp;""))</f>
        <v/>
      </c>
      <c r="O151" s="10">
        <f>IFERROR(IF(TRIM(G151&amp;"")="","",IF(AND(ISNUMBER(FIND(" ",TRIM(G151&amp;""))),ISNUMBER(MATCH(LEFT(TRIM(G151&amp;""),FIND(" ",TRIM(G151&amp;""))-1),코드표!$J$2:$J$101,0)),ISNUMBER(MATCH(TRIM(RIGHT(SUBSTITUTE(TRIM(G151&amp;"")," ",REPT(" ",60)),60)),코드표!$F$2:$F$101,0))),INDEX(코드표!$K$2:$K$101,MATCH(LEFT(TRIM(G151&amp;""),FIND(" ",TRIM(G151&amp;""))-1),코드표!$J$2:$J$101,0))&amp;" "&amp;INDEX(코드표!$G$2:$G$101,MATCH(TRIM(RIGHT(SUBSTITUTE(TRIM(G151&amp;"")," ",REPT(" ",60)),60)),코드표!$F$2:$F$101,0)),"⚠"&amp;TRIM(G151&amp;""))),"⚠"&amp;TRIM(G151&amp;""))</f>
        <v/>
      </c>
      <c r="P151" s="10">
        <f>IFERROR(IF(TRIM(H151&amp;"")="","",IF(AND(ISNUMBER(FIND(" ",TRIM(H151&amp;""))),ISNUMBER(MATCH(LEFT(TRIM(H151&amp;""),FIND(" ",TRIM(H151&amp;""))-1),코드표!$J$2:$J$101,0)),ISNUMBER(MATCH(TRIM(RIGHT(SUBSTITUTE(TRIM(H151&amp;"")," ",REPT(" ",60)),60)),코드표!$F$2:$F$101,0))),INDEX(코드표!$K$2:$K$101,MATCH(LEFT(TRIM(H151&amp;""),FIND(" ",TRIM(H151&amp;""))-1),코드표!$J$2:$J$101,0))&amp;" "&amp;INDEX(코드표!$G$2:$G$101,MATCH(TRIM(RIGHT(SUBSTITUTE(TRIM(H151&amp;"")," ",REPT(" ",60)),60)),코드표!$F$2:$F$101,0)),"⚠"&amp;TRIM(H151&amp;""))),"⚠"&amp;TRIM(H151&amp;""))</f>
        <v/>
      </c>
      <c r="Q151" s="10">
        <f>IFERROR(IF(TRIM(I151&amp;"")="","",IF(AND(ISNUMBER(FIND(" ",TRIM(I151&amp;""))),ISNUMBER(MATCH(LEFT(TRIM(I151&amp;""),FIND(" ",TRIM(I151&amp;""))-1),코드표!$J$2:$J$101,0)),ISNUMBER(MATCH(TRIM(RIGHT(SUBSTITUTE(TRIM(I151&amp;"")," ",REPT(" ",60)),60)),코드표!$F$2:$F$101,0))),INDEX(코드표!$K$2:$K$101,MATCH(LEFT(TRIM(I151&amp;""),FIND(" ",TRIM(I151&amp;""))-1),코드표!$J$2:$J$101,0))&amp;" "&amp;INDEX(코드표!$G$2:$G$101,MATCH(TRIM(RIGHT(SUBSTITUTE(TRIM(I151&amp;"")," ",REPT(" ",60)),60)),코드표!$F$2:$F$101,0)),"⚠"&amp;TRIM(I151&amp;""))),"⚠"&amp;TRIM(I151&amp;""))</f>
        <v/>
      </c>
      <c r="R151" s="10">
        <f>IFERROR(IF(TRIM(J151&amp;"")="","",IF(AND(ISNUMBER(FIND(" ",TRIM(J151&amp;""))),ISNUMBER(MATCH(LEFT(TRIM(J151&amp;""),FIND(" ",TRIM(J151&amp;""))-1),코드표!$J$2:$J$101,0)),ISNUMBER(MATCH(TRIM(RIGHT(SUBSTITUTE(TRIM(J151&amp;"")," ",REPT(" ",60)),60)),코드표!$F$2:$F$101,0))),INDEX(코드표!$K$2:$K$101,MATCH(LEFT(TRIM(J151&amp;""),FIND(" ",TRIM(J151&amp;""))-1),코드표!$J$2:$J$101,0))&amp;" "&amp;INDEX(코드표!$G$2:$G$101,MATCH(TRIM(RIGHT(SUBSTITUTE(TRIM(J151&amp;"")," ",REPT(" ",60)),60)),코드표!$F$2:$F$101,0)),"⚠"&amp;TRIM(J151&amp;""))),"⚠"&amp;TRIM(J151&amp;""))</f>
        <v/>
      </c>
      <c r="S151" s="11">
        <f>IF(K151="","",IFERROR(IF(AND(ROUND((VALUE(K151&amp;"")-INT(VALUE(K151&amp;"")))*100,0)&gt;=1,ROUND((VALUE(K151&amp;"")-INT(VALUE(K151&amp;"")))*100,0)&lt;=12,INT(VALUE(K151&amp;""))&gt;=1900),DATE(INT(VALUE(K151&amp;"")),ROUND((VALUE(K151&amp;"")-INT(VALUE(K151&amp;"")))*100,0),1),K151&amp;""),K151&amp;""))</f>
        <v/>
      </c>
      <c r="T151" s="10">
        <f>COUNTIF(M151:R151,"⚠*")</f>
        <v/>
      </c>
    </row>
    <row r="152"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M152" s="10">
        <f>IFERROR(IF(TRIM(E152&amp;"")="","",IF(AND(ISNUMBER(FIND(" ",TRIM(E152&amp;""))),ISNUMBER(MATCH(LEFT(TRIM(E152&amp;""),FIND(" ",TRIM(E152&amp;""))-1),코드표!$J$2:$J$101,0)),ISNUMBER(MATCH(TRIM(RIGHT(SUBSTITUTE(TRIM(E152&amp;"")," ",REPT(" ",60)),60)),코드표!$F$2:$F$101,0))),INDEX(코드표!$K$2:$K$101,MATCH(LEFT(TRIM(E152&amp;""),FIND(" ",TRIM(E152&amp;""))-1),코드표!$J$2:$J$101,0))&amp;" "&amp;INDEX(코드표!$G$2:$G$101,MATCH(TRIM(RIGHT(SUBSTITUTE(TRIM(E152&amp;"")," ",REPT(" ",60)),60)),코드표!$F$2:$F$101,0)),"⚠"&amp;TRIM(E152&amp;""))),"⚠"&amp;TRIM(E152&amp;""))</f>
        <v/>
      </c>
      <c r="N152" s="10">
        <f>IFERROR(IF(TRIM(F152&amp;"")="","",IF(AND(ISNUMBER(FIND(" ",TRIM(F152&amp;""))),ISNUMBER(MATCH(LEFT(TRIM(F152&amp;""),FIND(" ",TRIM(F152&amp;""))-1),코드표!$J$2:$J$101,0)),ISNUMBER(MATCH(TRIM(RIGHT(SUBSTITUTE(TRIM(F152&amp;"")," ",REPT(" ",60)),60)),코드표!$F$2:$F$101,0))),INDEX(코드표!$K$2:$K$101,MATCH(LEFT(TRIM(F152&amp;""),FIND(" ",TRIM(F152&amp;""))-1),코드표!$J$2:$J$101,0))&amp;" "&amp;INDEX(코드표!$G$2:$G$101,MATCH(TRIM(RIGHT(SUBSTITUTE(TRIM(F152&amp;"")," ",REPT(" ",60)),60)),코드표!$F$2:$F$101,0)),"⚠"&amp;TRIM(F152&amp;""))),"⚠"&amp;TRIM(F152&amp;""))</f>
        <v/>
      </c>
      <c r="O152" s="10">
        <f>IFERROR(IF(TRIM(G152&amp;"")="","",IF(AND(ISNUMBER(FIND(" ",TRIM(G152&amp;""))),ISNUMBER(MATCH(LEFT(TRIM(G152&amp;""),FIND(" ",TRIM(G152&amp;""))-1),코드표!$J$2:$J$101,0)),ISNUMBER(MATCH(TRIM(RIGHT(SUBSTITUTE(TRIM(G152&amp;"")," ",REPT(" ",60)),60)),코드표!$F$2:$F$101,0))),INDEX(코드표!$K$2:$K$101,MATCH(LEFT(TRIM(G152&amp;""),FIND(" ",TRIM(G152&amp;""))-1),코드표!$J$2:$J$101,0))&amp;" "&amp;INDEX(코드표!$G$2:$G$101,MATCH(TRIM(RIGHT(SUBSTITUTE(TRIM(G152&amp;"")," ",REPT(" ",60)),60)),코드표!$F$2:$F$101,0)),"⚠"&amp;TRIM(G152&amp;""))),"⚠"&amp;TRIM(G152&amp;""))</f>
        <v/>
      </c>
      <c r="P152" s="10">
        <f>IFERROR(IF(TRIM(H152&amp;"")="","",IF(AND(ISNUMBER(FIND(" ",TRIM(H152&amp;""))),ISNUMBER(MATCH(LEFT(TRIM(H152&amp;""),FIND(" ",TRIM(H152&amp;""))-1),코드표!$J$2:$J$101,0)),ISNUMBER(MATCH(TRIM(RIGHT(SUBSTITUTE(TRIM(H152&amp;"")," ",REPT(" ",60)),60)),코드표!$F$2:$F$101,0))),INDEX(코드표!$K$2:$K$101,MATCH(LEFT(TRIM(H152&amp;""),FIND(" ",TRIM(H152&amp;""))-1),코드표!$J$2:$J$101,0))&amp;" "&amp;INDEX(코드표!$G$2:$G$101,MATCH(TRIM(RIGHT(SUBSTITUTE(TRIM(H152&amp;"")," ",REPT(" ",60)),60)),코드표!$F$2:$F$101,0)),"⚠"&amp;TRIM(H152&amp;""))),"⚠"&amp;TRIM(H152&amp;""))</f>
        <v/>
      </c>
      <c r="Q152" s="10">
        <f>IFERROR(IF(TRIM(I152&amp;"")="","",IF(AND(ISNUMBER(FIND(" ",TRIM(I152&amp;""))),ISNUMBER(MATCH(LEFT(TRIM(I152&amp;""),FIND(" ",TRIM(I152&amp;""))-1),코드표!$J$2:$J$101,0)),ISNUMBER(MATCH(TRIM(RIGHT(SUBSTITUTE(TRIM(I152&amp;"")," ",REPT(" ",60)),60)),코드표!$F$2:$F$101,0))),INDEX(코드표!$K$2:$K$101,MATCH(LEFT(TRIM(I152&amp;""),FIND(" ",TRIM(I152&amp;""))-1),코드표!$J$2:$J$101,0))&amp;" "&amp;INDEX(코드표!$G$2:$G$101,MATCH(TRIM(RIGHT(SUBSTITUTE(TRIM(I152&amp;"")," ",REPT(" ",60)),60)),코드표!$F$2:$F$101,0)),"⚠"&amp;TRIM(I152&amp;""))),"⚠"&amp;TRIM(I152&amp;""))</f>
        <v/>
      </c>
      <c r="R152" s="10">
        <f>IFERROR(IF(TRIM(J152&amp;"")="","",IF(AND(ISNUMBER(FIND(" ",TRIM(J152&amp;""))),ISNUMBER(MATCH(LEFT(TRIM(J152&amp;""),FIND(" ",TRIM(J152&amp;""))-1),코드표!$J$2:$J$101,0)),ISNUMBER(MATCH(TRIM(RIGHT(SUBSTITUTE(TRIM(J152&amp;"")," ",REPT(" ",60)),60)),코드표!$F$2:$F$101,0))),INDEX(코드표!$K$2:$K$101,MATCH(LEFT(TRIM(J152&amp;""),FIND(" ",TRIM(J152&amp;""))-1),코드표!$J$2:$J$101,0))&amp;" "&amp;INDEX(코드표!$G$2:$G$101,MATCH(TRIM(RIGHT(SUBSTITUTE(TRIM(J152&amp;"")," ",REPT(" ",60)),60)),코드표!$F$2:$F$101,0)),"⚠"&amp;TRIM(J152&amp;""))),"⚠"&amp;TRIM(J152&amp;""))</f>
        <v/>
      </c>
      <c r="S152" s="11">
        <f>IF(K152="","",IFERROR(IF(AND(ROUND((VALUE(K152&amp;"")-INT(VALUE(K152&amp;"")))*100,0)&gt;=1,ROUND((VALUE(K152&amp;"")-INT(VALUE(K152&amp;"")))*100,0)&lt;=12,INT(VALUE(K152&amp;""))&gt;=1900),DATE(INT(VALUE(K152&amp;"")),ROUND((VALUE(K152&amp;"")-INT(VALUE(K152&amp;"")))*100,0),1),K152&amp;""),K152&amp;""))</f>
        <v/>
      </c>
      <c r="T152" s="10">
        <f>COUNTIF(M152:R152,"⚠*")</f>
        <v/>
      </c>
    </row>
    <row r="153"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M153" s="10">
        <f>IFERROR(IF(TRIM(E153&amp;"")="","",IF(AND(ISNUMBER(FIND(" ",TRIM(E153&amp;""))),ISNUMBER(MATCH(LEFT(TRIM(E153&amp;""),FIND(" ",TRIM(E153&amp;""))-1),코드표!$J$2:$J$101,0)),ISNUMBER(MATCH(TRIM(RIGHT(SUBSTITUTE(TRIM(E153&amp;"")," ",REPT(" ",60)),60)),코드표!$F$2:$F$101,0))),INDEX(코드표!$K$2:$K$101,MATCH(LEFT(TRIM(E153&amp;""),FIND(" ",TRIM(E153&amp;""))-1),코드표!$J$2:$J$101,0))&amp;" "&amp;INDEX(코드표!$G$2:$G$101,MATCH(TRIM(RIGHT(SUBSTITUTE(TRIM(E153&amp;"")," ",REPT(" ",60)),60)),코드표!$F$2:$F$101,0)),"⚠"&amp;TRIM(E153&amp;""))),"⚠"&amp;TRIM(E153&amp;""))</f>
        <v/>
      </c>
      <c r="N153" s="10">
        <f>IFERROR(IF(TRIM(F153&amp;"")="","",IF(AND(ISNUMBER(FIND(" ",TRIM(F153&amp;""))),ISNUMBER(MATCH(LEFT(TRIM(F153&amp;""),FIND(" ",TRIM(F153&amp;""))-1),코드표!$J$2:$J$101,0)),ISNUMBER(MATCH(TRIM(RIGHT(SUBSTITUTE(TRIM(F153&amp;"")," ",REPT(" ",60)),60)),코드표!$F$2:$F$101,0))),INDEX(코드표!$K$2:$K$101,MATCH(LEFT(TRIM(F153&amp;""),FIND(" ",TRIM(F153&amp;""))-1),코드표!$J$2:$J$101,0))&amp;" "&amp;INDEX(코드표!$G$2:$G$101,MATCH(TRIM(RIGHT(SUBSTITUTE(TRIM(F153&amp;"")," ",REPT(" ",60)),60)),코드표!$F$2:$F$101,0)),"⚠"&amp;TRIM(F153&amp;""))),"⚠"&amp;TRIM(F153&amp;""))</f>
        <v/>
      </c>
      <c r="O153" s="10">
        <f>IFERROR(IF(TRIM(G153&amp;"")="","",IF(AND(ISNUMBER(FIND(" ",TRIM(G153&amp;""))),ISNUMBER(MATCH(LEFT(TRIM(G153&amp;""),FIND(" ",TRIM(G153&amp;""))-1),코드표!$J$2:$J$101,0)),ISNUMBER(MATCH(TRIM(RIGHT(SUBSTITUTE(TRIM(G153&amp;"")," ",REPT(" ",60)),60)),코드표!$F$2:$F$101,0))),INDEX(코드표!$K$2:$K$101,MATCH(LEFT(TRIM(G153&amp;""),FIND(" ",TRIM(G153&amp;""))-1),코드표!$J$2:$J$101,0))&amp;" "&amp;INDEX(코드표!$G$2:$G$101,MATCH(TRIM(RIGHT(SUBSTITUTE(TRIM(G153&amp;"")," ",REPT(" ",60)),60)),코드표!$F$2:$F$101,0)),"⚠"&amp;TRIM(G153&amp;""))),"⚠"&amp;TRIM(G153&amp;""))</f>
        <v/>
      </c>
      <c r="P153" s="10">
        <f>IFERROR(IF(TRIM(H153&amp;"")="","",IF(AND(ISNUMBER(FIND(" ",TRIM(H153&amp;""))),ISNUMBER(MATCH(LEFT(TRIM(H153&amp;""),FIND(" ",TRIM(H153&amp;""))-1),코드표!$J$2:$J$101,0)),ISNUMBER(MATCH(TRIM(RIGHT(SUBSTITUTE(TRIM(H153&amp;"")," ",REPT(" ",60)),60)),코드표!$F$2:$F$101,0))),INDEX(코드표!$K$2:$K$101,MATCH(LEFT(TRIM(H153&amp;""),FIND(" ",TRIM(H153&amp;""))-1),코드표!$J$2:$J$101,0))&amp;" "&amp;INDEX(코드표!$G$2:$G$101,MATCH(TRIM(RIGHT(SUBSTITUTE(TRIM(H153&amp;"")," ",REPT(" ",60)),60)),코드표!$F$2:$F$101,0)),"⚠"&amp;TRIM(H153&amp;""))),"⚠"&amp;TRIM(H153&amp;""))</f>
        <v/>
      </c>
      <c r="Q153" s="10">
        <f>IFERROR(IF(TRIM(I153&amp;"")="","",IF(AND(ISNUMBER(FIND(" ",TRIM(I153&amp;""))),ISNUMBER(MATCH(LEFT(TRIM(I153&amp;""),FIND(" ",TRIM(I153&amp;""))-1),코드표!$J$2:$J$101,0)),ISNUMBER(MATCH(TRIM(RIGHT(SUBSTITUTE(TRIM(I153&amp;"")," ",REPT(" ",60)),60)),코드표!$F$2:$F$101,0))),INDEX(코드표!$K$2:$K$101,MATCH(LEFT(TRIM(I153&amp;""),FIND(" ",TRIM(I153&amp;""))-1),코드표!$J$2:$J$101,0))&amp;" "&amp;INDEX(코드표!$G$2:$G$101,MATCH(TRIM(RIGHT(SUBSTITUTE(TRIM(I153&amp;"")," ",REPT(" ",60)),60)),코드표!$F$2:$F$101,0)),"⚠"&amp;TRIM(I153&amp;""))),"⚠"&amp;TRIM(I153&amp;""))</f>
        <v/>
      </c>
      <c r="R153" s="10">
        <f>IFERROR(IF(TRIM(J153&amp;"")="","",IF(AND(ISNUMBER(FIND(" ",TRIM(J153&amp;""))),ISNUMBER(MATCH(LEFT(TRIM(J153&amp;""),FIND(" ",TRIM(J153&amp;""))-1),코드표!$J$2:$J$101,0)),ISNUMBER(MATCH(TRIM(RIGHT(SUBSTITUTE(TRIM(J153&amp;"")," ",REPT(" ",60)),60)),코드표!$F$2:$F$101,0))),INDEX(코드표!$K$2:$K$101,MATCH(LEFT(TRIM(J153&amp;""),FIND(" ",TRIM(J153&amp;""))-1),코드표!$J$2:$J$101,0))&amp;" "&amp;INDEX(코드표!$G$2:$G$101,MATCH(TRIM(RIGHT(SUBSTITUTE(TRIM(J153&amp;"")," ",REPT(" ",60)),60)),코드표!$F$2:$F$101,0)),"⚠"&amp;TRIM(J153&amp;""))),"⚠"&amp;TRIM(J153&amp;""))</f>
        <v/>
      </c>
      <c r="S153" s="11">
        <f>IF(K153="","",IFERROR(IF(AND(ROUND((VALUE(K153&amp;"")-INT(VALUE(K153&amp;"")))*100,0)&gt;=1,ROUND((VALUE(K153&amp;"")-INT(VALUE(K153&amp;"")))*100,0)&lt;=12,INT(VALUE(K153&amp;""))&gt;=1900),DATE(INT(VALUE(K153&amp;"")),ROUND((VALUE(K153&amp;"")-INT(VALUE(K153&amp;"")))*100,0),1),K153&amp;""),K153&amp;""))</f>
        <v/>
      </c>
      <c r="T153" s="10">
        <f>COUNTIF(M153:R153,"⚠*")</f>
        <v/>
      </c>
    </row>
    <row r="154"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M154" s="10">
        <f>IFERROR(IF(TRIM(E154&amp;"")="","",IF(AND(ISNUMBER(FIND(" ",TRIM(E154&amp;""))),ISNUMBER(MATCH(LEFT(TRIM(E154&amp;""),FIND(" ",TRIM(E154&amp;""))-1),코드표!$J$2:$J$101,0)),ISNUMBER(MATCH(TRIM(RIGHT(SUBSTITUTE(TRIM(E154&amp;"")," ",REPT(" ",60)),60)),코드표!$F$2:$F$101,0))),INDEX(코드표!$K$2:$K$101,MATCH(LEFT(TRIM(E154&amp;""),FIND(" ",TRIM(E154&amp;""))-1),코드표!$J$2:$J$101,0))&amp;" "&amp;INDEX(코드표!$G$2:$G$101,MATCH(TRIM(RIGHT(SUBSTITUTE(TRIM(E154&amp;"")," ",REPT(" ",60)),60)),코드표!$F$2:$F$101,0)),"⚠"&amp;TRIM(E154&amp;""))),"⚠"&amp;TRIM(E154&amp;""))</f>
        <v/>
      </c>
      <c r="N154" s="10">
        <f>IFERROR(IF(TRIM(F154&amp;"")="","",IF(AND(ISNUMBER(FIND(" ",TRIM(F154&amp;""))),ISNUMBER(MATCH(LEFT(TRIM(F154&amp;""),FIND(" ",TRIM(F154&amp;""))-1),코드표!$J$2:$J$101,0)),ISNUMBER(MATCH(TRIM(RIGHT(SUBSTITUTE(TRIM(F154&amp;"")," ",REPT(" ",60)),60)),코드표!$F$2:$F$101,0))),INDEX(코드표!$K$2:$K$101,MATCH(LEFT(TRIM(F154&amp;""),FIND(" ",TRIM(F154&amp;""))-1),코드표!$J$2:$J$101,0))&amp;" "&amp;INDEX(코드표!$G$2:$G$101,MATCH(TRIM(RIGHT(SUBSTITUTE(TRIM(F154&amp;"")," ",REPT(" ",60)),60)),코드표!$F$2:$F$101,0)),"⚠"&amp;TRIM(F154&amp;""))),"⚠"&amp;TRIM(F154&amp;""))</f>
        <v/>
      </c>
      <c r="O154" s="10">
        <f>IFERROR(IF(TRIM(G154&amp;"")="","",IF(AND(ISNUMBER(FIND(" ",TRIM(G154&amp;""))),ISNUMBER(MATCH(LEFT(TRIM(G154&amp;""),FIND(" ",TRIM(G154&amp;""))-1),코드표!$J$2:$J$101,0)),ISNUMBER(MATCH(TRIM(RIGHT(SUBSTITUTE(TRIM(G154&amp;"")," ",REPT(" ",60)),60)),코드표!$F$2:$F$101,0))),INDEX(코드표!$K$2:$K$101,MATCH(LEFT(TRIM(G154&amp;""),FIND(" ",TRIM(G154&amp;""))-1),코드표!$J$2:$J$101,0))&amp;" "&amp;INDEX(코드표!$G$2:$G$101,MATCH(TRIM(RIGHT(SUBSTITUTE(TRIM(G154&amp;"")," ",REPT(" ",60)),60)),코드표!$F$2:$F$101,0)),"⚠"&amp;TRIM(G154&amp;""))),"⚠"&amp;TRIM(G154&amp;""))</f>
        <v/>
      </c>
      <c r="P154" s="10">
        <f>IFERROR(IF(TRIM(H154&amp;"")="","",IF(AND(ISNUMBER(FIND(" ",TRIM(H154&amp;""))),ISNUMBER(MATCH(LEFT(TRIM(H154&amp;""),FIND(" ",TRIM(H154&amp;""))-1),코드표!$J$2:$J$101,0)),ISNUMBER(MATCH(TRIM(RIGHT(SUBSTITUTE(TRIM(H154&amp;"")," ",REPT(" ",60)),60)),코드표!$F$2:$F$101,0))),INDEX(코드표!$K$2:$K$101,MATCH(LEFT(TRIM(H154&amp;""),FIND(" ",TRIM(H154&amp;""))-1),코드표!$J$2:$J$101,0))&amp;" "&amp;INDEX(코드표!$G$2:$G$101,MATCH(TRIM(RIGHT(SUBSTITUTE(TRIM(H154&amp;"")," ",REPT(" ",60)),60)),코드표!$F$2:$F$101,0)),"⚠"&amp;TRIM(H154&amp;""))),"⚠"&amp;TRIM(H154&amp;""))</f>
        <v/>
      </c>
      <c r="Q154" s="10">
        <f>IFERROR(IF(TRIM(I154&amp;"")="","",IF(AND(ISNUMBER(FIND(" ",TRIM(I154&amp;""))),ISNUMBER(MATCH(LEFT(TRIM(I154&amp;""),FIND(" ",TRIM(I154&amp;""))-1),코드표!$J$2:$J$101,0)),ISNUMBER(MATCH(TRIM(RIGHT(SUBSTITUTE(TRIM(I154&amp;"")," ",REPT(" ",60)),60)),코드표!$F$2:$F$101,0))),INDEX(코드표!$K$2:$K$101,MATCH(LEFT(TRIM(I154&amp;""),FIND(" ",TRIM(I154&amp;""))-1),코드표!$J$2:$J$101,0))&amp;" "&amp;INDEX(코드표!$G$2:$G$101,MATCH(TRIM(RIGHT(SUBSTITUTE(TRIM(I154&amp;"")," ",REPT(" ",60)),60)),코드표!$F$2:$F$101,0)),"⚠"&amp;TRIM(I154&amp;""))),"⚠"&amp;TRIM(I154&amp;""))</f>
        <v/>
      </c>
      <c r="R154" s="10">
        <f>IFERROR(IF(TRIM(J154&amp;"")="","",IF(AND(ISNUMBER(FIND(" ",TRIM(J154&amp;""))),ISNUMBER(MATCH(LEFT(TRIM(J154&amp;""),FIND(" ",TRIM(J154&amp;""))-1),코드표!$J$2:$J$101,0)),ISNUMBER(MATCH(TRIM(RIGHT(SUBSTITUTE(TRIM(J154&amp;"")," ",REPT(" ",60)),60)),코드표!$F$2:$F$101,0))),INDEX(코드표!$K$2:$K$101,MATCH(LEFT(TRIM(J154&amp;""),FIND(" ",TRIM(J154&amp;""))-1),코드표!$J$2:$J$101,0))&amp;" "&amp;INDEX(코드표!$G$2:$G$101,MATCH(TRIM(RIGHT(SUBSTITUTE(TRIM(J154&amp;"")," ",REPT(" ",60)),60)),코드표!$F$2:$F$101,0)),"⚠"&amp;TRIM(J154&amp;""))),"⚠"&amp;TRIM(J154&amp;""))</f>
        <v/>
      </c>
      <c r="S154" s="11">
        <f>IF(K154="","",IFERROR(IF(AND(ROUND((VALUE(K154&amp;"")-INT(VALUE(K154&amp;"")))*100,0)&gt;=1,ROUND((VALUE(K154&amp;"")-INT(VALUE(K154&amp;"")))*100,0)&lt;=12,INT(VALUE(K154&amp;""))&gt;=1900),DATE(INT(VALUE(K154&amp;"")),ROUND((VALUE(K154&amp;"")-INT(VALUE(K154&amp;"")))*100,0),1),K154&amp;""),K154&amp;""))</f>
        <v/>
      </c>
      <c r="T154" s="10">
        <f>COUNTIF(M154:R154,"⚠*")</f>
        <v/>
      </c>
    </row>
    <row r="155"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M155" s="10">
        <f>IFERROR(IF(TRIM(E155&amp;"")="","",IF(AND(ISNUMBER(FIND(" ",TRIM(E155&amp;""))),ISNUMBER(MATCH(LEFT(TRIM(E155&amp;""),FIND(" ",TRIM(E155&amp;""))-1),코드표!$J$2:$J$101,0)),ISNUMBER(MATCH(TRIM(RIGHT(SUBSTITUTE(TRIM(E155&amp;"")," ",REPT(" ",60)),60)),코드표!$F$2:$F$101,0))),INDEX(코드표!$K$2:$K$101,MATCH(LEFT(TRIM(E155&amp;""),FIND(" ",TRIM(E155&amp;""))-1),코드표!$J$2:$J$101,0))&amp;" "&amp;INDEX(코드표!$G$2:$G$101,MATCH(TRIM(RIGHT(SUBSTITUTE(TRIM(E155&amp;"")," ",REPT(" ",60)),60)),코드표!$F$2:$F$101,0)),"⚠"&amp;TRIM(E155&amp;""))),"⚠"&amp;TRIM(E155&amp;""))</f>
        <v/>
      </c>
      <c r="N155" s="10">
        <f>IFERROR(IF(TRIM(F155&amp;"")="","",IF(AND(ISNUMBER(FIND(" ",TRIM(F155&amp;""))),ISNUMBER(MATCH(LEFT(TRIM(F155&amp;""),FIND(" ",TRIM(F155&amp;""))-1),코드표!$J$2:$J$101,0)),ISNUMBER(MATCH(TRIM(RIGHT(SUBSTITUTE(TRIM(F155&amp;"")," ",REPT(" ",60)),60)),코드표!$F$2:$F$101,0))),INDEX(코드표!$K$2:$K$101,MATCH(LEFT(TRIM(F155&amp;""),FIND(" ",TRIM(F155&amp;""))-1),코드표!$J$2:$J$101,0))&amp;" "&amp;INDEX(코드표!$G$2:$G$101,MATCH(TRIM(RIGHT(SUBSTITUTE(TRIM(F155&amp;"")," ",REPT(" ",60)),60)),코드표!$F$2:$F$101,0)),"⚠"&amp;TRIM(F155&amp;""))),"⚠"&amp;TRIM(F155&amp;""))</f>
        <v/>
      </c>
      <c r="O155" s="10">
        <f>IFERROR(IF(TRIM(G155&amp;"")="","",IF(AND(ISNUMBER(FIND(" ",TRIM(G155&amp;""))),ISNUMBER(MATCH(LEFT(TRIM(G155&amp;""),FIND(" ",TRIM(G155&amp;""))-1),코드표!$J$2:$J$101,0)),ISNUMBER(MATCH(TRIM(RIGHT(SUBSTITUTE(TRIM(G155&amp;"")," ",REPT(" ",60)),60)),코드표!$F$2:$F$101,0))),INDEX(코드표!$K$2:$K$101,MATCH(LEFT(TRIM(G155&amp;""),FIND(" ",TRIM(G155&amp;""))-1),코드표!$J$2:$J$101,0))&amp;" "&amp;INDEX(코드표!$G$2:$G$101,MATCH(TRIM(RIGHT(SUBSTITUTE(TRIM(G155&amp;"")," ",REPT(" ",60)),60)),코드표!$F$2:$F$101,0)),"⚠"&amp;TRIM(G155&amp;""))),"⚠"&amp;TRIM(G155&amp;""))</f>
        <v/>
      </c>
      <c r="P155" s="10">
        <f>IFERROR(IF(TRIM(H155&amp;"")="","",IF(AND(ISNUMBER(FIND(" ",TRIM(H155&amp;""))),ISNUMBER(MATCH(LEFT(TRIM(H155&amp;""),FIND(" ",TRIM(H155&amp;""))-1),코드표!$J$2:$J$101,0)),ISNUMBER(MATCH(TRIM(RIGHT(SUBSTITUTE(TRIM(H155&amp;"")," ",REPT(" ",60)),60)),코드표!$F$2:$F$101,0))),INDEX(코드표!$K$2:$K$101,MATCH(LEFT(TRIM(H155&amp;""),FIND(" ",TRIM(H155&amp;""))-1),코드표!$J$2:$J$101,0))&amp;" "&amp;INDEX(코드표!$G$2:$G$101,MATCH(TRIM(RIGHT(SUBSTITUTE(TRIM(H155&amp;"")," ",REPT(" ",60)),60)),코드표!$F$2:$F$101,0)),"⚠"&amp;TRIM(H155&amp;""))),"⚠"&amp;TRIM(H155&amp;""))</f>
        <v/>
      </c>
      <c r="Q155" s="10">
        <f>IFERROR(IF(TRIM(I155&amp;"")="","",IF(AND(ISNUMBER(FIND(" ",TRIM(I155&amp;""))),ISNUMBER(MATCH(LEFT(TRIM(I155&amp;""),FIND(" ",TRIM(I155&amp;""))-1),코드표!$J$2:$J$101,0)),ISNUMBER(MATCH(TRIM(RIGHT(SUBSTITUTE(TRIM(I155&amp;"")," ",REPT(" ",60)),60)),코드표!$F$2:$F$101,0))),INDEX(코드표!$K$2:$K$101,MATCH(LEFT(TRIM(I155&amp;""),FIND(" ",TRIM(I155&amp;""))-1),코드표!$J$2:$J$101,0))&amp;" "&amp;INDEX(코드표!$G$2:$G$101,MATCH(TRIM(RIGHT(SUBSTITUTE(TRIM(I155&amp;"")," ",REPT(" ",60)),60)),코드표!$F$2:$F$101,0)),"⚠"&amp;TRIM(I155&amp;""))),"⚠"&amp;TRIM(I155&amp;""))</f>
        <v/>
      </c>
      <c r="R155" s="10">
        <f>IFERROR(IF(TRIM(J155&amp;"")="","",IF(AND(ISNUMBER(FIND(" ",TRIM(J155&amp;""))),ISNUMBER(MATCH(LEFT(TRIM(J155&amp;""),FIND(" ",TRIM(J155&amp;""))-1),코드표!$J$2:$J$101,0)),ISNUMBER(MATCH(TRIM(RIGHT(SUBSTITUTE(TRIM(J155&amp;"")," ",REPT(" ",60)),60)),코드표!$F$2:$F$101,0))),INDEX(코드표!$K$2:$K$101,MATCH(LEFT(TRIM(J155&amp;""),FIND(" ",TRIM(J155&amp;""))-1),코드표!$J$2:$J$101,0))&amp;" "&amp;INDEX(코드표!$G$2:$G$101,MATCH(TRIM(RIGHT(SUBSTITUTE(TRIM(J155&amp;"")," ",REPT(" ",60)),60)),코드표!$F$2:$F$101,0)),"⚠"&amp;TRIM(J155&amp;""))),"⚠"&amp;TRIM(J155&amp;""))</f>
        <v/>
      </c>
      <c r="S155" s="11">
        <f>IF(K155="","",IFERROR(IF(AND(ROUND((VALUE(K155&amp;"")-INT(VALUE(K155&amp;"")))*100,0)&gt;=1,ROUND((VALUE(K155&amp;"")-INT(VALUE(K155&amp;"")))*100,0)&lt;=12,INT(VALUE(K155&amp;""))&gt;=1900),DATE(INT(VALUE(K155&amp;"")),ROUND((VALUE(K155&amp;"")-INT(VALUE(K155&amp;"")))*100,0),1),K155&amp;""),K155&amp;""))</f>
        <v/>
      </c>
      <c r="T155" s="10">
        <f>COUNTIF(M155:R155,"⚠*")</f>
        <v/>
      </c>
    </row>
    <row r="156"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M156" s="10">
        <f>IFERROR(IF(TRIM(E156&amp;"")="","",IF(AND(ISNUMBER(FIND(" ",TRIM(E156&amp;""))),ISNUMBER(MATCH(LEFT(TRIM(E156&amp;""),FIND(" ",TRIM(E156&amp;""))-1),코드표!$J$2:$J$101,0)),ISNUMBER(MATCH(TRIM(RIGHT(SUBSTITUTE(TRIM(E156&amp;"")," ",REPT(" ",60)),60)),코드표!$F$2:$F$101,0))),INDEX(코드표!$K$2:$K$101,MATCH(LEFT(TRIM(E156&amp;""),FIND(" ",TRIM(E156&amp;""))-1),코드표!$J$2:$J$101,0))&amp;" "&amp;INDEX(코드표!$G$2:$G$101,MATCH(TRIM(RIGHT(SUBSTITUTE(TRIM(E156&amp;"")," ",REPT(" ",60)),60)),코드표!$F$2:$F$101,0)),"⚠"&amp;TRIM(E156&amp;""))),"⚠"&amp;TRIM(E156&amp;""))</f>
        <v/>
      </c>
      <c r="N156" s="10">
        <f>IFERROR(IF(TRIM(F156&amp;"")="","",IF(AND(ISNUMBER(FIND(" ",TRIM(F156&amp;""))),ISNUMBER(MATCH(LEFT(TRIM(F156&amp;""),FIND(" ",TRIM(F156&amp;""))-1),코드표!$J$2:$J$101,0)),ISNUMBER(MATCH(TRIM(RIGHT(SUBSTITUTE(TRIM(F156&amp;"")," ",REPT(" ",60)),60)),코드표!$F$2:$F$101,0))),INDEX(코드표!$K$2:$K$101,MATCH(LEFT(TRIM(F156&amp;""),FIND(" ",TRIM(F156&amp;""))-1),코드표!$J$2:$J$101,0))&amp;" "&amp;INDEX(코드표!$G$2:$G$101,MATCH(TRIM(RIGHT(SUBSTITUTE(TRIM(F156&amp;"")," ",REPT(" ",60)),60)),코드표!$F$2:$F$101,0)),"⚠"&amp;TRIM(F156&amp;""))),"⚠"&amp;TRIM(F156&amp;""))</f>
        <v/>
      </c>
      <c r="O156" s="10">
        <f>IFERROR(IF(TRIM(G156&amp;"")="","",IF(AND(ISNUMBER(FIND(" ",TRIM(G156&amp;""))),ISNUMBER(MATCH(LEFT(TRIM(G156&amp;""),FIND(" ",TRIM(G156&amp;""))-1),코드표!$J$2:$J$101,0)),ISNUMBER(MATCH(TRIM(RIGHT(SUBSTITUTE(TRIM(G156&amp;"")," ",REPT(" ",60)),60)),코드표!$F$2:$F$101,0))),INDEX(코드표!$K$2:$K$101,MATCH(LEFT(TRIM(G156&amp;""),FIND(" ",TRIM(G156&amp;""))-1),코드표!$J$2:$J$101,0))&amp;" "&amp;INDEX(코드표!$G$2:$G$101,MATCH(TRIM(RIGHT(SUBSTITUTE(TRIM(G156&amp;"")," ",REPT(" ",60)),60)),코드표!$F$2:$F$101,0)),"⚠"&amp;TRIM(G156&amp;""))),"⚠"&amp;TRIM(G156&amp;""))</f>
        <v/>
      </c>
      <c r="P156" s="10">
        <f>IFERROR(IF(TRIM(H156&amp;"")="","",IF(AND(ISNUMBER(FIND(" ",TRIM(H156&amp;""))),ISNUMBER(MATCH(LEFT(TRIM(H156&amp;""),FIND(" ",TRIM(H156&amp;""))-1),코드표!$J$2:$J$101,0)),ISNUMBER(MATCH(TRIM(RIGHT(SUBSTITUTE(TRIM(H156&amp;"")," ",REPT(" ",60)),60)),코드표!$F$2:$F$101,0))),INDEX(코드표!$K$2:$K$101,MATCH(LEFT(TRIM(H156&amp;""),FIND(" ",TRIM(H156&amp;""))-1),코드표!$J$2:$J$101,0))&amp;" "&amp;INDEX(코드표!$G$2:$G$101,MATCH(TRIM(RIGHT(SUBSTITUTE(TRIM(H156&amp;"")," ",REPT(" ",60)),60)),코드표!$F$2:$F$101,0)),"⚠"&amp;TRIM(H156&amp;""))),"⚠"&amp;TRIM(H156&amp;""))</f>
        <v/>
      </c>
      <c r="Q156" s="10">
        <f>IFERROR(IF(TRIM(I156&amp;"")="","",IF(AND(ISNUMBER(FIND(" ",TRIM(I156&amp;""))),ISNUMBER(MATCH(LEFT(TRIM(I156&amp;""),FIND(" ",TRIM(I156&amp;""))-1),코드표!$J$2:$J$101,0)),ISNUMBER(MATCH(TRIM(RIGHT(SUBSTITUTE(TRIM(I156&amp;"")," ",REPT(" ",60)),60)),코드표!$F$2:$F$101,0))),INDEX(코드표!$K$2:$K$101,MATCH(LEFT(TRIM(I156&amp;""),FIND(" ",TRIM(I156&amp;""))-1),코드표!$J$2:$J$101,0))&amp;" "&amp;INDEX(코드표!$G$2:$G$101,MATCH(TRIM(RIGHT(SUBSTITUTE(TRIM(I156&amp;"")," ",REPT(" ",60)),60)),코드표!$F$2:$F$101,0)),"⚠"&amp;TRIM(I156&amp;""))),"⚠"&amp;TRIM(I156&amp;""))</f>
        <v/>
      </c>
      <c r="R156" s="10">
        <f>IFERROR(IF(TRIM(J156&amp;"")="","",IF(AND(ISNUMBER(FIND(" ",TRIM(J156&amp;""))),ISNUMBER(MATCH(LEFT(TRIM(J156&amp;""),FIND(" ",TRIM(J156&amp;""))-1),코드표!$J$2:$J$101,0)),ISNUMBER(MATCH(TRIM(RIGHT(SUBSTITUTE(TRIM(J156&amp;"")," ",REPT(" ",60)),60)),코드표!$F$2:$F$101,0))),INDEX(코드표!$K$2:$K$101,MATCH(LEFT(TRIM(J156&amp;""),FIND(" ",TRIM(J156&amp;""))-1),코드표!$J$2:$J$101,0))&amp;" "&amp;INDEX(코드표!$G$2:$G$101,MATCH(TRIM(RIGHT(SUBSTITUTE(TRIM(J156&amp;"")," ",REPT(" ",60)),60)),코드표!$F$2:$F$101,0)),"⚠"&amp;TRIM(J156&amp;""))),"⚠"&amp;TRIM(J156&amp;""))</f>
        <v/>
      </c>
      <c r="S156" s="11">
        <f>IF(K156="","",IFERROR(IF(AND(ROUND((VALUE(K156&amp;"")-INT(VALUE(K156&amp;"")))*100,0)&gt;=1,ROUND((VALUE(K156&amp;"")-INT(VALUE(K156&amp;"")))*100,0)&lt;=12,INT(VALUE(K156&amp;""))&gt;=1900),DATE(INT(VALUE(K156&amp;"")),ROUND((VALUE(K156&amp;"")-INT(VALUE(K156&amp;"")))*100,0),1),K156&amp;""),K156&amp;""))</f>
        <v/>
      </c>
      <c r="T156" s="10">
        <f>COUNTIF(M156:R156,"⚠*")</f>
        <v/>
      </c>
    </row>
    <row r="157"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M157" s="10">
        <f>IFERROR(IF(TRIM(E157&amp;"")="","",IF(AND(ISNUMBER(FIND(" ",TRIM(E157&amp;""))),ISNUMBER(MATCH(LEFT(TRIM(E157&amp;""),FIND(" ",TRIM(E157&amp;""))-1),코드표!$J$2:$J$101,0)),ISNUMBER(MATCH(TRIM(RIGHT(SUBSTITUTE(TRIM(E157&amp;"")," ",REPT(" ",60)),60)),코드표!$F$2:$F$101,0))),INDEX(코드표!$K$2:$K$101,MATCH(LEFT(TRIM(E157&amp;""),FIND(" ",TRIM(E157&amp;""))-1),코드표!$J$2:$J$101,0))&amp;" "&amp;INDEX(코드표!$G$2:$G$101,MATCH(TRIM(RIGHT(SUBSTITUTE(TRIM(E157&amp;"")," ",REPT(" ",60)),60)),코드표!$F$2:$F$101,0)),"⚠"&amp;TRIM(E157&amp;""))),"⚠"&amp;TRIM(E157&amp;""))</f>
        <v/>
      </c>
      <c r="N157" s="10">
        <f>IFERROR(IF(TRIM(F157&amp;"")="","",IF(AND(ISNUMBER(FIND(" ",TRIM(F157&amp;""))),ISNUMBER(MATCH(LEFT(TRIM(F157&amp;""),FIND(" ",TRIM(F157&amp;""))-1),코드표!$J$2:$J$101,0)),ISNUMBER(MATCH(TRIM(RIGHT(SUBSTITUTE(TRIM(F157&amp;"")," ",REPT(" ",60)),60)),코드표!$F$2:$F$101,0))),INDEX(코드표!$K$2:$K$101,MATCH(LEFT(TRIM(F157&amp;""),FIND(" ",TRIM(F157&amp;""))-1),코드표!$J$2:$J$101,0))&amp;" "&amp;INDEX(코드표!$G$2:$G$101,MATCH(TRIM(RIGHT(SUBSTITUTE(TRIM(F157&amp;"")," ",REPT(" ",60)),60)),코드표!$F$2:$F$101,0)),"⚠"&amp;TRIM(F157&amp;""))),"⚠"&amp;TRIM(F157&amp;""))</f>
        <v/>
      </c>
      <c r="O157" s="10">
        <f>IFERROR(IF(TRIM(G157&amp;"")="","",IF(AND(ISNUMBER(FIND(" ",TRIM(G157&amp;""))),ISNUMBER(MATCH(LEFT(TRIM(G157&amp;""),FIND(" ",TRIM(G157&amp;""))-1),코드표!$J$2:$J$101,0)),ISNUMBER(MATCH(TRIM(RIGHT(SUBSTITUTE(TRIM(G157&amp;"")," ",REPT(" ",60)),60)),코드표!$F$2:$F$101,0))),INDEX(코드표!$K$2:$K$101,MATCH(LEFT(TRIM(G157&amp;""),FIND(" ",TRIM(G157&amp;""))-1),코드표!$J$2:$J$101,0))&amp;" "&amp;INDEX(코드표!$G$2:$G$101,MATCH(TRIM(RIGHT(SUBSTITUTE(TRIM(G157&amp;"")," ",REPT(" ",60)),60)),코드표!$F$2:$F$101,0)),"⚠"&amp;TRIM(G157&amp;""))),"⚠"&amp;TRIM(G157&amp;""))</f>
        <v/>
      </c>
      <c r="P157" s="10">
        <f>IFERROR(IF(TRIM(H157&amp;"")="","",IF(AND(ISNUMBER(FIND(" ",TRIM(H157&amp;""))),ISNUMBER(MATCH(LEFT(TRIM(H157&amp;""),FIND(" ",TRIM(H157&amp;""))-1),코드표!$J$2:$J$101,0)),ISNUMBER(MATCH(TRIM(RIGHT(SUBSTITUTE(TRIM(H157&amp;"")," ",REPT(" ",60)),60)),코드표!$F$2:$F$101,0))),INDEX(코드표!$K$2:$K$101,MATCH(LEFT(TRIM(H157&amp;""),FIND(" ",TRIM(H157&amp;""))-1),코드표!$J$2:$J$101,0))&amp;" "&amp;INDEX(코드표!$G$2:$G$101,MATCH(TRIM(RIGHT(SUBSTITUTE(TRIM(H157&amp;"")," ",REPT(" ",60)),60)),코드표!$F$2:$F$101,0)),"⚠"&amp;TRIM(H157&amp;""))),"⚠"&amp;TRIM(H157&amp;""))</f>
        <v/>
      </c>
      <c r="Q157" s="10">
        <f>IFERROR(IF(TRIM(I157&amp;"")="","",IF(AND(ISNUMBER(FIND(" ",TRIM(I157&amp;""))),ISNUMBER(MATCH(LEFT(TRIM(I157&amp;""),FIND(" ",TRIM(I157&amp;""))-1),코드표!$J$2:$J$101,0)),ISNUMBER(MATCH(TRIM(RIGHT(SUBSTITUTE(TRIM(I157&amp;"")," ",REPT(" ",60)),60)),코드표!$F$2:$F$101,0))),INDEX(코드표!$K$2:$K$101,MATCH(LEFT(TRIM(I157&amp;""),FIND(" ",TRIM(I157&amp;""))-1),코드표!$J$2:$J$101,0))&amp;" "&amp;INDEX(코드표!$G$2:$G$101,MATCH(TRIM(RIGHT(SUBSTITUTE(TRIM(I157&amp;"")," ",REPT(" ",60)),60)),코드표!$F$2:$F$101,0)),"⚠"&amp;TRIM(I157&amp;""))),"⚠"&amp;TRIM(I157&amp;""))</f>
        <v/>
      </c>
      <c r="R157" s="10">
        <f>IFERROR(IF(TRIM(J157&amp;"")="","",IF(AND(ISNUMBER(FIND(" ",TRIM(J157&amp;""))),ISNUMBER(MATCH(LEFT(TRIM(J157&amp;""),FIND(" ",TRIM(J157&amp;""))-1),코드표!$J$2:$J$101,0)),ISNUMBER(MATCH(TRIM(RIGHT(SUBSTITUTE(TRIM(J157&amp;"")," ",REPT(" ",60)),60)),코드표!$F$2:$F$101,0))),INDEX(코드표!$K$2:$K$101,MATCH(LEFT(TRIM(J157&amp;""),FIND(" ",TRIM(J157&amp;""))-1),코드표!$J$2:$J$101,0))&amp;" "&amp;INDEX(코드표!$G$2:$G$101,MATCH(TRIM(RIGHT(SUBSTITUTE(TRIM(J157&amp;"")," ",REPT(" ",60)),60)),코드표!$F$2:$F$101,0)),"⚠"&amp;TRIM(J157&amp;""))),"⚠"&amp;TRIM(J157&amp;""))</f>
        <v/>
      </c>
      <c r="S157" s="11">
        <f>IF(K157="","",IFERROR(IF(AND(ROUND((VALUE(K157&amp;"")-INT(VALUE(K157&amp;"")))*100,0)&gt;=1,ROUND((VALUE(K157&amp;"")-INT(VALUE(K157&amp;"")))*100,0)&lt;=12,INT(VALUE(K157&amp;""))&gt;=1900),DATE(INT(VALUE(K157&amp;"")),ROUND((VALUE(K157&amp;"")-INT(VALUE(K157&amp;"")))*100,0),1),K157&amp;""),K157&amp;""))</f>
        <v/>
      </c>
      <c r="T157" s="10">
        <f>COUNTIF(M157:R157,"⚠*")</f>
        <v/>
      </c>
    </row>
    <row r="158"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M158" s="10">
        <f>IFERROR(IF(TRIM(E158&amp;"")="","",IF(AND(ISNUMBER(FIND(" ",TRIM(E158&amp;""))),ISNUMBER(MATCH(LEFT(TRIM(E158&amp;""),FIND(" ",TRIM(E158&amp;""))-1),코드표!$J$2:$J$101,0)),ISNUMBER(MATCH(TRIM(RIGHT(SUBSTITUTE(TRIM(E158&amp;"")," ",REPT(" ",60)),60)),코드표!$F$2:$F$101,0))),INDEX(코드표!$K$2:$K$101,MATCH(LEFT(TRIM(E158&amp;""),FIND(" ",TRIM(E158&amp;""))-1),코드표!$J$2:$J$101,0))&amp;" "&amp;INDEX(코드표!$G$2:$G$101,MATCH(TRIM(RIGHT(SUBSTITUTE(TRIM(E158&amp;"")," ",REPT(" ",60)),60)),코드표!$F$2:$F$101,0)),"⚠"&amp;TRIM(E158&amp;""))),"⚠"&amp;TRIM(E158&amp;""))</f>
        <v/>
      </c>
      <c r="N158" s="10">
        <f>IFERROR(IF(TRIM(F158&amp;"")="","",IF(AND(ISNUMBER(FIND(" ",TRIM(F158&amp;""))),ISNUMBER(MATCH(LEFT(TRIM(F158&amp;""),FIND(" ",TRIM(F158&amp;""))-1),코드표!$J$2:$J$101,0)),ISNUMBER(MATCH(TRIM(RIGHT(SUBSTITUTE(TRIM(F158&amp;"")," ",REPT(" ",60)),60)),코드표!$F$2:$F$101,0))),INDEX(코드표!$K$2:$K$101,MATCH(LEFT(TRIM(F158&amp;""),FIND(" ",TRIM(F158&amp;""))-1),코드표!$J$2:$J$101,0))&amp;" "&amp;INDEX(코드표!$G$2:$G$101,MATCH(TRIM(RIGHT(SUBSTITUTE(TRIM(F158&amp;"")," ",REPT(" ",60)),60)),코드표!$F$2:$F$101,0)),"⚠"&amp;TRIM(F158&amp;""))),"⚠"&amp;TRIM(F158&amp;""))</f>
        <v/>
      </c>
      <c r="O158" s="10">
        <f>IFERROR(IF(TRIM(G158&amp;"")="","",IF(AND(ISNUMBER(FIND(" ",TRIM(G158&amp;""))),ISNUMBER(MATCH(LEFT(TRIM(G158&amp;""),FIND(" ",TRIM(G158&amp;""))-1),코드표!$J$2:$J$101,0)),ISNUMBER(MATCH(TRIM(RIGHT(SUBSTITUTE(TRIM(G158&amp;"")," ",REPT(" ",60)),60)),코드표!$F$2:$F$101,0))),INDEX(코드표!$K$2:$K$101,MATCH(LEFT(TRIM(G158&amp;""),FIND(" ",TRIM(G158&amp;""))-1),코드표!$J$2:$J$101,0))&amp;" "&amp;INDEX(코드표!$G$2:$G$101,MATCH(TRIM(RIGHT(SUBSTITUTE(TRIM(G158&amp;"")," ",REPT(" ",60)),60)),코드표!$F$2:$F$101,0)),"⚠"&amp;TRIM(G158&amp;""))),"⚠"&amp;TRIM(G158&amp;""))</f>
        <v/>
      </c>
      <c r="P158" s="10">
        <f>IFERROR(IF(TRIM(H158&amp;"")="","",IF(AND(ISNUMBER(FIND(" ",TRIM(H158&amp;""))),ISNUMBER(MATCH(LEFT(TRIM(H158&amp;""),FIND(" ",TRIM(H158&amp;""))-1),코드표!$J$2:$J$101,0)),ISNUMBER(MATCH(TRIM(RIGHT(SUBSTITUTE(TRIM(H158&amp;"")," ",REPT(" ",60)),60)),코드표!$F$2:$F$101,0))),INDEX(코드표!$K$2:$K$101,MATCH(LEFT(TRIM(H158&amp;""),FIND(" ",TRIM(H158&amp;""))-1),코드표!$J$2:$J$101,0))&amp;" "&amp;INDEX(코드표!$G$2:$G$101,MATCH(TRIM(RIGHT(SUBSTITUTE(TRIM(H158&amp;"")," ",REPT(" ",60)),60)),코드표!$F$2:$F$101,0)),"⚠"&amp;TRIM(H158&amp;""))),"⚠"&amp;TRIM(H158&amp;""))</f>
        <v/>
      </c>
      <c r="Q158" s="10">
        <f>IFERROR(IF(TRIM(I158&amp;"")="","",IF(AND(ISNUMBER(FIND(" ",TRIM(I158&amp;""))),ISNUMBER(MATCH(LEFT(TRIM(I158&amp;""),FIND(" ",TRIM(I158&amp;""))-1),코드표!$J$2:$J$101,0)),ISNUMBER(MATCH(TRIM(RIGHT(SUBSTITUTE(TRIM(I158&amp;"")," ",REPT(" ",60)),60)),코드표!$F$2:$F$101,0))),INDEX(코드표!$K$2:$K$101,MATCH(LEFT(TRIM(I158&amp;""),FIND(" ",TRIM(I158&amp;""))-1),코드표!$J$2:$J$101,0))&amp;" "&amp;INDEX(코드표!$G$2:$G$101,MATCH(TRIM(RIGHT(SUBSTITUTE(TRIM(I158&amp;"")," ",REPT(" ",60)),60)),코드표!$F$2:$F$101,0)),"⚠"&amp;TRIM(I158&amp;""))),"⚠"&amp;TRIM(I158&amp;""))</f>
        <v/>
      </c>
      <c r="R158" s="10">
        <f>IFERROR(IF(TRIM(J158&amp;"")="","",IF(AND(ISNUMBER(FIND(" ",TRIM(J158&amp;""))),ISNUMBER(MATCH(LEFT(TRIM(J158&amp;""),FIND(" ",TRIM(J158&amp;""))-1),코드표!$J$2:$J$101,0)),ISNUMBER(MATCH(TRIM(RIGHT(SUBSTITUTE(TRIM(J158&amp;"")," ",REPT(" ",60)),60)),코드표!$F$2:$F$101,0))),INDEX(코드표!$K$2:$K$101,MATCH(LEFT(TRIM(J158&amp;""),FIND(" ",TRIM(J158&amp;""))-1),코드표!$J$2:$J$101,0))&amp;" "&amp;INDEX(코드표!$G$2:$G$101,MATCH(TRIM(RIGHT(SUBSTITUTE(TRIM(J158&amp;"")," ",REPT(" ",60)),60)),코드표!$F$2:$F$101,0)),"⚠"&amp;TRIM(J158&amp;""))),"⚠"&amp;TRIM(J158&amp;""))</f>
        <v/>
      </c>
      <c r="S158" s="11">
        <f>IF(K158="","",IFERROR(IF(AND(ROUND((VALUE(K158&amp;"")-INT(VALUE(K158&amp;"")))*100,0)&gt;=1,ROUND((VALUE(K158&amp;"")-INT(VALUE(K158&amp;"")))*100,0)&lt;=12,INT(VALUE(K158&amp;""))&gt;=1900),DATE(INT(VALUE(K158&amp;"")),ROUND((VALUE(K158&amp;"")-INT(VALUE(K158&amp;"")))*100,0),1),K158&amp;""),K158&amp;""))</f>
        <v/>
      </c>
      <c r="T158" s="10">
        <f>COUNTIF(M158:R158,"⚠*")</f>
        <v/>
      </c>
    </row>
    <row r="159"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M159" s="10">
        <f>IFERROR(IF(TRIM(E159&amp;"")="","",IF(AND(ISNUMBER(FIND(" ",TRIM(E159&amp;""))),ISNUMBER(MATCH(LEFT(TRIM(E159&amp;""),FIND(" ",TRIM(E159&amp;""))-1),코드표!$J$2:$J$101,0)),ISNUMBER(MATCH(TRIM(RIGHT(SUBSTITUTE(TRIM(E159&amp;"")," ",REPT(" ",60)),60)),코드표!$F$2:$F$101,0))),INDEX(코드표!$K$2:$K$101,MATCH(LEFT(TRIM(E159&amp;""),FIND(" ",TRIM(E159&amp;""))-1),코드표!$J$2:$J$101,0))&amp;" "&amp;INDEX(코드표!$G$2:$G$101,MATCH(TRIM(RIGHT(SUBSTITUTE(TRIM(E159&amp;"")," ",REPT(" ",60)),60)),코드표!$F$2:$F$101,0)),"⚠"&amp;TRIM(E159&amp;""))),"⚠"&amp;TRIM(E159&amp;""))</f>
        <v/>
      </c>
      <c r="N159" s="10">
        <f>IFERROR(IF(TRIM(F159&amp;"")="","",IF(AND(ISNUMBER(FIND(" ",TRIM(F159&amp;""))),ISNUMBER(MATCH(LEFT(TRIM(F159&amp;""),FIND(" ",TRIM(F159&amp;""))-1),코드표!$J$2:$J$101,0)),ISNUMBER(MATCH(TRIM(RIGHT(SUBSTITUTE(TRIM(F159&amp;"")," ",REPT(" ",60)),60)),코드표!$F$2:$F$101,0))),INDEX(코드표!$K$2:$K$101,MATCH(LEFT(TRIM(F159&amp;""),FIND(" ",TRIM(F159&amp;""))-1),코드표!$J$2:$J$101,0))&amp;" "&amp;INDEX(코드표!$G$2:$G$101,MATCH(TRIM(RIGHT(SUBSTITUTE(TRIM(F159&amp;"")," ",REPT(" ",60)),60)),코드표!$F$2:$F$101,0)),"⚠"&amp;TRIM(F159&amp;""))),"⚠"&amp;TRIM(F159&amp;""))</f>
        <v/>
      </c>
      <c r="O159" s="10">
        <f>IFERROR(IF(TRIM(G159&amp;"")="","",IF(AND(ISNUMBER(FIND(" ",TRIM(G159&amp;""))),ISNUMBER(MATCH(LEFT(TRIM(G159&amp;""),FIND(" ",TRIM(G159&amp;""))-1),코드표!$J$2:$J$101,0)),ISNUMBER(MATCH(TRIM(RIGHT(SUBSTITUTE(TRIM(G159&amp;"")," ",REPT(" ",60)),60)),코드표!$F$2:$F$101,0))),INDEX(코드표!$K$2:$K$101,MATCH(LEFT(TRIM(G159&amp;""),FIND(" ",TRIM(G159&amp;""))-1),코드표!$J$2:$J$101,0))&amp;" "&amp;INDEX(코드표!$G$2:$G$101,MATCH(TRIM(RIGHT(SUBSTITUTE(TRIM(G159&amp;"")," ",REPT(" ",60)),60)),코드표!$F$2:$F$101,0)),"⚠"&amp;TRIM(G159&amp;""))),"⚠"&amp;TRIM(G159&amp;""))</f>
        <v/>
      </c>
      <c r="P159" s="10">
        <f>IFERROR(IF(TRIM(H159&amp;"")="","",IF(AND(ISNUMBER(FIND(" ",TRIM(H159&amp;""))),ISNUMBER(MATCH(LEFT(TRIM(H159&amp;""),FIND(" ",TRIM(H159&amp;""))-1),코드표!$J$2:$J$101,0)),ISNUMBER(MATCH(TRIM(RIGHT(SUBSTITUTE(TRIM(H159&amp;"")," ",REPT(" ",60)),60)),코드표!$F$2:$F$101,0))),INDEX(코드표!$K$2:$K$101,MATCH(LEFT(TRIM(H159&amp;""),FIND(" ",TRIM(H159&amp;""))-1),코드표!$J$2:$J$101,0))&amp;" "&amp;INDEX(코드표!$G$2:$G$101,MATCH(TRIM(RIGHT(SUBSTITUTE(TRIM(H159&amp;"")," ",REPT(" ",60)),60)),코드표!$F$2:$F$101,0)),"⚠"&amp;TRIM(H159&amp;""))),"⚠"&amp;TRIM(H159&amp;""))</f>
        <v/>
      </c>
      <c r="Q159" s="10">
        <f>IFERROR(IF(TRIM(I159&amp;"")="","",IF(AND(ISNUMBER(FIND(" ",TRIM(I159&amp;""))),ISNUMBER(MATCH(LEFT(TRIM(I159&amp;""),FIND(" ",TRIM(I159&amp;""))-1),코드표!$J$2:$J$101,0)),ISNUMBER(MATCH(TRIM(RIGHT(SUBSTITUTE(TRIM(I159&amp;"")," ",REPT(" ",60)),60)),코드표!$F$2:$F$101,0))),INDEX(코드표!$K$2:$K$101,MATCH(LEFT(TRIM(I159&amp;""),FIND(" ",TRIM(I159&amp;""))-1),코드표!$J$2:$J$101,0))&amp;" "&amp;INDEX(코드표!$G$2:$G$101,MATCH(TRIM(RIGHT(SUBSTITUTE(TRIM(I159&amp;"")," ",REPT(" ",60)),60)),코드표!$F$2:$F$101,0)),"⚠"&amp;TRIM(I159&amp;""))),"⚠"&amp;TRIM(I159&amp;""))</f>
        <v/>
      </c>
      <c r="R159" s="10">
        <f>IFERROR(IF(TRIM(J159&amp;"")="","",IF(AND(ISNUMBER(FIND(" ",TRIM(J159&amp;""))),ISNUMBER(MATCH(LEFT(TRIM(J159&amp;""),FIND(" ",TRIM(J159&amp;""))-1),코드표!$J$2:$J$101,0)),ISNUMBER(MATCH(TRIM(RIGHT(SUBSTITUTE(TRIM(J159&amp;"")," ",REPT(" ",60)),60)),코드표!$F$2:$F$101,0))),INDEX(코드표!$K$2:$K$101,MATCH(LEFT(TRIM(J159&amp;""),FIND(" ",TRIM(J159&amp;""))-1),코드표!$J$2:$J$101,0))&amp;" "&amp;INDEX(코드표!$G$2:$G$101,MATCH(TRIM(RIGHT(SUBSTITUTE(TRIM(J159&amp;"")," ",REPT(" ",60)),60)),코드표!$F$2:$F$101,0)),"⚠"&amp;TRIM(J159&amp;""))),"⚠"&amp;TRIM(J159&amp;""))</f>
        <v/>
      </c>
      <c r="S159" s="11">
        <f>IF(K159="","",IFERROR(IF(AND(ROUND((VALUE(K159&amp;"")-INT(VALUE(K159&amp;"")))*100,0)&gt;=1,ROUND((VALUE(K159&amp;"")-INT(VALUE(K159&amp;"")))*100,0)&lt;=12,INT(VALUE(K159&amp;""))&gt;=1900),DATE(INT(VALUE(K159&amp;"")),ROUND((VALUE(K159&amp;"")-INT(VALUE(K159&amp;"")))*100,0),1),K159&amp;""),K159&amp;""))</f>
        <v/>
      </c>
      <c r="T159" s="10">
        <f>COUNTIF(M159:R159,"⚠*")</f>
        <v/>
      </c>
    </row>
    <row r="160"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M160" s="10">
        <f>IFERROR(IF(TRIM(E160&amp;"")="","",IF(AND(ISNUMBER(FIND(" ",TRIM(E160&amp;""))),ISNUMBER(MATCH(LEFT(TRIM(E160&amp;""),FIND(" ",TRIM(E160&amp;""))-1),코드표!$J$2:$J$101,0)),ISNUMBER(MATCH(TRIM(RIGHT(SUBSTITUTE(TRIM(E160&amp;"")," ",REPT(" ",60)),60)),코드표!$F$2:$F$101,0))),INDEX(코드표!$K$2:$K$101,MATCH(LEFT(TRIM(E160&amp;""),FIND(" ",TRIM(E160&amp;""))-1),코드표!$J$2:$J$101,0))&amp;" "&amp;INDEX(코드표!$G$2:$G$101,MATCH(TRIM(RIGHT(SUBSTITUTE(TRIM(E160&amp;"")," ",REPT(" ",60)),60)),코드표!$F$2:$F$101,0)),"⚠"&amp;TRIM(E160&amp;""))),"⚠"&amp;TRIM(E160&amp;""))</f>
        <v/>
      </c>
      <c r="N160" s="10">
        <f>IFERROR(IF(TRIM(F160&amp;"")="","",IF(AND(ISNUMBER(FIND(" ",TRIM(F160&amp;""))),ISNUMBER(MATCH(LEFT(TRIM(F160&amp;""),FIND(" ",TRIM(F160&amp;""))-1),코드표!$J$2:$J$101,0)),ISNUMBER(MATCH(TRIM(RIGHT(SUBSTITUTE(TRIM(F160&amp;"")," ",REPT(" ",60)),60)),코드표!$F$2:$F$101,0))),INDEX(코드표!$K$2:$K$101,MATCH(LEFT(TRIM(F160&amp;""),FIND(" ",TRIM(F160&amp;""))-1),코드표!$J$2:$J$101,0))&amp;" "&amp;INDEX(코드표!$G$2:$G$101,MATCH(TRIM(RIGHT(SUBSTITUTE(TRIM(F160&amp;"")," ",REPT(" ",60)),60)),코드표!$F$2:$F$101,0)),"⚠"&amp;TRIM(F160&amp;""))),"⚠"&amp;TRIM(F160&amp;""))</f>
        <v/>
      </c>
      <c r="O160" s="10">
        <f>IFERROR(IF(TRIM(G160&amp;"")="","",IF(AND(ISNUMBER(FIND(" ",TRIM(G160&amp;""))),ISNUMBER(MATCH(LEFT(TRIM(G160&amp;""),FIND(" ",TRIM(G160&amp;""))-1),코드표!$J$2:$J$101,0)),ISNUMBER(MATCH(TRIM(RIGHT(SUBSTITUTE(TRIM(G160&amp;"")," ",REPT(" ",60)),60)),코드표!$F$2:$F$101,0))),INDEX(코드표!$K$2:$K$101,MATCH(LEFT(TRIM(G160&amp;""),FIND(" ",TRIM(G160&amp;""))-1),코드표!$J$2:$J$101,0))&amp;" "&amp;INDEX(코드표!$G$2:$G$101,MATCH(TRIM(RIGHT(SUBSTITUTE(TRIM(G160&amp;"")," ",REPT(" ",60)),60)),코드표!$F$2:$F$101,0)),"⚠"&amp;TRIM(G160&amp;""))),"⚠"&amp;TRIM(G160&amp;""))</f>
        <v/>
      </c>
      <c r="P160" s="10">
        <f>IFERROR(IF(TRIM(H160&amp;"")="","",IF(AND(ISNUMBER(FIND(" ",TRIM(H160&amp;""))),ISNUMBER(MATCH(LEFT(TRIM(H160&amp;""),FIND(" ",TRIM(H160&amp;""))-1),코드표!$J$2:$J$101,0)),ISNUMBER(MATCH(TRIM(RIGHT(SUBSTITUTE(TRIM(H160&amp;"")," ",REPT(" ",60)),60)),코드표!$F$2:$F$101,0))),INDEX(코드표!$K$2:$K$101,MATCH(LEFT(TRIM(H160&amp;""),FIND(" ",TRIM(H160&amp;""))-1),코드표!$J$2:$J$101,0))&amp;" "&amp;INDEX(코드표!$G$2:$G$101,MATCH(TRIM(RIGHT(SUBSTITUTE(TRIM(H160&amp;"")," ",REPT(" ",60)),60)),코드표!$F$2:$F$101,0)),"⚠"&amp;TRIM(H160&amp;""))),"⚠"&amp;TRIM(H160&amp;""))</f>
        <v/>
      </c>
      <c r="Q160" s="10">
        <f>IFERROR(IF(TRIM(I160&amp;"")="","",IF(AND(ISNUMBER(FIND(" ",TRIM(I160&amp;""))),ISNUMBER(MATCH(LEFT(TRIM(I160&amp;""),FIND(" ",TRIM(I160&amp;""))-1),코드표!$J$2:$J$101,0)),ISNUMBER(MATCH(TRIM(RIGHT(SUBSTITUTE(TRIM(I160&amp;"")," ",REPT(" ",60)),60)),코드표!$F$2:$F$101,0))),INDEX(코드표!$K$2:$K$101,MATCH(LEFT(TRIM(I160&amp;""),FIND(" ",TRIM(I160&amp;""))-1),코드표!$J$2:$J$101,0))&amp;" "&amp;INDEX(코드표!$G$2:$G$101,MATCH(TRIM(RIGHT(SUBSTITUTE(TRIM(I160&amp;"")," ",REPT(" ",60)),60)),코드표!$F$2:$F$101,0)),"⚠"&amp;TRIM(I160&amp;""))),"⚠"&amp;TRIM(I160&amp;""))</f>
        <v/>
      </c>
      <c r="R160" s="10">
        <f>IFERROR(IF(TRIM(J160&amp;"")="","",IF(AND(ISNUMBER(FIND(" ",TRIM(J160&amp;""))),ISNUMBER(MATCH(LEFT(TRIM(J160&amp;""),FIND(" ",TRIM(J160&amp;""))-1),코드표!$J$2:$J$101,0)),ISNUMBER(MATCH(TRIM(RIGHT(SUBSTITUTE(TRIM(J160&amp;"")," ",REPT(" ",60)),60)),코드표!$F$2:$F$101,0))),INDEX(코드표!$K$2:$K$101,MATCH(LEFT(TRIM(J160&amp;""),FIND(" ",TRIM(J160&amp;""))-1),코드표!$J$2:$J$101,0))&amp;" "&amp;INDEX(코드표!$G$2:$G$101,MATCH(TRIM(RIGHT(SUBSTITUTE(TRIM(J160&amp;"")," ",REPT(" ",60)),60)),코드표!$F$2:$F$101,0)),"⚠"&amp;TRIM(J160&amp;""))),"⚠"&amp;TRIM(J160&amp;""))</f>
        <v/>
      </c>
      <c r="S160" s="11">
        <f>IF(K160="","",IFERROR(IF(AND(ROUND((VALUE(K160&amp;"")-INT(VALUE(K160&amp;"")))*100,0)&gt;=1,ROUND((VALUE(K160&amp;"")-INT(VALUE(K160&amp;"")))*100,0)&lt;=12,INT(VALUE(K160&amp;""))&gt;=1900),DATE(INT(VALUE(K160&amp;"")),ROUND((VALUE(K160&amp;"")-INT(VALUE(K160&amp;"")))*100,0),1),K160&amp;""),K160&amp;""))</f>
        <v/>
      </c>
      <c r="T160" s="10">
        <f>COUNTIF(M160:R160,"⚠*")</f>
        <v/>
      </c>
    </row>
    <row r="161"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M161" s="10">
        <f>IFERROR(IF(TRIM(E161&amp;"")="","",IF(AND(ISNUMBER(FIND(" ",TRIM(E161&amp;""))),ISNUMBER(MATCH(LEFT(TRIM(E161&amp;""),FIND(" ",TRIM(E161&amp;""))-1),코드표!$J$2:$J$101,0)),ISNUMBER(MATCH(TRIM(RIGHT(SUBSTITUTE(TRIM(E161&amp;"")," ",REPT(" ",60)),60)),코드표!$F$2:$F$101,0))),INDEX(코드표!$K$2:$K$101,MATCH(LEFT(TRIM(E161&amp;""),FIND(" ",TRIM(E161&amp;""))-1),코드표!$J$2:$J$101,0))&amp;" "&amp;INDEX(코드표!$G$2:$G$101,MATCH(TRIM(RIGHT(SUBSTITUTE(TRIM(E161&amp;"")," ",REPT(" ",60)),60)),코드표!$F$2:$F$101,0)),"⚠"&amp;TRIM(E161&amp;""))),"⚠"&amp;TRIM(E161&amp;""))</f>
        <v/>
      </c>
      <c r="N161" s="10">
        <f>IFERROR(IF(TRIM(F161&amp;"")="","",IF(AND(ISNUMBER(FIND(" ",TRIM(F161&amp;""))),ISNUMBER(MATCH(LEFT(TRIM(F161&amp;""),FIND(" ",TRIM(F161&amp;""))-1),코드표!$J$2:$J$101,0)),ISNUMBER(MATCH(TRIM(RIGHT(SUBSTITUTE(TRIM(F161&amp;"")," ",REPT(" ",60)),60)),코드표!$F$2:$F$101,0))),INDEX(코드표!$K$2:$K$101,MATCH(LEFT(TRIM(F161&amp;""),FIND(" ",TRIM(F161&amp;""))-1),코드표!$J$2:$J$101,0))&amp;" "&amp;INDEX(코드표!$G$2:$G$101,MATCH(TRIM(RIGHT(SUBSTITUTE(TRIM(F161&amp;"")," ",REPT(" ",60)),60)),코드표!$F$2:$F$101,0)),"⚠"&amp;TRIM(F161&amp;""))),"⚠"&amp;TRIM(F161&amp;""))</f>
        <v/>
      </c>
      <c r="O161" s="10">
        <f>IFERROR(IF(TRIM(G161&amp;"")="","",IF(AND(ISNUMBER(FIND(" ",TRIM(G161&amp;""))),ISNUMBER(MATCH(LEFT(TRIM(G161&amp;""),FIND(" ",TRIM(G161&amp;""))-1),코드표!$J$2:$J$101,0)),ISNUMBER(MATCH(TRIM(RIGHT(SUBSTITUTE(TRIM(G161&amp;"")," ",REPT(" ",60)),60)),코드표!$F$2:$F$101,0))),INDEX(코드표!$K$2:$K$101,MATCH(LEFT(TRIM(G161&amp;""),FIND(" ",TRIM(G161&amp;""))-1),코드표!$J$2:$J$101,0))&amp;" "&amp;INDEX(코드표!$G$2:$G$101,MATCH(TRIM(RIGHT(SUBSTITUTE(TRIM(G161&amp;"")," ",REPT(" ",60)),60)),코드표!$F$2:$F$101,0)),"⚠"&amp;TRIM(G161&amp;""))),"⚠"&amp;TRIM(G161&amp;""))</f>
        <v/>
      </c>
      <c r="P161" s="10">
        <f>IFERROR(IF(TRIM(H161&amp;"")="","",IF(AND(ISNUMBER(FIND(" ",TRIM(H161&amp;""))),ISNUMBER(MATCH(LEFT(TRIM(H161&amp;""),FIND(" ",TRIM(H161&amp;""))-1),코드표!$J$2:$J$101,0)),ISNUMBER(MATCH(TRIM(RIGHT(SUBSTITUTE(TRIM(H161&amp;"")," ",REPT(" ",60)),60)),코드표!$F$2:$F$101,0))),INDEX(코드표!$K$2:$K$101,MATCH(LEFT(TRIM(H161&amp;""),FIND(" ",TRIM(H161&amp;""))-1),코드표!$J$2:$J$101,0))&amp;" "&amp;INDEX(코드표!$G$2:$G$101,MATCH(TRIM(RIGHT(SUBSTITUTE(TRIM(H161&amp;"")," ",REPT(" ",60)),60)),코드표!$F$2:$F$101,0)),"⚠"&amp;TRIM(H161&amp;""))),"⚠"&amp;TRIM(H161&amp;""))</f>
        <v/>
      </c>
      <c r="Q161" s="10">
        <f>IFERROR(IF(TRIM(I161&amp;"")="","",IF(AND(ISNUMBER(FIND(" ",TRIM(I161&amp;""))),ISNUMBER(MATCH(LEFT(TRIM(I161&amp;""),FIND(" ",TRIM(I161&amp;""))-1),코드표!$J$2:$J$101,0)),ISNUMBER(MATCH(TRIM(RIGHT(SUBSTITUTE(TRIM(I161&amp;"")," ",REPT(" ",60)),60)),코드표!$F$2:$F$101,0))),INDEX(코드표!$K$2:$K$101,MATCH(LEFT(TRIM(I161&amp;""),FIND(" ",TRIM(I161&amp;""))-1),코드표!$J$2:$J$101,0))&amp;" "&amp;INDEX(코드표!$G$2:$G$101,MATCH(TRIM(RIGHT(SUBSTITUTE(TRIM(I161&amp;"")," ",REPT(" ",60)),60)),코드표!$F$2:$F$101,0)),"⚠"&amp;TRIM(I161&amp;""))),"⚠"&amp;TRIM(I161&amp;""))</f>
        <v/>
      </c>
      <c r="R161" s="10">
        <f>IFERROR(IF(TRIM(J161&amp;"")="","",IF(AND(ISNUMBER(FIND(" ",TRIM(J161&amp;""))),ISNUMBER(MATCH(LEFT(TRIM(J161&amp;""),FIND(" ",TRIM(J161&amp;""))-1),코드표!$J$2:$J$101,0)),ISNUMBER(MATCH(TRIM(RIGHT(SUBSTITUTE(TRIM(J161&amp;"")," ",REPT(" ",60)),60)),코드표!$F$2:$F$101,0))),INDEX(코드표!$K$2:$K$101,MATCH(LEFT(TRIM(J161&amp;""),FIND(" ",TRIM(J161&amp;""))-1),코드표!$J$2:$J$101,0))&amp;" "&amp;INDEX(코드표!$G$2:$G$101,MATCH(TRIM(RIGHT(SUBSTITUTE(TRIM(J161&amp;"")," ",REPT(" ",60)),60)),코드표!$F$2:$F$101,0)),"⚠"&amp;TRIM(J161&amp;""))),"⚠"&amp;TRIM(J161&amp;""))</f>
        <v/>
      </c>
      <c r="S161" s="11">
        <f>IF(K161="","",IFERROR(IF(AND(ROUND((VALUE(K161&amp;"")-INT(VALUE(K161&amp;"")))*100,0)&gt;=1,ROUND((VALUE(K161&amp;"")-INT(VALUE(K161&amp;"")))*100,0)&lt;=12,INT(VALUE(K161&amp;""))&gt;=1900),DATE(INT(VALUE(K161&amp;"")),ROUND((VALUE(K161&amp;"")-INT(VALUE(K161&amp;"")))*100,0),1),K161&amp;""),K161&amp;""))</f>
        <v/>
      </c>
      <c r="T161" s="10">
        <f>COUNTIF(M161:R161,"⚠*")</f>
        <v/>
      </c>
    </row>
    <row r="162"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M162" s="10">
        <f>IFERROR(IF(TRIM(E162&amp;"")="","",IF(AND(ISNUMBER(FIND(" ",TRIM(E162&amp;""))),ISNUMBER(MATCH(LEFT(TRIM(E162&amp;""),FIND(" ",TRIM(E162&amp;""))-1),코드표!$J$2:$J$101,0)),ISNUMBER(MATCH(TRIM(RIGHT(SUBSTITUTE(TRIM(E162&amp;"")," ",REPT(" ",60)),60)),코드표!$F$2:$F$101,0))),INDEX(코드표!$K$2:$K$101,MATCH(LEFT(TRIM(E162&amp;""),FIND(" ",TRIM(E162&amp;""))-1),코드표!$J$2:$J$101,0))&amp;" "&amp;INDEX(코드표!$G$2:$G$101,MATCH(TRIM(RIGHT(SUBSTITUTE(TRIM(E162&amp;"")," ",REPT(" ",60)),60)),코드표!$F$2:$F$101,0)),"⚠"&amp;TRIM(E162&amp;""))),"⚠"&amp;TRIM(E162&amp;""))</f>
        <v/>
      </c>
      <c r="N162" s="10">
        <f>IFERROR(IF(TRIM(F162&amp;"")="","",IF(AND(ISNUMBER(FIND(" ",TRIM(F162&amp;""))),ISNUMBER(MATCH(LEFT(TRIM(F162&amp;""),FIND(" ",TRIM(F162&amp;""))-1),코드표!$J$2:$J$101,0)),ISNUMBER(MATCH(TRIM(RIGHT(SUBSTITUTE(TRIM(F162&amp;"")," ",REPT(" ",60)),60)),코드표!$F$2:$F$101,0))),INDEX(코드표!$K$2:$K$101,MATCH(LEFT(TRIM(F162&amp;""),FIND(" ",TRIM(F162&amp;""))-1),코드표!$J$2:$J$101,0))&amp;" "&amp;INDEX(코드표!$G$2:$G$101,MATCH(TRIM(RIGHT(SUBSTITUTE(TRIM(F162&amp;"")," ",REPT(" ",60)),60)),코드표!$F$2:$F$101,0)),"⚠"&amp;TRIM(F162&amp;""))),"⚠"&amp;TRIM(F162&amp;""))</f>
        <v/>
      </c>
      <c r="O162" s="10">
        <f>IFERROR(IF(TRIM(G162&amp;"")="","",IF(AND(ISNUMBER(FIND(" ",TRIM(G162&amp;""))),ISNUMBER(MATCH(LEFT(TRIM(G162&amp;""),FIND(" ",TRIM(G162&amp;""))-1),코드표!$J$2:$J$101,0)),ISNUMBER(MATCH(TRIM(RIGHT(SUBSTITUTE(TRIM(G162&amp;"")," ",REPT(" ",60)),60)),코드표!$F$2:$F$101,0))),INDEX(코드표!$K$2:$K$101,MATCH(LEFT(TRIM(G162&amp;""),FIND(" ",TRIM(G162&amp;""))-1),코드표!$J$2:$J$101,0))&amp;" "&amp;INDEX(코드표!$G$2:$G$101,MATCH(TRIM(RIGHT(SUBSTITUTE(TRIM(G162&amp;"")," ",REPT(" ",60)),60)),코드표!$F$2:$F$101,0)),"⚠"&amp;TRIM(G162&amp;""))),"⚠"&amp;TRIM(G162&amp;""))</f>
        <v/>
      </c>
      <c r="P162" s="10">
        <f>IFERROR(IF(TRIM(H162&amp;"")="","",IF(AND(ISNUMBER(FIND(" ",TRIM(H162&amp;""))),ISNUMBER(MATCH(LEFT(TRIM(H162&amp;""),FIND(" ",TRIM(H162&amp;""))-1),코드표!$J$2:$J$101,0)),ISNUMBER(MATCH(TRIM(RIGHT(SUBSTITUTE(TRIM(H162&amp;"")," ",REPT(" ",60)),60)),코드표!$F$2:$F$101,0))),INDEX(코드표!$K$2:$K$101,MATCH(LEFT(TRIM(H162&amp;""),FIND(" ",TRIM(H162&amp;""))-1),코드표!$J$2:$J$101,0))&amp;" "&amp;INDEX(코드표!$G$2:$G$101,MATCH(TRIM(RIGHT(SUBSTITUTE(TRIM(H162&amp;"")," ",REPT(" ",60)),60)),코드표!$F$2:$F$101,0)),"⚠"&amp;TRIM(H162&amp;""))),"⚠"&amp;TRIM(H162&amp;""))</f>
        <v/>
      </c>
      <c r="Q162" s="10">
        <f>IFERROR(IF(TRIM(I162&amp;"")="","",IF(AND(ISNUMBER(FIND(" ",TRIM(I162&amp;""))),ISNUMBER(MATCH(LEFT(TRIM(I162&amp;""),FIND(" ",TRIM(I162&amp;""))-1),코드표!$J$2:$J$101,0)),ISNUMBER(MATCH(TRIM(RIGHT(SUBSTITUTE(TRIM(I162&amp;"")," ",REPT(" ",60)),60)),코드표!$F$2:$F$101,0))),INDEX(코드표!$K$2:$K$101,MATCH(LEFT(TRIM(I162&amp;""),FIND(" ",TRIM(I162&amp;""))-1),코드표!$J$2:$J$101,0))&amp;" "&amp;INDEX(코드표!$G$2:$G$101,MATCH(TRIM(RIGHT(SUBSTITUTE(TRIM(I162&amp;"")," ",REPT(" ",60)),60)),코드표!$F$2:$F$101,0)),"⚠"&amp;TRIM(I162&amp;""))),"⚠"&amp;TRIM(I162&amp;""))</f>
        <v/>
      </c>
      <c r="R162" s="10">
        <f>IFERROR(IF(TRIM(J162&amp;"")="","",IF(AND(ISNUMBER(FIND(" ",TRIM(J162&amp;""))),ISNUMBER(MATCH(LEFT(TRIM(J162&amp;""),FIND(" ",TRIM(J162&amp;""))-1),코드표!$J$2:$J$101,0)),ISNUMBER(MATCH(TRIM(RIGHT(SUBSTITUTE(TRIM(J162&amp;"")," ",REPT(" ",60)),60)),코드표!$F$2:$F$101,0))),INDEX(코드표!$K$2:$K$101,MATCH(LEFT(TRIM(J162&amp;""),FIND(" ",TRIM(J162&amp;""))-1),코드표!$J$2:$J$101,0))&amp;" "&amp;INDEX(코드표!$G$2:$G$101,MATCH(TRIM(RIGHT(SUBSTITUTE(TRIM(J162&amp;"")," ",REPT(" ",60)),60)),코드표!$F$2:$F$101,0)),"⚠"&amp;TRIM(J162&amp;""))),"⚠"&amp;TRIM(J162&amp;""))</f>
        <v/>
      </c>
      <c r="S162" s="11">
        <f>IF(K162="","",IFERROR(IF(AND(ROUND((VALUE(K162&amp;"")-INT(VALUE(K162&amp;"")))*100,0)&gt;=1,ROUND((VALUE(K162&amp;"")-INT(VALUE(K162&amp;"")))*100,0)&lt;=12,INT(VALUE(K162&amp;""))&gt;=1900),DATE(INT(VALUE(K162&amp;"")),ROUND((VALUE(K162&amp;"")-INT(VALUE(K162&amp;"")))*100,0),1),K162&amp;""),K162&amp;""))</f>
        <v/>
      </c>
      <c r="T162" s="10">
        <f>COUNTIF(M162:R162,"⚠*")</f>
        <v/>
      </c>
    </row>
    <row r="163"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M163" s="10">
        <f>IFERROR(IF(TRIM(E163&amp;"")="","",IF(AND(ISNUMBER(FIND(" ",TRIM(E163&amp;""))),ISNUMBER(MATCH(LEFT(TRIM(E163&amp;""),FIND(" ",TRIM(E163&amp;""))-1),코드표!$J$2:$J$101,0)),ISNUMBER(MATCH(TRIM(RIGHT(SUBSTITUTE(TRIM(E163&amp;"")," ",REPT(" ",60)),60)),코드표!$F$2:$F$101,0))),INDEX(코드표!$K$2:$K$101,MATCH(LEFT(TRIM(E163&amp;""),FIND(" ",TRIM(E163&amp;""))-1),코드표!$J$2:$J$101,0))&amp;" "&amp;INDEX(코드표!$G$2:$G$101,MATCH(TRIM(RIGHT(SUBSTITUTE(TRIM(E163&amp;"")," ",REPT(" ",60)),60)),코드표!$F$2:$F$101,0)),"⚠"&amp;TRIM(E163&amp;""))),"⚠"&amp;TRIM(E163&amp;""))</f>
        <v/>
      </c>
      <c r="N163" s="10">
        <f>IFERROR(IF(TRIM(F163&amp;"")="","",IF(AND(ISNUMBER(FIND(" ",TRIM(F163&amp;""))),ISNUMBER(MATCH(LEFT(TRIM(F163&amp;""),FIND(" ",TRIM(F163&amp;""))-1),코드표!$J$2:$J$101,0)),ISNUMBER(MATCH(TRIM(RIGHT(SUBSTITUTE(TRIM(F163&amp;"")," ",REPT(" ",60)),60)),코드표!$F$2:$F$101,0))),INDEX(코드표!$K$2:$K$101,MATCH(LEFT(TRIM(F163&amp;""),FIND(" ",TRIM(F163&amp;""))-1),코드표!$J$2:$J$101,0))&amp;" "&amp;INDEX(코드표!$G$2:$G$101,MATCH(TRIM(RIGHT(SUBSTITUTE(TRIM(F163&amp;"")," ",REPT(" ",60)),60)),코드표!$F$2:$F$101,0)),"⚠"&amp;TRIM(F163&amp;""))),"⚠"&amp;TRIM(F163&amp;""))</f>
        <v/>
      </c>
      <c r="O163" s="10">
        <f>IFERROR(IF(TRIM(G163&amp;"")="","",IF(AND(ISNUMBER(FIND(" ",TRIM(G163&amp;""))),ISNUMBER(MATCH(LEFT(TRIM(G163&amp;""),FIND(" ",TRIM(G163&amp;""))-1),코드표!$J$2:$J$101,0)),ISNUMBER(MATCH(TRIM(RIGHT(SUBSTITUTE(TRIM(G163&amp;"")," ",REPT(" ",60)),60)),코드표!$F$2:$F$101,0))),INDEX(코드표!$K$2:$K$101,MATCH(LEFT(TRIM(G163&amp;""),FIND(" ",TRIM(G163&amp;""))-1),코드표!$J$2:$J$101,0))&amp;" "&amp;INDEX(코드표!$G$2:$G$101,MATCH(TRIM(RIGHT(SUBSTITUTE(TRIM(G163&amp;"")," ",REPT(" ",60)),60)),코드표!$F$2:$F$101,0)),"⚠"&amp;TRIM(G163&amp;""))),"⚠"&amp;TRIM(G163&amp;""))</f>
        <v/>
      </c>
      <c r="P163" s="10">
        <f>IFERROR(IF(TRIM(H163&amp;"")="","",IF(AND(ISNUMBER(FIND(" ",TRIM(H163&amp;""))),ISNUMBER(MATCH(LEFT(TRIM(H163&amp;""),FIND(" ",TRIM(H163&amp;""))-1),코드표!$J$2:$J$101,0)),ISNUMBER(MATCH(TRIM(RIGHT(SUBSTITUTE(TRIM(H163&amp;"")," ",REPT(" ",60)),60)),코드표!$F$2:$F$101,0))),INDEX(코드표!$K$2:$K$101,MATCH(LEFT(TRIM(H163&amp;""),FIND(" ",TRIM(H163&amp;""))-1),코드표!$J$2:$J$101,0))&amp;" "&amp;INDEX(코드표!$G$2:$G$101,MATCH(TRIM(RIGHT(SUBSTITUTE(TRIM(H163&amp;"")," ",REPT(" ",60)),60)),코드표!$F$2:$F$101,0)),"⚠"&amp;TRIM(H163&amp;""))),"⚠"&amp;TRIM(H163&amp;""))</f>
        <v/>
      </c>
      <c r="Q163" s="10">
        <f>IFERROR(IF(TRIM(I163&amp;"")="","",IF(AND(ISNUMBER(FIND(" ",TRIM(I163&amp;""))),ISNUMBER(MATCH(LEFT(TRIM(I163&amp;""),FIND(" ",TRIM(I163&amp;""))-1),코드표!$J$2:$J$101,0)),ISNUMBER(MATCH(TRIM(RIGHT(SUBSTITUTE(TRIM(I163&amp;"")," ",REPT(" ",60)),60)),코드표!$F$2:$F$101,0))),INDEX(코드표!$K$2:$K$101,MATCH(LEFT(TRIM(I163&amp;""),FIND(" ",TRIM(I163&amp;""))-1),코드표!$J$2:$J$101,0))&amp;" "&amp;INDEX(코드표!$G$2:$G$101,MATCH(TRIM(RIGHT(SUBSTITUTE(TRIM(I163&amp;"")," ",REPT(" ",60)),60)),코드표!$F$2:$F$101,0)),"⚠"&amp;TRIM(I163&amp;""))),"⚠"&amp;TRIM(I163&amp;""))</f>
        <v/>
      </c>
      <c r="R163" s="10">
        <f>IFERROR(IF(TRIM(J163&amp;"")="","",IF(AND(ISNUMBER(FIND(" ",TRIM(J163&amp;""))),ISNUMBER(MATCH(LEFT(TRIM(J163&amp;""),FIND(" ",TRIM(J163&amp;""))-1),코드표!$J$2:$J$101,0)),ISNUMBER(MATCH(TRIM(RIGHT(SUBSTITUTE(TRIM(J163&amp;"")," ",REPT(" ",60)),60)),코드표!$F$2:$F$101,0))),INDEX(코드표!$K$2:$K$101,MATCH(LEFT(TRIM(J163&amp;""),FIND(" ",TRIM(J163&amp;""))-1),코드표!$J$2:$J$101,0))&amp;" "&amp;INDEX(코드표!$G$2:$G$101,MATCH(TRIM(RIGHT(SUBSTITUTE(TRIM(J163&amp;"")," ",REPT(" ",60)),60)),코드표!$F$2:$F$101,0)),"⚠"&amp;TRIM(J163&amp;""))),"⚠"&amp;TRIM(J163&amp;""))</f>
        <v/>
      </c>
      <c r="S163" s="11">
        <f>IF(K163="","",IFERROR(IF(AND(ROUND((VALUE(K163&amp;"")-INT(VALUE(K163&amp;"")))*100,0)&gt;=1,ROUND((VALUE(K163&amp;"")-INT(VALUE(K163&amp;"")))*100,0)&lt;=12,INT(VALUE(K163&amp;""))&gt;=1900),DATE(INT(VALUE(K163&amp;"")),ROUND((VALUE(K163&amp;"")-INT(VALUE(K163&amp;"")))*100,0),1),K163&amp;""),K163&amp;""))</f>
        <v/>
      </c>
      <c r="T163" s="10">
        <f>COUNTIF(M163:R163,"⚠*")</f>
        <v/>
      </c>
    </row>
    <row r="164"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M164" s="10">
        <f>IFERROR(IF(TRIM(E164&amp;"")="","",IF(AND(ISNUMBER(FIND(" ",TRIM(E164&amp;""))),ISNUMBER(MATCH(LEFT(TRIM(E164&amp;""),FIND(" ",TRIM(E164&amp;""))-1),코드표!$J$2:$J$101,0)),ISNUMBER(MATCH(TRIM(RIGHT(SUBSTITUTE(TRIM(E164&amp;"")," ",REPT(" ",60)),60)),코드표!$F$2:$F$101,0))),INDEX(코드표!$K$2:$K$101,MATCH(LEFT(TRIM(E164&amp;""),FIND(" ",TRIM(E164&amp;""))-1),코드표!$J$2:$J$101,0))&amp;" "&amp;INDEX(코드표!$G$2:$G$101,MATCH(TRIM(RIGHT(SUBSTITUTE(TRIM(E164&amp;"")," ",REPT(" ",60)),60)),코드표!$F$2:$F$101,0)),"⚠"&amp;TRIM(E164&amp;""))),"⚠"&amp;TRIM(E164&amp;""))</f>
        <v/>
      </c>
      <c r="N164" s="10">
        <f>IFERROR(IF(TRIM(F164&amp;"")="","",IF(AND(ISNUMBER(FIND(" ",TRIM(F164&amp;""))),ISNUMBER(MATCH(LEFT(TRIM(F164&amp;""),FIND(" ",TRIM(F164&amp;""))-1),코드표!$J$2:$J$101,0)),ISNUMBER(MATCH(TRIM(RIGHT(SUBSTITUTE(TRIM(F164&amp;"")," ",REPT(" ",60)),60)),코드표!$F$2:$F$101,0))),INDEX(코드표!$K$2:$K$101,MATCH(LEFT(TRIM(F164&amp;""),FIND(" ",TRIM(F164&amp;""))-1),코드표!$J$2:$J$101,0))&amp;" "&amp;INDEX(코드표!$G$2:$G$101,MATCH(TRIM(RIGHT(SUBSTITUTE(TRIM(F164&amp;"")," ",REPT(" ",60)),60)),코드표!$F$2:$F$101,0)),"⚠"&amp;TRIM(F164&amp;""))),"⚠"&amp;TRIM(F164&amp;""))</f>
        <v/>
      </c>
      <c r="O164" s="10">
        <f>IFERROR(IF(TRIM(G164&amp;"")="","",IF(AND(ISNUMBER(FIND(" ",TRIM(G164&amp;""))),ISNUMBER(MATCH(LEFT(TRIM(G164&amp;""),FIND(" ",TRIM(G164&amp;""))-1),코드표!$J$2:$J$101,0)),ISNUMBER(MATCH(TRIM(RIGHT(SUBSTITUTE(TRIM(G164&amp;"")," ",REPT(" ",60)),60)),코드표!$F$2:$F$101,0))),INDEX(코드표!$K$2:$K$101,MATCH(LEFT(TRIM(G164&amp;""),FIND(" ",TRIM(G164&amp;""))-1),코드표!$J$2:$J$101,0))&amp;" "&amp;INDEX(코드표!$G$2:$G$101,MATCH(TRIM(RIGHT(SUBSTITUTE(TRIM(G164&amp;"")," ",REPT(" ",60)),60)),코드표!$F$2:$F$101,0)),"⚠"&amp;TRIM(G164&amp;""))),"⚠"&amp;TRIM(G164&amp;""))</f>
        <v/>
      </c>
      <c r="P164" s="10">
        <f>IFERROR(IF(TRIM(H164&amp;"")="","",IF(AND(ISNUMBER(FIND(" ",TRIM(H164&amp;""))),ISNUMBER(MATCH(LEFT(TRIM(H164&amp;""),FIND(" ",TRIM(H164&amp;""))-1),코드표!$J$2:$J$101,0)),ISNUMBER(MATCH(TRIM(RIGHT(SUBSTITUTE(TRIM(H164&amp;"")," ",REPT(" ",60)),60)),코드표!$F$2:$F$101,0))),INDEX(코드표!$K$2:$K$101,MATCH(LEFT(TRIM(H164&amp;""),FIND(" ",TRIM(H164&amp;""))-1),코드표!$J$2:$J$101,0))&amp;" "&amp;INDEX(코드표!$G$2:$G$101,MATCH(TRIM(RIGHT(SUBSTITUTE(TRIM(H164&amp;"")," ",REPT(" ",60)),60)),코드표!$F$2:$F$101,0)),"⚠"&amp;TRIM(H164&amp;""))),"⚠"&amp;TRIM(H164&amp;""))</f>
        <v/>
      </c>
      <c r="Q164" s="10">
        <f>IFERROR(IF(TRIM(I164&amp;"")="","",IF(AND(ISNUMBER(FIND(" ",TRIM(I164&amp;""))),ISNUMBER(MATCH(LEFT(TRIM(I164&amp;""),FIND(" ",TRIM(I164&amp;""))-1),코드표!$J$2:$J$101,0)),ISNUMBER(MATCH(TRIM(RIGHT(SUBSTITUTE(TRIM(I164&amp;"")," ",REPT(" ",60)),60)),코드표!$F$2:$F$101,0))),INDEX(코드표!$K$2:$K$101,MATCH(LEFT(TRIM(I164&amp;""),FIND(" ",TRIM(I164&amp;""))-1),코드표!$J$2:$J$101,0))&amp;" "&amp;INDEX(코드표!$G$2:$G$101,MATCH(TRIM(RIGHT(SUBSTITUTE(TRIM(I164&amp;"")," ",REPT(" ",60)),60)),코드표!$F$2:$F$101,0)),"⚠"&amp;TRIM(I164&amp;""))),"⚠"&amp;TRIM(I164&amp;""))</f>
        <v/>
      </c>
      <c r="R164" s="10">
        <f>IFERROR(IF(TRIM(J164&amp;"")="","",IF(AND(ISNUMBER(FIND(" ",TRIM(J164&amp;""))),ISNUMBER(MATCH(LEFT(TRIM(J164&amp;""),FIND(" ",TRIM(J164&amp;""))-1),코드표!$J$2:$J$101,0)),ISNUMBER(MATCH(TRIM(RIGHT(SUBSTITUTE(TRIM(J164&amp;"")," ",REPT(" ",60)),60)),코드표!$F$2:$F$101,0))),INDEX(코드표!$K$2:$K$101,MATCH(LEFT(TRIM(J164&amp;""),FIND(" ",TRIM(J164&amp;""))-1),코드표!$J$2:$J$101,0))&amp;" "&amp;INDEX(코드표!$G$2:$G$101,MATCH(TRIM(RIGHT(SUBSTITUTE(TRIM(J164&amp;"")," ",REPT(" ",60)),60)),코드표!$F$2:$F$101,0)),"⚠"&amp;TRIM(J164&amp;""))),"⚠"&amp;TRIM(J164&amp;""))</f>
        <v/>
      </c>
      <c r="S164" s="11">
        <f>IF(K164="","",IFERROR(IF(AND(ROUND((VALUE(K164&amp;"")-INT(VALUE(K164&amp;"")))*100,0)&gt;=1,ROUND((VALUE(K164&amp;"")-INT(VALUE(K164&amp;"")))*100,0)&lt;=12,INT(VALUE(K164&amp;""))&gt;=1900),DATE(INT(VALUE(K164&amp;"")),ROUND((VALUE(K164&amp;"")-INT(VALUE(K164&amp;"")))*100,0),1),K164&amp;""),K164&amp;""))</f>
        <v/>
      </c>
      <c r="T164" s="10">
        <f>COUNTIF(M164:R164,"⚠*")</f>
        <v/>
      </c>
    </row>
    <row r="165"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M165" s="10">
        <f>IFERROR(IF(TRIM(E165&amp;"")="","",IF(AND(ISNUMBER(FIND(" ",TRIM(E165&amp;""))),ISNUMBER(MATCH(LEFT(TRIM(E165&amp;""),FIND(" ",TRIM(E165&amp;""))-1),코드표!$J$2:$J$101,0)),ISNUMBER(MATCH(TRIM(RIGHT(SUBSTITUTE(TRIM(E165&amp;"")," ",REPT(" ",60)),60)),코드표!$F$2:$F$101,0))),INDEX(코드표!$K$2:$K$101,MATCH(LEFT(TRIM(E165&amp;""),FIND(" ",TRIM(E165&amp;""))-1),코드표!$J$2:$J$101,0))&amp;" "&amp;INDEX(코드표!$G$2:$G$101,MATCH(TRIM(RIGHT(SUBSTITUTE(TRIM(E165&amp;"")," ",REPT(" ",60)),60)),코드표!$F$2:$F$101,0)),"⚠"&amp;TRIM(E165&amp;""))),"⚠"&amp;TRIM(E165&amp;""))</f>
        <v/>
      </c>
      <c r="N165" s="10">
        <f>IFERROR(IF(TRIM(F165&amp;"")="","",IF(AND(ISNUMBER(FIND(" ",TRIM(F165&amp;""))),ISNUMBER(MATCH(LEFT(TRIM(F165&amp;""),FIND(" ",TRIM(F165&amp;""))-1),코드표!$J$2:$J$101,0)),ISNUMBER(MATCH(TRIM(RIGHT(SUBSTITUTE(TRIM(F165&amp;"")," ",REPT(" ",60)),60)),코드표!$F$2:$F$101,0))),INDEX(코드표!$K$2:$K$101,MATCH(LEFT(TRIM(F165&amp;""),FIND(" ",TRIM(F165&amp;""))-1),코드표!$J$2:$J$101,0))&amp;" "&amp;INDEX(코드표!$G$2:$G$101,MATCH(TRIM(RIGHT(SUBSTITUTE(TRIM(F165&amp;"")," ",REPT(" ",60)),60)),코드표!$F$2:$F$101,0)),"⚠"&amp;TRIM(F165&amp;""))),"⚠"&amp;TRIM(F165&amp;""))</f>
        <v/>
      </c>
      <c r="O165" s="10">
        <f>IFERROR(IF(TRIM(G165&amp;"")="","",IF(AND(ISNUMBER(FIND(" ",TRIM(G165&amp;""))),ISNUMBER(MATCH(LEFT(TRIM(G165&amp;""),FIND(" ",TRIM(G165&amp;""))-1),코드표!$J$2:$J$101,0)),ISNUMBER(MATCH(TRIM(RIGHT(SUBSTITUTE(TRIM(G165&amp;"")," ",REPT(" ",60)),60)),코드표!$F$2:$F$101,0))),INDEX(코드표!$K$2:$K$101,MATCH(LEFT(TRIM(G165&amp;""),FIND(" ",TRIM(G165&amp;""))-1),코드표!$J$2:$J$101,0))&amp;" "&amp;INDEX(코드표!$G$2:$G$101,MATCH(TRIM(RIGHT(SUBSTITUTE(TRIM(G165&amp;"")," ",REPT(" ",60)),60)),코드표!$F$2:$F$101,0)),"⚠"&amp;TRIM(G165&amp;""))),"⚠"&amp;TRIM(G165&amp;""))</f>
        <v/>
      </c>
      <c r="P165" s="10">
        <f>IFERROR(IF(TRIM(H165&amp;"")="","",IF(AND(ISNUMBER(FIND(" ",TRIM(H165&amp;""))),ISNUMBER(MATCH(LEFT(TRIM(H165&amp;""),FIND(" ",TRIM(H165&amp;""))-1),코드표!$J$2:$J$101,0)),ISNUMBER(MATCH(TRIM(RIGHT(SUBSTITUTE(TRIM(H165&amp;"")," ",REPT(" ",60)),60)),코드표!$F$2:$F$101,0))),INDEX(코드표!$K$2:$K$101,MATCH(LEFT(TRIM(H165&amp;""),FIND(" ",TRIM(H165&amp;""))-1),코드표!$J$2:$J$101,0))&amp;" "&amp;INDEX(코드표!$G$2:$G$101,MATCH(TRIM(RIGHT(SUBSTITUTE(TRIM(H165&amp;"")," ",REPT(" ",60)),60)),코드표!$F$2:$F$101,0)),"⚠"&amp;TRIM(H165&amp;""))),"⚠"&amp;TRIM(H165&amp;""))</f>
        <v/>
      </c>
      <c r="Q165" s="10">
        <f>IFERROR(IF(TRIM(I165&amp;"")="","",IF(AND(ISNUMBER(FIND(" ",TRIM(I165&amp;""))),ISNUMBER(MATCH(LEFT(TRIM(I165&amp;""),FIND(" ",TRIM(I165&amp;""))-1),코드표!$J$2:$J$101,0)),ISNUMBER(MATCH(TRIM(RIGHT(SUBSTITUTE(TRIM(I165&amp;"")," ",REPT(" ",60)),60)),코드표!$F$2:$F$101,0))),INDEX(코드표!$K$2:$K$101,MATCH(LEFT(TRIM(I165&amp;""),FIND(" ",TRIM(I165&amp;""))-1),코드표!$J$2:$J$101,0))&amp;" "&amp;INDEX(코드표!$G$2:$G$101,MATCH(TRIM(RIGHT(SUBSTITUTE(TRIM(I165&amp;"")," ",REPT(" ",60)),60)),코드표!$F$2:$F$101,0)),"⚠"&amp;TRIM(I165&amp;""))),"⚠"&amp;TRIM(I165&amp;""))</f>
        <v/>
      </c>
      <c r="R165" s="10">
        <f>IFERROR(IF(TRIM(J165&amp;"")="","",IF(AND(ISNUMBER(FIND(" ",TRIM(J165&amp;""))),ISNUMBER(MATCH(LEFT(TRIM(J165&amp;""),FIND(" ",TRIM(J165&amp;""))-1),코드표!$J$2:$J$101,0)),ISNUMBER(MATCH(TRIM(RIGHT(SUBSTITUTE(TRIM(J165&amp;"")," ",REPT(" ",60)),60)),코드표!$F$2:$F$101,0))),INDEX(코드표!$K$2:$K$101,MATCH(LEFT(TRIM(J165&amp;""),FIND(" ",TRIM(J165&amp;""))-1),코드표!$J$2:$J$101,0))&amp;" "&amp;INDEX(코드표!$G$2:$G$101,MATCH(TRIM(RIGHT(SUBSTITUTE(TRIM(J165&amp;"")," ",REPT(" ",60)),60)),코드표!$F$2:$F$101,0)),"⚠"&amp;TRIM(J165&amp;""))),"⚠"&amp;TRIM(J165&amp;""))</f>
        <v/>
      </c>
      <c r="S165" s="11">
        <f>IF(K165="","",IFERROR(IF(AND(ROUND((VALUE(K165&amp;"")-INT(VALUE(K165&amp;"")))*100,0)&gt;=1,ROUND((VALUE(K165&amp;"")-INT(VALUE(K165&amp;"")))*100,0)&lt;=12,INT(VALUE(K165&amp;""))&gt;=1900),DATE(INT(VALUE(K165&amp;"")),ROUND((VALUE(K165&amp;"")-INT(VALUE(K165&amp;"")))*100,0),1),K165&amp;""),K165&amp;""))</f>
        <v/>
      </c>
      <c r="T165" s="10">
        <f>COUNTIF(M165:R165,"⚠*")</f>
        <v/>
      </c>
    </row>
    <row r="166"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M166" s="10">
        <f>IFERROR(IF(TRIM(E166&amp;"")="","",IF(AND(ISNUMBER(FIND(" ",TRIM(E166&amp;""))),ISNUMBER(MATCH(LEFT(TRIM(E166&amp;""),FIND(" ",TRIM(E166&amp;""))-1),코드표!$J$2:$J$101,0)),ISNUMBER(MATCH(TRIM(RIGHT(SUBSTITUTE(TRIM(E166&amp;"")," ",REPT(" ",60)),60)),코드표!$F$2:$F$101,0))),INDEX(코드표!$K$2:$K$101,MATCH(LEFT(TRIM(E166&amp;""),FIND(" ",TRIM(E166&amp;""))-1),코드표!$J$2:$J$101,0))&amp;" "&amp;INDEX(코드표!$G$2:$G$101,MATCH(TRIM(RIGHT(SUBSTITUTE(TRIM(E166&amp;"")," ",REPT(" ",60)),60)),코드표!$F$2:$F$101,0)),"⚠"&amp;TRIM(E166&amp;""))),"⚠"&amp;TRIM(E166&amp;""))</f>
        <v/>
      </c>
      <c r="N166" s="10">
        <f>IFERROR(IF(TRIM(F166&amp;"")="","",IF(AND(ISNUMBER(FIND(" ",TRIM(F166&amp;""))),ISNUMBER(MATCH(LEFT(TRIM(F166&amp;""),FIND(" ",TRIM(F166&amp;""))-1),코드표!$J$2:$J$101,0)),ISNUMBER(MATCH(TRIM(RIGHT(SUBSTITUTE(TRIM(F166&amp;"")," ",REPT(" ",60)),60)),코드표!$F$2:$F$101,0))),INDEX(코드표!$K$2:$K$101,MATCH(LEFT(TRIM(F166&amp;""),FIND(" ",TRIM(F166&amp;""))-1),코드표!$J$2:$J$101,0))&amp;" "&amp;INDEX(코드표!$G$2:$G$101,MATCH(TRIM(RIGHT(SUBSTITUTE(TRIM(F166&amp;"")," ",REPT(" ",60)),60)),코드표!$F$2:$F$101,0)),"⚠"&amp;TRIM(F166&amp;""))),"⚠"&amp;TRIM(F166&amp;""))</f>
        <v/>
      </c>
      <c r="O166" s="10">
        <f>IFERROR(IF(TRIM(G166&amp;"")="","",IF(AND(ISNUMBER(FIND(" ",TRIM(G166&amp;""))),ISNUMBER(MATCH(LEFT(TRIM(G166&amp;""),FIND(" ",TRIM(G166&amp;""))-1),코드표!$J$2:$J$101,0)),ISNUMBER(MATCH(TRIM(RIGHT(SUBSTITUTE(TRIM(G166&amp;"")," ",REPT(" ",60)),60)),코드표!$F$2:$F$101,0))),INDEX(코드표!$K$2:$K$101,MATCH(LEFT(TRIM(G166&amp;""),FIND(" ",TRIM(G166&amp;""))-1),코드표!$J$2:$J$101,0))&amp;" "&amp;INDEX(코드표!$G$2:$G$101,MATCH(TRIM(RIGHT(SUBSTITUTE(TRIM(G166&amp;"")," ",REPT(" ",60)),60)),코드표!$F$2:$F$101,0)),"⚠"&amp;TRIM(G166&amp;""))),"⚠"&amp;TRIM(G166&amp;""))</f>
        <v/>
      </c>
      <c r="P166" s="10">
        <f>IFERROR(IF(TRIM(H166&amp;"")="","",IF(AND(ISNUMBER(FIND(" ",TRIM(H166&amp;""))),ISNUMBER(MATCH(LEFT(TRIM(H166&amp;""),FIND(" ",TRIM(H166&amp;""))-1),코드표!$J$2:$J$101,0)),ISNUMBER(MATCH(TRIM(RIGHT(SUBSTITUTE(TRIM(H166&amp;"")," ",REPT(" ",60)),60)),코드표!$F$2:$F$101,0))),INDEX(코드표!$K$2:$K$101,MATCH(LEFT(TRIM(H166&amp;""),FIND(" ",TRIM(H166&amp;""))-1),코드표!$J$2:$J$101,0))&amp;" "&amp;INDEX(코드표!$G$2:$G$101,MATCH(TRIM(RIGHT(SUBSTITUTE(TRIM(H166&amp;"")," ",REPT(" ",60)),60)),코드표!$F$2:$F$101,0)),"⚠"&amp;TRIM(H166&amp;""))),"⚠"&amp;TRIM(H166&amp;""))</f>
        <v/>
      </c>
      <c r="Q166" s="10">
        <f>IFERROR(IF(TRIM(I166&amp;"")="","",IF(AND(ISNUMBER(FIND(" ",TRIM(I166&amp;""))),ISNUMBER(MATCH(LEFT(TRIM(I166&amp;""),FIND(" ",TRIM(I166&amp;""))-1),코드표!$J$2:$J$101,0)),ISNUMBER(MATCH(TRIM(RIGHT(SUBSTITUTE(TRIM(I166&amp;"")," ",REPT(" ",60)),60)),코드표!$F$2:$F$101,0))),INDEX(코드표!$K$2:$K$101,MATCH(LEFT(TRIM(I166&amp;""),FIND(" ",TRIM(I166&amp;""))-1),코드표!$J$2:$J$101,0))&amp;" "&amp;INDEX(코드표!$G$2:$G$101,MATCH(TRIM(RIGHT(SUBSTITUTE(TRIM(I166&amp;"")," ",REPT(" ",60)),60)),코드표!$F$2:$F$101,0)),"⚠"&amp;TRIM(I166&amp;""))),"⚠"&amp;TRIM(I166&amp;""))</f>
        <v/>
      </c>
      <c r="R166" s="10">
        <f>IFERROR(IF(TRIM(J166&amp;"")="","",IF(AND(ISNUMBER(FIND(" ",TRIM(J166&amp;""))),ISNUMBER(MATCH(LEFT(TRIM(J166&amp;""),FIND(" ",TRIM(J166&amp;""))-1),코드표!$J$2:$J$101,0)),ISNUMBER(MATCH(TRIM(RIGHT(SUBSTITUTE(TRIM(J166&amp;"")," ",REPT(" ",60)),60)),코드표!$F$2:$F$101,0))),INDEX(코드표!$K$2:$K$101,MATCH(LEFT(TRIM(J166&amp;""),FIND(" ",TRIM(J166&amp;""))-1),코드표!$J$2:$J$101,0))&amp;" "&amp;INDEX(코드표!$G$2:$G$101,MATCH(TRIM(RIGHT(SUBSTITUTE(TRIM(J166&amp;"")," ",REPT(" ",60)),60)),코드표!$F$2:$F$101,0)),"⚠"&amp;TRIM(J166&amp;""))),"⚠"&amp;TRIM(J166&amp;""))</f>
        <v/>
      </c>
      <c r="S166" s="11">
        <f>IF(K166="","",IFERROR(IF(AND(ROUND((VALUE(K166&amp;"")-INT(VALUE(K166&amp;"")))*100,0)&gt;=1,ROUND((VALUE(K166&amp;"")-INT(VALUE(K166&amp;"")))*100,0)&lt;=12,INT(VALUE(K166&amp;""))&gt;=1900),DATE(INT(VALUE(K166&amp;"")),ROUND((VALUE(K166&amp;"")-INT(VALUE(K166&amp;"")))*100,0),1),K166&amp;""),K166&amp;""))</f>
        <v/>
      </c>
      <c r="T166" s="10">
        <f>COUNTIF(M166:R166,"⚠*")</f>
        <v/>
      </c>
    </row>
    <row r="167"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M167" s="10">
        <f>IFERROR(IF(TRIM(E167&amp;"")="","",IF(AND(ISNUMBER(FIND(" ",TRIM(E167&amp;""))),ISNUMBER(MATCH(LEFT(TRIM(E167&amp;""),FIND(" ",TRIM(E167&amp;""))-1),코드표!$J$2:$J$101,0)),ISNUMBER(MATCH(TRIM(RIGHT(SUBSTITUTE(TRIM(E167&amp;"")," ",REPT(" ",60)),60)),코드표!$F$2:$F$101,0))),INDEX(코드표!$K$2:$K$101,MATCH(LEFT(TRIM(E167&amp;""),FIND(" ",TRIM(E167&amp;""))-1),코드표!$J$2:$J$101,0))&amp;" "&amp;INDEX(코드표!$G$2:$G$101,MATCH(TRIM(RIGHT(SUBSTITUTE(TRIM(E167&amp;"")," ",REPT(" ",60)),60)),코드표!$F$2:$F$101,0)),"⚠"&amp;TRIM(E167&amp;""))),"⚠"&amp;TRIM(E167&amp;""))</f>
        <v/>
      </c>
      <c r="N167" s="10">
        <f>IFERROR(IF(TRIM(F167&amp;"")="","",IF(AND(ISNUMBER(FIND(" ",TRIM(F167&amp;""))),ISNUMBER(MATCH(LEFT(TRIM(F167&amp;""),FIND(" ",TRIM(F167&amp;""))-1),코드표!$J$2:$J$101,0)),ISNUMBER(MATCH(TRIM(RIGHT(SUBSTITUTE(TRIM(F167&amp;"")," ",REPT(" ",60)),60)),코드표!$F$2:$F$101,0))),INDEX(코드표!$K$2:$K$101,MATCH(LEFT(TRIM(F167&amp;""),FIND(" ",TRIM(F167&amp;""))-1),코드표!$J$2:$J$101,0))&amp;" "&amp;INDEX(코드표!$G$2:$G$101,MATCH(TRIM(RIGHT(SUBSTITUTE(TRIM(F167&amp;"")," ",REPT(" ",60)),60)),코드표!$F$2:$F$101,0)),"⚠"&amp;TRIM(F167&amp;""))),"⚠"&amp;TRIM(F167&amp;""))</f>
        <v/>
      </c>
      <c r="O167" s="10">
        <f>IFERROR(IF(TRIM(G167&amp;"")="","",IF(AND(ISNUMBER(FIND(" ",TRIM(G167&amp;""))),ISNUMBER(MATCH(LEFT(TRIM(G167&amp;""),FIND(" ",TRIM(G167&amp;""))-1),코드표!$J$2:$J$101,0)),ISNUMBER(MATCH(TRIM(RIGHT(SUBSTITUTE(TRIM(G167&amp;"")," ",REPT(" ",60)),60)),코드표!$F$2:$F$101,0))),INDEX(코드표!$K$2:$K$101,MATCH(LEFT(TRIM(G167&amp;""),FIND(" ",TRIM(G167&amp;""))-1),코드표!$J$2:$J$101,0))&amp;" "&amp;INDEX(코드표!$G$2:$G$101,MATCH(TRIM(RIGHT(SUBSTITUTE(TRIM(G167&amp;"")," ",REPT(" ",60)),60)),코드표!$F$2:$F$101,0)),"⚠"&amp;TRIM(G167&amp;""))),"⚠"&amp;TRIM(G167&amp;""))</f>
        <v/>
      </c>
      <c r="P167" s="10">
        <f>IFERROR(IF(TRIM(H167&amp;"")="","",IF(AND(ISNUMBER(FIND(" ",TRIM(H167&amp;""))),ISNUMBER(MATCH(LEFT(TRIM(H167&amp;""),FIND(" ",TRIM(H167&amp;""))-1),코드표!$J$2:$J$101,0)),ISNUMBER(MATCH(TRIM(RIGHT(SUBSTITUTE(TRIM(H167&amp;"")," ",REPT(" ",60)),60)),코드표!$F$2:$F$101,0))),INDEX(코드표!$K$2:$K$101,MATCH(LEFT(TRIM(H167&amp;""),FIND(" ",TRIM(H167&amp;""))-1),코드표!$J$2:$J$101,0))&amp;" "&amp;INDEX(코드표!$G$2:$G$101,MATCH(TRIM(RIGHT(SUBSTITUTE(TRIM(H167&amp;"")," ",REPT(" ",60)),60)),코드표!$F$2:$F$101,0)),"⚠"&amp;TRIM(H167&amp;""))),"⚠"&amp;TRIM(H167&amp;""))</f>
        <v/>
      </c>
      <c r="Q167" s="10">
        <f>IFERROR(IF(TRIM(I167&amp;"")="","",IF(AND(ISNUMBER(FIND(" ",TRIM(I167&amp;""))),ISNUMBER(MATCH(LEFT(TRIM(I167&amp;""),FIND(" ",TRIM(I167&amp;""))-1),코드표!$J$2:$J$101,0)),ISNUMBER(MATCH(TRIM(RIGHT(SUBSTITUTE(TRIM(I167&amp;"")," ",REPT(" ",60)),60)),코드표!$F$2:$F$101,0))),INDEX(코드표!$K$2:$K$101,MATCH(LEFT(TRIM(I167&amp;""),FIND(" ",TRIM(I167&amp;""))-1),코드표!$J$2:$J$101,0))&amp;" "&amp;INDEX(코드표!$G$2:$G$101,MATCH(TRIM(RIGHT(SUBSTITUTE(TRIM(I167&amp;"")," ",REPT(" ",60)),60)),코드표!$F$2:$F$101,0)),"⚠"&amp;TRIM(I167&amp;""))),"⚠"&amp;TRIM(I167&amp;""))</f>
        <v/>
      </c>
      <c r="R167" s="10">
        <f>IFERROR(IF(TRIM(J167&amp;"")="","",IF(AND(ISNUMBER(FIND(" ",TRIM(J167&amp;""))),ISNUMBER(MATCH(LEFT(TRIM(J167&amp;""),FIND(" ",TRIM(J167&amp;""))-1),코드표!$J$2:$J$101,0)),ISNUMBER(MATCH(TRIM(RIGHT(SUBSTITUTE(TRIM(J167&amp;"")," ",REPT(" ",60)),60)),코드표!$F$2:$F$101,0))),INDEX(코드표!$K$2:$K$101,MATCH(LEFT(TRIM(J167&amp;""),FIND(" ",TRIM(J167&amp;""))-1),코드표!$J$2:$J$101,0))&amp;" "&amp;INDEX(코드표!$G$2:$G$101,MATCH(TRIM(RIGHT(SUBSTITUTE(TRIM(J167&amp;"")," ",REPT(" ",60)),60)),코드표!$F$2:$F$101,0)),"⚠"&amp;TRIM(J167&amp;""))),"⚠"&amp;TRIM(J167&amp;""))</f>
        <v/>
      </c>
      <c r="S167" s="11">
        <f>IF(K167="","",IFERROR(IF(AND(ROUND((VALUE(K167&amp;"")-INT(VALUE(K167&amp;"")))*100,0)&gt;=1,ROUND((VALUE(K167&amp;"")-INT(VALUE(K167&amp;"")))*100,0)&lt;=12,INT(VALUE(K167&amp;""))&gt;=1900),DATE(INT(VALUE(K167&amp;"")),ROUND((VALUE(K167&amp;"")-INT(VALUE(K167&amp;"")))*100,0),1),K167&amp;""),K167&amp;""))</f>
        <v/>
      </c>
      <c r="T167" s="10">
        <f>COUNTIF(M167:R167,"⚠*")</f>
        <v/>
      </c>
    </row>
    <row r="168"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M168" s="10">
        <f>IFERROR(IF(TRIM(E168&amp;"")="","",IF(AND(ISNUMBER(FIND(" ",TRIM(E168&amp;""))),ISNUMBER(MATCH(LEFT(TRIM(E168&amp;""),FIND(" ",TRIM(E168&amp;""))-1),코드표!$J$2:$J$101,0)),ISNUMBER(MATCH(TRIM(RIGHT(SUBSTITUTE(TRIM(E168&amp;"")," ",REPT(" ",60)),60)),코드표!$F$2:$F$101,0))),INDEX(코드표!$K$2:$K$101,MATCH(LEFT(TRIM(E168&amp;""),FIND(" ",TRIM(E168&amp;""))-1),코드표!$J$2:$J$101,0))&amp;" "&amp;INDEX(코드표!$G$2:$G$101,MATCH(TRIM(RIGHT(SUBSTITUTE(TRIM(E168&amp;"")," ",REPT(" ",60)),60)),코드표!$F$2:$F$101,0)),"⚠"&amp;TRIM(E168&amp;""))),"⚠"&amp;TRIM(E168&amp;""))</f>
        <v/>
      </c>
      <c r="N168" s="10">
        <f>IFERROR(IF(TRIM(F168&amp;"")="","",IF(AND(ISNUMBER(FIND(" ",TRIM(F168&amp;""))),ISNUMBER(MATCH(LEFT(TRIM(F168&amp;""),FIND(" ",TRIM(F168&amp;""))-1),코드표!$J$2:$J$101,0)),ISNUMBER(MATCH(TRIM(RIGHT(SUBSTITUTE(TRIM(F168&amp;"")," ",REPT(" ",60)),60)),코드표!$F$2:$F$101,0))),INDEX(코드표!$K$2:$K$101,MATCH(LEFT(TRIM(F168&amp;""),FIND(" ",TRIM(F168&amp;""))-1),코드표!$J$2:$J$101,0))&amp;" "&amp;INDEX(코드표!$G$2:$G$101,MATCH(TRIM(RIGHT(SUBSTITUTE(TRIM(F168&amp;"")," ",REPT(" ",60)),60)),코드표!$F$2:$F$101,0)),"⚠"&amp;TRIM(F168&amp;""))),"⚠"&amp;TRIM(F168&amp;""))</f>
        <v/>
      </c>
      <c r="O168" s="10">
        <f>IFERROR(IF(TRIM(G168&amp;"")="","",IF(AND(ISNUMBER(FIND(" ",TRIM(G168&amp;""))),ISNUMBER(MATCH(LEFT(TRIM(G168&amp;""),FIND(" ",TRIM(G168&amp;""))-1),코드표!$J$2:$J$101,0)),ISNUMBER(MATCH(TRIM(RIGHT(SUBSTITUTE(TRIM(G168&amp;"")," ",REPT(" ",60)),60)),코드표!$F$2:$F$101,0))),INDEX(코드표!$K$2:$K$101,MATCH(LEFT(TRIM(G168&amp;""),FIND(" ",TRIM(G168&amp;""))-1),코드표!$J$2:$J$101,0))&amp;" "&amp;INDEX(코드표!$G$2:$G$101,MATCH(TRIM(RIGHT(SUBSTITUTE(TRIM(G168&amp;"")," ",REPT(" ",60)),60)),코드표!$F$2:$F$101,0)),"⚠"&amp;TRIM(G168&amp;""))),"⚠"&amp;TRIM(G168&amp;""))</f>
        <v/>
      </c>
      <c r="P168" s="10">
        <f>IFERROR(IF(TRIM(H168&amp;"")="","",IF(AND(ISNUMBER(FIND(" ",TRIM(H168&amp;""))),ISNUMBER(MATCH(LEFT(TRIM(H168&amp;""),FIND(" ",TRIM(H168&amp;""))-1),코드표!$J$2:$J$101,0)),ISNUMBER(MATCH(TRIM(RIGHT(SUBSTITUTE(TRIM(H168&amp;"")," ",REPT(" ",60)),60)),코드표!$F$2:$F$101,0))),INDEX(코드표!$K$2:$K$101,MATCH(LEFT(TRIM(H168&amp;""),FIND(" ",TRIM(H168&amp;""))-1),코드표!$J$2:$J$101,0))&amp;" "&amp;INDEX(코드표!$G$2:$G$101,MATCH(TRIM(RIGHT(SUBSTITUTE(TRIM(H168&amp;"")," ",REPT(" ",60)),60)),코드표!$F$2:$F$101,0)),"⚠"&amp;TRIM(H168&amp;""))),"⚠"&amp;TRIM(H168&amp;""))</f>
        <v/>
      </c>
      <c r="Q168" s="10">
        <f>IFERROR(IF(TRIM(I168&amp;"")="","",IF(AND(ISNUMBER(FIND(" ",TRIM(I168&amp;""))),ISNUMBER(MATCH(LEFT(TRIM(I168&amp;""),FIND(" ",TRIM(I168&amp;""))-1),코드표!$J$2:$J$101,0)),ISNUMBER(MATCH(TRIM(RIGHT(SUBSTITUTE(TRIM(I168&amp;"")," ",REPT(" ",60)),60)),코드표!$F$2:$F$101,0))),INDEX(코드표!$K$2:$K$101,MATCH(LEFT(TRIM(I168&amp;""),FIND(" ",TRIM(I168&amp;""))-1),코드표!$J$2:$J$101,0))&amp;" "&amp;INDEX(코드표!$G$2:$G$101,MATCH(TRIM(RIGHT(SUBSTITUTE(TRIM(I168&amp;"")," ",REPT(" ",60)),60)),코드표!$F$2:$F$101,0)),"⚠"&amp;TRIM(I168&amp;""))),"⚠"&amp;TRIM(I168&amp;""))</f>
        <v/>
      </c>
      <c r="R168" s="10">
        <f>IFERROR(IF(TRIM(J168&amp;"")="","",IF(AND(ISNUMBER(FIND(" ",TRIM(J168&amp;""))),ISNUMBER(MATCH(LEFT(TRIM(J168&amp;""),FIND(" ",TRIM(J168&amp;""))-1),코드표!$J$2:$J$101,0)),ISNUMBER(MATCH(TRIM(RIGHT(SUBSTITUTE(TRIM(J168&amp;"")," ",REPT(" ",60)),60)),코드표!$F$2:$F$101,0))),INDEX(코드표!$K$2:$K$101,MATCH(LEFT(TRIM(J168&amp;""),FIND(" ",TRIM(J168&amp;""))-1),코드표!$J$2:$J$101,0))&amp;" "&amp;INDEX(코드표!$G$2:$G$101,MATCH(TRIM(RIGHT(SUBSTITUTE(TRIM(J168&amp;"")," ",REPT(" ",60)),60)),코드표!$F$2:$F$101,0)),"⚠"&amp;TRIM(J168&amp;""))),"⚠"&amp;TRIM(J168&amp;""))</f>
        <v/>
      </c>
      <c r="S168" s="11">
        <f>IF(K168="","",IFERROR(IF(AND(ROUND((VALUE(K168&amp;"")-INT(VALUE(K168&amp;"")))*100,0)&gt;=1,ROUND((VALUE(K168&amp;"")-INT(VALUE(K168&amp;"")))*100,0)&lt;=12,INT(VALUE(K168&amp;""))&gt;=1900),DATE(INT(VALUE(K168&amp;"")),ROUND((VALUE(K168&amp;"")-INT(VALUE(K168&amp;"")))*100,0),1),K168&amp;""),K168&amp;""))</f>
        <v/>
      </c>
      <c r="T168" s="10">
        <f>COUNTIF(M168:R168,"⚠*")</f>
        <v/>
      </c>
    </row>
    <row r="169"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M169" s="10">
        <f>IFERROR(IF(TRIM(E169&amp;"")="","",IF(AND(ISNUMBER(FIND(" ",TRIM(E169&amp;""))),ISNUMBER(MATCH(LEFT(TRIM(E169&amp;""),FIND(" ",TRIM(E169&amp;""))-1),코드표!$J$2:$J$101,0)),ISNUMBER(MATCH(TRIM(RIGHT(SUBSTITUTE(TRIM(E169&amp;"")," ",REPT(" ",60)),60)),코드표!$F$2:$F$101,0))),INDEX(코드표!$K$2:$K$101,MATCH(LEFT(TRIM(E169&amp;""),FIND(" ",TRIM(E169&amp;""))-1),코드표!$J$2:$J$101,0))&amp;" "&amp;INDEX(코드표!$G$2:$G$101,MATCH(TRIM(RIGHT(SUBSTITUTE(TRIM(E169&amp;"")," ",REPT(" ",60)),60)),코드표!$F$2:$F$101,0)),"⚠"&amp;TRIM(E169&amp;""))),"⚠"&amp;TRIM(E169&amp;""))</f>
        <v/>
      </c>
      <c r="N169" s="10">
        <f>IFERROR(IF(TRIM(F169&amp;"")="","",IF(AND(ISNUMBER(FIND(" ",TRIM(F169&amp;""))),ISNUMBER(MATCH(LEFT(TRIM(F169&amp;""),FIND(" ",TRIM(F169&amp;""))-1),코드표!$J$2:$J$101,0)),ISNUMBER(MATCH(TRIM(RIGHT(SUBSTITUTE(TRIM(F169&amp;"")," ",REPT(" ",60)),60)),코드표!$F$2:$F$101,0))),INDEX(코드표!$K$2:$K$101,MATCH(LEFT(TRIM(F169&amp;""),FIND(" ",TRIM(F169&amp;""))-1),코드표!$J$2:$J$101,0))&amp;" "&amp;INDEX(코드표!$G$2:$G$101,MATCH(TRIM(RIGHT(SUBSTITUTE(TRIM(F169&amp;"")," ",REPT(" ",60)),60)),코드표!$F$2:$F$101,0)),"⚠"&amp;TRIM(F169&amp;""))),"⚠"&amp;TRIM(F169&amp;""))</f>
        <v/>
      </c>
      <c r="O169" s="10">
        <f>IFERROR(IF(TRIM(G169&amp;"")="","",IF(AND(ISNUMBER(FIND(" ",TRIM(G169&amp;""))),ISNUMBER(MATCH(LEFT(TRIM(G169&amp;""),FIND(" ",TRIM(G169&amp;""))-1),코드표!$J$2:$J$101,0)),ISNUMBER(MATCH(TRIM(RIGHT(SUBSTITUTE(TRIM(G169&amp;"")," ",REPT(" ",60)),60)),코드표!$F$2:$F$101,0))),INDEX(코드표!$K$2:$K$101,MATCH(LEFT(TRIM(G169&amp;""),FIND(" ",TRIM(G169&amp;""))-1),코드표!$J$2:$J$101,0))&amp;" "&amp;INDEX(코드표!$G$2:$G$101,MATCH(TRIM(RIGHT(SUBSTITUTE(TRIM(G169&amp;"")," ",REPT(" ",60)),60)),코드표!$F$2:$F$101,0)),"⚠"&amp;TRIM(G169&amp;""))),"⚠"&amp;TRIM(G169&amp;""))</f>
        <v/>
      </c>
      <c r="P169" s="10">
        <f>IFERROR(IF(TRIM(H169&amp;"")="","",IF(AND(ISNUMBER(FIND(" ",TRIM(H169&amp;""))),ISNUMBER(MATCH(LEFT(TRIM(H169&amp;""),FIND(" ",TRIM(H169&amp;""))-1),코드표!$J$2:$J$101,0)),ISNUMBER(MATCH(TRIM(RIGHT(SUBSTITUTE(TRIM(H169&amp;"")," ",REPT(" ",60)),60)),코드표!$F$2:$F$101,0))),INDEX(코드표!$K$2:$K$101,MATCH(LEFT(TRIM(H169&amp;""),FIND(" ",TRIM(H169&amp;""))-1),코드표!$J$2:$J$101,0))&amp;" "&amp;INDEX(코드표!$G$2:$G$101,MATCH(TRIM(RIGHT(SUBSTITUTE(TRIM(H169&amp;"")," ",REPT(" ",60)),60)),코드표!$F$2:$F$101,0)),"⚠"&amp;TRIM(H169&amp;""))),"⚠"&amp;TRIM(H169&amp;""))</f>
        <v/>
      </c>
      <c r="Q169" s="10">
        <f>IFERROR(IF(TRIM(I169&amp;"")="","",IF(AND(ISNUMBER(FIND(" ",TRIM(I169&amp;""))),ISNUMBER(MATCH(LEFT(TRIM(I169&amp;""),FIND(" ",TRIM(I169&amp;""))-1),코드표!$J$2:$J$101,0)),ISNUMBER(MATCH(TRIM(RIGHT(SUBSTITUTE(TRIM(I169&amp;"")," ",REPT(" ",60)),60)),코드표!$F$2:$F$101,0))),INDEX(코드표!$K$2:$K$101,MATCH(LEFT(TRIM(I169&amp;""),FIND(" ",TRIM(I169&amp;""))-1),코드표!$J$2:$J$101,0))&amp;" "&amp;INDEX(코드표!$G$2:$G$101,MATCH(TRIM(RIGHT(SUBSTITUTE(TRIM(I169&amp;"")," ",REPT(" ",60)),60)),코드표!$F$2:$F$101,0)),"⚠"&amp;TRIM(I169&amp;""))),"⚠"&amp;TRIM(I169&amp;""))</f>
        <v/>
      </c>
      <c r="R169" s="10">
        <f>IFERROR(IF(TRIM(J169&amp;"")="","",IF(AND(ISNUMBER(FIND(" ",TRIM(J169&amp;""))),ISNUMBER(MATCH(LEFT(TRIM(J169&amp;""),FIND(" ",TRIM(J169&amp;""))-1),코드표!$J$2:$J$101,0)),ISNUMBER(MATCH(TRIM(RIGHT(SUBSTITUTE(TRIM(J169&amp;"")," ",REPT(" ",60)),60)),코드표!$F$2:$F$101,0))),INDEX(코드표!$K$2:$K$101,MATCH(LEFT(TRIM(J169&amp;""),FIND(" ",TRIM(J169&amp;""))-1),코드표!$J$2:$J$101,0))&amp;" "&amp;INDEX(코드표!$G$2:$G$101,MATCH(TRIM(RIGHT(SUBSTITUTE(TRIM(J169&amp;"")," ",REPT(" ",60)),60)),코드표!$F$2:$F$101,0)),"⚠"&amp;TRIM(J169&amp;""))),"⚠"&amp;TRIM(J169&amp;""))</f>
        <v/>
      </c>
      <c r="S169" s="11">
        <f>IF(K169="","",IFERROR(IF(AND(ROUND((VALUE(K169&amp;"")-INT(VALUE(K169&amp;"")))*100,0)&gt;=1,ROUND((VALUE(K169&amp;"")-INT(VALUE(K169&amp;"")))*100,0)&lt;=12,INT(VALUE(K169&amp;""))&gt;=1900),DATE(INT(VALUE(K169&amp;"")),ROUND((VALUE(K169&amp;"")-INT(VALUE(K169&amp;"")))*100,0),1),K169&amp;""),K169&amp;""))</f>
        <v/>
      </c>
      <c r="T169" s="10">
        <f>COUNTIF(M169:R169,"⚠*")</f>
        <v/>
      </c>
    </row>
    <row r="170"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M170" s="10">
        <f>IFERROR(IF(TRIM(E170&amp;"")="","",IF(AND(ISNUMBER(FIND(" ",TRIM(E170&amp;""))),ISNUMBER(MATCH(LEFT(TRIM(E170&amp;""),FIND(" ",TRIM(E170&amp;""))-1),코드표!$J$2:$J$101,0)),ISNUMBER(MATCH(TRIM(RIGHT(SUBSTITUTE(TRIM(E170&amp;"")," ",REPT(" ",60)),60)),코드표!$F$2:$F$101,0))),INDEX(코드표!$K$2:$K$101,MATCH(LEFT(TRIM(E170&amp;""),FIND(" ",TRIM(E170&amp;""))-1),코드표!$J$2:$J$101,0))&amp;" "&amp;INDEX(코드표!$G$2:$G$101,MATCH(TRIM(RIGHT(SUBSTITUTE(TRIM(E170&amp;"")," ",REPT(" ",60)),60)),코드표!$F$2:$F$101,0)),"⚠"&amp;TRIM(E170&amp;""))),"⚠"&amp;TRIM(E170&amp;""))</f>
        <v/>
      </c>
      <c r="N170" s="10">
        <f>IFERROR(IF(TRIM(F170&amp;"")="","",IF(AND(ISNUMBER(FIND(" ",TRIM(F170&amp;""))),ISNUMBER(MATCH(LEFT(TRIM(F170&amp;""),FIND(" ",TRIM(F170&amp;""))-1),코드표!$J$2:$J$101,0)),ISNUMBER(MATCH(TRIM(RIGHT(SUBSTITUTE(TRIM(F170&amp;"")," ",REPT(" ",60)),60)),코드표!$F$2:$F$101,0))),INDEX(코드표!$K$2:$K$101,MATCH(LEFT(TRIM(F170&amp;""),FIND(" ",TRIM(F170&amp;""))-1),코드표!$J$2:$J$101,0))&amp;" "&amp;INDEX(코드표!$G$2:$G$101,MATCH(TRIM(RIGHT(SUBSTITUTE(TRIM(F170&amp;"")," ",REPT(" ",60)),60)),코드표!$F$2:$F$101,0)),"⚠"&amp;TRIM(F170&amp;""))),"⚠"&amp;TRIM(F170&amp;""))</f>
        <v/>
      </c>
      <c r="O170" s="10">
        <f>IFERROR(IF(TRIM(G170&amp;"")="","",IF(AND(ISNUMBER(FIND(" ",TRIM(G170&amp;""))),ISNUMBER(MATCH(LEFT(TRIM(G170&amp;""),FIND(" ",TRIM(G170&amp;""))-1),코드표!$J$2:$J$101,0)),ISNUMBER(MATCH(TRIM(RIGHT(SUBSTITUTE(TRIM(G170&amp;"")," ",REPT(" ",60)),60)),코드표!$F$2:$F$101,0))),INDEX(코드표!$K$2:$K$101,MATCH(LEFT(TRIM(G170&amp;""),FIND(" ",TRIM(G170&amp;""))-1),코드표!$J$2:$J$101,0))&amp;" "&amp;INDEX(코드표!$G$2:$G$101,MATCH(TRIM(RIGHT(SUBSTITUTE(TRIM(G170&amp;"")," ",REPT(" ",60)),60)),코드표!$F$2:$F$101,0)),"⚠"&amp;TRIM(G170&amp;""))),"⚠"&amp;TRIM(G170&amp;""))</f>
        <v/>
      </c>
      <c r="P170" s="10">
        <f>IFERROR(IF(TRIM(H170&amp;"")="","",IF(AND(ISNUMBER(FIND(" ",TRIM(H170&amp;""))),ISNUMBER(MATCH(LEFT(TRIM(H170&amp;""),FIND(" ",TRIM(H170&amp;""))-1),코드표!$J$2:$J$101,0)),ISNUMBER(MATCH(TRIM(RIGHT(SUBSTITUTE(TRIM(H170&amp;"")," ",REPT(" ",60)),60)),코드표!$F$2:$F$101,0))),INDEX(코드표!$K$2:$K$101,MATCH(LEFT(TRIM(H170&amp;""),FIND(" ",TRIM(H170&amp;""))-1),코드표!$J$2:$J$101,0))&amp;" "&amp;INDEX(코드표!$G$2:$G$101,MATCH(TRIM(RIGHT(SUBSTITUTE(TRIM(H170&amp;"")," ",REPT(" ",60)),60)),코드표!$F$2:$F$101,0)),"⚠"&amp;TRIM(H170&amp;""))),"⚠"&amp;TRIM(H170&amp;""))</f>
        <v/>
      </c>
      <c r="Q170" s="10">
        <f>IFERROR(IF(TRIM(I170&amp;"")="","",IF(AND(ISNUMBER(FIND(" ",TRIM(I170&amp;""))),ISNUMBER(MATCH(LEFT(TRIM(I170&amp;""),FIND(" ",TRIM(I170&amp;""))-1),코드표!$J$2:$J$101,0)),ISNUMBER(MATCH(TRIM(RIGHT(SUBSTITUTE(TRIM(I170&amp;"")," ",REPT(" ",60)),60)),코드표!$F$2:$F$101,0))),INDEX(코드표!$K$2:$K$101,MATCH(LEFT(TRIM(I170&amp;""),FIND(" ",TRIM(I170&amp;""))-1),코드표!$J$2:$J$101,0))&amp;" "&amp;INDEX(코드표!$G$2:$G$101,MATCH(TRIM(RIGHT(SUBSTITUTE(TRIM(I170&amp;"")," ",REPT(" ",60)),60)),코드표!$F$2:$F$101,0)),"⚠"&amp;TRIM(I170&amp;""))),"⚠"&amp;TRIM(I170&amp;""))</f>
        <v/>
      </c>
      <c r="R170" s="10">
        <f>IFERROR(IF(TRIM(J170&amp;"")="","",IF(AND(ISNUMBER(FIND(" ",TRIM(J170&amp;""))),ISNUMBER(MATCH(LEFT(TRIM(J170&amp;""),FIND(" ",TRIM(J170&amp;""))-1),코드표!$J$2:$J$101,0)),ISNUMBER(MATCH(TRIM(RIGHT(SUBSTITUTE(TRIM(J170&amp;"")," ",REPT(" ",60)),60)),코드표!$F$2:$F$101,0))),INDEX(코드표!$K$2:$K$101,MATCH(LEFT(TRIM(J170&amp;""),FIND(" ",TRIM(J170&amp;""))-1),코드표!$J$2:$J$101,0))&amp;" "&amp;INDEX(코드표!$G$2:$G$101,MATCH(TRIM(RIGHT(SUBSTITUTE(TRIM(J170&amp;"")," ",REPT(" ",60)),60)),코드표!$F$2:$F$101,0)),"⚠"&amp;TRIM(J170&amp;""))),"⚠"&amp;TRIM(J170&amp;""))</f>
        <v/>
      </c>
      <c r="S170" s="11">
        <f>IF(K170="","",IFERROR(IF(AND(ROUND((VALUE(K170&amp;"")-INT(VALUE(K170&amp;"")))*100,0)&gt;=1,ROUND((VALUE(K170&amp;"")-INT(VALUE(K170&amp;"")))*100,0)&lt;=12,INT(VALUE(K170&amp;""))&gt;=1900),DATE(INT(VALUE(K170&amp;"")),ROUND((VALUE(K170&amp;"")-INT(VALUE(K170&amp;"")))*100,0),1),K170&amp;""),K170&amp;""))</f>
        <v/>
      </c>
      <c r="T170" s="10">
        <f>COUNTIF(M170:R170,"⚠*")</f>
        <v/>
      </c>
    </row>
    <row r="171"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M171" s="10">
        <f>IFERROR(IF(TRIM(E171&amp;"")="","",IF(AND(ISNUMBER(FIND(" ",TRIM(E171&amp;""))),ISNUMBER(MATCH(LEFT(TRIM(E171&amp;""),FIND(" ",TRIM(E171&amp;""))-1),코드표!$J$2:$J$101,0)),ISNUMBER(MATCH(TRIM(RIGHT(SUBSTITUTE(TRIM(E171&amp;"")," ",REPT(" ",60)),60)),코드표!$F$2:$F$101,0))),INDEX(코드표!$K$2:$K$101,MATCH(LEFT(TRIM(E171&amp;""),FIND(" ",TRIM(E171&amp;""))-1),코드표!$J$2:$J$101,0))&amp;" "&amp;INDEX(코드표!$G$2:$G$101,MATCH(TRIM(RIGHT(SUBSTITUTE(TRIM(E171&amp;"")," ",REPT(" ",60)),60)),코드표!$F$2:$F$101,0)),"⚠"&amp;TRIM(E171&amp;""))),"⚠"&amp;TRIM(E171&amp;""))</f>
        <v/>
      </c>
      <c r="N171" s="10">
        <f>IFERROR(IF(TRIM(F171&amp;"")="","",IF(AND(ISNUMBER(FIND(" ",TRIM(F171&amp;""))),ISNUMBER(MATCH(LEFT(TRIM(F171&amp;""),FIND(" ",TRIM(F171&amp;""))-1),코드표!$J$2:$J$101,0)),ISNUMBER(MATCH(TRIM(RIGHT(SUBSTITUTE(TRIM(F171&amp;"")," ",REPT(" ",60)),60)),코드표!$F$2:$F$101,0))),INDEX(코드표!$K$2:$K$101,MATCH(LEFT(TRIM(F171&amp;""),FIND(" ",TRIM(F171&amp;""))-1),코드표!$J$2:$J$101,0))&amp;" "&amp;INDEX(코드표!$G$2:$G$101,MATCH(TRIM(RIGHT(SUBSTITUTE(TRIM(F171&amp;"")," ",REPT(" ",60)),60)),코드표!$F$2:$F$101,0)),"⚠"&amp;TRIM(F171&amp;""))),"⚠"&amp;TRIM(F171&amp;""))</f>
        <v/>
      </c>
      <c r="O171" s="10">
        <f>IFERROR(IF(TRIM(G171&amp;"")="","",IF(AND(ISNUMBER(FIND(" ",TRIM(G171&amp;""))),ISNUMBER(MATCH(LEFT(TRIM(G171&amp;""),FIND(" ",TRIM(G171&amp;""))-1),코드표!$J$2:$J$101,0)),ISNUMBER(MATCH(TRIM(RIGHT(SUBSTITUTE(TRIM(G171&amp;"")," ",REPT(" ",60)),60)),코드표!$F$2:$F$101,0))),INDEX(코드표!$K$2:$K$101,MATCH(LEFT(TRIM(G171&amp;""),FIND(" ",TRIM(G171&amp;""))-1),코드표!$J$2:$J$101,0))&amp;" "&amp;INDEX(코드표!$G$2:$G$101,MATCH(TRIM(RIGHT(SUBSTITUTE(TRIM(G171&amp;"")," ",REPT(" ",60)),60)),코드표!$F$2:$F$101,0)),"⚠"&amp;TRIM(G171&amp;""))),"⚠"&amp;TRIM(G171&amp;""))</f>
        <v/>
      </c>
      <c r="P171" s="10">
        <f>IFERROR(IF(TRIM(H171&amp;"")="","",IF(AND(ISNUMBER(FIND(" ",TRIM(H171&amp;""))),ISNUMBER(MATCH(LEFT(TRIM(H171&amp;""),FIND(" ",TRIM(H171&amp;""))-1),코드표!$J$2:$J$101,0)),ISNUMBER(MATCH(TRIM(RIGHT(SUBSTITUTE(TRIM(H171&amp;"")," ",REPT(" ",60)),60)),코드표!$F$2:$F$101,0))),INDEX(코드표!$K$2:$K$101,MATCH(LEFT(TRIM(H171&amp;""),FIND(" ",TRIM(H171&amp;""))-1),코드표!$J$2:$J$101,0))&amp;" "&amp;INDEX(코드표!$G$2:$G$101,MATCH(TRIM(RIGHT(SUBSTITUTE(TRIM(H171&amp;"")," ",REPT(" ",60)),60)),코드표!$F$2:$F$101,0)),"⚠"&amp;TRIM(H171&amp;""))),"⚠"&amp;TRIM(H171&amp;""))</f>
        <v/>
      </c>
      <c r="Q171" s="10">
        <f>IFERROR(IF(TRIM(I171&amp;"")="","",IF(AND(ISNUMBER(FIND(" ",TRIM(I171&amp;""))),ISNUMBER(MATCH(LEFT(TRIM(I171&amp;""),FIND(" ",TRIM(I171&amp;""))-1),코드표!$J$2:$J$101,0)),ISNUMBER(MATCH(TRIM(RIGHT(SUBSTITUTE(TRIM(I171&amp;"")," ",REPT(" ",60)),60)),코드표!$F$2:$F$101,0))),INDEX(코드표!$K$2:$K$101,MATCH(LEFT(TRIM(I171&amp;""),FIND(" ",TRIM(I171&amp;""))-1),코드표!$J$2:$J$101,0))&amp;" "&amp;INDEX(코드표!$G$2:$G$101,MATCH(TRIM(RIGHT(SUBSTITUTE(TRIM(I171&amp;"")," ",REPT(" ",60)),60)),코드표!$F$2:$F$101,0)),"⚠"&amp;TRIM(I171&amp;""))),"⚠"&amp;TRIM(I171&amp;""))</f>
        <v/>
      </c>
      <c r="R171" s="10">
        <f>IFERROR(IF(TRIM(J171&amp;"")="","",IF(AND(ISNUMBER(FIND(" ",TRIM(J171&amp;""))),ISNUMBER(MATCH(LEFT(TRIM(J171&amp;""),FIND(" ",TRIM(J171&amp;""))-1),코드표!$J$2:$J$101,0)),ISNUMBER(MATCH(TRIM(RIGHT(SUBSTITUTE(TRIM(J171&amp;"")," ",REPT(" ",60)),60)),코드표!$F$2:$F$101,0))),INDEX(코드표!$K$2:$K$101,MATCH(LEFT(TRIM(J171&amp;""),FIND(" ",TRIM(J171&amp;""))-1),코드표!$J$2:$J$101,0))&amp;" "&amp;INDEX(코드표!$G$2:$G$101,MATCH(TRIM(RIGHT(SUBSTITUTE(TRIM(J171&amp;"")," ",REPT(" ",60)),60)),코드표!$F$2:$F$101,0)),"⚠"&amp;TRIM(J171&amp;""))),"⚠"&amp;TRIM(J171&amp;""))</f>
        <v/>
      </c>
      <c r="S171" s="11">
        <f>IF(K171="","",IFERROR(IF(AND(ROUND((VALUE(K171&amp;"")-INT(VALUE(K171&amp;"")))*100,0)&gt;=1,ROUND((VALUE(K171&amp;"")-INT(VALUE(K171&amp;"")))*100,0)&lt;=12,INT(VALUE(K171&amp;""))&gt;=1900),DATE(INT(VALUE(K171&amp;"")),ROUND((VALUE(K171&amp;"")-INT(VALUE(K171&amp;"")))*100,0),1),K171&amp;""),K171&amp;""))</f>
        <v/>
      </c>
      <c r="T171" s="10">
        <f>COUNTIF(M171:R171,"⚠*")</f>
        <v/>
      </c>
    </row>
    <row r="172"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M172" s="10">
        <f>IFERROR(IF(TRIM(E172&amp;"")="","",IF(AND(ISNUMBER(FIND(" ",TRIM(E172&amp;""))),ISNUMBER(MATCH(LEFT(TRIM(E172&amp;""),FIND(" ",TRIM(E172&amp;""))-1),코드표!$J$2:$J$101,0)),ISNUMBER(MATCH(TRIM(RIGHT(SUBSTITUTE(TRIM(E172&amp;"")," ",REPT(" ",60)),60)),코드표!$F$2:$F$101,0))),INDEX(코드표!$K$2:$K$101,MATCH(LEFT(TRIM(E172&amp;""),FIND(" ",TRIM(E172&amp;""))-1),코드표!$J$2:$J$101,0))&amp;" "&amp;INDEX(코드표!$G$2:$G$101,MATCH(TRIM(RIGHT(SUBSTITUTE(TRIM(E172&amp;"")," ",REPT(" ",60)),60)),코드표!$F$2:$F$101,0)),"⚠"&amp;TRIM(E172&amp;""))),"⚠"&amp;TRIM(E172&amp;""))</f>
        <v/>
      </c>
      <c r="N172" s="10">
        <f>IFERROR(IF(TRIM(F172&amp;"")="","",IF(AND(ISNUMBER(FIND(" ",TRIM(F172&amp;""))),ISNUMBER(MATCH(LEFT(TRIM(F172&amp;""),FIND(" ",TRIM(F172&amp;""))-1),코드표!$J$2:$J$101,0)),ISNUMBER(MATCH(TRIM(RIGHT(SUBSTITUTE(TRIM(F172&amp;"")," ",REPT(" ",60)),60)),코드표!$F$2:$F$101,0))),INDEX(코드표!$K$2:$K$101,MATCH(LEFT(TRIM(F172&amp;""),FIND(" ",TRIM(F172&amp;""))-1),코드표!$J$2:$J$101,0))&amp;" "&amp;INDEX(코드표!$G$2:$G$101,MATCH(TRIM(RIGHT(SUBSTITUTE(TRIM(F172&amp;"")," ",REPT(" ",60)),60)),코드표!$F$2:$F$101,0)),"⚠"&amp;TRIM(F172&amp;""))),"⚠"&amp;TRIM(F172&amp;""))</f>
        <v/>
      </c>
      <c r="O172" s="10">
        <f>IFERROR(IF(TRIM(G172&amp;"")="","",IF(AND(ISNUMBER(FIND(" ",TRIM(G172&amp;""))),ISNUMBER(MATCH(LEFT(TRIM(G172&amp;""),FIND(" ",TRIM(G172&amp;""))-1),코드표!$J$2:$J$101,0)),ISNUMBER(MATCH(TRIM(RIGHT(SUBSTITUTE(TRIM(G172&amp;"")," ",REPT(" ",60)),60)),코드표!$F$2:$F$101,0))),INDEX(코드표!$K$2:$K$101,MATCH(LEFT(TRIM(G172&amp;""),FIND(" ",TRIM(G172&amp;""))-1),코드표!$J$2:$J$101,0))&amp;" "&amp;INDEX(코드표!$G$2:$G$101,MATCH(TRIM(RIGHT(SUBSTITUTE(TRIM(G172&amp;"")," ",REPT(" ",60)),60)),코드표!$F$2:$F$101,0)),"⚠"&amp;TRIM(G172&amp;""))),"⚠"&amp;TRIM(G172&amp;""))</f>
        <v/>
      </c>
      <c r="P172" s="10">
        <f>IFERROR(IF(TRIM(H172&amp;"")="","",IF(AND(ISNUMBER(FIND(" ",TRIM(H172&amp;""))),ISNUMBER(MATCH(LEFT(TRIM(H172&amp;""),FIND(" ",TRIM(H172&amp;""))-1),코드표!$J$2:$J$101,0)),ISNUMBER(MATCH(TRIM(RIGHT(SUBSTITUTE(TRIM(H172&amp;"")," ",REPT(" ",60)),60)),코드표!$F$2:$F$101,0))),INDEX(코드표!$K$2:$K$101,MATCH(LEFT(TRIM(H172&amp;""),FIND(" ",TRIM(H172&amp;""))-1),코드표!$J$2:$J$101,0))&amp;" "&amp;INDEX(코드표!$G$2:$G$101,MATCH(TRIM(RIGHT(SUBSTITUTE(TRIM(H172&amp;"")," ",REPT(" ",60)),60)),코드표!$F$2:$F$101,0)),"⚠"&amp;TRIM(H172&amp;""))),"⚠"&amp;TRIM(H172&amp;""))</f>
        <v/>
      </c>
      <c r="Q172" s="10">
        <f>IFERROR(IF(TRIM(I172&amp;"")="","",IF(AND(ISNUMBER(FIND(" ",TRIM(I172&amp;""))),ISNUMBER(MATCH(LEFT(TRIM(I172&amp;""),FIND(" ",TRIM(I172&amp;""))-1),코드표!$J$2:$J$101,0)),ISNUMBER(MATCH(TRIM(RIGHT(SUBSTITUTE(TRIM(I172&amp;"")," ",REPT(" ",60)),60)),코드표!$F$2:$F$101,0))),INDEX(코드표!$K$2:$K$101,MATCH(LEFT(TRIM(I172&amp;""),FIND(" ",TRIM(I172&amp;""))-1),코드표!$J$2:$J$101,0))&amp;" "&amp;INDEX(코드표!$G$2:$G$101,MATCH(TRIM(RIGHT(SUBSTITUTE(TRIM(I172&amp;"")," ",REPT(" ",60)),60)),코드표!$F$2:$F$101,0)),"⚠"&amp;TRIM(I172&amp;""))),"⚠"&amp;TRIM(I172&amp;""))</f>
        <v/>
      </c>
      <c r="R172" s="10">
        <f>IFERROR(IF(TRIM(J172&amp;"")="","",IF(AND(ISNUMBER(FIND(" ",TRIM(J172&amp;""))),ISNUMBER(MATCH(LEFT(TRIM(J172&amp;""),FIND(" ",TRIM(J172&amp;""))-1),코드표!$J$2:$J$101,0)),ISNUMBER(MATCH(TRIM(RIGHT(SUBSTITUTE(TRIM(J172&amp;"")," ",REPT(" ",60)),60)),코드표!$F$2:$F$101,0))),INDEX(코드표!$K$2:$K$101,MATCH(LEFT(TRIM(J172&amp;""),FIND(" ",TRIM(J172&amp;""))-1),코드표!$J$2:$J$101,0))&amp;" "&amp;INDEX(코드표!$G$2:$G$101,MATCH(TRIM(RIGHT(SUBSTITUTE(TRIM(J172&amp;"")," ",REPT(" ",60)),60)),코드표!$F$2:$F$101,0)),"⚠"&amp;TRIM(J172&amp;""))),"⚠"&amp;TRIM(J172&amp;""))</f>
        <v/>
      </c>
      <c r="S172" s="11">
        <f>IF(K172="","",IFERROR(IF(AND(ROUND((VALUE(K172&amp;"")-INT(VALUE(K172&amp;"")))*100,0)&gt;=1,ROUND((VALUE(K172&amp;"")-INT(VALUE(K172&amp;"")))*100,0)&lt;=12,INT(VALUE(K172&amp;""))&gt;=1900),DATE(INT(VALUE(K172&amp;"")),ROUND((VALUE(K172&amp;"")-INT(VALUE(K172&amp;"")))*100,0),1),K172&amp;""),K172&amp;""))</f>
        <v/>
      </c>
      <c r="T172" s="10">
        <f>COUNTIF(M172:R172,"⚠*")</f>
        <v/>
      </c>
    </row>
    <row r="173"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M173" s="10">
        <f>IFERROR(IF(TRIM(E173&amp;"")="","",IF(AND(ISNUMBER(FIND(" ",TRIM(E173&amp;""))),ISNUMBER(MATCH(LEFT(TRIM(E173&amp;""),FIND(" ",TRIM(E173&amp;""))-1),코드표!$J$2:$J$101,0)),ISNUMBER(MATCH(TRIM(RIGHT(SUBSTITUTE(TRIM(E173&amp;"")," ",REPT(" ",60)),60)),코드표!$F$2:$F$101,0))),INDEX(코드표!$K$2:$K$101,MATCH(LEFT(TRIM(E173&amp;""),FIND(" ",TRIM(E173&amp;""))-1),코드표!$J$2:$J$101,0))&amp;" "&amp;INDEX(코드표!$G$2:$G$101,MATCH(TRIM(RIGHT(SUBSTITUTE(TRIM(E173&amp;"")," ",REPT(" ",60)),60)),코드표!$F$2:$F$101,0)),"⚠"&amp;TRIM(E173&amp;""))),"⚠"&amp;TRIM(E173&amp;""))</f>
        <v/>
      </c>
      <c r="N173" s="10">
        <f>IFERROR(IF(TRIM(F173&amp;"")="","",IF(AND(ISNUMBER(FIND(" ",TRIM(F173&amp;""))),ISNUMBER(MATCH(LEFT(TRIM(F173&amp;""),FIND(" ",TRIM(F173&amp;""))-1),코드표!$J$2:$J$101,0)),ISNUMBER(MATCH(TRIM(RIGHT(SUBSTITUTE(TRIM(F173&amp;"")," ",REPT(" ",60)),60)),코드표!$F$2:$F$101,0))),INDEX(코드표!$K$2:$K$101,MATCH(LEFT(TRIM(F173&amp;""),FIND(" ",TRIM(F173&amp;""))-1),코드표!$J$2:$J$101,0))&amp;" "&amp;INDEX(코드표!$G$2:$G$101,MATCH(TRIM(RIGHT(SUBSTITUTE(TRIM(F173&amp;"")," ",REPT(" ",60)),60)),코드표!$F$2:$F$101,0)),"⚠"&amp;TRIM(F173&amp;""))),"⚠"&amp;TRIM(F173&amp;""))</f>
        <v/>
      </c>
      <c r="O173" s="10">
        <f>IFERROR(IF(TRIM(G173&amp;"")="","",IF(AND(ISNUMBER(FIND(" ",TRIM(G173&amp;""))),ISNUMBER(MATCH(LEFT(TRIM(G173&amp;""),FIND(" ",TRIM(G173&amp;""))-1),코드표!$J$2:$J$101,0)),ISNUMBER(MATCH(TRIM(RIGHT(SUBSTITUTE(TRIM(G173&amp;"")," ",REPT(" ",60)),60)),코드표!$F$2:$F$101,0))),INDEX(코드표!$K$2:$K$101,MATCH(LEFT(TRIM(G173&amp;""),FIND(" ",TRIM(G173&amp;""))-1),코드표!$J$2:$J$101,0))&amp;" "&amp;INDEX(코드표!$G$2:$G$101,MATCH(TRIM(RIGHT(SUBSTITUTE(TRIM(G173&amp;"")," ",REPT(" ",60)),60)),코드표!$F$2:$F$101,0)),"⚠"&amp;TRIM(G173&amp;""))),"⚠"&amp;TRIM(G173&amp;""))</f>
        <v/>
      </c>
      <c r="P173" s="10">
        <f>IFERROR(IF(TRIM(H173&amp;"")="","",IF(AND(ISNUMBER(FIND(" ",TRIM(H173&amp;""))),ISNUMBER(MATCH(LEFT(TRIM(H173&amp;""),FIND(" ",TRIM(H173&amp;""))-1),코드표!$J$2:$J$101,0)),ISNUMBER(MATCH(TRIM(RIGHT(SUBSTITUTE(TRIM(H173&amp;"")," ",REPT(" ",60)),60)),코드표!$F$2:$F$101,0))),INDEX(코드표!$K$2:$K$101,MATCH(LEFT(TRIM(H173&amp;""),FIND(" ",TRIM(H173&amp;""))-1),코드표!$J$2:$J$101,0))&amp;" "&amp;INDEX(코드표!$G$2:$G$101,MATCH(TRIM(RIGHT(SUBSTITUTE(TRIM(H173&amp;"")," ",REPT(" ",60)),60)),코드표!$F$2:$F$101,0)),"⚠"&amp;TRIM(H173&amp;""))),"⚠"&amp;TRIM(H173&amp;""))</f>
        <v/>
      </c>
      <c r="Q173" s="10">
        <f>IFERROR(IF(TRIM(I173&amp;"")="","",IF(AND(ISNUMBER(FIND(" ",TRIM(I173&amp;""))),ISNUMBER(MATCH(LEFT(TRIM(I173&amp;""),FIND(" ",TRIM(I173&amp;""))-1),코드표!$J$2:$J$101,0)),ISNUMBER(MATCH(TRIM(RIGHT(SUBSTITUTE(TRIM(I173&amp;"")," ",REPT(" ",60)),60)),코드표!$F$2:$F$101,0))),INDEX(코드표!$K$2:$K$101,MATCH(LEFT(TRIM(I173&amp;""),FIND(" ",TRIM(I173&amp;""))-1),코드표!$J$2:$J$101,0))&amp;" "&amp;INDEX(코드표!$G$2:$G$101,MATCH(TRIM(RIGHT(SUBSTITUTE(TRIM(I173&amp;"")," ",REPT(" ",60)),60)),코드표!$F$2:$F$101,0)),"⚠"&amp;TRIM(I173&amp;""))),"⚠"&amp;TRIM(I173&amp;""))</f>
        <v/>
      </c>
      <c r="R173" s="10">
        <f>IFERROR(IF(TRIM(J173&amp;"")="","",IF(AND(ISNUMBER(FIND(" ",TRIM(J173&amp;""))),ISNUMBER(MATCH(LEFT(TRIM(J173&amp;""),FIND(" ",TRIM(J173&amp;""))-1),코드표!$J$2:$J$101,0)),ISNUMBER(MATCH(TRIM(RIGHT(SUBSTITUTE(TRIM(J173&amp;"")," ",REPT(" ",60)),60)),코드표!$F$2:$F$101,0))),INDEX(코드표!$K$2:$K$101,MATCH(LEFT(TRIM(J173&amp;""),FIND(" ",TRIM(J173&amp;""))-1),코드표!$J$2:$J$101,0))&amp;" "&amp;INDEX(코드표!$G$2:$G$101,MATCH(TRIM(RIGHT(SUBSTITUTE(TRIM(J173&amp;"")," ",REPT(" ",60)),60)),코드표!$F$2:$F$101,0)),"⚠"&amp;TRIM(J173&amp;""))),"⚠"&amp;TRIM(J173&amp;""))</f>
        <v/>
      </c>
      <c r="S173" s="11">
        <f>IF(K173="","",IFERROR(IF(AND(ROUND((VALUE(K173&amp;"")-INT(VALUE(K173&amp;"")))*100,0)&gt;=1,ROUND((VALUE(K173&amp;"")-INT(VALUE(K173&amp;"")))*100,0)&lt;=12,INT(VALUE(K173&amp;""))&gt;=1900),DATE(INT(VALUE(K173&amp;"")),ROUND((VALUE(K173&amp;"")-INT(VALUE(K173&amp;"")))*100,0),1),K173&amp;""),K173&amp;""))</f>
        <v/>
      </c>
      <c r="T173" s="10">
        <f>COUNTIF(M173:R173,"⚠*")</f>
        <v/>
      </c>
    </row>
    <row r="174"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M174" s="10">
        <f>IFERROR(IF(TRIM(E174&amp;"")="","",IF(AND(ISNUMBER(FIND(" ",TRIM(E174&amp;""))),ISNUMBER(MATCH(LEFT(TRIM(E174&amp;""),FIND(" ",TRIM(E174&amp;""))-1),코드표!$J$2:$J$101,0)),ISNUMBER(MATCH(TRIM(RIGHT(SUBSTITUTE(TRIM(E174&amp;"")," ",REPT(" ",60)),60)),코드표!$F$2:$F$101,0))),INDEX(코드표!$K$2:$K$101,MATCH(LEFT(TRIM(E174&amp;""),FIND(" ",TRIM(E174&amp;""))-1),코드표!$J$2:$J$101,0))&amp;" "&amp;INDEX(코드표!$G$2:$G$101,MATCH(TRIM(RIGHT(SUBSTITUTE(TRIM(E174&amp;"")," ",REPT(" ",60)),60)),코드표!$F$2:$F$101,0)),"⚠"&amp;TRIM(E174&amp;""))),"⚠"&amp;TRIM(E174&amp;""))</f>
        <v/>
      </c>
      <c r="N174" s="10">
        <f>IFERROR(IF(TRIM(F174&amp;"")="","",IF(AND(ISNUMBER(FIND(" ",TRIM(F174&amp;""))),ISNUMBER(MATCH(LEFT(TRIM(F174&amp;""),FIND(" ",TRIM(F174&amp;""))-1),코드표!$J$2:$J$101,0)),ISNUMBER(MATCH(TRIM(RIGHT(SUBSTITUTE(TRIM(F174&amp;"")," ",REPT(" ",60)),60)),코드표!$F$2:$F$101,0))),INDEX(코드표!$K$2:$K$101,MATCH(LEFT(TRIM(F174&amp;""),FIND(" ",TRIM(F174&amp;""))-1),코드표!$J$2:$J$101,0))&amp;" "&amp;INDEX(코드표!$G$2:$G$101,MATCH(TRIM(RIGHT(SUBSTITUTE(TRIM(F174&amp;"")," ",REPT(" ",60)),60)),코드표!$F$2:$F$101,0)),"⚠"&amp;TRIM(F174&amp;""))),"⚠"&amp;TRIM(F174&amp;""))</f>
        <v/>
      </c>
      <c r="O174" s="10">
        <f>IFERROR(IF(TRIM(G174&amp;"")="","",IF(AND(ISNUMBER(FIND(" ",TRIM(G174&amp;""))),ISNUMBER(MATCH(LEFT(TRIM(G174&amp;""),FIND(" ",TRIM(G174&amp;""))-1),코드표!$J$2:$J$101,0)),ISNUMBER(MATCH(TRIM(RIGHT(SUBSTITUTE(TRIM(G174&amp;"")," ",REPT(" ",60)),60)),코드표!$F$2:$F$101,0))),INDEX(코드표!$K$2:$K$101,MATCH(LEFT(TRIM(G174&amp;""),FIND(" ",TRIM(G174&amp;""))-1),코드표!$J$2:$J$101,0))&amp;" "&amp;INDEX(코드표!$G$2:$G$101,MATCH(TRIM(RIGHT(SUBSTITUTE(TRIM(G174&amp;"")," ",REPT(" ",60)),60)),코드표!$F$2:$F$101,0)),"⚠"&amp;TRIM(G174&amp;""))),"⚠"&amp;TRIM(G174&amp;""))</f>
        <v/>
      </c>
      <c r="P174" s="10">
        <f>IFERROR(IF(TRIM(H174&amp;"")="","",IF(AND(ISNUMBER(FIND(" ",TRIM(H174&amp;""))),ISNUMBER(MATCH(LEFT(TRIM(H174&amp;""),FIND(" ",TRIM(H174&amp;""))-1),코드표!$J$2:$J$101,0)),ISNUMBER(MATCH(TRIM(RIGHT(SUBSTITUTE(TRIM(H174&amp;"")," ",REPT(" ",60)),60)),코드표!$F$2:$F$101,0))),INDEX(코드표!$K$2:$K$101,MATCH(LEFT(TRIM(H174&amp;""),FIND(" ",TRIM(H174&amp;""))-1),코드표!$J$2:$J$101,0))&amp;" "&amp;INDEX(코드표!$G$2:$G$101,MATCH(TRIM(RIGHT(SUBSTITUTE(TRIM(H174&amp;"")," ",REPT(" ",60)),60)),코드표!$F$2:$F$101,0)),"⚠"&amp;TRIM(H174&amp;""))),"⚠"&amp;TRIM(H174&amp;""))</f>
        <v/>
      </c>
      <c r="Q174" s="10">
        <f>IFERROR(IF(TRIM(I174&amp;"")="","",IF(AND(ISNUMBER(FIND(" ",TRIM(I174&amp;""))),ISNUMBER(MATCH(LEFT(TRIM(I174&amp;""),FIND(" ",TRIM(I174&amp;""))-1),코드표!$J$2:$J$101,0)),ISNUMBER(MATCH(TRIM(RIGHT(SUBSTITUTE(TRIM(I174&amp;"")," ",REPT(" ",60)),60)),코드표!$F$2:$F$101,0))),INDEX(코드표!$K$2:$K$101,MATCH(LEFT(TRIM(I174&amp;""),FIND(" ",TRIM(I174&amp;""))-1),코드표!$J$2:$J$101,0))&amp;" "&amp;INDEX(코드표!$G$2:$G$101,MATCH(TRIM(RIGHT(SUBSTITUTE(TRIM(I174&amp;"")," ",REPT(" ",60)),60)),코드표!$F$2:$F$101,0)),"⚠"&amp;TRIM(I174&amp;""))),"⚠"&amp;TRIM(I174&amp;""))</f>
        <v/>
      </c>
      <c r="R174" s="10">
        <f>IFERROR(IF(TRIM(J174&amp;"")="","",IF(AND(ISNUMBER(FIND(" ",TRIM(J174&amp;""))),ISNUMBER(MATCH(LEFT(TRIM(J174&amp;""),FIND(" ",TRIM(J174&amp;""))-1),코드표!$J$2:$J$101,0)),ISNUMBER(MATCH(TRIM(RIGHT(SUBSTITUTE(TRIM(J174&amp;"")," ",REPT(" ",60)),60)),코드표!$F$2:$F$101,0))),INDEX(코드표!$K$2:$K$101,MATCH(LEFT(TRIM(J174&amp;""),FIND(" ",TRIM(J174&amp;""))-1),코드표!$J$2:$J$101,0))&amp;" "&amp;INDEX(코드표!$G$2:$G$101,MATCH(TRIM(RIGHT(SUBSTITUTE(TRIM(J174&amp;"")," ",REPT(" ",60)),60)),코드표!$F$2:$F$101,0)),"⚠"&amp;TRIM(J174&amp;""))),"⚠"&amp;TRIM(J174&amp;""))</f>
        <v/>
      </c>
      <c r="S174" s="11">
        <f>IF(K174="","",IFERROR(IF(AND(ROUND((VALUE(K174&amp;"")-INT(VALUE(K174&amp;"")))*100,0)&gt;=1,ROUND((VALUE(K174&amp;"")-INT(VALUE(K174&amp;"")))*100,0)&lt;=12,INT(VALUE(K174&amp;""))&gt;=1900),DATE(INT(VALUE(K174&amp;"")),ROUND((VALUE(K174&amp;"")-INT(VALUE(K174&amp;"")))*100,0),1),K174&amp;""),K174&amp;""))</f>
        <v/>
      </c>
      <c r="T174" s="10">
        <f>COUNTIF(M174:R174,"⚠*")</f>
        <v/>
      </c>
    </row>
    <row r="175"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M175" s="10">
        <f>IFERROR(IF(TRIM(E175&amp;"")="","",IF(AND(ISNUMBER(FIND(" ",TRIM(E175&amp;""))),ISNUMBER(MATCH(LEFT(TRIM(E175&amp;""),FIND(" ",TRIM(E175&amp;""))-1),코드표!$J$2:$J$101,0)),ISNUMBER(MATCH(TRIM(RIGHT(SUBSTITUTE(TRIM(E175&amp;"")," ",REPT(" ",60)),60)),코드표!$F$2:$F$101,0))),INDEX(코드표!$K$2:$K$101,MATCH(LEFT(TRIM(E175&amp;""),FIND(" ",TRIM(E175&amp;""))-1),코드표!$J$2:$J$101,0))&amp;" "&amp;INDEX(코드표!$G$2:$G$101,MATCH(TRIM(RIGHT(SUBSTITUTE(TRIM(E175&amp;"")," ",REPT(" ",60)),60)),코드표!$F$2:$F$101,0)),"⚠"&amp;TRIM(E175&amp;""))),"⚠"&amp;TRIM(E175&amp;""))</f>
        <v/>
      </c>
      <c r="N175" s="10">
        <f>IFERROR(IF(TRIM(F175&amp;"")="","",IF(AND(ISNUMBER(FIND(" ",TRIM(F175&amp;""))),ISNUMBER(MATCH(LEFT(TRIM(F175&amp;""),FIND(" ",TRIM(F175&amp;""))-1),코드표!$J$2:$J$101,0)),ISNUMBER(MATCH(TRIM(RIGHT(SUBSTITUTE(TRIM(F175&amp;"")," ",REPT(" ",60)),60)),코드표!$F$2:$F$101,0))),INDEX(코드표!$K$2:$K$101,MATCH(LEFT(TRIM(F175&amp;""),FIND(" ",TRIM(F175&amp;""))-1),코드표!$J$2:$J$101,0))&amp;" "&amp;INDEX(코드표!$G$2:$G$101,MATCH(TRIM(RIGHT(SUBSTITUTE(TRIM(F175&amp;"")," ",REPT(" ",60)),60)),코드표!$F$2:$F$101,0)),"⚠"&amp;TRIM(F175&amp;""))),"⚠"&amp;TRIM(F175&amp;""))</f>
        <v/>
      </c>
      <c r="O175" s="10">
        <f>IFERROR(IF(TRIM(G175&amp;"")="","",IF(AND(ISNUMBER(FIND(" ",TRIM(G175&amp;""))),ISNUMBER(MATCH(LEFT(TRIM(G175&amp;""),FIND(" ",TRIM(G175&amp;""))-1),코드표!$J$2:$J$101,0)),ISNUMBER(MATCH(TRIM(RIGHT(SUBSTITUTE(TRIM(G175&amp;"")," ",REPT(" ",60)),60)),코드표!$F$2:$F$101,0))),INDEX(코드표!$K$2:$K$101,MATCH(LEFT(TRIM(G175&amp;""),FIND(" ",TRIM(G175&amp;""))-1),코드표!$J$2:$J$101,0))&amp;" "&amp;INDEX(코드표!$G$2:$G$101,MATCH(TRIM(RIGHT(SUBSTITUTE(TRIM(G175&amp;"")," ",REPT(" ",60)),60)),코드표!$F$2:$F$101,0)),"⚠"&amp;TRIM(G175&amp;""))),"⚠"&amp;TRIM(G175&amp;""))</f>
        <v/>
      </c>
      <c r="P175" s="10">
        <f>IFERROR(IF(TRIM(H175&amp;"")="","",IF(AND(ISNUMBER(FIND(" ",TRIM(H175&amp;""))),ISNUMBER(MATCH(LEFT(TRIM(H175&amp;""),FIND(" ",TRIM(H175&amp;""))-1),코드표!$J$2:$J$101,0)),ISNUMBER(MATCH(TRIM(RIGHT(SUBSTITUTE(TRIM(H175&amp;"")," ",REPT(" ",60)),60)),코드표!$F$2:$F$101,0))),INDEX(코드표!$K$2:$K$101,MATCH(LEFT(TRIM(H175&amp;""),FIND(" ",TRIM(H175&amp;""))-1),코드표!$J$2:$J$101,0))&amp;" "&amp;INDEX(코드표!$G$2:$G$101,MATCH(TRIM(RIGHT(SUBSTITUTE(TRIM(H175&amp;"")," ",REPT(" ",60)),60)),코드표!$F$2:$F$101,0)),"⚠"&amp;TRIM(H175&amp;""))),"⚠"&amp;TRIM(H175&amp;""))</f>
        <v/>
      </c>
      <c r="Q175" s="10">
        <f>IFERROR(IF(TRIM(I175&amp;"")="","",IF(AND(ISNUMBER(FIND(" ",TRIM(I175&amp;""))),ISNUMBER(MATCH(LEFT(TRIM(I175&amp;""),FIND(" ",TRIM(I175&amp;""))-1),코드표!$J$2:$J$101,0)),ISNUMBER(MATCH(TRIM(RIGHT(SUBSTITUTE(TRIM(I175&amp;"")," ",REPT(" ",60)),60)),코드표!$F$2:$F$101,0))),INDEX(코드표!$K$2:$K$101,MATCH(LEFT(TRIM(I175&amp;""),FIND(" ",TRIM(I175&amp;""))-1),코드표!$J$2:$J$101,0))&amp;" "&amp;INDEX(코드표!$G$2:$G$101,MATCH(TRIM(RIGHT(SUBSTITUTE(TRIM(I175&amp;"")," ",REPT(" ",60)),60)),코드표!$F$2:$F$101,0)),"⚠"&amp;TRIM(I175&amp;""))),"⚠"&amp;TRIM(I175&amp;""))</f>
        <v/>
      </c>
      <c r="R175" s="10">
        <f>IFERROR(IF(TRIM(J175&amp;"")="","",IF(AND(ISNUMBER(FIND(" ",TRIM(J175&amp;""))),ISNUMBER(MATCH(LEFT(TRIM(J175&amp;""),FIND(" ",TRIM(J175&amp;""))-1),코드표!$J$2:$J$101,0)),ISNUMBER(MATCH(TRIM(RIGHT(SUBSTITUTE(TRIM(J175&amp;"")," ",REPT(" ",60)),60)),코드표!$F$2:$F$101,0))),INDEX(코드표!$K$2:$K$101,MATCH(LEFT(TRIM(J175&amp;""),FIND(" ",TRIM(J175&amp;""))-1),코드표!$J$2:$J$101,0))&amp;" "&amp;INDEX(코드표!$G$2:$G$101,MATCH(TRIM(RIGHT(SUBSTITUTE(TRIM(J175&amp;"")," ",REPT(" ",60)),60)),코드표!$F$2:$F$101,0)),"⚠"&amp;TRIM(J175&amp;""))),"⚠"&amp;TRIM(J175&amp;""))</f>
        <v/>
      </c>
      <c r="S175" s="11">
        <f>IF(K175="","",IFERROR(IF(AND(ROUND((VALUE(K175&amp;"")-INT(VALUE(K175&amp;"")))*100,0)&gt;=1,ROUND((VALUE(K175&amp;"")-INT(VALUE(K175&amp;"")))*100,0)&lt;=12,INT(VALUE(K175&amp;""))&gt;=1900),DATE(INT(VALUE(K175&amp;"")),ROUND((VALUE(K175&amp;"")-INT(VALUE(K175&amp;"")))*100,0),1),K175&amp;""),K175&amp;""))</f>
        <v/>
      </c>
      <c r="T175" s="10">
        <f>COUNTIF(M175:R175,"⚠*")</f>
        <v/>
      </c>
    </row>
    <row r="176"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M176" s="10">
        <f>IFERROR(IF(TRIM(E176&amp;"")="","",IF(AND(ISNUMBER(FIND(" ",TRIM(E176&amp;""))),ISNUMBER(MATCH(LEFT(TRIM(E176&amp;""),FIND(" ",TRIM(E176&amp;""))-1),코드표!$J$2:$J$101,0)),ISNUMBER(MATCH(TRIM(RIGHT(SUBSTITUTE(TRIM(E176&amp;"")," ",REPT(" ",60)),60)),코드표!$F$2:$F$101,0))),INDEX(코드표!$K$2:$K$101,MATCH(LEFT(TRIM(E176&amp;""),FIND(" ",TRIM(E176&amp;""))-1),코드표!$J$2:$J$101,0))&amp;" "&amp;INDEX(코드표!$G$2:$G$101,MATCH(TRIM(RIGHT(SUBSTITUTE(TRIM(E176&amp;"")," ",REPT(" ",60)),60)),코드표!$F$2:$F$101,0)),"⚠"&amp;TRIM(E176&amp;""))),"⚠"&amp;TRIM(E176&amp;""))</f>
        <v/>
      </c>
      <c r="N176" s="10">
        <f>IFERROR(IF(TRIM(F176&amp;"")="","",IF(AND(ISNUMBER(FIND(" ",TRIM(F176&amp;""))),ISNUMBER(MATCH(LEFT(TRIM(F176&amp;""),FIND(" ",TRIM(F176&amp;""))-1),코드표!$J$2:$J$101,0)),ISNUMBER(MATCH(TRIM(RIGHT(SUBSTITUTE(TRIM(F176&amp;"")," ",REPT(" ",60)),60)),코드표!$F$2:$F$101,0))),INDEX(코드표!$K$2:$K$101,MATCH(LEFT(TRIM(F176&amp;""),FIND(" ",TRIM(F176&amp;""))-1),코드표!$J$2:$J$101,0))&amp;" "&amp;INDEX(코드표!$G$2:$G$101,MATCH(TRIM(RIGHT(SUBSTITUTE(TRIM(F176&amp;"")," ",REPT(" ",60)),60)),코드표!$F$2:$F$101,0)),"⚠"&amp;TRIM(F176&amp;""))),"⚠"&amp;TRIM(F176&amp;""))</f>
        <v/>
      </c>
      <c r="O176" s="10">
        <f>IFERROR(IF(TRIM(G176&amp;"")="","",IF(AND(ISNUMBER(FIND(" ",TRIM(G176&amp;""))),ISNUMBER(MATCH(LEFT(TRIM(G176&amp;""),FIND(" ",TRIM(G176&amp;""))-1),코드표!$J$2:$J$101,0)),ISNUMBER(MATCH(TRIM(RIGHT(SUBSTITUTE(TRIM(G176&amp;"")," ",REPT(" ",60)),60)),코드표!$F$2:$F$101,0))),INDEX(코드표!$K$2:$K$101,MATCH(LEFT(TRIM(G176&amp;""),FIND(" ",TRIM(G176&amp;""))-1),코드표!$J$2:$J$101,0))&amp;" "&amp;INDEX(코드표!$G$2:$G$101,MATCH(TRIM(RIGHT(SUBSTITUTE(TRIM(G176&amp;"")," ",REPT(" ",60)),60)),코드표!$F$2:$F$101,0)),"⚠"&amp;TRIM(G176&amp;""))),"⚠"&amp;TRIM(G176&amp;""))</f>
        <v/>
      </c>
      <c r="P176" s="10">
        <f>IFERROR(IF(TRIM(H176&amp;"")="","",IF(AND(ISNUMBER(FIND(" ",TRIM(H176&amp;""))),ISNUMBER(MATCH(LEFT(TRIM(H176&amp;""),FIND(" ",TRIM(H176&amp;""))-1),코드표!$J$2:$J$101,0)),ISNUMBER(MATCH(TRIM(RIGHT(SUBSTITUTE(TRIM(H176&amp;"")," ",REPT(" ",60)),60)),코드표!$F$2:$F$101,0))),INDEX(코드표!$K$2:$K$101,MATCH(LEFT(TRIM(H176&amp;""),FIND(" ",TRIM(H176&amp;""))-1),코드표!$J$2:$J$101,0))&amp;" "&amp;INDEX(코드표!$G$2:$G$101,MATCH(TRIM(RIGHT(SUBSTITUTE(TRIM(H176&amp;"")," ",REPT(" ",60)),60)),코드표!$F$2:$F$101,0)),"⚠"&amp;TRIM(H176&amp;""))),"⚠"&amp;TRIM(H176&amp;""))</f>
        <v/>
      </c>
      <c r="Q176" s="10">
        <f>IFERROR(IF(TRIM(I176&amp;"")="","",IF(AND(ISNUMBER(FIND(" ",TRIM(I176&amp;""))),ISNUMBER(MATCH(LEFT(TRIM(I176&amp;""),FIND(" ",TRIM(I176&amp;""))-1),코드표!$J$2:$J$101,0)),ISNUMBER(MATCH(TRIM(RIGHT(SUBSTITUTE(TRIM(I176&amp;"")," ",REPT(" ",60)),60)),코드표!$F$2:$F$101,0))),INDEX(코드표!$K$2:$K$101,MATCH(LEFT(TRIM(I176&amp;""),FIND(" ",TRIM(I176&amp;""))-1),코드표!$J$2:$J$101,0))&amp;" "&amp;INDEX(코드표!$G$2:$G$101,MATCH(TRIM(RIGHT(SUBSTITUTE(TRIM(I176&amp;"")," ",REPT(" ",60)),60)),코드표!$F$2:$F$101,0)),"⚠"&amp;TRIM(I176&amp;""))),"⚠"&amp;TRIM(I176&amp;""))</f>
        <v/>
      </c>
      <c r="R176" s="10">
        <f>IFERROR(IF(TRIM(J176&amp;"")="","",IF(AND(ISNUMBER(FIND(" ",TRIM(J176&amp;""))),ISNUMBER(MATCH(LEFT(TRIM(J176&amp;""),FIND(" ",TRIM(J176&amp;""))-1),코드표!$J$2:$J$101,0)),ISNUMBER(MATCH(TRIM(RIGHT(SUBSTITUTE(TRIM(J176&amp;"")," ",REPT(" ",60)),60)),코드표!$F$2:$F$101,0))),INDEX(코드표!$K$2:$K$101,MATCH(LEFT(TRIM(J176&amp;""),FIND(" ",TRIM(J176&amp;""))-1),코드표!$J$2:$J$101,0))&amp;" "&amp;INDEX(코드표!$G$2:$G$101,MATCH(TRIM(RIGHT(SUBSTITUTE(TRIM(J176&amp;"")," ",REPT(" ",60)),60)),코드표!$F$2:$F$101,0)),"⚠"&amp;TRIM(J176&amp;""))),"⚠"&amp;TRIM(J176&amp;""))</f>
        <v/>
      </c>
      <c r="S176" s="11">
        <f>IF(K176="","",IFERROR(IF(AND(ROUND((VALUE(K176&amp;"")-INT(VALUE(K176&amp;"")))*100,0)&gt;=1,ROUND((VALUE(K176&amp;"")-INT(VALUE(K176&amp;"")))*100,0)&lt;=12,INT(VALUE(K176&amp;""))&gt;=1900),DATE(INT(VALUE(K176&amp;"")),ROUND((VALUE(K176&amp;"")-INT(VALUE(K176&amp;"")))*100,0),1),K176&amp;""),K176&amp;""))</f>
        <v/>
      </c>
      <c r="T176" s="10">
        <f>COUNTIF(M176:R176,"⚠*")</f>
        <v/>
      </c>
    </row>
    <row r="177"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M177" s="10">
        <f>IFERROR(IF(TRIM(E177&amp;"")="","",IF(AND(ISNUMBER(FIND(" ",TRIM(E177&amp;""))),ISNUMBER(MATCH(LEFT(TRIM(E177&amp;""),FIND(" ",TRIM(E177&amp;""))-1),코드표!$J$2:$J$101,0)),ISNUMBER(MATCH(TRIM(RIGHT(SUBSTITUTE(TRIM(E177&amp;"")," ",REPT(" ",60)),60)),코드표!$F$2:$F$101,0))),INDEX(코드표!$K$2:$K$101,MATCH(LEFT(TRIM(E177&amp;""),FIND(" ",TRIM(E177&amp;""))-1),코드표!$J$2:$J$101,0))&amp;" "&amp;INDEX(코드표!$G$2:$G$101,MATCH(TRIM(RIGHT(SUBSTITUTE(TRIM(E177&amp;"")," ",REPT(" ",60)),60)),코드표!$F$2:$F$101,0)),"⚠"&amp;TRIM(E177&amp;""))),"⚠"&amp;TRIM(E177&amp;""))</f>
        <v/>
      </c>
      <c r="N177" s="10">
        <f>IFERROR(IF(TRIM(F177&amp;"")="","",IF(AND(ISNUMBER(FIND(" ",TRIM(F177&amp;""))),ISNUMBER(MATCH(LEFT(TRIM(F177&amp;""),FIND(" ",TRIM(F177&amp;""))-1),코드표!$J$2:$J$101,0)),ISNUMBER(MATCH(TRIM(RIGHT(SUBSTITUTE(TRIM(F177&amp;"")," ",REPT(" ",60)),60)),코드표!$F$2:$F$101,0))),INDEX(코드표!$K$2:$K$101,MATCH(LEFT(TRIM(F177&amp;""),FIND(" ",TRIM(F177&amp;""))-1),코드표!$J$2:$J$101,0))&amp;" "&amp;INDEX(코드표!$G$2:$G$101,MATCH(TRIM(RIGHT(SUBSTITUTE(TRIM(F177&amp;"")," ",REPT(" ",60)),60)),코드표!$F$2:$F$101,0)),"⚠"&amp;TRIM(F177&amp;""))),"⚠"&amp;TRIM(F177&amp;""))</f>
        <v/>
      </c>
      <c r="O177" s="10">
        <f>IFERROR(IF(TRIM(G177&amp;"")="","",IF(AND(ISNUMBER(FIND(" ",TRIM(G177&amp;""))),ISNUMBER(MATCH(LEFT(TRIM(G177&amp;""),FIND(" ",TRIM(G177&amp;""))-1),코드표!$J$2:$J$101,0)),ISNUMBER(MATCH(TRIM(RIGHT(SUBSTITUTE(TRIM(G177&amp;"")," ",REPT(" ",60)),60)),코드표!$F$2:$F$101,0))),INDEX(코드표!$K$2:$K$101,MATCH(LEFT(TRIM(G177&amp;""),FIND(" ",TRIM(G177&amp;""))-1),코드표!$J$2:$J$101,0))&amp;" "&amp;INDEX(코드표!$G$2:$G$101,MATCH(TRIM(RIGHT(SUBSTITUTE(TRIM(G177&amp;"")," ",REPT(" ",60)),60)),코드표!$F$2:$F$101,0)),"⚠"&amp;TRIM(G177&amp;""))),"⚠"&amp;TRIM(G177&amp;""))</f>
        <v/>
      </c>
      <c r="P177" s="10">
        <f>IFERROR(IF(TRIM(H177&amp;"")="","",IF(AND(ISNUMBER(FIND(" ",TRIM(H177&amp;""))),ISNUMBER(MATCH(LEFT(TRIM(H177&amp;""),FIND(" ",TRIM(H177&amp;""))-1),코드표!$J$2:$J$101,0)),ISNUMBER(MATCH(TRIM(RIGHT(SUBSTITUTE(TRIM(H177&amp;"")," ",REPT(" ",60)),60)),코드표!$F$2:$F$101,0))),INDEX(코드표!$K$2:$K$101,MATCH(LEFT(TRIM(H177&amp;""),FIND(" ",TRIM(H177&amp;""))-1),코드표!$J$2:$J$101,0))&amp;" "&amp;INDEX(코드표!$G$2:$G$101,MATCH(TRIM(RIGHT(SUBSTITUTE(TRIM(H177&amp;"")," ",REPT(" ",60)),60)),코드표!$F$2:$F$101,0)),"⚠"&amp;TRIM(H177&amp;""))),"⚠"&amp;TRIM(H177&amp;""))</f>
        <v/>
      </c>
      <c r="Q177" s="10">
        <f>IFERROR(IF(TRIM(I177&amp;"")="","",IF(AND(ISNUMBER(FIND(" ",TRIM(I177&amp;""))),ISNUMBER(MATCH(LEFT(TRIM(I177&amp;""),FIND(" ",TRIM(I177&amp;""))-1),코드표!$J$2:$J$101,0)),ISNUMBER(MATCH(TRIM(RIGHT(SUBSTITUTE(TRIM(I177&amp;"")," ",REPT(" ",60)),60)),코드표!$F$2:$F$101,0))),INDEX(코드표!$K$2:$K$101,MATCH(LEFT(TRIM(I177&amp;""),FIND(" ",TRIM(I177&amp;""))-1),코드표!$J$2:$J$101,0))&amp;" "&amp;INDEX(코드표!$G$2:$G$101,MATCH(TRIM(RIGHT(SUBSTITUTE(TRIM(I177&amp;"")," ",REPT(" ",60)),60)),코드표!$F$2:$F$101,0)),"⚠"&amp;TRIM(I177&amp;""))),"⚠"&amp;TRIM(I177&amp;""))</f>
        <v/>
      </c>
      <c r="R177" s="10">
        <f>IFERROR(IF(TRIM(J177&amp;"")="","",IF(AND(ISNUMBER(FIND(" ",TRIM(J177&amp;""))),ISNUMBER(MATCH(LEFT(TRIM(J177&amp;""),FIND(" ",TRIM(J177&amp;""))-1),코드표!$J$2:$J$101,0)),ISNUMBER(MATCH(TRIM(RIGHT(SUBSTITUTE(TRIM(J177&amp;"")," ",REPT(" ",60)),60)),코드표!$F$2:$F$101,0))),INDEX(코드표!$K$2:$K$101,MATCH(LEFT(TRIM(J177&amp;""),FIND(" ",TRIM(J177&amp;""))-1),코드표!$J$2:$J$101,0))&amp;" "&amp;INDEX(코드표!$G$2:$G$101,MATCH(TRIM(RIGHT(SUBSTITUTE(TRIM(J177&amp;"")," ",REPT(" ",60)),60)),코드표!$F$2:$F$101,0)),"⚠"&amp;TRIM(J177&amp;""))),"⚠"&amp;TRIM(J177&amp;""))</f>
        <v/>
      </c>
      <c r="S177" s="11">
        <f>IF(K177="","",IFERROR(IF(AND(ROUND((VALUE(K177&amp;"")-INT(VALUE(K177&amp;"")))*100,0)&gt;=1,ROUND((VALUE(K177&amp;"")-INT(VALUE(K177&amp;"")))*100,0)&lt;=12,INT(VALUE(K177&amp;""))&gt;=1900),DATE(INT(VALUE(K177&amp;"")),ROUND((VALUE(K177&amp;"")-INT(VALUE(K177&amp;"")))*100,0),1),K177&amp;""),K177&amp;""))</f>
        <v/>
      </c>
      <c r="T177" s="10">
        <f>COUNTIF(M177:R177,"⚠*")</f>
        <v/>
      </c>
    </row>
    <row r="178"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M178" s="10">
        <f>IFERROR(IF(TRIM(E178&amp;"")="","",IF(AND(ISNUMBER(FIND(" ",TRIM(E178&amp;""))),ISNUMBER(MATCH(LEFT(TRIM(E178&amp;""),FIND(" ",TRIM(E178&amp;""))-1),코드표!$J$2:$J$101,0)),ISNUMBER(MATCH(TRIM(RIGHT(SUBSTITUTE(TRIM(E178&amp;"")," ",REPT(" ",60)),60)),코드표!$F$2:$F$101,0))),INDEX(코드표!$K$2:$K$101,MATCH(LEFT(TRIM(E178&amp;""),FIND(" ",TRIM(E178&amp;""))-1),코드표!$J$2:$J$101,0))&amp;" "&amp;INDEX(코드표!$G$2:$G$101,MATCH(TRIM(RIGHT(SUBSTITUTE(TRIM(E178&amp;"")," ",REPT(" ",60)),60)),코드표!$F$2:$F$101,0)),"⚠"&amp;TRIM(E178&amp;""))),"⚠"&amp;TRIM(E178&amp;""))</f>
        <v/>
      </c>
      <c r="N178" s="10">
        <f>IFERROR(IF(TRIM(F178&amp;"")="","",IF(AND(ISNUMBER(FIND(" ",TRIM(F178&amp;""))),ISNUMBER(MATCH(LEFT(TRIM(F178&amp;""),FIND(" ",TRIM(F178&amp;""))-1),코드표!$J$2:$J$101,0)),ISNUMBER(MATCH(TRIM(RIGHT(SUBSTITUTE(TRIM(F178&amp;"")," ",REPT(" ",60)),60)),코드표!$F$2:$F$101,0))),INDEX(코드표!$K$2:$K$101,MATCH(LEFT(TRIM(F178&amp;""),FIND(" ",TRIM(F178&amp;""))-1),코드표!$J$2:$J$101,0))&amp;" "&amp;INDEX(코드표!$G$2:$G$101,MATCH(TRIM(RIGHT(SUBSTITUTE(TRIM(F178&amp;"")," ",REPT(" ",60)),60)),코드표!$F$2:$F$101,0)),"⚠"&amp;TRIM(F178&amp;""))),"⚠"&amp;TRIM(F178&amp;""))</f>
        <v/>
      </c>
      <c r="O178" s="10">
        <f>IFERROR(IF(TRIM(G178&amp;"")="","",IF(AND(ISNUMBER(FIND(" ",TRIM(G178&amp;""))),ISNUMBER(MATCH(LEFT(TRIM(G178&amp;""),FIND(" ",TRIM(G178&amp;""))-1),코드표!$J$2:$J$101,0)),ISNUMBER(MATCH(TRIM(RIGHT(SUBSTITUTE(TRIM(G178&amp;"")," ",REPT(" ",60)),60)),코드표!$F$2:$F$101,0))),INDEX(코드표!$K$2:$K$101,MATCH(LEFT(TRIM(G178&amp;""),FIND(" ",TRIM(G178&amp;""))-1),코드표!$J$2:$J$101,0))&amp;" "&amp;INDEX(코드표!$G$2:$G$101,MATCH(TRIM(RIGHT(SUBSTITUTE(TRIM(G178&amp;"")," ",REPT(" ",60)),60)),코드표!$F$2:$F$101,0)),"⚠"&amp;TRIM(G178&amp;""))),"⚠"&amp;TRIM(G178&amp;""))</f>
        <v/>
      </c>
      <c r="P178" s="10">
        <f>IFERROR(IF(TRIM(H178&amp;"")="","",IF(AND(ISNUMBER(FIND(" ",TRIM(H178&amp;""))),ISNUMBER(MATCH(LEFT(TRIM(H178&amp;""),FIND(" ",TRIM(H178&amp;""))-1),코드표!$J$2:$J$101,0)),ISNUMBER(MATCH(TRIM(RIGHT(SUBSTITUTE(TRIM(H178&amp;"")," ",REPT(" ",60)),60)),코드표!$F$2:$F$101,0))),INDEX(코드표!$K$2:$K$101,MATCH(LEFT(TRIM(H178&amp;""),FIND(" ",TRIM(H178&amp;""))-1),코드표!$J$2:$J$101,0))&amp;" "&amp;INDEX(코드표!$G$2:$G$101,MATCH(TRIM(RIGHT(SUBSTITUTE(TRIM(H178&amp;"")," ",REPT(" ",60)),60)),코드표!$F$2:$F$101,0)),"⚠"&amp;TRIM(H178&amp;""))),"⚠"&amp;TRIM(H178&amp;""))</f>
        <v/>
      </c>
      <c r="Q178" s="10">
        <f>IFERROR(IF(TRIM(I178&amp;"")="","",IF(AND(ISNUMBER(FIND(" ",TRIM(I178&amp;""))),ISNUMBER(MATCH(LEFT(TRIM(I178&amp;""),FIND(" ",TRIM(I178&amp;""))-1),코드표!$J$2:$J$101,0)),ISNUMBER(MATCH(TRIM(RIGHT(SUBSTITUTE(TRIM(I178&amp;"")," ",REPT(" ",60)),60)),코드표!$F$2:$F$101,0))),INDEX(코드표!$K$2:$K$101,MATCH(LEFT(TRIM(I178&amp;""),FIND(" ",TRIM(I178&amp;""))-1),코드표!$J$2:$J$101,0))&amp;" "&amp;INDEX(코드표!$G$2:$G$101,MATCH(TRIM(RIGHT(SUBSTITUTE(TRIM(I178&amp;"")," ",REPT(" ",60)),60)),코드표!$F$2:$F$101,0)),"⚠"&amp;TRIM(I178&amp;""))),"⚠"&amp;TRIM(I178&amp;""))</f>
        <v/>
      </c>
      <c r="R178" s="10">
        <f>IFERROR(IF(TRIM(J178&amp;"")="","",IF(AND(ISNUMBER(FIND(" ",TRIM(J178&amp;""))),ISNUMBER(MATCH(LEFT(TRIM(J178&amp;""),FIND(" ",TRIM(J178&amp;""))-1),코드표!$J$2:$J$101,0)),ISNUMBER(MATCH(TRIM(RIGHT(SUBSTITUTE(TRIM(J178&amp;"")," ",REPT(" ",60)),60)),코드표!$F$2:$F$101,0))),INDEX(코드표!$K$2:$K$101,MATCH(LEFT(TRIM(J178&amp;""),FIND(" ",TRIM(J178&amp;""))-1),코드표!$J$2:$J$101,0))&amp;" "&amp;INDEX(코드표!$G$2:$G$101,MATCH(TRIM(RIGHT(SUBSTITUTE(TRIM(J178&amp;"")," ",REPT(" ",60)),60)),코드표!$F$2:$F$101,0)),"⚠"&amp;TRIM(J178&amp;""))),"⚠"&amp;TRIM(J178&amp;""))</f>
        <v/>
      </c>
      <c r="S178" s="11">
        <f>IF(K178="","",IFERROR(IF(AND(ROUND((VALUE(K178&amp;"")-INT(VALUE(K178&amp;"")))*100,0)&gt;=1,ROUND((VALUE(K178&amp;"")-INT(VALUE(K178&amp;"")))*100,0)&lt;=12,INT(VALUE(K178&amp;""))&gt;=1900),DATE(INT(VALUE(K178&amp;"")),ROUND((VALUE(K178&amp;"")-INT(VALUE(K178&amp;"")))*100,0),1),K178&amp;""),K178&amp;""))</f>
        <v/>
      </c>
      <c r="T178" s="10">
        <f>COUNTIF(M178:R178,"⚠*")</f>
        <v/>
      </c>
    </row>
    <row r="179"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M179" s="10">
        <f>IFERROR(IF(TRIM(E179&amp;"")="","",IF(AND(ISNUMBER(FIND(" ",TRIM(E179&amp;""))),ISNUMBER(MATCH(LEFT(TRIM(E179&amp;""),FIND(" ",TRIM(E179&amp;""))-1),코드표!$J$2:$J$101,0)),ISNUMBER(MATCH(TRIM(RIGHT(SUBSTITUTE(TRIM(E179&amp;"")," ",REPT(" ",60)),60)),코드표!$F$2:$F$101,0))),INDEX(코드표!$K$2:$K$101,MATCH(LEFT(TRIM(E179&amp;""),FIND(" ",TRIM(E179&amp;""))-1),코드표!$J$2:$J$101,0))&amp;" "&amp;INDEX(코드표!$G$2:$G$101,MATCH(TRIM(RIGHT(SUBSTITUTE(TRIM(E179&amp;"")," ",REPT(" ",60)),60)),코드표!$F$2:$F$101,0)),"⚠"&amp;TRIM(E179&amp;""))),"⚠"&amp;TRIM(E179&amp;""))</f>
        <v/>
      </c>
      <c r="N179" s="10">
        <f>IFERROR(IF(TRIM(F179&amp;"")="","",IF(AND(ISNUMBER(FIND(" ",TRIM(F179&amp;""))),ISNUMBER(MATCH(LEFT(TRIM(F179&amp;""),FIND(" ",TRIM(F179&amp;""))-1),코드표!$J$2:$J$101,0)),ISNUMBER(MATCH(TRIM(RIGHT(SUBSTITUTE(TRIM(F179&amp;"")," ",REPT(" ",60)),60)),코드표!$F$2:$F$101,0))),INDEX(코드표!$K$2:$K$101,MATCH(LEFT(TRIM(F179&amp;""),FIND(" ",TRIM(F179&amp;""))-1),코드표!$J$2:$J$101,0))&amp;" "&amp;INDEX(코드표!$G$2:$G$101,MATCH(TRIM(RIGHT(SUBSTITUTE(TRIM(F179&amp;"")," ",REPT(" ",60)),60)),코드표!$F$2:$F$101,0)),"⚠"&amp;TRIM(F179&amp;""))),"⚠"&amp;TRIM(F179&amp;""))</f>
        <v/>
      </c>
      <c r="O179" s="10">
        <f>IFERROR(IF(TRIM(G179&amp;"")="","",IF(AND(ISNUMBER(FIND(" ",TRIM(G179&amp;""))),ISNUMBER(MATCH(LEFT(TRIM(G179&amp;""),FIND(" ",TRIM(G179&amp;""))-1),코드표!$J$2:$J$101,0)),ISNUMBER(MATCH(TRIM(RIGHT(SUBSTITUTE(TRIM(G179&amp;"")," ",REPT(" ",60)),60)),코드표!$F$2:$F$101,0))),INDEX(코드표!$K$2:$K$101,MATCH(LEFT(TRIM(G179&amp;""),FIND(" ",TRIM(G179&amp;""))-1),코드표!$J$2:$J$101,0))&amp;" "&amp;INDEX(코드표!$G$2:$G$101,MATCH(TRIM(RIGHT(SUBSTITUTE(TRIM(G179&amp;"")," ",REPT(" ",60)),60)),코드표!$F$2:$F$101,0)),"⚠"&amp;TRIM(G179&amp;""))),"⚠"&amp;TRIM(G179&amp;""))</f>
        <v/>
      </c>
      <c r="P179" s="10">
        <f>IFERROR(IF(TRIM(H179&amp;"")="","",IF(AND(ISNUMBER(FIND(" ",TRIM(H179&amp;""))),ISNUMBER(MATCH(LEFT(TRIM(H179&amp;""),FIND(" ",TRIM(H179&amp;""))-1),코드표!$J$2:$J$101,0)),ISNUMBER(MATCH(TRIM(RIGHT(SUBSTITUTE(TRIM(H179&amp;"")," ",REPT(" ",60)),60)),코드표!$F$2:$F$101,0))),INDEX(코드표!$K$2:$K$101,MATCH(LEFT(TRIM(H179&amp;""),FIND(" ",TRIM(H179&amp;""))-1),코드표!$J$2:$J$101,0))&amp;" "&amp;INDEX(코드표!$G$2:$G$101,MATCH(TRIM(RIGHT(SUBSTITUTE(TRIM(H179&amp;"")," ",REPT(" ",60)),60)),코드표!$F$2:$F$101,0)),"⚠"&amp;TRIM(H179&amp;""))),"⚠"&amp;TRIM(H179&amp;""))</f>
        <v/>
      </c>
      <c r="Q179" s="10">
        <f>IFERROR(IF(TRIM(I179&amp;"")="","",IF(AND(ISNUMBER(FIND(" ",TRIM(I179&amp;""))),ISNUMBER(MATCH(LEFT(TRIM(I179&amp;""),FIND(" ",TRIM(I179&amp;""))-1),코드표!$J$2:$J$101,0)),ISNUMBER(MATCH(TRIM(RIGHT(SUBSTITUTE(TRIM(I179&amp;"")," ",REPT(" ",60)),60)),코드표!$F$2:$F$101,0))),INDEX(코드표!$K$2:$K$101,MATCH(LEFT(TRIM(I179&amp;""),FIND(" ",TRIM(I179&amp;""))-1),코드표!$J$2:$J$101,0))&amp;" "&amp;INDEX(코드표!$G$2:$G$101,MATCH(TRIM(RIGHT(SUBSTITUTE(TRIM(I179&amp;"")," ",REPT(" ",60)),60)),코드표!$F$2:$F$101,0)),"⚠"&amp;TRIM(I179&amp;""))),"⚠"&amp;TRIM(I179&amp;""))</f>
        <v/>
      </c>
      <c r="R179" s="10">
        <f>IFERROR(IF(TRIM(J179&amp;"")="","",IF(AND(ISNUMBER(FIND(" ",TRIM(J179&amp;""))),ISNUMBER(MATCH(LEFT(TRIM(J179&amp;""),FIND(" ",TRIM(J179&amp;""))-1),코드표!$J$2:$J$101,0)),ISNUMBER(MATCH(TRIM(RIGHT(SUBSTITUTE(TRIM(J179&amp;"")," ",REPT(" ",60)),60)),코드표!$F$2:$F$101,0))),INDEX(코드표!$K$2:$K$101,MATCH(LEFT(TRIM(J179&amp;""),FIND(" ",TRIM(J179&amp;""))-1),코드표!$J$2:$J$101,0))&amp;" "&amp;INDEX(코드표!$G$2:$G$101,MATCH(TRIM(RIGHT(SUBSTITUTE(TRIM(J179&amp;"")," ",REPT(" ",60)),60)),코드표!$F$2:$F$101,0)),"⚠"&amp;TRIM(J179&amp;""))),"⚠"&amp;TRIM(J179&amp;""))</f>
        <v/>
      </c>
      <c r="S179" s="11">
        <f>IF(K179="","",IFERROR(IF(AND(ROUND((VALUE(K179&amp;"")-INT(VALUE(K179&amp;"")))*100,0)&gt;=1,ROUND((VALUE(K179&amp;"")-INT(VALUE(K179&amp;"")))*100,0)&lt;=12,INT(VALUE(K179&amp;""))&gt;=1900),DATE(INT(VALUE(K179&amp;"")),ROUND((VALUE(K179&amp;"")-INT(VALUE(K179&amp;"")))*100,0),1),K179&amp;""),K179&amp;""))</f>
        <v/>
      </c>
      <c r="T179" s="10">
        <f>COUNTIF(M179:R179,"⚠*")</f>
        <v/>
      </c>
    </row>
    <row r="180"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M180" s="10">
        <f>IFERROR(IF(TRIM(E180&amp;"")="","",IF(AND(ISNUMBER(FIND(" ",TRIM(E180&amp;""))),ISNUMBER(MATCH(LEFT(TRIM(E180&amp;""),FIND(" ",TRIM(E180&amp;""))-1),코드표!$J$2:$J$101,0)),ISNUMBER(MATCH(TRIM(RIGHT(SUBSTITUTE(TRIM(E180&amp;"")," ",REPT(" ",60)),60)),코드표!$F$2:$F$101,0))),INDEX(코드표!$K$2:$K$101,MATCH(LEFT(TRIM(E180&amp;""),FIND(" ",TRIM(E180&amp;""))-1),코드표!$J$2:$J$101,0))&amp;" "&amp;INDEX(코드표!$G$2:$G$101,MATCH(TRIM(RIGHT(SUBSTITUTE(TRIM(E180&amp;"")," ",REPT(" ",60)),60)),코드표!$F$2:$F$101,0)),"⚠"&amp;TRIM(E180&amp;""))),"⚠"&amp;TRIM(E180&amp;""))</f>
        <v/>
      </c>
      <c r="N180" s="10">
        <f>IFERROR(IF(TRIM(F180&amp;"")="","",IF(AND(ISNUMBER(FIND(" ",TRIM(F180&amp;""))),ISNUMBER(MATCH(LEFT(TRIM(F180&amp;""),FIND(" ",TRIM(F180&amp;""))-1),코드표!$J$2:$J$101,0)),ISNUMBER(MATCH(TRIM(RIGHT(SUBSTITUTE(TRIM(F180&amp;"")," ",REPT(" ",60)),60)),코드표!$F$2:$F$101,0))),INDEX(코드표!$K$2:$K$101,MATCH(LEFT(TRIM(F180&amp;""),FIND(" ",TRIM(F180&amp;""))-1),코드표!$J$2:$J$101,0))&amp;" "&amp;INDEX(코드표!$G$2:$G$101,MATCH(TRIM(RIGHT(SUBSTITUTE(TRIM(F180&amp;"")," ",REPT(" ",60)),60)),코드표!$F$2:$F$101,0)),"⚠"&amp;TRIM(F180&amp;""))),"⚠"&amp;TRIM(F180&amp;""))</f>
        <v/>
      </c>
      <c r="O180" s="10">
        <f>IFERROR(IF(TRIM(G180&amp;"")="","",IF(AND(ISNUMBER(FIND(" ",TRIM(G180&amp;""))),ISNUMBER(MATCH(LEFT(TRIM(G180&amp;""),FIND(" ",TRIM(G180&amp;""))-1),코드표!$J$2:$J$101,0)),ISNUMBER(MATCH(TRIM(RIGHT(SUBSTITUTE(TRIM(G180&amp;"")," ",REPT(" ",60)),60)),코드표!$F$2:$F$101,0))),INDEX(코드표!$K$2:$K$101,MATCH(LEFT(TRIM(G180&amp;""),FIND(" ",TRIM(G180&amp;""))-1),코드표!$J$2:$J$101,0))&amp;" "&amp;INDEX(코드표!$G$2:$G$101,MATCH(TRIM(RIGHT(SUBSTITUTE(TRIM(G180&amp;"")," ",REPT(" ",60)),60)),코드표!$F$2:$F$101,0)),"⚠"&amp;TRIM(G180&amp;""))),"⚠"&amp;TRIM(G180&amp;""))</f>
        <v/>
      </c>
      <c r="P180" s="10">
        <f>IFERROR(IF(TRIM(H180&amp;"")="","",IF(AND(ISNUMBER(FIND(" ",TRIM(H180&amp;""))),ISNUMBER(MATCH(LEFT(TRIM(H180&amp;""),FIND(" ",TRIM(H180&amp;""))-1),코드표!$J$2:$J$101,0)),ISNUMBER(MATCH(TRIM(RIGHT(SUBSTITUTE(TRIM(H180&amp;"")," ",REPT(" ",60)),60)),코드표!$F$2:$F$101,0))),INDEX(코드표!$K$2:$K$101,MATCH(LEFT(TRIM(H180&amp;""),FIND(" ",TRIM(H180&amp;""))-1),코드표!$J$2:$J$101,0))&amp;" "&amp;INDEX(코드표!$G$2:$G$101,MATCH(TRIM(RIGHT(SUBSTITUTE(TRIM(H180&amp;"")," ",REPT(" ",60)),60)),코드표!$F$2:$F$101,0)),"⚠"&amp;TRIM(H180&amp;""))),"⚠"&amp;TRIM(H180&amp;""))</f>
        <v/>
      </c>
      <c r="Q180" s="10">
        <f>IFERROR(IF(TRIM(I180&amp;"")="","",IF(AND(ISNUMBER(FIND(" ",TRIM(I180&amp;""))),ISNUMBER(MATCH(LEFT(TRIM(I180&amp;""),FIND(" ",TRIM(I180&amp;""))-1),코드표!$J$2:$J$101,0)),ISNUMBER(MATCH(TRIM(RIGHT(SUBSTITUTE(TRIM(I180&amp;"")," ",REPT(" ",60)),60)),코드표!$F$2:$F$101,0))),INDEX(코드표!$K$2:$K$101,MATCH(LEFT(TRIM(I180&amp;""),FIND(" ",TRIM(I180&amp;""))-1),코드표!$J$2:$J$101,0))&amp;" "&amp;INDEX(코드표!$G$2:$G$101,MATCH(TRIM(RIGHT(SUBSTITUTE(TRIM(I180&amp;"")," ",REPT(" ",60)),60)),코드표!$F$2:$F$101,0)),"⚠"&amp;TRIM(I180&amp;""))),"⚠"&amp;TRIM(I180&amp;""))</f>
        <v/>
      </c>
      <c r="R180" s="10">
        <f>IFERROR(IF(TRIM(J180&amp;"")="","",IF(AND(ISNUMBER(FIND(" ",TRIM(J180&amp;""))),ISNUMBER(MATCH(LEFT(TRIM(J180&amp;""),FIND(" ",TRIM(J180&amp;""))-1),코드표!$J$2:$J$101,0)),ISNUMBER(MATCH(TRIM(RIGHT(SUBSTITUTE(TRIM(J180&amp;"")," ",REPT(" ",60)),60)),코드표!$F$2:$F$101,0))),INDEX(코드표!$K$2:$K$101,MATCH(LEFT(TRIM(J180&amp;""),FIND(" ",TRIM(J180&amp;""))-1),코드표!$J$2:$J$101,0))&amp;" "&amp;INDEX(코드표!$G$2:$G$101,MATCH(TRIM(RIGHT(SUBSTITUTE(TRIM(J180&amp;"")," ",REPT(" ",60)),60)),코드표!$F$2:$F$101,0)),"⚠"&amp;TRIM(J180&amp;""))),"⚠"&amp;TRIM(J180&amp;""))</f>
        <v/>
      </c>
      <c r="S180" s="11">
        <f>IF(K180="","",IFERROR(IF(AND(ROUND((VALUE(K180&amp;"")-INT(VALUE(K180&amp;"")))*100,0)&gt;=1,ROUND((VALUE(K180&amp;"")-INT(VALUE(K180&amp;"")))*100,0)&lt;=12,INT(VALUE(K180&amp;""))&gt;=1900),DATE(INT(VALUE(K180&amp;"")),ROUND((VALUE(K180&amp;"")-INT(VALUE(K180&amp;"")))*100,0),1),K180&amp;""),K180&amp;""))</f>
        <v/>
      </c>
      <c r="T180" s="10">
        <f>COUNTIF(M180:R180,"⚠*")</f>
        <v/>
      </c>
    </row>
    <row r="181"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M181" s="10">
        <f>IFERROR(IF(TRIM(E181&amp;"")="","",IF(AND(ISNUMBER(FIND(" ",TRIM(E181&amp;""))),ISNUMBER(MATCH(LEFT(TRIM(E181&amp;""),FIND(" ",TRIM(E181&amp;""))-1),코드표!$J$2:$J$101,0)),ISNUMBER(MATCH(TRIM(RIGHT(SUBSTITUTE(TRIM(E181&amp;"")," ",REPT(" ",60)),60)),코드표!$F$2:$F$101,0))),INDEX(코드표!$K$2:$K$101,MATCH(LEFT(TRIM(E181&amp;""),FIND(" ",TRIM(E181&amp;""))-1),코드표!$J$2:$J$101,0))&amp;" "&amp;INDEX(코드표!$G$2:$G$101,MATCH(TRIM(RIGHT(SUBSTITUTE(TRIM(E181&amp;"")," ",REPT(" ",60)),60)),코드표!$F$2:$F$101,0)),"⚠"&amp;TRIM(E181&amp;""))),"⚠"&amp;TRIM(E181&amp;""))</f>
        <v/>
      </c>
      <c r="N181" s="10">
        <f>IFERROR(IF(TRIM(F181&amp;"")="","",IF(AND(ISNUMBER(FIND(" ",TRIM(F181&amp;""))),ISNUMBER(MATCH(LEFT(TRIM(F181&amp;""),FIND(" ",TRIM(F181&amp;""))-1),코드표!$J$2:$J$101,0)),ISNUMBER(MATCH(TRIM(RIGHT(SUBSTITUTE(TRIM(F181&amp;"")," ",REPT(" ",60)),60)),코드표!$F$2:$F$101,0))),INDEX(코드표!$K$2:$K$101,MATCH(LEFT(TRIM(F181&amp;""),FIND(" ",TRIM(F181&amp;""))-1),코드표!$J$2:$J$101,0))&amp;" "&amp;INDEX(코드표!$G$2:$G$101,MATCH(TRIM(RIGHT(SUBSTITUTE(TRIM(F181&amp;"")," ",REPT(" ",60)),60)),코드표!$F$2:$F$101,0)),"⚠"&amp;TRIM(F181&amp;""))),"⚠"&amp;TRIM(F181&amp;""))</f>
        <v/>
      </c>
      <c r="O181" s="10">
        <f>IFERROR(IF(TRIM(G181&amp;"")="","",IF(AND(ISNUMBER(FIND(" ",TRIM(G181&amp;""))),ISNUMBER(MATCH(LEFT(TRIM(G181&amp;""),FIND(" ",TRIM(G181&amp;""))-1),코드표!$J$2:$J$101,0)),ISNUMBER(MATCH(TRIM(RIGHT(SUBSTITUTE(TRIM(G181&amp;"")," ",REPT(" ",60)),60)),코드표!$F$2:$F$101,0))),INDEX(코드표!$K$2:$K$101,MATCH(LEFT(TRIM(G181&amp;""),FIND(" ",TRIM(G181&amp;""))-1),코드표!$J$2:$J$101,0))&amp;" "&amp;INDEX(코드표!$G$2:$G$101,MATCH(TRIM(RIGHT(SUBSTITUTE(TRIM(G181&amp;"")," ",REPT(" ",60)),60)),코드표!$F$2:$F$101,0)),"⚠"&amp;TRIM(G181&amp;""))),"⚠"&amp;TRIM(G181&amp;""))</f>
        <v/>
      </c>
      <c r="P181" s="10">
        <f>IFERROR(IF(TRIM(H181&amp;"")="","",IF(AND(ISNUMBER(FIND(" ",TRIM(H181&amp;""))),ISNUMBER(MATCH(LEFT(TRIM(H181&amp;""),FIND(" ",TRIM(H181&amp;""))-1),코드표!$J$2:$J$101,0)),ISNUMBER(MATCH(TRIM(RIGHT(SUBSTITUTE(TRIM(H181&amp;"")," ",REPT(" ",60)),60)),코드표!$F$2:$F$101,0))),INDEX(코드표!$K$2:$K$101,MATCH(LEFT(TRIM(H181&amp;""),FIND(" ",TRIM(H181&amp;""))-1),코드표!$J$2:$J$101,0))&amp;" "&amp;INDEX(코드표!$G$2:$G$101,MATCH(TRIM(RIGHT(SUBSTITUTE(TRIM(H181&amp;"")," ",REPT(" ",60)),60)),코드표!$F$2:$F$101,0)),"⚠"&amp;TRIM(H181&amp;""))),"⚠"&amp;TRIM(H181&amp;""))</f>
        <v/>
      </c>
      <c r="Q181" s="10">
        <f>IFERROR(IF(TRIM(I181&amp;"")="","",IF(AND(ISNUMBER(FIND(" ",TRIM(I181&amp;""))),ISNUMBER(MATCH(LEFT(TRIM(I181&amp;""),FIND(" ",TRIM(I181&amp;""))-1),코드표!$J$2:$J$101,0)),ISNUMBER(MATCH(TRIM(RIGHT(SUBSTITUTE(TRIM(I181&amp;"")," ",REPT(" ",60)),60)),코드표!$F$2:$F$101,0))),INDEX(코드표!$K$2:$K$101,MATCH(LEFT(TRIM(I181&amp;""),FIND(" ",TRIM(I181&amp;""))-1),코드표!$J$2:$J$101,0))&amp;" "&amp;INDEX(코드표!$G$2:$G$101,MATCH(TRIM(RIGHT(SUBSTITUTE(TRIM(I181&amp;"")," ",REPT(" ",60)),60)),코드표!$F$2:$F$101,0)),"⚠"&amp;TRIM(I181&amp;""))),"⚠"&amp;TRIM(I181&amp;""))</f>
        <v/>
      </c>
      <c r="R181" s="10">
        <f>IFERROR(IF(TRIM(J181&amp;"")="","",IF(AND(ISNUMBER(FIND(" ",TRIM(J181&amp;""))),ISNUMBER(MATCH(LEFT(TRIM(J181&amp;""),FIND(" ",TRIM(J181&amp;""))-1),코드표!$J$2:$J$101,0)),ISNUMBER(MATCH(TRIM(RIGHT(SUBSTITUTE(TRIM(J181&amp;"")," ",REPT(" ",60)),60)),코드표!$F$2:$F$101,0))),INDEX(코드표!$K$2:$K$101,MATCH(LEFT(TRIM(J181&amp;""),FIND(" ",TRIM(J181&amp;""))-1),코드표!$J$2:$J$101,0))&amp;" "&amp;INDEX(코드표!$G$2:$G$101,MATCH(TRIM(RIGHT(SUBSTITUTE(TRIM(J181&amp;"")," ",REPT(" ",60)),60)),코드표!$F$2:$F$101,0)),"⚠"&amp;TRIM(J181&amp;""))),"⚠"&amp;TRIM(J181&amp;""))</f>
        <v/>
      </c>
      <c r="S181" s="11">
        <f>IF(K181="","",IFERROR(IF(AND(ROUND((VALUE(K181&amp;"")-INT(VALUE(K181&amp;"")))*100,0)&gt;=1,ROUND((VALUE(K181&amp;"")-INT(VALUE(K181&amp;"")))*100,0)&lt;=12,INT(VALUE(K181&amp;""))&gt;=1900),DATE(INT(VALUE(K181&amp;"")),ROUND((VALUE(K181&amp;"")-INT(VALUE(K181&amp;"")))*100,0),1),K181&amp;""),K181&amp;""))</f>
        <v/>
      </c>
      <c r="T181" s="10">
        <f>COUNTIF(M181:R181,"⚠*")</f>
        <v/>
      </c>
    </row>
    <row r="182"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M182" s="10">
        <f>IFERROR(IF(TRIM(E182&amp;"")="","",IF(AND(ISNUMBER(FIND(" ",TRIM(E182&amp;""))),ISNUMBER(MATCH(LEFT(TRIM(E182&amp;""),FIND(" ",TRIM(E182&amp;""))-1),코드표!$J$2:$J$101,0)),ISNUMBER(MATCH(TRIM(RIGHT(SUBSTITUTE(TRIM(E182&amp;"")," ",REPT(" ",60)),60)),코드표!$F$2:$F$101,0))),INDEX(코드표!$K$2:$K$101,MATCH(LEFT(TRIM(E182&amp;""),FIND(" ",TRIM(E182&amp;""))-1),코드표!$J$2:$J$101,0))&amp;" "&amp;INDEX(코드표!$G$2:$G$101,MATCH(TRIM(RIGHT(SUBSTITUTE(TRIM(E182&amp;"")," ",REPT(" ",60)),60)),코드표!$F$2:$F$101,0)),"⚠"&amp;TRIM(E182&amp;""))),"⚠"&amp;TRIM(E182&amp;""))</f>
        <v/>
      </c>
      <c r="N182" s="10">
        <f>IFERROR(IF(TRIM(F182&amp;"")="","",IF(AND(ISNUMBER(FIND(" ",TRIM(F182&amp;""))),ISNUMBER(MATCH(LEFT(TRIM(F182&amp;""),FIND(" ",TRIM(F182&amp;""))-1),코드표!$J$2:$J$101,0)),ISNUMBER(MATCH(TRIM(RIGHT(SUBSTITUTE(TRIM(F182&amp;"")," ",REPT(" ",60)),60)),코드표!$F$2:$F$101,0))),INDEX(코드표!$K$2:$K$101,MATCH(LEFT(TRIM(F182&amp;""),FIND(" ",TRIM(F182&amp;""))-1),코드표!$J$2:$J$101,0))&amp;" "&amp;INDEX(코드표!$G$2:$G$101,MATCH(TRIM(RIGHT(SUBSTITUTE(TRIM(F182&amp;"")," ",REPT(" ",60)),60)),코드표!$F$2:$F$101,0)),"⚠"&amp;TRIM(F182&amp;""))),"⚠"&amp;TRIM(F182&amp;""))</f>
        <v/>
      </c>
      <c r="O182" s="10">
        <f>IFERROR(IF(TRIM(G182&amp;"")="","",IF(AND(ISNUMBER(FIND(" ",TRIM(G182&amp;""))),ISNUMBER(MATCH(LEFT(TRIM(G182&amp;""),FIND(" ",TRIM(G182&amp;""))-1),코드표!$J$2:$J$101,0)),ISNUMBER(MATCH(TRIM(RIGHT(SUBSTITUTE(TRIM(G182&amp;"")," ",REPT(" ",60)),60)),코드표!$F$2:$F$101,0))),INDEX(코드표!$K$2:$K$101,MATCH(LEFT(TRIM(G182&amp;""),FIND(" ",TRIM(G182&amp;""))-1),코드표!$J$2:$J$101,0))&amp;" "&amp;INDEX(코드표!$G$2:$G$101,MATCH(TRIM(RIGHT(SUBSTITUTE(TRIM(G182&amp;"")," ",REPT(" ",60)),60)),코드표!$F$2:$F$101,0)),"⚠"&amp;TRIM(G182&amp;""))),"⚠"&amp;TRIM(G182&amp;""))</f>
        <v/>
      </c>
      <c r="P182" s="10">
        <f>IFERROR(IF(TRIM(H182&amp;"")="","",IF(AND(ISNUMBER(FIND(" ",TRIM(H182&amp;""))),ISNUMBER(MATCH(LEFT(TRIM(H182&amp;""),FIND(" ",TRIM(H182&amp;""))-1),코드표!$J$2:$J$101,0)),ISNUMBER(MATCH(TRIM(RIGHT(SUBSTITUTE(TRIM(H182&amp;"")," ",REPT(" ",60)),60)),코드표!$F$2:$F$101,0))),INDEX(코드표!$K$2:$K$101,MATCH(LEFT(TRIM(H182&amp;""),FIND(" ",TRIM(H182&amp;""))-1),코드표!$J$2:$J$101,0))&amp;" "&amp;INDEX(코드표!$G$2:$G$101,MATCH(TRIM(RIGHT(SUBSTITUTE(TRIM(H182&amp;"")," ",REPT(" ",60)),60)),코드표!$F$2:$F$101,0)),"⚠"&amp;TRIM(H182&amp;""))),"⚠"&amp;TRIM(H182&amp;""))</f>
        <v/>
      </c>
      <c r="Q182" s="10">
        <f>IFERROR(IF(TRIM(I182&amp;"")="","",IF(AND(ISNUMBER(FIND(" ",TRIM(I182&amp;""))),ISNUMBER(MATCH(LEFT(TRIM(I182&amp;""),FIND(" ",TRIM(I182&amp;""))-1),코드표!$J$2:$J$101,0)),ISNUMBER(MATCH(TRIM(RIGHT(SUBSTITUTE(TRIM(I182&amp;"")," ",REPT(" ",60)),60)),코드표!$F$2:$F$101,0))),INDEX(코드표!$K$2:$K$101,MATCH(LEFT(TRIM(I182&amp;""),FIND(" ",TRIM(I182&amp;""))-1),코드표!$J$2:$J$101,0))&amp;" "&amp;INDEX(코드표!$G$2:$G$101,MATCH(TRIM(RIGHT(SUBSTITUTE(TRIM(I182&amp;"")," ",REPT(" ",60)),60)),코드표!$F$2:$F$101,0)),"⚠"&amp;TRIM(I182&amp;""))),"⚠"&amp;TRIM(I182&amp;""))</f>
        <v/>
      </c>
      <c r="R182" s="10">
        <f>IFERROR(IF(TRIM(J182&amp;"")="","",IF(AND(ISNUMBER(FIND(" ",TRIM(J182&amp;""))),ISNUMBER(MATCH(LEFT(TRIM(J182&amp;""),FIND(" ",TRIM(J182&amp;""))-1),코드표!$J$2:$J$101,0)),ISNUMBER(MATCH(TRIM(RIGHT(SUBSTITUTE(TRIM(J182&amp;"")," ",REPT(" ",60)),60)),코드표!$F$2:$F$101,0))),INDEX(코드표!$K$2:$K$101,MATCH(LEFT(TRIM(J182&amp;""),FIND(" ",TRIM(J182&amp;""))-1),코드표!$J$2:$J$101,0))&amp;" "&amp;INDEX(코드표!$G$2:$G$101,MATCH(TRIM(RIGHT(SUBSTITUTE(TRIM(J182&amp;"")," ",REPT(" ",60)),60)),코드표!$F$2:$F$101,0)),"⚠"&amp;TRIM(J182&amp;""))),"⚠"&amp;TRIM(J182&amp;""))</f>
        <v/>
      </c>
      <c r="S182" s="11">
        <f>IF(K182="","",IFERROR(IF(AND(ROUND((VALUE(K182&amp;"")-INT(VALUE(K182&amp;"")))*100,0)&gt;=1,ROUND((VALUE(K182&amp;"")-INT(VALUE(K182&amp;"")))*100,0)&lt;=12,INT(VALUE(K182&amp;""))&gt;=1900),DATE(INT(VALUE(K182&amp;"")),ROUND((VALUE(K182&amp;"")-INT(VALUE(K182&amp;"")))*100,0),1),K182&amp;""),K182&amp;""))</f>
        <v/>
      </c>
      <c r="T182" s="10">
        <f>COUNTIF(M182:R182,"⚠*")</f>
        <v/>
      </c>
    </row>
    <row r="183"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M183" s="10">
        <f>IFERROR(IF(TRIM(E183&amp;"")="","",IF(AND(ISNUMBER(FIND(" ",TRIM(E183&amp;""))),ISNUMBER(MATCH(LEFT(TRIM(E183&amp;""),FIND(" ",TRIM(E183&amp;""))-1),코드표!$J$2:$J$101,0)),ISNUMBER(MATCH(TRIM(RIGHT(SUBSTITUTE(TRIM(E183&amp;"")," ",REPT(" ",60)),60)),코드표!$F$2:$F$101,0))),INDEX(코드표!$K$2:$K$101,MATCH(LEFT(TRIM(E183&amp;""),FIND(" ",TRIM(E183&amp;""))-1),코드표!$J$2:$J$101,0))&amp;" "&amp;INDEX(코드표!$G$2:$G$101,MATCH(TRIM(RIGHT(SUBSTITUTE(TRIM(E183&amp;"")," ",REPT(" ",60)),60)),코드표!$F$2:$F$101,0)),"⚠"&amp;TRIM(E183&amp;""))),"⚠"&amp;TRIM(E183&amp;""))</f>
        <v/>
      </c>
      <c r="N183" s="10">
        <f>IFERROR(IF(TRIM(F183&amp;"")="","",IF(AND(ISNUMBER(FIND(" ",TRIM(F183&amp;""))),ISNUMBER(MATCH(LEFT(TRIM(F183&amp;""),FIND(" ",TRIM(F183&amp;""))-1),코드표!$J$2:$J$101,0)),ISNUMBER(MATCH(TRIM(RIGHT(SUBSTITUTE(TRIM(F183&amp;"")," ",REPT(" ",60)),60)),코드표!$F$2:$F$101,0))),INDEX(코드표!$K$2:$K$101,MATCH(LEFT(TRIM(F183&amp;""),FIND(" ",TRIM(F183&amp;""))-1),코드표!$J$2:$J$101,0))&amp;" "&amp;INDEX(코드표!$G$2:$G$101,MATCH(TRIM(RIGHT(SUBSTITUTE(TRIM(F183&amp;"")," ",REPT(" ",60)),60)),코드표!$F$2:$F$101,0)),"⚠"&amp;TRIM(F183&amp;""))),"⚠"&amp;TRIM(F183&amp;""))</f>
        <v/>
      </c>
      <c r="O183" s="10">
        <f>IFERROR(IF(TRIM(G183&amp;"")="","",IF(AND(ISNUMBER(FIND(" ",TRIM(G183&amp;""))),ISNUMBER(MATCH(LEFT(TRIM(G183&amp;""),FIND(" ",TRIM(G183&amp;""))-1),코드표!$J$2:$J$101,0)),ISNUMBER(MATCH(TRIM(RIGHT(SUBSTITUTE(TRIM(G183&amp;"")," ",REPT(" ",60)),60)),코드표!$F$2:$F$101,0))),INDEX(코드표!$K$2:$K$101,MATCH(LEFT(TRIM(G183&amp;""),FIND(" ",TRIM(G183&amp;""))-1),코드표!$J$2:$J$101,0))&amp;" "&amp;INDEX(코드표!$G$2:$G$101,MATCH(TRIM(RIGHT(SUBSTITUTE(TRIM(G183&amp;"")," ",REPT(" ",60)),60)),코드표!$F$2:$F$101,0)),"⚠"&amp;TRIM(G183&amp;""))),"⚠"&amp;TRIM(G183&amp;""))</f>
        <v/>
      </c>
      <c r="P183" s="10">
        <f>IFERROR(IF(TRIM(H183&amp;"")="","",IF(AND(ISNUMBER(FIND(" ",TRIM(H183&amp;""))),ISNUMBER(MATCH(LEFT(TRIM(H183&amp;""),FIND(" ",TRIM(H183&amp;""))-1),코드표!$J$2:$J$101,0)),ISNUMBER(MATCH(TRIM(RIGHT(SUBSTITUTE(TRIM(H183&amp;"")," ",REPT(" ",60)),60)),코드표!$F$2:$F$101,0))),INDEX(코드표!$K$2:$K$101,MATCH(LEFT(TRIM(H183&amp;""),FIND(" ",TRIM(H183&amp;""))-1),코드표!$J$2:$J$101,0))&amp;" "&amp;INDEX(코드표!$G$2:$G$101,MATCH(TRIM(RIGHT(SUBSTITUTE(TRIM(H183&amp;"")," ",REPT(" ",60)),60)),코드표!$F$2:$F$101,0)),"⚠"&amp;TRIM(H183&amp;""))),"⚠"&amp;TRIM(H183&amp;""))</f>
        <v/>
      </c>
      <c r="Q183" s="10">
        <f>IFERROR(IF(TRIM(I183&amp;"")="","",IF(AND(ISNUMBER(FIND(" ",TRIM(I183&amp;""))),ISNUMBER(MATCH(LEFT(TRIM(I183&amp;""),FIND(" ",TRIM(I183&amp;""))-1),코드표!$J$2:$J$101,0)),ISNUMBER(MATCH(TRIM(RIGHT(SUBSTITUTE(TRIM(I183&amp;"")," ",REPT(" ",60)),60)),코드표!$F$2:$F$101,0))),INDEX(코드표!$K$2:$K$101,MATCH(LEFT(TRIM(I183&amp;""),FIND(" ",TRIM(I183&amp;""))-1),코드표!$J$2:$J$101,0))&amp;" "&amp;INDEX(코드표!$G$2:$G$101,MATCH(TRIM(RIGHT(SUBSTITUTE(TRIM(I183&amp;"")," ",REPT(" ",60)),60)),코드표!$F$2:$F$101,0)),"⚠"&amp;TRIM(I183&amp;""))),"⚠"&amp;TRIM(I183&amp;""))</f>
        <v/>
      </c>
      <c r="R183" s="10">
        <f>IFERROR(IF(TRIM(J183&amp;"")="","",IF(AND(ISNUMBER(FIND(" ",TRIM(J183&amp;""))),ISNUMBER(MATCH(LEFT(TRIM(J183&amp;""),FIND(" ",TRIM(J183&amp;""))-1),코드표!$J$2:$J$101,0)),ISNUMBER(MATCH(TRIM(RIGHT(SUBSTITUTE(TRIM(J183&amp;"")," ",REPT(" ",60)),60)),코드표!$F$2:$F$101,0))),INDEX(코드표!$K$2:$K$101,MATCH(LEFT(TRIM(J183&amp;""),FIND(" ",TRIM(J183&amp;""))-1),코드표!$J$2:$J$101,0))&amp;" "&amp;INDEX(코드표!$G$2:$G$101,MATCH(TRIM(RIGHT(SUBSTITUTE(TRIM(J183&amp;"")," ",REPT(" ",60)),60)),코드표!$F$2:$F$101,0)),"⚠"&amp;TRIM(J183&amp;""))),"⚠"&amp;TRIM(J183&amp;""))</f>
        <v/>
      </c>
      <c r="S183" s="11">
        <f>IF(K183="","",IFERROR(IF(AND(ROUND((VALUE(K183&amp;"")-INT(VALUE(K183&amp;"")))*100,0)&gt;=1,ROUND((VALUE(K183&amp;"")-INT(VALUE(K183&amp;"")))*100,0)&lt;=12,INT(VALUE(K183&amp;""))&gt;=1900),DATE(INT(VALUE(K183&amp;"")),ROUND((VALUE(K183&amp;"")-INT(VALUE(K183&amp;"")))*100,0),1),K183&amp;""),K183&amp;""))</f>
        <v/>
      </c>
      <c r="T183" s="10">
        <f>COUNTIF(M183:R183,"⚠*")</f>
        <v/>
      </c>
    </row>
    <row r="184"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M184" s="10">
        <f>IFERROR(IF(TRIM(E184&amp;"")="","",IF(AND(ISNUMBER(FIND(" ",TRIM(E184&amp;""))),ISNUMBER(MATCH(LEFT(TRIM(E184&amp;""),FIND(" ",TRIM(E184&amp;""))-1),코드표!$J$2:$J$101,0)),ISNUMBER(MATCH(TRIM(RIGHT(SUBSTITUTE(TRIM(E184&amp;"")," ",REPT(" ",60)),60)),코드표!$F$2:$F$101,0))),INDEX(코드표!$K$2:$K$101,MATCH(LEFT(TRIM(E184&amp;""),FIND(" ",TRIM(E184&amp;""))-1),코드표!$J$2:$J$101,0))&amp;" "&amp;INDEX(코드표!$G$2:$G$101,MATCH(TRIM(RIGHT(SUBSTITUTE(TRIM(E184&amp;"")," ",REPT(" ",60)),60)),코드표!$F$2:$F$101,0)),"⚠"&amp;TRIM(E184&amp;""))),"⚠"&amp;TRIM(E184&amp;""))</f>
        <v/>
      </c>
      <c r="N184" s="10">
        <f>IFERROR(IF(TRIM(F184&amp;"")="","",IF(AND(ISNUMBER(FIND(" ",TRIM(F184&amp;""))),ISNUMBER(MATCH(LEFT(TRIM(F184&amp;""),FIND(" ",TRIM(F184&amp;""))-1),코드표!$J$2:$J$101,0)),ISNUMBER(MATCH(TRIM(RIGHT(SUBSTITUTE(TRIM(F184&amp;"")," ",REPT(" ",60)),60)),코드표!$F$2:$F$101,0))),INDEX(코드표!$K$2:$K$101,MATCH(LEFT(TRIM(F184&amp;""),FIND(" ",TRIM(F184&amp;""))-1),코드표!$J$2:$J$101,0))&amp;" "&amp;INDEX(코드표!$G$2:$G$101,MATCH(TRIM(RIGHT(SUBSTITUTE(TRIM(F184&amp;"")," ",REPT(" ",60)),60)),코드표!$F$2:$F$101,0)),"⚠"&amp;TRIM(F184&amp;""))),"⚠"&amp;TRIM(F184&amp;""))</f>
        <v/>
      </c>
      <c r="O184" s="10">
        <f>IFERROR(IF(TRIM(G184&amp;"")="","",IF(AND(ISNUMBER(FIND(" ",TRIM(G184&amp;""))),ISNUMBER(MATCH(LEFT(TRIM(G184&amp;""),FIND(" ",TRIM(G184&amp;""))-1),코드표!$J$2:$J$101,0)),ISNUMBER(MATCH(TRIM(RIGHT(SUBSTITUTE(TRIM(G184&amp;"")," ",REPT(" ",60)),60)),코드표!$F$2:$F$101,0))),INDEX(코드표!$K$2:$K$101,MATCH(LEFT(TRIM(G184&amp;""),FIND(" ",TRIM(G184&amp;""))-1),코드표!$J$2:$J$101,0))&amp;" "&amp;INDEX(코드표!$G$2:$G$101,MATCH(TRIM(RIGHT(SUBSTITUTE(TRIM(G184&amp;"")," ",REPT(" ",60)),60)),코드표!$F$2:$F$101,0)),"⚠"&amp;TRIM(G184&amp;""))),"⚠"&amp;TRIM(G184&amp;""))</f>
        <v/>
      </c>
      <c r="P184" s="10">
        <f>IFERROR(IF(TRIM(H184&amp;"")="","",IF(AND(ISNUMBER(FIND(" ",TRIM(H184&amp;""))),ISNUMBER(MATCH(LEFT(TRIM(H184&amp;""),FIND(" ",TRIM(H184&amp;""))-1),코드표!$J$2:$J$101,0)),ISNUMBER(MATCH(TRIM(RIGHT(SUBSTITUTE(TRIM(H184&amp;"")," ",REPT(" ",60)),60)),코드표!$F$2:$F$101,0))),INDEX(코드표!$K$2:$K$101,MATCH(LEFT(TRIM(H184&amp;""),FIND(" ",TRIM(H184&amp;""))-1),코드표!$J$2:$J$101,0))&amp;" "&amp;INDEX(코드표!$G$2:$G$101,MATCH(TRIM(RIGHT(SUBSTITUTE(TRIM(H184&amp;"")," ",REPT(" ",60)),60)),코드표!$F$2:$F$101,0)),"⚠"&amp;TRIM(H184&amp;""))),"⚠"&amp;TRIM(H184&amp;""))</f>
        <v/>
      </c>
      <c r="Q184" s="10">
        <f>IFERROR(IF(TRIM(I184&amp;"")="","",IF(AND(ISNUMBER(FIND(" ",TRIM(I184&amp;""))),ISNUMBER(MATCH(LEFT(TRIM(I184&amp;""),FIND(" ",TRIM(I184&amp;""))-1),코드표!$J$2:$J$101,0)),ISNUMBER(MATCH(TRIM(RIGHT(SUBSTITUTE(TRIM(I184&amp;"")," ",REPT(" ",60)),60)),코드표!$F$2:$F$101,0))),INDEX(코드표!$K$2:$K$101,MATCH(LEFT(TRIM(I184&amp;""),FIND(" ",TRIM(I184&amp;""))-1),코드표!$J$2:$J$101,0))&amp;" "&amp;INDEX(코드표!$G$2:$G$101,MATCH(TRIM(RIGHT(SUBSTITUTE(TRIM(I184&amp;"")," ",REPT(" ",60)),60)),코드표!$F$2:$F$101,0)),"⚠"&amp;TRIM(I184&amp;""))),"⚠"&amp;TRIM(I184&amp;""))</f>
        <v/>
      </c>
      <c r="R184" s="10">
        <f>IFERROR(IF(TRIM(J184&amp;"")="","",IF(AND(ISNUMBER(FIND(" ",TRIM(J184&amp;""))),ISNUMBER(MATCH(LEFT(TRIM(J184&amp;""),FIND(" ",TRIM(J184&amp;""))-1),코드표!$J$2:$J$101,0)),ISNUMBER(MATCH(TRIM(RIGHT(SUBSTITUTE(TRIM(J184&amp;"")," ",REPT(" ",60)),60)),코드표!$F$2:$F$101,0))),INDEX(코드표!$K$2:$K$101,MATCH(LEFT(TRIM(J184&amp;""),FIND(" ",TRIM(J184&amp;""))-1),코드표!$J$2:$J$101,0))&amp;" "&amp;INDEX(코드표!$G$2:$G$101,MATCH(TRIM(RIGHT(SUBSTITUTE(TRIM(J184&amp;"")," ",REPT(" ",60)),60)),코드표!$F$2:$F$101,0)),"⚠"&amp;TRIM(J184&amp;""))),"⚠"&amp;TRIM(J184&amp;""))</f>
        <v/>
      </c>
      <c r="S184" s="11">
        <f>IF(K184="","",IFERROR(IF(AND(ROUND((VALUE(K184&amp;"")-INT(VALUE(K184&amp;"")))*100,0)&gt;=1,ROUND((VALUE(K184&amp;"")-INT(VALUE(K184&amp;"")))*100,0)&lt;=12,INT(VALUE(K184&amp;""))&gt;=1900),DATE(INT(VALUE(K184&amp;"")),ROUND((VALUE(K184&amp;"")-INT(VALUE(K184&amp;"")))*100,0),1),K184&amp;""),K184&amp;""))</f>
        <v/>
      </c>
      <c r="T184" s="10">
        <f>COUNTIF(M184:R184,"⚠*")</f>
        <v/>
      </c>
    </row>
    <row r="185"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M185" s="10">
        <f>IFERROR(IF(TRIM(E185&amp;"")="","",IF(AND(ISNUMBER(FIND(" ",TRIM(E185&amp;""))),ISNUMBER(MATCH(LEFT(TRIM(E185&amp;""),FIND(" ",TRIM(E185&amp;""))-1),코드표!$J$2:$J$101,0)),ISNUMBER(MATCH(TRIM(RIGHT(SUBSTITUTE(TRIM(E185&amp;"")," ",REPT(" ",60)),60)),코드표!$F$2:$F$101,0))),INDEX(코드표!$K$2:$K$101,MATCH(LEFT(TRIM(E185&amp;""),FIND(" ",TRIM(E185&amp;""))-1),코드표!$J$2:$J$101,0))&amp;" "&amp;INDEX(코드표!$G$2:$G$101,MATCH(TRIM(RIGHT(SUBSTITUTE(TRIM(E185&amp;"")," ",REPT(" ",60)),60)),코드표!$F$2:$F$101,0)),"⚠"&amp;TRIM(E185&amp;""))),"⚠"&amp;TRIM(E185&amp;""))</f>
        <v/>
      </c>
      <c r="N185" s="10">
        <f>IFERROR(IF(TRIM(F185&amp;"")="","",IF(AND(ISNUMBER(FIND(" ",TRIM(F185&amp;""))),ISNUMBER(MATCH(LEFT(TRIM(F185&amp;""),FIND(" ",TRIM(F185&amp;""))-1),코드표!$J$2:$J$101,0)),ISNUMBER(MATCH(TRIM(RIGHT(SUBSTITUTE(TRIM(F185&amp;"")," ",REPT(" ",60)),60)),코드표!$F$2:$F$101,0))),INDEX(코드표!$K$2:$K$101,MATCH(LEFT(TRIM(F185&amp;""),FIND(" ",TRIM(F185&amp;""))-1),코드표!$J$2:$J$101,0))&amp;" "&amp;INDEX(코드표!$G$2:$G$101,MATCH(TRIM(RIGHT(SUBSTITUTE(TRIM(F185&amp;"")," ",REPT(" ",60)),60)),코드표!$F$2:$F$101,0)),"⚠"&amp;TRIM(F185&amp;""))),"⚠"&amp;TRIM(F185&amp;""))</f>
        <v/>
      </c>
      <c r="O185" s="10">
        <f>IFERROR(IF(TRIM(G185&amp;"")="","",IF(AND(ISNUMBER(FIND(" ",TRIM(G185&amp;""))),ISNUMBER(MATCH(LEFT(TRIM(G185&amp;""),FIND(" ",TRIM(G185&amp;""))-1),코드표!$J$2:$J$101,0)),ISNUMBER(MATCH(TRIM(RIGHT(SUBSTITUTE(TRIM(G185&amp;"")," ",REPT(" ",60)),60)),코드표!$F$2:$F$101,0))),INDEX(코드표!$K$2:$K$101,MATCH(LEFT(TRIM(G185&amp;""),FIND(" ",TRIM(G185&amp;""))-1),코드표!$J$2:$J$101,0))&amp;" "&amp;INDEX(코드표!$G$2:$G$101,MATCH(TRIM(RIGHT(SUBSTITUTE(TRIM(G185&amp;"")," ",REPT(" ",60)),60)),코드표!$F$2:$F$101,0)),"⚠"&amp;TRIM(G185&amp;""))),"⚠"&amp;TRIM(G185&amp;""))</f>
        <v/>
      </c>
      <c r="P185" s="10">
        <f>IFERROR(IF(TRIM(H185&amp;"")="","",IF(AND(ISNUMBER(FIND(" ",TRIM(H185&amp;""))),ISNUMBER(MATCH(LEFT(TRIM(H185&amp;""),FIND(" ",TRIM(H185&amp;""))-1),코드표!$J$2:$J$101,0)),ISNUMBER(MATCH(TRIM(RIGHT(SUBSTITUTE(TRIM(H185&amp;"")," ",REPT(" ",60)),60)),코드표!$F$2:$F$101,0))),INDEX(코드표!$K$2:$K$101,MATCH(LEFT(TRIM(H185&amp;""),FIND(" ",TRIM(H185&amp;""))-1),코드표!$J$2:$J$101,0))&amp;" "&amp;INDEX(코드표!$G$2:$G$101,MATCH(TRIM(RIGHT(SUBSTITUTE(TRIM(H185&amp;"")," ",REPT(" ",60)),60)),코드표!$F$2:$F$101,0)),"⚠"&amp;TRIM(H185&amp;""))),"⚠"&amp;TRIM(H185&amp;""))</f>
        <v/>
      </c>
      <c r="Q185" s="10">
        <f>IFERROR(IF(TRIM(I185&amp;"")="","",IF(AND(ISNUMBER(FIND(" ",TRIM(I185&amp;""))),ISNUMBER(MATCH(LEFT(TRIM(I185&amp;""),FIND(" ",TRIM(I185&amp;""))-1),코드표!$J$2:$J$101,0)),ISNUMBER(MATCH(TRIM(RIGHT(SUBSTITUTE(TRIM(I185&amp;"")," ",REPT(" ",60)),60)),코드표!$F$2:$F$101,0))),INDEX(코드표!$K$2:$K$101,MATCH(LEFT(TRIM(I185&amp;""),FIND(" ",TRIM(I185&amp;""))-1),코드표!$J$2:$J$101,0))&amp;" "&amp;INDEX(코드표!$G$2:$G$101,MATCH(TRIM(RIGHT(SUBSTITUTE(TRIM(I185&amp;"")," ",REPT(" ",60)),60)),코드표!$F$2:$F$101,0)),"⚠"&amp;TRIM(I185&amp;""))),"⚠"&amp;TRIM(I185&amp;""))</f>
        <v/>
      </c>
      <c r="R185" s="10">
        <f>IFERROR(IF(TRIM(J185&amp;"")="","",IF(AND(ISNUMBER(FIND(" ",TRIM(J185&amp;""))),ISNUMBER(MATCH(LEFT(TRIM(J185&amp;""),FIND(" ",TRIM(J185&amp;""))-1),코드표!$J$2:$J$101,0)),ISNUMBER(MATCH(TRIM(RIGHT(SUBSTITUTE(TRIM(J185&amp;"")," ",REPT(" ",60)),60)),코드표!$F$2:$F$101,0))),INDEX(코드표!$K$2:$K$101,MATCH(LEFT(TRIM(J185&amp;""),FIND(" ",TRIM(J185&amp;""))-1),코드표!$J$2:$J$101,0))&amp;" "&amp;INDEX(코드표!$G$2:$G$101,MATCH(TRIM(RIGHT(SUBSTITUTE(TRIM(J185&amp;"")," ",REPT(" ",60)),60)),코드표!$F$2:$F$101,0)),"⚠"&amp;TRIM(J185&amp;""))),"⚠"&amp;TRIM(J185&amp;""))</f>
        <v/>
      </c>
      <c r="S185" s="11">
        <f>IF(K185="","",IFERROR(IF(AND(ROUND((VALUE(K185&amp;"")-INT(VALUE(K185&amp;"")))*100,0)&gt;=1,ROUND((VALUE(K185&amp;"")-INT(VALUE(K185&amp;"")))*100,0)&lt;=12,INT(VALUE(K185&amp;""))&gt;=1900),DATE(INT(VALUE(K185&amp;"")),ROUND((VALUE(K185&amp;"")-INT(VALUE(K185&amp;"")))*100,0),1),K185&amp;""),K185&amp;""))</f>
        <v/>
      </c>
      <c r="T185" s="10">
        <f>COUNTIF(M185:R185,"⚠*")</f>
        <v/>
      </c>
    </row>
    <row r="186"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M186" s="10">
        <f>IFERROR(IF(TRIM(E186&amp;"")="","",IF(AND(ISNUMBER(FIND(" ",TRIM(E186&amp;""))),ISNUMBER(MATCH(LEFT(TRIM(E186&amp;""),FIND(" ",TRIM(E186&amp;""))-1),코드표!$J$2:$J$101,0)),ISNUMBER(MATCH(TRIM(RIGHT(SUBSTITUTE(TRIM(E186&amp;"")," ",REPT(" ",60)),60)),코드표!$F$2:$F$101,0))),INDEX(코드표!$K$2:$K$101,MATCH(LEFT(TRIM(E186&amp;""),FIND(" ",TRIM(E186&amp;""))-1),코드표!$J$2:$J$101,0))&amp;" "&amp;INDEX(코드표!$G$2:$G$101,MATCH(TRIM(RIGHT(SUBSTITUTE(TRIM(E186&amp;"")," ",REPT(" ",60)),60)),코드표!$F$2:$F$101,0)),"⚠"&amp;TRIM(E186&amp;""))),"⚠"&amp;TRIM(E186&amp;""))</f>
        <v/>
      </c>
      <c r="N186" s="10">
        <f>IFERROR(IF(TRIM(F186&amp;"")="","",IF(AND(ISNUMBER(FIND(" ",TRIM(F186&amp;""))),ISNUMBER(MATCH(LEFT(TRIM(F186&amp;""),FIND(" ",TRIM(F186&amp;""))-1),코드표!$J$2:$J$101,0)),ISNUMBER(MATCH(TRIM(RIGHT(SUBSTITUTE(TRIM(F186&amp;"")," ",REPT(" ",60)),60)),코드표!$F$2:$F$101,0))),INDEX(코드표!$K$2:$K$101,MATCH(LEFT(TRIM(F186&amp;""),FIND(" ",TRIM(F186&amp;""))-1),코드표!$J$2:$J$101,0))&amp;" "&amp;INDEX(코드표!$G$2:$G$101,MATCH(TRIM(RIGHT(SUBSTITUTE(TRIM(F186&amp;"")," ",REPT(" ",60)),60)),코드표!$F$2:$F$101,0)),"⚠"&amp;TRIM(F186&amp;""))),"⚠"&amp;TRIM(F186&amp;""))</f>
        <v/>
      </c>
      <c r="O186" s="10">
        <f>IFERROR(IF(TRIM(G186&amp;"")="","",IF(AND(ISNUMBER(FIND(" ",TRIM(G186&amp;""))),ISNUMBER(MATCH(LEFT(TRIM(G186&amp;""),FIND(" ",TRIM(G186&amp;""))-1),코드표!$J$2:$J$101,0)),ISNUMBER(MATCH(TRIM(RIGHT(SUBSTITUTE(TRIM(G186&amp;"")," ",REPT(" ",60)),60)),코드표!$F$2:$F$101,0))),INDEX(코드표!$K$2:$K$101,MATCH(LEFT(TRIM(G186&amp;""),FIND(" ",TRIM(G186&amp;""))-1),코드표!$J$2:$J$101,0))&amp;" "&amp;INDEX(코드표!$G$2:$G$101,MATCH(TRIM(RIGHT(SUBSTITUTE(TRIM(G186&amp;"")," ",REPT(" ",60)),60)),코드표!$F$2:$F$101,0)),"⚠"&amp;TRIM(G186&amp;""))),"⚠"&amp;TRIM(G186&amp;""))</f>
        <v/>
      </c>
      <c r="P186" s="10">
        <f>IFERROR(IF(TRIM(H186&amp;"")="","",IF(AND(ISNUMBER(FIND(" ",TRIM(H186&amp;""))),ISNUMBER(MATCH(LEFT(TRIM(H186&amp;""),FIND(" ",TRIM(H186&amp;""))-1),코드표!$J$2:$J$101,0)),ISNUMBER(MATCH(TRIM(RIGHT(SUBSTITUTE(TRIM(H186&amp;"")," ",REPT(" ",60)),60)),코드표!$F$2:$F$101,0))),INDEX(코드표!$K$2:$K$101,MATCH(LEFT(TRIM(H186&amp;""),FIND(" ",TRIM(H186&amp;""))-1),코드표!$J$2:$J$101,0))&amp;" "&amp;INDEX(코드표!$G$2:$G$101,MATCH(TRIM(RIGHT(SUBSTITUTE(TRIM(H186&amp;"")," ",REPT(" ",60)),60)),코드표!$F$2:$F$101,0)),"⚠"&amp;TRIM(H186&amp;""))),"⚠"&amp;TRIM(H186&amp;""))</f>
        <v/>
      </c>
      <c r="Q186" s="10">
        <f>IFERROR(IF(TRIM(I186&amp;"")="","",IF(AND(ISNUMBER(FIND(" ",TRIM(I186&amp;""))),ISNUMBER(MATCH(LEFT(TRIM(I186&amp;""),FIND(" ",TRIM(I186&amp;""))-1),코드표!$J$2:$J$101,0)),ISNUMBER(MATCH(TRIM(RIGHT(SUBSTITUTE(TRIM(I186&amp;"")," ",REPT(" ",60)),60)),코드표!$F$2:$F$101,0))),INDEX(코드표!$K$2:$K$101,MATCH(LEFT(TRIM(I186&amp;""),FIND(" ",TRIM(I186&amp;""))-1),코드표!$J$2:$J$101,0))&amp;" "&amp;INDEX(코드표!$G$2:$G$101,MATCH(TRIM(RIGHT(SUBSTITUTE(TRIM(I186&amp;"")," ",REPT(" ",60)),60)),코드표!$F$2:$F$101,0)),"⚠"&amp;TRIM(I186&amp;""))),"⚠"&amp;TRIM(I186&amp;""))</f>
        <v/>
      </c>
      <c r="R186" s="10">
        <f>IFERROR(IF(TRIM(J186&amp;"")="","",IF(AND(ISNUMBER(FIND(" ",TRIM(J186&amp;""))),ISNUMBER(MATCH(LEFT(TRIM(J186&amp;""),FIND(" ",TRIM(J186&amp;""))-1),코드표!$J$2:$J$101,0)),ISNUMBER(MATCH(TRIM(RIGHT(SUBSTITUTE(TRIM(J186&amp;"")," ",REPT(" ",60)),60)),코드표!$F$2:$F$101,0))),INDEX(코드표!$K$2:$K$101,MATCH(LEFT(TRIM(J186&amp;""),FIND(" ",TRIM(J186&amp;""))-1),코드표!$J$2:$J$101,0))&amp;" "&amp;INDEX(코드표!$G$2:$G$101,MATCH(TRIM(RIGHT(SUBSTITUTE(TRIM(J186&amp;"")," ",REPT(" ",60)),60)),코드표!$F$2:$F$101,0)),"⚠"&amp;TRIM(J186&amp;""))),"⚠"&amp;TRIM(J186&amp;""))</f>
        <v/>
      </c>
      <c r="S186" s="11">
        <f>IF(K186="","",IFERROR(IF(AND(ROUND((VALUE(K186&amp;"")-INT(VALUE(K186&amp;"")))*100,0)&gt;=1,ROUND((VALUE(K186&amp;"")-INT(VALUE(K186&amp;"")))*100,0)&lt;=12,INT(VALUE(K186&amp;""))&gt;=1900),DATE(INT(VALUE(K186&amp;"")),ROUND((VALUE(K186&amp;"")-INT(VALUE(K186&amp;"")))*100,0),1),K186&amp;""),K186&amp;""))</f>
        <v/>
      </c>
      <c r="T186" s="10">
        <f>COUNTIF(M186:R186,"⚠*")</f>
        <v/>
      </c>
    </row>
    <row r="187"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M187" s="10">
        <f>IFERROR(IF(TRIM(E187&amp;"")="","",IF(AND(ISNUMBER(FIND(" ",TRIM(E187&amp;""))),ISNUMBER(MATCH(LEFT(TRIM(E187&amp;""),FIND(" ",TRIM(E187&amp;""))-1),코드표!$J$2:$J$101,0)),ISNUMBER(MATCH(TRIM(RIGHT(SUBSTITUTE(TRIM(E187&amp;"")," ",REPT(" ",60)),60)),코드표!$F$2:$F$101,0))),INDEX(코드표!$K$2:$K$101,MATCH(LEFT(TRIM(E187&amp;""),FIND(" ",TRIM(E187&amp;""))-1),코드표!$J$2:$J$101,0))&amp;" "&amp;INDEX(코드표!$G$2:$G$101,MATCH(TRIM(RIGHT(SUBSTITUTE(TRIM(E187&amp;"")," ",REPT(" ",60)),60)),코드표!$F$2:$F$101,0)),"⚠"&amp;TRIM(E187&amp;""))),"⚠"&amp;TRIM(E187&amp;""))</f>
        <v/>
      </c>
      <c r="N187" s="10">
        <f>IFERROR(IF(TRIM(F187&amp;"")="","",IF(AND(ISNUMBER(FIND(" ",TRIM(F187&amp;""))),ISNUMBER(MATCH(LEFT(TRIM(F187&amp;""),FIND(" ",TRIM(F187&amp;""))-1),코드표!$J$2:$J$101,0)),ISNUMBER(MATCH(TRIM(RIGHT(SUBSTITUTE(TRIM(F187&amp;"")," ",REPT(" ",60)),60)),코드표!$F$2:$F$101,0))),INDEX(코드표!$K$2:$K$101,MATCH(LEFT(TRIM(F187&amp;""),FIND(" ",TRIM(F187&amp;""))-1),코드표!$J$2:$J$101,0))&amp;" "&amp;INDEX(코드표!$G$2:$G$101,MATCH(TRIM(RIGHT(SUBSTITUTE(TRIM(F187&amp;"")," ",REPT(" ",60)),60)),코드표!$F$2:$F$101,0)),"⚠"&amp;TRIM(F187&amp;""))),"⚠"&amp;TRIM(F187&amp;""))</f>
        <v/>
      </c>
      <c r="O187" s="10">
        <f>IFERROR(IF(TRIM(G187&amp;"")="","",IF(AND(ISNUMBER(FIND(" ",TRIM(G187&amp;""))),ISNUMBER(MATCH(LEFT(TRIM(G187&amp;""),FIND(" ",TRIM(G187&amp;""))-1),코드표!$J$2:$J$101,0)),ISNUMBER(MATCH(TRIM(RIGHT(SUBSTITUTE(TRIM(G187&amp;"")," ",REPT(" ",60)),60)),코드표!$F$2:$F$101,0))),INDEX(코드표!$K$2:$K$101,MATCH(LEFT(TRIM(G187&amp;""),FIND(" ",TRIM(G187&amp;""))-1),코드표!$J$2:$J$101,0))&amp;" "&amp;INDEX(코드표!$G$2:$G$101,MATCH(TRIM(RIGHT(SUBSTITUTE(TRIM(G187&amp;"")," ",REPT(" ",60)),60)),코드표!$F$2:$F$101,0)),"⚠"&amp;TRIM(G187&amp;""))),"⚠"&amp;TRIM(G187&amp;""))</f>
        <v/>
      </c>
      <c r="P187" s="10">
        <f>IFERROR(IF(TRIM(H187&amp;"")="","",IF(AND(ISNUMBER(FIND(" ",TRIM(H187&amp;""))),ISNUMBER(MATCH(LEFT(TRIM(H187&amp;""),FIND(" ",TRIM(H187&amp;""))-1),코드표!$J$2:$J$101,0)),ISNUMBER(MATCH(TRIM(RIGHT(SUBSTITUTE(TRIM(H187&amp;"")," ",REPT(" ",60)),60)),코드표!$F$2:$F$101,0))),INDEX(코드표!$K$2:$K$101,MATCH(LEFT(TRIM(H187&amp;""),FIND(" ",TRIM(H187&amp;""))-1),코드표!$J$2:$J$101,0))&amp;" "&amp;INDEX(코드표!$G$2:$G$101,MATCH(TRIM(RIGHT(SUBSTITUTE(TRIM(H187&amp;"")," ",REPT(" ",60)),60)),코드표!$F$2:$F$101,0)),"⚠"&amp;TRIM(H187&amp;""))),"⚠"&amp;TRIM(H187&amp;""))</f>
        <v/>
      </c>
      <c r="Q187" s="10">
        <f>IFERROR(IF(TRIM(I187&amp;"")="","",IF(AND(ISNUMBER(FIND(" ",TRIM(I187&amp;""))),ISNUMBER(MATCH(LEFT(TRIM(I187&amp;""),FIND(" ",TRIM(I187&amp;""))-1),코드표!$J$2:$J$101,0)),ISNUMBER(MATCH(TRIM(RIGHT(SUBSTITUTE(TRIM(I187&amp;"")," ",REPT(" ",60)),60)),코드표!$F$2:$F$101,0))),INDEX(코드표!$K$2:$K$101,MATCH(LEFT(TRIM(I187&amp;""),FIND(" ",TRIM(I187&amp;""))-1),코드표!$J$2:$J$101,0))&amp;" "&amp;INDEX(코드표!$G$2:$G$101,MATCH(TRIM(RIGHT(SUBSTITUTE(TRIM(I187&amp;"")," ",REPT(" ",60)),60)),코드표!$F$2:$F$101,0)),"⚠"&amp;TRIM(I187&amp;""))),"⚠"&amp;TRIM(I187&amp;""))</f>
        <v/>
      </c>
      <c r="R187" s="10">
        <f>IFERROR(IF(TRIM(J187&amp;"")="","",IF(AND(ISNUMBER(FIND(" ",TRIM(J187&amp;""))),ISNUMBER(MATCH(LEFT(TRIM(J187&amp;""),FIND(" ",TRIM(J187&amp;""))-1),코드표!$J$2:$J$101,0)),ISNUMBER(MATCH(TRIM(RIGHT(SUBSTITUTE(TRIM(J187&amp;"")," ",REPT(" ",60)),60)),코드표!$F$2:$F$101,0))),INDEX(코드표!$K$2:$K$101,MATCH(LEFT(TRIM(J187&amp;""),FIND(" ",TRIM(J187&amp;""))-1),코드표!$J$2:$J$101,0))&amp;" "&amp;INDEX(코드표!$G$2:$G$101,MATCH(TRIM(RIGHT(SUBSTITUTE(TRIM(J187&amp;"")," ",REPT(" ",60)),60)),코드표!$F$2:$F$101,0)),"⚠"&amp;TRIM(J187&amp;""))),"⚠"&amp;TRIM(J187&amp;""))</f>
        <v/>
      </c>
      <c r="S187" s="11">
        <f>IF(K187="","",IFERROR(IF(AND(ROUND((VALUE(K187&amp;"")-INT(VALUE(K187&amp;"")))*100,0)&gt;=1,ROUND((VALUE(K187&amp;"")-INT(VALUE(K187&amp;"")))*100,0)&lt;=12,INT(VALUE(K187&amp;""))&gt;=1900),DATE(INT(VALUE(K187&amp;"")),ROUND((VALUE(K187&amp;"")-INT(VALUE(K187&amp;"")))*100,0),1),K187&amp;""),K187&amp;""))</f>
        <v/>
      </c>
      <c r="T187" s="10">
        <f>COUNTIF(M187:R187,"⚠*")</f>
        <v/>
      </c>
    </row>
    <row r="188"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M188" s="10">
        <f>IFERROR(IF(TRIM(E188&amp;"")="","",IF(AND(ISNUMBER(FIND(" ",TRIM(E188&amp;""))),ISNUMBER(MATCH(LEFT(TRIM(E188&amp;""),FIND(" ",TRIM(E188&amp;""))-1),코드표!$J$2:$J$101,0)),ISNUMBER(MATCH(TRIM(RIGHT(SUBSTITUTE(TRIM(E188&amp;"")," ",REPT(" ",60)),60)),코드표!$F$2:$F$101,0))),INDEX(코드표!$K$2:$K$101,MATCH(LEFT(TRIM(E188&amp;""),FIND(" ",TRIM(E188&amp;""))-1),코드표!$J$2:$J$101,0))&amp;" "&amp;INDEX(코드표!$G$2:$G$101,MATCH(TRIM(RIGHT(SUBSTITUTE(TRIM(E188&amp;"")," ",REPT(" ",60)),60)),코드표!$F$2:$F$101,0)),"⚠"&amp;TRIM(E188&amp;""))),"⚠"&amp;TRIM(E188&amp;""))</f>
        <v/>
      </c>
      <c r="N188" s="10">
        <f>IFERROR(IF(TRIM(F188&amp;"")="","",IF(AND(ISNUMBER(FIND(" ",TRIM(F188&amp;""))),ISNUMBER(MATCH(LEFT(TRIM(F188&amp;""),FIND(" ",TRIM(F188&amp;""))-1),코드표!$J$2:$J$101,0)),ISNUMBER(MATCH(TRIM(RIGHT(SUBSTITUTE(TRIM(F188&amp;"")," ",REPT(" ",60)),60)),코드표!$F$2:$F$101,0))),INDEX(코드표!$K$2:$K$101,MATCH(LEFT(TRIM(F188&amp;""),FIND(" ",TRIM(F188&amp;""))-1),코드표!$J$2:$J$101,0))&amp;" "&amp;INDEX(코드표!$G$2:$G$101,MATCH(TRIM(RIGHT(SUBSTITUTE(TRIM(F188&amp;"")," ",REPT(" ",60)),60)),코드표!$F$2:$F$101,0)),"⚠"&amp;TRIM(F188&amp;""))),"⚠"&amp;TRIM(F188&amp;""))</f>
        <v/>
      </c>
      <c r="O188" s="10">
        <f>IFERROR(IF(TRIM(G188&amp;"")="","",IF(AND(ISNUMBER(FIND(" ",TRIM(G188&amp;""))),ISNUMBER(MATCH(LEFT(TRIM(G188&amp;""),FIND(" ",TRIM(G188&amp;""))-1),코드표!$J$2:$J$101,0)),ISNUMBER(MATCH(TRIM(RIGHT(SUBSTITUTE(TRIM(G188&amp;"")," ",REPT(" ",60)),60)),코드표!$F$2:$F$101,0))),INDEX(코드표!$K$2:$K$101,MATCH(LEFT(TRIM(G188&amp;""),FIND(" ",TRIM(G188&amp;""))-1),코드표!$J$2:$J$101,0))&amp;" "&amp;INDEX(코드표!$G$2:$G$101,MATCH(TRIM(RIGHT(SUBSTITUTE(TRIM(G188&amp;"")," ",REPT(" ",60)),60)),코드표!$F$2:$F$101,0)),"⚠"&amp;TRIM(G188&amp;""))),"⚠"&amp;TRIM(G188&amp;""))</f>
        <v/>
      </c>
      <c r="P188" s="10">
        <f>IFERROR(IF(TRIM(H188&amp;"")="","",IF(AND(ISNUMBER(FIND(" ",TRIM(H188&amp;""))),ISNUMBER(MATCH(LEFT(TRIM(H188&amp;""),FIND(" ",TRIM(H188&amp;""))-1),코드표!$J$2:$J$101,0)),ISNUMBER(MATCH(TRIM(RIGHT(SUBSTITUTE(TRIM(H188&amp;"")," ",REPT(" ",60)),60)),코드표!$F$2:$F$101,0))),INDEX(코드표!$K$2:$K$101,MATCH(LEFT(TRIM(H188&amp;""),FIND(" ",TRIM(H188&amp;""))-1),코드표!$J$2:$J$101,0))&amp;" "&amp;INDEX(코드표!$G$2:$G$101,MATCH(TRIM(RIGHT(SUBSTITUTE(TRIM(H188&amp;"")," ",REPT(" ",60)),60)),코드표!$F$2:$F$101,0)),"⚠"&amp;TRIM(H188&amp;""))),"⚠"&amp;TRIM(H188&amp;""))</f>
        <v/>
      </c>
      <c r="Q188" s="10">
        <f>IFERROR(IF(TRIM(I188&amp;"")="","",IF(AND(ISNUMBER(FIND(" ",TRIM(I188&amp;""))),ISNUMBER(MATCH(LEFT(TRIM(I188&amp;""),FIND(" ",TRIM(I188&amp;""))-1),코드표!$J$2:$J$101,0)),ISNUMBER(MATCH(TRIM(RIGHT(SUBSTITUTE(TRIM(I188&amp;"")," ",REPT(" ",60)),60)),코드표!$F$2:$F$101,0))),INDEX(코드표!$K$2:$K$101,MATCH(LEFT(TRIM(I188&amp;""),FIND(" ",TRIM(I188&amp;""))-1),코드표!$J$2:$J$101,0))&amp;" "&amp;INDEX(코드표!$G$2:$G$101,MATCH(TRIM(RIGHT(SUBSTITUTE(TRIM(I188&amp;"")," ",REPT(" ",60)),60)),코드표!$F$2:$F$101,0)),"⚠"&amp;TRIM(I188&amp;""))),"⚠"&amp;TRIM(I188&amp;""))</f>
        <v/>
      </c>
      <c r="R188" s="10">
        <f>IFERROR(IF(TRIM(J188&amp;"")="","",IF(AND(ISNUMBER(FIND(" ",TRIM(J188&amp;""))),ISNUMBER(MATCH(LEFT(TRIM(J188&amp;""),FIND(" ",TRIM(J188&amp;""))-1),코드표!$J$2:$J$101,0)),ISNUMBER(MATCH(TRIM(RIGHT(SUBSTITUTE(TRIM(J188&amp;"")," ",REPT(" ",60)),60)),코드표!$F$2:$F$101,0))),INDEX(코드표!$K$2:$K$101,MATCH(LEFT(TRIM(J188&amp;""),FIND(" ",TRIM(J188&amp;""))-1),코드표!$J$2:$J$101,0))&amp;" "&amp;INDEX(코드표!$G$2:$G$101,MATCH(TRIM(RIGHT(SUBSTITUTE(TRIM(J188&amp;"")," ",REPT(" ",60)),60)),코드표!$F$2:$F$101,0)),"⚠"&amp;TRIM(J188&amp;""))),"⚠"&amp;TRIM(J188&amp;""))</f>
        <v/>
      </c>
      <c r="S188" s="11">
        <f>IF(K188="","",IFERROR(IF(AND(ROUND((VALUE(K188&amp;"")-INT(VALUE(K188&amp;"")))*100,0)&gt;=1,ROUND((VALUE(K188&amp;"")-INT(VALUE(K188&amp;"")))*100,0)&lt;=12,INT(VALUE(K188&amp;""))&gt;=1900),DATE(INT(VALUE(K188&amp;"")),ROUND((VALUE(K188&amp;"")-INT(VALUE(K188&amp;"")))*100,0),1),K188&amp;""),K188&amp;""))</f>
        <v/>
      </c>
      <c r="T188" s="10">
        <f>COUNTIF(M188:R188,"⚠*")</f>
        <v/>
      </c>
    </row>
    <row r="189"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M189" s="10">
        <f>IFERROR(IF(TRIM(E189&amp;"")="","",IF(AND(ISNUMBER(FIND(" ",TRIM(E189&amp;""))),ISNUMBER(MATCH(LEFT(TRIM(E189&amp;""),FIND(" ",TRIM(E189&amp;""))-1),코드표!$J$2:$J$101,0)),ISNUMBER(MATCH(TRIM(RIGHT(SUBSTITUTE(TRIM(E189&amp;"")," ",REPT(" ",60)),60)),코드표!$F$2:$F$101,0))),INDEX(코드표!$K$2:$K$101,MATCH(LEFT(TRIM(E189&amp;""),FIND(" ",TRIM(E189&amp;""))-1),코드표!$J$2:$J$101,0))&amp;" "&amp;INDEX(코드표!$G$2:$G$101,MATCH(TRIM(RIGHT(SUBSTITUTE(TRIM(E189&amp;"")," ",REPT(" ",60)),60)),코드표!$F$2:$F$101,0)),"⚠"&amp;TRIM(E189&amp;""))),"⚠"&amp;TRIM(E189&amp;""))</f>
        <v/>
      </c>
      <c r="N189" s="10">
        <f>IFERROR(IF(TRIM(F189&amp;"")="","",IF(AND(ISNUMBER(FIND(" ",TRIM(F189&amp;""))),ISNUMBER(MATCH(LEFT(TRIM(F189&amp;""),FIND(" ",TRIM(F189&amp;""))-1),코드표!$J$2:$J$101,0)),ISNUMBER(MATCH(TRIM(RIGHT(SUBSTITUTE(TRIM(F189&amp;"")," ",REPT(" ",60)),60)),코드표!$F$2:$F$101,0))),INDEX(코드표!$K$2:$K$101,MATCH(LEFT(TRIM(F189&amp;""),FIND(" ",TRIM(F189&amp;""))-1),코드표!$J$2:$J$101,0))&amp;" "&amp;INDEX(코드표!$G$2:$G$101,MATCH(TRIM(RIGHT(SUBSTITUTE(TRIM(F189&amp;"")," ",REPT(" ",60)),60)),코드표!$F$2:$F$101,0)),"⚠"&amp;TRIM(F189&amp;""))),"⚠"&amp;TRIM(F189&amp;""))</f>
        <v/>
      </c>
      <c r="O189" s="10">
        <f>IFERROR(IF(TRIM(G189&amp;"")="","",IF(AND(ISNUMBER(FIND(" ",TRIM(G189&amp;""))),ISNUMBER(MATCH(LEFT(TRIM(G189&amp;""),FIND(" ",TRIM(G189&amp;""))-1),코드표!$J$2:$J$101,0)),ISNUMBER(MATCH(TRIM(RIGHT(SUBSTITUTE(TRIM(G189&amp;"")," ",REPT(" ",60)),60)),코드표!$F$2:$F$101,0))),INDEX(코드표!$K$2:$K$101,MATCH(LEFT(TRIM(G189&amp;""),FIND(" ",TRIM(G189&amp;""))-1),코드표!$J$2:$J$101,0))&amp;" "&amp;INDEX(코드표!$G$2:$G$101,MATCH(TRIM(RIGHT(SUBSTITUTE(TRIM(G189&amp;"")," ",REPT(" ",60)),60)),코드표!$F$2:$F$101,0)),"⚠"&amp;TRIM(G189&amp;""))),"⚠"&amp;TRIM(G189&amp;""))</f>
        <v/>
      </c>
      <c r="P189" s="10">
        <f>IFERROR(IF(TRIM(H189&amp;"")="","",IF(AND(ISNUMBER(FIND(" ",TRIM(H189&amp;""))),ISNUMBER(MATCH(LEFT(TRIM(H189&amp;""),FIND(" ",TRIM(H189&amp;""))-1),코드표!$J$2:$J$101,0)),ISNUMBER(MATCH(TRIM(RIGHT(SUBSTITUTE(TRIM(H189&amp;"")," ",REPT(" ",60)),60)),코드표!$F$2:$F$101,0))),INDEX(코드표!$K$2:$K$101,MATCH(LEFT(TRIM(H189&amp;""),FIND(" ",TRIM(H189&amp;""))-1),코드표!$J$2:$J$101,0))&amp;" "&amp;INDEX(코드표!$G$2:$G$101,MATCH(TRIM(RIGHT(SUBSTITUTE(TRIM(H189&amp;"")," ",REPT(" ",60)),60)),코드표!$F$2:$F$101,0)),"⚠"&amp;TRIM(H189&amp;""))),"⚠"&amp;TRIM(H189&amp;""))</f>
        <v/>
      </c>
      <c r="Q189" s="10">
        <f>IFERROR(IF(TRIM(I189&amp;"")="","",IF(AND(ISNUMBER(FIND(" ",TRIM(I189&amp;""))),ISNUMBER(MATCH(LEFT(TRIM(I189&amp;""),FIND(" ",TRIM(I189&amp;""))-1),코드표!$J$2:$J$101,0)),ISNUMBER(MATCH(TRIM(RIGHT(SUBSTITUTE(TRIM(I189&amp;"")," ",REPT(" ",60)),60)),코드표!$F$2:$F$101,0))),INDEX(코드표!$K$2:$K$101,MATCH(LEFT(TRIM(I189&amp;""),FIND(" ",TRIM(I189&amp;""))-1),코드표!$J$2:$J$101,0))&amp;" "&amp;INDEX(코드표!$G$2:$G$101,MATCH(TRIM(RIGHT(SUBSTITUTE(TRIM(I189&amp;"")," ",REPT(" ",60)),60)),코드표!$F$2:$F$101,0)),"⚠"&amp;TRIM(I189&amp;""))),"⚠"&amp;TRIM(I189&amp;""))</f>
        <v/>
      </c>
      <c r="R189" s="10">
        <f>IFERROR(IF(TRIM(J189&amp;"")="","",IF(AND(ISNUMBER(FIND(" ",TRIM(J189&amp;""))),ISNUMBER(MATCH(LEFT(TRIM(J189&amp;""),FIND(" ",TRIM(J189&amp;""))-1),코드표!$J$2:$J$101,0)),ISNUMBER(MATCH(TRIM(RIGHT(SUBSTITUTE(TRIM(J189&amp;"")," ",REPT(" ",60)),60)),코드표!$F$2:$F$101,0))),INDEX(코드표!$K$2:$K$101,MATCH(LEFT(TRIM(J189&amp;""),FIND(" ",TRIM(J189&amp;""))-1),코드표!$J$2:$J$101,0))&amp;" "&amp;INDEX(코드표!$G$2:$G$101,MATCH(TRIM(RIGHT(SUBSTITUTE(TRIM(J189&amp;"")," ",REPT(" ",60)),60)),코드표!$F$2:$F$101,0)),"⚠"&amp;TRIM(J189&amp;""))),"⚠"&amp;TRIM(J189&amp;""))</f>
        <v/>
      </c>
      <c r="S189" s="11">
        <f>IF(K189="","",IFERROR(IF(AND(ROUND((VALUE(K189&amp;"")-INT(VALUE(K189&amp;"")))*100,0)&gt;=1,ROUND((VALUE(K189&amp;"")-INT(VALUE(K189&amp;"")))*100,0)&lt;=12,INT(VALUE(K189&amp;""))&gt;=1900),DATE(INT(VALUE(K189&amp;"")),ROUND((VALUE(K189&amp;"")-INT(VALUE(K189&amp;"")))*100,0),1),K189&amp;""),K189&amp;""))</f>
        <v/>
      </c>
      <c r="T189" s="10">
        <f>COUNTIF(M189:R189,"⚠*")</f>
        <v/>
      </c>
    </row>
    <row r="190"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M190" s="10">
        <f>IFERROR(IF(TRIM(E190&amp;"")="","",IF(AND(ISNUMBER(FIND(" ",TRIM(E190&amp;""))),ISNUMBER(MATCH(LEFT(TRIM(E190&amp;""),FIND(" ",TRIM(E190&amp;""))-1),코드표!$J$2:$J$101,0)),ISNUMBER(MATCH(TRIM(RIGHT(SUBSTITUTE(TRIM(E190&amp;"")," ",REPT(" ",60)),60)),코드표!$F$2:$F$101,0))),INDEX(코드표!$K$2:$K$101,MATCH(LEFT(TRIM(E190&amp;""),FIND(" ",TRIM(E190&amp;""))-1),코드표!$J$2:$J$101,0))&amp;" "&amp;INDEX(코드표!$G$2:$G$101,MATCH(TRIM(RIGHT(SUBSTITUTE(TRIM(E190&amp;"")," ",REPT(" ",60)),60)),코드표!$F$2:$F$101,0)),"⚠"&amp;TRIM(E190&amp;""))),"⚠"&amp;TRIM(E190&amp;""))</f>
        <v/>
      </c>
      <c r="N190" s="10">
        <f>IFERROR(IF(TRIM(F190&amp;"")="","",IF(AND(ISNUMBER(FIND(" ",TRIM(F190&amp;""))),ISNUMBER(MATCH(LEFT(TRIM(F190&amp;""),FIND(" ",TRIM(F190&amp;""))-1),코드표!$J$2:$J$101,0)),ISNUMBER(MATCH(TRIM(RIGHT(SUBSTITUTE(TRIM(F190&amp;"")," ",REPT(" ",60)),60)),코드표!$F$2:$F$101,0))),INDEX(코드표!$K$2:$K$101,MATCH(LEFT(TRIM(F190&amp;""),FIND(" ",TRIM(F190&amp;""))-1),코드표!$J$2:$J$101,0))&amp;" "&amp;INDEX(코드표!$G$2:$G$101,MATCH(TRIM(RIGHT(SUBSTITUTE(TRIM(F190&amp;"")," ",REPT(" ",60)),60)),코드표!$F$2:$F$101,0)),"⚠"&amp;TRIM(F190&amp;""))),"⚠"&amp;TRIM(F190&amp;""))</f>
        <v/>
      </c>
      <c r="O190" s="10">
        <f>IFERROR(IF(TRIM(G190&amp;"")="","",IF(AND(ISNUMBER(FIND(" ",TRIM(G190&amp;""))),ISNUMBER(MATCH(LEFT(TRIM(G190&amp;""),FIND(" ",TRIM(G190&amp;""))-1),코드표!$J$2:$J$101,0)),ISNUMBER(MATCH(TRIM(RIGHT(SUBSTITUTE(TRIM(G190&amp;"")," ",REPT(" ",60)),60)),코드표!$F$2:$F$101,0))),INDEX(코드표!$K$2:$K$101,MATCH(LEFT(TRIM(G190&amp;""),FIND(" ",TRIM(G190&amp;""))-1),코드표!$J$2:$J$101,0))&amp;" "&amp;INDEX(코드표!$G$2:$G$101,MATCH(TRIM(RIGHT(SUBSTITUTE(TRIM(G190&amp;"")," ",REPT(" ",60)),60)),코드표!$F$2:$F$101,0)),"⚠"&amp;TRIM(G190&amp;""))),"⚠"&amp;TRIM(G190&amp;""))</f>
        <v/>
      </c>
      <c r="P190" s="10">
        <f>IFERROR(IF(TRIM(H190&amp;"")="","",IF(AND(ISNUMBER(FIND(" ",TRIM(H190&amp;""))),ISNUMBER(MATCH(LEFT(TRIM(H190&amp;""),FIND(" ",TRIM(H190&amp;""))-1),코드표!$J$2:$J$101,0)),ISNUMBER(MATCH(TRIM(RIGHT(SUBSTITUTE(TRIM(H190&amp;"")," ",REPT(" ",60)),60)),코드표!$F$2:$F$101,0))),INDEX(코드표!$K$2:$K$101,MATCH(LEFT(TRIM(H190&amp;""),FIND(" ",TRIM(H190&amp;""))-1),코드표!$J$2:$J$101,0))&amp;" "&amp;INDEX(코드표!$G$2:$G$101,MATCH(TRIM(RIGHT(SUBSTITUTE(TRIM(H190&amp;"")," ",REPT(" ",60)),60)),코드표!$F$2:$F$101,0)),"⚠"&amp;TRIM(H190&amp;""))),"⚠"&amp;TRIM(H190&amp;""))</f>
        <v/>
      </c>
      <c r="Q190" s="10">
        <f>IFERROR(IF(TRIM(I190&amp;"")="","",IF(AND(ISNUMBER(FIND(" ",TRIM(I190&amp;""))),ISNUMBER(MATCH(LEFT(TRIM(I190&amp;""),FIND(" ",TRIM(I190&amp;""))-1),코드표!$J$2:$J$101,0)),ISNUMBER(MATCH(TRIM(RIGHT(SUBSTITUTE(TRIM(I190&amp;"")," ",REPT(" ",60)),60)),코드표!$F$2:$F$101,0))),INDEX(코드표!$K$2:$K$101,MATCH(LEFT(TRIM(I190&amp;""),FIND(" ",TRIM(I190&amp;""))-1),코드표!$J$2:$J$101,0))&amp;" "&amp;INDEX(코드표!$G$2:$G$101,MATCH(TRIM(RIGHT(SUBSTITUTE(TRIM(I190&amp;"")," ",REPT(" ",60)),60)),코드표!$F$2:$F$101,0)),"⚠"&amp;TRIM(I190&amp;""))),"⚠"&amp;TRIM(I190&amp;""))</f>
        <v/>
      </c>
      <c r="R190" s="10">
        <f>IFERROR(IF(TRIM(J190&amp;"")="","",IF(AND(ISNUMBER(FIND(" ",TRIM(J190&amp;""))),ISNUMBER(MATCH(LEFT(TRIM(J190&amp;""),FIND(" ",TRIM(J190&amp;""))-1),코드표!$J$2:$J$101,0)),ISNUMBER(MATCH(TRIM(RIGHT(SUBSTITUTE(TRIM(J190&amp;"")," ",REPT(" ",60)),60)),코드표!$F$2:$F$101,0))),INDEX(코드표!$K$2:$K$101,MATCH(LEFT(TRIM(J190&amp;""),FIND(" ",TRIM(J190&amp;""))-1),코드표!$J$2:$J$101,0))&amp;" "&amp;INDEX(코드표!$G$2:$G$101,MATCH(TRIM(RIGHT(SUBSTITUTE(TRIM(J190&amp;"")," ",REPT(" ",60)),60)),코드표!$F$2:$F$101,0)),"⚠"&amp;TRIM(J190&amp;""))),"⚠"&amp;TRIM(J190&amp;""))</f>
        <v/>
      </c>
      <c r="S190" s="11">
        <f>IF(K190="","",IFERROR(IF(AND(ROUND((VALUE(K190&amp;"")-INT(VALUE(K190&amp;"")))*100,0)&gt;=1,ROUND((VALUE(K190&amp;"")-INT(VALUE(K190&amp;"")))*100,0)&lt;=12,INT(VALUE(K190&amp;""))&gt;=1900),DATE(INT(VALUE(K190&amp;"")),ROUND((VALUE(K190&amp;"")-INT(VALUE(K190&amp;"")))*100,0),1),K190&amp;""),K190&amp;""))</f>
        <v/>
      </c>
      <c r="T190" s="10">
        <f>COUNTIF(M190:R190,"⚠*")</f>
        <v/>
      </c>
    </row>
    <row r="191"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M191" s="10">
        <f>IFERROR(IF(TRIM(E191&amp;"")="","",IF(AND(ISNUMBER(FIND(" ",TRIM(E191&amp;""))),ISNUMBER(MATCH(LEFT(TRIM(E191&amp;""),FIND(" ",TRIM(E191&amp;""))-1),코드표!$J$2:$J$101,0)),ISNUMBER(MATCH(TRIM(RIGHT(SUBSTITUTE(TRIM(E191&amp;"")," ",REPT(" ",60)),60)),코드표!$F$2:$F$101,0))),INDEX(코드표!$K$2:$K$101,MATCH(LEFT(TRIM(E191&amp;""),FIND(" ",TRIM(E191&amp;""))-1),코드표!$J$2:$J$101,0))&amp;" "&amp;INDEX(코드표!$G$2:$G$101,MATCH(TRIM(RIGHT(SUBSTITUTE(TRIM(E191&amp;"")," ",REPT(" ",60)),60)),코드표!$F$2:$F$101,0)),"⚠"&amp;TRIM(E191&amp;""))),"⚠"&amp;TRIM(E191&amp;""))</f>
        <v/>
      </c>
      <c r="N191" s="10">
        <f>IFERROR(IF(TRIM(F191&amp;"")="","",IF(AND(ISNUMBER(FIND(" ",TRIM(F191&amp;""))),ISNUMBER(MATCH(LEFT(TRIM(F191&amp;""),FIND(" ",TRIM(F191&amp;""))-1),코드표!$J$2:$J$101,0)),ISNUMBER(MATCH(TRIM(RIGHT(SUBSTITUTE(TRIM(F191&amp;"")," ",REPT(" ",60)),60)),코드표!$F$2:$F$101,0))),INDEX(코드표!$K$2:$K$101,MATCH(LEFT(TRIM(F191&amp;""),FIND(" ",TRIM(F191&amp;""))-1),코드표!$J$2:$J$101,0))&amp;" "&amp;INDEX(코드표!$G$2:$G$101,MATCH(TRIM(RIGHT(SUBSTITUTE(TRIM(F191&amp;"")," ",REPT(" ",60)),60)),코드표!$F$2:$F$101,0)),"⚠"&amp;TRIM(F191&amp;""))),"⚠"&amp;TRIM(F191&amp;""))</f>
        <v/>
      </c>
      <c r="O191" s="10">
        <f>IFERROR(IF(TRIM(G191&amp;"")="","",IF(AND(ISNUMBER(FIND(" ",TRIM(G191&amp;""))),ISNUMBER(MATCH(LEFT(TRIM(G191&amp;""),FIND(" ",TRIM(G191&amp;""))-1),코드표!$J$2:$J$101,0)),ISNUMBER(MATCH(TRIM(RIGHT(SUBSTITUTE(TRIM(G191&amp;"")," ",REPT(" ",60)),60)),코드표!$F$2:$F$101,0))),INDEX(코드표!$K$2:$K$101,MATCH(LEFT(TRIM(G191&amp;""),FIND(" ",TRIM(G191&amp;""))-1),코드표!$J$2:$J$101,0))&amp;" "&amp;INDEX(코드표!$G$2:$G$101,MATCH(TRIM(RIGHT(SUBSTITUTE(TRIM(G191&amp;"")," ",REPT(" ",60)),60)),코드표!$F$2:$F$101,0)),"⚠"&amp;TRIM(G191&amp;""))),"⚠"&amp;TRIM(G191&amp;""))</f>
        <v/>
      </c>
      <c r="P191" s="10">
        <f>IFERROR(IF(TRIM(H191&amp;"")="","",IF(AND(ISNUMBER(FIND(" ",TRIM(H191&amp;""))),ISNUMBER(MATCH(LEFT(TRIM(H191&amp;""),FIND(" ",TRIM(H191&amp;""))-1),코드표!$J$2:$J$101,0)),ISNUMBER(MATCH(TRIM(RIGHT(SUBSTITUTE(TRIM(H191&amp;"")," ",REPT(" ",60)),60)),코드표!$F$2:$F$101,0))),INDEX(코드표!$K$2:$K$101,MATCH(LEFT(TRIM(H191&amp;""),FIND(" ",TRIM(H191&amp;""))-1),코드표!$J$2:$J$101,0))&amp;" "&amp;INDEX(코드표!$G$2:$G$101,MATCH(TRIM(RIGHT(SUBSTITUTE(TRIM(H191&amp;"")," ",REPT(" ",60)),60)),코드표!$F$2:$F$101,0)),"⚠"&amp;TRIM(H191&amp;""))),"⚠"&amp;TRIM(H191&amp;""))</f>
        <v/>
      </c>
      <c r="Q191" s="10">
        <f>IFERROR(IF(TRIM(I191&amp;"")="","",IF(AND(ISNUMBER(FIND(" ",TRIM(I191&amp;""))),ISNUMBER(MATCH(LEFT(TRIM(I191&amp;""),FIND(" ",TRIM(I191&amp;""))-1),코드표!$J$2:$J$101,0)),ISNUMBER(MATCH(TRIM(RIGHT(SUBSTITUTE(TRIM(I191&amp;"")," ",REPT(" ",60)),60)),코드표!$F$2:$F$101,0))),INDEX(코드표!$K$2:$K$101,MATCH(LEFT(TRIM(I191&amp;""),FIND(" ",TRIM(I191&amp;""))-1),코드표!$J$2:$J$101,0))&amp;" "&amp;INDEX(코드표!$G$2:$G$101,MATCH(TRIM(RIGHT(SUBSTITUTE(TRIM(I191&amp;"")," ",REPT(" ",60)),60)),코드표!$F$2:$F$101,0)),"⚠"&amp;TRIM(I191&amp;""))),"⚠"&amp;TRIM(I191&amp;""))</f>
        <v/>
      </c>
      <c r="R191" s="10">
        <f>IFERROR(IF(TRIM(J191&amp;"")="","",IF(AND(ISNUMBER(FIND(" ",TRIM(J191&amp;""))),ISNUMBER(MATCH(LEFT(TRIM(J191&amp;""),FIND(" ",TRIM(J191&amp;""))-1),코드표!$J$2:$J$101,0)),ISNUMBER(MATCH(TRIM(RIGHT(SUBSTITUTE(TRIM(J191&amp;"")," ",REPT(" ",60)),60)),코드표!$F$2:$F$101,0))),INDEX(코드표!$K$2:$K$101,MATCH(LEFT(TRIM(J191&amp;""),FIND(" ",TRIM(J191&amp;""))-1),코드표!$J$2:$J$101,0))&amp;" "&amp;INDEX(코드표!$G$2:$G$101,MATCH(TRIM(RIGHT(SUBSTITUTE(TRIM(J191&amp;"")," ",REPT(" ",60)),60)),코드표!$F$2:$F$101,0)),"⚠"&amp;TRIM(J191&amp;""))),"⚠"&amp;TRIM(J191&amp;""))</f>
        <v/>
      </c>
      <c r="S191" s="11">
        <f>IF(K191="","",IFERROR(IF(AND(ROUND((VALUE(K191&amp;"")-INT(VALUE(K191&amp;"")))*100,0)&gt;=1,ROUND((VALUE(K191&amp;"")-INT(VALUE(K191&amp;"")))*100,0)&lt;=12,INT(VALUE(K191&amp;""))&gt;=1900),DATE(INT(VALUE(K191&amp;"")),ROUND((VALUE(K191&amp;"")-INT(VALUE(K191&amp;"")))*100,0),1),K191&amp;""),K191&amp;""))</f>
        <v/>
      </c>
      <c r="T191" s="10">
        <f>COUNTIF(M191:R191,"⚠*")</f>
        <v/>
      </c>
    </row>
    <row r="192"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M192" s="10">
        <f>IFERROR(IF(TRIM(E192&amp;"")="","",IF(AND(ISNUMBER(FIND(" ",TRIM(E192&amp;""))),ISNUMBER(MATCH(LEFT(TRIM(E192&amp;""),FIND(" ",TRIM(E192&amp;""))-1),코드표!$J$2:$J$101,0)),ISNUMBER(MATCH(TRIM(RIGHT(SUBSTITUTE(TRIM(E192&amp;"")," ",REPT(" ",60)),60)),코드표!$F$2:$F$101,0))),INDEX(코드표!$K$2:$K$101,MATCH(LEFT(TRIM(E192&amp;""),FIND(" ",TRIM(E192&amp;""))-1),코드표!$J$2:$J$101,0))&amp;" "&amp;INDEX(코드표!$G$2:$G$101,MATCH(TRIM(RIGHT(SUBSTITUTE(TRIM(E192&amp;"")," ",REPT(" ",60)),60)),코드표!$F$2:$F$101,0)),"⚠"&amp;TRIM(E192&amp;""))),"⚠"&amp;TRIM(E192&amp;""))</f>
        <v/>
      </c>
      <c r="N192" s="10">
        <f>IFERROR(IF(TRIM(F192&amp;"")="","",IF(AND(ISNUMBER(FIND(" ",TRIM(F192&amp;""))),ISNUMBER(MATCH(LEFT(TRIM(F192&amp;""),FIND(" ",TRIM(F192&amp;""))-1),코드표!$J$2:$J$101,0)),ISNUMBER(MATCH(TRIM(RIGHT(SUBSTITUTE(TRIM(F192&amp;"")," ",REPT(" ",60)),60)),코드표!$F$2:$F$101,0))),INDEX(코드표!$K$2:$K$101,MATCH(LEFT(TRIM(F192&amp;""),FIND(" ",TRIM(F192&amp;""))-1),코드표!$J$2:$J$101,0))&amp;" "&amp;INDEX(코드표!$G$2:$G$101,MATCH(TRIM(RIGHT(SUBSTITUTE(TRIM(F192&amp;"")," ",REPT(" ",60)),60)),코드표!$F$2:$F$101,0)),"⚠"&amp;TRIM(F192&amp;""))),"⚠"&amp;TRIM(F192&amp;""))</f>
        <v/>
      </c>
      <c r="O192" s="10">
        <f>IFERROR(IF(TRIM(G192&amp;"")="","",IF(AND(ISNUMBER(FIND(" ",TRIM(G192&amp;""))),ISNUMBER(MATCH(LEFT(TRIM(G192&amp;""),FIND(" ",TRIM(G192&amp;""))-1),코드표!$J$2:$J$101,0)),ISNUMBER(MATCH(TRIM(RIGHT(SUBSTITUTE(TRIM(G192&amp;"")," ",REPT(" ",60)),60)),코드표!$F$2:$F$101,0))),INDEX(코드표!$K$2:$K$101,MATCH(LEFT(TRIM(G192&amp;""),FIND(" ",TRIM(G192&amp;""))-1),코드표!$J$2:$J$101,0))&amp;" "&amp;INDEX(코드표!$G$2:$G$101,MATCH(TRIM(RIGHT(SUBSTITUTE(TRIM(G192&amp;"")," ",REPT(" ",60)),60)),코드표!$F$2:$F$101,0)),"⚠"&amp;TRIM(G192&amp;""))),"⚠"&amp;TRIM(G192&amp;""))</f>
        <v/>
      </c>
      <c r="P192" s="10">
        <f>IFERROR(IF(TRIM(H192&amp;"")="","",IF(AND(ISNUMBER(FIND(" ",TRIM(H192&amp;""))),ISNUMBER(MATCH(LEFT(TRIM(H192&amp;""),FIND(" ",TRIM(H192&amp;""))-1),코드표!$J$2:$J$101,0)),ISNUMBER(MATCH(TRIM(RIGHT(SUBSTITUTE(TRIM(H192&amp;"")," ",REPT(" ",60)),60)),코드표!$F$2:$F$101,0))),INDEX(코드표!$K$2:$K$101,MATCH(LEFT(TRIM(H192&amp;""),FIND(" ",TRIM(H192&amp;""))-1),코드표!$J$2:$J$101,0))&amp;" "&amp;INDEX(코드표!$G$2:$G$101,MATCH(TRIM(RIGHT(SUBSTITUTE(TRIM(H192&amp;"")," ",REPT(" ",60)),60)),코드표!$F$2:$F$101,0)),"⚠"&amp;TRIM(H192&amp;""))),"⚠"&amp;TRIM(H192&amp;""))</f>
        <v/>
      </c>
      <c r="Q192" s="10">
        <f>IFERROR(IF(TRIM(I192&amp;"")="","",IF(AND(ISNUMBER(FIND(" ",TRIM(I192&amp;""))),ISNUMBER(MATCH(LEFT(TRIM(I192&amp;""),FIND(" ",TRIM(I192&amp;""))-1),코드표!$J$2:$J$101,0)),ISNUMBER(MATCH(TRIM(RIGHT(SUBSTITUTE(TRIM(I192&amp;"")," ",REPT(" ",60)),60)),코드표!$F$2:$F$101,0))),INDEX(코드표!$K$2:$K$101,MATCH(LEFT(TRIM(I192&amp;""),FIND(" ",TRIM(I192&amp;""))-1),코드표!$J$2:$J$101,0))&amp;" "&amp;INDEX(코드표!$G$2:$G$101,MATCH(TRIM(RIGHT(SUBSTITUTE(TRIM(I192&amp;"")," ",REPT(" ",60)),60)),코드표!$F$2:$F$101,0)),"⚠"&amp;TRIM(I192&amp;""))),"⚠"&amp;TRIM(I192&amp;""))</f>
        <v/>
      </c>
      <c r="R192" s="10">
        <f>IFERROR(IF(TRIM(J192&amp;"")="","",IF(AND(ISNUMBER(FIND(" ",TRIM(J192&amp;""))),ISNUMBER(MATCH(LEFT(TRIM(J192&amp;""),FIND(" ",TRIM(J192&amp;""))-1),코드표!$J$2:$J$101,0)),ISNUMBER(MATCH(TRIM(RIGHT(SUBSTITUTE(TRIM(J192&amp;"")," ",REPT(" ",60)),60)),코드표!$F$2:$F$101,0))),INDEX(코드표!$K$2:$K$101,MATCH(LEFT(TRIM(J192&amp;""),FIND(" ",TRIM(J192&amp;""))-1),코드표!$J$2:$J$101,0))&amp;" "&amp;INDEX(코드표!$G$2:$G$101,MATCH(TRIM(RIGHT(SUBSTITUTE(TRIM(J192&amp;"")," ",REPT(" ",60)),60)),코드표!$F$2:$F$101,0)),"⚠"&amp;TRIM(J192&amp;""))),"⚠"&amp;TRIM(J192&amp;""))</f>
        <v/>
      </c>
      <c r="S192" s="11">
        <f>IF(K192="","",IFERROR(IF(AND(ROUND((VALUE(K192&amp;"")-INT(VALUE(K192&amp;"")))*100,0)&gt;=1,ROUND((VALUE(K192&amp;"")-INT(VALUE(K192&amp;"")))*100,0)&lt;=12,INT(VALUE(K192&amp;""))&gt;=1900),DATE(INT(VALUE(K192&amp;"")),ROUND((VALUE(K192&amp;"")-INT(VALUE(K192&amp;"")))*100,0),1),K192&amp;""),K192&amp;""))</f>
        <v/>
      </c>
      <c r="T192" s="10">
        <f>COUNTIF(M192:R192,"⚠*")</f>
        <v/>
      </c>
    </row>
    <row r="193"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M193" s="10">
        <f>IFERROR(IF(TRIM(E193&amp;"")="","",IF(AND(ISNUMBER(FIND(" ",TRIM(E193&amp;""))),ISNUMBER(MATCH(LEFT(TRIM(E193&amp;""),FIND(" ",TRIM(E193&amp;""))-1),코드표!$J$2:$J$101,0)),ISNUMBER(MATCH(TRIM(RIGHT(SUBSTITUTE(TRIM(E193&amp;"")," ",REPT(" ",60)),60)),코드표!$F$2:$F$101,0))),INDEX(코드표!$K$2:$K$101,MATCH(LEFT(TRIM(E193&amp;""),FIND(" ",TRIM(E193&amp;""))-1),코드표!$J$2:$J$101,0))&amp;" "&amp;INDEX(코드표!$G$2:$G$101,MATCH(TRIM(RIGHT(SUBSTITUTE(TRIM(E193&amp;"")," ",REPT(" ",60)),60)),코드표!$F$2:$F$101,0)),"⚠"&amp;TRIM(E193&amp;""))),"⚠"&amp;TRIM(E193&amp;""))</f>
        <v/>
      </c>
      <c r="N193" s="10">
        <f>IFERROR(IF(TRIM(F193&amp;"")="","",IF(AND(ISNUMBER(FIND(" ",TRIM(F193&amp;""))),ISNUMBER(MATCH(LEFT(TRIM(F193&amp;""),FIND(" ",TRIM(F193&amp;""))-1),코드표!$J$2:$J$101,0)),ISNUMBER(MATCH(TRIM(RIGHT(SUBSTITUTE(TRIM(F193&amp;"")," ",REPT(" ",60)),60)),코드표!$F$2:$F$101,0))),INDEX(코드표!$K$2:$K$101,MATCH(LEFT(TRIM(F193&amp;""),FIND(" ",TRIM(F193&amp;""))-1),코드표!$J$2:$J$101,0))&amp;" "&amp;INDEX(코드표!$G$2:$G$101,MATCH(TRIM(RIGHT(SUBSTITUTE(TRIM(F193&amp;"")," ",REPT(" ",60)),60)),코드표!$F$2:$F$101,0)),"⚠"&amp;TRIM(F193&amp;""))),"⚠"&amp;TRIM(F193&amp;""))</f>
        <v/>
      </c>
      <c r="O193" s="10">
        <f>IFERROR(IF(TRIM(G193&amp;"")="","",IF(AND(ISNUMBER(FIND(" ",TRIM(G193&amp;""))),ISNUMBER(MATCH(LEFT(TRIM(G193&amp;""),FIND(" ",TRIM(G193&amp;""))-1),코드표!$J$2:$J$101,0)),ISNUMBER(MATCH(TRIM(RIGHT(SUBSTITUTE(TRIM(G193&amp;"")," ",REPT(" ",60)),60)),코드표!$F$2:$F$101,0))),INDEX(코드표!$K$2:$K$101,MATCH(LEFT(TRIM(G193&amp;""),FIND(" ",TRIM(G193&amp;""))-1),코드표!$J$2:$J$101,0))&amp;" "&amp;INDEX(코드표!$G$2:$G$101,MATCH(TRIM(RIGHT(SUBSTITUTE(TRIM(G193&amp;"")," ",REPT(" ",60)),60)),코드표!$F$2:$F$101,0)),"⚠"&amp;TRIM(G193&amp;""))),"⚠"&amp;TRIM(G193&amp;""))</f>
        <v/>
      </c>
      <c r="P193" s="10">
        <f>IFERROR(IF(TRIM(H193&amp;"")="","",IF(AND(ISNUMBER(FIND(" ",TRIM(H193&amp;""))),ISNUMBER(MATCH(LEFT(TRIM(H193&amp;""),FIND(" ",TRIM(H193&amp;""))-1),코드표!$J$2:$J$101,0)),ISNUMBER(MATCH(TRIM(RIGHT(SUBSTITUTE(TRIM(H193&amp;"")," ",REPT(" ",60)),60)),코드표!$F$2:$F$101,0))),INDEX(코드표!$K$2:$K$101,MATCH(LEFT(TRIM(H193&amp;""),FIND(" ",TRIM(H193&amp;""))-1),코드표!$J$2:$J$101,0))&amp;" "&amp;INDEX(코드표!$G$2:$G$101,MATCH(TRIM(RIGHT(SUBSTITUTE(TRIM(H193&amp;"")," ",REPT(" ",60)),60)),코드표!$F$2:$F$101,0)),"⚠"&amp;TRIM(H193&amp;""))),"⚠"&amp;TRIM(H193&amp;""))</f>
        <v/>
      </c>
      <c r="Q193" s="10">
        <f>IFERROR(IF(TRIM(I193&amp;"")="","",IF(AND(ISNUMBER(FIND(" ",TRIM(I193&amp;""))),ISNUMBER(MATCH(LEFT(TRIM(I193&amp;""),FIND(" ",TRIM(I193&amp;""))-1),코드표!$J$2:$J$101,0)),ISNUMBER(MATCH(TRIM(RIGHT(SUBSTITUTE(TRIM(I193&amp;"")," ",REPT(" ",60)),60)),코드표!$F$2:$F$101,0))),INDEX(코드표!$K$2:$K$101,MATCH(LEFT(TRIM(I193&amp;""),FIND(" ",TRIM(I193&amp;""))-1),코드표!$J$2:$J$101,0))&amp;" "&amp;INDEX(코드표!$G$2:$G$101,MATCH(TRIM(RIGHT(SUBSTITUTE(TRIM(I193&amp;"")," ",REPT(" ",60)),60)),코드표!$F$2:$F$101,0)),"⚠"&amp;TRIM(I193&amp;""))),"⚠"&amp;TRIM(I193&amp;""))</f>
        <v/>
      </c>
      <c r="R193" s="10">
        <f>IFERROR(IF(TRIM(J193&amp;"")="","",IF(AND(ISNUMBER(FIND(" ",TRIM(J193&amp;""))),ISNUMBER(MATCH(LEFT(TRIM(J193&amp;""),FIND(" ",TRIM(J193&amp;""))-1),코드표!$J$2:$J$101,0)),ISNUMBER(MATCH(TRIM(RIGHT(SUBSTITUTE(TRIM(J193&amp;"")," ",REPT(" ",60)),60)),코드표!$F$2:$F$101,0))),INDEX(코드표!$K$2:$K$101,MATCH(LEFT(TRIM(J193&amp;""),FIND(" ",TRIM(J193&amp;""))-1),코드표!$J$2:$J$101,0))&amp;" "&amp;INDEX(코드표!$G$2:$G$101,MATCH(TRIM(RIGHT(SUBSTITUTE(TRIM(J193&amp;"")," ",REPT(" ",60)),60)),코드표!$F$2:$F$101,0)),"⚠"&amp;TRIM(J193&amp;""))),"⚠"&amp;TRIM(J193&amp;""))</f>
        <v/>
      </c>
      <c r="S193" s="11">
        <f>IF(K193="","",IFERROR(IF(AND(ROUND((VALUE(K193&amp;"")-INT(VALUE(K193&amp;"")))*100,0)&gt;=1,ROUND((VALUE(K193&amp;"")-INT(VALUE(K193&amp;"")))*100,0)&lt;=12,INT(VALUE(K193&amp;""))&gt;=1900),DATE(INT(VALUE(K193&amp;"")),ROUND((VALUE(K193&amp;"")-INT(VALUE(K193&amp;"")))*100,0),1),K193&amp;""),K193&amp;""))</f>
        <v/>
      </c>
      <c r="T193" s="10">
        <f>COUNTIF(M193:R193,"⚠*")</f>
        <v/>
      </c>
    </row>
    <row r="194"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M194" s="10">
        <f>IFERROR(IF(TRIM(E194&amp;"")="","",IF(AND(ISNUMBER(FIND(" ",TRIM(E194&amp;""))),ISNUMBER(MATCH(LEFT(TRIM(E194&amp;""),FIND(" ",TRIM(E194&amp;""))-1),코드표!$J$2:$J$101,0)),ISNUMBER(MATCH(TRIM(RIGHT(SUBSTITUTE(TRIM(E194&amp;"")," ",REPT(" ",60)),60)),코드표!$F$2:$F$101,0))),INDEX(코드표!$K$2:$K$101,MATCH(LEFT(TRIM(E194&amp;""),FIND(" ",TRIM(E194&amp;""))-1),코드표!$J$2:$J$101,0))&amp;" "&amp;INDEX(코드표!$G$2:$G$101,MATCH(TRIM(RIGHT(SUBSTITUTE(TRIM(E194&amp;"")," ",REPT(" ",60)),60)),코드표!$F$2:$F$101,0)),"⚠"&amp;TRIM(E194&amp;""))),"⚠"&amp;TRIM(E194&amp;""))</f>
        <v/>
      </c>
      <c r="N194" s="10">
        <f>IFERROR(IF(TRIM(F194&amp;"")="","",IF(AND(ISNUMBER(FIND(" ",TRIM(F194&amp;""))),ISNUMBER(MATCH(LEFT(TRIM(F194&amp;""),FIND(" ",TRIM(F194&amp;""))-1),코드표!$J$2:$J$101,0)),ISNUMBER(MATCH(TRIM(RIGHT(SUBSTITUTE(TRIM(F194&amp;"")," ",REPT(" ",60)),60)),코드표!$F$2:$F$101,0))),INDEX(코드표!$K$2:$K$101,MATCH(LEFT(TRIM(F194&amp;""),FIND(" ",TRIM(F194&amp;""))-1),코드표!$J$2:$J$101,0))&amp;" "&amp;INDEX(코드표!$G$2:$G$101,MATCH(TRIM(RIGHT(SUBSTITUTE(TRIM(F194&amp;"")," ",REPT(" ",60)),60)),코드표!$F$2:$F$101,0)),"⚠"&amp;TRIM(F194&amp;""))),"⚠"&amp;TRIM(F194&amp;""))</f>
        <v/>
      </c>
      <c r="O194" s="10">
        <f>IFERROR(IF(TRIM(G194&amp;"")="","",IF(AND(ISNUMBER(FIND(" ",TRIM(G194&amp;""))),ISNUMBER(MATCH(LEFT(TRIM(G194&amp;""),FIND(" ",TRIM(G194&amp;""))-1),코드표!$J$2:$J$101,0)),ISNUMBER(MATCH(TRIM(RIGHT(SUBSTITUTE(TRIM(G194&amp;"")," ",REPT(" ",60)),60)),코드표!$F$2:$F$101,0))),INDEX(코드표!$K$2:$K$101,MATCH(LEFT(TRIM(G194&amp;""),FIND(" ",TRIM(G194&amp;""))-1),코드표!$J$2:$J$101,0))&amp;" "&amp;INDEX(코드표!$G$2:$G$101,MATCH(TRIM(RIGHT(SUBSTITUTE(TRIM(G194&amp;"")," ",REPT(" ",60)),60)),코드표!$F$2:$F$101,0)),"⚠"&amp;TRIM(G194&amp;""))),"⚠"&amp;TRIM(G194&amp;""))</f>
        <v/>
      </c>
      <c r="P194" s="10">
        <f>IFERROR(IF(TRIM(H194&amp;"")="","",IF(AND(ISNUMBER(FIND(" ",TRIM(H194&amp;""))),ISNUMBER(MATCH(LEFT(TRIM(H194&amp;""),FIND(" ",TRIM(H194&amp;""))-1),코드표!$J$2:$J$101,0)),ISNUMBER(MATCH(TRIM(RIGHT(SUBSTITUTE(TRIM(H194&amp;"")," ",REPT(" ",60)),60)),코드표!$F$2:$F$101,0))),INDEX(코드표!$K$2:$K$101,MATCH(LEFT(TRIM(H194&amp;""),FIND(" ",TRIM(H194&amp;""))-1),코드표!$J$2:$J$101,0))&amp;" "&amp;INDEX(코드표!$G$2:$G$101,MATCH(TRIM(RIGHT(SUBSTITUTE(TRIM(H194&amp;"")," ",REPT(" ",60)),60)),코드표!$F$2:$F$101,0)),"⚠"&amp;TRIM(H194&amp;""))),"⚠"&amp;TRIM(H194&amp;""))</f>
        <v/>
      </c>
      <c r="Q194" s="10">
        <f>IFERROR(IF(TRIM(I194&amp;"")="","",IF(AND(ISNUMBER(FIND(" ",TRIM(I194&amp;""))),ISNUMBER(MATCH(LEFT(TRIM(I194&amp;""),FIND(" ",TRIM(I194&amp;""))-1),코드표!$J$2:$J$101,0)),ISNUMBER(MATCH(TRIM(RIGHT(SUBSTITUTE(TRIM(I194&amp;"")," ",REPT(" ",60)),60)),코드표!$F$2:$F$101,0))),INDEX(코드표!$K$2:$K$101,MATCH(LEFT(TRIM(I194&amp;""),FIND(" ",TRIM(I194&amp;""))-1),코드표!$J$2:$J$101,0))&amp;" "&amp;INDEX(코드표!$G$2:$G$101,MATCH(TRIM(RIGHT(SUBSTITUTE(TRIM(I194&amp;"")," ",REPT(" ",60)),60)),코드표!$F$2:$F$101,0)),"⚠"&amp;TRIM(I194&amp;""))),"⚠"&amp;TRIM(I194&amp;""))</f>
        <v/>
      </c>
      <c r="R194" s="10">
        <f>IFERROR(IF(TRIM(J194&amp;"")="","",IF(AND(ISNUMBER(FIND(" ",TRIM(J194&amp;""))),ISNUMBER(MATCH(LEFT(TRIM(J194&amp;""),FIND(" ",TRIM(J194&amp;""))-1),코드표!$J$2:$J$101,0)),ISNUMBER(MATCH(TRIM(RIGHT(SUBSTITUTE(TRIM(J194&amp;"")," ",REPT(" ",60)),60)),코드표!$F$2:$F$101,0))),INDEX(코드표!$K$2:$K$101,MATCH(LEFT(TRIM(J194&amp;""),FIND(" ",TRIM(J194&amp;""))-1),코드표!$J$2:$J$101,0))&amp;" "&amp;INDEX(코드표!$G$2:$G$101,MATCH(TRIM(RIGHT(SUBSTITUTE(TRIM(J194&amp;"")," ",REPT(" ",60)),60)),코드표!$F$2:$F$101,0)),"⚠"&amp;TRIM(J194&amp;""))),"⚠"&amp;TRIM(J194&amp;""))</f>
        <v/>
      </c>
      <c r="S194" s="11">
        <f>IF(K194="","",IFERROR(IF(AND(ROUND((VALUE(K194&amp;"")-INT(VALUE(K194&amp;"")))*100,0)&gt;=1,ROUND((VALUE(K194&amp;"")-INT(VALUE(K194&amp;"")))*100,0)&lt;=12,INT(VALUE(K194&amp;""))&gt;=1900),DATE(INT(VALUE(K194&amp;"")),ROUND((VALUE(K194&amp;"")-INT(VALUE(K194&amp;"")))*100,0),1),K194&amp;""),K194&amp;""))</f>
        <v/>
      </c>
      <c r="T194" s="10">
        <f>COUNTIF(M194:R194,"⚠*")</f>
        <v/>
      </c>
    </row>
    <row r="195"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M195" s="10">
        <f>IFERROR(IF(TRIM(E195&amp;"")="","",IF(AND(ISNUMBER(FIND(" ",TRIM(E195&amp;""))),ISNUMBER(MATCH(LEFT(TRIM(E195&amp;""),FIND(" ",TRIM(E195&amp;""))-1),코드표!$J$2:$J$101,0)),ISNUMBER(MATCH(TRIM(RIGHT(SUBSTITUTE(TRIM(E195&amp;"")," ",REPT(" ",60)),60)),코드표!$F$2:$F$101,0))),INDEX(코드표!$K$2:$K$101,MATCH(LEFT(TRIM(E195&amp;""),FIND(" ",TRIM(E195&amp;""))-1),코드표!$J$2:$J$101,0))&amp;" "&amp;INDEX(코드표!$G$2:$G$101,MATCH(TRIM(RIGHT(SUBSTITUTE(TRIM(E195&amp;"")," ",REPT(" ",60)),60)),코드표!$F$2:$F$101,0)),"⚠"&amp;TRIM(E195&amp;""))),"⚠"&amp;TRIM(E195&amp;""))</f>
        <v/>
      </c>
      <c r="N195" s="10">
        <f>IFERROR(IF(TRIM(F195&amp;"")="","",IF(AND(ISNUMBER(FIND(" ",TRIM(F195&amp;""))),ISNUMBER(MATCH(LEFT(TRIM(F195&amp;""),FIND(" ",TRIM(F195&amp;""))-1),코드표!$J$2:$J$101,0)),ISNUMBER(MATCH(TRIM(RIGHT(SUBSTITUTE(TRIM(F195&amp;"")," ",REPT(" ",60)),60)),코드표!$F$2:$F$101,0))),INDEX(코드표!$K$2:$K$101,MATCH(LEFT(TRIM(F195&amp;""),FIND(" ",TRIM(F195&amp;""))-1),코드표!$J$2:$J$101,0))&amp;" "&amp;INDEX(코드표!$G$2:$G$101,MATCH(TRIM(RIGHT(SUBSTITUTE(TRIM(F195&amp;"")," ",REPT(" ",60)),60)),코드표!$F$2:$F$101,0)),"⚠"&amp;TRIM(F195&amp;""))),"⚠"&amp;TRIM(F195&amp;""))</f>
        <v/>
      </c>
      <c r="O195" s="10">
        <f>IFERROR(IF(TRIM(G195&amp;"")="","",IF(AND(ISNUMBER(FIND(" ",TRIM(G195&amp;""))),ISNUMBER(MATCH(LEFT(TRIM(G195&amp;""),FIND(" ",TRIM(G195&amp;""))-1),코드표!$J$2:$J$101,0)),ISNUMBER(MATCH(TRIM(RIGHT(SUBSTITUTE(TRIM(G195&amp;"")," ",REPT(" ",60)),60)),코드표!$F$2:$F$101,0))),INDEX(코드표!$K$2:$K$101,MATCH(LEFT(TRIM(G195&amp;""),FIND(" ",TRIM(G195&amp;""))-1),코드표!$J$2:$J$101,0))&amp;" "&amp;INDEX(코드표!$G$2:$G$101,MATCH(TRIM(RIGHT(SUBSTITUTE(TRIM(G195&amp;"")," ",REPT(" ",60)),60)),코드표!$F$2:$F$101,0)),"⚠"&amp;TRIM(G195&amp;""))),"⚠"&amp;TRIM(G195&amp;""))</f>
        <v/>
      </c>
      <c r="P195" s="10">
        <f>IFERROR(IF(TRIM(H195&amp;"")="","",IF(AND(ISNUMBER(FIND(" ",TRIM(H195&amp;""))),ISNUMBER(MATCH(LEFT(TRIM(H195&amp;""),FIND(" ",TRIM(H195&amp;""))-1),코드표!$J$2:$J$101,0)),ISNUMBER(MATCH(TRIM(RIGHT(SUBSTITUTE(TRIM(H195&amp;"")," ",REPT(" ",60)),60)),코드표!$F$2:$F$101,0))),INDEX(코드표!$K$2:$K$101,MATCH(LEFT(TRIM(H195&amp;""),FIND(" ",TRIM(H195&amp;""))-1),코드표!$J$2:$J$101,0))&amp;" "&amp;INDEX(코드표!$G$2:$G$101,MATCH(TRIM(RIGHT(SUBSTITUTE(TRIM(H195&amp;"")," ",REPT(" ",60)),60)),코드표!$F$2:$F$101,0)),"⚠"&amp;TRIM(H195&amp;""))),"⚠"&amp;TRIM(H195&amp;""))</f>
        <v/>
      </c>
      <c r="Q195" s="10">
        <f>IFERROR(IF(TRIM(I195&amp;"")="","",IF(AND(ISNUMBER(FIND(" ",TRIM(I195&amp;""))),ISNUMBER(MATCH(LEFT(TRIM(I195&amp;""),FIND(" ",TRIM(I195&amp;""))-1),코드표!$J$2:$J$101,0)),ISNUMBER(MATCH(TRIM(RIGHT(SUBSTITUTE(TRIM(I195&amp;"")," ",REPT(" ",60)),60)),코드표!$F$2:$F$101,0))),INDEX(코드표!$K$2:$K$101,MATCH(LEFT(TRIM(I195&amp;""),FIND(" ",TRIM(I195&amp;""))-1),코드표!$J$2:$J$101,0))&amp;" "&amp;INDEX(코드표!$G$2:$G$101,MATCH(TRIM(RIGHT(SUBSTITUTE(TRIM(I195&amp;"")," ",REPT(" ",60)),60)),코드표!$F$2:$F$101,0)),"⚠"&amp;TRIM(I195&amp;""))),"⚠"&amp;TRIM(I195&amp;""))</f>
        <v/>
      </c>
      <c r="R195" s="10">
        <f>IFERROR(IF(TRIM(J195&amp;"")="","",IF(AND(ISNUMBER(FIND(" ",TRIM(J195&amp;""))),ISNUMBER(MATCH(LEFT(TRIM(J195&amp;""),FIND(" ",TRIM(J195&amp;""))-1),코드표!$J$2:$J$101,0)),ISNUMBER(MATCH(TRIM(RIGHT(SUBSTITUTE(TRIM(J195&amp;"")," ",REPT(" ",60)),60)),코드표!$F$2:$F$101,0))),INDEX(코드표!$K$2:$K$101,MATCH(LEFT(TRIM(J195&amp;""),FIND(" ",TRIM(J195&amp;""))-1),코드표!$J$2:$J$101,0))&amp;" "&amp;INDEX(코드표!$G$2:$G$101,MATCH(TRIM(RIGHT(SUBSTITUTE(TRIM(J195&amp;"")," ",REPT(" ",60)),60)),코드표!$F$2:$F$101,0)),"⚠"&amp;TRIM(J195&amp;""))),"⚠"&amp;TRIM(J195&amp;""))</f>
        <v/>
      </c>
      <c r="S195" s="11">
        <f>IF(K195="","",IFERROR(IF(AND(ROUND((VALUE(K195&amp;"")-INT(VALUE(K195&amp;"")))*100,0)&gt;=1,ROUND((VALUE(K195&amp;"")-INT(VALUE(K195&amp;"")))*100,0)&lt;=12,INT(VALUE(K195&amp;""))&gt;=1900),DATE(INT(VALUE(K195&amp;"")),ROUND((VALUE(K195&amp;"")-INT(VALUE(K195&amp;"")))*100,0),1),K195&amp;""),K195&amp;""))</f>
        <v/>
      </c>
      <c r="T195" s="10">
        <f>COUNTIF(M195:R195,"⚠*")</f>
        <v/>
      </c>
    </row>
    <row r="196"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M196" s="10">
        <f>IFERROR(IF(TRIM(E196&amp;"")="","",IF(AND(ISNUMBER(FIND(" ",TRIM(E196&amp;""))),ISNUMBER(MATCH(LEFT(TRIM(E196&amp;""),FIND(" ",TRIM(E196&amp;""))-1),코드표!$J$2:$J$101,0)),ISNUMBER(MATCH(TRIM(RIGHT(SUBSTITUTE(TRIM(E196&amp;"")," ",REPT(" ",60)),60)),코드표!$F$2:$F$101,0))),INDEX(코드표!$K$2:$K$101,MATCH(LEFT(TRIM(E196&amp;""),FIND(" ",TRIM(E196&amp;""))-1),코드표!$J$2:$J$101,0))&amp;" "&amp;INDEX(코드표!$G$2:$G$101,MATCH(TRIM(RIGHT(SUBSTITUTE(TRIM(E196&amp;"")," ",REPT(" ",60)),60)),코드표!$F$2:$F$101,0)),"⚠"&amp;TRIM(E196&amp;""))),"⚠"&amp;TRIM(E196&amp;""))</f>
        <v/>
      </c>
      <c r="N196" s="10">
        <f>IFERROR(IF(TRIM(F196&amp;"")="","",IF(AND(ISNUMBER(FIND(" ",TRIM(F196&amp;""))),ISNUMBER(MATCH(LEFT(TRIM(F196&amp;""),FIND(" ",TRIM(F196&amp;""))-1),코드표!$J$2:$J$101,0)),ISNUMBER(MATCH(TRIM(RIGHT(SUBSTITUTE(TRIM(F196&amp;"")," ",REPT(" ",60)),60)),코드표!$F$2:$F$101,0))),INDEX(코드표!$K$2:$K$101,MATCH(LEFT(TRIM(F196&amp;""),FIND(" ",TRIM(F196&amp;""))-1),코드표!$J$2:$J$101,0))&amp;" "&amp;INDEX(코드표!$G$2:$G$101,MATCH(TRIM(RIGHT(SUBSTITUTE(TRIM(F196&amp;"")," ",REPT(" ",60)),60)),코드표!$F$2:$F$101,0)),"⚠"&amp;TRIM(F196&amp;""))),"⚠"&amp;TRIM(F196&amp;""))</f>
        <v/>
      </c>
      <c r="O196" s="10">
        <f>IFERROR(IF(TRIM(G196&amp;"")="","",IF(AND(ISNUMBER(FIND(" ",TRIM(G196&amp;""))),ISNUMBER(MATCH(LEFT(TRIM(G196&amp;""),FIND(" ",TRIM(G196&amp;""))-1),코드표!$J$2:$J$101,0)),ISNUMBER(MATCH(TRIM(RIGHT(SUBSTITUTE(TRIM(G196&amp;"")," ",REPT(" ",60)),60)),코드표!$F$2:$F$101,0))),INDEX(코드표!$K$2:$K$101,MATCH(LEFT(TRIM(G196&amp;""),FIND(" ",TRIM(G196&amp;""))-1),코드표!$J$2:$J$101,0))&amp;" "&amp;INDEX(코드표!$G$2:$G$101,MATCH(TRIM(RIGHT(SUBSTITUTE(TRIM(G196&amp;"")," ",REPT(" ",60)),60)),코드표!$F$2:$F$101,0)),"⚠"&amp;TRIM(G196&amp;""))),"⚠"&amp;TRIM(G196&amp;""))</f>
        <v/>
      </c>
      <c r="P196" s="10">
        <f>IFERROR(IF(TRIM(H196&amp;"")="","",IF(AND(ISNUMBER(FIND(" ",TRIM(H196&amp;""))),ISNUMBER(MATCH(LEFT(TRIM(H196&amp;""),FIND(" ",TRIM(H196&amp;""))-1),코드표!$J$2:$J$101,0)),ISNUMBER(MATCH(TRIM(RIGHT(SUBSTITUTE(TRIM(H196&amp;"")," ",REPT(" ",60)),60)),코드표!$F$2:$F$101,0))),INDEX(코드표!$K$2:$K$101,MATCH(LEFT(TRIM(H196&amp;""),FIND(" ",TRIM(H196&amp;""))-1),코드표!$J$2:$J$101,0))&amp;" "&amp;INDEX(코드표!$G$2:$G$101,MATCH(TRIM(RIGHT(SUBSTITUTE(TRIM(H196&amp;"")," ",REPT(" ",60)),60)),코드표!$F$2:$F$101,0)),"⚠"&amp;TRIM(H196&amp;""))),"⚠"&amp;TRIM(H196&amp;""))</f>
        <v/>
      </c>
      <c r="Q196" s="10">
        <f>IFERROR(IF(TRIM(I196&amp;"")="","",IF(AND(ISNUMBER(FIND(" ",TRIM(I196&amp;""))),ISNUMBER(MATCH(LEFT(TRIM(I196&amp;""),FIND(" ",TRIM(I196&amp;""))-1),코드표!$J$2:$J$101,0)),ISNUMBER(MATCH(TRIM(RIGHT(SUBSTITUTE(TRIM(I196&amp;"")," ",REPT(" ",60)),60)),코드표!$F$2:$F$101,0))),INDEX(코드표!$K$2:$K$101,MATCH(LEFT(TRIM(I196&amp;""),FIND(" ",TRIM(I196&amp;""))-1),코드표!$J$2:$J$101,0))&amp;" "&amp;INDEX(코드표!$G$2:$G$101,MATCH(TRIM(RIGHT(SUBSTITUTE(TRIM(I196&amp;"")," ",REPT(" ",60)),60)),코드표!$F$2:$F$101,0)),"⚠"&amp;TRIM(I196&amp;""))),"⚠"&amp;TRIM(I196&amp;""))</f>
        <v/>
      </c>
      <c r="R196" s="10">
        <f>IFERROR(IF(TRIM(J196&amp;"")="","",IF(AND(ISNUMBER(FIND(" ",TRIM(J196&amp;""))),ISNUMBER(MATCH(LEFT(TRIM(J196&amp;""),FIND(" ",TRIM(J196&amp;""))-1),코드표!$J$2:$J$101,0)),ISNUMBER(MATCH(TRIM(RIGHT(SUBSTITUTE(TRIM(J196&amp;"")," ",REPT(" ",60)),60)),코드표!$F$2:$F$101,0))),INDEX(코드표!$K$2:$K$101,MATCH(LEFT(TRIM(J196&amp;""),FIND(" ",TRIM(J196&amp;""))-1),코드표!$J$2:$J$101,0))&amp;" "&amp;INDEX(코드표!$G$2:$G$101,MATCH(TRIM(RIGHT(SUBSTITUTE(TRIM(J196&amp;"")," ",REPT(" ",60)),60)),코드표!$F$2:$F$101,0)),"⚠"&amp;TRIM(J196&amp;""))),"⚠"&amp;TRIM(J196&amp;""))</f>
        <v/>
      </c>
      <c r="S196" s="11">
        <f>IF(K196="","",IFERROR(IF(AND(ROUND((VALUE(K196&amp;"")-INT(VALUE(K196&amp;"")))*100,0)&gt;=1,ROUND((VALUE(K196&amp;"")-INT(VALUE(K196&amp;"")))*100,0)&lt;=12,INT(VALUE(K196&amp;""))&gt;=1900),DATE(INT(VALUE(K196&amp;"")),ROUND((VALUE(K196&amp;"")-INT(VALUE(K196&amp;"")))*100,0),1),K196&amp;""),K196&amp;""))</f>
        <v/>
      </c>
      <c r="T196" s="10">
        <f>COUNTIF(M196:R196,"⚠*")</f>
        <v/>
      </c>
    </row>
    <row r="197"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M197" s="10">
        <f>IFERROR(IF(TRIM(E197&amp;"")="","",IF(AND(ISNUMBER(FIND(" ",TRIM(E197&amp;""))),ISNUMBER(MATCH(LEFT(TRIM(E197&amp;""),FIND(" ",TRIM(E197&amp;""))-1),코드표!$J$2:$J$101,0)),ISNUMBER(MATCH(TRIM(RIGHT(SUBSTITUTE(TRIM(E197&amp;"")," ",REPT(" ",60)),60)),코드표!$F$2:$F$101,0))),INDEX(코드표!$K$2:$K$101,MATCH(LEFT(TRIM(E197&amp;""),FIND(" ",TRIM(E197&amp;""))-1),코드표!$J$2:$J$101,0))&amp;" "&amp;INDEX(코드표!$G$2:$G$101,MATCH(TRIM(RIGHT(SUBSTITUTE(TRIM(E197&amp;"")," ",REPT(" ",60)),60)),코드표!$F$2:$F$101,0)),"⚠"&amp;TRIM(E197&amp;""))),"⚠"&amp;TRIM(E197&amp;""))</f>
        <v/>
      </c>
      <c r="N197" s="10">
        <f>IFERROR(IF(TRIM(F197&amp;"")="","",IF(AND(ISNUMBER(FIND(" ",TRIM(F197&amp;""))),ISNUMBER(MATCH(LEFT(TRIM(F197&amp;""),FIND(" ",TRIM(F197&amp;""))-1),코드표!$J$2:$J$101,0)),ISNUMBER(MATCH(TRIM(RIGHT(SUBSTITUTE(TRIM(F197&amp;"")," ",REPT(" ",60)),60)),코드표!$F$2:$F$101,0))),INDEX(코드표!$K$2:$K$101,MATCH(LEFT(TRIM(F197&amp;""),FIND(" ",TRIM(F197&amp;""))-1),코드표!$J$2:$J$101,0))&amp;" "&amp;INDEX(코드표!$G$2:$G$101,MATCH(TRIM(RIGHT(SUBSTITUTE(TRIM(F197&amp;"")," ",REPT(" ",60)),60)),코드표!$F$2:$F$101,0)),"⚠"&amp;TRIM(F197&amp;""))),"⚠"&amp;TRIM(F197&amp;""))</f>
        <v/>
      </c>
      <c r="O197" s="10">
        <f>IFERROR(IF(TRIM(G197&amp;"")="","",IF(AND(ISNUMBER(FIND(" ",TRIM(G197&amp;""))),ISNUMBER(MATCH(LEFT(TRIM(G197&amp;""),FIND(" ",TRIM(G197&amp;""))-1),코드표!$J$2:$J$101,0)),ISNUMBER(MATCH(TRIM(RIGHT(SUBSTITUTE(TRIM(G197&amp;"")," ",REPT(" ",60)),60)),코드표!$F$2:$F$101,0))),INDEX(코드표!$K$2:$K$101,MATCH(LEFT(TRIM(G197&amp;""),FIND(" ",TRIM(G197&amp;""))-1),코드표!$J$2:$J$101,0))&amp;" "&amp;INDEX(코드표!$G$2:$G$101,MATCH(TRIM(RIGHT(SUBSTITUTE(TRIM(G197&amp;"")," ",REPT(" ",60)),60)),코드표!$F$2:$F$101,0)),"⚠"&amp;TRIM(G197&amp;""))),"⚠"&amp;TRIM(G197&amp;""))</f>
        <v/>
      </c>
      <c r="P197" s="10">
        <f>IFERROR(IF(TRIM(H197&amp;"")="","",IF(AND(ISNUMBER(FIND(" ",TRIM(H197&amp;""))),ISNUMBER(MATCH(LEFT(TRIM(H197&amp;""),FIND(" ",TRIM(H197&amp;""))-1),코드표!$J$2:$J$101,0)),ISNUMBER(MATCH(TRIM(RIGHT(SUBSTITUTE(TRIM(H197&amp;"")," ",REPT(" ",60)),60)),코드표!$F$2:$F$101,0))),INDEX(코드표!$K$2:$K$101,MATCH(LEFT(TRIM(H197&amp;""),FIND(" ",TRIM(H197&amp;""))-1),코드표!$J$2:$J$101,0))&amp;" "&amp;INDEX(코드표!$G$2:$G$101,MATCH(TRIM(RIGHT(SUBSTITUTE(TRIM(H197&amp;"")," ",REPT(" ",60)),60)),코드표!$F$2:$F$101,0)),"⚠"&amp;TRIM(H197&amp;""))),"⚠"&amp;TRIM(H197&amp;""))</f>
        <v/>
      </c>
      <c r="Q197" s="10">
        <f>IFERROR(IF(TRIM(I197&amp;"")="","",IF(AND(ISNUMBER(FIND(" ",TRIM(I197&amp;""))),ISNUMBER(MATCH(LEFT(TRIM(I197&amp;""),FIND(" ",TRIM(I197&amp;""))-1),코드표!$J$2:$J$101,0)),ISNUMBER(MATCH(TRIM(RIGHT(SUBSTITUTE(TRIM(I197&amp;"")," ",REPT(" ",60)),60)),코드표!$F$2:$F$101,0))),INDEX(코드표!$K$2:$K$101,MATCH(LEFT(TRIM(I197&amp;""),FIND(" ",TRIM(I197&amp;""))-1),코드표!$J$2:$J$101,0))&amp;" "&amp;INDEX(코드표!$G$2:$G$101,MATCH(TRIM(RIGHT(SUBSTITUTE(TRIM(I197&amp;"")," ",REPT(" ",60)),60)),코드표!$F$2:$F$101,0)),"⚠"&amp;TRIM(I197&amp;""))),"⚠"&amp;TRIM(I197&amp;""))</f>
        <v/>
      </c>
      <c r="R197" s="10">
        <f>IFERROR(IF(TRIM(J197&amp;"")="","",IF(AND(ISNUMBER(FIND(" ",TRIM(J197&amp;""))),ISNUMBER(MATCH(LEFT(TRIM(J197&amp;""),FIND(" ",TRIM(J197&amp;""))-1),코드표!$J$2:$J$101,0)),ISNUMBER(MATCH(TRIM(RIGHT(SUBSTITUTE(TRIM(J197&amp;"")," ",REPT(" ",60)),60)),코드표!$F$2:$F$101,0))),INDEX(코드표!$K$2:$K$101,MATCH(LEFT(TRIM(J197&amp;""),FIND(" ",TRIM(J197&amp;""))-1),코드표!$J$2:$J$101,0))&amp;" "&amp;INDEX(코드표!$G$2:$G$101,MATCH(TRIM(RIGHT(SUBSTITUTE(TRIM(J197&amp;"")," ",REPT(" ",60)),60)),코드표!$F$2:$F$101,0)),"⚠"&amp;TRIM(J197&amp;""))),"⚠"&amp;TRIM(J197&amp;""))</f>
        <v/>
      </c>
      <c r="S197" s="11">
        <f>IF(K197="","",IFERROR(IF(AND(ROUND((VALUE(K197&amp;"")-INT(VALUE(K197&amp;"")))*100,0)&gt;=1,ROUND((VALUE(K197&amp;"")-INT(VALUE(K197&amp;"")))*100,0)&lt;=12,INT(VALUE(K197&amp;""))&gt;=1900),DATE(INT(VALUE(K197&amp;"")),ROUND((VALUE(K197&amp;"")-INT(VALUE(K197&amp;"")))*100,0),1),K197&amp;""),K197&amp;""))</f>
        <v/>
      </c>
      <c r="T197" s="10">
        <f>COUNTIF(M197:R197,"⚠*")</f>
        <v/>
      </c>
    </row>
    <row r="198"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M198" s="10">
        <f>IFERROR(IF(TRIM(E198&amp;"")="","",IF(AND(ISNUMBER(FIND(" ",TRIM(E198&amp;""))),ISNUMBER(MATCH(LEFT(TRIM(E198&amp;""),FIND(" ",TRIM(E198&amp;""))-1),코드표!$J$2:$J$101,0)),ISNUMBER(MATCH(TRIM(RIGHT(SUBSTITUTE(TRIM(E198&amp;"")," ",REPT(" ",60)),60)),코드표!$F$2:$F$101,0))),INDEX(코드표!$K$2:$K$101,MATCH(LEFT(TRIM(E198&amp;""),FIND(" ",TRIM(E198&amp;""))-1),코드표!$J$2:$J$101,0))&amp;" "&amp;INDEX(코드표!$G$2:$G$101,MATCH(TRIM(RIGHT(SUBSTITUTE(TRIM(E198&amp;"")," ",REPT(" ",60)),60)),코드표!$F$2:$F$101,0)),"⚠"&amp;TRIM(E198&amp;""))),"⚠"&amp;TRIM(E198&amp;""))</f>
        <v/>
      </c>
      <c r="N198" s="10">
        <f>IFERROR(IF(TRIM(F198&amp;"")="","",IF(AND(ISNUMBER(FIND(" ",TRIM(F198&amp;""))),ISNUMBER(MATCH(LEFT(TRIM(F198&amp;""),FIND(" ",TRIM(F198&amp;""))-1),코드표!$J$2:$J$101,0)),ISNUMBER(MATCH(TRIM(RIGHT(SUBSTITUTE(TRIM(F198&amp;"")," ",REPT(" ",60)),60)),코드표!$F$2:$F$101,0))),INDEX(코드표!$K$2:$K$101,MATCH(LEFT(TRIM(F198&amp;""),FIND(" ",TRIM(F198&amp;""))-1),코드표!$J$2:$J$101,0))&amp;" "&amp;INDEX(코드표!$G$2:$G$101,MATCH(TRIM(RIGHT(SUBSTITUTE(TRIM(F198&amp;"")," ",REPT(" ",60)),60)),코드표!$F$2:$F$101,0)),"⚠"&amp;TRIM(F198&amp;""))),"⚠"&amp;TRIM(F198&amp;""))</f>
        <v/>
      </c>
      <c r="O198" s="10">
        <f>IFERROR(IF(TRIM(G198&amp;"")="","",IF(AND(ISNUMBER(FIND(" ",TRIM(G198&amp;""))),ISNUMBER(MATCH(LEFT(TRIM(G198&amp;""),FIND(" ",TRIM(G198&amp;""))-1),코드표!$J$2:$J$101,0)),ISNUMBER(MATCH(TRIM(RIGHT(SUBSTITUTE(TRIM(G198&amp;"")," ",REPT(" ",60)),60)),코드표!$F$2:$F$101,0))),INDEX(코드표!$K$2:$K$101,MATCH(LEFT(TRIM(G198&amp;""),FIND(" ",TRIM(G198&amp;""))-1),코드표!$J$2:$J$101,0))&amp;" "&amp;INDEX(코드표!$G$2:$G$101,MATCH(TRIM(RIGHT(SUBSTITUTE(TRIM(G198&amp;"")," ",REPT(" ",60)),60)),코드표!$F$2:$F$101,0)),"⚠"&amp;TRIM(G198&amp;""))),"⚠"&amp;TRIM(G198&amp;""))</f>
        <v/>
      </c>
      <c r="P198" s="10">
        <f>IFERROR(IF(TRIM(H198&amp;"")="","",IF(AND(ISNUMBER(FIND(" ",TRIM(H198&amp;""))),ISNUMBER(MATCH(LEFT(TRIM(H198&amp;""),FIND(" ",TRIM(H198&amp;""))-1),코드표!$J$2:$J$101,0)),ISNUMBER(MATCH(TRIM(RIGHT(SUBSTITUTE(TRIM(H198&amp;"")," ",REPT(" ",60)),60)),코드표!$F$2:$F$101,0))),INDEX(코드표!$K$2:$K$101,MATCH(LEFT(TRIM(H198&amp;""),FIND(" ",TRIM(H198&amp;""))-1),코드표!$J$2:$J$101,0))&amp;" "&amp;INDEX(코드표!$G$2:$G$101,MATCH(TRIM(RIGHT(SUBSTITUTE(TRIM(H198&amp;"")," ",REPT(" ",60)),60)),코드표!$F$2:$F$101,0)),"⚠"&amp;TRIM(H198&amp;""))),"⚠"&amp;TRIM(H198&amp;""))</f>
        <v/>
      </c>
      <c r="Q198" s="10">
        <f>IFERROR(IF(TRIM(I198&amp;"")="","",IF(AND(ISNUMBER(FIND(" ",TRIM(I198&amp;""))),ISNUMBER(MATCH(LEFT(TRIM(I198&amp;""),FIND(" ",TRIM(I198&amp;""))-1),코드표!$J$2:$J$101,0)),ISNUMBER(MATCH(TRIM(RIGHT(SUBSTITUTE(TRIM(I198&amp;"")," ",REPT(" ",60)),60)),코드표!$F$2:$F$101,0))),INDEX(코드표!$K$2:$K$101,MATCH(LEFT(TRIM(I198&amp;""),FIND(" ",TRIM(I198&amp;""))-1),코드표!$J$2:$J$101,0))&amp;" "&amp;INDEX(코드표!$G$2:$G$101,MATCH(TRIM(RIGHT(SUBSTITUTE(TRIM(I198&amp;"")," ",REPT(" ",60)),60)),코드표!$F$2:$F$101,0)),"⚠"&amp;TRIM(I198&amp;""))),"⚠"&amp;TRIM(I198&amp;""))</f>
        <v/>
      </c>
      <c r="R198" s="10">
        <f>IFERROR(IF(TRIM(J198&amp;"")="","",IF(AND(ISNUMBER(FIND(" ",TRIM(J198&amp;""))),ISNUMBER(MATCH(LEFT(TRIM(J198&amp;""),FIND(" ",TRIM(J198&amp;""))-1),코드표!$J$2:$J$101,0)),ISNUMBER(MATCH(TRIM(RIGHT(SUBSTITUTE(TRIM(J198&amp;"")," ",REPT(" ",60)),60)),코드표!$F$2:$F$101,0))),INDEX(코드표!$K$2:$K$101,MATCH(LEFT(TRIM(J198&amp;""),FIND(" ",TRIM(J198&amp;""))-1),코드표!$J$2:$J$101,0))&amp;" "&amp;INDEX(코드표!$G$2:$G$101,MATCH(TRIM(RIGHT(SUBSTITUTE(TRIM(J198&amp;"")," ",REPT(" ",60)),60)),코드표!$F$2:$F$101,0)),"⚠"&amp;TRIM(J198&amp;""))),"⚠"&amp;TRIM(J198&amp;""))</f>
        <v/>
      </c>
      <c r="S198" s="11">
        <f>IF(K198="","",IFERROR(IF(AND(ROUND((VALUE(K198&amp;"")-INT(VALUE(K198&amp;"")))*100,0)&gt;=1,ROUND((VALUE(K198&amp;"")-INT(VALUE(K198&amp;"")))*100,0)&lt;=12,INT(VALUE(K198&amp;""))&gt;=1900),DATE(INT(VALUE(K198&amp;"")),ROUND((VALUE(K198&amp;"")-INT(VALUE(K198&amp;"")))*100,0),1),K198&amp;""),K198&amp;""))</f>
        <v/>
      </c>
      <c r="T198" s="10">
        <f>COUNTIF(M198:R198,"⚠*")</f>
        <v/>
      </c>
    </row>
    <row r="199"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M199" s="10">
        <f>IFERROR(IF(TRIM(E199&amp;"")="","",IF(AND(ISNUMBER(FIND(" ",TRIM(E199&amp;""))),ISNUMBER(MATCH(LEFT(TRIM(E199&amp;""),FIND(" ",TRIM(E199&amp;""))-1),코드표!$J$2:$J$101,0)),ISNUMBER(MATCH(TRIM(RIGHT(SUBSTITUTE(TRIM(E199&amp;"")," ",REPT(" ",60)),60)),코드표!$F$2:$F$101,0))),INDEX(코드표!$K$2:$K$101,MATCH(LEFT(TRIM(E199&amp;""),FIND(" ",TRIM(E199&amp;""))-1),코드표!$J$2:$J$101,0))&amp;" "&amp;INDEX(코드표!$G$2:$G$101,MATCH(TRIM(RIGHT(SUBSTITUTE(TRIM(E199&amp;"")," ",REPT(" ",60)),60)),코드표!$F$2:$F$101,0)),"⚠"&amp;TRIM(E199&amp;""))),"⚠"&amp;TRIM(E199&amp;""))</f>
        <v/>
      </c>
      <c r="N199" s="10">
        <f>IFERROR(IF(TRIM(F199&amp;"")="","",IF(AND(ISNUMBER(FIND(" ",TRIM(F199&amp;""))),ISNUMBER(MATCH(LEFT(TRIM(F199&amp;""),FIND(" ",TRIM(F199&amp;""))-1),코드표!$J$2:$J$101,0)),ISNUMBER(MATCH(TRIM(RIGHT(SUBSTITUTE(TRIM(F199&amp;"")," ",REPT(" ",60)),60)),코드표!$F$2:$F$101,0))),INDEX(코드표!$K$2:$K$101,MATCH(LEFT(TRIM(F199&amp;""),FIND(" ",TRIM(F199&amp;""))-1),코드표!$J$2:$J$101,0))&amp;" "&amp;INDEX(코드표!$G$2:$G$101,MATCH(TRIM(RIGHT(SUBSTITUTE(TRIM(F199&amp;"")," ",REPT(" ",60)),60)),코드표!$F$2:$F$101,0)),"⚠"&amp;TRIM(F199&amp;""))),"⚠"&amp;TRIM(F199&amp;""))</f>
        <v/>
      </c>
      <c r="O199" s="10">
        <f>IFERROR(IF(TRIM(G199&amp;"")="","",IF(AND(ISNUMBER(FIND(" ",TRIM(G199&amp;""))),ISNUMBER(MATCH(LEFT(TRIM(G199&amp;""),FIND(" ",TRIM(G199&amp;""))-1),코드표!$J$2:$J$101,0)),ISNUMBER(MATCH(TRIM(RIGHT(SUBSTITUTE(TRIM(G199&amp;"")," ",REPT(" ",60)),60)),코드표!$F$2:$F$101,0))),INDEX(코드표!$K$2:$K$101,MATCH(LEFT(TRIM(G199&amp;""),FIND(" ",TRIM(G199&amp;""))-1),코드표!$J$2:$J$101,0))&amp;" "&amp;INDEX(코드표!$G$2:$G$101,MATCH(TRIM(RIGHT(SUBSTITUTE(TRIM(G199&amp;"")," ",REPT(" ",60)),60)),코드표!$F$2:$F$101,0)),"⚠"&amp;TRIM(G199&amp;""))),"⚠"&amp;TRIM(G199&amp;""))</f>
        <v/>
      </c>
      <c r="P199" s="10">
        <f>IFERROR(IF(TRIM(H199&amp;"")="","",IF(AND(ISNUMBER(FIND(" ",TRIM(H199&amp;""))),ISNUMBER(MATCH(LEFT(TRIM(H199&amp;""),FIND(" ",TRIM(H199&amp;""))-1),코드표!$J$2:$J$101,0)),ISNUMBER(MATCH(TRIM(RIGHT(SUBSTITUTE(TRIM(H199&amp;"")," ",REPT(" ",60)),60)),코드표!$F$2:$F$101,0))),INDEX(코드표!$K$2:$K$101,MATCH(LEFT(TRIM(H199&amp;""),FIND(" ",TRIM(H199&amp;""))-1),코드표!$J$2:$J$101,0))&amp;" "&amp;INDEX(코드표!$G$2:$G$101,MATCH(TRIM(RIGHT(SUBSTITUTE(TRIM(H199&amp;"")," ",REPT(" ",60)),60)),코드표!$F$2:$F$101,0)),"⚠"&amp;TRIM(H199&amp;""))),"⚠"&amp;TRIM(H199&amp;""))</f>
        <v/>
      </c>
      <c r="Q199" s="10">
        <f>IFERROR(IF(TRIM(I199&amp;"")="","",IF(AND(ISNUMBER(FIND(" ",TRIM(I199&amp;""))),ISNUMBER(MATCH(LEFT(TRIM(I199&amp;""),FIND(" ",TRIM(I199&amp;""))-1),코드표!$J$2:$J$101,0)),ISNUMBER(MATCH(TRIM(RIGHT(SUBSTITUTE(TRIM(I199&amp;"")," ",REPT(" ",60)),60)),코드표!$F$2:$F$101,0))),INDEX(코드표!$K$2:$K$101,MATCH(LEFT(TRIM(I199&amp;""),FIND(" ",TRIM(I199&amp;""))-1),코드표!$J$2:$J$101,0))&amp;" "&amp;INDEX(코드표!$G$2:$G$101,MATCH(TRIM(RIGHT(SUBSTITUTE(TRIM(I199&amp;"")," ",REPT(" ",60)),60)),코드표!$F$2:$F$101,0)),"⚠"&amp;TRIM(I199&amp;""))),"⚠"&amp;TRIM(I199&amp;""))</f>
        <v/>
      </c>
      <c r="R199" s="10">
        <f>IFERROR(IF(TRIM(J199&amp;"")="","",IF(AND(ISNUMBER(FIND(" ",TRIM(J199&amp;""))),ISNUMBER(MATCH(LEFT(TRIM(J199&amp;""),FIND(" ",TRIM(J199&amp;""))-1),코드표!$J$2:$J$101,0)),ISNUMBER(MATCH(TRIM(RIGHT(SUBSTITUTE(TRIM(J199&amp;"")," ",REPT(" ",60)),60)),코드표!$F$2:$F$101,0))),INDEX(코드표!$K$2:$K$101,MATCH(LEFT(TRIM(J199&amp;""),FIND(" ",TRIM(J199&amp;""))-1),코드표!$J$2:$J$101,0))&amp;" "&amp;INDEX(코드표!$G$2:$G$101,MATCH(TRIM(RIGHT(SUBSTITUTE(TRIM(J199&amp;"")," ",REPT(" ",60)),60)),코드표!$F$2:$F$101,0)),"⚠"&amp;TRIM(J199&amp;""))),"⚠"&amp;TRIM(J199&amp;""))</f>
        <v/>
      </c>
      <c r="S199" s="11">
        <f>IF(K199="","",IFERROR(IF(AND(ROUND((VALUE(K199&amp;"")-INT(VALUE(K199&amp;"")))*100,0)&gt;=1,ROUND((VALUE(K199&amp;"")-INT(VALUE(K199&amp;"")))*100,0)&lt;=12,INT(VALUE(K199&amp;""))&gt;=1900),DATE(INT(VALUE(K199&amp;"")),ROUND((VALUE(K199&amp;"")-INT(VALUE(K199&amp;"")))*100,0),1),K199&amp;""),K199&amp;""))</f>
        <v/>
      </c>
      <c r="T199" s="10">
        <f>COUNTIF(M199:R199,"⚠*")</f>
        <v/>
      </c>
    </row>
    <row r="200"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M200" s="10">
        <f>IFERROR(IF(TRIM(E200&amp;"")="","",IF(AND(ISNUMBER(FIND(" ",TRIM(E200&amp;""))),ISNUMBER(MATCH(LEFT(TRIM(E200&amp;""),FIND(" ",TRIM(E200&amp;""))-1),코드표!$J$2:$J$101,0)),ISNUMBER(MATCH(TRIM(RIGHT(SUBSTITUTE(TRIM(E200&amp;"")," ",REPT(" ",60)),60)),코드표!$F$2:$F$101,0))),INDEX(코드표!$K$2:$K$101,MATCH(LEFT(TRIM(E200&amp;""),FIND(" ",TRIM(E200&amp;""))-1),코드표!$J$2:$J$101,0))&amp;" "&amp;INDEX(코드표!$G$2:$G$101,MATCH(TRIM(RIGHT(SUBSTITUTE(TRIM(E200&amp;"")," ",REPT(" ",60)),60)),코드표!$F$2:$F$101,0)),"⚠"&amp;TRIM(E200&amp;""))),"⚠"&amp;TRIM(E200&amp;""))</f>
        <v/>
      </c>
      <c r="N200" s="10">
        <f>IFERROR(IF(TRIM(F200&amp;"")="","",IF(AND(ISNUMBER(FIND(" ",TRIM(F200&amp;""))),ISNUMBER(MATCH(LEFT(TRIM(F200&amp;""),FIND(" ",TRIM(F200&amp;""))-1),코드표!$J$2:$J$101,0)),ISNUMBER(MATCH(TRIM(RIGHT(SUBSTITUTE(TRIM(F200&amp;"")," ",REPT(" ",60)),60)),코드표!$F$2:$F$101,0))),INDEX(코드표!$K$2:$K$101,MATCH(LEFT(TRIM(F200&amp;""),FIND(" ",TRIM(F200&amp;""))-1),코드표!$J$2:$J$101,0))&amp;" "&amp;INDEX(코드표!$G$2:$G$101,MATCH(TRIM(RIGHT(SUBSTITUTE(TRIM(F200&amp;"")," ",REPT(" ",60)),60)),코드표!$F$2:$F$101,0)),"⚠"&amp;TRIM(F200&amp;""))),"⚠"&amp;TRIM(F200&amp;""))</f>
        <v/>
      </c>
      <c r="O200" s="10">
        <f>IFERROR(IF(TRIM(G200&amp;"")="","",IF(AND(ISNUMBER(FIND(" ",TRIM(G200&amp;""))),ISNUMBER(MATCH(LEFT(TRIM(G200&amp;""),FIND(" ",TRIM(G200&amp;""))-1),코드표!$J$2:$J$101,0)),ISNUMBER(MATCH(TRIM(RIGHT(SUBSTITUTE(TRIM(G200&amp;"")," ",REPT(" ",60)),60)),코드표!$F$2:$F$101,0))),INDEX(코드표!$K$2:$K$101,MATCH(LEFT(TRIM(G200&amp;""),FIND(" ",TRIM(G200&amp;""))-1),코드표!$J$2:$J$101,0))&amp;" "&amp;INDEX(코드표!$G$2:$G$101,MATCH(TRIM(RIGHT(SUBSTITUTE(TRIM(G200&amp;"")," ",REPT(" ",60)),60)),코드표!$F$2:$F$101,0)),"⚠"&amp;TRIM(G200&amp;""))),"⚠"&amp;TRIM(G200&amp;""))</f>
        <v/>
      </c>
      <c r="P200" s="10">
        <f>IFERROR(IF(TRIM(H200&amp;"")="","",IF(AND(ISNUMBER(FIND(" ",TRIM(H200&amp;""))),ISNUMBER(MATCH(LEFT(TRIM(H200&amp;""),FIND(" ",TRIM(H200&amp;""))-1),코드표!$J$2:$J$101,0)),ISNUMBER(MATCH(TRIM(RIGHT(SUBSTITUTE(TRIM(H200&amp;"")," ",REPT(" ",60)),60)),코드표!$F$2:$F$101,0))),INDEX(코드표!$K$2:$K$101,MATCH(LEFT(TRIM(H200&amp;""),FIND(" ",TRIM(H200&amp;""))-1),코드표!$J$2:$J$101,0))&amp;" "&amp;INDEX(코드표!$G$2:$G$101,MATCH(TRIM(RIGHT(SUBSTITUTE(TRIM(H200&amp;"")," ",REPT(" ",60)),60)),코드표!$F$2:$F$101,0)),"⚠"&amp;TRIM(H200&amp;""))),"⚠"&amp;TRIM(H200&amp;""))</f>
        <v/>
      </c>
      <c r="Q200" s="10">
        <f>IFERROR(IF(TRIM(I200&amp;"")="","",IF(AND(ISNUMBER(FIND(" ",TRIM(I200&amp;""))),ISNUMBER(MATCH(LEFT(TRIM(I200&amp;""),FIND(" ",TRIM(I200&amp;""))-1),코드표!$J$2:$J$101,0)),ISNUMBER(MATCH(TRIM(RIGHT(SUBSTITUTE(TRIM(I200&amp;"")," ",REPT(" ",60)),60)),코드표!$F$2:$F$101,0))),INDEX(코드표!$K$2:$K$101,MATCH(LEFT(TRIM(I200&amp;""),FIND(" ",TRIM(I200&amp;""))-1),코드표!$J$2:$J$101,0))&amp;" "&amp;INDEX(코드표!$G$2:$G$101,MATCH(TRIM(RIGHT(SUBSTITUTE(TRIM(I200&amp;"")," ",REPT(" ",60)),60)),코드표!$F$2:$F$101,0)),"⚠"&amp;TRIM(I200&amp;""))),"⚠"&amp;TRIM(I200&amp;""))</f>
        <v/>
      </c>
      <c r="R200" s="10">
        <f>IFERROR(IF(TRIM(J200&amp;"")="","",IF(AND(ISNUMBER(FIND(" ",TRIM(J200&amp;""))),ISNUMBER(MATCH(LEFT(TRIM(J200&amp;""),FIND(" ",TRIM(J200&amp;""))-1),코드표!$J$2:$J$101,0)),ISNUMBER(MATCH(TRIM(RIGHT(SUBSTITUTE(TRIM(J200&amp;"")," ",REPT(" ",60)),60)),코드표!$F$2:$F$101,0))),INDEX(코드표!$K$2:$K$101,MATCH(LEFT(TRIM(J200&amp;""),FIND(" ",TRIM(J200&amp;""))-1),코드표!$J$2:$J$101,0))&amp;" "&amp;INDEX(코드표!$G$2:$G$101,MATCH(TRIM(RIGHT(SUBSTITUTE(TRIM(J200&amp;"")," ",REPT(" ",60)),60)),코드표!$F$2:$F$101,0)),"⚠"&amp;TRIM(J200&amp;""))),"⚠"&amp;TRIM(J200&amp;""))</f>
        <v/>
      </c>
      <c r="S200" s="11">
        <f>IF(K200="","",IFERROR(IF(AND(ROUND((VALUE(K200&amp;"")-INT(VALUE(K200&amp;"")))*100,0)&gt;=1,ROUND((VALUE(K200&amp;"")-INT(VALUE(K200&amp;"")))*100,0)&lt;=12,INT(VALUE(K200&amp;""))&gt;=1900),DATE(INT(VALUE(K200&amp;"")),ROUND((VALUE(K200&amp;"")-INT(VALUE(K200&amp;"")))*100,0),1),K200&amp;""),K200&amp;""))</f>
        <v/>
      </c>
      <c r="T200" s="10">
        <f>COUNTIF(M200:R200,"⚠*")</f>
        <v/>
      </c>
    </row>
    <row r="201"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M201" s="10">
        <f>IFERROR(IF(TRIM(E201&amp;"")="","",IF(AND(ISNUMBER(FIND(" ",TRIM(E201&amp;""))),ISNUMBER(MATCH(LEFT(TRIM(E201&amp;""),FIND(" ",TRIM(E201&amp;""))-1),코드표!$J$2:$J$101,0)),ISNUMBER(MATCH(TRIM(RIGHT(SUBSTITUTE(TRIM(E201&amp;"")," ",REPT(" ",60)),60)),코드표!$F$2:$F$101,0))),INDEX(코드표!$K$2:$K$101,MATCH(LEFT(TRIM(E201&amp;""),FIND(" ",TRIM(E201&amp;""))-1),코드표!$J$2:$J$101,0))&amp;" "&amp;INDEX(코드표!$G$2:$G$101,MATCH(TRIM(RIGHT(SUBSTITUTE(TRIM(E201&amp;"")," ",REPT(" ",60)),60)),코드표!$F$2:$F$101,0)),"⚠"&amp;TRIM(E201&amp;""))),"⚠"&amp;TRIM(E201&amp;""))</f>
        <v/>
      </c>
      <c r="N201" s="10">
        <f>IFERROR(IF(TRIM(F201&amp;"")="","",IF(AND(ISNUMBER(FIND(" ",TRIM(F201&amp;""))),ISNUMBER(MATCH(LEFT(TRIM(F201&amp;""),FIND(" ",TRIM(F201&amp;""))-1),코드표!$J$2:$J$101,0)),ISNUMBER(MATCH(TRIM(RIGHT(SUBSTITUTE(TRIM(F201&amp;"")," ",REPT(" ",60)),60)),코드표!$F$2:$F$101,0))),INDEX(코드표!$K$2:$K$101,MATCH(LEFT(TRIM(F201&amp;""),FIND(" ",TRIM(F201&amp;""))-1),코드표!$J$2:$J$101,0))&amp;" "&amp;INDEX(코드표!$G$2:$G$101,MATCH(TRIM(RIGHT(SUBSTITUTE(TRIM(F201&amp;"")," ",REPT(" ",60)),60)),코드표!$F$2:$F$101,0)),"⚠"&amp;TRIM(F201&amp;""))),"⚠"&amp;TRIM(F201&amp;""))</f>
        <v/>
      </c>
      <c r="O201" s="10">
        <f>IFERROR(IF(TRIM(G201&amp;"")="","",IF(AND(ISNUMBER(FIND(" ",TRIM(G201&amp;""))),ISNUMBER(MATCH(LEFT(TRIM(G201&amp;""),FIND(" ",TRIM(G201&amp;""))-1),코드표!$J$2:$J$101,0)),ISNUMBER(MATCH(TRIM(RIGHT(SUBSTITUTE(TRIM(G201&amp;"")," ",REPT(" ",60)),60)),코드표!$F$2:$F$101,0))),INDEX(코드표!$K$2:$K$101,MATCH(LEFT(TRIM(G201&amp;""),FIND(" ",TRIM(G201&amp;""))-1),코드표!$J$2:$J$101,0))&amp;" "&amp;INDEX(코드표!$G$2:$G$101,MATCH(TRIM(RIGHT(SUBSTITUTE(TRIM(G201&amp;"")," ",REPT(" ",60)),60)),코드표!$F$2:$F$101,0)),"⚠"&amp;TRIM(G201&amp;""))),"⚠"&amp;TRIM(G201&amp;""))</f>
        <v/>
      </c>
      <c r="P201" s="10">
        <f>IFERROR(IF(TRIM(H201&amp;"")="","",IF(AND(ISNUMBER(FIND(" ",TRIM(H201&amp;""))),ISNUMBER(MATCH(LEFT(TRIM(H201&amp;""),FIND(" ",TRIM(H201&amp;""))-1),코드표!$J$2:$J$101,0)),ISNUMBER(MATCH(TRIM(RIGHT(SUBSTITUTE(TRIM(H201&amp;"")," ",REPT(" ",60)),60)),코드표!$F$2:$F$101,0))),INDEX(코드표!$K$2:$K$101,MATCH(LEFT(TRIM(H201&amp;""),FIND(" ",TRIM(H201&amp;""))-1),코드표!$J$2:$J$101,0))&amp;" "&amp;INDEX(코드표!$G$2:$G$101,MATCH(TRIM(RIGHT(SUBSTITUTE(TRIM(H201&amp;"")," ",REPT(" ",60)),60)),코드표!$F$2:$F$101,0)),"⚠"&amp;TRIM(H201&amp;""))),"⚠"&amp;TRIM(H201&amp;""))</f>
        <v/>
      </c>
      <c r="Q201" s="10">
        <f>IFERROR(IF(TRIM(I201&amp;"")="","",IF(AND(ISNUMBER(FIND(" ",TRIM(I201&amp;""))),ISNUMBER(MATCH(LEFT(TRIM(I201&amp;""),FIND(" ",TRIM(I201&amp;""))-1),코드표!$J$2:$J$101,0)),ISNUMBER(MATCH(TRIM(RIGHT(SUBSTITUTE(TRIM(I201&amp;"")," ",REPT(" ",60)),60)),코드표!$F$2:$F$101,0))),INDEX(코드표!$K$2:$K$101,MATCH(LEFT(TRIM(I201&amp;""),FIND(" ",TRIM(I201&amp;""))-1),코드표!$J$2:$J$101,0))&amp;" "&amp;INDEX(코드표!$G$2:$G$101,MATCH(TRIM(RIGHT(SUBSTITUTE(TRIM(I201&amp;"")," ",REPT(" ",60)),60)),코드표!$F$2:$F$101,0)),"⚠"&amp;TRIM(I201&amp;""))),"⚠"&amp;TRIM(I201&amp;""))</f>
        <v/>
      </c>
      <c r="R201" s="10">
        <f>IFERROR(IF(TRIM(J201&amp;"")="","",IF(AND(ISNUMBER(FIND(" ",TRIM(J201&amp;""))),ISNUMBER(MATCH(LEFT(TRIM(J201&amp;""),FIND(" ",TRIM(J201&amp;""))-1),코드표!$J$2:$J$101,0)),ISNUMBER(MATCH(TRIM(RIGHT(SUBSTITUTE(TRIM(J201&amp;"")," ",REPT(" ",60)),60)),코드표!$F$2:$F$101,0))),INDEX(코드표!$K$2:$K$101,MATCH(LEFT(TRIM(J201&amp;""),FIND(" ",TRIM(J201&amp;""))-1),코드표!$J$2:$J$101,0))&amp;" "&amp;INDEX(코드표!$G$2:$G$101,MATCH(TRIM(RIGHT(SUBSTITUTE(TRIM(J201&amp;"")," ",REPT(" ",60)),60)),코드표!$F$2:$F$101,0)),"⚠"&amp;TRIM(J201&amp;""))),"⚠"&amp;TRIM(J201&amp;""))</f>
        <v/>
      </c>
      <c r="S201" s="11">
        <f>IF(K201="","",IFERROR(IF(AND(ROUND((VALUE(K201&amp;"")-INT(VALUE(K201&amp;"")))*100,0)&gt;=1,ROUND((VALUE(K201&amp;"")-INT(VALUE(K201&amp;"")))*100,0)&lt;=12,INT(VALUE(K201&amp;""))&gt;=1900),DATE(INT(VALUE(K201&amp;"")),ROUND((VALUE(K201&amp;"")-INT(VALUE(K201&amp;"")))*100,0),1),K201&amp;""),K201&amp;""))</f>
        <v/>
      </c>
      <c r="T201" s="10">
        <f>COUNTIF(M201:R201,"⚠*")</f>
        <v/>
      </c>
    </row>
    <row r="202"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M202" s="10">
        <f>IFERROR(IF(TRIM(E202&amp;"")="","",IF(AND(ISNUMBER(FIND(" ",TRIM(E202&amp;""))),ISNUMBER(MATCH(LEFT(TRIM(E202&amp;""),FIND(" ",TRIM(E202&amp;""))-1),코드표!$J$2:$J$101,0)),ISNUMBER(MATCH(TRIM(RIGHT(SUBSTITUTE(TRIM(E202&amp;"")," ",REPT(" ",60)),60)),코드표!$F$2:$F$101,0))),INDEX(코드표!$K$2:$K$101,MATCH(LEFT(TRIM(E202&amp;""),FIND(" ",TRIM(E202&amp;""))-1),코드표!$J$2:$J$101,0))&amp;" "&amp;INDEX(코드표!$G$2:$G$101,MATCH(TRIM(RIGHT(SUBSTITUTE(TRIM(E202&amp;"")," ",REPT(" ",60)),60)),코드표!$F$2:$F$101,0)),"⚠"&amp;TRIM(E202&amp;""))),"⚠"&amp;TRIM(E202&amp;""))</f>
        <v/>
      </c>
      <c r="N202" s="10">
        <f>IFERROR(IF(TRIM(F202&amp;"")="","",IF(AND(ISNUMBER(FIND(" ",TRIM(F202&amp;""))),ISNUMBER(MATCH(LEFT(TRIM(F202&amp;""),FIND(" ",TRIM(F202&amp;""))-1),코드표!$J$2:$J$101,0)),ISNUMBER(MATCH(TRIM(RIGHT(SUBSTITUTE(TRIM(F202&amp;"")," ",REPT(" ",60)),60)),코드표!$F$2:$F$101,0))),INDEX(코드표!$K$2:$K$101,MATCH(LEFT(TRIM(F202&amp;""),FIND(" ",TRIM(F202&amp;""))-1),코드표!$J$2:$J$101,0))&amp;" "&amp;INDEX(코드표!$G$2:$G$101,MATCH(TRIM(RIGHT(SUBSTITUTE(TRIM(F202&amp;"")," ",REPT(" ",60)),60)),코드표!$F$2:$F$101,0)),"⚠"&amp;TRIM(F202&amp;""))),"⚠"&amp;TRIM(F202&amp;""))</f>
        <v/>
      </c>
      <c r="O202" s="10">
        <f>IFERROR(IF(TRIM(G202&amp;"")="","",IF(AND(ISNUMBER(FIND(" ",TRIM(G202&amp;""))),ISNUMBER(MATCH(LEFT(TRIM(G202&amp;""),FIND(" ",TRIM(G202&amp;""))-1),코드표!$J$2:$J$101,0)),ISNUMBER(MATCH(TRIM(RIGHT(SUBSTITUTE(TRIM(G202&amp;"")," ",REPT(" ",60)),60)),코드표!$F$2:$F$101,0))),INDEX(코드표!$K$2:$K$101,MATCH(LEFT(TRIM(G202&amp;""),FIND(" ",TRIM(G202&amp;""))-1),코드표!$J$2:$J$101,0))&amp;" "&amp;INDEX(코드표!$G$2:$G$101,MATCH(TRIM(RIGHT(SUBSTITUTE(TRIM(G202&amp;"")," ",REPT(" ",60)),60)),코드표!$F$2:$F$101,0)),"⚠"&amp;TRIM(G202&amp;""))),"⚠"&amp;TRIM(G202&amp;""))</f>
        <v/>
      </c>
      <c r="P202" s="10">
        <f>IFERROR(IF(TRIM(H202&amp;"")="","",IF(AND(ISNUMBER(FIND(" ",TRIM(H202&amp;""))),ISNUMBER(MATCH(LEFT(TRIM(H202&amp;""),FIND(" ",TRIM(H202&amp;""))-1),코드표!$J$2:$J$101,0)),ISNUMBER(MATCH(TRIM(RIGHT(SUBSTITUTE(TRIM(H202&amp;"")," ",REPT(" ",60)),60)),코드표!$F$2:$F$101,0))),INDEX(코드표!$K$2:$K$101,MATCH(LEFT(TRIM(H202&amp;""),FIND(" ",TRIM(H202&amp;""))-1),코드표!$J$2:$J$101,0))&amp;" "&amp;INDEX(코드표!$G$2:$G$101,MATCH(TRIM(RIGHT(SUBSTITUTE(TRIM(H202&amp;"")," ",REPT(" ",60)),60)),코드표!$F$2:$F$101,0)),"⚠"&amp;TRIM(H202&amp;""))),"⚠"&amp;TRIM(H202&amp;""))</f>
        <v/>
      </c>
      <c r="Q202" s="10">
        <f>IFERROR(IF(TRIM(I202&amp;"")="","",IF(AND(ISNUMBER(FIND(" ",TRIM(I202&amp;""))),ISNUMBER(MATCH(LEFT(TRIM(I202&amp;""),FIND(" ",TRIM(I202&amp;""))-1),코드표!$J$2:$J$101,0)),ISNUMBER(MATCH(TRIM(RIGHT(SUBSTITUTE(TRIM(I202&amp;"")," ",REPT(" ",60)),60)),코드표!$F$2:$F$101,0))),INDEX(코드표!$K$2:$K$101,MATCH(LEFT(TRIM(I202&amp;""),FIND(" ",TRIM(I202&amp;""))-1),코드표!$J$2:$J$101,0))&amp;" "&amp;INDEX(코드표!$G$2:$G$101,MATCH(TRIM(RIGHT(SUBSTITUTE(TRIM(I202&amp;"")," ",REPT(" ",60)),60)),코드표!$F$2:$F$101,0)),"⚠"&amp;TRIM(I202&amp;""))),"⚠"&amp;TRIM(I202&amp;""))</f>
        <v/>
      </c>
      <c r="R202" s="10">
        <f>IFERROR(IF(TRIM(J202&amp;"")="","",IF(AND(ISNUMBER(FIND(" ",TRIM(J202&amp;""))),ISNUMBER(MATCH(LEFT(TRIM(J202&amp;""),FIND(" ",TRIM(J202&amp;""))-1),코드표!$J$2:$J$101,0)),ISNUMBER(MATCH(TRIM(RIGHT(SUBSTITUTE(TRIM(J202&amp;"")," ",REPT(" ",60)),60)),코드표!$F$2:$F$101,0))),INDEX(코드표!$K$2:$K$101,MATCH(LEFT(TRIM(J202&amp;""),FIND(" ",TRIM(J202&amp;""))-1),코드표!$J$2:$J$101,0))&amp;" "&amp;INDEX(코드표!$G$2:$G$101,MATCH(TRIM(RIGHT(SUBSTITUTE(TRIM(J202&amp;"")," ",REPT(" ",60)),60)),코드표!$F$2:$F$101,0)),"⚠"&amp;TRIM(J202&amp;""))),"⚠"&amp;TRIM(J202&amp;""))</f>
        <v/>
      </c>
      <c r="S202" s="11">
        <f>IF(K202="","",IFERROR(IF(AND(ROUND((VALUE(K202&amp;"")-INT(VALUE(K202&amp;"")))*100,0)&gt;=1,ROUND((VALUE(K202&amp;"")-INT(VALUE(K202&amp;"")))*100,0)&lt;=12,INT(VALUE(K202&amp;""))&gt;=1900),DATE(INT(VALUE(K202&amp;"")),ROUND((VALUE(K202&amp;"")-INT(VALUE(K202&amp;"")))*100,0),1),K202&amp;""),K202&amp;""))</f>
        <v/>
      </c>
      <c r="T202" s="10">
        <f>COUNTIF(M202:R202,"⚠*")</f>
        <v/>
      </c>
    </row>
  </sheetData>
  <mergeCells count="1">
    <mergeCell ref="B1:K1"/>
  </mergeCells>
  <conditionalFormatting sqref="E3:J202">
    <cfRule type="expression" priority="1" dxfId="0">
      <formula>LEFT(M3,1)="⚠"</formula>
    </cfRule>
  </conditionalFormatting>
  <conditionalFormatting sqref="M3:R202">
    <cfRule type="expression" priority="2" dxfId="1">
      <formula>LEFT(M3,1)="⚠"</formula>
    </cfRule>
  </conditionalFormatting>
  <dataValidations count="1">
    <dataValidation sqref="E3:J202" showDropDown="0" showInputMessage="0" showErrorMessage="1" allowBlank="1" errorTitle="등록되지 않은 병원/진료과" error="'지역 진료과' 형식(예: 서울 내과, 제주 산부)으로 입력하세요.&#10;처음 보는 지역이나 진료과(약칭)라면 먼저 '코드표' 시트에 추가한 뒤 다시 입력하세요." type="custom" errorStyle="stop">
      <formula1>AND(ISNUMBER(FIND(" ",TRIM(E3))),ISNUMBER(MATCH(LEFT(TRIM(E3),FIND(" ",TRIM(E3))-1),코드표!$J$2:$J$101,0)),ISNUMBER(MATCH(TRIM(RIGHT(SUBSTITUTE(TRIM(E3)," ",REPT(" ",60)),60)),코드표!$F$2:$F$101,0)))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03"/>
  <sheetViews>
    <sheetView workbookViewId="0">
      <pane xSplit="7" ySplit="3" topLeftCell="H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14" customWidth="1" min="4" max="4"/>
    <col width="9" customWidth="1" min="5" max="5"/>
    <col width="10" customWidth="1" min="6" max="6"/>
    <col width="11" customWidth="1" min="7" max="7"/>
    <col width="12" customWidth="1" min="8" max="8"/>
    <col width="12" customWidth="1" min="9" max="9"/>
    <col width="9" customWidth="1" min="10" max="10"/>
    <col width="16" customWidth="1" min="11" max="11"/>
    <col width="14" customWidth="1" min="12" max="12"/>
    <col width="14" customWidth="1" min="13" max="13"/>
    <col width="20" customWidth="1" min="14" max="14"/>
    <col width="30" customWidth="1" min="15" max="15"/>
    <col width="3" customWidth="1" min="16" max="16"/>
    <col width="12" customWidth="1" min="17" max="17"/>
    <col width="12" customWidth="1" min="18" max="18"/>
    <col width="13" customWidth="1" min="19" max="19"/>
    <col width="11" customWidth="1" min="20" max="20"/>
    <col width="15" customWidth="1" min="21" max="21"/>
    <col width="9" customWidth="1" min="22" max="22"/>
    <col width="11" customWidth="1" min="23" max="23"/>
    <col width="10" customWidth="1" min="24" max="24"/>
    <col width="16" customWidth="1" min="25" max="25"/>
    <col width="14" customWidth="1" min="26" max="26"/>
    <col width="22" customWidth="1" min="27" max="27"/>
    <col width="12" customWidth="1" min="28" max="28"/>
    <col width="12" customWidth="1" min="29" max="29"/>
    <col width="12" customWidth="1" min="30" max="30"/>
    <col width="14" customWidth="1" min="31" max="31"/>
  </cols>
  <sheetData>
    <row r="1">
      <c r="A1" s="12" t="inlineStr">
        <is>
          <t>연번</t>
        </is>
      </c>
      <c r="B1" s="12" t="inlineStr">
        <is>
          <t>모병원명</t>
        </is>
      </c>
      <c r="C1" s="12" t="inlineStr">
        <is>
          <t>수련
종별
(I/R)</t>
        </is>
      </c>
      <c r="D1" s="12" t="inlineStr">
        <is>
          <t>수련
과목</t>
        </is>
      </c>
      <c r="E1" s="12" t="inlineStr">
        <is>
          <t>연차</t>
        </is>
      </c>
      <c r="F1" s="12" t="inlineStr">
        <is>
          <t>성명</t>
        </is>
      </c>
      <c r="G1" s="12" t="inlineStr">
        <is>
          <t>전공의
등록번호</t>
        </is>
      </c>
      <c r="H1" s="12" t="inlineStr">
        <is>
          <t>파견시작일</t>
        </is>
      </c>
      <c r="I1" s="12" t="inlineStr">
        <is>
          <t>파견종료일</t>
        </is>
      </c>
      <c r="J1" s="12" t="inlineStr">
        <is>
          <t>파견일수</t>
        </is>
      </c>
      <c r="K1" s="12" t="inlineStr">
        <is>
          <t>파견병원</t>
        </is>
      </c>
      <c r="L1" s="12" t="inlineStr">
        <is>
          <t>파견
과목</t>
        </is>
      </c>
      <c r="M1" s="12" t="inlineStr">
        <is>
          <t>파견근거
(모자/통합수련)</t>
        </is>
      </c>
      <c r="N1" s="12" t="inlineStr">
        <is>
          <t>비고</t>
        </is>
      </c>
      <c r="Q1" s="8" t="inlineStr">
        <is>
          <t>↓ 자동 계산 (수정 금지) — 병원/과목은 코드표 기준으로 통일, 인식 불가는 ⚠ 표시</t>
        </is>
      </c>
    </row>
    <row r="2">
      <c r="A2" s="13" t="n"/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</row>
    <row r="3" ht="30" customHeight="1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Q3" s="9" t="inlineStr">
        <is>
          <t>키(등록번호)</t>
        </is>
      </c>
      <c r="R3" s="9" t="inlineStr">
        <is>
          <t>모병원(정규화)</t>
        </is>
      </c>
      <c r="S3" s="9" t="inlineStr">
        <is>
          <t>파견병원(정규화)</t>
        </is>
      </c>
      <c r="T3" s="9" t="inlineStr">
        <is>
          <t>파견근거(정규화)</t>
        </is>
      </c>
      <c r="U3" s="9" t="inlineStr">
        <is>
          <t>파견과목(정규화)</t>
        </is>
      </c>
      <c r="V3" s="9" t="inlineStr">
        <is>
          <t>파견일수(계산)</t>
        </is>
      </c>
      <c r="W3" s="9" t="inlineStr">
        <is>
          <t>급여기준월 겹침일수</t>
        </is>
      </c>
      <c r="X3" s="9" t="inlineStr">
        <is>
          <t>상태</t>
        </is>
      </c>
      <c r="Y3" s="9" t="inlineStr">
        <is>
          <t>키|상태</t>
        </is>
      </c>
      <c r="Z3" s="9" t="inlineStr">
        <is>
          <t>키|기준월</t>
        </is>
      </c>
      <c r="AA3" s="9" t="inlineStr">
        <is>
          <t>입력 오류</t>
        </is>
      </c>
      <c r="AB3" s="9" t="inlineStr">
        <is>
          <t>비고 다기관 시작</t>
        </is>
      </c>
      <c r="AC3" s="9" t="inlineStr">
        <is>
          <t>비고 다기관 종료</t>
        </is>
      </c>
      <c r="AD3" s="9" t="inlineStr">
        <is>
          <t>비고 다기관 기준월 겹침일수</t>
        </is>
      </c>
      <c r="AE3" s="9" t="inlineStr">
        <is>
          <t>키|다기관</t>
        </is>
      </c>
    </row>
    <row r="4">
      <c r="A4" s="15">
        <f>IF(F4="","",ROW()-3)</f>
        <v/>
      </c>
      <c r="B4" s="5" t="inlineStr">
        <is>
          <t>한양대학교병원</t>
        </is>
      </c>
      <c r="C4" s="15" t="inlineStr">
        <is>
          <t>R</t>
        </is>
      </c>
      <c r="D4" s="5" t="inlineStr">
        <is>
          <t>내과</t>
        </is>
      </c>
      <c r="E4" s="15" t="n">
        <v>3</v>
      </c>
      <c r="F4" s="5" t="inlineStr">
        <is>
          <t>박ㅇㅇ</t>
        </is>
      </c>
      <c r="G4" s="6" t="inlineStr">
        <is>
          <t>21-1111</t>
        </is>
      </c>
      <c r="H4" s="16" t="n">
        <v>46144</v>
      </c>
      <c r="I4" s="16" t="n">
        <v>46265</v>
      </c>
      <c r="J4" s="15">
        <f>IF(AND(ISNUMBER(H4),ISNUMBER(I4)),I4-H4+1,"")</f>
        <v/>
      </c>
      <c r="K4" s="5" t="inlineStr">
        <is>
          <t>한양대구리병원</t>
        </is>
      </c>
      <c r="L4" s="5" t="inlineStr">
        <is>
          <t>내과</t>
        </is>
      </c>
      <c r="M4" s="5" t="inlineStr">
        <is>
          <t>모자</t>
        </is>
      </c>
      <c r="N4" s="5" t="n"/>
      <c r="O4" s="5" t="inlineStr">
        <is>
          <t>2026.09.01-2026.09.30 다기관 파견</t>
        </is>
      </c>
      <c r="Q4" s="10">
        <f>IF(TRIM(G4&amp;"")="","",TRIM(G4&amp;""))</f>
        <v/>
      </c>
      <c r="R4" s="10">
        <f>IF(TRIM(B4&amp;"")="","",IFERROR(INDEX(코드표!$K$2:$K$101,MATCH(TRIM(B4&amp;""),코드표!$J$2:$J$101,0)),"⚠"&amp;TRIM(B4&amp;"")))</f>
        <v/>
      </c>
      <c r="S4" s="10">
        <f>IF(TRIM(K4&amp;"")="","",IFERROR(INDEX(코드표!$K$2:$K$101,MATCH(TRIM(K4&amp;""),코드표!$J$2:$J$101,0)),"⚠"&amp;TRIM(K4&amp;"")))</f>
        <v/>
      </c>
      <c r="T4" s="10">
        <f>IF(TRIM(M4&amp;"")="","",IF(ISNUMBER(MATCH(TRIM(M4&amp;""),코드표!$C$2:$C$11,0)),TRIM(M4&amp;""),"⚠"&amp;TRIM(M4&amp;"")))</f>
        <v/>
      </c>
      <c r="U4" s="10">
        <f>IF(TRIM(L4&amp;"")="","",IFERROR(INDEX(코드표!$G$2:$G$101,MATCH(TRIM(L4&amp;""),코드표!$F$2:$F$101,0)),"⚠"&amp;TRIM(L4&amp;"")))</f>
        <v/>
      </c>
      <c r="V4" s="10">
        <f>IF(AND(ISNUMBER(H4),ISNUMBER(I4)),I4-H4+1,"")</f>
        <v/>
      </c>
      <c r="W4" s="17">
        <f>IF(ISNUMBER(H4),MAX(0,MIN(IF(ISNUMBER(I4),I4,EOMONTH(요약!$B$3,0)),EOMONTH(요약!$B$3,0))-MAX(H4,요약!$B$3)+1),0)</f>
        <v/>
      </c>
      <c r="X4" s="10">
        <f>IF(OR(NOT(ISNUMBER(H4)),Q4=""),"",IF(TODAY()&lt;H4,"파견예정",IF(AND(ISNUMBER(I4),TODAY()&gt;I4),"파견종료","파견중")))</f>
        <v/>
      </c>
      <c r="Y4" s="10">
        <f>IF(OR(Q4="",X4=""),"",Q4&amp;"|"&amp;X4)</f>
        <v/>
      </c>
      <c r="Z4" s="10">
        <f>IF(AND(Q4&lt;&gt;"",W4&gt;0),Q4&amp;"|월","")</f>
        <v/>
      </c>
      <c r="AA4" s="10">
        <f>IF(COUNTA(B4:N4)=0,"",IF(Q4="","등록번호 없음",IF(LEFT(R4,1)="⚠","모병원명 미등록",IF(S4="","파견병원 입력",IF(LEFT(S4,1)="⚠","파견병원명 미등록",IF(LEFT(U4,1)="⚠","파견과목 미등록",IF(OR(T4="",LEFT(T4,1)="⚠"),"파견근거 확인",IF(NOT(AND(ISNUMBER(H4),ISNUMBER(I4))),"날짜 형식/누락",IF(I4&lt;H4,"종료일&lt;시작일","")))))))))</f>
        <v/>
      </c>
      <c r="AB4" s="11">
        <f>IF(ISNUMBER(SEARCH("다기관",TRIM(N4&amp;" "&amp;O4))),IFERROR(DATE(VALUE(MID(TRIM(N4&amp;" "&amp;O4),1,4)),VALUE(MID(TRIM(N4&amp;" "&amp;O4),6,2)),VALUE(MID(TRIM(N4&amp;" "&amp;O4),9,2))),IF(ISNUMBER(H4),H4,"")),"")</f>
        <v/>
      </c>
      <c r="AC4" s="11">
        <f>IF(ISNUMBER(SEARCH("다기관",TRIM(N4&amp;" "&amp;O4))),IFERROR(DATE(VALUE(MID(TRIM(N4&amp;" "&amp;O4),12,4)),VALUE(MID(TRIM(N4&amp;" "&amp;O4),17,2)),VALUE(MID(TRIM(N4&amp;" "&amp;O4),20,2))),IF(ISNUMBER(I4),I4,"")),"")</f>
        <v/>
      </c>
      <c r="AD4" s="17">
        <f>IF(AND(ISNUMBER(AB4),ISNUMBER(AC4)),MAX(0,MIN(AC4,EOMONTH(요약!$B$3,0))-MAX(AB4,요약!$B$3)+1),0)</f>
        <v/>
      </c>
      <c r="AE4" s="10">
        <f>IF(AND(Q4&lt;&gt;"",ISNUMBER(AB4)),Q4&amp;"|다기관","")</f>
        <v/>
      </c>
    </row>
    <row r="5">
      <c r="A5" s="15">
        <f>IF(F5="","",ROW()-3)</f>
        <v/>
      </c>
      <c r="B5" s="5" t="inlineStr">
        <is>
          <t>한양대학교병원</t>
        </is>
      </c>
      <c r="C5" s="15" t="inlineStr">
        <is>
          <t>R</t>
        </is>
      </c>
      <c r="D5" s="5" t="inlineStr">
        <is>
          <t>내과</t>
        </is>
      </c>
      <c r="E5" s="15" t="n">
        <v>3</v>
      </c>
      <c r="F5" s="5" t="inlineStr">
        <is>
          <t>박ㅇㅇ</t>
        </is>
      </c>
      <c r="G5" s="6" t="inlineStr">
        <is>
          <t>21-1111</t>
        </is>
      </c>
      <c r="H5" s="16" t="n">
        <v>46296</v>
      </c>
      <c r="I5" s="16" t="n">
        <v>46326</v>
      </c>
      <c r="J5" s="15">
        <f>IF(AND(ISNUMBER(H5),ISNUMBER(I5)),I5-H5+1,"")</f>
        <v/>
      </c>
      <c r="K5" s="5" t="inlineStr">
        <is>
          <t>한양대구리병원</t>
        </is>
      </c>
      <c r="L5" s="5" t="inlineStr">
        <is>
          <t>내과</t>
        </is>
      </c>
      <c r="M5" s="5" t="inlineStr">
        <is>
          <t>모자</t>
        </is>
      </c>
      <c r="N5" s="5" t="n"/>
      <c r="O5" s="5" t="n"/>
      <c r="Q5" s="10">
        <f>IF(TRIM(G5&amp;"")="","",TRIM(G5&amp;""))</f>
        <v/>
      </c>
      <c r="R5" s="10">
        <f>IF(TRIM(B5&amp;"")="","",IFERROR(INDEX(코드표!$K$2:$K$101,MATCH(TRIM(B5&amp;""),코드표!$J$2:$J$101,0)),"⚠"&amp;TRIM(B5&amp;"")))</f>
        <v/>
      </c>
      <c r="S5" s="10">
        <f>IF(TRIM(K5&amp;"")="","",IFERROR(INDEX(코드표!$K$2:$K$101,MATCH(TRIM(K5&amp;""),코드표!$J$2:$J$101,0)),"⚠"&amp;TRIM(K5&amp;"")))</f>
        <v/>
      </c>
      <c r="T5" s="10">
        <f>IF(TRIM(M5&amp;"")="","",IF(ISNUMBER(MATCH(TRIM(M5&amp;""),코드표!$C$2:$C$11,0)),TRIM(M5&amp;""),"⚠"&amp;TRIM(M5&amp;"")))</f>
        <v/>
      </c>
      <c r="U5" s="10">
        <f>IF(TRIM(L5&amp;"")="","",IFERROR(INDEX(코드표!$G$2:$G$101,MATCH(TRIM(L5&amp;""),코드표!$F$2:$F$101,0)),"⚠"&amp;TRIM(L5&amp;"")))</f>
        <v/>
      </c>
      <c r="V5" s="10">
        <f>IF(AND(ISNUMBER(H5),ISNUMBER(I5)),I5-H5+1,"")</f>
        <v/>
      </c>
      <c r="W5" s="17">
        <f>IF(ISNUMBER(H5),MAX(0,MIN(IF(ISNUMBER(I5),I5,EOMONTH(요약!$B$3,0)),EOMONTH(요약!$B$3,0))-MAX(H5,요약!$B$3)+1),0)</f>
        <v/>
      </c>
      <c r="X5" s="10">
        <f>IF(OR(NOT(ISNUMBER(H5)),Q5=""),"",IF(TODAY()&lt;H5,"파견예정",IF(AND(ISNUMBER(I5),TODAY()&gt;I5),"파견종료","파견중")))</f>
        <v/>
      </c>
      <c r="Y5" s="10">
        <f>IF(OR(Q5="",X5=""),"",Q5&amp;"|"&amp;X5)</f>
        <v/>
      </c>
      <c r="Z5" s="10">
        <f>IF(AND(Q5&lt;&gt;"",W5&gt;0),Q5&amp;"|월","")</f>
        <v/>
      </c>
      <c r="AA5" s="10">
        <f>IF(COUNTA(B5:N5)=0,"",IF(Q5="","등록번호 없음",IF(LEFT(R5,1)="⚠","모병원명 미등록",IF(S5="","파견병원 입력",IF(LEFT(S5,1)="⚠","파견병원명 미등록",IF(LEFT(U5,1)="⚠","파견과목 미등록",IF(OR(T5="",LEFT(T5,1)="⚠"),"파견근거 확인",IF(NOT(AND(ISNUMBER(H5),ISNUMBER(I5))),"날짜 형식/누락",IF(I5&lt;H5,"종료일&lt;시작일","")))))))))</f>
        <v/>
      </c>
      <c r="AB5" s="11">
        <f>IF(ISNUMBER(SEARCH("다기관",TRIM(N5&amp;" "&amp;O5))),IFERROR(DATE(VALUE(MID(TRIM(N5&amp;" "&amp;O5),1,4)),VALUE(MID(TRIM(N5&amp;" "&amp;O5),6,2)),VALUE(MID(TRIM(N5&amp;" "&amp;O5),9,2))),IF(ISNUMBER(H5),H5,"")),"")</f>
        <v/>
      </c>
      <c r="AC5" s="11">
        <f>IF(ISNUMBER(SEARCH("다기관",TRIM(N5&amp;" "&amp;O5))),IFERROR(DATE(VALUE(MID(TRIM(N5&amp;" "&amp;O5),12,4)),VALUE(MID(TRIM(N5&amp;" "&amp;O5),17,2)),VALUE(MID(TRIM(N5&amp;" "&amp;O5),20,2))),IF(ISNUMBER(I5),I5,"")),"")</f>
        <v/>
      </c>
      <c r="AD5" s="17">
        <f>IF(AND(ISNUMBER(AB5),ISNUMBER(AC5)),MAX(0,MIN(AC5,EOMONTH(요약!$B$3,0))-MAX(AB5,요약!$B$3)+1),0)</f>
        <v/>
      </c>
      <c r="AE5" s="10">
        <f>IF(AND(Q5&lt;&gt;"",ISNUMBER(AB5)),Q5&amp;"|다기관","")</f>
        <v/>
      </c>
    </row>
    <row r="6">
      <c r="A6" s="15">
        <f>IF(F6="","",ROW()-3)</f>
        <v/>
      </c>
      <c r="B6" s="5" t="inlineStr">
        <is>
          <t>한양대학교병원</t>
        </is>
      </c>
      <c r="C6" s="15" t="inlineStr">
        <is>
          <t>R</t>
        </is>
      </c>
      <c r="D6" s="5" t="inlineStr">
        <is>
          <t>가정의학과</t>
        </is>
      </c>
      <c r="E6" s="15" t="n">
        <v>1</v>
      </c>
      <c r="F6" s="5" t="inlineStr">
        <is>
          <t>김ㅇㅇ</t>
        </is>
      </c>
      <c r="G6" s="6" t="inlineStr">
        <is>
          <t>11-1111</t>
        </is>
      </c>
      <c r="H6" s="16" t="n">
        <v>46316</v>
      </c>
      <c r="I6" s="16" t="n">
        <v>46387</v>
      </c>
      <c r="J6" s="15">
        <f>IF(AND(ISNUMBER(H6),ISNUMBER(I6)),I6-H6+1,"")</f>
        <v/>
      </c>
      <c r="K6" s="5" t="inlineStr">
        <is>
          <t>한양대구리병원</t>
        </is>
      </c>
      <c r="L6" s="5" t="inlineStr">
        <is>
          <t>가정의학과</t>
        </is>
      </c>
      <c r="M6" s="5" t="inlineStr">
        <is>
          <t>통합수련</t>
        </is>
      </c>
      <c r="N6" s="5" t="n"/>
      <c r="O6" s="5" t="n"/>
      <c r="Q6" s="10">
        <f>IF(TRIM(G6&amp;"")="","",TRIM(G6&amp;""))</f>
        <v/>
      </c>
      <c r="R6" s="10">
        <f>IF(TRIM(B6&amp;"")="","",IFERROR(INDEX(코드표!$K$2:$K$101,MATCH(TRIM(B6&amp;""),코드표!$J$2:$J$101,0)),"⚠"&amp;TRIM(B6&amp;"")))</f>
        <v/>
      </c>
      <c r="S6" s="10">
        <f>IF(TRIM(K6&amp;"")="","",IFERROR(INDEX(코드표!$K$2:$K$101,MATCH(TRIM(K6&amp;""),코드표!$J$2:$J$101,0)),"⚠"&amp;TRIM(K6&amp;"")))</f>
        <v/>
      </c>
      <c r="T6" s="10">
        <f>IF(TRIM(M6&amp;"")="","",IF(ISNUMBER(MATCH(TRIM(M6&amp;""),코드표!$C$2:$C$11,0)),TRIM(M6&amp;""),"⚠"&amp;TRIM(M6&amp;"")))</f>
        <v/>
      </c>
      <c r="U6" s="10">
        <f>IF(TRIM(L6&amp;"")="","",IFERROR(INDEX(코드표!$G$2:$G$101,MATCH(TRIM(L6&amp;""),코드표!$F$2:$F$101,0)),"⚠"&amp;TRIM(L6&amp;"")))</f>
        <v/>
      </c>
      <c r="V6" s="10">
        <f>IF(AND(ISNUMBER(H6),ISNUMBER(I6)),I6-H6+1,"")</f>
        <v/>
      </c>
      <c r="W6" s="17">
        <f>IF(ISNUMBER(H6),MAX(0,MIN(IF(ISNUMBER(I6),I6,EOMONTH(요약!$B$3,0)),EOMONTH(요약!$B$3,0))-MAX(H6,요약!$B$3)+1),0)</f>
        <v/>
      </c>
      <c r="X6" s="10">
        <f>IF(OR(NOT(ISNUMBER(H6)),Q6=""),"",IF(TODAY()&lt;H6,"파견예정",IF(AND(ISNUMBER(I6),TODAY()&gt;I6),"파견종료","파견중")))</f>
        <v/>
      </c>
      <c r="Y6" s="10">
        <f>IF(OR(Q6="",X6=""),"",Q6&amp;"|"&amp;X6)</f>
        <v/>
      </c>
      <c r="Z6" s="10">
        <f>IF(AND(Q6&lt;&gt;"",W6&gt;0),Q6&amp;"|월","")</f>
        <v/>
      </c>
      <c r="AA6" s="10">
        <f>IF(COUNTA(B6:N6)=0,"",IF(Q6="","등록번호 없음",IF(LEFT(R6,1)="⚠","모병원명 미등록",IF(S6="","파견병원 입력",IF(LEFT(S6,1)="⚠","파견병원명 미등록",IF(LEFT(U6,1)="⚠","파견과목 미등록",IF(OR(T6="",LEFT(T6,1)="⚠"),"파견근거 확인",IF(NOT(AND(ISNUMBER(H6),ISNUMBER(I6))),"날짜 형식/누락",IF(I6&lt;H6,"종료일&lt;시작일","")))))))))</f>
        <v/>
      </c>
      <c r="AB6" s="11">
        <f>IF(ISNUMBER(SEARCH("다기관",TRIM(N6&amp;" "&amp;O6))),IFERROR(DATE(VALUE(MID(TRIM(N6&amp;" "&amp;O6),1,4)),VALUE(MID(TRIM(N6&amp;" "&amp;O6),6,2)),VALUE(MID(TRIM(N6&amp;" "&amp;O6),9,2))),IF(ISNUMBER(H6),H6,"")),"")</f>
        <v/>
      </c>
      <c r="AC6" s="11">
        <f>IF(ISNUMBER(SEARCH("다기관",TRIM(N6&amp;" "&amp;O6))),IFERROR(DATE(VALUE(MID(TRIM(N6&amp;" "&amp;O6),12,4)),VALUE(MID(TRIM(N6&amp;" "&amp;O6),17,2)),VALUE(MID(TRIM(N6&amp;" "&amp;O6),20,2))),IF(ISNUMBER(I6),I6,"")),"")</f>
        <v/>
      </c>
      <c r="AD6" s="17">
        <f>IF(AND(ISNUMBER(AB6),ISNUMBER(AC6)),MAX(0,MIN(AC6,EOMONTH(요약!$B$3,0))-MAX(AB6,요약!$B$3)+1),0)</f>
        <v/>
      </c>
      <c r="AE6" s="10">
        <f>IF(AND(Q6&lt;&gt;"",ISNUMBER(AB6)),Q6&amp;"|다기관","")</f>
        <v/>
      </c>
    </row>
    <row r="7">
      <c r="A7" s="15">
        <f>IF(F7="","",ROW()-3)</f>
        <v/>
      </c>
      <c r="B7" s="5" t="inlineStr">
        <is>
          <t>한양대학교병원</t>
        </is>
      </c>
      <c r="C7" s="15" t="inlineStr">
        <is>
          <t>R</t>
        </is>
      </c>
      <c r="D7" s="5" t="inlineStr">
        <is>
          <t>내과</t>
        </is>
      </c>
      <c r="E7" s="15" t="n">
        <v>2</v>
      </c>
      <c r="F7" s="5" t="inlineStr">
        <is>
          <t>이ㅇㅇ</t>
        </is>
      </c>
      <c r="G7" s="6" t="inlineStr">
        <is>
          <t>11-1112</t>
        </is>
      </c>
      <c r="H7" s="16" t="n">
        <v>46300</v>
      </c>
      <c r="I7" s="16" t="n">
        <v>46387</v>
      </c>
      <c r="J7" s="15">
        <f>IF(AND(ISNUMBER(H7),ISNUMBER(I7)),I7-H7+1,"")</f>
        <v/>
      </c>
      <c r="K7" s="5" t="inlineStr">
        <is>
          <t>에스중앙병원</t>
        </is>
      </c>
      <c r="L7" s="5" t="inlineStr">
        <is>
          <t>내과</t>
        </is>
      </c>
      <c r="M7" s="5" t="inlineStr">
        <is>
          <t>통합수련</t>
        </is>
      </c>
      <c r="N7" s="5" t="n"/>
      <c r="O7" s="5" t="n"/>
      <c r="Q7" s="10">
        <f>IF(TRIM(G7&amp;"")="","",TRIM(G7&amp;""))</f>
        <v/>
      </c>
      <c r="R7" s="10">
        <f>IF(TRIM(B7&amp;"")="","",IFERROR(INDEX(코드표!$K$2:$K$101,MATCH(TRIM(B7&amp;""),코드표!$J$2:$J$101,0)),"⚠"&amp;TRIM(B7&amp;"")))</f>
        <v/>
      </c>
      <c r="S7" s="10">
        <f>IF(TRIM(K7&amp;"")="","",IFERROR(INDEX(코드표!$K$2:$K$101,MATCH(TRIM(K7&amp;""),코드표!$J$2:$J$101,0)),"⚠"&amp;TRIM(K7&amp;"")))</f>
        <v/>
      </c>
      <c r="T7" s="10">
        <f>IF(TRIM(M7&amp;"")="","",IF(ISNUMBER(MATCH(TRIM(M7&amp;""),코드표!$C$2:$C$11,0)),TRIM(M7&amp;""),"⚠"&amp;TRIM(M7&amp;"")))</f>
        <v/>
      </c>
      <c r="U7" s="10">
        <f>IF(TRIM(L7&amp;"")="","",IFERROR(INDEX(코드표!$G$2:$G$101,MATCH(TRIM(L7&amp;""),코드표!$F$2:$F$101,0)),"⚠"&amp;TRIM(L7&amp;"")))</f>
        <v/>
      </c>
      <c r="V7" s="10">
        <f>IF(AND(ISNUMBER(H7),ISNUMBER(I7)),I7-H7+1,"")</f>
        <v/>
      </c>
      <c r="W7" s="17">
        <f>IF(ISNUMBER(H7),MAX(0,MIN(IF(ISNUMBER(I7),I7,EOMONTH(요약!$B$3,0)),EOMONTH(요약!$B$3,0))-MAX(H7,요약!$B$3)+1),0)</f>
        <v/>
      </c>
      <c r="X7" s="10">
        <f>IF(OR(NOT(ISNUMBER(H7)),Q7=""),"",IF(TODAY()&lt;H7,"파견예정",IF(AND(ISNUMBER(I7),TODAY()&gt;I7),"파견종료","파견중")))</f>
        <v/>
      </c>
      <c r="Y7" s="10">
        <f>IF(OR(Q7="",X7=""),"",Q7&amp;"|"&amp;X7)</f>
        <v/>
      </c>
      <c r="Z7" s="10">
        <f>IF(AND(Q7&lt;&gt;"",W7&gt;0),Q7&amp;"|월","")</f>
        <v/>
      </c>
      <c r="AA7" s="10">
        <f>IF(COUNTA(B7:N7)=0,"",IF(Q7="","등록번호 없음",IF(LEFT(R7,1)="⚠","모병원명 미등록",IF(S7="","파견병원 입력",IF(LEFT(S7,1)="⚠","파견병원명 미등록",IF(LEFT(U7,1)="⚠","파견과목 미등록",IF(OR(T7="",LEFT(T7,1)="⚠"),"파견근거 확인",IF(NOT(AND(ISNUMBER(H7),ISNUMBER(I7))),"날짜 형식/누락",IF(I7&lt;H7,"종료일&lt;시작일","")))))))))</f>
        <v/>
      </c>
      <c r="AB7" s="11">
        <f>IF(ISNUMBER(SEARCH("다기관",TRIM(N7&amp;" "&amp;O7))),IFERROR(DATE(VALUE(MID(TRIM(N7&amp;" "&amp;O7),1,4)),VALUE(MID(TRIM(N7&amp;" "&amp;O7),6,2)),VALUE(MID(TRIM(N7&amp;" "&amp;O7),9,2))),IF(ISNUMBER(H7),H7,"")),"")</f>
        <v/>
      </c>
      <c r="AC7" s="11">
        <f>IF(ISNUMBER(SEARCH("다기관",TRIM(N7&amp;" "&amp;O7))),IFERROR(DATE(VALUE(MID(TRIM(N7&amp;" "&amp;O7),12,4)),VALUE(MID(TRIM(N7&amp;" "&amp;O7),17,2)),VALUE(MID(TRIM(N7&amp;" "&amp;O7),20,2))),IF(ISNUMBER(I7),I7,"")),"")</f>
        <v/>
      </c>
      <c r="AD7" s="17">
        <f>IF(AND(ISNUMBER(AB7),ISNUMBER(AC7)),MAX(0,MIN(AC7,EOMONTH(요약!$B$3,0))-MAX(AB7,요약!$B$3)+1),0)</f>
        <v/>
      </c>
      <c r="AE7" s="10">
        <f>IF(AND(Q7&lt;&gt;"",ISNUMBER(AB7)),Q7&amp;"|다기관","")</f>
        <v/>
      </c>
    </row>
    <row r="8">
      <c r="A8" s="15">
        <f>IF(F8="","",ROW()-3)</f>
        <v/>
      </c>
      <c r="B8" s="5" t="inlineStr">
        <is>
          <t>한양대구리병원</t>
        </is>
      </c>
      <c r="C8" s="15" t="inlineStr">
        <is>
          <t>R</t>
        </is>
      </c>
      <c r="D8" s="5" t="inlineStr">
        <is>
          <t>마취통증의학과</t>
        </is>
      </c>
      <c r="E8" s="15" t="n">
        <v>2</v>
      </c>
      <c r="F8" s="5" t="inlineStr">
        <is>
          <t>정ㅇㅇ</t>
        </is>
      </c>
      <c r="G8" s="6" t="inlineStr">
        <is>
          <t>11-1115</t>
        </is>
      </c>
      <c r="H8" s="16" t="n">
        <v>46313</v>
      </c>
      <c r="I8" s="16" t="n">
        <v>46387</v>
      </c>
      <c r="J8" s="15">
        <f>IF(AND(ISNUMBER(H8),ISNUMBER(I8)),I8-H8+1,"")</f>
        <v/>
      </c>
      <c r="K8" s="5" t="inlineStr">
        <is>
          <t>한양대학교병원</t>
        </is>
      </c>
      <c r="L8" s="5" t="inlineStr">
        <is>
          <t>마취통증의학과</t>
        </is>
      </c>
      <c r="M8" s="5" t="inlineStr">
        <is>
          <t>모자</t>
        </is>
      </c>
      <c r="N8" s="5" t="n"/>
      <c r="O8" s="5" t="n"/>
      <c r="Q8" s="10">
        <f>IF(TRIM(G8&amp;"")="","",TRIM(G8&amp;""))</f>
        <v/>
      </c>
      <c r="R8" s="10">
        <f>IF(TRIM(B8&amp;"")="","",IFERROR(INDEX(코드표!$K$2:$K$101,MATCH(TRIM(B8&amp;""),코드표!$J$2:$J$101,0)),"⚠"&amp;TRIM(B8&amp;"")))</f>
        <v/>
      </c>
      <c r="S8" s="10">
        <f>IF(TRIM(K8&amp;"")="","",IFERROR(INDEX(코드표!$K$2:$K$101,MATCH(TRIM(K8&amp;""),코드표!$J$2:$J$101,0)),"⚠"&amp;TRIM(K8&amp;"")))</f>
        <v/>
      </c>
      <c r="T8" s="10">
        <f>IF(TRIM(M8&amp;"")="","",IF(ISNUMBER(MATCH(TRIM(M8&amp;""),코드표!$C$2:$C$11,0)),TRIM(M8&amp;""),"⚠"&amp;TRIM(M8&amp;"")))</f>
        <v/>
      </c>
      <c r="U8" s="10">
        <f>IF(TRIM(L8&amp;"")="","",IFERROR(INDEX(코드표!$G$2:$G$101,MATCH(TRIM(L8&amp;""),코드표!$F$2:$F$101,0)),"⚠"&amp;TRIM(L8&amp;"")))</f>
        <v/>
      </c>
      <c r="V8" s="10">
        <f>IF(AND(ISNUMBER(H8),ISNUMBER(I8)),I8-H8+1,"")</f>
        <v/>
      </c>
      <c r="W8" s="17">
        <f>IF(ISNUMBER(H8),MAX(0,MIN(IF(ISNUMBER(I8),I8,EOMONTH(요약!$B$3,0)),EOMONTH(요약!$B$3,0))-MAX(H8,요약!$B$3)+1),0)</f>
        <v/>
      </c>
      <c r="X8" s="10">
        <f>IF(OR(NOT(ISNUMBER(H8)),Q8=""),"",IF(TODAY()&lt;H8,"파견예정",IF(AND(ISNUMBER(I8),TODAY()&gt;I8),"파견종료","파견중")))</f>
        <v/>
      </c>
      <c r="Y8" s="10">
        <f>IF(OR(Q8="",X8=""),"",Q8&amp;"|"&amp;X8)</f>
        <v/>
      </c>
      <c r="Z8" s="10">
        <f>IF(AND(Q8&lt;&gt;"",W8&gt;0),Q8&amp;"|월","")</f>
        <v/>
      </c>
      <c r="AA8" s="10">
        <f>IF(COUNTA(B8:N8)=0,"",IF(Q8="","등록번호 없음",IF(LEFT(R8,1)="⚠","모병원명 미등록",IF(S8="","파견병원 입력",IF(LEFT(S8,1)="⚠","파견병원명 미등록",IF(LEFT(U8,1)="⚠","파견과목 미등록",IF(OR(T8="",LEFT(T8,1)="⚠"),"파견근거 확인",IF(NOT(AND(ISNUMBER(H8),ISNUMBER(I8))),"날짜 형식/누락",IF(I8&lt;H8,"종료일&lt;시작일","")))))))))</f>
        <v/>
      </c>
      <c r="AB8" s="11">
        <f>IF(ISNUMBER(SEARCH("다기관",TRIM(N8&amp;" "&amp;O8))),IFERROR(DATE(VALUE(MID(TRIM(N8&amp;" "&amp;O8),1,4)),VALUE(MID(TRIM(N8&amp;" "&amp;O8),6,2)),VALUE(MID(TRIM(N8&amp;" "&amp;O8),9,2))),IF(ISNUMBER(H8),H8,"")),"")</f>
        <v/>
      </c>
      <c r="AC8" s="11">
        <f>IF(ISNUMBER(SEARCH("다기관",TRIM(N8&amp;" "&amp;O8))),IFERROR(DATE(VALUE(MID(TRIM(N8&amp;" "&amp;O8),12,4)),VALUE(MID(TRIM(N8&amp;" "&amp;O8),17,2)),VALUE(MID(TRIM(N8&amp;" "&amp;O8),20,2))),IF(ISNUMBER(I8),I8,"")),"")</f>
        <v/>
      </c>
      <c r="AD8" s="17">
        <f>IF(AND(ISNUMBER(AB8),ISNUMBER(AC8)),MAX(0,MIN(AC8,EOMONTH(요약!$B$3,0))-MAX(AB8,요약!$B$3)+1),0)</f>
        <v/>
      </c>
      <c r="AE8" s="10">
        <f>IF(AND(Q8&lt;&gt;"",ISNUMBER(AB8)),Q8&amp;"|다기관","")</f>
        <v/>
      </c>
    </row>
    <row r="9">
      <c r="A9" s="15">
        <f>IF(F9="","",ROW()-3)</f>
        <v/>
      </c>
      <c r="B9" s="5" t="inlineStr">
        <is>
          <t>한양대학교병원</t>
        </is>
      </c>
      <c r="C9" s="15" t="inlineStr">
        <is>
          <t>R</t>
        </is>
      </c>
      <c r="D9" s="5" t="inlineStr">
        <is>
          <t>산부인과</t>
        </is>
      </c>
      <c r="E9" s="15" t="n">
        <v>3</v>
      </c>
      <c r="F9" s="5" t="inlineStr">
        <is>
          <t>최ㅇㅇ</t>
        </is>
      </c>
      <c r="G9" s="6" t="inlineStr">
        <is>
          <t>11-1114</t>
        </is>
      </c>
      <c r="H9" s="16" t="n">
        <v>46027</v>
      </c>
      <c r="I9" s="16" t="n">
        <v>46112</v>
      </c>
      <c r="J9" s="15">
        <f>IF(AND(ISNUMBER(H9),ISNUMBER(I9)),I9-H9+1,"")</f>
        <v/>
      </c>
      <c r="K9" s="5" t="inlineStr">
        <is>
          <t>창원</t>
        </is>
      </c>
      <c r="L9" s="5" t="inlineStr">
        <is>
          <t>산부인과</t>
        </is>
      </c>
      <c r="M9" s="5" t="inlineStr">
        <is>
          <t>다기관</t>
        </is>
      </c>
      <c r="N9" s="5" t="n"/>
      <c r="O9" s="5" t="n"/>
      <c r="Q9" s="10">
        <f>IF(TRIM(G9&amp;"")="","",TRIM(G9&amp;""))</f>
        <v/>
      </c>
      <c r="R9" s="10">
        <f>IF(TRIM(B9&amp;"")="","",IFERROR(INDEX(코드표!$K$2:$K$101,MATCH(TRIM(B9&amp;""),코드표!$J$2:$J$101,0)),"⚠"&amp;TRIM(B9&amp;"")))</f>
        <v/>
      </c>
      <c r="S9" s="10">
        <f>IF(TRIM(K9&amp;"")="","",IFERROR(INDEX(코드표!$K$2:$K$101,MATCH(TRIM(K9&amp;""),코드표!$J$2:$J$101,0)),"⚠"&amp;TRIM(K9&amp;"")))</f>
        <v/>
      </c>
      <c r="T9" s="10">
        <f>IF(TRIM(M9&amp;"")="","",IF(ISNUMBER(MATCH(TRIM(M9&amp;""),코드표!$C$2:$C$11,0)),TRIM(M9&amp;""),"⚠"&amp;TRIM(M9&amp;"")))</f>
        <v/>
      </c>
      <c r="U9" s="10">
        <f>IF(TRIM(L9&amp;"")="","",IFERROR(INDEX(코드표!$G$2:$G$101,MATCH(TRIM(L9&amp;""),코드표!$F$2:$F$101,0)),"⚠"&amp;TRIM(L9&amp;"")))</f>
        <v/>
      </c>
      <c r="V9" s="10">
        <f>IF(AND(ISNUMBER(H9),ISNUMBER(I9)),I9-H9+1,"")</f>
        <v/>
      </c>
      <c r="W9" s="17">
        <f>IF(ISNUMBER(H9),MAX(0,MIN(IF(ISNUMBER(I9),I9,EOMONTH(요약!$B$3,0)),EOMONTH(요약!$B$3,0))-MAX(H9,요약!$B$3)+1),0)</f>
        <v/>
      </c>
      <c r="X9" s="10">
        <f>IF(OR(NOT(ISNUMBER(H9)),Q9=""),"",IF(TODAY()&lt;H9,"파견예정",IF(AND(ISNUMBER(I9),TODAY()&gt;I9),"파견종료","파견중")))</f>
        <v/>
      </c>
      <c r="Y9" s="10">
        <f>IF(OR(Q9="",X9=""),"",Q9&amp;"|"&amp;X9)</f>
        <v/>
      </c>
      <c r="Z9" s="10">
        <f>IF(AND(Q9&lt;&gt;"",W9&gt;0),Q9&amp;"|월","")</f>
        <v/>
      </c>
      <c r="AA9" s="10">
        <f>IF(COUNTA(B9:N9)=0,"",IF(Q9="","등록번호 없음",IF(LEFT(R9,1)="⚠","모병원명 미등록",IF(S9="","파견병원 입력",IF(LEFT(S9,1)="⚠","파견병원명 미등록",IF(LEFT(U9,1)="⚠","파견과목 미등록",IF(OR(T9="",LEFT(T9,1)="⚠"),"파견근거 확인",IF(NOT(AND(ISNUMBER(H9),ISNUMBER(I9))),"날짜 형식/누락",IF(I9&lt;H9,"종료일&lt;시작일","")))))))))</f>
        <v/>
      </c>
      <c r="AB9" s="11">
        <f>IF(ISNUMBER(SEARCH("다기관",TRIM(N9&amp;" "&amp;O9))),IFERROR(DATE(VALUE(MID(TRIM(N9&amp;" "&amp;O9),1,4)),VALUE(MID(TRIM(N9&amp;" "&amp;O9),6,2)),VALUE(MID(TRIM(N9&amp;" "&amp;O9),9,2))),IF(ISNUMBER(H9),H9,"")),"")</f>
        <v/>
      </c>
      <c r="AC9" s="11">
        <f>IF(ISNUMBER(SEARCH("다기관",TRIM(N9&amp;" "&amp;O9))),IFERROR(DATE(VALUE(MID(TRIM(N9&amp;" "&amp;O9),12,4)),VALUE(MID(TRIM(N9&amp;" "&amp;O9),17,2)),VALUE(MID(TRIM(N9&amp;" "&amp;O9),20,2))),IF(ISNUMBER(I9),I9,"")),"")</f>
        <v/>
      </c>
      <c r="AD9" s="17">
        <f>IF(AND(ISNUMBER(AB9),ISNUMBER(AC9)),MAX(0,MIN(AC9,EOMONTH(요약!$B$3,0))-MAX(AB9,요약!$B$3)+1),0)</f>
        <v/>
      </c>
      <c r="AE9" s="10">
        <f>IF(AND(Q9&lt;&gt;"",ISNUMBER(AB9)),Q9&amp;"|다기관","")</f>
        <v/>
      </c>
    </row>
    <row r="10">
      <c r="A10" s="15">
        <f>IF(F10="","",ROW()-3)</f>
        <v/>
      </c>
      <c r="B10" s="5" t="inlineStr">
        <is>
          <t>한양대구리병원</t>
        </is>
      </c>
      <c r="C10" s="15" t="inlineStr">
        <is>
          <t>I</t>
        </is>
      </c>
      <c r="D10" s="5" t="inlineStr">
        <is>
          <t>인턴</t>
        </is>
      </c>
      <c r="E10" s="15" t="inlineStr">
        <is>
          <t>인턴</t>
        </is>
      </c>
      <c r="F10" s="5" t="inlineStr">
        <is>
          <t>박ㅇㅇ</t>
        </is>
      </c>
      <c r="G10" s="6" t="inlineStr">
        <is>
          <t>22-2224</t>
        </is>
      </c>
      <c r="H10" s="16" t="n">
        <v>46327</v>
      </c>
      <c r="I10" s="16" t="n">
        <v>46356</v>
      </c>
      <c r="J10" s="15">
        <f>IF(AND(ISNUMBER(H10),ISNUMBER(I10)),I10-H10+1,"")</f>
        <v/>
      </c>
      <c r="K10" s="5" t="inlineStr">
        <is>
          <t>한양대학교병원</t>
        </is>
      </c>
      <c r="L10" s="5" t="inlineStr">
        <is>
          <t>응급의학과</t>
        </is>
      </c>
      <c r="M10" s="5" t="inlineStr">
        <is>
          <t>모자</t>
        </is>
      </c>
      <c r="N10" s="5" t="n"/>
      <c r="O10" s="5" t="n"/>
      <c r="Q10" s="10">
        <f>IF(TRIM(G10&amp;"")="","",TRIM(G10&amp;""))</f>
        <v/>
      </c>
      <c r="R10" s="10">
        <f>IF(TRIM(B10&amp;"")="","",IFERROR(INDEX(코드표!$K$2:$K$101,MATCH(TRIM(B10&amp;""),코드표!$J$2:$J$101,0)),"⚠"&amp;TRIM(B10&amp;"")))</f>
        <v/>
      </c>
      <c r="S10" s="10">
        <f>IF(TRIM(K10&amp;"")="","",IFERROR(INDEX(코드표!$K$2:$K$101,MATCH(TRIM(K10&amp;""),코드표!$J$2:$J$101,0)),"⚠"&amp;TRIM(K10&amp;"")))</f>
        <v/>
      </c>
      <c r="T10" s="10">
        <f>IF(TRIM(M10&amp;"")="","",IF(ISNUMBER(MATCH(TRIM(M10&amp;""),코드표!$C$2:$C$11,0)),TRIM(M10&amp;""),"⚠"&amp;TRIM(M10&amp;"")))</f>
        <v/>
      </c>
      <c r="U10" s="10">
        <f>IF(TRIM(L10&amp;"")="","",IFERROR(INDEX(코드표!$G$2:$G$101,MATCH(TRIM(L10&amp;""),코드표!$F$2:$F$101,0)),"⚠"&amp;TRIM(L10&amp;"")))</f>
        <v/>
      </c>
      <c r="V10" s="10">
        <f>IF(AND(ISNUMBER(H10),ISNUMBER(I10)),I10-H10+1,"")</f>
        <v/>
      </c>
      <c r="W10" s="17">
        <f>IF(ISNUMBER(H10),MAX(0,MIN(IF(ISNUMBER(I10),I10,EOMONTH(요약!$B$3,0)),EOMONTH(요약!$B$3,0))-MAX(H10,요약!$B$3)+1),0)</f>
        <v/>
      </c>
      <c r="X10" s="10">
        <f>IF(OR(NOT(ISNUMBER(H10)),Q10=""),"",IF(TODAY()&lt;H10,"파견예정",IF(AND(ISNUMBER(I10),TODAY()&gt;I10),"파견종료","파견중")))</f>
        <v/>
      </c>
      <c r="Y10" s="10">
        <f>IF(OR(Q10="",X10=""),"",Q10&amp;"|"&amp;X10)</f>
        <v/>
      </c>
      <c r="Z10" s="10">
        <f>IF(AND(Q10&lt;&gt;"",W10&gt;0),Q10&amp;"|월","")</f>
        <v/>
      </c>
      <c r="AA10" s="10">
        <f>IF(COUNTA(B10:N10)=0,"",IF(Q10="","등록번호 없음",IF(LEFT(R10,1)="⚠","모병원명 미등록",IF(S10="","파견병원 입력",IF(LEFT(S10,1)="⚠","파견병원명 미등록",IF(LEFT(U10,1)="⚠","파견과목 미등록",IF(OR(T10="",LEFT(T10,1)="⚠"),"파견근거 확인",IF(NOT(AND(ISNUMBER(H10),ISNUMBER(I10))),"날짜 형식/누락",IF(I10&lt;H10,"종료일&lt;시작일","")))))))))</f>
        <v/>
      </c>
      <c r="AB10" s="11">
        <f>IF(ISNUMBER(SEARCH("다기관",TRIM(N10&amp;" "&amp;O10))),IFERROR(DATE(VALUE(MID(TRIM(N10&amp;" "&amp;O10),1,4)),VALUE(MID(TRIM(N10&amp;" "&amp;O10),6,2)),VALUE(MID(TRIM(N10&amp;" "&amp;O10),9,2))),IF(ISNUMBER(H10),H10,"")),"")</f>
        <v/>
      </c>
      <c r="AC10" s="11">
        <f>IF(ISNUMBER(SEARCH("다기관",TRIM(N10&amp;" "&amp;O10))),IFERROR(DATE(VALUE(MID(TRIM(N10&amp;" "&amp;O10),12,4)),VALUE(MID(TRIM(N10&amp;" "&amp;O10),17,2)),VALUE(MID(TRIM(N10&amp;" "&amp;O10),20,2))),IF(ISNUMBER(I10),I10,"")),"")</f>
        <v/>
      </c>
      <c r="AD10" s="17">
        <f>IF(AND(ISNUMBER(AB10),ISNUMBER(AC10)),MAX(0,MIN(AC10,EOMONTH(요약!$B$3,0))-MAX(AB10,요약!$B$3)+1),0)</f>
        <v/>
      </c>
      <c r="AE10" s="10">
        <f>IF(AND(Q10&lt;&gt;"",ISNUMBER(AB10)),Q10&amp;"|다기관","")</f>
        <v/>
      </c>
    </row>
    <row r="11">
      <c r="A11" s="15">
        <f>IF(F11="","",ROW()-3)</f>
        <v/>
      </c>
      <c r="B11" s="5" t="n"/>
      <c r="C11" s="15" t="n"/>
      <c r="D11" s="5" t="n"/>
      <c r="E11" s="15" t="n"/>
      <c r="F11" s="5" t="n"/>
      <c r="G11" s="6" t="n"/>
      <c r="H11" s="16" t="n"/>
      <c r="I11" s="16" t="n"/>
      <c r="J11" s="15">
        <f>IF(AND(ISNUMBER(H11),ISNUMBER(I11)),I11-H11+1,"")</f>
        <v/>
      </c>
      <c r="K11" s="5" t="n"/>
      <c r="L11" s="5" t="n"/>
      <c r="M11" s="5" t="n"/>
      <c r="N11" s="5" t="n"/>
      <c r="O11" s="5" t="n"/>
      <c r="Q11" s="10">
        <f>IF(TRIM(G11&amp;"")="","",TRIM(G11&amp;""))</f>
        <v/>
      </c>
      <c r="R11" s="10">
        <f>IF(TRIM(B11&amp;"")="","",IFERROR(INDEX(코드표!$K$2:$K$101,MATCH(TRIM(B11&amp;""),코드표!$J$2:$J$101,0)),"⚠"&amp;TRIM(B11&amp;"")))</f>
        <v/>
      </c>
      <c r="S11" s="10">
        <f>IF(TRIM(K11&amp;"")="","",IFERROR(INDEX(코드표!$K$2:$K$101,MATCH(TRIM(K11&amp;""),코드표!$J$2:$J$101,0)),"⚠"&amp;TRIM(K11&amp;"")))</f>
        <v/>
      </c>
      <c r="T11" s="10">
        <f>IF(TRIM(M11&amp;"")="","",IF(ISNUMBER(MATCH(TRIM(M11&amp;""),코드표!$C$2:$C$11,0)),TRIM(M11&amp;""),"⚠"&amp;TRIM(M11&amp;"")))</f>
        <v/>
      </c>
      <c r="U11" s="10">
        <f>IF(TRIM(L11&amp;"")="","",IFERROR(INDEX(코드표!$G$2:$G$101,MATCH(TRIM(L11&amp;""),코드표!$F$2:$F$101,0)),"⚠"&amp;TRIM(L11&amp;"")))</f>
        <v/>
      </c>
      <c r="V11" s="10">
        <f>IF(AND(ISNUMBER(H11),ISNUMBER(I11)),I11-H11+1,"")</f>
        <v/>
      </c>
      <c r="W11" s="17">
        <f>IF(ISNUMBER(H11),MAX(0,MIN(IF(ISNUMBER(I11),I11,EOMONTH(요약!$B$3,0)),EOMONTH(요약!$B$3,0))-MAX(H11,요약!$B$3)+1),0)</f>
        <v/>
      </c>
      <c r="X11" s="10">
        <f>IF(OR(NOT(ISNUMBER(H11)),Q11=""),"",IF(TODAY()&lt;H11,"파견예정",IF(AND(ISNUMBER(I11),TODAY()&gt;I11),"파견종료","파견중")))</f>
        <v/>
      </c>
      <c r="Y11" s="10">
        <f>IF(OR(Q11="",X11=""),"",Q11&amp;"|"&amp;X11)</f>
        <v/>
      </c>
      <c r="Z11" s="10">
        <f>IF(AND(Q11&lt;&gt;"",W11&gt;0),Q11&amp;"|월","")</f>
        <v/>
      </c>
      <c r="AA11" s="10">
        <f>IF(COUNTA(B11:N11)=0,"",IF(Q11="","등록번호 없음",IF(LEFT(R11,1)="⚠","모병원명 미등록",IF(S11="","파견병원 입력",IF(LEFT(S11,1)="⚠","파견병원명 미등록",IF(LEFT(U11,1)="⚠","파견과목 미등록",IF(OR(T11="",LEFT(T11,1)="⚠"),"파견근거 확인",IF(NOT(AND(ISNUMBER(H11),ISNUMBER(I11))),"날짜 형식/누락",IF(I11&lt;H11,"종료일&lt;시작일","")))))))))</f>
        <v/>
      </c>
      <c r="AB11" s="11">
        <f>IF(ISNUMBER(SEARCH("다기관",TRIM(N11&amp;" "&amp;O11))),IFERROR(DATE(VALUE(MID(TRIM(N11&amp;" "&amp;O11),1,4)),VALUE(MID(TRIM(N11&amp;" "&amp;O11),6,2)),VALUE(MID(TRIM(N11&amp;" "&amp;O11),9,2))),IF(ISNUMBER(H11),H11,"")),"")</f>
        <v/>
      </c>
      <c r="AC11" s="11">
        <f>IF(ISNUMBER(SEARCH("다기관",TRIM(N11&amp;" "&amp;O11))),IFERROR(DATE(VALUE(MID(TRIM(N11&amp;" "&amp;O11),12,4)),VALUE(MID(TRIM(N11&amp;" "&amp;O11),17,2)),VALUE(MID(TRIM(N11&amp;" "&amp;O11),20,2))),IF(ISNUMBER(I11),I11,"")),"")</f>
        <v/>
      </c>
      <c r="AD11" s="17">
        <f>IF(AND(ISNUMBER(AB11),ISNUMBER(AC11)),MAX(0,MIN(AC11,EOMONTH(요약!$B$3,0))-MAX(AB11,요약!$B$3)+1),0)</f>
        <v/>
      </c>
      <c r="AE11" s="10">
        <f>IF(AND(Q11&lt;&gt;"",ISNUMBER(AB11)),Q11&amp;"|다기관","")</f>
        <v/>
      </c>
    </row>
    <row r="12">
      <c r="A12" s="15">
        <f>IF(F12="","",ROW()-3)</f>
        <v/>
      </c>
      <c r="B12" s="5" t="n"/>
      <c r="C12" s="15" t="n"/>
      <c r="D12" s="5" t="n"/>
      <c r="E12" s="15" t="n"/>
      <c r="F12" s="5" t="n"/>
      <c r="G12" s="6" t="n"/>
      <c r="H12" s="16" t="n"/>
      <c r="I12" s="16" t="n"/>
      <c r="J12" s="15">
        <f>IF(AND(ISNUMBER(H12),ISNUMBER(I12)),I12-H12+1,"")</f>
        <v/>
      </c>
      <c r="K12" s="5" t="n"/>
      <c r="L12" s="5" t="n"/>
      <c r="M12" s="5" t="n"/>
      <c r="N12" s="5" t="n"/>
      <c r="O12" s="5" t="n"/>
      <c r="Q12" s="10">
        <f>IF(TRIM(G12&amp;"")="","",TRIM(G12&amp;""))</f>
        <v/>
      </c>
      <c r="R12" s="10">
        <f>IF(TRIM(B12&amp;"")="","",IFERROR(INDEX(코드표!$K$2:$K$101,MATCH(TRIM(B12&amp;""),코드표!$J$2:$J$101,0)),"⚠"&amp;TRIM(B12&amp;"")))</f>
        <v/>
      </c>
      <c r="S12" s="10">
        <f>IF(TRIM(K12&amp;"")="","",IFERROR(INDEX(코드표!$K$2:$K$101,MATCH(TRIM(K12&amp;""),코드표!$J$2:$J$101,0)),"⚠"&amp;TRIM(K12&amp;"")))</f>
        <v/>
      </c>
      <c r="T12" s="10">
        <f>IF(TRIM(M12&amp;"")="","",IF(ISNUMBER(MATCH(TRIM(M12&amp;""),코드표!$C$2:$C$11,0)),TRIM(M12&amp;""),"⚠"&amp;TRIM(M12&amp;"")))</f>
        <v/>
      </c>
      <c r="U12" s="10">
        <f>IF(TRIM(L12&amp;"")="","",IFERROR(INDEX(코드표!$G$2:$G$101,MATCH(TRIM(L12&amp;""),코드표!$F$2:$F$101,0)),"⚠"&amp;TRIM(L12&amp;"")))</f>
        <v/>
      </c>
      <c r="V12" s="10">
        <f>IF(AND(ISNUMBER(H12),ISNUMBER(I12)),I12-H12+1,"")</f>
        <v/>
      </c>
      <c r="W12" s="17">
        <f>IF(ISNUMBER(H12),MAX(0,MIN(IF(ISNUMBER(I12),I12,EOMONTH(요약!$B$3,0)),EOMONTH(요약!$B$3,0))-MAX(H12,요약!$B$3)+1),0)</f>
        <v/>
      </c>
      <c r="X12" s="10">
        <f>IF(OR(NOT(ISNUMBER(H12)),Q12=""),"",IF(TODAY()&lt;H12,"파견예정",IF(AND(ISNUMBER(I12),TODAY()&gt;I12),"파견종료","파견중")))</f>
        <v/>
      </c>
      <c r="Y12" s="10">
        <f>IF(OR(Q12="",X12=""),"",Q12&amp;"|"&amp;X12)</f>
        <v/>
      </c>
      <c r="Z12" s="10">
        <f>IF(AND(Q12&lt;&gt;"",W12&gt;0),Q12&amp;"|월","")</f>
        <v/>
      </c>
      <c r="AA12" s="10">
        <f>IF(COUNTA(B12:N12)=0,"",IF(Q12="","등록번호 없음",IF(LEFT(R12,1)="⚠","모병원명 미등록",IF(S12="","파견병원 입력",IF(LEFT(S12,1)="⚠","파견병원명 미등록",IF(LEFT(U12,1)="⚠","파견과목 미등록",IF(OR(T12="",LEFT(T12,1)="⚠"),"파견근거 확인",IF(NOT(AND(ISNUMBER(H12),ISNUMBER(I12))),"날짜 형식/누락",IF(I12&lt;H12,"종료일&lt;시작일","")))))))))</f>
        <v/>
      </c>
      <c r="AB12" s="11">
        <f>IF(ISNUMBER(SEARCH("다기관",TRIM(N12&amp;" "&amp;O12))),IFERROR(DATE(VALUE(MID(TRIM(N12&amp;" "&amp;O12),1,4)),VALUE(MID(TRIM(N12&amp;" "&amp;O12),6,2)),VALUE(MID(TRIM(N12&amp;" "&amp;O12),9,2))),IF(ISNUMBER(H12),H12,"")),"")</f>
        <v/>
      </c>
      <c r="AC12" s="11">
        <f>IF(ISNUMBER(SEARCH("다기관",TRIM(N12&amp;" "&amp;O12))),IFERROR(DATE(VALUE(MID(TRIM(N12&amp;" "&amp;O12),12,4)),VALUE(MID(TRIM(N12&amp;" "&amp;O12),17,2)),VALUE(MID(TRIM(N12&amp;" "&amp;O12),20,2))),IF(ISNUMBER(I12),I12,"")),"")</f>
        <v/>
      </c>
      <c r="AD12" s="17">
        <f>IF(AND(ISNUMBER(AB12),ISNUMBER(AC12)),MAX(0,MIN(AC12,EOMONTH(요약!$B$3,0))-MAX(AB12,요약!$B$3)+1),0)</f>
        <v/>
      </c>
      <c r="AE12" s="10">
        <f>IF(AND(Q12&lt;&gt;"",ISNUMBER(AB12)),Q12&amp;"|다기관","")</f>
        <v/>
      </c>
    </row>
    <row r="13">
      <c r="A13" s="15">
        <f>IF(F13="","",ROW()-3)</f>
        <v/>
      </c>
      <c r="B13" s="5" t="n"/>
      <c r="C13" s="15" t="n"/>
      <c r="D13" s="5" t="n"/>
      <c r="E13" s="15" t="n"/>
      <c r="F13" s="5" t="n"/>
      <c r="G13" s="6" t="n"/>
      <c r="H13" s="16" t="n"/>
      <c r="I13" s="16" t="n"/>
      <c r="J13" s="15">
        <f>IF(AND(ISNUMBER(H13),ISNUMBER(I13)),I13-H13+1,"")</f>
        <v/>
      </c>
      <c r="K13" s="5" t="n"/>
      <c r="L13" s="5" t="n"/>
      <c r="M13" s="5" t="n"/>
      <c r="N13" s="5" t="n"/>
      <c r="O13" s="5" t="n"/>
      <c r="Q13" s="10">
        <f>IF(TRIM(G13&amp;"")="","",TRIM(G13&amp;""))</f>
        <v/>
      </c>
      <c r="R13" s="10">
        <f>IF(TRIM(B13&amp;"")="","",IFERROR(INDEX(코드표!$K$2:$K$101,MATCH(TRIM(B13&amp;""),코드표!$J$2:$J$101,0)),"⚠"&amp;TRIM(B13&amp;"")))</f>
        <v/>
      </c>
      <c r="S13" s="10">
        <f>IF(TRIM(K13&amp;"")="","",IFERROR(INDEX(코드표!$K$2:$K$101,MATCH(TRIM(K13&amp;""),코드표!$J$2:$J$101,0)),"⚠"&amp;TRIM(K13&amp;"")))</f>
        <v/>
      </c>
      <c r="T13" s="10">
        <f>IF(TRIM(M13&amp;"")="","",IF(ISNUMBER(MATCH(TRIM(M13&amp;""),코드표!$C$2:$C$11,0)),TRIM(M13&amp;""),"⚠"&amp;TRIM(M13&amp;"")))</f>
        <v/>
      </c>
      <c r="U13" s="10">
        <f>IF(TRIM(L13&amp;"")="","",IFERROR(INDEX(코드표!$G$2:$G$101,MATCH(TRIM(L13&amp;""),코드표!$F$2:$F$101,0)),"⚠"&amp;TRIM(L13&amp;"")))</f>
        <v/>
      </c>
      <c r="V13" s="10">
        <f>IF(AND(ISNUMBER(H13),ISNUMBER(I13)),I13-H13+1,"")</f>
        <v/>
      </c>
      <c r="W13" s="17">
        <f>IF(ISNUMBER(H13),MAX(0,MIN(IF(ISNUMBER(I13),I13,EOMONTH(요약!$B$3,0)),EOMONTH(요약!$B$3,0))-MAX(H13,요약!$B$3)+1),0)</f>
        <v/>
      </c>
      <c r="X13" s="10">
        <f>IF(OR(NOT(ISNUMBER(H13)),Q13=""),"",IF(TODAY()&lt;H13,"파견예정",IF(AND(ISNUMBER(I13),TODAY()&gt;I13),"파견종료","파견중")))</f>
        <v/>
      </c>
      <c r="Y13" s="10">
        <f>IF(OR(Q13="",X13=""),"",Q13&amp;"|"&amp;X13)</f>
        <v/>
      </c>
      <c r="Z13" s="10">
        <f>IF(AND(Q13&lt;&gt;"",W13&gt;0),Q13&amp;"|월","")</f>
        <v/>
      </c>
      <c r="AA13" s="10">
        <f>IF(COUNTA(B13:N13)=0,"",IF(Q13="","등록번호 없음",IF(LEFT(R13,1)="⚠","모병원명 미등록",IF(S13="","파견병원 입력",IF(LEFT(S13,1)="⚠","파견병원명 미등록",IF(LEFT(U13,1)="⚠","파견과목 미등록",IF(OR(T13="",LEFT(T13,1)="⚠"),"파견근거 확인",IF(NOT(AND(ISNUMBER(H13),ISNUMBER(I13))),"날짜 형식/누락",IF(I13&lt;H13,"종료일&lt;시작일","")))))))))</f>
        <v/>
      </c>
      <c r="AB13" s="11">
        <f>IF(ISNUMBER(SEARCH("다기관",TRIM(N13&amp;" "&amp;O13))),IFERROR(DATE(VALUE(MID(TRIM(N13&amp;" "&amp;O13),1,4)),VALUE(MID(TRIM(N13&amp;" "&amp;O13),6,2)),VALUE(MID(TRIM(N13&amp;" "&amp;O13),9,2))),IF(ISNUMBER(H13),H13,"")),"")</f>
        <v/>
      </c>
      <c r="AC13" s="11">
        <f>IF(ISNUMBER(SEARCH("다기관",TRIM(N13&amp;" "&amp;O13))),IFERROR(DATE(VALUE(MID(TRIM(N13&amp;" "&amp;O13),12,4)),VALUE(MID(TRIM(N13&amp;" "&amp;O13),17,2)),VALUE(MID(TRIM(N13&amp;" "&amp;O13),20,2))),IF(ISNUMBER(I13),I13,"")),"")</f>
        <v/>
      </c>
      <c r="AD13" s="17">
        <f>IF(AND(ISNUMBER(AB13),ISNUMBER(AC13)),MAX(0,MIN(AC13,EOMONTH(요약!$B$3,0))-MAX(AB13,요약!$B$3)+1),0)</f>
        <v/>
      </c>
      <c r="AE13" s="10">
        <f>IF(AND(Q13&lt;&gt;"",ISNUMBER(AB13)),Q13&amp;"|다기관","")</f>
        <v/>
      </c>
    </row>
    <row r="14">
      <c r="A14" s="15">
        <f>IF(F14="","",ROW()-3)</f>
        <v/>
      </c>
      <c r="B14" s="5" t="n"/>
      <c r="C14" s="15" t="n"/>
      <c r="D14" s="5" t="n"/>
      <c r="E14" s="15" t="n"/>
      <c r="F14" s="5" t="n"/>
      <c r="G14" s="6" t="n"/>
      <c r="H14" s="16" t="n"/>
      <c r="I14" s="16" t="n"/>
      <c r="J14" s="15">
        <f>IF(AND(ISNUMBER(H14),ISNUMBER(I14)),I14-H14+1,"")</f>
        <v/>
      </c>
      <c r="K14" s="5" t="n"/>
      <c r="L14" s="5" t="n"/>
      <c r="M14" s="5" t="n"/>
      <c r="N14" s="5" t="n"/>
      <c r="O14" s="5" t="n"/>
      <c r="Q14" s="10">
        <f>IF(TRIM(G14&amp;"")="","",TRIM(G14&amp;""))</f>
        <v/>
      </c>
      <c r="R14" s="10">
        <f>IF(TRIM(B14&amp;"")="","",IFERROR(INDEX(코드표!$K$2:$K$101,MATCH(TRIM(B14&amp;""),코드표!$J$2:$J$101,0)),"⚠"&amp;TRIM(B14&amp;"")))</f>
        <v/>
      </c>
      <c r="S14" s="10">
        <f>IF(TRIM(K14&amp;"")="","",IFERROR(INDEX(코드표!$K$2:$K$101,MATCH(TRIM(K14&amp;""),코드표!$J$2:$J$101,0)),"⚠"&amp;TRIM(K14&amp;"")))</f>
        <v/>
      </c>
      <c r="T14" s="10">
        <f>IF(TRIM(M14&amp;"")="","",IF(ISNUMBER(MATCH(TRIM(M14&amp;""),코드표!$C$2:$C$11,0)),TRIM(M14&amp;""),"⚠"&amp;TRIM(M14&amp;"")))</f>
        <v/>
      </c>
      <c r="U14" s="10">
        <f>IF(TRIM(L14&amp;"")="","",IFERROR(INDEX(코드표!$G$2:$G$101,MATCH(TRIM(L14&amp;""),코드표!$F$2:$F$101,0)),"⚠"&amp;TRIM(L14&amp;"")))</f>
        <v/>
      </c>
      <c r="V14" s="10">
        <f>IF(AND(ISNUMBER(H14),ISNUMBER(I14)),I14-H14+1,"")</f>
        <v/>
      </c>
      <c r="W14" s="17">
        <f>IF(ISNUMBER(H14),MAX(0,MIN(IF(ISNUMBER(I14),I14,EOMONTH(요약!$B$3,0)),EOMONTH(요약!$B$3,0))-MAX(H14,요약!$B$3)+1),0)</f>
        <v/>
      </c>
      <c r="X14" s="10">
        <f>IF(OR(NOT(ISNUMBER(H14)),Q14=""),"",IF(TODAY()&lt;H14,"파견예정",IF(AND(ISNUMBER(I14),TODAY()&gt;I14),"파견종료","파견중")))</f>
        <v/>
      </c>
      <c r="Y14" s="10">
        <f>IF(OR(Q14="",X14=""),"",Q14&amp;"|"&amp;X14)</f>
        <v/>
      </c>
      <c r="Z14" s="10">
        <f>IF(AND(Q14&lt;&gt;"",W14&gt;0),Q14&amp;"|월","")</f>
        <v/>
      </c>
      <c r="AA14" s="10">
        <f>IF(COUNTA(B14:N14)=0,"",IF(Q14="","등록번호 없음",IF(LEFT(R14,1)="⚠","모병원명 미등록",IF(S14="","파견병원 입력",IF(LEFT(S14,1)="⚠","파견병원명 미등록",IF(LEFT(U14,1)="⚠","파견과목 미등록",IF(OR(T14="",LEFT(T14,1)="⚠"),"파견근거 확인",IF(NOT(AND(ISNUMBER(H14),ISNUMBER(I14))),"날짜 형식/누락",IF(I14&lt;H14,"종료일&lt;시작일","")))))))))</f>
        <v/>
      </c>
      <c r="AB14" s="11">
        <f>IF(ISNUMBER(SEARCH("다기관",TRIM(N14&amp;" "&amp;O14))),IFERROR(DATE(VALUE(MID(TRIM(N14&amp;" "&amp;O14),1,4)),VALUE(MID(TRIM(N14&amp;" "&amp;O14),6,2)),VALUE(MID(TRIM(N14&amp;" "&amp;O14),9,2))),IF(ISNUMBER(H14),H14,"")),"")</f>
        <v/>
      </c>
      <c r="AC14" s="11">
        <f>IF(ISNUMBER(SEARCH("다기관",TRIM(N14&amp;" "&amp;O14))),IFERROR(DATE(VALUE(MID(TRIM(N14&amp;" "&amp;O14),12,4)),VALUE(MID(TRIM(N14&amp;" "&amp;O14),17,2)),VALUE(MID(TRIM(N14&amp;" "&amp;O14),20,2))),IF(ISNUMBER(I14),I14,"")),"")</f>
        <v/>
      </c>
      <c r="AD14" s="17">
        <f>IF(AND(ISNUMBER(AB14),ISNUMBER(AC14)),MAX(0,MIN(AC14,EOMONTH(요약!$B$3,0))-MAX(AB14,요약!$B$3)+1),0)</f>
        <v/>
      </c>
      <c r="AE14" s="10">
        <f>IF(AND(Q14&lt;&gt;"",ISNUMBER(AB14)),Q14&amp;"|다기관","")</f>
        <v/>
      </c>
    </row>
    <row r="15">
      <c r="A15" s="15">
        <f>IF(F15="","",ROW()-3)</f>
        <v/>
      </c>
      <c r="B15" s="5" t="n"/>
      <c r="C15" s="15" t="n"/>
      <c r="D15" s="5" t="n"/>
      <c r="E15" s="15" t="n"/>
      <c r="F15" s="5" t="n"/>
      <c r="G15" s="6" t="n"/>
      <c r="H15" s="16" t="n"/>
      <c r="I15" s="16" t="n"/>
      <c r="J15" s="15">
        <f>IF(AND(ISNUMBER(H15),ISNUMBER(I15)),I15-H15+1,"")</f>
        <v/>
      </c>
      <c r="K15" s="5" t="n"/>
      <c r="L15" s="5" t="n"/>
      <c r="M15" s="5" t="n"/>
      <c r="N15" s="5" t="n"/>
      <c r="O15" s="5" t="n"/>
      <c r="Q15" s="10">
        <f>IF(TRIM(G15&amp;"")="","",TRIM(G15&amp;""))</f>
        <v/>
      </c>
      <c r="R15" s="10">
        <f>IF(TRIM(B15&amp;"")="","",IFERROR(INDEX(코드표!$K$2:$K$101,MATCH(TRIM(B15&amp;""),코드표!$J$2:$J$101,0)),"⚠"&amp;TRIM(B15&amp;"")))</f>
        <v/>
      </c>
      <c r="S15" s="10">
        <f>IF(TRIM(K15&amp;"")="","",IFERROR(INDEX(코드표!$K$2:$K$101,MATCH(TRIM(K15&amp;""),코드표!$J$2:$J$101,0)),"⚠"&amp;TRIM(K15&amp;"")))</f>
        <v/>
      </c>
      <c r="T15" s="10">
        <f>IF(TRIM(M15&amp;"")="","",IF(ISNUMBER(MATCH(TRIM(M15&amp;""),코드표!$C$2:$C$11,0)),TRIM(M15&amp;""),"⚠"&amp;TRIM(M15&amp;"")))</f>
        <v/>
      </c>
      <c r="U15" s="10">
        <f>IF(TRIM(L15&amp;"")="","",IFERROR(INDEX(코드표!$G$2:$G$101,MATCH(TRIM(L15&amp;""),코드표!$F$2:$F$101,0)),"⚠"&amp;TRIM(L15&amp;"")))</f>
        <v/>
      </c>
      <c r="V15" s="10">
        <f>IF(AND(ISNUMBER(H15),ISNUMBER(I15)),I15-H15+1,"")</f>
        <v/>
      </c>
      <c r="W15" s="17">
        <f>IF(ISNUMBER(H15),MAX(0,MIN(IF(ISNUMBER(I15),I15,EOMONTH(요약!$B$3,0)),EOMONTH(요약!$B$3,0))-MAX(H15,요약!$B$3)+1),0)</f>
        <v/>
      </c>
      <c r="X15" s="10">
        <f>IF(OR(NOT(ISNUMBER(H15)),Q15=""),"",IF(TODAY()&lt;H15,"파견예정",IF(AND(ISNUMBER(I15),TODAY()&gt;I15),"파견종료","파견중")))</f>
        <v/>
      </c>
      <c r="Y15" s="10">
        <f>IF(OR(Q15="",X15=""),"",Q15&amp;"|"&amp;X15)</f>
        <v/>
      </c>
      <c r="Z15" s="10">
        <f>IF(AND(Q15&lt;&gt;"",W15&gt;0),Q15&amp;"|월","")</f>
        <v/>
      </c>
      <c r="AA15" s="10">
        <f>IF(COUNTA(B15:N15)=0,"",IF(Q15="","등록번호 없음",IF(LEFT(R15,1)="⚠","모병원명 미등록",IF(S15="","파견병원 입력",IF(LEFT(S15,1)="⚠","파견병원명 미등록",IF(LEFT(U15,1)="⚠","파견과목 미등록",IF(OR(T15="",LEFT(T15,1)="⚠"),"파견근거 확인",IF(NOT(AND(ISNUMBER(H15),ISNUMBER(I15))),"날짜 형식/누락",IF(I15&lt;H15,"종료일&lt;시작일","")))))))))</f>
        <v/>
      </c>
      <c r="AB15" s="11">
        <f>IF(ISNUMBER(SEARCH("다기관",TRIM(N15&amp;" "&amp;O15))),IFERROR(DATE(VALUE(MID(TRIM(N15&amp;" "&amp;O15),1,4)),VALUE(MID(TRIM(N15&amp;" "&amp;O15),6,2)),VALUE(MID(TRIM(N15&amp;" "&amp;O15),9,2))),IF(ISNUMBER(H15),H15,"")),"")</f>
        <v/>
      </c>
      <c r="AC15" s="11">
        <f>IF(ISNUMBER(SEARCH("다기관",TRIM(N15&amp;" "&amp;O15))),IFERROR(DATE(VALUE(MID(TRIM(N15&amp;" "&amp;O15),12,4)),VALUE(MID(TRIM(N15&amp;" "&amp;O15),17,2)),VALUE(MID(TRIM(N15&amp;" "&amp;O15),20,2))),IF(ISNUMBER(I15),I15,"")),"")</f>
        <v/>
      </c>
      <c r="AD15" s="17">
        <f>IF(AND(ISNUMBER(AB15),ISNUMBER(AC15)),MAX(0,MIN(AC15,EOMONTH(요약!$B$3,0))-MAX(AB15,요약!$B$3)+1),0)</f>
        <v/>
      </c>
      <c r="AE15" s="10">
        <f>IF(AND(Q15&lt;&gt;"",ISNUMBER(AB15)),Q15&amp;"|다기관","")</f>
        <v/>
      </c>
    </row>
    <row r="16">
      <c r="A16" s="15">
        <f>IF(F16="","",ROW()-3)</f>
        <v/>
      </c>
      <c r="B16" s="5" t="n"/>
      <c r="C16" s="15" t="n"/>
      <c r="D16" s="5" t="n"/>
      <c r="E16" s="15" t="n"/>
      <c r="F16" s="5" t="n"/>
      <c r="G16" s="6" t="n"/>
      <c r="H16" s="16" t="n"/>
      <c r="I16" s="16" t="n"/>
      <c r="J16" s="15">
        <f>IF(AND(ISNUMBER(H16),ISNUMBER(I16)),I16-H16+1,"")</f>
        <v/>
      </c>
      <c r="K16" s="5" t="n"/>
      <c r="L16" s="5" t="n"/>
      <c r="M16" s="5" t="n"/>
      <c r="N16" s="5" t="n"/>
      <c r="O16" s="5" t="n"/>
      <c r="Q16" s="10">
        <f>IF(TRIM(G16&amp;"")="","",TRIM(G16&amp;""))</f>
        <v/>
      </c>
      <c r="R16" s="10">
        <f>IF(TRIM(B16&amp;"")="","",IFERROR(INDEX(코드표!$K$2:$K$101,MATCH(TRIM(B16&amp;""),코드표!$J$2:$J$101,0)),"⚠"&amp;TRIM(B16&amp;"")))</f>
        <v/>
      </c>
      <c r="S16" s="10">
        <f>IF(TRIM(K16&amp;"")="","",IFERROR(INDEX(코드표!$K$2:$K$101,MATCH(TRIM(K16&amp;""),코드표!$J$2:$J$101,0)),"⚠"&amp;TRIM(K16&amp;"")))</f>
        <v/>
      </c>
      <c r="T16" s="10">
        <f>IF(TRIM(M16&amp;"")="","",IF(ISNUMBER(MATCH(TRIM(M16&amp;""),코드표!$C$2:$C$11,0)),TRIM(M16&amp;""),"⚠"&amp;TRIM(M16&amp;"")))</f>
        <v/>
      </c>
      <c r="U16" s="10">
        <f>IF(TRIM(L16&amp;"")="","",IFERROR(INDEX(코드표!$G$2:$G$101,MATCH(TRIM(L16&amp;""),코드표!$F$2:$F$101,0)),"⚠"&amp;TRIM(L16&amp;"")))</f>
        <v/>
      </c>
      <c r="V16" s="10">
        <f>IF(AND(ISNUMBER(H16),ISNUMBER(I16)),I16-H16+1,"")</f>
        <v/>
      </c>
      <c r="W16" s="17">
        <f>IF(ISNUMBER(H16),MAX(0,MIN(IF(ISNUMBER(I16),I16,EOMONTH(요약!$B$3,0)),EOMONTH(요약!$B$3,0))-MAX(H16,요약!$B$3)+1),0)</f>
        <v/>
      </c>
      <c r="X16" s="10">
        <f>IF(OR(NOT(ISNUMBER(H16)),Q16=""),"",IF(TODAY()&lt;H16,"파견예정",IF(AND(ISNUMBER(I16),TODAY()&gt;I16),"파견종료","파견중")))</f>
        <v/>
      </c>
      <c r="Y16" s="10">
        <f>IF(OR(Q16="",X16=""),"",Q16&amp;"|"&amp;X16)</f>
        <v/>
      </c>
      <c r="Z16" s="10">
        <f>IF(AND(Q16&lt;&gt;"",W16&gt;0),Q16&amp;"|월","")</f>
        <v/>
      </c>
      <c r="AA16" s="10">
        <f>IF(COUNTA(B16:N16)=0,"",IF(Q16="","등록번호 없음",IF(LEFT(R16,1)="⚠","모병원명 미등록",IF(S16="","파견병원 입력",IF(LEFT(S16,1)="⚠","파견병원명 미등록",IF(LEFT(U16,1)="⚠","파견과목 미등록",IF(OR(T16="",LEFT(T16,1)="⚠"),"파견근거 확인",IF(NOT(AND(ISNUMBER(H16),ISNUMBER(I16))),"날짜 형식/누락",IF(I16&lt;H16,"종료일&lt;시작일","")))))))))</f>
        <v/>
      </c>
      <c r="AB16" s="11">
        <f>IF(ISNUMBER(SEARCH("다기관",TRIM(N16&amp;" "&amp;O16))),IFERROR(DATE(VALUE(MID(TRIM(N16&amp;" "&amp;O16),1,4)),VALUE(MID(TRIM(N16&amp;" "&amp;O16),6,2)),VALUE(MID(TRIM(N16&amp;" "&amp;O16),9,2))),IF(ISNUMBER(H16),H16,"")),"")</f>
        <v/>
      </c>
      <c r="AC16" s="11">
        <f>IF(ISNUMBER(SEARCH("다기관",TRIM(N16&amp;" "&amp;O16))),IFERROR(DATE(VALUE(MID(TRIM(N16&amp;" "&amp;O16),12,4)),VALUE(MID(TRIM(N16&amp;" "&amp;O16),17,2)),VALUE(MID(TRIM(N16&amp;" "&amp;O16),20,2))),IF(ISNUMBER(I16),I16,"")),"")</f>
        <v/>
      </c>
      <c r="AD16" s="17">
        <f>IF(AND(ISNUMBER(AB16),ISNUMBER(AC16)),MAX(0,MIN(AC16,EOMONTH(요약!$B$3,0))-MAX(AB16,요약!$B$3)+1),0)</f>
        <v/>
      </c>
      <c r="AE16" s="10">
        <f>IF(AND(Q16&lt;&gt;"",ISNUMBER(AB16)),Q16&amp;"|다기관","")</f>
        <v/>
      </c>
    </row>
    <row r="17">
      <c r="A17" s="15">
        <f>IF(F17="","",ROW()-3)</f>
        <v/>
      </c>
      <c r="B17" s="5" t="n"/>
      <c r="C17" s="15" t="n"/>
      <c r="D17" s="5" t="n"/>
      <c r="E17" s="15" t="n"/>
      <c r="F17" s="5" t="n"/>
      <c r="G17" s="6" t="n"/>
      <c r="H17" s="16" t="n"/>
      <c r="I17" s="16" t="n"/>
      <c r="J17" s="15">
        <f>IF(AND(ISNUMBER(H17),ISNUMBER(I17)),I17-H17+1,"")</f>
        <v/>
      </c>
      <c r="K17" s="5" t="n"/>
      <c r="L17" s="5" t="n"/>
      <c r="M17" s="5" t="n"/>
      <c r="N17" s="5" t="n"/>
      <c r="O17" s="5" t="n"/>
      <c r="Q17" s="10">
        <f>IF(TRIM(G17&amp;"")="","",TRIM(G17&amp;""))</f>
        <v/>
      </c>
      <c r="R17" s="10">
        <f>IF(TRIM(B17&amp;"")="","",IFERROR(INDEX(코드표!$K$2:$K$101,MATCH(TRIM(B17&amp;""),코드표!$J$2:$J$101,0)),"⚠"&amp;TRIM(B17&amp;"")))</f>
        <v/>
      </c>
      <c r="S17" s="10">
        <f>IF(TRIM(K17&amp;"")="","",IFERROR(INDEX(코드표!$K$2:$K$101,MATCH(TRIM(K17&amp;""),코드표!$J$2:$J$101,0)),"⚠"&amp;TRIM(K17&amp;"")))</f>
        <v/>
      </c>
      <c r="T17" s="10">
        <f>IF(TRIM(M17&amp;"")="","",IF(ISNUMBER(MATCH(TRIM(M17&amp;""),코드표!$C$2:$C$11,0)),TRIM(M17&amp;""),"⚠"&amp;TRIM(M17&amp;"")))</f>
        <v/>
      </c>
      <c r="U17" s="10">
        <f>IF(TRIM(L17&amp;"")="","",IFERROR(INDEX(코드표!$G$2:$G$101,MATCH(TRIM(L17&amp;""),코드표!$F$2:$F$101,0)),"⚠"&amp;TRIM(L17&amp;"")))</f>
        <v/>
      </c>
      <c r="V17" s="10">
        <f>IF(AND(ISNUMBER(H17),ISNUMBER(I17)),I17-H17+1,"")</f>
        <v/>
      </c>
      <c r="W17" s="17">
        <f>IF(ISNUMBER(H17),MAX(0,MIN(IF(ISNUMBER(I17),I17,EOMONTH(요약!$B$3,0)),EOMONTH(요약!$B$3,0))-MAX(H17,요약!$B$3)+1),0)</f>
        <v/>
      </c>
      <c r="X17" s="10">
        <f>IF(OR(NOT(ISNUMBER(H17)),Q17=""),"",IF(TODAY()&lt;H17,"파견예정",IF(AND(ISNUMBER(I17),TODAY()&gt;I17),"파견종료","파견중")))</f>
        <v/>
      </c>
      <c r="Y17" s="10">
        <f>IF(OR(Q17="",X17=""),"",Q17&amp;"|"&amp;X17)</f>
        <v/>
      </c>
      <c r="Z17" s="10">
        <f>IF(AND(Q17&lt;&gt;"",W17&gt;0),Q17&amp;"|월","")</f>
        <v/>
      </c>
      <c r="AA17" s="10">
        <f>IF(COUNTA(B17:N17)=0,"",IF(Q17="","등록번호 없음",IF(LEFT(R17,1)="⚠","모병원명 미등록",IF(S17="","파견병원 입력",IF(LEFT(S17,1)="⚠","파견병원명 미등록",IF(LEFT(U17,1)="⚠","파견과목 미등록",IF(OR(T17="",LEFT(T17,1)="⚠"),"파견근거 확인",IF(NOT(AND(ISNUMBER(H17),ISNUMBER(I17))),"날짜 형식/누락",IF(I17&lt;H17,"종료일&lt;시작일","")))))))))</f>
        <v/>
      </c>
      <c r="AB17" s="11">
        <f>IF(ISNUMBER(SEARCH("다기관",TRIM(N17&amp;" "&amp;O17))),IFERROR(DATE(VALUE(MID(TRIM(N17&amp;" "&amp;O17),1,4)),VALUE(MID(TRIM(N17&amp;" "&amp;O17),6,2)),VALUE(MID(TRIM(N17&amp;" "&amp;O17),9,2))),IF(ISNUMBER(H17),H17,"")),"")</f>
        <v/>
      </c>
      <c r="AC17" s="11">
        <f>IF(ISNUMBER(SEARCH("다기관",TRIM(N17&amp;" "&amp;O17))),IFERROR(DATE(VALUE(MID(TRIM(N17&amp;" "&amp;O17),12,4)),VALUE(MID(TRIM(N17&amp;" "&amp;O17),17,2)),VALUE(MID(TRIM(N17&amp;" "&amp;O17),20,2))),IF(ISNUMBER(I17),I17,"")),"")</f>
        <v/>
      </c>
      <c r="AD17" s="17">
        <f>IF(AND(ISNUMBER(AB17),ISNUMBER(AC17)),MAX(0,MIN(AC17,EOMONTH(요약!$B$3,0))-MAX(AB17,요약!$B$3)+1),0)</f>
        <v/>
      </c>
      <c r="AE17" s="10">
        <f>IF(AND(Q17&lt;&gt;"",ISNUMBER(AB17)),Q17&amp;"|다기관","")</f>
        <v/>
      </c>
    </row>
    <row r="18">
      <c r="A18" s="15">
        <f>IF(F18="","",ROW()-3)</f>
        <v/>
      </c>
      <c r="B18" s="5" t="n"/>
      <c r="C18" s="15" t="n"/>
      <c r="D18" s="5" t="n"/>
      <c r="E18" s="15" t="n"/>
      <c r="F18" s="5" t="n"/>
      <c r="G18" s="6" t="n"/>
      <c r="H18" s="16" t="n"/>
      <c r="I18" s="16" t="n"/>
      <c r="J18" s="15">
        <f>IF(AND(ISNUMBER(H18),ISNUMBER(I18)),I18-H18+1,"")</f>
        <v/>
      </c>
      <c r="K18" s="5" t="n"/>
      <c r="L18" s="5" t="n"/>
      <c r="M18" s="5" t="n"/>
      <c r="N18" s="5" t="n"/>
      <c r="O18" s="5" t="n"/>
      <c r="Q18" s="10">
        <f>IF(TRIM(G18&amp;"")="","",TRIM(G18&amp;""))</f>
        <v/>
      </c>
      <c r="R18" s="10">
        <f>IF(TRIM(B18&amp;"")="","",IFERROR(INDEX(코드표!$K$2:$K$101,MATCH(TRIM(B18&amp;""),코드표!$J$2:$J$101,0)),"⚠"&amp;TRIM(B18&amp;"")))</f>
        <v/>
      </c>
      <c r="S18" s="10">
        <f>IF(TRIM(K18&amp;"")="","",IFERROR(INDEX(코드표!$K$2:$K$101,MATCH(TRIM(K18&amp;""),코드표!$J$2:$J$101,0)),"⚠"&amp;TRIM(K18&amp;"")))</f>
        <v/>
      </c>
      <c r="T18" s="10">
        <f>IF(TRIM(M18&amp;"")="","",IF(ISNUMBER(MATCH(TRIM(M18&amp;""),코드표!$C$2:$C$11,0)),TRIM(M18&amp;""),"⚠"&amp;TRIM(M18&amp;"")))</f>
        <v/>
      </c>
      <c r="U18" s="10">
        <f>IF(TRIM(L18&amp;"")="","",IFERROR(INDEX(코드표!$G$2:$G$101,MATCH(TRIM(L18&amp;""),코드표!$F$2:$F$101,0)),"⚠"&amp;TRIM(L18&amp;"")))</f>
        <v/>
      </c>
      <c r="V18" s="10">
        <f>IF(AND(ISNUMBER(H18),ISNUMBER(I18)),I18-H18+1,"")</f>
        <v/>
      </c>
      <c r="W18" s="17">
        <f>IF(ISNUMBER(H18),MAX(0,MIN(IF(ISNUMBER(I18),I18,EOMONTH(요약!$B$3,0)),EOMONTH(요약!$B$3,0))-MAX(H18,요약!$B$3)+1),0)</f>
        <v/>
      </c>
      <c r="X18" s="10">
        <f>IF(OR(NOT(ISNUMBER(H18)),Q18=""),"",IF(TODAY()&lt;H18,"파견예정",IF(AND(ISNUMBER(I18),TODAY()&gt;I18),"파견종료","파견중")))</f>
        <v/>
      </c>
      <c r="Y18" s="10">
        <f>IF(OR(Q18="",X18=""),"",Q18&amp;"|"&amp;X18)</f>
        <v/>
      </c>
      <c r="Z18" s="10">
        <f>IF(AND(Q18&lt;&gt;"",W18&gt;0),Q18&amp;"|월","")</f>
        <v/>
      </c>
      <c r="AA18" s="10">
        <f>IF(COUNTA(B18:N18)=0,"",IF(Q18="","등록번호 없음",IF(LEFT(R18,1)="⚠","모병원명 미등록",IF(S18="","파견병원 입력",IF(LEFT(S18,1)="⚠","파견병원명 미등록",IF(LEFT(U18,1)="⚠","파견과목 미등록",IF(OR(T18="",LEFT(T18,1)="⚠"),"파견근거 확인",IF(NOT(AND(ISNUMBER(H18),ISNUMBER(I18))),"날짜 형식/누락",IF(I18&lt;H18,"종료일&lt;시작일","")))))))))</f>
        <v/>
      </c>
      <c r="AB18" s="11">
        <f>IF(ISNUMBER(SEARCH("다기관",TRIM(N18&amp;" "&amp;O18))),IFERROR(DATE(VALUE(MID(TRIM(N18&amp;" "&amp;O18),1,4)),VALUE(MID(TRIM(N18&amp;" "&amp;O18),6,2)),VALUE(MID(TRIM(N18&amp;" "&amp;O18),9,2))),IF(ISNUMBER(H18),H18,"")),"")</f>
        <v/>
      </c>
      <c r="AC18" s="11">
        <f>IF(ISNUMBER(SEARCH("다기관",TRIM(N18&amp;" "&amp;O18))),IFERROR(DATE(VALUE(MID(TRIM(N18&amp;" "&amp;O18),12,4)),VALUE(MID(TRIM(N18&amp;" "&amp;O18),17,2)),VALUE(MID(TRIM(N18&amp;" "&amp;O18),20,2))),IF(ISNUMBER(I18),I18,"")),"")</f>
        <v/>
      </c>
      <c r="AD18" s="17">
        <f>IF(AND(ISNUMBER(AB18),ISNUMBER(AC18)),MAX(0,MIN(AC18,EOMONTH(요약!$B$3,0))-MAX(AB18,요약!$B$3)+1),0)</f>
        <v/>
      </c>
      <c r="AE18" s="10">
        <f>IF(AND(Q18&lt;&gt;"",ISNUMBER(AB18)),Q18&amp;"|다기관","")</f>
        <v/>
      </c>
    </row>
    <row r="19">
      <c r="A19" s="15">
        <f>IF(F19="","",ROW()-3)</f>
        <v/>
      </c>
      <c r="B19" s="5" t="n"/>
      <c r="C19" s="15" t="n"/>
      <c r="D19" s="5" t="n"/>
      <c r="E19" s="15" t="n"/>
      <c r="F19" s="5" t="n"/>
      <c r="G19" s="6" t="n"/>
      <c r="H19" s="16" t="n"/>
      <c r="I19" s="16" t="n"/>
      <c r="J19" s="15">
        <f>IF(AND(ISNUMBER(H19),ISNUMBER(I19)),I19-H19+1,"")</f>
        <v/>
      </c>
      <c r="K19" s="5" t="n"/>
      <c r="L19" s="5" t="n"/>
      <c r="M19" s="5" t="n"/>
      <c r="N19" s="5" t="n"/>
      <c r="O19" s="5" t="n"/>
      <c r="Q19" s="10">
        <f>IF(TRIM(G19&amp;"")="","",TRIM(G19&amp;""))</f>
        <v/>
      </c>
      <c r="R19" s="10">
        <f>IF(TRIM(B19&amp;"")="","",IFERROR(INDEX(코드표!$K$2:$K$101,MATCH(TRIM(B19&amp;""),코드표!$J$2:$J$101,0)),"⚠"&amp;TRIM(B19&amp;"")))</f>
        <v/>
      </c>
      <c r="S19" s="10">
        <f>IF(TRIM(K19&amp;"")="","",IFERROR(INDEX(코드표!$K$2:$K$101,MATCH(TRIM(K19&amp;""),코드표!$J$2:$J$101,0)),"⚠"&amp;TRIM(K19&amp;"")))</f>
        <v/>
      </c>
      <c r="T19" s="10">
        <f>IF(TRIM(M19&amp;"")="","",IF(ISNUMBER(MATCH(TRIM(M19&amp;""),코드표!$C$2:$C$11,0)),TRIM(M19&amp;""),"⚠"&amp;TRIM(M19&amp;"")))</f>
        <v/>
      </c>
      <c r="U19" s="10">
        <f>IF(TRIM(L19&amp;"")="","",IFERROR(INDEX(코드표!$G$2:$G$101,MATCH(TRIM(L19&amp;""),코드표!$F$2:$F$101,0)),"⚠"&amp;TRIM(L19&amp;"")))</f>
        <v/>
      </c>
      <c r="V19" s="10">
        <f>IF(AND(ISNUMBER(H19),ISNUMBER(I19)),I19-H19+1,"")</f>
        <v/>
      </c>
      <c r="W19" s="17">
        <f>IF(ISNUMBER(H19),MAX(0,MIN(IF(ISNUMBER(I19),I19,EOMONTH(요약!$B$3,0)),EOMONTH(요약!$B$3,0))-MAX(H19,요약!$B$3)+1),0)</f>
        <v/>
      </c>
      <c r="X19" s="10">
        <f>IF(OR(NOT(ISNUMBER(H19)),Q19=""),"",IF(TODAY()&lt;H19,"파견예정",IF(AND(ISNUMBER(I19),TODAY()&gt;I19),"파견종료","파견중")))</f>
        <v/>
      </c>
      <c r="Y19" s="10">
        <f>IF(OR(Q19="",X19=""),"",Q19&amp;"|"&amp;X19)</f>
        <v/>
      </c>
      <c r="Z19" s="10">
        <f>IF(AND(Q19&lt;&gt;"",W19&gt;0),Q19&amp;"|월","")</f>
        <v/>
      </c>
      <c r="AA19" s="10">
        <f>IF(COUNTA(B19:N19)=0,"",IF(Q19="","등록번호 없음",IF(LEFT(R19,1)="⚠","모병원명 미등록",IF(S19="","파견병원 입력",IF(LEFT(S19,1)="⚠","파견병원명 미등록",IF(LEFT(U19,1)="⚠","파견과목 미등록",IF(OR(T19="",LEFT(T19,1)="⚠"),"파견근거 확인",IF(NOT(AND(ISNUMBER(H19),ISNUMBER(I19))),"날짜 형식/누락",IF(I19&lt;H19,"종료일&lt;시작일","")))))))))</f>
        <v/>
      </c>
      <c r="AB19" s="11">
        <f>IF(ISNUMBER(SEARCH("다기관",TRIM(N19&amp;" "&amp;O19))),IFERROR(DATE(VALUE(MID(TRIM(N19&amp;" "&amp;O19),1,4)),VALUE(MID(TRIM(N19&amp;" "&amp;O19),6,2)),VALUE(MID(TRIM(N19&amp;" "&amp;O19),9,2))),IF(ISNUMBER(H19),H19,"")),"")</f>
        <v/>
      </c>
      <c r="AC19" s="11">
        <f>IF(ISNUMBER(SEARCH("다기관",TRIM(N19&amp;" "&amp;O19))),IFERROR(DATE(VALUE(MID(TRIM(N19&amp;" "&amp;O19),12,4)),VALUE(MID(TRIM(N19&amp;" "&amp;O19),17,2)),VALUE(MID(TRIM(N19&amp;" "&amp;O19),20,2))),IF(ISNUMBER(I19),I19,"")),"")</f>
        <v/>
      </c>
      <c r="AD19" s="17">
        <f>IF(AND(ISNUMBER(AB19),ISNUMBER(AC19)),MAX(0,MIN(AC19,EOMONTH(요약!$B$3,0))-MAX(AB19,요약!$B$3)+1),0)</f>
        <v/>
      </c>
      <c r="AE19" s="10">
        <f>IF(AND(Q19&lt;&gt;"",ISNUMBER(AB19)),Q19&amp;"|다기관","")</f>
        <v/>
      </c>
    </row>
    <row r="20">
      <c r="A20" s="15">
        <f>IF(F20="","",ROW()-3)</f>
        <v/>
      </c>
      <c r="B20" s="5" t="n"/>
      <c r="C20" s="15" t="n"/>
      <c r="D20" s="5" t="n"/>
      <c r="E20" s="15" t="n"/>
      <c r="F20" s="5" t="n"/>
      <c r="G20" s="6" t="n"/>
      <c r="H20" s="16" t="n"/>
      <c r="I20" s="16" t="n"/>
      <c r="J20" s="15">
        <f>IF(AND(ISNUMBER(H20),ISNUMBER(I20)),I20-H20+1,"")</f>
        <v/>
      </c>
      <c r="K20" s="5" t="n"/>
      <c r="L20" s="5" t="n"/>
      <c r="M20" s="5" t="n"/>
      <c r="N20" s="5" t="n"/>
      <c r="O20" s="5" t="n"/>
      <c r="Q20" s="10">
        <f>IF(TRIM(G20&amp;"")="","",TRIM(G20&amp;""))</f>
        <v/>
      </c>
      <c r="R20" s="10">
        <f>IF(TRIM(B20&amp;"")="","",IFERROR(INDEX(코드표!$K$2:$K$101,MATCH(TRIM(B20&amp;""),코드표!$J$2:$J$101,0)),"⚠"&amp;TRIM(B20&amp;"")))</f>
        <v/>
      </c>
      <c r="S20" s="10">
        <f>IF(TRIM(K20&amp;"")="","",IFERROR(INDEX(코드표!$K$2:$K$101,MATCH(TRIM(K20&amp;""),코드표!$J$2:$J$101,0)),"⚠"&amp;TRIM(K20&amp;"")))</f>
        <v/>
      </c>
      <c r="T20" s="10">
        <f>IF(TRIM(M20&amp;"")="","",IF(ISNUMBER(MATCH(TRIM(M20&amp;""),코드표!$C$2:$C$11,0)),TRIM(M20&amp;""),"⚠"&amp;TRIM(M20&amp;"")))</f>
        <v/>
      </c>
      <c r="U20" s="10">
        <f>IF(TRIM(L20&amp;"")="","",IFERROR(INDEX(코드표!$G$2:$G$101,MATCH(TRIM(L20&amp;""),코드표!$F$2:$F$101,0)),"⚠"&amp;TRIM(L20&amp;"")))</f>
        <v/>
      </c>
      <c r="V20" s="10">
        <f>IF(AND(ISNUMBER(H20),ISNUMBER(I20)),I20-H20+1,"")</f>
        <v/>
      </c>
      <c r="W20" s="17">
        <f>IF(ISNUMBER(H20),MAX(0,MIN(IF(ISNUMBER(I20),I20,EOMONTH(요약!$B$3,0)),EOMONTH(요약!$B$3,0))-MAX(H20,요약!$B$3)+1),0)</f>
        <v/>
      </c>
      <c r="X20" s="10">
        <f>IF(OR(NOT(ISNUMBER(H20)),Q20=""),"",IF(TODAY()&lt;H20,"파견예정",IF(AND(ISNUMBER(I20),TODAY()&gt;I20),"파견종료","파견중")))</f>
        <v/>
      </c>
      <c r="Y20" s="10">
        <f>IF(OR(Q20="",X20=""),"",Q20&amp;"|"&amp;X20)</f>
        <v/>
      </c>
      <c r="Z20" s="10">
        <f>IF(AND(Q20&lt;&gt;"",W20&gt;0),Q20&amp;"|월","")</f>
        <v/>
      </c>
      <c r="AA20" s="10">
        <f>IF(COUNTA(B20:N20)=0,"",IF(Q20="","등록번호 없음",IF(LEFT(R20,1)="⚠","모병원명 미등록",IF(S20="","파견병원 입력",IF(LEFT(S20,1)="⚠","파견병원명 미등록",IF(LEFT(U20,1)="⚠","파견과목 미등록",IF(OR(T20="",LEFT(T20,1)="⚠"),"파견근거 확인",IF(NOT(AND(ISNUMBER(H20),ISNUMBER(I20))),"날짜 형식/누락",IF(I20&lt;H20,"종료일&lt;시작일","")))))))))</f>
        <v/>
      </c>
      <c r="AB20" s="11">
        <f>IF(ISNUMBER(SEARCH("다기관",TRIM(N20&amp;" "&amp;O20))),IFERROR(DATE(VALUE(MID(TRIM(N20&amp;" "&amp;O20),1,4)),VALUE(MID(TRIM(N20&amp;" "&amp;O20),6,2)),VALUE(MID(TRIM(N20&amp;" "&amp;O20),9,2))),IF(ISNUMBER(H20),H20,"")),"")</f>
        <v/>
      </c>
      <c r="AC20" s="11">
        <f>IF(ISNUMBER(SEARCH("다기관",TRIM(N20&amp;" "&amp;O20))),IFERROR(DATE(VALUE(MID(TRIM(N20&amp;" "&amp;O20),12,4)),VALUE(MID(TRIM(N20&amp;" "&amp;O20),17,2)),VALUE(MID(TRIM(N20&amp;" "&amp;O20),20,2))),IF(ISNUMBER(I20),I20,"")),"")</f>
        <v/>
      </c>
      <c r="AD20" s="17">
        <f>IF(AND(ISNUMBER(AB20),ISNUMBER(AC20)),MAX(0,MIN(AC20,EOMONTH(요약!$B$3,0))-MAX(AB20,요약!$B$3)+1),0)</f>
        <v/>
      </c>
      <c r="AE20" s="10">
        <f>IF(AND(Q20&lt;&gt;"",ISNUMBER(AB20)),Q20&amp;"|다기관","")</f>
        <v/>
      </c>
    </row>
    <row r="21">
      <c r="A21" s="15">
        <f>IF(F21="","",ROW()-3)</f>
        <v/>
      </c>
      <c r="B21" s="5" t="n"/>
      <c r="C21" s="15" t="n"/>
      <c r="D21" s="5" t="n"/>
      <c r="E21" s="15" t="n"/>
      <c r="F21" s="5" t="n"/>
      <c r="G21" s="6" t="n"/>
      <c r="H21" s="16" t="n"/>
      <c r="I21" s="16" t="n"/>
      <c r="J21" s="15">
        <f>IF(AND(ISNUMBER(H21),ISNUMBER(I21)),I21-H21+1,"")</f>
        <v/>
      </c>
      <c r="K21" s="5" t="n"/>
      <c r="L21" s="5" t="n"/>
      <c r="M21" s="5" t="n"/>
      <c r="N21" s="5" t="n"/>
      <c r="O21" s="5" t="n"/>
      <c r="Q21" s="10">
        <f>IF(TRIM(G21&amp;"")="","",TRIM(G21&amp;""))</f>
        <v/>
      </c>
      <c r="R21" s="10">
        <f>IF(TRIM(B21&amp;"")="","",IFERROR(INDEX(코드표!$K$2:$K$101,MATCH(TRIM(B21&amp;""),코드표!$J$2:$J$101,0)),"⚠"&amp;TRIM(B21&amp;"")))</f>
        <v/>
      </c>
      <c r="S21" s="10">
        <f>IF(TRIM(K21&amp;"")="","",IFERROR(INDEX(코드표!$K$2:$K$101,MATCH(TRIM(K21&amp;""),코드표!$J$2:$J$101,0)),"⚠"&amp;TRIM(K21&amp;"")))</f>
        <v/>
      </c>
      <c r="T21" s="10">
        <f>IF(TRIM(M21&amp;"")="","",IF(ISNUMBER(MATCH(TRIM(M21&amp;""),코드표!$C$2:$C$11,0)),TRIM(M21&amp;""),"⚠"&amp;TRIM(M21&amp;"")))</f>
        <v/>
      </c>
      <c r="U21" s="10">
        <f>IF(TRIM(L21&amp;"")="","",IFERROR(INDEX(코드표!$G$2:$G$101,MATCH(TRIM(L21&amp;""),코드표!$F$2:$F$101,0)),"⚠"&amp;TRIM(L21&amp;"")))</f>
        <v/>
      </c>
      <c r="V21" s="10">
        <f>IF(AND(ISNUMBER(H21),ISNUMBER(I21)),I21-H21+1,"")</f>
        <v/>
      </c>
      <c r="W21" s="17">
        <f>IF(ISNUMBER(H21),MAX(0,MIN(IF(ISNUMBER(I21),I21,EOMONTH(요약!$B$3,0)),EOMONTH(요약!$B$3,0))-MAX(H21,요약!$B$3)+1),0)</f>
        <v/>
      </c>
      <c r="X21" s="10">
        <f>IF(OR(NOT(ISNUMBER(H21)),Q21=""),"",IF(TODAY()&lt;H21,"파견예정",IF(AND(ISNUMBER(I21),TODAY()&gt;I21),"파견종료","파견중")))</f>
        <v/>
      </c>
      <c r="Y21" s="10">
        <f>IF(OR(Q21="",X21=""),"",Q21&amp;"|"&amp;X21)</f>
        <v/>
      </c>
      <c r="Z21" s="10">
        <f>IF(AND(Q21&lt;&gt;"",W21&gt;0),Q21&amp;"|월","")</f>
        <v/>
      </c>
      <c r="AA21" s="10">
        <f>IF(COUNTA(B21:N21)=0,"",IF(Q21="","등록번호 없음",IF(LEFT(R21,1)="⚠","모병원명 미등록",IF(S21="","파견병원 입력",IF(LEFT(S21,1)="⚠","파견병원명 미등록",IF(LEFT(U21,1)="⚠","파견과목 미등록",IF(OR(T21="",LEFT(T21,1)="⚠"),"파견근거 확인",IF(NOT(AND(ISNUMBER(H21),ISNUMBER(I21))),"날짜 형식/누락",IF(I21&lt;H21,"종료일&lt;시작일","")))))))))</f>
        <v/>
      </c>
      <c r="AB21" s="11">
        <f>IF(ISNUMBER(SEARCH("다기관",TRIM(N21&amp;" "&amp;O21))),IFERROR(DATE(VALUE(MID(TRIM(N21&amp;" "&amp;O21),1,4)),VALUE(MID(TRIM(N21&amp;" "&amp;O21),6,2)),VALUE(MID(TRIM(N21&amp;" "&amp;O21),9,2))),IF(ISNUMBER(H21),H21,"")),"")</f>
        <v/>
      </c>
      <c r="AC21" s="11">
        <f>IF(ISNUMBER(SEARCH("다기관",TRIM(N21&amp;" "&amp;O21))),IFERROR(DATE(VALUE(MID(TRIM(N21&amp;" "&amp;O21),12,4)),VALUE(MID(TRIM(N21&amp;" "&amp;O21),17,2)),VALUE(MID(TRIM(N21&amp;" "&amp;O21),20,2))),IF(ISNUMBER(I21),I21,"")),"")</f>
        <v/>
      </c>
      <c r="AD21" s="17">
        <f>IF(AND(ISNUMBER(AB21),ISNUMBER(AC21)),MAX(0,MIN(AC21,EOMONTH(요약!$B$3,0))-MAX(AB21,요약!$B$3)+1),0)</f>
        <v/>
      </c>
      <c r="AE21" s="10">
        <f>IF(AND(Q21&lt;&gt;"",ISNUMBER(AB21)),Q21&amp;"|다기관","")</f>
        <v/>
      </c>
    </row>
    <row r="22">
      <c r="A22" s="15">
        <f>IF(F22="","",ROW()-3)</f>
        <v/>
      </c>
      <c r="B22" s="5" t="n"/>
      <c r="C22" s="15" t="n"/>
      <c r="D22" s="5" t="n"/>
      <c r="E22" s="15" t="n"/>
      <c r="F22" s="5" t="n"/>
      <c r="G22" s="6" t="n"/>
      <c r="H22" s="16" t="n"/>
      <c r="I22" s="16" t="n"/>
      <c r="J22" s="15">
        <f>IF(AND(ISNUMBER(H22),ISNUMBER(I22)),I22-H22+1,"")</f>
        <v/>
      </c>
      <c r="K22" s="5" t="n"/>
      <c r="L22" s="5" t="n"/>
      <c r="M22" s="5" t="n"/>
      <c r="N22" s="5" t="n"/>
      <c r="O22" s="5" t="n"/>
      <c r="Q22" s="10">
        <f>IF(TRIM(G22&amp;"")="","",TRIM(G22&amp;""))</f>
        <v/>
      </c>
      <c r="R22" s="10">
        <f>IF(TRIM(B22&amp;"")="","",IFERROR(INDEX(코드표!$K$2:$K$101,MATCH(TRIM(B22&amp;""),코드표!$J$2:$J$101,0)),"⚠"&amp;TRIM(B22&amp;"")))</f>
        <v/>
      </c>
      <c r="S22" s="10">
        <f>IF(TRIM(K22&amp;"")="","",IFERROR(INDEX(코드표!$K$2:$K$101,MATCH(TRIM(K22&amp;""),코드표!$J$2:$J$101,0)),"⚠"&amp;TRIM(K22&amp;"")))</f>
        <v/>
      </c>
      <c r="T22" s="10">
        <f>IF(TRIM(M22&amp;"")="","",IF(ISNUMBER(MATCH(TRIM(M22&amp;""),코드표!$C$2:$C$11,0)),TRIM(M22&amp;""),"⚠"&amp;TRIM(M22&amp;"")))</f>
        <v/>
      </c>
      <c r="U22" s="10">
        <f>IF(TRIM(L22&amp;"")="","",IFERROR(INDEX(코드표!$G$2:$G$101,MATCH(TRIM(L22&amp;""),코드표!$F$2:$F$101,0)),"⚠"&amp;TRIM(L22&amp;"")))</f>
        <v/>
      </c>
      <c r="V22" s="10">
        <f>IF(AND(ISNUMBER(H22),ISNUMBER(I22)),I22-H22+1,"")</f>
        <v/>
      </c>
      <c r="W22" s="17">
        <f>IF(ISNUMBER(H22),MAX(0,MIN(IF(ISNUMBER(I22),I22,EOMONTH(요약!$B$3,0)),EOMONTH(요약!$B$3,0))-MAX(H22,요약!$B$3)+1),0)</f>
        <v/>
      </c>
      <c r="X22" s="10">
        <f>IF(OR(NOT(ISNUMBER(H22)),Q22=""),"",IF(TODAY()&lt;H22,"파견예정",IF(AND(ISNUMBER(I22),TODAY()&gt;I22),"파견종료","파견중")))</f>
        <v/>
      </c>
      <c r="Y22" s="10">
        <f>IF(OR(Q22="",X22=""),"",Q22&amp;"|"&amp;X22)</f>
        <v/>
      </c>
      <c r="Z22" s="10">
        <f>IF(AND(Q22&lt;&gt;"",W22&gt;0),Q22&amp;"|월","")</f>
        <v/>
      </c>
      <c r="AA22" s="10">
        <f>IF(COUNTA(B22:N22)=0,"",IF(Q22="","등록번호 없음",IF(LEFT(R22,1)="⚠","모병원명 미등록",IF(S22="","파견병원 입력",IF(LEFT(S22,1)="⚠","파견병원명 미등록",IF(LEFT(U22,1)="⚠","파견과목 미등록",IF(OR(T22="",LEFT(T22,1)="⚠"),"파견근거 확인",IF(NOT(AND(ISNUMBER(H22),ISNUMBER(I22))),"날짜 형식/누락",IF(I22&lt;H22,"종료일&lt;시작일","")))))))))</f>
        <v/>
      </c>
      <c r="AB22" s="11">
        <f>IF(ISNUMBER(SEARCH("다기관",TRIM(N22&amp;" "&amp;O22))),IFERROR(DATE(VALUE(MID(TRIM(N22&amp;" "&amp;O22),1,4)),VALUE(MID(TRIM(N22&amp;" "&amp;O22),6,2)),VALUE(MID(TRIM(N22&amp;" "&amp;O22),9,2))),IF(ISNUMBER(H22),H22,"")),"")</f>
        <v/>
      </c>
      <c r="AC22" s="11">
        <f>IF(ISNUMBER(SEARCH("다기관",TRIM(N22&amp;" "&amp;O22))),IFERROR(DATE(VALUE(MID(TRIM(N22&amp;" "&amp;O22),12,4)),VALUE(MID(TRIM(N22&amp;" "&amp;O22),17,2)),VALUE(MID(TRIM(N22&amp;" "&amp;O22),20,2))),IF(ISNUMBER(I22),I22,"")),"")</f>
        <v/>
      </c>
      <c r="AD22" s="17">
        <f>IF(AND(ISNUMBER(AB22),ISNUMBER(AC22)),MAX(0,MIN(AC22,EOMONTH(요약!$B$3,0))-MAX(AB22,요약!$B$3)+1),0)</f>
        <v/>
      </c>
      <c r="AE22" s="10">
        <f>IF(AND(Q22&lt;&gt;"",ISNUMBER(AB22)),Q22&amp;"|다기관","")</f>
        <v/>
      </c>
    </row>
    <row r="23">
      <c r="A23" s="15">
        <f>IF(F23="","",ROW()-3)</f>
        <v/>
      </c>
      <c r="B23" s="5" t="n"/>
      <c r="C23" s="15" t="n"/>
      <c r="D23" s="5" t="n"/>
      <c r="E23" s="15" t="n"/>
      <c r="F23" s="5" t="n"/>
      <c r="G23" s="6" t="n"/>
      <c r="H23" s="16" t="n"/>
      <c r="I23" s="16" t="n"/>
      <c r="J23" s="15">
        <f>IF(AND(ISNUMBER(H23),ISNUMBER(I23)),I23-H23+1,"")</f>
        <v/>
      </c>
      <c r="K23" s="5" t="n"/>
      <c r="L23" s="5" t="n"/>
      <c r="M23" s="5" t="n"/>
      <c r="N23" s="5" t="n"/>
      <c r="O23" s="5" t="n"/>
      <c r="Q23" s="10">
        <f>IF(TRIM(G23&amp;"")="","",TRIM(G23&amp;""))</f>
        <v/>
      </c>
      <c r="R23" s="10">
        <f>IF(TRIM(B23&amp;"")="","",IFERROR(INDEX(코드표!$K$2:$K$101,MATCH(TRIM(B23&amp;""),코드표!$J$2:$J$101,0)),"⚠"&amp;TRIM(B23&amp;"")))</f>
        <v/>
      </c>
      <c r="S23" s="10">
        <f>IF(TRIM(K23&amp;"")="","",IFERROR(INDEX(코드표!$K$2:$K$101,MATCH(TRIM(K23&amp;""),코드표!$J$2:$J$101,0)),"⚠"&amp;TRIM(K23&amp;"")))</f>
        <v/>
      </c>
      <c r="T23" s="10">
        <f>IF(TRIM(M23&amp;"")="","",IF(ISNUMBER(MATCH(TRIM(M23&amp;""),코드표!$C$2:$C$11,0)),TRIM(M23&amp;""),"⚠"&amp;TRIM(M23&amp;"")))</f>
        <v/>
      </c>
      <c r="U23" s="10">
        <f>IF(TRIM(L23&amp;"")="","",IFERROR(INDEX(코드표!$G$2:$G$101,MATCH(TRIM(L23&amp;""),코드표!$F$2:$F$101,0)),"⚠"&amp;TRIM(L23&amp;"")))</f>
        <v/>
      </c>
      <c r="V23" s="10">
        <f>IF(AND(ISNUMBER(H23),ISNUMBER(I23)),I23-H23+1,"")</f>
        <v/>
      </c>
      <c r="W23" s="17">
        <f>IF(ISNUMBER(H23),MAX(0,MIN(IF(ISNUMBER(I23),I23,EOMONTH(요약!$B$3,0)),EOMONTH(요약!$B$3,0))-MAX(H23,요약!$B$3)+1),0)</f>
        <v/>
      </c>
      <c r="X23" s="10">
        <f>IF(OR(NOT(ISNUMBER(H23)),Q23=""),"",IF(TODAY()&lt;H23,"파견예정",IF(AND(ISNUMBER(I23),TODAY()&gt;I23),"파견종료","파견중")))</f>
        <v/>
      </c>
      <c r="Y23" s="10">
        <f>IF(OR(Q23="",X23=""),"",Q23&amp;"|"&amp;X23)</f>
        <v/>
      </c>
      <c r="Z23" s="10">
        <f>IF(AND(Q23&lt;&gt;"",W23&gt;0),Q23&amp;"|월","")</f>
        <v/>
      </c>
      <c r="AA23" s="10">
        <f>IF(COUNTA(B23:N23)=0,"",IF(Q23="","등록번호 없음",IF(LEFT(R23,1)="⚠","모병원명 미등록",IF(S23="","파견병원 입력",IF(LEFT(S23,1)="⚠","파견병원명 미등록",IF(LEFT(U23,1)="⚠","파견과목 미등록",IF(OR(T23="",LEFT(T23,1)="⚠"),"파견근거 확인",IF(NOT(AND(ISNUMBER(H23),ISNUMBER(I23))),"날짜 형식/누락",IF(I23&lt;H23,"종료일&lt;시작일","")))))))))</f>
        <v/>
      </c>
      <c r="AB23" s="11">
        <f>IF(ISNUMBER(SEARCH("다기관",TRIM(N23&amp;" "&amp;O23))),IFERROR(DATE(VALUE(MID(TRIM(N23&amp;" "&amp;O23),1,4)),VALUE(MID(TRIM(N23&amp;" "&amp;O23),6,2)),VALUE(MID(TRIM(N23&amp;" "&amp;O23),9,2))),IF(ISNUMBER(H23),H23,"")),"")</f>
        <v/>
      </c>
      <c r="AC23" s="11">
        <f>IF(ISNUMBER(SEARCH("다기관",TRIM(N23&amp;" "&amp;O23))),IFERROR(DATE(VALUE(MID(TRIM(N23&amp;" "&amp;O23),12,4)),VALUE(MID(TRIM(N23&amp;" "&amp;O23),17,2)),VALUE(MID(TRIM(N23&amp;" "&amp;O23),20,2))),IF(ISNUMBER(I23),I23,"")),"")</f>
        <v/>
      </c>
      <c r="AD23" s="17">
        <f>IF(AND(ISNUMBER(AB23),ISNUMBER(AC23)),MAX(0,MIN(AC23,EOMONTH(요약!$B$3,0))-MAX(AB23,요약!$B$3)+1),0)</f>
        <v/>
      </c>
      <c r="AE23" s="10">
        <f>IF(AND(Q23&lt;&gt;"",ISNUMBER(AB23)),Q23&amp;"|다기관","")</f>
        <v/>
      </c>
    </row>
    <row r="24">
      <c r="A24" s="15">
        <f>IF(F24="","",ROW()-3)</f>
        <v/>
      </c>
      <c r="B24" s="5" t="n"/>
      <c r="C24" s="15" t="n"/>
      <c r="D24" s="5" t="n"/>
      <c r="E24" s="15" t="n"/>
      <c r="F24" s="5" t="n"/>
      <c r="G24" s="6" t="n"/>
      <c r="H24" s="16" t="n"/>
      <c r="I24" s="16" t="n"/>
      <c r="J24" s="15">
        <f>IF(AND(ISNUMBER(H24),ISNUMBER(I24)),I24-H24+1,"")</f>
        <v/>
      </c>
      <c r="K24" s="5" t="n"/>
      <c r="L24" s="5" t="n"/>
      <c r="M24" s="5" t="n"/>
      <c r="N24" s="5" t="n"/>
      <c r="O24" s="5" t="n"/>
      <c r="Q24" s="10">
        <f>IF(TRIM(G24&amp;"")="","",TRIM(G24&amp;""))</f>
        <v/>
      </c>
      <c r="R24" s="10">
        <f>IF(TRIM(B24&amp;"")="","",IFERROR(INDEX(코드표!$K$2:$K$101,MATCH(TRIM(B24&amp;""),코드표!$J$2:$J$101,0)),"⚠"&amp;TRIM(B24&amp;"")))</f>
        <v/>
      </c>
      <c r="S24" s="10">
        <f>IF(TRIM(K24&amp;"")="","",IFERROR(INDEX(코드표!$K$2:$K$101,MATCH(TRIM(K24&amp;""),코드표!$J$2:$J$101,0)),"⚠"&amp;TRIM(K24&amp;"")))</f>
        <v/>
      </c>
      <c r="T24" s="10">
        <f>IF(TRIM(M24&amp;"")="","",IF(ISNUMBER(MATCH(TRIM(M24&amp;""),코드표!$C$2:$C$11,0)),TRIM(M24&amp;""),"⚠"&amp;TRIM(M24&amp;"")))</f>
        <v/>
      </c>
      <c r="U24" s="10">
        <f>IF(TRIM(L24&amp;"")="","",IFERROR(INDEX(코드표!$G$2:$G$101,MATCH(TRIM(L24&amp;""),코드표!$F$2:$F$101,0)),"⚠"&amp;TRIM(L24&amp;"")))</f>
        <v/>
      </c>
      <c r="V24" s="10">
        <f>IF(AND(ISNUMBER(H24),ISNUMBER(I24)),I24-H24+1,"")</f>
        <v/>
      </c>
      <c r="W24" s="17">
        <f>IF(ISNUMBER(H24),MAX(0,MIN(IF(ISNUMBER(I24),I24,EOMONTH(요약!$B$3,0)),EOMONTH(요약!$B$3,0))-MAX(H24,요약!$B$3)+1),0)</f>
        <v/>
      </c>
      <c r="X24" s="10">
        <f>IF(OR(NOT(ISNUMBER(H24)),Q24=""),"",IF(TODAY()&lt;H24,"파견예정",IF(AND(ISNUMBER(I24),TODAY()&gt;I24),"파견종료","파견중")))</f>
        <v/>
      </c>
      <c r="Y24" s="10">
        <f>IF(OR(Q24="",X24=""),"",Q24&amp;"|"&amp;X24)</f>
        <v/>
      </c>
      <c r="Z24" s="10">
        <f>IF(AND(Q24&lt;&gt;"",W24&gt;0),Q24&amp;"|월","")</f>
        <v/>
      </c>
      <c r="AA24" s="10">
        <f>IF(COUNTA(B24:N24)=0,"",IF(Q24="","등록번호 없음",IF(LEFT(R24,1)="⚠","모병원명 미등록",IF(S24="","파견병원 입력",IF(LEFT(S24,1)="⚠","파견병원명 미등록",IF(LEFT(U24,1)="⚠","파견과목 미등록",IF(OR(T24="",LEFT(T24,1)="⚠"),"파견근거 확인",IF(NOT(AND(ISNUMBER(H24),ISNUMBER(I24))),"날짜 형식/누락",IF(I24&lt;H24,"종료일&lt;시작일","")))))))))</f>
        <v/>
      </c>
      <c r="AB24" s="11">
        <f>IF(ISNUMBER(SEARCH("다기관",TRIM(N24&amp;" "&amp;O24))),IFERROR(DATE(VALUE(MID(TRIM(N24&amp;" "&amp;O24),1,4)),VALUE(MID(TRIM(N24&amp;" "&amp;O24),6,2)),VALUE(MID(TRIM(N24&amp;" "&amp;O24),9,2))),IF(ISNUMBER(H24),H24,"")),"")</f>
        <v/>
      </c>
      <c r="AC24" s="11">
        <f>IF(ISNUMBER(SEARCH("다기관",TRIM(N24&amp;" "&amp;O24))),IFERROR(DATE(VALUE(MID(TRIM(N24&amp;" "&amp;O24),12,4)),VALUE(MID(TRIM(N24&amp;" "&amp;O24),17,2)),VALUE(MID(TRIM(N24&amp;" "&amp;O24),20,2))),IF(ISNUMBER(I24),I24,"")),"")</f>
        <v/>
      </c>
      <c r="AD24" s="17">
        <f>IF(AND(ISNUMBER(AB24),ISNUMBER(AC24)),MAX(0,MIN(AC24,EOMONTH(요약!$B$3,0))-MAX(AB24,요약!$B$3)+1),0)</f>
        <v/>
      </c>
      <c r="AE24" s="10">
        <f>IF(AND(Q24&lt;&gt;"",ISNUMBER(AB24)),Q24&amp;"|다기관","")</f>
        <v/>
      </c>
    </row>
    <row r="25">
      <c r="A25" s="15">
        <f>IF(F25="","",ROW()-3)</f>
        <v/>
      </c>
      <c r="B25" s="5" t="n"/>
      <c r="C25" s="15" t="n"/>
      <c r="D25" s="5" t="n"/>
      <c r="E25" s="15" t="n"/>
      <c r="F25" s="5" t="n"/>
      <c r="G25" s="6" t="n"/>
      <c r="H25" s="16" t="n"/>
      <c r="I25" s="16" t="n"/>
      <c r="J25" s="15">
        <f>IF(AND(ISNUMBER(H25),ISNUMBER(I25)),I25-H25+1,"")</f>
        <v/>
      </c>
      <c r="K25" s="5" t="n"/>
      <c r="L25" s="5" t="n"/>
      <c r="M25" s="5" t="n"/>
      <c r="N25" s="5" t="n"/>
      <c r="O25" s="5" t="n"/>
      <c r="Q25" s="10">
        <f>IF(TRIM(G25&amp;"")="","",TRIM(G25&amp;""))</f>
        <v/>
      </c>
      <c r="R25" s="10">
        <f>IF(TRIM(B25&amp;"")="","",IFERROR(INDEX(코드표!$K$2:$K$101,MATCH(TRIM(B25&amp;""),코드표!$J$2:$J$101,0)),"⚠"&amp;TRIM(B25&amp;"")))</f>
        <v/>
      </c>
      <c r="S25" s="10">
        <f>IF(TRIM(K25&amp;"")="","",IFERROR(INDEX(코드표!$K$2:$K$101,MATCH(TRIM(K25&amp;""),코드표!$J$2:$J$101,0)),"⚠"&amp;TRIM(K25&amp;"")))</f>
        <v/>
      </c>
      <c r="T25" s="10">
        <f>IF(TRIM(M25&amp;"")="","",IF(ISNUMBER(MATCH(TRIM(M25&amp;""),코드표!$C$2:$C$11,0)),TRIM(M25&amp;""),"⚠"&amp;TRIM(M25&amp;"")))</f>
        <v/>
      </c>
      <c r="U25" s="10">
        <f>IF(TRIM(L25&amp;"")="","",IFERROR(INDEX(코드표!$G$2:$G$101,MATCH(TRIM(L25&amp;""),코드표!$F$2:$F$101,0)),"⚠"&amp;TRIM(L25&amp;"")))</f>
        <v/>
      </c>
      <c r="V25" s="10">
        <f>IF(AND(ISNUMBER(H25),ISNUMBER(I25)),I25-H25+1,"")</f>
        <v/>
      </c>
      <c r="W25" s="17">
        <f>IF(ISNUMBER(H25),MAX(0,MIN(IF(ISNUMBER(I25),I25,EOMONTH(요약!$B$3,0)),EOMONTH(요약!$B$3,0))-MAX(H25,요약!$B$3)+1),0)</f>
        <v/>
      </c>
      <c r="X25" s="10">
        <f>IF(OR(NOT(ISNUMBER(H25)),Q25=""),"",IF(TODAY()&lt;H25,"파견예정",IF(AND(ISNUMBER(I25),TODAY()&gt;I25),"파견종료","파견중")))</f>
        <v/>
      </c>
      <c r="Y25" s="10">
        <f>IF(OR(Q25="",X25=""),"",Q25&amp;"|"&amp;X25)</f>
        <v/>
      </c>
      <c r="Z25" s="10">
        <f>IF(AND(Q25&lt;&gt;"",W25&gt;0),Q25&amp;"|월","")</f>
        <v/>
      </c>
      <c r="AA25" s="10">
        <f>IF(COUNTA(B25:N25)=0,"",IF(Q25="","등록번호 없음",IF(LEFT(R25,1)="⚠","모병원명 미등록",IF(S25="","파견병원 입력",IF(LEFT(S25,1)="⚠","파견병원명 미등록",IF(LEFT(U25,1)="⚠","파견과목 미등록",IF(OR(T25="",LEFT(T25,1)="⚠"),"파견근거 확인",IF(NOT(AND(ISNUMBER(H25),ISNUMBER(I25))),"날짜 형식/누락",IF(I25&lt;H25,"종료일&lt;시작일","")))))))))</f>
        <v/>
      </c>
      <c r="AB25" s="11">
        <f>IF(ISNUMBER(SEARCH("다기관",TRIM(N25&amp;" "&amp;O25))),IFERROR(DATE(VALUE(MID(TRIM(N25&amp;" "&amp;O25),1,4)),VALUE(MID(TRIM(N25&amp;" "&amp;O25),6,2)),VALUE(MID(TRIM(N25&amp;" "&amp;O25),9,2))),IF(ISNUMBER(H25),H25,"")),"")</f>
        <v/>
      </c>
      <c r="AC25" s="11">
        <f>IF(ISNUMBER(SEARCH("다기관",TRIM(N25&amp;" "&amp;O25))),IFERROR(DATE(VALUE(MID(TRIM(N25&amp;" "&amp;O25),12,4)),VALUE(MID(TRIM(N25&amp;" "&amp;O25),17,2)),VALUE(MID(TRIM(N25&amp;" "&amp;O25),20,2))),IF(ISNUMBER(I25),I25,"")),"")</f>
        <v/>
      </c>
      <c r="AD25" s="17">
        <f>IF(AND(ISNUMBER(AB25),ISNUMBER(AC25)),MAX(0,MIN(AC25,EOMONTH(요약!$B$3,0))-MAX(AB25,요약!$B$3)+1),0)</f>
        <v/>
      </c>
      <c r="AE25" s="10">
        <f>IF(AND(Q25&lt;&gt;"",ISNUMBER(AB25)),Q25&amp;"|다기관","")</f>
        <v/>
      </c>
    </row>
    <row r="26">
      <c r="A26" s="15">
        <f>IF(F26="","",ROW()-3)</f>
        <v/>
      </c>
      <c r="B26" s="5" t="n"/>
      <c r="C26" s="15" t="n"/>
      <c r="D26" s="5" t="n"/>
      <c r="E26" s="15" t="n"/>
      <c r="F26" s="5" t="n"/>
      <c r="G26" s="6" t="n"/>
      <c r="H26" s="16" t="n"/>
      <c r="I26" s="16" t="n"/>
      <c r="J26" s="15">
        <f>IF(AND(ISNUMBER(H26),ISNUMBER(I26)),I26-H26+1,"")</f>
        <v/>
      </c>
      <c r="K26" s="5" t="n"/>
      <c r="L26" s="5" t="n"/>
      <c r="M26" s="5" t="n"/>
      <c r="N26" s="5" t="n"/>
      <c r="O26" s="5" t="n"/>
      <c r="Q26" s="10">
        <f>IF(TRIM(G26&amp;"")="","",TRIM(G26&amp;""))</f>
        <v/>
      </c>
      <c r="R26" s="10">
        <f>IF(TRIM(B26&amp;"")="","",IFERROR(INDEX(코드표!$K$2:$K$101,MATCH(TRIM(B26&amp;""),코드표!$J$2:$J$101,0)),"⚠"&amp;TRIM(B26&amp;"")))</f>
        <v/>
      </c>
      <c r="S26" s="10">
        <f>IF(TRIM(K26&amp;"")="","",IFERROR(INDEX(코드표!$K$2:$K$101,MATCH(TRIM(K26&amp;""),코드표!$J$2:$J$101,0)),"⚠"&amp;TRIM(K26&amp;"")))</f>
        <v/>
      </c>
      <c r="T26" s="10">
        <f>IF(TRIM(M26&amp;"")="","",IF(ISNUMBER(MATCH(TRIM(M26&amp;""),코드표!$C$2:$C$11,0)),TRIM(M26&amp;""),"⚠"&amp;TRIM(M26&amp;"")))</f>
        <v/>
      </c>
      <c r="U26" s="10">
        <f>IF(TRIM(L26&amp;"")="","",IFERROR(INDEX(코드표!$G$2:$G$101,MATCH(TRIM(L26&amp;""),코드표!$F$2:$F$101,0)),"⚠"&amp;TRIM(L26&amp;"")))</f>
        <v/>
      </c>
      <c r="V26" s="10">
        <f>IF(AND(ISNUMBER(H26),ISNUMBER(I26)),I26-H26+1,"")</f>
        <v/>
      </c>
      <c r="W26" s="17">
        <f>IF(ISNUMBER(H26),MAX(0,MIN(IF(ISNUMBER(I26),I26,EOMONTH(요약!$B$3,0)),EOMONTH(요약!$B$3,0))-MAX(H26,요약!$B$3)+1),0)</f>
        <v/>
      </c>
      <c r="X26" s="10">
        <f>IF(OR(NOT(ISNUMBER(H26)),Q26=""),"",IF(TODAY()&lt;H26,"파견예정",IF(AND(ISNUMBER(I26),TODAY()&gt;I26),"파견종료","파견중")))</f>
        <v/>
      </c>
      <c r="Y26" s="10">
        <f>IF(OR(Q26="",X26=""),"",Q26&amp;"|"&amp;X26)</f>
        <v/>
      </c>
      <c r="Z26" s="10">
        <f>IF(AND(Q26&lt;&gt;"",W26&gt;0),Q26&amp;"|월","")</f>
        <v/>
      </c>
      <c r="AA26" s="10">
        <f>IF(COUNTA(B26:N26)=0,"",IF(Q26="","등록번호 없음",IF(LEFT(R26,1)="⚠","모병원명 미등록",IF(S26="","파견병원 입력",IF(LEFT(S26,1)="⚠","파견병원명 미등록",IF(LEFT(U26,1)="⚠","파견과목 미등록",IF(OR(T26="",LEFT(T26,1)="⚠"),"파견근거 확인",IF(NOT(AND(ISNUMBER(H26),ISNUMBER(I26))),"날짜 형식/누락",IF(I26&lt;H26,"종료일&lt;시작일","")))))))))</f>
        <v/>
      </c>
      <c r="AB26" s="11">
        <f>IF(ISNUMBER(SEARCH("다기관",TRIM(N26&amp;" "&amp;O26))),IFERROR(DATE(VALUE(MID(TRIM(N26&amp;" "&amp;O26),1,4)),VALUE(MID(TRIM(N26&amp;" "&amp;O26),6,2)),VALUE(MID(TRIM(N26&amp;" "&amp;O26),9,2))),IF(ISNUMBER(H26),H26,"")),"")</f>
        <v/>
      </c>
      <c r="AC26" s="11">
        <f>IF(ISNUMBER(SEARCH("다기관",TRIM(N26&amp;" "&amp;O26))),IFERROR(DATE(VALUE(MID(TRIM(N26&amp;" "&amp;O26),12,4)),VALUE(MID(TRIM(N26&amp;" "&amp;O26),17,2)),VALUE(MID(TRIM(N26&amp;" "&amp;O26),20,2))),IF(ISNUMBER(I26),I26,"")),"")</f>
        <v/>
      </c>
      <c r="AD26" s="17">
        <f>IF(AND(ISNUMBER(AB26),ISNUMBER(AC26)),MAX(0,MIN(AC26,EOMONTH(요약!$B$3,0))-MAX(AB26,요약!$B$3)+1),0)</f>
        <v/>
      </c>
      <c r="AE26" s="10">
        <f>IF(AND(Q26&lt;&gt;"",ISNUMBER(AB26)),Q26&amp;"|다기관","")</f>
        <v/>
      </c>
    </row>
    <row r="27">
      <c r="A27" s="15">
        <f>IF(F27="","",ROW()-3)</f>
        <v/>
      </c>
      <c r="B27" s="5" t="n"/>
      <c r="C27" s="15" t="n"/>
      <c r="D27" s="5" t="n"/>
      <c r="E27" s="15" t="n"/>
      <c r="F27" s="5" t="n"/>
      <c r="G27" s="6" t="n"/>
      <c r="H27" s="16" t="n"/>
      <c r="I27" s="16" t="n"/>
      <c r="J27" s="15">
        <f>IF(AND(ISNUMBER(H27),ISNUMBER(I27)),I27-H27+1,"")</f>
        <v/>
      </c>
      <c r="K27" s="5" t="n"/>
      <c r="L27" s="5" t="n"/>
      <c r="M27" s="5" t="n"/>
      <c r="N27" s="5" t="n"/>
      <c r="O27" s="5" t="n"/>
      <c r="Q27" s="10">
        <f>IF(TRIM(G27&amp;"")="","",TRIM(G27&amp;""))</f>
        <v/>
      </c>
      <c r="R27" s="10">
        <f>IF(TRIM(B27&amp;"")="","",IFERROR(INDEX(코드표!$K$2:$K$101,MATCH(TRIM(B27&amp;""),코드표!$J$2:$J$101,0)),"⚠"&amp;TRIM(B27&amp;"")))</f>
        <v/>
      </c>
      <c r="S27" s="10">
        <f>IF(TRIM(K27&amp;"")="","",IFERROR(INDEX(코드표!$K$2:$K$101,MATCH(TRIM(K27&amp;""),코드표!$J$2:$J$101,0)),"⚠"&amp;TRIM(K27&amp;"")))</f>
        <v/>
      </c>
      <c r="T27" s="10">
        <f>IF(TRIM(M27&amp;"")="","",IF(ISNUMBER(MATCH(TRIM(M27&amp;""),코드표!$C$2:$C$11,0)),TRIM(M27&amp;""),"⚠"&amp;TRIM(M27&amp;"")))</f>
        <v/>
      </c>
      <c r="U27" s="10">
        <f>IF(TRIM(L27&amp;"")="","",IFERROR(INDEX(코드표!$G$2:$G$101,MATCH(TRIM(L27&amp;""),코드표!$F$2:$F$101,0)),"⚠"&amp;TRIM(L27&amp;"")))</f>
        <v/>
      </c>
      <c r="V27" s="10">
        <f>IF(AND(ISNUMBER(H27),ISNUMBER(I27)),I27-H27+1,"")</f>
        <v/>
      </c>
      <c r="W27" s="17">
        <f>IF(ISNUMBER(H27),MAX(0,MIN(IF(ISNUMBER(I27),I27,EOMONTH(요약!$B$3,0)),EOMONTH(요약!$B$3,0))-MAX(H27,요약!$B$3)+1),0)</f>
        <v/>
      </c>
      <c r="X27" s="10">
        <f>IF(OR(NOT(ISNUMBER(H27)),Q27=""),"",IF(TODAY()&lt;H27,"파견예정",IF(AND(ISNUMBER(I27),TODAY()&gt;I27),"파견종료","파견중")))</f>
        <v/>
      </c>
      <c r="Y27" s="10">
        <f>IF(OR(Q27="",X27=""),"",Q27&amp;"|"&amp;X27)</f>
        <v/>
      </c>
      <c r="Z27" s="10">
        <f>IF(AND(Q27&lt;&gt;"",W27&gt;0),Q27&amp;"|월","")</f>
        <v/>
      </c>
      <c r="AA27" s="10">
        <f>IF(COUNTA(B27:N27)=0,"",IF(Q27="","등록번호 없음",IF(LEFT(R27,1)="⚠","모병원명 미등록",IF(S27="","파견병원 입력",IF(LEFT(S27,1)="⚠","파견병원명 미등록",IF(LEFT(U27,1)="⚠","파견과목 미등록",IF(OR(T27="",LEFT(T27,1)="⚠"),"파견근거 확인",IF(NOT(AND(ISNUMBER(H27),ISNUMBER(I27))),"날짜 형식/누락",IF(I27&lt;H27,"종료일&lt;시작일","")))))))))</f>
        <v/>
      </c>
      <c r="AB27" s="11">
        <f>IF(ISNUMBER(SEARCH("다기관",TRIM(N27&amp;" "&amp;O27))),IFERROR(DATE(VALUE(MID(TRIM(N27&amp;" "&amp;O27),1,4)),VALUE(MID(TRIM(N27&amp;" "&amp;O27),6,2)),VALUE(MID(TRIM(N27&amp;" "&amp;O27),9,2))),IF(ISNUMBER(H27),H27,"")),"")</f>
        <v/>
      </c>
      <c r="AC27" s="11">
        <f>IF(ISNUMBER(SEARCH("다기관",TRIM(N27&amp;" "&amp;O27))),IFERROR(DATE(VALUE(MID(TRIM(N27&amp;" "&amp;O27),12,4)),VALUE(MID(TRIM(N27&amp;" "&amp;O27),17,2)),VALUE(MID(TRIM(N27&amp;" "&amp;O27),20,2))),IF(ISNUMBER(I27),I27,"")),"")</f>
        <v/>
      </c>
      <c r="AD27" s="17">
        <f>IF(AND(ISNUMBER(AB27),ISNUMBER(AC27)),MAX(0,MIN(AC27,EOMONTH(요약!$B$3,0))-MAX(AB27,요약!$B$3)+1),0)</f>
        <v/>
      </c>
      <c r="AE27" s="10">
        <f>IF(AND(Q27&lt;&gt;"",ISNUMBER(AB27)),Q27&amp;"|다기관","")</f>
        <v/>
      </c>
    </row>
    <row r="28">
      <c r="A28" s="15">
        <f>IF(F28="","",ROW()-3)</f>
        <v/>
      </c>
      <c r="B28" s="5" t="n"/>
      <c r="C28" s="15" t="n"/>
      <c r="D28" s="5" t="n"/>
      <c r="E28" s="15" t="n"/>
      <c r="F28" s="5" t="n"/>
      <c r="G28" s="6" t="n"/>
      <c r="H28" s="16" t="n"/>
      <c r="I28" s="16" t="n"/>
      <c r="J28" s="15">
        <f>IF(AND(ISNUMBER(H28),ISNUMBER(I28)),I28-H28+1,"")</f>
        <v/>
      </c>
      <c r="K28" s="5" t="n"/>
      <c r="L28" s="5" t="n"/>
      <c r="M28" s="5" t="n"/>
      <c r="N28" s="5" t="n"/>
      <c r="O28" s="5" t="n"/>
      <c r="Q28" s="10">
        <f>IF(TRIM(G28&amp;"")="","",TRIM(G28&amp;""))</f>
        <v/>
      </c>
      <c r="R28" s="10">
        <f>IF(TRIM(B28&amp;"")="","",IFERROR(INDEX(코드표!$K$2:$K$101,MATCH(TRIM(B28&amp;""),코드표!$J$2:$J$101,0)),"⚠"&amp;TRIM(B28&amp;"")))</f>
        <v/>
      </c>
      <c r="S28" s="10">
        <f>IF(TRIM(K28&amp;"")="","",IFERROR(INDEX(코드표!$K$2:$K$101,MATCH(TRIM(K28&amp;""),코드표!$J$2:$J$101,0)),"⚠"&amp;TRIM(K28&amp;"")))</f>
        <v/>
      </c>
      <c r="T28" s="10">
        <f>IF(TRIM(M28&amp;"")="","",IF(ISNUMBER(MATCH(TRIM(M28&amp;""),코드표!$C$2:$C$11,0)),TRIM(M28&amp;""),"⚠"&amp;TRIM(M28&amp;"")))</f>
        <v/>
      </c>
      <c r="U28" s="10">
        <f>IF(TRIM(L28&amp;"")="","",IFERROR(INDEX(코드표!$G$2:$G$101,MATCH(TRIM(L28&amp;""),코드표!$F$2:$F$101,0)),"⚠"&amp;TRIM(L28&amp;"")))</f>
        <v/>
      </c>
      <c r="V28" s="10">
        <f>IF(AND(ISNUMBER(H28),ISNUMBER(I28)),I28-H28+1,"")</f>
        <v/>
      </c>
      <c r="W28" s="17">
        <f>IF(ISNUMBER(H28),MAX(0,MIN(IF(ISNUMBER(I28),I28,EOMONTH(요약!$B$3,0)),EOMONTH(요약!$B$3,0))-MAX(H28,요약!$B$3)+1),0)</f>
        <v/>
      </c>
      <c r="X28" s="10">
        <f>IF(OR(NOT(ISNUMBER(H28)),Q28=""),"",IF(TODAY()&lt;H28,"파견예정",IF(AND(ISNUMBER(I28),TODAY()&gt;I28),"파견종료","파견중")))</f>
        <v/>
      </c>
      <c r="Y28" s="10">
        <f>IF(OR(Q28="",X28=""),"",Q28&amp;"|"&amp;X28)</f>
        <v/>
      </c>
      <c r="Z28" s="10">
        <f>IF(AND(Q28&lt;&gt;"",W28&gt;0),Q28&amp;"|월","")</f>
        <v/>
      </c>
      <c r="AA28" s="10">
        <f>IF(COUNTA(B28:N28)=0,"",IF(Q28="","등록번호 없음",IF(LEFT(R28,1)="⚠","모병원명 미등록",IF(S28="","파견병원 입력",IF(LEFT(S28,1)="⚠","파견병원명 미등록",IF(LEFT(U28,1)="⚠","파견과목 미등록",IF(OR(T28="",LEFT(T28,1)="⚠"),"파견근거 확인",IF(NOT(AND(ISNUMBER(H28),ISNUMBER(I28))),"날짜 형식/누락",IF(I28&lt;H28,"종료일&lt;시작일","")))))))))</f>
        <v/>
      </c>
      <c r="AB28" s="11">
        <f>IF(ISNUMBER(SEARCH("다기관",TRIM(N28&amp;" "&amp;O28))),IFERROR(DATE(VALUE(MID(TRIM(N28&amp;" "&amp;O28),1,4)),VALUE(MID(TRIM(N28&amp;" "&amp;O28),6,2)),VALUE(MID(TRIM(N28&amp;" "&amp;O28),9,2))),IF(ISNUMBER(H28),H28,"")),"")</f>
        <v/>
      </c>
      <c r="AC28" s="11">
        <f>IF(ISNUMBER(SEARCH("다기관",TRIM(N28&amp;" "&amp;O28))),IFERROR(DATE(VALUE(MID(TRIM(N28&amp;" "&amp;O28),12,4)),VALUE(MID(TRIM(N28&amp;" "&amp;O28),17,2)),VALUE(MID(TRIM(N28&amp;" "&amp;O28),20,2))),IF(ISNUMBER(I28),I28,"")),"")</f>
        <v/>
      </c>
      <c r="AD28" s="17">
        <f>IF(AND(ISNUMBER(AB28),ISNUMBER(AC28)),MAX(0,MIN(AC28,EOMONTH(요약!$B$3,0))-MAX(AB28,요약!$B$3)+1),0)</f>
        <v/>
      </c>
      <c r="AE28" s="10">
        <f>IF(AND(Q28&lt;&gt;"",ISNUMBER(AB28)),Q28&amp;"|다기관","")</f>
        <v/>
      </c>
    </row>
    <row r="29">
      <c r="A29" s="15">
        <f>IF(F29="","",ROW()-3)</f>
        <v/>
      </c>
      <c r="B29" s="5" t="n"/>
      <c r="C29" s="15" t="n"/>
      <c r="D29" s="5" t="n"/>
      <c r="E29" s="15" t="n"/>
      <c r="F29" s="5" t="n"/>
      <c r="G29" s="6" t="n"/>
      <c r="H29" s="16" t="n"/>
      <c r="I29" s="16" t="n"/>
      <c r="J29" s="15">
        <f>IF(AND(ISNUMBER(H29),ISNUMBER(I29)),I29-H29+1,"")</f>
        <v/>
      </c>
      <c r="K29" s="5" t="n"/>
      <c r="L29" s="5" t="n"/>
      <c r="M29" s="5" t="n"/>
      <c r="N29" s="5" t="n"/>
      <c r="O29" s="5" t="n"/>
      <c r="Q29" s="10">
        <f>IF(TRIM(G29&amp;"")="","",TRIM(G29&amp;""))</f>
        <v/>
      </c>
      <c r="R29" s="10">
        <f>IF(TRIM(B29&amp;"")="","",IFERROR(INDEX(코드표!$K$2:$K$101,MATCH(TRIM(B29&amp;""),코드표!$J$2:$J$101,0)),"⚠"&amp;TRIM(B29&amp;"")))</f>
        <v/>
      </c>
      <c r="S29" s="10">
        <f>IF(TRIM(K29&amp;"")="","",IFERROR(INDEX(코드표!$K$2:$K$101,MATCH(TRIM(K29&amp;""),코드표!$J$2:$J$101,0)),"⚠"&amp;TRIM(K29&amp;"")))</f>
        <v/>
      </c>
      <c r="T29" s="10">
        <f>IF(TRIM(M29&amp;"")="","",IF(ISNUMBER(MATCH(TRIM(M29&amp;""),코드표!$C$2:$C$11,0)),TRIM(M29&amp;""),"⚠"&amp;TRIM(M29&amp;"")))</f>
        <v/>
      </c>
      <c r="U29" s="10">
        <f>IF(TRIM(L29&amp;"")="","",IFERROR(INDEX(코드표!$G$2:$G$101,MATCH(TRIM(L29&amp;""),코드표!$F$2:$F$101,0)),"⚠"&amp;TRIM(L29&amp;"")))</f>
        <v/>
      </c>
      <c r="V29" s="10">
        <f>IF(AND(ISNUMBER(H29),ISNUMBER(I29)),I29-H29+1,"")</f>
        <v/>
      </c>
      <c r="W29" s="17">
        <f>IF(ISNUMBER(H29),MAX(0,MIN(IF(ISNUMBER(I29),I29,EOMONTH(요약!$B$3,0)),EOMONTH(요약!$B$3,0))-MAX(H29,요약!$B$3)+1),0)</f>
        <v/>
      </c>
      <c r="X29" s="10">
        <f>IF(OR(NOT(ISNUMBER(H29)),Q29=""),"",IF(TODAY()&lt;H29,"파견예정",IF(AND(ISNUMBER(I29),TODAY()&gt;I29),"파견종료","파견중")))</f>
        <v/>
      </c>
      <c r="Y29" s="10">
        <f>IF(OR(Q29="",X29=""),"",Q29&amp;"|"&amp;X29)</f>
        <v/>
      </c>
      <c r="Z29" s="10">
        <f>IF(AND(Q29&lt;&gt;"",W29&gt;0),Q29&amp;"|월","")</f>
        <v/>
      </c>
      <c r="AA29" s="10">
        <f>IF(COUNTA(B29:N29)=0,"",IF(Q29="","등록번호 없음",IF(LEFT(R29,1)="⚠","모병원명 미등록",IF(S29="","파견병원 입력",IF(LEFT(S29,1)="⚠","파견병원명 미등록",IF(LEFT(U29,1)="⚠","파견과목 미등록",IF(OR(T29="",LEFT(T29,1)="⚠"),"파견근거 확인",IF(NOT(AND(ISNUMBER(H29),ISNUMBER(I29))),"날짜 형식/누락",IF(I29&lt;H29,"종료일&lt;시작일","")))))))))</f>
        <v/>
      </c>
      <c r="AB29" s="11">
        <f>IF(ISNUMBER(SEARCH("다기관",TRIM(N29&amp;" "&amp;O29))),IFERROR(DATE(VALUE(MID(TRIM(N29&amp;" "&amp;O29),1,4)),VALUE(MID(TRIM(N29&amp;" "&amp;O29),6,2)),VALUE(MID(TRIM(N29&amp;" "&amp;O29),9,2))),IF(ISNUMBER(H29),H29,"")),"")</f>
        <v/>
      </c>
      <c r="AC29" s="11">
        <f>IF(ISNUMBER(SEARCH("다기관",TRIM(N29&amp;" "&amp;O29))),IFERROR(DATE(VALUE(MID(TRIM(N29&amp;" "&amp;O29),12,4)),VALUE(MID(TRIM(N29&amp;" "&amp;O29),17,2)),VALUE(MID(TRIM(N29&amp;" "&amp;O29),20,2))),IF(ISNUMBER(I29),I29,"")),"")</f>
        <v/>
      </c>
      <c r="AD29" s="17">
        <f>IF(AND(ISNUMBER(AB29),ISNUMBER(AC29)),MAX(0,MIN(AC29,EOMONTH(요약!$B$3,0))-MAX(AB29,요약!$B$3)+1),0)</f>
        <v/>
      </c>
      <c r="AE29" s="10">
        <f>IF(AND(Q29&lt;&gt;"",ISNUMBER(AB29)),Q29&amp;"|다기관","")</f>
        <v/>
      </c>
    </row>
    <row r="30">
      <c r="A30" s="15">
        <f>IF(F30="","",ROW()-3)</f>
        <v/>
      </c>
      <c r="B30" s="5" t="n"/>
      <c r="C30" s="15" t="n"/>
      <c r="D30" s="5" t="n"/>
      <c r="E30" s="15" t="n"/>
      <c r="F30" s="5" t="n"/>
      <c r="G30" s="6" t="n"/>
      <c r="H30" s="16" t="n"/>
      <c r="I30" s="16" t="n"/>
      <c r="J30" s="15">
        <f>IF(AND(ISNUMBER(H30),ISNUMBER(I30)),I30-H30+1,"")</f>
        <v/>
      </c>
      <c r="K30" s="5" t="n"/>
      <c r="L30" s="5" t="n"/>
      <c r="M30" s="5" t="n"/>
      <c r="N30" s="5" t="n"/>
      <c r="O30" s="5" t="n"/>
      <c r="Q30" s="10">
        <f>IF(TRIM(G30&amp;"")="","",TRIM(G30&amp;""))</f>
        <v/>
      </c>
      <c r="R30" s="10">
        <f>IF(TRIM(B30&amp;"")="","",IFERROR(INDEX(코드표!$K$2:$K$101,MATCH(TRIM(B30&amp;""),코드표!$J$2:$J$101,0)),"⚠"&amp;TRIM(B30&amp;"")))</f>
        <v/>
      </c>
      <c r="S30" s="10">
        <f>IF(TRIM(K30&amp;"")="","",IFERROR(INDEX(코드표!$K$2:$K$101,MATCH(TRIM(K30&amp;""),코드표!$J$2:$J$101,0)),"⚠"&amp;TRIM(K30&amp;"")))</f>
        <v/>
      </c>
      <c r="T30" s="10">
        <f>IF(TRIM(M30&amp;"")="","",IF(ISNUMBER(MATCH(TRIM(M30&amp;""),코드표!$C$2:$C$11,0)),TRIM(M30&amp;""),"⚠"&amp;TRIM(M30&amp;"")))</f>
        <v/>
      </c>
      <c r="U30" s="10">
        <f>IF(TRIM(L30&amp;"")="","",IFERROR(INDEX(코드표!$G$2:$G$101,MATCH(TRIM(L30&amp;""),코드표!$F$2:$F$101,0)),"⚠"&amp;TRIM(L30&amp;"")))</f>
        <v/>
      </c>
      <c r="V30" s="10">
        <f>IF(AND(ISNUMBER(H30),ISNUMBER(I30)),I30-H30+1,"")</f>
        <v/>
      </c>
      <c r="W30" s="17">
        <f>IF(ISNUMBER(H30),MAX(0,MIN(IF(ISNUMBER(I30),I30,EOMONTH(요약!$B$3,0)),EOMONTH(요약!$B$3,0))-MAX(H30,요약!$B$3)+1),0)</f>
        <v/>
      </c>
      <c r="X30" s="10">
        <f>IF(OR(NOT(ISNUMBER(H30)),Q30=""),"",IF(TODAY()&lt;H30,"파견예정",IF(AND(ISNUMBER(I30),TODAY()&gt;I30),"파견종료","파견중")))</f>
        <v/>
      </c>
      <c r="Y30" s="10">
        <f>IF(OR(Q30="",X30=""),"",Q30&amp;"|"&amp;X30)</f>
        <v/>
      </c>
      <c r="Z30" s="10">
        <f>IF(AND(Q30&lt;&gt;"",W30&gt;0),Q30&amp;"|월","")</f>
        <v/>
      </c>
      <c r="AA30" s="10">
        <f>IF(COUNTA(B30:N30)=0,"",IF(Q30="","등록번호 없음",IF(LEFT(R30,1)="⚠","모병원명 미등록",IF(S30="","파견병원 입력",IF(LEFT(S30,1)="⚠","파견병원명 미등록",IF(LEFT(U30,1)="⚠","파견과목 미등록",IF(OR(T30="",LEFT(T30,1)="⚠"),"파견근거 확인",IF(NOT(AND(ISNUMBER(H30),ISNUMBER(I30))),"날짜 형식/누락",IF(I30&lt;H30,"종료일&lt;시작일","")))))))))</f>
        <v/>
      </c>
      <c r="AB30" s="11">
        <f>IF(ISNUMBER(SEARCH("다기관",TRIM(N30&amp;" "&amp;O30))),IFERROR(DATE(VALUE(MID(TRIM(N30&amp;" "&amp;O30),1,4)),VALUE(MID(TRIM(N30&amp;" "&amp;O30),6,2)),VALUE(MID(TRIM(N30&amp;" "&amp;O30),9,2))),IF(ISNUMBER(H30),H30,"")),"")</f>
        <v/>
      </c>
      <c r="AC30" s="11">
        <f>IF(ISNUMBER(SEARCH("다기관",TRIM(N30&amp;" "&amp;O30))),IFERROR(DATE(VALUE(MID(TRIM(N30&amp;" "&amp;O30),12,4)),VALUE(MID(TRIM(N30&amp;" "&amp;O30),17,2)),VALUE(MID(TRIM(N30&amp;" "&amp;O30),20,2))),IF(ISNUMBER(I30),I30,"")),"")</f>
        <v/>
      </c>
      <c r="AD30" s="17">
        <f>IF(AND(ISNUMBER(AB30),ISNUMBER(AC30)),MAX(0,MIN(AC30,EOMONTH(요약!$B$3,0))-MAX(AB30,요약!$B$3)+1),0)</f>
        <v/>
      </c>
      <c r="AE30" s="10">
        <f>IF(AND(Q30&lt;&gt;"",ISNUMBER(AB30)),Q30&amp;"|다기관","")</f>
        <v/>
      </c>
    </row>
    <row r="31">
      <c r="A31" s="15">
        <f>IF(F31="","",ROW()-3)</f>
        <v/>
      </c>
      <c r="B31" s="5" t="n"/>
      <c r="C31" s="15" t="n"/>
      <c r="D31" s="5" t="n"/>
      <c r="E31" s="15" t="n"/>
      <c r="F31" s="5" t="n"/>
      <c r="G31" s="6" t="n"/>
      <c r="H31" s="16" t="n"/>
      <c r="I31" s="16" t="n"/>
      <c r="J31" s="15">
        <f>IF(AND(ISNUMBER(H31),ISNUMBER(I31)),I31-H31+1,"")</f>
        <v/>
      </c>
      <c r="K31" s="5" t="n"/>
      <c r="L31" s="5" t="n"/>
      <c r="M31" s="5" t="n"/>
      <c r="N31" s="5" t="n"/>
      <c r="O31" s="5" t="n"/>
      <c r="Q31" s="10">
        <f>IF(TRIM(G31&amp;"")="","",TRIM(G31&amp;""))</f>
        <v/>
      </c>
      <c r="R31" s="10">
        <f>IF(TRIM(B31&amp;"")="","",IFERROR(INDEX(코드표!$K$2:$K$101,MATCH(TRIM(B31&amp;""),코드표!$J$2:$J$101,0)),"⚠"&amp;TRIM(B31&amp;"")))</f>
        <v/>
      </c>
      <c r="S31" s="10">
        <f>IF(TRIM(K31&amp;"")="","",IFERROR(INDEX(코드표!$K$2:$K$101,MATCH(TRIM(K31&amp;""),코드표!$J$2:$J$101,0)),"⚠"&amp;TRIM(K31&amp;"")))</f>
        <v/>
      </c>
      <c r="T31" s="10">
        <f>IF(TRIM(M31&amp;"")="","",IF(ISNUMBER(MATCH(TRIM(M31&amp;""),코드표!$C$2:$C$11,0)),TRIM(M31&amp;""),"⚠"&amp;TRIM(M31&amp;"")))</f>
        <v/>
      </c>
      <c r="U31" s="10">
        <f>IF(TRIM(L31&amp;"")="","",IFERROR(INDEX(코드표!$G$2:$G$101,MATCH(TRIM(L31&amp;""),코드표!$F$2:$F$101,0)),"⚠"&amp;TRIM(L31&amp;"")))</f>
        <v/>
      </c>
      <c r="V31" s="10">
        <f>IF(AND(ISNUMBER(H31),ISNUMBER(I31)),I31-H31+1,"")</f>
        <v/>
      </c>
      <c r="W31" s="17">
        <f>IF(ISNUMBER(H31),MAX(0,MIN(IF(ISNUMBER(I31),I31,EOMONTH(요약!$B$3,0)),EOMONTH(요약!$B$3,0))-MAX(H31,요약!$B$3)+1),0)</f>
        <v/>
      </c>
      <c r="X31" s="10">
        <f>IF(OR(NOT(ISNUMBER(H31)),Q31=""),"",IF(TODAY()&lt;H31,"파견예정",IF(AND(ISNUMBER(I31),TODAY()&gt;I31),"파견종료","파견중")))</f>
        <v/>
      </c>
      <c r="Y31" s="10">
        <f>IF(OR(Q31="",X31=""),"",Q31&amp;"|"&amp;X31)</f>
        <v/>
      </c>
      <c r="Z31" s="10">
        <f>IF(AND(Q31&lt;&gt;"",W31&gt;0),Q31&amp;"|월","")</f>
        <v/>
      </c>
      <c r="AA31" s="10">
        <f>IF(COUNTA(B31:N31)=0,"",IF(Q31="","등록번호 없음",IF(LEFT(R31,1)="⚠","모병원명 미등록",IF(S31="","파견병원 입력",IF(LEFT(S31,1)="⚠","파견병원명 미등록",IF(LEFT(U31,1)="⚠","파견과목 미등록",IF(OR(T31="",LEFT(T31,1)="⚠"),"파견근거 확인",IF(NOT(AND(ISNUMBER(H31),ISNUMBER(I31))),"날짜 형식/누락",IF(I31&lt;H31,"종료일&lt;시작일","")))))))))</f>
        <v/>
      </c>
      <c r="AB31" s="11">
        <f>IF(ISNUMBER(SEARCH("다기관",TRIM(N31&amp;" "&amp;O31))),IFERROR(DATE(VALUE(MID(TRIM(N31&amp;" "&amp;O31),1,4)),VALUE(MID(TRIM(N31&amp;" "&amp;O31),6,2)),VALUE(MID(TRIM(N31&amp;" "&amp;O31),9,2))),IF(ISNUMBER(H31),H31,"")),"")</f>
        <v/>
      </c>
      <c r="AC31" s="11">
        <f>IF(ISNUMBER(SEARCH("다기관",TRIM(N31&amp;" "&amp;O31))),IFERROR(DATE(VALUE(MID(TRIM(N31&amp;" "&amp;O31),12,4)),VALUE(MID(TRIM(N31&amp;" "&amp;O31),17,2)),VALUE(MID(TRIM(N31&amp;" "&amp;O31),20,2))),IF(ISNUMBER(I31),I31,"")),"")</f>
        <v/>
      </c>
      <c r="AD31" s="17">
        <f>IF(AND(ISNUMBER(AB31),ISNUMBER(AC31)),MAX(0,MIN(AC31,EOMONTH(요약!$B$3,0))-MAX(AB31,요약!$B$3)+1),0)</f>
        <v/>
      </c>
      <c r="AE31" s="10">
        <f>IF(AND(Q31&lt;&gt;"",ISNUMBER(AB31)),Q31&amp;"|다기관","")</f>
        <v/>
      </c>
    </row>
    <row r="32">
      <c r="A32" s="15">
        <f>IF(F32="","",ROW()-3)</f>
        <v/>
      </c>
      <c r="B32" s="5" t="n"/>
      <c r="C32" s="15" t="n"/>
      <c r="D32" s="5" t="n"/>
      <c r="E32" s="15" t="n"/>
      <c r="F32" s="5" t="n"/>
      <c r="G32" s="6" t="n"/>
      <c r="H32" s="16" t="n"/>
      <c r="I32" s="16" t="n"/>
      <c r="J32" s="15">
        <f>IF(AND(ISNUMBER(H32),ISNUMBER(I32)),I32-H32+1,"")</f>
        <v/>
      </c>
      <c r="K32" s="5" t="n"/>
      <c r="L32" s="5" t="n"/>
      <c r="M32" s="5" t="n"/>
      <c r="N32" s="5" t="n"/>
      <c r="O32" s="5" t="n"/>
      <c r="Q32" s="10">
        <f>IF(TRIM(G32&amp;"")="","",TRIM(G32&amp;""))</f>
        <v/>
      </c>
      <c r="R32" s="10">
        <f>IF(TRIM(B32&amp;"")="","",IFERROR(INDEX(코드표!$K$2:$K$101,MATCH(TRIM(B32&amp;""),코드표!$J$2:$J$101,0)),"⚠"&amp;TRIM(B32&amp;"")))</f>
        <v/>
      </c>
      <c r="S32" s="10">
        <f>IF(TRIM(K32&amp;"")="","",IFERROR(INDEX(코드표!$K$2:$K$101,MATCH(TRIM(K32&amp;""),코드표!$J$2:$J$101,0)),"⚠"&amp;TRIM(K32&amp;"")))</f>
        <v/>
      </c>
      <c r="T32" s="10">
        <f>IF(TRIM(M32&amp;"")="","",IF(ISNUMBER(MATCH(TRIM(M32&amp;""),코드표!$C$2:$C$11,0)),TRIM(M32&amp;""),"⚠"&amp;TRIM(M32&amp;"")))</f>
        <v/>
      </c>
      <c r="U32" s="10">
        <f>IF(TRIM(L32&amp;"")="","",IFERROR(INDEX(코드표!$G$2:$G$101,MATCH(TRIM(L32&amp;""),코드표!$F$2:$F$101,0)),"⚠"&amp;TRIM(L32&amp;"")))</f>
        <v/>
      </c>
      <c r="V32" s="10">
        <f>IF(AND(ISNUMBER(H32),ISNUMBER(I32)),I32-H32+1,"")</f>
        <v/>
      </c>
      <c r="W32" s="17">
        <f>IF(ISNUMBER(H32),MAX(0,MIN(IF(ISNUMBER(I32),I32,EOMONTH(요약!$B$3,0)),EOMONTH(요약!$B$3,0))-MAX(H32,요약!$B$3)+1),0)</f>
        <v/>
      </c>
      <c r="X32" s="10">
        <f>IF(OR(NOT(ISNUMBER(H32)),Q32=""),"",IF(TODAY()&lt;H32,"파견예정",IF(AND(ISNUMBER(I32),TODAY()&gt;I32),"파견종료","파견중")))</f>
        <v/>
      </c>
      <c r="Y32" s="10">
        <f>IF(OR(Q32="",X32=""),"",Q32&amp;"|"&amp;X32)</f>
        <v/>
      </c>
      <c r="Z32" s="10">
        <f>IF(AND(Q32&lt;&gt;"",W32&gt;0),Q32&amp;"|월","")</f>
        <v/>
      </c>
      <c r="AA32" s="10">
        <f>IF(COUNTA(B32:N32)=0,"",IF(Q32="","등록번호 없음",IF(LEFT(R32,1)="⚠","모병원명 미등록",IF(S32="","파견병원 입력",IF(LEFT(S32,1)="⚠","파견병원명 미등록",IF(LEFT(U32,1)="⚠","파견과목 미등록",IF(OR(T32="",LEFT(T32,1)="⚠"),"파견근거 확인",IF(NOT(AND(ISNUMBER(H32),ISNUMBER(I32))),"날짜 형식/누락",IF(I32&lt;H32,"종료일&lt;시작일","")))))))))</f>
        <v/>
      </c>
      <c r="AB32" s="11">
        <f>IF(ISNUMBER(SEARCH("다기관",TRIM(N32&amp;" "&amp;O32))),IFERROR(DATE(VALUE(MID(TRIM(N32&amp;" "&amp;O32),1,4)),VALUE(MID(TRIM(N32&amp;" "&amp;O32),6,2)),VALUE(MID(TRIM(N32&amp;" "&amp;O32),9,2))),IF(ISNUMBER(H32),H32,"")),"")</f>
        <v/>
      </c>
      <c r="AC32" s="11">
        <f>IF(ISNUMBER(SEARCH("다기관",TRIM(N32&amp;" "&amp;O32))),IFERROR(DATE(VALUE(MID(TRIM(N32&amp;" "&amp;O32),12,4)),VALUE(MID(TRIM(N32&amp;" "&amp;O32),17,2)),VALUE(MID(TRIM(N32&amp;" "&amp;O32),20,2))),IF(ISNUMBER(I32),I32,"")),"")</f>
        <v/>
      </c>
      <c r="AD32" s="17">
        <f>IF(AND(ISNUMBER(AB32),ISNUMBER(AC32)),MAX(0,MIN(AC32,EOMONTH(요약!$B$3,0))-MAX(AB32,요약!$B$3)+1),0)</f>
        <v/>
      </c>
      <c r="AE32" s="10">
        <f>IF(AND(Q32&lt;&gt;"",ISNUMBER(AB32)),Q32&amp;"|다기관","")</f>
        <v/>
      </c>
    </row>
    <row r="33">
      <c r="A33" s="15">
        <f>IF(F33="","",ROW()-3)</f>
        <v/>
      </c>
      <c r="B33" s="5" t="n"/>
      <c r="C33" s="15" t="n"/>
      <c r="D33" s="5" t="n"/>
      <c r="E33" s="15" t="n"/>
      <c r="F33" s="5" t="n"/>
      <c r="G33" s="6" t="n"/>
      <c r="H33" s="16" t="n"/>
      <c r="I33" s="16" t="n"/>
      <c r="J33" s="15">
        <f>IF(AND(ISNUMBER(H33),ISNUMBER(I33)),I33-H33+1,"")</f>
        <v/>
      </c>
      <c r="K33" s="5" t="n"/>
      <c r="L33" s="5" t="n"/>
      <c r="M33" s="5" t="n"/>
      <c r="N33" s="5" t="n"/>
      <c r="O33" s="5" t="n"/>
      <c r="Q33" s="10">
        <f>IF(TRIM(G33&amp;"")="","",TRIM(G33&amp;""))</f>
        <v/>
      </c>
      <c r="R33" s="10">
        <f>IF(TRIM(B33&amp;"")="","",IFERROR(INDEX(코드표!$K$2:$K$101,MATCH(TRIM(B33&amp;""),코드표!$J$2:$J$101,0)),"⚠"&amp;TRIM(B33&amp;"")))</f>
        <v/>
      </c>
      <c r="S33" s="10">
        <f>IF(TRIM(K33&amp;"")="","",IFERROR(INDEX(코드표!$K$2:$K$101,MATCH(TRIM(K33&amp;""),코드표!$J$2:$J$101,0)),"⚠"&amp;TRIM(K33&amp;"")))</f>
        <v/>
      </c>
      <c r="T33" s="10">
        <f>IF(TRIM(M33&amp;"")="","",IF(ISNUMBER(MATCH(TRIM(M33&amp;""),코드표!$C$2:$C$11,0)),TRIM(M33&amp;""),"⚠"&amp;TRIM(M33&amp;"")))</f>
        <v/>
      </c>
      <c r="U33" s="10">
        <f>IF(TRIM(L33&amp;"")="","",IFERROR(INDEX(코드표!$G$2:$G$101,MATCH(TRIM(L33&amp;""),코드표!$F$2:$F$101,0)),"⚠"&amp;TRIM(L33&amp;"")))</f>
        <v/>
      </c>
      <c r="V33" s="10">
        <f>IF(AND(ISNUMBER(H33),ISNUMBER(I33)),I33-H33+1,"")</f>
        <v/>
      </c>
      <c r="W33" s="17">
        <f>IF(ISNUMBER(H33),MAX(0,MIN(IF(ISNUMBER(I33),I33,EOMONTH(요약!$B$3,0)),EOMONTH(요약!$B$3,0))-MAX(H33,요약!$B$3)+1),0)</f>
        <v/>
      </c>
      <c r="X33" s="10">
        <f>IF(OR(NOT(ISNUMBER(H33)),Q33=""),"",IF(TODAY()&lt;H33,"파견예정",IF(AND(ISNUMBER(I33),TODAY()&gt;I33),"파견종료","파견중")))</f>
        <v/>
      </c>
      <c r="Y33" s="10">
        <f>IF(OR(Q33="",X33=""),"",Q33&amp;"|"&amp;X33)</f>
        <v/>
      </c>
      <c r="Z33" s="10">
        <f>IF(AND(Q33&lt;&gt;"",W33&gt;0),Q33&amp;"|월","")</f>
        <v/>
      </c>
      <c r="AA33" s="10">
        <f>IF(COUNTA(B33:N33)=0,"",IF(Q33="","등록번호 없음",IF(LEFT(R33,1)="⚠","모병원명 미등록",IF(S33="","파견병원 입력",IF(LEFT(S33,1)="⚠","파견병원명 미등록",IF(LEFT(U33,1)="⚠","파견과목 미등록",IF(OR(T33="",LEFT(T33,1)="⚠"),"파견근거 확인",IF(NOT(AND(ISNUMBER(H33),ISNUMBER(I33))),"날짜 형식/누락",IF(I33&lt;H33,"종료일&lt;시작일","")))))))))</f>
        <v/>
      </c>
      <c r="AB33" s="11">
        <f>IF(ISNUMBER(SEARCH("다기관",TRIM(N33&amp;" "&amp;O33))),IFERROR(DATE(VALUE(MID(TRIM(N33&amp;" "&amp;O33),1,4)),VALUE(MID(TRIM(N33&amp;" "&amp;O33),6,2)),VALUE(MID(TRIM(N33&amp;" "&amp;O33),9,2))),IF(ISNUMBER(H33),H33,"")),"")</f>
        <v/>
      </c>
      <c r="AC33" s="11">
        <f>IF(ISNUMBER(SEARCH("다기관",TRIM(N33&amp;" "&amp;O33))),IFERROR(DATE(VALUE(MID(TRIM(N33&amp;" "&amp;O33),12,4)),VALUE(MID(TRIM(N33&amp;" "&amp;O33),17,2)),VALUE(MID(TRIM(N33&amp;" "&amp;O33),20,2))),IF(ISNUMBER(I33),I33,"")),"")</f>
        <v/>
      </c>
      <c r="AD33" s="17">
        <f>IF(AND(ISNUMBER(AB33),ISNUMBER(AC33)),MAX(0,MIN(AC33,EOMONTH(요약!$B$3,0))-MAX(AB33,요약!$B$3)+1),0)</f>
        <v/>
      </c>
      <c r="AE33" s="10">
        <f>IF(AND(Q33&lt;&gt;"",ISNUMBER(AB33)),Q33&amp;"|다기관","")</f>
        <v/>
      </c>
    </row>
    <row r="34">
      <c r="A34" s="15">
        <f>IF(F34="","",ROW()-3)</f>
        <v/>
      </c>
      <c r="B34" s="5" t="n"/>
      <c r="C34" s="15" t="n"/>
      <c r="D34" s="5" t="n"/>
      <c r="E34" s="15" t="n"/>
      <c r="F34" s="5" t="n"/>
      <c r="G34" s="6" t="n"/>
      <c r="H34" s="16" t="n"/>
      <c r="I34" s="16" t="n"/>
      <c r="J34" s="15">
        <f>IF(AND(ISNUMBER(H34),ISNUMBER(I34)),I34-H34+1,"")</f>
        <v/>
      </c>
      <c r="K34" s="5" t="n"/>
      <c r="L34" s="5" t="n"/>
      <c r="M34" s="5" t="n"/>
      <c r="N34" s="5" t="n"/>
      <c r="O34" s="5" t="n"/>
      <c r="Q34" s="10">
        <f>IF(TRIM(G34&amp;"")="","",TRIM(G34&amp;""))</f>
        <v/>
      </c>
      <c r="R34" s="10">
        <f>IF(TRIM(B34&amp;"")="","",IFERROR(INDEX(코드표!$K$2:$K$101,MATCH(TRIM(B34&amp;""),코드표!$J$2:$J$101,0)),"⚠"&amp;TRIM(B34&amp;"")))</f>
        <v/>
      </c>
      <c r="S34" s="10">
        <f>IF(TRIM(K34&amp;"")="","",IFERROR(INDEX(코드표!$K$2:$K$101,MATCH(TRIM(K34&amp;""),코드표!$J$2:$J$101,0)),"⚠"&amp;TRIM(K34&amp;"")))</f>
        <v/>
      </c>
      <c r="T34" s="10">
        <f>IF(TRIM(M34&amp;"")="","",IF(ISNUMBER(MATCH(TRIM(M34&amp;""),코드표!$C$2:$C$11,0)),TRIM(M34&amp;""),"⚠"&amp;TRIM(M34&amp;"")))</f>
        <v/>
      </c>
      <c r="U34" s="10">
        <f>IF(TRIM(L34&amp;"")="","",IFERROR(INDEX(코드표!$G$2:$G$101,MATCH(TRIM(L34&amp;""),코드표!$F$2:$F$101,0)),"⚠"&amp;TRIM(L34&amp;"")))</f>
        <v/>
      </c>
      <c r="V34" s="10">
        <f>IF(AND(ISNUMBER(H34),ISNUMBER(I34)),I34-H34+1,"")</f>
        <v/>
      </c>
      <c r="W34" s="17">
        <f>IF(ISNUMBER(H34),MAX(0,MIN(IF(ISNUMBER(I34),I34,EOMONTH(요약!$B$3,0)),EOMONTH(요약!$B$3,0))-MAX(H34,요약!$B$3)+1),0)</f>
        <v/>
      </c>
      <c r="X34" s="10">
        <f>IF(OR(NOT(ISNUMBER(H34)),Q34=""),"",IF(TODAY()&lt;H34,"파견예정",IF(AND(ISNUMBER(I34),TODAY()&gt;I34),"파견종료","파견중")))</f>
        <v/>
      </c>
      <c r="Y34" s="10">
        <f>IF(OR(Q34="",X34=""),"",Q34&amp;"|"&amp;X34)</f>
        <v/>
      </c>
      <c r="Z34" s="10">
        <f>IF(AND(Q34&lt;&gt;"",W34&gt;0),Q34&amp;"|월","")</f>
        <v/>
      </c>
      <c r="AA34" s="10">
        <f>IF(COUNTA(B34:N34)=0,"",IF(Q34="","등록번호 없음",IF(LEFT(R34,1)="⚠","모병원명 미등록",IF(S34="","파견병원 입력",IF(LEFT(S34,1)="⚠","파견병원명 미등록",IF(LEFT(U34,1)="⚠","파견과목 미등록",IF(OR(T34="",LEFT(T34,1)="⚠"),"파견근거 확인",IF(NOT(AND(ISNUMBER(H34),ISNUMBER(I34))),"날짜 형식/누락",IF(I34&lt;H34,"종료일&lt;시작일","")))))))))</f>
        <v/>
      </c>
      <c r="AB34" s="11">
        <f>IF(ISNUMBER(SEARCH("다기관",TRIM(N34&amp;" "&amp;O34))),IFERROR(DATE(VALUE(MID(TRIM(N34&amp;" "&amp;O34),1,4)),VALUE(MID(TRIM(N34&amp;" "&amp;O34),6,2)),VALUE(MID(TRIM(N34&amp;" "&amp;O34),9,2))),IF(ISNUMBER(H34),H34,"")),"")</f>
        <v/>
      </c>
      <c r="AC34" s="11">
        <f>IF(ISNUMBER(SEARCH("다기관",TRIM(N34&amp;" "&amp;O34))),IFERROR(DATE(VALUE(MID(TRIM(N34&amp;" "&amp;O34),12,4)),VALUE(MID(TRIM(N34&amp;" "&amp;O34),17,2)),VALUE(MID(TRIM(N34&amp;" "&amp;O34),20,2))),IF(ISNUMBER(I34),I34,"")),"")</f>
        <v/>
      </c>
      <c r="AD34" s="17">
        <f>IF(AND(ISNUMBER(AB34),ISNUMBER(AC34)),MAX(0,MIN(AC34,EOMONTH(요약!$B$3,0))-MAX(AB34,요약!$B$3)+1),0)</f>
        <v/>
      </c>
      <c r="AE34" s="10">
        <f>IF(AND(Q34&lt;&gt;"",ISNUMBER(AB34)),Q34&amp;"|다기관","")</f>
        <v/>
      </c>
    </row>
    <row r="35">
      <c r="A35" s="15">
        <f>IF(F35="","",ROW()-3)</f>
        <v/>
      </c>
      <c r="B35" s="5" t="n"/>
      <c r="C35" s="15" t="n"/>
      <c r="D35" s="5" t="n"/>
      <c r="E35" s="15" t="n"/>
      <c r="F35" s="5" t="n"/>
      <c r="G35" s="6" t="n"/>
      <c r="H35" s="16" t="n"/>
      <c r="I35" s="16" t="n"/>
      <c r="J35" s="15">
        <f>IF(AND(ISNUMBER(H35),ISNUMBER(I35)),I35-H35+1,"")</f>
        <v/>
      </c>
      <c r="K35" s="5" t="n"/>
      <c r="L35" s="5" t="n"/>
      <c r="M35" s="5" t="n"/>
      <c r="N35" s="5" t="n"/>
      <c r="O35" s="5" t="n"/>
      <c r="Q35" s="10">
        <f>IF(TRIM(G35&amp;"")="","",TRIM(G35&amp;""))</f>
        <v/>
      </c>
      <c r="R35" s="10">
        <f>IF(TRIM(B35&amp;"")="","",IFERROR(INDEX(코드표!$K$2:$K$101,MATCH(TRIM(B35&amp;""),코드표!$J$2:$J$101,0)),"⚠"&amp;TRIM(B35&amp;"")))</f>
        <v/>
      </c>
      <c r="S35" s="10">
        <f>IF(TRIM(K35&amp;"")="","",IFERROR(INDEX(코드표!$K$2:$K$101,MATCH(TRIM(K35&amp;""),코드표!$J$2:$J$101,0)),"⚠"&amp;TRIM(K35&amp;"")))</f>
        <v/>
      </c>
      <c r="T35" s="10">
        <f>IF(TRIM(M35&amp;"")="","",IF(ISNUMBER(MATCH(TRIM(M35&amp;""),코드표!$C$2:$C$11,0)),TRIM(M35&amp;""),"⚠"&amp;TRIM(M35&amp;"")))</f>
        <v/>
      </c>
      <c r="U35" s="10">
        <f>IF(TRIM(L35&amp;"")="","",IFERROR(INDEX(코드표!$G$2:$G$101,MATCH(TRIM(L35&amp;""),코드표!$F$2:$F$101,0)),"⚠"&amp;TRIM(L35&amp;"")))</f>
        <v/>
      </c>
      <c r="V35" s="10">
        <f>IF(AND(ISNUMBER(H35),ISNUMBER(I35)),I35-H35+1,"")</f>
        <v/>
      </c>
      <c r="W35" s="17">
        <f>IF(ISNUMBER(H35),MAX(0,MIN(IF(ISNUMBER(I35),I35,EOMONTH(요약!$B$3,0)),EOMONTH(요약!$B$3,0))-MAX(H35,요약!$B$3)+1),0)</f>
        <v/>
      </c>
      <c r="X35" s="10">
        <f>IF(OR(NOT(ISNUMBER(H35)),Q35=""),"",IF(TODAY()&lt;H35,"파견예정",IF(AND(ISNUMBER(I35),TODAY()&gt;I35),"파견종료","파견중")))</f>
        <v/>
      </c>
      <c r="Y35" s="10">
        <f>IF(OR(Q35="",X35=""),"",Q35&amp;"|"&amp;X35)</f>
        <v/>
      </c>
      <c r="Z35" s="10">
        <f>IF(AND(Q35&lt;&gt;"",W35&gt;0),Q35&amp;"|월","")</f>
        <v/>
      </c>
      <c r="AA35" s="10">
        <f>IF(COUNTA(B35:N35)=0,"",IF(Q35="","등록번호 없음",IF(LEFT(R35,1)="⚠","모병원명 미등록",IF(S35="","파견병원 입력",IF(LEFT(S35,1)="⚠","파견병원명 미등록",IF(LEFT(U35,1)="⚠","파견과목 미등록",IF(OR(T35="",LEFT(T35,1)="⚠"),"파견근거 확인",IF(NOT(AND(ISNUMBER(H35),ISNUMBER(I35))),"날짜 형식/누락",IF(I35&lt;H35,"종료일&lt;시작일","")))))))))</f>
        <v/>
      </c>
      <c r="AB35" s="11">
        <f>IF(ISNUMBER(SEARCH("다기관",TRIM(N35&amp;" "&amp;O35))),IFERROR(DATE(VALUE(MID(TRIM(N35&amp;" "&amp;O35),1,4)),VALUE(MID(TRIM(N35&amp;" "&amp;O35),6,2)),VALUE(MID(TRIM(N35&amp;" "&amp;O35),9,2))),IF(ISNUMBER(H35),H35,"")),"")</f>
        <v/>
      </c>
      <c r="AC35" s="11">
        <f>IF(ISNUMBER(SEARCH("다기관",TRIM(N35&amp;" "&amp;O35))),IFERROR(DATE(VALUE(MID(TRIM(N35&amp;" "&amp;O35),12,4)),VALUE(MID(TRIM(N35&amp;" "&amp;O35),17,2)),VALUE(MID(TRIM(N35&amp;" "&amp;O35),20,2))),IF(ISNUMBER(I35),I35,"")),"")</f>
        <v/>
      </c>
      <c r="AD35" s="17">
        <f>IF(AND(ISNUMBER(AB35),ISNUMBER(AC35)),MAX(0,MIN(AC35,EOMONTH(요약!$B$3,0))-MAX(AB35,요약!$B$3)+1),0)</f>
        <v/>
      </c>
      <c r="AE35" s="10">
        <f>IF(AND(Q35&lt;&gt;"",ISNUMBER(AB35)),Q35&amp;"|다기관","")</f>
        <v/>
      </c>
    </row>
    <row r="36">
      <c r="A36" s="15">
        <f>IF(F36="","",ROW()-3)</f>
        <v/>
      </c>
      <c r="B36" s="5" t="n"/>
      <c r="C36" s="15" t="n"/>
      <c r="D36" s="5" t="n"/>
      <c r="E36" s="15" t="n"/>
      <c r="F36" s="5" t="n"/>
      <c r="G36" s="6" t="n"/>
      <c r="H36" s="16" t="n"/>
      <c r="I36" s="16" t="n"/>
      <c r="J36" s="15">
        <f>IF(AND(ISNUMBER(H36),ISNUMBER(I36)),I36-H36+1,"")</f>
        <v/>
      </c>
      <c r="K36" s="5" t="n"/>
      <c r="L36" s="5" t="n"/>
      <c r="M36" s="5" t="n"/>
      <c r="N36" s="5" t="n"/>
      <c r="O36" s="5" t="n"/>
      <c r="Q36" s="10">
        <f>IF(TRIM(G36&amp;"")="","",TRIM(G36&amp;""))</f>
        <v/>
      </c>
      <c r="R36" s="10">
        <f>IF(TRIM(B36&amp;"")="","",IFERROR(INDEX(코드표!$K$2:$K$101,MATCH(TRIM(B36&amp;""),코드표!$J$2:$J$101,0)),"⚠"&amp;TRIM(B36&amp;"")))</f>
        <v/>
      </c>
      <c r="S36" s="10">
        <f>IF(TRIM(K36&amp;"")="","",IFERROR(INDEX(코드표!$K$2:$K$101,MATCH(TRIM(K36&amp;""),코드표!$J$2:$J$101,0)),"⚠"&amp;TRIM(K36&amp;"")))</f>
        <v/>
      </c>
      <c r="T36" s="10">
        <f>IF(TRIM(M36&amp;"")="","",IF(ISNUMBER(MATCH(TRIM(M36&amp;""),코드표!$C$2:$C$11,0)),TRIM(M36&amp;""),"⚠"&amp;TRIM(M36&amp;"")))</f>
        <v/>
      </c>
      <c r="U36" s="10">
        <f>IF(TRIM(L36&amp;"")="","",IFERROR(INDEX(코드표!$G$2:$G$101,MATCH(TRIM(L36&amp;""),코드표!$F$2:$F$101,0)),"⚠"&amp;TRIM(L36&amp;"")))</f>
        <v/>
      </c>
      <c r="V36" s="10">
        <f>IF(AND(ISNUMBER(H36),ISNUMBER(I36)),I36-H36+1,"")</f>
        <v/>
      </c>
      <c r="W36" s="17">
        <f>IF(ISNUMBER(H36),MAX(0,MIN(IF(ISNUMBER(I36),I36,EOMONTH(요약!$B$3,0)),EOMONTH(요약!$B$3,0))-MAX(H36,요약!$B$3)+1),0)</f>
        <v/>
      </c>
      <c r="X36" s="10">
        <f>IF(OR(NOT(ISNUMBER(H36)),Q36=""),"",IF(TODAY()&lt;H36,"파견예정",IF(AND(ISNUMBER(I36),TODAY()&gt;I36),"파견종료","파견중")))</f>
        <v/>
      </c>
      <c r="Y36" s="10">
        <f>IF(OR(Q36="",X36=""),"",Q36&amp;"|"&amp;X36)</f>
        <v/>
      </c>
      <c r="Z36" s="10">
        <f>IF(AND(Q36&lt;&gt;"",W36&gt;0),Q36&amp;"|월","")</f>
        <v/>
      </c>
      <c r="AA36" s="10">
        <f>IF(COUNTA(B36:N36)=0,"",IF(Q36="","등록번호 없음",IF(LEFT(R36,1)="⚠","모병원명 미등록",IF(S36="","파견병원 입력",IF(LEFT(S36,1)="⚠","파견병원명 미등록",IF(LEFT(U36,1)="⚠","파견과목 미등록",IF(OR(T36="",LEFT(T36,1)="⚠"),"파견근거 확인",IF(NOT(AND(ISNUMBER(H36),ISNUMBER(I36))),"날짜 형식/누락",IF(I36&lt;H36,"종료일&lt;시작일","")))))))))</f>
        <v/>
      </c>
      <c r="AB36" s="11">
        <f>IF(ISNUMBER(SEARCH("다기관",TRIM(N36&amp;" "&amp;O36))),IFERROR(DATE(VALUE(MID(TRIM(N36&amp;" "&amp;O36),1,4)),VALUE(MID(TRIM(N36&amp;" "&amp;O36),6,2)),VALUE(MID(TRIM(N36&amp;" "&amp;O36),9,2))),IF(ISNUMBER(H36),H36,"")),"")</f>
        <v/>
      </c>
      <c r="AC36" s="11">
        <f>IF(ISNUMBER(SEARCH("다기관",TRIM(N36&amp;" "&amp;O36))),IFERROR(DATE(VALUE(MID(TRIM(N36&amp;" "&amp;O36),12,4)),VALUE(MID(TRIM(N36&amp;" "&amp;O36),17,2)),VALUE(MID(TRIM(N36&amp;" "&amp;O36),20,2))),IF(ISNUMBER(I36),I36,"")),"")</f>
        <v/>
      </c>
      <c r="AD36" s="17">
        <f>IF(AND(ISNUMBER(AB36),ISNUMBER(AC36)),MAX(0,MIN(AC36,EOMONTH(요약!$B$3,0))-MAX(AB36,요약!$B$3)+1),0)</f>
        <v/>
      </c>
      <c r="AE36" s="10">
        <f>IF(AND(Q36&lt;&gt;"",ISNUMBER(AB36)),Q36&amp;"|다기관","")</f>
        <v/>
      </c>
    </row>
    <row r="37">
      <c r="A37" s="15">
        <f>IF(F37="","",ROW()-3)</f>
        <v/>
      </c>
      <c r="B37" s="5" t="n"/>
      <c r="C37" s="15" t="n"/>
      <c r="D37" s="5" t="n"/>
      <c r="E37" s="15" t="n"/>
      <c r="F37" s="5" t="n"/>
      <c r="G37" s="6" t="n"/>
      <c r="H37" s="16" t="n"/>
      <c r="I37" s="16" t="n"/>
      <c r="J37" s="15">
        <f>IF(AND(ISNUMBER(H37),ISNUMBER(I37)),I37-H37+1,"")</f>
        <v/>
      </c>
      <c r="K37" s="5" t="n"/>
      <c r="L37" s="5" t="n"/>
      <c r="M37" s="5" t="n"/>
      <c r="N37" s="5" t="n"/>
      <c r="O37" s="5" t="n"/>
      <c r="Q37" s="10">
        <f>IF(TRIM(G37&amp;"")="","",TRIM(G37&amp;""))</f>
        <v/>
      </c>
      <c r="R37" s="10">
        <f>IF(TRIM(B37&amp;"")="","",IFERROR(INDEX(코드표!$K$2:$K$101,MATCH(TRIM(B37&amp;""),코드표!$J$2:$J$101,0)),"⚠"&amp;TRIM(B37&amp;"")))</f>
        <v/>
      </c>
      <c r="S37" s="10">
        <f>IF(TRIM(K37&amp;"")="","",IFERROR(INDEX(코드표!$K$2:$K$101,MATCH(TRIM(K37&amp;""),코드표!$J$2:$J$101,0)),"⚠"&amp;TRIM(K37&amp;"")))</f>
        <v/>
      </c>
      <c r="T37" s="10">
        <f>IF(TRIM(M37&amp;"")="","",IF(ISNUMBER(MATCH(TRIM(M37&amp;""),코드표!$C$2:$C$11,0)),TRIM(M37&amp;""),"⚠"&amp;TRIM(M37&amp;"")))</f>
        <v/>
      </c>
      <c r="U37" s="10">
        <f>IF(TRIM(L37&amp;"")="","",IFERROR(INDEX(코드표!$G$2:$G$101,MATCH(TRIM(L37&amp;""),코드표!$F$2:$F$101,0)),"⚠"&amp;TRIM(L37&amp;"")))</f>
        <v/>
      </c>
      <c r="V37" s="10">
        <f>IF(AND(ISNUMBER(H37),ISNUMBER(I37)),I37-H37+1,"")</f>
        <v/>
      </c>
      <c r="W37" s="17">
        <f>IF(ISNUMBER(H37),MAX(0,MIN(IF(ISNUMBER(I37),I37,EOMONTH(요약!$B$3,0)),EOMONTH(요약!$B$3,0))-MAX(H37,요약!$B$3)+1),0)</f>
        <v/>
      </c>
      <c r="X37" s="10">
        <f>IF(OR(NOT(ISNUMBER(H37)),Q37=""),"",IF(TODAY()&lt;H37,"파견예정",IF(AND(ISNUMBER(I37),TODAY()&gt;I37),"파견종료","파견중")))</f>
        <v/>
      </c>
      <c r="Y37" s="10">
        <f>IF(OR(Q37="",X37=""),"",Q37&amp;"|"&amp;X37)</f>
        <v/>
      </c>
      <c r="Z37" s="10">
        <f>IF(AND(Q37&lt;&gt;"",W37&gt;0),Q37&amp;"|월","")</f>
        <v/>
      </c>
      <c r="AA37" s="10">
        <f>IF(COUNTA(B37:N37)=0,"",IF(Q37="","등록번호 없음",IF(LEFT(R37,1)="⚠","모병원명 미등록",IF(S37="","파견병원 입력",IF(LEFT(S37,1)="⚠","파견병원명 미등록",IF(LEFT(U37,1)="⚠","파견과목 미등록",IF(OR(T37="",LEFT(T37,1)="⚠"),"파견근거 확인",IF(NOT(AND(ISNUMBER(H37),ISNUMBER(I37))),"날짜 형식/누락",IF(I37&lt;H37,"종료일&lt;시작일","")))))))))</f>
        <v/>
      </c>
      <c r="AB37" s="11">
        <f>IF(ISNUMBER(SEARCH("다기관",TRIM(N37&amp;" "&amp;O37))),IFERROR(DATE(VALUE(MID(TRIM(N37&amp;" "&amp;O37),1,4)),VALUE(MID(TRIM(N37&amp;" "&amp;O37),6,2)),VALUE(MID(TRIM(N37&amp;" "&amp;O37),9,2))),IF(ISNUMBER(H37),H37,"")),"")</f>
        <v/>
      </c>
      <c r="AC37" s="11">
        <f>IF(ISNUMBER(SEARCH("다기관",TRIM(N37&amp;" "&amp;O37))),IFERROR(DATE(VALUE(MID(TRIM(N37&amp;" "&amp;O37),12,4)),VALUE(MID(TRIM(N37&amp;" "&amp;O37),17,2)),VALUE(MID(TRIM(N37&amp;" "&amp;O37),20,2))),IF(ISNUMBER(I37),I37,"")),"")</f>
        <v/>
      </c>
      <c r="AD37" s="17">
        <f>IF(AND(ISNUMBER(AB37),ISNUMBER(AC37)),MAX(0,MIN(AC37,EOMONTH(요약!$B$3,0))-MAX(AB37,요약!$B$3)+1),0)</f>
        <v/>
      </c>
      <c r="AE37" s="10">
        <f>IF(AND(Q37&lt;&gt;"",ISNUMBER(AB37)),Q37&amp;"|다기관","")</f>
        <v/>
      </c>
    </row>
    <row r="38">
      <c r="A38" s="15">
        <f>IF(F38="","",ROW()-3)</f>
        <v/>
      </c>
      <c r="B38" s="5" t="n"/>
      <c r="C38" s="15" t="n"/>
      <c r="D38" s="5" t="n"/>
      <c r="E38" s="15" t="n"/>
      <c r="F38" s="5" t="n"/>
      <c r="G38" s="6" t="n"/>
      <c r="H38" s="16" t="n"/>
      <c r="I38" s="16" t="n"/>
      <c r="J38" s="15">
        <f>IF(AND(ISNUMBER(H38),ISNUMBER(I38)),I38-H38+1,"")</f>
        <v/>
      </c>
      <c r="K38" s="5" t="n"/>
      <c r="L38" s="5" t="n"/>
      <c r="M38" s="5" t="n"/>
      <c r="N38" s="5" t="n"/>
      <c r="O38" s="5" t="n"/>
      <c r="Q38" s="10">
        <f>IF(TRIM(G38&amp;"")="","",TRIM(G38&amp;""))</f>
        <v/>
      </c>
      <c r="R38" s="10">
        <f>IF(TRIM(B38&amp;"")="","",IFERROR(INDEX(코드표!$K$2:$K$101,MATCH(TRIM(B38&amp;""),코드표!$J$2:$J$101,0)),"⚠"&amp;TRIM(B38&amp;"")))</f>
        <v/>
      </c>
      <c r="S38" s="10">
        <f>IF(TRIM(K38&amp;"")="","",IFERROR(INDEX(코드표!$K$2:$K$101,MATCH(TRIM(K38&amp;""),코드표!$J$2:$J$101,0)),"⚠"&amp;TRIM(K38&amp;"")))</f>
        <v/>
      </c>
      <c r="T38" s="10">
        <f>IF(TRIM(M38&amp;"")="","",IF(ISNUMBER(MATCH(TRIM(M38&amp;""),코드표!$C$2:$C$11,0)),TRIM(M38&amp;""),"⚠"&amp;TRIM(M38&amp;"")))</f>
        <v/>
      </c>
      <c r="U38" s="10">
        <f>IF(TRIM(L38&amp;"")="","",IFERROR(INDEX(코드표!$G$2:$G$101,MATCH(TRIM(L38&amp;""),코드표!$F$2:$F$101,0)),"⚠"&amp;TRIM(L38&amp;"")))</f>
        <v/>
      </c>
      <c r="V38" s="10">
        <f>IF(AND(ISNUMBER(H38),ISNUMBER(I38)),I38-H38+1,"")</f>
        <v/>
      </c>
      <c r="W38" s="17">
        <f>IF(ISNUMBER(H38),MAX(0,MIN(IF(ISNUMBER(I38),I38,EOMONTH(요약!$B$3,0)),EOMONTH(요약!$B$3,0))-MAX(H38,요약!$B$3)+1),0)</f>
        <v/>
      </c>
      <c r="X38" s="10">
        <f>IF(OR(NOT(ISNUMBER(H38)),Q38=""),"",IF(TODAY()&lt;H38,"파견예정",IF(AND(ISNUMBER(I38),TODAY()&gt;I38),"파견종료","파견중")))</f>
        <v/>
      </c>
      <c r="Y38" s="10">
        <f>IF(OR(Q38="",X38=""),"",Q38&amp;"|"&amp;X38)</f>
        <v/>
      </c>
      <c r="Z38" s="10">
        <f>IF(AND(Q38&lt;&gt;"",W38&gt;0),Q38&amp;"|월","")</f>
        <v/>
      </c>
      <c r="AA38" s="10">
        <f>IF(COUNTA(B38:N38)=0,"",IF(Q38="","등록번호 없음",IF(LEFT(R38,1)="⚠","모병원명 미등록",IF(S38="","파견병원 입력",IF(LEFT(S38,1)="⚠","파견병원명 미등록",IF(LEFT(U38,1)="⚠","파견과목 미등록",IF(OR(T38="",LEFT(T38,1)="⚠"),"파견근거 확인",IF(NOT(AND(ISNUMBER(H38),ISNUMBER(I38))),"날짜 형식/누락",IF(I38&lt;H38,"종료일&lt;시작일","")))))))))</f>
        <v/>
      </c>
      <c r="AB38" s="11">
        <f>IF(ISNUMBER(SEARCH("다기관",TRIM(N38&amp;" "&amp;O38))),IFERROR(DATE(VALUE(MID(TRIM(N38&amp;" "&amp;O38),1,4)),VALUE(MID(TRIM(N38&amp;" "&amp;O38),6,2)),VALUE(MID(TRIM(N38&amp;" "&amp;O38),9,2))),IF(ISNUMBER(H38),H38,"")),"")</f>
        <v/>
      </c>
      <c r="AC38" s="11">
        <f>IF(ISNUMBER(SEARCH("다기관",TRIM(N38&amp;" "&amp;O38))),IFERROR(DATE(VALUE(MID(TRIM(N38&amp;" "&amp;O38),12,4)),VALUE(MID(TRIM(N38&amp;" "&amp;O38),17,2)),VALUE(MID(TRIM(N38&amp;" "&amp;O38),20,2))),IF(ISNUMBER(I38),I38,"")),"")</f>
        <v/>
      </c>
      <c r="AD38" s="17">
        <f>IF(AND(ISNUMBER(AB38),ISNUMBER(AC38)),MAX(0,MIN(AC38,EOMONTH(요약!$B$3,0))-MAX(AB38,요약!$B$3)+1),0)</f>
        <v/>
      </c>
      <c r="AE38" s="10">
        <f>IF(AND(Q38&lt;&gt;"",ISNUMBER(AB38)),Q38&amp;"|다기관","")</f>
        <v/>
      </c>
    </row>
    <row r="39">
      <c r="A39" s="15">
        <f>IF(F39="","",ROW()-3)</f>
        <v/>
      </c>
      <c r="B39" s="5" t="n"/>
      <c r="C39" s="15" t="n"/>
      <c r="D39" s="5" t="n"/>
      <c r="E39" s="15" t="n"/>
      <c r="F39" s="5" t="n"/>
      <c r="G39" s="6" t="n"/>
      <c r="H39" s="16" t="n"/>
      <c r="I39" s="16" t="n"/>
      <c r="J39" s="15">
        <f>IF(AND(ISNUMBER(H39),ISNUMBER(I39)),I39-H39+1,"")</f>
        <v/>
      </c>
      <c r="K39" s="5" t="n"/>
      <c r="L39" s="5" t="n"/>
      <c r="M39" s="5" t="n"/>
      <c r="N39" s="5" t="n"/>
      <c r="O39" s="5" t="n"/>
      <c r="Q39" s="10">
        <f>IF(TRIM(G39&amp;"")="","",TRIM(G39&amp;""))</f>
        <v/>
      </c>
      <c r="R39" s="10">
        <f>IF(TRIM(B39&amp;"")="","",IFERROR(INDEX(코드표!$K$2:$K$101,MATCH(TRIM(B39&amp;""),코드표!$J$2:$J$101,0)),"⚠"&amp;TRIM(B39&amp;"")))</f>
        <v/>
      </c>
      <c r="S39" s="10">
        <f>IF(TRIM(K39&amp;"")="","",IFERROR(INDEX(코드표!$K$2:$K$101,MATCH(TRIM(K39&amp;""),코드표!$J$2:$J$101,0)),"⚠"&amp;TRIM(K39&amp;"")))</f>
        <v/>
      </c>
      <c r="T39" s="10">
        <f>IF(TRIM(M39&amp;"")="","",IF(ISNUMBER(MATCH(TRIM(M39&amp;""),코드표!$C$2:$C$11,0)),TRIM(M39&amp;""),"⚠"&amp;TRIM(M39&amp;"")))</f>
        <v/>
      </c>
      <c r="U39" s="10">
        <f>IF(TRIM(L39&amp;"")="","",IFERROR(INDEX(코드표!$G$2:$G$101,MATCH(TRIM(L39&amp;""),코드표!$F$2:$F$101,0)),"⚠"&amp;TRIM(L39&amp;"")))</f>
        <v/>
      </c>
      <c r="V39" s="10">
        <f>IF(AND(ISNUMBER(H39),ISNUMBER(I39)),I39-H39+1,"")</f>
        <v/>
      </c>
      <c r="W39" s="17">
        <f>IF(ISNUMBER(H39),MAX(0,MIN(IF(ISNUMBER(I39),I39,EOMONTH(요약!$B$3,0)),EOMONTH(요약!$B$3,0))-MAX(H39,요약!$B$3)+1),0)</f>
        <v/>
      </c>
      <c r="X39" s="10">
        <f>IF(OR(NOT(ISNUMBER(H39)),Q39=""),"",IF(TODAY()&lt;H39,"파견예정",IF(AND(ISNUMBER(I39),TODAY()&gt;I39),"파견종료","파견중")))</f>
        <v/>
      </c>
      <c r="Y39" s="10">
        <f>IF(OR(Q39="",X39=""),"",Q39&amp;"|"&amp;X39)</f>
        <v/>
      </c>
      <c r="Z39" s="10">
        <f>IF(AND(Q39&lt;&gt;"",W39&gt;0),Q39&amp;"|월","")</f>
        <v/>
      </c>
      <c r="AA39" s="10">
        <f>IF(COUNTA(B39:N39)=0,"",IF(Q39="","등록번호 없음",IF(LEFT(R39,1)="⚠","모병원명 미등록",IF(S39="","파견병원 입력",IF(LEFT(S39,1)="⚠","파견병원명 미등록",IF(LEFT(U39,1)="⚠","파견과목 미등록",IF(OR(T39="",LEFT(T39,1)="⚠"),"파견근거 확인",IF(NOT(AND(ISNUMBER(H39),ISNUMBER(I39))),"날짜 형식/누락",IF(I39&lt;H39,"종료일&lt;시작일","")))))))))</f>
        <v/>
      </c>
      <c r="AB39" s="11">
        <f>IF(ISNUMBER(SEARCH("다기관",TRIM(N39&amp;" "&amp;O39))),IFERROR(DATE(VALUE(MID(TRIM(N39&amp;" "&amp;O39),1,4)),VALUE(MID(TRIM(N39&amp;" "&amp;O39),6,2)),VALUE(MID(TRIM(N39&amp;" "&amp;O39),9,2))),IF(ISNUMBER(H39),H39,"")),"")</f>
        <v/>
      </c>
      <c r="AC39" s="11">
        <f>IF(ISNUMBER(SEARCH("다기관",TRIM(N39&amp;" "&amp;O39))),IFERROR(DATE(VALUE(MID(TRIM(N39&amp;" "&amp;O39),12,4)),VALUE(MID(TRIM(N39&amp;" "&amp;O39),17,2)),VALUE(MID(TRIM(N39&amp;" "&amp;O39),20,2))),IF(ISNUMBER(I39),I39,"")),"")</f>
        <v/>
      </c>
      <c r="AD39" s="17">
        <f>IF(AND(ISNUMBER(AB39),ISNUMBER(AC39)),MAX(0,MIN(AC39,EOMONTH(요약!$B$3,0))-MAX(AB39,요약!$B$3)+1),0)</f>
        <v/>
      </c>
      <c r="AE39" s="10">
        <f>IF(AND(Q39&lt;&gt;"",ISNUMBER(AB39)),Q39&amp;"|다기관","")</f>
        <v/>
      </c>
    </row>
    <row r="40">
      <c r="A40" s="15">
        <f>IF(F40="","",ROW()-3)</f>
        <v/>
      </c>
      <c r="B40" s="5" t="n"/>
      <c r="C40" s="15" t="n"/>
      <c r="D40" s="5" t="n"/>
      <c r="E40" s="15" t="n"/>
      <c r="F40" s="5" t="n"/>
      <c r="G40" s="6" t="n"/>
      <c r="H40" s="16" t="n"/>
      <c r="I40" s="16" t="n"/>
      <c r="J40" s="15">
        <f>IF(AND(ISNUMBER(H40),ISNUMBER(I40)),I40-H40+1,"")</f>
        <v/>
      </c>
      <c r="K40" s="5" t="n"/>
      <c r="L40" s="5" t="n"/>
      <c r="M40" s="5" t="n"/>
      <c r="N40" s="5" t="n"/>
      <c r="O40" s="5" t="n"/>
      <c r="Q40" s="10">
        <f>IF(TRIM(G40&amp;"")="","",TRIM(G40&amp;""))</f>
        <v/>
      </c>
      <c r="R40" s="10">
        <f>IF(TRIM(B40&amp;"")="","",IFERROR(INDEX(코드표!$K$2:$K$101,MATCH(TRIM(B40&amp;""),코드표!$J$2:$J$101,0)),"⚠"&amp;TRIM(B40&amp;"")))</f>
        <v/>
      </c>
      <c r="S40" s="10">
        <f>IF(TRIM(K40&amp;"")="","",IFERROR(INDEX(코드표!$K$2:$K$101,MATCH(TRIM(K40&amp;""),코드표!$J$2:$J$101,0)),"⚠"&amp;TRIM(K40&amp;"")))</f>
        <v/>
      </c>
      <c r="T40" s="10">
        <f>IF(TRIM(M40&amp;"")="","",IF(ISNUMBER(MATCH(TRIM(M40&amp;""),코드표!$C$2:$C$11,0)),TRIM(M40&amp;""),"⚠"&amp;TRIM(M40&amp;"")))</f>
        <v/>
      </c>
      <c r="U40" s="10">
        <f>IF(TRIM(L40&amp;"")="","",IFERROR(INDEX(코드표!$G$2:$G$101,MATCH(TRIM(L40&amp;""),코드표!$F$2:$F$101,0)),"⚠"&amp;TRIM(L40&amp;"")))</f>
        <v/>
      </c>
      <c r="V40" s="10">
        <f>IF(AND(ISNUMBER(H40),ISNUMBER(I40)),I40-H40+1,"")</f>
        <v/>
      </c>
      <c r="W40" s="17">
        <f>IF(ISNUMBER(H40),MAX(0,MIN(IF(ISNUMBER(I40),I40,EOMONTH(요약!$B$3,0)),EOMONTH(요약!$B$3,0))-MAX(H40,요약!$B$3)+1),0)</f>
        <v/>
      </c>
      <c r="X40" s="10">
        <f>IF(OR(NOT(ISNUMBER(H40)),Q40=""),"",IF(TODAY()&lt;H40,"파견예정",IF(AND(ISNUMBER(I40),TODAY()&gt;I40),"파견종료","파견중")))</f>
        <v/>
      </c>
      <c r="Y40" s="10">
        <f>IF(OR(Q40="",X40=""),"",Q40&amp;"|"&amp;X40)</f>
        <v/>
      </c>
      <c r="Z40" s="10">
        <f>IF(AND(Q40&lt;&gt;"",W40&gt;0),Q40&amp;"|월","")</f>
        <v/>
      </c>
      <c r="AA40" s="10">
        <f>IF(COUNTA(B40:N40)=0,"",IF(Q40="","등록번호 없음",IF(LEFT(R40,1)="⚠","모병원명 미등록",IF(S40="","파견병원 입력",IF(LEFT(S40,1)="⚠","파견병원명 미등록",IF(LEFT(U40,1)="⚠","파견과목 미등록",IF(OR(T40="",LEFT(T40,1)="⚠"),"파견근거 확인",IF(NOT(AND(ISNUMBER(H40),ISNUMBER(I40))),"날짜 형식/누락",IF(I40&lt;H40,"종료일&lt;시작일","")))))))))</f>
        <v/>
      </c>
      <c r="AB40" s="11">
        <f>IF(ISNUMBER(SEARCH("다기관",TRIM(N40&amp;" "&amp;O40))),IFERROR(DATE(VALUE(MID(TRIM(N40&amp;" "&amp;O40),1,4)),VALUE(MID(TRIM(N40&amp;" "&amp;O40),6,2)),VALUE(MID(TRIM(N40&amp;" "&amp;O40),9,2))),IF(ISNUMBER(H40),H40,"")),"")</f>
        <v/>
      </c>
      <c r="AC40" s="11">
        <f>IF(ISNUMBER(SEARCH("다기관",TRIM(N40&amp;" "&amp;O40))),IFERROR(DATE(VALUE(MID(TRIM(N40&amp;" "&amp;O40),12,4)),VALUE(MID(TRIM(N40&amp;" "&amp;O40),17,2)),VALUE(MID(TRIM(N40&amp;" "&amp;O40),20,2))),IF(ISNUMBER(I40),I40,"")),"")</f>
        <v/>
      </c>
      <c r="AD40" s="17">
        <f>IF(AND(ISNUMBER(AB40),ISNUMBER(AC40)),MAX(0,MIN(AC40,EOMONTH(요약!$B$3,0))-MAX(AB40,요약!$B$3)+1),0)</f>
        <v/>
      </c>
      <c r="AE40" s="10">
        <f>IF(AND(Q40&lt;&gt;"",ISNUMBER(AB40)),Q40&amp;"|다기관","")</f>
        <v/>
      </c>
    </row>
    <row r="41">
      <c r="A41" s="15">
        <f>IF(F41="","",ROW()-3)</f>
        <v/>
      </c>
      <c r="B41" s="5" t="n"/>
      <c r="C41" s="15" t="n"/>
      <c r="D41" s="5" t="n"/>
      <c r="E41" s="15" t="n"/>
      <c r="F41" s="5" t="n"/>
      <c r="G41" s="6" t="n"/>
      <c r="H41" s="16" t="n"/>
      <c r="I41" s="16" t="n"/>
      <c r="J41" s="15">
        <f>IF(AND(ISNUMBER(H41),ISNUMBER(I41)),I41-H41+1,"")</f>
        <v/>
      </c>
      <c r="K41" s="5" t="n"/>
      <c r="L41" s="5" t="n"/>
      <c r="M41" s="5" t="n"/>
      <c r="N41" s="5" t="n"/>
      <c r="O41" s="5" t="n"/>
      <c r="Q41" s="10">
        <f>IF(TRIM(G41&amp;"")="","",TRIM(G41&amp;""))</f>
        <v/>
      </c>
      <c r="R41" s="10">
        <f>IF(TRIM(B41&amp;"")="","",IFERROR(INDEX(코드표!$K$2:$K$101,MATCH(TRIM(B41&amp;""),코드표!$J$2:$J$101,0)),"⚠"&amp;TRIM(B41&amp;"")))</f>
        <v/>
      </c>
      <c r="S41" s="10">
        <f>IF(TRIM(K41&amp;"")="","",IFERROR(INDEX(코드표!$K$2:$K$101,MATCH(TRIM(K41&amp;""),코드표!$J$2:$J$101,0)),"⚠"&amp;TRIM(K41&amp;"")))</f>
        <v/>
      </c>
      <c r="T41" s="10">
        <f>IF(TRIM(M41&amp;"")="","",IF(ISNUMBER(MATCH(TRIM(M41&amp;""),코드표!$C$2:$C$11,0)),TRIM(M41&amp;""),"⚠"&amp;TRIM(M41&amp;"")))</f>
        <v/>
      </c>
      <c r="U41" s="10">
        <f>IF(TRIM(L41&amp;"")="","",IFERROR(INDEX(코드표!$G$2:$G$101,MATCH(TRIM(L41&amp;""),코드표!$F$2:$F$101,0)),"⚠"&amp;TRIM(L41&amp;"")))</f>
        <v/>
      </c>
      <c r="V41" s="10">
        <f>IF(AND(ISNUMBER(H41),ISNUMBER(I41)),I41-H41+1,"")</f>
        <v/>
      </c>
      <c r="W41" s="17">
        <f>IF(ISNUMBER(H41),MAX(0,MIN(IF(ISNUMBER(I41),I41,EOMONTH(요약!$B$3,0)),EOMONTH(요약!$B$3,0))-MAX(H41,요약!$B$3)+1),0)</f>
        <v/>
      </c>
      <c r="X41" s="10">
        <f>IF(OR(NOT(ISNUMBER(H41)),Q41=""),"",IF(TODAY()&lt;H41,"파견예정",IF(AND(ISNUMBER(I41),TODAY()&gt;I41),"파견종료","파견중")))</f>
        <v/>
      </c>
      <c r="Y41" s="10">
        <f>IF(OR(Q41="",X41=""),"",Q41&amp;"|"&amp;X41)</f>
        <v/>
      </c>
      <c r="Z41" s="10">
        <f>IF(AND(Q41&lt;&gt;"",W41&gt;0),Q41&amp;"|월","")</f>
        <v/>
      </c>
      <c r="AA41" s="10">
        <f>IF(COUNTA(B41:N41)=0,"",IF(Q41="","등록번호 없음",IF(LEFT(R41,1)="⚠","모병원명 미등록",IF(S41="","파견병원 입력",IF(LEFT(S41,1)="⚠","파견병원명 미등록",IF(LEFT(U41,1)="⚠","파견과목 미등록",IF(OR(T41="",LEFT(T41,1)="⚠"),"파견근거 확인",IF(NOT(AND(ISNUMBER(H41),ISNUMBER(I41))),"날짜 형식/누락",IF(I41&lt;H41,"종료일&lt;시작일","")))))))))</f>
        <v/>
      </c>
      <c r="AB41" s="11">
        <f>IF(ISNUMBER(SEARCH("다기관",TRIM(N41&amp;" "&amp;O41))),IFERROR(DATE(VALUE(MID(TRIM(N41&amp;" "&amp;O41),1,4)),VALUE(MID(TRIM(N41&amp;" "&amp;O41),6,2)),VALUE(MID(TRIM(N41&amp;" "&amp;O41),9,2))),IF(ISNUMBER(H41),H41,"")),"")</f>
        <v/>
      </c>
      <c r="AC41" s="11">
        <f>IF(ISNUMBER(SEARCH("다기관",TRIM(N41&amp;" "&amp;O41))),IFERROR(DATE(VALUE(MID(TRIM(N41&amp;" "&amp;O41),12,4)),VALUE(MID(TRIM(N41&amp;" "&amp;O41),17,2)),VALUE(MID(TRIM(N41&amp;" "&amp;O41),20,2))),IF(ISNUMBER(I41),I41,"")),"")</f>
        <v/>
      </c>
      <c r="AD41" s="17">
        <f>IF(AND(ISNUMBER(AB41),ISNUMBER(AC41)),MAX(0,MIN(AC41,EOMONTH(요약!$B$3,0))-MAX(AB41,요약!$B$3)+1),0)</f>
        <v/>
      </c>
      <c r="AE41" s="10">
        <f>IF(AND(Q41&lt;&gt;"",ISNUMBER(AB41)),Q41&amp;"|다기관","")</f>
        <v/>
      </c>
    </row>
    <row r="42">
      <c r="A42" s="15">
        <f>IF(F42="","",ROW()-3)</f>
        <v/>
      </c>
      <c r="B42" s="5" t="n"/>
      <c r="C42" s="15" t="n"/>
      <c r="D42" s="5" t="n"/>
      <c r="E42" s="15" t="n"/>
      <c r="F42" s="5" t="n"/>
      <c r="G42" s="6" t="n"/>
      <c r="H42" s="16" t="n"/>
      <c r="I42" s="16" t="n"/>
      <c r="J42" s="15">
        <f>IF(AND(ISNUMBER(H42),ISNUMBER(I42)),I42-H42+1,"")</f>
        <v/>
      </c>
      <c r="K42" s="5" t="n"/>
      <c r="L42" s="5" t="n"/>
      <c r="M42" s="5" t="n"/>
      <c r="N42" s="5" t="n"/>
      <c r="O42" s="5" t="n"/>
      <c r="Q42" s="10">
        <f>IF(TRIM(G42&amp;"")="","",TRIM(G42&amp;""))</f>
        <v/>
      </c>
      <c r="R42" s="10">
        <f>IF(TRIM(B42&amp;"")="","",IFERROR(INDEX(코드표!$K$2:$K$101,MATCH(TRIM(B42&amp;""),코드표!$J$2:$J$101,0)),"⚠"&amp;TRIM(B42&amp;"")))</f>
        <v/>
      </c>
      <c r="S42" s="10">
        <f>IF(TRIM(K42&amp;"")="","",IFERROR(INDEX(코드표!$K$2:$K$101,MATCH(TRIM(K42&amp;""),코드표!$J$2:$J$101,0)),"⚠"&amp;TRIM(K42&amp;"")))</f>
        <v/>
      </c>
      <c r="T42" s="10">
        <f>IF(TRIM(M42&amp;"")="","",IF(ISNUMBER(MATCH(TRIM(M42&amp;""),코드표!$C$2:$C$11,0)),TRIM(M42&amp;""),"⚠"&amp;TRIM(M42&amp;"")))</f>
        <v/>
      </c>
      <c r="U42" s="10">
        <f>IF(TRIM(L42&amp;"")="","",IFERROR(INDEX(코드표!$G$2:$G$101,MATCH(TRIM(L42&amp;""),코드표!$F$2:$F$101,0)),"⚠"&amp;TRIM(L42&amp;"")))</f>
        <v/>
      </c>
      <c r="V42" s="10">
        <f>IF(AND(ISNUMBER(H42),ISNUMBER(I42)),I42-H42+1,"")</f>
        <v/>
      </c>
      <c r="W42" s="17">
        <f>IF(ISNUMBER(H42),MAX(0,MIN(IF(ISNUMBER(I42),I42,EOMONTH(요약!$B$3,0)),EOMONTH(요약!$B$3,0))-MAX(H42,요약!$B$3)+1),0)</f>
        <v/>
      </c>
      <c r="X42" s="10">
        <f>IF(OR(NOT(ISNUMBER(H42)),Q42=""),"",IF(TODAY()&lt;H42,"파견예정",IF(AND(ISNUMBER(I42),TODAY()&gt;I42),"파견종료","파견중")))</f>
        <v/>
      </c>
      <c r="Y42" s="10">
        <f>IF(OR(Q42="",X42=""),"",Q42&amp;"|"&amp;X42)</f>
        <v/>
      </c>
      <c r="Z42" s="10">
        <f>IF(AND(Q42&lt;&gt;"",W42&gt;0),Q42&amp;"|월","")</f>
        <v/>
      </c>
      <c r="AA42" s="10">
        <f>IF(COUNTA(B42:N42)=0,"",IF(Q42="","등록번호 없음",IF(LEFT(R42,1)="⚠","모병원명 미등록",IF(S42="","파견병원 입력",IF(LEFT(S42,1)="⚠","파견병원명 미등록",IF(LEFT(U42,1)="⚠","파견과목 미등록",IF(OR(T42="",LEFT(T42,1)="⚠"),"파견근거 확인",IF(NOT(AND(ISNUMBER(H42),ISNUMBER(I42))),"날짜 형식/누락",IF(I42&lt;H42,"종료일&lt;시작일","")))))))))</f>
        <v/>
      </c>
      <c r="AB42" s="11">
        <f>IF(ISNUMBER(SEARCH("다기관",TRIM(N42&amp;" "&amp;O42))),IFERROR(DATE(VALUE(MID(TRIM(N42&amp;" "&amp;O42),1,4)),VALUE(MID(TRIM(N42&amp;" "&amp;O42),6,2)),VALUE(MID(TRIM(N42&amp;" "&amp;O42),9,2))),IF(ISNUMBER(H42),H42,"")),"")</f>
        <v/>
      </c>
      <c r="AC42" s="11">
        <f>IF(ISNUMBER(SEARCH("다기관",TRIM(N42&amp;" "&amp;O42))),IFERROR(DATE(VALUE(MID(TRIM(N42&amp;" "&amp;O42),12,4)),VALUE(MID(TRIM(N42&amp;" "&amp;O42),17,2)),VALUE(MID(TRIM(N42&amp;" "&amp;O42),20,2))),IF(ISNUMBER(I42),I42,"")),"")</f>
        <v/>
      </c>
      <c r="AD42" s="17">
        <f>IF(AND(ISNUMBER(AB42),ISNUMBER(AC42)),MAX(0,MIN(AC42,EOMONTH(요약!$B$3,0))-MAX(AB42,요약!$B$3)+1),0)</f>
        <v/>
      </c>
      <c r="AE42" s="10">
        <f>IF(AND(Q42&lt;&gt;"",ISNUMBER(AB42)),Q42&amp;"|다기관","")</f>
        <v/>
      </c>
    </row>
    <row r="43">
      <c r="A43" s="15">
        <f>IF(F43="","",ROW()-3)</f>
        <v/>
      </c>
      <c r="B43" s="5" t="n"/>
      <c r="C43" s="15" t="n"/>
      <c r="D43" s="5" t="n"/>
      <c r="E43" s="15" t="n"/>
      <c r="F43" s="5" t="n"/>
      <c r="G43" s="6" t="n"/>
      <c r="H43" s="16" t="n"/>
      <c r="I43" s="16" t="n"/>
      <c r="J43" s="15">
        <f>IF(AND(ISNUMBER(H43),ISNUMBER(I43)),I43-H43+1,"")</f>
        <v/>
      </c>
      <c r="K43" s="5" t="n"/>
      <c r="L43" s="5" t="n"/>
      <c r="M43" s="5" t="n"/>
      <c r="N43" s="5" t="n"/>
      <c r="O43" s="5" t="n"/>
      <c r="Q43" s="10">
        <f>IF(TRIM(G43&amp;"")="","",TRIM(G43&amp;""))</f>
        <v/>
      </c>
      <c r="R43" s="10">
        <f>IF(TRIM(B43&amp;"")="","",IFERROR(INDEX(코드표!$K$2:$K$101,MATCH(TRIM(B43&amp;""),코드표!$J$2:$J$101,0)),"⚠"&amp;TRIM(B43&amp;"")))</f>
        <v/>
      </c>
      <c r="S43" s="10">
        <f>IF(TRIM(K43&amp;"")="","",IFERROR(INDEX(코드표!$K$2:$K$101,MATCH(TRIM(K43&amp;""),코드표!$J$2:$J$101,0)),"⚠"&amp;TRIM(K43&amp;"")))</f>
        <v/>
      </c>
      <c r="T43" s="10">
        <f>IF(TRIM(M43&amp;"")="","",IF(ISNUMBER(MATCH(TRIM(M43&amp;""),코드표!$C$2:$C$11,0)),TRIM(M43&amp;""),"⚠"&amp;TRIM(M43&amp;"")))</f>
        <v/>
      </c>
      <c r="U43" s="10">
        <f>IF(TRIM(L43&amp;"")="","",IFERROR(INDEX(코드표!$G$2:$G$101,MATCH(TRIM(L43&amp;""),코드표!$F$2:$F$101,0)),"⚠"&amp;TRIM(L43&amp;"")))</f>
        <v/>
      </c>
      <c r="V43" s="10">
        <f>IF(AND(ISNUMBER(H43),ISNUMBER(I43)),I43-H43+1,"")</f>
        <v/>
      </c>
      <c r="W43" s="17">
        <f>IF(ISNUMBER(H43),MAX(0,MIN(IF(ISNUMBER(I43),I43,EOMONTH(요약!$B$3,0)),EOMONTH(요약!$B$3,0))-MAX(H43,요약!$B$3)+1),0)</f>
        <v/>
      </c>
      <c r="X43" s="10">
        <f>IF(OR(NOT(ISNUMBER(H43)),Q43=""),"",IF(TODAY()&lt;H43,"파견예정",IF(AND(ISNUMBER(I43),TODAY()&gt;I43),"파견종료","파견중")))</f>
        <v/>
      </c>
      <c r="Y43" s="10">
        <f>IF(OR(Q43="",X43=""),"",Q43&amp;"|"&amp;X43)</f>
        <v/>
      </c>
      <c r="Z43" s="10">
        <f>IF(AND(Q43&lt;&gt;"",W43&gt;0),Q43&amp;"|월","")</f>
        <v/>
      </c>
      <c r="AA43" s="10">
        <f>IF(COUNTA(B43:N43)=0,"",IF(Q43="","등록번호 없음",IF(LEFT(R43,1)="⚠","모병원명 미등록",IF(S43="","파견병원 입력",IF(LEFT(S43,1)="⚠","파견병원명 미등록",IF(LEFT(U43,1)="⚠","파견과목 미등록",IF(OR(T43="",LEFT(T43,1)="⚠"),"파견근거 확인",IF(NOT(AND(ISNUMBER(H43),ISNUMBER(I43))),"날짜 형식/누락",IF(I43&lt;H43,"종료일&lt;시작일","")))))))))</f>
        <v/>
      </c>
      <c r="AB43" s="11">
        <f>IF(ISNUMBER(SEARCH("다기관",TRIM(N43&amp;" "&amp;O43))),IFERROR(DATE(VALUE(MID(TRIM(N43&amp;" "&amp;O43),1,4)),VALUE(MID(TRIM(N43&amp;" "&amp;O43),6,2)),VALUE(MID(TRIM(N43&amp;" "&amp;O43),9,2))),IF(ISNUMBER(H43),H43,"")),"")</f>
        <v/>
      </c>
      <c r="AC43" s="11">
        <f>IF(ISNUMBER(SEARCH("다기관",TRIM(N43&amp;" "&amp;O43))),IFERROR(DATE(VALUE(MID(TRIM(N43&amp;" "&amp;O43),12,4)),VALUE(MID(TRIM(N43&amp;" "&amp;O43),17,2)),VALUE(MID(TRIM(N43&amp;" "&amp;O43),20,2))),IF(ISNUMBER(I43),I43,"")),"")</f>
        <v/>
      </c>
      <c r="AD43" s="17">
        <f>IF(AND(ISNUMBER(AB43),ISNUMBER(AC43)),MAX(0,MIN(AC43,EOMONTH(요약!$B$3,0))-MAX(AB43,요약!$B$3)+1),0)</f>
        <v/>
      </c>
      <c r="AE43" s="10">
        <f>IF(AND(Q43&lt;&gt;"",ISNUMBER(AB43)),Q43&amp;"|다기관","")</f>
        <v/>
      </c>
    </row>
    <row r="44">
      <c r="A44" s="15">
        <f>IF(F44="","",ROW()-3)</f>
        <v/>
      </c>
      <c r="B44" s="5" t="n"/>
      <c r="C44" s="15" t="n"/>
      <c r="D44" s="5" t="n"/>
      <c r="E44" s="15" t="n"/>
      <c r="F44" s="5" t="n"/>
      <c r="G44" s="6" t="n"/>
      <c r="H44" s="16" t="n"/>
      <c r="I44" s="16" t="n"/>
      <c r="J44" s="15">
        <f>IF(AND(ISNUMBER(H44),ISNUMBER(I44)),I44-H44+1,"")</f>
        <v/>
      </c>
      <c r="K44" s="5" t="n"/>
      <c r="L44" s="5" t="n"/>
      <c r="M44" s="5" t="n"/>
      <c r="N44" s="5" t="n"/>
      <c r="O44" s="5" t="n"/>
      <c r="Q44" s="10">
        <f>IF(TRIM(G44&amp;"")="","",TRIM(G44&amp;""))</f>
        <v/>
      </c>
      <c r="R44" s="10">
        <f>IF(TRIM(B44&amp;"")="","",IFERROR(INDEX(코드표!$K$2:$K$101,MATCH(TRIM(B44&amp;""),코드표!$J$2:$J$101,0)),"⚠"&amp;TRIM(B44&amp;"")))</f>
        <v/>
      </c>
      <c r="S44" s="10">
        <f>IF(TRIM(K44&amp;"")="","",IFERROR(INDEX(코드표!$K$2:$K$101,MATCH(TRIM(K44&amp;""),코드표!$J$2:$J$101,0)),"⚠"&amp;TRIM(K44&amp;"")))</f>
        <v/>
      </c>
      <c r="T44" s="10">
        <f>IF(TRIM(M44&amp;"")="","",IF(ISNUMBER(MATCH(TRIM(M44&amp;""),코드표!$C$2:$C$11,0)),TRIM(M44&amp;""),"⚠"&amp;TRIM(M44&amp;"")))</f>
        <v/>
      </c>
      <c r="U44" s="10">
        <f>IF(TRIM(L44&amp;"")="","",IFERROR(INDEX(코드표!$G$2:$G$101,MATCH(TRIM(L44&amp;""),코드표!$F$2:$F$101,0)),"⚠"&amp;TRIM(L44&amp;"")))</f>
        <v/>
      </c>
      <c r="V44" s="10">
        <f>IF(AND(ISNUMBER(H44),ISNUMBER(I44)),I44-H44+1,"")</f>
        <v/>
      </c>
      <c r="W44" s="17">
        <f>IF(ISNUMBER(H44),MAX(0,MIN(IF(ISNUMBER(I44),I44,EOMONTH(요약!$B$3,0)),EOMONTH(요약!$B$3,0))-MAX(H44,요약!$B$3)+1),0)</f>
        <v/>
      </c>
      <c r="X44" s="10">
        <f>IF(OR(NOT(ISNUMBER(H44)),Q44=""),"",IF(TODAY()&lt;H44,"파견예정",IF(AND(ISNUMBER(I44),TODAY()&gt;I44),"파견종료","파견중")))</f>
        <v/>
      </c>
      <c r="Y44" s="10">
        <f>IF(OR(Q44="",X44=""),"",Q44&amp;"|"&amp;X44)</f>
        <v/>
      </c>
      <c r="Z44" s="10">
        <f>IF(AND(Q44&lt;&gt;"",W44&gt;0),Q44&amp;"|월","")</f>
        <v/>
      </c>
      <c r="AA44" s="10">
        <f>IF(COUNTA(B44:N44)=0,"",IF(Q44="","등록번호 없음",IF(LEFT(R44,1)="⚠","모병원명 미등록",IF(S44="","파견병원 입력",IF(LEFT(S44,1)="⚠","파견병원명 미등록",IF(LEFT(U44,1)="⚠","파견과목 미등록",IF(OR(T44="",LEFT(T44,1)="⚠"),"파견근거 확인",IF(NOT(AND(ISNUMBER(H44),ISNUMBER(I44))),"날짜 형식/누락",IF(I44&lt;H44,"종료일&lt;시작일","")))))))))</f>
        <v/>
      </c>
      <c r="AB44" s="11">
        <f>IF(ISNUMBER(SEARCH("다기관",TRIM(N44&amp;" "&amp;O44))),IFERROR(DATE(VALUE(MID(TRIM(N44&amp;" "&amp;O44),1,4)),VALUE(MID(TRIM(N44&amp;" "&amp;O44),6,2)),VALUE(MID(TRIM(N44&amp;" "&amp;O44),9,2))),IF(ISNUMBER(H44),H44,"")),"")</f>
        <v/>
      </c>
      <c r="AC44" s="11">
        <f>IF(ISNUMBER(SEARCH("다기관",TRIM(N44&amp;" "&amp;O44))),IFERROR(DATE(VALUE(MID(TRIM(N44&amp;" "&amp;O44),12,4)),VALUE(MID(TRIM(N44&amp;" "&amp;O44),17,2)),VALUE(MID(TRIM(N44&amp;" "&amp;O44),20,2))),IF(ISNUMBER(I44),I44,"")),"")</f>
        <v/>
      </c>
      <c r="AD44" s="17">
        <f>IF(AND(ISNUMBER(AB44),ISNUMBER(AC44)),MAX(0,MIN(AC44,EOMONTH(요약!$B$3,0))-MAX(AB44,요약!$B$3)+1),0)</f>
        <v/>
      </c>
      <c r="AE44" s="10">
        <f>IF(AND(Q44&lt;&gt;"",ISNUMBER(AB44)),Q44&amp;"|다기관","")</f>
        <v/>
      </c>
    </row>
    <row r="45">
      <c r="A45" s="15">
        <f>IF(F45="","",ROW()-3)</f>
        <v/>
      </c>
      <c r="B45" s="5" t="n"/>
      <c r="C45" s="15" t="n"/>
      <c r="D45" s="5" t="n"/>
      <c r="E45" s="15" t="n"/>
      <c r="F45" s="5" t="n"/>
      <c r="G45" s="6" t="n"/>
      <c r="H45" s="16" t="n"/>
      <c r="I45" s="16" t="n"/>
      <c r="J45" s="15">
        <f>IF(AND(ISNUMBER(H45),ISNUMBER(I45)),I45-H45+1,"")</f>
        <v/>
      </c>
      <c r="K45" s="5" t="n"/>
      <c r="L45" s="5" t="n"/>
      <c r="M45" s="5" t="n"/>
      <c r="N45" s="5" t="n"/>
      <c r="O45" s="5" t="n"/>
      <c r="Q45" s="10">
        <f>IF(TRIM(G45&amp;"")="","",TRIM(G45&amp;""))</f>
        <v/>
      </c>
      <c r="R45" s="10">
        <f>IF(TRIM(B45&amp;"")="","",IFERROR(INDEX(코드표!$K$2:$K$101,MATCH(TRIM(B45&amp;""),코드표!$J$2:$J$101,0)),"⚠"&amp;TRIM(B45&amp;"")))</f>
        <v/>
      </c>
      <c r="S45" s="10">
        <f>IF(TRIM(K45&amp;"")="","",IFERROR(INDEX(코드표!$K$2:$K$101,MATCH(TRIM(K45&amp;""),코드표!$J$2:$J$101,0)),"⚠"&amp;TRIM(K45&amp;"")))</f>
        <v/>
      </c>
      <c r="T45" s="10">
        <f>IF(TRIM(M45&amp;"")="","",IF(ISNUMBER(MATCH(TRIM(M45&amp;""),코드표!$C$2:$C$11,0)),TRIM(M45&amp;""),"⚠"&amp;TRIM(M45&amp;"")))</f>
        <v/>
      </c>
      <c r="U45" s="10">
        <f>IF(TRIM(L45&amp;"")="","",IFERROR(INDEX(코드표!$G$2:$G$101,MATCH(TRIM(L45&amp;""),코드표!$F$2:$F$101,0)),"⚠"&amp;TRIM(L45&amp;"")))</f>
        <v/>
      </c>
      <c r="V45" s="10">
        <f>IF(AND(ISNUMBER(H45),ISNUMBER(I45)),I45-H45+1,"")</f>
        <v/>
      </c>
      <c r="W45" s="17">
        <f>IF(ISNUMBER(H45),MAX(0,MIN(IF(ISNUMBER(I45),I45,EOMONTH(요약!$B$3,0)),EOMONTH(요약!$B$3,0))-MAX(H45,요약!$B$3)+1),0)</f>
        <v/>
      </c>
      <c r="X45" s="10">
        <f>IF(OR(NOT(ISNUMBER(H45)),Q45=""),"",IF(TODAY()&lt;H45,"파견예정",IF(AND(ISNUMBER(I45),TODAY()&gt;I45),"파견종료","파견중")))</f>
        <v/>
      </c>
      <c r="Y45" s="10">
        <f>IF(OR(Q45="",X45=""),"",Q45&amp;"|"&amp;X45)</f>
        <v/>
      </c>
      <c r="Z45" s="10">
        <f>IF(AND(Q45&lt;&gt;"",W45&gt;0),Q45&amp;"|월","")</f>
        <v/>
      </c>
      <c r="AA45" s="10">
        <f>IF(COUNTA(B45:N45)=0,"",IF(Q45="","등록번호 없음",IF(LEFT(R45,1)="⚠","모병원명 미등록",IF(S45="","파견병원 입력",IF(LEFT(S45,1)="⚠","파견병원명 미등록",IF(LEFT(U45,1)="⚠","파견과목 미등록",IF(OR(T45="",LEFT(T45,1)="⚠"),"파견근거 확인",IF(NOT(AND(ISNUMBER(H45),ISNUMBER(I45))),"날짜 형식/누락",IF(I45&lt;H45,"종료일&lt;시작일","")))))))))</f>
        <v/>
      </c>
      <c r="AB45" s="11">
        <f>IF(ISNUMBER(SEARCH("다기관",TRIM(N45&amp;" "&amp;O45))),IFERROR(DATE(VALUE(MID(TRIM(N45&amp;" "&amp;O45),1,4)),VALUE(MID(TRIM(N45&amp;" "&amp;O45),6,2)),VALUE(MID(TRIM(N45&amp;" "&amp;O45),9,2))),IF(ISNUMBER(H45),H45,"")),"")</f>
        <v/>
      </c>
      <c r="AC45" s="11">
        <f>IF(ISNUMBER(SEARCH("다기관",TRIM(N45&amp;" "&amp;O45))),IFERROR(DATE(VALUE(MID(TRIM(N45&amp;" "&amp;O45),12,4)),VALUE(MID(TRIM(N45&amp;" "&amp;O45),17,2)),VALUE(MID(TRIM(N45&amp;" "&amp;O45),20,2))),IF(ISNUMBER(I45),I45,"")),"")</f>
        <v/>
      </c>
      <c r="AD45" s="17">
        <f>IF(AND(ISNUMBER(AB45),ISNUMBER(AC45)),MAX(0,MIN(AC45,EOMONTH(요약!$B$3,0))-MAX(AB45,요약!$B$3)+1),0)</f>
        <v/>
      </c>
      <c r="AE45" s="10">
        <f>IF(AND(Q45&lt;&gt;"",ISNUMBER(AB45)),Q45&amp;"|다기관","")</f>
        <v/>
      </c>
    </row>
    <row r="46">
      <c r="A46" s="15">
        <f>IF(F46="","",ROW()-3)</f>
        <v/>
      </c>
      <c r="B46" s="5" t="n"/>
      <c r="C46" s="15" t="n"/>
      <c r="D46" s="5" t="n"/>
      <c r="E46" s="15" t="n"/>
      <c r="F46" s="5" t="n"/>
      <c r="G46" s="6" t="n"/>
      <c r="H46" s="16" t="n"/>
      <c r="I46" s="16" t="n"/>
      <c r="J46" s="15">
        <f>IF(AND(ISNUMBER(H46),ISNUMBER(I46)),I46-H46+1,"")</f>
        <v/>
      </c>
      <c r="K46" s="5" t="n"/>
      <c r="L46" s="5" t="n"/>
      <c r="M46" s="5" t="n"/>
      <c r="N46" s="5" t="n"/>
      <c r="O46" s="5" t="n"/>
      <c r="Q46" s="10">
        <f>IF(TRIM(G46&amp;"")="","",TRIM(G46&amp;""))</f>
        <v/>
      </c>
      <c r="R46" s="10">
        <f>IF(TRIM(B46&amp;"")="","",IFERROR(INDEX(코드표!$K$2:$K$101,MATCH(TRIM(B46&amp;""),코드표!$J$2:$J$101,0)),"⚠"&amp;TRIM(B46&amp;"")))</f>
        <v/>
      </c>
      <c r="S46" s="10">
        <f>IF(TRIM(K46&amp;"")="","",IFERROR(INDEX(코드표!$K$2:$K$101,MATCH(TRIM(K46&amp;""),코드표!$J$2:$J$101,0)),"⚠"&amp;TRIM(K46&amp;"")))</f>
        <v/>
      </c>
      <c r="T46" s="10">
        <f>IF(TRIM(M46&amp;"")="","",IF(ISNUMBER(MATCH(TRIM(M46&amp;""),코드표!$C$2:$C$11,0)),TRIM(M46&amp;""),"⚠"&amp;TRIM(M46&amp;"")))</f>
        <v/>
      </c>
      <c r="U46" s="10">
        <f>IF(TRIM(L46&amp;"")="","",IFERROR(INDEX(코드표!$G$2:$G$101,MATCH(TRIM(L46&amp;""),코드표!$F$2:$F$101,0)),"⚠"&amp;TRIM(L46&amp;"")))</f>
        <v/>
      </c>
      <c r="V46" s="10">
        <f>IF(AND(ISNUMBER(H46),ISNUMBER(I46)),I46-H46+1,"")</f>
        <v/>
      </c>
      <c r="W46" s="17">
        <f>IF(ISNUMBER(H46),MAX(0,MIN(IF(ISNUMBER(I46),I46,EOMONTH(요약!$B$3,0)),EOMONTH(요약!$B$3,0))-MAX(H46,요약!$B$3)+1),0)</f>
        <v/>
      </c>
      <c r="X46" s="10">
        <f>IF(OR(NOT(ISNUMBER(H46)),Q46=""),"",IF(TODAY()&lt;H46,"파견예정",IF(AND(ISNUMBER(I46),TODAY()&gt;I46),"파견종료","파견중")))</f>
        <v/>
      </c>
      <c r="Y46" s="10">
        <f>IF(OR(Q46="",X46=""),"",Q46&amp;"|"&amp;X46)</f>
        <v/>
      </c>
      <c r="Z46" s="10">
        <f>IF(AND(Q46&lt;&gt;"",W46&gt;0),Q46&amp;"|월","")</f>
        <v/>
      </c>
      <c r="AA46" s="10">
        <f>IF(COUNTA(B46:N46)=0,"",IF(Q46="","등록번호 없음",IF(LEFT(R46,1)="⚠","모병원명 미등록",IF(S46="","파견병원 입력",IF(LEFT(S46,1)="⚠","파견병원명 미등록",IF(LEFT(U46,1)="⚠","파견과목 미등록",IF(OR(T46="",LEFT(T46,1)="⚠"),"파견근거 확인",IF(NOT(AND(ISNUMBER(H46),ISNUMBER(I46))),"날짜 형식/누락",IF(I46&lt;H46,"종료일&lt;시작일","")))))))))</f>
        <v/>
      </c>
      <c r="AB46" s="11">
        <f>IF(ISNUMBER(SEARCH("다기관",TRIM(N46&amp;" "&amp;O46))),IFERROR(DATE(VALUE(MID(TRIM(N46&amp;" "&amp;O46),1,4)),VALUE(MID(TRIM(N46&amp;" "&amp;O46),6,2)),VALUE(MID(TRIM(N46&amp;" "&amp;O46),9,2))),IF(ISNUMBER(H46),H46,"")),"")</f>
        <v/>
      </c>
      <c r="AC46" s="11">
        <f>IF(ISNUMBER(SEARCH("다기관",TRIM(N46&amp;" "&amp;O46))),IFERROR(DATE(VALUE(MID(TRIM(N46&amp;" "&amp;O46),12,4)),VALUE(MID(TRIM(N46&amp;" "&amp;O46),17,2)),VALUE(MID(TRIM(N46&amp;" "&amp;O46),20,2))),IF(ISNUMBER(I46),I46,"")),"")</f>
        <v/>
      </c>
      <c r="AD46" s="17">
        <f>IF(AND(ISNUMBER(AB46),ISNUMBER(AC46)),MAX(0,MIN(AC46,EOMONTH(요약!$B$3,0))-MAX(AB46,요약!$B$3)+1),0)</f>
        <v/>
      </c>
      <c r="AE46" s="10">
        <f>IF(AND(Q46&lt;&gt;"",ISNUMBER(AB46)),Q46&amp;"|다기관","")</f>
        <v/>
      </c>
    </row>
    <row r="47">
      <c r="A47" s="15">
        <f>IF(F47="","",ROW()-3)</f>
        <v/>
      </c>
      <c r="B47" s="5" t="n"/>
      <c r="C47" s="15" t="n"/>
      <c r="D47" s="5" t="n"/>
      <c r="E47" s="15" t="n"/>
      <c r="F47" s="5" t="n"/>
      <c r="G47" s="6" t="n"/>
      <c r="H47" s="16" t="n"/>
      <c r="I47" s="16" t="n"/>
      <c r="J47" s="15">
        <f>IF(AND(ISNUMBER(H47),ISNUMBER(I47)),I47-H47+1,"")</f>
        <v/>
      </c>
      <c r="K47" s="5" t="n"/>
      <c r="L47" s="5" t="n"/>
      <c r="M47" s="5" t="n"/>
      <c r="N47" s="5" t="n"/>
      <c r="O47" s="5" t="n"/>
      <c r="Q47" s="10">
        <f>IF(TRIM(G47&amp;"")="","",TRIM(G47&amp;""))</f>
        <v/>
      </c>
      <c r="R47" s="10">
        <f>IF(TRIM(B47&amp;"")="","",IFERROR(INDEX(코드표!$K$2:$K$101,MATCH(TRIM(B47&amp;""),코드표!$J$2:$J$101,0)),"⚠"&amp;TRIM(B47&amp;"")))</f>
        <v/>
      </c>
      <c r="S47" s="10">
        <f>IF(TRIM(K47&amp;"")="","",IFERROR(INDEX(코드표!$K$2:$K$101,MATCH(TRIM(K47&amp;""),코드표!$J$2:$J$101,0)),"⚠"&amp;TRIM(K47&amp;"")))</f>
        <v/>
      </c>
      <c r="T47" s="10">
        <f>IF(TRIM(M47&amp;"")="","",IF(ISNUMBER(MATCH(TRIM(M47&amp;""),코드표!$C$2:$C$11,0)),TRIM(M47&amp;""),"⚠"&amp;TRIM(M47&amp;"")))</f>
        <v/>
      </c>
      <c r="U47" s="10">
        <f>IF(TRIM(L47&amp;"")="","",IFERROR(INDEX(코드표!$G$2:$G$101,MATCH(TRIM(L47&amp;""),코드표!$F$2:$F$101,0)),"⚠"&amp;TRIM(L47&amp;"")))</f>
        <v/>
      </c>
      <c r="V47" s="10">
        <f>IF(AND(ISNUMBER(H47),ISNUMBER(I47)),I47-H47+1,"")</f>
        <v/>
      </c>
      <c r="W47" s="17">
        <f>IF(ISNUMBER(H47),MAX(0,MIN(IF(ISNUMBER(I47),I47,EOMONTH(요약!$B$3,0)),EOMONTH(요약!$B$3,0))-MAX(H47,요약!$B$3)+1),0)</f>
        <v/>
      </c>
      <c r="X47" s="10">
        <f>IF(OR(NOT(ISNUMBER(H47)),Q47=""),"",IF(TODAY()&lt;H47,"파견예정",IF(AND(ISNUMBER(I47),TODAY()&gt;I47),"파견종료","파견중")))</f>
        <v/>
      </c>
      <c r="Y47" s="10">
        <f>IF(OR(Q47="",X47=""),"",Q47&amp;"|"&amp;X47)</f>
        <v/>
      </c>
      <c r="Z47" s="10">
        <f>IF(AND(Q47&lt;&gt;"",W47&gt;0),Q47&amp;"|월","")</f>
        <v/>
      </c>
      <c r="AA47" s="10">
        <f>IF(COUNTA(B47:N47)=0,"",IF(Q47="","등록번호 없음",IF(LEFT(R47,1)="⚠","모병원명 미등록",IF(S47="","파견병원 입력",IF(LEFT(S47,1)="⚠","파견병원명 미등록",IF(LEFT(U47,1)="⚠","파견과목 미등록",IF(OR(T47="",LEFT(T47,1)="⚠"),"파견근거 확인",IF(NOT(AND(ISNUMBER(H47),ISNUMBER(I47))),"날짜 형식/누락",IF(I47&lt;H47,"종료일&lt;시작일","")))))))))</f>
        <v/>
      </c>
      <c r="AB47" s="11">
        <f>IF(ISNUMBER(SEARCH("다기관",TRIM(N47&amp;" "&amp;O47))),IFERROR(DATE(VALUE(MID(TRIM(N47&amp;" "&amp;O47),1,4)),VALUE(MID(TRIM(N47&amp;" "&amp;O47),6,2)),VALUE(MID(TRIM(N47&amp;" "&amp;O47),9,2))),IF(ISNUMBER(H47),H47,"")),"")</f>
        <v/>
      </c>
      <c r="AC47" s="11">
        <f>IF(ISNUMBER(SEARCH("다기관",TRIM(N47&amp;" "&amp;O47))),IFERROR(DATE(VALUE(MID(TRIM(N47&amp;" "&amp;O47),12,4)),VALUE(MID(TRIM(N47&amp;" "&amp;O47),17,2)),VALUE(MID(TRIM(N47&amp;" "&amp;O47),20,2))),IF(ISNUMBER(I47),I47,"")),"")</f>
        <v/>
      </c>
      <c r="AD47" s="17">
        <f>IF(AND(ISNUMBER(AB47),ISNUMBER(AC47)),MAX(0,MIN(AC47,EOMONTH(요약!$B$3,0))-MAX(AB47,요약!$B$3)+1),0)</f>
        <v/>
      </c>
      <c r="AE47" s="10">
        <f>IF(AND(Q47&lt;&gt;"",ISNUMBER(AB47)),Q47&amp;"|다기관","")</f>
        <v/>
      </c>
    </row>
    <row r="48">
      <c r="A48" s="15">
        <f>IF(F48="","",ROW()-3)</f>
        <v/>
      </c>
      <c r="B48" s="5" t="n"/>
      <c r="C48" s="15" t="n"/>
      <c r="D48" s="5" t="n"/>
      <c r="E48" s="15" t="n"/>
      <c r="F48" s="5" t="n"/>
      <c r="G48" s="6" t="n"/>
      <c r="H48" s="16" t="n"/>
      <c r="I48" s="16" t="n"/>
      <c r="J48" s="15">
        <f>IF(AND(ISNUMBER(H48),ISNUMBER(I48)),I48-H48+1,"")</f>
        <v/>
      </c>
      <c r="K48" s="5" t="n"/>
      <c r="L48" s="5" t="n"/>
      <c r="M48" s="5" t="n"/>
      <c r="N48" s="5" t="n"/>
      <c r="O48" s="5" t="n"/>
      <c r="Q48" s="10">
        <f>IF(TRIM(G48&amp;"")="","",TRIM(G48&amp;""))</f>
        <v/>
      </c>
      <c r="R48" s="10">
        <f>IF(TRIM(B48&amp;"")="","",IFERROR(INDEX(코드표!$K$2:$K$101,MATCH(TRIM(B48&amp;""),코드표!$J$2:$J$101,0)),"⚠"&amp;TRIM(B48&amp;"")))</f>
        <v/>
      </c>
      <c r="S48" s="10">
        <f>IF(TRIM(K48&amp;"")="","",IFERROR(INDEX(코드표!$K$2:$K$101,MATCH(TRIM(K48&amp;""),코드표!$J$2:$J$101,0)),"⚠"&amp;TRIM(K48&amp;"")))</f>
        <v/>
      </c>
      <c r="T48" s="10">
        <f>IF(TRIM(M48&amp;"")="","",IF(ISNUMBER(MATCH(TRIM(M48&amp;""),코드표!$C$2:$C$11,0)),TRIM(M48&amp;""),"⚠"&amp;TRIM(M48&amp;"")))</f>
        <v/>
      </c>
      <c r="U48" s="10">
        <f>IF(TRIM(L48&amp;"")="","",IFERROR(INDEX(코드표!$G$2:$G$101,MATCH(TRIM(L48&amp;""),코드표!$F$2:$F$101,0)),"⚠"&amp;TRIM(L48&amp;"")))</f>
        <v/>
      </c>
      <c r="V48" s="10">
        <f>IF(AND(ISNUMBER(H48),ISNUMBER(I48)),I48-H48+1,"")</f>
        <v/>
      </c>
      <c r="W48" s="17">
        <f>IF(ISNUMBER(H48),MAX(0,MIN(IF(ISNUMBER(I48),I48,EOMONTH(요약!$B$3,0)),EOMONTH(요약!$B$3,0))-MAX(H48,요약!$B$3)+1),0)</f>
        <v/>
      </c>
      <c r="X48" s="10">
        <f>IF(OR(NOT(ISNUMBER(H48)),Q48=""),"",IF(TODAY()&lt;H48,"파견예정",IF(AND(ISNUMBER(I48),TODAY()&gt;I48),"파견종료","파견중")))</f>
        <v/>
      </c>
      <c r="Y48" s="10">
        <f>IF(OR(Q48="",X48=""),"",Q48&amp;"|"&amp;X48)</f>
        <v/>
      </c>
      <c r="Z48" s="10">
        <f>IF(AND(Q48&lt;&gt;"",W48&gt;0),Q48&amp;"|월","")</f>
        <v/>
      </c>
      <c r="AA48" s="10">
        <f>IF(COUNTA(B48:N48)=0,"",IF(Q48="","등록번호 없음",IF(LEFT(R48,1)="⚠","모병원명 미등록",IF(S48="","파견병원 입력",IF(LEFT(S48,1)="⚠","파견병원명 미등록",IF(LEFT(U48,1)="⚠","파견과목 미등록",IF(OR(T48="",LEFT(T48,1)="⚠"),"파견근거 확인",IF(NOT(AND(ISNUMBER(H48),ISNUMBER(I48))),"날짜 형식/누락",IF(I48&lt;H48,"종료일&lt;시작일","")))))))))</f>
        <v/>
      </c>
      <c r="AB48" s="11">
        <f>IF(ISNUMBER(SEARCH("다기관",TRIM(N48&amp;" "&amp;O48))),IFERROR(DATE(VALUE(MID(TRIM(N48&amp;" "&amp;O48),1,4)),VALUE(MID(TRIM(N48&amp;" "&amp;O48),6,2)),VALUE(MID(TRIM(N48&amp;" "&amp;O48),9,2))),IF(ISNUMBER(H48),H48,"")),"")</f>
        <v/>
      </c>
      <c r="AC48" s="11">
        <f>IF(ISNUMBER(SEARCH("다기관",TRIM(N48&amp;" "&amp;O48))),IFERROR(DATE(VALUE(MID(TRIM(N48&amp;" "&amp;O48),12,4)),VALUE(MID(TRIM(N48&amp;" "&amp;O48),17,2)),VALUE(MID(TRIM(N48&amp;" "&amp;O48),20,2))),IF(ISNUMBER(I48),I48,"")),"")</f>
        <v/>
      </c>
      <c r="AD48" s="17">
        <f>IF(AND(ISNUMBER(AB48),ISNUMBER(AC48)),MAX(0,MIN(AC48,EOMONTH(요약!$B$3,0))-MAX(AB48,요약!$B$3)+1),0)</f>
        <v/>
      </c>
      <c r="AE48" s="10">
        <f>IF(AND(Q48&lt;&gt;"",ISNUMBER(AB48)),Q48&amp;"|다기관","")</f>
        <v/>
      </c>
    </row>
    <row r="49">
      <c r="A49" s="15">
        <f>IF(F49="","",ROW()-3)</f>
        <v/>
      </c>
      <c r="B49" s="5" t="n"/>
      <c r="C49" s="15" t="n"/>
      <c r="D49" s="5" t="n"/>
      <c r="E49" s="15" t="n"/>
      <c r="F49" s="5" t="n"/>
      <c r="G49" s="6" t="n"/>
      <c r="H49" s="16" t="n"/>
      <c r="I49" s="16" t="n"/>
      <c r="J49" s="15">
        <f>IF(AND(ISNUMBER(H49),ISNUMBER(I49)),I49-H49+1,"")</f>
        <v/>
      </c>
      <c r="K49" s="5" t="n"/>
      <c r="L49" s="5" t="n"/>
      <c r="M49" s="5" t="n"/>
      <c r="N49" s="5" t="n"/>
      <c r="O49" s="5" t="n"/>
      <c r="Q49" s="10">
        <f>IF(TRIM(G49&amp;"")="","",TRIM(G49&amp;""))</f>
        <v/>
      </c>
      <c r="R49" s="10">
        <f>IF(TRIM(B49&amp;"")="","",IFERROR(INDEX(코드표!$K$2:$K$101,MATCH(TRIM(B49&amp;""),코드표!$J$2:$J$101,0)),"⚠"&amp;TRIM(B49&amp;"")))</f>
        <v/>
      </c>
      <c r="S49" s="10">
        <f>IF(TRIM(K49&amp;"")="","",IFERROR(INDEX(코드표!$K$2:$K$101,MATCH(TRIM(K49&amp;""),코드표!$J$2:$J$101,0)),"⚠"&amp;TRIM(K49&amp;"")))</f>
        <v/>
      </c>
      <c r="T49" s="10">
        <f>IF(TRIM(M49&amp;"")="","",IF(ISNUMBER(MATCH(TRIM(M49&amp;""),코드표!$C$2:$C$11,0)),TRIM(M49&amp;""),"⚠"&amp;TRIM(M49&amp;"")))</f>
        <v/>
      </c>
      <c r="U49" s="10">
        <f>IF(TRIM(L49&amp;"")="","",IFERROR(INDEX(코드표!$G$2:$G$101,MATCH(TRIM(L49&amp;""),코드표!$F$2:$F$101,0)),"⚠"&amp;TRIM(L49&amp;"")))</f>
        <v/>
      </c>
      <c r="V49" s="10">
        <f>IF(AND(ISNUMBER(H49),ISNUMBER(I49)),I49-H49+1,"")</f>
        <v/>
      </c>
      <c r="W49" s="17">
        <f>IF(ISNUMBER(H49),MAX(0,MIN(IF(ISNUMBER(I49),I49,EOMONTH(요약!$B$3,0)),EOMONTH(요약!$B$3,0))-MAX(H49,요약!$B$3)+1),0)</f>
        <v/>
      </c>
      <c r="X49" s="10">
        <f>IF(OR(NOT(ISNUMBER(H49)),Q49=""),"",IF(TODAY()&lt;H49,"파견예정",IF(AND(ISNUMBER(I49),TODAY()&gt;I49),"파견종료","파견중")))</f>
        <v/>
      </c>
      <c r="Y49" s="10">
        <f>IF(OR(Q49="",X49=""),"",Q49&amp;"|"&amp;X49)</f>
        <v/>
      </c>
      <c r="Z49" s="10">
        <f>IF(AND(Q49&lt;&gt;"",W49&gt;0),Q49&amp;"|월","")</f>
        <v/>
      </c>
      <c r="AA49" s="10">
        <f>IF(COUNTA(B49:N49)=0,"",IF(Q49="","등록번호 없음",IF(LEFT(R49,1)="⚠","모병원명 미등록",IF(S49="","파견병원 입력",IF(LEFT(S49,1)="⚠","파견병원명 미등록",IF(LEFT(U49,1)="⚠","파견과목 미등록",IF(OR(T49="",LEFT(T49,1)="⚠"),"파견근거 확인",IF(NOT(AND(ISNUMBER(H49),ISNUMBER(I49))),"날짜 형식/누락",IF(I49&lt;H49,"종료일&lt;시작일","")))))))))</f>
        <v/>
      </c>
      <c r="AB49" s="11">
        <f>IF(ISNUMBER(SEARCH("다기관",TRIM(N49&amp;" "&amp;O49))),IFERROR(DATE(VALUE(MID(TRIM(N49&amp;" "&amp;O49),1,4)),VALUE(MID(TRIM(N49&amp;" "&amp;O49),6,2)),VALUE(MID(TRIM(N49&amp;" "&amp;O49),9,2))),IF(ISNUMBER(H49),H49,"")),"")</f>
        <v/>
      </c>
      <c r="AC49" s="11">
        <f>IF(ISNUMBER(SEARCH("다기관",TRIM(N49&amp;" "&amp;O49))),IFERROR(DATE(VALUE(MID(TRIM(N49&amp;" "&amp;O49),12,4)),VALUE(MID(TRIM(N49&amp;" "&amp;O49),17,2)),VALUE(MID(TRIM(N49&amp;" "&amp;O49),20,2))),IF(ISNUMBER(I49),I49,"")),"")</f>
        <v/>
      </c>
      <c r="AD49" s="17">
        <f>IF(AND(ISNUMBER(AB49),ISNUMBER(AC49)),MAX(0,MIN(AC49,EOMONTH(요약!$B$3,0))-MAX(AB49,요약!$B$3)+1),0)</f>
        <v/>
      </c>
      <c r="AE49" s="10">
        <f>IF(AND(Q49&lt;&gt;"",ISNUMBER(AB49)),Q49&amp;"|다기관","")</f>
        <v/>
      </c>
    </row>
    <row r="50">
      <c r="A50" s="15">
        <f>IF(F50="","",ROW()-3)</f>
        <v/>
      </c>
      <c r="B50" s="5" t="n"/>
      <c r="C50" s="15" t="n"/>
      <c r="D50" s="5" t="n"/>
      <c r="E50" s="15" t="n"/>
      <c r="F50" s="5" t="n"/>
      <c r="G50" s="6" t="n"/>
      <c r="H50" s="16" t="n"/>
      <c r="I50" s="16" t="n"/>
      <c r="J50" s="15">
        <f>IF(AND(ISNUMBER(H50),ISNUMBER(I50)),I50-H50+1,"")</f>
        <v/>
      </c>
      <c r="K50" s="5" t="n"/>
      <c r="L50" s="5" t="n"/>
      <c r="M50" s="5" t="n"/>
      <c r="N50" s="5" t="n"/>
      <c r="O50" s="5" t="n"/>
      <c r="Q50" s="10">
        <f>IF(TRIM(G50&amp;"")="","",TRIM(G50&amp;""))</f>
        <v/>
      </c>
      <c r="R50" s="10">
        <f>IF(TRIM(B50&amp;"")="","",IFERROR(INDEX(코드표!$K$2:$K$101,MATCH(TRIM(B50&amp;""),코드표!$J$2:$J$101,0)),"⚠"&amp;TRIM(B50&amp;"")))</f>
        <v/>
      </c>
      <c r="S50" s="10">
        <f>IF(TRIM(K50&amp;"")="","",IFERROR(INDEX(코드표!$K$2:$K$101,MATCH(TRIM(K50&amp;""),코드표!$J$2:$J$101,0)),"⚠"&amp;TRIM(K50&amp;"")))</f>
        <v/>
      </c>
      <c r="T50" s="10">
        <f>IF(TRIM(M50&amp;"")="","",IF(ISNUMBER(MATCH(TRIM(M50&amp;""),코드표!$C$2:$C$11,0)),TRIM(M50&amp;""),"⚠"&amp;TRIM(M50&amp;"")))</f>
        <v/>
      </c>
      <c r="U50" s="10">
        <f>IF(TRIM(L50&amp;"")="","",IFERROR(INDEX(코드표!$G$2:$G$101,MATCH(TRIM(L50&amp;""),코드표!$F$2:$F$101,0)),"⚠"&amp;TRIM(L50&amp;"")))</f>
        <v/>
      </c>
      <c r="V50" s="10">
        <f>IF(AND(ISNUMBER(H50),ISNUMBER(I50)),I50-H50+1,"")</f>
        <v/>
      </c>
      <c r="W50" s="17">
        <f>IF(ISNUMBER(H50),MAX(0,MIN(IF(ISNUMBER(I50),I50,EOMONTH(요약!$B$3,0)),EOMONTH(요약!$B$3,0))-MAX(H50,요약!$B$3)+1),0)</f>
        <v/>
      </c>
      <c r="X50" s="10">
        <f>IF(OR(NOT(ISNUMBER(H50)),Q50=""),"",IF(TODAY()&lt;H50,"파견예정",IF(AND(ISNUMBER(I50),TODAY()&gt;I50),"파견종료","파견중")))</f>
        <v/>
      </c>
      <c r="Y50" s="10">
        <f>IF(OR(Q50="",X50=""),"",Q50&amp;"|"&amp;X50)</f>
        <v/>
      </c>
      <c r="Z50" s="10">
        <f>IF(AND(Q50&lt;&gt;"",W50&gt;0),Q50&amp;"|월","")</f>
        <v/>
      </c>
      <c r="AA50" s="10">
        <f>IF(COUNTA(B50:N50)=0,"",IF(Q50="","등록번호 없음",IF(LEFT(R50,1)="⚠","모병원명 미등록",IF(S50="","파견병원 입력",IF(LEFT(S50,1)="⚠","파견병원명 미등록",IF(LEFT(U50,1)="⚠","파견과목 미등록",IF(OR(T50="",LEFT(T50,1)="⚠"),"파견근거 확인",IF(NOT(AND(ISNUMBER(H50),ISNUMBER(I50))),"날짜 형식/누락",IF(I50&lt;H50,"종료일&lt;시작일","")))))))))</f>
        <v/>
      </c>
      <c r="AB50" s="11">
        <f>IF(ISNUMBER(SEARCH("다기관",TRIM(N50&amp;" "&amp;O50))),IFERROR(DATE(VALUE(MID(TRIM(N50&amp;" "&amp;O50),1,4)),VALUE(MID(TRIM(N50&amp;" "&amp;O50),6,2)),VALUE(MID(TRIM(N50&amp;" "&amp;O50),9,2))),IF(ISNUMBER(H50),H50,"")),"")</f>
        <v/>
      </c>
      <c r="AC50" s="11">
        <f>IF(ISNUMBER(SEARCH("다기관",TRIM(N50&amp;" "&amp;O50))),IFERROR(DATE(VALUE(MID(TRIM(N50&amp;" "&amp;O50),12,4)),VALUE(MID(TRIM(N50&amp;" "&amp;O50),17,2)),VALUE(MID(TRIM(N50&amp;" "&amp;O50),20,2))),IF(ISNUMBER(I50),I50,"")),"")</f>
        <v/>
      </c>
      <c r="AD50" s="17">
        <f>IF(AND(ISNUMBER(AB50),ISNUMBER(AC50)),MAX(0,MIN(AC50,EOMONTH(요약!$B$3,0))-MAX(AB50,요약!$B$3)+1),0)</f>
        <v/>
      </c>
      <c r="AE50" s="10">
        <f>IF(AND(Q50&lt;&gt;"",ISNUMBER(AB50)),Q50&amp;"|다기관","")</f>
        <v/>
      </c>
    </row>
    <row r="51">
      <c r="A51" s="15">
        <f>IF(F51="","",ROW()-3)</f>
        <v/>
      </c>
      <c r="B51" s="5" t="n"/>
      <c r="C51" s="15" t="n"/>
      <c r="D51" s="5" t="n"/>
      <c r="E51" s="15" t="n"/>
      <c r="F51" s="5" t="n"/>
      <c r="G51" s="6" t="n"/>
      <c r="H51" s="16" t="n"/>
      <c r="I51" s="16" t="n"/>
      <c r="J51" s="15">
        <f>IF(AND(ISNUMBER(H51),ISNUMBER(I51)),I51-H51+1,"")</f>
        <v/>
      </c>
      <c r="K51" s="5" t="n"/>
      <c r="L51" s="5" t="n"/>
      <c r="M51" s="5" t="n"/>
      <c r="N51" s="5" t="n"/>
      <c r="O51" s="5" t="n"/>
      <c r="Q51" s="10">
        <f>IF(TRIM(G51&amp;"")="","",TRIM(G51&amp;""))</f>
        <v/>
      </c>
      <c r="R51" s="10">
        <f>IF(TRIM(B51&amp;"")="","",IFERROR(INDEX(코드표!$K$2:$K$101,MATCH(TRIM(B51&amp;""),코드표!$J$2:$J$101,0)),"⚠"&amp;TRIM(B51&amp;"")))</f>
        <v/>
      </c>
      <c r="S51" s="10">
        <f>IF(TRIM(K51&amp;"")="","",IFERROR(INDEX(코드표!$K$2:$K$101,MATCH(TRIM(K51&amp;""),코드표!$J$2:$J$101,0)),"⚠"&amp;TRIM(K51&amp;"")))</f>
        <v/>
      </c>
      <c r="T51" s="10">
        <f>IF(TRIM(M51&amp;"")="","",IF(ISNUMBER(MATCH(TRIM(M51&amp;""),코드표!$C$2:$C$11,0)),TRIM(M51&amp;""),"⚠"&amp;TRIM(M51&amp;"")))</f>
        <v/>
      </c>
      <c r="U51" s="10">
        <f>IF(TRIM(L51&amp;"")="","",IFERROR(INDEX(코드표!$G$2:$G$101,MATCH(TRIM(L51&amp;""),코드표!$F$2:$F$101,0)),"⚠"&amp;TRIM(L51&amp;"")))</f>
        <v/>
      </c>
      <c r="V51" s="10">
        <f>IF(AND(ISNUMBER(H51),ISNUMBER(I51)),I51-H51+1,"")</f>
        <v/>
      </c>
      <c r="W51" s="17">
        <f>IF(ISNUMBER(H51),MAX(0,MIN(IF(ISNUMBER(I51),I51,EOMONTH(요약!$B$3,0)),EOMONTH(요약!$B$3,0))-MAX(H51,요약!$B$3)+1),0)</f>
        <v/>
      </c>
      <c r="X51" s="10">
        <f>IF(OR(NOT(ISNUMBER(H51)),Q51=""),"",IF(TODAY()&lt;H51,"파견예정",IF(AND(ISNUMBER(I51),TODAY()&gt;I51),"파견종료","파견중")))</f>
        <v/>
      </c>
      <c r="Y51" s="10">
        <f>IF(OR(Q51="",X51=""),"",Q51&amp;"|"&amp;X51)</f>
        <v/>
      </c>
      <c r="Z51" s="10">
        <f>IF(AND(Q51&lt;&gt;"",W51&gt;0),Q51&amp;"|월","")</f>
        <v/>
      </c>
      <c r="AA51" s="10">
        <f>IF(COUNTA(B51:N51)=0,"",IF(Q51="","등록번호 없음",IF(LEFT(R51,1)="⚠","모병원명 미등록",IF(S51="","파견병원 입력",IF(LEFT(S51,1)="⚠","파견병원명 미등록",IF(LEFT(U51,1)="⚠","파견과목 미등록",IF(OR(T51="",LEFT(T51,1)="⚠"),"파견근거 확인",IF(NOT(AND(ISNUMBER(H51),ISNUMBER(I51))),"날짜 형식/누락",IF(I51&lt;H51,"종료일&lt;시작일","")))))))))</f>
        <v/>
      </c>
      <c r="AB51" s="11">
        <f>IF(ISNUMBER(SEARCH("다기관",TRIM(N51&amp;" "&amp;O51))),IFERROR(DATE(VALUE(MID(TRIM(N51&amp;" "&amp;O51),1,4)),VALUE(MID(TRIM(N51&amp;" "&amp;O51),6,2)),VALUE(MID(TRIM(N51&amp;" "&amp;O51),9,2))),IF(ISNUMBER(H51),H51,"")),"")</f>
        <v/>
      </c>
      <c r="AC51" s="11">
        <f>IF(ISNUMBER(SEARCH("다기관",TRIM(N51&amp;" "&amp;O51))),IFERROR(DATE(VALUE(MID(TRIM(N51&amp;" "&amp;O51),12,4)),VALUE(MID(TRIM(N51&amp;" "&amp;O51),17,2)),VALUE(MID(TRIM(N51&amp;" "&amp;O51),20,2))),IF(ISNUMBER(I51),I51,"")),"")</f>
        <v/>
      </c>
      <c r="AD51" s="17">
        <f>IF(AND(ISNUMBER(AB51),ISNUMBER(AC51)),MAX(0,MIN(AC51,EOMONTH(요약!$B$3,0))-MAX(AB51,요약!$B$3)+1),0)</f>
        <v/>
      </c>
      <c r="AE51" s="10">
        <f>IF(AND(Q51&lt;&gt;"",ISNUMBER(AB51)),Q51&amp;"|다기관","")</f>
        <v/>
      </c>
    </row>
    <row r="52">
      <c r="A52" s="15">
        <f>IF(F52="","",ROW()-3)</f>
        <v/>
      </c>
      <c r="B52" s="5" t="n"/>
      <c r="C52" s="15" t="n"/>
      <c r="D52" s="5" t="n"/>
      <c r="E52" s="15" t="n"/>
      <c r="F52" s="5" t="n"/>
      <c r="G52" s="6" t="n"/>
      <c r="H52" s="16" t="n"/>
      <c r="I52" s="16" t="n"/>
      <c r="J52" s="15">
        <f>IF(AND(ISNUMBER(H52),ISNUMBER(I52)),I52-H52+1,"")</f>
        <v/>
      </c>
      <c r="K52" s="5" t="n"/>
      <c r="L52" s="5" t="n"/>
      <c r="M52" s="5" t="n"/>
      <c r="N52" s="5" t="n"/>
      <c r="O52" s="5" t="n"/>
      <c r="Q52" s="10">
        <f>IF(TRIM(G52&amp;"")="","",TRIM(G52&amp;""))</f>
        <v/>
      </c>
      <c r="R52" s="10">
        <f>IF(TRIM(B52&amp;"")="","",IFERROR(INDEX(코드표!$K$2:$K$101,MATCH(TRIM(B52&amp;""),코드표!$J$2:$J$101,0)),"⚠"&amp;TRIM(B52&amp;"")))</f>
        <v/>
      </c>
      <c r="S52" s="10">
        <f>IF(TRIM(K52&amp;"")="","",IFERROR(INDEX(코드표!$K$2:$K$101,MATCH(TRIM(K52&amp;""),코드표!$J$2:$J$101,0)),"⚠"&amp;TRIM(K52&amp;"")))</f>
        <v/>
      </c>
      <c r="T52" s="10">
        <f>IF(TRIM(M52&amp;"")="","",IF(ISNUMBER(MATCH(TRIM(M52&amp;""),코드표!$C$2:$C$11,0)),TRIM(M52&amp;""),"⚠"&amp;TRIM(M52&amp;"")))</f>
        <v/>
      </c>
      <c r="U52" s="10">
        <f>IF(TRIM(L52&amp;"")="","",IFERROR(INDEX(코드표!$G$2:$G$101,MATCH(TRIM(L52&amp;""),코드표!$F$2:$F$101,0)),"⚠"&amp;TRIM(L52&amp;"")))</f>
        <v/>
      </c>
      <c r="V52" s="10">
        <f>IF(AND(ISNUMBER(H52),ISNUMBER(I52)),I52-H52+1,"")</f>
        <v/>
      </c>
      <c r="W52" s="17">
        <f>IF(ISNUMBER(H52),MAX(0,MIN(IF(ISNUMBER(I52),I52,EOMONTH(요약!$B$3,0)),EOMONTH(요약!$B$3,0))-MAX(H52,요약!$B$3)+1),0)</f>
        <v/>
      </c>
      <c r="X52" s="10">
        <f>IF(OR(NOT(ISNUMBER(H52)),Q52=""),"",IF(TODAY()&lt;H52,"파견예정",IF(AND(ISNUMBER(I52),TODAY()&gt;I52),"파견종료","파견중")))</f>
        <v/>
      </c>
      <c r="Y52" s="10">
        <f>IF(OR(Q52="",X52=""),"",Q52&amp;"|"&amp;X52)</f>
        <v/>
      </c>
      <c r="Z52" s="10">
        <f>IF(AND(Q52&lt;&gt;"",W52&gt;0),Q52&amp;"|월","")</f>
        <v/>
      </c>
      <c r="AA52" s="10">
        <f>IF(COUNTA(B52:N52)=0,"",IF(Q52="","등록번호 없음",IF(LEFT(R52,1)="⚠","모병원명 미등록",IF(S52="","파견병원 입력",IF(LEFT(S52,1)="⚠","파견병원명 미등록",IF(LEFT(U52,1)="⚠","파견과목 미등록",IF(OR(T52="",LEFT(T52,1)="⚠"),"파견근거 확인",IF(NOT(AND(ISNUMBER(H52),ISNUMBER(I52))),"날짜 형식/누락",IF(I52&lt;H52,"종료일&lt;시작일","")))))))))</f>
        <v/>
      </c>
      <c r="AB52" s="11">
        <f>IF(ISNUMBER(SEARCH("다기관",TRIM(N52&amp;" "&amp;O52))),IFERROR(DATE(VALUE(MID(TRIM(N52&amp;" "&amp;O52),1,4)),VALUE(MID(TRIM(N52&amp;" "&amp;O52),6,2)),VALUE(MID(TRIM(N52&amp;" "&amp;O52),9,2))),IF(ISNUMBER(H52),H52,"")),"")</f>
        <v/>
      </c>
      <c r="AC52" s="11">
        <f>IF(ISNUMBER(SEARCH("다기관",TRIM(N52&amp;" "&amp;O52))),IFERROR(DATE(VALUE(MID(TRIM(N52&amp;" "&amp;O52),12,4)),VALUE(MID(TRIM(N52&amp;" "&amp;O52),17,2)),VALUE(MID(TRIM(N52&amp;" "&amp;O52),20,2))),IF(ISNUMBER(I52),I52,"")),"")</f>
        <v/>
      </c>
      <c r="AD52" s="17">
        <f>IF(AND(ISNUMBER(AB52),ISNUMBER(AC52)),MAX(0,MIN(AC52,EOMONTH(요약!$B$3,0))-MAX(AB52,요약!$B$3)+1),0)</f>
        <v/>
      </c>
      <c r="AE52" s="10">
        <f>IF(AND(Q52&lt;&gt;"",ISNUMBER(AB52)),Q52&amp;"|다기관","")</f>
        <v/>
      </c>
    </row>
    <row r="53">
      <c r="A53" s="15">
        <f>IF(F53="","",ROW()-3)</f>
        <v/>
      </c>
      <c r="B53" s="5" t="n"/>
      <c r="C53" s="15" t="n"/>
      <c r="D53" s="5" t="n"/>
      <c r="E53" s="15" t="n"/>
      <c r="F53" s="5" t="n"/>
      <c r="G53" s="6" t="n"/>
      <c r="H53" s="16" t="n"/>
      <c r="I53" s="16" t="n"/>
      <c r="J53" s="15">
        <f>IF(AND(ISNUMBER(H53),ISNUMBER(I53)),I53-H53+1,"")</f>
        <v/>
      </c>
      <c r="K53" s="5" t="n"/>
      <c r="L53" s="5" t="n"/>
      <c r="M53" s="5" t="n"/>
      <c r="N53" s="5" t="n"/>
      <c r="O53" s="5" t="n"/>
      <c r="Q53" s="10">
        <f>IF(TRIM(G53&amp;"")="","",TRIM(G53&amp;""))</f>
        <v/>
      </c>
      <c r="R53" s="10">
        <f>IF(TRIM(B53&amp;"")="","",IFERROR(INDEX(코드표!$K$2:$K$101,MATCH(TRIM(B53&amp;""),코드표!$J$2:$J$101,0)),"⚠"&amp;TRIM(B53&amp;"")))</f>
        <v/>
      </c>
      <c r="S53" s="10">
        <f>IF(TRIM(K53&amp;"")="","",IFERROR(INDEX(코드표!$K$2:$K$101,MATCH(TRIM(K53&amp;""),코드표!$J$2:$J$101,0)),"⚠"&amp;TRIM(K53&amp;"")))</f>
        <v/>
      </c>
      <c r="T53" s="10">
        <f>IF(TRIM(M53&amp;"")="","",IF(ISNUMBER(MATCH(TRIM(M53&amp;""),코드표!$C$2:$C$11,0)),TRIM(M53&amp;""),"⚠"&amp;TRIM(M53&amp;"")))</f>
        <v/>
      </c>
      <c r="U53" s="10">
        <f>IF(TRIM(L53&amp;"")="","",IFERROR(INDEX(코드표!$G$2:$G$101,MATCH(TRIM(L53&amp;""),코드표!$F$2:$F$101,0)),"⚠"&amp;TRIM(L53&amp;"")))</f>
        <v/>
      </c>
      <c r="V53" s="10">
        <f>IF(AND(ISNUMBER(H53),ISNUMBER(I53)),I53-H53+1,"")</f>
        <v/>
      </c>
      <c r="W53" s="17">
        <f>IF(ISNUMBER(H53),MAX(0,MIN(IF(ISNUMBER(I53),I53,EOMONTH(요약!$B$3,0)),EOMONTH(요약!$B$3,0))-MAX(H53,요약!$B$3)+1),0)</f>
        <v/>
      </c>
      <c r="X53" s="10">
        <f>IF(OR(NOT(ISNUMBER(H53)),Q53=""),"",IF(TODAY()&lt;H53,"파견예정",IF(AND(ISNUMBER(I53),TODAY()&gt;I53),"파견종료","파견중")))</f>
        <v/>
      </c>
      <c r="Y53" s="10">
        <f>IF(OR(Q53="",X53=""),"",Q53&amp;"|"&amp;X53)</f>
        <v/>
      </c>
      <c r="Z53" s="10">
        <f>IF(AND(Q53&lt;&gt;"",W53&gt;0),Q53&amp;"|월","")</f>
        <v/>
      </c>
      <c r="AA53" s="10">
        <f>IF(COUNTA(B53:N53)=0,"",IF(Q53="","등록번호 없음",IF(LEFT(R53,1)="⚠","모병원명 미등록",IF(S53="","파견병원 입력",IF(LEFT(S53,1)="⚠","파견병원명 미등록",IF(LEFT(U53,1)="⚠","파견과목 미등록",IF(OR(T53="",LEFT(T53,1)="⚠"),"파견근거 확인",IF(NOT(AND(ISNUMBER(H53),ISNUMBER(I53))),"날짜 형식/누락",IF(I53&lt;H53,"종료일&lt;시작일","")))))))))</f>
        <v/>
      </c>
      <c r="AB53" s="11">
        <f>IF(ISNUMBER(SEARCH("다기관",TRIM(N53&amp;" "&amp;O53))),IFERROR(DATE(VALUE(MID(TRIM(N53&amp;" "&amp;O53),1,4)),VALUE(MID(TRIM(N53&amp;" "&amp;O53),6,2)),VALUE(MID(TRIM(N53&amp;" "&amp;O53),9,2))),IF(ISNUMBER(H53),H53,"")),"")</f>
        <v/>
      </c>
      <c r="AC53" s="11">
        <f>IF(ISNUMBER(SEARCH("다기관",TRIM(N53&amp;" "&amp;O53))),IFERROR(DATE(VALUE(MID(TRIM(N53&amp;" "&amp;O53),12,4)),VALUE(MID(TRIM(N53&amp;" "&amp;O53),17,2)),VALUE(MID(TRIM(N53&amp;" "&amp;O53),20,2))),IF(ISNUMBER(I53),I53,"")),"")</f>
        <v/>
      </c>
      <c r="AD53" s="17">
        <f>IF(AND(ISNUMBER(AB53),ISNUMBER(AC53)),MAX(0,MIN(AC53,EOMONTH(요약!$B$3,0))-MAX(AB53,요약!$B$3)+1),0)</f>
        <v/>
      </c>
      <c r="AE53" s="10">
        <f>IF(AND(Q53&lt;&gt;"",ISNUMBER(AB53)),Q53&amp;"|다기관","")</f>
        <v/>
      </c>
    </row>
    <row r="54">
      <c r="A54" s="15">
        <f>IF(F54="","",ROW()-3)</f>
        <v/>
      </c>
      <c r="B54" s="5" t="n"/>
      <c r="C54" s="15" t="n"/>
      <c r="D54" s="5" t="n"/>
      <c r="E54" s="15" t="n"/>
      <c r="F54" s="5" t="n"/>
      <c r="G54" s="6" t="n"/>
      <c r="H54" s="16" t="n"/>
      <c r="I54" s="16" t="n"/>
      <c r="J54" s="15">
        <f>IF(AND(ISNUMBER(H54),ISNUMBER(I54)),I54-H54+1,"")</f>
        <v/>
      </c>
      <c r="K54" s="5" t="n"/>
      <c r="L54" s="5" t="n"/>
      <c r="M54" s="5" t="n"/>
      <c r="N54" s="5" t="n"/>
      <c r="O54" s="5" t="n"/>
      <c r="Q54" s="10">
        <f>IF(TRIM(G54&amp;"")="","",TRIM(G54&amp;""))</f>
        <v/>
      </c>
      <c r="R54" s="10">
        <f>IF(TRIM(B54&amp;"")="","",IFERROR(INDEX(코드표!$K$2:$K$101,MATCH(TRIM(B54&amp;""),코드표!$J$2:$J$101,0)),"⚠"&amp;TRIM(B54&amp;"")))</f>
        <v/>
      </c>
      <c r="S54" s="10">
        <f>IF(TRIM(K54&amp;"")="","",IFERROR(INDEX(코드표!$K$2:$K$101,MATCH(TRIM(K54&amp;""),코드표!$J$2:$J$101,0)),"⚠"&amp;TRIM(K54&amp;"")))</f>
        <v/>
      </c>
      <c r="T54" s="10">
        <f>IF(TRIM(M54&amp;"")="","",IF(ISNUMBER(MATCH(TRIM(M54&amp;""),코드표!$C$2:$C$11,0)),TRIM(M54&amp;""),"⚠"&amp;TRIM(M54&amp;"")))</f>
        <v/>
      </c>
      <c r="U54" s="10">
        <f>IF(TRIM(L54&amp;"")="","",IFERROR(INDEX(코드표!$G$2:$G$101,MATCH(TRIM(L54&amp;""),코드표!$F$2:$F$101,0)),"⚠"&amp;TRIM(L54&amp;"")))</f>
        <v/>
      </c>
      <c r="V54" s="10">
        <f>IF(AND(ISNUMBER(H54),ISNUMBER(I54)),I54-H54+1,"")</f>
        <v/>
      </c>
      <c r="W54" s="17">
        <f>IF(ISNUMBER(H54),MAX(0,MIN(IF(ISNUMBER(I54),I54,EOMONTH(요약!$B$3,0)),EOMONTH(요약!$B$3,0))-MAX(H54,요약!$B$3)+1),0)</f>
        <v/>
      </c>
      <c r="X54" s="10">
        <f>IF(OR(NOT(ISNUMBER(H54)),Q54=""),"",IF(TODAY()&lt;H54,"파견예정",IF(AND(ISNUMBER(I54),TODAY()&gt;I54),"파견종료","파견중")))</f>
        <v/>
      </c>
      <c r="Y54" s="10">
        <f>IF(OR(Q54="",X54=""),"",Q54&amp;"|"&amp;X54)</f>
        <v/>
      </c>
      <c r="Z54" s="10">
        <f>IF(AND(Q54&lt;&gt;"",W54&gt;0),Q54&amp;"|월","")</f>
        <v/>
      </c>
      <c r="AA54" s="10">
        <f>IF(COUNTA(B54:N54)=0,"",IF(Q54="","등록번호 없음",IF(LEFT(R54,1)="⚠","모병원명 미등록",IF(S54="","파견병원 입력",IF(LEFT(S54,1)="⚠","파견병원명 미등록",IF(LEFT(U54,1)="⚠","파견과목 미등록",IF(OR(T54="",LEFT(T54,1)="⚠"),"파견근거 확인",IF(NOT(AND(ISNUMBER(H54),ISNUMBER(I54))),"날짜 형식/누락",IF(I54&lt;H54,"종료일&lt;시작일","")))))))))</f>
        <v/>
      </c>
      <c r="AB54" s="11">
        <f>IF(ISNUMBER(SEARCH("다기관",TRIM(N54&amp;" "&amp;O54))),IFERROR(DATE(VALUE(MID(TRIM(N54&amp;" "&amp;O54),1,4)),VALUE(MID(TRIM(N54&amp;" "&amp;O54),6,2)),VALUE(MID(TRIM(N54&amp;" "&amp;O54),9,2))),IF(ISNUMBER(H54),H54,"")),"")</f>
        <v/>
      </c>
      <c r="AC54" s="11">
        <f>IF(ISNUMBER(SEARCH("다기관",TRIM(N54&amp;" "&amp;O54))),IFERROR(DATE(VALUE(MID(TRIM(N54&amp;" "&amp;O54),12,4)),VALUE(MID(TRIM(N54&amp;" "&amp;O54),17,2)),VALUE(MID(TRIM(N54&amp;" "&amp;O54),20,2))),IF(ISNUMBER(I54),I54,"")),"")</f>
        <v/>
      </c>
      <c r="AD54" s="17">
        <f>IF(AND(ISNUMBER(AB54),ISNUMBER(AC54)),MAX(0,MIN(AC54,EOMONTH(요약!$B$3,0))-MAX(AB54,요약!$B$3)+1),0)</f>
        <v/>
      </c>
      <c r="AE54" s="10">
        <f>IF(AND(Q54&lt;&gt;"",ISNUMBER(AB54)),Q54&amp;"|다기관","")</f>
        <v/>
      </c>
    </row>
    <row r="55">
      <c r="A55" s="15">
        <f>IF(F55="","",ROW()-3)</f>
        <v/>
      </c>
      <c r="B55" s="5" t="n"/>
      <c r="C55" s="15" t="n"/>
      <c r="D55" s="5" t="n"/>
      <c r="E55" s="15" t="n"/>
      <c r="F55" s="5" t="n"/>
      <c r="G55" s="6" t="n"/>
      <c r="H55" s="16" t="n"/>
      <c r="I55" s="16" t="n"/>
      <c r="J55" s="15">
        <f>IF(AND(ISNUMBER(H55),ISNUMBER(I55)),I55-H55+1,"")</f>
        <v/>
      </c>
      <c r="K55" s="5" t="n"/>
      <c r="L55" s="5" t="n"/>
      <c r="M55" s="5" t="n"/>
      <c r="N55" s="5" t="n"/>
      <c r="O55" s="5" t="n"/>
      <c r="Q55" s="10">
        <f>IF(TRIM(G55&amp;"")="","",TRIM(G55&amp;""))</f>
        <v/>
      </c>
      <c r="R55" s="10">
        <f>IF(TRIM(B55&amp;"")="","",IFERROR(INDEX(코드표!$K$2:$K$101,MATCH(TRIM(B55&amp;""),코드표!$J$2:$J$101,0)),"⚠"&amp;TRIM(B55&amp;"")))</f>
        <v/>
      </c>
      <c r="S55" s="10">
        <f>IF(TRIM(K55&amp;"")="","",IFERROR(INDEX(코드표!$K$2:$K$101,MATCH(TRIM(K55&amp;""),코드표!$J$2:$J$101,0)),"⚠"&amp;TRIM(K55&amp;"")))</f>
        <v/>
      </c>
      <c r="T55" s="10">
        <f>IF(TRIM(M55&amp;"")="","",IF(ISNUMBER(MATCH(TRIM(M55&amp;""),코드표!$C$2:$C$11,0)),TRIM(M55&amp;""),"⚠"&amp;TRIM(M55&amp;"")))</f>
        <v/>
      </c>
      <c r="U55" s="10">
        <f>IF(TRIM(L55&amp;"")="","",IFERROR(INDEX(코드표!$G$2:$G$101,MATCH(TRIM(L55&amp;""),코드표!$F$2:$F$101,0)),"⚠"&amp;TRIM(L55&amp;"")))</f>
        <v/>
      </c>
      <c r="V55" s="10">
        <f>IF(AND(ISNUMBER(H55),ISNUMBER(I55)),I55-H55+1,"")</f>
        <v/>
      </c>
      <c r="W55" s="17">
        <f>IF(ISNUMBER(H55),MAX(0,MIN(IF(ISNUMBER(I55),I55,EOMONTH(요약!$B$3,0)),EOMONTH(요약!$B$3,0))-MAX(H55,요약!$B$3)+1),0)</f>
        <v/>
      </c>
      <c r="X55" s="10">
        <f>IF(OR(NOT(ISNUMBER(H55)),Q55=""),"",IF(TODAY()&lt;H55,"파견예정",IF(AND(ISNUMBER(I55),TODAY()&gt;I55),"파견종료","파견중")))</f>
        <v/>
      </c>
      <c r="Y55" s="10">
        <f>IF(OR(Q55="",X55=""),"",Q55&amp;"|"&amp;X55)</f>
        <v/>
      </c>
      <c r="Z55" s="10">
        <f>IF(AND(Q55&lt;&gt;"",W55&gt;0),Q55&amp;"|월","")</f>
        <v/>
      </c>
      <c r="AA55" s="10">
        <f>IF(COUNTA(B55:N55)=0,"",IF(Q55="","등록번호 없음",IF(LEFT(R55,1)="⚠","모병원명 미등록",IF(S55="","파견병원 입력",IF(LEFT(S55,1)="⚠","파견병원명 미등록",IF(LEFT(U55,1)="⚠","파견과목 미등록",IF(OR(T55="",LEFT(T55,1)="⚠"),"파견근거 확인",IF(NOT(AND(ISNUMBER(H55),ISNUMBER(I55))),"날짜 형식/누락",IF(I55&lt;H55,"종료일&lt;시작일","")))))))))</f>
        <v/>
      </c>
      <c r="AB55" s="11">
        <f>IF(ISNUMBER(SEARCH("다기관",TRIM(N55&amp;" "&amp;O55))),IFERROR(DATE(VALUE(MID(TRIM(N55&amp;" "&amp;O55),1,4)),VALUE(MID(TRIM(N55&amp;" "&amp;O55),6,2)),VALUE(MID(TRIM(N55&amp;" "&amp;O55),9,2))),IF(ISNUMBER(H55),H55,"")),"")</f>
        <v/>
      </c>
      <c r="AC55" s="11">
        <f>IF(ISNUMBER(SEARCH("다기관",TRIM(N55&amp;" "&amp;O55))),IFERROR(DATE(VALUE(MID(TRIM(N55&amp;" "&amp;O55),12,4)),VALUE(MID(TRIM(N55&amp;" "&amp;O55),17,2)),VALUE(MID(TRIM(N55&amp;" "&amp;O55),20,2))),IF(ISNUMBER(I55),I55,"")),"")</f>
        <v/>
      </c>
      <c r="AD55" s="17">
        <f>IF(AND(ISNUMBER(AB55),ISNUMBER(AC55)),MAX(0,MIN(AC55,EOMONTH(요약!$B$3,0))-MAX(AB55,요약!$B$3)+1),0)</f>
        <v/>
      </c>
      <c r="AE55" s="10">
        <f>IF(AND(Q55&lt;&gt;"",ISNUMBER(AB55)),Q55&amp;"|다기관","")</f>
        <v/>
      </c>
    </row>
    <row r="56">
      <c r="A56" s="15">
        <f>IF(F56="","",ROW()-3)</f>
        <v/>
      </c>
      <c r="B56" s="5" t="n"/>
      <c r="C56" s="15" t="n"/>
      <c r="D56" s="5" t="n"/>
      <c r="E56" s="15" t="n"/>
      <c r="F56" s="5" t="n"/>
      <c r="G56" s="6" t="n"/>
      <c r="H56" s="16" t="n"/>
      <c r="I56" s="16" t="n"/>
      <c r="J56" s="15">
        <f>IF(AND(ISNUMBER(H56),ISNUMBER(I56)),I56-H56+1,"")</f>
        <v/>
      </c>
      <c r="K56" s="5" t="n"/>
      <c r="L56" s="5" t="n"/>
      <c r="M56" s="5" t="n"/>
      <c r="N56" s="5" t="n"/>
      <c r="O56" s="5" t="n"/>
      <c r="Q56" s="10">
        <f>IF(TRIM(G56&amp;"")="","",TRIM(G56&amp;""))</f>
        <v/>
      </c>
      <c r="R56" s="10">
        <f>IF(TRIM(B56&amp;"")="","",IFERROR(INDEX(코드표!$K$2:$K$101,MATCH(TRIM(B56&amp;""),코드표!$J$2:$J$101,0)),"⚠"&amp;TRIM(B56&amp;"")))</f>
        <v/>
      </c>
      <c r="S56" s="10">
        <f>IF(TRIM(K56&amp;"")="","",IFERROR(INDEX(코드표!$K$2:$K$101,MATCH(TRIM(K56&amp;""),코드표!$J$2:$J$101,0)),"⚠"&amp;TRIM(K56&amp;"")))</f>
        <v/>
      </c>
      <c r="T56" s="10">
        <f>IF(TRIM(M56&amp;"")="","",IF(ISNUMBER(MATCH(TRIM(M56&amp;""),코드표!$C$2:$C$11,0)),TRIM(M56&amp;""),"⚠"&amp;TRIM(M56&amp;"")))</f>
        <v/>
      </c>
      <c r="U56" s="10">
        <f>IF(TRIM(L56&amp;"")="","",IFERROR(INDEX(코드표!$G$2:$G$101,MATCH(TRIM(L56&amp;""),코드표!$F$2:$F$101,0)),"⚠"&amp;TRIM(L56&amp;"")))</f>
        <v/>
      </c>
      <c r="V56" s="10">
        <f>IF(AND(ISNUMBER(H56),ISNUMBER(I56)),I56-H56+1,"")</f>
        <v/>
      </c>
      <c r="W56" s="17">
        <f>IF(ISNUMBER(H56),MAX(0,MIN(IF(ISNUMBER(I56),I56,EOMONTH(요약!$B$3,0)),EOMONTH(요약!$B$3,0))-MAX(H56,요약!$B$3)+1),0)</f>
        <v/>
      </c>
      <c r="X56" s="10">
        <f>IF(OR(NOT(ISNUMBER(H56)),Q56=""),"",IF(TODAY()&lt;H56,"파견예정",IF(AND(ISNUMBER(I56),TODAY()&gt;I56),"파견종료","파견중")))</f>
        <v/>
      </c>
      <c r="Y56" s="10">
        <f>IF(OR(Q56="",X56=""),"",Q56&amp;"|"&amp;X56)</f>
        <v/>
      </c>
      <c r="Z56" s="10">
        <f>IF(AND(Q56&lt;&gt;"",W56&gt;0),Q56&amp;"|월","")</f>
        <v/>
      </c>
      <c r="AA56" s="10">
        <f>IF(COUNTA(B56:N56)=0,"",IF(Q56="","등록번호 없음",IF(LEFT(R56,1)="⚠","모병원명 미등록",IF(S56="","파견병원 입력",IF(LEFT(S56,1)="⚠","파견병원명 미등록",IF(LEFT(U56,1)="⚠","파견과목 미등록",IF(OR(T56="",LEFT(T56,1)="⚠"),"파견근거 확인",IF(NOT(AND(ISNUMBER(H56),ISNUMBER(I56))),"날짜 형식/누락",IF(I56&lt;H56,"종료일&lt;시작일","")))))))))</f>
        <v/>
      </c>
      <c r="AB56" s="11">
        <f>IF(ISNUMBER(SEARCH("다기관",TRIM(N56&amp;" "&amp;O56))),IFERROR(DATE(VALUE(MID(TRIM(N56&amp;" "&amp;O56),1,4)),VALUE(MID(TRIM(N56&amp;" "&amp;O56),6,2)),VALUE(MID(TRIM(N56&amp;" "&amp;O56),9,2))),IF(ISNUMBER(H56),H56,"")),"")</f>
        <v/>
      </c>
      <c r="AC56" s="11">
        <f>IF(ISNUMBER(SEARCH("다기관",TRIM(N56&amp;" "&amp;O56))),IFERROR(DATE(VALUE(MID(TRIM(N56&amp;" "&amp;O56),12,4)),VALUE(MID(TRIM(N56&amp;" "&amp;O56),17,2)),VALUE(MID(TRIM(N56&amp;" "&amp;O56),20,2))),IF(ISNUMBER(I56),I56,"")),"")</f>
        <v/>
      </c>
      <c r="AD56" s="17">
        <f>IF(AND(ISNUMBER(AB56),ISNUMBER(AC56)),MAX(0,MIN(AC56,EOMONTH(요약!$B$3,0))-MAX(AB56,요약!$B$3)+1),0)</f>
        <v/>
      </c>
      <c r="AE56" s="10">
        <f>IF(AND(Q56&lt;&gt;"",ISNUMBER(AB56)),Q56&amp;"|다기관","")</f>
        <v/>
      </c>
    </row>
    <row r="57">
      <c r="A57" s="15">
        <f>IF(F57="","",ROW()-3)</f>
        <v/>
      </c>
      <c r="B57" s="5" t="n"/>
      <c r="C57" s="15" t="n"/>
      <c r="D57" s="5" t="n"/>
      <c r="E57" s="15" t="n"/>
      <c r="F57" s="5" t="n"/>
      <c r="G57" s="6" t="n"/>
      <c r="H57" s="16" t="n"/>
      <c r="I57" s="16" t="n"/>
      <c r="J57" s="15">
        <f>IF(AND(ISNUMBER(H57),ISNUMBER(I57)),I57-H57+1,"")</f>
        <v/>
      </c>
      <c r="K57" s="5" t="n"/>
      <c r="L57" s="5" t="n"/>
      <c r="M57" s="5" t="n"/>
      <c r="N57" s="5" t="n"/>
      <c r="O57" s="5" t="n"/>
      <c r="Q57" s="10">
        <f>IF(TRIM(G57&amp;"")="","",TRIM(G57&amp;""))</f>
        <v/>
      </c>
      <c r="R57" s="10">
        <f>IF(TRIM(B57&amp;"")="","",IFERROR(INDEX(코드표!$K$2:$K$101,MATCH(TRIM(B57&amp;""),코드표!$J$2:$J$101,0)),"⚠"&amp;TRIM(B57&amp;"")))</f>
        <v/>
      </c>
      <c r="S57" s="10">
        <f>IF(TRIM(K57&amp;"")="","",IFERROR(INDEX(코드표!$K$2:$K$101,MATCH(TRIM(K57&amp;""),코드표!$J$2:$J$101,0)),"⚠"&amp;TRIM(K57&amp;"")))</f>
        <v/>
      </c>
      <c r="T57" s="10">
        <f>IF(TRIM(M57&amp;"")="","",IF(ISNUMBER(MATCH(TRIM(M57&amp;""),코드표!$C$2:$C$11,0)),TRIM(M57&amp;""),"⚠"&amp;TRIM(M57&amp;"")))</f>
        <v/>
      </c>
      <c r="U57" s="10">
        <f>IF(TRIM(L57&amp;"")="","",IFERROR(INDEX(코드표!$G$2:$G$101,MATCH(TRIM(L57&amp;""),코드표!$F$2:$F$101,0)),"⚠"&amp;TRIM(L57&amp;"")))</f>
        <v/>
      </c>
      <c r="V57" s="10">
        <f>IF(AND(ISNUMBER(H57),ISNUMBER(I57)),I57-H57+1,"")</f>
        <v/>
      </c>
      <c r="W57" s="17">
        <f>IF(ISNUMBER(H57),MAX(0,MIN(IF(ISNUMBER(I57),I57,EOMONTH(요약!$B$3,0)),EOMONTH(요약!$B$3,0))-MAX(H57,요약!$B$3)+1),0)</f>
        <v/>
      </c>
      <c r="X57" s="10">
        <f>IF(OR(NOT(ISNUMBER(H57)),Q57=""),"",IF(TODAY()&lt;H57,"파견예정",IF(AND(ISNUMBER(I57),TODAY()&gt;I57),"파견종료","파견중")))</f>
        <v/>
      </c>
      <c r="Y57" s="10">
        <f>IF(OR(Q57="",X57=""),"",Q57&amp;"|"&amp;X57)</f>
        <v/>
      </c>
      <c r="Z57" s="10">
        <f>IF(AND(Q57&lt;&gt;"",W57&gt;0),Q57&amp;"|월","")</f>
        <v/>
      </c>
      <c r="AA57" s="10">
        <f>IF(COUNTA(B57:N57)=0,"",IF(Q57="","등록번호 없음",IF(LEFT(R57,1)="⚠","모병원명 미등록",IF(S57="","파견병원 입력",IF(LEFT(S57,1)="⚠","파견병원명 미등록",IF(LEFT(U57,1)="⚠","파견과목 미등록",IF(OR(T57="",LEFT(T57,1)="⚠"),"파견근거 확인",IF(NOT(AND(ISNUMBER(H57),ISNUMBER(I57))),"날짜 형식/누락",IF(I57&lt;H57,"종료일&lt;시작일","")))))))))</f>
        <v/>
      </c>
      <c r="AB57" s="11">
        <f>IF(ISNUMBER(SEARCH("다기관",TRIM(N57&amp;" "&amp;O57))),IFERROR(DATE(VALUE(MID(TRIM(N57&amp;" "&amp;O57),1,4)),VALUE(MID(TRIM(N57&amp;" "&amp;O57),6,2)),VALUE(MID(TRIM(N57&amp;" "&amp;O57),9,2))),IF(ISNUMBER(H57),H57,"")),"")</f>
        <v/>
      </c>
      <c r="AC57" s="11">
        <f>IF(ISNUMBER(SEARCH("다기관",TRIM(N57&amp;" "&amp;O57))),IFERROR(DATE(VALUE(MID(TRIM(N57&amp;" "&amp;O57),12,4)),VALUE(MID(TRIM(N57&amp;" "&amp;O57),17,2)),VALUE(MID(TRIM(N57&amp;" "&amp;O57),20,2))),IF(ISNUMBER(I57),I57,"")),"")</f>
        <v/>
      </c>
      <c r="AD57" s="17">
        <f>IF(AND(ISNUMBER(AB57),ISNUMBER(AC57)),MAX(0,MIN(AC57,EOMONTH(요약!$B$3,0))-MAX(AB57,요약!$B$3)+1),0)</f>
        <v/>
      </c>
      <c r="AE57" s="10">
        <f>IF(AND(Q57&lt;&gt;"",ISNUMBER(AB57)),Q57&amp;"|다기관","")</f>
        <v/>
      </c>
    </row>
    <row r="58">
      <c r="A58" s="15">
        <f>IF(F58="","",ROW()-3)</f>
        <v/>
      </c>
      <c r="B58" s="5" t="n"/>
      <c r="C58" s="15" t="n"/>
      <c r="D58" s="5" t="n"/>
      <c r="E58" s="15" t="n"/>
      <c r="F58" s="5" t="n"/>
      <c r="G58" s="6" t="n"/>
      <c r="H58" s="16" t="n"/>
      <c r="I58" s="16" t="n"/>
      <c r="J58" s="15">
        <f>IF(AND(ISNUMBER(H58),ISNUMBER(I58)),I58-H58+1,"")</f>
        <v/>
      </c>
      <c r="K58" s="5" t="n"/>
      <c r="L58" s="5" t="n"/>
      <c r="M58" s="5" t="n"/>
      <c r="N58" s="5" t="n"/>
      <c r="O58" s="5" t="n"/>
      <c r="Q58" s="10">
        <f>IF(TRIM(G58&amp;"")="","",TRIM(G58&amp;""))</f>
        <v/>
      </c>
      <c r="R58" s="10">
        <f>IF(TRIM(B58&amp;"")="","",IFERROR(INDEX(코드표!$K$2:$K$101,MATCH(TRIM(B58&amp;""),코드표!$J$2:$J$101,0)),"⚠"&amp;TRIM(B58&amp;"")))</f>
        <v/>
      </c>
      <c r="S58" s="10">
        <f>IF(TRIM(K58&amp;"")="","",IFERROR(INDEX(코드표!$K$2:$K$101,MATCH(TRIM(K58&amp;""),코드표!$J$2:$J$101,0)),"⚠"&amp;TRIM(K58&amp;"")))</f>
        <v/>
      </c>
      <c r="T58" s="10">
        <f>IF(TRIM(M58&amp;"")="","",IF(ISNUMBER(MATCH(TRIM(M58&amp;""),코드표!$C$2:$C$11,0)),TRIM(M58&amp;""),"⚠"&amp;TRIM(M58&amp;"")))</f>
        <v/>
      </c>
      <c r="U58" s="10">
        <f>IF(TRIM(L58&amp;"")="","",IFERROR(INDEX(코드표!$G$2:$G$101,MATCH(TRIM(L58&amp;""),코드표!$F$2:$F$101,0)),"⚠"&amp;TRIM(L58&amp;"")))</f>
        <v/>
      </c>
      <c r="V58" s="10">
        <f>IF(AND(ISNUMBER(H58),ISNUMBER(I58)),I58-H58+1,"")</f>
        <v/>
      </c>
      <c r="W58" s="17">
        <f>IF(ISNUMBER(H58),MAX(0,MIN(IF(ISNUMBER(I58),I58,EOMONTH(요약!$B$3,0)),EOMONTH(요약!$B$3,0))-MAX(H58,요약!$B$3)+1),0)</f>
        <v/>
      </c>
      <c r="X58" s="10">
        <f>IF(OR(NOT(ISNUMBER(H58)),Q58=""),"",IF(TODAY()&lt;H58,"파견예정",IF(AND(ISNUMBER(I58),TODAY()&gt;I58),"파견종료","파견중")))</f>
        <v/>
      </c>
      <c r="Y58" s="10">
        <f>IF(OR(Q58="",X58=""),"",Q58&amp;"|"&amp;X58)</f>
        <v/>
      </c>
      <c r="Z58" s="10">
        <f>IF(AND(Q58&lt;&gt;"",W58&gt;0),Q58&amp;"|월","")</f>
        <v/>
      </c>
      <c r="AA58" s="10">
        <f>IF(COUNTA(B58:N58)=0,"",IF(Q58="","등록번호 없음",IF(LEFT(R58,1)="⚠","모병원명 미등록",IF(S58="","파견병원 입력",IF(LEFT(S58,1)="⚠","파견병원명 미등록",IF(LEFT(U58,1)="⚠","파견과목 미등록",IF(OR(T58="",LEFT(T58,1)="⚠"),"파견근거 확인",IF(NOT(AND(ISNUMBER(H58),ISNUMBER(I58))),"날짜 형식/누락",IF(I58&lt;H58,"종료일&lt;시작일","")))))))))</f>
        <v/>
      </c>
      <c r="AB58" s="11">
        <f>IF(ISNUMBER(SEARCH("다기관",TRIM(N58&amp;" "&amp;O58))),IFERROR(DATE(VALUE(MID(TRIM(N58&amp;" "&amp;O58),1,4)),VALUE(MID(TRIM(N58&amp;" "&amp;O58),6,2)),VALUE(MID(TRIM(N58&amp;" "&amp;O58),9,2))),IF(ISNUMBER(H58),H58,"")),"")</f>
        <v/>
      </c>
      <c r="AC58" s="11">
        <f>IF(ISNUMBER(SEARCH("다기관",TRIM(N58&amp;" "&amp;O58))),IFERROR(DATE(VALUE(MID(TRIM(N58&amp;" "&amp;O58),12,4)),VALUE(MID(TRIM(N58&amp;" "&amp;O58),17,2)),VALUE(MID(TRIM(N58&amp;" "&amp;O58),20,2))),IF(ISNUMBER(I58),I58,"")),"")</f>
        <v/>
      </c>
      <c r="AD58" s="17">
        <f>IF(AND(ISNUMBER(AB58),ISNUMBER(AC58)),MAX(0,MIN(AC58,EOMONTH(요약!$B$3,0))-MAX(AB58,요약!$B$3)+1),0)</f>
        <v/>
      </c>
      <c r="AE58" s="10">
        <f>IF(AND(Q58&lt;&gt;"",ISNUMBER(AB58)),Q58&amp;"|다기관","")</f>
        <v/>
      </c>
    </row>
    <row r="59">
      <c r="A59" s="15">
        <f>IF(F59="","",ROW()-3)</f>
        <v/>
      </c>
      <c r="B59" s="5" t="n"/>
      <c r="C59" s="15" t="n"/>
      <c r="D59" s="5" t="n"/>
      <c r="E59" s="15" t="n"/>
      <c r="F59" s="5" t="n"/>
      <c r="G59" s="6" t="n"/>
      <c r="H59" s="16" t="n"/>
      <c r="I59" s="16" t="n"/>
      <c r="J59" s="15">
        <f>IF(AND(ISNUMBER(H59),ISNUMBER(I59)),I59-H59+1,"")</f>
        <v/>
      </c>
      <c r="K59" s="5" t="n"/>
      <c r="L59" s="5" t="n"/>
      <c r="M59" s="5" t="n"/>
      <c r="N59" s="5" t="n"/>
      <c r="O59" s="5" t="n"/>
      <c r="Q59" s="10">
        <f>IF(TRIM(G59&amp;"")="","",TRIM(G59&amp;""))</f>
        <v/>
      </c>
      <c r="R59" s="10">
        <f>IF(TRIM(B59&amp;"")="","",IFERROR(INDEX(코드표!$K$2:$K$101,MATCH(TRIM(B59&amp;""),코드표!$J$2:$J$101,0)),"⚠"&amp;TRIM(B59&amp;"")))</f>
        <v/>
      </c>
      <c r="S59" s="10">
        <f>IF(TRIM(K59&amp;"")="","",IFERROR(INDEX(코드표!$K$2:$K$101,MATCH(TRIM(K59&amp;""),코드표!$J$2:$J$101,0)),"⚠"&amp;TRIM(K59&amp;"")))</f>
        <v/>
      </c>
      <c r="T59" s="10">
        <f>IF(TRIM(M59&amp;"")="","",IF(ISNUMBER(MATCH(TRIM(M59&amp;""),코드표!$C$2:$C$11,0)),TRIM(M59&amp;""),"⚠"&amp;TRIM(M59&amp;"")))</f>
        <v/>
      </c>
      <c r="U59" s="10">
        <f>IF(TRIM(L59&amp;"")="","",IFERROR(INDEX(코드표!$G$2:$G$101,MATCH(TRIM(L59&amp;""),코드표!$F$2:$F$101,0)),"⚠"&amp;TRIM(L59&amp;"")))</f>
        <v/>
      </c>
      <c r="V59" s="10">
        <f>IF(AND(ISNUMBER(H59),ISNUMBER(I59)),I59-H59+1,"")</f>
        <v/>
      </c>
      <c r="W59" s="17">
        <f>IF(ISNUMBER(H59),MAX(0,MIN(IF(ISNUMBER(I59),I59,EOMONTH(요약!$B$3,0)),EOMONTH(요약!$B$3,0))-MAX(H59,요약!$B$3)+1),0)</f>
        <v/>
      </c>
      <c r="X59" s="10">
        <f>IF(OR(NOT(ISNUMBER(H59)),Q59=""),"",IF(TODAY()&lt;H59,"파견예정",IF(AND(ISNUMBER(I59),TODAY()&gt;I59),"파견종료","파견중")))</f>
        <v/>
      </c>
      <c r="Y59" s="10">
        <f>IF(OR(Q59="",X59=""),"",Q59&amp;"|"&amp;X59)</f>
        <v/>
      </c>
      <c r="Z59" s="10">
        <f>IF(AND(Q59&lt;&gt;"",W59&gt;0),Q59&amp;"|월","")</f>
        <v/>
      </c>
      <c r="AA59" s="10">
        <f>IF(COUNTA(B59:N59)=0,"",IF(Q59="","등록번호 없음",IF(LEFT(R59,1)="⚠","모병원명 미등록",IF(S59="","파견병원 입력",IF(LEFT(S59,1)="⚠","파견병원명 미등록",IF(LEFT(U59,1)="⚠","파견과목 미등록",IF(OR(T59="",LEFT(T59,1)="⚠"),"파견근거 확인",IF(NOT(AND(ISNUMBER(H59),ISNUMBER(I59))),"날짜 형식/누락",IF(I59&lt;H59,"종료일&lt;시작일","")))))))))</f>
        <v/>
      </c>
      <c r="AB59" s="11">
        <f>IF(ISNUMBER(SEARCH("다기관",TRIM(N59&amp;" "&amp;O59))),IFERROR(DATE(VALUE(MID(TRIM(N59&amp;" "&amp;O59),1,4)),VALUE(MID(TRIM(N59&amp;" "&amp;O59),6,2)),VALUE(MID(TRIM(N59&amp;" "&amp;O59),9,2))),IF(ISNUMBER(H59),H59,"")),"")</f>
        <v/>
      </c>
      <c r="AC59" s="11">
        <f>IF(ISNUMBER(SEARCH("다기관",TRIM(N59&amp;" "&amp;O59))),IFERROR(DATE(VALUE(MID(TRIM(N59&amp;" "&amp;O59),12,4)),VALUE(MID(TRIM(N59&amp;" "&amp;O59),17,2)),VALUE(MID(TRIM(N59&amp;" "&amp;O59),20,2))),IF(ISNUMBER(I59),I59,"")),"")</f>
        <v/>
      </c>
      <c r="AD59" s="17">
        <f>IF(AND(ISNUMBER(AB59),ISNUMBER(AC59)),MAX(0,MIN(AC59,EOMONTH(요약!$B$3,0))-MAX(AB59,요약!$B$3)+1),0)</f>
        <v/>
      </c>
      <c r="AE59" s="10">
        <f>IF(AND(Q59&lt;&gt;"",ISNUMBER(AB59)),Q59&amp;"|다기관","")</f>
        <v/>
      </c>
    </row>
    <row r="60">
      <c r="A60" s="15">
        <f>IF(F60="","",ROW()-3)</f>
        <v/>
      </c>
      <c r="B60" s="5" t="n"/>
      <c r="C60" s="15" t="n"/>
      <c r="D60" s="5" t="n"/>
      <c r="E60" s="15" t="n"/>
      <c r="F60" s="5" t="n"/>
      <c r="G60" s="6" t="n"/>
      <c r="H60" s="16" t="n"/>
      <c r="I60" s="16" t="n"/>
      <c r="J60" s="15">
        <f>IF(AND(ISNUMBER(H60),ISNUMBER(I60)),I60-H60+1,"")</f>
        <v/>
      </c>
      <c r="K60" s="5" t="n"/>
      <c r="L60" s="5" t="n"/>
      <c r="M60" s="5" t="n"/>
      <c r="N60" s="5" t="n"/>
      <c r="O60" s="5" t="n"/>
      <c r="Q60" s="10">
        <f>IF(TRIM(G60&amp;"")="","",TRIM(G60&amp;""))</f>
        <v/>
      </c>
      <c r="R60" s="10">
        <f>IF(TRIM(B60&amp;"")="","",IFERROR(INDEX(코드표!$K$2:$K$101,MATCH(TRIM(B60&amp;""),코드표!$J$2:$J$101,0)),"⚠"&amp;TRIM(B60&amp;"")))</f>
        <v/>
      </c>
      <c r="S60" s="10">
        <f>IF(TRIM(K60&amp;"")="","",IFERROR(INDEX(코드표!$K$2:$K$101,MATCH(TRIM(K60&amp;""),코드표!$J$2:$J$101,0)),"⚠"&amp;TRIM(K60&amp;"")))</f>
        <v/>
      </c>
      <c r="T60" s="10">
        <f>IF(TRIM(M60&amp;"")="","",IF(ISNUMBER(MATCH(TRIM(M60&amp;""),코드표!$C$2:$C$11,0)),TRIM(M60&amp;""),"⚠"&amp;TRIM(M60&amp;"")))</f>
        <v/>
      </c>
      <c r="U60" s="10">
        <f>IF(TRIM(L60&amp;"")="","",IFERROR(INDEX(코드표!$G$2:$G$101,MATCH(TRIM(L60&amp;""),코드표!$F$2:$F$101,0)),"⚠"&amp;TRIM(L60&amp;"")))</f>
        <v/>
      </c>
      <c r="V60" s="10">
        <f>IF(AND(ISNUMBER(H60),ISNUMBER(I60)),I60-H60+1,"")</f>
        <v/>
      </c>
      <c r="W60" s="17">
        <f>IF(ISNUMBER(H60),MAX(0,MIN(IF(ISNUMBER(I60),I60,EOMONTH(요약!$B$3,0)),EOMONTH(요약!$B$3,0))-MAX(H60,요약!$B$3)+1),0)</f>
        <v/>
      </c>
      <c r="X60" s="10">
        <f>IF(OR(NOT(ISNUMBER(H60)),Q60=""),"",IF(TODAY()&lt;H60,"파견예정",IF(AND(ISNUMBER(I60),TODAY()&gt;I60),"파견종료","파견중")))</f>
        <v/>
      </c>
      <c r="Y60" s="10">
        <f>IF(OR(Q60="",X60=""),"",Q60&amp;"|"&amp;X60)</f>
        <v/>
      </c>
      <c r="Z60" s="10">
        <f>IF(AND(Q60&lt;&gt;"",W60&gt;0),Q60&amp;"|월","")</f>
        <v/>
      </c>
      <c r="AA60" s="10">
        <f>IF(COUNTA(B60:N60)=0,"",IF(Q60="","등록번호 없음",IF(LEFT(R60,1)="⚠","모병원명 미등록",IF(S60="","파견병원 입력",IF(LEFT(S60,1)="⚠","파견병원명 미등록",IF(LEFT(U60,1)="⚠","파견과목 미등록",IF(OR(T60="",LEFT(T60,1)="⚠"),"파견근거 확인",IF(NOT(AND(ISNUMBER(H60),ISNUMBER(I60))),"날짜 형식/누락",IF(I60&lt;H60,"종료일&lt;시작일","")))))))))</f>
        <v/>
      </c>
      <c r="AB60" s="11">
        <f>IF(ISNUMBER(SEARCH("다기관",TRIM(N60&amp;" "&amp;O60))),IFERROR(DATE(VALUE(MID(TRIM(N60&amp;" "&amp;O60),1,4)),VALUE(MID(TRIM(N60&amp;" "&amp;O60),6,2)),VALUE(MID(TRIM(N60&amp;" "&amp;O60),9,2))),IF(ISNUMBER(H60),H60,"")),"")</f>
        <v/>
      </c>
      <c r="AC60" s="11">
        <f>IF(ISNUMBER(SEARCH("다기관",TRIM(N60&amp;" "&amp;O60))),IFERROR(DATE(VALUE(MID(TRIM(N60&amp;" "&amp;O60),12,4)),VALUE(MID(TRIM(N60&amp;" "&amp;O60),17,2)),VALUE(MID(TRIM(N60&amp;" "&amp;O60),20,2))),IF(ISNUMBER(I60),I60,"")),"")</f>
        <v/>
      </c>
      <c r="AD60" s="17">
        <f>IF(AND(ISNUMBER(AB60),ISNUMBER(AC60)),MAX(0,MIN(AC60,EOMONTH(요약!$B$3,0))-MAX(AB60,요약!$B$3)+1),0)</f>
        <v/>
      </c>
      <c r="AE60" s="10">
        <f>IF(AND(Q60&lt;&gt;"",ISNUMBER(AB60)),Q60&amp;"|다기관","")</f>
        <v/>
      </c>
    </row>
    <row r="61">
      <c r="A61" s="15">
        <f>IF(F61="","",ROW()-3)</f>
        <v/>
      </c>
      <c r="B61" s="5" t="n"/>
      <c r="C61" s="15" t="n"/>
      <c r="D61" s="5" t="n"/>
      <c r="E61" s="15" t="n"/>
      <c r="F61" s="5" t="n"/>
      <c r="G61" s="6" t="n"/>
      <c r="H61" s="16" t="n"/>
      <c r="I61" s="16" t="n"/>
      <c r="J61" s="15">
        <f>IF(AND(ISNUMBER(H61),ISNUMBER(I61)),I61-H61+1,"")</f>
        <v/>
      </c>
      <c r="K61" s="5" t="n"/>
      <c r="L61" s="5" t="n"/>
      <c r="M61" s="5" t="n"/>
      <c r="N61" s="5" t="n"/>
      <c r="O61" s="5" t="n"/>
      <c r="Q61" s="10">
        <f>IF(TRIM(G61&amp;"")="","",TRIM(G61&amp;""))</f>
        <v/>
      </c>
      <c r="R61" s="10">
        <f>IF(TRIM(B61&amp;"")="","",IFERROR(INDEX(코드표!$K$2:$K$101,MATCH(TRIM(B61&amp;""),코드표!$J$2:$J$101,0)),"⚠"&amp;TRIM(B61&amp;"")))</f>
        <v/>
      </c>
      <c r="S61" s="10">
        <f>IF(TRIM(K61&amp;"")="","",IFERROR(INDEX(코드표!$K$2:$K$101,MATCH(TRIM(K61&amp;""),코드표!$J$2:$J$101,0)),"⚠"&amp;TRIM(K61&amp;"")))</f>
        <v/>
      </c>
      <c r="T61" s="10">
        <f>IF(TRIM(M61&amp;"")="","",IF(ISNUMBER(MATCH(TRIM(M61&amp;""),코드표!$C$2:$C$11,0)),TRIM(M61&amp;""),"⚠"&amp;TRIM(M61&amp;"")))</f>
        <v/>
      </c>
      <c r="U61" s="10">
        <f>IF(TRIM(L61&amp;"")="","",IFERROR(INDEX(코드표!$G$2:$G$101,MATCH(TRIM(L61&amp;""),코드표!$F$2:$F$101,0)),"⚠"&amp;TRIM(L61&amp;"")))</f>
        <v/>
      </c>
      <c r="V61" s="10">
        <f>IF(AND(ISNUMBER(H61),ISNUMBER(I61)),I61-H61+1,"")</f>
        <v/>
      </c>
      <c r="W61" s="17">
        <f>IF(ISNUMBER(H61),MAX(0,MIN(IF(ISNUMBER(I61),I61,EOMONTH(요약!$B$3,0)),EOMONTH(요약!$B$3,0))-MAX(H61,요약!$B$3)+1),0)</f>
        <v/>
      </c>
      <c r="X61" s="10">
        <f>IF(OR(NOT(ISNUMBER(H61)),Q61=""),"",IF(TODAY()&lt;H61,"파견예정",IF(AND(ISNUMBER(I61),TODAY()&gt;I61),"파견종료","파견중")))</f>
        <v/>
      </c>
      <c r="Y61" s="10">
        <f>IF(OR(Q61="",X61=""),"",Q61&amp;"|"&amp;X61)</f>
        <v/>
      </c>
      <c r="Z61" s="10">
        <f>IF(AND(Q61&lt;&gt;"",W61&gt;0),Q61&amp;"|월","")</f>
        <v/>
      </c>
      <c r="AA61" s="10">
        <f>IF(COUNTA(B61:N61)=0,"",IF(Q61="","등록번호 없음",IF(LEFT(R61,1)="⚠","모병원명 미등록",IF(S61="","파견병원 입력",IF(LEFT(S61,1)="⚠","파견병원명 미등록",IF(LEFT(U61,1)="⚠","파견과목 미등록",IF(OR(T61="",LEFT(T61,1)="⚠"),"파견근거 확인",IF(NOT(AND(ISNUMBER(H61),ISNUMBER(I61))),"날짜 형식/누락",IF(I61&lt;H61,"종료일&lt;시작일","")))))))))</f>
        <v/>
      </c>
      <c r="AB61" s="11">
        <f>IF(ISNUMBER(SEARCH("다기관",TRIM(N61&amp;" "&amp;O61))),IFERROR(DATE(VALUE(MID(TRIM(N61&amp;" "&amp;O61),1,4)),VALUE(MID(TRIM(N61&amp;" "&amp;O61),6,2)),VALUE(MID(TRIM(N61&amp;" "&amp;O61),9,2))),IF(ISNUMBER(H61),H61,"")),"")</f>
        <v/>
      </c>
      <c r="AC61" s="11">
        <f>IF(ISNUMBER(SEARCH("다기관",TRIM(N61&amp;" "&amp;O61))),IFERROR(DATE(VALUE(MID(TRIM(N61&amp;" "&amp;O61),12,4)),VALUE(MID(TRIM(N61&amp;" "&amp;O61),17,2)),VALUE(MID(TRIM(N61&amp;" "&amp;O61),20,2))),IF(ISNUMBER(I61),I61,"")),"")</f>
        <v/>
      </c>
      <c r="AD61" s="17">
        <f>IF(AND(ISNUMBER(AB61),ISNUMBER(AC61)),MAX(0,MIN(AC61,EOMONTH(요약!$B$3,0))-MAX(AB61,요약!$B$3)+1),0)</f>
        <v/>
      </c>
      <c r="AE61" s="10">
        <f>IF(AND(Q61&lt;&gt;"",ISNUMBER(AB61)),Q61&amp;"|다기관","")</f>
        <v/>
      </c>
    </row>
    <row r="62">
      <c r="A62" s="15">
        <f>IF(F62="","",ROW()-3)</f>
        <v/>
      </c>
      <c r="B62" s="5" t="n"/>
      <c r="C62" s="15" t="n"/>
      <c r="D62" s="5" t="n"/>
      <c r="E62" s="15" t="n"/>
      <c r="F62" s="5" t="n"/>
      <c r="G62" s="6" t="n"/>
      <c r="H62" s="16" t="n"/>
      <c r="I62" s="16" t="n"/>
      <c r="J62" s="15">
        <f>IF(AND(ISNUMBER(H62),ISNUMBER(I62)),I62-H62+1,"")</f>
        <v/>
      </c>
      <c r="K62" s="5" t="n"/>
      <c r="L62" s="5" t="n"/>
      <c r="M62" s="5" t="n"/>
      <c r="N62" s="5" t="n"/>
      <c r="O62" s="5" t="n"/>
      <c r="Q62" s="10">
        <f>IF(TRIM(G62&amp;"")="","",TRIM(G62&amp;""))</f>
        <v/>
      </c>
      <c r="R62" s="10">
        <f>IF(TRIM(B62&amp;"")="","",IFERROR(INDEX(코드표!$K$2:$K$101,MATCH(TRIM(B62&amp;""),코드표!$J$2:$J$101,0)),"⚠"&amp;TRIM(B62&amp;"")))</f>
        <v/>
      </c>
      <c r="S62" s="10">
        <f>IF(TRIM(K62&amp;"")="","",IFERROR(INDEX(코드표!$K$2:$K$101,MATCH(TRIM(K62&amp;""),코드표!$J$2:$J$101,0)),"⚠"&amp;TRIM(K62&amp;"")))</f>
        <v/>
      </c>
      <c r="T62" s="10">
        <f>IF(TRIM(M62&amp;"")="","",IF(ISNUMBER(MATCH(TRIM(M62&amp;""),코드표!$C$2:$C$11,0)),TRIM(M62&amp;""),"⚠"&amp;TRIM(M62&amp;"")))</f>
        <v/>
      </c>
      <c r="U62" s="10">
        <f>IF(TRIM(L62&amp;"")="","",IFERROR(INDEX(코드표!$G$2:$G$101,MATCH(TRIM(L62&amp;""),코드표!$F$2:$F$101,0)),"⚠"&amp;TRIM(L62&amp;"")))</f>
        <v/>
      </c>
      <c r="V62" s="10">
        <f>IF(AND(ISNUMBER(H62),ISNUMBER(I62)),I62-H62+1,"")</f>
        <v/>
      </c>
      <c r="W62" s="17">
        <f>IF(ISNUMBER(H62),MAX(0,MIN(IF(ISNUMBER(I62),I62,EOMONTH(요약!$B$3,0)),EOMONTH(요약!$B$3,0))-MAX(H62,요약!$B$3)+1),0)</f>
        <v/>
      </c>
      <c r="X62" s="10">
        <f>IF(OR(NOT(ISNUMBER(H62)),Q62=""),"",IF(TODAY()&lt;H62,"파견예정",IF(AND(ISNUMBER(I62),TODAY()&gt;I62),"파견종료","파견중")))</f>
        <v/>
      </c>
      <c r="Y62" s="10">
        <f>IF(OR(Q62="",X62=""),"",Q62&amp;"|"&amp;X62)</f>
        <v/>
      </c>
      <c r="Z62" s="10">
        <f>IF(AND(Q62&lt;&gt;"",W62&gt;0),Q62&amp;"|월","")</f>
        <v/>
      </c>
      <c r="AA62" s="10">
        <f>IF(COUNTA(B62:N62)=0,"",IF(Q62="","등록번호 없음",IF(LEFT(R62,1)="⚠","모병원명 미등록",IF(S62="","파견병원 입력",IF(LEFT(S62,1)="⚠","파견병원명 미등록",IF(LEFT(U62,1)="⚠","파견과목 미등록",IF(OR(T62="",LEFT(T62,1)="⚠"),"파견근거 확인",IF(NOT(AND(ISNUMBER(H62),ISNUMBER(I62))),"날짜 형식/누락",IF(I62&lt;H62,"종료일&lt;시작일","")))))))))</f>
        <v/>
      </c>
      <c r="AB62" s="11">
        <f>IF(ISNUMBER(SEARCH("다기관",TRIM(N62&amp;" "&amp;O62))),IFERROR(DATE(VALUE(MID(TRIM(N62&amp;" "&amp;O62),1,4)),VALUE(MID(TRIM(N62&amp;" "&amp;O62),6,2)),VALUE(MID(TRIM(N62&amp;" "&amp;O62),9,2))),IF(ISNUMBER(H62),H62,"")),"")</f>
        <v/>
      </c>
      <c r="AC62" s="11">
        <f>IF(ISNUMBER(SEARCH("다기관",TRIM(N62&amp;" "&amp;O62))),IFERROR(DATE(VALUE(MID(TRIM(N62&amp;" "&amp;O62),12,4)),VALUE(MID(TRIM(N62&amp;" "&amp;O62),17,2)),VALUE(MID(TRIM(N62&amp;" "&amp;O62),20,2))),IF(ISNUMBER(I62),I62,"")),"")</f>
        <v/>
      </c>
      <c r="AD62" s="17">
        <f>IF(AND(ISNUMBER(AB62),ISNUMBER(AC62)),MAX(0,MIN(AC62,EOMONTH(요약!$B$3,0))-MAX(AB62,요약!$B$3)+1),0)</f>
        <v/>
      </c>
      <c r="AE62" s="10">
        <f>IF(AND(Q62&lt;&gt;"",ISNUMBER(AB62)),Q62&amp;"|다기관","")</f>
        <v/>
      </c>
    </row>
    <row r="63">
      <c r="A63" s="15">
        <f>IF(F63="","",ROW()-3)</f>
        <v/>
      </c>
      <c r="B63" s="5" t="n"/>
      <c r="C63" s="15" t="n"/>
      <c r="D63" s="5" t="n"/>
      <c r="E63" s="15" t="n"/>
      <c r="F63" s="5" t="n"/>
      <c r="G63" s="6" t="n"/>
      <c r="H63" s="16" t="n"/>
      <c r="I63" s="16" t="n"/>
      <c r="J63" s="15">
        <f>IF(AND(ISNUMBER(H63),ISNUMBER(I63)),I63-H63+1,"")</f>
        <v/>
      </c>
      <c r="K63" s="5" t="n"/>
      <c r="L63" s="5" t="n"/>
      <c r="M63" s="5" t="n"/>
      <c r="N63" s="5" t="n"/>
      <c r="O63" s="5" t="n"/>
      <c r="Q63" s="10">
        <f>IF(TRIM(G63&amp;"")="","",TRIM(G63&amp;""))</f>
        <v/>
      </c>
      <c r="R63" s="10">
        <f>IF(TRIM(B63&amp;"")="","",IFERROR(INDEX(코드표!$K$2:$K$101,MATCH(TRIM(B63&amp;""),코드표!$J$2:$J$101,0)),"⚠"&amp;TRIM(B63&amp;"")))</f>
        <v/>
      </c>
      <c r="S63" s="10">
        <f>IF(TRIM(K63&amp;"")="","",IFERROR(INDEX(코드표!$K$2:$K$101,MATCH(TRIM(K63&amp;""),코드표!$J$2:$J$101,0)),"⚠"&amp;TRIM(K63&amp;"")))</f>
        <v/>
      </c>
      <c r="T63" s="10">
        <f>IF(TRIM(M63&amp;"")="","",IF(ISNUMBER(MATCH(TRIM(M63&amp;""),코드표!$C$2:$C$11,0)),TRIM(M63&amp;""),"⚠"&amp;TRIM(M63&amp;"")))</f>
        <v/>
      </c>
      <c r="U63" s="10">
        <f>IF(TRIM(L63&amp;"")="","",IFERROR(INDEX(코드표!$G$2:$G$101,MATCH(TRIM(L63&amp;""),코드표!$F$2:$F$101,0)),"⚠"&amp;TRIM(L63&amp;"")))</f>
        <v/>
      </c>
      <c r="V63" s="10">
        <f>IF(AND(ISNUMBER(H63),ISNUMBER(I63)),I63-H63+1,"")</f>
        <v/>
      </c>
      <c r="W63" s="17">
        <f>IF(ISNUMBER(H63),MAX(0,MIN(IF(ISNUMBER(I63),I63,EOMONTH(요약!$B$3,0)),EOMONTH(요약!$B$3,0))-MAX(H63,요약!$B$3)+1),0)</f>
        <v/>
      </c>
      <c r="X63" s="10">
        <f>IF(OR(NOT(ISNUMBER(H63)),Q63=""),"",IF(TODAY()&lt;H63,"파견예정",IF(AND(ISNUMBER(I63),TODAY()&gt;I63),"파견종료","파견중")))</f>
        <v/>
      </c>
      <c r="Y63" s="10">
        <f>IF(OR(Q63="",X63=""),"",Q63&amp;"|"&amp;X63)</f>
        <v/>
      </c>
      <c r="Z63" s="10">
        <f>IF(AND(Q63&lt;&gt;"",W63&gt;0),Q63&amp;"|월","")</f>
        <v/>
      </c>
      <c r="AA63" s="10">
        <f>IF(COUNTA(B63:N63)=0,"",IF(Q63="","등록번호 없음",IF(LEFT(R63,1)="⚠","모병원명 미등록",IF(S63="","파견병원 입력",IF(LEFT(S63,1)="⚠","파견병원명 미등록",IF(LEFT(U63,1)="⚠","파견과목 미등록",IF(OR(T63="",LEFT(T63,1)="⚠"),"파견근거 확인",IF(NOT(AND(ISNUMBER(H63),ISNUMBER(I63))),"날짜 형식/누락",IF(I63&lt;H63,"종료일&lt;시작일","")))))))))</f>
        <v/>
      </c>
      <c r="AB63" s="11">
        <f>IF(ISNUMBER(SEARCH("다기관",TRIM(N63&amp;" "&amp;O63))),IFERROR(DATE(VALUE(MID(TRIM(N63&amp;" "&amp;O63),1,4)),VALUE(MID(TRIM(N63&amp;" "&amp;O63),6,2)),VALUE(MID(TRIM(N63&amp;" "&amp;O63),9,2))),IF(ISNUMBER(H63),H63,"")),"")</f>
        <v/>
      </c>
      <c r="AC63" s="11">
        <f>IF(ISNUMBER(SEARCH("다기관",TRIM(N63&amp;" "&amp;O63))),IFERROR(DATE(VALUE(MID(TRIM(N63&amp;" "&amp;O63),12,4)),VALUE(MID(TRIM(N63&amp;" "&amp;O63),17,2)),VALUE(MID(TRIM(N63&amp;" "&amp;O63),20,2))),IF(ISNUMBER(I63),I63,"")),"")</f>
        <v/>
      </c>
      <c r="AD63" s="17">
        <f>IF(AND(ISNUMBER(AB63),ISNUMBER(AC63)),MAX(0,MIN(AC63,EOMONTH(요약!$B$3,0))-MAX(AB63,요약!$B$3)+1),0)</f>
        <v/>
      </c>
      <c r="AE63" s="10">
        <f>IF(AND(Q63&lt;&gt;"",ISNUMBER(AB63)),Q63&amp;"|다기관","")</f>
        <v/>
      </c>
    </row>
    <row r="64">
      <c r="A64" s="15">
        <f>IF(F64="","",ROW()-3)</f>
        <v/>
      </c>
      <c r="B64" s="5" t="n"/>
      <c r="C64" s="15" t="n"/>
      <c r="D64" s="5" t="n"/>
      <c r="E64" s="15" t="n"/>
      <c r="F64" s="5" t="n"/>
      <c r="G64" s="6" t="n"/>
      <c r="H64" s="16" t="n"/>
      <c r="I64" s="16" t="n"/>
      <c r="J64" s="15">
        <f>IF(AND(ISNUMBER(H64),ISNUMBER(I64)),I64-H64+1,"")</f>
        <v/>
      </c>
      <c r="K64" s="5" t="n"/>
      <c r="L64" s="5" t="n"/>
      <c r="M64" s="5" t="n"/>
      <c r="N64" s="5" t="n"/>
      <c r="O64" s="5" t="n"/>
      <c r="Q64" s="10">
        <f>IF(TRIM(G64&amp;"")="","",TRIM(G64&amp;""))</f>
        <v/>
      </c>
      <c r="R64" s="10">
        <f>IF(TRIM(B64&amp;"")="","",IFERROR(INDEX(코드표!$K$2:$K$101,MATCH(TRIM(B64&amp;""),코드표!$J$2:$J$101,0)),"⚠"&amp;TRIM(B64&amp;"")))</f>
        <v/>
      </c>
      <c r="S64" s="10">
        <f>IF(TRIM(K64&amp;"")="","",IFERROR(INDEX(코드표!$K$2:$K$101,MATCH(TRIM(K64&amp;""),코드표!$J$2:$J$101,0)),"⚠"&amp;TRIM(K64&amp;"")))</f>
        <v/>
      </c>
      <c r="T64" s="10">
        <f>IF(TRIM(M64&amp;"")="","",IF(ISNUMBER(MATCH(TRIM(M64&amp;""),코드표!$C$2:$C$11,0)),TRIM(M64&amp;""),"⚠"&amp;TRIM(M64&amp;"")))</f>
        <v/>
      </c>
      <c r="U64" s="10">
        <f>IF(TRIM(L64&amp;"")="","",IFERROR(INDEX(코드표!$G$2:$G$101,MATCH(TRIM(L64&amp;""),코드표!$F$2:$F$101,0)),"⚠"&amp;TRIM(L64&amp;"")))</f>
        <v/>
      </c>
      <c r="V64" s="10">
        <f>IF(AND(ISNUMBER(H64),ISNUMBER(I64)),I64-H64+1,"")</f>
        <v/>
      </c>
      <c r="W64" s="17">
        <f>IF(ISNUMBER(H64),MAX(0,MIN(IF(ISNUMBER(I64),I64,EOMONTH(요약!$B$3,0)),EOMONTH(요약!$B$3,0))-MAX(H64,요약!$B$3)+1),0)</f>
        <v/>
      </c>
      <c r="X64" s="10">
        <f>IF(OR(NOT(ISNUMBER(H64)),Q64=""),"",IF(TODAY()&lt;H64,"파견예정",IF(AND(ISNUMBER(I64),TODAY()&gt;I64),"파견종료","파견중")))</f>
        <v/>
      </c>
      <c r="Y64" s="10">
        <f>IF(OR(Q64="",X64=""),"",Q64&amp;"|"&amp;X64)</f>
        <v/>
      </c>
      <c r="Z64" s="10">
        <f>IF(AND(Q64&lt;&gt;"",W64&gt;0),Q64&amp;"|월","")</f>
        <v/>
      </c>
      <c r="AA64" s="10">
        <f>IF(COUNTA(B64:N64)=0,"",IF(Q64="","등록번호 없음",IF(LEFT(R64,1)="⚠","모병원명 미등록",IF(S64="","파견병원 입력",IF(LEFT(S64,1)="⚠","파견병원명 미등록",IF(LEFT(U64,1)="⚠","파견과목 미등록",IF(OR(T64="",LEFT(T64,1)="⚠"),"파견근거 확인",IF(NOT(AND(ISNUMBER(H64),ISNUMBER(I64))),"날짜 형식/누락",IF(I64&lt;H64,"종료일&lt;시작일","")))))))))</f>
        <v/>
      </c>
      <c r="AB64" s="11">
        <f>IF(ISNUMBER(SEARCH("다기관",TRIM(N64&amp;" "&amp;O64))),IFERROR(DATE(VALUE(MID(TRIM(N64&amp;" "&amp;O64),1,4)),VALUE(MID(TRIM(N64&amp;" "&amp;O64),6,2)),VALUE(MID(TRIM(N64&amp;" "&amp;O64),9,2))),IF(ISNUMBER(H64),H64,"")),"")</f>
        <v/>
      </c>
      <c r="AC64" s="11">
        <f>IF(ISNUMBER(SEARCH("다기관",TRIM(N64&amp;" "&amp;O64))),IFERROR(DATE(VALUE(MID(TRIM(N64&amp;" "&amp;O64),12,4)),VALUE(MID(TRIM(N64&amp;" "&amp;O64),17,2)),VALUE(MID(TRIM(N64&amp;" "&amp;O64),20,2))),IF(ISNUMBER(I64),I64,"")),"")</f>
        <v/>
      </c>
      <c r="AD64" s="17">
        <f>IF(AND(ISNUMBER(AB64),ISNUMBER(AC64)),MAX(0,MIN(AC64,EOMONTH(요약!$B$3,0))-MAX(AB64,요약!$B$3)+1),0)</f>
        <v/>
      </c>
      <c r="AE64" s="10">
        <f>IF(AND(Q64&lt;&gt;"",ISNUMBER(AB64)),Q64&amp;"|다기관","")</f>
        <v/>
      </c>
    </row>
    <row r="65">
      <c r="A65" s="15">
        <f>IF(F65="","",ROW()-3)</f>
        <v/>
      </c>
      <c r="B65" s="5" t="n"/>
      <c r="C65" s="15" t="n"/>
      <c r="D65" s="5" t="n"/>
      <c r="E65" s="15" t="n"/>
      <c r="F65" s="5" t="n"/>
      <c r="G65" s="6" t="n"/>
      <c r="H65" s="16" t="n"/>
      <c r="I65" s="16" t="n"/>
      <c r="J65" s="15">
        <f>IF(AND(ISNUMBER(H65),ISNUMBER(I65)),I65-H65+1,"")</f>
        <v/>
      </c>
      <c r="K65" s="5" t="n"/>
      <c r="L65" s="5" t="n"/>
      <c r="M65" s="5" t="n"/>
      <c r="N65" s="5" t="n"/>
      <c r="O65" s="5" t="n"/>
      <c r="Q65" s="10">
        <f>IF(TRIM(G65&amp;"")="","",TRIM(G65&amp;""))</f>
        <v/>
      </c>
      <c r="R65" s="10">
        <f>IF(TRIM(B65&amp;"")="","",IFERROR(INDEX(코드표!$K$2:$K$101,MATCH(TRIM(B65&amp;""),코드표!$J$2:$J$101,0)),"⚠"&amp;TRIM(B65&amp;"")))</f>
        <v/>
      </c>
      <c r="S65" s="10">
        <f>IF(TRIM(K65&amp;"")="","",IFERROR(INDEX(코드표!$K$2:$K$101,MATCH(TRIM(K65&amp;""),코드표!$J$2:$J$101,0)),"⚠"&amp;TRIM(K65&amp;"")))</f>
        <v/>
      </c>
      <c r="T65" s="10">
        <f>IF(TRIM(M65&amp;"")="","",IF(ISNUMBER(MATCH(TRIM(M65&amp;""),코드표!$C$2:$C$11,0)),TRIM(M65&amp;""),"⚠"&amp;TRIM(M65&amp;"")))</f>
        <v/>
      </c>
      <c r="U65" s="10">
        <f>IF(TRIM(L65&amp;"")="","",IFERROR(INDEX(코드표!$G$2:$G$101,MATCH(TRIM(L65&amp;""),코드표!$F$2:$F$101,0)),"⚠"&amp;TRIM(L65&amp;"")))</f>
        <v/>
      </c>
      <c r="V65" s="10">
        <f>IF(AND(ISNUMBER(H65),ISNUMBER(I65)),I65-H65+1,"")</f>
        <v/>
      </c>
      <c r="W65" s="17">
        <f>IF(ISNUMBER(H65),MAX(0,MIN(IF(ISNUMBER(I65),I65,EOMONTH(요약!$B$3,0)),EOMONTH(요약!$B$3,0))-MAX(H65,요약!$B$3)+1),0)</f>
        <v/>
      </c>
      <c r="X65" s="10">
        <f>IF(OR(NOT(ISNUMBER(H65)),Q65=""),"",IF(TODAY()&lt;H65,"파견예정",IF(AND(ISNUMBER(I65),TODAY()&gt;I65),"파견종료","파견중")))</f>
        <v/>
      </c>
      <c r="Y65" s="10">
        <f>IF(OR(Q65="",X65=""),"",Q65&amp;"|"&amp;X65)</f>
        <v/>
      </c>
      <c r="Z65" s="10">
        <f>IF(AND(Q65&lt;&gt;"",W65&gt;0),Q65&amp;"|월","")</f>
        <v/>
      </c>
      <c r="AA65" s="10">
        <f>IF(COUNTA(B65:N65)=0,"",IF(Q65="","등록번호 없음",IF(LEFT(R65,1)="⚠","모병원명 미등록",IF(S65="","파견병원 입력",IF(LEFT(S65,1)="⚠","파견병원명 미등록",IF(LEFT(U65,1)="⚠","파견과목 미등록",IF(OR(T65="",LEFT(T65,1)="⚠"),"파견근거 확인",IF(NOT(AND(ISNUMBER(H65),ISNUMBER(I65))),"날짜 형식/누락",IF(I65&lt;H65,"종료일&lt;시작일","")))))))))</f>
        <v/>
      </c>
      <c r="AB65" s="11">
        <f>IF(ISNUMBER(SEARCH("다기관",TRIM(N65&amp;" "&amp;O65))),IFERROR(DATE(VALUE(MID(TRIM(N65&amp;" "&amp;O65),1,4)),VALUE(MID(TRIM(N65&amp;" "&amp;O65),6,2)),VALUE(MID(TRIM(N65&amp;" "&amp;O65),9,2))),IF(ISNUMBER(H65),H65,"")),"")</f>
        <v/>
      </c>
      <c r="AC65" s="11">
        <f>IF(ISNUMBER(SEARCH("다기관",TRIM(N65&amp;" "&amp;O65))),IFERROR(DATE(VALUE(MID(TRIM(N65&amp;" "&amp;O65),12,4)),VALUE(MID(TRIM(N65&amp;" "&amp;O65),17,2)),VALUE(MID(TRIM(N65&amp;" "&amp;O65),20,2))),IF(ISNUMBER(I65),I65,"")),"")</f>
        <v/>
      </c>
      <c r="AD65" s="17">
        <f>IF(AND(ISNUMBER(AB65),ISNUMBER(AC65)),MAX(0,MIN(AC65,EOMONTH(요약!$B$3,0))-MAX(AB65,요약!$B$3)+1),0)</f>
        <v/>
      </c>
      <c r="AE65" s="10">
        <f>IF(AND(Q65&lt;&gt;"",ISNUMBER(AB65)),Q65&amp;"|다기관","")</f>
        <v/>
      </c>
    </row>
    <row r="66">
      <c r="A66" s="15">
        <f>IF(F66="","",ROW()-3)</f>
        <v/>
      </c>
      <c r="B66" s="5" t="n"/>
      <c r="C66" s="15" t="n"/>
      <c r="D66" s="5" t="n"/>
      <c r="E66" s="15" t="n"/>
      <c r="F66" s="5" t="n"/>
      <c r="G66" s="6" t="n"/>
      <c r="H66" s="16" t="n"/>
      <c r="I66" s="16" t="n"/>
      <c r="J66" s="15">
        <f>IF(AND(ISNUMBER(H66),ISNUMBER(I66)),I66-H66+1,"")</f>
        <v/>
      </c>
      <c r="K66" s="5" t="n"/>
      <c r="L66" s="5" t="n"/>
      <c r="M66" s="5" t="n"/>
      <c r="N66" s="5" t="n"/>
      <c r="O66" s="5" t="n"/>
      <c r="Q66" s="10">
        <f>IF(TRIM(G66&amp;"")="","",TRIM(G66&amp;""))</f>
        <v/>
      </c>
      <c r="R66" s="10">
        <f>IF(TRIM(B66&amp;"")="","",IFERROR(INDEX(코드표!$K$2:$K$101,MATCH(TRIM(B66&amp;""),코드표!$J$2:$J$101,0)),"⚠"&amp;TRIM(B66&amp;"")))</f>
        <v/>
      </c>
      <c r="S66" s="10">
        <f>IF(TRIM(K66&amp;"")="","",IFERROR(INDEX(코드표!$K$2:$K$101,MATCH(TRIM(K66&amp;""),코드표!$J$2:$J$101,0)),"⚠"&amp;TRIM(K66&amp;"")))</f>
        <v/>
      </c>
      <c r="T66" s="10">
        <f>IF(TRIM(M66&amp;"")="","",IF(ISNUMBER(MATCH(TRIM(M66&amp;""),코드표!$C$2:$C$11,0)),TRIM(M66&amp;""),"⚠"&amp;TRIM(M66&amp;"")))</f>
        <v/>
      </c>
      <c r="U66" s="10">
        <f>IF(TRIM(L66&amp;"")="","",IFERROR(INDEX(코드표!$G$2:$G$101,MATCH(TRIM(L66&amp;""),코드표!$F$2:$F$101,0)),"⚠"&amp;TRIM(L66&amp;"")))</f>
        <v/>
      </c>
      <c r="V66" s="10">
        <f>IF(AND(ISNUMBER(H66),ISNUMBER(I66)),I66-H66+1,"")</f>
        <v/>
      </c>
      <c r="W66" s="17">
        <f>IF(ISNUMBER(H66),MAX(0,MIN(IF(ISNUMBER(I66),I66,EOMONTH(요약!$B$3,0)),EOMONTH(요약!$B$3,0))-MAX(H66,요약!$B$3)+1),0)</f>
        <v/>
      </c>
      <c r="X66" s="10">
        <f>IF(OR(NOT(ISNUMBER(H66)),Q66=""),"",IF(TODAY()&lt;H66,"파견예정",IF(AND(ISNUMBER(I66),TODAY()&gt;I66),"파견종료","파견중")))</f>
        <v/>
      </c>
      <c r="Y66" s="10">
        <f>IF(OR(Q66="",X66=""),"",Q66&amp;"|"&amp;X66)</f>
        <v/>
      </c>
      <c r="Z66" s="10">
        <f>IF(AND(Q66&lt;&gt;"",W66&gt;0),Q66&amp;"|월","")</f>
        <v/>
      </c>
      <c r="AA66" s="10">
        <f>IF(COUNTA(B66:N66)=0,"",IF(Q66="","등록번호 없음",IF(LEFT(R66,1)="⚠","모병원명 미등록",IF(S66="","파견병원 입력",IF(LEFT(S66,1)="⚠","파견병원명 미등록",IF(LEFT(U66,1)="⚠","파견과목 미등록",IF(OR(T66="",LEFT(T66,1)="⚠"),"파견근거 확인",IF(NOT(AND(ISNUMBER(H66),ISNUMBER(I66))),"날짜 형식/누락",IF(I66&lt;H66,"종료일&lt;시작일","")))))))))</f>
        <v/>
      </c>
      <c r="AB66" s="11">
        <f>IF(ISNUMBER(SEARCH("다기관",TRIM(N66&amp;" "&amp;O66))),IFERROR(DATE(VALUE(MID(TRIM(N66&amp;" "&amp;O66),1,4)),VALUE(MID(TRIM(N66&amp;" "&amp;O66),6,2)),VALUE(MID(TRIM(N66&amp;" "&amp;O66),9,2))),IF(ISNUMBER(H66),H66,"")),"")</f>
        <v/>
      </c>
      <c r="AC66" s="11">
        <f>IF(ISNUMBER(SEARCH("다기관",TRIM(N66&amp;" "&amp;O66))),IFERROR(DATE(VALUE(MID(TRIM(N66&amp;" "&amp;O66),12,4)),VALUE(MID(TRIM(N66&amp;" "&amp;O66),17,2)),VALUE(MID(TRIM(N66&amp;" "&amp;O66),20,2))),IF(ISNUMBER(I66),I66,"")),"")</f>
        <v/>
      </c>
      <c r="AD66" s="17">
        <f>IF(AND(ISNUMBER(AB66),ISNUMBER(AC66)),MAX(0,MIN(AC66,EOMONTH(요약!$B$3,0))-MAX(AB66,요약!$B$3)+1),0)</f>
        <v/>
      </c>
      <c r="AE66" s="10">
        <f>IF(AND(Q66&lt;&gt;"",ISNUMBER(AB66)),Q66&amp;"|다기관","")</f>
        <v/>
      </c>
    </row>
    <row r="67">
      <c r="A67" s="15">
        <f>IF(F67="","",ROW()-3)</f>
        <v/>
      </c>
      <c r="B67" s="5" t="n"/>
      <c r="C67" s="15" t="n"/>
      <c r="D67" s="5" t="n"/>
      <c r="E67" s="15" t="n"/>
      <c r="F67" s="5" t="n"/>
      <c r="G67" s="6" t="n"/>
      <c r="H67" s="16" t="n"/>
      <c r="I67" s="16" t="n"/>
      <c r="J67" s="15">
        <f>IF(AND(ISNUMBER(H67),ISNUMBER(I67)),I67-H67+1,"")</f>
        <v/>
      </c>
      <c r="K67" s="5" t="n"/>
      <c r="L67" s="5" t="n"/>
      <c r="M67" s="5" t="n"/>
      <c r="N67" s="5" t="n"/>
      <c r="O67" s="5" t="n"/>
      <c r="Q67" s="10">
        <f>IF(TRIM(G67&amp;"")="","",TRIM(G67&amp;""))</f>
        <v/>
      </c>
      <c r="R67" s="10">
        <f>IF(TRIM(B67&amp;"")="","",IFERROR(INDEX(코드표!$K$2:$K$101,MATCH(TRIM(B67&amp;""),코드표!$J$2:$J$101,0)),"⚠"&amp;TRIM(B67&amp;"")))</f>
        <v/>
      </c>
      <c r="S67" s="10">
        <f>IF(TRIM(K67&amp;"")="","",IFERROR(INDEX(코드표!$K$2:$K$101,MATCH(TRIM(K67&amp;""),코드표!$J$2:$J$101,0)),"⚠"&amp;TRIM(K67&amp;"")))</f>
        <v/>
      </c>
      <c r="T67" s="10">
        <f>IF(TRIM(M67&amp;"")="","",IF(ISNUMBER(MATCH(TRIM(M67&amp;""),코드표!$C$2:$C$11,0)),TRIM(M67&amp;""),"⚠"&amp;TRIM(M67&amp;"")))</f>
        <v/>
      </c>
      <c r="U67" s="10">
        <f>IF(TRIM(L67&amp;"")="","",IFERROR(INDEX(코드표!$G$2:$G$101,MATCH(TRIM(L67&amp;""),코드표!$F$2:$F$101,0)),"⚠"&amp;TRIM(L67&amp;"")))</f>
        <v/>
      </c>
      <c r="V67" s="10">
        <f>IF(AND(ISNUMBER(H67),ISNUMBER(I67)),I67-H67+1,"")</f>
        <v/>
      </c>
      <c r="W67" s="17">
        <f>IF(ISNUMBER(H67),MAX(0,MIN(IF(ISNUMBER(I67),I67,EOMONTH(요약!$B$3,0)),EOMONTH(요약!$B$3,0))-MAX(H67,요약!$B$3)+1),0)</f>
        <v/>
      </c>
      <c r="X67" s="10">
        <f>IF(OR(NOT(ISNUMBER(H67)),Q67=""),"",IF(TODAY()&lt;H67,"파견예정",IF(AND(ISNUMBER(I67),TODAY()&gt;I67),"파견종료","파견중")))</f>
        <v/>
      </c>
      <c r="Y67" s="10">
        <f>IF(OR(Q67="",X67=""),"",Q67&amp;"|"&amp;X67)</f>
        <v/>
      </c>
      <c r="Z67" s="10">
        <f>IF(AND(Q67&lt;&gt;"",W67&gt;0),Q67&amp;"|월","")</f>
        <v/>
      </c>
      <c r="AA67" s="10">
        <f>IF(COUNTA(B67:N67)=0,"",IF(Q67="","등록번호 없음",IF(LEFT(R67,1)="⚠","모병원명 미등록",IF(S67="","파견병원 입력",IF(LEFT(S67,1)="⚠","파견병원명 미등록",IF(LEFT(U67,1)="⚠","파견과목 미등록",IF(OR(T67="",LEFT(T67,1)="⚠"),"파견근거 확인",IF(NOT(AND(ISNUMBER(H67),ISNUMBER(I67))),"날짜 형식/누락",IF(I67&lt;H67,"종료일&lt;시작일","")))))))))</f>
        <v/>
      </c>
      <c r="AB67" s="11">
        <f>IF(ISNUMBER(SEARCH("다기관",TRIM(N67&amp;" "&amp;O67))),IFERROR(DATE(VALUE(MID(TRIM(N67&amp;" "&amp;O67),1,4)),VALUE(MID(TRIM(N67&amp;" "&amp;O67),6,2)),VALUE(MID(TRIM(N67&amp;" "&amp;O67),9,2))),IF(ISNUMBER(H67),H67,"")),"")</f>
        <v/>
      </c>
      <c r="AC67" s="11">
        <f>IF(ISNUMBER(SEARCH("다기관",TRIM(N67&amp;" "&amp;O67))),IFERROR(DATE(VALUE(MID(TRIM(N67&amp;" "&amp;O67),12,4)),VALUE(MID(TRIM(N67&amp;" "&amp;O67),17,2)),VALUE(MID(TRIM(N67&amp;" "&amp;O67),20,2))),IF(ISNUMBER(I67),I67,"")),"")</f>
        <v/>
      </c>
      <c r="AD67" s="17">
        <f>IF(AND(ISNUMBER(AB67),ISNUMBER(AC67)),MAX(0,MIN(AC67,EOMONTH(요약!$B$3,0))-MAX(AB67,요약!$B$3)+1),0)</f>
        <v/>
      </c>
      <c r="AE67" s="10">
        <f>IF(AND(Q67&lt;&gt;"",ISNUMBER(AB67)),Q67&amp;"|다기관","")</f>
        <v/>
      </c>
    </row>
    <row r="68">
      <c r="A68" s="15">
        <f>IF(F68="","",ROW()-3)</f>
        <v/>
      </c>
      <c r="B68" s="5" t="n"/>
      <c r="C68" s="15" t="n"/>
      <c r="D68" s="5" t="n"/>
      <c r="E68" s="15" t="n"/>
      <c r="F68" s="5" t="n"/>
      <c r="G68" s="6" t="n"/>
      <c r="H68" s="16" t="n"/>
      <c r="I68" s="16" t="n"/>
      <c r="J68" s="15">
        <f>IF(AND(ISNUMBER(H68),ISNUMBER(I68)),I68-H68+1,"")</f>
        <v/>
      </c>
      <c r="K68" s="5" t="n"/>
      <c r="L68" s="5" t="n"/>
      <c r="M68" s="5" t="n"/>
      <c r="N68" s="5" t="n"/>
      <c r="O68" s="5" t="n"/>
      <c r="Q68" s="10">
        <f>IF(TRIM(G68&amp;"")="","",TRIM(G68&amp;""))</f>
        <v/>
      </c>
      <c r="R68" s="10">
        <f>IF(TRIM(B68&amp;"")="","",IFERROR(INDEX(코드표!$K$2:$K$101,MATCH(TRIM(B68&amp;""),코드표!$J$2:$J$101,0)),"⚠"&amp;TRIM(B68&amp;"")))</f>
        <v/>
      </c>
      <c r="S68" s="10">
        <f>IF(TRIM(K68&amp;"")="","",IFERROR(INDEX(코드표!$K$2:$K$101,MATCH(TRIM(K68&amp;""),코드표!$J$2:$J$101,0)),"⚠"&amp;TRIM(K68&amp;"")))</f>
        <v/>
      </c>
      <c r="T68" s="10">
        <f>IF(TRIM(M68&amp;"")="","",IF(ISNUMBER(MATCH(TRIM(M68&amp;""),코드표!$C$2:$C$11,0)),TRIM(M68&amp;""),"⚠"&amp;TRIM(M68&amp;"")))</f>
        <v/>
      </c>
      <c r="U68" s="10">
        <f>IF(TRIM(L68&amp;"")="","",IFERROR(INDEX(코드표!$G$2:$G$101,MATCH(TRIM(L68&amp;""),코드표!$F$2:$F$101,0)),"⚠"&amp;TRIM(L68&amp;"")))</f>
        <v/>
      </c>
      <c r="V68" s="10">
        <f>IF(AND(ISNUMBER(H68),ISNUMBER(I68)),I68-H68+1,"")</f>
        <v/>
      </c>
      <c r="W68" s="17">
        <f>IF(ISNUMBER(H68),MAX(0,MIN(IF(ISNUMBER(I68),I68,EOMONTH(요약!$B$3,0)),EOMONTH(요약!$B$3,0))-MAX(H68,요약!$B$3)+1),0)</f>
        <v/>
      </c>
      <c r="X68" s="10">
        <f>IF(OR(NOT(ISNUMBER(H68)),Q68=""),"",IF(TODAY()&lt;H68,"파견예정",IF(AND(ISNUMBER(I68),TODAY()&gt;I68),"파견종료","파견중")))</f>
        <v/>
      </c>
      <c r="Y68" s="10">
        <f>IF(OR(Q68="",X68=""),"",Q68&amp;"|"&amp;X68)</f>
        <v/>
      </c>
      <c r="Z68" s="10">
        <f>IF(AND(Q68&lt;&gt;"",W68&gt;0),Q68&amp;"|월","")</f>
        <v/>
      </c>
      <c r="AA68" s="10">
        <f>IF(COUNTA(B68:N68)=0,"",IF(Q68="","등록번호 없음",IF(LEFT(R68,1)="⚠","모병원명 미등록",IF(S68="","파견병원 입력",IF(LEFT(S68,1)="⚠","파견병원명 미등록",IF(LEFT(U68,1)="⚠","파견과목 미등록",IF(OR(T68="",LEFT(T68,1)="⚠"),"파견근거 확인",IF(NOT(AND(ISNUMBER(H68),ISNUMBER(I68))),"날짜 형식/누락",IF(I68&lt;H68,"종료일&lt;시작일","")))))))))</f>
        <v/>
      </c>
      <c r="AB68" s="11">
        <f>IF(ISNUMBER(SEARCH("다기관",TRIM(N68&amp;" "&amp;O68))),IFERROR(DATE(VALUE(MID(TRIM(N68&amp;" "&amp;O68),1,4)),VALUE(MID(TRIM(N68&amp;" "&amp;O68),6,2)),VALUE(MID(TRIM(N68&amp;" "&amp;O68),9,2))),IF(ISNUMBER(H68),H68,"")),"")</f>
        <v/>
      </c>
      <c r="AC68" s="11">
        <f>IF(ISNUMBER(SEARCH("다기관",TRIM(N68&amp;" "&amp;O68))),IFERROR(DATE(VALUE(MID(TRIM(N68&amp;" "&amp;O68),12,4)),VALUE(MID(TRIM(N68&amp;" "&amp;O68),17,2)),VALUE(MID(TRIM(N68&amp;" "&amp;O68),20,2))),IF(ISNUMBER(I68),I68,"")),"")</f>
        <v/>
      </c>
      <c r="AD68" s="17">
        <f>IF(AND(ISNUMBER(AB68),ISNUMBER(AC68)),MAX(0,MIN(AC68,EOMONTH(요약!$B$3,0))-MAX(AB68,요약!$B$3)+1),0)</f>
        <v/>
      </c>
      <c r="AE68" s="10">
        <f>IF(AND(Q68&lt;&gt;"",ISNUMBER(AB68)),Q68&amp;"|다기관","")</f>
        <v/>
      </c>
    </row>
    <row r="69">
      <c r="A69" s="15">
        <f>IF(F69="","",ROW()-3)</f>
        <v/>
      </c>
      <c r="B69" s="5" t="n"/>
      <c r="C69" s="15" t="n"/>
      <c r="D69" s="5" t="n"/>
      <c r="E69" s="15" t="n"/>
      <c r="F69" s="5" t="n"/>
      <c r="G69" s="6" t="n"/>
      <c r="H69" s="16" t="n"/>
      <c r="I69" s="16" t="n"/>
      <c r="J69" s="15">
        <f>IF(AND(ISNUMBER(H69),ISNUMBER(I69)),I69-H69+1,"")</f>
        <v/>
      </c>
      <c r="K69" s="5" t="n"/>
      <c r="L69" s="5" t="n"/>
      <c r="M69" s="5" t="n"/>
      <c r="N69" s="5" t="n"/>
      <c r="O69" s="5" t="n"/>
      <c r="Q69" s="10">
        <f>IF(TRIM(G69&amp;"")="","",TRIM(G69&amp;""))</f>
        <v/>
      </c>
      <c r="R69" s="10">
        <f>IF(TRIM(B69&amp;"")="","",IFERROR(INDEX(코드표!$K$2:$K$101,MATCH(TRIM(B69&amp;""),코드표!$J$2:$J$101,0)),"⚠"&amp;TRIM(B69&amp;"")))</f>
        <v/>
      </c>
      <c r="S69" s="10">
        <f>IF(TRIM(K69&amp;"")="","",IFERROR(INDEX(코드표!$K$2:$K$101,MATCH(TRIM(K69&amp;""),코드표!$J$2:$J$101,0)),"⚠"&amp;TRIM(K69&amp;"")))</f>
        <v/>
      </c>
      <c r="T69" s="10">
        <f>IF(TRIM(M69&amp;"")="","",IF(ISNUMBER(MATCH(TRIM(M69&amp;""),코드표!$C$2:$C$11,0)),TRIM(M69&amp;""),"⚠"&amp;TRIM(M69&amp;"")))</f>
        <v/>
      </c>
      <c r="U69" s="10">
        <f>IF(TRIM(L69&amp;"")="","",IFERROR(INDEX(코드표!$G$2:$G$101,MATCH(TRIM(L69&amp;""),코드표!$F$2:$F$101,0)),"⚠"&amp;TRIM(L69&amp;"")))</f>
        <v/>
      </c>
      <c r="V69" s="10">
        <f>IF(AND(ISNUMBER(H69),ISNUMBER(I69)),I69-H69+1,"")</f>
        <v/>
      </c>
      <c r="W69" s="17">
        <f>IF(ISNUMBER(H69),MAX(0,MIN(IF(ISNUMBER(I69),I69,EOMONTH(요약!$B$3,0)),EOMONTH(요약!$B$3,0))-MAX(H69,요약!$B$3)+1),0)</f>
        <v/>
      </c>
      <c r="X69" s="10">
        <f>IF(OR(NOT(ISNUMBER(H69)),Q69=""),"",IF(TODAY()&lt;H69,"파견예정",IF(AND(ISNUMBER(I69),TODAY()&gt;I69),"파견종료","파견중")))</f>
        <v/>
      </c>
      <c r="Y69" s="10">
        <f>IF(OR(Q69="",X69=""),"",Q69&amp;"|"&amp;X69)</f>
        <v/>
      </c>
      <c r="Z69" s="10">
        <f>IF(AND(Q69&lt;&gt;"",W69&gt;0),Q69&amp;"|월","")</f>
        <v/>
      </c>
      <c r="AA69" s="10">
        <f>IF(COUNTA(B69:N69)=0,"",IF(Q69="","등록번호 없음",IF(LEFT(R69,1)="⚠","모병원명 미등록",IF(S69="","파견병원 입력",IF(LEFT(S69,1)="⚠","파견병원명 미등록",IF(LEFT(U69,1)="⚠","파견과목 미등록",IF(OR(T69="",LEFT(T69,1)="⚠"),"파견근거 확인",IF(NOT(AND(ISNUMBER(H69),ISNUMBER(I69))),"날짜 형식/누락",IF(I69&lt;H69,"종료일&lt;시작일","")))))))))</f>
        <v/>
      </c>
      <c r="AB69" s="11">
        <f>IF(ISNUMBER(SEARCH("다기관",TRIM(N69&amp;" "&amp;O69))),IFERROR(DATE(VALUE(MID(TRIM(N69&amp;" "&amp;O69),1,4)),VALUE(MID(TRIM(N69&amp;" "&amp;O69),6,2)),VALUE(MID(TRIM(N69&amp;" "&amp;O69),9,2))),IF(ISNUMBER(H69),H69,"")),"")</f>
        <v/>
      </c>
      <c r="AC69" s="11">
        <f>IF(ISNUMBER(SEARCH("다기관",TRIM(N69&amp;" "&amp;O69))),IFERROR(DATE(VALUE(MID(TRIM(N69&amp;" "&amp;O69),12,4)),VALUE(MID(TRIM(N69&amp;" "&amp;O69),17,2)),VALUE(MID(TRIM(N69&amp;" "&amp;O69),20,2))),IF(ISNUMBER(I69),I69,"")),"")</f>
        <v/>
      </c>
      <c r="AD69" s="17">
        <f>IF(AND(ISNUMBER(AB69),ISNUMBER(AC69)),MAX(0,MIN(AC69,EOMONTH(요약!$B$3,0))-MAX(AB69,요약!$B$3)+1),0)</f>
        <v/>
      </c>
      <c r="AE69" s="10">
        <f>IF(AND(Q69&lt;&gt;"",ISNUMBER(AB69)),Q69&amp;"|다기관","")</f>
        <v/>
      </c>
    </row>
    <row r="70">
      <c r="A70" s="15">
        <f>IF(F70="","",ROW()-3)</f>
        <v/>
      </c>
      <c r="B70" s="5" t="n"/>
      <c r="C70" s="15" t="n"/>
      <c r="D70" s="5" t="n"/>
      <c r="E70" s="15" t="n"/>
      <c r="F70" s="5" t="n"/>
      <c r="G70" s="6" t="n"/>
      <c r="H70" s="16" t="n"/>
      <c r="I70" s="16" t="n"/>
      <c r="J70" s="15">
        <f>IF(AND(ISNUMBER(H70),ISNUMBER(I70)),I70-H70+1,"")</f>
        <v/>
      </c>
      <c r="K70" s="5" t="n"/>
      <c r="L70" s="5" t="n"/>
      <c r="M70" s="5" t="n"/>
      <c r="N70" s="5" t="n"/>
      <c r="O70" s="5" t="n"/>
      <c r="Q70" s="10">
        <f>IF(TRIM(G70&amp;"")="","",TRIM(G70&amp;""))</f>
        <v/>
      </c>
      <c r="R70" s="10">
        <f>IF(TRIM(B70&amp;"")="","",IFERROR(INDEX(코드표!$K$2:$K$101,MATCH(TRIM(B70&amp;""),코드표!$J$2:$J$101,0)),"⚠"&amp;TRIM(B70&amp;"")))</f>
        <v/>
      </c>
      <c r="S70" s="10">
        <f>IF(TRIM(K70&amp;"")="","",IFERROR(INDEX(코드표!$K$2:$K$101,MATCH(TRIM(K70&amp;""),코드표!$J$2:$J$101,0)),"⚠"&amp;TRIM(K70&amp;"")))</f>
        <v/>
      </c>
      <c r="T70" s="10">
        <f>IF(TRIM(M70&amp;"")="","",IF(ISNUMBER(MATCH(TRIM(M70&amp;""),코드표!$C$2:$C$11,0)),TRIM(M70&amp;""),"⚠"&amp;TRIM(M70&amp;"")))</f>
        <v/>
      </c>
      <c r="U70" s="10">
        <f>IF(TRIM(L70&amp;"")="","",IFERROR(INDEX(코드표!$G$2:$G$101,MATCH(TRIM(L70&amp;""),코드표!$F$2:$F$101,0)),"⚠"&amp;TRIM(L70&amp;"")))</f>
        <v/>
      </c>
      <c r="V70" s="10">
        <f>IF(AND(ISNUMBER(H70),ISNUMBER(I70)),I70-H70+1,"")</f>
        <v/>
      </c>
      <c r="W70" s="17">
        <f>IF(ISNUMBER(H70),MAX(0,MIN(IF(ISNUMBER(I70),I70,EOMONTH(요약!$B$3,0)),EOMONTH(요약!$B$3,0))-MAX(H70,요약!$B$3)+1),0)</f>
        <v/>
      </c>
      <c r="X70" s="10">
        <f>IF(OR(NOT(ISNUMBER(H70)),Q70=""),"",IF(TODAY()&lt;H70,"파견예정",IF(AND(ISNUMBER(I70),TODAY()&gt;I70),"파견종료","파견중")))</f>
        <v/>
      </c>
      <c r="Y70" s="10">
        <f>IF(OR(Q70="",X70=""),"",Q70&amp;"|"&amp;X70)</f>
        <v/>
      </c>
      <c r="Z70" s="10">
        <f>IF(AND(Q70&lt;&gt;"",W70&gt;0),Q70&amp;"|월","")</f>
        <v/>
      </c>
      <c r="AA70" s="10">
        <f>IF(COUNTA(B70:N70)=0,"",IF(Q70="","등록번호 없음",IF(LEFT(R70,1)="⚠","모병원명 미등록",IF(S70="","파견병원 입력",IF(LEFT(S70,1)="⚠","파견병원명 미등록",IF(LEFT(U70,1)="⚠","파견과목 미등록",IF(OR(T70="",LEFT(T70,1)="⚠"),"파견근거 확인",IF(NOT(AND(ISNUMBER(H70),ISNUMBER(I70))),"날짜 형식/누락",IF(I70&lt;H70,"종료일&lt;시작일","")))))))))</f>
        <v/>
      </c>
      <c r="AB70" s="11">
        <f>IF(ISNUMBER(SEARCH("다기관",TRIM(N70&amp;" "&amp;O70))),IFERROR(DATE(VALUE(MID(TRIM(N70&amp;" "&amp;O70),1,4)),VALUE(MID(TRIM(N70&amp;" "&amp;O70),6,2)),VALUE(MID(TRIM(N70&amp;" "&amp;O70),9,2))),IF(ISNUMBER(H70),H70,"")),"")</f>
        <v/>
      </c>
      <c r="AC70" s="11">
        <f>IF(ISNUMBER(SEARCH("다기관",TRIM(N70&amp;" "&amp;O70))),IFERROR(DATE(VALUE(MID(TRIM(N70&amp;" "&amp;O70),12,4)),VALUE(MID(TRIM(N70&amp;" "&amp;O70),17,2)),VALUE(MID(TRIM(N70&amp;" "&amp;O70),20,2))),IF(ISNUMBER(I70),I70,"")),"")</f>
        <v/>
      </c>
      <c r="AD70" s="17">
        <f>IF(AND(ISNUMBER(AB70),ISNUMBER(AC70)),MAX(0,MIN(AC70,EOMONTH(요약!$B$3,0))-MAX(AB70,요약!$B$3)+1),0)</f>
        <v/>
      </c>
      <c r="AE70" s="10">
        <f>IF(AND(Q70&lt;&gt;"",ISNUMBER(AB70)),Q70&amp;"|다기관","")</f>
        <v/>
      </c>
    </row>
    <row r="71">
      <c r="A71" s="15">
        <f>IF(F71="","",ROW()-3)</f>
        <v/>
      </c>
      <c r="B71" s="5" t="n"/>
      <c r="C71" s="15" t="n"/>
      <c r="D71" s="5" t="n"/>
      <c r="E71" s="15" t="n"/>
      <c r="F71" s="5" t="n"/>
      <c r="G71" s="6" t="n"/>
      <c r="H71" s="16" t="n"/>
      <c r="I71" s="16" t="n"/>
      <c r="J71" s="15">
        <f>IF(AND(ISNUMBER(H71),ISNUMBER(I71)),I71-H71+1,"")</f>
        <v/>
      </c>
      <c r="K71" s="5" t="n"/>
      <c r="L71" s="5" t="n"/>
      <c r="M71" s="5" t="n"/>
      <c r="N71" s="5" t="n"/>
      <c r="O71" s="5" t="n"/>
      <c r="Q71" s="10">
        <f>IF(TRIM(G71&amp;"")="","",TRIM(G71&amp;""))</f>
        <v/>
      </c>
      <c r="R71" s="10">
        <f>IF(TRIM(B71&amp;"")="","",IFERROR(INDEX(코드표!$K$2:$K$101,MATCH(TRIM(B71&amp;""),코드표!$J$2:$J$101,0)),"⚠"&amp;TRIM(B71&amp;"")))</f>
        <v/>
      </c>
      <c r="S71" s="10">
        <f>IF(TRIM(K71&amp;"")="","",IFERROR(INDEX(코드표!$K$2:$K$101,MATCH(TRIM(K71&amp;""),코드표!$J$2:$J$101,0)),"⚠"&amp;TRIM(K71&amp;"")))</f>
        <v/>
      </c>
      <c r="T71" s="10">
        <f>IF(TRIM(M71&amp;"")="","",IF(ISNUMBER(MATCH(TRIM(M71&amp;""),코드표!$C$2:$C$11,0)),TRIM(M71&amp;""),"⚠"&amp;TRIM(M71&amp;"")))</f>
        <v/>
      </c>
      <c r="U71" s="10">
        <f>IF(TRIM(L71&amp;"")="","",IFERROR(INDEX(코드표!$G$2:$G$101,MATCH(TRIM(L71&amp;""),코드표!$F$2:$F$101,0)),"⚠"&amp;TRIM(L71&amp;"")))</f>
        <v/>
      </c>
      <c r="V71" s="10">
        <f>IF(AND(ISNUMBER(H71),ISNUMBER(I71)),I71-H71+1,"")</f>
        <v/>
      </c>
      <c r="W71" s="17">
        <f>IF(ISNUMBER(H71),MAX(0,MIN(IF(ISNUMBER(I71),I71,EOMONTH(요약!$B$3,0)),EOMONTH(요약!$B$3,0))-MAX(H71,요약!$B$3)+1),0)</f>
        <v/>
      </c>
      <c r="X71" s="10">
        <f>IF(OR(NOT(ISNUMBER(H71)),Q71=""),"",IF(TODAY()&lt;H71,"파견예정",IF(AND(ISNUMBER(I71),TODAY()&gt;I71),"파견종료","파견중")))</f>
        <v/>
      </c>
      <c r="Y71" s="10">
        <f>IF(OR(Q71="",X71=""),"",Q71&amp;"|"&amp;X71)</f>
        <v/>
      </c>
      <c r="Z71" s="10">
        <f>IF(AND(Q71&lt;&gt;"",W71&gt;0),Q71&amp;"|월","")</f>
        <v/>
      </c>
      <c r="AA71" s="10">
        <f>IF(COUNTA(B71:N71)=0,"",IF(Q71="","등록번호 없음",IF(LEFT(R71,1)="⚠","모병원명 미등록",IF(S71="","파견병원 입력",IF(LEFT(S71,1)="⚠","파견병원명 미등록",IF(LEFT(U71,1)="⚠","파견과목 미등록",IF(OR(T71="",LEFT(T71,1)="⚠"),"파견근거 확인",IF(NOT(AND(ISNUMBER(H71),ISNUMBER(I71))),"날짜 형식/누락",IF(I71&lt;H71,"종료일&lt;시작일","")))))))))</f>
        <v/>
      </c>
      <c r="AB71" s="11">
        <f>IF(ISNUMBER(SEARCH("다기관",TRIM(N71&amp;" "&amp;O71))),IFERROR(DATE(VALUE(MID(TRIM(N71&amp;" "&amp;O71),1,4)),VALUE(MID(TRIM(N71&amp;" "&amp;O71),6,2)),VALUE(MID(TRIM(N71&amp;" "&amp;O71),9,2))),IF(ISNUMBER(H71),H71,"")),"")</f>
        <v/>
      </c>
      <c r="AC71" s="11">
        <f>IF(ISNUMBER(SEARCH("다기관",TRIM(N71&amp;" "&amp;O71))),IFERROR(DATE(VALUE(MID(TRIM(N71&amp;" "&amp;O71),12,4)),VALUE(MID(TRIM(N71&amp;" "&amp;O71),17,2)),VALUE(MID(TRIM(N71&amp;" "&amp;O71),20,2))),IF(ISNUMBER(I71),I71,"")),"")</f>
        <v/>
      </c>
      <c r="AD71" s="17">
        <f>IF(AND(ISNUMBER(AB71),ISNUMBER(AC71)),MAX(0,MIN(AC71,EOMONTH(요약!$B$3,0))-MAX(AB71,요약!$B$3)+1),0)</f>
        <v/>
      </c>
      <c r="AE71" s="10">
        <f>IF(AND(Q71&lt;&gt;"",ISNUMBER(AB71)),Q71&amp;"|다기관","")</f>
        <v/>
      </c>
    </row>
    <row r="72">
      <c r="A72" s="15">
        <f>IF(F72="","",ROW()-3)</f>
        <v/>
      </c>
      <c r="B72" s="5" t="n"/>
      <c r="C72" s="15" t="n"/>
      <c r="D72" s="5" t="n"/>
      <c r="E72" s="15" t="n"/>
      <c r="F72" s="5" t="n"/>
      <c r="G72" s="6" t="n"/>
      <c r="H72" s="16" t="n"/>
      <c r="I72" s="16" t="n"/>
      <c r="J72" s="15">
        <f>IF(AND(ISNUMBER(H72),ISNUMBER(I72)),I72-H72+1,"")</f>
        <v/>
      </c>
      <c r="K72" s="5" t="n"/>
      <c r="L72" s="5" t="n"/>
      <c r="M72" s="5" t="n"/>
      <c r="N72" s="5" t="n"/>
      <c r="O72" s="5" t="n"/>
      <c r="Q72" s="10">
        <f>IF(TRIM(G72&amp;"")="","",TRIM(G72&amp;""))</f>
        <v/>
      </c>
      <c r="R72" s="10">
        <f>IF(TRIM(B72&amp;"")="","",IFERROR(INDEX(코드표!$K$2:$K$101,MATCH(TRIM(B72&amp;""),코드표!$J$2:$J$101,0)),"⚠"&amp;TRIM(B72&amp;"")))</f>
        <v/>
      </c>
      <c r="S72" s="10">
        <f>IF(TRIM(K72&amp;"")="","",IFERROR(INDEX(코드표!$K$2:$K$101,MATCH(TRIM(K72&amp;""),코드표!$J$2:$J$101,0)),"⚠"&amp;TRIM(K72&amp;"")))</f>
        <v/>
      </c>
      <c r="T72" s="10">
        <f>IF(TRIM(M72&amp;"")="","",IF(ISNUMBER(MATCH(TRIM(M72&amp;""),코드표!$C$2:$C$11,0)),TRIM(M72&amp;""),"⚠"&amp;TRIM(M72&amp;"")))</f>
        <v/>
      </c>
      <c r="U72" s="10">
        <f>IF(TRIM(L72&amp;"")="","",IFERROR(INDEX(코드표!$G$2:$G$101,MATCH(TRIM(L72&amp;""),코드표!$F$2:$F$101,0)),"⚠"&amp;TRIM(L72&amp;"")))</f>
        <v/>
      </c>
      <c r="V72" s="10">
        <f>IF(AND(ISNUMBER(H72),ISNUMBER(I72)),I72-H72+1,"")</f>
        <v/>
      </c>
      <c r="W72" s="17">
        <f>IF(ISNUMBER(H72),MAX(0,MIN(IF(ISNUMBER(I72),I72,EOMONTH(요약!$B$3,0)),EOMONTH(요약!$B$3,0))-MAX(H72,요약!$B$3)+1),0)</f>
        <v/>
      </c>
      <c r="X72" s="10">
        <f>IF(OR(NOT(ISNUMBER(H72)),Q72=""),"",IF(TODAY()&lt;H72,"파견예정",IF(AND(ISNUMBER(I72),TODAY()&gt;I72),"파견종료","파견중")))</f>
        <v/>
      </c>
      <c r="Y72" s="10">
        <f>IF(OR(Q72="",X72=""),"",Q72&amp;"|"&amp;X72)</f>
        <v/>
      </c>
      <c r="Z72" s="10">
        <f>IF(AND(Q72&lt;&gt;"",W72&gt;0),Q72&amp;"|월","")</f>
        <v/>
      </c>
      <c r="AA72" s="10">
        <f>IF(COUNTA(B72:N72)=0,"",IF(Q72="","등록번호 없음",IF(LEFT(R72,1)="⚠","모병원명 미등록",IF(S72="","파견병원 입력",IF(LEFT(S72,1)="⚠","파견병원명 미등록",IF(LEFT(U72,1)="⚠","파견과목 미등록",IF(OR(T72="",LEFT(T72,1)="⚠"),"파견근거 확인",IF(NOT(AND(ISNUMBER(H72),ISNUMBER(I72))),"날짜 형식/누락",IF(I72&lt;H72,"종료일&lt;시작일","")))))))))</f>
        <v/>
      </c>
      <c r="AB72" s="11">
        <f>IF(ISNUMBER(SEARCH("다기관",TRIM(N72&amp;" "&amp;O72))),IFERROR(DATE(VALUE(MID(TRIM(N72&amp;" "&amp;O72),1,4)),VALUE(MID(TRIM(N72&amp;" "&amp;O72),6,2)),VALUE(MID(TRIM(N72&amp;" "&amp;O72),9,2))),IF(ISNUMBER(H72),H72,"")),"")</f>
        <v/>
      </c>
      <c r="AC72" s="11">
        <f>IF(ISNUMBER(SEARCH("다기관",TRIM(N72&amp;" "&amp;O72))),IFERROR(DATE(VALUE(MID(TRIM(N72&amp;" "&amp;O72),12,4)),VALUE(MID(TRIM(N72&amp;" "&amp;O72),17,2)),VALUE(MID(TRIM(N72&amp;" "&amp;O72),20,2))),IF(ISNUMBER(I72),I72,"")),"")</f>
        <v/>
      </c>
      <c r="AD72" s="17">
        <f>IF(AND(ISNUMBER(AB72),ISNUMBER(AC72)),MAX(0,MIN(AC72,EOMONTH(요약!$B$3,0))-MAX(AB72,요약!$B$3)+1),0)</f>
        <v/>
      </c>
      <c r="AE72" s="10">
        <f>IF(AND(Q72&lt;&gt;"",ISNUMBER(AB72)),Q72&amp;"|다기관","")</f>
        <v/>
      </c>
    </row>
    <row r="73">
      <c r="A73" s="15">
        <f>IF(F73="","",ROW()-3)</f>
        <v/>
      </c>
      <c r="B73" s="5" t="n"/>
      <c r="C73" s="15" t="n"/>
      <c r="D73" s="5" t="n"/>
      <c r="E73" s="15" t="n"/>
      <c r="F73" s="5" t="n"/>
      <c r="G73" s="6" t="n"/>
      <c r="H73" s="16" t="n"/>
      <c r="I73" s="16" t="n"/>
      <c r="J73" s="15">
        <f>IF(AND(ISNUMBER(H73),ISNUMBER(I73)),I73-H73+1,"")</f>
        <v/>
      </c>
      <c r="K73" s="5" t="n"/>
      <c r="L73" s="5" t="n"/>
      <c r="M73" s="5" t="n"/>
      <c r="N73" s="5" t="n"/>
      <c r="O73" s="5" t="n"/>
      <c r="Q73" s="10">
        <f>IF(TRIM(G73&amp;"")="","",TRIM(G73&amp;""))</f>
        <v/>
      </c>
      <c r="R73" s="10">
        <f>IF(TRIM(B73&amp;"")="","",IFERROR(INDEX(코드표!$K$2:$K$101,MATCH(TRIM(B73&amp;""),코드표!$J$2:$J$101,0)),"⚠"&amp;TRIM(B73&amp;"")))</f>
        <v/>
      </c>
      <c r="S73" s="10">
        <f>IF(TRIM(K73&amp;"")="","",IFERROR(INDEX(코드표!$K$2:$K$101,MATCH(TRIM(K73&amp;""),코드표!$J$2:$J$101,0)),"⚠"&amp;TRIM(K73&amp;"")))</f>
        <v/>
      </c>
      <c r="T73" s="10">
        <f>IF(TRIM(M73&amp;"")="","",IF(ISNUMBER(MATCH(TRIM(M73&amp;""),코드표!$C$2:$C$11,0)),TRIM(M73&amp;""),"⚠"&amp;TRIM(M73&amp;"")))</f>
        <v/>
      </c>
      <c r="U73" s="10">
        <f>IF(TRIM(L73&amp;"")="","",IFERROR(INDEX(코드표!$G$2:$G$101,MATCH(TRIM(L73&amp;""),코드표!$F$2:$F$101,0)),"⚠"&amp;TRIM(L73&amp;"")))</f>
        <v/>
      </c>
      <c r="V73" s="10">
        <f>IF(AND(ISNUMBER(H73),ISNUMBER(I73)),I73-H73+1,"")</f>
        <v/>
      </c>
      <c r="W73" s="17">
        <f>IF(ISNUMBER(H73),MAX(0,MIN(IF(ISNUMBER(I73),I73,EOMONTH(요약!$B$3,0)),EOMONTH(요약!$B$3,0))-MAX(H73,요약!$B$3)+1),0)</f>
        <v/>
      </c>
      <c r="X73" s="10">
        <f>IF(OR(NOT(ISNUMBER(H73)),Q73=""),"",IF(TODAY()&lt;H73,"파견예정",IF(AND(ISNUMBER(I73),TODAY()&gt;I73),"파견종료","파견중")))</f>
        <v/>
      </c>
      <c r="Y73" s="10">
        <f>IF(OR(Q73="",X73=""),"",Q73&amp;"|"&amp;X73)</f>
        <v/>
      </c>
      <c r="Z73" s="10">
        <f>IF(AND(Q73&lt;&gt;"",W73&gt;0),Q73&amp;"|월","")</f>
        <v/>
      </c>
      <c r="AA73" s="10">
        <f>IF(COUNTA(B73:N73)=0,"",IF(Q73="","등록번호 없음",IF(LEFT(R73,1)="⚠","모병원명 미등록",IF(S73="","파견병원 입력",IF(LEFT(S73,1)="⚠","파견병원명 미등록",IF(LEFT(U73,1)="⚠","파견과목 미등록",IF(OR(T73="",LEFT(T73,1)="⚠"),"파견근거 확인",IF(NOT(AND(ISNUMBER(H73),ISNUMBER(I73))),"날짜 형식/누락",IF(I73&lt;H73,"종료일&lt;시작일","")))))))))</f>
        <v/>
      </c>
      <c r="AB73" s="11">
        <f>IF(ISNUMBER(SEARCH("다기관",TRIM(N73&amp;" "&amp;O73))),IFERROR(DATE(VALUE(MID(TRIM(N73&amp;" "&amp;O73),1,4)),VALUE(MID(TRIM(N73&amp;" "&amp;O73),6,2)),VALUE(MID(TRIM(N73&amp;" "&amp;O73),9,2))),IF(ISNUMBER(H73),H73,"")),"")</f>
        <v/>
      </c>
      <c r="AC73" s="11">
        <f>IF(ISNUMBER(SEARCH("다기관",TRIM(N73&amp;" "&amp;O73))),IFERROR(DATE(VALUE(MID(TRIM(N73&amp;" "&amp;O73),12,4)),VALUE(MID(TRIM(N73&amp;" "&amp;O73),17,2)),VALUE(MID(TRIM(N73&amp;" "&amp;O73),20,2))),IF(ISNUMBER(I73),I73,"")),"")</f>
        <v/>
      </c>
      <c r="AD73" s="17">
        <f>IF(AND(ISNUMBER(AB73),ISNUMBER(AC73)),MAX(0,MIN(AC73,EOMONTH(요약!$B$3,0))-MAX(AB73,요약!$B$3)+1),0)</f>
        <v/>
      </c>
      <c r="AE73" s="10">
        <f>IF(AND(Q73&lt;&gt;"",ISNUMBER(AB73)),Q73&amp;"|다기관","")</f>
        <v/>
      </c>
    </row>
    <row r="74">
      <c r="A74" s="15">
        <f>IF(F74="","",ROW()-3)</f>
        <v/>
      </c>
      <c r="B74" s="5" t="n"/>
      <c r="C74" s="15" t="n"/>
      <c r="D74" s="5" t="n"/>
      <c r="E74" s="15" t="n"/>
      <c r="F74" s="5" t="n"/>
      <c r="G74" s="6" t="n"/>
      <c r="H74" s="16" t="n"/>
      <c r="I74" s="16" t="n"/>
      <c r="J74" s="15">
        <f>IF(AND(ISNUMBER(H74),ISNUMBER(I74)),I74-H74+1,"")</f>
        <v/>
      </c>
      <c r="K74" s="5" t="n"/>
      <c r="L74" s="5" t="n"/>
      <c r="M74" s="5" t="n"/>
      <c r="N74" s="5" t="n"/>
      <c r="O74" s="5" t="n"/>
      <c r="Q74" s="10">
        <f>IF(TRIM(G74&amp;"")="","",TRIM(G74&amp;""))</f>
        <v/>
      </c>
      <c r="R74" s="10">
        <f>IF(TRIM(B74&amp;"")="","",IFERROR(INDEX(코드표!$K$2:$K$101,MATCH(TRIM(B74&amp;""),코드표!$J$2:$J$101,0)),"⚠"&amp;TRIM(B74&amp;"")))</f>
        <v/>
      </c>
      <c r="S74" s="10">
        <f>IF(TRIM(K74&amp;"")="","",IFERROR(INDEX(코드표!$K$2:$K$101,MATCH(TRIM(K74&amp;""),코드표!$J$2:$J$101,0)),"⚠"&amp;TRIM(K74&amp;"")))</f>
        <v/>
      </c>
      <c r="T74" s="10">
        <f>IF(TRIM(M74&amp;"")="","",IF(ISNUMBER(MATCH(TRIM(M74&amp;""),코드표!$C$2:$C$11,0)),TRIM(M74&amp;""),"⚠"&amp;TRIM(M74&amp;"")))</f>
        <v/>
      </c>
      <c r="U74" s="10">
        <f>IF(TRIM(L74&amp;"")="","",IFERROR(INDEX(코드표!$G$2:$G$101,MATCH(TRIM(L74&amp;""),코드표!$F$2:$F$101,0)),"⚠"&amp;TRIM(L74&amp;"")))</f>
        <v/>
      </c>
      <c r="V74" s="10">
        <f>IF(AND(ISNUMBER(H74),ISNUMBER(I74)),I74-H74+1,"")</f>
        <v/>
      </c>
      <c r="W74" s="17">
        <f>IF(ISNUMBER(H74),MAX(0,MIN(IF(ISNUMBER(I74),I74,EOMONTH(요약!$B$3,0)),EOMONTH(요약!$B$3,0))-MAX(H74,요약!$B$3)+1),0)</f>
        <v/>
      </c>
      <c r="X74" s="10">
        <f>IF(OR(NOT(ISNUMBER(H74)),Q74=""),"",IF(TODAY()&lt;H74,"파견예정",IF(AND(ISNUMBER(I74),TODAY()&gt;I74),"파견종료","파견중")))</f>
        <v/>
      </c>
      <c r="Y74" s="10">
        <f>IF(OR(Q74="",X74=""),"",Q74&amp;"|"&amp;X74)</f>
        <v/>
      </c>
      <c r="Z74" s="10">
        <f>IF(AND(Q74&lt;&gt;"",W74&gt;0),Q74&amp;"|월","")</f>
        <v/>
      </c>
      <c r="AA74" s="10">
        <f>IF(COUNTA(B74:N74)=0,"",IF(Q74="","등록번호 없음",IF(LEFT(R74,1)="⚠","모병원명 미등록",IF(S74="","파견병원 입력",IF(LEFT(S74,1)="⚠","파견병원명 미등록",IF(LEFT(U74,1)="⚠","파견과목 미등록",IF(OR(T74="",LEFT(T74,1)="⚠"),"파견근거 확인",IF(NOT(AND(ISNUMBER(H74),ISNUMBER(I74))),"날짜 형식/누락",IF(I74&lt;H74,"종료일&lt;시작일","")))))))))</f>
        <v/>
      </c>
      <c r="AB74" s="11">
        <f>IF(ISNUMBER(SEARCH("다기관",TRIM(N74&amp;" "&amp;O74))),IFERROR(DATE(VALUE(MID(TRIM(N74&amp;" "&amp;O74),1,4)),VALUE(MID(TRIM(N74&amp;" "&amp;O74),6,2)),VALUE(MID(TRIM(N74&amp;" "&amp;O74),9,2))),IF(ISNUMBER(H74),H74,"")),"")</f>
        <v/>
      </c>
      <c r="AC74" s="11">
        <f>IF(ISNUMBER(SEARCH("다기관",TRIM(N74&amp;" "&amp;O74))),IFERROR(DATE(VALUE(MID(TRIM(N74&amp;" "&amp;O74),12,4)),VALUE(MID(TRIM(N74&amp;" "&amp;O74),17,2)),VALUE(MID(TRIM(N74&amp;" "&amp;O74),20,2))),IF(ISNUMBER(I74),I74,"")),"")</f>
        <v/>
      </c>
      <c r="AD74" s="17">
        <f>IF(AND(ISNUMBER(AB74),ISNUMBER(AC74)),MAX(0,MIN(AC74,EOMONTH(요약!$B$3,0))-MAX(AB74,요약!$B$3)+1),0)</f>
        <v/>
      </c>
      <c r="AE74" s="10">
        <f>IF(AND(Q74&lt;&gt;"",ISNUMBER(AB74)),Q74&amp;"|다기관","")</f>
        <v/>
      </c>
    </row>
    <row r="75">
      <c r="A75" s="15">
        <f>IF(F75="","",ROW()-3)</f>
        <v/>
      </c>
      <c r="B75" s="5" t="n"/>
      <c r="C75" s="15" t="n"/>
      <c r="D75" s="5" t="n"/>
      <c r="E75" s="15" t="n"/>
      <c r="F75" s="5" t="n"/>
      <c r="G75" s="6" t="n"/>
      <c r="H75" s="16" t="n"/>
      <c r="I75" s="16" t="n"/>
      <c r="J75" s="15">
        <f>IF(AND(ISNUMBER(H75),ISNUMBER(I75)),I75-H75+1,"")</f>
        <v/>
      </c>
      <c r="K75" s="5" t="n"/>
      <c r="L75" s="5" t="n"/>
      <c r="M75" s="5" t="n"/>
      <c r="N75" s="5" t="n"/>
      <c r="O75" s="5" t="n"/>
      <c r="Q75" s="10">
        <f>IF(TRIM(G75&amp;"")="","",TRIM(G75&amp;""))</f>
        <v/>
      </c>
      <c r="R75" s="10">
        <f>IF(TRIM(B75&amp;"")="","",IFERROR(INDEX(코드표!$K$2:$K$101,MATCH(TRIM(B75&amp;""),코드표!$J$2:$J$101,0)),"⚠"&amp;TRIM(B75&amp;"")))</f>
        <v/>
      </c>
      <c r="S75" s="10">
        <f>IF(TRIM(K75&amp;"")="","",IFERROR(INDEX(코드표!$K$2:$K$101,MATCH(TRIM(K75&amp;""),코드표!$J$2:$J$101,0)),"⚠"&amp;TRIM(K75&amp;"")))</f>
        <v/>
      </c>
      <c r="T75" s="10">
        <f>IF(TRIM(M75&amp;"")="","",IF(ISNUMBER(MATCH(TRIM(M75&amp;""),코드표!$C$2:$C$11,0)),TRIM(M75&amp;""),"⚠"&amp;TRIM(M75&amp;"")))</f>
        <v/>
      </c>
      <c r="U75" s="10">
        <f>IF(TRIM(L75&amp;"")="","",IFERROR(INDEX(코드표!$G$2:$G$101,MATCH(TRIM(L75&amp;""),코드표!$F$2:$F$101,0)),"⚠"&amp;TRIM(L75&amp;"")))</f>
        <v/>
      </c>
      <c r="V75" s="10">
        <f>IF(AND(ISNUMBER(H75),ISNUMBER(I75)),I75-H75+1,"")</f>
        <v/>
      </c>
      <c r="W75" s="17">
        <f>IF(ISNUMBER(H75),MAX(0,MIN(IF(ISNUMBER(I75),I75,EOMONTH(요약!$B$3,0)),EOMONTH(요약!$B$3,0))-MAX(H75,요약!$B$3)+1),0)</f>
        <v/>
      </c>
      <c r="X75" s="10">
        <f>IF(OR(NOT(ISNUMBER(H75)),Q75=""),"",IF(TODAY()&lt;H75,"파견예정",IF(AND(ISNUMBER(I75),TODAY()&gt;I75),"파견종료","파견중")))</f>
        <v/>
      </c>
      <c r="Y75" s="10">
        <f>IF(OR(Q75="",X75=""),"",Q75&amp;"|"&amp;X75)</f>
        <v/>
      </c>
      <c r="Z75" s="10">
        <f>IF(AND(Q75&lt;&gt;"",W75&gt;0),Q75&amp;"|월","")</f>
        <v/>
      </c>
      <c r="AA75" s="10">
        <f>IF(COUNTA(B75:N75)=0,"",IF(Q75="","등록번호 없음",IF(LEFT(R75,1)="⚠","모병원명 미등록",IF(S75="","파견병원 입력",IF(LEFT(S75,1)="⚠","파견병원명 미등록",IF(LEFT(U75,1)="⚠","파견과목 미등록",IF(OR(T75="",LEFT(T75,1)="⚠"),"파견근거 확인",IF(NOT(AND(ISNUMBER(H75),ISNUMBER(I75))),"날짜 형식/누락",IF(I75&lt;H75,"종료일&lt;시작일","")))))))))</f>
        <v/>
      </c>
      <c r="AB75" s="11">
        <f>IF(ISNUMBER(SEARCH("다기관",TRIM(N75&amp;" "&amp;O75))),IFERROR(DATE(VALUE(MID(TRIM(N75&amp;" "&amp;O75),1,4)),VALUE(MID(TRIM(N75&amp;" "&amp;O75),6,2)),VALUE(MID(TRIM(N75&amp;" "&amp;O75),9,2))),IF(ISNUMBER(H75),H75,"")),"")</f>
        <v/>
      </c>
      <c r="AC75" s="11">
        <f>IF(ISNUMBER(SEARCH("다기관",TRIM(N75&amp;" "&amp;O75))),IFERROR(DATE(VALUE(MID(TRIM(N75&amp;" "&amp;O75),12,4)),VALUE(MID(TRIM(N75&amp;" "&amp;O75),17,2)),VALUE(MID(TRIM(N75&amp;" "&amp;O75),20,2))),IF(ISNUMBER(I75),I75,"")),"")</f>
        <v/>
      </c>
      <c r="AD75" s="17">
        <f>IF(AND(ISNUMBER(AB75),ISNUMBER(AC75)),MAX(0,MIN(AC75,EOMONTH(요약!$B$3,0))-MAX(AB75,요약!$B$3)+1),0)</f>
        <v/>
      </c>
      <c r="AE75" s="10">
        <f>IF(AND(Q75&lt;&gt;"",ISNUMBER(AB75)),Q75&amp;"|다기관","")</f>
        <v/>
      </c>
    </row>
    <row r="76">
      <c r="A76" s="15">
        <f>IF(F76="","",ROW()-3)</f>
        <v/>
      </c>
      <c r="B76" s="5" t="n"/>
      <c r="C76" s="15" t="n"/>
      <c r="D76" s="5" t="n"/>
      <c r="E76" s="15" t="n"/>
      <c r="F76" s="5" t="n"/>
      <c r="G76" s="6" t="n"/>
      <c r="H76" s="16" t="n"/>
      <c r="I76" s="16" t="n"/>
      <c r="J76" s="15">
        <f>IF(AND(ISNUMBER(H76),ISNUMBER(I76)),I76-H76+1,"")</f>
        <v/>
      </c>
      <c r="K76" s="5" t="n"/>
      <c r="L76" s="5" t="n"/>
      <c r="M76" s="5" t="n"/>
      <c r="N76" s="5" t="n"/>
      <c r="O76" s="5" t="n"/>
      <c r="Q76" s="10">
        <f>IF(TRIM(G76&amp;"")="","",TRIM(G76&amp;""))</f>
        <v/>
      </c>
      <c r="R76" s="10">
        <f>IF(TRIM(B76&amp;"")="","",IFERROR(INDEX(코드표!$K$2:$K$101,MATCH(TRIM(B76&amp;""),코드표!$J$2:$J$101,0)),"⚠"&amp;TRIM(B76&amp;"")))</f>
        <v/>
      </c>
      <c r="S76" s="10">
        <f>IF(TRIM(K76&amp;"")="","",IFERROR(INDEX(코드표!$K$2:$K$101,MATCH(TRIM(K76&amp;""),코드표!$J$2:$J$101,0)),"⚠"&amp;TRIM(K76&amp;"")))</f>
        <v/>
      </c>
      <c r="T76" s="10">
        <f>IF(TRIM(M76&amp;"")="","",IF(ISNUMBER(MATCH(TRIM(M76&amp;""),코드표!$C$2:$C$11,0)),TRIM(M76&amp;""),"⚠"&amp;TRIM(M76&amp;"")))</f>
        <v/>
      </c>
      <c r="U76" s="10">
        <f>IF(TRIM(L76&amp;"")="","",IFERROR(INDEX(코드표!$G$2:$G$101,MATCH(TRIM(L76&amp;""),코드표!$F$2:$F$101,0)),"⚠"&amp;TRIM(L76&amp;"")))</f>
        <v/>
      </c>
      <c r="V76" s="10">
        <f>IF(AND(ISNUMBER(H76),ISNUMBER(I76)),I76-H76+1,"")</f>
        <v/>
      </c>
      <c r="W76" s="17">
        <f>IF(ISNUMBER(H76),MAX(0,MIN(IF(ISNUMBER(I76),I76,EOMONTH(요약!$B$3,0)),EOMONTH(요약!$B$3,0))-MAX(H76,요약!$B$3)+1),0)</f>
        <v/>
      </c>
      <c r="X76" s="10">
        <f>IF(OR(NOT(ISNUMBER(H76)),Q76=""),"",IF(TODAY()&lt;H76,"파견예정",IF(AND(ISNUMBER(I76),TODAY()&gt;I76),"파견종료","파견중")))</f>
        <v/>
      </c>
      <c r="Y76" s="10">
        <f>IF(OR(Q76="",X76=""),"",Q76&amp;"|"&amp;X76)</f>
        <v/>
      </c>
      <c r="Z76" s="10">
        <f>IF(AND(Q76&lt;&gt;"",W76&gt;0),Q76&amp;"|월","")</f>
        <v/>
      </c>
      <c r="AA76" s="10">
        <f>IF(COUNTA(B76:N76)=0,"",IF(Q76="","등록번호 없음",IF(LEFT(R76,1)="⚠","모병원명 미등록",IF(S76="","파견병원 입력",IF(LEFT(S76,1)="⚠","파견병원명 미등록",IF(LEFT(U76,1)="⚠","파견과목 미등록",IF(OR(T76="",LEFT(T76,1)="⚠"),"파견근거 확인",IF(NOT(AND(ISNUMBER(H76),ISNUMBER(I76))),"날짜 형식/누락",IF(I76&lt;H76,"종료일&lt;시작일","")))))))))</f>
        <v/>
      </c>
      <c r="AB76" s="11">
        <f>IF(ISNUMBER(SEARCH("다기관",TRIM(N76&amp;" "&amp;O76))),IFERROR(DATE(VALUE(MID(TRIM(N76&amp;" "&amp;O76),1,4)),VALUE(MID(TRIM(N76&amp;" "&amp;O76),6,2)),VALUE(MID(TRIM(N76&amp;" "&amp;O76),9,2))),IF(ISNUMBER(H76),H76,"")),"")</f>
        <v/>
      </c>
      <c r="AC76" s="11">
        <f>IF(ISNUMBER(SEARCH("다기관",TRIM(N76&amp;" "&amp;O76))),IFERROR(DATE(VALUE(MID(TRIM(N76&amp;" "&amp;O76),12,4)),VALUE(MID(TRIM(N76&amp;" "&amp;O76),17,2)),VALUE(MID(TRIM(N76&amp;" "&amp;O76),20,2))),IF(ISNUMBER(I76),I76,"")),"")</f>
        <v/>
      </c>
      <c r="AD76" s="17">
        <f>IF(AND(ISNUMBER(AB76),ISNUMBER(AC76)),MAX(0,MIN(AC76,EOMONTH(요약!$B$3,0))-MAX(AB76,요약!$B$3)+1),0)</f>
        <v/>
      </c>
      <c r="AE76" s="10">
        <f>IF(AND(Q76&lt;&gt;"",ISNUMBER(AB76)),Q76&amp;"|다기관","")</f>
        <v/>
      </c>
    </row>
    <row r="77">
      <c r="A77" s="15">
        <f>IF(F77="","",ROW()-3)</f>
        <v/>
      </c>
      <c r="B77" s="5" t="n"/>
      <c r="C77" s="15" t="n"/>
      <c r="D77" s="5" t="n"/>
      <c r="E77" s="15" t="n"/>
      <c r="F77" s="5" t="n"/>
      <c r="G77" s="6" t="n"/>
      <c r="H77" s="16" t="n"/>
      <c r="I77" s="16" t="n"/>
      <c r="J77" s="15">
        <f>IF(AND(ISNUMBER(H77),ISNUMBER(I77)),I77-H77+1,"")</f>
        <v/>
      </c>
      <c r="K77" s="5" t="n"/>
      <c r="L77" s="5" t="n"/>
      <c r="M77" s="5" t="n"/>
      <c r="N77" s="5" t="n"/>
      <c r="O77" s="5" t="n"/>
      <c r="Q77" s="10">
        <f>IF(TRIM(G77&amp;"")="","",TRIM(G77&amp;""))</f>
        <v/>
      </c>
      <c r="R77" s="10">
        <f>IF(TRIM(B77&amp;"")="","",IFERROR(INDEX(코드표!$K$2:$K$101,MATCH(TRIM(B77&amp;""),코드표!$J$2:$J$101,0)),"⚠"&amp;TRIM(B77&amp;"")))</f>
        <v/>
      </c>
      <c r="S77" s="10">
        <f>IF(TRIM(K77&amp;"")="","",IFERROR(INDEX(코드표!$K$2:$K$101,MATCH(TRIM(K77&amp;""),코드표!$J$2:$J$101,0)),"⚠"&amp;TRIM(K77&amp;"")))</f>
        <v/>
      </c>
      <c r="T77" s="10">
        <f>IF(TRIM(M77&amp;"")="","",IF(ISNUMBER(MATCH(TRIM(M77&amp;""),코드표!$C$2:$C$11,0)),TRIM(M77&amp;""),"⚠"&amp;TRIM(M77&amp;"")))</f>
        <v/>
      </c>
      <c r="U77" s="10">
        <f>IF(TRIM(L77&amp;"")="","",IFERROR(INDEX(코드표!$G$2:$G$101,MATCH(TRIM(L77&amp;""),코드표!$F$2:$F$101,0)),"⚠"&amp;TRIM(L77&amp;"")))</f>
        <v/>
      </c>
      <c r="V77" s="10">
        <f>IF(AND(ISNUMBER(H77),ISNUMBER(I77)),I77-H77+1,"")</f>
        <v/>
      </c>
      <c r="W77" s="17">
        <f>IF(ISNUMBER(H77),MAX(0,MIN(IF(ISNUMBER(I77),I77,EOMONTH(요약!$B$3,0)),EOMONTH(요약!$B$3,0))-MAX(H77,요약!$B$3)+1),0)</f>
        <v/>
      </c>
      <c r="X77" s="10">
        <f>IF(OR(NOT(ISNUMBER(H77)),Q77=""),"",IF(TODAY()&lt;H77,"파견예정",IF(AND(ISNUMBER(I77),TODAY()&gt;I77),"파견종료","파견중")))</f>
        <v/>
      </c>
      <c r="Y77" s="10">
        <f>IF(OR(Q77="",X77=""),"",Q77&amp;"|"&amp;X77)</f>
        <v/>
      </c>
      <c r="Z77" s="10">
        <f>IF(AND(Q77&lt;&gt;"",W77&gt;0),Q77&amp;"|월","")</f>
        <v/>
      </c>
      <c r="AA77" s="10">
        <f>IF(COUNTA(B77:N77)=0,"",IF(Q77="","등록번호 없음",IF(LEFT(R77,1)="⚠","모병원명 미등록",IF(S77="","파견병원 입력",IF(LEFT(S77,1)="⚠","파견병원명 미등록",IF(LEFT(U77,1)="⚠","파견과목 미등록",IF(OR(T77="",LEFT(T77,1)="⚠"),"파견근거 확인",IF(NOT(AND(ISNUMBER(H77),ISNUMBER(I77))),"날짜 형식/누락",IF(I77&lt;H77,"종료일&lt;시작일","")))))))))</f>
        <v/>
      </c>
      <c r="AB77" s="11">
        <f>IF(ISNUMBER(SEARCH("다기관",TRIM(N77&amp;" "&amp;O77))),IFERROR(DATE(VALUE(MID(TRIM(N77&amp;" "&amp;O77),1,4)),VALUE(MID(TRIM(N77&amp;" "&amp;O77),6,2)),VALUE(MID(TRIM(N77&amp;" "&amp;O77),9,2))),IF(ISNUMBER(H77),H77,"")),"")</f>
        <v/>
      </c>
      <c r="AC77" s="11">
        <f>IF(ISNUMBER(SEARCH("다기관",TRIM(N77&amp;" "&amp;O77))),IFERROR(DATE(VALUE(MID(TRIM(N77&amp;" "&amp;O77),12,4)),VALUE(MID(TRIM(N77&amp;" "&amp;O77),17,2)),VALUE(MID(TRIM(N77&amp;" "&amp;O77),20,2))),IF(ISNUMBER(I77),I77,"")),"")</f>
        <v/>
      </c>
      <c r="AD77" s="17">
        <f>IF(AND(ISNUMBER(AB77),ISNUMBER(AC77)),MAX(0,MIN(AC77,EOMONTH(요약!$B$3,0))-MAX(AB77,요약!$B$3)+1),0)</f>
        <v/>
      </c>
      <c r="AE77" s="10">
        <f>IF(AND(Q77&lt;&gt;"",ISNUMBER(AB77)),Q77&amp;"|다기관","")</f>
        <v/>
      </c>
    </row>
    <row r="78">
      <c r="A78" s="15">
        <f>IF(F78="","",ROW()-3)</f>
        <v/>
      </c>
      <c r="B78" s="5" t="n"/>
      <c r="C78" s="15" t="n"/>
      <c r="D78" s="5" t="n"/>
      <c r="E78" s="15" t="n"/>
      <c r="F78" s="5" t="n"/>
      <c r="G78" s="6" t="n"/>
      <c r="H78" s="16" t="n"/>
      <c r="I78" s="16" t="n"/>
      <c r="J78" s="15">
        <f>IF(AND(ISNUMBER(H78),ISNUMBER(I78)),I78-H78+1,"")</f>
        <v/>
      </c>
      <c r="K78" s="5" t="n"/>
      <c r="L78" s="5" t="n"/>
      <c r="M78" s="5" t="n"/>
      <c r="N78" s="5" t="n"/>
      <c r="O78" s="5" t="n"/>
      <c r="Q78" s="10">
        <f>IF(TRIM(G78&amp;"")="","",TRIM(G78&amp;""))</f>
        <v/>
      </c>
      <c r="R78" s="10">
        <f>IF(TRIM(B78&amp;"")="","",IFERROR(INDEX(코드표!$K$2:$K$101,MATCH(TRIM(B78&amp;""),코드표!$J$2:$J$101,0)),"⚠"&amp;TRIM(B78&amp;"")))</f>
        <v/>
      </c>
      <c r="S78" s="10">
        <f>IF(TRIM(K78&amp;"")="","",IFERROR(INDEX(코드표!$K$2:$K$101,MATCH(TRIM(K78&amp;""),코드표!$J$2:$J$101,0)),"⚠"&amp;TRIM(K78&amp;"")))</f>
        <v/>
      </c>
      <c r="T78" s="10">
        <f>IF(TRIM(M78&amp;"")="","",IF(ISNUMBER(MATCH(TRIM(M78&amp;""),코드표!$C$2:$C$11,0)),TRIM(M78&amp;""),"⚠"&amp;TRIM(M78&amp;"")))</f>
        <v/>
      </c>
      <c r="U78" s="10">
        <f>IF(TRIM(L78&amp;"")="","",IFERROR(INDEX(코드표!$G$2:$G$101,MATCH(TRIM(L78&amp;""),코드표!$F$2:$F$101,0)),"⚠"&amp;TRIM(L78&amp;"")))</f>
        <v/>
      </c>
      <c r="V78" s="10">
        <f>IF(AND(ISNUMBER(H78),ISNUMBER(I78)),I78-H78+1,"")</f>
        <v/>
      </c>
      <c r="W78" s="17">
        <f>IF(ISNUMBER(H78),MAX(0,MIN(IF(ISNUMBER(I78),I78,EOMONTH(요약!$B$3,0)),EOMONTH(요약!$B$3,0))-MAX(H78,요약!$B$3)+1),0)</f>
        <v/>
      </c>
      <c r="X78" s="10">
        <f>IF(OR(NOT(ISNUMBER(H78)),Q78=""),"",IF(TODAY()&lt;H78,"파견예정",IF(AND(ISNUMBER(I78),TODAY()&gt;I78),"파견종료","파견중")))</f>
        <v/>
      </c>
      <c r="Y78" s="10">
        <f>IF(OR(Q78="",X78=""),"",Q78&amp;"|"&amp;X78)</f>
        <v/>
      </c>
      <c r="Z78" s="10">
        <f>IF(AND(Q78&lt;&gt;"",W78&gt;0),Q78&amp;"|월","")</f>
        <v/>
      </c>
      <c r="AA78" s="10">
        <f>IF(COUNTA(B78:N78)=0,"",IF(Q78="","등록번호 없음",IF(LEFT(R78,1)="⚠","모병원명 미등록",IF(S78="","파견병원 입력",IF(LEFT(S78,1)="⚠","파견병원명 미등록",IF(LEFT(U78,1)="⚠","파견과목 미등록",IF(OR(T78="",LEFT(T78,1)="⚠"),"파견근거 확인",IF(NOT(AND(ISNUMBER(H78),ISNUMBER(I78))),"날짜 형식/누락",IF(I78&lt;H78,"종료일&lt;시작일","")))))))))</f>
        <v/>
      </c>
      <c r="AB78" s="11">
        <f>IF(ISNUMBER(SEARCH("다기관",TRIM(N78&amp;" "&amp;O78))),IFERROR(DATE(VALUE(MID(TRIM(N78&amp;" "&amp;O78),1,4)),VALUE(MID(TRIM(N78&amp;" "&amp;O78),6,2)),VALUE(MID(TRIM(N78&amp;" "&amp;O78),9,2))),IF(ISNUMBER(H78),H78,"")),"")</f>
        <v/>
      </c>
      <c r="AC78" s="11">
        <f>IF(ISNUMBER(SEARCH("다기관",TRIM(N78&amp;" "&amp;O78))),IFERROR(DATE(VALUE(MID(TRIM(N78&amp;" "&amp;O78),12,4)),VALUE(MID(TRIM(N78&amp;" "&amp;O78),17,2)),VALUE(MID(TRIM(N78&amp;" "&amp;O78),20,2))),IF(ISNUMBER(I78),I78,"")),"")</f>
        <v/>
      </c>
      <c r="AD78" s="17">
        <f>IF(AND(ISNUMBER(AB78),ISNUMBER(AC78)),MAX(0,MIN(AC78,EOMONTH(요약!$B$3,0))-MAX(AB78,요약!$B$3)+1),0)</f>
        <v/>
      </c>
      <c r="AE78" s="10">
        <f>IF(AND(Q78&lt;&gt;"",ISNUMBER(AB78)),Q78&amp;"|다기관","")</f>
        <v/>
      </c>
    </row>
    <row r="79">
      <c r="A79" s="15">
        <f>IF(F79="","",ROW()-3)</f>
        <v/>
      </c>
      <c r="B79" s="5" t="n"/>
      <c r="C79" s="15" t="n"/>
      <c r="D79" s="5" t="n"/>
      <c r="E79" s="15" t="n"/>
      <c r="F79" s="5" t="n"/>
      <c r="G79" s="6" t="n"/>
      <c r="H79" s="16" t="n"/>
      <c r="I79" s="16" t="n"/>
      <c r="J79" s="15">
        <f>IF(AND(ISNUMBER(H79),ISNUMBER(I79)),I79-H79+1,"")</f>
        <v/>
      </c>
      <c r="K79" s="5" t="n"/>
      <c r="L79" s="5" t="n"/>
      <c r="M79" s="5" t="n"/>
      <c r="N79" s="5" t="n"/>
      <c r="O79" s="5" t="n"/>
      <c r="Q79" s="10">
        <f>IF(TRIM(G79&amp;"")="","",TRIM(G79&amp;""))</f>
        <v/>
      </c>
      <c r="R79" s="10">
        <f>IF(TRIM(B79&amp;"")="","",IFERROR(INDEX(코드표!$K$2:$K$101,MATCH(TRIM(B79&amp;""),코드표!$J$2:$J$101,0)),"⚠"&amp;TRIM(B79&amp;"")))</f>
        <v/>
      </c>
      <c r="S79" s="10">
        <f>IF(TRIM(K79&amp;"")="","",IFERROR(INDEX(코드표!$K$2:$K$101,MATCH(TRIM(K79&amp;""),코드표!$J$2:$J$101,0)),"⚠"&amp;TRIM(K79&amp;"")))</f>
        <v/>
      </c>
      <c r="T79" s="10">
        <f>IF(TRIM(M79&amp;"")="","",IF(ISNUMBER(MATCH(TRIM(M79&amp;""),코드표!$C$2:$C$11,0)),TRIM(M79&amp;""),"⚠"&amp;TRIM(M79&amp;"")))</f>
        <v/>
      </c>
      <c r="U79" s="10">
        <f>IF(TRIM(L79&amp;"")="","",IFERROR(INDEX(코드표!$G$2:$G$101,MATCH(TRIM(L79&amp;""),코드표!$F$2:$F$101,0)),"⚠"&amp;TRIM(L79&amp;"")))</f>
        <v/>
      </c>
      <c r="V79" s="10">
        <f>IF(AND(ISNUMBER(H79),ISNUMBER(I79)),I79-H79+1,"")</f>
        <v/>
      </c>
      <c r="W79" s="17">
        <f>IF(ISNUMBER(H79),MAX(0,MIN(IF(ISNUMBER(I79),I79,EOMONTH(요약!$B$3,0)),EOMONTH(요약!$B$3,0))-MAX(H79,요약!$B$3)+1),0)</f>
        <v/>
      </c>
      <c r="X79" s="10">
        <f>IF(OR(NOT(ISNUMBER(H79)),Q79=""),"",IF(TODAY()&lt;H79,"파견예정",IF(AND(ISNUMBER(I79),TODAY()&gt;I79),"파견종료","파견중")))</f>
        <v/>
      </c>
      <c r="Y79" s="10">
        <f>IF(OR(Q79="",X79=""),"",Q79&amp;"|"&amp;X79)</f>
        <v/>
      </c>
      <c r="Z79" s="10">
        <f>IF(AND(Q79&lt;&gt;"",W79&gt;0),Q79&amp;"|월","")</f>
        <v/>
      </c>
      <c r="AA79" s="10">
        <f>IF(COUNTA(B79:N79)=0,"",IF(Q79="","등록번호 없음",IF(LEFT(R79,1)="⚠","모병원명 미등록",IF(S79="","파견병원 입력",IF(LEFT(S79,1)="⚠","파견병원명 미등록",IF(LEFT(U79,1)="⚠","파견과목 미등록",IF(OR(T79="",LEFT(T79,1)="⚠"),"파견근거 확인",IF(NOT(AND(ISNUMBER(H79),ISNUMBER(I79))),"날짜 형식/누락",IF(I79&lt;H79,"종료일&lt;시작일","")))))))))</f>
        <v/>
      </c>
      <c r="AB79" s="11">
        <f>IF(ISNUMBER(SEARCH("다기관",TRIM(N79&amp;" "&amp;O79))),IFERROR(DATE(VALUE(MID(TRIM(N79&amp;" "&amp;O79),1,4)),VALUE(MID(TRIM(N79&amp;" "&amp;O79),6,2)),VALUE(MID(TRIM(N79&amp;" "&amp;O79),9,2))),IF(ISNUMBER(H79),H79,"")),"")</f>
        <v/>
      </c>
      <c r="AC79" s="11">
        <f>IF(ISNUMBER(SEARCH("다기관",TRIM(N79&amp;" "&amp;O79))),IFERROR(DATE(VALUE(MID(TRIM(N79&amp;" "&amp;O79),12,4)),VALUE(MID(TRIM(N79&amp;" "&amp;O79),17,2)),VALUE(MID(TRIM(N79&amp;" "&amp;O79),20,2))),IF(ISNUMBER(I79),I79,"")),"")</f>
        <v/>
      </c>
      <c r="AD79" s="17">
        <f>IF(AND(ISNUMBER(AB79),ISNUMBER(AC79)),MAX(0,MIN(AC79,EOMONTH(요약!$B$3,0))-MAX(AB79,요약!$B$3)+1),0)</f>
        <v/>
      </c>
      <c r="AE79" s="10">
        <f>IF(AND(Q79&lt;&gt;"",ISNUMBER(AB79)),Q79&amp;"|다기관","")</f>
        <v/>
      </c>
    </row>
    <row r="80">
      <c r="A80" s="15">
        <f>IF(F80="","",ROW()-3)</f>
        <v/>
      </c>
      <c r="B80" s="5" t="n"/>
      <c r="C80" s="15" t="n"/>
      <c r="D80" s="5" t="n"/>
      <c r="E80" s="15" t="n"/>
      <c r="F80" s="5" t="n"/>
      <c r="G80" s="6" t="n"/>
      <c r="H80" s="16" t="n"/>
      <c r="I80" s="16" t="n"/>
      <c r="J80" s="15">
        <f>IF(AND(ISNUMBER(H80),ISNUMBER(I80)),I80-H80+1,"")</f>
        <v/>
      </c>
      <c r="K80" s="5" t="n"/>
      <c r="L80" s="5" t="n"/>
      <c r="M80" s="5" t="n"/>
      <c r="N80" s="5" t="n"/>
      <c r="O80" s="5" t="n"/>
      <c r="Q80" s="10">
        <f>IF(TRIM(G80&amp;"")="","",TRIM(G80&amp;""))</f>
        <v/>
      </c>
      <c r="R80" s="10">
        <f>IF(TRIM(B80&amp;"")="","",IFERROR(INDEX(코드표!$K$2:$K$101,MATCH(TRIM(B80&amp;""),코드표!$J$2:$J$101,0)),"⚠"&amp;TRIM(B80&amp;"")))</f>
        <v/>
      </c>
      <c r="S80" s="10">
        <f>IF(TRIM(K80&amp;"")="","",IFERROR(INDEX(코드표!$K$2:$K$101,MATCH(TRIM(K80&amp;""),코드표!$J$2:$J$101,0)),"⚠"&amp;TRIM(K80&amp;"")))</f>
        <v/>
      </c>
      <c r="T80" s="10">
        <f>IF(TRIM(M80&amp;"")="","",IF(ISNUMBER(MATCH(TRIM(M80&amp;""),코드표!$C$2:$C$11,0)),TRIM(M80&amp;""),"⚠"&amp;TRIM(M80&amp;"")))</f>
        <v/>
      </c>
      <c r="U80" s="10">
        <f>IF(TRIM(L80&amp;"")="","",IFERROR(INDEX(코드표!$G$2:$G$101,MATCH(TRIM(L80&amp;""),코드표!$F$2:$F$101,0)),"⚠"&amp;TRIM(L80&amp;"")))</f>
        <v/>
      </c>
      <c r="V80" s="10">
        <f>IF(AND(ISNUMBER(H80),ISNUMBER(I80)),I80-H80+1,"")</f>
        <v/>
      </c>
      <c r="W80" s="17">
        <f>IF(ISNUMBER(H80),MAX(0,MIN(IF(ISNUMBER(I80),I80,EOMONTH(요약!$B$3,0)),EOMONTH(요약!$B$3,0))-MAX(H80,요약!$B$3)+1),0)</f>
        <v/>
      </c>
      <c r="X80" s="10">
        <f>IF(OR(NOT(ISNUMBER(H80)),Q80=""),"",IF(TODAY()&lt;H80,"파견예정",IF(AND(ISNUMBER(I80),TODAY()&gt;I80),"파견종료","파견중")))</f>
        <v/>
      </c>
      <c r="Y80" s="10">
        <f>IF(OR(Q80="",X80=""),"",Q80&amp;"|"&amp;X80)</f>
        <v/>
      </c>
      <c r="Z80" s="10">
        <f>IF(AND(Q80&lt;&gt;"",W80&gt;0),Q80&amp;"|월","")</f>
        <v/>
      </c>
      <c r="AA80" s="10">
        <f>IF(COUNTA(B80:N80)=0,"",IF(Q80="","등록번호 없음",IF(LEFT(R80,1)="⚠","모병원명 미등록",IF(S80="","파견병원 입력",IF(LEFT(S80,1)="⚠","파견병원명 미등록",IF(LEFT(U80,1)="⚠","파견과목 미등록",IF(OR(T80="",LEFT(T80,1)="⚠"),"파견근거 확인",IF(NOT(AND(ISNUMBER(H80),ISNUMBER(I80))),"날짜 형식/누락",IF(I80&lt;H80,"종료일&lt;시작일","")))))))))</f>
        <v/>
      </c>
      <c r="AB80" s="11">
        <f>IF(ISNUMBER(SEARCH("다기관",TRIM(N80&amp;" "&amp;O80))),IFERROR(DATE(VALUE(MID(TRIM(N80&amp;" "&amp;O80),1,4)),VALUE(MID(TRIM(N80&amp;" "&amp;O80),6,2)),VALUE(MID(TRIM(N80&amp;" "&amp;O80),9,2))),IF(ISNUMBER(H80),H80,"")),"")</f>
        <v/>
      </c>
      <c r="AC80" s="11">
        <f>IF(ISNUMBER(SEARCH("다기관",TRIM(N80&amp;" "&amp;O80))),IFERROR(DATE(VALUE(MID(TRIM(N80&amp;" "&amp;O80),12,4)),VALUE(MID(TRIM(N80&amp;" "&amp;O80),17,2)),VALUE(MID(TRIM(N80&amp;" "&amp;O80),20,2))),IF(ISNUMBER(I80),I80,"")),"")</f>
        <v/>
      </c>
      <c r="AD80" s="17">
        <f>IF(AND(ISNUMBER(AB80),ISNUMBER(AC80)),MAX(0,MIN(AC80,EOMONTH(요약!$B$3,0))-MAX(AB80,요약!$B$3)+1),0)</f>
        <v/>
      </c>
      <c r="AE80" s="10">
        <f>IF(AND(Q80&lt;&gt;"",ISNUMBER(AB80)),Q80&amp;"|다기관","")</f>
        <v/>
      </c>
    </row>
    <row r="81">
      <c r="A81" s="15">
        <f>IF(F81="","",ROW()-3)</f>
        <v/>
      </c>
      <c r="B81" s="5" t="n"/>
      <c r="C81" s="15" t="n"/>
      <c r="D81" s="5" t="n"/>
      <c r="E81" s="15" t="n"/>
      <c r="F81" s="5" t="n"/>
      <c r="G81" s="6" t="n"/>
      <c r="H81" s="16" t="n"/>
      <c r="I81" s="16" t="n"/>
      <c r="J81" s="15">
        <f>IF(AND(ISNUMBER(H81),ISNUMBER(I81)),I81-H81+1,"")</f>
        <v/>
      </c>
      <c r="K81" s="5" t="n"/>
      <c r="L81" s="5" t="n"/>
      <c r="M81" s="5" t="n"/>
      <c r="N81" s="5" t="n"/>
      <c r="O81" s="5" t="n"/>
      <c r="Q81" s="10">
        <f>IF(TRIM(G81&amp;"")="","",TRIM(G81&amp;""))</f>
        <v/>
      </c>
      <c r="R81" s="10">
        <f>IF(TRIM(B81&amp;"")="","",IFERROR(INDEX(코드표!$K$2:$K$101,MATCH(TRIM(B81&amp;""),코드표!$J$2:$J$101,0)),"⚠"&amp;TRIM(B81&amp;"")))</f>
        <v/>
      </c>
      <c r="S81" s="10">
        <f>IF(TRIM(K81&amp;"")="","",IFERROR(INDEX(코드표!$K$2:$K$101,MATCH(TRIM(K81&amp;""),코드표!$J$2:$J$101,0)),"⚠"&amp;TRIM(K81&amp;"")))</f>
        <v/>
      </c>
      <c r="T81" s="10">
        <f>IF(TRIM(M81&amp;"")="","",IF(ISNUMBER(MATCH(TRIM(M81&amp;""),코드표!$C$2:$C$11,0)),TRIM(M81&amp;""),"⚠"&amp;TRIM(M81&amp;"")))</f>
        <v/>
      </c>
      <c r="U81" s="10">
        <f>IF(TRIM(L81&amp;"")="","",IFERROR(INDEX(코드표!$G$2:$G$101,MATCH(TRIM(L81&amp;""),코드표!$F$2:$F$101,0)),"⚠"&amp;TRIM(L81&amp;"")))</f>
        <v/>
      </c>
      <c r="V81" s="10">
        <f>IF(AND(ISNUMBER(H81),ISNUMBER(I81)),I81-H81+1,"")</f>
        <v/>
      </c>
      <c r="W81" s="17">
        <f>IF(ISNUMBER(H81),MAX(0,MIN(IF(ISNUMBER(I81),I81,EOMONTH(요약!$B$3,0)),EOMONTH(요약!$B$3,0))-MAX(H81,요약!$B$3)+1),0)</f>
        <v/>
      </c>
      <c r="X81" s="10">
        <f>IF(OR(NOT(ISNUMBER(H81)),Q81=""),"",IF(TODAY()&lt;H81,"파견예정",IF(AND(ISNUMBER(I81),TODAY()&gt;I81),"파견종료","파견중")))</f>
        <v/>
      </c>
      <c r="Y81" s="10">
        <f>IF(OR(Q81="",X81=""),"",Q81&amp;"|"&amp;X81)</f>
        <v/>
      </c>
      <c r="Z81" s="10">
        <f>IF(AND(Q81&lt;&gt;"",W81&gt;0),Q81&amp;"|월","")</f>
        <v/>
      </c>
      <c r="AA81" s="10">
        <f>IF(COUNTA(B81:N81)=0,"",IF(Q81="","등록번호 없음",IF(LEFT(R81,1)="⚠","모병원명 미등록",IF(S81="","파견병원 입력",IF(LEFT(S81,1)="⚠","파견병원명 미등록",IF(LEFT(U81,1)="⚠","파견과목 미등록",IF(OR(T81="",LEFT(T81,1)="⚠"),"파견근거 확인",IF(NOT(AND(ISNUMBER(H81),ISNUMBER(I81))),"날짜 형식/누락",IF(I81&lt;H81,"종료일&lt;시작일","")))))))))</f>
        <v/>
      </c>
      <c r="AB81" s="11">
        <f>IF(ISNUMBER(SEARCH("다기관",TRIM(N81&amp;" "&amp;O81))),IFERROR(DATE(VALUE(MID(TRIM(N81&amp;" "&amp;O81),1,4)),VALUE(MID(TRIM(N81&amp;" "&amp;O81),6,2)),VALUE(MID(TRIM(N81&amp;" "&amp;O81),9,2))),IF(ISNUMBER(H81),H81,"")),"")</f>
        <v/>
      </c>
      <c r="AC81" s="11">
        <f>IF(ISNUMBER(SEARCH("다기관",TRIM(N81&amp;" "&amp;O81))),IFERROR(DATE(VALUE(MID(TRIM(N81&amp;" "&amp;O81),12,4)),VALUE(MID(TRIM(N81&amp;" "&amp;O81),17,2)),VALUE(MID(TRIM(N81&amp;" "&amp;O81),20,2))),IF(ISNUMBER(I81),I81,"")),"")</f>
        <v/>
      </c>
      <c r="AD81" s="17">
        <f>IF(AND(ISNUMBER(AB81),ISNUMBER(AC81)),MAX(0,MIN(AC81,EOMONTH(요약!$B$3,0))-MAX(AB81,요약!$B$3)+1),0)</f>
        <v/>
      </c>
      <c r="AE81" s="10">
        <f>IF(AND(Q81&lt;&gt;"",ISNUMBER(AB81)),Q81&amp;"|다기관","")</f>
        <v/>
      </c>
    </row>
    <row r="82">
      <c r="A82" s="15">
        <f>IF(F82="","",ROW()-3)</f>
        <v/>
      </c>
      <c r="B82" s="5" t="n"/>
      <c r="C82" s="15" t="n"/>
      <c r="D82" s="5" t="n"/>
      <c r="E82" s="15" t="n"/>
      <c r="F82" s="5" t="n"/>
      <c r="G82" s="6" t="n"/>
      <c r="H82" s="16" t="n"/>
      <c r="I82" s="16" t="n"/>
      <c r="J82" s="15">
        <f>IF(AND(ISNUMBER(H82),ISNUMBER(I82)),I82-H82+1,"")</f>
        <v/>
      </c>
      <c r="K82" s="5" t="n"/>
      <c r="L82" s="5" t="n"/>
      <c r="M82" s="5" t="n"/>
      <c r="N82" s="5" t="n"/>
      <c r="O82" s="5" t="n"/>
      <c r="Q82" s="10">
        <f>IF(TRIM(G82&amp;"")="","",TRIM(G82&amp;""))</f>
        <v/>
      </c>
      <c r="R82" s="10">
        <f>IF(TRIM(B82&amp;"")="","",IFERROR(INDEX(코드표!$K$2:$K$101,MATCH(TRIM(B82&amp;""),코드표!$J$2:$J$101,0)),"⚠"&amp;TRIM(B82&amp;"")))</f>
        <v/>
      </c>
      <c r="S82" s="10">
        <f>IF(TRIM(K82&amp;"")="","",IFERROR(INDEX(코드표!$K$2:$K$101,MATCH(TRIM(K82&amp;""),코드표!$J$2:$J$101,0)),"⚠"&amp;TRIM(K82&amp;"")))</f>
        <v/>
      </c>
      <c r="T82" s="10">
        <f>IF(TRIM(M82&amp;"")="","",IF(ISNUMBER(MATCH(TRIM(M82&amp;""),코드표!$C$2:$C$11,0)),TRIM(M82&amp;""),"⚠"&amp;TRIM(M82&amp;"")))</f>
        <v/>
      </c>
      <c r="U82" s="10">
        <f>IF(TRIM(L82&amp;"")="","",IFERROR(INDEX(코드표!$G$2:$G$101,MATCH(TRIM(L82&amp;""),코드표!$F$2:$F$101,0)),"⚠"&amp;TRIM(L82&amp;"")))</f>
        <v/>
      </c>
      <c r="V82" s="10">
        <f>IF(AND(ISNUMBER(H82),ISNUMBER(I82)),I82-H82+1,"")</f>
        <v/>
      </c>
      <c r="W82" s="17">
        <f>IF(ISNUMBER(H82),MAX(0,MIN(IF(ISNUMBER(I82),I82,EOMONTH(요약!$B$3,0)),EOMONTH(요약!$B$3,0))-MAX(H82,요약!$B$3)+1),0)</f>
        <v/>
      </c>
      <c r="X82" s="10">
        <f>IF(OR(NOT(ISNUMBER(H82)),Q82=""),"",IF(TODAY()&lt;H82,"파견예정",IF(AND(ISNUMBER(I82),TODAY()&gt;I82),"파견종료","파견중")))</f>
        <v/>
      </c>
      <c r="Y82" s="10">
        <f>IF(OR(Q82="",X82=""),"",Q82&amp;"|"&amp;X82)</f>
        <v/>
      </c>
      <c r="Z82" s="10">
        <f>IF(AND(Q82&lt;&gt;"",W82&gt;0),Q82&amp;"|월","")</f>
        <v/>
      </c>
      <c r="AA82" s="10">
        <f>IF(COUNTA(B82:N82)=0,"",IF(Q82="","등록번호 없음",IF(LEFT(R82,1)="⚠","모병원명 미등록",IF(S82="","파견병원 입력",IF(LEFT(S82,1)="⚠","파견병원명 미등록",IF(LEFT(U82,1)="⚠","파견과목 미등록",IF(OR(T82="",LEFT(T82,1)="⚠"),"파견근거 확인",IF(NOT(AND(ISNUMBER(H82),ISNUMBER(I82))),"날짜 형식/누락",IF(I82&lt;H82,"종료일&lt;시작일","")))))))))</f>
        <v/>
      </c>
      <c r="AB82" s="11">
        <f>IF(ISNUMBER(SEARCH("다기관",TRIM(N82&amp;" "&amp;O82))),IFERROR(DATE(VALUE(MID(TRIM(N82&amp;" "&amp;O82),1,4)),VALUE(MID(TRIM(N82&amp;" "&amp;O82),6,2)),VALUE(MID(TRIM(N82&amp;" "&amp;O82),9,2))),IF(ISNUMBER(H82),H82,"")),"")</f>
        <v/>
      </c>
      <c r="AC82" s="11">
        <f>IF(ISNUMBER(SEARCH("다기관",TRIM(N82&amp;" "&amp;O82))),IFERROR(DATE(VALUE(MID(TRIM(N82&amp;" "&amp;O82),12,4)),VALUE(MID(TRIM(N82&amp;" "&amp;O82),17,2)),VALUE(MID(TRIM(N82&amp;" "&amp;O82),20,2))),IF(ISNUMBER(I82),I82,"")),"")</f>
        <v/>
      </c>
      <c r="AD82" s="17">
        <f>IF(AND(ISNUMBER(AB82),ISNUMBER(AC82)),MAX(0,MIN(AC82,EOMONTH(요약!$B$3,0))-MAX(AB82,요약!$B$3)+1),0)</f>
        <v/>
      </c>
      <c r="AE82" s="10">
        <f>IF(AND(Q82&lt;&gt;"",ISNUMBER(AB82)),Q82&amp;"|다기관","")</f>
        <v/>
      </c>
    </row>
    <row r="83">
      <c r="A83" s="15">
        <f>IF(F83="","",ROW()-3)</f>
        <v/>
      </c>
      <c r="B83" s="5" t="n"/>
      <c r="C83" s="15" t="n"/>
      <c r="D83" s="5" t="n"/>
      <c r="E83" s="15" t="n"/>
      <c r="F83" s="5" t="n"/>
      <c r="G83" s="6" t="n"/>
      <c r="H83" s="16" t="n"/>
      <c r="I83" s="16" t="n"/>
      <c r="J83" s="15">
        <f>IF(AND(ISNUMBER(H83),ISNUMBER(I83)),I83-H83+1,"")</f>
        <v/>
      </c>
      <c r="K83" s="5" t="n"/>
      <c r="L83" s="5" t="n"/>
      <c r="M83" s="5" t="n"/>
      <c r="N83" s="5" t="n"/>
      <c r="O83" s="5" t="n"/>
      <c r="Q83" s="10">
        <f>IF(TRIM(G83&amp;"")="","",TRIM(G83&amp;""))</f>
        <v/>
      </c>
      <c r="R83" s="10">
        <f>IF(TRIM(B83&amp;"")="","",IFERROR(INDEX(코드표!$K$2:$K$101,MATCH(TRIM(B83&amp;""),코드표!$J$2:$J$101,0)),"⚠"&amp;TRIM(B83&amp;"")))</f>
        <v/>
      </c>
      <c r="S83" s="10">
        <f>IF(TRIM(K83&amp;"")="","",IFERROR(INDEX(코드표!$K$2:$K$101,MATCH(TRIM(K83&amp;""),코드표!$J$2:$J$101,0)),"⚠"&amp;TRIM(K83&amp;"")))</f>
        <v/>
      </c>
      <c r="T83" s="10">
        <f>IF(TRIM(M83&amp;"")="","",IF(ISNUMBER(MATCH(TRIM(M83&amp;""),코드표!$C$2:$C$11,0)),TRIM(M83&amp;""),"⚠"&amp;TRIM(M83&amp;"")))</f>
        <v/>
      </c>
      <c r="U83" s="10">
        <f>IF(TRIM(L83&amp;"")="","",IFERROR(INDEX(코드표!$G$2:$G$101,MATCH(TRIM(L83&amp;""),코드표!$F$2:$F$101,0)),"⚠"&amp;TRIM(L83&amp;"")))</f>
        <v/>
      </c>
      <c r="V83" s="10">
        <f>IF(AND(ISNUMBER(H83),ISNUMBER(I83)),I83-H83+1,"")</f>
        <v/>
      </c>
      <c r="W83" s="17">
        <f>IF(ISNUMBER(H83),MAX(0,MIN(IF(ISNUMBER(I83),I83,EOMONTH(요약!$B$3,0)),EOMONTH(요약!$B$3,0))-MAX(H83,요약!$B$3)+1),0)</f>
        <v/>
      </c>
      <c r="X83" s="10">
        <f>IF(OR(NOT(ISNUMBER(H83)),Q83=""),"",IF(TODAY()&lt;H83,"파견예정",IF(AND(ISNUMBER(I83),TODAY()&gt;I83),"파견종료","파견중")))</f>
        <v/>
      </c>
      <c r="Y83" s="10">
        <f>IF(OR(Q83="",X83=""),"",Q83&amp;"|"&amp;X83)</f>
        <v/>
      </c>
      <c r="Z83" s="10">
        <f>IF(AND(Q83&lt;&gt;"",W83&gt;0),Q83&amp;"|월","")</f>
        <v/>
      </c>
      <c r="AA83" s="10">
        <f>IF(COUNTA(B83:N83)=0,"",IF(Q83="","등록번호 없음",IF(LEFT(R83,1)="⚠","모병원명 미등록",IF(S83="","파견병원 입력",IF(LEFT(S83,1)="⚠","파견병원명 미등록",IF(LEFT(U83,1)="⚠","파견과목 미등록",IF(OR(T83="",LEFT(T83,1)="⚠"),"파견근거 확인",IF(NOT(AND(ISNUMBER(H83),ISNUMBER(I83))),"날짜 형식/누락",IF(I83&lt;H83,"종료일&lt;시작일","")))))))))</f>
        <v/>
      </c>
      <c r="AB83" s="11">
        <f>IF(ISNUMBER(SEARCH("다기관",TRIM(N83&amp;" "&amp;O83))),IFERROR(DATE(VALUE(MID(TRIM(N83&amp;" "&amp;O83),1,4)),VALUE(MID(TRIM(N83&amp;" "&amp;O83),6,2)),VALUE(MID(TRIM(N83&amp;" "&amp;O83),9,2))),IF(ISNUMBER(H83),H83,"")),"")</f>
        <v/>
      </c>
      <c r="AC83" s="11">
        <f>IF(ISNUMBER(SEARCH("다기관",TRIM(N83&amp;" "&amp;O83))),IFERROR(DATE(VALUE(MID(TRIM(N83&amp;" "&amp;O83),12,4)),VALUE(MID(TRIM(N83&amp;" "&amp;O83),17,2)),VALUE(MID(TRIM(N83&amp;" "&amp;O83),20,2))),IF(ISNUMBER(I83),I83,"")),"")</f>
        <v/>
      </c>
      <c r="AD83" s="17">
        <f>IF(AND(ISNUMBER(AB83),ISNUMBER(AC83)),MAX(0,MIN(AC83,EOMONTH(요약!$B$3,0))-MAX(AB83,요약!$B$3)+1),0)</f>
        <v/>
      </c>
      <c r="AE83" s="10">
        <f>IF(AND(Q83&lt;&gt;"",ISNUMBER(AB83)),Q83&amp;"|다기관","")</f>
        <v/>
      </c>
    </row>
    <row r="84">
      <c r="A84" s="15">
        <f>IF(F84="","",ROW()-3)</f>
        <v/>
      </c>
      <c r="B84" s="5" t="n"/>
      <c r="C84" s="15" t="n"/>
      <c r="D84" s="5" t="n"/>
      <c r="E84" s="15" t="n"/>
      <c r="F84" s="5" t="n"/>
      <c r="G84" s="6" t="n"/>
      <c r="H84" s="16" t="n"/>
      <c r="I84" s="16" t="n"/>
      <c r="J84" s="15">
        <f>IF(AND(ISNUMBER(H84),ISNUMBER(I84)),I84-H84+1,"")</f>
        <v/>
      </c>
      <c r="K84" s="5" t="n"/>
      <c r="L84" s="5" t="n"/>
      <c r="M84" s="5" t="n"/>
      <c r="N84" s="5" t="n"/>
      <c r="O84" s="5" t="n"/>
      <c r="Q84" s="10">
        <f>IF(TRIM(G84&amp;"")="","",TRIM(G84&amp;""))</f>
        <v/>
      </c>
      <c r="R84" s="10">
        <f>IF(TRIM(B84&amp;"")="","",IFERROR(INDEX(코드표!$K$2:$K$101,MATCH(TRIM(B84&amp;""),코드표!$J$2:$J$101,0)),"⚠"&amp;TRIM(B84&amp;"")))</f>
        <v/>
      </c>
      <c r="S84" s="10">
        <f>IF(TRIM(K84&amp;"")="","",IFERROR(INDEX(코드표!$K$2:$K$101,MATCH(TRIM(K84&amp;""),코드표!$J$2:$J$101,0)),"⚠"&amp;TRIM(K84&amp;"")))</f>
        <v/>
      </c>
      <c r="T84" s="10">
        <f>IF(TRIM(M84&amp;"")="","",IF(ISNUMBER(MATCH(TRIM(M84&amp;""),코드표!$C$2:$C$11,0)),TRIM(M84&amp;""),"⚠"&amp;TRIM(M84&amp;"")))</f>
        <v/>
      </c>
      <c r="U84" s="10">
        <f>IF(TRIM(L84&amp;"")="","",IFERROR(INDEX(코드표!$G$2:$G$101,MATCH(TRIM(L84&amp;""),코드표!$F$2:$F$101,0)),"⚠"&amp;TRIM(L84&amp;"")))</f>
        <v/>
      </c>
      <c r="V84" s="10">
        <f>IF(AND(ISNUMBER(H84),ISNUMBER(I84)),I84-H84+1,"")</f>
        <v/>
      </c>
      <c r="W84" s="17">
        <f>IF(ISNUMBER(H84),MAX(0,MIN(IF(ISNUMBER(I84),I84,EOMONTH(요약!$B$3,0)),EOMONTH(요약!$B$3,0))-MAX(H84,요약!$B$3)+1),0)</f>
        <v/>
      </c>
      <c r="X84" s="10">
        <f>IF(OR(NOT(ISNUMBER(H84)),Q84=""),"",IF(TODAY()&lt;H84,"파견예정",IF(AND(ISNUMBER(I84),TODAY()&gt;I84),"파견종료","파견중")))</f>
        <v/>
      </c>
      <c r="Y84" s="10">
        <f>IF(OR(Q84="",X84=""),"",Q84&amp;"|"&amp;X84)</f>
        <v/>
      </c>
      <c r="Z84" s="10">
        <f>IF(AND(Q84&lt;&gt;"",W84&gt;0),Q84&amp;"|월","")</f>
        <v/>
      </c>
      <c r="AA84" s="10">
        <f>IF(COUNTA(B84:N84)=0,"",IF(Q84="","등록번호 없음",IF(LEFT(R84,1)="⚠","모병원명 미등록",IF(S84="","파견병원 입력",IF(LEFT(S84,1)="⚠","파견병원명 미등록",IF(LEFT(U84,1)="⚠","파견과목 미등록",IF(OR(T84="",LEFT(T84,1)="⚠"),"파견근거 확인",IF(NOT(AND(ISNUMBER(H84),ISNUMBER(I84))),"날짜 형식/누락",IF(I84&lt;H84,"종료일&lt;시작일","")))))))))</f>
        <v/>
      </c>
      <c r="AB84" s="11">
        <f>IF(ISNUMBER(SEARCH("다기관",TRIM(N84&amp;" "&amp;O84))),IFERROR(DATE(VALUE(MID(TRIM(N84&amp;" "&amp;O84),1,4)),VALUE(MID(TRIM(N84&amp;" "&amp;O84),6,2)),VALUE(MID(TRIM(N84&amp;" "&amp;O84),9,2))),IF(ISNUMBER(H84),H84,"")),"")</f>
        <v/>
      </c>
      <c r="AC84" s="11">
        <f>IF(ISNUMBER(SEARCH("다기관",TRIM(N84&amp;" "&amp;O84))),IFERROR(DATE(VALUE(MID(TRIM(N84&amp;" "&amp;O84),12,4)),VALUE(MID(TRIM(N84&amp;" "&amp;O84),17,2)),VALUE(MID(TRIM(N84&amp;" "&amp;O84),20,2))),IF(ISNUMBER(I84),I84,"")),"")</f>
        <v/>
      </c>
      <c r="AD84" s="17">
        <f>IF(AND(ISNUMBER(AB84),ISNUMBER(AC84)),MAX(0,MIN(AC84,EOMONTH(요약!$B$3,0))-MAX(AB84,요약!$B$3)+1),0)</f>
        <v/>
      </c>
      <c r="AE84" s="10">
        <f>IF(AND(Q84&lt;&gt;"",ISNUMBER(AB84)),Q84&amp;"|다기관","")</f>
        <v/>
      </c>
    </row>
    <row r="85">
      <c r="A85" s="15">
        <f>IF(F85="","",ROW()-3)</f>
        <v/>
      </c>
      <c r="B85" s="5" t="n"/>
      <c r="C85" s="15" t="n"/>
      <c r="D85" s="5" t="n"/>
      <c r="E85" s="15" t="n"/>
      <c r="F85" s="5" t="n"/>
      <c r="G85" s="6" t="n"/>
      <c r="H85" s="16" t="n"/>
      <c r="I85" s="16" t="n"/>
      <c r="J85" s="15">
        <f>IF(AND(ISNUMBER(H85),ISNUMBER(I85)),I85-H85+1,"")</f>
        <v/>
      </c>
      <c r="K85" s="5" t="n"/>
      <c r="L85" s="5" t="n"/>
      <c r="M85" s="5" t="n"/>
      <c r="N85" s="5" t="n"/>
      <c r="O85" s="5" t="n"/>
      <c r="Q85" s="10">
        <f>IF(TRIM(G85&amp;"")="","",TRIM(G85&amp;""))</f>
        <v/>
      </c>
      <c r="R85" s="10">
        <f>IF(TRIM(B85&amp;"")="","",IFERROR(INDEX(코드표!$K$2:$K$101,MATCH(TRIM(B85&amp;""),코드표!$J$2:$J$101,0)),"⚠"&amp;TRIM(B85&amp;"")))</f>
        <v/>
      </c>
      <c r="S85" s="10">
        <f>IF(TRIM(K85&amp;"")="","",IFERROR(INDEX(코드표!$K$2:$K$101,MATCH(TRIM(K85&amp;""),코드표!$J$2:$J$101,0)),"⚠"&amp;TRIM(K85&amp;"")))</f>
        <v/>
      </c>
      <c r="T85" s="10">
        <f>IF(TRIM(M85&amp;"")="","",IF(ISNUMBER(MATCH(TRIM(M85&amp;""),코드표!$C$2:$C$11,0)),TRIM(M85&amp;""),"⚠"&amp;TRIM(M85&amp;"")))</f>
        <v/>
      </c>
      <c r="U85" s="10">
        <f>IF(TRIM(L85&amp;"")="","",IFERROR(INDEX(코드표!$G$2:$G$101,MATCH(TRIM(L85&amp;""),코드표!$F$2:$F$101,0)),"⚠"&amp;TRIM(L85&amp;"")))</f>
        <v/>
      </c>
      <c r="V85" s="10">
        <f>IF(AND(ISNUMBER(H85),ISNUMBER(I85)),I85-H85+1,"")</f>
        <v/>
      </c>
      <c r="W85" s="17">
        <f>IF(ISNUMBER(H85),MAX(0,MIN(IF(ISNUMBER(I85),I85,EOMONTH(요약!$B$3,0)),EOMONTH(요약!$B$3,0))-MAX(H85,요약!$B$3)+1),0)</f>
        <v/>
      </c>
      <c r="X85" s="10">
        <f>IF(OR(NOT(ISNUMBER(H85)),Q85=""),"",IF(TODAY()&lt;H85,"파견예정",IF(AND(ISNUMBER(I85),TODAY()&gt;I85),"파견종료","파견중")))</f>
        <v/>
      </c>
      <c r="Y85" s="10">
        <f>IF(OR(Q85="",X85=""),"",Q85&amp;"|"&amp;X85)</f>
        <v/>
      </c>
      <c r="Z85" s="10">
        <f>IF(AND(Q85&lt;&gt;"",W85&gt;0),Q85&amp;"|월","")</f>
        <v/>
      </c>
      <c r="AA85" s="10">
        <f>IF(COUNTA(B85:N85)=0,"",IF(Q85="","등록번호 없음",IF(LEFT(R85,1)="⚠","모병원명 미등록",IF(S85="","파견병원 입력",IF(LEFT(S85,1)="⚠","파견병원명 미등록",IF(LEFT(U85,1)="⚠","파견과목 미등록",IF(OR(T85="",LEFT(T85,1)="⚠"),"파견근거 확인",IF(NOT(AND(ISNUMBER(H85),ISNUMBER(I85))),"날짜 형식/누락",IF(I85&lt;H85,"종료일&lt;시작일","")))))))))</f>
        <v/>
      </c>
      <c r="AB85" s="11">
        <f>IF(ISNUMBER(SEARCH("다기관",TRIM(N85&amp;" "&amp;O85))),IFERROR(DATE(VALUE(MID(TRIM(N85&amp;" "&amp;O85),1,4)),VALUE(MID(TRIM(N85&amp;" "&amp;O85),6,2)),VALUE(MID(TRIM(N85&amp;" "&amp;O85),9,2))),IF(ISNUMBER(H85),H85,"")),"")</f>
        <v/>
      </c>
      <c r="AC85" s="11">
        <f>IF(ISNUMBER(SEARCH("다기관",TRIM(N85&amp;" "&amp;O85))),IFERROR(DATE(VALUE(MID(TRIM(N85&amp;" "&amp;O85),12,4)),VALUE(MID(TRIM(N85&amp;" "&amp;O85),17,2)),VALUE(MID(TRIM(N85&amp;" "&amp;O85),20,2))),IF(ISNUMBER(I85),I85,"")),"")</f>
        <v/>
      </c>
      <c r="AD85" s="17">
        <f>IF(AND(ISNUMBER(AB85),ISNUMBER(AC85)),MAX(0,MIN(AC85,EOMONTH(요약!$B$3,0))-MAX(AB85,요약!$B$3)+1),0)</f>
        <v/>
      </c>
      <c r="AE85" s="10">
        <f>IF(AND(Q85&lt;&gt;"",ISNUMBER(AB85)),Q85&amp;"|다기관","")</f>
        <v/>
      </c>
    </row>
    <row r="86">
      <c r="A86" s="15">
        <f>IF(F86="","",ROW()-3)</f>
        <v/>
      </c>
      <c r="B86" s="5" t="n"/>
      <c r="C86" s="15" t="n"/>
      <c r="D86" s="5" t="n"/>
      <c r="E86" s="15" t="n"/>
      <c r="F86" s="5" t="n"/>
      <c r="G86" s="6" t="n"/>
      <c r="H86" s="16" t="n"/>
      <c r="I86" s="16" t="n"/>
      <c r="J86" s="15">
        <f>IF(AND(ISNUMBER(H86),ISNUMBER(I86)),I86-H86+1,"")</f>
        <v/>
      </c>
      <c r="K86" s="5" t="n"/>
      <c r="L86" s="5" t="n"/>
      <c r="M86" s="5" t="n"/>
      <c r="N86" s="5" t="n"/>
      <c r="O86" s="5" t="n"/>
      <c r="Q86" s="10">
        <f>IF(TRIM(G86&amp;"")="","",TRIM(G86&amp;""))</f>
        <v/>
      </c>
      <c r="R86" s="10">
        <f>IF(TRIM(B86&amp;"")="","",IFERROR(INDEX(코드표!$K$2:$K$101,MATCH(TRIM(B86&amp;""),코드표!$J$2:$J$101,0)),"⚠"&amp;TRIM(B86&amp;"")))</f>
        <v/>
      </c>
      <c r="S86" s="10">
        <f>IF(TRIM(K86&amp;"")="","",IFERROR(INDEX(코드표!$K$2:$K$101,MATCH(TRIM(K86&amp;""),코드표!$J$2:$J$101,0)),"⚠"&amp;TRIM(K86&amp;"")))</f>
        <v/>
      </c>
      <c r="T86" s="10">
        <f>IF(TRIM(M86&amp;"")="","",IF(ISNUMBER(MATCH(TRIM(M86&amp;""),코드표!$C$2:$C$11,0)),TRIM(M86&amp;""),"⚠"&amp;TRIM(M86&amp;"")))</f>
        <v/>
      </c>
      <c r="U86" s="10">
        <f>IF(TRIM(L86&amp;"")="","",IFERROR(INDEX(코드표!$G$2:$G$101,MATCH(TRIM(L86&amp;""),코드표!$F$2:$F$101,0)),"⚠"&amp;TRIM(L86&amp;"")))</f>
        <v/>
      </c>
      <c r="V86" s="10">
        <f>IF(AND(ISNUMBER(H86),ISNUMBER(I86)),I86-H86+1,"")</f>
        <v/>
      </c>
      <c r="W86" s="17">
        <f>IF(ISNUMBER(H86),MAX(0,MIN(IF(ISNUMBER(I86),I86,EOMONTH(요약!$B$3,0)),EOMONTH(요약!$B$3,0))-MAX(H86,요약!$B$3)+1),0)</f>
        <v/>
      </c>
      <c r="X86" s="10">
        <f>IF(OR(NOT(ISNUMBER(H86)),Q86=""),"",IF(TODAY()&lt;H86,"파견예정",IF(AND(ISNUMBER(I86),TODAY()&gt;I86),"파견종료","파견중")))</f>
        <v/>
      </c>
      <c r="Y86" s="10">
        <f>IF(OR(Q86="",X86=""),"",Q86&amp;"|"&amp;X86)</f>
        <v/>
      </c>
      <c r="Z86" s="10">
        <f>IF(AND(Q86&lt;&gt;"",W86&gt;0),Q86&amp;"|월","")</f>
        <v/>
      </c>
      <c r="AA86" s="10">
        <f>IF(COUNTA(B86:N86)=0,"",IF(Q86="","등록번호 없음",IF(LEFT(R86,1)="⚠","모병원명 미등록",IF(S86="","파견병원 입력",IF(LEFT(S86,1)="⚠","파견병원명 미등록",IF(LEFT(U86,1)="⚠","파견과목 미등록",IF(OR(T86="",LEFT(T86,1)="⚠"),"파견근거 확인",IF(NOT(AND(ISNUMBER(H86),ISNUMBER(I86))),"날짜 형식/누락",IF(I86&lt;H86,"종료일&lt;시작일","")))))))))</f>
        <v/>
      </c>
      <c r="AB86" s="11">
        <f>IF(ISNUMBER(SEARCH("다기관",TRIM(N86&amp;" "&amp;O86))),IFERROR(DATE(VALUE(MID(TRIM(N86&amp;" "&amp;O86),1,4)),VALUE(MID(TRIM(N86&amp;" "&amp;O86),6,2)),VALUE(MID(TRIM(N86&amp;" "&amp;O86),9,2))),IF(ISNUMBER(H86),H86,"")),"")</f>
        <v/>
      </c>
      <c r="AC86" s="11">
        <f>IF(ISNUMBER(SEARCH("다기관",TRIM(N86&amp;" "&amp;O86))),IFERROR(DATE(VALUE(MID(TRIM(N86&amp;" "&amp;O86),12,4)),VALUE(MID(TRIM(N86&amp;" "&amp;O86),17,2)),VALUE(MID(TRIM(N86&amp;" "&amp;O86),20,2))),IF(ISNUMBER(I86),I86,"")),"")</f>
        <v/>
      </c>
      <c r="AD86" s="17">
        <f>IF(AND(ISNUMBER(AB86),ISNUMBER(AC86)),MAX(0,MIN(AC86,EOMONTH(요약!$B$3,0))-MAX(AB86,요약!$B$3)+1),0)</f>
        <v/>
      </c>
      <c r="AE86" s="10">
        <f>IF(AND(Q86&lt;&gt;"",ISNUMBER(AB86)),Q86&amp;"|다기관","")</f>
        <v/>
      </c>
    </row>
    <row r="87">
      <c r="A87" s="15">
        <f>IF(F87="","",ROW()-3)</f>
        <v/>
      </c>
      <c r="B87" s="5" t="n"/>
      <c r="C87" s="15" t="n"/>
      <c r="D87" s="5" t="n"/>
      <c r="E87" s="15" t="n"/>
      <c r="F87" s="5" t="n"/>
      <c r="G87" s="6" t="n"/>
      <c r="H87" s="16" t="n"/>
      <c r="I87" s="16" t="n"/>
      <c r="J87" s="15">
        <f>IF(AND(ISNUMBER(H87),ISNUMBER(I87)),I87-H87+1,"")</f>
        <v/>
      </c>
      <c r="K87" s="5" t="n"/>
      <c r="L87" s="5" t="n"/>
      <c r="M87" s="5" t="n"/>
      <c r="N87" s="5" t="n"/>
      <c r="O87" s="5" t="n"/>
      <c r="Q87" s="10">
        <f>IF(TRIM(G87&amp;"")="","",TRIM(G87&amp;""))</f>
        <v/>
      </c>
      <c r="R87" s="10">
        <f>IF(TRIM(B87&amp;"")="","",IFERROR(INDEX(코드표!$K$2:$K$101,MATCH(TRIM(B87&amp;""),코드표!$J$2:$J$101,0)),"⚠"&amp;TRIM(B87&amp;"")))</f>
        <v/>
      </c>
      <c r="S87" s="10">
        <f>IF(TRIM(K87&amp;"")="","",IFERROR(INDEX(코드표!$K$2:$K$101,MATCH(TRIM(K87&amp;""),코드표!$J$2:$J$101,0)),"⚠"&amp;TRIM(K87&amp;"")))</f>
        <v/>
      </c>
      <c r="T87" s="10">
        <f>IF(TRIM(M87&amp;"")="","",IF(ISNUMBER(MATCH(TRIM(M87&amp;""),코드표!$C$2:$C$11,0)),TRIM(M87&amp;""),"⚠"&amp;TRIM(M87&amp;"")))</f>
        <v/>
      </c>
      <c r="U87" s="10">
        <f>IF(TRIM(L87&amp;"")="","",IFERROR(INDEX(코드표!$G$2:$G$101,MATCH(TRIM(L87&amp;""),코드표!$F$2:$F$101,0)),"⚠"&amp;TRIM(L87&amp;"")))</f>
        <v/>
      </c>
      <c r="V87" s="10">
        <f>IF(AND(ISNUMBER(H87),ISNUMBER(I87)),I87-H87+1,"")</f>
        <v/>
      </c>
      <c r="W87" s="17">
        <f>IF(ISNUMBER(H87),MAX(0,MIN(IF(ISNUMBER(I87),I87,EOMONTH(요약!$B$3,0)),EOMONTH(요약!$B$3,0))-MAX(H87,요약!$B$3)+1),0)</f>
        <v/>
      </c>
      <c r="X87" s="10">
        <f>IF(OR(NOT(ISNUMBER(H87)),Q87=""),"",IF(TODAY()&lt;H87,"파견예정",IF(AND(ISNUMBER(I87),TODAY()&gt;I87),"파견종료","파견중")))</f>
        <v/>
      </c>
      <c r="Y87" s="10">
        <f>IF(OR(Q87="",X87=""),"",Q87&amp;"|"&amp;X87)</f>
        <v/>
      </c>
      <c r="Z87" s="10">
        <f>IF(AND(Q87&lt;&gt;"",W87&gt;0),Q87&amp;"|월","")</f>
        <v/>
      </c>
      <c r="AA87" s="10">
        <f>IF(COUNTA(B87:N87)=0,"",IF(Q87="","등록번호 없음",IF(LEFT(R87,1)="⚠","모병원명 미등록",IF(S87="","파견병원 입력",IF(LEFT(S87,1)="⚠","파견병원명 미등록",IF(LEFT(U87,1)="⚠","파견과목 미등록",IF(OR(T87="",LEFT(T87,1)="⚠"),"파견근거 확인",IF(NOT(AND(ISNUMBER(H87),ISNUMBER(I87))),"날짜 형식/누락",IF(I87&lt;H87,"종료일&lt;시작일","")))))))))</f>
        <v/>
      </c>
      <c r="AB87" s="11">
        <f>IF(ISNUMBER(SEARCH("다기관",TRIM(N87&amp;" "&amp;O87))),IFERROR(DATE(VALUE(MID(TRIM(N87&amp;" "&amp;O87),1,4)),VALUE(MID(TRIM(N87&amp;" "&amp;O87),6,2)),VALUE(MID(TRIM(N87&amp;" "&amp;O87),9,2))),IF(ISNUMBER(H87),H87,"")),"")</f>
        <v/>
      </c>
      <c r="AC87" s="11">
        <f>IF(ISNUMBER(SEARCH("다기관",TRIM(N87&amp;" "&amp;O87))),IFERROR(DATE(VALUE(MID(TRIM(N87&amp;" "&amp;O87),12,4)),VALUE(MID(TRIM(N87&amp;" "&amp;O87),17,2)),VALUE(MID(TRIM(N87&amp;" "&amp;O87),20,2))),IF(ISNUMBER(I87),I87,"")),"")</f>
        <v/>
      </c>
      <c r="AD87" s="17">
        <f>IF(AND(ISNUMBER(AB87),ISNUMBER(AC87)),MAX(0,MIN(AC87,EOMONTH(요약!$B$3,0))-MAX(AB87,요약!$B$3)+1),0)</f>
        <v/>
      </c>
      <c r="AE87" s="10">
        <f>IF(AND(Q87&lt;&gt;"",ISNUMBER(AB87)),Q87&amp;"|다기관","")</f>
        <v/>
      </c>
    </row>
    <row r="88">
      <c r="A88" s="15">
        <f>IF(F88="","",ROW()-3)</f>
        <v/>
      </c>
      <c r="B88" s="5" t="n"/>
      <c r="C88" s="15" t="n"/>
      <c r="D88" s="5" t="n"/>
      <c r="E88" s="15" t="n"/>
      <c r="F88" s="5" t="n"/>
      <c r="G88" s="6" t="n"/>
      <c r="H88" s="16" t="n"/>
      <c r="I88" s="16" t="n"/>
      <c r="J88" s="15">
        <f>IF(AND(ISNUMBER(H88),ISNUMBER(I88)),I88-H88+1,"")</f>
        <v/>
      </c>
      <c r="K88" s="5" t="n"/>
      <c r="L88" s="5" t="n"/>
      <c r="M88" s="5" t="n"/>
      <c r="N88" s="5" t="n"/>
      <c r="O88" s="5" t="n"/>
      <c r="Q88" s="10">
        <f>IF(TRIM(G88&amp;"")="","",TRIM(G88&amp;""))</f>
        <v/>
      </c>
      <c r="R88" s="10">
        <f>IF(TRIM(B88&amp;"")="","",IFERROR(INDEX(코드표!$K$2:$K$101,MATCH(TRIM(B88&amp;""),코드표!$J$2:$J$101,0)),"⚠"&amp;TRIM(B88&amp;"")))</f>
        <v/>
      </c>
      <c r="S88" s="10">
        <f>IF(TRIM(K88&amp;"")="","",IFERROR(INDEX(코드표!$K$2:$K$101,MATCH(TRIM(K88&amp;""),코드표!$J$2:$J$101,0)),"⚠"&amp;TRIM(K88&amp;"")))</f>
        <v/>
      </c>
      <c r="T88" s="10">
        <f>IF(TRIM(M88&amp;"")="","",IF(ISNUMBER(MATCH(TRIM(M88&amp;""),코드표!$C$2:$C$11,0)),TRIM(M88&amp;""),"⚠"&amp;TRIM(M88&amp;"")))</f>
        <v/>
      </c>
      <c r="U88" s="10">
        <f>IF(TRIM(L88&amp;"")="","",IFERROR(INDEX(코드표!$G$2:$G$101,MATCH(TRIM(L88&amp;""),코드표!$F$2:$F$101,0)),"⚠"&amp;TRIM(L88&amp;"")))</f>
        <v/>
      </c>
      <c r="V88" s="10">
        <f>IF(AND(ISNUMBER(H88),ISNUMBER(I88)),I88-H88+1,"")</f>
        <v/>
      </c>
      <c r="W88" s="17">
        <f>IF(ISNUMBER(H88),MAX(0,MIN(IF(ISNUMBER(I88),I88,EOMONTH(요약!$B$3,0)),EOMONTH(요약!$B$3,0))-MAX(H88,요약!$B$3)+1),0)</f>
        <v/>
      </c>
      <c r="X88" s="10">
        <f>IF(OR(NOT(ISNUMBER(H88)),Q88=""),"",IF(TODAY()&lt;H88,"파견예정",IF(AND(ISNUMBER(I88),TODAY()&gt;I88),"파견종료","파견중")))</f>
        <v/>
      </c>
      <c r="Y88" s="10">
        <f>IF(OR(Q88="",X88=""),"",Q88&amp;"|"&amp;X88)</f>
        <v/>
      </c>
      <c r="Z88" s="10">
        <f>IF(AND(Q88&lt;&gt;"",W88&gt;0),Q88&amp;"|월","")</f>
        <v/>
      </c>
      <c r="AA88" s="10">
        <f>IF(COUNTA(B88:N88)=0,"",IF(Q88="","등록번호 없음",IF(LEFT(R88,1)="⚠","모병원명 미등록",IF(S88="","파견병원 입력",IF(LEFT(S88,1)="⚠","파견병원명 미등록",IF(LEFT(U88,1)="⚠","파견과목 미등록",IF(OR(T88="",LEFT(T88,1)="⚠"),"파견근거 확인",IF(NOT(AND(ISNUMBER(H88),ISNUMBER(I88))),"날짜 형식/누락",IF(I88&lt;H88,"종료일&lt;시작일","")))))))))</f>
        <v/>
      </c>
      <c r="AB88" s="11">
        <f>IF(ISNUMBER(SEARCH("다기관",TRIM(N88&amp;" "&amp;O88))),IFERROR(DATE(VALUE(MID(TRIM(N88&amp;" "&amp;O88),1,4)),VALUE(MID(TRIM(N88&amp;" "&amp;O88),6,2)),VALUE(MID(TRIM(N88&amp;" "&amp;O88),9,2))),IF(ISNUMBER(H88),H88,"")),"")</f>
        <v/>
      </c>
      <c r="AC88" s="11">
        <f>IF(ISNUMBER(SEARCH("다기관",TRIM(N88&amp;" "&amp;O88))),IFERROR(DATE(VALUE(MID(TRIM(N88&amp;" "&amp;O88),12,4)),VALUE(MID(TRIM(N88&amp;" "&amp;O88),17,2)),VALUE(MID(TRIM(N88&amp;" "&amp;O88),20,2))),IF(ISNUMBER(I88),I88,"")),"")</f>
        <v/>
      </c>
      <c r="AD88" s="17">
        <f>IF(AND(ISNUMBER(AB88),ISNUMBER(AC88)),MAX(0,MIN(AC88,EOMONTH(요약!$B$3,0))-MAX(AB88,요약!$B$3)+1),0)</f>
        <v/>
      </c>
      <c r="AE88" s="10">
        <f>IF(AND(Q88&lt;&gt;"",ISNUMBER(AB88)),Q88&amp;"|다기관","")</f>
        <v/>
      </c>
    </row>
    <row r="89">
      <c r="A89" s="15">
        <f>IF(F89="","",ROW()-3)</f>
        <v/>
      </c>
      <c r="B89" s="5" t="n"/>
      <c r="C89" s="15" t="n"/>
      <c r="D89" s="5" t="n"/>
      <c r="E89" s="15" t="n"/>
      <c r="F89" s="5" t="n"/>
      <c r="G89" s="6" t="n"/>
      <c r="H89" s="16" t="n"/>
      <c r="I89" s="16" t="n"/>
      <c r="J89" s="15">
        <f>IF(AND(ISNUMBER(H89),ISNUMBER(I89)),I89-H89+1,"")</f>
        <v/>
      </c>
      <c r="K89" s="5" t="n"/>
      <c r="L89" s="5" t="n"/>
      <c r="M89" s="5" t="n"/>
      <c r="N89" s="5" t="n"/>
      <c r="O89" s="5" t="n"/>
      <c r="Q89" s="10">
        <f>IF(TRIM(G89&amp;"")="","",TRIM(G89&amp;""))</f>
        <v/>
      </c>
      <c r="R89" s="10">
        <f>IF(TRIM(B89&amp;"")="","",IFERROR(INDEX(코드표!$K$2:$K$101,MATCH(TRIM(B89&amp;""),코드표!$J$2:$J$101,0)),"⚠"&amp;TRIM(B89&amp;"")))</f>
        <v/>
      </c>
      <c r="S89" s="10">
        <f>IF(TRIM(K89&amp;"")="","",IFERROR(INDEX(코드표!$K$2:$K$101,MATCH(TRIM(K89&amp;""),코드표!$J$2:$J$101,0)),"⚠"&amp;TRIM(K89&amp;"")))</f>
        <v/>
      </c>
      <c r="T89" s="10">
        <f>IF(TRIM(M89&amp;"")="","",IF(ISNUMBER(MATCH(TRIM(M89&amp;""),코드표!$C$2:$C$11,0)),TRIM(M89&amp;""),"⚠"&amp;TRIM(M89&amp;"")))</f>
        <v/>
      </c>
      <c r="U89" s="10">
        <f>IF(TRIM(L89&amp;"")="","",IFERROR(INDEX(코드표!$G$2:$G$101,MATCH(TRIM(L89&amp;""),코드표!$F$2:$F$101,0)),"⚠"&amp;TRIM(L89&amp;"")))</f>
        <v/>
      </c>
      <c r="V89" s="10">
        <f>IF(AND(ISNUMBER(H89),ISNUMBER(I89)),I89-H89+1,"")</f>
        <v/>
      </c>
      <c r="W89" s="17">
        <f>IF(ISNUMBER(H89),MAX(0,MIN(IF(ISNUMBER(I89),I89,EOMONTH(요약!$B$3,0)),EOMONTH(요약!$B$3,0))-MAX(H89,요약!$B$3)+1),0)</f>
        <v/>
      </c>
      <c r="X89" s="10">
        <f>IF(OR(NOT(ISNUMBER(H89)),Q89=""),"",IF(TODAY()&lt;H89,"파견예정",IF(AND(ISNUMBER(I89),TODAY()&gt;I89),"파견종료","파견중")))</f>
        <v/>
      </c>
      <c r="Y89" s="10">
        <f>IF(OR(Q89="",X89=""),"",Q89&amp;"|"&amp;X89)</f>
        <v/>
      </c>
      <c r="Z89" s="10">
        <f>IF(AND(Q89&lt;&gt;"",W89&gt;0),Q89&amp;"|월","")</f>
        <v/>
      </c>
      <c r="AA89" s="10">
        <f>IF(COUNTA(B89:N89)=0,"",IF(Q89="","등록번호 없음",IF(LEFT(R89,1)="⚠","모병원명 미등록",IF(S89="","파견병원 입력",IF(LEFT(S89,1)="⚠","파견병원명 미등록",IF(LEFT(U89,1)="⚠","파견과목 미등록",IF(OR(T89="",LEFT(T89,1)="⚠"),"파견근거 확인",IF(NOT(AND(ISNUMBER(H89),ISNUMBER(I89))),"날짜 형식/누락",IF(I89&lt;H89,"종료일&lt;시작일","")))))))))</f>
        <v/>
      </c>
      <c r="AB89" s="11">
        <f>IF(ISNUMBER(SEARCH("다기관",TRIM(N89&amp;" "&amp;O89))),IFERROR(DATE(VALUE(MID(TRIM(N89&amp;" "&amp;O89),1,4)),VALUE(MID(TRIM(N89&amp;" "&amp;O89),6,2)),VALUE(MID(TRIM(N89&amp;" "&amp;O89),9,2))),IF(ISNUMBER(H89),H89,"")),"")</f>
        <v/>
      </c>
      <c r="AC89" s="11">
        <f>IF(ISNUMBER(SEARCH("다기관",TRIM(N89&amp;" "&amp;O89))),IFERROR(DATE(VALUE(MID(TRIM(N89&amp;" "&amp;O89),12,4)),VALUE(MID(TRIM(N89&amp;" "&amp;O89),17,2)),VALUE(MID(TRIM(N89&amp;" "&amp;O89),20,2))),IF(ISNUMBER(I89),I89,"")),"")</f>
        <v/>
      </c>
      <c r="AD89" s="17">
        <f>IF(AND(ISNUMBER(AB89),ISNUMBER(AC89)),MAX(0,MIN(AC89,EOMONTH(요약!$B$3,0))-MAX(AB89,요약!$B$3)+1),0)</f>
        <v/>
      </c>
      <c r="AE89" s="10">
        <f>IF(AND(Q89&lt;&gt;"",ISNUMBER(AB89)),Q89&amp;"|다기관","")</f>
        <v/>
      </c>
    </row>
    <row r="90">
      <c r="A90" s="15">
        <f>IF(F90="","",ROW()-3)</f>
        <v/>
      </c>
      <c r="B90" s="5" t="n"/>
      <c r="C90" s="15" t="n"/>
      <c r="D90" s="5" t="n"/>
      <c r="E90" s="15" t="n"/>
      <c r="F90" s="5" t="n"/>
      <c r="G90" s="6" t="n"/>
      <c r="H90" s="16" t="n"/>
      <c r="I90" s="16" t="n"/>
      <c r="J90" s="15">
        <f>IF(AND(ISNUMBER(H90),ISNUMBER(I90)),I90-H90+1,"")</f>
        <v/>
      </c>
      <c r="K90" s="5" t="n"/>
      <c r="L90" s="5" t="n"/>
      <c r="M90" s="5" t="n"/>
      <c r="N90" s="5" t="n"/>
      <c r="O90" s="5" t="n"/>
      <c r="Q90" s="10">
        <f>IF(TRIM(G90&amp;"")="","",TRIM(G90&amp;""))</f>
        <v/>
      </c>
      <c r="R90" s="10">
        <f>IF(TRIM(B90&amp;"")="","",IFERROR(INDEX(코드표!$K$2:$K$101,MATCH(TRIM(B90&amp;""),코드표!$J$2:$J$101,0)),"⚠"&amp;TRIM(B90&amp;"")))</f>
        <v/>
      </c>
      <c r="S90" s="10">
        <f>IF(TRIM(K90&amp;"")="","",IFERROR(INDEX(코드표!$K$2:$K$101,MATCH(TRIM(K90&amp;""),코드표!$J$2:$J$101,0)),"⚠"&amp;TRIM(K90&amp;"")))</f>
        <v/>
      </c>
      <c r="T90" s="10">
        <f>IF(TRIM(M90&amp;"")="","",IF(ISNUMBER(MATCH(TRIM(M90&amp;""),코드표!$C$2:$C$11,0)),TRIM(M90&amp;""),"⚠"&amp;TRIM(M90&amp;"")))</f>
        <v/>
      </c>
      <c r="U90" s="10">
        <f>IF(TRIM(L90&amp;"")="","",IFERROR(INDEX(코드표!$G$2:$G$101,MATCH(TRIM(L90&amp;""),코드표!$F$2:$F$101,0)),"⚠"&amp;TRIM(L90&amp;"")))</f>
        <v/>
      </c>
      <c r="V90" s="10">
        <f>IF(AND(ISNUMBER(H90),ISNUMBER(I90)),I90-H90+1,"")</f>
        <v/>
      </c>
      <c r="W90" s="17">
        <f>IF(ISNUMBER(H90),MAX(0,MIN(IF(ISNUMBER(I90),I90,EOMONTH(요약!$B$3,0)),EOMONTH(요약!$B$3,0))-MAX(H90,요약!$B$3)+1),0)</f>
        <v/>
      </c>
      <c r="X90" s="10">
        <f>IF(OR(NOT(ISNUMBER(H90)),Q90=""),"",IF(TODAY()&lt;H90,"파견예정",IF(AND(ISNUMBER(I90),TODAY()&gt;I90),"파견종료","파견중")))</f>
        <v/>
      </c>
      <c r="Y90" s="10">
        <f>IF(OR(Q90="",X90=""),"",Q90&amp;"|"&amp;X90)</f>
        <v/>
      </c>
      <c r="Z90" s="10">
        <f>IF(AND(Q90&lt;&gt;"",W90&gt;0),Q90&amp;"|월","")</f>
        <v/>
      </c>
      <c r="AA90" s="10">
        <f>IF(COUNTA(B90:N90)=0,"",IF(Q90="","등록번호 없음",IF(LEFT(R90,1)="⚠","모병원명 미등록",IF(S90="","파견병원 입력",IF(LEFT(S90,1)="⚠","파견병원명 미등록",IF(LEFT(U90,1)="⚠","파견과목 미등록",IF(OR(T90="",LEFT(T90,1)="⚠"),"파견근거 확인",IF(NOT(AND(ISNUMBER(H90),ISNUMBER(I90))),"날짜 형식/누락",IF(I90&lt;H90,"종료일&lt;시작일","")))))))))</f>
        <v/>
      </c>
      <c r="AB90" s="11">
        <f>IF(ISNUMBER(SEARCH("다기관",TRIM(N90&amp;" "&amp;O90))),IFERROR(DATE(VALUE(MID(TRIM(N90&amp;" "&amp;O90),1,4)),VALUE(MID(TRIM(N90&amp;" "&amp;O90),6,2)),VALUE(MID(TRIM(N90&amp;" "&amp;O90),9,2))),IF(ISNUMBER(H90),H90,"")),"")</f>
        <v/>
      </c>
      <c r="AC90" s="11">
        <f>IF(ISNUMBER(SEARCH("다기관",TRIM(N90&amp;" "&amp;O90))),IFERROR(DATE(VALUE(MID(TRIM(N90&amp;" "&amp;O90),12,4)),VALUE(MID(TRIM(N90&amp;" "&amp;O90),17,2)),VALUE(MID(TRIM(N90&amp;" "&amp;O90),20,2))),IF(ISNUMBER(I90),I90,"")),"")</f>
        <v/>
      </c>
      <c r="AD90" s="17">
        <f>IF(AND(ISNUMBER(AB90),ISNUMBER(AC90)),MAX(0,MIN(AC90,EOMONTH(요약!$B$3,0))-MAX(AB90,요약!$B$3)+1),0)</f>
        <v/>
      </c>
      <c r="AE90" s="10">
        <f>IF(AND(Q90&lt;&gt;"",ISNUMBER(AB90)),Q90&amp;"|다기관","")</f>
        <v/>
      </c>
    </row>
    <row r="91">
      <c r="A91" s="15">
        <f>IF(F91="","",ROW()-3)</f>
        <v/>
      </c>
      <c r="B91" s="5" t="n"/>
      <c r="C91" s="15" t="n"/>
      <c r="D91" s="5" t="n"/>
      <c r="E91" s="15" t="n"/>
      <c r="F91" s="5" t="n"/>
      <c r="G91" s="6" t="n"/>
      <c r="H91" s="16" t="n"/>
      <c r="I91" s="16" t="n"/>
      <c r="J91" s="15">
        <f>IF(AND(ISNUMBER(H91),ISNUMBER(I91)),I91-H91+1,"")</f>
        <v/>
      </c>
      <c r="K91" s="5" t="n"/>
      <c r="L91" s="5" t="n"/>
      <c r="M91" s="5" t="n"/>
      <c r="N91" s="5" t="n"/>
      <c r="O91" s="5" t="n"/>
      <c r="Q91" s="10">
        <f>IF(TRIM(G91&amp;"")="","",TRIM(G91&amp;""))</f>
        <v/>
      </c>
      <c r="R91" s="10">
        <f>IF(TRIM(B91&amp;"")="","",IFERROR(INDEX(코드표!$K$2:$K$101,MATCH(TRIM(B91&amp;""),코드표!$J$2:$J$101,0)),"⚠"&amp;TRIM(B91&amp;"")))</f>
        <v/>
      </c>
      <c r="S91" s="10">
        <f>IF(TRIM(K91&amp;"")="","",IFERROR(INDEX(코드표!$K$2:$K$101,MATCH(TRIM(K91&amp;""),코드표!$J$2:$J$101,0)),"⚠"&amp;TRIM(K91&amp;"")))</f>
        <v/>
      </c>
      <c r="T91" s="10">
        <f>IF(TRIM(M91&amp;"")="","",IF(ISNUMBER(MATCH(TRIM(M91&amp;""),코드표!$C$2:$C$11,0)),TRIM(M91&amp;""),"⚠"&amp;TRIM(M91&amp;"")))</f>
        <v/>
      </c>
      <c r="U91" s="10">
        <f>IF(TRIM(L91&amp;"")="","",IFERROR(INDEX(코드표!$G$2:$G$101,MATCH(TRIM(L91&amp;""),코드표!$F$2:$F$101,0)),"⚠"&amp;TRIM(L91&amp;"")))</f>
        <v/>
      </c>
      <c r="V91" s="10">
        <f>IF(AND(ISNUMBER(H91),ISNUMBER(I91)),I91-H91+1,"")</f>
        <v/>
      </c>
      <c r="W91" s="17">
        <f>IF(ISNUMBER(H91),MAX(0,MIN(IF(ISNUMBER(I91),I91,EOMONTH(요약!$B$3,0)),EOMONTH(요약!$B$3,0))-MAX(H91,요약!$B$3)+1),0)</f>
        <v/>
      </c>
      <c r="X91" s="10">
        <f>IF(OR(NOT(ISNUMBER(H91)),Q91=""),"",IF(TODAY()&lt;H91,"파견예정",IF(AND(ISNUMBER(I91),TODAY()&gt;I91),"파견종료","파견중")))</f>
        <v/>
      </c>
      <c r="Y91" s="10">
        <f>IF(OR(Q91="",X91=""),"",Q91&amp;"|"&amp;X91)</f>
        <v/>
      </c>
      <c r="Z91" s="10">
        <f>IF(AND(Q91&lt;&gt;"",W91&gt;0),Q91&amp;"|월","")</f>
        <v/>
      </c>
      <c r="AA91" s="10">
        <f>IF(COUNTA(B91:N91)=0,"",IF(Q91="","등록번호 없음",IF(LEFT(R91,1)="⚠","모병원명 미등록",IF(S91="","파견병원 입력",IF(LEFT(S91,1)="⚠","파견병원명 미등록",IF(LEFT(U91,1)="⚠","파견과목 미등록",IF(OR(T91="",LEFT(T91,1)="⚠"),"파견근거 확인",IF(NOT(AND(ISNUMBER(H91),ISNUMBER(I91))),"날짜 형식/누락",IF(I91&lt;H91,"종료일&lt;시작일","")))))))))</f>
        <v/>
      </c>
      <c r="AB91" s="11">
        <f>IF(ISNUMBER(SEARCH("다기관",TRIM(N91&amp;" "&amp;O91))),IFERROR(DATE(VALUE(MID(TRIM(N91&amp;" "&amp;O91),1,4)),VALUE(MID(TRIM(N91&amp;" "&amp;O91),6,2)),VALUE(MID(TRIM(N91&amp;" "&amp;O91),9,2))),IF(ISNUMBER(H91),H91,"")),"")</f>
        <v/>
      </c>
      <c r="AC91" s="11">
        <f>IF(ISNUMBER(SEARCH("다기관",TRIM(N91&amp;" "&amp;O91))),IFERROR(DATE(VALUE(MID(TRIM(N91&amp;" "&amp;O91),12,4)),VALUE(MID(TRIM(N91&amp;" "&amp;O91),17,2)),VALUE(MID(TRIM(N91&amp;" "&amp;O91),20,2))),IF(ISNUMBER(I91),I91,"")),"")</f>
        <v/>
      </c>
      <c r="AD91" s="17">
        <f>IF(AND(ISNUMBER(AB91),ISNUMBER(AC91)),MAX(0,MIN(AC91,EOMONTH(요약!$B$3,0))-MAX(AB91,요약!$B$3)+1),0)</f>
        <v/>
      </c>
      <c r="AE91" s="10">
        <f>IF(AND(Q91&lt;&gt;"",ISNUMBER(AB91)),Q91&amp;"|다기관","")</f>
        <v/>
      </c>
    </row>
    <row r="92">
      <c r="A92" s="15">
        <f>IF(F92="","",ROW()-3)</f>
        <v/>
      </c>
      <c r="B92" s="5" t="n"/>
      <c r="C92" s="15" t="n"/>
      <c r="D92" s="5" t="n"/>
      <c r="E92" s="15" t="n"/>
      <c r="F92" s="5" t="n"/>
      <c r="G92" s="6" t="n"/>
      <c r="H92" s="16" t="n"/>
      <c r="I92" s="16" t="n"/>
      <c r="J92" s="15">
        <f>IF(AND(ISNUMBER(H92),ISNUMBER(I92)),I92-H92+1,"")</f>
        <v/>
      </c>
      <c r="K92" s="5" t="n"/>
      <c r="L92" s="5" t="n"/>
      <c r="M92" s="5" t="n"/>
      <c r="N92" s="5" t="n"/>
      <c r="O92" s="5" t="n"/>
      <c r="Q92" s="10">
        <f>IF(TRIM(G92&amp;"")="","",TRIM(G92&amp;""))</f>
        <v/>
      </c>
      <c r="R92" s="10">
        <f>IF(TRIM(B92&amp;"")="","",IFERROR(INDEX(코드표!$K$2:$K$101,MATCH(TRIM(B92&amp;""),코드표!$J$2:$J$101,0)),"⚠"&amp;TRIM(B92&amp;"")))</f>
        <v/>
      </c>
      <c r="S92" s="10">
        <f>IF(TRIM(K92&amp;"")="","",IFERROR(INDEX(코드표!$K$2:$K$101,MATCH(TRIM(K92&amp;""),코드표!$J$2:$J$101,0)),"⚠"&amp;TRIM(K92&amp;"")))</f>
        <v/>
      </c>
      <c r="T92" s="10">
        <f>IF(TRIM(M92&amp;"")="","",IF(ISNUMBER(MATCH(TRIM(M92&amp;""),코드표!$C$2:$C$11,0)),TRIM(M92&amp;""),"⚠"&amp;TRIM(M92&amp;"")))</f>
        <v/>
      </c>
      <c r="U92" s="10">
        <f>IF(TRIM(L92&amp;"")="","",IFERROR(INDEX(코드표!$G$2:$G$101,MATCH(TRIM(L92&amp;""),코드표!$F$2:$F$101,0)),"⚠"&amp;TRIM(L92&amp;"")))</f>
        <v/>
      </c>
      <c r="V92" s="10">
        <f>IF(AND(ISNUMBER(H92),ISNUMBER(I92)),I92-H92+1,"")</f>
        <v/>
      </c>
      <c r="W92" s="17">
        <f>IF(ISNUMBER(H92),MAX(0,MIN(IF(ISNUMBER(I92),I92,EOMONTH(요약!$B$3,0)),EOMONTH(요약!$B$3,0))-MAX(H92,요약!$B$3)+1),0)</f>
        <v/>
      </c>
      <c r="X92" s="10">
        <f>IF(OR(NOT(ISNUMBER(H92)),Q92=""),"",IF(TODAY()&lt;H92,"파견예정",IF(AND(ISNUMBER(I92),TODAY()&gt;I92),"파견종료","파견중")))</f>
        <v/>
      </c>
      <c r="Y92" s="10">
        <f>IF(OR(Q92="",X92=""),"",Q92&amp;"|"&amp;X92)</f>
        <v/>
      </c>
      <c r="Z92" s="10">
        <f>IF(AND(Q92&lt;&gt;"",W92&gt;0),Q92&amp;"|월","")</f>
        <v/>
      </c>
      <c r="AA92" s="10">
        <f>IF(COUNTA(B92:N92)=0,"",IF(Q92="","등록번호 없음",IF(LEFT(R92,1)="⚠","모병원명 미등록",IF(S92="","파견병원 입력",IF(LEFT(S92,1)="⚠","파견병원명 미등록",IF(LEFT(U92,1)="⚠","파견과목 미등록",IF(OR(T92="",LEFT(T92,1)="⚠"),"파견근거 확인",IF(NOT(AND(ISNUMBER(H92),ISNUMBER(I92))),"날짜 형식/누락",IF(I92&lt;H92,"종료일&lt;시작일","")))))))))</f>
        <v/>
      </c>
      <c r="AB92" s="11">
        <f>IF(ISNUMBER(SEARCH("다기관",TRIM(N92&amp;" "&amp;O92))),IFERROR(DATE(VALUE(MID(TRIM(N92&amp;" "&amp;O92),1,4)),VALUE(MID(TRIM(N92&amp;" "&amp;O92),6,2)),VALUE(MID(TRIM(N92&amp;" "&amp;O92),9,2))),IF(ISNUMBER(H92),H92,"")),"")</f>
        <v/>
      </c>
      <c r="AC92" s="11">
        <f>IF(ISNUMBER(SEARCH("다기관",TRIM(N92&amp;" "&amp;O92))),IFERROR(DATE(VALUE(MID(TRIM(N92&amp;" "&amp;O92),12,4)),VALUE(MID(TRIM(N92&amp;" "&amp;O92),17,2)),VALUE(MID(TRIM(N92&amp;" "&amp;O92),20,2))),IF(ISNUMBER(I92),I92,"")),"")</f>
        <v/>
      </c>
      <c r="AD92" s="17">
        <f>IF(AND(ISNUMBER(AB92),ISNUMBER(AC92)),MAX(0,MIN(AC92,EOMONTH(요약!$B$3,0))-MAX(AB92,요약!$B$3)+1),0)</f>
        <v/>
      </c>
      <c r="AE92" s="10">
        <f>IF(AND(Q92&lt;&gt;"",ISNUMBER(AB92)),Q92&amp;"|다기관","")</f>
        <v/>
      </c>
    </row>
    <row r="93">
      <c r="A93" s="15">
        <f>IF(F93="","",ROW()-3)</f>
        <v/>
      </c>
      <c r="B93" s="5" t="n"/>
      <c r="C93" s="15" t="n"/>
      <c r="D93" s="5" t="n"/>
      <c r="E93" s="15" t="n"/>
      <c r="F93" s="5" t="n"/>
      <c r="G93" s="6" t="n"/>
      <c r="H93" s="16" t="n"/>
      <c r="I93" s="16" t="n"/>
      <c r="J93" s="15">
        <f>IF(AND(ISNUMBER(H93),ISNUMBER(I93)),I93-H93+1,"")</f>
        <v/>
      </c>
      <c r="K93" s="5" t="n"/>
      <c r="L93" s="5" t="n"/>
      <c r="M93" s="5" t="n"/>
      <c r="N93" s="5" t="n"/>
      <c r="O93" s="5" t="n"/>
      <c r="Q93" s="10">
        <f>IF(TRIM(G93&amp;"")="","",TRIM(G93&amp;""))</f>
        <v/>
      </c>
      <c r="R93" s="10">
        <f>IF(TRIM(B93&amp;"")="","",IFERROR(INDEX(코드표!$K$2:$K$101,MATCH(TRIM(B93&amp;""),코드표!$J$2:$J$101,0)),"⚠"&amp;TRIM(B93&amp;"")))</f>
        <v/>
      </c>
      <c r="S93" s="10">
        <f>IF(TRIM(K93&amp;"")="","",IFERROR(INDEX(코드표!$K$2:$K$101,MATCH(TRIM(K93&amp;""),코드표!$J$2:$J$101,0)),"⚠"&amp;TRIM(K93&amp;"")))</f>
        <v/>
      </c>
      <c r="T93" s="10">
        <f>IF(TRIM(M93&amp;"")="","",IF(ISNUMBER(MATCH(TRIM(M93&amp;""),코드표!$C$2:$C$11,0)),TRIM(M93&amp;""),"⚠"&amp;TRIM(M93&amp;"")))</f>
        <v/>
      </c>
      <c r="U93" s="10">
        <f>IF(TRIM(L93&amp;"")="","",IFERROR(INDEX(코드표!$G$2:$G$101,MATCH(TRIM(L93&amp;""),코드표!$F$2:$F$101,0)),"⚠"&amp;TRIM(L93&amp;"")))</f>
        <v/>
      </c>
      <c r="V93" s="10">
        <f>IF(AND(ISNUMBER(H93),ISNUMBER(I93)),I93-H93+1,"")</f>
        <v/>
      </c>
      <c r="W93" s="17">
        <f>IF(ISNUMBER(H93),MAX(0,MIN(IF(ISNUMBER(I93),I93,EOMONTH(요약!$B$3,0)),EOMONTH(요약!$B$3,0))-MAX(H93,요약!$B$3)+1),0)</f>
        <v/>
      </c>
      <c r="X93" s="10">
        <f>IF(OR(NOT(ISNUMBER(H93)),Q93=""),"",IF(TODAY()&lt;H93,"파견예정",IF(AND(ISNUMBER(I93),TODAY()&gt;I93),"파견종료","파견중")))</f>
        <v/>
      </c>
      <c r="Y93" s="10">
        <f>IF(OR(Q93="",X93=""),"",Q93&amp;"|"&amp;X93)</f>
        <v/>
      </c>
      <c r="Z93" s="10">
        <f>IF(AND(Q93&lt;&gt;"",W93&gt;0),Q93&amp;"|월","")</f>
        <v/>
      </c>
      <c r="AA93" s="10">
        <f>IF(COUNTA(B93:N93)=0,"",IF(Q93="","등록번호 없음",IF(LEFT(R93,1)="⚠","모병원명 미등록",IF(S93="","파견병원 입력",IF(LEFT(S93,1)="⚠","파견병원명 미등록",IF(LEFT(U93,1)="⚠","파견과목 미등록",IF(OR(T93="",LEFT(T93,1)="⚠"),"파견근거 확인",IF(NOT(AND(ISNUMBER(H93),ISNUMBER(I93))),"날짜 형식/누락",IF(I93&lt;H93,"종료일&lt;시작일","")))))))))</f>
        <v/>
      </c>
      <c r="AB93" s="11">
        <f>IF(ISNUMBER(SEARCH("다기관",TRIM(N93&amp;" "&amp;O93))),IFERROR(DATE(VALUE(MID(TRIM(N93&amp;" "&amp;O93),1,4)),VALUE(MID(TRIM(N93&amp;" "&amp;O93),6,2)),VALUE(MID(TRIM(N93&amp;" "&amp;O93),9,2))),IF(ISNUMBER(H93),H93,"")),"")</f>
        <v/>
      </c>
      <c r="AC93" s="11">
        <f>IF(ISNUMBER(SEARCH("다기관",TRIM(N93&amp;" "&amp;O93))),IFERROR(DATE(VALUE(MID(TRIM(N93&amp;" "&amp;O93),12,4)),VALUE(MID(TRIM(N93&amp;" "&amp;O93),17,2)),VALUE(MID(TRIM(N93&amp;" "&amp;O93),20,2))),IF(ISNUMBER(I93),I93,"")),"")</f>
        <v/>
      </c>
      <c r="AD93" s="17">
        <f>IF(AND(ISNUMBER(AB93),ISNUMBER(AC93)),MAX(0,MIN(AC93,EOMONTH(요약!$B$3,0))-MAX(AB93,요약!$B$3)+1),0)</f>
        <v/>
      </c>
      <c r="AE93" s="10">
        <f>IF(AND(Q93&lt;&gt;"",ISNUMBER(AB93)),Q93&amp;"|다기관","")</f>
        <v/>
      </c>
    </row>
    <row r="94">
      <c r="A94" s="15">
        <f>IF(F94="","",ROW()-3)</f>
        <v/>
      </c>
      <c r="B94" s="5" t="n"/>
      <c r="C94" s="15" t="n"/>
      <c r="D94" s="5" t="n"/>
      <c r="E94" s="15" t="n"/>
      <c r="F94" s="5" t="n"/>
      <c r="G94" s="6" t="n"/>
      <c r="H94" s="16" t="n"/>
      <c r="I94" s="16" t="n"/>
      <c r="J94" s="15">
        <f>IF(AND(ISNUMBER(H94),ISNUMBER(I94)),I94-H94+1,"")</f>
        <v/>
      </c>
      <c r="K94" s="5" t="n"/>
      <c r="L94" s="5" t="n"/>
      <c r="M94" s="5" t="n"/>
      <c r="N94" s="5" t="n"/>
      <c r="O94" s="5" t="n"/>
      <c r="Q94" s="10">
        <f>IF(TRIM(G94&amp;"")="","",TRIM(G94&amp;""))</f>
        <v/>
      </c>
      <c r="R94" s="10">
        <f>IF(TRIM(B94&amp;"")="","",IFERROR(INDEX(코드표!$K$2:$K$101,MATCH(TRIM(B94&amp;""),코드표!$J$2:$J$101,0)),"⚠"&amp;TRIM(B94&amp;"")))</f>
        <v/>
      </c>
      <c r="S94" s="10">
        <f>IF(TRIM(K94&amp;"")="","",IFERROR(INDEX(코드표!$K$2:$K$101,MATCH(TRIM(K94&amp;""),코드표!$J$2:$J$101,0)),"⚠"&amp;TRIM(K94&amp;"")))</f>
        <v/>
      </c>
      <c r="T94" s="10">
        <f>IF(TRIM(M94&amp;"")="","",IF(ISNUMBER(MATCH(TRIM(M94&amp;""),코드표!$C$2:$C$11,0)),TRIM(M94&amp;""),"⚠"&amp;TRIM(M94&amp;"")))</f>
        <v/>
      </c>
      <c r="U94" s="10">
        <f>IF(TRIM(L94&amp;"")="","",IFERROR(INDEX(코드표!$G$2:$G$101,MATCH(TRIM(L94&amp;""),코드표!$F$2:$F$101,0)),"⚠"&amp;TRIM(L94&amp;"")))</f>
        <v/>
      </c>
      <c r="V94" s="10">
        <f>IF(AND(ISNUMBER(H94),ISNUMBER(I94)),I94-H94+1,"")</f>
        <v/>
      </c>
      <c r="W94" s="17">
        <f>IF(ISNUMBER(H94),MAX(0,MIN(IF(ISNUMBER(I94),I94,EOMONTH(요약!$B$3,0)),EOMONTH(요약!$B$3,0))-MAX(H94,요약!$B$3)+1),0)</f>
        <v/>
      </c>
      <c r="X94" s="10">
        <f>IF(OR(NOT(ISNUMBER(H94)),Q94=""),"",IF(TODAY()&lt;H94,"파견예정",IF(AND(ISNUMBER(I94),TODAY()&gt;I94),"파견종료","파견중")))</f>
        <v/>
      </c>
      <c r="Y94" s="10">
        <f>IF(OR(Q94="",X94=""),"",Q94&amp;"|"&amp;X94)</f>
        <v/>
      </c>
      <c r="Z94" s="10">
        <f>IF(AND(Q94&lt;&gt;"",W94&gt;0),Q94&amp;"|월","")</f>
        <v/>
      </c>
      <c r="AA94" s="10">
        <f>IF(COUNTA(B94:N94)=0,"",IF(Q94="","등록번호 없음",IF(LEFT(R94,1)="⚠","모병원명 미등록",IF(S94="","파견병원 입력",IF(LEFT(S94,1)="⚠","파견병원명 미등록",IF(LEFT(U94,1)="⚠","파견과목 미등록",IF(OR(T94="",LEFT(T94,1)="⚠"),"파견근거 확인",IF(NOT(AND(ISNUMBER(H94),ISNUMBER(I94))),"날짜 형식/누락",IF(I94&lt;H94,"종료일&lt;시작일","")))))))))</f>
        <v/>
      </c>
      <c r="AB94" s="11">
        <f>IF(ISNUMBER(SEARCH("다기관",TRIM(N94&amp;" "&amp;O94))),IFERROR(DATE(VALUE(MID(TRIM(N94&amp;" "&amp;O94),1,4)),VALUE(MID(TRIM(N94&amp;" "&amp;O94),6,2)),VALUE(MID(TRIM(N94&amp;" "&amp;O94),9,2))),IF(ISNUMBER(H94),H94,"")),"")</f>
        <v/>
      </c>
      <c r="AC94" s="11">
        <f>IF(ISNUMBER(SEARCH("다기관",TRIM(N94&amp;" "&amp;O94))),IFERROR(DATE(VALUE(MID(TRIM(N94&amp;" "&amp;O94),12,4)),VALUE(MID(TRIM(N94&amp;" "&amp;O94),17,2)),VALUE(MID(TRIM(N94&amp;" "&amp;O94),20,2))),IF(ISNUMBER(I94),I94,"")),"")</f>
        <v/>
      </c>
      <c r="AD94" s="17">
        <f>IF(AND(ISNUMBER(AB94),ISNUMBER(AC94)),MAX(0,MIN(AC94,EOMONTH(요약!$B$3,0))-MAX(AB94,요약!$B$3)+1),0)</f>
        <v/>
      </c>
      <c r="AE94" s="10">
        <f>IF(AND(Q94&lt;&gt;"",ISNUMBER(AB94)),Q94&amp;"|다기관","")</f>
        <v/>
      </c>
    </row>
    <row r="95">
      <c r="A95" s="15">
        <f>IF(F95="","",ROW()-3)</f>
        <v/>
      </c>
      <c r="B95" s="5" t="n"/>
      <c r="C95" s="15" t="n"/>
      <c r="D95" s="5" t="n"/>
      <c r="E95" s="15" t="n"/>
      <c r="F95" s="5" t="n"/>
      <c r="G95" s="6" t="n"/>
      <c r="H95" s="16" t="n"/>
      <c r="I95" s="16" t="n"/>
      <c r="J95" s="15">
        <f>IF(AND(ISNUMBER(H95),ISNUMBER(I95)),I95-H95+1,"")</f>
        <v/>
      </c>
      <c r="K95" s="5" t="n"/>
      <c r="L95" s="5" t="n"/>
      <c r="M95" s="5" t="n"/>
      <c r="N95" s="5" t="n"/>
      <c r="O95" s="5" t="n"/>
      <c r="Q95" s="10">
        <f>IF(TRIM(G95&amp;"")="","",TRIM(G95&amp;""))</f>
        <v/>
      </c>
      <c r="R95" s="10">
        <f>IF(TRIM(B95&amp;"")="","",IFERROR(INDEX(코드표!$K$2:$K$101,MATCH(TRIM(B95&amp;""),코드표!$J$2:$J$101,0)),"⚠"&amp;TRIM(B95&amp;"")))</f>
        <v/>
      </c>
      <c r="S95" s="10">
        <f>IF(TRIM(K95&amp;"")="","",IFERROR(INDEX(코드표!$K$2:$K$101,MATCH(TRIM(K95&amp;""),코드표!$J$2:$J$101,0)),"⚠"&amp;TRIM(K95&amp;"")))</f>
        <v/>
      </c>
      <c r="T95" s="10">
        <f>IF(TRIM(M95&amp;"")="","",IF(ISNUMBER(MATCH(TRIM(M95&amp;""),코드표!$C$2:$C$11,0)),TRIM(M95&amp;""),"⚠"&amp;TRIM(M95&amp;"")))</f>
        <v/>
      </c>
      <c r="U95" s="10">
        <f>IF(TRIM(L95&amp;"")="","",IFERROR(INDEX(코드표!$G$2:$G$101,MATCH(TRIM(L95&amp;""),코드표!$F$2:$F$101,0)),"⚠"&amp;TRIM(L95&amp;"")))</f>
        <v/>
      </c>
      <c r="V95" s="10">
        <f>IF(AND(ISNUMBER(H95),ISNUMBER(I95)),I95-H95+1,"")</f>
        <v/>
      </c>
      <c r="W95" s="17">
        <f>IF(ISNUMBER(H95),MAX(0,MIN(IF(ISNUMBER(I95),I95,EOMONTH(요약!$B$3,0)),EOMONTH(요약!$B$3,0))-MAX(H95,요약!$B$3)+1),0)</f>
        <v/>
      </c>
      <c r="X95" s="10">
        <f>IF(OR(NOT(ISNUMBER(H95)),Q95=""),"",IF(TODAY()&lt;H95,"파견예정",IF(AND(ISNUMBER(I95),TODAY()&gt;I95),"파견종료","파견중")))</f>
        <v/>
      </c>
      <c r="Y95" s="10">
        <f>IF(OR(Q95="",X95=""),"",Q95&amp;"|"&amp;X95)</f>
        <v/>
      </c>
      <c r="Z95" s="10">
        <f>IF(AND(Q95&lt;&gt;"",W95&gt;0),Q95&amp;"|월","")</f>
        <v/>
      </c>
      <c r="AA95" s="10">
        <f>IF(COUNTA(B95:N95)=0,"",IF(Q95="","등록번호 없음",IF(LEFT(R95,1)="⚠","모병원명 미등록",IF(S95="","파견병원 입력",IF(LEFT(S95,1)="⚠","파견병원명 미등록",IF(LEFT(U95,1)="⚠","파견과목 미등록",IF(OR(T95="",LEFT(T95,1)="⚠"),"파견근거 확인",IF(NOT(AND(ISNUMBER(H95),ISNUMBER(I95))),"날짜 형식/누락",IF(I95&lt;H95,"종료일&lt;시작일","")))))))))</f>
        <v/>
      </c>
      <c r="AB95" s="11">
        <f>IF(ISNUMBER(SEARCH("다기관",TRIM(N95&amp;" "&amp;O95))),IFERROR(DATE(VALUE(MID(TRIM(N95&amp;" "&amp;O95),1,4)),VALUE(MID(TRIM(N95&amp;" "&amp;O95),6,2)),VALUE(MID(TRIM(N95&amp;" "&amp;O95),9,2))),IF(ISNUMBER(H95),H95,"")),"")</f>
        <v/>
      </c>
      <c r="AC95" s="11">
        <f>IF(ISNUMBER(SEARCH("다기관",TRIM(N95&amp;" "&amp;O95))),IFERROR(DATE(VALUE(MID(TRIM(N95&amp;" "&amp;O95),12,4)),VALUE(MID(TRIM(N95&amp;" "&amp;O95),17,2)),VALUE(MID(TRIM(N95&amp;" "&amp;O95),20,2))),IF(ISNUMBER(I95),I95,"")),"")</f>
        <v/>
      </c>
      <c r="AD95" s="17">
        <f>IF(AND(ISNUMBER(AB95),ISNUMBER(AC95)),MAX(0,MIN(AC95,EOMONTH(요약!$B$3,0))-MAX(AB95,요약!$B$3)+1),0)</f>
        <v/>
      </c>
      <c r="AE95" s="10">
        <f>IF(AND(Q95&lt;&gt;"",ISNUMBER(AB95)),Q95&amp;"|다기관","")</f>
        <v/>
      </c>
    </row>
    <row r="96">
      <c r="A96" s="15">
        <f>IF(F96="","",ROW()-3)</f>
        <v/>
      </c>
      <c r="B96" s="5" t="n"/>
      <c r="C96" s="15" t="n"/>
      <c r="D96" s="5" t="n"/>
      <c r="E96" s="15" t="n"/>
      <c r="F96" s="5" t="n"/>
      <c r="G96" s="6" t="n"/>
      <c r="H96" s="16" t="n"/>
      <c r="I96" s="16" t="n"/>
      <c r="J96" s="15">
        <f>IF(AND(ISNUMBER(H96),ISNUMBER(I96)),I96-H96+1,"")</f>
        <v/>
      </c>
      <c r="K96" s="5" t="n"/>
      <c r="L96" s="5" t="n"/>
      <c r="M96" s="5" t="n"/>
      <c r="N96" s="5" t="n"/>
      <c r="O96" s="5" t="n"/>
      <c r="Q96" s="10">
        <f>IF(TRIM(G96&amp;"")="","",TRIM(G96&amp;""))</f>
        <v/>
      </c>
      <c r="R96" s="10">
        <f>IF(TRIM(B96&amp;"")="","",IFERROR(INDEX(코드표!$K$2:$K$101,MATCH(TRIM(B96&amp;""),코드표!$J$2:$J$101,0)),"⚠"&amp;TRIM(B96&amp;"")))</f>
        <v/>
      </c>
      <c r="S96" s="10">
        <f>IF(TRIM(K96&amp;"")="","",IFERROR(INDEX(코드표!$K$2:$K$101,MATCH(TRIM(K96&amp;""),코드표!$J$2:$J$101,0)),"⚠"&amp;TRIM(K96&amp;"")))</f>
        <v/>
      </c>
      <c r="T96" s="10">
        <f>IF(TRIM(M96&amp;"")="","",IF(ISNUMBER(MATCH(TRIM(M96&amp;""),코드표!$C$2:$C$11,0)),TRIM(M96&amp;""),"⚠"&amp;TRIM(M96&amp;"")))</f>
        <v/>
      </c>
      <c r="U96" s="10">
        <f>IF(TRIM(L96&amp;"")="","",IFERROR(INDEX(코드표!$G$2:$G$101,MATCH(TRIM(L96&amp;""),코드표!$F$2:$F$101,0)),"⚠"&amp;TRIM(L96&amp;"")))</f>
        <v/>
      </c>
      <c r="V96" s="10">
        <f>IF(AND(ISNUMBER(H96),ISNUMBER(I96)),I96-H96+1,"")</f>
        <v/>
      </c>
      <c r="W96" s="17">
        <f>IF(ISNUMBER(H96),MAX(0,MIN(IF(ISNUMBER(I96),I96,EOMONTH(요약!$B$3,0)),EOMONTH(요약!$B$3,0))-MAX(H96,요약!$B$3)+1),0)</f>
        <v/>
      </c>
      <c r="X96" s="10">
        <f>IF(OR(NOT(ISNUMBER(H96)),Q96=""),"",IF(TODAY()&lt;H96,"파견예정",IF(AND(ISNUMBER(I96),TODAY()&gt;I96),"파견종료","파견중")))</f>
        <v/>
      </c>
      <c r="Y96" s="10">
        <f>IF(OR(Q96="",X96=""),"",Q96&amp;"|"&amp;X96)</f>
        <v/>
      </c>
      <c r="Z96" s="10">
        <f>IF(AND(Q96&lt;&gt;"",W96&gt;0),Q96&amp;"|월","")</f>
        <v/>
      </c>
      <c r="AA96" s="10">
        <f>IF(COUNTA(B96:N96)=0,"",IF(Q96="","등록번호 없음",IF(LEFT(R96,1)="⚠","모병원명 미등록",IF(S96="","파견병원 입력",IF(LEFT(S96,1)="⚠","파견병원명 미등록",IF(LEFT(U96,1)="⚠","파견과목 미등록",IF(OR(T96="",LEFT(T96,1)="⚠"),"파견근거 확인",IF(NOT(AND(ISNUMBER(H96),ISNUMBER(I96))),"날짜 형식/누락",IF(I96&lt;H96,"종료일&lt;시작일","")))))))))</f>
        <v/>
      </c>
      <c r="AB96" s="11">
        <f>IF(ISNUMBER(SEARCH("다기관",TRIM(N96&amp;" "&amp;O96))),IFERROR(DATE(VALUE(MID(TRIM(N96&amp;" "&amp;O96),1,4)),VALUE(MID(TRIM(N96&amp;" "&amp;O96),6,2)),VALUE(MID(TRIM(N96&amp;" "&amp;O96),9,2))),IF(ISNUMBER(H96),H96,"")),"")</f>
        <v/>
      </c>
      <c r="AC96" s="11">
        <f>IF(ISNUMBER(SEARCH("다기관",TRIM(N96&amp;" "&amp;O96))),IFERROR(DATE(VALUE(MID(TRIM(N96&amp;" "&amp;O96),12,4)),VALUE(MID(TRIM(N96&amp;" "&amp;O96),17,2)),VALUE(MID(TRIM(N96&amp;" "&amp;O96),20,2))),IF(ISNUMBER(I96),I96,"")),"")</f>
        <v/>
      </c>
      <c r="AD96" s="17">
        <f>IF(AND(ISNUMBER(AB96),ISNUMBER(AC96)),MAX(0,MIN(AC96,EOMONTH(요약!$B$3,0))-MAX(AB96,요약!$B$3)+1),0)</f>
        <v/>
      </c>
      <c r="AE96" s="10">
        <f>IF(AND(Q96&lt;&gt;"",ISNUMBER(AB96)),Q96&amp;"|다기관","")</f>
        <v/>
      </c>
    </row>
    <row r="97">
      <c r="A97" s="15">
        <f>IF(F97="","",ROW()-3)</f>
        <v/>
      </c>
      <c r="B97" s="5" t="n"/>
      <c r="C97" s="15" t="n"/>
      <c r="D97" s="5" t="n"/>
      <c r="E97" s="15" t="n"/>
      <c r="F97" s="5" t="n"/>
      <c r="G97" s="6" t="n"/>
      <c r="H97" s="16" t="n"/>
      <c r="I97" s="16" t="n"/>
      <c r="J97" s="15">
        <f>IF(AND(ISNUMBER(H97),ISNUMBER(I97)),I97-H97+1,"")</f>
        <v/>
      </c>
      <c r="K97" s="5" t="n"/>
      <c r="L97" s="5" t="n"/>
      <c r="M97" s="5" t="n"/>
      <c r="N97" s="5" t="n"/>
      <c r="O97" s="5" t="n"/>
      <c r="Q97" s="10">
        <f>IF(TRIM(G97&amp;"")="","",TRIM(G97&amp;""))</f>
        <v/>
      </c>
      <c r="R97" s="10">
        <f>IF(TRIM(B97&amp;"")="","",IFERROR(INDEX(코드표!$K$2:$K$101,MATCH(TRIM(B97&amp;""),코드표!$J$2:$J$101,0)),"⚠"&amp;TRIM(B97&amp;"")))</f>
        <v/>
      </c>
      <c r="S97" s="10">
        <f>IF(TRIM(K97&amp;"")="","",IFERROR(INDEX(코드표!$K$2:$K$101,MATCH(TRIM(K97&amp;""),코드표!$J$2:$J$101,0)),"⚠"&amp;TRIM(K97&amp;"")))</f>
        <v/>
      </c>
      <c r="T97" s="10">
        <f>IF(TRIM(M97&amp;"")="","",IF(ISNUMBER(MATCH(TRIM(M97&amp;""),코드표!$C$2:$C$11,0)),TRIM(M97&amp;""),"⚠"&amp;TRIM(M97&amp;"")))</f>
        <v/>
      </c>
      <c r="U97" s="10">
        <f>IF(TRIM(L97&amp;"")="","",IFERROR(INDEX(코드표!$G$2:$G$101,MATCH(TRIM(L97&amp;""),코드표!$F$2:$F$101,0)),"⚠"&amp;TRIM(L97&amp;"")))</f>
        <v/>
      </c>
      <c r="V97" s="10">
        <f>IF(AND(ISNUMBER(H97),ISNUMBER(I97)),I97-H97+1,"")</f>
        <v/>
      </c>
      <c r="W97" s="17">
        <f>IF(ISNUMBER(H97),MAX(0,MIN(IF(ISNUMBER(I97),I97,EOMONTH(요약!$B$3,0)),EOMONTH(요약!$B$3,0))-MAX(H97,요약!$B$3)+1),0)</f>
        <v/>
      </c>
      <c r="X97" s="10">
        <f>IF(OR(NOT(ISNUMBER(H97)),Q97=""),"",IF(TODAY()&lt;H97,"파견예정",IF(AND(ISNUMBER(I97),TODAY()&gt;I97),"파견종료","파견중")))</f>
        <v/>
      </c>
      <c r="Y97" s="10">
        <f>IF(OR(Q97="",X97=""),"",Q97&amp;"|"&amp;X97)</f>
        <v/>
      </c>
      <c r="Z97" s="10">
        <f>IF(AND(Q97&lt;&gt;"",W97&gt;0),Q97&amp;"|월","")</f>
        <v/>
      </c>
      <c r="AA97" s="10">
        <f>IF(COUNTA(B97:N97)=0,"",IF(Q97="","등록번호 없음",IF(LEFT(R97,1)="⚠","모병원명 미등록",IF(S97="","파견병원 입력",IF(LEFT(S97,1)="⚠","파견병원명 미등록",IF(LEFT(U97,1)="⚠","파견과목 미등록",IF(OR(T97="",LEFT(T97,1)="⚠"),"파견근거 확인",IF(NOT(AND(ISNUMBER(H97),ISNUMBER(I97))),"날짜 형식/누락",IF(I97&lt;H97,"종료일&lt;시작일","")))))))))</f>
        <v/>
      </c>
      <c r="AB97" s="11">
        <f>IF(ISNUMBER(SEARCH("다기관",TRIM(N97&amp;" "&amp;O97))),IFERROR(DATE(VALUE(MID(TRIM(N97&amp;" "&amp;O97),1,4)),VALUE(MID(TRIM(N97&amp;" "&amp;O97),6,2)),VALUE(MID(TRIM(N97&amp;" "&amp;O97),9,2))),IF(ISNUMBER(H97),H97,"")),"")</f>
        <v/>
      </c>
      <c r="AC97" s="11">
        <f>IF(ISNUMBER(SEARCH("다기관",TRIM(N97&amp;" "&amp;O97))),IFERROR(DATE(VALUE(MID(TRIM(N97&amp;" "&amp;O97),12,4)),VALUE(MID(TRIM(N97&amp;" "&amp;O97),17,2)),VALUE(MID(TRIM(N97&amp;" "&amp;O97),20,2))),IF(ISNUMBER(I97),I97,"")),"")</f>
        <v/>
      </c>
      <c r="AD97" s="17">
        <f>IF(AND(ISNUMBER(AB97),ISNUMBER(AC97)),MAX(0,MIN(AC97,EOMONTH(요약!$B$3,0))-MAX(AB97,요약!$B$3)+1),0)</f>
        <v/>
      </c>
      <c r="AE97" s="10">
        <f>IF(AND(Q97&lt;&gt;"",ISNUMBER(AB97)),Q97&amp;"|다기관","")</f>
        <v/>
      </c>
    </row>
    <row r="98">
      <c r="A98" s="15">
        <f>IF(F98="","",ROW()-3)</f>
        <v/>
      </c>
      <c r="B98" s="5" t="n"/>
      <c r="C98" s="15" t="n"/>
      <c r="D98" s="5" t="n"/>
      <c r="E98" s="15" t="n"/>
      <c r="F98" s="5" t="n"/>
      <c r="G98" s="6" t="n"/>
      <c r="H98" s="16" t="n"/>
      <c r="I98" s="16" t="n"/>
      <c r="J98" s="15">
        <f>IF(AND(ISNUMBER(H98),ISNUMBER(I98)),I98-H98+1,"")</f>
        <v/>
      </c>
      <c r="K98" s="5" t="n"/>
      <c r="L98" s="5" t="n"/>
      <c r="M98" s="5" t="n"/>
      <c r="N98" s="5" t="n"/>
      <c r="O98" s="5" t="n"/>
      <c r="Q98" s="10">
        <f>IF(TRIM(G98&amp;"")="","",TRIM(G98&amp;""))</f>
        <v/>
      </c>
      <c r="R98" s="10">
        <f>IF(TRIM(B98&amp;"")="","",IFERROR(INDEX(코드표!$K$2:$K$101,MATCH(TRIM(B98&amp;""),코드표!$J$2:$J$101,0)),"⚠"&amp;TRIM(B98&amp;"")))</f>
        <v/>
      </c>
      <c r="S98" s="10">
        <f>IF(TRIM(K98&amp;"")="","",IFERROR(INDEX(코드표!$K$2:$K$101,MATCH(TRIM(K98&amp;""),코드표!$J$2:$J$101,0)),"⚠"&amp;TRIM(K98&amp;"")))</f>
        <v/>
      </c>
      <c r="T98" s="10">
        <f>IF(TRIM(M98&amp;"")="","",IF(ISNUMBER(MATCH(TRIM(M98&amp;""),코드표!$C$2:$C$11,0)),TRIM(M98&amp;""),"⚠"&amp;TRIM(M98&amp;"")))</f>
        <v/>
      </c>
      <c r="U98" s="10">
        <f>IF(TRIM(L98&amp;"")="","",IFERROR(INDEX(코드표!$G$2:$G$101,MATCH(TRIM(L98&amp;""),코드표!$F$2:$F$101,0)),"⚠"&amp;TRIM(L98&amp;"")))</f>
        <v/>
      </c>
      <c r="V98" s="10">
        <f>IF(AND(ISNUMBER(H98),ISNUMBER(I98)),I98-H98+1,"")</f>
        <v/>
      </c>
      <c r="W98" s="17">
        <f>IF(ISNUMBER(H98),MAX(0,MIN(IF(ISNUMBER(I98),I98,EOMONTH(요약!$B$3,0)),EOMONTH(요약!$B$3,0))-MAX(H98,요약!$B$3)+1),0)</f>
        <v/>
      </c>
      <c r="X98" s="10">
        <f>IF(OR(NOT(ISNUMBER(H98)),Q98=""),"",IF(TODAY()&lt;H98,"파견예정",IF(AND(ISNUMBER(I98),TODAY()&gt;I98),"파견종료","파견중")))</f>
        <v/>
      </c>
      <c r="Y98" s="10">
        <f>IF(OR(Q98="",X98=""),"",Q98&amp;"|"&amp;X98)</f>
        <v/>
      </c>
      <c r="Z98" s="10">
        <f>IF(AND(Q98&lt;&gt;"",W98&gt;0),Q98&amp;"|월","")</f>
        <v/>
      </c>
      <c r="AA98" s="10">
        <f>IF(COUNTA(B98:N98)=0,"",IF(Q98="","등록번호 없음",IF(LEFT(R98,1)="⚠","모병원명 미등록",IF(S98="","파견병원 입력",IF(LEFT(S98,1)="⚠","파견병원명 미등록",IF(LEFT(U98,1)="⚠","파견과목 미등록",IF(OR(T98="",LEFT(T98,1)="⚠"),"파견근거 확인",IF(NOT(AND(ISNUMBER(H98),ISNUMBER(I98))),"날짜 형식/누락",IF(I98&lt;H98,"종료일&lt;시작일","")))))))))</f>
        <v/>
      </c>
      <c r="AB98" s="11">
        <f>IF(ISNUMBER(SEARCH("다기관",TRIM(N98&amp;" "&amp;O98))),IFERROR(DATE(VALUE(MID(TRIM(N98&amp;" "&amp;O98),1,4)),VALUE(MID(TRIM(N98&amp;" "&amp;O98),6,2)),VALUE(MID(TRIM(N98&amp;" "&amp;O98),9,2))),IF(ISNUMBER(H98),H98,"")),"")</f>
        <v/>
      </c>
      <c r="AC98" s="11">
        <f>IF(ISNUMBER(SEARCH("다기관",TRIM(N98&amp;" "&amp;O98))),IFERROR(DATE(VALUE(MID(TRIM(N98&amp;" "&amp;O98),12,4)),VALUE(MID(TRIM(N98&amp;" "&amp;O98),17,2)),VALUE(MID(TRIM(N98&amp;" "&amp;O98),20,2))),IF(ISNUMBER(I98),I98,"")),"")</f>
        <v/>
      </c>
      <c r="AD98" s="17">
        <f>IF(AND(ISNUMBER(AB98),ISNUMBER(AC98)),MAX(0,MIN(AC98,EOMONTH(요약!$B$3,0))-MAX(AB98,요약!$B$3)+1),0)</f>
        <v/>
      </c>
      <c r="AE98" s="10">
        <f>IF(AND(Q98&lt;&gt;"",ISNUMBER(AB98)),Q98&amp;"|다기관","")</f>
        <v/>
      </c>
    </row>
    <row r="99">
      <c r="A99" s="15">
        <f>IF(F99="","",ROW()-3)</f>
        <v/>
      </c>
      <c r="B99" s="5" t="n"/>
      <c r="C99" s="15" t="n"/>
      <c r="D99" s="5" t="n"/>
      <c r="E99" s="15" t="n"/>
      <c r="F99" s="5" t="n"/>
      <c r="G99" s="6" t="n"/>
      <c r="H99" s="16" t="n"/>
      <c r="I99" s="16" t="n"/>
      <c r="J99" s="15">
        <f>IF(AND(ISNUMBER(H99),ISNUMBER(I99)),I99-H99+1,"")</f>
        <v/>
      </c>
      <c r="K99" s="5" t="n"/>
      <c r="L99" s="5" t="n"/>
      <c r="M99" s="5" t="n"/>
      <c r="N99" s="5" t="n"/>
      <c r="O99" s="5" t="n"/>
      <c r="Q99" s="10">
        <f>IF(TRIM(G99&amp;"")="","",TRIM(G99&amp;""))</f>
        <v/>
      </c>
      <c r="R99" s="10">
        <f>IF(TRIM(B99&amp;"")="","",IFERROR(INDEX(코드표!$K$2:$K$101,MATCH(TRIM(B99&amp;""),코드표!$J$2:$J$101,0)),"⚠"&amp;TRIM(B99&amp;"")))</f>
        <v/>
      </c>
      <c r="S99" s="10">
        <f>IF(TRIM(K99&amp;"")="","",IFERROR(INDEX(코드표!$K$2:$K$101,MATCH(TRIM(K99&amp;""),코드표!$J$2:$J$101,0)),"⚠"&amp;TRIM(K99&amp;"")))</f>
        <v/>
      </c>
      <c r="T99" s="10">
        <f>IF(TRIM(M99&amp;"")="","",IF(ISNUMBER(MATCH(TRIM(M99&amp;""),코드표!$C$2:$C$11,0)),TRIM(M99&amp;""),"⚠"&amp;TRIM(M99&amp;"")))</f>
        <v/>
      </c>
      <c r="U99" s="10">
        <f>IF(TRIM(L99&amp;"")="","",IFERROR(INDEX(코드표!$G$2:$G$101,MATCH(TRIM(L99&amp;""),코드표!$F$2:$F$101,0)),"⚠"&amp;TRIM(L99&amp;"")))</f>
        <v/>
      </c>
      <c r="V99" s="10">
        <f>IF(AND(ISNUMBER(H99),ISNUMBER(I99)),I99-H99+1,"")</f>
        <v/>
      </c>
      <c r="W99" s="17">
        <f>IF(ISNUMBER(H99),MAX(0,MIN(IF(ISNUMBER(I99),I99,EOMONTH(요약!$B$3,0)),EOMONTH(요약!$B$3,0))-MAX(H99,요약!$B$3)+1),0)</f>
        <v/>
      </c>
      <c r="X99" s="10">
        <f>IF(OR(NOT(ISNUMBER(H99)),Q99=""),"",IF(TODAY()&lt;H99,"파견예정",IF(AND(ISNUMBER(I99),TODAY()&gt;I99),"파견종료","파견중")))</f>
        <v/>
      </c>
      <c r="Y99" s="10">
        <f>IF(OR(Q99="",X99=""),"",Q99&amp;"|"&amp;X99)</f>
        <v/>
      </c>
      <c r="Z99" s="10">
        <f>IF(AND(Q99&lt;&gt;"",W99&gt;0),Q99&amp;"|월","")</f>
        <v/>
      </c>
      <c r="AA99" s="10">
        <f>IF(COUNTA(B99:N99)=0,"",IF(Q99="","등록번호 없음",IF(LEFT(R99,1)="⚠","모병원명 미등록",IF(S99="","파견병원 입력",IF(LEFT(S99,1)="⚠","파견병원명 미등록",IF(LEFT(U99,1)="⚠","파견과목 미등록",IF(OR(T99="",LEFT(T99,1)="⚠"),"파견근거 확인",IF(NOT(AND(ISNUMBER(H99),ISNUMBER(I99))),"날짜 형식/누락",IF(I99&lt;H99,"종료일&lt;시작일","")))))))))</f>
        <v/>
      </c>
      <c r="AB99" s="11">
        <f>IF(ISNUMBER(SEARCH("다기관",TRIM(N99&amp;" "&amp;O99))),IFERROR(DATE(VALUE(MID(TRIM(N99&amp;" "&amp;O99),1,4)),VALUE(MID(TRIM(N99&amp;" "&amp;O99),6,2)),VALUE(MID(TRIM(N99&amp;" "&amp;O99),9,2))),IF(ISNUMBER(H99),H99,"")),"")</f>
        <v/>
      </c>
      <c r="AC99" s="11">
        <f>IF(ISNUMBER(SEARCH("다기관",TRIM(N99&amp;" "&amp;O99))),IFERROR(DATE(VALUE(MID(TRIM(N99&amp;" "&amp;O99),12,4)),VALUE(MID(TRIM(N99&amp;" "&amp;O99),17,2)),VALUE(MID(TRIM(N99&amp;" "&amp;O99),20,2))),IF(ISNUMBER(I99),I99,"")),"")</f>
        <v/>
      </c>
      <c r="AD99" s="17">
        <f>IF(AND(ISNUMBER(AB99),ISNUMBER(AC99)),MAX(0,MIN(AC99,EOMONTH(요약!$B$3,0))-MAX(AB99,요약!$B$3)+1),0)</f>
        <v/>
      </c>
      <c r="AE99" s="10">
        <f>IF(AND(Q99&lt;&gt;"",ISNUMBER(AB99)),Q99&amp;"|다기관","")</f>
        <v/>
      </c>
    </row>
    <row r="100">
      <c r="A100" s="15">
        <f>IF(F100="","",ROW()-3)</f>
        <v/>
      </c>
      <c r="B100" s="5" t="n"/>
      <c r="C100" s="15" t="n"/>
      <c r="D100" s="5" t="n"/>
      <c r="E100" s="15" t="n"/>
      <c r="F100" s="5" t="n"/>
      <c r="G100" s="6" t="n"/>
      <c r="H100" s="16" t="n"/>
      <c r="I100" s="16" t="n"/>
      <c r="J100" s="15">
        <f>IF(AND(ISNUMBER(H100),ISNUMBER(I100)),I100-H100+1,"")</f>
        <v/>
      </c>
      <c r="K100" s="5" t="n"/>
      <c r="L100" s="5" t="n"/>
      <c r="M100" s="5" t="n"/>
      <c r="N100" s="5" t="n"/>
      <c r="O100" s="5" t="n"/>
      <c r="Q100" s="10">
        <f>IF(TRIM(G100&amp;"")="","",TRIM(G100&amp;""))</f>
        <v/>
      </c>
      <c r="R100" s="10">
        <f>IF(TRIM(B100&amp;"")="","",IFERROR(INDEX(코드표!$K$2:$K$101,MATCH(TRIM(B100&amp;""),코드표!$J$2:$J$101,0)),"⚠"&amp;TRIM(B100&amp;"")))</f>
        <v/>
      </c>
      <c r="S100" s="10">
        <f>IF(TRIM(K100&amp;"")="","",IFERROR(INDEX(코드표!$K$2:$K$101,MATCH(TRIM(K100&amp;""),코드표!$J$2:$J$101,0)),"⚠"&amp;TRIM(K100&amp;"")))</f>
        <v/>
      </c>
      <c r="T100" s="10">
        <f>IF(TRIM(M100&amp;"")="","",IF(ISNUMBER(MATCH(TRIM(M100&amp;""),코드표!$C$2:$C$11,0)),TRIM(M100&amp;""),"⚠"&amp;TRIM(M100&amp;"")))</f>
        <v/>
      </c>
      <c r="U100" s="10">
        <f>IF(TRIM(L100&amp;"")="","",IFERROR(INDEX(코드표!$G$2:$G$101,MATCH(TRIM(L100&amp;""),코드표!$F$2:$F$101,0)),"⚠"&amp;TRIM(L100&amp;"")))</f>
        <v/>
      </c>
      <c r="V100" s="10">
        <f>IF(AND(ISNUMBER(H100),ISNUMBER(I100)),I100-H100+1,"")</f>
        <v/>
      </c>
      <c r="W100" s="17">
        <f>IF(ISNUMBER(H100),MAX(0,MIN(IF(ISNUMBER(I100),I100,EOMONTH(요약!$B$3,0)),EOMONTH(요약!$B$3,0))-MAX(H100,요약!$B$3)+1),0)</f>
        <v/>
      </c>
      <c r="X100" s="10">
        <f>IF(OR(NOT(ISNUMBER(H100)),Q100=""),"",IF(TODAY()&lt;H100,"파견예정",IF(AND(ISNUMBER(I100),TODAY()&gt;I100),"파견종료","파견중")))</f>
        <v/>
      </c>
      <c r="Y100" s="10">
        <f>IF(OR(Q100="",X100=""),"",Q100&amp;"|"&amp;X100)</f>
        <v/>
      </c>
      <c r="Z100" s="10">
        <f>IF(AND(Q100&lt;&gt;"",W100&gt;0),Q100&amp;"|월","")</f>
        <v/>
      </c>
      <c r="AA100" s="10">
        <f>IF(COUNTA(B100:N100)=0,"",IF(Q100="","등록번호 없음",IF(LEFT(R100,1)="⚠","모병원명 미등록",IF(S100="","파견병원 입력",IF(LEFT(S100,1)="⚠","파견병원명 미등록",IF(LEFT(U100,1)="⚠","파견과목 미등록",IF(OR(T100="",LEFT(T100,1)="⚠"),"파견근거 확인",IF(NOT(AND(ISNUMBER(H100),ISNUMBER(I100))),"날짜 형식/누락",IF(I100&lt;H100,"종료일&lt;시작일","")))))))))</f>
        <v/>
      </c>
      <c r="AB100" s="11">
        <f>IF(ISNUMBER(SEARCH("다기관",TRIM(N100&amp;" "&amp;O100))),IFERROR(DATE(VALUE(MID(TRIM(N100&amp;" "&amp;O100),1,4)),VALUE(MID(TRIM(N100&amp;" "&amp;O100),6,2)),VALUE(MID(TRIM(N100&amp;" "&amp;O100),9,2))),IF(ISNUMBER(H100),H100,"")),"")</f>
        <v/>
      </c>
      <c r="AC100" s="11">
        <f>IF(ISNUMBER(SEARCH("다기관",TRIM(N100&amp;" "&amp;O100))),IFERROR(DATE(VALUE(MID(TRIM(N100&amp;" "&amp;O100),12,4)),VALUE(MID(TRIM(N100&amp;" "&amp;O100),17,2)),VALUE(MID(TRIM(N100&amp;" "&amp;O100),20,2))),IF(ISNUMBER(I100),I100,"")),"")</f>
        <v/>
      </c>
      <c r="AD100" s="17">
        <f>IF(AND(ISNUMBER(AB100),ISNUMBER(AC100)),MAX(0,MIN(AC100,EOMONTH(요약!$B$3,0))-MAX(AB100,요약!$B$3)+1),0)</f>
        <v/>
      </c>
      <c r="AE100" s="10">
        <f>IF(AND(Q100&lt;&gt;"",ISNUMBER(AB100)),Q100&amp;"|다기관","")</f>
        <v/>
      </c>
    </row>
    <row r="101">
      <c r="A101" s="15">
        <f>IF(F101="","",ROW()-3)</f>
        <v/>
      </c>
      <c r="B101" s="5" t="n"/>
      <c r="C101" s="15" t="n"/>
      <c r="D101" s="5" t="n"/>
      <c r="E101" s="15" t="n"/>
      <c r="F101" s="5" t="n"/>
      <c r="G101" s="6" t="n"/>
      <c r="H101" s="16" t="n"/>
      <c r="I101" s="16" t="n"/>
      <c r="J101" s="15">
        <f>IF(AND(ISNUMBER(H101),ISNUMBER(I101)),I101-H101+1,"")</f>
        <v/>
      </c>
      <c r="K101" s="5" t="n"/>
      <c r="L101" s="5" t="n"/>
      <c r="M101" s="5" t="n"/>
      <c r="N101" s="5" t="n"/>
      <c r="O101" s="5" t="n"/>
      <c r="Q101" s="10">
        <f>IF(TRIM(G101&amp;"")="","",TRIM(G101&amp;""))</f>
        <v/>
      </c>
      <c r="R101" s="10">
        <f>IF(TRIM(B101&amp;"")="","",IFERROR(INDEX(코드표!$K$2:$K$101,MATCH(TRIM(B101&amp;""),코드표!$J$2:$J$101,0)),"⚠"&amp;TRIM(B101&amp;"")))</f>
        <v/>
      </c>
      <c r="S101" s="10">
        <f>IF(TRIM(K101&amp;"")="","",IFERROR(INDEX(코드표!$K$2:$K$101,MATCH(TRIM(K101&amp;""),코드표!$J$2:$J$101,0)),"⚠"&amp;TRIM(K101&amp;"")))</f>
        <v/>
      </c>
      <c r="T101" s="10">
        <f>IF(TRIM(M101&amp;"")="","",IF(ISNUMBER(MATCH(TRIM(M101&amp;""),코드표!$C$2:$C$11,0)),TRIM(M101&amp;""),"⚠"&amp;TRIM(M101&amp;"")))</f>
        <v/>
      </c>
      <c r="U101" s="10">
        <f>IF(TRIM(L101&amp;"")="","",IFERROR(INDEX(코드표!$G$2:$G$101,MATCH(TRIM(L101&amp;""),코드표!$F$2:$F$101,0)),"⚠"&amp;TRIM(L101&amp;"")))</f>
        <v/>
      </c>
      <c r="V101" s="10">
        <f>IF(AND(ISNUMBER(H101),ISNUMBER(I101)),I101-H101+1,"")</f>
        <v/>
      </c>
      <c r="W101" s="17">
        <f>IF(ISNUMBER(H101),MAX(0,MIN(IF(ISNUMBER(I101),I101,EOMONTH(요약!$B$3,0)),EOMONTH(요약!$B$3,0))-MAX(H101,요약!$B$3)+1),0)</f>
        <v/>
      </c>
      <c r="X101" s="10">
        <f>IF(OR(NOT(ISNUMBER(H101)),Q101=""),"",IF(TODAY()&lt;H101,"파견예정",IF(AND(ISNUMBER(I101),TODAY()&gt;I101),"파견종료","파견중")))</f>
        <v/>
      </c>
      <c r="Y101" s="10">
        <f>IF(OR(Q101="",X101=""),"",Q101&amp;"|"&amp;X101)</f>
        <v/>
      </c>
      <c r="Z101" s="10">
        <f>IF(AND(Q101&lt;&gt;"",W101&gt;0),Q101&amp;"|월","")</f>
        <v/>
      </c>
      <c r="AA101" s="10">
        <f>IF(COUNTA(B101:N101)=0,"",IF(Q101="","등록번호 없음",IF(LEFT(R101,1)="⚠","모병원명 미등록",IF(S101="","파견병원 입력",IF(LEFT(S101,1)="⚠","파견병원명 미등록",IF(LEFT(U101,1)="⚠","파견과목 미등록",IF(OR(T101="",LEFT(T101,1)="⚠"),"파견근거 확인",IF(NOT(AND(ISNUMBER(H101),ISNUMBER(I101))),"날짜 형식/누락",IF(I101&lt;H101,"종료일&lt;시작일","")))))))))</f>
        <v/>
      </c>
      <c r="AB101" s="11">
        <f>IF(ISNUMBER(SEARCH("다기관",TRIM(N101&amp;" "&amp;O101))),IFERROR(DATE(VALUE(MID(TRIM(N101&amp;" "&amp;O101),1,4)),VALUE(MID(TRIM(N101&amp;" "&amp;O101),6,2)),VALUE(MID(TRIM(N101&amp;" "&amp;O101),9,2))),IF(ISNUMBER(H101),H101,"")),"")</f>
        <v/>
      </c>
      <c r="AC101" s="11">
        <f>IF(ISNUMBER(SEARCH("다기관",TRIM(N101&amp;" "&amp;O101))),IFERROR(DATE(VALUE(MID(TRIM(N101&amp;" "&amp;O101),12,4)),VALUE(MID(TRIM(N101&amp;" "&amp;O101),17,2)),VALUE(MID(TRIM(N101&amp;" "&amp;O101),20,2))),IF(ISNUMBER(I101),I101,"")),"")</f>
        <v/>
      </c>
      <c r="AD101" s="17">
        <f>IF(AND(ISNUMBER(AB101),ISNUMBER(AC101)),MAX(0,MIN(AC101,EOMONTH(요약!$B$3,0))-MAX(AB101,요약!$B$3)+1),0)</f>
        <v/>
      </c>
      <c r="AE101" s="10">
        <f>IF(AND(Q101&lt;&gt;"",ISNUMBER(AB101)),Q101&amp;"|다기관","")</f>
        <v/>
      </c>
    </row>
    <row r="102">
      <c r="A102" s="15">
        <f>IF(F102="","",ROW()-3)</f>
        <v/>
      </c>
      <c r="B102" s="5" t="n"/>
      <c r="C102" s="15" t="n"/>
      <c r="D102" s="5" t="n"/>
      <c r="E102" s="15" t="n"/>
      <c r="F102" s="5" t="n"/>
      <c r="G102" s="6" t="n"/>
      <c r="H102" s="16" t="n"/>
      <c r="I102" s="16" t="n"/>
      <c r="J102" s="15">
        <f>IF(AND(ISNUMBER(H102),ISNUMBER(I102)),I102-H102+1,"")</f>
        <v/>
      </c>
      <c r="K102" s="5" t="n"/>
      <c r="L102" s="5" t="n"/>
      <c r="M102" s="5" t="n"/>
      <c r="N102" s="5" t="n"/>
      <c r="O102" s="5" t="n"/>
      <c r="Q102" s="10">
        <f>IF(TRIM(G102&amp;"")="","",TRIM(G102&amp;""))</f>
        <v/>
      </c>
      <c r="R102" s="10">
        <f>IF(TRIM(B102&amp;"")="","",IFERROR(INDEX(코드표!$K$2:$K$101,MATCH(TRIM(B102&amp;""),코드표!$J$2:$J$101,0)),"⚠"&amp;TRIM(B102&amp;"")))</f>
        <v/>
      </c>
      <c r="S102" s="10">
        <f>IF(TRIM(K102&amp;"")="","",IFERROR(INDEX(코드표!$K$2:$K$101,MATCH(TRIM(K102&amp;""),코드표!$J$2:$J$101,0)),"⚠"&amp;TRIM(K102&amp;"")))</f>
        <v/>
      </c>
      <c r="T102" s="10">
        <f>IF(TRIM(M102&amp;"")="","",IF(ISNUMBER(MATCH(TRIM(M102&amp;""),코드표!$C$2:$C$11,0)),TRIM(M102&amp;""),"⚠"&amp;TRIM(M102&amp;"")))</f>
        <v/>
      </c>
      <c r="U102" s="10">
        <f>IF(TRIM(L102&amp;"")="","",IFERROR(INDEX(코드표!$G$2:$G$101,MATCH(TRIM(L102&amp;""),코드표!$F$2:$F$101,0)),"⚠"&amp;TRIM(L102&amp;"")))</f>
        <v/>
      </c>
      <c r="V102" s="10">
        <f>IF(AND(ISNUMBER(H102),ISNUMBER(I102)),I102-H102+1,"")</f>
        <v/>
      </c>
      <c r="W102" s="17">
        <f>IF(ISNUMBER(H102),MAX(0,MIN(IF(ISNUMBER(I102),I102,EOMONTH(요약!$B$3,0)),EOMONTH(요약!$B$3,0))-MAX(H102,요약!$B$3)+1),0)</f>
        <v/>
      </c>
      <c r="X102" s="10">
        <f>IF(OR(NOT(ISNUMBER(H102)),Q102=""),"",IF(TODAY()&lt;H102,"파견예정",IF(AND(ISNUMBER(I102),TODAY()&gt;I102),"파견종료","파견중")))</f>
        <v/>
      </c>
      <c r="Y102" s="10">
        <f>IF(OR(Q102="",X102=""),"",Q102&amp;"|"&amp;X102)</f>
        <v/>
      </c>
      <c r="Z102" s="10">
        <f>IF(AND(Q102&lt;&gt;"",W102&gt;0),Q102&amp;"|월","")</f>
        <v/>
      </c>
      <c r="AA102" s="10">
        <f>IF(COUNTA(B102:N102)=0,"",IF(Q102="","등록번호 없음",IF(LEFT(R102,1)="⚠","모병원명 미등록",IF(S102="","파견병원 입력",IF(LEFT(S102,1)="⚠","파견병원명 미등록",IF(LEFT(U102,1)="⚠","파견과목 미등록",IF(OR(T102="",LEFT(T102,1)="⚠"),"파견근거 확인",IF(NOT(AND(ISNUMBER(H102),ISNUMBER(I102))),"날짜 형식/누락",IF(I102&lt;H102,"종료일&lt;시작일","")))))))))</f>
        <v/>
      </c>
      <c r="AB102" s="11">
        <f>IF(ISNUMBER(SEARCH("다기관",TRIM(N102&amp;" "&amp;O102))),IFERROR(DATE(VALUE(MID(TRIM(N102&amp;" "&amp;O102),1,4)),VALUE(MID(TRIM(N102&amp;" "&amp;O102),6,2)),VALUE(MID(TRIM(N102&amp;" "&amp;O102),9,2))),IF(ISNUMBER(H102),H102,"")),"")</f>
        <v/>
      </c>
      <c r="AC102" s="11">
        <f>IF(ISNUMBER(SEARCH("다기관",TRIM(N102&amp;" "&amp;O102))),IFERROR(DATE(VALUE(MID(TRIM(N102&amp;" "&amp;O102),12,4)),VALUE(MID(TRIM(N102&amp;" "&amp;O102),17,2)),VALUE(MID(TRIM(N102&amp;" "&amp;O102),20,2))),IF(ISNUMBER(I102),I102,"")),"")</f>
        <v/>
      </c>
      <c r="AD102" s="17">
        <f>IF(AND(ISNUMBER(AB102),ISNUMBER(AC102)),MAX(0,MIN(AC102,EOMONTH(요약!$B$3,0))-MAX(AB102,요약!$B$3)+1),0)</f>
        <v/>
      </c>
      <c r="AE102" s="10">
        <f>IF(AND(Q102&lt;&gt;"",ISNUMBER(AB102)),Q102&amp;"|다기관","")</f>
        <v/>
      </c>
    </row>
    <row r="103">
      <c r="A103" s="15">
        <f>IF(F103="","",ROW()-3)</f>
        <v/>
      </c>
      <c r="B103" s="5" t="n"/>
      <c r="C103" s="15" t="n"/>
      <c r="D103" s="5" t="n"/>
      <c r="E103" s="15" t="n"/>
      <c r="F103" s="5" t="n"/>
      <c r="G103" s="6" t="n"/>
      <c r="H103" s="16" t="n"/>
      <c r="I103" s="16" t="n"/>
      <c r="J103" s="15">
        <f>IF(AND(ISNUMBER(H103),ISNUMBER(I103)),I103-H103+1,"")</f>
        <v/>
      </c>
      <c r="K103" s="5" t="n"/>
      <c r="L103" s="5" t="n"/>
      <c r="M103" s="5" t="n"/>
      <c r="N103" s="5" t="n"/>
      <c r="O103" s="5" t="n"/>
      <c r="Q103" s="10">
        <f>IF(TRIM(G103&amp;"")="","",TRIM(G103&amp;""))</f>
        <v/>
      </c>
      <c r="R103" s="10">
        <f>IF(TRIM(B103&amp;"")="","",IFERROR(INDEX(코드표!$K$2:$K$101,MATCH(TRIM(B103&amp;""),코드표!$J$2:$J$101,0)),"⚠"&amp;TRIM(B103&amp;"")))</f>
        <v/>
      </c>
      <c r="S103" s="10">
        <f>IF(TRIM(K103&amp;"")="","",IFERROR(INDEX(코드표!$K$2:$K$101,MATCH(TRIM(K103&amp;""),코드표!$J$2:$J$101,0)),"⚠"&amp;TRIM(K103&amp;"")))</f>
        <v/>
      </c>
      <c r="T103" s="10">
        <f>IF(TRIM(M103&amp;"")="","",IF(ISNUMBER(MATCH(TRIM(M103&amp;""),코드표!$C$2:$C$11,0)),TRIM(M103&amp;""),"⚠"&amp;TRIM(M103&amp;"")))</f>
        <v/>
      </c>
      <c r="U103" s="10">
        <f>IF(TRIM(L103&amp;"")="","",IFERROR(INDEX(코드표!$G$2:$G$101,MATCH(TRIM(L103&amp;""),코드표!$F$2:$F$101,0)),"⚠"&amp;TRIM(L103&amp;"")))</f>
        <v/>
      </c>
      <c r="V103" s="10">
        <f>IF(AND(ISNUMBER(H103),ISNUMBER(I103)),I103-H103+1,"")</f>
        <v/>
      </c>
      <c r="W103" s="17">
        <f>IF(ISNUMBER(H103),MAX(0,MIN(IF(ISNUMBER(I103),I103,EOMONTH(요약!$B$3,0)),EOMONTH(요약!$B$3,0))-MAX(H103,요약!$B$3)+1),0)</f>
        <v/>
      </c>
      <c r="X103" s="10">
        <f>IF(OR(NOT(ISNUMBER(H103)),Q103=""),"",IF(TODAY()&lt;H103,"파견예정",IF(AND(ISNUMBER(I103),TODAY()&gt;I103),"파견종료","파견중")))</f>
        <v/>
      </c>
      <c r="Y103" s="10">
        <f>IF(OR(Q103="",X103=""),"",Q103&amp;"|"&amp;X103)</f>
        <v/>
      </c>
      <c r="Z103" s="10">
        <f>IF(AND(Q103&lt;&gt;"",W103&gt;0),Q103&amp;"|월","")</f>
        <v/>
      </c>
      <c r="AA103" s="10">
        <f>IF(COUNTA(B103:N103)=0,"",IF(Q103="","등록번호 없음",IF(LEFT(R103,1)="⚠","모병원명 미등록",IF(S103="","파견병원 입력",IF(LEFT(S103,1)="⚠","파견병원명 미등록",IF(LEFT(U103,1)="⚠","파견과목 미등록",IF(OR(T103="",LEFT(T103,1)="⚠"),"파견근거 확인",IF(NOT(AND(ISNUMBER(H103),ISNUMBER(I103))),"날짜 형식/누락",IF(I103&lt;H103,"종료일&lt;시작일","")))))))))</f>
        <v/>
      </c>
      <c r="AB103" s="11">
        <f>IF(ISNUMBER(SEARCH("다기관",TRIM(N103&amp;" "&amp;O103))),IFERROR(DATE(VALUE(MID(TRIM(N103&amp;" "&amp;O103),1,4)),VALUE(MID(TRIM(N103&amp;" "&amp;O103),6,2)),VALUE(MID(TRIM(N103&amp;" "&amp;O103),9,2))),IF(ISNUMBER(H103),H103,"")),"")</f>
        <v/>
      </c>
      <c r="AC103" s="11">
        <f>IF(ISNUMBER(SEARCH("다기관",TRIM(N103&amp;" "&amp;O103))),IFERROR(DATE(VALUE(MID(TRIM(N103&amp;" "&amp;O103),12,4)),VALUE(MID(TRIM(N103&amp;" "&amp;O103),17,2)),VALUE(MID(TRIM(N103&amp;" "&amp;O103),20,2))),IF(ISNUMBER(I103),I103,"")),"")</f>
        <v/>
      </c>
      <c r="AD103" s="17">
        <f>IF(AND(ISNUMBER(AB103),ISNUMBER(AC103)),MAX(0,MIN(AC103,EOMONTH(요약!$B$3,0))-MAX(AB103,요약!$B$3)+1),0)</f>
        <v/>
      </c>
      <c r="AE103" s="10">
        <f>IF(AND(Q103&lt;&gt;"",ISNUMBER(AB103)),Q103&amp;"|다기관","")</f>
        <v/>
      </c>
    </row>
    <row r="104">
      <c r="A104" s="15">
        <f>IF(F104="","",ROW()-3)</f>
        <v/>
      </c>
      <c r="B104" s="5" t="n"/>
      <c r="C104" s="15" t="n"/>
      <c r="D104" s="5" t="n"/>
      <c r="E104" s="15" t="n"/>
      <c r="F104" s="5" t="n"/>
      <c r="G104" s="6" t="n"/>
      <c r="H104" s="16" t="n"/>
      <c r="I104" s="16" t="n"/>
      <c r="J104" s="15">
        <f>IF(AND(ISNUMBER(H104),ISNUMBER(I104)),I104-H104+1,"")</f>
        <v/>
      </c>
      <c r="K104" s="5" t="n"/>
      <c r="L104" s="5" t="n"/>
      <c r="M104" s="5" t="n"/>
      <c r="N104" s="5" t="n"/>
      <c r="O104" s="5" t="n"/>
      <c r="Q104" s="10">
        <f>IF(TRIM(G104&amp;"")="","",TRIM(G104&amp;""))</f>
        <v/>
      </c>
      <c r="R104" s="10">
        <f>IF(TRIM(B104&amp;"")="","",IFERROR(INDEX(코드표!$K$2:$K$101,MATCH(TRIM(B104&amp;""),코드표!$J$2:$J$101,0)),"⚠"&amp;TRIM(B104&amp;"")))</f>
        <v/>
      </c>
      <c r="S104" s="10">
        <f>IF(TRIM(K104&amp;"")="","",IFERROR(INDEX(코드표!$K$2:$K$101,MATCH(TRIM(K104&amp;""),코드표!$J$2:$J$101,0)),"⚠"&amp;TRIM(K104&amp;"")))</f>
        <v/>
      </c>
      <c r="T104" s="10">
        <f>IF(TRIM(M104&amp;"")="","",IF(ISNUMBER(MATCH(TRIM(M104&amp;""),코드표!$C$2:$C$11,0)),TRIM(M104&amp;""),"⚠"&amp;TRIM(M104&amp;"")))</f>
        <v/>
      </c>
      <c r="U104" s="10">
        <f>IF(TRIM(L104&amp;"")="","",IFERROR(INDEX(코드표!$G$2:$G$101,MATCH(TRIM(L104&amp;""),코드표!$F$2:$F$101,0)),"⚠"&amp;TRIM(L104&amp;"")))</f>
        <v/>
      </c>
      <c r="V104" s="10">
        <f>IF(AND(ISNUMBER(H104),ISNUMBER(I104)),I104-H104+1,"")</f>
        <v/>
      </c>
      <c r="W104" s="17">
        <f>IF(ISNUMBER(H104),MAX(0,MIN(IF(ISNUMBER(I104),I104,EOMONTH(요약!$B$3,0)),EOMONTH(요약!$B$3,0))-MAX(H104,요약!$B$3)+1),0)</f>
        <v/>
      </c>
      <c r="X104" s="10">
        <f>IF(OR(NOT(ISNUMBER(H104)),Q104=""),"",IF(TODAY()&lt;H104,"파견예정",IF(AND(ISNUMBER(I104),TODAY()&gt;I104),"파견종료","파견중")))</f>
        <v/>
      </c>
      <c r="Y104" s="10">
        <f>IF(OR(Q104="",X104=""),"",Q104&amp;"|"&amp;X104)</f>
        <v/>
      </c>
      <c r="Z104" s="10">
        <f>IF(AND(Q104&lt;&gt;"",W104&gt;0),Q104&amp;"|월","")</f>
        <v/>
      </c>
      <c r="AA104" s="10">
        <f>IF(COUNTA(B104:N104)=0,"",IF(Q104="","등록번호 없음",IF(LEFT(R104,1)="⚠","모병원명 미등록",IF(S104="","파견병원 입력",IF(LEFT(S104,1)="⚠","파견병원명 미등록",IF(LEFT(U104,1)="⚠","파견과목 미등록",IF(OR(T104="",LEFT(T104,1)="⚠"),"파견근거 확인",IF(NOT(AND(ISNUMBER(H104),ISNUMBER(I104))),"날짜 형식/누락",IF(I104&lt;H104,"종료일&lt;시작일","")))))))))</f>
        <v/>
      </c>
      <c r="AB104" s="11">
        <f>IF(ISNUMBER(SEARCH("다기관",TRIM(N104&amp;" "&amp;O104))),IFERROR(DATE(VALUE(MID(TRIM(N104&amp;" "&amp;O104),1,4)),VALUE(MID(TRIM(N104&amp;" "&amp;O104),6,2)),VALUE(MID(TRIM(N104&amp;" "&amp;O104),9,2))),IF(ISNUMBER(H104),H104,"")),"")</f>
        <v/>
      </c>
      <c r="AC104" s="11">
        <f>IF(ISNUMBER(SEARCH("다기관",TRIM(N104&amp;" "&amp;O104))),IFERROR(DATE(VALUE(MID(TRIM(N104&amp;" "&amp;O104),12,4)),VALUE(MID(TRIM(N104&amp;" "&amp;O104),17,2)),VALUE(MID(TRIM(N104&amp;" "&amp;O104),20,2))),IF(ISNUMBER(I104),I104,"")),"")</f>
        <v/>
      </c>
      <c r="AD104" s="17">
        <f>IF(AND(ISNUMBER(AB104),ISNUMBER(AC104)),MAX(0,MIN(AC104,EOMONTH(요약!$B$3,0))-MAX(AB104,요약!$B$3)+1),0)</f>
        <v/>
      </c>
      <c r="AE104" s="10">
        <f>IF(AND(Q104&lt;&gt;"",ISNUMBER(AB104)),Q104&amp;"|다기관","")</f>
        <v/>
      </c>
    </row>
    <row r="105">
      <c r="A105" s="15">
        <f>IF(F105="","",ROW()-3)</f>
        <v/>
      </c>
      <c r="B105" s="5" t="n"/>
      <c r="C105" s="15" t="n"/>
      <c r="D105" s="5" t="n"/>
      <c r="E105" s="15" t="n"/>
      <c r="F105" s="5" t="n"/>
      <c r="G105" s="6" t="n"/>
      <c r="H105" s="16" t="n"/>
      <c r="I105" s="16" t="n"/>
      <c r="J105" s="15">
        <f>IF(AND(ISNUMBER(H105),ISNUMBER(I105)),I105-H105+1,"")</f>
        <v/>
      </c>
      <c r="K105" s="5" t="n"/>
      <c r="L105" s="5" t="n"/>
      <c r="M105" s="5" t="n"/>
      <c r="N105" s="5" t="n"/>
      <c r="O105" s="5" t="n"/>
      <c r="Q105" s="10">
        <f>IF(TRIM(G105&amp;"")="","",TRIM(G105&amp;""))</f>
        <v/>
      </c>
      <c r="R105" s="10">
        <f>IF(TRIM(B105&amp;"")="","",IFERROR(INDEX(코드표!$K$2:$K$101,MATCH(TRIM(B105&amp;""),코드표!$J$2:$J$101,0)),"⚠"&amp;TRIM(B105&amp;"")))</f>
        <v/>
      </c>
      <c r="S105" s="10">
        <f>IF(TRIM(K105&amp;"")="","",IFERROR(INDEX(코드표!$K$2:$K$101,MATCH(TRIM(K105&amp;""),코드표!$J$2:$J$101,0)),"⚠"&amp;TRIM(K105&amp;"")))</f>
        <v/>
      </c>
      <c r="T105" s="10">
        <f>IF(TRIM(M105&amp;"")="","",IF(ISNUMBER(MATCH(TRIM(M105&amp;""),코드표!$C$2:$C$11,0)),TRIM(M105&amp;""),"⚠"&amp;TRIM(M105&amp;"")))</f>
        <v/>
      </c>
      <c r="U105" s="10">
        <f>IF(TRIM(L105&amp;"")="","",IFERROR(INDEX(코드표!$G$2:$G$101,MATCH(TRIM(L105&amp;""),코드표!$F$2:$F$101,0)),"⚠"&amp;TRIM(L105&amp;"")))</f>
        <v/>
      </c>
      <c r="V105" s="10">
        <f>IF(AND(ISNUMBER(H105),ISNUMBER(I105)),I105-H105+1,"")</f>
        <v/>
      </c>
      <c r="W105" s="17">
        <f>IF(ISNUMBER(H105),MAX(0,MIN(IF(ISNUMBER(I105),I105,EOMONTH(요약!$B$3,0)),EOMONTH(요약!$B$3,0))-MAX(H105,요약!$B$3)+1),0)</f>
        <v/>
      </c>
      <c r="X105" s="10">
        <f>IF(OR(NOT(ISNUMBER(H105)),Q105=""),"",IF(TODAY()&lt;H105,"파견예정",IF(AND(ISNUMBER(I105),TODAY()&gt;I105),"파견종료","파견중")))</f>
        <v/>
      </c>
      <c r="Y105" s="10">
        <f>IF(OR(Q105="",X105=""),"",Q105&amp;"|"&amp;X105)</f>
        <v/>
      </c>
      <c r="Z105" s="10">
        <f>IF(AND(Q105&lt;&gt;"",W105&gt;0),Q105&amp;"|월","")</f>
        <v/>
      </c>
      <c r="AA105" s="10">
        <f>IF(COUNTA(B105:N105)=0,"",IF(Q105="","등록번호 없음",IF(LEFT(R105,1)="⚠","모병원명 미등록",IF(S105="","파견병원 입력",IF(LEFT(S105,1)="⚠","파견병원명 미등록",IF(LEFT(U105,1)="⚠","파견과목 미등록",IF(OR(T105="",LEFT(T105,1)="⚠"),"파견근거 확인",IF(NOT(AND(ISNUMBER(H105),ISNUMBER(I105))),"날짜 형식/누락",IF(I105&lt;H105,"종료일&lt;시작일","")))))))))</f>
        <v/>
      </c>
      <c r="AB105" s="11">
        <f>IF(ISNUMBER(SEARCH("다기관",TRIM(N105&amp;" "&amp;O105))),IFERROR(DATE(VALUE(MID(TRIM(N105&amp;" "&amp;O105),1,4)),VALUE(MID(TRIM(N105&amp;" "&amp;O105),6,2)),VALUE(MID(TRIM(N105&amp;" "&amp;O105),9,2))),IF(ISNUMBER(H105),H105,"")),"")</f>
        <v/>
      </c>
      <c r="AC105" s="11">
        <f>IF(ISNUMBER(SEARCH("다기관",TRIM(N105&amp;" "&amp;O105))),IFERROR(DATE(VALUE(MID(TRIM(N105&amp;" "&amp;O105),12,4)),VALUE(MID(TRIM(N105&amp;" "&amp;O105),17,2)),VALUE(MID(TRIM(N105&amp;" "&amp;O105),20,2))),IF(ISNUMBER(I105),I105,"")),"")</f>
        <v/>
      </c>
      <c r="AD105" s="17">
        <f>IF(AND(ISNUMBER(AB105),ISNUMBER(AC105)),MAX(0,MIN(AC105,EOMONTH(요약!$B$3,0))-MAX(AB105,요약!$B$3)+1),0)</f>
        <v/>
      </c>
      <c r="AE105" s="10">
        <f>IF(AND(Q105&lt;&gt;"",ISNUMBER(AB105)),Q105&amp;"|다기관","")</f>
        <v/>
      </c>
    </row>
    <row r="106">
      <c r="A106" s="15">
        <f>IF(F106="","",ROW()-3)</f>
        <v/>
      </c>
      <c r="B106" s="5" t="n"/>
      <c r="C106" s="15" t="n"/>
      <c r="D106" s="5" t="n"/>
      <c r="E106" s="15" t="n"/>
      <c r="F106" s="5" t="n"/>
      <c r="G106" s="6" t="n"/>
      <c r="H106" s="16" t="n"/>
      <c r="I106" s="16" t="n"/>
      <c r="J106" s="15">
        <f>IF(AND(ISNUMBER(H106),ISNUMBER(I106)),I106-H106+1,"")</f>
        <v/>
      </c>
      <c r="K106" s="5" t="n"/>
      <c r="L106" s="5" t="n"/>
      <c r="M106" s="5" t="n"/>
      <c r="N106" s="5" t="n"/>
      <c r="O106" s="5" t="n"/>
      <c r="Q106" s="10">
        <f>IF(TRIM(G106&amp;"")="","",TRIM(G106&amp;""))</f>
        <v/>
      </c>
      <c r="R106" s="10">
        <f>IF(TRIM(B106&amp;"")="","",IFERROR(INDEX(코드표!$K$2:$K$101,MATCH(TRIM(B106&amp;""),코드표!$J$2:$J$101,0)),"⚠"&amp;TRIM(B106&amp;"")))</f>
        <v/>
      </c>
      <c r="S106" s="10">
        <f>IF(TRIM(K106&amp;"")="","",IFERROR(INDEX(코드표!$K$2:$K$101,MATCH(TRIM(K106&amp;""),코드표!$J$2:$J$101,0)),"⚠"&amp;TRIM(K106&amp;"")))</f>
        <v/>
      </c>
      <c r="T106" s="10">
        <f>IF(TRIM(M106&amp;"")="","",IF(ISNUMBER(MATCH(TRIM(M106&amp;""),코드표!$C$2:$C$11,0)),TRIM(M106&amp;""),"⚠"&amp;TRIM(M106&amp;"")))</f>
        <v/>
      </c>
      <c r="U106" s="10">
        <f>IF(TRIM(L106&amp;"")="","",IFERROR(INDEX(코드표!$G$2:$G$101,MATCH(TRIM(L106&amp;""),코드표!$F$2:$F$101,0)),"⚠"&amp;TRIM(L106&amp;"")))</f>
        <v/>
      </c>
      <c r="V106" s="10">
        <f>IF(AND(ISNUMBER(H106),ISNUMBER(I106)),I106-H106+1,"")</f>
        <v/>
      </c>
      <c r="W106" s="17">
        <f>IF(ISNUMBER(H106),MAX(0,MIN(IF(ISNUMBER(I106),I106,EOMONTH(요약!$B$3,0)),EOMONTH(요약!$B$3,0))-MAX(H106,요약!$B$3)+1),0)</f>
        <v/>
      </c>
      <c r="X106" s="10">
        <f>IF(OR(NOT(ISNUMBER(H106)),Q106=""),"",IF(TODAY()&lt;H106,"파견예정",IF(AND(ISNUMBER(I106),TODAY()&gt;I106),"파견종료","파견중")))</f>
        <v/>
      </c>
      <c r="Y106" s="10">
        <f>IF(OR(Q106="",X106=""),"",Q106&amp;"|"&amp;X106)</f>
        <v/>
      </c>
      <c r="Z106" s="10">
        <f>IF(AND(Q106&lt;&gt;"",W106&gt;0),Q106&amp;"|월","")</f>
        <v/>
      </c>
      <c r="AA106" s="10">
        <f>IF(COUNTA(B106:N106)=0,"",IF(Q106="","등록번호 없음",IF(LEFT(R106,1)="⚠","모병원명 미등록",IF(S106="","파견병원 입력",IF(LEFT(S106,1)="⚠","파견병원명 미등록",IF(LEFT(U106,1)="⚠","파견과목 미등록",IF(OR(T106="",LEFT(T106,1)="⚠"),"파견근거 확인",IF(NOT(AND(ISNUMBER(H106),ISNUMBER(I106))),"날짜 형식/누락",IF(I106&lt;H106,"종료일&lt;시작일","")))))))))</f>
        <v/>
      </c>
      <c r="AB106" s="11">
        <f>IF(ISNUMBER(SEARCH("다기관",TRIM(N106&amp;" "&amp;O106))),IFERROR(DATE(VALUE(MID(TRIM(N106&amp;" "&amp;O106),1,4)),VALUE(MID(TRIM(N106&amp;" "&amp;O106),6,2)),VALUE(MID(TRIM(N106&amp;" "&amp;O106),9,2))),IF(ISNUMBER(H106),H106,"")),"")</f>
        <v/>
      </c>
      <c r="AC106" s="11">
        <f>IF(ISNUMBER(SEARCH("다기관",TRIM(N106&amp;" "&amp;O106))),IFERROR(DATE(VALUE(MID(TRIM(N106&amp;" "&amp;O106),12,4)),VALUE(MID(TRIM(N106&amp;" "&amp;O106),17,2)),VALUE(MID(TRIM(N106&amp;" "&amp;O106),20,2))),IF(ISNUMBER(I106),I106,"")),"")</f>
        <v/>
      </c>
      <c r="AD106" s="17">
        <f>IF(AND(ISNUMBER(AB106),ISNUMBER(AC106)),MAX(0,MIN(AC106,EOMONTH(요약!$B$3,0))-MAX(AB106,요약!$B$3)+1),0)</f>
        <v/>
      </c>
      <c r="AE106" s="10">
        <f>IF(AND(Q106&lt;&gt;"",ISNUMBER(AB106)),Q106&amp;"|다기관","")</f>
        <v/>
      </c>
    </row>
    <row r="107">
      <c r="A107" s="15">
        <f>IF(F107="","",ROW()-3)</f>
        <v/>
      </c>
      <c r="B107" s="5" t="n"/>
      <c r="C107" s="15" t="n"/>
      <c r="D107" s="5" t="n"/>
      <c r="E107" s="15" t="n"/>
      <c r="F107" s="5" t="n"/>
      <c r="G107" s="6" t="n"/>
      <c r="H107" s="16" t="n"/>
      <c r="I107" s="16" t="n"/>
      <c r="J107" s="15">
        <f>IF(AND(ISNUMBER(H107),ISNUMBER(I107)),I107-H107+1,"")</f>
        <v/>
      </c>
      <c r="K107" s="5" t="n"/>
      <c r="L107" s="5" t="n"/>
      <c r="M107" s="5" t="n"/>
      <c r="N107" s="5" t="n"/>
      <c r="O107" s="5" t="n"/>
      <c r="Q107" s="10">
        <f>IF(TRIM(G107&amp;"")="","",TRIM(G107&amp;""))</f>
        <v/>
      </c>
      <c r="R107" s="10">
        <f>IF(TRIM(B107&amp;"")="","",IFERROR(INDEX(코드표!$K$2:$K$101,MATCH(TRIM(B107&amp;""),코드표!$J$2:$J$101,0)),"⚠"&amp;TRIM(B107&amp;"")))</f>
        <v/>
      </c>
      <c r="S107" s="10">
        <f>IF(TRIM(K107&amp;"")="","",IFERROR(INDEX(코드표!$K$2:$K$101,MATCH(TRIM(K107&amp;""),코드표!$J$2:$J$101,0)),"⚠"&amp;TRIM(K107&amp;"")))</f>
        <v/>
      </c>
      <c r="T107" s="10">
        <f>IF(TRIM(M107&amp;"")="","",IF(ISNUMBER(MATCH(TRIM(M107&amp;""),코드표!$C$2:$C$11,0)),TRIM(M107&amp;""),"⚠"&amp;TRIM(M107&amp;"")))</f>
        <v/>
      </c>
      <c r="U107" s="10">
        <f>IF(TRIM(L107&amp;"")="","",IFERROR(INDEX(코드표!$G$2:$G$101,MATCH(TRIM(L107&amp;""),코드표!$F$2:$F$101,0)),"⚠"&amp;TRIM(L107&amp;"")))</f>
        <v/>
      </c>
      <c r="V107" s="10">
        <f>IF(AND(ISNUMBER(H107),ISNUMBER(I107)),I107-H107+1,"")</f>
        <v/>
      </c>
      <c r="W107" s="17">
        <f>IF(ISNUMBER(H107),MAX(0,MIN(IF(ISNUMBER(I107),I107,EOMONTH(요약!$B$3,0)),EOMONTH(요약!$B$3,0))-MAX(H107,요약!$B$3)+1),0)</f>
        <v/>
      </c>
      <c r="X107" s="10">
        <f>IF(OR(NOT(ISNUMBER(H107)),Q107=""),"",IF(TODAY()&lt;H107,"파견예정",IF(AND(ISNUMBER(I107),TODAY()&gt;I107),"파견종료","파견중")))</f>
        <v/>
      </c>
      <c r="Y107" s="10">
        <f>IF(OR(Q107="",X107=""),"",Q107&amp;"|"&amp;X107)</f>
        <v/>
      </c>
      <c r="Z107" s="10">
        <f>IF(AND(Q107&lt;&gt;"",W107&gt;0),Q107&amp;"|월","")</f>
        <v/>
      </c>
      <c r="AA107" s="10">
        <f>IF(COUNTA(B107:N107)=0,"",IF(Q107="","등록번호 없음",IF(LEFT(R107,1)="⚠","모병원명 미등록",IF(S107="","파견병원 입력",IF(LEFT(S107,1)="⚠","파견병원명 미등록",IF(LEFT(U107,1)="⚠","파견과목 미등록",IF(OR(T107="",LEFT(T107,1)="⚠"),"파견근거 확인",IF(NOT(AND(ISNUMBER(H107),ISNUMBER(I107))),"날짜 형식/누락",IF(I107&lt;H107,"종료일&lt;시작일","")))))))))</f>
        <v/>
      </c>
      <c r="AB107" s="11">
        <f>IF(ISNUMBER(SEARCH("다기관",TRIM(N107&amp;" "&amp;O107))),IFERROR(DATE(VALUE(MID(TRIM(N107&amp;" "&amp;O107),1,4)),VALUE(MID(TRIM(N107&amp;" "&amp;O107),6,2)),VALUE(MID(TRIM(N107&amp;" "&amp;O107),9,2))),IF(ISNUMBER(H107),H107,"")),"")</f>
        <v/>
      </c>
      <c r="AC107" s="11">
        <f>IF(ISNUMBER(SEARCH("다기관",TRIM(N107&amp;" "&amp;O107))),IFERROR(DATE(VALUE(MID(TRIM(N107&amp;" "&amp;O107),12,4)),VALUE(MID(TRIM(N107&amp;" "&amp;O107),17,2)),VALUE(MID(TRIM(N107&amp;" "&amp;O107),20,2))),IF(ISNUMBER(I107),I107,"")),"")</f>
        <v/>
      </c>
      <c r="AD107" s="17">
        <f>IF(AND(ISNUMBER(AB107),ISNUMBER(AC107)),MAX(0,MIN(AC107,EOMONTH(요약!$B$3,0))-MAX(AB107,요약!$B$3)+1),0)</f>
        <v/>
      </c>
      <c r="AE107" s="10">
        <f>IF(AND(Q107&lt;&gt;"",ISNUMBER(AB107)),Q107&amp;"|다기관","")</f>
        <v/>
      </c>
    </row>
    <row r="108">
      <c r="A108" s="15">
        <f>IF(F108="","",ROW()-3)</f>
        <v/>
      </c>
      <c r="B108" s="5" t="n"/>
      <c r="C108" s="15" t="n"/>
      <c r="D108" s="5" t="n"/>
      <c r="E108" s="15" t="n"/>
      <c r="F108" s="5" t="n"/>
      <c r="G108" s="6" t="n"/>
      <c r="H108" s="16" t="n"/>
      <c r="I108" s="16" t="n"/>
      <c r="J108" s="15">
        <f>IF(AND(ISNUMBER(H108),ISNUMBER(I108)),I108-H108+1,"")</f>
        <v/>
      </c>
      <c r="K108" s="5" t="n"/>
      <c r="L108" s="5" t="n"/>
      <c r="M108" s="5" t="n"/>
      <c r="N108" s="5" t="n"/>
      <c r="O108" s="5" t="n"/>
      <c r="Q108" s="10">
        <f>IF(TRIM(G108&amp;"")="","",TRIM(G108&amp;""))</f>
        <v/>
      </c>
      <c r="R108" s="10">
        <f>IF(TRIM(B108&amp;"")="","",IFERROR(INDEX(코드표!$K$2:$K$101,MATCH(TRIM(B108&amp;""),코드표!$J$2:$J$101,0)),"⚠"&amp;TRIM(B108&amp;"")))</f>
        <v/>
      </c>
      <c r="S108" s="10">
        <f>IF(TRIM(K108&amp;"")="","",IFERROR(INDEX(코드표!$K$2:$K$101,MATCH(TRIM(K108&amp;""),코드표!$J$2:$J$101,0)),"⚠"&amp;TRIM(K108&amp;"")))</f>
        <v/>
      </c>
      <c r="T108" s="10">
        <f>IF(TRIM(M108&amp;"")="","",IF(ISNUMBER(MATCH(TRIM(M108&amp;""),코드표!$C$2:$C$11,0)),TRIM(M108&amp;""),"⚠"&amp;TRIM(M108&amp;"")))</f>
        <v/>
      </c>
      <c r="U108" s="10">
        <f>IF(TRIM(L108&amp;"")="","",IFERROR(INDEX(코드표!$G$2:$G$101,MATCH(TRIM(L108&amp;""),코드표!$F$2:$F$101,0)),"⚠"&amp;TRIM(L108&amp;"")))</f>
        <v/>
      </c>
      <c r="V108" s="10">
        <f>IF(AND(ISNUMBER(H108),ISNUMBER(I108)),I108-H108+1,"")</f>
        <v/>
      </c>
      <c r="W108" s="17">
        <f>IF(ISNUMBER(H108),MAX(0,MIN(IF(ISNUMBER(I108),I108,EOMONTH(요약!$B$3,0)),EOMONTH(요약!$B$3,0))-MAX(H108,요약!$B$3)+1),0)</f>
        <v/>
      </c>
      <c r="X108" s="10">
        <f>IF(OR(NOT(ISNUMBER(H108)),Q108=""),"",IF(TODAY()&lt;H108,"파견예정",IF(AND(ISNUMBER(I108),TODAY()&gt;I108),"파견종료","파견중")))</f>
        <v/>
      </c>
      <c r="Y108" s="10">
        <f>IF(OR(Q108="",X108=""),"",Q108&amp;"|"&amp;X108)</f>
        <v/>
      </c>
      <c r="Z108" s="10">
        <f>IF(AND(Q108&lt;&gt;"",W108&gt;0),Q108&amp;"|월","")</f>
        <v/>
      </c>
      <c r="AA108" s="10">
        <f>IF(COUNTA(B108:N108)=0,"",IF(Q108="","등록번호 없음",IF(LEFT(R108,1)="⚠","모병원명 미등록",IF(S108="","파견병원 입력",IF(LEFT(S108,1)="⚠","파견병원명 미등록",IF(LEFT(U108,1)="⚠","파견과목 미등록",IF(OR(T108="",LEFT(T108,1)="⚠"),"파견근거 확인",IF(NOT(AND(ISNUMBER(H108),ISNUMBER(I108))),"날짜 형식/누락",IF(I108&lt;H108,"종료일&lt;시작일","")))))))))</f>
        <v/>
      </c>
      <c r="AB108" s="11">
        <f>IF(ISNUMBER(SEARCH("다기관",TRIM(N108&amp;" "&amp;O108))),IFERROR(DATE(VALUE(MID(TRIM(N108&amp;" "&amp;O108),1,4)),VALUE(MID(TRIM(N108&amp;" "&amp;O108),6,2)),VALUE(MID(TRIM(N108&amp;" "&amp;O108),9,2))),IF(ISNUMBER(H108),H108,"")),"")</f>
        <v/>
      </c>
      <c r="AC108" s="11">
        <f>IF(ISNUMBER(SEARCH("다기관",TRIM(N108&amp;" "&amp;O108))),IFERROR(DATE(VALUE(MID(TRIM(N108&amp;" "&amp;O108),12,4)),VALUE(MID(TRIM(N108&amp;" "&amp;O108),17,2)),VALUE(MID(TRIM(N108&amp;" "&amp;O108),20,2))),IF(ISNUMBER(I108),I108,"")),"")</f>
        <v/>
      </c>
      <c r="AD108" s="17">
        <f>IF(AND(ISNUMBER(AB108),ISNUMBER(AC108)),MAX(0,MIN(AC108,EOMONTH(요약!$B$3,0))-MAX(AB108,요약!$B$3)+1),0)</f>
        <v/>
      </c>
      <c r="AE108" s="10">
        <f>IF(AND(Q108&lt;&gt;"",ISNUMBER(AB108)),Q108&amp;"|다기관","")</f>
        <v/>
      </c>
    </row>
    <row r="109">
      <c r="A109" s="15">
        <f>IF(F109="","",ROW()-3)</f>
        <v/>
      </c>
      <c r="B109" s="5" t="n"/>
      <c r="C109" s="15" t="n"/>
      <c r="D109" s="5" t="n"/>
      <c r="E109" s="15" t="n"/>
      <c r="F109" s="5" t="n"/>
      <c r="G109" s="6" t="n"/>
      <c r="H109" s="16" t="n"/>
      <c r="I109" s="16" t="n"/>
      <c r="J109" s="15">
        <f>IF(AND(ISNUMBER(H109),ISNUMBER(I109)),I109-H109+1,"")</f>
        <v/>
      </c>
      <c r="K109" s="5" t="n"/>
      <c r="L109" s="5" t="n"/>
      <c r="M109" s="5" t="n"/>
      <c r="N109" s="5" t="n"/>
      <c r="O109" s="5" t="n"/>
      <c r="Q109" s="10">
        <f>IF(TRIM(G109&amp;"")="","",TRIM(G109&amp;""))</f>
        <v/>
      </c>
      <c r="R109" s="10">
        <f>IF(TRIM(B109&amp;"")="","",IFERROR(INDEX(코드표!$K$2:$K$101,MATCH(TRIM(B109&amp;""),코드표!$J$2:$J$101,0)),"⚠"&amp;TRIM(B109&amp;"")))</f>
        <v/>
      </c>
      <c r="S109" s="10">
        <f>IF(TRIM(K109&amp;"")="","",IFERROR(INDEX(코드표!$K$2:$K$101,MATCH(TRIM(K109&amp;""),코드표!$J$2:$J$101,0)),"⚠"&amp;TRIM(K109&amp;"")))</f>
        <v/>
      </c>
      <c r="T109" s="10">
        <f>IF(TRIM(M109&amp;"")="","",IF(ISNUMBER(MATCH(TRIM(M109&amp;""),코드표!$C$2:$C$11,0)),TRIM(M109&amp;""),"⚠"&amp;TRIM(M109&amp;"")))</f>
        <v/>
      </c>
      <c r="U109" s="10">
        <f>IF(TRIM(L109&amp;"")="","",IFERROR(INDEX(코드표!$G$2:$G$101,MATCH(TRIM(L109&amp;""),코드표!$F$2:$F$101,0)),"⚠"&amp;TRIM(L109&amp;"")))</f>
        <v/>
      </c>
      <c r="V109" s="10">
        <f>IF(AND(ISNUMBER(H109),ISNUMBER(I109)),I109-H109+1,"")</f>
        <v/>
      </c>
      <c r="W109" s="17">
        <f>IF(ISNUMBER(H109),MAX(0,MIN(IF(ISNUMBER(I109),I109,EOMONTH(요약!$B$3,0)),EOMONTH(요약!$B$3,0))-MAX(H109,요약!$B$3)+1),0)</f>
        <v/>
      </c>
      <c r="X109" s="10">
        <f>IF(OR(NOT(ISNUMBER(H109)),Q109=""),"",IF(TODAY()&lt;H109,"파견예정",IF(AND(ISNUMBER(I109),TODAY()&gt;I109),"파견종료","파견중")))</f>
        <v/>
      </c>
      <c r="Y109" s="10">
        <f>IF(OR(Q109="",X109=""),"",Q109&amp;"|"&amp;X109)</f>
        <v/>
      </c>
      <c r="Z109" s="10">
        <f>IF(AND(Q109&lt;&gt;"",W109&gt;0),Q109&amp;"|월","")</f>
        <v/>
      </c>
      <c r="AA109" s="10">
        <f>IF(COUNTA(B109:N109)=0,"",IF(Q109="","등록번호 없음",IF(LEFT(R109,1)="⚠","모병원명 미등록",IF(S109="","파견병원 입력",IF(LEFT(S109,1)="⚠","파견병원명 미등록",IF(LEFT(U109,1)="⚠","파견과목 미등록",IF(OR(T109="",LEFT(T109,1)="⚠"),"파견근거 확인",IF(NOT(AND(ISNUMBER(H109),ISNUMBER(I109))),"날짜 형식/누락",IF(I109&lt;H109,"종료일&lt;시작일","")))))))))</f>
        <v/>
      </c>
      <c r="AB109" s="11">
        <f>IF(ISNUMBER(SEARCH("다기관",TRIM(N109&amp;" "&amp;O109))),IFERROR(DATE(VALUE(MID(TRIM(N109&amp;" "&amp;O109),1,4)),VALUE(MID(TRIM(N109&amp;" "&amp;O109),6,2)),VALUE(MID(TRIM(N109&amp;" "&amp;O109),9,2))),IF(ISNUMBER(H109),H109,"")),"")</f>
        <v/>
      </c>
      <c r="AC109" s="11">
        <f>IF(ISNUMBER(SEARCH("다기관",TRIM(N109&amp;" "&amp;O109))),IFERROR(DATE(VALUE(MID(TRIM(N109&amp;" "&amp;O109),12,4)),VALUE(MID(TRIM(N109&amp;" "&amp;O109),17,2)),VALUE(MID(TRIM(N109&amp;" "&amp;O109),20,2))),IF(ISNUMBER(I109),I109,"")),"")</f>
        <v/>
      </c>
      <c r="AD109" s="17">
        <f>IF(AND(ISNUMBER(AB109),ISNUMBER(AC109)),MAX(0,MIN(AC109,EOMONTH(요약!$B$3,0))-MAX(AB109,요약!$B$3)+1),0)</f>
        <v/>
      </c>
      <c r="AE109" s="10">
        <f>IF(AND(Q109&lt;&gt;"",ISNUMBER(AB109)),Q109&amp;"|다기관","")</f>
        <v/>
      </c>
    </row>
    <row r="110">
      <c r="A110" s="15">
        <f>IF(F110="","",ROW()-3)</f>
        <v/>
      </c>
      <c r="B110" s="5" t="n"/>
      <c r="C110" s="15" t="n"/>
      <c r="D110" s="5" t="n"/>
      <c r="E110" s="15" t="n"/>
      <c r="F110" s="5" t="n"/>
      <c r="G110" s="6" t="n"/>
      <c r="H110" s="16" t="n"/>
      <c r="I110" s="16" t="n"/>
      <c r="J110" s="15">
        <f>IF(AND(ISNUMBER(H110),ISNUMBER(I110)),I110-H110+1,"")</f>
        <v/>
      </c>
      <c r="K110" s="5" t="n"/>
      <c r="L110" s="5" t="n"/>
      <c r="M110" s="5" t="n"/>
      <c r="N110" s="5" t="n"/>
      <c r="O110" s="5" t="n"/>
      <c r="Q110" s="10">
        <f>IF(TRIM(G110&amp;"")="","",TRIM(G110&amp;""))</f>
        <v/>
      </c>
      <c r="R110" s="10">
        <f>IF(TRIM(B110&amp;"")="","",IFERROR(INDEX(코드표!$K$2:$K$101,MATCH(TRIM(B110&amp;""),코드표!$J$2:$J$101,0)),"⚠"&amp;TRIM(B110&amp;"")))</f>
        <v/>
      </c>
      <c r="S110" s="10">
        <f>IF(TRIM(K110&amp;"")="","",IFERROR(INDEX(코드표!$K$2:$K$101,MATCH(TRIM(K110&amp;""),코드표!$J$2:$J$101,0)),"⚠"&amp;TRIM(K110&amp;"")))</f>
        <v/>
      </c>
      <c r="T110" s="10">
        <f>IF(TRIM(M110&amp;"")="","",IF(ISNUMBER(MATCH(TRIM(M110&amp;""),코드표!$C$2:$C$11,0)),TRIM(M110&amp;""),"⚠"&amp;TRIM(M110&amp;"")))</f>
        <v/>
      </c>
      <c r="U110" s="10">
        <f>IF(TRIM(L110&amp;"")="","",IFERROR(INDEX(코드표!$G$2:$G$101,MATCH(TRIM(L110&amp;""),코드표!$F$2:$F$101,0)),"⚠"&amp;TRIM(L110&amp;"")))</f>
        <v/>
      </c>
      <c r="V110" s="10">
        <f>IF(AND(ISNUMBER(H110),ISNUMBER(I110)),I110-H110+1,"")</f>
        <v/>
      </c>
      <c r="W110" s="17">
        <f>IF(ISNUMBER(H110),MAX(0,MIN(IF(ISNUMBER(I110),I110,EOMONTH(요약!$B$3,0)),EOMONTH(요약!$B$3,0))-MAX(H110,요약!$B$3)+1),0)</f>
        <v/>
      </c>
      <c r="X110" s="10">
        <f>IF(OR(NOT(ISNUMBER(H110)),Q110=""),"",IF(TODAY()&lt;H110,"파견예정",IF(AND(ISNUMBER(I110),TODAY()&gt;I110),"파견종료","파견중")))</f>
        <v/>
      </c>
      <c r="Y110" s="10">
        <f>IF(OR(Q110="",X110=""),"",Q110&amp;"|"&amp;X110)</f>
        <v/>
      </c>
      <c r="Z110" s="10">
        <f>IF(AND(Q110&lt;&gt;"",W110&gt;0),Q110&amp;"|월","")</f>
        <v/>
      </c>
      <c r="AA110" s="10">
        <f>IF(COUNTA(B110:N110)=0,"",IF(Q110="","등록번호 없음",IF(LEFT(R110,1)="⚠","모병원명 미등록",IF(S110="","파견병원 입력",IF(LEFT(S110,1)="⚠","파견병원명 미등록",IF(LEFT(U110,1)="⚠","파견과목 미등록",IF(OR(T110="",LEFT(T110,1)="⚠"),"파견근거 확인",IF(NOT(AND(ISNUMBER(H110),ISNUMBER(I110))),"날짜 형식/누락",IF(I110&lt;H110,"종료일&lt;시작일","")))))))))</f>
        <v/>
      </c>
      <c r="AB110" s="11">
        <f>IF(ISNUMBER(SEARCH("다기관",TRIM(N110&amp;" "&amp;O110))),IFERROR(DATE(VALUE(MID(TRIM(N110&amp;" "&amp;O110),1,4)),VALUE(MID(TRIM(N110&amp;" "&amp;O110),6,2)),VALUE(MID(TRIM(N110&amp;" "&amp;O110),9,2))),IF(ISNUMBER(H110),H110,"")),"")</f>
        <v/>
      </c>
      <c r="AC110" s="11">
        <f>IF(ISNUMBER(SEARCH("다기관",TRIM(N110&amp;" "&amp;O110))),IFERROR(DATE(VALUE(MID(TRIM(N110&amp;" "&amp;O110),12,4)),VALUE(MID(TRIM(N110&amp;" "&amp;O110),17,2)),VALUE(MID(TRIM(N110&amp;" "&amp;O110),20,2))),IF(ISNUMBER(I110),I110,"")),"")</f>
        <v/>
      </c>
      <c r="AD110" s="17">
        <f>IF(AND(ISNUMBER(AB110),ISNUMBER(AC110)),MAX(0,MIN(AC110,EOMONTH(요약!$B$3,0))-MAX(AB110,요약!$B$3)+1),0)</f>
        <v/>
      </c>
      <c r="AE110" s="10">
        <f>IF(AND(Q110&lt;&gt;"",ISNUMBER(AB110)),Q110&amp;"|다기관","")</f>
        <v/>
      </c>
    </row>
    <row r="111">
      <c r="A111" s="15">
        <f>IF(F111="","",ROW()-3)</f>
        <v/>
      </c>
      <c r="B111" s="5" t="n"/>
      <c r="C111" s="15" t="n"/>
      <c r="D111" s="5" t="n"/>
      <c r="E111" s="15" t="n"/>
      <c r="F111" s="5" t="n"/>
      <c r="G111" s="6" t="n"/>
      <c r="H111" s="16" t="n"/>
      <c r="I111" s="16" t="n"/>
      <c r="J111" s="15">
        <f>IF(AND(ISNUMBER(H111),ISNUMBER(I111)),I111-H111+1,"")</f>
        <v/>
      </c>
      <c r="K111" s="5" t="n"/>
      <c r="L111" s="5" t="n"/>
      <c r="M111" s="5" t="n"/>
      <c r="N111" s="5" t="n"/>
      <c r="O111" s="5" t="n"/>
      <c r="Q111" s="10">
        <f>IF(TRIM(G111&amp;"")="","",TRIM(G111&amp;""))</f>
        <v/>
      </c>
      <c r="R111" s="10">
        <f>IF(TRIM(B111&amp;"")="","",IFERROR(INDEX(코드표!$K$2:$K$101,MATCH(TRIM(B111&amp;""),코드표!$J$2:$J$101,0)),"⚠"&amp;TRIM(B111&amp;"")))</f>
        <v/>
      </c>
      <c r="S111" s="10">
        <f>IF(TRIM(K111&amp;"")="","",IFERROR(INDEX(코드표!$K$2:$K$101,MATCH(TRIM(K111&amp;""),코드표!$J$2:$J$101,0)),"⚠"&amp;TRIM(K111&amp;"")))</f>
        <v/>
      </c>
      <c r="T111" s="10">
        <f>IF(TRIM(M111&amp;"")="","",IF(ISNUMBER(MATCH(TRIM(M111&amp;""),코드표!$C$2:$C$11,0)),TRIM(M111&amp;""),"⚠"&amp;TRIM(M111&amp;"")))</f>
        <v/>
      </c>
      <c r="U111" s="10">
        <f>IF(TRIM(L111&amp;"")="","",IFERROR(INDEX(코드표!$G$2:$G$101,MATCH(TRIM(L111&amp;""),코드표!$F$2:$F$101,0)),"⚠"&amp;TRIM(L111&amp;"")))</f>
        <v/>
      </c>
      <c r="V111" s="10">
        <f>IF(AND(ISNUMBER(H111),ISNUMBER(I111)),I111-H111+1,"")</f>
        <v/>
      </c>
      <c r="W111" s="17">
        <f>IF(ISNUMBER(H111),MAX(0,MIN(IF(ISNUMBER(I111),I111,EOMONTH(요약!$B$3,0)),EOMONTH(요약!$B$3,0))-MAX(H111,요약!$B$3)+1),0)</f>
        <v/>
      </c>
      <c r="X111" s="10">
        <f>IF(OR(NOT(ISNUMBER(H111)),Q111=""),"",IF(TODAY()&lt;H111,"파견예정",IF(AND(ISNUMBER(I111),TODAY()&gt;I111),"파견종료","파견중")))</f>
        <v/>
      </c>
      <c r="Y111" s="10">
        <f>IF(OR(Q111="",X111=""),"",Q111&amp;"|"&amp;X111)</f>
        <v/>
      </c>
      <c r="Z111" s="10">
        <f>IF(AND(Q111&lt;&gt;"",W111&gt;0),Q111&amp;"|월","")</f>
        <v/>
      </c>
      <c r="AA111" s="10">
        <f>IF(COUNTA(B111:N111)=0,"",IF(Q111="","등록번호 없음",IF(LEFT(R111,1)="⚠","모병원명 미등록",IF(S111="","파견병원 입력",IF(LEFT(S111,1)="⚠","파견병원명 미등록",IF(LEFT(U111,1)="⚠","파견과목 미등록",IF(OR(T111="",LEFT(T111,1)="⚠"),"파견근거 확인",IF(NOT(AND(ISNUMBER(H111),ISNUMBER(I111))),"날짜 형식/누락",IF(I111&lt;H111,"종료일&lt;시작일","")))))))))</f>
        <v/>
      </c>
      <c r="AB111" s="11">
        <f>IF(ISNUMBER(SEARCH("다기관",TRIM(N111&amp;" "&amp;O111))),IFERROR(DATE(VALUE(MID(TRIM(N111&amp;" "&amp;O111),1,4)),VALUE(MID(TRIM(N111&amp;" "&amp;O111),6,2)),VALUE(MID(TRIM(N111&amp;" "&amp;O111),9,2))),IF(ISNUMBER(H111),H111,"")),"")</f>
        <v/>
      </c>
      <c r="AC111" s="11">
        <f>IF(ISNUMBER(SEARCH("다기관",TRIM(N111&amp;" "&amp;O111))),IFERROR(DATE(VALUE(MID(TRIM(N111&amp;" "&amp;O111),12,4)),VALUE(MID(TRIM(N111&amp;" "&amp;O111),17,2)),VALUE(MID(TRIM(N111&amp;" "&amp;O111),20,2))),IF(ISNUMBER(I111),I111,"")),"")</f>
        <v/>
      </c>
      <c r="AD111" s="17">
        <f>IF(AND(ISNUMBER(AB111),ISNUMBER(AC111)),MAX(0,MIN(AC111,EOMONTH(요약!$B$3,0))-MAX(AB111,요약!$B$3)+1),0)</f>
        <v/>
      </c>
      <c r="AE111" s="10">
        <f>IF(AND(Q111&lt;&gt;"",ISNUMBER(AB111)),Q111&amp;"|다기관","")</f>
        <v/>
      </c>
    </row>
    <row r="112">
      <c r="A112" s="15">
        <f>IF(F112="","",ROW()-3)</f>
        <v/>
      </c>
      <c r="B112" s="5" t="n"/>
      <c r="C112" s="15" t="n"/>
      <c r="D112" s="5" t="n"/>
      <c r="E112" s="15" t="n"/>
      <c r="F112" s="5" t="n"/>
      <c r="G112" s="6" t="n"/>
      <c r="H112" s="16" t="n"/>
      <c r="I112" s="16" t="n"/>
      <c r="J112" s="15">
        <f>IF(AND(ISNUMBER(H112),ISNUMBER(I112)),I112-H112+1,"")</f>
        <v/>
      </c>
      <c r="K112" s="5" t="n"/>
      <c r="L112" s="5" t="n"/>
      <c r="M112" s="5" t="n"/>
      <c r="N112" s="5" t="n"/>
      <c r="O112" s="5" t="n"/>
      <c r="Q112" s="10">
        <f>IF(TRIM(G112&amp;"")="","",TRIM(G112&amp;""))</f>
        <v/>
      </c>
      <c r="R112" s="10">
        <f>IF(TRIM(B112&amp;"")="","",IFERROR(INDEX(코드표!$K$2:$K$101,MATCH(TRIM(B112&amp;""),코드표!$J$2:$J$101,0)),"⚠"&amp;TRIM(B112&amp;"")))</f>
        <v/>
      </c>
      <c r="S112" s="10">
        <f>IF(TRIM(K112&amp;"")="","",IFERROR(INDEX(코드표!$K$2:$K$101,MATCH(TRIM(K112&amp;""),코드표!$J$2:$J$101,0)),"⚠"&amp;TRIM(K112&amp;"")))</f>
        <v/>
      </c>
      <c r="T112" s="10">
        <f>IF(TRIM(M112&amp;"")="","",IF(ISNUMBER(MATCH(TRIM(M112&amp;""),코드표!$C$2:$C$11,0)),TRIM(M112&amp;""),"⚠"&amp;TRIM(M112&amp;"")))</f>
        <v/>
      </c>
      <c r="U112" s="10">
        <f>IF(TRIM(L112&amp;"")="","",IFERROR(INDEX(코드표!$G$2:$G$101,MATCH(TRIM(L112&amp;""),코드표!$F$2:$F$101,0)),"⚠"&amp;TRIM(L112&amp;"")))</f>
        <v/>
      </c>
      <c r="V112" s="10">
        <f>IF(AND(ISNUMBER(H112),ISNUMBER(I112)),I112-H112+1,"")</f>
        <v/>
      </c>
      <c r="W112" s="17">
        <f>IF(ISNUMBER(H112),MAX(0,MIN(IF(ISNUMBER(I112),I112,EOMONTH(요약!$B$3,0)),EOMONTH(요약!$B$3,0))-MAX(H112,요약!$B$3)+1),0)</f>
        <v/>
      </c>
      <c r="X112" s="10">
        <f>IF(OR(NOT(ISNUMBER(H112)),Q112=""),"",IF(TODAY()&lt;H112,"파견예정",IF(AND(ISNUMBER(I112),TODAY()&gt;I112),"파견종료","파견중")))</f>
        <v/>
      </c>
      <c r="Y112" s="10">
        <f>IF(OR(Q112="",X112=""),"",Q112&amp;"|"&amp;X112)</f>
        <v/>
      </c>
      <c r="Z112" s="10">
        <f>IF(AND(Q112&lt;&gt;"",W112&gt;0),Q112&amp;"|월","")</f>
        <v/>
      </c>
      <c r="AA112" s="10">
        <f>IF(COUNTA(B112:N112)=0,"",IF(Q112="","등록번호 없음",IF(LEFT(R112,1)="⚠","모병원명 미등록",IF(S112="","파견병원 입력",IF(LEFT(S112,1)="⚠","파견병원명 미등록",IF(LEFT(U112,1)="⚠","파견과목 미등록",IF(OR(T112="",LEFT(T112,1)="⚠"),"파견근거 확인",IF(NOT(AND(ISNUMBER(H112),ISNUMBER(I112))),"날짜 형식/누락",IF(I112&lt;H112,"종료일&lt;시작일","")))))))))</f>
        <v/>
      </c>
      <c r="AB112" s="11">
        <f>IF(ISNUMBER(SEARCH("다기관",TRIM(N112&amp;" "&amp;O112))),IFERROR(DATE(VALUE(MID(TRIM(N112&amp;" "&amp;O112),1,4)),VALUE(MID(TRIM(N112&amp;" "&amp;O112),6,2)),VALUE(MID(TRIM(N112&amp;" "&amp;O112),9,2))),IF(ISNUMBER(H112),H112,"")),"")</f>
        <v/>
      </c>
      <c r="AC112" s="11">
        <f>IF(ISNUMBER(SEARCH("다기관",TRIM(N112&amp;" "&amp;O112))),IFERROR(DATE(VALUE(MID(TRIM(N112&amp;" "&amp;O112),12,4)),VALUE(MID(TRIM(N112&amp;" "&amp;O112),17,2)),VALUE(MID(TRIM(N112&amp;" "&amp;O112),20,2))),IF(ISNUMBER(I112),I112,"")),"")</f>
        <v/>
      </c>
      <c r="AD112" s="17">
        <f>IF(AND(ISNUMBER(AB112),ISNUMBER(AC112)),MAX(0,MIN(AC112,EOMONTH(요약!$B$3,0))-MAX(AB112,요약!$B$3)+1),0)</f>
        <v/>
      </c>
      <c r="AE112" s="10">
        <f>IF(AND(Q112&lt;&gt;"",ISNUMBER(AB112)),Q112&amp;"|다기관","")</f>
        <v/>
      </c>
    </row>
    <row r="113">
      <c r="A113" s="15">
        <f>IF(F113="","",ROW()-3)</f>
        <v/>
      </c>
      <c r="B113" s="5" t="n"/>
      <c r="C113" s="15" t="n"/>
      <c r="D113" s="5" t="n"/>
      <c r="E113" s="15" t="n"/>
      <c r="F113" s="5" t="n"/>
      <c r="G113" s="6" t="n"/>
      <c r="H113" s="16" t="n"/>
      <c r="I113" s="16" t="n"/>
      <c r="J113" s="15">
        <f>IF(AND(ISNUMBER(H113),ISNUMBER(I113)),I113-H113+1,"")</f>
        <v/>
      </c>
      <c r="K113" s="5" t="n"/>
      <c r="L113" s="5" t="n"/>
      <c r="M113" s="5" t="n"/>
      <c r="N113" s="5" t="n"/>
      <c r="O113" s="5" t="n"/>
      <c r="Q113" s="10">
        <f>IF(TRIM(G113&amp;"")="","",TRIM(G113&amp;""))</f>
        <v/>
      </c>
      <c r="R113" s="10">
        <f>IF(TRIM(B113&amp;"")="","",IFERROR(INDEX(코드표!$K$2:$K$101,MATCH(TRIM(B113&amp;""),코드표!$J$2:$J$101,0)),"⚠"&amp;TRIM(B113&amp;"")))</f>
        <v/>
      </c>
      <c r="S113" s="10">
        <f>IF(TRIM(K113&amp;"")="","",IFERROR(INDEX(코드표!$K$2:$K$101,MATCH(TRIM(K113&amp;""),코드표!$J$2:$J$101,0)),"⚠"&amp;TRIM(K113&amp;"")))</f>
        <v/>
      </c>
      <c r="T113" s="10">
        <f>IF(TRIM(M113&amp;"")="","",IF(ISNUMBER(MATCH(TRIM(M113&amp;""),코드표!$C$2:$C$11,0)),TRIM(M113&amp;""),"⚠"&amp;TRIM(M113&amp;"")))</f>
        <v/>
      </c>
      <c r="U113" s="10">
        <f>IF(TRIM(L113&amp;"")="","",IFERROR(INDEX(코드표!$G$2:$G$101,MATCH(TRIM(L113&amp;""),코드표!$F$2:$F$101,0)),"⚠"&amp;TRIM(L113&amp;"")))</f>
        <v/>
      </c>
      <c r="V113" s="10">
        <f>IF(AND(ISNUMBER(H113),ISNUMBER(I113)),I113-H113+1,"")</f>
        <v/>
      </c>
      <c r="W113" s="17">
        <f>IF(ISNUMBER(H113),MAX(0,MIN(IF(ISNUMBER(I113),I113,EOMONTH(요약!$B$3,0)),EOMONTH(요약!$B$3,0))-MAX(H113,요약!$B$3)+1),0)</f>
        <v/>
      </c>
      <c r="X113" s="10">
        <f>IF(OR(NOT(ISNUMBER(H113)),Q113=""),"",IF(TODAY()&lt;H113,"파견예정",IF(AND(ISNUMBER(I113),TODAY()&gt;I113),"파견종료","파견중")))</f>
        <v/>
      </c>
      <c r="Y113" s="10">
        <f>IF(OR(Q113="",X113=""),"",Q113&amp;"|"&amp;X113)</f>
        <v/>
      </c>
      <c r="Z113" s="10">
        <f>IF(AND(Q113&lt;&gt;"",W113&gt;0),Q113&amp;"|월","")</f>
        <v/>
      </c>
      <c r="AA113" s="10">
        <f>IF(COUNTA(B113:N113)=0,"",IF(Q113="","등록번호 없음",IF(LEFT(R113,1)="⚠","모병원명 미등록",IF(S113="","파견병원 입력",IF(LEFT(S113,1)="⚠","파견병원명 미등록",IF(LEFT(U113,1)="⚠","파견과목 미등록",IF(OR(T113="",LEFT(T113,1)="⚠"),"파견근거 확인",IF(NOT(AND(ISNUMBER(H113),ISNUMBER(I113))),"날짜 형식/누락",IF(I113&lt;H113,"종료일&lt;시작일","")))))))))</f>
        <v/>
      </c>
      <c r="AB113" s="11">
        <f>IF(ISNUMBER(SEARCH("다기관",TRIM(N113&amp;" "&amp;O113))),IFERROR(DATE(VALUE(MID(TRIM(N113&amp;" "&amp;O113),1,4)),VALUE(MID(TRIM(N113&amp;" "&amp;O113),6,2)),VALUE(MID(TRIM(N113&amp;" "&amp;O113),9,2))),IF(ISNUMBER(H113),H113,"")),"")</f>
        <v/>
      </c>
      <c r="AC113" s="11">
        <f>IF(ISNUMBER(SEARCH("다기관",TRIM(N113&amp;" "&amp;O113))),IFERROR(DATE(VALUE(MID(TRIM(N113&amp;" "&amp;O113),12,4)),VALUE(MID(TRIM(N113&amp;" "&amp;O113),17,2)),VALUE(MID(TRIM(N113&amp;" "&amp;O113),20,2))),IF(ISNUMBER(I113),I113,"")),"")</f>
        <v/>
      </c>
      <c r="AD113" s="17">
        <f>IF(AND(ISNUMBER(AB113),ISNUMBER(AC113)),MAX(0,MIN(AC113,EOMONTH(요약!$B$3,0))-MAX(AB113,요약!$B$3)+1),0)</f>
        <v/>
      </c>
      <c r="AE113" s="10">
        <f>IF(AND(Q113&lt;&gt;"",ISNUMBER(AB113)),Q113&amp;"|다기관","")</f>
        <v/>
      </c>
    </row>
    <row r="114">
      <c r="A114" s="15">
        <f>IF(F114="","",ROW()-3)</f>
        <v/>
      </c>
      <c r="B114" s="5" t="n"/>
      <c r="C114" s="15" t="n"/>
      <c r="D114" s="5" t="n"/>
      <c r="E114" s="15" t="n"/>
      <c r="F114" s="5" t="n"/>
      <c r="G114" s="6" t="n"/>
      <c r="H114" s="16" t="n"/>
      <c r="I114" s="16" t="n"/>
      <c r="J114" s="15">
        <f>IF(AND(ISNUMBER(H114),ISNUMBER(I114)),I114-H114+1,"")</f>
        <v/>
      </c>
      <c r="K114" s="5" t="n"/>
      <c r="L114" s="5" t="n"/>
      <c r="M114" s="5" t="n"/>
      <c r="N114" s="5" t="n"/>
      <c r="O114" s="5" t="n"/>
      <c r="Q114" s="10">
        <f>IF(TRIM(G114&amp;"")="","",TRIM(G114&amp;""))</f>
        <v/>
      </c>
      <c r="R114" s="10">
        <f>IF(TRIM(B114&amp;"")="","",IFERROR(INDEX(코드표!$K$2:$K$101,MATCH(TRIM(B114&amp;""),코드표!$J$2:$J$101,0)),"⚠"&amp;TRIM(B114&amp;"")))</f>
        <v/>
      </c>
      <c r="S114" s="10">
        <f>IF(TRIM(K114&amp;"")="","",IFERROR(INDEX(코드표!$K$2:$K$101,MATCH(TRIM(K114&amp;""),코드표!$J$2:$J$101,0)),"⚠"&amp;TRIM(K114&amp;"")))</f>
        <v/>
      </c>
      <c r="T114" s="10">
        <f>IF(TRIM(M114&amp;"")="","",IF(ISNUMBER(MATCH(TRIM(M114&amp;""),코드표!$C$2:$C$11,0)),TRIM(M114&amp;""),"⚠"&amp;TRIM(M114&amp;"")))</f>
        <v/>
      </c>
      <c r="U114" s="10">
        <f>IF(TRIM(L114&amp;"")="","",IFERROR(INDEX(코드표!$G$2:$G$101,MATCH(TRIM(L114&amp;""),코드표!$F$2:$F$101,0)),"⚠"&amp;TRIM(L114&amp;"")))</f>
        <v/>
      </c>
      <c r="V114" s="10">
        <f>IF(AND(ISNUMBER(H114),ISNUMBER(I114)),I114-H114+1,"")</f>
        <v/>
      </c>
      <c r="W114" s="17">
        <f>IF(ISNUMBER(H114),MAX(0,MIN(IF(ISNUMBER(I114),I114,EOMONTH(요약!$B$3,0)),EOMONTH(요약!$B$3,0))-MAX(H114,요약!$B$3)+1),0)</f>
        <v/>
      </c>
      <c r="X114" s="10">
        <f>IF(OR(NOT(ISNUMBER(H114)),Q114=""),"",IF(TODAY()&lt;H114,"파견예정",IF(AND(ISNUMBER(I114),TODAY()&gt;I114),"파견종료","파견중")))</f>
        <v/>
      </c>
      <c r="Y114" s="10">
        <f>IF(OR(Q114="",X114=""),"",Q114&amp;"|"&amp;X114)</f>
        <v/>
      </c>
      <c r="Z114" s="10">
        <f>IF(AND(Q114&lt;&gt;"",W114&gt;0),Q114&amp;"|월","")</f>
        <v/>
      </c>
      <c r="AA114" s="10">
        <f>IF(COUNTA(B114:N114)=0,"",IF(Q114="","등록번호 없음",IF(LEFT(R114,1)="⚠","모병원명 미등록",IF(S114="","파견병원 입력",IF(LEFT(S114,1)="⚠","파견병원명 미등록",IF(LEFT(U114,1)="⚠","파견과목 미등록",IF(OR(T114="",LEFT(T114,1)="⚠"),"파견근거 확인",IF(NOT(AND(ISNUMBER(H114),ISNUMBER(I114))),"날짜 형식/누락",IF(I114&lt;H114,"종료일&lt;시작일","")))))))))</f>
        <v/>
      </c>
      <c r="AB114" s="11">
        <f>IF(ISNUMBER(SEARCH("다기관",TRIM(N114&amp;" "&amp;O114))),IFERROR(DATE(VALUE(MID(TRIM(N114&amp;" "&amp;O114),1,4)),VALUE(MID(TRIM(N114&amp;" "&amp;O114),6,2)),VALUE(MID(TRIM(N114&amp;" "&amp;O114),9,2))),IF(ISNUMBER(H114),H114,"")),"")</f>
        <v/>
      </c>
      <c r="AC114" s="11">
        <f>IF(ISNUMBER(SEARCH("다기관",TRIM(N114&amp;" "&amp;O114))),IFERROR(DATE(VALUE(MID(TRIM(N114&amp;" "&amp;O114),12,4)),VALUE(MID(TRIM(N114&amp;" "&amp;O114),17,2)),VALUE(MID(TRIM(N114&amp;" "&amp;O114),20,2))),IF(ISNUMBER(I114),I114,"")),"")</f>
        <v/>
      </c>
      <c r="AD114" s="17">
        <f>IF(AND(ISNUMBER(AB114),ISNUMBER(AC114)),MAX(0,MIN(AC114,EOMONTH(요약!$B$3,0))-MAX(AB114,요약!$B$3)+1),0)</f>
        <v/>
      </c>
      <c r="AE114" s="10">
        <f>IF(AND(Q114&lt;&gt;"",ISNUMBER(AB114)),Q114&amp;"|다기관","")</f>
        <v/>
      </c>
    </row>
    <row r="115">
      <c r="A115" s="15">
        <f>IF(F115="","",ROW()-3)</f>
        <v/>
      </c>
      <c r="B115" s="5" t="n"/>
      <c r="C115" s="15" t="n"/>
      <c r="D115" s="5" t="n"/>
      <c r="E115" s="15" t="n"/>
      <c r="F115" s="5" t="n"/>
      <c r="G115" s="6" t="n"/>
      <c r="H115" s="16" t="n"/>
      <c r="I115" s="16" t="n"/>
      <c r="J115" s="15">
        <f>IF(AND(ISNUMBER(H115),ISNUMBER(I115)),I115-H115+1,"")</f>
        <v/>
      </c>
      <c r="K115" s="5" t="n"/>
      <c r="L115" s="5" t="n"/>
      <c r="M115" s="5" t="n"/>
      <c r="N115" s="5" t="n"/>
      <c r="O115" s="5" t="n"/>
      <c r="Q115" s="10">
        <f>IF(TRIM(G115&amp;"")="","",TRIM(G115&amp;""))</f>
        <v/>
      </c>
      <c r="R115" s="10">
        <f>IF(TRIM(B115&amp;"")="","",IFERROR(INDEX(코드표!$K$2:$K$101,MATCH(TRIM(B115&amp;""),코드표!$J$2:$J$101,0)),"⚠"&amp;TRIM(B115&amp;"")))</f>
        <v/>
      </c>
      <c r="S115" s="10">
        <f>IF(TRIM(K115&amp;"")="","",IFERROR(INDEX(코드표!$K$2:$K$101,MATCH(TRIM(K115&amp;""),코드표!$J$2:$J$101,0)),"⚠"&amp;TRIM(K115&amp;"")))</f>
        <v/>
      </c>
      <c r="T115" s="10">
        <f>IF(TRIM(M115&amp;"")="","",IF(ISNUMBER(MATCH(TRIM(M115&amp;""),코드표!$C$2:$C$11,0)),TRIM(M115&amp;""),"⚠"&amp;TRIM(M115&amp;"")))</f>
        <v/>
      </c>
      <c r="U115" s="10">
        <f>IF(TRIM(L115&amp;"")="","",IFERROR(INDEX(코드표!$G$2:$G$101,MATCH(TRIM(L115&amp;""),코드표!$F$2:$F$101,0)),"⚠"&amp;TRIM(L115&amp;"")))</f>
        <v/>
      </c>
      <c r="V115" s="10">
        <f>IF(AND(ISNUMBER(H115),ISNUMBER(I115)),I115-H115+1,"")</f>
        <v/>
      </c>
      <c r="W115" s="17">
        <f>IF(ISNUMBER(H115),MAX(0,MIN(IF(ISNUMBER(I115),I115,EOMONTH(요약!$B$3,0)),EOMONTH(요약!$B$3,0))-MAX(H115,요약!$B$3)+1),0)</f>
        <v/>
      </c>
      <c r="X115" s="10">
        <f>IF(OR(NOT(ISNUMBER(H115)),Q115=""),"",IF(TODAY()&lt;H115,"파견예정",IF(AND(ISNUMBER(I115),TODAY()&gt;I115),"파견종료","파견중")))</f>
        <v/>
      </c>
      <c r="Y115" s="10">
        <f>IF(OR(Q115="",X115=""),"",Q115&amp;"|"&amp;X115)</f>
        <v/>
      </c>
      <c r="Z115" s="10">
        <f>IF(AND(Q115&lt;&gt;"",W115&gt;0),Q115&amp;"|월","")</f>
        <v/>
      </c>
      <c r="AA115" s="10">
        <f>IF(COUNTA(B115:N115)=0,"",IF(Q115="","등록번호 없음",IF(LEFT(R115,1)="⚠","모병원명 미등록",IF(S115="","파견병원 입력",IF(LEFT(S115,1)="⚠","파견병원명 미등록",IF(LEFT(U115,1)="⚠","파견과목 미등록",IF(OR(T115="",LEFT(T115,1)="⚠"),"파견근거 확인",IF(NOT(AND(ISNUMBER(H115),ISNUMBER(I115))),"날짜 형식/누락",IF(I115&lt;H115,"종료일&lt;시작일","")))))))))</f>
        <v/>
      </c>
      <c r="AB115" s="11">
        <f>IF(ISNUMBER(SEARCH("다기관",TRIM(N115&amp;" "&amp;O115))),IFERROR(DATE(VALUE(MID(TRIM(N115&amp;" "&amp;O115),1,4)),VALUE(MID(TRIM(N115&amp;" "&amp;O115),6,2)),VALUE(MID(TRIM(N115&amp;" "&amp;O115),9,2))),IF(ISNUMBER(H115),H115,"")),"")</f>
        <v/>
      </c>
      <c r="AC115" s="11">
        <f>IF(ISNUMBER(SEARCH("다기관",TRIM(N115&amp;" "&amp;O115))),IFERROR(DATE(VALUE(MID(TRIM(N115&amp;" "&amp;O115),12,4)),VALUE(MID(TRIM(N115&amp;" "&amp;O115),17,2)),VALUE(MID(TRIM(N115&amp;" "&amp;O115),20,2))),IF(ISNUMBER(I115),I115,"")),"")</f>
        <v/>
      </c>
      <c r="AD115" s="17">
        <f>IF(AND(ISNUMBER(AB115),ISNUMBER(AC115)),MAX(0,MIN(AC115,EOMONTH(요약!$B$3,0))-MAX(AB115,요약!$B$3)+1),0)</f>
        <v/>
      </c>
      <c r="AE115" s="10">
        <f>IF(AND(Q115&lt;&gt;"",ISNUMBER(AB115)),Q115&amp;"|다기관","")</f>
        <v/>
      </c>
    </row>
    <row r="116">
      <c r="A116" s="15">
        <f>IF(F116="","",ROW()-3)</f>
        <v/>
      </c>
      <c r="B116" s="5" t="n"/>
      <c r="C116" s="15" t="n"/>
      <c r="D116" s="5" t="n"/>
      <c r="E116" s="15" t="n"/>
      <c r="F116" s="5" t="n"/>
      <c r="G116" s="6" t="n"/>
      <c r="H116" s="16" t="n"/>
      <c r="I116" s="16" t="n"/>
      <c r="J116" s="15">
        <f>IF(AND(ISNUMBER(H116),ISNUMBER(I116)),I116-H116+1,"")</f>
        <v/>
      </c>
      <c r="K116" s="5" t="n"/>
      <c r="L116" s="5" t="n"/>
      <c r="M116" s="5" t="n"/>
      <c r="N116" s="5" t="n"/>
      <c r="O116" s="5" t="n"/>
      <c r="Q116" s="10">
        <f>IF(TRIM(G116&amp;"")="","",TRIM(G116&amp;""))</f>
        <v/>
      </c>
      <c r="R116" s="10">
        <f>IF(TRIM(B116&amp;"")="","",IFERROR(INDEX(코드표!$K$2:$K$101,MATCH(TRIM(B116&amp;""),코드표!$J$2:$J$101,0)),"⚠"&amp;TRIM(B116&amp;"")))</f>
        <v/>
      </c>
      <c r="S116" s="10">
        <f>IF(TRIM(K116&amp;"")="","",IFERROR(INDEX(코드표!$K$2:$K$101,MATCH(TRIM(K116&amp;""),코드표!$J$2:$J$101,0)),"⚠"&amp;TRIM(K116&amp;"")))</f>
        <v/>
      </c>
      <c r="T116" s="10">
        <f>IF(TRIM(M116&amp;"")="","",IF(ISNUMBER(MATCH(TRIM(M116&amp;""),코드표!$C$2:$C$11,0)),TRIM(M116&amp;""),"⚠"&amp;TRIM(M116&amp;"")))</f>
        <v/>
      </c>
      <c r="U116" s="10">
        <f>IF(TRIM(L116&amp;"")="","",IFERROR(INDEX(코드표!$G$2:$G$101,MATCH(TRIM(L116&amp;""),코드표!$F$2:$F$101,0)),"⚠"&amp;TRIM(L116&amp;"")))</f>
        <v/>
      </c>
      <c r="V116" s="10">
        <f>IF(AND(ISNUMBER(H116),ISNUMBER(I116)),I116-H116+1,"")</f>
        <v/>
      </c>
      <c r="W116" s="17">
        <f>IF(ISNUMBER(H116),MAX(0,MIN(IF(ISNUMBER(I116),I116,EOMONTH(요약!$B$3,0)),EOMONTH(요약!$B$3,0))-MAX(H116,요약!$B$3)+1),0)</f>
        <v/>
      </c>
      <c r="X116" s="10">
        <f>IF(OR(NOT(ISNUMBER(H116)),Q116=""),"",IF(TODAY()&lt;H116,"파견예정",IF(AND(ISNUMBER(I116),TODAY()&gt;I116),"파견종료","파견중")))</f>
        <v/>
      </c>
      <c r="Y116" s="10">
        <f>IF(OR(Q116="",X116=""),"",Q116&amp;"|"&amp;X116)</f>
        <v/>
      </c>
      <c r="Z116" s="10">
        <f>IF(AND(Q116&lt;&gt;"",W116&gt;0),Q116&amp;"|월","")</f>
        <v/>
      </c>
      <c r="AA116" s="10">
        <f>IF(COUNTA(B116:N116)=0,"",IF(Q116="","등록번호 없음",IF(LEFT(R116,1)="⚠","모병원명 미등록",IF(S116="","파견병원 입력",IF(LEFT(S116,1)="⚠","파견병원명 미등록",IF(LEFT(U116,1)="⚠","파견과목 미등록",IF(OR(T116="",LEFT(T116,1)="⚠"),"파견근거 확인",IF(NOT(AND(ISNUMBER(H116),ISNUMBER(I116))),"날짜 형식/누락",IF(I116&lt;H116,"종료일&lt;시작일","")))))))))</f>
        <v/>
      </c>
      <c r="AB116" s="11">
        <f>IF(ISNUMBER(SEARCH("다기관",TRIM(N116&amp;" "&amp;O116))),IFERROR(DATE(VALUE(MID(TRIM(N116&amp;" "&amp;O116),1,4)),VALUE(MID(TRIM(N116&amp;" "&amp;O116),6,2)),VALUE(MID(TRIM(N116&amp;" "&amp;O116),9,2))),IF(ISNUMBER(H116),H116,"")),"")</f>
        <v/>
      </c>
      <c r="AC116" s="11">
        <f>IF(ISNUMBER(SEARCH("다기관",TRIM(N116&amp;" "&amp;O116))),IFERROR(DATE(VALUE(MID(TRIM(N116&amp;" "&amp;O116),12,4)),VALUE(MID(TRIM(N116&amp;" "&amp;O116),17,2)),VALUE(MID(TRIM(N116&amp;" "&amp;O116),20,2))),IF(ISNUMBER(I116),I116,"")),"")</f>
        <v/>
      </c>
      <c r="AD116" s="17">
        <f>IF(AND(ISNUMBER(AB116),ISNUMBER(AC116)),MAX(0,MIN(AC116,EOMONTH(요약!$B$3,0))-MAX(AB116,요약!$B$3)+1),0)</f>
        <v/>
      </c>
      <c r="AE116" s="10">
        <f>IF(AND(Q116&lt;&gt;"",ISNUMBER(AB116)),Q116&amp;"|다기관","")</f>
        <v/>
      </c>
    </row>
    <row r="117">
      <c r="A117" s="15">
        <f>IF(F117="","",ROW()-3)</f>
        <v/>
      </c>
      <c r="B117" s="5" t="n"/>
      <c r="C117" s="15" t="n"/>
      <c r="D117" s="5" t="n"/>
      <c r="E117" s="15" t="n"/>
      <c r="F117" s="5" t="n"/>
      <c r="G117" s="6" t="n"/>
      <c r="H117" s="16" t="n"/>
      <c r="I117" s="16" t="n"/>
      <c r="J117" s="15">
        <f>IF(AND(ISNUMBER(H117),ISNUMBER(I117)),I117-H117+1,"")</f>
        <v/>
      </c>
      <c r="K117" s="5" t="n"/>
      <c r="L117" s="5" t="n"/>
      <c r="M117" s="5" t="n"/>
      <c r="N117" s="5" t="n"/>
      <c r="O117" s="5" t="n"/>
      <c r="Q117" s="10">
        <f>IF(TRIM(G117&amp;"")="","",TRIM(G117&amp;""))</f>
        <v/>
      </c>
      <c r="R117" s="10">
        <f>IF(TRIM(B117&amp;"")="","",IFERROR(INDEX(코드표!$K$2:$K$101,MATCH(TRIM(B117&amp;""),코드표!$J$2:$J$101,0)),"⚠"&amp;TRIM(B117&amp;"")))</f>
        <v/>
      </c>
      <c r="S117" s="10">
        <f>IF(TRIM(K117&amp;"")="","",IFERROR(INDEX(코드표!$K$2:$K$101,MATCH(TRIM(K117&amp;""),코드표!$J$2:$J$101,0)),"⚠"&amp;TRIM(K117&amp;"")))</f>
        <v/>
      </c>
      <c r="T117" s="10">
        <f>IF(TRIM(M117&amp;"")="","",IF(ISNUMBER(MATCH(TRIM(M117&amp;""),코드표!$C$2:$C$11,0)),TRIM(M117&amp;""),"⚠"&amp;TRIM(M117&amp;"")))</f>
        <v/>
      </c>
      <c r="U117" s="10">
        <f>IF(TRIM(L117&amp;"")="","",IFERROR(INDEX(코드표!$G$2:$G$101,MATCH(TRIM(L117&amp;""),코드표!$F$2:$F$101,0)),"⚠"&amp;TRIM(L117&amp;"")))</f>
        <v/>
      </c>
      <c r="V117" s="10">
        <f>IF(AND(ISNUMBER(H117),ISNUMBER(I117)),I117-H117+1,"")</f>
        <v/>
      </c>
      <c r="W117" s="17">
        <f>IF(ISNUMBER(H117),MAX(0,MIN(IF(ISNUMBER(I117),I117,EOMONTH(요약!$B$3,0)),EOMONTH(요약!$B$3,0))-MAX(H117,요약!$B$3)+1),0)</f>
        <v/>
      </c>
      <c r="X117" s="10">
        <f>IF(OR(NOT(ISNUMBER(H117)),Q117=""),"",IF(TODAY()&lt;H117,"파견예정",IF(AND(ISNUMBER(I117),TODAY()&gt;I117),"파견종료","파견중")))</f>
        <v/>
      </c>
      <c r="Y117" s="10">
        <f>IF(OR(Q117="",X117=""),"",Q117&amp;"|"&amp;X117)</f>
        <v/>
      </c>
      <c r="Z117" s="10">
        <f>IF(AND(Q117&lt;&gt;"",W117&gt;0),Q117&amp;"|월","")</f>
        <v/>
      </c>
      <c r="AA117" s="10">
        <f>IF(COUNTA(B117:N117)=0,"",IF(Q117="","등록번호 없음",IF(LEFT(R117,1)="⚠","모병원명 미등록",IF(S117="","파견병원 입력",IF(LEFT(S117,1)="⚠","파견병원명 미등록",IF(LEFT(U117,1)="⚠","파견과목 미등록",IF(OR(T117="",LEFT(T117,1)="⚠"),"파견근거 확인",IF(NOT(AND(ISNUMBER(H117),ISNUMBER(I117))),"날짜 형식/누락",IF(I117&lt;H117,"종료일&lt;시작일","")))))))))</f>
        <v/>
      </c>
      <c r="AB117" s="11">
        <f>IF(ISNUMBER(SEARCH("다기관",TRIM(N117&amp;" "&amp;O117))),IFERROR(DATE(VALUE(MID(TRIM(N117&amp;" "&amp;O117),1,4)),VALUE(MID(TRIM(N117&amp;" "&amp;O117),6,2)),VALUE(MID(TRIM(N117&amp;" "&amp;O117),9,2))),IF(ISNUMBER(H117),H117,"")),"")</f>
        <v/>
      </c>
      <c r="AC117" s="11">
        <f>IF(ISNUMBER(SEARCH("다기관",TRIM(N117&amp;" "&amp;O117))),IFERROR(DATE(VALUE(MID(TRIM(N117&amp;" "&amp;O117),12,4)),VALUE(MID(TRIM(N117&amp;" "&amp;O117),17,2)),VALUE(MID(TRIM(N117&amp;" "&amp;O117),20,2))),IF(ISNUMBER(I117),I117,"")),"")</f>
        <v/>
      </c>
      <c r="AD117" s="17">
        <f>IF(AND(ISNUMBER(AB117),ISNUMBER(AC117)),MAX(0,MIN(AC117,EOMONTH(요약!$B$3,0))-MAX(AB117,요약!$B$3)+1),0)</f>
        <v/>
      </c>
      <c r="AE117" s="10">
        <f>IF(AND(Q117&lt;&gt;"",ISNUMBER(AB117)),Q117&amp;"|다기관","")</f>
        <v/>
      </c>
    </row>
    <row r="118">
      <c r="A118" s="15">
        <f>IF(F118="","",ROW()-3)</f>
        <v/>
      </c>
      <c r="B118" s="5" t="n"/>
      <c r="C118" s="15" t="n"/>
      <c r="D118" s="5" t="n"/>
      <c r="E118" s="15" t="n"/>
      <c r="F118" s="5" t="n"/>
      <c r="G118" s="6" t="n"/>
      <c r="H118" s="16" t="n"/>
      <c r="I118" s="16" t="n"/>
      <c r="J118" s="15">
        <f>IF(AND(ISNUMBER(H118),ISNUMBER(I118)),I118-H118+1,"")</f>
        <v/>
      </c>
      <c r="K118" s="5" t="n"/>
      <c r="L118" s="5" t="n"/>
      <c r="M118" s="5" t="n"/>
      <c r="N118" s="5" t="n"/>
      <c r="O118" s="5" t="n"/>
      <c r="Q118" s="10">
        <f>IF(TRIM(G118&amp;"")="","",TRIM(G118&amp;""))</f>
        <v/>
      </c>
      <c r="R118" s="10">
        <f>IF(TRIM(B118&amp;"")="","",IFERROR(INDEX(코드표!$K$2:$K$101,MATCH(TRIM(B118&amp;""),코드표!$J$2:$J$101,0)),"⚠"&amp;TRIM(B118&amp;"")))</f>
        <v/>
      </c>
      <c r="S118" s="10">
        <f>IF(TRIM(K118&amp;"")="","",IFERROR(INDEX(코드표!$K$2:$K$101,MATCH(TRIM(K118&amp;""),코드표!$J$2:$J$101,0)),"⚠"&amp;TRIM(K118&amp;"")))</f>
        <v/>
      </c>
      <c r="T118" s="10">
        <f>IF(TRIM(M118&amp;"")="","",IF(ISNUMBER(MATCH(TRIM(M118&amp;""),코드표!$C$2:$C$11,0)),TRIM(M118&amp;""),"⚠"&amp;TRIM(M118&amp;"")))</f>
        <v/>
      </c>
      <c r="U118" s="10">
        <f>IF(TRIM(L118&amp;"")="","",IFERROR(INDEX(코드표!$G$2:$G$101,MATCH(TRIM(L118&amp;""),코드표!$F$2:$F$101,0)),"⚠"&amp;TRIM(L118&amp;"")))</f>
        <v/>
      </c>
      <c r="V118" s="10">
        <f>IF(AND(ISNUMBER(H118),ISNUMBER(I118)),I118-H118+1,"")</f>
        <v/>
      </c>
      <c r="W118" s="17">
        <f>IF(ISNUMBER(H118),MAX(0,MIN(IF(ISNUMBER(I118),I118,EOMONTH(요약!$B$3,0)),EOMONTH(요약!$B$3,0))-MAX(H118,요약!$B$3)+1),0)</f>
        <v/>
      </c>
      <c r="X118" s="10">
        <f>IF(OR(NOT(ISNUMBER(H118)),Q118=""),"",IF(TODAY()&lt;H118,"파견예정",IF(AND(ISNUMBER(I118),TODAY()&gt;I118),"파견종료","파견중")))</f>
        <v/>
      </c>
      <c r="Y118" s="10">
        <f>IF(OR(Q118="",X118=""),"",Q118&amp;"|"&amp;X118)</f>
        <v/>
      </c>
      <c r="Z118" s="10">
        <f>IF(AND(Q118&lt;&gt;"",W118&gt;0),Q118&amp;"|월","")</f>
        <v/>
      </c>
      <c r="AA118" s="10">
        <f>IF(COUNTA(B118:N118)=0,"",IF(Q118="","등록번호 없음",IF(LEFT(R118,1)="⚠","모병원명 미등록",IF(S118="","파견병원 입력",IF(LEFT(S118,1)="⚠","파견병원명 미등록",IF(LEFT(U118,1)="⚠","파견과목 미등록",IF(OR(T118="",LEFT(T118,1)="⚠"),"파견근거 확인",IF(NOT(AND(ISNUMBER(H118),ISNUMBER(I118))),"날짜 형식/누락",IF(I118&lt;H118,"종료일&lt;시작일","")))))))))</f>
        <v/>
      </c>
      <c r="AB118" s="11">
        <f>IF(ISNUMBER(SEARCH("다기관",TRIM(N118&amp;" "&amp;O118))),IFERROR(DATE(VALUE(MID(TRIM(N118&amp;" "&amp;O118),1,4)),VALUE(MID(TRIM(N118&amp;" "&amp;O118),6,2)),VALUE(MID(TRIM(N118&amp;" "&amp;O118),9,2))),IF(ISNUMBER(H118),H118,"")),"")</f>
        <v/>
      </c>
      <c r="AC118" s="11">
        <f>IF(ISNUMBER(SEARCH("다기관",TRIM(N118&amp;" "&amp;O118))),IFERROR(DATE(VALUE(MID(TRIM(N118&amp;" "&amp;O118),12,4)),VALUE(MID(TRIM(N118&amp;" "&amp;O118),17,2)),VALUE(MID(TRIM(N118&amp;" "&amp;O118),20,2))),IF(ISNUMBER(I118),I118,"")),"")</f>
        <v/>
      </c>
      <c r="AD118" s="17">
        <f>IF(AND(ISNUMBER(AB118),ISNUMBER(AC118)),MAX(0,MIN(AC118,EOMONTH(요약!$B$3,0))-MAX(AB118,요약!$B$3)+1),0)</f>
        <v/>
      </c>
      <c r="AE118" s="10">
        <f>IF(AND(Q118&lt;&gt;"",ISNUMBER(AB118)),Q118&amp;"|다기관","")</f>
        <v/>
      </c>
    </row>
    <row r="119">
      <c r="A119" s="15">
        <f>IF(F119="","",ROW()-3)</f>
        <v/>
      </c>
      <c r="B119" s="5" t="n"/>
      <c r="C119" s="15" t="n"/>
      <c r="D119" s="5" t="n"/>
      <c r="E119" s="15" t="n"/>
      <c r="F119" s="5" t="n"/>
      <c r="G119" s="6" t="n"/>
      <c r="H119" s="16" t="n"/>
      <c r="I119" s="16" t="n"/>
      <c r="J119" s="15">
        <f>IF(AND(ISNUMBER(H119),ISNUMBER(I119)),I119-H119+1,"")</f>
        <v/>
      </c>
      <c r="K119" s="5" t="n"/>
      <c r="L119" s="5" t="n"/>
      <c r="M119" s="5" t="n"/>
      <c r="N119" s="5" t="n"/>
      <c r="O119" s="5" t="n"/>
      <c r="Q119" s="10">
        <f>IF(TRIM(G119&amp;"")="","",TRIM(G119&amp;""))</f>
        <v/>
      </c>
      <c r="R119" s="10">
        <f>IF(TRIM(B119&amp;"")="","",IFERROR(INDEX(코드표!$K$2:$K$101,MATCH(TRIM(B119&amp;""),코드표!$J$2:$J$101,0)),"⚠"&amp;TRIM(B119&amp;"")))</f>
        <v/>
      </c>
      <c r="S119" s="10">
        <f>IF(TRIM(K119&amp;"")="","",IFERROR(INDEX(코드표!$K$2:$K$101,MATCH(TRIM(K119&amp;""),코드표!$J$2:$J$101,0)),"⚠"&amp;TRIM(K119&amp;"")))</f>
        <v/>
      </c>
      <c r="T119" s="10">
        <f>IF(TRIM(M119&amp;"")="","",IF(ISNUMBER(MATCH(TRIM(M119&amp;""),코드표!$C$2:$C$11,0)),TRIM(M119&amp;""),"⚠"&amp;TRIM(M119&amp;"")))</f>
        <v/>
      </c>
      <c r="U119" s="10">
        <f>IF(TRIM(L119&amp;"")="","",IFERROR(INDEX(코드표!$G$2:$G$101,MATCH(TRIM(L119&amp;""),코드표!$F$2:$F$101,0)),"⚠"&amp;TRIM(L119&amp;"")))</f>
        <v/>
      </c>
      <c r="V119" s="10">
        <f>IF(AND(ISNUMBER(H119),ISNUMBER(I119)),I119-H119+1,"")</f>
        <v/>
      </c>
      <c r="W119" s="17">
        <f>IF(ISNUMBER(H119),MAX(0,MIN(IF(ISNUMBER(I119),I119,EOMONTH(요약!$B$3,0)),EOMONTH(요약!$B$3,0))-MAX(H119,요약!$B$3)+1),0)</f>
        <v/>
      </c>
      <c r="X119" s="10">
        <f>IF(OR(NOT(ISNUMBER(H119)),Q119=""),"",IF(TODAY()&lt;H119,"파견예정",IF(AND(ISNUMBER(I119),TODAY()&gt;I119),"파견종료","파견중")))</f>
        <v/>
      </c>
      <c r="Y119" s="10">
        <f>IF(OR(Q119="",X119=""),"",Q119&amp;"|"&amp;X119)</f>
        <v/>
      </c>
      <c r="Z119" s="10">
        <f>IF(AND(Q119&lt;&gt;"",W119&gt;0),Q119&amp;"|월","")</f>
        <v/>
      </c>
      <c r="AA119" s="10">
        <f>IF(COUNTA(B119:N119)=0,"",IF(Q119="","등록번호 없음",IF(LEFT(R119,1)="⚠","모병원명 미등록",IF(S119="","파견병원 입력",IF(LEFT(S119,1)="⚠","파견병원명 미등록",IF(LEFT(U119,1)="⚠","파견과목 미등록",IF(OR(T119="",LEFT(T119,1)="⚠"),"파견근거 확인",IF(NOT(AND(ISNUMBER(H119),ISNUMBER(I119))),"날짜 형식/누락",IF(I119&lt;H119,"종료일&lt;시작일","")))))))))</f>
        <v/>
      </c>
      <c r="AB119" s="11">
        <f>IF(ISNUMBER(SEARCH("다기관",TRIM(N119&amp;" "&amp;O119))),IFERROR(DATE(VALUE(MID(TRIM(N119&amp;" "&amp;O119),1,4)),VALUE(MID(TRIM(N119&amp;" "&amp;O119),6,2)),VALUE(MID(TRIM(N119&amp;" "&amp;O119),9,2))),IF(ISNUMBER(H119),H119,"")),"")</f>
        <v/>
      </c>
      <c r="AC119" s="11">
        <f>IF(ISNUMBER(SEARCH("다기관",TRIM(N119&amp;" "&amp;O119))),IFERROR(DATE(VALUE(MID(TRIM(N119&amp;" "&amp;O119),12,4)),VALUE(MID(TRIM(N119&amp;" "&amp;O119),17,2)),VALUE(MID(TRIM(N119&amp;" "&amp;O119),20,2))),IF(ISNUMBER(I119),I119,"")),"")</f>
        <v/>
      </c>
      <c r="AD119" s="17">
        <f>IF(AND(ISNUMBER(AB119),ISNUMBER(AC119)),MAX(0,MIN(AC119,EOMONTH(요약!$B$3,0))-MAX(AB119,요약!$B$3)+1),0)</f>
        <v/>
      </c>
      <c r="AE119" s="10">
        <f>IF(AND(Q119&lt;&gt;"",ISNUMBER(AB119)),Q119&amp;"|다기관","")</f>
        <v/>
      </c>
    </row>
    <row r="120">
      <c r="A120" s="15">
        <f>IF(F120="","",ROW()-3)</f>
        <v/>
      </c>
      <c r="B120" s="5" t="n"/>
      <c r="C120" s="15" t="n"/>
      <c r="D120" s="5" t="n"/>
      <c r="E120" s="15" t="n"/>
      <c r="F120" s="5" t="n"/>
      <c r="G120" s="6" t="n"/>
      <c r="H120" s="16" t="n"/>
      <c r="I120" s="16" t="n"/>
      <c r="J120" s="15">
        <f>IF(AND(ISNUMBER(H120),ISNUMBER(I120)),I120-H120+1,"")</f>
        <v/>
      </c>
      <c r="K120" s="5" t="n"/>
      <c r="L120" s="5" t="n"/>
      <c r="M120" s="5" t="n"/>
      <c r="N120" s="5" t="n"/>
      <c r="O120" s="5" t="n"/>
      <c r="Q120" s="10">
        <f>IF(TRIM(G120&amp;"")="","",TRIM(G120&amp;""))</f>
        <v/>
      </c>
      <c r="R120" s="10">
        <f>IF(TRIM(B120&amp;"")="","",IFERROR(INDEX(코드표!$K$2:$K$101,MATCH(TRIM(B120&amp;""),코드표!$J$2:$J$101,0)),"⚠"&amp;TRIM(B120&amp;"")))</f>
        <v/>
      </c>
      <c r="S120" s="10">
        <f>IF(TRIM(K120&amp;"")="","",IFERROR(INDEX(코드표!$K$2:$K$101,MATCH(TRIM(K120&amp;""),코드표!$J$2:$J$101,0)),"⚠"&amp;TRIM(K120&amp;"")))</f>
        <v/>
      </c>
      <c r="T120" s="10">
        <f>IF(TRIM(M120&amp;"")="","",IF(ISNUMBER(MATCH(TRIM(M120&amp;""),코드표!$C$2:$C$11,0)),TRIM(M120&amp;""),"⚠"&amp;TRIM(M120&amp;"")))</f>
        <v/>
      </c>
      <c r="U120" s="10">
        <f>IF(TRIM(L120&amp;"")="","",IFERROR(INDEX(코드표!$G$2:$G$101,MATCH(TRIM(L120&amp;""),코드표!$F$2:$F$101,0)),"⚠"&amp;TRIM(L120&amp;"")))</f>
        <v/>
      </c>
      <c r="V120" s="10">
        <f>IF(AND(ISNUMBER(H120),ISNUMBER(I120)),I120-H120+1,"")</f>
        <v/>
      </c>
      <c r="W120" s="17">
        <f>IF(ISNUMBER(H120),MAX(0,MIN(IF(ISNUMBER(I120),I120,EOMONTH(요약!$B$3,0)),EOMONTH(요약!$B$3,0))-MAX(H120,요약!$B$3)+1),0)</f>
        <v/>
      </c>
      <c r="X120" s="10">
        <f>IF(OR(NOT(ISNUMBER(H120)),Q120=""),"",IF(TODAY()&lt;H120,"파견예정",IF(AND(ISNUMBER(I120),TODAY()&gt;I120),"파견종료","파견중")))</f>
        <v/>
      </c>
      <c r="Y120" s="10">
        <f>IF(OR(Q120="",X120=""),"",Q120&amp;"|"&amp;X120)</f>
        <v/>
      </c>
      <c r="Z120" s="10">
        <f>IF(AND(Q120&lt;&gt;"",W120&gt;0),Q120&amp;"|월","")</f>
        <v/>
      </c>
      <c r="AA120" s="10">
        <f>IF(COUNTA(B120:N120)=0,"",IF(Q120="","등록번호 없음",IF(LEFT(R120,1)="⚠","모병원명 미등록",IF(S120="","파견병원 입력",IF(LEFT(S120,1)="⚠","파견병원명 미등록",IF(LEFT(U120,1)="⚠","파견과목 미등록",IF(OR(T120="",LEFT(T120,1)="⚠"),"파견근거 확인",IF(NOT(AND(ISNUMBER(H120),ISNUMBER(I120))),"날짜 형식/누락",IF(I120&lt;H120,"종료일&lt;시작일","")))))))))</f>
        <v/>
      </c>
      <c r="AB120" s="11">
        <f>IF(ISNUMBER(SEARCH("다기관",TRIM(N120&amp;" "&amp;O120))),IFERROR(DATE(VALUE(MID(TRIM(N120&amp;" "&amp;O120),1,4)),VALUE(MID(TRIM(N120&amp;" "&amp;O120),6,2)),VALUE(MID(TRIM(N120&amp;" "&amp;O120),9,2))),IF(ISNUMBER(H120),H120,"")),"")</f>
        <v/>
      </c>
      <c r="AC120" s="11">
        <f>IF(ISNUMBER(SEARCH("다기관",TRIM(N120&amp;" "&amp;O120))),IFERROR(DATE(VALUE(MID(TRIM(N120&amp;" "&amp;O120),12,4)),VALUE(MID(TRIM(N120&amp;" "&amp;O120),17,2)),VALUE(MID(TRIM(N120&amp;" "&amp;O120),20,2))),IF(ISNUMBER(I120),I120,"")),"")</f>
        <v/>
      </c>
      <c r="AD120" s="17">
        <f>IF(AND(ISNUMBER(AB120),ISNUMBER(AC120)),MAX(0,MIN(AC120,EOMONTH(요약!$B$3,0))-MAX(AB120,요약!$B$3)+1),0)</f>
        <v/>
      </c>
      <c r="AE120" s="10">
        <f>IF(AND(Q120&lt;&gt;"",ISNUMBER(AB120)),Q120&amp;"|다기관","")</f>
        <v/>
      </c>
    </row>
    <row r="121">
      <c r="A121" s="15">
        <f>IF(F121="","",ROW()-3)</f>
        <v/>
      </c>
      <c r="B121" s="5" t="n"/>
      <c r="C121" s="15" t="n"/>
      <c r="D121" s="5" t="n"/>
      <c r="E121" s="15" t="n"/>
      <c r="F121" s="5" t="n"/>
      <c r="G121" s="6" t="n"/>
      <c r="H121" s="16" t="n"/>
      <c r="I121" s="16" t="n"/>
      <c r="J121" s="15">
        <f>IF(AND(ISNUMBER(H121),ISNUMBER(I121)),I121-H121+1,"")</f>
        <v/>
      </c>
      <c r="K121" s="5" t="n"/>
      <c r="L121" s="5" t="n"/>
      <c r="M121" s="5" t="n"/>
      <c r="N121" s="5" t="n"/>
      <c r="O121" s="5" t="n"/>
      <c r="Q121" s="10">
        <f>IF(TRIM(G121&amp;"")="","",TRIM(G121&amp;""))</f>
        <v/>
      </c>
      <c r="R121" s="10">
        <f>IF(TRIM(B121&amp;"")="","",IFERROR(INDEX(코드표!$K$2:$K$101,MATCH(TRIM(B121&amp;""),코드표!$J$2:$J$101,0)),"⚠"&amp;TRIM(B121&amp;"")))</f>
        <v/>
      </c>
      <c r="S121" s="10">
        <f>IF(TRIM(K121&amp;"")="","",IFERROR(INDEX(코드표!$K$2:$K$101,MATCH(TRIM(K121&amp;""),코드표!$J$2:$J$101,0)),"⚠"&amp;TRIM(K121&amp;"")))</f>
        <v/>
      </c>
      <c r="T121" s="10">
        <f>IF(TRIM(M121&amp;"")="","",IF(ISNUMBER(MATCH(TRIM(M121&amp;""),코드표!$C$2:$C$11,0)),TRIM(M121&amp;""),"⚠"&amp;TRIM(M121&amp;"")))</f>
        <v/>
      </c>
      <c r="U121" s="10">
        <f>IF(TRIM(L121&amp;"")="","",IFERROR(INDEX(코드표!$G$2:$G$101,MATCH(TRIM(L121&amp;""),코드표!$F$2:$F$101,0)),"⚠"&amp;TRIM(L121&amp;"")))</f>
        <v/>
      </c>
      <c r="V121" s="10">
        <f>IF(AND(ISNUMBER(H121),ISNUMBER(I121)),I121-H121+1,"")</f>
        <v/>
      </c>
      <c r="W121" s="17">
        <f>IF(ISNUMBER(H121),MAX(0,MIN(IF(ISNUMBER(I121),I121,EOMONTH(요약!$B$3,0)),EOMONTH(요약!$B$3,0))-MAX(H121,요약!$B$3)+1),0)</f>
        <v/>
      </c>
      <c r="X121" s="10">
        <f>IF(OR(NOT(ISNUMBER(H121)),Q121=""),"",IF(TODAY()&lt;H121,"파견예정",IF(AND(ISNUMBER(I121),TODAY()&gt;I121),"파견종료","파견중")))</f>
        <v/>
      </c>
      <c r="Y121" s="10">
        <f>IF(OR(Q121="",X121=""),"",Q121&amp;"|"&amp;X121)</f>
        <v/>
      </c>
      <c r="Z121" s="10">
        <f>IF(AND(Q121&lt;&gt;"",W121&gt;0),Q121&amp;"|월","")</f>
        <v/>
      </c>
      <c r="AA121" s="10">
        <f>IF(COUNTA(B121:N121)=0,"",IF(Q121="","등록번호 없음",IF(LEFT(R121,1)="⚠","모병원명 미등록",IF(S121="","파견병원 입력",IF(LEFT(S121,1)="⚠","파견병원명 미등록",IF(LEFT(U121,1)="⚠","파견과목 미등록",IF(OR(T121="",LEFT(T121,1)="⚠"),"파견근거 확인",IF(NOT(AND(ISNUMBER(H121),ISNUMBER(I121))),"날짜 형식/누락",IF(I121&lt;H121,"종료일&lt;시작일","")))))))))</f>
        <v/>
      </c>
      <c r="AB121" s="11">
        <f>IF(ISNUMBER(SEARCH("다기관",TRIM(N121&amp;" "&amp;O121))),IFERROR(DATE(VALUE(MID(TRIM(N121&amp;" "&amp;O121),1,4)),VALUE(MID(TRIM(N121&amp;" "&amp;O121),6,2)),VALUE(MID(TRIM(N121&amp;" "&amp;O121),9,2))),IF(ISNUMBER(H121),H121,"")),"")</f>
        <v/>
      </c>
      <c r="AC121" s="11">
        <f>IF(ISNUMBER(SEARCH("다기관",TRIM(N121&amp;" "&amp;O121))),IFERROR(DATE(VALUE(MID(TRIM(N121&amp;" "&amp;O121),12,4)),VALUE(MID(TRIM(N121&amp;" "&amp;O121),17,2)),VALUE(MID(TRIM(N121&amp;" "&amp;O121),20,2))),IF(ISNUMBER(I121),I121,"")),"")</f>
        <v/>
      </c>
      <c r="AD121" s="17">
        <f>IF(AND(ISNUMBER(AB121),ISNUMBER(AC121)),MAX(0,MIN(AC121,EOMONTH(요약!$B$3,0))-MAX(AB121,요약!$B$3)+1),0)</f>
        <v/>
      </c>
      <c r="AE121" s="10">
        <f>IF(AND(Q121&lt;&gt;"",ISNUMBER(AB121)),Q121&amp;"|다기관","")</f>
        <v/>
      </c>
    </row>
    <row r="122">
      <c r="A122" s="15">
        <f>IF(F122="","",ROW()-3)</f>
        <v/>
      </c>
      <c r="B122" s="5" t="n"/>
      <c r="C122" s="15" t="n"/>
      <c r="D122" s="5" t="n"/>
      <c r="E122" s="15" t="n"/>
      <c r="F122" s="5" t="n"/>
      <c r="G122" s="6" t="n"/>
      <c r="H122" s="16" t="n"/>
      <c r="I122" s="16" t="n"/>
      <c r="J122" s="15">
        <f>IF(AND(ISNUMBER(H122),ISNUMBER(I122)),I122-H122+1,"")</f>
        <v/>
      </c>
      <c r="K122" s="5" t="n"/>
      <c r="L122" s="5" t="n"/>
      <c r="M122" s="5" t="n"/>
      <c r="N122" s="5" t="n"/>
      <c r="O122" s="5" t="n"/>
      <c r="Q122" s="10">
        <f>IF(TRIM(G122&amp;"")="","",TRIM(G122&amp;""))</f>
        <v/>
      </c>
      <c r="R122" s="10">
        <f>IF(TRIM(B122&amp;"")="","",IFERROR(INDEX(코드표!$K$2:$K$101,MATCH(TRIM(B122&amp;""),코드표!$J$2:$J$101,0)),"⚠"&amp;TRIM(B122&amp;"")))</f>
        <v/>
      </c>
      <c r="S122" s="10">
        <f>IF(TRIM(K122&amp;"")="","",IFERROR(INDEX(코드표!$K$2:$K$101,MATCH(TRIM(K122&amp;""),코드표!$J$2:$J$101,0)),"⚠"&amp;TRIM(K122&amp;"")))</f>
        <v/>
      </c>
      <c r="T122" s="10">
        <f>IF(TRIM(M122&amp;"")="","",IF(ISNUMBER(MATCH(TRIM(M122&amp;""),코드표!$C$2:$C$11,0)),TRIM(M122&amp;""),"⚠"&amp;TRIM(M122&amp;"")))</f>
        <v/>
      </c>
      <c r="U122" s="10">
        <f>IF(TRIM(L122&amp;"")="","",IFERROR(INDEX(코드표!$G$2:$G$101,MATCH(TRIM(L122&amp;""),코드표!$F$2:$F$101,0)),"⚠"&amp;TRIM(L122&amp;"")))</f>
        <v/>
      </c>
      <c r="V122" s="10">
        <f>IF(AND(ISNUMBER(H122),ISNUMBER(I122)),I122-H122+1,"")</f>
        <v/>
      </c>
      <c r="W122" s="17">
        <f>IF(ISNUMBER(H122),MAX(0,MIN(IF(ISNUMBER(I122),I122,EOMONTH(요약!$B$3,0)),EOMONTH(요약!$B$3,0))-MAX(H122,요약!$B$3)+1),0)</f>
        <v/>
      </c>
      <c r="X122" s="10">
        <f>IF(OR(NOT(ISNUMBER(H122)),Q122=""),"",IF(TODAY()&lt;H122,"파견예정",IF(AND(ISNUMBER(I122),TODAY()&gt;I122),"파견종료","파견중")))</f>
        <v/>
      </c>
      <c r="Y122" s="10">
        <f>IF(OR(Q122="",X122=""),"",Q122&amp;"|"&amp;X122)</f>
        <v/>
      </c>
      <c r="Z122" s="10">
        <f>IF(AND(Q122&lt;&gt;"",W122&gt;0),Q122&amp;"|월","")</f>
        <v/>
      </c>
      <c r="AA122" s="10">
        <f>IF(COUNTA(B122:N122)=0,"",IF(Q122="","등록번호 없음",IF(LEFT(R122,1)="⚠","모병원명 미등록",IF(S122="","파견병원 입력",IF(LEFT(S122,1)="⚠","파견병원명 미등록",IF(LEFT(U122,1)="⚠","파견과목 미등록",IF(OR(T122="",LEFT(T122,1)="⚠"),"파견근거 확인",IF(NOT(AND(ISNUMBER(H122),ISNUMBER(I122))),"날짜 형식/누락",IF(I122&lt;H122,"종료일&lt;시작일","")))))))))</f>
        <v/>
      </c>
      <c r="AB122" s="11">
        <f>IF(ISNUMBER(SEARCH("다기관",TRIM(N122&amp;" "&amp;O122))),IFERROR(DATE(VALUE(MID(TRIM(N122&amp;" "&amp;O122),1,4)),VALUE(MID(TRIM(N122&amp;" "&amp;O122),6,2)),VALUE(MID(TRIM(N122&amp;" "&amp;O122),9,2))),IF(ISNUMBER(H122),H122,"")),"")</f>
        <v/>
      </c>
      <c r="AC122" s="11">
        <f>IF(ISNUMBER(SEARCH("다기관",TRIM(N122&amp;" "&amp;O122))),IFERROR(DATE(VALUE(MID(TRIM(N122&amp;" "&amp;O122),12,4)),VALUE(MID(TRIM(N122&amp;" "&amp;O122),17,2)),VALUE(MID(TRIM(N122&amp;" "&amp;O122),20,2))),IF(ISNUMBER(I122),I122,"")),"")</f>
        <v/>
      </c>
      <c r="AD122" s="17">
        <f>IF(AND(ISNUMBER(AB122),ISNUMBER(AC122)),MAX(0,MIN(AC122,EOMONTH(요약!$B$3,0))-MAX(AB122,요약!$B$3)+1),0)</f>
        <v/>
      </c>
      <c r="AE122" s="10">
        <f>IF(AND(Q122&lt;&gt;"",ISNUMBER(AB122)),Q122&amp;"|다기관","")</f>
        <v/>
      </c>
    </row>
    <row r="123">
      <c r="A123" s="15">
        <f>IF(F123="","",ROW()-3)</f>
        <v/>
      </c>
      <c r="B123" s="5" t="n"/>
      <c r="C123" s="15" t="n"/>
      <c r="D123" s="5" t="n"/>
      <c r="E123" s="15" t="n"/>
      <c r="F123" s="5" t="n"/>
      <c r="G123" s="6" t="n"/>
      <c r="H123" s="16" t="n"/>
      <c r="I123" s="16" t="n"/>
      <c r="J123" s="15">
        <f>IF(AND(ISNUMBER(H123),ISNUMBER(I123)),I123-H123+1,"")</f>
        <v/>
      </c>
      <c r="K123" s="5" t="n"/>
      <c r="L123" s="5" t="n"/>
      <c r="M123" s="5" t="n"/>
      <c r="N123" s="5" t="n"/>
      <c r="O123" s="5" t="n"/>
      <c r="Q123" s="10">
        <f>IF(TRIM(G123&amp;"")="","",TRIM(G123&amp;""))</f>
        <v/>
      </c>
      <c r="R123" s="10">
        <f>IF(TRIM(B123&amp;"")="","",IFERROR(INDEX(코드표!$K$2:$K$101,MATCH(TRIM(B123&amp;""),코드표!$J$2:$J$101,0)),"⚠"&amp;TRIM(B123&amp;"")))</f>
        <v/>
      </c>
      <c r="S123" s="10">
        <f>IF(TRIM(K123&amp;"")="","",IFERROR(INDEX(코드표!$K$2:$K$101,MATCH(TRIM(K123&amp;""),코드표!$J$2:$J$101,0)),"⚠"&amp;TRIM(K123&amp;"")))</f>
        <v/>
      </c>
      <c r="T123" s="10">
        <f>IF(TRIM(M123&amp;"")="","",IF(ISNUMBER(MATCH(TRIM(M123&amp;""),코드표!$C$2:$C$11,0)),TRIM(M123&amp;""),"⚠"&amp;TRIM(M123&amp;"")))</f>
        <v/>
      </c>
      <c r="U123" s="10">
        <f>IF(TRIM(L123&amp;"")="","",IFERROR(INDEX(코드표!$G$2:$G$101,MATCH(TRIM(L123&amp;""),코드표!$F$2:$F$101,0)),"⚠"&amp;TRIM(L123&amp;"")))</f>
        <v/>
      </c>
      <c r="V123" s="10">
        <f>IF(AND(ISNUMBER(H123),ISNUMBER(I123)),I123-H123+1,"")</f>
        <v/>
      </c>
      <c r="W123" s="17">
        <f>IF(ISNUMBER(H123),MAX(0,MIN(IF(ISNUMBER(I123),I123,EOMONTH(요약!$B$3,0)),EOMONTH(요약!$B$3,0))-MAX(H123,요약!$B$3)+1),0)</f>
        <v/>
      </c>
      <c r="X123" s="10">
        <f>IF(OR(NOT(ISNUMBER(H123)),Q123=""),"",IF(TODAY()&lt;H123,"파견예정",IF(AND(ISNUMBER(I123),TODAY()&gt;I123),"파견종료","파견중")))</f>
        <v/>
      </c>
      <c r="Y123" s="10">
        <f>IF(OR(Q123="",X123=""),"",Q123&amp;"|"&amp;X123)</f>
        <v/>
      </c>
      <c r="Z123" s="10">
        <f>IF(AND(Q123&lt;&gt;"",W123&gt;0),Q123&amp;"|월","")</f>
        <v/>
      </c>
      <c r="AA123" s="10">
        <f>IF(COUNTA(B123:N123)=0,"",IF(Q123="","등록번호 없음",IF(LEFT(R123,1)="⚠","모병원명 미등록",IF(S123="","파견병원 입력",IF(LEFT(S123,1)="⚠","파견병원명 미등록",IF(LEFT(U123,1)="⚠","파견과목 미등록",IF(OR(T123="",LEFT(T123,1)="⚠"),"파견근거 확인",IF(NOT(AND(ISNUMBER(H123),ISNUMBER(I123))),"날짜 형식/누락",IF(I123&lt;H123,"종료일&lt;시작일","")))))))))</f>
        <v/>
      </c>
      <c r="AB123" s="11">
        <f>IF(ISNUMBER(SEARCH("다기관",TRIM(N123&amp;" "&amp;O123))),IFERROR(DATE(VALUE(MID(TRIM(N123&amp;" "&amp;O123),1,4)),VALUE(MID(TRIM(N123&amp;" "&amp;O123),6,2)),VALUE(MID(TRIM(N123&amp;" "&amp;O123),9,2))),IF(ISNUMBER(H123),H123,"")),"")</f>
        <v/>
      </c>
      <c r="AC123" s="11">
        <f>IF(ISNUMBER(SEARCH("다기관",TRIM(N123&amp;" "&amp;O123))),IFERROR(DATE(VALUE(MID(TRIM(N123&amp;" "&amp;O123),12,4)),VALUE(MID(TRIM(N123&amp;" "&amp;O123),17,2)),VALUE(MID(TRIM(N123&amp;" "&amp;O123),20,2))),IF(ISNUMBER(I123),I123,"")),"")</f>
        <v/>
      </c>
      <c r="AD123" s="17">
        <f>IF(AND(ISNUMBER(AB123),ISNUMBER(AC123)),MAX(0,MIN(AC123,EOMONTH(요약!$B$3,0))-MAX(AB123,요약!$B$3)+1),0)</f>
        <v/>
      </c>
      <c r="AE123" s="10">
        <f>IF(AND(Q123&lt;&gt;"",ISNUMBER(AB123)),Q123&amp;"|다기관","")</f>
        <v/>
      </c>
    </row>
    <row r="124">
      <c r="A124" s="15">
        <f>IF(F124="","",ROW()-3)</f>
        <v/>
      </c>
      <c r="B124" s="5" t="n"/>
      <c r="C124" s="15" t="n"/>
      <c r="D124" s="5" t="n"/>
      <c r="E124" s="15" t="n"/>
      <c r="F124" s="5" t="n"/>
      <c r="G124" s="6" t="n"/>
      <c r="H124" s="16" t="n"/>
      <c r="I124" s="16" t="n"/>
      <c r="J124" s="15">
        <f>IF(AND(ISNUMBER(H124),ISNUMBER(I124)),I124-H124+1,"")</f>
        <v/>
      </c>
      <c r="K124" s="5" t="n"/>
      <c r="L124" s="5" t="n"/>
      <c r="M124" s="5" t="n"/>
      <c r="N124" s="5" t="n"/>
      <c r="O124" s="5" t="n"/>
      <c r="Q124" s="10">
        <f>IF(TRIM(G124&amp;"")="","",TRIM(G124&amp;""))</f>
        <v/>
      </c>
      <c r="R124" s="10">
        <f>IF(TRIM(B124&amp;"")="","",IFERROR(INDEX(코드표!$K$2:$K$101,MATCH(TRIM(B124&amp;""),코드표!$J$2:$J$101,0)),"⚠"&amp;TRIM(B124&amp;"")))</f>
        <v/>
      </c>
      <c r="S124" s="10">
        <f>IF(TRIM(K124&amp;"")="","",IFERROR(INDEX(코드표!$K$2:$K$101,MATCH(TRIM(K124&amp;""),코드표!$J$2:$J$101,0)),"⚠"&amp;TRIM(K124&amp;"")))</f>
        <v/>
      </c>
      <c r="T124" s="10">
        <f>IF(TRIM(M124&amp;"")="","",IF(ISNUMBER(MATCH(TRIM(M124&amp;""),코드표!$C$2:$C$11,0)),TRIM(M124&amp;""),"⚠"&amp;TRIM(M124&amp;"")))</f>
        <v/>
      </c>
      <c r="U124" s="10">
        <f>IF(TRIM(L124&amp;"")="","",IFERROR(INDEX(코드표!$G$2:$G$101,MATCH(TRIM(L124&amp;""),코드표!$F$2:$F$101,0)),"⚠"&amp;TRIM(L124&amp;"")))</f>
        <v/>
      </c>
      <c r="V124" s="10">
        <f>IF(AND(ISNUMBER(H124),ISNUMBER(I124)),I124-H124+1,"")</f>
        <v/>
      </c>
      <c r="W124" s="17">
        <f>IF(ISNUMBER(H124),MAX(0,MIN(IF(ISNUMBER(I124),I124,EOMONTH(요약!$B$3,0)),EOMONTH(요약!$B$3,0))-MAX(H124,요약!$B$3)+1),0)</f>
        <v/>
      </c>
      <c r="X124" s="10">
        <f>IF(OR(NOT(ISNUMBER(H124)),Q124=""),"",IF(TODAY()&lt;H124,"파견예정",IF(AND(ISNUMBER(I124),TODAY()&gt;I124),"파견종료","파견중")))</f>
        <v/>
      </c>
      <c r="Y124" s="10">
        <f>IF(OR(Q124="",X124=""),"",Q124&amp;"|"&amp;X124)</f>
        <v/>
      </c>
      <c r="Z124" s="10">
        <f>IF(AND(Q124&lt;&gt;"",W124&gt;0),Q124&amp;"|월","")</f>
        <v/>
      </c>
      <c r="AA124" s="10">
        <f>IF(COUNTA(B124:N124)=0,"",IF(Q124="","등록번호 없음",IF(LEFT(R124,1)="⚠","모병원명 미등록",IF(S124="","파견병원 입력",IF(LEFT(S124,1)="⚠","파견병원명 미등록",IF(LEFT(U124,1)="⚠","파견과목 미등록",IF(OR(T124="",LEFT(T124,1)="⚠"),"파견근거 확인",IF(NOT(AND(ISNUMBER(H124),ISNUMBER(I124))),"날짜 형식/누락",IF(I124&lt;H124,"종료일&lt;시작일","")))))))))</f>
        <v/>
      </c>
      <c r="AB124" s="11">
        <f>IF(ISNUMBER(SEARCH("다기관",TRIM(N124&amp;" "&amp;O124))),IFERROR(DATE(VALUE(MID(TRIM(N124&amp;" "&amp;O124),1,4)),VALUE(MID(TRIM(N124&amp;" "&amp;O124),6,2)),VALUE(MID(TRIM(N124&amp;" "&amp;O124),9,2))),IF(ISNUMBER(H124),H124,"")),"")</f>
        <v/>
      </c>
      <c r="AC124" s="11">
        <f>IF(ISNUMBER(SEARCH("다기관",TRIM(N124&amp;" "&amp;O124))),IFERROR(DATE(VALUE(MID(TRIM(N124&amp;" "&amp;O124),12,4)),VALUE(MID(TRIM(N124&amp;" "&amp;O124),17,2)),VALUE(MID(TRIM(N124&amp;" "&amp;O124),20,2))),IF(ISNUMBER(I124),I124,"")),"")</f>
        <v/>
      </c>
      <c r="AD124" s="17">
        <f>IF(AND(ISNUMBER(AB124),ISNUMBER(AC124)),MAX(0,MIN(AC124,EOMONTH(요약!$B$3,0))-MAX(AB124,요약!$B$3)+1),0)</f>
        <v/>
      </c>
      <c r="AE124" s="10">
        <f>IF(AND(Q124&lt;&gt;"",ISNUMBER(AB124)),Q124&amp;"|다기관","")</f>
        <v/>
      </c>
    </row>
    <row r="125">
      <c r="A125" s="15">
        <f>IF(F125="","",ROW()-3)</f>
        <v/>
      </c>
      <c r="B125" s="5" t="n"/>
      <c r="C125" s="15" t="n"/>
      <c r="D125" s="5" t="n"/>
      <c r="E125" s="15" t="n"/>
      <c r="F125" s="5" t="n"/>
      <c r="G125" s="6" t="n"/>
      <c r="H125" s="16" t="n"/>
      <c r="I125" s="16" t="n"/>
      <c r="J125" s="15">
        <f>IF(AND(ISNUMBER(H125),ISNUMBER(I125)),I125-H125+1,"")</f>
        <v/>
      </c>
      <c r="K125" s="5" t="n"/>
      <c r="L125" s="5" t="n"/>
      <c r="M125" s="5" t="n"/>
      <c r="N125" s="5" t="n"/>
      <c r="O125" s="5" t="n"/>
      <c r="Q125" s="10">
        <f>IF(TRIM(G125&amp;"")="","",TRIM(G125&amp;""))</f>
        <v/>
      </c>
      <c r="R125" s="10">
        <f>IF(TRIM(B125&amp;"")="","",IFERROR(INDEX(코드표!$K$2:$K$101,MATCH(TRIM(B125&amp;""),코드표!$J$2:$J$101,0)),"⚠"&amp;TRIM(B125&amp;"")))</f>
        <v/>
      </c>
      <c r="S125" s="10">
        <f>IF(TRIM(K125&amp;"")="","",IFERROR(INDEX(코드표!$K$2:$K$101,MATCH(TRIM(K125&amp;""),코드표!$J$2:$J$101,0)),"⚠"&amp;TRIM(K125&amp;"")))</f>
        <v/>
      </c>
      <c r="T125" s="10">
        <f>IF(TRIM(M125&amp;"")="","",IF(ISNUMBER(MATCH(TRIM(M125&amp;""),코드표!$C$2:$C$11,0)),TRIM(M125&amp;""),"⚠"&amp;TRIM(M125&amp;"")))</f>
        <v/>
      </c>
      <c r="U125" s="10">
        <f>IF(TRIM(L125&amp;"")="","",IFERROR(INDEX(코드표!$G$2:$G$101,MATCH(TRIM(L125&amp;""),코드표!$F$2:$F$101,0)),"⚠"&amp;TRIM(L125&amp;"")))</f>
        <v/>
      </c>
      <c r="V125" s="10">
        <f>IF(AND(ISNUMBER(H125),ISNUMBER(I125)),I125-H125+1,"")</f>
        <v/>
      </c>
      <c r="W125" s="17">
        <f>IF(ISNUMBER(H125),MAX(0,MIN(IF(ISNUMBER(I125),I125,EOMONTH(요약!$B$3,0)),EOMONTH(요약!$B$3,0))-MAX(H125,요약!$B$3)+1),0)</f>
        <v/>
      </c>
      <c r="X125" s="10">
        <f>IF(OR(NOT(ISNUMBER(H125)),Q125=""),"",IF(TODAY()&lt;H125,"파견예정",IF(AND(ISNUMBER(I125),TODAY()&gt;I125),"파견종료","파견중")))</f>
        <v/>
      </c>
      <c r="Y125" s="10">
        <f>IF(OR(Q125="",X125=""),"",Q125&amp;"|"&amp;X125)</f>
        <v/>
      </c>
      <c r="Z125" s="10">
        <f>IF(AND(Q125&lt;&gt;"",W125&gt;0),Q125&amp;"|월","")</f>
        <v/>
      </c>
      <c r="AA125" s="10">
        <f>IF(COUNTA(B125:N125)=0,"",IF(Q125="","등록번호 없음",IF(LEFT(R125,1)="⚠","모병원명 미등록",IF(S125="","파견병원 입력",IF(LEFT(S125,1)="⚠","파견병원명 미등록",IF(LEFT(U125,1)="⚠","파견과목 미등록",IF(OR(T125="",LEFT(T125,1)="⚠"),"파견근거 확인",IF(NOT(AND(ISNUMBER(H125),ISNUMBER(I125))),"날짜 형식/누락",IF(I125&lt;H125,"종료일&lt;시작일","")))))))))</f>
        <v/>
      </c>
      <c r="AB125" s="11">
        <f>IF(ISNUMBER(SEARCH("다기관",TRIM(N125&amp;" "&amp;O125))),IFERROR(DATE(VALUE(MID(TRIM(N125&amp;" "&amp;O125),1,4)),VALUE(MID(TRIM(N125&amp;" "&amp;O125),6,2)),VALUE(MID(TRIM(N125&amp;" "&amp;O125),9,2))),IF(ISNUMBER(H125),H125,"")),"")</f>
        <v/>
      </c>
      <c r="AC125" s="11">
        <f>IF(ISNUMBER(SEARCH("다기관",TRIM(N125&amp;" "&amp;O125))),IFERROR(DATE(VALUE(MID(TRIM(N125&amp;" "&amp;O125),12,4)),VALUE(MID(TRIM(N125&amp;" "&amp;O125),17,2)),VALUE(MID(TRIM(N125&amp;" "&amp;O125),20,2))),IF(ISNUMBER(I125),I125,"")),"")</f>
        <v/>
      </c>
      <c r="AD125" s="17">
        <f>IF(AND(ISNUMBER(AB125),ISNUMBER(AC125)),MAX(0,MIN(AC125,EOMONTH(요약!$B$3,0))-MAX(AB125,요약!$B$3)+1),0)</f>
        <v/>
      </c>
      <c r="AE125" s="10">
        <f>IF(AND(Q125&lt;&gt;"",ISNUMBER(AB125)),Q125&amp;"|다기관","")</f>
        <v/>
      </c>
    </row>
    <row r="126">
      <c r="A126" s="15">
        <f>IF(F126="","",ROW()-3)</f>
        <v/>
      </c>
      <c r="B126" s="5" t="n"/>
      <c r="C126" s="15" t="n"/>
      <c r="D126" s="5" t="n"/>
      <c r="E126" s="15" t="n"/>
      <c r="F126" s="5" t="n"/>
      <c r="G126" s="6" t="n"/>
      <c r="H126" s="16" t="n"/>
      <c r="I126" s="16" t="n"/>
      <c r="J126" s="15">
        <f>IF(AND(ISNUMBER(H126),ISNUMBER(I126)),I126-H126+1,"")</f>
        <v/>
      </c>
      <c r="K126" s="5" t="n"/>
      <c r="L126" s="5" t="n"/>
      <c r="M126" s="5" t="n"/>
      <c r="N126" s="5" t="n"/>
      <c r="O126" s="5" t="n"/>
      <c r="Q126" s="10">
        <f>IF(TRIM(G126&amp;"")="","",TRIM(G126&amp;""))</f>
        <v/>
      </c>
      <c r="R126" s="10">
        <f>IF(TRIM(B126&amp;"")="","",IFERROR(INDEX(코드표!$K$2:$K$101,MATCH(TRIM(B126&amp;""),코드표!$J$2:$J$101,0)),"⚠"&amp;TRIM(B126&amp;"")))</f>
        <v/>
      </c>
      <c r="S126" s="10">
        <f>IF(TRIM(K126&amp;"")="","",IFERROR(INDEX(코드표!$K$2:$K$101,MATCH(TRIM(K126&amp;""),코드표!$J$2:$J$101,0)),"⚠"&amp;TRIM(K126&amp;"")))</f>
        <v/>
      </c>
      <c r="T126" s="10">
        <f>IF(TRIM(M126&amp;"")="","",IF(ISNUMBER(MATCH(TRIM(M126&amp;""),코드표!$C$2:$C$11,0)),TRIM(M126&amp;""),"⚠"&amp;TRIM(M126&amp;"")))</f>
        <v/>
      </c>
      <c r="U126" s="10">
        <f>IF(TRIM(L126&amp;"")="","",IFERROR(INDEX(코드표!$G$2:$G$101,MATCH(TRIM(L126&amp;""),코드표!$F$2:$F$101,0)),"⚠"&amp;TRIM(L126&amp;"")))</f>
        <v/>
      </c>
      <c r="V126" s="10">
        <f>IF(AND(ISNUMBER(H126),ISNUMBER(I126)),I126-H126+1,"")</f>
        <v/>
      </c>
      <c r="W126" s="17">
        <f>IF(ISNUMBER(H126),MAX(0,MIN(IF(ISNUMBER(I126),I126,EOMONTH(요약!$B$3,0)),EOMONTH(요약!$B$3,0))-MAX(H126,요약!$B$3)+1),0)</f>
        <v/>
      </c>
      <c r="X126" s="10">
        <f>IF(OR(NOT(ISNUMBER(H126)),Q126=""),"",IF(TODAY()&lt;H126,"파견예정",IF(AND(ISNUMBER(I126),TODAY()&gt;I126),"파견종료","파견중")))</f>
        <v/>
      </c>
      <c r="Y126" s="10">
        <f>IF(OR(Q126="",X126=""),"",Q126&amp;"|"&amp;X126)</f>
        <v/>
      </c>
      <c r="Z126" s="10">
        <f>IF(AND(Q126&lt;&gt;"",W126&gt;0),Q126&amp;"|월","")</f>
        <v/>
      </c>
      <c r="AA126" s="10">
        <f>IF(COUNTA(B126:N126)=0,"",IF(Q126="","등록번호 없음",IF(LEFT(R126,1)="⚠","모병원명 미등록",IF(S126="","파견병원 입력",IF(LEFT(S126,1)="⚠","파견병원명 미등록",IF(LEFT(U126,1)="⚠","파견과목 미등록",IF(OR(T126="",LEFT(T126,1)="⚠"),"파견근거 확인",IF(NOT(AND(ISNUMBER(H126),ISNUMBER(I126))),"날짜 형식/누락",IF(I126&lt;H126,"종료일&lt;시작일","")))))))))</f>
        <v/>
      </c>
      <c r="AB126" s="11">
        <f>IF(ISNUMBER(SEARCH("다기관",TRIM(N126&amp;" "&amp;O126))),IFERROR(DATE(VALUE(MID(TRIM(N126&amp;" "&amp;O126),1,4)),VALUE(MID(TRIM(N126&amp;" "&amp;O126),6,2)),VALUE(MID(TRIM(N126&amp;" "&amp;O126),9,2))),IF(ISNUMBER(H126),H126,"")),"")</f>
        <v/>
      </c>
      <c r="AC126" s="11">
        <f>IF(ISNUMBER(SEARCH("다기관",TRIM(N126&amp;" "&amp;O126))),IFERROR(DATE(VALUE(MID(TRIM(N126&amp;" "&amp;O126),12,4)),VALUE(MID(TRIM(N126&amp;" "&amp;O126),17,2)),VALUE(MID(TRIM(N126&amp;" "&amp;O126),20,2))),IF(ISNUMBER(I126),I126,"")),"")</f>
        <v/>
      </c>
      <c r="AD126" s="17">
        <f>IF(AND(ISNUMBER(AB126),ISNUMBER(AC126)),MAX(0,MIN(AC126,EOMONTH(요약!$B$3,0))-MAX(AB126,요약!$B$3)+1),0)</f>
        <v/>
      </c>
      <c r="AE126" s="10">
        <f>IF(AND(Q126&lt;&gt;"",ISNUMBER(AB126)),Q126&amp;"|다기관","")</f>
        <v/>
      </c>
    </row>
    <row r="127">
      <c r="A127" s="15">
        <f>IF(F127="","",ROW()-3)</f>
        <v/>
      </c>
      <c r="B127" s="5" t="n"/>
      <c r="C127" s="15" t="n"/>
      <c r="D127" s="5" t="n"/>
      <c r="E127" s="15" t="n"/>
      <c r="F127" s="5" t="n"/>
      <c r="G127" s="6" t="n"/>
      <c r="H127" s="16" t="n"/>
      <c r="I127" s="16" t="n"/>
      <c r="J127" s="15">
        <f>IF(AND(ISNUMBER(H127),ISNUMBER(I127)),I127-H127+1,"")</f>
        <v/>
      </c>
      <c r="K127" s="5" t="n"/>
      <c r="L127" s="5" t="n"/>
      <c r="M127" s="5" t="n"/>
      <c r="N127" s="5" t="n"/>
      <c r="O127" s="5" t="n"/>
      <c r="Q127" s="10">
        <f>IF(TRIM(G127&amp;"")="","",TRIM(G127&amp;""))</f>
        <v/>
      </c>
      <c r="R127" s="10">
        <f>IF(TRIM(B127&amp;"")="","",IFERROR(INDEX(코드표!$K$2:$K$101,MATCH(TRIM(B127&amp;""),코드표!$J$2:$J$101,0)),"⚠"&amp;TRIM(B127&amp;"")))</f>
        <v/>
      </c>
      <c r="S127" s="10">
        <f>IF(TRIM(K127&amp;"")="","",IFERROR(INDEX(코드표!$K$2:$K$101,MATCH(TRIM(K127&amp;""),코드표!$J$2:$J$101,0)),"⚠"&amp;TRIM(K127&amp;"")))</f>
        <v/>
      </c>
      <c r="T127" s="10">
        <f>IF(TRIM(M127&amp;"")="","",IF(ISNUMBER(MATCH(TRIM(M127&amp;""),코드표!$C$2:$C$11,0)),TRIM(M127&amp;""),"⚠"&amp;TRIM(M127&amp;"")))</f>
        <v/>
      </c>
      <c r="U127" s="10">
        <f>IF(TRIM(L127&amp;"")="","",IFERROR(INDEX(코드표!$G$2:$G$101,MATCH(TRIM(L127&amp;""),코드표!$F$2:$F$101,0)),"⚠"&amp;TRIM(L127&amp;"")))</f>
        <v/>
      </c>
      <c r="V127" s="10">
        <f>IF(AND(ISNUMBER(H127),ISNUMBER(I127)),I127-H127+1,"")</f>
        <v/>
      </c>
      <c r="W127" s="17">
        <f>IF(ISNUMBER(H127),MAX(0,MIN(IF(ISNUMBER(I127),I127,EOMONTH(요약!$B$3,0)),EOMONTH(요약!$B$3,0))-MAX(H127,요약!$B$3)+1),0)</f>
        <v/>
      </c>
      <c r="X127" s="10">
        <f>IF(OR(NOT(ISNUMBER(H127)),Q127=""),"",IF(TODAY()&lt;H127,"파견예정",IF(AND(ISNUMBER(I127),TODAY()&gt;I127),"파견종료","파견중")))</f>
        <v/>
      </c>
      <c r="Y127" s="10">
        <f>IF(OR(Q127="",X127=""),"",Q127&amp;"|"&amp;X127)</f>
        <v/>
      </c>
      <c r="Z127" s="10">
        <f>IF(AND(Q127&lt;&gt;"",W127&gt;0),Q127&amp;"|월","")</f>
        <v/>
      </c>
      <c r="AA127" s="10">
        <f>IF(COUNTA(B127:N127)=0,"",IF(Q127="","등록번호 없음",IF(LEFT(R127,1)="⚠","모병원명 미등록",IF(S127="","파견병원 입력",IF(LEFT(S127,1)="⚠","파견병원명 미등록",IF(LEFT(U127,1)="⚠","파견과목 미등록",IF(OR(T127="",LEFT(T127,1)="⚠"),"파견근거 확인",IF(NOT(AND(ISNUMBER(H127),ISNUMBER(I127))),"날짜 형식/누락",IF(I127&lt;H127,"종료일&lt;시작일","")))))))))</f>
        <v/>
      </c>
      <c r="AB127" s="11">
        <f>IF(ISNUMBER(SEARCH("다기관",TRIM(N127&amp;" "&amp;O127))),IFERROR(DATE(VALUE(MID(TRIM(N127&amp;" "&amp;O127),1,4)),VALUE(MID(TRIM(N127&amp;" "&amp;O127),6,2)),VALUE(MID(TRIM(N127&amp;" "&amp;O127),9,2))),IF(ISNUMBER(H127),H127,"")),"")</f>
        <v/>
      </c>
      <c r="AC127" s="11">
        <f>IF(ISNUMBER(SEARCH("다기관",TRIM(N127&amp;" "&amp;O127))),IFERROR(DATE(VALUE(MID(TRIM(N127&amp;" "&amp;O127),12,4)),VALUE(MID(TRIM(N127&amp;" "&amp;O127),17,2)),VALUE(MID(TRIM(N127&amp;" "&amp;O127),20,2))),IF(ISNUMBER(I127),I127,"")),"")</f>
        <v/>
      </c>
      <c r="AD127" s="17">
        <f>IF(AND(ISNUMBER(AB127),ISNUMBER(AC127)),MAX(0,MIN(AC127,EOMONTH(요약!$B$3,0))-MAX(AB127,요약!$B$3)+1),0)</f>
        <v/>
      </c>
      <c r="AE127" s="10">
        <f>IF(AND(Q127&lt;&gt;"",ISNUMBER(AB127)),Q127&amp;"|다기관","")</f>
        <v/>
      </c>
    </row>
    <row r="128">
      <c r="A128" s="15">
        <f>IF(F128="","",ROW()-3)</f>
        <v/>
      </c>
      <c r="B128" s="5" t="n"/>
      <c r="C128" s="15" t="n"/>
      <c r="D128" s="5" t="n"/>
      <c r="E128" s="15" t="n"/>
      <c r="F128" s="5" t="n"/>
      <c r="G128" s="6" t="n"/>
      <c r="H128" s="16" t="n"/>
      <c r="I128" s="16" t="n"/>
      <c r="J128" s="15">
        <f>IF(AND(ISNUMBER(H128),ISNUMBER(I128)),I128-H128+1,"")</f>
        <v/>
      </c>
      <c r="K128" s="5" t="n"/>
      <c r="L128" s="5" t="n"/>
      <c r="M128" s="5" t="n"/>
      <c r="N128" s="5" t="n"/>
      <c r="O128" s="5" t="n"/>
      <c r="Q128" s="10">
        <f>IF(TRIM(G128&amp;"")="","",TRIM(G128&amp;""))</f>
        <v/>
      </c>
      <c r="R128" s="10">
        <f>IF(TRIM(B128&amp;"")="","",IFERROR(INDEX(코드표!$K$2:$K$101,MATCH(TRIM(B128&amp;""),코드표!$J$2:$J$101,0)),"⚠"&amp;TRIM(B128&amp;"")))</f>
        <v/>
      </c>
      <c r="S128" s="10">
        <f>IF(TRIM(K128&amp;"")="","",IFERROR(INDEX(코드표!$K$2:$K$101,MATCH(TRIM(K128&amp;""),코드표!$J$2:$J$101,0)),"⚠"&amp;TRIM(K128&amp;"")))</f>
        <v/>
      </c>
      <c r="T128" s="10">
        <f>IF(TRIM(M128&amp;"")="","",IF(ISNUMBER(MATCH(TRIM(M128&amp;""),코드표!$C$2:$C$11,0)),TRIM(M128&amp;""),"⚠"&amp;TRIM(M128&amp;"")))</f>
        <v/>
      </c>
      <c r="U128" s="10">
        <f>IF(TRIM(L128&amp;"")="","",IFERROR(INDEX(코드표!$G$2:$G$101,MATCH(TRIM(L128&amp;""),코드표!$F$2:$F$101,0)),"⚠"&amp;TRIM(L128&amp;"")))</f>
        <v/>
      </c>
      <c r="V128" s="10">
        <f>IF(AND(ISNUMBER(H128),ISNUMBER(I128)),I128-H128+1,"")</f>
        <v/>
      </c>
      <c r="W128" s="17">
        <f>IF(ISNUMBER(H128),MAX(0,MIN(IF(ISNUMBER(I128),I128,EOMONTH(요약!$B$3,0)),EOMONTH(요약!$B$3,0))-MAX(H128,요약!$B$3)+1),0)</f>
        <v/>
      </c>
      <c r="X128" s="10">
        <f>IF(OR(NOT(ISNUMBER(H128)),Q128=""),"",IF(TODAY()&lt;H128,"파견예정",IF(AND(ISNUMBER(I128),TODAY()&gt;I128),"파견종료","파견중")))</f>
        <v/>
      </c>
      <c r="Y128" s="10">
        <f>IF(OR(Q128="",X128=""),"",Q128&amp;"|"&amp;X128)</f>
        <v/>
      </c>
      <c r="Z128" s="10">
        <f>IF(AND(Q128&lt;&gt;"",W128&gt;0),Q128&amp;"|월","")</f>
        <v/>
      </c>
      <c r="AA128" s="10">
        <f>IF(COUNTA(B128:N128)=0,"",IF(Q128="","등록번호 없음",IF(LEFT(R128,1)="⚠","모병원명 미등록",IF(S128="","파견병원 입력",IF(LEFT(S128,1)="⚠","파견병원명 미등록",IF(LEFT(U128,1)="⚠","파견과목 미등록",IF(OR(T128="",LEFT(T128,1)="⚠"),"파견근거 확인",IF(NOT(AND(ISNUMBER(H128),ISNUMBER(I128))),"날짜 형식/누락",IF(I128&lt;H128,"종료일&lt;시작일","")))))))))</f>
        <v/>
      </c>
      <c r="AB128" s="11">
        <f>IF(ISNUMBER(SEARCH("다기관",TRIM(N128&amp;" "&amp;O128))),IFERROR(DATE(VALUE(MID(TRIM(N128&amp;" "&amp;O128),1,4)),VALUE(MID(TRIM(N128&amp;" "&amp;O128),6,2)),VALUE(MID(TRIM(N128&amp;" "&amp;O128),9,2))),IF(ISNUMBER(H128),H128,"")),"")</f>
        <v/>
      </c>
      <c r="AC128" s="11">
        <f>IF(ISNUMBER(SEARCH("다기관",TRIM(N128&amp;" "&amp;O128))),IFERROR(DATE(VALUE(MID(TRIM(N128&amp;" "&amp;O128),12,4)),VALUE(MID(TRIM(N128&amp;" "&amp;O128),17,2)),VALUE(MID(TRIM(N128&amp;" "&amp;O128),20,2))),IF(ISNUMBER(I128),I128,"")),"")</f>
        <v/>
      </c>
      <c r="AD128" s="17">
        <f>IF(AND(ISNUMBER(AB128),ISNUMBER(AC128)),MAX(0,MIN(AC128,EOMONTH(요약!$B$3,0))-MAX(AB128,요약!$B$3)+1),0)</f>
        <v/>
      </c>
      <c r="AE128" s="10">
        <f>IF(AND(Q128&lt;&gt;"",ISNUMBER(AB128)),Q128&amp;"|다기관","")</f>
        <v/>
      </c>
    </row>
    <row r="129">
      <c r="A129" s="15">
        <f>IF(F129="","",ROW()-3)</f>
        <v/>
      </c>
      <c r="B129" s="5" t="n"/>
      <c r="C129" s="15" t="n"/>
      <c r="D129" s="5" t="n"/>
      <c r="E129" s="15" t="n"/>
      <c r="F129" s="5" t="n"/>
      <c r="G129" s="6" t="n"/>
      <c r="H129" s="16" t="n"/>
      <c r="I129" s="16" t="n"/>
      <c r="J129" s="15">
        <f>IF(AND(ISNUMBER(H129),ISNUMBER(I129)),I129-H129+1,"")</f>
        <v/>
      </c>
      <c r="K129" s="5" t="n"/>
      <c r="L129" s="5" t="n"/>
      <c r="M129" s="5" t="n"/>
      <c r="N129" s="5" t="n"/>
      <c r="O129" s="5" t="n"/>
      <c r="Q129" s="10">
        <f>IF(TRIM(G129&amp;"")="","",TRIM(G129&amp;""))</f>
        <v/>
      </c>
      <c r="R129" s="10">
        <f>IF(TRIM(B129&amp;"")="","",IFERROR(INDEX(코드표!$K$2:$K$101,MATCH(TRIM(B129&amp;""),코드표!$J$2:$J$101,0)),"⚠"&amp;TRIM(B129&amp;"")))</f>
        <v/>
      </c>
      <c r="S129" s="10">
        <f>IF(TRIM(K129&amp;"")="","",IFERROR(INDEX(코드표!$K$2:$K$101,MATCH(TRIM(K129&amp;""),코드표!$J$2:$J$101,0)),"⚠"&amp;TRIM(K129&amp;"")))</f>
        <v/>
      </c>
      <c r="T129" s="10">
        <f>IF(TRIM(M129&amp;"")="","",IF(ISNUMBER(MATCH(TRIM(M129&amp;""),코드표!$C$2:$C$11,0)),TRIM(M129&amp;""),"⚠"&amp;TRIM(M129&amp;"")))</f>
        <v/>
      </c>
      <c r="U129" s="10">
        <f>IF(TRIM(L129&amp;"")="","",IFERROR(INDEX(코드표!$G$2:$G$101,MATCH(TRIM(L129&amp;""),코드표!$F$2:$F$101,0)),"⚠"&amp;TRIM(L129&amp;"")))</f>
        <v/>
      </c>
      <c r="V129" s="10">
        <f>IF(AND(ISNUMBER(H129),ISNUMBER(I129)),I129-H129+1,"")</f>
        <v/>
      </c>
      <c r="W129" s="17">
        <f>IF(ISNUMBER(H129),MAX(0,MIN(IF(ISNUMBER(I129),I129,EOMONTH(요약!$B$3,0)),EOMONTH(요약!$B$3,0))-MAX(H129,요약!$B$3)+1),0)</f>
        <v/>
      </c>
      <c r="X129" s="10">
        <f>IF(OR(NOT(ISNUMBER(H129)),Q129=""),"",IF(TODAY()&lt;H129,"파견예정",IF(AND(ISNUMBER(I129),TODAY()&gt;I129),"파견종료","파견중")))</f>
        <v/>
      </c>
      <c r="Y129" s="10">
        <f>IF(OR(Q129="",X129=""),"",Q129&amp;"|"&amp;X129)</f>
        <v/>
      </c>
      <c r="Z129" s="10">
        <f>IF(AND(Q129&lt;&gt;"",W129&gt;0),Q129&amp;"|월","")</f>
        <v/>
      </c>
      <c r="AA129" s="10">
        <f>IF(COUNTA(B129:N129)=0,"",IF(Q129="","등록번호 없음",IF(LEFT(R129,1)="⚠","모병원명 미등록",IF(S129="","파견병원 입력",IF(LEFT(S129,1)="⚠","파견병원명 미등록",IF(LEFT(U129,1)="⚠","파견과목 미등록",IF(OR(T129="",LEFT(T129,1)="⚠"),"파견근거 확인",IF(NOT(AND(ISNUMBER(H129),ISNUMBER(I129))),"날짜 형식/누락",IF(I129&lt;H129,"종료일&lt;시작일","")))))))))</f>
        <v/>
      </c>
      <c r="AB129" s="11">
        <f>IF(ISNUMBER(SEARCH("다기관",TRIM(N129&amp;" "&amp;O129))),IFERROR(DATE(VALUE(MID(TRIM(N129&amp;" "&amp;O129),1,4)),VALUE(MID(TRIM(N129&amp;" "&amp;O129),6,2)),VALUE(MID(TRIM(N129&amp;" "&amp;O129),9,2))),IF(ISNUMBER(H129),H129,"")),"")</f>
        <v/>
      </c>
      <c r="AC129" s="11">
        <f>IF(ISNUMBER(SEARCH("다기관",TRIM(N129&amp;" "&amp;O129))),IFERROR(DATE(VALUE(MID(TRIM(N129&amp;" "&amp;O129),12,4)),VALUE(MID(TRIM(N129&amp;" "&amp;O129),17,2)),VALUE(MID(TRIM(N129&amp;" "&amp;O129),20,2))),IF(ISNUMBER(I129),I129,"")),"")</f>
        <v/>
      </c>
      <c r="AD129" s="17">
        <f>IF(AND(ISNUMBER(AB129),ISNUMBER(AC129)),MAX(0,MIN(AC129,EOMONTH(요약!$B$3,0))-MAX(AB129,요약!$B$3)+1),0)</f>
        <v/>
      </c>
      <c r="AE129" s="10">
        <f>IF(AND(Q129&lt;&gt;"",ISNUMBER(AB129)),Q129&amp;"|다기관","")</f>
        <v/>
      </c>
    </row>
    <row r="130">
      <c r="A130" s="15">
        <f>IF(F130="","",ROW()-3)</f>
        <v/>
      </c>
      <c r="B130" s="5" t="n"/>
      <c r="C130" s="15" t="n"/>
      <c r="D130" s="5" t="n"/>
      <c r="E130" s="15" t="n"/>
      <c r="F130" s="5" t="n"/>
      <c r="G130" s="6" t="n"/>
      <c r="H130" s="16" t="n"/>
      <c r="I130" s="16" t="n"/>
      <c r="J130" s="15">
        <f>IF(AND(ISNUMBER(H130),ISNUMBER(I130)),I130-H130+1,"")</f>
        <v/>
      </c>
      <c r="K130" s="5" t="n"/>
      <c r="L130" s="5" t="n"/>
      <c r="M130" s="5" t="n"/>
      <c r="N130" s="5" t="n"/>
      <c r="O130" s="5" t="n"/>
      <c r="Q130" s="10">
        <f>IF(TRIM(G130&amp;"")="","",TRIM(G130&amp;""))</f>
        <v/>
      </c>
      <c r="R130" s="10">
        <f>IF(TRIM(B130&amp;"")="","",IFERROR(INDEX(코드표!$K$2:$K$101,MATCH(TRIM(B130&amp;""),코드표!$J$2:$J$101,0)),"⚠"&amp;TRIM(B130&amp;"")))</f>
        <v/>
      </c>
      <c r="S130" s="10">
        <f>IF(TRIM(K130&amp;"")="","",IFERROR(INDEX(코드표!$K$2:$K$101,MATCH(TRIM(K130&amp;""),코드표!$J$2:$J$101,0)),"⚠"&amp;TRIM(K130&amp;"")))</f>
        <v/>
      </c>
      <c r="T130" s="10">
        <f>IF(TRIM(M130&amp;"")="","",IF(ISNUMBER(MATCH(TRIM(M130&amp;""),코드표!$C$2:$C$11,0)),TRIM(M130&amp;""),"⚠"&amp;TRIM(M130&amp;"")))</f>
        <v/>
      </c>
      <c r="U130" s="10">
        <f>IF(TRIM(L130&amp;"")="","",IFERROR(INDEX(코드표!$G$2:$G$101,MATCH(TRIM(L130&amp;""),코드표!$F$2:$F$101,0)),"⚠"&amp;TRIM(L130&amp;"")))</f>
        <v/>
      </c>
      <c r="V130" s="10">
        <f>IF(AND(ISNUMBER(H130),ISNUMBER(I130)),I130-H130+1,"")</f>
        <v/>
      </c>
      <c r="W130" s="17">
        <f>IF(ISNUMBER(H130),MAX(0,MIN(IF(ISNUMBER(I130),I130,EOMONTH(요약!$B$3,0)),EOMONTH(요약!$B$3,0))-MAX(H130,요약!$B$3)+1),0)</f>
        <v/>
      </c>
      <c r="X130" s="10">
        <f>IF(OR(NOT(ISNUMBER(H130)),Q130=""),"",IF(TODAY()&lt;H130,"파견예정",IF(AND(ISNUMBER(I130),TODAY()&gt;I130),"파견종료","파견중")))</f>
        <v/>
      </c>
      <c r="Y130" s="10">
        <f>IF(OR(Q130="",X130=""),"",Q130&amp;"|"&amp;X130)</f>
        <v/>
      </c>
      <c r="Z130" s="10">
        <f>IF(AND(Q130&lt;&gt;"",W130&gt;0),Q130&amp;"|월","")</f>
        <v/>
      </c>
      <c r="AA130" s="10">
        <f>IF(COUNTA(B130:N130)=0,"",IF(Q130="","등록번호 없음",IF(LEFT(R130,1)="⚠","모병원명 미등록",IF(S130="","파견병원 입력",IF(LEFT(S130,1)="⚠","파견병원명 미등록",IF(LEFT(U130,1)="⚠","파견과목 미등록",IF(OR(T130="",LEFT(T130,1)="⚠"),"파견근거 확인",IF(NOT(AND(ISNUMBER(H130),ISNUMBER(I130))),"날짜 형식/누락",IF(I130&lt;H130,"종료일&lt;시작일","")))))))))</f>
        <v/>
      </c>
      <c r="AB130" s="11">
        <f>IF(ISNUMBER(SEARCH("다기관",TRIM(N130&amp;" "&amp;O130))),IFERROR(DATE(VALUE(MID(TRIM(N130&amp;" "&amp;O130),1,4)),VALUE(MID(TRIM(N130&amp;" "&amp;O130),6,2)),VALUE(MID(TRIM(N130&amp;" "&amp;O130),9,2))),IF(ISNUMBER(H130),H130,"")),"")</f>
        <v/>
      </c>
      <c r="AC130" s="11">
        <f>IF(ISNUMBER(SEARCH("다기관",TRIM(N130&amp;" "&amp;O130))),IFERROR(DATE(VALUE(MID(TRIM(N130&amp;" "&amp;O130),12,4)),VALUE(MID(TRIM(N130&amp;" "&amp;O130),17,2)),VALUE(MID(TRIM(N130&amp;" "&amp;O130),20,2))),IF(ISNUMBER(I130),I130,"")),"")</f>
        <v/>
      </c>
      <c r="AD130" s="17">
        <f>IF(AND(ISNUMBER(AB130),ISNUMBER(AC130)),MAX(0,MIN(AC130,EOMONTH(요약!$B$3,0))-MAX(AB130,요약!$B$3)+1),0)</f>
        <v/>
      </c>
      <c r="AE130" s="10">
        <f>IF(AND(Q130&lt;&gt;"",ISNUMBER(AB130)),Q130&amp;"|다기관","")</f>
        <v/>
      </c>
    </row>
    <row r="131">
      <c r="A131" s="15">
        <f>IF(F131="","",ROW()-3)</f>
        <v/>
      </c>
      <c r="B131" s="5" t="n"/>
      <c r="C131" s="15" t="n"/>
      <c r="D131" s="5" t="n"/>
      <c r="E131" s="15" t="n"/>
      <c r="F131" s="5" t="n"/>
      <c r="G131" s="6" t="n"/>
      <c r="H131" s="16" t="n"/>
      <c r="I131" s="16" t="n"/>
      <c r="J131" s="15">
        <f>IF(AND(ISNUMBER(H131),ISNUMBER(I131)),I131-H131+1,"")</f>
        <v/>
      </c>
      <c r="K131" s="5" t="n"/>
      <c r="L131" s="5" t="n"/>
      <c r="M131" s="5" t="n"/>
      <c r="N131" s="5" t="n"/>
      <c r="O131" s="5" t="n"/>
      <c r="Q131" s="10">
        <f>IF(TRIM(G131&amp;"")="","",TRIM(G131&amp;""))</f>
        <v/>
      </c>
      <c r="R131" s="10">
        <f>IF(TRIM(B131&amp;"")="","",IFERROR(INDEX(코드표!$K$2:$K$101,MATCH(TRIM(B131&amp;""),코드표!$J$2:$J$101,0)),"⚠"&amp;TRIM(B131&amp;"")))</f>
        <v/>
      </c>
      <c r="S131" s="10">
        <f>IF(TRIM(K131&amp;"")="","",IFERROR(INDEX(코드표!$K$2:$K$101,MATCH(TRIM(K131&amp;""),코드표!$J$2:$J$101,0)),"⚠"&amp;TRIM(K131&amp;"")))</f>
        <v/>
      </c>
      <c r="T131" s="10">
        <f>IF(TRIM(M131&amp;"")="","",IF(ISNUMBER(MATCH(TRIM(M131&amp;""),코드표!$C$2:$C$11,0)),TRIM(M131&amp;""),"⚠"&amp;TRIM(M131&amp;"")))</f>
        <v/>
      </c>
      <c r="U131" s="10">
        <f>IF(TRIM(L131&amp;"")="","",IFERROR(INDEX(코드표!$G$2:$G$101,MATCH(TRIM(L131&amp;""),코드표!$F$2:$F$101,0)),"⚠"&amp;TRIM(L131&amp;"")))</f>
        <v/>
      </c>
      <c r="V131" s="10">
        <f>IF(AND(ISNUMBER(H131),ISNUMBER(I131)),I131-H131+1,"")</f>
        <v/>
      </c>
      <c r="W131" s="17">
        <f>IF(ISNUMBER(H131),MAX(0,MIN(IF(ISNUMBER(I131),I131,EOMONTH(요약!$B$3,0)),EOMONTH(요약!$B$3,0))-MAX(H131,요약!$B$3)+1),0)</f>
        <v/>
      </c>
      <c r="X131" s="10">
        <f>IF(OR(NOT(ISNUMBER(H131)),Q131=""),"",IF(TODAY()&lt;H131,"파견예정",IF(AND(ISNUMBER(I131),TODAY()&gt;I131),"파견종료","파견중")))</f>
        <v/>
      </c>
      <c r="Y131" s="10">
        <f>IF(OR(Q131="",X131=""),"",Q131&amp;"|"&amp;X131)</f>
        <v/>
      </c>
      <c r="Z131" s="10">
        <f>IF(AND(Q131&lt;&gt;"",W131&gt;0),Q131&amp;"|월","")</f>
        <v/>
      </c>
      <c r="AA131" s="10">
        <f>IF(COUNTA(B131:N131)=0,"",IF(Q131="","등록번호 없음",IF(LEFT(R131,1)="⚠","모병원명 미등록",IF(S131="","파견병원 입력",IF(LEFT(S131,1)="⚠","파견병원명 미등록",IF(LEFT(U131,1)="⚠","파견과목 미등록",IF(OR(T131="",LEFT(T131,1)="⚠"),"파견근거 확인",IF(NOT(AND(ISNUMBER(H131),ISNUMBER(I131))),"날짜 형식/누락",IF(I131&lt;H131,"종료일&lt;시작일","")))))))))</f>
        <v/>
      </c>
      <c r="AB131" s="11">
        <f>IF(ISNUMBER(SEARCH("다기관",TRIM(N131&amp;" "&amp;O131))),IFERROR(DATE(VALUE(MID(TRIM(N131&amp;" "&amp;O131),1,4)),VALUE(MID(TRIM(N131&amp;" "&amp;O131),6,2)),VALUE(MID(TRIM(N131&amp;" "&amp;O131),9,2))),IF(ISNUMBER(H131),H131,"")),"")</f>
        <v/>
      </c>
      <c r="AC131" s="11">
        <f>IF(ISNUMBER(SEARCH("다기관",TRIM(N131&amp;" "&amp;O131))),IFERROR(DATE(VALUE(MID(TRIM(N131&amp;" "&amp;O131),12,4)),VALUE(MID(TRIM(N131&amp;" "&amp;O131),17,2)),VALUE(MID(TRIM(N131&amp;" "&amp;O131),20,2))),IF(ISNUMBER(I131),I131,"")),"")</f>
        <v/>
      </c>
      <c r="AD131" s="17">
        <f>IF(AND(ISNUMBER(AB131),ISNUMBER(AC131)),MAX(0,MIN(AC131,EOMONTH(요약!$B$3,0))-MAX(AB131,요약!$B$3)+1),0)</f>
        <v/>
      </c>
      <c r="AE131" s="10">
        <f>IF(AND(Q131&lt;&gt;"",ISNUMBER(AB131)),Q131&amp;"|다기관","")</f>
        <v/>
      </c>
    </row>
    <row r="132">
      <c r="A132" s="15">
        <f>IF(F132="","",ROW()-3)</f>
        <v/>
      </c>
      <c r="B132" s="5" t="n"/>
      <c r="C132" s="15" t="n"/>
      <c r="D132" s="5" t="n"/>
      <c r="E132" s="15" t="n"/>
      <c r="F132" s="5" t="n"/>
      <c r="G132" s="6" t="n"/>
      <c r="H132" s="16" t="n"/>
      <c r="I132" s="16" t="n"/>
      <c r="J132" s="15">
        <f>IF(AND(ISNUMBER(H132),ISNUMBER(I132)),I132-H132+1,"")</f>
        <v/>
      </c>
      <c r="K132" s="5" t="n"/>
      <c r="L132" s="5" t="n"/>
      <c r="M132" s="5" t="n"/>
      <c r="N132" s="5" t="n"/>
      <c r="O132" s="5" t="n"/>
      <c r="Q132" s="10">
        <f>IF(TRIM(G132&amp;"")="","",TRIM(G132&amp;""))</f>
        <v/>
      </c>
      <c r="R132" s="10">
        <f>IF(TRIM(B132&amp;"")="","",IFERROR(INDEX(코드표!$K$2:$K$101,MATCH(TRIM(B132&amp;""),코드표!$J$2:$J$101,0)),"⚠"&amp;TRIM(B132&amp;"")))</f>
        <v/>
      </c>
      <c r="S132" s="10">
        <f>IF(TRIM(K132&amp;"")="","",IFERROR(INDEX(코드표!$K$2:$K$101,MATCH(TRIM(K132&amp;""),코드표!$J$2:$J$101,0)),"⚠"&amp;TRIM(K132&amp;"")))</f>
        <v/>
      </c>
      <c r="T132" s="10">
        <f>IF(TRIM(M132&amp;"")="","",IF(ISNUMBER(MATCH(TRIM(M132&amp;""),코드표!$C$2:$C$11,0)),TRIM(M132&amp;""),"⚠"&amp;TRIM(M132&amp;"")))</f>
        <v/>
      </c>
      <c r="U132" s="10">
        <f>IF(TRIM(L132&amp;"")="","",IFERROR(INDEX(코드표!$G$2:$G$101,MATCH(TRIM(L132&amp;""),코드표!$F$2:$F$101,0)),"⚠"&amp;TRIM(L132&amp;"")))</f>
        <v/>
      </c>
      <c r="V132" s="10">
        <f>IF(AND(ISNUMBER(H132),ISNUMBER(I132)),I132-H132+1,"")</f>
        <v/>
      </c>
      <c r="W132" s="17">
        <f>IF(ISNUMBER(H132),MAX(0,MIN(IF(ISNUMBER(I132),I132,EOMONTH(요약!$B$3,0)),EOMONTH(요약!$B$3,0))-MAX(H132,요약!$B$3)+1),0)</f>
        <v/>
      </c>
      <c r="X132" s="10">
        <f>IF(OR(NOT(ISNUMBER(H132)),Q132=""),"",IF(TODAY()&lt;H132,"파견예정",IF(AND(ISNUMBER(I132),TODAY()&gt;I132),"파견종료","파견중")))</f>
        <v/>
      </c>
      <c r="Y132" s="10">
        <f>IF(OR(Q132="",X132=""),"",Q132&amp;"|"&amp;X132)</f>
        <v/>
      </c>
      <c r="Z132" s="10">
        <f>IF(AND(Q132&lt;&gt;"",W132&gt;0),Q132&amp;"|월","")</f>
        <v/>
      </c>
      <c r="AA132" s="10">
        <f>IF(COUNTA(B132:N132)=0,"",IF(Q132="","등록번호 없음",IF(LEFT(R132,1)="⚠","모병원명 미등록",IF(S132="","파견병원 입력",IF(LEFT(S132,1)="⚠","파견병원명 미등록",IF(LEFT(U132,1)="⚠","파견과목 미등록",IF(OR(T132="",LEFT(T132,1)="⚠"),"파견근거 확인",IF(NOT(AND(ISNUMBER(H132),ISNUMBER(I132))),"날짜 형식/누락",IF(I132&lt;H132,"종료일&lt;시작일","")))))))))</f>
        <v/>
      </c>
      <c r="AB132" s="11">
        <f>IF(ISNUMBER(SEARCH("다기관",TRIM(N132&amp;" "&amp;O132))),IFERROR(DATE(VALUE(MID(TRIM(N132&amp;" "&amp;O132),1,4)),VALUE(MID(TRIM(N132&amp;" "&amp;O132),6,2)),VALUE(MID(TRIM(N132&amp;" "&amp;O132),9,2))),IF(ISNUMBER(H132),H132,"")),"")</f>
        <v/>
      </c>
      <c r="AC132" s="11">
        <f>IF(ISNUMBER(SEARCH("다기관",TRIM(N132&amp;" "&amp;O132))),IFERROR(DATE(VALUE(MID(TRIM(N132&amp;" "&amp;O132),12,4)),VALUE(MID(TRIM(N132&amp;" "&amp;O132),17,2)),VALUE(MID(TRIM(N132&amp;" "&amp;O132),20,2))),IF(ISNUMBER(I132),I132,"")),"")</f>
        <v/>
      </c>
      <c r="AD132" s="17">
        <f>IF(AND(ISNUMBER(AB132),ISNUMBER(AC132)),MAX(0,MIN(AC132,EOMONTH(요약!$B$3,0))-MAX(AB132,요약!$B$3)+1),0)</f>
        <v/>
      </c>
      <c r="AE132" s="10">
        <f>IF(AND(Q132&lt;&gt;"",ISNUMBER(AB132)),Q132&amp;"|다기관","")</f>
        <v/>
      </c>
    </row>
    <row r="133">
      <c r="A133" s="15">
        <f>IF(F133="","",ROW()-3)</f>
        <v/>
      </c>
      <c r="B133" s="5" t="n"/>
      <c r="C133" s="15" t="n"/>
      <c r="D133" s="5" t="n"/>
      <c r="E133" s="15" t="n"/>
      <c r="F133" s="5" t="n"/>
      <c r="G133" s="6" t="n"/>
      <c r="H133" s="16" t="n"/>
      <c r="I133" s="16" t="n"/>
      <c r="J133" s="15">
        <f>IF(AND(ISNUMBER(H133),ISNUMBER(I133)),I133-H133+1,"")</f>
        <v/>
      </c>
      <c r="K133" s="5" t="n"/>
      <c r="L133" s="5" t="n"/>
      <c r="M133" s="5" t="n"/>
      <c r="N133" s="5" t="n"/>
      <c r="O133" s="5" t="n"/>
      <c r="Q133" s="10">
        <f>IF(TRIM(G133&amp;"")="","",TRIM(G133&amp;""))</f>
        <v/>
      </c>
      <c r="R133" s="10">
        <f>IF(TRIM(B133&amp;"")="","",IFERROR(INDEX(코드표!$K$2:$K$101,MATCH(TRIM(B133&amp;""),코드표!$J$2:$J$101,0)),"⚠"&amp;TRIM(B133&amp;"")))</f>
        <v/>
      </c>
      <c r="S133" s="10">
        <f>IF(TRIM(K133&amp;"")="","",IFERROR(INDEX(코드표!$K$2:$K$101,MATCH(TRIM(K133&amp;""),코드표!$J$2:$J$101,0)),"⚠"&amp;TRIM(K133&amp;"")))</f>
        <v/>
      </c>
      <c r="T133" s="10">
        <f>IF(TRIM(M133&amp;"")="","",IF(ISNUMBER(MATCH(TRIM(M133&amp;""),코드표!$C$2:$C$11,0)),TRIM(M133&amp;""),"⚠"&amp;TRIM(M133&amp;"")))</f>
        <v/>
      </c>
      <c r="U133" s="10">
        <f>IF(TRIM(L133&amp;"")="","",IFERROR(INDEX(코드표!$G$2:$G$101,MATCH(TRIM(L133&amp;""),코드표!$F$2:$F$101,0)),"⚠"&amp;TRIM(L133&amp;"")))</f>
        <v/>
      </c>
      <c r="V133" s="10">
        <f>IF(AND(ISNUMBER(H133),ISNUMBER(I133)),I133-H133+1,"")</f>
        <v/>
      </c>
      <c r="W133" s="17">
        <f>IF(ISNUMBER(H133),MAX(0,MIN(IF(ISNUMBER(I133),I133,EOMONTH(요약!$B$3,0)),EOMONTH(요약!$B$3,0))-MAX(H133,요약!$B$3)+1),0)</f>
        <v/>
      </c>
      <c r="X133" s="10">
        <f>IF(OR(NOT(ISNUMBER(H133)),Q133=""),"",IF(TODAY()&lt;H133,"파견예정",IF(AND(ISNUMBER(I133),TODAY()&gt;I133),"파견종료","파견중")))</f>
        <v/>
      </c>
      <c r="Y133" s="10">
        <f>IF(OR(Q133="",X133=""),"",Q133&amp;"|"&amp;X133)</f>
        <v/>
      </c>
      <c r="Z133" s="10">
        <f>IF(AND(Q133&lt;&gt;"",W133&gt;0),Q133&amp;"|월","")</f>
        <v/>
      </c>
      <c r="AA133" s="10">
        <f>IF(COUNTA(B133:N133)=0,"",IF(Q133="","등록번호 없음",IF(LEFT(R133,1)="⚠","모병원명 미등록",IF(S133="","파견병원 입력",IF(LEFT(S133,1)="⚠","파견병원명 미등록",IF(LEFT(U133,1)="⚠","파견과목 미등록",IF(OR(T133="",LEFT(T133,1)="⚠"),"파견근거 확인",IF(NOT(AND(ISNUMBER(H133),ISNUMBER(I133))),"날짜 형식/누락",IF(I133&lt;H133,"종료일&lt;시작일","")))))))))</f>
        <v/>
      </c>
      <c r="AB133" s="11">
        <f>IF(ISNUMBER(SEARCH("다기관",TRIM(N133&amp;" "&amp;O133))),IFERROR(DATE(VALUE(MID(TRIM(N133&amp;" "&amp;O133),1,4)),VALUE(MID(TRIM(N133&amp;" "&amp;O133),6,2)),VALUE(MID(TRIM(N133&amp;" "&amp;O133),9,2))),IF(ISNUMBER(H133),H133,"")),"")</f>
        <v/>
      </c>
      <c r="AC133" s="11">
        <f>IF(ISNUMBER(SEARCH("다기관",TRIM(N133&amp;" "&amp;O133))),IFERROR(DATE(VALUE(MID(TRIM(N133&amp;" "&amp;O133),12,4)),VALUE(MID(TRIM(N133&amp;" "&amp;O133),17,2)),VALUE(MID(TRIM(N133&amp;" "&amp;O133),20,2))),IF(ISNUMBER(I133),I133,"")),"")</f>
        <v/>
      </c>
      <c r="AD133" s="17">
        <f>IF(AND(ISNUMBER(AB133),ISNUMBER(AC133)),MAX(0,MIN(AC133,EOMONTH(요약!$B$3,0))-MAX(AB133,요약!$B$3)+1),0)</f>
        <v/>
      </c>
      <c r="AE133" s="10">
        <f>IF(AND(Q133&lt;&gt;"",ISNUMBER(AB133)),Q133&amp;"|다기관","")</f>
        <v/>
      </c>
    </row>
    <row r="134">
      <c r="A134" s="15">
        <f>IF(F134="","",ROW()-3)</f>
        <v/>
      </c>
      <c r="B134" s="5" t="n"/>
      <c r="C134" s="15" t="n"/>
      <c r="D134" s="5" t="n"/>
      <c r="E134" s="15" t="n"/>
      <c r="F134" s="5" t="n"/>
      <c r="G134" s="6" t="n"/>
      <c r="H134" s="16" t="n"/>
      <c r="I134" s="16" t="n"/>
      <c r="J134" s="15">
        <f>IF(AND(ISNUMBER(H134),ISNUMBER(I134)),I134-H134+1,"")</f>
        <v/>
      </c>
      <c r="K134" s="5" t="n"/>
      <c r="L134" s="5" t="n"/>
      <c r="M134" s="5" t="n"/>
      <c r="N134" s="5" t="n"/>
      <c r="O134" s="5" t="n"/>
      <c r="Q134" s="10">
        <f>IF(TRIM(G134&amp;"")="","",TRIM(G134&amp;""))</f>
        <v/>
      </c>
      <c r="R134" s="10">
        <f>IF(TRIM(B134&amp;"")="","",IFERROR(INDEX(코드표!$K$2:$K$101,MATCH(TRIM(B134&amp;""),코드표!$J$2:$J$101,0)),"⚠"&amp;TRIM(B134&amp;"")))</f>
        <v/>
      </c>
      <c r="S134" s="10">
        <f>IF(TRIM(K134&amp;"")="","",IFERROR(INDEX(코드표!$K$2:$K$101,MATCH(TRIM(K134&amp;""),코드표!$J$2:$J$101,0)),"⚠"&amp;TRIM(K134&amp;"")))</f>
        <v/>
      </c>
      <c r="T134" s="10">
        <f>IF(TRIM(M134&amp;"")="","",IF(ISNUMBER(MATCH(TRIM(M134&amp;""),코드표!$C$2:$C$11,0)),TRIM(M134&amp;""),"⚠"&amp;TRIM(M134&amp;"")))</f>
        <v/>
      </c>
      <c r="U134" s="10">
        <f>IF(TRIM(L134&amp;"")="","",IFERROR(INDEX(코드표!$G$2:$G$101,MATCH(TRIM(L134&amp;""),코드표!$F$2:$F$101,0)),"⚠"&amp;TRIM(L134&amp;"")))</f>
        <v/>
      </c>
      <c r="V134" s="10">
        <f>IF(AND(ISNUMBER(H134),ISNUMBER(I134)),I134-H134+1,"")</f>
        <v/>
      </c>
      <c r="W134" s="17">
        <f>IF(ISNUMBER(H134),MAX(0,MIN(IF(ISNUMBER(I134),I134,EOMONTH(요약!$B$3,0)),EOMONTH(요약!$B$3,0))-MAX(H134,요약!$B$3)+1),0)</f>
        <v/>
      </c>
      <c r="X134" s="10">
        <f>IF(OR(NOT(ISNUMBER(H134)),Q134=""),"",IF(TODAY()&lt;H134,"파견예정",IF(AND(ISNUMBER(I134),TODAY()&gt;I134),"파견종료","파견중")))</f>
        <v/>
      </c>
      <c r="Y134" s="10">
        <f>IF(OR(Q134="",X134=""),"",Q134&amp;"|"&amp;X134)</f>
        <v/>
      </c>
      <c r="Z134" s="10">
        <f>IF(AND(Q134&lt;&gt;"",W134&gt;0),Q134&amp;"|월","")</f>
        <v/>
      </c>
      <c r="AA134" s="10">
        <f>IF(COUNTA(B134:N134)=0,"",IF(Q134="","등록번호 없음",IF(LEFT(R134,1)="⚠","모병원명 미등록",IF(S134="","파견병원 입력",IF(LEFT(S134,1)="⚠","파견병원명 미등록",IF(LEFT(U134,1)="⚠","파견과목 미등록",IF(OR(T134="",LEFT(T134,1)="⚠"),"파견근거 확인",IF(NOT(AND(ISNUMBER(H134),ISNUMBER(I134))),"날짜 형식/누락",IF(I134&lt;H134,"종료일&lt;시작일","")))))))))</f>
        <v/>
      </c>
      <c r="AB134" s="11">
        <f>IF(ISNUMBER(SEARCH("다기관",TRIM(N134&amp;" "&amp;O134))),IFERROR(DATE(VALUE(MID(TRIM(N134&amp;" "&amp;O134),1,4)),VALUE(MID(TRIM(N134&amp;" "&amp;O134),6,2)),VALUE(MID(TRIM(N134&amp;" "&amp;O134),9,2))),IF(ISNUMBER(H134),H134,"")),"")</f>
        <v/>
      </c>
      <c r="AC134" s="11">
        <f>IF(ISNUMBER(SEARCH("다기관",TRIM(N134&amp;" "&amp;O134))),IFERROR(DATE(VALUE(MID(TRIM(N134&amp;" "&amp;O134),12,4)),VALUE(MID(TRIM(N134&amp;" "&amp;O134),17,2)),VALUE(MID(TRIM(N134&amp;" "&amp;O134),20,2))),IF(ISNUMBER(I134),I134,"")),"")</f>
        <v/>
      </c>
      <c r="AD134" s="17">
        <f>IF(AND(ISNUMBER(AB134),ISNUMBER(AC134)),MAX(0,MIN(AC134,EOMONTH(요약!$B$3,0))-MAX(AB134,요약!$B$3)+1),0)</f>
        <v/>
      </c>
      <c r="AE134" s="10">
        <f>IF(AND(Q134&lt;&gt;"",ISNUMBER(AB134)),Q134&amp;"|다기관","")</f>
        <v/>
      </c>
    </row>
    <row r="135">
      <c r="A135" s="15">
        <f>IF(F135="","",ROW()-3)</f>
        <v/>
      </c>
      <c r="B135" s="5" t="n"/>
      <c r="C135" s="15" t="n"/>
      <c r="D135" s="5" t="n"/>
      <c r="E135" s="15" t="n"/>
      <c r="F135" s="5" t="n"/>
      <c r="G135" s="6" t="n"/>
      <c r="H135" s="16" t="n"/>
      <c r="I135" s="16" t="n"/>
      <c r="J135" s="15">
        <f>IF(AND(ISNUMBER(H135),ISNUMBER(I135)),I135-H135+1,"")</f>
        <v/>
      </c>
      <c r="K135" s="5" t="n"/>
      <c r="L135" s="5" t="n"/>
      <c r="M135" s="5" t="n"/>
      <c r="N135" s="5" t="n"/>
      <c r="O135" s="5" t="n"/>
      <c r="Q135" s="10">
        <f>IF(TRIM(G135&amp;"")="","",TRIM(G135&amp;""))</f>
        <v/>
      </c>
      <c r="R135" s="10">
        <f>IF(TRIM(B135&amp;"")="","",IFERROR(INDEX(코드표!$K$2:$K$101,MATCH(TRIM(B135&amp;""),코드표!$J$2:$J$101,0)),"⚠"&amp;TRIM(B135&amp;"")))</f>
        <v/>
      </c>
      <c r="S135" s="10">
        <f>IF(TRIM(K135&amp;"")="","",IFERROR(INDEX(코드표!$K$2:$K$101,MATCH(TRIM(K135&amp;""),코드표!$J$2:$J$101,0)),"⚠"&amp;TRIM(K135&amp;"")))</f>
        <v/>
      </c>
      <c r="T135" s="10">
        <f>IF(TRIM(M135&amp;"")="","",IF(ISNUMBER(MATCH(TRIM(M135&amp;""),코드표!$C$2:$C$11,0)),TRIM(M135&amp;""),"⚠"&amp;TRIM(M135&amp;"")))</f>
        <v/>
      </c>
      <c r="U135" s="10">
        <f>IF(TRIM(L135&amp;"")="","",IFERROR(INDEX(코드표!$G$2:$G$101,MATCH(TRIM(L135&amp;""),코드표!$F$2:$F$101,0)),"⚠"&amp;TRIM(L135&amp;"")))</f>
        <v/>
      </c>
      <c r="V135" s="10">
        <f>IF(AND(ISNUMBER(H135),ISNUMBER(I135)),I135-H135+1,"")</f>
        <v/>
      </c>
      <c r="W135" s="17">
        <f>IF(ISNUMBER(H135),MAX(0,MIN(IF(ISNUMBER(I135),I135,EOMONTH(요약!$B$3,0)),EOMONTH(요약!$B$3,0))-MAX(H135,요약!$B$3)+1),0)</f>
        <v/>
      </c>
      <c r="X135" s="10">
        <f>IF(OR(NOT(ISNUMBER(H135)),Q135=""),"",IF(TODAY()&lt;H135,"파견예정",IF(AND(ISNUMBER(I135),TODAY()&gt;I135),"파견종료","파견중")))</f>
        <v/>
      </c>
      <c r="Y135" s="10">
        <f>IF(OR(Q135="",X135=""),"",Q135&amp;"|"&amp;X135)</f>
        <v/>
      </c>
      <c r="Z135" s="10">
        <f>IF(AND(Q135&lt;&gt;"",W135&gt;0),Q135&amp;"|월","")</f>
        <v/>
      </c>
      <c r="AA135" s="10">
        <f>IF(COUNTA(B135:N135)=0,"",IF(Q135="","등록번호 없음",IF(LEFT(R135,1)="⚠","모병원명 미등록",IF(S135="","파견병원 입력",IF(LEFT(S135,1)="⚠","파견병원명 미등록",IF(LEFT(U135,1)="⚠","파견과목 미등록",IF(OR(T135="",LEFT(T135,1)="⚠"),"파견근거 확인",IF(NOT(AND(ISNUMBER(H135),ISNUMBER(I135))),"날짜 형식/누락",IF(I135&lt;H135,"종료일&lt;시작일","")))))))))</f>
        <v/>
      </c>
      <c r="AB135" s="11">
        <f>IF(ISNUMBER(SEARCH("다기관",TRIM(N135&amp;" "&amp;O135))),IFERROR(DATE(VALUE(MID(TRIM(N135&amp;" "&amp;O135),1,4)),VALUE(MID(TRIM(N135&amp;" "&amp;O135),6,2)),VALUE(MID(TRIM(N135&amp;" "&amp;O135),9,2))),IF(ISNUMBER(H135),H135,"")),"")</f>
        <v/>
      </c>
      <c r="AC135" s="11">
        <f>IF(ISNUMBER(SEARCH("다기관",TRIM(N135&amp;" "&amp;O135))),IFERROR(DATE(VALUE(MID(TRIM(N135&amp;" "&amp;O135),12,4)),VALUE(MID(TRIM(N135&amp;" "&amp;O135),17,2)),VALUE(MID(TRIM(N135&amp;" "&amp;O135),20,2))),IF(ISNUMBER(I135),I135,"")),"")</f>
        <v/>
      </c>
      <c r="AD135" s="17">
        <f>IF(AND(ISNUMBER(AB135),ISNUMBER(AC135)),MAX(0,MIN(AC135,EOMONTH(요약!$B$3,0))-MAX(AB135,요약!$B$3)+1),0)</f>
        <v/>
      </c>
      <c r="AE135" s="10">
        <f>IF(AND(Q135&lt;&gt;"",ISNUMBER(AB135)),Q135&amp;"|다기관","")</f>
        <v/>
      </c>
    </row>
    <row r="136">
      <c r="A136" s="15">
        <f>IF(F136="","",ROW()-3)</f>
        <v/>
      </c>
      <c r="B136" s="5" t="n"/>
      <c r="C136" s="15" t="n"/>
      <c r="D136" s="5" t="n"/>
      <c r="E136" s="15" t="n"/>
      <c r="F136" s="5" t="n"/>
      <c r="G136" s="6" t="n"/>
      <c r="H136" s="16" t="n"/>
      <c r="I136" s="16" t="n"/>
      <c r="J136" s="15">
        <f>IF(AND(ISNUMBER(H136),ISNUMBER(I136)),I136-H136+1,"")</f>
        <v/>
      </c>
      <c r="K136" s="5" t="n"/>
      <c r="L136" s="5" t="n"/>
      <c r="M136" s="5" t="n"/>
      <c r="N136" s="5" t="n"/>
      <c r="O136" s="5" t="n"/>
      <c r="Q136" s="10">
        <f>IF(TRIM(G136&amp;"")="","",TRIM(G136&amp;""))</f>
        <v/>
      </c>
      <c r="R136" s="10">
        <f>IF(TRIM(B136&amp;"")="","",IFERROR(INDEX(코드표!$K$2:$K$101,MATCH(TRIM(B136&amp;""),코드표!$J$2:$J$101,0)),"⚠"&amp;TRIM(B136&amp;"")))</f>
        <v/>
      </c>
      <c r="S136" s="10">
        <f>IF(TRIM(K136&amp;"")="","",IFERROR(INDEX(코드표!$K$2:$K$101,MATCH(TRIM(K136&amp;""),코드표!$J$2:$J$101,0)),"⚠"&amp;TRIM(K136&amp;"")))</f>
        <v/>
      </c>
      <c r="T136" s="10">
        <f>IF(TRIM(M136&amp;"")="","",IF(ISNUMBER(MATCH(TRIM(M136&amp;""),코드표!$C$2:$C$11,0)),TRIM(M136&amp;""),"⚠"&amp;TRIM(M136&amp;"")))</f>
        <v/>
      </c>
      <c r="U136" s="10">
        <f>IF(TRIM(L136&amp;"")="","",IFERROR(INDEX(코드표!$G$2:$G$101,MATCH(TRIM(L136&amp;""),코드표!$F$2:$F$101,0)),"⚠"&amp;TRIM(L136&amp;"")))</f>
        <v/>
      </c>
      <c r="V136" s="10">
        <f>IF(AND(ISNUMBER(H136),ISNUMBER(I136)),I136-H136+1,"")</f>
        <v/>
      </c>
      <c r="W136" s="17">
        <f>IF(ISNUMBER(H136),MAX(0,MIN(IF(ISNUMBER(I136),I136,EOMONTH(요약!$B$3,0)),EOMONTH(요약!$B$3,0))-MAX(H136,요약!$B$3)+1),0)</f>
        <v/>
      </c>
      <c r="X136" s="10">
        <f>IF(OR(NOT(ISNUMBER(H136)),Q136=""),"",IF(TODAY()&lt;H136,"파견예정",IF(AND(ISNUMBER(I136),TODAY()&gt;I136),"파견종료","파견중")))</f>
        <v/>
      </c>
      <c r="Y136" s="10">
        <f>IF(OR(Q136="",X136=""),"",Q136&amp;"|"&amp;X136)</f>
        <v/>
      </c>
      <c r="Z136" s="10">
        <f>IF(AND(Q136&lt;&gt;"",W136&gt;0),Q136&amp;"|월","")</f>
        <v/>
      </c>
      <c r="AA136" s="10">
        <f>IF(COUNTA(B136:N136)=0,"",IF(Q136="","등록번호 없음",IF(LEFT(R136,1)="⚠","모병원명 미등록",IF(S136="","파견병원 입력",IF(LEFT(S136,1)="⚠","파견병원명 미등록",IF(LEFT(U136,1)="⚠","파견과목 미등록",IF(OR(T136="",LEFT(T136,1)="⚠"),"파견근거 확인",IF(NOT(AND(ISNUMBER(H136),ISNUMBER(I136))),"날짜 형식/누락",IF(I136&lt;H136,"종료일&lt;시작일","")))))))))</f>
        <v/>
      </c>
      <c r="AB136" s="11">
        <f>IF(ISNUMBER(SEARCH("다기관",TRIM(N136&amp;" "&amp;O136))),IFERROR(DATE(VALUE(MID(TRIM(N136&amp;" "&amp;O136),1,4)),VALUE(MID(TRIM(N136&amp;" "&amp;O136),6,2)),VALUE(MID(TRIM(N136&amp;" "&amp;O136),9,2))),IF(ISNUMBER(H136),H136,"")),"")</f>
        <v/>
      </c>
      <c r="AC136" s="11">
        <f>IF(ISNUMBER(SEARCH("다기관",TRIM(N136&amp;" "&amp;O136))),IFERROR(DATE(VALUE(MID(TRIM(N136&amp;" "&amp;O136),12,4)),VALUE(MID(TRIM(N136&amp;" "&amp;O136),17,2)),VALUE(MID(TRIM(N136&amp;" "&amp;O136),20,2))),IF(ISNUMBER(I136),I136,"")),"")</f>
        <v/>
      </c>
      <c r="AD136" s="17">
        <f>IF(AND(ISNUMBER(AB136),ISNUMBER(AC136)),MAX(0,MIN(AC136,EOMONTH(요약!$B$3,0))-MAX(AB136,요약!$B$3)+1),0)</f>
        <v/>
      </c>
      <c r="AE136" s="10">
        <f>IF(AND(Q136&lt;&gt;"",ISNUMBER(AB136)),Q136&amp;"|다기관","")</f>
        <v/>
      </c>
    </row>
    <row r="137">
      <c r="A137" s="15">
        <f>IF(F137="","",ROW()-3)</f>
        <v/>
      </c>
      <c r="B137" s="5" t="n"/>
      <c r="C137" s="15" t="n"/>
      <c r="D137" s="5" t="n"/>
      <c r="E137" s="15" t="n"/>
      <c r="F137" s="5" t="n"/>
      <c r="G137" s="6" t="n"/>
      <c r="H137" s="16" t="n"/>
      <c r="I137" s="16" t="n"/>
      <c r="J137" s="15">
        <f>IF(AND(ISNUMBER(H137),ISNUMBER(I137)),I137-H137+1,"")</f>
        <v/>
      </c>
      <c r="K137" s="5" t="n"/>
      <c r="L137" s="5" t="n"/>
      <c r="M137" s="5" t="n"/>
      <c r="N137" s="5" t="n"/>
      <c r="O137" s="5" t="n"/>
      <c r="Q137" s="10">
        <f>IF(TRIM(G137&amp;"")="","",TRIM(G137&amp;""))</f>
        <v/>
      </c>
      <c r="R137" s="10">
        <f>IF(TRIM(B137&amp;"")="","",IFERROR(INDEX(코드표!$K$2:$K$101,MATCH(TRIM(B137&amp;""),코드표!$J$2:$J$101,0)),"⚠"&amp;TRIM(B137&amp;"")))</f>
        <v/>
      </c>
      <c r="S137" s="10">
        <f>IF(TRIM(K137&amp;"")="","",IFERROR(INDEX(코드표!$K$2:$K$101,MATCH(TRIM(K137&amp;""),코드표!$J$2:$J$101,0)),"⚠"&amp;TRIM(K137&amp;"")))</f>
        <v/>
      </c>
      <c r="T137" s="10">
        <f>IF(TRIM(M137&amp;"")="","",IF(ISNUMBER(MATCH(TRIM(M137&amp;""),코드표!$C$2:$C$11,0)),TRIM(M137&amp;""),"⚠"&amp;TRIM(M137&amp;"")))</f>
        <v/>
      </c>
      <c r="U137" s="10">
        <f>IF(TRIM(L137&amp;"")="","",IFERROR(INDEX(코드표!$G$2:$G$101,MATCH(TRIM(L137&amp;""),코드표!$F$2:$F$101,0)),"⚠"&amp;TRIM(L137&amp;"")))</f>
        <v/>
      </c>
      <c r="V137" s="10">
        <f>IF(AND(ISNUMBER(H137),ISNUMBER(I137)),I137-H137+1,"")</f>
        <v/>
      </c>
      <c r="W137" s="17">
        <f>IF(ISNUMBER(H137),MAX(0,MIN(IF(ISNUMBER(I137),I137,EOMONTH(요약!$B$3,0)),EOMONTH(요약!$B$3,0))-MAX(H137,요약!$B$3)+1),0)</f>
        <v/>
      </c>
      <c r="X137" s="10">
        <f>IF(OR(NOT(ISNUMBER(H137)),Q137=""),"",IF(TODAY()&lt;H137,"파견예정",IF(AND(ISNUMBER(I137),TODAY()&gt;I137),"파견종료","파견중")))</f>
        <v/>
      </c>
      <c r="Y137" s="10">
        <f>IF(OR(Q137="",X137=""),"",Q137&amp;"|"&amp;X137)</f>
        <v/>
      </c>
      <c r="Z137" s="10">
        <f>IF(AND(Q137&lt;&gt;"",W137&gt;0),Q137&amp;"|월","")</f>
        <v/>
      </c>
      <c r="AA137" s="10">
        <f>IF(COUNTA(B137:N137)=0,"",IF(Q137="","등록번호 없음",IF(LEFT(R137,1)="⚠","모병원명 미등록",IF(S137="","파견병원 입력",IF(LEFT(S137,1)="⚠","파견병원명 미등록",IF(LEFT(U137,1)="⚠","파견과목 미등록",IF(OR(T137="",LEFT(T137,1)="⚠"),"파견근거 확인",IF(NOT(AND(ISNUMBER(H137),ISNUMBER(I137))),"날짜 형식/누락",IF(I137&lt;H137,"종료일&lt;시작일","")))))))))</f>
        <v/>
      </c>
      <c r="AB137" s="11">
        <f>IF(ISNUMBER(SEARCH("다기관",TRIM(N137&amp;" "&amp;O137))),IFERROR(DATE(VALUE(MID(TRIM(N137&amp;" "&amp;O137),1,4)),VALUE(MID(TRIM(N137&amp;" "&amp;O137),6,2)),VALUE(MID(TRIM(N137&amp;" "&amp;O137),9,2))),IF(ISNUMBER(H137),H137,"")),"")</f>
        <v/>
      </c>
      <c r="AC137" s="11">
        <f>IF(ISNUMBER(SEARCH("다기관",TRIM(N137&amp;" "&amp;O137))),IFERROR(DATE(VALUE(MID(TRIM(N137&amp;" "&amp;O137),12,4)),VALUE(MID(TRIM(N137&amp;" "&amp;O137),17,2)),VALUE(MID(TRIM(N137&amp;" "&amp;O137),20,2))),IF(ISNUMBER(I137),I137,"")),"")</f>
        <v/>
      </c>
      <c r="AD137" s="17">
        <f>IF(AND(ISNUMBER(AB137),ISNUMBER(AC137)),MAX(0,MIN(AC137,EOMONTH(요약!$B$3,0))-MAX(AB137,요약!$B$3)+1),0)</f>
        <v/>
      </c>
      <c r="AE137" s="10">
        <f>IF(AND(Q137&lt;&gt;"",ISNUMBER(AB137)),Q137&amp;"|다기관","")</f>
        <v/>
      </c>
    </row>
    <row r="138">
      <c r="A138" s="15">
        <f>IF(F138="","",ROW()-3)</f>
        <v/>
      </c>
      <c r="B138" s="5" t="n"/>
      <c r="C138" s="15" t="n"/>
      <c r="D138" s="5" t="n"/>
      <c r="E138" s="15" t="n"/>
      <c r="F138" s="5" t="n"/>
      <c r="G138" s="6" t="n"/>
      <c r="H138" s="16" t="n"/>
      <c r="I138" s="16" t="n"/>
      <c r="J138" s="15">
        <f>IF(AND(ISNUMBER(H138),ISNUMBER(I138)),I138-H138+1,"")</f>
        <v/>
      </c>
      <c r="K138" s="5" t="n"/>
      <c r="L138" s="5" t="n"/>
      <c r="M138" s="5" t="n"/>
      <c r="N138" s="5" t="n"/>
      <c r="O138" s="5" t="n"/>
      <c r="Q138" s="10">
        <f>IF(TRIM(G138&amp;"")="","",TRIM(G138&amp;""))</f>
        <v/>
      </c>
      <c r="R138" s="10">
        <f>IF(TRIM(B138&amp;"")="","",IFERROR(INDEX(코드표!$K$2:$K$101,MATCH(TRIM(B138&amp;""),코드표!$J$2:$J$101,0)),"⚠"&amp;TRIM(B138&amp;"")))</f>
        <v/>
      </c>
      <c r="S138" s="10">
        <f>IF(TRIM(K138&amp;"")="","",IFERROR(INDEX(코드표!$K$2:$K$101,MATCH(TRIM(K138&amp;""),코드표!$J$2:$J$101,0)),"⚠"&amp;TRIM(K138&amp;"")))</f>
        <v/>
      </c>
      <c r="T138" s="10">
        <f>IF(TRIM(M138&amp;"")="","",IF(ISNUMBER(MATCH(TRIM(M138&amp;""),코드표!$C$2:$C$11,0)),TRIM(M138&amp;""),"⚠"&amp;TRIM(M138&amp;"")))</f>
        <v/>
      </c>
      <c r="U138" s="10">
        <f>IF(TRIM(L138&amp;"")="","",IFERROR(INDEX(코드표!$G$2:$G$101,MATCH(TRIM(L138&amp;""),코드표!$F$2:$F$101,0)),"⚠"&amp;TRIM(L138&amp;"")))</f>
        <v/>
      </c>
      <c r="V138" s="10">
        <f>IF(AND(ISNUMBER(H138),ISNUMBER(I138)),I138-H138+1,"")</f>
        <v/>
      </c>
      <c r="W138" s="17">
        <f>IF(ISNUMBER(H138),MAX(0,MIN(IF(ISNUMBER(I138),I138,EOMONTH(요약!$B$3,0)),EOMONTH(요약!$B$3,0))-MAX(H138,요약!$B$3)+1),0)</f>
        <v/>
      </c>
      <c r="X138" s="10">
        <f>IF(OR(NOT(ISNUMBER(H138)),Q138=""),"",IF(TODAY()&lt;H138,"파견예정",IF(AND(ISNUMBER(I138),TODAY()&gt;I138),"파견종료","파견중")))</f>
        <v/>
      </c>
      <c r="Y138" s="10">
        <f>IF(OR(Q138="",X138=""),"",Q138&amp;"|"&amp;X138)</f>
        <v/>
      </c>
      <c r="Z138" s="10">
        <f>IF(AND(Q138&lt;&gt;"",W138&gt;0),Q138&amp;"|월","")</f>
        <v/>
      </c>
      <c r="AA138" s="10">
        <f>IF(COUNTA(B138:N138)=0,"",IF(Q138="","등록번호 없음",IF(LEFT(R138,1)="⚠","모병원명 미등록",IF(S138="","파견병원 입력",IF(LEFT(S138,1)="⚠","파견병원명 미등록",IF(LEFT(U138,1)="⚠","파견과목 미등록",IF(OR(T138="",LEFT(T138,1)="⚠"),"파견근거 확인",IF(NOT(AND(ISNUMBER(H138),ISNUMBER(I138))),"날짜 형식/누락",IF(I138&lt;H138,"종료일&lt;시작일","")))))))))</f>
        <v/>
      </c>
      <c r="AB138" s="11">
        <f>IF(ISNUMBER(SEARCH("다기관",TRIM(N138&amp;" "&amp;O138))),IFERROR(DATE(VALUE(MID(TRIM(N138&amp;" "&amp;O138),1,4)),VALUE(MID(TRIM(N138&amp;" "&amp;O138),6,2)),VALUE(MID(TRIM(N138&amp;" "&amp;O138),9,2))),IF(ISNUMBER(H138),H138,"")),"")</f>
        <v/>
      </c>
      <c r="AC138" s="11">
        <f>IF(ISNUMBER(SEARCH("다기관",TRIM(N138&amp;" "&amp;O138))),IFERROR(DATE(VALUE(MID(TRIM(N138&amp;" "&amp;O138),12,4)),VALUE(MID(TRIM(N138&amp;" "&amp;O138),17,2)),VALUE(MID(TRIM(N138&amp;" "&amp;O138),20,2))),IF(ISNUMBER(I138),I138,"")),"")</f>
        <v/>
      </c>
      <c r="AD138" s="17">
        <f>IF(AND(ISNUMBER(AB138),ISNUMBER(AC138)),MAX(0,MIN(AC138,EOMONTH(요약!$B$3,0))-MAX(AB138,요약!$B$3)+1),0)</f>
        <v/>
      </c>
      <c r="AE138" s="10">
        <f>IF(AND(Q138&lt;&gt;"",ISNUMBER(AB138)),Q138&amp;"|다기관","")</f>
        <v/>
      </c>
    </row>
    <row r="139">
      <c r="A139" s="15">
        <f>IF(F139="","",ROW()-3)</f>
        <v/>
      </c>
      <c r="B139" s="5" t="n"/>
      <c r="C139" s="15" t="n"/>
      <c r="D139" s="5" t="n"/>
      <c r="E139" s="15" t="n"/>
      <c r="F139" s="5" t="n"/>
      <c r="G139" s="6" t="n"/>
      <c r="H139" s="16" t="n"/>
      <c r="I139" s="16" t="n"/>
      <c r="J139" s="15">
        <f>IF(AND(ISNUMBER(H139),ISNUMBER(I139)),I139-H139+1,"")</f>
        <v/>
      </c>
      <c r="K139" s="5" t="n"/>
      <c r="L139" s="5" t="n"/>
      <c r="M139" s="5" t="n"/>
      <c r="N139" s="5" t="n"/>
      <c r="O139" s="5" t="n"/>
      <c r="Q139" s="10">
        <f>IF(TRIM(G139&amp;"")="","",TRIM(G139&amp;""))</f>
        <v/>
      </c>
      <c r="R139" s="10">
        <f>IF(TRIM(B139&amp;"")="","",IFERROR(INDEX(코드표!$K$2:$K$101,MATCH(TRIM(B139&amp;""),코드표!$J$2:$J$101,0)),"⚠"&amp;TRIM(B139&amp;"")))</f>
        <v/>
      </c>
      <c r="S139" s="10">
        <f>IF(TRIM(K139&amp;"")="","",IFERROR(INDEX(코드표!$K$2:$K$101,MATCH(TRIM(K139&amp;""),코드표!$J$2:$J$101,0)),"⚠"&amp;TRIM(K139&amp;"")))</f>
        <v/>
      </c>
      <c r="T139" s="10">
        <f>IF(TRIM(M139&amp;"")="","",IF(ISNUMBER(MATCH(TRIM(M139&amp;""),코드표!$C$2:$C$11,0)),TRIM(M139&amp;""),"⚠"&amp;TRIM(M139&amp;"")))</f>
        <v/>
      </c>
      <c r="U139" s="10">
        <f>IF(TRIM(L139&amp;"")="","",IFERROR(INDEX(코드표!$G$2:$G$101,MATCH(TRIM(L139&amp;""),코드표!$F$2:$F$101,0)),"⚠"&amp;TRIM(L139&amp;"")))</f>
        <v/>
      </c>
      <c r="V139" s="10">
        <f>IF(AND(ISNUMBER(H139),ISNUMBER(I139)),I139-H139+1,"")</f>
        <v/>
      </c>
      <c r="W139" s="17">
        <f>IF(ISNUMBER(H139),MAX(0,MIN(IF(ISNUMBER(I139),I139,EOMONTH(요약!$B$3,0)),EOMONTH(요약!$B$3,0))-MAX(H139,요약!$B$3)+1),0)</f>
        <v/>
      </c>
      <c r="X139" s="10">
        <f>IF(OR(NOT(ISNUMBER(H139)),Q139=""),"",IF(TODAY()&lt;H139,"파견예정",IF(AND(ISNUMBER(I139),TODAY()&gt;I139),"파견종료","파견중")))</f>
        <v/>
      </c>
      <c r="Y139" s="10">
        <f>IF(OR(Q139="",X139=""),"",Q139&amp;"|"&amp;X139)</f>
        <v/>
      </c>
      <c r="Z139" s="10">
        <f>IF(AND(Q139&lt;&gt;"",W139&gt;0),Q139&amp;"|월","")</f>
        <v/>
      </c>
      <c r="AA139" s="10">
        <f>IF(COUNTA(B139:N139)=0,"",IF(Q139="","등록번호 없음",IF(LEFT(R139,1)="⚠","모병원명 미등록",IF(S139="","파견병원 입력",IF(LEFT(S139,1)="⚠","파견병원명 미등록",IF(LEFT(U139,1)="⚠","파견과목 미등록",IF(OR(T139="",LEFT(T139,1)="⚠"),"파견근거 확인",IF(NOT(AND(ISNUMBER(H139),ISNUMBER(I139))),"날짜 형식/누락",IF(I139&lt;H139,"종료일&lt;시작일","")))))))))</f>
        <v/>
      </c>
      <c r="AB139" s="11">
        <f>IF(ISNUMBER(SEARCH("다기관",TRIM(N139&amp;" "&amp;O139))),IFERROR(DATE(VALUE(MID(TRIM(N139&amp;" "&amp;O139),1,4)),VALUE(MID(TRIM(N139&amp;" "&amp;O139),6,2)),VALUE(MID(TRIM(N139&amp;" "&amp;O139),9,2))),IF(ISNUMBER(H139),H139,"")),"")</f>
        <v/>
      </c>
      <c r="AC139" s="11">
        <f>IF(ISNUMBER(SEARCH("다기관",TRIM(N139&amp;" "&amp;O139))),IFERROR(DATE(VALUE(MID(TRIM(N139&amp;" "&amp;O139),12,4)),VALUE(MID(TRIM(N139&amp;" "&amp;O139),17,2)),VALUE(MID(TRIM(N139&amp;" "&amp;O139),20,2))),IF(ISNUMBER(I139),I139,"")),"")</f>
        <v/>
      </c>
      <c r="AD139" s="17">
        <f>IF(AND(ISNUMBER(AB139),ISNUMBER(AC139)),MAX(0,MIN(AC139,EOMONTH(요약!$B$3,0))-MAX(AB139,요약!$B$3)+1),0)</f>
        <v/>
      </c>
      <c r="AE139" s="10">
        <f>IF(AND(Q139&lt;&gt;"",ISNUMBER(AB139)),Q139&amp;"|다기관","")</f>
        <v/>
      </c>
    </row>
    <row r="140">
      <c r="A140" s="15">
        <f>IF(F140="","",ROW()-3)</f>
        <v/>
      </c>
      <c r="B140" s="5" t="n"/>
      <c r="C140" s="15" t="n"/>
      <c r="D140" s="5" t="n"/>
      <c r="E140" s="15" t="n"/>
      <c r="F140" s="5" t="n"/>
      <c r="G140" s="6" t="n"/>
      <c r="H140" s="16" t="n"/>
      <c r="I140" s="16" t="n"/>
      <c r="J140" s="15">
        <f>IF(AND(ISNUMBER(H140),ISNUMBER(I140)),I140-H140+1,"")</f>
        <v/>
      </c>
      <c r="K140" s="5" t="n"/>
      <c r="L140" s="5" t="n"/>
      <c r="M140" s="5" t="n"/>
      <c r="N140" s="5" t="n"/>
      <c r="O140" s="5" t="n"/>
      <c r="Q140" s="10">
        <f>IF(TRIM(G140&amp;"")="","",TRIM(G140&amp;""))</f>
        <v/>
      </c>
      <c r="R140" s="10">
        <f>IF(TRIM(B140&amp;"")="","",IFERROR(INDEX(코드표!$K$2:$K$101,MATCH(TRIM(B140&amp;""),코드표!$J$2:$J$101,0)),"⚠"&amp;TRIM(B140&amp;"")))</f>
        <v/>
      </c>
      <c r="S140" s="10">
        <f>IF(TRIM(K140&amp;"")="","",IFERROR(INDEX(코드표!$K$2:$K$101,MATCH(TRIM(K140&amp;""),코드표!$J$2:$J$101,0)),"⚠"&amp;TRIM(K140&amp;"")))</f>
        <v/>
      </c>
      <c r="T140" s="10">
        <f>IF(TRIM(M140&amp;"")="","",IF(ISNUMBER(MATCH(TRIM(M140&amp;""),코드표!$C$2:$C$11,0)),TRIM(M140&amp;""),"⚠"&amp;TRIM(M140&amp;"")))</f>
        <v/>
      </c>
      <c r="U140" s="10">
        <f>IF(TRIM(L140&amp;"")="","",IFERROR(INDEX(코드표!$G$2:$G$101,MATCH(TRIM(L140&amp;""),코드표!$F$2:$F$101,0)),"⚠"&amp;TRIM(L140&amp;"")))</f>
        <v/>
      </c>
      <c r="V140" s="10">
        <f>IF(AND(ISNUMBER(H140),ISNUMBER(I140)),I140-H140+1,"")</f>
        <v/>
      </c>
      <c r="W140" s="17">
        <f>IF(ISNUMBER(H140),MAX(0,MIN(IF(ISNUMBER(I140),I140,EOMONTH(요약!$B$3,0)),EOMONTH(요약!$B$3,0))-MAX(H140,요약!$B$3)+1),0)</f>
        <v/>
      </c>
      <c r="X140" s="10">
        <f>IF(OR(NOT(ISNUMBER(H140)),Q140=""),"",IF(TODAY()&lt;H140,"파견예정",IF(AND(ISNUMBER(I140),TODAY()&gt;I140),"파견종료","파견중")))</f>
        <v/>
      </c>
      <c r="Y140" s="10">
        <f>IF(OR(Q140="",X140=""),"",Q140&amp;"|"&amp;X140)</f>
        <v/>
      </c>
      <c r="Z140" s="10">
        <f>IF(AND(Q140&lt;&gt;"",W140&gt;0),Q140&amp;"|월","")</f>
        <v/>
      </c>
      <c r="AA140" s="10">
        <f>IF(COUNTA(B140:N140)=0,"",IF(Q140="","등록번호 없음",IF(LEFT(R140,1)="⚠","모병원명 미등록",IF(S140="","파견병원 입력",IF(LEFT(S140,1)="⚠","파견병원명 미등록",IF(LEFT(U140,1)="⚠","파견과목 미등록",IF(OR(T140="",LEFT(T140,1)="⚠"),"파견근거 확인",IF(NOT(AND(ISNUMBER(H140),ISNUMBER(I140))),"날짜 형식/누락",IF(I140&lt;H140,"종료일&lt;시작일","")))))))))</f>
        <v/>
      </c>
      <c r="AB140" s="11">
        <f>IF(ISNUMBER(SEARCH("다기관",TRIM(N140&amp;" "&amp;O140))),IFERROR(DATE(VALUE(MID(TRIM(N140&amp;" "&amp;O140),1,4)),VALUE(MID(TRIM(N140&amp;" "&amp;O140),6,2)),VALUE(MID(TRIM(N140&amp;" "&amp;O140),9,2))),IF(ISNUMBER(H140),H140,"")),"")</f>
        <v/>
      </c>
      <c r="AC140" s="11">
        <f>IF(ISNUMBER(SEARCH("다기관",TRIM(N140&amp;" "&amp;O140))),IFERROR(DATE(VALUE(MID(TRIM(N140&amp;" "&amp;O140),12,4)),VALUE(MID(TRIM(N140&amp;" "&amp;O140),17,2)),VALUE(MID(TRIM(N140&amp;" "&amp;O140),20,2))),IF(ISNUMBER(I140),I140,"")),"")</f>
        <v/>
      </c>
      <c r="AD140" s="17">
        <f>IF(AND(ISNUMBER(AB140),ISNUMBER(AC140)),MAX(0,MIN(AC140,EOMONTH(요약!$B$3,0))-MAX(AB140,요약!$B$3)+1),0)</f>
        <v/>
      </c>
      <c r="AE140" s="10">
        <f>IF(AND(Q140&lt;&gt;"",ISNUMBER(AB140)),Q140&amp;"|다기관","")</f>
        <v/>
      </c>
    </row>
    <row r="141">
      <c r="A141" s="15">
        <f>IF(F141="","",ROW()-3)</f>
        <v/>
      </c>
      <c r="B141" s="5" t="n"/>
      <c r="C141" s="15" t="n"/>
      <c r="D141" s="5" t="n"/>
      <c r="E141" s="15" t="n"/>
      <c r="F141" s="5" t="n"/>
      <c r="G141" s="6" t="n"/>
      <c r="H141" s="16" t="n"/>
      <c r="I141" s="16" t="n"/>
      <c r="J141" s="15">
        <f>IF(AND(ISNUMBER(H141),ISNUMBER(I141)),I141-H141+1,"")</f>
        <v/>
      </c>
      <c r="K141" s="5" t="n"/>
      <c r="L141" s="5" t="n"/>
      <c r="M141" s="5" t="n"/>
      <c r="N141" s="5" t="n"/>
      <c r="O141" s="5" t="n"/>
      <c r="Q141" s="10">
        <f>IF(TRIM(G141&amp;"")="","",TRIM(G141&amp;""))</f>
        <v/>
      </c>
      <c r="R141" s="10">
        <f>IF(TRIM(B141&amp;"")="","",IFERROR(INDEX(코드표!$K$2:$K$101,MATCH(TRIM(B141&amp;""),코드표!$J$2:$J$101,0)),"⚠"&amp;TRIM(B141&amp;"")))</f>
        <v/>
      </c>
      <c r="S141" s="10">
        <f>IF(TRIM(K141&amp;"")="","",IFERROR(INDEX(코드표!$K$2:$K$101,MATCH(TRIM(K141&amp;""),코드표!$J$2:$J$101,0)),"⚠"&amp;TRIM(K141&amp;"")))</f>
        <v/>
      </c>
      <c r="T141" s="10">
        <f>IF(TRIM(M141&amp;"")="","",IF(ISNUMBER(MATCH(TRIM(M141&amp;""),코드표!$C$2:$C$11,0)),TRIM(M141&amp;""),"⚠"&amp;TRIM(M141&amp;"")))</f>
        <v/>
      </c>
      <c r="U141" s="10">
        <f>IF(TRIM(L141&amp;"")="","",IFERROR(INDEX(코드표!$G$2:$G$101,MATCH(TRIM(L141&amp;""),코드표!$F$2:$F$101,0)),"⚠"&amp;TRIM(L141&amp;"")))</f>
        <v/>
      </c>
      <c r="V141" s="10">
        <f>IF(AND(ISNUMBER(H141),ISNUMBER(I141)),I141-H141+1,"")</f>
        <v/>
      </c>
      <c r="W141" s="17">
        <f>IF(ISNUMBER(H141),MAX(0,MIN(IF(ISNUMBER(I141),I141,EOMONTH(요약!$B$3,0)),EOMONTH(요약!$B$3,0))-MAX(H141,요약!$B$3)+1),0)</f>
        <v/>
      </c>
      <c r="X141" s="10">
        <f>IF(OR(NOT(ISNUMBER(H141)),Q141=""),"",IF(TODAY()&lt;H141,"파견예정",IF(AND(ISNUMBER(I141),TODAY()&gt;I141),"파견종료","파견중")))</f>
        <v/>
      </c>
      <c r="Y141" s="10">
        <f>IF(OR(Q141="",X141=""),"",Q141&amp;"|"&amp;X141)</f>
        <v/>
      </c>
      <c r="Z141" s="10">
        <f>IF(AND(Q141&lt;&gt;"",W141&gt;0),Q141&amp;"|월","")</f>
        <v/>
      </c>
      <c r="AA141" s="10">
        <f>IF(COUNTA(B141:N141)=0,"",IF(Q141="","등록번호 없음",IF(LEFT(R141,1)="⚠","모병원명 미등록",IF(S141="","파견병원 입력",IF(LEFT(S141,1)="⚠","파견병원명 미등록",IF(LEFT(U141,1)="⚠","파견과목 미등록",IF(OR(T141="",LEFT(T141,1)="⚠"),"파견근거 확인",IF(NOT(AND(ISNUMBER(H141),ISNUMBER(I141))),"날짜 형식/누락",IF(I141&lt;H141,"종료일&lt;시작일","")))))))))</f>
        <v/>
      </c>
      <c r="AB141" s="11">
        <f>IF(ISNUMBER(SEARCH("다기관",TRIM(N141&amp;" "&amp;O141))),IFERROR(DATE(VALUE(MID(TRIM(N141&amp;" "&amp;O141),1,4)),VALUE(MID(TRIM(N141&amp;" "&amp;O141),6,2)),VALUE(MID(TRIM(N141&amp;" "&amp;O141),9,2))),IF(ISNUMBER(H141),H141,"")),"")</f>
        <v/>
      </c>
      <c r="AC141" s="11">
        <f>IF(ISNUMBER(SEARCH("다기관",TRIM(N141&amp;" "&amp;O141))),IFERROR(DATE(VALUE(MID(TRIM(N141&amp;" "&amp;O141),12,4)),VALUE(MID(TRIM(N141&amp;" "&amp;O141),17,2)),VALUE(MID(TRIM(N141&amp;" "&amp;O141),20,2))),IF(ISNUMBER(I141),I141,"")),"")</f>
        <v/>
      </c>
      <c r="AD141" s="17">
        <f>IF(AND(ISNUMBER(AB141),ISNUMBER(AC141)),MAX(0,MIN(AC141,EOMONTH(요약!$B$3,0))-MAX(AB141,요약!$B$3)+1),0)</f>
        <v/>
      </c>
      <c r="AE141" s="10">
        <f>IF(AND(Q141&lt;&gt;"",ISNUMBER(AB141)),Q141&amp;"|다기관","")</f>
        <v/>
      </c>
    </row>
    <row r="142">
      <c r="A142" s="15">
        <f>IF(F142="","",ROW()-3)</f>
        <v/>
      </c>
      <c r="B142" s="5" t="n"/>
      <c r="C142" s="15" t="n"/>
      <c r="D142" s="5" t="n"/>
      <c r="E142" s="15" t="n"/>
      <c r="F142" s="5" t="n"/>
      <c r="G142" s="6" t="n"/>
      <c r="H142" s="16" t="n"/>
      <c r="I142" s="16" t="n"/>
      <c r="J142" s="15">
        <f>IF(AND(ISNUMBER(H142),ISNUMBER(I142)),I142-H142+1,"")</f>
        <v/>
      </c>
      <c r="K142" s="5" t="n"/>
      <c r="L142" s="5" t="n"/>
      <c r="M142" s="5" t="n"/>
      <c r="N142" s="5" t="n"/>
      <c r="O142" s="5" t="n"/>
      <c r="Q142" s="10">
        <f>IF(TRIM(G142&amp;"")="","",TRIM(G142&amp;""))</f>
        <v/>
      </c>
      <c r="R142" s="10">
        <f>IF(TRIM(B142&amp;"")="","",IFERROR(INDEX(코드표!$K$2:$K$101,MATCH(TRIM(B142&amp;""),코드표!$J$2:$J$101,0)),"⚠"&amp;TRIM(B142&amp;"")))</f>
        <v/>
      </c>
      <c r="S142" s="10">
        <f>IF(TRIM(K142&amp;"")="","",IFERROR(INDEX(코드표!$K$2:$K$101,MATCH(TRIM(K142&amp;""),코드표!$J$2:$J$101,0)),"⚠"&amp;TRIM(K142&amp;"")))</f>
        <v/>
      </c>
      <c r="T142" s="10">
        <f>IF(TRIM(M142&amp;"")="","",IF(ISNUMBER(MATCH(TRIM(M142&amp;""),코드표!$C$2:$C$11,0)),TRIM(M142&amp;""),"⚠"&amp;TRIM(M142&amp;"")))</f>
        <v/>
      </c>
      <c r="U142" s="10">
        <f>IF(TRIM(L142&amp;"")="","",IFERROR(INDEX(코드표!$G$2:$G$101,MATCH(TRIM(L142&amp;""),코드표!$F$2:$F$101,0)),"⚠"&amp;TRIM(L142&amp;"")))</f>
        <v/>
      </c>
      <c r="V142" s="10">
        <f>IF(AND(ISNUMBER(H142),ISNUMBER(I142)),I142-H142+1,"")</f>
        <v/>
      </c>
      <c r="W142" s="17">
        <f>IF(ISNUMBER(H142),MAX(0,MIN(IF(ISNUMBER(I142),I142,EOMONTH(요약!$B$3,0)),EOMONTH(요약!$B$3,0))-MAX(H142,요약!$B$3)+1),0)</f>
        <v/>
      </c>
      <c r="X142" s="10">
        <f>IF(OR(NOT(ISNUMBER(H142)),Q142=""),"",IF(TODAY()&lt;H142,"파견예정",IF(AND(ISNUMBER(I142),TODAY()&gt;I142),"파견종료","파견중")))</f>
        <v/>
      </c>
      <c r="Y142" s="10">
        <f>IF(OR(Q142="",X142=""),"",Q142&amp;"|"&amp;X142)</f>
        <v/>
      </c>
      <c r="Z142" s="10">
        <f>IF(AND(Q142&lt;&gt;"",W142&gt;0),Q142&amp;"|월","")</f>
        <v/>
      </c>
      <c r="AA142" s="10">
        <f>IF(COUNTA(B142:N142)=0,"",IF(Q142="","등록번호 없음",IF(LEFT(R142,1)="⚠","모병원명 미등록",IF(S142="","파견병원 입력",IF(LEFT(S142,1)="⚠","파견병원명 미등록",IF(LEFT(U142,1)="⚠","파견과목 미등록",IF(OR(T142="",LEFT(T142,1)="⚠"),"파견근거 확인",IF(NOT(AND(ISNUMBER(H142),ISNUMBER(I142))),"날짜 형식/누락",IF(I142&lt;H142,"종료일&lt;시작일","")))))))))</f>
        <v/>
      </c>
      <c r="AB142" s="11">
        <f>IF(ISNUMBER(SEARCH("다기관",TRIM(N142&amp;" "&amp;O142))),IFERROR(DATE(VALUE(MID(TRIM(N142&amp;" "&amp;O142),1,4)),VALUE(MID(TRIM(N142&amp;" "&amp;O142),6,2)),VALUE(MID(TRIM(N142&amp;" "&amp;O142),9,2))),IF(ISNUMBER(H142),H142,"")),"")</f>
        <v/>
      </c>
      <c r="AC142" s="11">
        <f>IF(ISNUMBER(SEARCH("다기관",TRIM(N142&amp;" "&amp;O142))),IFERROR(DATE(VALUE(MID(TRIM(N142&amp;" "&amp;O142),12,4)),VALUE(MID(TRIM(N142&amp;" "&amp;O142),17,2)),VALUE(MID(TRIM(N142&amp;" "&amp;O142),20,2))),IF(ISNUMBER(I142),I142,"")),"")</f>
        <v/>
      </c>
      <c r="AD142" s="17">
        <f>IF(AND(ISNUMBER(AB142),ISNUMBER(AC142)),MAX(0,MIN(AC142,EOMONTH(요약!$B$3,0))-MAX(AB142,요약!$B$3)+1),0)</f>
        <v/>
      </c>
      <c r="AE142" s="10">
        <f>IF(AND(Q142&lt;&gt;"",ISNUMBER(AB142)),Q142&amp;"|다기관","")</f>
        <v/>
      </c>
    </row>
    <row r="143">
      <c r="A143" s="15">
        <f>IF(F143="","",ROW()-3)</f>
        <v/>
      </c>
      <c r="B143" s="5" t="n"/>
      <c r="C143" s="15" t="n"/>
      <c r="D143" s="5" t="n"/>
      <c r="E143" s="15" t="n"/>
      <c r="F143" s="5" t="n"/>
      <c r="G143" s="6" t="n"/>
      <c r="H143" s="16" t="n"/>
      <c r="I143" s="16" t="n"/>
      <c r="J143" s="15">
        <f>IF(AND(ISNUMBER(H143),ISNUMBER(I143)),I143-H143+1,"")</f>
        <v/>
      </c>
      <c r="K143" s="5" t="n"/>
      <c r="L143" s="5" t="n"/>
      <c r="M143" s="5" t="n"/>
      <c r="N143" s="5" t="n"/>
      <c r="O143" s="5" t="n"/>
      <c r="Q143" s="10">
        <f>IF(TRIM(G143&amp;"")="","",TRIM(G143&amp;""))</f>
        <v/>
      </c>
      <c r="R143" s="10">
        <f>IF(TRIM(B143&amp;"")="","",IFERROR(INDEX(코드표!$K$2:$K$101,MATCH(TRIM(B143&amp;""),코드표!$J$2:$J$101,0)),"⚠"&amp;TRIM(B143&amp;"")))</f>
        <v/>
      </c>
      <c r="S143" s="10">
        <f>IF(TRIM(K143&amp;"")="","",IFERROR(INDEX(코드표!$K$2:$K$101,MATCH(TRIM(K143&amp;""),코드표!$J$2:$J$101,0)),"⚠"&amp;TRIM(K143&amp;"")))</f>
        <v/>
      </c>
      <c r="T143" s="10">
        <f>IF(TRIM(M143&amp;"")="","",IF(ISNUMBER(MATCH(TRIM(M143&amp;""),코드표!$C$2:$C$11,0)),TRIM(M143&amp;""),"⚠"&amp;TRIM(M143&amp;"")))</f>
        <v/>
      </c>
      <c r="U143" s="10">
        <f>IF(TRIM(L143&amp;"")="","",IFERROR(INDEX(코드표!$G$2:$G$101,MATCH(TRIM(L143&amp;""),코드표!$F$2:$F$101,0)),"⚠"&amp;TRIM(L143&amp;"")))</f>
        <v/>
      </c>
      <c r="V143" s="10">
        <f>IF(AND(ISNUMBER(H143),ISNUMBER(I143)),I143-H143+1,"")</f>
        <v/>
      </c>
      <c r="W143" s="17">
        <f>IF(ISNUMBER(H143),MAX(0,MIN(IF(ISNUMBER(I143),I143,EOMONTH(요약!$B$3,0)),EOMONTH(요약!$B$3,0))-MAX(H143,요약!$B$3)+1),0)</f>
        <v/>
      </c>
      <c r="X143" s="10">
        <f>IF(OR(NOT(ISNUMBER(H143)),Q143=""),"",IF(TODAY()&lt;H143,"파견예정",IF(AND(ISNUMBER(I143),TODAY()&gt;I143),"파견종료","파견중")))</f>
        <v/>
      </c>
      <c r="Y143" s="10">
        <f>IF(OR(Q143="",X143=""),"",Q143&amp;"|"&amp;X143)</f>
        <v/>
      </c>
      <c r="Z143" s="10">
        <f>IF(AND(Q143&lt;&gt;"",W143&gt;0),Q143&amp;"|월","")</f>
        <v/>
      </c>
      <c r="AA143" s="10">
        <f>IF(COUNTA(B143:N143)=0,"",IF(Q143="","등록번호 없음",IF(LEFT(R143,1)="⚠","모병원명 미등록",IF(S143="","파견병원 입력",IF(LEFT(S143,1)="⚠","파견병원명 미등록",IF(LEFT(U143,1)="⚠","파견과목 미등록",IF(OR(T143="",LEFT(T143,1)="⚠"),"파견근거 확인",IF(NOT(AND(ISNUMBER(H143),ISNUMBER(I143))),"날짜 형식/누락",IF(I143&lt;H143,"종료일&lt;시작일","")))))))))</f>
        <v/>
      </c>
      <c r="AB143" s="11">
        <f>IF(ISNUMBER(SEARCH("다기관",TRIM(N143&amp;" "&amp;O143))),IFERROR(DATE(VALUE(MID(TRIM(N143&amp;" "&amp;O143),1,4)),VALUE(MID(TRIM(N143&amp;" "&amp;O143),6,2)),VALUE(MID(TRIM(N143&amp;" "&amp;O143),9,2))),IF(ISNUMBER(H143),H143,"")),"")</f>
        <v/>
      </c>
      <c r="AC143" s="11">
        <f>IF(ISNUMBER(SEARCH("다기관",TRIM(N143&amp;" "&amp;O143))),IFERROR(DATE(VALUE(MID(TRIM(N143&amp;" "&amp;O143),12,4)),VALUE(MID(TRIM(N143&amp;" "&amp;O143),17,2)),VALUE(MID(TRIM(N143&amp;" "&amp;O143),20,2))),IF(ISNUMBER(I143),I143,"")),"")</f>
        <v/>
      </c>
      <c r="AD143" s="17">
        <f>IF(AND(ISNUMBER(AB143),ISNUMBER(AC143)),MAX(0,MIN(AC143,EOMONTH(요약!$B$3,0))-MAX(AB143,요약!$B$3)+1),0)</f>
        <v/>
      </c>
      <c r="AE143" s="10">
        <f>IF(AND(Q143&lt;&gt;"",ISNUMBER(AB143)),Q143&amp;"|다기관","")</f>
        <v/>
      </c>
    </row>
    <row r="144">
      <c r="A144" s="15">
        <f>IF(F144="","",ROW()-3)</f>
        <v/>
      </c>
      <c r="B144" s="5" t="n"/>
      <c r="C144" s="15" t="n"/>
      <c r="D144" s="5" t="n"/>
      <c r="E144" s="15" t="n"/>
      <c r="F144" s="5" t="n"/>
      <c r="G144" s="6" t="n"/>
      <c r="H144" s="16" t="n"/>
      <c r="I144" s="16" t="n"/>
      <c r="J144" s="15">
        <f>IF(AND(ISNUMBER(H144),ISNUMBER(I144)),I144-H144+1,"")</f>
        <v/>
      </c>
      <c r="K144" s="5" t="n"/>
      <c r="L144" s="5" t="n"/>
      <c r="M144" s="5" t="n"/>
      <c r="N144" s="5" t="n"/>
      <c r="O144" s="5" t="n"/>
      <c r="Q144" s="10">
        <f>IF(TRIM(G144&amp;"")="","",TRIM(G144&amp;""))</f>
        <v/>
      </c>
      <c r="R144" s="10">
        <f>IF(TRIM(B144&amp;"")="","",IFERROR(INDEX(코드표!$K$2:$K$101,MATCH(TRIM(B144&amp;""),코드표!$J$2:$J$101,0)),"⚠"&amp;TRIM(B144&amp;"")))</f>
        <v/>
      </c>
      <c r="S144" s="10">
        <f>IF(TRIM(K144&amp;"")="","",IFERROR(INDEX(코드표!$K$2:$K$101,MATCH(TRIM(K144&amp;""),코드표!$J$2:$J$101,0)),"⚠"&amp;TRIM(K144&amp;"")))</f>
        <v/>
      </c>
      <c r="T144" s="10">
        <f>IF(TRIM(M144&amp;"")="","",IF(ISNUMBER(MATCH(TRIM(M144&amp;""),코드표!$C$2:$C$11,0)),TRIM(M144&amp;""),"⚠"&amp;TRIM(M144&amp;"")))</f>
        <v/>
      </c>
      <c r="U144" s="10">
        <f>IF(TRIM(L144&amp;"")="","",IFERROR(INDEX(코드표!$G$2:$G$101,MATCH(TRIM(L144&amp;""),코드표!$F$2:$F$101,0)),"⚠"&amp;TRIM(L144&amp;"")))</f>
        <v/>
      </c>
      <c r="V144" s="10">
        <f>IF(AND(ISNUMBER(H144),ISNUMBER(I144)),I144-H144+1,"")</f>
        <v/>
      </c>
      <c r="W144" s="17">
        <f>IF(ISNUMBER(H144),MAX(0,MIN(IF(ISNUMBER(I144),I144,EOMONTH(요약!$B$3,0)),EOMONTH(요약!$B$3,0))-MAX(H144,요약!$B$3)+1),0)</f>
        <v/>
      </c>
      <c r="X144" s="10">
        <f>IF(OR(NOT(ISNUMBER(H144)),Q144=""),"",IF(TODAY()&lt;H144,"파견예정",IF(AND(ISNUMBER(I144),TODAY()&gt;I144),"파견종료","파견중")))</f>
        <v/>
      </c>
      <c r="Y144" s="10">
        <f>IF(OR(Q144="",X144=""),"",Q144&amp;"|"&amp;X144)</f>
        <v/>
      </c>
      <c r="Z144" s="10">
        <f>IF(AND(Q144&lt;&gt;"",W144&gt;0),Q144&amp;"|월","")</f>
        <v/>
      </c>
      <c r="AA144" s="10">
        <f>IF(COUNTA(B144:N144)=0,"",IF(Q144="","등록번호 없음",IF(LEFT(R144,1)="⚠","모병원명 미등록",IF(S144="","파견병원 입력",IF(LEFT(S144,1)="⚠","파견병원명 미등록",IF(LEFT(U144,1)="⚠","파견과목 미등록",IF(OR(T144="",LEFT(T144,1)="⚠"),"파견근거 확인",IF(NOT(AND(ISNUMBER(H144),ISNUMBER(I144))),"날짜 형식/누락",IF(I144&lt;H144,"종료일&lt;시작일","")))))))))</f>
        <v/>
      </c>
      <c r="AB144" s="11">
        <f>IF(ISNUMBER(SEARCH("다기관",TRIM(N144&amp;" "&amp;O144))),IFERROR(DATE(VALUE(MID(TRIM(N144&amp;" "&amp;O144),1,4)),VALUE(MID(TRIM(N144&amp;" "&amp;O144),6,2)),VALUE(MID(TRIM(N144&amp;" "&amp;O144),9,2))),IF(ISNUMBER(H144),H144,"")),"")</f>
        <v/>
      </c>
      <c r="AC144" s="11">
        <f>IF(ISNUMBER(SEARCH("다기관",TRIM(N144&amp;" "&amp;O144))),IFERROR(DATE(VALUE(MID(TRIM(N144&amp;" "&amp;O144),12,4)),VALUE(MID(TRIM(N144&amp;" "&amp;O144),17,2)),VALUE(MID(TRIM(N144&amp;" "&amp;O144),20,2))),IF(ISNUMBER(I144),I144,"")),"")</f>
        <v/>
      </c>
      <c r="AD144" s="17">
        <f>IF(AND(ISNUMBER(AB144),ISNUMBER(AC144)),MAX(0,MIN(AC144,EOMONTH(요약!$B$3,0))-MAX(AB144,요약!$B$3)+1),0)</f>
        <v/>
      </c>
      <c r="AE144" s="10">
        <f>IF(AND(Q144&lt;&gt;"",ISNUMBER(AB144)),Q144&amp;"|다기관","")</f>
        <v/>
      </c>
    </row>
    <row r="145">
      <c r="A145" s="15">
        <f>IF(F145="","",ROW()-3)</f>
        <v/>
      </c>
      <c r="B145" s="5" t="n"/>
      <c r="C145" s="15" t="n"/>
      <c r="D145" s="5" t="n"/>
      <c r="E145" s="15" t="n"/>
      <c r="F145" s="5" t="n"/>
      <c r="G145" s="6" t="n"/>
      <c r="H145" s="16" t="n"/>
      <c r="I145" s="16" t="n"/>
      <c r="J145" s="15">
        <f>IF(AND(ISNUMBER(H145),ISNUMBER(I145)),I145-H145+1,"")</f>
        <v/>
      </c>
      <c r="K145" s="5" t="n"/>
      <c r="L145" s="5" t="n"/>
      <c r="M145" s="5" t="n"/>
      <c r="N145" s="5" t="n"/>
      <c r="O145" s="5" t="n"/>
      <c r="Q145" s="10">
        <f>IF(TRIM(G145&amp;"")="","",TRIM(G145&amp;""))</f>
        <v/>
      </c>
      <c r="R145" s="10">
        <f>IF(TRIM(B145&amp;"")="","",IFERROR(INDEX(코드표!$K$2:$K$101,MATCH(TRIM(B145&amp;""),코드표!$J$2:$J$101,0)),"⚠"&amp;TRIM(B145&amp;"")))</f>
        <v/>
      </c>
      <c r="S145" s="10">
        <f>IF(TRIM(K145&amp;"")="","",IFERROR(INDEX(코드표!$K$2:$K$101,MATCH(TRIM(K145&amp;""),코드표!$J$2:$J$101,0)),"⚠"&amp;TRIM(K145&amp;"")))</f>
        <v/>
      </c>
      <c r="T145" s="10">
        <f>IF(TRIM(M145&amp;"")="","",IF(ISNUMBER(MATCH(TRIM(M145&amp;""),코드표!$C$2:$C$11,0)),TRIM(M145&amp;""),"⚠"&amp;TRIM(M145&amp;"")))</f>
        <v/>
      </c>
      <c r="U145" s="10">
        <f>IF(TRIM(L145&amp;"")="","",IFERROR(INDEX(코드표!$G$2:$G$101,MATCH(TRIM(L145&amp;""),코드표!$F$2:$F$101,0)),"⚠"&amp;TRIM(L145&amp;"")))</f>
        <v/>
      </c>
      <c r="V145" s="10">
        <f>IF(AND(ISNUMBER(H145),ISNUMBER(I145)),I145-H145+1,"")</f>
        <v/>
      </c>
      <c r="W145" s="17">
        <f>IF(ISNUMBER(H145),MAX(0,MIN(IF(ISNUMBER(I145),I145,EOMONTH(요약!$B$3,0)),EOMONTH(요약!$B$3,0))-MAX(H145,요약!$B$3)+1),0)</f>
        <v/>
      </c>
      <c r="X145" s="10">
        <f>IF(OR(NOT(ISNUMBER(H145)),Q145=""),"",IF(TODAY()&lt;H145,"파견예정",IF(AND(ISNUMBER(I145),TODAY()&gt;I145),"파견종료","파견중")))</f>
        <v/>
      </c>
      <c r="Y145" s="10">
        <f>IF(OR(Q145="",X145=""),"",Q145&amp;"|"&amp;X145)</f>
        <v/>
      </c>
      <c r="Z145" s="10">
        <f>IF(AND(Q145&lt;&gt;"",W145&gt;0),Q145&amp;"|월","")</f>
        <v/>
      </c>
      <c r="AA145" s="10">
        <f>IF(COUNTA(B145:N145)=0,"",IF(Q145="","등록번호 없음",IF(LEFT(R145,1)="⚠","모병원명 미등록",IF(S145="","파견병원 입력",IF(LEFT(S145,1)="⚠","파견병원명 미등록",IF(LEFT(U145,1)="⚠","파견과목 미등록",IF(OR(T145="",LEFT(T145,1)="⚠"),"파견근거 확인",IF(NOT(AND(ISNUMBER(H145),ISNUMBER(I145))),"날짜 형식/누락",IF(I145&lt;H145,"종료일&lt;시작일","")))))))))</f>
        <v/>
      </c>
      <c r="AB145" s="11">
        <f>IF(ISNUMBER(SEARCH("다기관",TRIM(N145&amp;" "&amp;O145))),IFERROR(DATE(VALUE(MID(TRIM(N145&amp;" "&amp;O145),1,4)),VALUE(MID(TRIM(N145&amp;" "&amp;O145),6,2)),VALUE(MID(TRIM(N145&amp;" "&amp;O145),9,2))),IF(ISNUMBER(H145),H145,"")),"")</f>
        <v/>
      </c>
      <c r="AC145" s="11">
        <f>IF(ISNUMBER(SEARCH("다기관",TRIM(N145&amp;" "&amp;O145))),IFERROR(DATE(VALUE(MID(TRIM(N145&amp;" "&amp;O145),12,4)),VALUE(MID(TRIM(N145&amp;" "&amp;O145),17,2)),VALUE(MID(TRIM(N145&amp;" "&amp;O145),20,2))),IF(ISNUMBER(I145),I145,"")),"")</f>
        <v/>
      </c>
      <c r="AD145" s="17">
        <f>IF(AND(ISNUMBER(AB145),ISNUMBER(AC145)),MAX(0,MIN(AC145,EOMONTH(요약!$B$3,0))-MAX(AB145,요약!$B$3)+1),0)</f>
        <v/>
      </c>
      <c r="AE145" s="10">
        <f>IF(AND(Q145&lt;&gt;"",ISNUMBER(AB145)),Q145&amp;"|다기관","")</f>
        <v/>
      </c>
    </row>
    <row r="146">
      <c r="A146" s="15">
        <f>IF(F146="","",ROW()-3)</f>
        <v/>
      </c>
      <c r="B146" s="5" t="n"/>
      <c r="C146" s="15" t="n"/>
      <c r="D146" s="5" t="n"/>
      <c r="E146" s="15" t="n"/>
      <c r="F146" s="5" t="n"/>
      <c r="G146" s="6" t="n"/>
      <c r="H146" s="16" t="n"/>
      <c r="I146" s="16" t="n"/>
      <c r="J146" s="15">
        <f>IF(AND(ISNUMBER(H146),ISNUMBER(I146)),I146-H146+1,"")</f>
        <v/>
      </c>
      <c r="K146" s="5" t="n"/>
      <c r="L146" s="5" t="n"/>
      <c r="M146" s="5" t="n"/>
      <c r="N146" s="5" t="n"/>
      <c r="O146" s="5" t="n"/>
      <c r="Q146" s="10">
        <f>IF(TRIM(G146&amp;"")="","",TRIM(G146&amp;""))</f>
        <v/>
      </c>
      <c r="R146" s="10">
        <f>IF(TRIM(B146&amp;"")="","",IFERROR(INDEX(코드표!$K$2:$K$101,MATCH(TRIM(B146&amp;""),코드표!$J$2:$J$101,0)),"⚠"&amp;TRIM(B146&amp;"")))</f>
        <v/>
      </c>
      <c r="S146" s="10">
        <f>IF(TRIM(K146&amp;"")="","",IFERROR(INDEX(코드표!$K$2:$K$101,MATCH(TRIM(K146&amp;""),코드표!$J$2:$J$101,0)),"⚠"&amp;TRIM(K146&amp;"")))</f>
        <v/>
      </c>
      <c r="T146" s="10">
        <f>IF(TRIM(M146&amp;"")="","",IF(ISNUMBER(MATCH(TRIM(M146&amp;""),코드표!$C$2:$C$11,0)),TRIM(M146&amp;""),"⚠"&amp;TRIM(M146&amp;"")))</f>
        <v/>
      </c>
      <c r="U146" s="10">
        <f>IF(TRIM(L146&amp;"")="","",IFERROR(INDEX(코드표!$G$2:$G$101,MATCH(TRIM(L146&amp;""),코드표!$F$2:$F$101,0)),"⚠"&amp;TRIM(L146&amp;"")))</f>
        <v/>
      </c>
      <c r="V146" s="10">
        <f>IF(AND(ISNUMBER(H146),ISNUMBER(I146)),I146-H146+1,"")</f>
        <v/>
      </c>
      <c r="W146" s="17">
        <f>IF(ISNUMBER(H146),MAX(0,MIN(IF(ISNUMBER(I146),I146,EOMONTH(요약!$B$3,0)),EOMONTH(요약!$B$3,0))-MAX(H146,요약!$B$3)+1),0)</f>
        <v/>
      </c>
      <c r="X146" s="10">
        <f>IF(OR(NOT(ISNUMBER(H146)),Q146=""),"",IF(TODAY()&lt;H146,"파견예정",IF(AND(ISNUMBER(I146),TODAY()&gt;I146),"파견종료","파견중")))</f>
        <v/>
      </c>
      <c r="Y146" s="10">
        <f>IF(OR(Q146="",X146=""),"",Q146&amp;"|"&amp;X146)</f>
        <v/>
      </c>
      <c r="Z146" s="10">
        <f>IF(AND(Q146&lt;&gt;"",W146&gt;0),Q146&amp;"|월","")</f>
        <v/>
      </c>
      <c r="AA146" s="10">
        <f>IF(COUNTA(B146:N146)=0,"",IF(Q146="","등록번호 없음",IF(LEFT(R146,1)="⚠","모병원명 미등록",IF(S146="","파견병원 입력",IF(LEFT(S146,1)="⚠","파견병원명 미등록",IF(LEFT(U146,1)="⚠","파견과목 미등록",IF(OR(T146="",LEFT(T146,1)="⚠"),"파견근거 확인",IF(NOT(AND(ISNUMBER(H146),ISNUMBER(I146))),"날짜 형식/누락",IF(I146&lt;H146,"종료일&lt;시작일","")))))))))</f>
        <v/>
      </c>
      <c r="AB146" s="11">
        <f>IF(ISNUMBER(SEARCH("다기관",TRIM(N146&amp;" "&amp;O146))),IFERROR(DATE(VALUE(MID(TRIM(N146&amp;" "&amp;O146),1,4)),VALUE(MID(TRIM(N146&amp;" "&amp;O146),6,2)),VALUE(MID(TRIM(N146&amp;" "&amp;O146),9,2))),IF(ISNUMBER(H146),H146,"")),"")</f>
        <v/>
      </c>
      <c r="AC146" s="11">
        <f>IF(ISNUMBER(SEARCH("다기관",TRIM(N146&amp;" "&amp;O146))),IFERROR(DATE(VALUE(MID(TRIM(N146&amp;" "&amp;O146),12,4)),VALUE(MID(TRIM(N146&amp;" "&amp;O146),17,2)),VALUE(MID(TRIM(N146&amp;" "&amp;O146),20,2))),IF(ISNUMBER(I146),I146,"")),"")</f>
        <v/>
      </c>
      <c r="AD146" s="17">
        <f>IF(AND(ISNUMBER(AB146),ISNUMBER(AC146)),MAX(0,MIN(AC146,EOMONTH(요약!$B$3,0))-MAX(AB146,요약!$B$3)+1),0)</f>
        <v/>
      </c>
      <c r="AE146" s="10">
        <f>IF(AND(Q146&lt;&gt;"",ISNUMBER(AB146)),Q146&amp;"|다기관","")</f>
        <v/>
      </c>
    </row>
    <row r="147">
      <c r="A147" s="15">
        <f>IF(F147="","",ROW()-3)</f>
        <v/>
      </c>
      <c r="B147" s="5" t="n"/>
      <c r="C147" s="15" t="n"/>
      <c r="D147" s="5" t="n"/>
      <c r="E147" s="15" t="n"/>
      <c r="F147" s="5" t="n"/>
      <c r="G147" s="6" t="n"/>
      <c r="H147" s="16" t="n"/>
      <c r="I147" s="16" t="n"/>
      <c r="J147" s="15">
        <f>IF(AND(ISNUMBER(H147),ISNUMBER(I147)),I147-H147+1,"")</f>
        <v/>
      </c>
      <c r="K147" s="5" t="n"/>
      <c r="L147" s="5" t="n"/>
      <c r="M147" s="5" t="n"/>
      <c r="N147" s="5" t="n"/>
      <c r="O147" s="5" t="n"/>
      <c r="Q147" s="10">
        <f>IF(TRIM(G147&amp;"")="","",TRIM(G147&amp;""))</f>
        <v/>
      </c>
      <c r="R147" s="10">
        <f>IF(TRIM(B147&amp;"")="","",IFERROR(INDEX(코드표!$K$2:$K$101,MATCH(TRIM(B147&amp;""),코드표!$J$2:$J$101,0)),"⚠"&amp;TRIM(B147&amp;"")))</f>
        <v/>
      </c>
      <c r="S147" s="10">
        <f>IF(TRIM(K147&amp;"")="","",IFERROR(INDEX(코드표!$K$2:$K$101,MATCH(TRIM(K147&amp;""),코드표!$J$2:$J$101,0)),"⚠"&amp;TRIM(K147&amp;"")))</f>
        <v/>
      </c>
      <c r="T147" s="10">
        <f>IF(TRIM(M147&amp;"")="","",IF(ISNUMBER(MATCH(TRIM(M147&amp;""),코드표!$C$2:$C$11,0)),TRIM(M147&amp;""),"⚠"&amp;TRIM(M147&amp;"")))</f>
        <v/>
      </c>
      <c r="U147" s="10">
        <f>IF(TRIM(L147&amp;"")="","",IFERROR(INDEX(코드표!$G$2:$G$101,MATCH(TRIM(L147&amp;""),코드표!$F$2:$F$101,0)),"⚠"&amp;TRIM(L147&amp;"")))</f>
        <v/>
      </c>
      <c r="V147" s="10">
        <f>IF(AND(ISNUMBER(H147),ISNUMBER(I147)),I147-H147+1,"")</f>
        <v/>
      </c>
      <c r="W147" s="17">
        <f>IF(ISNUMBER(H147),MAX(0,MIN(IF(ISNUMBER(I147),I147,EOMONTH(요약!$B$3,0)),EOMONTH(요약!$B$3,0))-MAX(H147,요약!$B$3)+1),0)</f>
        <v/>
      </c>
      <c r="X147" s="10">
        <f>IF(OR(NOT(ISNUMBER(H147)),Q147=""),"",IF(TODAY()&lt;H147,"파견예정",IF(AND(ISNUMBER(I147),TODAY()&gt;I147),"파견종료","파견중")))</f>
        <v/>
      </c>
      <c r="Y147" s="10">
        <f>IF(OR(Q147="",X147=""),"",Q147&amp;"|"&amp;X147)</f>
        <v/>
      </c>
      <c r="Z147" s="10">
        <f>IF(AND(Q147&lt;&gt;"",W147&gt;0),Q147&amp;"|월","")</f>
        <v/>
      </c>
      <c r="AA147" s="10">
        <f>IF(COUNTA(B147:N147)=0,"",IF(Q147="","등록번호 없음",IF(LEFT(R147,1)="⚠","모병원명 미등록",IF(S147="","파견병원 입력",IF(LEFT(S147,1)="⚠","파견병원명 미등록",IF(LEFT(U147,1)="⚠","파견과목 미등록",IF(OR(T147="",LEFT(T147,1)="⚠"),"파견근거 확인",IF(NOT(AND(ISNUMBER(H147),ISNUMBER(I147))),"날짜 형식/누락",IF(I147&lt;H147,"종료일&lt;시작일","")))))))))</f>
        <v/>
      </c>
      <c r="AB147" s="11">
        <f>IF(ISNUMBER(SEARCH("다기관",TRIM(N147&amp;" "&amp;O147))),IFERROR(DATE(VALUE(MID(TRIM(N147&amp;" "&amp;O147),1,4)),VALUE(MID(TRIM(N147&amp;" "&amp;O147),6,2)),VALUE(MID(TRIM(N147&amp;" "&amp;O147),9,2))),IF(ISNUMBER(H147),H147,"")),"")</f>
        <v/>
      </c>
      <c r="AC147" s="11">
        <f>IF(ISNUMBER(SEARCH("다기관",TRIM(N147&amp;" "&amp;O147))),IFERROR(DATE(VALUE(MID(TRIM(N147&amp;" "&amp;O147),12,4)),VALUE(MID(TRIM(N147&amp;" "&amp;O147),17,2)),VALUE(MID(TRIM(N147&amp;" "&amp;O147),20,2))),IF(ISNUMBER(I147),I147,"")),"")</f>
        <v/>
      </c>
      <c r="AD147" s="17">
        <f>IF(AND(ISNUMBER(AB147),ISNUMBER(AC147)),MAX(0,MIN(AC147,EOMONTH(요약!$B$3,0))-MAX(AB147,요약!$B$3)+1),0)</f>
        <v/>
      </c>
      <c r="AE147" s="10">
        <f>IF(AND(Q147&lt;&gt;"",ISNUMBER(AB147)),Q147&amp;"|다기관","")</f>
        <v/>
      </c>
    </row>
    <row r="148">
      <c r="A148" s="15">
        <f>IF(F148="","",ROW()-3)</f>
        <v/>
      </c>
      <c r="B148" s="5" t="n"/>
      <c r="C148" s="15" t="n"/>
      <c r="D148" s="5" t="n"/>
      <c r="E148" s="15" t="n"/>
      <c r="F148" s="5" t="n"/>
      <c r="G148" s="6" t="n"/>
      <c r="H148" s="16" t="n"/>
      <c r="I148" s="16" t="n"/>
      <c r="J148" s="15">
        <f>IF(AND(ISNUMBER(H148),ISNUMBER(I148)),I148-H148+1,"")</f>
        <v/>
      </c>
      <c r="K148" s="5" t="n"/>
      <c r="L148" s="5" t="n"/>
      <c r="M148" s="5" t="n"/>
      <c r="N148" s="5" t="n"/>
      <c r="O148" s="5" t="n"/>
      <c r="Q148" s="10">
        <f>IF(TRIM(G148&amp;"")="","",TRIM(G148&amp;""))</f>
        <v/>
      </c>
      <c r="R148" s="10">
        <f>IF(TRIM(B148&amp;"")="","",IFERROR(INDEX(코드표!$K$2:$K$101,MATCH(TRIM(B148&amp;""),코드표!$J$2:$J$101,0)),"⚠"&amp;TRIM(B148&amp;"")))</f>
        <v/>
      </c>
      <c r="S148" s="10">
        <f>IF(TRIM(K148&amp;"")="","",IFERROR(INDEX(코드표!$K$2:$K$101,MATCH(TRIM(K148&amp;""),코드표!$J$2:$J$101,0)),"⚠"&amp;TRIM(K148&amp;"")))</f>
        <v/>
      </c>
      <c r="T148" s="10">
        <f>IF(TRIM(M148&amp;"")="","",IF(ISNUMBER(MATCH(TRIM(M148&amp;""),코드표!$C$2:$C$11,0)),TRIM(M148&amp;""),"⚠"&amp;TRIM(M148&amp;"")))</f>
        <v/>
      </c>
      <c r="U148" s="10">
        <f>IF(TRIM(L148&amp;"")="","",IFERROR(INDEX(코드표!$G$2:$G$101,MATCH(TRIM(L148&amp;""),코드표!$F$2:$F$101,0)),"⚠"&amp;TRIM(L148&amp;"")))</f>
        <v/>
      </c>
      <c r="V148" s="10">
        <f>IF(AND(ISNUMBER(H148),ISNUMBER(I148)),I148-H148+1,"")</f>
        <v/>
      </c>
      <c r="W148" s="17">
        <f>IF(ISNUMBER(H148),MAX(0,MIN(IF(ISNUMBER(I148),I148,EOMONTH(요약!$B$3,0)),EOMONTH(요약!$B$3,0))-MAX(H148,요약!$B$3)+1),0)</f>
        <v/>
      </c>
      <c r="X148" s="10">
        <f>IF(OR(NOT(ISNUMBER(H148)),Q148=""),"",IF(TODAY()&lt;H148,"파견예정",IF(AND(ISNUMBER(I148),TODAY()&gt;I148),"파견종료","파견중")))</f>
        <v/>
      </c>
      <c r="Y148" s="10">
        <f>IF(OR(Q148="",X148=""),"",Q148&amp;"|"&amp;X148)</f>
        <v/>
      </c>
      <c r="Z148" s="10">
        <f>IF(AND(Q148&lt;&gt;"",W148&gt;0),Q148&amp;"|월","")</f>
        <v/>
      </c>
      <c r="AA148" s="10">
        <f>IF(COUNTA(B148:N148)=0,"",IF(Q148="","등록번호 없음",IF(LEFT(R148,1)="⚠","모병원명 미등록",IF(S148="","파견병원 입력",IF(LEFT(S148,1)="⚠","파견병원명 미등록",IF(LEFT(U148,1)="⚠","파견과목 미등록",IF(OR(T148="",LEFT(T148,1)="⚠"),"파견근거 확인",IF(NOT(AND(ISNUMBER(H148),ISNUMBER(I148))),"날짜 형식/누락",IF(I148&lt;H148,"종료일&lt;시작일","")))))))))</f>
        <v/>
      </c>
      <c r="AB148" s="11">
        <f>IF(ISNUMBER(SEARCH("다기관",TRIM(N148&amp;" "&amp;O148))),IFERROR(DATE(VALUE(MID(TRIM(N148&amp;" "&amp;O148),1,4)),VALUE(MID(TRIM(N148&amp;" "&amp;O148),6,2)),VALUE(MID(TRIM(N148&amp;" "&amp;O148),9,2))),IF(ISNUMBER(H148),H148,"")),"")</f>
        <v/>
      </c>
      <c r="AC148" s="11">
        <f>IF(ISNUMBER(SEARCH("다기관",TRIM(N148&amp;" "&amp;O148))),IFERROR(DATE(VALUE(MID(TRIM(N148&amp;" "&amp;O148),12,4)),VALUE(MID(TRIM(N148&amp;" "&amp;O148),17,2)),VALUE(MID(TRIM(N148&amp;" "&amp;O148),20,2))),IF(ISNUMBER(I148),I148,"")),"")</f>
        <v/>
      </c>
      <c r="AD148" s="17">
        <f>IF(AND(ISNUMBER(AB148),ISNUMBER(AC148)),MAX(0,MIN(AC148,EOMONTH(요약!$B$3,0))-MAX(AB148,요약!$B$3)+1),0)</f>
        <v/>
      </c>
      <c r="AE148" s="10">
        <f>IF(AND(Q148&lt;&gt;"",ISNUMBER(AB148)),Q148&amp;"|다기관","")</f>
        <v/>
      </c>
    </row>
    <row r="149">
      <c r="A149" s="15">
        <f>IF(F149="","",ROW()-3)</f>
        <v/>
      </c>
      <c r="B149" s="5" t="n"/>
      <c r="C149" s="15" t="n"/>
      <c r="D149" s="5" t="n"/>
      <c r="E149" s="15" t="n"/>
      <c r="F149" s="5" t="n"/>
      <c r="G149" s="6" t="n"/>
      <c r="H149" s="16" t="n"/>
      <c r="I149" s="16" t="n"/>
      <c r="J149" s="15">
        <f>IF(AND(ISNUMBER(H149),ISNUMBER(I149)),I149-H149+1,"")</f>
        <v/>
      </c>
      <c r="K149" s="5" t="n"/>
      <c r="L149" s="5" t="n"/>
      <c r="M149" s="5" t="n"/>
      <c r="N149" s="5" t="n"/>
      <c r="O149" s="5" t="n"/>
      <c r="Q149" s="10">
        <f>IF(TRIM(G149&amp;"")="","",TRIM(G149&amp;""))</f>
        <v/>
      </c>
      <c r="R149" s="10">
        <f>IF(TRIM(B149&amp;"")="","",IFERROR(INDEX(코드표!$K$2:$K$101,MATCH(TRIM(B149&amp;""),코드표!$J$2:$J$101,0)),"⚠"&amp;TRIM(B149&amp;"")))</f>
        <v/>
      </c>
      <c r="S149" s="10">
        <f>IF(TRIM(K149&amp;"")="","",IFERROR(INDEX(코드표!$K$2:$K$101,MATCH(TRIM(K149&amp;""),코드표!$J$2:$J$101,0)),"⚠"&amp;TRIM(K149&amp;"")))</f>
        <v/>
      </c>
      <c r="T149" s="10">
        <f>IF(TRIM(M149&amp;"")="","",IF(ISNUMBER(MATCH(TRIM(M149&amp;""),코드표!$C$2:$C$11,0)),TRIM(M149&amp;""),"⚠"&amp;TRIM(M149&amp;"")))</f>
        <v/>
      </c>
      <c r="U149" s="10">
        <f>IF(TRIM(L149&amp;"")="","",IFERROR(INDEX(코드표!$G$2:$G$101,MATCH(TRIM(L149&amp;""),코드표!$F$2:$F$101,0)),"⚠"&amp;TRIM(L149&amp;"")))</f>
        <v/>
      </c>
      <c r="V149" s="10">
        <f>IF(AND(ISNUMBER(H149),ISNUMBER(I149)),I149-H149+1,"")</f>
        <v/>
      </c>
      <c r="W149" s="17">
        <f>IF(ISNUMBER(H149),MAX(0,MIN(IF(ISNUMBER(I149),I149,EOMONTH(요약!$B$3,0)),EOMONTH(요약!$B$3,0))-MAX(H149,요약!$B$3)+1),0)</f>
        <v/>
      </c>
      <c r="X149" s="10">
        <f>IF(OR(NOT(ISNUMBER(H149)),Q149=""),"",IF(TODAY()&lt;H149,"파견예정",IF(AND(ISNUMBER(I149),TODAY()&gt;I149),"파견종료","파견중")))</f>
        <v/>
      </c>
      <c r="Y149" s="10">
        <f>IF(OR(Q149="",X149=""),"",Q149&amp;"|"&amp;X149)</f>
        <v/>
      </c>
      <c r="Z149" s="10">
        <f>IF(AND(Q149&lt;&gt;"",W149&gt;0),Q149&amp;"|월","")</f>
        <v/>
      </c>
      <c r="AA149" s="10">
        <f>IF(COUNTA(B149:N149)=0,"",IF(Q149="","등록번호 없음",IF(LEFT(R149,1)="⚠","모병원명 미등록",IF(S149="","파견병원 입력",IF(LEFT(S149,1)="⚠","파견병원명 미등록",IF(LEFT(U149,1)="⚠","파견과목 미등록",IF(OR(T149="",LEFT(T149,1)="⚠"),"파견근거 확인",IF(NOT(AND(ISNUMBER(H149),ISNUMBER(I149))),"날짜 형식/누락",IF(I149&lt;H149,"종료일&lt;시작일","")))))))))</f>
        <v/>
      </c>
      <c r="AB149" s="11">
        <f>IF(ISNUMBER(SEARCH("다기관",TRIM(N149&amp;" "&amp;O149))),IFERROR(DATE(VALUE(MID(TRIM(N149&amp;" "&amp;O149),1,4)),VALUE(MID(TRIM(N149&amp;" "&amp;O149),6,2)),VALUE(MID(TRIM(N149&amp;" "&amp;O149),9,2))),IF(ISNUMBER(H149),H149,"")),"")</f>
        <v/>
      </c>
      <c r="AC149" s="11">
        <f>IF(ISNUMBER(SEARCH("다기관",TRIM(N149&amp;" "&amp;O149))),IFERROR(DATE(VALUE(MID(TRIM(N149&amp;" "&amp;O149),12,4)),VALUE(MID(TRIM(N149&amp;" "&amp;O149),17,2)),VALUE(MID(TRIM(N149&amp;" "&amp;O149),20,2))),IF(ISNUMBER(I149),I149,"")),"")</f>
        <v/>
      </c>
      <c r="AD149" s="17">
        <f>IF(AND(ISNUMBER(AB149),ISNUMBER(AC149)),MAX(0,MIN(AC149,EOMONTH(요약!$B$3,0))-MAX(AB149,요약!$B$3)+1),0)</f>
        <v/>
      </c>
      <c r="AE149" s="10">
        <f>IF(AND(Q149&lt;&gt;"",ISNUMBER(AB149)),Q149&amp;"|다기관","")</f>
        <v/>
      </c>
    </row>
    <row r="150">
      <c r="A150" s="15">
        <f>IF(F150="","",ROW()-3)</f>
        <v/>
      </c>
      <c r="B150" s="5" t="n"/>
      <c r="C150" s="15" t="n"/>
      <c r="D150" s="5" t="n"/>
      <c r="E150" s="15" t="n"/>
      <c r="F150" s="5" t="n"/>
      <c r="G150" s="6" t="n"/>
      <c r="H150" s="16" t="n"/>
      <c r="I150" s="16" t="n"/>
      <c r="J150" s="15">
        <f>IF(AND(ISNUMBER(H150),ISNUMBER(I150)),I150-H150+1,"")</f>
        <v/>
      </c>
      <c r="K150" s="5" t="n"/>
      <c r="L150" s="5" t="n"/>
      <c r="M150" s="5" t="n"/>
      <c r="N150" s="5" t="n"/>
      <c r="O150" s="5" t="n"/>
      <c r="Q150" s="10">
        <f>IF(TRIM(G150&amp;"")="","",TRIM(G150&amp;""))</f>
        <v/>
      </c>
      <c r="R150" s="10">
        <f>IF(TRIM(B150&amp;"")="","",IFERROR(INDEX(코드표!$K$2:$K$101,MATCH(TRIM(B150&amp;""),코드표!$J$2:$J$101,0)),"⚠"&amp;TRIM(B150&amp;"")))</f>
        <v/>
      </c>
      <c r="S150" s="10">
        <f>IF(TRIM(K150&amp;"")="","",IFERROR(INDEX(코드표!$K$2:$K$101,MATCH(TRIM(K150&amp;""),코드표!$J$2:$J$101,0)),"⚠"&amp;TRIM(K150&amp;"")))</f>
        <v/>
      </c>
      <c r="T150" s="10">
        <f>IF(TRIM(M150&amp;"")="","",IF(ISNUMBER(MATCH(TRIM(M150&amp;""),코드표!$C$2:$C$11,0)),TRIM(M150&amp;""),"⚠"&amp;TRIM(M150&amp;"")))</f>
        <v/>
      </c>
      <c r="U150" s="10">
        <f>IF(TRIM(L150&amp;"")="","",IFERROR(INDEX(코드표!$G$2:$G$101,MATCH(TRIM(L150&amp;""),코드표!$F$2:$F$101,0)),"⚠"&amp;TRIM(L150&amp;"")))</f>
        <v/>
      </c>
      <c r="V150" s="10">
        <f>IF(AND(ISNUMBER(H150),ISNUMBER(I150)),I150-H150+1,"")</f>
        <v/>
      </c>
      <c r="W150" s="17">
        <f>IF(ISNUMBER(H150),MAX(0,MIN(IF(ISNUMBER(I150),I150,EOMONTH(요약!$B$3,0)),EOMONTH(요약!$B$3,0))-MAX(H150,요약!$B$3)+1),0)</f>
        <v/>
      </c>
      <c r="X150" s="10">
        <f>IF(OR(NOT(ISNUMBER(H150)),Q150=""),"",IF(TODAY()&lt;H150,"파견예정",IF(AND(ISNUMBER(I150),TODAY()&gt;I150),"파견종료","파견중")))</f>
        <v/>
      </c>
      <c r="Y150" s="10">
        <f>IF(OR(Q150="",X150=""),"",Q150&amp;"|"&amp;X150)</f>
        <v/>
      </c>
      <c r="Z150" s="10">
        <f>IF(AND(Q150&lt;&gt;"",W150&gt;0),Q150&amp;"|월","")</f>
        <v/>
      </c>
      <c r="AA150" s="10">
        <f>IF(COUNTA(B150:N150)=0,"",IF(Q150="","등록번호 없음",IF(LEFT(R150,1)="⚠","모병원명 미등록",IF(S150="","파견병원 입력",IF(LEFT(S150,1)="⚠","파견병원명 미등록",IF(LEFT(U150,1)="⚠","파견과목 미등록",IF(OR(T150="",LEFT(T150,1)="⚠"),"파견근거 확인",IF(NOT(AND(ISNUMBER(H150),ISNUMBER(I150))),"날짜 형식/누락",IF(I150&lt;H150,"종료일&lt;시작일","")))))))))</f>
        <v/>
      </c>
      <c r="AB150" s="11">
        <f>IF(ISNUMBER(SEARCH("다기관",TRIM(N150&amp;" "&amp;O150))),IFERROR(DATE(VALUE(MID(TRIM(N150&amp;" "&amp;O150),1,4)),VALUE(MID(TRIM(N150&amp;" "&amp;O150),6,2)),VALUE(MID(TRIM(N150&amp;" "&amp;O150),9,2))),IF(ISNUMBER(H150),H150,"")),"")</f>
        <v/>
      </c>
      <c r="AC150" s="11">
        <f>IF(ISNUMBER(SEARCH("다기관",TRIM(N150&amp;" "&amp;O150))),IFERROR(DATE(VALUE(MID(TRIM(N150&amp;" "&amp;O150),12,4)),VALUE(MID(TRIM(N150&amp;" "&amp;O150),17,2)),VALUE(MID(TRIM(N150&amp;" "&amp;O150),20,2))),IF(ISNUMBER(I150),I150,"")),"")</f>
        <v/>
      </c>
      <c r="AD150" s="17">
        <f>IF(AND(ISNUMBER(AB150),ISNUMBER(AC150)),MAX(0,MIN(AC150,EOMONTH(요약!$B$3,0))-MAX(AB150,요약!$B$3)+1),0)</f>
        <v/>
      </c>
      <c r="AE150" s="10">
        <f>IF(AND(Q150&lt;&gt;"",ISNUMBER(AB150)),Q150&amp;"|다기관","")</f>
        <v/>
      </c>
    </row>
    <row r="151">
      <c r="A151" s="15">
        <f>IF(F151="","",ROW()-3)</f>
        <v/>
      </c>
      <c r="B151" s="5" t="n"/>
      <c r="C151" s="15" t="n"/>
      <c r="D151" s="5" t="n"/>
      <c r="E151" s="15" t="n"/>
      <c r="F151" s="5" t="n"/>
      <c r="G151" s="6" t="n"/>
      <c r="H151" s="16" t="n"/>
      <c r="I151" s="16" t="n"/>
      <c r="J151" s="15">
        <f>IF(AND(ISNUMBER(H151),ISNUMBER(I151)),I151-H151+1,"")</f>
        <v/>
      </c>
      <c r="K151" s="5" t="n"/>
      <c r="L151" s="5" t="n"/>
      <c r="M151" s="5" t="n"/>
      <c r="N151" s="5" t="n"/>
      <c r="O151" s="5" t="n"/>
      <c r="Q151" s="10">
        <f>IF(TRIM(G151&amp;"")="","",TRIM(G151&amp;""))</f>
        <v/>
      </c>
      <c r="R151" s="10">
        <f>IF(TRIM(B151&amp;"")="","",IFERROR(INDEX(코드표!$K$2:$K$101,MATCH(TRIM(B151&amp;""),코드표!$J$2:$J$101,0)),"⚠"&amp;TRIM(B151&amp;"")))</f>
        <v/>
      </c>
      <c r="S151" s="10">
        <f>IF(TRIM(K151&amp;"")="","",IFERROR(INDEX(코드표!$K$2:$K$101,MATCH(TRIM(K151&amp;""),코드표!$J$2:$J$101,0)),"⚠"&amp;TRIM(K151&amp;"")))</f>
        <v/>
      </c>
      <c r="T151" s="10">
        <f>IF(TRIM(M151&amp;"")="","",IF(ISNUMBER(MATCH(TRIM(M151&amp;""),코드표!$C$2:$C$11,0)),TRIM(M151&amp;""),"⚠"&amp;TRIM(M151&amp;"")))</f>
        <v/>
      </c>
      <c r="U151" s="10">
        <f>IF(TRIM(L151&amp;"")="","",IFERROR(INDEX(코드표!$G$2:$G$101,MATCH(TRIM(L151&amp;""),코드표!$F$2:$F$101,0)),"⚠"&amp;TRIM(L151&amp;"")))</f>
        <v/>
      </c>
      <c r="V151" s="10">
        <f>IF(AND(ISNUMBER(H151),ISNUMBER(I151)),I151-H151+1,"")</f>
        <v/>
      </c>
      <c r="W151" s="17">
        <f>IF(ISNUMBER(H151),MAX(0,MIN(IF(ISNUMBER(I151),I151,EOMONTH(요약!$B$3,0)),EOMONTH(요약!$B$3,0))-MAX(H151,요약!$B$3)+1),0)</f>
        <v/>
      </c>
      <c r="X151" s="10">
        <f>IF(OR(NOT(ISNUMBER(H151)),Q151=""),"",IF(TODAY()&lt;H151,"파견예정",IF(AND(ISNUMBER(I151),TODAY()&gt;I151),"파견종료","파견중")))</f>
        <v/>
      </c>
      <c r="Y151" s="10">
        <f>IF(OR(Q151="",X151=""),"",Q151&amp;"|"&amp;X151)</f>
        <v/>
      </c>
      <c r="Z151" s="10">
        <f>IF(AND(Q151&lt;&gt;"",W151&gt;0),Q151&amp;"|월","")</f>
        <v/>
      </c>
      <c r="AA151" s="10">
        <f>IF(COUNTA(B151:N151)=0,"",IF(Q151="","등록번호 없음",IF(LEFT(R151,1)="⚠","모병원명 미등록",IF(S151="","파견병원 입력",IF(LEFT(S151,1)="⚠","파견병원명 미등록",IF(LEFT(U151,1)="⚠","파견과목 미등록",IF(OR(T151="",LEFT(T151,1)="⚠"),"파견근거 확인",IF(NOT(AND(ISNUMBER(H151),ISNUMBER(I151))),"날짜 형식/누락",IF(I151&lt;H151,"종료일&lt;시작일","")))))))))</f>
        <v/>
      </c>
      <c r="AB151" s="11">
        <f>IF(ISNUMBER(SEARCH("다기관",TRIM(N151&amp;" "&amp;O151))),IFERROR(DATE(VALUE(MID(TRIM(N151&amp;" "&amp;O151),1,4)),VALUE(MID(TRIM(N151&amp;" "&amp;O151),6,2)),VALUE(MID(TRIM(N151&amp;" "&amp;O151),9,2))),IF(ISNUMBER(H151),H151,"")),"")</f>
        <v/>
      </c>
      <c r="AC151" s="11">
        <f>IF(ISNUMBER(SEARCH("다기관",TRIM(N151&amp;" "&amp;O151))),IFERROR(DATE(VALUE(MID(TRIM(N151&amp;" "&amp;O151),12,4)),VALUE(MID(TRIM(N151&amp;" "&amp;O151),17,2)),VALUE(MID(TRIM(N151&amp;" "&amp;O151),20,2))),IF(ISNUMBER(I151),I151,"")),"")</f>
        <v/>
      </c>
      <c r="AD151" s="17">
        <f>IF(AND(ISNUMBER(AB151),ISNUMBER(AC151)),MAX(0,MIN(AC151,EOMONTH(요약!$B$3,0))-MAX(AB151,요약!$B$3)+1),0)</f>
        <v/>
      </c>
      <c r="AE151" s="10">
        <f>IF(AND(Q151&lt;&gt;"",ISNUMBER(AB151)),Q151&amp;"|다기관","")</f>
        <v/>
      </c>
    </row>
    <row r="152">
      <c r="A152" s="15">
        <f>IF(F152="","",ROW()-3)</f>
        <v/>
      </c>
      <c r="B152" s="5" t="n"/>
      <c r="C152" s="15" t="n"/>
      <c r="D152" s="5" t="n"/>
      <c r="E152" s="15" t="n"/>
      <c r="F152" s="5" t="n"/>
      <c r="G152" s="6" t="n"/>
      <c r="H152" s="16" t="n"/>
      <c r="I152" s="16" t="n"/>
      <c r="J152" s="15">
        <f>IF(AND(ISNUMBER(H152),ISNUMBER(I152)),I152-H152+1,"")</f>
        <v/>
      </c>
      <c r="K152" s="5" t="n"/>
      <c r="L152" s="5" t="n"/>
      <c r="M152" s="5" t="n"/>
      <c r="N152" s="5" t="n"/>
      <c r="O152" s="5" t="n"/>
      <c r="Q152" s="10">
        <f>IF(TRIM(G152&amp;"")="","",TRIM(G152&amp;""))</f>
        <v/>
      </c>
      <c r="R152" s="10">
        <f>IF(TRIM(B152&amp;"")="","",IFERROR(INDEX(코드표!$K$2:$K$101,MATCH(TRIM(B152&amp;""),코드표!$J$2:$J$101,0)),"⚠"&amp;TRIM(B152&amp;"")))</f>
        <v/>
      </c>
      <c r="S152" s="10">
        <f>IF(TRIM(K152&amp;"")="","",IFERROR(INDEX(코드표!$K$2:$K$101,MATCH(TRIM(K152&amp;""),코드표!$J$2:$J$101,0)),"⚠"&amp;TRIM(K152&amp;"")))</f>
        <v/>
      </c>
      <c r="T152" s="10">
        <f>IF(TRIM(M152&amp;"")="","",IF(ISNUMBER(MATCH(TRIM(M152&amp;""),코드표!$C$2:$C$11,0)),TRIM(M152&amp;""),"⚠"&amp;TRIM(M152&amp;"")))</f>
        <v/>
      </c>
      <c r="U152" s="10">
        <f>IF(TRIM(L152&amp;"")="","",IFERROR(INDEX(코드표!$G$2:$G$101,MATCH(TRIM(L152&amp;""),코드표!$F$2:$F$101,0)),"⚠"&amp;TRIM(L152&amp;"")))</f>
        <v/>
      </c>
      <c r="V152" s="10">
        <f>IF(AND(ISNUMBER(H152),ISNUMBER(I152)),I152-H152+1,"")</f>
        <v/>
      </c>
      <c r="W152" s="17">
        <f>IF(ISNUMBER(H152),MAX(0,MIN(IF(ISNUMBER(I152),I152,EOMONTH(요약!$B$3,0)),EOMONTH(요약!$B$3,0))-MAX(H152,요약!$B$3)+1),0)</f>
        <v/>
      </c>
      <c r="X152" s="10">
        <f>IF(OR(NOT(ISNUMBER(H152)),Q152=""),"",IF(TODAY()&lt;H152,"파견예정",IF(AND(ISNUMBER(I152),TODAY()&gt;I152),"파견종료","파견중")))</f>
        <v/>
      </c>
      <c r="Y152" s="10">
        <f>IF(OR(Q152="",X152=""),"",Q152&amp;"|"&amp;X152)</f>
        <v/>
      </c>
      <c r="Z152" s="10">
        <f>IF(AND(Q152&lt;&gt;"",W152&gt;0),Q152&amp;"|월","")</f>
        <v/>
      </c>
      <c r="AA152" s="10">
        <f>IF(COUNTA(B152:N152)=0,"",IF(Q152="","등록번호 없음",IF(LEFT(R152,1)="⚠","모병원명 미등록",IF(S152="","파견병원 입력",IF(LEFT(S152,1)="⚠","파견병원명 미등록",IF(LEFT(U152,1)="⚠","파견과목 미등록",IF(OR(T152="",LEFT(T152,1)="⚠"),"파견근거 확인",IF(NOT(AND(ISNUMBER(H152),ISNUMBER(I152))),"날짜 형식/누락",IF(I152&lt;H152,"종료일&lt;시작일","")))))))))</f>
        <v/>
      </c>
      <c r="AB152" s="11">
        <f>IF(ISNUMBER(SEARCH("다기관",TRIM(N152&amp;" "&amp;O152))),IFERROR(DATE(VALUE(MID(TRIM(N152&amp;" "&amp;O152),1,4)),VALUE(MID(TRIM(N152&amp;" "&amp;O152),6,2)),VALUE(MID(TRIM(N152&amp;" "&amp;O152),9,2))),IF(ISNUMBER(H152),H152,"")),"")</f>
        <v/>
      </c>
      <c r="AC152" s="11">
        <f>IF(ISNUMBER(SEARCH("다기관",TRIM(N152&amp;" "&amp;O152))),IFERROR(DATE(VALUE(MID(TRIM(N152&amp;" "&amp;O152),12,4)),VALUE(MID(TRIM(N152&amp;" "&amp;O152),17,2)),VALUE(MID(TRIM(N152&amp;" "&amp;O152),20,2))),IF(ISNUMBER(I152),I152,"")),"")</f>
        <v/>
      </c>
      <c r="AD152" s="17">
        <f>IF(AND(ISNUMBER(AB152),ISNUMBER(AC152)),MAX(0,MIN(AC152,EOMONTH(요약!$B$3,0))-MAX(AB152,요약!$B$3)+1),0)</f>
        <v/>
      </c>
      <c r="AE152" s="10">
        <f>IF(AND(Q152&lt;&gt;"",ISNUMBER(AB152)),Q152&amp;"|다기관","")</f>
        <v/>
      </c>
    </row>
    <row r="153">
      <c r="A153" s="15">
        <f>IF(F153="","",ROW()-3)</f>
        <v/>
      </c>
      <c r="B153" s="5" t="n"/>
      <c r="C153" s="15" t="n"/>
      <c r="D153" s="5" t="n"/>
      <c r="E153" s="15" t="n"/>
      <c r="F153" s="5" t="n"/>
      <c r="G153" s="6" t="n"/>
      <c r="H153" s="16" t="n"/>
      <c r="I153" s="16" t="n"/>
      <c r="J153" s="15">
        <f>IF(AND(ISNUMBER(H153),ISNUMBER(I153)),I153-H153+1,"")</f>
        <v/>
      </c>
      <c r="K153" s="5" t="n"/>
      <c r="L153" s="5" t="n"/>
      <c r="M153" s="5" t="n"/>
      <c r="N153" s="5" t="n"/>
      <c r="O153" s="5" t="n"/>
      <c r="Q153" s="10">
        <f>IF(TRIM(G153&amp;"")="","",TRIM(G153&amp;""))</f>
        <v/>
      </c>
      <c r="R153" s="10">
        <f>IF(TRIM(B153&amp;"")="","",IFERROR(INDEX(코드표!$K$2:$K$101,MATCH(TRIM(B153&amp;""),코드표!$J$2:$J$101,0)),"⚠"&amp;TRIM(B153&amp;"")))</f>
        <v/>
      </c>
      <c r="S153" s="10">
        <f>IF(TRIM(K153&amp;"")="","",IFERROR(INDEX(코드표!$K$2:$K$101,MATCH(TRIM(K153&amp;""),코드표!$J$2:$J$101,0)),"⚠"&amp;TRIM(K153&amp;"")))</f>
        <v/>
      </c>
      <c r="T153" s="10">
        <f>IF(TRIM(M153&amp;"")="","",IF(ISNUMBER(MATCH(TRIM(M153&amp;""),코드표!$C$2:$C$11,0)),TRIM(M153&amp;""),"⚠"&amp;TRIM(M153&amp;"")))</f>
        <v/>
      </c>
      <c r="U153" s="10">
        <f>IF(TRIM(L153&amp;"")="","",IFERROR(INDEX(코드표!$G$2:$G$101,MATCH(TRIM(L153&amp;""),코드표!$F$2:$F$101,0)),"⚠"&amp;TRIM(L153&amp;"")))</f>
        <v/>
      </c>
      <c r="V153" s="10">
        <f>IF(AND(ISNUMBER(H153),ISNUMBER(I153)),I153-H153+1,"")</f>
        <v/>
      </c>
      <c r="W153" s="17">
        <f>IF(ISNUMBER(H153),MAX(0,MIN(IF(ISNUMBER(I153),I153,EOMONTH(요약!$B$3,0)),EOMONTH(요약!$B$3,0))-MAX(H153,요약!$B$3)+1),0)</f>
        <v/>
      </c>
      <c r="X153" s="10">
        <f>IF(OR(NOT(ISNUMBER(H153)),Q153=""),"",IF(TODAY()&lt;H153,"파견예정",IF(AND(ISNUMBER(I153),TODAY()&gt;I153),"파견종료","파견중")))</f>
        <v/>
      </c>
      <c r="Y153" s="10">
        <f>IF(OR(Q153="",X153=""),"",Q153&amp;"|"&amp;X153)</f>
        <v/>
      </c>
      <c r="Z153" s="10">
        <f>IF(AND(Q153&lt;&gt;"",W153&gt;0),Q153&amp;"|월","")</f>
        <v/>
      </c>
      <c r="AA153" s="10">
        <f>IF(COUNTA(B153:N153)=0,"",IF(Q153="","등록번호 없음",IF(LEFT(R153,1)="⚠","모병원명 미등록",IF(S153="","파견병원 입력",IF(LEFT(S153,1)="⚠","파견병원명 미등록",IF(LEFT(U153,1)="⚠","파견과목 미등록",IF(OR(T153="",LEFT(T153,1)="⚠"),"파견근거 확인",IF(NOT(AND(ISNUMBER(H153),ISNUMBER(I153))),"날짜 형식/누락",IF(I153&lt;H153,"종료일&lt;시작일","")))))))))</f>
        <v/>
      </c>
      <c r="AB153" s="11">
        <f>IF(ISNUMBER(SEARCH("다기관",TRIM(N153&amp;" "&amp;O153))),IFERROR(DATE(VALUE(MID(TRIM(N153&amp;" "&amp;O153),1,4)),VALUE(MID(TRIM(N153&amp;" "&amp;O153),6,2)),VALUE(MID(TRIM(N153&amp;" "&amp;O153),9,2))),IF(ISNUMBER(H153),H153,"")),"")</f>
        <v/>
      </c>
      <c r="AC153" s="11">
        <f>IF(ISNUMBER(SEARCH("다기관",TRIM(N153&amp;" "&amp;O153))),IFERROR(DATE(VALUE(MID(TRIM(N153&amp;" "&amp;O153),12,4)),VALUE(MID(TRIM(N153&amp;" "&amp;O153),17,2)),VALUE(MID(TRIM(N153&amp;" "&amp;O153),20,2))),IF(ISNUMBER(I153),I153,"")),"")</f>
        <v/>
      </c>
      <c r="AD153" s="17">
        <f>IF(AND(ISNUMBER(AB153),ISNUMBER(AC153)),MAX(0,MIN(AC153,EOMONTH(요약!$B$3,0))-MAX(AB153,요약!$B$3)+1),0)</f>
        <v/>
      </c>
      <c r="AE153" s="10">
        <f>IF(AND(Q153&lt;&gt;"",ISNUMBER(AB153)),Q153&amp;"|다기관","")</f>
        <v/>
      </c>
    </row>
    <row r="154">
      <c r="A154" s="15">
        <f>IF(F154="","",ROW()-3)</f>
        <v/>
      </c>
      <c r="B154" s="5" t="n"/>
      <c r="C154" s="15" t="n"/>
      <c r="D154" s="5" t="n"/>
      <c r="E154" s="15" t="n"/>
      <c r="F154" s="5" t="n"/>
      <c r="G154" s="6" t="n"/>
      <c r="H154" s="16" t="n"/>
      <c r="I154" s="16" t="n"/>
      <c r="J154" s="15">
        <f>IF(AND(ISNUMBER(H154),ISNUMBER(I154)),I154-H154+1,"")</f>
        <v/>
      </c>
      <c r="K154" s="5" t="n"/>
      <c r="L154" s="5" t="n"/>
      <c r="M154" s="5" t="n"/>
      <c r="N154" s="5" t="n"/>
      <c r="O154" s="5" t="n"/>
      <c r="Q154" s="10">
        <f>IF(TRIM(G154&amp;"")="","",TRIM(G154&amp;""))</f>
        <v/>
      </c>
      <c r="R154" s="10">
        <f>IF(TRIM(B154&amp;"")="","",IFERROR(INDEX(코드표!$K$2:$K$101,MATCH(TRIM(B154&amp;""),코드표!$J$2:$J$101,0)),"⚠"&amp;TRIM(B154&amp;"")))</f>
        <v/>
      </c>
      <c r="S154" s="10">
        <f>IF(TRIM(K154&amp;"")="","",IFERROR(INDEX(코드표!$K$2:$K$101,MATCH(TRIM(K154&amp;""),코드표!$J$2:$J$101,0)),"⚠"&amp;TRIM(K154&amp;"")))</f>
        <v/>
      </c>
      <c r="T154" s="10">
        <f>IF(TRIM(M154&amp;"")="","",IF(ISNUMBER(MATCH(TRIM(M154&amp;""),코드표!$C$2:$C$11,0)),TRIM(M154&amp;""),"⚠"&amp;TRIM(M154&amp;"")))</f>
        <v/>
      </c>
      <c r="U154" s="10">
        <f>IF(TRIM(L154&amp;"")="","",IFERROR(INDEX(코드표!$G$2:$G$101,MATCH(TRIM(L154&amp;""),코드표!$F$2:$F$101,0)),"⚠"&amp;TRIM(L154&amp;"")))</f>
        <v/>
      </c>
      <c r="V154" s="10">
        <f>IF(AND(ISNUMBER(H154),ISNUMBER(I154)),I154-H154+1,"")</f>
        <v/>
      </c>
      <c r="W154" s="17">
        <f>IF(ISNUMBER(H154),MAX(0,MIN(IF(ISNUMBER(I154),I154,EOMONTH(요약!$B$3,0)),EOMONTH(요약!$B$3,0))-MAX(H154,요약!$B$3)+1),0)</f>
        <v/>
      </c>
      <c r="X154" s="10">
        <f>IF(OR(NOT(ISNUMBER(H154)),Q154=""),"",IF(TODAY()&lt;H154,"파견예정",IF(AND(ISNUMBER(I154),TODAY()&gt;I154),"파견종료","파견중")))</f>
        <v/>
      </c>
      <c r="Y154" s="10">
        <f>IF(OR(Q154="",X154=""),"",Q154&amp;"|"&amp;X154)</f>
        <v/>
      </c>
      <c r="Z154" s="10">
        <f>IF(AND(Q154&lt;&gt;"",W154&gt;0),Q154&amp;"|월","")</f>
        <v/>
      </c>
      <c r="AA154" s="10">
        <f>IF(COUNTA(B154:N154)=0,"",IF(Q154="","등록번호 없음",IF(LEFT(R154,1)="⚠","모병원명 미등록",IF(S154="","파견병원 입력",IF(LEFT(S154,1)="⚠","파견병원명 미등록",IF(LEFT(U154,1)="⚠","파견과목 미등록",IF(OR(T154="",LEFT(T154,1)="⚠"),"파견근거 확인",IF(NOT(AND(ISNUMBER(H154),ISNUMBER(I154))),"날짜 형식/누락",IF(I154&lt;H154,"종료일&lt;시작일","")))))))))</f>
        <v/>
      </c>
      <c r="AB154" s="11">
        <f>IF(ISNUMBER(SEARCH("다기관",TRIM(N154&amp;" "&amp;O154))),IFERROR(DATE(VALUE(MID(TRIM(N154&amp;" "&amp;O154),1,4)),VALUE(MID(TRIM(N154&amp;" "&amp;O154),6,2)),VALUE(MID(TRIM(N154&amp;" "&amp;O154),9,2))),IF(ISNUMBER(H154),H154,"")),"")</f>
        <v/>
      </c>
      <c r="AC154" s="11">
        <f>IF(ISNUMBER(SEARCH("다기관",TRIM(N154&amp;" "&amp;O154))),IFERROR(DATE(VALUE(MID(TRIM(N154&amp;" "&amp;O154),12,4)),VALUE(MID(TRIM(N154&amp;" "&amp;O154),17,2)),VALUE(MID(TRIM(N154&amp;" "&amp;O154),20,2))),IF(ISNUMBER(I154),I154,"")),"")</f>
        <v/>
      </c>
      <c r="AD154" s="17">
        <f>IF(AND(ISNUMBER(AB154),ISNUMBER(AC154)),MAX(0,MIN(AC154,EOMONTH(요약!$B$3,0))-MAX(AB154,요약!$B$3)+1),0)</f>
        <v/>
      </c>
      <c r="AE154" s="10">
        <f>IF(AND(Q154&lt;&gt;"",ISNUMBER(AB154)),Q154&amp;"|다기관","")</f>
        <v/>
      </c>
    </row>
    <row r="155">
      <c r="A155" s="15">
        <f>IF(F155="","",ROW()-3)</f>
        <v/>
      </c>
      <c r="B155" s="5" t="n"/>
      <c r="C155" s="15" t="n"/>
      <c r="D155" s="5" t="n"/>
      <c r="E155" s="15" t="n"/>
      <c r="F155" s="5" t="n"/>
      <c r="G155" s="6" t="n"/>
      <c r="H155" s="16" t="n"/>
      <c r="I155" s="16" t="n"/>
      <c r="J155" s="15">
        <f>IF(AND(ISNUMBER(H155),ISNUMBER(I155)),I155-H155+1,"")</f>
        <v/>
      </c>
      <c r="K155" s="5" t="n"/>
      <c r="L155" s="5" t="n"/>
      <c r="M155" s="5" t="n"/>
      <c r="N155" s="5" t="n"/>
      <c r="O155" s="5" t="n"/>
      <c r="Q155" s="10">
        <f>IF(TRIM(G155&amp;"")="","",TRIM(G155&amp;""))</f>
        <v/>
      </c>
      <c r="R155" s="10">
        <f>IF(TRIM(B155&amp;"")="","",IFERROR(INDEX(코드표!$K$2:$K$101,MATCH(TRIM(B155&amp;""),코드표!$J$2:$J$101,0)),"⚠"&amp;TRIM(B155&amp;"")))</f>
        <v/>
      </c>
      <c r="S155" s="10">
        <f>IF(TRIM(K155&amp;"")="","",IFERROR(INDEX(코드표!$K$2:$K$101,MATCH(TRIM(K155&amp;""),코드표!$J$2:$J$101,0)),"⚠"&amp;TRIM(K155&amp;"")))</f>
        <v/>
      </c>
      <c r="T155" s="10">
        <f>IF(TRIM(M155&amp;"")="","",IF(ISNUMBER(MATCH(TRIM(M155&amp;""),코드표!$C$2:$C$11,0)),TRIM(M155&amp;""),"⚠"&amp;TRIM(M155&amp;"")))</f>
        <v/>
      </c>
      <c r="U155" s="10">
        <f>IF(TRIM(L155&amp;"")="","",IFERROR(INDEX(코드표!$G$2:$G$101,MATCH(TRIM(L155&amp;""),코드표!$F$2:$F$101,0)),"⚠"&amp;TRIM(L155&amp;"")))</f>
        <v/>
      </c>
      <c r="V155" s="10">
        <f>IF(AND(ISNUMBER(H155),ISNUMBER(I155)),I155-H155+1,"")</f>
        <v/>
      </c>
      <c r="W155" s="17">
        <f>IF(ISNUMBER(H155),MAX(0,MIN(IF(ISNUMBER(I155),I155,EOMONTH(요약!$B$3,0)),EOMONTH(요약!$B$3,0))-MAX(H155,요약!$B$3)+1),0)</f>
        <v/>
      </c>
      <c r="X155" s="10">
        <f>IF(OR(NOT(ISNUMBER(H155)),Q155=""),"",IF(TODAY()&lt;H155,"파견예정",IF(AND(ISNUMBER(I155),TODAY()&gt;I155),"파견종료","파견중")))</f>
        <v/>
      </c>
      <c r="Y155" s="10">
        <f>IF(OR(Q155="",X155=""),"",Q155&amp;"|"&amp;X155)</f>
        <v/>
      </c>
      <c r="Z155" s="10">
        <f>IF(AND(Q155&lt;&gt;"",W155&gt;0),Q155&amp;"|월","")</f>
        <v/>
      </c>
      <c r="AA155" s="10">
        <f>IF(COUNTA(B155:N155)=0,"",IF(Q155="","등록번호 없음",IF(LEFT(R155,1)="⚠","모병원명 미등록",IF(S155="","파견병원 입력",IF(LEFT(S155,1)="⚠","파견병원명 미등록",IF(LEFT(U155,1)="⚠","파견과목 미등록",IF(OR(T155="",LEFT(T155,1)="⚠"),"파견근거 확인",IF(NOT(AND(ISNUMBER(H155),ISNUMBER(I155))),"날짜 형식/누락",IF(I155&lt;H155,"종료일&lt;시작일","")))))))))</f>
        <v/>
      </c>
      <c r="AB155" s="11">
        <f>IF(ISNUMBER(SEARCH("다기관",TRIM(N155&amp;" "&amp;O155))),IFERROR(DATE(VALUE(MID(TRIM(N155&amp;" "&amp;O155),1,4)),VALUE(MID(TRIM(N155&amp;" "&amp;O155),6,2)),VALUE(MID(TRIM(N155&amp;" "&amp;O155),9,2))),IF(ISNUMBER(H155),H155,"")),"")</f>
        <v/>
      </c>
      <c r="AC155" s="11">
        <f>IF(ISNUMBER(SEARCH("다기관",TRIM(N155&amp;" "&amp;O155))),IFERROR(DATE(VALUE(MID(TRIM(N155&amp;" "&amp;O155),12,4)),VALUE(MID(TRIM(N155&amp;" "&amp;O155),17,2)),VALUE(MID(TRIM(N155&amp;" "&amp;O155),20,2))),IF(ISNUMBER(I155),I155,"")),"")</f>
        <v/>
      </c>
      <c r="AD155" s="17">
        <f>IF(AND(ISNUMBER(AB155),ISNUMBER(AC155)),MAX(0,MIN(AC155,EOMONTH(요약!$B$3,0))-MAX(AB155,요약!$B$3)+1),0)</f>
        <v/>
      </c>
      <c r="AE155" s="10">
        <f>IF(AND(Q155&lt;&gt;"",ISNUMBER(AB155)),Q155&amp;"|다기관","")</f>
        <v/>
      </c>
    </row>
    <row r="156">
      <c r="A156" s="15">
        <f>IF(F156="","",ROW()-3)</f>
        <v/>
      </c>
      <c r="B156" s="5" t="n"/>
      <c r="C156" s="15" t="n"/>
      <c r="D156" s="5" t="n"/>
      <c r="E156" s="15" t="n"/>
      <c r="F156" s="5" t="n"/>
      <c r="G156" s="6" t="n"/>
      <c r="H156" s="16" t="n"/>
      <c r="I156" s="16" t="n"/>
      <c r="J156" s="15">
        <f>IF(AND(ISNUMBER(H156),ISNUMBER(I156)),I156-H156+1,"")</f>
        <v/>
      </c>
      <c r="K156" s="5" t="n"/>
      <c r="L156" s="5" t="n"/>
      <c r="M156" s="5" t="n"/>
      <c r="N156" s="5" t="n"/>
      <c r="O156" s="5" t="n"/>
      <c r="Q156" s="10">
        <f>IF(TRIM(G156&amp;"")="","",TRIM(G156&amp;""))</f>
        <v/>
      </c>
      <c r="R156" s="10">
        <f>IF(TRIM(B156&amp;"")="","",IFERROR(INDEX(코드표!$K$2:$K$101,MATCH(TRIM(B156&amp;""),코드표!$J$2:$J$101,0)),"⚠"&amp;TRIM(B156&amp;"")))</f>
        <v/>
      </c>
      <c r="S156" s="10">
        <f>IF(TRIM(K156&amp;"")="","",IFERROR(INDEX(코드표!$K$2:$K$101,MATCH(TRIM(K156&amp;""),코드표!$J$2:$J$101,0)),"⚠"&amp;TRIM(K156&amp;"")))</f>
        <v/>
      </c>
      <c r="T156" s="10">
        <f>IF(TRIM(M156&amp;"")="","",IF(ISNUMBER(MATCH(TRIM(M156&amp;""),코드표!$C$2:$C$11,0)),TRIM(M156&amp;""),"⚠"&amp;TRIM(M156&amp;"")))</f>
        <v/>
      </c>
      <c r="U156" s="10">
        <f>IF(TRIM(L156&amp;"")="","",IFERROR(INDEX(코드표!$G$2:$G$101,MATCH(TRIM(L156&amp;""),코드표!$F$2:$F$101,0)),"⚠"&amp;TRIM(L156&amp;"")))</f>
        <v/>
      </c>
      <c r="V156" s="10">
        <f>IF(AND(ISNUMBER(H156),ISNUMBER(I156)),I156-H156+1,"")</f>
        <v/>
      </c>
      <c r="W156" s="17">
        <f>IF(ISNUMBER(H156),MAX(0,MIN(IF(ISNUMBER(I156),I156,EOMONTH(요약!$B$3,0)),EOMONTH(요약!$B$3,0))-MAX(H156,요약!$B$3)+1),0)</f>
        <v/>
      </c>
      <c r="X156" s="10">
        <f>IF(OR(NOT(ISNUMBER(H156)),Q156=""),"",IF(TODAY()&lt;H156,"파견예정",IF(AND(ISNUMBER(I156),TODAY()&gt;I156),"파견종료","파견중")))</f>
        <v/>
      </c>
      <c r="Y156" s="10">
        <f>IF(OR(Q156="",X156=""),"",Q156&amp;"|"&amp;X156)</f>
        <v/>
      </c>
      <c r="Z156" s="10">
        <f>IF(AND(Q156&lt;&gt;"",W156&gt;0),Q156&amp;"|월","")</f>
        <v/>
      </c>
      <c r="AA156" s="10">
        <f>IF(COUNTA(B156:N156)=0,"",IF(Q156="","등록번호 없음",IF(LEFT(R156,1)="⚠","모병원명 미등록",IF(S156="","파견병원 입력",IF(LEFT(S156,1)="⚠","파견병원명 미등록",IF(LEFT(U156,1)="⚠","파견과목 미등록",IF(OR(T156="",LEFT(T156,1)="⚠"),"파견근거 확인",IF(NOT(AND(ISNUMBER(H156),ISNUMBER(I156))),"날짜 형식/누락",IF(I156&lt;H156,"종료일&lt;시작일","")))))))))</f>
        <v/>
      </c>
      <c r="AB156" s="11">
        <f>IF(ISNUMBER(SEARCH("다기관",TRIM(N156&amp;" "&amp;O156))),IFERROR(DATE(VALUE(MID(TRIM(N156&amp;" "&amp;O156),1,4)),VALUE(MID(TRIM(N156&amp;" "&amp;O156),6,2)),VALUE(MID(TRIM(N156&amp;" "&amp;O156),9,2))),IF(ISNUMBER(H156),H156,"")),"")</f>
        <v/>
      </c>
      <c r="AC156" s="11">
        <f>IF(ISNUMBER(SEARCH("다기관",TRIM(N156&amp;" "&amp;O156))),IFERROR(DATE(VALUE(MID(TRIM(N156&amp;" "&amp;O156),12,4)),VALUE(MID(TRIM(N156&amp;" "&amp;O156),17,2)),VALUE(MID(TRIM(N156&amp;" "&amp;O156),20,2))),IF(ISNUMBER(I156),I156,"")),"")</f>
        <v/>
      </c>
      <c r="AD156" s="17">
        <f>IF(AND(ISNUMBER(AB156),ISNUMBER(AC156)),MAX(0,MIN(AC156,EOMONTH(요약!$B$3,0))-MAX(AB156,요약!$B$3)+1),0)</f>
        <v/>
      </c>
      <c r="AE156" s="10">
        <f>IF(AND(Q156&lt;&gt;"",ISNUMBER(AB156)),Q156&amp;"|다기관","")</f>
        <v/>
      </c>
    </row>
    <row r="157">
      <c r="A157" s="15">
        <f>IF(F157="","",ROW()-3)</f>
        <v/>
      </c>
      <c r="B157" s="5" t="n"/>
      <c r="C157" s="15" t="n"/>
      <c r="D157" s="5" t="n"/>
      <c r="E157" s="15" t="n"/>
      <c r="F157" s="5" t="n"/>
      <c r="G157" s="6" t="n"/>
      <c r="H157" s="16" t="n"/>
      <c r="I157" s="16" t="n"/>
      <c r="J157" s="15">
        <f>IF(AND(ISNUMBER(H157),ISNUMBER(I157)),I157-H157+1,"")</f>
        <v/>
      </c>
      <c r="K157" s="5" t="n"/>
      <c r="L157" s="5" t="n"/>
      <c r="M157" s="5" t="n"/>
      <c r="N157" s="5" t="n"/>
      <c r="O157" s="5" t="n"/>
      <c r="Q157" s="10">
        <f>IF(TRIM(G157&amp;"")="","",TRIM(G157&amp;""))</f>
        <v/>
      </c>
      <c r="R157" s="10">
        <f>IF(TRIM(B157&amp;"")="","",IFERROR(INDEX(코드표!$K$2:$K$101,MATCH(TRIM(B157&amp;""),코드표!$J$2:$J$101,0)),"⚠"&amp;TRIM(B157&amp;"")))</f>
        <v/>
      </c>
      <c r="S157" s="10">
        <f>IF(TRIM(K157&amp;"")="","",IFERROR(INDEX(코드표!$K$2:$K$101,MATCH(TRIM(K157&amp;""),코드표!$J$2:$J$101,0)),"⚠"&amp;TRIM(K157&amp;"")))</f>
        <v/>
      </c>
      <c r="T157" s="10">
        <f>IF(TRIM(M157&amp;"")="","",IF(ISNUMBER(MATCH(TRIM(M157&amp;""),코드표!$C$2:$C$11,0)),TRIM(M157&amp;""),"⚠"&amp;TRIM(M157&amp;"")))</f>
        <v/>
      </c>
      <c r="U157" s="10">
        <f>IF(TRIM(L157&amp;"")="","",IFERROR(INDEX(코드표!$G$2:$G$101,MATCH(TRIM(L157&amp;""),코드표!$F$2:$F$101,0)),"⚠"&amp;TRIM(L157&amp;"")))</f>
        <v/>
      </c>
      <c r="V157" s="10">
        <f>IF(AND(ISNUMBER(H157),ISNUMBER(I157)),I157-H157+1,"")</f>
        <v/>
      </c>
      <c r="W157" s="17">
        <f>IF(ISNUMBER(H157),MAX(0,MIN(IF(ISNUMBER(I157),I157,EOMONTH(요약!$B$3,0)),EOMONTH(요약!$B$3,0))-MAX(H157,요약!$B$3)+1),0)</f>
        <v/>
      </c>
      <c r="X157" s="10">
        <f>IF(OR(NOT(ISNUMBER(H157)),Q157=""),"",IF(TODAY()&lt;H157,"파견예정",IF(AND(ISNUMBER(I157),TODAY()&gt;I157),"파견종료","파견중")))</f>
        <v/>
      </c>
      <c r="Y157" s="10">
        <f>IF(OR(Q157="",X157=""),"",Q157&amp;"|"&amp;X157)</f>
        <v/>
      </c>
      <c r="Z157" s="10">
        <f>IF(AND(Q157&lt;&gt;"",W157&gt;0),Q157&amp;"|월","")</f>
        <v/>
      </c>
      <c r="AA157" s="10">
        <f>IF(COUNTA(B157:N157)=0,"",IF(Q157="","등록번호 없음",IF(LEFT(R157,1)="⚠","모병원명 미등록",IF(S157="","파견병원 입력",IF(LEFT(S157,1)="⚠","파견병원명 미등록",IF(LEFT(U157,1)="⚠","파견과목 미등록",IF(OR(T157="",LEFT(T157,1)="⚠"),"파견근거 확인",IF(NOT(AND(ISNUMBER(H157),ISNUMBER(I157))),"날짜 형식/누락",IF(I157&lt;H157,"종료일&lt;시작일","")))))))))</f>
        <v/>
      </c>
      <c r="AB157" s="11">
        <f>IF(ISNUMBER(SEARCH("다기관",TRIM(N157&amp;" "&amp;O157))),IFERROR(DATE(VALUE(MID(TRIM(N157&amp;" "&amp;O157),1,4)),VALUE(MID(TRIM(N157&amp;" "&amp;O157),6,2)),VALUE(MID(TRIM(N157&amp;" "&amp;O157),9,2))),IF(ISNUMBER(H157),H157,"")),"")</f>
        <v/>
      </c>
      <c r="AC157" s="11">
        <f>IF(ISNUMBER(SEARCH("다기관",TRIM(N157&amp;" "&amp;O157))),IFERROR(DATE(VALUE(MID(TRIM(N157&amp;" "&amp;O157),12,4)),VALUE(MID(TRIM(N157&amp;" "&amp;O157),17,2)),VALUE(MID(TRIM(N157&amp;" "&amp;O157),20,2))),IF(ISNUMBER(I157),I157,"")),"")</f>
        <v/>
      </c>
      <c r="AD157" s="17">
        <f>IF(AND(ISNUMBER(AB157),ISNUMBER(AC157)),MAX(0,MIN(AC157,EOMONTH(요약!$B$3,0))-MAX(AB157,요약!$B$3)+1),0)</f>
        <v/>
      </c>
      <c r="AE157" s="10">
        <f>IF(AND(Q157&lt;&gt;"",ISNUMBER(AB157)),Q157&amp;"|다기관","")</f>
        <v/>
      </c>
    </row>
    <row r="158">
      <c r="A158" s="15">
        <f>IF(F158="","",ROW()-3)</f>
        <v/>
      </c>
      <c r="B158" s="5" t="n"/>
      <c r="C158" s="15" t="n"/>
      <c r="D158" s="5" t="n"/>
      <c r="E158" s="15" t="n"/>
      <c r="F158" s="5" t="n"/>
      <c r="G158" s="6" t="n"/>
      <c r="H158" s="16" t="n"/>
      <c r="I158" s="16" t="n"/>
      <c r="J158" s="15">
        <f>IF(AND(ISNUMBER(H158),ISNUMBER(I158)),I158-H158+1,"")</f>
        <v/>
      </c>
      <c r="K158" s="5" t="n"/>
      <c r="L158" s="5" t="n"/>
      <c r="M158" s="5" t="n"/>
      <c r="N158" s="5" t="n"/>
      <c r="O158" s="5" t="n"/>
      <c r="Q158" s="10">
        <f>IF(TRIM(G158&amp;"")="","",TRIM(G158&amp;""))</f>
        <v/>
      </c>
      <c r="R158" s="10">
        <f>IF(TRIM(B158&amp;"")="","",IFERROR(INDEX(코드표!$K$2:$K$101,MATCH(TRIM(B158&amp;""),코드표!$J$2:$J$101,0)),"⚠"&amp;TRIM(B158&amp;"")))</f>
        <v/>
      </c>
      <c r="S158" s="10">
        <f>IF(TRIM(K158&amp;"")="","",IFERROR(INDEX(코드표!$K$2:$K$101,MATCH(TRIM(K158&amp;""),코드표!$J$2:$J$101,0)),"⚠"&amp;TRIM(K158&amp;"")))</f>
        <v/>
      </c>
      <c r="T158" s="10">
        <f>IF(TRIM(M158&amp;"")="","",IF(ISNUMBER(MATCH(TRIM(M158&amp;""),코드표!$C$2:$C$11,0)),TRIM(M158&amp;""),"⚠"&amp;TRIM(M158&amp;"")))</f>
        <v/>
      </c>
      <c r="U158" s="10">
        <f>IF(TRIM(L158&amp;"")="","",IFERROR(INDEX(코드표!$G$2:$G$101,MATCH(TRIM(L158&amp;""),코드표!$F$2:$F$101,0)),"⚠"&amp;TRIM(L158&amp;"")))</f>
        <v/>
      </c>
      <c r="V158" s="10">
        <f>IF(AND(ISNUMBER(H158),ISNUMBER(I158)),I158-H158+1,"")</f>
        <v/>
      </c>
      <c r="W158" s="17">
        <f>IF(ISNUMBER(H158),MAX(0,MIN(IF(ISNUMBER(I158),I158,EOMONTH(요약!$B$3,0)),EOMONTH(요약!$B$3,0))-MAX(H158,요약!$B$3)+1),0)</f>
        <v/>
      </c>
      <c r="X158" s="10">
        <f>IF(OR(NOT(ISNUMBER(H158)),Q158=""),"",IF(TODAY()&lt;H158,"파견예정",IF(AND(ISNUMBER(I158),TODAY()&gt;I158),"파견종료","파견중")))</f>
        <v/>
      </c>
      <c r="Y158" s="10">
        <f>IF(OR(Q158="",X158=""),"",Q158&amp;"|"&amp;X158)</f>
        <v/>
      </c>
      <c r="Z158" s="10">
        <f>IF(AND(Q158&lt;&gt;"",W158&gt;0),Q158&amp;"|월","")</f>
        <v/>
      </c>
      <c r="AA158" s="10">
        <f>IF(COUNTA(B158:N158)=0,"",IF(Q158="","등록번호 없음",IF(LEFT(R158,1)="⚠","모병원명 미등록",IF(S158="","파견병원 입력",IF(LEFT(S158,1)="⚠","파견병원명 미등록",IF(LEFT(U158,1)="⚠","파견과목 미등록",IF(OR(T158="",LEFT(T158,1)="⚠"),"파견근거 확인",IF(NOT(AND(ISNUMBER(H158),ISNUMBER(I158))),"날짜 형식/누락",IF(I158&lt;H158,"종료일&lt;시작일","")))))))))</f>
        <v/>
      </c>
      <c r="AB158" s="11">
        <f>IF(ISNUMBER(SEARCH("다기관",TRIM(N158&amp;" "&amp;O158))),IFERROR(DATE(VALUE(MID(TRIM(N158&amp;" "&amp;O158),1,4)),VALUE(MID(TRIM(N158&amp;" "&amp;O158),6,2)),VALUE(MID(TRIM(N158&amp;" "&amp;O158),9,2))),IF(ISNUMBER(H158),H158,"")),"")</f>
        <v/>
      </c>
      <c r="AC158" s="11">
        <f>IF(ISNUMBER(SEARCH("다기관",TRIM(N158&amp;" "&amp;O158))),IFERROR(DATE(VALUE(MID(TRIM(N158&amp;" "&amp;O158),12,4)),VALUE(MID(TRIM(N158&amp;" "&amp;O158),17,2)),VALUE(MID(TRIM(N158&amp;" "&amp;O158),20,2))),IF(ISNUMBER(I158),I158,"")),"")</f>
        <v/>
      </c>
      <c r="AD158" s="17">
        <f>IF(AND(ISNUMBER(AB158),ISNUMBER(AC158)),MAX(0,MIN(AC158,EOMONTH(요약!$B$3,0))-MAX(AB158,요약!$B$3)+1),0)</f>
        <v/>
      </c>
      <c r="AE158" s="10">
        <f>IF(AND(Q158&lt;&gt;"",ISNUMBER(AB158)),Q158&amp;"|다기관","")</f>
        <v/>
      </c>
    </row>
    <row r="159">
      <c r="A159" s="15">
        <f>IF(F159="","",ROW()-3)</f>
        <v/>
      </c>
      <c r="B159" s="5" t="n"/>
      <c r="C159" s="15" t="n"/>
      <c r="D159" s="5" t="n"/>
      <c r="E159" s="15" t="n"/>
      <c r="F159" s="5" t="n"/>
      <c r="G159" s="6" t="n"/>
      <c r="H159" s="16" t="n"/>
      <c r="I159" s="16" t="n"/>
      <c r="J159" s="15">
        <f>IF(AND(ISNUMBER(H159),ISNUMBER(I159)),I159-H159+1,"")</f>
        <v/>
      </c>
      <c r="K159" s="5" t="n"/>
      <c r="L159" s="5" t="n"/>
      <c r="M159" s="5" t="n"/>
      <c r="N159" s="5" t="n"/>
      <c r="O159" s="5" t="n"/>
      <c r="Q159" s="10">
        <f>IF(TRIM(G159&amp;"")="","",TRIM(G159&amp;""))</f>
        <v/>
      </c>
      <c r="R159" s="10">
        <f>IF(TRIM(B159&amp;"")="","",IFERROR(INDEX(코드표!$K$2:$K$101,MATCH(TRIM(B159&amp;""),코드표!$J$2:$J$101,0)),"⚠"&amp;TRIM(B159&amp;"")))</f>
        <v/>
      </c>
      <c r="S159" s="10">
        <f>IF(TRIM(K159&amp;"")="","",IFERROR(INDEX(코드표!$K$2:$K$101,MATCH(TRIM(K159&amp;""),코드표!$J$2:$J$101,0)),"⚠"&amp;TRIM(K159&amp;"")))</f>
        <v/>
      </c>
      <c r="T159" s="10">
        <f>IF(TRIM(M159&amp;"")="","",IF(ISNUMBER(MATCH(TRIM(M159&amp;""),코드표!$C$2:$C$11,0)),TRIM(M159&amp;""),"⚠"&amp;TRIM(M159&amp;"")))</f>
        <v/>
      </c>
      <c r="U159" s="10">
        <f>IF(TRIM(L159&amp;"")="","",IFERROR(INDEX(코드표!$G$2:$G$101,MATCH(TRIM(L159&amp;""),코드표!$F$2:$F$101,0)),"⚠"&amp;TRIM(L159&amp;"")))</f>
        <v/>
      </c>
      <c r="V159" s="10">
        <f>IF(AND(ISNUMBER(H159),ISNUMBER(I159)),I159-H159+1,"")</f>
        <v/>
      </c>
      <c r="W159" s="17">
        <f>IF(ISNUMBER(H159),MAX(0,MIN(IF(ISNUMBER(I159),I159,EOMONTH(요약!$B$3,0)),EOMONTH(요약!$B$3,0))-MAX(H159,요약!$B$3)+1),0)</f>
        <v/>
      </c>
      <c r="X159" s="10">
        <f>IF(OR(NOT(ISNUMBER(H159)),Q159=""),"",IF(TODAY()&lt;H159,"파견예정",IF(AND(ISNUMBER(I159),TODAY()&gt;I159),"파견종료","파견중")))</f>
        <v/>
      </c>
      <c r="Y159" s="10">
        <f>IF(OR(Q159="",X159=""),"",Q159&amp;"|"&amp;X159)</f>
        <v/>
      </c>
      <c r="Z159" s="10">
        <f>IF(AND(Q159&lt;&gt;"",W159&gt;0),Q159&amp;"|월","")</f>
        <v/>
      </c>
      <c r="AA159" s="10">
        <f>IF(COUNTA(B159:N159)=0,"",IF(Q159="","등록번호 없음",IF(LEFT(R159,1)="⚠","모병원명 미등록",IF(S159="","파견병원 입력",IF(LEFT(S159,1)="⚠","파견병원명 미등록",IF(LEFT(U159,1)="⚠","파견과목 미등록",IF(OR(T159="",LEFT(T159,1)="⚠"),"파견근거 확인",IF(NOT(AND(ISNUMBER(H159),ISNUMBER(I159))),"날짜 형식/누락",IF(I159&lt;H159,"종료일&lt;시작일","")))))))))</f>
        <v/>
      </c>
      <c r="AB159" s="11">
        <f>IF(ISNUMBER(SEARCH("다기관",TRIM(N159&amp;" "&amp;O159))),IFERROR(DATE(VALUE(MID(TRIM(N159&amp;" "&amp;O159),1,4)),VALUE(MID(TRIM(N159&amp;" "&amp;O159),6,2)),VALUE(MID(TRIM(N159&amp;" "&amp;O159),9,2))),IF(ISNUMBER(H159),H159,"")),"")</f>
        <v/>
      </c>
      <c r="AC159" s="11">
        <f>IF(ISNUMBER(SEARCH("다기관",TRIM(N159&amp;" "&amp;O159))),IFERROR(DATE(VALUE(MID(TRIM(N159&amp;" "&amp;O159),12,4)),VALUE(MID(TRIM(N159&amp;" "&amp;O159),17,2)),VALUE(MID(TRIM(N159&amp;" "&amp;O159),20,2))),IF(ISNUMBER(I159),I159,"")),"")</f>
        <v/>
      </c>
      <c r="AD159" s="17">
        <f>IF(AND(ISNUMBER(AB159),ISNUMBER(AC159)),MAX(0,MIN(AC159,EOMONTH(요약!$B$3,0))-MAX(AB159,요약!$B$3)+1),0)</f>
        <v/>
      </c>
      <c r="AE159" s="10">
        <f>IF(AND(Q159&lt;&gt;"",ISNUMBER(AB159)),Q159&amp;"|다기관","")</f>
        <v/>
      </c>
    </row>
    <row r="160">
      <c r="A160" s="15">
        <f>IF(F160="","",ROW()-3)</f>
        <v/>
      </c>
      <c r="B160" s="5" t="n"/>
      <c r="C160" s="15" t="n"/>
      <c r="D160" s="5" t="n"/>
      <c r="E160" s="15" t="n"/>
      <c r="F160" s="5" t="n"/>
      <c r="G160" s="6" t="n"/>
      <c r="H160" s="16" t="n"/>
      <c r="I160" s="16" t="n"/>
      <c r="J160" s="15">
        <f>IF(AND(ISNUMBER(H160),ISNUMBER(I160)),I160-H160+1,"")</f>
        <v/>
      </c>
      <c r="K160" s="5" t="n"/>
      <c r="L160" s="5" t="n"/>
      <c r="M160" s="5" t="n"/>
      <c r="N160" s="5" t="n"/>
      <c r="O160" s="5" t="n"/>
      <c r="Q160" s="10">
        <f>IF(TRIM(G160&amp;"")="","",TRIM(G160&amp;""))</f>
        <v/>
      </c>
      <c r="R160" s="10">
        <f>IF(TRIM(B160&amp;"")="","",IFERROR(INDEX(코드표!$K$2:$K$101,MATCH(TRIM(B160&amp;""),코드표!$J$2:$J$101,0)),"⚠"&amp;TRIM(B160&amp;"")))</f>
        <v/>
      </c>
      <c r="S160" s="10">
        <f>IF(TRIM(K160&amp;"")="","",IFERROR(INDEX(코드표!$K$2:$K$101,MATCH(TRIM(K160&amp;""),코드표!$J$2:$J$101,0)),"⚠"&amp;TRIM(K160&amp;"")))</f>
        <v/>
      </c>
      <c r="T160" s="10">
        <f>IF(TRIM(M160&amp;"")="","",IF(ISNUMBER(MATCH(TRIM(M160&amp;""),코드표!$C$2:$C$11,0)),TRIM(M160&amp;""),"⚠"&amp;TRIM(M160&amp;"")))</f>
        <v/>
      </c>
      <c r="U160" s="10">
        <f>IF(TRIM(L160&amp;"")="","",IFERROR(INDEX(코드표!$G$2:$G$101,MATCH(TRIM(L160&amp;""),코드표!$F$2:$F$101,0)),"⚠"&amp;TRIM(L160&amp;"")))</f>
        <v/>
      </c>
      <c r="V160" s="10">
        <f>IF(AND(ISNUMBER(H160),ISNUMBER(I160)),I160-H160+1,"")</f>
        <v/>
      </c>
      <c r="W160" s="17">
        <f>IF(ISNUMBER(H160),MAX(0,MIN(IF(ISNUMBER(I160),I160,EOMONTH(요약!$B$3,0)),EOMONTH(요약!$B$3,0))-MAX(H160,요약!$B$3)+1),0)</f>
        <v/>
      </c>
      <c r="X160" s="10">
        <f>IF(OR(NOT(ISNUMBER(H160)),Q160=""),"",IF(TODAY()&lt;H160,"파견예정",IF(AND(ISNUMBER(I160),TODAY()&gt;I160),"파견종료","파견중")))</f>
        <v/>
      </c>
      <c r="Y160" s="10">
        <f>IF(OR(Q160="",X160=""),"",Q160&amp;"|"&amp;X160)</f>
        <v/>
      </c>
      <c r="Z160" s="10">
        <f>IF(AND(Q160&lt;&gt;"",W160&gt;0),Q160&amp;"|월","")</f>
        <v/>
      </c>
      <c r="AA160" s="10">
        <f>IF(COUNTA(B160:N160)=0,"",IF(Q160="","등록번호 없음",IF(LEFT(R160,1)="⚠","모병원명 미등록",IF(S160="","파견병원 입력",IF(LEFT(S160,1)="⚠","파견병원명 미등록",IF(LEFT(U160,1)="⚠","파견과목 미등록",IF(OR(T160="",LEFT(T160,1)="⚠"),"파견근거 확인",IF(NOT(AND(ISNUMBER(H160),ISNUMBER(I160))),"날짜 형식/누락",IF(I160&lt;H160,"종료일&lt;시작일","")))))))))</f>
        <v/>
      </c>
      <c r="AB160" s="11">
        <f>IF(ISNUMBER(SEARCH("다기관",TRIM(N160&amp;" "&amp;O160))),IFERROR(DATE(VALUE(MID(TRIM(N160&amp;" "&amp;O160),1,4)),VALUE(MID(TRIM(N160&amp;" "&amp;O160),6,2)),VALUE(MID(TRIM(N160&amp;" "&amp;O160),9,2))),IF(ISNUMBER(H160),H160,"")),"")</f>
        <v/>
      </c>
      <c r="AC160" s="11">
        <f>IF(ISNUMBER(SEARCH("다기관",TRIM(N160&amp;" "&amp;O160))),IFERROR(DATE(VALUE(MID(TRIM(N160&amp;" "&amp;O160),12,4)),VALUE(MID(TRIM(N160&amp;" "&amp;O160),17,2)),VALUE(MID(TRIM(N160&amp;" "&amp;O160),20,2))),IF(ISNUMBER(I160),I160,"")),"")</f>
        <v/>
      </c>
      <c r="AD160" s="17">
        <f>IF(AND(ISNUMBER(AB160),ISNUMBER(AC160)),MAX(0,MIN(AC160,EOMONTH(요약!$B$3,0))-MAX(AB160,요약!$B$3)+1),0)</f>
        <v/>
      </c>
      <c r="AE160" s="10">
        <f>IF(AND(Q160&lt;&gt;"",ISNUMBER(AB160)),Q160&amp;"|다기관","")</f>
        <v/>
      </c>
    </row>
    <row r="161">
      <c r="A161" s="15">
        <f>IF(F161="","",ROW()-3)</f>
        <v/>
      </c>
      <c r="B161" s="5" t="n"/>
      <c r="C161" s="15" t="n"/>
      <c r="D161" s="5" t="n"/>
      <c r="E161" s="15" t="n"/>
      <c r="F161" s="5" t="n"/>
      <c r="G161" s="6" t="n"/>
      <c r="H161" s="16" t="n"/>
      <c r="I161" s="16" t="n"/>
      <c r="J161" s="15">
        <f>IF(AND(ISNUMBER(H161),ISNUMBER(I161)),I161-H161+1,"")</f>
        <v/>
      </c>
      <c r="K161" s="5" t="n"/>
      <c r="L161" s="5" t="n"/>
      <c r="M161" s="5" t="n"/>
      <c r="N161" s="5" t="n"/>
      <c r="O161" s="5" t="n"/>
      <c r="Q161" s="10">
        <f>IF(TRIM(G161&amp;"")="","",TRIM(G161&amp;""))</f>
        <v/>
      </c>
      <c r="R161" s="10">
        <f>IF(TRIM(B161&amp;"")="","",IFERROR(INDEX(코드표!$K$2:$K$101,MATCH(TRIM(B161&amp;""),코드표!$J$2:$J$101,0)),"⚠"&amp;TRIM(B161&amp;"")))</f>
        <v/>
      </c>
      <c r="S161" s="10">
        <f>IF(TRIM(K161&amp;"")="","",IFERROR(INDEX(코드표!$K$2:$K$101,MATCH(TRIM(K161&amp;""),코드표!$J$2:$J$101,0)),"⚠"&amp;TRIM(K161&amp;"")))</f>
        <v/>
      </c>
      <c r="T161" s="10">
        <f>IF(TRIM(M161&amp;"")="","",IF(ISNUMBER(MATCH(TRIM(M161&amp;""),코드표!$C$2:$C$11,0)),TRIM(M161&amp;""),"⚠"&amp;TRIM(M161&amp;"")))</f>
        <v/>
      </c>
      <c r="U161" s="10">
        <f>IF(TRIM(L161&amp;"")="","",IFERROR(INDEX(코드표!$G$2:$G$101,MATCH(TRIM(L161&amp;""),코드표!$F$2:$F$101,0)),"⚠"&amp;TRIM(L161&amp;"")))</f>
        <v/>
      </c>
      <c r="V161" s="10">
        <f>IF(AND(ISNUMBER(H161),ISNUMBER(I161)),I161-H161+1,"")</f>
        <v/>
      </c>
      <c r="W161" s="17">
        <f>IF(ISNUMBER(H161),MAX(0,MIN(IF(ISNUMBER(I161),I161,EOMONTH(요약!$B$3,0)),EOMONTH(요약!$B$3,0))-MAX(H161,요약!$B$3)+1),0)</f>
        <v/>
      </c>
      <c r="X161" s="10">
        <f>IF(OR(NOT(ISNUMBER(H161)),Q161=""),"",IF(TODAY()&lt;H161,"파견예정",IF(AND(ISNUMBER(I161),TODAY()&gt;I161),"파견종료","파견중")))</f>
        <v/>
      </c>
      <c r="Y161" s="10">
        <f>IF(OR(Q161="",X161=""),"",Q161&amp;"|"&amp;X161)</f>
        <v/>
      </c>
      <c r="Z161" s="10">
        <f>IF(AND(Q161&lt;&gt;"",W161&gt;0),Q161&amp;"|월","")</f>
        <v/>
      </c>
      <c r="AA161" s="10">
        <f>IF(COUNTA(B161:N161)=0,"",IF(Q161="","등록번호 없음",IF(LEFT(R161,1)="⚠","모병원명 미등록",IF(S161="","파견병원 입력",IF(LEFT(S161,1)="⚠","파견병원명 미등록",IF(LEFT(U161,1)="⚠","파견과목 미등록",IF(OR(T161="",LEFT(T161,1)="⚠"),"파견근거 확인",IF(NOT(AND(ISNUMBER(H161),ISNUMBER(I161))),"날짜 형식/누락",IF(I161&lt;H161,"종료일&lt;시작일","")))))))))</f>
        <v/>
      </c>
      <c r="AB161" s="11">
        <f>IF(ISNUMBER(SEARCH("다기관",TRIM(N161&amp;" "&amp;O161))),IFERROR(DATE(VALUE(MID(TRIM(N161&amp;" "&amp;O161),1,4)),VALUE(MID(TRIM(N161&amp;" "&amp;O161),6,2)),VALUE(MID(TRIM(N161&amp;" "&amp;O161),9,2))),IF(ISNUMBER(H161),H161,"")),"")</f>
        <v/>
      </c>
      <c r="AC161" s="11">
        <f>IF(ISNUMBER(SEARCH("다기관",TRIM(N161&amp;" "&amp;O161))),IFERROR(DATE(VALUE(MID(TRIM(N161&amp;" "&amp;O161),12,4)),VALUE(MID(TRIM(N161&amp;" "&amp;O161),17,2)),VALUE(MID(TRIM(N161&amp;" "&amp;O161),20,2))),IF(ISNUMBER(I161),I161,"")),"")</f>
        <v/>
      </c>
      <c r="AD161" s="17">
        <f>IF(AND(ISNUMBER(AB161),ISNUMBER(AC161)),MAX(0,MIN(AC161,EOMONTH(요약!$B$3,0))-MAX(AB161,요약!$B$3)+1),0)</f>
        <v/>
      </c>
      <c r="AE161" s="10">
        <f>IF(AND(Q161&lt;&gt;"",ISNUMBER(AB161)),Q161&amp;"|다기관","")</f>
        <v/>
      </c>
    </row>
    <row r="162">
      <c r="A162" s="15">
        <f>IF(F162="","",ROW()-3)</f>
        <v/>
      </c>
      <c r="B162" s="5" t="n"/>
      <c r="C162" s="15" t="n"/>
      <c r="D162" s="5" t="n"/>
      <c r="E162" s="15" t="n"/>
      <c r="F162" s="5" t="n"/>
      <c r="G162" s="6" t="n"/>
      <c r="H162" s="16" t="n"/>
      <c r="I162" s="16" t="n"/>
      <c r="J162" s="15">
        <f>IF(AND(ISNUMBER(H162),ISNUMBER(I162)),I162-H162+1,"")</f>
        <v/>
      </c>
      <c r="K162" s="5" t="n"/>
      <c r="L162" s="5" t="n"/>
      <c r="M162" s="5" t="n"/>
      <c r="N162" s="5" t="n"/>
      <c r="O162" s="5" t="n"/>
      <c r="Q162" s="10">
        <f>IF(TRIM(G162&amp;"")="","",TRIM(G162&amp;""))</f>
        <v/>
      </c>
      <c r="R162" s="10">
        <f>IF(TRIM(B162&amp;"")="","",IFERROR(INDEX(코드표!$K$2:$K$101,MATCH(TRIM(B162&amp;""),코드표!$J$2:$J$101,0)),"⚠"&amp;TRIM(B162&amp;"")))</f>
        <v/>
      </c>
      <c r="S162" s="10">
        <f>IF(TRIM(K162&amp;"")="","",IFERROR(INDEX(코드표!$K$2:$K$101,MATCH(TRIM(K162&amp;""),코드표!$J$2:$J$101,0)),"⚠"&amp;TRIM(K162&amp;"")))</f>
        <v/>
      </c>
      <c r="T162" s="10">
        <f>IF(TRIM(M162&amp;"")="","",IF(ISNUMBER(MATCH(TRIM(M162&amp;""),코드표!$C$2:$C$11,0)),TRIM(M162&amp;""),"⚠"&amp;TRIM(M162&amp;"")))</f>
        <v/>
      </c>
      <c r="U162" s="10">
        <f>IF(TRIM(L162&amp;"")="","",IFERROR(INDEX(코드표!$G$2:$G$101,MATCH(TRIM(L162&amp;""),코드표!$F$2:$F$101,0)),"⚠"&amp;TRIM(L162&amp;"")))</f>
        <v/>
      </c>
      <c r="V162" s="10">
        <f>IF(AND(ISNUMBER(H162),ISNUMBER(I162)),I162-H162+1,"")</f>
        <v/>
      </c>
      <c r="W162" s="17">
        <f>IF(ISNUMBER(H162),MAX(0,MIN(IF(ISNUMBER(I162),I162,EOMONTH(요약!$B$3,0)),EOMONTH(요약!$B$3,0))-MAX(H162,요약!$B$3)+1),0)</f>
        <v/>
      </c>
      <c r="X162" s="10">
        <f>IF(OR(NOT(ISNUMBER(H162)),Q162=""),"",IF(TODAY()&lt;H162,"파견예정",IF(AND(ISNUMBER(I162),TODAY()&gt;I162),"파견종료","파견중")))</f>
        <v/>
      </c>
      <c r="Y162" s="10">
        <f>IF(OR(Q162="",X162=""),"",Q162&amp;"|"&amp;X162)</f>
        <v/>
      </c>
      <c r="Z162" s="10">
        <f>IF(AND(Q162&lt;&gt;"",W162&gt;0),Q162&amp;"|월","")</f>
        <v/>
      </c>
      <c r="AA162" s="10">
        <f>IF(COUNTA(B162:N162)=0,"",IF(Q162="","등록번호 없음",IF(LEFT(R162,1)="⚠","모병원명 미등록",IF(S162="","파견병원 입력",IF(LEFT(S162,1)="⚠","파견병원명 미등록",IF(LEFT(U162,1)="⚠","파견과목 미등록",IF(OR(T162="",LEFT(T162,1)="⚠"),"파견근거 확인",IF(NOT(AND(ISNUMBER(H162),ISNUMBER(I162))),"날짜 형식/누락",IF(I162&lt;H162,"종료일&lt;시작일","")))))))))</f>
        <v/>
      </c>
      <c r="AB162" s="11">
        <f>IF(ISNUMBER(SEARCH("다기관",TRIM(N162&amp;" "&amp;O162))),IFERROR(DATE(VALUE(MID(TRIM(N162&amp;" "&amp;O162),1,4)),VALUE(MID(TRIM(N162&amp;" "&amp;O162),6,2)),VALUE(MID(TRIM(N162&amp;" "&amp;O162),9,2))),IF(ISNUMBER(H162),H162,"")),"")</f>
        <v/>
      </c>
      <c r="AC162" s="11">
        <f>IF(ISNUMBER(SEARCH("다기관",TRIM(N162&amp;" "&amp;O162))),IFERROR(DATE(VALUE(MID(TRIM(N162&amp;" "&amp;O162),12,4)),VALUE(MID(TRIM(N162&amp;" "&amp;O162),17,2)),VALUE(MID(TRIM(N162&amp;" "&amp;O162),20,2))),IF(ISNUMBER(I162),I162,"")),"")</f>
        <v/>
      </c>
      <c r="AD162" s="17">
        <f>IF(AND(ISNUMBER(AB162),ISNUMBER(AC162)),MAX(0,MIN(AC162,EOMONTH(요약!$B$3,0))-MAX(AB162,요약!$B$3)+1),0)</f>
        <v/>
      </c>
      <c r="AE162" s="10">
        <f>IF(AND(Q162&lt;&gt;"",ISNUMBER(AB162)),Q162&amp;"|다기관","")</f>
        <v/>
      </c>
    </row>
    <row r="163">
      <c r="A163" s="15">
        <f>IF(F163="","",ROW()-3)</f>
        <v/>
      </c>
      <c r="B163" s="5" t="n"/>
      <c r="C163" s="15" t="n"/>
      <c r="D163" s="5" t="n"/>
      <c r="E163" s="15" t="n"/>
      <c r="F163" s="5" t="n"/>
      <c r="G163" s="6" t="n"/>
      <c r="H163" s="16" t="n"/>
      <c r="I163" s="16" t="n"/>
      <c r="J163" s="15">
        <f>IF(AND(ISNUMBER(H163),ISNUMBER(I163)),I163-H163+1,"")</f>
        <v/>
      </c>
      <c r="K163" s="5" t="n"/>
      <c r="L163" s="5" t="n"/>
      <c r="M163" s="5" t="n"/>
      <c r="N163" s="5" t="n"/>
      <c r="O163" s="5" t="n"/>
      <c r="Q163" s="10">
        <f>IF(TRIM(G163&amp;"")="","",TRIM(G163&amp;""))</f>
        <v/>
      </c>
      <c r="R163" s="10">
        <f>IF(TRIM(B163&amp;"")="","",IFERROR(INDEX(코드표!$K$2:$K$101,MATCH(TRIM(B163&amp;""),코드표!$J$2:$J$101,0)),"⚠"&amp;TRIM(B163&amp;"")))</f>
        <v/>
      </c>
      <c r="S163" s="10">
        <f>IF(TRIM(K163&amp;"")="","",IFERROR(INDEX(코드표!$K$2:$K$101,MATCH(TRIM(K163&amp;""),코드표!$J$2:$J$101,0)),"⚠"&amp;TRIM(K163&amp;"")))</f>
        <v/>
      </c>
      <c r="T163" s="10">
        <f>IF(TRIM(M163&amp;"")="","",IF(ISNUMBER(MATCH(TRIM(M163&amp;""),코드표!$C$2:$C$11,0)),TRIM(M163&amp;""),"⚠"&amp;TRIM(M163&amp;"")))</f>
        <v/>
      </c>
      <c r="U163" s="10">
        <f>IF(TRIM(L163&amp;"")="","",IFERROR(INDEX(코드표!$G$2:$G$101,MATCH(TRIM(L163&amp;""),코드표!$F$2:$F$101,0)),"⚠"&amp;TRIM(L163&amp;"")))</f>
        <v/>
      </c>
      <c r="V163" s="10">
        <f>IF(AND(ISNUMBER(H163),ISNUMBER(I163)),I163-H163+1,"")</f>
        <v/>
      </c>
      <c r="W163" s="17">
        <f>IF(ISNUMBER(H163),MAX(0,MIN(IF(ISNUMBER(I163),I163,EOMONTH(요약!$B$3,0)),EOMONTH(요약!$B$3,0))-MAX(H163,요약!$B$3)+1),0)</f>
        <v/>
      </c>
      <c r="X163" s="10">
        <f>IF(OR(NOT(ISNUMBER(H163)),Q163=""),"",IF(TODAY()&lt;H163,"파견예정",IF(AND(ISNUMBER(I163),TODAY()&gt;I163),"파견종료","파견중")))</f>
        <v/>
      </c>
      <c r="Y163" s="10">
        <f>IF(OR(Q163="",X163=""),"",Q163&amp;"|"&amp;X163)</f>
        <v/>
      </c>
      <c r="Z163" s="10">
        <f>IF(AND(Q163&lt;&gt;"",W163&gt;0),Q163&amp;"|월","")</f>
        <v/>
      </c>
      <c r="AA163" s="10">
        <f>IF(COUNTA(B163:N163)=0,"",IF(Q163="","등록번호 없음",IF(LEFT(R163,1)="⚠","모병원명 미등록",IF(S163="","파견병원 입력",IF(LEFT(S163,1)="⚠","파견병원명 미등록",IF(LEFT(U163,1)="⚠","파견과목 미등록",IF(OR(T163="",LEFT(T163,1)="⚠"),"파견근거 확인",IF(NOT(AND(ISNUMBER(H163),ISNUMBER(I163))),"날짜 형식/누락",IF(I163&lt;H163,"종료일&lt;시작일","")))))))))</f>
        <v/>
      </c>
      <c r="AB163" s="11">
        <f>IF(ISNUMBER(SEARCH("다기관",TRIM(N163&amp;" "&amp;O163))),IFERROR(DATE(VALUE(MID(TRIM(N163&amp;" "&amp;O163),1,4)),VALUE(MID(TRIM(N163&amp;" "&amp;O163),6,2)),VALUE(MID(TRIM(N163&amp;" "&amp;O163),9,2))),IF(ISNUMBER(H163),H163,"")),"")</f>
        <v/>
      </c>
      <c r="AC163" s="11">
        <f>IF(ISNUMBER(SEARCH("다기관",TRIM(N163&amp;" "&amp;O163))),IFERROR(DATE(VALUE(MID(TRIM(N163&amp;" "&amp;O163),12,4)),VALUE(MID(TRIM(N163&amp;" "&amp;O163),17,2)),VALUE(MID(TRIM(N163&amp;" "&amp;O163),20,2))),IF(ISNUMBER(I163),I163,"")),"")</f>
        <v/>
      </c>
      <c r="AD163" s="17">
        <f>IF(AND(ISNUMBER(AB163),ISNUMBER(AC163)),MAX(0,MIN(AC163,EOMONTH(요약!$B$3,0))-MAX(AB163,요약!$B$3)+1),0)</f>
        <v/>
      </c>
      <c r="AE163" s="10">
        <f>IF(AND(Q163&lt;&gt;"",ISNUMBER(AB163)),Q163&amp;"|다기관","")</f>
        <v/>
      </c>
    </row>
    <row r="164">
      <c r="A164" s="15">
        <f>IF(F164="","",ROW()-3)</f>
        <v/>
      </c>
      <c r="B164" s="5" t="n"/>
      <c r="C164" s="15" t="n"/>
      <c r="D164" s="5" t="n"/>
      <c r="E164" s="15" t="n"/>
      <c r="F164" s="5" t="n"/>
      <c r="G164" s="6" t="n"/>
      <c r="H164" s="16" t="n"/>
      <c r="I164" s="16" t="n"/>
      <c r="J164" s="15">
        <f>IF(AND(ISNUMBER(H164),ISNUMBER(I164)),I164-H164+1,"")</f>
        <v/>
      </c>
      <c r="K164" s="5" t="n"/>
      <c r="L164" s="5" t="n"/>
      <c r="M164" s="5" t="n"/>
      <c r="N164" s="5" t="n"/>
      <c r="O164" s="5" t="n"/>
      <c r="Q164" s="10">
        <f>IF(TRIM(G164&amp;"")="","",TRIM(G164&amp;""))</f>
        <v/>
      </c>
      <c r="R164" s="10">
        <f>IF(TRIM(B164&amp;"")="","",IFERROR(INDEX(코드표!$K$2:$K$101,MATCH(TRIM(B164&amp;""),코드표!$J$2:$J$101,0)),"⚠"&amp;TRIM(B164&amp;"")))</f>
        <v/>
      </c>
      <c r="S164" s="10">
        <f>IF(TRIM(K164&amp;"")="","",IFERROR(INDEX(코드표!$K$2:$K$101,MATCH(TRIM(K164&amp;""),코드표!$J$2:$J$101,0)),"⚠"&amp;TRIM(K164&amp;"")))</f>
        <v/>
      </c>
      <c r="T164" s="10">
        <f>IF(TRIM(M164&amp;"")="","",IF(ISNUMBER(MATCH(TRIM(M164&amp;""),코드표!$C$2:$C$11,0)),TRIM(M164&amp;""),"⚠"&amp;TRIM(M164&amp;"")))</f>
        <v/>
      </c>
      <c r="U164" s="10">
        <f>IF(TRIM(L164&amp;"")="","",IFERROR(INDEX(코드표!$G$2:$G$101,MATCH(TRIM(L164&amp;""),코드표!$F$2:$F$101,0)),"⚠"&amp;TRIM(L164&amp;"")))</f>
        <v/>
      </c>
      <c r="V164" s="10">
        <f>IF(AND(ISNUMBER(H164),ISNUMBER(I164)),I164-H164+1,"")</f>
        <v/>
      </c>
      <c r="W164" s="17">
        <f>IF(ISNUMBER(H164),MAX(0,MIN(IF(ISNUMBER(I164),I164,EOMONTH(요약!$B$3,0)),EOMONTH(요약!$B$3,0))-MAX(H164,요약!$B$3)+1),0)</f>
        <v/>
      </c>
      <c r="X164" s="10">
        <f>IF(OR(NOT(ISNUMBER(H164)),Q164=""),"",IF(TODAY()&lt;H164,"파견예정",IF(AND(ISNUMBER(I164),TODAY()&gt;I164),"파견종료","파견중")))</f>
        <v/>
      </c>
      <c r="Y164" s="10">
        <f>IF(OR(Q164="",X164=""),"",Q164&amp;"|"&amp;X164)</f>
        <v/>
      </c>
      <c r="Z164" s="10">
        <f>IF(AND(Q164&lt;&gt;"",W164&gt;0),Q164&amp;"|월","")</f>
        <v/>
      </c>
      <c r="AA164" s="10">
        <f>IF(COUNTA(B164:N164)=0,"",IF(Q164="","등록번호 없음",IF(LEFT(R164,1)="⚠","모병원명 미등록",IF(S164="","파견병원 입력",IF(LEFT(S164,1)="⚠","파견병원명 미등록",IF(LEFT(U164,1)="⚠","파견과목 미등록",IF(OR(T164="",LEFT(T164,1)="⚠"),"파견근거 확인",IF(NOT(AND(ISNUMBER(H164),ISNUMBER(I164))),"날짜 형식/누락",IF(I164&lt;H164,"종료일&lt;시작일","")))))))))</f>
        <v/>
      </c>
      <c r="AB164" s="11">
        <f>IF(ISNUMBER(SEARCH("다기관",TRIM(N164&amp;" "&amp;O164))),IFERROR(DATE(VALUE(MID(TRIM(N164&amp;" "&amp;O164),1,4)),VALUE(MID(TRIM(N164&amp;" "&amp;O164),6,2)),VALUE(MID(TRIM(N164&amp;" "&amp;O164),9,2))),IF(ISNUMBER(H164),H164,"")),"")</f>
        <v/>
      </c>
      <c r="AC164" s="11">
        <f>IF(ISNUMBER(SEARCH("다기관",TRIM(N164&amp;" "&amp;O164))),IFERROR(DATE(VALUE(MID(TRIM(N164&amp;" "&amp;O164),12,4)),VALUE(MID(TRIM(N164&amp;" "&amp;O164),17,2)),VALUE(MID(TRIM(N164&amp;" "&amp;O164),20,2))),IF(ISNUMBER(I164),I164,"")),"")</f>
        <v/>
      </c>
      <c r="AD164" s="17">
        <f>IF(AND(ISNUMBER(AB164),ISNUMBER(AC164)),MAX(0,MIN(AC164,EOMONTH(요약!$B$3,0))-MAX(AB164,요약!$B$3)+1),0)</f>
        <v/>
      </c>
      <c r="AE164" s="10">
        <f>IF(AND(Q164&lt;&gt;"",ISNUMBER(AB164)),Q164&amp;"|다기관","")</f>
        <v/>
      </c>
    </row>
    <row r="165">
      <c r="A165" s="15">
        <f>IF(F165="","",ROW()-3)</f>
        <v/>
      </c>
      <c r="B165" s="5" t="n"/>
      <c r="C165" s="15" t="n"/>
      <c r="D165" s="5" t="n"/>
      <c r="E165" s="15" t="n"/>
      <c r="F165" s="5" t="n"/>
      <c r="G165" s="6" t="n"/>
      <c r="H165" s="16" t="n"/>
      <c r="I165" s="16" t="n"/>
      <c r="J165" s="15">
        <f>IF(AND(ISNUMBER(H165),ISNUMBER(I165)),I165-H165+1,"")</f>
        <v/>
      </c>
      <c r="K165" s="5" t="n"/>
      <c r="L165" s="5" t="n"/>
      <c r="M165" s="5" t="n"/>
      <c r="N165" s="5" t="n"/>
      <c r="O165" s="5" t="n"/>
      <c r="Q165" s="10">
        <f>IF(TRIM(G165&amp;"")="","",TRIM(G165&amp;""))</f>
        <v/>
      </c>
      <c r="R165" s="10">
        <f>IF(TRIM(B165&amp;"")="","",IFERROR(INDEX(코드표!$K$2:$K$101,MATCH(TRIM(B165&amp;""),코드표!$J$2:$J$101,0)),"⚠"&amp;TRIM(B165&amp;"")))</f>
        <v/>
      </c>
      <c r="S165" s="10">
        <f>IF(TRIM(K165&amp;"")="","",IFERROR(INDEX(코드표!$K$2:$K$101,MATCH(TRIM(K165&amp;""),코드표!$J$2:$J$101,0)),"⚠"&amp;TRIM(K165&amp;"")))</f>
        <v/>
      </c>
      <c r="T165" s="10">
        <f>IF(TRIM(M165&amp;"")="","",IF(ISNUMBER(MATCH(TRIM(M165&amp;""),코드표!$C$2:$C$11,0)),TRIM(M165&amp;""),"⚠"&amp;TRIM(M165&amp;"")))</f>
        <v/>
      </c>
      <c r="U165" s="10">
        <f>IF(TRIM(L165&amp;"")="","",IFERROR(INDEX(코드표!$G$2:$G$101,MATCH(TRIM(L165&amp;""),코드표!$F$2:$F$101,0)),"⚠"&amp;TRIM(L165&amp;"")))</f>
        <v/>
      </c>
      <c r="V165" s="10">
        <f>IF(AND(ISNUMBER(H165),ISNUMBER(I165)),I165-H165+1,"")</f>
        <v/>
      </c>
      <c r="W165" s="17">
        <f>IF(ISNUMBER(H165),MAX(0,MIN(IF(ISNUMBER(I165),I165,EOMONTH(요약!$B$3,0)),EOMONTH(요약!$B$3,0))-MAX(H165,요약!$B$3)+1),0)</f>
        <v/>
      </c>
      <c r="X165" s="10">
        <f>IF(OR(NOT(ISNUMBER(H165)),Q165=""),"",IF(TODAY()&lt;H165,"파견예정",IF(AND(ISNUMBER(I165),TODAY()&gt;I165),"파견종료","파견중")))</f>
        <v/>
      </c>
      <c r="Y165" s="10">
        <f>IF(OR(Q165="",X165=""),"",Q165&amp;"|"&amp;X165)</f>
        <v/>
      </c>
      <c r="Z165" s="10">
        <f>IF(AND(Q165&lt;&gt;"",W165&gt;0),Q165&amp;"|월","")</f>
        <v/>
      </c>
      <c r="AA165" s="10">
        <f>IF(COUNTA(B165:N165)=0,"",IF(Q165="","등록번호 없음",IF(LEFT(R165,1)="⚠","모병원명 미등록",IF(S165="","파견병원 입력",IF(LEFT(S165,1)="⚠","파견병원명 미등록",IF(LEFT(U165,1)="⚠","파견과목 미등록",IF(OR(T165="",LEFT(T165,1)="⚠"),"파견근거 확인",IF(NOT(AND(ISNUMBER(H165),ISNUMBER(I165))),"날짜 형식/누락",IF(I165&lt;H165,"종료일&lt;시작일","")))))))))</f>
        <v/>
      </c>
      <c r="AB165" s="11">
        <f>IF(ISNUMBER(SEARCH("다기관",TRIM(N165&amp;" "&amp;O165))),IFERROR(DATE(VALUE(MID(TRIM(N165&amp;" "&amp;O165),1,4)),VALUE(MID(TRIM(N165&amp;" "&amp;O165),6,2)),VALUE(MID(TRIM(N165&amp;" "&amp;O165),9,2))),IF(ISNUMBER(H165),H165,"")),"")</f>
        <v/>
      </c>
      <c r="AC165" s="11">
        <f>IF(ISNUMBER(SEARCH("다기관",TRIM(N165&amp;" "&amp;O165))),IFERROR(DATE(VALUE(MID(TRIM(N165&amp;" "&amp;O165),12,4)),VALUE(MID(TRIM(N165&amp;" "&amp;O165),17,2)),VALUE(MID(TRIM(N165&amp;" "&amp;O165),20,2))),IF(ISNUMBER(I165),I165,"")),"")</f>
        <v/>
      </c>
      <c r="AD165" s="17">
        <f>IF(AND(ISNUMBER(AB165),ISNUMBER(AC165)),MAX(0,MIN(AC165,EOMONTH(요약!$B$3,0))-MAX(AB165,요약!$B$3)+1),0)</f>
        <v/>
      </c>
      <c r="AE165" s="10">
        <f>IF(AND(Q165&lt;&gt;"",ISNUMBER(AB165)),Q165&amp;"|다기관","")</f>
        <v/>
      </c>
    </row>
    <row r="166">
      <c r="A166" s="15">
        <f>IF(F166="","",ROW()-3)</f>
        <v/>
      </c>
      <c r="B166" s="5" t="n"/>
      <c r="C166" s="15" t="n"/>
      <c r="D166" s="5" t="n"/>
      <c r="E166" s="15" t="n"/>
      <c r="F166" s="5" t="n"/>
      <c r="G166" s="6" t="n"/>
      <c r="H166" s="16" t="n"/>
      <c r="I166" s="16" t="n"/>
      <c r="J166" s="15">
        <f>IF(AND(ISNUMBER(H166),ISNUMBER(I166)),I166-H166+1,"")</f>
        <v/>
      </c>
      <c r="K166" s="5" t="n"/>
      <c r="L166" s="5" t="n"/>
      <c r="M166" s="5" t="n"/>
      <c r="N166" s="5" t="n"/>
      <c r="O166" s="5" t="n"/>
      <c r="Q166" s="10">
        <f>IF(TRIM(G166&amp;"")="","",TRIM(G166&amp;""))</f>
        <v/>
      </c>
      <c r="R166" s="10">
        <f>IF(TRIM(B166&amp;"")="","",IFERROR(INDEX(코드표!$K$2:$K$101,MATCH(TRIM(B166&amp;""),코드표!$J$2:$J$101,0)),"⚠"&amp;TRIM(B166&amp;"")))</f>
        <v/>
      </c>
      <c r="S166" s="10">
        <f>IF(TRIM(K166&amp;"")="","",IFERROR(INDEX(코드표!$K$2:$K$101,MATCH(TRIM(K166&amp;""),코드표!$J$2:$J$101,0)),"⚠"&amp;TRIM(K166&amp;"")))</f>
        <v/>
      </c>
      <c r="T166" s="10">
        <f>IF(TRIM(M166&amp;"")="","",IF(ISNUMBER(MATCH(TRIM(M166&amp;""),코드표!$C$2:$C$11,0)),TRIM(M166&amp;""),"⚠"&amp;TRIM(M166&amp;"")))</f>
        <v/>
      </c>
      <c r="U166" s="10">
        <f>IF(TRIM(L166&amp;"")="","",IFERROR(INDEX(코드표!$G$2:$G$101,MATCH(TRIM(L166&amp;""),코드표!$F$2:$F$101,0)),"⚠"&amp;TRIM(L166&amp;"")))</f>
        <v/>
      </c>
      <c r="V166" s="10">
        <f>IF(AND(ISNUMBER(H166),ISNUMBER(I166)),I166-H166+1,"")</f>
        <v/>
      </c>
      <c r="W166" s="17">
        <f>IF(ISNUMBER(H166),MAX(0,MIN(IF(ISNUMBER(I166),I166,EOMONTH(요약!$B$3,0)),EOMONTH(요약!$B$3,0))-MAX(H166,요약!$B$3)+1),0)</f>
        <v/>
      </c>
      <c r="X166" s="10">
        <f>IF(OR(NOT(ISNUMBER(H166)),Q166=""),"",IF(TODAY()&lt;H166,"파견예정",IF(AND(ISNUMBER(I166),TODAY()&gt;I166),"파견종료","파견중")))</f>
        <v/>
      </c>
      <c r="Y166" s="10">
        <f>IF(OR(Q166="",X166=""),"",Q166&amp;"|"&amp;X166)</f>
        <v/>
      </c>
      <c r="Z166" s="10">
        <f>IF(AND(Q166&lt;&gt;"",W166&gt;0),Q166&amp;"|월","")</f>
        <v/>
      </c>
      <c r="AA166" s="10">
        <f>IF(COUNTA(B166:N166)=0,"",IF(Q166="","등록번호 없음",IF(LEFT(R166,1)="⚠","모병원명 미등록",IF(S166="","파견병원 입력",IF(LEFT(S166,1)="⚠","파견병원명 미등록",IF(LEFT(U166,1)="⚠","파견과목 미등록",IF(OR(T166="",LEFT(T166,1)="⚠"),"파견근거 확인",IF(NOT(AND(ISNUMBER(H166),ISNUMBER(I166))),"날짜 형식/누락",IF(I166&lt;H166,"종료일&lt;시작일","")))))))))</f>
        <v/>
      </c>
      <c r="AB166" s="11">
        <f>IF(ISNUMBER(SEARCH("다기관",TRIM(N166&amp;" "&amp;O166))),IFERROR(DATE(VALUE(MID(TRIM(N166&amp;" "&amp;O166),1,4)),VALUE(MID(TRIM(N166&amp;" "&amp;O166),6,2)),VALUE(MID(TRIM(N166&amp;" "&amp;O166),9,2))),IF(ISNUMBER(H166),H166,"")),"")</f>
        <v/>
      </c>
      <c r="AC166" s="11">
        <f>IF(ISNUMBER(SEARCH("다기관",TRIM(N166&amp;" "&amp;O166))),IFERROR(DATE(VALUE(MID(TRIM(N166&amp;" "&amp;O166),12,4)),VALUE(MID(TRIM(N166&amp;" "&amp;O166),17,2)),VALUE(MID(TRIM(N166&amp;" "&amp;O166),20,2))),IF(ISNUMBER(I166),I166,"")),"")</f>
        <v/>
      </c>
      <c r="AD166" s="17">
        <f>IF(AND(ISNUMBER(AB166),ISNUMBER(AC166)),MAX(0,MIN(AC166,EOMONTH(요약!$B$3,0))-MAX(AB166,요약!$B$3)+1),0)</f>
        <v/>
      </c>
      <c r="AE166" s="10">
        <f>IF(AND(Q166&lt;&gt;"",ISNUMBER(AB166)),Q166&amp;"|다기관","")</f>
        <v/>
      </c>
    </row>
    <row r="167">
      <c r="A167" s="15">
        <f>IF(F167="","",ROW()-3)</f>
        <v/>
      </c>
      <c r="B167" s="5" t="n"/>
      <c r="C167" s="15" t="n"/>
      <c r="D167" s="5" t="n"/>
      <c r="E167" s="15" t="n"/>
      <c r="F167" s="5" t="n"/>
      <c r="G167" s="6" t="n"/>
      <c r="H167" s="16" t="n"/>
      <c r="I167" s="16" t="n"/>
      <c r="J167" s="15">
        <f>IF(AND(ISNUMBER(H167),ISNUMBER(I167)),I167-H167+1,"")</f>
        <v/>
      </c>
      <c r="K167" s="5" t="n"/>
      <c r="L167" s="5" t="n"/>
      <c r="M167" s="5" t="n"/>
      <c r="N167" s="5" t="n"/>
      <c r="O167" s="5" t="n"/>
      <c r="Q167" s="10">
        <f>IF(TRIM(G167&amp;"")="","",TRIM(G167&amp;""))</f>
        <v/>
      </c>
      <c r="R167" s="10">
        <f>IF(TRIM(B167&amp;"")="","",IFERROR(INDEX(코드표!$K$2:$K$101,MATCH(TRIM(B167&amp;""),코드표!$J$2:$J$101,0)),"⚠"&amp;TRIM(B167&amp;"")))</f>
        <v/>
      </c>
      <c r="S167" s="10">
        <f>IF(TRIM(K167&amp;"")="","",IFERROR(INDEX(코드표!$K$2:$K$101,MATCH(TRIM(K167&amp;""),코드표!$J$2:$J$101,0)),"⚠"&amp;TRIM(K167&amp;"")))</f>
        <v/>
      </c>
      <c r="T167" s="10">
        <f>IF(TRIM(M167&amp;"")="","",IF(ISNUMBER(MATCH(TRIM(M167&amp;""),코드표!$C$2:$C$11,0)),TRIM(M167&amp;""),"⚠"&amp;TRIM(M167&amp;"")))</f>
        <v/>
      </c>
      <c r="U167" s="10">
        <f>IF(TRIM(L167&amp;"")="","",IFERROR(INDEX(코드표!$G$2:$G$101,MATCH(TRIM(L167&amp;""),코드표!$F$2:$F$101,0)),"⚠"&amp;TRIM(L167&amp;"")))</f>
        <v/>
      </c>
      <c r="V167" s="10">
        <f>IF(AND(ISNUMBER(H167),ISNUMBER(I167)),I167-H167+1,"")</f>
        <v/>
      </c>
      <c r="W167" s="17">
        <f>IF(ISNUMBER(H167),MAX(0,MIN(IF(ISNUMBER(I167),I167,EOMONTH(요약!$B$3,0)),EOMONTH(요약!$B$3,0))-MAX(H167,요약!$B$3)+1),0)</f>
        <v/>
      </c>
      <c r="X167" s="10">
        <f>IF(OR(NOT(ISNUMBER(H167)),Q167=""),"",IF(TODAY()&lt;H167,"파견예정",IF(AND(ISNUMBER(I167),TODAY()&gt;I167),"파견종료","파견중")))</f>
        <v/>
      </c>
      <c r="Y167" s="10">
        <f>IF(OR(Q167="",X167=""),"",Q167&amp;"|"&amp;X167)</f>
        <v/>
      </c>
      <c r="Z167" s="10">
        <f>IF(AND(Q167&lt;&gt;"",W167&gt;0),Q167&amp;"|월","")</f>
        <v/>
      </c>
      <c r="AA167" s="10">
        <f>IF(COUNTA(B167:N167)=0,"",IF(Q167="","등록번호 없음",IF(LEFT(R167,1)="⚠","모병원명 미등록",IF(S167="","파견병원 입력",IF(LEFT(S167,1)="⚠","파견병원명 미등록",IF(LEFT(U167,1)="⚠","파견과목 미등록",IF(OR(T167="",LEFT(T167,1)="⚠"),"파견근거 확인",IF(NOT(AND(ISNUMBER(H167),ISNUMBER(I167))),"날짜 형식/누락",IF(I167&lt;H167,"종료일&lt;시작일","")))))))))</f>
        <v/>
      </c>
      <c r="AB167" s="11">
        <f>IF(ISNUMBER(SEARCH("다기관",TRIM(N167&amp;" "&amp;O167))),IFERROR(DATE(VALUE(MID(TRIM(N167&amp;" "&amp;O167),1,4)),VALUE(MID(TRIM(N167&amp;" "&amp;O167),6,2)),VALUE(MID(TRIM(N167&amp;" "&amp;O167),9,2))),IF(ISNUMBER(H167),H167,"")),"")</f>
        <v/>
      </c>
      <c r="AC167" s="11">
        <f>IF(ISNUMBER(SEARCH("다기관",TRIM(N167&amp;" "&amp;O167))),IFERROR(DATE(VALUE(MID(TRIM(N167&amp;" "&amp;O167),12,4)),VALUE(MID(TRIM(N167&amp;" "&amp;O167),17,2)),VALUE(MID(TRIM(N167&amp;" "&amp;O167),20,2))),IF(ISNUMBER(I167),I167,"")),"")</f>
        <v/>
      </c>
      <c r="AD167" s="17">
        <f>IF(AND(ISNUMBER(AB167),ISNUMBER(AC167)),MAX(0,MIN(AC167,EOMONTH(요약!$B$3,0))-MAX(AB167,요약!$B$3)+1),0)</f>
        <v/>
      </c>
      <c r="AE167" s="10">
        <f>IF(AND(Q167&lt;&gt;"",ISNUMBER(AB167)),Q167&amp;"|다기관","")</f>
        <v/>
      </c>
    </row>
    <row r="168">
      <c r="A168" s="15">
        <f>IF(F168="","",ROW()-3)</f>
        <v/>
      </c>
      <c r="B168" s="5" t="n"/>
      <c r="C168" s="15" t="n"/>
      <c r="D168" s="5" t="n"/>
      <c r="E168" s="15" t="n"/>
      <c r="F168" s="5" t="n"/>
      <c r="G168" s="6" t="n"/>
      <c r="H168" s="16" t="n"/>
      <c r="I168" s="16" t="n"/>
      <c r="J168" s="15">
        <f>IF(AND(ISNUMBER(H168),ISNUMBER(I168)),I168-H168+1,"")</f>
        <v/>
      </c>
      <c r="K168" s="5" t="n"/>
      <c r="L168" s="5" t="n"/>
      <c r="M168" s="5" t="n"/>
      <c r="N168" s="5" t="n"/>
      <c r="O168" s="5" t="n"/>
      <c r="Q168" s="10">
        <f>IF(TRIM(G168&amp;"")="","",TRIM(G168&amp;""))</f>
        <v/>
      </c>
      <c r="R168" s="10">
        <f>IF(TRIM(B168&amp;"")="","",IFERROR(INDEX(코드표!$K$2:$K$101,MATCH(TRIM(B168&amp;""),코드표!$J$2:$J$101,0)),"⚠"&amp;TRIM(B168&amp;"")))</f>
        <v/>
      </c>
      <c r="S168" s="10">
        <f>IF(TRIM(K168&amp;"")="","",IFERROR(INDEX(코드표!$K$2:$K$101,MATCH(TRIM(K168&amp;""),코드표!$J$2:$J$101,0)),"⚠"&amp;TRIM(K168&amp;"")))</f>
        <v/>
      </c>
      <c r="T168" s="10">
        <f>IF(TRIM(M168&amp;"")="","",IF(ISNUMBER(MATCH(TRIM(M168&amp;""),코드표!$C$2:$C$11,0)),TRIM(M168&amp;""),"⚠"&amp;TRIM(M168&amp;"")))</f>
        <v/>
      </c>
      <c r="U168" s="10">
        <f>IF(TRIM(L168&amp;"")="","",IFERROR(INDEX(코드표!$G$2:$G$101,MATCH(TRIM(L168&amp;""),코드표!$F$2:$F$101,0)),"⚠"&amp;TRIM(L168&amp;"")))</f>
        <v/>
      </c>
      <c r="V168" s="10">
        <f>IF(AND(ISNUMBER(H168),ISNUMBER(I168)),I168-H168+1,"")</f>
        <v/>
      </c>
      <c r="W168" s="17">
        <f>IF(ISNUMBER(H168),MAX(0,MIN(IF(ISNUMBER(I168),I168,EOMONTH(요약!$B$3,0)),EOMONTH(요약!$B$3,0))-MAX(H168,요약!$B$3)+1),0)</f>
        <v/>
      </c>
      <c r="X168" s="10">
        <f>IF(OR(NOT(ISNUMBER(H168)),Q168=""),"",IF(TODAY()&lt;H168,"파견예정",IF(AND(ISNUMBER(I168),TODAY()&gt;I168),"파견종료","파견중")))</f>
        <v/>
      </c>
      <c r="Y168" s="10">
        <f>IF(OR(Q168="",X168=""),"",Q168&amp;"|"&amp;X168)</f>
        <v/>
      </c>
      <c r="Z168" s="10">
        <f>IF(AND(Q168&lt;&gt;"",W168&gt;0),Q168&amp;"|월","")</f>
        <v/>
      </c>
      <c r="AA168" s="10">
        <f>IF(COUNTA(B168:N168)=0,"",IF(Q168="","등록번호 없음",IF(LEFT(R168,1)="⚠","모병원명 미등록",IF(S168="","파견병원 입력",IF(LEFT(S168,1)="⚠","파견병원명 미등록",IF(LEFT(U168,1)="⚠","파견과목 미등록",IF(OR(T168="",LEFT(T168,1)="⚠"),"파견근거 확인",IF(NOT(AND(ISNUMBER(H168),ISNUMBER(I168))),"날짜 형식/누락",IF(I168&lt;H168,"종료일&lt;시작일","")))))))))</f>
        <v/>
      </c>
      <c r="AB168" s="11">
        <f>IF(ISNUMBER(SEARCH("다기관",TRIM(N168&amp;" "&amp;O168))),IFERROR(DATE(VALUE(MID(TRIM(N168&amp;" "&amp;O168),1,4)),VALUE(MID(TRIM(N168&amp;" "&amp;O168),6,2)),VALUE(MID(TRIM(N168&amp;" "&amp;O168),9,2))),IF(ISNUMBER(H168),H168,"")),"")</f>
        <v/>
      </c>
      <c r="AC168" s="11">
        <f>IF(ISNUMBER(SEARCH("다기관",TRIM(N168&amp;" "&amp;O168))),IFERROR(DATE(VALUE(MID(TRIM(N168&amp;" "&amp;O168),12,4)),VALUE(MID(TRIM(N168&amp;" "&amp;O168),17,2)),VALUE(MID(TRIM(N168&amp;" "&amp;O168),20,2))),IF(ISNUMBER(I168),I168,"")),"")</f>
        <v/>
      </c>
      <c r="AD168" s="17">
        <f>IF(AND(ISNUMBER(AB168),ISNUMBER(AC168)),MAX(0,MIN(AC168,EOMONTH(요약!$B$3,0))-MAX(AB168,요약!$B$3)+1),0)</f>
        <v/>
      </c>
      <c r="AE168" s="10">
        <f>IF(AND(Q168&lt;&gt;"",ISNUMBER(AB168)),Q168&amp;"|다기관","")</f>
        <v/>
      </c>
    </row>
    <row r="169">
      <c r="A169" s="15">
        <f>IF(F169="","",ROW()-3)</f>
        <v/>
      </c>
      <c r="B169" s="5" t="n"/>
      <c r="C169" s="15" t="n"/>
      <c r="D169" s="5" t="n"/>
      <c r="E169" s="15" t="n"/>
      <c r="F169" s="5" t="n"/>
      <c r="G169" s="6" t="n"/>
      <c r="H169" s="16" t="n"/>
      <c r="I169" s="16" t="n"/>
      <c r="J169" s="15">
        <f>IF(AND(ISNUMBER(H169),ISNUMBER(I169)),I169-H169+1,"")</f>
        <v/>
      </c>
      <c r="K169" s="5" t="n"/>
      <c r="L169" s="5" t="n"/>
      <c r="M169" s="5" t="n"/>
      <c r="N169" s="5" t="n"/>
      <c r="O169" s="5" t="n"/>
      <c r="Q169" s="10">
        <f>IF(TRIM(G169&amp;"")="","",TRIM(G169&amp;""))</f>
        <v/>
      </c>
      <c r="R169" s="10">
        <f>IF(TRIM(B169&amp;"")="","",IFERROR(INDEX(코드표!$K$2:$K$101,MATCH(TRIM(B169&amp;""),코드표!$J$2:$J$101,0)),"⚠"&amp;TRIM(B169&amp;"")))</f>
        <v/>
      </c>
      <c r="S169" s="10">
        <f>IF(TRIM(K169&amp;"")="","",IFERROR(INDEX(코드표!$K$2:$K$101,MATCH(TRIM(K169&amp;""),코드표!$J$2:$J$101,0)),"⚠"&amp;TRIM(K169&amp;"")))</f>
        <v/>
      </c>
      <c r="T169" s="10">
        <f>IF(TRIM(M169&amp;"")="","",IF(ISNUMBER(MATCH(TRIM(M169&amp;""),코드표!$C$2:$C$11,0)),TRIM(M169&amp;""),"⚠"&amp;TRIM(M169&amp;"")))</f>
        <v/>
      </c>
      <c r="U169" s="10">
        <f>IF(TRIM(L169&amp;"")="","",IFERROR(INDEX(코드표!$G$2:$G$101,MATCH(TRIM(L169&amp;""),코드표!$F$2:$F$101,0)),"⚠"&amp;TRIM(L169&amp;"")))</f>
        <v/>
      </c>
      <c r="V169" s="10">
        <f>IF(AND(ISNUMBER(H169),ISNUMBER(I169)),I169-H169+1,"")</f>
        <v/>
      </c>
      <c r="W169" s="17">
        <f>IF(ISNUMBER(H169),MAX(0,MIN(IF(ISNUMBER(I169),I169,EOMONTH(요약!$B$3,0)),EOMONTH(요약!$B$3,0))-MAX(H169,요약!$B$3)+1),0)</f>
        <v/>
      </c>
      <c r="X169" s="10">
        <f>IF(OR(NOT(ISNUMBER(H169)),Q169=""),"",IF(TODAY()&lt;H169,"파견예정",IF(AND(ISNUMBER(I169),TODAY()&gt;I169),"파견종료","파견중")))</f>
        <v/>
      </c>
      <c r="Y169" s="10">
        <f>IF(OR(Q169="",X169=""),"",Q169&amp;"|"&amp;X169)</f>
        <v/>
      </c>
      <c r="Z169" s="10">
        <f>IF(AND(Q169&lt;&gt;"",W169&gt;0),Q169&amp;"|월","")</f>
        <v/>
      </c>
      <c r="AA169" s="10">
        <f>IF(COUNTA(B169:N169)=0,"",IF(Q169="","등록번호 없음",IF(LEFT(R169,1)="⚠","모병원명 미등록",IF(S169="","파견병원 입력",IF(LEFT(S169,1)="⚠","파견병원명 미등록",IF(LEFT(U169,1)="⚠","파견과목 미등록",IF(OR(T169="",LEFT(T169,1)="⚠"),"파견근거 확인",IF(NOT(AND(ISNUMBER(H169),ISNUMBER(I169))),"날짜 형식/누락",IF(I169&lt;H169,"종료일&lt;시작일","")))))))))</f>
        <v/>
      </c>
      <c r="AB169" s="11">
        <f>IF(ISNUMBER(SEARCH("다기관",TRIM(N169&amp;" "&amp;O169))),IFERROR(DATE(VALUE(MID(TRIM(N169&amp;" "&amp;O169),1,4)),VALUE(MID(TRIM(N169&amp;" "&amp;O169),6,2)),VALUE(MID(TRIM(N169&amp;" "&amp;O169),9,2))),IF(ISNUMBER(H169),H169,"")),"")</f>
        <v/>
      </c>
      <c r="AC169" s="11">
        <f>IF(ISNUMBER(SEARCH("다기관",TRIM(N169&amp;" "&amp;O169))),IFERROR(DATE(VALUE(MID(TRIM(N169&amp;" "&amp;O169),12,4)),VALUE(MID(TRIM(N169&amp;" "&amp;O169),17,2)),VALUE(MID(TRIM(N169&amp;" "&amp;O169),20,2))),IF(ISNUMBER(I169),I169,"")),"")</f>
        <v/>
      </c>
      <c r="AD169" s="17">
        <f>IF(AND(ISNUMBER(AB169),ISNUMBER(AC169)),MAX(0,MIN(AC169,EOMONTH(요약!$B$3,0))-MAX(AB169,요약!$B$3)+1),0)</f>
        <v/>
      </c>
      <c r="AE169" s="10">
        <f>IF(AND(Q169&lt;&gt;"",ISNUMBER(AB169)),Q169&amp;"|다기관","")</f>
        <v/>
      </c>
    </row>
    <row r="170">
      <c r="A170" s="15">
        <f>IF(F170="","",ROW()-3)</f>
        <v/>
      </c>
      <c r="B170" s="5" t="n"/>
      <c r="C170" s="15" t="n"/>
      <c r="D170" s="5" t="n"/>
      <c r="E170" s="15" t="n"/>
      <c r="F170" s="5" t="n"/>
      <c r="G170" s="6" t="n"/>
      <c r="H170" s="16" t="n"/>
      <c r="I170" s="16" t="n"/>
      <c r="J170" s="15">
        <f>IF(AND(ISNUMBER(H170),ISNUMBER(I170)),I170-H170+1,"")</f>
        <v/>
      </c>
      <c r="K170" s="5" t="n"/>
      <c r="L170" s="5" t="n"/>
      <c r="M170" s="5" t="n"/>
      <c r="N170" s="5" t="n"/>
      <c r="O170" s="5" t="n"/>
      <c r="Q170" s="10">
        <f>IF(TRIM(G170&amp;"")="","",TRIM(G170&amp;""))</f>
        <v/>
      </c>
      <c r="R170" s="10">
        <f>IF(TRIM(B170&amp;"")="","",IFERROR(INDEX(코드표!$K$2:$K$101,MATCH(TRIM(B170&amp;""),코드표!$J$2:$J$101,0)),"⚠"&amp;TRIM(B170&amp;"")))</f>
        <v/>
      </c>
      <c r="S170" s="10">
        <f>IF(TRIM(K170&amp;"")="","",IFERROR(INDEX(코드표!$K$2:$K$101,MATCH(TRIM(K170&amp;""),코드표!$J$2:$J$101,0)),"⚠"&amp;TRIM(K170&amp;"")))</f>
        <v/>
      </c>
      <c r="T170" s="10">
        <f>IF(TRIM(M170&amp;"")="","",IF(ISNUMBER(MATCH(TRIM(M170&amp;""),코드표!$C$2:$C$11,0)),TRIM(M170&amp;""),"⚠"&amp;TRIM(M170&amp;"")))</f>
        <v/>
      </c>
      <c r="U170" s="10">
        <f>IF(TRIM(L170&amp;"")="","",IFERROR(INDEX(코드표!$G$2:$G$101,MATCH(TRIM(L170&amp;""),코드표!$F$2:$F$101,0)),"⚠"&amp;TRIM(L170&amp;"")))</f>
        <v/>
      </c>
      <c r="V170" s="10">
        <f>IF(AND(ISNUMBER(H170),ISNUMBER(I170)),I170-H170+1,"")</f>
        <v/>
      </c>
      <c r="W170" s="17">
        <f>IF(ISNUMBER(H170),MAX(0,MIN(IF(ISNUMBER(I170),I170,EOMONTH(요약!$B$3,0)),EOMONTH(요약!$B$3,0))-MAX(H170,요약!$B$3)+1),0)</f>
        <v/>
      </c>
      <c r="X170" s="10">
        <f>IF(OR(NOT(ISNUMBER(H170)),Q170=""),"",IF(TODAY()&lt;H170,"파견예정",IF(AND(ISNUMBER(I170),TODAY()&gt;I170),"파견종료","파견중")))</f>
        <v/>
      </c>
      <c r="Y170" s="10">
        <f>IF(OR(Q170="",X170=""),"",Q170&amp;"|"&amp;X170)</f>
        <v/>
      </c>
      <c r="Z170" s="10">
        <f>IF(AND(Q170&lt;&gt;"",W170&gt;0),Q170&amp;"|월","")</f>
        <v/>
      </c>
      <c r="AA170" s="10">
        <f>IF(COUNTA(B170:N170)=0,"",IF(Q170="","등록번호 없음",IF(LEFT(R170,1)="⚠","모병원명 미등록",IF(S170="","파견병원 입력",IF(LEFT(S170,1)="⚠","파견병원명 미등록",IF(LEFT(U170,1)="⚠","파견과목 미등록",IF(OR(T170="",LEFT(T170,1)="⚠"),"파견근거 확인",IF(NOT(AND(ISNUMBER(H170),ISNUMBER(I170))),"날짜 형식/누락",IF(I170&lt;H170,"종료일&lt;시작일","")))))))))</f>
        <v/>
      </c>
      <c r="AB170" s="11">
        <f>IF(ISNUMBER(SEARCH("다기관",TRIM(N170&amp;" "&amp;O170))),IFERROR(DATE(VALUE(MID(TRIM(N170&amp;" "&amp;O170),1,4)),VALUE(MID(TRIM(N170&amp;" "&amp;O170),6,2)),VALUE(MID(TRIM(N170&amp;" "&amp;O170),9,2))),IF(ISNUMBER(H170),H170,"")),"")</f>
        <v/>
      </c>
      <c r="AC170" s="11">
        <f>IF(ISNUMBER(SEARCH("다기관",TRIM(N170&amp;" "&amp;O170))),IFERROR(DATE(VALUE(MID(TRIM(N170&amp;" "&amp;O170),12,4)),VALUE(MID(TRIM(N170&amp;" "&amp;O170),17,2)),VALUE(MID(TRIM(N170&amp;" "&amp;O170),20,2))),IF(ISNUMBER(I170),I170,"")),"")</f>
        <v/>
      </c>
      <c r="AD170" s="17">
        <f>IF(AND(ISNUMBER(AB170),ISNUMBER(AC170)),MAX(0,MIN(AC170,EOMONTH(요약!$B$3,0))-MAX(AB170,요약!$B$3)+1),0)</f>
        <v/>
      </c>
      <c r="AE170" s="10">
        <f>IF(AND(Q170&lt;&gt;"",ISNUMBER(AB170)),Q170&amp;"|다기관","")</f>
        <v/>
      </c>
    </row>
    <row r="171">
      <c r="A171" s="15">
        <f>IF(F171="","",ROW()-3)</f>
        <v/>
      </c>
      <c r="B171" s="5" t="n"/>
      <c r="C171" s="15" t="n"/>
      <c r="D171" s="5" t="n"/>
      <c r="E171" s="15" t="n"/>
      <c r="F171" s="5" t="n"/>
      <c r="G171" s="6" t="n"/>
      <c r="H171" s="16" t="n"/>
      <c r="I171" s="16" t="n"/>
      <c r="J171" s="15">
        <f>IF(AND(ISNUMBER(H171),ISNUMBER(I171)),I171-H171+1,"")</f>
        <v/>
      </c>
      <c r="K171" s="5" t="n"/>
      <c r="L171" s="5" t="n"/>
      <c r="M171" s="5" t="n"/>
      <c r="N171" s="5" t="n"/>
      <c r="O171" s="5" t="n"/>
      <c r="Q171" s="10">
        <f>IF(TRIM(G171&amp;"")="","",TRIM(G171&amp;""))</f>
        <v/>
      </c>
      <c r="R171" s="10">
        <f>IF(TRIM(B171&amp;"")="","",IFERROR(INDEX(코드표!$K$2:$K$101,MATCH(TRIM(B171&amp;""),코드표!$J$2:$J$101,0)),"⚠"&amp;TRIM(B171&amp;"")))</f>
        <v/>
      </c>
      <c r="S171" s="10">
        <f>IF(TRIM(K171&amp;"")="","",IFERROR(INDEX(코드표!$K$2:$K$101,MATCH(TRIM(K171&amp;""),코드표!$J$2:$J$101,0)),"⚠"&amp;TRIM(K171&amp;"")))</f>
        <v/>
      </c>
      <c r="T171" s="10">
        <f>IF(TRIM(M171&amp;"")="","",IF(ISNUMBER(MATCH(TRIM(M171&amp;""),코드표!$C$2:$C$11,0)),TRIM(M171&amp;""),"⚠"&amp;TRIM(M171&amp;"")))</f>
        <v/>
      </c>
      <c r="U171" s="10">
        <f>IF(TRIM(L171&amp;"")="","",IFERROR(INDEX(코드표!$G$2:$G$101,MATCH(TRIM(L171&amp;""),코드표!$F$2:$F$101,0)),"⚠"&amp;TRIM(L171&amp;"")))</f>
        <v/>
      </c>
      <c r="V171" s="10">
        <f>IF(AND(ISNUMBER(H171),ISNUMBER(I171)),I171-H171+1,"")</f>
        <v/>
      </c>
      <c r="W171" s="17">
        <f>IF(ISNUMBER(H171),MAX(0,MIN(IF(ISNUMBER(I171),I171,EOMONTH(요약!$B$3,0)),EOMONTH(요약!$B$3,0))-MAX(H171,요약!$B$3)+1),0)</f>
        <v/>
      </c>
      <c r="X171" s="10">
        <f>IF(OR(NOT(ISNUMBER(H171)),Q171=""),"",IF(TODAY()&lt;H171,"파견예정",IF(AND(ISNUMBER(I171),TODAY()&gt;I171),"파견종료","파견중")))</f>
        <v/>
      </c>
      <c r="Y171" s="10">
        <f>IF(OR(Q171="",X171=""),"",Q171&amp;"|"&amp;X171)</f>
        <v/>
      </c>
      <c r="Z171" s="10">
        <f>IF(AND(Q171&lt;&gt;"",W171&gt;0),Q171&amp;"|월","")</f>
        <v/>
      </c>
      <c r="AA171" s="10">
        <f>IF(COUNTA(B171:N171)=0,"",IF(Q171="","등록번호 없음",IF(LEFT(R171,1)="⚠","모병원명 미등록",IF(S171="","파견병원 입력",IF(LEFT(S171,1)="⚠","파견병원명 미등록",IF(LEFT(U171,1)="⚠","파견과목 미등록",IF(OR(T171="",LEFT(T171,1)="⚠"),"파견근거 확인",IF(NOT(AND(ISNUMBER(H171),ISNUMBER(I171))),"날짜 형식/누락",IF(I171&lt;H171,"종료일&lt;시작일","")))))))))</f>
        <v/>
      </c>
      <c r="AB171" s="11">
        <f>IF(ISNUMBER(SEARCH("다기관",TRIM(N171&amp;" "&amp;O171))),IFERROR(DATE(VALUE(MID(TRIM(N171&amp;" "&amp;O171),1,4)),VALUE(MID(TRIM(N171&amp;" "&amp;O171),6,2)),VALUE(MID(TRIM(N171&amp;" "&amp;O171),9,2))),IF(ISNUMBER(H171),H171,"")),"")</f>
        <v/>
      </c>
      <c r="AC171" s="11">
        <f>IF(ISNUMBER(SEARCH("다기관",TRIM(N171&amp;" "&amp;O171))),IFERROR(DATE(VALUE(MID(TRIM(N171&amp;" "&amp;O171),12,4)),VALUE(MID(TRIM(N171&amp;" "&amp;O171),17,2)),VALUE(MID(TRIM(N171&amp;" "&amp;O171),20,2))),IF(ISNUMBER(I171),I171,"")),"")</f>
        <v/>
      </c>
      <c r="AD171" s="17">
        <f>IF(AND(ISNUMBER(AB171),ISNUMBER(AC171)),MAX(0,MIN(AC171,EOMONTH(요약!$B$3,0))-MAX(AB171,요약!$B$3)+1),0)</f>
        <v/>
      </c>
      <c r="AE171" s="10">
        <f>IF(AND(Q171&lt;&gt;"",ISNUMBER(AB171)),Q171&amp;"|다기관","")</f>
        <v/>
      </c>
    </row>
    <row r="172">
      <c r="A172" s="15">
        <f>IF(F172="","",ROW()-3)</f>
        <v/>
      </c>
      <c r="B172" s="5" t="n"/>
      <c r="C172" s="15" t="n"/>
      <c r="D172" s="5" t="n"/>
      <c r="E172" s="15" t="n"/>
      <c r="F172" s="5" t="n"/>
      <c r="G172" s="6" t="n"/>
      <c r="H172" s="16" t="n"/>
      <c r="I172" s="16" t="n"/>
      <c r="J172" s="15">
        <f>IF(AND(ISNUMBER(H172),ISNUMBER(I172)),I172-H172+1,"")</f>
        <v/>
      </c>
      <c r="K172" s="5" t="n"/>
      <c r="L172" s="5" t="n"/>
      <c r="M172" s="5" t="n"/>
      <c r="N172" s="5" t="n"/>
      <c r="O172" s="5" t="n"/>
      <c r="Q172" s="10">
        <f>IF(TRIM(G172&amp;"")="","",TRIM(G172&amp;""))</f>
        <v/>
      </c>
      <c r="R172" s="10">
        <f>IF(TRIM(B172&amp;"")="","",IFERROR(INDEX(코드표!$K$2:$K$101,MATCH(TRIM(B172&amp;""),코드표!$J$2:$J$101,0)),"⚠"&amp;TRIM(B172&amp;"")))</f>
        <v/>
      </c>
      <c r="S172" s="10">
        <f>IF(TRIM(K172&amp;"")="","",IFERROR(INDEX(코드표!$K$2:$K$101,MATCH(TRIM(K172&amp;""),코드표!$J$2:$J$101,0)),"⚠"&amp;TRIM(K172&amp;"")))</f>
        <v/>
      </c>
      <c r="T172" s="10">
        <f>IF(TRIM(M172&amp;"")="","",IF(ISNUMBER(MATCH(TRIM(M172&amp;""),코드표!$C$2:$C$11,0)),TRIM(M172&amp;""),"⚠"&amp;TRIM(M172&amp;"")))</f>
        <v/>
      </c>
      <c r="U172" s="10">
        <f>IF(TRIM(L172&amp;"")="","",IFERROR(INDEX(코드표!$G$2:$G$101,MATCH(TRIM(L172&amp;""),코드표!$F$2:$F$101,0)),"⚠"&amp;TRIM(L172&amp;"")))</f>
        <v/>
      </c>
      <c r="V172" s="10">
        <f>IF(AND(ISNUMBER(H172),ISNUMBER(I172)),I172-H172+1,"")</f>
        <v/>
      </c>
      <c r="W172" s="17">
        <f>IF(ISNUMBER(H172),MAX(0,MIN(IF(ISNUMBER(I172),I172,EOMONTH(요약!$B$3,0)),EOMONTH(요약!$B$3,0))-MAX(H172,요약!$B$3)+1),0)</f>
        <v/>
      </c>
      <c r="X172" s="10">
        <f>IF(OR(NOT(ISNUMBER(H172)),Q172=""),"",IF(TODAY()&lt;H172,"파견예정",IF(AND(ISNUMBER(I172),TODAY()&gt;I172),"파견종료","파견중")))</f>
        <v/>
      </c>
      <c r="Y172" s="10">
        <f>IF(OR(Q172="",X172=""),"",Q172&amp;"|"&amp;X172)</f>
        <v/>
      </c>
      <c r="Z172" s="10">
        <f>IF(AND(Q172&lt;&gt;"",W172&gt;0),Q172&amp;"|월","")</f>
        <v/>
      </c>
      <c r="AA172" s="10">
        <f>IF(COUNTA(B172:N172)=0,"",IF(Q172="","등록번호 없음",IF(LEFT(R172,1)="⚠","모병원명 미등록",IF(S172="","파견병원 입력",IF(LEFT(S172,1)="⚠","파견병원명 미등록",IF(LEFT(U172,1)="⚠","파견과목 미등록",IF(OR(T172="",LEFT(T172,1)="⚠"),"파견근거 확인",IF(NOT(AND(ISNUMBER(H172),ISNUMBER(I172))),"날짜 형식/누락",IF(I172&lt;H172,"종료일&lt;시작일","")))))))))</f>
        <v/>
      </c>
      <c r="AB172" s="11">
        <f>IF(ISNUMBER(SEARCH("다기관",TRIM(N172&amp;" "&amp;O172))),IFERROR(DATE(VALUE(MID(TRIM(N172&amp;" "&amp;O172),1,4)),VALUE(MID(TRIM(N172&amp;" "&amp;O172),6,2)),VALUE(MID(TRIM(N172&amp;" "&amp;O172),9,2))),IF(ISNUMBER(H172),H172,"")),"")</f>
        <v/>
      </c>
      <c r="AC172" s="11">
        <f>IF(ISNUMBER(SEARCH("다기관",TRIM(N172&amp;" "&amp;O172))),IFERROR(DATE(VALUE(MID(TRIM(N172&amp;" "&amp;O172),12,4)),VALUE(MID(TRIM(N172&amp;" "&amp;O172),17,2)),VALUE(MID(TRIM(N172&amp;" "&amp;O172),20,2))),IF(ISNUMBER(I172),I172,"")),"")</f>
        <v/>
      </c>
      <c r="AD172" s="17">
        <f>IF(AND(ISNUMBER(AB172),ISNUMBER(AC172)),MAX(0,MIN(AC172,EOMONTH(요약!$B$3,0))-MAX(AB172,요약!$B$3)+1),0)</f>
        <v/>
      </c>
      <c r="AE172" s="10">
        <f>IF(AND(Q172&lt;&gt;"",ISNUMBER(AB172)),Q172&amp;"|다기관","")</f>
        <v/>
      </c>
    </row>
    <row r="173">
      <c r="A173" s="15">
        <f>IF(F173="","",ROW()-3)</f>
        <v/>
      </c>
      <c r="B173" s="5" t="n"/>
      <c r="C173" s="15" t="n"/>
      <c r="D173" s="5" t="n"/>
      <c r="E173" s="15" t="n"/>
      <c r="F173" s="5" t="n"/>
      <c r="G173" s="6" t="n"/>
      <c r="H173" s="16" t="n"/>
      <c r="I173" s="16" t="n"/>
      <c r="J173" s="15">
        <f>IF(AND(ISNUMBER(H173),ISNUMBER(I173)),I173-H173+1,"")</f>
        <v/>
      </c>
      <c r="K173" s="5" t="n"/>
      <c r="L173" s="5" t="n"/>
      <c r="M173" s="5" t="n"/>
      <c r="N173" s="5" t="n"/>
      <c r="O173" s="5" t="n"/>
      <c r="Q173" s="10">
        <f>IF(TRIM(G173&amp;"")="","",TRIM(G173&amp;""))</f>
        <v/>
      </c>
      <c r="R173" s="10">
        <f>IF(TRIM(B173&amp;"")="","",IFERROR(INDEX(코드표!$K$2:$K$101,MATCH(TRIM(B173&amp;""),코드표!$J$2:$J$101,0)),"⚠"&amp;TRIM(B173&amp;"")))</f>
        <v/>
      </c>
      <c r="S173" s="10">
        <f>IF(TRIM(K173&amp;"")="","",IFERROR(INDEX(코드표!$K$2:$K$101,MATCH(TRIM(K173&amp;""),코드표!$J$2:$J$101,0)),"⚠"&amp;TRIM(K173&amp;"")))</f>
        <v/>
      </c>
      <c r="T173" s="10">
        <f>IF(TRIM(M173&amp;"")="","",IF(ISNUMBER(MATCH(TRIM(M173&amp;""),코드표!$C$2:$C$11,0)),TRIM(M173&amp;""),"⚠"&amp;TRIM(M173&amp;"")))</f>
        <v/>
      </c>
      <c r="U173" s="10">
        <f>IF(TRIM(L173&amp;"")="","",IFERROR(INDEX(코드표!$G$2:$G$101,MATCH(TRIM(L173&amp;""),코드표!$F$2:$F$101,0)),"⚠"&amp;TRIM(L173&amp;"")))</f>
        <v/>
      </c>
      <c r="V173" s="10">
        <f>IF(AND(ISNUMBER(H173),ISNUMBER(I173)),I173-H173+1,"")</f>
        <v/>
      </c>
      <c r="W173" s="17">
        <f>IF(ISNUMBER(H173),MAX(0,MIN(IF(ISNUMBER(I173),I173,EOMONTH(요약!$B$3,0)),EOMONTH(요약!$B$3,0))-MAX(H173,요약!$B$3)+1),0)</f>
        <v/>
      </c>
      <c r="X173" s="10">
        <f>IF(OR(NOT(ISNUMBER(H173)),Q173=""),"",IF(TODAY()&lt;H173,"파견예정",IF(AND(ISNUMBER(I173),TODAY()&gt;I173),"파견종료","파견중")))</f>
        <v/>
      </c>
      <c r="Y173" s="10">
        <f>IF(OR(Q173="",X173=""),"",Q173&amp;"|"&amp;X173)</f>
        <v/>
      </c>
      <c r="Z173" s="10">
        <f>IF(AND(Q173&lt;&gt;"",W173&gt;0),Q173&amp;"|월","")</f>
        <v/>
      </c>
      <c r="AA173" s="10">
        <f>IF(COUNTA(B173:N173)=0,"",IF(Q173="","등록번호 없음",IF(LEFT(R173,1)="⚠","모병원명 미등록",IF(S173="","파견병원 입력",IF(LEFT(S173,1)="⚠","파견병원명 미등록",IF(LEFT(U173,1)="⚠","파견과목 미등록",IF(OR(T173="",LEFT(T173,1)="⚠"),"파견근거 확인",IF(NOT(AND(ISNUMBER(H173),ISNUMBER(I173))),"날짜 형식/누락",IF(I173&lt;H173,"종료일&lt;시작일","")))))))))</f>
        <v/>
      </c>
      <c r="AB173" s="11">
        <f>IF(ISNUMBER(SEARCH("다기관",TRIM(N173&amp;" "&amp;O173))),IFERROR(DATE(VALUE(MID(TRIM(N173&amp;" "&amp;O173),1,4)),VALUE(MID(TRIM(N173&amp;" "&amp;O173),6,2)),VALUE(MID(TRIM(N173&amp;" "&amp;O173),9,2))),IF(ISNUMBER(H173),H173,"")),"")</f>
        <v/>
      </c>
      <c r="AC173" s="11">
        <f>IF(ISNUMBER(SEARCH("다기관",TRIM(N173&amp;" "&amp;O173))),IFERROR(DATE(VALUE(MID(TRIM(N173&amp;" "&amp;O173),12,4)),VALUE(MID(TRIM(N173&amp;" "&amp;O173),17,2)),VALUE(MID(TRIM(N173&amp;" "&amp;O173),20,2))),IF(ISNUMBER(I173),I173,"")),"")</f>
        <v/>
      </c>
      <c r="AD173" s="17">
        <f>IF(AND(ISNUMBER(AB173),ISNUMBER(AC173)),MAX(0,MIN(AC173,EOMONTH(요약!$B$3,0))-MAX(AB173,요약!$B$3)+1),0)</f>
        <v/>
      </c>
      <c r="AE173" s="10">
        <f>IF(AND(Q173&lt;&gt;"",ISNUMBER(AB173)),Q173&amp;"|다기관","")</f>
        <v/>
      </c>
    </row>
    <row r="174">
      <c r="A174" s="15">
        <f>IF(F174="","",ROW()-3)</f>
        <v/>
      </c>
      <c r="B174" s="5" t="n"/>
      <c r="C174" s="15" t="n"/>
      <c r="D174" s="5" t="n"/>
      <c r="E174" s="15" t="n"/>
      <c r="F174" s="5" t="n"/>
      <c r="G174" s="6" t="n"/>
      <c r="H174" s="16" t="n"/>
      <c r="I174" s="16" t="n"/>
      <c r="J174" s="15">
        <f>IF(AND(ISNUMBER(H174),ISNUMBER(I174)),I174-H174+1,"")</f>
        <v/>
      </c>
      <c r="K174" s="5" t="n"/>
      <c r="L174" s="5" t="n"/>
      <c r="M174" s="5" t="n"/>
      <c r="N174" s="5" t="n"/>
      <c r="O174" s="5" t="n"/>
      <c r="Q174" s="10">
        <f>IF(TRIM(G174&amp;"")="","",TRIM(G174&amp;""))</f>
        <v/>
      </c>
      <c r="R174" s="10">
        <f>IF(TRIM(B174&amp;"")="","",IFERROR(INDEX(코드표!$K$2:$K$101,MATCH(TRIM(B174&amp;""),코드표!$J$2:$J$101,0)),"⚠"&amp;TRIM(B174&amp;"")))</f>
        <v/>
      </c>
      <c r="S174" s="10">
        <f>IF(TRIM(K174&amp;"")="","",IFERROR(INDEX(코드표!$K$2:$K$101,MATCH(TRIM(K174&amp;""),코드표!$J$2:$J$101,0)),"⚠"&amp;TRIM(K174&amp;"")))</f>
        <v/>
      </c>
      <c r="T174" s="10">
        <f>IF(TRIM(M174&amp;"")="","",IF(ISNUMBER(MATCH(TRIM(M174&amp;""),코드표!$C$2:$C$11,0)),TRIM(M174&amp;""),"⚠"&amp;TRIM(M174&amp;"")))</f>
        <v/>
      </c>
      <c r="U174" s="10">
        <f>IF(TRIM(L174&amp;"")="","",IFERROR(INDEX(코드표!$G$2:$G$101,MATCH(TRIM(L174&amp;""),코드표!$F$2:$F$101,0)),"⚠"&amp;TRIM(L174&amp;"")))</f>
        <v/>
      </c>
      <c r="V174" s="10">
        <f>IF(AND(ISNUMBER(H174),ISNUMBER(I174)),I174-H174+1,"")</f>
        <v/>
      </c>
      <c r="W174" s="17">
        <f>IF(ISNUMBER(H174),MAX(0,MIN(IF(ISNUMBER(I174),I174,EOMONTH(요약!$B$3,0)),EOMONTH(요약!$B$3,0))-MAX(H174,요약!$B$3)+1),0)</f>
        <v/>
      </c>
      <c r="X174" s="10">
        <f>IF(OR(NOT(ISNUMBER(H174)),Q174=""),"",IF(TODAY()&lt;H174,"파견예정",IF(AND(ISNUMBER(I174),TODAY()&gt;I174),"파견종료","파견중")))</f>
        <v/>
      </c>
      <c r="Y174" s="10">
        <f>IF(OR(Q174="",X174=""),"",Q174&amp;"|"&amp;X174)</f>
        <v/>
      </c>
      <c r="Z174" s="10">
        <f>IF(AND(Q174&lt;&gt;"",W174&gt;0),Q174&amp;"|월","")</f>
        <v/>
      </c>
      <c r="AA174" s="10">
        <f>IF(COUNTA(B174:N174)=0,"",IF(Q174="","등록번호 없음",IF(LEFT(R174,1)="⚠","모병원명 미등록",IF(S174="","파견병원 입력",IF(LEFT(S174,1)="⚠","파견병원명 미등록",IF(LEFT(U174,1)="⚠","파견과목 미등록",IF(OR(T174="",LEFT(T174,1)="⚠"),"파견근거 확인",IF(NOT(AND(ISNUMBER(H174),ISNUMBER(I174))),"날짜 형식/누락",IF(I174&lt;H174,"종료일&lt;시작일","")))))))))</f>
        <v/>
      </c>
      <c r="AB174" s="11">
        <f>IF(ISNUMBER(SEARCH("다기관",TRIM(N174&amp;" "&amp;O174))),IFERROR(DATE(VALUE(MID(TRIM(N174&amp;" "&amp;O174),1,4)),VALUE(MID(TRIM(N174&amp;" "&amp;O174),6,2)),VALUE(MID(TRIM(N174&amp;" "&amp;O174),9,2))),IF(ISNUMBER(H174),H174,"")),"")</f>
        <v/>
      </c>
      <c r="AC174" s="11">
        <f>IF(ISNUMBER(SEARCH("다기관",TRIM(N174&amp;" "&amp;O174))),IFERROR(DATE(VALUE(MID(TRIM(N174&amp;" "&amp;O174),12,4)),VALUE(MID(TRIM(N174&amp;" "&amp;O174),17,2)),VALUE(MID(TRIM(N174&amp;" "&amp;O174),20,2))),IF(ISNUMBER(I174),I174,"")),"")</f>
        <v/>
      </c>
      <c r="AD174" s="17">
        <f>IF(AND(ISNUMBER(AB174),ISNUMBER(AC174)),MAX(0,MIN(AC174,EOMONTH(요약!$B$3,0))-MAX(AB174,요약!$B$3)+1),0)</f>
        <v/>
      </c>
      <c r="AE174" s="10">
        <f>IF(AND(Q174&lt;&gt;"",ISNUMBER(AB174)),Q174&amp;"|다기관","")</f>
        <v/>
      </c>
    </row>
    <row r="175">
      <c r="A175" s="15">
        <f>IF(F175="","",ROW()-3)</f>
        <v/>
      </c>
      <c r="B175" s="5" t="n"/>
      <c r="C175" s="15" t="n"/>
      <c r="D175" s="5" t="n"/>
      <c r="E175" s="15" t="n"/>
      <c r="F175" s="5" t="n"/>
      <c r="G175" s="6" t="n"/>
      <c r="H175" s="16" t="n"/>
      <c r="I175" s="16" t="n"/>
      <c r="J175" s="15">
        <f>IF(AND(ISNUMBER(H175),ISNUMBER(I175)),I175-H175+1,"")</f>
        <v/>
      </c>
      <c r="K175" s="5" t="n"/>
      <c r="L175" s="5" t="n"/>
      <c r="M175" s="5" t="n"/>
      <c r="N175" s="5" t="n"/>
      <c r="O175" s="5" t="n"/>
      <c r="Q175" s="10">
        <f>IF(TRIM(G175&amp;"")="","",TRIM(G175&amp;""))</f>
        <v/>
      </c>
      <c r="R175" s="10">
        <f>IF(TRIM(B175&amp;"")="","",IFERROR(INDEX(코드표!$K$2:$K$101,MATCH(TRIM(B175&amp;""),코드표!$J$2:$J$101,0)),"⚠"&amp;TRIM(B175&amp;"")))</f>
        <v/>
      </c>
      <c r="S175" s="10">
        <f>IF(TRIM(K175&amp;"")="","",IFERROR(INDEX(코드표!$K$2:$K$101,MATCH(TRIM(K175&amp;""),코드표!$J$2:$J$101,0)),"⚠"&amp;TRIM(K175&amp;"")))</f>
        <v/>
      </c>
      <c r="T175" s="10">
        <f>IF(TRIM(M175&amp;"")="","",IF(ISNUMBER(MATCH(TRIM(M175&amp;""),코드표!$C$2:$C$11,0)),TRIM(M175&amp;""),"⚠"&amp;TRIM(M175&amp;"")))</f>
        <v/>
      </c>
      <c r="U175" s="10">
        <f>IF(TRIM(L175&amp;"")="","",IFERROR(INDEX(코드표!$G$2:$G$101,MATCH(TRIM(L175&amp;""),코드표!$F$2:$F$101,0)),"⚠"&amp;TRIM(L175&amp;"")))</f>
        <v/>
      </c>
      <c r="V175" s="10">
        <f>IF(AND(ISNUMBER(H175),ISNUMBER(I175)),I175-H175+1,"")</f>
        <v/>
      </c>
      <c r="W175" s="17">
        <f>IF(ISNUMBER(H175),MAX(0,MIN(IF(ISNUMBER(I175),I175,EOMONTH(요약!$B$3,0)),EOMONTH(요약!$B$3,0))-MAX(H175,요약!$B$3)+1),0)</f>
        <v/>
      </c>
      <c r="X175" s="10">
        <f>IF(OR(NOT(ISNUMBER(H175)),Q175=""),"",IF(TODAY()&lt;H175,"파견예정",IF(AND(ISNUMBER(I175),TODAY()&gt;I175),"파견종료","파견중")))</f>
        <v/>
      </c>
      <c r="Y175" s="10">
        <f>IF(OR(Q175="",X175=""),"",Q175&amp;"|"&amp;X175)</f>
        <v/>
      </c>
      <c r="Z175" s="10">
        <f>IF(AND(Q175&lt;&gt;"",W175&gt;0),Q175&amp;"|월","")</f>
        <v/>
      </c>
      <c r="AA175" s="10">
        <f>IF(COUNTA(B175:N175)=0,"",IF(Q175="","등록번호 없음",IF(LEFT(R175,1)="⚠","모병원명 미등록",IF(S175="","파견병원 입력",IF(LEFT(S175,1)="⚠","파견병원명 미등록",IF(LEFT(U175,1)="⚠","파견과목 미등록",IF(OR(T175="",LEFT(T175,1)="⚠"),"파견근거 확인",IF(NOT(AND(ISNUMBER(H175),ISNUMBER(I175))),"날짜 형식/누락",IF(I175&lt;H175,"종료일&lt;시작일","")))))))))</f>
        <v/>
      </c>
      <c r="AB175" s="11">
        <f>IF(ISNUMBER(SEARCH("다기관",TRIM(N175&amp;" "&amp;O175))),IFERROR(DATE(VALUE(MID(TRIM(N175&amp;" "&amp;O175),1,4)),VALUE(MID(TRIM(N175&amp;" "&amp;O175),6,2)),VALUE(MID(TRIM(N175&amp;" "&amp;O175),9,2))),IF(ISNUMBER(H175),H175,"")),"")</f>
        <v/>
      </c>
      <c r="AC175" s="11">
        <f>IF(ISNUMBER(SEARCH("다기관",TRIM(N175&amp;" "&amp;O175))),IFERROR(DATE(VALUE(MID(TRIM(N175&amp;" "&amp;O175),12,4)),VALUE(MID(TRIM(N175&amp;" "&amp;O175),17,2)),VALUE(MID(TRIM(N175&amp;" "&amp;O175),20,2))),IF(ISNUMBER(I175),I175,"")),"")</f>
        <v/>
      </c>
      <c r="AD175" s="17">
        <f>IF(AND(ISNUMBER(AB175),ISNUMBER(AC175)),MAX(0,MIN(AC175,EOMONTH(요약!$B$3,0))-MAX(AB175,요약!$B$3)+1),0)</f>
        <v/>
      </c>
      <c r="AE175" s="10">
        <f>IF(AND(Q175&lt;&gt;"",ISNUMBER(AB175)),Q175&amp;"|다기관","")</f>
        <v/>
      </c>
    </row>
    <row r="176">
      <c r="A176" s="15">
        <f>IF(F176="","",ROW()-3)</f>
        <v/>
      </c>
      <c r="B176" s="5" t="n"/>
      <c r="C176" s="15" t="n"/>
      <c r="D176" s="5" t="n"/>
      <c r="E176" s="15" t="n"/>
      <c r="F176" s="5" t="n"/>
      <c r="G176" s="6" t="n"/>
      <c r="H176" s="16" t="n"/>
      <c r="I176" s="16" t="n"/>
      <c r="J176" s="15">
        <f>IF(AND(ISNUMBER(H176),ISNUMBER(I176)),I176-H176+1,"")</f>
        <v/>
      </c>
      <c r="K176" s="5" t="n"/>
      <c r="L176" s="5" t="n"/>
      <c r="M176" s="5" t="n"/>
      <c r="N176" s="5" t="n"/>
      <c r="O176" s="5" t="n"/>
      <c r="Q176" s="10">
        <f>IF(TRIM(G176&amp;"")="","",TRIM(G176&amp;""))</f>
        <v/>
      </c>
      <c r="R176" s="10">
        <f>IF(TRIM(B176&amp;"")="","",IFERROR(INDEX(코드표!$K$2:$K$101,MATCH(TRIM(B176&amp;""),코드표!$J$2:$J$101,0)),"⚠"&amp;TRIM(B176&amp;"")))</f>
        <v/>
      </c>
      <c r="S176" s="10">
        <f>IF(TRIM(K176&amp;"")="","",IFERROR(INDEX(코드표!$K$2:$K$101,MATCH(TRIM(K176&amp;""),코드표!$J$2:$J$101,0)),"⚠"&amp;TRIM(K176&amp;"")))</f>
        <v/>
      </c>
      <c r="T176" s="10">
        <f>IF(TRIM(M176&amp;"")="","",IF(ISNUMBER(MATCH(TRIM(M176&amp;""),코드표!$C$2:$C$11,0)),TRIM(M176&amp;""),"⚠"&amp;TRIM(M176&amp;"")))</f>
        <v/>
      </c>
      <c r="U176" s="10">
        <f>IF(TRIM(L176&amp;"")="","",IFERROR(INDEX(코드표!$G$2:$G$101,MATCH(TRIM(L176&amp;""),코드표!$F$2:$F$101,0)),"⚠"&amp;TRIM(L176&amp;"")))</f>
        <v/>
      </c>
      <c r="V176" s="10">
        <f>IF(AND(ISNUMBER(H176),ISNUMBER(I176)),I176-H176+1,"")</f>
        <v/>
      </c>
      <c r="W176" s="17">
        <f>IF(ISNUMBER(H176),MAX(0,MIN(IF(ISNUMBER(I176),I176,EOMONTH(요약!$B$3,0)),EOMONTH(요약!$B$3,0))-MAX(H176,요약!$B$3)+1),0)</f>
        <v/>
      </c>
      <c r="X176" s="10">
        <f>IF(OR(NOT(ISNUMBER(H176)),Q176=""),"",IF(TODAY()&lt;H176,"파견예정",IF(AND(ISNUMBER(I176),TODAY()&gt;I176),"파견종료","파견중")))</f>
        <v/>
      </c>
      <c r="Y176" s="10">
        <f>IF(OR(Q176="",X176=""),"",Q176&amp;"|"&amp;X176)</f>
        <v/>
      </c>
      <c r="Z176" s="10">
        <f>IF(AND(Q176&lt;&gt;"",W176&gt;0),Q176&amp;"|월","")</f>
        <v/>
      </c>
      <c r="AA176" s="10">
        <f>IF(COUNTA(B176:N176)=0,"",IF(Q176="","등록번호 없음",IF(LEFT(R176,1)="⚠","모병원명 미등록",IF(S176="","파견병원 입력",IF(LEFT(S176,1)="⚠","파견병원명 미등록",IF(LEFT(U176,1)="⚠","파견과목 미등록",IF(OR(T176="",LEFT(T176,1)="⚠"),"파견근거 확인",IF(NOT(AND(ISNUMBER(H176),ISNUMBER(I176))),"날짜 형식/누락",IF(I176&lt;H176,"종료일&lt;시작일","")))))))))</f>
        <v/>
      </c>
      <c r="AB176" s="11">
        <f>IF(ISNUMBER(SEARCH("다기관",TRIM(N176&amp;" "&amp;O176))),IFERROR(DATE(VALUE(MID(TRIM(N176&amp;" "&amp;O176),1,4)),VALUE(MID(TRIM(N176&amp;" "&amp;O176),6,2)),VALUE(MID(TRIM(N176&amp;" "&amp;O176),9,2))),IF(ISNUMBER(H176),H176,"")),"")</f>
        <v/>
      </c>
      <c r="AC176" s="11">
        <f>IF(ISNUMBER(SEARCH("다기관",TRIM(N176&amp;" "&amp;O176))),IFERROR(DATE(VALUE(MID(TRIM(N176&amp;" "&amp;O176),12,4)),VALUE(MID(TRIM(N176&amp;" "&amp;O176),17,2)),VALUE(MID(TRIM(N176&amp;" "&amp;O176),20,2))),IF(ISNUMBER(I176),I176,"")),"")</f>
        <v/>
      </c>
      <c r="AD176" s="17">
        <f>IF(AND(ISNUMBER(AB176),ISNUMBER(AC176)),MAX(0,MIN(AC176,EOMONTH(요약!$B$3,0))-MAX(AB176,요약!$B$3)+1),0)</f>
        <v/>
      </c>
      <c r="AE176" s="10">
        <f>IF(AND(Q176&lt;&gt;"",ISNUMBER(AB176)),Q176&amp;"|다기관","")</f>
        <v/>
      </c>
    </row>
    <row r="177">
      <c r="A177" s="15">
        <f>IF(F177="","",ROW()-3)</f>
        <v/>
      </c>
      <c r="B177" s="5" t="n"/>
      <c r="C177" s="15" t="n"/>
      <c r="D177" s="5" t="n"/>
      <c r="E177" s="15" t="n"/>
      <c r="F177" s="5" t="n"/>
      <c r="G177" s="6" t="n"/>
      <c r="H177" s="16" t="n"/>
      <c r="I177" s="16" t="n"/>
      <c r="J177" s="15">
        <f>IF(AND(ISNUMBER(H177),ISNUMBER(I177)),I177-H177+1,"")</f>
        <v/>
      </c>
      <c r="K177" s="5" t="n"/>
      <c r="L177" s="5" t="n"/>
      <c r="M177" s="5" t="n"/>
      <c r="N177" s="5" t="n"/>
      <c r="O177" s="5" t="n"/>
      <c r="Q177" s="10">
        <f>IF(TRIM(G177&amp;"")="","",TRIM(G177&amp;""))</f>
        <v/>
      </c>
      <c r="R177" s="10">
        <f>IF(TRIM(B177&amp;"")="","",IFERROR(INDEX(코드표!$K$2:$K$101,MATCH(TRIM(B177&amp;""),코드표!$J$2:$J$101,0)),"⚠"&amp;TRIM(B177&amp;"")))</f>
        <v/>
      </c>
      <c r="S177" s="10">
        <f>IF(TRIM(K177&amp;"")="","",IFERROR(INDEX(코드표!$K$2:$K$101,MATCH(TRIM(K177&amp;""),코드표!$J$2:$J$101,0)),"⚠"&amp;TRIM(K177&amp;"")))</f>
        <v/>
      </c>
      <c r="T177" s="10">
        <f>IF(TRIM(M177&amp;"")="","",IF(ISNUMBER(MATCH(TRIM(M177&amp;""),코드표!$C$2:$C$11,0)),TRIM(M177&amp;""),"⚠"&amp;TRIM(M177&amp;"")))</f>
        <v/>
      </c>
      <c r="U177" s="10">
        <f>IF(TRIM(L177&amp;"")="","",IFERROR(INDEX(코드표!$G$2:$G$101,MATCH(TRIM(L177&amp;""),코드표!$F$2:$F$101,0)),"⚠"&amp;TRIM(L177&amp;"")))</f>
        <v/>
      </c>
      <c r="V177" s="10">
        <f>IF(AND(ISNUMBER(H177),ISNUMBER(I177)),I177-H177+1,"")</f>
        <v/>
      </c>
      <c r="W177" s="17">
        <f>IF(ISNUMBER(H177),MAX(0,MIN(IF(ISNUMBER(I177),I177,EOMONTH(요약!$B$3,0)),EOMONTH(요약!$B$3,0))-MAX(H177,요약!$B$3)+1),0)</f>
        <v/>
      </c>
      <c r="X177" s="10">
        <f>IF(OR(NOT(ISNUMBER(H177)),Q177=""),"",IF(TODAY()&lt;H177,"파견예정",IF(AND(ISNUMBER(I177),TODAY()&gt;I177),"파견종료","파견중")))</f>
        <v/>
      </c>
      <c r="Y177" s="10">
        <f>IF(OR(Q177="",X177=""),"",Q177&amp;"|"&amp;X177)</f>
        <v/>
      </c>
      <c r="Z177" s="10">
        <f>IF(AND(Q177&lt;&gt;"",W177&gt;0),Q177&amp;"|월","")</f>
        <v/>
      </c>
      <c r="AA177" s="10">
        <f>IF(COUNTA(B177:N177)=0,"",IF(Q177="","등록번호 없음",IF(LEFT(R177,1)="⚠","모병원명 미등록",IF(S177="","파견병원 입력",IF(LEFT(S177,1)="⚠","파견병원명 미등록",IF(LEFT(U177,1)="⚠","파견과목 미등록",IF(OR(T177="",LEFT(T177,1)="⚠"),"파견근거 확인",IF(NOT(AND(ISNUMBER(H177),ISNUMBER(I177))),"날짜 형식/누락",IF(I177&lt;H177,"종료일&lt;시작일","")))))))))</f>
        <v/>
      </c>
      <c r="AB177" s="11">
        <f>IF(ISNUMBER(SEARCH("다기관",TRIM(N177&amp;" "&amp;O177))),IFERROR(DATE(VALUE(MID(TRIM(N177&amp;" "&amp;O177),1,4)),VALUE(MID(TRIM(N177&amp;" "&amp;O177),6,2)),VALUE(MID(TRIM(N177&amp;" "&amp;O177),9,2))),IF(ISNUMBER(H177),H177,"")),"")</f>
        <v/>
      </c>
      <c r="AC177" s="11">
        <f>IF(ISNUMBER(SEARCH("다기관",TRIM(N177&amp;" "&amp;O177))),IFERROR(DATE(VALUE(MID(TRIM(N177&amp;" "&amp;O177),12,4)),VALUE(MID(TRIM(N177&amp;" "&amp;O177),17,2)),VALUE(MID(TRIM(N177&amp;" "&amp;O177),20,2))),IF(ISNUMBER(I177),I177,"")),"")</f>
        <v/>
      </c>
      <c r="AD177" s="17">
        <f>IF(AND(ISNUMBER(AB177),ISNUMBER(AC177)),MAX(0,MIN(AC177,EOMONTH(요약!$B$3,0))-MAX(AB177,요약!$B$3)+1),0)</f>
        <v/>
      </c>
      <c r="AE177" s="10">
        <f>IF(AND(Q177&lt;&gt;"",ISNUMBER(AB177)),Q177&amp;"|다기관","")</f>
        <v/>
      </c>
    </row>
    <row r="178">
      <c r="A178" s="15">
        <f>IF(F178="","",ROW()-3)</f>
        <v/>
      </c>
      <c r="B178" s="5" t="n"/>
      <c r="C178" s="15" t="n"/>
      <c r="D178" s="5" t="n"/>
      <c r="E178" s="15" t="n"/>
      <c r="F178" s="5" t="n"/>
      <c r="G178" s="6" t="n"/>
      <c r="H178" s="16" t="n"/>
      <c r="I178" s="16" t="n"/>
      <c r="J178" s="15">
        <f>IF(AND(ISNUMBER(H178),ISNUMBER(I178)),I178-H178+1,"")</f>
        <v/>
      </c>
      <c r="K178" s="5" t="n"/>
      <c r="L178" s="5" t="n"/>
      <c r="M178" s="5" t="n"/>
      <c r="N178" s="5" t="n"/>
      <c r="O178" s="5" t="n"/>
      <c r="Q178" s="10">
        <f>IF(TRIM(G178&amp;"")="","",TRIM(G178&amp;""))</f>
        <v/>
      </c>
      <c r="R178" s="10">
        <f>IF(TRIM(B178&amp;"")="","",IFERROR(INDEX(코드표!$K$2:$K$101,MATCH(TRIM(B178&amp;""),코드표!$J$2:$J$101,0)),"⚠"&amp;TRIM(B178&amp;"")))</f>
        <v/>
      </c>
      <c r="S178" s="10">
        <f>IF(TRIM(K178&amp;"")="","",IFERROR(INDEX(코드표!$K$2:$K$101,MATCH(TRIM(K178&amp;""),코드표!$J$2:$J$101,0)),"⚠"&amp;TRIM(K178&amp;"")))</f>
        <v/>
      </c>
      <c r="T178" s="10">
        <f>IF(TRIM(M178&amp;"")="","",IF(ISNUMBER(MATCH(TRIM(M178&amp;""),코드표!$C$2:$C$11,0)),TRIM(M178&amp;""),"⚠"&amp;TRIM(M178&amp;"")))</f>
        <v/>
      </c>
      <c r="U178" s="10">
        <f>IF(TRIM(L178&amp;"")="","",IFERROR(INDEX(코드표!$G$2:$G$101,MATCH(TRIM(L178&amp;""),코드표!$F$2:$F$101,0)),"⚠"&amp;TRIM(L178&amp;"")))</f>
        <v/>
      </c>
      <c r="V178" s="10">
        <f>IF(AND(ISNUMBER(H178),ISNUMBER(I178)),I178-H178+1,"")</f>
        <v/>
      </c>
      <c r="W178" s="17">
        <f>IF(ISNUMBER(H178),MAX(0,MIN(IF(ISNUMBER(I178),I178,EOMONTH(요약!$B$3,0)),EOMONTH(요약!$B$3,0))-MAX(H178,요약!$B$3)+1),0)</f>
        <v/>
      </c>
      <c r="X178" s="10">
        <f>IF(OR(NOT(ISNUMBER(H178)),Q178=""),"",IF(TODAY()&lt;H178,"파견예정",IF(AND(ISNUMBER(I178),TODAY()&gt;I178),"파견종료","파견중")))</f>
        <v/>
      </c>
      <c r="Y178" s="10">
        <f>IF(OR(Q178="",X178=""),"",Q178&amp;"|"&amp;X178)</f>
        <v/>
      </c>
      <c r="Z178" s="10">
        <f>IF(AND(Q178&lt;&gt;"",W178&gt;0),Q178&amp;"|월","")</f>
        <v/>
      </c>
      <c r="AA178" s="10">
        <f>IF(COUNTA(B178:N178)=0,"",IF(Q178="","등록번호 없음",IF(LEFT(R178,1)="⚠","모병원명 미등록",IF(S178="","파견병원 입력",IF(LEFT(S178,1)="⚠","파견병원명 미등록",IF(LEFT(U178,1)="⚠","파견과목 미등록",IF(OR(T178="",LEFT(T178,1)="⚠"),"파견근거 확인",IF(NOT(AND(ISNUMBER(H178),ISNUMBER(I178))),"날짜 형식/누락",IF(I178&lt;H178,"종료일&lt;시작일","")))))))))</f>
        <v/>
      </c>
      <c r="AB178" s="11">
        <f>IF(ISNUMBER(SEARCH("다기관",TRIM(N178&amp;" "&amp;O178))),IFERROR(DATE(VALUE(MID(TRIM(N178&amp;" "&amp;O178),1,4)),VALUE(MID(TRIM(N178&amp;" "&amp;O178),6,2)),VALUE(MID(TRIM(N178&amp;" "&amp;O178),9,2))),IF(ISNUMBER(H178),H178,"")),"")</f>
        <v/>
      </c>
      <c r="AC178" s="11">
        <f>IF(ISNUMBER(SEARCH("다기관",TRIM(N178&amp;" "&amp;O178))),IFERROR(DATE(VALUE(MID(TRIM(N178&amp;" "&amp;O178),12,4)),VALUE(MID(TRIM(N178&amp;" "&amp;O178),17,2)),VALUE(MID(TRIM(N178&amp;" "&amp;O178),20,2))),IF(ISNUMBER(I178),I178,"")),"")</f>
        <v/>
      </c>
      <c r="AD178" s="17">
        <f>IF(AND(ISNUMBER(AB178),ISNUMBER(AC178)),MAX(0,MIN(AC178,EOMONTH(요약!$B$3,0))-MAX(AB178,요약!$B$3)+1),0)</f>
        <v/>
      </c>
      <c r="AE178" s="10">
        <f>IF(AND(Q178&lt;&gt;"",ISNUMBER(AB178)),Q178&amp;"|다기관","")</f>
        <v/>
      </c>
    </row>
    <row r="179">
      <c r="A179" s="15">
        <f>IF(F179="","",ROW()-3)</f>
        <v/>
      </c>
      <c r="B179" s="5" t="n"/>
      <c r="C179" s="15" t="n"/>
      <c r="D179" s="5" t="n"/>
      <c r="E179" s="15" t="n"/>
      <c r="F179" s="5" t="n"/>
      <c r="G179" s="6" t="n"/>
      <c r="H179" s="16" t="n"/>
      <c r="I179" s="16" t="n"/>
      <c r="J179" s="15">
        <f>IF(AND(ISNUMBER(H179),ISNUMBER(I179)),I179-H179+1,"")</f>
        <v/>
      </c>
      <c r="K179" s="5" t="n"/>
      <c r="L179" s="5" t="n"/>
      <c r="M179" s="5" t="n"/>
      <c r="N179" s="5" t="n"/>
      <c r="O179" s="5" t="n"/>
      <c r="Q179" s="10">
        <f>IF(TRIM(G179&amp;"")="","",TRIM(G179&amp;""))</f>
        <v/>
      </c>
      <c r="R179" s="10">
        <f>IF(TRIM(B179&amp;"")="","",IFERROR(INDEX(코드표!$K$2:$K$101,MATCH(TRIM(B179&amp;""),코드표!$J$2:$J$101,0)),"⚠"&amp;TRIM(B179&amp;"")))</f>
        <v/>
      </c>
      <c r="S179" s="10">
        <f>IF(TRIM(K179&amp;"")="","",IFERROR(INDEX(코드표!$K$2:$K$101,MATCH(TRIM(K179&amp;""),코드표!$J$2:$J$101,0)),"⚠"&amp;TRIM(K179&amp;"")))</f>
        <v/>
      </c>
      <c r="T179" s="10">
        <f>IF(TRIM(M179&amp;"")="","",IF(ISNUMBER(MATCH(TRIM(M179&amp;""),코드표!$C$2:$C$11,0)),TRIM(M179&amp;""),"⚠"&amp;TRIM(M179&amp;"")))</f>
        <v/>
      </c>
      <c r="U179" s="10">
        <f>IF(TRIM(L179&amp;"")="","",IFERROR(INDEX(코드표!$G$2:$G$101,MATCH(TRIM(L179&amp;""),코드표!$F$2:$F$101,0)),"⚠"&amp;TRIM(L179&amp;"")))</f>
        <v/>
      </c>
      <c r="V179" s="10">
        <f>IF(AND(ISNUMBER(H179),ISNUMBER(I179)),I179-H179+1,"")</f>
        <v/>
      </c>
      <c r="W179" s="17">
        <f>IF(ISNUMBER(H179),MAX(0,MIN(IF(ISNUMBER(I179),I179,EOMONTH(요약!$B$3,0)),EOMONTH(요약!$B$3,0))-MAX(H179,요약!$B$3)+1),0)</f>
        <v/>
      </c>
      <c r="X179" s="10">
        <f>IF(OR(NOT(ISNUMBER(H179)),Q179=""),"",IF(TODAY()&lt;H179,"파견예정",IF(AND(ISNUMBER(I179),TODAY()&gt;I179),"파견종료","파견중")))</f>
        <v/>
      </c>
      <c r="Y179" s="10">
        <f>IF(OR(Q179="",X179=""),"",Q179&amp;"|"&amp;X179)</f>
        <v/>
      </c>
      <c r="Z179" s="10">
        <f>IF(AND(Q179&lt;&gt;"",W179&gt;0),Q179&amp;"|월","")</f>
        <v/>
      </c>
      <c r="AA179" s="10">
        <f>IF(COUNTA(B179:N179)=0,"",IF(Q179="","등록번호 없음",IF(LEFT(R179,1)="⚠","모병원명 미등록",IF(S179="","파견병원 입력",IF(LEFT(S179,1)="⚠","파견병원명 미등록",IF(LEFT(U179,1)="⚠","파견과목 미등록",IF(OR(T179="",LEFT(T179,1)="⚠"),"파견근거 확인",IF(NOT(AND(ISNUMBER(H179),ISNUMBER(I179))),"날짜 형식/누락",IF(I179&lt;H179,"종료일&lt;시작일","")))))))))</f>
        <v/>
      </c>
      <c r="AB179" s="11">
        <f>IF(ISNUMBER(SEARCH("다기관",TRIM(N179&amp;" "&amp;O179))),IFERROR(DATE(VALUE(MID(TRIM(N179&amp;" "&amp;O179),1,4)),VALUE(MID(TRIM(N179&amp;" "&amp;O179),6,2)),VALUE(MID(TRIM(N179&amp;" "&amp;O179),9,2))),IF(ISNUMBER(H179),H179,"")),"")</f>
        <v/>
      </c>
      <c r="AC179" s="11">
        <f>IF(ISNUMBER(SEARCH("다기관",TRIM(N179&amp;" "&amp;O179))),IFERROR(DATE(VALUE(MID(TRIM(N179&amp;" "&amp;O179),12,4)),VALUE(MID(TRIM(N179&amp;" "&amp;O179),17,2)),VALUE(MID(TRIM(N179&amp;" "&amp;O179),20,2))),IF(ISNUMBER(I179),I179,"")),"")</f>
        <v/>
      </c>
      <c r="AD179" s="17">
        <f>IF(AND(ISNUMBER(AB179),ISNUMBER(AC179)),MAX(0,MIN(AC179,EOMONTH(요약!$B$3,0))-MAX(AB179,요약!$B$3)+1),0)</f>
        <v/>
      </c>
      <c r="AE179" s="10">
        <f>IF(AND(Q179&lt;&gt;"",ISNUMBER(AB179)),Q179&amp;"|다기관","")</f>
        <v/>
      </c>
    </row>
    <row r="180">
      <c r="A180" s="15">
        <f>IF(F180="","",ROW()-3)</f>
        <v/>
      </c>
      <c r="B180" s="5" t="n"/>
      <c r="C180" s="15" t="n"/>
      <c r="D180" s="5" t="n"/>
      <c r="E180" s="15" t="n"/>
      <c r="F180" s="5" t="n"/>
      <c r="G180" s="6" t="n"/>
      <c r="H180" s="16" t="n"/>
      <c r="I180" s="16" t="n"/>
      <c r="J180" s="15">
        <f>IF(AND(ISNUMBER(H180),ISNUMBER(I180)),I180-H180+1,"")</f>
        <v/>
      </c>
      <c r="K180" s="5" t="n"/>
      <c r="L180" s="5" t="n"/>
      <c r="M180" s="5" t="n"/>
      <c r="N180" s="5" t="n"/>
      <c r="O180" s="5" t="n"/>
      <c r="Q180" s="10">
        <f>IF(TRIM(G180&amp;"")="","",TRIM(G180&amp;""))</f>
        <v/>
      </c>
      <c r="R180" s="10">
        <f>IF(TRIM(B180&amp;"")="","",IFERROR(INDEX(코드표!$K$2:$K$101,MATCH(TRIM(B180&amp;""),코드표!$J$2:$J$101,0)),"⚠"&amp;TRIM(B180&amp;"")))</f>
        <v/>
      </c>
      <c r="S180" s="10">
        <f>IF(TRIM(K180&amp;"")="","",IFERROR(INDEX(코드표!$K$2:$K$101,MATCH(TRIM(K180&amp;""),코드표!$J$2:$J$101,0)),"⚠"&amp;TRIM(K180&amp;"")))</f>
        <v/>
      </c>
      <c r="T180" s="10">
        <f>IF(TRIM(M180&amp;"")="","",IF(ISNUMBER(MATCH(TRIM(M180&amp;""),코드표!$C$2:$C$11,0)),TRIM(M180&amp;""),"⚠"&amp;TRIM(M180&amp;"")))</f>
        <v/>
      </c>
      <c r="U180" s="10">
        <f>IF(TRIM(L180&amp;"")="","",IFERROR(INDEX(코드표!$G$2:$G$101,MATCH(TRIM(L180&amp;""),코드표!$F$2:$F$101,0)),"⚠"&amp;TRIM(L180&amp;"")))</f>
        <v/>
      </c>
      <c r="V180" s="10">
        <f>IF(AND(ISNUMBER(H180),ISNUMBER(I180)),I180-H180+1,"")</f>
        <v/>
      </c>
      <c r="W180" s="17">
        <f>IF(ISNUMBER(H180),MAX(0,MIN(IF(ISNUMBER(I180),I180,EOMONTH(요약!$B$3,0)),EOMONTH(요약!$B$3,0))-MAX(H180,요약!$B$3)+1),0)</f>
        <v/>
      </c>
      <c r="X180" s="10">
        <f>IF(OR(NOT(ISNUMBER(H180)),Q180=""),"",IF(TODAY()&lt;H180,"파견예정",IF(AND(ISNUMBER(I180),TODAY()&gt;I180),"파견종료","파견중")))</f>
        <v/>
      </c>
      <c r="Y180" s="10">
        <f>IF(OR(Q180="",X180=""),"",Q180&amp;"|"&amp;X180)</f>
        <v/>
      </c>
      <c r="Z180" s="10">
        <f>IF(AND(Q180&lt;&gt;"",W180&gt;0),Q180&amp;"|월","")</f>
        <v/>
      </c>
      <c r="AA180" s="10">
        <f>IF(COUNTA(B180:N180)=0,"",IF(Q180="","등록번호 없음",IF(LEFT(R180,1)="⚠","모병원명 미등록",IF(S180="","파견병원 입력",IF(LEFT(S180,1)="⚠","파견병원명 미등록",IF(LEFT(U180,1)="⚠","파견과목 미등록",IF(OR(T180="",LEFT(T180,1)="⚠"),"파견근거 확인",IF(NOT(AND(ISNUMBER(H180),ISNUMBER(I180))),"날짜 형식/누락",IF(I180&lt;H180,"종료일&lt;시작일","")))))))))</f>
        <v/>
      </c>
      <c r="AB180" s="11">
        <f>IF(ISNUMBER(SEARCH("다기관",TRIM(N180&amp;" "&amp;O180))),IFERROR(DATE(VALUE(MID(TRIM(N180&amp;" "&amp;O180),1,4)),VALUE(MID(TRIM(N180&amp;" "&amp;O180),6,2)),VALUE(MID(TRIM(N180&amp;" "&amp;O180),9,2))),IF(ISNUMBER(H180),H180,"")),"")</f>
        <v/>
      </c>
      <c r="AC180" s="11">
        <f>IF(ISNUMBER(SEARCH("다기관",TRIM(N180&amp;" "&amp;O180))),IFERROR(DATE(VALUE(MID(TRIM(N180&amp;" "&amp;O180),12,4)),VALUE(MID(TRIM(N180&amp;" "&amp;O180),17,2)),VALUE(MID(TRIM(N180&amp;" "&amp;O180),20,2))),IF(ISNUMBER(I180),I180,"")),"")</f>
        <v/>
      </c>
      <c r="AD180" s="17">
        <f>IF(AND(ISNUMBER(AB180),ISNUMBER(AC180)),MAX(0,MIN(AC180,EOMONTH(요약!$B$3,0))-MAX(AB180,요약!$B$3)+1),0)</f>
        <v/>
      </c>
      <c r="AE180" s="10">
        <f>IF(AND(Q180&lt;&gt;"",ISNUMBER(AB180)),Q180&amp;"|다기관","")</f>
        <v/>
      </c>
    </row>
    <row r="181">
      <c r="A181" s="15">
        <f>IF(F181="","",ROW()-3)</f>
        <v/>
      </c>
      <c r="B181" s="5" t="n"/>
      <c r="C181" s="15" t="n"/>
      <c r="D181" s="5" t="n"/>
      <c r="E181" s="15" t="n"/>
      <c r="F181" s="5" t="n"/>
      <c r="G181" s="6" t="n"/>
      <c r="H181" s="16" t="n"/>
      <c r="I181" s="16" t="n"/>
      <c r="J181" s="15">
        <f>IF(AND(ISNUMBER(H181),ISNUMBER(I181)),I181-H181+1,"")</f>
        <v/>
      </c>
      <c r="K181" s="5" t="n"/>
      <c r="L181" s="5" t="n"/>
      <c r="M181" s="5" t="n"/>
      <c r="N181" s="5" t="n"/>
      <c r="O181" s="5" t="n"/>
      <c r="Q181" s="10">
        <f>IF(TRIM(G181&amp;"")="","",TRIM(G181&amp;""))</f>
        <v/>
      </c>
      <c r="R181" s="10">
        <f>IF(TRIM(B181&amp;"")="","",IFERROR(INDEX(코드표!$K$2:$K$101,MATCH(TRIM(B181&amp;""),코드표!$J$2:$J$101,0)),"⚠"&amp;TRIM(B181&amp;"")))</f>
        <v/>
      </c>
      <c r="S181" s="10">
        <f>IF(TRIM(K181&amp;"")="","",IFERROR(INDEX(코드표!$K$2:$K$101,MATCH(TRIM(K181&amp;""),코드표!$J$2:$J$101,0)),"⚠"&amp;TRIM(K181&amp;"")))</f>
        <v/>
      </c>
      <c r="T181" s="10">
        <f>IF(TRIM(M181&amp;"")="","",IF(ISNUMBER(MATCH(TRIM(M181&amp;""),코드표!$C$2:$C$11,0)),TRIM(M181&amp;""),"⚠"&amp;TRIM(M181&amp;"")))</f>
        <v/>
      </c>
      <c r="U181" s="10">
        <f>IF(TRIM(L181&amp;"")="","",IFERROR(INDEX(코드표!$G$2:$G$101,MATCH(TRIM(L181&amp;""),코드표!$F$2:$F$101,0)),"⚠"&amp;TRIM(L181&amp;"")))</f>
        <v/>
      </c>
      <c r="V181" s="10">
        <f>IF(AND(ISNUMBER(H181),ISNUMBER(I181)),I181-H181+1,"")</f>
        <v/>
      </c>
      <c r="W181" s="17">
        <f>IF(ISNUMBER(H181),MAX(0,MIN(IF(ISNUMBER(I181),I181,EOMONTH(요약!$B$3,0)),EOMONTH(요약!$B$3,0))-MAX(H181,요약!$B$3)+1),0)</f>
        <v/>
      </c>
      <c r="X181" s="10">
        <f>IF(OR(NOT(ISNUMBER(H181)),Q181=""),"",IF(TODAY()&lt;H181,"파견예정",IF(AND(ISNUMBER(I181),TODAY()&gt;I181),"파견종료","파견중")))</f>
        <v/>
      </c>
      <c r="Y181" s="10">
        <f>IF(OR(Q181="",X181=""),"",Q181&amp;"|"&amp;X181)</f>
        <v/>
      </c>
      <c r="Z181" s="10">
        <f>IF(AND(Q181&lt;&gt;"",W181&gt;0),Q181&amp;"|월","")</f>
        <v/>
      </c>
      <c r="AA181" s="10">
        <f>IF(COUNTA(B181:N181)=0,"",IF(Q181="","등록번호 없음",IF(LEFT(R181,1)="⚠","모병원명 미등록",IF(S181="","파견병원 입력",IF(LEFT(S181,1)="⚠","파견병원명 미등록",IF(LEFT(U181,1)="⚠","파견과목 미등록",IF(OR(T181="",LEFT(T181,1)="⚠"),"파견근거 확인",IF(NOT(AND(ISNUMBER(H181),ISNUMBER(I181))),"날짜 형식/누락",IF(I181&lt;H181,"종료일&lt;시작일","")))))))))</f>
        <v/>
      </c>
      <c r="AB181" s="11">
        <f>IF(ISNUMBER(SEARCH("다기관",TRIM(N181&amp;" "&amp;O181))),IFERROR(DATE(VALUE(MID(TRIM(N181&amp;" "&amp;O181),1,4)),VALUE(MID(TRIM(N181&amp;" "&amp;O181),6,2)),VALUE(MID(TRIM(N181&amp;" "&amp;O181),9,2))),IF(ISNUMBER(H181),H181,"")),"")</f>
        <v/>
      </c>
      <c r="AC181" s="11">
        <f>IF(ISNUMBER(SEARCH("다기관",TRIM(N181&amp;" "&amp;O181))),IFERROR(DATE(VALUE(MID(TRIM(N181&amp;" "&amp;O181),12,4)),VALUE(MID(TRIM(N181&amp;" "&amp;O181),17,2)),VALUE(MID(TRIM(N181&amp;" "&amp;O181),20,2))),IF(ISNUMBER(I181),I181,"")),"")</f>
        <v/>
      </c>
      <c r="AD181" s="17">
        <f>IF(AND(ISNUMBER(AB181),ISNUMBER(AC181)),MAX(0,MIN(AC181,EOMONTH(요약!$B$3,0))-MAX(AB181,요약!$B$3)+1),0)</f>
        <v/>
      </c>
      <c r="AE181" s="10">
        <f>IF(AND(Q181&lt;&gt;"",ISNUMBER(AB181)),Q181&amp;"|다기관","")</f>
        <v/>
      </c>
    </row>
    <row r="182">
      <c r="A182" s="15">
        <f>IF(F182="","",ROW()-3)</f>
        <v/>
      </c>
      <c r="B182" s="5" t="n"/>
      <c r="C182" s="15" t="n"/>
      <c r="D182" s="5" t="n"/>
      <c r="E182" s="15" t="n"/>
      <c r="F182" s="5" t="n"/>
      <c r="G182" s="6" t="n"/>
      <c r="H182" s="16" t="n"/>
      <c r="I182" s="16" t="n"/>
      <c r="J182" s="15">
        <f>IF(AND(ISNUMBER(H182),ISNUMBER(I182)),I182-H182+1,"")</f>
        <v/>
      </c>
      <c r="K182" s="5" t="n"/>
      <c r="L182" s="5" t="n"/>
      <c r="M182" s="5" t="n"/>
      <c r="N182" s="5" t="n"/>
      <c r="O182" s="5" t="n"/>
      <c r="Q182" s="10">
        <f>IF(TRIM(G182&amp;"")="","",TRIM(G182&amp;""))</f>
        <v/>
      </c>
      <c r="R182" s="10">
        <f>IF(TRIM(B182&amp;"")="","",IFERROR(INDEX(코드표!$K$2:$K$101,MATCH(TRIM(B182&amp;""),코드표!$J$2:$J$101,0)),"⚠"&amp;TRIM(B182&amp;"")))</f>
        <v/>
      </c>
      <c r="S182" s="10">
        <f>IF(TRIM(K182&amp;"")="","",IFERROR(INDEX(코드표!$K$2:$K$101,MATCH(TRIM(K182&amp;""),코드표!$J$2:$J$101,0)),"⚠"&amp;TRIM(K182&amp;"")))</f>
        <v/>
      </c>
      <c r="T182" s="10">
        <f>IF(TRIM(M182&amp;"")="","",IF(ISNUMBER(MATCH(TRIM(M182&amp;""),코드표!$C$2:$C$11,0)),TRIM(M182&amp;""),"⚠"&amp;TRIM(M182&amp;"")))</f>
        <v/>
      </c>
      <c r="U182" s="10">
        <f>IF(TRIM(L182&amp;"")="","",IFERROR(INDEX(코드표!$G$2:$G$101,MATCH(TRIM(L182&amp;""),코드표!$F$2:$F$101,0)),"⚠"&amp;TRIM(L182&amp;"")))</f>
        <v/>
      </c>
      <c r="V182" s="10">
        <f>IF(AND(ISNUMBER(H182),ISNUMBER(I182)),I182-H182+1,"")</f>
        <v/>
      </c>
      <c r="W182" s="17">
        <f>IF(ISNUMBER(H182),MAX(0,MIN(IF(ISNUMBER(I182),I182,EOMONTH(요약!$B$3,0)),EOMONTH(요약!$B$3,0))-MAX(H182,요약!$B$3)+1),0)</f>
        <v/>
      </c>
      <c r="X182" s="10">
        <f>IF(OR(NOT(ISNUMBER(H182)),Q182=""),"",IF(TODAY()&lt;H182,"파견예정",IF(AND(ISNUMBER(I182),TODAY()&gt;I182),"파견종료","파견중")))</f>
        <v/>
      </c>
      <c r="Y182" s="10">
        <f>IF(OR(Q182="",X182=""),"",Q182&amp;"|"&amp;X182)</f>
        <v/>
      </c>
      <c r="Z182" s="10">
        <f>IF(AND(Q182&lt;&gt;"",W182&gt;0),Q182&amp;"|월","")</f>
        <v/>
      </c>
      <c r="AA182" s="10">
        <f>IF(COUNTA(B182:N182)=0,"",IF(Q182="","등록번호 없음",IF(LEFT(R182,1)="⚠","모병원명 미등록",IF(S182="","파견병원 입력",IF(LEFT(S182,1)="⚠","파견병원명 미등록",IF(LEFT(U182,1)="⚠","파견과목 미등록",IF(OR(T182="",LEFT(T182,1)="⚠"),"파견근거 확인",IF(NOT(AND(ISNUMBER(H182),ISNUMBER(I182))),"날짜 형식/누락",IF(I182&lt;H182,"종료일&lt;시작일","")))))))))</f>
        <v/>
      </c>
      <c r="AB182" s="11">
        <f>IF(ISNUMBER(SEARCH("다기관",TRIM(N182&amp;" "&amp;O182))),IFERROR(DATE(VALUE(MID(TRIM(N182&amp;" "&amp;O182),1,4)),VALUE(MID(TRIM(N182&amp;" "&amp;O182),6,2)),VALUE(MID(TRIM(N182&amp;" "&amp;O182),9,2))),IF(ISNUMBER(H182),H182,"")),"")</f>
        <v/>
      </c>
      <c r="AC182" s="11">
        <f>IF(ISNUMBER(SEARCH("다기관",TRIM(N182&amp;" "&amp;O182))),IFERROR(DATE(VALUE(MID(TRIM(N182&amp;" "&amp;O182),12,4)),VALUE(MID(TRIM(N182&amp;" "&amp;O182),17,2)),VALUE(MID(TRIM(N182&amp;" "&amp;O182),20,2))),IF(ISNUMBER(I182),I182,"")),"")</f>
        <v/>
      </c>
      <c r="AD182" s="17">
        <f>IF(AND(ISNUMBER(AB182),ISNUMBER(AC182)),MAX(0,MIN(AC182,EOMONTH(요약!$B$3,0))-MAX(AB182,요약!$B$3)+1),0)</f>
        <v/>
      </c>
      <c r="AE182" s="10">
        <f>IF(AND(Q182&lt;&gt;"",ISNUMBER(AB182)),Q182&amp;"|다기관","")</f>
        <v/>
      </c>
    </row>
    <row r="183">
      <c r="A183" s="15">
        <f>IF(F183="","",ROW()-3)</f>
        <v/>
      </c>
      <c r="B183" s="5" t="n"/>
      <c r="C183" s="15" t="n"/>
      <c r="D183" s="5" t="n"/>
      <c r="E183" s="15" t="n"/>
      <c r="F183" s="5" t="n"/>
      <c r="G183" s="6" t="n"/>
      <c r="H183" s="16" t="n"/>
      <c r="I183" s="16" t="n"/>
      <c r="J183" s="15">
        <f>IF(AND(ISNUMBER(H183),ISNUMBER(I183)),I183-H183+1,"")</f>
        <v/>
      </c>
      <c r="K183" s="5" t="n"/>
      <c r="L183" s="5" t="n"/>
      <c r="M183" s="5" t="n"/>
      <c r="N183" s="5" t="n"/>
      <c r="O183" s="5" t="n"/>
      <c r="Q183" s="10">
        <f>IF(TRIM(G183&amp;"")="","",TRIM(G183&amp;""))</f>
        <v/>
      </c>
      <c r="R183" s="10">
        <f>IF(TRIM(B183&amp;"")="","",IFERROR(INDEX(코드표!$K$2:$K$101,MATCH(TRIM(B183&amp;""),코드표!$J$2:$J$101,0)),"⚠"&amp;TRIM(B183&amp;"")))</f>
        <v/>
      </c>
      <c r="S183" s="10">
        <f>IF(TRIM(K183&amp;"")="","",IFERROR(INDEX(코드표!$K$2:$K$101,MATCH(TRIM(K183&amp;""),코드표!$J$2:$J$101,0)),"⚠"&amp;TRIM(K183&amp;"")))</f>
        <v/>
      </c>
      <c r="T183" s="10">
        <f>IF(TRIM(M183&amp;"")="","",IF(ISNUMBER(MATCH(TRIM(M183&amp;""),코드표!$C$2:$C$11,0)),TRIM(M183&amp;""),"⚠"&amp;TRIM(M183&amp;"")))</f>
        <v/>
      </c>
      <c r="U183" s="10">
        <f>IF(TRIM(L183&amp;"")="","",IFERROR(INDEX(코드표!$G$2:$G$101,MATCH(TRIM(L183&amp;""),코드표!$F$2:$F$101,0)),"⚠"&amp;TRIM(L183&amp;"")))</f>
        <v/>
      </c>
      <c r="V183" s="10">
        <f>IF(AND(ISNUMBER(H183),ISNUMBER(I183)),I183-H183+1,"")</f>
        <v/>
      </c>
      <c r="W183" s="17">
        <f>IF(ISNUMBER(H183),MAX(0,MIN(IF(ISNUMBER(I183),I183,EOMONTH(요약!$B$3,0)),EOMONTH(요약!$B$3,0))-MAX(H183,요약!$B$3)+1),0)</f>
        <v/>
      </c>
      <c r="X183" s="10">
        <f>IF(OR(NOT(ISNUMBER(H183)),Q183=""),"",IF(TODAY()&lt;H183,"파견예정",IF(AND(ISNUMBER(I183),TODAY()&gt;I183),"파견종료","파견중")))</f>
        <v/>
      </c>
      <c r="Y183" s="10">
        <f>IF(OR(Q183="",X183=""),"",Q183&amp;"|"&amp;X183)</f>
        <v/>
      </c>
      <c r="Z183" s="10">
        <f>IF(AND(Q183&lt;&gt;"",W183&gt;0),Q183&amp;"|월","")</f>
        <v/>
      </c>
      <c r="AA183" s="10">
        <f>IF(COUNTA(B183:N183)=0,"",IF(Q183="","등록번호 없음",IF(LEFT(R183,1)="⚠","모병원명 미등록",IF(S183="","파견병원 입력",IF(LEFT(S183,1)="⚠","파견병원명 미등록",IF(LEFT(U183,1)="⚠","파견과목 미등록",IF(OR(T183="",LEFT(T183,1)="⚠"),"파견근거 확인",IF(NOT(AND(ISNUMBER(H183),ISNUMBER(I183))),"날짜 형식/누락",IF(I183&lt;H183,"종료일&lt;시작일","")))))))))</f>
        <v/>
      </c>
      <c r="AB183" s="11">
        <f>IF(ISNUMBER(SEARCH("다기관",TRIM(N183&amp;" "&amp;O183))),IFERROR(DATE(VALUE(MID(TRIM(N183&amp;" "&amp;O183),1,4)),VALUE(MID(TRIM(N183&amp;" "&amp;O183),6,2)),VALUE(MID(TRIM(N183&amp;" "&amp;O183),9,2))),IF(ISNUMBER(H183),H183,"")),"")</f>
        <v/>
      </c>
      <c r="AC183" s="11">
        <f>IF(ISNUMBER(SEARCH("다기관",TRIM(N183&amp;" "&amp;O183))),IFERROR(DATE(VALUE(MID(TRIM(N183&amp;" "&amp;O183),12,4)),VALUE(MID(TRIM(N183&amp;" "&amp;O183),17,2)),VALUE(MID(TRIM(N183&amp;" "&amp;O183),20,2))),IF(ISNUMBER(I183),I183,"")),"")</f>
        <v/>
      </c>
      <c r="AD183" s="17">
        <f>IF(AND(ISNUMBER(AB183),ISNUMBER(AC183)),MAX(0,MIN(AC183,EOMONTH(요약!$B$3,0))-MAX(AB183,요약!$B$3)+1),0)</f>
        <v/>
      </c>
      <c r="AE183" s="10">
        <f>IF(AND(Q183&lt;&gt;"",ISNUMBER(AB183)),Q183&amp;"|다기관","")</f>
        <v/>
      </c>
    </row>
    <row r="184">
      <c r="A184" s="15">
        <f>IF(F184="","",ROW()-3)</f>
        <v/>
      </c>
      <c r="B184" s="5" t="n"/>
      <c r="C184" s="15" t="n"/>
      <c r="D184" s="5" t="n"/>
      <c r="E184" s="15" t="n"/>
      <c r="F184" s="5" t="n"/>
      <c r="G184" s="6" t="n"/>
      <c r="H184" s="16" t="n"/>
      <c r="I184" s="16" t="n"/>
      <c r="J184" s="15">
        <f>IF(AND(ISNUMBER(H184),ISNUMBER(I184)),I184-H184+1,"")</f>
        <v/>
      </c>
      <c r="K184" s="5" t="n"/>
      <c r="L184" s="5" t="n"/>
      <c r="M184" s="5" t="n"/>
      <c r="N184" s="5" t="n"/>
      <c r="O184" s="5" t="n"/>
      <c r="Q184" s="10">
        <f>IF(TRIM(G184&amp;"")="","",TRIM(G184&amp;""))</f>
        <v/>
      </c>
      <c r="R184" s="10">
        <f>IF(TRIM(B184&amp;"")="","",IFERROR(INDEX(코드표!$K$2:$K$101,MATCH(TRIM(B184&amp;""),코드표!$J$2:$J$101,0)),"⚠"&amp;TRIM(B184&amp;"")))</f>
        <v/>
      </c>
      <c r="S184" s="10">
        <f>IF(TRIM(K184&amp;"")="","",IFERROR(INDEX(코드표!$K$2:$K$101,MATCH(TRIM(K184&amp;""),코드표!$J$2:$J$101,0)),"⚠"&amp;TRIM(K184&amp;"")))</f>
        <v/>
      </c>
      <c r="T184" s="10">
        <f>IF(TRIM(M184&amp;"")="","",IF(ISNUMBER(MATCH(TRIM(M184&amp;""),코드표!$C$2:$C$11,0)),TRIM(M184&amp;""),"⚠"&amp;TRIM(M184&amp;"")))</f>
        <v/>
      </c>
      <c r="U184" s="10">
        <f>IF(TRIM(L184&amp;"")="","",IFERROR(INDEX(코드표!$G$2:$G$101,MATCH(TRIM(L184&amp;""),코드표!$F$2:$F$101,0)),"⚠"&amp;TRIM(L184&amp;"")))</f>
        <v/>
      </c>
      <c r="V184" s="10">
        <f>IF(AND(ISNUMBER(H184),ISNUMBER(I184)),I184-H184+1,"")</f>
        <v/>
      </c>
      <c r="W184" s="17">
        <f>IF(ISNUMBER(H184),MAX(0,MIN(IF(ISNUMBER(I184),I184,EOMONTH(요약!$B$3,0)),EOMONTH(요약!$B$3,0))-MAX(H184,요약!$B$3)+1),0)</f>
        <v/>
      </c>
      <c r="X184" s="10">
        <f>IF(OR(NOT(ISNUMBER(H184)),Q184=""),"",IF(TODAY()&lt;H184,"파견예정",IF(AND(ISNUMBER(I184),TODAY()&gt;I184),"파견종료","파견중")))</f>
        <v/>
      </c>
      <c r="Y184" s="10">
        <f>IF(OR(Q184="",X184=""),"",Q184&amp;"|"&amp;X184)</f>
        <v/>
      </c>
      <c r="Z184" s="10">
        <f>IF(AND(Q184&lt;&gt;"",W184&gt;0),Q184&amp;"|월","")</f>
        <v/>
      </c>
      <c r="AA184" s="10">
        <f>IF(COUNTA(B184:N184)=0,"",IF(Q184="","등록번호 없음",IF(LEFT(R184,1)="⚠","모병원명 미등록",IF(S184="","파견병원 입력",IF(LEFT(S184,1)="⚠","파견병원명 미등록",IF(LEFT(U184,1)="⚠","파견과목 미등록",IF(OR(T184="",LEFT(T184,1)="⚠"),"파견근거 확인",IF(NOT(AND(ISNUMBER(H184),ISNUMBER(I184))),"날짜 형식/누락",IF(I184&lt;H184,"종료일&lt;시작일","")))))))))</f>
        <v/>
      </c>
      <c r="AB184" s="11">
        <f>IF(ISNUMBER(SEARCH("다기관",TRIM(N184&amp;" "&amp;O184))),IFERROR(DATE(VALUE(MID(TRIM(N184&amp;" "&amp;O184),1,4)),VALUE(MID(TRIM(N184&amp;" "&amp;O184),6,2)),VALUE(MID(TRIM(N184&amp;" "&amp;O184),9,2))),IF(ISNUMBER(H184),H184,"")),"")</f>
        <v/>
      </c>
      <c r="AC184" s="11">
        <f>IF(ISNUMBER(SEARCH("다기관",TRIM(N184&amp;" "&amp;O184))),IFERROR(DATE(VALUE(MID(TRIM(N184&amp;" "&amp;O184),12,4)),VALUE(MID(TRIM(N184&amp;" "&amp;O184),17,2)),VALUE(MID(TRIM(N184&amp;" "&amp;O184),20,2))),IF(ISNUMBER(I184),I184,"")),"")</f>
        <v/>
      </c>
      <c r="AD184" s="17">
        <f>IF(AND(ISNUMBER(AB184),ISNUMBER(AC184)),MAX(0,MIN(AC184,EOMONTH(요약!$B$3,0))-MAX(AB184,요약!$B$3)+1),0)</f>
        <v/>
      </c>
      <c r="AE184" s="10">
        <f>IF(AND(Q184&lt;&gt;"",ISNUMBER(AB184)),Q184&amp;"|다기관","")</f>
        <v/>
      </c>
    </row>
    <row r="185">
      <c r="A185" s="15">
        <f>IF(F185="","",ROW()-3)</f>
        <v/>
      </c>
      <c r="B185" s="5" t="n"/>
      <c r="C185" s="15" t="n"/>
      <c r="D185" s="5" t="n"/>
      <c r="E185" s="15" t="n"/>
      <c r="F185" s="5" t="n"/>
      <c r="G185" s="6" t="n"/>
      <c r="H185" s="16" t="n"/>
      <c r="I185" s="16" t="n"/>
      <c r="J185" s="15">
        <f>IF(AND(ISNUMBER(H185),ISNUMBER(I185)),I185-H185+1,"")</f>
        <v/>
      </c>
      <c r="K185" s="5" t="n"/>
      <c r="L185" s="5" t="n"/>
      <c r="M185" s="5" t="n"/>
      <c r="N185" s="5" t="n"/>
      <c r="O185" s="5" t="n"/>
      <c r="Q185" s="10">
        <f>IF(TRIM(G185&amp;"")="","",TRIM(G185&amp;""))</f>
        <v/>
      </c>
      <c r="R185" s="10">
        <f>IF(TRIM(B185&amp;"")="","",IFERROR(INDEX(코드표!$K$2:$K$101,MATCH(TRIM(B185&amp;""),코드표!$J$2:$J$101,0)),"⚠"&amp;TRIM(B185&amp;"")))</f>
        <v/>
      </c>
      <c r="S185" s="10">
        <f>IF(TRIM(K185&amp;"")="","",IFERROR(INDEX(코드표!$K$2:$K$101,MATCH(TRIM(K185&amp;""),코드표!$J$2:$J$101,0)),"⚠"&amp;TRIM(K185&amp;"")))</f>
        <v/>
      </c>
      <c r="T185" s="10">
        <f>IF(TRIM(M185&amp;"")="","",IF(ISNUMBER(MATCH(TRIM(M185&amp;""),코드표!$C$2:$C$11,0)),TRIM(M185&amp;""),"⚠"&amp;TRIM(M185&amp;"")))</f>
        <v/>
      </c>
      <c r="U185" s="10">
        <f>IF(TRIM(L185&amp;"")="","",IFERROR(INDEX(코드표!$G$2:$G$101,MATCH(TRIM(L185&amp;""),코드표!$F$2:$F$101,0)),"⚠"&amp;TRIM(L185&amp;"")))</f>
        <v/>
      </c>
      <c r="V185" s="10">
        <f>IF(AND(ISNUMBER(H185),ISNUMBER(I185)),I185-H185+1,"")</f>
        <v/>
      </c>
      <c r="W185" s="17">
        <f>IF(ISNUMBER(H185),MAX(0,MIN(IF(ISNUMBER(I185),I185,EOMONTH(요약!$B$3,0)),EOMONTH(요약!$B$3,0))-MAX(H185,요약!$B$3)+1),0)</f>
        <v/>
      </c>
      <c r="X185" s="10">
        <f>IF(OR(NOT(ISNUMBER(H185)),Q185=""),"",IF(TODAY()&lt;H185,"파견예정",IF(AND(ISNUMBER(I185),TODAY()&gt;I185),"파견종료","파견중")))</f>
        <v/>
      </c>
      <c r="Y185" s="10">
        <f>IF(OR(Q185="",X185=""),"",Q185&amp;"|"&amp;X185)</f>
        <v/>
      </c>
      <c r="Z185" s="10">
        <f>IF(AND(Q185&lt;&gt;"",W185&gt;0),Q185&amp;"|월","")</f>
        <v/>
      </c>
      <c r="AA185" s="10">
        <f>IF(COUNTA(B185:N185)=0,"",IF(Q185="","등록번호 없음",IF(LEFT(R185,1)="⚠","모병원명 미등록",IF(S185="","파견병원 입력",IF(LEFT(S185,1)="⚠","파견병원명 미등록",IF(LEFT(U185,1)="⚠","파견과목 미등록",IF(OR(T185="",LEFT(T185,1)="⚠"),"파견근거 확인",IF(NOT(AND(ISNUMBER(H185),ISNUMBER(I185))),"날짜 형식/누락",IF(I185&lt;H185,"종료일&lt;시작일","")))))))))</f>
        <v/>
      </c>
      <c r="AB185" s="11">
        <f>IF(ISNUMBER(SEARCH("다기관",TRIM(N185&amp;" "&amp;O185))),IFERROR(DATE(VALUE(MID(TRIM(N185&amp;" "&amp;O185),1,4)),VALUE(MID(TRIM(N185&amp;" "&amp;O185),6,2)),VALUE(MID(TRIM(N185&amp;" "&amp;O185),9,2))),IF(ISNUMBER(H185),H185,"")),"")</f>
        <v/>
      </c>
      <c r="AC185" s="11">
        <f>IF(ISNUMBER(SEARCH("다기관",TRIM(N185&amp;" "&amp;O185))),IFERROR(DATE(VALUE(MID(TRIM(N185&amp;" "&amp;O185),12,4)),VALUE(MID(TRIM(N185&amp;" "&amp;O185),17,2)),VALUE(MID(TRIM(N185&amp;" "&amp;O185),20,2))),IF(ISNUMBER(I185),I185,"")),"")</f>
        <v/>
      </c>
      <c r="AD185" s="17">
        <f>IF(AND(ISNUMBER(AB185),ISNUMBER(AC185)),MAX(0,MIN(AC185,EOMONTH(요약!$B$3,0))-MAX(AB185,요약!$B$3)+1),0)</f>
        <v/>
      </c>
      <c r="AE185" s="10">
        <f>IF(AND(Q185&lt;&gt;"",ISNUMBER(AB185)),Q185&amp;"|다기관","")</f>
        <v/>
      </c>
    </row>
    <row r="186">
      <c r="A186" s="15">
        <f>IF(F186="","",ROW()-3)</f>
        <v/>
      </c>
      <c r="B186" s="5" t="n"/>
      <c r="C186" s="15" t="n"/>
      <c r="D186" s="5" t="n"/>
      <c r="E186" s="15" t="n"/>
      <c r="F186" s="5" t="n"/>
      <c r="G186" s="6" t="n"/>
      <c r="H186" s="16" t="n"/>
      <c r="I186" s="16" t="n"/>
      <c r="J186" s="15">
        <f>IF(AND(ISNUMBER(H186),ISNUMBER(I186)),I186-H186+1,"")</f>
        <v/>
      </c>
      <c r="K186" s="5" t="n"/>
      <c r="L186" s="5" t="n"/>
      <c r="M186" s="5" t="n"/>
      <c r="N186" s="5" t="n"/>
      <c r="O186" s="5" t="n"/>
      <c r="Q186" s="10">
        <f>IF(TRIM(G186&amp;"")="","",TRIM(G186&amp;""))</f>
        <v/>
      </c>
      <c r="R186" s="10">
        <f>IF(TRIM(B186&amp;"")="","",IFERROR(INDEX(코드표!$K$2:$K$101,MATCH(TRIM(B186&amp;""),코드표!$J$2:$J$101,0)),"⚠"&amp;TRIM(B186&amp;"")))</f>
        <v/>
      </c>
      <c r="S186" s="10">
        <f>IF(TRIM(K186&amp;"")="","",IFERROR(INDEX(코드표!$K$2:$K$101,MATCH(TRIM(K186&amp;""),코드표!$J$2:$J$101,0)),"⚠"&amp;TRIM(K186&amp;"")))</f>
        <v/>
      </c>
      <c r="T186" s="10">
        <f>IF(TRIM(M186&amp;"")="","",IF(ISNUMBER(MATCH(TRIM(M186&amp;""),코드표!$C$2:$C$11,0)),TRIM(M186&amp;""),"⚠"&amp;TRIM(M186&amp;"")))</f>
        <v/>
      </c>
      <c r="U186" s="10">
        <f>IF(TRIM(L186&amp;"")="","",IFERROR(INDEX(코드표!$G$2:$G$101,MATCH(TRIM(L186&amp;""),코드표!$F$2:$F$101,0)),"⚠"&amp;TRIM(L186&amp;"")))</f>
        <v/>
      </c>
      <c r="V186" s="10">
        <f>IF(AND(ISNUMBER(H186),ISNUMBER(I186)),I186-H186+1,"")</f>
        <v/>
      </c>
      <c r="W186" s="17">
        <f>IF(ISNUMBER(H186),MAX(0,MIN(IF(ISNUMBER(I186),I186,EOMONTH(요약!$B$3,0)),EOMONTH(요약!$B$3,0))-MAX(H186,요약!$B$3)+1),0)</f>
        <v/>
      </c>
      <c r="X186" s="10">
        <f>IF(OR(NOT(ISNUMBER(H186)),Q186=""),"",IF(TODAY()&lt;H186,"파견예정",IF(AND(ISNUMBER(I186),TODAY()&gt;I186),"파견종료","파견중")))</f>
        <v/>
      </c>
      <c r="Y186" s="10">
        <f>IF(OR(Q186="",X186=""),"",Q186&amp;"|"&amp;X186)</f>
        <v/>
      </c>
      <c r="Z186" s="10">
        <f>IF(AND(Q186&lt;&gt;"",W186&gt;0),Q186&amp;"|월","")</f>
        <v/>
      </c>
      <c r="AA186" s="10">
        <f>IF(COUNTA(B186:N186)=0,"",IF(Q186="","등록번호 없음",IF(LEFT(R186,1)="⚠","모병원명 미등록",IF(S186="","파견병원 입력",IF(LEFT(S186,1)="⚠","파견병원명 미등록",IF(LEFT(U186,1)="⚠","파견과목 미등록",IF(OR(T186="",LEFT(T186,1)="⚠"),"파견근거 확인",IF(NOT(AND(ISNUMBER(H186),ISNUMBER(I186))),"날짜 형식/누락",IF(I186&lt;H186,"종료일&lt;시작일","")))))))))</f>
        <v/>
      </c>
      <c r="AB186" s="11">
        <f>IF(ISNUMBER(SEARCH("다기관",TRIM(N186&amp;" "&amp;O186))),IFERROR(DATE(VALUE(MID(TRIM(N186&amp;" "&amp;O186),1,4)),VALUE(MID(TRIM(N186&amp;" "&amp;O186),6,2)),VALUE(MID(TRIM(N186&amp;" "&amp;O186),9,2))),IF(ISNUMBER(H186),H186,"")),"")</f>
        <v/>
      </c>
      <c r="AC186" s="11">
        <f>IF(ISNUMBER(SEARCH("다기관",TRIM(N186&amp;" "&amp;O186))),IFERROR(DATE(VALUE(MID(TRIM(N186&amp;" "&amp;O186),12,4)),VALUE(MID(TRIM(N186&amp;" "&amp;O186),17,2)),VALUE(MID(TRIM(N186&amp;" "&amp;O186),20,2))),IF(ISNUMBER(I186),I186,"")),"")</f>
        <v/>
      </c>
      <c r="AD186" s="17">
        <f>IF(AND(ISNUMBER(AB186),ISNUMBER(AC186)),MAX(0,MIN(AC186,EOMONTH(요약!$B$3,0))-MAX(AB186,요약!$B$3)+1),0)</f>
        <v/>
      </c>
      <c r="AE186" s="10">
        <f>IF(AND(Q186&lt;&gt;"",ISNUMBER(AB186)),Q186&amp;"|다기관","")</f>
        <v/>
      </c>
    </row>
    <row r="187">
      <c r="A187" s="15">
        <f>IF(F187="","",ROW()-3)</f>
        <v/>
      </c>
      <c r="B187" s="5" t="n"/>
      <c r="C187" s="15" t="n"/>
      <c r="D187" s="5" t="n"/>
      <c r="E187" s="15" t="n"/>
      <c r="F187" s="5" t="n"/>
      <c r="G187" s="6" t="n"/>
      <c r="H187" s="16" t="n"/>
      <c r="I187" s="16" t="n"/>
      <c r="J187" s="15">
        <f>IF(AND(ISNUMBER(H187),ISNUMBER(I187)),I187-H187+1,"")</f>
        <v/>
      </c>
      <c r="K187" s="5" t="n"/>
      <c r="L187" s="5" t="n"/>
      <c r="M187" s="5" t="n"/>
      <c r="N187" s="5" t="n"/>
      <c r="O187" s="5" t="n"/>
      <c r="Q187" s="10">
        <f>IF(TRIM(G187&amp;"")="","",TRIM(G187&amp;""))</f>
        <v/>
      </c>
      <c r="R187" s="10">
        <f>IF(TRIM(B187&amp;"")="","",IFERROR(INDEX(코드표!$K$2:$K$101,MATCH(TRIM(B187&amp;""),코드표!$J$2:$J$101,0)),"⚠"&amp;TRIM(B187&amp;"")))</f>
        <v/>
      </c>
      <c r="S187" s="10">
        <f>IF(TRIM(K187&amp;"")="","",IFERROR(INDEX(코드표!$K$2:$K$101,MATCH(TRIM(K187&amp;""),코드표!$J$2:$J$101,0)),"⚠"&amp;TRIM(K187&amp;"")))</f>
        <v/>
      </c>
      <c r="T187" s="10">
        <f>IF(TRIM(M187&amp;"")="","",IF(ISNUMBER(MATCH(TRIM(M187&amp;""),코드표!$C$2:$C$11,0)),TRIM(M187&amp;""),"⚠"&amp;TRIM(M187&amp;"")))</f>
        <v/>
      </c>
      <c r="U187" s="10">
        <f>IF(TRIM(L187&amp;"")="","",IFERROR(INDEX(코드표!$G$2:$G$101,MATCH(TRIM(L187&amp;""),코드표!$F$2:$F$101,0)),"⚠"&amp;TRIM(L187&amp;"")))</f>
        <v/>
      </c>
      <c r="V187" s="10">
        <f>IF(AND(ISNUMBER(H187),ISNUMBER(I187)),I187-H187+1,"")</f>
        <v/>
      </c>
      <c r="W187" s="17">
        <f>IF(ISNUMBER(H187),MAX(0,MIN(IF(ISNUMBER(I187),I187,EOMONTH(요약!$B$3,0)),EOMONTH(요약!$B$3,0))-MAX(H187,요약!$B$3)+1),0)</f>
        <v/>
      </c>
      <c r="X187" s="10">
        <f>IF(OR(NOT(ISNUMBER(H187)),Q187=""),"",IF(TODAY()&lt;H187,"파견예정",IF(AND(ISNUMBER(I187),TODAY()&gt;I187),"파견종료","파견중")))</f>
        <v/>
      </c>
      <c r="Y187" s="10">
        <f>IF(OR(Q187="",X187=""),"",Q187&amp;"|"&amp;X187)</f>
        <v/>
      </c>
      <c r="Z187" s="10">
        <f>IF(AND(Q187&lt;&gt;"",W187&gt;0),Q187&amp;"|월","")</f>
        <v/>
      </c>
      <c r="AA187" s="10">
        <f>IF(COUNTA(B187:N187)=0,"",IF(Q187="","등록번호 없음",IF(LEFT(R187,1)="⚠","모병원명 미등록",IF(S187="","파견병원 입력",IF(LEFT(S187,1)="⚠","파견병원명 미등록",IF(LEFT(U187,1)="⚠","파견과목 미등록",IF(OR(T187="",LEFT(T187,1)="⚠"),"파견근거 확인",IF(NOT(AND(ISNUMBER(H187),ISNUMBER(I187))),"날짜 형식/누락",IF(I187&lt;H187,"종료일&lt;시작일","")))))))))</f>
        <v/>
      </c>
      <c r="AB187" s="11">
        <f>IF(ISNUMBER(SEARCH("다기관",TRIM(N187&amp;" "&amp;O187))),IFERROR(DATE(VALUE(MID(TRIM(N187&amp;" "&amp;O187),1,4)),VALUE(MID(TRIM(N187&amp;" "&amp;O187),6,2)),VALUE(MID(TRIM(N187&amp;" "&amp;O187),9,2))),IF(ISNUMBER(H187),H187,"")),"")</f>
        <v/>
      </c>
      <c r="AC187" s="11">
        <f>IF(ISNUMBER(SEARCH("다기관",TRIM(N187&amp;" "&amp;O187))),IFERROR(DATE(VALUE(MID(TRIM(N187&amp;" "&amp;O187),12,4)),VALUE(MID(TRIM(N187&amp;" "&amp;O187),17,2)),VALUE(MID(TRIM(N187&amp;" "&amp;O187),20,2))),IF(ISNUMBER(I187),I187,"")),"")</f>
        <v/>
      </c>
      <c r="AD187" s="17">
        <f>IF(AND(ISNUMBER(AB187),ISNUMBER(AC187)),MAX(0,MIN(AC187,EOMONTH(요약!$B$3,0))-MAX(AB187,요약!$B$3)+1),0)</f>
        <v/>
      </c>
      <c r="AE187" s="10">
        <f>IF(AND(Q187&lt;&gt;"",ISNUMBER(AB187)),Q187&amp;"|다기관","")</f>
        <v/>
      </c>
    </row>
    <row r="188">
      <c r="A188" s="15">
        <f>IF(F188="","",ROW()-3)</f>
        <v/>
      </c>
      <c r="B188" s="5" t="n"/>
      <c r="C188" s="15" t="n"/>
      <c r="D188" s="5" t="n"/>
      <c r="E188" s="15" t="n"/>
      <c r="F188" s="5" t="n"/>
      <c r="G188" s="6" t="n"/>
      <c r="H188" s="16" t="n"/>
      <c r="I188" s="16" t="n"/>
      <c r="J188" s="15">
        <f>IF(AND(ISNUMBER(H188),ISNUMBER(I188)),I188-H188+1,"")</f>
        <v/>
      </c>
      <c r="K188" s="5" t="n"/>
      <c r="L188" s="5" t="n"/>
      <c r="M188" s="5" t="n"/>
      <c r="N188" s="5" t="n"/>
      <c r="O188" s="5" t="n"/>
      <c r="Q188" s="10">
        <f>IF(TRIM(G188&amp;"")="","",TRIM(G188&amp;""))</f>
        <v/>
      </c>
      <c r="R188" s="10">
        <f>IF(TRIM(B188&amp;"")="","",IFERROR(INDEX(코드표!$K$2:$K$101,MATCH(TRIM(B188&amp;""),코드표!$J$2:$J$101,0)),"⚠"&amp;TRIM(B188&amp;"")))</f>
        <v/>
      </c>
      <c r="S188" s="10">
        <f>IF(TRIM(K188&amp;"")="","",IFERROR(INDEX(코드표!$K$2:$K$101,MATCH(TRIM(K188&amp;""),코드표!$J$2:$J$101,0)),"⚠"&amp;TRIM(K188&amp;"")))</f>
        <v/>
      </c>
      <c r="T188" s="10">
        <f>IF(TRIM(M188&amp;"")="","",IF(ISNUMBER(MATCH(TRIM(M188&amp;""),코드표!$C$2:$C$11,0)),TRIM(M188&amp;""),"⚠"&amp;TRIM(M188&amp;"")))</f>
        <v/>
      </c>
      <c r="U188" s="10">
        <f>IF(TRIM(L188&amp;"")="","",IFERROR(INDEX(코드표!$G$2:$G$101,MATCH(TRIM(L188&amp;""),코드표!$F$2:$F$101,0)),"⚠"&amp;TRIM(L188&amp;"")))</f>
        <v/>
      </c>
      <c r="V188" s="10">
        <f>IF(AND(ISNUMBER(H188),ISNUMBER(I188)),I188-H188+1,"")</f>
        <v/>
      </c>
      <c r="W188" s="17">
        <f>IF(ISNUMBER(H188),MAX(0,MIN(IF(ISNUMBER(I188),I188,EOMONTH(요약!$B$3,0)),EOMONTH(요약!$B$3,0))-MAX(H188,요약!$B$3)+1),0)</f>
        <v/>
      </c>
      <c r="X188" s="10">
        <f>IF(OR(NOT(ISNUMBER(H188)),Q188=""),"",IF(TODAY()&lt;H188,"파견예정",IF(AND(ISNUMBER(I188),TODAY()&gt;I188),"파견종료","파견중")))</f>
        <v/>
      </c>
      <c r="Y188" s="10">
        <f>IF(OR(Q188="",X188=""),"",Q188&amp;"|"&amp;X188)</f>
        <v/>
      </c>
      <c r="Z188" s="10">
        <f>IF(AND(Q188&lt;&gt;"",W188&gt;0),Q188&amp;"|월","")</f>
        <v/>
      </c>
      <c r="AA188" s="10">
        <f>IF(COUNTA(B188:N188)=0,"",IF(Q188="","등록번호 없음",IF(LEFT(R188,1)="⚠","모병원명 미등록",IF(S188="","파견병원 입력",IF(LEFT(S188,1)="⚠","파견병원명 미등록",IF(LEFT(U188,1)="⚠","파견과목 미등록",IF(OR(T188="",LEFT(T188,1)="⚠"),"파견근거 확인",IF(NOT(AND(ISNUMBER(H188),ISNUMBER(I188))),"날짜 형식/누락",IF(I188&lt;H188,"종료일&lt;시작일","")))))))))</f>
        <v/>
      </c>
      <c r="AB188" s="11">
        <f>IF(ISNUMBER(SEARCH("다기관",TRIM(N188&amp;" "&amp;O188))),IFERROR(DATE(VALUE(MID(TRIM(N188&amp;" "&amp;O188),1,4)),VALUE(MID(TRIM(N188&amp;" "&amp;O188),6,2)),VALUE(MID(TRIM(N188&amp;" "&amp;O188),9,2))),IF(ISNUMBER(H188),H188,"")),"")</f>
        <v/>
      </c>
      <c r="AC188" s="11">
        <f>IF(ISNUMBER(SEARCH("다기관",TRIM(N188&amp;" "&amp;O188))),IFERROR(DATE(VALUE(MID(TRIM(N188&amp;" "&amp;O188),12,4)),VALUE(MID(TRIM(N188&amp;" "&amp;O188),17,2)),VALUE(MID(TRIM(N188&amp;" "&amp;O188),20,2))),IF(ISNUMBER(I188),I188,"")),"")</f>
        <v/>
      </c>
      <c r="AD188" s="17">
        <f>IF(AND(ISNUMBER(AB188),ISNUMBER(AC188)),MAX(0,MIN(AC188,EOMONTH(요약!$B$3,0))-MAX(AB188,요약!$B$3)+1),0)</f>
        <v/>
      </c>
      <c r="AE188" s="10">
        <f>IF(AND(Q188&lt;&gt;"",ISNUMBER(AB188)),Q188&amp;"|다기관","")</f>
        <v/>
      </c>
    </row>
    <row r="189">
      <c r="A189" s="15">
        <f>IF(F189="","",ROW()-3)</f>
        <v/>
      </c>
      <c r="B189" s="5" t="n"/>
      <c r="C189" s="15" t="n"/>
      <c r="D189" s="5" t="n"/>
      <c r="E189" s="15" t="n"/>
      <c r="F189" s="5" t="n"/>
      <c r="G189" s="6" t="n"/>
      <c r="H189" s="16" t="n"/>
      <c r="I189" s="16" t="n"/>
      <c r="J189" s="15">
        <f>IF(AND(ISNUMBER(H189),ISNUMBER(I189)),I189-H189+1,"")</f>
        <v/>
      </c>
      <c r="K189" s="5" t="n"/>
      <c r="L189" s="5" t="n"/>
      <c r="M189" s="5" t="n"/>
      <c r="N189" s="5" t="n"/>
      <c r="O189" s="5" t="n"/>
      <c r="Q189" s="10">
        <f>IF(TRIM(G189&amp;"")="","",TRIM(G189&amp;""))</f>
        <v/>
      </c>
      <c r="R189" s="10">
        <f>IF(TRIM(B189&amp;"")="","",IFERROR(INDEX(코드표!$K$2:$K$101,MATCH(TRIM(B189&amp;""),코드표!$J$2:$J$101,0)),"⚠"&amp;TRIM(B189&amp;"")))</f>
        <v/>
      </c>
      <c r="S189" s="10">
        <f>IF(TRIM(K189&amp;"")="","",IFERROR(INDEX(코드표!$K$2:$K$101,MATCH(TRIM(K189&amp;""),코드표!$J$2:$J$101,0)),"⚠"&amp;TRIM(K189&amp;"")))</f>
        <v/>
      </c>
      <c r="T189" s="10">
        <f>IF(TRIM(M189&amp;"")="","",IF(ISNUMBER(MATCH(TRIM(M189&amp;""),코드표!$C$2:$C$11,0)),TRIM(M189&amp;""),"⚠"&amp;TRIM(M189&amp;"")))</f>
        <v/>
      </c>
      <c r="U189" s="10">
        <f>IF(TRIM(L189&amp;"")="","",IFERROR(INDEX(코드표!$G$2:$G$101,MATCH(TRIM(L189&amp;""),코드표!$F$2:$F$101,0)),"⚠"&amp;TRIM(L189&amp;"")))</f>
        <v/>
      </c>
      <c r="V189" s="10">
        <f>IF(AND(ISNUMBER(H189),ISNUMBER(I189)),I189-H189+1,"")</f>
        <v/>
      </c>
      <c r="W189" s="17">
        <f>IF(ISNUMBER(H189),MAX(0,MIN(IF(ISNUMBER(I189),I189,EOMONTH(요약!$B$3,0)),EOMONTH(요약!$B$3,0))-MAX(H189,요약!$B$3)+1),0)</f>
        <v/>
      </c>
      <c r="X189" s="10">
        <f>IF(OR(NOT(ISNUMBER(H189)),Q189=""),"",IF(TODAY()&lt;H189,"파견예정",IF(AND(ISNUMBER(I189),TODAY()&gt;I189),"파견종료","파견중")))</f>
        <v/>
      </c>
      <c r="Y189" s="10">
        <f>IF(OR(Q189="",X189=""),"",Q189&amp;"|"&amp;X189)</f>
        <v/>
      </c>
      <c r="Z189" s="10">
        <f>IF(AND(Q189&lt;&gt;"",W189&gt;0),Q189&amp;"|월","")</f>
        <v/>
      </c>
      <c r="AA189" s="10">
        <f>IF(COUNTA(B189:N189)=0,"",IF(Q189="","등록번호 없음",IF(LEFT(R189,1)="⚠","모병원명 미등록",IF(S189="","파견병원 입력",IF(LEFT(S189,1)="⚠","파견병원명 미등록",IF(LEFT(U189,1)="⚠","파견과목 미등록",IF(OR(T189="",LEFT(T189,1)="⚠"),"파견근거 확인",IF(NOT(AND(ISNUMBER(H189),ISNUMBER(I189))),"날짜 형식/누락",IF(I189&lt;H189,"종료일&lt;시작일","")))))))))</f>
        <v/>
      </c>
      <c r="AB189" s="11">
        <f>IF(ISNUMBER(SEARCH("다기관",TRIM(N189&amp;" "&amp;O189))),IFERROR(DATE(VALUE(MID(TRIM(N189&amp;" "&amp;O189),1,4)),VALUE(MID(TRIM(N189&amp;" "&amp;O189),6,2)),VALUE(MID(TRIM(N189&amp;" "&amp;O189),9,2))),IF(ISNUMBER(H189),H189,"")),"")</f>
        <v/>
      </c>
      <c r="AC189" s="11">
        <f>IF(ISNUMBER(SEARCH("다기관",TRIM(N189&amp;" "&amp;O189))),IFERROR(DATE(VALUE(MID(TRIM(N189&amp;" "&amp;O189),12,4)),VALUE(MID(TRIM(N189&amp;" "&amp;O189),17,2)),VALUE(MID(TRIM(N189&amp;" "&amp;O189),20,2))),IF(ISNUMBER(I189),I189,"")),"")</f>
        <v/>
      </c>
      <c r="AD189" s="17">
        <f>IF(AND(ISNUMBER(AB189),ISNUMBER(AC189)),MAX(0,MIN(AC189,EOMONTH(요약!$B$3,0))-MAX(AB189,요약!$B$3)+1),0)</f>
        <v/>
      </c>
      <c r="AE189" s="10">
        <f>IF(AND(Q189&lt;&gt;"",ISNUMBER(AB189)),Q189&amp;"|다기관","")</f>
        <v/>
      </c>
    </row>
    <row r="190">
      <c r="A190" s="15">
        <f>IF(F190="","",ROW()-3)</f>
        <v/>
      </c>
      <c r="B190" s="5" t="n"/>
      <c r="C190" s="15" t="n"/>
      <c r="D190" s="5" t="n"/>
      <c r="E190" s="15" t="n"/>
      <c r="F190" s="5" t="n"/>
      <c r="G190" s="6" t="n"/>
      <c r="H190" s="16" t="n"/>
      <c r="I190" s="16" t="n"/>
      <c r="J190" s="15">
        <f>IF(AND(ISNUMBER(H190),ISNUMBER(I190)),I190-H190+1,"")</f>
        <v/>
      </c>
      <c r="K190" s="5" t="n"/>
      <c r="L190" s="5" t="n"/>
      <c r="M190" s="5" t="n"/>
      <c r="N190" s="5" t="n"/>
      <c r="O190" s="5" t="n"/>
      <c r="Q190" s="10">
        <f>IF(TRIM(G190&amp;"")="","",TRIM(G190&amp;""))</f>
        <v/>
      </c>
      <c r="R190" s="10">
        <f>IF(TRIM(B190&amp;"")="","",IFERROR(INDEX(코드표!$K$2:$K$101,MATCH(TRIM(B190&amp;""),코드표!$J$2:$J$101,0)),"⚠"&amp;TRIM(B190&amp;"")))</f>
        <v/>
      </c>
      <c r="S190" s="10">
        <f>IF(TRIM(K190&amp;"")="","",IFERROR(INDEX(코드표!$K$2:$K$101,MATCH(TRIM(K190&amp;""),코드표!$J$2:$J$101,0)),"⚠"&amp;TRIM(K190&amp;"")))</f>
        <v/>
      </c>
      <c r="T190" s="10">
        <f>IF(TRIM(M190&amp;"")="","",IF(ISNUMBER(MATCH(TRIM(M190&amp;""),코드표!$C$2:$C$11,0)),TRIM(M190&amp;""),"⚠"&amp;TRIM(M190&amp;"")))</f>
        <v/>
      </c>
      <c r="U190" s="10">
        <f>IF(TRIM(L190&amp;"")="","",IFERROR(INDEX(코드표!$G$2:$G$101,MATCH(TRIM(L190&amp;""),코드표!$F$2:$F$101,0)),"⚠"&amp;TRIM(L190&amp;"")))</f>
        <v/>
      </c>
      <c r="V190" s="10">
        <f>IF(AND(ISNUMBER(H190),ISNUMBER(I190)),I190-H190+1,"")</f>
        <v/>
      </c>
      <c r="W190" s="17">
        <f>IF(ISNUMBER(H190),MAX(0,MIN(IF(ISNUMBER(I190),I190,EOMONTH(요약!$B$3,0)),EOMONTH(요약!$B$3,0))-MAX(H190,요약!$B$3)+1),0)</f>
        <v/>
      </c>
      <c r="X190" s="10">
        <f>IF(OR(NOT(ISNUMBER(H190)),Q190=""),"",IF(TODAY()&lt;H190,"파견예정",IF(AND(ISNUMBER(I190),TODAY()&gt;I190),"파견종료","파견중")))</f>
        <v/>
      </c>
      <c r="Y190" s="10">
        <f>IF(OR(Q190="",X190=""),"",Q190&amp;"|"&amp;X190)</f>
        <v/>
      </c>
      <c r="Z190" s="10">
        <f>IF(AND(Q190&lt;&gt;"",W190&gt;0),Q190&amp;"|월","")</f>
        <v/>
      </c>
      <c r="AA190" s="10">
        <f>IF(COUNTA(B190:N190)=0,"",IF(Q190="","등록번호 없음",IF(LEFT(R190,1)="⚠","모병원명 미등록",IF(S190="","파견병원 입력",IF(LEFT(S190,1)="⚠","파견병원명 미등록",IF(LEFT(U190,1)="⚠","파견과목 미등록",IF(OR(T190="",LEFT(T190,1)="⚠"),"파견근거 확인",IF(NOT(AND(ISNUMBER(H190),ISNUMBER(I190))),"날짜 형식/누락",IF(I190&lt;H190,"종료일&lt;시작일","")))))))))</f>
        <v/>
      </c>
      <c r="AB190" s="11">
        <f>IF(ISNUMBER(SEARCH("다기관",TRIM(N190&amp;" "&amp;O190))),IFERROR(DATE(VALUE(MID(TRIM(N190&amp;" "&amp;O190),1,4)),VALUE(MID(TRIM(N190&amp;" "&amp;O190),6,2)),VALUE(MID(TRIM(N190&amp;" "&amp;O190),9,2))),IF(ISNUMBER(H190),H190,"")),"")</f>
        <v/>
      </c>
      <c r="AC190" s="11">
        <f>IF(ISNUMBER(SEARCH("다기관",TRIM(N190&amp;" "&amp;O190))),IFERROR(DATE(VALUE(MID(TRIM(N190&amp;" "&amp;O190),12,4)),VALUE(MID(TRIM(N190&amp;" "&amp;O190),17,2)),VALUE(MID(TRIM(N190&amp;" "&amp;O190),20,2))),IF(ISNUMBER(I190),I190,"")),"")</f>
        <v/>
      </c>
      <c r="AD190" s="17">
        <f>IF(AND(ISNUMBER(AB190),ISNUMBER(AC190)),MAX(0,MIN(AC190,EOMONTH(요약!$B$3,0))-MAX(AB190,요약!$B$3)+1),0)</f>
        <v/>
      </c>
      <c r="AE190" s="10">
        <f>IF(AND(Q190&lt;&gt;"",ISNUMBER(AB190)),Q190&amp;"|다기관","")</f>
        <v/>
      </c>
    </row>
    <row r="191">
      <c r="A191" s="15">
        <f>IF(F191="","",ROW()-3)</f>
        <v/>
      </c>
      <c r="B191" s="5" t="n"/>
      <c r="C191" s="15" t="n"/>
      <c r="D191" s="5" t="n"/>
      <c r="E191" s="15" t="n"/>
      <c r="F191" s="5" t="n"/>
      <c r="G191" s="6" t="n"/>
      <c r="H191" s="16" t="n"/>
      <c r="I191" s="16" t="n"/>
      <c r="J191" s="15">
        <f>IF(AND(ISNUMBER(H191),ISNUMBER(I191)),I191-H191+1,"")</f>
        <v/>
      </c>
      <c r="K191" s="5" t="n"/>
      <c r="L191" s="5" t="n"/>
      <c r="M191" s="5" t="n"/>
      <c r="N191" s="5" t="n"/>
      <c r="O191" s="5" t="n"/>
      <c r="Q191" s="10">
        <f>IF(TRIM(G191&amp;"")="","",TRIM(G191&amp;""))</f>
        <v/>
      </c>
      <c r="R191" s="10">
        <f>IF(TRIM(B191&amp;"")="","",IFERROR(INDEX(코드표!$K$2:$K$101,MATCH(TRIM(B191&amp;""),코드표!$J$2:$J$101,0)),"⚠"&amp;TRIM(B191&amp;"")))</f>
        <v/>
      </c>
      <c r="S191" s="10">
        <f>IF(TRIM(K191&amp;"")="","",IFERROR(INDEX(코드표!$K$2:$K$101,MATCH(TRIM(K191&amp;""),코드표!$J$2:$J$101,0)),"⚠"&amp;TRIM(K191&amp;"")))</f>
        <v/>
      </c>
      <c r="T191" s="10">
        <f>IF(TRIM(M191&amp;"")="","",IF(ISNUMBER(MATCH(TRIM(M191&amp;""),코드표!$C$2:$C$11,0)),TRIM(M191&amp;""),"⚠"&amp;TRIM(M191&amp;"")))</f>
        <v/>
      </c>
      <c r="U191" s="10">
        <f>IF(TRIM(L191&amp;"")="","",IFERROR(INDEX(코드표!$G$2:$G$101,MATCH(TRIM(L191&amp;""),코드표!$F$2:$F$101,0)),"⚠"&amp;TRIM(L191&amp;"")))</f>
        <v/>
      </c>
      <c r="V191" s="10">
        <f>IF(AND(ISNUMBER(H191),ISNUMBER(I191)),I191-H191+1,"")</f>
        <v/>
      </c>
      <c r="W191" s="17">
        <f>IF(ISNUMBER(H191),MAX(0,MIN(IF(ISNUMBER(I191),I191,EOMONTH(요약!$B$3,0)),EOMONTH(요약!$B$3,0))-MAX(H191,요약!$B$3)+1),0)</f>
        <v/>
      </c>
      <c r="X191" s="10">
        <f>IF(OR(NOT(ISNUMBER(H191)),Q191=""),"",IF(TODAY()&lt;H191,"파견예정",IF(AND(ISNUMBER(I191),TODAY()&gt;I191),"파견종료","파견중")))</f>
        <v/>
      </c>
      <c r="Y191" s="10">
        <f>IF(OR(Q191="",X191=""),"",Q191&amp;"|"&amp;X191)</f>
        <v/>
      </c>
      <c r="Z191" s="10">
        <f>IF(AND(Q191&lt;&gt;"",W191&gt;0),Q191&amp;"|월","")</f>
        <v/>
      </c>
      <c r="AA191" s="10">
        <f>IF(COUNTA(B191:N191)=0,"",IF(Q191="","등록번호 없음",IF(LEFT(R191,1)="⚠","모병원명 미등록",IF(S191="","파견병원 입력",IF(LEFT(S191,1)="⚠","파견병원명 미등록",IF(LEFT(U191,1)="⚠","파견과목 미등록",IF(OR(T191="",LEFT(T191,1)="⚠"),"파견근거 확인",IF(NOT(AND(ISNUMBER(H191),ISNUMBER(I191))),"날짜 형식/누락",IF(I191&lt;H191,"종료일&lt;시작일","")))))))))</f>
        <v/>
      </c>
      <c r="AB191" s="11">
        <f>IF(ISNUMBER(SEARCH("다기관",TRIM(N191&amp;" "&amp;O191))),IFERROR(DATE(VALUE(MID(TRIM(N191&amp;" "&amp;O191),1,4)),VALUE(MID(TRIM(N191&amp;" "&amp;O191),6,2)),VALUE(MID(TRIM(N191&amp;" "&amp;O191),9,2))),IF(ISNUMBER(H191),H191,"")),"")</f>
        <v/>
      </c>
      <c r="AC191" s="11">
        <f>IF(ISNUMBER(SEARCH("다기관",TRIM(N191&amp;" "&amp;O191))),IFERROR(DATE(VALUE(MID(TRIM(N191&amp;" "&amp;O191),12,4)),VALUE(MID(TRIM(N191&amp;" "&amp;O191),17,2)),VALUE(MID(TRIM(N191&amp;" "&amp;O191),20,2))),IF(ISNUMBER(I191),I191,"")),"")</f>
        <v/>
      </c>
      <c r="AD191" s="17">
        <f>IF(AND(ISNUMBER(AB191),ISNUMBER(AC191)),MAX(0,MIN(AC191,EOMONTH(요약!$B$3,0))-MAX(AB191,요약!$B$3)+1),0)</f>
        <v/>
      </c>
      <c r="AE191" s="10">
        <f>IF(AND(Q191&lt;&gt;"",ISNUMBER(AB191)),Q191&amp;"|다기관","")</f>
        <v/>
      </c>
    </row>
    <row r="192">
      <c r="A192" s="15">
        <f>IF(F192="","",ROW()-3)</f>
        <v/>
      </c>
      <c r="B192" s="5" t="n"/>
      <c r="C192" s="15" t="n"/>
      <c r="D192" s="5" t="n"/>
      <c r="E192" s="15" t="n"/>
      <c r="F192" s="5" t="n"/>
      <c r="G192" s="6" t="n"/>
      <c r="H192" s="16" t="n"/>
      <c r="I192" s="16" t="n"/>
      <c r="J192" s="15">
        <f>IF(AND(ISNUMBER(H192),ISNUMBER(I192)),I192-H192+1,"")</f>
        <v/>
      </c>
      <c r="K192" s="5" t="n"/>
      <c r="L192" s="5" t="n"/>
      <c r="M192" s="5" t="n"/>
      <c r="N192" s="5" t="n"/>
      <c r="O192" s="5" t="n"/>
      <c r="Q192" s="10">
        <f>IF(TRIM(G192&amp;"")="","",TRIM(G192&amp;""))</f>
        <v/>
      </c>
      <c r="R192" s="10">
        <f>IF(TRIM(B192&amp;"")="","",IFERROR(INDEX(코드표!$K$2:$K$101,MATCH(TRIM(B192&amp;""),코드표!$J$2:$J$101,0)),"⚠"&amp;TRIM(B192&amp;"")))</f>
        <v/>
      </c>
      <c r="S192" s="10">
        <f>IF(TRIM(K192&amp;"")="","",IFERROR(INDEX(코드표!$K$2:$K$101,MATCH(TRIM(K192&amp;""),코드표!$J$2:$J$101,0)),"⚠"&amp;TRIM(K192&amp;"")))</f>
        <v/>
      </c>
      <c r="T192" s="10">
        <f>IF(TRIM(M192&amp;"")="","",IF(ISNUMBER(MATCH(TRIM(M192&amp;""),코드표!$C$2:$C$11,0)),TRIM(M192&amp;""),"⚠"&amp;TRIM(M192&amp;"")))</f>
        <v/>
      </c>
      <c r="U192" s="10">
        <f>IF(TRIM(L192&amp;"")="","",IFERROR(INDEX(코드표!$G$2:$G$101,MATCH(TRIM(L192&amp;""),코드표!$F$2:$F$101,0)),"⚠"&amp;TRIM(L192&amp;"")))</f>
        <v/>
      </c>
      <c r="V192" s="10">
        <f>IF(AND(ISNUMBER(H192),ISNUMBER(I192)),I192-H192+1,"")</f>
        <v/>
      </c>
      <c r="W192" s="17">
        <f>IF(ISNUMBER(H192),MAX(0,MIN(IF(ISNUMBER(I192),I192,EOMONTH(요약!$B$3,0)),EOMONTH(요약!$B$3,0))-MAX(H192,요약!$B$3)+1),0)</f>
        <v/>
      </c>
      <c r="X192" s="10">
        <f>IF(OR(NOT(ISNUMBER(H192)),Q192=""),"",IF(TODAY()&lt;H192,"파견예정",IF(AND(ISNUMBER(I192),TODAY()&gt;I192),"파견종료","파견중")))</f>
        <v/>
      </c>
      <c r="Y192" s="10">
        <f>IF(OR(Q192="",X192=""),"",Q192&amp;"|"&amp;X192)</f>
        <v/>
      </c>
      <c r="Z192" s="10">
        <f>IF(AND(Q192&lt;&gt;"",W192&gt;0),Q192&amp;"|월","")</f>
        <v/>
      </c>
      <c r="AA192" s="10">
        <f>IF(COUNTA(B192:N192)=0,"",IF(Q192="","등록번호 없음",IF(LEFT(R192,1)="⚠","모병원명 미등록",IF(S192="","파견병원 입력",IF(LEFT(S192,1)="⚠","파견병원명 미등록",IF(LEFT(U192,1)="⚠","파견과목 미등록",IF(OR(T192="",LEFT(T192,1)="⚠"),"파견근거 확인",IF(NOT(AND(ISNUMBER(H192),ISNUMBER(I192))),"날짜 형식/누락",IF(I192&lt;H192,"종료일&lt;시작일","")))))))))</f>
        <v/>
      </c>
      <c r="AB192" s="11">
        <f>IF(ISNUMBER(SEARCH("다기관",TRIM(N192&amp;" "&amp;O192))),IFERROR(DATE(VALUE(MID(TRIM(N192&amp;" "&amp;O192),1,4)),VALUE(MID(TRIM(N192&amp;" "&amp;O192),6,2)),VALUE(MID(TRIM(N192&amp;" "&amp;O192),9,2))),IF(ISNUMBER(H192),H192,"")),"")</f>
        <v/>
      </c>
      <c r="AC192" s="11">
        <f>IF(ISNUMBER(SEARCH("다기관",TRIM(N192&amp;" "&amp;O192))),IFERROR(DATE(VALUE(MID(TRIM(N192&amp;" "&amp;O192),12,4)),VALUE(MID(TRIM(N192&amp;" "&amp;O192),17,2)),VALUE(MID(TRIM(N192&amp;" "&amp;O192),20,2))),IF(ISNUMBER(I192),I192,"")),"")</f>
        <v/>
      </c>
      <c r="AD192" s="17">
        <f>IF(AND(ISNUMBER(AB192),ISNUMBER(AC192)),MAX(0,MIN(AC192,EOMONTH(요약!$B$3,0))-MAX(AB192,요약!$B$3)+1),0)</f>
        <v/>
      </c>
      <c r="AE192" s="10">
        <f>IF(AND(Q192&lt;&gt;"",ISNUMBER(AB192)),Q192&amp;"|다기관","")</f>
        <v/>
      </c>
    </row>
    <row r="193">
      <c r="A193" s="15">
        <f>IF(F193="","",ROW()-3)</f>
        <v/>
      </c>
      <c r="B193" s="5" t="n"/>
      <c r="C193" s="15" t="n"/>
      <c r="D193" s="5" t="n"/>
      <c r="E193" s="15" t="n"/>
      <c r="F193" s="5" t="n"/>
      <c r="G193" s="6" t="n"/>
      <c r="H193" s="16" t="n"/>
      <c r="I193" s="16" t="n"/>
      <c r="J193" s="15">
        <f>IF(AND(ISNUMBER(H193),ISNUMBER(I193)),I193-H193+1,"")</f>
        <v/>
      </c>
      <c r="K193" s="5" t="n"/>
      <c r="L193" s="5" t="n"/>
      <c r="M193" s="5" t="n"/>
      <c r="N193" s="5" t="n"/>
      <c r="O193" s="5" t="n"/>
      <c r="Q193" s="10">
        <f>IF(TRIM(G193&amp;"")="","",TRIM(G193&amp;""))</f>
        <v/>
      </c>
      <c r="R193" s="10">
        <f>IF(TRIM(B193&amp;"")="","",IFERROR(INDEX(코드표!$K$2:$K$101,MATCH(TRIM(B193&amp;""),코드표!$J$2:$J$101,0)),"⚠"&amp;TRIM(B193&amp;"")))</f>
        <v/>
      </c>
      <c r="S193" s="10">
        <f>IF(TRIM(K193&amp;"")="","",IFERROR(INDEX(코드표!$K$2:$K$101,MATCH(TRIM(K193&amp;""),코드표!$J$2:$J$101,0)),"⚠"&amp;TRIM(K193&amp;"")))</f>
        <v/>
      </c>
      <c r="T193" s="10">
        <f>IF(TRIM(M193&amp;"")="","",IF(ISNUMBER(MATCH(TRIM(M193&amp;""),코드표!$C$2:$C$11,0)),TRIM(M193&amp;""),"⚠"&amp;TRIM(M193&amp;"")))</f>
        <v/>
      </c>
      <c r="U193" s="10">
        <f>IF(TRIM(L193&amp;"")="","",IFERROR(INDEX(코드표!$G$2:$G$101,MATCH(TRIM(L193&amp;""),코드표!$F$2:$F$101,0)),"⚠"&amp;TRIM(L193&amp;"")))</f>
        <v/>
      </c>
      <c r="V193" s="10">
        <f>IF(AND(ISNUMBER(H193),ISNUMBER(I193)),I193-H193+1,"")</f>
        <v/>
      </c>
      <c r="W193" s="17">
        <f>IF(ISNUMBER(H193),MAX(0,MIN(IF(ISNUMBER(I193),I193,EOMONTH(요약!$B$3,0)),EOMONTH(요약!$B$3,0))-MAX(H193,요약!$B$3)+1),0)</f>
        <v/>
      </c>
      <c r="X193" s="10">
        <f>IF(OR(NOT(ISNUMBER(H193)),Q193=""),"",IF(TODAY()&lt;H193,"파견예정",IF(AND(ISNUMBER(I193),TODAY()&gt;I193),"파견종료","파견중")))</f>
        <v/>
      </c>
      <c r="Y193" s="10">
        <f>IF(OR(Q193="",X193=""),"",Q193&amp;"|"&amp;X193)</f>
        <v/>
      </c>
      <c r="Z193" s="10">
        <f>IF(AND(Q193&lt;&gt;"",W193&gt;0),Q193&amp;"|월","")</f>
        <v/>
      </c>
      <c r="AA193" s="10">
        <f>IF(COUNTA(B193:N193)=0,"",IF(Q193="","등록번호 없음",IF(LEFT(R193,1)="⚠","모병원명 미등록",IF(S193="","파견병원 입력",IF(LEFT(S193,1)="⚠","파견병원명 미등록",IF(LEFT(U193,1)="⚠","파견과목 미등록",IF(OR(T193="",LEFT(T193,1)="⚠"),"파견근거 확인",IF(NOT(AND(ISNUMBER(H193),ISNUMBER(I193))),"날짜 형식/누락",IF(I193&lt;H193,"종료일&lt;시작일","")))))))))</f>
        <v/>
      </c>
      <c r="AB193" s="11">
        <f>IF(ISNUMBER(SEARCH("다기관",TRIM(N193&amp;" "&amp;O193))),IFERROR(DATE(VALUE(MID(TRIM(N193&amp;" "&amp;O193),1,4)),VALUE(MID(TRIM(N193&amp;" "&amp;O193),6,2)),VALUE(MID(TRIM(N193&amp;" "&amp;O193),9,2))),IF(ISNUMBER(H193),H193,"")),"")</f>
        <v/>
      </c>
      <c r="AC193" s="11">
        <f>IF(ISNUMBER(SEARCH("다기관",TRIM(N193&amp;" "&amp;O193))),IFERROR(DATE(VALUE(MID(TRIM(N193&amp;" "&amp;O193),12,4)),VALUE(MID(TRIM(N193&amp;" "&amp;O193),17,2)),VALUE(MID(TRIM(N193&amp;" "&amp;O193),20,2))),IF(ISNUMBER(I193),I193,"")),"")</f>
        <v/>
      </c>
      <c r="AD193" s="17">
        <f>IF(AND(ISNUMBER(AB193),ISNUMBER(AC193)),MAX(0,MIN(AC193,EOMONTH(요약!$B$3,0))-MAX(AB193,요약!$B$3)+1),0)</f>
        <v/>
      </c>
      <c r="AE193" s="10">
        <f>IF(AND(Q193&lt;&gt;"",ISNUMBER(AB193)),Q193&amp;"|다기관","")</f>
        <v/>
      </c>
    </row>
    <row r="194">
      <c r="A194" s="15">
        <f>IF(F194="","",ROW()-3)</f>
        <v/>
      </c>
      <c r="B194" s="5" t="n"/>
      <c r="C194" s="15" t="n"/>
      <c r="D194" s="5" t="n"/>
      <c r="E194" s="15" t="n"/>
      <c r="F194" s="5" t="n"/>
      <c r="G194" s="6" t="n"/>
      <c r="H194" s="16" t="n"/>
      <c r="I194" s="16" t="n"/>
      <c r="J194" s="15">
        <f>IF(AND(ISNUMBER(H194),ISNUMBER(I194)),I194-H194+1,"")</f>
        <v/>
      </c>
      <c r="K194" s="5" t="n"/>
      <c r="L194" s="5" t="n"/>
      <c r="M194" s="5" t="n"/>
      <c r="N194" s="5" t="n"/>
      <c r="O194" s="5" t="n"/>
      <c r="Q194" s="10">
        <f>IF(TRIM(G194&amp;"")="","",TRIM(G194&amp;""))</f>
        <v/>
      </c>
      <c r="R194" s="10">
        <f>IF(TRIM(B194&amp;"")="","",IFERROR(INDEX(코드표!$K$2:$K$101,MATCH(TRIM(B194&amp;""),코드표!$J$2:$J$101,0)),"⚠"&amp;TRIM(B194&amp;"")))</f>
        <v/>
      </c>
      <c r="S194" s="10">
        <f>IF(TRIM(K194&amp;"")="","",IFERROR(INDEX(코드표!$K$2:$K$101,MATCH(TRIM(K194&amp;""),코드표!$J$2:$J$101,0)),"⚠"&amp;TRIM(K194&amp;"")))</f>
        <v/>
      </c>
      <c r="T194" s="10">
        <f>IF(TRIM(M194&amp;"")="","",IF(ISNUMBER(MATCH(TRIM(M194&amp;""),코드표!$C$2:$C$11,0)),TRIM(M194&amp;""),"⚠"&amp;TRIM(M194&amp;"")))</f>
        <v/>
      </c>
      <c r="U194" s="10">
        <f>IF(TRIM(L194&amp;"")="","",IFERROR(INDEX(코드표!$G$2:$G$101,MATCH(TRIM(L194&amp;""),코드표!$F$2:$F$101,0)),"⚠"&amp;TRIM(L194&amp;"")))</f>
        <v/>
      </c>
      <c r="V194" s="10">
        <f>IF(AND(ISNUMBER(H194),ISNUMBER(I194)),I194-H194+1,"")</f>
        <v/>
      </c>
      <c r="W194" s="17">
        <f>IF(ISNUMBER(H194),MAX(0,MIN(IF(ISNUMBER(I194),I194,EOMONTH(요약!$B$3,0)),EOMONTH(요약!$B$3,0))-MAX(H194,요약!$B$3)+1),0)</f>
        <v/>
      </c>
      <c r="X194" s="10">
        <f>IF(OR(NOT(ISNUMBER(H194)),Q194=""),"",IF(TODAY()&lt;H194,"파견예정",IF(AND(ISNUMBER(I194),TODAY()&gt;I194),"파견종료","파견중")))</f>
        <v/>
      </c>
      <c r="Y194" s="10">
        <f>IF(OR(Q194="",X194=""),"",Q194&amp;"|"&amp;X194)</f>
        <v/>
      </c>
      <c r="Z194" s="10">
        <f>IF(AND(Q194&lt;&gt;"",W194&gt;0),Q194&amp;"|월","")</f>
        <v/>
      </c>
      <c r="AA194" s="10">
        <f>IF(COUNTA(B194:N194)=0,"",IF(Q194="","등록번호 없음",IF(LEFT(R194,1)="⚠","모병원명 미등록",IF(S194="","파견병원 입력",IF(LEFT(S194,1)="⚠","파견병원명 미등록",IF(LEFT(U194,1)="⚠","파견과목 미등록",IF(OR(T194="",LEFT(T194,1)="⚠"),"파견근거 확인",IF(NOT(AND(ISNUMBER(H194),ISNUMBER(I194))),"날짜 형식/누락",IF(I194&lt;H194,"종료일&lt;시작일","")))))))))</f>
        <v/>
      </c>
      <c r="AB194" s="11">
        <f>IF(ISNUMBER(SEARCH("다기관",TRIM(N194&amp;" "&amp;O194))),IFERROR(DATE(VALUE(MID(TRIM(N194&amp;" "&amp;O194),1,4)),VALUE(MID(TRIM(N194&amp;" "&amp;O194),6,2)),VALUE(MID(TRIM(N194&amp;" "&amp;O194),9,2))),IF(ISNUMBER(H194),H194,"")),"")</f>
        <v/>
      </c>
      <c r="AC194" s="11">
        <f>IF(ISNUMBER(SEARCH("다기관",TRIM(N194&amp;" "&amp;O194))),IFERROR(DATE(VALUE(MID(TRIM(N194&amp;" "&amp;O194),12,4)),VALUE(MID(TRIM(N194&amp;" "&amp;O194),17,2)),VALUE(MID(TRIM(N194&amp;" "&amp;O194),20,2))),IF(ISNUMBER(I194),I194,"")),"")</f>
        <v/>
      </c>
      <c r="AD194" s="17">
        <f>IF(AND(ISNUMBER(AB194),ISNUMBER(AC194)),MAX(0,MIN(AC194,EOMONTH(요약!$B$3,0))-MAX(AB194,요약!$B$3)+1),0)</f>
        <v/>
      </c>
      <c r="AE194" s="10">
        <f>IF(AND(Q194&lt;&gt;"",ISNUMBER(AB194)),Q194&amp;"|다기관","")</f>
        <v/>
      </c>
    </row>
    <row r="195">
      <c r="A195" s="15">
        <f>IF(F195="","",ROW()-3)</f>
        <v/>
      </c>
      <c r="B195" s="5" t="n"/>
      <c r="C195" s="15" t="n"/>
      <c r="D195" s="5" t="n"/>
      <c r="E195" s="15" t="n"/>
      <c r="F195" s="5" t="n"/>
      <c r="G195" s="6" t="n"/>
      <c r="H195" s="16" t="n"/>
      <c r="I195" s="16" t="n"/>
      <c r="J195" s="15">
        <f>IF(AND(ISNUMBER(H195),ISNUMBER(I195)),I195-H195+1,"")</f>
        <v/>
      </c>
      <c r="K195" s="5" t="n"/>
      <c r="L195" s="5" t="n"/>
      <c r="M195" s="5" t="n"/>
      <c r="N195" s="5" t="n"/>
      <c r="O195" s="5" t="n"/>
      <c r="Q195" s="10">
        <f>IF(TRIM(G195&amp;"")="","",TRIM(G195&amp;""))</f>
        <v/>
      </c>
      <c r="R195" s="10">
        <f>IF(TRIM(B195&amp;"")="","",IFERROR(INDEX(코드표!$K$2:$K$101,MATCH(TRIM(B195&amp;""),코드표!$J$2:$J$101,0)),"⚠"&amp;TRIM(B195&amp;"")))</f>
        <v/>
      </c>
      <c r="S195" s="10">
        <f>IF(TRIM(K195&amp;"")="","",IFERROR(INDEX(코드표!$K$2:$K$101,MATCH(TRIM(K195&amp;""),코드표!$J$2:$J$101,0)),"⚠"&amp;TRIM(K195&amp;"")))</f>
        <v/>
      </c>
      <c r="T195" s="10">
        <f>IF(TRIM(M195&amp;"")="","",IF(ISNUMBER(MATCH(TRIM(M195&amp;""),코드표!$C$2:$C$11,0)),TRIM(M195&amp;""),"⚠"&amp;TRIM(M195&amp;"")))</f>
        <v/>
      </c>
      <c r="U195" s="10">
        <f>IF(TRIM(L195&amp;"")="","",IFERROR(INDEX(코드표!$G$2:$G$101,MATCH(TRIM(L195&amp;""),코드표!$F$2:$F$101,0)),"⚠"&amp;TRIM(L195&amp;"")))</f>
        <v/>
      </c>
      <c r="V195" s="10">
        <f>IF(AND(ISNUMBER(H195),ISNUMBER(I195)),I195-H195+1,"")</f>
        <v/>
      </c>
      <c r="W195" s="17">
        <f>IF(ISNUMBER(H195),MAX(0,MIN(IF(ISNUMBER(I195),I195,EOMONTH(요약!$B$3,0)),EOMONTH(요약!$B$3,0))-MAX(H195,요약!$B$3)+1),0)</f>
        <v/>
      </c>
      <c r="X195" s="10">
        <f>IF(OR(NOT(ISNUMBER(H195)),Q195=""),"",IF(TODAY()&lt;H195,"파견예정",IF(AND(ISNUMBER(I195),TODAY()&gt;I195),"파견종료","파견중")))</f>
        <v/>
      </c>
      <c r="Y195" s="10">
        <f>IF(OR(Q195="",X195=""),"",Q195&amp;"|"&amp;X195)</f>
        <v/>
      </c>
      <c r="Z195" s="10">
        <f>IF(AND(Q195&lt;&gt;"",W195&gt;0),Q195&amp;"|월","")</f>
        <v/>
      </c>
      <c r="AA195" s="10">
        <f>IF(COUNTA(B195:N195)=0,"",IF(Q195="","등록번호 없음",IF(LEFT(R195,1)="⚠","모병원명 미등록",IF(S195="","파견병원 입력",IF(LEFT(S195,1)="⚠","파견병원명 미등록",IF(LEFT(U195,1)="⚠","파견과목 미등록",IF(OR(T195="",LEFT(T195,1)="⚠"),"파견근거 확인",IF(NOT(AND(ISNUMBER(H195),ISNUMBER(I195))),"날짜 형식/누락",IF(I195&lt;H195,"종료일&lt;시작일","")))))))))</f>
        <v/>
      </c>
      <c r="AB195" s="11">
        <f>IF(ISNUMBER(SEARCH("다기관",TRIM(N195&amp;" "&amp;O195))),IFERROR(DATE(VALUE(MID(TRIM(N195&amp;" "&amp;O195),1,4)),VALUE(MID(TRIM(N195&amp;" "&amp;O195),6,2)),VALUE(MID(TRIM(N195&amp;" "&amp;O195),9,2))),IF(ISNUMBER(H195),H195,"")),"")</f>
        <v/>
      </c>
      <c r="AC195" s="11">
        <f>IF(ISNUMBER(SEARCH("다기관",TRIM(N195&amp;" "&amp;O195))),IFERROR(DATE(VALUE(MID(TRIM(N195&amp;" "&amp;O195),12,4)),VALUE(MID(TRIM(N195&amp;" "&amp;O195),17,2)),VALUE(MID(TRIM(N195&amp;" "&amp;O195),20,2))),IF(ISNUMBER(I195),I195,"")),"")</f>
        <v/>
      </c>
      <c r="AD195" s="17">
        <f>IF(AND(ISNUMBER(AB195),ISNUMBER(AC195)),MAX(0,MIN(AC195,EOMONTH(요약!$B$3,0))-MAX(AB195,요약!$B$3)+1),0)</f>
        <v/>
      </c>
      <c r="AE195" s="10">
        <f>IF(AND(Q195&lt;&gt;"",ISNUMBER(AB195)),Q195&amp;"|다기관","")</f>
        <v/>
      </c>
    </row>
    <row r="196">
      <c r="A196" s="15">
        <f>IF(F196="","",ROW()-3)</f>
        <v/>
      </c>
      <c r="B196" s="5" t="n"/>
      <c r="C196" s="15" t="n"/>
      <c r="D196" s="5" t="n"/>
      <c r="E196" s="15" t="n"/>
      <c r="F196" s="5" t="n"/>
      <c r="G196" s="6" t="n"/>
      <c r="H196" s="16" t="n"/>
      <c r="I196" s="16" t="n"/>
      <c r="J196" s="15">
        <f>IF(AND(ISNUMBER(H196),ISNUMBER(I196)),I196-H196+1,"")</f>
        <v/>
      </c>
      <c r="K196" s="5" t="n"/>
      <c r="L196" s="5" t="n"/>
      <c r="M196" s="5" t="n"/>
      <c r="N196" s="5" t="n"/>
      <c r="O196" s="5" t="n"/>
      <c r="Q196" s="10">
        <f>IF(TRIM(G196&amp;"")="","",TRIM(G196&amp;""))</f>
        <v/>
      </c>
      <c r="R196" s="10">
        <f>IF(TRIM(B196&amp;"")="","",IFERROR(INDEX(코드표!$K$2:$K$101,MATCH(TRIM(B196&amp;""),코드표!$J$2:$J$101,0)),"⚠"&amp;TRIM(B196&amp;"")))</f>
        <v/>
      </c>
      <c r="S196" s="10">
        <f>IF(TRIM(K196&amp;"")="","",IFERROR(INDEX(코드표!$K$2:$K$101,MATCH(TRIM(K196&amp;""),코드표!$J$2:$J$101,0)),"⚠"&amp;TRIM(K196&amp;"")))</f>
        <v/>
      </c>
      <c r="T196" s="10">
        <f>IF(TRIM(M196&amp;"")="","",IF(ISNUMBER(MATCH(TRIM(M196&amp;""),코드표!$C$2:$C$11,0)),TRIM(M196&amp;""),"⚠"&amp;TRIM(M196&amp;"")))</f>
        <v/>
      </c>
      <c r="U196" s="10">
        <f>IF(TRIM(L196&amp;"")="","",IFERROR(INDEX(코드표!$G$2:$G$101,MATCH(TRIM(L196&amp;""),코드표!$F$2:$F$101,0)),"⚠"&amp;TRIM(L196&amp;"")))</f>
        <v/>
      </c>
      <c r="V196" s="10">
        <f>IF(AND(ISNUMBER(H196),ISNUMBER(I196)),I196-H196+1,"")</f>
        <v/>
      </c>
      <c r="W196" s="17">
        <f>IF(ISNUMBER(H196),MAX(0,MIN(IF(ISNUMBER(I196),I196,EOMONTH(요약!$B$3,0)),EOMONTH(요약!$B$3,0))-MAX(H196,요약!$B$3)+1),0)</f>
        <v/>
      </c>
      <c r="X196" s="10">
        <f>IF(OR(NOT(ISNUMBER(H196)),Q196=""),"",IF(TODAY()&lt;H196,"파견예정",IF(AND(ISNUMBER(I196),TODAY()&gt;I196),"파견종료","파견중")))</f>
        <v/>
      </c>
      <c r="Y196" s="10">
        <f>IF(OR(Q196="",X196=""),"",Q196&amp;"|"&amp;X196)</f>
        <v/>
      </c>
      <c r="Z196" s="10">
        <f>IF(AND(Q196&lt;&gt;"",W196&gt;0),Q196&amp;"|월","")</f>
        <v/>
      </c>
      <c r="AA196" s="10">
        <f>IF(COUNTA(B196:N196)=0,"",IF(Q196="","등록번호 없음",IF(LEFT(R196,1)="⚠","모병원명 미등록",IF(S196="","파견병원 입력",IF(LEFT(S196,1)="⚠","파견병원명 미등록",IF(LEFT(U196,1)="⚠","파견과목 미등록",IF(OR(T196="",LEFT(T196,1)="⚠"),"파견근거 확인",IF(NOT(AND(ISNUMBER(H196),ISNUMBER(I196))),"날짜 형식/누락",IF(I196&lt;H196,"종료일&lt;시작일","")))))))))</f>
        <v/>
      </c>
      <c r="AB196" s="11">
        <f>IF(ISNUMBER(SEARCH("다기관",TRIM(N196&amp;" "&amp;O196))),IFERROR(DATE(VALUE(MID(TRIM(N196&amp;" "&amp;O196),1,4)),VALUE(MID(TRIM(N196&amp;" "&amp;O196),6,2)),VALUE(MID(TRIM(N196&amp;" "&amp;O196),9,2))),IF(ISNUMBER(H196),H196,"")),"")</f>
        <v/>
      </c>
      <c r="AC196" s="11">
        <f>IF(ISNUMBER(SEARCH("다기관",TRIM(N196&amp;" "&amp;O196))),IFERROR(DATE(VALUE(MID(TRIM(N196&amp;" "&amp;O196),12,4)),VALUE(MID(TRIM(N196&amp;" "&amp;O196),17,2)),VALUE(MID(TRIM(N196&amp;" "&amp;O196),20,2))),IF(ISNUMBER(I196),I196,"")),"")</f>
        <v/>
      </c>
      <c r="AD196" s="17">
        <f>IF(AND(ISNUMBER(AB196),ISNUMBER(AC196)),MAX(0,MIN(AC196,EOMONTH(요약!$B$3,0))-MAX(AB196,요약!$B$3)+1),0)</f>
        <v/>
      </c>
      <c r="AE196" s="10">
        <f>IF(AND(Q196&lt;&gt;"",ISNUMBER(AB196)),Q196&amp;"|다기관","")</f>
        <v/>
      </c>
    </row>
    <row r="197">
      <c r="A197" s="15">
        <f>IF(F197="","",ROW()-3)</f>
        <v/>
      </c>
      <c r="B197" s="5" t="n"/>
      <c r="C197" s="15" t="n"/>
      <c r="D197" s="5" t="n"/>
      <c r="E197" s="15" t="n"/>
      <c r="F197" s="5" t="n"/>
      <c r="G197" s="6" t="n"/>
      <c r="H197" s="16" t="n"/>
      <c r="I197" s="16" t="n"/>
      <c r="J197" s="15">
        <f>IF(AND(ISNUMBER(H197),ISNUMBER(I197)),I197-H197+1,"")</f>
        <v/>
      </c>
      <c r="K197" s="5" t="n"/>
      <c r="L197" s="5" t="n"/>
      <c r="M197" s="5" t="n"/>
      <c r="N197" s="5" t="n"/>
      <c r="O197" s="5" t="n"/>
      <c r="Q197" s="10">
        <f>IF(TRIM(G197&amp;"")="","",TRIM(G197&amp;""))</f>
        <v/>
      </c>
      <c r="R197" s="10">
        <f>IF(TRIM(B197&amp;"")="","",IFERROR(INDEX(코드표!$K$2:$K$101,MATCH(TRIM(B197&amp;""),코드표!$J$2:$J$101,0)),"⚠"&amp;TRIM(B197&amp;"")))</f>
        <v/>
      </c>
      <c r="S197" s="10">
        <f>IF(TRIM(K197&amp;"")="","",IFERROR(INDEX(코드표!$K$2:$K$101,MATCH(TRIM(K197&amp;""),코드표!$J$2:$J$101,0)),"⚠"&amp;TRIM(K197&amp;"")))</f>
        <v/>
      </c>
      <c r="T197" s="10">
        <f>IF(TRIM(M197&amp;"")="","",IF(ISNUMBER(MATCH(TRIM(M197&amp;""),코드표!$C$2:$C$11,0)),TRIM(M197&amp;""),"⚠"&amp;TRIM(M197&amp;"")))</f>
        <v/>
      </c>
      <c r="U197" s="10">
        <f>IF(TRIM(L197&amp;"")="","",IFERROR(INDEX(코드표!$G$2:$G$101,MATCH(TRIM(L197&amp;""),코드표!$F$2:$F$101,0)),"⚠"&amp;TRIM(L197&amp;"")))</f>
        <v/>
      </c>
      <c r="V197" s="10">
        <f>IF(AND(ISNUMBER(H197),ISNUMBER(I197)),I197-H197+1,"")</f>
        <v/>
      </c>
      <c r="W197" s="17">
        <f>IF(ISNUMBER(H197),MAX(0,MIN(IF(ISNUMBER(I197),I197,EOMONTH(요약!$B$3,0)),EOMONTH(요약!$B$3,0))-MAX(H197,요약!$B$3)+1),0)</f>
        <v/>
      </c>
      <c r="X197" s="10">
        <f>IF(OR(NOT(ISNUMBER(H197)),Q197=""),"",IF(TODAY()&lt;H197,"파견예정",IF(AND(ISNUMBER(I197),TODAY()&gt;I197),"파견종료","파견중")))</f>
        <v/>
      </c>
      <c r="Y197" s="10">
        <f>IF(OR(Q197="",X197=""),"",Q197&amp;"|"&amp;X197)</f>
        <v/>
      </c>
      <c r="Z197" s="10">
        <f>IF(AND(Q197&lt;&gt;"",W197&gt;0),Q197&amp;"|월","")</f>
        <v/>
      </c>
      <c r="AA197" s="10">
        <f>IF(COUNTA(B197:N197)=0,"",IF(Q197="","등록번호 없음",IF(LEFT(R197,1)="⚠","모병원명 미등록",IF(S197="","파견병원 입력",IF(LEFT(S197,1)="⚠","파견병원명 미등록",IF(LEFT(U197,1)="⚠","파견과목 미등록",IF(OR(T197="",LEFT(T197,1)="⚠"),"파견근거 확인",IF(NOT(AND(ISNUMBER(H197),ISNUMBER(I197))),"날짜 형식/누락",IF(I197&lt;H197,"종료일&lt;시작일","")))))))))</f>
        <v/>
      </c>
      <c r="AB197" s="11">
        <f>IF(ISNUMBER(SEARCH("다기관",TRIM(N197&amp;" "&amp;O197))),IFERROR(DATE(VALUE(MID(TRIM(N197&amp;" "&amp;O197),1,4)),VALUE(MID(TRIM(N197&amp;" "&amp;O197),6,2)),VALUE(MID(TRIM(N197&amp;" "&amp;O197),9,2))),IF(ISNUMBER(H197),H197,"")),"")</f>
        <v/>
      </c>
      <c r="AC197" s="11">
        <f>IF(ISNUMBER(SEARCH("다기관",TRIM(N197&amp;" "&amp;O197))),IFERROR(DATE(VALUE(MID(TRIM(N197&amp;" "&amp;O197),12,4)),VALUE(MID(TRIM(N197&amp;" "&amp;O197),17,2)),VALUE(MID(TRIM(N197&amp;" "&amp;O197),20,2))),IF(ISNUMBER(I197),I197,"")),"")</f>
        <v/>
      </c>
      <c r="AD197" s="17">
        <f>IF(AND(ISNUMBER(AB197),ISNUMBER(AC197)),MAX(0,MIN(AC197,EOMONTH(요약!$B$3,0))-MAX(AB197,요약!$B$3)+1),0)</f>
        <v/>
      </c>
      <c r="AE197" s="10">
        <f>IF(AND(Q197&lt;&gt;"",ISNUMBER(AB197)),Q197&amp;"|다기관","")</f>
        <v/>
      </c>
    </row>
    <row r="198">
      <c r="A198" s="15">
        <f>IF(F198="","",ROW()-3)</f>
        <v/>
      </c>
      <c r="B198" s="5" t="n"/>
      <c r="C198" s="15" t="n"/>
      <c r="D198" s="5" t="n"/>
      <c r="E198" s="15" t="n"/>
      <c r="F198" s="5" t="n"/>
      <c r="G198" s="6" t="n"/>
      <c r="H198" s="16" t="n"/>
      <c r="I198" s="16" t="n"/>
      <c r="J198" s="15">
        <f>IF(AND(ISNUMBER(H198),ISNUMBER(I198)),I198-H198+1,"")</f>
        <v/>
      </c>
      <c r="K198" s="5" t="n"/>
      <c r="L198" s="5" t="n"/>
      <c r="M198" s="5" t="n"/>
      <c r="N198" s="5" t="n"/>
      <c r="O198" s="5" t="n"/>
      <c r="Q198" s="10">
        <f>IF(TRIM(G198&amp;"")="","",TRIM(G198&amp;""))</f>
        <v/>
      </c>
      <c r="R198" s="10">
        <f>IF(TRIM(B198&amp;"")="","",IFERROR(INDEX(코드표!$K$2:$K$101,MATCH(TRIM(B198&amp;""),코드표!$J$2:$J$101,0)),"⚠"&amp;TRIM(B198&amp;"")))</f>
        <v/>
      </c>
      <c r="S198" s="10">
        <f>IF(TRIM(K198&amp;"")="","",IFERROR(INDEX(코드표!$K$2:$K$101,MATCH(TRIM(K198&amp;""),코드표!$J$2:$J$101,0)),"⚠"&amp;TRIM(K198&amp;"")))</f>
        <v/>
      </c>
      <c r="T198" s="10">
        <f>IF(TRIM(M198&amp;"")="","",IF(ISNUMBER(MATCH(TRIM(M198&amp;""),코드표!$C$2:$C$11,0)),TRIM(M198&amp;""),"⚠"&amp;TRIM(M198&amp;"")))</f>
        <v/>
      </c>
      <c r="U198" s="10">
        <f>IF(TRIM(L198&amp;"")="","",IFERROR(INDEX(코드표!$G$2:$G$101,MATCH(TRIM(L198&amp;""),코드표!$F$2:$F$101,0)),"⚠"&amp;TRIM(L198&amp;"")))</f>
        <v/>
      </c>
      <c r="V198" s="10">
        <f>IF(AND(ISNUMBER(H198),ISNUMBER(I198)),I198-H198+1,"")</f>
        <v/>
      </c>
      <c r="W198" s="17">
        <f>IF(ISNUMBER(H198),MAX(0,MIN(IF(ISNUMBER(I198),I198,EOMONTH(요약!$B$3,0)),EOMONTH(요약!$B$3,0))-MAX(H198,요약!$B$3)+1),0)</f>
        <v/>
      </c>
      <c r="X198" s="10">
        <f>IF(OR(NOT(ISNUMBER(H198)),Q198=""),"",IF(TODAY()&lt;H198,"파견예정",IF(AND(ISNUMBER(I198),TODAY()&gt;I198),"파견종료","파견중")))</f>
        <v/>
      </c>
      <c r="Y198" s="10">
        <f>IF(OR(Q198="",X198=""),"",Q198&amp;"|"&amp;X198)</f>
        <v/>
      </c>
      <c r="Z198" s="10">
        <f>IF(AND(Q198&lt;&gt;"",W198&gt;0),Q198&amp;"|월","")</f>
        <v/>
      </c>
      <c r="AA198" s="10">
        <f>IF(COUNTA(B198:N198)=0,"",IF(Q198="","등록번호 없음",IF(LEFT(R198,1)="⚠","모병원명 미등록",IF(S198="","파견병원 입력",IF(LEFT(S198,1)="⚠","파견병원명 미등록",IF(LEFT(U198,1)="⚠","파견과목 미등록",IF(OR(T198="",LEFT(T198,1)="⚠"),"파견근거 확인",IF(NOT(AND(ISNUMBER(H198),ISNUMBER(I198))),"날짜 형식/누락",IF(I198&lt;H198,"종료일&lt;시작일","")))))))))</f>
        <v/>
      </c>
      <c r="AB198" s="11">
        <f>IF(ISNUMBER(SEARCH("다기관",TRIM(N198&amp;" "&amp;O198))),IFERROR(DATE(VALUE(MID(TRIM(N198&amp;" "&amp;O198),1,4)),VALUE(MID(TRIM(N198&amp;" "&amp;O198),6,2)),VALUE(MID(TRIM(N198&amp;" "&amp;O198),9,2))),IF(ISNUMBER(H198),H198,"")),"")</f>
        <v/>
      </c>
      <c r="AC198" s="11">
        <f>IF(ISNUMBER(SEARCH("다기관",TRIM(N198&amp;" "&amp;O198))),IFERROR(DATE(VALUE(MID(TRIM(N198&amp;" "&amp;O198),12,4)),VALUE(MID(TRIM(N198&amp;" "&amp;O198),17,2)),VALUE(MID(TRIM(N198&amp;" "&amp;O198),20,2))),IF(ISNUMBER(I198),I198,"")),"")</f>
        <v/>
      </c>
      <c r="AD198" s="17">
        <f>IF(AND(ISNUMBER(AB198),ISNUMBER(AC198)),MAX(0,MIN(AC198,EOMONTH(요약!$B$3,0))-MAX(AB198,요약!$B$3)+1),0)</f>
        <v/>
      </c>
      <c r="AE198" s="10">
        <f>IF(AND(Q198&lt;&gt;"",ISNUMBER(AB198)),Q198&amp;"|다기관","")</f>
        <v/>
      </c>
    </row>
    <row r="199">
      <c r="A199" s="15">
        <f>IF(F199="","",ROW()-3)</f>
        <v/>
      </c>
      <c r="B199" s="5" t="n"/>
      <c r="C199" s="15" t="n"/>
      <c r="D199" s="5" t="n"/>
      <c r="E199" s="15" t="n"/>
      <c r="F199" s="5" t="n"/>
      <c r="G199" s="6" t="n"/>
      <c r="H199" s="16" t="n"/>
      <c r="I199" s="16" t="n"/>
      <c r="J199" s="15">
        <f>IF(AND(ISNUMBER(H199),ISNUMBER(I199)),I199-H199+1,"")</f>
        <v/>
      </c>
      <c r="K199" s="5" t="n"/>
      <c r="L199" s="5" t="n"/>
      <c r="M199" s="5" t="n"/>
      <c r="N199" s="5" t="n"/>
      <c r="O199" s="5" t="n"/>
      <c r="Q199" s="10">
        <f>IF(TRIM(G199&amp;"")="","",TRIM(G199&amp;""))</f>
        <v/>
      </c>
      <c r="R199" s="10">
        <f>IF(TRIM(B199&amp;"")="","",IFERROR(INDEX(코드표!$K$2:$K$101,MATCH(TRIM(B199&amp;""),코드표!$J$2:$J$101,0)),"⚠"&amp;TRIM(B199&amp;"")))</f>
        <v/>
      </c>
      <c r="S199" s="10">
        <f>IF(TRIM(K199&amp;"")="","",IFERROR(INDEX(코드표!$K$2:$K$101,MATCH(TRIM(K199&amp;""),코드표!$J$2:$J$101,0)),"⚠"&amp;TRIM(K199&amp;"")))</f>
        <v/>
      </c>
      <c r="T199" s="10">
        <f>IF(TRIM(M199&amp;"")="","",IF(ISNUMBER(MATCH(TRIM(M199&amp;""),코드표!$C$2:$C$11,0)),TRIM(M199&amp;""),"⚠"&amp;TRIM(M199&amp;"")))</f>
        <v/>
      </c>
      <c r="U199" s="10">
        <f>IF(TRIM(L199&amp;"")="","",IFERROR(INDEX(코드표!$G$2:$G$101,MATCH(TRIM(L199&amp;""),코드표!$F$2:$F$101,0)),"⚠"&amp;TRIM(L199&amp;"")))</f>
        <v/>
      </c>
      <c r="V199" s="10">
        <f>IF(AND(ISNUMBER(H199),ISNUMBER(I199)),I199-H199+1,"")</f>
        <v/>
      </c>
      <c r="W199" s="17">
        <f>IF(ISNUMBER(H199),MAX(0,MIN(IF(ISNUMBER(I199),I199,EOMONTH(요약!$B$3,0)),EOMONTH(요약!$B$3,0))-MAX(H199,요약!$B$3)+1),0)</f>
        <v/>
      </c>
      <c r="X199" s="10">
        <f>IF(OR(NOT(ISNUMBER(H199)),Q199=""),"",IF(TODAY()&lt;H199,"파견예정",IF(AND(ISNUMBER(I199),TODAY()&gt;I199),"파견종료","파견중")))</f>
        <v/>
      </c>
      <c r="Y199" s="10">
        <f>IF(OR(Q199="",X199=""),"",Q199&amp;"|"&amp;X199)</f>
        <v/>
      </c>
      <c r="Z199" s="10">
        <f>IF(AND(Q199&lt;&gt;"",W199&gt;0),Q199&amp;"|월","")</f>
        <v/>
      </c>
      <c r="AA199" s="10">
        <f>IF(COUNTA(B199:N199)=0,"",IF(Q199="","등록번호 없음",IF(LEFT(R199,1)="⚠","모병원명 미등록",IF(S199="","파견병원 입력",IF(LEFT(S199,1)="⚠","파견병원명 미등록",IF(LEFT(U199,1)="⚠","파견과목 미등록",IF(OR(T199="",LEFT(T199,1)="⚠"),"파견근거 확인",IF(NOT(AND(ISNUMBER(H199),ISNUMBER(I199))),"날짜 형식/누락",IF(I199&lt;H199,"종료일&lt;시작일","")))))))))</f>
        <v/>
      </c>
      <c r="AB199" s="11">
        <f>IF(ISNUMBER(SEARCH("다기관",TRIM(N199&amp;" "&amp;O199))),IFERROR(DATE(VALUE(MID(TRIM(N199&amp;" "&amp;O199),1,4)),VALUE(MID(TRIM(N199&amp;" "&amp;O199),6,2)),VALUE(MID(TRIM(N199&amp;" "&amp;O199),9,2))),IF(ISNUMBER(H199),H199,"")),"")</f>
        <v/>
      </c>
      <c r="AC199" s="11">
        <f>IF(ISNUMBER(SEARCH("다기관",TRIM(N199&amp;" "&amp;O199))),IFERROR(DATE(VALUE(MID(TRIM(N199&amp;" "&amp;O199),12,4)),VALUE(MID(TRIM(N199&amp;" "&amp;O199),17,2)),VALUE(MID(TRIM(N199&amp;" "&amp;O199),20,2))),IF(ISNUMBER(I199),I199,"")),"")</f>
        <v/>
      </c>
      <c r="AD199" s="17">
        <f>IF(AND(ISNUMBER(AB199),ISNUMBER(AC199)),MAX(0,MIN(AC199,EOMONTH(요약!$B$3,0))-MAX(AB199,요약!$B$3)+1),0)</f>
        <v/>
      </c>
      <c r="AE199" s="10">
        <f>IF(AND(Q199&lt;&gt;"",ISNUMBER(AB199)),Q199&amp;"|다기관","")</f>
        <v/>
      </c>
    </row>
    <row r="200">
      <c r="A200" s="15">
        <f>IF(F200="","",ROW()-3)</f>
        <v/>
      </c>
      <c r="B200" s="5" t="n"/>
      <c r="C200" s="15" t="n"/>
      <c r="D200" s="5" t="n"/>
      <c r="E200" s="15" t="n"/>
      <c r="F200" s="5" t="n"/>
      <c r="G200" s="6" t="n"/>
      <c r="H200" s="16" t="n"/>
      <c r="I200" s="16" t="n"/>
      <c r="J200" s="15">
        <f>IF(AND(ISNUMBER(H200),ISNUMBER(I200)),I200-H200+1,"")</f>
        <v/>
      </c>
      <c r="K200" s="5" t="n"/>
      <c r="L200" s="5" t="n"/>
      <c r="M200" s="5" t="n"/>
      <c r="N200" s="5" t="n"/>
      <c r="O200" s="5" t="n"/>
      <c r="Q200" s="10">
        <f>IF(TRIM(G200&amp;"")="","",TRIM(G200&amp;""))</f>
        <v/>
      </c>
      <c r="R200" s="10">
        <f>IF(TRIM(B200&amp;"")="","",IFERROR(INDEX(코드표!$K$2:$K$101,MATCH(TRIM(B200&amp;""),코드표!$J$2:$J$101,0)),"⚠"&amp;TRIM(B200&amp;"")))</f>
        <v/>
      </c>
      <c r="S200" s="10">
        <f>IF(TRIM(K200&amp;"")="","",IFERROR(INDEX(코드표!$K$2:$K$101,MATCH(TRIM(K200&amp;""),코드표!$J$2:$J$101,0)),"⚠"&amp;TRIM(K200&amp;"")))</f>
        <v/>
      </c>
      <c r="T200" s="10">
        <f>IF(TRIM(M200&amp;"")="","",IF(ISNUMBER(MATCH(TRIM(M200&amp;""),코드표!$C$2:$C$11,0)),TRIM(M200&amp;""),"⚠"&amp;TRIM(M200&amp;"")))</f>
        <v/>
      </c>
      <c r="U200" s="10">
        <f>IF(TRIM(L200&amp;"")="","",IFERROR(INDEX(코드표!$G$2:$G$101,MATCH(TRIM(L200&amp;""),코드표!$F$2:$F$101,0)),"⚠"&amp;TRIM(L200&amp;"")))</f>
        <v/>
      </c>
      <c r="V200" s="10">
        <f>IF(AND(ISNUMBER(H200),ISNUMBER(I200)),I200-H200+1,"")</f>
        <v/>
      </c>
      <c r="W200" s="17">
        <f>IF(ISNUMBER(H200),MAX(0,MIN(IF(ISNUMBER(I200),I200,EOMONTH(요약!$B$3,0)),EOMONTH(요약!$B$3,0))-MAX(H200,요약!$B$3)+1),0)</f>
        <v/>
      </c>
      <c r="X200" s="10">
        <f>IF(OR(NOT(ISNUMBER(H200)),Q200=""),"",IF(TODAY()&lt;H200,"파견예정",IF(AND(ISNUMBER(I200),TODAY()&gt;I200),"파견종료","파견중")))</f>
        <v/>
      </c>
      <c r="Y200" s="10">
        <f>IF(OR(Q200="",X200=""),"",Q200&amp;"|"&amp;X200)</f>
        <v/>
      </c>
      <c r="Z200" s="10">
        <f>IF(AND(Q200&lt;&gt;"",W200&gt;0),Q200&amp;"|월","")</f>
        <v/>
      </c>
      <c r="AA200" s="10">
        <f>IF(COUNTA(B200:N200)=0,"",IF(Q200="","등록번호 없음",IF(LEFT(R200,1)="⚠","모병원명 미등록",IF(S200="","파견병원 입력",IF(LEFT(S200,1)="⚠","파견병원명 미등록",IF(LEFT(U200,1)="⚠","파견과목 미등록",IF(OR(T200="",LEFT(T200,1)="⚠"),"파견근거 확인",IF(NOT(AND(ISNUMBER(H200),ISNUMBER(I200))),"날짜 형식/누락",IF(I200&lt;H200,"종료일&lt;시작일","")))))))))</f>
        <v/>
      </c>
      <c r="AB200" s="11">
        <f>IF(ISNUMBER(SEARCH("다기관",TRIM(N200&amp;" "&amp;O200))),IFERROR(DATE(VALUE(MID(TRIM(N200&amp;" "&amp;O200),1,4)),VALUE(MID(TRIM(N200&amp;" "&amp;O200),6,2)),VALUE(MID(TRIM(N200&amp;" "&amp;O200),9,2))),IF(ISNUMBER(H200),H200,"")),"")</f>
        <v/>
      </c>
      <c r="AC200" s="11">
        <f>IF(ISNUMBER(SEARCH("다기관",TRIM(N200&amp;" "&amp;O200))),IFERROR(DATE(VALUE(MID(TRIM(N200&amp;" "&amp;O200),12,4)),VALUE(MID(TRIM(N200&amp;" "&amp;O200),17,2)),VALUE(MID(TRIM(N200&amp;" "&amp;O200),20,2))),IF(ISNUMBER(I200),I200,"")),"")</f>
        <v/>
      </c>
      <c r="AD200" s="17">
        <f>IF(AND(ISNUMBER(AB200),ISNUMBER(AC200)),MAX(0,MIN(AC200,EOMONTH(요약!$B$3,0))-MAX(AB200,요약!$B$3)+1),0)</f>
        <v/>
      </c>
      <c r="AE200" s="10">
        <f>IF(AND(Q200&lt;&gt;"",ISNUMBER(AB200)),Q200&amp;"|다기관","")</f>
        <v/>
      </c>
    </row>
    <row r="201">
      <c r="A201" s="15">
        <f>IF(F201="","",ROW()-3)</f>
        <v/>
      </c>
      <c r="B201" s="5" t="n"/>
      <c r="C201" s="15" t="n"/>
      <c r="D201" s="5" t="n"/>
      <c r="E201" s="15" t="n"/>
      <c r="F201" s="5" t="n"/>
      <c r="G201" s="6" t="n"/>
      <c r="H201" s="16" t="n"/>
      <c r="I201" s="16" t="n"/>
      <c r="J201" s="15">
        <f>IF(AND(ISNUMBER(H201),ISNUMBER(I201)),I201-H201+1,"")</f>
        <v/>
      </c>
      <c r="K201" s="5" t="n"/>
      <c r="L201" s="5" t="n"/>
      <c r="M201" s="5" t="n"/>
      <c r="N201" s="5" t="n"/>
      <c r="O201" s="5" t="n"/>
      <c r="Q201" s="10">
        <f>IF(TRIM(G201&amp;"")="","",TRIM(G201&amp;""))</f>
        <v/>
      </c>
      <c r="R201" s="10">
        <f>IF(TRIM(B201&amp;"")="","",IFERROR(INDEX(코드표!$K$2:$K$101,MATCH(TRIM(B201&amp;""),코드표!$J$2:$J$101,0)),"⚠"&amp;TRIM(B201&amp;"")))</f>
        <v/>
      </c>
      <c r="S201" s="10">
        <f>IF(TRIM(K201&amp;"")="","",IFERROR(INDEX(코드표!$K$2:$K$101,MATCH(TRIM(K201&amp;""),코드표!$J$2:$J$101,0)),"⚠"&amp;TRIM(K201&amp;"")))</f>
        <v/>
      </c>
      <c r="T201" s="10">
        <f>IF(TRIM(M201&amp;"")="","",IF(ISNUMBER(MATCH(TRIM(M201&amp;""),코드표!$C$2:$C$11,0)),TRIM(M201&amp;""),"⚠"&amp;TRIM(M201&amp;"")))</f>
        <v/>
      </c>
      <c r="U201" s="10">
        <f>IF(TRIM(L201&amp;"")="","",IFERROR(INDEX(코드표!$G$2:$G$101,MATCH(TRIM(L201&amp;""),코드표!$F$2:$F$101,0)),"⚠"&amp;TRIM(L201&amp;"")))</f>
        <v/>
      </c>
      <c r="V201" s="10">
        <f>IF(AND(ISNUMBER(H201),ISNUMBER(I201)),I201-H201+1,"")</f>
        <v/>
      </c>
      <c r="W201" s="17">
        <f>IF(ISNUMBER(H201),MAX(0,MIN(IF(ISNUMBER(I201),I201,EOMONTH(요약!$B$3,0)),EOMONTH(요약!$B$3,0))-MAX(H201,요약!$B$3)+1),0)</f>
        <v/>
      </c>
      <c r="X201" s="10">
        <f>IF(OR(NOT(ISNUMBER(H201)),Q201=""),"",IF(TODAY()&lt;H201,"파견예정",IF(AND(ISNUMBER(I201),TODAY()&gt;I201),"파견종료","파견중")))</f>
        <v/>
      </c>
      <c r="Y201" s="10">
        <f>IF(OR(Q201="",X201=""),"",Q201&amp;"|"&amp;X201)</f>
        <v/>
      </c>
      <c r="Z201" s="10">
        <f>IF(AND(Q201&lt;&gt;"",W201&gt;0),Q201&amp;"|월","")</f>
        <v/>
      </c>
      <c r="AA201" s="10">
        <f>IF(COUNTA(B201:N201)=0,"",IF(Q201="","등록번호 없음",IF(LEFT(R201,1)="⚠","모병원명 미등록",IF(S201="","파견병원 입력",IF(LEFT(S201,1)="⚠","파견병원명 미등록",IF(LEFT(U201,1)="⚠","파견과목 미등록",IF(OR(T201="",LEFT(T201,1)="⚠"),"파견근거 확인",IF(NOT(AND(ISNUMBER(H201),ISNUMBER(I201))),"날짜 형식/누락",IF(I201&lt;H201,"종료일&lt;시작일","")))))))))</f>
        <v/>
      </c>
      <c r="AB201" s="11">
        <f>IF(ISNUMBER(SEARCH("다기관",TRIM(N201&amp;" "&amp;O201))),IFERROR(DATE(VALUE(MID(TRIM(N201&amp;" "&amp;O201),1,4)),VALUE(MID(TRIM(N201&amp;" "&amp;O201),6,2)),VALUE(MID(TRIM(N201&amp;" "&amp;O201),9,2))),IF(ISNUMBER(H201),H201,"")),"")</f>
        <v/>
      </c>
      <c r="AC201" s="11">
        <f>IF(ISNUMBER(SEARCH("다기관",TRIM(N201&amp;" "&amp;O201))),IFERROR(DATE(VALUE(MID(TRIM(N201&amp;" "&amp;O201),12,4)),VALUE(MID(TRIM(N201&amp;" "&amp;O201),17,2)),VALUE(MID(TRIM(N201&amp;" "&amp;O201),20,2))),IF(ISNUMBER(I201),I201,"")),"")</f>
        <v/>
      </c>
      <c r="AD201" s="17">
        <f>IF(AND(ISNUMBER(AB201),ISNUMBER(AC201)),MAX(0,MIN(AC201,EOMONTH(요약!$B$3,0))-MAX(AB201,요약!$B$3)+1),0)</f>
        <v/>
      </c>
      <c r="AE201" s="10">
        <f>IF(AND(Q201&lt;&gt;"",ISNUMBER(AB201)),Q201&amp;"|다기관","")</f>
        <v/>
      </c>
    </row>
    <row r="202">
      <c r="A202" s="15">
        <f>IF(F202="","",ROW()-3)</f>
        <v/>
      </c>
      <c r="B202" s="5" t="n"/>
      <c r="C202" s="15" t="n"/>
      <c r="D202" s="5" t="n"/>
      <c r="E202" s="15" t="n"/>
      <c r="F202" s="5" t="n"/>
      <c r="G202" s="6" t="n"/>
      <c r="H202" s="16" t="n"/>
      <c r="I202" s="16" t="n"/>
      <c r="J202" s="15">
        <f>IF(AND(ISNUMBER(H202),ISNUMBER(I202)),I202-H202+1,"")</f>
        <v/>
      </c>
      <c r="K202" s="5" t="n"/>
      <c r="L202" s="5" t="n"/>
      <c r="M202" s="5" t="n"/>
      <c r="N202" s="5" t="n"/>
      <c r="O202" s="5" t="n"/>
      <c r="Q202" s="10">
        <f>IF(TRIM(G202&amp;"")="","",TRIM(G202&amp;""))</f>
        <v/>
      </c>
      <c r="R202" s="10">
        <f>IF(TRIM(B202&amp;"")="","",IFERROR(INDEX(코드표!$K$2:$K$101,MATCH(TRIM(B202&amp;""),코드표!$J$2:$J$101,0)),"⚠"&amp;TRIM(B202&amp;"")))</f>
        <v/>
      </c>
      <c r="S202" s="10">
        <f>IF(TRIM(K202&amp;"")="","",IFERROR(INDEX(코드표!$K$2:$K$101,MATCH(TRIM(K202&amp;""),코드표!$J$2:$J$101,0)),"⚠"&amp;TRIM(K202&amp;"")))</f>
        <v/>
      </c>
      <c r="T202" s="10">
        <f>IF(TRIM(M202&amp;"")="","",IF(ISNUMBER(MATCH(TRIM(M202&amp;""),코드표!$C$2:$C$11,0)),TRIM(M202&amp;""),"⚠"&amp;TRIM(M202&amp;"")))</f>
        <v/>
      </c>
      <c r="U202" s="10">
        <f>IF(TRIM(L202&amp;"")="","",IFERROR(INDEX(코드표!$G$2:$G$101,MATCH(TRIM(L202&amp;""),코드표!$F$2:$F$101,0)),"⚠"&amp;TRIM(L202&amp;"")))</f>
        <v/>
      </c>
      <c r="V202" s="10">
        <f>IF(AND(ISNUMBER(H202),ISNUMBER(I202)),I202-H202+1,"")</f>
        <v/>
      </c>
      <c r="W202" s="17">
        <f>IF(ISNUMBER(H202),MAX(0,MIN(IF(ISNUMBER(I202),I202,EOMONTH(요약!$B$3,0)),EOMONTH(요약!$B$3,0))-MAX(H202,요약!$B$3)+1),0)</f>
        <v/>
      </c>
      <c r="X202" s="10">
        <f>IF(OR(NOT(ISNUMBER(H202)),Q202=""),"",IF(TODAY()&lt;H202,"파견예정",IF(AND(ISNUMBER(I202),TODAY()&gt;I202),"파견종료","파견중")))</f>
        <v/>
      </c>
      <c r="Y202" s="10">
        <f>IF(OR(Q202="",X202=""),"",Q202&amp;"|"&amp;X202)</f>
        <v/>
      </c>
      <c r="Z202" s="10">
        <f>IF(AND(Q202&lt;&gt;"",W202&gt;0),Q202&amp;"|월","")</f>
        <v/>
      </c>
      <c r="AA202" s="10">
        <f>IF(COUNTA(B202:N202)=0,"",IF(Q202="","등록번호 없음",IF(LEFT(R202,1)="⚠","모병원명 미등록",IF(S202="","파견병원 입력",IF(LEFT(S202,1)="⚠","파견병원명 미등록",IF(LEFT(U202,1)="⚠","파견과목 미등록",IF(OR(T202="",LEFT(T202,1)="⚠"),"파견근거 확인",IF(NOT(AND(ISNUMBER(H202),ISNUMBER(I202))),"날짜 형식/누락",IF(I202&lt;H202,"종료일&lt;시작일","")))))))))</f>
        <v/>
      </c>
      <c r="AB202" s="11">
        <f>IF(ISNUMBER(SEARCH("다기관",TRIM(N202&amp;" "&amp;O202))),IFERROR(DATE(VALUE(MID(TRIM(N202&amp;" "&amp;O202),1,4)),VALUE(MID(TRIM(N202&amp;" "&amp;O202),6,2)),VALUE(MID(TRIM(N202&amp;" "&amp;O202),9,2))),IF(ISNUMBER(H202),H202,"")),"")</f>
        <v/>
      </c>
      <c r="AC202" s="11">
        <f>IF(ISNUMBER(SEARCH("다기관",TRIM(N202&amp;" "&amp;O202))),IFERROR(DATE(VALUE(MID(TRIM(N202&amp;" "&amp;O202),12,4)),VALUE(MID(TRIM(N202&amp;" "&amp;O202),17,2)),VALUE(MID(TRIM(N202&amp;" "&amp;O202),20,2))),IF(ISNUMBER(I202),I202,"")),"")</f>
        <v/>
      </c>
      <c r="AD202" s="17">
        <f>IF(AND(ISNUMBER(AB202),ISNUMBER(AC202)),MAX(0,MIN(AC202,EOMONTH(요약!$B$3,0))-MAX(AB202,요약!$B$3)+1),0)</f>
        <v/>
      </c>
      <c r="AE202" s="10">
        <f>IF(AND(Q202&lt;&gt;"",ISNUMBER(AB202)),Q202&amp;"|다기관","")</f>
        <v/>
      </c>
    </row>
    <row r="203">
      <c r="A203" s="15">
        <f>IF(F203="","",ROW()-3)</f>
        <v/>
      </c>
      <c r="B203" s="5" t="n"/>
      <c r="C203" s="15" t="n"/>
      <c r="D203" s="5" t="n"/>
      <c r="E203" s="15" t="n"/>
      <c r="F203" s="5" t="n"/>
      <c r="G203" s="6" t="n"/>
      <c r="H203" s="16" t="n"/>
      <c r="I203" s="16" t="n"/>
      <c r="J203" s="15">
        <f>IF(AND(ISNUMBER(H203),ISNUMBER(I203)),I203-H203+1,"")</f>
        <v/>
      </c>
      <c r="K203" s="5" t="n"/>
      <c r="L203" s="5" t="n"/>
      <c r="M203" s="5" t="n"/>
      <c r="N203" s="5" t="n"/>
      <c r="O203" s="5" t="n"/>
      <c r="Q203" s="10">
        <f>IF(TRIM(G203&amp;"")="","",TRIM(G203&amp;""))</f>
        <v/>
      </c>
      <c r="R203" s="10">
        <f>IF(TRIM(B203&amp;"")="","",IFERROR(INDEX(코드표!$K$2:$K$101,MATCH(TRIM(B203&amp;""),코드표!$J$2:$J$101,0)),"⚠"&amp;TRIM(B203&amp;"")))</f>
        <v/>
      </c>
      <c r="S203" s="10">
        <f>IF(TRIM(K203&amp;"")="","",IFERROR(INDEX(코드표!$K$2:$K$101,MATCH(TRIM(K203&amp;""),코드표!$J$2:$J$101,0)),"⚠"&amp;TRIM(K203&amp;"")))</f>
        <v/>
      </c>
      <c r="T203" s="10">
        <f>IF(TRIM(M203&amp;"")="","",IF(ISNUMBER(MATCH(TRIM(M203&amp;""),코드표!$C$2:$C$11,0)),TRIM(M203&amp;""),"⚠"&amp;TRIM(M203&amp;"")))</f>
        <v/>
      </c>
      <c r="U203" s="10">
        <f>IF(TRIM(L203&amp;"")="","",IFERROR(INDEX(코드표!$G$2:$G$101,MATCH(TRIM(L203&amp;""),코드표!$F$2:$F$101,0)),"⚠"&amp;TRIM(L203&amp;"")))</f>
        <v/>
      </c>
      <c r="V203" s="10">
        <f>IF(AND(ISNUMBER(H203),ISNUMBER(I203)),I203-H203+1,"")</f>
        <v/>
      </c>
      <c r="W203" s="17">
        <f>IF(ISNUMBER(H203),MAX(0,MIN(IF(ISNUMBER(I203),I203,EOMONTH(요약!$B$3,0)),EOMONTH(요약!$B$3,0))-MAX(H203,요약!$B$3)+1),0)</f>
        <v/>
      </c>
      <c r="X203" s="10">
        <f>IF(OR(NOT(ISNUMBER(H203)),Q203=""),"",IF(TODAY()&lt;H203,"파견예정",IF(AND(ISNUMBER(I203),TODAY()&gt;I203),"파견종료","파견중")))</f>
        <v/>
      </c>
      <c r="Y203" s="10">
        <f>IF(OR(Q203="",X203=""),"",Q203&amp;"|"&amp;X203)</f>
        <v/>
      </c>
      <c r="Z203" s="10">
        <f>IF(AND(Q203&lt;&gt;"",W203&gt;0),Q203&amp;"|월","")</f>
        <v/>
      </c>
      <c r="AA203" s="10">
        <f>IF(COUNTA(B203:N203)=0,"",IF(Q203="","등록번호 없음",IF(LEFT(R203,1)="⚠","모병원명 미등록",IF(S203="","파견병원 입력",IF(LEFT(S203,1)="⚠","파견병원명 미등록",IF(LEFT(U203,1)="⚠","파견과목 미등록",IF(OR(T203="",LEFT(T203,1)="⚠"),"파견근거 확인",IF(NOT(AND(ISNUMBER(H203),ISNUMBER(I203))),"날짜 형식/누락",IF(I203&lt;H203,"종료일&lt;시작일","")))))))))</f>
        <v/>
      </c>
      <c r="AB203" s="11">
        <f>IF(ISNUMBER(SEARCH("다기관",TRIM(N203&amp;" "&amp;O203))),IFERROR(DATE(VALUE(MID(TRIM(N203&amp;" "&amp;O203),1,4)),VALUE(MID(TRIM(N203&amp;" "&amp;O203),6,2)),VALUE(MID(TRIM(N203&amp;" "&amp;O203),9,2))),IF(ISNUMBER(H203),H203,"")),"")</f>
        <v/>
      </c>
      <c r="AC203" s="11">
        <f>IF(ISNUMBER(SEARCH("다기관",TRIM(N203&amp;" "&amp;O203))),IFERROR(DATE(VALUE(MID(TRIM(N203&amp;" "&amp;O203),12,4)),VALUE(MID(TRIM(N203&amp;" "&amp;O203),17,2)),VALUE(MID(TRIM(N203&amp;" "&amp;O203),20,2))),IF(ISNUMBER(I203),I203,"")),"")</f>
        <v/>
      </c>
      <c r="AD203" s="17">
        <f>IF(AND(ISNUMBER(AB203),ISNUMBER(AC203)),MAX(0,MIN(AC203,EOMONTH(요약!$B$3,0))-MAX(AB203,요약!$B$3)+1),0)</f>
        <v/>
      </c>
      <c r="AE203" s="10">
        <f>IF(AND(Q203&lt;&gt;"",ISNUMBER(AB203)),Q203&amp;"|다기관","")</f>
        <v/>
      </c>
    </row>
  </sheetData>
  <mergeCells count="14">
    <mergeCell ref="M1:M3"/>
    <mergeCell ref="N1:N3"/>
    <mergeCell ref="A1:A3"/>
    <mergeCell ref="D1:D3"/>
    <mergeCell ref="B1:B3"/>
    <mergeCell ref="G1:G3"/>
    <mergeCell ref="C1:C3"/>
    <mergeCell ref="F1:F3"/>
    <mergeCell ref="K1:K3"/>
    <mergeCell ref="H1:H3"/>
    <mergeCell ref="E1:E3"/>
    <mergeCell ref="I1:I3"/>
    <mergeCell ref="L1:L3"/>
    <mergeCell ref="J1:J3"/>
  </mergeCells>
  <conditionalFormatting sqref="A4:O203">
    <cfRule type="expression" priority="1" dxfId="0">
      <formula>$AA4&lt;&gt;""</formula>
    </cfRule>
  </conditionalFormatting>
  <conditionalFormatting sqref="R4:U203">
    <cfRule type="expression" priority="2" dxfId="2">
      <formula>LEFT(R4,1)="⚠"</formula>
    </cfRule>
  </conditionalFormatting>
  <conditionalFormatting sqref="AA4:AA203">
    <cfRule type="expression" priority="3" dxfId="2">
      <formula>$AA4&lt;&gt;""</formula>
    </cfRule>
  </conditionalFormatting>
  <dataValidations count="7">
    <dataValidation sqref="B4:B203" showDropDown="0" showInputMessage="0" showErrorMessage="1" allowBlank="1" errorTitle="등록되지 않은 값" error="병원명 목록에 없는 값입니다. 새로운 항목이면 '코드표' 시트에 먼저 추가한 뒤 입력하세요." type="list" errorStyle="stop">
      <formula1>=코드표!$J$2:$J$101</formula1>
    </dataValidation>
    <dataValidation sqref="K4:K203" showDropDown="0" showInputMessage="0" showErrorMessage="1" allowBlank="1" errorTitle="등록되지 않은 값" error="병원명 목록에 없는 값입니다. 새로운 항목이면 '코드표' 시트에 먼저 추가한 뒤 입력하세요." type="list" errorStyle="stop">
      <formula1>=코드표!$J$2:$J$101</formula1>
    </dataValidation>
    <dataValidation sqref="L4:L203" showDropDown="0" showInputMessage="0" showErrorMessage="1" allowBlank="1" errorTitle="등록되지 않은 값" error="진료과 목록에 없는 값입니다. 새로운 항목이면 '코드표' 시트에 먼저 추가한 뒤 입력하세요." type="list" errorStyle="stop">
      <formula1>=코드표!$F$2:$F$101</formula1>
    </dataValidation>
    <dataValidation sqref="M4:M203" showDropDown="0" showInputMessage="0" showErrorMessage="1" allowBlank="1" errorTitle="등록되지 않은 값" error="파견근거 목록에 없는 값입니다. 새로운 항목이면 '코드표' 시트에 먼저 추가한 뒤 입력하세요." type="list" errorStyle="stop">
      <formula1>=코드표!$C$2:$C$11</formula1>
    </dataValidation>
    <dataValidation sqref="C4:C203" showDropDown="0" showInputMessage="0" showErrorMessage="1" allowBlank="1" errorTitle="수련종별" error="I(인턴) 또는 R(레지던트)로 입력하세요." type="list">
      <formula1>"I,R"</formula1>
    </dataValidation>
    <dataValidation sqref="H4:I203" showDropDown="0" showInputMessage="0" showErrorMessage="1" allowBlank="1" errorTitle="날짜 형식" error="yyyy-mm-dd 형식의 날짜를 입력하세요." type="date" operator="greaterThan">
      <formula1>1900-01-01</formula1>
    </dataValidation>
    <dataValidation sqref="I4:I203" showDropDown="0" showInputMessage="0" showErrorMessage="1" allowBlank="1" errorTitle="종료일 오류" error="종료일은 시작일 이후여야 합니다." type="custom">
      <formula1>OR(I4="",H4="",I4&gt;=H4)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0" customWidth="1" min="3" max="3"/>
    <col width="6" customWidth="1" min="4" max="4"/>
    <col width="12" customWidth="1" min="5" max="5"/>
    <col width="14" customWidth="1" min="6" max="6"/>
    <col width="11" customWidth="1" min="7" max="7"/>
    <col width="10" customWidth="1" min="8" max="8"/>
    <col width="12" customWidth="1" min="9" max="9"/>
    <col width="14" customWidth="1" min="10" max="10"/>
    <col width="13" customWidth="1" min="11" max="11"/>
    <col width="9" customWidth="1" min="12" max="12"/>
    <col width="11" customWidth="1" min="13" max="13"/>
    <col width="13" customWidth="1" min="14" max="14"/>
    <col width="16" customWidth="1" min="15" max="15"/>
    <col width="10" customWidth="1" min="16" max="16"/>
    <col width="11" customWidth="1" min="17" max="17"/>
    <col width="15" customWidth="1" min="18" max="18"/>
    <col width="12" customWidth="1" min="19" max="19"/>
    <col width="12" customWidth="1" min="20" max="20"/>
    <col width="10" customWidth="1" min="21" max="21"/>
    <col width="10" customWidth="1" min="22" max="22"/>
    <col width="10" customWidth="1" min="23" max="23"/>
    <col width="11" customWidth="1" min="24" max="24"/>
    <col width="14" customWidth="1" min="25" max="25"/>
    <col width="26" customWidth="1" min="26" max="26"/>
    <col width="20" customWidth="1" min="27" max="27"/>
    <col width="9" customWidth="1" min="28" max="28"/>
    <col width="9" customWidth="1" min="29" max="29"/>
    <col width="18" customWidth="1" min="30" max="30"/>
    <col width="11" customWidth="1" min="31" max="31"/>
    <col width="9" customWidth="1" min="32" max="32"/>
    <col width="12" customWidth="1" min="33" max="33"/>
    <col width="10" customWidth="1" min="34" max="34"/>
    <col width="10" customWidth="1" min="35" max="35"/>
    <col width="10" customWidth="1" min="36" max="36"/>
    <col width="9" customWidth="1" min="37" max="37"/>
    <col width="26" customWidth="1" min="38" max="38"/>
  </cols>
  <sheetData>
    <row r="1" ht="42" customHeight="1">
      <c r="A1" s="12" t="inlineStr">
        <is>
          <t>번호</t>
        </is>
      </c>
      <c r="B1" s="12" t="inlineStr">
        <is>
          <t>사번</t>
        </is>
      </c>
      <c r="C1" s="9" t="inlineStr">
        <is>
          <t>이름</t>
        </is>
      </c>
      <c r="D1" s="9" t="inlineStr">
        <is>
          <t>성별</t>
        </is>
      </c>
      <c r="E1" s="9" t="inlineStr">
        <is>
          <t>생년월일</t>
        </is>
      </c>
      <c r="F1" s="9" t="inlineStr">
        <is>
          <t>수련과목</t>
        </is>
      </c>
      <c r="G1" s="9" t="inlineStr">
        <is>
          <t>연차</t>
        </is>
      </c>
      <c r="H1" s="9" t="inlineStr">
        <is>
          <t>근무지</t>
        </is>
      </c>
      <c r="I1" s="9" t="inlineStr">
        <is>
          <t>수련개시일</t>
        </is>
      </c>
      <c r="J1" s="9" t="inlineStr">
        <is>
          <t>전공의등록번호</t>
        </is>
      </c>
      <c r="K1" s="9" t="inlineStr">
        <is>
          <t>의사면허번호</t>
        </is>
      </c>
      <c r="L1" s="9" t="inlineStr">
        <is>
          <t>재직여부</t>
        </is>
      </c>
      <c r="M1" s="12" t="inlineStr">
        <is>
          <t>입사장소</t>
        </is>
      </c>
      <c r="N1" s="9" t="inlineStr">
        <is>
          <t>현재 근무병원</t>
        </is>
      </c>
      <c r="O1" s="9" t="inlineStr">
        <is>
          <t>현재 진료과</t>
        </is>
      </c>
      <c r="P1" s="9" t="inlineStr">
        <is>
          <t>파견근거</t>
        </is>
      </c>
      <c r="Q1" s="9" t="inlineStr">
        <is>
          <t>파견병원</t>
        </is>
      </c>
      <c r="R1" s="9" t="inlineStr">
        <is>
          <t>파견진료과</t>
        </is>
      </c>
      <c r="S1" s="9" t="inlineStr">
        <is>
          <t>파견시작일</t>
        </is>
      </c>
      <c r="T1" s="9" t="inlineStr">
        <is>
          <t>파견종료일</t>
        </is>
      </c>
      <c r="U1" s="9" t="inlineStr">
        <is>
          <t>파견상태</t>
        </is>
      </c>
      <c r="V1" s="9" t="inlineStr">
        <is>
          <t>파견기간(일)</t>
        </is>
      </c>
      <c r="W1" s="9" t="inlineStr">
        <is>
          <t>종료까지(일)</t>
        </is>
      </c>
      <c r="X1" s="9" t="inlineStr">
        <is>
          <t>급여기준월 파견일수</t>
        </is>
      </c>
      <c r="Y1" s="9" t="inlineStr">
        <is>
          <t>급여지급병원(기준월)</t>
        </is>
      </c>
      <c r="Z1" s="9" t="inlineStr">
        <is>
          <t>점검</t>
        </is>
      </c>
      <c r="AA1" s="12" t="inlineStr">
        <is>
          <t>비고</t>
        </is>
      </c>
      <c r="AB1" s="9" t="inlineStr">
        <is>
          <t>기본자료행</t>
        </is>
      </c>
      <c r="AC1" s="9" t="inlineStr">
        <is>
          <t>인턴계획행</t>
        </is>
      </c>
      <c r="AD1" s="9" t="inlineStr">
        <is>
          <t>인턴 이번달</t>
        </is>
      </c>
      <c r="AE1" s="9" t="inlineStr">
        <is>
          <t>소속병원</t>
        </is>
      </c>
      <c r="AF1" s="9" t="inlineStr">
        <is>
          <t>파견기록행</t>
        </is>
      </c>
      <c r="AG1" s="9" t="inlineStr">
        <is>
          <t>기준월 근무병원</t>
        </is>
      </c>
      <c r="AH1" s="9" t="inlineStr">
        <is>
          <t>서울 근무일(기준월)</t>
        </is>
      </c>
      <c r="AI1" s="9" t="inlineStr">
        <is>
          <t>구리 근무일(기준월)</t>
        </is>
      </c>
      <c r="AJ1" s="9" t="inlineStr">
        <is>
          <t>기준월 대표파견행</t>
        </is>
      </c>
      <c r="AK1" s="9" t="inlineStr">
        <is>
          <t>다기관 기록행</t>
        </is>
      </c>
      <c r="AL1" s="9" t="inlineStr">
        <is>
          <t>다기관(비고 기재 기간)</t>
        </is>
      </c>
    </row>
    <row r="2">
      <c r="A2" s="10">
        <f>IF(B2="","",ROW()-1)</f>
        <v/>
      </c>
      <c r="B2" s="18" t="inlineStr">
        <is>
          <t>2261212</t>
        </is>
      </c>
      <c r="C2" s="10">
        <f>IF($AB2="","",IF(INDEX(기본자료!$C$2:$C$501,$AB2)="","",INDEX(기본자료!$C$2:$C$501,$AB2)))</f>
        <v/>
      </c>
      <c r="D2" s="10">
        <f>IF($AB2="","",IF(INDEX(기본자료!$J$2:$J$501,$AB2)="","",INDEX(기본자료!$J$2:$J$501,$AB2)))</f>
        <v/>
      </c>
      <c r="E2" s="11">
        <f>IF($AB2="","",IF(INDEX(기본자료!$K$2:$K$501,$AB2)="","",IF(NOT(ISNUMBER(INDEX(기본자료!$K$2:$K$501,$AB2))),INDEX(기본자료!$K$2:$K$501,$AB2),IF(INDEX(기본자료!$K$2:$K$501,$AB2)&lt;1000000,INDEX(기본자료!$K$2:$K$501,$AB2),IF(AND(INDEX(기본자료!$K$2:$K$501,$AB2)&gt;=10000101,INT(MOD(INDEX(기본자료!$K$2:$K$501,$AB2),10000)/100)&gt;=1,INT(MOD(INDEX(기본자료!$K$2:$K$501,$AB2),10000)/100)&lt;=12,MOD(INDEX(기본자료!$K$2:$K$501,$AB2),100)&gt;=1,MOD(INDEX(기본자료!$K$2:$K$501,$AB2),100)&lt;=31),DATE(INT(INDEX(기본자료!$K$2:$K$501,$AB2)/10000),INT(MOD(INDEX(기본자료!$K$2:$K$501,$AB2),10000)/100),MOD(INDEX(기본자료!$K$2:$K$501,$AB2),100)),INDEX(기본자료!$K$2:$K$501,$AB2)&amp;"")))))</f>
        <v/>
      </c>
      <c r="F2" s="10">
        <f>IF($AB2="","",IF(INDEX(기본자료!$D$2:$D$501,$AB2)="","",INDEX(기본자료!$D$2:$D$501,$AB2)))</f>
        <v/>
      </c>
      <c r="G2" s="10">
        <f>IF($AB2="","",IF(INDEX(기본자료!$E$2:$E$501,$AB2)="","",INDEX(기본자료!$E$2:$E$501,$AB2)))</f>
        <v/>
      </c>
      <c r="H2" s="10">
        <f>IF($AB2="","",IF(INDEX(기본자료!$F$2:$F$501,$AB2)="","",INDEX(기본자료!$F$2:$F$501,$AB2)))</f>
        <v/>
      </c>
      <c r="I2" s="11">
        <f>IF($AB2="","",IF(INDEX(기본자료!$G$2:$G$501,$AB2)="","",IF(NOT(ISNUMBER(INDEX(기본자료!$G$2:$G$501,$AB2))),INDEX(기본자료!$G$2:$G$501,$AB2),IF(INDEX(기본자료!$G$2:$G$501,$AB2)&lt;1000000,INDEX(기본자료!$G$2:$G$501,$AB2),IF(AND(INDEX(기본자료!$G$2:$G$501,$AB2)&gt;=10000101,INT(MOD(INDEX(기본자료!$G$2:$G$501,$AB2),10000)/100)&gt;=1,INT(MOD(INDEX(기본자료!$G$2:$G$501,$AB2),10000)/100)&lt;=12,MOD(INDEX(기본자료!$G$2:$G$501,$AB2),100)&gt;=1,MOD(INDEX(기본자료!$G$2:$G$501,$AB2),100)&lt;=31),DATE(INT(INDEX(기본자료!$G$2:$G$501,$AB2)/10000),INT(MOD(INDEX(기본자료!$G$2:$G$501,$AB2),10000)/100),MOD(INDEX(기본자료!$G$2:$G$501,$AB2),100)),INDEX(기본자료!$G$2:$G$501,$AB2)&amp;"")))))</f>
        <v/>
      </c>
      <c r="J2" s="10">
        <f>IF($AB2="","",IF(INDEX(기본자료!$H$2:$H$501,$AB2)="","",INDEX(기본자료!$H$2:$H$501,$AB2)))</f>
        <v/>
      </c>
      <c r="K2" s="10">
        <f>IF($AB2="","",IF(INDEX(기본자료!$I$2:$I$501,$AB2)="","",INDEX(기본자료!$I$2:$I$501,$AB2)))</f>
        <v/>
      </c>
      <c r="L2" s="10">
        <f>IF($AB2="","",IF(INDEX(기본자료!$A$2:$A$501,$AB2)="","",INDEX(기본자료!$A$2:$A$501,$AB2)))</f>
        <v/>
      </c>
      <c r="M2" s="15" t="inlineStr">
        <is>
          <t>서울병원</t>
        </is>
      </c>
      <c r="N2" s="10">
        <f>IF($B2="","",IF(AND($U2="파견중",$Q2&lt;&gt;""),$Q2,IF(AND($AD2&lt;&gt;"",LEFT($AD2,1)&lt;&gt;"⚠"),LEFT($AD2,FIND(" ",$AD2)-1),IF($H2="","",IF(RIGHT($H2,2)="병원",$H2,$H2&amp;"병원")))))</f>
        <v/>
      </c>
      <c r="O2" s="10">
        <f>IF($B2="","",IF(AND($U2="파견중",$Q2&lt;&gt;""),IF($R2&lt;&gt;"",$R2,"파견과 미입력"),IF(AND($AD2&lt;&gt;"",LEFT($AD2,1)&lt;&gt;"⚠"),MID($AD2,FIND(" ",$AD2)+1,60),IF($F2="","",IF($F2="인턴","수련교육부(인턴)",$F2)))))</f>
        <v/>
      </c>
      <c r="P2" s="10">
        <f>IF($B2="","",IF($AK2&lt;&gt;"",IF(AND(TODAY()&gt;=INDEX(파견수련계획!$AB$4:$AB$203,$AK2),OR(NOT(ISNUMBER(INDEX(파견수련계획!$AC$4:$AC$203,$AK2))),TODAY()&lt;=INDEX(파견수련계획!$AC$4:$AC$203,$AK2))),"다기관",IF($AF2="","",INDEX(파견수련계획!$T$4:$T$203,$AF2))),IF($AF2="","",INDEX(파견수련계획!$T$4:$T$203,$AF2))))</f>
        <v/>
      </c>
      <c r="Q2" s="10">
        <f>IF($AF2="","",INDEX(파견수련계획!$S$4:$S$203,$AF2))</f>
        <v/>
      </c>
      <c r="R2" s="10">
        <f>IF($AF2="","",INDEX(파견수련계획!$U$4:$U$203,$AF2))</f>
        <v/>
      </c>
      <c r="S2" s="11">
        <f>IF($AF2="","",IF(INDEX(파견수련계획!$H$4:$H$203,$AF2)="","",INDEX(파견수련계획!$H$4:$H$203,$AF2)))</f>
        <v/>
      </c>
      <c r="T2" s="11">
        <f>IF($AF2="","",IF(INDEX(파견수련계획!$I$4:$I$203,$AF2)="","",INDEX(파견수련계획!$I$4:$I$203,$AF2)))</f>
        <v/>
      </c>
      <c r="U2" s="10">
        <f>IF($AF2="","",INDEX(파견수련계획!$X$4:$X$203,$AF2))</f>
        <v/>
      </c>
      <c r="V2" s="17">
        <f>IF($AF2="","",INDEX(파견수련계획!$V$4:$V$203,$AF2))</f>
        <v/>
      </c>
      <c r="W2" s="17">
        <f>IF(AND($U2="파견중",$T2&lt;&gt;""),$T2-TODAY(),"")</f>
        <v/>
      </c>
      <c r="X2" s="17">
        <f>IF(OR($B2="",TRIM($J2&amp;"")=""),"",SUMPRODUCT((파견수련계획!$Q$4:$Q$203=TRIM($J2&amp;""))*파견수련계획!$W$4:$W$203))</f>
        <v/>
      </c>
      <c r="Y2" s="10">
        <f>IF($B2="","",IF($AG2="","",IF(IF(TRIM($J2&amp;"")="",0,SUMPRODUCT((파견수련계획!$Q$4:$Q$203=TRIM($J2&amp;""))*파견수련계획!$AD$4:$AD$203))&gt;0,$AE2,IF(N($X2)&lt;=0,$AG2,IF($AH2+$AI2=DAY(EOMONTH(요약!$B$3,0)),IF(AND($AH2&gt;=요약!$E$3,$AI2&lt;요약!$E$3),"서울병원",IF(AND($AI2&gt;=요약!$E$3,$AH2&lt;요약!$E$3),"구리병원","⚠15일 판정불가(서울 "&amp;$AH2&amp;"일/구리 "&amp;$AI2&amp;"일)")),IF($AJ2="",$AE2,IF(INDEX(파견수련계획!$T$4:$T$203,$AJ2)="통합수련",INDEX(파견수련계획!$S$4:$S$203,$AJ2),$AE2)))))))</f>
        <v/>
      </c>
      <c r="Z2" s="19">
        <f>IF($B2="","",IF($AB2="","기본자료에 없는 사번",IF(COUNTIF($B$2:$B$201,$B2)&gt;1,"중복 사번",IF($AE2="","소속(입사장소) 입력",IF(IF(TRIM($J2&amp;"")="",0,SUMPRODUCT((파견수련계획!$Q$4:$Q$203=TRIM($J2&amp;""))*(파견수련계획!$AA$4:$AA$203&lt;&gt;"")))&gt;0,"파견수련계획 입력오류 확인",IF(LEFT($Y2,1)="⚠","서울·구리 15일 판정 불가(양쪽 모두 이상/미만)",IF(IF($AC2="",0,N(INDEX(인턴근무계획!$T$3:$T$202,$AC2)))&gt;0,"인턴계획 입력오류 확인",IF(AND($AC2&lt;&gt;"",$U2&lt;&gt;"파견중",$N2&lt;&gt;$AE2),"인턴 타지역 근무: 파견 여부 확인","정상"))))))))</f>
        <v/>
      </c>
      <c r="AA2" s="5" t="inlineStr">
        <is>
          <t>예시 데이터</t>
        </is>
      </c>
      <c r="AB2" s="10">
        <f>IF($B2="","",IFERROR(MATCH($B2,기본자료!$B$2:$B$501,0),IFERROR(MATCH($B2&amp;"",기본자료!$B$2:$B$501,0),IFERROR(MATCH(VALUE($B2),기본자료!$B$2:$B$501,0),""))))</f>
        <v/>
      </c>
      <c r="AC2" s="10">
        <f>IF($B2="","",IFERROR(MATCH($B2,인턴근무계획!$D$3:$D$202,0),IFERROR(MATCH($B2&amp;"",인턴근무계획!$D$3:$D$202,0),IFERROR(MATCH(VALUE($B2),인턴근무계획!$D$3:$D$202,0),""))))</f>
        <v/>
      </c>
      <c r="AD2" s="10">
        <f>IF(OR($AC2="",인턴현황!$G$3=""),"",INDEX(인턴근무계획!$M$3:$R$202,$AC2,인턴현황!$G$3)&amp;"")</f>
        <v/>
      </c>
      <c r="AE2" s="10">
        <f>IF($B2="","",IF($M2&lt;&gt;"",$M2,IF($AF2&lt;&gt;"",IF(LEFT(INDEX(파견수련계획!$R$4:$R$203,$AF2),1)&lt;&gt;"⚠",INDEX(파견수련계획!$R$4:$R$203,$AF2),IF($H2="","",IF(RIGHT($H2,2)="병원",$H2,$H2&amp;"병원"))),IF($H2="","",IF(RIGHT($H2,2)="병원",$H2,$H2&amp;"병원")))))</f>
        <v/>
      </c>
      <c r="AF2" s="10">
        <f>IF(OR($B2="",TRIM($J2&amp;"")=""),"",IFERROR(MATCH(TRIM($J2&amp;"")&amp;"|파견중",파견수련계획!$Y$4:$Y$203,0),IFERROR(MATCH(TRIM($J2&amp;"")&amp;"|파견예정",파견수련계획!$Y$4:$Y$203,0),IFERROR(MATCH(TRIM($J2&amp;"")&amp;"|파견종료",파견수련계획!$Y$4:$Y$203,0),""))))</f>
        <v/>
      </c>
      <c r="AG2" s="10">
        <f>IF($B2="","",IF(AND(IF(OR($AC2="",인턴현황!$K$2=""),"",INDEX(인턴근무계획!$M$3:$R$202,$AC2,인턴현황!$K$2)&amp;"")&lt;&gt;"",LEFT(IF(OR($AC2="",인턴현황!$K$2=""),"",INDEX(인턴근무계획!$M$3:$R$202,$AC2,인턴현황!$K$2)&amp;""),1)&lt;&gt;"⚠"),LEFT(IF(OR($AC2="",인턴현황!$K$2=""),"",INDEX(인턴근무계획!$M$3:$R$202,$AC2,인턴현황!$K$2)&amp;""),FIND(" ",IF(OR($AC2="",인턴현황!$K$2=""),"",INDEX(인턴근무계획!$M$3:$R$202,$AC2,인턴현황!$K$2)&amp;""))-1),$AE2))</f>
        <v/>
      </c>
      <c r="AH2" s="17">
        <f>IF($B2="","",IF(TRIM($J2&amp;"")="",0,SUMPRODUCT((파견수련계획!$Q$4:$Q$203=TRIM($J2&amp;""))*(파견수련계획!$S$4:$S$203="서울병원")*파견수련계획!$W$4:$W$203))+IF($AG2="서울병원",MAX(0,DAY(EOMONTH(요약!$B$3,0))-N($X2)),0))</f>
        <v/>
      </c>
      <c r="AI2" s="17">
        <f>IF($B2="","",IF(TRIM($J2&amp;"")="",0,SUMPRODUCT((파견수련계획!$Q$4:$Q$203=TRIM($J2&amp;""))*(파견수련계획!$S$4:$S$203="구리병원")*파견수련계획!$W$4:$W$203))+IF($AG2="구리병원",MAX(0,DAY(EOMONTH(요약!$B$3,0))-N($X2)),0))</f>
        <v/>
      </c>
      <c r="AJ2" s="10">
        <f>IF(OR($B2="",TRIM($J2&amp;"")=""),"",IFERROR(MATCH(TRIM($J2&amp;"")&amp;"|월",파견수련계획!$Z$4:$Z$203,0),""))</f>
        <v/>
      </c>
      <c r="AK2" s="10">
        <f>IF(OR($B2="",TRIM($J2&amp;"")=""),"",IFERROR(MATCH(TRIM($J2&amp;"")&amp;"|다기관",파견수련계획!$AE$4:$AE$203,0),""))</f>
        <v/>
      </c>
      <c r="AL2" s="10">
        <f>IF($AK2="","","다기관 "&amp;TEXT(INDEX(파견수련계획!$AB$4:$AB$203,$AK2),"yyyy-mm-dd")&amp;"~"&amp;IF(ISNUMBER(INDEX(파견수련계획!$AC$4:$AC$203,$AK2)),TEXT(INDEX(파견수련계획!$AC$4:$AC$203,$AK2),"yyyy-mm-dd"),""))</f>
        <v/>
      </c>
    </row>
    <row r="3">
      <c r="A3" s="10">
        <f>IF(B3="","",ROW()-1)</f>
        <v/>
      </c>
      <c r="B3" s="18" t="inlineStr">
        <is>
          <t>2261213</t>
        </is>
      </c>
      <c r="C3" s="10">
        <f>IF($AB3="","",IF(INDEX(기본자료!$C$2:$C$501,$AB3)="","",INDEX(기본자료!$C$2:$C$501,$AB3)))</f>
        <v/>
      </c>
      <c r="D3" s="10">
        <f>IF($AB3="","",IF(INDEX(기본자료!$J$2:$J$501,$AB3)="","",INDEX(기본자료!$J$2:$J$501,$AB3)))</f>
        <v/>
      </c>
      <c r="E3" s="11">
        <f>IF($AB3="","",IF(INDEX(기본자료!$K$2:$K$501,$AB3)="","",IF(NOT(ISNUMBER(INDEX(기본자료!$K$2:$K$501,$AB3))),INDEX(기본자료!$K$2:$K$501,$AB3),IF(INDEX(기본자료!$K$2:$K$501,$AB3)&lt;1000000,INDEX(기본자료!$K$2:$K$501,$AB3),IF(AND(INDEX(기본자료!$K$2:$K$501,$AB3)&gt;=10000101,INT(MOD(INDEX(기본자료!$K$2:$K$501,$AB3),10000)/100)&gt;=1,INT(MOD(INDEX(기본자료!$K$2:$K$501,$AB3),10000)/100)&lt;=12,MOD(INDEX(기본자료!$K$2:$K$501,$AB3),100)&gt;=1,MOD(INDEX(기본자료!$K$2:$K$501,$AB3),100)&lt;=31),DATE(INT(INDEX(기본자료!$K$2:$K$501,$AB3)/10000),INT(MOD(INDEX(기본자료!$K$2:$K$501,$AB3),10000)/100),MOD(INDEX(기본자료!$K$2:$K$501,$AB3),100)),INDEX(기본자료!$K$2:$K$501,$AB3)&amp;"")))))</f>
        <v/>
      </c>
      <c r="F3" s="10">
        <f>IF($AB3="","",IF(INDEX(기본자료!$D$2:$D$501,$AB3)="","",INDEX(기본자료!$D$2:$D$501,$AB3)))</f>
        <v/>
      </c>
      <c r="G3" s="10">
        <f>IF($AB3="","",IF(INDEX(기본자료!$E$2:$E$501,$AB3)="","",INDEX(기본자료!$E$2:$E$501,$AB3)))</f>
        <v/>
      </c>
      <c r="H3" s="10">
        <f>IF($AB3="","",IF(INDEX(기본자료!$F$2:$F$501,$AB3)="","",INDEX(기본자료!$F$2:$F$501,$AB3)))</f>
        <v/>
      </c>
      <c r="I3" s="11">
        <f>IF($AB3="","",IF(INDEX(기본자료!$G$2:$G$501,$AB3)="","",IF(NOT(ISNUMBER(INDEX(기본자료!$G$2:$G$501,$AB3))),INDEX(기본자료!$G$2:$G$501,$AB3),IF(INDEX(기본자료!$G$2:$G$501,$AB3)&lt;1000000,INDEX(기본자료!$G$2:$G$501,$AB3),IF(AND(INDEX(기본자료!$G$2:$G$501,$AB3)&gt;=10000101,INT(MOD(INDEX(기본자료!$G$2:$G$501,$AB3),10000)/100)&gt;=1,INT(MOD(INDEX(기본자료!$G$2:$G$501,$AB3),10000)/100)&lt;=12,MOD(INDEX(기본자료!$G$2:$G$501,$AB3),100)&gt;=1,MOD(INDEX(기본자료!$G$2:$G$501,$AB3),100)&lt;=31),DATE(INT(INDEX(기본자료!$G$2:$G$501,$AB3)/10000),INT(MOD(INDEX(기본자료!$G$2:$G$501,$AB3),10000)/100),MOD(INDEX(기본자료!$G$2:$G$501,$AB3),100)),INDEX(기본자료!$G$2:$G$501,$AB3)&amp;"")))))</f>
        <v/>
      </c>
      <c r="J3" s="10">
        <f>IF($AB3="","",IF(INDEX(기본자료!$H$2:$H$501,$AB3)="","",INDEX(기본자료!$H$2:$H$501,$AB3)))</f>
        <v/>
      </c>
      <c r="K3" s="10">
        <f>IF($AB3="","",IF(INDEX(기본자료!$I$2:$I$501,$AB3)="","",INDEX(기본자료!$I$2:$I$501,$AB3)))</f>
        <v/>
      </c>
      <c r="L3" s="10">
        <f>IF($AB3="","",IF(INDEX(기본자료!$A$2:$A$501,$AB3)="","",INDEX(기본자료!$A$2:$A$501,$AB3)))</f>
        <v/>
      </c>
      <c r="M3" s="15" t="inlineStr">
        <is>
          <t>서울병원</t>
        </is>
      </c>
      <c r="N3" s="10">
        <f>IF($B3="","",IF(AND($U3="파견중",$Q3&lt;&gt;""),$Q3,IF(AND($AD3&lt;&gt;"",LEFT($AD3,1)&lt;&gt;"⚠"),LEFT($AD3,FIND(" ",$AD3)-1),IF($H3="","",IF(RIGHT($H3,2)="병원",$H3,$H3&amp;"병원")))))</f>
        <v/>
      </c>
      <c r="O3" s="10">
        <f>IF($B3="","",IF(AND($U3="파견중",$Q3&lt;&gt;""),IF($R3&lt;&gt;"",$R3,"파견과 미입력"),IF(AND($AD3&lt;&gt;"",LEFT($AD3,1)&lt;&gt;"⚠"),MID($AD3,FIND(" ",$AD3)+1,60),IF($F3="","",IF($F3="인턴","수련교육부(인턴)",$F3)))))</f>
        <v/>
      </c>
      <c r="P3" s="10">
        <f>IF($B3="","",IF($AK3&lt;&gt;"",IF(AND(TODAY()&gt;=INDEX(파견수련계획!$AB$4:$AB$203,$AK3),OR(NOT(ISNUMBER(INDEX(파견수련계획!$AC$4:$AC$203,$AK3))),TODAY()&lt;=INDEX(파견수련계획!$AC$4:$AC$203,$AK3))),"다기관",IF($AF3="","",INDEX(파견수련계획!$T$4:$T$203,$AF3))),IF($AF3="","",INDEX(파견수련계획!$T$4:$T$203,$AF3))))</f>
        <v/>
      </c>
      <c r="Q3" s="10">
        <f>IF($AF3="","",INDEX(파견수련계획!$S$4:$S$203,$AF3))</f>
        <v/>
      </c>
      <c r="R3" s="10">
        <f>IF($AF3="","",INDEX(파견수련계획!$U$4:$U$203,$AF3))</f>
        <v/>
      </c>
      <c r="S3" s="11">
        <f>IF($AF3="","",IF(INDEX(파견수련계획!$H$4:$H$203,$AF3)="","",INDEX(파견수련계획!$H$4:$H$203,$AF3)))</f>
        <v/>
      </c>
      <c r="T3" s="11">
        <f>IF($AF3="","",IF(INDEX(파견수련계획!$I$4:$I$203,$AF3)="","",INDEX(파견수련계획!$I$4:$I$203,$AF3)))</f>
        <v/>
      </c>
      <c r="U3" s="10">
        <f>IF($AF3="","",INDEX(파견수련계획!$X$4:$X$203,$AF3))</f>
        <v/>
      </c>
      <c r="V3" s="17">
        <f>IF($AF3="","",INDEX(파견수련계획!$V$4:$V$203,$AF3))</f>
        <v/>
      </c>
      <c r="W3" s="17">
        <f>IF(AND($U3="파견중",$T3&lt;&gt;""),$T3-TODAY(),"")</f>
        <v/>
      </c>
      <c r="X3" s="17">
        <f>IF(OR($B3="",TRIM($J3&amp;"")=""),"",SUMPRODUCT((파견수련계획!$Q$4:$Q$203=TRIM($J3&amp;""))*파견수련계획!$W$4:$W$203))</f>
        <v/>
      </c>
      <c r="Y3" s="10">
        <f>IF($B3="","",IF($AG3="","",IF(IF(TRIM($J3&amp;"")="",0,SUMPRODUCT((파견수련계획!$Q$4:$Q$203=TRIM($J3&amp;""))*파견수련계획!$AD$4:$AD$203))&gt;0,$AE3,IF(N($X3)&lt;=0,$AG3,IF($AH3+$AI3=DAY(EOMONTH(요약!$B$3,0)),IF(AND($AH3&gt;=요약!$E$3,$AI3&lt;요약!$E$3),"서울병원",IF(AND($AI3&gt;=요약!$E$3,$AH3&lt;요약!$E$3),"구리병원","⚠15일 판정불가(서울 "&amp;$AH3&amp;"일/구리 "&amp;$AI3&amp;"일)")),IF($AJ3="",$AE3,IF(INDEX(파견수련계획!$T$4:$T$203,$AJ3)="통합수련",INDEX(파견수련계획!$S$4:$S$203,$AJ3),$AE3)))))))</f>
        <v/>
      </c>
      <c r="Z3" s="19">
        <f>IF($B3="","",IF($AB3="","기본자료에 없는 사번",IF(COUNTIF($B$2:$B$201,$B3)&gt;1,"중복 사번",IF($AE3="","소속(입사장소) 입력",IF(IF(TRIM($J3&amp;"")="",0,SUMPRODUCT((파견수련계획!$Q$4:$Q$203=TRIM($J3&amp;""))*(파견수련계획!$AA$4:$AA$203&lt;&gt;"")))&gt;0,"파견수련계획 입력오류 확인",IF(LEFT($Y3,1)="⚠","서울·구리 15일 판정 불가(양쪽 모두 이상/미만)",IF(IF($AC3="",0,N(INDEX(인턴근무계획!$T$3:$T$202,$AC3)))&gt;0,"인턴계획 입력오류 확인",IF(AND($AC3&lt;&gt;"",$U3&lt;&gt;"파견중",$N3&lt;&gt;$AE3),"인턴 타지역 근무: 파견 여부 확인","정상"))))))))</f>
        <v/>
      </c>
      <c r="AA3" s="5" t="inlineStr">
        <is>
          <t>예시 데이터</t>
        </is>
      </c>
      <c r="AB3" s="10">
        <f>IF($B3="","",IFERROR(MATCH($B3,기본자료!$B$2:$B$501,0),IFERROR(MATCH($B3&amp;"",기본자료!$B$2:$B$501,0),IFERROR(MATCH(VALUE($B3),기본자료!$B$2:$B$501,0),""))))</f>
        <v/>
      </c>
      <c r="AC3" s="10">
        <f>IF($B3="","",IFERROR(MATCH($B3,인턴근무계획!$D$3:$D$202,0),IFERROR(MATCH($B3&amp;"",인턴근무계획!$D$3:$D$202,0),IFERROR(MATCH(VALUE($B3),인턴근무계획!$D$3:$D$202,0),""))))</f>
        <v/>
      </c>
      <c r="AD3" s="10">
        <f>IF(OR($AC3="",인턴현황!$G$3=""),"",INDEX(인턴근무계획!$M$3:$R$202,$AC3,인턴현황!$G$3)&amp;"")</f>
        <v/>
      </c>
      <c r="AE3" s="10">
        <f>IF($B3="","",IF($M3&lt;&gt;"",$M3,IF($AF3&lt;&gt;"",IF(LEFT(INDEX(파견수련계획!$R$4:$R$203,$AF3),1)&lt;&gt;"⚠",INDEX(파견수련계획!$R$4:$R$203,$AF3),IF($H3="","",IF(RIGHT($H3,2)="병원",$H3,$H3&amp;"병원"))),IF($H3="","",IF(RIGHT($H3,2)="병원",$H3,$H3&amp;"병원")))))</f>
        <v/>
      </c>
      <c r="AF3" s="10">
        <f>IF(OR($B3="",TRIM($J3&amp;"")=""),"",IFERROR(MATCH(TRIM($J3&amp;"")&amp;"|파견중",파견수련계획!$Y$4:$Y$203,0),IFERROR(MATCH(TRIM($J3&amp;"")&amp;"|파견예정",파견수련계획!$Y$4:$Y$203,0),IFERROR(MATCH(TRIM($J3&amp;"")&amp;"|파견종료",파견수련계획!$Y$4:$Y$203,0),""))))</f>
        <v/>
      </c>
      <c r="AG3" s="10">
        <f>IF($B3="","",IF(AND(IF(OR($AC3="",인턴현황!$K$2=""),"",INDEX(인턴근무계획!$M$3:$R$202,$AC3,인턴현황!$K$2)&amp;"")&lt;&gt;"",LEFT(IF(OR($AC3="",인턴현황!$K$2=""),"",INDEX(인턴근무계획!$M$3:$R$202,$AC3,인턴현황!$K$2)&amp;""),1)&lt;&gt;"⚠"),LEFT(IF(OR($AC3="",인턴현황!$K$2=""),"",INDEX(인턴근무계획!$M$3:$R$202,$AC3,인턴현황!$K$2)&amp;""),FIND(" ",IF(OR($AC3="",인턴현황!$K$2=""),"",INDEX(인턴근무계획!$M$3:$R$202,$AC3,인턴현황!$K$2)&amp;""))-1),$AE3))</f>
        <v/>
      </c>
      <c r="AH3" s="17">
        <f>IF($B3="","",IF(TRIM($J3&amp;"")="",0,SUMPRODUCT((파견수련계획!$Q$4:$Q$203=TRIM($J3&amp;""))*(파견수련계획!$S$4:$S$203="서울병원")*파견수련계획!$W$4:$W$203))+IF($AG3="서울병원",MAX(0,DAY(EOMONTH(요약!$B$3,0))-N($X3)),0))</f>
        <v/>
      </c>
      <c r="AI3" s="17">
        <f>IF($B3="","",IF(TRIM($J3&amp;"")="",0,SUMPRODUCT((파견수련계획!$Q$4:$Q$203=TRIM($J3&amp;""))*(파견수련계획!$S$4:$S$203="구리병원")*파견수련계획!$W$4:$W$203))+IF($AG3="구리병원",MAX(0,DAY(EOMONTH(요약!$B$3,0))-N($X3)),0))</f>
        <v/>
      </c>
      <c r="AJ3" s="10">
        <f>IF(OR($B3="",TRIM($J3&amp;"")=""),"",IFERROR(MATCH(TRIM($J3&amp;"")&amp;"|월",파견수련계획!$Z$4:$Z$203,0),""))</f>
        <v/>
      </c>
      <c r="AK3" s="10">
        <f>IF(OR($B3="",TRIM($J3&amp;"")=""),"",IFERROR(MATCH(TRIM($J3&amp;"")&amp;"|다기관",파견수련계획!$AE$4:$AE$203,0),""))</f>
        <v/>
      </c>
      <c r="AL3" s="10">
        <f>IF($AK3="","","다기관 "&amp;TEXT(INDEX(파견수련계획!$AB$4:$AB$203,$AK3),"yyyy-mm-dd")&amp;"~"&amp;IF(ISNUMBER(INDEX(파견수련계획!$AC$4:$AC$203,$AK3)),TEXT(INDEX(파견수련계획!$AC$4:$AC$203,$AK3),"yyyy-mm-dd"),""))</f>
        <v/>
      </c>
    </row>
    <row r="4">
      <c r="A4" s="10">
        <f>IF(B4="","",ROW()-1)</f>
        <v/>
      </c>
      <c r="B4" s="18" t="inlineStr">
        <is>
          <t>2261214</t>
        </is>
      </c>
      <c r="C4" s="10">
        <f>IF($AB4="","",IF(INDEX(기본자료!$C$2:$C$501,$AB4)="","",INDEX(기본자료!$C$2:$C$501,$AB4)))</f>
        <v/>
      </c>
      <c r="D4" s="10">
        <f>IF($AB4="","",IF(INDEX(기본자료!$J$2:$J$501,$AB4)="","",INDEX(기본자료!$J$2:$J$501,$AB4)))</f>
        <v/>
      </c>
      <c r="E4" s="11">
        <f>IF($AB4="","",IF(INDEX(기본자료!$K$2:$K$501,$AB4)="","",IF(NOT(ISNUMBER(INDEX(기본자료!$K$2:$K$501,$AB4))),INDEX(기본자료!$K$2:$K$501,$AB4),IF(INDEX(기본자료!$K$2:$K$501,$AB4)&lt;1000000,INDEX(기본자료!$K$2:$K$501,$AB4),IF(AND(INDEX(기본자료!$K$2:$K$501,$AB4)&gt;=10000101,INT(MOD(INDEX(기본자료!$K$2:$K$501,$AB4),10000)/100)&gt;=1,INT(MOD(INDEX(기본자료!$K$2:$K$501,$AB4),10000)/100)&lt;=12,MOD(INDEX(기본자료!$K$2:$K$501,$AB4),100)&gt;=1,MOD(INDEX(기본자료!$K$2:$K$501,$AB4),100)&lt;=31),DATE(INT(INDEX(기본자료!$K$2:$K$501,$AB4)/10000),INT(MOD(INDEX(기본자료!$K$2:$K$501,$AB4),10000)/100),MOD(INDEX(기본자료!$K$2:$K$501,$AB4),100)),INDEX(기본자료!$K$2:$K$501,$AB4)&amp;"")))))</f>
        <v/>
      </c>
      <c r="F4" s="10">
        <f>IF($AB4="","",IF(INDEX(기본자료!$D$2:$D$501,$AB4)="","",INDEX(기본자료!$D$2:$D$501,$AB4)))</f>
        <v/>
      </c>
      <c r="G4" s="10">
        <f>IF($AB4="","",IF(INDEX(기본자료!$E$2:$E$501,$AB4)="","",INDEX(기본자료!$E$2:$E$501,$AB4)))</f>
        <v/>
      </c>
      <c r="H4" s="10">
        <f>IF($AB4="","",IF(INDEX(기본자료!$F$2:$F$501,$AB4)="","",INDEX(기본자료!$F$2:$F$501,$AB4)))</f>
        <v/>
      </c>
      <c r="I4" s="11">
        <f>IF($AB4="","",IF(INDEX(기본자료!$G$2:$G$501,$AB4)="","",IF(NOT(ISNUMBER(INDEX(기본자료!$G$2:$G$501,$AB4))),INDEX(기본자료!$G$2:$G$501,$AB4),IF(INDEX(기본자료!$G$2:$G$501,$AB4)&lt;1000000,INDEX(기본자료!$G$2:$G$501,$AB4),IF(AND(INDEX(기본자료!$G$2:$G$501,$AB4)&gt;=10000101,INT(MOD(INDEX(기본자료!$G$2:$G$501,$AB4),10000)/100)&gt;=1,INT(MOD(INDEX(기본자료!$G$2:$G$501,$AB4),10000)/100)&lt;=12,MOD(INDEX(기본자료!$G$2:$G$501,$AB4),100)&gt;=1,MOD(INDEX(기본자료!$G$2:$G$501,$AB4),100)&lt;=31),DATE(INT(INDEX(기본자료!$G$2:$G$501,$AB4)/10000),INT(MOD(INDEX(기본자료!$G$2:$G$501,$AB4),10000)/100),MOD(INDEX(기본자료!$G$2:$G$501,$AB4),100)),INDEX(기본자료!$G$2:$G$501,$AB4)&amp;"")))))</f>
        <v/>
      </c>
      <c r="J4" s="10">
        <f>IF($AB4="","",IF(INDEX(기본자료!$H$2:$H$501,$AB4)="","",INDEX(기본자료!$H$2:$H$501,$AB4)))</f>
        <v/>
      </c>
      <c r="K4" s="10">
        <f>IF($AB4="","",IF(INDEX(기본자료!$I$2:$I$501,$AB4)="","",INDEX(기본자료!$I$2:$I$501,$AB4)))</f>
        <v/>
      </c>
      <c r="L4" s="10">
        <f>IF($AB4="","",IF(INDEX(기본자료!$A$2:$A$501,$AB4)="","",INDEX(기본자료!$A$2:$A$501,$AB4)))</f>
        <v/>
      </c>
      <c r="M4" s="15" t="inlineStr">
        <is>
          <t>서울병원</t>
        </is>
      </c>
      <c r="N4" s="10">
        <f>IF($B4="","",IF(AND($U4="파견중",$Q4&lt;&gt;""),$Q4,IF(AND($AD4&lt;&gt;"",LEFT($AD4,1)&lt;&gt;"⚠"),LEFT($AD4,FIND(" ",$AD4)-1),IF($H4="","",IF(RIGHT($H4,2)="병원",$H4,$H4&amp;"병원")))))</f>
        <v/>
      </c>
      <c r="O4" s="10">
        <f>IF($B4="","",IF(AND($U4="파견중",$Q4&lt;&gt;""),IF($R4&lt;&gt;"",$R4,"파견과 미입력"),IF(AND($AD4&lt;&gt;"",LEFT($AD4,1)&lt;&gt;"⚠"),MID($AD4,FIND(" ",$AD4)+1,60),IF($F4="","",IF($F4="인턴","수련교육부(인턴)",$F4)))))</f>
        <v/>
      </c>
      <c r="P4" s="10">
        <f>IF($B4="","",IF($AK4&lt;&gt;"",IF(AND(TODAY()&gt;=INDEX(파견수련계획!$AB$4:$AB$203,$AK4),OR(NOT(ISNUMBER(INDEX(파견수련계획!$AC$4:$AC$203,$AK4))),TODAY()&lt;=INDEX(파견수련계획!$AC$4:$AC$203,$AK4))),"다기관",IF($AF4="","",INDEX(파견수련계획!$T$4:$T$203,$AF4))),IF($AF4="","",INDEX(파견수련계획!$T$4:$T$203,$AF4))))</f>
        <v/>
      </c>
      <c r="Q4" s="10">
        <f>IF($AF4="","",INDEX(파견수련계획!$S$4:$S$203,$AF4))</f>
        <v/>
      </c>
      <c r="R4" s="10">
        <f>IF($AF4="","",INDEX(파견수련계획!$U$4:$U$203,$AF4))</f>
        <v/>
      </c>
      <c r="S4" s="11">
        <f>IF($AF4="","",IF(INDEX(파견수련계획!$H$4:$H$203,$AF4)="","",INDEX(파견수련계획!$H$4:$H$203,$AF4)))</f>
        <v/>
      </c>
      <c r="T4" s="11">
        <f>IF($AF4="","",IF(INDEX(파견수련계획!$I$4:$I$203,$AF4)="","",INDEX(파견수련계획!$I$4:$I$203,$AF4)))</f>
        <v/>
      </c>
      <c r="U4" s="10">
        <f>IF($AF4="","",INDEX(파견수련계획!$X$4:$X$203,$AF4))</f>
        <v/>
      </c>
      <c r="V4" s="17">
        <f>IF($AF4="","",INDEX(파견수련계획!$V$4:$V$203,$AF4))</f>
        <v/>
      </c>
      <c r="W4" s="17">
        <f>IF(AND($U4="파견중",$T4&lt;&gt;""),$T4-TODAY(),"")</f>
        <v/>
      </c>
      <c r="X4" s="17">
        <f>IF(OR($B4="",TRIM($J4&amp;"")=""),"",SUMPRODUCT((파견수련계획!$Q$4:$Q$203=TRIM($J4&amp;""))*파견수련계획!$W$4:$W$203))</f>
        <v/>
      </c>
      <c r="Y4" s="10">
        <f>IF($B4="","",IF($AG4="","",IF(IF(TRIM($J4&amp;"")="",0,SUMPRODUCT((파견수련계획!$Q$4:$Q$203=TRIM($J4&amp;""))*파견수련계획!$AD$4:$AD$203))&gt;0,$AE4,IF(N($X4)&lt;=0,$AG4,IF($AH4+$AI4=DAY(EOMONTH(요약!$B$3,0)),IF(AND($AH4&gt;=요약!$E$3,$AI4&lt;요약!$E$3),"서울병원",IF(AND($AI4&gt;=요약!$E$3,$AH4&lt;요약!$E$3),"구리병원","⚠15일 판정불가(서울 "&amp;$AH4&amp;"일/구리 "&amp;$AI4&amp;"일)")),IF($AJ4="",$AE4,IF(INDEX(파견수련계획!$T$4:$T$203,$AJ4)="통합수련",INDEX(파견수련계획!$S$4:$S$203,$AJ4),$AE4)))))))</f>
        <v/>
      </c>
      <c r="Z4" s="19">
        <f>IF($B4="","",IF($AB4="","기본자료에 없는 사번",IF(COUNTIF($B$2:$B$201,$B4)&gt;1,"중복 사번",IF($AE4="","소속(입사장소) 입력",IF(IF(TRIM($J4&amp;"")="",0,SUMPRODUCT((파견수련계획!$Q$4:$Q$203=TRIM($J4&amp;""))*(파견수련계획!$AA$4:$AA$203&lt;&gt;"")))&gt;0,"파견수련계획 입력오류 확인",IF(LEFT($Y4,1)="⚠","서울·구리 15일 판정 불가(양쪽 모두 이상/미만)",IF(IF($AC4="",0,N(INDEX(인턴근무계획!$T$3:$T$202,$AC4)))&gt;0,"인턴계획 입력오류 확인",IF(AND($AC4&lt;&gt;"",$U4&lt;&gt;"파견중",$N4&lt;&gt;$AE4),"인턴 타지역 근무: 파견 여부 확인","정상"))))))))</f>
        <v/>
      </c>
      <c r="AA4" s="5" t="inlineStr">
        <is>
          <t>예시 데이터</t>
        </is>
      </c>
      <c r="AB4" s="10">
        <f>IF($B4="","",IFERROR(MATCH($B4,기본자료!$B$2:$B$501,0),IFERROR(MATCH($B4&amp;"",기본자료!$B$2:$B$501,0),IFERROR(MATCH(VALUE($B4),기본자료!$B$2:$B$501,0),""))))</f>
        <v/>
      </c>
      <c r="AC4" s="10">
        <f>IF($B4="","",IFERROR(MATCH($B4,인턴근무계획!$D$3:$D$202,0),IFERROR(MATCH($B4&amp;"",인턴근무계획!$D$3:$D$202,0),IFERROR(MATCH(VALUE($B4),인턴근무계획!$D$3:$D$202,0),""))))</f>
        <v/>
      </c>
      <c r="AD4" s="10">
        <f>IF(OR($AC4="",인턴현황!$G$3=""),"",INDEX(인턴근무계획!$M$3:$R$202,$AC4,인턴현황!$G$3)&amp;"")</f>
        <v/>
      </c>
      <c r="AE4" s="10">
        <f>IF($B4="","",IF($M4&lt;&gt;"",$M4,IF($AF4&lt;&gt;"",IF(LEFT(INDEX(파견수련계획!$R$4:$R$203,$AF4),1)&lt;&gt;"⚠",INDEX(파견수련계획!$R$4:$R$203,$AF4),IF($H4="","",IF(RIGHT($H4,2)="병원",$H4,$H4&amp;"병원"))),IF($H4="","",IF(RIGHT($H4,2)="병원",$H4,$H4&amp;"병원")))))</f>
        <v/>
      </c>
      <c r="AF4" s="10">
        <f>IF(OR($B4="",TRIM($J4&amp;"")=""),"",IFERROR(MATCH(TRIM($J4&amp;"")&amp;"|파견중",파견수련계획!$Y$4:$Y$203,0),IFERROR(MATCH(TRIM($J4&amp;"")&amp;"|파견예정",파견수련계획!$Y$4:$Y$203,0),IFERROR(MATCH(TRIM($J4&amp;"")&amp;"|파견종료",파견수련계획!$Y$4:$Y$203,0),""))))</f>
        <v/>
      </c>
      <c r="AG4" s="10">
        <f>IF($B4="","",IF(AND(IF(OR($AC4="",인턴현황!$K$2=""),"",INDEX(인턴근무계획!$M$3:$R$202,$AC4,인턴현황!$K$2)&amp;"")&lt;&gt;"",LEFT(IF(OR($AC4="",인턴현황!$K$2=""),"",INDEX(인턴근무계획!$M$3:$R$202,$AC4,인턴현황!$K$2)&amp;""),1)&lt;&gt;"⚠"),LEFT(IF(OR($AC4="",인턴현황!$K$2=""),"",INDEX(인턴근무계획!$M$3:$R$202,$AC4,인턴현황!$K$2)&amp;""),FIND(" ",IF(OR($AC4="",인턴현황!$K$2=""),"",INDEX(인턴근무계획!$M$3:$R$202,$AC4,인턴현황!$K$2)&amp;""))-1),$AE4))</f>
        <v/>
      </c>
      <c r="AH4" s="17">
        <f>IF($B4="","",IF(TRIM($J4&amp;"")="",0,SUMPRODUCT((파견수련계획!$Q$4:$Q$203=TRIM($J4&amp;""))*(파견수련계획!$S$4:$S$203="서울병원")*파견수련계획!$W$4:$W$203))+IF($AG4="서울병원",MAX(0,DAY(EOMONTH(요약!$B$3,0))-N($X4)),0))</f>
        <v/>
      </c>
      <c r="AI4" s="17">
        <f>IF($B4="","",IF(TRIM($J4&amp;"")="",0,SUMPRODUCT((파견수련계획!$Q$4:$Q$203=TRIM($J4&amp;""))*(파견수련계획!$S$4:$S$203="구리병원")*파견수련계획!$W$4:$W$203))+IF($AG4="구리병원",MAX(0,DAY(EOMONTH(요약!$B$3,0))-N($X4)),0))</f>
        <v/>
      </c>
      <c r="AJ4" s="10">
        <f>IF(OR($B4="",TRIM($J4&amp;"")=""),"",IFERROR(MATCH(TRIM($J4&amp;"")&amp;"|월",파견수련계획!$Z$4:$Z$203,0),""))</f>
        <v/>
      </c>
      <c r="AK4" s="10">
        <f>IF(OR($B4="",TRIM($J4&amp;"")=""),"",IFERROR(MATCH(TRIM($J4&amp;"")&amp;"|다기관",파견수련계획!$AE$4:$AE$203,0),""))</f>
        <v/>
      </c>
      <c r="AL4" s="10">
        <f>IF($AK4="","","다기관 "&amp;TEXT(INDEX(파견수련계획!$AB$4:$AB$203,$AK4),"yyyy-mm-dd")&amp;"~"&amp;IF(ISNUMBER(INDEX(파견수련계획!$AC$4:$AC$203,$AK4)),TEXT(INDEX(파견수련계획!$AC$4:$AC$203,$AK4),"yyyy-mm-dd"),""))</f>
        <v/>
      </c>
    </row>
    <row r="5">
      <c r="A5" s="10">
        <f>IF(B5="","",ROW()-1)</f>
        <v/>
      </c>
      <c r="B5" s="18" t="inlineStr">
        <is>
          <t>2261215</t>
        </is>
      </c>
      <c r="C5" s="10">
        <f>IF($AB5="","",IF(INDEX(기본자료!$C$2:$C$501,$AB5)="","",INDEX(기본자료!$C$2:$C$501,$AB5)))</f>
        <v/>
      </c>
      <c r="D5" s="10">
        <f>IF($AB5="","",IF(INDEX(기본자료!$J$2:$J$501,$AB5)="","",INDEX(기본자료!$J$2:$J$501,$AB5)))</f>
        <v/>
      </c>
      <c r="E5" s="11">
        <f>IF($AB5="","",IF(INDEX(기본자료!$K$2:$K$501,$AB5)="","",IF(NOT(ISNUMBER(INDEX(기본자료!$K$2:$K$501,$AB5))),INDEX(기본자료!$K$2:$K$501,$AB5),IF(INDEX(기본자료!$K$2:$K$501,$AB5)&lt;1000000,INDEX(기본자료!$K$2:$K$501,$AB5),IF(AND(INDEX(기본자료!$K$2:$K$501,$AB5)&gt;=10000101,INT(MOD(INDEX(기본자료!$K$2:$K$501,$AB5),10000)/100)&gt;=1,INT(MOD(INDEX(기본자료!$K$2:$K$501,$AB5),10000)/100)&lt;=12,MOD(INDEX(기본자료!$K$2:$K$501,$AB5),100)&gt;=1,MOD(INDEX(기본자료!$K$2:$K$501,$AB5),100)&lt;=31),DATE(INT(INDEX(기본자료!$K$2:$K$501,$AB5)/10000),INT(MOD(INDEX(기본자료!$K$2:$K$501,$AB5),10000)/100),MOD(INDEX(기본자료!$K$2:$K$501,$AB5),100)),INDEX(기본자료!$K$2:$K$501,$AB5)&amp;"")))))</f>
        <v/>
      </c>
      <c r="F5" s="10">
        <f>IF($AB5="","",IF(INDEX(기본자료!$D$2:$D$501,$AB5)="","",INDEX(기본자료!$D$2:$D$501,$AB5)))</f>
        <v/>
      </c>
      <c r="G5" s="10">
        <f>IF($AB5="","",IF(INDEX(기본자료!$E$2:$E$501,$AB5)="","",INDEX(기본자료!$E$2:$E$501,$AB5)))</f>
        <v/>
      </c>
      <c r="H5" s="10">
        <f>IF($AB5="","",IF(INDEX(기본자료!$F$2:$F$501,$AB5)="","",INDEX(기본자료!$F$2:$F$501,$AB5)))</f>
        <v/>
      </c>
      <c r="I5" s="11">
        <f>IF($AB5="","",IF(INDEX(기본자료!$G$2:$G$501,$AB5)="","",IF(NOT(ISNUMBER(INDEX(기본자료!$G$2:$G$501,$AB5))),INDEX(기본자료!$G$2:$G$501,$AB5),IF(INDEX(기본자료!$G$2:$G$501,$AB5)&lt;1000000,INDEX(기본자료!$G$2:$G$501,$AB5),IF(AND(INDEX(기본자료!$G$2:$G$501,$AB5)&gt;=10000101,INT(MOD(INDEX(기본자료!$G$2:$G$501,$AB5),10000)/100)&gt;=1,INT(MOD(INDEX(기본자료!$G$2:$G$501,$AB5),10000)/100)&lt;=12,MOD(INDEX(기본자료!$G$2:$G$501,$AB5),100)&gt;=1,MOD(INDEX(기본자료!$G$2:$G$501,$AB5),100)&lt;=31),DATE(INT(INDEX(기본자료!$G$2:$G$501,$AB5)/10000),INT(MOD(INDEX(기본자료!$G$2:$G$501,$AB5),10000)/100),MOD(INDEX(기본자료!$G$2:$G$501,$AB5),100)),INDEX(기본자료!$G$2:$G$501,$AB5)&amp;"")))))</f>
        <v/>
      </c>
      <c r="J5" s="10">
        <f>IF($AB5="","",IF(INDEX(기본자료!$H$2:$H$501,$AB5)="","",INDEX(기본자료!$H$2:$H$501,$AB5)))</f>
        <v/>
      </c>
      <c r="K5" s="10">
        <f>IF($AB5="","",IF(INDEX(기본자료!$I$2:$I$501,$AB5)="","",INDEX(기본자료!$I$2:$I$501,$AB5)))</f>
        <v/>
      </c>
      <c r="L5" s="10">
        <f>IF($AB5="","",IF(INDEX(기본자료!$A$2:$A$501,$AB5)="","",INDEX(기본자료!$A$2:$A$501,$AB5)))</f>
        <v/>
      </c>
      <c r="M5" s="15" t="inlineStr">
        <is>
          <t>서울병원</t>
        </is>
      </c>
      <c r="N5" s="10">
        <f>IF($B5="","",IF(AND($U5="파견중",$Q5&lt;&gt;""),$Q5,IF(AND($AD5&lt;&gt;"",LEFT($AD5,1)&lt;&gt;"⚠"),LEFT($AD5,FIND(" ",$AD5)-1),IF($H5="","",IF(RIGHT($H5,2)="병원",$H5,$H5&amp;"병원")))))</f>
        <v/>
      </c>
      <c r="O5" s="10">
        <f>IF($B5="","",IF(AND($U5="파견중",$Q5&lt;&gt;""),IF($R5&lt;&gt;"",$R5,"파견과 미입력"),IF(AND($AD5&lt;&gt;"",LEFT($AD5,1)&lt;&gt;"⚠"),MID($AD5,FIND(" ",$AD5)+1,60),IF($F5="","",IF($F5="인턴","수련교육부(인턴)",$F5)))))</f>
        <v/>
      </c>
      <c r="P5" s="10">
        <f>IF($B5="","",IF($AK5&lt;&gt;"",IF(AND(TODAY()&gt;=INDEX(파견수련계획!$AB$4:$AB$203,$AK5),OR(NOT(ISNUMBER(INDEX(파견수련계획!$AC$4:$AC$203,$AK5))),TODAY()&lt;=INDEX(파견수련계획!$AC$4:$AC$203,$AK5))),"다기관",IF($AF5="","",INDEX(파견수련계획!$T$4:$T$203,$AF5))),IF($AF5="","",INDEX(파견수련계획!$T$4:$T$203,$AF5))))</f>
        <v/>
      </c>
      <c r="Q5" s="10">
        <f>IF($AF5="","",INDEX(파견수련계획!$S$4:$S$203,$AF5))</f>
        <v/>
      </c>
      <c r="R5" s="10">
        <f>IF($AF5="","",INDEX(파견수련계획!$U$4:$U$203,$AF5))</f>
        <v/>
      </c>
      <c r="S5" s="11">
        <f>IF($AF5="","",IF(INDEX(파견수련계획!$H$4:$H$203,$AF5)="","",INDEX(파견수련계획!$H$4:$H$203,$AF5)))</f>
        <v/>
      </c>
      <c r="T5" s="11">
        <f>IF($AF5="","",IF(INDEX(파견수련계획!$I$4:$I$203,$AF5)="","",INDEX(파견수련계획!$I$4:$I$203,$AF5)))</f>
        <v/>
      </c>
      <c r="U5" s="10">
        <f>IF($AF5="","",INDEX(파견수련계획!$X$4:$X$203,$AF5))</f>
        <v/>
      </c>
      <c r="V5" s="17">
        <f>IF($AF5="","",INDEX(파견수련계획!$V$4:$V$203,$AF5))</f>
        <v/>
      </c>
      <c r="W5" s="17">
        <f>IF(AND($U5="파견중",$T5&lt;&gt;""),$T5-TODAY(),"")</f>
        <v/>
      </c>
      <c r="X5" s="17">
        <f>IF(OR($B5="",TRIM($J5&amp;"")=""),"",SUMPRODUCT((파견수련계획!$Q$4:$Q$203=TRIM($J5&amp;""))*파견수련계획!$W$4:$W$203))</f>
        <v/>
      </c>
      <c r="Y5" s="10">
        <f>IF($B5="","",IF($AG5="","",IF(IF(TRIM($J5&amp;"")="",0,SUMPRODUCT((파견수련계획!$Q$4:$Q$203=TRIM($J5&amp;""))*파견수련계획!$AD$4:$AD$203))&gt;0,$AE5,IF(N($X5)&lt;=0,$AG5,IF($AH5+$AI5=DAY(EOMONTH(요약!$B$3,0)),IF(AND($AH5&gt;=요약!$E$3,$AI5&lt;요약!$E$3),"서울병원",IF(AND($AI5&gt;=요약!$E$3,$AH5&lt;요약!$E$3),"구리병원","⚠15일 판정불가(서울 "&amp;$AH5&amp;"일/구리 "&amp;$AI5&amp;"일)")),IF($AJ5="",$AE5,IF(INDEX(파견수련계획!$T$4:$T$203,$AJ5)="통합수련",INDEX(파견수련계획!$S$4:$S$203,$AJ5),$AE5)))))))</f>
        <v/>
      </c>
      <c r="Z5" s="19">
        <f>IF($B5="","",IF($AB5="","기본자료에 없는 사번",IF(COUNTIF($B$2:$B$201,$B5)&gt;1,"중복 사번",IF($AE5="","소속(입사장소) 입력",IF(IF(TRIM($J5&amp;"")="",0,SUMPRODUCT((파견수련계획!$Q$4:$Q$203=TRIM($J5&amp;""))*(파견수련계획!$AA$4:$AA$203&lt;&gt;"")))&gt;0,"파견수련계획 입력오류 확인",IF(LEFT($Y5,1)="⚠","서울·구리 15일 판정 불가(양쪽 모두 이상/미만)",IF(IF($AC5="",0,N(INDEX(인턴근무계획!$T$3:$T$202,$AC5)))&gt;0,"인턴계획 입력오류 확인",IF(AND($AC5&lt;&gt;"",$U5&lt;&gt;"파견중",$N5&lt;&gt;$AE5),"인턴 타지역 근무: 파견 여부 확인","정상"))))))))</f>
        <v/>
      </c>
      <c r="AA5" s="5" t="inlineStr">
        <is>
          <t>예시 데이터(종료됨)</t>
        </is>
      </c>
      <c r="AB5" s="10">
        <f>IF($B5="","",IFERROR(MATCH($B5,기본자료!$B$2:$B$501,0),IFERROR(MATCH($B5&amp;"",기본자료!$B$2:$B$501,0),IFERROR(MATCH(VALUE($B5),기본자료!$B$2:$B$501,0),""))))</f>
        <v/>
      </c>
      <c r="AC5" s="10">
        <f>IF($B5="","",IFERROR(MATCH($B5,인턴근무계획!$D$3:$D$202,0),IFERROR(MATCH($B5&amp;"",인턴근무계획!$D$3:$D$202,0),IFERROR(MATCH(VALUE($B5),인턴근무계획!$D$3:$D$202,0),""))))</f>
        <v/>
      </c>
      <c r="AD5" s="10">
        <f>IF(OR($AC5="",인턴현황!$G$3=""),"",INDEX(인턴근무계획!$M$3:$R$202,$AC5,인턴현황!$G$3)&amp;"")</f>
        <v/>
      </c>
      <c r="AE5" s="10">
        <f>IF($B5="","",IF($M5&lt;&gt;"",$M5,IF($AF5&lt;&gt;"",IF(LEFT(INDEX(파견수련계획!$R$4:$R$203,$AF5),1)&lt;&gt;"⚠",INDEX(파견수련계획!$R$4:$R$203,$AF5),IF($H5="","",IF(RIGHT($H5,2)="병원",$H5,$H5&amp;"병원"))),IF($H5="","",IF(RIGHT($H5,2)="병원",$H5,$H5&amp;"병원")))))</f>
        <v/>
      </c>
      <c r="AF5" s="10">
        <f>IF(OR($B5="",TRIM($J5&amp;"")=""),"",IFERROR(MATCH(TRIM($J5&amp;"")&amp;"|파견중",파견수련계획!$Y$4:$Y$203,0),IFERROR(MATCH(TRIM($J5&amp;"")&amp;"|파견예정",파견수련계획!$Y$4:$Y$203,0),IFERROR(MATCH(TRIM($J5&amp;"")&amp;"|파견종료",파견수련계획!$Y$4:$Y$203,0),""))))</f>
        <v/>
      </c>
      <c r="AG5" s="10">
        <f>IF($B5="","",IF(AND(IF(OR($AC5="",인턴현황!$K$2=""),"",INDEX(인턴근무계획!$M$3:$R$202,$AC5,인턴현황!$K$2)&amp;"")&lt;&gt;"",LEFT(IF(OR($AC5="",인턴현황!$K$2=""),"",INDEX(인턴근무계획!$M$3:$R$202,$AC5,인턴현황!$K$2)&amp;""),1)&lt;&gt;"⚠"),LEFT(IF(OR($AC5="",인턴현황!$K$2=""),"",INDEX(인턴근무계획!$M$3:$R$202,$AC5,인턴현황!$K$2)&amp;""),FIND(" ",IF(OR($AC5="",인턴현황!$K$2=""),"",INDEX(인턴근무계획!$M$3:$R$202,$AC5,인턴현황!$K$2)&amp;""))-1),$AE5))</f>
        <v/>
      </c>
      <c r="AH5" s="17">
        <f>IF($B5="","",IF(TRIM($J5&amp;"")="",0,SUMPRODUCT((파견수련계획!$Q$4:$Q$203=TRIM($J5&amp;""))*(파견수련계획!$S$4:$S$203="서울병원")*파견수련계획!$W$4:$W$203))+IF($AG5="서울병원",MAX(0,DAY(EOMONTH(요약!$B$3,0))-N($X5)),0))</f>
        <v/>
      </c>
      <c r="AI5" s="17">
        <f>IF($B5="","",IF(TRIM($J5&amp;"")="",0,SUMPRODUCT((파견수련계획!$Q$4:$Q$203=TRIM($J5&amp;""))*(파견수련계획!$S$4:$S$203="구리병원")*파견수련계획!$W$4:$W$203))+IF($AG5="구리병원",MAX(0,DAY(EOMONTH(요약!$B$3,0))-N($X5)),0))</f>
        <v/>
      </c>
      <c r="AJ5" s="10">
        <f>IF(OR($B5="",TRIM($J5&amp;"")=""),"",IFERROR(MATCH(TRIM($J5&amp;"")&amp;"|월",파견수련계획!$Z$4:$Z$203,0),""))</f>
        <v/>
      </c>
      <c r="AK5" s="10">
        <f>IF(OR($B5="",TRIM($J5&amp;"")=""),"",IFERROR(MATCH(TRIM($J5&amp;"")&amp;"|다기관",파견수련계획!$AE$4:$AE$203,0),""))</f>
        <v/>
      </c>
      <c r="AL5" s="10">
        <f>IF($AK5="","","다기관 "&amp;TEXT(INDEX(파견수련계획!$AB$4:$AB$203,$AK5),"yyyy-mm-dd")&amp;"~"&amp;IF(ISNUMBER(INDEX(파견수련계획!$AC$4:$AC$203,$AK5)),TEXT(INDEX(파견수련계획!$AC$4:$AC$203,$AK5),"yyyy-mm-dd"),""))</f>
        <v/>
      </c>
    </row>
    <row r="6">
      <c r="A6" s="10">
        <f>IF(B6="","",ROW()-1)</f>
        <v/>
      </c>
      <c r="B6" s="18" t="inlineStr">
        <is>
          <t>2261216</t>
        </is>
      </c>
      <c r="C6" s="10">
        <f>IF($AB6="","",IF(INDEX(기본자료!$C$2:$C$501,$AB6)="","",INDEX(기본자료!$C$2:$C$501,$AB6)))</f>
        <v/>
      </c>
      <c r="D6" s="10">
        <f>IF($AB6="","",IF(INDEX(기본자료!$J$2:$J$501,$AB6)="","",INDEX(기본자료!$J$2:$J$501,$AB6)))</f>
        <v/>
      </c>
      <c r="E6" s="11">
        <f>IF($AB6="","",IF(INDEX(기본자료!$K$2:$K$501,$AB6)="","",IF(NOT(ISNUMBER(INDEX(기본자료!$K$2:$K$501,$AB6))),INDEX(기본자료!$K$2:$K$501,$AB6),IF(INDEX(기본자료!$K$2:$K$501,$AB6)&lt;1000000,INDEX(기본자료!$K$2:$K$501,$AB6),IF(AND(INDEX(기본자료!$K$2:$K$501,$AB6)&gt;=10000101,INT(MOD(INDEX(기본자료!$K$2:$K$501,$AB6),10000)/100)&gt;=1,INT(MOD(INDEX(기본자료!$K$2:$K$501,$AB6),10000)/100)&lt;=12,MOD(INDEX(기본자료!$K$2:$K$501,$AB6),100)&gt;=1,MOD(INDEX(기본자료!$K$2:$K$501,$AB6),100)&lt;=31),DATE(INT(INDEX(기본자료!$K$2:$K$501,$AB6)/10000),INT(MOD(INDEX(기본자료!$K$2:$K$501,$AB6),10000)/100),MOD(INDEX(기본자료!$K$2:$K$501,$AB6),100)),INDEX(기본자료!$K$2:$K$501,$AB6)&amp;"")))))</f>
        <v/>
      </c>
      <c r="F6" s="10">
        <f>IF($AB6="","",IF(INDEX(기본자료!$D$2:$D$501,$AB6)="","",INDEX(기본자료!$D$2:$D$501,$AB6)))</f>
        <v/>
      </c>
      <c r="G6" s="10">
        <f>IF($AB6="","",IF(INDEX(기본자료!$E$2:$E$501,$AB6)="","",INDEX(기본자료!$E$2:$E$501,$AB6)))</f>
        <v/>
      </c>
      <c r="H6" s="10">
        <f>IF($AB6="","",IF(INDEX(기본자료!$F$2:$F$501,$AB6)="","",INDEX(기본자료!$F$2:$F$501,$AB6)))</f>
        <v/>
      </c>
      <c r="I6" s="11">
        <f>IF($AB6="","",IF(INDEX(기본자료!$G$2:$G$501,$AB6)="","",IF(NOT(ISNUMBER(INDEX(기본자료!$G$2:$G$501,$AB6))),INDEX(기본자료!$G$2:$G$501,$AB6),IF(INDEX(기본자료!$G$2:$G$501,$AB6)&lt;1000000,INDEX(기본자료!$G$2:$G$501,$AB6),IF(AND(INDEX(기본자료!$G$2:$G$501,$AB6)&gt;=10000101,INT(MOD(INDEX(기본자료!$G$2:$G$501,$AB6),10000)/100)&gt;=1,INT(MOD(INDEX(기본자료!$G$2:$G$501,$AB6),10000)/100)&lt;=12,MOD(INDEX(기본자료!$G$2:$G$501,$AB6),100)&gt;=1,MOD(INDEX(기본자료!$G$2:$G$501,$AB6),100)&lt;=31),DATE(INT(INDEX(기본자료!$G$2:$G$501,$AB6)/10000),INT(MOD(INDEX(기본자료!$G$2:$G$501,$AB6),10000)/100),MOD(INDEX(기본자료!$G$2:$G$501,$AB6),100)),INDEX(기본자료!$G$2:$G$501,$AB6)&amp;"")))))</f>
        <v/>
      </c>
      <c r="J6" s="10">
        <f>IF($AB6="","",IF(INDEX(기본자료!$H$2:$H$501,$AB6)="","",INDEX(기본자료!$H$2:$H$501,$AB6)))</f>
        <v/>
      </c>
      <c r="K6" s="10">
        <f>IF($AB6="","",IF(INDEX(기본자료!$I$2:$I$501,$AB6)="","",INDEX(기본자료!$I$2:$I$501,$AB6)))</f>
        <v/>
      </c>
      <c r="L6" s="10">
        <f>IF($AB6="","",IF(INDEX(기본자료!$A$2:$A$501,$AB6)="","",INDEX(기본자료!$A$2:$A$501,$AB6)))</f>
        <v/>
      </c>
      <c r="M6" s="15" t="inlineStr">
        <is>
          <t>구리병원</t>
        </is>
      </c>
      <c r="N6" s="10">
        <f>IF($B6="","",IF(AND($U6="파견중",$Q6&lt;&gt;""),$Q6,IF(AND($AD6&lt;&gt;"",LEFT($AD6,1)&lt;&gt;"⚠"),LEFT($AD6,FIND(" ",$AD6)-1),IF($H6="","",IF(RIGHT($H6,2)="병원",$H6,$H6&amp;"병원")))))</f>
        <v/>
      </c>
      <c r="O6" s="10">
        <f>IF($B6="","",IF(AND($U6="파견중",$Q6&lt;&gt;""),IF($R6&lt;&gt;"",$R6,"파견과 미입력"),IF(AND($AD6&lt;&gt;"",LEFT($AD6,1)&lt;&gt;"⚠"),MID($AD6,FIND(" ",$AD6)+1,60),IF($F6="","",IF($F6="인턴","수련교육부(인턴)",$F6)))))</f>
        <v/>
      </c>
      <c r="P6" s="10">
        <f>IF($B6="","",IF($AK6&lt;&gt;"",IF(AND(TODAY()&gt;=INDEX(파견수련계획!$AB$4:$AB$203,$AK6),OR(NOT(ISNUMBER(INDEX(파견수련계획!$AC$4:$AC$203,$AK6))),TODAY()&lt;=INDEX(파견수련계획!$AC$4:$AC$203,$AK6))),"다기관",IF($AF6="","",INDEX(파견수련계획!$T$4:$T$203,$AF6))),IF($AF6="","",INDEX(파견수련계획!$T$4:$T$203,$AF6))))</f>
        <v/>
      </c>
      <c r="Q6" s="10">
        <f>IF($AF6="","",INDEX(파견수련계획!$S$4:$S$203,$AF6))</f>
        <v/>
      </c>
      <c r="R6" s="10">
        <f>IF($AF6="","",INDEX(파견수련계획!$U$4:$U$203,$AF6))</f>
        <v/>
      </c>
      <c r="S6" s="11">
        <f>IF($AF6="","",IF(INDEX(파견수련계획!$H$4:$H$203,$AF6)="","",INDEX(파견수련계획!$H$4:$H$203,$AF6)))</f>
        <v/>
      </c>
      <c r="T6" s="11">
        <f>IF($AF6="","",IF(INDEX(파견수련계획!$I$4:$I$203,$AF6)="","",INDEX(파견수련계획!$I$4:$I$203,$AF6)))</f>
        <v/>
      </c>
      <c r="U6" s="10">
        <f>IF($AF6="","",INDEX(파견수련계획!$X$4:$X$203,$AF6))</f>
        <v/>
      </c>
      <c r="V6" s="17">
        <f>IF($AF6="","",INDEX(파견수련계획!$V$4:$V$203,$AF6))</f>
        <v/>
      </c>
      <c r="W6" s="17">
        <f>IF(AND($U6="파견중",$T6&lt;&gt;""),$T6-TODAY(),"")</f>
        <v/>
      </c>
      <c r="X6" s="17">
        <f>IF(OR($B6="",TRIM($J6&amp;"")=""),"",SUMPRODUCT((파견수련계획!$Q$4:$Q$203=TRIM($J6&amp;""))*파견수련계획!$W$4:$W$203))</f>
        <v/>
      </c>
      <c r="Y6" s="10">
        <f>IF($B6="","",IF($AG6="","",IF(IF(TRIM($J6&amp;"")="",0,SUMPRODUCT((파견수련계획!$Q$4:$Q$203=TRIM($J6&amp;""))*파견수련계획!$AD$4:$AD$203))&gt;0,$AE6,IF(N($X6)&lt;=0,$AG6,IF($AH6+$AI6=DAY(EOMONTH(요약!$B$3,0)),IF(AND($AH6&gt;=요약!$E$3,$AI6&lt;요약!$E$3),"서울병원",IF(AND($AI6&gt;=요약!$E$3,$AH6&lt;요약!$E$3),"구리병원","⚠15일 판정불가(서울 "&amp;$AH6&amp;"일/구리 "&amp;$AI6&amp;"일)")),IF($AJ6="",$AE6,IF(INDEX(파견수련계획!$T$4:$T$203,$AJ6)="통합수련",INDEX(파견수련계획!$S$4:$S$203,$AJ6),$AE6)))))))</f>
        <v/>
      </c>
      <c r="Z6" s="19">
        <f>IF($B6="","",IF($AB6="","기본자료에 없는 사번",IF(COUNTIF($B$2:$B$201,$B6)&gt;1,"중복 사번",IF($AE6="","소속(입사장소) 입력",IF(IF(TRIM($J6&amp;"")="",0,SUMPRODUCT((파견수련계획!$Q$4:$Q$203=TRIM($J6&amp;""))*(파견수련계획!$AA$4:$AA$203&lt;&gt;"")))&gt;0,"파견수련계획 입력오류 확인",IF(LEFT($Y6,1)="⚠","서울·구리 15일 판정 불가(양쪽 모두 이상/미만)",IF(IF($AC6="",0,N(INDEX(인턴근무계획!$T$3:$T$202,$AC6)))&gt;0,"인턴계획 입력오류 확인",IF(AND($AC6&lt;&gt;"",$U6&lt;&gt;"파견중",$N6&lt;&gt;$AE6),"인턴 타지역 근무: 파견 여부 확인","정상"))))))))</f>
        <v/>
      </c>
      <c r="AA6" s="5" t="inlineStr">
        <is>
          <t>예시 데이터</t>
        </is>
      </c>
      <c r="AB6" s="10">
        <f>IF($B6="","",IFERROR(MATCH($B6,기본자료!$B$2:$B$501,0),IFERROR(MATCH($B6&amp;"",기본자료!$B$2:$B$501,0),IFERROR(MATCH(VALUE($B6),기본자료!$B$2:$B$501,0),""))))</f>
        <v/>
      </c>
      <c r="AC6" s="10">
        <f>IF($B6="","",IFERROR(MATCH($B6,인턴근무계획!$D$3:$D$202,0),IFERROR(MATCH($B6&amp;"",인턴근무계획!$D$3:$D$202,0),IFERROR(MATCH(VALUE($B6),인턴근무계획!$D$3:$D$202,0),""))))</f>
        <v/>
      </c>
      <c r="AD6" s="10">
        <f>IF(OR($AC6="",인턴현황!$G$3=""),"",INDEX(인턴근무계획!$M$3:$R$202,$AC6,인턴현황!$G$3)&amp;"")</f>
        <v/>
      </c>
      <c r="AE6" s="10">
        <f>IF($B6="","",IF($M6&lt;&gt;"",$M6,IF($AF6&lt;&gt;"",IF(LEFT(INDEX(파견수련계획!$R$4:$R$203,$AF6),1)&lt;&gt;"⚠",INDEX(파견수련계획!$R$4:$R$203,$AF6),IF($H6="","",IF(RIGHT($H6,2)="병원",$H6,$H6&amp;"병원"))),IF($H6="","",IF(RIGHT($H6,2)="병원",$H6,$H6&amp;"병원")))))</f>
        <v/>
      </c>
      <c r="AF6" s="10">
        <f>IF(OR($B6="",TRIM($J6&amp;"")=""),"",IFERROR(MATCH(TRIM($J6&amp;"")&amp;"|파견중",파견수련계획!$Y$4:$Y$203,0),IFERROR(MATCH(TRIM($J6&amp;"")&amp;"|파견예정",파견수련계획!$Y$4:$Y$203,0),IFERROR(MATCH(TRIM($J6&amp;"")&amp;"|파견종료",파견수련계획!$Y$4:$Y$203,0),""))))</f>
        <v/>
      </c>
      <c r="AG6" s="10">
        <f>IF($B6="","",IF(AND(IF(OR($AC6="",인턴현황!$K$2=""),"",INDEX(인턴근무계획!$M$3:$R$202,$AC6,인턴현황!$K$2)&amp;"")&lt;&gt;"",LEFT(IF(OR($AC6="",인턴현황!$K$2=""),"",INDEX(인턴근무계획!$M$3:$R$202,$AC6,인턴현황!$K$2)&amp;""),1)&lt;&gt;"⚠"),LEFT(IF(OR($AC6="",인턴현황!$K$2=""),"",INDEX(인턴근무계획!$M$3:$R$202,$AC6,인턴현황!$K$2)&amp;""),FIND(" ",IF(OR($AC6="",인턴현황!$K$2=""),"",INDEX(인턴근무계획!$M$3:$R$202,$AC6,인턴현황!$K$2)&amp;""))-1),$AE6))</f>
        <v/>
      </c>
      <c r="AH6" s="17">
        <f>IF($B6="","",IF(TRIM($J6&amp;"")="",0,SUMPRODUCT((파견수련계획!$Q$4:$Q$203=TRIM($J6&amp;""))*(파견수련계획!$S$4:$S$203="서울병원")*파견수련계획!$W$4:$W$203))+IF($AG6="서울병원",MAX(0,DAY(EOMONTH(요약!$B$3,0))-N($X6)),0))</f>
        <v/>
      </c>
      <c r="AI6" s="17">
        <f>IF($B6="","",IF(TRIM($J6&amp;"")="",0,SUMPRODUCT((파견수련계획!$Q$4:$Q$203=TRIM($J6&amp;""))*(파견수련계획!$S$4:$S$203="구리병원")*파견수련계획!$W$4:$W$203))+IF($AG6="구리병원",MAX(0,DAY(EOMONTH(요약!$B$3,0))-N($X6)),0))</f>
        <v/>
      </c>
      <c r="AJ6" s="10">
        <f>IF(OR($B6="",TRIM($J6&amp;"")=""),"",IFERROR(MATCH(TRIM($J6&amp;"")&amp;"|월",파견수련계획!$Z$4:$Z$203,0),""))</f>
        <v/>
      </c>
      <c r="AK6" s="10">
        <f>IF(OR($B6="",TRIM($J6&amp;"")=""),"",IFERROR(MATCH(TRIM($J6&amp;"")&amp;"|다기관",파견수련계획!$AE$4:$AE$203,0),""))</f>
        <v/>
      </c>
      <c r="AL6" s="10">
        <f>IF($AK6="","","다기관 "&amp;TEXT(INDEX(파견수련계획!$AB$4:$AB$203,$AK6),"yyyy-mm-dd")&amp;"~"&amp;IF(ISNUMBER(INDEX(파견수련계획!$AC$4:$AC$203,$AK6)),TEXT(INDEX(파견수련계획!$AC$4:$AC$203,$AK6),"yyyy-mm-dd"),""))</f>
        <v/>
      </c>
    </row>
    <row r="7">
      <c r="A7" s="10">
        <f>IF(B7="","",ROW()-1)</f>
        <v/>
      </c>
      <c r="B7" s="18" t="inlineStr">
        <is>
          <t>222222</t>
        </is>
      </c>
      <c r="C7" s="10">
        <f>IF($AB7="","",IF(INDEX(기본자료!$C$2:$C$501,$AB7)="","",INDEX(기본자료!$C$2:$C$501,$AB7)))</f>
        <v/>
      </c>
      <c r="D7" s="10">
        <f>IF($AB7="","",IF(INDEX(기본자료!$J$2:$J$501,$AB7)="","",INDEX(기본자료!$J$2:$J$501,$AB7)))</f>
        <v/>
      </c>
      <c r="E7" s="11">
        <f>IF($AB7="","",IF(INDEX(기본자료!$K$2:$K$501,$AB7)="","",IF(NOT(ISNUMBER(INDEX(기본자료!$K$2:$K$501,$AB7))),INDEX(기본자료!$K$2:$K$501,$AB7),IF(INDEX(기본자료!$K$2:$K$501,$AB7)&lt;1000000,INDEX(기본자료!$K$2:$K$501,$AB7),IF(AND(INDEX(기본자료!$K$2:$K$501,$AB7)&gt;=10000101,INT(MOD(INDEX(기본자료!$K$2:$K$501,$AB7),10000)/100)&gt;=1,INT(MOD(INDEX(기본자료!$K$2:$K$501,$AB7),10000)/100)&lt;=12,MOD(INDEX(기본자료!$K$2:$K$501,$AB7),100)&gt;=1,MOD(INDEX(기본자료!$K$2:$K$501,$AB7),100)&lt;=31),DATE(INT(INDEX(기본자료!$K$2:$K$501,$AB7)/10000),INT(MOD(INDEX(기본자료!$K$2:$K$501,$AB7),10000)/100),MOD(INDEX(기본자료!$K$2:$K$501,$AB7),100)),INDEX(기본자료!$K$2:$K$501,$AB7)&amp;"")))))</f>
        <v/>
      </c>
      <c r="F7" s="10">
        <f>IF($AB7="","",IF(INDEX(기본자료!$D$2:$D$501,$AB7)="","",INDEX(기본자료!$D$2:$D$501,$AB7)))</f>
        <v/>
      </c>
      <c r="G7" s="10">
        <f>IF($AB7="","",IF(INDEX(기본자료!$E$2:$E$501,$AB7)="","",INDEX(기본자료!$E$2:$E$501,$AB7)))</f>
        <v/>
      </c>
      <c r="H7" s="10">
        <f>IF($AB7="","",IF(INDEX(기본자료!$F$2:$F$501,$AB7)="","",INDEX(기본자료!$F$2:$F$501,$AB7)))</f>
        <v/>
      </c>
      <c r="I7" s="11">
        <f>IF($AB7="","",IF(INDEX(기본자료!$G$2:$G$501,$AB7)="","",IF(NOT(ISNUMBER(INDEX(기본자료!$G$2:$G$501,$AB7))),INDEX(기본자료!$G$2:$G$501,$AB7),IF(INDEX(기본자료!$G$2:$G$501,$AB7)&lt;1000000,INDEX(기본자료!$G$2:$G$501,$AB7),IF(AND(INDEX(기본자료!$G$2:$G$501,$AB7)&gt;=10000101,INT(MOD(INDEX(기본자료!$G$2:$G$501,$AB7),10000)/100)&gt;=1,INT(MOD(INDEX(기본자료!$G$2:$G$501,$AB7),10000)/100)&lt;=12,MOD(INDEX(기본자료!$G$2:$G$501,$AB7),100)&gt;=1,MOD(INDEX(기본자료!$G$2:$G$501,$AB7),100)&lt;=31),DATE(INT(INDEX(기본자료!$G$2:$G$501,$AB7)/10000),INT(MOD(INDEX(기본자료!$G$2:$G$501,$AB7),10000)/100),MOD(INDEX(기본자료!$G$2:$G$501,$AB7),100)),INDEX(기본자료!$G$2:$G$501,$AB7)&amp;"")))))</f>
        <v/>
      </c>
      <c r="J7" s="10">
        <f>IF($AB7="","",IF(INDEX(기본자료!$H$2:$H$501,$AB7)="","",INDEX(기본자료!$H$2:$H$501,$AB7)))</f>
        <v/>
      </c>
      <c r="K7" s="10">
        <f>IF($AB7="","",IF(INDEX(기본자료!$I$2:$I$501,$AB7)="","",INDEX(기본자료!$I$2:$I$501,$AB7)))</f>
        <v/>
      </c>
      <c r="L7" s="10">
        <f>IF($AB7="","",IF(INDEX(기본자료!$A$2:$A$501,$AB7)="","",INDEX(기본자료!$A$2:$A$501,$AB7)))</f>
        <v/>
      </c>
      <c r="M7" s="15" t="inlineStr">
        <is>
          <t>서울병원</t>
        </is>
      </c>
      <c r="N7" s="10">
        <f>IF($B7="","",IF(AND($U7="파견중",$Q7&lt;&gt;""),$Q7,IF(AND($AD7&lt;&gt;"",LEFT($AD7,1)&lt;&gt;"⚠"),LEFT($AD7,FIND(" ",$AD7)-1),IF($H7="","",IF(RIGHT($H7,2)="병원",$H7,$H7&amp;"병원")))))</f>
        <v/>
      </c>
      <c r="O7" s="10">
        <f>IF($B7="","",IF(AND($U7="파견중",$Q7&lt;&gt;""),IF($R7&lt;&gt;"",$R7,"파견과 미입력"),IF(AND($AD7&lt;&gt;"",LEFT($AD7,1)&lt;&gt;"⚠"),MID($AD7,FIND(" ",$AD7)+1,60),IF($F7="","",IF($F7="인턴","수련교육부(인턴)",$F7)))))</f>
        <v/>
      </c>
      <c r="P7" s="10">
        <f>IF($B7="","",IF($AK7&lt;&gt;"",IF(AND(TODAY()&gt;=INDEX(파견수련계획!$AB$4:$AB$203,$AK7),OR(NOT(ISNUMBER(INDEX(파견수련계획!$AC$4:$AC$203,$AK7))),TODAY()&lt;=INDEX(파견수련계획!$AC$4:$AC$203,$AK7))),"다기관",IF($AF7="","",INDEX(파견수련계획!$T$4:$T$203,$AF7))),IF($AF7="","",INDEX(파견수련계획!$T$4:$T$203,$AF7))))</f>
        <v/>
      </c>
      <c r="Q7" s="10">
        <f>IF($AF7="","",INDEX(파견수련계획!$S$4:$S$203,$AF7))</f>
        <v/>
      </c>
      <c r="R7" s="10">
        <f>IF($AF7="","",INDEX(파견수련계획!$U$4:$U$203,$AF7))</f>
        <v/>
      </c>
      <c r="S7" s="11">
        <f>IF($AF7="","",IF(INDEX(파견수련계획!$H$4:$H$203,$AF7)="","",INDEX(파견수련계획!$H$4:$H$203,$AF7)))</f>
        <v/>
      </c>
      <c r="T7" s="11">
        <f>IF($AF7="","",IF(INDEX(파견수련계획!$I$4:$I$203,$AF7)="","",INDEX(파견수련계획!$I$4:$I$203,$AF7)))</f>
        <v/>
      </c>
      <c r="U7" s="10">
        <f>IF($AF7="","",INDEX(파견수련계획!$X$4:$X$203,$AF7))</f>
        <v/>
      </c>
      <c r="V7" s="17">
        <f>IF($AF7="","",INDEX(파견수련계획!$V$4:$V$203,$AF7))</f>
        <v/>
      </c>
      <c r="W7" s="17">
        <f>IF(AND($U7="파견중",$T7&lt;&gt;""),$T7-TODAY(),"")</f>
        <v/>
      </c>
      <c r="X7" s="17">
        <f>IF(OR($B7="",TRIM($J7&amp;"")=""),"",SUMPRODUCT((파견수련계획!$Q$4:$Q$203=TRIM($J7&amp;""))*파견수련계획!$W$4:$W$203))</f>
        <v/>
      </c>
      <c r="Y7" s="10">
        <f>IF($B7="","",IF($AG7="","",IF(IF(TRIM($J7&amp;"")="",0,SUMPRODUCT((파견수련계획!$Q$4:$Q$203=TRIM($J7&amp;""))*파견수련계획!$AD$4:$AD$203))&gt;0,$AE7,IF(N($X7)&lt;=0,$AG7,IF($AH7+$AI7=DAY(EOMONTH(요약!$B$3,0)),IF(AND($AH7&gt;=요약!$E$3,$AI7&lt;요약!$E$3),"서울병원",IF(AND($AI7&gt;=요약!$E$3,$AH7&lt;요약!$E$3),"구리병원","⚠15일 판정불가(서울 "&amp;$AH7&amp;"일/구리 "&amp;$AI7&amp;"일)")),IF($AJ7="",$AE7,IF(INDEX(파견수련계획!$T$4:$T$203,$AJ7)="통합수련",INDEX(파견수련계획!$S$4:$S$203,$AJ7),$AE7)))))))</f>
        <v/>
      </c>
      <c r="Z7" s="19">
        <f>IF($B7="","",IF($AB7="","기본자료에 없는 사번",IF(COUNTIF($B$2:$B$201,$B7)&gt;1,"중복 사번",IF($AE7="","소속(입사장소) 입력",IF(IF(TRIM($J7&amp;"")="",0,SUMPRODUCT((파견수련계획!$Q$4:$Q$203=TRIM($J7&amp;""))*(파견수련계획!$AA$4:$AA$203&lt;&gt;"")))&gt;0,"파견수련계획 입력오류 확인",IF(LEFT($Y7,1)="⚠","서울·구리 15일 판정 불가(양쪽 모두 이상/미만)",IF(IF($AC7="",0,N(INDEX(인턴근무계획!$T$3:$T$202,$AC7)))&gt;0,"인턴계획 입력오류 확인",IF(AND($AC7&lt;&gt;"",$U7&lt;&gt;"파견중",$N7&lt;&gt;$AE7),"인턴 타지역 근무: 파견 여부 확인","정상"))))))))</f>
        <v/>
      </c>
      <c r="AA7" s="5" t="inlineStr">
        <is>
          <t>예시 데이터(인턴)</t>
        </is>
      </c>
      <c r="AB7" s="10">
        <f>IF($B7="","",IFERROR(MATCH($B7,기본자료!$B$2:$B$501,0),IFERROR(MATCH($B7&amp;"",기본자료!$B$2:$B$501,0),IFERROR(MATCH(VALUE($B7),기본자료!$B$2:$B$501,0),""))))</f>
        <v/>
      </c>
      <c r="AC7" s="10">
        <f>IF($B7="","",IFERROR(MATCH($B7,인턴근무계획!$D$3:$D$202,0),IFERROR(MATCH($B7&amp;"",인턴근무계획!$D$3:$D$202,0),IFERROR(MATCH(VALUE($B7),인턴근무계획!$D$3:$D$202,0),""))))</f>
        <v/>
      </c>
      <c r="AD7" s="10">
        <f>IF(OR($AC7="",인턴현황!$G$3=""),"",INDEX(인턴근무계획!$M$3:$R$202,$AC7,인턴현황!$G$3)&amp;"")</f>
        <v/>
      </c>
      <c r="AE7" s="10">
        <f>IF($B7="","",IF($M7&lt;&gt;"",$M7,IF($AF7&lt;&gt;"",IF(LEFT(INDEX(파견수련계획!$R$4:$R$203,$AF7),1)&lt;&gt;"⚠",INDEX(파견수련계획!$R$4:$R$203,$AF7),IF($H7="","",IF(RIGHT($H7,2)="병원",$H7,$H7&amp;"병원"))),IF($H7="","",IF(RIGHT($H7,2)="병원",$H7,$H7&amp;"병원")))))</f>
        <v/>
      </c>
      <c r="AF7" s="10">
        <f>IF(OR($B7="",TRIM($J7&amp;"")=""),"",IFERROR(MATCH(TRIM($J7&amp;"")&amp;"|파견중",파견수련계획!$Y$4:$Y$203,0),IFERROR(MATCH(TRIM($J7&amp;"")&amp;"|파견예정",파견수련계획!$Y$4:$Y$203,0),IFERROR(MATCH(TRIM($J7&amp;"")&amp;"|파견종료",파견수련계획!$Y$4:$Y$203,0),""))))</f>
        <v/>
      </c>
      <c r="AG7" s="10">
        <f>IF($B7="","",IF(AND(IF(OR($AC7="",인턴현황!$K$2=""),"",INDEX(인턴근무계획!$M$3:$R$202,$AC7,인턴현황!$K$2)&amp;"")&lt;&gt;"",LEFT(IF(OR($AC7="",인턴현황!$K$2=""),"",INDEX(인턴근무계획!$M$3:$R$202,$AC7,인턴현황!$K$2)&amp;""),1)&lt;&gt;"⚠"),LEFT(IF(OR($AC7="",인턴현황!$K$2=""),"",INDEX(인턴근무계획!$M$3:$R$202,$AC7,인턴현황!$K$2)&amp;""),FIND(" ",IF(OR($AC7="",인턴현황!$K$2=""),"",INDEX(인턴근무계획!$M$3:$R$202,$AC7,인턴현황!$K$2)&amp;""))-1),$AE7))</f>
        <v/>
      </c>
      <c r="AH7" s="17">
        <f>IF($B7="","",IF(TRIM($J7&amp;"")="",0,SUMPRODUCT((파견수련계획!$Q$4:$Q$203=TRIM($J7&amp;""))*(파견수련계획!$S$4:$S$203="서울병원")*파견수련계획!$W$4:$W$203))+IF($AG7="서울병원",MAX(0,DAY(EOMONTH(요약!$B$3,0))-N($X7)),0))</f>
        <v/>
      </c>
      <c r="AI7" s="17">
        <f>IF($B7="","",IF(TRIM($J7&amp;"")="",0,SUMPRODUCT((파견수련계획!$Q$4:$Q$203=TRIM($J7&amp;""))*(파견수련계획!$S$4:$S$203="구리병원")*파견수련계획!$W$4:$W$203))+IF($AG7="구리병원",MAX(0,DAY(EOMONTH(요약!$B$3,0))-N($X7)),0))</f>
        <v/>
      </c>
      <c r="AJ7" s="10">
        <f>IF(OR($B7="",TRIM($J7&amp;"")=""),"",IFERROR(MATCH(TRIM($J7&amp;"")&amp;"|월",파견수련계획!$Z$4:$Z$203,0),""))</f>
        <v/>
      </c>
      <c r="AK7" s="10">
        <f>IF(OR($B7="",TRIM($J7&amp;"")=""),"",IFERROR(MATCH(TRIM($J7&amp;"")&amp;"|다기관",파견수련계획!$AE$4:$AE$203,0),""))</f>
        <v/>
      </c>
      <c r="AL7" s="10">
        <f>IF($AK7="","","다기관 "&amp;TEXT(INDEX(파견수련계획!$AB$4:$AB$203,$AK7),"yyyy-mm-dd")&amp;"~"&amp;IF(ISNUMBER(INDEX(파견수련계획!$AC$4:$AC$203,$AK7)),TEXT(INDEX(파견수련계획!$AC$4:$AC$203,$AK7),"yyyy-mm-dd"),""))</f>
        <v/>
      </c>
    </row>
    <row r="8">
      <c r="A8" s="10">
        <f>IF(B8="","",ROW()-1)</f>
        <v/>
      </c>
      <c r="B8" s="18" t="inlineStr">
        <is>
          <t>222223</t>
        </is>
      </c>
      <c r="C8" s="10">
        <f>IF($AB8="","",IF(INDEX(기본자료!$C$2:$C$501,$AB8)="","",INDEX(기본자료!$C$2:$C$501,$AB8)))</f>
        <v/>
      </c>
      <c r="D8" s="10">
        <f>IF($AB8="","",IF(INDEX(기본자료!$J$2:$J$501,$AB8)="","",INDEX(기본자료!$J$2:$J$501,$AB8)))</f>
        <v/>
      </c>
      <c r="E8" s="11">
        <f>IF($AB8="","",IF(INDEX(기본자료!$K$2:$K$501,$AB8)="","",IF(NOT(ISNUMBER(INDEX(기본자료!$K$2:$K$501,$AB8))),INDEX(기본자료!$K$2:$K$501,$AB8),IF(INDEX(기본자료!$K$2:$K$501,$AB8)&lt;1000000,INDEX(기본자료!$K$2:$K$501,$AB8),IF(AND(INDEX(기본자료!$K$2:$K$501,$AB8)&gt;=10000101,INT(MOD(INDEX(기본자료!$K$2:$K$501,$AB8),10000)/100)&gt;=1,INT(MOD(INDEX(기본자료!$K$2:$K$501,$AB8),10000)/100)&lt;=12,MOD(INDEX(기본자료!$K$2:$K$501,$AB8),100)&gt;=1,MOD(INDEX(기본자료!$K$2:$K$501,$AB8),100)&lt;=31),DATE(INT(INDEX(기본자료!$K$2:$K$501,$AB8)/10000),INT(MOD(INDEX(기본자료!$K$2:$K$501,$AB8),10000)/100),MOD(INDEX(기본자료!$K$2:$K$501,$AB8),100)),INDEX(기본자료!$K$2:$K$501,$AB8)&amp;"")))))</f>
        <v/>
      </c>
      <c r="F8" s="10">
        <f>IF($AB8="","",IF(INDEX(기본자료!$D$2:$D$501,$AB8)="","",INDEX(기본자료!$D$2:$D$501,$AB8)))</f>
        <v/>
      </c>
      <c r="G8" s="10">
        <f>IF($AB8="","",IF(INDEX(기본자료!$E$2:$E$501,$AB8)="","",INDEX(기본자료!$E$2:$E$501,$AB8)))</f>
        <v/>
      </c>
      <c r="H8" s="10">
        <f>IF($AB8="","",IF(INDEX(기본자료!$F$2:$F$501,$AB8)="","",INDEX(기본자료!$F$2:$F$501,$AB8)))</f>
        <v/>
      </c>
      <c r="I8" s="11">
        <f>IF($AB8="","",IF(INDEX(기본자료!$G$2:$G$501,$AB8)="","",IF(NOT(ISNUMBER(INDEX(기본자료!$G$2:$G$501,$AB8))),INDEX(기본자료!$G$2:$G$501,$AB8),IF(INDEX(기본자료!$G$2:$G$501,$AB8)&lt;1000000,INDEX(기본자료!$G$2:$G$501,$AB8),IF(AND(INDEX(기본자료!$G$2:$G$501,$AB8)&gt;=10000101,INT(MOD(INDEX(기본자료!$G$2:$G$501,$AB8),10000)/100)&gt;=1,INT(MOD(INDEX(기본자료!$G$2:$G$501,$AB8),10000)/100)&lt;=12,MOD(INDEX(기본자료!$G$2:$G$501,$AB8),100)&gt;=1,MOD(INDEX(기본자료!$G$2:$G$501,$AB8),100)&lt;=31),DATE(INT(INDEX(기본자료!$G$2:$G$501,$AB8)/10000),INT(MOD(INDEX(기본자료!$G$2:$G$501,$AB8),10000)/100),MOD(INDEX(기본자료!$G$2:$G$501,$AB8),100)),INDEX(기본자료!$G$2:$G$501,$AB8)&amp;"")))))</f>
        <v/>
      </c>
      <c r="J8" s="10">
        <f>IF($AB8="","",IF(INDEX(기본자료!$H$2:$H$501,$AB8)="","",INDEX(기본자료!$H$2:$H$501,$AB8)))</f>
        <v/>
      </c>
      <c r="K8" s="10">
        <f>IF($AB8="","",IF(INDEX(기본자료!$I$2:$I$501,$AB8)="","",INDEX(기본자료!$I$2:$I$501,$AB8)))</f>
        <v/>
      </c>
      <c r="L8" s="10">
        <f>IF($AB8="","",IF(INDEX(기본자료!$A$2:$A$501,$AB8)="","",INDEX(기본자료!$A$2:$A$501,$AB8)))</f>
        <v/>
      </c>
      <c r="M8" s="15" t="inlineStr">
        <is>
          <t>서울병원</t>
        </is>
      </c>
      <c r="N8" s="10">
        <f>IF($B8="","",IF(AND($U8="파견중",$Q8&lt;&gt;""),$Q8,IF(AND($AD8&lt;&gt;"",LEFT($AD8,1)&lt;&gt;"⚠"),LEFT($AD8,FIND(" ",$AD8)-1),IF($H8="","",IF(RIGHT($H8,2)="병원",$H8,$H8&amp;"병원")))))</f>
        <v/>
      </c>
      <c r="O8" s="10">
        <f>IF($B8="","",IF(AND($U8="파견중",$Q8&lt;&gt;""),IF($R8&lt;&gt;"",$R8,"파견과 미입력"),IF(AND($AD8&lt;&gt;"",LEFT($AD8,1)&lt;&gt;"⚠"),MID($AD8,FIND(" ",$AD8)+1,60),IF($F8="","",IF($F8="인턴","수련교육부(인턴)",$F8)))))</f>
        <v/>
      </c>
      <c r="P8" s="10">
        <f>IF($B8="","",IF($AK8&lt;&gt;"",IF(AND(TODAY()&gt;=INDEX(파견수련계획!$AB$4:$AB$203,$AK8),OR(NOT(ISNUMBER(INDEX(파견수련계획!$AC$4:$AC$203,$AK8))),TODAY()&lt;=INDEX(파견수련계획!$AC$4:$AC$203,$AK8))),"다기관",IF($AF8="","",INDEX(파견수련계획!$T$4:$T$203,$AF8))),IF($AF8="","",INDEX(파견수련계획!$T$4:$T$203,$AF8))))</f>
        <v/>
      </c>
      <c r="Q8" s="10">
        <f>IF($AF8="","",INDEX(파견수련계획!$S$4:$S$203,$AF8))</f>
        <v/>
      </c>
      <c r="R8" s="10">
        <f>IF($AF8="","",INDEX(파견수련계획!$U$4:$U$203,$AF8))</f>
        <v/>
      </c>
      <c r="S8" s="11">
        <f>IF($AF8="","",IF(INDEX(파견수련계획!$H$4:$H$203,$AF8)="","",INDEX(파견수련계획!$H$4:$H$203,$AF8)))</f>
        <v/>
      </c>
      <c r="T8" s="11">
        <f>IF($AF8="","",IF(INDEX(파견수련계획!$I$4:$I$203,$AF8)="","",INDEX(파견수련계획!$I$4:$I$203,$AF8)))</f>
        <v/>
      </c>
      <c r="U8" s="10">
        <f>IF($AF8="","",INDEX(파견수련계획!$X$4:$X$203,$AF8))</f>
        <v/>
      </c>
      <c r="V8" s="17">
        <f>IF($AF8="","",INDEX(파견수련계획!$V$4:$V$203,$AF8))</f>
        <v/>
      </c>
      <c r="W8" s="17">
        <f>IF(AND($U8="파견중",$T8&lt;&gt;""),$T8-TODAY(),"")</f>
        <v/>
      </c>
      <c r="X8" s="17">
        <f>IF(OR($B8="",TRIM($J8&amp;"")=""),"",SUMPRODUCT((파견수련계획!$Q$4:$Q$203=TRIM($J8&amp;""))*파견수련계획!$W$4:$W$203))</f>
        <v/>
      </c>
      <c r="Y8" s="10">
        <f>IF($B8="","",IF($AG8="","",IF(IF(TRIM($J8&amp;"")="",0,SUMPRODUCT((파견수련계획!$Q$4:$Q$203=TRIM($J8&amp;""))*파견수련계획!$AD$4:$AD$203))&gt;0,$AE8,IF(N($X8)&lt;=0,$AG8,IF($AH8+$AI8=DAY(EOMONTH(요약!$B$3,0)),IF(AND($AH8&gt;=요약!$E$3,$AI8&lt;요약!$E$3),"서울병원",IF(AND($AI8&gt;=요약!$E$3,$AH8&lt;요약!$E$3),"구리병원","⚠15일 판정불가(서울 "&amp;$AH8&amp;"일/구리 "&amp;$AI8&amp;"일)")),IF($AJ8="",$AE8,IF(INDEX(파견수련계획!$T$4:$T$203,$AJ8)="통합수련",INDEX(파견수련계획!$S$4:$S$203,$AJ8),$AE8)))))))</f>
        <v/>
      </c>
      <c r="Z8" s="19">
        <f>IF($B8="","",IF($AB8="","기본자료에 없는 사번",IF(COUNTIF($B$2:$B$201,$B8)&gt;1,"중복 사번",IF($AE8="","소속(입사장소) 입력",IF(IF(TRIM($J8&amp;"")="",0,SUMPRODUCT((파견수련계획!$Q$4:$Q$203=TRIM($J8&amp;""))*(파견수련계획!$AA$4:$AA$203&lt;&gt;"")))&gt;0,"파견수련계획 입력오류 확인",IF(LEFT($Y8,1)="⚠","서울·구리 15일 판정 불가(양쪽 모두 이상/미만)",IF(IF($AC8="",0,N(INDEX(인턴근무계획!$T$3:$T$202,$AC8)))&gt;0,"인턴계획 입력오류 확인",IF(AND($AC8&lt;&gt;"",$U8&lt;&gt;"파견중",$N8&lt;&gt;$AE8),"인턴 타지역 근무: 파견 여부 확인","정상"))))))))</f>
        <v/>
      </c>
      <c r="AA8" s="5" t="inlineStr">
        <is>
          <t>예시 데이터(인턴)</t>
        </is>
      </c>
      <c r="AB8" s="10">
        <f>IF($B8="","",IFERROR(MATCH($B8,기본자료!$B$2:$B$501,0),IFERROR(MATCH($B8&amp;"",기본자료!$B$2:$B$501,0),IFERROR(MATCH(VALUE($B8),기본자료!$B$2:$B$501,0),""))))</f>
        <v/>
      </c>
      <c r="AC8" s="10">
        <f>IF($B8="","",IFERROR(MATCH($B8,인턴근무계획!$D$3:$D$202,0),IFERROR(MATCH($B8&amp;"",인턴근무계획!$D$3:$D$202,0),IFERROR(MATCH(VALUE($B8),인턴근무계획!$D$3:$D$202,0),""))))</f>
        <v/>
      </c>
      <c r="AD8" s="10">
        <f>IF(OR($AC8="",인턴현황!$G$3=""),"",INDEX(인턴근무계획!$M$3:$R$202,$AC8,인턴현황!$G$3)&amp;"")</f>
        <v/>
      </c>
      <c r="AE8" s="10">
        <f>IF($B8="","",IF($M8&lt;&gt;"",$M8,IF($AF8&lt;&gt;"",IF(LEFT(INDEX(파견수련계획!$R$4:$R$203,$AF8),1)&lt;&gt;"⚠",INDEX(파견수련계획!$R$4:$R$203,$AF8),IF($H8="","",IF(RIGHT($H8,2)="병원",$H8,$H8&amp;"병원"))),IF($H8="","",IF(RIGHT($H8,2)="병원",$H8,$H8&amp;"병원")))))</f>
        <v/>
      </c>
      <c r="AF8" s="10">
        <f>IF(OR($B8="",TRIM($J8&amp;"")=""),"",IFERROR(MATCH(TRIM($J8&amp;"")&amp;"|파견중",파견수련계획!$Y$4:$Y$203,0),IFERROR(MATCH(TRIM($J8&amp;"")&amp;"|파견예정",파견수련계획!$Y$4:$Y$203,0),IFERROR(MATCH(TRIM($J8&amp;"")&amp;"|파견종료",파견수련계획!$Y$4:$Y$203,0),""))))</f>
        <v/>
      </c>
      <c r="AG8" s="10">
        <f>IF($B8="","",IF(AND(IF(OR($AC8="",인턴현황!$K$2=""),"",INDEX(인턴근무계획!$M$3:$R$202,$AC8,인턴현황!$K$2)&amp;"")&lt;&gt;"",LEFT(IF(OR($AC8="",인턴현황!$K$2=""),"",INDEX(인턴근무계획!$M$3:$R$202,$AC8,인턴현황!$K$2)&amp;""),1)&lt;&gt;"⚠"),LEFT(IF(OR($AC8="",인턴현황!$K$2=""),"",INDEX(인턴근무계획!$M$3:$R$202,$AC8,인턴현황!$K$2)&amp;""),FIND(" ",IF(OR($AC8="",인턴현황!$K$2=""),"",INDEX(인턴근무계획!$M$3:$R$202,$AC8,인턴현황!$K$2)&amp;""))-1),$AE8))</f>
        <v/>
      </c>
      <c r="AH8" s="17">
        <f>IF($B8="","",IF(TRIM($J8&amp;"")="",0,SUMPRODUCT((파견수련계획!$Q$4:$Q$203=TRIM($J8&amp;""))*(파견수련계획!$S$4:$S$203="서울병원")*파견수련계획!$W$4:$W$203))+IF($AG8="서울병원",MAX(0,DAY(EOMONTH(요약!$B$3,0))-N($X8)),0))</f>
        <v/>
      </c>
      <c r="AI8" s="17">
        <f>IF($B8="","",IF(TRIM($J8&amp;"")="",0,SUMPRODUCT((파견수련계획!$Q$4:$Q$203=TRIM($J8&amp;""))*(파견수련계획!$S$4:$S$203="구리병원")*파견수련계획!$W$4:$W$203))+IF($AG8="구리병원",MAX(0,DAY(EOMONTH(요약!$B$3,0))-N($X8)),0))</f>
        <v/>
      </c>
      <c r="AJ8" s="10">
        <f>IF(OR($B8="",TRIM($J8&amp;"")=""),"",IFERROR(MATCH(TRIM($J8&amp;"")&amp;"|월",파견수련계획!$Z$4:$Z$203,0),""))</f>
        <v/>
      </c>
      <c r="AK8" s="10">
        <f>IF(OR($B8="",TRIM($J8&amp;"")=""),"",IFERROR(MATCH(TRIM($J8&amp;"")&amp;"|다기관",파견수련계획!$AE$4:$AE$203,0),""))</f>
        <v/>
      </c>
      <c r="AL8" s="10">
        <f>IF($AK8="","","다기관 "&amp;TEXT(INDEX(파견수련계획!$AB$4:$AB$203,$AK8),"yyyy-mm-dd")&amp;"~"&amp;IF(ISNUMBER(INDEX(파견수련계획!$AC$4:$AC$203,$AK8)),TEXT(INDEX(파견수련계획!$AC$4:$AC$203,$AK8),"yyyy-mm-dd"),""))</f>
        <v/>
      </c>
    </row>
    <row r="9">
      <c r="A9" s="10">
        <f>IF(B9="","",ROW()-1)</f>
        <v/>
      </c>
      <c r="B9" s="18" t="inlineStr">
        <is>
          <t>222224</t>
        </is>
      </c>
      <c r="C9" s="10">
        <f>IF($AB9="","",IF(INDEX(기본자료!$C$2:$C$501,$AB9)="","",INDEX(기본자료!$C$2:$C$501,$AB9)))</f>
        <v/>
      </c>
      <c r="D9" s="10">
        <f>IF($AB9="","",IF(INDEX(기본자료!$J$2:$J$501,$AB9)="","",INDEX(기본자료!$J$2:$J$501,$AB9)))</f>
        <v/>
      </c>
      <c r="E9" s="11">
        <f>IF($AB9="","",IF(INDEX(기본자료!$K$2:$K$501,$AB9)="","",IF(NOT(ISNUMBER(INDEX(기본자료!$K$2:$K$501,$AB9))),INDEX(기본자료!$K$2:$K$501,$AB9),IF(INDEX(기본자료!$K$2:$K$501,$AB9)&lt;1000000,INDEX(기본자료!$K$2:$K$501,$AB9),IF(AND(INDEX(기본자료!$K$2:$K$501,$AB9)&gt;=10000101,INT(MOD(INDEX(기본자료!$K$2:$K$501,$AB9),10000)/100)&gt;=1,INT(MOD(INDEX(기본자료!$K$2:$K$501,$AB9),10000)/100)&lt;=12,MOD(INDEX(기본자료!$K$2:$K$501,$AB9),100)&gt;=1,MOD(INDEX(기본자료!$K$2:$K$501,$AB9),100)&lt;=31),DATE(INT(INDEX(기본자료!$K$2:$K$501,$AB9)/10000),INT(MOD(INDEX(기본자료!$K$2:$K$501,$AB9),10000)/100),MOD(INDEX(기본자료!$K$2:$K$501,$AB9),100)),INDEX(기본자료!$K$2:$K$501,$AB9)&amp;"")))))</f>
        <v/>
      </c>
      <c r="F9" s="10">
        <f>IF($AB9="","",IF(INDEX(기본자료!$D$2:$D$501,$AB9)="","",INDEX(기본자료!$D$2:$D$501,$AB9)))</f>
        <v/>
      </c>
      <c r="G9" s="10">
        <f>IF($AB9="","",IF(INDEX(기본자료!$E$2:$E$501,$AB9)="","",INDEX(기본자료!$E$2:$E$501,$AB9)))</f>
        <v/>
      </c>
      <c r="H9" s="10">
        <f>IF($AB9="","",IF(INDEX(기본자료!$F$2:$F$501,$AB9)="","",INDEX(기본자료!$F$2:$F$501,$AB9)))</f>
        <v/>
      </c>
      <c r="I9" s="11">
        <f>IF($AB9="","",IF(INDEX(기본자료!$G$2:$G$501,$AB9)="","",IF(NOT(ISNUMBER(INDEX(기본자료!$G$2:$G$501,$AB9))),INDEX(기본자료!$G$2:$G$501,$AB9),IF(INDEX(기본자료!$G$2:$G$501,$AB9)&lt;1000000,INDEX(기본자료!$G$2:$G$501,$AB9),IF(AND(INDEX(기본자료!$G$2:$G$501,$AB9)&gt;=10000101,INT(MOD(INDEX(기본자료!$G$2:$G$501,$AB9),10000)/100)&gt;=1,INT(MOD(INDEX(기본자료!$G$2:$G$501,$AB9),10000)/100)&lt;=12,MOD(INDEX(기본자료!$G$2:$G$501,$AB9),100)&gt;=1,MOD(INDEX(기본자료!$G$2:$G$501,$AB9),100)&lt;=31),DATE(INT(INDEX(기본자료!$G$2:$G$501,$AB9)/10000),INT(MOD(INDEX(기본자료!$G$2:$G$501,$AB9),10000)/100),MOD(INDEX(기본자료!$G$2:$G$501,$AB9),100)),INDEX(기본자료!$G$2:$G$501,$AB9)&amp;"")))))</f>
        <v/>
      </c>
      <c r="J9" s="10">
        <f>IF($AB9="","",IF(INDEX(기본자료!$H$2:$H$501,$AB9)="","",INDEX(기본자료!$H$2:$H$501,$AB9)))</f>
        <v/>
      </c>
      <c r="K9" s="10">
        <f>IF($AB9="","",IF(INDEX(기본자료!$I$2:$I$501,$AB9)="","",INDEX(기본자료!$I$2:$I$501,$AB9)))</f>
        <v/>
      </c>
      <c r="L9" s="10">
        <f>IF($AB9="","",IF(INDEX(기본자료!$A$2:$A$501,$AB9)="","",INDEX(기본자료!$A$2:$A$501,$AB9)))</f>
        <v/>
      </c>
      <c r="M9" s="15" t="inlineStr">
        <is>
          <t>구리병원</t>
        </is>
      </c>
      <c r="N9" s="10">
        <f>IF($B9="","",IF(AND($U9="파견중",$Q9&lt;&gt;""),$Q9,IF(AND($AD9&lt;&gt;"",LEFT($AD9,1)&lt;&gt;"⚠"),LEFT($AD9,FIND(" ",$AD9)-1),IF($H9="","",IF(RIGHT($H9,2)="병원",$H9,$H9&amp;"병원")))))</f>
        <v/>
      </c>
      <c r="O9" s="10">
        <f>IF($B9="","",IF(AND($U9="파견중",$Q9&lt;&gt;""),IF($R9&lt;&gt;"",$R9,"파견과 미입력"),IF(AND($AD9&lt;&gt;"",LEFT($AD9,1)&lt;&gt;"⚠"),MID($AD9,FIND(" ",$AD9)+1,60),IF($F9="","",IF($F9="인턴","수련교육부(인턴)",$F9)))))</f>
        <v/>
      </c>
      <c r="P9" s="10">
        <f>IF($B9="","",IF($AK9&lt;&gt;"",IF(AND(TODAY()&gt;=INDEX(파견수련계획!$AB$4:$AB$203,$AK9),OR(NOT(ISNUMBER(INDEX(파견수련계획!$AC$4:$AC$203,$AK9))),TODAY()&lt;=INDEX(파견수련계획!$AC$4:$AC$203,$AK9))),"다기관",IF($AF9="","",INDEX(파견수련계획!$T$4:$T$203,$AF9))),IF($AF9="","",INDEX(파견수련계획!$T$4:$T$203,$AF9))))</f>
        <v/>
      </c>
      <c r="Q9" s="10">
        <f>IF($AF9="","",INDEX(파견수련계획!$S$4:$S$203,$AF9))</f>
        <v/>
      </c>
      <c r="R9" s="10">
        <f>IF($AF9="","",INDEX(파견수련계획!$U$4:$U$203,$AF9))</f>
        <v/>
      </c>
      <c r="S9" s="11">
        <f>IF($AF9="","",IF(INDEX(파견수련계획!$H$4:$H$203,$AF9)="","",INDEX(파견수련계획!$H$4:$H$203,$AF9)))</f>
        <v/>
      </c>
      <c r="T9" s="11">
        <f>IF($AF9="","",IF(INDEX(파견수련계획!$I$4:$I$203,$AF9)="","",INDEX(파견수련계획!$I$4:$I$203,$AF9)))</f>
        <v/>
      </c>
      <c r="U9" s="10">
        <f>IF($AF9="","",INDEX(파견수련계획!$X$4:$X$203,$AF9))</f>
        <v/>
      </c>
      <c r="V9" s="17">
        <f>IF($AF9="","",INDEX(파견수련계획!$V$4:$V$203,$AF9))</f>
        <v/>
      </c>
      <c r="W9" s="17">
        <f>IF(AND($U9="파견중",$T9&lt;&gt;""),$T9-TODAY(),"")</f>
        <v/>
      </c>
      <c r="X9" s="17">
        <f>IF(OR($B9="",TRIM($J9&amp;"")=""),"",SUMPRODUCT((파견수련계획!$Q$4:$Q$203=TRIM($J9&amp;""))*파견수련계획!$W$4:$W$203))</f>
        <v/>
      </c>
      <c r="Y9" s="10">
        <f>IF($B9="","",IF($AG9="","",IF(IF(TRIM($J9&amp;"")="",0,SUMPRODUCT((파견수련계획!$Q$4:$Q$203=TRIM($J9&amp;""))*파견수련계획!$AD$4:$AD$203))&gt;0,$AE9,IF(N($X9)&lt;=0,$AG9,IF($AH9+$AI9=DAY(EOMONTH(요약!$B$3,0)),IF(AND($AH9&gt;=요약!$E$3,$AI9&lt;요약!$E$3),"서울병원",IF(AND($AI9&gt;=요약!$E$3,$AH9&lt;요약!$E$3),"구리병원","⚠15일 판정불가(서울 "&amp;$AH9&amp;"일/구리 "&amp;$AI9&amp;"일)")),IF($AJ9="",$AE9,IF(INDEX(파견수련계획!$T$4:$T$203,$AJ9)="통합수련",INDEX(파견수련계획!$S$4:$S$203,$AJ9),$AE9)))))))</f>
        <v/>
      </c>
      <c r="Z9" s="19">
        <f>IF($B9="","",IF($AB9="","기본자료에 없는 사번",IF(COUNTIF($B$2:$B$201,$B9)&gt;1,"중복 사번",IF($AE9="","소속(입사장소) 입력",IF(IF(TRIM($J9&amp;"")="",0,SUMPRODUCT((파견수련계획!$Q$4:$Q$203=TRIM($J9&amp;""))*(파견수련계획!$AA$4:$AA$203&lt;&gt;"")))&gt;0,"파견수련계획 입력오류 확인",IF(LEFT($Y9,1)="⚠","서울·구리 15일 판정 불가(양쪽 모두 이상/미만)",IF(IF($AC9="",0,N(INDEX(인턴근무계획!$T$3:$T$202,$AC9)))&gt;0,"인턴계획 입력오류 확인",IF(AND($AC9&lt;&gt;"",$U9&lt;&gt;"파견중",$N9&lt;&gt;$AE9),"인턴 타지역 근무: 파견 여부 확인","정상"))))))))</f>
        <v/>
      </c>
      <c r="AA9" s="5" t="inlineStr">
        <is>
          <t>예시 데이터(인턴)</t>
        </is>
      </c>
      <c r="AB9" s="10">
        <f>IF($B9="","",IFERROR(MATCH($B9,기본자료!$B$2:$B$501,0),IFERROR(MATCH($B9&amp;"",기본자료!$B$2:$B$501,0),IFERROR(MATCH(VALUE($B9),기본자료!$B$2:$B$501,0),""))))</f>
        <v/>
      </c>
      <c r="AC9" s="10">
        <f>IF($B9="","",IFERROR(MATCH($B9,인턴근무계획!$D$3:$D$202,0),IFERROR(MATCH($B9&amp;"",인턴근무계획!$D$3:$D$202,0),IFERROR(MATCH(VALUE($B9),인턴근무계획!$D$3:$D$202,0),""))))</f>
        <v/>
      </c>
      <c r="AD9" s="10">
        <f>IF(OR($AC9="",인턴현황!$G$3=""),"",INDEX(인턴근무계획!$M$3:$R$202,$AC9,인턴현황!$G$3)&amp;"")</f>
        <v/>
      </c>
      <c r="AE9" s="10">
        <f>IF($B9="","",IF($M9&lt;&gt;"",$M9,IF($AF9&lt;&gt;"",IF(LEFT(INDEX(파견수련계획!$R$4:$R$203,$AF9),1)&lt;&gt;"⚠",INDEX(파견수련계획!$R$4:$R$203,$AF9),IF($H9="","",IF(RIGHT($H9,2)="병원",$H9,$H9&amp;"병원"))),IF($H9="","",IF(RIGHT($H9,2)="병원",$H9,$H9&amp;"병원")))))</f>
        <v/>
      </c>
      <c r="AF9" s="10">
        <f>IF(OR($B9="",TRIM($J9&amp;"")=""),"",IFERROR(MATCH(TRIM($J9&amp;"")&amp;"|파견중",파견수련계획!$Y$4:$Y$203,0),IFERROR(MATCH(TRIM($J9&amp;"")&amp;"|파견예정",파견수련계획!$Y$4:$Y$203,0),IFERROR(MATCH(TRIM($J9&amp;"")&amp;"|파견종료",파견수련계획!$Y$4:$Y$203,0),""))))</f>
        <v/>
      </c>
      <c r="AG9" s="10">
        <f>IF($B9="","",IF(AND(IF(OR($AC9="",인턴현황!$K$2=""),"",INDEX(인턴근무계획!$M$3:$R$202,$AC9,인턴현황!$K$2)&amp;"")&lt;&gt;"",LEFT(IF(OR($AC9="",인턴현황!$K$2=""),"",INDEX(인턴근무계획!$M$3:$R$202,$AC9,인턴현황!$K$2)&amp;""),1)&lt;&gt;"⚠"),LEFT(IF(OR($AC9="",인턴현황!$K$2=""),"",INDEX(인턴근무계획!$M$3:$R$202,$AC9,인턴현황!$K$2)&amp;""),FIND(" ",IF(OR($AC9="",인턴현황!$K$2=""),"",INDEX(인턴근무계획!$M$3:$R$202,$AC9,인턴현황!$K$2)&amp;""))-1),$AE9))</f>
        <v/>
      </c>
      <c r="AH9" s="17">
        <f>IF($B9="","",IF(TRIM($J9&amp;"")="",0,SUMPRODUCT((파견수련계획!$Q$4:$Q$203=TRIM($J9&amp;""))*(파견수련계획!$S$4:$S$203="서울병원")*파견수련계획!$W$4:$W$203))+IF($AG9="서울병원",MAX(0,DAY(EOMONTH(요약!$B$3,0))-N($X9)),0))</f>
        <v/>
      </c>
      <c r="AI9" s="17">
        <f>IF($B9="","",IF(TRIM($J9&amp;"")="",0,SUMPRODUCT((파견수련계획!$Q$4:$Q$203=TRIM($J9&amp;""))*(파견수련계획!$S$4:$S$203="구리병원")*파견수련계획!$W$4:$W$203))+IF($AG9="구리병원",MAX(0,DAY(EOMONTH(요약!$B$3,0))-N($X9)),0))</f>
        <v/>
      </c>
      <c r="AJ9" s="10">
        <f>IF(OR($B9="",TRIM($J9&amp;"")=""),"",IFERROR(MATCH(TRIM($J9&amp;"")&amp;"|월",파견수련계획!$Z$4:$Z$203,0),""))</f>
        <v/>
      </c>
      <c r="AK9" s="10">
        <f>IF(OR($B9="",TRIM($J9&amp;"")=""),"",IFERROR(MATCH(TRIM($J9&amp;"")&amp;"|다기관",파견수련계획!$AE$4:$AE$203,0),""))</f>
        <v/>
      </c>
      <c r="AL9" s="10">
        <f>IF($AK9="","","다기관 "&amp;TEXT(INDEX(파견수련계획!$AB$4:$AB$203,$AK9),"yyyy-mm-dd")&amp;"~"&amp;IF(ISNUMBER(INDEX(파견수련계획!$AC$4:$AC$203,$AK9)),TEXT(INDEX(파견수련계획!$AC$4:$AC$203,$AK9),"yyyy-mm-dd"),""))</f>
        <v/>
      </c>
    </row>
    <row r="10">
      <c r="A10" s="10">
        <f>IF(B10="","",ROW()-1)</f>
        <v/>
      </c>
      <c r="B10" s="18" t="n"/>
      <c r="C10" s="10">
        <f>IF($AB10="","",IF(INDEX(기본자료!$C$2:$C$501,$AB10)="","",INDEX(기본자료!$C$2:$C$501,$AB10)))</f>
        <v/>
      </c>
      <c r="D10" s="10">
        <f>IF($AB10="","",IF(INDEX(기본자료!$J$2:$J$501,$AB10)="","",INDEX(기본자료!$J$2:$J$501,$AB10)))</f>
        <v/>
      </c>
      <c r="E10" s="11">
        <f>IF($AB10="","",IF(INDEX(기본자료!$K$2:$K$501,$AB10)="","",IF(NOT(ISNUMBER(INDEX(기본자료!$K$2:$K$501,$AB10))),INDEX(기본자료!$K$2:$K$501,$AB10),IF(INDEX(기본자료!$K$2:$K$501,$AB10)&lt;1000000,INDEX(기본자료!$K$2:$K$501,$AB10),IF(AND(INDEX(기본자료!$K$2:$K$501,$AB10)&gt;=10000101,INT(MOD(INDEX(기본자료!$K$2:$K$501,$AB10),10000)/100)&gt;=1,INT(MOD(INDEX(기본자료!$K$2:$K$501,$AB10),10000)/100)&lt;=12,MOD(INDEX(기본자료!$K$2:$K$501,$AB10),100)&gt;=1,MOD(INDEX(기본자료!$K$2:$K$501,$AB10),100)&lt;=31),DATE(INT(INDEX(기본자료!$K$2:$K$501,$AB10)/10000),INT(MOD(INDEX(기본자료!$K$2:$K$501,$AB10),10000)/100),MOD(INDEX(기본자료!$K$2:$K$501,$AB10),100)),INDEX(기본자료!$K$2:$K$501,$AB10)&amp;"")))))</f>
        <v/>
      </c>
      <c r="F10" s="10">
        <f>IF($AB10="","",IF(INDEX(기본자료!$D$2:$D$501,$AB10)="","",INDEX(기본자료!$D$2:$D$501,$AB10)))</f>
        <v/>
      </c>
      <c r="G10" s="10">
        <f>IF($AB10="","",IF(INDEX(기본자료!$E$2:$E$501,$AB10)="","",INDEX(기본자료!$E$2:$E$501,$AB10)))</f>
        <v/>
      </c>
      <c r="H10" s="10">
        <f>IF($AB10="","",IF(INDEX(기본자료!$F$2:$F$501,$AB10)="","",INDEX(기본자료!$F$2:$F$501,$AB10)))</f>
        <v/>
      </c>
      <c r="I10" s="11">
        <f>IF($AB10="","",IF(INDEX(기본자료!$G$2:$G$501,$AB10)="","",IF(NOT(ISNUMBER(INDEX(기본자료!$G$2:$G$501,$AB10))),INDEX(기본자료!$G$2:$G$501,$AB10),IF(INDEX(기본자료!$G$2:$G$501,$AB10)&lt;1000000,INDEX(기본자료!$G$2:$G$501,$AB10),IF(AND(INDEX(기본자료!$G$2:$G$501,$AB10)&gt;=10000101,INT(MOD(INDEX(기본자료!$G$2:$G$501,$AB10),10000)/100)&gt;=1,INT(MOD(INDEX(기본자료!$G$2:$G$501,$AB10),10000)/100)&lt;=12,MOD(INDEX(기본자료!$G$2:$G$501,$AB10),100)&gt;=1,MOD(INDEX(기본자료!$G$2:$G$501,$AB10),100)&lt;=31),DATE(INT(INDEX(기본자료!$G$2:$G$501,$AB10)/10000),INT(MOD(INDEX(기본자료!$G$2:$G$501,$AB10),10000)/100),MOD(INDEX(기본자료!$G$2:$G$501,$AB10),100)),INDEX(기본자료!$G$2:$G$501,$AB10)&amp;"")))))</f>
        <v/>
      </c>
      <c r="J10" s="10">
        <f>IF($AB10="","",IF(INDEX(기본자료!$H$2:$H$501,$AB10)="","",INDEX(기본자료!$H$2:$H$501,$AB10)))</f>
        <v/>
      </c>
      <c r="K10" s="10">
        <f>IF($AB10="","",IF(INDEX(기본자료!$I$2:$I$501,$AB10)="","",INDEX(기본자료!$I$2:$I$501,$AB10)))</f>
        <v/>
      </c>
      <c r="L10" s="10">
        <f>IF($AB10="","",IF(INDEX(기본자료!$A$2:$A$501,$AB10)="","",INDEX(기본자료!$A$2:$A$501,$AB10)))</f>
        <v/>
      </c>
      <c r="M10" s="15" t="n"/>
      <c r="N10" s="10">
        <f>IF($B10="","",IF(AND($U10="파견중",$Q10&lt;&gt;""),$Q10,IF(AND($AD10&lt;&gt;"",LEFT($AD10,1)&lt;&gt;"⚠"),LEFT($AD10,FIND(" ",$AD10)-1),IF($H10="","",IF(RIGHT($H10,2)="병원",$H10,$H10&amp;"병원")))))</f>
        <v/>
      </c>
      <c r="O10" s="10">
        <f>IF($B10="","",IF(AND($U10="파견중",$Q10&lt;&gt;""),IF($R10&lt;&gt;"",$R10,"파견과 미입력"),IF(AND($AD10&lt;&gt;"",LEFT($AD10,1)&lt;&gt;"⚠"),MID($AD10,FIND(" ",$AD10)+1,60),IF($F10="","",IF($F10="인턴","수련교육부(인턴)",$F10)))))</f>
        <v/>
      </c>
      <c r="P10" s="10">
        <f>IF($B10="","",IF($AK10&lt;&gt;"",IF(AND(TODAY()&gt;=INDEX(파견수련계획!$AB$4:$AB$203,$AK10),OR(NOT(ISNUMBER(INDEX(파견수련계획!$AC$4:$AC$203,$AK10))),TODAY()&lt;=INDEX(파견수련계획!$AC$4:$AC$203,$AK10))),"다기관",IF($AF10="","",INDEX(파견수련계획!$T$4:$T$203,$AF10))),IF($AF10="","",INDEX(파견수련계획!$T$4:$T$203,$AF10))))</f>
        <v/>
      </c>
      <c r="Q10" s="10">
        <f>IF($AF10="","",INDEX(파견수련계획!$S$4:$S$203,$AF10))</f>
        <v/>
      </c>
      <c r="R10" s="10">
        <f>IF($AF10="","",INDEX(파견수련계획!$U$4:$U$203,$AF10))</f>
        <v/>
      </c>
      <c r="S10" s="11">
        <f>IF($AF10="","",IF(INDEX(파견수련계획!$H$4:$H$203,$AF10)="","",INDEX(파견수련계획!$H$4:$H$203,$AF10)))</f>
        <v/>
      </c>
      <c r="T10" s="11">
        <f>IF($AF10="","",IF(INDEX(파견수련계획!$I$4:$I$203,$AF10)="","",INDEX(파견수련계획!$I$4:$I$203,$AF10)))</f>
        <v/>
      </c>
      <c r="U10" s="10">
        <f>IF($AF10="","",INDEX(파견수련계획!$X$4:$X$203,$AF10))</f>
        <v/>
      </c>
      <c r="V10" s="17">
        <f>IF($AF10="","",INDEX(파견수련계획!$V$4:$V$203,$AF10))</f>
        <v/>
      </c>
      <c r="W10" s="17">
        <f>IF(AND($U10="파견중",$T10&lt;&gt;""),$T10-TODAY(),"")</f>
        <v/>
      </c>
      <c r="X10" s="17">
        <f>IF(OR($B10="",TRIM($J10&amp;"")=""),"",SUMPRODUCT((파견수련계획!$Q$4:$Q$203=TRIM($J10&amp;""))*파견수련계획!$W$4:$W$203))</f>
        <v/>
      </c>
      <c r="Y10" s="10">
        <f>IF($B10="","",IF($AG10="","",IF(IF(TRIM($J10&amp;"")="",0,SUMPRODUCT((파견수련계획!$Q$4:$Q$203=TRIM($J10&amp;""))*파견수련계획!$AD$4:$AD$203))&gt;0,$AE10,IF(N($X10)&lt;=0,$AG10,IF($AH10+$AI10=DAY(EOMONTH(요약!$B$3,0)),IF(AND($AH10&gt;=요약!$E$3,$AI10&lt;요약!$E$3),"서울병원",IF(AND($AI10&gt;=요약!$E$3,$AH10&lt;요약!$E$3),"구리병원","⚠15일 판정불가(서울 "&amp;$AH10&amp;"일/구리 "&amp;$AI10&amp;"일)")),IF($AJ10="",$AE10,IF(INDEX(파견수련계획!$T$4:$T$203,$AJ10)="통합수련",INDEX(파견수련계획!$S$4:$S$203,$AJ10),$AE10)))))))</f>
        <v/>
      </c>
      <c r="Z10" s="19">
        <f>IF($B10="","",IF($AB10="","기본자료에 없는 사번",IF(COUNTIF($B$2:$B$201,$B10)&gt;1,"중복 사번",IF($AE10="","소속(입사장소) 입력",IF(IF(TRIM($J10&amp;"")="",0,SUMPRODUCT((파견수련계획!$Q$4:$Q$203=TRIM($J10&amp;""))*(파견수련계획!$AA$4:$AA$203&lt;&gt;"")))&gt;0,"파견수련계획 입력오류 확인",IF(LEFT($Y10,1)="⚠","서울·구리 15일 판정 불가(양쪽 모두 이상/미만)",IF(IF($AC10="",0,N(INDEX(인턴근무계획!$T$3:$T$202,$AC10)))&gt;0,"인턴계획 입력오류 확인",IF(AND($AC10&lt;&gt;"",$U10&lt;&gt;"파견중",$N10&lt;&gt;$AE10),"인턴 타지역 근무: 파견 여부 확인","정상"))))))))</f>
        <v/>
      </c>
      <c r="AA10" s="5" t="n"/>
      <c r="AB10" s="10">
        <f>IF($B10="","",IFERROR(MATCH($B10,기본자료!$B$2:$B$501,0),IFERROR(MATCH($B10&amp;"",기본자료!$B$2:$B$501,0),IFERROR(MATCH(VALUE($B10),기본자료!$B$2:$B$501,0),""))))</f>
        <v/>
      </c>
      <c r="AC10" s="10">
        <f>IF($B10="","",IFERROR(MATCH($B10,인턴근무계획!$D$3:$D$202,0),IFERROR(MATCH($B10&amp;"",인턴근무계획!$D$3:$D$202,0),IFERROR(MATCH(VALUE($B10),인턴근무계획!$D$3:$D$202,0),""))))</f>
        <v/>
      </c>
      <c r="AD10" s="10">
        <f>IF(OR($AC10="",인턴현황!$G$3=""),"",INDEX(인턴근무계획!$M$3:$R$202,$AC10,인턴현황!$G$3)&amp;"")</f>
        <v/>
      </c>
      <c r="AE10" s="10">
        <f>IF($B10="","",IF($M10&lt;&gt;"",$M10,IF($AF10&lt;&gt;"",IF(LEFT(INDEX(파견수련계획!$R$4:$R$203,$AF10),1)&lt;&gt;"⚠",INDEX(파견수련계획!$R$4:$R$203,$AF10),IF($H10="","",IF(RIGHT($H10,2)="병원",$H10,$H10&amp;"병원"))),IF($H10="","",IF(RIGHT($H10,2)="병원",$H10,$H10&amp;"병원")))))</f>
        <v/>
      </c>
      <c r="AF10" s="10">
        <f>IF(OR($B10="",TRIM($J10&amp;"")=""),"",IFERROR(MATCH(TRIM($J10&amp;"")&amp;"|파견중",파견수련계획!$Y$4:$Y$203,0),IFERROR(MATCH(TRIM($J10&amp;"")&amp;"|파견예정",파견수련계획!$Y$4:$Y$203,0),IFERROR(MATCH(TRIM($J10&amp;"")&amp;"|파견종료",파견수련계획!$Y$4:$Y$203,0),""))))</f>
        <v/>
      </c>
      <c r="AG10" s="10">
        <f>IF($B10="","",IF(AND(IF(OR($AC10="",인턴현황!$K$2=""),"",INDEX(인턴근무계획!$M$3:$R$202,$AC10,인턴현황!$K$2)&amp;"")&lt;&gt;"",LEFT(IF(OR($AC10="",인턴현황!$K$2=""),"",INDEX(인턴근무계획!$M$3:$R$202,$AC10,인턴현황!$K$2)&amp;""),1)&lt;&gt;"⚠"),LEFT(IF(OR($AC10="",인턴현황!$K$2=""),"",INDEX(인턴근무계획!$M$3:$R$202,$AC10,인턴현황!$K$2)&amp;""),FIND(" ",IF(OR($AC10="",인턴현황!$K$2=""),"",INDEX(인턴근무계획!$M$3:$R$202,$AC10,인턴현황!$K$2)&amp;""))-1),$AE10))</f>
        <v/>
      </c>
      <c r="AH10" s="17">
        <f>IF($B10="","",IF(TRIM($J10&amp;"")="",0,SUMPRODUCT((파견수련계획!$Q$4:$Q$203=TRIM($J10&amp;""))*(파견수련계획!$S$4:$S$203="서울병원")*파견수련계획!$W$4:$W$203))+IF($AG10="서울병원",MAX(0,DAY(EOMONTH(요약!$B$3,0))-N($X10)),0))</f>
        <v/>
      </c>
      <c r="AI10" s="17">
        <f>IF($B10="","",IF(TRIM($J10&amp;"")="",0,SUMPRODUCT((파견수련계획!$Q$4:$Q$203=TRIM($J10&amp;""))*(파견수련계획!$S$4:$S$203="구리병원")*파견수련계획!$W$4:$W$203))+IF($AG10="구리병원",MAX(0,DAY(EOMONTH(요약!$B$3,0))-N($X10)),0))</f>
        <v/>
      </c>
      <c r="AJ10" s="10">
        <f>IF(OR($B10="",TRIM($J10&amp;"")=""),"",IFERROR(MATCH(TRIM($J10&amp;"")&amp;"|월",파견수련계획!$Z$4:$Z$203,0),""))</f>
        <v/>
      </c>
      <c r="AK10" s="10">
        <f>IF(OR($B10="",TRIM($J10&amp;"")=""),"",IFERROR(MATCH(TRIM($J10&amp;"")&amp;"|다기관",파견수련계획!$AE$4:$AE$203,0),""))</f>
        <v/>
      </c>
      <c r="AL10" s="10">
        <f>IF($AK10="","","다기관 "&amp;TEXT(INDEX(파견수련계획!$AB$4:$AB$203,$AK10),"yyyy-mm-dd")&amp;"~"&amp;IF(ISNUMBER(INDEX(파견수련계획!$AC$4:$AC$203,$AK10)),TEXT(INDEX(파견수련계획!$AC$4:$AC$203,$AK10),"yyyy-mm-dd"),""))</f>
        <v/>
      </c>
    </row>
    <row r="11">
      <c r="A11" s="10">
        <f>IF(B11="","",ROW()-1)</f>
        <v/>
      </c>
      <c r="B11" s="18" t="n"/>
      <c r="C11" s="10">
        <f>IF($AB11="","",IF(INDEX(기본자료!$C$2:$C$501,$AB11)="","",INDEX(기본자료!$C$2:$C$501,$AB11)))</f>
        <v/>
      </c>
      <c r="D11" s="10">
        <f>IF($AB11="","",IF(INDEX(기본자료!$J$2:$J$501,$AB11)="","",INDEX(기본자료!$J$2:$J$501,$AB11)))</f>
        <v/>
      </c>
      <c r="E11" s="11">
        <f>IF($AB11="","",IF(INDEX(기본자료!$K$2:$K$501,$AB11)="","",IF(NOT(ISNUMBER(INDEX(기본자료!$K$2:$K$501,$AB11))),INDEX(기본자료!$K$2:$K$501,$AB11),IF(INDEX(기본자료!$K$2:$K$501,$AB11)&lt;1000000,INDEX(기본자료!$K$2:$K$501,$AB11),IF(AND(INDEX(기본자료!$K$2:$K$501,$AB11)&gt;=10000101,INT(MOD(INDEX(기본자료!$K$2:$K$501,$AB11),10000)/100)&gt;=1,INT(MOD(INDEX(기본자료!$K$2:$K$501,$AB11),10000)/100)&lt;=12,MOD(INDEX(기본자료!$K$2:$K$501,$AB11),100)&gt;=1,MOD(INDEX(기본자료!$K$2:$K$501,$AB11),100)&lt;=31),DATE(INT(INDEX(기본자료!$K$2:$K$501,$AB11)/10000),INT(MOD(INDEX(기본자료!$K$2:$K$501,$AB11),10000)/100),MOD(INDEX(기본자료!$K$2:$K$501,$AB11),100)),INDEX(기본자료!$K$2:$K$501,$AB11)&amp;"")))))</f>
        <v/>
      </c>
      <c r="F11" s="10">
        <f>IF($AB11="","",IF(INDEX(기본자료!$D$2:$D$501,$AB11)="","",INDEX(기본자료!$D$2:$D$501,$AB11)))</f>
        <v/>
      </c>
      <c r="G11" s="10">
        <f>IF($AB11="","",IF(INDEX(기본자료!$E$2:$E$501,$AB11)="","",INDEX(기본자료!$E$2:$E$501,$AB11)))</f>
        <v/>
      </c>
      <c r="H11" s="10">
        <f>IF($AB11="","",IF(INDEX(기본자료!$F$2:$F$501,$AB11)="","",INDEX(기본자료!$F$2:$F$501,$AB11)))</f>
        <v/>
      </c>
      <c r="I11" s="11">
        <f>IF($AB11="","",IF(INDEX(기본자료!$G$2:$G$501,$AB11)="","",IF(NOT(ISNUMBER(INDEX(기본자료!$G$2:$G$501,$AB11))),INDEX(기본자료!$G$2:$G$501,$AB11),IF(INDEX(기본자료!$G$2:$G$501,$AB11)&lt;1000000,INDEX(기본자료!$G$2:$G$501,$AB11),IF(AND(INDEX(기본자료!$G$2:$G$501,$AB11)&gt;=10000101,INT(MOD(INDEX(기본자료!$G$2:$G$501,$AB11),10000)/100)&gt;=1,INT(MOD(INDEX(기본자료!$G$2:$G$501,$AB11),10000)/100)&lt;=12,MOD(INDEX(기본자료!$G$2:$G$501,$AB11),100)&gt;=1,MOD(INDEX(기본자료!$G$2:$G$501,$AB11),100)&lt;=31),DATE(INT(INDEX(기본자료!$G$2:$G$501,$AB11)/10000),INT(MOD(INDEX(기본자료!$G$2:$G$501,$AB11),10000)/100),MOD(INDEX(기본자료!$G$2:$G$501,$AB11),100)),INDEX(기본자료!$G$2:$G$501,$AB11)&amp;"")))))</f>
        <v/>
      </c>
      <c r="J11" s="10">
        <f>IF($AB11="","",IF(INDEX(기본자료!$H$2:$H$501,$AB11)="","",INDEX(기본자료!$H$2:$H$501,$AB11)))</f>
        <v/>
      </c>
      <c r="K11" s="10">
        <f>IF($AB11="","",IF(INDEX(기본자료!$I$2:$I$501,$AB11)="","",INDEX(기본자료!$I$2:$I$501,$AB11)))</f>
        <v/>
      </c>
      <c r="L11" s="10">
        <f>IF($AB11="","",IF(INDEX(기본자료!$A$2:$A$501,$AB11)="","",INDEX(기본자료!$A$2:$A$501,$AB11)))</f>
        <v/>
      </c>
      <c r="M11" s="15" t="n"/>
      <c r="N11" s="10">
        <f>IF($B11="","",IF(AND($U11="파견중",$Q11&lt;&gt;""),$Q11,IF(AND($AD11&lt;&gt;"",LEFT($AD11,1)&lt;&gt;"⚠"),LEFT($AD11,FIND(" ",$AD11)-1),IF($H11="","",IF(RIGHT($H11,2)="병원",$H11,$H11&amp;"병원")))))</f>
        <v/>
      </c>
      <c r="O11" s="10">
        <f>IF($B11="","",IF(AND($U11="파견중",$Q11&lt;&gt;""),IF($R11&lt;&gt;"",$R11,"파견과 미입력"),IF(AND($AD11&lt;&gt;"",LEFT($AD11,1)&lt;&gt;"⚠"),MID($AD11,FIND(" ",$AD11)+1,60),IF($F11="","",IF($F11="인턴","수련교육부(인턴)",$F11)))))</f>
        <v/>
      </c>
      <c r="P11" s="10">
        <f>IF($B11="","",IF($AK11&lt;&gt;"",IF(AND(TODAY()&gt;=INDEX(파견수련계획!$AB$4:$AB$203,$AK11),OR(NOT(ISNUMBER(INDEX(파견수련계획!$AC$4:$AC$203,$AK11))),TODAY()&lt;=INDEX(파견수련계획!$AC$4:$AC$203,$AK11))),"다기관",IF($AF11="","",INDEX(파견수련계획!$T$4:$T$203,$AF11))),IF($AF11="","",INDEX(파견수련계획!$T$4:$T$203,$AF11))))</f>
        <v/>
      </c>
      <c r="Q11" s="10">
        <f>IF($AF11="","",INDEX(파견수련계획!$S$4:$S$203,$AF11))</f>
        <v/>
      </c>
      <c r="R11" s="10">
        <f>IF($AF11="","",INDEX(파견수련계획!$U$4:$U$203,$AF11))</f>
        <v/>
      </c>
      <c r="S11" s="11">
        <f>IF($AF11="","",IF(INDEX(파견수련계획!$H$4:$H$203,$AF11)="","",INDEX(파견수련계획!$H$4:$H$203,$AF11)))</f>
        <v/>
      </c>
      <c r="T11" s="11">
        <f>IF($AF11="","",IF(INDEX(파견수련계획!$I$4:$I$203,$AF11)="","",INDEX(파견수련계획!$I$4:$I$203,$AF11)))</f>
        <v/>
      </c>
      <c r="U11" s="10">
        <f>IF($AF11="","",INDEX(파견수련계획!$X$4:$X$203,$AF11))</f>
        <v/>
      </c>
      <c r="V11" s="17">
        <f>IF($AF11="","",INDEX(파견수련계획!$V$4:$V$203,$AF11))</f>
        <v/>
      </c>
      <c r="W11" s="17">
        <f>IF(AND($U11="파견중",$T11&lt;&gt;""),$T11-TODAY(),"")</f>
        <v/>
      </c>
      <c r="X11" s="17">
        <f>IF(OR($B11="",TRIM($J11&amp;"")=""),"",SUMPRODUCT((파견수련계획!$Q$4:$Q$203=TRIM($J11&amp;""))*파견수련계획!$W$4:$W$203))</f>
        <v/>
      </c>
      <c r="Y11" s="10">
        <f>IF($B11="","",IF($AG11="","",IF(IF(TRIM($J11&amp;"")="",0,SUMPRODUCT((파견수련계획!$Q$4:$Q$203=TRIM($J11&amp;""))*파견수련계획!$AD$4:$AD$203))&gt;0,$AE11,IF(N($X11)&lt;=0,$AG11,IF($AH11+$AI11=DAY(EOMONTH(요약!$B$3,0)),IF(AND($AH11&gt;=요약!$E$3,$AI11&lt;요약!$E$3),"서울병원",IF(AND($AI11&gt;=요약!$E$3,$AH11&lt;요약!$E$3),"구리병원","⚠15일 판정불가(서울 "&amp;$AH11&amp;"일/구리 "&amp;$AI11&amp;"일)")),IF($AJ11="",$AE11,IF(INDEX(파견수련계획!$T$4:$T$203,$AJ11)="통합수련",INDEX(파견수련계획!$S$4:$S$203,$AJ11),$AE11)))))))</f>
        <v/>
      </c>
      <c r="Z11" s="19">
        <f>IF($B11="","",IF($AB11="","기본자료에 없는 사번",IF(COUNTIF($B$2:$B$201,$B11)&gt;1,"중복 사번",IF($AE11="","소속(입사장소) 입력",IF(IF(TRIM($J11&amp;"")="",0,SUMPRODUCT((파견수련계획!$Q$4:$Q$203=TRIM($J11&amp;""))*(파견수련계획!$AA$4:$AA$203&lt;&gt;"")))&gt;0,"파견수련계획 입력오류 확인",IF(LEFT($Y11,1)="⚠","서울·구리 15일 판정 불가(양쪽 모두 이상/미만)",IF(IF($AC11="",0,N(INDEX(인턴근무계획!$T$3:$T$202,$AC11)))&gt;0,"인턴계획 입력오류 확인",IF(AND($AC11&lt;&gt;"",$U11&lt;&gt;"파견중",$N11&lt;&gt;$AE11),"인턴 타지역 근무: 파견 여부 확인","정상"))))))))</f>
        <v/>
      </c>
      <c r="AA11" s="5" t="n"/>
      <c r="AB11" s="10">
        <f>IF($B11="","",IFERROR(MATCH($B11,기본자료!$B$2:$B$501,0),IFERROR(MATCH($B11&amp;"",기본자료!$B$2:$B$501,0),IFERROR(MATCH(VALUE($B11),기본자료!$B$2:$B$501,0),""))))</f>
        <v/>
      </c>
      <c r="AC11" s="10">
        <f>IF($B11="","",IFERROR(MATCH($B11,인턴근무계획!$D$3:$D$202,0),IFERROR(MATCH($B11&amp;"",인턴근무계획!$D$3:$D$202,0),IFERROR(MATCH(VALUE($B11),인턴근무계획!$D$3:$D$202,0),""))))</f>
        <v/>
      </c>
      <c r="AD11" s="10">
        <f>IF(OR($AC11="",인턴현황!$G$3=""),"",INDEX(인턴근무계획!$M$3:$R$202,$AC11,인턴현황!$G$3)&amp;"")</f>
        <v/>
      </c>
      <c r="AE11" s="10">
        <f>IF($B11="","",IF($M11&lt;&gt;"",$M11,IF($AF11&lt;&gt;"",IF(LEFT(INDEX(파견수련계획!$R$4:$R$203,$AF11),1)&lt;&gt;"⚠",INDEX(파견수련계획!$R$4:$R$203,$AF11),IF($H11="","",IF(RIGHT($H11,2)="병원",$H11,$H11&amp;"병원"))),IF($H11="","",IF(RIGHT($H11,2)="병원",$H11,$H11&amp;"병원")))))</f>
        <v/>
      </c>
      <c r="AF11" s="10">
        <f>IF(OR($B11="",TRIM($J11&amp;"")=""),"",IFERROR(MATCH(TRIM($J11&amp;"")&amp;"|파견중",파견수련계획!$Y$4:$Y$203,0),IFERROR(MATCH(TRIM($J11&amp;"")&amp;"|파견예정",파견수련계획!$Y$4:$Y$203,0),IFERROR(MATCH(TRIM($J11&amp;"")&amp;"|파견종료",파견수련계획!$Y$4:$Y$203,0),""))))</f>
        <v/>
      </c>
      <c r="AG11" s="10">
        <f>IF($B11="","",IF(AND(IF(OR($AC11="",인턴현황!$K$2=""),"",INDEX(인턴근무계획!$M$3:$R$202,$AC11,인턴현황!$K$2)&amp;"")&lt;&gt;"",LEFT(IF(OR($AC11="",인턴현황!$K$2=""),"",INDEX(인턴근무계획!$M$3:$R$202,$AC11,인턴현황!$K$2)&amp;""),1)&lt;&gt;"⚠"),LEFT(IF(OR($AC11="",인턴현황!$K$2=""),"",INDEX(인턴근무계획!$M$3:$R$202,$AC11,인턴현황!$K$2)&amp;""),FIND(" ",IF(OR($AC11="",인턴현황!$K$2=""),"",INDEX(인턴근무계획!$M$3:$R$202,$AC11,인턴현황!$K$2)&amp;""))-1),$AE11))</f>
        <v/>
      </c>
      <c r="AH11" s="17">
        <f>IF($B11="","",IF(TRIM($J11&amp;"")="",0,SUMPRODUCT((파견수련계획!$Q$4:$Q$203=TRIM($J11&amp;""))*(파견수련계획!$S$4:$S$203="서울병원")*파견수련계획!$W$4:$W$203))+IF($AG11="서울병원",MAX(0,DAY(EOMONTH(요약!$B$3,0))-N($X11)),0))</f>
        <v/>
      </c>
      <c r="AI11" s="17">
        <f>IF($B11="","",IF(TRIM($J11&amp;"")="",0,SUMPRODUCT((파견수련계획!$Q$4:$Q$203=TRIM($J11&amp;""))*(파견수련계획!$S$4:$S$203="구리병원")*파견수련계획!$W$4:$W$203))+IF($AG11="구리병원",MAX(0,DAY(EOMONTH(요약!$B$3,0))-N($X11)),0))</f>
        <v/>
      </c>
      <c r="AJ11" s="10">
        <f>IF(OR($B11="",TRIM($J11&amp;"")=""),"",IFERROR(MATCH(TRIM($J11&amp;"")&amp;"|월",파견수련계획!$Z$4:$Z$203,0),""))</f>
        <v/>
      </c>
      <c r="AK11" s="10">
        <f>IF(OR($B11="",TRIM($J11&amp;"")=""),"",IFERROR(MATCH(TRIM($J11&amp;"")&amp;"|다기관",파견수련계획!$AE$4:$AE$203,0),""))</f>
        <v/>
      </c>
      <c r="AL11" s="10">
        <f>IF($AK11="","","다기관 "&amp;TEXT(INDEX(파견수련계획!$AB$4:$AB$203,$AK11),"yyyy-mm-dd")&amp;"~"&amp;IF(ISNUMBER(INDEX(파견수련계획!$AC$4:$AC$203,$AK11)),TEXT(INDEX(파견수련계획!$AC$4:$AC$203,$AK11),"yyyy-mm-dd"),""))</f>
        <v/>
      </c>
    </row>
    <row r="12">
      <c r="A12" s="10">
        <f>IF(B12="","",ROW()-1)</f>
        <v/>
      </c>
      <c r="B12" s="18" t="n"/>
      <c r="C12" s="10">
        <f>IF($AB12="","",IF(INDEX(기본자료!$C$2:$C$501,$AB12)="","",INDEX(기본자료!$C$2:$C$501,$AB12)))</f>
        <v/>
      </c>
      <c r="D12" s="10">
        <f>IF($AB12="","",IF(INDEX(기본자료!$J$2:$J$501,$AB12)="","",INDEX(기본자료!$J$2:$J$501,$AB12)))</f>
        <v/>
      </c>
      <c r="E12" s="11">
        <f>IF($AB12="","",IF(INDEX(기본자료!$K$2:$K$501,$AB12)="","",IF(NOT(ISNUMBER(INDEX(기본자료!$K$2:$K$501,$AB12))),INDEX(기본자료!$K$2:$K$501,$AB12),IF(INDEX(기본자료!$K$2:$K$501,$AB12)&lt;1000000,INDEX(기본자료!$K$2:$K$501,$AB12),IF(AND(INDEX(기본자료!$K$2:$K$501,$AB12)&gt;=10000101,INT(MOD(INDEX(기본자료!$K$2:$K$501,$AB12),10000)/100)&gt;=1,INT(MOD(INDEX(기본자료!$K$2:$K$501,$AB12),10000)/100)&lt;=12,MOD(INDEX(기본자료!$K$2:$K$501,$AB12),100)&gt;=1,MOD(INDEX(기본자료!$K$2:$K$501,$AB12),100)&lt;=31),DATE(INT(INDEX(기본자료!$K$2:$K$501,$AB12)/10000),INT(MOD(INDEX(기본자료!$K$2:$K$501,$AB12),10000)/100),MOD(INDEX(기본자료!$K$2:$K$501,$AB12),100)),INDEX(기본자료!$K$2:$K$501,$AB12)&amp;"")))))</f>
        <v/>
      </c>
      <c r="F12" s="10">
        <f>IF($AB12="","",IF(INDEX(기본자료!$D$2:$D$501,$AB12)="","",INDEX(기본자료!$D$2:$D$501,$AB12)))</f>
        <v/>
      </c>
      <c r="G12" s="10">
        <f>IF($AB12="","",IF(INDEX(기본자료!$E$2:$E$501,$AB12)="","",INDEX(기본자료!$E$2:$E$501,$AB12)))</f>
        <v/>
      </c>
      <c r="H12" s="10">
        <f>IF($AB12="","",IF(INDEX(기본자료!$F$2:$F$501,$AB12)="","",INDEX(기본자료!$F$2:$F$501,$AB12)))</f>
        <v/>
      </c>
      <c r="I12" s="11">
        <f>IF($AB12="","",IF(INDEX(기본자료!$G$2:$G$501,$AB12)="","",IF(NOT(ISNUMBER(INDEX(기본자료!$G$2:$G$501,$AB12))),INDEX(기본자료!$G$2:$G$501,$AB12),IF(INDEX(기본자료!$G$2:$G$501,$AB12)&lt;1000000,INDEX(기본자료!$G$2:$G$501,$AB12),IF(AND(INDEX(기본자료!$G$2:$G$501,$AB12)&gt;=10000101,INT(MOD(INDEX(기본자료!$G$2:$G$501,$AB12),10000)/100)&gt;=1,INT(MOD(INDEX(기본자료!$G$2:$G$501,$AB12),10000)/100)&lt;=12,MOD(INDEX(기본자료!$G$2:$G$501,$AB12),100)&gt;=1,MOD(INDEX(기본자료!$G$2:$G$501,$AB12),100)&lt;=31),DATE(INT(INDEX(기본자료!$G$2:$G$501,$AB12)/10000),INT(MOD(INDEX(기본자료!$G$2:$G$501,$AB12),10000)/100),MOD(INDEX(기본자료!$G$2:$G$501,$AB12),100)),INDEX(기본자료!$G$2:$G$501,$AB12)&amp;"")))))</f>
        <v/>
      </c>
      <c r="J12" s="10">
        <f>IF($AB12="","",IF(INDEX(기본자료!$H$2:$H$501,$AB12)="","",INDEX(기본자료!$H$2:$H$501,$AB12)))</f>
        <v/>
      </c>
      <c r="K12" s="10">
        <f>IF($AB12="","",IF(INDEX(기본자료!$I$2:$I$501,$AB12)="","",INDEX(기본자료!$I$2:$I$501,$AB12)))</f>
        <v/>
      </c>
      <c r="L12" s="10">
        <f>IF($AB12="","",IF(INDEX(기본자료!$A$2:$A$501,$AB12)="","",INDEX(기본자료!$A$2:$A$501,$AB12)))</f>
        <v/>
      </c>
      <c r="M12" s="15" t="n"/>
      <c r="N12" s="10">
        <f>IF($B12="","",IF(AND($U12="파견중",$Q12&lt;&gt;""),$Q12,IF(AND($AD12&lt;&gt;"",LEFT($AD12,1)&lt;&gt;"⚠"),LEFT($AD12,FIND(" ",$AD12)-1),IF($H12="","",IF(RIGHT($H12,2)="병원",$H12,$H12&amp;"병원")))))</f>
        <v/>
      </c>
      <c r="O12" s="10">
        <f>IF($B12="","",IF(AND($U12="파견중",$Q12&lt;&gt;""),IF($R12&lt;&gt;"",$R12,"파견과 미입력"),IF(AND($AD12&lt;&gt;"",LEFT($AD12,1)&lt;&gt;"⚠"),MID($AD12,FIND(" ",$AD12)+1,60),IF($F12="","",IF($F12="인턴","수련교육부(인턴)",$F12)))))</f>
        <v/>
      </c>
      <c r="P12" s="10">
        <f>IF($B12="","",IF($AK12&lt;&gt;"",IF(AND(TODAY()&gt;=INDEX(파견수련계획!$AB$4:$AB$203,$AK12),OR(NOT(ISNUMBER(INDEX(파견수련계획!$AC$4:$AC$203,$AK12))),TODAY()&lt;=INDEX(파견수련계획!$AC$4:$AC$203,$AK12))),"다기관",IF($AF12="","",INDEX(파견수련계획!$T$4:$T$203,$AF12))),IF($AF12="","",INDEX(파견수련계획!$T$4:$T$203,$AF12))))</f>
        <v/>
      </c>
      <c r="Q12" s="10">
        <f>IF($AF12="","",INDEX(파견수련계획!$S$4:$S$203,$AF12))</f>
        <v/>
      </c>
      <c r="R12" s="10">
        <f>IF($AF12="","",INDEX(파견수련계획!$U$4:$U$203,$AF12))</f>
        <v/>
      </c>
      <c r="S12" s="11">
        <f>IF($AF12="","",IF(INDEX(파견수련계획!$H$4:$H$203,$AF12)="","",INDEX(파견수련계획!$H$4:$H$203,$AF12)))</f>
        <v/>
      </c>
      <c r="T12" s="11">
        <f>IF($AF12="","",IF(INDEX(파견수련계획!$I$4:$I$203,$AF12)="","",INDEX(파견수련계획!$I$4:$I$203,$AF12)))</f>
        <v/>
      </c>
      <c r="U12" s="10">
        <f>IF($AF12="","",INDEX(파견수련계획!$X$4:$X$203,$AF12))</f>
        <v/>
      </c>
      <c r="V12" s="17">
        <f>IF($AF12="","",INDEX(파견수련계획!$V$4:$V$203,$AF12))</f>
        <v/>
      </c>
      <c r="W12" s="17">
        <f>IF(AND($U12="파견중",$T12&lt;&gt;""),$T12-TODAY(),"")</f>
        <v/>
      </c>
      <c r="X12" s="17">
        <f>IF(OR($B12="",TRIM($J12&amp;"")=""),"",SUMPRODUCT((파견수련계획!$Q$4:$Q$203=TRIM($J12&amp;""))*파견수련계획!$W$4:$W$203))</f>
        <v/>
      </c>
      <c r="Y12" s="10">
        <f>IF($B12="","",IF($AG12="","",IF(IF(TRIM($J12&amp;"")="",0,SUMPRODUCT((파견수련계획!$Q$4:$Q$203=TRIM($J12&amp;""))*파견수련계획!$AD$4:$AD$203))&gt;0,$AE12,IF(N($X12)&lt;=0,$AG12,IF($AH12+$AI12=DAY(EOMONTH(요약!$B$3,0)),IF(AND($AH12&gt;=요약!$E$3,$AI12&lt;요약!$E$3),"서울병원",IF(AND($AI12&gt;=요약!$E$3,$AH12&lt;요약!$E$3),"구리병원","⚠15일 판정불가(서울 "&amp;$AH12&amp;"일/구리 "&amp;$AI12&amp;"일)")),IF($AJ12="",$AE12,IF(INDEX(파견수련계획!$T$4:$T$203,$AJ12)="통합수련",INDEX(파견수련계획!$S$4:$S$203,$AJ12),$AE12)))))))</f>
        <v/>
      </c>
      <c r="Z12" s="19">
        <f>IF($B12="","",IF($AB12="","기본자료에 없는 사번",IF(COUNTIF($B$2:$B$201,$B12)&gt;1,"중복 사번",IF($AE12="","소속(입사장소) 입력",IF(IF(TRIM($J12&amp;"")="",0,SUMPRODUCT((파견수련계획!$Q$4:$Q$203=TRIM($J12&amp;""))*(파견수련계획!$AA$4:$AA$203&lt;&gt;"")))&gt;0,"파견수련계획 입력오류 확인",IF(LEFT($Y12,1)="⚠","서울·구리 15일 판정 불가(양쪽 모두 이상/미만)",IF(IF($AC12="",0,N(INDEX(인턴근무계획!$T$3:$T$202,$AC12)))&gt;0,"인턴계획 입력오류 확인",IF(AND($AC12&lt;&gt;"",$U12&lt;&gt;"파견중",$N12&lt;&gt;$AE12),"인턴 타지역 근무: 파견 여부 확인","정상"))))))))</f>
        <v/>
      </c>
      <c r="AA12" s="5" t="n"/>
      <c r="AB12" s="10">
        <f>IF($B12="","",IFERROR(MATCH($B12,기본자료!$B$2:$B$501,0),IFERROR(MATCH($B12&amp;"",기본자료!$B$2:$B$501,0),IFERROR(MATCH(VALUE($B12),기본자료!$B$2:$B$501,0),""))))</f>
        <v/>
      </c>
      <c r="AC12" s="10">
        <f>IF($B12="","",IFERROR(MATCH($B12,인턴근무계획!$D$3:$D$202,0),IFERROR(MATCH($B12&amp;"",인턴근무계획!$D$3:$D$202,0),IFERROR(MATCH(VALUE($B12),인턴근무계획!$D$3:$D$202,0),""))))</f>
        <v/>
      </c>
      <c r="AD12" s="10">
        <f>IF(OR($AC12="",인턴현황!$G$3=""),"",INDEX(인턴근무계획!$M$3:$R$202,$AC12,인턴현황!$G$3)&amp;"")</f>
        <v/>
      </c>
      <c r="AE12" s="10">
        <f>IF($B12="","",IF($M12&lt;&gt;"",$M12,IF($AF12&lt;&gt;"",IF(LEFT(INDEX(파견수련계획!$R$4:$R$203,$AF12),1)&lt;&gt;"⚠",INDEX(파견수련계획!$R$4:$R$203,$AF12),IF($H12="","",IF(RIGHT($H12,2)="병원",$H12,$H12&amp;"병원"))),IF($H12="","",IF(RIGHT($H12,2)="병원",$H12,$H12&amp;"병원")))))</f>
        <v/>
      </c>
      <c r="AF12" s="10">
        <f>IF(OR($B12="",TRIM($J12&amp;"")=""),"",IFERROR(MATCH(TRIM($J12&amp;"")&amp;"|파견중",파견수련계획!$Y$4:$Y$203,0),IFERROR(MATCH(TRIM($J12&amp;"")&amp;"|파견예정",파견수련계획!$Y$4:$Y$203,0),IFERROR(MATCH(TRIM($J12&amp;"")&amp;"|파견종료",파견수련계획!$Y$4:$Y$203,0),""))))</f>
        <v/>
      </c>
      <c r="AG12" s="10">
        <f>IF($B12="","",IF(AND(IF(OR($AC12="",인턴현황!$K$2=""),"",INDEX(인턴근무계획!$M$3:$R$202,$AC12,인턴현황!$K$2)&amp;"")&lt;&gt;"",LEFT(IF(OR($AC12="",인턴현황!$K$2=""),"",INDEX(인턴근무계획!$M$3:$R$202,$AC12,인턴현황!$K$2)&amp;""),1)&lt;&gt;"⚠"),LEFT(IF(OR($AC12="",인턴현황!$K$2=""),"",INDEX(인턴근무계획!$M$3:$R$202,$AC12,인턴현황!$K$2)&amp;""),FIND(" ",IF(OR($AC12="",인턴현황!$K$2=""),"",INDEX(인턴근무계획!$M$3:$R$202,$AC12,인턴현황!$K$2)&amp;""))-1),$AE12))</f>
        <v/>
      </c>
      <c r="AH12" s="17">
        <f>IF($B12="","",IF(TRIM($J12&amp;"")="",0,SUMPRODUCT((파견수련계획!$Q$4:$Q$203=TRIM($J12&amp;""))*(파견수련계획!$S$4:$S$203="서울병원")*파견수련계획!$W$4:$W$203))+IF($AG12="서울병원",MAX(0,DAY(EOMONTH(요약!$B$3,0))-N($X12)),0))</f>
        <v/>
      </c>
      <c r="AI12" s="17">
        <f>IF($B12="","",IF(TRIM($J12&amp;"")="",0,SUMPRODUCT((파견수련계획!$Q$4:$Q$203=TRIM($J12&amp;""))*(파견수련계획!$S$4:$S$203="구리병원")*파견수련계획!$W$4:$W$203))+IF($AG12="구리병원",MAX(0,DAY(EOMONTH(요약!$B$3,0))-N($X12)),0))</f>
        <v/>
      </c>
      <c r="AJ12" s="10">
        <f>IF(OR($B12="",TRIM($J12&amp;"")=""),"",IFERROR(MATCH(TRIM($J12&amp;"")&amp;"|월",파견수련계획!$Z$4:$Z$203,0),""))</f>
        <v/>
      </c>
      <c r="AK12" s="10">
        <f>IF(OR($B12="",TRIM($J12&amp;"")=""),"",IFERROR(MATCH(TRIM($J12&amp;"")&amp;"|다기관",파견수련계획!$AE$4:$AE$203,0),""))</f>
        <v/>
      </c>
      <c r="AL12" s="10">
        <f>IF($AK12="","","다기관 "&amp;TEXT(INDEX(파견수련계획!$AB$4:$AB$203,$AK12),"yyyy-mm-dd")&amp;"~"&amp;IF(ISNUMBER(INDEX(파견수련계획!$AC$4:$AC$203,$AK12)),TEXT(INDEX(파견수련계획!$AC$4:$AC$203,$AK12),"yyyy-mm-dd"),""))</f>
        <v/>
      </c>
    </row>
    <row r="13">
      <c r="A13" s="10">
        <f>IF(B13="","",ROW()-1)</f>
        <v/>
      </c>
      <c r="B13" s="18" t="n"/>
      <c r="C13" s="10">
        <f>IF($AB13="","",IF(INDEX(기본자료!$C$2:$C$501,$AB13)="","",INDEX(기본자료!$C$2:$C$501,$AB13)))</f>
        <v/>
      </c>
      <c r="D13" s="10">
        <f>IF($AB13="","",IF(INDEX(기본자료!$J$2:$J$501,$AB13)="","",INDEX(기본자료!$J$2:$J$501,$AB13)))</f>
        <v/>
      </c>
      <c r="E13" s="11">
        <f>IF($AB13="","",IF(INDEX(기본자료!$K$2:$K$501,$AB13)="","",IF(NOT(ISNUMBER(INDEX(기본자료!$K$2:$K$501,$AB13))),INDEX(기본자료!$K$2:$K$501,$AB13),IF(INDEX(기본자료!$K$2:$K$501,$AB13)&lt;1000000,INDEX(기본자료!$K$2:$K$501,$AB13),IF(AND(INDEX(기본자료!$K$2:$K$501,$AB13)&gt;=10000101,INT(MOD(INDEX(기본자료!$K$2:$K$501,$AB13),10000)/100)&gt;=1,INT(MOD(INDEX(기본자료!$K$2:$K$501,$AB13),10000)/100)&lt;=12,MOD(INDEX(기본자료!$K$2:$K$501,$AB13),100)&gt;=1,MOD(INDEX(기본자료!$K$2:$K$501,$AB13),100)&lt;=31),DATE(INT(INDEX(기본자료!$K$2:$K$501,$AB13)/10000),INT(MOD(INDEX(기본자료!$K$2:$K$501,$AB13),10000)/100),MOD(INDEX(기본자료!$K$2:$K$501,$AB13),100)),INDEX(기본자료!$K$2:$K$501,$AB13)&amp;"")))))</f>
        <v/>
      </c>
      <c r="F13" s="10">
        <f>IF($AB13="","",IF(INDEX(기본자료!$D$2:$D$501,$AB13)="","",INDEX(기본자료!$D$2:$D$501,$AB13)))</f>
        <v/>
      </c>
      <c r="G13" s="10">
        <f>IF($AB13="","",IF(INDEX(기본자료!$E$2:$E$501,$AB13)="","",INDEX(기본자료!$E$2:$E$501,$AB13)))</f>
        <v/>
      </c>
      <c r="H13" s="10">
        <f>IF($AB13="","",IF(INDEX(기본자료!$F$2:$F$501,$AB13)="","",INDEX(기본자료!$F$2:$F$501,$AB13)))</f>
        <v/>
      </c>
      <c r="I13" s="11">
        <f>IF($AB13="","",IF(INDEX(기본자료!$G$2:$G$501,$AB13)="","",IF(NOT(ISNUMBER(INDEX(기본자료!$G$2:$G$501,$AB13))),INDEX(기본자료!$G$2:$G$501,$AB13),IF(INDEX(기본자료!$G$2:$G$501,$AB13)&lt;1000000,INDEX(기본자료!$G$2:$G$501,$AB13),IF(AND(INDEX(기본자료!$G$2:$G$501,$AB13)&gt;=10000101,INT(MOD(INDEX(기본자료!$G$2:$G$501,$AB13),10000)/100)&gt;=1,INT(MOD(INDEX(기본자료!$G$2:$G$501,$AB13),10000)/100)&lt;=12,MOD(INDEX(기본자료!$G$2:$G$501,$AB13),100)&gt;=1,MOD(INDEX(기본자료!$G$2:$G$501,$AB13),100)&lt;=31),DATE(INT(INDEX(기본자료!$G$2:$G$501,$AB13)/10000),INT(MOD(INDEX(기본자료!$G$2:$G$501,$AB13),10000)/100),MOD(INDEX(기본자료!$G$2:$G$501,$AB13),100)),INDEX(기본자료!$G$2:$G$501,$AB13)&amp;"")))))</f>
        <v/>
      </c>
      <c r="J13" s="10">
        <f>IF($AB13="","",IF(INDEX(기본자료!$H$2:$H$501,$AB13)="","",INDEX(기본자료!$H$2:$H$501,$AB13)))</f>
        <v/>
      </c>
      <c r="K13" s="10">
        <f>IF($AB13="","",IF(INDEX(기본자료!$I$2:$I$501,$AB13)="","",INDEX(기본자료!$I$2:$I$501,$AB13)))</f>
        <v/>
      </c>
      <c r="L13" s="10">
        <f>IF($AB13="","",IF(INDEX(기본자료!$A$2:$A$501,$AB13)="","",INDEX(기본자료!$A$2:$A$501,$AB13)))</f>
        <v/>
      </c>
      <c r="M13" s="15" t="n"/>
      <c r="N13" s="10">
        <f>IF($B13="","",IF(AND($U13="파견중",$Q13&lt;&gt;""),$Q13,IF(AND($AD13&lt;&gt;"",LEFT($AD13,1)&lt;&gt;"⚠"),LEFT($AD13,FIND(" ",$AD13)-1),IF($H13="","",IF(RIGHT($H13,2)="병원",$H13,$H13&amp;"병원")))))</f>
        <v/>
      </c>
      <c r="O13" s="10">
        <f>IF($B13="","",IF(AND($U13="파견중",$Q13&lt;&gt;""),IF($R13&lt;&gt;"",$R13,"파견과 미입력"),IF(AND($AD13&lt;&gt;"",LEFT($AD13,1)&lt;&gt;"⚠"),MID($AD13,FIND(" ",$AD13)+1,60),IF($F13="","",IF($F13="인턴","수련교육부(인턴)",$F13)))))</f>
        <v/>
      </c>
      <c r="P13" s="10">
        <f>IF($B13="","",IF($AK13&lt;&gt;"",IF(AND(TODAY()&gt;=INDEX(파견수련계획!$AB$4:$AB$203,$AK13),OR(NOT(ISNUMBER(INDEX(파견수련계획!$AC$4:$AC$203,$AK13))),TODAY()&lt;=INDEX(파견수련계획!$AC$4:$AC$203,$AK13))),"다기관",IF($AF13="","",INDEX(파견수련계획!$T$4:$T$203,$AF13))),IF($AF13="","",INDEX(파견수련계획!$T$4:$T$203,$AF13))))</f>
        <v/>
      </c>
      <c r="Q13" s="10">
        <f>IF($AF13="","",INDEX(파견수련계획!$S$4:$S$203,$AF13))</f>
        <v/>
      </c>
      <c r="R13" s="10">
        <f>IF($AF13="","",INDEX(파견수련계획!$U$4:$U$203,$AF13))</f>
        <v/>
      </c>
      <c r="S13" s="11">
        <f>IF($AF13="","",IF(INDEX(파견수련계획!$H$4:$H$203,$AF13)="","",INDEX(파견수련계획!$H$4:$H$203,$AF13)))</f>
        <v/>
      </c>
      <c r="T13" s="11">
        <f>IF($AF13="","",IF(INDEX(파견수련계획!$I$4:$I$203,$AF13)="","",INDEX(파견수련계획!$I$4:$I$203,$AF13)))</f>
        <v/>
      </c>
      <c r="U13" s="10">
        <f>IF($AF13="","",INDEX(파견수련계획!$X$4:$X$203,$AF13))</f>
        <v/>
      </c>
      <c r="V13" s="17">
        <f>IF($AF13="","",INDEX(파견수련계획!$V$4:$V$203,$AF13))</f>
        <v/>
      </c>
      <c r="W13" s="17">
        <f>IF(AND($U13="파견중",$T13&lt;&gt;""),$T13-TODAY(),"")</f>
        <v/>
      </c>
      <c r="X13" s="17">
        <f>IF(OR($B13="",TRIM($J13&amp;"")=""),"",SUMPRODUCT((파견수련계획!$Q$4:$Q$203=TRIM($J13&amp;""))*파견수련계획!$W$4:$W$203))</f>
        <v/>
      </c>
      <c r="Y13" s="10">
        <f>IF($B13="","",IF($AG13="","",IF(IF(TRIM($J13&amp;"")="",0,SUMPRODUCT((파견수련계획!$Q$4:$Q$203=TRIM($J13&amp;""))*파견수련계획!$AD$4:$AD$203))&gt;0,$AE13,IF(N($X13)&lt;=0,$AG13,IF($AH13+$AI13=DAY(EOMONTH(요약!$B$3,0)),IF(AND($AH13&gt;=요약!$E$3,$AI13&lt;요약!$E$3),"서울병원",IF(AND($AI13&gt;=요약!$E$3,$AH13&lt;요약!$E$3),"구리병원","⚠15일 판정불가(서울 "&amp;$AH13&amp;"일/구리 "&amp;$AI13&amp;"일)")),IF($AJ13="",$AE13,IF(INDEX(파견수련계획!$T$4:$T$203,$AJ13)="통합수련",INDEX(파견수련계획!$S$4:$S$203,$AJ13),$AE13)))))))</f>
        <v/>
      </c>
      <c r="Z13" s="19">
        <f>IF($B13="","",IF($AB13="","기본자료에 없는 사번",IF(COUNTIF($B$2:$B$201,$B13)&gt;1,"중복 사번",IF($AE13="","소속(입사장소) 입력",IF(IF(TRIM($J13&amp;"")="",0,SUMPRODUCT((파견수련계획!$Q$4:$Q$203=TRIM($J13&amp;""))*(파견수련계획!$AA$4:$AA$203&lt;&gt;"")))&gt;0,"파견수련계획 입력오류 확인",IF(LEFT($Y13,1)="⚠","서울·구리 15일 판정 불가(양쪽 모두 이상/미만)",IF(IF($AC13="",0,N(INDEX(인턴근무계획!$T$3:$T$202,$AC13)))&gt;0,"인턴계획 입력오류 확인",IF(AND($AC13&lt;&gt;"",$U13&lt;&gt;"파견중",$N13&lt;&gt;$AE13),"인턴 타지역 근무: 파견 여부 확인","정상"))))))))</f>
        <v/>
      </c>
      <c r="AA13" s="5" t="n"/>
      <c r="AB13" s="10">
        <f>IF($B13="","",IFERROR(MATCH($B13,기본자료!$B$2:$B$501,0),IFERROR(MATCH($B13&amp;"",기본자료!$B$2:$B$501,0),IFERROR(MATCH(VALUE($B13),기본자료!$B$2:$B$501,0),""))))</f>
        <v/>
      </c>
      <c r="AC13" s="10">
        <f>IF($B13="","",IFERROR(MATCH($B13,인턴근무계획!$D$3:$D$202,0),IFERROR(MATCH($B13&amp;"",인턴근무계획!$D$3:$D$202,0),IFERROR(MATCH(VALUE($B13),인턴근무계획!$D$3:$D$202,0),""))))</f>
        <v/>
      </c>
      <c r="AD13" s="10">
        <f>IF(OR($AC13="",인턴현황!$G$3=""),"",INDEX(인턴근무계획!$M$3:$R$202,$AC13,인턴현황!$G$3)&amp;"")</f>
        <v/>
      </c>
      <c r="AE13" s="10">
        <f>IF($B13="","",IF($M13&lt;&gt;"",$M13,IF($AF13&lt;&gt;"",IF(LEFT(INDEX(파견수련계획!$R$4:$R$203,$AF13),1)&lt;&gt;"⚠",INDEX(파견수련계획!$R$4:$R$203,$AF13),IF($H13="","",IF(RIGHT($H13,2)="병원",$H13,$H13&amp;"병원"))),IF($H13="","",IF(RIGHT($H13,2)="병원",$H13,$H13&amp;"병원")))))</f>
        <v/>
      </c>
      <c r="AF13" s="10">
        <f>IF(OR($B13="",TRIM($J13&amp;"")=""),"",IFERROR(MATCH(TRIM($J13&amp;"")&amp;"|파견중",파견수련계획!$Y$4:$Y$203,0),IFERROR(MATCH(TRIM($J13&amp;"")&amp;"|파견예정",파견수련계획!$Y$4:$Y$203,0),IFERROR(MATCH(TRIM($J13&amp;"")&amp;"|파견종료",파견수련계획!$Y$4:$Y$203,0),""))))</f>
        <v/>
      </c>
      <c r="AG13" s="10">
        <f>IF($B13="","",IF(AND(IF(OR($AC13="",인턴현황!$K$2=""),"",INDEX(인턴근무계획!$M$3:$R$202,$AC13,인턴현황!$K$2)&amp;"")&lt;&gt;"",LEFT(IF(OR($AC13="",인턴현황!$K$2=""),"",INDEX(인턴근무계획!$M$3:$R$202,$AC13,인턴현황!$K$2)&amp;""),1)&lt;&gt;"⚠"),LEFT(IF(OR($AC13="",인턴현황!$K$2=""),"",INDEX(인턴근무계획!$M$3:$R$202,$AC13,인턴현황!$K$2)&amp;""),FIND(" ",IF(OR($AC13="",인턴현황!$K$2=""),"",INDEX(인턴근무계획!$M$3:$R$202,$AC13,인턴현황!$K$2)&amp;""))-1),$AE13))</f>
        <v/>
      </c>
      <c r="AH13" s="17">
        <f>IF($B13="","",IF(TRIM($J13&amp;"")="",0,SUMPRODUCT((파견수련계획!$Q$4:$Q$203=TRIM($J13&amp;""))*(파견수련계획!$S$4:$S$203="서울병원")*파견수련계획!$W$4:$W$203))+IF($AG13="서울병원",MAX(0,DAY(EOMONTH(요약!$B$3,0))-N($X13)),0))</f>
        <v/>
      </c>
      <c r="AI13" s="17">
        <f>IF($B13="","",IF(TRIM($J13&amp;"")="",0,SUMPRODUCT((파견수련계획!$Q$4:$Q$203=TRIM($J13&amp;""))*(파견수련계획!$S$4:$S$203="구리병원")*파견수련계획!$W$4:$W$203))+IF($AG13="구리병원",MAX(0,DAY(EOMONTH(요약!$B$3,0))-N($X13)),0))</f>
        <v/>
      </c>
      <c r="AJ13" s="10">
        <f>IF(OR($B13="",TRIM($J13&amp;"")=""),"",IFERROR(MATCH(TRIM($J13&amp;"")&amp;"|월",파견수련계획!$Z$4:$Z$203,0),""))</f>
        <v/>
      </c>
      <c r="AK13" s="10">
        <f>IF(OR($B13="",TRIM($J13&amp;"")=""),"",IFERROR(MATCH(TRIM($J13&amp;"")&amp;"|다기관",파견수련계획!$AE$4:$AE$203,0),""))</f>
        <v/>
      </c>
      <c r="AL13" s="10">
        <f>IF($AK13="","","다기관 "&amp;TEXT(INDEX(파견수련계획!$AB$4:$AB$203,$AK13),"yyyy-mm-dd")&amp;"~"&amp;IF(ISNUMBER(INDEX(파견수련계획!$AC$4:$AC$203,$AK13)),TEXT(INDEX(파견수련계획!$AC$4:$AC$203,$AK13),"yyyy-mm-dd"),""))</f>
        <v/>
      </c>
    </row>
    <row r="14">
      <c r="A14" s="10">
        <f>IF(B14="","",ROW()-1)</f>
        <v/>
      </c>
      <c r="B14" s="18" t="n"/>
      <c r="C14" s="10">
        <f>IF($AB14="","",IF(INDEX(기본자료!$C$2:$C$501,$AB14)="","",INDEX(기본자료!$C$2:$C$501,$AB14)))</f>
        <v/>
      </c>
      <c r="D14" s="10">
        <f>IF($AB14="","",IF(INDEX(기본자료!$J$2:$J$501,$AB14)="","",INDEX(기본자료!$J$2:$J$501,$AB14)))</f>
        <v/>
      </c>
      <c r="E14" s="11">
        <f>IF($AB14="","",IF(INDEX(기본자료!$K$2:$K$501,$AB14)="","",IF(NOT(ISNUMBER(INDEX(기본자료!$K$2:$K$501,$AB14))),INDEX(기본자료!$K$2:$K$501,$AB14),IF(INDEX(기본자료!$K$2:$K$501,$AB14)&lt;1000000,INDEX(기본자료!$K$2:$K$501,$AB14),IF(AND(INDEX(기본자료!$K$2:$K$501,$AB14)&gt;=10000101,INT(MOD(INDEX(기본자료!$K$2:$K$501,$AB14),10000)/100)&gt;=1,INT(MOD(INDEX(기본자료!$K$2:$K$501,$AB14),10000)/100)&lt;=12,MOD(INDEX(기본자료!$K$2:$K$501,$AB14),100)&gt;=1,MOD(INDEX(기본자료!$K$2:$K$501,$AB14),100)&lt;=31),DATE(INT(INDEX(기본자료!$K$2:$K$501,$AB14)/10000),INT(MOD(INDEX(기본자료!$K$2:$K$501,$AB14),10000)/100),MOD(INDEX(기본자료!$K$2:$K$501,$AB14),100)),INDEX(기본자료!$K$2:$K$501,$AB14)&amp;"")))))</f>
        <v/>
      </c>
      <c r="F14" s="10">
        <f>IF($AB14="","",IF(INDEX(기본자료!$D$2:$D$501,$AB14)="","",INDEX(기본자료!$D$2:$D$501,$AB14)))</f>
        <v/>
      </c>
      <c r="G14" s="10">
        <f>IF($AB14="","",IF(INDEX(기본자료!$E$2:$E$501,$AB14)="","",INDEX(기본자료!$E$2:$E$501,$AB14)))</f>
        <v/>
      </c>
      <c r="H14" s="10">
        <f>IF($AB14="","",IF(INDEX(기본자료!$F$2:$F$501,$AB14)="","",INDEX(기본자료!$F$2:$F$501,$AB14)))</f>
        <v/>
      </c>
      <c r="I14" s="11">
        <f>IF($AB14="","",IF(INDEX(기본자료!$G$2:$G$501,$AB14)="","",IF(NOT(ISNUMBER(INDEX(기본자료!$G$2:$G$501,$AB14))),INDEX(기본자료!$G$2:$G$501,$AB14),IF(INDEX(기본자료!$G$2:$G$501,$AB14)&lt;1000000,INDEX(기본자료!$G$2:$G$501,$AB14),IF(AND(INDEX(기본자료!$G$2:$G$501,$AB14)&gt;=10000101,INT(MOD(INDEX(기본자료!$G$2:$G$501,$AB14),10000)/100)&gt;=1,INT(MOD(INDEX(기본자료!$G$2:$G$501,$AB14),10000)/100)&lt;=12,MOD(INDEX(기본자료!$G$2:$G$501,$AB14),100)&gt;=1,MOD(INDEX(기본자료!$G$2:$G$501,$AB14),100)&lt;=31),DATE(INT(INDEX(기본자료!$G$2:$G$501,$AB14)/10000),INT(MOD(INDEX(기본자료!$G$2:$G$501,$AB14),10000)/100),MOD(INDEX(기본자료!$G$2:$G$501,$AB14),100)),INDEX(기본자료!$G$2:$G$501,$AB14)&amp;"")))))</f>
        <v/>
      </c>
      <c r="J14" s="10">
        <f>IF($AB14="","",IF(INDEX(기본자료!$H$2:$H$501,$AB14)="","",INDEX(기본자료!$H$2:$H$501,$AB14)))</f>
        <v/>
      </c>
      <c r="K14" s="10">
        <f>IF($AB14="","",IF(INDEX(기본자료!$I$2:$I$501,$AB14)="","",INDEX(기본자료!$I$2:$I$501,$AB14)))</f>
        <v/>
      </c>
      <c r="L14" s="10">
        <f>IF($AB14="","",IF(INDEX(기본자료!$A$2:$A$501,$AB14)="","",INDEX(기본자료!$A$2:$A$501,$AB14)))</f>
        <v/>
      </c>
      <c r="M14" s="15" t="n"/>
      <c r="N14" s="10">
        <f>IF($B14="","",IF(AND($U14="파견중",$Q14&lt;&gt;""),$Q14,IF(AND($AD14&lt;&gt;"",LEFT($AD14,1)&lt;&gt;"⚠"),LEFT($AD14,FIND(" ",$AD14)-1),IF($H14="","",IF(RIGHT($H14,2)="병원",$H14,$H14&amp;"병원")))))</f>
        <v/>
      </c>
      <c r="O14" s="10">
        <f>IF($B14="","",IF(AND($U14="파견중",$Q14&lt;&gt;""),IF($R14&lt;&gt;"",$R14,"파견과 미입력"),IF(AND($AD14&lt;&gt;"",LEFT($AD14,1)&lt;&gt;"⚠"),MID($AD14,FIND(" ",$AD14)+1,60),IF($F14="","",IF($F14="인턴","수련교육부(인턴)",$F14)))))</f>
        <v/>
      </c>
      <c r="P14" s="10">
        <f>IF($B14="","",IF($AK14&lt;&gt;"",IF(AND(TODAY()&gt;=INDEX(파견수련계획!$AB$4:$AB$203,$AK14),OR(NOT(ISNUMBER(INDEX(파견수련계획!$AC$4:$AC$203,$AK14))),TODAY()&lt;=INDEX(파견수련계획!$AC$4:$AC$203,$AK14))),"다기관",IF($AF14="","",INDEX(파견수련계획!$T$4:$T$203,$AF14))),IF($AF14="","",INDEX(파견수련계획!$T$4:$T$203,$AF14))))</f>
        <v/>
      </c>
      <c r="Q14" s="10">
        <f>IF($AF14="","",INDEX(파견수련계획!$S$4:$S$203,$AF14))</f>
        <v/>
      </c>
      <c r="R14" s="10">
        <f>IF($AF14="","",INDEX(파견수련계획!$U$4:$U$203,$AF14))</f>
        <v/>
      </c>
      <c r="S14" s="11">
        <f>IF($AF14="","",IF(INDEX(파견수련계획!$H$4:$H$203,$AF14)="","",INDEX(파견수련계획!$H$4:$H$203,$AF14)))</f>
        <v/>
      </c>
      <c r="T14" s="11">
        <f>IF($AF14="","",IF(INDEX(파견수련계획!$I$4:$I$203,$AF14)="","",INDEX(파견수련계획!$I$4:$I$203,$AF14)))</f>
        <v/>
      </c>
      <c r="U14" s="10">
        <f>IF($AF14="","",INDEX(파견수련계획!$X$4:$X$203,$AF14))</f>
        <v/>
      </c>
      <c r="V14" s="17">
        <f>IF($AF14="","",INDEX(파견수련계획!$V$4:$V$203,$AF14))</f>
        <v/>
      </c>
      <c r="W14" s="17">
        <f>IF(AND($U14="파견중",$T14&lt;&gt;""),$T14-TODAY(),"")</f>
        <v/>
      </c>
      <c r="X14" s="17">
        <f>IF(OR($B14="",TRIM($J14&amp;"")=""),"",SUMPRODUCT((파견수련계획!$Q$4:$Q$203=TRIM($J14&amp;""))*파견수련계획!$W$4:$W$203))</f>
        <v/>
      </c>
      <c r="Y14" s="10">
        <f>IF($B14="","",IF($AG14="","",IF(IF(TRIM($J14&amp;"")="",0,SUMPRODUCT((파견수련계획!$Q$4:$Q$203=TRIM($J14&amp;""))*파견수련계획!$AD$4:$AD$203))&gt;0,$AE14,IF(N($X14)&lt;=0,$AG14,IF($AH14+$AI14=DAY(EOMONTH(요약!$B$3,0)),IF(AND($AH14&gt;=요약!$E$3,$AI14&lt;요약!$E$3),"서울병원",IF(AND($AI14&gt;=요약!$E$3,$AH14&lt;요약!$E$3),"구리병원","⚠15일 판정불가(서울 "&amp;$AH14&amp;"일/구리 "&amp;$AI14&amp;"일)")),IF($AJ14="",$AE14,IF(INDEX(파견수련계획!$T$4:$T$203,$AJ14)="통합수련",INDEX(파견수련계획!$S$4:$S$203,$AJ14),$AE14)))))))</f>
        <v/>
      </c>
      <c r="Z14" s="19">
        <f>IF($B14="","",IF($AB14="","기본자료에 없는 사번",IF(COUNTIF($B$2:$B$201,$B14)&gt;1,"중복 사번",IF($AE14="","소속(입사장소) 입력",IF(IF(TRIM($J14&amp;"")="",0,SUMPRODUCT((파견수련계획!$Q$4:$Q$203=TRIM($J14&amp;""))*(파견수련계획!$AA$4:$AA$203&lt;&gt;"")))&gt;0,"파견수련계획 입력오류 확인",IF(LEFT($Y14,1)="⚠","서울·구리 15일 판정 불가(양쪽 모두 이상/미만)",IF(IF($AC14="",0,N(INDEX(인턴근무계획!$T$3:$T$202,$AC14)))&gt;0,"인턴계획 입력오류 확인",IF(AND($AC14&lt;&gt;"",$U14&lt;&gt;"파견중",$N14&lt;&gt;$AE14),"인턴 타지역 근무: 파견 여부 확인","정상"))))))))</f>
        <v/>
      </c>
      <c r="AA14" s="5" t="n"/>
      <c r="AB14" s="10">
        <f>IF($B14="","",IFERROR(MATCH($B14,기본자료!$B$2:$B$501,0),IFERROR(MATCH($B14&amp;"",기본자료!$B$2:$B$501,0),IFERROR(MATCH(VALUE($B14),기본자료!$B$2:$B$501,0),""))))</f>
        <v/>
      </c>
      <c r="AC14" s="10">
        <f>IF($B14="","",IFERROR(MATCH($B14,인턴근무계획!$D$3:$D$202,0),IFERROR(MATCH($B14&amp;"",인턴근무계획!$D$3:$D$202,0),IFERROR(MATCH(VALUE($B14),인턴근무계획!$D$3:$D$202,0),""))))</f>
        <v/>
      </c>
      <c r="AD14" s="10">
        <f>IF(OR($AC14="",인턴현황!$G$3=""),"",INDEX(인턴근무계획!$M$3:$R$202,$AC14,인턴현황!$G$3)&amp;"")</f>
        <v/>
      </c>
      <c r="AE14" s="10">
        <f>IF($B14="","",IF($M14&lt;&gt;"",$M14,IF($AF14&lt;&gt;"",IF(LEFT(INDEX(파견수련계획!$R$4:$R$203,$AF14),1)&lt;&gt;"⚠",INDEX(파견수련계획!$R$4:$R$203,$AF14),IF($H14="","",IF(RIGHT($H14,2)="병원",$H14,$H14&amp;"병원"))),IF($H14="","",IF(RIGHT($H14,2)="병원",$H14,$H14&amp;"병원")))))</f>
        <v/>
      </c>
      <c r="AF14" s="10">
        <f>IF(OR($B14="",TRIM($J14&amp;"")=""),"",IFERROR(MATCH(TRIM($J14&amp;"")&amp;"|파견중",파견수련계획!$Y$4:$Y$203,0),IFERROR(MATCH(TRIM($J14&amp;"")&amp;"|파견예정",파견수련계획!$Y$4:$Y$203,0),IFERROR(MATCH(TRIM($J14&amp;"")&amp;"|파견종료",파견수련계획!$Y$4:$Y$203,0),""))))</f>
        <v/>
      </c>
      <c r="AG14" s="10">
        <f>IF($B14="","",IF(AND(IF(OR($AC14="",인턴현황!$K$2=""),"",INDEX(인턴근무계획!$M$3:$R$202,$AC14,인턴현황!$K$2)&amp;"")&lt;&gt;"",LEFT(IF(OR($AC14="",인턴현황!$K$2=""),"",INDEX(인턴근무계획!$M$3:$R$202,$AC14,인턴현황!$K$2)&amp;""),1)&lt;&gt;"⚠"),LEFT(IF(OR($AC14="",인턴현황!$K$2=""),"",INDEX(인턴근무계획!$M$3:$R$202,$AC14,인턴현황!$K$2)&amp;""),FIND(" ",IF(OR($AC14="",인턴현황!$K$2=""),"",INDEX(인턴근무계획!$M$3:$R$202,$AC14,인턴현황!$K$2)&amp;""))-1),$AE14))</f>
        <v/>
      </c>
      <c r="AH14" s="17">
        <f>IF($B14="","",IF(TRIM($J14&amp;"")="",0,SUMPRODUCT((파견수련계획!$Q$4:$Q$203=TRIM($J14&amp;""))*(파견수련계획!$S$4:$S$203="서울병원")*파견수련계획!$W$4:$W$203))+IF($AG14="서울병원",MAX(0,DAY(EOMONTH(요약!$B$3,0))-N($X14)),0))</f>
        <v/>
      </c>
      <c r="AI14" s="17">
        <f>IF($B14="","",IF(TRIM($J14&amp;"")="",0,SUMPRODUCT((파견수련계획!$Q$4:$Q$203=TRIM($J14&amp;""))*(파견수련계획!$S$4:$S$203="구리병원")*파견수련계획!$W$4:$W$203))+IF($AG14="구리병원",MAX(0,DAY(EOMONTH(요약!$B$3,0))-N($X14)),0))</f>
        <v/>
      </c>
      <c r="AJ14" s="10">
        <f>IF(OR($B14="",TRIM($J14&amp;"")=""),"",IFERROR(MATCH(TRIM($J14&amp;"")&amp;"|월",파견수련계획!$Z$4:$Z$203,0),""))</f>
        <v/>
      </c>
      <c r="AK14" s="10">
        <f>IF(OR($B14="",TRIM($J14&amp;"")=""),"",IFERROR(MATCH(TRIM($J14&amp;"")&amp;"|다기관",파견수련계획!$AE$4:$AE$203,0),""))</f>
        <v/>
      </c>
      <c r="AL14" s="10">
        <f>IF($AK14="","","다기관 "&amp;TEXT(INDEX(파견수련계획!$AB$4:$AB$203,$AK14),"yyyy-mm-dd")&amp;"~"&amp;IF(ISNUMBER(INDEX(파견수련계획!$AC$4:$AC$203,$AK14)),TEXT(INDEX(파견수련계획!$AC$4:$AC$203,$AK14),"yyyy-mm-dd"),""))</f>
        <v/>
      </c>
    </row>
    <row r="15">
      <c r="A15" s="10">
        <f>IF(B15="","",ROW()-1)</f>
        <v/>
      </c>
      <c r="B15" s="18" t="n"/>
      <c r="C15" s="10">
        <f>IF($AB15="","",IF(INDEX(기본자료!$C$2:$C$501,$AB15)="","",INDEX(기본자료!$C$2:$C$501,$AB15)))</f>
        <v/>
      </c>
      <c r="D15" s="10">
        <f>IF($AB15="","",IF(INDEX(기본자료!$J$2:$J$501,$AB15)="","",INDEX(기본자료!$J$2:$J$501,$AB15)))</f>
        <v/>
      </c>
      <c r="E15" s="11">
        <f>IF($AB15="","",IF(INDEX(기본자료!$K$2:$K$501,$AB15)="","",IF(NOT(ISNUMBER(INDEX(기본자료!$K$2:$K$501,$AB15))),INDEX(기본자료!$K$2:$K$501,$AB15),IF(INDEX(기본자료!$K$2:$K$501,$AB15)&lt;1000000,INDEX(기본자료!$K$2:$K$501,$AB15),IF(AND(INDEX(기본자료!$K$2:$K$501,$AB15)&gt;=10000101,INT(MOD(INDEX(기본자료!$K$2:$K$501,$AB15),10000)/100)&gt;=1,INT(MOD(INDEX(기본자료!$K$2:$K$501,$AB15),10000)/100)&lt;=12,MOD(INDEX(기본자료!$K$2:$K$501,$AB15),100)&gt;=1,MOD(INDEX(기본자료!$K$2:$K$501,$AB15),100)&lt;=31),DATE(INT(INDEX(기본자료!$K$2:$K$501,$AB15)/10000),INT(MOD(INDEX(기본자료!$K$2:$K$501,$AB15),10000)/100),MOD(INDEX(기본자료!$K$2:$K$501,$AB15),100)),INDEX(기본자료!$K$2:$K$501,$AB15)&amp;"")))))</f>
        <v/>
      </c>
      <c r="F15" s="10">
        <f>IF($AB15="","",IF(INDEX(기본자료!$D$2:$D$501,$AB15)="","",INDEX(기본자료!$D$2:$D$501,$AB15)))</f>
        <v/>
      </c>
      <c r="G15" s="10">
        <f>IF($AB15="","",IF(INDEX(기본자료!$E$2:$E$501,$AB15)="","",INDEX(기본자료!$E$2:$E$501,$AB15)))</f>
        <v/>
      </c>
      <c r="H15" s="10">
        <f>IF($AB15="","",IF(INDEX(기본자료!$F$2:$F$501,$AB15)="","",INDEX(기본자료!$F$2:$F$501,$AB15)))</f>
        <v/>
      </c>
      <c r="I15" s="11">
        <f>IF($AB15="","",IF(INDEX(기본자료!$G$2:$G$501,$AB15)="","",IF(NOT(ISNUMBER(INDEX(기본자료!$G$2:$G$501,$AB15))),INDEX(기본자료!$G$2:$G$501,$AB15),IF(INDEX(기본자료!$G$2:$G$501,$AB15)&lt;1000000,INDEX(기본자료!$G$2:$G$501,$AB15),IF(AND(INDEX(기본자료!$G$2:$G$501,$AB15)&gt;=10000101,INT(MOD(INDEX(기본자료!$G$2:$G$501,$AB15),10000)/100)&gt;=1,INT(MOD(INDEX(기본자료!$G$2:$G$501,$AB15),10000)/100)&lt;=12,MOD(INDEX(기본자료!$G$2:$G$501,$AB15),100)&gt;=1,MOD(INDEX(기본자료!$G$2:$G$501,$AB15),100)&lt;=31),DATE(INT(INDEX(기본자료!$G$2:$G$501,$AB15)/10000),INT(MOD(INDEX(기본자료!$G$2:$G$501,$AB15),10000)/100),MOD(INDEX(기본자료!$G$2:$G$501,$AB15),100)),INDEX(기본자료!$G$2:$G$501,$AB15)&amp;"")))))</f>
        <v/>
      </c>
      <c r="J15" s="10">
        <f>IF($AB15="","",IF(INDEX(기본자료!$H$2:$H$501,$AB15)="","",INDEX(기본자료!$H$2:$H$501,$AB15)))</f>
        <v/>
      </c>
      <c r="K15" s="10">
        <f>IF($AB15="","",IF(INDEX(기본자료!$I$2:$I$501,$AB15)="","",INDEX(기본자료!$I$2:$I$501,$AB15)))</f>
        <v/>
      </c>
      <c r="L15" s="10">
        <f>IF($AB15="","",IF(INDEX(기본자료!$A$2:$A$501,$AB15)="","",INDEX(기본자료!$A$2:$A$501,$AB15)))</f>
        <v/>
      </c>
      <c r="M15" s="15" t="n"/>
      <c r="N15" s="10">
        <f>IF($B15="","",IF(AND($U15="파견중",$Q15&lt;&gt;""),$Q15,IF(AND($AD15&lt;&gt;"",LEFT($AD15,1)&lt;&gt;"⚠"),LEFT($AD15,FIND(" ",$AD15)-1),IF($H15="","",IF(RIGHT($H15,2)="병원",$H15,$H15&amp;"병원")))))</f>
        <v/>
      </c>
      <c r="O15" s="10">
        <f>IF($B15="","",IF(AND($U15="파견중",$Q15&lt;&gt;""),IF($R15&lt;&gt;"",$R15,"파견과 미입력"),IF(AND($AD15&lt;&gt;"",LEFT($AD15,1)&lt;&gt;"⚠"),MID($AD15,FIND(" ",$AD15)+1,60),IF($F15="","",IF($F15="인턴","수련교육부(인턴)",$F15)))))</f>
        <v/>
      </c>
      <c r="P15" s="10">
        <f>IF($B15="","",IF($AK15&lt;&gt;"",IF(AND(TODAY()&gt;=INDEX(파견수련계획!$AB$4:$AB$203,$AK15),OR(NOT(ISNUMBER(INDEX(파견수련계획!$AC$4:$AC$203,$AK15))),TODAY()&lt;=INDEX(파견수련계획!$AC$4:$AC$203,$AK15))),"다기관",IF($AF15="","",INDEX(파견수련계획!$T$4:$T$203,$AF15))),IF($AF15="","",INDEX(파견수련계획!$T$4:$T$203,$AF15))))</f>
        <v/>
      </c>
      <c r="Q15" s="10">
        <f>IF($AF15="","",INDEX(파견수련계획!$S$4:$S$203,$AF15))</f>
        <v/>
      </c>
      <c r="R15" s="10">
        <f>IF($AF15="","",INDEX(파견수련계획!$U$4:$U$203,$AF15))</f>
        <v/>
      </c>
      <c r="S15" s="11">
        <f>IF($AF15="","",IF(INDEX(파견수련계획!$H$4:$H$203,$AF15)="","",INDEX(파견수련계획!$H$4:$H$203,$AF15)))</f>
        <v/>
      </c>
      <c r="T15" s="11">
        <f>IF($AF15="","",IF(INDEX(파견수련계획!$I$4:$I$203,$AF15)="","",INDEX(파견수련계획!$I$4:$I$203,$AF15)))</f>
        <v/>
      </c>
      <c r="U15" s="10">
        <f>IF($AF15="","",INDEX(파견수련계획!$X$4:$X$203,$AF15))</f>
        <v/>
      </c>
      <c r="V15" s="17">
        <f>IF($AF15="","",INDEX(파견수련계획!$V$4:$V$203,$AF15))</f>
        <v/>
      </c>
      <c r="W15" s="17">
        <f>IF(AND($U15="파견중",$T15&lt;&gt;""),$T15-TODAY(),"")</f>
        <v/>
      </c>
      <c r="X15" s="17">
        <f>IF(OR($B15="",TRIM($J15&amp;"")=""),"",SUMPRODUCT((파견수련계획!$Q$4:$Q$203=TRIM($J15&amp;""))*파견수련계획!$W$4:$W$203))</f>
        <v/>
      </c>
      <c r="Y15" s="10">
        <f>IF($B15="","",IF($AG15="","",IF(IF(TRIM($J15&amp;"")="",0,SUMPRODUCT((파견수련계획!$Q$4:$Q$203=TRIM($J15&amp;""))*파견수련계획!$AD$4:$AD$203))&gt;0,$AE15,IF(N($X15)&lt;=0,$AG15,IF($AH15+$AI15=DAY(EOMONTH(요약!$B$3,0)),IF(AND($AH15&gt;=요약!$E$3,$AI15&lt;요약!$E$3),"서울병원",IF(AND($AI15&gt;=요약!$E$3,$AH15&lt;요약!$E$3),"구리병원","⚠15일 판정불가(서울 "&amp;$AH15&amp;"일/구리 "&amp;$AI15&amp;"일)")),IF($AJ15="",$AE15,IF(INDEX(파견수련계획!$T$4:$T$203,$AJ15)="통합수련",INDEX(파견수련계획!$S$4:$S$203,$AJ15),$AE15)))))))</f>
        <v/>
      </c>
      <c r="Z15" s="19">
        <f>IF($B15="","",IF($AB15="","기본자료에 없는 사번",IF(COUNTIF($B$2:$B$201,$B15)&gt;1,"중복 사번",IF($AE15="","소속(입사장소) 입력",IF(IF(TRIM($J15&amp;"")="",0,SUMPRODUCT((파견수련계획!$Q$4:$Q$203=TRIM($J15&amp;""))*(파견수련계획!$AA$4:$AA$203&lt;&gt;"")))&gt;0,"파견수련계획 입력오류 확인",IF(LEFT($Y15,1)="⚠","서울·구리 15일 판정 불가(양쪽 모두 이상/미만)",IF(IF($AC15="",0,N(INDEX(인턴근무계획!$T$3:$T$202,$AC15)))&gt;0,"인턴계획 입력오류 확인",IF(AND($AC15&lt;&gt;"",$U15&lt;&gt;"파견중",$N15&lt;&gt;$AE15),"인턴 타지역 근무: 파견 여부 확인","정상"))))))))</f>
        <v/>
      </c>
      <c r="AA15" s="5" t="n"/>
      <c r="AB15" s="10">
        <f>IF($B15="","",IFERROR(MATCH($B15,기본자료!$B$2:$B$501,0),IFERROR(MATCH($B15&amp;"",기본자료!$B$2:$B$501,0),IFERROR(MATCH(VALUE($B15),기본자료!$B$2:$B$501,0),""))))</f>
        <v/>
      </c>
      <c r="AC15" s="10">
        <f>IF($B15="","",IFERROR(MATCH($B15,인턴근무계획!$D$3:$D$202,0),IFERROR(MATCH($B15&amp;"",인턴근무계획!$D$3:$D$202,0),IFERROR(MATCH(VALUE($B15),인턴근무계획!$D$3:$D$202,0),""))))</f>
        <v/>
      </c>
      <c r="AD15" s="10">
        <f>IF(OR($AC15="",인턴현황!$G$3=""),"",INDEX(인턴근무계획!$M$3:$R$202,$AC15,인턴현황!$G$3)&amp;"")</f>
        <v/>
      </c>
      <c r="AE15" s="10">
        <f>IF($B15="","",IF($M15&lt;&gt;"",$M15,IF($AF15&lt;&gt;"",IF(LEFT(INDEX(파견수련계획!$R$4:$R$203,$AF15),1)&lt;&gt;"⚠",INDEX(파견수련계획!$R$4:$R$203,$AF15),IF($H15="","",IF(RIGHT($H15,2)="병원",$H15,$H15&amp;"병원"))),IF($H15="","",IF(RIGHT($H15,2)="병원",$H15,$H15&amp;"병원")))))</f>
        <v/>
      </c>
      <c r="AF15" s="10">
        <f>IF(OR($B15="",TRIM($J15&amp;"")=""),"",IFERROR(MATCH(TRIM($J15&amp;"")&amp;"|파견중",파견수련계획!$Y$4:$Y$203,0),IFERROR(MATCH(TRIM($J15&amp;"")&amp;"|파견예정",파견수련계획!$Y$4:$Y$203,0),IFERROR(MATCH(TRIM($J15&amp;"")&amp;"|파견종료",파견수련계획!$Y$4:$Y$203,0),""))))</f>
        <v/>
      </c>
      <c r="AG15" s="10">
        <f>IF($B15="","",IF(AND(IF(OR($AC15="",인턴현황!$K$2=""),"",INDEX(인턴근무계획!$M$3:$R$202,$AC15,인턴현황!$K$2)&amp;"")&lt;&gt;"",LEFT(IF(OR($AC15="",인턴현황!$K$2=""),"",INDEX(인턴근무계획!$M$3:$R$202,$AC15,인턴현황!$K$2)&amp;""),1)&lt;&gt;"⚠"),LEFT(IF(OR($AC15="",인턴현황!$K$2=""),"",INDEX(인턴근무계획!$M$3:$R$202,$AC15,인턴현황!$K$2)&amp;""),FIND(" ",IF(OR($AC15="",인턴현황!$K$2=""),"",INDEX(인턴근무계획!$M$3:$R$202,$AC15,인턴현황!$K$2)&amp;""))-1),$AE15))</f>
        <v/>
      </c>
      <c r="AH15" s="17">
        <f>IF($B15="","",IF(TRIM($J15&amp;"")="",0,SUMPRODUCT((파견수련계획!$Q$4:$Q$203=TRIM($J15&amp;""))*(파견수련계획!$S$4:$S$203="서울병원")*파견수련계획!$W$4:$W$203))+IF($AG15="서울병원",MAX(0,DAY(EOMONTH(요약!$B$3,0))-N($X15)),0))</f>
        <v/>
      </c>
      <c r="AI15" s="17">
        <f>IF($B15="","",IF(TRIM($J15&amp;"")="",0,SUMPRODUCT((파견수련계획!$Q$4:$Q$203=TRIM($J15&amp;""))*(파견수련계획!$S$4:$S$203="구리병원")*파견수련계획!$W$4:$W$203))+IF($AG15="구리병원",MAX(0,DAY(EOMONTH(요약!$B$3,0))-N($X15)),0))</f>
        <v/>
      </c>
      <c r="AJ15" s="10">
        <f>IF(OR($B15="",TRIM($J15&amp;"")=""),"",IFERROR(MATCH(TRIM($J15&amp;"")&amp;"|월",파견수련계획!$Z$4:$Z$203,0),""))</f>
        <v/>
      </c>
      <c r="AK15" s="10">
        <f>IF(OR($B15="",TRIM($J15&amp;"")=""),"",IFERROR(MATCH(TRIM($J15&amp;"")&amp;"|다기관",파견수련계획!$AE$4:$AE$203,0),""))</f>
        <v/>
      </c>
      <c r="AL15" s="10">
        <f>IF($AK15="","","다기관 "&amp;TEXT(INDEX(파견수련계획!$AB$4:$AB$203,$AK15),"yyyy-mm-dd")&amp;"~"&amp;IF(ISNUMBER(INDEX(파견수련계획!$AC$4:$AC$203,$AK15)),TEXT(INDEX(파견수련계획!$AC$4:$AC$203,$AK15),"yyyy-mm-dd"),""))</f>
        <v/>
      </c>
    </row>
    <row r="16">
      <c r="A16" s="10">
        <f>IF(B16="","",ROW()-1)</f>
        <v/>
      </c>
      <c r="B16" s="18" t="n"/>
      <c r="C16" s="10">
        <f>IF($AB16="","",IF(INDEX(기본자료!$C$2:$C$501,$AB16)="","",INDEX(기본자료!$C$2:$C$501,$AB16)))</f>
        <v/>
      </c>
      <c r="D16" s="10">
        <f>IF($AB16="","",IF(INDEX(기본자료!$J$2:$J$501,$AB16)="","",INDEX(기본자료!$J$2:$J$501,$AB16)))</f>
        <v/>
      </c>
      <c r="E16" s="11">
        <f>IF($AB16="","",IF(INDEX(기본자료!$K$2:$K$501,$AB16)="","",IF(NOT(ISNUMBER(INDEX(기본자료!$K$2:$K$501,$AB16))),INDEX(기본자료!$K$2:$K$501,$AB16),IF(INDEX(기본자료!$K$2:$K$501,$AB16)&lt;1000000,INDEX(기본자료!$K$2:$K$501,$AB16),IF(AND(INDEX(기본자료!$K$2:$K$501,$AB16)&gt;=10000101,INT(MOD(INDEX(기본자료!$K$2:$K$501,$AB16),10000)/100)&gt;=1,INT(MOD(INDEX(기본자료!$K$2:$K$501,$AB16),10000)/100)&lt;=12,MOD(INDEX(기본자료!$K$2:$K$501,$AB16),100)&gt;=1,MOD(INDEX(기본자료!$K$2:$K$501,$AB16),100)&lt;=31),DATE(INT(INDEX(기본자료!$K$2:$K$501,$AB16)/10000),INT(MOD(INDEX(기본자료!$K$2:$K$501,$AB16),10000)/100),MOD(INDEX(기본자료!$K$2:$K$501,$AB16),100)),INDEX(기본자료!$K$2:$K$501,$AB16)&amp;"")))))</f>
        <v/>
      </c>
      <c r="F16" s="10">
        <f>IF($AB16="","",IF(INDEX(기본자료!$D$2:$D$501,$AB16)="","",INDEX(기본자료!$D$2:$D$501,$AB16)))</f>
        <v/>
      </c>
      <c r="G16" s="10">
        <f>IF($AB16="","",IF(INDEX(기본자료!$E$2:$E$501,$AB16)="","",INDEX(기본자료!$E$2:$E$501,$AB16)))</f>
        <v/>
      </c>
      <c r="H16" s="10">
        <f>IF($AB16="","",IF(INDEX(기본자료!$F$2:$F$501,$AB16)="","",INDEX(기본자료!$F$2:$F$501,$AB16)))</f>
        <v/>
      </c>
      <c r="I16" s="11">
        <f>IF($AB16="","",IF(INDEX(기본자료!$G$2:$G$501,$AB16)="","",IF(NOT(ISNUMBER(INDEX(기본자료!$G$2:$G$501,$AB16))),INDEX(기본자료!$G$2:$G$501,$AB16),IF(INDEX(기본자료!$G$2:$G$501,$AB16)&lt;1000000,INDEX(기본자료!$G$2:$G$501,$AB16),IF(AND(INDEX(기본자료!$G$2:$G$501,$AB16)&gt;=10000101,INT(MOD(INDEX(기본자료!$G$2:$G$501,$AB16),10000)/100)&gt;=1,INT(MOD(INDEX(기본자료!$G$2:$G$501,$AB16),10000)/100)&lt;=12,MOD(INDEX(기본자료!$G$2:$G$501,$AB16),100)&gt;=1,MOD(INDEX(기본자료!$G$2:$G$501,$AB16),100)&lt;=31),DATE(INT(INDEX(기본자료!$G$2:$G$501,$AB16)/10000),INT(MOD(INDEX(기본자료!$G$2:$G$501,$AB16),10000)/100),MOD(INDEX(기본자료!$G$2:$G$501,$AB16),100)),INDEX(기본자료!$G$2:$G$501,$AB16)&amp;"")))))</f>
        <v/>
      </c>
      <c r="J16" s="10">
        <f>IF($AB16="","",IF(INDEX(기본자료!$H$2:$H$501,$AB16)="","",INDEX(기본자료!$H$2:$H$501,$AB16)))</f>
        <v/>
      </c>
      <c r="K16" s="10">
        <f>IF($AB16="","",IF(INDEX(기본자료!$I$2:$I$501,$AB16)="","",INDEX(기본자료!$I$2:$I$501,$AB16)))</f>
        <v/>
      </c>
      <c r="L16" s="10">
        <f>IF($AB16="","",IF(INDEX(기본자료!$A$2:$A$501,$AB16)="","",INDEX(기본자료!$A$2:$A$501,$AB16)))</f>
        <v/>
      </c>
      <c r="M16" s="15" t="n"/>
      <c r="N16" s="10">
        <f>IF($B16="","",IF(AND($U16="파견중",$Q16&lt;&gt;""),$Q16,IF(AND($AD16&lt;&gt;"",LEFT($AD16,1)&lt;&gt;"⚠"),LEFT($AD16,FIND(" ",$AD16)-1),IF($H16="","",IF(RIGHT($H16,2)="병원",$H16,$H16&amp;"병원")))))</f>
        <v/>
      </c>
      <c r="O16" s="10">
        <f>IF($B16="","",IF(AND($U16="파견중",$Q16&lt;&gt;""),IF($R16&lt;&gt;"",$R16,"파견과 미입력"),IF(AND($AD16&lt;&gt;"",LEFT($AD16,1)&lt;&gt;"⚠"),MID($AD16,FIND(" ",$AD16)+1,60),IF($F16="","",IF($F16="인턴","수련교육부(인턴)",$F16)))))</f>
        <v/>
      </c>
      <c r="P16" s="10">
        <f>IF($B16="","",IF($AK16&lt;&gt;"",IF(AND(TODAY()&gt;=INDEX(파견수련계획!$AB$4:$AB$203,$AK16),OR(NOT(ISNUMBER(INDEX(파견수련계획!$AC$4:$AC$203,$AK16))),TODAY()&lt;=INDEX(파견수련계획!$AC$4:$AC$203,$AK16))),"다기관",IF($AF16="","",INDEX(파견수련계획!$T$4:$T$203,$AF16))),IF($AF16="","",INDEX(파견수련계획!$T$4:$T$203,$AF16))))</f>
        <v/>
      </c>
      <c r="Q16" s="10">
        <f>IF($AF16="","",INDEX(파견수련계획!$S$4:$S$203,$AF16))</f>
        <v/>
      </c>
      <c r="R16" s="10">
        <f>IF($AF16="","",INDEX(파견수련계획!$U$4:$U$203,$AF16))</f>
        <v/>
      </c>
      <c r="S16" s="11">
        <f>IF($AF16="","",IF(INDEX(파견수련계획!$H$4:$H$203,$AF16)="","",INDEX(파견수련계획!$H$4:$H$203,$AF16)))</f>
        <v/>
      </c>
      <c r="T16" s="11">
        <f>IF($AF16="","",IF(INDEX(파견수련계획!$I$4:$I$203,$AF16)="","",INDEX(파견수련계획!$I$4:$I$203,$AF16)))</f>
        <v/>
      </c>
      <c r="U16" s="10">
        <f>IF($AF16="","",INDEX(파견수련계획!$X$4:$X$203,$AF16))</f>
        <v/>
      </c>
      <c r="V16" s="17">
        <f>IF($AF16="","",INDEX(파견수련계획!$V$4:$V$203,$AF16))</f>
        <v/>
      </c>
      <c r="W16" s="17">
        <f>IF(AND($U16="파견중",$T16&lt;&gt;""),$T16-TODAY(),"")</f>
        <v/>
      </c>
      <c r="X16" s="17">
        <f>IF(OR($B16="",TRIM($J16&amp;"")=""),"",SUMPRODUCT((파견수련계획!$Q$4:$Q$203=TRIM($J16&amp;""))*파견수련계획!$W$4:$W$203))</f>
        <v/>
      </c>
      <c r="Y16" s="10">
        <f>IF($B16="","",IF($AG16="","",IF(IF(TRIM($J16&amp;"")="",0,SUMPRODUCT((파견수련계획!$Q$4:$Q$203=TRIM($J16&amp;""))*파견수련계획!$AD$4:$AD$203))&gt;0,$AE16,IF(N($X16)&lt;=0,$AG16,IF($AH16+$AI16=DAY(EOMONTH(요약!$B$3,0)),IF(AND($AH16&gt;=요약!$E$3,$AI16&lt;요약!$E$3),"서울병원",IF(AND($AI16&gt;=요약!$E$3,$AH16&lt;요약!$E$3),"구리병원","⚠15일 판정불가(서울 "&amp;$AH16&amp;"일/구리 "&amp;$AI16&amp;"일)")),IF($AJ16="",$AE16,IF(INDEX(파견수련계획!$T$4:$T$203,$AJ16)="통합수련",INDEX(파견수련계획!$S$4:$S$203,$AJ16),$AE16)))))))</f>
        <v/>
      </c>
      <c r="Z16" s="19">
        <f>IF($B16="","",IF($AB16="","기본자료에 없는 사번",IF(COUNTIF($B$2:$B$201,$B16)&gt;1,"중복 사번",IF($AE16="","소속(입사장소) 입력",IF(IF(TRIM($J16&amp;"")="",0,SUMPRODUCT((파견수련계획!$Q$4:$Q$203=TRIM($J16&amp;""))*(파견수련계획!$AA$4:$AA$203&lt;&gt;"")))&gt;0,"파견수련계획 입력오류 확인",IF(LEFT($Y16,1)="⚠","서울·구리 15일 판정 불가(양쪽 모두 이상/미만)",IF(IF($AC16="",0,N(INDEX(인턴근무계획!$T$3:$T$202,$AC16)))&gt;0,"인턴계획 입력오류 확인",IF(AND($AC16&lt;&gt;"",$U16&lt;&gt;"파견중",$N16&lt;&gt;$AE16),"인턴 타지역 근무: 파견 여부 확인","정상"))))))))</f>
        <v/>
      </c>
      <c r="AA16" s="5" t="n"/>
      <c r="AB16" s="10">
        <f>IF($B16="","",IFERROR(MATCH($B16,기본자료!$B$2:$B$501,0),IFERROR(MATCH($B16&amp;"",기본자료!$B$2:$B$501,0),IFERROR(MATCH(VALUE($B16),기본자료!$B$2:$B$501,0),""))))</f>
        <v/>
      </c>
      <c r="AC16" s="10">
        <f>IF($B16="","",IFERROR(MATCH($B16,인턴근무계획!$D$3:$D$202,0),IFERROR(MATCH($B16&amp;"",인턴근무계획!$D$3:$D$202,0),IFERROR(MATCH(VALUE($B16),인턴근무계획!$D$3:$D$202,0),""))))</f>
        <v/>
      </c>
      <c r="AD16" s="10">
        <f>IF(OR($AC16="",인턴현황!$G$3=""),"",INDEX(인턴근무계획!$M$3:$R$202,$AC16,인턴현황!$G$3)&amp;"")</f>
        <v/>
      </c>
      <c r="AE16" s="10">
        <f>IF($B16="","",IF($M16&lt;&gt;"",$M16,IF($AF16&lt;&gt;"",IF(LEFT(INDEX(파견수련계획!$R$4:$R$203,$AF16),1)&lt;&gt;"⚠",INDEX(파견수련계획!$R$4:$R$203,$AF16),IF($H16="","",IF(RIGHT($H16,2)="병원",$H16,$H16&amp;"병원"))),IF($H16="","",IF(RIGHT($H16,2)="병원",$H16,$H16&amp;"병원")))))</f>
        <v/>
      </c>
      <c r="AF16" s="10">
        <f>IF(OR($B16="",TRIM($J16&amp;"")=""),"",IFERROR(MATCH(TRIM($J16&amp;"")&amp;"|파견중",파견수련계획!$Y$4:$Y$203,0),IFERROR(MATCH(TRIM($J16&amp;"")&amp;"|파견예정",파견수련계획!$Y$4:$Y$203,0),IFERROR(MATCH(TRIM($J16&amp;"")&amp;"|파견종료",파견수련계획!$Y$4:$Y$203,0),""))))</f>
        <v/>
      </c>
      <c r="AG16" s="10">
        <f>IF($B16="","",IF(AND(IF(OR($AC16="",인턴현황!$K$2=""),"",INDEX(인턴근무계획!$M$3:$R$202,$AC16,인턴현황!$K$2)&amp;"")&lt;&gt;"",LEFT(IF(OR($AC16="",인턴현황!$K$2=""),"",INDEX(인턴근무계획!$M$3:$R$202,$AC16,인턴현황!$K$2)&amp;""),1)&lt;&gt;"⚠"),LEFT(IF(OR($AC16="",인턴현황!$K$2=""),"",INDEX(인턴근무계획!$M$3:$R$202,$AC16,인턴현황!$K$2)&amp;""),FIND(" ",IF(OR($AC16="",인턴현황!$K$2=""),"",INDEX(인턴근무계획!$M$3:$R$202,$AC16,인턴현황!$K$2)&amp;""))-1),$AE16))</f>
        <v/>
      </c>
      <c r="AH16" s="17">
        <f>IF($B16="","",IF(TRIM($J16&amp;"")="",0,SUMPRODUCT((파견수련계획!$Q$4:$Q$203=TRIM($J16&amp;""))*(파견수련계획!$S$4:$S$203="서울병원")*파견수련계획!$W$4:$W$203))+IF($AG16="서울병원",MAX(0,DAY(EOMONTH(요약!$B$3,0))-N($X16)),0))</f>
        <v/>
      </c>
      <c r="AI16" s="17">
        <f>IF($B16="","",IF(TRIM($J16&amp;"")="",0,SUMPRODUCT((파견수련계획!$Q$4:$Q$203=TRIM($J16&amp;""))*(파견수련계획!$S$4:$S$203="구리병원")*파견수련계획!$W$4:$W$203))+IF($AG16="구리병원",MAX(0,DAY(EOMONTH(요약!$B$3,0))-N($X16)),0))</f>
        <v/>
      </c>
      <c r="AJ16" s="10">
        <f>IF(OR($B16="",TRIM($J16&amp;"")=""),"",IFERROR(MATCH(TRIM($J16&amp;"")&amp;"|월",파견수련계획!$Z$4:$Z$203,0),""))</f>
        <v/>
      </c>
      <c r="AK16" s="10">
        <f>IF(OR($B16="",TRIM($J16&amp;"")=""),"",IFERROR(MATCH(TRIM($J16&amp;"")&amp;"|다기관",파견수련계획!$AE$4:$AE$203,0),""))</f>
        <v/>
      </c>
      <c r="AL16" s="10">
        <f>IF($AK16="","","다기관 "&amp;TEXT(INDEX(파견수련계획!$AB$4:$AB$203,$AK16),"yyyy-mm-dd")&amp;"~"&amp;IF(ISNUMBER(INDEX(파견수련계획!$AC$4:$AC$203,$AK16)),TEXT(INDEX(파견수련계획!$AC$4:$AC$203,$AK16),"yyyy-mm-dd"),""))</f>
        <v/>
      </c>
    </row>
    <row r="17">
      <c r="A17" s="10">
        <f>IF(B17="","",ROW()-1)</f>
        <v/>
      </c>
      <c r="B17" s="18" t="n"/>
      <c r="C17" s="10">
        <f>IF($AB17="","",IF(INDEX(기본자료!$C$2:$C$501,$AB17)="","",INDEX(기본자료!$C$2:$C$501,$AB17)))</f>
        <v/>
      </c>
      <c r="D17" s="10">
        <f>IF($AB17="","",IF(INDEX(기본자료!$J$2:$J$501,$AB17)="","",INDEX(기본자료!$J$2:$J$501,$AB17)))</f>
        <v/>
      </c>
      <c r="E17" s="11">
        <f>IF($AB17="","",IF(INDEX(기본자료!$K$2:$K$501,$AB17)="","",IF(NOT(ISNUMBER(INDEX(기본자료!$K$2:$K$501,$AB17))),INDEX(기본자료!$K$2:$K$501,$AB17),IF(INDEX(기본자료!$K$2:$K$501,$AB17)&lt;1000000,INDEX(기본자료!$K$2:$K$501,$AB17),IF(AND(INDEX(기본자료!$K$2:$K$501,$AB17)&gt;=10000101,INT(MOD(INDEX(기본자료!$K$2:$K$501,$AB17),10000)/100)&gt;=1,INT(MOD(INDEX(기본자료!$K$2:$K$501,$AB17),10000)/100)&lt;=12,MOD(INDEX(기본자료!$K$2:$K$501,$AB17),100)&gt;=1,MOD(INDEX(기본자료!$K$2:$K$501,$AB17),100)&lt;=31),DATE(INT(INDEX(기본자료!$K$2:$K$501,$AB17)/10000),INT(MOD(INDEX(기본자료!$K$2:$K$501,$AB17),10000)/100),MOD(INDEX(기본자료!$K$2:$K$501,$AB17),100)),INDEX(기본자료!$K$2:$K$501,$AB17)&amp;"")))))</f>
        <v/>
      </c>
      <c r="F17" s="10">
        <f>IF($AB17="","",IF(INDEX(기본자료!$D$2:$D$501,$AB17)="","",INDEX(기본자료!$D$2:$D$501,$AB17)))</f>
        <v/>
      </c>
      <c r="G17" s="10">
        <f>IF($AB17="","",IF(INDEX(기본자료!$E$2:$E$501,$AB17)="","",INDEX(기본자료!$E$2:$E$501,$AB17)))</f>
        <v/>
      </c>
      <c r="H17" s="10">
        <f>IF($AB17="","",IF(INDEX(기본자료!$F$2:$F$501,$AB17)="","",INDEX(기본자료!$F$2:$F$501,$AB17)))</f>
        <v/>
      </c>
      <c r="I17" s="11">
        <f>IF($AB17="","",IF(INDEX(기본자료!$G$2:$G$501,$AB17)="","",IF(NOT(ISNUMBER(INDEX(기본자료!$G$2:$G$501,$AB17))),INDEX(기본자료!$G$2:$G$501,$AB17),IF(INDEX(기본자료!$G$2:$G$501,$AB17)&lt;1000000,INDEX(기본자료!$G$2:$G$501,$AB17),IF(AND(INDEX(기본자료!$G$2:$G$501,$AB17)&gt;=10000101,INT(MOD(INDEX(기본자료!$G$2:$G$501,$AB17),10000)/100)&gt;=1,INT(MOD(INDEX(기본자료!$G$2:$G$501,$AB17),10000)/100)&lt;=12,MOD(INDEX(기본자료!$G$2:$G$501,$AB17),100)&gt;=1,MOD(INDEX(기본자료!$G$2:$G$501,$AB17),100)&lt;=31),DATE(INT(INDEX(기본자료!$G$2:$G$501,$AB17)/10000),INT(MOD(INDEX(기본자료!$G$2:$G$501,$AB17),10000)/100),MOD(INDEX(기본자료!$G$2:$G$501,$AB17),100)),INDEX(기본자료!$G$2:$G$501,$AB17)&amp;"")))))</f>
        <v/>
      </c>
      <c r="J17" s="10">
        <f>IF($AB17="","",IF(INDEX(기본자료!$H$2:$H$501,$AB17)="","",INDEX(기본자료!$H$2:$H$501,$AB17)))</f>
        <v/>
      </c>
      <c r="K17" s="10">
        <f>IF($AB17="","",IF(INDEX(기본자료!$I$2:$I$501,$AB17)="","",INDEX(기본자료!$I$2:$I$501,$AB17)))</f>
        <v/>
      </c>
      <c r="L17" s="10">
        <f>IF($AB17="","",IF(INDEX(기본자료!$A$2:$A$501,$AB17)="","",INDEX(기본자료!$A$2:$A$501,$AB17)))</f>
        <v/>
      </c>
      <c r="M17" s="15" t="n"/>
      <c r="N17" s="10">
        <f>IF($B17="","",IF(AND($U17="파견중",$Q17&lt;&gt;""),$Q17,IF(AND($AD17&lt;&gt;"",LEFT($AD17,1)&lt;&gt;"⚠"),LEFT($AD17,FIND(" ",$AD17)-1),IF($H17="","",IF(RIGHT($H17,2)="병원",$H17,$H17&amp;"병원")))))</f>
        <v/>
      </c>
      <c r="O17" s="10">
        <f>IF($B17="","",IF(AND($U17="파견중",$Q17&lt;&gt;""),IF($R17&lt;&gt;"",$R17,"파견과 미입력"),IF(AND($AD17&lt;&gt;"",LEFT($AD17,1)&lt;&gt;"⚠"),MID($AD17,FIND(" ",$AD17)+1,60),IF($F17="","",IF($F17="인턴","수련교육부(인턴)",$F17)))))</f>
        <v/>
      </c>
      <c r="P17" s="10">
        <f>IF($B17="","",IF($AK17&lt;&gt;"",IF(AND(TODAY()&gt;=INDEX(파견수련계획!$AB$4:$AB$203,$AK17),OR(NOT(ISNUMBER(INDEX(파견수련계획!$AC$4:$AC$203,$AK17))),TODAY()&lt;=INDEX(파견수련계획!$AC$4:$AC$203,$AK17))),"다기관",IF($AF17="","",INDEX(파견수련계획!$T$4:$T$203,$AF17))),IF($AF17="","",INDEX(파견수련계획!$T$4:$T$203,$AF17))))</f>
        <v/>
      </c>
      <c r="Q17" s="10">
        <f>IF($AF17="","",INDEX(파견수련계획!$S$4:$S$203,$AF17))</f>
        <v/>
      </c>
      <c r="R17" s="10">
        <f>IF($AF17="","",INDEX(파견수련계획!$U$4:$U$203,$AF17))</f>
        <v/>
      </c>
      <c r="S17" s="11">
        <f>IF($AF17="","",IF(INDEX(파견수련계획!$H$4:$H$203,$AF17)="","",INDEX(파견수련계획!$H$4:$H$203,$AF17)))</f>
        <v/>
      </c>
      <c r="T17" s="11">
        <f>IF($AF17="","",IF(INDEX(파견수련계획!$I$4:$I$203,$AF17)="","",INDEX(파견수련계획!$I$4:$I$203,$AF17)))</f>
        <v/>
      </c>
      <c r="U17" s="10">
        <f>IF($AF17="","",INDEX(파견수련계획!$X$4:$X$203,$AF17))</f>
        <v/>
      </c>
      <c r="V17" s="17">
        <f>IF($AF17="","",INDEX(파견수련계획!$V$4:$V$203,$AF17))</f>
        <v/>
      </c>
      <c r="W17" s="17">
        <f>IF(AND($U17="파견중",$T17&lt;&gt;""),$T17-TODAY(),"")</f>
        <v/>
      </c>
      <c r="X17" s="17">
        <f>IF(OR($B17="",TRIM($J17&amp;"")=""),"",SUMPRODUCT((파견수련계획!$Q$4:$Q$203=TRIM($J17&amp;""))*파견수련계획!$W$4:$W$203))</f>
        <v/>
      </c>
      <c r="Y17" s="10">
        <f>IF($B17="","",IF($AG17="","",IF(IF(TRIM($J17&amp;"")="",0,SUMPRODUCT((파견수련계획!$Q$4:$Q$203=TRIM($J17&amp;""))*파견수련계획!$AD$4:$AD$203))&gt;0,$AE17,IF(N($X17)&lt;=0,$AG17,IF($AH17+$AI17=DAY(EOMONTH(요약!$B$3,0)),IF(AND($AH17&gt;=요약!$E$3,$AI17&lt;요약!$E$3),"서울병원",IF(AND($AI17&gt;=요약!$E$3,$AH17&lt;요약!$E$3),"구리병원","⚠15일 판정불가(서울 "&amp;$AH17&amp;"일/구리 "&amp;$AI17&amp;"일)")),IF($AJ17="",$AE17,IF(INDEX(파견수련계획!$T$4:$T$203,$AJ17)="통합수련",INDEX(파견수련계획!$S$4:$S$203,$AJ17),$AE17)))))))</f>
        <v/>
      </c>
      <c r="Z17" s="19">
        <f>IF($B17="","",IF($AB17="","기본자료에 없는 사번",IF(COUNTIF($B$2:$B$201,$B17)&gt;1,"중복 사번",IF($AE17="","소속(입사장소) 입력",IF(IF(TRIM($J17&amp;"")="",0,SUMPRODUCT((파견수련계획!$Q$4:$Q$203=TRIM($J17&amp;""))*(파견수련계획!$AA$4:$AA$203&lt;&gt;"")))&gt;0,"파견수련계획 입력오류 확인",IF(LEFT($Y17,1)="⚠","서울·구리 15일 판정 불가(양쪽 모두 이상/미만)",IF(IF($AC17="",0,N(INDEX(인턴근무계획!$T$3:$T$202,$AC17)))&gt;0,"인턴계획 입력오류 확인",IF(AND($AC17&lt;&gt;"",$U17&lt;&gt;"파견중",$N17&lt;&gt;$AE17),"인턴 타지역 근무: 파견 여부 확인","정상"))))))))</f>
        <v/>
      </c>
      <c r="AA17" s="5" t="n"/>
      <c r="AB17" s="10">
        <f>IF($B17="","",IFERROR(MATCH($B17,기본자료!$B$2:$B$501,0),IFERROR(MATCH($B17&amp;"",기본자료!$B$2:$B$501,0),IFERROR(MATCH(VALUE($B17),기본자료!$B$2:$B$501,0),""))))</f>
        <v/>
      </c>
      <c r="AC17" s="10">
        <f>IF($B17="","",IFERROR(MATCH($B17,인턴근무계획!$D$3:$D$202,0),IFERROR(MATCH($B17&amp;"",인턴근무계획!$D$3:$D$202,0),IFERROR(MATCH(VALUE($B17),인턴근무계획!$D$3:$D$202,0),""))))</f>
        <v/>
      </c>
      <c r="AD17" s="10">
        <f>IF(OR($AC17="",인턴현황!$G$3=""),"",INDEX(인턴근무계획!$M$3:$R$202,$AC17,인턴현황!$G$3)&amp;"")</f>
        <v/>
      </c>
      <c r="AE17" s="10">
        <f>IF($B17="","",IF($M17&lt;&gt;"",$M17,IF($AF17&lt;&gt;"",IF(LEFT(INDEX(파견수련계획!$R$4:$R$203,$AF17),1)&lt;&gt;"⚠",INDEX(파견수련계획!$R$4:$R$203,$AF17),IF($H17="","",IF(RIGHT($H17,2)="병원",$H17,$H17&amp;"병원"))),IF($H17="","",IF(RIGHT($H17,2)="병원",$H17,$H17&amp;"병원")))))</f>
        <v/>
      </c>
      <c r="AF17" s="10">
        <f>IF(OR($B17="",TRIM($J17&amp;"")=""),"",IFERROR(MATCH(TRIM($J17&amp;"")&amp;"|파견중",파견수련계획!$Y$4:$Y$203,0),IFERROR(MATCH(TRIM($J17&amp;"")&amp;"|파견예정",파견수련계획!$Y$4:$Y$203,0),IFERROR(MATCH(TRIM($J17&amp;"")&amp;"|파견종료",파견수련계획!$Y$4:$Y$203,0),""))))</f>
        <v/>
      </c>
      <c r="AG17" s="10">
        <f>IF($B17="","",IF(AND(IF(OR($AC17="",인턴현황!$K$2=""),"",INDEX(인턴근무계획!$M$3:$R$202,$AC17,인턴현황!$K$2)&amp;"")&lt;&gt;"",LEFT(IF(OR($AC17="",인턴현황!$K$2=""),"",INDEX(인턴근무계획!$M$3:$R$202,$AC17,인턴현황!$K$2)&amp;""),1)&lt;&gt;"⚠"),LEFT(IF(OR($AC17="",인턴현황!$K$2=""),"",INDEX(인턴근무계획!$M$3:$R$202,$AC17,인턴현황!$K$2)&amp;""),FIND(" ",IF(OR($AC17="",인턴현황!$K$2=""),"",INDEX(인턴근무계획!$M$3:$R$202,$AC17,인턴현황!$K$2)&amp;""))-1),$AE17))</f>
        <v/>
      </c>
      <c r="AH17" s="17">
        <f>IF($B17="","",IF(TRIM($J17&amp;"")="",0,SUMPRODUCT((파견수련계획!$Q$4:$Q$203=TRIM($J17&amp;""))*(파견수련계획!$S$4:$S$203="서울병원")*파견수련계획!$W$4:$W$203))+IF($AG17="서울병원",MAX(0,DAY(EOMONTH(요약!$B$3,0))-N($X17)),0))</f>
        <v/>
      </c>
      <c r="AI17" s="17">
        <f>IF($B17="","",IF(TRIM($J17&amp;"")="",0,SUMPRODUCT((파견수련계획!$Q$4:$Q$203=TRIM($J17&amp;""))*(파견수련계획!$S$4:$S$203="구리병원")*파견수련계획!$W$4:$W$203))+IF($AG17="구리병원",MAX(0,DAY(EOMONTH(요약!$B$3,0))-N($X17)),0))</f>
        <v/>
      </c>
      <c r="AJ17" s="10">
        <f>IF(OR($B17="",TRIM($J17&amp;"")=""),"",IFERROR(MATCH(TRIM($J17&amp;"")&amp;"|월",파견수련계획!$Z$4:$Z$203,0),""))</f>
        <v/>
      </c>
      <c r="AK17" s="10">
        <f>IF(OR($B17="",TRIM($J17&amp;"")=""),"",IFERROR(MATCH(TRIM($J17&amp;"")&amp;"|다기관",파견수련계획!$AE$4:$AE$203,0),""))</f>
        <v/>
      </c>
      <c r="AL17" s="10">
        <f>IF($AK17="","","다기관 "&amp;TEXT(INDEX(파견수련계획!$AB$4:$AB$203,$AK17),"yyyy-mm-dd")&amp;"~"&amp;IF(ISNUMBER(INDEX(파견수련계획!$AC$4:$AC$203,$AK17)),TEXT(INDEX(파견수련계획!$AC$4:$AC$203,$AK17),"yyyy-mm-dd"),""))</f>
        <v/>
      </c>
    </row>
    <row r="18">
      <c r="A18" s="10">
        <f>IF(B18="","",ROW()-1)</f>
        <v/>
      </c>
      <c r="B18" s="18" t="n"/>
      <c r="C18" s="10">
        <f>IF($AB18="","",IF(INDEX(기본자료!$C$2:$C$501,$AB18)="","",INDEX(기본자료!$C$2:$C$501,$AB18)))</f>
        <v/>
      </c>
      <c r="D18" s="10">
        <f>IF($AB18="","",IF(INDEX(기본자료!$J$2:$J$501,$AB18)="","",INDEX(기본자료!$J$2:$J$501,$AB18)))</f>
        <v/>
      </c>
      <c r="E18" s="11">
        <f>IF($AB18="","",IF(INDEX(기본자료!$K$2:$K$501,$AB18)="","",IF(NOT(ISNUMBER(INDEX(기본자료!$K$2:$K$501,$AB18))),INDEX(기본자료!$K$2:$K$501,$AB18),IF(INDEX(기본자료!$K$2:$K$501,$AB18)&lt;1000000,INDEX(기본자료!$K$2:$K$501,$AB18),IF(AND(INDEX(기본자료!$K$2:$K$501,$AB18)&gt;=10000101,INT(MOD(INDEX(기본자료!$K$2:$K$501,$AB18),10000)/100)&gt;=1,INT(MOD(INDEX(기본자료!$K$2:$K$501,$AB18),10000)/100)&lt;=12,MOD(INDEX(기본자료!$K$2:$K$501,$AB18),100)&gt;=1,MOD(INDEX(기본자료!$K$2:$K$501,$AB18),100)&lt;=31),DATE(INT(INDEX(기본자료!$K$2:$K$501,$AB18)/10000),INT(MOD(INDEX(기본자료!$K$2:$K$501,$AB18),10000)/100),MOD(INDEX(기본자료!$K$2:$K$501,$AB18),100)),INDEX(기본자료!$K$2:$K$501,$AB18)&amp;"")))))</f>
        <v/>
      </c>
      <c r="F18" s="10">
        <f>IF($AB18="","",IF(INDEX(기본자료!$D$2:$D$501,$AB18)="","",INDEX(기본자료!$D$2:$D$501,$AB18)))</f>
        <v/>
      </c>
      <c r="G18" s="10">
        <f>IF($AB18="","",IF(INDEX(기본자료!$E$2:$E$501,$AB18)="","",INDEX(기본자료!$E$2:$E$501,$AB18)))</f>
        <v/>
      </c>
      <c r="H18" s="10">
        <f>IF($AB18="","",IF(INDEX(기본자료!$F$2:$F$501,$AB18)="","",INDEX(기본자료!$F$2:$F$501,$AB18)))</f>
        <v/>
      </c>
      <c r="I18" s="11">
        <f>IF($AB18="","",IF(INDEX(기본자료!$G$2:$G$501,$AB18)="","",IF(NOT(ISNUMBER(INDEX(기본자료!$G$2:$G$501,$AB18))),INDEX(기본자료!$G$2:$G$501,$AB18),IF(INDEX(기본자료!$G$2:$G$501,$AB18)&lt;1000000,INDEX(기본자료!$G$2:$G$501,$AB18),IF(AND(INDEX(기본자료!$G$2:$G$501,$AB18)&gt;=10000101,INT(MOD(INDEX(기본자료!$G$2:$G$501,$AB18),10000)/100)&gt;=1,INT(MOD(INDEX(기본자료!$G$2:$G$501,$AB18),10000)/100)&lt;=12,MOD(INDEX(기본자료!$G$2:$G$501,$AB18),100)&gt;=1,MOD(INDEX(기본자료!$G$2:$G$501,$AB18),100)&lt;=31),DATE(INT(INDEX(기본자료!$G$2:$G$501,$AB18)/10000),INT(MOD(INDEX(기본자료!$G$2:$G$501,$AB18),10000)/100),MOD(INDEX(기본자료!$G$2:$G$501,$AB18),100)),INDEX(기본자료!$G$2:$G$501,$AB18)&amp;"")))))</f>
        <v/>
      </c>
      <c r="J18" s="10">
        <f>IF($AB18="","",IF(INDEX(기본자료!$H$2:$H$501,$AB18)="","",INDEX(기본자료!$H$2:$H$501,$AB18)))</f>
        <v/>
      </c>
      <c r="K18" s="10">
        <f>IF($AB18="","",IF(INDEX(기본자료!$I$2:$I$501,$AB18)="","",INDEX(기본자료!$I$2:$I$501,$AB18)))</f>
        <v/>
      </c>
      <c r="L18" s="10">
        <f>IF($AB18="","",IF(INDEX(기본자료!$A$2:$A$501,$AB18)="","",INDEX(기본자료!$A$2:$A$501,$AB18)))</f>
        <v/>
      </c>
      <c r="M18" s="15" t="n"/>
      <c r="N18" s="10">
        <f>IF($B18="","",IF(AND($U18="파견중",$Q18&lt;&gt;""),$Q18,IF(AND($AD18&lt;&gt;"",LEFT($AD18,1)&lt;&gt;"⚠"),LEFT($AD18,FIND(" ",$AD18)-1),IF($H18="","",IF(RIGHT($H18,2)="병원",$H18,$H18&amp;"병원")))))</f>
        <v/>
      </c>
      <c r="O18" s="10">
        <f>IF($B18="","",IF(AND($U18="파견중",$Q18&lt;&gt;""),IF($R18&lt;&gt;"",$R18,"파견과 미입력"),IF(AND($AD18&lt;&gt;"",LEFT($AD18,1)&lt;&gt;"⚠"),MID($AD18,FIND(" ",$AD18)+1,60),IF($F18="","",IF($F18="인턴","수련교육부(인턴)",$F18)))))</f>
        <v/>
      </c>
      <c r="P18" s="10">
        <f>IF($B18="","",IF($AK18&lt;&gt;"",IF(AND(TODAY()&gt;=INDEX(파견수련계획!$AB$4:$AB$203,$AK18),OR(NOT(ISNUMBER(INDEX(파견수련계획!$AC$4:$AC$203,$AK18))),TODAY()&lt;=INDEX(파견수련계획!$AC$4:$AC$203,$AK18))),"다기관",IF($AF18="","",INDEX(파견수련계획!$T$4:$T$203,$AF18))),IF($AF18="","",INDEX(파견수련계획!$T$4:$T$203,$AF18))))</f>
        <v/>
      </c>
      <c r="Q18" s="10">
        <f>IF($AF18="","",INDEX(파견수련계획!$S$4:$S$203,$AF18))</f>
        <v/>
      </c>
      <c r="R18" s="10">
        <f>IF($AF18="","",INDEX(파견수련계획!$U$4:$U$203,$AF18))</f>
        <v/>
      </c>
      <c r="S18" s="11">
        <f>IF($AF18="","",IF(INDEX(파견수련계획!$H$4:$H$203,$AF18)="","",INDEX(파견수련계획!$H$4:$H$203,$AF18)))</f>
        <v/>
      </c>
      <c r="T18" s="11">
        <f>IF($AF18="","",IF(INDEX(파견수련계획!$I$4:$I$203,$AF18)="","",INDEX(파견수련계획!$I$4:$I$203,$AF18)))</f>
        <v/>
      </c>
      <c r="U18" s="10">
        <f>IF($AF18="","",INDEX(파견수련계획!$X$4:$X$203,$AF18))</f>
        <v/>
      </c>
      <c r="V18" s="17">
        <f>IF($AF18="","",INDEX(파견수련계획!$V$4:$V$203,$AF18))</f>
        <v/>
      </c>
      <c r="W18" s="17">
        <f>IF(AND($U18="파견중",$T18&lt;&gt;""),$T18-TODAY(),"")</f>
        <v/>
      </c>
      <c r="X18" s="17">
        <f>IF(OR($B18="",TRIM($J18&amp;"")=""),"",SUMPRODUCT((파견수련계획!$Q$4:$Q$203=TRIM($J18&amp;""))*파견수련계획!$W$4:$W$203))</f>
        <v/>
      </c>
      <c r="Y18" s="10">
        <f>IF($B18="","",IF($AG18="","",IF(IF(TRIM($J18&amp;"")="",0,SUMPRODUCT((파견수련계획!$Q$4:$Q$203=TRIM($J18&amp;""))*파견수련계획!$AD$4:$AD$203))&gt;0,$AE18,IF(N($X18)&lt;=0,$AG18,IF($AH18+$AI18=DAY(EOMONTH(요약!$B$3,0)),IF(AND($AH18&gt;=요약!$E$3,$AI18&lt;요약!$E$3),"서울병원",IF(AND($AI18&gt;=요약!$E$3,$AH18&lt;요약!$E$3),"구리병원","⚠15일 판정불가(서울 "&amp;$AH18&amp;"일/구리 "&amp;$AI18&amp;"일)")),IF($AJ18="",$AE18,IF(INDEX(파견수련계획!$T$4:$T$203,$AJ18)="통합수련",INDEX(파견수련계획!$S$4:$S$203,$AJ18),$AE18)))))))</f>
        <v/>
      </c>
      <c r="Z18" s="19">
        <f>IF($B18="","",IF($AB18="","기본자료에 없는 사번",IF(COUNTIF($B$2:$B$201,$B18)&gt;1,"중복 사번",IF($AE18="","소속(입사장소) 입력",IF(IF(TRIM($J18&amp;"")="",0,SUMPRODUCT((파견수련계획!$Q$4:$Q$203=TRIM($J18&amp;""))*(파견수련계획!$AA$4:$AA$203&lt;&gt;"")))&gt;0,"파견수련계획 입력오류 확인",IF(LEFT($Y18,1)="⚠","서울·구리 15일 판정 불가(양쪽 모두 이상/미만)",IF(IF($AC18="",0,N(INDEX(인턴근무계획!$T$3:$T$202,$AC18)))&gt;0,"인턴계획 입력오류 확인",IF(AND($AC18&lt;&gt;"",$U18&lt;&gt;"파견중",$N18&lt;&gt;$AE18),"인턴 타지역 근무: 파견 여부 확인","정상"))))))))</f>
        <v/>
      </c>
      <c r="AA18" s="5" t="n"/>
      <c r="AB18" s="10">
        <f>IF($B18="","",IFERROR(MATCH($B18,기본자료!$B$2:$B$501,0),IFERROR(MATCH($B18&amp;"",기본자료!$B$2:$B$501,0),IFERROR(MATCH(VALUE($B18),기본자료!$B$2:$B$501,0),""))))</f>
        <v/>
      </c>
      <c r="AC18" s="10">
        <f>IF($B18="","",IFERROR(MATCH($B18,인턴근무계획!$D$3:$D$202,0),IFERROR(MATCH($B18&amp;"",인턴근무계획!$D$3:$D$202,0),IFERROR(MATCH(VALUE($B18),인턴근무계획!$D$3:$D$202,0),""))))</f>
        <v/>
      </c>
      <c r="AD18" s="10">
        <f>IF(OR($AC18="",인턴현황!$G$3=""),"",INDEX(인턴근무계획!$M$3:$R$202,$AC18,인턴현황!$G$3)&amp;"")</f>
        <v/>
      </c>
      <c r="AE18" s="10">
        <f>IF($B18="","",IF($M18&lt;&gt;"",$M18,IF($AF18&lt;&gt;"",IF(LEFT(INDEX(파견수련계획!$R$4:$R$203,$AF18),1)&lt;&gt;"⚠",INDEX(파견수련계획!$R$4:$R$203,$AF18),IF($H18="","",IF(RIGHT($H18,2)="병원",$H18,$H18&amp;"병원"))),IF($H18="","",IF(RIGHT($H18,2)="병원",$H18,$H18&amp;"병원")))))</f>
        <v/>
      </c>
      <c r="AF18" s="10">
        <f>IF(OR($B18="",TRIM($J18&amp;"")=""),"",IFERROR(MATCH(TRIM($J18&amp;"")&amp;"|파견중",파견수련계획!$Y$4:$Y$203,0),IFERROR(MATCH(TRIM($J18&amp;"")&amp;"|파견예정",파견수련계획!$Y$4:$Y$203,0),IFERROR(MATCH(TRIM($J18&amp;"")&amp;"|파견종료",파견수련계획!$Y$4:$Y$203,0),""))))</f>
        <v/>
      </c>
      <c r="AG18" s="10">
        <f>IF($B18="","",IF(AND(IF(OR($AC18="",인턴현황!$K$2=""),"",INDEX(인턴근무계획!$M$3:$R$202,$AC18,인턴현황!$K$2)&amp;"")&lt;&gt;"",LEFT(IF(OR($AC18="",인턴현황!$K$2=""),"",INDEX(인턴근무계획!$M$3:$R$202,$AC18,인턴현황!$K$2)&amp;""),1)&lt;&gt;"⚠"),LEFT(IF(OR($AC18="",인턴현황!$K$2=""),"",INDEX(인턴근무계획!$M$3:$R$202,$AC18,인턴현황!$K$2)&amp;""),FIND(" ",IF(OR($AC18="",인턴현황!$K$2=""),"",INDEX(인턴근무계획!$M$3:$R$202,$AC18,인턴현황!$K$2)&amp;""))-1),$AE18))</f>
        <v/>
      </c>
      <c r="AH18" s="17">
        <f>IF($B18="","",IF(TRIM($J18&amp;"")="",0,SUMPRODUCT((파견수련계획!$Q$4:$Q$203=TRIM($J18&amp;""))*(파견수련계획!$S$4:$S$203="서울병원")*파견수련계획!$W$4:$W$203))+IF($AG18="서울병원",MAX(0,DAY(EOMONTH(요약!$B$3,0))-N($X18)),0))</f>
        <v/>
      </c>
      <c r="AI18" s="17">
        <f>IF($B18="","",IF(TRIM($J18&amp;"")="",0,SUMPRODUCT((파견수련계획!$Q$4:$Q$203=TRIM($J18&amp;""))*(파견수련계획!$S$4:$S$203="구리병원")*파견수련계획!$W$4:$W$203))+IF($AG18="구리병원",MAX(0,DAY(EOMONTH(요약!$B$3,0))-N($X18)),0))</f>
        <v/>
      </c>
      <c r="AJ18" s="10">
        <f>IF(OR($B18="",TRIM($J18&amp;"")=""),"",IFERROR(MATCH(TRIM($J18&amp;"")&amp;"|월",파견수련계획!$Z$4:$Z$203,0),""))</f>
        <v/>
      </c>
      <c r="AK18" s="10">
        <f>IF(OR($B18="",TRIM($J18&amp;"")=""),"",IFERROR(MATCH(TRIM($J18&amp;"")&amp;"|다기관",파견수련계획!$AE$4:$AE$203,0),""))</f>
        <v/>
      </c>
      <c r="AL18" s="10">
        <f>IF($AK18="","","다기관 "&amp;TEXT(INDEX(파견수련계획!$AB$4:$AB$203,$AK18),"yyyy-mm-dd")&amp;"~"&amp;IF(ISNUMBER(INDEX(파견수련계획!$AC$4:$AC$203,$AK18)),TEXT(INDEX(파견수련계획!$AC$4:$AC$203,$AK18),"yyyy-mm-dd"),""))</f>
        <v/>
      </c>
    </row>
    <row r="19">
      <c r="A19" s="10">
        <f>IF(B19="","",ROW()-1)</f>
        <v/>
      </c>
      <c r="B19" s="18" t="n"/>
      <c r="C19" s="10">
        <f>IF($AB19="","",IF(INDEX(기본자료!$C$2:$C$501,$AB19)="","",INDEX(기본자료!$C$2:$C$501,$AB19)))</f>
        <v/>
      </c>
      <c r="D19" s="10">
        <f>IF($AB19="","",IF(INDEX(기본자료!$J$2:$J$501,$AB19)="","",INDEX(기본자료!$J$2:$J$501,$AB19)))</f>
        <v/>
      </c>
      <c r="E19" s="11">
        <f>IF($AB19="","",IF(INDEX(기본자료!$K$2:$K$501,$AB19)="","",IF(NOT(ISNUMBER(INDEX(기본자료!$K$2:$K$501,$AB19))),INDEX(기본자료!$K$2:$K$501,$AB19),IF(INDEX(기본자료!$K$2:$K$501,$AB19)&lt;1000000,INDEX(기본자료!$K$2:$K$501,$AB19),IF(AND(INDEX(기본자료!$K$2:$K$501,$AB19)&gt;=10000101,INT(MOD(INDEX(기본자료!$K$2:$K$501,$AB19),10000)/100)&gt;=1,INT(MOD(INDEX(기본자료!$K$2:$K$501,$AB19),10000)/100)&lt;=12,MOD(INDEX(기본자료!$K$2:$K$501,$AB19),100)&gt;=1,MOD(INDEX(기본자료!$K$2:$K$501,$AB19),100)&lt;=31),DATE(INT(INDEX(기본자료!$K$2:$K$501,$AB19)/10000),INT(MOD(INDEX(기본자료!$K$2:$K$501,$AB19),10000)/100),MOD(INDEX(기본자료!$K$2:$K$501,$AB19),100)),INDEX(기본자료!$K$2:$K$501,$AB19)&amp;"")))))</f>
        <v/>
      </c>
      <c r="F19" s="10">
        <f>IF($AB19="","",IF(INDEX(기본자료!$D$2:$D$501,$AB19)="","",INDEX(기본자료!$D$2:$D$501,$AB19)))</f>
        <v/>
      </c>
      <c r="G19" s="10">
        <f>IF($AB19="","",IF(INDEX(기본자료!$E$2:$E$501,$AB19)="","",INDEX(기본자료!$E$2:$E$501,$AB19)))</f>
        <v/>
      </c>
      <c r="H19" s="10">
        <f>IF($AB19="","",IF(INDEX(기본자료!$F$2:$F$501,$AB19)="","",INDEX(기본자료!$F$2:$F$501,$AB19)))</f>
        <v/>
      </c>
      <c r="I19" s="11">
        <f>IF($AB19="","",IF(INDEX(기본자료!$G$2:$G$501,$AB19)="","",IF(NOT(ISNUMBER(INDEX(기본자료!$G$2:$G$501,$AB19))),INDEX(기본자료!$G$2:$G$501,$AB19),IF(INDEX(기본자료!$G$2:$G$501,$AB19)&lt;1000000,INDEX(기본자료!$G$2:$G$501,$AB19),IF(AND(INDEX(기본자료!$G$2:$G$501,$AB19)&gt;=10000101,INT(MOD(INDEX(기본자료!$G$2:$G$501,$AB19),10000)/100)&gt;=1,INT(MOD(INDEX(기본자료!$G$2:$G$501,$AB19),10000)/100)&lt;=12,MOD(INDEX(기본자료!$G$2:$G$501,$AB19),100)&gt;=1,MOD(INDEX(기본자료!$G$2:$G$501,$AB19),100)&lt;=31),DATE(INT(INDEX(기본자료!$G$2:$G$501,$AB19)/10000),INT(MOD(INDEX(기본자료!$G$2:$G$501,$AB19),10000)/100),MOD(INDEX(기본자료!$G$2:$G$501,$AB19),100)),INDEX(기본자료!$G$2:$G$501,$AB19)&amp;"")))))</f>
        <v/>
      </c>
      <c r="J19" s="10">
        <f>IF($AB19="","",IF(INDEX(기본자료!$H$2:$H$501,$AB19)="","",INDEX(기본자료!$H$2:$H$501,$AB19)))</f>
        <v/>
      </c>
      <c r="K19" s="10">
        <f>IF($AB19="","",IF(INDEX(기본자료!$I$2:$I$501,$AB19)="","",INDEX(기본자료!$I$2:$I$501,$AB19)))</f>
        <v/>
      </c>
      <c r="L19" s="10">
        <f>IF($AB19="","",IF(INDEX(기본자료!$A$2:$A$501,$AB19)="","",INDEX(기본자료!$A$2:$A$501,$AB19)))</f>
        <v/>
      </c>
      <c r="M19" s="15" t="n"/>
      <c r="N19" s="10">
        <f>IF($B19="","",IF(AND($U19="파견중",$Q19&lt;&gt;""),$Q19,IF(AND($AD19&lt;&gt;"",LEFT($AD19,1)&lt;&gt;"⚠"),LEFT($AD19,FIND(" ",$AD19)-1),IF($H19="","",IF(RIGHT($H19,2)="병원",$H19,$H19&amp;"병원")))))</f>
        <v/>
      </c>
      <c r="O19" s="10">
        <f>IF($B19="","",IF(AND($U19="파견중",$Q19&lt;&gt;""),IF($R19&lt;&gt;"",$R19,"파견과 미입력"),IF(AND($AD19&lt;&gt;"",LEFT($AD19,1)&lt;&gt;"⚠"),MID($AD19,FIND(" ",$AD19)+1,60),IF($F19="","",IF($F19="인턴","수련교육부(인턴)",$F19)))))</f>
        <v/>
      </c>
      <c r="P19" s="10">
        <f>IF($B19="","",IF($AK19&lt;&gt;"",IF(AND(TODAY()&gt;=INDEX(파견수련계획!$AB$4:$AB$203,$AK19),OR(NOT(ISNUMBER(INDEX(파견수련계획!$AC$4:$AC$203,$AK19))),TODAY()&lt;=INDEX(파견수련계획!$AC$4:$AC$203,$AK19))),"다기관",IF($AF19="","",INDEX(파견수련계획!$T$4:$T$203,$AF19))),IF($AF19="","",INDEX(파견수련계획!$T$4:$T$203,$AF19))))</f>
        <v/>
      </c>
      <c r="Q19" s="10">
        <f>IF($AF19="","",INDEX(파견수련계획!$S$4:$S$203,$AF19))</f>
        <v/>
      </c>
      <c r="R19" s="10">
        <f>IF($AF19="","",INDEX(파견수련계획!$U$4:$U$203,$AF19))</f>
        <v/>
      </c>
      <c r="S19" s="11">
        <f>IF($AF19="","",IF(INDEX(파견수련계획!$H$4:$H$203,$AF19)="","",INDEX(파견수련계획!$H$4:$H$203,$AF19)))</f>
        <v/>
      </c>
      <c r="T19" s="11">
        <f>IF($AF19="","",IF(INDEX(파견수련계획!$I$4:$I$203,$AF19)="","",INDEX(파견수련계획!$I$4:$I$203,$AF19)))</f>
        <v/>
      </c>
      <c r="U19" s="10">
        <f>IF($AF19="","",INDEX(파견수련계획!$X$4:$X$203,$AF19))</f>
        <v/>
      </c>
      <c r="V19" s="17">
        <f>IF($AF19="","",INDEX(파견수련계획!$V$4:$V$203,$AF19))</f>
        <v/>
      </c>
      <c r="W19" s="17">
        <f>IF(AND($U19="파견중",$T19&lt;&gt;""),$T19-TODAY(),"")</f>
        <v/>
      </c>
      <c r="X19" s="17">
        <f>IF(OR($B19="",TRIM($J19&amp;"")=""),"",SUMPRODUCT((파견수련계획!$Q$4:$Q$203=TRIM($J19&amp;""))*파견수련계획!$W$4:$W$203))</f>
        <v/>
      </c>
      <c r="Y19" s="10">
        <f>IF($B19="","",IF($AG19="","",IF(IF(TRIM($J19&amp;"")="",0,SUMPRODUCT((파견수련계획!$Q$4:$Q$203=TRIM($J19&amp;""))*파견수련계획!$AD$4:$AD$203))&gt;0,$AE19,IF(N($X19)&lt;=0,$AG19,IF($AH19+$AI19=DAY(EOMONTH(요약!$B$3,0)),IF(AND($AH19&gt;=요약!$E$3,$AI19&lt;요약!$E$3),"서울병원",IF(AND($AI19&gt;=요약!$E$3,$AH19&lt;요약!$E$3),"구리병원","⚠15일 판정불가(서울 "&amp;$AH19&amp;"일/구리 "&amp;$AI19&amp;"일)")),IF($AJ19="",$AE19,IF(INDEX(파견수련계획!$T$4:$T$203,$AJ19)="통합수련",INDEX(파견수련계획!$S$4:$S$203,$AJ19),$AE19)))))))</f>
        <v/>
      </c>
      <c r="Z19" s="19">
        <f>IF($B19="","",IF($AB19="","기본자료에 없는 사번",IF(COUNTIF($B$2:$B$201,$B19)&gt;1,"중복 사번",IF($AE19="","소속(입사장소) 입력",IF(IF(TRIM($J19&amp;"")="",0,SUMPRODUCT((파견수련계획!$Q$4:$Q$203=TRIM($J19&amp;""))*(파견수련계획!$AA$4:$AA$203&lt;&gt;"")))&gt;0,"파견수련계획 입력오류 확인",IF(LEFT($Y19,1)="⚠","서울·구리 15일 판정 불가(양쪽 모두 이상/미만)",IF(IF($AC19="",0,N(INDEX(인턴근무계획!$T$3:$T$202,$AC19)))&gt;0,"인턴계획 입력오류 확인",IF(AND($AC19&lt;&gt;"",$U19&lt;&gt;"파견중",$N19&lt;&gt;$AE19),"인턴 타지역 근무: 파견 여부 확인","정상"))))))))</f>
        <v/>
      </c>
      <c r="AA19" s="5" t="n"/>
      <c r="AB19" s="10">
        <f>IF($B19="","",IFERROR(MATCH($B19,기본자료!$B$2:$B$501,0),IFERROR(MATCH($B19&amp;"",기본자료!$B$2:$B$501,0),IFERROR(MATCH(VALUE($B19),기본자료!$B$2:$B$501,0),""))))</f>
        <v/>
      </c>
      <c r="AC19" s="10">
        <f>IF($B19="","",IFERROR(MATCH($B19,인턴근무계획!$D$3:$D$202,0),IFERROR(MATCH($B19&amp;"",인턴근무계획!$D$3:$D$202,0),IFERROR(MATCH(VALUE($B19),인턴근무계획!$D$3:$D$202,0),""))))</f>
        <v/>
      </c>
      <c r="AD19" s="10">
        <f>IF(OR($AC19="",인턴현황!$G$3=""),"",INDEX(인턴근무계획!$M$3:$R$202,$AC19,인턴현황!$G$3)&amp;"")</f>
        <v/>
      </c>
      <c r="AE19" s="10">
        <f>IF($B19="","",IF($M19&lt;&gt;"",$M19,IF($AF19&lt;&gt;"",IF(LEFT(INDEX(파견수련계획!$R$4:$R$203,$AF19),1)&lt;&gt;"⚠",INDEX(파견수련계획!$R$4:$R$203,$AF19),IF($H19="","",IF(RIGHT($H19,2)="병원",$H19,$H19&amp;"병원"))),IF($H19="","",IF(RIGHT($H19,2)="병원",$H19,$H19&amp;"병원")))))</f>
        <v/>
      </c>
      <c r="AF19" s="10">
        <f>IF(OR($B19="",TRIM($J19&amp;"")=""),"",IFERROR(MATCH(TRIM($J19&amp;"")&amp;"|파견중",파견수련계획!$Y$4:$Y$203,0),IFERROR(MATCH(TRIM($J19&amp;"")&amp;"|파견예정",파견수련계획!$Y$4:$Y$203,0),IFERROR(MATCH(TRIM($J19&amp;"")&amp;"|파견종료",파견수련계획!$Y$4:$Y$203,0),""))))</f>
        <v/>
      </c>
      <c r="AG19" s="10">
        <f>IF($B19="","",IF(AND(IF(OR($AC19="",인턴현황!$K$2=""),"",INDEX(인턴근무계획!$M$3:$R$202,$AC19,인턴현황!$K$2)&amp;"")&lt;&gt;"",LEFT(IF(OR($AC19="",인턴현황!$K$2=""),"",INDEX(인턴근무계획!$M$3:$R$202,$AC19,인턴현황!$K$2)&amp;""),1)&lt;&gt;"⚠"),LEFT(IF(OR($AC19="",인턴현황!$K$2=""),"",INDEX(인턴근무계획!$M$3:$R$202,$AC19,인턴현황!$K$2)&amp;""),FIND(" ",IF(OR($AC19="",인턴현황!$K$2=""),"",INDEX(인턴근무계획!$M$3:$R$202,$AC19,인턴현황!$K$2)&amp;""))-1),$AE19))</f>
        <v/>
      </c>
      <c r="AH19" s="17">
        <f>IF($B19="","",IF(TRIM($J19&amp;"")="",0,SUMPRODUCT((파견수련계획!$Q$4:$Q$203=TRIM($J19&amp;""))*(파견수련계획!$S$4:$S$203="서울병원")*파견수련계획!$W$4:$W$203))+IF($AG19="서울병원",MAX(0,DAY(EOMONTH(요약!$B$3,0))-N($X19)),0))</f>
        <v/>
      </c>
      <c r="AI19" s="17">
        <f>IF($B19="","",IF(TRIM($J19&amp;"")="",0,SUMPRODUCT((파견수련계획!$Q$4:$Q$203=TRIM($J19&amp;""))*(파견수련계획!$S$4:$S$203="구리병원")*파견수련계획!$W$4:$W$203))+IF($AG19="구리병원",MAX(0,DAY(EOMONTH(요약!$B$3,0))-N($X19)),0))</f>
        <v/>
      </c>
      <c r="AJ19" s="10">
        <f>IF(OR($B19="",TRIM($J19&amp;"")=""),"",IFERROR(MATCH(TRIM($J19&amp;"")&amp;"|월",파견수련계획!$Z$4:$Z$203,0),""))</f>
        <v/>
      </c>
      <c r="AK19" s="10">
        <f>IF(OR($B19="",TRIM($J19&amp;"")=""),"",IFERROR(MATCH(TRIM($J19&amp;"")&amp;"|다기관",파견수련계획!$AE$4:$AE$203,0),""))</f>
        <v/>
      </c>
      <c r="AL19" s="10">
        <f>IF($AK19="","","다기관 "&amp;TEXT(INDEX(파견수련계획!$AB$4:$AB$203,$AK19),"yyyy-mm-dd")&amp;"~"&amp;IF(ISNUMBER(INDEX(파견수련계획!$AC$4:$AC$203,$AK19)),TEXT(INDEX(파견수련계획!$AC$4:$AC$203,$AK19),"yyyy-mm-dd"),""))</f>
        <v/>
      </c>
    </row>
    <row r="20">
      <c r="A20" s="10">
        <f>IF(B20="","",ROW()-1)</f>
        <v/>
      </c>
      <c r="B20" s="18" t="n"/>
      <c r="C20" s="10">
        <f>IF($AB20="","",IF(INDEX(기본자료!$C$2:$C$501,$AB20)="","",INDEX(기본자료!$C$2:$C$501,$AB20)))</f>
        <v/>
      </c>
      <c r="D20" s="10">
        <f>IF($AB20="","",IF(INDEX(기본자료!$J$2:$J$501,$AB20)="","",INDEX(기본자료!$J$2:$J$501,$AB20)))</f>
        <v/>
      </c>
      <c r="E20" s="11">
        <f>IF($AB20="","",IF(INDEX(기본자료!$K$2:$K$501,$AB20)="","",IF(NOT(ISNUMBER(INDEX(기본자료!$K$2:$K$501,$AB20))),INDEX(기본자료!$K$2:$K$501,$AB20),IF(INDEX(기본자료!$K$2:$K$501,$AB20)&lt;1000000,INDEX(기본자료!$K$2:$K$501,$AB20),IF(AND(INDEX(기본자료!$K$2:$K$501,$AB20)&gt;=10000101,INT(MOD(INDEX(기본자료!$K$2:$K$501,$AB20),10000)/100)&gt;=1,INT(MOD(INDEX(기본자료!$K$2:$K$501,$AB20),10000)/100)&lt;=12,MOD(INDEX(기본자료!$K$2:$K$501,$AB20),100)&gt;=1,MOD(INDEX(기본자료!$K$2:$K$501,$AB20),100)&lt;=31),DATE(INT(INDEX(기본자료!$K$2:$K$501,$AB20)/10000),INT(MOD(INDEX(기본자료!$K$2:$K$501,$AB20),10000)/100),MOD(INDEX(기본자료!$K$2:$K$501,$AB20),100)),INDEX(기본자료!$K$2:$K$501,$AB20)&amp;"")))))</f>
        <v/>
      </c>
      <c r="F20" s="10">
        <f>IF($AB20="","",IF(INDEX(기본자료!$D$2:$D$501,$AB20)="","",INDEX(기본자료!$D$2:$D$501,$AB20)))</f>
        <v/>
      </c>
      <c r="G20" s="10">
        <f>IF($AB20="","",IF(INDEX(기본자료!$E$2:$E$501,$AB20)="","",INDEX(기본자료!$E$2:$E$501,$AB20)))</f>
        <v/>
      </c>
      <c r="H20" s="10">
        <f>IF($AB20="","",IF(INDEX(기본자료!$F$2:$F$501,$AB20)="","",INDEX(기본자료!$F$2:$F$501,$AB20)))</f>
        <v/>
      </c>
      <c r="I20" s="11">
        <f>IF($AB20="","",IF(INDEX(기본자료!$G$2:$G$501,$AB20)="","",IF(NOT(ISNUMBER(INDEX(기본자료!$G$2:$G$501,$AB20))),INDEX(기본자료!$G$2:$G$501,$AB20),IF(INDEX(기본자료!$G$2:$G$501,$AB20)&lt;1000000,INDEX(기본자료!$G$2:$G$501,$AB20),IF(AND(INDEX(기본자료!$G$2:$G$501,$AB20)&gt;=10000101,INT(MOD(INDEX(기본자료!$G$2:$G$501,$AB20),10000)/100)&gt;=1,INT(MOD(INDEX(기본자료!$G$2:$G$501,$AB20),10000)/100)&lt;=12,MOD(INDEX(기본자료!$G$2:$G$501,$AB20),100)&gt;=1,MOD(INDEX(기본자료!$G$2:$G$501,$AB20),100)&lt;=31),DATE(INT(INDEX(기본자료!$G$2:$G$501,$AB20)/10000),INT(MOD(INDEX(기본자료!$G$2:$G$501,$AB20),10000)/100),MOD(INDEX(기본자료!$G$2:$G$501,$AB20),100)),INDEX(기본자료!$G$2:$G$501,$AB20)&amp;"")))))</f>
        <v/>
      </c>
      <c r="J20" s="10">
        <f>IF($AB20="","",IF(INDEX(기본자료!$H$2:$H$501,$AB20)="","",INDEX(기본자료!$H$2:$H$501,$AB20)))</f>
        <v/>
      </c>
      <c r="K20" s="10">
        <f>IF($AB20="","",IF(INDEX(기본자료!$I$2:$I$501,$AB20)="","",INDEX(기본자료!$I$2:$I$501,$AB20)))</f>
        <v/>
      </c>
      <c r="L20" s="10">
        <f>IF($AB20="","",IF(INDEX(기본자료!$A$2:$A$501,$AB20)="","",INDEX(기본자료!$A$2:$A$501,$AB20)))</f>
        <v/>
      </c>
      <c r="M20" s="15" t="n"/>
      <c r="N20" s="10">
        <f>IF($B20="","",IF(AND($U20="파견중",$Q20&lt;&gt;""),$Q20,IF(AND($AD20&lt;&gt;"",LEFT($AD20,1)&lt;&gt;"⚠"),LEFT($AD20,FIND(" ",$AD20)-1),IF($H20="","",IF(RIGHT($H20,2)="병원",$H20,$H20&amp;"병원")))))</f>
        <v/>
      </c>
      <c r="O20" s="10">
        <f>IF($B20="","",IF(AND($U20="파견중",$Q20&lt;&gt;""),IF($R20&lt;&gt;"",$R20,"파견과 미입력"),IF(AND($AD20&lt;&gt;"",LEFT($AD20,1)&lt;&gt;"⚠"),MID($AD20,FIND(" ",$AD20)+1,60),IF($F20="","",IF($F20="인턴","수련교육부(인턴)",$F20)))))</f>
        <v/>
      </c>
      <c r="P20" s="10">
        <f>IF($B20="","",IF($AK20&lt;&gt;"",IF(AND(TODAY()&gt;=INDEX(파견수련계획!$AB$4:$AB$203,$AK20),OR(NOT(ISNUMBER(INDEX(파견수련계획!$AC$4:$AC$203,$AK20))),TODAY()&lt;=INDEX(파견수련계획!$AC$4:$AC$203,$AK20))),"다기관",IF($AF20="","",INDEX(파견수련계획!$T$4:$T$203,$AF20))),IF($AF20="","",INDEX(파견수련계획!$T$4:$T$203,$AF20))))</f>
        <v/>
      </c>
      <c r="Q20" s="10">
        <f>IF($AF20="","",INDEX(파견수련계획!$S$4:$S$203,$AF20))</f>
        <v/>
      </c>
      <c r="R20" s="10">
        <f>IF($AF20="","",INDEX(파견수련계획!$U$4:$U$203,$AF20))</f>
        <v/>
      </c>
      <c r="S20" s="11">
        <f>IF($AF20="","",IF(INDEX(파견수련계획!$H$4:$H$203,$AF20)="","",INDEX(파견수련계획!$H$4:$H$203,$AF20)))</f>
        <v/>
      </c>
      <c r="T20" s="11">
        <f>IF($AF20="","",IF(INDEX(파견수련계획!$I$4:$I$203,$AF20)="","",INDEX(파견수련계획!$I$4:$I$203,$AF20)))</f>
        <v/>
      </c>
      <c r="U20" s="10">
        <f>IF($AF20="","",INDEX(파견수련계획!$X$4:$X$203,$AF20))</f>
        <v/>
      </c>
      <c r="V20" s="17">
        <f>IF($AF20="","",INDEX(파견수련계획!$V$4:$V$203,$AF20))</f>
        <v/>
      </c>
      <c r="W20" s="17">
        <f>IF(AND($U20="파견중",$T20&lt;&gt;""),$T20-TODAY(),"")</f>
        <v/>
      </c>
      <c r="X20" s="17">
        <f>IF(OR($B20="",TRIM($J20&amp;"")=""),"",SUMPRODUCT((파견수련계획!$Q$4:$Q$203=TRIM($J20&amp;""))*파견수련계획!$W$4:$W$203))</f>
        <v/>
      </c>
      <c r="Y20" s="10">
        <f>IF($B20="","",IF($AG20="","",IF(IF(TRIM($J20&amp;"")="",0,SUMPRODUCT((파견수련계획!$Q$4:$Q$203=TRIM($J20&amp;""))*파견수련계획!$AD$4:$AD$203))&gt;0,$AE20,IF(N($X20)&lt;=0,$AG20,IF($AH20+$AI20=DAY(EOMONTH(요약!$B$3,0)),IF(AND($AH20&gt;=요약!$E$3,$AI20&lt;요약!$E$3),"서울병원",IF(AND($AI20&gt;=요약!$E$3,$AH20&lt;요약!$E$3),"구리병원","⚠15일 판정불가(서울 "&amp;$AH20&amp;"일/구리 "&amp;$AI20&amp;"일)")),IF($AJ20="",$AE20,IF(INDEX(파견수련계획!$T$4:$T$203,$AJ20)="통합수련",INDEX(파견수련계획!$S$4:$S$203,$AJ20),$AE20)))))))</f>
        <v/>
      </c>
      <c r="Z20" s="19">
        <f>IF($B20="","",IF($AB20="","기본자료에 없는 사번",IF(COUNTIF($B$2:$B$201,$B20)&gt;1,"중복 사번",IF($AE20="","소속(입사장소) 입력",IF(IF(TRIM($J20&amp;"")="",0,SUMPRODUCT((파견수련계획!$Q$4:$Q$203=TRIM($J20&amp;""))*(파견수련계획!$AA$4:$AA$203&lt;&gt;"")))&gt;0,"파견수련계획 입력오류 확인",IF(LEFT($Y20,1)="⚠","서울·구리 15일 판정 불가(양쪽 모두 이상/미만)",IF(IF($AC20="",0,N(INDEX(인턴근무계획!$T$3:$T$202,$AC20)))&gt;0,"인턴계획 입력오류 확인",IF(AND($AC20&lt;&gt;"",$U20&lt;&gt;"파견중",$N20&lt;&gt;$AE20),"인턴 타지역 근무: 파견 여부 확인","정상"))))))))</f>
        <v/>
      </c>
      <c r="AA20" s="5" t="n"/>
      <c r="AB20" s="10">
        <f>IF($B20="","",IFERROR(MATCH($B20,기본자료!$B$2:$B$501,0),IFERROR(MATCH($B20&amp;"",기본자료!$B$2:$B$501,0),IFERROR(MATCH(VALUE($B20),기본자료!$B$2:$B$501,0),""))))</f>
        <v/>
      </c>
      <c r="AC20" s="10">
        <f>IF($B20="","",IFERROR(MATCH($B20,인턴근무계획!$D$3:$D$202,0),IFERROR(MATCH($B20&amp;"",인턴근무계획!$D$3:$D$202,0),IFERROR(MATCH(VALUE($B20),인턴근무계획!$D$3:$D$202,0),""))))</f>
        <v/>
      </c>
      <c r="AD20" s="10">
        <f>IF(OR($AC20="",인턴현황!$G$3=""),"",INDEX(인턴근무계획!$M$3:$R$202,$AC20,인턴현황!$G$3)&amp;"")</f>
        <v/>
      </c>
      <c r="AE20" s="10">
        <f>IF($B20="","",IF($M20&lt;&gt;"",$M20,IF($AF20&lt;&gt;"",IF(LEFT(INDEX(파견수련계획!$R$4:$R$203,$AF20),1)&lt;&gt;"⚠",INDEX(파견수련계획!$R$4:$R$203,$AF20),IF($H20="","",IF(RIGHT($H20,2)="병원",$H20,$H20&amp;"병원"))),IF($H20="","",IF(RIGHT($H20,2)="병원",$H20,$H20&amp;"병원")))))</f>
        <v/>
      </c>
      <c r="AF20" s="10">
        <f>IF(OR($B20="",TRIM($J20&amp;"")=""),"",IFERROR(MATCH(TRIM($J20&amp;"")&amp;"|파견중",파견수련계획!$Y$4:$Y$203,0),IFERROR(MATCH(TRIM($J20&amp;"")&amp;"|파견예정",파견수련계획!$Y$4:$Y$203,0),IFERROR(MATCH(TRIM($J20&amp;"")&amp;"|파견종료",파견수련계획!$Y$4:$Y$203,0),""))))</f>
        <v/>
      </c>
      <c r="AG20" s="10">
        <f>IF($B20="","",IF(AND(IF(OR($AC20="",인턴현황!$K$2=""),"",INDEX(인턴근무계획!$M$3:$R$202,$AC20,인턴현황!$K$2)&amp;"")&lt;&gt;"",LEFT(IF(OR($AC20="",인턴현황!$K$2=""),"",INDEX(인턴근무계획!$M$3:$R$202,$AC20,인턴현황!$K$2)&amp;""),1)&lt;&gt;"⚠"),LEFT(IF(OR($AC20="",인턴현황!$K$2=""),"",INDEX(인턴근무계획!$M$3:$R$202,$AC20,인턴현황!$K$2)&amp;""),FIND(" ",IF(OR($AC20="",인턴현황!$K$2=""),"",INDEX(인턴근무계획!$M$3:$R$202,$AC20,인턴현황!$K$2)&amp;""))-1),$AE20))</f>
        <v/>
      </c>
      <c r="AH20" s="17">
        <f>IF($B20="","",IF(TRIM($J20&amp;"")="",0,SUMPRODUCT((파견수련계획!$Q$4:$Q$203=TRIM($J20&amp;""))*(파견수련계획!$S$4:$S$203="서울병원")*파견수련계획!$W$4:$W$203))+IF($AG20="서울병원",MAX(0,DAY(EOMONTH(요약!$B$3,0))-N($X20)),0))</f>
        <v/>
      </c>
      <c r="AI20" s="17">
        <f>IF($B20="","",IF(TRIM($J20&amp;"")="",0,SUMPRODUCT((파견수련계획!$Q$4:$Q$203=TRIM($J20&amp;""))*(파견수련계획!$S$4:$S$203="구리병원")*파견수련계획!$W$4:$W$203))+IF($AG20="구리병원",MAX(0,DAY(EOMONTH(요약!$B$3,0))-N($X20)),0))</f>
        <v/>
      </c>
      <c r="AJ20" s="10">
        <f>IF(OR($B20="",TRIM($J20&amp;"")=""),"",IFERROR(MATCH(TRIM($J20&amp;"")&amp;"|월",파견수련계획!$Z$4:$Z$203,0),""))</f>
        <v/>
      </c>
      <c r="AK20" s="10">
        <f>IF(OR($B20="",TRIM($J20&amp;"")=""),"",IFERROR(MATCH(TRIM($J20&amp;"")&amp;"|다기관",파견수련계획!$AE$4:$AE$203,0),""))</f>
        <v/>
      </c>
      <c r="AL20" s="10">
        <f>IF($AK20="","","다기관 "&amp;TEXT(INDEX(파견수련계획!$AB$4:$AB$203,$AK20),"yyyy-mm-dd")&amp;"~"&amp;IF(ISNUMBER(INDEX(파견수련계획!$AC$4:$AC$203,$AK20)),TEXT(INDEX(파견수련계획!$AC$4:$AC$203,$AK20),"yyyy-mm-dd"),""))</f>
        <v/>
      </c>
    </row>
    <row r="21">
      <c r="A21" s="10">
        <f>IF(B21="","",ROW()-1)</f>
        <v/>
      </c>
      <c r="B21" s="18" t="n"/>
      <c r="C21" s="10">
        <f>IF($AB21="","",IF(INDEX(기본자료!$C$2:$C$501,$AB21)="","",INDEX(기본자료!$C$2:$C$501,$AB21)))</f>
        <v/>
      </c>
      <c r="D21" s="10">
        <f>IF($AB21="","",IF(INDEX(기본자료!$J$2:$J$501,$AB21)="","",INDEX(기본자료!$J$2:$J$501,$AB21)))</f>
        <v/>
      </c>
      <c r="E21" s="11">
        <f>IF($AB21="","",IF(INDEX(기본자료!$K$2:$K$501,$AB21)="","",IF(NOT(ISNUMBER(INDEX(기본자료!$K$2:$K$501,$AB21))),INDEX(기본자료!$K$2:$K$501,$AB21),IF(INDEX(기본자료!$K$2:$K$501,$AB21)&lt;1000000,INDEX(기본자료!$K$2:$K$501,$AB21),IF(AND(INDEX(기본자료!$K$2:$K$501,$AB21)&gt;=10000101,INT(MOD(INDEX(기본자료!$K$2:$K$501,$AB21),10000)/100)&gt;=1,INT(MOD(INDEX(기본자료!$K$2:$K$501,$AB21),10000)/100)&lt;=12,MOD(INDEX(기본자료!$K$2:$K$501,$AB21),100)&gt;=1,MOD(INDEX(기본자료!$K$2:$K$501,$AB21),100)&lt;=31),DATE(INT(INDEX(기본자료!$K$2:$K$501,$AB21)/10000),INT(MOD(INDEX(기본자료!$K$2:$K$501,$AB21),10000)/100),MOD(INDEX(기본자료!$K$2:$K$501,$AB21),100)),INDEX(기본자료!$K$2:$K$501,$AB21)&amp;"")))))</f>
        <v/>
      </c>
      <c r="F21" s="10">
        <f>IF($AB21="","",IF(INDEX(기본자료!$D$2:$D$501,$AB21)="","",INDEX(기본자료!$D$2:$D$501,$AB21)))</f>
        <v/>
      </c>
      <c r="G21" s="10">
        <f>IF($AB21="","",IF(INDEX(기본자료!$E$2:$E$501,$AB21)="","",INDEX(기본자료!$E$2:$E$501,$AB21)))</f>
        <v/>
      </c>
      <c r="H21" s="10">
        <f>IF($AB21="","",IF(INDEX(기본자료!$F$2:$F$501,$AB21)="","",INDEX(기본자료!$F$2:$F$501,$AB21)))</f>
        <v/>
      </c>
      <c r="I21" s="11">
        <f>IF($AB21="","",IF(INDEX(기본자료!$G$2:$G$501,$AB21)="","",IF(NOT(ISNUMBER(INDEX(기본자료!$G$2:$G$501,$AB21))),INDEX(기본자료!$G$2:$G$501,$AB21),IF(INDEX(기본자료!$G$2:$G$501,$AB21)&lt;1000000,INDEX(기본자료!$G$2:$G$501,$AB21),IF(AND(INDEX(기본자료!$G$2:$G$501,$AB21)&gt;=10000101,INT(MOD(INDEX(기본자료!$G$2:$G$501,$AB21),10000)/100)&gt;=1,INT(MOD(INDEX(기본자료!$G$2:$G$501,$AB21),10000)/100)&lt;=12,MOD(INDEX(기본자료!$G$2:$G$501,$AB21),100)&gt;=1,MOD(INDEX(기본자료!$G$2:$G$501,$AB21),100)&lt;=31),DATE(INT(INDEX(기본자료!$G$2:$G$501,$AB21)/10000),INT(MOD(INDEX(기본자료!$G$2:$G$501,$AB21),10000)/100),MOD(INDEX(기본자료!$G$2:$G$501,$AB21),100)),INDEX(기본자료!$G$2:$G$501,$AB21)&amp;"")))))</f>
        <v/>
      </c>
      <c r="J21" s="10">
        <f>IF($AB21="","",IF(INDEX(기본자료!$H$2:$H$501,$AB21)="","",INDEX(기본자료!$H$2:$H$501,$AB21)))</f>
        <v/>
      </c>
      <c r="K21" s="10">
        <f>IF($AB21="","",IF(INDEX(기본자료!$I$2:$I$501,$AB21)="","",INDEX(기본자료!$I$2:$I$501,$AB21)))</f>
        <v/>
      </c>
      <c r="L21" s="10">
        <f>IF($AB21="","",IF(INDEX(기본자료!$A$2:$A$501,$AB21)="","",INDEX(기본자료!$A$2:$A$501,$AB21)))</f>
        <v/>
      </c>
      <c r="M21" s="15" t="n"/>
      <c r="N21" s="10">
        <f>IF($B21="","",IF(AND($U21="파견중",$Q21&lt;&gt;""),$Q21,IF(AND($AD21&lt;&gt;"",LEFT($AD21,1)&lt;&gt;"⚠"),LEFT($AD21,FIND(" ",$AD21)-1),IF($H21="","",IF(RIGHT($H21,2)="병원",$H21,$H21&amp;"병원")))))</f>
        <v/>
      </c>
      <c r="O21" s="10">
        <f>IF($B21="","",IF(AND($U21="파견중",$Q21&lt;&gt;""),IF($R21&lt;&gt;"",$R21,"파견과 미입력"),IF(AND($AD21&lt;&gt;"",LEFT($AD21,1)&lt;&gt;"⚠"),MID($AD21,FIND(" ",$AD21)+1,60),IF($F21="","",IF($F21="인턴","수련교육부(인턴)",$F21)))))</f>
        <v/>
      </c>
      <c r="P21" s="10">
        <f>IF($B21="","",IF($AK21&lt;&gt;"",IF(AND(TODAY()&gt;=INDEX(파견수련계획!$AB$4:$AB$203,$AK21),OR(NOT(ISNUMBER(INDEX(파견수련계획!$AC$4:$AC$203,$AK21))),TODAY()&lt;=INDEX(파견수련계획!$AC$4:$AC$203,$AK21))),"다기관",IF($AF21="","",INDEX(파견수련계획!$T$4:$T$203,$AF21))),IF($AF21="","",INDEX(파견수련계획!$T$4:$T$203,$AF21))))</f>
        <v/>
      </c>
      <c r="Q21" s="10">
        <f>IF($AF21="","",INDEX(파견수련계획!$S$4:$S$203,$AF21))</f>
        <v/>
      </c>
      <c r="R21" s="10">
        <f>IF($AF21="","",INDEX(파견수련계획!$U$4:$U$203,$AF21))</f>
        <v/>
      </c>
      <c r="S21" s="11">
        <f>IF($AF21="","",IF(INDEX(파견수련계획!$H$4:$H$203,$AF21)="","",INDEX(파견수련계획!$H$4:$H$203,$AF21)))</f>
        <v/>
      </c>
      <c r="T21" s="11">
        <f>IF($AF21="","",IF(INDEX(파견수련계획!$I$4:$I$203,$AF21)="","",INDEX(파견수련계획!$I$4:$I$203,$AF21)))</f>
        <v/>
      </c>
      <c r="U21" s="10">
        <f>IF($AF21="","",INDEX(파견수련계획!$X$4:$X$203,$AF21))</f>
        <v/>
      </c>
      <c r="V21" s="17">
        <f>IF($AF21="","",INDEX(파견수련계획!$V$4:$V$203,$AF21))</f>
        <v/>
      </c>
      <c r="W21" s="17">
        <f>IF(AND($U21="파견중",$T21&lt;&gt;""),$T21-TODAY(),"")</f>
        <v/>
      </c>
      <c r="X21" s="17">
        <f>IF(OR($B21="",TRIM($J21&amp;"")=""),"",SUMPRODUCT((파견수련계획!$Q$4:$Q$203=TRIM($J21&amp;""))*파견수련계획!$W$4:$W$203))</f>
        <v/>
      </c>
      <c r="Y21" s="10">
        <f>IF($B21="","",IF($AG21="","",IF(IF(TRIM($J21&amp;"")="",0,SUMPRODUCT((파견수련계획!$Q$4:$Q$203=TRIM($J21&amp;""))*파견수련계획!$AD$4:$AD$203))&gt;0,$AE21,IF(N($X21)&lt;=0,$AG21,IF($AH21+$AI21=DAY(EOMONTH(요약!$B$3,0)),IF(AND($AH21&gt;=요약!$E$3,$AI21&lt;요약!$E$3),"서울병원",IF(AND($AI21&gt;=요약!$E$3,$AH21&lt;요약!$E$3),"구리병원","⚠15일 판정불가(서울 "&amp;$AH21&amp;"일/구리 "&amp;$AI21&amp;"일)")),IF($AJ21="",$AE21,IF(INDEX(파견수련계획!$T$4:$T$203,$AJ21)="통합수련",INDEX(파견수련계획!$S$4:$S$203,$AJ21),$AE21)))))))</f>
        <v/>
      </c>
      <c r="Z21" s="19">
        <f>IF($B21="","",IF($AB21="","기본자료에 없는 사번",IF(COUNTIF($B$2:$B$201,$B21)&gt;1,"중복 사번",IF($AE21="","소속(입사장소) 입력",IF(IF(TRIM($J21&amp;"")="",0,SUMPRODUCT((파견수련계획!$Q$4:$Q$203=TRIM($J21&amp;""))*(파견수련계획!$AA$4:$AA$203&lt;&gt;"")))&gt;0,"파견수련계획 입력오류 확인",IF(LEFT($Y21,1)="⚠","서울·구리 15일 판정 불가(양쪽 모두 이상/미만)",IF(IF($AC21="",0,N(INDEX(인턴근무계획!$T$3:$T$202,$AC21)))&gt;0,"인턴계획 입력오류 확인",IF(AND($AC21&lt;&gt;"",$U21&lt;&gt;"파견중",$N21&lt;&gt;$AE21),"인턴 타지역 근무: 파견 여부 확인","정상"))))))))</f>
        <v/>
      </c>
      <c r="AA21" s="5" t="n"/>
      <c r="AB21" s="10">
        <f>IF($B21="","",IFERROR(MATCH($B21,기본자료!$B$2:$B$501,0),IFERROR(MATCH($B21&amp;"",기본자료!$B$2:$B$501,0),IFERROR(MATCH(VALUE($B21),기본자료!$B$2:$B$501,0),""))))</f>
        <v/>
      </c>
      <c r="AC21" s="10">
        <f>IF($B21="","",IFERROR(MATCH($B21,인턴근무계획!$D$3:$D$202,0),IFERROR(MATCH($B21&amp;"",인턴근무계획!$D$3:$D$202,0),IFERROR(MATCH(VALUE($B21),인턴근무계획!$D$3:$D$202,0),""))))</f>
        <v/>
      </c>
      <c r="AD21" s="10">
        <f>IF(OR($AC21="",인턴현황!$G$3=""),"",INDEX(인턴근무계획!$M$3:$R$202,$AC21,인턴현황!$G$3)&amp;"")</f>
        <v/>
      </c>
      <c r="AE21" s="10">
        <f>IF($B21="","",IF($M21&lt;&gt;"",$M21,IF($AF21&lt;&gt;"",IF(LEFT(INDEX(파견수련계획!$R$4:$R$203,$AF21),1)&lt;&gt;"⚠",INDEX(파견수련계획!$R$4:$R$203,$AF21),IF($H21="","",IF(RIGHT($H21,2)="병원",$H21,$H21&amp;"병원"))),IF($H21="","",IF(RIGHT($H21,2)="병원",$H21,$H21&amp;"병원")))))</f>
        <v/>
      </c>
      <c r="AF21" s="10">
        <f>IF(OR($B21="",TRIM($J21&amp;"")=""),"",IFERROR(MATCH(TRIM($J21&amp;"")&amp;"|파견중",파견수련계획!$Y$4:$Y$203,0),IFERROR(MATCH(TRIM($J21&amp;"")&amp;"|파견예정",파견수련계획!$Y$4:$Y$203,0),IFERROR(MATCH(TRIM($J21&amp;"")&amp;"|파견종료",파견수련계획!$Y$4:$Y$203,0),""))))</f>
        <v/>
      </c>
      <c r="AG21" s="10">
        <f>IF($B21="","",IF(AND(IF(OR($AC21="",인턴현황!$K$2=""),"",INDEX(인턴근무계획!$M$3:$R$202,$AC21,인턴현황!$K$2)&amp;"")&lt;&gt;"",LEFT(IF(OR($AC21="",인턴현황!$K$2=""),"",INDEX(인턴근무계획!$M$3:$R$202,$AC21,인턴현황!$K$2)&amp;""),1)&lt;&gt;"⚠"),LEFT(IF(OR($AC21="",인턴현황!$K$2=""),"",INDEX(인턴근무계획!$M$3:$R$202,$AC21,인턴현황!$K$2)&amp;""),FIND(" ",IF(OR($AC21="",인턴현황!$K$2=""),"",INDEX(인턴근무계획!$M$3:$R$202,$AC21,인턴현황!$K$2)&amp;""))-1),$AE21))</f>
        <v/>
      </c>
      <c r="AH21" s="17">
        <f>IF($B21="","",IF(TRIM($J21&amp;"")="",0,SUMPRODUCT((파견수련계획!$Q$4:$Q$203=TRIM($J21&amp;""))*(파견수련계획!$S$4:$S$203="서울병원")*파견수련계획!$W$4:$W$203))+IF($AG21="서울병원",MAX(0,DAY(EOMONTH(요약!$B$3,0))-N($X21)),0))</f>
        <v/>
      </c>
      <c r="AI21" s="17">
        <f>IF($B21="","",IF(TRIM($J21&amp;"")="",0,SUMPRODUCT((파견수련계획!$Q$4:$Q$203=TRIM($J21&amp;""))*(파견수련계획!$S$4:$S$203="구리병원")*파견수련계획!$W$4:$W$203))+IF($AG21="구리병원",MAX(0,DAY(EOMONTH(요약!$B$3,0))-N($X21)),0))</f>
        <v/>
      </c>
      <c r="AJ21" s="10">
        <f>IF(OR($B21="",TRIM($J21&amp;"")=""),"",IFERROR(MATCH(TRIM($J21&amp;"")&amp;"|월",파견수련계획!$Z$4:$Z$203,0),""))</f>
        <v/>
      </c>
      <c r="AK21" s="10">
        <f>IF(OR($B21="",TRIM($J21&amp;"")=""),"",IFERROR(MATCH(TRIM($J21&amp;"")&amp;"|다기관",파견수련계획!$AE$4:$AE$203,0),""))</f>
        <v/>
      </c>
      <c r="AL21" s="10">
        <f>IF($AK21="","","다기관 "&amp;TEXT(INDEX(파견수련계획!$AB$4:$AB$203,$AK21),"yyyy-mm-dd")&amp;"~"&amp;IF(ISNUMBER(INDEX(파견수련계획!$AC$4:$AC$203,$AK21)),TEXT(INDEX(파견수련계획!$AC$4:$AC$203,$AK21),"yyyy-mm-dd"),""))</f>
        <v/>
      </c>
    </row>
    <row r="22">
      <c r="A22" s="10">
        <f>IF(B22="","",ROW()-1)</f>
        <v/>
      </c>
      <c r="B22" s="18" t="n"/>
      <c r="C22" s="10">
        <f>IF($AB22="","",IF(INDEX(기본자료!$C$2:$C$501,$AB22)="","",INDEX(기본자료!$C$2:$C$501,$AB22)))</f>
        <v/>
      </c>
      <c r="D22" s="10">
        <f>IF($AB22="","",IF(INDEX(기본자료!$J$2:$J$501,$AB22)="","",INDEX(기본자료!$J$2:$J$501,$AB22)))</f>
        <v/>
      </c>
      <c r="E22" s="11">
        <f>IF($AB22="","",IF(INDEX(기본자료!$K$2:$K$501,$AB22)="","",IF(NOT(ISNUMBER(INDEX(기본자료!$K$2:$K$501,$AB22))),INDEX(기본자료!$K$2:$K$501,$AB22),IF(INDEX(기본자료!$K$2:$K$501,$AB22)&lt;1000000,INDEX(기본자료!$K$2:$K$501,$AB22),IF(AND(INDEX(기본자료!$K$2:$K$501,$AB22)&gt;=10000101,INT(MOD(INDEX(기본자료!$K$2:$K$501,$AB22),10000)/100)&gt;=1,INT(MOD(INDEX(기본자료!$K$2:$K$501,$AB22),10000)/100)&lt;=12,MOD(INDEX(기본자료!$K$2:$K$501,$AB22),100)&gt;=1,MOD(INDEX(기본자료!$K$2:$K$501,$AB22),100)&lt;=31),DATE(INT(INDEX(기본자료!$K$2:$K$501,$AB22)/10000),INT(MOD(INDEX(기본자료!$K$2:$K$501,$AB22),10000)/100),MOD(INDEX(기본자료!$K$2:$K$501,$AB22),100)),INDEX(기본자료!$K$2:$K$501,$AB22)&amp;"")))))</f>
        <v/>
      </c>
      <c r="F22" s="10">
        <f>IF($AB22="","",IF(INDEX(기본자료!$D$2:$D$501,$AB22)="","",INDEX(기본자료!$D$2:$D$501,$AB22)))</f>
        <v/>
      </c>
      <c r="G22" s="10">
        <f>IF($AB22="","",IF(INDEX(기본자료!$E$2:$E$501,$AB22)="","",INDEX(기본자료!$E$2:$E$501,$AB22)))</f>
        <v/>
      </c>
      <c r="H22" s="10">
        <f>IF($AB22="","",IF(INDEX(기본자료!$F$2:$F$501,$AB22)="","",INDEX(기본자료!$F$2:$F$501,$AB22)))</f>
        <v/>
      </c>
      <c r="I22" s="11">
        <f>IF($AB22="","",IF(INDEX(기본자료!$G$2:$G$501,$AB22)="","",IF(NOT(ISNUMBER(INDEX(기본자료!$G$2:$G$501,$AB22))),INDEX(기본자료!$G$2:$G$501,$AB22),IF(INDEX(기본자료!$G$2:$G$501,$AB22)&lt;1000000,INDEX(기본자료!$G$2:$G$501,$AB22),IF(AND(INDEX(기본자료!$G$2:$G$501,$AB22)&gt;=10000101,INT(MOD(INDEX(기본자료!$G$2:$G$501,$AB22),10000)/100)&gt;=1,INT(MOD(INDEX(기본자료!$G$2:$G$501,$AB22),10000)/100)&lt;=12,MOD(INDEX(기본자료!$G$2:$G$501,$AB22),100)&gt;=1,MOD(INDEX(기본자료!$G$2:$G$501,$AB22),100)&lt;=31),DATE(INT(INDEX(기본자료!$G$2:$G$501,$AB22)/10000),INT(MOD(INDEX(기본자료!$G$2:$G$501,$AB22),10000)/100),MOD(INDEX(기본자료!$G$2:$G$501,$AB22),100)),INDEX(기본자료!$G$2:$G$501,$AB22)&amp;"")))))</f>
        <v/>
      </c>
      <c r="J22" s="10">
        <f>IF($AB22="","",IF(INDEX(기본자료!$H$2:$H$501,$AB22)="","",INDEX(기본자료!$H$2:$H$501,$AB22)))</f>
        <v/>
      </c>
      <c r="K22" s="10">
        <f>IF($AB22="","",IF(INDEX(기본자료!$I$2:$I$501,$AB22)="","",INDEX(기본자료!$I$2:$I$501,$AB22)))</f>
        <v/>
      </c>
      <c r="L22" s="10">
        <f>IF($AB22="","",IF(INDEX(기본자료!$A$2:$A$501,$AB22)="","",INDEX(기본자료!$A$2:$A$501,$AB22)))</f>
        <v/>
      </c>
      <c r="M22" s="15" t="n"/>
      <c r="N22" s="10">
        <f>IF($B22="","",IF(AND($U22="파견중",$Q22&lt;&gt;""),$Q22,IF(AND($AD22&lt;&gt;"",LEFT($AD22,1)&lt;&gt;"⚠"),LEFT($AD22,FIND(" ",$AD22)-1),IF($H22="","",IF(RIGHT($H22,2)="병원",$H22,$H22&amp;"병원")))))</f>
        <v/>
      </c>
      <c r="O22" s="10">
        <f>IF($B22="","",IF(AND($U22="파견중",$Q22&lt;&gt;""),IF($R22&lt;&gt;"",$R22,"파견과 미입력"),IF(AND($AD22&lt;&gt;"",LEFT($AD22,1)&lt;&gt;"⚠"),MID($AD22,FIND(" ",$AD22)+1,60),IF($F22="","",IF($F22="인턴","수련교육부(인턴)",$F22)))))</f>
        <v/>
      </c>
      <c r="P22" s="10">
        <f>IF($B22="","",IF($AK22&lt;&gt;"",IF(AND(TODAY()&gt;=INDEX(파견수련계획!$AB$4:$AB$203,$AK22),OR(NOT(ISNUMBER(INDEX(파견수련계획!$AC$4:$AC$203,$AK22))),TODAY()&lt;=INDEX(파견수련계획!$AC$4:$AC$203,$AK22))),"다기관",IF($AF22="","",INDEX(파견수련계획!$T$4:$T$203,$AF22))),IF($AF22="","",INDEX(파견수련계획!$T$4:$T$203,$AF22))))</f>
        <v/>
      </c>
      <c r="Q22" s="10">
        <f>IF($AF22="","",INDEX(파견수련계획!$S$4:$S$203,$AF22))</f>
        <v/>
      </c>
      <c r="R22" s="10">
        <f>IF($AF22="","",INDEX(파견수련계획!$U$4:$U$203,$AF22))</f>
        <v/>
      </c>
      <c r="S22" s="11">
        <f>IF($AF22="","",IF(INDEX(파견수련계획!$H$4:$H$203,$AF22)="","",INDEX(파견수련계획!$H$4:$H$203,$AF22)))</f>
        <v/>
      </c>
      <c r="T22" s="11">
        <f>IF($AF22="","",IF(INDEX(파견수련계획!$I$4:$I$203,$AF22)="","",INDEX(파견수련계획!$I$4:$I$203,$AF22)))</f>
        <v/>
      </c>
      <c r="U22" s="10">
        <f>IF($AF22="","",INDEX(파견수련계획!$X$4:$X$203,$AF22))</f>
        <v/>
      </c>
      <c r="V22" s="17">
        <f>IF($AF22="","",INDEX(파견수련계획!$V$4:$V$203,$AF22))</f>
        <v/>
      </c>
      <c r="W22" s="17">
        <f>IF(AND($U22="파견중",$T22&lt;&gt;""),$T22-TODAY(),"")</f>
        <v/>
      </c>
      <c r="X22" s="17">
        <f>IF(OR($B22="",TRIM($J22&amp;"")=""),"",SUMPRODUCT((파견수련계획!$Q$4:$Q$203=TRIM($J22&amp;""))*파견수련계획!$W$4:$W$203))</f>
        <v/>
      </c>
      <c r="Y22" s="10">
        <f>IF($B22="","",IF($AG22="","",IF(IF(TRIM($J22&amp;"")="",0,SUMPRODUCT((파견수련계획!$Q$4:$Q$203=TRIM($J22&amp;""))*파견수련계획!$AD$4:$AD$203))&gt;0,$AE22,IF(N($X22)&lt;=0,$AG22,IF($AH22+$AI22=DAY(EOMONTH(요약!$B$3,0)),IF(AND($AH22&gt;=요약!$E$3,$AI22&lt;요약!$E$3),"서울병원",IF(AND($AI22&gt;=요약!$E$3,$AH22&lt;요약!$E$3),"구리병원","⚠15일 판정불가(서울 "&amp;$AH22&amp;"일/구리 "&amp;$AI22&amp;"일)")),IF($AJ22="",$AE22,IF(INDEX(파견수련계획!$T$4:$T$203,$AJ22)="통합수련",INDEX(파견수련계획!$S$4:$S$203,$AJ22),$AE22)))))))</f>
        <v/>
      </c>
      <c r="Z22" s="19">
        <f>IF($B22="","",IF($AB22="","기본자료에 없는 사번",IF(COUNTIF($B$2:$B$201,$B22)&gt;1,"중복 사번",IF($AE22="","소속(입사장소) 입력",IF(IF(TRIM($J22&amp;"")="",0,SUMPRODUCT((파견수련계획!$Q$4:$Q$203=TRIM($J22&amp;""))*(파견수련계획!$AA$4:$AA$203&lt;&gt;"")))&gt;0,"파견수련계획 입력오류 확인",IF(LEFT($Y22,1)="⚠","서울·구리 15일 판정 불가(양쪽 모두 이상/미만)",IF(IF($AC22="",0,N(INDEX(인턴근무계획!$T$3:$T$202,$AC22)))&gt;0,"인턴계획 입력오류 확인",IF(AND($AC22&lt;&gt;"",$U22&lt;&gt;"파견중",$N22&lt;&gt;$AE22),"인턴 타지역 근무: 파견 여부 확인","정상"))))))))</f>
        <v/>
      </c>
      <c r="AA22" s="5" t="n"/>
      <c r="AB22" s="10">
        <f>IF($B22="","",IFERROR(MATCH($B22,기본자료!$B$2:$B$501,0),IFERROR(MATCH($B22&amp;"",기본자료!$B$2:$B$501,0),IFERROR(MATCH(VALUE($B22),기본자료!$B$2:$B$501,0),""))))</f>
        <v/>
      </c>
      <c r="AC22" s="10">
        <f>IF($B22="","",IFERROR(MATCH($B22,인턴근무계획!$D$3:$D$202,0),IFERROR(MATCH($B22&amp;"",인턴근무계획!$D$3:$D$202,0),IFERROR(MATCH(VALUE($B22),인턴근무계획!$D$3:$D$202,0),""))))</f>
        <v/>
      </c>
      <c r="AD22" s="10">
        <f>IF(OR($AC22="",인턴현황!$G$3=""),"",INDEX(인턴근무계획!$M$3:$R$202,$AC22,인턴현황!$G$3)&amp;"")</f>
        <v/>
      </c>
      <c r="AE22" s="10">
        <f>IF($B22="","",IF($M22&lt;&gt;"",$M22,IF($AF22&lt;&gt;"",IF(LEFT(INDEX(파견수련계획!$R$4:$R$203,$AF22),1)&lt;&gt;"⚠",INDEX(파견수련계획!$R$4:$R$203,$AF22),IF($H22="","",IF(RIGHT($H22,2)="병원",$H22,$H22&amp;"병원"))),IF($H22="","",IF(RIGHT($H22,2)="병원",$H22,$H22&amp;"병원")))))</f>
        <v/>
      </c>
      <c r="AF22" s="10">
        <f>IF(OR($B22="",TRIM($J22&amp;"")=""),"",IFERROR(MATCH(TRIM($J22&amp;"")&amp;"|파견중",파견수련계획!$Y$4:$Y$203,0),IFERROR(MATCH(TRIM($J22&amp;"")&amp;"|파견예정",파견수련계획!$Y$4:$Y$203,0),IFERROR(MATCH(TRIM($J22&amp;"")&amp;"|파견종료",파견수련계획!$Y$4:$Y$203,0),""))))</f>
        <v/>
      </c>
      <c r="AG22" s="10">
        <f>IF($B22="","",IF(AND(IF(OR($AC22="",인턴현황!$K$2=""),"",INDEX(인턴근무계획!$M$3:$R$202,$AC22,인턴현황!$K$2)&amp;"")&lt;&gt;"",LEFT(IF(OR($AC22="",인턴현황!$K$2=""),"",INDEX(인턴근무계획!$M$3:$R$202,$AC22,인턴현황!$K$2)&amp;""),1)&lt;&gt;"⚠"),LEFT(IF(OR($AC22="",인턴현황!$K$2=""),"",INDEX(인턴근무계획!$M$3:$R$202,$AC22,인턴현황!$K$2)&amp;""),FIND(" ",IF(OR($AC22="",인턴현황!$K$2=""),"",INDEX(인턴근무계획!$M$3:$R$202,$AC22,인턴현황!$K$2)&amp;""))-1),$AE22))</f>
        <v/>
      </c>
      <c r="AH22" s="17">
        <f>IF($B22="","",IF(TRIM($J22&amp;"")="",0,SUMPRODUCT((파견수련계획!$Q$4:$Q$203=TRIM($J22&amp;""))*(파견수련계획!$S$4:$S$203="서울병원")*파견수련계획!$W$4:$W$203))+IF($AG22="서울병원",MAX(0,DAY(EOMONTH(요약!$B$3,0))-N($X22)),0))</f>
        <v/>
      </c>
      <c r="AI22" s="17">
        <f>IF($B22="","",IF(TRIM($J22&amp;"")="",0,SUMPRODUCT((파견수련계획!$Q$4:$Q$203=TRIM($J22&amp;""))*(파견수련계획!$S$4:$S$203="구리병원")*파견수련계획!$W$4:$W$203))+IF($AG22="구리병원",MAX(0,DAY(EOMONTH(요약!$B$3,0))-N($X22)),0))</f>
        <v/>
      </c>
      <c r="AJ22" s="10">
        <f>IF(OR($B22="",TRIM($J22&amp;"")=""),"",IFERROR(MATCH(TRIM($J22&amp;"")&amp;"|월",파견수련계획!$Z$4:$Z$203,0),""))</f>
        <v/>
      </c>
      <c r="AK22" s="10">
        <f>IF(OR($B22="",TRIM($J22&amp;"")=""),"",IFERROR(MATCH(TRIM($J22&amp;"")&amp;"|다기관",파견수련계획!$AE$4:$AE$203,0),""))</f>
        <v/>
      </c>
      <c r="AL22" s="10">
        <f>IF($AK22="","","다기관 "&amp;TEXT(INDEX(파견수련계획!$AB$4:$AB$203,$AK22),"yyyy-mm-dd")&amp;"~"&amp;IF(ISNUMBER(INDEX(파견수련계획!$AC$4:$AC$203,$AK22)),TEXT(INDEX(파견수련계획!$AC$4:$AC$203,$AK22),"yyyy-mm-dd"),""))</f>
        <v/>
      </c>
    </row>
    <row r="23">
      <c r="A23" s="10">
        <f>IF(B23="","",ROW()-1)</f>
        <v/>
      </c>
      <c r="B23" s="18" t="n"/>
      <c r="C23" s="10">
        <f>IF($AB23="","",IF(INDEX(기본자료!$C$2:$C$501,$AB23)="","",INDEX(기본자료!$C$2:$C$501,$AB23)))</f>
        <v/>
      </c>
      <c r="D23" s="10">
        <f>IF($AB23="","",IF(INDEX(기본자료!$J$2:$J$501,$AB23)="","",INDEX(기본자료!$J$2:$J$501,$AB23)))</f>
        <v/>
      </c>
      <c r="E23" s="11">
        <f>IF($AB23="","",IF(INDEX(기본자료!$K$2:$K$501,$AB23)="","",IF(NOT(ISNUMBER(INDEX(기본자료!$K$2:$K$501,$AB23))),INDEX(기본자료!$K$2:$K$501,$AB23),IF(INDEX(기본자료!$K$2:$K$501,$AB23)&lt;1000000,INDEX(기본자료!$K$2:$K$501,$AB23),IF(AND(INDEX(기본자료!$K$2:$K$501,$AB23)&gt;=10000101,INT(MOD(INDEX(기본자료!$K$2:$K$501,$AB23),10000)/100)&gt;=1,INT(MOD(INDEX(기본자료!$K$2:$K$501,$AB23),10000)/100)&lt;=12,MOD(INDEX(기본자료!$K$2:$K$501,$AB23),100)&gt;=1,MOD(INDEX(기본자료!$K$2:$K$501,$AB23),100)&lt;=31),DATE(INT(INDEX(기본자료!$K$2:$K$501,$AB23)/10000),INT(MOD(INDEX(기본자료!$K$2:$K$501,$AB23),10000)/100),MOD(INDEX(기본자료!$K$2:$K$501,$AB23),100)),INDEX(기본자료!$K$2:$K$501,$AB23)&amp;"")))))</f>
        <v/>
      </c>
      <c r="F23" s="10">
        <f>IF($AB23="","",IF(INDEX(기본자료!$D$2:$D$501,$AB23)="","",INDEX(기본자료!$D$2:$D$501,$AB23)))</f>
        <v/>
      </c>
      <c r="G23" s="10">
        <f>IF($AB23="","",IF(INDEX(기본자료!$E$2:$E$501,$AB23)="","",INDEX(기본자료!$E$2:$E$501,$AB23)))</f>
        <v/>
      </c>
      <c r="H23" s="10">
        <f>IF($AB23="","",IF(INDEX(기본자료!$F$2:$F$501,$AB23)="","",INDEX(기본자료!$F$2:$F$501,$AB23)))</f>
        <v/>
      </c>
      <c r="I23" s="11">
        <f>IF($AB23="","",IF(INDEX(기본자료!$G$2:$G$501,$AB23)="","",IF(NOT(ISNUMBER(INDEX(기본자료!$G$2:$G$501,$AB23))),INDEX(기본자료!$G$2:$G$501,$AB23),IF(INDEX(기본자료!$G$2:$G$501,$AB23)&lt;1000000,INDEX(기본자료!$G$2:$G$501,$AB23),IF(AND(INDEX(기본자료!$G$2:$G$501,$AB23)&gt;=10000101,INT(MOD(INDEX(기본자료!$G$2:$G$501,$AB23),10000)/100)&gt;=1,INT(MOD(INDEX(기본자료!$G$2:$G$501,$AB23),10000)/100)&lt;=12,MOD(INDEX(기본자료!$G$2:$G$501,$AB23),100)&gt;=1,MOD(INDEX(기본자료!$G$2:$G$501,$AB23),100)&lt;=31),DATE(INT(INDEX(기본자료!$G$2:$G$501,$AB23)/10000),INT(MOD(INDEX(기본자료!$G$2:$G$501,$AB23),10000)/100),MOD(INDEX(기본자료!$G$2:$G$501,$AB23),100)),INDEX(기본자료!$G$2:$G$501,$AB23)&amp;"")))))</f>
        <v/>
      </c>
      <c r="J23" s="10">
        <f>IF($AB23="","",IF(INDEX(기본자료!$H$2:$H$501,$AB23)="","",INDEX(기본자료!$H$2:$H$501,$AB23)))</f>
        <v/>
      </c>
      <c r="K23" s="10">
        <f>IF($AB23="","",IF(INDEX(기본자료!$I$2:$I$501,$AB23)="","",INDEX(기본자료!$I$2:$I$501,$AB23)))</f>
        <v/>
      </c>
      <c r="L23" s="10">
        <f>IF($AB23="","",IF(INDEX(기본자료!$A$2:$A$501,$AB23)="","",INDEX(기본자료!$A$2:$A$501,$AB23)))</f>
        <v/>
      </c>
      <c r="M23" s="15" t="n"/>
      <c r="N23" s="10">
        <f>IF($B23="","",IF(AND($U23="파견중",$Q23&lt;&gt;""),$Q23,IF(AND($AD23&lt;&gt;"",LEFT($AD23,1)&lt;&gt;"⚠"),LEFT($AD23,FIND(" ",$AD23)-1),IF($H23="","",IF(RIGHT($H23,2)="병원",$H23,$H23&amp;"병원")))))</f>
        <v/>
      </c>
      <c r="O23" s="10">
        <f>IF($B23="","",IF(AND($U23="파견중",$Q23&lt;&gt;""),IF($R23&lt;&gt;"",$R23,"파견과 미입력"),IF(AND($AD23&lt;&gt;"",LEFT($AD23,1)&lt;&gt;"⚠"),MID($AD23,FIND(" ",$AD23)+1,60),IF($F23="","",IF($F23="인턴","수련교육부(인턴)",$F23)))))</f>
        <v/>
      </c>
      <c r="P23" s="10">
        <f>IF($B23="","",IF($AK23&lt;&gt;"",IF(AND(TODAY()&gt;=INDEX(파견수련계획!$AB$4:$AB$203,$AK23),OR(NOT(ISNUMBER(INDEX(파견수련계획!$AC$4:$AC$203,$AK23))),TODAY()&lt;=INDEX(파견수련계획!$AC$4:$AC$203,$AK23))),"다기관",IF($AF23="","",INDEX(파견수련계획!$T$4:$T$203,$AF23))),IF($AF23="","",INDEX(파견수련계획!$T$4:$T$203,$AF23))))</f>
        <v/>
      </c>
      <c r="Q23" s="10">
        <f>IF($AF23="","",INDEX(파견수련계획!$S$4:$S$203,$AF23))</f>
        <v/>
      </c>
      <c r="R23" s="10">
        <f>IF($AF23="","",INDEX(파견수련계획!$U$4:$U$203,$AF23))</f>
        <v/>
      </c>
      <c r="S23" s="11">
        <f>IF($AF23="","",IF(INDEX(파견수련계획!$H$4:$H$203,$AF23)="","",INDEX(파견수련계획!$H$4:$H$203,$AF23)))</f>
        <v/>
      </c>
      <c r="T23" s="11">
        <f>IF($AF23="","",IF(INDEX(파견수련계획!$I$4:$I$203,$AF23)="","",INDEX(파견수련계획!$I$4:$I$203,$AF23)))</f>
        <v/>
      </c>
      <c r="U23" s="10">
        <f>IF($AF23="","",INDEX(파견수련계획!$X$4:$X$203,$AF23))</f>
        <v/>
      </c>
      <c r="V23" s="17">
        <f>IF($AF23="","",INDEX(파견수련계획!$V$4:$V$203,$AF23))</f>
        <v/>
      </c>
      <c r="W23" s="17">
        <f>IF(AND($U23="파견중",$T23&lt;&gt;""),$T23-TODAY(),"")</f>
        <v/>
      </c>
      <c r="X23" s="17">
        <f>IF(OR($B23="",TRIM($J23&amp;"")=""),"",SUMPRODUCT((파견수련계획!$Q$4:$Q$203=TRIM($J23&amp;""))*파견수련계획!$W$4:$W$203))</f>
        <v/>
      </c>
      <c r="Y23" s="10">
        <f>IF($B23="","",IF($AG23="","",IF(IF(TRIM($J23&amp;"")="",0,SUMPRODUCT((파견수련계획!$Q$4:$Q$203=TRIM($J23&amp;""))*파견수련계획!$AD$4:$AD$203))&gt;0,$AE23,IF(N($X23)&lt;=0,$AG23,IF($AH23+$AI23=DAY(EOMONTH(요약!$B$3,0)),IF(AND($AH23&gt;=요약!$E$3,$AI23&lt;요약!$E$3),"서울병원",IF(AND($AI23&gt;=요약!$E$3,$AH23&lt;요약!$E$3),"구리병원","⚠15일 판정불가(서울 "&amp;$AH23&amp;"일/구리 "&amp;$AI23&amp;"일)")),IF($AJ23="",$AE23,IF(INDEX(파견수련계획!$T$4:$T$203,$AJ23)="통합수련",INDEX(파견수련계획!$S$4:$S$203,$AJ23),$AE23)))))))</f>
        <v/>
      </c>
      <c r="Z23" s="19">
        <f>IF($B23="","",IF($AB23="","기본자료에 없는 사번",IF(COUNTIF($B$2:$B$201,$B23)&gt;1,"중복 사번",IF($AE23="","소속(입사장소) 입력",IF(IF(TRIM($J23&amp;"")="",0,SUMPRODUCT((파견수련계획!$Q$4:$Q$203=TRIM($J23&amp;""))*(파견수련계획!$AA$4:$AA$203&lt;&gt;"")))&gt;0,"파견수련계획 입력오류 확인",IF(LEFT($Y23,1)="⚠","서울·구리 15일 판정 불가(양쪽 모두 이상/미만)",IF(IF($AC23="",0,N(INDEX(인턴근무계획!$T$3:$T$202,$AC23)))&gt;0,"인턴계획 입력오류 확인",IF(AND($AC23&lt;&gt;"",$U23&lt;&gt;"파견중",$N23&lt;&gt;$AE23),"인턴 타지역 근무: 파견 여부 확인","정상"))))))))</f>
        <v/>
      </c>
      <c r="AA23" s="5" t="n"/>
      <c r="AB23" s="10">
        <f>IF($B23="","",IFERROR(MATCH($B23,기본자료!$B$2:$B$501,0),IFERROR(MATCH($B23&amp;"",기본자료!$B$2:$B$501,0),IFERROR(MATCH(VALUE($B23),기본자료!$B$2:$B$501,0),""))))</f>
        <v/>
      </c>
      <c r="AC23" s="10">
        <f>IF($B23="","",IFERROR(MATCH($B23,인턴근무계획!$D$3:$D$202,0),IFERROR(MATCH($B23&amp;"",인턴근무계획!$D$3:$D$202,0),IFERROR(MATCH(VALUE($B23),인턴근무계획!$D$3:$D$202,0),""))))</f>
        <v/>
      </c>
      <c r="AD23" s="10">
        <f>IF(OR($AC23="",인턴현황!$G$3=""),"",INDEX(인턴근무계획!$M$3:$R$202,$AC23,인턴현황!$G$3)&amp;"")</f>
        <v/>
      </c>
      <c r="AE23" s="10">
        <f>IF($B23="","",IF($M23&lt;&gt;"",$M23,IF($AF23&lt;&gt;"",IF(LEFT(INDEX(파견수련계획!$R$4:$R$203,$AF23),1)&lt;&gt;"⚠",INDEX(파견수련계획!$R$4:$R$203,$AF23),IF($H23="","",IF(RIGHT($H23,2)="병원",$H23,$H23&amp;"병원"))),IF($H23="","",IF(RIGHT($H23,2)="병원",$H23,$H23&amp;"병원")))))</f>
        <v/>
      </c>
      <c r="AF23" s="10">
        <f>IF(OR($B23="",TRIM($J23&amp;"")=""),"",IFERROR(MATCH(TRIM($J23&amp;"")&amp;"|파견중",파견수련계획!$Y$4:$Y$203,0),IFERROR(MATCH(TRIM($J23&amp;"")&amp;"|파견예정",파견수련계획!$Y$4:$Y$203,0),IFERROR(MATCH(TRIM($J23&amp;"")&amp;"|파견종료",파견수련계획!$Y$4:$Y$203,0),""))))</f>
        <v/>
      </c>
      <c r="AG23" s="10">
        <f>IF($B23="","",IF(AND(IF(OR($AC23="",인턴현황!$K$2=""),"",INDEX(인턴근무계획!$M$3:$R$202,$AC23,인턴현황!$K$2)&amp;"")&lt;&gt;"",LEFT(IF(OR($AC23="",인턴현황!$K$2=""),"",INDEX(인턴근무계획!$M$3:$R$202,$AC23,인턴현황!$K$2)&amp;""),1)&lt;&gt;"⚠"),LEFT(IF(OR($AC23="",인턴현황!$K$2=""),"",INDEX(인턴근무계획!$M$3:$R$202,$AC23,인턴현황!$K$2)&amp;""),FIND(" ",IF(OR($AC23="",인턴현황!$K$2=""),"",INDEX(인턴근무계획!$M$3:$R$202,$AC23,인턴현황!$K$2)&amp;""))-1),$AE23))</f>
        <v/>
      </c>
      <c r="AH23" s="17">
        <f>IF($B23="","",IF(TRIM($J23&amp;"")="",0,SUMPRODUCT((파견수련계획!$Q$4:$Q$203=TRIM($J23&amp;""))*(파견수련계획!$S$4:$S$203="서울병원")*파견수련계획!$W$4:$W$203))+IF($AG23="서울병원",MAX(0,DAY(EOMONTH(요약!$B$3,0))-N($X23)),0))</f>
        <v/>
      </c>
      <c r="AI23" s="17">
        <f>IF($B23="","",IF(TRIM($J23&amp;"")="",0,SUMPRODUCT((파견수련계획!$Q$4:$Q$203=TRIM($J23&amp;""))*(파견수련계획!$S$4:$S$203="구리병원")*파견수련계획!$W$4:$W$203))+IF($AG23="구리병원",MAX(0,DAY(EOMONTH(요약!$B$3,0))-N($X23)),0))</f>
        <v/>
      </c>
      <c r="AJ23" s="10">
        <f>IF(OR($B23="",TRIM($J23&amp;"")=""),"",IFERROR(MATCH(TRIM($J23&amp;"")&amp;"|월",파견수련계획!$Z$4:$Z$203,0),""))</f>
        <v/>
      </c>
      <c r="AK23" s="10">
        <f>IF(OR($B23="",TRIM($J23&amp;"")=""),"",IFERROR(MATCH(TRIM($J23&amp;"")&amp;"|다기관",파견수련계획!$AE$4:$AE$203,0),""))</f>
        <v/>
      </c>
      <c r="AL23" s="10">
        <f>IF($AK23="","","다기관 "&amp;TEXT(INDEX(파견수련계획!$AB$4:$AB$203,$AK23),"yyyy-mm-dd")&amp;"~"&amp;IF(ISNUMBER(INDEX(파견수련계획!$AC$4:$AC$203,$AK23)),TEXT(INDEX(파견수련계획!$AC$4:$AC$203,$AK23),"yyyy-mm-dd"),""))</f>
        <v/>
      </c>
    </row>
    <row r="24">
      <c r="A24" s="10">
        <f>IF(B24="","",ROW()-1)</f>
        <v/>
      </c>
      <c r="B24" s="18" t="n"/>
      <c r="C24" s="10">
        <f>IF($AB24="","",IF(INDEX(기본자료!$C$2:$C$501,$AB24)="","",INDEX(기본자료!$C$2:$C$501,$AB24)))</f>
        <v/>
      </c>
      <c r="D24" s="10">
        <f>IF($AB24="","",IF(INDEX(기본자료!$J$2:$J$501,$AB24)="","",INDEX(기본자료!$J$2:$J$501,$AB24)))</f>
        <v/>
      </c>
      <c r="E24" s="11">
        <f>IF($AB24="","",IF(INDEX(기본자료!$K$2:$K$501,$AB24)="","",IF(NOT(ISNUMBER(INDEX(기본자료!$K$2:$K$501,$AB24))),INDEX(기본자료!$K$2:$K$501,$AB24),IF(INDEX(기본자료!$K$2:$K$501,$AB24)&lt;1000000,INDEX(기본자료!$K$2:$K$501,$AB24),IF(AND(INDEX(기본자료!$K$2:$K$501,$AB24)&gt;=10000101,INT(MOD(INDEX(기본자료!$K$2:$K$501,$AB24),10000)/100)&gt;=1,INT(MOD(INDEX(기본자료!$K$2:$K$501,$AB24),10000)/100)&lt;=12,MOD(INDEX(기본자료!$K$2:$K$501,$AB24),100)&gt;=1,MOD(INDEX(기본자료!$K$2:$K$501,$AB24),100)&lt;=31),DATE(INT(INDEX(기본자료!$K$2:$K$501,$AB24)/10000),INT(MOD(INDEX(기본자료!$K$2:$K$501,$AB24),10000)/100),MOD(INDEX(기본자료!$K$2:$K$501,$AB24),100)),INDEX(기본자료!$K$2:$K$501,$AB24)&amp;"")))))</f>
        <v/>
      </c>
      <c r="F24" s="10">
        <f>IF($AB24="","",IF(INDEX(기본자료!$D$2:$D$501,$AB24)="","",INDEX(기본자료!$D$2:$D$501,$AB24)))</f>
        <v/>
      </c>
      <c r="G24" s="10">
        <f>IF($AB24="","",IF(INDEX(기본자료!$E$2:$E$501,$AB24)="","",INDEX(기본자료!$E$2:$E$501,$AB24)))</f>
        <v/>
      </c>
      <c r="H24" s="10">
        <f>IF($AB24="","",IF(INDEX(기본자료!$F$2:$F$501,$AB24)="","",INDEX(기본자료!$F$2:$F$501,$AB24)))</f>
        <v/>
      </c>
      <c r="I24" s="11">
        <f>IF($AB24="","",IF(INDEX(기본자료!$G$2:$G$501,$AB24)="","",IF(NOT(ISNUMBER(INDEX(기본자료!$G$2:$G$501,$AB24))),INDEX(기본자료!$G$2:$G$501,$AB24),IF(INDEX(기본자료!$G$2:$G$501,$AB24)&lt;1000000,INDEX(기본자료!$G$2:$G$501,$AB24),IF(AND(INDEX(기본자료!$G$2:$G$501,$AB24)&gt;=10000101,INT(MOD(INDEX(기본자료!$G$2:$G$501,$AB24),10000)/100)&gt;=1,INT(MOD(INDEX(기본자료!$G$2:$G$501,$AB24),10000)/100)&lt;=12,MOD(INDEX(기본자료!$G$2:$G$501,$AB24),100)&gt;=1,MOD(INDEX(기본자료!$G$2:$G$501,$AB24),100)&lt;=31),DATE(INT(INDEX(기본자료!$G$2:$G$501,$AB24)/10000),INT(MOD(INDEX(기본자료!$G$2:$G$501,$AB24),10000)/100),MOD(INDEX(기본자료!$G$2:$G$501,$AB24),100)),INDEX(기본자료!$G$2:$G$501,$AB24)&amp;"")))))</f>
        <v/>
      </c>
      <c r="J24" s="10">
        <f>IF($AB24="","",IF(INDEX(기본자료!$H$2:$H$501,$AB24)="","",INDEX(기본자료!$H$2:$H$501,$AB24)))</f>
        <v/>
      </c>
      <c r="K24" s="10">
        <f>IF($AB24="","",IF(INDEX(기본자료!$I$2:$I$501,$AB24)="","",INDEX(기본자료!$I$2:$I$501,$AB24)))</f>
        <v/>
      </c>
      <c r="L24" s="10">
        <f>IF($AB24="","",IF(INDEX(기본자료!$A$2:$A$501,$AB24)="","",INDEX(기본자료!$A$2:$A$501,$AB24)))</f>
        <v/>
      </c>
      <c r="M24" s="15" t="n"/>
      <c r="N24" s="10">
        <f>IF($B24="","",IF(AND($U24="파견중",$Q24&lt;&gt;""),$Q24,IF(AND($AD24&lt;&gt;"",LEFT($AD24,1)&lt;&gt;"⚠"),LEFT($AD24,FIND(" ",$AD24)-1),IF($H24="","",IF(RIGHT($H24,2)="병원",$H24,$H24&amp;"병원")))))</f>
        <v/>
      </c>
      <c r="O24" s="10">
        <f>IF($B24="","",IF(AND($U24="파견중",$Q24&lt;&gt;""),IF($R24&lt;&gt;"",$R24,"파견과 미입력"),IF(AND($AD24&lt;&gt;"",LEFT($AD24,1)&lt;&gt;"⚠"),MID($AD24,FIND(" ",$AD24)+1,60),IF($F24="","",IF($F24="인턴","수련교육부(인턴)",$F24)))))</f>
        <v/>
      </c>
      <c r="P24" s="10">
        <f>IF($B24="","",IF($AK24&lt;&gt;"",IF(AND(TODAY()&gt;=INDEX(파견수련계획!$AB$4:$AB$203,$AK24),OR(NOT(ISNUMBER(INDEX(파견수련계획!$AC$4:$AC$203,$AK24))),TODAY()&lt;=INDEX(파견수련계획!$AC$4:$AC$203,$AK24))),"다기관",IF($AF24="","",INDEX(파견수련계획!$T$4:$T$203,$AF24))),IF($AF24="","",INDEX(파견수련계획!$T$4:$T$203,$AF24))))</f>
        <v/>
      </c>
      <c r="Q24" s="10">
        <f>IF($AF24="","",INDEX(파견수련계획!$S$4:$S$203,$AF24))</f>
        <v/>
      </c>
      <c r="R24" s="10">
        <f>IF($AF24="","",INDEX(파견수련계획!$U$4:$U$203,$AF24))</f>
        <v/>
      </c>
      <c r="S24" s="11">
        <f>IF($AF24="","",IF(INDEX(파견수련계획!$H$4:$H$203,$AF24)="","",INDEX(파견수련계획!$H$4:$H$203,$AF24)))</f>
        <v/>
      </c>
      <c r="T24" s="11">
        <f>IF($AF24="","",IF(INDEX(파견수련계획!$I$4:$I$203,$AF24)="","",INDEX(파견수련계획!$I$4:$I$203,$AF24)))</f>
        <v/>
      </c>
      <c r="U24" s="10">
        <f>IF($AF24="","",INDEX(파견수련계획!$X$4:$X$203,$AF24))</f>
        <v/>
      </c>
      <c r="V24" s="17">
        <f>IF($AF24="","",INDEX(파견수련계획!$V$4:$V$203,$AF24))</f>
        <v/>
      </c>
      <c r="W24" s="17">
        <f>IF(AND($U24="파견중",$T24&lt;&gt;""),$T24-TODAY(),"")</f>
        <v/>
      </c>
      <c r="X24" s="17">
        <f>IF(OR($B24="",TRIM($J24&amp;"")=""),"",SUMPRODUCT((파견수련계획!$Q$4:$Q$203=TRIM($J24&amp;""))*파견수련계획!$W$4:$W$203))</f>
        <v/>
      </c>
      <c r="Y24" s="10">
        <f>IF($B24="","",IF($AG24="","",IF(IF(TRIM($J24&amp;"")="",0,SUMPRODUCT((파견수련계획!$Q$4:$Q$203=TRIM($J24&amp;""))*파견수련계획!$AD$4:$AD$203))&gt;0,$AE24,IF(N($X24)&lt;=0,$AG24,IF($AH24+$AI24=DAY(EOMONTH(요약!$B$3,0)),IF(AND($AH24&gt;=요약!$E$3,$AI24&lt;요약!$E$3),"서울병원",IF(AND($AI24&gt;=요약!$E$3,$AH24&lt;요약!$E$3),"구리병원","⚠15일 판정불가(서울 "&amp;$AH24&amp;"일/구리 "&amp;$AI24&amp;"일)")),IF($AJ24="",$AE24,IF(INDEX(파견수련계획!$T$4:$T$203,$AJ24)="통합수련",INDEX(파견수련계획!$S$4:$S$203,$AJ24),$AE24)))))))</f>
        <v/>
      </c>
      <c r="Z24" s="19">
        <f>IF($B24="","",IF($AB24="","기본자료에 없는 사번",IF(COUNTIF($B$2:$B$201,$B24)&gt;1,"중복 사번",IF($AE24="","소속(입사장소) 입력",IF(IF(TRIM($J24&amp;"")="",0,SUMPRODUCT((파견수련계획!$Q$4:$Q$203=TRIM($J24&amp;""))*(파견수련계획!$AA$4:$AA$203&lt;&gt;"")))&gt;0,"파견수련계획 입력오류 확인",IF(LEFT($Y24,1)="⚠","서울·구리 15일 판정 불가(양쪽 모두 이상/미만)",IF(IF($AC24="",0,N(INDEX(인턴근무계획!$T$3:$T$202,$AC24)))&gt;0,"인턴계획 입력오류 확인",IF(AND($AC24&lt;&gt;"",$U24&lt;&gt;"파견중",$N24&lt;&gt;$AE24),"인턴 타지역 근무: 파견 여부 확인","정상"))))))))</f>
        <v/>
      </c>
      <c r="AA24" s="5" t="n"/>
      <c r="AB24" s="10">
        <f>IF($B24="","",IFERROR(MATCH($B24,기본자료!$B$2:$B$501,0),IFERROR(MATCH($B24&amp;"",기본자료!$B$2:$B$501,0),IFERROR(MATCH(VALUE($B24),기본자료!$B$2:$B$501,0),""))))</f>
        <v/>
      </c>
      <c r="AC24" s="10">
        <f>IF($B24="","",IFERROR(MATCH($B24,인턴근무계획!$D$3:$D$202,0),IFERROR(MATCH($B24&amp;"",인턴근무계획!$D$3:$D$202,0),IFERROR(MATCH(VALUE($B24),인턴근무계획!$D$3:$D$202,0),""))))</f>
        <v/>
      </c>
      <c r="AD24" s="10">
        <f>IF(OR($AC24="",인턴현황!$G$3=""),"",INDEX(인턴근무계획!$M$3:$R$202,$AC24,인턴현황!$G$3)&amp;"")</f>
        <v/>
      </c>
      <c r="AE24" s="10">
        <f>IF($B24="","",IF($M24&lt;&gt;"",$M24,IF($AF24&lt;&gt;"",IF(LEFT(INDEX(파견수련계획!$R$4:$R$203,$AF24),1)&lt;&gt;"⚠",INDEX(파견수련계획!$R$4:$R$203,$AF24),IF($H24="","",IF(RIGHT($H24,2)="병원",$H24,$H24&amp;"병원"))),IF($H24="","",IF(RIGHT($H24,2)="병원",$H24,$H24&amp;"병원")))))</f>
        <v/>
      </c>
      <c r="AF24" s="10">
        <f>IF(OR($B24="",TRIM($J24&amp;"")=""),"",IFERROR(MATCH(TRIM($J24&amp;"")&amp;"|파견중",파견수련계획!$Y$4:$Y$203,0),IFERROR(MATCH(TRIM($J24&amp;"")&amp;"|파견예정",파견수련계획!$Y$4:$Y$203,0),IFERROR(MATCH(TRIM($J24&amp;"")&amp;"|파견종료",파견수련계획!$Y$4:$Y$203,0),""))))</f>
        <v/>
      </c>
      <c r="AG24" s="10">
        <f>IF($B24="","",IF(AND(IF(OR($AC24="",인턴현황!$K$2=""),"",INDEX(인턴근무계획!$M$3:$R$202,$AC24,인턴현황!$K$2)&amp;"")&lt;&gt;"",LEFT(IF(OR($AC24="",인턴현황!$K$2=""),"",INDEX(인턴근무계획!$M$3:$R$202,$AC24,인턴현황!$K$2)&amp;""),1)&lt;&gt;"⚠"),LEFT(IF(OR($AC24="",인턴현황!$K$2=""),"",INDEX(인턴근무계획!$M$3:$R$202,$AC24,인턴현황!$K$2)&amp;""),FIND(" ",IF(OR($AC24="",인턴현황!$K$2=""),"",INDEX(인턴근무계획!$M$3:$R$202,$AC24,인턴현황!$K$2)&amp;""))-1),$AE24))</f>
        <v/>
      </c>
      <c r="AH24" s="17">
        <f>IF($B24="","",IF(TRIM($J24&amp;"")="",0,SUMPRODUCT((파견수련계획!$Q$4:$Q$203=TRIM($J24&amp;""))*(파견수련계획!$S$4:$S$203="서울병원")*파견수련계획!$W$4:$W$203))+IF($AG24="서울병원",MAX(0,DAY(EOMONTH(요약!$B$3,0))-N($X24)),0))</f>
        <v/>
      </c>
      <c r="AI24" s="17">
        <f>IF($B24="","",IF(TRIM($J24&amp;"")="",0,SUMPRODUCT((파견수련계획!$Q$4:$Q$203=TRIM($J24&amp;""))*(파견수련계획!$S$4:$S$203="구리병원")*파견수련계획!$W$4:$W$203))+IF($AG24="구리병원",MAX(0,DAY(EOMONTH(요약!$B$3,0))-N($X24)),0))</f>
        <v/>
      </c>
      <c r="AJ24" s="10">
        <f>IF(OR($B24="",TRIM($J24&amp;"")=""),"",IFERROR(MATCH(TRIM($J24&amp;"")&amp;"|월",파견수련계획!$Z$4:$Z$203,0),""))</f>
        <v/>
      </c>
      <c r="AK24" s="10">
        <f>IF(OR($B24="",TRIM($J24&amp;"")=""),"",IFERROR(MATCH(TRIM($J24&amp;"")&amp;"|다기관",파견수련계획!$AE$4:$AE$203,0),""))</f>
        <v/>
      </c>
      <c r="AL24" s="10">
        <f>IF($AK24="","","다기관 "&amp;TEXT(INDEX(파견수련계획!$AB$4:$AB$203,$AK24),"yyyy-mm-dd")&amp;"~"&amp;IF(ISNUMBER(INDEX(파견수련계획!$AC$4:$AC$203,$AK24)),TEXT(INDEX(파견수련계획!$AC$4:$AC$203,$AK24),"yyyy-mm-dd"),""))</f>
        <v/>
      </c>
    </row>
    <row r="25">
      <c r="A25" s="10">
        <f>IF(B25="","",ROW()-1)</f>
        <v/>
      </c>
      <c r="B25" s="18" t="n"/>
      <c r="C25" s="10">
        <f>IF($AB25="","",IF(INDEX(기본자료!$C$2:$C$501,$AB25)="","",INDEX(기본자료!$C$2:$C$501,$AB25)))</f>
        <v/>
      </c>
      <c r="D25" s="10">
        <f>IF($AB25="","",IF(INDEX(기본자료!$J$2:$J$501,$AB25)="","",INDEX(기본자료!$J$2:$J$501,$AB25)))</f>
        <v/>
      </c>
      <c r="E25" s="11">
        <f>IF($AB25="","",IF(INDEX(기본자료!$K$2:$K$501,$AB25)="","",IF(NOT(ISNUMBER(INDEX(기본자료!$K$2:$K$501,$AB25))),INDEX(기본자료!$K$2:$K$501,$AB25),IF(INDEX(기본자료!$K$2:$K$501,$AB25)&lt;1000000,INDEX(기본자료!$K$2:$K$501,$AB25),IF(AND(INDEX(기본자료!$K$2:$K$501,$AB25)&gt;=10000101,INT(MOD(INDEX(기본자료!$K$2:$K$501,$AB25),10000)/100)&gt;=1,INT(MOD(INDEX(기본자료!$K$2:$K$501,$AB25),10000)/100)&lt;=12,MOD(INDEX(기본자료!$K$2:$K$501,$AB25),100)&gt;=1,MOD(INDEX(기본자료!$K$2:$K$501,$AB25),100)&lt;=31),DATE(INT(INDEX(기본자료!$K$2:$K$501,$AB25)/10000),INT(MOD(INDEX(기본자료!$K$2:$K$501,$AB25),10000)/100),MOD(INDEX(기본자료!$K$2:$K$501,$AB25),100)),INDEX(기본자료!$K$2:$K$501,$AB25)&amp;"")))))</f>
        <v/>
      </c>
      <c r="F25" s="10">
        <f>IF($AB25="","",IF(INDEX(기본자료!$D$2:$D$501,$AB25)="","",INDEX(기본자료!$D$2:$D$501,$AB25)))</f>
        <v/>
      </c>
      <c r="G25" s="10">
        <f>IF($AB25="","",IF(INDEX(기본자료!$E$2:$E$501,$AB25)="","",INDEX(기본자료!$E$2:$E$501,$AB25)))</f>
        <v/>
      </c>
      <c r="H25" s="10">
        <f>IF($AB25="","",IF(INDEX(기본자료!$F$2:$F$501,$AB25)="","",INDEX(기본자료!$F$2:$F$501,$AB25)))</f>
        <v/>
      </c>
      <c r="I25" s="11">
        <f>IF($AB25="","",IF(INDEX(기본자료!$G$2:$G$501,$AB25)="","",IF(NOT(ISNUMBER(INDEX(기본자료!$G$2:$G$501,$AB25))),INDEX(기본자료!$G$2:$G$501,$AB25),IF(INDEX(기본자료!$G$2:$G$501,$AB25)&lt;1000000,INDEX(기본자료!$G$2:$G$501,$AB25),IF(AND(INDEX(기본자료!$G$2:$G$501,$AB25)&gt;=10000101,INT(MOD(INDEX(기본자료!$G$2:$G$501,$AB25),10000)/100)&gt;=1,INT(MOD(INDEX(기본자료!$G$2:$G$501,$AB25),10000)/100)&lt;=12,MOD(INDEX(기본자료!$G$2:$G$501,$AB25),100)&gt;=1,MOD(INDEX(기본자료!$G$2:$G$501,$AB25),100)&lt;=31),DATE(INT(INDEX(기본자료!$G$2:$G$501,$AB25)/10000),INT(MOD(INDEX(기본자료!$G$2:$G$501,$AB25),10000)/100),MOD(INDEX(기본자료!$G$2:$G$501,$AB25),100)),INDEX(기본자료!$G$2:$G$501,$AB25)&amp;"")))))</f>
        <v/>
      </c>
      <c r="J25" s="10">
        <f>IF($AB25="","",IF(INDEX(기본자료!$H$2:$H$501,$AB25)="","",INDEX(기본자료!$H$2:$H$501,$AB25)))</f>
        <v/>
      </c>
      <c r="K25" s="10">
        <f>IF($AB25="","",IF(INDEX(기본자료!$I$2:$I$501,$AB25)="","",INDEX(기본자료!$I$2:$I$501,$AB25)))</f>
        <v/>
      </c>
      <c r="L25" s="10">
        <f>IF($AB25="","",IF(INDEX(기본자료!$A$2:$A$501,$AB25)="","",INDEX(기본자료!$A$2:$A$501,$AB25)))</f>
        <v/>
      </c>
      <c r="M25" s="15" t="n"/>
      <c r="N25" s="10">
        <f>IF($B25="","",IF(AND($U25="파견중",$Q25&lt;&gt;""),$Q25,IF(AND($AD25&lt;&gt;"",LEFT($AD25,1)&lt;&gt;"⚠"),LEFT($AD25,FIND(" ",$AD25)-1),IF($H25="","",IF(RIGHT($H25,2)="병원",$H25,$H25&amp;"병원")))))</f>
        <v/>
      </c>
      <c r="O25" s="10">
        <f>IF($B25="","",IF(AND($U25="파견중",$Q25&lt;&gt;""),IF($R25&lt;&gt;"",$R25,"파견과 미입력"),IF(AND($AD25&lt;&gt;"",LEFT($AD25,1)&lt;&gt;"⚠"),MID($AD25,FIND(" ",$AD25)+1,60),IF($F25="","",IF($F25="인턴","수련교육부(인턴)",$F25)))))</f>
        <v/>
      </c>
      <c r="P25" s="10">
        <f>IF($B25="","",IF($AK25&lt;&gt;"",IF(AND(TODAY()&gt;=INDEX(파견수련계획!$AB$4:$AB$203,$AK25),OR(NOT(ISNUMBER(INDEX(파견수련계획!$AC$4:$AC$203,$AK25))),TODAY()&lt;=INDEX(파견수련계획!$AC$4:$AC$203,$AK25))),"다기관",IF($AF25="","",INDEX(파견수련계획!$T$4:$T$203,$AF25))),IF($AF25="","",INDEX(파견수련계획!$T$4:$T$203,$AF25))))</f>
        <v/>
      </c>
      <c r="Q25" s="10">
        <f>IF($AF25="","",INDEX(파견수련계획!$S$4:$S$203,$AF25))</f>
        <v/>
      </c>
      <c r="R25" s="10">
        <f>IF($AF25="","",INDEX(파견수련계획!$U$4:$U$203,$AF25))</f>
        <v/>
      </c>
      <c r="S25" s="11">
        <f>IF($AF25="","",IF(INDEX(파견수련계획!$H$4:$H$203,$AF25)="","",INDEX(파견수련계획!$H$4:$H$203,$AF25)))</f>
        <v/>
      </c>
      <c r="T25" s="11">
        <f>IF($AF25="","",IF(INDEX(파견수련계획!$I$4:$I$203,$AF25)="","",INDEX(파견수련계획!$I$4:$I$203,$AF25)))</f>
        <v/>
      </c>
      <c r="U25" s="10">
        <f>IF($AF25="","",INDEX(파견수련계획!$X$4:$X$203,$AF25))</f>
        <v/>
      </c>
      <c r="V25" s="17">
        <f>IF($AF25="","",INDEX(파견수련계획!$V$4:$V$203,$AF25))</f>
        <v/>
      </c>
      <c r="W25" s="17">
        <f>IF(AND($U25="파견중",$T25&lt;&gt;""),$T25-TODAY(),"")</f>
        <v/>
      </c>
      <c r="X25" s="17">
        <f>IF(OR($B25="",TRIM($J25&amp;"")=""),"",SUMPRODUCT((파견수련계획!$Q$4:$Q$203=TRIM($J25&amp;""))*파견수련계획!$W$4:$W$203))</f>
        <v/>
      </c>
      <c r="Y25" s="10">
        <f>IF($B25="","",IF($AG25="","",IF(IF(TRIM($J25&amp;"")="",0,SUMPRODUCT((파견수련계획!$Q$4:$Q$203=TRIM($J25&amp;""))*파견수련계획!$AD$4:$AD$203))&gt;0,$AE25,IF(N($X25)&lt;=0,$AG25,IF($AH25+$AI25=DAY(EOMONTH(요약!$B$3,0)),IF(AND($AH25&gt;=요약!$E$3,$AI25&lt;요약!$E$3),"서울병원",IF(AND($AI25&gt;=요약!$E$3,$AH25&lt;요약!$E$3),"구리병원","⚠15일 판정불가(서울 "&amp;$AH25&amp;"일/구리 "&amp;$AI25&amp;"일)")),IF($AJ25="",$AE25,IF(INDEX(파견수련계획!$T$4:$T$203,$AJ25)="통합수련",INDEX(파견수련계획!$S$4:$S$203,$AJ25),$AE25)))))))</f>
        <v/>
      </c>
      <c r="Z25" s="19">
        <f>IF($B25="","",IF($AB25="","기본자료에 없는 사번",IF(COUNTIF($B$2:$B$201,$B25)&gt;1,"중복 사번",IF($AE25="","소속(입사장소) 입력",IF(IF(TRIM($J25&amp;"")="",0,SUMPRODUCT((파견수련계획!$Q$4:$Q$203=TRIM($J25&amp;""))*(파견수련계획!$AA$4:$AA$203&lt;&gt;"")))&gt;0,"파견수련계획 입력오류 확인",IF(LEFT($Y25,1)="⚠","서울·구리 15일 판정 불가(양쪽 모두 이상/미만)",IF(IF($AC25="",0,N(INDEX(인턴근무계획!$T$3:$T$202,$AC25)))&gt;0,"인턴계획 입력오류 확인",IF(AND($AC25&lt;&gt;"",$U25&lt;&gt;"파견중",$N25&lt;&gt;$AE25),"인턴 타지역 근무: 파견 여부 확인","정상"))))))))</f>
        <v/>
      </c>
      <c r="AA25" s="5" t="n"/>
      <c r="AB25" s="10">
        <f>IF($B25="","",IFERROR(MATCH($B25,기본자료!$B$2:$B$501,0),IFERROR(MATCH($B25&amp;"",기본자료!$B$2:$B$501,0),IFERROR(MATCH(VALUE($B25),기본자료!$B$2:$B$501,0),""))))</f>
        <v/>
      </c>
      <c r="AC25" s="10">
        <f>IF($B25="","",IFERROR(MATCH($B25,인턴근무계획!$D$3:$D$202,0),IFERROR(MATCH($B25&amp;"",인턴근무계획!$D$3:$D$202,0),IFERROR(MATCH(VALUE($B25),인턴근무계획!$D$3:$D$202,0),""))))</f>
        <v/>
      </c>
      <c r="AD25" s="10">
        <f>IF(OR($AC25="",인턴현황!$G$3=""),"",INDEX(인턴근무계획!$M$3:$R$202,$AC25,인턴현황!$G$3)&amp;"")</f>
        <v/>
      </c>
      <c r="AE25" s="10">
        <f>IF($B25="","",IF($M25&lt;&gt;"",$M25,IF($AF25&lt;&gt;"",IF(LEFT(INDEX(파견수련계획!$R$4:$R$203,$AF25),1)&lt;&gt;"⚠",INDEX(파견수련계획!$R$4:$R$203,$AF25),IF($H25="","",IF(RIGHT($H25,2)="병원",$H25,$H25&amp;"병원"))),IF($H25="","",IF(RIGHT($H25,2)="병원",$H25,$H25&amp;"병원")))))</f>
        <v/>
      </c>
      <c r="AF25" s="10">
        <f>IF(OR($B25="",TRIM($J25&amp;"")=""),"",IFERROR(MATCH(TRIM($J25&amp;"")&amp;"|파견중",파견수련계획!$Y$4:$Y$203,0),IFERROR(MATCH(TRIM($J25&amp;"")&amp;"|파견예정",파견수련계획!$Y$4:$Y$203,0),IFERROR(MATCH(TRIM($J25&amp;"")&amp;"|파견종료",파견수련계획!$Y$4:$Y$203,0),""))))</f>
        <v/>
      </c>
      <c r="AG25" s="10">
        <f>IF($B25="","",IF(AND(IF(OR($AC25="",인턴현황!$K$2=""),"",INDEX(인턴근무계획!$M$3:$R$202,$AC25,인턴현황!$K$2)&amp;"")&lt;&gt;"",LEFT(IF(OR($AC25="",인턴현황!$K$2=""),"",INDEX(인턴근무계획!$M$3:$R$202,$AC25,인턴현황!$K$2)&amp;""),1)&lt;&gt;"⚠"),LEFT(IF(OR($AC25="",인턴현황!$K$2=""),"",INDEX(인턴근무계획!$M$3:$R$202,$AC25,인턴현황!$K$2)&amp;""),FIND(" ",IF(OR($AC25="",인턴현황!$K$2=""),"",INDEX(인턴근무계획!$M$3:$R$202,$AC25,인턴현황!$K$2)&amp;""))-1),$AE25))</f>
        <v/>
      </c>
      <c r="AH25" s="17">
        <f>IF($B25="","",IF(TRIM($J25&amp;"")="",0,SUMPRODUCT((파견수련계획!$Q$4:$Q$203=TRIM($J25&amp;""))*(파견수련계획!$S$4:$S$203="서울병원")*파견수련계획!$W$4:$W$203))+IF($AG25="서울병원",MAX(0,DAY(EOMONTH(요약!$B$3,0))-N($X25)),0))</f>
        <v/>
      </c>
      <c r="AI25" s="17">
        <f>IF($B25="","",IF(TRIM($J25&amp;"")="",0,SUMPRODUCT((파견수련계획!$Q$4:$Q$203=TRIM($J25&amp;""))*(파견수련계획!$S$4:$S$203="구리병원")*파견수련계획!$W$4:$W$203))+IF($AG25="구리병원",MAX(0,DAY(EOMONTH(요약!$B$3,0))-N($X25)),0))</f>
        <v/>
      </c>
      <c r="AJ25" s="10">
        <f>IF(OR($B25="",TRIM($J25&amp;"")=""),"",IFERROR(MATCH(TRIM($J25&amp;"")&amp;"|월",파견수련계획!$Z$4:$Z$203,0),""))</f>
        <v/>
      </c>
      <c r="AK25" s="10">
        <f>IF(OR($B25="",TRIM($J25&amp;"")=""),"",IFERROR(MATCH(TRIM($J25&amp;"")&amp;"|다기관",파견수련계획!$AE$4:$AE$203,0),""))</f>
        <v/>
      </c>
      <c r="AL25" s="10">
        <f>IF($AK25="","","다기관 "&amp;TEXT(INDEX(파견수련계획!$AB$4:$AB$203,$AK25),"yyyy-mm-dd")&amp;"~"&amp;IF(ISNUMBER(INDEX(파견수련계획!$AC$4:$AC$203,$AK25)),TEXT(INDEX(파견수련계획!$AC$4:$AC$203,$AK25),"yyyy-mm-dd"),""))</f>
        <v/>
      </c>
    </row>
    <row r="26">
      <c r="A26" s="10">
        <f>IF(B26="","",ROW()-1)</f>
        <v/>
      </c>
      <c r="B26" s="18" t="n"/>
      <c r="C26" s="10">
        <f>IF($AB26="","",IF(INDEX(기본자료!$C$2:$C$501,$AB26)="","",INDEX(기본자료!$C$2:$C$501,$AB26)))</f>
        <v/>
      </c>
      <c r="D26" s="10">
        <f>IF($AB26="","",IF(INDEX(기본자료!$J$2:$J$501,$AB26)="","",INDEX(기본자료!$J$2:$J$501,$AB26)))</f>
        <v/>
      </c>
      <c r="E26" s="11">
        <f>IF($AB26="","",IF(INDEX(기본자료!$K$2:$K$501,$AB26)="","",IF(NOT(ISNUMBER(INDEX(기본자료!$K$2:$K$501,$AB26))),INDEX(기본자료!$K$2:$K$501,$AB26),IF(INDEX(기본자료!$K$2:$K$501,$AB26)&lt;1000000,INDEX(기본자료!$K$2:$K$501,$AB26),IF(AND(INDEX(기본자료!$K$2:$K$501,$AB26)&gt;=10000101,INT(MOD(INDEX(기본자료!$K$2:$K$501,$AB26),10000)/100)&gt;=1,INT(MOD(INDEX(기본자료!$K$2:$K$501,$AB26),10000)/100)&lt;=12,MOD(INDEX(기본자료!$K$2:$K$501,$AB26),100)&gt;=1,MOD(INDEX(기본자료!$K$2:$K$501,$AB26),100)&lt;=31),DATE(INT(INDEX(기본자료!$K$2:$K$501,$AB26)/10000),INT(MOD(INDEX(기본자료!$K$2:$K$501,$AB26),10000)/100),MOD(INDEX(기본자료!$K$2:$K$501,$AB26),100)),INDEX(기본자료!$K$2:$K$501,$AB26)&amp;"")))))</f>
        <v/>
      </c>
      <c r="F26" s="10">
        <f>IF($AB26="","",IF(INDEX(기본자료!$D$2:$D$501,$AB26)="","",INDEX(기본자료!$D$2:$D$501,$AB26)))</f>
        <v/>
      </c>
      <c r="G26" s="10">
        <f>IF($AB26="","",IF(INDEX(기본자료!$E$2:$E$501,$AB26)="","",INDEX(기본자료!$E$2:$E$501,$AB26)))</f>
        <v/>
      </c>
      <c r="H26" s="10">
        <f>IF($AB26="","",IF(INDEX(기본자료!$F$2:$F$501,$AB26)="","",INDEX(기본자료!$F$2:$F$501,$AB26)))</f>
        <v/>
      </c>
      <c r="I26" s="11">
        <f>IF($AB26="","",IF(INDEX(기본자료!$G$2:$G$501,$AB26)="","",IF(NOT(ISNUMBER(INDEX(기본자료!$G$2:$G$501,$AB26))),INDEX(기본자료!$G$2:$G$501,$AB26),IF(INDEX(기본자료!$G$2:$G$501,$AB26)&lt;1000000,INDEX(기본자료!$G$2:$G$501,$AB26),IF(AND(INDEX(기본자료!$G$2:$G$501,$AB26)&gt;=10000101,INT(MOD(INDEX(기본자료!$G$2:$G$501,$AB26),10000)/100)&gt;=1,INT(MOD(INDEX(기본자료!$G$2:$G$501,$AB26),10000)/100)&lt;=12,MOD(INDEX(기본자료!$G$2:$G$501,$AB26),100)&gt;=1,MOD(INDEX(기본자료!$G$2:$G$501,$AB26),100)&lt;=31),DATE(INT(INDEX(기본자료!$G$2:$G$501,$AB26)/10000),INT(MOD(INDEX(기본자료!$G$2:$G$501,$AB26),10000)/100),MOD(INDEX(기본자료!$G$2:$G$501,$AB26),100)),INDEX(기본자료!$G$2:$G$501,$AB26)&amp;"")))))</f>
        <v/>
      </c>
      <c r="J26" s="10">
        <f>IF($AB26="","",IF(INDEX(기본자료!$H$2:$H$501,$AB26)="","",INDEX(기본자료!$H$2:$H$501,$AB26)))</f>
        <v/>
      </c>
      <c r="K26" s="10">
        <f>IF($AB26="","",IF(INDEX(기본자료!$I$2:$I$501,$AB26)="","",INDEX(기본자료!$I$2:$I$501,$AB26)))</f>
        <v/>
      </c>
      <c r="L26" s="10">
        <f>IF($AB26="","",IF(INDEX(기본자료!$A$2:$A$501,$AB26)="","",INDEX(기본자료!$A$2:$A$501,$AB26)))</f>
        <v/>
      </c>
      <c r="M26" s="15" t="n"/>
      <c r="N26" s="10">
        <f>IF($B26="","",IF(AND($U26="파견중",$Q26&lt;&gt;""),$Q26,IF(AND($AD26&lt;&gt;"",LEFT($AD26,1)&lt;&gt;"⚠"),LEFT($AD26,FIND(" ",$AD26)-1),IF($H26="","",IF(RIGHT($H26,2)="병원",$H26,$H26&amp;"병원")))))</f>
        <v/>
      </c>
      <c r="O26" s="10">
        <f>IF($B26="","",IF(AND($U26="파견중",$Q26&lt;&gt;""),IF($R26&lt;&gt;"",$R26,"파견과 미입력"),IF(AND($AD26&lt;&gt;"",LEFT($AD26,1)&lt;&gt;"⚠"),MID($AD26,FIND(" ",$AD26)+1,60),IF($F26="","",IF($F26="인턴","수련교육부(인턴)",$F26)))))</f>
        <v/>
      </c>
      <c r="P26" s="10">
        <f>IF($B26="","",IF($AK26&lt;&gt;"",IF(AND(TODAY()&gt;=INDEX(파견수련계획!$AB$4:$AB$203,$AK26),OR(NOT(ISNUMBER(INDEX(파견수련계획!$AC$4:$AC$203,$AK26))),TODAY()&lt;=INDEX(파견수련계획!$AC$4:$AC$203,$AK26))),"다기관",IF($AF26="","",INDEX(파견수련계획!$T$4:$T$203,$AF26))),IF($AF26="","",INDEX(파견수련계획!$T$4:$T$203,$AF26))))</f>
        <v/>
      </c>
      <c r="Q26" s="10">
        <f>IF($AF26="","",INDEX(파견수련계획!$S$4:$S$203,$AF26))</f>
        <v/>
      </c>
      <c r="R26" s="10">
        <f>IF($AF26="","",INDEX(파견수련계획!$U$4:$U$203,$AF26))</f>
        <v/>
      </c>
      <c r="S26" s="11">
        <f>IF($AF26="","",IF(INDEX(파견수련계획!$H$4:$H$203,$AF26)="","",INDEX(파견수련계획!$H$4:$H$203,$AF26)))</f>
        <v/>
      </c>
      <c r="T26" s="11">
        <f>IF($AF26="","",IF(INDEX(파견수련계획!$I$4:$I$203,$AF26)="","",INDEX(파견수련계획!$I$4:$I$203,$AF26)))</f>
        <v/>
      </c>
      <c r="U26" s="10">
        <f>IF($AF26="","",INDEX(파견수련계획!$X$4:$X$203,$AF26))</f>
        <v/>
      </c>
      <c r="V26" s="17">
        <f>IF($AF26="","",INDEX(파견수련계획!$V$4:$V$203,$AF26))</f>
        <v/>
      </c>
      <c r="W26" s="17">
        <f>IF(AND($U26="파견중",$T26&lt;&gt;""),$T26-TODAY(),"")</f>
        <v/>
      </c>
      <c r="X26" s="17">
        <f>IF(OR($B26="",TRIM($J26&amp;"")=""),"",SUMPRODUCT((파견수련계획!$Q$4:$Q$203=TRIM($J26&amp;""))*파견수련계획!$W$4:$W$203))</f>
        <v/>
      </c>
      <c r="Y26" s="10">
        <f>IF($B26="","",IF($AG26="","",IF(IF(TRIM($J26&amp;"")="",0,SUMPRODUCT((파견수련계획!$Q$4:$Q$203=TRIM($J26&amp;""))*파견수련계획!$AD$4:$AD$203))&gt;0,$AE26,IF(N($X26)&lt;=0,$AG26,IF($AH26+$AI26=DAY(EOMONTH(요약!$B$3,0)),IF(AND($AH26&gt;=요약!$E$3,$AI26&lt;요약!$E$3),"서울병원",IF(AND($AI26&gt;=요약!$E$3,$AH26&lt;요약!$E$3),"구리병원","⚠15일 판정불가(서울 "&amp;$AH26&amp;"일/구리 "&amp;$AI26&amp;"일)")),IF($AJ26="",$AE26,IF(INDEX(파견수련계획!$T$4:$T$203,$AJ26)="통합수련",INDEX(파견수련계획!$S$4:$S$203,$AJ26),$AE26)))))))</f>
        <v/>
      </c>
      <c r="Z26" s="19">
        <f>IF($B26="","",IF($AB26="","기본자료에 없는 사번",IF(COUNTIF($B$2:$B$201,$B26)&gt;1,"중복 사번",IF($AE26="","소속(입사장소) 입력",IF(IF(TRIM($J26&amp;"")="",0,SUMPRODUCT((파견수련계획!$Q$4:$Q$203=TRIM($J26&amp;""))*(파견수련계획!$AA$4:$AA$203&lt;&gt;"")))&gt;0,"파견수련계획 입력오류 확인",IF(LEFT($Y26,1)="⚠","서울·구리 15일 판정 불가(양쪽 모두 이상/미만)",IF(IF($AC26="",0,N(INDEX(인턴근무계획!$T$3:$T$202,$AC26)))&gt;0,"인턴계획 입력오류 확인",IF(AND($AC26&lt;&gt;"",$U26&lt;&gt;"파견중",$N26&lt;&gt;$AE26),"인턴 타지역 근무: 파견 여부 확인","정상"))))))))</f>
        <v/>
      </c>
      <c r="AA26" s="5" t="n"/>
      <c r="AB26" s="10">
        <f>IF($B26="","",IFERROR(MATCH($B26,기본자료!$B$2:$B$501,0),IFERROR(MATCH($B26&amp;"",기본자료!$B$2:$B$501,0),IFERROR(MATCH(VALUE($B26),기본자료!$B$2:$B$501,0),""))))</f>
        <v/>
      </c>
      <c r="AC26" s="10">
        <f>IF($B26="","",IFERROR(MATCH($B26,인턴근무계획!$D$3:$D$202,0),IFERROR(MATCH($B26&amp;"",인턴근무계획!$D$3:$D$202,0),IFERROR(MATCH(VALUE($B26),인턴근무계획!$D$3:$D$202,0),""))))</f>
        <v/>
      </c>
      <c r="AD26" s="10">
        <f>IF(OR($AC26="",인턴현황!$G$3=""),"",INDEX(인턴근무계획!$M$3:$R$202,$AC26,인턴현황!$G$3)&amp;"")</f>
        <v/>
      </c>
      <c r="AE26" s="10">
        <f>IF($B26="","",IF($M26&lt;&gt;"",$M26,IF($AF26&lt;&gt;"",IF(LEFT(INDEX(파견수련계획!$R$4:$R$203,$AF26),1)&lt;&gt;"⚠",INDEX(파견수련계획!$R$4:$R$203,$AF26),IF($H26="","",IF(RIGHT($H26,2)="병원",$H26,$H26&amp;"병원"))),IF($H26="","",IF(RIGHT($H26,2)="병원",$H26,$H26&amp;"병원")))))</f>
        <v/>
      </c>
      <c r="AF26" s="10">
        <f>IF(OR($B26="",TRIM($J26&amp;"")=""),"",IFERROR(MATCH(TRIM($J26&amp;"")&amp;"|파견중",파견수련계획!$Y$4:$Y$203,0),IFERROR(MATCH(TRIM($J26&amp;"")&amp;"|파견예정",파견수련계획!$Y$4:$Y$203,0),IFERROR(MATCH(TRIM($J26&amp;"")&amp;"|파견종료",파견수련계획!$Y$4:$Y$203,0),""))))</f>
        <v/>
      </c>
      <c r="AG26" s="10">
        <f>IF($B26="","",IF(AND(IF(OR($AC26="",인턴현황!$K$2=""),"",INDEX(인턴근무계획!$M$3:$R$202,$AC26,인턴현황!$K$2)&amp;"")&lt;&gt;"",LEFT(IF(OR($AC26="",인턴현황!$K$2=""),"",INDEX(인턴근무계획!$M$3:$R$202,$AC26,인턴현황!$K$2)&amp;""),1)&lt;&gt;"⚠"),LEFT(IF(OR($AC26="",인턴현황!$K$2=""),"",INDEX(인턴근무계획!$M$3:$R$202,$AC26,인턴현황!$K$2)&amp;""),FIND(" ",IF(OR($AC26="",인턴현황!$K$2=""),"",INDEX(인턴근무계획!$M$3:$R$202,$AC26,인턴현황!$K$2)&amp;""))-1),$AE26))</f>
        <v/>
      </c>
      <c r="AH26" s="17">
        <f>IF($B26="","",IF(TRIM($J26&amp;"")="",0,SUMPRODUCT((파견수련계획!$Q$4:$Q$203=TRIM($J26&amp;""))*(파견수련계획!$S$4:$S$203="서울병원")*파견수련계획!$W$4:$W$203))+IF($AG26="서울병원",MAX(0,DAY(EOMONTH(요약!$B$3,0))-N($X26)),0))</f>
        <v/>
      </c>
      <c r="AI26" s="17">
        <f>IF($B26="","",IF(TRIM($J26&amp;"")="",0,SUMPRODUCT((파견수련계획!$Q$4:$Q$203=TRIM($J26&amp;""))*(파견수련계획!$S$4:$S$203="구리병원")*파견수련계획!$W$4:$W$203))+IF($AG26="구리병원",MAX(0,DAY(EOMONTH(요약!$B$3,0))-N($X26)),0))</f>
        <v/>
      </c>
      <c r="AJ26" s="10">
        <f>IF(OR($B26="",TRIM($J26&amp;"")=""),"",IFERROR(MATCH(TRIM($J26&amp;"")&amp;"|월",파견수련계획!$Z$4:$Z$203,0),""))</f>
        <v/>
      </c>
      <c r="AK26" s="10">
        <f>IF(OR($B26="",TRIM($J26&amp;"")=""),"",IFERROR(MATCH(TRIM($J26&amp;"")&amp;"|다기관",파견수련계획!$AE$4:$AE$203,0),""))</f>
        <v/>
      </c>
      <c r="AL26" s="10">
        <f>IF($AK26="","","다기관 "&amp;TEXT(INDEX(파견수련계획!$AB$4:$AB$203,$AK26),"yyyy-mm-dd")&amp;"~"&amp;IF(ISNUMBER(INDEX(파견수련계획!$AC$4:$AC$203,$AK26)),TEXT(INDEX(파견수련계획!$AC$4:$AC$203,$AK26),"yyyy-mm-dd"),""))</f>
        <v/>
      </c>
    </row>
    <row r="27">
      <c r="A27" s="10">
        <f>IF(B27="","",ROW()-1)</f>
        <v/>
      </c>
      <c r="B27" s="18" t="n"/>
      <c r="C27" s="10">
        <f>IF($AB27="","",IF(INDEX(기본자료!$C$2:$C$501,$AB27)="","",INDEX(기본자료!$C$2:$C$501,$AB27)))</f>
        <v/>
      </c>
      <c r="D27" s="10">
        <f>IF($AB27="","",IF(INDEX(기본자료!$J$2:$J$501,$AB27)="","",INDEX(기본자료!$J$2:$J$501,$AB27)))</f>
        <v/>
      </c>
      <c r="E27" s="11">
        <f>IF($AB27="","",IF(INDEX(기본자료!$K$2:$K$501,$AB27)="","",IF(NOT(ISNUMBER(INDEX(기본자료!$K$2:$K$501,$AB27))),INDEX(기본자료!$K$2:$K$501,$AB27),IF(INDEX(기본자료!$K$2:$K$501,$AB27)&lt;1000000,INDEX(기본자료!$K$2:$K$501,$AB27),IF(AND(INDEX(기본자료!$K$2:$K$501,$AB27)&gt;=10000101,INT(MOD(INDEX(기본자료!$K$2:$K$501,$AB27),10000)/100)&gt;=1,INT(MOD(INDEX(기본자료!$K$2:$K$501,$AB27),10000)/100)&lt;=12,MOD(INDEX(기본자료!$K$2:$K$501,$AB27),100)&gt;=1,MOD(INDEX(기본자료!$K$2:$K$501,$AB27),100)&lt;=31),DATE(INT(INDEX(기본자료!$K$2:$K$501,$AB27)/10000),INT(MOD(INDEX(기본자료!$K$2:$K$501,$AB27),10000)/100),MOD(INDEX(기본자료!$K$2:$K$501,$AB27),100)),INDEX(기본자료!$K$2:$K$501,$AB27)&amp;"")))))</f>
        <v/>
      </c>
      <c r="F27" s="10">
        <f>IF($AB27="","",IF(INDEX(기본자료!$D$2:$D$501,$AB27)="","",INDEX(기본자료!$D$2:$D$501,$AB27)))</f>
        <v/>
      </c>
      <c r="G27" s="10">
        <f>IF($AB27="","",IF(INDEX(기본자료!$E$2:$E$501,$AB27)="","",INDEX(기본자료!$E$2:$E$501,$AB27)))</f>
        <v/>
      </c>
      <c r="H27" s="10">
        <f>IF($AB27="","",IF(INDEX(기본자료!$F$2:$F$501,$AB27)="","",INDEX(기본자료!$F$2:$F$501,$AB27)))</f>
        <v/>
      </c>
      <c r="I27" s="11">
        <f>IF($AB27="","",IF(INDEX(기본자료!$G$2:$G$501,$AB27)="","",IF(NOT(ISNUMBER(INDEX(기본자료!$G$2:$G$501,$AB27))),INDEX(기본자료!$G$2:$G$501,$AB27),IF(INDEX(기본자료!$G$2:$G$501,$AB27)&lt;1000000,INDEX(기본자료!$G$2:$G$501,$AB27),IF(AND(INDEX(기본자료!$G$2:$G$501,$AB27)&gt;=10000101,INT(MOD(INDEX(기본자료!$G$2:$G$501,$AB27),10000)/100)&gt;=1,INT(MOD(INDEX(기본자료!$G$2:$G$501,$AB27),10000)/100)&lt;=12,MOD(INDEX(기본자료!$G$2:$G$501,$AB27),100)&gt;=1,MOD(INDEX(기본자료!$G$2:$G$501,$AB27),100)&lt;=31),DATE(INT(INDEX(기본자료!$G$2:$G$501,$AB27)/10000),INT(MOD(INDEX(기본자료!$G$2:$G$501,$AB27),10000)/100),MOD(INDEX(기본자료!$G$2:$G$501,$AB27),100)),INDEX(기본자료!$G$2:$G$501,$AB27)&amp;"")))))</f>
        <v/>
      </c>
      <c r="J27" s="10">
        <f>IF($AB27="","",IF(INDEX(기본자료!$H$2:$H$501,$AB27)="","",INDEX(기본자료!$H$2:$H$501,$AB27)))</f>
        <v/>
      </c>
      <c r="K27" s="10">
        <f>IF($AB27="","",IF(INDEX(기본자료!$I$2:$I$501,$AB27)="","",INDEX(기본자료!$I$2:$I$501,$AB27)))</f>
        <v/>
      </c>
      <c r="L27" s="10">
        <f>IF($AB27="","",IF(INDEX(기본자료!$A$2:$A$501,$AB27)="","",INDEX(기본자료!$A$2:$A$501,$AB27)))</f>
        <v/>
      </c>
      <c r="M27" s="15" t="n"/>
      <c r="N27" s="10">
        <f>IF($B27="","",IF(AND($U27="파견중",$Q27&lt;&gt;""),$Q27,IF(AND($AD27&lt;&gt;"",LEFT($AD27,1)&lt;&gt;"⚠"),LEFT($AD27,FIND(" ",$AD27)-1),IF($H27="","",IF(RIGHT($H27,2)="병원",$H27,$H27&amp;"병원")))))</f>
        <v/>
      </c>
      <c r="O27" s="10">
        <f>IF($B27="","",IF(AND($U27="파견중",$Q27&lt;&gt;""),IF($R27&lt;&gt;"",$R27,"파견과 미입력"),IF(AND($AD27&lt;&gt;"",LEFT($AD27,1)&lt;&gt;"⚠"),MID($AD27,FIND(" ",$AD27)+1,60),IF($F27="","",IF($F27="인턴","수련교육부(인턴)",$F27)))))</f>
        <v/>
      </c>
      <c r="P27" s="10">
        <f>IF($B27="","",IF($AK27&lt;&gt;"",IF(AND(TODAY()&gt;=INDEX(파견수련계획!$AB$4:$AB$203,$AK27),OR(NOT(ISNUMBER(INDEX(파견수련계획!$AC$4:$AC$203,$AK27))),TODAY()&lt;=INDEX(파견수련계획!$AC$4:$AC$203,$AK27))),"다기관",IF($AF27="","",INDEX(파견수련계획!$T$4:$T$203,$AF27))),IF($AF27="","",INDEX(파견수련계획!$T$4:$T$203,$AF27))))</f>
        <v/>
      </c>
      <c r="Q27" s="10">
        <f>IF($AF27="","",INDEX(파견수련계획!$S$4:$S$203,$AF27))</f>
        <v/>
      </c>
      <c r="R27" s="10">
        <f>IF($AF27="","",INDEX(파견수련계획!$U$4:$U$203,$AF27))</f>
        <v/>
      </c>
      <c r="S27" s="11">
        <f>IF($AF27="","",IF(INDEX(파견수련계획!$H$4:$H$203,$AF27)="","",INDEX(파견수련계획!$H$4:$H$203,$AF27)))</f>
        <v/>
      </c>
      <c r="T27" s="11">
        <f>IF($AF27="","",IF(INDEX(파견수련계획!$I$4:$I$203,$AF27)="","",INDEX(파견수련계획!$I$4:$I$203,$AF27)))</f>
        <v/>
      </c>
      <c r="U27" s="10">
        <f>IF($AF27="","",INDEX(파견수련계획!$X$4:$X$203,$AF27))</f>
        <v/>
      </c>
      <c r="V27" s="17">
        <f>IF($AF27="","",INDEX(파견수련계획!$V$4:$V$203,$AF27))</f>
        <v/>
      </c>
      <c r="W27" s="17">
        <f>IF(AND($U27="파견중",$T27&lt;&gt;""),$T27-TODAY(),"")</f>
        <v/>
      </c>
      <c r="X27" s="17">
        <f>IF(OR($B27="",TRIM($J27&amp;"")=""),"",SUMPRODUCT((파견수련계획!$Q$4:$Q$203=TRIM($J27&amp;""))*파견수련계획!$W$4:$W$203))</f>
        <v/>
      </c>
      <c r="Y27" s="10">
        <f>IF($B27="","",IF($AG27="","",IF(IF(TRIM($J27&amp;"")="",0,SUMPRODUCT((파견수련계획!$Q$4:$Q$203=TRIM($J27&amp;""))*파견수련계획!$AD$4:$AD$203))&gt;0,$AE27,IF(N($X27)&lt;=0,$AG27,IF($AH27+$AI27=DAY(EOMONTH(요약!$B$3,0)),IF(AND($AH27&gt;=요약!$E$3,$AI27&lt;요약!$E$3),"서울병원",IF(AND($AI27&gt;=요약!$E$3,$AH27&lt;요약!$E$3),"구리병원","⚠15일 판정불가(서울 "&amp;$AH27&amp;"일/구리 "&amp;$AI27&amp;"일)")),IF($AJ27="",$AE27,IF(INDEX(파견수련계획!$T$4:$T$203,$AJ27)="통합수련",INDEX(파견수련계획!$S$4:$S$203,$AJ27),$AE27)))))))</f>
        <v/>
      </c>
      <c r="Z27" s="19">
        <f>IF($B27="","",IF($AB27="","기본자료에 없는 사번",IF(COUNTIF($B$2:$B$201,$B27)&gt;1,"중복 사번",IF($AE27="","소속(입사장소) 입력",IF(IF(TRIM($J27&amp;"")="",0,SUMPRODUCT((파견수련계획!$Q$4:$Q$203=TRIM($J27&amp;""))*(파견수련계획!$AA$4:$AA$203&lt;&gt;"")))&gt;0,"파견수련계획 입력오류 확인",IF(LEFT($Y27,1)="⚠","서울·구리 15일 판정 불가(양쪽 모두 이상/미만)",IF(IF($AC27="",0,N(INDEX(인턴근무계획!$T$3:$T$202,$AC27)))&gt;0,"인턴계획 입력오류 확인",IF(AND($AC27&lt;&gt;"",$U27&lt;&gt;"파견중",$N27&lt;&gt;$AE27),"인턴 타지역 근무: 파견 여부 확인","정상"))))))))</f>
        <v/>
      </c>
      <c r="AA27" s="5" t="n"/>
      <c r="AB27" s="10">
        <f>IF($B27="","",IFERROR(MATCH($B27,기본자료!$B$2:$B$501,0),IFERROR(MATCH($B27&amp;"",기본자료!$B$2:$B$501,0),IFERROR(MATCH(VALUE($B27),기본자료!$B$2:$B$501,0),""))))</f>
        <v/>
      </c>
      <c r="AC27" s="10">
        <f>IF($B27="","",IFERROR(MATCH($B27,인턴근무계획!$D$3:$D$202,0),IFERROR(MATCH($B27&amp;"",인턴근무계획!$D$3:$D$202,0),IFERROR(MATCH(VALUE($B27),인턴근무계획!$D$3:$D$202,0),""))))</f>
        <v/>
      </c>
      <c r="AD27" s="10">
        <f>IF(OR($AC27="",인턴현황!$G$3=""),"",INDEX(인턴근무계획!$M$3:$R$202,$AC27,인턴현황!$G$3)&amp;"")</f>
        <v/>
      </c>
      <c r="AE27" s="10">
        <f>IF($B27="","",IF($M27&lt;&gt;"",$M27,IF($AF27&lt;&gt;"",IF(LEFT(INDEX(파견수련계획!$R$4:$R$203,$AF27),1)&lt;&gt;"⚠",INDEX(파견수련계획!$R$4:$R$203,$AF27),IF($H27="","",IF(RIGHT($H27,2)="병원",$H27,$H27&amp;"병원"))),IF($H27="","",IF(RIGHT($H27,2)="병원",$H27,$H27&amp;"병원")))))</f>
        <v/>
      </c>
      <c r="AF27" s="10">
        <f>IF(OR($B27="",TRIM($J27&amp;"")=""),"",IFERROR(MATCH(TRIM($J27&amp;"")&amp;"|파견중",파견수련계획!$Y$4:$Y$203,0),IFERROR(MATCH(TRIM($J27&amp;"")&amp;"|파견예정",파견수련계획!$Y$4:$Y$203,0),IFERROR(MATCH(TRIM($J27&amp;"")&amp;"|파견종료",파견수련계획!$Y$4:$Y$203,0),""))))</f>
        <v/>
      </c>
      <c r="AG27" s="10">
        <f>IF($B27="","",IF(AND(IF(OR($AC27="",인턴현황!$K$2=""),"",INDEX(인턴근무계획!$M$3:$R$202,$AC27,인턴현황!$K$2)&amp;"")&lt;&gt;"",LEFT(IF(OR($AC27="",인턴현황!$K$2=""),"",INDEX(인턴근무계획!$M$3:$R$202,$AC27,인턴현황!$K$2)&amp;""),1)&lt;&gt;"⚠"),LEFT(IF(OR($AC27="",인턴현황!$K$2=""),"",INDEX(인턴근무계획!$M$3:$R$202,$AC27,인턴현황!$K$2)&amp;""),FIND(" ",IF(OR($AC27="",인턴현황!$K$2=""),"",INDEX(인턴근무계획!$M$3:$R$202,$AC27,인턴현황!$K$2)&amp;""))-1),$AE27))</f>
        <v/>
      </c>
      <c r="AH27" s="17">
        <f>IF($B27="","",IF(TRIM($J27&amp;"")="",0,SUMPRODUCT((파견수련계획!$Q$4:$Q$203=TRIM($J27&amp;""))*(파견수련계획!$S$4:$S$203="서울병원")*파견수련계획!$W$4:$W$203))+IF($AG27="서울병원",MAX(0,DAY(EOMONTH(요약!$B$3,0))-N($X27)),0))</f>
        <v/>
      </c>
      <c r="AI27" s="17">
        <f>IF($B27="","",IF(TRIM($J27&amp;"")="",0,SUMPRODUCT((파견수련계획!$Q$4:$Q$203=TRIM($J27&amp;""))*(파견수련계획!$S$4:$S$203="구리병원")*파견수련계획!$W$4:$W$203))+IF($AG27="구리병원",MAX(0,DAY(EOMONTH(요약!$B$3,0))-N($X27)),0))</f>
        <v/>
      </c>
      <c r="AJ27" s="10">
        <f>IF(OR($B27="",TRIM($J27&amp;"")=""),"",IFERROR(MATCH(TRIM($J27&amp;"")&amp;"|월",파견수련계획!$Z$4:$Z$203,0),""))</f>
        <v/>
      </c>
      <c r="AK27" s="10">
        <f>IF(OR($B27="",TRIM($J27&amp;"")=""),"",IFERROR(MATCH(TRIM($J27&amp;"")&amp;"|다기관",파견수련계획!$AE$4:$AE$203,0),""))</f>
        <v/>
      </c>
      <c r="AL27" s="10">
        <f>IF($AK27="","","다기관 "&amp;TEXT(INDEX(파견수련계획!$AB$4:$AB$203,$AK27),"yyyy-mm-dd")&amp;"~"&amp;IF(ISNUMBER(INDEX(파견수련계획!$AC$4:$AC$203,$AK27)),TEXT(INDEX(파견수련계획!$AC$4:$AC$203,$AK27),"yyyy-mm-dd"),""))</f>
        <v/>
      </c>
    </row>
    <row r="28">
      <c r="A28" s="10">
        <f>IF(B28="","",ROW()-1)</f>
        <v/>
      </c>
      <c r="B28" s="18" t="n"/>
      <c r="C28" s="10">
        <f>IF($AB28="","",IF(INDEX(기본자료!$C$2:$C$501,$AB28)="","",INDEX(기본자료!$C$2:$C$501,$AB28)))</f>
        <v/>
      </c>
      <c r="D28" s="10">
        <f>IF($AB28="","",IF(INDEX(기본자료!$J$2:$J$501,$AB28)="","",INDEX(기본자료!$J$2:$J$501,$AB28)))</f>
        <v/>
      </c>
      <c r="E28" s="11">
        <f>IF($AB28="","",IF(INDEX(기본자료!$K$2:$K$501,$AB28)="","",IF(NOT(ISNUMBER(INDEX(기본자료!$K$2:$K$501,$AB28))),INDEX(기본자료!$K$2:$K$501,$AB28),IF(INDEX(기본자료!$K$2:$K$501,$AB28)&lt;1000000,INDEX(기본자료!$K$2:$K$501,$AB28),IF(AND(INDEX(기본자료!$K$2:$K$501,$AB28)&gt;=10000101,INT(MOD(INDEX(기본자료!$K$2:$K$501,$AB28),10000)/100)&gt;=1,INT(MOD(INDEX(기본자료!$K$2:$K$501,$AB28),10000)/100)&lt;=12,MOD(INDEX(기본자료!$K$2:$K$501,$AB28),100)&gt;=1,MOD(INDEX(기본자료!$K$2:$K$501,$AB28),100)&lt;=31),DATE(INT(INDEX(기본자료!$K$2:$K$501,$AB28)/10000),INT(MOD(INDEX(기본자료!$K$2:$K$501,$AB28),10000)/100),MOD(INDEX(기본자료!$K$2:$K$501,$AB28),100)),INDEX(기본자료!$K$2:$K$501,$AB28)&amp;"")))))</f>
        <v/>
      </c>
      <c r="F28" s="10">
        <f>IF($AB28="","",IF(INDEX(기본자료!$D$2:$D$501,$AB28)="","",INDEX(기본자료!$D$2:$D$501,$AB28)))</f>
        <v/>
      </c>
      <c r="G28" s="10">
        <f>IF($AB28="","",IF(INDEX(기본자료!$E$2:$E$501,$AB28)="","",INDEX(기본자료!$E$2:$E$501,$AB28)))</f>
        <v/>
      </c>
      <c r="H28" s="10">
        <f>IF($AB28="","",IF(INDEX(기본자료!$F$2:$F$501,$AB28)="","",INDEX(기본자료!$F$2:$F$501,$AB28)))</f>
        <v/>
      </c>
      <c r="I28" s="11">
        <f>IF($AB28="","",IF(INDEX(기본자료!$G$2:$G$501,$AB28)="","",IF(NOT(ISNUMBER(INDEX(기본자료!$G$2:$G$501,$AB28))),INDEX(기본자료!$G$2:$G$501,$AB28),IF(INDEX(기본자료!$G$2:$G$501,$AB28)&lt;1000000,INDEX(기본자료!$G$2:$G$501,$AB28),IF(AND(INDEX(기본자료!$G$2:$G$501,$AB28)&gt;=10000101,INT(MOD(INDEX(기본자료!$G$2:$G$501,$AB28),10000)/100)&gt;=1,INT(MOD(INDEX(기본자료!$G$2:$G$501,$AB28),10000)/100)&lt;=12,MOD(INDEX(기본자료!$G$2:$G$501,$AB28),100)&gt;=1,MOD(INDEX(기본자료!$G$2:$G$501,$AB28),100)&lt;=31),DATE(INT(INDEX(기본자료!$G$2:$G$501,$AB28)/10000),INT(MOD(INDEX(기본자료!$G$2:$G$501,$AB28),10000)/100),MOD(INDEX(기본자료!$G$2:$G$501,$AB28),100)),INDEX(기본자료!$G$2:$G$501,$AB28)&amp;"")))))</f>
        <v/>
      </c>
      <c r="J28" s="10">
        <f>IF($AB28="","",IF(INDEX(기본자료!$H$2:$H$501,$AB28)="","",INDEX(기본자료!$H$2:$H$501,$AB28)))</f>
        <v/>
      </c>
      <c r="K28" s="10">
        <f>IF($AB28="","",IF(INDEX(기본자료!$I$2:$I$501,$AB28)="","",INDEX(기본자료!$I$2:$I$501,$AB28)))</f>
        <v/>
      </c>
      <c r="L28" s="10">
        <f>IF($AB28="","",IF(INDEX(기본자료!$A$2:$A$501,$AB28)="","",INDEX(기본자료!$A$2:$A$501,$AB28)))</f>
        <v/>
      </c>
      <c r="M28" s="15" t="n"/>
      <c r="N28" s="10">
        <f>IF($B28="","",IF(AND($U28="파견중",$Q28&lt;&gt;""),$Q28,IF(AND($AD28&lt;&gt;"",LEFT($AD28,1)&lt;&gt;"⚠"),LEFT($AD28,FIND(" ",$AD28)-1),IF($H28="","",IF(RIGHT($H28,2)="병원",$H28,$H28&amp;"병원")))))</f>
        <v/>
      </c>
      <c r="O28" s="10">
        <f>IF($B28="","",IF(AND($U28="파견중",$Q28&lt;&gt;""),IF($R28&lt;&gt;"",$R28,"파견과 미입력"),IF(AND($AD28&lt;&gt;"",LEFT($AD28,1)&lt;&gt;"⚠"),MID($AD28,FIND(" ",$AD28)+1,60),IF($F28="","",IF($F28="인턴","수련교육부(인턴)",$F28)))))</f>
        <v/>
      </c>
      <c r="P28" s="10">
        <f>IF($B28="","",IF($AK28&lt;&gt;"",IF(AND(TODAY()&gt;=INDEX(파견수련계획!$AB$4:$AB$203,$AK28),OR(NOT(ISNUMBER(INDEX(파견수련계획!$AC$4:$AC$203,$AK28))),TODAY()&lt;=INDEX(파견수련계획!$AC$4:$AC$203,$AK28))),"다기관",IF($AF28="","",INDEX(파견수련계획!$T$4:$T$203,$AF28))),IF($AF28="","",INDEX(파견수련계획!$T$4:$T$203,$AF28))))</f>
        <v/>
      </c>
      <c r="Q28" s="10">
        <f>IF($AF28="","",INDEX(파견수련계획!$S$4:$S$203,$AF28))</f>
        <v/>
      </c>
      <c r="R28" s="10">
        <f>IF($AF28="","",INDEX(파견수련계획!$U$4:$U$203,$AF28))</f>
        <v/>
      </c>
      <c r="S28" s="11">
        <f>IF($AF28="","",IF(INDEX(파견수련계획!$H$4:$H$203,$AF28)="","",INDEX(파견수련계획!$H$4:$H$203,$AF28)))</f>
        <v/>
      </c>
      <c r="T28" s="11">
        <f>IF($AF28="","",IF(INDEX(파견수련계획!$I$4:$I$203,$AF28)="","",INDEX(파견수련계획!$I$4:$I$203,$AF28)))</f>
        <v/>
      </c>
      <c r="U28" s="10">
        <f>IF($AF28="","",INDEX(파견수련계획!$X$4:$X$203,$AF28))</f>
        <v/>
      </c>
      <c r="V28" s="17">
        <f>IF($AF28="","",INDEX(파견수련계획!$V$4:$V$203,$AF28))</f>
        <v/>
      </c>
      <c r="W28" s="17">
        <f>IF(AND($U28="파견중",$T28&lt;&gt;""),$T28-TODAY(),"")</f>
        <v/>
      </c>
      <c r="X28" s="17">
        <f>IF(OR($B28="",TRIM($J28&amp;"")=""),"",SUMPRODUCT((파견수련계획!$Q$4:$Q$203=TRIM($J28&amp;""))*파견수련계획!$W$4:$W$203))</f>
        <v/>
      </c>
      <c r="Y28" s="10">
        <f>IF($B28="","",IF($AG28="","",IF(IF(TRIM($J28&amp;"")="",0,SUMPRODUCT((파견수련계획!$Q$4:$Q$203=TRIM($J28&amp;""))*파견수련계획!$AD$4:$AD$203))&gt;0,$AE28,IF(N($X28)&lt;=0,$AG28,IF($AH28+$AI28=DAY(EOMONTH(요약!$B$3,0)),IF(AND($AH28&gt;=요약!$E$3,$AI28&lt;요약!$E$3),"서울병원",IF(AND($AI28&gt;=요약!$E$3,$AH28&lt;요약!$E$3),"구리병원","⚠15일 판정불가(서울 "&amp;$AH28&amp;"일/구리 "&amp;$AI28&amp;"일)")),IF($AJ28="",$AE28,IF(INDEX(파견수련계획!$T$4:$T$203,$AJ28)="통합수련",INDEX(파견수련계획!$S$4:$S$203,$AJ28),$AE28)))))))</f>
        <v/>
      </c>
      <c r="Z28" s="19">
        <f>IF($B28="","",IF($AB28="","기본자료에 없는 사번",IF(COUNTIF($B$2:$B$201,$B28)&gt;1,"중복 사번",IF($AE28="","소속(입사장소) 입력",IF(IF(TRIM($J28&amp;"")="",0,SUMPRODUCT((파견수련계획!$Q$4:$Q$203=TRIM($J28&amp;""))*(파견수련계획!$AA$4:$AA$203&lt;&gt;"")))&gt;0,"파견수련계획 입력오류 확인",IF(LEFT($Y28,1)="⚠","서울·구리 15일 판정 불가(양쪽 모두 이상/미만)",IF(IF($AC28="",0,N(INDEX(인턴근무계획!$T$3:$T$202,$AC28)))&gt;0,"인턴계획 입력오류 확인",IF(AND($AC28&lt;&gt;"",$U28&lt;&gt;"파견중",$N28&lt;&gt;$AE28),"인턴 타지역 근무: 파견 여부 확인","정상"))))))))</f>
        <v/>
      </c>
      <c r="AA28" s="5" t="n"/>
      <c r="AB28" s="10">
        <f>IF($B28="","",IFERROR(MATCH($B28,기본자료!$B$2:$B$501,0),IFERROR(MATCH($B28&amp;"",기본자료!$B$2:$B$501,0),IFERROR(MATCH(VALUE($B28),기본자료!$B$2:$B$501,0),""))))</f>
        <v/>
      </c>
      <c r="AC28" s="10">
        <f>IF($B28="","",IFERROR(MATCH($B28,인턴근무계획!$D$3:$D$202,0),IFERROR(MATCH($B28&amp;"",인턴근무계획!$D$3:$D$202,0),IFERROR(MATCH(VALUE($B28),인턴근무계획!$D$3:$D$202,0),""))))</f>
        <v/>
      </c>
      <c r="AD28" s="10">
        <f>IF(OR($AC28="",인턴현황!$G$3=""),"",INDEX(인턴근무계획!$M$3:$R$202,$AC28,인턴현황!$G$3)&amp;"")</f>
        <v/>
      </c>
      <c r="AE28" s="10">
        <f>IF($B28="","",IF($M28&lt;&gt;"",$M28,IF($AF28&lt;&gt;"",IF(LEFT(INDEX(파견수련계획!$R$4:$R$203,$AF28),1)&lt;&gt;"⚠",INDEX(파견수련계획!$R$4:$R$203,$AF28),IF($H28="","",IF(RIGHT($H28,2)="병원",$H28,$H28&amp;"병원"))),IF($H28="","",IF(RIGHT($H28,2)="병원",$H28,$H28&amp;"병원")))))</f>
        <v/>
      </c>
      <c r="AF28" s="10">
        <f>IF(OR($B28="",TRIM($J28&amp;"")=""),"",IFERROR(MATCH(TRIM($J28&amp;"")&amp;"|파견중",파견수련계획!$Y$4:$Y$203,0),IFERROR(MATCH(TRIM($J28&amp;"")&amp;"|파견예정",파견수련계획!$Y$4:$Y$203,0),IFERROR(MATCH(TRIM($J28&amp;"")&amp;"|파견종료",파견수련계획!$Y$4:$Y$203,0),""))))</f>
        <v/>
      </c>
      <c r="AG28" s="10">
        <f>IF($B28="","",IF(AND(IF(OR($AC28="",인턴현황!$K$2=""),"",INDEX(인턴근무계획!$M$3:$R$202,$AC28,인턴현황!$K$2)&amp;"")&lt;&gt;"",LEFT(IF(OR($AC28="",인턴현황!$K$2=""),"",INDEX(인턴근무계획!$M$3:$R$202,$AC28,인턴현황!$K$2)&amp;""),1)&lt;&gt;"⚠"),LEFT(IF(OR($AC28="",인턴현황!$K$2=""),"",INDEX(인턴근무계획!$M$3:$R$202,$AC28,인턴현황!$K$2)&amp;""),FIND(" ",IF(OR($AC28="",인턴현황!$K$2=""),"",INDEX(인턴근무계획!$M$3:$R$202,$AC28,인턴현황!$K$2)&amp;""))-1),$AE28))</f>
        <v/>
      </c>
      <c r="AH28" s="17">
        <f>IF($B28="","",IF(TRIM($J28&amp;"")="",0,SUMPRODUCT((파견수련계획!$Q$4:$Q$203=TRIM($J28&amp;""))*(파견수련계획!$S$4:$S$203="서울병원")*파견수련계획!$W$4:$W$203))+IF($AG28="서울병원",MAX(0,DAY(EOMONTH(요약!$B$3,0))-N($X28)),0))</f>
        <v/>
      </c>
      <c r="AI28" s="17">
        <f>IF($B28="","",IF(TRIM($J28&amp;"")="",0,SUMPRODUCT((파견수련계획!$Q$4:$Q$203=TRIM($J28&amp;""))*(파견수련계획!$S$4:$S$203="구리병원")*파견수련계획!$W$4:$W$203))+IF($AG28="구리병원",MAX(0,DAY(EOMONTH(요약!$B$3,0))-N($X28)),0))</f>
        <v/>
      </c>
      <c r="AJ28" s="10">
        <f>IF(OR($B28="",TRIM($J28&amp;"")=""),"",IFERROR(MATCH(TRIM($J28&amp;"")&amp;"|월",파견수련계획!$Z$4:$Z$203,0),""))</f>
        <v/>
      </c>
      <c r="AK28" s="10">
        <f>IF(OR($B28="",TRIM($J28&amp;"")=""),"",IFERROR(MATCH(TRIM($J28&amp;"")&amp;"|다기관",파견수련계획!$AE$4:$AE$203,0),""))</f>
        <v/>
      </c>
      <c r="AL28" s="10">
        <f>IF($AK28="","","다기관 "&amp;TEXT(INDEX(파견수련계획!$AB$4:$AB$203,$AK28),"yyyy-mm-dd")&amp;"~"&amp;IF(ISNUMBER(INDEX(파견수련계획!$AC$4:$AC$203,$AK28)),TEXT(INDEX(파견수련계획!$AC$4:$AC$203,$AK28),"yyyy-mm-dd"),""))</f>
        <v/>
      </c>
    </row>
    <row r="29">
      <c r="A29" s="10">
        <f>IF(B29="","",ROW()-1)</f>
        <v/>
      </c>
      <c r="B29" s="18" t="n"/>
      <c r="C29" s="10">
        <f>IF($AB29="","",IF(INDEX(기본자료!$C$2:$C$501,$AB29)="","",INDEX(기본자료!$C$2:$C$501,$AB29)))</f>
        <v/>
      </c>
      <c r="D29" s="10">
        <f>IF($AB29="","",IF(INDEX(기본자료!$J$2:$J$501,$AB29)="","",INDEX(기본자료!$J$2:$J$501,$AB29)))</f>
        <v/>
      </c>
      <c r="E29" s="11">
        <f>IF($AB29="","",IF(INDEX(기본자료!$K$2:$K$501,$AB29)="","",IF(NOT(ISNUMBER(INDEX(기본자료!$K$2:$K$501,$AB29))),INDEX(기본자료!$K$2:$K$501,$AB29),IF(INDEX(기본자료!$K$2:$K$501,$AB29)&lt;1000000,INDEX(기본자료!$K$2:$K$501,$AB29),IF(AND(INDEX(기본자료!$K$2:$K$501,$AB29)&gt;=10000101,INT(MOD(INDEX(기본자료!$K$2:$K$501,$AB29),10000)/100)&gt;=1,INT(MOD(INDEX(기본자료!$K$2:$K$501,$AB29),10000)/100)&lt;=12,MOD(INDEX(기본자료!$K$2:$K$501,$AB29),100)&gt;=1,MOD(INDEX(기본자료!$K$2:$K$501,$AB29),100)&lt;=31),DATE(INT(INDEX(기본자료!$K$2:$K$501,$AB29)/10000),INT(MOD(INDEX(기본자료!$K$2:$K$501,$AB29),10000)/100),MOD(INDEX(기본자료!$K$2:$K$501,$AB29),100)),INDEX(기본자료!$K$2:$K$501,$AB29)&amp;"")))))</f>
        <v/>
      </c>
      <c r="F29" s="10">
        <f>IF($AB29="","",IF(INDEX(기본자료!$D$2:$D$501,$AB29)="","",INDEX(기본자료!$D$2:$D$501,$AB29)))</f>
        <v/>
      </c>
      <c r="G29" s="10">
        <f>IF($AB29="","",IF(INDEX(기본자료!$E$2:$E$501,$AB29)="","",INDEX(기본자료!$E$2:$E$501,$AB29)))</f>
        <v/>
      </c>
      <c r="H29" s="10">
        <f>IF($AB29="","",IF(INDEX(기본자료!$F$2:$F$501,$AB29)="","",INDEX(기본자료!$F$2:$F$501,$AB29)))</f>
        <v/>
      </c>
      <c r="I29" s="11">
        <f>IF($AB29="","",IF(INDEX(기본자료!$G$2:$G$501,$AB29)="","",IF(NOT(ISNUMBER(INDEX(기본자료!$G$2:$G$501,$AB29))),INDEX(기본자료!$G$2:$G$501,$AB29),IF(INDEX(기본자료!$G$2:$G$501,$AB29)&lt;1000000,INDEX(기본자료!$G$2:$G$501,$AB29),IF(AND(INDEX(기본자료!$G$2:$G$501,$AB29)&gt;=10000101,INT(MOD(INDEX(기본자료!$G$2:$G$501,$AB29),10000)/100)&gt;=1,INT(MOD(INDEX(기본자료!$G$2:$G$501,$AB29),10000)/100)&lt;=12,MOD(INDEX(기본자료!$G$2:$G$501,$AB29),100)&gt;=1,MOD(INDEX(기본자료!$G$2:$G$501,$AB29),100)&lt;=31),DATE(INT(INDEX(기본자료!$G$2:$G$501,$AB29)/10000),INT(MOD(INDEX(기본자료!$G$2:$G$501,$AB29),10000)/100),MOD(INDEX(기본자료!$G$2:$G$501,$AB29),100)),INDEX(기본자료!$G$2:$G$501,$AB29)&amp;"")))))</f>
        <v/>
      </c>
      <c r="J29" s="10">
        <f>IF($AB29="","",IF(INDEX(기본자료!$H$2:$H$501,$AB29)="","",INDEX(기본자료!$H$2:$H$501,$AB29)))</f>
        <v/>
      </c>
      <c r="K29" s="10">
        <f>IF($AB29="","",IF(INDEX(기본자료!$I$2:$I$501,$AB29)="","",INDEX(기본자료!$I$2:$I$501,$AB29)))</f>
        <v/>
      </c>
      <c r="L29" s="10">
        <f>IF($AB29="","",IF(INDEX(기본자료!$A$2:$A$501,$AB29)="","",INDEX(기본자료!$A$2:$A$501,$AB29)))</f>
        <v/>
      </c>
      <c r="M29" s="15" t="n"/>
      <c r="N29" s="10">
        <f>IF($B29="","",IF(AND($U29="파견중",$Q29&lt;&gt;""),$Q29,IF(AND($AD29&lt;&gt;"",LEFT($AD29,1)&lt;&gt;"⚠"),LEFT($AD29,FIND(" ",$AD29)-1),IF($H29="","",IF(RIGHT($H29,2)="병원",$H29,$H29&amp;"병원")))))</f>
        <v/>
      </c>
      <c r="O29" s="10">
        <f>IF($B29="","",IF(AND($U29="파견중",$Q29&lt;&gt;""),IF($R29&lt;&gt;"",$R29,"파견과 미입력"),IF(AND($AD29&lt;&gt;"",LEFT($AD29,1)&lt;&gt;"⚠"),MID($AD29,FIND(" ",$AD29)+1,60),IF($F29="","",IF($F29="인턴","수련교육부(인턴)",$F29)))))</f>
        <v/>
      </c>
      <c r="P29" s="10">
        <f>IF($B29="","",IF($AK29&lt;&gt;"",IF(AND(TODAY()&gt;=INDEX(파견수련계획!$AB$4:$AB$203,$AK29),OR(NOT(ISNUMBER(INDEX(파견수련계획!$AC$4:$AC$203,$AK29))),TODAY()&lt;=INDEX(파견수련계획!$AC$4:$AC$203,$AK29))),"다기관",IF($AF29="","",INDEX(파견수련계획!$T$4:$T$203,$AF29))),IF($AF29="","",INDEX(파견수련계획!$T$4:$T$203,$AF29))))</f>
        <v/>
      </c>
      <c r="Q29" s="10">
        <f>IF($AF29="","",INDEX(파견수련계획!$S$4:$S$203,$AF29))</f>
        <v/>
      </c>
      <c r="R29" s="10">
        <f>IF($AF29="","",INDEX(파견수련계획!$U$4:$U$203,$AF29))</f>
        <v/>
      </c>
      <c r="S29" s="11">
        <f>IF($AF29="","",IF(INDEX(파견수련계획!$H$4:$H$203,$AF29)="","",INDEX(파견수련계획!$H$4:$H$203,$AF29)))</f>
        <v/>
      </c>
      <c r="T29" s="11">
        <f>IF($AF29="","",IF(INDEX(파견수련계획!$I$4:$I$203,$AF29)="","",INDEX(파견수련계획!$I$4:$I$203,$AF29)))</f>
        <v/>
      </c>
      <c r="U29" s="10">
        <f>IF($AF29="","",INDEX(파견수련계획!$X$4:$X$203,$AF29))</f>
        <v/>
      </c>
      <c r="V29" s="17">
        <f>IF($AF29="","",INDEX(파견수련계획!$V$4:$V$203,$AF29))</f>
        <v/>
      </c>
      <c r="W29" s="17">
        <f>IF(AND($U29="파견중",$T29&lt;&gt;""),$T29-TODAY(),"")</f>
        <v/>
      </c>
      <c r="X29" s="17">
        <f>IF(OR($B29="",TRIM($J29&amp;"")=""),"",SUMPRODUCT((파견수련계획!$Q$4:$Q$203=TRIM($J29&amp;""))*파견수련계획!$W$4:$W$203))</f>
        <v/>
      </c>
      <c r="Y29" s="10">
        <f>IF($B29="","",IF($AG29="","",IF(IF(TRIM($J29&amp;"")="",0,SUMPRODUCT((파견수련계획!$Q$4:$Q$203=TRIM($J29&amp;""))*파견수련계획!$AD$4:$AD$203))&gt;0,$AE29,IF(N($X29)&lt;=0,$AG29,IF($AH29+$AI29=DAY(EOMONTH(요약!$B$3,0)),IF(AND($AH29&gt;=요약!$E$3,$AI29&lt;요약!$E$3),"서울병원",IF(AND($AI29&gt;=요약!$E$3,$AH29&lt;요약!$E$3),"구리병원","⚠15일 판정불가(서울 "&amp;$AH29&amp;"일/구리 "&amp;$AI29&amp;"일)")),IF($AJ29="",$AE29,IF(INDEX(파견수련계획!$T$4:$T$203,$AJ29)="통합수련",INDEX(파견수련계획!$S$4:$S$203,$AJ29),$AE29)))))))</f>
        <v/>
      </c>
      <c r="Z29" s="19">
        <f>IF($B29="","",IF($AB29="","기본자료에 없는 사번",IF(COUNTIF($B$2:$B$201,$B29)&gt;1,"중복 사번",IF($AE29="","소속(입사장소) 입력",IF(IF(TRIM($J29&amp;"")="",0,SUMPRODUCT((파견수련계획!$Q$4:$Q$203=TRIM($J29&amp;""))*(파견수련계획!$AA$4:$AA$203&lt;&gt;"")))&gt;0,"파견수련계획 입력오류 확인",IF(LEFT($Y29,1)="⚠","서울·구리 15일 판정 불가(양쪽 모두 이상/미만)",IF(IF($AC29="",0,N(INDEX(인턴근무계획!$T$3:$T$202,$AC29)))&gt;0,"인턴계획 입력오류 확인",IF(AND($AC29&lt;&gt;"",$U29&lt;&gt;"파견중",$N29&lt;&gt;$AE29),"인턴 타지역 근무: 파견 여부 확인","정상"))))))))</f>
        <v/>
      </c>
      <c r="AA29" s="5" t="n"/>
      <c r="AB29" s="10">
        <f>IF($B29="","",IFERROR(MATCH($B29,기본자료!$B$2:$B$501,0),IFERROR(MATCH($B29&amp;"",기본자료!$B$2:$B$501,0),IFERROR(MATCH(VALUE($B29),기본자료!$B$2:$B$501,0),""))))</f>
        <v/>
      </c>
      <c r="AC29" s="10">
        <f>IF($B29="","",IFERROR(MATCH($B29,인턴근무계획!$D$3:$D$202,0),IFERROR(MATCH($B29&amp;"",인턴근무계획!$D$3:$D$202,0),IFERROR(MATCH(VALUE($B29),인턴근무계획!$D$3:$D$202,0),""))))</f>
        <v/>
      </c>
      <c r="AD29" s="10">
        <f>IF(OR($AC29="",인턴현황!$G$3=""),"",INDEX(인턴근무계획!$M$3:$R$202,$AC29,인턴현황!$G$3)&amp;"")</f>
        <v/>
      </c>
      <c r="AE29" s="10">
        <f>IF($B29="","",IF($M29&lt;&gt;"",$M29,IF($AF29&lt;&gt;"",IF(LEFT(INDEX(파견수련계획!$R$4:$R$203,$AF29),1)&lt;&gt;"⚠",INDEX(파견수련계획!$R$4:$R$203,$AF29),IF($H29="","",IF(RIGHT($H29,2)="병원",$H29,$H29&amp;"병원"))),IF($H29="","",IF(RIGHT($H29,2)="병원",$H29,$H29&amp;"병원")))))</f>
        <v/>
      </c>
      <c r="AF29" s="10">
        <f>IF(OR($B29="",TRIM($J29&amp;"")=""),"",IFERROR(MATCH(TRIM($J29&amp;"")&amp;"|파견중",파견수련계획!$Y$4:$Y$203,0),IFERROR(MATCH(TRIM($J29&amp;"")&amp;"|파견예정",파견수련계획!$Y$4:$Y$203,0),IFERROR(MATCH(TRIM($J29&amp;"")&amp;"|파견종료",파견수련계획!$Y$4:$Y$203,0),""))))</f>
        <v/>
      </c>
      <c r="AG29" s="10">
        <f>IF($B29="","",IF(AND(IF(OR($AC29="",인턴현황!$K$2=""),"",INDEX(인턴근무계획!$M$3:$R$202,$AC29,인턴현황!$K$2)&amp;"")&lt;&gt;"",LEFT(IF(OR($AC29="",인턴현황!$K$2=""),"",INDEX(인턴근무계획!$M$3:$R$202,$AC29,인턴현황!$K$2)&amp;""),1)&lt;&gt;"⚠"),LEFT(IF(OR($AC29="",인턴현황!$K$2=""),"",INDEX(인턴근무계획!$M$3:$R$202,$AC29,인턴현황!$K$2)&amp;""),FIND(" ",IF(OR($AC29="",인턴현황!$K$2=""),"",INDEX(인턴근무계획!$M$3:$R$202,$AC29,인턴현황!$K$2)&amp;""))-1),$AE29))</f>
        <v/>
      </c>
      <c r="AH29" s="17">
        <f>IF($B29="","",IF(TRIM($J29&amp;"")="",0,SUMPRODUCT((파견수련계획!$Q$4:$Q$203=TRIM($J29&amp;""))*(파견수련계획!$S$4:$S$203="서울병원")*파견수련계획!$W$4:$W$203))+IF($AG29="서울병원",MAX(0,DAY(EOMONTH(요약!$B$3,0))-N($X29)),0))</f>
        <v/>
      </c>
      <c r="AI29" s="17">
        <f>IF($B29="","",IF(TRIM($J29&amp;"")="",0,SUMPRODUCT((파견수련계획!$Q$4:$Q$203=TRIM($J29&amp;""))*(파견수련계획!$S$4:$S$203="구리병원")*파견수련계획!$W$4:$W$203))+IF($AG29="구리병원",MAX(0,DAY(EOMONTH(요약!$B$3,0))-N($X29)),0))</f>
        <v/>
      </c>
      <c r="AJ29" s="10">
        <f>IF(OR($B29="",TRIM($J29&amp;"")=""),"",IFERROR(MATCH(TRIM($J29&amp;"")&amp;"|월",파견수련계획!$Z$4:$Z$203,0),""))</f>
        <v/>
      </c>
      <c r="AK29" s="10">
        <f>IF(OR($B29="",TRIM($J29&amp;"")=""),"",IFERROR(MATCH(TRIM($J29&amp;"")&amp;"|다기관",파견수련계획!$AE$4:$AE$203,0),""))</f>
        <v/>
      </c>
      <c r="AL29" s="10">
        <f>IF($AK29="","","다기관 "&amp;TEXT(INDEX(파견수련계획!$AB$4:$AB$203,$AK29),"yyyy-mm-dd")&amp;"~"&amp;IF(ISNUMBER(INDEX(파견수련계획!$AC$4:$AC$203,$AK29)),TEXT(INDEX(파견수련계획!$AC$4:$AC$203,$AK29),"yyyy-mm-dd"),""))</f>
        <v/>
      </c>
    </row>
    <row r="30">
      <c r="A30" s="10">
        <f>IF(B30="","",ROW()-1)</f>
        <v/>
      </c>
      <c r="B30" s="18" t="n"/>
      <c r="C30" s="10">
        <f>IF($AB30="","",IF(INDEX(기본자료!$C$2:$C$501,$AB30)="","",INDEX(기본자료!$C$2:$C$501,$AB30)))</f>
        <v/>
      </c>
      <c r="D30" s="10">
        <f>IF($AB30="","",IF(INDEX(기본자료!$J$2:$J$501,$AB30)="","",INDEX(기본자료!$J$2:$J$501,$AB30)))</f>
        <v/>
      </c>
      <c r="E30" s="11">
        <f>IF($AB30="","",IF(INDEX(기본자료!$K$2:$K$501,$AB30)="","",IF(NOT(ISNUMBER(INDEX(기본자료!$K$2:$K$501,$AB30))),INDEX(기본자료!$K$2:$K$501,$AB30),IF(INDEX(기본자료!$K$2:$K$501,$AB30)&lt;1000000,INDEX(기본자료!$K$2:$K$501,$AB30),IF(AND(INDEX(기본자료!$K$2:$K$501,$AB30)&gt;=10000101,INT(MOD(INDEX(기본자료!$K$2:$K$501,$AB30),10000)/100)&gt;=1,INT(MOD(INDEX(기본자료!$K$2:$K$501,$AB30),10000)/100)&lt;=12,MOD(INDEX(기본자료!$K$2:$K$501,$AB30),100)&gt;=1,MOD(INDEX(기본자료!$K$2:$K$501,$AB30),100)&lt;=31),DATE(INT(INDEX(기본자료!$K$2:$K$501,$AB30)/10000),INT(MOD(INDEX(기본자료!$K$2:$K$501,$AB30),10000)/100),MOD(INDEX(기본자료!$K$2:$K$501,$AB30),100)),INDEX(기본자료!$K$2:$K$501,$AB30)&amp;"")))))</f>
        <v/>
      </c>
      <c r="F30" s="10">
        <f>IF($AB30="","",IF(INDEX(기본자료!$D$2:$D$501,$AB30)="","",INDEX(기본자료!$D$2:$D$501,$AB30)))</f>
        <v/>
      </c>
      <c r="G30" s="10">
        <f>IF($AB30="","",IF(INDEX(기본자료!$E$2:$E$501,$AB30)="","",INDEX(기본자료!$E$2:$E$501,$AB30)))</f>
        <v/>
      </c>
      <c r="H30" s="10">
        <f>IF($AB30="","",IF(INDEX(기본자료!$F$2:$F$501,$AB30)="","",INDEX(기본자료!$F$2:$F$501,$AB30)))</f>
        <v/>
      </c>
      <c r="I30" s="11">
        <f>IF($AB30="","",IF(INDEX(기본자료!$G$2:$G$501,$AB30)="","",IF(NOT(ISNUMBER(INDEX(기본자료!$G$2:$G$501,$AB30))),INDEX(기본자료!$G$2:$G$501,$AB30),IF(INDEX(기본자료!$G$2:$G$501,$AB30)&lt;1000000,INDEX(기본자료!$G$2:$G$501,$AB30),IF(AND(INDEX(기본자료!$G$2:$G$501,$AB30)&gt;=10000101,INT(MOD(INDEX(기본자료!$G$2:$G$501,$AB30),10000)/100)&gt;=1,INT(MOD(INDEX(기본자료!$G$2:$G$501,$AB30),10000)/100)&lt;=12,MOD(INDEX(기본자료!$G$2:$G$501,$AB30),100)&gt;=1,MOD(INDEX(기본자료!$G$2:$G$501,$AB30),100)&lt;=31),DATE(INT(INDEX(기본자료!$G$2:$G$501,$AB30)/10000),INT(MOD(INDEX(기본자료!$G$2:$G$501,$AB30),10000)/100),MOD(INDEX(기본자료!$G$2:$G$501,$AB30),100)),INDEX(기본자료!$G$2:$G$501,$AB30)&amp;"")))))</f>
        <v/>
      </c>
      <c r="J30" s="10">
        <f>IF($AB30="","",IF(INDEX(기본자료!$H$2:$H$501,$AB30)="","",INDEX(기본자료!$H$2:$H$501,$AB30)))</f>
        <v/>
      </c>
      <c r="K30" s="10">
        <f>IF($AB30="","",IF(INDEX(기본자료!$I$2:$I$501,$AB30)="","",INDEX(기본자료!$I$2:$I$501,$AB30)))</f>
        <v/>
      </c>
      <c r="L30" s="10">
        <f>IF($AB30="","",IF(INDEX(기본자료!$A$2:$A$501,$AB30)="","",INDEX(기본자료!$A$2:$A$501,$AB30)))</f>
        <v/>
      </c>
      <c r="M30" s="15" t="n"/>
      <c r="N30" s="10">
        <f>IF($B30="","",IF(AND($U30="파견중",$Q30&lt;&gt;""),$Q30,IF(AND($AD30&lt;&gt;"",LEFT($AD30,1)&lt;&gt;"⚠"),LEFT($AD30,FIND(" ",$AD30)-1),IF($H30="","",IF(RIGHT($H30,2)="병원",$H30,$H30&amp;"병원")))))</f>
        <v/>
      </c>
      <c r="O30" s="10">
        <f>IF($B30="","",IF(AND($U30="파견중",$Q30&lt;&gt;""),IF($R30&lt;&gt;"",$R30,"파견과 미입력"),IF(AND($AD30&lt;&gt;"",LEFT($AD30,1)&lt;&gt;"⚠"),MID($AD30,FIND(" ",$AD30)+1,60),IF($F30="","",IF($F30="인턴","수련교육부(인턴)",$F30)))))</f>
        <v/>
      </c>
      <c r="P30" s="10">
        <f>IF($B30="","",IF($AK30&lt;&gt;"",IF(AND(TODAY()&gt;=INDEX(파견수련계획!$AB$4:$AB$203,$AK30),OR(NOT(ISNUMBER(INDEX(파견수련계획!$AC$4:$AC$203,$AK30))),TODAY()&lt;=INDEX(파견수련계획!$AC$4:$AC$203,$AK30))),"다기관",IF($AF30="","",INDEX(파견수련계획!$T$4:$T$203,$AF30))),IF($AF30="","",INDEX(파견수련계획!$T$4:$T$203,$AF30))))</f>
        <v/>
      </c>
      <c r="Q30" s="10">
        <f>IF($AF30="","",INDEX(파견수련계획!$S$4:$S$203,$AF30))</f>
        <v/>
      </c>
      <c r="R30" s="10">
        <f>IF($AF30="","",INDEX(파견수련계획!$U$4:$U$203,$AF30))</f>
        <v/>
      </c>
      <c r="S30" s="11">
        <f>IF($AF30="","",IF(INDEX(파견수련계획!$H$4:$H$203,$AF30)="","",INDEX(파견수련계획!$H$4:$H$203,$AF30)))</f>
        <v/>
      </c>
      <c r="T30" s="11">
        <f>IF($AF30="","",IF(INDEX(파견수련계획!$I$4:$I$203,$AF30)="","",INDEX(파견수련계획!$I$4:$I$203,$AF30)))</f>
        <v/>
      </c>
      <c r="U30" s="10">
        <f>IF($AF30="","",INDEX(파견수련계획!$X$4:$X$203,$AF30))</f>
        <v/>
      </c>
      <c r="V30" s="17">
        <f>IF($AF30="","",INDEX(파견수련계획!$V$4:$V$203,$AF30))</f>
        <v/>
      </c>
      <c r="W30" s="17">
        <f>IF(AND($U30="파견중",$T30&lt;&gt;""),$T30-TODAY(),"")</f>
        <v/>
      </c>
      <c r="X30" s="17">
        <f>IF(OR($B30="",TRIM($J30&amp;"")=""),"",SUMPRODUCT((파견수련계획!$Q$4:$Q$203=TRIM($J30&amp;""))*파견수련계획!$W$4:$W$203))</f>
        <v/>
      </c>
      <c r="Y30" s="10">
        <f>IF($B30="","",IF($AG30="","",IF(IF(TRIM($J30&amp;"")="",0,SUMPRODUCT((파견수련계획!$Q$4:$Q$203=TRIM($J30&amp;""))*파견수련계획!$AD$4:$AD$203))&gt;0,$AE30,IF(N($X30)&lt;=0,$AG30,IF($AH30+$AI30=DAY(EOMONTH(요약!$B$3,0)),IF(AND($AH30&gt;=요약!$E$3,$AI30&lt;요약!$E$3),"서울병원",IF(AND($AI30&gt;=요약!$E$3,$AH30&lt;요약!$E$3),"구리병원","⚠15일 판정불가(서울 "&amp;$AH30&amp;"일/구리 "&amp;$AI30&amp;"일)")),IF($AJ30="",$AE30,IF(INDEX(파견수련계획!$T$4:$T$203,$AJ30)="통합수련",INDEX(파견수련계획!$S$4:$S$203,$AJ30),$AE30)))))))</f>
        <v/>
      </c>
      <c r="Z30" s="19">
        <f>IF($B30="","",IF($AB30="","기본자료에 없는 사번",IF(COUNTIF($B$2:$B$201,$B30)&gt;1,"중복 사번",IF($AE30="","소속(입사장소) 입력",IF(IF(TRIM($J30&amp;"")="",0,SUMPRODUCT((파견수련계획!$Q$4:$Q$203=TRIM($J30&amp;""))*(파견수련계획!$AA$4:$AA$203&lt;&gt;"")))&gt;0,"파견수련계획 입력오류 확인",IF(LEFT($Y30,1)="⚠","서울·구리 15일 판정 불가(양쪽 모두 이상/미만)",IF(IF($AC30="",0,N(INDEX(인턴근무계획!$T$3:$T$202,$AC30)))&gt;0,"인턴계획 입력오류 확인",IF(AND($AC30&lt;&gt;"",$U30&lt;&gt;"파견중",$N30&lt;&gt;$AE30),"인턴 타지역 근무: 파견 여부 확인","정상"))))))))</f>
        <v/>
      </c>
      <c r="AA30" s="5" t="n"/>
      <c r="AB30" s="10">
        <f>IF($B30="","",IFERROR(MATCH($B30,기본자료!$B$2:$B$501,0),IFERROR(MATCH($B30&amp;"",기본자료!$B$2:$B$501,0),IFERROR(MATCH(VALUE($B30),기본자료!$B$2:$B$501,0),""))))</f>
        <v/>
      </c>
      <c r="AC30" s="10">
        <f>IF($B30="","",IFERROR(MATCH($B30,인턴근무계획!$D$3:$D$202,0),IFERROR(MATCH($B30&amp;"",인턴근무계획!$D$3:$D$202,0),IFERROR(MATCH(VALUE($B30),인턴근무계획!$D$3:$D$202,0),""))))</f>
        <v/>
      </c>
      <c r="AD30" s="10">
        <f>IF(OR($AC30="",인턴현황!$G$3=""),"",INDEX(인턴근무계획!$M$3:$R$202,$AC30,인턴현황!$G$3)&amp;"")</f>
        <v/>
      </c>
      <c r="AE30" s="10">
        <f>IF($B30="","",IF($M30&lt;&gt;"",$M30,IF($AF30&lt;&gt;"",IF(LEFT(INDEX(파견수련계획!$R$4:$R$203,$AF30),1)&lt;&gt;"⚠",INDEX(파견수련계획!$R$4:$R$203,$AF30),IF($H30="","",IF(RIGHT($H30,2)="병원",$H30,$H30&amp;"병원"))),IF($H30="","",IF(RIGHT($H30,2)="병원",$H30,$H30&amp;"병원")))))</f>
        <v/>
      </c>
      <c r="AF30" s="10">
        <f>IF(OR($B30="",TRIM($J30&amp;"")=""),"",IFERROR(MATCH(TRIM($J30&amp;"")&amp;"|파견중",파견수련계획!$Y$4:$Y$203,0),IFERROR(MATCH(TRIM($J30&amp;"")&amp;"|파견예정",파견수련계획!$Y$4:$Y$203,0),IFERROR(MATCH(TRIM($J30&amp;"")&amp;"|파견종료",파견수련계획!$Y$4:$Y$203,0),""))))</f>
        <v/>
      </c>
      <c r="AG30" s="10">
        <f>IF($B30="","",IF(AND(IF(OR($AC30="",인턴현황!$K$2=""),"",INDEX(인턴근무계획!$M$3:$R$202,$AC30,인턴현황!$K$2)&amp;"")&lt;&gt;"",LEFT(IF(OR($AC30="",인턴현황!$K$2=""),"",INDEX(인턴근무계획!$M$3:$R$202,$AC30,인턴현황!$K$2)&amp;""),1)&lt;&gt;"⚠"),LEFT(IF(OR($AC30="",인턴현황!$K$2=""),"",INDEX(인턴근무계획!$M$3:$R$202,$AC30,인턴현황!$K$2)&amp;""),FIND(" ",IF(OR($AC30="",인턴현황!$K$2=""),"",INDEX(인턴근무계획!$M$3:$R$202,$AC30,인턴현황!$K$2)&amp;""))-1),$AE30))</f>
        <v/>
      </c>
      <c r="AH30" s="17">
        <f>IF($B30="","",IF(TRIM($J30&amp;"")="",0,SUMPRODUCT((파견수련계획!$Q$4:$Q$203=TRIM($J30&amp;""))*(파견수련계획!$S$4:$S$203="서울병원")*파견수련계획!$W$4:$W$203))+IF($AG30="서울병원",MAX(0,DAY(EOMONTH(요약!$B$3,0))-N($X30)),0))</f>
        <v/>
      </c>
      <c r="AI30" s="17">
        <f>IF($B30="","",IF(TRIM($J30&amp;"")="",0,SUMPRODUCT((파견수련계획!$Q$4:$Q$203=TRIM($J30&amp;""))*(파견수련계획!$S$4:$S$203="구리병원")*파견수련계획!$W$4:$W$203))+IF($AG30="구리병원",MAX(0,DAY(EOMONTH(요약!$B$3,0))-N($X30)),0))</f>
        <v/>
      </c>
      <c r="AJ30" s="10">
        <f>IF(OR($B30="",TRIM($J30&amp;"")=""),"",IFERROR(MATCH(TRIM($J30&amp;"")&amp;"|월",파견수련계획!$Z$4:$Z$203,0),""))</f>
        <v/>
      </c>
      <c r="AK30" s="10">
        <f>IF(OR($B30="",TRIM($J30&amp;"")=""),"",IFERROR(MATCH(TRIM($J30&amp;"")&amp;"|다기관",파견수련계획!$AE$4:$AE$203,0),""))</f>
        <v/>
      </c>
      <c r="AL30" s="10">
        <f>IF($AK30="","","다기관 "&amp;TEXT(INDEX(파견수련계획!$AB$4:$AB$203,$AK30),"yyyy-mm-dd")&amp;"~"&amp;IF(ISNUMBER(INDEX(파견수련계획!$AC$4:$AC$203,$AK30)),TEXT(INDEX(파견수련계획!$AC$4:$AC$203,$AK30),"yyyy-mm-dd"),""))</f>
        <v/>
      </c>
    </row>
    <row r="31">
      <c r="A31" s="10">
        <f>IF(B31="","",ROW()-1)</f>
        <v/>
      </c>
      <c r="B31" s="18" t="n"/>
      <c r="C31" s="10">
        <f>IF($AB31="","",IF(INDEX(기본자료!$C$2:$C$501,$AB31)="","",INDEX(기본자료!$C$2:$C$501,$AB31)))</f>
        <v/>
      </c>
      <c r="D31" s="10">
        <f>IF($AB31="","",IF(INDEX(기본자료!$J$2:$J$501,$AB31)="","",INDEX(기본자료!$J$2:$J$501,$AB31)))</f>
        <v/>
      </c>
      <c r="E31" s="11">
        <f>IF($AB31="","",IF(INDEX(기본자료!$K$2:$K$501,$AB31)="","",IF(NOT(ISNUMBER(INDEX(기본자료!$K$2:$K$501,$AB31))),INDEX(기본자료!$K$2:$K$501,$AB31),IF(INDEX(기본자료!$K$2:$K$501,$AB31)&lt;1000000,INDEX(기본자료!$K$2:$K$501,$AB31),IF(AND(INDEX(기본자료!$K$2:$K$501,$AB31)&gt;=10000101,INT(MOD(INDEX(기본자료!$K$2:$K$501,$AB31),10000)/100)&gt;=1,INT(MOD(INDEX(기본자료!$K$2:$K$501,$AB31),10000)/100)&lt;=12,MOD(INDEX(기본자료!$K$2:$K$501,$AB31),100)&gt;=1,MOD(INDEX(기본자료!$K$2:$K$501,$AB31),100)&lt;=31),DATE(INT(INDEX(기본자료!$K$2:$K$501,$AB31)/10000),INT(MOD(INDEX(기본자료!$K$2:$K$501,$AB31),10000)/100),MOD(INDEX(기본자료!$K$2:$K$501,$AB31),100)),INDEX(기본자료!$K$2:$K$501,$AB31)&amp;"")))))</f>
        <v/>
      </c>
      <c r="F31" s="10">
        <f>IF($AB31="","",IF(INDEX(기본자료!$D$2:$D$501,$AB31)="","",INDEX(기본자료!$D$2:$D$501,$AB31)))</f>
        <v/>
      </c>
      <c r="G31" s="10">
        <f>IF($AB31="","",IF(INDEX(기본자료!$E$2:$E$501,$AB31)="","",INDEX(기본자료!$E$2:$E$501,$AB31)))</f>
        <v/>
      </c>
      <c r="H31" s="10">
        <f>IF($AB31="","",IF(INDEX(기본자료!$F$2:$F$501,$AB31)="","",INDEX(기본자료!$F$2:$F$501,$AB31)))</f>
        <v/>
      </c>
      <c r="I31" s="11">
        <f>IF($AB31="","",IF(INDEX(기본자료!$G$2:$G$501,$AB31)="","",IF(NOT(ISNUMBER(INDEX(기본자료!$G$2:$G$501,$AB31))),INDEX(기본자료!$G$2:$G$501,$AB31),IF(INDEX(기본자료!$G$2:$G$501,$AB31)&lt;1000000,INDEX(기본자료!$G$2:$G$501,$AB31),IF(AND(INDEX(기본자료!$G$2:$G$501,$AB31)&gt;=10000101,INT(MOD(INDEX(기본자료!$G$2:$G$501,$AB31),10000)/100)&gt;=1,INT(MOD(INDEX(기본자료!$G$2:$G$501,$AB31),10000)/100)&lt;=12,MOD(INDEX(기본자료!$G$2:$G$501,$AB31),100)&gt;=1,MOD(INDEX(기본자료!$G$2:$G$501,$AB31),100)&lt;=31),DATE(INT(INDEX(기본자료!$G$2:$G$501,$AB31)/10000),INT(MOD(INDEX(기본자료!$G$2:$G$501,$AB31),10000)/100),MOD(INDEX(기본자료!$G$2:$G$501,$AB31),100)),INDEX(기본자료!$G$2:$G$501,$AB31)&amp;"")))))</f>
        <v/>
      </c>
      <c r="J31" s="10">
        <f>IF($AB31="","",IF(INDEX(기본자료!$H$2:$H$501,$AB31)="","",INDEX(기본자료!$H$2:$H$501,$AB31)))</f>
        <v/>
      </c>
      <c r="K31" s="10">
        <f>IF($AB31="","",IF(INDEX(기본자료!$I$2:$I$501,$AB31)="","",INDEX(기본자료!$I$2:$I$501,$AB31)))</f>
        <v/>
      </c>
      <c r="L31" s="10">
        <f>IF($AB31="","",IF(INDEX(기본자료!$A$2:$A$501,$AB31)="","",INDEX(기본자료!$A$2:$A$501,$AB31)))</f>
        <v/>
      </c>
      <c r="M31" s="15" t="n"/>
      <c r="N31" s="10">
        <f>IF($B31="","",IF(AND($U31="파견중",$Q31&lt;&gt;""),$Q31,IF(AND($AD31&lt;&gt;"",LEFT($AD31,1)&lt;&gt;"⚠"),LEFT($AD31,FIND(" ",$AD31)-1),IF($H31="","",IF(RIGHT($H31,2)="병원",$H31,$H31&amp;"병원")))))</f>
        <v/>
      </c>
      <c r="O31" s="10">
        <f>IF($B31="","",IF(AND($U31="파견중",$Q31&lt;&gt;""),IF($R31&lt;&gt;"",$R31,"파견과 미입력"),IF(AND($AD31&lt;&gt;"",LEFT($AD31,1)&lt;&gt;"⚠"),MID($AD31,FIND(" ",$AD31)+1,60),IF($F31="","",IF($F31="인턴","수련교육부(인턴)",$F31)))))</f>
        <v/>
      </c>
      <c r="P31" s="10">
        <f>IF($B31="","",IF($AK31&lt;&gt;"",IF(AND(TODAY()&gt;=INDEX(파견수련계획!$AB$4:$AB$203,$AK31),OR(NOT(ISNUMBER(INDEX(파견수련계획!$AC$4:$AC$203,$AK31))),TODAY()&lt;=INDEX(파견수련계획!$AC$4:$AC$203,$AK31))),"다기관",IF($AF31="","",INDEX(파견수련계획!$T$4:$T$203,$AF31))),IF($AF31="","",INDEX(파견수련계획!$T$4:$T$203,$AF31))))</f>
        <v/>
      </c>
      <c r="Q31" s="10">
        <f>IF($AF31="","",INDEX(파견수련계획!$S$4:$S$203,$AF31))</f>
        <v/>
      </c>
      <c r="R31" s="10">
        <f>IF($AF31="","",INDEX(파견수련계획!$U$4:$U$203,$AF31))</f>
        <v/>
      </c>
      <c r="S31" s="11">
        <f>IF($AF31="","",IF(INDEX(파견수련계획!$H$4:$H$203,$AF31)="","",INDEX(파견수련계획!$H$4:$H$203,$AF31)))</f>
        <v/>
      </c>
      <c r="T31" s="11">
        <f>IF($AF31="","",IF(INDEX(파견수련계획!$I$4:$I$203,$AF31)="","",INDEX(파견수련계획!$I$4:$I$203,$AF31)))</f>
        <v/>
      </c>
      <c r="U31" s="10">
        <f>IF($AF31="","",INDEX(파견수련계획!$X$4:$X$203,$AF31))</f>
        <v/>
      </c>
      <c r="V31" s="17">
        <f>IF($AF31="","",INDEX(파견수련계획!$V$4:$V$203,$AF31))</f>
        <v/>
      </c>
      <c r="W31" s="17">
        <f>IF(AND($U31="파견중",$T31&lt;&gt;""),$T31-TODAY(),"")</f>
        <v/>
      </c>
      <c r="X31" s="17">
        <f>IF(OR($B31="",TRIM($J31&amp;"")=""),"",SUMPRODUCT((파견수련계획!$Q$4:$Q$203=TRIM($J31&amp;""))*파견수련계획!$W$4:$W$203))</f>
        <v/>
      </c>
      <c r="Y31" s="10">
        <f>IF($B31="","",IF($AG31="","",IF(IF(TRIM($J31&amp;"")="",0,SUMPRODUCT((파견수련계획!$Q$4:$Q$203=TRIM($J31&amp;""))*파견수련계획!$AD$4:$AD$203))&gt;0,$AE31,IF(N($X31)&lt;=0,$AG31,IF($AH31+$AI31=DAY(EOMONTH(요약!$B$3,0)),IF(AND($AH31&gt;=요약!$E$3,$AI31&lt;요약!$E$3),"서울병원",IF(AND($AI31&gt;=요약!$E$3,$AH31&lt;요약!$E$3),"구리병원","⚠15일 판정불가(서울 "&amp;$AH31&amp;"일/구리 "&amp;$AI31&amp;"일)")),IF($AJ31="",$AE31,IF(INDEX(파견수련계획!$T$4:$T$203,$AJ31)="통합수련",INDEX(파견수련계획!$S$4:$S$203,$AJ31),$AE31)))))))</f>
        <v/>
      </c>
      <c r="Z31" s="19">
        <f>IF($B31="","",IF($AB31="","기본자료에 없는 사번",IF(COUNTIF($B$2:$B$201,$B31)&gt;1,"중복 사번",IF($AE31="","소속(입사장소) 입력",IF(IF(TRIM($J31&amp;"")="",0,SUMPRODUCT((파견수련계획!$Q$4:$Q$203=TRIM($J31&amp;""))*(파견수련계획!$AA$4:$AA$203&lt;&gt;"")))&gt;0,"파견수련계획 입력오류 확인",IF(LEFT($Y31,1)="⚠","서울·구리 15일 판정 불가(양쪽 모두 이상/미만)",IF(IF($AC31="",0,N(INDEX(인턴근무계획!$T$3:$T$202,$AC31)))&gt;0,"인턴계획 입력오류 확인",IF(AND($AC31&lt;&gt;"",$U31&lt;&gt;"파견중",$N31&lt;&gt;$AE31),"인턴 타지역 근무: 파견 여부 확인","정상"))))))))</f>
        <v/>
      </c>
      <c r="AA31" s="5" t="n"/>
      <c r="AB31" s="10">
        <f>IF($B31="","",IFERROR(MATCH($B31,기본자료!$B$2:$B$501,0),IFERROR(MATCH($B31&amp;"",기본자료!$B$2:$B$501,0),IFERROR(MATCH(VALUE($B31),기본자료!$B$2:$B$501,0),""))))</f>
        <v/>
      </c>
      <c r="AC31" s="10">
        <f>IF($B31="","",IFERROR(MATCH($B31,인턴근무계획!$D$3:$D$202,0),IFERROR(MATCH($B31&amp;"",인턴근무계획!$D$3:$D$202,0),IFERROR(MATCH(VALUE($B31),인턴근무계획!$D$3:$D$202,0),""))))</f>
        <v/>
      </c>
      <c r="AD31" s="10">
        <f>IF(OR($AC31="",인턴현황!$G$3=""),"",INDEX(인턴근무계획!$M$3:$R$202,$AC31,인턴현황!$G$3)&amp;"")</f>
        <v/>
      </c>
      <c r="AE31" s="10">
        <f>IF($B31="","",IF($M31&lt;&gt;"",$M31,IF($AF31&lt;&gt;"",IF(LEFT(INDEX(파견수련계획!$R$4:$R$203,$AF31),1)&lt;&gt;"⚠",INDEX(파견수련계획!$R$4:$R$203,$AF31),IF($H31="","",IF(RIGHT($H31,2)="병원",$H31,$H31&amp;"병원"))),IF($H31="","",IF(RIGHT($H31,2)="병원",$H31,$H31&amp;"병원")))))</f>
        <v/>
      </c>
      <c r="AF31" s="10">
        <f>IF(OR($B31="",TRIM($J31&amp;"")=""),"",IFERROR(MATCH(TRIM($J31&amp;"")&amp;"|파견중",파견수련계획!$Y$4:$Y$203,0),IFERROR(MATCH(TRIM($J31&amp;"")&amp;"|파견예정",파견수련계획!$Y$4:$Y$203,0),IFERROR(MATCH(TRIM($J31&amp;"")&amp;"|파견종료",파견수련계획!$Y$4:$Y$203,0),""))))</f>
        <v/>
      </c>
      <c r="AG31" s="10">
        <f>IF($B31="","",IF(AND(IF(OR($AC31="",인턴현황!$K$2=""),"",INDEX(인턴근무계획!$M$3:$R$202,$AC31,인턴현황!$K$2)&amp;"")&lt;&gt;"",LEFT(IF(OR($AC31="",인턴현황!$K$2=""),"",INDEX(인턴근무계획!$M$3:$R$202,$AC31,인턴현황!$K$2)&amp;""),1)&lt;&gt;"⚠"),LEFT(IF(OR($AC31="",인턴현황!$K$2=""),"",INDEX(인턴근무계획!$M$3:$R$202,$AC31,인턴현황!$K$2)&amp;""),FIND(" ",IF(OR($AC31="",인턴현황!$K$2=""),"",INDEX(인턴근무계획!$M$3:$R$202,$AC31,인턴현황!$K$2)&amp;""))-1),$AE31))</f>
        <v/>
      </c>
      <c r="AH31" s="17">
        <f>IF($B31="","",IF(TRIM($J31&amp;"")="",0,SUMPRODUCT((파견수련계획!$Q$4:$Q$203=TRIM($J31&amp;""))*(파견수련계획!$S$4:$S$203="서울병원")*파견수련계획!$W$4:$W$203))+IF($AG31="서울병원",MAX(0,DAY(EOMONTH(요약!$B$3,0))-N($X31)),0))</f>
        <v/>
      </c>
      <c r="AI31" s="17">
        <f>IF($B31="","",IF(TRIM($J31&amp;"")="",0,SUMPRODUCT((파견수련계획!$Q$4:$Q$203=TRIM($J31&amp;""))*(파견수련계획!$S$4:$S$203="구리병원")*파견수련계획!$W$4:$W$203))+IF($AG31="구리병원",MAX(0,DAY(EOMONTH(요약!$B$3,0))-N($X31)),0))</f>
        <v/>
      </c>
      <c r="AJ31" s="10">
        <f>IF(OR($B31="",TRIM($J31&amp;"")=""),"",IFERROR(MATCH(TRIM($J31&amp;"")&amp;"|월",파견수련계획!$Z$4:$Z$203,0),""))</f>
        <v/>
      </c>
      <c r="AK31" s="10">
        <f>IF(OR($B31="",TRIM($J31&amp;"")=""),"",IFERROR(MATCH(TRIM($J31&amp;"")&amp;"|다기관",파견수련계획!$AE$4:$AE$203,0),""))</f>
        <v/>
      </c>
      <c r="AL31" s="10">
        <f>IF($AK31="","","다기관 "&amp;TEXT(INDEX(파견수련계획!$AB$4:$AB$203,$AK31),"yyyy-mm-dd")&amp;"~"&amp;IF(ISNUMBER(INDEX(파견수련계획!$AC$4:$AC$203,$AK31)),TEXT(INDEX(파견수련계획!$AC$4:$AC$203,$AK31),"yyyy-mm-dd"),""))</f>
        <v/>
      </c>
    </row>
    <row r="32">
      <c r="A32" s="10">
        <f>IF(B32="","",ROW()-1)</f>
        <v/>
      </c>
      <c r="B32" s="18" t="n"/>
      <c r="C32" s="10">
        <f>IF($AB32="","",IF(INDEX(기본자료!$C$2:$C$501,$AB32)="","",INDEX(기본자료!$C$2:$C$501,$AB32)))</f>
        <v/>
      </c>
      <c r="D32" s="10">
        <f>IF($AB32="","",IF(INDEX(기본자료!$J$2:$J$501,$AB32)="","",INDEX(기본자료!$J$2:$J$501,$AB32)))</f>
        <v/>
      </c>
      <c r="E32" s="11">
        <f>IF($AB32="","",IF(INDEX(기본자료!$K$2:$K$501,$AB32)="","",IF(NOT(ISNUMBER(INDEX(기본자료!$K$2:$K$501,$AB32))),INDEX(기본자료!$K$2:$K$501,$AB32),IF(INDEX(기본자료!$K$2:$K$501,$AB32)&lt;1000000,INDEX(기본자료!$K$2:$K$501,$AB32),IF(AND(INDEX(기본자료!$K$2:$K$501,$AB32)&gt;=10000101,INT(MOD(INDEX(기본자료!$K$2:$K$501,$AB32),10000)/100)&gt;=1,INT(MOD(INDEX(기본자료!$K$2:$K$501,$AB32),10000)/100)&lt;=12,MOD(INDEX(기본자료!$K$2:$K$501,$AB32),100)&gt;=1,MOD(INDEX(기본자료!$K$2:$K$501,$AB32),100)&lt;=31),DATE(INT(INDEX(기본자료!$K$2:$K$501,$AB32)/10000),INT(MOD(INDEX(기본자료!$K$2:$K$501,$AB32),10000)/100),MOD(INDEX(기본자료!$K$2:$K$501,$AB32),100)),INDEX(기본자료!$K$2:$K$501,$AB32)&amp;"")))))</f>
        <v/>
      </c>
      <c r="F32" s="10">
        <f>IF($AB32="","",IF(INDEX(기본자료!$D$2:$D$501,$AB32)="","",INDEX(기본자료!$D$2:$D$501,$AB32)))</f>
        <v/>
      </c>
      <c r="G32" s="10">
        <f>IF($AB32="","",IF(INDEX(기본자료!$E$2:$E$501,$AB32)="","",INDEX(기본자료!$E$2:$E$501,$AB32)))</f>
        <v/>
      </c>
      <c r="H32" s="10">
        <f>IF($AB32="","",IF(INDEX(기본자료!$F$2:$F$501,$AB32)="","",INDEX(기본자료!$F$2:$F$501,$AB32)))</f>
        <v/>
      </c>
      <c r="I32" s="11">
        <f>IF($AB32="","",IF(INDEX(기본자료!$G$2:$G$501,$AB32)="","",IF(NOT(ISNUMBER(INDEX(기본자료!$G$2:$G$501,$AB32))),INDEX(기본자료!$G$2:$G$501,$AB32),IF(INDEX(기본자료!$G$2:$G$501,$AB32)&lt;1000000,INDEX(기본자료!$G$2:$G$501,$AB32),IF(AND(INDEX(기본자료!$G$2:$G$501,$AB32)&gt;=10000101,INT(MOD(INDEX(기본자료!$G$2:$G$501,$AB32),10000)/100)&gt;=1,INT(MOD(INDEX(기본자료!$G$2:$G$501,$AB32),10000)/100)&lt;=12,MOD(INDEX(기본자료!$G$2:$G$501,$AB32),100)&gt;=1,MOD(INDEX(기본자료!$G$2:$G$501,$AB32),100)&lt;=31),DATE(INT(INDEX(기본자료!$G$2:$G$501,$AB32)/10000),INT(MOD(INDEX(기본자료!$G$2:$G$501,$AB32),10000)/100),MOD(INDEX(기본자료!$G$2:$G$501,$AB32),100)),INDEX(기본자료!$G$2:$G$501,$AB32)&amp;"")))))</f>
        <v/>
      </c>
      <c r="J32" s="10">
        <f>IF($AB32="","",IF(INDEX(기본자료!$H$2:$H$501,$AB32)="","",INDEX(기본자료!$H$2:$H$501,$AB32)))</f>
        <v/>
      </c>
      <c r="K32" s="10">
        <f>IF($AB32="","",IF(INDEX(기본자료!$I$2:$I$501,$AB32)="","",INDEX(기본자료!$I$2:$I$501,$AB32)))</f>
        <v/>
      </c>
      <c r="L32" s="10">
        <f>IF($AB32="","",IF(INDEX(기본자료!$A$2:$A$501,$AB32)="","",INDEX(기본자료!$A$2:$A$501,$AB32)))</f>
        <v/>
      </c>
      <c r="M32" s="15" t="n"/>
      <c r="N32" s="10">
        <f>IF($B32="","",IF(AND($U32="파견중",$Q32&lt;&gt;""),$Q32,IF(AND($AD32&lt;&gt;"",LEFT($AD32,1)&lt;&gt;"⚠"),LEFT($AD32,FIND(" ",$AD32)-1),IF($H32="","",IF(RIGHT($H32,2)="병원",$H32,$H32&amp;"병원")))))</f>
        <v/>
      </c>
      <c r="O32" s="10">
        <f>IF($B32="","",IF(AND($U32="파견중",$Q32&lt;&gt;""),IF($R32&lt;&gt;"",$R32,"파견과 미입력"),IF(AND($AD32&lt;&gt;"",LEFT($AD32,1)&lt;&gt;"⚠"),MID($AD32,FIND(" ",$AD32)+1,60),IF($F32="","",IF($F32="인턴","수련교육부(인턴)",$F32)))))</f>
        <v/>
      </c>
      <c r="P32" s="10">
        <f>IF($B32="","",IF($AK32&lt;&gt;"",IF(AND(TODAY()&gt;=INDEX(파견수련계획!$AB$4:$AB$203,$AK32),OR(NOT(ISNUMBER(INDEX(파견수련계획!$AC$4:$AC$203,$AK32))),TODAY()&lt;=INDEX(파견수련계획!$AC$4:$AC$203,$AK32))),"다기관",IF($AF32="","",INDEX(파견수련계획!$T$4:$T$203,$AF32))),IF($AF32="","",INDEX(파견수련계획!$T$4:$T$203,$AF32))))</f>
        <v/>
      </c>
      <c r="Q32" s="10">
        <f>IF($AF32="","",INDEX(파견수련계획!$S$4:$S$203,$AF32))</f>
        <v/>
      </c>
      <c r="R32" s="10">
        <f>IF($AF32="","",INDEX(파견수련계획!$U$4:$U$203,$AF32))</f>
        <v/>
      </c>
      <c r="S32" s="11">
        <f>IF($AF32="","",IF(INDEX(파견수련계획!$H$4:$H$203,$AF32)="","",INDEX(파견수련계획!$H$4:$H$203,$AF32)))</f>
        <v/>
      </c>
      <c r="T32" s="11">
        <f>IF($AF32="","",IF(INDEX(파견수련계획!$I$4:$I$203,$AF32)="","",INDEX(파견수련계획!$I$4:$I$203,$AF32)))</f>
        <v/>
      </c>
      <c r="U32" s="10">
        <f>IF($AF32="","",INDEX(파견수련계획!$X$4:$X$203,$AF32))</f>
        <v/>
      </c>
      <c r="V32" s="17">
        <f>IF($AF32="","",INDEX(파견수련계획!$V$4:$V$203,$AF32))</f>
        <v/>
      </c>
      <c r="W32" s="17">
        <f>IF(AND($U32="파견중",$T32&lt;&gt;""),$T32-TODAY(),"")</f>
        <v/>
      </c>
      <c r="X32" s="17">
        <f>IF(OR($B32="",TRIM($J32&amp;"")=""),"",SUMPRODUCT((파견수련계획!$Q$4:$Q$203=TRIM($J32&amp;""))*파견수련계획!$W$4:$W$203))</f>
        <v/>
      </c>
      <c r="Y32" s="10">
        <f>IF($B32="","",IF($AG32="","",IF(IF(TRIM($J32&amp;"")="",0,SUMPRODUCT((파견수련계획!$Q$4:$Q$203=TRIM($J32&amp;""))*파견수련계획!$AD$4:$AD$203))&gt;0,$AE32,IF(N($X32)&lt;=0,$AG32,IF($AH32+$AI32=DAY(EOMONTH(요약!$B$3,0)),IF(AND($AH32&gt;=요약!$E$3,$AI32&lt;요약!$E$3),"서울병원",IF(AND($AI32&gt;=요약!$E$3,$AH32&lt;요약!$E$3),"구리병원","⚠15일 판정불가(서울 "&amp;$AH32&amp;"일/구리 "&amp;$AI32&amp;"일)")),IF($AJ32="",$AE32,IF(INDEX(파견수련계획!$T$4:$T$203,$AJ32)="통합수련",INDEX(파견수련계획!$S$4:$S$203,$AJ32),$AE32)))))))</f>
        <v/>
      </c>
      <c r="Z32" s="19">
        <f>IF($B32="","",IF($AB32="","기본자료에 없는 사번",IF(COUNTIF($B$2:$B$201,$B32)&gt;1,"중복 사번",IF($AE32="","소속(입사장소) 입력",IF(IF(TRIM($J32&amp;"")="",0,SUMPRODUCT((파견수련계획!$Q$4:$Q$203=TRIM($J32&amp;""))*(파견수련계획!$AA$4:$AA$203&lt;&gt;"")))&gt;0,"파견수련계획 입력오류 확인",IF(LEFT($Y32,1)="⚠","서울·구리 15일 판정 불가(양쪽 모두 이상/미만)",IF(IF($AC32="",0,N(INDEX(인턴근무계획!$T$3:$T$202,$AC32)))&gt;0,"인턴계획 입력오류 확인",IF(AND($AC32&lt;&gt;"",$U32&lt;&gt;"파견중",$N32&lt;&gt;$AE32),"인턴 타지역 근무: 파견 여부 확인","정상"))))))))</f>
        <v/>
      </c>
      <c r="AA32" s="5" t="n"/>
      <c r="AB32" s="10">
        <f>IF($B32="","",IFERROR(MATCH($B32,기본자료!$B$2:$B$501,0),IFERROR(MATCH($B32&amp;"",기본자료!$B$2:$B$501,0),IFERROR(MATCH(VALUE($B32),기본자료!$B$2:$B$501,0),""))))</f>
        <v/>
      </c>
      <c r="AC32" s="10">
        <f>IF($B32="","",IFERROR(MATCH($B32,인턴근무계획!$D$3:$D$202,0),IFERROR(MATCH($B32&amp;"",인턴근무계획!$D$3:$D$202,0),IFERROR(MATCH(VALUE($B32),인턴근무계획!$D$3:$D$202,0),""))))</f>
        <v/>
      </c>
      <c r="AD32" s="10">
        <f>IF(OR($AC32="",인턴현황!$G$3=""),"",INDEX(인턴근무계획!$M$3:$R$202,$AC32,인턴현황!$G$3)&amp;"")</f>
        <v/>
      </c>
      <c r="AE32" s="10">
        <f>IF($B32="","",IF($M32&lt;&gt;"",$M32,IF($AF32&lt;&gt;"",IF(LEFT(INDEX(파견수련계획!$R$4:$R$203,$AF32),1)&lt;&gt;"⚠",INDEX(파견수련계획!$R$4:$R$203,$AF32),IF($H32="","",IF(RIGHT($H32,2)="병원",$H32,$H32&amp;"병원"))),IF($H32="","",IF(RIGHT($H32,2)="병원",$H32,$H32&amp;"병원")))))</f>
        <v/>
      </c>
      <c r="AF32" s="10">
        <f>IF(OR($B32="",TRIM($J32&amp;"")=""),"",IFERROR(MATCH(TRIM($J32&amp;"")&amp;"|파견중",파견수련계획!$Y$4:$Y$203,0),IFERROR(MATCH(TRIM($J32&amp;"")&amp;"|파견예정",파견수련계획!$Y$4:$Y$203,0),IFERROR(MATCH(TRIM($J32&amp;"")&amp;"|파견종료",파견수련계획!$Y$4:$Y$203,0),""))))</f>
        <v/>
      </c>
      <c r="AG32" s="10">
        <f>IF($B32="","",IF(AND(IF(OR($AC32="",인턴현황!$K$2=""),"",INDEX(인턴근무계획!$M$3:$R$202,$AC32,인턴현황!$K$2)&amp;"")&lt;&gt;"",LEFT(IF(OR($AC32="",인턴현황!$K$2=""),"",INDEX(인턴근무계획!$M$3:$R$202,$AC32,인턴현황!$K$2)&amp;""),1)&lt;&gt;"⚠"),LEFT(IF(OR($AC32="",인턴현황!$K$2=""),"",INDEX(인턴근무계획!$M$3:$R$202,$AC32,인턴현황!$K$2)&amp;""),FIND(" ",IF(OR($AC32="",인턴현황!$K$2=""),"",INDEX(인턴근무계획!$M$3:$R$202,$AC32,인턴현황!$K$2)&amp;""))-1),$AE32))</f>
        <v/>
      </c>
      <c r="AH32" s="17">
        <f>IF($B32="","",IF(TRIM($J32&amp;"")="",0,SUMPRODUCT((파견수련계획!$Q$4:$Q$203=TRIM($J32&amp;""))*(파견수련계획!$S$4:$S$203="서울병원")*파견수련계획!$W$4:$W$203))+IF($AG32="서울병원",MAX(0,DAY(EOMONTH(요약!$B$3,0))-N($X32)),0))</f>
        <v/>
      </c>
      <c r="AI32" s="17">
        <f>IF($B32="","",IF(TRIM($J32&amp;"")="",0,SUMPRODUCT((파견수련계획!$Q$4:$Q$203=TRIM($J32&amp;""))*(파견수련계획!$S$4:$S$203="구리병원")*파견수련계획!$W$4:$W$203))+IF($AG32="구리병원",MAX(0,DAY(EOMONTH(요약!$B$3,0))-N($X32)),0))</f>
        <v/>
      </c>
      <c r="AJ32" s="10">
        <f>IF(OR($B32="",TRIM($J32&amp;"")=""),"",IFERROR(MATCH(TRIM($J32&amp;"")&amp;"|월",파견수련계획!$Z$4:$Z$203,0),""))</f>
        <v/>
      </c>
      <c r="AK32" s="10">
        <f>IF(OR($B32="",TRIM($J32&amp;"")=""),"",IFERROR(MATCH(TRIM($J32&amp;"")&amp;"|다기관",파견수련계획!$AE$4:$AE$203,0),""))</f>
        <v/>
      </c>
      <c r="AL32" s="10">
        <f>IF($AK32="","","다기관 "&amp;TEXT(INDEX(파견수련계획!$AB$4:$AB$203,$AK32),"yyyy-mm-dd")&amp;"~"&amp;IF(ISNUMBER(INDEX(파견수련계획!$AC$4:$AC$203,$AK32)),TEXT(INDEX(파견수련계획!$AC$4:$AC$203,$AK32),"yyyy-mm-dd"),""))</f>
        <v/>
      </c>
    </row>
    <row r="33">
      <c r="A33" s="10">
        <f>IF(B33="","",ROW()-1)</f>
        <v/>
      </c>
      <c r="B33" s="18" t="n"/>
      <c r="C33" s="10">
        <f>IF($AB33="","",IF(INDEX(기본자료!$C$2:$C$501,$AB33)="","",INDEX(기본자료!$C$2:$C$501,$AB33)))</f>
        <v/>
      </c>
      <c r="D33" s="10">
        <f>IF($AB33="","",IF(INDEX(기본자료!$J$2:$J$501,$AB33)="","",INDEX(기본자료!$J$2:$J$501,$AB33)))</f>
        <v/>
      </c>
      <c r="E33" s="11">
        <f>IF($AB33="","",IF(INDEX(기본자료!$K$2:$K$501,$AB33)="","",IF(NOT(ISNUMBER(INDEX(기본자료!$K$2:$K$501,$AB33))),INDEX(기본자료!$K$2:$K$501,$AB33),IF(INDEX(기본자료!$K$2:$K$501,$AB33)&lt;1000000,INDEX(기본자료!$K$2:$K$501,$AB33),IF(AND(INDEX(기본자료!$K$2:$K$501,$AB33)&gt;=10000101,INT(MOD(INDEX(기본자료!$K$2:$K$501,$AB33),10000)/100)&gt;=1,INT(MOD(INDEX(기본자료!$K$2:$K$501,$AB33),10000)/100)&lt;=12,MOD(INDEX(기본자료!$K$2:$K$501,$AB33),100)&gt;=1,MOD(INDEX(기본자료!$K$2:$K$501,$AB33),100)&lt;=31),DATE(INT(INDEX(기본자료!$K$2:$K$501,$AB33)/10000),INT(MOD(INDEX(기본자료!$K$2:$K$501,$AB33),10000)/100),MOD(INDEX(기본자료!$K$2:$K$501,$AB33),100)),INDEX(기본자료!$K$2:$K$501,$AB33)&amp;"")))))</f>
        <v/>
      </c>
      <c r="F33" s="10">
        <f>IF($AB33="","",IF(INDEX(기본자료!$D$2:$D$501,$AB33)="","",INDEX(기본자료!$D$2:$D$501,$AB33)))</f>
        <v/>
      </c>
      <c r="G33" s="10">
        <f>IF($AB33="","",IF(INDEX(기본자료!$E$2:$E$501,$AB33)="","",INDEX(기본자료!$E$2:$E$501,$AB33)))</f>
        <v/>
      </c>
      <c r="H33" s="10">
        <f>IF($AB33="","",IF(INDEX(기본자료!$F$2:$F$501,$AB33)="","",INDEX(기본자료!$F$2:$F$501,$AB33)))</f>
        <v/>
      </c>
      <c r="I33" s="11">
        <f>IF($AB33="","",IF(INDEX(기본자료!$G$2:$G$501,$AB33)="","",IF(NOT(ISNUMBER(INDEX(기본자료!$G$2:$G$501,$AB33))),INDEX(기본자료!$G$2:$G$501,$AB33),IF(INDEX(기본자료!$G$2:$G$501,$AB33)&lt;1000000,INDEX(기본자료!$G$2:$G$501,$AB33),IF(AND(INDEX(기본자료!$G$2:$G$501,$AB33)&gt;=10000101,INT(MOD(INDEX(기본자료!$G$2:$G$501,$AB33),10000)/100)&gt;=1,INT(MOD(INDEX(기본자료!$G$2:$G$501,$AB33),10000)/100)&lt;=12,MOD(INDEX(기본자료!$G$2:$G$501,$AB33),100)&gt;=1,MOD(INDEX(기본자료!$G$2:$G$501,$AB33),100)&lt;=31),DATE(INT(INDEX(기본자료!$G$2:$G$501,$AB33)/10000),INT(MOD(INDEX(기본자료!$G$2:$G$501,$AB33),10000)/100),MOD(INDEX(기본자료!$G$2:$G$501,$AB33),100)),INDEX(기본자료!$G$2:$G$501,$AB33)&amp;"")))))</f>
        <v/>
      </c>
      <c r="J33" s="10">
        <f>IF($AB33="","",IF(INDEX(기본자료!$H$2:$H$501,$AB33)="","",INDEX(기본자료!$H$2:$H$501,$AB33)))</f>
        <v/>
      </c>
      <c r="K33" s="10">
        <f>IF($AB33="","",IF(INDEX(기본자료!$I$2:$I$501,$AB33)="","",INDEX(기본자료!$I$2:$I$501,$AB33)))</f>
        <v/>
      </c>
      <c r="L33" s="10">
        <f>IF($AB33="","",IF(INDEX(기본자료!$A$2:$A$501,$AB33)="","",INDEX(기본자료!$A$2:$A$501,$AB33)))</f>
        <v/>
      </c>
      <c r="M33" s="15" t="n"/>
      <c r="N33" s="10">
        <f>IF($B33="","",IF(AND($U33="파견중",$Q33&lt;&gt;""),$Q33,IF(AND($AD33&lt;&gt;"",LEFT($AD33,1)&lt;&gt;"⚠"),LEFT($AD33,FIND(" ",$AD33)-1),IF($H33="","",IF(RIGHT($H33,2)="병원",$H33,$H33&amp;"병원")))))</f>
        <v/>
      </c>
      <c r="O33" s="10">
        <f>IF($B33="","",IF(AND($U33="파견중",$Q33&lt;&gt;""),IF($R33&lt;&gt;"",$R33,"파견과 미입력"),IF(AND($AD33&lt;&gt;"",LEFT($AD33,1)&lt;&gt;"⚠"),MID($AD33,FIND(" ",$AD33)+1,60),IF($F33="","",IF($F33="인턴","수련교육부(인턴)",$F33)))))</f>
        <v/>
      </c>
      <c r="P33" s="10">
        <f>IF($B33="","",IF($AK33&lt;&gt;"",IF(AND(TODAY()&gt;=INDEX(파견수련계획!$AB$4:$AB$203,$AK33),OR(NOT(ISNUMBER(INDEX(파견수련계획!$AC$4:$AC$203,$AK33))),TODAY()&lt;=INDEX(파견수련계획!$AC$4:$AC$203,$AK33))),"다기관",IF($AF33="","",INDEX(파견수련계획!$T$4:$T$203,$AF33))),IF($AF33="","",INDEX(파견수련계획!$T$4:$T$203,$AF33))))</f>
        <v/>
      </c>
      <c r="Q33" s="10">
        <f>IF($AF33="","",INDEX(파견수련계획!$S$4:$S$203,$AF33))</f>
        <v/>
      </c>
      <c r="R33" s="10">
        <f>IF($AF33="","",INDEX(파견수련계획!$U$4:$U$203,$AF33))</f>
        <v/>
      </c>
      <c r="S33" s="11">
        <f>IF($AF33="","",IF(INDEX(파견수련계획!$H$4:$H$203,$AF33)="","",INDEX(파견수련계획!$H$4:$H$203,$AF33)))</f>
        <v/>
      </c>
      <c r="T33" s="11">
        <f>IF($AF33="","",IF(INDEX(파견수련계획!$I$4:$I$203,$AF33)="","",INDEX(파견수련계획!$I$4:$I$203,$AF33)))</f>
        <v/>
      </c>
      <c r="U33" s="10">
        <f>IF($AF33="","",INDEX(파견수련계획!$X$4:$X$203,$AF33))</f>
        <v/>
      </c>
      <c r="V33" s="17">
        <f>IF($AF33="","",INDEX(파견수련계획!$V$4:$V$203,$AF33))</f>
        <v/>
      </c>
      <c r="W33" s="17">
        <f>IF(AND($U33="파견중",$T33&lt;&gt;""),$T33-TODAY(),"")</f>
        <v/>
      </c>
      <c r="X33" s="17">
        <f>IF(OR($B33="",TRIM($J33&amp;"")=""),"",SUMPRODUCT((파견수련계획!$Q$4:$Q$203=TRIM($J33&amp;""))*파견수련계획!$W$4:$W$203))</f>
        <v/>
      </c>
      <c r="Y33" s="10">
        <f>IF($B33="","",IF($AG33="","",IF(IF(TRIM($J33&amp;"")="",0,SUMPRODUCT((파견수련계획!$Q$4:$Q$203=TRIM($J33&amp;""))*파견수련계획!$AD$4:$AD$203))&gt;0,$AE33,IF(N($X33)&lt;=0,$AG33,IF($AH33+$AI33=DAY(EOMONTH(요약!$B$3,0)),IF(AND($AH33&gt;=요약!$E$3,$AI33&lt;요약!$E$3),"서울병원",IF(AND($AI33&gt;=요약!$E$3,$AH33&lt;요약!$E$3),"구리병원","⚠15일 판정불가(서울 "&amp;$AH33&amp;"일/구리 "&amp;$AI33&amp;"일)")),IF($AJ33="",$AE33,IF(INDEX(파견수련계획!$T$4:$T$203,$AJ33)="통합수련",INDEX(파견수련계획!$S$4:$S$203,$AJ33),$AE33)))))))</f>
        <v/>
      </c>
      <c r="Z33" s="19">
        <f>IF($B33="","",IF($AB33="","기본자료에 없는 사번",IF(COUNTIF($B$2:$B$201,$B33)&gt;1,"중복 사번",IF($AE33="","소속(입사장소) 입력",IF(IF(TRIM($J33&amp;"")="",0,SUMPRODUCT((파견수련계획!$Q$4:$Q$203=TRIM($J33&amp;""))*(파견수련계획!$AA$4:$AA$203&lt;&gt;"")))&gt;0,"파견수련계획 입력오류 확인",IF(LEFT($Y33,1)="⚠","서울·구리 15일 판정 불가(양쪽 모두 이상/미만)",IF(IF($AC33="",0,N(INDEX(인턴근무계획!$T$3:$T$202,$AC33)))&gt;0,"인턴계획 입력오류 확인",IF(AND($AC33&lt;&gt;"",$U33&lt;&gt;"파견중",$N33&lt;&gt;$AE33),"인턴 타지역 근무: 파견 여부 확인","정상"))))))))</f>
        <v/>
      </c>
      <c r="AA33" s="5" t="n"/>
      <c r="AB33" s="10">
        <f>IF($B33="","",IFERROR(MATCH($B33,기본자료!$B$2:$B$501,0),IFERROR(MATCH($B33&amp;"",기본자료!$B$2:$B$501,0),IFERROR(MATCH(VALUE($B33),기본자료!$B$2:$B$501,0),""))))</f>
        <v/>
      </c>
      <c r="AC33" s="10">
        <f>IF($B33="","",IFERROR(MATCH($B33,인턴근무계획!$D$3:$D$202,0),IFERROR(MATCH($B33&amp;"",인턴근무계획!$D$3:$D$202,0),IFERROR(MATCH(VALUE($B33),인턴근무계획!$D$3:$D$202,0),""))))</f>
        <v/>
      </c>
      <c r="AD33" s="10">
        <f>IF(OR($AC33="",인턴현황!$G$3=""),"",INDEX(인턴근무계획!$M$3:$R$202,$AC33,인턴현황!$G$3)&amp;"")</f>
        <v/>
      </c>
      <c r="AE33" s="10">
        <f>IF($B33="","",IF($M33&lt;&gt;"",$M33,IF($AF33&lt;&gt;"",IF(LEFT(INDEX(파견수련계획!$R$4:$R$203,$AF33),1)&lt;&gt;"⚠",INDEX(파견수련계획!$R$4:$R$203,$AF33),IF($H33="","",IF(RIGHT($H33,2)="병원",$H33,$H33&amp;"병원"))),IF($H33="","",IF(RIGHT($H33,2)="병원",$H33,$H33&amp;"병원")))))</f>
        <v/>
      </c>
      <c r="AF33" s="10">
        <f>IF(OR($B33="",TRIM($J33&amp;"")=""),"",IFERROR(MATCH(TRIM($J33&amp;"")&amp;"|파견중",파견수련계획!$Y$4:$Y$203,0),IFERROR(MATCH(TRIM($J33&amp;"")&amp;"|파견예정",파견수련계획!$Y$4:$Y$203,0),IFERROR(MATCH(TRIM($J33&amp;"")&amp;"|파견종료",파견수련계획!$Y$4:$Y$203,0),""))))</f>
        <v/>
      </c>
      <c r="AG33" s="10">
        <f>IF($B33="","",IF(AND(IF(OR($AC33="",인턴현황!$K$2=""),"",INDEX(인턴근무계획!$M$3:$R$202,$AC33,인턴현황!$K$2)&amp;"")&lt;&gt;"",LEFT(IF(OR($AC33="",인턴현황!$K$2=""),"",INDEX(인턴근무계획!$M$3:$R$202,$AC33,인턴현황!$K$2)&amp;""),1)&lt;&gt;"⚠"),LEFT(IF(OR($AC33="",인턴현황!$K$2=""),"",INDEX(인턴근무계획!$M$3:$R$202,$AC33,인턴현황!$K$2)&amp;""),FIND(" ",IF(OR($AC33="",인턴현황!$K$2=""),"",INDEX(인턴근무계획!$M$3:$R$202,$AC33,인턴현황!$K$2)&amp;""))-1),$AE33))</f>
        <v/>
      </c>
      <c r="AH33" s="17">
        <f>IF($B33="","",IF(TRIM($J33&amp;"")="",0,SUMPRODUCT((파견수련계획!$Q$4:$Q$203=TRIM($J33&amp;""))*(파견수련계획!$S$4:$S$203="서울병원")*파견수련계획!$W$4:$W$203))+IF($AG33="서울병원",MAX(0,DAY(EOMONTH(요약!$B$3,0))-N($X33)),0))</f>
        <v/>
      </c>
      <c r="AI33" s="17">
        <f>IF($B33="","",IF(TRIM($J33&amp;"")="",0,SUMPRODUCT((파견수련계획!$Q$4:$Q$203=TRIM($J33&amp;""))*(파견수련계획!$S$4:$S$203="구리병원")*파견수련계획!$W$4:$W$203))+IF($AG33="구리병원",MAX(0,DAY(EOMONTH(요약!$B$3,0))-N($X33)),0))</f>
        <v/>
      </c>
      <c r="AJ33" s="10">
        <f>IF(OR($B33="",TRIM($J33&amp;"")=""),"",IFERROR(MATCH(TRIM($J33&amp;"")&amp;"|월",파견수련계획!$Z$4:$Z$203,0),""))</f>
        <v/>
      </c>
      <c r="AK33" s="10">
        <f>IF(OR($B33="",TRIM($J33&amp;"")=""),"",IFERROR(MATCH(TRIM($J33&amp;"")&amp;"|다기관",파견수련계획!$AE$4:$AE$203,0),""))</f>
        <v/>
      </c>
      <c r="AL33" s="10">
        <f>IF($AK33="","","다기관 "&amp;TEXT(INDEX(파견수련계획!$AB$4:$AB$203,$AK33),"yyyy-mm-dd")&amp;"~"&amp;IF(ISNUMBER(INDEX(파견수련계획!$AC$4:$AC$203,$AK33)),TEXT(INDEX(파견수련계획!$AC$4:$AC$203,$AK33),"yyyy-mm-dd"),""))</f>
        <v/>
      </c>
    </row>
    <row r="34">
      <c r="A34" s="10">
        <f>IF(B34="","",ROW()-1)</f>
        <v/>
      </c>
      <c r="B34" s="18" t="n"/>
      <c r="C34" s="10">
        <f>IF($AB34="","",IF(INDEX(기본자료!$C$2:$C$501,$AB34)="","",INDEX(기본자료!$C$2:$C$501,$AB34)))</f>
        <v/>
      </c>
      <c r="D34" s="10">
        <f>IF($AB34="","",IF(INDEX(기본자료!$J$2:$J$501,$AB34)="","",INDEX(기본자료!$J$2:$J$501,$AB34)))</f>
        <v/>
      </c>
      <c r="E34" s="11">
        <f>IF($AB34="","",IF(INDEX(기본자료!$K$2:$K$501,$AB34)="","",IF(NOT(ISNUMBER(INDEX(기본자료!$K$2:$K$501,$AB34))),INDEX(기본자료!$K$2:$K$501,$AB34),IF(INDEX(기본자료!$K$2:$K$501,$AB34)&lt;1000000,INDEX(기본자료!$K$2:$K$501,$AB34),IF(AND(INDEX(기본자료!$K$2:$K$501,$AB34)&gt;=10000101,INT(MOD(INDEX(기본자료!$K$2:$K$501,$AB34),10000)/100)&gt;=1,INT(MOD(INDEX(기본자료!$K$2:$K$501,$AB34),10000)/100)&lt;=12,MOD(INDEX(기본자료!$K$2:$K$501,$AB34),100)&gt;=1,MOD(INDEX(기본자료!$K$2:$K$501,$AB34),100)&lt;=31),DATE(INT(INDEX(기본자료!$K$2:$K$501,$AB34)/10000),INT(MOD(INDEX(기본자료!$K$2:$K$501,$AB34),10000)/100),MOD(INDEX(기본자료!$K$2:$K$501,$AB34),100)),INDEX(기본자료!$K$2:$K$501,$AB34)&amp;"")))))</f>
        <v/>
      </c>
      <c r="F34" s="10">
        <f>IF($AB34="","",IF(INDEX(기본자료!$D$2:$D$501,$AB34)="","",INDEX(기본자료!$D$2:$D$501,$AB34)))</f>
        <v/>
      </c>
      <c r="G34" s="10">
        <f>IF($AB34="","",IF(INDEX(기본자료!$E$2:$E$501,$AB34)="","",INDEX(기본자료!$E$2:$E$501,$AB34)))</f>
        <v/>
      </c>
      <c r="H34" s="10">
        <f>IF($AB34="","",IF(INDEX(기본자료!$F$2:$F$501,$AB34)="","",INDEX(기본자료!$F$2:$F$501,$AB34)))</f>
        <v/>
      </c>
      <c r="I34" s="11">
        <f>IF($AB34="","",IF(INDEX(기본자료!$G$2:$G$501,$AB34)="","",IF(NOT(ISNUMBER(INDEX(기본자료!$G$2:$G$501,$AB34))),INDEX(기본자료!$G$2:$G$501,$AB34),IF(INDEX(기본자료!$G$2:$G$501,$AB34)&lt;1000000,INDEX(기본자료!$G$2:$G$501,$AB34),IF(AND(INDEX(기본자료!$G$2:$G$501,$AB34)&gt;=10000101,INT(MOD(INDEX(기본자료!$G$2:$G$501,$AB34),10000)/100)&gt;=1,INT(MOD(INDEX(기본자료!$G$2:$G$501,$AB34),10000)/100)&lt;=12,MOD(INDEX(기본자료!$G$2:$G$501,$AB34),100)&gt;=1,MOD(INDEX(기본자료!$G$2:$G$501,$AB34),100)&lt;=31),DATE(INT(INDEX(기본자료!$G$2:$G$501,$AB34)/10000),INT(MOD(INDEX(기본자료!$G$2:$G$501,$AB34),10000)/100),MOD(INDEX(기본자료!$G$2:$G$501,$AB34),100)),INDEX(기본자료!$G$2:$G$501,$AB34)&amp;"")))))</f>
        <v/>
      </c>
      <c r="J34" s="10">
        <f>IF($AB34="","",IF(INDEX(기본자료!$H$2:$H$501,$AB34)="","",INDEX(기본자료!$H$2:$H$501,$AB34)))</f>
        <v/>
      </c>
      <c r="K34" s="10">
        <f>IF($AB34="","",IF(INDEX(기본자료!$I$2:$I$501,$AB34)="","",INDEX(기본자료!$I$2:$I$501,$AB34)))</f>
        <v/>
      </c>
      <c r="L34" s="10">
        <f>IF($AB34="","",IF(INDEX(기본자료!$A$2:$A$501,$AB34)="","",INDEX(기본자료!$A$2:$A$501,$AB34)))</f>
        <v/>
      </c>
      <c r="M34" s="15" t="n"/>
      <c r="N34" s="10">
        <f>IF($B34="","",IF(AND($U34="파견중",$Q34&lt;&gt;""),$Q34,IF(AND($AD34&lt;&gt;"",LEFT($AD34,1)&lt;&gt;"⚠"),LEFT($AD34,FIND(" ",$AD34)-1),IF($H34="","",IF(RIGHT($H34,2)="병원",$H34,$H34&amp;"병원")))))</f>
        <v/>
      </c>
      <c r="O34" s="10">
        <f>IF($B34="","",IF(AND($U34="파견중",$Q34&lt;&gt;""),IF($R34&lt;&gt;"",$R34,"파견과 미입력"),IF(AND($AD34&lt;&gt;"",LEFT($AD34,1)&lt;&gt;"⚠"),MID($AD34,FIND(" ",$AD34)+1,60),IF($F34="","",IF($F34="인턴","수련교육부(인턴)",$F34)))))</f>
        <v/>
      </c>
      <c r="P34" s="10">
        <f>IF($B34="","",IF($AK34&lt;&gt;"",IF(AND(TODAY()&gt;=INDEX(파견수련계획!$AB$4:$AB$203,$AK34),OR(NOT(ISNUMBER(INDEX(파견수련계획!$AC$4:$AC$203,$AK34))),TODAY()&lt;=INDEX(파견수련계획!$AC$4:$AC$203,$AK34))),"다기관",IF($AF34="","",INDEX(파견수련계획!$T$4:$T$203,$AF34))),IF($AF34="","",INDEX(파견수련계획!$T$4:$T$203,$AF34))))</f>
        <v/>
      </c>
      <c r="Q34" s="10">
        <f>IF($AF34="","",INDEX(파견수련계획!$S$4:$S$203,$AF34))</f>
        <v/>
      </c>
      <c r="R34" s="10">
        <f>IF($AF34="","",INDEX(파견수련계획!$U$4:$U$203,$AF34))</f>
        <v/>
      </c>
      <c r="S34" s="11">
        <f>IF($AF34="","",IF(INDEX(파견수련계획!$H$4:$H$203,$AF34)="","",INDEX(파견수련계획!$H$4:$H$203,$AF34)))</f>
        <v/>
      </c>
      <c r="T34" s="11">
        <f>IF($AF34="","",IF(INDEX(파견수련계획!$I$4:$I$203,$AF34)="","",INDEX(파견수련계획!$I$4:$I$203,$AF34)))</f>
        <v/>
      </c>
      <c r="U34" s="10">
        <f>IF($AF34="","",INDEX(파견수련계획!$X$4:$X$203,$AF34))</f>
        <v/>
      </c>
      <c r="V34" s="17">
        <f>IF($AF34="","",INDEX(파견수련계획!$V$4:$V$203,$AF34))</f>
        <v/>
      </c>
      <c r="W34" s="17">
        <f>IF(AND($U34="파견중",$T34&lt;&gt;""),$T34-TODAY(),"")</f>
        <v/>
      </c>
      <c r="X34" s="17">
        <f>IF(OR($B34="",TRIM($J34&amp;"")=""),"",SUMPRODUCT((파견수련계획!$Q$4:$Q$203=TRIM($J34&amp;""))*파견수련계획!$W$4:$W$203))</f>
        <v/>
      </c>
      <c r="Y34" s="10">
        <f>IF($B34="","",IF($AG34="","",IF(IF(TRIM($J34&amp;"")="",0,SUMPRODUCT((파견수련계획!$Q$4:$Q$203=TRIM($J34&amp;""))*파견수련계획!$AD$4:$AD$203))&gt;0,$AE34,IF(N($X34)&lt;=0,$AG34,IF($AH34+$AI34=DAY(EOMONTH(요약!$B$3,0)),IF(AND($AH34&gt;=요약!$E$3,$AI34&lt;요약!$E$3),"서울병원",IF(AND($AI34&gt;=요약!$E$3,$AH34&lt;요약!$E$3),"구리병원","⚠15일 판정불가(서울 "&amp;$AH34&amp;"일/구리 "&amp;$AI34&amp;"일)")),IF($AJ34="",$AE34,IF(INDEX(파견수련계획!$T$4:$T$203,$AJ34)="통합수련",INDEX(파견수련계획!$S$4:$S$203,$AJ34),$AE34)))))))</f>
        <v/>
      </c>
      <c r="Z34" s="19">
        <f>IF($B34="","",IF($AB34="","기본자료에 없는 사번",IF(COUNTIF($B$2:$B$201,$B34)&gt;1,"중복 사번",IF($AE34="","소속(입사장소) 입력",IF(IF(TRIM($J34&amp;"")="",0,SUMPRODUCT((파견수련계획!$Q$4:$Q$203=TRIM($J34&amp;""))*(파견수련계획!$AA$4:$AA$203&lt;&gt;"")))&gt;0,"파견수련계획 입력오류 확인",IF(LEFT($Y34,1)="⚠","서울·구리 15일 판정 불가(양쪽 모두 이상/미만)",IF(IF($AC34="",0,N(INDEX(인턴근무계획!$T$3:$T$202,$AC34)))&gt;0,"인턴계획 입력오류 확인",IF(AND($AC34&lt;&gt;"",$U34&lt;&gt;"파견중",$N34&lt;&gt;$AE34),"인턴 타지역 근무: 파견 여부 확인","정상"))))))))</f>
        <v/>
      </c>
      <c r="AA34" s="5" t="n"/>
      <c r="AB34" s="10">
        <f>IF($B34="","",IFERROR(MATCH($B34,기본자료!$B$2:$B$501,0),IFERROR(MATCH($B34&amp;"",기본자료!$B$2:$B$501,0),IFERROR(MATCH(VALUE($B34),기본자료!$B$2:$B$501,0),""))))</f>
        <v/>
      </c>
      <c r="AC34" s="10">
        <f>IF($B34="","",IFERROR(MATCH($B34,인턴근무계획!$D$3:$D$202,0),IFERROR(MATCH($B34&amp;"",인턴근무계획!$D$3:$D$202,0),IFERROR(MATCH(VALUE($B34),인턴근무계획!$D$3:$D$202,0),""))))</f>
        <v/>
      </c>
      <c r="AD34" s="10">
        <f>IF(OR($AC34="",인턴현황!$G$3=""),"",INDEX(인턴근무계획!$M$3:$R$202,$AC34,인턴현황!$G$3)&amp;"")</f>
        <v/>
      </c>
      <c r="AE34" s="10">
        <f>IF($B34="","",IF($M34&lt;&gt;"",$M34,IF($AF34&lt;&gt;"",IF(LEFT(INDEX(파견수련계획!$R$4:$R$203,$AF34),1)&lt;&gt;"⚠",INDEX(파견수련계획!$R$4:$R$203,$AF34),IF($H34="","",IF(RIGHT($H34,2)="병원",$H34,$H34&amp;"병원"))),IF($H34="","",IF(RIGHT($H34,2)="병원",$H34,$H34&amp;"병원")))))</f>
        <v/>
      </c>
      <c r="AF34" s="10">
        <f>IF(OR($B34="",TRIM($J34&amp;"")=""),"",IFERROR(MATCH(TRIM($J34&amp;"")&amp;"|파견중",파견수련계획!$Y$4:$Y$203,0),IFERROR(MATCH(TRIM($J34&amp;"")&amp;"|파견예정",파견수련계획!$Y$4:$Y$203,0),IFERROR(MATCH(TRIM($J34&amp;"")&amp;"|파견종료",파견수련계획!$Y$4:$Y$203,0),""))))</f>
        <v/>
      </c>
      <c r="AG34" s="10">
        <f>IF($B34="","",IF(AND(IF(OR($AC34="",인턴현황!$K$2=""),"",INDEX(인턴근무계획!$M$3:$R$202,$AC34,인턴현황!$K$2)&amp;"")&lt;&gt;"",LEFT(IF(OR($AC34="",인턴현황!$K$2=""),"",INDEX(인턴근무계획!$M$3:$R$202,$AC34,인턴현황!$K$2)&amp;""),1)&lt;&gt;"⚠"),LEFT(IF(OR($AC34="",인턴현황!$K$2=""),"",INDEX(인턴근무계획!$M$3:$R$202,$AC34,인턴현황!$K$2)&amp;""),FIND(" ",IF(OR($AC34="",인턴현황!$K$2=""),"",INDEX(인턴근무계획!$M$3:$R$202,$AC34,인턴현황!$K$2)&amp;""))-1),$AE34))</f>
        <v/>
      </c>
      <c r="AH34" s="17">
        <f>IF($B34="","",IF(TRIM($J34&amp;"")="",0,SUMPRODUCT((파견수련계획!$Q$4:$Q$203=TRIM($J34&amp;""))*(파견수련계획!$S$4:$S$203="서울병원")*파견수련계획!$W$4:$W$203))+IF($AG34="서울병원",MAX(0,DAY(EOMONTH(요약!$B$3,0))-N($X34)),0))</f>
        <v/>
      </c>
      <c r="AI34" s="17">
        <f>IF($B34="","",IF(TRIM($J34&amp;"")="",0,SUMPRODUCT((파견수련계획!$Q$4:$Q$203=TRIM($J34&amp;""))*(파견수련계획!$S$4:$S$203="구리병원")*파견수련계획!$W$4:$W$203))+IF($AG34="구리병원",MAX(0,DAY(EOMONTH(요약!$B$3,0))-N($X34)),0))</f>
        <v/>
      </c>
      <c r="AJ34" s="10">
        <f>IF(OR($B34="",TRIM($J34&amp;"")=""),"",IFERROR(MATCH(TRIM($J34&amp;"")&amp;"|월",파견수련계획!$Z$4:$Z$203,0),""))</f>
        <v/>
      </c>
      <c r="AK34" s="10">
        <f>IF(OR($B34="",TRIM($J34&amp;"")=""),"",IFERROR(MATCH(TRIM($J34&amp;"")&amp;"|다기관",파견수련계획!$AE$4:$AE$203,0),""))</f>
        <v/>
      </c>
      <c r="AL34" s="10">
        <f>IF($AK34="","","다기관 "&amp;TEXT(INDEX(파견수련계획!$AB$4:$AB$203,$AK34),"yyyy-mm-dd")&amp;"~"&amp;IF(ISNUMBER(INDEX(파견수련계획!$AC$4:$AC$203,$AK34)),TEXT(INDEX(파견수련계획!$AC$4:$AC$203,$AK34),"yyyy-mm-dd"),""))</f>
        <v/>
      </c>
    </row>
    <row r="35">
      <c r="A35" s="10">
        <f>IF(B35="","",ROW()-1)</f>
        <v/>
      </c>
      <c r="B35" s="18" t="n"/>
      <c r="C35" s="10">
        <f>IF($AB35="","",IF(INDEX(기본자료!$C$2:$C$501,$AB35)="","",INDEX(기본자료!$C$2:$C$501,$AB35)))</f>
        <v/>
      </c>
      <c r="D35" s="10">
        <f>IF($AB35="","",IF(INDEX(기본자료!$J$2:$J$501,$AB35)="","",INDEX(기본자료!$J$2:$J$501,$AB35)))</f>
        <v/>
      </c>
      <c r="E35" s="11">
        <f>IF($AB35="","",IF(INDEX(기본자료!$K$2:$K$501,$AB35)="","",IF(NOT(ISNUMBER(INDEX(기본자료!$K$2:$K$501,$AB35))),INDEX(기본자료!$K$2:$K$501,$AB35),IF(INDEX(기본자료!$K$2:$K$501,$AB35)&lt;1000000,INDEX(기본자료!$K$2:$K$501,$AB35),IF(AND(INDEX(기본자료!$K$2:$K$501,$AB35)&gt;=10000101,INT(MOD(INDEX(기본자료!$K$2:$K$501,$AB35),10000)/100)&gt;=1,INT(MOD(INDEX(기본자료!$K$2:$K$501,$AB35),10000)/100)&lt;=12,MOD(INDEX(기본자료!$K$2:$K$501,$AB35),100)&gt;=1,MOD(INDEX(기본자료!$K$2:$K$501,$AB35),100)&lt;=31),DATE(INT(INDEX(기본자료!$K$2:$K$501,$AB35)/10000),INT(MOD(INDEX(기본자료!$K$2:$K$501,$AB35),10000)/100),MOD(INDEX(기본자료!$K$2:$K$501,$AB35),100)),INDEX(기본자료!$K$2:$K$501,$AB35)&amp;"")))))</f>
        <v/>
      </c>
      <c r="F35" s="10">
        <f>IF($AB35="","",IF(INDEX(기본자료!$D$2:$D$501,$AB35)="","",INDEX(기본자료!$D$2:$D$501,$AB35)))</f>
        <v/>
      </c>
      <c r="G35" s="10">
        <f>IF($AB35="","",IF(INDEX(기본자료!$E$2:$E$501,$AB35)="","",INDEX(기본자료!$E$2:$E$501,$AB35)))</f>
        <v/>
      </c>
      <c r="H35" s="10">
        <f>IF($AB35="","",IF(INDEX(기본자료!$F$2:$F$501,$AB35)="","",INDEX(기본자료!$F$2:$F$501,$AB35)))</f>
        <v/>
      </c>
      <c r="I35" s="11">
        <f>IF($AB35="","",IF(INDEX(기본자료!$G$2:$G$501,$AB35)="","",IF(NOT(ISNUMBER(INDEX(기본자료!$G$2:$G$501,$AB35))),INDEX(기본자료!$G$2:$G$501,$AB35),IF(INDEX(기본자료!$G$2:$G$501,$AB35)&lt;1000000,INDEX(기본자료!$G$2:$G$501,$AB35),IF(AND(INDEX(기본자료!$G$2:$G$501,$AB35)&gt;=10000101,INT(MOD(INDEX(기본자료!$G$2:$G$501,$AB35),10000)/100)&gt;=1,INT(MOD(INDEX(기본자료!$G$2:$G$501,$AB35),10000)/100)&lt;=12,MOD(INDEX(기본자료!$G$2:$G$501,$AB35),100)&gt;=1,MOD(INDEX(기본자료!$G$2:$G$501,$AB35),100)&lt;=31),DATE(INT(INDEX(기본자료!$G$2:$G$501,$AB35)/10000),INT(MOD(INDEX(기본자료!$G$2:$G$501,$AB35),10000)/100),MOD(INDEX(기본자료!$G$2:$G$501,$AB35),100)),INDEX(기본자료!$G$2:$G$501,$AB35)&amp;"")))))</f>
        <v/>
      </c>
      <c r="J35" s="10">
        <f>IF($AB35="","",IF(INDEX(기본자료!$H$2:$H$501,$AB35)="","",INDEX(기본자료!$H$2:$H$501,$AB35)))</f>
        <v/>
      </c>
      <c r="K35" s="10">
        <f>IF($AB35="","",IF(INDEX(기본자료!$I$2:$I$501,$AB35)="","",INDEX(기본자료!$I$2:$I$501,$AB35)))</f>
        <v/>
      </c>
      <c r="L35" s="10">
        <f>IF($AB35="","",IF(INDEX(기본자료!$A$2:$A$501,$AB35)="","",INDEX(기본자료!$A$2:$A$501,$AB35)))</f>
        <v/>
      </c>
      <c r="M35" s="15" t="n"/>
      <c r="N35" s="10">
        <f>IF($B35="","",IF(AND($U35="파견중",$Q35&lt;&gt;""),$Q35,IF(AND($AD35&lt;&gt;"",LEFT($AD35,1)&lt;&gt;"⚠"),LEFT($AD35,FIND(" ",$AD35)-1),IF($H35="","",IF(RIGHT($H35,2)="병원",$H35,$H35&amp;"병원")))))</f>
        <v/>
      </c>
      <c r="O35" s="10">
        <f>IF($B35="","",IF(AND($U35="파견중",$Q35&lt;&gt;""),IF($R35&lt;&gt;"",$R35,"파견과 미입력"),IF(AND($AD35&lt;&gt;"",LEFT($AD35,1)&lt;&gt;"⚠"),MID($AD35,FIND(" ",$AD35)+1,60),IF($F35="","",IF($F35="인턴","수련교육부(인턴)",$F35)))))</f>
        <v/>
      </c>
      <c r="P35" s="10">
        <f>IF($B35="","",IF($AK35&lt;&gt;"",IF(AND(TODAY()&gt;=INDEX(파견수련계획!$AB$4:$AB$203,$AK35),OR(NOT(ISNUMBER(INDEX(파견수련계획!$AC$4:$AC$203,$AK35))),TODAY()&lt;=INDEX(파견수련계획!$AC$4:$AC$203,$AK35))),"다기관",IF($AF35="","",INDEX(파견수련계획!$T$4:$T$203,$AF35))),IF($AF35="","",INDEX(파견수련계획!$T$4:$T$203,$AF35))))</f>
        <v/>
      </c>
      <c r="Q35" s="10">
        <f>IF($AF35="","",INDEX(파견수련계획!$S$4:$S$203,$AF35))</f>
        <v/>
      </c>
      <c r="R35" s="10">
        <f>IF($AF35="","",INDEX(파견수련계획!$U$4:$U$203,$AF35))</f>
        <v/>
      </c>
      <c r="S35" s="11">
        <f>IF($AF35="","",IF(INDEX(파견수련계획!$H$4:$H$203,$AF35)="","",INDEX(파견수련계획!$H$4:$H$203,$AF35)))</f>
        <v/>
      </c>
      <c r="T35" s="11">
        <f>IF($AF35="","",IF(INDEX(파견수련계획!$I$4:$I$203,$AF35)="","",INDEX(파견수련계획!$I$4:$I$203,$AF35)))</f>
        <v/>
      </c>
      <c r="U35" s="10">
        <f>IF($AF35="","",INDEX(파견수련계획!$X$4:$X$203,$AF35))</f>
        <v/>
      </c>
      <c r="V35" s="17">
        <f>IF($AF35="","",INDEX(파견수련계획!$V$4:$V$203,$AF35))</f>
        <v/>
      </c>
      <c r="W35" s="17">
        <f>IF(AND($U35="파견중",$T35&lt;&gt;""),$T35-TODAY(),"")</f>
        <v/>
      </c>
      <c r="X35" s="17">
        <f>IF(OR($B35="",TRIM($J35&amp;"")=""),"",SUMPRODUCT((파견수련계획!$Q$4:$Q$203=TRIM($J35&amp;""))*파견수련계획!$W$4:$W$203))</f>
        <v/>
      </c>
      <c r="Y35" s="10">
        <f>IF($B35="","",IF($AG35="","",IF(IF(TRIM($J35&amp;"")="",0,SUMPRODUCT((파견수련계획!$Q$4:$Q$203=TRIM($J35&amp;""))*파견수련계획!$AD$4:$AD$203))&gt;0,$AE35,IF(N($X35)&lt;=0,$AG35,IF($AH35+$AI35=DAY(EOMONTH(요약!$B$3,0)),IF(AND($AH35&gt;=요약!$E$3,$AI35&lt;요약!$E$3),"서울병원",IF(AND($AI35&gt;=요약!$E$3,$AH35&lt;요약!$E$3),"구리병원","⚠15일 판정불가(서울 "&amp;$AH35&amp;"일/구리 "&amp;$AI35&amp;"일)")),IF($AJ35="",$AE35,IF(INDEX(파견수련계획!$T$4:$T$203,$AJ35)="통합수련",INDEX(파견수련계획!$S$4:$S$203,$AJ35),$AE35)))))))</f>
        <v/>
      </c>
      <c r="Z35" s="19">
        <f>IF($B35="","",IF($AB35="","기본자료에 없는 사번",IF(COUNTIF($B$2:$B$201,$B35)&gt;1,"중복 사번",IF($AE35="","소속(입사장소) 입력",IF(IF(TRIM($J35&amp;"")="",0,SUMPRODUCT((파견수련계획!$Q$4:$Q$203=TRIM($J35&amp;""))*(파견수련계획!$AA$4:$AA$203&lt;&gt;"")))&gt;0,"파견수련계획 입력오류 확인",IF(LEFT($Y35,1)="⚠","서울·구리 15일 판정 불가(양쪽 모두 이상/미만)",IF(IF($AC35="",0,N(INDEX(인턴근무계획!$T$3:$T$202,$AC35)))&gt;0,"인턴계획 입력오류 확인",IF(AND($AC35&lt;&gt;"",$U35&lt;&gt;"파견중",$N35&lt;&gt;$AE35),"인턴 타지역 근무: 파견 여부 확인","정상"))))))))</f>
        <v/>
      </c>
      <c r="AA35" s="5" t="n"/>
      <c r="AB35" s="10">
        <f>IF($B35="","",IFERROR(MATCH($B35,기본자료!$B$2:$B$501,0),IFERROR(MATCH($B35&amp;"",기본자료!$B$2:$B$501,0),IFERROR(MATCH(VALUE($B35),기본자료!$B$2:$B$501,0),""))))</f>
        <v/>
      </c>
      <c r="AC35" s="10">
        <f>IF($B35="","",IFERROR(MATCH($B35,인턴근무계획!$D$3:$D$202,0),IFERROR(MATCH($B35&amp;"",인턴근무계획!$D$3:$D$202,0),IFERROR(MATCH(VALUE($B35),인턴근무계획!$D$3:$D$202,0),""))))</f>
        <v/>
      </c>
      <c r="AD35" s="10">
        <f>IF(OR($AC35="",인턴현황!$G$3=""),"",INDEX(인턴근무계획!$M$3:$R$202,$AC35,인턴현황!$G$3)&amp;"")</f>
        <v/>
      </c>
      <c r="AE35" s="10">
        <f>IF($B35="","",IF($M35&lt;&gt;"",$M35,IF($AF35&lt;&gt;"",IF(LEFT(INDEX(파견수련계획!$R$4:$R$203,$AF35),1)&lt;&gt;"⚠",INDEX(파견수련계획!$R$4:$R$203,$AF35),IF($H35="","",IF(RIGHT($H35,2)="병원",$H35,$H35&amp;"병원"))),IF($H35="","",IF(RIGHT($H35,2)="병원",$H35,$H35&amp;"병원")))))</f>
        <v/>
      </c>
      <c r="AF35" s="10">
        <f>IF(OR($B35="",TRIM($J35&amp;"")=""),"",IFERROR(MATCH(TRIM($J35&amp;"")&amp;"|파견중",파견수련계획!$Y$4:$Y$203,0),IFERROR(MATCH(TRIM($J35&amp;"")&amp;"|파견예정",파견수련계획!$Y$4:$Y$203,0),IFERROR(MATCH(TRIM($J35&amp;"")&amp;"|파견종료",파견수련계획!$Y$4:$Y$203,0),""))))</f>
        <v/>
      </c>
      <c r="AG35" s="10">
        <f>IF($B35="","",IF(AND(IF(OR($AC35="",인턴현황!$K$2=""),"",INDEX(인턴근무계획!$M$3:$R$202,$AC35,인턴현황!$K$2)&amp;"")&lt;&gt;"",LEFT(IF(OR($AC35="",인턴현황!$K$2=""),"",INDEX(인턴근무계획!$M$3:$R$202,$AC35,인턴현황!$K$2)&amp;""),1)&lt;&gt;"⚠"),LEFT(IF(OR($AC35="",인턴현황!$K$2=""),"",INDEX(인턴근무계획!$M$3:$R$202,$AC35,인턴현황!$K$2)&amp;""),FIND(" ",IF(OR($AC35="",인턴현황!$K$2=""),"",INDEX(인턴근무계획!$M$3:$R$202,$AC35,인턴현황!$K$2)&amp;""))-1),$AE35))</f>
        <v/>
      </c>
      <c r="AH35" s="17">
        <f>IF($B35="","",IF(TRIM($J35&amp;"")="",0,SUMPRODUCT((파견수련계획!$Q$4:$Q$203=TRIM($J35&amp;""))*(파견수련계획!$S$4:$S$203="서울병원")*파견수련계획!$W$4:$W$203))+IF($AG35="서울병원",MAX(0,DAY(EOMONTH(요약!$B$3,0))-N($X35)),0))</f>
        <v/>
      </c>
      <c r="AI35" s="17">
        <f>IF($B35="","",IF(TRIM($J35&amp;"")="",0,SUMPRODUCT((파견수련계획!$Q$4:$Q$203=TRIM($J35&amp;""))*(파견수련계획!$S$4:$S$203="구리병원")*파견수련계획!$W$4:$W$203))+IF($AG35="구리병원",MAX(0,DAY(EOMONTH(요약!$B$3,0))-N($X35)),0))</f>
        <v/>
      </c>
      <c r="AJ35" s="10">
        <f>IF(OR($B35="",TRIM($J35&amp;"")=""),"",IFERROR(MATCH(TRIM($J35&amp;"")&amp;"|월",파견수련계획!$Z$4:$Z$203,0),""))</f>
        <v/>
      </c>
      <c r="AK35" s="10">
        <f>IF(OR($B35="",TRIM($J35&amp;"")=""),"",IFERROR(MATCH(TRIM($J35&amp;"")&amp;"|다기관",파견수련계획!$AE$4:$AE$203,0),""))</f>
        <v/>
      </c>
      <c r="AL35" s="10">
        <f>IF($AK35="","","다기관 "&amp;TEXT(INDEX(파견수련계획!$AB$4:$AB$203,$AK35),"yyyy-mm-dd")&amp;"~"&amp;IF(ISNUMBER(INDEX(파견수련계획!$AC$4:$AC$203,$AK35)),TEXT(INDEX(파견수련계획!$AC$4:$AC$203,$AK35),"yyyy-mm-dd"),""))</f>
        <v/>
      </c>
    </row>
    <row r="36">
      <c r="A36" s="10">
        <f>IF(B36="","",ROW()-1)</f>
        <v/>
      </c>
      <c r="B36" s="18" t="n"/>
      <c r="C36" s="10">
        <f>IF($AB36="","",IF(INDEX(기본자료!$C$2:$C$501,$AB36)="","",INDEX(기본자료!$C$2:$C$501,$AB36)))</f>
        <v/>
      </c>
      <c r="D36" s="10">
        <f>IF($AB36="","",IF(INDEX(기본자료!$J$2:$J$501,$AB36)="","",INDEX(기본자료!$J$2:$J$501,$AB36)))</f>
        <v/>
      </c>
      <c r="E36" s="11">
        <f>IF($AB36="","",IF(INDEX(기본자료!$K$2:$K$501,$AB36)="","",IF(NOT(ISNUMBER(INDEX(기본자료!$K$2:$K$501,$AB36))),INDEX(기본자료!$K$2:$K$501,$AB36),IF(INDEX(기본자료!$K$2:$K$501,$AB36)&lt;1000000,INDEX(기본자료!$K$2:$K$501,$AB36),IF(AND(INDEX(기본자료!$K$2:$K$501,$AB36)&gt;=10000101,INT(MOD(INDEX(기본자료!$K$2:$K$501,$AB36),10000)/100)&gt;=1,INT(MOD(INDEX(기본자료!$K$2:$K$501,$AB36),10000)/100)&lt;=12,MOD(INDEX(기본자료!$K$2:$K$501,$AB36),100)&gt;=1,MOD(INDEX(기본자료!$K$2:$K$501,$AB36),100)&lt;=31),DATE(INT(INDEX(기본자료!$K$2:$K$501,$AB36)/10000),INT(MOD(INDEX(기본자료!$K$2:$K$501,$AB36),10000)/100),MOD(INDEX(기본자료!$K$2:$K$501,$AB36),100)),INDEX(기본자료!$K$2:$K$501,$AB36)&amp;"")))))</f>
        <v/>
      </c>
      <c r="F36" s="10">
        <f>IF($AB36="","",IF(INDEX(기본자료!$D$2:$D$501,$AB36)="","",INDEX(기본자료!$D$2:$D$501,$AB36)))</f>
        <v/>
      </c>
      <c r="G36" s="10">
        <f>IF($AB36="","",IF(INDEX(기본자료!$E$2:$E$501,$AB36)="","",INDEX(기본자료!$E$2:$E$501,$AB36)))</f>
        <v/>
      </c>
      <c r="H36" s="10">
        <f>IF($AB36="","",IF(INDEX(기본자료!$F$2:$F$501,$AB36)="","",INDEX(기본자료!$F$2:$F$501,$AB36)))</f>
        <v/>
      </c>
      <c r="I36" s="11">
        <f>IF($AB36="","",IF(INDEX(기본자료!$G$2:$G$501,$AB36)="","",IF(NOT(ISNUMBER(INDEX(기본자료!$G$2:$G$501,$AB36))),INDEX(기본자료!$G$2:$G$501,$AB36),IF(INDEX(기본자료!$G$2:$G$501,$AB36)&lt;1000000,INDEX(기본자료!$G$2:$G$501,$AB36),IF(AND(INDEX(기본자료!$G$2:$G$501,$AB36)&gt;=10000101,INT(MOD(INDEX(기본자료!$G$2:$G$501,$AB36),10000)/100)&gt;=1,INT(MOD(INDEX(기본자료!$G$2:$G$501,$AB36),10000)/100)&lt;=12,MOD(INDEX(기본자료!$G$2:$G$501,$AB36),100)&gt;=1,MOD(INDEX(기본자료!$G$2:$G$501,$AB36),100)&lt;=31),DATE(INT(INDEX(기본자료!$G$2:$G$501,$AB36)/10000),INT(MOD(INDEX(기본자료!$G$2:$G$501,$AB36),10000)/100),MOD(INDEX(기본자료!$G$2:$G$501,$AB36),100)),INDEX(기본자료!$G$2:$G$501,$AB36)&amp;"")))))</f>
        <v/>
      </c>
      <c r="J36" s="10">
        <f>IF($AB36="","",IF(INDEX(기본자료!$H$2:$H$501,$AB36)="","",INDEX(기본자료!$H$2:$H$501,$AB36)))</f>
        <v/>
      </c>
      <c r="K36" s="10">
        <f>IF($AB36="","",IF(INDEX(기본자료!$I$2:$I$501,$AB36)="","",INDEX(기본자료!$I$2:$I$501,$AB36)))</f>
        <v/>
      </c>
      <c r="L36" s="10">
        <f>IF($AB36="","",IF(INDEX(기본자료!$A$2:$A$501,$AB36)="","",INDEX(기본자료!$A$2:$A$501,$AB36)))</f>
        <v/>
      </c>
      <c r="M36" s="15" t="n"/>
      <c r="N36" s="10">
        <f>IF($B36="","",IF(AND($U36="파견중",$Q36&lt;&gt;""),$Q36,IF(AND($AD36&lt;&gt;"",LEFT($AD36,1)&lt;&gt;"⚠"),LEFT($AD36,FIND(" ",$AD36)-1),IF($H36="","",IF(RIGHT($H36,2)="병원",$H36,$H36&amp;"병원")))))</f>
        <v/>
      </c>
      <c r="O36" s="10">
        <f>IF($B36="","",IF(AND($U36="파견중",$Q36&lt;&gt;""),IF($R36&lt;&gt;"",$R36,"파견과 미입력"),IF(AND($AD36&lt;&gt;"",LEFT($AD36,1)&lt;&gt;"⚠"),MID($AD36,FIND(" ",$AD36)+1,60),IF($F36="","",IF($F36="인턴","수련교육부(인턴)",$F36)))))</f>
        <v/>
      </c>
      <c r="P36" s="10">
        <f>IF($B36="","",IF($AK36&lt;&gt;"",IF(AND(TODAY()&gt;=INDEX(파견수련계획!$AB$4:$AB$203,$AK36),OR(NOT(ISNUMBER(INDEX(파견수련계획!$AC$4:$AC$203,$AK36))),TODAY()&lt;=INDEX(파견수련계획!$AC$4:$AC$203,$AK36))),"다기관",IF($AF36="","",INDEX(파견수련계획!$T$4:$T$203,$AF36))),IF($AF36="","",INDEX(파견수련계획!$T$4:$T$203,$AF36))))</f>
        <v/>
      </c>
      <c r="Q36" s="10">
        <f>IF($AF36="","",INDEX(파견수련계획!$S$4:$S$203,$AF36))</f>
        <v/>
      </c>
      <c r="R36" s="10">
        <f>IF($AF36="","",INDEX(파견수련계획!$U$4:$U$203,$AF36))</f>
        <v/>
      </c>
      <c r="S36" s="11">
        <f>IF($AF36="","",IF(INDEX(파견수련계획!$H$4:$H$203,$AF36)="","",INDEX(파견수련계획!$H$4:$H$203,$AF36)))</f>
        <v/>
      </c>
      <c r="T36" s="11">
        <f>IF($AF36="","",IF(INDEX(파견수련계획!$I$4:$I$203,$AF36)="","",INDEX(파견수련계획!$I$4:$I$203,$AF36)))</f>
        <v/>
      </c>
      <c r="U36" s="10">
        <f>IF($AF36="","",INDEX(파견수련계획!$X$4:$X$203,$AF36))</f>
        <v/>
      </c>
      <c r="V36" s="17">
        <f>IF($AF36="","",INDEX(파견수련계획!$V$4:$V$203,$AF36))</f>
        <v/>
      </c>
      <c r="W36" s="17">
        <f>IF(AND($U36="파견중",$T36&lt;&gt;""),$T36-TODAY(),"")</f>
        <v/>
      </c>
      <c r="X36" s="17">
        <f>IF(OR($B36="",TRIM($J36&amp;"")=""),"",SUMPRODUCT((파견수련계획!$Q$4:$Q$203=TRIM($J36&amp;""))*파견수련계획!$W$4:$W$203))</f>
        <v/>
      </c>
      <c r="Y36" s="10">
        <f>IF($B36="","",IF($AG36="","",IF(IF(TRIM($J36&amp;"")="",0,SUMPRODUCT((파견수련계획!$Q$4:$Q$203=TRIM($J36&amp;""))*파견수련계획!$AD$4:$AD$203))&gt;0,$AE36,IF(N($X36)&lt;=0,$AG36,IF($AH36+$AI36=DAY(EOMONTH(요약!$B$3,0)),IF(AND($AH36&gt;=요약!$E$3,$AI36&lt;요약!$E$3),"서울병원",IF(AND($AI36&gt;=요약!$E$3,$AH36&lt;요약!$E$3),"구리병원","⚠15일 판정불가(서울 "&amp;$AH36&amp;"일/구리 "&amp;$AI36&amp;"일)")),IF($AJ36="",$AE36,IF(INDEX(파견수련계획!$T$4:$T$203,$AJ36)="통합수련",INDEX(파견수련계획!$S$4:$S$203,$AJ36),$AE36)))))))</f>
        <v/>
      </c>
      <c r="Z36" s="19">
        <f>IF($B36="","",IF($AB36="","기본자료에 없는 사번",IF(COUNTIF($B$2:$B$201,$B36)&gt;1,"중복 사번",IF($AE36="","소속(입사장소) 입력",IF(IF(TRIM($J36&amp;"")="",0,SUMPRODUCT((파견수련계획!$Q$4:$Q$203=TRIM($J36&amp;""))*(파견수련계획!$AA$4:$AA$203&lt;&gt;"")))&gt;0,"파견수련계획 입력오류 확인",IF(LEFT($Y36,1)="⚠","서울·구리 15일 판정 불가(양쪽 모두 이상/미만)",IF(IF($AC36="",0,N(INDEX(인턴근무계획!$T$3:$T$202,$AC36)))&gt;0,"인턴계획 입력오류 확인",IF(AND($AC36&lt;&gt;"",$U36&lt;&gt;"파견중",$N36&lt;&gt;$AE36),"인턴 타지역 근무: 파견 여부 확인","정상"))))))))</f>
        <v/>
      </c>
      <c r="AA36" s="5" t="n"/>
      <c r="AB36" s="10">
        <f>IF($B36="","",IFERROR(MATCH($B36,기본자료!$B$2:$B$501,0),IFERROR(MATCH($B36&amp;"",기본자료!$B$2:$B$501,0),IFERROR(MATCH(VALUE($B36),기본자료!$B$2:$B$501,0),""))))</f>
        <v/>
      </c>
      <c r="AC36" s="10">
        <f>IF($B36="","",IFERROR(MATCH($B36,인턴근무계획!$D$3:$D$202,0),IFERROR(MATCH($B36&amp;"",인턴근무계획!$D$3:$D$202,0),IFERROR(MATCH(VALUE($B36),인턴근무계획!$D$3:$D$202,0),""))))</f>
        <v/>
      </c>
      <c r="AD36" s="10">
        <f>IF(OR($AC36="",인턴현황!$G$3=""),"",INDEX(인턴근무계획!$M$3:$R$202,$AC36,인턴현황!$G$3)&amp;"")</f>
        <v/>
      </c>
      <c r="AE36" s="10">
        <f>IF($B36="","",IF($M36&lt;&gt;"",$M36,IF($AF36&lt;&gt;"",IF(LEFT(INDEX(파견수련계획!$R$4:$R$203,$AF36),1)&lt;&gt;"⚠",INDEX(파견수련계획!$R$4:$R$203,$AF36),IF($H36="","",IF(RIGHT($H36,2)="병원",$H36,$H36&amp;"병원"))),IF($H36="","",IF(RIGHT($H36,2)="병원",$H36,$H36&amp;"병원")))))</f>
        <v/>
      </c>
      <c r="AF36" s="10">
        <f>IF(OR($B36="",TRIM($J36&amp;"")=""),"",IFERROR(MATCH(TRIM($J36&amp;"")&amp;"|파견중",파견수련계획!$Y$4:$Y$203,0),IFERROR(MATCH(TRIM($J36&amp;"")&amp;"|파견예정",파견수련계획!$Y$4:$Y$203,0),IFERROR(MATCH(TRIM($J36&amp;"")&amp;"|파견종료",파견수련계획!$Y$4:$Y$203,0),""))))</f>
        <v/>
      </c>
      <c r="AG36" s="10">
        <f>IF($B36="","",IF(AND(IF(OR($AC36="",인턴현황!$K$2=""),"",INDEX(인턴근무계획!$M$3:$R$202,$AC36,인턴현황!$K$2)&amp;"")&lt;&gt;"",LEFT(IF(OR($AC36="",인턴현황!$K$2=""),"",INDEX(인턴근무계획!$M$3:$R$202,$AC36,인턴현황!$K$2)&amp;""),1)&lt;&gt;"⚠"),LEFT(IF(OR($AC36="",인턴현황!$K$2=""),"",INDEX(인턴근무계획!$M$3:$R$202,$AC36,인턴현황!$K$2)&amp;""),FIND(" ",IF(OR($AC36="",인턴현황!$K$2=""),"",INDEX(인턴근무계획!$M$3:$R$202,$AC36,인턴현황!$K$2)&amp;""))-1),$AE36))</f>
        <v/>
      </c>
      <c r="AH36" s="17">
        <f>IF($B36="","",IF(TRIM($J36&amp;"")="",0,SUMPRODUCT((파견수련계획!$Q$4:$Q$203=TRIM($J36&amp;""))*(파견수련계획!$S$4:$S$203="서울병원")*파견수련계획!$W$4:$W$203))+IF($AG36="서울병원",MAX(0,DAY(EOMONTH(요약!$B$3,0))-N($X36)),0))</f>
        <v/>
      </c>
      <c r="AI36" s="17">
        <f>IF($B36="","",IF(TRIM($J36&amp;"")="",0,SUMPRODUCT((파견수련계획!$Q$4:$Q$203=TRIM($J36&amp;""))*(파견수련계획!$S$4:$S$203="구리병원")*파견수련계획!$W$4:$W$203))+IF($AG36="구리병원",MAX(0,DAY(EOMONTH(요약!$B$3,0))-N($X36)),0))</f>
        <v/>
      </c>
      <c r="AJ36" s="10">
        <f>IF(OR($B36="",TRIM($J36&amp;"")=""),"",IFERROR(MATCH(TRIM($J36&amp;"")&amp;"|월",파견수련계획!$Z$4:$Z$203,0),""))</f>
        <v/>
      </c>
      <c r="AK36" s="10">
        <f>IF(OR($B36="",TRIM($J36&amp;"")=""),"",IFERROR(MATCH(TRIM($J36&amp;"")&amp;"|다기관",파견수련계획!$AE$4:$AE$203,0),""))</f>
        <v/>
      </c>
      <c r="AL36" s="10">
        <f>IF($AK36="","","다기관 "&amp;TEXT(INDEX(파견수련계획!$AB$4:$AB$203,$AK36),"yyyy-mm-dd")&amp;"~"&amp;IF(ISNUMBER(INDEX(파견수련계획!$AC$4:$AC$203,$AK36)),TEXT(INDEX(파견수련계획!$AC$4:$AC$203,$AK36),"yyyy-mm-dd"),""))</f>
        <v/>
      </c>
    </row>
    <row r="37">
      <c r="A37" s="10">
        <f>IF(B37="","",ROW()-1)</f>
        <v/>
      </c>
      <c r="B37" s="18" t="n"/>
      <c r="C37" s="10">
        <f>IF($AB37="","",IF(INDEX(기본자료!$C$2:$C$501,$AB37)="","",INDEX(기본자료!$C$2:$C$501,$AB37)))</f>
        <v/>
      </c>
      <c r="D37" s="10">
        <f>IF($AB37="","",IF(INDEX(기본자료!$J$2:$J$501,$AB37)="","",INDEX(기본자료!$J$2:$J$501,$AB37)))</f>
        <v/>
      </c>
      <c r="E37" s="11">
        <f>IF($AB37="","",IF(INDEX(기본자료!$K$2:$K$501,$AB37)="","",IF(NOT(ISNUMBER(INDEX(기본자료!$K$2:$K$501,$AB37))),INDEX(기본자료!$K$2:$K$501,$AB37),IF(INDEX(기본자료!$K$2:$K$501,$AB37)&lt;1000000,INDEX(기본자료!$K$2:$K$501,$AB37),IF(AND(INDEX(기본자료!$K$2:$K$501,$AB37)&gt;=10000101,INT(MOD(INDEX(기본자료!$K$2:$K$501,$AB37),10000)/100)&gt;=1,INT(MOD(INDEX(기본자료!$K$2:$K$501,$AB37),10000)/100)&lt;=12,MOD(INDEX(기본자료!$K$2:$K$501,$AB37),100)&gt;=1,MOD(INDEX(기본자료!$K$2:$K$501,$AB37),100)&lt;=31),DATE(INT(INDEX(기본자료!$K$2:$K$501,$AB37)/10000),INT(MOD(INDEX(기본자료!$K$2:$K$501,$AB37),10000)/100),MOD(INDEX(기본자료!$K$2:$K$501,$AB37),100)),INDEX(기본자료!$K$2:$K$501,$AB37)&amp;"")))))</f>
        <v/>
      </c>
      <c r="F37" s="10">
        <f>IF($AB37="","",IF(INDEX(기본자료!$D$2:$D$501,$AB37)="","",INDEX(기본자료!$D$2:$D$501,$AB37)))</f>
        <v/>
      </c>
      <c r="G37" s="10">
        <f>IF($AB37="","",IF(INDEX(기본자료!$E$2:$E$501,$AB37)="","",INDEX(기본자료!$E$2:$E$501,$AB37)))</f>
        <v/>
      </c>
      <c r="H37" s="10">
        <f>IF($AB37="","",IF(INDEX(기본자료!$F$2:$F$501,$AB37)="","",INDEX(기본자료!$F$2:$F$501,$AB37)))</f>
        <v/>
      </c>
      <c r="I37" s="11">
        <f>IF($AB37="","",IF(INDEX(기본자료!$G$2:$G$501,$AB37)="","",IF(NOT(ISNUMBER(INDEX(기본자료!$G$2:$G$501,$AB37))),INDEX(기본자료!$G$2:$G$501,$AB37),IF(INDEX(기본자료!$G$2:$G$501,$AB37)&lt;1000000,INDEX(기본자료!$G$2:$G$501,$AB37),IF(AND(INDEX(기본자료!$G$2:$G$501,$AB37)&gt;=10000101,INT(MOD(INDEX(기본자료!$G$2:$G$501,$AB37),10000)/100)&gt;=1,INT(MOD(INDEX(기본자료!$G$2:$G$501,$AB37),10000)/100)&lt;=12,MOD(INDEX(기본자료!$G$2:$G$501,$AB37),100)&gt;=1,MOD(INDEX(기본자료!$G$2:$G$501,$AB37),100)&lt;=31),DATE(INT(INDEX(기본자료!$G$2:$G$501,$AB37)/10000),INT(MOD(INDEX(기본자료!$G$2:$G$501,$AB37),10000)/100),MOD(INDEX(기본자료!$G$2:$G$501,$AB37),100)),INDEX(기본자료!$G$2:$G$501,$AB37)&amp;"")))))</f>
        <v/>
      </c>
      <c r="J37" s="10">
        <f>IF($AB37="","",IF(INDEX(기본자료!$H$2:$H$501,$AB37)="","",INDEX(기본자료!$H$2:$H$501,$AB37)))</f>
        <v/>
      </c>
      <c r="K37" s="10">
        <f>IF($AB37="","",IF(INDEX(기본자료!$I$2:$I$501,$AB37)="","",INDEX(기본자료!$I$2:$I$501,$AB37)))</f>
        <v/>
      </c>
      <c r="L37" s="10">
        <f>IF($AB37="","",IF(INDEX(기본자료!$A$2:$A$501,$AB37)="","",INDEX(기본자료!$A$2:$A$501,$AB37)))</f>
        <v/>
      </c>
      <c r="M37" s="15" t="n"/>
      <c r="N37" s="10">
        <f>IF($B37="","",IF(AND($U37="파견중",$Q37&lt;&gt;""),$Q37,IF(AND($AD37&lt;&gt;"",LEFT($AD37,1)&lt;&gt;"⚠"),LEFT($AD37,FIND(" ",$AD37)-1),IF($H37="","",IF(RIGHT($H37,2)="병원",$H37,$H37&amp;"병원")))))</f>
        <v/>
      </c>
      <c r="O37" s="10">
        <f>IF($B37="","",IF(AND($U37="파견중",$Q37&lt;&gt;""),IF($R37&lt;&gt;"",$R37,"파견과 미입력"),IF(AND($AD37&lt;&gt;"",LEFT($AD37,1)&lt;&gt;"⚠"),MID($AD37,FIND(" ",$AD37)+1,60),IF($F37="","",IF($F37="인턴","수련교육부(인턴)",$F37)))))</f>
        <v/>
      </c>
      <c r="P37" s="10">
        <f>IF($B37="","",IF($AK37&lt;&gt;"",IF(AND(TODAY()&gt;=INDEX(파견수련계획!$AB$4:$AB$203,$AK37),OR(NOT(ISNUMBER(INDEX(파견수련계획!$AC$4:$AC$203,$AK37))),TODAY()&lt;=INDEX(파견수련계획!$AC$4:$AC$203,$AK37))),"다기관",IF($AF37="","",INDEX(파견수련계획!$T$4:$T$203,$AF37))),IF($AF37="","",INDEX(파견수련계획!$T$4:$T$203,$AF37))))</f>
        <v/>
      </c>
      <c r="Q37" s="10">
        <f>IF($AF37="","",INDEX(파견수련계획!$S$4:$S$203,$AF37))</f>
        <v/>
      </c>
      <c r="R37" s="10">
        <f>IF($AF37="","",INDEX(파견수련계획!$U$4:$U$203,$AF37))</f>
        <v/>
      </c>
      <c r="S37" s="11">
        <f>IF($AF37="","",IF(INDEX(파견수련계획!$H$4:$H$203,$AF37)="","",INDEX(파견수련계획!$H$4:$H$203,$AF37)))</f>
        <v/>
      </c>
      <c r="T37" s="11">
        <f>IF($AF37="","",IF(INDEX(파견수련계획!$I$4:$I$203,$AF37)="","",INDEX(파견수련계획!$I$4:$I$203,$AF37)))</f>
        <v/>
      </c>
      <c r="U37" s="10">
        <f>IF($AF37="","",INDEX(파견수련계획!$X$4:$X$203,$AF37))</f>
        <v/>
      </c>
      <c r="V37" s="17">
        <f>IF($AF37="","",INDEX(파견수련계획!$V$4:$V$203,$AF37))</f>
        <v/>
      </c>
      <c r="W37" s="17">
        <f>IF(AND($U37="파견중",$T37&lt;&gt;""),$T37-TODAY(),"")</f>
        <v/>
      </c>
      <c r="X37" s="17">
        <f>IF(OR($B37="",TRIM($J37&amp;"")=""),"",SUMPRODUCT((파견수련계획!$Q$4:$Q$203=TRIM($J37&amp;""))*파견수련계획!$W$4:$W$203))</f>
        <v/>
      </c>
      <c r="Y37" s="10">
        <f>IF($B37="","",IF($AG37="","",IF(IF(TRIM($J37&amp;"")="",0,SUMPRODUCT((파견수련계획!$Q$4:$Q$203=TRIM($J37&amp;""))*파견수련계획!$AD$4:$AD$203))&gt;0,$AE37,IF(N($X37)&lt;=0,$AG37,IF($AH37+$AI37=DAY(EOMONTH(요약!$B$3,0)),IF(AND($AH37&gt;=요약!$E$3,$AI37&lt;요약!$E$3),"서울병원",IF(AND($AI37&gt;=요약!$E$3,$AH37&lt;요약!$E$3),"구리병원","⚠15일 판정불가(서울 "&amp;$AH37&amp;"일/구리 "&amp;$AI37&amp;"일)")),IF($AJ37="",$AE37,IF(INDEX(파견수련계획!$T$4:$T$203,$AJ37)="통합수련",INDEX(파견수련계획!$S$4:$S$203,$AJ37),$AE37)))))))</f>
        <v/>
      </c>
      <c r="Z37" s="19">
        <f>IF($B37="","",IF($AB37="","기본자료에 없는 사번",IF(COUNTIF($B$2:$B$201,$B37)&gt;1,"중복 사번",IF($AE37="","소속(입사장소) 입력",IF(IF(TRIM($J37&amp;"")="",0,SUMPRODUCT((파견수련계획!$Q$4:$Q$203=TRIM($J37&amp;""))*(파견수련계획!$AA$4:$AA$203&lt;&gt;"")))&gt;0,"파견수련계획 입력오류 확인",IF(LEFT($Y37,1)="⚠","서울·구리 15일 판정 불가(양쪽 모두 이상/미만)",IF(IF($AC37="",0,N(INDEX(인턴근무계획!$T$3:$T$202,$AC37)))&gt;0,"인턴계획 입력오류 확인",IF(AND($AC37&lt;&gt;"",$U37&lt;&gt;"파견중",$N37&lt;&gt;$AE37),"인턴 타지역 근무: 파견 여부 확인","정상"))))))))</f>
        <v/>
      </c>
      <c r="AA37" s="5" t="n"/>
      <c r="AB37" s="10">
        <f>IF($B37="","",IFERROR(MATCH($B37,기본자료!$B$2:$B$501,0),IFERROR(MATCH($B37&amp;"",기본자료!$B$2:$B$501,0),IFERROR(MATCH(VALUE($B37),기본자료!$B$2:$B$501,0),""))))</f>
        <v/>
      </c>
      <c r="AC37" s="10">
        <f>IF($B37="","",IFERROR(MATCH($B37,인턴근무계획!$D$3:$D$202,0),IFERROR(MATCH($B37&amp;"",인턴근무계획!$D$3:$D$202,0),IFERROR(MATCH(VALUE($B37),인턴근무계획!$D$3:$D$202,0),""))))</f>
        <v/>
      </c>
      <c r="AD37" s="10">
        <f>IF(OR($AC37="",인턴현황!$G$3=""),"",INDEX(인턴근무계획!$M$3:$R$202,$AC37,인턴현황!$G$3)&amp;"")</f>
        <v/>
      </c>
      <c r="AE37" s="10">
        <f>IF($B37="","",IF($M37&lt;&gt;"",$M37,IF($AF37&lt;&gt;"",IF(LEFT(INDEX(파견수련계획!$R$4:$R$203,$AF37),1)&lt;&gt;"⚠",INDEX(파견수련계획!$R$4:$R$203,$AF37),IF($H37="","",IF(RIGHT($H37,2)="병원",$H37,$H37&amp;"병원"))),IF($H37="","",IF(RIGHT($H37,2)="병원",$H37,$H37&amp;"병원")))))</f>
        <v/>
      </c>
      <c r="AF37" s="10">
        <f>IF(OR($B37="",TRIM($J37&amp;"")=""),"",IFERROR(MATCH(TRIM($J37&amp;"")&amp;"|파견중",파견수련계획!$Y$4:$Y$203,0),IFERROR(MATCH(TRIM($J37&amp;"")&amp;"|파견예정",파견수련계획!$Y$4:$Y$203,0),IFERROR(MATCH(TRIM($J37&amp;"")&amp;"|파견종료",파견수련계획!$Y$4:$Y$203,0),""))))</f>
        <v/>
      </c>
      <c r="AG37" s="10">
        <f>IF($B37="","",IF(AND(IF(OR($AC37="",인턴현황!$K$2=""),"",INDEX(인턴근무계획!$M$3:$R$202,$AC37,인턴현황!$K$2)&amp;"")&lt;&gt;"",LEFT(IF(OR($AC37="",인턴현황!$K$2=""),"",INDEX(인턴근무계획!$M$3:$R$202,$AC37,인턴현황!$K$2)&amp;""),1)&lt;&gt;"⚠"),LEFT(IF(OR($AC37="",인턴현황!$K$2=""),"",INDEX(인턴근무계획!$M$3:$R$202,$AC37,인턴현황!$K$2)&amp;""),FIND(" ",IF(OR($AC37="",인턴현황!$K$2=""),"",INDEX(인턴근무계획!$M$3:$R$202,$AC37,인턴현황!$K$2)&amp;""))-1),$AE37))</f>
        <v/>
      </c>
      <c r="AH37" s="17">
        <f>IF($B37="","",IF(TRIM($J37&amp;"")="",0,SUMPRODUCT((파견수련계획!$Q$4:$Q$203=TRIM($J37&amp;""))*(파견수련계획!$S$4:$S$203="서울병원")*파견수련계획!$W$4:$W$203))+IF($AG37="서울병원",MAX(0,DAY(EOMONTH(요약!$B$3,0))-N($X37)),0))</f>
        <v/>
      </c>
      <c r="AI37" s="17">
        <f>IF($B37="","",IF(TRIM($J37&amp;"")="",0,SUMPRODUCT((파견수련계획!$Q$4:$Q$203=TRIM($J37&amp;""))*(파견수련계획!$S$4:$S$203="구리병원")*파견수련계획!$W$4:$W$203))+IF($AG37="구리병원",MAX(0,DAY(EOMONTH(요약!$B$3,0))-N($X37)),0))</f>
        <v/>
      </c>
      <c r="AJ37" s="10">
        <f>IF(OR($B37="",TRIM($J37&amp;"")=""),"",IFERROR(MATCH(TRIM($J37&amp;"")&amp;"|월",파견수련계획!$Z$4:$Z$203,0),""))</f>
        <v/>
      </c>
      <c r="AK37" s="10">
        <f>IF(OR($B37="",TRIM($J37&amp;"")=""),"",IFERROR(MATCH(TRIM($J37&amp;"")&amp;"|다기관",파견수련계획!$AE$4:$AE$203,0),""))</f>
        <v/>
      </c>
      <c r="AL37" s="10">
        <f>IF($AK37="","","다기관 "&amp;TEXT(INDEX(파견수련계획!$AB$4:$AB$203,$AK37),"yyyy-mm-dd")&amp;"~"&amp;IF(ISNUMBER(INDEX(파견수련계획!$AC$4:$AC$203,$AK37)),TEXT(INDEX(파견수련계획!$AC$4:$AC$203,$AK37),"yyyy-mm-dd"),""))</f>
        <v/>
      </c>
    </row>
    <row r="38">
      <c r="A38" s="10">
        <f>IF(B38="","",ROW()-1)</f>
        <v/>
      </c>
      <c r="B38" s="18" t="n"/>
      <c r="C38" s="10">
        <f>IF($AB38="","",IF(INDEX(기본자료!$C$2:$C$501,$AB38)="","",INDEX(기본자료!$C$2:$C$501,$AB38)))</f>
        <v/>
      </c>
      <c r="D38" s="10">
        <f>IF($AB38="","",IF(INDEX(기본자료!$J$2:$J$501,$AB38)="","",INDEX(기본자료!$J$2:$J$501,$AB38)))</f>
        <v/>
      </c>
      <c r="E38" s="11">
        <f>IF($AB38="","",IF(INDEX(기본자료!$K$2:$K$501,$AB38)="","",IF(NOT(ISNUMBER(INDEX(기본자료!$K$2:$K$501,$AB38))),INDEX(기본자료!$K$2:$K$501,$AB38),IF(INDEX(기본자료!$K$2:$K$501,$AB38)&lt;1000000,INDEX(기본자료!$K$2:$K$501,$AB38),IF(AND(INDEX(기본자료!$K$2:$K$501,$AB38)&gt;=10000101,INT(MOD(INDEX(기본자료!$K$2:$K$501,$AB38),10000)/100)&gt;=1,INT(MOD(INDEX(기본자료!$K$2:$K$501,$AB38),10000)/100)&lt;=12,MOD(INDEX(기본자료!$K$2:$K$501,$AB38),100)&gt;=1,MOD(INDEX(기본자료!$K$2:$K$501,$AB38),100)&lt;=31),DATE(INT(INDEX(기본자료!$K$2:$K$501,$AB38)/10000),INT(MOD(INDEX(기본자료!$K$2:$K$501,$AB38),10000)/100),MOD(INDEX(기본자료!$K$2:$K$501,$AB38),100)),INDEX(기본자료!$K$2:$K$501,$AB38)&amp;"")))))</f>
        <v/>
      </c>
      <c r="F38" s="10">
        <f>IF($AB38="","",IF(INDEX(기본자료!$D$2:$D$501,$AB38)="","",INDEX(기본자료!$D$2:$D$501,$AB38)))</f>
        <v/>
      </c>
      <c r="G38" s="10">
        <f>IF($AB38="","",IF(INDEX(기본자료!$E$2:$E$501,$AB38)="","",INDEX(기본자료!$E$2:$E$501,$AB38)))</f>
        <v/>
      </c>
      <c r="H38" s="10">
        <f>IF($AB38="","",IF(INDEX(기본자료!$F$2:$F$501,$AB38)="","",INDEX(기본자료!$F$2:$F$501,$AB38)))</f>
        <v/>
      </c>
      <c r="I38" s="11">
        <f>IF($AB38="","",IF(INDEX(기본자료!$G$2:$G$501,$AB38)="","",IF(NOT(ISNUMBER(INDEX(기본자료!$G$2:$G$501,$AB38))),INDEX(기본자료!$G$2:$G$501,$AB38),IF(INDEX(기본자료!$G$2:$G$501,$AB38)&lt;1000000,INDEX(기본자료!$G$2:$G$501,$AB38),IF(AND(INDEX(기본자료!$G$2:$G$501,$AB38)&gt;=10000101,INT(MOD(INDEX(기본자료!$G$2:$G$501,$AB38),10000)/100)&gt;=1,INT(MOD(INDEX(기본자료!$G$2:$G$501,$AB38),10000)/100)&lt;=12,MOD(INDEX(기본자료!$G$2:$G$501,$AB38),100)&gt;=1,MOD(INDEX(기본자료!$G$2:$G$501,$AB38),100)&lt;=31),DATE(INT(INDEX(기본자료!$G$2:$G$501,$AB38)/10000),INT(MOD(INDEX(기본자료!$G$2:$G$501,$AB38),10000)/100),MOD(INDEX(기본자료!$G$2:$G$501,$AB38),100)),INDEX(기본자료!$G$2:$G$501,$AB38)&amp;"")))))</f>
        <v/>
      </c>
      <c r="J38" s="10">
        <f>IF($AB38="","",IF(INDEX(기본자료!$H$2:$H$501,$AB38)="","",INDEX(기본자료!$H$2:$H$501,$AB38)))</f>
        <v/>
      </c>
      <c r="K38" s="10">
        <f>IF($AB38="","",IF(INDEX(기본자료!$I$2:$I$501,$AB38)="","",INDEX(기본자료!$I$2:$I$501,$AB38)))</f>
        <v/>
      </c>
      <c r="L38" s="10">
        <f>IF($AB38="","",IF(INDEX(기본자료!$A$2:$A$501,$AB38)="","",INDEX(기본자료!$A$2:$A$501,$AB38)))</f>
        <v/>
      </c>
      <c r="M38" s="15" t="n"/>
      <c r="N38" s="10">
        <f>IF($B38="","",IF(AND($U38="파견중",$Q38&lt;&gt;""),$Q38,IF(AND($AD38&lt;&gt;"",LEFT($AD38,1)&lt;&gt;"⚠"),LEFT($AD38,FIND(" ",$AD38)-1),IF($H38="","",IF(RIGHT($H38,2)="병원",$H38,$H38&amp;"병원")))))</f>
        <v/>
      </c>
      <c r="O38" s="10">
        <f>IF($B38="","",IF(AND($U38="파견중",$Q38&lt;&gt;""),IF($R38&lt;&gt;"",$R38,"파견과 미입력"),IF(AND($AD38&lt;&gt;"",LEFT($AD38,1)&lt;&gt;"⚠"),MID($AD38,FIND(" ",$AD38)+1,60),IF($F38="","",IF($F38="인턴","수련교육부(인턴)",$F38)))))</f>
        <v/>
      </c>
      <c r="P38" s="10">
        <f>IF($B38="","",IF($AK38&lt;&gt;"",IF(AND(TODAY()&gt;=INDEX(파견수련계획!$AB$4:$AB$203,$AK38),OR(NOT(ISNUMBER(INDEX(파견수련계획!$AC$4:$AC$203,$AK38))),TODAY()&lt;=INDEX(파견수련계획!$AC$4:$AC$203,$AK38))),"다기관",IF($AF38="","",INDEX(파견수련계획!$T$4:$T$203,$AF38))),IF($AF38="","",INDEX(파견수련계획!$T$4:$T$203,$AF38))))</f>
        <v/>
      </c>
      <c r="Q38" s="10">
        <f>IF($AF38="","",INDEX(파견수련계획!$S$4:$S$203,$AF38))</f>
        <v/>
      </c>
      <c r="R38" s="10">
        <f>IF($AF38="","",INDEX(파견수련계획!$U$4:$U$203,$AF38))</f>
        <v/>
      </c>
      <c r="S38" s="11">
        <f>IF($AF38="","",IF(INDEX(파견수련계획!$H$4:$H$203,$AF38)="","",INDEX(파견수련계획!$H$4:$H$203,$AF38)))</f>
        <v/>
      </c>
      <c r="T38" s="11">
        <f>IF($AF38="","",IF(INDEX(파견수련계획!$I$4:$I$203,$AF38)="","",INDEX(파견수련계획!$I$4:$I$203,$AF38)))</f>
        <v/>
      </c>
      <c r="U38" s="10">
        <f>IF($AF38="","",INDEX(파견수련계획!$X$4:$X$203,$AF38))</f>
        <v/>
      </c>
      <c r="V38" s="17">
        <f>IF($AF38="","",INDEX(파견수련계획!$V$4:$V$203,$AF38))</f>
        <v/>
      </c>
      <c r="W38" s="17">
        <f>IF(AND($U38="파견중",$T38&lt;&gt;""),$T38-TODAY(),"")</f>
        <v/>
      </c>
      <c r="X38" s="17">
        <f>IF(OR($B38="",TRIM($J38&amp;"")=""),"",SUMPRODUCT((파견수련계획!$Q$4:$Q$203=TRIM($J38&amp;""))*파견수련계획!$W$4:$W$203))</f>
        <v/>
      </c>
      <c r="Y38" s="10">
        <f>IF($B38="","",IF($AG38="","",IF(IF(TRIM($J38&amp;"")="",0,SUMPRODUCT((파견수련계획!$Q$4:$Q$203=TRIM($J38&amp;""))*파견수련계획!$AD$4:$AD$203))&gt;0,$AE38,IF(N($X38)&lt;=0,$AG38,IF($AH38+$AI38=DAY(EOMONTH(요약!$B$3,0)),IF(AND($AH38&gt;=요약!$E$3,$AI38&lt;요약!$E$3),"서울병원",IF(AND($AI38&gt;=요약!$E$3,$AH38&lt;요약!$E$3),"구리병원","⚠15일 판정불가(서울 "&amp;$AH38&amp;"일/구리 "&amp;$AI38&amp;"일)")),IF($AJ38="",$AE38,IF(INDEX(파견수련계획!$T$4:$T$203,$AJ38)="통합수련",INDEX(파견수련계획!$S$4:$S$203,$AJ38),$AE38)))))))</f>
        <v/>
      </c>
      <c r="Z38" s="19">
        <f>IF($B38="","",IF($AB38="","기본자료에 없는 사번",IF(COUNTIF($B$2:$B$201,$B38)&gt;1,"중복 사번",IF($AE38="","소속(입사장소) 입력",IF(IF(TRIM($J38&amp;"")="",0,SUMPRODUCT((파견수련계획!$Q$4:$Q$203=TRIM($J38&amp;""))*(파견수련계획!$AA$4:$AA$203&lt;&gt;"")))&gt;0,"파견수련계획 입력오류 확인",IF(LEFT($Y38,1)="⚠","서울·구리 15일 판정 불가(양쪽 모두 이상/미만)",IF(IF($AC38="",0,N(INDEX(인턴근무계획!$T$3:$T$202,$AC38)))&gt;0,"인턴계획 입력오류 확인",IF(AND($AC38&lt;&gt;"",$U38&lt;&gt;"파견중",$N38&lt;&gt;$AE38),"인턴 타지역 근무: 파견 여부 확인","정상"))))))))</f>
        <v/>
      </c>
      <c r="AA38" s="5" t="n"/>
      <c r="AB38" s="10">
        <f>IF($B38="","",IFERROR(MATCH($B38,기본자료!$B$2:$B$501,0),IFERROR(MATCH($B38&amp;"",기본자료!$B$2:$B$501,0),IFERROR(MATCH(VALUE($B38),기본자료!$B$2:$B$501,0),""))))</f>
        <v/>
      </c>
      <c r="AC38" s="10">
        <f>IF($B38="","",IFERROR(MATCH($B38,인턴근무계획!$D$3:$D$202,0),IFERROR(MATCH($B38&amp;"",인턴근무계획!$D$3:$D$202,0),IFERROR(MATCH(VALUE($B38),인턴근무계획!$D$3:$D$202,0),""))))</f>
        <v/>
      </c>
      <c r="AD38" s="10">
        <f>IF(OR($AC38="",인턴현황!$G$3=""),"",INDEX(인턴근무계획!$M$3:$R$202,$AC38,인턴현황!$G$3)&amp;"")</f>
        <v/>
      </c>
      <c r="AE38" s="10">
        <f>IF($B38="","",IF($M38&lt;&gt;"",$M38,IF($AF38&lt;&gt;"",IF(LEFT(INDEX(파견수련계획!$R$4:$R$203,$AF38),1)&lt;&gt;"⚠",INDEX(파견수련계획!$R$4:$R$203,$AF38),IF($H38="","",IF(RIGHT($H38,2)="병원",$H38,$H38&amp;"병원"))),IF($H38="","",IF(RIGHT($H38,2)="병원",$H38,$H38&amp;"병원")))))</f>
        <v/>
      </c>
      <c r="AF38" s="10">
        <f>IF(OR($B38="",TRIM($J38&amp;"")=""),"",IFERROR(MATCH(TRIM($J38&amp;"")&amp;"|파견중",파견수련계획!$Y$4:$Y$203,0),IFERROR(MATCH(TRIM($J38&amp;"")&amp;"|파견예정",파견수련계획!$Y$4:$Y$203,0),IFERROR(MATCH(TRIM($J38&amp;"")&amp;"|파견종료",파견수련계획!$Y$4:$Y$203,0),""))))</f>
        <v/>
      </c>
      <c r="AG38" s="10">
        <f>IF($B38="","",IF(AND(IF(OR($AC38="",인턴현황!$K$2=""),"",INDEX(인턴근무계획!$M$3:$R$202,$AC38,인턴현황!$K$2)&amp;"")&lt;&gt;"",LEFT(IF(OR($AC38="",인턴현황!$K$2=""),"",INDEX(인턴근무계획!$M$3:$R$202,$AC38,인턴현황!$K$2)&amp;""),1)&lt;&gt;"⚠"),LEFT(IF(OR($AC38="",인턴현황!$K$2=""),"",INDEX(인턴근무계획!$M$3:$R$202,$AC38,인턴현황!$K$2)&amp;""),FIND(" ",IF(OR($AC38="",인턴현황!$K$2=""),"",INDEX(인턴근무계획!$M$3:$R$202,$AC38,인턴현황!$K$2)&amp;""))-1),$AE38))</f>
        <v/>
      </c>
      <c r="AH38" s="17">
        <f>IF($B38="","",IF(TRIM($J38&amp;"")="",0,SUMPRODUCT((파견수련계획!$Q$4:$Q$203=TRIM($J38&amp;""))*(파견수련계획!$S$4:$S$203="서울병원")*파견수련계획!$W$4:$W$203))+IF($AG38="서울병원",MAX(0,DAY(EOMONTH(요약!$B$3,0))-N($X38)),0))</f>
        <v/>
      </c>
      <c r="AI38" s="17">
        <f>IF($B38="","",IF(TRIM($J38&amp;"")="",0,SUMPRODUCT((파견수련계획!$Q$4:$Q$203=TRIM($J38&amp;""))*(파견수련계획!$S$4:$S$203="구리병원")*파견수련계획!$W$4:$W$203))+IF($AG38="구리병원",MAX(0,DAY(EOMONTH(요약!$B$3,0))-N($X38)),0))</f>
        <v/>
      </c>
      <c r="AJ38" s="10">
        <f>IF(OR($B38="",TRIM($J38&amp;"")=""),"",IFERROR(MATCH(TRIM($J38&amp;"")&amp;"|월",파견수련계획!$Z$4:$Z$203,0),""))</f>
        <v/>
      </c>
      <c r="AK38" s="10">
        <f>IF(OR($B38="",TRIM($J38&amp;"")=""),"",IFERROR(MATCH(TRIM($J38&amp;"")&amp;"|다기관",파견수련계획!$AE$4:$AE$203,0),""))</f>
        <v/>
      </c>
      <c r="AL38" s="10">
        <f>IF($AK38="","","다기관 "&amp;TEXT(INDEX(파견수련계획!$AB$4:$AB$203,$AK38),"yyyy-mm-dd")&amp;"~"&amp;IF(ISNUMBER(INDEX(파견수련계획!$AC$4:$AC$203,$AK38)),TEXT(INDEX(파견수련계획!$AC$4:$AC$203,$AK38),"yyyy-mm-dd"),""))</f>
        <v/>
      </c>
    </row>
    <row r="39">
      <c r="A39" s="10">
        <f>IF(B39="","",ROW()-1)</f>
        <v/>
      </c>
      <c r="B39" s="18" t="n"/>
      <c r="C39" s="10">
        <f>IF($AB39="","",IF(INDEX(기본자료!$C$2:$C$501,$AB39)="","",INDEX(기본자료!$C$2:$C$501,$AB39)))</f>
        <v/>
      </c>
      <c r="D39" s="10">
        <f>IF($AB39="","",IF(INDEX(기본자료!$J$2:$J$501,$AB39)="","",INDEX(기본자료!$J$2:$J$501,$AB39)))</f>
        <v/>
      </c>
      <c r="E39" s="11">
        <f>IF($AB39="","",IF(INDEX(기본자료!$K$2:$K$501,$AB39)="","",IF(NOT(ISNUMBER(INDEX(기본자료!$K$2:$K$501,$AB39))),INDEX(기본자료!$K$2:$K$501,$AB39),IF(INDEX(기본자료!$K$2:$K$501,$AB39)&lt;1000000,INDEX(기본자료!$K$2:$K$501,$AB39),IF(AND(INDEX(기본자료!$K$2:$K$501,$AB39)&gt;=10000101,INT(MOD(INDEX(기본자료!$K$2:$K$501,$AB39),10000)/100)&gt;=1,INT(MOD(INDEX(기본자료!$K$2:$K$501,$AB39),10000)/100)&lt;=12,MOD(INDEX(기본자료!$K$2:$K$501,$AB39),100)&gt;=1,MOD(INDEX(기본자료!$K$2:$K$501,$AB39),100)&lt;=31),DATE(INT(INDEX(기본자료!$K$2:$K$501,$AB39)/10000),INT(MOD(INDEX(기본자료!$K$2:$K$501,$AB39),10000)/100),MOD(INDEX(기본자료!$K$2:$K$501,$AB39),100)),INDEX(기본자료!$K$2:$K$501,$AB39)&amp;"")))))</f>
        <v/>
      </c>
      <c r="F39" s="10">
        <f>IF($AB39="","",IF(INDEX(기본자료!$D$2:$D$501,$AB39)="","",INDEX(기본자료!$D$2:$D$501,$AB39)))</f>
        <v/>
      </c>
      <c r="G39" s="10">
        <f>IF($AB39="","",IF(INDEX(기본자료!$E$2:$E$501,$AB39)="","",INDEX(기본자료!$E$2:$E$501,$AB39)))</f>
        <v/>
      </c>
      <c r="H39" s="10">
        <f>IF($AB39="","",IF(INDEX(기본자료!$F$2:$F$501,$AB39)="","",INDEX(기본자료!$F$2:$F$501,$AB39)))</f>
        <v/>
      </c>
      <c r="I39" s="11">
        <f>IF($AB39="","",IF(INDEX(기본자료!$G$2:$G$501,$AB39)="","",IF(NOT(ISNUMBER(INDEX(기본자료!$G$2:$G$501,$AB39))),INDEX(기본자료!$G$2:$G$501,$AB39),IF(INDEX(기본자료!$G$2:$G$501,$AB39)&lt;1000000,INDEX(기본자료!$G$2:$G$501,$AB39),IF(AND(INDEX(기본자료!$G$2:$G$501,$AB39)&gt;=10000101,INT(MOD(INDEX(기본자료!$G$2:$G$501,$AB39),10000)/100)&gt;=1,INT(MOD(INDEX(기본자료!$G$2:$G$501,$AB39),10000)/100)&lt;=12,MOD(INDEX(기본자료!$G$2:$G$501,$AB39),100)&gt;=1,MOD(INDEX(기본자료!$G$2:$G$501,$AB39),100)&lt;=31),DATE(INT(INDEX(기본자료!$G$2:$G$501,$AB39)/10000),INT(MOD(INDEX(기본자료!$G$2:$G$501,$AB39),10000)/100),MOD(INDEX(기본자료!$G$2:$G$501,$AB39),100)),INDEX(기본자료!$G$2:$G$501,$AB39)&amp;"")))))</f>
        <v/>
      </c>
      <c r="J39" s="10">
        <f>IF($AB39="","",IF(INDEX(기본자료!$H$2:$H$501,$AB39)="","",INDEX(기본자료!$H$2:$H$501,$AB39)))</f>
        <v/>
      </c>
      <c r="K39" s="10">
        <f>IF($AB39="","",IF(INDEX(기본자료!$I$2:$I$501,$AB39)="","",INDEX(기본자료!$I$2:$I$501,$AB39)))</f>
        <v/>
      </c>
      <c r="L39" s="10">
        <f>IF($AB39="","",IF(INDEX(기본자료!$A$2:$A$501,$AB39)="","",INDEX(기본자료!$A$2:$A$501,$AB39)))</f>
        <v/>
      </c>
      <c r="M39" s="15" t="n"/>
      <c r="N39" s="10">
        <f>IF($B39="","",IF(AND($U39="파견중",$Q39&lt;&gt;""),$Q39,IF(AND($AD39&lt;&gt;"",LEFT($AD39,1)&lt;&gt;"⚠"),LEFT($AD39,FIND(" ",$AD39)-1),IF($H39="","",IF(RIGHT($H39,2)="병원",$H39,$H39&amp;"병원")))))</f>
        <v/>
      </c>
      <c r="O39" s="10">
        <f>IF($B39="","",IF(AND($U39="파견중",$Q39&lt;&gt;""),IF($R39&lt;&gt;"",$R39,"파견과 미입력"),IF(AND($AD39&lt;&gt;"",LEFT($AD39,1)&lt;&gt;"⚠"),MID($AD39,FIND(" ",$AD39)+1,60),IF($F39="","",IF($F39="인턴","수련교육부(인턴)",$F39)))))</f>
        <v/>
      </c>
      <c r="P39" s="10">
        <f>IF($B39="","",IF($AK39&lt;&gt;"",IF(AND(TODAY()&gt;=INDEX(파견수련계획!$AB$4:$AB$203,$AK39),OR(NOT(ISNUMBER(INDEX(파견수련계획!$AC$4:$AC$203,$AK39))),TODAY()&lt;=INDEX(파견수련계획!$AC$4:$AC$203,$AK39))),"다기관",IF($AF39="","",INDEX(파견수련계획!$T$4:$T$203,$AF39))),IF($AF39="","",INDEX(파견수련계획!$T$4:$T$203,$AF39))))</f>
        <v/>
      </c>
      <c r="Q39" s="10">
        <f>IF($AF39="","",INDEX(파견수련계획!$S$4:$S$203,$AF39))</f>
        <v/>
      </c>
      <c r="R39" s="10">
        <f>IF($AF39="","",INDEX(파견수련계획!$U$4:$U$203,$AF39))</f>
        <v/>
      </c>
      <c r="S39" s="11">
        <f>IF($AF39="","",IF(INDEX(파견수련계획!$H$4:$H$203,$AF39)="","",INDEX(파견수련계획!$H$4:$H$203,$AF39)))</f>
        <v/>
      </c>
      <c r="T39" s="11">
        <f>IF($AF39="","",IF(INDEX(파견수련계획!$I$4:$I$203,$AF39)="","",INDEX(파견수련계획!$I$4:$I$203,$AF39)))</f>
        <v/>
      </c>
      <c r="U39" s="10">
        <f>IF($AF39="","",INDEX(파견수련계획!$X$4:$X$203,$AF39))</f>
        <v/>
      </c>
      <c r="V39" s="17">
        <f>IF($AF39="","",INDEX(파견수련계획!$V$4:$V$203,$AF39))</f>
        <v/>
      </c>
      <c r="W39" s="17">
        <f>IF(AND($U39="파견중",$T39&lt;&gt;""),$T39-TODAY(),"")</f>
        <v/>
      </c>
      <c r="X39" s="17">
        <f>IF(OR($B39="",TRIM($J39&amp;"")=""),"",SUMPRODUCT((파견수련계획!$Q$4:$Q$203=TRIM($J39&amp;""))*파견수련계획!$W$4:$W$203))</f>
        <v/>
      </c>
      <c r="Y39" s="10">
        <f>IF($B39="","",IF($AG39="","",IF(IF(TRIM($J39&amp;"")="",0,SUMPRODUCT((파견수련계획!$Q$4:$Q$203=TRIM($J39&amp;""))*파견수련계획!$AD$4:$AD$203))&gt;0,$AE39,IF(N($X39)&lt;=0,$AG39,IF($AH39+$AI39=DAY(EOMONTH(요약!$B$3,0)),IF(AND($AH39&gt;=요약!$E$3,$AI39&lt;요약!$E$3),"서울병원",IF(AND($AI39&gt;=요약!$E$3,$AH39&lt;요약!$E$3),"구리병원","⚠15일 판정불가(서울 "&amp;$AH39&amp;"일/구리 "&amp;$AI39&amp;"일)")),IF($AJ39="",$AE39,IF(INDEX(파견수련계획!$T$4:$T$203,$AJ39)="통합수련",INDEX(파견수련계획!$S$4:$S$203,$AJ39),$AE39)))))))</f>
        <v/>
      </c>
      <c r="Z39" s="19">
        <f>IF($B39="","",IF($AB39="","기본자료에 없는 사번",IF(COUNTIF($B$2:$B$201,$B39)&gt;1,"중복 사번",IF($AE39="","소속(입사장소) 입력",IF(IF(TRIM($J39&amp;"")="",0,SUMPRODUCT((파견수련계획!$Q$4:$Q$203=TRIM($J39&amp;""))*(파견수련계획!$AA$4:$AA$203&lt;&gt;"")))&gt;0,"파견수련계획 입력오류 확인",IF(LEFT($Y39,1)="⚠","서울·구리 15일 판정 불가(양쪽 모두 이상/미만)",IF(IF($AC39="",0,N(INDEX(인턴근무계획!$T$3:$T$202,$AC39)))&gt;0,"인턴계획 입력오류 확인",IF(AND($AC39&lt;&gt;"",$U39&lt;&gt;"파견중",$N39&lt;&gt;$AE39),"인턴 타지역 근무: 파견 여부 확인","정상"))))))))</f>
        <v/>
      </c>
      <c r="AA39" s="5" t="n"/>
      <c r="AB39" s="10">
        <f>IF($B39="","",IFERROR(MATCH($B39,기본자료!$B$2:$B$501,0),IFERROR(MATCH($B39&amp;"",기본자료!$B$2:$B$501,0),IFERROR(MATCH(VALUE($B39),기본자료!$B$2:$B$501,0),""))))</f>
        <v/>
      </c>
      <c r="AC39" s="10">
        <f>IF($B39="","",IFERROR(MATCH($B39,인턴근무계획!$D$3:$D$202,0),IFERROR(MATCH($B39&amp;"",인턴근무계획!$D$3:$D$202,0),IFERROR(MATCH(VALUE($B39),인턴근무계획!$D$3:$D$202,0),""))))</f>
        <v/>
      </c>
      <c r="AD39" s="10">
        <f>IF(OR($AC39="",인턴현황!$G$3=""),"",INDEX(인턴근무계획!$M$3:$R$202,$AC39,인턴현황!$G$3)&amp;"")</f>
        <v/>
      </c>
      <c r="AE39" s="10">
        <f>IF($B39="","",IF($M39&lt;&gt;"",$M39,IF($AF39&lt;&gt;"",IF(LEFT(INDEX(파견수련계획!$R$4:$R$203,$AF39),1)&lt;&gt;"⚠",INDEX(파견수련계획!$R$4:$R$203,$AF39),IF($H39="","",IF(RIGHT($H39,2)="병원",$H39,$H39&amp;"병원"))),IF($H39="","",IF(RIGHT($H39,2)="병원",$H39,$H39&amp;"병원")))))</f>
        <v/>
      </c>
      <c r="AF39" s="10">
        <f>IF(OR($B39="",TRIM($J39&amp;"")=""),"",IFERROR(MATCH(TRIM($J39&amp;"")&amp;"|파견중",파견수련계획!$Y$4:$Y$203,0),IFERROR(MATCH(TRIM($J39&amp;"")&amp;"|파견예정",파견수련계획!$Y$4:$Y$203,0),IFERROR(MATCH(TRIM($J39&amp;"")&amp;"|파견종료",파견수련계획!$Y$4:$Y$203,0),""))))</f>
        <v/>
      </c>
      <c r="AG39" s="10">
        <f>IF($B39="","",IF(AND(IF(OR($AC39="",인턴현황!$K$2=""),"",INDEX(인턴근무계획!$M$3:$R$202,$AC39,인턴현황!$K$2)&amp;"")&lt;&gt;"",LEFT(IF(OR($AC39="",인턴현황!$K$2=""),"",INDEX(인턴근무계획!$M$3:$R$202,$AC39,인턴현황!$K$2)&amp;""),1)&lt;&gt;"⚠"),LEFT(IF(OR($AC39="",인턴현황!$K$2=""),"",INDEX(인턴근무계획!$M$3:$R$202,$AC39,인턴현황!$K$2)&amp;""),FIND(" ",IF(OR($AC39="",인턴현황!$K$2=""),"",INDEX(인턴근무계획!$M$3:$R$202,$AC39,인턴현황!$K$2)&amp;""))-1),$AE39))</f>
        <v/>
      </c>
      <c r="AH39" s="17">
        <f>IF($B39="","",IF(TRIM($J39&amp;"")="",0,SUMPRODUCT((파견수련계획!$Q$4:$Q$203=TRIM($J39&amp;""))*(파견수련계획!$S$4:$S$203="서울병원")*파견수련계획!$W$4:$W$203))+IF($AG39="서울병원",MAX(0,DAY(EOMONTH(요약!$B$3,0))-N($X39)),0))</f>
        <v/>
      </c>
      <c r="AI39" s="17">
        <f>IF($B39="","",IF(TRIM($J39&amp;"")="",0,SUMPRODUCT((파견수련계획!$Q$4:$Q$203=TRIM($J39&amp;""))*(파견수련계획!$S$4:$S$203="구리병원")*파견수련계획!$W$4:$W$203))+IF($AG39="구리병원",MAX(0,DAY(EOMONTH(요약!$B$3,0))-N($X39)),0))</f>
        <v/>
      </c>
      <c r="AJ39" s="10">
        <f>IF(OR($B39="",TRIM($J39&amp;"")=""),"",IFERROR(MATCH(TRIM($J39&amp;"")&amp;"|월",파견수련계획!$Z$4:$Z$203,0),""))</f>
        <v/>
      </c>
      <c r="AK39" s="10">
        <f>IF(OR($B39="",TRIM($J39&amp;"")=""),"",IFERROR(MATCH(TRIM($J39&amp;"")&amp;"|다기관",파견수련계획!$AE$4:$AE$203,0),""))</f>
        <v/>
      </c>
      <c r="AL39" s="10">
        <f>IF($AK39="","","다기관 "&amp;TEXT(INDEX(파견수련계획!$AB$4:$AB$203,$AK39),"yyyy-mm-dd")&amp;"~"&amp;IF(ISNUMBER(INDEX(파견수련계획!$AC$4:$AC$203,$AK39)),TEXT(INDEX(파견수련계획!$AC$4:$AC$203,$AK39),"yyyy-mm-dd"),""))</f>
        <v/>
      </c>
    </row>
    <row r="40">
      <c r="A40" s="10">
        <f>IF(B40="","",ROW()-1)</f>
        <v/>
      </c>
      <c r="B40" s="18" t="n"/>
      <c r="C40" s="10">
        <f>IF($AB40="","",IF(INDEX(기본자료!$C$2:$C$501,$AB40)="","",INDEX(기본자료!$C$2:$C$501,$AB40)))</f>
        <v/>
      </c>
      <c r="D40" s="10">
        <f>IF($AB40="","",IF(INDEX(기본자료!$J$2:$J$501,$AB40)="","",INDEX(기본자료!$J$2:$J$501,$AB40)))</f>
        <v/>
      </c>
      <c r="E40" s="11">
        <f>IF($AB40="","",IF(INDEX(기본자료!$K$2:$K$501,$AB40)="","",IF(NOT(ISNUMBER(INDEX(기본자료!$K$2:$K$501,$AB40))),INDEX(기본자료!$K$2:$K$501,$AB40),IF(INDEX(기본자료!$K$2:$K$501,$AB40)&lt;1000000,INDEX(기본자료!$K$2:$K$501,$AB40),IF(AND(INDEX(기본자료!$K$2:$K$501,$AB40)&gt;=10000101,INT(MOD(INDEX(기본자료!$K$2:$K$501,$AB40),10000)/100)&gt;=1,INT(MOD(INDEX(기본자료!$K$2:$K$501,$AB40),10000)/100)&lt;=12,MOD(INDEX(기본자료!$K$2:$K$501,$AB40),100)&gt;=1,MOD(INDEX(기본자료!$K$2:$K$501,$AB40),100)&lt;=31),DATE(INT(INDEX(기본자료!$K$2:$K$501,$AB40)/10000),INT(MOD(INDEX(기본자료!$K$2:$K$501,$AB40),10000)/100),MOD(INDEX(기본자료!$K$2:$K$501,$AB40),100)),INDEX(기본자료!$K$2:$K$501,$AB40)&amp;"")))))</f>
        <v/>
      </c>
      <c r="F40" s="10">
        <f>IF($AB40="","",IF(INDEX(기본자료!$D$2:$D$501,$AB40)="","",INDEX(기본자료!$D$2:$D$501,$AB40)))</f>
        <v/>
      </c>
      <c r="G40" s="10">
        <f>IF($AB40="","",IF(INDEX(기본자료!$E$2:$E$501,$AB40)="","",INDEX(기본자료!$E$2:$E$501,$AB40)))</f>
        <v/>
      </c>
      <c r="H40" s="10">
        <f>IF($AB40="","",IF(INDEX(기본자료!$F$2:$F$501,$AB40)="","",INDEX(기본자료!$F$2:$F$501,$AB40)))</f>
        <v/>
      </c>
      <c r="I40" s="11">
        <f>IF($AB40="","",IF(INDEX(기본자료!$G$2:$G$501,$AB40)="","",IF(NOT(ISNUMBER(INDEX(기본자료!$G$2:$G$501,$AB40))),INDEX(기본자료!$G$2:$G$501,$AB40),IF(INDEX(기본자료!$G$2:$G$501,$AB40)&lt;1000000,INDEX(기본자료!$G$2:$G$501,$AB40),IF(AND(INDEX(기본자료!$G$2:$G$501,$AB40)&gt;=10000101,INT(MOD(INDEX(기본자료!$G$2:$G$501,$AB40),10000)/100)&gt;=1,INT(MOD(INDEX(기본자료!$G$2:$G$501,$AB40),10000)/100)&lt;=12,MOD(INDEX(기본자료!$G$2:$G$501,$AB40),100)&gt;=1,MOD(INDEX(기본자료!$G$2:$G$501,$AB40),100)&lt;=31),DATE(INT(INDEX(기본자료!$G$2:$G$501,$AB40)/10000),INT(MOD(INDEX(기본자료!$G$2:$G$501,$AB40),10000)/100),MOD(INDEX(기본자료!$G$2:$G$501,$AB40),100)),INDEX(기본자료!$G$2:$G$501,$AB40)&amp;"")))))</f>
        <v/>
      </c>
      <c r="J40" s="10">
        <f>IF($AB40="","",IF(INDEX(기본자료!$H$2:$H$501,$AB40)="","",INDEX(기본자료!$H$2:$H$501,$AB40)))</f>
        <v/>
      </c>
      <c r="K40" s="10">
        <f>IF($AB40="","",IF(INDEX(기본자료!$I$2:$I$501,$AB40)="","",INDEX(기본자료!$I$2:$I$501,$AB40)))</f>
        <v/>
      </c>
      <c r="L40" s="10">
        <f>IF($AB40="","",IF(INDEX(기본자료!$A$2:$A$501,$AB40)="","",INDEX(기본자료!$A$2:$A$501,$AB40)))</f>
        <v/>
      </c>
      <c r="M40" s="15" t="n"/>
      <c r="N40" s="10">
        <f>IF($B40="","",IF(AND($U40="파견중",$Q40&lt;&gt;""),$Q40,IF(AND($AD40&lt;&gt;"",LEFT($AD40,1)&lt;&gt;"⚠"),LEFT($AD40,FIND(" ",$AD40)-1),IF($H40="","",IF(RIGHT($H40,2)="병원",$H40,$H40&amp;"병원")))))</f>
        <v/>
      </c>
      <c r="O40" s="10">
        <f>IF($B40="","",IF(AND($U40="파견중",$Q40&lt;&gt;""),IF($R40&lt;&gt;"",$R40,"파견과 미입력"),IF(AND($AD40&lt;&gt;"",LEFT($AD40,1)&lt;&gt;"⚠"),MID($AD40,FIND(" ",$AD40)+1,60),IF($F40="","",IF($F40="인턴","수련교육부(인턴)",$F40)))))</f>
        <v/>
      </c>
      <c r="P40" s="10">
        <f>IF($B40="","",IF($AK40&lt;&gt;"",IF(AND(TODAY()&gt;=INDEX(파견수련계획!$AB$4:$AB$203,$AK40),OR(NOT(ISNUMBER(INDEX(파견수련계획!$AC$4:$AC$203,$AK40))),TODAY()&lt;=INDEX(파견수련계획!$AC$4:$AC$203,$AK40))),"다기관",IF($AF40="","",INDEX(파견수련계획!$T$4:$T$203,$AF40))),IF($AF40="","",INDEX(파견수련계획!$T$4:$T$203,$AF40))))</f>
        <v/>
      </c>
      <c r="Q40" s="10">
        <f>IF($AF40="","",INDEX(파견수련계획!$S$4:$S$203,$AF40))</f>
        <v/>
      </c>
      <c r="R40" s="10">
        <f>IF($AF40="","",INDEX(파견수련계획!$U$4:$U$203,$AF40))</f>
        <v/>
      </c>
      <c r="S40" s="11">
        <f>IF($AF40="","",IF(INDEX(파견수련계획!$H$4:$H$203,$AF40)="","",INDEX(파견수련계획!$H$4:$H$203,$AF40)))</f>
        <v/>
      </c>
      <c r="T40" s="11">
        <f>IF($AF40="","",IF(INDEX(파견수련계획!$I$4:$I$203,$AF40)="","",INDEX(파견수련계획!$I$4:$I$203,$AF40)))</f>
        <v/>
      </c>
      <c r="U40" s="10">
        <f>IF($AF40="","",INDEX(파견수련계획!$X$4:$X$203,$AF40))</f>
        <v/>
      </c>
      <c r="V40" s="17">
        <f>IF($AF40="","",INDEX(파견수련계획!$V$4:$V$203,$AF40))</f>
        <v/>
      </c>
      <c r="W40" s="17">
        <f>IF(AND($U40="파견중",$T40&lt;&gt;""),$T40-TODAY(),"")</f>
        <v/>
      </c>
      <c r="X40" s="17">
        <f>IF(OR($B40="",TRIM($J40&amp;"")=""),"",SUMPRODUCT((파견수련계획!$Q$4:$Q$203=TRIM($J40&amp;""))*파견수련계획!$W$4:$W$203))</f>
        <v/>
      </c>
      <c r="Y40" s="10">
        <f>IF($B40="","",IF($AG40="","",IF(IF(TRIM($J40&amp;"")="",0,SUMPRODUCT((파견수련계획!$Q$4:$Q$203=TRIM($J40&amp;""))*파견수련계획!$AD$4:$AD$203))&gt;0,$AE40,IF(N($X40)&lt;=0,$AG40,IF($AH40+$AI40=DAY(EOMONTH(요약!$B$3,0)),IF(AND($AH40&gt;=요약!$E$3,$AI40&lt;요약!$E$3),"서울병원",IF(AND($AI40&gt;=요약!$E$3,$AH40&lt;요약!$E$3),"구리병원","⚠15일 판정불가(서울 "&amp;$AH40&amp;"일/구리 "&amp;$AI40&amp;"일)")),IF($AJ40="",$AE40,IF(INDEX(파견수련계획!$T$4:$T$203,$AJ40)="통합수련",INDEX(파견수련계획!$S$4:$S$203,$AJ40),$AE40)))))))</f>
        <v/>
      </c>
      <c r="Z40" s="19">
        <f>IF($B40="","",IF($AB40="","기본자료에 없는 사번",IF(COUNTIF($B$2:$B$201,$B40)&gt;1,"중복 사번",IF($AE40="","소속(입사장소) 입력",IF(IF(TRIM($J40&amp;"")="",0,SUMPRODUCT((파견수련계획!$Q$4:$Q$203=TRIM($J40&amp;""))*(파견수련계획!$AA$4:$AA$203&lt;&gt;"")))&gt;0,"파견수련계획 입력오류 확인",IF(LEFT($Y40,1)="⚠","서울·구리 15일 판정 불가(양쪽 모두 이상/미만)",IF(IF($AC40="",0,N(INDEX(인턴근무계획!$T$3:$T$202,$AC40)))&gt;0,"인턴계획 입력오류 확인",IF(AND($AC40&lt;&gt;"",$U40&lt;&gt;"파견중",$N40&lt;&gt;$AE40),"인턴 타지역 근무: 파견 여부 확인","정상"))))))))</f>
        <v/>
      </c>
      <c r="AA40" s="5" t="n"/>
      <c r="AB40" s="10">
        <f>IF($B40="","",IFERROR(MATCH($B40,기본자료!$B$2:$B$501,0),IFERROR(MATCH($B40&amp;"",기본자료!$B$2:$B$501,0),IFERROR(MATCH(VALUE($B40),기본자료!$B$2:$B$501,0),""))))</f>
        <v/>
      </c>
      <c r="AC40" s="10">
        <f>IF($B40="","",IFERROR(MATCH($B40,인턴근무계획!$D$3:$D$202,0),IFERROR(MATCH($B40&amp;"",인턴근무계획!$D$3:$D$202,0),IFERROR(MATCH(VALUE($B40),인턴근무계획!$D$3:$D$202,0),""))))</f>
        <v/>
      </c>
      <c r="AD40" s="10">
        <f>IF(OR($AC40="",인턴현황!$G$3=""),"",INDEX(인턴근무계획!$M$3:$R$202,$AC40,인턴현황!$G$3)&amp;"")</f>
        <v/>
      </c>
      <c r="AE40" s="10">
        <f>IF($B40="","",IF($M40&lt;&gt;"",$M40,IF($AF40&lt;&gt;"",IF(LEFT(INDEX(파견수련계획!$R$4:$R$203,$AF40),1)&lt;&gt;"⚠",INDEX(파견수련계획!$R$4:$R$203,$AF40),IF($H40="","",IF(RIGHT($H40,2)="병원",$H40,$H40&amp;"병원"))),IF($H40="","",IF(RIGHT($H40,2)="병원",$H40,$H40&amp;"병원")))))</f>
        <v/>
      </c>
      <c r="AF40" s="10">
        <f>IF(OR($B40="",TRIM($J40&amp;"")=""),"",IFERROR(MATCH(TRIM($J40&amp;"")&amp;"|파견중",파견수련계획!$Y$4:$Y$203,0),IFERROR(MATCH(TRIM($J40&amp;"")&amp;"|파견예정",파견수련계획!$Y$4:$Y$203,0),IFERROR(MATCH(TRIM($J40&amp;"")&amp;"|파견종료",파견수련계획!$Y$4:$Y$203,0),""))))</f>
        <v/>
      </c>
      <c r="AG40" s="10">
        <f>IF($B40="","",IF(AND(IF(OR($AC40="",인턴현황!$K$2=""),"",INDEX(인턴근무계획!$M$3:$R$202,$AC40,인턴현황!$K$2)&amp;"")&lt;&gt;"",LEFT(IF(OR($AC40="",인턴현황!$K$2=""),"",INDEX(인턴근무계획!$M$3:$R$202,$AC40,인턴현황!$K$2)&amp;""),1)&lt;&gt;"⚠"),LEFT(IF(OR($AC40="",인턴현황!$K$2=""),"",INDEX(인턴근무계획!$M$3:$R$202,$AC40,인턴현황!$K$2)&amp;""),FIND(" ",IF(OR($AC40="",인턴현황!$K$2=""),"",INDEX(인턴근무계획!$M$3:$R$202,$AC40,인턴현황!$K$2)&amp;""))-1),$AE40))</f>
        <v/>
      </c>
      <c r="AH40" s="17">
        <f>IF($B40="","",IF(TRIM($J40&amp;"")="",0,SUMPRODUCT((파견수련계획!$Q$4:$Q$203=TRIM($J40&amp;""))*(파견수련계획!$S$4:$S$203="서울병원")*파견수련계획!$W$4:$W$203))+IF($AG40="서울병원",MAX(0,DAY(EOMONTH(요약!$B$3,0))-N($X40)),0))</f>
        <v/>
      </c>
      <c r="AI40" s="17">
        <f>IF($B40="","",IF(TRIM($J40&amp;"")="",0,SUMPRODUCT((파견수련계획!$Q$4:$Q$203=TRIM($J40&amp;""))*(파견수련계획!$S$4:$S$203="구리병원")*파견수련계획!$W$4:$W$203))+IF($AG40="구리병원",MAX(0,DAY(EOMONTH(요약!$B$3,0))-N($X40)),0))</f>
        <v/>
      </c>
      <c r="AJ40" s="10">
        <f>IF(OR($B40="",TRIM($J40&amp;"")=""),"",IFERROR(MATCH(TRIM($J40&amp;"")&amp;"|월",파견수련계획!$Z$4:$Z$203,0),""))</f>
        <v/>
      </c>
      <c r="AK40" s="10">
        <f>IF(OR($B40="",TRIM($J40&amp;"")=""),"",IFERROR(MATCH(TRIM($J40&amp;"")&amp;"|다기관",파견수련계획!$AE$4:$AE$203,0),""))</f>
        <v/>
      </c>
      <c r="AL40" s="10">
        <f>IF($AK40="","","다기관 "&amp;TEXT(INDEX(파견수련계획!$AB$4:$AB$203,$AK40),"yyyy-mm-dd")&amp;"~"&amp;IF(ISNUMBER(INDEX(파견수련계획!$AC$4:$AC$203,$AK40)),TEXT(INDEX(파견수련계획!$AC$4:$AC$203,$AK40),"yyyy-mm-dd"),""))</f>
        <v/>
      </c>
    </row>
    <row r="41">
      <c r="A41" s="10">
        <f>IF(B41="","",ROW()-1)</f>
        <v/>
      </c>
      <c r="B41" s="18" t="n"/>
      <c r="C41" s="10">
        <f>IF($AB41="","",IF(INDEX(기본자료!$C$2:$C$501,$AB41)="","",INDEX(기본자료!$C$2:$C$501,$AB41)))</f>
        <v/>
      </c>
      <c r="D41" s="10">
        <f>IF($AB41="","",IF(INDEX(기본자료!$J$2:$J$501,$AB41)="","",INDEX(기본자료!$J$2:$J$501,$AB41)))</f>
        <v/>
      </c>
      <c r="E41" s="11">
        <f>IF($AB41="","",IF(INDEX(기본자료!$K$2:$K$501,$AB41)="","",IF(NOT(ISNUMBER(INDEX(기본자료!$K$2:$K$501,$AB41))),INDEX(기본자료!$K$2:$K$501,$AB41),IF(INDEX(기본자료!$K$2:$K$501,$AB41)&lt;1000000,INDEX(기본자료!$K$2:$K$501,$AB41),IF(AND(INDEX(기본자료!$K$2:$K$501,$AB41)&gt;=10000101,INT(MOD(INDEX(기본자료!$K$2:$K$501,$AB41),10000)/100)&gt;=1,INT(MOD(INDEX(기본자료!$K$2:$K$501,$AB41),10000)/100)&lt;=12,MOD(INDEX(기본자료!$K$2:$K$501,$AB41),100)&gt;=1,MOD(INDEX(기본자료!$K$2:$K$501,$AB41),100)&lt;=31),DATE(INT(INDEX(기본자료!$K$2:$K$501,$AB41)/10000),INT(MOD(INDEX(기본자료!$K$2:$K$501,$AB41),10000)/100),MOD(INDEX(기본자료!$K$2:$K$501,$AB41),100)),INDEX(기본자료!$K$2:$K$501,$AB41)&amp;"")))))</f>
        <v/>
      </c>
      <c r="F41" s="10">
        <f>IF($AB41="","",IF(INDEX(기본자료!$D$2:$D$501,$AB41)="","",INDEX(기본자료!$D$2:$D$501,$AB41)))</f>
        <v/>
      </c>
      <c r="G41" s="10">
        <f>IF($AB41="","",IF(INDEX(기본자료!$E$2:$E$501,$AB41)="","",INDEX(기본자료!$E$2:$E$501,$AB41)))</f>
        <v/>
      </c>
      <c r="H41" s="10">
        <f>IF($AB41="","",IF(INDEX(기본자료!$F$2:$F$501,$AB41)="","",INDEX(기본자료!$F$2:$F$501,$AB41)))</f>
        <v/>
      </c>
      <c r="I41" s="11">
        <f>IF($AB41="","",IF(INDEX(기본자료!$G$2:$G$501,$AB41)="","",IF(NOT(ISNUMBER(INDEX(기본자료!$G$2:$G$501,$AB41))),INDEX(기본자료!$G$2:$G$501,$AB41),IF(INDEX(기본자료!$G$2:$G$501,$AB41)&lt;1000000,INDEX(기본자료!$G$2:$G$501,$AB41),IF(AND(INDEX(기본자료!$G$2:$G$501,$AB41)&gt;=10000101,INT(MOD(INDEX(기본자료!$G$2:$G$501,$AB41),10000)/100)&gt;=1,INT(MOD(INDEX(기본자료!$G$2:$G$501,$AB41),10000)/100)&lt;=12,MOD(INDEX(기본자료!$G$2:$G$501,$AB41),100)&gt;=1,MOD(INDEX(기본자료!$G$2:$G$501,$AB41),100)&lt;=31),DATE(INT(INDEX(기본자료!$G$2:$G$501,$AB41)/10000),INT(MOD(INDEX(기본자료!$G$2:$G$501,$AB41),10000)/100),MOD(INDEX(기본자료!$G$2:$G$501,$AB41),100)),INDEX(기본자료!$G$2:$G$501,$AB41)&amp;"")))))</f>
        <v/>
      </c>
      <c r="J41" s="10">
        <f>IF($AB41="","",IF(INDEX(기본자료!$H$2:$H$501,$AB41)="","",INDEX(기본자료!$H$2:$H$501,$AB41)))</f>
        <v/>
      </c>
      <c r="K41" s="10">
        <f>IF($AB41="","",IF(INDEX(기본자료!$I$2:$I$501,$AB41)="","",INDEX(기본자료!$I$2:$I$501,$AB41)))</f>
        <v/>
      </c>
      <c r="L41" s="10">
        <f>IF($AB41="","",IF(INDEX(기본자료!$A$2:$A$501,$AB41)="","",INDEX(기본자료!$A$2:$A$501,$AB41)))</f>
        <v/>
      </c>
      <c r="M41" s="15" t="n"/>
      <c r="N41" s="10">
        <f>IF($B41="","",IF(AND($U41="파견중",$Q41&lt;&gt;""),$Q41,IF(AND($AD41&lt;&gt;"",LEFT($AD41,1)&lt;&gt;"⚠"),LEFT($AD41,FIND(" ",$AD41)-1),IF($H41="","",IF(RIGHT($H41,2)="병원",$H41,$H41&amp;"병원")))))</f>
        <v/>
      </c>
      <c r="O41" s="10">
        <f>IF($B41="","",IF(AND($U41="파견중",$Q41&lt;&gt;""),IF($R41&lt;&gt;"",$R41,"파견과 미입력"),IF(AND($AD41&lt;&gt;"",LEFT($AD41,1)&lt;&gt;"⚠"),MID($AD41,FIND(" ",$AD41)+1,60),IF($F41="","",IF($F41="인턴","수련교육부(인턴)",$F41)))))</f>
        <v/>
      </c>
      <c r="P41" s="10">
        <f>IF($B41="","",IF($AK41&lt;&gt;"",IF(AND(TODAY()&gt;=INDEX(파견수련계획!$AB$4:$AB$203,$AK41),OR(NOT(ISNUMBER(INDEX(파견수련계획!$AC$4:$AC$203,$AK41))),TODAY()&lt;=INDEX(파견수련계획!$AC$4:$AC$203,$AK41))),"다기관",IF($AF41="","",INDEX(파견수련계획!$T$4:$T$203,$AF41))),IF($AF41="","",INDEX(파견수련계획!$T$4:$T$203,$AF41))))</f>
        <v/>
      </c>
      <c r="Q41" s="10">
        <f>IF($AF41="","",INDEX(파견수련계획!$S$4:$S$203,$AF41))</f>
        <v/>
      </c>
      <c r="R41" s="10">
        <f>IF($AF41="","",INDEX(파견수련계획!$U$4:$U$203,$AF41))</f>
        <v/>
      </c>
      <c r="S41" s="11">
        <f>IF($AF41="","",IF(INDEX(파견수련계획!$H$4:$H$203,$AF41)="","",INDEX(파견수련계획!$H$4:$H$203,$AF41)))</f>
        <v/>
      </c>
      <c r="T41" s="11">
        <f>IF($AF41="","",IF(INDEX(파견수련계획!$I$4:$I$203,$AF41)="","",INDEX(파견수련계획!$I$4:$I$203,$AF41)))</f>
        <v/>
      </c>
      <c r="U41" s="10">
        <f>IF($AF41="","",INDEX(파견수련계획!$X$4:$X$203,$AF41))</f>
        <v/>
      </c>
      <c r="V41" s="17">
        <f>IF($AF41="","",INDEX(파견수련계획!$V$4:$V$203,$AF41))</f>
        <v/>
      </c>
      <c r="W41" s="17">
        <f>IF(AND($U41="파견중",$T41&lt;&gt;""),$T41-TODAY(),"")</f>
        <v/>
      </c>
      <c r="X41" s="17">
        <f>IF(OR($B41="",TRIM($J41&amp;"")=""),"",SUMPRODUCT((파견수련계획!$Q$4:$Q$203=TRIM($J41&amp;""))*파견수련계획!$W$4:$W$203))</f>
        <v/>
      </c>
      <c r="Y41" s="10">
        <f>IF($B41="","",IF($AG41="","",IF(IF(TRIM($J41&amp;"")="",0,SUMPRODUCT((파견수련계획!$Q$4:$Q$203=TRIM($J41&amp;""))*파견수련계획!$AD$4:$AD$203))&gt;0,$AE41,IF(N($X41)&lt;=0,$AG41,IF($AH41+$AI41=DAY(EOMONTH(요약!$B$3,0)),IF(AND($AH41&gt;=요약!$E$3,$AI41&lt;요약!$E$3),"서울병원",IF(AND($AI41&gt;=요약!$E$3,$AH41&lt;요약!$E$3),"구리병원","⚠15일 판정불가(서울 "&amp;$AH41&amp;"일/구리 "&amp;$AI41&amp;"일)")),IF($AJ41="",$AE41,IF(INDEX(파견수련계획!$T$4:$T$203,$AJ41)="통합수련",INDEX(파견수련계획!$S$4:$S$203,$AJ41),$AE41)))))))</f>
        <v/>
      </c>
      <c r="Z41" s="19">
        <f>IF($B41="","",IF($AB41="","기본자료에 없는 사번",IF(COUNTIF($B$2:$B$201,$B41)&gt;1,"중복 사번",IF($AE41="","소속(입사장소) 입력",IF(IF(TRIM($J41&amp;"")="",0,SUMPRODUCT((파견수련계획!$Q$4:$Q$203=TRIM($J41&amp;""))*(파견수련계획!$AA$4:$AA$203&lt;&gt;"")))&gt;0,"파견수련계획 입력오류 확인",IF(LEFT($Y41,1)="⚠","서울·구리 15일 판정 불가(양쪽 모두 이상/미만)",IF(IF($AC41="",0,N(INDEX(인턴근무계획!$T$3:$T$202,$AC41)))&gt;0,"인턴계획 입력오류 확인",IF(AND($AC41&lt;&gt;"",$U41&lt;&gt;"파견중",$N41&lt;&gt;$AE41),"인턴 타지역 근무: 파견 여부 확인","정상"))))))))</f>
        <v/>
      </c>
      <c r="AA41" s="5" t="n"/>
      <c r="AB41" s="10">
        <f>IF($B41="","",IFERROR(MATCH($B41,기본자료!$B$2:$B$501,0),IFERROR(MATCH($B41&amp;"",기본자료!$B$2:$B$501,0),IFERROR(MATCH(VALUE($B41),기본자료!$B$2:$B$501,0),""))))</f>
        <v/>
      </c>
      <c r="AC41" s="10">
        <f>IF($B41="","",IFERROR(MATCH($B41,인턴근무계획!$D$3:$D$202,0),IFERROR(MATCH($B41&amp;"",인턴근무계획!$D$3:$D$202,0),IFERROR(MATCH(VALUE($B41),인턴근무계획!$D$3:$D$202,0),""))))</f>
        <v/>
      </c>
      <c r="AD41" s="10">
        <f>IF(OR($AC41="",인턴현황!$G$3=""),"",INDEX(인턴근무계획!$M$3:$R$202,$AC41,인턴현황!$G$3)&amp;"")</f>
        <v/>
      </c>
      <c r="AE41" s="10">
        <f>IF($B41="","",IF($M41&lt;&gt;"",$M41,IF($AF41&lt;&gt;"",IF(LEFT(INDEX(파견수련계획!$R$4:$R$203,$AF41),1)&lt;&gt;"⚠",INDEX(파견수련계획!$R$4:$R$203,$AF41),IF($H41="","",IF(RIGHT($H41,2)="병원",$H41,$H41&amp;"병원"))),IF($H41="","",IF(RIGHT($H41,2)="병원",$H41,$H41&amp;"병원")))))</f>
        <v/>
      </c>
      <c r="AF41" s="10">
        <f>IF(OR($B41="",TRIM($J41&amp;"")=""),"",IFERROR(MATCH(TRIM($J41&amp;"")&amp;"|파견중",파견수련계획!$Y$4:$Y$203,0),IFERROR(MATCH(TRIM($J41&amp;"")&amp;"|파견예정",파견수련계획!$Y$4:$Y$203,0),IFERROR(MATCH(TRIM($J41&amp;"")&amp;"|파견종료",파견수련계획!$Y$4:$Y$203,0),""))))</f>
        <v/>
      </c>
      <c r="AG41" s="10">
        <f>IF($B41="","",IF(AND(IF(OR($AC41="",인턴현황!$K$2=""),"",INDEX(인턴근무계획!$M$3:$R$202,$AC41,인턴현황!$K$2)&amp;"")&lt;&gt;"",LEFT(IF(OR($AC41="",인턴현황!$K$2=""),"",INDEX(인턴근무계획!$M$3:$R$202,$AC41,인턴현황!$K$2)&amp;""),1)&lt;&gt;"⚠"),LEFT(IF(OR($AC41="",인턴현황!$K$2=""),"",INDEX(인턴근무계획!$M$3:$R$202,$AC41,인턴현황!$K$2)&amp;""),FIND(" ",IF(OR($AC41="",인턴현황!$K$2=""),"",INDEX(인턴근무계획!$M$3:$R$202,$AC41,인턴현황!$K$2)&amp;""))-1),$AE41))</f>
        <v/>
      </c>
      <c r="AH41" s="17">
        <f>IF($B41="","",IF(TRIM($J41&amp;"")="",0,SUMPRODUCT((파견수련계획!$Q$4:$Q$203=TRIM($J41&amp;""))*(파견수련계획!$S$4:$S$203="서울병원")*파견수련계획!$W$4:$W$203))+IF($AG41="서울병원",MAX(0,DAY(EOMONTH(요약!$B$3,0))-N($X41)),0))</f>
        <v/>
      </c>
      <c r="AI41" s="17">
        <f>IF($B41="","",IF(TRIM($J41&amp;"")="",0,SUMPRODUCT((파견수련계획!$Q$4:$Q$203=TRIM($J41&amp;""))*(파견수련계획!$S$4:$S$203="구리병원")*파견수련계획!$W$4:$W$203))+IF($AG41="구리병원",MAX(0,DAY(EOMONTH(요약!$B$3,0))-N($X41)),0))</f>
        <v/>
      </c>
      <c r="AJ41" s="10">
        <f>IF(OR($B41="",TRIM($J41&amp;"")=""),"",IFERROR(MATCH(TRIM($J41&amp;"")&amp;"|월",파견수련계획!$Z$4:$Z$203,0),""))</f>
        <v/>
      </c>
      <c r="AK41" s="10">
        <f>IF(OR($B41="",TRIM($J41&amp;"")=""),"",IFERROR(MATCH(TRIM($J41&amp;"")&amp;"|다기관",파견수련계획!$AE$4:$AE$203,0),""))</f>
        <v/>
      </c>
      <c r="AL41" s="10">
        <f>IF($AK41="","","다기관 "&amp;TEXT(INDEX(파견수련계획!$AB$4:$AB$203,$AK41),"yyyy-mm-dd")&amp;"~"&amp;IF(ISNUMBER(INDEX(파견수련계획!$AC$4:$AC$203,$AK41)),TEXT(INDEX(파견수련계획!$AC$4:$AC$203,$AK41),"yyyy-mm-dd"),""))</f>
        <v/>
      </c>
    </row>
    <row r="42">
      <c r="A42" s="10">
        <f>IF(B42="","",ROW()-1)</f>
        <v/>
      </c>
      <c r="B42" s="18" t="n"/>
      <c r="C42" s="10">
        <f>IF($AB42="","",IF(INDEX(기본자료!$C$2:$C$501,$AB42)="","",INDEX(기본자료!$C$2:$C$501,$AB42)))</f>
        <v/>
      </c>
      <c r="D42" s="10">
        <f>IF($AB42="","",IF(INDEX(기본자료!$J$2:$J$501,$AB42)="","",INDEX(기본자료!$J$2:$J$501,$AB42)))</f>
        <v/>
      </c>
      <c r="E42" s="11">
        <f>IF($AB42="","",IF(INDEX(기본자료!$K$2:$K$501,$AB42)="","",IF(NOT(ISNUMBER(INDEX(기본자료!$K$2:$K$501,$AB42))),INDEX(기본자료!$K$2:$K$501,$AB42),IF(INDEX(기본자료!$K$2:$K$501,$AB42)&lt;1000000,INDEX(기본자료!$K$2:$K$501,$AB42),IF(AND(INDEX(기본자료!$K$2:$K$501,$AB42)&gt;=10000101,INT(MOD(INDEX(기본자료!$K$2:$K$501,$AB42),10000)/100)&gt;=1,INT(MOD(INDEX(기본자료!$K$2:$K$501,$AB42),10000)/100)&lt;=12,MOD(INDEX(기본자료!$K$2:$K$501,$AB42),100)&gt;=1,MOD(INDEX(기본자료!$K$2:$K$501,$AB42),100)&lt;=31),DATE(INT(INDEX(기본자료!$K$2:$K$501,$AB42)/10000),INT(MOD(INDEX(기본자료!$K$2:$K$501,$AB42),10000)/100),MOD(INDEX(기본자료!$K$2:$K$501,$AB42),100)),INDEX(기본자료!$K$2:$K$501,$AB42)&amp;"")))))</f>
        <v/>
      </c>
      <c r="F42" s="10">
        <f>IF($AB42="","",IF(INDEX(기본자료!$D$2:$D$501,$AB42)="","",INDEX(기본자료!$D$2:$D$501,$AB42)))</f>
        <v/>
      </c>
      <c r="G42" s="10">
        <f>IF($AB42="","",IF(INDEX(기본자료!$E$2:$E$501,$AB42)="","",INDEX(기본자료!$E$2:$E$501,$AB42)))</f>
        <v/>
      </c>
      <c r="H42" s="10">
        <f>IF($AB42="","",IF(INDEX(기본자료!$F$2:$F$501,$AB42)="","",INDEX(기본자료!$F$2:$F$501,$AB42)))</f>
        <v/>
      </c>
      <c r="I42" s="11">
        <f>IF($AB42="","",IF(INDEX(기본자료!$G$2:$G$501,$AB42)="","",IF(NOT(ISNUMBER(INDEX(기본자료!$G$2:$G$501,$AB42))),INDEX(기본자료!$G$2:$G$501,$AB42),IF(INDEX(기본자료!$G$2:$G$501,$AB42)&lt;1000000,INDEX(기본자료!$G$2:$G$501,$AB42),IF(AND(INDEX(기본자료!$G$2:$G$501,$AB42)&gt;=10000101,INT(MOD(INDEX(기본자료!$G$2:$G$501,$AB42),10000)/100)&gt;=1,INT(MOD(INDEX(기본자료!$G$2:$G$501,$AB42),10000)/100)&lt;=12,MOD(INDEX(기본자료!$G$2:$G$501,$AB42),100)&gt;=1,MOD(INDEX(기본자료!$G$2:$G$501,$AB42),100)&lt;=31),DATE(INT(INDEX(기본자료!$G$2:$G$501,$AB42)/10000),INT(MOD(INDEX(기본자료!$G$2:$G$501,$AB42),10000)/100),MOD(INDEX(기본자료!$G$2:$G$501,$AB42),100)),INDEX(기본자료!$G$2:$G$501,$AB42)&amp;"")))))</f>
        <v/>
      </c>
      <c r="J42" s="10">
        <f>IF($AB42="","",IF(INDEX(기본자료!$H$2:$H$501,$AB42)="","",INDEX(기본자료!$H$2:$H$501,$AB42)))</f>
        <v/>
      </c>
      <c r="K42" s="10">
        <f>IF($AB42="","",IF(INDEX(기본자료!$I$2:$I$501,$AB42)="","",INDEX(기본자료!$I$2:$I$501,$AB42)))</f>
        <v/>
      </c>
      <c r="L42" s="10">
        <f>IF($AB42="","",IF(INDEX(기본자료!$A$2:$A$501,$AB42)="","",INDEX(기본자료!$A$2:$A$501,$AB42)))</f>
        <v/>
      </c>
      <c r="M42" s="15" t="n"/>
      <c r="N42" s="10">
        <f>IF($B42="","",IF(AND($U42="파견중",$Q42&lt;&gt;""),$Q42,IF(AND($AD42&lt;&gt;"",LEFT($AD42,1)&lt;&gt;"⚠"),LEFT($AD42,FIND(" ",$AD42)-1),IF($H42="","",IF(RIGHT($H42,2)="병원",$H42,$H42&amp;"병원")))))</f>
        <v/>
      </c>
      <c r="O42" s="10">
        <f>IF($B42="","",IF(AND($U42="파견중",$Q42&lt;&gt;""),IF($R42&lt;&gt;"",$R42,"파견과 미입력"),IF(AND($AD42&lt;&gt;"",LEFT($AD42,1)&lt;&gt;"⚠"),MID($AD42,FIND(" ",$AD42)+1,60),IF($F42="","",IF($F42="인턴","수련교육부(인턴)",$F42)))))</f>
        <v/>
      </c>
      <c r="P42" s="10">
        <f>IF($B42="","",IF($AK42&lt;&gt;"",IF(AND(TODAY()&gt;=INDEX(파견수련계획!$AB$4:$AB$203,$AK42),OR(NOT(ISNUMBER(INDEX(파견수련계획!$AC$4:$AC$203,$AK42))),TODAY()&lt;=INDEX(파견수련계획!$AC$4:$AC$203,$AK42))),"다기관",IF($AF42="","",INDEX(파견수련계획!$T$4:$T$203,$AF42))),IF($AF42="","",INDEX(파견수련계획!$T$4:$T$203,$AF42))))</f>
        <v/>
      </c>
      <c r="Q42" s="10">
        <f>IF($AF42="","",INDEX(파견수련계획!$S$4:$S$203,$AF42))</f>
        <v/>
      </c>
      <c r="R42" s="10">
        <f>IF($AF42="","",INDEX(파견수련계획!$U$4:$U$203,$AF42))</f>
        <v/>
      </c>
      <c r="S42" s="11">
        <f>IF($AF42="","",IF(INDEX(파견수련계획!$H$4:$H$203,$AF42)="","",INDEX(파견수련계획!$H$4:$H$203,$AF42)))</f>
        <v/>
      </c>
      <c r="T42" s="11">
        <f>IF($AF42="","",IF(INDEX(파견수련계획!$I$4:$I$203,$AF42)="","",INDEX(파견수련계획!$I$4:$I$203,$AF42)))</f>
        <v/>
      </c>
      <c r="U42" s="10">
        <f>IF($AF42="","",INDEX(파견수련계획!$X$4:$X$203,$AF42))</f>
        <v/>
      </c>
      <c r="V42" s="17">
        <f>IF($AF42="","",INDEX(파견수련계획!$V$4:$V$203,$AF42))</f>
        <v/>
      </c>
      <c r="W42" s="17">
        <f>IF(AND($U42="파견중",$T42&lt;&gt;""),$T42-TODAY(),"")</f>
        <v/>
      </c>
      <c r="X42" s="17">
        <f>IF(OR($B42="",TRIM($J42&amp;"")=""),"",SUMPRODUCT((파견수련계획!$Q$4:$Q$203=TRIM($J42&amp;""))*파견수련계획!$W$4:$W$203))</f>
        <v/>
      </c>
      <c r="Y42" s="10">
        <f>IF($B42="","",IF($AG42="","",IF(IF(TRIM($J42&amp;"")="",0,SUMPRODUCT((파견수련계획!$Q$4:$Q$203=TRIM($J42&amp;""))*파견수련계획!$AD$4:$AD$203))&gt;0,$AE42,IF(N($X42)&lt;=0,$AG42,IF($AH42+$AI42=DAY(EOMONTH(요약!$B$3,0)),IF(AND($AH42&gt;=요약!$E$3,$AI42&lt;요약!$E$3),"서울병원",IF(AND($AI42&gt;=요약!$E$3,$AH42&lt;요약!$E$3),"구리병원","⚠15일 판정불가(서울 "&amp;$AH42&amp;"일/구리 "&amp;$AI42&amp;"일)")),IF($AJ42="",$AE42,IF(INDEX(파견수련계획!$T$4:$T$203,$AJ42)="통합수련",INDEX(파견수련계획!$S$4:$S$203,$AJ42),$AE42)))))))</f>
        <v/>
      </c>
      <c r="Z42" s="19">
        <f>IF($B42="","",IF($AB42="","기본자료에 없는 사번",IF(COUNTIF($B$2:$B$201,$B42)&gt;1,"중복 사번",IF($AE42="","소속(입사장소) 입력",IF(IF(TRIM($J42&amp;"")="",0,SUMPRODUCT((파견수련계획!$Q$4:$Q$203=TRIM($J42&amp;""))*(파견수련계획!$AA$4:$AA$203&lt;&gt;"")))&gt;0,"파견수련계획 입력오류 확인",IF(LEFT($Y42,1)="⚠","서울·구리 15일 판정 불가(양쪽 모두 이상/미만)",IF(IF($AC42="",0,N(INDEX(인턴근무계획!$T$3:$T$202,$AC42)))&gt;0,"인턴계획 입력오류 확인",IF(AND($AC42&lt;&gt;"",$U42&lt;&gt;"파견중",$N42&lt;&gt;$AE42),"인턴 타지역 근무: 파견 여부 확인","정상"))))))))</f>
        <v/>
      </c>
      <c r="AA42" s="5" t="n"/>
      <c r="AB42" s="10">
        <f>IF($B42="","",IFERROR(MATCH($B42,기본자료!$B$2:$B$501,0),IFERROR(MATCH($B42&amp;"",기본자료!$B$2:$B$501,0),IFERROR(MATCH(VALUE($B42),기본자료!$B$2:$B$501,0),""))))</f>
        <v/>
      </c>
      <c r="AC42" s="10">
        <f>IF($B42="","",IFERROR(MATCH($B42,인턴근무계획!$D$3:$D$202,0),IFERROR(MATCH($B42&amp;"",인턴근무계획!$D$3:$D$202,0),IFERROR(MATCH(VALUE($B42),인턴근무계획!$D$3:$D$202,0),""))))</f>
        <v/>
      </c>
      <c r="AD42" s="10">
        <f>IF(OR($AC42="",인턴현황!$G$3=""),"",INDEX(인턴근무계획!$M$3:$R$202,$AC42,인턴현황!$G$3)&amp;"")</f>
        <v/>
      </c>
      <c r="AE42" s="10">
        <f>IF($B42="","",IF($M42&lt;&gt;"",$M42,IF($AF42&lt;&gt;"",IF(LEFT(INDEX(파견수련계획!$R$4:$R$203,$AF42),1)&lt;&gt;"⚠",INDEX(파견수련계획!$R$4:$R$203,$AF42),IF($H42="","",IF(RIGHT($H42,2)="병원",$H42,$H42&amp;"병원"))),IF($H42="","",IF(RIGHT($H42,2)="병원",$H42,$H42&amp;"병원")))))</f>
        <v/>
      </c>
      <c r="AF42" s="10">
        <f>IF(OR($B42="",TRIM($J42&amp;"")=""),"",IFERROR(MATCH(TRIM($J42&amp;"")&amp;"|파견중",파견수련계획!$Y$4:$Y$203,0),IFERROR(MATCH(TRIM($J42&amp;"")&amp;"|파견예정",파견수련계획!$Y$4:$Y$203,0),IFERROR(MATCH(TRIM($J42&amp;"")&amp;"|파견종료",파견수련계획!$Y$4:$Y$203,0),""))))</f>
        <v/>
      </c>
      <c r="AG42" s="10">
        <f>IF($B42="","",IF(AND(IF(OR($AC42="",인턴현황!$K$2=""),"",INDEX(인턴근무계획!$M$3:$R$202,$AC42,인턴현황!$K$2)&amp;"")&lt;&gt;"",LEFT(IF(OR($AC42="",인턴현황!$K$2=""),"",INDEX(인턴근무계획!$M$3:$R$202,$AC42,인턴현황!$K$2)&amp;""),1)&lt;&gt;"⚠"),LEFT(IF(OR($AC42="",인턴현황!$K$2=""),"",INDEX(인턴근무계획!$M$3:$R$202,$AC42,인턴현황!$K$2)&amp;""),FIND(" ",IF(OR($AC42="",인턴현황!$K$2=""),"",INDEX(인턴근무계획!$M$3:$R$202,$AC42,인턴현황!$K$2)&amp;""))-1),$AE42))</f>
        <v/>
      </c>
      <c r="AH42" s="17">
        <f>IF($B42="","",IF(TRIM($J42&amp;"")="",0,SUMPRODUCT((파견수련계획!$Q$4:$Q$203=TRIM($J42&amp;""))*(파견수련계획!$S$4:$S$203="서울병원")*파견수련계획!$W$4:$W$203))+IF($AG42="서울병원",MAX(0,DAY(EOMONTH(요약!$B$3,0))-N($X42)),0))</f>
        <v/>
      </c>
      <c r="AI42" s="17">
        <f>IF($B42="","",IF(TRIM($J42&amp;"")="",0,SUMPRODUCT((파견수련계획!$Q$4:$Q$203=TRIM($J42&amp;""))*(파견수련계획!$S$4:$S$203="구리병원")*파견수련계획!$W$4:$W$203))+IF($AG42="구리병원",MAX(0,DAY(EOMONTH(요약!$B$3,0))-N($X42)),0))</f>
        <v/>
      </c>
      <c r="AJ42" s="10">
        <f>IF(OR($B42="",TRIM($J42&amp;"")=""),"",IFERROR(MATCH(TRIM($J42&amp;"")&amp;"|월",파견수련계획!$Z$4:$Z$203,0),""))</f>
        <v/>
      </c>
      <c r="AK42" s="10">
        <f>IF(OR($B42="",TRIM($J42&amp;"")=""),"",IFERROR(MATCH(TRIM($J42&amp;"")&amp;"|다기관",파견수련계획!$AE$4:$AE$203,0),""))</f>
        <v/>
      </c>
      <c r="AL42" s="10">
        <f>IF($AK42="","","다기관 "&amp;TEXT(INDEX(파견수련계획!$AB$4:$AB$203,$AK42),"yyyy-mm-dd")&amp;"~"&amp;IF(ISNUMBER(INDEX(파견수련계획!$AC$4:$AC$203,$AK42)),TEXT(INDEX(파견수련계획!$AC$4:$AC$203,$AK42),"yyyy-mm-dd"),""))</f>
        <v/>
      </c>
    </row>
    <row r="43">
      <c r="A43" s="10">
        <f>IF(B43="","",ROW()-1)</f>
        <v/>
      </c>
      <c r="B43" s="18" t="n"/>
      <c r="C43" s="10">
        <f>IF($AB43="","",IF(INDEX(기본자료!$C$2:$C$501,$AB43)="","",INDEX(기본자료!$C$2:$C$501,$AB43)))</f>
        <v/>
      </c>
      <c r="D43" s="10">
        <f>IF($AB43="","",IF(INDEX(기본자료!$J$2:$J$501,$AB43)="","",INDEX(기본자료!$J$2:$J$501,$AB43)))</f>
        <v/>
      </c>
      <c r="E43" s="11">
        <f>IF($AB43="","",IF(INDEX(기본자료!$K$2:$K$501,$AB43)="","",IF(NOT(ISNUMBER(INDEX(기본자료!$K$2:$K$501,$AB43))),INDEX(기본자료!$K$2:$K$501,$AB43),IF(INDEX(기본자료!$K$2:$K$501,$AB43)&lt;1000000,INDEX(기본자료!$K$2:$K$501,$AB43),IF(AND(INDEX(기본자료!$K$2:$K$501,$AB43)&gt;=10000101,INT(MOD(INDEX(기본자료!$K$2:$K$501,$AB43),10000)/100)&gt;=1,INT(MOD(INDEX(기본자료!$K$2:$K$501,$AB43),10000)/100)&lt;=12,MOD(INDEX(기본자료!$K$2:$K$501,$AB43),100)&gt;=1,MOD(INDEX(기본자료!$K$2:$K$501,$AB43),100)&lt;=31),DATE(INT(INDEX(기본자료!$K$2:$K$501,$AB43)/10000),INT(MOD(INDEX(기본자료!$K$2:$K$501,$AB43),10000)/100),MOD(INDEX(기본자료!$K$2:$K$501,$AB43),100)),INDEX(기본자료!$K$2:$K$501,$AB43)&amp;"")))))</f>
        <v/>
      </c>
      <c r="F43" s="10">
        <f>IF($AB43="","",IF(INDEX(기본자료!$D$2:$D$501,$AB43)="","",INDEX(기본자료!$D$2:$D$501,$AB43)))</f>
        <v/>
      </c>
      <c r="G43" s="10">
        <f>IF($AB43="","",IF(INDEX(기본자료!$E$2:$E$501,$AB43)="","",INDEX(기본자료!$E$2:$E$501,$AB43)))</f>
        <v/>
      </c>
      <c r="H43" s="10">
        <f>IF($AB43="","",IF(INDEX(기본자료!$F$2:$F$501,$AB43)="","",INDEX(기본자료!$F$2:$F$501,$AB43)))</f>
        <v/>
      </c>
      <c r="I43" s="11">
        <f>IF($AB43="","",IF(INDEX(기본자료!$G$2:$G$501,$AB43)="","",IF(NOT(ISNUMBER(INDEX(기본자료!$G$2:$G$501,$AB43))),INDEX(기본자료!$G$2:$G$501,$AB43),IF(INDEX(기본자료!$G$2:$G$501,$AB43)&lt;1000000,INDEX(기본자료!$G$2:$G$501,$AB43),IF(AND(INDEX(기본자료!$G$2:$G$501,$AB43)&gt;=10000101,INT(MOD(INDEX(기본자료!$G$2:$G$501,$AB43),10000)/100)&gt;=1,INT(MOD(INDEX(기본자료!$G$2:$G$501,$AB43),10000)/100)&lt;=12,MOD(INDEX(기본자료!$G$2:$G$501,$AB43),100)&gt;=1,MOD(INDEX(기본자료!$G$2:$G$501,$AB43),100)&lt;=31),DATE(INT(INDEX(기본자료!$G$2:$G$501,$AB43)/10000),INT(MOD(INDEX(기본자료!$G$2:$G$501,$AB43),10000)/100),MOD(INDEX(기본자료!$G$2:$G$501,$AB43),100)),INDEX(기본자료!$G$2:$G$501,$AB43)&amp;"")))))</f>
        <v/>
      </c>
      <c r="J43" s="10">
        <f>IF($AB43="","",IF(INDEX(기본자료!$H$2:$H$501,$AB43)="","",INDEX(기본자료!$H$2:$H$501,$AB43)))</f>
        <v/>
      </c>
      <c r="K43" s="10">
        <f>IF($AB43="","",IF(INDEX(기본자료!$I$2:$I$501,$AB43)="","",INDEX(기본자료!$I$2:$I$501,$AB43)))</f>
        <v/>
      </c>
      <c r="L43" s="10">
        <f>IF($AB43="","",IF(INDEX(기본자료!$A$2:$A$501,$AB43)="","",INDEX(기본자료!$A$2:$A$501,$AB43)))</f>
        <v/>
      </c>
      <c r="M43" s="15" t="n"/>
      <c r="N43" s="10">
        <f>IF($B43="","",IF(AND($U43="파견중",$Q43&lt;&gt;""),$Q43,IF(AND($AD43&lt;&gt;"",LEFT($AD43,1)&lt;&gt;"⚠"),LEFT($AD43,FIND(" ",$AD43)-1),IF($H43="","",IF(RIGHT($H43,2)="병원",$H43,$H43&amp;"병원")))))</f>
        <v/>
      </c>
      <c r="O43" s="10">
        <f>IF($B43="","",IF(AND($U43="파견중",$Q43&lt;&gt;""),IF($R43&lt;&gt;"",$R43,"파견과 미입력"),IF(AND($AD43&lt;&gt;"",LEFT($AD43,1)&lt;&gt;"⚠"),MID($AD43,FIND(" ",$AD43)+1,60),IF($F43="","",IF($F43="인턴","수련교육부(인턴)",$F43)))))</f>
        <v/>
      </c>
      <c r="P43" s="10">
        <f>IF($B43="","",IF($AK43&lt;&gt;"",IF(AND(TODAY()&gt;=INDEX(파견수련계획!$AB$4:$AB$203,$AK43),OR(NOT(ISNUMBER(INDEX(파견수련계획!$AC$4:$AC$203,$AK43))),TODAY()&lt;=INDEX(파견수련계획!$AC$4:$AC$203,$AK43))),"다기관",IF($AF43="","",INDEX(파견수련계획!$T$4:$T$203,$AF43))),IF($AF43="","",INDEX(파견수련계획!$T$4:$T$203,$AF43))))</f>
        <v/>
      </c>
      <c r="Q43" s="10">
        <f>IF($AF43="","",INDEX(파견수련계획!$S$4:$S$203,$AF43))</f>
        <v/>
      </c>
      <c r="R43" s="10">
        <f>IF($AF43="","",INDEX(파견수련계획!$U$4:$U$203,$AF43))</f>
        <v/>
      </c>
      <c r="S43" s="11">
        <f>IF($AF43="","",IF(INDEX(파견수련계획!$H$4:$H$203,$AF43)="","",INDEX(파견수련계획!$H$4:$H$203,$AF43)))</f>
        <v/>
      </c>
      <c r="T43" s="11">
        <f>IF($AF43="","",IF(INDEX(파견수련계획!$I$4:$I$203,$AF43)="","",INDEX(파견수련계획!$I$4:$I$203,$AF43)))</f>
        <v/>
      </c>
      <c r="U43" s="10">
        <f>IF($AF43="","",INDEX(파견수련계획!$X$4:$X$203,$AF43))</f>
        <v/>
      </c>
      <c r="V43" s="17">
        <f>IF($AF43="","",INDEX(파견수련계획!$V$4:$V$203,$AF43))</f>
        <v/>
      </c>
      <c r="W43" s="17">
        <f>IF(AND($U43="파견중",$T43&lt;&gt;""),$T43-TODAY(),"")</f>
        <v/>
      </c>
      <c r="X43" s="17">
        <f>IF(OR($B43="",TRIM($J43&amp;"")=""),"",SUMPRODUCT((파견수련계획!$Q$4:$Q$203=TRIM($J43&amp;""))*파견수련계획!$W$4:$W$203))</f>
        <v/>
      </c>
      <c r="Y43" s="10">
        <f>IF($B43="","",IF($AG43="","",IF(IF(TRIM($J43&amp;"")="",0,SUMPRODUCT((파견수련계획!$Q$4:$Q$203=TRIM($J43&amp;""))*파견수련계획!$AD$4:$AD$203))&gt;0,$AE43,IF(N($X43)&lt;=0,$AG43,IF($AH43+$AI43=DAY(EOMONTH(요약!$B$3,0)),IF(AND($AH43&gt;=요약!$E$3,$AI43&lt;요약!$E$3),"서울병원",IF(AND($AI43&gt;=요약!$E$3,$AH43&lt;요약!$E$3),"구리병원","⚠15일 판정불가(서울 "&amp;$AH43&amp;"일/구리 "&amp;$AI43&amp;"일)")),IF($AJ43="",$AE43,IF(INDEX(파견수련계획!$T$4:$T$203,$AJ43)="통합수련",INDEX(파견수련계획!$S$4:$S$203,$AJ43),$AE43)))))))</f>
        <v/>
      </c>
      <c r="Z43" s="19">
        <f>IF($B43="","",IF($AB43="","기본자료에 없는 사번",IF(COUNTIF($B$2:$B$201,$B43)&gt;1,"중복 사번",IF($AE43="","소속(입사장소) 입력",IF(IF(TRIM($J43&amp;"")="",0,SUMPRODUCT((파견수련계획!$Q$4:$Q$203=TRIM($J43&amp;""))*(파견수련계획!$AA$4:$AA$203&lt;&gt;"")))&gt;0,"파견수련계획 입력오류 확인",IF(LEFT($Y43,1)="⚠","서울·구리 15일 판정 불가(양쪽 모두 이상/미만)",IF(IF($AC43="",0,N(INDEX(인턴근무계획!$T$3:$T$202,$AC43)))&gt;0,"인턴계획 입력오류 확인",IF(AND($AC43&lt;&gt;"",$U43&lt;&gt;"파견중",$N43&lt;&gt;$AE43),"인턴 타지역 근무: 파견 여부 확인","정상"))))))))</f>
        <v/>
      </c>
      <c r="AA43" s="5" t="n"/>
      <c r="AB43" s="10">
        <f>IF($B43="","",IFERROR(MATCH($B43,기본자료!$B$2:$B$501,0),IFERROR(MATCH($B43&amp;"",기본자료!$B$2:$B$501,0),IFERROR(MATCH(VALUE($B43),기본자료!$B$2:$B$501,0),""))))</f>
        <v/>
      </c>
      <c r="AC43" s="10">
        <f>IF($B43="","",IFERROR(MATCH($B43,인턴근무계획!$D$3:$D$202,0),IFERROR(MATCH($B43&amp;"",인턴근무계획!$D$3:$D$202,0),IFERROR(MATCH(VALUE($B43),인턴근무계획!$D$3:$D$202,0),""))))</f>
        <v/>
      </c>
      <c r="AD43" s="10">
        <f>IF(OR($AC43="",인턴현황!$G$3=""),"",INDEX(인턴근무계획!$M$3:$R$202,$AC43,인턴현황!$G$3)&amp;"")</f>
        <v/>
      </c>
      <c r="AE43" s="10">
        <f>IF($B43="","",IF($M43&lt;&gt;"",$M43,IF($AF43&lt;&gt;"",IF(LEFT(INDEX(파견수련계획!$R$4:$R$203,$AF43),1)&lt;&gt;"⚠",INDEX(파견수련계획!$R$4:$R$203,$AF43),IF($H43="","",IF(RIGHT($H43,2)="병원",$H43,$H43&amp;"병원"))),IF($H43="","",IF(RIGHT($H43,2)="병원",$H43,$H43&amp;"병원")))))</f>
        <v/>
      </c>
      <c r="AF43" s="10">
        <f>IF(OR($B43="",TRIM($J43&amp;"")=""),"",IFERROR(MATCH(TRIM($J43&amp;"")&amp;"|파견중",파견수련계획!$Y$4:$Y$203,0),IFERROR(MATCH(TRIM($J43&amp;"")&amp;"|파견예정",파견수련계획!$Y$4:$Y$203,0),IFERROR(MATCH(TRIM($J43&amp;"")&amp;"|파견종료",파견수련계획!$Y$4:$Y$203,0),""))))</f>
        <v/>
      </c>
      <c r="AG43" s="10">
        <f>IF($B43="","",IF(AND(IF(OR($AC43="",인턴현황!$K$2=""),"",INDEX(인턴근무계획!$M$3:$R$202,$AC43,인턴현황!$K$2)&amp;"")&lt;&gt;"",LEFT(IF(OR($AC43="",인턴현황!$K$2=""),"",INDEX(인턴근무계획!$M$3:$R$202,$AC43,인턴현황!$K$2)&amp;""),1)&lt;&gt;"⚠"),LEFT(IF(OR($AC43="",인턴현황!$K$2=""),"",INDEX(인턴근무계획!$M$3:$R$202,$AC43,인턴현황!$K$2)&amp;""),FIND(" ",IF(OR($AC43="",인턴현황!$K$2=""),"",INDEX(인턴근무계획!$M$3:$R$202,$AC43,인턴현황!$K$2)&amp;""))-1),$AE43))</f>
        <v/>
      </c>
      <c r="AH43" s="17">
        <f>IF($B43="","",IF(TRIM($J43&amp;"")="",0,SUMPRODUCT((파견수련계획!$Q$4:$Q$203=TRIM($J43&amp;""))*(파견수련계획!$S$4:$S$203="서울병원")*파견수련계획!$W$4:$W$203))+IF($AG43="서울병원",MAX(0,DAY(EOMONTH(요약!$B$3,0))-N($X43)),0))</f>
        <v/>
      </c>
      <c r="AI43" s="17">
        <f>IF($B43="","",IF(TRIM($J43&amp;"")="",0,SUMPRODUCT((파견수련계획!$Q$4:$Q$203=TRIM($J43&amp;""))*(파견수련계획!$S$4:$S$203="구리병원")*파견수련계획!$W$4:$W$203))+IF($AG43="구리병원",MAX(0,DAY(EOMONTH(요약!$B$3,0))-N($X43)),0))</f>
        <v/>
      </c>
      <c r="AJ43" s="10">
        <f>IF(OR($B43="",TRIM($J43&amp;"")=""),"",IFERROR(MATCH(TRIM($J43&amp;"")&amp;"|월",파견수련계획!$Z$4:$Z$203,0),""))</f>
        <v/>
      </c>
      <c r="AK43" s="10">
        <f>IF(OR($B43="",TRIM($J43&amp;"")=""),"",IFERROR(MATCH(TRIM($J43&amp;"")&amp;"|다기관",파견수련계획!$AE$4:$AE$203,0),""))</f>
        <v/>
      </c>
      <c r="AL43" s="10">
        <f>IF($AK43="","","다기관 "&amp;TEXT(INDEX(파견수련계획!$AB$4:$AB$203,$AK43),"yyyy-mm-dd")&amp;"~"&amp;IF(ISNUMBER(INDEX(파견수련계획!$AC$4:$AC$203,$AK43)),TEXT(INDEX(파견수련계획!$AC$4:$AC$203,$AK43),"yyyy-mm-dd"),""))</f>
        <v/>
      </c>
    </row>
    <row r="44">
      <c r="A44" s="10">
        <f>IF(B44="","",ROW()-1)</f>
        <v/>
      </c>
      <c r="B44" s="18" t="n"/>
      <c r="C44" s="10">
        <f>IF($AB44="","",IF(INDEX(기본자료!$C$2:$C$501,$AB44)="","",INDEX(기본자료!$C$2:$C$501,$AB44)))</f>
        <v/>
      </c>
      <c r="D44" s="10">
        <f>IF($AB44="","",IF(INDEX(기본자료!$J$2:$J$501,$AB44)="","",INDEX(기본자료!$J$2:$J$501,$AB44)))</f>
        <v/>
      </c>
      <c r="E44" s="11">
        <f>IF($AB44="","",IF(INDEX(기본자료!$K$2:$K$501,$AB44)="","",IF(NOT(ISNUMBER(INDEX(기본자료!$K$2:$K$501,$AB44))),INDEX(기본자료!$K$2:$K$501,$AB44),IF(INDEX(기본자료!$K$2:$K$501,$AB44)&lt;1000000,INDEX(기본자료!$K$2:$K$501,$AB44),IF(AND(INDEX(기본자료!$K$2:$K$501,$AB44)&gt;=10000101,INT(MOD(INDEX(기본자료!$K$2:$K$501,$AB44),10000)/100)&gt;=1,INT(MOD(INDEX(기본자료!$K$2:$K$501,$AB44),10000)/100)&lt;=12,MOD(INDEX(기본자료!$K$2:$K$501,$AB44),100)&gt;=1,MOD(INDEX(기본자료!$K$2:$K$501,$AB44),100)&lt;=31),DATE(INT(INDEX(기본자료!$K$2:$K$501,$AB44)/10000),INT(MOD(INDEX(기본자료!$K$2:$K$501,$AB44),10000)/100),MOD(INDEX(기본자료!$K$2:$K$501,$AB44),100)),INDEX(기본자료!$K$2:$K$501,$AB44)&amp;"")))))</f>
        <v/>
      </c>
      <c r="F44" s="10">
        <f>IF($AB44="","",IF(INDEX(기본자료!$D$2:$D$501,$AB44)="","",INDEX(기본자료!$D$2:$D$501,$AB44)))</f>
        <v/>
      </c>
      <c r="G44" s="10">
        <f>IF($AB44="","",IF(INDEX(기본자료!$E$2:$E$501,$AB44)="","",INDEX(기본자료!$E$2:$E$501,$AB44)))</f>
        <v/>
      </c>
      <c r="H44" s="10">
        <f>IF($AB44="","",IF(INDEX(기본자료!$F$2:$F$501,$AB44)="","",INDEX(기본자료!$F$2:$F$501,$AB44)))</f>
        <v/>
      </c>
      <c r="I44" s="11">
        <f>IF($AB44="","",IF(INDEX(기본자료!$G$2:$G$501,$AB44)="","",IF(NOT(ISNUMBER(INDEX(기본자료!$G$2:$G$501,$AB44))),INDEX(기본자료!$G$2:$G$501,$AB44),IF(INDEX(기본자료!$G$2:$G$501,$AB44)&lt;1000000,INDEX(기본자료!$G$2:$G$501,$AB44),IF(AND(INDEX(기본자료!$G$2:$G$501,$AB44)&gt;=10000101,INT(MOD(INDEX(기본자료!$G$2:$G$501,$AB44),10000)/100)&gt;=1,INT(MOD(INDEX(기본자료!$G$2:$G$501,$AB44),10000)/100)&lt;=12,MOD(INDEX(기본자료!$G$2:$G$501,$AB44),100)&gt;=1,MOD(INDEX(기본자료!$G$2:$G$501,$AB44),100)&lt;=31),DATE(INT(INDEX(기본자료!$G$2:$G$501,$AB44)/10000),INT(MOD(INDEX(기본자료!$G$2:$G$501,$AB44),10000)/100),MOD(INDEX(기본자료!$G$2:$G$501,$AB44),100)),INDEX(기본자료!$G$2:$G$501,$AB44)&amp;"")))))</f>
        <v/>
      </c>
      <c r="J44" s="10">
        <f>IF($AB44="","",IF(INDEX(기본자료!$H$2:$H$501,$AB44)="","",INDEX(기본자료!$H$2:$H$501,$AB44)))</f>
        <v/>
      </c>
      <c r="K44" s="10">
        <f>IF($AB44="","",IF(INDEX(기본자료!$I$2:$I$501,$AB44)="","",INDEX(기본자료!$I$2:$I$501,$AB44)))</f>
        <v/>
      </c>
      <c r="L44" s="10">
        <f>IF($AB44="","",IF(INDEX(기본자료!$A$2:$A$501,$AB44)="","",INDEX(기본자료!$A$2:$A$501,$AB44)))</f>
        <v/>
      </c>
      <c r="M44" s="15" t="n"/>
      <c r="N44" s="10">
        <f>IF($B44="","",IF(AND($U44="파견중",$Q44&lt;&gt;""),$Q44,IF(AND($AD44&lt;&gt;"",LEFT($AD44,1)&lt;&gt;"⚠"),LEFT($AD44,FIND(" ",$AD44)-1),IF($H44="","",IF(RIGHT($H44,2)="병원",$H44,$H44&amp;"병원")))))</f>
        <v/>
      </c>
      <c r="O44" s="10">
        <f>IF($B44="","",IF(AND($U44="파견중",$Q44&lt;&gt;""),IF($R44&lt;&gt;"",$R44,"파견과 미입력"),IF(AND($AD44&lt;&gt;"",LEFT($AD44,1)&lt;&gt;"⚠"),MID($AD44,FIND(" ",$AD44)+1,60),IF($F44="","",IF($F44="인턴","수련교육부(인턴)",$F44)))))</f>
        <v/>
      </c>
      <c r="P44" s="10">
        <f>IF($B44="","",IF($AK44&lt;&gt;"",IF(AND(TODAY()&gt;=INDEX(파견수련계획!$AB$4:$AB$203,$AK44),OR(NOT(ISNUMBER(INDEX(파견수련계획!$AC$4:$AC$203,$AK44))),TODAY()&lt;=INDEX(파견수련계획!$AC$4:$AC$203,$AK44))),"다기관",IF($AF44="","",INDEX(파견수련계획!$T$4:$T$203,$AF44))),IF($AF44="","",INDEX(파견수련계획!$T$4:$T$203,$AF44))))</f>
        <v/>
      </c>
      <c r="Q44" s="10">
        <f>IF($AF44="","",INDEX(파견수련계획!$S$4:$S$203,$AF44))</f>
        <v/>
      </c>
      <c r="R44" s="10">
        <f>IF($AF44="","",INDEX(파견수련계획!$U$4:$U$203,$AF44))</f>
        <v/>
      </c>
      <c r="S44" s="11">
        <f>IF($AF44="","",IF(INDEX(파견수련계획!$H$4:$H$203,$AF44)="","",INDEX(파견수련계획!$H$4:$H$203,$AF44)))</f>
        <v/>
      </c>
      <c r="T44" s="11">
        <f>IF($AF44="","",IF(INDEX(파견수련계획!$I$4:$I$203,$AF44)="","",INDEX(파견수련계획!$I$4:$I$203,$AF44)))</f>
        <v/>
      </c>
      <c r="U44" s="10">
        <f>IF($AF44="","",INDEX(파견수련계획!$X$4:$X$203,$AF44))</f>
        <v/>
      </c>
      <c r="V44" s="17">
        <f>IF($AF44="","",INDEX(파견수련계획!$V$4:$V$203,$AF44))</f>
        <v/>
      </c>
      <c r="W44" s="17">
        <f>IF(AND($U44="파견중",$T44&lt;&gt;""),$T44-TODAY(),"")</f>
        <v/>
      </c>
      <c r="X44" s="17">
        <f>IF(OR($B44="",TRIM($J44&amp;"")=""),"",SUMPRODUCT((파견수련계획!$Q$4:$Q$203=TRIM($J44&amp;""))*파견수련계획!$W$4:$W$203))</f>
        <v/>
      </c>
      <c r="Y44" s="10">
        <f>IF($B44="","",IF($AG44="","",IF(IF(TRIM($J44&amp;"")="",0,SUMPRODUCT((파견수련계획!$Q$4:$Q$203=TRIM($J44&amp;""))*파견수련계획!$AD$4:$AD$203))&gt;0,$AE44,IF(N($X44)&lt;=0,$AG44,IF($AH44+$AI44=DAY(EOMONTH(요약!$B$3,0)),IF(AND($AH44&gt;=요약!$E$3,$AI44&lt;요약!$E$3),"서울병원",IF(AND($AI44&gt;=요약!$E$3,$AH44&lt;요약!$E$3),"구리병원","⚠15일 판정불가(서울 "&amp;$AH44&amp;"일/구리 "&amp;$AI44&amp;"일)")),IF($AJ44="",$AE44,IF(INDEX(파견수련계획!$T$4:$T$203,$AJ44)="통합수련",INDEX(파견수련계획!$S$4:$S$203,$AJ44),$AE44)))))))</f>
        <v/>
      </c>
      <c r="Z44" s="19">
        <f>IF($B44="","",IF($AB44="","기본자료에 없는 사번",IF(COUNTIF($B$2:$B$201,$B44)&gt;1,"중복 사번",IF($AE44="","소속(입사장소) 입력",IF(IF(TRIM($J44&amp;"")="",0,SUMPRODUCT((파견수련계획!$Q$4:$Q$203=TRIM($J44&amp;""))*(파견수련계획!$AA$4:$AA$203&lt;&gt;"")))&gt;0,"파견수련계획 입력오류 확인",IF(LEFT($Y44,1)="⚠","서울·구리 15일 판정 불가(양쪽 모두 이상/미만)",IF(IF($AC44="",0,N(INDEX(인턴근무계획!$T$3:$T$202,$AC44)))&gt;0,"인턴계획 입력오류 확인",IF(AND($AC44&lt;&gt;"",$U44&lt;&gt;"파견중",$N44&lt;&gt;$AE44),"인턴 타지역 근무: 파견 여부 확인","정상"))))))))</f>
        <v/>
      </c>
      <c r="AA44" s="5" t="n"/>
      <c r="AB44" s="10">
        <f>IF($B44="","",IFERROR(MATCH($B44,기본자료!$B$2:$B$501,0),IFERROR(MATCH($B44&amp;"",기본자료!$B$2:$B$501,0),IFERROR(MATCH(VALUE($B44),기본자료!$B$2:$B$501,0),""))))</f>
        <v/>
      </c>
      <c r="AC44" s="10">
        <f>IF($B44="","",IFERROR(MATCH($B44,인턴근무계획!$D$3:$D$202,0),IFERROR(MATCH($B44&amp;"",인턴근무계획!$D$3:$D$202,0),IFERROR(MATCH(VALUE($B44),인턴근무계획!$D$3:$D$202,0),""))))</f>
        <v/>
      </c>
      <c r="AD44" s="10">
        <f>IF(OR($AC44="",인턴현황!$G$3=""),"",INDEX(인턴근무계획!$M$3:$R$202,$AC44,인턴현황!$G$3)&amp;"")</f>
        <v/>
      </c>
      <c r="AE44" s="10">
        <f>IF($B44="","",IF($M44&lt;&gt;"",$M44,IF($AF44&lt;&gt;"",IF(LEFT(INDEX(파견수련계획!$R$4:$R$203,$AF44),1)&lt;&gt;"⚠",INDEX(파견수련계획!$R$4:$R$203,$AF44),IF($H44="","",IF(RIGHT($H44,2)="병원",$H44,$H44&amp;"병원"))),IF($H44="","",IF(RIGHT($H44,2)="병원",$H44,$H44&amp;"병원")))))</f>
        <v/>
      </c>
      <c r="AF44" s="10">
        <f>IF(OR($B44="",TRIM($J44&amp;"")=""),"",IFERROR(MATCH(TRIM($J44&amp;"")&amp;"|파견중",파견수련계획!$Y$4:$Y$203,0),IFERROR(MATCH(TRIM($J44&amp;"")&amp;"|파견예정",파견수련계획!$Y$4:$Y$203,0),IFERROR(MATCH(TRIM($J44&amp;"")&amp;"|파견종료",파견수련계획!$Y$4:$Y$203,0),""))))</f>
        <v/>
      </c>
      <c r="AG44" s="10">
        <f>IF($B44="","",IF(AND(IF(OR($AC44="",인턴현황!$K$2=""),"",INDEX(인턴근무계획!$M$3:$R$202,$AC44,인턴현황!$K$2)&amp;"")&lt;&gt;"",LEFT(IF(OR($AC44="",인턴현황!$K$2=""),"",INDEX(인턴근무계획!$M$3:$R$202,$AC44,인턴현황!$K$2)&amp;""),1)&lt;&gt;"⚠"),LEFT(IF(OR($AC44="",인턴현황!$K$2=""),"",INDEX(인턴근무계획!$M$3:$R$202,$AC44,인턴현황!$K$2)&amp;""),FIND(" ",IF(OR($AC44="",인턴현황!$K$2=""),"",INDEX(인턴근무계획!$M$3:$R$202,$AC44,인턴현황!$K$2)&amp;""))-1),$AE44))</f>
        <v/>
      </c>
      <c r="AH44" s="17">
        <f>IF($B44="","",IF(TRIM($J44&amp;"")="",0,SUMPRODUCT((파견수련계획!$Q$4:$Q$203=TRIM($J44&amp;""))*(파견수련계획!$S$4:$S$203="서울병원")*파견수련계획!$W$4:$W$203))+IF($AG44="서울병원",MAX(0,DAY(EOMONTH(요약!$B$3,0))-N($X44)),0))</f>
        <v/>
      </c>
      <c r="AI44" s="17">
        <f>IF($B44="","",IF(TRIM($J44&amp;"")="",0,SUMPRODUCT((파견수련계획!$Q$4:$Q$203=TRIM($J44&amp;""))*(파견수련계획!$S$4:$S$203="구리병원")*파견수련계획!$W$4:$W$203))+IF($AG44="구리병원",MAX(0,DAY(EOMONTH(요약!$B$3,0))-N($X44)),0))</f>
        <v/>
      </c>
      <c r="AJ44" s="10">
        <f>IF(OR($B44="",TRIM($J44&amp;"")=""),"",IFERROR(MATCH(TRIM($J44&amp;"")&amp;"|월",파견수련계획!$Z$4:$Z$203,0),""))</f>
        <v/>
      </c>
      <c r="AK44" s="10">
        <f>IF(OR($B44="",TRIM($J44&amp;"")=""),"",IFERROR(MATCH(TRIM($J44&amp;"")&amp;"|다기관",파견수련계획!$AE$4:$AE$203,0),""))</f>
        <v/>
      </c>
      <c r="AL44" s="10">
        <f>IF($AK44="","","다기관 "&amp;TEXT(INDEX(파견수련계획!$AB$4:$AB$203,$AK44),"yyyy-mm-dd")&amp;"~"&amp;IF(ISNUMBER(INDEX(파견수련계획!$AC$4:$AC$203,$AK44)),TEXT(INDEX(파견수련계획!$AC$4:$AC$203,$AK44),"yyyy-mm-dd"),""))</f>
        <v/>
      </c>
    </row>
    <row r="45">
      <c r="A45" s="10">
        <f>IF(B45="","",ROW()-1)</f>
        <v/>
      </c>
      <c r="B45" s="18" t="n"/>
      <c r="C45" s="10">
        <f>IF($AB45="","",IF(INDEX(기본자료!$C$2:$C$501,$AB45)="","",INDEX(기본자료!$C$2:$C$501,$AB45)))</f>
        <v/>
      </c>
      <c r="D45" s="10">
        <f>IF($AB45="","",IF(INDEX(기본자료!$J$2:$J$501,$AB45)="","",INDEX(기본자료!$J$2:$J$501,$AB45)))</f>
        <v/>
      </c>
      <c r="E45" s="11">
        <f>IF($AB45="","",IF(INDEX(기본자료!$K$2:$K$501,$AB45)="","",IF(NOT(ISNUMBER(INDEX(기본자료!$K$2:$K$501,$AB45))),INDEX(기본자료!$K$2:$K$501,$AB45),IF(INDEX(기본자료!$K$2:$K$501,$AB45)&lt;1000000,INDEX(기본자료!$K$2:$K$501,$AB45),IF(AND(INDEX(기본자료!$K$2:$K$501,$AB45)&gt;=10000101,INT(MOD(INDEX(기본자료!$K$2:$K$501,$AB45),10000)/100)&gt;=1,INT(MOD(INDEX(기본자료!$K$2:$K$501,$AB45),10000)/100)&lt;=12,MOD(INDEX(기본자료!$K$2:$K$501,$AB45),100)&gt;=1,MOD(INDEX(기본자료!$K$2:$K$501,$AB45),100)&lt;=31),DATE(INT(INDEX(기본자료!$K$2:$K$501,$AB45)/10000),INT(MOD(INDEX(기본자료!$K$2:$K$501,$AB45),10000)/100),MOD(INDEX(기본자료!$K$2:$K$501,$AB45),100)),INDEX(기본자료!$K$2:$K$501,$AB45)&amp;"")))))</f>
        <v/>
      </c>
      <c r="F45" s="10">
        <f>IF($AB45="","",IF(INDEX(기본자료!$D$2:$D$501,$AB45)="","",INDEX(기본자료!$D$2:$D$501,$AB45)))</f>
        <v/>
      </c>
      <c r="G45" s="10">
        <f>IF($AB45="","",IF(INDEX(기본자료!$E$2:$E$501,$AB45)="","",INDEX(기본자료!$E$2:$E$501,$AB45)))</f>
        <v/>
      </c>
      <c r="H45" s="10">
        <f>IF($AB45="","",IF(INDEX(기본자료!$F$2:$F$501,$AB45)="","",INDEX(기본자료!$F$2:$F$501,$AB45)))</f>
        <v/>
      </c>
      <c r="I45" s="11">
        <f>IF($AB45="","",IF(INDEX(기본자료!$G$2:$G$501,$AB45)="","",IF(NOT(ISNUMBER(INDEX(기본자료!$G$2:$G$501,$AB45))),INDEX(기본자료!$G$2:$G$501,$AB45),IF(INDEX(기본자료!$G$2:$G$501,$AB45)&lt;1000000,INDEX(기본자료!$G$2:$G$501,$AB45),IF(AND(INDEX(기본자료!$G$2:$G$501,$AB45)&gt;=10000101,INT(MOD(INDEX(기본자료!$G$2:$G$501,$AB45),10000)/100)&gt;=1,INT(MOD(INDEX(기본자료!$G$2:$G$501,$AB45),10000)/100)&lt;=12,MOD(INDEX(기본자료!$G$2:$G$501,$AB45),100)&gt;=1,MOD(INDEX(기본자료!$G$2:$G$501,$AB45),100)&lt;=31),DATE(INT(INDEX(기본자료!$G$2:$G$501,$AB45)/10000),INT(MOD(INDEX(기본자료!$G$2:$G$501,$AB45),10000)/100),MOD(INDEX(기본자료!$G$2:$G$501,$AB45),100)),INDEX(기본자료!$G$2:$G$501,$AB45)&amp;"")))))</f>
        <v/>
      </c>
      <c r="J45" s="10">
        <f>IF($AB45="","",IF(INDEX(기본자료!$H$2:$H$501,$AB45)="","",INDEX(기본자료!$H$2:$H$501,$AB45)))</f>
        <v/>
      </c>
      <c r="K45" s="10">
        <f>IF($AB45="","",IF(INDEX(기본자료!$I$2:$I$501,$AB45)="","",INDEX(기본자료!$I$2:$I$501,$AB45)))</f>
        <v/>
      </c>
      <c r="L45" s="10">
        <f>IF($AB45="","",IF(INDEX(기본자료!$A$2:$A$501,$AB45)="","",INDEX(기본자료!$A$2:$A$501,$AB45)))</f>
        <v/>
      </c>
      <c r="M45" s="15" t="n"/>
      <c r="N45" s="10">
        <f>IF($B45="","",IF(AND($U45="파견중",$Q45&lt;&gt;""),$Q45,IF(AND($AD45&lt;&gt;"",LEFT($AD45,1)&lt;&gt;"⚠"),LEFT($AD45,FIND(" ",$AD45)-1),IF($H45="","",IF(RIGHT($H45,2)="병원",$H45,$H45&amp;"병원")))))</f>
        <v/>
      </c>
      <c r="O45" s="10">
        <f>IF($B45="","",IF(AND($U45="파견중",$Q45&lt;&gt;""),IF($R45&lt;&gt;"",$R45,"파견과 미입력"),IF(AND($AD45&lt;&gt;"",LEFT($AD45,1)&lt;&gt;"⚠"),MID($AD45,FIND(" ",$AD45)+1,60),IF($F45="","",IF($F45="인턴","수련교육부(인턴)",$F45)))))</f>
        <v/>
      </c>
      <c r="P45" s="10">
        <f>IF($B45="","",IF($AK45&lt;&gt;"",IF(AND(TODAY()&gt;=INDEX(파견수련계획!$AB$4:$AB$203,$AK45),OR(NOT(ISNUMBER(INDEX(파견수련계획!$AC$4:$AC$203,$AK45))),TODAY()&lt;=INDEX(파견수련계획!$AC$4:$AC$203,$AK45))),"다기관",IF($AF45="","",INDEX(파견수련계획!$T$4:$T$203,$AF45))),IF($AF45="","",INDEX(파견수련계획!$T$4:$T$203,$AF45))))</f>
        <v/>
      </c>
      <c r="Q45" s="10">
        <f>IF($AF45="","",INDEX(파견수련계획!$S$4:$S$203,$AF45))</f>
        <v/>
      </c>
      <c r="R45" s="10">
        <f>IF($AF45="","",INDEX(파견수련계획!$U$4:$U$203,$AF45))</f>
        <v/>
      </c>
      <c r="S45" s="11">
        <f>IF($AF45="","",IF(INDEX(파견수련계획!$H$4:$H$203,$AF45)="","",INDEX(파견수련계획!$H$4:$H$203,$AF45)))</f>
        <v/>
      </c>
      <c r="T45" s="11">
        <f>IF($AF45="","",IF(INDEX(파견수련계획!$I$4:$I$203,$AF45)="","",INDEX(파견수련계획!$I$4:$I$203,$AF45)))</f>
        <v/>
      </c>
      <c r="U45" s="10">
        <f>IF($AF45="","",INDEX(파견수련계획!$X$4:$X$203,$AF45))</f>
        <v/>
      </c>
      <c r="V45" s="17">
        <f>IF($AF45="","",INDEX(파견수련계획!$V$4:$V$203,$AF45))</f>
        <v/>
      </c>
      <c r="W45" s="17">
        <f>IF(AND($U45="파견중",$T45&lt;&gt;""),$T45-TODAY(),"")</f>
        <v/>
      </c>
      <c r="X45" s="17">
        <f>IF(OR($B45="",TRIM($J45&amp;"")=""),"",SUMPRODUCT((파견수련계획!$Q$4:$Q$203=TRIM($J45&amp;""))*파견수련계획!$W$4:$W$203))</f>
        <v/>
      </c>
      <c r="Y45" s="10">
        <f>IF($B45="","",IF($AG45="","",IF(IF(TRIM($J45&amp;"")="",0,SUMPRODUCT((파견수련계획!$Q$4:$Q$203=TRIM($J45&amp;""))*파견수련계획!$AD$4:$AD$203))&gt;0,$AE45,IF(N($X45)&lt;=0,$AG45,IF($AH45+$AI45=DAY(EOMONTH(요약!$B$3,0)),IF(AND($AH45&gt;=요약!$E$3,$AI45&lt;요약!$E$3),"서울병원",IF(AND($AI45&gt;=요약!$E$3,$AH45&lt;요약!$E$3),"구리병원","⚠15일 판정불가(서울 "&amp;$AH45&amp;"일/구리 "&amp;$AI45&amp;"일)")),IF($AJ45="",$AE45,IF(INDEX(파견수련계획!$T$4:$T$203,$AJ45)="통합수련",INDEX(파견수련계획!$S$4:$S$203,$AJ45),$AE45)))))))</f>
        <v/>
      </c>
      <c r="Z45" s="19">
        <f>IF($B45="","",IF($AB45="","기본자료에 없는 사번",IF(COUNTIF($B$2:$B$201,$B45)&gt;1,"중복 사번",IF($AE45="","소속(입사장소) 입력",IF(IF(TRIM($J45&amp;"")="",0,SUMPRODUCT((파견수련계획!$Q$4:$Q$203=TRIM($J45&amp;""))*(파견수련계획!$AA$4:$AA$203&lt;&gt;"")))&gt;0,"파견수련계획 입력오류 확인",IF(LEFT($Y45,1)="⚠","서울·구리 15일 판정 불가(양쪽 모두 이상/미만)",IF(IF($AC45="",0,N(INDEX(인턴근무계획!$T$3:$T$202,$AC45)))&gt;0,"인턴계획 입력오류 확인",IF(AND($AC45&lt;&gt;"",$U45&lt;&gt;"파견중",$N45&lt;&gt;$AE45),"인턴 타지역 근무: 파견 여부 확인","정상"))))))))</f>
        <v/>
      </c>
      <c r="AA45" s="5" t="n"/>
      <c r="AB45" s="10">
        <f>IF($B45="","",IFERROR(MATCH($B45,기본자료!$B$2:$B$501,0),IFERROR(MATCH($B45&amp;"",기본자료!$B$2:$B$501,0),IFERROR(MATCH(VALUE($B45),기본자료!$B$2:$B$501,0),""))))</f>
        <v/>
      </c>
      <c r="AC45" s="10">
        <f>IF($B45="","",IFERROR(MATCH($B45,인턴근무계획!$D$3:$D$202,0),IFERROR(MATCH($B45&amp;"",인턴근무계획!$D$3:$D$202,0),IFERROR(MATCH(VALUE($B45),인턴근무계획!$D$3:$D$202,0),""))))</f>
        <v/>
      </c>
      <c r="AD45" s="10">
        <f>IF(OR($AC45="",인턴현황!$G$3=""),"",INDEX(인턴근무계획!$M$3:$R$202,$AC45,인턴현황!$G$3)&amp;"")</f>
        <v/>
      </c>
      <c r="AE45" s="10">
        <f>IF($B45="","",IF($M45&lt;&gt;"",$M45,IF($AF45&lt;&gt;"",IF(LEFT(INDEX(파견수련계획!$R$4:$R$203,$AF45),1)&lt;&gt;"⚠",INDEX(파견수련계획!$R$4:$R$203,$AF45),IF($H45="","",IF(RIGHT($H45,2)="병원",$H45,$H45&amp;"병원"))),IF($H45="","",IF(RIGHT($H45,2)="병원",$H45,$H45&amp;"병원")))))</f>
        <v/>
      </c>
      <c r="AF45" s="10">
        <f>IF(OR($B45="",TRIM($J45&amp;"")=""),"",IFERROR(MATCH(TRIM($J45&amp;"")&amp;"|파견중",파견수련계획!$Y$4:$Y$203,0),IFERROR(MATCH(TRIM($J45&amp;"")&amp;"|파견예정",파견수련계획!$Y$4:$Y$203,0),IFERROR(MATCH(TRIM($J45&amp;"")&amp;"|파견종료",파견수련계획!$Y$4:$Y$203,0),""))))</f>
        <v/>
      </c>
      <c r="AG45" s="10">
        <f>IF($B45="","",IF(AND(IF(OR($AC45="",인턴현황!$K$2=""),"",INDEX(인턴근무계획!$M$3:$R$202,$AC45,인턴현황!$K$2)&amp;"")&lt;&gt;"",LEFT(IF(OR($AC45="",인턴현황!$K$2=""),"",INDEX(인턴근무계획!$M$3:$R$202,$AC45,인턴현황!$K$2)&amp;""),1)&lt;&gt;"⚠"),LEFT(IF(OR($AC45="",인턴현황!$K$2=""),"",INDEX(인턴근무계획!$M$3:$R$202,$AC45,인턴현황!$K$2)&amp;""),FIND(" ",IF(OR($AC45="",인턴현황!$K$2=""),"",INDEX(인턴근무계획!$M$3:$R$202,$AC45,인턴현황!$K$2)&amp;""))-1),$AE45))</f>
        <v/>
      </c>
      <c r="AH45" s="17">
        <f>IF($B45="","",IF(TRIM($J45&amp;"")="",0,SUMPRODUCT((파견수련계획!$Q$4:$Q$203=TRIM($J45&amp;""))*(파견수련계획!$S$4:$S$203="서울병원")*파견수련계획!$W$4:$W$203))+IF($AG45="서울병원",MAX(0,DAY(EOMONTH(요약!$B$3,0))-N($X45)),0))</f>
        <v/>
      </c>
      <c r="AI45" s="17">
        <f>IF($B45="","",IF(TRIM($J45&amp;"")="",0,SUMPRODUCT((파견수련계획!$Q$4:$Q$203=TRIM($J45&amp;""))*(파견수련계획!$S$4:$S$203="구리병원")*파견수련계획!$W$4:$W$203))+IF($AG45="구리병원",MAX(0,DAY(EOMONTH(요약!$B$3,0))-N($X45)),0))</f>
        <v/>
      </c>
      <c r="AJ45" s="10">
        <f>IF(OR($B45="",TRIM($J45&amp;"")=""),"",IFERROR(MATCH(TRIM($J45&amp;"")&amp;"|월",파견수련계획!$Z$4:$Z$203,0),""))</f>
        <v/>
      </c>
      <c r="AK45" s="10">
        <f>IF(OR($B45="",TRIM($J45&amp;"")=""),"",IFERROR(MATCH(TRIM($J45&amp;"")&amp;"|다기관",파견수련계획!$AE$4:$AE$203,0),""))</f>
        <v/>
      </c>
      <c r="AL45" s="10">
        <f>IF($AK45="","","다기관 "&amp;TEXT(INDEX(파견수련계획!$AB$4:$AB$203,$AK45),"yyyy-mm-dd")&amp;"~"&amp;IF(ISNUMBER(INDEX(파견수련계획!$AC$4:$AC$203,$AK45)),TEXT(INDEX(파견수련계획!$AC$4:$AC$203,$AK45),"yyyy-mm-dd"),""))</f>
        <v/>
      </c>
    </row>
    <row r="46">
      <c r="A46" s="10">
        <f>IF(B46="","",ROW()-1)</f>
        <v/>
      </c>
      <c r="B46" s="18" t="n"/>
      <c r="C46" s="10">
        <f>IF($AB46="","",IF(INDEX(기본자료!$C$2:$C$501,$AB46)="","",INDEX(기본자료!$C$2:$C$501,$AB46)))</f>
        <v/>
      </c>
      <c r="D46" s="10">
        <f>IF($AB46="","",IF(INDEX(기본자료!$J$2:$J$501,$AB46)="","",INDEX(기본자료!$J$2:$J$501,$AB46)))</f>
        <v/>
      </c>
      <c r="E46" s="11">
        <f>IF($AB46="","",IF(INDEX(기본자료!$K$2:$K$501,$AB46)="","",IF(NOT(ISNUMBER(INDEX(기본자료!$K$2:$K$501,$AB46))),INDEX(기본자료!$K$2:$K$501,$AB46),IF(INDEX(기본자료!$K$2:$K$501,$AB46)&lt;1000000,INDEX(기본자료!$K$2:$K$501,$AB46),IF(AND(INDEX(기본자료!$K$2:$K$501,$AB46)&gt;=10000101,INT(MOD(INDEX(기본자료!$K$2:$K$501,$AB46),10000)/100)&gt;=1,INT(MOD(INDEX(기본자료!$K$2:$K$501,$AB46),10000)/100)&lt;=12,MOD(INDEX(기본자료!$K$2:$K$501,$AB46),100)&gt;=1,MOD(INDEX(기본자료!$K$2:$K$501,$AB46),100)&lt;=31),DATE(INT(INDEX(기본자료!$K$2:$K$501,$AB46)/10000),INT(MOD(INDEX(기본자료!$K$2:$K$501,$AB46),10000)/100),MOD(INDEX(기본자료!$K$2:$K$501,$AB46),100)),INDEX(기본자료!$K$2:$K$501,$AB46)&amp;"")))))</f>
        <v/>
      </c>
      <c r="F46" s="10">
        <f>IF($AB46="","",IF(INDEX(기본자료!$D$2:$D$501,$AB46)="","",INDEX(기본자료!$D$2:$D$501,$AB46)))</f>
        <v/>
      </c>
      <c r="G46" s="10">
        <f>IF($AB46="","",IF(INDEX(기본자료!$E$2:$E$501,$AB46)="","",INDEX(기본자료!$E$2:$E$501,$AB46)))</f>
        <v/>
      </c>
      <c r="H46" s="10">
        <f>IF($AB46="","",IF(INDEX(기본자료!$F$2:$F$501,$AB46)="","",INDEX(기본자료!$F$2:$F$501,$AB46)))</f>
        <v/>
      </c>
      <c r="I46" s="11">
        <f>IF($AB46="","",IF(INDEX(기본자료!$G$2:$G$501,$AB46)="","",IF(NOT(ISNUMBER(INDEX(기본자료!$G$2:$G$501,$AB46))),INDEX(기본자료!$G$2:$G$501,$AB46),IF(INDEX(기본자료!$G$2:$G$501,$AB46)&lt;1000000,INDEX(기본자료!$G$2:$G$501,$AB46),IF(AND(INDEX(기본자료!$G$2:$G$501,$AB46)&gt;=10000101,INT(MOD(INDEX(기본자료!$G$2:$G$501,$AB46),10000)/100)&gt;=1,INT(MOD(INDEX(기본자료!$G$2:$G$501,$AB46),10000)/100)&lt;=12,MOD(INDEX(기본자료!$G$2:$G$501,$AB46),100)&gt;=1,MOD(INDEX(기본자료!$G$2:$G$501,$AB46),100)&lt;=31),DATE(INT(INDEX(기본자료!$G$2:$G$501,$AB46)/10000),INT(MOD(INDEX(기본자료!$G$2:$G$501,$AB46),10000)/100),MOD(INDEX(기본자료!$G$2:$G$501,$AB46),100)),INDEX(기본자료!$G$2:$G$501,$AB46)&amp;"")))))</f>
        <v/>
      </c>
      <c r="J46" s="10">
        <f>IF($AB46="","",IF(INDEX(기본자료!$H$2:$H$501,$AB46)="","",INDEX(기본자료!$H$2:$H$501,$AB46)))</f>
        <v/>
      </c>
      <c r="K46" s="10">
        <f>IF($AB46="","",IF(INDEX(기본자료!$I$2:$I$501,$AB46)="","",INDEX(기본자료!$I$2:$I$501,$AB46)))</f>
        <v/>
      </c>
      <c r="L46" s="10">
        <f>IF($AB46="","",IF(INDEX(기본자료!$A$2:$A$501,$AB46)="","",INDEX(기본자료!$A$2:$A$501,$AB46)))</f>
        <v/>
      </c>
      <c r="M46" s="15" t="n"/>
      <c r="N46" s="10">
        <f>IF($B46="","",IF(AND($U46="파견중",$Q46&lt;&gt;""),$Q46,IF(AND($AD46&lt;&gt;"",LEFT($AD46,1)&lt;&gt;"⚠"),LEFT($AD46,FIND(" ",$AD46)-1),IF($H46="","",IF(RIGHT($H46,2)="병원",$H46,$H46&amp;"병원")))))</f>
        <v/>
      </c>
      <c r="O46" s="10">
        <f>IF($B46="","",IF(AND($U46="파견중",$Q46&lt;&gt;""),IF($R46&lt;&gt;"",$R46,"파견과 미입력"),IF(AND($AD46&lt;&gt;"",LEFT($AD46,1)&lt;&gt;"⚠"),MID($AD46,FIND(" ",$AD46)+1,60),IF($F46="","",IF($F46="인턴","수련교육부(인턴)",$F46)))))</f>
        <v/>
      </c>
      <c r="P46" s="10">
        <f>IF($B46="","",IF($AK46&lt;&gt;"",IF(AND(TODAY()&gt;=INDEX(파견수련계획!$AB$4:$AB$203,$AK46),OR(NOT(ISNUMBER(INDEX(파견수련계획!$AC$4:$AC$203,$AK46))),TODAY()&lt;=INDEX(파견수련계획!$AC$4:$AC$203,$AK46))),"다기관",IF($AF46="","",INDEX(파견수련계획!$T$4:$T$203,$AF46))),IF($AF46="","",INDEX(파견수련계획!$T$4:$T$203,$AF46))))</f>
        <v/>
      </c>
      <c r="Q46" s="10">
        <f>IF($AF46="","",INDEX(파견수련계획!$S$4:$S$203,$AF46))</f>
        <v/>
      </c>
      <c r="R46" s="10">
        <f>IF($AF46="","",INDEX(파견수련계획!$U$4:$U$203,$AF46))</f>
        <v/>
      </c>
      <c r="S46" s="11">
        <f>IF($AF46="","",IF(INDEX(파견수련계획!$H$4:$H$203,$AF46)="","",INDEX(파견수련계획!$H$4:$H$203,$AF46)))</f>
        <v/>
      </c>
      <c r="T46" s="11">
        <f>IF($AF46="","",IF(INDEX(파견수련계획!$I$4:$I$203,$AF46)="","",INDEX(파견수련계획!$I$4:$I$203,$AF46)))</f>
        <v/>
      </c>
      <c r="U46" s="10">
        <f>IF($AF46="","",INDEX(파견수련계획!$X$4:$X$203,$AF46))</f>
        <v/>
      </c>
      <c r="V46" s="17">
        <f>IF($AF46="","",INDEX(파견수련계획!$V$4:$V$203,$AF46))</f>
        <v/>
      </c>
      <c r="W46" s="17">
        <f>IF(AND($U46="파견중",$T46&lt;&gt;""),$T46-TODAY(),"")</f>
        <v/>
      </c>
      <c r="X46" s="17">
        <f>IF(OR($B46="",TRIM($J46&amp;"")=""),"",SUMPRODUCT((파견수련계획!$Q$4:$Q$203=TRIM($J46&amp;""))*파견수련계획!$W$4:$W$203))</f>
        <v/>
      </c>
      <c r="Y46" s="10">
        <f>IF($B46="","",IF($AG46="","",IF(IF(TRIM($J46&amp;"")="",0,SUMPRODUCT((파견수련계획!$Q$4:$Q$203=TRIM($J46&amp;""))*파견수련계획!$AD$4:$AD$203))&gt;0,$AE46,IF(N($X46)&lt;=0,$AG46,IF($AH46+$AI46=DAY(EOMONTH(요약!$B$3,0)),IF(AND($AH46&gt;=요약!$E$3,$AI46&lt;요약!$E$3),"서울병원",IF(AND($AI46&gt;=요약!$E$3,$AH46&lt;요약!$E$3),"구리병원","⚠15일 판정불가(서울 "&amp;$AH46&amp;"일/구리 "&amp;$AI46&amp;"일)")),IF($AJ46="",$AE46,IF(INDEX(파견수련계획!$T$4:$T$203,$AJ46)="통합수련",INDEX(파견수련계획!$S$4:$S$203,$AJ46),$AE46)))))))</f>
        <v/>
      </c>
      <c r="Z46" s="19">
        <f>IF($B46="","",IF($AB46="","기본자료에 없는 사번",IF(COUNTIF($B$2:$B$201,$B46)&gt;1,"중복 사번",IF($AE46="","소속(입사장소) 입력",IF(IF(TRIM($J46&amp;"")="",0,SUMPRODUCT((파견수련계획!$Q$4:$Q$203=TRIM($J46&amp;""))*(파견수련계획!$AA$4:$AA$203&lt;&gt;"")))&gt;0,"파견수련계획 입력오류 확인",IF(LEFT($Y46,1)="⚠","서울·구리 15일 판정 불가(양쪽 모두 이상/미만)",IF(IF($AC46="",0,N(INDEX(인턴근무계획!$T$3:$T$202,$AC46)))&gt;0,"인턴계획 입력오류 확인",IF(AND($AC46&lt;&gt;"",$U46&lt;&gt;"파견중",$N46&lt;&gt;$AE46),"인턴 타지역 근무: 파견 여부 확인","정상"))))))))</f>
        <v/>
      </c>
      <c r="AA46" s="5" t="n"/>
      <c r="AB46" s="10">
        <f>IF($B46="","",IFERROR(MATCH($B46,기본자료!$B$2:$B$501,0),IFERROR(MATCH($B46&amp;"",기본자료!$B$2:$B$501,0),IFERROR(MATCH(VALUE($B46),기본자료!$B$2:$B$501,0),""))))</f>
        <v/>
      </c>
      <c r="AC46" s="10">
        <f>IF($B46="","",IFERROR(MATCH($B46,인턴근무계획!$D$3:$D$202,0),IFERROR(MATCH($B46&amp;"",인턴근무계획!$D$3:$D$202,0),IFERROR(MATCH(VALUE($B46),인턴근무계획!$D$3:$D$202,0),""))))</f>
        <v/>
      </c>
      <c r="AD46" s="10">
        <f>IF(OR($AC46="",인턴현황!$G$3=""),"",INDEX(인턴근무계획!$M$3:$R$202,$AC46,인턴현황!$G$3)&amp;"")</f>
        <v/>
      </c>
      <c r="AE46" s="10">
        <f>IF($B46="","",IF($M46&lt;&gt;"",$M46,IF($AF46&lt;&gt;"",IF(LEFT(INDEX(파견수련계획!$R$4:$R$203,$AF46),1)&lt;&gt;"⚠",INDEX(파견수련계획!$R$4:$R$203,$AF46),IF($H46="","",IF(RIGHT($H46,2)="병원",$H46,$H46&amp;"병원"))),IF($H46="","",IF(RIGHT($H46,2)="병원",$H46,$H46&amp;"병원")))))</f>
        <v/>
      </c>
      <c r="AF46" s="10">
        <f>IF(OR($B46="",TRIM($J46&amp;"")=""),"",IFERROR(MATCH(TRIM($J46&amp;"")&amp;"|파견중",파견수련계획!$Y$4:$Y$203,0),IFERROR(MATCH(TRIM($J46&amp;"")&amp;"|파견예정",파견수련계획!$Y$4:$Y$203,0),IFERROR(MATCH(TRIM($J46&amp;"")&amp;"|파견종료",파견수련계획!$Y$4:$Y$203,0),""))))</f>
        <v/>
      </c>
      <c r="AG46" s="10">
        <f>IF($B46="","",IF(AND(IF(OR($AC46="",인턴현황!$K$2=""),"",INDEX(인턴근무계획!$M$3:$R$202,$AC46,인턴현황!$K$2)&amp;"")&lt;&gt;"",LEFT(IF(OR($AC46="",인턴현황!$K$2=""),"",INDEX(인턴근무계획!$M$3:$R$202,$AC46,인턴현황!$K$2)&amp;""),1)&lt;&gt;"⚠"),LEFT(IF(OR($AC46="",인턴현황!$K$2=""),"",INDEX(인턴근무계획!$M$3:$R$202,$AC46,인턴현황!$K$2)&amp;""),FIND(" ",IF(OR($AC46="",인턴현황!$K$2=""),"",INDEX(인턴근무계획!$M$3:$R$202,$AC46,인턴현황!$K$2)&amp;""))-1),$AE46))</f>
        <v/>
      </c>
      <c r="AH46" s="17">
        <f>IF($B46="","",IF(TRIM($J46&amp;"")="",0,SUMPRODUCT((파견수련계획!$Q$4:$Q$203=TRIM($J46&amp;""))*(파견수련계획!$S$4:$S$203="서울병원")*파견수련계획!$W$4:$W$203))+IF($AG46="서울병원",MAX(0,DAY(EOMONTH(요약!$B$3,0))-N($X46)),0))</f>
        <v/>
      </c>
      <c r="AI46" s="17">
        <f>IF($B46="","",IF(TRIM($J46&amp;"")="",0,SUMPRODUCT((파견수련계획!$Q$4:$Q$203=TRIM($J46&amp;""))*(파견수련계획!$S$4:$S$203="구리병원")*파견수련계획!$W$4:$W$203))+IF($AG46="구리병원",MAX(0,DAY(EOMONTH(요약!$B$3,0))-N($X46)),0))</f>
        <v/>
      </c>
      <c r="AJ46" s="10">
        <f>IF(OR($B46="",TRIM($J46&amp;"")=""),"",IFERROR(MATCH(TRIM($J46&amp;"")&amp;"|월",파견수련계획!$Z$4:$Z$203,0),""))</f>
        <v/>
      </c>
      <c r="AK46" s="10">
        <f>IF(OR($B46="",TRIM($J46&amp;"")=""),"",IFERROR(MATCH(TRIM($J46&amp;"")&amp;"|다기관",파견수련계획!$AE$4:$AE$203,0),""))</f>
        <v/>
      </c>
      <c r="AL46" s="10">
        <f>IF($AK46="","","다기관 "&amp;TEXT(INDEX(파견수련계획!$AB$4:$AB$203,$AK46),"yyyy-mm-dd")&amp;"~"&amp;IF(ISNUMBER(INDEX(파견수련계획!$AC$4:$AC$203,$AK46)),TEXT(INDEX(파견수련계획!$AC$4:$AC$203,$AK46),"yyyy-mm-dd"),""))</f>
        <v/>
      </c>
    </row>
    <row r="47">
      <c r="A47" s="10">
        <f>IF(B47="","",ROW()-1)</f>
        <v/>
      </c>
      <c r="B47" s="18" t="n"/>
      <c r="C47" s="10">
        <f>IF($AB47="","",IF(INDEX(기본자료!$C$2:$C$501,$AB47)="","",INDEX(기본자료!$C$2:$C$501,$AB47)))</f>
        <v/>
      </c>
      <c r="D47" s="10">
        <f>IF($AB47="","",IF(INDEX(기본자료!$J$2:$J$501,$AB47)="","",INDEX(기본자료!$J$2:$J$501,$AB47)))</f>
        <v/>
      </c>
      <c r="E47" s="11">
        <f>IF($AB47="","",IF(INDEX(기본자료!$K$2:$K$501,$AB47)="","",IF(NOT(ISNUMBER(INDEX(기본자료!$K$2:$K$501,$AB47))),INDEX(기본자료!$K$2:$K$501,$AB47),IF(INDEX(기본자료!$K$2:$K$501,$AB47)&lt;1000000,INDEX(기본자료!$K$2:$K$501,$AB47),IF(AND(INDEX(기본자료!$K$2:$K$501,$AB47)&gt;=10000101,INT(MOD(INDEX(기본자료!$K$2:$K$501,$AB47),10000)/100)&gt;=1,INT(MOD(INDEX(기본자료!$K$2:$K$501,$AB47),10000)/100)&lt;=12,MOD(INDEX(기본자료!$K$2:$K$501,$AB47),100)&gt;=1,MOD(INDEX(기본자료!$K$2:$K$501,$AB47),100)&lt;=31),DATE(INT(INDEX(기본자료!$K$2:$K$501,$AB47)/10000),INT(MOD(INDEX(기본자료!$K$2:$K$501,$AB47),10000)/100),MOD(INDEX(기본자료!$K$2:$K$501,$AB47),100)),INDEX(기본자료!$K$2:$K$501,$AB47)&amp;"")))))</f>
        <v/>
      </c>
      <c r="F47" s="10">
        <f>IF($AB47="","",IF(INDEX(기본자료!$D$2:$D$501,$AB47)="","",INDEX(기본자료!$D$2:$D$501,$AB47)))</f>
        <v/>
      </c>
      <c r="G47" s="10">
        <f>IF($AB47="","",IF(INDEX(기본자료!$E$2:$E$501,$AB47)="","",INDEX(기본자료!$E$2:$E$501,$AB47)))</f>
        <v/>
      </c>
      <c r="H47" s="10">
        <f>IF($AB47="","",IF(INDEX(기본자료!$F$2:$F$501,$AB47)="","",INDEX(기본자료!$F$2:$F$501,$AB47)))</f>
        <v/>
      </c>
      <c r="I47" s="11">
        <f>IF($AB47="","",IF(INDEX(기본자료!$G$2:$G$501,$AB47)="","",IF(NOT(ISNUMBER(INDEX(기본자료!$G$2:$G$501,$AB47))),INDEX(기본자료!$G$2:$G$501,$AB47),IF(INDEX(기본자료!$G$2:$G$501,$AB47)&lt;1000000,INDEX(기본자료!$G$2:$G$501,$AB47),IF(AND(INDEX(기본자료!$G$2:$G$501,$AB47)&gt;=10000101,INT(MOD(INDEX(기본자료!$G$2:$G$501,$AB47),10000)/100)&gt;=1,INT(MOD(INDEX(기본자료!$G$2:$G$501,$AB47),10000)/100)&lt;=12,MOD(INDEX(기본자료!$G$2:$G$501,$AB47),100)&gt;=1,MOD(INDEX(기본자료!$G$2:$G$501,$AB47),100)&lt;=31),DATE(INT(INDEX(기본자료!$G$2:$G$501,$AB47)/10000),INT(MOD(INDEX(기본자료!$G$2:$G$501,$AB47),10000)/100),MOD(INDEX(기본자료!$G$2:$G$501,$AB47),100)),INDEX(기본자료!$G$2:$G$501,$AB47)&amp;"")))))</f>
        <v/>
      </c>
      <c r="J47" s="10">
        <f>IF($AB47="","",IF(INDEX(기본자료!$H$2:$H$501,$AB47)="","",INDEX(기본자료!$H$2:$H$501,$AB47)))</f>
        <v/>
      </c>
      <c r="K47" s="10">
        <f>IF($AB47="","",IF(INDEX(기본자료!$I$2:$I$501,$AB47)="","",INDEX(기본자료!$I$2:$I$501,$AB47)))</f>
        <v/>
      </c>
      <c r="L47" s="10">
        <f>IF($AB47="","",IF(INDEX(기본자료!$A$2:$A$501,$AB47)="","",INDEX(기본자료!$A$2:$A$501,$AB47)))</f>
        <v/>
      </c>
      <c r="M47" s="15" t="n"/>
      <c r="N47" s="10">
        <f>IF($B47="","",IF(AND($U47="파견중",$Q47&lt;&gt;""),$Q47,IF(AND($AD47&lt;&gt;"",LEFT($AD47,1)&lt;&gt;"⚠"),LEFT($AD47,FIND(" ",$AD47)-1),IF($H47="","",IF(RIGHT($H47,2)="병원",$H47,$H47&amp;"병원")))))</f>
        <v/>
      </c>
      <c r="O47" s="10">
        <f>IF($B47="","",IF(AND($U47="파견중",$Q47&lt;&gt;""),IF($R47&lt;&gt;"",$R47,"파견과 미입력"),IF(AND($AD47&lt;&gt;"",LEFT($AD47,1)&lt;&gt;"⚠"),MID($AD47,FIND(" ",$AD47)+1,60),IF($F47="","",IF($F47="인턴","수련교육부(인턴)",$F47)))))</f>
        <v/>
      </c>
      <c r="P47" s="10">
        <f>IF($B47="","",IF($AK47&lt;&gt;"",IF(AND(TODAY()&gt;=INDEX(파견수련계획!$AB$4:$AB$203,$AK47),OR(NOT(ISNUMBER(INDEX(파견수련계획!$AC$4:$AC$203,$AK47))),TODAY()&lt;=INDEX(파견수련계획!$AC$4:$AC$203,$AK47))),"다기관",IF($AF47="","",INDEX(파견수련계획!$T$4:$T$203,$AF47))),IF($AF47="","",INDEX(파견수련계획!$T$4:$T$203,$AF47))))</f>
        <v/>
      </c>
      <c r="Q47" s="10">
        <f>IF($AF47="","",INDEX(파견수련계획!$S$4:$S$203,$AF47))</f>
        <v/>
      </c>
      <c r="R47" s="10">
        <f>IF($AF47="","",INDEX(파견수련계획!$U$4:$U$203,$AF47))</f>
        <v/>
      </c>
      <c r="S47" s="11">
        <f>IF($AF47="","",IF(INDEX(파견수련계획!$H$4:$H$203,$AF47)="","",INDEX(파견수련계획!$H$4:$H$203,$AF47)))</f>
        <v/>
      </c>
      <c r="T47" s="11">
        <f>IF($AF47="","",IF(INDEX(파견수련계획!$I$4:$I$203,$AF47)="","",INDEX(파견수련계획!$I$4:$I$203,$AF47)))</f>
        <v/>
      </c>
      <c r="U47" s="10">
        <f>IF($AF47="","",INDEX(파견수련계획!$X$4:$X$203,$AF47))</f>
        <v/>
      </c>
      <c r="V47" s="17">
        <f>IF($AF47="","",INDEX(파견수련계획!$V$4:$V$203,$AF47))</f>
        <v/>
      </c>
      <c r="W47" s="17">
        <f>IF(AND($U47="파견중",$T47&lt;&gt;""),$T47-TODAY(),"")</f>
        <v/>
      </c>
      <c r="X47" s="17">
        <f>IF(OR($B47="",TRIM($J47&amp;"")=""),"",SUMPRODUCT((파견수련계획!$Q$4:$Q$203=TRIM($J47&amp;""))*파견수련계획!$W$4:$W$203))</f>
        <v/>
      </c>
      <c r="Y47" s="10">
        <f>IF($B47="","",IF($AG47="","",IF(IF(TRIM($J47&amp;"")="",0,SUMPRODUCT((파견수련계획!$Q$4:$Q$203=TRIM($J47&amp;""))*파견수련계획!$AD$4:$AD$203))&gt;0,$AE47,IF(N($X47)&lt;=0,$AG47,IF($AH47+$AI47=DAY(EOMONTH(요약!$B$3,0)),IF(AND($AH47&gt;=요약!$E$3,$AI47&lt;요약!$E$3),"서울병원",IF(AND($AI47&gt;=요약!$E$3,$AH47&lt;요약!$E$3),"구리병원","⚠15일 판정불가(서울 "&amp;$AH47&amp;"일/구리 "&amp;$AI47&amp;"일)")),IF($AJ47="",$AE47,IF(INDEX(파견수련계획!$T$4:$T$203,$AJ47)="통합수련",INDEX(파견수련계획!$S$4:$S$203,$AJ47),$AE47)))))))</f>
        <v/>
      </c>
      <c r="Z47" s="19">
        <f>IF($B47="","",IF($AB47="","기본자료에 없는 사번",IF(COUNTIF($B$2:$B$201,$B47)&gt;1,"중복 사번",IF($AE47="","소속(입사장소) 입력",IF(IF(TRIM($J47&amp;"")="",0,SUMPRODUCT((파견수련계획!$Q$4:$Q$203=TRIM($J47&amp;""))*(파견수련계획!$AA$4:$AA$203&lt;&gt;"")))&gt;0,"파견수련계획 입력오류 확인",IF(LEFT($Y47,1)="⚠","서울·구리 15일 판정 불가(양쪽 모두 이상/미만)",IF(IF($AC47="",0,N(INDEX(인턴근무계획!$T$3:$T$202,$AC47)))&gt;0,"인턴계획 입력오류 확인",IF(AND($AC47&lt;&gt;"",$U47&lt;&gt;"파견중",$N47&lt;&gt;$AE47),"인턴 타지역 근무: 파견 여부 확인","정상"))))))))</f>
        <v/>
      </c>
      <c r="AA47" s="5" t="n"/>
      <c r="AB47" s="10">
        <f>IF($B47="","",IFERROR(MATCH($B47,기본자료!$B$2:$B$501,0),IFERROR(MATCH($B47&amp;"",기본자료!$B$2:$B$501,0),IFERROR(MATCH(VALUE($B47),기본자료!$B$2:$B$501,0),""))))</f>
        <v/>
      </c>
      <c r="AC47" s="10">
        <f>IF($B47="","",IFERROR(MATCH($B47,인턴근무계획!$D$3:$D$202,0),IFERROR(MATCH($B47&amp;"",인턴근무계획!$D$3:$D$202,0),IFERROR(MATCH(VALUE($B47),인턴근무계획!$D$3:$D$202,0),""))))</f>
        <v/>
      </c>
      <c r="AD47" s="10">
        <f>IF(OR($AC47="",인턴현황!$G$3=""),"",INDEX(인턴근무계획!$M$3:$R$202,$AC47,인턴현황!$G$3)&amp;"")</f>
        <v/>
      </c>
      <c r="AE47" s="10">
        <f>IF($B47="","",IF($M47&lt;&gt;"",$M47,IF($AF47&lt;&gt;"",IF(LEFT(INDEX(파견수련계획!$R$4:$R$203,$AF47),1)&lt;&gt;"⚠",INDEX(파견수련계획!$R$4:$R$203,$AF47),IF($H47="","",IF(RIGHT($H47,2)="병원",$H47,$H47&amp;"병원"))),IF($H47="","",IF(RIGHT($H47,2)="병원",$H47,$H47&amp;"병원")))))</f>
        <v/>
      </c>
      <c r="AF47" s="10">
        <f>IF(OR($B47="",TRIM($J47&amp;"")=""),"",IFERROR(MATCH(TRIM($J47&amp;"")&amp;"|파견중",파견수련계획!$Y$4:$Y$203,0),IFERROR(MATCH(TRIM($J47&amp;"")&amp;"|파견예정",파견수련계획!$Y$4:$Y$203,0),IFERROR(MATCH(TRIM($J47&amp;"")&amp;"|파견종료",파견수련계획!$Y$4:$Y$203,0),""))))</f>
        <v/>
      </c>
      <c r="AG47" s="10">
        <f>IF($B47="","",IF(AND(IF(OR($AC47="",인턴현황!$K$2=""),"",INDEX(인턴근무계획!$M$3:$R$202,$AC47,인턴현황!$K$2)&amp;"")&lt;&gt;"",LEFT(IF(OR($AC47="",인턴현황!$K$2=""),"",INDEX(인턴근무계획!$M$3:$R$202,$AC47,인턴현황!$K$2)&amp;""),1)&lt;&gt;"⚠"),LEFT(IF(OR($AC47="",인턴현황!$K$2=""),"",INDEX(인턴근무계획!$M$3:$R$202,$AC47,인턴현황!$K$2)&amp;""),FIND(" ",IF(OR($AC47="",인턴현황!$K$2=""),"",INDEX(인턴근무계획!$M$3:$R$202,$AC47,인턴현황!$K$2)&amp;""))-1),$AE47))</f>
        <v/>
      </c>
      <c r="AH47" s="17">
        <f>IF($B47="","",IF(TRIM($J47&amp;"")="",0,SUMPRODUCT((파견수련계획!$Q$4:$Q$203=TRIM($J47&amp;""))*(파견수련계획!$S$4:$S$203="서울병원")*파견수련계획!$W$4:$W$203))+IF($AG47="서울병원",MAX(0,DAY(EOMONTH(요약!$B$3,0))-N($X47)),0))</f>
        <v/>
      </c>
      <c r="AI47" s="17">
        <f>IF($B47="","",IF(TRIM($J47&amp;"")="",0,SUMPRODUCT((파견수련계획!$Q$4:$Q$203=TRIM($J47&amp;""))*(파견수련계획!$S$4:$S$203="구리병원")*파견수련계획!$W$4:$W$203))+IF($AG47="구리병원",MAX(0,DAY(EOMONTH(요약!$B$3,0))-N($X47)),0))</f>
        <v/>
      </c>
      <c r="AJ47" s="10">
        <f>IF(OR($B47="",TRIM($J47&amp;"")=""),"",IFERROR(MATCH(TRIM($J47&amp;"")&amp;"|월",파견수련계획!$Z$4:$Z$203,0),""))</f>
        <v/>
      </c>
      <c r="AK47" s="10">
        <f>IF(OR($B47="",TRIM($J47&amp;"")=""),"",IFERROR(MATCH(TRIM($J47&amp;"")&amp;"|다기관",파견수련계획!$AE$4:$AE$203,0),""))</f>
        <v/>
      </c>
      <c r="AL47" s="10">
        <f>IF($AK47="","","다기관 "&amp;TEXT(INDEX(파견수련계획!$AB$4:$AB$203,$AK47),"yyyy-mm-dd")&amp;"~"&amp;IF(ISNUMBER(INDEX(파견수련계획!$AC$4:$AC$203,$AK47)),TEXT(INDEX(파견수련계획!$AC$4:$AC$203,$AK47),"yyyy-mm-dd"),""))</f>
        <v/>
      </c>
    </row>
    <row r="48">
      <c r="A48" s="10">
        <f>IF(B48="","",ROW()-1)</f>
        <v/>
      </c>
      <c r="B48" s="18" t="n"/>
      <c r="C48" s="10">
        <f>IF($AB48="","",IF(INDEX(기본자료!$C$2:$C$501,$AB48)="","",INDEX(기본자료!$C$2:$C$501,$AB48)))</f>
        <v/>
      </c>
      <c r="D48" s="10">
        <f>IF($AB48="","",IF(INDEX(기본자료!$J$2:$J$501,$AB48)="","",INDEX(기본자료!$J$2:$J$501,$AB48)))</f>
        <v/>
      </c>
      <c r="E48" s="11">
        <f>IF($AB48="","",IF(INDEX(기본자료!$K$2:$K$501,$AB48)="","",IF(NOT(ISNUMBER(INDEX(기본자료!$K$2:$K$501,$AB48))),INDEX(기본자료!$K$2:$K$501,$AB48),IF(INDEX(기본자료!$K$2:$K$501,$AB48)&lt;1000000,INDEX(기본자료!$K$2:$K$501,$AB48),IF(AND(INDEX(기본자료!$K$2:$K$501,$AB48)&gt;=10000101,INT(MOD(INDEX(기본자료!$K$2:$K$501,$AB48),10000)/100)&gt;=1,INT(MOD(INDEX(기본자료!$K$2:$K$501,$AB48),10000)/100)&lt;=12,MOD(INDEX(기본자료!$K$2:$K$501,$AB48),100)&gt;=1,MOD(INDEX(기본자료!$K$2:$K$501,$AB48),100)&lt;=31),DATE(INT(INDEX(기본자료!$K$2:$K$501,$AB48)/10000),INT(MOD(INDEX(기본자료!$K$2:$K$501,$AB48),10000)/100),MOD(INDEX(기본자료!$K$2:$K$501,$AB48),100)),INDEX(기본자료!$K$2:$K$501,$AB48)&amp;"")))))</f>
        <v/>
      </c>
      <c r="F48" s="10">
        <f>IF($AB48="","",IF(INDEX(기본자료!$D$2:$D$501,$AB48)="","",INDEX(기본자료!$D$2:$D$501,$AB48)))</f>
        <v/>
      </c>
      <c r="G48" s="10">
        <f>IF($AB48="","",IF(INDEX(기본자료!$E$2:$E$501,$AB48)="","",INDEX(기본자료!$E$2:$E$501,$AB48)))</f>
        <v/>
      </c>
      <c r="H48" s="10">
        <f>IF($AB48="","",IF(INDEX(기본자료!$F$2:$F$501,$AB48)="","",INDEX(기본자료!$F$2:$F$501,$AB48)))</f>
        <v/>
      </c>
      <c r="I48" s="11">
        <f>IF($AB48="","",IF(INDEX(기본자료!$G$2:$G$501,$AB48)="","",IF(NOT(ISNUMBER(INDEX(기본자료!$G$2:$G$501,$AB48))),INDEX(기본자료!$G$2:$G$501,$AB48),IF(INDEX(기본자료!$G$2:$G$501,$AB48)&lt;1000000,INDEX(기본자료!$G$2:$G$501,$AB48),IF(AND(INDEX(기본자료!$G$2:$G$501,$AB48)&gt;=10000101,INT(MOD(INDEX(기본자료!$G$2:$G$501,$AB48),10000)/100)&gt;=1,INT(MOD(INDEX(기본자료!$G$2:$G$501,$AB48),10000)/100)&lt;=12,MOD(INDEX(기본자료!$G$2:$G$501,$AB48),100)&gt;=1,MOD(INDEX(기본자료!$G$2:$G$501,$AB48),100)&lt;=31),DATE(INT(INDEX(기본자료!$G$2:$G$501,$AB48)/10000),INT(MOD(INDEX(기본자료!$G$2:$G$501,$AB48),10000)/100),MOD(INDEX(기본자료!$G$2:$G$501,$AB48),100)),INDEX(기본자료!$G$2:$G$501,$AB48)&amp;"")))))</f>
        <v/>
      </c>
      <c r="J48" s="10">
        <f>IF($AB48="","",IF(INDEX(기본자료!$H$2:$H$501,$AB48)="","",INDEX(기본자료!$H$2:$H$501,$AB48)))</f>
        <v/>
      </c>
      <c r="K48" s="10">
        <f>IF($AB48="","",IF(INDEX(기본자료!$I$2:$I$501,$AB48)="","",INDEX(기본자료!$I$2:$I$501,$AB48)))</f>
        <v/>
      </c>
      <c r="L48" s="10">
        <f>IF($AB48="","",IF(INDEX(기본자료!$A$2:$A$501,$AB48)="","",INDEX(기본자료!$A$2:$A$501,$AB48)))</f>
        <v/>
      </c>
      <c r="M48" s="15" t="n"/>
      <c r="N48" s="10">
        <f>IF($B48="","",IF(AND($U48="파견중",$Q48&lt;&gt;""),$Q48,IF(AND($AD48&lt;&gt;"",LEFT($AD48,1)&lt;&gt;"⚠"),LEFT($AD48,FIND(" ",$AD48)-1),IF($H48="","",IF(RIGHT($H48,2)="병원",$H48,$H48&amp;"병원")))))</f>
        <v/>
      </c>
      <c r="O48" s="10">
        <f>IF($B48="","",IF(AND($U48="파견중",$Q48&lt;&gt;""),IF($R48&lt;&gt;"",$R48,"파견과 미입력"),IF(AND($AD48&lt;&gt;"",LEFT($AD48,1)&lt;&gt;"⚠"),MID($AD48,FIND(" ",$AD48)+1,60),IF($F48="","",IF($F48="인턴","수련교육부(인턴)",$F48)))))</f>
        <v/>
      </c>
      <c r="P48" s="10">
        <f>IF($B48="","",IF($AK48&lt;&gt;"",IF(AND(TODAY()&gt;=INDEX(파견수련계획!$AB$4:$AB$203,$AK48),OR(NOT(ISNUMBER(INDEX(파견수련계획!$AC$4:$AC$203,$AK48))),TODAY()&lt;=INDEX(파견수련계획!$AC$4:$AC$203,$AK48))),"다기관",IF($AF48="","",INDEX(파견수련계획!$T$4:$T$203,$AF48))),IF($AF48="","",INDEX(파견수련계획!$T$4:$T$203,$AF48))))</f>
        <v/>
      </c>
      <c r="Q48" s="10">
        <f>IF($AF48="","",INDEX(파견수련계획!$S$4:$S$203,$AF48))</f>
        <v/>
      </c>
      <c r="R48" s="10">
        <f>IF($AF48="","",INDEX(파견수련계획!$U$4:$U$203,$AF48))</f>
        <v/>
      </c>
      <c r="S48" s="11">
        <f>IF($AF48="","",IF(INDEX(파견수련계획!$H$4:$H$203,$AF48)="","",INDEX(파견수련계획!$H$4:$H$203,$AF48)))</f>
        <v/>
      </c>
      <c r="T48" s="11">
        <f>IF($AF48="","",IF(INDEX(파견수련계획!$I$4:$I$203,$AF48)="","",INDEX(파견수련계획!$I$4:$I$203,$AF48)))</f>
        <v/>
      </c>
      <c r="U48" s="10">
        <f>IF($AF48="","",INDEX(파견수련계획!$X$4:$X$203,$AF48))</f>
        <v/>
      </c>
      <c r="V48" s="17">
        <f>IF($AF48="","",INDEX(파견수련계획!$V$4:$V$203,$AF48))</f>
        <v/>
      </c>
      <c r="W48" s="17">
        <f>IF(AND($U48="파견중",$T48&lt;&gt;""),$T48-TODAY(),"")</f>
        <v/>
      </c>
      <c r="X48" s="17">
        <f>IF(OR($B48="",TRIM($J48&amp;"")=""),"",SUMPRODUCT((파견수련계획!$Q$4:$Q$203=TRIM($J48&amp;""))*파견수련계획!$W$4:$W$203))</f>
        <v/>
      </c>
      <c r="Y48" s="10">
        <f>IF($B48="","",IF($AG48="","",IF(IF(TRIM($J48&amp;"")="",0,SUMPRODUCT((파견수련계획!$Q$4:$Q$203=TRIM($J48&amp;""))*파견수련계획!$AD$4:$AD$203))&gt;0,$AE48,IF(N($X48)&lt;=0,$AG48,IF($AH48+$AI48=DAY(EOMONTH(요약!$B$3,0)),IF(AND($AH48&gt;=요약!$E$3,$AI48&lt;요약!$E$3),"서울병원",IF(AND($AI48&gt;=요약!$E$3,$AH48&lt;요약!$E$3),"구리병원","⚠15일 판정불가(서울 "&amp;$AH48&amp;"일/구리 "&amp;$AI48&amp;"일)")),IF($AJ48="",$AE48,IF(INDEX(파견수련계획!$T$4:$T$203,$AJ48)="통합수련",INDEX(파견수련계획!$S$4:$S$203,$AJ48),$AE48)))))))</f>
        <v/>
      </c>
      <c r="Z48" s="19">
        <f>IF($B48="","",IF($AB48="","기본자료에 없는 사번",IF(COUNTIF($B$2:$B$201,$B48)&gt;1,"중복 사번",IF($AE48="","소속(입사장소) 입력",IF(IF(TRIM($J48&amp;"")="",0,SUMPRODUCT((파견수련계획!$Q$4:$Q$203=TRIM($J48&amp;""))*(파견수련계획!$AA$4:$AA$203&lt;&gt;"")))&gt;0,"파견수련계획 입력오류 확인",IF(LEFT($Y48,1)="⚠","서울·구리 15일 판정 불가(양쪽 모두 이상/미만)",IF(IF($AC48="",0,N(INDEX(인턴근무계획!$T$3:$T$202,$AC48)))&gt;0,"인턴계획 입력오류 확인",IF(AND($AC48&lt;&gt;"",$U48&lt;&gt;"파견중",$N48&lt;&gt;$AE48),"인턴 타지역 근무: 파견 여부 확인","정상"))))))))</f>
        <v/>
      </c>
      <c r="AA48" s="5" t="n"/>
      <c r="AB48" s="10">
        <f>IF($B48="","",IFERROR(MATCH($B48,기본자료!$B$2:$B$501,0),IFERROR(MATCH($B48&amp;"",기본자료!$B$2:$B$501,0),IFERROR(MATCH(VALUE($B48),기본자료!$B$2:$B$501,0),""))))</f>
        <v/>
      </c>
      <c r="AC48" s="10">
        <f>IF($B48="","",IFERROR(MATCH($B48,인턴근무계획!$D$3:$D$202,0),IFERROR(MATCH($B48&amp;"",인턴근무계획!$D$3:$D$202,0),IFERROR(MATCH(VALUE($B48),인턴근무계획!$D$3:$D$202,0),""))))</f>
        <v/>
      </c>
      <c r="AD48" s="10">
        <f>IF(OR($AC48="",인턴현황!$G$3=""),"",INDEX(인턴근무계획!$M$3:$R$202,$AC48,인턴현황!$G$3)&amp;"")</f>
        <v/>
      </c>
      <c r="AE48" s="10">
        <f>IF($B48="","",IF($M48&lt;&gt;"",$M48,IF($AF48&lt;&gt;"",IF(LEFT(INDEX(파견수련계획!$R$4:$R$203,$AF48),1)&lt;&gt;"⚠",INDEX(파견수련계획!$R$4:$R$203,$AF48),IF($H48="","",IF(RIGHT($H48,2)="병원",$H48,$H48&amp;"병원"))),IF($H48="","",IF(RIGHT($H48,2)="병원",$H48,$H48&amp;"병원")))))</f>
        <v/>
      </c>
      <c r="AF48" s="10">
        <f>IF(OR($B48="",TRIM($J48&amp;"")=""),"",IFERROR(MATCH(TRIM($J48&amp;"")&amp;"|파견중",파견수련계획!$Y$4:$Y$203,0),IFERROR(MATCH(TRIM($J48&amp;"")&amp;"|파견예정",파견수련계획!$Y$4:$Y$203,0),IFERROR(MATCH(TRIM($J48&amp;"")&amp;"|파견종료",파견수련계획!$Y$4:$Y$203,0),""))))</f>
        <v/>
      </c>
      <c r="AG48" s="10">
        <f>IF($B48="","",IF(AND(IF(OR($AC48="",인턴현황!$K$2=""),"",INDEX(인턴근무계획!$M$3:$R$202,$AC48,인턴현황!$K$2)&amp;"")&lt;&gt;"",LEFT(IF(OR($AC48="",인턴현황!$K$2=""),"",INDEX(인턴근무계획!$M$3:$R$202,$AC48,인턴현황!$K$2)&amp;""),1)&lt;&gt;"⚠"),LEFT(IF(OR($AC48="",인턴현황!$K$2=""),"",INDEX(인턴근무계획!$M$3:$R$202,$AC48,인턴현황!$K$2)&amp;""),FIND(" ",IF(OR($AC48="",인턴현황!$K$2=""),"",INDEX(인턴근무계획!$M$3:$R$202,$AC48,인턴현황!$K$2)&amp;""))-1),$AE48))</f>
        <v/>
      </c>
      <c r="AH48" s="17">
        <f>IF($B48="","",IF(TRIM($J48&amp;"")="",0,SUMPRODUCT((파견수련계획!$Q$4:$Q$203=TRIM($J48&amp;""))*(파견수련계획!$S$4:$S$203="서울병원")*파견수련계획!$W$4:$W$203))+IF($AG48="서울병원",MAX(0,DAY(EOMONTH(요약!$B$3,0))-N($X48)),0))</f>
        <v/>
      </c>
      <c r="AI48" s="17">
        <f>IF($B48="","",IF(TRIM($J48&amp;"")="",0,SUMPRODUCT((파견수련계획!$Q$4:$Q$203=TRIM($J48&amp;""))*(파견수련계획!$S$4:$S$203="구리병원")*파견수련계획!$W$4:$W$203))+IF($AG48="구리병원",MAX(0,DAY(EOMONTH(요약!$B$3,0))-N($X48)),0))</f>
        <v/>
      </c>
      <c r="AJ48" s="10">
        <f>IF(OR($B48="",TRIM($J48&amp;"")=""),"",IFERROR(MATCH(TRIM($J48&amp;"")&amp;"|월",파견수련계획!$Z$4:$Z$203,0),""))</f>
        <v/>
      </c>
      <c r="AK48" s="10">
        <f>IF(OR($B48="",TRIM($J48&amp;"")=""),"",IFERROR(MATCH(TRIM($J48&amp;"")&amp;"|다기관",파견수련계획!$AE$4:$AE$203,0),""))</f>
        <v/>
      </c>
      <c r="AL48" s="10">
        <f>IF($AK48="","","다기관 "&amp;TEXT(INDEX(파견수련계획!$AB$4:$AB$203,$AK48),"yyyy-mm-dd")&amp;"~"&amp;IF(ISNUMBER(INDEX(파견수련계획!$AC$4:$AC$203,$AK48)),TEXT(INDEX(파견수련계획!$AC$4:$AC$203,$AK48),"yyyy-mm-dd"),""))</f>
        <v/>
      </c>
    </row>
    <row r="49">
      <c r="A49" s="10">
        <f>IF(B49="","",ROW()-1)</f>
        <v/>
      </c>
      <c r="B49" s="18" t="n"/>
      <c r="C49" s="10">
        <f>IF($AB49="","",IF(INDEX(기본자료!$C$2:$C$501,$AB49)="","",INDEX(기본자료!$C$2:$C$501,$AB49)))</f>
        <v/>
      </c>
      <c r="D49" s="10">
        <f>IF($AB49="","",IF(INDEX(기본자료!$J$2:$J$501,$AB49)="","",INDEX(기본자료!$J$2:$J$501,$AB49)))</f>
        <v/>
      </c>
      <c r="E49" s="11">
        <f>IF($AB49="","",IF(INDEX(기본자료!$K$2:$K$501,$AB49)="","",IF(NOT(ISNUMBER(INDEX(기본자료!$K$2:$K$501,$AB49))),INDEX(기본자료!$K$2:$K$501,$AB49),IF(INDEX(기본자료!$K$2:$K$501,$AB49)&lt;1000000,INDEX(기본자료!$K$2:$K$501,$AB49),IF(AND(INDEX(기본자료!$K$2:$K$501,$AB49)&gt;=10000101,INT(MOD(INDEX(기본자료!$K$2:$K$501,$AB49),10000)/100)&gt;=1,INT(MOD(INDEX(기본자료!$K$2:$K$501,$AB49),10000)/100)&lt;=12,MOD(INDEX(기본자료!$K$2:$K$501,$AB49),100)&gt;=1,MOD(INDEX(기본자료!$K$2:$K$501,$AB49),100)&lt;=31),DATE(INT(INDEX(기본자료!$K$2:$K$501,$AB49)/10000),INT(MOD(INDEX(기본자료!$K$2:$K$501,$AB49),10000)/100),MOD(INDEX(기본자료!$K$2:$K$501,$AB49),100)),INDEX(기본자료!$K$2:$K$501,$AB49)&amp;"")))))</f>
        <v/>
      </c>
      <c r="F49" s="10">
        <f>IF($AB49="","",IF(INDEX(기본자료!$D$2:$D$501,$AB49)="","",INDEX(기본자료!$D$2:$D$501,$AB49)))</f>
        <v/>
      </c>
      <c r="G49" s="10">
        <f>IF($AB49="","",IF(INDEX(기본자료!$E$2:$E$501,$AB49)="","",INDEX(기본자료!$E$2:$E$501,$AB49)))</f>
        <v/>
      </c>
      <c r="H49" s="10">
        <f>IF($AB49="","",IF(INDEX(기본자료!$F$2:$F$501,$AB49)="","",INDEX(기본자료!$F$2:$F$501,$AB49)))</f>
        <v/>
      </c>
      <c r="I49" s="11">
        <f>IF($AB49="","",IF(INDEX(기본자료!$G$2:$G$501,$AB49)="","",IF(NOT(ISNUMBER(INDEX(기본자료!$G$2:$G$501,$AB49))),INDEX(기본자료!$G$2:$G$501,$AB49),IF(INDEX(기본자료!$G$2:$G$501,$AB49)&lt;1000000,INDEX(기본자료!$G$2:$G$501,$AB49),IF(AND(INDEX(기본자료!$G$2:$G$501,$AB49)&gt;=10000101,INT(MOD(INDEX(기본자료!$G$2:$G$501,$AB49),10000)/100)&gt;=1,INT(MOD(INDEX(기본자료!$G$2:$G$501,$AB49),10000)/100)&lt;=12,MOD(INDEX(기본자료!$G$2:$G$501,$AB49),100)&gt;=1,MOD(INDEX(기본자료!$G$2:$G$501,$AB49),100)&lt;=31),DATE(INT(INDEX(기본자료!$G$2:$G$501,$AB49)/10000),INT(MOD(INDEX(기본자료!$G$2:$G$501,$AB49),10000)/100),MOD(INDEX(기본자료!$G$2:$G$501,$AB49),100)),INDEX(기본자료!$G$2:$G$501,$AB49)&amp;"")))))</f>
        <v/>
      </c>
      <c r="J49" s="10">
        <f>IF($AB49="","",IF(INDEX(기본자료!$H$2:$H$501,$AB49)="","",INDEX(기본자료!$H$2:$H$501,$AB49)))</f>
        <v/>
      </c>
      <c r="K49" s="10">
        <f>IF($AB49="","",IF(INDEX(기본자료!$I$2:$I$501,$AB49)="","",INDEX(기본자료!$I$2:$I$501,$AB49)))</f>
        <v/>
      </c>
      <c r="L49" s="10">
        <f>IF($AB49="","",IF(INDEX(기본자료!$A$2:$A$501,$AB49)="","",INDEX(기본자료!$A$2:$A$501,$AB49)))</f>
        <v/>
      </c>
      <c r="M49" s="15" t="n"/>
      <c r="N49" s="10">
        <f>IF($B49="","",IF(AND($U49="파견중",$Q49&lt;&gt;""),$Q49,IF(AND($AD49&lt;&gt;"",LEFT($AD49,1)&lt;&gt;"⚠"),LEFT($AD49,FIND(" ",$AD49)-1),IF($H49="","",IF(RIGHT($H49,2)="병원",$H49,$H49&amp;"병원")))))</f>
        <v/>
      </c>
      <c r="O49" s="10">
        <f>IF($B49="","",IF(AND($U49="파견중",$Q49&lt;&gt;""),IF($R49&lt;&gt;"",$R49,"파견과 미입력"),IF(AND($AD49&lt;&gt;"",LEFT($AD49,1)&lt;&gt;"⚠"),MID($AD49,FIND(" ",$AD49)+1,60),IF($F49="","",IF($F49="인턴","수련교육부(인턴)",$F49)))))</f>
        <v/>
      </c>
      <c r="P49" s="10">
        <f>IF($B49="","",IF($AK49&lt;&gt;"",IF(AND(TODAY()&gt;=INDEX(파견수련계획!$AB$4:$AB$203,$AK49),OR(NOT(ISNUMBER(INDEX(파견수련계획!$AC$4:$AC$203,$AK49))),TODAY()&lt;=INDEX(파견수련계획!$AC$4:$AC$203,$AK49))),"다기관",IF($AF49="","",INDEX(파견수련계획!$T$4:$T$203,$AF49))),IF($AF49="","",INDEX(파견수련계획!$T$4:$T$203,$AF49))))</f>
        <v/>
      </c>
      <c r="Q49" s="10">
        <f>IF($AF49="","",INDEX(파견수련계획!$S$4:$S$203,$AF49))</f>
        <v/>
      </c>
      <c r="R49" s="10">
        <f>IF($AF49="","",INDEX(파견수련계획!$U$4:$U$203,$AF49))</f>
        <v/>
      </c>
      <c r="S49" s="11">
        <f>IF($AF49="","",IF(INDEX(파견수련계획!$H$4:$H$203,$AF49)="","",INDEX(파견수련계획!$H$4:$H$203,$AF49)))</f>
        <v/>
      </c>
      <c r="T49" s="11">
        <f>IF($AF49="","",IF(INDEX(파견수련계획!$I$4:$I$203,$AF49)="","",INDEX(파견수련계획!$I$4:$I$203,$AF49)))</f>
        <v/>
      </c>
      <c r="U49" s="10">
        <f>IF($AF49="","",INDEX(파견수련계획!$X$4:$X$203,$AF49))</f>
        <v/>
      </c>
      <c r="V49" s="17">
        <f>IF($AF49="","",INDEX(파견수련계획!$V$4:$V$203,$AF49))</f>
        <v/>
      </c>
      <c r="W49" s="17">
        <f>IF(AND($U49="파견중",$T49&lt;&gt;""),$T49-TODAY(),"")</f>
        <v/>
      </c>
      <c r="X49" s="17">
        <f>IF(OR($B49="",TRIM($J49&amp;"")=""),"",SUMPRODUCT((파견수련계획!$Q$4:$Q$203=TRIM($J49&amp;""))*파견수련계획!$W$4:$W$203))</f>
        <v/>
      </c>
      <c r="Y49" s="10">
        <f>IF($B49="","",IF($AG49="","",IF(IF(TRIM($J49&amp;"")="",0,SUMPRODUCT((파견수련계획!$Q$4:$Q$203=TRIM($J49&amp;""))*파견수련계획!$AD$4:$AD$203))&gt;0,$AE49,IF(N($X49)&lt;=0,$AG49,IF($AH49+$AI49=DAY(EOMONTH(요약!$B$3,0)),IF(AND($AH49&gt;=요약!$E$3,$AI49&lt;요약!$E$3),"서울병원",IF(AND($AI49&gt;=요약!$E$3,$AH49&lt;요약!$E$3),"구리병원","⚠15일 판정불가(서울 "&amp;$AH49&amp;"일/구리 "&amp;$AI49&amp;"일)")),IF($AJ49="",$AE49,IF(INDEX(파견수련계획!$T$4:$T$203,$AJ49)="통합수련",INDEX(파견수련계획!$S$4:$S$203,$AJ49),$AE49)))))))</f>
        <v/>
      </c>
      <c r="Z49" s="19">
        <f>IF($B49="","",IF($AB49="","기본자료에 없는 사번",IF(COUNTIF($B$2:$B$201,$B49)&gt;1,"중복 사번",IF($AE49="","소속(입사장소) 입력",IF(IF(TRIM($J49&amp;"")="",0,SUMPRODUCT((파견수련계획!$Q$4:$Q$203=TRIM($J49&amp;""))*(파견수련계획!$AA$4:$AA$203&lt;&gt;"")))&gt;0,"파견수련계획 입력오류 확인",IF(LEFT($Y49,1)="⚠","서울·구리 15일 판정 불가(양쪽 모두 이상/미만)",IF(IF($AC49="",0,N(INDEX(인턴근무계획!$T$3:$T$202,$AC49)))&gt;0,"인턴계획 입력오류 확인",IF(AND($AC49&lt;&gt;"",$U49&lt;&gt;"파견중",$N49&lt;&gt;$AE49),"인턴 타지역 근무: 파견 여부 확인","정상"))))))))</f>
        <v/>
      </c>
      <c r="AA49" s="5" t="n"/>
      <c r="AB49" s="10">
        <f>IF($B49="","",IFERROR(MATCH($B49,기본자료!$B$2:$B$501,0),IFERROR(MATCH($B49&amp;"",기본자료!$B$2:$B$501,0),IFERROR(MATCH(VALUE($B49),기본자료!$B$2:$B$501,0),""))))</f>
        <v/>
      </c>
      <c r="AC49" s="10">
        <f>IF($B49="","",IFERROR(MATCH($B49,인턴근무계획!$D$3:$D$202,0),IFERROR(MATCH($B49&amp;"",인턴근무계획!$D$3:$D$202,0),IFERROR(MATCH(VALUE($B49),인턴근무계획!$D$3:$D$202,0),""))))</f>
        <v/>
      </c>
      <c r="AD49" s="10">
        <f>IF(OR($AC49="",인턴현황!$G$3=""),"",INDEX(인턴근무계획!$M$3:$R$202,$AC49,인턴현황!$G$3)&amp;"")</f>
        <v/>
      </c>
      <c r="AE49" s="10">
        <f>IF($B49="","",IF($M49&lt;&gt;"",$M49,IF($AF49&lt;&gt;"",IF(LEFT(INDEX(파견수련계획!$R$4:$R$203,$AF49),1)&lt;&gt;"⚠",INDEX(파견수련계획!$R$4:$R$203,$AF49),IF($H49="","",IF(RIGHT($H49,2)="병원",$H49,$H49&amp;"병원"))),IF($H49="","",IF(RIGHT($H49,2)="병원",$H49,$H49&amp;"병원")))))</f>
        <v/>
      </c>
      <c r="AF49" s="10">
        <f>IF(OR($B49="",TRIM($J49&amp;"")=""),"",IFERROR(MATCH(TRIM($J49&amp;"")&amp;"|파견중",파견수련계획!$Y$4:$Y$203,0),IFERROR(MATCH(TRIM($J49&amp;"")&amp;"|파견예정",파견수련계획!$Y$4:$Y$203,0),IFERROR(MATCH(TRIM($J49&amp;"")&amp;"|파견종료",파견수련계획!$Y$4:$Y$203,0),""))))</f>
        <v/>
      </c>
      <c r="AG49" s="10">
        <f>IF($B49="","",IF(AND(IF(OR($AC49="",인턴현황!$K$2=""),"",INDEX(인턴근무계획!$M$3:$R$202,$AC49,인턴현황!$K$2)&amp;"")&lt;&gt;"",LEFT(IF(OR($AC49="",인턴현황!$K$2=""),"",INDEX(인턴근무계획!$M$3:$R$202,$AC49,인턴현황!$K$2)&amp;""),1)&lt;&gt;"⚠"),LEFT(IF(OR($AC49="",인턴현황!$K$2=""),"",INDEX(인턴근무계획!$M$3:$R$202,$AC49,인턴현황!$K$2)&amp;""),FIND(" ",IF(OR($AC49="",인턴현황!$K$2=""),"",INDEX(인턴근무계획!$M$3:$R$202,$AC49,인턴현황!$K$2)&amp;""))-1),$AE49))</f>
        <v/>
      </c>
      <c r="AH49" s="17">
        <f>IF($B49="","",IF(TRIM($J49&amp;"")="",0,SUMPRODUCT((파견수련계획!$Q$4:$Q$203=TRIM($J49&amp;""))*(파견수련계획!$S$4:$S$203="서울병원")*파견수련계획!$W$4:$W$203))+IF($AG49="서울병원",MAX(0,DAY(EOMONTH(요약!$B$3,0))-N($X49)),0))</f>
        <v/>
      </c>
      <c r="AI49" s="17">
        <f>IF($B49="","",IF(TRIM($J49&amp;"")="",0,SUMPRODUCT((파견수련계획!$Q$4:$Q$203=TRIM($J49&amp;""))*(파견수련계획!$S$4:$S$203="구리병원")*파견수련계획!$W$4:$W$203))+IF($AG49="구리병원",MAX(0,DAY(EOMONTH(요약!$B$3,0))-N($X49)),0))</f>
        <v/>
      </c>
      <c r="AJ49" s="10">
        <f>IF(OR($B49="",TRIM($J49&amp;"")=""),"",IFERROR(MATCH(TRIM($J49&amp;"")&amp;"|월",파견수련계획!$Z$4:$Z$203,0),""))</f>
        <v/>
      </c>
      <c r="AK49" s="10">
        <f>IF(OR($B49="",TRIM($J49&amp;"")=""),"",IFERROR(MATCH(TRIM($J49&amp;"")&amp;"|다기관",파견수련계획!$AE$4:$AE$203,0),""))</f>
        <v/>
      </c>
      <c r="AL49" s="10">
        <f>IF($AK49="","","다기관 "&amp;TEXT(INDEX(파견수련계획!$AB$4:$AB$203,$AK49),"yyyy-mm-dd")&amp;"~"&amp;IF(ISNUMBER(INDEX(파견수련계획!$AC$4:$AC$203,$AK49)),TEXT(INDEX(파견수련계획!$AC$4:$AC$203,$AK49),"yyyy-mm-dd"),""))</f>
        <v/>
      </c>
    </row>
    <row r="50">
      <c r="A50" s="10">
        <f>IF(B50="","",ROW()-1)</f>
        <v/>
      </c>
      <c r="B50" s="18" t="n"/>
      <c r="C50" s="10">
        <f>IF($AB50="","",IF(INDEX(기본자료!$C$2:$C$501,$AB50)="","",INDEX(기본자료!$C$2:$C$501,$AB50)))</f>
        <v/>
      </c>
      <c r="D50" s="10">
        <f>IF($AB50="","",IF(INDEX(기본자료!$J$2:$J$501,$AB50)="","",INDEX(기본자료!$J$2:$J$501,$AB50)))</f>
        <v/>
      </c>
      <c r="E50" s="11">
        <f>IF($AB50="","",IF(INDEX(기본자료!$K$2:$K$501,$AB50)="","",IF(NOT(ISNUMBER(INDEX(기본자료!$K$2:$K$501,$AB50))),INDEX(기본자료!$K$2:$K$501,$AB50),IF(INDEX(기본자료!$K$2:$K$501,$AB50)&lt;1000000,INDEX(기본자료!$K$2:$K$501,$AB50),IF(AND(INDEX(기본자료!$K$2:$K$501,$AB50)&gt;=10000101,INT(MOD(INDEX(기본자료!$K$2:$K$501,$AB50),10000)/100)&gt;=1,INT(MOD(INDEX(기본자료!$K$2:$K$501,$AB50),10000)/100)&lt;=12,MOD(INDEX(기본자료!$K$2:$K$501,$AB50),100)&gt;=1,MOD(INDEX(기본자료!$K$2:$K$501,$AB50),100)&lt;=31),DATE(INT(INDEX(기본자료!$K$2:$K$501,$AB50)/10000),INT(MOD(INDEX(기본자료!$K$2:$K$501,$AB50),10000)/100),MOD(INDEX(기본자료!$K$2:$K$501,$AB50),100)),INDEX(기본자료!$K$2:$K$501,$AB50)&amp;"")))))</f>
        <v/>
      </c>
      <c r="F50" s="10">
        <f>IF($AB50="","",IF(INDEX(기본자료!$D$2:$D$501,$AB50)="","",INDEX(기본자료!$D$2:$D$501,$AB50)))</f>
        <v/>
      </c>
      <c r="G50" s="10">
        <f>IF($AB50="","",IF(INDEX(기본자료!$E$2:$E$501,$AB50)="","",INDEX(기본자료!$E$2:$E$501,$AB50)))</f>
        <v/>
      </c>
      <c r="H50" s="10">
        <f>IF($AB50="","",IF(INDEX(기본자료!$F$2:$F$501,$AB50)="","",INDEX(기본자료!$F$2:$F$501,$AB50)))</f>
        <v/>
      </c>
      <c r="I50" s="11">
        <f>IF($AB50="","",IF(INDEX(기본자료!$G$2:$G$501,$AB50)="","",IF(NOT(ISNUMBER(INDEX(기본자료!$G$2:$G$501,$AB50))),INDEX(기본자료!$G$2:$G$501,$AB50),IF(INDEX(기본자료!$G$2:$G$501,$AB50)&lt;1000000,INDEX(기본자료!$G$2:$G$501,$AB50),IF(AND(INDEX(기본자료!$G$2:$G$501,$AB50)&gt;=10000101,INT(MOD(INDEX(기본자료!$G$2:$G$501,$AB50),10000)/100)&gt;=1,INT(MOD(INDEX(기본자료!$G$2:$G$501,$AB50),10000)/100)&lt;=12,MOD(INDEX(기본자료!$G$2:$G$501,$AB50),100)&gt;=1,MOD(INDEX(기본자료!$G$2:$G$501,$AB50),100)&lt;=31),DATE(INT(INDEX(기본자료!$G$2:$G$501,$AB50)/10000),INT(MOD(INDEX(기본자료!$G$2:$G$501,$AB50),10000)/100),MOD(INDEX(기본자료!$G$2:$G$501,$AB50),100)),INDEX(기본자료!$G$2:$G$501,$AB50)&amp;"")))))</f>
        <v/>
      </c>
      <c r="J50" s="10">
        <f>IF($AB50="","",IF(INDEX(기본자료!$H$2:$H$501,$AB50)="","",INDEX(기본자료!$H$2:$H$501,$AB50)))</f>
        <v/>
      </c>
      <c r="K50" s="10">
        <f>IF($AB50="","",IF(INDEX(기본자료!$I$2:$I$501,$AB50)="","",INDEX(기본자료!$I$2:$I$501,$AB50)))</f>
        <v/>
      </c>
      <c r="L50" s="10">
        <f>IF($AB50="","",IF(INDEX(기본자료!$A$2:$A$501,$AB50)="","",INDEX(기본자료!$A$2:$A$501,$AB50)))</f>
        <v/>
      </c>
      <c r="M50" s="15" t="n"/>
      <c r="N50" s="10">
        <f>IF($B50="","",IF(AND($U50="파견중",$Q50&lt;&gt;""),$Q50,IF(AND($AD50&lt;&gt;"",LEFT($AD50,1)&lt;&gt;"⚠"),LEFT($AD50,FIND(" ",$AD50)-1),IF($H50="","",IF(RIGHT($H50,2)="병원",$H50,$H50&amp;"병원")))))</f>
        <v/>
      </c>
      <c r="O50" s="10">
        <f>IF($B50="","",IF(AND($U50="파견중",$Q50&lt;&gt;""),IF($R50&lt;&gt;"",$R50,"파견과 미입력"),IF(AND($AD50&lt;&gt;"",LEFT($AD50,1)&lt;&gt;"⚠"),MID($AD50,FIND(" ",$AD50)+1,60),IF($F50="","",IF($F50="인턴","수련교육부(인턴)",$F50)))))</f>
        <v/>
      </c>
      <c r="P50" s="10">
        <f>IF($B50="","",IF($AK50&lt;&gt;"",IF(AND(TODAY()&gt;=INDEX(파견수련계획!$AB$4:$AB$203,$AK50),OR(NOT(ISNUMBER(INDEX(파견수련계획!$AC$4:$AC$203,$AK50))),TODAY()&lt;=INDEX(파견수련계획!$AC$4:$AC$203,$AK50))),"다기관",IF($AF50="","",INDEX(파견수련계획!$T$4:$T$203,$AF50))),IF($AF50="","",INDEX(파견수련계획!$T$4:$T$203,$AF50))))</f>
        <v/>
      </c>
      <c r="Q50" s="10">
        <f>IF($AF50="","",INDEX(파견수련계획!$S$4:$S$203,$AF50))</f>
        <v/>
      </c>
      <c r="R50" s="10">
        <f>IF($AF50="","",INDEX(파견수련계획!$U$4:$U$203,$AF50))</f>
        <v/>
      </c>
      <c r="S50" s="11">
        <f>IF($AF50="","",IF(INDEX(파견수련계획!$H$4:$H$203,$AF50)="","",INDEX(파견수련계획!$H$4:$H$203,$AF50)))</f>
        <v/>
      </c>
      <c r="T50" s="11">
        <f>IF($AF50="","",IF(INDEX(파견수련계획!$I$4:$I$203,$AF50)="","",INDEX(파견수련계획!$I$4:$I$203,$AF50)))</f>
        <v/>
      </c>
      <c r="U50" s="10">
        <f>IF($AF50="","",INDEX(파견수련계획!$X$4:$X$203,$AF50))</f>
        <v/>
      </c>
      <c r="V50" s="17">
        <f>IF($AF50="","",INDEX(파견수련계획!$V$4:$V$203,$AF50))</f>
        <v/>
      </c>
      <c r="W50" s="17">
        <f>IF(AND($U50="파견중",$T50&lt;&gt;""),$T50-TODAY(),"")</f>
        <v/>
      </c>
      <c r="X50" s="17">
        <f>IF(OR($B50="",TRIM($J50&amp;"")=""),"",SUMPRODUCT((파견수련계획!$Q$4:$Q$203=TRIM($J50&amp;""))*파견수련계획!$W$4:$W$203))</f>
        <v/>
      </c>
      <c r="Y50" s="10">
        <f>IF($B50="","",IF($AG50="","",IF(IF(TRIM($J50&amp;"")="",0,SUMPRODUCT((파견수련계획!$Q$4:$Q$203=TRIM($J50&amp;""))*파견수련계획!$AD$4:$AD$203))&gt;0,$AE50,IF(N($X50)&lt;=0,$AG50,IF($AH50+$AI50=DAY(EOMONTH(요약!$B$3,0)),IF(AND($AH50&gt;=요약!$E$3,$AI50&lt;요약!$E$3),"서울병원",IF(AND($AI50&gt;=요약!$E$3,$AH50&lt;요약!$E$3),"구리병원","⚠15일 판정불가(서울 "&amp;$AH50&amp;"일/구리 "&amp;$AI50&amp;"일)")),IF($AJ50="",$AE50,IF(INDEX(파견수련계획!$T$4:$T$203,$AJ50)="통합수련",INDEX(파견수련계획!$S$4:$S$203,$AJ50),$AE50)))))))</f>
        <v/>
      </c>
      <c r="Z50" s="19">
        <f>IF($B50="","",IF($AB50="","기본자료에 없는 사번",IF(COUNTIF($B$2:$B$201,$B50)&gt;1,"중복 사번",IF($AE50="","소속(입사장소) 입력",IF(IF(TRIM($J50&amp;"")="",0,SUMPRODUCT((파견수련계획!$Q$4:$Q$203=TRIM($J50&amp;""))*(파견수련계획!$AA$4:$AA$203&lt;&gt;"")))&gt;0,"파견수련계획 입력오류 확인",IF(LEFT($Y50,1)="⚠","서울·구리 15일 판정 불가(양쪽 모두 이상/미만)",IF(IF($AC50="",0,N(INDEX(인턴근무계획!$T$3:$T$202,$AC50)))&gt;0,"인턴계획 입력오류 확인",IF(AND($AC50&lt;&gt;"",$U50&lt;&gt;"파견중",$N50&lt;&gt;$AE50),"인턴 타지역 근무: 파견 여부 확인","정상"))))))))</f>
        <v/>
      </c>
      <c r="AA50" s="5" t="n"/>
      <c r="AB50" s="10">
        <f>IF($B50="","",IFERROR(MATCH($B50,기본자료!$B$2:$B$501,0),IFERROR(MATCH($B50&amp;"",기본자료!$B$2:$B$501,0),IFERROR(MATCH(VALUE($B50),기본자료!$B$2:$B$501,0),""))))</f>
        <v/>
      </c>
      <c r="AC50" s="10">
        <f>IF($B50="","",IFERROR(MATCH($B50,인턴근무계획!$D$3:$D$202,0),IFERROR(MATCH($B50&amp;"",인턴근무계획!$D$3:$D$202,0),IFERROR(MATCH(VALUE($B50),인턴근무계획!$D$3:$D$202,0),""))))</f>
        <v/>
      </c>
      <c r="AD50" s="10">
        <f>IF(OR($AC50="",인턴현황!$G$3=""),"",INDEX(인턴근무계획!$M$3:$R$202,$AC50,인턴현황!$G$3)&amp;"")</f>
        <v/>
      </c>
      <c r="AE50" s="10">
        <f>IF($B50="","",IF($M50&lt;&gt;"",$M50,IF($AF50&lt;&gt;"",IF(LEFT(INDEX(파견수련계획!$R$4:$R$203,$AF50),1)&lt;&gt;"⚠",INDEX(파견수련계획!$R$4:$R$203,$AF50),IF($H50="","",IF(RIGHT($H50,2)="병원",$H50,$H50&amp;"병원"))),IF($H50="","",IF(RIGHT($H50,2)="병원",$H50,$H50&amp;"병원")))))</f>
        <v/>
      </c>
      <c r="AF50" s="10">
        <f>IF(OR($B50="",TRIM($J50&amp;"")=""),"",IFERROR(MATCH(TRIM($J50&amp;"")&amp;"|파견중",파견수련계획!$Y$4:$Y$203,0),IFERROR(MATCH(TRIM($J50&amp;"")&amp;"|파견예정",파견수련계획!$Y$4:$Y$203,0),IFERROR(MATCH(TRIM($J50&amp;"")&amp;"|파견종료",파견수련계획!$Y$4:$Y$203,0),""))))</f>
        <v/>
      </c>
      <c r="AG50" s="10">
        <f>IF($B50="","",IF(AND(IF(OR($AC50="",인턴현황!$K$2=""),"",INDEX(인턴근무계획!$M$3:$R$202,$AC50,인턴현황!$K$2)&amp;"")&lt;&gt;"",LEFT(IF(OR($AC50="",인턴현황!$K$2=""),"",INDEX(인턴근무계획!$M$3:$R$202,$AC50,인턴현황!$K$2)&amp;""),1)&lt;&gt;"⚠"),LEFT(IF(OR($AC50="",인턴현황!$K$2=""),"",INDEX(인턴근무계획!$M$3:$R$202,$AC50,인턴현황!$K$2)&amp;""),FIND(" ",IF(OR($AC50="",인턴현황!$K$2=""),"",INDEX(인턴근무계획!$M$3:$R$202,$AC50,인턴현황!$K$2)&amp;""))-1),$AE50))</f>
        <v/>
      </c>
      <c r="AH50" s="17">
        <f>IF($B50="","",IF(TRIM($J50&amp;"")="",0,SUMPRODUCT((파견수련계획!$Q$4:$Q$203=TRIM($J50&amp;""))*(파견수련계획!$S$4:$S$203="서울병원")*파견수련계획!$W$4:$W$203))+IF($AG50="서울병원",MAX(0,DAY(EOMONTH(요약!$B$3,0))-N($X50)),0))</f>
        <v/>
      </c>
      <c r="AI50" s="17">
        <f>IF($B50="","",IF(TRIM($J50&amp;"")="",0,SUMPRODUCT((파견수련계획!$Q$4:$Q$203=TRIM($J50&amp;""))*(파견수련계획!$S$4:$S$203="구리병원")*파견수련계획!$W$4:$W$203))+IF($AG50="구리병원",MAX(0,DAY(EOMONTH(요약!$B$3,0))-N($X50)),0))</f>
        <v/>
      </c>
      <c r="AJ50" s="10">
        <f>IF(OR($B50="",TRIM($J50&amp;"")=""),"",IFERROR(MATCH(TRIM($J50&amp;"")&amp;"|월",파견수련계획!$Z$4:$Z$203,0),""))</f>
        <v/>
      </c>
      <c r="AK50" s="10">
        <f>IF(OR($B50="",TRIM($J50&amp;"")=""),"",IFERROR(MATCH(TRIM($J50&amp;"")&amp;"|다기관",파견수련계획!$AE$4:$AE$203,0),""))</f>
        <v/>
      </c>
      <c r="AL50" s="10">
        <f>IF($AK50="","","다기관 "&amp;TEXT(INDEX(파견수련계획!$AB$4:$AB$203,$AK50),"yyyy-mm-dd")&amp;"~"&amp;IF(ISNUMBER(INDEX(파견수련계획!$AC$4:$AC$203,$AK50)),TEXT(INDEX(파견수련계획!$AC$4:$AC$203,$AK50),"yyyy-mm-dd"),""))</f>
        <v/>
      </c>
    </row>
    <row r="51">
      <c r="A51" s="10">
        <f>IF(B51="","",ROW()-1)</f>
        <v/>
      </c>
      <c r="B51" s="18" t="n"/>
      <c r="C51" s="10">
        <f>IF($AB51="","",IF(INDEX(기본자료!$C$2:$C$501,$AB51)="","",INDEX(기본자료!$C$2:$C$501,$AB51)))</f>
        <v/>
      </c>
      <c r="D51" s="10">
        <f>IF($AB51="","",IF(INDEX(기본자료!$J$2:$J$501,$AB51)="","",INDEX(기본자료!$J$2:$J$501,$AB51)))</f>
        <v/>
      </c>
      <c r="E51" s="11">
        <f>IF($AB51="","",IF(INDEX(기본자료!$K$2:$K$501,$AB51)="","",IF(NOT(ISNUMBER(INDEX(기본자료!$K$2:$K$501,$AB51))),INDEX(기본자료!$K$2:$K$501,$AB51),IF(INDEX(기본자료!$K$2:$K$501,$AB51)&lt;1000000,INDEX(기본자료!$K$2:$K$501,$AB51),IF(AND(INDEX(기본자료!$K$2:$K$501,$AB51)&gt;=10000101,INT(MOD(INDEX(기본자료!$K$2:$K$501,$AB51),10000)/100)&gt;=1,INT(MOD(INDEX(기본자료!$K$2:$K$501,$AB51),10000)/100)&lt;=12,MOD(INDEX(기본자료!$K$2:$K$501,$AB51),100)&gt;=1,MOD(INDEX(기본자료!$K$2:$K$501,$AB51),100)&lt;=31),DATE(INT(INDEX(기본자료!$K$2:$K$501,$AB51)/10000),INT(MOD(INDEX(기본자료!$K$2:$K$501,$AB51),10000)/100),MOD(INDEX(기본자료!$K$2:$K$501,$AB51),100)),INDEX(기본자료!$K$2:$K$501,$AB51)&amp;"")))))</f>
        <v/>
      </c>
      <c r="F51" s="10">
        <f>IF($AB51="","",IF(INDEX(기본자료!$D$2:$D$501,$AB51)="","",INDEX(기본자료!$D$2:$D$501,$AB51)))</f>
        <v/>
      </c>
      <c r="G51" s="10">
        <f>IF($AB51="","",IF(INDEX(기본자료!$E$2:$E$501,$AB51)="","",INDEX(기본자료!$E$2:$E$501,$AB51)))</f>
        <v/>
      </c>
      <c r="H51" s="10">
        <f>IF($AB51="","",IF(INDEX(기본자료!$F$2:$F$501,$AB51)="","",INDEX(기본자료!$F$2:$F$501,$AB51)))</f>
        <v/>
      </c>
      <c r="I51" s="11">
        <f>IF($AB51="","",IF(INDEX(기본자료!$G$2:$G$501,$AB51)="","",IF(NOT(ISNUMBER(INDEX(기본자료!$G$2:$G$501,$AB51))),INDEX(기본자료!$G$2:$G$501,$AB51),IF(INDEX(기본자료!$G$2:$G$501,$AB51)&lt;1000000,INDEX(기본자료!$G$2:$G$501,$AB51),IF(AND(INDEX(기본자료!$G$2:$G$501,$AB51)&gt;=10000101,INT(MOD(INDEX(기본자료!$G$2:$G$501,$AB51),10000)/100)&gt;=1,INT(MOD(INDEX(기본자료!$G$2:$G$501,$AB51),10000)/100)&lt;=12,MOD(INDEX(기본자료!$G$2:$G$501,$AB51),100)&gt;=1,MOD(INDEX(기본자료!$G$2:$G$501,$AB51),100)&lt;=31),DATE(INT(INDEX(기본자료!$G$2:$G$501,$AB51)/10000),INT(MOD(INDEX(기본자료!$G$2:$G$501,$AB51),10000)/100),MOD(INDEX(기본자료!$G$2:$G$501,$AB51),100)),INDEX(기본자료!$G$2:$G$501,$AB51)&amp;"")))))</f>
        <v/>
      </c>
      <c r="J51" s="10">
        <f>IF($AB51="","",IF(INDEX(기본자료!$H$2:$H$501,$AB51)="","",INDEX(기본자료!$H$2:$H$501,$AB51)))</f>
        <v/>
      </c>
      <c r="K51" s="10">
        <f>IF($AB51="","",IF(INDEX(기본자료!$I$2:$I$501,$AB51)="","",INDEX(기본자료!$I$2:$I$501,$AB51)))</f>
        <v/>
      </c>
      <c r="L51" s="10">
        <f>IF($AB51="","",IF(INDEX(기본자료!$A$2:$A$501,$AB51)="","",INDEX(기본자료!$A$2:$A$501,$AB51)))</f>
        <v/>
      </c>
      <c r="M51" s="15" t="n"/>
      <c r="N51" s="10">
        <f>IF($B51="","",IF(AND($U51="파견중",$Q51&lt;&gt;""),$Q51,IF(AND($AD51&lt;&gt;"",LEFT($AD51,1)&lt;&gt;"⚠"),LEFT($AD51,FIND(" ",$AD51)-1),IF($H51="","",IF(RIGHT($H51,2)="병원",$H51,$H51&amp;"병원")))))</f>
        <v/>
      </c>
      <c r="O51" s="10">
        <f>IF($B51="","",IF(AND($U51="파견중",$Q51&lt;&gt;""),IF($R51&lt;&gt;"",$R51,"파견과 미입력"),IF(AND($AD51&lt;&gt;"",LEFT($AD51,1)&lt;&gt;"⚠"),MID($AD51,FIND(" ",$AD51)+1,60),IF($F51="","",IF($F51="인턴","수련교육부(인턴)",$F51)))))</f>
        <v/>
      </c>
      <c r="P51" s="10">
        <f>IF($B51="","",IF($AK51&lt;&gt;"",IF(AND(TODAY()&gt;=INDEX(파견수련계획!$AB$4:$AB$203,$AK51),OR(NOT(ISNUMBER(INDEX(파견수련계획!$AC$4:$AC$203,$AK51))),TODAY()&lt;=INDEX(파견수련계획!$AC$4:$AC$203,$AK51))),"다기관",IF($AF51="","",INDEX(파견수련계획!$T$4:$T$203,$AF51))),IF($AF51="","",INDEX(파견수련계획!$T$4:$T$203,$AF51))))</f>
        <v/>
      </c>
      <c r="Q51" s="10">
        <f>IF($AF51="","",INDEX(파견수련계획!$S$4:$S$203,$AF51))</f>
        <v/>
      </c>
      <c r="R51" s="10">
        <f>IF($AF51="","",INDEX(파견수련계획!$U$4:$U$203,$AF51))</f>
        <v/>
      </c>
      <c r="S51" s="11">
        <f>IF($AF51="","",IF(INDEX(파견수련계획!$H$4:$H$203,$AF51)="","",INDEX(파견수련계획!$H$4:$H$203,$AF51)))</f>
        <v/>
      </c>
      <c r="T51" s="11">
        <f>IF($AF51="","",IF(INDEX(파견수련계획!$I$4:$I$203,$AF51)="","",INDEX(파견수련계획!$I$4:$I$203,$AF51)))</f>
        <v/>
      </c>
      <c r="U51" s="10">
        <f>IF($AF51="","",INDEX(파견수련계획!$X$4:$X$203,$AF51))</f>
        <v/>
      </c>
      <c r="V51" s="17">
        <f>IF($AF51="","",INDEX(파견수련계획!$V$4:$V$203,$AF51))</f>
        <v/>
      </c>
      <c r="W51" s="17">
        <f>IF(AND($U51="파견중",$T51&lt;&gt;""),$T51-TODAY(),"")</f>
        <v/>
      </c>
      <c r="X51" s="17">
        <f>IF(OR($B51="",TRIM($J51&amp;"")=""),"",SUMPRODUCT((파견수련계획!$Q$4:$Q$203=TRIM($J51&amp;""))*파견수련계획!$W$4:$W$203))</f>
        <v/>
      </c>
      <c r="Y51" s="10">
        <f>IF($B51="","",IF($AG51="","",IF(IF(TRIM($J51&amp;"")="",0,SUMPRODUCT((파견수련계획!$Q$4:$Q$203=TRIM($J51&amp;""))*파견수련계획!$AD$4:$AD$203))&gt;0,$AE51,IF(N($X51)&lt;=0,$AG51,IF($AH51+$AI51=DAY(EOMONTH(요약!$B$3,0)),IF(AND($AH51&gt;=요약!$E$3,$AI51&lt;요약!$E$3),"서울병원",IF(AND($AI51&gt;=요약!$E$3,$AH51&lt;요약!$E$3),"구리병원","⚠15일 판정불가(서울 "&amp;$AH51&amp;"일/구리 "&amp;$AI51&amp;"일)")),IF($AJ51="",$AE51,IF(INDEX(파견수련계획!$T$4:$T$203,$AJ51)="통합수련",INDEX(파견수련계획!$S$4:$S$203,$AJ51),$AE51)))))))</f>
        <v/>
      </c>
      <c r="Z51" s="19">
        <f>IF($B51="","",IF($AB51="","기본자료에 없는 사번",IF(COUNTIF($B$2:$B$201,$B51)&gt;1,"중복 사번",IF($AE51="","소속(입사장소) 입력",IF(IF(TRIM($J51&amp;"")="",0,SUMPRODUCT((파견수련계획!$Q$4:$Q$203=TRIM($J51&amp;""))*(파견수련계획!$AA$4:$AA$203&lt;&gt;"")))&gt;0,"파견수련계획 입력오류 확인",IF(LEFT($Y51,1)="⚠","서울·구리 15일 판정 불가(양쪽 모두 이상/미만)",IF(IF($AC51="",0,N(INDEX(인턴근무계획!$T$3:$T$202,$AC51)))&gt;0,"인턴계획 입력오류 확인",IF(AND($AC51&lt;&gt;"",$U51&lt;&gt;"파견중",$N51&lt;&gt;$AE51),"인턴 타지역 근무: 파견 여부 확인","정상"))))))))</f>
        <v/>
      </c>
      <c r="AA51" s="5" t="n"/>
      <c r="AB51" s="10">
        <f>IF($B51="","",IFERROR(MATCH($B51,기본자료!$B$2:$B$501,0),IFERROR(MATCH($B51&amp;"",기본자료!$B$2:$B$501,0),IFERROR(MATCH(VALUE($B51),기본자료!$B$2:$B$501,0),""))))</f>
        <v/>
      </c>
      <c r="AC51" s="10">
        <f>IF($B51="","",IFERROR(MATCH($B51,인턴근무계획!$D$3:$D$202,0),IFERROR(MATCH($B51&amp;"",인턴근무계획!$D$3:$D$202,0),IFERROR(MATCH(VALUE($B51),인턴근무계획!$D$3:$D$202,0),""))))</f>
        <v/>
      </c>
      <c r="AD51" s="10">
        <f>IF(OR($AC51="",인턴현황!$G$3=""),"",INDEX(인턴근무계획!$M$3:$R$202,$AC51,인턴현황!$G$3)&amp;"")</f>
        <v/>
      </c>
      <c r="AE51" s="10">
        <f>IF($B51="","",IF($M51&lt;&gt;"",$M51,IF($AF51&lt;&gt;"",IF(LEFT(INDEX(파견수련계획!$R$4:$R$203,$AF51),1)&lt;&gt;"⚠",INDEX(파견수련계획!$R$4:$R$203,$AF51),IF($H51="","",IF(RIGHT($H51,2)="병원",$H51,$H51&amp;"병원"))),IF($H51="","",IF(RIGHT($H51,2)="병원",$H51,$H51&amp;"병원")))))</f>
        <v/>
      </c>
      <c r="AF51" s="10">
        <f>IF(OR($B51="",TRIM($J51&amp;"")=""),"",IFERROR(MATCH(TRIM($J51&amp;"")&amp;"|파견중",파견수련계획!$Y$4:$Y$203,0),IFERROR(MATCH(TRIM($J51&amp;"")&amp;"|파견예정",파견수련계획!$Y$4:$Y$203,0),IFERROR(MATCH(TRIM($J51&amp;"")&amp;"|파견종료",파견수련계획!$Y$4:$Y$203,0),""))))</f>
        <v/>
      </c>
      <c r="AG51" s="10">
        <f>IF($B51="","",IF(AND(IF(OR($AC51="",인턴현황!$K$2=""),"",INDEX(인턴근무계획!$M$3:$R$202,$AC51,인턴현황!$K$2)&amp;"")&lt;&gt;"",LEFT(IF(OR($AC51="",인턴현황!$K$2=""),"",INDEX(인턴근무계획!$M$3:$R$202,$AC51,인턴현황!$K$2)&amp;""),1)&lt;&gt;"⚠"),LEFT(IF(OR($AC51="",인턴현황!$K$2=""),"",INDEX(인턴근무계획!$M$3:$R$202,$AC51,인턴현황!$K$2)&amp;""),FIND(" ",IF(OR($AC51="",인턴현황!$K$2=""),"",INDEX(인턴근무계획!$M$3:$R$202,$AC51,인턴현황!$K$2)&amp;""))-1),$AE51))</f>
        <v/>
      </c>
      <c r="AH51" s="17">
        <f>IF($B51="","",IF(TRIM($J51&amp;"")="",0,SUMPRODUCT((파견수련계획!$Q$4:$Q$203=TRIM($J51&amp;""))*(파견수련계획!$S$4:$S$203="서울병원")*파견수련계획!$W$4:$W$203))+IF($AG51="서울병원",MAX(0,DAY(EOMONTH(요약!$B$3,0))-N($X51)),0))</f>
        <v/>
      </c>
      <c r="AI51" s="17">
        <f>IF($B51="","",IF(TRIM($J51&amp;"")="",0,SUMPRODUCT((파견수련계획!$Q$4:$Q$203=TRIM($J51&amp;""))*(파견수련계획!$S$4:$S$203="구리병원")*파견수련계획!$W$4:$W$203))+IF($AG51="구리병원",MAX(0,DAY(EOMONTH(요약!$B$3,0))-N($X51)),0))</f>
        <v/>
      </c>
      <c r="AJ51" s="10">
        <f>IF(OR($B51="",TRIM($J51&amp;"")=""),"",IFERROR(MATCH(TRIM($J51&amp;"")&amp;"|월",파견수련계획!$Z$4:$Z$203,0),""))</f>
        <v/>
      </c>
      <c r="AK51" s="10">
        <f>IF(OR($B51="",TRIM($J51&amp;"")=""),"",IFERROR(MATCH(TRIM($J51&amp;"")&amp;"|다기관",파견수련계획!$AE$4:$AE$203,0),""))</f>
        <v/>
      </c>
      <c r="AL51" s="10">
        <f>IF($AK51="","","다기관 "&amp;TEXT(INDEX(파견수련계획!$AB$4:$AB$203,$AK51),"yyyy-mm-dd")&amp;"~"&amp;IF(ISNUMBER(INDEX(파견수련계획!$AC$4:$AC$203,$AK51)),TEXT(INDEX(파견수련계획!$AC$4:$AC$203,$AK51),"yyyy-mm-dd"),""))</f>
        <v/>
      </c>
    </row>
    <row r="52">
      <c r="A52" s="10">
        <f>IF(B52="","",ROW()-1)</f>
        <v/>
      </c>
      <c r="B52" s="18" t="n"/>
      <c r="C52" s="10">
        <f>IF($AB52="","",IF(INDEX(기본자료!$C$2:$C$501,$AB52)="","",INDEX(기본자료!$C$2:$C$501,$AB52)))</f>
        <v/>
      </c>
      <c r="D52" s="10">
        <f>IF($AB52="","",IF(INDEX(기본자료!$J$2:$J$501,$AB52)="","",INDEX(기본자료!$J$2:$J$501,$AB52)))</f>
        <v/>
      </c>
      <c r="E52" s="11">
        <f>IF($AB52="","",IF(INDEX(기본자료!$K$2:$K$501,$AB52)="","",IF(NOT(ISNUMBER(INDEX(기본자료!$K$2:$K$501,$AB52))),INDEX(기본자료!$K$2:$K$501,$AB52),IF(INDEX(기본자료!$K$2:$K$501,$AB52)&lt;1000000,INDEX(기본자료!$K$2:$K$501,$AB52),IF(AND(INDEX(기본자료!$K$2:$K$501,$AB52)&gt;=10000101,INT(MOD(INDEX(기본자료!$K$2:$K$501,$AB52),10000)/100)&gt;=1,INT(MOD(INDEX(기본자료!$K$2:$K$501,$AB52),10000)/100)&lt;=12,MOD(INDEX(기본자료!$K$2:$K$501,$AB52),100)&gt;=1,MOD(INDEX(기본자료!$K$2:$K$501,$AB52),100)&lt;=31),DATE(INT(INDEX(기본자료!$K$2:$K$501,$AB52)/10000),INT(MOD(INDEX(기본자료!$K$2:$K$501,$AB52),10000)/100),MOD(INDEX(기본자료!$K$2:$K$501,$AB52),100)),INDEX(기본자료!$K$2:$K$501,$AB52)&amp;"")))))</f>
        <v/>
      </c>
      <c r="F52" s="10">
        <f>IF($AB52="","",IF(INDEX(기본자료!$D$2:$D$501,$AB52)="","",INDEX(기본자료!$D$2:$D$501,$AB52)))</f>
        <v/>
      </c>
      <c r="G52" s="10">
        <f>IF($AB52="","",IF(INDEX(기본자료!$E$2:$E$501,$AB52)="","",INDEX(기본자료!$E$2:$E$501,$AB52)))</f>
        <v/>
      </c>
      <c r="H52" s="10">
        <f>IF($AB52="","",IF(INDEX(기본자료!$F$2:$F$501,$AB52)="","",INDEX(기본자료!$F$2:$F$501,$AB52)))</f>
        <v/>
      </c>
      <c r="I52" s="11">
        <f>IF($AB52="","",IF(INDEX(기본자료!$G$2:$G$501,$AB52)="","",IF(NOT(ISNUMBER(INDEX(기본자료!$G$2:$G$501,$AB52))),INDEX(기본자료!$G$2:$G$501,$AB52),IF(INDEX(기본자료!$G$2:$G$501,$AB52)&lt;1000000,INDEX(기본자료!$G$2:$G$501,$AB52),IF(AND(INDEX(기본자료!$G$2:$G$501,$AB52)&gt;=10000101,INT(MOD(INDEX(기본자료!$G$2:$G$501,$AB52),10000)/100)&gt;=1,INT(MOD(INDEX(기본자료!$G$2:$G$501,$AB52),10000)/100)&lt;=12,MOD(INDEX(기본자료!$G$2:$G$501,$AB52),100)&gt;=1,MOD(INDEX(기본자료!$G$2:$G$501,$AB52),100)&lt;=31),DATE(INT(INDEX(기본자료!$G$2:$G$501,$AB52)/10000),INT(MOD(INDEX(기본자료!$G$2:$G$501,$AB52),10000)/100),MOD(INDEX(기본자료!$G$2:$G$501,$AB52),100)),INDEX(기본자료!$G$2:$G$501,$AB52)&amp;"")))))</f>
        <v/>
      </c>
      <c r="J52" s="10">
        <f>IF($AB52="","",IF(INDEX(기본자료!$H$2:$H$501,$AB52)="","",INDEX(기본자료!$H$2:$H$501,$AB52)))</f>
        <v/>
      </c>
      <c r="K52" s="10">
        <f>IF($AB52="","",IF(INDEX(기본자료!$I$2:$I$501,$AB52)="","",INDEX(기본자료!$I$2:$I$501,$AB52)))</f>
        <v/>
      </c>
      <c r="L52" s="10">
        <f>IF($AB52="","",IF(INDEX(기본자료!$A$2:$A$501,$AB52)="","",INDEX(기본자료!$A$2:$A$501,$AB52)))</f>
        <v/>
      </c>
      <c r="M52" s="15" t="n"/>
      <c r="N52" s="10">
        <f>IF($B52="","",IF(AND($U52="파견중",$Q52&lt;&gt;""),$Q52,IF(AND($AD52&lt;&gt;"",LEFT($AD52,1)&lt;&gt;"⚠"),LEFT($AD52,FIND(" ",$AD52)-1),IF($H52="","",IF(RIGHT($H52,2)="병원",$H52,$H52&amp;"병원")))))</f>
        <v/>
      </c>
      <c r="O52" s="10">
        <f>IF($B52="","",IF(AND($U52="파견중",$Q52&lt;&gt;""),IF($R52&lt;&gt;"",$R52,"파견과 미입력"),IF(AND($AD52&lt;&gt;"",LEFT($AD52,1)&lt;&gt;"⚠"),MID($AD52,FIND(" ",$AD52)+1,60),IF($F52="","",IF($F52="인턴","수련교육부(인턴)",$F52)))))</f>
        <v/>
      </c>
      <c r="P52" s="10">
        <f>IF($B52="","",IF($AK52&lt;&gt;"",IF(AND(TODAY()&gt;=INDEX(파견수련계획!$AB$4:$AB$203,$AK52),OR(NOT(ISNUMBER(INDEX(파견수련계획!$AC$4:$AC$203,$AK52))),TODAY()&lt;=INDEX(파견수련계획!$AC$4:$AC$203,$AK52))),"다기관",IF($AF52="","",INDEX(파견수련계획!$T$4:$T$203,$AF52))),IF($AF52="","",INDEX(파견수련계획!$T$4:$T$203,$AF52))))</f>
        <v/>
      </c>
      <c r="Q52" s="10">
        <f>IF($AF52="","",INDEX(파견수련계획!$S$4:$S$203,$AF52))</f>
        <v/>
      </c>
      <c r="R52" s="10">
        <f>IF($AF52="","",INDEX(파견수련계획!$U$4:$U$203,$AF52))</f>
        <v/>
      </c>
      <c r="S52" s="11">
        <f>IF($AF52="","",IF(INDEX(파견수련계획!$H$4:$H$203,$AF52)="","",INDEX(파견수련계획!$H$4:$H$203,$AF52)))</f>
        <v/>
      </c>
      <c r="T52" s="11">
        <f>IF($AF52="","",IF(INDEX(파견수련계획!$I$4:$I$203,$AF52)="","",INDEX(파견수련계획!$I$4:$I$203,$AF52)))</f>
        <v/>
      </c>
      <c r="U52" s="10">
        <f>IF($AF52="","",INDEX(파견수련계획!$X$4:$X$203,$AF52))</f>
        <v/>
      </c>
      <c r="V52" s="17">
        <f>IF($AF52="","",INDEX(파견수련계획!$V$4:$V$203,$AF52))</f>
        <v/>
      </c>
      <c r="W52" s="17">
        <f>IF(AND($U52="파견중",$T52&lt;&gt;""),$T52-TODAY(),"")</f>
        <v/>
      </c>
      <c r="X52" s="17">
        <f>IF(OR($B52="",TRIM($J52&amp;"")=""),"",SUMPRODUCT((파견수련계획!$Q$4:$Q$203=TRIM($J52&amp;""))*파견수련계획!$W$4:$W$203))</f>
        <v/>
      </c>
      <c r="Y52" s="10">
        <f>IF($B52="","",IF($AG52="","",IF(IF(TRIM($J52&amp;"")="",0,SUMPRODUCT((파견수련계획!$Q$4:$Q$203=TRIM($J52&amp;""))*파견수련계획!$AD$4:$AD$203))&gt;0,$AE52,IF(N($X52)&lt;=0,$AG52,IF($AH52+$AI52=DAY(EOMONTH(요약!$B$3,0)),IF(AND($AH52&gt;=요약!$E$3,$AI52&lt;요약!$E$3),"서울병원",IF(AND($AI52&gt;=요약!$E$3,$AH52&lt;요약!$E$3),"구리병원","⚠15일 판정불가(서울 "&amp;$AH52&amp;"일/구리 "&amp;$AI52&amp;"일)")),IF($AJ52="",$AE52,IF(INDEX(파견수련계획!$T$4:$T$203,$AJ52)="통합수련",INDEX(파견수련계획!$S$4:$S$203,$AJ52),$AE52)))))))</f>
        <v/>
      </c>
      <c r="Z52" s="19">
        <f>IF($B52="","",IF($AB52="","기본자료에 없는 사번",IF(COUNTIF($B$2:$B$201,$B52)&gt;1,"중복 사번",IF($AE52="","소속(입사장소) 입력",IF(IF(TRIM($J52&amp;"")="",0,SUMPRODUCT((파견수련계획!$Q$4:$Q$203=TRIM($J52&amp;""))*(파견수련계획!$AA$4:$AA$203&lt;&gt;"")))&gt;0,"파견수련계획 입력오류 확인",IF(LEFT($Y52,1)="⚠","서울·구리 15일 판정 불가(양쪽 모두 이상/미만)",IF(IF($AC52="",0,N(INDEX(인턴근무계획!$T$3:$T$202,$AC52)))&gt;0,"인턴계획 입력오류 확인",IF(AND($AC52&lt;&gt;"",$U52&lt;&gt;"파견중",$N52&lt;&gt;$AE52),"인턴 타지역 근무: 파견 여부 확인","정상"))))))))</f>
        <v/>
      </c>
      <c r="AA52" s="5" t="n"/>
      <c r="AB52" s="10">
        <f>IF($B52="","",IFERROR(MATCH($B52,기본자료!$B$2:$B$501,0),IFERROR(MATCH($B52&amp;"",기본자료!$B$2:$B$501,0),IFERROR(MATCH(VALUE($B52),기본자료!$B$2:$B$501,0),""))))</f>
        <v/>
      </c>
      <c r="AC52" s="10">
        <f>IF($B52="","",IFERROR(MATCH($B52,인턴근무계획!$D$3:$D$202,0),IFERROR(MATCH($B52&amp;"",인턴근무계획!$D$3:$D$202,0),IFERROR(MATCH(VALUE($B52),인턴근무계획!$D$3:$D$202,0),""))))</f>
        <v/>
      </c>
      <c r="AD52" s="10">
        <f>IF(OR($AC52="",인턴현황!$G$3=""),"",INDEX(인턴근무계획!$M$3:$R$202,$AC52,인턴현황!$G$3)&amp;"")</f>
        <v/>
      </c>
      <c r="AE52" s="10">
        <f>IF($B52="","",IF($M52&lt;&gt;"",$M52,IF($AF52&lt;&gt;"",IF(LEFT(INDEX(파견수련계획!$R$4:$R$203,$AF52),1)&lt;&gt;"⚠",INDEX(파견수련계획!$R$4:$R$203,$AF52),IF($H52="","",IF(RIGHT($H52,2)="병원",$H52,$H52&amp;"병원"))),IF($H52="","",IF(RIGHT($H52,2)="병원",$H52,$H52&amp;"병원")))))</f>
        <v/>
      </c>
      <c r="AF52" s="10">
        <f>IF(OR($B52="",TRIM($J52&amp;"")=""),"",IFERROR(MATCH(TRIM($J52&amp;"")&amp;"|파견중",파견수련계획!$Y$4:$Y$203,0),IFERROR(MATCH(TRIM($J52&amp;"")&amp;"|파견예정",파견수련계획!$Y$4:$Y$203,0),IFERROR(MATCH(TRIM($J52&amp;"")&amp;"|파견종료",파견수련계획!$Y$4:$Y$203,0),""))))</f>
        <v/>
      </c>
      <c r="AG52" s="10">
        <f>IF($B52="","",IF(AND(IF(OR($AC52="",인턴현황!$K$2=""),"",INDEX(인턴근무계획!$M$3:$R$202,$AC52,인턴현황!$K$2)&amp;"")&lt;&gt;"",LEFT(IF(OR($AC52="",인턴현황!$K$2=""),"",INDEX(인턴근무계획!$M$3:$R$202,$AC52,인턴현황!$K$2)&amp;""),1)&lt;&gt;"⚠"),LEFT(IF(OR($AC52="",인턴현황!$K$2=""),"",INDEX(인턴근무계획!$M$3:$R$202,$AC52,인턴현황!$K$2)&amp;""),FIND(" ",IF(OR($AC52="",인턴현황!$K$2=""),"",INDEX(인턴근무계획!$M$3:$R$202,$AC52,인턴현황!$K$2)&amp;""))-1),$AE52))</f>
        <v/>
      </c>
      <c r="AH52" s="17">
        <f>IF($B52="","",IF(TRIM($J52&amp;"")="",0,SUMPRODUCT((파견수련계획!$Q$4:$Q$203=TRIM($J52&amp;""))*(파견수련계획!$S$4:$S$203="서울병원")*파견수련계획!$W$4:$W$203))+IF($AG52="서울병원",MAX(0,DAY(EOMONTH(요약!$B$3,0))-N($X52)),0))</f>
        <v/>
      </c>
      <c r="AI52" s="17">
        <f>IF($B52="","",IF(TRIM($J52&amp;"")="",0,SUMPRODUCT((파견수련계획!$Q$4:$Q$203=TRIM($J52&amp;""))*(파견수련계획!$S$4:$S$203="구리병원")*파견수련계획!$W$4:$W$203))+IF($AG52="구리병원",MAX(0,DAY(EOMONTH(요약!$B$3,0))-N($X52)),0))</f>
        <v/>
      </c>
      <c r="AJ52" s="10">
        <f>IF(OR($B52="",TRIM($J52&amp;"")=""),"",IFERROR(MATCH(TRIM($J52&amp;"")&amp;"|월",파견수련계획!$Z$4:$Z$203,0),""))</f>
        <v/>
      </c>
      <c r="AK52" s="10">
        <f>IF(OR($B52="",TRIM($J52&amp;"")=""),"",IFERROR(MATCH(TRIM($J52&amp;"")&amp;"|다기관",파견수련계획!$AE$4:$AE$203,0),""))</f>
        <v/>
      </c>
      <c r="AL52" s="10">
        <f>IF($AK52="","","다기관 "&amp;TEXT(INDEX(파견수련계획!$AB$4:$AB$203,$AK52),"yyyy-mm-dd")&amp;"~"&amp;IF(ISNUMBER(INDEX(파견수련계획!$AC$4:$AC$203,$AK52)),TEXT(INDEX(파견수련계획!$AC$4:$AC$203,$AK52),"yyyy-mm-dd"),""))</f>
        <v/>
      </c>
    </row>
    <row r="53">
      <c r="A53" s="10">
        <f>IF(B53="","",ROW()-1)</f>
        <v/>
      </c>
      <c r="B53" s="18" t="n"/>
      <c r="C53" s="10">
        <f>IF($AB53="","",IF(INDEX(기본자료!$C$2:$C$501,$AB53)="","",INDEX(기본자료!$C$2:$C$501,$AB53)))</f>
        <v/>
      </c>
      <c r="D53" s="10">
        <f>IF($AB53="","",IF(INDEX(기본자료!$J$2:$J$501,$AB53)="","",INDEX(기본자료!$J$2:$J$501,$AB53)))</f>
        <v/>
      </c>
      <c r="E53" s="11">
        <f>IF($AB53="","",IF(INDEX(기본자료!$K$2:$K$501,$AB53)="","",IF(NOT(ISNUMBER(INDEX(기본자료!$K$2:$K$501,$AB53))),INDEX(기본자료!$K$2:$K$501,$AB53),IF(INDEX(기본자료!$K$2:$K$501,$AB53)&lt;1000000,INDEX(기본자료!$K$2:$K$501,$AB53),IF(AND(INDEX(기본자료!$K$2:$K$501,$AB53)&gt;=10000101,INT(MOD(INDEX(기본자료!$K$2:$K$501,$AB53),10000)/100)&gt;=1,INT(MOD(INDEX(기본자료!$K$2:$K$501,$AB53),10000)/100)&lt;=12,MOD(INDEX(기본자료!$K$2:$K$501,$AB53),100)&gt;=1,MOD(INDEX(기본자료!$K$2:$K$501,$AB53),100)&lt;=31),DATE(INT(INDEX(기본자료!$K$2:$K$501,$AB53)/10000),INT(MOD(INDEX(기본자료!$K$2:$K$501,$AB53),10000)/100),MOD(INDEX(기본자료!$K$2:$K$501,$AB53),100)),INDEX(기본자료!$K$2:$K$501,$AB53)&amp;"")))))</f>
        <v/>
      </c>
      <c r="F53" s="10">
        <f>IF($AB53="","",IF(INDEX(기본자료!$D$2:$D$501,$AB53)="","",INDEX(기본자료!$D$2:$D$501,$AB53)))</f>
        <v/>
      </c>
      <c r="G53" s="10">
        <f>IF($AB53="","",IF(INDEX(기본자료!$E$2:$E$501,$AB53)="","",INDEX(기본자료!$E$2:$E$501,$AB53)))</f>
        <v/>
      </c>
      <c r="H53" s="10">
        <f>IF($AB53="","",IF(INDEX(기본자료!$F$2:$F$501,$AB53)="","",INDEX(기본자료!$F$2:$F$501,$AB53)))</f>
        <v/>
      </c>
      <c r="I53" s="11">
        <f>IF($AB53="","",IF(INDEX(기본자료!$G$2:$G$501,$AB53)="","",IF(NOT(ISNUMBER(INDEX(기본자료!$G$2:$G$501,$AB53))),INDEX(기본자료!$G$2:$G$501,$AB53),IF(INDEX(기본자료!$G$2:$G$501,$AB53)&lt;1000000,INDEX(기본자료!$G$2:$G$501,$AB53),IF(AND(INDEX(기본자료!$G$2:$G$501,$AB53)&gt;=10000101,INT(MOD(INDEX(기본자료!$G$2:$G$501,$AB53),10000)/100)&gt;=1,INT(MOD(INDEX(기본자료!$G$2:$G$501,$AB53),10000)/100)&lt;=12,MOD(INDEX(기본자료!$G$2:$G$501,$AB53),100)&gt;=1,MOD(INDEX(기본자료!$G$2:$G$501,$AB53),100)&lt;=31),DATE(INT(INDEX(기본자료!$G$2:$G$501,$AB53)/10000),INT(MOD(INDEX(기본자료!$G$2:$G$501,$AB53),10000)/100),MOD(INDEX(기본자료!$G$2:$G$501,$AB53),100)),INDEX(기본자료!$G$2:$G$501,$AB53)&amp;"")))))</f>
        <v/>
      </c>
      <c r="J53" s="10">
        <f>IF($AB53="","",IF(INDEX(기본자료!$H$2:$H$501,$AB53)="","",INDEX(기본자료!$H$2:$H$501,$AB53)))</f>
        <v/>
      </c>
      <c r="K53" s="10">
        <f>IF($AB53="","",IF(INDEX(기본자료!$I$2:$I$501,$AB53)="","",INDEX(기본자료!$I$2:$I$501,$AB53)))</f>
        <v/>
      </c>
      <c r="L53" s="10">
        <f>IF($AB53="","",IF(INDEX(기본자료!$A$2:$A$501,$AB53)="","",INDEX(기본자료!$A$2:$A$501,$AB53)))</f>
        <v/>
      </c>
      <c r="M53" s="15" t="n"/>
      <c r="N53" s="10">
        <f>IF($B53="","",IF(AND($U53="파견중",$Q53&lt;&gt;""),$Q53,IF(AND($AD53&lt;&gt;"",LEFT($AD53,1)&lt;&gt;"⚠"),LEFT($AD53,FIND(" ",$AD53)-1),IF($H53="","",IF(RIGHT($H53,2)="병원",$H53,$H53&amp;"병원")))))</f>
        <v/>
      </c>
      <c r="O53" s="10">
        <f>IF($B53="","",IF(AND($U53="파견중",$Q53&lt;&gt;""),IF($R53&lt;&gt;"",$R53,"파견과 미입력"),IF(AND($AD53&lt;&gt;"",LEFT($AD53,1)&lt;&gt;"⚠"),MID($AD53,FIND(" ",$AD53)+1,60),IF($F53="","",IF($F53="인턴","수련교육부(인턴)",$F53)))))</f>
        <v/>
      </c>
      <c r="P53" s="10">
        <f>IF($B53="","",IF($AK53&lt;&gt;"",IF(AND(TODAY()&gt;=INDEX(파견수련계획!$AB$4:$AB$203,$AK53),OR(NOT(ISNUMBER(INDEX(파견수련계획!$AC$4:$AC$203,$AK53))),TODAY()&lt;=INDEX(파견수련계획!$AC$4:$AC$203,$AK53))),"다기관",IF($AF53="","",INDEX(파견수련계획!$T$4:$T$203,$AF53))),IF($AF53="","",INDEX(파견수련계획!$T$4:$T$203,$AF53))))</f>
        <v/>
      </c>
      <c r="Q53" s="10">
        <f>IF($AF53="","",INDEX(파견수련계획!$S$4:$S$203,$AF53))</f>
        <v/>
      </c>
      <c r="R53" s="10">
        <f>IF($AF53="","",INDEX(파견수련계획!$U$4:$U$203,$AF53))</f>
        <v/>
      </c>
      <c r="S53" s="11">
        <f>IF($AF53="","",IF(INDEX(파견수련계획!$H$4:$H$203,$AF53)="","",INDEX(파견수련계획!$H$4:$H$203,$AF53)))</f>
        <v/>
      </c>
      <c r="T53" s="11">
        <f>IF($AF53="","",IF(INDEX(파견수련계획!$I$4:$I$203,$AF53)="","",INDEX(파견수련계획!$I$4:$I$203,$AF53)))</f>
        <v/>
      </c>
      <c r="U53" s="10">
        <f>IF($AF53="","",INDEX(파견수련계획!$X$4:$X$203,$AF53))</f>
        <v/>
      </c>
      <c r="V53" s="17">
        <f>IF($AF53="","",INDEX(파견수련계획!$V$4:$V$203,$AF53))</f>
        <v/>
      </c>
      <c r="W53" s="17">
        <f>IF(AND($U53="파견중",$T53&lt;&gt;""),$T53-TODAY(),"")</f>
        <v/>
      </c>
      <c r="X53" s="17">
        <f>IF(OR($B53="",TRIM($J53&amp;"")=""),"",SUMPRODUCT((파견수련계획!$Q$4:$Q$203=TRIM($J53&amp;""))*파견수련계획!$W$4:$W$203))</f>
        <v/>
      </c>
      <c r="Y53" s="10">
        <f>IF($B53="","",IF($AG53="","",IF(IF(TRIM($J53&amp;"")="",0,SUMPRODUCT((파견수련계획!$Q$4:$Q$203=TRIM($J53&amp;""))*파견수련계획!$AD$4:$AD$203))&gt;0,$AE53,IF(N($X53)&lt;=0,$AG53,IF($AH53+$AI53=DAY(EOMONTH(요약!$B$3,0)),IF(AND($AH53&gt;=요약!$E$3,$AI53&lt;요약!$E$3),"서울병원",IF(AND($AI53&gt;=요약!$E$3,$AH53&lt;요약!$E$3),"구리병원","⚠15일 판정불가(서울 "&amp;$AH53&amp;"일/구리 "&amp;$AI53&amp;"일)")),IF($AJ53="",$AE53,IF(INDEX(파견수련계획!$T$4:$T$203,$AJ53)="통합수련",INDEX(파견수련계획!$S$4:$S$203,$AJ53),$AE53)))))))</f>
        <v/>
      </c>
      <c r="Z53" s="19">
        <f>IF($B53="","",IF($AB53="","기본자료에 없는 사번",IF(COUNTIF($B$2:$B$201,$B53)&gt;1,"중복 사번",IF($AE53="","소속(입사장소) 입력",IF(IF(TRIM($J53&amp;"")="",0,SUMPRODUCT((파견수련계획!$Q$4:$Q$203=TRIM($J53&amp;""))*(파견수련계획!$AA$4:$AA$203&lt;&gt;"")))&gt;0,"파견수련계획 입력오류 확인",IF(LEFT($Y53,1)="⚠","서울·구리 15일 판정 불가(양쪽 모두 이상/미만)",IF(IF($AC53="",0,N(INDEX(인턴근무계획!$T$3:$T$202,$AC53)))&gt;0,"인턴계획 입력오류 확인",IF(AND($AC53&lt;&gt;"",$U53&lt;&gt;"파견중",$N53&lt;&gt;$AE53),"인턴 타지역 근무: 파견 여부 확인","정상"))))))))</f>
        <v/>
      </c>
      <c r="AA53" s="5" t="n"/>
      <c r="AB53" s="10">
        <f>IF($B53="","",IFERROR(MATCH($B53,기본자료!$B$2:$B$501,0),IFERROR(MATCH($B53&amp;"",기본자료!$B$2:$B$501,0),IFERROR(MATCH(VALUE($B53),기본자료!$B$2:$B$501,0),""))))</f>
        <v/>
      </c>
      <c r="AC53" s="10">
        <f>IF($B53="","",IFERROR(MATCH($B53,인턴근무계획!$D$3:$D$202,0),IFERROR(MATCH($B53&amp;"",인턴근무계획!$D$3:$D$202,0),IFERROR(MATCH(VALUE($B53),인턴근무계획!$D$3:$D$202,0),""))))</f>
        <v/>
      </c>
      <c r="AD53" s="10">
        <f>IF(OR($AC53="",인턴현황!$G$3=""),"",INDEX(인턴근무계획!$M$3:$R$202,$AC53,인턴현황!$G$3)&amp;"")</f>
        <v/>
      </c>
      <c r="AE53" s="10">
        <f>IF($B53="","",IF($M53&lt;&gt;"",$M53,IF($AF53&lt;&gt;"",IF(LEFT(INDEX(파견수련계획!$R$4:$R$203,$AF53),1)&lt;&gt;"⚠",INDEX(파견수련계획!$R$4:$R$203,$AF53),IF($H53="","",IF(RIGHT($H53,2)="병원",$H53,$H53&amp;"병원"))),IF($H53="","",IF(RIGHT($H53,2)="병원",$H53,$H53&amp;"병원")))))</f>
        <v/>
      </c>
      <c r="AF53" s="10">
        <f>IF(OR($B53="",TRIM($J53&amp;"")=""),"",IFERROR(MATCH(TRIM($J53&amp;"")&amp;"|파견중",파견수련계획!$Y$4:$Y$203,0),IFERROR(MATCH(TRIM($J53&amp;"")&amp;"|파견예정",파견수련계획!$Y$4:$Y$203,0),IFERROR(MATCH(TRIM($J53&amp;"")&amp;"|파견종료",파견수련계획!$Y$4:$Y$203,0),""))))</f>
        <v/>
      </c>
      <c r="AG53" s="10">
        <f>IF($B53="","",IF(AND(IF(OR($AC53="",인턴현황!$K$2=""),"",INDEX(인턴근무계획!$M$3:$R$202,$AC53,인턴현황!$K$2)&amp;"")&lt;&gt;"",LEFT(IF(OR($AC53="",인턴현황!$K$2=""),"",INDEX(인턴근무계획!$M$3:$R$202,$AC53,인턴현황!$K$2)&amp;""),1)&lt;&gt;"⚠"),LEFT(IF(OR($AC53="",인턴현황!$K$2=""),"",INDEX(인턴근무계획!$M$3:$R$202,$AC53,인턴현황!$K$2)&amp;""),FIND(" ",IF(OR($AC53="",인턴현황!$K$2=""),"",INDEX(인턴근무계획!$M$3:$R$202,$AC53,인턴현황!$K$2)&amp;""))-1),$AE53))</f>
        <v/>
      </c>
      <c r="AH53" s="17">
        <f>IF($B53="","",IF(TRIM($J53&amp;"")="",0,SUMPRODUCT((파견수련계획!$Q$4:$Q$203=TRIM($J53&amp;""))*(파견수련계획!$S$4:$S$203="서울병원")*파견수련계획!$W$4:$W$203))+IF($AG53="서울병원",MAX(0,DAY(EOMONTH(요약!$B$3,0))-N($X53)),0))</f>
        <v/>
      </c>
      <c r="AI53" s="17">
        <f>IF($B53="","",IF(TRIM($J53&amp;"")="",0,SUMPRODUCT((파견수련계획!$Q$4:$Q$203=TRIM($J53&amp;""))*(파견수련계획!$S$4:$S$203="구리병원")*파견수련계획!$W$4:$W$203))+IF($AG53="구리병원",MAX(0,DAY(EOMONTH(요약!$B$3,0))-N($X53)),0))</f>
        <v/>
      </c>
      <c r="AJ53" s="10">
        <f>IF(OR($B53="",TRIM($J53&amp;"")=""),"",IFERROR(MATCH(TRIM($J53&amp;"")&amp;"|월",파견수련계획!$Z$4:$Z$203,0),""))</f>
        <v/>
      </c>
      <c r="AK53" s="10">
        <f>IF(OR($B53="",TRIM($J53&amp;"")=""),"",IFERROR(MATCH(TRIM($J53&amp;"")&amp;"|다기관",파견수련계획!$AE$4:$AE$203,0),""))</f>
        <v/>
      </c>
      <c r="AL53" s="10">
        <f>IF($AK53="","","다기관 "&amp;TEXT(INDEX(파견수련계획!$AB$4:$AB$203,$AK53),"yyyy-mm-dd")&amp;"~"&amp;IF(ISNUMBER(INDEX(파견수련계획!$AC$4:$AC$203,$AK53)),TEXT(INDEX(파견수련계획!$AC$4:$AC$203,$AK53),"yyyy-mm-dd"),""))</f>
        <v/>
      </c>
    </row>
    <row r="54">
      <c r="A54" s="10">
        <f>IF(B54="","",ROW()-1)</f>
        <v/>
      </c>
      <c r="B54" s="18" t="n"/>
      <c r="C54" s="10">
        <f>IF($AB54="","",IF(INDEX(기본자료!$C$2:$C$501,$AB54)="","",INDEX(기본자료!$C$2:$C$501,$AB54)))</f>
        <v/>
      </c>
      <c r="D54" s="10">
        <f>IF($AB54="","",IF(INDEX(기본자료!$J$2:$J$501,$AB54)="","",INDEX(기본자료!$J$2:$J$501,$AB54)))</f>
        <v/>
      </c>
      <c r="E54" s="11">
        <f>IF($AB54="","",IF(INDEX(기본자료!$K$2:$K$501,$AB54)="","",IF(NOT(ISNUMBER(INDEX(기본자료!$K$2:$K$501,$AB54))),INDEX(기본자료!$K$2:$K$501,$AB54),IF(INDEX(기본자료!$K$2:$K$501,$AB54)&lt;1000000,INDEX(기본자료!$K$2:$K$501,$AB54),IF(AND(INDEX(기본자료!$K$2:$K$501,$AB54)&gt;=10000101,INT(MOD(INDEX(기본자료!$K$2:$K$501,$AB54),10000)/100)&gt;=1,INT(MOD(INDEX(기본자료!$K$2:$K$501,$AB54),10000)/100)&lt;=12,MOD(INDEX(기본자료!$K$2:$K$501,$AB54),100)&gt;=1,MOD(INDEX(기본자료!$K$2:$K$501,$AB54),100)&lt;=31),DATE(INT(INDEX(기본자료!$K$2:$K$501,$AB54)/10000),INT(MOD(INDEX(기본자료!$K$2:$K$501,$AB54),10000)/100),MOD(INDEX(기본자료!$K$2:$K$501,$AB54),100)),INDEX(기본자료!$K$2:$K$501,$AB54)&amp;"")))))</f>
        <v/>
      </c>
      <c r="F54" s="10">
        <f>IF($AB54="","",IF(INDEX(기본자료!$D$2:$D$501,$AB54)="","",INDEX(기본자료!$D$2:$D$501,$AB54)))</f>
        <v/>
      </c>
      <c r="G54" s="10">
        <f>IF($AB54="","",IF(INDEX(기본자료!$E$2:$E$501,$AB54)="","",INDEX(기본자료!$E$2:$E$501,$AB54)))</f>
        <v/>
      </c>
      <c r="H54" s="10">
        <f>IF($AB54="","",IF(INDEX(기본자료!$F$2:$F$501,$AB54)="","",INDEX(기본자료!$F$2:$F$501,$AB54)))</f>
        <v/>
      </c>
      <c r="I54" s="11">
        <f>IF($AB54="","",IF(INDEX(기본자료!$G$2:$G$501,$AB54)="","",IF(NOT(ISNUMBER(INDEX(기본자료!$G$2:$G$501,$AB54))),INDEX(기본자료!$G$2:$G$501,$AB54),IF(INDEX(기본자료!$G$2:$G$501,$AB54)&lt;1000000,INDEX(기본자료!$G$2:$G$501,$AB54),IF(AND(INDEX(기본자료!$G$2:$G$501,$AB54)&gt;=10000101,INT(MOD(INDEX(기본자료!$G$2:$G$501,$AB54),10000)/100)&gt;=1,INT(MOD(INDEX(기본자료!$G$2:$G$501,$AB54),10000)/100)&lt;=12,MOD(INDEX(기본자료!$G$2:$G$501,$AB54),100)&gt;=1,MOD(INDEX(기본자료!$G$2:$G$501,$AB54),100)&lt;=31),DATE(INT(INDEX(기본자료!$G$2:$G$501,$AB54)/10000),INT(MOD(INDEX(기본자료!$G$2:$G$501,$AB54),10000)/100),MOD(INDEX(기본자료!$G$2:$G$501,$AB54),100)),INDEX(기본자료!$G$2:$G$501,$AB54)&amp;"")))))</f>
        <v/>
      </c>
      <c r="J54" s="10">
        <f>IF($AB54="","",IF(INDEX(기본자료!$H$2:$H$501,$AB54)="","",INDEX(기본자료!$H$2:$H$501,$AB54)))</f>
        <v/>
      </c>
      <c r="K54" s="10">
        <f>IF($AB54="","",IF(INDEX(기본자료!$I$2:$I$501,$AB54)="","",INDEX(기본자료!$I$2:$I$501,$AB54)))</f>
        <v/>
      </c>
      <c r="L54" s="10">
        <f>IF($AB54="","",IF(INDEX(기본자료!$A$2:$A$501,$AB54)="","",INDEX(기본자료!$A$2:$A$501,$AB54)))</f>
        <v/>
      </c>
      <c r="M54" s="15" t="n"/>
      <c r="N54" s="10">
        <f>IF($B54="","",IF(AND($U54="파견중",$Q54&lt;&gt;""),$Q54,IF(AND($AD54&lt;&gt;"",LEFT($AD54,1)&lt;&gt;"⚠"),LEFT($AD54,FIND(" ",$AD54)-1),IF($H54="","",IF(RIGHT($H54,2)="병원",$H54,$H54&amp;"병원")))))</f>
        <v/>
      </c>
      <c r="O54" s="10">
        <f>IF($B54="","",IF(AND($U54="파견중",$Q54&lt;&gt;""),IF($R54&lt;&gt;"",$R54,"파견과 미입력"),IF(AND($AD54&lt;&gt;"",LEFT($AD54,1)&lt;&gt;"⚠"),MID($AD54,FIND(" ",$AD54)+1,60),IF($F54="","",IF($F54="인턴","수련교육부(인턴)",$F54)))))</f>
        <v/>
      </c>
      <c r="P54" s="10">
        <f>IF($B54="","",IF($AK54&lt;&gt;"",IF(AND(TODAY()&gt;=INDEX(파견수련계획!$AB$4:$AB$203,$AK54),OR(NOT(ISNUMBER(INDEX(파견수련계획!$AC$4:$AC$203,$AK54))),TODAY()&lt;=INDEX(파견수련계획!$AC$4:$AC$203,$AK54))),"다기관",IF($AF54="","",INDEX(파견수련계획!$T$4:$T$203,$AF54))),IF($AF54="","",INDEX(파견수련계획!$T$4:$T$203,$AF54))))</f>
        <v/>
      </c>
      <c r="Q54" s="10">
        <f>IF($AF54="","",INDEX(파견수련계획!$S$4:$S$203,$AF54))</f>
        <v/>
      </c>
      <c r="R54" s="10">
        <f>IF($AF54="","",INDEX(파견수련계획!$U$4:$U$203,$AF54))</f>
        <v/>
      </c>
      <c r="S54" s="11">
        <f>IF($AF54="","",IF(INDEX(파견수련계획!$H$4:$H$203,$AF54)="","",INDEX(파견수련계획!$H$4:$H$203,$AF54)))</f>
        <v/>
      </c>
      <c r="T54" s="11">
        <f>IF($AF54="","",IF(INDEX(파견수련계획!$I$4:$I$203,$AF54)="","",INDEX(파견수련계획!$I$4:$I$203,$AF54)))</f>
        <v/>
      </c>
      <c r="U54" s="10">
        <f>IF($AF54="","",INDEX(파견수련계획!$X$4:$X$203,$AF54))</f>
        <v/>
      </c>
      <c r="V54" s="17">
        <f>IF($AF54="","",INDEX(파견수련계획!$V$4:$V$203,$AF54))</f>
        <v/>
      </c>
      <c r="W54" s="17">
        <f>IF(AND($U54="파견중",$T54&lt;&gt;""),$T54-TODAY(),"")</f>
        <v/>
      </c>
      <c r="X54" s="17">
        <f>IF(OR($B54="",TRIM($J54&amp;"")=""),"",SUMPRODUCT((파견수련계획!$Q$4:$Q$203=TRIM($J54&amp;""))*파견수련계획!$W$4:$W$203))</f>
        <v/>
      </c>
      <c r="Y54" s="10">
        <f>IF($B54="","",IF($AG54="","",IF(IF(TRIM($J54&amp;"")="",0,SUMPRODUCT((파견수련계획!$Q$4:$Q$203=TRIM($J54&amp;""))*파견수련계획!$AD$4:$AD$203))&gt;0,$AE54,IF(N($X54)&lt;=0,$AG54,IF($AH54+$AI54=DAY(EOMONTH(요약!$B$3,0)),IF(AND($AH54&gt;=요약!$E$3,$AI54&lt;요약!$E$3),"서울병원",IF(AND($AI54&gt;=요약!$E$3,$AH54&lt;요약!$E$3),"구리병원","⚠15일 판정불가(서울 "&amp;$AH54&amp;"일/구리 "&amp;$AI54&amp;"일)")),IF($AJ54="",$AE54,IF(INDEX(파견수련계획!$T$4:$T$203,$AJ54)="통합수련",INDEX(파견수련계획!$S$4:$S$203,$AJ54),$AE54)))))))</f>
        <v/>
      </c>
      <c r="Z54" s="19">
        <f>IF($B54="","",IF($AB54="","기본자료에 없는 사번",IF(COUNTIF($B$2:$B$201,$B54)&gt;1,"중복 사번",IF($AE54="","소속(입사장소) 입력",IF(IF(TRIM($J54&amp;"")="",0,SUMPRODUCT((파견수련계획!$Q$4:$Q$203=TRIM($J54&amp;""))*(파견수련계획!$AA$4:$AA$203&lt;&gt;"")))&gt;0,"파견수련계획 입력오류 확인",IF(LEFT($Y54,1)="⚠","서울·구리 15일 판정 불가(양쪽 모두 이상/미만)",IF(IF($AC54="",0,N(INDEX(인턴근무계획!$T$3:$T$202,$AC54)))&gt;0,"인턴계획 입력오류 확인",IF(AND($AC54&lt;&gt;"",$U54&lt;&gt;"파견중",$N54&lt;&gt;$AE54),"인턴 타지역 근무: 파견 여부 확인","정상"))))))))</f>
        <v/>
      </c>
      <c r="AA54" s="5" t="n"/>
      <c r="AB54" s="10">
        <f>IF($B54="","",IFERROR(MATCH($B54,기본자료!$B$2:$B$501,0),IFERROR(MATCH($B54&amp;"",기본자료!$B$2:$B$501,0),IFERROR(MATCH(VALUE($B54),기본자료!$B$2:$B$501,0),""))))</f>
        <v/>
      </c>
      <c r="AC54" s="10">
        <f>IF($B54="","",IFERROR(MATCH($B54,인턴근무계획!$D$3:$D$202,0),IFERROR(MATCH($B54&amp;"",인턴근무계획!$D$3:$D$202,0),IFERROR(MATCH(VALUE($B54),인턴근무계획!$D$3:$D$202,0),""))))</f>
        <v/>
      </c>
      <c r="AD54" s="10">
        <f>IF(OR($AC54="",인턴현황!$G$3=""),"",INDEX(인턴근무계획!$M$3:$R$202,$AC54,인턴현황!$G$3)&amp;"")</f>
        <v/>
      </c>
      <c r="AE54" s="10">
        <f>IF($B54="","",IF($M54&lt;&gt;"",$M54,IF($AF54&lt;&gt;"",IF(LEFT(INDEX(파견수련계획!$R$4:$R$203,$AF54),1)&lt;&gt;"⚠",INDEX(파견수련계획!$R$4:$R$203,$AF54),IF($H54="","",IF(RIGHT($H54,2)="병원",$H54,$H54&amp;"병원"))),IF($H54="","",IF(RIGHT($H54,2)="병원",$H54,$H54&amp;"병원")))))</f>
        <v/>
      </c>
      <c r="AF54" s="10">
        <f>IF(OR($B54="",TRIM($J54&amp;"")=""),"",IFERROR(MATCH(TRIM($J54&amp;"")&amp;"|파견중",파견수련계획!$Y$4:$Y$203,0),IFERROR(MATCH(TRIM($J54&amp;"")&amp;"|파견예정",파견수련계획!$Y$4:$Y$203,0),IFERROR(MATCH(TRIM($J54&amp;"")&amp;"|파견종료",파견수련계획!$Y$4:$Y$203,0),""))))</f>
        <v/>
      </c>
      <c r="AG54" s="10">
        <f>IF($B54="","",IF(AND(IF(OR($AC54="",인턴현황!$K$2=""),"",INDEX(인턴근무계획!$M$3:$R$202,$AC54,인턴현황!$K$2)&amp;"")&lt;&gt;"",LEFT(IF(OR($AC54="",인턴현황!$K$2=""),"",INDEX(인턴근무계획!$M$3:$R$202,$AC54,인턴현황!$K$2)&amp;""),1)&lt;&gt;"⚠"),LEFT(IF(OR($AC54="",인턴현황!$K$2=""),"",INDEX(인턴근무계획!$M$3:$R$202,$AC54,인턴현황!$K$2)&amp;""),FIND(" ",IF(OR($AC54="",인턴현황!$K$2=""),"",INDEX(인턴근무계획!$M$3:$R$202,$AC54,인턴현황!$K$2)&amp;""))-1),$AE54))</f>
        <v/>
      </c>
      <c r="AH54" s="17">
        <f>IF($B54="","",IF(TRIM($J54&amp;"")="",0,SUMPRODUCT((파견수련계획!$Q$4:$Q$203=TRIM($J54&amp;""))*(파견수련계획!$S$4:$S$203="서울병원")*파견수련계획!$W$4:$W$203))+IF($AG54="서울병원",MAX(0,DAY(EOMONTH(요약!$B$3,0))-N($X54)),0))</f>
        <v/>
      </c>
      <c r="AI54" s="17">
        <f>IF($B54="","",IF(TRIM($J54&amp;"")="",0,SUMPRODUCT((파견수련계획!$Q$4:$Q$203=TRIM($J54&amp;""))*(파견수련계획!$S$4:$S$203="구리병원")*파견수련계획!$W$4:$W$203))+IF($AG54="구리병원",MAX(0,DAY(EOMONTH(요약!$B$3,0))-N($X54)),0))</f>
        <v/>
      </c>
      <c r="AJ54" s="10">
        <f>IF(OR($B54="",TRIM($J54&amp;"")=""),"",IFERROR(MATCH(TRIM($J54&amp;"")&amp;"|월",파견수련계획!$Z$4:$Z$203,0),""))</f>
        <v/>
      </c>
      <c r="AK54" s="10">
        <f>IF(OR($B54="",TRIM($J54&amp;"")=""),"",IFERROR(MATCH(TRIM($J54&amp;"")&amp;"|다기관",파견수련계획!$AE$4:$AE$203,0),""))</f>
        <v/>
      </c>
      <c r="AL54" s="10">
        <f>IF($AK54="","","다기관 "&amp;TEXT(INDEX(파견수련계획!$AB$4:$AB$203,$AK54),"yyyy-mm-dd")&amp;"~"&amp;IF(ISNUMBER(INDEX(파견수련계획!$AC$4:$AC$203,$AK54)),TEXT(INDEX(파견수련계획!$AC$4:$AC$203,$AK54),"yyyy-mm-dd"),""))</f>
        <v/>
      </c>
    </row>
    <row r="55">
      <c r="A55" s="10">
        <f>IF(B55="","",ROW()-1)</f>
        <v/>
      </c>
      <c r="B55" s="18" t="n"/>
      <c r="C55" s="10">
        <f>IF($AB55="","",IF(INDEX(기본자료!$C$2:$C$501,$AB55)="","",INDEX(기본자료!$C$2:$C$501,$AB55)))</f>
        <v/>
      </c>
      <c r="D55" s="10">
        <f>IF($AB55="","",IF(INDEX(기본자료!$J$2:$J$501,$AB55)="","",INDEX(기본자료!$J$2:$J$501,$AB55)))</f>
        <v/>
      </c>
      <c r="E55" s="11">
        <f>IF($AB55="","",IF(INDEX(기본자료!$K$2:$K$501,$AB55)="","",IF(NOT(ISNUMBER(INDEX(기본자료!$K$2:$K$501,$AB55))),INDEX(기본자료!$K$2:$K$501,$AB55),IF(INDEX(기본자료!$K$2:$K$501,$AB55)&lt;1000000,INDEX(기본자료!$K$2:$K$501,$AB55),IF(AND(INDEX(기본자료!$K$2:$K$501,$AB55)&gt;=10000101,INT(MOD(INDEX(기본자료!$K$2:$K$501,$AB55),10000)/100)&gt;=1,INT(MOD(INDEX(기본자료!$K$2:$K$501,$AB55),10000)/100)&lt;=12,MOD(INDEX(기본자료!$K$2:$K$501,$AB55),100)&gt;=1,MOD(INDEX(기본자료!$K$2:$K$501,$AB55),100)&lt;=31),DATE(INT(INDEX(기본자료!$K$2:$K$501,$AB55)/10000),INT(MOD(INDEX(기본자료!$K$2:$K$501,$AB55),10000)/100),MOD(INDEX(기본자료!$K$2:$K$501,$AB55),100)),INDEX(기본자료!$K$2:$K$501,$AB55)&amp;"")))))</f>
        <v/>
      </c>
      <c r="F55" s="10">
        <f>IF($AB55="","",IF(INDEX(기본자료!$D$2:$D$501,$AB55)="","",INDEX(기본자료!$D$2:$D$501,$AB55)))</f>
        <v/>
      </c>
      <c r="G55" s="10">
        <f>IF($AB55="","",IF(INDEX(기본자료!$E$2:$E$501,$AB55)="","",INDEX(기본자료!$E$2:$E$501,$AB55)))</f>
        <v/>
      </c>
      <c r="H55" s="10">
        <f>IF($AB55="","",IF(INDEX(기본자료!$F$2:$F$501,$AB55)="","",INDEX(기본자료!$F$2:$F$501,$AB55)))</f>
        <v/>
      </c>
      <c r="I55" s="11">
        <f>IF($AB55="","",IF(INDEX(기본자료!$G$2:$G$501,$AB55)="","",IF(NOT(ISNUMBER(INDEX(기본자료!$G$2:$G$501,$AB55))),INDEX(기본자료!$G$2:$G$501,$AB55),IF(INDEX(기본자료!$G$2:$G$501,$AB55)&lt;1000000,INDEX(기본자료!$G$2:$G$501,$AB55),IF(AND(INDEX(기본자료!$G$2:$G$501,$AB55)&gt;=10000101,INT(MOD(INDEX(기본자료!$G$2:$G$501,$AB55),10000)/100)&gt;=1,INT(MOD(INDEX(기본자료!$G$2:$G$501,$AB55),10000)/100)&lt;=12,MOD(INDEX(기본자료!$G$2:$G$501,$AB55),100)&gt;=1,MOD(INDEX(기본자료!$G$2:$G$501,$AB55),100)&lt;=31),DATE(INT(INDEX(기본자료!$G$2:$G$501,$AB55)/10000),INT(MOD(INDEX(기본자료!$G$2:$G$501,$AB55),10000)/100),MOD(INDEX(기본자료!$G$2:$G$501,$AB55),100)),INDEX(기본자료!$G$2:$G$501,$AB55)&amp;"")))))</f>
        <v/>
      </c>
      <c r="J55" s="10">
        <f>IF($AB55="","",IF(INDEX(기본자료!$H$2:$H$501,$AB55)="","",INDEX(기본자료!$H$2:$H$501,$AB55)))</f>
        <v/>
      </c>
      <c r="K55" s="10">
        <f>IF($AB55="","",IF(INDEX(기본자료!$I$2:$I$501,$AB55)="","",INDEX(기본자료!$I$2:$I$501,$AB55)))</f>
        <v/>
      </c>
      <c r="L55" s="10">
        <f>IF($AB55="","",IF(INDEX(기본자료!$A$2:$A$501,$AB55)="","",INDEX(기본자료!$A$2:$A$501,$AB55)))</f>
        <v/>
      </c>
      <c r="M55" s="15" t="n"/>
      <c r="N55" s="10">
        <f>IF($B55="","",IF(AND($U55="파견중",$Q55&lt;&gt;""),$Q55,IF(AND($AD55&lt;&gt;"",LEFT($AD55,1)&lt;&gt;"⚠"),LEFT($AD55,FIND(" ",$AD55)-1),IF($H55="","",IF(RIGHT($H55,2)="병원",$H55,$H55&amp;"병원")))))</f>
        <v/>
      </c>
      <c r="O55" s="10">
        <f>IF($B55="","",IF(AND($U55="파견중",$Q55&lt;&gt;""),IF($R55&lt;&gt;"",$R55,"파견과 미입력"),IF(AND($AD55&lt;&gt;"",LEFT($AD55,1)&lt;&gt;"⚠"),MID($AD55,FIND(" ",$AD55)+1,60),IF($F55="","",IF($F55="인턴","수련교육부(인턴)",$F55)))))</f>
        <v/>
      </c>
      <c r="P55" s="10">
        <f>IF($B55="","",IF($AK55&lt;&gt;"",IF(AND(TODAY()&gt;=INDEX(파견수련계획!$AB$4:$AB$203,$AK55),OR(NOT(ISNUMBER(INDEX(파견수련계획!$AC$4:$AC$203,$AK55))),TODAY()&lt;=INDEX(파견수련계획!$AC$4:$AC$203,$AK55))),"다기관",IF($AF55="","",INDEX(파견수련계획!$T$4:$T$203,$AF55))),IF($AF55="","",INDEX(파견수련계획!$T$4:$T$203,$AF55))))</f>
        <v/>
      </c>
      <c r="Q55" s="10">
        <f>IF($AF55="","",INDEX(파견수련계획!$S$4:$S$203,$AF55))</f>
        <v/>
      </c>
      <c r="R55" s="10">
        <f>IF($AF55="","",INDEX(파견수련계획!$U$4:$U$203,$AF55))</f>
        <v/>
      </c>
      <c r="S55" s="11">
        <f>IF($AF55="","",IF(INDEX(파견수련계획!$H$4:$H$203,$AF55)="","",INDEX(파견수련계획!$H$4:$H$203,$AF55)))</f>
        <v/>
      </c>
      <c r="T55" s="11">
        <f>IF($AF55="","",IF(INDEX(파견수련계획!$I$4:$I$203,$AF55)="","",INDEX(파견수련계획!$I$4:$I$203,$AF55)))</f>
        <v/>
      </c>
      <c r="U55" s="10">
        <f>IF($AF55="","",INDEX(파견수련계획!$X$4:$X$203,$AF55))</f>
        <v/>
      </c>
      <c r="V55" s="17">
        <f>IF($AF55="","",INDEX(파견수련계획!$V$4:$V$203,$AF55))</f>
        <v/>
      </c>
      <c r="W55" s="17">
        <f>IF(AND($U55="파견중",$T55&lt;&gt;""),$T55-TODAY(),"")</f>
        <v/>
      </c>
      <c r="X55" s="17">
        <f>IF(OR($B55="",TRIM($J55&amp;"")=""),"",SUMPRODUCT((파견수련계획!$Q$4:$Q$203=TRIM($J55&amp;""))*파견수련계획!$W$4:$W$203))</f>
        <v/>
      </c>
      <c r="Y55" s="10">
        <f>IF($B55="","",IF($AG55="","",IF(IF(TRIM($J55&amp;"")="",0,SUMPRODUCT((파견수련계획!$Q$4:$Q$203=TRIM($J55&amp;""))*파견수련계획!$AD$4:$AD$203))&gt;0,$AE55,IF(N($X55)&lt;=0,$AG55,IF($AH55+$AI55=DAY(EOMONTH(요약!$B$3,0)),IF(AND($AH55&gt;=요약!$E$3,$AI55&lt;요약!$E$3),"서울병원",IF(AND($AI55&gt;=요약!$E$3,$AH55&lt;요약!$E$3),"구리병원","⚠15일 판정불가(서울 "&amp;$AH55&amp;"일/구리 "&amp;$AI55&amp;"일)")),IF($AJ55="",$AE55,IF(INDEX(파견수련계획!$T$4:$T$203,$AJ55)="통합수련",INDEX(파견수련계획!$S$4:$S$203,$AJ55),$AE55)))))))</f>
        <v/>
      </c>
      <c r="Z55" s="19">
        <f>IF($B55="","",IF($AB55="","기본자료에 없는 사번",IF(COUNTIF($B$2:$B$201,$B55)&gt;1,"중복 사번",IF($AE55="","소속(입사장소) 입력",IF(IF(TRIM($J55&amp;"")="",0,SUMPRODUCT((파견수련계획!$Q$4:$Q$203=TRIM($J55&amp;""))*(파견수련계획!$AA$4:$AA$203&lt;&gt;"")))&gt;0,"파견수련계획 입력오류 확인",IF(LEFT($Y55,1)="⚠","서울·구리 15일 판정 불가(양쪽 모두 이상/미만)",IF(IF($AC55="",0,N(INDEX(인턴근무계획!$T$3:$T$202,$AC55)))&gt;0,"인턴계획 입력오류 확인",IF(AND($AC55&lt;&gt;"",$U55&lt;&gt;"파견중",$N55&lt;&gt;$AE55),"인턴 타지역 근무: 파견 여부 확인","정상"))))))))</f>
        <v/>
      </c>
      <c r="AA55" s="5" t="n"/>
      <c r="AB55" s="10">
        <f>IF($B55="","",IFERROR(MATCH($B55,기본자료!$B$2:$B$501,0),IFERROR(MATCH($B55&amp;"",기본자료!$B$2:$B$501,0),IFERROR(MATCH(VALUE($B55),기본자료!$B$2:$B$501,0),""))))</f>
        <v/>
      </c>
      <c r="AC55" s="10">
        <f>IF($B55="","",IFERROR(MATCH($B55,인턴근무계획!$D$3:$D$202,0),IFERROR(MATCH($B55&amp;"",인턴근무계획!$D$3:$D$202,0),IFERROR(MATCH(VALUE($B55),인턴근무계획!$D$3:$D$202,0),""))))</f>
        <v/>
      </c>
      <c r="AD55" s="10">
        <f>IF(OR($AC55="",인턴현황!$G$3=""),"",INDEX(인턴근무계획!$M$3:$R$202,$AC55,인턴현황!$G$3)&amp;"")</f>
        <v/>
      </c>
      <c r="AE55" s="10">
        <f>IF($B55="","",IF($M55&lt;&gt;"",$M55,IF($AF55&lt;&gt;"",IF(LEFT(INDEX(파견수련계획!$R$4:$R$203,$AF55),1)&lt;&gt;"⚠",INDEX(파견수련계획!$R$4:$R$203,$AF55),IF($H55="","",IF(RIGHT($H55,2)="병원",$H55,$H55&amp;"병원"))),IF($H55="","",IF(RIGHT($H55,2)="병원",$H55,$H55&amp;"병원")))))</f>
        <v/>
      </c>
      <c r="AF55" s="10">
        <f>IF(OR($B55="",TRIM($J55&amp;"")=""),"",IFERROR(MATCH(TRIM($J55&amp;"")&amp;"|파견중",파견수련계획!$Y$4:$Y$203,0),IFERROR(MATCH(TRIM($J55&amp;"")&amp;"|파견예정",파견수련계획!$Y$4:$Y$203,0),IFERROR(MATCH(TRIM($J55&amp;"")&amp;"|파견종료",파견수련계획!$Y$4:$Y$203,0),""))))</f>
        <v/>
      </c>
      <c r="AG55" s="10">
        <f>IF($B55="","",IF(AND(IF(OR($AC55="",인턴현황!$K$2=""),"",INDEX(인턴근무계획!$M$3:$R$202,$AC55,인턴현황!$K$2)&amp;"")&lt;&gt;"",LEFT(IF(OR($AC55="",인턴현황!$K$2=""),"",INDEX(인턴근무계획!$M$3:$R$202,$AC55,인턴현황!$K$2)&amp;""),1)&lt;&gt;"⚠"),LEFT(IF(OR($AC55="",인턴현황!$K$2=""),"",INDEX(인턴근무계획!$M$3:$R$202,$AC55,인턴현황!$K$2)&amp;""),FIND(" ",IF(OR($AC55="",인턴현황!$K$2=""),"",INDEX(인턴근무계획!$M$3:$R$202,$AC55,인턴현황!$K$2)&amp;""))-1),$AE55))</f>
        <v/>
      </c>
      <c r="AH55" s="17">
        <f>IF($B55="","",IF(TRIM($J55&amp;"")="",0,SUMPRODUCT((파견수련계획!$Q$4:$Q$203=TRIM($J55&amp;""))*(파견수련계획!$S$4:$S$203="서울병원")*파견수련계획!$W$4:$W$203))+IF($AG55="서울병원",MAX(0,DAY(EOMONTH(요약!$B$3,0))-N($X55)),0))</f>
        <v/>
      </c>
      <c r="AI55" s="17">
        <f>IF($B55="","",IF(TRIM($J55&amp;"")="",0,SUMPRODUCT((파견수련계획!$Q$4:$Q$203=TRIM($J55&amp;""))*(파견수련계획!$S$4:$S$203="구리병원")*파견수련계획!$W$4:$W$203))+IF($AG55="구리병원",MAX(0,DAY(EOMONTH(요약!$B$3,0))-N($X55)),0))</f>
        <v/>
      </c>
      <c r="AJ55" s="10">
        <f>IF(OR($B55="",TRIM($J55&amp;"")=""),"",IFERROR(MATCH(TRIM($J55&amp;"")&amp;"|월",파견수련계획!$Z$4:$Z$203,0),""))</f>
        <v/>
      </c>
      <c r="AK55" s="10">
        <f>IF(OR($B55="",TRIM($J55&amp;"")=""),"",IFERROR(MATCH(TRIM($J55&amp;"")&amp;"|다기관",파견수련계획!$AE$4:$AE$203,0),""))</f>
        <v/>
      </c>
      <c r="AL55" s="10">
        <f>IF($AK55="","","다기관 "&amp;TEXT(INDEX(파견수련계획!$AB$4:$AB$203,$AK55),"yyyy-mm-dd")&amp;"~"&amp;IF(ISNUMBER(INDEX(파견수련계획!$AC$4:$AC$203,$AK55)),TEXT(INDEX(파견수련계획!$AC$4:$AC$203,$AK55),"yyyy-mm-dd"),""))</f>
        <v/>
      </c>
    </row>
    <row r="56">
      <c r="A56" s="10">
        <f>IF(B56="","",ROW()-1)</f>
        <v/>
      </c>
      <c r="B56" s="18" t="n"/>
      <c r="C56" s="10">
        <f>IF($AB56="","",IF(INDEX(기본자료!$C$2:$C$501,$AB56)="","",INDEX(기본자료!$C$2:$C$501,$AB56)))</f>
        <v/>
      </c>
      <c r="D56" s="10">
        <f>IF($AB56="","",IF(INDEX(기본자료!$J$2:$J$501,$AB56)="","",INDEX(기본자료!$J$2:$J$501,$AB56)))</f>
        <v/>
      </c>
      <c r="E56" s="11">
        <f>IF($AB56="","",IF(INDEX(기본자료!$K$2:$K$501,$AB56)="","",IF(NOT(ISNUMBER(INDEX(기본자료!$K$2:$K$501,$AB56))),INDEX(기본자료!$K$2:$K$501,$AB56),IF(INDEX(기본자료!$K$2:$K$501,$AB56)&lt;1000000,INDEX(기본자료!$K$2:$K$501,$AB56),IF(AND(INDEX(기본자료!$K$2:$K$501,$AB56)&gt;=10000101,INT(MOD(INDEX(기본자료!$K$2:$K$501,$AB56),10000)/100)&gt;=1,INT(MOD(INDEX(기본자료!$K$2:$K$501,$AB56),10000)/100)&lt;=12,MOD(INDEX(기본자료!$K$2:$K$501,$AB56),100)&gt;=1,MOD(INDEX(기본자료!$K$2:$K$501,$AB56),100)&lt;=31),DATE(INT(INDEX(기본자료!$K$2:$K$501,$AB56)/10000),INT(MOD(INDEX(기본자료!$K$2:$K$501,$AB56),10000)/100),MOD(INDEX(기본자료!$K$2:$K$501,$AB56),100)),INDEX(기본자료!$K$2:$K$501,$AB56)&amp;"")))))</f>
        <v/>
      </c>
      <c r="F56" s="10">
        <f>IF($AB56="","",IF(INDEX(기본자료!$D$2:$D$501,$AB56)="","",INDEX(기본자료!$D$2:$D$501,$AB56)))</f>
        <v/>
      </c>
      <c r="G56" s="10">
        <f>IF($AB56="","",IF(INDEX(기본자료!$E$2:$E$501,$AB56)="","",INDEX(기본자료!$E$2:$E$501,$AB56)))</f>
        <v/>
      </c>
      <c r="H56" s="10">
        <f>IF($AB56="","",IF(INDEX(기본자료!$F$2:$F$501,$AB56)="","",INDEX(기본자료!$F$2:$F$501,$AB56)))</f>
        <v/>
      </c>
      <c r="I56" s="11">
        <f>IF($AB56="","",IF(INDEX(기본자료!$G$2:$G$501,$AB56)="","",IF(NOT(ISNUMBER(INDEX(기본자료!$G$2:$G$501,$AB56))),INDEX(기본자료!$G$2:$G$501,$AB56),IF(INDEX(기본자료!$G$2:$G$501,$AB56)&lt;1000000,INDEX(기본자료!$G$2:$G$501,$AB56),IF(AND(INDEX(기본자료!$G$2:$G$501,$AB56)&gt;=10000101,INT(MOD(INDEX(기본자료!$G$2:$G$501,$AB56),10000)/100)&gt;=1,INT(MOD(INDEX(기본자료!$G$2:$G$501,$AB56),10000)/100)&lt;=12,MOD(INDEX(기본자료!$G$2:$G$501,$AB56),100)&gt;=1,MOD(INDEX(기본자료!$G$2:$G$501,$AB56),100)&lt;=31),DATE(INT(INDEX(기본자료!$G$2:$G$501,$AB56)/10000),INT(MOD(INDEX(기본자료!$G$2:$G$501,$AB56),10000)/100),MOD(INDEX(기본자료!$G$2:$G$501,$AB56),100)),INDEX(기본자료!$G$2:$G$501,$AB56)&amp;"")))))</f>
        <v/>
      </c>
      <c r="J56" s="10">
        <f>IF($AB56="","",IF(INDEX(기본자료!$H$2:$H$501,$AB56)="","",INDEX(기본자료!$H$2:$H$501,$AB56)))</f>
        <v/>
      </c>
      <c r="K56" s="10">
        <f>IF($AB56="","",IF(INDEX(기본자료!$I$2:$I$501,$AB56)="","",INDEX(기본자료!$I$2:$I$501,$AB56)))</f>
        <v/>
      </c>
      <c r="L56" s="10">
        <f>IF($AB56="","",IF(INDEX(기본자료!$A$2:$A$501,$AB56)="","",INDEX(기본자료!$A$2:$A$501,$AB56)))</f>
        <v/>
      </c>
      <c r="M56" s="15" t="n"/>
      <c r="N56" s="10">
        <f>IF($B56="","",IF(AND($U56="파견중",$Q56&lt;&gt;""),$Q56,IF(AND($AD56&lt;&gt;"",LEFT($AD56,1)&lt;&gt;"⚠"),LEFT($AD56,FIND(" ",$AD56)-1),IF($H56="","",IF(RIGHT($H56,2)="병원",$H56,$H56&amp;"병원")))))</f>
        <v/>
      </c>
      <c r="O56" s="10">
        <f>IF($B56="","",IF(AND($U56="파견중",$Q56&lt;&gt;""),IF($R56&lt;&gt;"",$R56,"파견과 미입력"),IF(AND($AD56&lt;&gt;"",LEFT($AD56,1)&lt;&gt;"⚠"),MID($AD56,FIND(" ",$AD56)+1,60),IF($F56="","",IF($F56="인턴","수련교육부(인턴)",$F56)))))</f>
        <v/>
      </c>
      <c r="P56" s="10">
        <f>IF($B56="","",IF($AK56&lt;&gt;"",IF(AND(TODAY()&gt;=INDEX(파견수련계획!$AB$4:$AB$203,$AK56),OR(NOT(ISNUMBER(INDEX(파견수련계획!$AC$4:$AC$203,$AK56))),TODAY()&lt;=INDEX(파견수련계획!$AC$4:$AC$203,$AK56))),"다기관",IF($AF56="","",INDEX(파견수련계획!$T$4:$T$203,$AF56))),IF($AF56="","",INDEX(파견수련계획!$T$4:$T$203,$AF56))))</f>
        <v/>
      </c>
      <c r="Q56" s="10">
        <f>IF($AF56="","",INDEX(파견수련계획!$S$4:$S$203,$AF56))</f>
        <v/>
      </c>
      <c r="R56" s="10">
        <f>IF($AF56="","",INDEX(파견수련계획!$U$4:$U$203,$AF56))</f>
        <v/>
      </c>
      <c r="S56" s="11">
        <f>IF($AF56="","",IF(INDEX(파견수련계획!$H$4:$H$203,$AF56)="","",INDEX(파견수련계획!$H$4:$H$203,$AF56)))</f>
        <v/>
      </c>
      <c r="T56" s="11">
        <f>IF($AF56="","",IF(INDEX(파견수련계획!$I$4:$I$203,$AF56)="","",INDEX(파견수련계획!$I$4:$I$203,$AF56)))</f>
        <v/>
      </c>
      <c r="U56" s="10">
        <f>IF($AF56="","",INDEX(파견수련계획!$X$4:$X$203,$AF56))</f>
        <v/>
      </c>
      <c r="V56" s="17">
        <f>IF($AF56="","",INDEX(파견수련계획!$V$4:$V$203,$AF56))</f>
        <v/>
      </c>
      <c r="W56" s="17">
        <f>IF(AND($U56="파견중",$T56&lt;&gt;""),$T56-TODAY(),"")</f>
        <v/>
      </c>
      <c r="X56" s="17">
        <f>IF(OR($B56="",TRIM($J56&amp;"")=""),"",SUMPRODUCT((파견수련계획!$Q$4:$Q$203=TRIM($J56&amp;""))*파견수련계획!$W$4:$W$203))</f>
        <v/>
      </c>
      <c r="Y56" s="10">
        <f>IF($B56="","",IF($AG56="","",IF(IF(TRIM($J56&amp;"")="",0,SUMPRODUCT((파견수련계획!$Q$4:$Q$203=TRIM($J56&amp;""))*파견수련계획!$AD$4:$AD$203))&gt;0,$AE56,IF(N($X56)&lt;=0,$AG56,IF($AH56+$AI56=DAY(EOMONTH(요약!$B$3,0)),IF(AND($AH56&gt;=요약!$E$3,$AI56&lt;요약!$E$3),"서울병원",IF(AND($AI56&gt;=요약!$E$3,$AH56&lt;요약!$E$3),"구리병원","⚠15일 판정불가(서울 "&amp;$AH56&amp;"일/구리 "&amp;$AI56&amp;"일)")),IF($AJ56="",$AE56,IF(INDEX(파견수련계획!$T$4:$T$203,$AJ56)="통합수련",INDEX(파견수련계획!$S$4:$S$203,$AJ56),$AE56)))))))</f>
        <v/>
      </c>
      <c r="Z56" s="19">
        <f>IF($B56="","",IF($AB56="","기본자료에 없는 사번",IF(COUNTIF($B$2:$B$201,$B56)&gt;1,"중복 사번",IF($AE56="","소속(입사장소) 입력",IF(IF(TRIM($J56&amp;"")="",0,SUMPRODUCT((파견수련계획!$Q$4:$Q$203=TRIM($J56&amp;""))*(파견수련계획!$AA$4:$AA$203&lt;&gt;"")))&gt;0,"파견수련계획 입력오류 확인",IF(LEFT($Y56,1)="⚠","서울·구리 15일 판정 불가(양쪽 모두 이상/미만)",IF(IF($AC56="",0,N(INDEX(인턴근무계획!$T$3:$T$202,$AC56)))&gt;0,"인턴계획 입력오류 확인",IF(AND($AC56&lt;&gt;"",$U56&lt;&gt;"파견중",$N56&lt;&gt;$AE56),"인턴 타지역 근무: 파견 여부 확인","정상"))))))))</f>
        <v/>
      </c>
      <c r="AA56" s="5" t="n"/>
      <c r="AB56" s="10">
        <f>IF($B56="","",IFERROR(MATCH($B56,기본자료!$B$2:$B$501,0),IFERROR(MATCH($B56&amp;"",기본자료!$B$2:$B$501,0),IFERROR(MATCH(VALUE($B56),기본자료!$B$2:$B$501,0),""))))</f>
        <v/>
      </c>
      <c r="AC56" s="10">
        <f>IF($B56="","",IFERROR(MATCH($B56,인턴근무계획!$D$3:$D$202,0),IFERROR(MATCH($B56&amp;"",인턴근무계획!$D$3:$D$202,0),IFERROR(MATCH(VALUE($B56),인턴근무계획!$D$3:$D$202,0),""))))</f>
        <v/>
      </c>
      <c r="AD56" s="10">
        <f>IF(OR($AC56="",인턴현황!$G$3=""),"",INDEX(인턴근무계획!$M$3:$R$202,$AC56,인턴현황!$G$3)&amp;"")</f>
        <v/>
      </c>
      <c r="AE56" s="10">
        <f>IF($B56="","",IF($M56&lt;&gt;"",$M56,IF($AF56&lt;&gt;"",IF(LEFT(INDEX(파견수련계획!$R$4:$R$203,$AF56),1)&lt;&gt;"⚠",INDEX(파견수련계획!$R$4:$R$203,$AF56),IF($H56="","",IF(RIGHT($H56,2)="병원",$H56,$H56&amp;"병원"))),IF($H56="","",IF(RIGHT($H56,2)="병원",$H56,$H56&amp;"병원")))))</f>
        <v/>
      </c>
      <c r="AF56" s="10">
        <f>IF(OR($B56="",TRIM($J56&amp;"")=""),"",IFERROR(MATCH(TRIM($J56&amp;"")&amp;"|파견중",파견수련계획!$Y$4:$Y$203,0),IFERROR(MATCH(TRIM($J56&amp;"")&amp;"|파견예정",파견수련계획!$Y$4:$Y$203,0),IFERROR(MATCH(TRIM($J56&amp;"")&amp;"|파견종료",파견수련계획!$Y$4:$Y$203,0),""))))</f>
        <v/>
      </c>
      <c r="AG56" s="10">
        <f>IF($B56="","",IF(AND(IF(OR($AC56="",인턴현황!$K$2=""),"",INDEX(인턴근무계획!$M$3:$R$202,$AC56,인턴현황!$K$2)&amp;"")&lt;&gt;"",LEFT(IF(OR($AC56="",인턴현황!$K$2=""),"",INDEX(인턴근무계획!$M$3:$R$202,$AC56,인턴현황!$K$2)&amp;""),1)&lt;&gt;"⚠"),LEFT(IF(OR($AC56="",인턴현황!$K$2=""),"",INDEX(인턴근무계획!$M$3:$R$202,$AC56,인턴현황!$K$2)&amp;""),FIND(" ",IF(OR($AC56="",인턴현황!$K$2=""),"",INDEX(인턴근무계획!$M$3:$R$202,$AC56,인턴현황!$K$2)&amp;""))-1),$AE56))</f>
        <v/>
      </c>
      <c r="AH56" s="17">
        <f>IF($B56="","",IF(TRIM($J56&amp;"")="",0,SUMPRODUCT((파견수련계획!$Q$4:$Q$203=TRIM($J56&amp;""))*(파견수련계획!$S$4:$S$203="서울병원")*파견수련계획!$W$4:$W$203))+IF($AG56="서울병원",MAX(0,DAY(EOMONTH(요약!$B$3,0))-N($X56)),0))</f>
        <v/>
      </c>
      <c r="AI56" s="17">
        <f>IF($B56="","",IF(TRIM($J56&amp;"")="",0,SUMPRODUCT((파견수련계획!$Q$4:$Q$203=TRIM($J56&amp;""))*(파견수련계획!$S$4:$S$203="구리병원")*파견수련계획!$W$4:$W$203))+IF($AG56="구리병원",MAX(0,DAY(EOMONTH(요약!$B$3,0))-N($X56)),0))</f>
        <v/>
      </c>
      <c r="AJ56" s="10">
        <f>IF(OR($B56="",TRIM($J56&amp;"")=""),"",IFERROR(MATCH(TRIM($J56&amp;"")&amp;"|월",파견수련계획!$Z$4:$Z$203,0),""))</f>
        <v/>
      </c>
      <c r="AK56" s="10">
        <f>IF(OR($B56="",TRIM($J56&amp;"")=""),"",IFERROR(MATCH(TRIM($J56&amp;"")&amp;"|다기관",파견수련계획!$AE$4:$AE$203,0),""))</f>
        <v/>
      </c>
      <c r="AL56" s="10">
        <f>IF($AK56="","","다기관 "&amp;TEXT(INDEX(파견수련계획!$AB$4:$AB$203,$AK56),"yyyy-mm-dd")&amp;"~"&amp;IF(ISNUMBER(INDEX(파견수련계획!$AC$4:$AC$203,$AK56)),TEXT(INDEX(파견수련계획!$AC$4:$AC$203,$AK56),"yyyy-mm-dd"),""))</f>
        <v/>
      </c>
    </row>
    <row r="57">
      <c r="A57" s="10">
        <f>IF(B57="","",ROW()-1)</f>
        <v/>
      </c>
      <c r="B57" s="18" t="n"/>
      <c r="C57" s="10">
        <f>IF($AB57="","",IF(INDEX(기본자료!$C$2:$C$501,$AB57)="","",INDEX(기본자료!$C$2:$C$501,$AB57)))</f>
        <v/>
      </c>
      <c r="D57" s="10">
        <f>IF($AB57="","",IF(INDEX(기본자료!$J$2:$J$501,$AB57)="","",INDEX(기본자료!$J$2:$J$501,$AB57)))</f>
        <v/>
      </c>
      <c r="E57" s="11">
        <f>IF($AB57="","",IF(INDEX(기본자료!$K$2:$K$501,$AB57)="","",IF(NOT(ISNUMBER(INDEX(기본자료!$K$2:$K$501,$AB57))),INDEX(기본자료!$K$2:$K$501,$AB57),IF(INDEX(기본자료!$K$2:$K$501,$AB57)&lt;1000000,INDEX(기본자료!$K$2:$K$501,$AB57),IF(AND(INDEX(기본자료!$K$2:$K$501,$AB57)&gt;=10000101,INT(MOD(INDEX(기본자료!$K$2:$K$501,$AB57),10000)/100)&gt;=1,INT(MOD(INDEX(기본자료!$K$2:$K$501,$AB57),10000)/100)&lt;=12,MOD(INDEX(기본자료!$K$2:$K$501,$AB57),100)&gt;=1,MOD(INDEX(기본자료!$K$2:$K$501,$AB57),100)&lt;=31),DATE(INT(INDEX(기본자료!$K$2:$K$501,$AB57)/10000),INT(MOD(INDEX(기본자료!$K$2:$K$501,$AB57),10000)/100),MOD(INDEX(기본자료!$K$2:$K$501,$AB57),100)),INDEX(기본자료!$K$2:$K$501,$AB57)&amp;"")))))</f>
        <v/>
      </c>
      <c r="F57" s="10">
        <f>IF($AB57="","",IF(INDEX(기본자료!$D$2:$D$501,$AB57)="","",INDEX(기본자료!$D$2:$D$501,$AB57)))</f>
        <v/>
      </c>
      <c r="G57" s="10">
        <f>IF($AB57="","",IF(INDEX(기본자료!$E$2:$E$501,$AB57)="","",INDEX(기본자료!$E$2:$E$501,$AB57)))</f>
        <v/>
      </c>
      <c r="H57" s="10">
        <f>IF($AB57="","",IF(INDEX(기본자료!$F$2:$F$501,$AB57)="","",INDEX(기본자료!$F$2:$F$501,$AB57)))</f>
        <v/>
      </c>
      <c r="I57" s="11">
        <f>IF($AB57="","",IF(INDEX(기본자료!$G$2:$G$501,$AB57)="","",IF(NOT(ISNUMBER(INDEX(기본자료!$G$2:$G$501,$AB57))),INDEX(기본자료!$G$2:$G$501,$AB57),IF(INDEX(기본자료!$G$2:$G$501,$AB57)&lt;1000000,INDEX(기본자료!$G$2:$G$501,$AB57),IF(AND(INDEX(기본자료!$G$2:$G$501,$AB57)&gt;=10000101,INT(MOD(INDEX(기본자료!$G$2:$G$501,$AB57),10000)/100)&gt;=1,INT(MOD(INDEX(기본자료!$G$2:$G$501,$AB57),10000)/100)&lt;=12,MOD(INDEX(기본자료!$G$2:$G$501,$AB57),100)&gt;=1,MOD(INDEX(기본자료!$G$2:$G$501,$AB57),100)&lt;=31),DATE(INT(INDEX(기본자료!$G$2:$G$501,$AB57)/10000),INT(MOD(INDEX(기본자료!$G$2:$G$501,$AB57),10000)/100),MOD(INDEX(기본자료!$G$2:$G$501,$AB57),100)),INDEX(기본자료!$G$2:$G$501,$AB57)&amp;"")))))</f>
        <v/>
      </c>
      <c r="J57" s="10">
        <f>IF($AB57="","",IF(INDEX(기본자료!$H$2:$H$501,$AB57)="","",INDEX(기본자료!$H$2:$H$501,$AB57)))</f>
        <v/>
      </c>
      <c r="K57" s="10">
        <f>IF($AB57="","",IF(INDEX(기본자료!$I$2:$I$501,$AB57)="","",INDEX(기본자료!$I$2:$I$501,$AB57)))</f>
        <v/>
      </c>
      <c r="L57" s="10">
        <f>IF($AB57="","",IF(INDEX(기본자료!$A$2:$A$501,$AB57)="","",INDEX(기본자료!$A$2:$A$501,$AB57)))</f>
        <v/>
      </c>
      <c r="M57" s="15" t="n"/>
      <c r="N57" s="10">
        <f>IF($B57="","",IF(AND($U57="파견중",$Q57&lt;&gt;""),$Q57,IF(AND($AD57&lt;&gt;"",LEFT($AD57,1)&lt;&gt;"⚠"),LEFT($AD57,FIND(" ",$AD57)-1),IF($H57="","",IF(RIGHT($H57,2)="병원",$H57,$H57&amp;"병원")))))</f>
        <v/>
      </c>
      <c r="O57" s="10">
        <f>IF($B57="","",IF(AND($U57="파견중",$Q57&lt;&gt;""),IF($R57&lt;&gt;"",$R57,"파견과 미입력"),IF(AND($AD57&lt;&gt;"",LEFT($AD57,1)&lt;&gt;"⚠"),MID($AD57,FIND(" ",$AD57)+1,60),IF($F57="","",IF($F57="인턴","수련교육부(인턴)",$F57)))))</f>
        <v/>
      </c>
      <c r="P57" s="10">
        <f>IF($B57="","",IF($AK57&lt;&gt;"",IF(AND(TODAY()&gt;=INDEX(파견수련계획!$AB$4:$AB$203,$AK57),OR(NOT(ISNUMBER(INDEX(파견수련계획!$AC$4:$AC$203,$AK57))),TODAY()&lt;=INDEX(파견수련계획!$AC$4:$AC$203,$AK57))),"다기관",IF($AF57="","",INDEX(파견수련계획!$T$4:$T$203,$AF57))),IF($AF57="","",INDEX(파견수련계획!$T$4:$T$203,$AF57))))</f>
        <v/>
      </c>
      <c r="Q57" s="10">
        <f>IF($AF57="","",INDEX(파견수련계획!$S$4:$S$203,$AF57))</f>
        <v/>
      </c>
      <c r="R57" s="10">
        <f>IF($AF57="","",INDEX(파견수련계획!$U$4:$U$203,$AF57))</f>
        <v/>
      </c>
      <c r="S57" s="11">
        <f>IF($AF57="","",IF(INDEX(파견수련계획!$H$4:$H$203,$AF57)="","",INDEX(파견수련계획!$H$4:$H$203,$AF57)))</f>
        <v/>
      </c>
      <c r="T57" s="11">
        <f>IF($AF57="","",IF(INDEX(파견수련계획!$I$4:$I$203,$AF57)="","",INDEX(파견수련계획!$I$4:$I$203,$AF57)))</f>
        <v/>
      </c>
      <c r="U57" s="10">
        <f>IF($AF57="","",INDEX(파견수련계획!$X$4:$X$203,$AF57))</f>
        <v/>
      </c>
      <c r="V57" s="17">
        <f>IF($AF57="","",INDEX(파견수련계획!$V$4:$V$203,$AF57))</f>
        <v/>
      </c>
      <c r="W57" s="17">
        <f>IF(AND($U57="파견중",$T57&lt;&gt;""),$T57-TODAY(),"")</f>
        <v/>
      </c>
      <c r="X57" s="17">
        <f>IF(OR($B57="",TRIM($J57&amp;"")=""),"",SUMPRODUCT((파견수련계획!$Q$4:$Q$203=TRIM($J57&amp;""))*파견수련계획!$W$4:$W$203))</f>
        <v/>
      </c>
      <c r="Y57" s="10">
        <f>IF($B57="","",IF($AG57="","",IF(IF(TRIM($J57&amp;"")="",0,SUMPRODUCT((파견수련계획!$Q$4:$Q$203=TRIM($J57&amp;""))*파견수련계획!$AD$4:$AD$203))&gt;0,$AE57,IF(N($X57)&lt;=0,$AG57,IF($AH57+$AI57=DAY(EOMONTH(요약!$B$3,0)),IF(AND($AH57&gt;=요약!$E$3,$AI57&lt;요약!$E$3),"서울병원",IF(AND($AI57&gt;=요약!$E$3,$AH57&lt;요약!$E$3),"구리병원","⚠15일 판정불가(서울 "&amp;$AH57&amp;"일/구리 "&amp;$AI57&amp;"일)")),IF($AJ57="",$AE57,IF(INDEX(파견수련계획!$T$4:$T$203,$AJ57)="통합수련",INDEX(파견수련계획!$S$4:$S$203,$AJ57),$AE57)))))))</f>
        <v/>
      </c>
      <c r="Z57" s="19">
        <f>IF($B57="","",IF($AB57="","기본자료에 없는 사번",IF(COUNTIF($B$2:$B$201,$B57)&gt;1,"중복 사번",IF($AE57="","소속(입사장소) 입력",IF(IF(TRIM($J57&amp;"")="",0,SUMPRODUCT((파견수련계획!$Q$4:$Q$203=TRIM($J57&amp;""))*(파견수련계획!$AA$4:$AA$203&lt;&gt;"")))&gt;0,"파견수련계획 입력오류 확인",IF(LEFT($Y57,1)="⚠","서울·구리 15일 판정 불가(양쪽 모두 이상/미만)",IF(IF($AC57="",0,N(INDEX(인턴근무계획!$T$3:$T$202,$AC57)))&gt;0,"인턴계획 입력오류 확인",IF(AND($AC57&lt;&gt;"",$U57&lt;&gt;"파견중",$N57&lt;&gt;$AE57),"인턴 타지역 근무: 파견 여부 확인","정상"))))))))</f>
        <v/>
      </c>
      <c r="AA57" s="5" t="n"/>
      <c r="AB57" s="10">
        <f>IF($B57="","",IFERROR(MATCH($B57,기본자료!$B$2:$B$501,0),IFERROR(MATCH($B57&amp;"",기본자료!$B$2:$B$501,0),IFERROR(MATCH(VALUE($B57),기본자료!$B$2:$B$501,0),""))))</f>
        <v/>
      </c>
      <c r="AC57" s="10">
        <f>IF($B57="","",IFERROR(MATCH($B57,인턴근무계획!$D$3:$D$202,0),IFERROR(MATCH($B57&amp;"",인턴근무계획!$D$3:$D$202,0),IFERROR(MATCH(VALUE($B57),인턴근무계획!$D$3:$D$202,0),""))))</f>
        <v/>
      </c>
      <c r="AD57" s="10">
        <f>IF(OR($AC57="",인턴현황!$G$3=""),"",INDEX(인턴근무계획!$M$3:$R$202,$AC57,인턴현황!$G$3)&amp;"")</f>
        <v/>
      </c>
      <c r="AE57" s="10">
        <f>IF($B57="","",IF($M57&lt;&gt;"",$M57,IF($AF57&lt;&gt;"",IF(LEFT(INDEX(파견수련계획!$R$4:$R$203,$AF57),1)&lt;&gt;"⚠",INDEX(파견수련계획!$R$4:$R$203,$AF57),IF($H57="","",IF(RIGHT($H57,2)="병원",$H57,$H57&amp;"병원"))),IF($H57="","",IF(RIGHT($H57,2)="병원",$H57,$H57&amp;"병원")))))</f>
        <v/>
      </c>
      <c r="AF57" s="10">
        <f>IF(OR($B57="",TRIM($J57&amp;"")=""),"",IFERROR(MATCH(TRIM($J57&amp;"")&amp;"|파견중",파견수련계획!$Y$4:$Y$203,0),IFERROR(MATCH(TRIM($J57&amp;"")&amp;"|파견예정",파견수련계획!$Y$4:$Y$203,0),IFERROR(MATCH(TRIM($J57&amp;"")&amp;"|파견종료",파견수련계획!$Y$4:$Y$203,0),""))))</f>
        <v/>
      </c>
      <c r="AG57" s="10">
        <f>IF($B57="","",IF(AND(IF(OR($AC57="",인턴현황!$K$2=""),"",INDEX(인턴근무계획!$M$3:$R$202,$AC57,인턴현황!$K$2)&amp;"")&lt;&gt;"",LEFT(IF(OR($AC57="",인턴현황!$K$2=""),"",INDEX(인턴근무계획!$M$3:$R$202,$AC57,인턴현황!$K$2)&amp;""),1)&lt;&gt;"⚠"),LEFT(IF(OR($AC57="",인턴현황!$K$2=""),"",INDEX(인턴근무계획!$M$3:$R$202,$AC57,인턴현황!$K$2)&amp;""),FIND(" ",IF(OR($AC57="",인턴현황!$K$2=""),"",INDEX(인턴근무계획!$M$3:$R$202,$AC57,인턴현황!$K$2)&amp;""))-1),$AE57))</f>
        <v/>
      </c>
      <c r="AH57" s="17">
        <f>IF($B57="","",IF(TRIM($J57&amp;"")="",0,SUMPRODUCT((파견수련계획!$Q$4:$Q$203=TRIM($J57&amp;""))*(파견수련계획!$S$4:$S$203="서울병원")*파견수련계획!$W$4:$W$203))+IF($AG57="서울병원",MAX(0,DAY(EOMONTH(요약!$B$3,0))-N($X57)),0))</f>
        <v/>
      </c>
      <c r="AI57" s="17">
        <f>IF($B57="","",IF(TRIM($J57&amp;"")="",0,SUMPRODUCT((파견수련계획!$Q$4:$Q$203=TRIM($J57&amp;""))*(파견수련계획!$S$4:$S$203="구리병원")*파견수련계획!$W$4:$W$203))+IF($AG57="구리병원",MAX(0,DAY(EOMONTH(요약!$B$3,0))-N($X57)),0))</f>
        <v/>
      </c>
      <c r="AJ57" s="10">
        <f>IF(OR($B57="",TRIM($J57&amp;"")=""),"",IFERROR(MATCH(TRIM($J57&amp;"")&amp;"|월",파견수련계획!$Z$4:$Z$203,0),""))</f>
        <v/>
      </c>
      <c r="AK57" s="10">
        <f>IF(OR($B57="",TRIM($J57&amp;"")=""),"",IFERROR(MATCH(TRIM($J57&amp;"")&amp;"|다기관",파견수련계획!$AE$4:$AE$203,0),""))</f>
        <v/>
      </c>
      <c r="AL57" s="10">
        <f>IF($AK57="","","다기관 "&amp;TEXT(INDEX(파견수련계획!$AB$4:$AB$203,$AK57),"yyyy-mm-dd")&amp;"~"&amp;IF(ISNUMBER(INDEX(파견수련계획!$AC$4:$AC$203,$AK57)),TEXT(INDEX(파견수련계획!$AC$4:$AC$203,$AK57),"yyyy-mm-dd"),""))</f>
        <v/>
      </c>
    </row>
    <row r="58">
      <c r="A58" s="10">
        <f>IF(B58="","",ROW()-1)</f>
        <v/>
      </c>
      <c r="B58" s="18" t="n"/>
      <c r="C58" s="10">
        <f>IF($AB58="","",IF(INDEX(기본자료!$C$2:$C$501,$AB58)="","",INDEX(기본자료!$C$2:$C$501,$AB58)))</f>
        <v/>
      </c>
      <c r="D58" s="10">
        <f>IF($AB58="","",IF(INDEX(기본자료!$J$2:$J$501,$AB58)="","",INDEX(기본자료!$J$2:$J$501,$AB58)))</f>
        <v/>
      </c>
      <c r="E58" s="11">
        <f>IF($AB58="","",IF(INDEX(기본자료!$K$2:$K$501,$AB58)="","",IF(NOT(ISNUMBER(INDEX(기본자료!$K$2:$K$501,$AB58))),INDEX(기본자료!$K$2:$K$501,$AB58),IF(INDEX(기본자료!$K$2:$K$501,$AB58)&lt;1000000,INDEX(기본자료!$K$2:$K$501,$AB58),IF(AND(INDEX(기본자료!$K$2:$K$501,$AB58)&gt;=10000101,INT(MOD(INDEX(기본자료!$K$2:$K$501,$AB58),10000)/100)&gt;=1,INT(MOD(INDEX(기본자료!$K$2:$K$501,$AB58),10000)/100)&lt;=12,MOD(INDEX(기본자료!$K$2:$K$501,$AB58),100)&gt;=1,MOD(INDEX(기본자료!$K$2:$K$501,$AB58),100)&lt;=31),DATE(INT(INDEX(기본자료!$K$2:$K$501,$AB58)/10000),INT(MOD(INDEX(기본자료!$K$2:$K$501,$AB58),10000)/100),MOD(INDEX(기본자료!$K$2:$K$501,$AB58),100)),INDEX(기본자료!$K$2:$K$501,$AB58)&amp;"")))))</f>
        <v/>
      </c>
      <c r="F58" s="10">
        <f>IF($AB58="","",IF(INDEX(기본자료!$D$2:$D$501,$AB58)="","",INDEX(기본자료!$D$2:$D$501,$AB58)))</f>
        <v/>
      </c>
      <c r="G58" s="10">
        <f>IF($AB58="","",IF(INDEX(기본자료!$E$2:$E$501,$AB58)="","",INDEX(기본자료!$E$2:$E$501,$AB58)))</f>
        <v/>
      </c>
      <c r="H58" s="10">
        <f>IF($AB58="","",IF(INDEX(기본자료!$F$2:$F$501,$AB58)="","",INDEX(기본자료!$F$2:$F$501,$AB58)))</f>
        <v/>
      </c>
      <c r="I58" s="11">
        <f>IF($AB58="","",IF(INDEX(기본자료!$G$2:$G$501,$AB58)="","",IF(NOT(ISNUMBER(INDEX(기본자료!$G$2:$G$501,$AB58))),INDEX(기본자료!$G$2:$G$501,$AB58),IF(INDEX(기본자료!$G$2:$G$501,$AB58)&lt;1000000,INDEX(기본자료!$G$2:$G$501,$AB58),IF(AND(INDEX(기본자료!$G$2:$G$501,$AB58)&gt;=10000101,INT(MOD(INDEX(기본자료!$G$2:$G$501,$AB58),10000)/100)&gt;=1,INT(MOD(INDEX(기본자료!$G$2:$G$501,$AB58),10000)/100)&lt;=12,MOD(INDEX(기본자료!$G$2:$G$501,$AB58),100)&gt;=1,MOD(INDEX(기본자료!$G$2:$G$501,$AB58),100)&lt;=31),DATE(INT(INDEX(기본자료!$G$2:$G$501,$AB58)/10000),INT(MOD(INDEX(기본자료!$G$2:$G$501,$AB58),10000)/100),MOD(INDEX(기본자료!$G$2:$G$501,$AB58),100)),INDEX(기본자료!$G$2:$G$501,$AB58)&amp;"")))))</f>
        <v/>
      </c>
      <c r="J58" s="10">
        <f>IF($AB58="","",IF(INDEX(기본자료!$H$2:$H$501,$AB58)="","",INDEX(기본자료!$H$2:$H$501,$AB58)))</f>
        <v/>
      </c>
      <c r="K58" s="10">
        <f>IF($AB58="","",IF(INDEX(기본자료!$I$2:$I$501,$AB58)="","",INDEX(기본자료!$I$2:$I$501,$AB58)))</f>
        <v/>
      </c>
      <c r="L58" s="10">
        <f>IF($AB58="","",IF(INDEX(기본자료!$A$2:$A$501,$AB58)="","",INDEX(기본자료!$A$2:$A$501,$AB58)))</f>
        <v/>
      </c>
      <c r="M58" s="15" t="n"/>
      <c r="N58" s="10">
        <f>IF($B58="","",IF(AND($U58="파견중",$Q58&lt;&gt;""),$Q58,IF(AND($AD58&lt;&gt;"",LEFT($AD58,1)&lt;&gt;"⚠"),LEFT($AD58,FIND(" ",$AD58)-1),IF($H58="","",IF(RIGHT($H58,2)="병원",$H58,$H58&amp;"병원")))))</f>
        <v/>
      </c>
      <c r="O58" s="10">
        <f>IF($B58="","",IF(AND($U58="파견중",$Q58&lt;&gt;""),IF($R58&lt;&gt;"",$R58,"파견과 미입력"),IF(AND($AD58&lt;&gt;"",LEFT($AD58,1)&lt;&gt;"⚠"),MID($AD58,FIND(" ",$AD58)+1,60),IF($F58="","",IF($F58="인턴","수련교육부(인턴)",$F58)))))</f>
        <v/>
      </c>
      <c r="P58" s="10">
        <f>IF($B58="","",IF($AK58&lt;&gt;"",IF(AND(TODAY()&gt;=INDEX(파견수련계획!$AB$4:$AB$203,$AK58),OR(NOT(ISNUMBER(INDEX(파견수련계획!$AC$4:$AC$203,$AK58))),TODAY()&lt;=INDEX(파견수련계획!$AC$4:$AC$203,$AK58))),"다기관",IF($AF58="","",INDEX(파견수련계획!$T$4:$T$203,$AF58))),IF($AF58="","",INDEX(파견수련계획!$T$4:$T$203,$AF58))))</f>
        <v/>
      </c>
      <c r="Q58" s="10">
        <f>IF($AF58="","",INDEX(파견수련계획!$S$4:$S$203,$AF58))</f>
        <v/>
      </c>
      <c r="R58" s="10">
        <f>IF($AF58="","",INDEX(파견수련계획!$U$4:$U$203,$AF58))</f>
        <v/>
      </c>
      <c r="S58" s="11">
        <f>IF($AF58="","",IF(INDEX(파견수련계획!$H$4:$H$203,$AF58)="","",INDEX(파견수련계획!$H$4:$H$203,$AF58)))</f>
        <v/>
      </c>
      <c r="T58" s="11">
        <f>IF($AF58="","",IF(INDEX(파견수련계획!$I$4:$I$203,$AF58)="","",INDEX(파견수련계획!$I$4:$I$203,$AF58)))</f>
        <v/>
      </c>
      <c r="U58" s="10">
        <f>IF($AF58="","",INDEX(파견수련계획!$X$4:$X$203,$AF58))</f>
        <v/>
      </c>
      <c r="V58" s="17">
        <f>IF($AF58="","",INDEX(파견수련계획!$V$4:$V$203,$AF58))</f>
        <v/>
      </c>
      <c r="W58" s="17">
        <f>IF(AND($U58="파견중",$T58&lt;&gt;""),$T58-TODAY(),"")</f>
        <v/>
      </c>
      <c r="X58" s="17">
        <f>IF(OR($B58="",TRIM($J58&amp;"")=""),"",SUMPRODUCT((파견수련계획!$Q$4:$Q$203=TRIM($J58&amp;""))*파견수련계획!$W$4:$W$203))</f>
        <v/>
      </c>
      <c r="Y58" s="10">
        <f>IF($B58="","",IF($AG58="","",IF(IF(TRIM($J58&amp;"")="",0,SUMPRODUCT((파견수련계획!$Q$4:$Q$203=TRIM($J58&amp;""))*파견수련계획!$AD$4:$AD$203))&gt;0,$AE58,IF(N($X58)&lt;=0,$AG58,IF($AH58+$AI58=DAY(EOMONTH(요약!$B$3,0)),IF(AND($AH58&gt;=요약!$E$3,$AI58&lt;요약!$E$3),"서울병원",IF(AND($AI58&gt;=요약!$E$3,$AH58&lt;요약!$E$3),"구리병원","⚠15일 판정불가(서울 "&amp;$AH58&amp;"일/구리 "&amp;$AI58&amp;"일)")),IF($AJ58="",$AE58,IF(INDEX(파견수련계획!$T$4:$T$203,$AJ58)="통합수련",INDEX(파견수련계획!$S$4:$S$203,$AJ58),$AE58)))))))</f>
        <v/>
      </c>
      <c r="Z58" s="19">
        <f>IF($B58="","",IF($AB58="","기본자료에 없는 사번",IF(COUNTIF($B$2:$B$201,$B58)&gt;1,"중복 사번",IF($AE58="","소속(입사장소) 입력",IF(IF(TRIM($J58&amp;"")="",0,SUMPRODUCT((파견수련계획!$Q$4:$Q$203=TRIM($J58&amp;""))*(파견수련계획!$AA$4:$AA$203&lt;&gt;"")))&gt;0,"파견수련계획 입력오류 확인",IF(LEFT($Y58,1)="⚠","서울·구리 15일 판정 불가(양쪽 모두 이상/미만)",IF(IF($AC58="",0,N(INDEX(인턴근무계획!$T$3:$T$202,$AC58)))&gt;0,"인턴계획 입력오류 확인",IF(AND($AC58&lt;&gt;"",$U58&lt;&gt;"파견중",$N58&lt;&gt;$AE58),"인턴 타지역 근무: 파견 여부 확인","정상"))))))))</f>
        <v/>
      </c>
      <c r="AA58" s="5" t="n"/>
      <c r="AB58" s="10">
        <f>IF($B58="","",IFERROR(MATCH($B58,기본자료!$B$2:$B$501,0),IFERROR(MATCH($B58&amp;"",기본자료!$B$2:$B$501,0),IFERROR(MATCH(VALUE($B58),기본자료!$B$2:$B$501,0),""))))</f>
        <v/>
      </c>
      <c r="AC58" s="10">
        <f>IF($B58="","",IFERROR(MATCH($B58,인턴근무계획!$D$3:$D$202,0),IFERROR(MATCH($B58&amp;"",인턴근무계획!$D$3:$D$202,0),IFERROR(MATCH(VALUE($B58),인턴근무계획!$D$3:$D$202,0),""))))</f>
        <v/>
      </c>
      <c r="AD58" s="10">
        <f>IF(OR($AC58="",인턴현황!$G$3=""),"",INDEX(인턴근무계획!$M$3:$R$202,$AC58,인턴현황!$G$3)&amp;"")</f>
        <v/>
      </c>
      <c r="AE58" s="10">
        <f>IF($B58="","",IF($M58&lt;&gt;"",$M58,IF($AF58&lt;&gt;"",IF(LEFT(INDEX(파견수련계획!$R$4:$R$203,$AF58),1)&lt;&gt;"⚠",INDEX(파견수련계획!$R$4:$R$203,$AF58),IF($H58="","",IF(RIGHT($H58,2)="병원",$H58,$H58&amp;"병원"))),IF($H58="","",IF(RIGHT($H58,2)="병원",$H58,$H58&amp;"병원")))))</f>
        <v/>
      </c>
      <c r="AF58" s="10">
        <f>IF(OR($B58="",TRIM($J58&amp;"")=""),"",IFERROR(MATCH(TRIM($J58&amp;"")&amp;"|파견중",파견수련계획!$Y$4:$Y$203,0),IFERROR(MATCH(TRIM($J58&amp;"")&amp;"|파견예정",파견수련계획!$Y$4:$Y$203,0),IFERROR(MATCH(TRIM($J58&amp;"")&amp;"|파견종료",파견수련계획!$Y$4:$Y$203,0),""))))</f>
        <v/>
      </c>
      <c r="AG58" s="10">
        <f>IF($B58="","",IF(AND(IF(OR($AC58="",인턴현황!$K$2=""),"",INDEX(인턴근무계획!$M$3:$R$202,$AC58,인턴현황!$K$2)&amp;"")&lt;&gt;"",LEFT(IF(OR($AC58="",인턴현황!$K$2=""),"",INDEX(인턴근무계획!$M$3:$R$202,$AC58,인턴현황!$K$2)&amp;""),1)&lt;&gt;"⚠"),LEFT(IF(OR($AC58="",인턴현황!$K$2=""),"",INDEX(인턴근무계획!$M$3:$R$202,$AC58,인턴현황!$K$2)&amp;""),FIND(" ",IF(OR($AC58="",인턴현황!$K$2=""),"",INDEX(인턴근무계획!$M$3:$R$202,$AC58,인턴현황!$K$2)&amp;""))-1),$AE58))</f>
        <v/>
      </c>
      <c r="AH58" s="17">
        <f>IF($B58="","",IF(TRIM($J58&amp;"")="",0,SUMPRODUCT((파견수련계획!$Q$4:$Q$203=TRIM($J58&amp;""))*(파견수련계획!$S$4:$S$203="서울병원")*파견수련계획!$W$4:$W$203))+IF($AG58="서울병원",MAX(0,DAY(EOMONTH(요약!$B$3,0))-N($X58)),0))</f>
        <v/>
      </c>
      <c r="AI58" s="17">
        <f>IF($B58="","",IF(TRIM($J58&amp;"")="",0,SUMPRODUCT((파견수련계획!$Q$4:$Q$203=TRIM($J58&amp;""))*(파견수련계획!$S$4:$S$203="구리병원")*파견수련계획!$W$4:$W$203))+IF($AG58="구리병원",MAX(0,DAY(EOMONTH(요약!$B$3,0))-N($X58)),0))</f>
        <v/>
      </c>
      <c r="AJ58" s="10">
        <f>IF(OR($B58="",TRIM($J58&amp;"")=""),"",IFERROR(MATCH(TRIM($J58&amp;"")&amp;"|월",파견수련계획!$Z$4:$Z$203,0),""))</f>
        <v/>
      </c>
      <c r="AK58" s="10">
        <f>IF(OR($B58="",TRIM($J58&amp;"")=""),"",IFERROR(MATCH(TRIM($J58&amp;"")&amp;"|다기관",파견수련계획!$AE$4:$AE$203,0),""))</f>
        <v/>
      </c>
      <c r="AL58" s="10">
        <f>IF($AK58="","","다기관 "&amp;TEXT(INDEX(파견수련계획!$AB$4:$AB$203,$AK58),"yyyy-mm-dd")&amp;"~"&amp;IF(ISNUMBER(INDEX(파견수련계획!$AC$4:$AC$203,$AK58)),TEXT(INDEX(파견수련계획!$AC$4:$AC$203,$AK58),"yyyy-mm-dd"),""))</f>
        <v/>
      </c>
    </row>
    <row r="59">
      <c r="A59" s="10">
        <f>IF(B59="","",ROW()-1)</f>
        <v/>
      </c>
      <c r="B59" s="18" t="n"/>
      <c r="C59" s="10">
        <f>IF($AB59="","",IF(INDEX(기본자료!$C$2:$C$501,$AB59)="","",INDEX(기본자료!$C$2:$C$501,$AB59)))</f>
        <v/>
      </c>
      <c r="D59" s="10">
        <f>IF($AB59="","",IF(INDEX(기본자료!$J$2:$J$501,$AB59)="","",INDEX(기본자료!$J$2:$J$501,$AB59)))</f>
        <v/>
      </c>
      <c r="E59" s="11">
        <f>IF($AB59="","",IF(INDEX(기본자료!$K$2:$K$501,$AB59)="","",IF(NOT(ISNUMBER(INDEX(기본자료!$K$2:$K$501,$AB59))),INDEX(기본자료!$K$2:$K$501,$AB59),IF(INDEX(기본자료!$K$2:$K$501,$AB59)&lt;1000000,INDEX(기본자료!$K$2:$K$501,$AB59),IF(AND(INDEX(기본자료!$K$2:$K$501,$AB59)&gt;=10000101,INT(MOD(INDEX(기본자료!$K$2:$K$501,$AB59),10000)/100)&gt;=1,INT(MOD(INDEX(기본자료!$K$2:$K$501,$AB59),10000)/100)&lt;=12,MOD(INDEX(기본자료!$K$2:$K$501,$AB59),100)&gt;=1,MOD(INDEX(기본자료!$K$2:$K$501,$AB59),100)&lt;=31),DATE(INT(INDEX(기본자료!$K$2:$K$501,$AB59)/10000),INT(MOD(INDEX(기본자료!$K$2:$K$501,$AB59),10000)/100),MOD(INDEX(기본자료!$K$2:$K$501,$AB59),100)),INDEX(기본자료!$K$2:$K$501,$AB59)&amp;"")))))</f>
        <v/>
      </c>
      <c r="F59" s="10">
        <f>IF($AB59="","",IF(INDEX(기본자료!$D$2:$D$501,$AB59)="","",INDEX(기본자료!$D$2:$D$501,$AB59)))</f>
        <v/>
      </c>
      <c r="G59" s="10">
        <f>IF($AB59="","",IF(INDEX(기본자료!$E$2:$E$501,$AB59)="","",INDEX(기본자료!$E$2:$E$501,$AB59)))</f>
        <v/>
      </c>
      <c r="H59" s="10">
        <f>IF($AB59="","",IF(INDEX(기본자료!$F$2:$F$501,$AB59)="","",INDEX(기본자료!$F$2:$F$501,$AB59)))</f>
        <v/>
      </c>
      <c r="I59" s="11">
        <f>IF($AB59="","",IF(INDEX(기본자료!$G$2:$G$501,$AB59)="","",IF(NOT(ISNUMBER(INDEX(기본자료!$G$2:$G$501,$AB59))),INDEX(기본자료!$G$2:$G$501,$AB59),IF(INDEX(기본자료!$G$2:$G$501,$AB59)&lt;1000000,INDEX(기본자료!$G$2:$G$501,$AB59),IF(AND(INDEX(기본자료!$G$2:$G$501,$AB59)&gt;=10000101,INT(MOD(INDEX(기본자료!$G$2:$G$501,$AB59),10000)/100)&gt;=1,INT(MOD(INDEX(기본자료!$G$2:$G$501,$AB59),10000)/100)&lt;=12,MOD(INDEX(기본자료!$G$2:$G$501,$AB59),100)&gt;=1,MOD(INDEX(기본자료!$G$2:$G$501,$AB59),100)&lt;=31),DATE(INT(INDEX(기본자료!$G$2:$G$501,$AB59)/10000),INT(MOD(INDEX(기본자료!$G$2:$G$501,$AB59),10000)/100),MOD(INDEX(기본자료!$G$2:$G$501,$AB59),100)),INDEX(기본자료!$G$2:$G$501,$AB59)&amp;"")))))</f>
        <v/>
      </c>
      <c r="J59" s="10">
        <f>IF($AB59="","",IF(INDEX(기본자료!$H$2:$H$501,$AB59)="","",INDEX(기본자료!$H$2:$H$501,$AB59)))</f>
        <v/>
      </c>
      <c r="K59" s="10">
        <f>IF($AB59="","",IF(INDEX(기본자료!$I$2:$I$501,$AB59)="","",INDEX(기본자료!$I$2:$I$501,$AB59)))</f>
        <v/>
      </c>
      <c r="L59" s="10">
        <f>IF($AB59="","",IF(INDEX(기본자료!$A$2:$A$501,$AB59)="","",INDEX(기본자료!$A$2:$A$501,$AB59)))</f>
        <v/>
      </c>
      <c r="M59" s="15" t="n"/>
      <c r="N59" s="10">
        <f>IF($B59="","",IF(AND($U59="파견중",$Q59&lt;&gt;""),$Q59,IF(AND($AD59&lt;&gt;"",LEFT($AD59,1)&lt;&gt;"⚠"),LEFT($AD59,FIND(" ",$AD59)-1),IF($H59="","",IF(RIGHT($H59,2)="병원",$H59,$H59&amp;"병원")))))</f>
        <v/>
      </c>
      <c r="O59" s="10">
        <f>IF($B59="","",IF(AND($U59="파견중",$Q59&lt;&gt;""),IF($R59&lt;&gt;"",$R59,"파견과 미입력"),IF(AND($AD59&lt;&gt;"",LEFT($AD59,1)&lt;&gt;"⚠"),MID($AD59,FIND(" ",$AD59)+1,60),IF($F59="","",IF($F59="인턴","수련교육부(인턴)",$F59)))))</f>
        <v/>
      </c>
      <c r="P59" s="10">
        <f>IF($B59="","",IF($AK59&lt;&gt;"",IF(AND(TODAY()&gt;=INDEX(파견수련계획!$AB$4:$AB$203,$AK59),OR(NOT(ISNUMBER(INDEX(파견수련계획!$AC$4:$AC$203,$AK59))),TODAY()&lt;=INDEX(파견수련계획!$AC$4:$AC$203,$AK59))),"다기관",IF($AF59="","",INDEX(파견수련계획!$T$4:$T$203,$AF59))),IF($AF59="","",INDEX(파견수련계획!$T$4:$T$203,$AF59))))</f>
        <v/>
      </c>
      <c r="Q59" s="10">
        <f>IF($AF59="","",INDEX(파견수련계획!$S$4:$S$203,$AF59))</f>
        <v/>
      </c>
      <c r="R59" s="10">
        <f>IF($AF59="","",INDEX(파견수련계획!$U$4:$U$203,$AF59))</f>
        <v/>
      </c>
      <c r="S59" s="11">
        <f>IF($AF59="","",IF(INDEX(파견수련계획!$H$4:$H$203,$AF59)="","",INDEX(파견수련계획!$H$4:$H$203,$AF59)))</f>
        <v/>
      </c>
      <c r="T59" s="11">
        <f>IF($AF59="","",IF(INDEX(파견수련계획!$I$4:$I$203,$AF59)="","",INDEX(파견수련계획!$I$4:$I$203,$AF59)))</f>
        <v/>
      </c>
      <c r="U59" s="10">
        <f>IF($AF59="","",INDEX(파견수련계획!$X$4:$X$203,$AF59))</f>
        <v/>
      </c>
      <c r="V59" s="17">
        <f>IF($AF59="","",INDEX(파견수련계획!$V$4:$V$203,$AF59))</f>
        <v/>
      </c>
      <c r="W59" s="17">
        <f>IF(AND($U59="파견중",$T59&lt;&gt;""),$T59-TODAY(),"")</f>
        <v/>
      </c>
      <c r="X59" s="17">
        <f>IF(OR($B59="",TRIM($J59&amp;"")=""),"",SUMPRODUCT((파견수련계획!$Q$4:$Q$203=TRIM($J59&amp;""))*파견수련계획!$W$4:$W$203))</f>
        <v/>
      </c>
      <c r="Y59" s="10">
        <f>IF($B59="","",IF($AG59="","",IF(IF(TRIM($J59&amp;"")="",0,SUMPRODUCT((파견수련계획!$Q$4:$Q$203=TRIM($J59&amp;""))*파견수련계획!$AD$4:$AD$203))&gt;0,$AE59,IF(N($X59)&lt;=0,$AG59,IF($AH59+$AI59=DAY(EOMONTH(요약!$B$3,0)),IF(AND($AH59&gt;=요약!$E$3,$AI59&lt;요약!$E$3),"서울병원",IF(AND($AI59&gt;=요약!$E$3,$AH59&lt;요약!$E$3),"구리병원","⚠15일 판정불가(서울 "&amp;$AH59&amp;"일/구리 "&amp;$AI59&amp;"일)")),IF($AJ59="",$AE59,IF(INDEX(파견수련계획!$T$4:$T$203,$AJ59)="통합수련",INDEX(파견수련계획!$S$4:$S$203,$AJ59),$AE59)))))))</f>
        <v/>
      </c>
      <c r="Z59" s="19">
        <f>IF($B59="","",IF($AB59="","기본자료에 없는 사번",IF(COUNTIF($B$2:$B$201,$B59)&gt;1,"중복 사번",IF($AE59="","소속(입사장소) 입력",IF(IF(TRIM($J59&amp;"")="",0,SUMPRODUCT((파견수련계획!$Q$4:$Q$203=TRIM($J59&amp;""))*(파견수련계획!$AA$4:$AA$203&lt;&gt;"")))&gt;0,"파견수련계획 입력오류 확인",IF(LEFT($Y59,1)="⚠","서울·구리 15일 판정 불가(양쪽 모두 이상/미만)",IF(IF($AC59="",0,N(INDEX(인턴근무계획!$T$3:$T$202,$AC59)))&gt;0,"인턴계획 입력오류 확인",IF(AND($AC59&lt;&gt;"",$U59&lt;&gt;"파견중",$N59&lt;&gt;$AE59),"인턴 타지역 근무: 파견 여부 확인","정상"))))))))</f>
        <v/>
      </c>
      <c r="AA59" s="5" t="n"/>
      <c r="AB59" s="10">
        <f>IF($B59="","",IFERROR(MATCH($B59,기본자료!$B$2:$B$501,0),IFERROR(MATCH($B59&amp;"",기본자료!$B$2:$B$501,0),IFERROR(MATCH(VALUE($B59),기본자료!$B$2:$B$501,0),""))))</f>
        <v/>
      </c>
      <c r="AC59" s="10">
        <f>IF($B59="","",IFERROR(MATCH($B59,인턴근무계획!$D$3:$D$202,0),IFERROR(MATCH($B59&amp;"",인턴근무계획!$D$3:$D$202,0),IFERROR(MATCH(VALUE($B59),인턴근무계획!$D$3:$D$202,0),""))))</f>
        <v/>
      </c>
      <c r="AD59" s="10">
        <f>IF(OR($AC59="",인턴현황!$G$3=""),"",INDEX(인턴근무계획!$M$3:$R$202,$AC59,인턴현황!$G$3)&amp;"")</f>
        <v/>
      </c>
      <c r="AE59" s="10">
        <f>IF($B59="","",IF($M59&lt;&gt;"",$M59,IF($AF59&lt;&gt;"",IF(LEFT(INDEX(파견수련계획!$R$4:$R$203,$AF59),1)&lt;&gt;"⚠",INDEX(파견수련계획!$R$4:$R$203,$AF59),IF($H59="","",IF(RIGHT($H59,2)="병원",$H59,$H59&amp;"병원"))),IF($H59="","",IF(RIGHT($H59,2)="병원",$H59,$H59&amp;"병원")))))</f>
        <v/>
      </c>
      <c r="AF59" s="10">
        <f>IF(OR($B59="",TRIM($J59&amp;"")=""),"",IFERROR(MATCH(TRIM($J59&amp;"")&amp;"|파견중",파견수련계획!$Y$4:$Y$203,0),IFERROR(MATCH(TRIM($J59&amp;"")&amp;"|파견예정",파견수련계획!$Y$4:$Y$203,0),IFERROR(MATCH(TRIM($J59&amp;"")&amp;"|파견종료",파견수련계획!$Y$4:$Y$203,0),""))))</f>
        <v/>
      </c>
      <c r="AG59" s="10">
        <f>IF($B59="","",IF(AND(IF(OR($AC59="",인턴현황!$K$2=""),"",INDEX(인턴근무계획!$M$3:$R$202,$AC59,인턴현황!$K$2)&amp;"")&lt;&gt;"",LEFT(IF(OR($AC59="",인턴현황!$K$2=""),"",INDEX(인턴근무계획!$M$3:$R$202,$AC59,인턴현황!$K$2)&amp;""),1)&lt;&gt;"⚠"),LEFT(IF(OR($AC59="",인턴현황!$K$2=""),"",INDEX(인턴근무계획!$M$3:$R$202,$AC59,인턴현황!$K$2)&amp;""),FIND(" ",IF(OR($AC59="",인턴현황!$K$2=""),"",INDEX(인턴근무계획!$M$3:$R$202,$AC59,인턴현황!$K$2)&amp;""))-1),$AE59))</f>
        <v/>
      </c>
      <c r="AH59" s="17">
        <f>IF($B59="","",IF(TRIM($J59&amp;"")="",0,SUMPRODUCT((파견수련계획!$Q$4:$Q$203=TRIM($J59&amp;""))*(파견수련계획!$S$4:$S$203="서울병원")*파견수련계획!$W$4:$W$203))+IF($AG59="서울병원",MAX(0,DAY(EOMONTH(요약!$B$3,0))-N($X59)),0))</f>
        <v/>
      </c>
      <c r="AI59" s="17">
        <f>IF($B59="","",IF(TRIM($J59&amp;"")="",0,SUMPRODUCT((파견수련계획!$Q$4:$Q$203=TRIM($J59&amp;""))*(파견수련계획!$S$4:$S$203="구리병원")*파견수련계획!$W$4:$W$203))+IF($AG59="구리병원",MAX(0,DAY(EOMONTH(요약!$B$3,0))-N($X59)),0))</f>
        <v/>
      </c>
      <c r="AJ59" s="10">
        <f>IF(OR($B59="",TRIM($J59&amp;"")=""),"",IFERROR(MATCH(TRIM($J59&amp;"")&amp;"|월",파견수련계획!$Z$4:$Z$203,0),""))</f>
        <v/>
      </c>
      <c r="AK59" s="10">
        <f>IF(OR($B59="",TRIM($J59&amp;"")=""),"",IFERROR(MATCH(TRIM($J59&amp;"")&amp;"|다기관",파견수련계획!$AE$4:$AE$203,0),""))</f>
        <v/>
      </c>
      <c r="AL59" s="10">
        <f>IF($AK59="","","다기관 "&amp;TEXT(INDEX(파견수련계획!$AB$4:$AB$203,$AK59),"yyyy-mm-dd")&amp;"~"&amp;IF(ISNUMBER(INDEX(파견수련계획!$AC$4:$AC$203,$AK59)),TEXT(INDEX(파견수련계획!$AC$4:$AC$203,$AK59),"yyyy-mm-dd"),""))</f>
        <v/>
      </c>
    </row>
    <row r="60">
      <c r="A60" s="10">
        <f>IF(B60="","",ROW()-1)</f>
        <v/>
      </c>
      <c r="B60" s="18" t="n"/>
      <c r="C60" s="10">
        <f>IF($AB60="","",IF(INDEX(기본자료!$C$2:$C$501,$AB60)="","",INDEX(기본자료!$C$2:$C$501,$AB60)))</f>
        <v/>
      </c>
      <c r="D60" s="10">
        <f>IF($AB60="","",IF(INDEX(기본자료!$J$2:$J$501,$AB60)="","",INDEX(기본자료!$J$2:$J$501,$AB60)))</f>
        <v/>
      </c>
      <c r="E60" s="11">
        <f>IF($AB60="","",IF(INDEX(기본자료!$K$2:$K$501,$AB60)="","",IF(NOT(ISNUMBER(INDEX(기본자료!$K$2:$K$501,$AB60))),INDEX(기본자료!$K$2:$K$501,$AB60),IF(INDEX(기본자료!$K$2:$K$501,$AB60)&lt;1000000,INDEX(기본자료!$K$2:$K$501,$AB60),IF(AND(INDEX(기본자료!$K$2:$K$501,$AB60)&gt;=10000101,INT(MOD(INDEX(기본자료!$K$2:$K$501,$AB60),10000)/100)&gt;=1,INT(MOD(INDEX(기본자료!$K$2:$K$501,$AB60),10000)/100)&lt;=12,MOD(INDEX(기본자료!$K$2:$K$501,$AB60),100)&gt;=1,MOD(INDEX(기본자료!$K$2:$K$501,$AB60),100)&lt;=31),DATE(INT(INDEX(기본자료!$K$2:$K$501,$AB60)/10000),INT(MOD(INDEX(기본자료!$K$2:$K$501,$AB60),10000)/100),MOD(INDEX(기본자료!$K$2:$K$501,$AB60),100)),INDEX(기본자료!$K$2:$K$501,$AB60)&amp;"")))))</f>
        <v/>
      </c>
      <c r="F60" s="10">
        <f>IF($AB60="","",IF(INDEX(기본자료!$D$2:$D$501,$AB60)="","",INDEX(기본자료!$D$2:$D$501,$AB60)))</f>
        <v/>
      </c>
      <c r="G60" s="10">
        <f>IF($AB60="","",IF(INDEX(기본자료!$E$2:$E$501,$AB60)="","",INDEX(기본자료!$E$2:$E$501,$AB60)))</f>
        <v/>
      </c>
      <c r="H60" s="10">
        <f>IF($AB60="","",IF(INDEX(기본자료!$F$2:$F$501,$AB60)="","",INDEX(기본자료!$F$2:$F$501,$AB60)))</f>
        <v/>
      </c>
      <c r="I60" s="11">
        <f>IF($AB60="","",IF(INDEX(기본자료!$G$2:$G$501,$AB60)="","",IF(NOT(ISNUMBER(INDEX(기본자료!$G$2:$G$501,$AB60))),INDEX(기본자료!$G$2:$G$501,$AB60),IF(INDEX(기본자료!$G$2:$G$501,$AB60)&lt;1000000,INDEX(기본자료!$G$2:$G$501,$AB60),IF(AND(INDEX(기본자료!$G$2:$G$501,$AB60)&gt;=10000101,INT(MOD(INDEX(기본자료!$G$2:$G$501,$AB60),10000)/100)&gt;=1,INT(MOD(INDEX(기본자료!$G$2:$G$501,$AB60),10000)/100)&lt;=12,MOD(INDEX(기본자료!$G$2:$G$501,$AB60),100)&gt;=1,MOD(INDEX(기본자료!$G$2:$G$501,$AB60),100)&lt;=31),DATE(INT(INDEX(기본자료!$G$2:$G$501,$AB60)/10000),INT(MOD(INDEX(기본자료!$G$2:$G$501,$AB60),10000)/100),MOD(INDEX(기본자료!$G$2:$G$501,$AB60),100)),INDEX(기본자료!$G$2:$G$501,$AB60)&amp;"")))))</f>
        <v/>
      </c>
      <c r="J60" s="10">
        <f>IF($AB60="","",IF(INDEX(기본자료!$H$2:$H$501,$AB60)="","",INDEX(기본자료!$H$2:$H$501,$AB60)))</f>
        <v/>
      </c>
      <c r="K60" s="10">
        <f>IF($AB60="","",IF(INDEX(기본자료!$I$2:$I$501,$AB60)="","",INDEX(기본자료!$I$2:$I$501,$AB60)))</f>
        <v/>
      </c>
      <c r="L60" s="10">
        <f>IF($AB60="","",IF(INDEX(기본자료!$A$2:$A$501,$AB60)="","",INDEX(기본자료!$A$2:$A$501,$AB60)))</f>
        <v/>
      </c>
      <c r="M60" s="15" t="n"/>
      <c r="N60" s="10">
        <f>IF($B60="","",IF(AND($U60="파견중",$Q60&lt;&gt;""),$Q60,IF(AND($AD60&lt;&gt;"",LEFT($AD60,1)&lt;&gt;"⚠"),LEFT($AD60,FIND(" ",$AD60)-1),IF($H60="","",IF(RIGHT($H60,2)="병원",$H60,$H60&amp;"병원")))))</f>
        <v/>
      </c>
      <c r="O60" s="10">
        <f>IF($B60="","",IF(AND($U60="파견중",$Q60&lt;&gt;""),IF($R60&lt;&gt;"",$R60,"파견과 미입력"),IF(AND($AD60&lt;&gt;"",LEFT($AD60,1)&lt;&gt;"⚠"),MID($AD60,FIND(" ",$AD60)+1,60),IF($F60="","",IF($F60="인턴","수련교육부(인턴)",$F60)))))</f>
        <v/>
      </c>
      <c r="P60" s="10">
        <f>IF($B60="","",IF($AK60&lt;&gt;"",IF(AND(TODAY()&gt;=INDEX(파견수련계획!$AB$4:$AB$203,$AK60),OR(NOT(ISNUMBER(INDEX(파견수련계획!$AC$4:$AC$203,$AK60))),TODAY()&lt;=INDEX(파견수련계획!$AC$4:$AC$203,$AK60))),"다기관",IF($AF60="","",INDEX(파견수련계획!$T$4:$T$203,$AF60))),IF($AF60="","",INDEX(파견수련계획!$T$4:$T$203,$AF60))))</f>
        <v/>
      </c>
      <c r="Q60" s="10">
        <f>IF($AF60="","",INDEX(파견수련계획!$S$4:$S$203,$AF60))</f>
        <v/>
      </c>
      <c r="R60" s="10">
        <f>IF($AF60="","",INDEX(파견수련계획!$U$4:$U$203,$AF60))</f>
        <v/>
      </c>
      <c r="S60" s="11">
        <f>IF($AF60="","",IF(INDEX(파견수련계획!$H$4:$H$203,$AF60)="","",INDEX(파견수련계획!$H$4:$H$203,$AF60)))</f>
        <v/>
      </c>
      <c r="T60" s="11">
        <f>IF($AF60="","",IF(INDEX(파견수련계획!$I$4:$I$203,$AF60)="","",INDEX(파견수련계획!$I$4:$I$203,$AF60)))</f>
        <v/>
      </c>
      <c r="U60" s="10">
        <f>IF($AF60="","",INDEX(파견수련계획!$X$4:$X$203,$AF60))</f>
        <v/>
      </c>
      <c r="V60" s="17">
        <f>IF($AF60="","",INDEX(파견수련계획!$V$4:$V$203,$AF60))</f>
        <v/>
      </c>
      <c r="W60" s="17">
        <f>IF(AND($U60="파견중",$T60&lt;&gt;""),$T60-TODAY(),"")</f>
        <v/>
      </c>
      <c r="X60" s="17">
        <f>IF(OR($B60="",TRIM($J60&amp;"")=""),"",SUMPRODUCT((파견수련계획!$Q$4:$Q$203=TRIM($J60&amp;""))*파견수련계획!$W$4:$W$203))</f>
        <v/>
      </c>
      <c r="Y60" s="10">
        <f>IF($B60="","",IF($AG60="","",IF(IF(TRIM($J60&amp;"")="",0,SUMPRODUCT((파견수련계획!$Q$4:$Q$203=TRIM($J60&amp;""))*파견수련계획!$AD$4:$AD$203))&gt;0,$AE60,IF(N($X60)&lt;=0,$AG60,IF($AH60+$AI60=DAY(EOMONTH(요약!$B$3,0)),IF(AND($AH60&gt;=요약!$E$3,$AI60&lt;요약!$E$3),"서울병원",IF(AND($AI60&gt;=요약!$E$3,$AH60&lt;요약!$E$3),"구리병원","⚠15일 판정불가(서울 "&amp;$AH60&amp;"일/구리 "&amp;$AI60&amp;"일)")),IF($AJ60="",$AE60,IF(INDEX(파견수련계획!$T$4:$T$203,$AJ60)="통합수련",INDEX(파견수련계획!$S$4:$S$203,$AJ60),$AE60)))))))</f>
        <v/>
      </c>
      <c r="Z60" s="19">
        <f>IF($B60="","",IF($AB60="","기본자료에 없는 사번",IF(COUNTIF($B$2:$B$201,$B60)&gt;1,"중복 사번",IF($AE60="","소속(입사장소) 입력",IF(IF(TRIM($J60&amp;"")="",0,SUMPRODUCT((파견수련계획!$Q$4:$Q$203=TRIM($J60&amp;""))*(파견수련계획!$AA$4:$AA$203&lt;&gt;"")))&gt;0,"파견수련계획 입력오류 확인",IF(LEFT($Y60,1)="⚠","서울·구리 15일 판정 불가(양쪽 모두 이상/미만)",IF(IF($AC60="",0,N(INDEX(인턴근무계획!$T$3:$T$202,$AC60)))&gt;0,"인턴계획 입력오류 확인",IF(AND($AC60&lt;&gt;"",$U60&lt;&gt;"파견중",$N60&lt;&gt;$AE60),"인턴 타지역 근무: 파견 여부 확인","정상"))))))))</f>
        <v/>
      </c>
      <c r="AA60" s="5" t="n"/>
      <c r="AB60" s="10">
        <f>IF($B60="","",IFERROR(MATCH($B60,기본자료!$B$2:$B$501,0),IFERROR(MATCH($B60&amp;"",기본자료!$B$2:$B$501,0),IFERROR(MATCH(VALUE($B60),기본자료!$B$2:$B$501,0),""))))</f>
        <v/>
      </c>
      <c r="AC60" s="10">
        <f>IF($B60="","",IFERROR(MATCH($B60,인턴근무계획!$D$3:$D$202,0),IFERROR(MATCH($B60&amp;"",인턴근무계획!$D$3:$D$202,0),IFERROR(MATCH(VALUE($B60),인턴근무계획!$D$3:$D$202,0),""))))</f>
        <v/>
      </c>
      <c r="AD60" s="10">
        <f>IF(OR($AC60="",인턴현황!$G$3=""),"",INDEX(인턴근무계획!$M$3:$R$202,$AC60,인턴현황!$G$3)&amp;"")</f>
        <v/>
      </c>
      <c r="AE60" s="10">
        <f>IF($B60="","",IF($M60&lt;&gt;"",$M60,IF($AF60&lt;&gt;"",IF(LEFT(INDEX(파견수련계획!$R$4:$R$203,$AF60),1)&lt;&gt;"⚠",INDEX(파견수련계획!$R$4:$R$203,$AF60),IF($H60="","",IF(RIGHT($H60,2)="병원",$H60,$H60&amp;"병원"))),IF($H60="","",IF(RIGHT($H60,2)="병원",$H60,$H60&amp;"병원")))))</f>
        <v/>
      </c>
      <c r="AF60" s="10">
        <f>IF(OR($B60="",TRIM($J60&amp;"")=""),"",IFERROR(MATCH(TRIM($J60&amp;"")&amp;"|파견중",파견수련계획!$Y$4:$Y$203,0),IFERROR(MATCH(TRIM($J60&amp;"")&amp;"|파견예정",파견수련계획!$Y$4:$Y$203,0),IFERROR(MATCH(TRIM($J60&amp;"")&amp;"|파견종료",파견수련계획!$Y$4:$Y$203,0),""))))</f>
        <v/>
      </c>
      <c r="AG60" s="10">
        <f>IF($B60="","",IF(AND(IF(OR($AC60="",인턴현황!$K$2=""),"",INDEX(인턴근무계획!$M$3:$R$202,$AC60,인턴현황!$K$2)&amp;"")&lt;&gt;"",LEFT(IF(OR($AC60="",인턴현황!$K$2=""),"",INDEX(인턴근무계획!$M$3:$R$202,$AC60,인턴현황!$K$2)&amp;""),1)&lt;&gt;"⚠"),LEFT(IF(OR($AC60="",인턴현황!$K$2=""),"",INDEX(인턴근무계획!$M$3:$R$202,$AC60,인턴현황!$K$2)&amp;""),FIND(" ",IF(OR($AC60="",인턴현황!$K$2=""),"",INDEX(인턴근무계획!$M$3:$R$202,$AC60,인턴현황!$K$2)&amp;""))-1),$AE60))</f>
        <v/>
      </c>
      <c r="AH60" s="17">
        <f>IF($B60="","",IF(TRIM($J60&amp;"")="",0,SUMPRODUCT((파견수련계획!$Q$4:$Q$203=TRIM($J60&amp;""))*(파견수련계획!$S$4:$S$203="서울병원")*파견수련계획!$W$4:$W$203))+IF($AG60="서울병원",MAX(0,DAY(EOMONTH(요약!$B$3,0))-N($X60)),0))</f>
        <v/>
      </c>
      <c r="AI60" s="17">
        <f>IF($B60="","",IF(TRIM($J60&amp;"")="",0,SUMPRODUCT((파견수련계획!$Q$4:$Q$203=TRIM($J60&amp;""))*(파견수련계획!$S$4:$S$203="구리병원")*파견수련계획!$W$4:$W$203))+IF($AG60="구리병원",MAX(0,DAY(EOMONTH(요약!$B$3,0))-N($X60)),0))</f>
        <v/>
      </c>
      <c r="AJ60" s="10">
        <f>IF(OR($B60="",TRIM($J60&amp;"")=""),"",IFERROR(MATCH(TRIM($J60&amp;"")&amp;"|월",파견수련계획!$Z$4:$Z$203,0),""))</f>
        <v/>
      </c>
      <c r="AK60" s="10">
        <f>IF(OR($B60="",TRIM($J60&amp;"")=""),"",IFERROR(MATCH(TRIM($J60&amp;"")&amp;"|다기관",파견수련계획!$AE$4:$AE$203,0),""))</f>
        <v/>
      </c>
      <c r="AL60" s="10">
        <f>IF($AK60="","","다기관 "&amp;TEXT(INDEX(파견수련계획!$AB$4:$AB$203,$AK60),"yyyy-mm-dd")&amp;"~"&amp;IF(ISNUMBER(INDEX(파견수련계획!$AC$4:$AC$203,$AK60)),TEXT(INDEX(파견수련계획!$AC$4:$AC$203,$AK60),"yyyy-mm-dd"),""))</f>
        <v/>
      </c>
    </row>
    <row r="61">
      <c r="A61" s="10">
        <f>IF(B61="","",ROW()-1)</f>
        <v/>
      </c>
      <c r="B61" s="18" t="n"/>
      <c r="C61" s="10">
        <f>IF($AB61="","",IF(INDEX(기본자료!$C$2:$C$501,$AB61)="","",INDEX(기본자료!$C$2:$C$501,$AB61)))</f>
        <v/>
      </c>
      <c r="D61" s="10">
        <f>IF($AB61="","",IF(INDEX(기본자료!$J$2:$J$501,$AB61)="","",INDEX(기본자료!$J$2:$J$501,$AB61)))</f>
        <v/>
      </c>
      <c r="E61" s="11">
        <f>IF($AB61="","",IF(INDEX(기본자료!$K$2:$K$501,$AB61)="","",IF(NOT(ISNUMBER(INDEX(기본자료!$K$2:$K$501,$AB61))),INDEX(기본자료!$K$2:$K$501,$AB61),IF(INDEX(기본자료!$K$2:$K$501,$AB61)&lt;1000000,INDEX(기본자료!$K$2:$K$501,$AB61),IF(AND(INDEX(기본자료!$K$2:$K$501,$AB61)&gt;=10000101,INT(MOD(INDEX(기본자료!$K$2:$K$501,$AB61),10000)/100)&gt;=1,INT(MOD(INDEX(기본자료!$K$2:$K$501,$AB61),10000)/100)&lt;=12,MOD(INDEX(기본자료!$K$2:$K$501,$AB61),100)&gt;=1,MOD(INDEX(기본자료!$K$2:$K$501,$AB61),100)&lt;=31),DATE(INT(INDEX(기본자료!$K$2:$K$501,$AB61)/10000),INT(MOD(INDEX(기본자료!$K$2:$K$501,$AB61),10000)/100),MOD(INDEX(기본자료!$K$2:$K$501,$AB61),100)),INDEX(기본자료!$K$2:$K$501,$AB61)&amp;"")))))</f>
        <v/>
      </c>
      <c r="F61" s="10">
        <f>IF($AB61="","",IF(INDEX(기본자료!$D$2:$D$501,$AB61)="","",INDEX(기본자료!$D$2:$D$501,$AB61)))</f>
        <v/>
      </c>
      <c r="G61" s="10">
        <f>IF($AB61="","",IF(INDEX(기본자료!$E$2:$E$501,$AB61)="","",INDEX(기본자료!$E$2:$E$501,$AB61)))</f>
        <v/>
      </c>
      <c r="H61" s="10">
        <f>IF($AB61="","",IF(INDEX(기본자료!$F$2:$F$501,$AB61)="","",INDEX(기본자료!$F$2:$F$501,$AB61)))</f>
        <v/>
      </c>
      <c r="I61" s="11">
        <f>IF($AB61="","",IF(INDEX(기본자료!$G$2:$G$501,$AB61)="","",IF(NOT(ISNUMBER(INDEX(기본자료!$G$2:$G$501,$AB61))),INDEX(기본자료!$G$2:$G$501,$AB61),IF(INDEX(기본자료!$G$2:$G$501,$AB61)&lt;1000000,INDEX(기본자료!$G$2:$G$501,$AB61),IF(AND(INDEX(기본자료!$G$2:$G$501,$AB61)&gt;=10000101,INT(MOD(INDEX(기본자료!$G$2:$G$501,$AB61),10000)/100)&gt;=1,INT(MOD(INDEX(기본자료!$G$2:$G$501,$AB61),10000)/100)&lt;=12,MOD(INDEX(기본자료!$G$2:$G$501,$AB61),100)&gt;=1,MOD(INDEX(기본자료!$G$2:$G$501,$AB61),100)&lt;=31),DATE(INT(INDEX(기본자료!$G$2:$G$501,$AB61)/10000),INT(MOD(INDEX(기본자료!$G$2:$G$501,$AB61),10000)/100),MOD(INDEX(기본자료!$G$2:$G$501,$AB61),100)),INDEX(기본자료!$G$2:$G$501,$AB61)&amp;"")))))</f>
        <v/>
      </c>
      <c r="J61" s="10">
        <f>IF($AB61="","",IF(INDEX(기본자료!$H$2:$H$501,$AB61)="","",INDEX(기본자료!$H$2:$H$501,$AB61)))</f>
        <v/>
      </c>
      <c r="K61" s="10">
        <f>IF($AB61="","",IF(INDEX(기본자료!$I$2:$I$501,$AB61)="","",INDEX(기본자료!$I$2:$I$501,$AB61)))</f>
        <v/>
      </c>
      <c r="L61" s="10">
        <f>IF($AB61="","",IF(INDEX(기본자료!$A$2:$A$501,$AB61)="","",INDEX(기본자료!$A$2:$A$501,$AB61)))</f>
        <v/>
      </c>
      <c r="M61" s="15" t="n"/>
      <c r="N61" s="10">
        <f>IF($B61="","",IF(AND($U61="파견중",$Q61&lt;&gt;""),$Q61,IF(AND($AD61&lt;&gt;"",LEFT($AD61,1)&lt;&gt;"⚠"),LEFT($AD61,FIND(" ",$AD61)-1),IF($H61="","",IF(RIGHT($H61,2)="병원",$H61,$H61&amp;"병원")))))</f>
        <v/>
      </c>
      <c r="O61" s="10">
        <f>IF($B61="","",IF(AND($U61="파견중",$Q61&lt;&gt;""),IF($R61&lt;&gt;"",$R61,"파견과 미입력"),IF(AND($AD61&lt;&gt;"",LEFT($AD61,1)&lt;&gt;"⚠"),MID($AD61,FIND(" ",$AD61)+1,60),IF($F61="","",IF($F61="인턴","수련교육부(인턴)",$F61)))))</f>
        <v/>
      </c>
      <c r="P61" s="10">
        <f>IF($B61="","",IF($AK61&lt;&gt;"",IF(AND(TODAY()&gt;=INDEX(파견수련계획!$AB$4:$AB$203,$AK61),OR(NOT(ISNUMBER(INDEX(파견수련계획!$AC$4:$AC$203,$AK61))),TODAY()&lt;=INDEX(파견수련계획!$AC$4:$AC$203,$AK61))),"다기관",IF($AF61="","",INDEX(파견수련계획!$T$4:$T$203,$AF61))),IF($AF61="","",INDEX(파견수련계획!$T$4:$T$203,$AF61))))</f>
        <v/>
      </c>
      <c r="Q61" s="10">
        <f>IF($AF61="","",INDEX(파견수련계획!$S$4:$S$203,$AF61))</f>
        <v/>
      </c>
      <c r="R61" s="10">
        <f>IF($AF61="","",INDEX(파견수련계획!$U$4:$U$203,$AF61))</f>
        <v/>
      </c>
      <c r="S61" s="11">
        <f>IF($AF61="","",IF(INDEX(파견수련계획!$H$4:$H$203,$AF61)="","",INDEX(파견수련계획!$H$4:$H$203,$AF61)))</f>
        <v/>
      </c>
      <c r="T61" s="11">
        <f>IF($AF61="","",IF(INDEX(파견수련계획!$I$4:$I$203,$AF61)="","",INDEX(파견수련계획!$I$4:$I$203,$AF61)))</f>
        <v/>
      </c>
      <c r="U61" s="10">
        <f>IF($AF61="","",INDEX(파견수련계획!$X$4:$X$203,$AF61))</f>
        <v/>
      </c>
      <c r="V61" s="17">
        <f>IF($AF61="","",INDEX(파견수련계획!$V$4:$V$203,$AF61))</f>
        <v/>
      </c>
      <c r="W61" s="17">
        <f>IF(AND($U61="파견중",$T61&lt;&gt;""),$T61-TODAY(),"")</f>
        <v/>
      </c>
      <c r="X61" s="17">
        <f>IF(OR($B61="",TRIM($J61&amp;"")=""),"",SUMPRODUCT((파견수련계획!$Q$4:$Q$203=TRIM($J61&amp;""))*파견수련계획!$W$4:$W$203))</f>
        <v/>
      </c>
      <c r="Y61" s="10">
        <f>IF($B61="","",IF($AG61="","",IF(IF(TRIM($J61&amp;"")="",0,SUMPRODUCT((파견수련계획!$Q$4:$Q$203=TRIM($J61&amp;""))*파견수련계획!$AD$4:$AD$203))&gt;0,$AE61,IF(N($X61)&lt;=0,$AG61,IF($AH61+$AI61=DAY(EOMONTH(요약!$B$3,0)),IF(AND($AH61&gt;=요약!$E$3,$AI61&lt;요약!$E$3),"서울병원",IF(AND($AI61&gt;=요약!$E$3,$AH61&lt;요약!$E$3),"구리병원","⚠15일 판정불가(서울 "&amp;$AH61&amp;"일/구리 "&amp;$AI61&amp;"일)")),IF($AJ61="",$AE61,IF(INDEX(파견수련계획!$T$4:$T$203,$AJ61)="통합수련",INDEX(파견수련계획!$S$4:$S$203,$AJ61),$AE61)))))))</f>
        <v/>
      </c>
      <c r="Z61" s="19">
        <f>IF($B61="","",IF($AB61="","기본자료에 없는 사번",IF(COUNTIF($B$2:$B$201,$B61)&gt;1,"중복 사번",IF($AE61="","소속(입사장소) 입력",IF(IF(TRIM($J61&amp;"")="",0,SUMPRODUCT((파견수련계획!$Q$4:$Q$203=TRIM($J61&amp;""))*(파견수련계획!$AA$4:$AA$203&lt;&gt;"")))&gt;0,"파견수련계획 입력오류 확인",IF(LEFT($Y61,1)="⚠","서울·구리 15일 판정 불가(양쪽 모두 이상/미만)",IF(IF($AC61="",0,N(INDEX(인턴근무계획!$T$3:$T$202,$AC61)))&gt;0,"인턴계획 입력오류 확인",IF(AND($AC61&lt;&gt;"",$U61&lt;&gt;"파견중",$N61&lt;&gt;$AE61),"인턴 타지역 근무: 파견 여부 확인","정상"))))))))</f>
        <v/>
      </c>
      <c r="AA61" s="5" t="n"/>
      <c r="AB61" s="10">
        <f>IF($B61="","",IFERROR(MATCH($B61,기본자료!$B$2:$B$501,0),IFERROR(MATCH($B61&amp;"",기본자료!$B$2:$B$501,0),IFERROR(MATCH(VALUE($B61),기본자료!$B$2:$B$501,0),""))))</f>
        <v/>
      </c>
      <c r="AC61" s="10">
        <f>IF($B61="","",IFERROR(MATCH($B61,인턴근무계획!$D$3:$D$202,0),IFERROR(MATCH($B61&amp;"",인턴근무계획!$D$3:$D$202,0),IFERROR(MATCH(VALUE($B61),인턴근무계획!$D$3:$D$202,0),""))))</f>
        <v/>
      </c>
      <c r="AD61" s="10">
        <f>IF(OR($AC61="",인턴현황!$G$3=""),"",INDEX(인턴근무계획!$M$3:$R$202,$AC61,인턴현황!$G$3)&amp;"")</f>
        <v/>
      </c>
      <c r="AE61" s="10">
        <f>IF($B61="","",IF($M61&lt;&gt;"",$M61,IF($AF61&lt;&gt;"",IF(LEFT(INDEX(파견수련계획!$R$4:$R$203,$AF61),1)&lt;&gt;"⚠",INDEX(파견수련계획!$R$4:$R$203,$AF61),IF($H61="","",IF(RIGHT($H61,2)="병원",$H61,$H61&amp;"병원"))),IF($H61="","",IF(RIGHT($H61,2)="병원",$H61,$H61&amp;"병원")))))</f>
        <v/>
      </c>
      <c r="AF61" s="10">
        <f>IF(OR($B61="",TRIM($J61&amp;"")=""),"",IFERROR(MATCH(TRIM($J61&amp;"")&amp;"|파견중",파견수련계획!$Y$4:$Y$203,0),IFERROR(MATCH(TRIM($J61&amp;"")&amp;"|파견예정",파견수련계획!$Y$4:$Y$203,0),IFERROR(MATCH(TRIM($J61&amp;"")&amp;"|파견종료",파견수련계획!$Y$4:$Y$203,0),""))))</f>
        <v/>
      </c>
      <c r="AG61" s="10">
        <f>IF($B61="","",IF(AND(IF(OR($AC61="",인턴현황!$K$2=""),"",INDEX(인턴근무계획!$M$3:$R$202,$AC61,인턴현황!$K$2)&amp;"")&lt;&gt;"",LEFT(IF(OR($AC61="",인턴현황!$K$2=""),"",INDEX(인턴근무계획!$M$3:$R$202,$AC61,인턴현황!$K$2)&amp;""),1)&lt;&gt;"⚠"),LEFT(IF(OR($AC61="",인턴현황!$K$2=""),"",INDEX(인턴근무계획!$M$3:$R$202,$AC61,인턴현황!$K$2)&amp;""),FIND(" ",IF(OR($AC61="",인턴현황!$K$2=""),"",INDEX(인턴근무계획!$M$3:$R$202,$AC61,인턴현황!$K$2)&amp;""))-1),$AE61))</f>
        <v/>
      </c>
      <c r="AH61" s="17">
        <f>IF($B61="","",IF(TRIM($J61&amp;"")="",0,SUMPRODUCT((파견수련계획!$Q$4:$Q$203=TRIM($J61&amp;""))*(파견수련계획!$S$4:$S$203="서울병원")*파견수련계획!$W$4:$W$203))+IF($AG61="서울병원",MAX(0,DAY(EOMONTH(요약!$B$3,0))-N($X61)),0))</f>
        <v/>
      </c>
      <c r="AI61" s="17">
        <f>IF($B61="","",IF(TRIM($J61&amp;"")="",0,SUMPRODUCT((파견수련계획!$Q$4:$Q$203=TRIM($J61&amp;""))*(파견수련계획!$S$4:$S$203="구리병원")*파견수련계획!$W$4:$W$203))+IF($AG61="구리병원",MAX(0,DAY(EOMONTH(요약!$B$3,0))-N($X61)),0))</f>
        <v/>
      </c>
      <c r="AJ61" s="10">
        <f>IF(OR($B61="",TRIM($J61&amp;"")=""),"",IFERROR(MATCH(TRIM($J61&amp;"")&amp;"|월",파견수련계획!$Z$4:$Z$203,0),""))</f>
        <v/>
      </c>
      <c r="AK61" s="10">
        <f>IF(OR($B61="",TRIM($J61&amp;"")=""),"",IFERROR(MATCH(TRIM($J61&amp;"")&amp;"|다기관",파견수련계획!$AE$4:$AE$203,0),""))</f>
        <v/>
      </c>
      <c r="AL61" s="10">
        <f>IF($AK61="","","다기관 "&amp;TEXT(INDEX(파견수련계획!$AB$4:$AB$203,$AK61),"yyyy-mm-dd")&amp;"~"&amp;IF(ISNUMBER(INDEX(파견수련계획!$AC$4:$AC$203,$AK61)),TEXT(INDEX(파견수련계획!$AC$4:$AC$203,$AK61),"yyyy-mm-dd"),""))</f>
        <v/>
      </c>
    </row>
    <row r="62">
      <c r="A62" s="10">
        <f>IF(B62="","",ROW()-1)</f>
        <v/>
      </c>
      <c r="B62" s="18" t="n"/>
      <c r="C62" s="10">
        <f>IF($AB62="","",IF(INDEX(기본자료!$C$2:$C$501,$AB62)="","",INDEX(기본자료!$C$2:$C$501,$AB62)))</f>
        <v/>
      </c>
      <c r="D62" s="10">
        <f>IF($AB62="","",IF(INDEX(기본자료!$J$2:$J$501,$AB62)="","",INDEX(기본자료!$J$2:$J$501,$AB62)))</f>
        <v/>
      </c>
      <c r="E62" s="11">
        <f>IF($AB62="","",IF(INDEX(기본자료!$K$2:$K$501,$AB62)="","",IF(NOT(ISNUMBER(INDEX(기본자료!$K$2:$K$501,$AB62))),INDEX(기본자료!$K$2:$K$501,$AB62),IF(INDEX(기본자료!$K$2:$K$501,$AB62)&lt;1000000,INDEX(기본자료!$K$2:$K$501,$AB62),IF(AND(INDEX(기본자료!$K$2:$K$501,$AB62)&gt;=10000101,INT(MOD(INDEX(기본자료!$K$2:$K$501,$AB62),10000)/100)&gt;=1,INT(MOD(INDEX(기본자료!$K$2:$K$501,$AB62),10000)/100)&lt;=12,MOD(INDEX(기본자료!$K$2:$K$501,$AB62),100)&gt;=1,MOD(INDEX(기본자료!$K$2:$K$501,$AB62),100)&lt;=31),DATE(INT(INDEX(기본자료!$K$2:$K$501,$AB62)/10000),INT(MOD(INDEX(기본자료!$K$2:$K$501,$AB62),10000)/100),MOD(INDEX(기본자료!$K$2:$K$501,$AB62),100)),INDEX(기본자료!$K$2:$K$501,$AB62)&amp;"")))))</f>
        <v/>
      </c>
      <c r="F62" s="10">
        <f>IF($AB62="","",IF(INDEX(기본자료!$D$2:$D$501,$AB62)="","",INDEX(기본자료!$D$2:$D$501,$AB62)))</f>
        <v/>
      </c>
      <c r="G62" s="10">
        <f>IF($AB62="","",IF(INDEX(기본자료!$E$2:$E$501,$AB62)="","",INDEX(기본자료!$E$2:$E$501,$AB62)))</f>
        <v/>
      </c>
      <c r="H62" s="10">
        <f>IF($AB62="","",IF(INDEX(기본자료!$F$2:$F$501,$AB62)="","",INDEX(기본자료!$F$2:$F$501,$AB62)))</f>
        <v/>
      </c>
      <c r="I62" s="11">
        <f>IF($AB62="","",IF(INDEX(기본자료!$G$2:$G$501,$AB62)="","",IF(NOT(ISNUMBER(INDEX(기본자료!$G$2:$G$501,$AB62))),INDEX(기본자료!$G$2:$G$501,$AB62),IF(INDEX(기본자료!$G$2:$G$501,$AB62)&lt;1000000,INDEX(기본자료!$G$2:$G$501,$AB62),IF(AND(INDEX(기본자료!$G$2:$G$501,$AB62)&gt;=10000101,INT(MOD(INDEX(기본자료!$G$2:$G$501,$AB62),10000)/100)&gt;=1,INT(MOD(INDEX(기본자료!$G$2:$G$501,$AB62),10000)/100)&lt;=12,MOD(INDEX(기본자료!$G$2:$G$501,$AB62),100)&gt;=1,MOD(INDEX(기본자료!$G$2:$G$501,$AB62),100)&lt;=31),DATE(INT(INDEX(기본자료!$G$2:$G$501,$AB62)/10000),INT(MOD(INDEX(기본자료!$G$2:$G$501,$AB62),10000)/100),MOD(INDEX(기본자료!$G$2:$G$501,$AB62),100)),INDEX(기본자료!$G$2:$G$501,$AB62)&amp;"")))))</f>
        <v/>
      </c>
      <c r="J62" s="10">
        <f>IF($AB62="","",IF(INDEX(기본자료!$H$2:$H$501,$AB62)="","",INDEX(기본자료!$H$2:$H$501,$AB62)))</f>
        <v/>
      </c>
      <c r="K62" s="10">
        <f>IF($AB62="","",IF(INDEX(기본자료!$I$2:$I$501,$AB62)="","",INDEX(기본자료!$I$2:$I$501,$AB62)))</f>
        <v/>
      </c>
      <c r="L62" s="10">
        <f>IF($AB62="","",IF(INDEX(기본자료!$A$2:$A$501,$AB62)="","",INDEX(기본자료!$A$2:$A$501,$AB62)))</f>
        <v/>
      </c>
      <c r="M62" s="15" t="n"/>
      <c r="N62" s="10">
        <f>IF($B62="","",IF(AND($U62="파견중",$Q62&lt;&gt;""),$Q62,IF(AND($AD62&lt;&gt;"",LEFT($AD62,1)&lt;&gt;"⚠"),LEFT($AD62,FIND(" ",$AD62)-1),IF($H62="","",IF(RIGHT($H62,2)="병원",$H62,$H62&amp;"병원")))))</f>
        <v/>
      </c>
      <c r="O62" s="10">
        <f>IF($B62="","",IF(AND($U62="파견중",$Q62&lt;&gt;""),IF($R62&lt;&gt;"",$R62,"파견과 미입력"),IF(AND($AD62&lt;&gt;"",LEFT($AD62,1)&lt;&gt;"⚠"),MID($AD62,FIND(" ",$AD62)+1,60),IF($F62="","",IF($F62="인턴","수련교육부(인턴)",$F62)))))</f>
        <v/>
      </c>
      <c r="P62" s="10">
        <f>IF($B62="","",IF($AK62&lt;&gt;"",IF(AND(TODAY()&gt;=INDEX(파견수련계획!$AB$4:$AB$203,$AK62),OR(NOT(ISNUMBER(INDEX(파견수련계획!$AC$4:$AC$203,$AK62))),TODAY()&lt;=INDEX(파견수련계획!$AC$4:$AC$203,$AK62))),"다기관",IF($AF62="","",INDEX(파견수련계획!$T$4:$T$203,$AF62))),IF($AF62="","",INDEX(파견수련계획!$T$4:$T$203,$AF62))))</f>
        <v/>
      </c>
      <c r="Q62" s="10">
        <f>IF($AF62="","",INDEX(파견수련계획!$S$4:$S$203,$AF62))</f>
        <v/>
      </c>
      <c r="R62" s="10">
        <f>IF($AF62="","",INDEX(파견수련계획!$U$4:$U$203,$AF62))</f>
        <v/>
      </c>
      <c r="S62" s="11">
        <f>IF($AF62="","",IF(INDEX(파견수련계획!$H$4:$H$203,$AF62)="","",INDEX(파견수련계획!$H$4:$H$203,$AF62)))</f>
        <v/>
      </c>
      <c r="T62" s="11">
        <f>IF($AF62="","",IF(INDEX(파견수련계획!$I$4:$I$203,$AF62)="","",INDEX(파견수련계획!$I$4:$I$203,$AF62)))</f>
        <v/>
      </c>
      <c r="U62" s="10">
        <f>IF($AF62="","",INDEX(파견수련계획!$X$4:$X$203,$AF62))</f>
        <v/>
      </c>
      <c r="V62" s="17">
        <f>IF($AF62="","",INDEX(파견수련계획!$V$4:$V$203,$AF62))</f>
        <v/>
      </c>
      <c r="W62" s="17">
        <f>IF(AND($U62="파견중",$T62&lt;&gt;""),$T62-TODAY(),"")</f>
        <v/>
      </c>
      <c r="X62" s="17">
        <f>IF(OR($B62="",TRIM($J62&amp;"")=""),"",SUMPRODUCT((파견수련계획!$Q$4:$Q$203=TRIM($J62&amp;""))*파견수련계획!$W$4:$W$203))</f>
        <v/>
      </c>
      <c r="Y62" s="10">
        <f>IF($B62="","",IF($AG62="","",IF(IF(TRIM($J62&amp;"")="",0,SUMPRODUCT((파견수련계획!$Q$4:$Q$203=TRIM($J62&amp;""))*파견수련계획!$AD$4:$AD$203))&gt;0,$AE62,IF(N($X62)&lt;=0,$AG62,IF($AH62+$AI62=DAY(EOMONTH(요약!$B$3,0)),IF(AND($AH62&gt;=요약!$E$3,$AI62&lt;요약!$E$3),"서울병원",IF(AND($AI62&gt;=요약!$E$3,$AH62&lt;요약!$E$3),"구리병원","⚠15일 판정불가(서울 "&amp;$AH62&amp;"일/구리 "&amp;$AI62&amp;"일)")),IF($AJ62="",$AE62,IF(INDEX(파견수련계획!$T$4:$T$203,$AJ62)="통합수련",INDEX(파견수련계획!$S$4:$S$203,$AJ62),$AE62)))))))</f>
        <v/>
      </c>
      <c r="Z62" s="19">
        <f>IF($B62="","",IF($AB62="","기본자료에 없는 사번",IF(COUNTIF($B$2:$B$201,$B62)&gt;1,"중복 사번",IF($AE62="","소속(입사장소) 입력",IF(IF(TRIM($J62&amp;"")="",0,SUMPRODUCT((파견수련계획!$Q$4:$Q$203=TRIM($J62&amp;""))*(파견수련계획!$AA$4:$AA$203&lt;&gt;"")))&gt;0,"파견수련계획 입력오류 확인",IF(LEFT($Y62,1)="⚠","서울·구리 15일 판정 불가(양쪽 모두 이상/미만)",IF(IF($AC62="",0,N(INDEX(인턴근무계획!$T$3:$T$202,$AC62)))&gt;0,"인턴계획 입력오류 확인",IF(AND($AC62&lt;&gt;"",$U62&lt;&gt;"파견중",$N62&lt;&gt;$AE62),"인턴 타지역 근무: 파견 여부 확인","정상"))))))))</f>
        <v/>
      </c>
      <c r="AA62" s="5" t="n"/>
      <c r="AB62" s="10">
        <f>IF($B62="","",IFERROR(MATCH($B62,기본자료!$B$2:$B$501,0),IFERROR(MATCH($B62&amp;"",기본자료!$B$2:$B$501,0),IFERROR(MATCH(VALUE($B62),기본자료!$B$2:$B$501,0),""))))</f>
        <v/>
      </c>
      <c r="AC62" s="10">
        <f>IF($B62="","",IFERROR(MATCH($B62,인턴근무계획!$D$3:$D$202,0),IFERROR(MATCH($B62&amp;"",인턴근무계획!$D$3:$D$202,0),IFERROR(MATCH(VALUE($B62),인턴근무계획!$D$3:$D$202,0),""))))</f>
        <v/>
      </c>
      <c r="AD62" s="10">
        <f>IF(OR($AC62="",인턴현황!$G$3=""),"",INDEX(인턴근무계획!$M$3:$R$202,$AC62,인턴현황!$G$3)&amp;"")</f>
        <v/>
      </c>
      <c r="AE62" s="10">
        <f>IF($B62="","",IF($M62&lt;&gt;"",$M62,IF($AF62&lt;&gt;"",IF(LEFT(INDEX(파견수련계획!$R$4:$R$203,$AF62),1)&lt;&gt;"⚠",INDEX(파견수련계획!$R$4:$R$203,$AF62),IF($H62="","",IF(RIGHT($H62,2)="병원",$H62,$H62&amp;"병원"))),IF($H62="","",IF(RIGHT($H62,2)="병원",$H62,$H62&amp;"병원")))))</f>
        <v/>
      </c>
      <c r="AF62" s="10">
        <f>IF(OR($B62="",TRIM($J62&amp;"")=""),"",IFERROR(MATCH(TRIM($J62&amp;"")&amp;"|파견중",파견수련계획!$Y$4:$Y$203,0),IFERROR(MATCH(TRIM($J62&amp;"")&amp;"|파견예정",파견수련계획!$Y$4:$Y$203,0),IFERROR(MATCH(TRIM($J62&amp;"")&amp;"|파견종료",파견수련계획!$Y$4:$Y$203,0),""))))</f>
        <v/>
      </c>
      <c r="AG62" s="10">
        <f>IF($B62="","",IF(AND(IF(OR($AC62="",인턴현황!$K$2=""),"",INDEX(인턴근무계획!$M$3:$R$202,$AC62,인턴현황!$K$2)&amp;"")&lt;&gt;"",LEFT(IF(OR($AC62="",인턴현황!$K$2=""),"",INDEX(인턴근무계획!$M$3:$R$202,$AC62,인턴현황!$K$2)&amp;""),1)&lt;&gt;"⚠"),LEFT(IF(OR($AC62="",인턴현황!$K$2=""),"",INDEX(인턴근무계획!$M$3:$R$202,$AC62,인턴현황!$K$2)&amp;""),FIND(" ",IF(OR($AC62="",인턴현황!$K$2=""),"",INDEX(인턴근무계획!$M$3:$R$202,$AC62,인턴현황!$K$2)&amp;""))-1),$AE62))</f>
        <v/>
      </c>
      <c r="AH62" s="17">
        <f>IF($B62="","",IF(TRIM($J62&amp;"")="",0,SUMPRODUCT((파견수련계획!$Q$4:$Q$203=TRIM($J62&amp;""))*(파견수련계획!$S$4:$S$203="서울병원")*파견수련계획!$W$4:$W$203))+IF($AG62="서울병원",MAX(0,DAY(EOMONTH(요약!$B$3,0))-N($X62)),0))</f>
        <v/>
      </c>
      <c r="AI62" s="17">
        <f>IF($B62="","",IF(TRIM($J62&amp;"")="",0,SUMPRODUCT((파견수련계획!$Q$4:$Q$203=TRIM($J62&amp;""))*(파견수련계획!$S$4:$S$203="구리병원")*파견수련계획!$W$4:$W$203))+IF($AG62="구리병원",MAX(0,DAY(EOMONTH(요약!$B$3,0))-N($X62)),0))</f>
        <v/>
      </c>
      <c r="AJ62" s="10">
        <f>IF(OR($B62="",TRIM($J62&amp;"")=""),"",IFERROR(MATCH(TRIM($J62&amp;"")&amp;"|월",파견수련계획!$Z$4:$Z$203,0),""))</f>
        <v/>
      </c>
      <c r="AK62" s="10">
        <f>IF(OR($B62="",TRIM($J62&amp;"")=""),"",IFERROR(MATCH(TRIM($J62&amp;"")&amp;"|다기관",파견수련계획!$AE$4:$AE$203,0),""))</f>
        <v/>
      </c>
      <c r="AL62" s="10">
        <f>IF($AK62="","","다기관 "&amp;TEXT(INDEX(파견수련계획!$AB$4:$AB$203,$AK62),"yyyy-mm-dd")&amp;"~"&amp;IF(ISNUMBER(INDEX(파견수련계획!$AC$4:$AC$203,$AK62)),TEXT(INDEX(파견수련계획!$AC$4:$AC$203,$AK62),"yyyy-mm-dd"),""))</f>
        <v/>
      </c>
    </row>
    <row r="63">
      <c r="A63" s="10">
        <f>IF(B63="","",ROW()-1)</f>
        <v/>
      </c>
      <c r="B63" s="18" t="n"/>
      <c r="C63" s="10">
        <f>IF($AB63="","",IF(INDEX(기본자료!$C$2:$C$501,$AB63)="","",INDEX(기본자료!$C$2:$C$501,$AB63)))</f>
        <v/>
      </c>
      <c r="D63" s="10">
        <f>IF($AB63="","",IF(INDEX(기본자료!$J$2:$J$501,$AB63)="","",INDEX(기본자료!$J$2:$J$501,$AB63)))</f>
        <v/>
      </c>
      <c r="E63" s="11">
        <f>IF($AB63="","",IF(INDEX(기본자료!$K$2:$K$501,$AB63)="","",IF(NOT(ISNUMBER(INDEX(기본자료!$K$2:$K$501,$AB63))),INDEX(기본자료!$K$2:$K$501,$AB63),IF(INDEX(기본자료!$K$2:$K$501,$AB63)&lt;1000000,INDEX(기본자료!$K$2:$K$501,$AB63),IF(AND(INDEX(기본자료!$K$2:$K$501,$AB63)&gt;=10000101,INT(MOD(INDEX(기본자료!$K$2:$K$501,$AB63),10000)/100)&gt;=1,INT(MOD(INDEX(기본자료!$K$2:$K$501,$AB63),10000)/100)&lt;=12,MOD(INDEX(기본자료!$K$2:$K$501,$AB63),100)&gt;=1,MOD(INDEX(기본자료!$K$2:$K$501,$AB63),100)&lt;=31),DATE(INT(INDEX(기본자료!$K$2:$K$501,$AB63)/10000),INT(MOD(INDEX(기본자료!$K$2:$K$501,$AB63),10000)/100),MOD(INDEX(기본자료!$K$2:$K$501,$AB63),100)),INDEX(기본자료!$K$2:$K$501,$AB63)&amp;"")))))</f>
        <v/>
      </c>
      <c r="F63" s="10">
        <f>IF($AB63="","",IF(INDEX(기본자료!$D$2:$D$501,$AB63)="","",INDEX(기본자료!$D$2:$D$501,$AB63)))</f>
        <v/>
      </c>
      <c r="G63" s="10">
        <f>IF($AB63="","",IF(INDEX(기본자료!$E$2:$E$501,$AB63)="","",INDEX(기본자료!$E$2:$E$501,$AB63)))</f>
        <v/>
      </c>
      <c r="H63" s="10">
        <f>IF($AB63="","",IF(INDEX(기본자료!$F$2:$F$501,$AB63)="","",INDEX(기본자료!$F$2:$F$501,$AB63)))</f>
        <v/>
      </c>
      <c r="I63" s="11">
        <f>IF($AB63="","",IF(INDEX(기본자료!$G$2:$G$501,$AB63)="","",IF(NOT(ISNUMBER(INDEX(기본자료!$G$2:$G$501,$AB63))),INDEX(기본자료!$G$2:$G$501,$AB63),IF(INDEX(기본자료!$G$2:$G$501,$AB63)&lt;1000000,INDEX(기본자료!$G$2:$G$501,$AB63),IF(AND(INDEX(기본자료!$G$2:$G$501,$AB63)&gt;=10000101,INT(MOD(INDEX(기본자료!$G$2:$G$501,$AB63),10000)/100)&gt;=1,INT(MOD(INDEX(기본자료!$G$2:$G$501,$AB63),10000)/100)&lt;=12,MOD(INDEX(기본자료!$G$2:$G$501,$AB63),100)&gt;=1,MOD(INDEX(기본자료!$G$2:$G$501,$AB63),100)&lt;=31),DATE(INT(INDEX(기본자료!$G$2:$G$501,$AB63)/10000),INT(MOD(INDEX(기본자료!$G$2:$G$501,$AB63),10000)/100),MOD(INDEX(기본자료!$G$2:$G$501,$AB63),100)),INDEX(기본자료!$G$2:$G$501,$AB63)&amp;"")))))</f>
        <v/>
      </c>
      <c r="J63" s="10">
        <f>IF($AB63="","",IF(INDEX(기본자료!$H$2:$H$501,$AB63)="","",INDEX(기본자료!$H$2:$H$501,$AB63)))</f>
        <v/>
      </c>
      <c r="K63" s="10">
        <f>IF($AB63="","",IF(INDEX(기본자료!$I$2:$I$501,$AB63)="","",INDEX(기본자료!$I$2:$I$501,$AB63)))</f>
        <v/>
      </c>
      <c r="L63" s="10">
        <f>IF($AB63="","",IF(INDEX(기본자료!$A$2:$A$501,$AB63)="","",INDEX(기본자료!$A$2:$A$501,$AB63)))</f>
        <v/>
      </c>
      <c r="M63" s="15" t="n"/>
      <c r="N63" s="10">
        <f>IF($B63="","",IF(AND($U63="파견중",$Q63&lt;&gt;""),$Q63,IF(AND($AD63&lt;&gt;"",LEFT($AD63,1)&lt;&gt;"⚠"),LEFT($AD63,FIND(" ",$AD63)-1),IF($H63="","",IF(RIGHT($H63,2)="병원",$H63,$H63&amp;"병원")))))</f>
        <v/>
      </c>
      <c r="O63" s="10">
        <f>IF($B63="","",IF(AND($U63="파견중",$Q63&lt;&gt;""),IF($R63&lt;&gt;"",$R63,"파견과 미입력"),IF(AND($AD63&lt;&gt;"",LEFT($AD63,1)&lt;&gt;"⚠"),MID($AD63,FIND(" ",$AD63)+1,60),IF($F63="","",IF($F63="인턴","수련교육부(인턴)",$F63)))))</f>
        <v/>
      </c>
      <c r="P63" s="10">
        <f>IF($B63="","",IF($AK63&lt;&gt;"",IF(AND(TODAY()&gt;=INDEX(파견수련계획!$AB$4:$AB$203,$AK63),OR(NOT(ISNUMBER(INDEX(파견수련계획!$AC$4:$AC$203,$AK63))),TODAY()&lt;=INDEX(파견수련계획!$AC$4:$AC$203,$AK63))),"다기관",IF($AF63="","",INDEX(파견수련계획!$T$4:$T$203,$AF63))),IF($AF63="","",INDEX(파견수련계획!$T$4:$T$203,$AF63))))</f>
        <v/>
      </c>
      <c r="Q63" s="10">
        <f>IF($AF63="","",INDEX(파견수련계획!$S$4:$S$203,$AF63))</f>
        <v/>
      </c>
      <c r="R63" s="10">
        <f>IF($AF63="","",INDEX(파견수련계획!$U$4:$U$203,$AF63))</f>
        <v/>
      </c>
      <c r="S63" s="11">
        <f>IF($AF63="","",IF(INDEX(파견수련계획!$H$4:$H$203,$AF63)="","",INDEX(파견수련계획!$H$4:$H$203,$AF63)))</f>
        <v/>
      </c>
      <c r="T63" s="11">
        <f>IF($AF63="","",IF(INDEX(파견수련계획!$I$4:$I$203,$AF63)="","",INDEX(파견수련계획!$I$4:$I$203,$AF63)))</f>
        <v/>
      </c>
      <c r="U63" s="10">
        <f>IF($AF63="","",INDEX(파견수련계획!$X$4:$X$203,$AF63))</f>
        <v/>
      </c>
      <c r="V63" s="17">
        <f>IF($AF63="","",INDEX(파견수련계획!$V$4:$V$203,$AF63))</f>
        <v/>
      </c>
      <c r="W63" s="17">
        <f>IF(AND($U63="파견중",$T63&lt;&gt;""),$T63-TODAY(),"")</f>
        <v/>
      </c>
      <c r="X63" s="17">
        <f>IF(OR($B63="",TRIM($J63&amp;"")=""),"",SUMPRODUCT((파견수련계획!$Q$4:$Q$203=TRIM($J63&amp;""))*파견수련계획!$W$4:$W$203))</f>
        <v/>
      </c>
      <c r="Y63" s="10">
        <f>IF($B63="","",IF($AG63="","",IF(IF(TRIM($J63&amp;"")="",0,SUMPRODUCT((파견수련계획!$Q$4:$Q$203=TRIM($J63&amp;""))*파견수련계획!$AD$4:$AD$203))&gt;0,$AE63,IF(N($X63)&lt;=0,$AG63,IF($AH63+$AI63=DAY(EOMONTH(요약!$B$3,0)),IF(AND($AH63&gt;=요약!$E$3,$AI63&lt;요약!$E$3),"서울병원",IF(AND($AI63&gt;=요약!$E$3,$AH63&lt;요약!$E$3),"구리병원","⚠15일 판정불가(서울 "&amp;$AH63&amp;"일/구리 "&amp;$AI63&amp;"일)")),IF($AJ63="",$AE63,IF(INDEX(파견수련계획!$T$4:$T$203,$AJ63)="통합수련",INDEX(파견수련계획!$S$4:$S$203,$AJ63),$AE63)))))))</f>
        <v/>
      </c>
      <c r="Z63" s="19">
        <f>IF($B63="","",IF($AB63="","기본자료에 없는 사번",IF(COUNTIF($B$2:$B$201,$B63)&gt;1,"중복 사번",IF($AE63="","소속(입사장소) 입력",IF(IF(TRIM($J63&amp;"")="",0,SUMPRODUCT((파견수련계획!$Q$4:$Q$203=TRIM($J63&amp;""))*(파견수련계획!$AA$4:$AA$203&lt;&gt;"")))&gt;0,"파견수련계획 입력오류 확인",IF(LEFT($Y63,1)="⚠","서울·구리 15일 판정 불가(양쪽 모두 이상/미만)",IF(IF($AC63="",0,N(INDEX(인턴근무계획!$T$3:$T$202,$AC63)))&gt;0,"인턴계획 입력오류 확인",IF(AND($AC63&lt;&gt;"",$U63&lt;&gt;"파견중",$N63&lt;&gt;$AE63),"인턴 타지역 근무: 파견 여부 확인","정상"))))))))</f>
        <v/>
      </c>
      <c r="AA63" s="5" t="n"/>
      <c r="AB63" s="10">
        <f>IF($B63="","",IFERROR(MATCH($B63,기본자료!$B$2:$B$501,0),IFERROR(MATCH($B63&amp;"",기본자료!$B$2:$B$501,0),IFERROR(MATCH(VALUE($B63),기본자료!$B$2:$B$501,0),""))))</f>
        <v/>
      </c>
      <c r="AC63" s="10">
        <f>IF($B63="","",IFERROR(MATCH($B63,인턴근무계획!$D$3:$D$202,0),IFERROR(MATCH($B63&amp;"",인턴근무계획!$D$3:$D$202,0),IFERROR(MATCH(VALUE($B63),인턴근무계획!$D$3:$D$202,0),""))))</f>
        <v/>
      </c>
      <c r="AD63" s="10">
        <f>IF(OR($AC63="",인턴현황!$G$3=""),"",INDEX(인턴근무계획!$M$3:$R$202,$AC63,인턴현황!$G$3)&amp;"")</f>
        <v/>
      </c>
      <c r="AE63" s="10">
        <f>IF($B63="","",IF($M63&lt;&gt;"",$M63,IF($AF63&lt;&gt;"",IF(LEFT(INDEX(파견수련계획!$R$4:$R$203,$AF63),1)&lt;&gt;"⚠",INDEX(파견수련계획!$R$4:$R$203,$AF63),IF($H63="","",IF(RIGHT($H63,2)="병원",$H63,$H63&amp;"병원"))),IF($H63="","",IF(RIGHT($H63,2)="병원",$H63,$H63&amp;"병원")))))</f>
        <v/>
      </c>
      <c r="AF63" s="10">
        <f>IF(OR($B63="",TRIM($J63&amp;"")=""),"",IFERROR(MATCH(TRIM($J63&amp;"")&amp;"|파견중",파견수련계획!$Y$4:$Y$203,0),IFERROR(MATCH(TRIM($J63&amp;"")&amp;"|파견예정",파견수련계획!$Y$4:$Y$203,0),IFERROR(MATCH(TRIM($J63&amp;"")&amp;"|파견종료",파견수련계획!$Y$4:$Y$203,0),""))))</f>
        <v/>
      </c>
      <c r="AG63" s="10">
        <f>IF($B63="","",IF(AND(IF(OR($AC63="",인턴현황!$K$2=""),"",INDEX(인턴근무계획!$M$3:$R$202,$AC63,인턴현황!$K$2)&amp;"")&lt;&gt;"",LEFT(IF(OR($AC63="",인턴현황!$K$2=""),"",INDEX(인턴근무계획!$M$3:$R$202,$AC63,인턴현황!$K$2)&amp;""),1)&lt;&gt;"⚠"),LEFT(IF(OR($AC63="",인턴현황!$K$2=""),"",INDEX(인턴근무계획!$M$3:$R$202,$AC63,인턴현황!$K$2)&amp;""),FIND(" ",IF(OR($AC63="",인턴현황!$K$2=""),"",INDEX(인턴근무계획!$M$3:$R$202,$AC63,인턴현황!$K$2)&amp;""))-1),$AE63))</f>
        <v/>
      </c>
      <c r="AH63" s="17">
        <f>IF($B63="","",IF(TRIM($J63&amp;"")="",0,SUMPRODUCT((파견수련계획!$Q$4:$Q$203=TRIM($J63&amp;""))*(파견수련계획!$S$4:$S$203="서울병원")*파견수련계획!$W$4:$W$203))+IF($AG63="서울병원",MAX(0,DAY(EOMONTH(요약!$B$3,0))-N($X63)),0))</f>
        <v/>
      </c>
      <c r="AI63" s="17">
        <f>IF($B63="","",IF(TRIM($J63&amp;"")="",0,SUMPRODUCT((파견수련계획!$Q$4:$Q$203=TRIM($J63&amp;""))*(파견수련계획!$S$4:$S$203="구리병원")*파견수련계획!$W$4:$W$203))+IF($AG63="구리병원",MAX(0,DAY(EOMONTH(요약!$B$3,0))-N($X63)),0))</f>
        <v/>
      </c>
      <c r="AJ63" s="10">
        <f>IF(OR($B63="",TRIM($J63&amp;"")=""),"",IFERROR(MATCH(TRIM($J63&amp;"")&amp;"|월",파견수련계획!$Z$4:$Z$203,0),""))</f>
        <v/>
      </c>
      <c r="AK63" s="10">
        <f>IF(OR($B63="",TRIM($J63&amp;"")=""),"",IFERROR(MATCH(TRIM($J63&amp;"")&amp;"|다기관",파견수련계획!$AE$4:$AE$203,0),""))</f>
        <v/>
      </c>
      <c r="AL63" s="10">
        <f>IF($AK63="","","다기관 "&amp;TEXT(INDEX(파견수련계획!$AB$4:$AB$203,$AK63),"yyyy-mm-dd")&amp;"~"&amp;IF(ISNUMBER(INDEX(파견수련계획!$AC$4:$AC$203,$AK63)),TEXT(INDEX(파견수련계획!$AC$4:$AC$203,$AK63),"yyyy-mm-dd"),""))</f>
        <v/>
      </c>
    </row>
    <row r="64">
      <c r="A64" s="10">
        <f>IF(B64="","",ROW()-1)</f>
        <v/>
      </c>
      <c r="B64" s="18" t="n"/>
      <c r="C64" s="10">
        <f>IF($AB64="","",IF(INDEX(기본자료!$C$2:$C$501,$AB64)="","",INDEX(기본자료!$C$2:$C$501,$AB64)))</f>
        <v/>
      </c>
      <c r="D64" s="10">
        <f>IF($AB64="","",IF(INDEX(기본자료!$J$2:$J$501,$AB64)="","",INDEX(기본자료!$J$2:$J$501,$AB64)))</f>
        <v/>
      </c>
      <c r="E64" s="11">
        <f>IF($AB64="","",IF(INDEX(기본자료!$K$2:$K$501,$AB64)="","",IF(NOT(ISNUMBER(INDEX(기본자료!$K$2:$K$501,$AB64))),INDEX(기본자료!$K$2:$K$501,$AB64),IF(INDEX(기본자료!$K$2:$K$501,$AB64)&lt;1000000,INDEX(기본자료!$K$2:$K$501,$AB64),IF(AND(INDEX(기본자료!$K$2:$K$501,$AB64)&gt;=10000101,INT(MOD(INDEX(기본자료!$K$2:$K$501,$AB64),10000)/100)&gt;=1,INT(MOD(INDEX(기본자료!$K$2:$K$501,$AB64),10000)/100)&lt;=12,MOD(INDEX(기본자료!$K$2:$K$501,$AB64),100)&gt;=1,MOD(INDEX(기본자료!$K$2:$K$501,$AB64),100)&lt;=31),DATE(INT(INDEX(기본자료!$K$2:$K$501,$AB64)/10000),INT(MOD(INDEX(기본자료!$K$2:$K$501,$AB64),10000)/100),MOD(INDEX(기본자료!$K$2:$K$501,$AB64),100)),INDEX(기본자료!$K$2:$K$501,$AB64)&amp;"")))))</f>
        <v/>
      </c>
      <c r="F64" s="10">
        <f>IF($AB64="","",IF(INDEX(기본자료!$D$2:$D$501,$AB64)="","",INDEX(기본자료!$D$2:$D$501,$AB64)))</f>
        <v/>
      </c>
      <c r="G64" s="10">
        <f>IF($AB64="","",IF(INDEX(기본자료!$E$2:$E$501,$AB64)="","",INDEX(기본자료!$E$2:$E$501,$AB64)))</f>
        <v/>
      </c>
      <c r="H64" s="10">
        <f>IF($AB64="","",IF(INDEX(기본자료!$F$2:$F$501,$AB64)="","",INDEX(기본자료!$F$2:$F$501,$AB64)))</f>
        <v/>
      </c>
      <c r="I64" s="11">
        <f>IF($AB64="","",IF(INDEX(기본자료!$G$2:$G$501,$AB64)="","",IF(NOT(ISNUMBER(INDEX(기본자료!$G$2:$G$501,$AB64))),INDEX(기본자료!$G$2:$G$501,$AB64),IF(INDEX(기본자료!$G$2:$G$501,$AB64)&lt;1000000,INDEX(기본자료!$G$2:$G$501,$AB64),IF(AND(INDEX(기본자료!$G$2:$G$501,$AB64)&gt;=10000101,INT(MOD(INDEX(기본자료!$G$2:$G$501,$AB64),10000)/100)&gt;=1,INT(MOD(INDEX(기본자료!$G$2:$G$501,$AB64),10000)/100)&lt;=12,MOD(INDEX(기본자료!$G$2:$G$501,$AB64),100)&gt;=1,MOD(INDEX(기본자료!$G$2:$G$501,$AB64),100)&lt;=31),DATE(INT(INDEX(기본자료!$G$2:$G$501,$AB64)/10000),INT(MOD(INDEX(기본자료!$G$2:$G$501,$AB64),10000)/100),MOD(INDEX(기본자료!$G$2:$G$501,$AB64),100)),INDEX(기본자료!$G$2:$G$501,$AB64)&amp;"")))))</f>
        <v/>
      </c>
      <c r="J64" s="10">
        <f>IF($AB64="","",IF(INDEX(기본자료!$H$2:$H$501,$AB64)="","",INDEX(기본자료!$H$2:$H$501,$AB64)))</f>
        <v/>
      </c>
      <c r="K64" s="10">
        <f>IF($AB64="","",IF(INDEX(기본자료!$I$2:$I$501,$AB64)="","",INDEX(기본자료!$I$2:$I$501,$AB64)))</f>
        <v/>
      </c>
      <c r="L64" s="10">
        <f>IF($AB64="","",IF(INDEX(기본자료!$A$2:$A$501,$AB64)="","",INDEX(기본자료!$A$2:$A$501,$AB64)))</f>
        <v/>
      </c>
      <c r="M64" s="15" t="n"/>
      <c r="N64" s="10">
        <f>IF($B64="","",IF(AND($U64="파견중",$Q64&lt;&gt;""),$Q64,IF(AND($AD64&lt;&gt;"",LEFT($AD64,1)&lt;&gt;"⚠"),LEFT($AD64,FIND(" ",$AD64)-1),IF($H64="","",IF(RIGHT($H64,2)="병원",$H64,$H64&amp;"병원")))))</f>
        <v/>
      </c>
      <c r="O64" s="10">
        <f>IF($B64="","",IF(AND($U64="파견중",$Q64&lt;&gt;""),IF($R64&lt;&gt;"",$R64,"파견과 미입력"),IF(AND($AD64&lt;&gt;"",LEFT($AD64,1)&lt;&gt;"⚠"),MID($AD64,FIND(" ",$AD64)+1,60),IF($F64="","",IF($F64="인턴","수련교육부(인턴)",$F64)))))</f>
        <v/>
      </c>
      <c r="P64" s="10">
        <f>IF($B64="","",IF($AK64&lt;&gt;"",IF(AND(TODAY()&gt;=INDEX(파견수련계획!$AB$4:$AB$203,$AK64),OR(NOT(ISNUMBER(INDEX(파견수련계획!$AC$4:$AC$203,$AK64))),TODAY()&lt;=INDEX(파견수련계획!$AC$4:$AC$203,$AK64))),"다기관",IF($AF64="","",INDEX(파견수련계획!$T$4:$T$203,$AF64))),IF($AF64="","",INDEX(파견수련계획!$T$4:$T$203,$AF64))))</f>
        <v/>
      </c>
      <c r="Q64" s="10">
        <f>IF($AF64="","",INDEX(파견수련계획!$S$4:$S$203,$AF64))</f>
        <v/>
      </c>
      <c r="R64" s="10">
        <f>IF($AF64="","",INDEX(파견수련계획!$U$4:$U$203,$AF64))</f>
        <v/>
      </c>
      <c r="S64" s="11">
        <f>IF($AF64="","",IF(INDEX(파견수련계획!$H$4:$H$203,$AF64)="","",INDEX(파견수련계획!$H$4:$H$203,$AF64)))</f>
        <v/>
      </c>
      <c r="T64" s="11">
        <f>IF($AF64="","",IF(INDEX(파견수련계획!$I$4:$I$203,$AF64)="","",INDEX(파견수련계획!$I$4:$I$203,$AF64)))</f>
        <v/>
      </c>
      <c r="U64" s="10">
        <f>IF($AF64="","",INDEX(파견수련계획!$X$4:$X$203,$AF64))</f>
        <v/>
      </c>
      <c r="V64" s="17">
        <f>IF($AF64="","",INDEX(파견수련계획!$V$4:$V$203,$AF64))</f>
        <v/>
      </c>
      <c r="W64" s="17">
        <f>IF(AND($U64="파견중",$T64&lt;&gt;""),$T64-TODAY(),"")</f>
        <v/>
      </c>
      <c r="X64" s="17">
        <f>IF(OR($B64="",TRIM($J64&amp;"")=""),"",SUMPRODUCT((파견수련계획!$Q$4:$Q$203=TRIM($J64&amp;""))*파견수련계획!$W$4:$W$203))</f>
        <v/>
      </c>
      <c r="Y64" s="10">
        <f>IF($B64="","",IF($AG64="","",IF(IF(TRIM($J64&amp;"")="",0,SUMPRODUCT((파견수련계획!$Q$4:$Q$203=TRIM($J64&amp;""))*파견수련계획!$AD$4:$AD$203))&gt;0,$AE64,IF(N($X64)&lt;=0,$AG64,IF($AH64+$AI64=DAY(EOMONTH(요약!$B$3,0)),IF(AND($AH64&gt;=요약!$E$3,$AI64&lt;요약!$E$3),"서울병원",IF(AND($AI64&gt;=요약!$E$3,$AH64&lt;요약!$E$3),"구리병원","⚠15일 판정불가(서울 "&amp;$AH64&amp;"일/구리 "&amp;$AI64&amp;"일)")),IF($AJ64="",$AE64,IF(INDEX(파견수련계획!$T$4:$T$203,$AJ64)="통합수련",INDEX(파견수련계획!$S$4:$S$203,$AJ64),$AE64)))))))</f>
        <v/>
      </c>
      <c r="Z64" s="19">
        <f>IF($B64="","",IF($AB64="","기본자료에 없는 사번",IF(COUNTIF($B$2:$B$201,$B64)&gt;1,"중복 사번",IF($AE64="","소속(입사장소) 입력",IF(IF(TRIM($J64&amp;"")="",0,SUMPRODUCT((파견수련계획!$Q$4:$Q$203=TRIM($J64&amp;""))*(파견수련계획!$AA$4:$AA$203&lt;&gt;"")))&gt;0,"파견수련계획 입력오류 확인",IF(LEFT($Y64,1)="⚠","서울·구리 15일 판정 불가(양쪽 모두 이상/미만)",IF(IF($AC64="",0,N(INDEX(인턴근무계획!$T$3:$T$202,$AC64)))&gt;0,"인턴계획 입력오류 확인",IF(AND($AC64&lt;&gt;"",$U64&lt;&gt;"파견중",$N64&lt;&gt;$AE64),"인턴 타지역 근무: 파견 여부 확인","정상"))))))))</f>
        <v/>
      </c>
      <c r="AA64" s="5" t="n"/>
      <c r="AB64" s="10">
        <f>IF($B64="","",IFERROR(MATCH($B64,기본자료!$B$2:$B$501,0),IFERROR(MATCH($B64&amp;"",기본자료!$B$2:$B$501,0),IFERROR(MATCH(VALUE($B64),기본자료!$B$2:$B$501,0),""))))</f>
        <v/>
      </c>
      <c r="AC64" s="10">
        <f>IF($B64="","",IFERROR(MATCH($B64,인턴근무계획!$D$3:$D$202,0),IFERROR(MATCH($B64&amp;"",인턴근무계획!$D$3:$D$202,0),IFERROR(MATCH(VALUE($B64),인턴근무계획!$D$3:$D$202,0),""))))</f>
        <v/>
      </c>
      <c r="AD64" s="10">
        <f>IF(OR($AC64="",인턴현황!$G$3=""),"",INDEX(인턴근무계획!$M$3:$R$202,$AC64,인턴현황!$G$3)&amp;"")</f>
        <v/>
      </c>
      <c r="AE64" s="10">
        <f>IF($B64="","",IF($M64&lt;&gt;"",$M64,IF($AF64&lt;&gt;"",IF(LEFT(INDEX(파견수련계획!$R$4:$R$203,$AF64),1)&lt;&gt;"⚠",INDEX(파견수련계획!$R$4:$R$203,$AF64),IF($H64="","",IF(RIGHT($H64,2)="병원",$H64,$H64&amp;"병원"))),IF($H64="","",IF(RIGHT($H64,2)="병원",$H64,$H64&amp;"병원")))))</f>
        <v/>
      </c>
      <c r="AF64" s="10">
        <f>IF(OR($B64="",TRIM($J64&amp;"")=""),"",IFERROR(MATCH(TRIM($J64&amp;"")&amp;"|파견중",파견수련계획!$Y$4:$Y$203,0),IFERROR(MATCH(TRIM($J64&amp;"")&amp;"|파견예정",파견수련계획!$Y$4:$Y$203,0),IFERROR(MATCH(TRIM($J64&amp;"")&amp;"|파견종료",파견수련계획!$Y$4:$Y$203,0),""))))</f>
        <v/>
      </c>
      <c r="AG64" s="10">
        <f>IF($B64="","",IF(AND(IF(OR($AC64="",인턴현황!$K$2=""),"",INDEX(인턴근무계획!$M$3:$R$202,$AC64,인턴현황!$K$2)&amp;"")&lt;&gt;"",LEFT(IF(OR($AC64="",인턴현황!$K$2=""),"",INDEX(인턴근무계획!$M$3:$R$202,$AC64,인턴현황!$K$2)&amp;""),1)&lt;&gt;"⚠"),LEFT(IF(OR($AC64="",인턴현황!$K$2=""),"",INDEX(인턴근무계획!$M$3:$R$202,$AC64,인턴현황!$K$2)&amp;""),FIND(" ",IF(OR($AC64="",인턴현황!$K$2=""),"",INDEX(인턴근무계획!$M$3:$R$202,$AC64,인턴현황!$K$2)&amp;""))-1),$AE64))</f>
        <v/>
      </c>
      <c r="AH64" s="17">
        <f>IF($B64="","",IF(TRIM($J64&amp;"")="",0,SUMPRODUCT((파견수련계획!$Q$4:$Q$203=TRIM($J64&amp;""))*(파견수련계획!$S$4:$S$203="서울병원")*파견수련계획!$W$4:$W$203))+IF($AG64="서울병원",MAX(0,DAY(EOMONTH(요약!$B$3,0))-N($X64)),0))</f>
        <v/>
      </c>
      <c r="AI64" s="17">
        <f>IF($B64="","",IF(TRIM($J64&amp;"")="",0,SUMPRODUCT((파견수련계획!$Q$4:$Q$203=TRIM($J64&amp;""))*(파견수련계획!$S$4:$S$203="구리병원")*파견수련계획!$W$4:$W$203))+IF($AG64="구리병원",MAX(0,DAY(EOMONTH(요약!$B$3,0))-N($X64)),0))</f>
        <v/>
      </c>
      <c r="AJ64" s="10">
        <f>IF(OR($B64="",TRIM($J64&amp;"")=""),"",IFERROR(MATCH(TRIM($J64&amp;"")&amp;"|월",파견수련계획!$Z$4:$Z$203,0),""))</f>
        <v/>
      </c>
      <c r="AK64" s="10">
        <f>IF(OR($B64="",TRIM($J64&amp;"")=""),"",IFERROR(MATCH(TRIM($J64&amp;"")&amp;"|다기관",파견수련계획!$AE$4:$AE$203,0),""))</f>
        <v/>
      </c>
      <c r="AL64" s="10">
        <f>IF($AK64="","","다기관 "&amp;TEXT(INDEX(파견수련계획!$AB$4:$AB$203,$AK64),"yyyy-mm-dd")&amp;"~"&amp;IF(ISNUMBER(INDEX(파견수련계획!$AC$4:$AC$203,$AK64)),TEXT(INDEX(파견수련계획!$AC$4:$AC$203,$AK64),"yyyy-mm-dd"),""))</f>
        <v/>
      </c>
    </row>
    <row r="65">
      <c r="A65" s="10">
        <f>IF(B65="","",ROW()-1)</f>
        <v/>
      </c>
      <c r="B65" s="18" t="n"/>
      <c r="C65" s="10">
        <f>IF($AB65="","",IF(INDEX(기본자료!$C$2:$C$501,$AB65)="","",INDEX(기본자료!$C$2:$C$501,$AB65)))</f>
        <v/>
      </c>
      <c r="D65" s="10">
        <f>IF($AB65="","",IF(INDEX(기본자료!$J$2:$J$501,$AB65)="","",INDEX(기본자료!$J$2:$J$501,$AB65)))</f>
        <v/>
      </c>
      <c r="E65" s="11">
        <f>IF($AB65="","",IF(INDEX(기본자료!$K$2:$K$501,$AB65)="","",IF(NOT(ISNUMBER(INDEX(기본자료!$K$2:$K$501,$AB65))),INDEX(기본자료!$K$2:$K$501,$AB65),IF(INDEX(기본자료!$K$2:$K$501,$AB65)&lt;1000000,INDEX(기본자료!$K$2:$K$501,$AB65),IF(AND(INDEX(기본자료!$K$2:$K$501,$AB65)&gt;=10000101,INT(MOD(INDEX(기본자료!$K$2:$K$501,$AB65),10000)/100)&gt;=1,INT(MOD(INDEX(기본자료!$K$2:$K$501,$AB65),10000)/100)&lt;=12,MOD(INDEX(기본자료!$K$2:$K$501,$AB65),100)&gt;=1,MOD(INDEX(기본자료!$K$2:$K$501,$AB65),100)&lt;=31),DATE(INT(INDEX(기본자료!$K$2:$K$501,$AB65)/10000),INT(MOD(INDEX(기본자료!$K$2:$K$501,$AB65),10000)/100),MOD(INDEX(기본자료!$K$2:$K$501,$AB65),100)),INDEX(기본자료!$K$2:$K$501,$AB65)&amp;"")))))</f>
        <v/>
      </c>
      <c r="F65" s="10">
        <f>IF($AB65="","",IF(INDEX(기본자료!$D$2:$D$501,$AB65)="","",INDEX(기본자료!$D$2:$D$501,$AB65)))</f>
        <v/>
      </c>
      <c r="G65" s="10">
        <f>IF($AB65="","",IF(INDEX(기본자료!$E$2:$E$501,$AB65)="","",INDEX(기본자료!$E$2:$E$501,$AB65)))</f>
        <v/>
      </c>
      <c r="H65" s="10">
        <f>IF($AB65="","",IF(INDEX(기본자료!$F$2:$F$501,$AB65)="","",INDEX(기본자료!$F$2:$F$501,$AB65)))</f>
        <v/>
      </c>
      <c r="I65" s="11">
        <f>IF($AB65="","",IF(INDEX(기본자료!$G$2:$G$501,$AB65)="","",IF(NOT(ISNUMBER(INDEX(기본자료!$G$2:$G$501,$AB65))),INDEX(기본자료!$G$2:$G$501,$AB65),IF(INDEX(기본자료!$G$2:$G$501,$AB65)&lt;1000000,INDEX(기본자료!$G$2:$G$501,$AB65),IF(AND(INDEX(기본자료!$G$2:$G$501,$AB65)&gt;=10000101,INT(MOD(INDEX(기본자료!$G$2:$G$501,$AB65),10000)/100)&gt;=1,INT(MOD(INDEX(기본자료!$G$2:$G$501,$AB65),10000)/100)&lt;=12,MOD(INDEX(기본자료!$G$2:$G$501,$AB65),100)&gt;=1,MOD(INDEX(기본자료!$G$2:$G$501,$AB65),100)&lt;=31),DATE(INT(INDEX(기본자료!$G$2:$G$501,$AB65)/10000),INT(MOD(INDEX(기본자료!$G$2:$G$501,$AB65),10000)/100),MOD(INDEX(기본자료!$G$2:$G$501,$AB65),100)),INDEX(기본자료!$G$2:$G$501,$AB65)&amp;"")))))</f>
        <v/>
      </c>
      <c r="J65" s="10">
        <f>IF($AB65="","",IF(INDEX(기본자료!$H$2:$H$501,$AB65)="","",INDEX(기본자료!$H$2:$H$501,$AB65)))</f>
        <v/>
      </c>
      <c r="K65" s="10">
        <f>IF($AB65="","",IF(INDEX(기본자료!$I$2:$I$501,$AB65)="","",INDEX(기본자료!$I$2:$I$501,$AB65)))</f>
        <v/>
      </c>
      <c r="L65" s="10">
        <f>IF($AB65="","",IF(INDEX(기본자료!$A$2:$A$501,$AB65)="","",INDEX(기본자료!$A$2:$A$501,$AB65)))</f>
        <v/>
      </c>
      <c r="M65" s="15" t="n"/>
      <c r="N65" s="10">
        <f>IF($B65="","",IF(AND($U65="파견중",$Q65&lt;&gt;""),$Q65,IF(AND($AD65&lt;&gt;"",LEFT($AD65,1)&lt;&gt;"⚠"),LEFT($AD65,FIND(" ",$AD65)-1),IF($H65="","",IF(RIGHT($H65,2)="병원",$H65,$H65&amp;"병원")))))</f>
        <v/>
      </c>
      <c r="O65" s="10">
        <f>IF($B65="","",IF(AND($U65="파견중",$Q65&lt;&gt;""),IF($R65&lt;&gt;"",$R65,"파견과 미입력"),IF(AND($AD65&lt;&gt;"",LEFT($AD65,1)&lt;&gt;"⚠"),MID($AD65,FIND(" ",$AD65)+1,60),IF($F65="","",IF($F65="인턴","수련교육부(인턴)",$F65)))))</f>
        <v/>
      </c>
      <c r="P65" s="10">
        <f>IF($B65="","",IF($AK65&lt;&gt;"",IF(AND(TODAY()&gt;=INDEX(파견수련계획!$AB$4:$AB$203,$AK65),OR(NOT(ISNUMBER(INDEX(파견수련계획!$AC$4:$AC$203,$AK65))),TODAY()&lt;=INDEX(파견수련계획!$AC$4:$AC$203,$AK65))),"다기관",IF($AF65="","",INDEX(파견수련계획!$T$4:$T$203,$AF65))),IF($AF65="","",INDEX(파견수련계획!$T$4:$T$203,$AF65))))</f>
        <v/>
      </c>
      <c r="Q65" s="10">
        <f>IF($AF65="","",INDEX(파견수련계획!$S$4:$S$203,$AF65))</f>
        <v/>
      </c>
      <c r="R65" s="10">
        <f>IF($AF65="","",INDEX(파견수련계획!$U$4:$U$203,$AF65))</f>
        <v/>
      </c>
      <c r="S65" s="11">
        <f>IF($AF65="","",IF(INDEX(파견수련계획!$H$4:$H$203,$AF65)="","",INDEX(파견수련계획!$H$4:$H$203,$AF65)))</f>
        <v/>
      </c>
      <c r="T65" s="11">
        <f>IF($AF65="","",IF(INDEX(파견수련계획!$I$4:$I$203,$AF65)="","",INDEX(파견수련계획!$I$4:$I$203,$AF65)))</f>
        <v/>
      </c>
      <c r="U65" s="10">
        <f>IF($AF65="","",INDEX(파견수련계획!$X$4:$X$203,$AF65))</f>
        <v/>
      </c>
      <c r="V65" s="17">
        <f>IF($AF65="","",INDEX(파견수련계획!$V$4:$V$203,$AF65))</f>
        <v/>
      </c>
      <c r="W65" s="17">
        <f>IF(AND($U65="파견중",$T65&lt;&gt;""),$T65-TODAY(),"")</f>
        <v/>
      </c>
      <c r="X65" s="17">
        <f>IF(OR($B65="",TRIM($J65&amp;"")=""),"",SUMPRODUCT((파견수련계획!$Q$4:$Q$203=TRIM($J65&amp;""))*파견수련계획!$W$4:$W$203))</f>
        <v/>
      </c>
      <c r="Y65" s="10">
        <f>IF($B65="","",IF($AG65="","",IF(IF(TRIM($J65&amp;"")="",0,SUMPRODUCT((파견수련계획!$Q$4:$Q$203=TRIM($J65&amp;""))*파견수련계획!$AD$4:$AD$203))&gt;0,$AE65,IF(N($X65)&lt;=0,$AG65,IF($AH65+$AI65=DAY(EOMONTH(요약!$B$3,0)),IF(AND($AH65&gt;=요약!$E$3,$AI65&lt;요약!$E$3),"서울병원",IF(AND($AI65&gt;=요약!$E$3,$AH65&lt;요약!$E$3),"구리병원","⚠15일 판정불가(서울 "&amp;$AH65&amp;"일/구리 "&amp;$AI65&amp;"일)")),IF($AJ65="",$AE65,IF(INDEX(파견수련계획!$T$4:$T$203,$AJ65)="통합수련",INDEX(파견수련계획!$S$4:$S$203,$AJ65),$AE65)))))))</f>
        <v/>
      </c>
      <c r="Z65" s="19">
        <f>IF($B65="","",IF($AB65="","기본자료에 없는 사번",IF(COUNTIF($B$2:$B$201,$B65)&gt;1,"중복 사번",IF($AE65="","소속(입사장소) 입력",IF(IF(TRIM($J65&amp;"")="",0,SUMPRODUCT((파견수련계획!$Q$4:$Q$203=TRIM($J65&amp;""))*(파견수련계획!$AA$4:$AA$203&lt;&gt;"")))&gt;0,"파견수련계획 입력오류 확인",IF(LEFT($Y65,1)="⚠","서울·구리 15일 판정 불가(양쪽 모두 이상/미만)",IF(IF($AC65="",0,N(INDEX(인턴근무계획!$T$3:$T$202,$AC65)))&gt;0,"인턴계획 입력오류 확인",IF(AND($AC65&lt;&gt;"",$U65&lt;&gt;"파견중",$N65&lt;&gt;$AE65),"인턴 타지역 근무: 파견 여부 확인","정상"))))))))</f>
        <v/>
      </c>
      <c r="AA65" s="5" t="n"/>
      <c r="AB65" s="10">
        <f>IF($B65="","",IFERROR(MATCH($B65,기본자료!$B$2:$B$501,0),IFERROR(MATCH($B65&amp;"",기본자료!$B$2:$B$501,0),IFERROR(MATCH(VALUE($B65),기본자료!$B$2:$B$501,0),""))))</f>
        <v/>
      </c>
      <c r="AC65" s="10">
        <f>IF($B65="","",IFERROR(MATCH($B65,인턴근무계획!$D$3:$D$202,0),IFERROR(MATCH($B65&amp;"",인턴근무계획!$D$3:$D$202,0),IFERROR(MATCH(VALUE($B65),인턴근무계획!$D$3:$D$202,0),""))))</f>
        <v/>
      </c>
      <c r="AD65" s="10">
        <f>IF(OR($AC65="",인턴현황!$G$3=""),"",INDEX(인턴근무계획!$M$3:$R$202,$AC65,인턴현황!$G$3)&amp;"")</f>
        <v/>
      </c>
      <c r="AE65" s="10">
        <f>IF($B65="","",IF($M65&lt;&gt;"",$M65,IF($AF65&lt;&gt;"",IF(LEFT(INDEX(파견수련계획!$R$4:$R$203,$AF65),1)&lt;&gt;"⚠",INDEX(파견수련계획!$R$4:$R$203,$AF65),IF($H65="","",IF(RIGHT($H65,2)="병원",$H65,$H65&amp;"병원"))),IF($H65="","",IF(RIGHT($H65,2)="병원",$H65,$H65&amp;"병원")))))</f>
        <v/>
      </c>
      <c r="AF65" s="10">
        <f>IF(OR($B65="",TRIM($J65&amp;"")=""),"",IFERROR(MATCH(TRIM($J65&amp;"")&amp;"|파견중",파견수련계획!$Y$4:$Y$203,0),IFERROR(MATCH(TRIM($J65&amp;"")&amp;"|파견예정",파견수련계획!$Y$4:$Y$203,0),IFERROR(MATCH(TRIM($J65&amp;"")&amp;"|파견종료",파견수련계획!$Y$4:$Y$203,0),""))))</f>
        <v/>
      </c>
      <c r="AG65" s="10">
        <f>IF($B65="","",IF(AND(IF(OR($AC65="",인턴현황!$K$2=""),"",INDEX(인턴근무계획!$M$3:$R$202,$AC65,인턴현황!$K$2)&amp;"")&lt;&gt;"",LEFT(IF(OR($AC65="",인턴현황!$K$2=""),"",INDEX(인턴근무계획!$M$3:$R$202,$AC65,인턴현황!$K$2)&amp;""),1)&lt;&gt;"⚠"),LEFT(IF(OR($AC65="",인턴현황!$K$2=""),"",INDEX(인턴근무계획!$M$3:$R$202,$AC65,인턴현황!$K$2)&amp;""),FIND(" ",IF(OR($AC65="",인턴현황!$K$2=""),"",INDEX(인턴근무계획!$M$3:$R$202,$AC65,인턴현황!$K$2)&amp;""))-1),$AE65))</f>
        <v/>
      </c>
      <c r="AH65" s="17">
        <f>IF($B65="","",IF(TRIM($J65&amp;"")="",0,SUMPRODUCT((파견수련계획!$Q$4:$Q$203=TRIM($J65&amp;""))*(파견수련계획!$S$4:$S$203="서울병원")*파견수련계획!$W$4:$W$203))+IF($AG65="서울병원",MAX(0,DAY(EOMONTH(요약!$B$3,0))-N($X65)),0))</f>
        <v/>
      </c>
      <c r="AI65" s="17">
        <f>IF($B65="","",IF(TRIM($J65&amp;"")="",0,SUMPRODUCT((파견수련계획!$Q$4:$Q$203=TRIM($J65&amp;""))*(파견수련계획!$S$4:$S$203="구리병원")*파견수련계획!$W$4:$W$203))+IF($AG65="구리병원",MAX(0,DAY(EOMONTH(요약!$B$3,0))-N($X65)),0))</f>
        <v/>
      </c>
      <c r="AJ65" s="10">
        <f>IF(OR($B65="",TRIM($J65&amp;"")=""),"",IFERROR(MATCH(TRIM($J65&amp;"")&amp;"|월",파견수련계획!$Z$4:$Z$203,0),""))</f>
        <v/>
      </c>
      <c r="AK65" s="10">
        <f>IF(OR($B65="",TRIM($J65&amp;"")=""),"",IFERROR(MATCH(TRIM($J65&amp;"")&amp;"|다기관",파견수련계획!$AE$4:$AE$203,0),""))</f>
        <v/>
      </c>
      <c r="AL65" s="10">
        <f>IF($AK65="","","다기관 "&amp;TEXT(INDEX(파견수련계획!$AB$4:$AB$203,$AK65),"yyyy-mm-dd")&amp;"~"&amp;IF(ISNUMBER(INDEX(파견수련계획!$AC$4:$AC$203,$AK65)),TEXT(INDEX(파견수련계획!$AC$4:$AC$203,$AK65),"yyyy-mm-dd"),""))</f>
        <v/>
      </c>
    </row>
    <row r="66">
      <c r="A66" s="10">
        <f>IF(B66="","",ROW()-1)</f>
        <v/>
      </c>
      <c r="B66" s="18" t="n"/>
      <c r="C66" s="10">
        <f>IF($AB66="","",IF(INDEX(기본자료!$C$2:$C$501,$AB66)="","",INDEX(기본자료!$C$2:$C$501,$AB66)))</f>
        <v/>
      </c>
      <c r="D66" s="10">
        <f>IF($AB66="","",IF(INDEX(기본자료!$J$2:$J$501,$AB66)="","",INDEX(기본자료!$J$2:$J$501,$AB66)))</f>
        <v/>
      </c>
      <c r="E66" s="11">
        <f>IF($AB66="","",IF(INDEX(기본자료!$K$2:$K$501,$AB66)="","",IF(NOT(ISNUMBER(INDEX(기본자료!$K$2:$K$501,$AB66))),INDEX(기본자료!$K$2:$K$501,$AB66),IF(INDEX(기본자료!$K$2:$K$501,$AB66)&lt;1000000,INDEX(기본자료!$K$2:$K$501,$AB66),IF(AND(INDEX(기본자료!$K$2:$K$501,$AB66)&gt;=10000101,INT(MOD(INDEX(기본자료!$K$2:$K$501,$AB66),10000)/100)&gt;=1,INT(MOD(INDEX(기본자료!$K$2:$K$501,$AB66),10000)/100)&lt;=12,MOD(INDEX(기본자료!$K$2:$K$501,$AB66),100)&gt;=1,MOD(INDEX(기본자료!$K$2:$K$501,$AB66),100)&lt;=31),DATE(INT(INDEX(기본자료!$K$2:$K$501,$AB66)/10000),INT(MOD(INDEX(기본자료!$K$2:$K$501,$AB66),10000)/100),MOD(INDEX(기본자료!$K$2:$K$501,$AB66),100)),INDEX(기본자료!$K$2:$K$501,$AB66)&amp;"")))))</f>
        <v/>
      </c>
      <c r="F66" s="10">
        <f>IF($AB66="","",IF(INDEX(기본자료!$D$2:$D$501,$AB66)="","",INDEX(기본자료!$D$2:$D$501,$AB66)))</f>
        <v/>
      </c>
      <c r="G66" s="10">
        <f>IF($AB66="","",IF(INDEX(기본자료!$E$2:$E$501,$AB66)="","",INDEX(기본자료!$E$2:$E$501,$AB66)))</f>
        <v/>
      </c>
      <c r="H66" s="10">
        <f>IF($AB66="","",IF(INDEX(기본자료!$F$2:$F$501,$AB66)="","",INDEX(기본자료!$F$2:$F$501,$AB66)))</f>
        <v/>
      </c>
      <c r="I66" s="11">
        <f>IF($AB66="","",IF(INDEX(기본자료!$G$2:$G$501,$AB66)="","",IF(NOT(ISNUMBER(INDEX(기본자료!$G$2:$G$501,$AB66))),INDEX(기본자료!$G$2:$G$501,$AB66),IF(INDEX(기본자료!$G$2:$G$501,$AB66)&lt;1000000,INDEX(기본자료!$G$2:$G$501,$AB66),IF(AND(INDEX(기본자료!$G$2:$G$501,$AB66)&gt;=10000101,INT(MOD(INDEX(기본자료!$G$2:$G$501,$AB66),10000)/100)&gt;=1,INT(MOD(INDEX(기본자료!$G$2:$G$501,$AB66),10000)/100)&lt;=12,MOD(INDEX(기본자료!$G$2:$G$501,$AB66),100)&gt;=1,MOD(INDEX(기본자료!$G$2:$G$501,$AB66),100)&lt;=31),DATE(INT(INDEX(기본자료!$G$2:$G$501,$AB66)/10000),INT(MOD(INDEX(기본자료!$G$2:$G$501,$AB66),10000)/100),MOD(INDEX(기본자료!$G$2:$G$501,$AB66),100)),INDEX(기본자료!$G$2:$G$501,$AB66)&amp;"")))))</f>
        <v/>
      </c>
      <c r="J66" s="10">
        <f>IF($AB66="","",IF(INDEX(기본자료!$H$2:$H$501,$AB66)="","",INDEX(기본자료!$H$2:$H$501,$AB66)))</f>
        <v/>
      </c>
      <c r="K66" s="10">
        <f>IF($AB66="","",IF(INDEX(기본자료!$I$2:$I$501,$AB66)="","",INDEX(기본자료!$I$2:$I$501,$AB66)))</f>
        <v/>
      </c>
      <c r="L66" s="10">
        <f>IF($AB66="","",IF(INDEX(기본자료!$A$2:$A$501,$AB66)="","",INDEX(기본자료!$A$2:$A$501,$AB66)))</f>
        <v/>
      </c>
      <c r="M66" s="15" t="n"/>
      <c r="N66" s="10">
        <f>IF($B66="","",IF(AND($U66="파견중",$Q66&lt;&gt;""),$Q66,IF(AND($AD66&lt;&gt;"",LEFT($AD66,1)&lt;&gt;"⚠"),LEFT($AD66,FIND(" ",$AD66)-1),IF($H66="","",IF(RIGHT($H66,2)="병원",$H66,$H66&amp;"병원")))))</f>
        <v/>
      </c>
      <c r="O66" s="10">
        <f>IF($B66="","",IF(AND($U66="파견중",$Q66&lt;&gt;""),IF($R66&lt;&gt;"",$R66,"파견과 미입력"),IF(AND($AD66&lt;&gt;"",LEFT($AD66,1)&lt;&gt;"⚠"),MID($AD66,FIND(" ",$AD66)+1,60),IF($F66="","",IF($F66="인턴","수련교육부(인턴)",$F66)))))</f>
        <v/>
      </c>
      <c r="P66" s="10">
        <f>IF($B66="","",IF($AK66&lt;&gt;"",IF(AND(TODAY()&gt;=INDEX(파견수련계획!$AB$4:$AB$203,$AK66),OR(NOT(ISNUMBER(INDEX(파견수련계획!$AC$4:$AC$203,$AK66))),TODAY()&lt;=INDEX(파견수련계획!$AC$4:$AC$203,$AK66))),"다기관",IF($AF66="","",INDEX(파견수련계획!$T$4:$T$203,$AF66))),IF($AF66="","",INDEX(파견수련계획!$T$4:$T$203,$AF66))))</f>
        <v/>
      </c>
      <c r="Q66" s="10">
        <f>IF($AF66="","",INDEX(파견수련계획!$S$4:$S$203,$AF66))</f>
        <v/>
      </c>
      <c r="R66" s="10">
        <f>IF($AF66="","",INDEX(파견수련계획!$U$4:$U$203,$AF66))</f>
        <v/>
      </c>
      <c r="S66" s="11">
        <f>IF($AF66="","",IF(INDEX(파견수련계획!$H$4:$H$203,$AF66)="","",INDEX(파견수련계획!$H$4:$H$203,$AF66)))</f>
        <v/>
      </c>
      <c r="T66" s="11">
        <f>IF($AF66="","",IF(INDEX(파견수련계획!$I$4:$I$203,$AF66)="","",INDEX(파견수련계획!$I$4:$I$203,$AF66)))</f>
        <v/>
      </c>
      <c r="U66" s="10">
        <f>IF($AF66="","",INDEX(파견수련계획!$X$4:$X$203,$AF66))</f>
        <v/>
      </c>
      <c r="V66" s="17">
        <f>IF($AF66="","",INDEX(파견수련계획!$V$4:$V$203,$AF66))</f>
        <v/>
      </c>
      <c r="W66" s="17">
        <f>IF(AND($U66="파견중",$T66&lt;&gt;""),$T66-TODAY(),"")</f>
        <v/>
      </c>
      <c r="X66" s="17">
        <f>IF(OR($B66="",TRIM($J66&amp;"")=""),"",SUMPRODUCT((파견수련계획!$Q$4:$Q$203=TRIM($J66&amp;""))*파견수련계획!$W$4:$W$203))</f>
        <v/>
      </c>
      <c r="Y66" s="10">
        <f>IF($B66="","",IF($AG66="","",IF(IF(TRIM($J66&amp;"")="",0,SUMPRODUCT((파견수련계획!$Q$4:$Q$203=TRIM($J66&amp;""))*파견수련계획!$AD$4:$AD$203))&gt;0,$AE66,IF(N($X66)&lt;=0,$AG66,IF($AH66+$AI66=DAY(EOMONTH(요약!$B$3,0)),IF(AND($AH66&gt;=요약!$E$3,$AI66&lt;요약!$E$3),"서울병원",IF(AND($AI66&gt;=요약!$E$3,$AH66&lt;요약!$E$3),"구리병원","⚠15일 판정불가(서울 "&amp;$AH66&amp;"일/구리 "&amp;$AI66&amp;"일)")),IF($AJ66="",$AE66,IF(INDEX(파견수련계획!$T$4:$T$203,$AJ66)="통합수련",INDEX(파견수련계획!$S$4:$S$203,$AJ66),$AE66)))))))</f>
        <v/>
      </c>
      <c r="Z66" s="19">
        <f>IF($B66="","",IF($AB66="","기본자료에 없는 사번",IF(COUNTIF($B$2:$B$201,$B66)&gt;1,"중복 사번",IF($AE66="","소속(입사장소) 입력",IF(IF(TRIM($J66&amp;"")="",0,SUMPRODUCT((파견수련계획!$Q$4:$Q$203=TRIM($J66&amp;""))*(파견수련계획!$AA$4:$AA$203&lt;&gt;"")))&gt;0,"파견수련계획 입력오류 확인",IF(LEFT($Y66,1)="⚠","서울·구리 15일 판정 불가(양쪽 모두 이상/미만)",IF(IF($AC66="",0,N(INDEX(인턴근무계획!$T$3:$T$202,$AC66)))&gt;0,"인턴계획 입력오류 확인",IF(AND($AC66&lt;&gt;"",$U66&lt;&gt;"파견중",$N66&lt;&gt;$AE66),"인턴 타지역 근무: 파견 여부 확인","정상"))))))))</f>
        <v/>
      </c>
      <c r="AA66" s="5" t="n"/>
      <c r="AB66" s="10">
        <f>IF($B66="","",IFERROR(MATCH($B66,기본자료!$B$2:$B$501,0),IFERROR(MATCH($B66&amp;"",기본자료!$B$2:$B$501,0),IFERROR(MATCH(VALUE($B66),기본자료!$B$2:$B$501,0),""))))</f>
        <v/>
      </c>
      <c r="AC66" s="10">
        <f>IF($B66="","",IFERROR(MATCH($B66,인턴근무계획!$D$3:$D$202,0),IFERROR(MATCH($B66&amp;"",인턴근무계획!$D$3:$D$202,0),IFERROR(MATCH(VALUE($B66),인턴근무계획!$D$3:$D$202,0),""))))</f>
        <v/>
      </c>
      <c r="AD66" s="10">
        <f>IF(OR($AC66="",인턴현황!$G$3=""),"",INDEX(인턴근무계획!$M$3:$R$202,$AC66,인턴현황!$G$3)&amp;"")</f>
        <v/>
      </c>
      <c r="AE66" s="10">
        <f>IF($B66="","",IF($M66&lt;&gt;"",$M66,IF($AF66&lt;&gt;"",IF(LEFT(INDEX(파견수련계획!$R$4:$R$203,$AF66),1)&lt;&gt;"⚠",INDEX(파견수련계획!$R$4:$R$203,$AF66),IF($H66="","",IF(RIGHT($H66,2)="병원",$H66,$H66&amp;"병원"))),IF($H66="","",IF(RIGHT($H66,2)="병원",$H66,$H66&amp;"병원")))))</f>
        <v/>
      </c>
      <c r="AF66" s="10">
        <f>IF(OR($B66="",TRIM($J66&amp;"")=""),"",IFERROR(MATCH(TRIM($J66&amp;"")&amp;"|파견중",파견수련계획!$Y$4:$Y$203,0),IFERROR(MATCH(TRIM($J66&amp;"")&amp;"|파견예정",파견수련계획!$Y$4:$Y$203,0),IFERROR(MATCH(TRIM($J66&amp;"")&amp;"|파견종료",파견수련계획!$Y$4:$Y$203,0),""))))</f>
        <v/>
      </c>
      <c r="AG66" s="10">
        <f>IF($B66="","",IF(AND(IF(OR($AC66="",인턴현황!$K$2=""),"",INDEX(인턴근무계획!$M$3:$R$202,$AC66,인턴현황!$K$2)&amp;"")&lt;&gt;"",LEFT(IF(OR($AC66="",인턴현황!$K$2=""),"",INDEX(인턴근무계획!$M$3:$R$202,$AC66,인턴현황!$K$2)&amp;""),1)&lt;&gt;"⚠"),LEFT(IF(OR($AC66="",인턴현황!$K$2=""),"",INDEX(인턴근무계획!$M$3:$R$202,$AC66,인턴현황!$K$2)&amp;""),FIND(" ",IF(OR($AC66="",인턴현황!$K$2=""),"",INDEX(인턴근무계획!$M$3:$R$202,$AC66,인턴현황!$K$2)&amp;""))-1),$AE66))</f>
        <v/>
      </c>
      <c r="AH66" s="17">
        <f>IF($B66="","",IF(TRIM($J66&amp;"")="",0,SUMPRODUCT((파견수련계획!$Q$4:$Q$203=TRIM($J66&amp;""))*(파견수련계획!$S$4:$S$203="서울병원")*파견수련계획!$W$4:$W$203))+IF($AG66="서울병원",MAX(0,DAY(EOMONTH(요약!$B$3,0))-N($X66)),0))</f>
        <v/>
      </c>
      <c r="AI66" s="17">
        <f>IF($B66="","",IF(TRIM($J66&amp;"")="",0,SUMPRODUCT((파견수련계획!$Q$4:$Q$203=TRIM($J66&amp;""))*(파견수련계획!$S$4:$S$203="구리병원")*파견수련계획!$W$4:$W$203))+IF($AG66="구리병원",MAX(0,DAY(EOMONTH(요약!$B$3,0))-N($X66)),0))</f>
        <v/>
      </c>
      <c r="AJ66" s="10">
        <f>IF(OR($B66="",TRIM($J66&amp;"")=""),"",IFERROR(MATCH(TRIM($J66&amp;"")&amp;"|월",파견수련계획!$Z$4:$Z$203,0),""))</f>
        <v/>
      </c>
      <c r="AK66" s="10">
        <f>IF(OR($B66="",TRIM($J66&amp;"")=""),"",IFERROR(MATCH(TRIM($J66&amp;"")&amp;"|다기관",파견수련계획!$AE$4:$AE$203,0),""))</f>
        <v/>
      </c>
      <c r="AL66" s="10">
        <f>IF($AK66="","","다기관 "&amp;TEXT(INDEX(파견수련계획!$AB$4:$AB$203,$AK66),"yyyy-mm-dd")&amp;"~"&amp;IF(ISNUMBER(INDEX(파견수련계획!$AC$4:$AC$203,$AK66)),TEXT(INDEX(파견수련계획!$AC$4:$AC$203,$AK66),"yyyy-mm-dd"),""))</f>
        <v/>
      </c>
    </row>
    <row r="67">
      <c r="A67" s="10">
        <f>IF(B67="","",ROW()-1)</f>
        <v/>
      </c>
      <c r="B67" s="18" t="n"/>
      <c r="C67" s="10">
        <f>IF($AB67="","",IF(INDEX(기본자료!$C$2:$C$501,$AB67)="","",INDEX(기본자료!$C$2:$C$501,$AB67)))</f>
        <v/>
      </c>
      <c r="D67" s="10">
        <f>IF($AB67="","",IF(INDEX(기본자료!$J$2:$J$501,$AB67)="","",INDEX(기본자료!$J$2:$J$501,$AB67)))</f>
        <v/>
      </c>
      <c r="E67" s="11">
        <f>IF($AB67="","",IF(INDEX(기본자료!$K$2:$K$501,$AB67)="","",IF(NOT(ISNUMBER(INDEX(기본자료!$K$2:$K$501,$AB67))),INDEX(기본자료!$K$2:$K$501,$AB67),IF(INDEX(기본자료!$K$2:$K$501,$AB67)&lt;1000000,INDEX(기본자료!$K$2:$K$501,$AB67),IF(AND(INDEX(기본자료!$K$2:$K$501,$AB67)&gt;=10000101,INT(MOD(INDEX(기본자료!$K$2:$K$501,$AB67),10000)/100)&gt;=1,INT(MOD(INDEX(기본자료!$K$2:$K$501,$AB67),10000)/100)&lt;=12,MOD(INDEX(기본자료!$K$2:$K$501,$AB67),100)&gt;=1,MOD(INDEX(기본자료!$K$2:$K$501,$AB67),100)&lt;=31),DATE(INT(INDEX(기본자료!$K$2:$K$501,$AB67)/10000),INT(MOD(INDEX(기본자료!$K$2:$K$501,$AB67),10000)/100),MOD(INDEX(기본자료!$K$2:$K$501,$AB67),100)),INDEX(기본자료!$K$2:$K$501,$AB67)&amp;"")))))</f>
        <v/>
      </c>
      <c r="F67" s="10">
        <f>IF($AB67="","",IF(INDEX(기본자료!$D$2:$D$501,$AB67)="","",INDEX(기본자료!$D$2:$D$501,$AB67)))</f>
        <v/>
      </c>
      <c r="G67" s="10">
        <f>IF($AB67="","",IF(INDEX(기본자료!$E$2:$E$501,$AB67)="","",INDEX(기본자료!$E$2:$E$501,$AB67)))</f>
        <v/>
      </c>
      <c r="H67" s="10">
        <f>IF($AB67="","",IF(INDEX(기본자료!$F$2:$F$501,$AB67)="","",INDEX(기본자료!$F$2:$F$501,$AB67)))</f>
        <v/>
      </c>
      <c r="I67" s="11">
        <f>IF($AB67="","",IF(INDEX(기본자료!$G$2:$G$501,$AB67)="","",IF(NOT(ISNUMBER(INDEX(기본자료!$G$2:$G$501,$AB67))),INDEX(기본자료!$G$2:$G$501,$AB67),IF(INDEX(기본자료!$G$2:$G$501,$AB67)&lt;1000000,INDEX(기본자료!$G$2:$G$501,$AB67),IF(AND(INDEX(기본자료!$G$2:$G$501,$AB67)&gt;=10000101,INT(MOD(INDEX(기본자료!$G$2:$G$501,$AB67),10000)/100)&gt;=1,INT(MOD(INDEX(기본자료!$G$2:$G$501,$AB67),10000)/100)&lt;=12,MOD(INDEX(기본자료!$G$2:$G$501,$AB67),100)&gt;=1,MOD(INDEX(기본자료!$G$2:$G$501,$AB67),100)&lt;=31),DATE(INT(INDEX(기본자료!$G$2:$G$501,$AB67)/10000),INT(MOD(INDEX(기본자료!$G$2:$G$501,$AB67),10000)/100),MOD(INDEX(기본자료!$G$2:$G$501,$AB67),100)),INDEX(기본자료!$G$2:$G$501,$AB67)&amp;"")))))</f>
        <v/>
      </c>
      <c r="J67" s="10">
        <f>IF($AB67="","",IF(INDEX(기본자료!$H$2:$H$501,$AB67)="","",INDEX(기본자료!$H$2:$H$501,$AB67)))</f>
        <v/>
      </c>
      <c r="K67" s="10">
        <f>IF($AB67="","",IF(INDEX(기본자료!$I$2:$I$501,$AB67)="","",INDEX(기본자료!$I$2:$I$501,$AB67)))</f>
        <v/>
      </c>
      <c r="L67" s="10">
        <f>IF($AB67="","",IF(INDEX(기본자료!$A$2:$A$501,$AB67)="","",INDEX(기본자료!$A$2:$A$501,$AB67)))</f>
        <v/>
      </c>
      <c r="M67" s="15" t="n"/>
      <c r="N67" s="10">
        <f>IF($B67="","",IF(AND($U67="파견중",$Q67&lt;&gt;""),$Q67,IF(AND($AD67&lt;&gt;"",LEFT($AD67,1)&lt;&gt;"⚠"),LEFT($AD67,FIND(" ",$AD67)-1),IF($H67="","",IF(RIGHT($H67,2)="병원",$H67,$H67&amp;"병원")))))</f>
        <v/>
      </c>
      <c r="O67" s="10">
        <f>IF($B67="","",IF(AND($U67="파견중",$Q67&lt;&gt;""),IF($R67&lt;&gt;"",$R67,"파견과 미입력"),IF(AND($AD67&lt;&gt;"",LEFT($AD67,1)&lt;&gt;"⚠"),MID($AD67,FIND(" ",$AD67)+1,60),IF($F67="","",IF($F67="인턴","수련교육부(인턴)",$F67)))))</f>
        <v/>
      </c>
      <c r="P67" s="10">
        <f>IF($B67="","",IF($AK67&lt;&gt;"",IF(AND(TODAY()&gt;=INDEX(파견수련계획!$AB$4:$AB$203,$AK67),OR(NOT(ISNUMBER(INDEX(파견수련계획!$AC$4:$AC$203,$AK67))),TODAY()&lt;=INDEX(파견수련계획!$AC$4:$AC$203,$AK67))),"다기관",IF($AF67="","",INDEX(파견수련계획!$T$4:$T$203,$AF67))),IF($AF67="","",INDEX(파견수련계획!$T$4:$T$203,$AF67))))</f>
        <v/>
      </c>
      <c r="Q67" s="10">
        <f>IF($AF67="","",INDEX(파견수련계획!$S$4:$S$203,$AF67))</f>
        <v/>
      </c>
      <c r="R67" s="10">
        <f>IF($AF67="","",INDEX(파견수련계획!$U$4:$U$203,$AF67))</f>
        <v/>
      </c>
      <c r="S67" s="11">
        <f>IF($AF67="","",IF(INDEX(파견수련계획!$H$4:$H$203,$AF67)="","",INDEX(파견수련계획!$H$4:$H$203,$AF67)))</f>
        <v/>
      </c>
      <c r="T67" s="11">
        <f>IF($AF67="","",IF(INDEX(파견수련계획!$I$4:$I$203,$AF67)="","",INDEX(파견수련계획!$I$4:$I$203,$AF67)))</f>
        <v/>
      </c>
      <c r="U67" s="10">
        <f>IF($AF67="","",INDEX(파견수련계획!$X$4:$X$203,$AF67))</f>
        <v/>
      </c>
      <c r="V67" s="17">
        <f>IF($AF67="","",INDEX(파견수련계획!$V$4:$V$203,$AF67))</f>
        <v/>
      </c>
      <c r="W67" s="17">
        <f>IF(AND($U67="파견중",$T67&lt;&gt;""),$T67-TODAY(),"")</f>
        <v/>
      </c>
      <c r="X67" s="17">
        <f>IF(OR($B67="",TRIM($J67&amp;"")=""),"",SUMPRODUCT((파견수련계획!$Q$4:$Q$203=TRIM($J67&amp;""))*파견수련계획!$W$4:$W$203))</f>
        <v/>
      </c>
      <c r="Y67" s="10">
        <f>IF($B67="","",IF($AG67="","",IF(IF(TRIM($J67&amp;"")="",0,SUMPRODUCT((파견수련계획!$Q$4:$Q$203=TRIM($J67&amp;""))*파견수련계획!$AD$4:$AD$203))&gt;0,$AE67,IF(N($X67)&lt;=0,$AG67,IF($AH67+$AI67=DAY(EOMONTH(요약!$B$3,0)),IF(AND($AH67&gt;=요약!$E$3,$AI67&lt;요약!$E$3),"서울병원",IF(AND($AI67&gt;=요약!$E$3,$AH67&lt;요약!$E$3),"구리병원","⚠15일 판정불가(서울 "&amp;$AH67&amp;"일/구리 "&amp;$AI67&amp;"일)")),IF($AJ67="",$AE67,IF(INDEX(파견수련계획!$T$4:$T$203,$AJ67)="통합수련",INDEX(파견수련계획!$S$4:$S$203,$AJ67),$AE67)))))))</f>
        <v/>
      </c>
      <c r="Z67" s="19">
        <f>IF($B67="","",IF($AB67="","기본자료에 없는 사번",IF(COUNTIF($B$2:$B$201,$B67)&gt;1,"중복 사번",IF($AE67="","소속(입사장소) 입력",IF(IF(TRIM($J67&amp;"")="",0,SUMPRODUCT((파견수련계획!$Q$4:$Q$203=TRIM($J67&amp;""))*(파견수련계획!$AA$4:$AA$203&lt;&gt;"")))&gt;0,"파견수련계획 입력오류 확인",IF(LEFT($Y67,1)="⚠","서울·구리 15일 판정 불가(양쪽 모두 이상/미만)",IF(IF($AC67="",0,N(INDEX(인턴근무계획!$T$3:$T$202,$AC67)))&gt;0,"인턴계획 입력오류 확인",IF(AND($AC67&lt;&gt;"",$U67&lt;&gt;"파견중",$N67&lt;&gt;$AE67),"인턴 타지역 근무: 파견 여부 확인","정상"))))))))</f>
        <v/>
      </c>
      <c r="AA67" s="5" t="n"/>
      <c r="AB67" s="10">
        <f>IF($B67="","",IFERROR(MATCH($B67,기본자료!$B$2:$B$501,0),IFERROR(MATCH($B67&amp;"",기본자료!$B$2:$B$501,0),IFERROR(MATCH(VALUE($B67),기본자료!$B$2:$B$501,0),""))))</f>
        <v/>
      </c>
      <c r="AC67" s="10">
        <f>IF($B67="","",IFERROR(MATCH($B67,인턴근무계획!$D$3:$D$202,0),IFERROR(MATCH($B67&amp;"",인턴근무계획!$D$3:$D$202,0),IFERROR(MATCH(VALUE($B67),인턴근무계획!$D$3:$D$202,0),""))))</f>
        <v/>
      </c>
      <c r="AD67" s="10">
        <f>IF(OR($AC67="",인턴현황!$G$3=""),"",INDEX(인턴근무계획!$M$3:$R$202,$AC67,인턴현황!$G$3)&amp;"")</f>
        <v/>
      </c>
      <c r="AE67" s="10">
        <f>IF($B67="","",IF($M67&lt;&gt;"",$M67,IF($AF67&lt;&gt;"",IF(LEFT(INDEX(파견수련계획!$R$4:$R$203,$AF67),1)&lt;&gt;"⚠",INDEX(파견수련계획!$R$4:$R$203,$AF67),IF($H67="","",IF(RIGHT($H67,2)="병원",$H67,$H67&amp;"병원"))),IF($H67="","",IF(RIGHT($H67,2)="병원",$H67,$H67&amp;"병원")))))</f>
        <v/>
      </c>
      <c r="AF67" s="10">
        <f>IF(OR($B67="",TRIM($J67&amp;"")=""),"",IFERROR(MATCH(TRIM($J67&amp;"")&amp;"|파견중",파견수련계획!$Y$4:$Y$203,0),IFERROR(MATCH(TRIM($J67&amp;"")&amp;"|파견예정",파견수련계획!$Y$4:$Y$203,0),IFERROR(MATCH(TRIM($J67&amp;"")&amp;"|파견종료",파견수련계획!$Y$4:$Y$203,0),""))))</f>
        <v/>
      </c>
      <c r="AG67" s="10">
        <f>IF($B67="","",IF(AND(IF(OR($AC67="",인턴현황!$K$2=""),"",INDEX(인턴근무계획!$M$3:$R$202,$AC67,인턴현황!$K$2)&amp;"")&lt;&gt;"",LEFT(IF(OR($AC67="",인턴현황!$K$2=""),"",INDEX(인턴근무계획!$M$3:$R$202,$AC67,인턴현황!$K$2)&amp;""),1)&lt;&gt;"⚠"),LEFT(IF(OR($AC67="",인턴현황!$K$2=""),"",INDEX(인턴근무계획!$M$3:$R$202,$AC67,인턴현황!$K$2)&amp;""),FIND(" ",IF(OR($AC67="",인턴현황!$K$2=""),"",INDEX(인턴근무계획!$M$3:$R$202,$AC67,인턴현황!$K$2)&amp;""))-1),$AE67))</f>
        <v/>
      </c>
      <c r="AH67" s="17">
        <f>IF($B67="","",IF(TRIM($J67&amp;"")="",0,SUMPRODUCT((파견수련계획!$Q$4:$Q$203=TRIM($J67&amp;""))*(파견수련계획!$S$4:$S$203="서울병원")*파견수련계획!$W$4:$W$203))+IF($AG67="서울병원",MAX(0,DAY(EOMONTH(요약!$B$3,0))-N($X67)),0))</f>
        <v/>
      </c>
      <c r="AI67" s="17">
        <f>IF($B67="","",IF(TRIM($J67&amp;"")="",0,SUMPRODUCT((파견수련계획!$Q$4:$Q$203=TRIM($J67&amp;""))*(파견수련계획!$S$4:$S$203="구리병원")*파견수련계획!$W$4:$W$203))+IF($AG67="구리병원",MAX(0,DAY(EOMONTH(요약!$B$3,0))-N($X67)),0))</f>
        <v/>
      </c>
      <c r="AJ67" s="10">
        <f>IF(OR($B67="",TRIM($J67&amp;"")=""),"",IFERROR(MATCH(TRIM($J67&amp;"")&amp;"|월",파견수련계획!$Z$4:$Z$203,0),""))</f>
        <v/>
      </c>
      <c r="AK67" s="10">
        <f>IF(OR($B67="",TRIM($J67&amp;"")=""),"",IFERROR(MATCH(TRIM($J67&amp;"")&amp;"|다기관",파견수련계획!$AE$4:$AE$203,0),""))</f>
        <v/>
      </c>
      <c r="AL67" s="10">
        <f>IF($AK67="","","다기관 "&amp;TEXT(INDEX(파견수련계획!$AB$4:$AB$203,$AK67),"yyyy-mm-dd")&amp;"~"&amp;IF(ISNUMBER(INDEX(파견수련계획!$AC$4:$AC$203,$AK67)),TEXT(INDEX(파견수련계획!$AC$4:$AC$203,$AK67),"yyyy-mm-dd"),""))</f>
        <v/>
      </c>
    </row>
    <row r="68">
      <c r="A68" s="10">
        <f>IF(B68="","",ROW()-1)</f>
        <v/>
      </c>
      <c r="B68" s="18" t="n"/>
      <c r="C68" s="10">
        <f>IF($AB68="","",IF(INDEX(기본자료!$C$2:$C$501,$AB68)="","",INDEX(기본자료!$C$2:$C$501,$AB68)))</f>
        <v/>
      </c>
      <c r="D68" s="10">
        <f>IF($AB68="","",IF(INDEX(기본자료!$J$2:$J$501,$AB68)="","",INDEX(기본자료!$J$2:$J$501,$AB68)))</f>
        <v/>
      </c>
      <c r="E68" s="11">
        <f>IF($AB68="","",IF(INDEX(기본자료!$K$2:$K$501,$AB68)="","",IF(NOT(ISNUMBER(INDEX(기본자료!$K$2:$K$501,$AB68))),INDEX(기본자료!$K$2:$K$501,$AB68),IF(INDEX(기본자료!$K$2:$K$501,$AB68)&lt;1000000,INDEX(기본자료!$K$2:$K$501,$AB68),IF(AND(INDEX(기본자료!$K$2:$K$501,$AB68)&gt;=10000101,INT(MOD(INDEX(기본자료!$K$2:$K$501,$AB68),10000)/100)&gt;=1,INT(MOD(INDEX(기본자료!$K$2:$K$501,$AB68),10000)/100)&lt;=12,MOD(INDEX(기본자료!$K$2:$K$501,$AB68),100)&gt;=1,MOD(INDEX(기본자료!$K$2:$K$501,$AB68),100)&lt;=31),DATE(INT(INDEX(기본자료!$K$2:$K$501,$AB68)/10000),INT(MOD(INDEX(기본자료!$K$2:$K$501,$AB68),10000)/100),MOD(INDEX(기본자료!$K$2:$K$501,$AB68),100)),INDEX(기본자료!$K$2:$K$501,$AB68)&amp;"")))))</f>
        <v/>
      </c>
      <c r="F68" s="10">
        <f>IF($AB68="","",IF(INDEX(기본자료!$D$2:$D$501,$AB68)="","",INDEX(기본자료!$D$2:$D$501,$AB68)))</f>
        <v/>
      </c>
      <c r="G68" s="10">
        <f>IF($AB68="","",IF(INDEX(기본자료!$E$2:$E$501,$AB68)="","",INDEX(기본자료!$E$2:$E$501,$AB68)))</f>
        <v/>
      </c>
      <c r="H68" s="10">
        <f>IF($AB68="","",IF(INDEX(기본자료!$F$2:$F$501,$AB68)="","",INDEX(기본자료!$F$2:$F$501,$AB68)))</f>
        <v/>
      </c>
      <c r="I68" s="11">
        <f>IF($AB68="","",IF(INDEX(기본자료!$G$2:$G$501,$AB68)="","",IF(NOT(ISNUMBER(INDEX(기본자료!$G$2:$G$501,$AB68))),INDEX(기본자료!$G$2:$G$501,$AB68),IF(INDEX(기본자료!$G$2:$G$501,$AB68)&lt;1000000,INDEX(기본자료!$G$2:$G$501,$AB68),IF(AND(INDEX(기본자료!$G$2:$G$501,$AB68)&gt;=10000101,INT(MOD(INDEX(기본자료!$G$2:$G$501,$AB68),10000)/100)&gt;=1,INT(MOD(INDEX(기본자료!$G$2:$G$501,$AB68),10000)/100)&lt;=12,MOD(INDEX(기본자료!$G$2:$G$501,$AB68),100)&gt;=1,MOD(INDEX(기본자료!$G$2:$G$501,$AB68),100)&lt;=31),DATE(INT(INDEX(기본자료!$G$2:$G$501,$AB68)/10000),INT(MOD(INDEX(기본자료!$G$2:$G$501,$AB68),10000)/100),MOD(INDEX(기본자료!$G$2:$G$501,$AB68),100)),INDEX(기본자료!$G$2:$G$501,$AB68)&amp;"")))))</f>
        <v/>
      </c>
      <c r="J68" s="10">
        <f>IF($AB68="","",IF(INDEX(기본자료!$H$2:$H$501,$AB68)="","",INDEX(기본자료!$H$2:$H$501,$AB68)))</f>
        <v/>
      </c>
      <c r="K68" s="10">
        <f>IF($AB68="","",IF(INDEX(기본자료!$I$2:$I$501,$AB68)="","",INDEX(기본자료!$I$2:$I$501,$AB68)))</f>
        <v/>
      </c>
      <c r="L68" s="10">
        <f>IF($AB68="","",IF(INDEX(기본자료!$A$2:$A$501,$AB68)="","",INDEX(기본자료!$A$2:$A$501,$AB68)))</f>
        <v/>
      </c>
      <c r="M68" s="15" t="n"/>
      <c r="N68" s="10">
        <f>IF($B68="","",IF(AND($U68="파견중",$Q68&lt;&gt;""),$Q68,IF(AND($AD68&lt;&gt;"",LEFT($AD68,1)&lt;&gt;"⚠"),LEFT($AD68,FIND(" ",$AD68)-1),IF($H68="","",IF(RIGHT($H68,2)="병원",$H68,$H68&amp;"병원")))))</f>
        <v/>
      </c>
      <c r="O68" s="10">
        <f>IF($B68="","",IF(AND($U68="파견중",$Q68&lt;&gt;""),IF($R68&lt;&gt;"",$R68,"파견과 미입력"),IF(AND($AD68&lt;&gt;"",LEFT($AD68,1)&lt;&gt;"⚠"),MID($AD68,FIND(" ",$AD68)+1,60),IF($F68="","",IF($F68="인턴","수련교육부(인턴)",$F68)))))</f>
        <v/>
      </c>
      <c r="P68" s="10">
        <f>IF($B68="","",IF($AK68&lt;&gt;"",IF(AND(TODAY()&gt;=INDEX(파견수련계획!$AB$4:$AB$203,$AK68),OR(NOT(ISNUMBER(INDEX(파견수련계획!$AC$4:$AC$203,$AK68))),TODAY()&lt;=INDEX(파견수련계획!$AC$4:$AC$203,$AK68))),"다기관",IF($AF68="","",INDEX(파견수련계획!$T$4:$T$203,$AF68))),IF($AF68="","",INDEX(파견수련계획!$T$4:$T$203,$AF68))))</f>
        <v/>
      </c>
      <c r="Q68" s="10">
        <f>IF($AF68="","",INDEX(파견수련계획!$S$4:$S$203,$AF68))</f>
        <v/>
      </c>
      <c r="R68" s="10">
        <f>IF($AF68="","",INDEX(파견수련계획!$U$4:$U$203,$AF68))</f>
        <v/>
      </c>
      <c r="S68" s="11">
        <f>IF($AF68="","",IF(INDEX(파견수련계획!$H$4:$H$203,$AF68)="","",INDEX(파견수련계획!$H$4:$H$203,$AF68)))</f>
        <v/>
      </c>
      <c r="T68" s="11">
        <f>IF($AF68="","",IF(INDEX(파견수련계획!$I$4:$I$203,$AF68)="","",INDEX(파견수련계획!$I$4:$I$203,$AF68)))</f>
        <v/>
      </c>
      <c r="U68" s="10">
        <f>IF($AF68="","",INDEX(파견수련계획!$X$4:$X$203,$AF68))</f>
        <v/>
      </c>
      <c r="V68" s="17">
        <f>IF($AF68="","",INDEX(파견수련계획!$V$4:$V$203,$AF68))</f>
        <v/>
      </c>
      <c r="W68" s="17">
        <f>IF(AND($U68="파견중",$T68&lt;&gt;""),$T68-TODAY(),"")</f>
        <v/>
      </c>
      <c r="X68" s="17">
        <f>IF(OR($B68="",TRIM($J68&amp;"")=""),"",SUMPRODUCT((파견수련계획!$Q$4:$Q$203=TRIM($J68&amp;""))*파견수련계획!$W$4:$W$203))</f>
        <v/>
      </c>
      <c r="Y68" s="10">
        <f>IF($B68="","",IF($AG68="","",IF(IF(TRIM($J68&amp;"")="",0,SUMPRODUCT((파견수련계획!$Q$4:$Q$203=TRIM($J68&amp;""))*파견수련계획!$AD$4:$AD$203))&gt;0,$AE68,IF(N($X68)&lt;=0,$AG68,IF($AH68+$AI68=DAY(EOMONTH(요약!$B$3,0)),IF(AND($AH68&gt;=요약!$E$3,$AI68&lt;요약!$E$3),"서울병원",IF(AND($AI68&gt;=요약!$E$3,$AH68&lt;요약!$E$3),"구리병원","⚠15일 판정불가(서울 "&amp;$AH68&amp;"일/구리 "&amp;$AI68&amp;"일)")),IF($AJ68="",$AE68,IF(INDEX(파견수련계획!$T$4:$T$203,$AJ68)="통합수련",INDEX(파견수련계획!$S$4:$S$203,$AJ68),$AE68)))))))</f>
        <v/>
      </c>
      <c r="Z68" s="19">
        <f>IF($B68="","",IF($AB68="","기본자료에 없는 사번",IF(COUNTIF($B$2:$B$201,$B68)&gt;1,"중복 사번",IF($AE68="","소속(입사장소) 입력",IF(IF(TRIM($J68&amp;"")="",0,SUMPRODUCT((파견수련계획!$Q$4:$Q$203=TRIM($J68&amp;""))*(파견수련계획!$AA$4:$AA$203&lt;&gt;"")))&gt;0,"파견수련계획 입력오류 확인",IF(LEFT($Y68,1)="⚠","서울·구리 15일 판정 불가(양쪽 모두 이상/미만)",IF(IF($AC68="",0,N(INDEX(인턴근무계획!$T$3:$T$202,$AC68)))&gt;0,"인턴계획 입력오류 확인",IF(AND($AC68&lt;&gt;"",$U68&lt;&gt;"파견중",$N68&lt;&gt;$AE68),"인턴 타지역 근무: 파견 여부 확인","정상"))))))))</f>
        <v/>
      </c>
      <c r="AA68" s="5" t="n"/>
      <c r="AB68" s="10">
        <f>IF($B68="","",IFERROR(MATCH($B68,기본자료!$B$2:$B$501,0),IFERROR(MATCH($B68&amp;"",기본자료!$B$2:$B$501,0),IFERROR(MATCH(VALUE($B68),기본자료!$B$2:$B$501,0),""))))</f>
        <v/>
      </c>
      <c r="AC68" s="10">
        <f>IF($B68="","",IFERROR(MATCH($B68,인턴근무계획!$D$3:$D$202,0),IFERROR(MATCH($B68&amp;"",인턴근무계획!$D$3:$D$202,0),IFERROR(MATCH(VALUE($B68),인턴근무계획!$D$3:$D$202,0),""))))</f>
        <v/>
      </c>
      <c r="AD68" s="10">
        <f>IF(OR($AC68="",인턴현황!$G$3=""),"",INDEX(인턴근무계획!$M$3:$R$202,$AC68,인턴현황!$G$3)&amp;"")</f>
        <v/>
      </c>
      <c r="AE68" s="10">
        <f>IF($B68="","",IF($M68&lt;&gt;"",$M68,IF($AF68&lt;&gt;"",IF(LEFT(INDEX(파견수련계획!$R$4:$R$203,$AF68),1)&lt;&gt;"⚠",INDEX(파견수련계획!$R$4:$R$203,$AF68),IF($H68="","",IF(RIGHT($H68,2)="병원",$H68,$H68&amp;"병원"))),IF($H68="","",IF(RIGHT($H68,2)="병원",$H68,$H68&amp;"병원")))))</f>
        <v/>
      </c>
      <c r="AF68" s="10">
        <f>IF(OR($B68="",TRIM($J68&amp;"")=""),"",IFERROR(MATCH(TRIM($J68&amp;"")&amp;"|파견중",파견수련계획!$Y$4:$Y$203,0),IFERROR(MATCH(TRIM($J68&amp;"")&amp;"|파견예정",파견수련계획!$Y$4:$Y$203,0),IFERROR(MATCH(TRIM($J68&amp;"")&amp;"|파견종료",파견수련계획!$Y$4:$Y$203,0),""))))</f>
        <v/>
      </c>
      <c r="AG68" s="10">
        <f>IF($B68="","",IF(AND(IF(OR($AC68="",인턴현황!$K$2=""),"",INDEX(인턴근무계획!$M$3:$R$202,$AC68,인턴현황!$K$2)&amp;"")&lt;&gt;"",LEFT(IF(OR($AC68="",인턴현황!$K$2=""),"",INDEX(인턴근무계획!$M$3:$R$202,$AC68,인턴현황!$K$2)&amp;""),1)&lt;&gt;"⚠"),LEFT(IF(OR($AC68="",인턴현황!$K$2=""),"",INDEX(인턴근무계획!$M$3:$R$202,$AC68,인턴현황!$K$2)&amp;""),FIND(" ",IF(OR($AC68="",인턴현황!$K$2=""),"",INDEX(인턴근무계획!$M$3:$R$202,$AC68,인턴현황!$K$2)&amp;""))-1),$AE68))</f>
        <v/>
      </c>
      <c r="AH68" s="17">
        <f>IF($B68="","",IF(TRIM($J68&amp;"")="",0,SUMPRODUCT((파견수련계획!$Q$4:$Q$203=TRIM($J68&amp;""))*(파견수련계획!$S$4:$S$203="서울병원")*파견수련계획!$W$4:$W$203))+IF($AG68="서울병원",MAX(0,DAY(EOMONTH(요약!$B$3,0))-N($X68)),0))</f>
        <v/>
      </c>
      <c r="AI68" s="17">
        <f>IF($B68="","",IF(TRIM($J68&amp;"")="",0,SUMPRODUCT((파견수련계획!$Q$4:$Q$203=TRIM($J68&amp;""))*(파견수련계획!$S$4:$S$203="구리병원")*파견수련계획!$W$4:$W$203))+IF($AG68="구리병원",MAX(0,DAY(EOMONTH(요약!$B$3,0))-N($X68)),0))</f>
        <v/>
      </c>
      <c r="AJ68" s="10">
        <f>IF(OR($B68="",TRIM($J68&amp;"")=""),"",IFERROR(MATCH(TRIM($J68&amp;"")&amp;"|월",파견수련계획!$Z$4:$Z$203,0),""))</f>
        <v/>
      </c>
      <c r="AK68" s="10">
        <f>IF(OR($B68="",TRIM($J68&amp;"")=""),"",IFERROR(MATCH(TRIM($J68&amp;"")&amp;"|다기관",파견수련계획!$AE$4:$AE$203,0),""))</f>
        <v/>
      </c>
      <c r="AL68" s="10">
        <f>IF($AK68="","","다기관 "&amp;TEXT(INDEX(파견수련계획!$AB$4:$AB$203,$AK68),"yyyy-mm-dd")&amp;"~"&amp;IF(ISNUMBER(INDEX(파견수련계획!$AC$4:$AC$203,$AK68)),TEXT(INDEX(파견수련계획!$AC$4:$AC$203,$AK68),"yyyy-mm-dd"),""))</f>
        <v/>
      </c>
    </row>
    <row r="69">
      <c r="A69" s="10">
        <f>IF(B69="","",ROW()-1)</f>
        <v/>
      </c>
      <c r="B69" s="18" t="n"/>
      <c r="C69" s="10">
        <f>IF($AB69="","",IF(INDEX(기본자료!$C$2:$C$501,$AB69)="","",INDEX(기본자료!$C$2:$C$501,$AB69)))</f>
        <v/>
      </c>
      <c r="D69" s="10">
        <f>IF($AB69="","",IF(INDEX(기본자료!$J$2:$J$501,$AB69)="","",INDEX(기본자료!$J$2:$J$501,$AB69)))</f>
        <v/>
      </c>
      <c r="E69" s="11">
        <f>IF($AB69="","",IF(INDEX(기본자료!$K$2:$K$501,$AB69)="","",IF(NOT(ISNUMBER(INDEX(기본자료!$K$2:$K$501,$AB69))),INDEX(기본자료!$K$2:$K$501,$AB69),IF(INDEX(기본자료!$K$2:$K$501,$AB69)&lt;1000000,INDEX(기본자료!$K$2:$K$501,$AB69),IF(AND(INDEX(기본자료!$K$2:$K$501,$AB69)&gt;=10000101,INT(MOD(INDEX(기본자료!$K$2:$K$501,$AB69),10000)/100)&gt;=1,INT(MOD(INDEX(기본자료!$K$2:$K$501,$AB69),10000)/100)&lt;=12,MOD(INDEX(기본자료!$K$2:$K$501,$AB69),100)&gt;=1,MOD(INDEX(기본자료!$K$2:$K$501,$AB69),100)&lt;=31),DATE(INT(INDEX(기본자료!$K$2:$K$501,$AB69)/10000),INT(MOD(INDEX(기본자료!$K$2:$K$501,$AB69),10000)/100),MOD(INDEX(기본자료!$K$2:$K$501,$AB69),100)),INDEX(기본자료!$K$2:$K$501,$AB69)&amp;"")))))</f>
        <v/>
      </c>
      <c r="F69" s="10">
        <f>IF($AB69="","",IF(INDEX(기본자료!$D$2:$D$501,$AB69)="","",INDEX(기본자료!$D$2:$D$501,$AB69)))</f>
        <v/>
      </c>
      <c r="G69" s="10">
        <f>IF($AB69="","",IF(INDEX(기본자료!$E$2:$E$501,$AB69)="","",INDEX(기본자료!$E$2:$E$501,$AB69)))</f>
        <v/>
      </c>
      <c r="H69" s="10">
        <f>IF($AB69="","",IF(INDEX(기본자료!$F$2:$F$501,$AB69)="","",INDEX(기본자료!$F$2:$F$501,$AB69)))</f>
        <v/>
      </c>
      <c r="I69" s="11">
        <f>IF($AB69="","",IF(INDEX(기본자료!$G$2:$G$501,$AB69)="","",IF(NOT(ISNUMBER(INDEX(기본자료!$G$2:$G$501,$AB69))),INDEX(기본자료!$G$2:$G$501,$AB69),IF(INDEX(기본자료!$G$2:$G$501,$AB69)&lt;1000000,INDEX(기본자료!$G$2:$G$501,$AB69),IF(AND(INDEX(기본자료!$G$2:$G$501,$AB69)&gt;=10000101,INT(MOD(INDEX(기본자료!$G$2:$G$501,$AB69),10000)/100)&gt;=1,INT(MOD(INDEX(기본자료!$G$2:$G$501,$AB69),10000)/100)&lt;=12,MOD(INDEX(기본자료!$G$2:$G$501,$AB69),100)&gt;=1,MOD(INDEX(기본자료!$G$2:$G$501,$AB69),100)&lt;=31),DATE(INT(INDEX(기본자료!$G$2:$G$501,$AB69)/10000),INT(MOD(INDEX(기본자료!$G$2:$G$501,$AB69),10000)/100),MOD(INDEX(기본자료!$G$2:$G$501,$AB69),100)),INDEX(기본자료!$G$2:$G$501,$AB69)&amp;"")))))</f>
        <v/>
      </c>
      <c r="J69" s="10">
        <f>IF($AB69="","",IF(INDEX(기본자료!$H$2:$H$501,$AB69)="","",INDEX(기본자료!$H$2:$H$501,$AB69)))</f>
        <v/>
      </c>
      <c r="K69" s="10">
        <f>IF($AB69="","",IF(INDEX(기본자료!$I$2:$I$501,$AB69)="","",INDEX(기본자료!$I$2:$I$501,$AB69)))</f>
        <v/>
      </c>
      <c r="L69" s="10">
        <f>IF($AB69="","",IF(INDEX(기본자료!$A$2:$A$501,$AB69)="","",INDEX(기본자료!$A$2:$A$501,$AB69)))</f>
        <v/>
      </c>
      <c r="M69" s="15" t="n"/>
      <c r="N69" s="10">
        <f>IF($B69="","",IF(AND($U69="파견중",$Q69&lt;&gt;""),$Q69,IF(AND($AD69&lt;&gt;"",LEFT($AD69,1)&lt;&gt;"⚠"),LEFT($AD69,FIND(" ",$AD69)-1),IF($H69="","",IF(RIGHT($H69,2)="병원",$H69,$H69&amp;"병원")))))</f>
        <v/>
      </c>
      <c r="O69" s="10">
        <f>IF($B69="","",IF(AND($U69="파견중",$Q69&lt;&gt;""),IF($R69&lt;&gt;"",$R69,"파견과 미입력"),IF(AND($AD69&lt;&gt;"",LEFT($AD69,1)&lt;&gt;"⚠"),MID($AD69,FIND(" ",$AD69)+1,60),IF($F69="","",IF($F69="인턴","수련교육부(인턴)",$F69)))))</f>
        <v/>
      </c>
      <c r="P69" s="10">
        <f>IF($B69="","",IF($AK69&lt;&gt;"",IF(AND(TODAY()&gt;=INDEX(파견수련계획!$AB$4:$AB$203,$AK69),OR(NOT(ISNUMBER(INDEX(파견수련계획!$AC$4:$AC$203,$AK69))),TODAY()&lt;=INDEX(파견수련계획!$AC$4:$AC$203,$AK69))),"다기관",IF($AF69="","",INDEX(파견수련계획!$T$4:$T$203,$AF69))),IF($AF69="","",INDEX(파견수련계획!$T$4:$T$203,$AF69))))</f>
        <v/>
      </c>
      <c r="Q69" s="10">
        <f>IF($AF69="","",INDEX(파견수련계획!$S$4:$S$203,$AF69))</f>
        <v/>
      </c>
      <c r="R69" s="10">
        <f>IF($AF69="","",INDEX(파견수련계획!$U$4:$U$203,$AF69))</f>
        <v/>
      </c>
      <c r="S69" s="11">
        <f>IF($AF69="","",IF(INDEX(파견수련계획!$H$4:$H$203,$AF69)="","",INDEX(파견수련계획!$H$4:$H$203,$AF69)))</f>
        <v/>
      </c>
      <c r="T69" s="11">
        <f>IF($AF69="","",IF(INDEX(파견수련계획!$I$4:$I$203,$AF69)="","",INDEX(파견수련계획!$I$4:$I$203,$AF69)))</f>
        <v/>
      </c>
      <c r="U69" s="10">
        <f>IF($AF69="","",INDEX(파견수련계획!$X$4:$X$203,$AF69))</f>
        <v/>
      </c>
      <c r="V69" s="17">
        <f>IF($AF69="","",INDEX(파견수련계획!$V$4:$V$203,$AF69))</f>
        <v/>
      </c>
      <c r="W69" s="17">
        <f>IF(AND($U69="파견중",$T69&lt;&gt;""),$T69-TODAY(),"")</f>
        <v/>
      </c>
      <c r="X69" s="17">
        <f>IF(OR($B69="",TRIM($J69&amp;"")=""),"",SUMPRODUCT((파견수련계획!$Q$4:$Q$203=TRIM($J69&amp;""))*파견수련계획!$W$4:$W$203))</f>
        <v/>
      </c>
      <c r="Y69" s="10">
        <f>IF($B69="","",IF($AG69="","",IF(IF(TRIM($J69&amp;"")="",0,SUMPRODUCT((파견수련계획!$Q$4:$Q$203=TRIM($J69&amp;""))*파견수련계획!$AD$4:$AD$203))&gt;0,$AE69,IF(N($X69)&lt;=0,$AG69,IF($AH69+$AI69=DAY(EOMONTH(요약!$B$3,0)),IF(AND($AH69&gt;=요약!$E$3,$AI69&lt;요약!$E$3),"서울병원",IF(AND($AI69&gt;=요약!$E$3,$AH69&lt;요약!$E$3),"구리병원","⚠15일 판정불가(서울 "&amp;$AH69&amp;"일/구리 "&amp;$AI69&amp;"일)")),IF($AJ69="",$AE69,IF(INDEX(파견수련계획!$T$4:$T$203,$AJ69)="통합수련",INDEX(파견수련계획!$S$4:$S$203,$AJ69),$AE69)))))))</f>
        <v/>
      </c>
      <c r="Z69" s="19">
        <f>IF($B69="","",IF($AB69="","기본자료에 없는 사번",IF(COUNTIF($B$2:$B$201,$B69)&gt;1,"중복 사번",IF($AE69="","소속(입사장소) 입력",IF(IF(TRIM($J69&amp;"")="",0,SUMPRODUCT((파견수련계획!$Q$4:$Q$203=TRIM($J69&amp;""))*(파견수련계획!$AA$4:$AA$203&lt;&gt;"")))&gt;0,"파견수련계획 입력오류 확인",IF(LEFT($Y69,1)="⚠","서울·구리 15일 판정 불가(양쪽 모두 이상/미만)",IF(IF($AC69="",0,N(INDEX(인턴근무계획!$T$3:$T$202,$AC69)))&gt;0,"인턴계획 입력오류 확인",IF(AND($AC69&lt;&gt;"",$U69&lt;&gt;"파견중",$N69&lt;&gt;$AE69),"인턴 타지역 근무: 파견 여부 확인","정상"))))))))</f>
        <v/>
      </c>
      <c r="AA69" s="5" t="n"/>
      <c r="AB69" s="10">
        <f>IF($B69="","",IFERROR(MATCH($B69,기본자료!$B$2:$B$501,0),IFERROR(MATCH($B69&amp;"",기본자료!$B$2:$B$501,0),IFERROR(MATCH(VALUE($B69),기본자료!$B$2:$B$501,0),""))))</f>
        <v/>
      </c>
      <c r="AC69" s="10">
        <f>IF($B69="","",IFERROR(MATCH($B69,인턴근무계획!$D$3:$D$202,0),IFERROR(MATCH($B69&amp;"",인턴근무계획!$D$3:$D$202,0),IFERROR(MATCH(VALUE($B69),인턴근무계획!$D$3:$D$202,0),""))))</f>
        <v/>
      </c>
      <c r="AD69" s="10">
        <f>IF(OR($AC69="",인턴현황!$G$3=""),"",INDEX(인턴근무계획!$M$3:$R$202,$AC69,인턴현황!$G$3)&amp;"")</f>
        <v/>
      </c>
      <c r="AE69" s="10">
        <f>IF($B69="","",IF($M69&lt;&gt;"",$M69,IF($AF69&lt;&gt;"",IF(LEFT(INDEX(파견수련계획!$R$4:$R$203,$AF69),1)&lt;&gt;"⚠",INDEX(파견수련계획!$R$4:$R$203,$AF69),IF($H69="","",IF(RIGHT($H69,2)="병원",$H69,$H69&amp;"병원"))),IF($H69="","",IF(RIGHT($H69,2)="병원",$H69,$H69&amp;"병원")))))</f>
        <v/>
      </c>
      <c r="AF69" s="10">
        <f>IF(OR($B69="",TRIM($J69&amp;"")=""),"",IFERROR(MATCH(TRIM($J69&amp;"")&amp;"|파견중",파견수련계획!$Y$4:$Y$203,0),IFERROR(MATCH(TRIM($J69&amp;"")&amp;"|파견예정",파견수련계획!$Y$4:$Y$203,0),IFERROR(MATCH(TRIM($J69&amp;"")&amp;"|파견종료",파견수련계획!$Y$4:$Y$203,0),""))))</f>
        <v/>
      </c>
      <c r="AG69" s="10">
        <f>IF($B69="","",IF(AND(IF(OR($AC69="",인턴현황!$K$2=""),"",INDEX(인턴근무계획!$M$3:$R$202,$AC69,인턴현황!$K$2)&amp;"")&lt;&gt;"",LEFT(IF(OR($AC69="",인턴현황!$K$2=""),"",INDEX(인턴근무계획!$M$3:$R$202,$AC69,인턴현황!$K$2)&amp;""),1)&lt;&gt;"⚠"),LEFT(IF(OR($AC69="",인턴현황!$K$2=""),"",INDEX(인턴근무계획!$M$3:$R$202,$AC69,인턴현황!$K$2)&amp;""),FIND(" ",IF(OR($AC69="",인턴현황!$K$2=""),"",INDEX(인턴근무계획!$M$3:$R$202,$AC69,인턴현황!$K$2)&amp;""))-1),$AE69))</f>
        <v/>
      </c>
      <c r="AH69" s="17">
        <f>IF($B69="","",IF(TRIM($J69&amp;"")="",0,SUMPRODUCT((파견수련계획!$Q$4:$Q$203=TRIM($J69&amp;""))*(파견수련계획!$S$4:$S$203="서울병원")*파견수련계획!$W$4:$W$203))+IF($AG69="서울병원",MAX(0,DAY(EOMONTH(요약!$B$3,0))-N($X69)),0))</f>
        <v/>
      </c>
      <c r="AI69" s="17">
        <f>IF($B69="","",IF(TRIM($J69&amp;"")="",0,SUMPRODUCT((파견수련계획!$Q$4:$Q$203=TRIM($J69&amp;""))*(파견수련계획!$S$4:$S$203="구리병원")*파견수련계획!$W$4:$W$203))+IF($AG69="구리병원",MAX(0,DAY(EOMONTH(요약!$B$3,0))-N($X69)),0))</f>
        <v/>
      </c>
      <c r="AJ69" s="10">
        <f>IF(OR($B69="",TRIM($J69&amp;"")=""),"",IFERROR(MATCH(TRIM($J69&amp;"")&amp;"|월",파견수련계획!$Z$4:$Z$203,0),""))</f>
        <v/>
      </c>
      <c r="AK69" s="10">
        <f>IF(OR($B69="",TRIM($J69&amp;"")=""),"",IFERROR(MATCH(TRIM($J69&amp;"")&amp;"|다기관",파견수련계획!$AE$4:$AE$203,0),""))</f>
        <v/>
      </c>
      <c r="AL69" s="10">
        <f>IF($AK69="","","다기관 "&amp;TEXT(INDEX(파견수련계획!$AB$4:$AB$203,$AK69),"yyyy-mm-dd")&amp;"~"&amp;IF(ISNUMBER(INDEX(파견수련계획!$AC$4:$AC$203,$AK69)),TEXT(INDEX(파견수련계획!$AC$4:$AC$203,$AK69),"yyyy-mm-dd"),""))</f>
        <v/>
      </c>
    </row>
    <row r="70">
      <c r="A70" s="10">
        <f>IF(B70="","",ROW()-1)</f>
        <v/>
      </c>
      <c r="B70" s="18" t="n"/>
      <c r="C70" s="10">
        <f>IF($AB70="","",IF(INDEX(기본자료!$C$2:$C$501,$AB70)="","",INDEX(기본자료!$C$2:$C$501,$AB70)))</f>
        <v/>
      </c>
      <c r="D70" s="10">
        <f>IF($AB70="","",IF(INDEX(기본자료!$J$2:$J$501,$AB70)="","",INDEX(기본자료!$J$2:$J$501,$AB70)))</f>
        <v/>
      </c>
      <c r="E70" s="11">
        <f>IF($AB70="","",IF(INDEX(기본자료!$K$2:$K$501,$AB70)="","",IF(NOT(ISNUMBER(INDEX(기본자료!$K$2:$K$501,$AB70))),INDEX(기본자료!$K$2:$K$501,$AB70),IF(INDEX(기본자료!$K$2:$K$501,$AB70)&lt;1000000,INDEX(기본자료!$K$2:$K$501,$AB70),IF(AND(INDEX(기본자료!$K$2:$K$501,$AB70)&gt;=10000101,INT(MOD(INDEX(기본자료!$K$2:$K$501,$AB70),10000)/100)&gt;=1,INT(MOD(INDEX(기본자료!$K$2:$K$501,$AB70),10000)/100)&lt;=12,MOD(INDEX(기본자료!$K$2:$K$501,$AB70),100)&gt;=1,MOD(INDEX(기본자료!$K$2:$K$501,$AB70),100)&lt;=31),DATE(INT(INDEX(기본자료!$K$2:$K$501,$AB70)/10000),INT(MOD(INDEX(기본자료!$K$2:$K$501,$AB70),10000)/100),MOD(INDEX(기본자료!$K$2:$K$501,$AB70),100)),INDEX(기본자료!$K$2:$K$501,$AB70)&amp;"")))))</f>
        <v/>
      </c>
      <c r="F70" s="10">
        <f>IF($AB70="","",IF(INDEX(기본자료!$D$2:$D$501,$AB70)="","",INDEX(기본자료!$D$2:$D$501,$AB70)))</f>
        <v/>
      </c>
      <c r="G70" s="10">
        <f>IF($AB70="","",IF(INDEX(기본자료!$E$2:$E$501,$AB70)="","",INDEX(기본자료!$E$2:$E$501,$AB70)))</f>
        <v/>
      </c>
      <c r="H70" s="10">
        <f>IF($AB70="","",IF(INDEX(기본자료!$F$2:$F$501,$AB70)="","",INDEX(기본자료!$F$2:$F$501,$AB70)))</f>
        <v/>
      </c>
      <c r="I70" s="11">
        <f>IF($AB70="","",IF(INDEX(기본자료!$G$2:$G$501,$AB70)="","",IF(NOT(ISNUMBER(INDEX(기본자료!$G$2:$G$501,$AB70))),INDEX(기본자료!$G$2:$G$501,$AB70),IF(INDEX(기본자료!$G$2:$G$501,$AB70)&lt;1000000,INDEX(기본자료!$G$2:$G$501,$AB70),IF(AND(INDEX(기본자료!$G$2:$G$501,$AB70)&gt;=10000101,INT(MOD(INDEX(기본자료!$G$2:$G$501,$AB70),10000)/100)&gt;=1,INT(MOD(INDEX(기본자료!$G$2:$G$501,$AB70),10000)/100)&lt;=12,MOD(INDEX(기본자료!$G$2:$G$501,$AB70),100)&gt;=1,MOD(INDEX(기본자료!$G$2:$G$501,$AB70),100)&lt;=31),DATE(INT(INDEX(기본자료!$G$2:$G$501,$AB70)/10000),INT(MOD(INDEX(기본자료!$G$2:$G$501,$AB70),10000)/100),MOD(INDEX(기본자료!$G$2:$G$501,$AB70),100)),INDEX(기본자료!$G$2:$G$501,$AB70)&amp;"")))))</f>
        <v/>
      </c>
      <c r="J70" s="10">
        <f>IF($AB70="","",IF(INDEX(기본자료!$H$2:$H$501,$AB70)="","",INDEX(기본자료!$H$2:$H$501,$AB70)))</f>
        <v/>
      </c>
      <c r="K70" s="10">
        <f>IF($AB70="","",IF(INDEX(기본자료!$I$2:$I$501,$AB70)="","",INDEX(기본자료!$I$2:$I$501,$AB70)))</f>
        <v/>
      </c>
      <c r="L70" s="10">
        <f>IF($AB70="","",IF(INDEX(기본자료!$A$2:$A$501,$AB70)="","",INDEX(기본자료!$A$2:$A$501,$AB70)))</f>
        <v/>
      </c>
      <c r="M70" s="15" t="n"/>
      <c r="N70" s="10">
        <f>IF($B70="","",IF(AND($U70="파견중",$Q70&lt;&gt;""),$Q70,IF(AND($AD70&lt;&gt;"",LEFT($AD70,1)&lt;&gt;"⚠"),LEFT($AD70,FIND(" ",$AD70)-1),IF($H70="","",IF(RIGHT($H70,2)="병원",$H70,$H70&amp;"병원")))))</f>
        <v/>
      </c>
      <c r="O70" s="10">
        <f>IF($B70="","",IF(AND($U70="파견중",$Q70&lt;&gt;""),IF($R70&lt;&gt;"",$R70,"파견과 미입력"),IF(AND($AD70&lt;&gt;"",LEFT($AD70,1)&lt;&gt;"⚠"),MID($AD70,FIND(" ",$AD70)+1,60),IF($F70="","",IF($F70="인턴","수련교육부(인턴)",$F70)))))</f>
        <v/>
      </c>
      <c r="P70" s="10">
        <f>IF($B70="","",IF($AK70&lt;&gt;"",IF(AND(TODAY()&gt;=INDEX(파견수련계획!$AB$4:$AB$203,$AK70),OR(NOT(ISNUMBER(INDEX(파견수련계획!$AC$4:$AC$203,$AK70))),TODAY()&lt;=INDEX(파견수련계획!$AC$4:$AC$203,$AK70))),"다기관",IF($AF70="","",INDEX(파견수련계획!$T$4:$T$203,$AF70))),IF($AF70="","",INDEX(파견수련계획!$T$4:$T$203,$AF70))))</f>
        <v/>
      </c>
      <c r="Q70" s="10">
        <f>IF($AF70="","",INDEX(파견수련계획!$S$4:$S$203,$AF70))</f>
        <v/>
      </c>
      <c r="R70" s="10">
        <f>IF($AF70="","",INDEX(파견수련계획!$U$4:$U$203,$AF70))</f>
        <v/>
      </c>
      <c r="S70" s="11">
        <f>IF($AF70="","",IF(INDEX(파견수련계획!$H$4:$H$203,$AF70)="","",INDEX(파견수련계획!$H$4:$H$203,$AF70)))</f>
        <v/>
      </c>
      <c r="T70" s="11">
        <f>IF($AF70="","",IF(INDEX(파견수련계획!$I$4:$I$203,$AF70)="","",INDEX(파견수련계획!$I$4:$I$203,$AF70)))</f>
        <v/>
      </c>
      <c r="U70" s="10">
        <f>IF($AF70="","",INDEX(파견수련계획!$X$4:$X$203,$AF70))</f>
        <v/>
      </c>
      <c r="V70" s="17">
        <f>IF($AF70="","",INDEX(파견수련계획!$V$4:$V$203,$AF70))</f>
        <v/>
      </c>
      <c r="W70" s="17">
        <f>IF(AND($U70="파견중",$T70&lt;&gt;""),$T70-TODAY(),"")</f>
        <v/>
      </c>
      <c r="X70" s="17">
        <f>IF(OR($B70="",TRIM($J70&amp;"")=""),"",SUMPRODUCT((파견수련계획!$Q$4:$Q$203=TRIM($J70&amp;""))*파견수련계획!$W$4:$W$203))</f>
        <v/>
      </c>
      <c r="Y70" s="10">
        <f>IF($B70="","",IF($AG70="","",IF(IF(TRIM($J70&amp;"")="",0,SUMPRODUCT((파견수련계획!$Q$4:$Q$203=TRIM($J70&amp;""))*파견수련계획!$AD$4:$AD$203))&gt;0,$AE70,IF(N($X70)&lt;=0,$AG70,IF($AH70+$AI70=DAY(EOMONTH(요약!$B$3,0)),IF(AND($AH70&gt;=요약!$E$3,$AI70&lt;요약!$E$3),"서울병원",IF(AND($AI70&gt;=요약!$E$3,$AH70&lt;요약!$E$3),"구리병원","⚠15일 판정불가(서울 "&amp;$AH70&amp;"일/구리 "&amp;$AI70&amp;"일)")),IF($AJ70="",$AE70,IF(INDEX(파견수련계획!$T$4:$T$203,$AJ70)="통합수련",INDEX(파견수련계획!$S$4:$S$203,$AJ70),$AE70)))))))</f>
        <v/>
      </c>
      <c r="Z70" s="19">
        <f>IF($B70="","",IF($AB70="","기본자료에 없는 사번",IF(COUNTIF($B$2:$B$201,$B70)&gt;1,"중복 사번",IF($AE70="","소속(입사장소) 입력",IF(IF(TRIM($J70&amp;"")="",0,SUMPRODUCT((파견수련계획!$Q$4:$Q$203=TRIM($J70&amp;""))*(파견수련계획!$AA$4:$AA$203&lt;&gt;"")))&gt;0,"파견수련계획 입력오류 확인",IF(LEFT($Y70,1)="⚠","서울·구리 15일 판정 불가(양쪽 모두 이상/미만)",IF(IF($AC70="",0,N(INDEX(인턴근무계획!$T$3:$T$202,$AC70)))&gt;0,"인턴계획 입력오류 확인",IF(AND($AC70&lt;&gt;"",$U70&lt;&gt;"파견중",$N70&lt;&gt;$AE70),"인턴 타지역 근무: 파견 여부 확인","정상"))))))))</f>
        <v/>
      </c>
      <c r="AA70" s="5" t="n"/>
      <c r="AB70" s="10">
        <f>IF($B70="","",IFERROR(MATCH($B70,기본자료!$B$2:$B$501,0),IFERROR(MATCH($B70&amp;"",기본자료!$B$2:$B$501,0),IFERROR(MATCH(VALUE($B70),기본자료!$B$2:$B$501,0),""))))</f>
        <v/>
      </c>
      <c r="AC70" s="10">
        <f>IF($B70="","",IFERROR(MATCH($B70,인턴근무계획!$D$3:$D$202,0),IFERROR(MATCH($B70&amp;"",인턴근무계획!$D$3:$D$202,0),IFERROR(MATCH(VALUE($B70),인턴근무계획!$D$3:$D$202,0),""))))</f>
        <v/>
      </c>
      <c r="AD70" s="10">
        <f>IF(OR($AC70="",인턴현황!$G$3=""),"",INDEX(인턴근무계획!$M$3:$R$202,$AC70,인턴현황!$G$3)&amp;"")</f>
        <v/>
      </c>
      <c r="AE70" s="10">
        <f>IF($B70="","",IF($M70&lt;&gt;"",$M70,IF($AF70&lt;&gt;"",IF(LEFT(INDEX(파견수련계획!$R$4:$R$203,$AF70),1)&lt;&gt;"⚠",INDEX(파견수련계획!$R$4:$R$203,$AF70),IF($H70="","",IF(RIGHT($H70,2)="병원",$H70,$H70&amp;"병원"))),IF($H70="","",IF(RIGHT($H70,2)="병원",$H70,$H70&amp;"병원")))))</f>
        <v/>
      </c>
      <c r="AF70" s="10">
        <f>IF(OR($B70="",TRIM($J70&amp;"")=""),"",IFERROR(MATCH(TRIM($J70&amp;"")&amp;"|파견중",파견수련계획!$Y$4:$Y$203,0),IFERROR(MATCH(TRIM($J70&amp;"")&amp;"|파견예정",파견수련계획!$Y$4:$Y$203,0),IFERROR(MATCH(TRIM($J70&amp;"")&amp;"|파견종료",파견수련계획!$Y$4:$Y$203,0),""))))</f>
        <v/>
      </c>
      <c r="AG70" s="10">
        <f>IF($B70="","",IF(AND(IF(OR($AC70="",인턴현황!$K$2=""),"",INDEX(인턴근무계획!$M$3:$R$202,$AC70,인턴현황!$K$2)&amp;"")&lt;&gt;"",LEFT(IF(OR($AC70="",인턴현황!$K$2=""),"",INDEX(인턴근무계획!$M$3:$R$202,$AC70,인턴현황!$K$2)&amp;""),1)&lt;&gt;"⚠"),LEFT(IF(OR($AC70="",인턴현황!$K$2=""),"",INDEX(인턴근무계획!$M$3:$R$202,$AC70,인턴현황!$K$2)&amp;""),FIND(" ",IF(OR($AC70="",인턴현황!$K$2=""),"",INDEX(인턴근무계획!$M$3:$R$202,$AC70,인턴현황!$K$2)&amp;""))-1),$AE70))</f>
        <v/>
      </c>
      <c r="AH70" s="17">
        <f>IF($B70="","",IF(TRIM($J70&amp;"")="",0,SUMPRODUCT((파견수련계획!$Q$4:$Q$203=TRIM($J70&amp;""))*(파견수련계획!$S$4:$S$203="서울병원")*파견수련계획!$W$4:$W$203))+IF($AG70="서울병원",MAX(0,DAY(EOMONTH(요약!$B$3,0))-N($X70)),0))</f>
        <v/>
      </c>
      <c r="AI70" s="17">
        <f>IF($B70="","",IF(TRIM($J70&amp;"")="",0,SUMPRODUCT((파견수련계획!$Q$4:$Q$203=TRIM($J70&amp;""))*(파견수련계획!$S$4:$S$203="구리병원")*파견수련계획!$W$4:$W$203))+IF($AG70="구리병원",MAX(0,DAY(EOMONTH(요약!$B$3,0))-N($X70)),0))</f>
        <v/>
      </c>
      <c r="AJ70" s="10">
        <f>IF(OR($B70="",TRIM($J70&amp;"")=""),"",IFERROR(MATCH(TRIM($J70&amp;"")&amp;"|월",파견수련계획!$Z$4:$Z$203,0),""))</f>
        <v/>
      </c>
      <c r="AK70" s="10">
        <f>IF(OR($B70="",TRIM($J70&amp;"")=""),"",IFERROR(MATCH(TRIM($J70&amp;"")&amp;"|다기관",파견수련계획!$AE$4:$AE$203,0),""))</f>
        <v/>
      </c>
      <c r="AL70" s="10">
        <f>IF($AK70="","","다기관 "&amp;TEXT(INDEX(파견수련계획!$AB$4:$AB$203,$AK70),"yyyy-mm-dd")&amp;"~"&amp;IF(ISNUMBER(INDEX(파견수련계획!$AC$4:$AC$203,$AK70)),TEXT(INDEX(파견수련계획!$AC$4:$AC$203,$AK70),"yyyy-mm-dd"),""))</f>
        <v/>
      </c>
    </row>
    <row r="71">
      <c r="A71" s="10">
        <f>IF(B71="","",ROW()-1)</f>
        <v/>
      </c>
      <c r="B71" s="18" t="n"/>
      <c r="C71" s="10">
        <f>IF($AB71="","",IF(INDEX(기본자료!$C$2:$C$501,$AB71)="","",INDEX(기본자료!$C$2:$C$501,$AB71)))</f>
        <v/>
      </c>
      <c r="D71" s="10">
        <f>IF($AB71="","",IF(INDEX(기본자료!$J$2:$J$501,$AB71)="","",INDEX(기본자료!$J$2:$J$501,$AB71)))</f>
        <v/>
      </c>
      <c r="E71" s="11">
        <f>IF($AB71="","",IF(INDEX(기본자료!$K$2:$K$501,$AB71)="","",IF(NOT(ISNUMBER(INDEX(기본자료!$K$2:$K$501,$AB71))),INDEX(기본자료!$K$2:$K$501,$AB71),IF(INDEX(기본자료!$K$2:$K$501,$AB71)&lt;1000000,INDEX(기본자료!$K$2:$K$501,$AB71),IF(AND(INDEX(기본자료!$K$2:$K$501,$AB71)&gt;=10000101,INT(MOD(INDEX(기본자료!$K$2:$K$501,$AB71),10000)/100)&gt;=1,INT(MOD(INDEX(기본자료!$K$2:$K$501,$AB71),10000)/100)&lt;=12,MOD(INDEX(기본자료!$K$2:$K$501,$AB71),100)&gt;=1,MOD(INDEX(기본자료!$K$2:$K$501,$AB71),100)&lt;=31),DATE(INT(INDEX(기본자료!$K$2:$K$501,$AB71)/10000),INT(MOD(INDEX(기본자료!$K$2:$K$501,$AB71),10000)/100),MOD(INDEX(기본자료!$K$2:$K$501,$AB71),100)),INDEX(기본자료!$K$2:$K$501,$AB71)&amp;"")))))</f>
        <v/>
      </c>
      <c r="F71" s="10">
        <f>IF($AB71="","",IF(INDEX(기본자료!$D$2:$D$501,$AB71)="","",INDEX(기본자료!$D$2:$D$501,$AB71)))</f>
        <v/>
      </c>
      <c r="G71" s="10">
        <f>IF($AB71="","",IF(INDEX(기본자료!$E$2:$E$501,$AB71)="","",INDEX(기본자료!$E$2:$E$501,$AB71)))</f>
        <v/>
      </c>
      <c r="H71" s="10">
        <f>IF($AB71="","",IF(INDEX(기본자료!$F$2:$F$501,$AB71)="","",INDEX(기본자료!$F$2:$F$501,$AB71)))</f>
        <v/>
      </c>
      <c r="I71" s="11">
        <f>IF($AB71="","",IF(INDEX(기본자료!$G$2:$G$501,$AB71)="","",IF(NOT(ISNUMBER(INDEX(기본자료!$G$2:$G$501,$AB71))),INDEX(기본자료!$G$2:$G$501,$AB71),IF(INDEX(기본자료!$G$2:$G$501,$AB71)&lt;1000000,INDEX(기본자료!$G$2:$G$501,$AB71),IF(AND(INDEX(기본자료!$G$2:$G$501,$AB71)&gt;=10000101,INT(MOD(INDEX(기본자료!$G$2:$G$501,$AB71),10000)/100)&gt;=1,INT(MOD(INDEX(기본자료!$G$2:$G$501,$AB71),10000)/100)&lt;=12,MOD(INDEX(기본자료!$G$2:$G$501,$AB71),100)&gt;=1,MOD(INDEX(기본자료!$G$2:$G$501,$AB71),100)&lt;=31),DATE(INT(INDEX(기본자료!$G$2:$G$501,$AB71)/10000),INT(MOD(INDEX(기본자료!$G$2:$G$501,$AB71),10000)/100),MOD(INDEX(기본자료!$G$2:$G$501,$AB71),100)),INDEX(기본자료!$G$2:$G$501,$AB71)&amp;"")))))</f>
        <v/>
      </c>
      <c r="J71" s="10">
        <f>IF($AB71="","",IF(INDEX(기본자료!$H$2:$H$501,$AB71)="","",INDEX(기본자료!$H$2:$H$501,$AB71)))</f>
        <v/>
      </c>
      <c r="K71" s="10">
        <f>IF($AB71="","",IF(INDEX(기본자료!$I$2:$I$501,$AB71)="","",INDEX(기본자료!$I$2:$I$501,$AB71)))</f>
        <v/>
      </c>
      <c r="L71" s="10">
        <f>IF($AB71="","",IF(INDEX(기본자료!$A$2:$A$501,$AB71)="","",INDEX(기본자료!$A$2:$A$501,$AB71)))</f>
        <v/>
      </c>
      <c r="M71" s="15" t="n"/>
      <c r="N71" s="10">
        <f>IF($B71="","",IF(AND($U71="파견중",$Q71&lt;&gt;""),$Q71,IF(AND($AD71&lt;&gt;"",LEFT($AD71,1)&lt;&gt;"⚠"),LEFT($AD71,FIND(" ",$AD71)-1),IF($H71="","",IF(RIGHT($H71,2)="병원",$H71,$H71&amp;"병원")))))</f>
        <v/>
      </c>
      <c r="O71" s="10">
        <f>IF($B71="","",IF(AND($U71="파견중",$Q71&lt;&gt;""),IF($R71&lt;&gt;"",$R71,"파견과 미입력"),IF(AND($AD71&lt;&gt;"",LEFT($AD71,1)&lt;&gt;"⚠"),MID($AD71,FIND(" ",$AD71)+1,60),IF($F71="","",IF($F71="인턴","수련교육부(인턴)",$F71)))))</f>
        <v/>
      </c>
      <c r="P71" s="10">
        <f>IF($B71="","",IF($AK71&lt;&gt;"",IF(AND(TODAY()&gt;=INDEX(파견수련계획!$AB$4:$AB$203,$AK71),OR(NOT(ISNUMBER(INDEX(파견수련계획!$AC$4:$AC$203,$AK71))),TODAY()&lt;=INDEX(파견수련계획!$AC$4:$AC$203,$AK71))),"다기관",IF($AF71="","",INDEX(파견수련계획!$T$4:$T$203,$AF71))),IF($AF71="","",INDEX(파견수련계획!$T$4:$T$203,$AF71))))</f>
        <v/>
      </c>
      <c r="Q71" s="10">
        <f>IF($AF71="","",INDEX(파견수련계획!$S$4:$S$203,$AF71))</f>
        <v/>
      </c>
      <c r="R71" s="10">
        <f>IF($AF71="","",INDEX(파견수련계획!$U$4:$U$203,$AF71))</f>
        <v/>
      </c>
      <c r="S71" s="11">
        <f>IF($AF71="","",IF(INDEX(파견수련계획!$H$4:$H$203,$AF71)="","",INDEX(파견수련계획!$H$4:$H$203,$AF71)))</f>
        <v/>
      </c>
      <c r="T71" s="11">
        <f>IF($AF71="","",IF(INDEX(파견수련계획!$I$4:$I$203,$AF71)="","",INDEX(파견수련계획!$I$4:$I$203,$AF71)))</f>
        <v/>
      </c>
      <c r="U71" s="10">
        <f>IF($AF71="","",INDEX(파견수련계획!$X$4:$X$203,$AF71))</f>
        <v/>
      </c>
      <c r="V71" s="17">
        <f>IF($AF71="","",INDEX(파견수련계획!$V$4:$V$203,$AF71))</f>
        <v/>
      </c>
      <c r="W71" s="17">
        <f>IF(AND($U71="파견중",$T71&lt;&gt;""),$T71-TODAY(),"")</f>
        <v/>
      </c>
      <c r="X71" s="17">
        <f>IF(OR($B71="",TRIM($J71&amp;"")=""),"",SUMPRODUCT((파견수련계획!$Q$4:$Q$203=TRIM($J71&amp;""))*파견수련계획!$W$4:$W$203))</f>
        <v/>
      </c>
      <c r="Y71" s="10">
        <f>IF($B71="","",IF($AG71="","",IF(IF(TRIM($J71&amp;"")="",0,SUMPRODUCT((파견수련계획!$Q$4:$Q$203=TRIM($J71&amp;""))*파견수련계획!$AD$4:$AD$203))&gt;0,$AE71,IF(N($X71)&lt;=0,$AG71,IF($AH71+$AI71=DAY(EOMONTH(요약!$B$3,0)),IF(AND($AH71&gt;=요약!$E$3,$AI71&lt;요약!$E$3),"서울병원",IF(AND($AI71&gt;=요약!$E$3,$AH71&lt;요약!$E$3),"구리병원","⚠15일 판정불가(서울 "&amp;$AH71&amp;"일/구리 "&amp;$AI71&amp;"일)")),IF($AJ71="",$AE71,IF(INDEX(파견수련계획!$T$4:$T$203,$AJ71)="통합수련",INDEX(파견수련계획!$S$4:$S$203,$AJ71),$AE71)))))))</f>
        <v/>
      </c>
      <c r="Z71" s="19">
        <f>IF($B71="","",IF($AB71="","기본자료에 없는 사번",IF(COUNTIF($B$2:$B$201,$B71)&gt;1,"중복 사번",IF($AE71="","소속(입사장소) 입력",IF(IF(TRIM($J71&amp;"")="",0,SUMPRODUCT((파견수련계획!$Q$4:$Q$203=TRIM($J71&amp;""))*(파견수련계획!$AA$4:$AA$203&lt;&gt;"")))&gt;0,"파견수련계획 입력오류 확인",IF(LEFT($Y71,1)="⚠","서울·구리 15일 판정 불가(양쪽 모두 이상/미만)",IF(IF($AC71="",0,N(INDEX(인턴근무계획!$T$3:$T$202,$AC71)))&gt;0,"인턴계획 입력오류 확인",IF(AND($AC71&lt;&gt;"",$U71&lt;&gt;"파견중",$N71&lt;&gt;$AE71),"인턴 타지역 근무: 파견 여부 확인","정상"))))))))</f>
        <v/>
      </c>
      <c r="AA71" s="5" t="n"/>
      <c r="AB71" s="10">
        <f>IF($B71="","",IFERROR(MATCH($B71,기본자료!$B$2:$B$501,0),IFERROR(MATCH($B71&amp;"",기본자료!$B$2:$B$501,0),IFERROR(MATCH(VALUE($B71),기본자료!$B$2:$B$501,0),""))))</f>
        <v/>
      </c>
      <c r="AC71" s="10">
        <f>IF($B71="","",IFERROR(MATCH($B71,인턴근무계획!$D$3:$D$202,0),IFERROR(MATCH($B71&amp;"",인턴근무계획!$D$3:$D$202,0),IFERROR(MATCH(VALUE($B71),인턴근무계획!$D$3:$D$202,0),""))))</f>
        <v/>
      </c>
      <c r="AD71" s="10">
        <f>IF(OR($AC71="",인턴현황!$G$3=""),"",INDEX(인턴근무계획!$M$3:$R$202,$AC71,인턴현황!$G$3)&amp;"")</f>
        <v/>
      </c>
      <c r="AE71" s="10">
        <f>IF($B71="","",IF($M71&lt;&gt;"",$M71,IF($AF71&lt;&gt;"",IF(LEFT(INDEX(파견수련계획!$R$4:$R$203,$AF71),1)&lt;&gt;"⚠",INDEX(파견수련계획!$R$4:$R$203,$AF71),IF($H71="","",IF(RIGHT($H71,2)="병원",$H71,$H71&amp;"병원"))),IF($H71="","",IF(RIGHT($H71,2)="병원",$H71,$H71&amp;"병원")))))</f>
        <v/>
      </c>
      <c r="AF71" s="10">
        <f>IF(OR($B71="",TRIM($J71&amp;"")=""),"",IFERROR(MATCH(TRIM($J71&amp;"")&amp;"|파견중",파견수련계획!$Y$4:$Y$203,0),IFERROR(MATCH(TRIM($J71&amp;"")&amp;"|파견예정",파견수련계획!$Y$4:$Y$203,0),IFERROR(MATCH(TRIM($J71&amp;"")&amp;"|파견종료",파견수련계획!$Y$4:$Y$203,0),""))))</f>
        <v/>
      </c>
      <c r="AG71" s="10">
        <f>IF($B71="","",IF(AND(IF(OR($AC71="",인턴현황!$K$2=""),"",INDEX(인턴근무계획!$M$3:$R$202,$AC71,인턴현황!$K$2)&amp;"")&lt;&gt;"",LEFT(IF(OR($AC71="",인턴현황!$K$2=""),"",INDEX(인턴근무계획!$M$3:$R$202,$AC71,인턴현황!$K$2)&amp;""),1)&lt;&gt;"⚠"),LEFT(IF(OR($AC71="",인턴현황!$K$2=""),"",INDEX(인턴근무계획!$M$3:$R$202,$AC71,인턴현황!$K$2)&amp;""),FIND(" ",IF(OR($AC71="",인턴현황!$K$2=""),"",INDEX(인턴근무계획!$M$3:$R$202,$AC71,인턴현황!$K$2)&amp;""))-1),$AE71))</f>
        <v/>
      </c>
      <c r="AH71" s="17">
        <f>IF($B71="","",IF(TRIM($J71&amp;"")="",0,SUMPRODUCT((파견수련계획!$Q$4:$Q$203=TRIM($J71&amp;""))*(파견수련계획!$S$4:$S$203="서울병원")*파견수련계획!$W$4:$W$203))+IF($AG71="서울병원",MAX(0,DAY(EOMONTH(요약!$B$3,0))-N($X71)),0))</f>
        <v/>
      </c>
      <c r="AI71" s="17">
        <f>IF($B71="","",IF(TRIM($J71&amp;"")="",0,SUMPRODUCT((파견수련계획!$Q$4:$Q$203=TRIM($J71&amp;""))*(파견수련계획!$S$4:$S$203="구리병원")*파견수련계획!$W$4:$W$203))+IF($AG71="구리병원",MAX(0,DAY(EOMONTH(요약!$B$3,0))-N($X71)),0))</f>
        <v/>
      </c>
      <c r="AJ71" s="10">
        <f>IF(OR($B71="",TRIM($J71&amp;"")=""),"",IFERROR(MATCH(TRIM($J71&amp;"")&amp;"|월",파견수련계획!$Z$4:$Z$203,0),""))</f>
        <v/>
      </c>
      <c r="AK71" s="10">
        <f>IF(OR($B71="",TRIM($J71&amp;"")=""),"",IFERROR(MATCH(TRIM($J71&amp;"")&amp;"|다기관",파견수련계획!$AE$4:$AE$203,0),""))</f>
        <v/>
      </c>
      <c r="AL71" s="10">
        <f>IF($AK71="","","다기관 "&amp;TEXT(INDEX(파견수련계획!$AB$4:$AB$203,$AK71),"yyyy-mm-dd")&amp;"~"&amp;IF(ISNUMBER(INDEX(파견수련계획!$AC$4:$AC$203,$AK71)),TEXT(INDEX(파견수련계획!$AC$4:$AC$203,$AK71),"yyyy-mm-dd"),""))</f>
        <v/>
      </c>
    </row>
    <row r="72">
      <c r="A72" s="10">
        <f>IF(B72="","",ROW()-1)</f>
        <v/>
      </c>
      <c r="B72" s="18" t="n"/>
      <c r="C72" s="10">
        <f>IF($AB72="","",IF(INDEX(기본자료!$C$2:$C$501,$AB72)="","",INDEX(기본자료!$C$2:$C$501,$AB72)))</f>
        <v/>
      </c>
      <c r="D72" s="10">
        <f>IF($AB72="","",IF(INDEX(기본자료!$J$2:$J$501,$AB72)="","",INDEX(기본자료!$J$2:$J$501,$AB72)))</f>
        <v/>
      </c>
      <c r="E72" s="11">
        <f>IF($AB72="","",IF(INDEX(기본자료!$K$2:$K$501,$AB72)="","",IF(NOT(ISNUMBER(INDEX(기본자료!$K$2:$K$501,$AB72))),INDEX(기본자료!$K$2:$K$501,$AB72),IF(INDEX(기본자료!$K$2:$K$501,$AB72)&lt;1000000,INDEX(기본자료!$K$2:$K$501,$AB72),IF(AND(INDEX(기본자료!$K$2:$K$501,$AB72)&gt;=10000101,INT(MOD(INDEX(기본자료!$K$2:$K$501,$AB72),10000)/100)&gt;=1,INT(MOD(INDEX(기본자료!$K$2:$K$501,$AB72),10000)/100)&lt;=12,MOD(INDEX(기본자료!$K$2:$K$501,$AB72),100)&gt;=1,MOD(INDEX(기본자료!$K$2:$K$501,$AB72),100)&lt;=31),DATE(INT(INDEX(기본자료!$K$2:$K$501,$AB72)/10000),INT(MOD(INDEX(기본자료!$K$2:$K$501,$AB72),10000)/100),MOD(INDEX(기본자료!$K$2:$K$501,$AB72),100)),INDEX(기본자료!$K$2:$K$501,$AB72)&amp;"")))))</f>
        <v/>
      </c>
      <c r="F72" s="10">
        <f>IF($AB72="","",IF(INDEX(기본자료!$D$2:$D$501,$AB72)="","",INDEX(기본자료!$D$2:$D$501,$AB72)))</f>
        <v/>
      </c>
      <c r="G72" s="10">
        <f>IF($AB72="","",IF(INDEX(기본자료!$E$2:$E$501,$AB72)="","",INDEX(기본자료!$E$2:$E$501,$AB72)))</f>
        <v/>
      </c>
      <c r="H72" s="10">
        <f>IF($AB72="","",IF(INDEX(기본자료!$F$2:$F$501,$AB72)="","",INDEX(기본자료!$F$2:$F$501,$AB72)))</f>
        <v/>
      </c>
      <c r="I72" s="11">
        <f>IF($AB72="","",IF(INDEX(기본자료!$G$2:$G$501,$AB72)="","",IF(NOT(ISNUMBER(INDEX(기본자료!$G$2:$G$501,$AB72))),INDEX(기본자료!$G$2:$G$501,$AB72),IF(INDEX(기본자료!$G$2:$G$501,$AB72)&lt;1000000,INDEX(기본자료!$G$2:$G$501,$AB72),IF(AND(INDEX(기본자료!$G$2:$G$501,$AB72)&gt;=10000101,INT(MOD(INDEX(기본자료!$G$2:$G$501,$AB72),10000)/100)&gt;=1,INT(MOD(INDEX(기본자료!$G$2:$G$501,$AB72),10000)/100)&lt;=12,MOD(INDEX(기본자료!$G$2:$G$501,$AB72),100)&gt;=1,MOD(INDEX(기본자료!$G$2:$G$501,$AB72),100)&lt;=31),DATE(INT(INDEX(기본자료!$G$2:$G$501,$AB72)/10000),INT(MOD(INDEX(기본자료!$G$2:$G$501,$AB72),10000)/100),MOD(INDEX(기본자료!$G$2:$G$501,$AB72),100)),INDEX(기본자료!$G$2:$G$501,$AB72)&amp;"")))))</f>
        <v/>
      </c>
      <c r="J72" s="10">
        <f>IF($AB72="","",IF(INDEX(기본자료!$H$2:$H$501,$AB72)="","",INDEX(기본자료!$H$2:$H$501,$AB72)))</f>
        <v/>
      </c>
      <c r="K72" s="10">
        <f>IF($AB72="","",IF(INDEX(기본자료!$I$2:$I$501,$AB72)="","",INDEX(기본자료!$I$2:$I$501,$AB72)))</f>
        <v/>
      </c>
      <c r="L72" s="10">
        <f>IF($AB72="","",IF(INDEX(기본자료!$A$2:$A$501,$AB72)="","",INDEX(기본자료!$A$2:$A$501,$AB72)))</f>
        <v/>
      </c>
      <c r="M72" s="15" t="n"/>
      <c r="N72" s="10">
        <f>IF($B72="","",IF(AND($U72="파견중",$Q72&lt;&gt;""),$Q72,IF(AND($AD72&lt;&gt;"",LEFT($AD72,1)&lt;&gt;"⚠"),LEFT($AD72,FIND(" ",$AD72)-1),IF($H72="","",IF(RIGHT($H72,2)="병원",$H72,$H72&amp;"병원")))))</f>
        <v/>
      </c>
      <c r="O72" s="10">
        <f>IF($B72="","",IF(AND($U72="파견중",$Q72&lt;&gt;""),IF($R72&lt;&gt;"",$R72,"파견과 미입력"),IF(AND($AD72&lt;&gt;"",LEFT($AD72,1)&lt;&gt;"⚠"),MID($AD72,FIND(" ",$AD72)+1,60),IF($F72="","",IF($F72="인턴","수련교육부(인턴)",$F72)))))</f>
        <v/>
      </c>
      <c r="P72" s="10">
        <f>IF($B72="","",IF($AK72&lt;&gt;"",IF(AND(TODAY()&gt;=INDEX(파견수련계획!$AB$4:$AB$203,$AK72),OR(NOT(ISNUMBER(INDEX(파견수련계획!$AC$4:$AC$203,$AK72))),TODAY()&lt;=INDEX(파견수련계획!$AC$4:$AC$203,$AK72))),"다기관",IF($AF72="","",INDEX(파견수련계획!$T$4:$T$203,$AF72))),IF($AF72="","",INDEX(파견수련계획!$T$4:$T$203,$AF72))))</f>
        <v/>
      </c>
      <c r="Q72" s="10">
        <f>IF($AF72="","",INDEX(파견수련계획!$S$4:$S$203,$AF72))</f>
        <v/>
      </c>
      <c r="R72" s="10">
        <f>IF($AF72="","",INDEX(파견수련계획!$U$4:$U$203,$AF72))</f>
        <v/>
      </c>
      <c r="S72" s="11">
        <f>IF($AF72="","",IF(INDEX(파견수련계획!$H$4:$H$203,$AF72)="","",INDEX(파견수련계획!$H$4:$H$203,$AF72)))</f>
        <v/>
      </c>
      <c r="T72" s="11">
        <f>IF($AF72="","",IF(INDEX(파견수련계획!$I$4:$I$203,$AF72)="","",INDEX(파견수련계획!$I$4:$I$203,$AF72)))</f>
        <v/>
      </c>
      <c r="U72" s="10">
        <f>IF($AF72="","",INDEX(파견수련계획!$X$4:$X$203,$AF72))</f>
        <v/>
      </c>
      <c r="V72" s="17">
        <f>IF($AF72="","",INDEX(파견수련계획!$V$4:$V$203,$AF72))</f>
        <v/>
      </c>
      <c r="W72" s="17">
        <f>IF(AND($U72="파견중",$T72&lt;&gt;""),$T72-TODAY(),"")</f>
        <v/>
      </c>
      <c r="X72" s="17">
        <f>IF(OR($B72="",TRIM($J72&amp;"")=""),"",SUMPRODUCT((파견수련계획!$Q$4:$Q$203=TRIM($J72&amp;""))*파견수련계획!$W$4:$W$203))</f>
        <v/>
      </c>
      <c r="Y72" s="10">
        <f>IF($B72="","",IF($AG72="","",IF(IF(TRIM($J72&amp;"")="",0,SUMPRODUCT((파견수련계획!$Q$4:$Q$203=TRIM($J72&amp;""))*파견수련계획!$AD$4:$AD$203))&gt;0,$AE72,IF(N($X72)&lt;=0,$AG72,IF($AH72+$AI72=DAY(EOMONTH(요약!$B$3,0)),IF(AND($AH72&gt;=요약!$E$3,$AI72&lt;요약!$E$3),"서울병원",IF(AND($AI72&gt;=요약!$E$3,$AH72&lt;요약!$E$3),"구리병원","⚠15일 판정불가(서울 "&amp;$AH72&amp;"일/구리 "&amp;$AI72&amp;"일)")),IF($AJ72="",$AE72,IF(INDEX(파견수련계획!$T$4:$T$203,$AJ72)="통합수련",INDEX(파견수련계획!$S$4:$S$203,$AJ72),$AE72)))))))</f>
        <v/>
      </c>
      <c r="Z72" s="19">
        <f>IF($B72="","",IF($AB72="","기본자료에 없는 사번",IF(COUNTIF($B$2:$B$201,$B72)&gt;1,"중복 사번",IF($AE72="","소속(입사장소) 입력",IF(IF(TRIM($J72&amp;"")="",0,SUMPRODUCT((파견수련계획!$Q$4:$Q$203=TRIM($J72&amp;""))*(파견수련계획!$AA$4:$AA$203&lt;&gt;"")))&gt;0,"파견수련계획 입력오류 확인",IF(LEFT($Y72,1)="⚠","서울·구리 15일 판정 불가(양쪽 모두 이상/미만)",IF(IF($AC72="",0,N(INDEX(인턴근무계획!$T$3:$T$202,$AC72)))&gt;0,"인턴계획 입력오류 확인",IF(AND($AC72&lt;&gt;"",$U72&lt;&gt;"파견중",$N72&lt;&gt;$AE72),"인턴 타지역 근무: 파견 여부 확인","정상"))))))))</f>
        <v/>
      </c>
      <c r="AA72" s="5" t="n"/>
      <c r="AB72" s="10">
        <f>IF($B72="","",IFERROR(MATCH($B72,기본자료!$B$2:$B$501,0),IFERROR(MATCH($B72&amp;"",기본자료!$B$2:$B$501,0),IFERROR(MATCH(VALUE($B72),기본자료!$B$2:$B$501,0),""))))</f>
        <v/>
      </c>
      <c r="AC72" s="10">
        <f>IF($B72="","",IFERROR(MATCH($B72,인턴근무계획!$D$3:$D$202,0),IFERROR(MATCH($B72&amp;"",인턴근무계획!$D$3:$D$202,0),IFERROR(MATCH(VALUE($B72),인턴근무계획!$D$3:$D$202,0),""))))</f>
        <v/>
      </c>
      <c r="AD72" s="10">
        <f>IF(OR($AC72="",인턴현황!$G$3=""),"",INDEX(인턴근무계획!$M$3:$R$202,$AC72,인턴현황!$G$3)&amp;"")</f>
        <v/>
      </c>
      <c r="AE72" s="10">
        <f>IF($B72="","",IF($M72&lt;&gt;"",$M72,IF($AF72&lt;&gt;"",IF(LEFT(INDEX(파견수련계획!$R$4:$R$203,$AF72),1)&lt;&gt;"⚠",INDEX(파견수련계획!$R$4:$R$203,$AF72),IF($H72="","",IF(RIGHT($H72,2)="병원",$H72,$H72&amp;"병원"))),IF($H72="","",IF(RIGHT($H72,2)="병원",$H72,$H72&amp;"병원")))))</f>
        <v/>
      </c>
      <c r="AF72" s="10">
        <f>IF(OR($B72="",TRIM($J72&amp;"")=""),"",IFERROR(MATCH(TRIM($J72&amp;"")&amp;"|파견중",파견수련계획!$Y$4:$Y$203,0),IFERROR(MATCH(TRIM($J72&amp;"")&amp;"|파견예정",파견수련계획!$Y$4:$Y$203,0),IFERROR(MATCH(TRIM($J72&amp;"")&amp;"|파견종료",파견수련계획!$Y$4:$Y$203,0),""))))</f>
        <v/>
      </c>
      <c r="AG72" s="10">
        <f>IF($B72="","",IF(AND(IF(OR($AC72="",인턴현황!$K$2=""),"",INDEX(인턴근무계획!$M$3:$R$202,$AC72,인턴현황!$K$2)&amp;"")&lt;&gt;"",LEFT(IF(OR($AC72="",인턴현황!$K$2=""),"",INDEX(인턴근무계획!$M$3:$R$202,$AC72,인턴현황!$K$2)&amp;""),1)&lt;&gt;"⚠"),LEFT(IF(OR($AC72="",인턴현황!$K$2=""),"",INDEX(인턴근무계획!$M$3:$R$202,$AC72,인턴현황!$K$2)&amp;""),FIND(" ",IF(OR($AC72="",인턴현황!$K$2=""),"",INDEX(인턴근무계획!$M$3:$R$202,$AC72,인턴현황!$K$2)&amp;""))-1),$AE72))</f>
        <v/>
      </c>
      <c r="AH72" s="17">
        <f>IF($B72="","",IF(TRIM($J72&amp;"")="",0,SUMPRODUCT((파견수련계획!$Q$4:$Q$203=TRIM($J72&amp;""))*(파견수련계획!$S$4:$S$203="서울병원")*파견수련계획!$W$4:$W$203))+IF($AG72="서울병원",MAX(0,DAY(EOMONTH(요약!$B$3,0))-N($X72)),0))</f>
        <v/>
      </c>
      <c r="AI72" s="17">
        <f>IF($B72="","",IF(TRIM($J72&amp;"")="",0,SUMPRODUCT((파견수련계획!$Q$4:$Q$203=TRIM($J72&amp;""))*(파견수련계획!$S$4:$S$203="구리병원")*파견수련계획!$W$4:$W$203))+IF($AG72="구리병원",MAX(0,DAY(EOMONTH(요약!$B$3,0))-N($X72)),0))</f>
        <v/>
      </c>
      <c r="AJ72" s="10">
        <f>IF(OR($B72="",TRIM($J72&amp;"")=""),"",IFERROR(MATCH(TRIM($J72&amp;"")&amp;"|월",파견수련계획!$Z$4:$Z$203,0),""))</f>
        <v/>
      </c>
      <c r="AK72" s="10">
        <f>IF(OR($B72="",TRIM($J72&amp;"")=""),"",IFERROR(MATCH(TRIM($J72&amp;"")&amp;"|다기관",파견수련계획!$AE$4:$AE$203,0),""))</f>
        <v/>
      </c>
      <c r="AL72" s="10">
        <f>IF($AK72="","","다기관 "&amp;TEXT(INDEX(파견수련계획!$AB$4:$AB$203,$AK72),"yyyy-mm-dd")&amp;"~"&amp;IF(ISNUMBER(INDEX(파견수련계획!$AC$4:$AC$203,$AK72)),TEXT(INDEX(파견수련계획!$AC$4:$AC$203,$AK72),"yyyy-mm-dd"),""))</f>
        <v/>
      </c>
    </row>
    <row r="73">
      <c r="A73" s="10">
        <f>IF(B73="","",ROW()-1)</f>
        <v/>
      </c>
      <c r="B73" s="18" t="n"/>
      <c r="C73" s="10">
        <f>IF($AB73="","",IF(INDEX(기본자료!$C$2:$C$501,$AB73)="","",INDEX(기본자료!$C$2:$C$501,$AB73)))</f>
        <v/>
      </c>
      <c r="D73" s="10">
        <f>IF($AB73="","",IF(INDEX(기본자료!$J$2:$J$501,$AB73)="","",INDEX(기본자료!$J$2:$J$501,$AB73)))</f>
        <v/>
      </c>
      <c r="E73" s="11">
        <f>IF($AB73="","",IF(INDEX(기본자료!$K$2:$K$501,$AB73)="","",IF(NOT(ISNUMBER(INDEX(기본자료!$K$2:$K$501,$AB73))),INDEX(기본자료!$K$2:$K$501,$AB73),IF(INDEX(기본자료!$K$2:$K$501,$AB73)&lt;1000000,INDEX(기본자료!$K$2:$K$501,$AB73),IF(AND(INDEX(기본자료!$K$2:$K$501,$AB73)&gt;=10000101,INT(MOD(INDEX(기본자료!$K$2:$K$501,$AB73),10000)/100)&gt;=1,INT(MOD(INDEX(기본자료!$K$2:$K$501,$AB73),10000)/100)&lt;=12,MOD(INDEX(기본자료!$K$2:$K$501,$AB73),100)&gt;=1,MOD(INDEX(기본자료!$K$2:$K$501,$AB73),100)&lt;=31),DATE(INT(INDEX(기본자료!$K$2:$K$501,$AB73)/10000),INT(MOD(INDEX(기본자료!$K$2:$K$501,$AB73),10000)/100),MOD(INDEX(기본자료!$K$2:$K$501,$AB73),100)),INDEX(기본자료!$K$2:$K$501,$AB73)&amp;"")))))</f>
        <v/>
      </c>
      <c r="F73" s="10">
        <f>IF($AB73="","",IF(INDEX(기본자료!$D$2:$D$501,$AB73)="","",INDEX(기본자료!$D$2:$D$501,$AB73)))</f>
        <v/>
      </c>
      <c r="G73" s="10">
        <f>IF($AB73="","",IF(INDEX(기본자료!$E$2:$E$501,$AB73)="","",INDEX(기본자료!$E$2:$E$501,$AB73)))</f>
        <v/>
      </c>
      <c r="H73" s="10">
        <f>IF($AB73="","",IF(INDEX(기본자료!$F$2:$F$501,$AB73)="","",INDEX(기본자료!$F$2:$F$501,$AB73)))</f>
        <v/>
      </c>
      <c r="I73" s="11">
        <f>IF($AB73="","",IF(INDEX(기본자료!$G$2:$G$501,$AB73)="","",IF(NOT(ISNUMBER(INDEX(기본자료!$G$2:$G$501,$AB73))),INDEX(기본자료!$G$2:$G$501,$AB73),IF(INDEX(기본자료!$G$2:$G$501,$AB73)&lt;1000000,INDEX(기본자료!$G$2:$G$501,$AB73),IF(AND(INDEX(기본자료!$G$2:$G$501,$AB73)&gt;=10000101,INT(MOD(INDEX(기본자료!$G$2:$G$501,$AB73),10000)/100)&gt;=1,INT(MOD(INDEX(기본자료!$G$2:$G$501,$AB73),10000)/100)&lt;=12,MOD(INDEX(기본자료!$G$2:$G$501,$AB73),100)&gt;=1,MOD(INDEX(기본자료!$G$2:$G$501,$AB73),100)&lt;=31),DATE(INT(INDEX(기본자료!$G$2:$G$501,$AB73)/10000),INT(MOD(INDEX(기본자료!$G$2:$G$501,$AB73),10000)/100),MOD(INDEX(기본자료!$G$2:$G$501,$AB73),100)),INDEX(기본자료!$G$2:$G$501,$AB73)&amp;"")))))</f>
        <v/>
      </c>
      <c r="J73" s="10">
        <f>IF($AB73="","",IF(INDEX(기본자료!$H$2:$H$501,$AB73)="","",INDEX(기본자료!$H$2:$H$501,$AB73)))</f>
        <v/>
      </c>
      <c r="K73" s="10">
        <f>IF($AB73="","",IF(INDEX(기본자료!$I$2:$I$501,$AB73)="","",INDEX(기본자료!$I$2:$I$501,$AB73)))</f>
        <v/>
      </c>
      <c r="L73" s="10">
        <f>IF($AB73="","",IF(INDEX(기본자료!$A$2:$A$501,$AB73)="","",INDEX(기본자료!$A$2:$A$501,$AB73)))</f>
        <v/>
      </c>
      <c r="M73" s="15" t="n"/>
      <c r="N73" s="10">
        <f>IF($B73="","",IF(AND($U73="파견중",$Q73&lt;&gt;""),$Q73,IF(AND($AD73&lt;&gt;"",LEFT($AD73,1)&lt;&gt;"⚠"),LEFT($AD73,FIND(" ",$AD73)-1),IF($H73="","",IF(RIGHT($H73,2)="병원",$H73,$H73&amp;"병원")))))</f>
        <v/>
      </c>
      <c r="O73" s="10">
        <f>IF($B73="","",IF(AND($U73="파견중",$Q73&lt;&gt;""),IF($R73&lt;&gt;"",$R73,"파견과 미입력"),IF(AND($AD73&lt;&gt;"",LEFT($AD73,1)&lt;&gt;"⚠"),MID($AD73,FIND(" ",$AD73)+1,60),IF($F73="","",IF($F73="인턴","수련교육부(인턴)",$F73)))))</f>
        <v/>
      </c>
      <c r="P73" s="10">
        <f>IF($B73="","",IF($AK73&lt;&gt;"",IF(AND(TODAY()&gt;=INDEX(파견수련계획!$AB$4:$AB$203,$AK73),OR(NOT(ISNUMBER(INDEX(파견수련계획!$AC$4:$AC$203,$AK73))),TODAY()&lt;=INDEX(파견수련계획!$AC$4:$AC$203,$AK73))),"다기관",IF($AF73="","",INDEX(파견수련계획!$T$4:$T$203,$AF73))),IF($AF73="","",INDEX(파견수련계획!$T$4:$T$203,$AF73))))</f>
        <v/>
      </c>
      <c r="Q73" s="10">
        <f>IF($AF73="","",INDEX(파견수련계획!$S$4:$S$203,$AF73))</f>
        <v/>
      </c>
      <c r="R73" s="10">
        <f>IF($AF73="","",INDEX(파견수련계획!$U$4:$U$203,$AF73))</f>
        <v/>
      </c>
      <c r="S73" s="11">
        <f>IF($AF73="","",IF(INDEX(파견수련계획!$H$4:$H$203,$AF73)="","",INDEX(파견수련계획!$H$4:$H$203,$AF73)))</f>
        <v/>
      </c>
      <c r="T73" s="11">
        <f>IF($AF73="","",IF(INDEX(파견수련계획!$I$4:$I$203,$AF73)="","",INDEX(파견수련계획!$I$4:$I$203,$AF73)))</f>
        <v/>
      </c>
      <c r="U73" s="10">
        <f>IF($AF73="","",INDEX(파견수련계획!$X$4:$X$203,$AF73))</f>
        <v/>
      </c>
      <c r="V73" s="17">
        <f>IF($AF73="","",INDEX(파견수련계획!$V$4:$V$203,$AF73))</f>
        <v/>
      </c>
      <c r="W73" s="17">
        <f>IF(AND($U73="파견중",$T73&lt;&gt;""),$T73-TODAY(),"")</f>
        <v/>
      </c>
      <c r="X73" s="17">
        <f>IF(OR($B73="",TRIM($J73&amp;"")=""),"",SUMPRODUCT((파견수련계획!$Q$4:$Q$203=TRIM($J73&amp;""))*파견수련계획!$W$4:$W$203))</f>
        <v/>
      </c>
      <c r="Y73" s="10">
        <f>IF($B73="","",IF($AG73="","",IF(IF(TRIM($J73&amp;"")="",0,SUMPRODUCT((파견수련계획!$Q$4:$Q$203=TRIM($J73&amp;""))*파견수련계획!$AD$4:$AD$203))&gt;0,$AE73,IF(N($X73)&lt;=0,$AG73,IF($AH73+$AI73=DAY(EOMONTH(요약!$B$3,0)),IF(AND($AH73&gt;=요약!$E$3,$AI73&lt;요약!$E$3),"서울병원",IF(AND($AI73&gt;=요약!$E$3,$AH73&lt;요약!$E$3),"구리병원","⚠15일 판정불가(서울 "&amp;$AH73&amp;"일/구리 "&amp;$AI73&amp;"일)")),IF($AJ73="",$AE73,IF(INDEX(파견수련계획!$T$4:$T$203,$AJ73)="통합수련",INDEX(파견수련계획!$S$4:$S$203,$AJ73),$AE73)))))))</f>
        <v/>
      </c>
      <c r="Z73" s="19">
        <f>IF($B73="","",IF($AB73="","기본자료에 없는 사번",IF(COUNTIF($B$2:$B$201,$B73)&gt;1,"중복 사번",IF($AE73="","소속(입사장소) 입력",IF(IF(TRIM($J73&amp;"")="",0,SUMPRODUCT((파견수련계획!$Q$4:$Q$203=TRIM($J73&amp;""))*(파견수련계획!$AA$4:$AA$203&lt;&gt;"")))&gt;0,"파견수련계획 입력오류 확인",IF(LEFT($Y73,1)="⚠","서울·구리 15일 판정 불가(양쪽 모두 이상/미만)",IF(IF($AC73="",0,N(INDEX(인턴근무계획!$T$3:$T$202,$AC73)))&gt;0,"인턴계획 입력오류 확인",IF(AND($AC73&lt;&gt;"",$U73&lt;&gt;"파견중",$N73&lt;&gt;$AE73),"인턴 타지역 근무: 파견 여부 확인","정상"))))))))</f>
        <v/>
      </c>
      <c r="AA73" s="5" t="n"/>
      <c r="AB73" s="10">
        <f>IF($B73="","",IFERROR(MATCH($B73,기본자료!$B$2:$B$501,0),IFERROR(MATCH($B73&amp;"",기본자료!$B$2:$B$501,0),IFERROR(MATCH(VALUE($B73),기본자료!$B$2:$B$501,0),""))))</f>
        <v/>
      </c>
      <c r="AC73" s="10">
        <f>IF($B73="","",IFERROR(MATCH($B73,인턴근무계획!$D$3:$D$202,0),IFERROR(MATCH($B73&amp;"",인턴근무계획!$D$3:$D$202,0),IFERROR(MATCH(VALUE($B73),인턴근무계획!$D$3:$D$202,0),""))))</f>
        <v/>
      </c>
      <c r="AD73" s="10">
        <f>IF(OR($AC73="",인턴현황!$G$3=""),"",INDEX(인턴근무계획!$M$3:$R$202,$AC73,인턴현황!$G$3)&amp;"")</f>
        <v/>
      </c>
      <c r="AE73" s="10">
        <f>IF($B73="","",IF($M73&lt;&gt;"",$M73,IF($AF73&lt;&gt;"",IF(LEFT(INDEX(파견수련계획!$R$4:$R$203,$AF73),1)&lt;&gt;"⚠",INDEX(파견수련계획!$R$4:$R$203,$AF73),IF($H73="","",IF(RIGHT($H73,2)="병원",$H73,$H73&amp;"병원"))),IF($H73="","",IF(RIGHT($H73,2)="병원",$H73,$H73&amp;"병원")))))</f>
        <v/>
      </c>
      <c r="AF73" s="10">
        <f>IF(OR($B73="",TRIM($J73&amp;"")=""),"",IFERROR(MATCH(TRIM($J73&amp;"")&amp;"|파견중",파견수련계획!$Y$4:$Y$203,0),IFERROR(MATCH(TRIM($J73&amp;"")&amp;"|파견예정",파견수련계획!$Y$4:$Y$203,0),IFERROR(MATCH(TRIM($J73&amp;"")&amp;"|파견종료",파견수련계획!$Y$4:$Y$203,0),""))))</f>
        <v/>
      </c>
      <c r="AG73" s="10">
        <f>IF($B73="","",IF(AND(IF(OR($AC73="",인턴현황!$K$2=""),"",INDEX(인턴근무계획!$M$3:$R$202,$AC73,인턴현황!$K$2)&amp;"")&lt;&gt;"",LEFT(IF(OR($AC73="",인턴현황!$K$2=""),"",INDEX(인턴근무계획!$M$3:$R$202,$AC73,인턴현황!$K$2)&amp;""),1)&lt;&gt;"⚠"),LEFT(IF(OR($AC73="",인턴현황!$K$2=""),"",INDEX(인턴근무계획!$M$3:$R$202,$AC73,인턴현황!$K$2)&amp;""),FIND(" ",IF(OR($AC73="",인턴현황!$K$2=""),"",INDEX(인턴근무계획!$M$3:$R$202,$AC73,인턴현황!$K$2)&amp;""))-1),$AE73))</f>
        <v/>
      </c>
      <c r="AH73" s="17">
        <f>IF($B73="","",IF(TRIM($J73&amp;"")="",0,SUMPRODUCT((파견수련계획!$Q$4:$Q$203=TRIM($J73&amp;""))*(파견수련계획!$S$4:$S$203="서울병원")*파견수련계획!$W$4:$W$203))+IF($AG73="서울병원",MAX(0,DAY(EOMONTH(요약!$B$3,0))-N($X73)),0))</f>
        <v/>
      </c>
      <c r="AI73" s="17">
        <f>IF($B73="","",IF(TRIM($J73&amp;"")="",0,SUMPRODUCT((파견수련계획!$Q$4:$Q$203=TRIM($J73&amp;""))*(파견수련계획!$S$4:$S$203="구리병원")*파견수련계획!$W$4:$W$203))+IF($AG73="구리병원",MAX(0,DAY(EOMONTH(요약!$B$3,0))-N($X73)),0))</f>
        <v/>
      </c>
      <c r="AJ73" s="10">
        <f>IF(OR($B73="",TRIM($J73&amp;"")=""),"",IFERROR(MATCH(TRIM($J73&amp;"")&amp;"|월",파견수련계획!$Z$4:$Z$203,0),""))</f>
        <v/>
      </c>
      <c r="AK73" s="10">
        <f>IF(OR($B73="",TRIM($J73&amp;"")=""),"",IFERROR(MATCH(TRIM($J73&amp;"")&amp;"|다기관",파견수련계획!$AE$4:$AE$203,0),""))</f>
        <v/>
      </c>
      <c r="AL73" s="10">
        <f>IF($AK73="","","다기관 "&amp;TEXT(INDEX(파견수련계획!$AB$4:$AB$203,$AK73),"yyyy-mm-dd")&amp;"~"&amp;IF(ISNUMBER(INDEX(파견수련계획!$AC$4:$AC$203,$AK73)),TEXT(INDEX(파견수련계획!$AC$4:$AC$203,$AK73),"yyyy-mm-dd"),""))</f>
        <v/>
      </c>
    </row>
    <row r="74">
      <c r="A74" s="10">
        <f>IF(B74="","",ROW()-1)</f>
        <v/>
      </c>
      <c r="B74" s="18" t="n"/>
      <c r="C74" s="10">
        <f>IF($AB74="","",IF(INDEX(기본자료!$C$2:$C$501,$AB74)="","",INDEX(기본자료!$C$2:$C$501,$AB74)))</f>
        <v/>
      </c>
      <c r="D74" s="10">
        <f>IF($AB74="","",IF(INDEX(기본자료!$J$2:$J$501,$AB74)="","",INDEX(기본자료!$J$2:$J$501,$AB74)))</f>
        <v/>
      </c>
      <c r="E74" s="11">
        <f>IF($AB74="","",IF(INDEX(기본자료!$K$2:$K$501,$AB74)="","",IF(NOT(ISNUMBER(INDEX(기본자료!$K$2:$K$501,$AB74))),INDEX(기본자료!$K$2:$K$501,$AB74),IF(INDEX(기본자료!$K$2:$K$501,$AB74)&lt;1000000,INDEX(기본자료!$K$2:$K$501,$AB74),IF(AND(INDEX(기본자료!$K$2:$K$501,$AB74)&gt;=10000101,INT(MOD(INDEX(기본자료!$K$2:$K$501,$AB74),10000)/100)&gt;=1,INT(MOD(INDEX(기본자료!$K$2:$K$501,$AB74),10000)/100)&lt;=12,MOD(INDEX(기본자료!$K$2:$K$501,$AB74),100)&gt;=1,MOD(INDEX(기본자료!$K$2:$K$501,$AB74),100)&lt;=31),DATE(INT(INDEX(기본자료!$K$2:$K$501,$AB74)/10000),INT(MOD(INDEX(기본자료!$K$2:$K$501,$AB74),10000)/100),MOD(INDEX(기본자료!$K$2:$K$501,$AB74),100)),INDEX(기본자료!$K$2:$K$501,$AB74)&amp;"")))))</f>
        <v/>
      </c>
      <c r="F74" s="10">
        <f>IF($AB74="","",IF(INDEX(기본자료!$D$2:$D$501,$AB74)="","",INDEX(기본자료!$D$2:$D$501,$AB74)))</f>
        <v/>
      </c>
      <c r="G74" s="10">
        <f>IF($AB74="","",IF(INDEX(기본자료!$E$2:$E$501,$AB74)="","",INDEX(기본자료!$E$2:$E$501,$AB74)))</f>
        <v/>
      </c>
      <c r="H74" s="10">
        <f>IF($AB74="","",IF(INDEX(기본자료!$F$2:$F$501,$AB74)="","",INDEX(기본자료!$F$2:$F$501,$AB74)))</f>
        <v/>
      </c>
      <c r="I74" s="11">
        <f>IF($AB74="","",IF(INDEX(기본자료!$G$2:$G$501,$AB74)="","",IF(NOT(ISNUMBER(INDEX(기본자료!$G$2:$G$501,$AB74))),INDEX(기본자료!$G$2:$G$501,$AB74),IF(INDEX(기본자료!$G$2:$G$501,$AB74)&lt;1000000,INDEX(기본자료!$G$2:$G$501,$AB74),IF(AND(INDEX(기본자료!$G$2:$G$501,$AB74)&gt;=10000101,INT(MOD(INDEX(기본자료!$G$2:$G$501,$AB74),10000)/100)&gt;=1,INT(MOD(INDEX(기본자료!$G$2:$G$501,$AB74),10000)/100)&lt;=12,MOD(INDEX(기본자료!$G$2:$G$501,$AB74),100)&gt;=1,MOD(INDEX(기본자료!$G$2:$G$501,$AB74),100)&lt;=31),DATE(INT(INDEX(기본자료!$G$2:$G$501,$AB74)/10000),INT(MOD(INDEX(기본자료!$G$2:$G$501,$AB74),10000)/100),MOD(INDEX(기본자료!$G$2:$G$501,$AB74),100)),INDEX(기본자료!$G$2:$G$501,$AB74)&amp;"")))))</f>
        <v/>
      </c>
      <c r="J74" s="10">
        <f>IF($AB74="","",IF(INDEX(기본자료!$H$2:$H$501,$AB74)="","",INDEX(기본자료!$H$2:$H$501,$AB74)))</f>
        <v/>
      </c>
      <c r="K74" s="10">
        <f>IF($AB74="","",IF(INDEX(기본자료!$I$2:$I$501,$AB74)="","",INDEX(기본자료!$I$2:$I$501,$AB74)))</f>
        <v/>
      </c>
      <c r="L74" s="10">
        <f>IF($AB74="","",IF(INDEX(기본자료!$A$2:$A$501,$AB74)="","",INDEX(기본자료!$A$2:$A$501,$AB74)))</f>
        <v/>
      </c>
      <c r="M74" s="15" t="n"/>
      <c r="N74" s="10">
        <f>IF($B74="","",IF(AND($U74="파견중",$Q74&lt;&gt;""),$Q74,IF(AND($AD74&lt;&gt;"",LEFT($AD74,1)&lt;&gt;"⚠"),LEFT($AD74,FIND(" ",$AD74)-1),IF($H74="","",IF(RIGHT($H74,2)="병원",$H74,$H74&amp;"병원")))))</f>
        <v/>
      </c>
      <c r="O74" s="10">
        <f>IF($B74="","",IF(AND($U74="파견중",$Q74&lt;&gt;""),IF($R74&lt;&gt;"",$R74,"파견과 미입력"),IF(AND($AD74&lt;&gt;"",LEFT($AD74,1)&lt;&gt;"⚠"),MID($AD74,FIND(" ",$AD74)+1,60),IF($F74="","",IF($F74="인턴","수련교육부(인턴)",$F74)))))</f>
        <v/>
      </c>
      <c r="P74" s="10">
        <f>IF($B74="","",IF($AK74&lt;&gt;"",IF(AND(TODAY()&gt;=INDEX(파견수련계획!$AB$4:$AB$203,$AK74),OR(NOT(ISNUMBER(INDEX(파견수련계획!$AC$4:$AC$203,$AK74))),TODAY()&lt;=INDEX(파견수련계획!$AC$4:$AC$203,$AK74))),"다기관",IF($AF74="","",INDEX(파견수련계획!$T$4:$T$203,$AF74))),IF($AF74="","",INDEX(파견수련계획!$T$4:$T$203,$AF74))))</f>
        <v/>
      </c>
      <c r="Q74" s="10">
        <f>IF($AF74="","",INDEX(파견수련계획!$S$4:$S$203,$AF74))</f>
        <v/>
      </c>
      <c r="R74" s="10">
        <f>IF($AF74="","",INDEX(파견수련계획!$U$4:$U$203,$AF74))</f>
        <v/>
      </c>
      <c r="S74" s="11">
        <f>IF($AF74="","",IF(INDEX(파견수련계획!$H$4:$H$203,$AF74)="","",INDEX(파견수련계획!$H$4:$H$203,$AF74)))</f>
        <v/>
      </c>
      <c r="T74" s="11">
        <f>IF($AF74="","",IF(INDEX(파견수련계획!$I$4:$I$203,$AF74)="","",INDEX(파견수련계획!$I$4:$I$203,$AF74)))</f>
        <v/>
      </c>
      <c r="U74" s="10">
        <f>IF($AF74="","",INDEX(파견수련계획!$X$4:$X$203,$AF74))</f>
        <v/>
      </c>
      <c r="V74" s="17">
        <f>IF($AF74="","",INDEX(파견수련계획!$V$4:$V$203,$AF74))</f>
        <v/>
      </c>
      <c r="W74" s="17">
        <f>IF(AND($U74="파견중",$T74&lt;&gt;""),$T74-TODAY(),"")</f>
        <v/>
      </c>
      <c r="X74" s="17">
        <f>IF(OR($B74="",TRIM($J74&amp;"")=""),"",SUMPRODUCT((파견수련계획!$Q$4:$Q$203=TRIM($J74&amp;""))*파견수련계획!$W$4:$W$203))</f>
        <v/>
      </c>
      <c r="Y74" s="10">
        <f>IF($B74="","",IF($AG74="","",IF(IF(TRIM($J74&amp;"")="",0,SUMPRODUCT((파견수련계획!$Q$4:$Q$203=TRIM($J74&amp;""))*파견수련계획!$AD$4:$AD$203))&gt;0,$AE74,IF(N($X74)&lt;=0,$AG74,IF($AH74+$AI74=DAY(EOMONTH(요약!$B$3,0)),IF(AND($AH74&gt;=요약!$E$3,$AI74&lt;요약!$E$3),"서울병원",IF(AND($AI74&gt;=요약!$E$3,$AH74&lt;요약!$E$3),"구리병원","⚠15일 판정불가(서울 "&amp;$AH74&amp;"일/구리 "&amp;$AI74&amp;"일)")),IF($AJ74="",$AE74,IF(INDEX(파견수련계획!$T$4:$T$203,$AJ74)="통합수련",INDEX(파견수련계획!$S$4:$S$203,$AJ74),$AE74)))))))</f>
        <v/>
      </c>
      <c r="Z74" s="19">
        <f>IF($B74="","",IF($AB74="","기본자료에 없는 사번",IF(COUNTIF($B$2:$B$201,$B74)&gt;1,"중복 사번",IF($AE74="","소속(입사장소) 입력",IF(IF(TRIM($J74&amp;"")="",0,SUMPRODUCT((파견수련계획!$Q$4:$Q$203=TRIM($J74&amp;""))*(파견수련계획!$AA$4:$AA$203&lt;&gt;"")))&gt;0,"파견수련계획 입력오류 확인",IF(LEFT($Y74,1)="⚠","서울·구리 15일 판정 불가(양쪽 모두 이상/미만)",IF(IF($AC74="",0,N(INDEX(인턴근무계획!$T$3:$T$202,$AC74)))&gt;0,"인턴계획 입력오류 확인",IF(AND($AC74&lt;&gt;"",$U74&lt;&gt;"파견중",$N74&lt;&gt;$AE74),"인턴 타지역 근무: 파견 여부 확인","정상"))))))))</f>
        <v/>
      </c>
      <c r="AA74" s="5" t="n"/>
      <c r="AB74" s="10">
        <f>IF($B74="","",IFERROR(MATCH($B74,기본자료!$B$2:$B$501,0),IFERROR(MATCH($B74&amp;"",기본자료!$B$2:$B$501,0),IFERROR(MATCH(VALUE($B74),기본자료!$B$2:$B$501,0),""))))</f>
        <v/>
      </c>
      <c r="AC74" s="10">
        <f>IF($B74="","",IFERROR(MATCH($B74,인턴근무계획!$D$3:$D$202,0),IFERROR(MATCH($B74&amp;"",인턴근무계획!$D$3:$D$202,0),IFERROR(MATCH(VALUE($B74),인턴근무계획!$D$3:$D$202,0),""))))</f>
        <v/>
      </c>
      <c r="AD74" s="10">
        <f>IF(OR($AC74="",인턴현황!$G$3=""),"",INDEX(인턴근무계획!$M$3:$R$202,$AC74,인턴현황!$G$3)&amp;"")</f>
        <v/>
      </c>
      <c r="AE74" s="10">
        <f>IF($B74="","",IF($M74&lt;&gt;"",$M74,IF($AF74&lt;&gt;"",IF(LEFT(INDEX(파견수련계획!$R$4:$R$203,$AF74),1)&lt;&gt;"⚠",INDEX(파견수련계획!$R$4:$R$203,$AF74),IF($H74="","",IF(RIGHT($H74,2)="병원",$H74,$H74&amp;"병원"))),IF($H74="","",IF(RIGHT($H74,2)="병원",$H74,$H74&amp;"병원")))))</f>
        <v/>
      </c>
      <c r="AF74" s="10">
        <f>IF(OR($B74="",TRIM($J74&amp;"")=""),"",IFERROR(MATCH(TRIM($J74&amp;"")&amp;"|파견중",파견수련계획!$Y$4:$Y$203,0),IFERROR(MATCH(TRIM($J74&amp;"")&amp;"|파견예정",파견수련계획!$Y$4:$Y$203,0),IFERROR(MATCH(TRIM($J74&amp;"")&amp;"|파견종료",파견수련계획!$Y$4:$Y$203,0),""))))</f>
        <v/>
      </c>
      <c r="AG74" s="10">
        <f>IF($B74="","",IF(AND(IF(OR($AC74="",인턴현황!$K$2=""),"",INDEX(인턴근무계획!$M$3:$R$202,$AC74,인턴현황!$K$2)&amp;"")&lt;&gt;"",LEFT(IF(OR($AC74="",인턴현황!$K$2=""),"",INDEX(인턴근무계획!$M$3:$R$202,$AC74,인턴현황!$K$2)&amp;""),1)&lt;&gt;"⚠"),LEFT(IF(OR($AC74="",인턴현황!$K$2=""),"",INDEX(인턴근무계획!$M$3:$R$202,$AC74,인턴현황!$K$2)&amp;""),FIND(" ",IF(OR($AC74="",인턴현황!$K$2=""),"",INDEX(인턴근무계획!$M$3:$R$202,$AC74,인턴현황!$K$2)&amp;""))-1),$AE74))</f>
        <v/>
      </c>
      <c r="AH74" s="17">
        <f>IF($B74="","",IF(TRIM($J74&amp;"")="",0,SUMPRODUCT((파견수련계획!$Q$4:$Q$203=TRIM($J74&amp;""))*(파견수련계획!$S$4:$S$203="서울병원")*파견수련계획!$W$4:$W$203))+IF($AG74="서울병원",MAX(0,DAY(EOMONTH(요약!$B$3,0))-N($X74)),0))</f>
        <v/>
      </c>
      <c r="AI74" s="17">
        <f>IF($B74="","",IF(TRIM($J74&amp;"")="",0,SUMPRODUCT((파견수련계획!$Q$4:$Q$203=TRIM($J74&amp;""))*(파견수련계획!$S$4:$S$203="구리병원")*파견수련계획!$W$4:$W$203))+IF($AG74="구리병원",MAX(0,DAY(EOMONTH(요약!$B$3,0))-N($X74)),0))</f>
        <v/>
      </c>
      <c r="AJ74" s="10">
        <f>IF(OR($B74="",TRIM($J74&amp;"")=""),"",IFERROR(MATCH(TRIM($J74&amp;"")&amp;"|월",파견수련계획!$Z$4:$Z$203,0),""))</f>
        <v/>
      </c>
      <c r="AK74" s="10">
        <f>IF(OR($B74="",TRIM($J74&amp;"")=""),"",IFERROR(MATCH(TRIM($J74&amp;"")&amp;"|다기관",파견수련계획!$AE$4:$AE$203,0),""))</f>
        <v/>
      </c>
      <c r="AL74" s="10">
        <f>IF($AK74="","","다기관 "&amp;TEXT(INDEX(파견수련계획!$AB$4:$AB$203,$AK74),"yyyy-mm-dd")&amp;"~"&amp;IF(ISNUMBER(INDEX(파견수련계획!$AC$4:$AC$203,$AK74)),TEXT(INDEX(파견수련계획!$AC$4:$AC$203,$AK74),"yyyy-mm-dd"),""))</f>
        <v/>
      </c>
    </row>
    <row r="75">
      <c r="A75" s="10">
        <f>IF(B75="","",ROW()-1)</f>
        <v/>
      </c>
      <c r="B75" s="18" t="n"/>
      <c r="C75" s="10">
        <f>IF($AB75="","",IF(INDEX(기본자료!$C$2:$C$501,$AB75)="","",INDEX(기본자료!$C$2:$C$501,$AB75)))</f>
        <v/>
      </c>
      <c r="D75" s="10">
        <f>IF($AB75="","",IF(INDEX(기본자료!$J$2:$J$501,$AB75)="","",INDEX(기본자료!$J$2:$J$501,$AB75)))</f>
        <v/>
      </c>
      <c r="E75" s="11">
        <f>IF($AB75="","",IF(INDEX(기본자료!$K$2:$K$501,$AB75)="","",IF(NOT(ISNUMBER(INDEX(기본자료!$K$2:$K$501,$AB75))),INDEX(기본자료!$K$2:$K$501,$AB75),IF(INDEX(기본자료!$K$2:$K$501,$AB75)&lt;1000000,INDEX(기본자료!$K$2:$K$501,$AB75),IF(AND(INDEX(기본자료!$K$2:$K$501,$AB75)&gt;=10000101,INT(MOD(INDEX(기본자료!$K$2:$K$501,$AB75),10000)/100)&gt;=1,INT(MOD(INDEX(기본자료!$K$2:$K$501,$AB75),10000)/100)&lt;=12,MOD(INDEX(기본자료!$K$2:$K$501,$AB75),100)&gt;=1,MOD(INDEX(기본자료!$K$2:$K$501,$AB75),100)&lt;=31),DATE(INT(INDEX(기본자료!$K$2:$K$501,$AB75)/10000),INT(MOD(INDEX(기본자료!$K$2:$K$501,$AB75),10000)/100),MOD(INDEX(기본자료!$K$2:$K$501,$AB75),100)),INDEX(기본자료!$K$2:$K$501,$AB75)&amp;"")))))</f>
        <v/>
      </c>
      <c r="F75" s="10">
        <f>IF($AB75="","",IF(INDEX(기본자료!$D$2:$D$501,$AB75)="","",INDEX(기본자료!$D$2:$D$501,$AB75)))</f>
        <v/>
      </c>
      <c r="G75" s="10">
        <f>IF($AB75="","",IF(INDEX(기본자료!$E$2:$E$501,$AB75)="","",INDEX(기본자료!$E$2:$E$501,$AB75)))</f>
        <v/>
      </c>
      <c r="H75" s="10">
        <f>IF($AB75="","",IF(INDEX(기본자료!$F$2:$F$501,$AB75)="","",INDEX(기본자료!$F$2:$F$501,$AB75)))</f>
        <v/>
      </c>
      <c r="I75" s="11">
        <f>IF($AB75="","",IF(INDEX(기본자료!$G$2:$G$501,$AB75)="","",IF(NOT(ISNUMBER(INDEX(기본자료!$G$2:$G$501,$AB75))),INDEX(기본자료!$G$2:$G$501,$AB75),IF(INDEX(기본자료!$G$2:$G$501,$AB75)&lt;1000000,INDEX(기본자료!$G$2:$G$501,$AB75),IF(AND(INDEX(기본자료!$G$2:$G$501,$AB75)&gt;=10000101,INT(MOD(INDEX(기본자료!$G$2:$G$501,$AB75),10000)/100)&gt;=1,INT(MOD(INDEX(기본자료!$G$2:$G$501,$AB75),10000)/100)&lt;=12,MOD(INDEX(기본자료!$G$2:$G$501,$AB75),100)&gt;=1,MOD(INDEX(기본자료!$G$2:$G$501,$AB75),100)&lt;=31),DATE(INT(INDEX(기본자료!$G$2:$G$501,$AB75)/10000),INT(MOD(INDEX(기본자료!$G$2:$G$501,$AB75),10000)/100),MOD(INDEX(기본자료!$G$2:$G$501,$AB75),100)),INDEX(기본자료!$G$2:$G$501,$AB75)&amp;"")))))</f>
        <v/>
      </c>
      <c r="J75" s="10">
        <f>IF($AB75="","",IF(INDEX(기본자료!$H$2:$H$501,$AB75)="","",INDEX(기본자료!$H$2:$H$501,$AB75)))</f>
        <v/>
      </c>
      <c r="K75" s="10">
        <f>IF($AB75="","",IF(INDEX(기본자료!$I$2:$I$501,$AB75)="","",INDEX(기본자료!$I$2:$I$501,$AB75)))</f>
        <v/>
      </c>
      <c r="L75" s="10">
        <f>IF($AB75="","",IF(INDEX(기본자료!$A$2:$A$501,$AB75)="","",INDEX(기본자료!$A$2:$A$501,$AB75)))</f>
        <v/>
      </c>
      <c r="M75" s="15" t="n"/>
      <c r="N75" s="10">
        <f>IF($B75="","",IF(AND($U75="파견중",$Q75&lt;&gt;""),$Q75,IF(AND($AD75&lt;&gt;"",LEFT($AD75,1)&lt;&gt;"⚠"),LEFT($AD75,FIND(" ",$AD75)-1),IF($H75="","",IF(RIGHT($H75,2)="병원",$H75,$H75&amp;"병원")))))</f>
        <v/>
      </c>
      <c r="O75" s="10">
        <f>IF($B75="","",IF(AND($U75="파견중",$Q75&lt;&gt;""),IF($R75&lt;&gt;"",$R75,"파견과 미입력"),IF(AND($AD75&lt;&gt;"",LEFT($AD75,1)&lt;&gt;"⚠"),MID($AD75,FIND(" ",$AD75)+1,60),IF($F75="","",IF($F75="인턴","수련교육부(인턴)",$F75)))))</f>
        <v/>
      </c>
      <c r="P75" s="10">
        <f>IF($B75="","",IF($AK75&lt;&gt;"",IF(AND(TODAY()&gt;=INDEX(파견수련계획!$AB$4:$AB$203,$AK75),OR(NOT(ISNUMBER(INDEX(파견수련계획!$AC$4:$AC$203,$AK75))),TODAY()&lt;=INDEX(파견수련계획!$AC$4:$AC$203,$AK75))),"다기관",IF($AF75="","",INDEX(파견수련계획!$T$4:$T$203,$AF75))),IF($AF75="","",INDEX(파견수련계획!$T$4:$T$203,$AF75))))</f>
        <v/>
      </c>
      <c r="Q75" s="10">
        <f>IF($AF75="","",INDEX(파견수련계획!$S$4:$S$203,$AF75))</f>
        <v/>
      </c>
      <c r="R75" s="10">
        <f>IF($AF75="","",INDEX(파견수련계획!$U$4:$U$203,$AF75))</f>
        <v/>
      </c>
      <c r="S75" s="11">
        <f>IF($AF75="","",IF(INDEX(파견수련계획!$H$4:$H$203,$AF75)="","",INDEX(파견수련계획!$H$4:$H$203,$AF75)))</f>
        <v/>
      </c>
      <c r="T75" s="11">
        <f>IF($AF75="","",IF(INDEX(파견수련계획!$I$4:$I$203,$AF75)="","",INDEX(파견수련계획!$I$4:$I$203,$AF75)))</f>
        <v/>
      </c>
      <c r="U75" s="10">
        <f>IF($AF75="","",INDEX(파견수련계획!$X$4:$X$203,$AF75))</f>
        <v/>
      </c>
      <c r="V75" s="17">
        <f>IF($AF75="","",INDEX(파견수련계획!$V$4:$V$203,$AF75))</f>
        <v/>
      </c>
      <c r="W75" s="17">
        <f>IF(AND($U75="파견중",$T75&lt;&gt;""),$T75-TODAY(),"")</f>
        <v/>
      </c>
      <c r="X75" s="17">
        <f>IF(OR($B75="",TRIM($J75&amp;"")=""),"",SUMPRODUCT((파견수련계획!$Q$4:$Q$203=TRIM($J75&amp;""))*파견수련계획!$W$4:$W$203))</f>
        <v/>
      </c>
      <c r="Y75" s="10">
        <f>IF($B75="","",IF($AG75="","",IF(IF(TRIM($J75&amp;"")="",0,SUMPRODUCT((파견수련계획!$Q$4:$Q$203=TRIM($J75&amp;""))*파견수련계획!$AD$4:$AD$203))&gt;0,$AE75,IF(N($X75)&lt;=0,$AG75,IF($AH75+$AI75=DAY(EOMONTH(요약!$B$3,0)),IF(AND($AH75&gt;=요약!$E$3,$AI75&lt;요약!$E$3),"서울병원",IF(AND($AI75&gt;=요약!$E$3,$AH75&lt;요약!$E$3),"구리병원","⚠15일 판정불가(서울 "&amp;$AH75&amp;"일/구리 "&amp;$AI75&amp;"일)")),IF($AJ75="",$AE75,IF(INDEX(파견수련계획!$T$4:$T$203,$AJ75)="통합수련",INDEX(파견수련계획!$S$4:$S$203,$AJ75),$AE75)))))))</f>
        <v/>
      </c>
      <c r="Z75" s="19">
        <f>IF($B75="","",IF($AB75="","기본자료에 없는 사번",IF(COUNTIF($B$2:$B$201,$B75)&gt;1,"중복 사번",IF($AE75="","소속(입사장소) 입력",IF(IF(TRIM($J75&amp;"")="",0,SUMPRODUCT((파견수련계획!$Q$4:$Q$203=TRIM($J75&amp;""))*(파견수련계획!$AA$4:$AA$203&lt;&gt;"")))&gt;0,"파견수련계획 입력오류 확인",IF(LEFT($Y75,1)="⚠","서울·구리 15일 판정 불가(양쪽 모두 이상/미만)",IF(IF($AC75="",0,N(INDEX(인턴근무계획!$T$3:$T$202,$AC75)))&gt;0,"인턴계획 입력오류 확인",IF(AND($AC75&lt;&gt;"",$U75&lt;&gt;"파견중",$N75&lt;&gt;$AE75),"인턴 타지역 근무: 파견 여부 확인","정상"))))))))</f>
        <v/>
      </c>
      <c r="AA75" s="5" t="n"/>
      <c r="AB75" s="10">
        <f>IF($B75="","",IFERROR(MATCH($B75,기본자료!$B$2:$B$501,0),IFERROR(MATCH($B75&amp;"",기본자료!$B$2:$B$501,0),IFERROR(MATCH(VALUE($B75),기본자료!$B$2:$B$501,0),""))))</f>
        <v/>
      </c>
      <c r="AC75" s="10">
        <f>IF($B75="","",IFERROR(MATCH($B75,인턴근무계획!$D$3:$D$202,0),IFERROR(MATCH($B75&amp;"",인턴근무계획!$D$3:$D$202,0),IFERROR(MATCH(VALUE($B75),인턴근무계획!$D$3:$D$202,0),""))))</f>
        <v/>
      </c>
      <c r="AD75" s="10">
        <f>IF(OR($AC75="",인턴현황!$G$3=""),"",INDEX(인턴근무계획!$M$3:$R$202,$AC75,인턴현황!$G$3)&amp;"")</f>
        <v/>
      </c>
      <c r="AE75" s="10">
        <f>IF($B75="","",IF($M75&lt;&gt;"",$M75,IF($AF75&lt;&gt;"",IF(LEFT(INDEX(파견수련계획!$R$4:$R$203,$AF75),1)&lt;&gt;"⚠",INDEX(파견수련계획!$R$4:$R$203,$AF75),IF($H75="","",IF(RIGHT($H75,2)="병원",$H75,$H75&amp;"병원"))),IF($H75="","",IF(RIGHT($H75,2)="병원",$H75,$H75&amp;"병원")))))</f>
        <v/>
      </c>
      <c r="AF75" s="10">
        <f>IF(OR($B75="",TRIM($J75&amp;"")=""),"",IFERROR(MATCH(TRIM($J75&amp;"")&amp;"|파견중",파견수련계획!$Y$4:$Y$203,0),IFERROR(MATCH(TRIM($J75&amp;"")&amp;"|파견예정",파견수련계획!$Y$4:$Y$203,0),IFERROR(MATCH(TRIM($J75&amp;"")&amp;"|파견종료",파견수련계획!$Y$4:$Y$203,0),""))))</f>
        <v/>
      </c>
      <c r="AG75" s="10">
        <f>IF($B75="","",IF(AND(IF(OR($AC75="",인턴현황!$K$2=""),"",INDEX(인턴근무계획!$M$3:$R$202,$AC75,인턴현황!$K$2)&amp;"")&lt;&gt;"",LEFT(IF(OR($AC75="",인턴현황!$K$2=""),"",INDEX(인턴근무계획!$M$3:$R$202,$AC75,인턴현황!$K$2)&amp;""),1)&lt;&gt;"⚠"),LEFT(IF(OR($AC75="",인턴현황!$K$2=""),"",INDEX(인턴근무계획!$M$3:$R$202,$AC75,인턴현황!$K$2)&amp;""),FIND(" ",IF(OR($AC75="",인턴현황!$K$2=""),"",INDEX(인턴근무계획!$M$3:$R$202,$AC75,인턴현황!$K$2)&amp;""))-1),$AE75))</f>
        <v/>
      </c>
      <c r="AH75" s="17">
        <f>IF($B75="","",IF(TRIM($J75&amp;"")="",0,SUMPRODUCT((파견수련계획!$Q$4:$Q$203=TRIM($J75&amp;""))*(파견수련계획!$S$4:$S$203="서울병원")*파견수련계획!$W$4:$W$203))+IF($AG75="서울병원",MAX(0,DAY(EOMONTH(요약!$B$3,0))-N($X75)),0))</f>
        <v/>
      </c>
      <c r="AI75" s="17">
        <f>IF($B75="","",IF(TRIM($J75&amp;"")="",0,SUMPRODUCT((파견수련계획!$Q$4:$Q$203=TRIM($J75&amp;""))*(파견수련계획!$S$4:$S$203="구리병원")*파견수련계획!$W$4:$W$203))+IF($AG75="구리병원",MAX(0,DAY(EOMONTH(요약!$B$3,0))-N($X75)),0))</f>
        <v/>
      </c>
      <c r="AJ75" s="10">
        <f>IF(OR($B75="",TRIM($J75&amp;"")=""),"",IFERROR(MATCH(TRIM($J75&amp;"")&amp;"|월",파견수련계획!$Z$4:$Z$203,0),""))</f>
        <v/>
      </c>
      <c r="AK75" s="10">
        <f>IF(OR($B75="",TRIM($J75&amp;"")=""),"",IFERROR(MATCH(TRIM($J75&amp;"")&amp;"|다기관",파견수련계획!$AE$4:$AE$203,0),""))</f>
        <v/>
      </c>
      <c r="AL75" s="10">
        <f>IF($AK75="","","다기관 "&amp;TEXT(INDEX(파견수련계획!$AB$4:$AB$203,$AK75),"yyyy-mm-dd")&amp;"~"&amp;IF(ISNUMBER(INDEX(파견수련계획!$AC$4:$AC$203,$AK75)),TEXT(INDEX(파견수련계획!$AC$4:$AC$203,$AK75),"yyyy-mm-dd"),""))</f>
        <v/>
      </c>
    </row>
    <row r="76">
      <c r="A76" s="10">
        <f>IF(B76="","",ROW()-1)</f>
        <v/>
      </c>
      <c r="B76" s="18" t="n"/>
      <c r="C76" s="10">
        <f>IF($AB76="","",IF(INDEX(기본자료!$C$2:$C$501,$AB76)="","",INDEX(기본자료!$C$2:$C$501,$AB76)))</f>
        <v/>
      </c>
      <c r="D76" s="10">
        <f>IF($AB76="","",IF(INDEX(기본자료!$J$2:$J$501,$AB76)="","",INDEX(기본자료!$J$2:$J$501,$AB76)))</f>
        <v/>
      </c>
      <c r="E76" s="11">
        <f>IF($AB76="","",IF(INDEX(기본자료!$K$2:$K$501,$AB76)="","",IF(NOT(ISNUMBER(INDEX(기본자료!$K$2:$K$501,$AB76))),INDEX(기본자료!$K$2:$K$501,$AB76),IF(INDEX(기본자료!$K$2:$K$501,$AB76)&lt;1000000,INDEX(기본자료!$K$2:$K$501,$AB76),IF(AND(INDEX(기본자료!$K$2:$K$501,$AB76)&gt;=10000101,INT(MOD(INDEX(기본자료!$K$2:$K$501,$AB76),10000)/100)&gt;=1,INT(MOD(INDEX(기본자료!$K$2:$K$501,$AB76),10000)/100)&lt;=12,MOD(INDEX(기본자료!$K$2:$K$501,$AB76),100)&gt;=1,MOD(INDEX(기본자료!$K$2:$K$501,$AB76),100)&lt;=31),DATE(INT(INDEX(기본자료!$K$2:$K$501,$AB76)/10000),INT(MOD(INDEX(기본자료!$K$2:$K$501,$AB76),10000)/100),MOD(INDEX(기본자료!$K$2:$K$501,$AB76),100)),INDEX(기본자료!$K$2:$K$501,$AB76)&amp;"")))))</f>
        <v/>
      </c>
      <c r="F76" s="10">
        <f>IF($AB76="","",IF(INDEX(기본자료!$D$2:$D$501,$AB76)="","",INDEX(기본자료!$D$2:$D$501,$AB76)))</f>
        <v/>
      </c>
      <c r="G76" s="10">
        <f>IF($AB76="","",IF(INDEX(기본자료!$E$2:$E$501,$AB76)="","",INDEX(기본자료!$E$2:$E$501,$AB76)))</f>
        <v/>
      </c>
      <c r="H76" s="10">
        <f>IF($AB76="","",IF(INDEX(기본자료!$F$2:$F$501,$AB76)="","",INDEX(기본자료!$F$2:$F$501,$AB76)))</f>
        <v/>
      </c>
      <c r="I76" s="11">
        <f>IF($AB76="","",IF(INDEX(기본자료!$G$2:$G$501,$AB76)="","",IF(NOT(ISNUMBER(INDEX(기본자료!$G$2:$G$501,$AB76))),INDEX(기본자료!$G$2:$G$501,$AB76),IF(INDEX(기본자료!$G$2:$G$501,$AB76)&lt;1000000,INDEX(기본자료!$G$2:$G$501,$AB76),IF(AND(INDEX(기본자료!$G$2:$G$501,$AB76)&gt;=10000101,INT(MOD(INDEX(기본자료!$G$2:$G$501,$AB76),10000)/100)&gt;=1,INT(MOD(INDEX(기본자료!$G$2:$G$501,$AB76),10000)/100)&lt;=12,MOD(INDEX(기본자료!$G$2:$G$501,$AB76),100)&gt;=1,MOD(INDEX(기본자료!$G$2:$G$501,$AB76),100)&lt;=31),DATE(INT(INDEX(기본자료!$G$2:$G$501,$AB76)/10000),INT(MOD(INDEX(기본자료!$G$2:$G$501,$AB76),10000)/100),MOD(INDEX(기본자료!$G$2:$G$501,$AB76),100)),INDEX(기본자료!$G$2:$G$501,$AB76)&amp;"")))))</f>
        <v/>
      </c>
      <c r="J76" s="10">
        <f>IF($AB76="","",IF(INDEX(기본자료!$H$2:$H$501,$AB76)="","",INDEX(기본자료!$H$2:$H$501,$AB76)))</f>
        <v/>
      </c>
      <c r="K76" s="10">
        <f>IF($AB76="","",IF(INDEX(기본자료!$I$2:$I$501,$AB76)="","",INDEX(기본자료!$I$2:$I$501,$AB76)))</f>
        <v/>
      </c>
      <c r="L76" s="10">
        <f>IF($AB76="","",IF(INDEX(기본자료!$A$2:$A$501,$AB76)="","",INDEX(기본자료!$A$2:$A$501,$AB76)))</f>
        <v/>
      </c>
      <c r="M76" s="15" t="n"/>
      <c r="N76" s="10">
        <f>IF($B76="","",IF(AND($U76="파견중",$Q76&lt;&gt;""),$Q76,IF(AND($AD76&lt;&gt;"",LEFT($AD76,1)&lt;&gt;"⚠"),LEFT($AD76,FIND(" ",$AD76)-1),IF($H76="","",IF(RIGHT($H76,2)="병원",$H76,$H76&amp;"병원")))))</f>
        <v/>
      </c>
      <c r="O76" s="10">
        <f>IF($B76="","",IF(AND($U76="파견중",$Q76&lt;&gt;""),IF($R76&lt;&gt;"",$R76,"파견과 미입력"),IF(AND($AD76&lt;&gt;"",LEFT($AD76,1)&lt;&gt;"⚠"),MID($AD76,FIND(" ",$AD76)+1,60),IF($F76="","",IF($F76="인턴","수련교육부(인턴)",$F76)))))</f>
        <v/>
      </c>
      <c r="P76" s="10">
        <f>IF($B76="","",IF($AK76&lt;&gt;"",IF(AND(TODAY()&gt;=INDEX(파견수련계획!$AB$4:$AB$203,$AK76),OR(NOT(ISNUMBER(INDEX(파견수련계획!$AC$4:$AC$203,$AK76))),TODAY()&lt;=INDEX(파견수련계획!$AC$4:$AC$203,$AK76))),"다기관",IF($AF76="","",INDEX(파견수련계획!$T$4:$T$203,$AF76))),IF($AF76="","",INDEX(파견수련계획!$T$4:$T$203,$AF76))))</f>
        <v/>
      </c>
      <c r="Q76" s="10">
        <f>IF($AF76="","",INDEX(파견수련계획!$S$4:$S$203,$AF76))</f>
        <v/>
      </c>
      <c r="R76" s="10">
        <f>IF($AF76="","",INDEX(파견수련계획!$U$4:$U$203,$AF76))</f>
        <v/>
      </c>
      <c r="S76" s="11">
        <f>IF($AF76="","",IF(INDEX(파견수련계획!$H$4:$H$203,$AF76)="","",INDEX(파견수련계획!$H$4:$H$203,$AF76)))</f>
        <v/>
      </c>
      <c r="T76" s="11">
        <f>IF($AF76="","",IF(INDEX(파견수련계획!$I$4:$I$203,$AF76)="","",INDEX(파견수련계획!$I$4:$I$203,$AF76)))</f>
        <v/>
      </c>
      <c r="U76" s="10">
        <f>IF($AF76="","",INDEX(파견수련계획!$X$4:$X$203,$AF76))</f>
        <v/>
      </c>
      <c r="V76" s="17">
        <f>IF($AF76="","",INDEX(파견수련계획!$V$4:$V$203,$AF76))</f>
        <v/>
      </c>
      <c r="W76" s="17">
        <f>IF(AND($U76="파견중",$T76&lt;&gt;""),$T76-TODAY(),"")</f>
        <v/>
      </c>
      <c r="X76" s="17">
        <f>IF(OR($B76="",TRIM($J76&amp;"")=""),"",SUMPRODUCT((파견수련계획!$Q$4:$Q$203=TRIM($J76&amp;""))*파견수련계획!$W$4:$W$203))</f>
        <v/>
      </c>
      <c r="Y76" s="10">
        <f>IF($B76="","",IF($AG76="","",IF(IF(TRIM($J76&amp;"")="",0,SUMPRODUCT((파견수련계획!$Q$4:$Q$203=TRIM($J76&amp;""))*파견수련계획!$AD$4:$AD$203))&gt;0,$AE76,IF(N($X76)&lt;=0,$AG76,IF($AH76+$AI76=DAY(EOMONTH(요약!$B$3,0)),IF(AND($AH76&gt;=요약!$E$3,$AI76&lt;요약!$E$3),"서울병원",IF(AND($AI76&gt;=요약!$E$3,$AH76&lt;요약!$E$3),"구리병원","⚠15일 판정불가(서울 "&amp;$AH76&amp;"일/구리 "&amp;$AI76&amp;"일)")),IF($AJ76="",$AE76,IF(INDEX(파견수련계획!$T$4:$T$203,$AJ76)="통합수련",INDEX(파견수련계획!$S$4:$S$203,$AJ76),$AE76)))))))</f>
        <v/>
      </c>
      <c r="Z76" s="19">
        <f>IF($B76="","",IF($AB76="","기본자료에 없는 사번",IF(COUNTIF($B$2:$B$201,$B76)&gt;1,"중복 사번",IF($AE76="","소속(입사장소) 입력",IF(IF(TRIM($J76&amp;"")="",0,SUMPRODUCT((파견수련계획!$Q$4:$Q$203=TRIM($J76&amp;""))*(파견수련계획!$AA$4:$AA$203&lt;&gt;"")))&gt;0,"파견수련계획 입력오류 확인",IF(LEFT($Y76,1)="⚠","서울·구리 15일 판정 불가(양쪽 모두 이상/미만)",IF(IF($AC76="",0,N(INDEX(인턴근무계획!$T$3:$T$202,$AC76)))&gt;0,"인턴계획 입력오류 확인",IF(AND($AC76&lt;&gt;"",$U76&lt;&gt;"파견중",$N76&lt;&gt;$AE76),"인턴 타지역 근무: 파견 여부 확인","정상"))))))))</f>
        <v/>
      </c>
      <c r="AA76" s="5" t="n"/>
      <c r="AB76" s="10">
        <f>IF($B76="","",IFERROR(MATCH($B76,기본자료!$B$2:$B$501,0),IFERROR(MATCH($B76&amp;"",기본자료!$B$2:$B$501,0),IFERROR(MATCH(VALUE($B76),기본자료!$B$2:$B$501,0),""))))</f>
        <v/>
      </c>
      <c r="AC76" s="10">
        <f>IF($B76="","",IFERROR(MATCH($B76,인턴근무계획!$D$3:$D$202,0),IFERROR(MATCH($B76&amp;"",인턴근무계획!$D$3:$D$202,0),IFERROR(MATCH(VALUE($B76),인턴근무계획!$D$3:$D$202,0),""))))</f>
        <v/>
      </c>
      <c r="AD76" s="10">
        <f>IF(OR($AC76="",인턴현황!$G$3=""),"",INDEX(인턴근무계획!$M$3:$R$202,$AC76,인턴현황!$G$3)&amp;"")</f>
        <v/>
      </c>
      <c r="AE76" s="10">
        <f>IF($B76="","",IF($M76&lt;&gt;"",$M76,IF($AF76&lt;&gt;"",IF(LEFT(INDEX(파견수련계획!$R$4:$R$203,$AF76),1)&lt;&gt;"⚠",INDEX(파견수련계획!$R$4:$R$203,$AF76),IF($H76="","",IF(RIGHT($H76,2)="병원",$H76,$H76&amp;"병원"))),IF($H76="","",IF(RIGHT($H76,2)="병원",$H76,$H76&amp;"병원")))))</f>
        <v/>
      </c>
      <c r="AF76" s="10">
        <f>IF(OR($B76="",TRIM($J76&amp;"")=""),"",IFERROR(MATCH(TRIM($J76&amp;"")&amp;"|파견중",파견수련계획!$Y$4:$Y$203,0),IFERROR(MATCH(TRIM($J76&amp;"")&amp;"|파견예정",파견수련계획!$Y$4:$Y$203,0),IFERROR(MATCH(TRIM($J76&amp;"")&amp;"|파견종료",파견수련계획!$Y$4:$Y$203,0),""))))</f>
        <v/>
      </c>
      <c r="AG76" s="10">
        <f>IF($B76="","",IF(AND(IF(OR($AC76="",인턴현황!$K$2=""),"",INDEX(인턴근무계획!$M$3:$R$202,$AC76,인턴현황!$K$2)&amp;"")&lt;&gt;"",LEFT(IF(OR($AC76="",인턴현황!$K$2=""),"",INDEX(인턴근무계획!$M$3:$R$202,$AC76,인턴현황!$K$2)&amp;""),1)&lt;&gt;"⚠"),LEFT(IF(OR($AC76="",인턴현황!$K$2=""),"",INDEX(인턴근무계획!$M$3:$R$202,$AC76,인턴현황!$K$2)&amp;""),FIND(" ",IF(OR($AC76="",인턴현황!$K$2=""),"",INDEX(인턴근무계획!$M$3:$R$202,$AC76,인턴현황!$K$2)&amp;""))-1),$AE76))</f>
        <v/>
      </c>
      <c r="AH76" s="17">
        <f>IF($B76="","",IF(TRIM($J76&amp;"")="",0,SUMPRODUCT((파견수련계획!$Q$4:$Q$203=TRIM($J76&amp;""))*(파견수련계획!$S$4:$S$203="서울병원")*파견수련계획!$W$4:$W$203))+IF($AG76="서울병원",MAX(0,DAY(EOMONTH(요약!$B$3,0))-N($X76)),0))</f>
        <v/>
      </c>
      <c r="AI76" s="17">
        <f>IF($B76="","",IF(TRIM($J76&amp;"")="",0,SUMPRODUCT((파견수련계획!$Q$4:$Q$203=TRIM($J76&amp;""))*(파견수련계획!$S$4:$S$203="구리병원")*파견수련계획!$W$4:$W$203))+IF($AG76="구리병원",MAX(0,DAY(EOMONTH(요약!$B$3,0))-N($X76)),0))</f>
        <v/>
      </c>
      <c r="AJ76" s="10">
        <f>IF(OR($B76="",TRIM($J76&amp;"")=""),"",IFERROR(MATCH(TRIM($J76&amp;"")&amp;"|월",파견수련계획!$Z$4:$Z$203,0),""))</f>
        <v/>
      </c>
      <c r="AK76" s="10">
        <f>IF(OR($B76="",TRIM($J76&amp;"")=""),"",IFERROR(MATCH(TRIM($J76&amp;"")&amp;"|다기관",파견수련계획!$AE$4:$AE$203,0),""))</f>
        <v/>
      </c>
      <c r="AL76" s="10">
        <f>IF($AK76="","","다기관 "&amp;TEXT(INDEX(파견수련계획!$AB$4:$AB$203,$AK76),"yyyy-mm-dd")&amp;"~"&amp;IF(ISNUMBER(INDEX(파견수련계획!$AC$4:$AC$203,$AK76)),TEXT(INDEX(파견수련계획!$AC$4:$AC$203,$AK76),"yyyy-mm-dd"),""))</f>
        <v/>
      </c>
    </row>
    <row r="77">
      <c r="A77" s="10">
        <f>IF(B77="","",ROW()-1)</f>
        <v/>
      </c>
      <c r="B77" s="18" t="n"/>
      <c r="C77" s="10">
        <f>IF($AB77="","",IF(INDEX(기본자료!$C$2:$C$501,$AB77)="","",INDEX(기본자료!$C$2:$C$501,$AB77)))</f>
        <v/>
      </c>
      <c r="D77" s="10">
        <f>IF($AB77="","",IF(INDEX(기본자료!$J$2:$J$501,$AB77)="","",INDEX(기본자료!$J$2:$J$501,$AB77)))</f>
        <v/>
      </c>
      <c r="E77" s="11">
        <f>IF($AB77="","",IF(INDEX(기본자료!$K$2:$K$501,$AB77)="","",IF(NOT(ISNUMBER(INDEX(기본자료!$K$2:$K$501,$AB77))),INDEX(기본자료!$K$2:$K$501,$AB77),IF(INDEX(기본자료!$K$2:$K$501,$AB77)&lt;1000000,INDEX(기본자료!$K$2:$K$501,$AB77),IF(AND(INDEX(기본자료!$K$2:$K$501,$AB77)&gt;=10000101,INT(MOD(INDEX(기본자료!$K$2:$K$501,$AB77),10000)/100)&gt;=1,INT(MOD(INDEX(기본자료!$K$2:$K$501,$AB77),10000)/100)&lt;=12,MOD(INDEX(기본자료!$K$2:$K$501,$AB77),100)&gt;=1,MOD(INDEX(기본자료!$K$2:$K$501,$AB77),100)&lt;=31),DATE(INT(INDEX(기본자료!$K$2:$K$501,$AB77)/10000),INT(MOD(INDEX(기본자료!$K$2:$K$501,$AB77),10000)/100),MOD(INDEX(기본자료!$K$2:$K$501,$AB77),100)),INDEX(기본자료!$K$2:$K$501,$AB77)&amp;"")))))</f>
        <v/>
      </c>
      <c r="F77" s="10">
        <f>IF($AB77="","",IF(INDEX(기본자료!$D$2:$D$501,$AB77)="","",INDEX(기본자료!$D$2:$D$501,$AB77)))</f>
        <v/>
      </c>
      <c r="G77" s="10">
        <f>IF($AB77="","",IF(INDEX(기본자료!$E$2:$E$501,$AB77)="","",INDEX(기본자료!$E$2:$E$501,$AB77)))</f>
        <v/>
      </c>
      <c r="H77" s="10">
        <f>IF($AB77="","",IF(INDEX(기본자료!$F$2:$F$501,$AB77)="","",INDEX(기본자료!$F$2:$F$501,$AB77)))</f>
        <v/>
      </c>
      <c r="I77" s="11">
        <f>IF($AB77="","",IF(INDEX(기본자료!$G$2:$G$501,$AB77)="","",IF(NOT(ISNUMBER(INDEX(기본자료!$G$2:$G$501,$AB77))),INDEX(기본자료!$G$2:$G$501,$AB77),IF(INDEX(기본자료!$G$2:$G$501,$AB77)&lt;1000000,INDEX(기본자료!$G$2:$G$501,$AB77),IF(AND(INDEX(기본자료!$G$2:$G$501,$AB77)&gt;=10000101,INT(MOD(INDEX(기본자료!$G$2:$G$501,$AB77),10000)/100)&gt;=1,INT(MOD(INDEX(기본자료!$G$2:$G$501,$AB77),10000)/100)&lt;=12,MOD(INDEX(기본자료!$G$2:$G$501,$AB77),100)&gt;=1,MOD(INDEX(기본자료!$G$2:$G$501,$AB77),100)&lt;=31),DATE(INT(INDEX(기본자료!$G$2:$G$501,$AB77)/10000),INT(MOD(INDEX(기본자료!$G$2:$G$501,$AB77),10000)/100),MOD(INDEX(기본자료!$G$2:$G$501,$AB77),100)),INDEX(기본자료!$G$2:$G$501,$AB77)&amp;"")))))</f>
        <v/>
      </c>
      <c r="J77" s="10">
        <f>IF($AB77="","",IF(INDEX(기본자료!$H$2:$H$501,$AB77)="","",INDEX(기본자료!$H$2:$H$501,$AB77)))</f>
        <v/>
      </c>
      <c r="K77" s="10">
        <f>IF($AB77="","",IF(INDEX(기본자료!$I$2:$I$501,$AB77)="","",INDEX(기본자료!$I$2:$I$501,$AB77)))</f>
        <v/>
      </c>
      <c r="L77" s="10">
        <f>IF($AB77="","",IF(INDEX(기본자료!$A$2:$A$501,$AB77)="","",INDEX(기본자료!$A$2:$A$501,$AB77)))</f>
        <v/>
      </c>
      <c r="M77" s="15" t="n"/>
      <c r="N77" s="10">
        <f>IF($B77="","",IF(AND($U77="파견중",$Q77&lt;&gt;""),$Q77,IF(AND($AD77&lt;&gt;"",LEFT($AD77,1)&lt;&gt;"⚠"),LEFT($AD77,FIND(" ",$AD77)-1),IF($H77="","",IF(RIGHT($H77,2)="병원",$H77,$H77&amp;"병원")))))</f>
        <v/>
      </c>
      <c r="O77" s="10">
        <f>IF($B77="","",IF(AND($U77="파견중",$Q77&lt;&gt;""),IF($R77&lt;&gt;"",$R77,"파견과 미입력"),IF(AND($AD77&lt;&gt;"",LEFT($AD77,1)&lt;&gt;"⚠"),MID($AD77,FIND(" ",$AD77)+1,60),IF($F77="","",IF($F77="인턴","수련교육부(인턴)",$F77)))))</f>
        <v/>
      </c>
      <c r="P77" s="10">
        <f>IF($B77="","",IF($AK77&lt;&gt;"",IF(AND(TODAY()&gt;=INDEX(파견수련계획!$AB$4:$AB$203,$AK77),OR(NOT(ISNUMBER(INDEX(파견수련계획!$AC$4:$AC$203,$AK77))),TODAY()&lt;=INDEX(파견수련계획!$AC$4:$AC$203,$AK77))),"다기관",IF($AF77="","",INDEX(파견수련계획!$T$4:$T$203,$AF77))),IF($AF77="","",INDEX(파견수련계획!$T$4:$T$203,$AF77))))</f>
        <v/>
      </c>
      <c r="Q77" s="10">
        <f>IF($AF77="","",INDEX(파견수련계획!$S$4:$S$203,$AF77))</f>
        <v/>
      </c>
      <c r="R77" s="10">
        <f>IF($AF77="","",INDEX(파견수련계획!$U$4:$U$203,$AF77))</f>
        <v/>
      </c>
      <c r="S77" s="11">
        <f>IF($AF77="","",IF(INDEX(파견수련계획!$H$4:$H$203,$AF77)="","",INDEX(파견수련계획!$H$4:$H$203,$AF77)))</f>
        <v/>
      </c>
      <c r="T77" s="11">
        <f>IF($AF77="","",IF(INDEX(파견수련계획!$I$4:$I$203,$AF77)="","",INDEX(파견수련계획!$I$4:$I$203,$AF77)))</f>
        <v/>
      </c>
      <c r="U77" s="10">
        <f>IF($AF77="","",INDEX(파견수련계획!$X$4:$X$203,$AF77))</f>
        <v/>
      </c>
      <c r="V77" s="17">
        <f>IF($AF77="","",INDEX(파견수련계획!$V$4:$V$203,$AF77))</f>
        <v/>
      </c>
      <c r="W77" s="17">
        <f>IF(AND($U77="파견중",$T77&lt;&gt;""),$T77-TODAY(),"")</f>
        <v/>
      </c>
      <c r="X77" s="17">
        <f>IF(OR($B77="",TRIM($J77&amp;"")=""),"",SUMPRODUCT((파견수련계획!$Q$4:$Q$203=TRIM($J77&amp;""))*파견수련계획!$W$4:$W$203))</f>
        <v/>
      </c>
      <c r="Y77" s="10">
        <f>IF($B77="","",IF($AG77="","",IF(IF(TRIM($J77&amp;"")="",0,SUMPRODUCT((파견수련계획!$Q$4:$Q$203=TRIM($J77&amp;""))*파견수련계획!$AD$4:$AD$203))&gt;0,$AE77,IF(N($X77)&lt;=0,$AG77,IF($AH77+$AI77=DAY(EOMONTH(요약!$B$3,0)),IF(AND($AH77&gt;=요약!$E$3,$AI77&lt;요약!$E$3),"서울병원",IF(AND($AI77&gt;=요약!$E$3,$AH77&lt;요약!$E$3),"구리병원","⚠15일 판정불가(서울 "&amp;$AH77&amp;"일/구리 "&amp;$AI77&amp;"일)")),IF($AJ77="",$AE77,IF(INDEX(파견수련계획!$T$4:$T$203,$AJ77)="통합수련",INDEX(파견수련계획!$S$4:$S$203,$AJ77),$AE77)))))))</f>
        <v/>
      </c>
      <c r="Z77" s="19">
        <f>IF($B77="","",IF($AB77="","기본자료에 없는 사번",IF(COUNTIF($B$2:$B$201,$B77)&gt;1,"중복 사번",IF($AE77="","소속(입사장소) 입력",IF(IF(TRIM($J77&amp;"")="",0,SUMPRODUCT((파견수련계획!$Q$4:$Q$203=TRIM($J77&amp;""))*(파견수련계획!$AA$4:$AA$203&lt;&gt;"")))&gt;0,"파견수련계획 입력오류 확인",IF(LEFT($Y77,1)="⚠","서울·구리 15일 판정 불가(양쪽 모두 이상/미만)",IF(IF($AC77="",0,N(INDEX(인턴근무계획!$T$3:$T$202,$AC77)))&gt;0,"인턴계획 입력오류 확인",IF(AND($AC77&lt;&gt;"",$U77&lt;&gt;"파견중",$N77&lt;&gt;$AE77),"인턴 타지역 근무: 파견 여부 확인","정상"))))))))</f>
        <v/>
      </c>
      <c r="AA77" s="5" t="n"/>
      <c r="AB77" s="10">
        <f>IF($B77="","",IFERROR(MATCH($B77,기본자료!$B$2:$B$501,0),IFERROR(MATCH($B77&amp;"",기본자료!$B$2:$B$501,0),IFERROR(MATCH(VALUE($B77),기본자료!$B$2:$B$501,0),""))))</f>
        <v/>
      </c>
      <c r="AC77" s="10">
        <f>IF($B77="","",IFERROR(MATCH($B77,인턴근무계획!$D$3:$D$202,0),IFERROR(MATCH($B77&amp;"",인턴근무계획!$D$3:$D$202,0),IFERROR(MATCH(VALUE($B77),인턴근무계획!$D$3:$D$202,0),""))))</f>
        <v/>
      </c>
      <c r="AD77" s="10">
        <f>IF(OR($AC77="",인턴현황!$G$3=""),"",INDEX(인턴근무계획!$M$3:$R$202,$AC77,인턴현황!$G$3)&amp;"")</f>
        <v/>
      </c>
      <c r="AE77" s="10">
        <f>IF($B77="","",IF($M77&lt;&gt;"",$M77,IF($AF77&lt;&gt;"",IF(LEFT(INDEX(파견수련계획!$R$4:$R$203,$AF77),1)&lt;&gt;"⚠",INDEX(파견수련계획!$R$4:$R$203,$AF77),IF($H77="","",IF(RIGHT($H77,2)="병원",$H77,$H77&amp;"병원"))),IF($H77="","",IF(RIGHT($H77,2)="병원",$H77,$H77&amp;"병원")))))</f>
        <v/>
      </c>
      <c r="AF77" s="10">
        <f>IF(OR($B77="",TRIM($J77&amp;"")=""),"",IFERROR(MATCH(TRIM($J77&amp;"")&amp;"|파견중",파견수련계획!$Y$4:$Y$203,0),IFERROR(MATCH(TRIM($J77&amp;"")&amp;"|파견예정",파견수련계획!$Y$4:$Y$203,0),IFERROR(MATCH(TRIM($J77&amp;"")&amp;"|파견종료",파견수련계획!$Y$4:$Y$203,0),""))))</f>
        <v/>
      </c>
      <c r="AG77" s="10">
        <f>IF($B77="","",IF(AND(IF(OR($AC77="",인턴현황!$K$2=""),"",INDEX(인턴근무계획!$M$3:$R$202,$AC77,인턴현황!$K$2)&amp;"")&lt;&gt;"",LEFT(IF(OR($AC77="",인턴현황!$K$2=""),"",INDEX(인턴근무계획!$M$3:$R$202,$AC77,인턴현황!$K$2)&amp;""),1)&lt;&gt;"⚠"),LEFT(IF(OR($AC77="",인턴현황!$K$2=""),"",INDEX(인턴근무계획!$M$3:$R$202,$AC77,인턴현황!$K$2)&amp;""),FIND(" ",IF(OR($AC77="",인턴현황!$K$2=""),"",INDEX(인턴근무계획!$M$3:$R$202,$AC77,인턴현황!$K$2)&amp;""))-1),$AE77))</f>
        <v/>
      </c>
      <c r="AH77" s="17">
        <f>IF($B77="","",IF(TRIM($J77&amp;"")="",0,SUMPRODUCT((파견수련계획!$Q$4:$Q$203=TRIM($J77&amp;""))*(파견수련계획!$S$4:$S$203="서울병원")*파견수련계획!$W$4:$W$203))+IF($AG77="서울병원",MAX(0,DAY(EOMONTH(요약!$B$3,0))-N($X77)),0))</f>
        <v/>
      </c>
      <c r="AI77" s="17">
        <f>IF($B77="","",IF(TRIM($J77&amp;"")="",0,SUMPRODUCT((파견수련계획!$Q$4:$Q$203=TRIM($J77&amp;""))*(파견수련계획!$S$4:$S$203="구리병원")*파견수련계획!$W$4:$W$203))+IF($AG77="구리병원",MAX(0,DAY(EOMONTH(요약!$B$3,0))-N($X77)),0))</f>
        <v/>
      </c>
      <c r="AJ77" s="10">
        <f>IF(OR($B77="",TRIM($J77&amp;"")=""),"",IFERROR(MATCH(TRIM($J77&amp;"")&amp;"|월",파견수련계획!$Z$4:$Z$203,0),""))</f>
        <v/>
      </c>
      <c r="AK77" s="10">
        <f>IF(OR($B77="",TRIM($J77&amp;"")=""),"",IFERROR(MATCH(TRIM($J77&amp;"")&amp;"|다기관",파견수련계획!$AE$4:$AE$203,0),""))</f>
        <v/>
      </c>
      <c r="AL77" s="10">
        <f>IF($AK77="","","다기관 "&amp;TEXT(INDEX(파견수련계획!$AB$4:$AB$203,$AK77),"yyyy-mm-dd")&amp;"~"&amp;IF(ISNUMBER(INDEX(파견수련계획!$AC$4:$AC$203,$AK77)),TEXT(INDEX(파견수련계획!$AC$4:$AC$203,$AK77),"yyyy-mm-dd"),""))</f>
        <v/>
      </c>
    </row>
    <row r="78">
      <c r="A78" s="10">
        <f>IF(B78="","",ROW()-1)</f>
        <v/>
      </c>
      <c r="B78" s="18" t="n"/>
      <c r="C78" s="10">
        <f>IF($AB78="","",IF(INDEX(기본자료!$C$2:$C$501,$AB78)="","",INDEX(기본자료!$C$2:$C$501,$AB78)))</f>
        <v/>
      </c>
      <c r="D78" s="10">
        <f>IF($AB78="","",IF(INDEX(기본자료!$J$2:$J$501,$AB78)="","",INDEX(기본자료!$J$2:$J$501,$AB78)))</f>
        <v/>
      </c>
      <c r="E78" s="11">
        <f>IF($AB78="","",IF(INDEX(기본자료!$K$2:$K$501,$AB78)="","",IF(NOT(ISNUMBER(INDEX(기본자료!$K$2:$K$501,$AB78))),INDEX(기본자료!$K$2:$K$501,$AB78),IF(INDEX(기본자료!$K$2:$K$501,$AB78)&lt;1000000,INDEX(기본자료!$K$2:$K$501,$AB78),IF(AND(INDEX(기본자료!$K$2:$K$501,$AB78)&gt;=10000101,INT(MOD(INDEX(기본자료!$K$2:$K$501,$AB78),10000)/100)&gt;=1,INT(MOD(INDEX(기본자료!$K$2:$K$501,$AB78),10000)/100)&lt;=12,MOD(INDEX(기본자료!$K$2:$K$501,$AB78),100)&gt;=1,MOD(INDEX(기본자료!$K$2:$K$501,$AB78),100)&lt;=31),DATE(INT(INDEX(기본자료!$K$2:$K$501,$AB78)/10000),INT(MOD(INDEX(기본자료!$K$2:$K$501,$AB78),10000)/100),MOD(INDEX(기본자료!$K$2:$K$501,$AB78),100)),INDEX(기본자료!$K$2:$K$501,$AB78)&amp;"")))))</f>
        <v/>
      </c>
      <c r="F78" s="10">
        <f>IF($AB78="","",IF(INDEX(기본자료!$D$2:$D$501,$AB78)="","",INDEX(기본자료!$D$2:$D$501,$AB78)))</f>
        <v/>
      </c>
      <c r="G78" s="10">
        <f>IF($AB78="","",IF(INDEX(기본자료!$E$2:$E$501,$AB78)="","",INDEX(기본자료!$E$2:$E$501,$AB78)))</f>
        <v/>
      </c>
      <c r="H78" s="10">
        <f>IF($AB78="","",IF(INDEX(기본자료!$F$2:$F$501,$AB78)="","",INDEX(기본자료!$F$2:$F$501,$AB78)))</f>
        <v/>
      </c>
      <c r="I78" s="11">
        <f>IF($AB78="","",IF(INDEX(기본자료!$G$2:$G$501,$AB78)="","",IF(NOT(ISNUMBER(INDEX(기본자료!$G$2:$G$501,$AB78))),INDEX(기본자료!$G$2:$G$501,$AB78),IF(INDEX(기본자료!$G$2:$G$501,$AB78)&lt;1000000,INDEX(기본자료!$G$2:$G$501,$AB78),IF(AND(INDEX(기본자료!$G$2:$G$501,$AB78)&gt;=10000101,INT(MOD(INDEX(기본자료!$G$2:$G$501,$AB78),10000)/100)&gt;=1,INT(MOD(INDEX(기본자료!$G$2:$G$501,$AB78),10000)/100)&lt;=12,MOD(INDEX(기본자료!$G$2:$G$501,$AB78),100)&gt;=1,MOD(INDEX(기본자료!$G$2:$G$501,$AB78),100)&lt;=31),DATE(INT(INDEX(기본자료!$G$2:$G$501,$AB78)/10000),INT(MOD(INDEX(기본자료!$G$2:$G$501,$AB78),10000)/100),MOD(INDEX(기본자료!$G$2:$G$501,$AB78),100)),INDEX(기본자료!$G$2:$G$501,$AB78)&amp;"")))))</f>
        <v/>
      </c>
      <c r="J78" s="10">
        <f>IF($AB78="","",IF(INDEX(기본자료!$H$2:$H$501,$AB78)="","",INDEX(기본자료!$H$2:$H$501,$AB78)))</f>
        <v/>
      </c>
      <c r="K78" s="10">
        <f>IF($AB78="","",IF(INDEX(기본자료!$I$2:$I$501,$AB78)="","",INDEX(기본자료!$I$2:$I$501,$AB78)))</f>
        <v/>
      </c>
      <c r="L78" s="10">
        <f>IF($AB78="","",IF(INDEX(기본자료!$A$2:$A$501,$AB78)="","",INDEX(기본자료!$A$2:$A$501,$AB78)))</f>
        <v/>
      </c>
      <c r="M78" s="15" t="n"/>
      <c r="N78" s="10">
        <f>IF($B78="","",IF(AND($U78="파견중",$Q78&lt;&gt;""),$Q78,IF(AND($AD78&lt;&gt;"",LEFT($AD78,1)&lt;&gt;"⚠"),LEFT($AD78,FIND(" ",$AD78)-1),IF($H78="","",IF(RIGHT($H78,2)="병원",$H78,$H78&amp;"병원")))))</f>
        <v/>
      </c>
      <c r="O78" s="10">
        <f>IF($B78="","",IF(AND($U78="파견중",$Q78&lt;&gt;""),IF($R78&lt;&gt;"",$R78,"파견과 미입력"),IF(AND($AD78&lt;&gt;"",LEFT($AD78,1)&lt;&gt;"⚠"),MID($AD78,FIND(" ",$AD78)+1,60),IF($F78="","",IF($F78="인턴","수련교육부(인턴)",$F78)))))</f>
        <v/>
      </c>
      <c r="P78" s="10">
        <f>IF($B78="","",IF($AK78&lt;&gt;"",IF(AND(TODAY()&gt;=INDEX(파견수련계획!$AB$4:$AB$203,$AK78),OR(NOT(ISNUMBER(INDEX(파견수련계획!$AC$4:$AC$203,$AK78))),TODAY()&lt;=INDEX(파견수련계획!$AC$4:$AC$203,$AK78))),"다기관",IF($AF78="","",INDEX(파견수련계획!$T$4:$T$203,$AF78))),IF($AF78="","",INDEX(파견수련계획!$T$4:$T$203,$AF78))))</f>
        <v/>
      </c>
      <c r="Q78" s="10">
        <f>IF($AF78="","",INDEX(파견수련계획!$S$4:$S$203,$AF78))</f>
        <v/>
      </c>
      <c r="R78" s="10">
        <f>IF($AF78="","",INDEX(파견수련계획!$U$4:$U$203,$AF78))</f>
        <v/>
      </c>
      <c r="S78" s="11">
        <f>IF($AF78="","",IF(INDEX(파견수련계획!$H$4:$H$203,$AF78)="","",INDEX(파견수련계획!$H$4:$H$203,$AF78)))</f>
        <v/>
      </c>
      <c r="T78" s="11">
        <f>IF($AF78="","",IF(INDEX(파견수련계획!$I$4:$I$203,$AF78)="","",INDEX(파견수련계획!$I$4:$I$203,$AF78)))</f>
        <v/>
      </c>
      <c r="U78" s="10">
        <f>IF($AF78="","",INDEX(파견수련계획!$X$4:$X$203,$AF78))</f>
        <v/>
      </c>
      <c r="V78" s="17">
        <f>IF($AF78="","",INDEX(파견수련계획!$V$4:$V$203,$AF78))</f>
        <v/>
      </c>
      <c r="W78" s="17">
        <f>IF(AND($U78="파견중",$T78&lt;&gt;""),$T78-TODAY(),"")</f>
        <v/>
      </c>
      <c r="X78" s="17">
        <f>IF(OR($B78="",TRIM($J78&amp;"")=""),"",SUMPRODUCT((파견수련계획!$Q$4:$Q$203=TRIM($J78&amp;""))*파견수련계획!$W$4:$W$203))</f>
        <v/>
      </c>
      <c r="Y78" s="10">
        <f>IF($B78="","",IF($AG78="","",IF(IF(TRIM($J78&amp;"")="",0,SUMPRODUCT((파견수련계획!$Q$4:$Q$203=TRIM($J78&amp;""))*파견수련계획!$AD$4:$AD$203))&gt;0,$AE78,IF(N($X78)&lt;=0,$AG78,IF($AH78+$AI78=DAY(EOMONTH(요약!$B$3,0)),IF(AND($AH78&gt;=요약!$E$3,$AI78&lt;요약!$E$3),"서울병원",IF(AND($AI78&gt;=요약!$E$3,$AH78&lt;요약!$E$3),"구리병원","⚠15일 판정불가(서울 "&amp;$AH78&amp;"일/구리 "&amp;$AI78&amp;"일)")),IF($AJ78="",$AE78,IF(INDEX(파견수련계획!$T$4:$T$203,$AJ78)="통합수련",INDEX(파견수련계획!$S$4:$S$203,$AJ78),$AE78)))))))</f>
        <v/>
      </c>
      <c r="Z78" s="19">
        <f>IF($B78="","",IF($AB78="","기본자료에 없는 사번",IF(COUNTIF($B$2:$B$201,$B78)&gt;1,"중복 사번",IF($AE78="","소속(입사장소) 입력",IF(IF(TRIM($J78&amp;"")="",0,SUMPRODUCT((파견수련계획!$Q$4:$Q$203=TRIM($J78&amp;""))*(파견수련계획!$AA$4:$AA$203&lt;&gt;"")))&gt;0,"파견수련계획 입력오류 확인",IF(LEFT($Y78,1)="⚠","서울·구리 15일 판정 불가(양쪽 모두 이상/미만)",IF(IF($AC78="",0,N(INDEX(인턴근무계획!$T$3:$T$202,$AC78)))&gt;0,"인턴계획 입력오류 확인",IF(AND($AC78&lt;&gt;"",$U78&lt;&gt;"파견중",$N78&lt;&gt;$AE78),"인턴 타지역 근무: 파견 여부 확인","정상"))))))))</f>
        <v/>
      </c>
      <c r="AA78" s="5" t="n"/>
      <c r="AB78" s="10">
        <f>IF($B78="","",IFERROR(MATCH($B78,기본자료!$B$2:$B$501,0),IFERROR(MATCH($B78&amp;"",기본자료!$B$2:$B$501,0),IFERROR(MATCH(VALUE($B78),기본자료!$B$2:$B$501,0),""))))</f>
        <v/>
      </c>
      <c r="AC78" s="10">
        <f>IF($B78="","",IFERROR(MATCH($B78,인턴근무계획!$D$3:$D$202,0),IFERROR(MATCH($B78&amp;"",인턴근무계획!$D$3:$D$202,0),IFERROR(MATCH(VALUE($B78),인턴근무계획!$D$3:$D$202,0),""))))</f>
        <v/>
      </c>
      <c r="AD78" s="10">
        <f>IF(OR($AC78="",인턴현황!$G$3=""),"",INDEX(인턴근무계획!$M$3:$R$202,$AC78,인턴현황!$G$3)&amp;"")</f>
        <v/>
      </c>
      <c r="AE78" s="10">
        <f>IF($B78="","",IF($M78&lt;&gt;"",$M78,IF($AF78&lt;&gt;"",IF(LEFT(INDEX(파견수련계획!$R$4:$R$203,$AF78),1)&lt;&gt;"⚠",INDEX(파견수련계획!$R$4:$R$203,$AF78),IF($H78="","",IF(RIGHT($H78,2)="병원",$H78,$H78&amp;"병원"))),IF($H78="","",IF(RIGHT($H78,2)="병원",$H78,$H78&amp;"병원")))))</f>
        <v/>
      </c>
      <c r="AF78" s="10">
        <f>IF(OR($B78="",TRIM($J78&amp;"")=""),"",IFERROR(MATCH(TRIM($J78&amp;"")&amp;"|파견중",파견수련계획!$Y$4:$Y$203,0),IFERROR(MATCH(TRIM($J78&amp;"")&amp;"|파견예정",파견수련계획!$Y$4:$Y$203,0),IFERROR(MATCH(TRIM($J78&amp;"")&amp;"|파견종료",파견수련계획!$Y$4:$Y$203,0),""))))</f>
        <v/>
      </c>
      <c r="AG78" s="10">
        <f>IF($B78="","",IF(AND(IF(OR($AC78="",인턴현황!$K$2=""),"",INDEX(인턴근무계획!$M$3:$R$202,$AC78,인턴현황!$K$2)&amp;"")&lt;&gt;"",LEFT(IF(OR($AC78="",인턴현황!$K$2=""),"",INDEX(인턴근무계획!$M$3:$R$202,$AC78,인턴현황!$K$2)&amp;""),1)&lt;&gt;"⚠"),LEFT(IF(OR($AC78="",인턴현황!$K$2=""),"",INDEX(인턴근무계획!$M$3:$R$202,$AC78,인턴현황!$K$2)&amp;""),FIND(" ",IF(OR($AC78="",인턴현황!$K$2=""),"",INDEX(인턴근무계획!$M$3:$R$202,$AC78,인턴현황!$K$2)&amp;""))-1),$AE78))</f>
        <v/>
      </c>
      <c r="AH78" s="17">
        <f>IF($B78="","",IF(TRIM($J78&amp;"")="",0,SUMPRODUCT((파견수련계획!$Q$4:$Q$203=TRIM($J78&amp;""))*(파견수련계획!$S$4:$S$203="서울병원")*파견수련계획!$W$4:$W$203))+IF($AG78="서울병원",MAX(0,DAY(EOMONTH(요약!$B$3,0))-N($X78)),0))</f>
        <v/>
      </c>
      <c r="AI78" s="17">
        <f>IF($B78="","",IF(TRIM($J78&amp;"")="",0,SUMPRODUCT((파견수련계획!$Q$4:$Q$203=TRIM($J78&amp;""))*(파견수련계획!$S$4:$S$203="구리병원")*파견수련계획!$W$4:$W$203))+IF($AG78="구리병원",MAX(0,DAY(EOMONTH(요약!$B$3,0))-N($X78)),0))</f>
        <v/>
      </c>
      <c r="AJ78" s="10">
        <f>IF(OR($B78="",TRIM($J78&amp;"")=""),"",IFERROR(MATCH(TRIM($J78&amp;"")&amp;"|월",파견수련계획!$Z$4:$Z$203,0),""))</f>
        <v/>
      </c>
      <c r="AK78" s="10">
        <f>IF(OR($B78="",TRIM($J78&amp;"")=""),"",IFERROR(MATCH(TRIM($J78&amp;"")&amp;"|다기관",파견수련계획!$AE$4:$AE$203,0),""))</f>
        <v/>
      </c>
      <c r="AL78" s="10">
        <f>IF($AK78="","","다기관 "&amp;TEXT(INDEX(파견수련계획!$AB$4:$AB$203,$AK78),"yyyy-mm-dd")&amp;"~"&amp;IF(ISNUMBER(INDEX(파견수련계획!$AC$4:$AC$203,$AK78)),TEXT(INDEX(파견수련계획!$AC$4:$AC$203,$AK78),"yyyy-mm-dd"),""))</f>
        <v/>
      </c>
    </row>
    <row r="79">
      <c r="A79" s="10">
        <f>IF(B79="","",ROW()-1)</f>
        <v/>
      </c>
      <c r="B79" s="18" t="n"/>
      <c r="C79" s="10">
        <f>IF($AB79="","",IF(INDEX(기본자료!$C$2:$C$501,$AB79)="","",INDEX(기본자료!$C$2:$C$501,$AB79)))</f>
        <v/>
      </c>
      <c r="D79" s="10">
        <f>IF($AB79="","",IF(INDEX(기본자료!$J$2:$J$501,$AB79)="","",INDEX(기본자료!$J$2:$J$501,$AB79)))</f>
        <v/>
      </c>
      <c r="E79" s="11">
        <f>IF($AB79="","",IF(INDEX(기본자료!$K$2:$K$501,$AB79)="","",IF(NOT(ISNUMBER(INDEX(기본자료!$K$2:$K$501,$AB79))),INDEX(기본자료!$K$2:$K$501,$AB79),IF(INDEX(기본자료!$K$2:$K$501,$AB79)&lt;1000000,INDEX(기본자료!$K$2:$K$501,$AB79),IF(AND(INDEX(기본자료!$K$2:$K$501,$AB79)&gt;=10000101,INT(MOD(INDEX(기본자료!$K$2:$K$501,$AB79),10000)/100)&gt;=1,INT(MOD(INDEX(기본자료!$K$2:$K$501,$AB79),10000)/100)&lt;=12,MOD(INDEX(기본자료!$K$2:$K$501,$AB79),100)&gt;=1,MOD(INDEX(기본자료!$K$2:$K$501,$AB79),100)&lt;=31),DATE(INT(INDEX(기본자료!$K$2:$K$501,$AB79)/10000),INT(MOD(INDEX(기본자료!$K$2:$K$501,$AB79),10000)/100),MOD(INDEX(기본자료!$K$2:$K$501,$AB79),100)),INDEX(기본자료!$K$2:$K$501,$AB79)&amp;"")))))</f>
        <v/>
      </c>
      <c r="F79" s="10">
        <f>IF($AB79="","",IF(INDEX(기본자료!$D$2:$D$501,$AB79)="","",INDEX(기본자료!$D$2:$D$501,$AB79)))</f>
        <v/>
      </c>
      <c r="G79" s="10">
        <f>IF($AB79="","",IF(INDEX(기본자료!$E$2:$E$501,$AB79)="","",INDEX(기본자료!$E$2:$E$501,$AB79)))</f>
        <v/>
      </c>
      <c r="H79" s="10">
        <f>IF($AB79="","",IF(INDEX(기본자료!$F$2:$F$501,$AB79)="","",INDEX(기본자료!$F$2:$F$501,$AB79)))</f>
        <v/>
      </c>
      <c r="I79" s="11">
        <f>IF($AB79="","",IF(INDEX(기본자료!$G$2:$G$501,$AB79)="","",IF(NOT(ISNUMBER(INDEX(기본자료!$G$2:$G$501,$AB79))),INDEX(기본자료!$G$2:$G$501,$AB79),IF(INDEX(기본자료!$G$2:$G$501,$AB79)&lt;1000000,INDEX(기본자료!$G$2:$G$501,$AB79),IF(AND(INDEX(기본자료!$G$2:$G$501,$AB79)&gt;=10000101,INT(MOD(INDEX(기본자료!$G$2:$G$501,$AB79),10000)/100)&gt;=1,INT(MOD(INDEX(기본자료!$G$2:$G$501,$AB79),10000)/100)&lt;=12,MOD(INDEX(기본자료!$G$2:$G$501,$AB79),100)&gt;=1,MOD(INDEX(기본자료!$G$2:$G$501,$AB79),100)&lt;=31),DATE(INT(INDEX(기본자료!$G$2:$G$501,$AB79)/10000),INT(MOD(INDEX(기본자료!$G$2:$G$501,$AB79),10000)/100),MOD(INDEX(기본자료!$G$2:$G$501,$AB79),100)),INDEX(기본자료!$G$2:$G$501,$AB79)&amp;"")))))</f>
        <v/>
      </c>
      <c r="J79" s="10">
        <f>IF($AB79="","",IF(INDEX(기본자료!$H$2:$H$501,$AB79)="","",INDEX(기본자료!$H$2:$H$501,$AB79)))</f>
        <v/>
      </c>
      <c r="K79" s="10">
        <f>IF($AB79="","",IF(INDEX(기본자료!$I$2:$I$501,$AB79)="","",INDEX(기본자료!$I$2:$I$501,$AB79)))</f>
        <v/>
      </c>
      <c r="L79" s="10">
        <f>IF($AB79="","",IF(INDEX(기본자료!$A$2:$A$501,$AB79)="","",INDEX(기본자료!$A$2:$A$501,$AB79)))</f>
        <v/>
      </c>
      <c r="M79" s="15" t="n"/>
      <c r="N79" s="10">
        <f>IF($B79="","",IF(AND($U79="파견중",$Q79&lt;&gt;""),$Q79,IF(AND($AD79&lt;&gt;"",LEFT($AD79,1)&lt;&gt;"⚠"),LEFT($AD79,FIND(" ",$AD79)-1),IF($H79="","",IF(RIGHT($H79,2)="병원",$H79,$H79&amp;"병원")))))</f>
        <v/>
      </c>
      <c r="O79" s="10">
        <f>IF($B79="","",IF(AND($U79="파견중",$Q79&lt;&gt;""),IF($R79&lt;&gt;"",$R79,"파견과 미입력"),IF(AND($AD79&lt;&gt;"",LEFT($AD79,1)&lt;&gt;"⚠"),MID($AD79,FIND(" ",$AD79)+1,60),IF($F79="","",IF($F79="인턴","수련교육부(인턴)",$F79)))))</f>
        <v/>
      </c>
      <c r="P79" s="10">
        <f>IF($B79="","",IF($AK79&lt;&gt;"",IF(AND(TODAY()&gt;=INDEX(파견수련계획!$AB$4:$AB$203,$AK79),OR(NOT(ISNUMBER(INDEX(파견수련계획!$AC$4:$AC$203,$AK79))),TODAY()&lt;=INDEX(파견수련계획!$AC$4:$AC$203,$AK79))),"다기관",IF($AF79="","",INDEX(파견수련계획!$T$4:$T$203,$AF79))),IF($AF79="","",INDEX(파견수련계획!$T$4:$T$203,$AF79))))</f>
        <v/>
      </c>
      <c r="Q79" s="10">
        <f>IF($AF79="","",INDEX(파견수련계획!$S$4:$S$203,$AF79))</f>
        <v/>
      </c>
      <c r="R79" s="10">
        <f>IF($AF79="","",INDEX(파견수련계획!$U$4:$U$203,$AF79))</f>
        <v/>
      </c>
      <c r="S79" s="11">
        <f>IF($AF79="","",IF(INDEX(파견수련계획!$H$4:$H$203,$AF79)="","",INDEX(파견수련계획!$H$4:$H$203,$AF79)))</f>
        <v/>
      </c>
      <c r="T79" s="11">
        <f>IF($AF79="","",IF(INDEX(파견수련계획!$I$4:$I$203,$AF79)="","",INDEX(파견수련계획!$I$4:$I$203,$AF79)))</f>
        <v/>
      </c>
      <c r="U79" s="10">
        <f>IF($AF79="","",INDEX(파견수련계획!$X$4:$X$203,$AF79))</f>
        <v/>
      </c>
      <c r="V79" s="17">
        <f>IF($AF79="","",INDEX(파견수련계획!$V$4:$V$203,$AF79))</f>
        <v/>
      </c>
      <c r="W79" s="17">
        <f>IF(AND($U79="파견중",$T79&lt;&gt;""),$T79-TODAY(),"")</f>
        <v/>
      </c>
      <c r="X79" s="17">
        <f>IF(OR($B79="",TRIM($J79&amp;"")=""),"",SUMPRODUCT((파견수련계획!$Q$4:$Q$203=TRIM($J79&amp;""))*파견수련계획!$W$4:$W$203))</f>
        <v/>
      </c>
      <c r="Y79" s="10">
        <f>IF($B79="","",IF($AG79="","",IF(IF(TRIM($J79&amp;"")="",0,SUMPRODUCT((파견수련계획!$Q$4:$Q$203=TRIM($J79&amp;""))*파견수련계획!$AD$4:$AD$203))&gt;0,$AE79,IF(N($X79)&lt;=0,$AG79,IF($AH79+$AI79=DAY(EOMONTH(요약!$B$3,0)),IF(AND($AH79&gt;=요약!$E$3,$AI79&lt;요약!$E$3),"서울병원",IF(AND($AI79&gt;=요약!$E$3,$AH79&lt;요약!$E$3),"구리병원","⚠15일 판정불가(서울 "&amp;$AH79&amp;"일/구리 "&amp;$AI79&amp;"일)")),IF($AJ79="",$AE79,IF(INDEX(파견수련계획!$T$4:$T$203,$AJ79)="통합수련",INDEX(파견수련계획!$S$4:$S$203,$AJ79),$AE79)))))))</f>
        <v/>
      </c>
      <c r="Z79" s="19">
        <f>IF($B79="","",IF($AB79="","기본자료에 없는 사번",IF(COUNTIF($B$2:$B$201,$B79)&gt;1,"중복 사번",IF($AE79="","소속(입사장소) 입력",IF(IF(TRIM($J79&amp;"")="",0,SUMPRODUCT((파견수련계획!$Q$4:$Q$203=TRIM($J79&amp;""))*(파견수련계획!$AA$4:$AA$203&lt;&gt;"")))&gt;0,"파견수련계획 입력오류 확인",IF(LEFT($Y79,1)="⚠","서울·구리 15일 판정 불가(양쪽 모두 이상/미만)",IF(IF($AC79="",0,N(INDEX(인턴근무계획!$T$3:$T$202,$AC79)))&gt;0,"인턴계획 입력오류 확인",IF(AND($AC79&lt;&gt;"",$U79&lt;&gt;"파견중",$N79&lt;&gt;$AE79),"인턴 타지역 근무: 파견 여부 확인","정상"))))))))</f>
        <v/>
      </c>
      <c r="AA79" s="5" t="n"/>
      <c r="AB79" s="10">
        <f>IF($B79="","",IFERROR(MATCH($B79,기본자료!$B$2:$B$501,0),IFERROR(MATCH($B79&amp;"",기본자료!$B$2:$B$501,0),IFERROR(MATCH(VALUE($B79),기본자료!$B$2:$B$501,0),""))))</f>
        <v/>
      </c>
      <c r="AC79" s="10">
        <f>IF($B79="","",IFERROR(MATCH($B79,인턴근무계획!$D$3:$D$202,0),IFERROR(MATCH($B79&amp;"",인턴근무계획!$D$3:$D$202,0),IFERROR(MATCH(VALUE($B79),인턴근무계획!$D$3:$D$202,0),""))))</f>
        <v/>
      </c>
      <c r="AD79" s="10">
        <f>IF(OR($AC79="",인턴현황!$G$3=""),"",INDEX(인턴근무계획!$M$3:$R$202,$AC79,인턴현황!$G$3)&amp;"")</f>
        <v/>
      </c>
      <c r="AE79" s="10">
        <f>IF($B79="","",IF($M79&lt;&gt;"",$M79,IF($AF79&lt;&gt;"",IF(LEFT(INDEX(파견수련계획!$R$4:$R$203,$AF79),1)&lt;&gt;"⚠",INDEX(파견수련계획!$R$4:$R$203,$AF79),IF($H79="","",IF(RIGHT($H79,2)="병원",$H79,$H79&amp;"병원"))),IF($H79="","",IF(RIGHT($H79,2)="병원",$H79,$H79&amp;"병원")))))</f>
        <v/>
      </c>
      <c r="AF79" s="10">
        <f>IF(OR($B79="",TRIM($J79&amp;"")=""),"",IFERROR(MATCH(TRIM($J79&amp;"")&amp;"|파견중",파견수련계획!$Y$4:$Y$203,0),IFERROR(MATCH(TRIM($J79&amp;"")&amp;"|파견예정",파견수련계획!$Y$4:$Y$203,0),IFERROR(MATCH(TRIM($J79&amp;"")&amp;"|파견종료",파견수련계획!$Y$4:$Y$203,0),""))))</f>
        <v/>
      </c>
      <c r="AG79" s="10">
        <f>IF($B79="","",IF(AND(IF(OR($AC79="",인턴현황!$K$2=""),"",INDEX(인턴근무계획!$M$3:$R$202,$AC79,인턴현황!$K$2)&amp;"")&lt;&gt;"",LEFT(IF(OR($AC79="",인턴현황!$K$2=""),"",INDEX(인턴근무계획!$M$3:$R$202,$AC79,인턴현황!$K$2)&amp;""),1)&lt;&gt;"⚠"),LEFT(IF(OR($AC79="",인턴현황!$K$2=""),"",INDEX(인턴근무계획!$M$3:$R$202,$AC79,인턴현황!$K$2)&amp;""),FIND(" ",IF(OR($AC79="",인턴현황!$K$2=""),"",INDEX(인턴근무계획!$M$3:$R$202,$AC79,인턴현황!$K$2)&amp;""))-1),$AE79))</f>
        <v/>
      </c>
      <c r="AH79" s="17">
        <f>IF($B79="","",IF(TRIM($J79&amp;"")="",0,SUMPRODUCT((파견수련계획!$Q$4:$Q$203=TRIM($J79&amp;""))*(파견수련계획!$S$4:$S$203="서울병원")*파견수련계획!$W$4:$W$203))+IF($AG79="서울병원",MAX(0,DAY(EOMONTH(요약!$B$3,0))-N($X79)),0))</f>
        <v/>
      </c>
      <c r="AI79" s="17">
        <f>IF($B79="","",IF(TRIM($J79&amp;"")="",0,SUMPRODUCT((파견수련계획!$Q$4:$Q$203=TRIM($J79&amp;""))*(파견수련계획!$S$4:$S$203="구리병원")*파견수련계획!$W$4:$W$203))+IF($AG79="구리병원",MAX(0,DAY(EOMONTH(요약!$B$3,0))-N($X79)),0))</f>
        <v/>
      </c>
      <c r="AJ79" s="10">
        <f>IF(OR($B79="",TRIM($J79&amp;"")=""),"",IFERROR(MATCH(TRIM($J79&amp;"")&amp;"|월",파견수련계획!$Z$4:$Z$203,0),""))</f>
        <v/>
      </c>
      <c r="AK79" s="10">
        <f>IF(OR($B79="",TRIM($J79&amp;"")=""),"",IFERROR(MATCH(TRIM($J79&amp;"")&amp;"|다기관",파견수련계획!$AE$4:$AE$203,0),""))</f>
        <v/>
      </c>
      <c r="AL79" s="10">
        <f>IF($AK79="","","다기관 "&amp;TEXT(INDEX(파견수련계획!$AB$4:$AB$203,$AK79),"yyyy-mm-dd")&amp;"~"&amp;IF(ISNUMBER(INDEX(파견수련계획!$AC$4:$AC$203,$AK79)),TEXT(INDEX(파견수련계획!$AC$4:$AC$203,$AK79),"yyyy-mm-dd"),""))</f>
        <v/>
      </c>
    </row>
    <row r="80">
      <c r="A80" s="10">
        <f>IF(B80="","",ROW()-1)</f>
        <v/>
      </c>
      <c r="B80" s="18" t="n"/>
      <c r="C80" s="10">
        <f>IF($AB80="","",IF(INDEX(기본자료!$C$2:$C$501,$AB80)="","",INDEX(기본자료!$C$2:$C$501,$AB80)))</f>
        <v/>
      </c>
      <c r="D80" s="10">
        <f>IF($AB80="","",IF(INDEX(기본자료!$J$2:$J$501,$AB80)="","",INDEX(기본자료!$J$2:$J$501,$AB80)))</f>
        <v/>
      </c>
      <c r="E80" s="11">
        <f>IF($AB80="","",IF(INDEX(기본자료!$K$2:$K$501,$AB80)="","",IF(NOT(ISNUMBER(INDEX(기본자료!$K$2:$K$501,$AB80))),INDEX(기본자료!$K$2:$K$501,$AB80),IF(INDEX(기본자료!$K$2:$K$501,$AB80)&lt;1000000,INDEX(기본자료!$K$2:$K$501,$AB80),IF(AND(INDEX(기본자료!$K$2:$K$501,$AB80)&gt;=10000101,INT(MOD(INDEX(기본자료!$K$2:$K$501,$AB80),10000)/100)&gt;=1,INT(MOD(INDEX(기본자료!$K$2:$K$501,$AB80),10000)/100)&lt;=12,MOD(INDEX(기본자료!$K$2:$K$501,$AB80),100)&gt;=1,MOD(INDEX(기본자료!$K$2:$K$501,$AB80),100)&lt;=31),DATE(INT(INDEX(기본자료!$K$2:$K$501,$AB80)/10000),INT(MOD(INDEX(기본자료!$K$2:$K$501,$AB80),10000)/100),MOD(INDEX(기본자료!$K$2:$K$501,$AB80),100)),INDEX(기본자료!$K$2:$K$501,$AB80)&amp;"")))))</f>
        <v/>
      </c>
      <c r="F80" s="10">
        <f>IF($AB80="","",IF(INDEX(기본자료!$D$2:$D$501,$AB80)="","",INDEX(기본자료!$D$2:$D$501,$AB80)))</f>
        <v/>
      </c>
      <c r="G80" s="10">
        <f>IF($AB80="","",IF(INDEX(기본자료!$E$2:$E$501,$AB80)="","",INDEX(기본자료!$E$2:$E$501,$AB80)))</f>
        <v/>
      </c>
      <c r="H80" s="10">
        <f>IF($AB80="","",IF(INDEX(기본자료!$F$2:$F$501,$AB80)="","",INDEX(기본자료!$F$2:$F$501,$AB80)))</f>
        <v/>
      </c>
      <c r="I80" s="11">
        <f>IF($AB80="","",IF(INDEX(기본자료!$G$2:$G$501,$AB80)="","",IF(NOT(ISNUMBER(INDEX(기본자료!$G$2:$G$501,$AB80))),INDEX(기본자료!$G$2:$G$501,$AB80),IF(INDEX(기본자료!$G$2:$G$501,$AB80)&lt;1000000,INDEX(기본자료!$G$2:$G$501,$AB80),IF(AND(INDEX(기본자료!$G$2:$G$501,$AB80)&gt;=10000101,INT(MOD(INDEX(기본자료!$G$2:$G$501,$AB80),10000)/100)&gt;=1,INT(MOD(INDEX(기본자료!$G$2:$G$501,$AB80),10000)/100)&lt;=12,MOD(INDEX(기본자료!$G$2:$G$501,$AB80),100)&gt;=1,MOD(INDEX(기본자료!$G$2:$G$501,$AB80),100)&lt;=31),DATE(INT(INDEX(기본자료!$G$2:$G$501,$AB80)/10000),INT(MOD(INDEX(기본자료!$G$2:$G$501,$AB80),10000)/100),MOD(INDEX(기본자료!$G$2:$G$501,$AB80),100)),INDEX(기본자료!$G$2:$G$501,$AB80)&amp;"")))))</f>
        <v/>
      </c>
      <c r="J80" s="10">
        <f>IF($AB80="","",IF(INDEX(기본자료!$H$2:$H$501,$AB80)="","",INDEX(기본자료!$H$2:$H$501,$AB80)))</f>
        <v/>
      </c>
      <c r="K80" s="10">
        <f>IF($AB80="","",IF(INDEX(기본자료!$I$2:$I$501,$AB80)="","",INDEX(기본자료!$I$2:$I$501,$AB80)))</f>
        <v/>
      </c>
      <c r="L80" s="10">
        <f>IF($AB80="","",IF(INDEX(기본자료!$A$2:$A$501,$AB80)="","",INDEX(기본자료!$A$2:$A$501,$AB80)))</f>
        <v/>
      </c>
      <c r="M80" s="15" t="n"/>
      <c r="N80" s="10">
        <f>IF($B80="","",IF(AND($U80="파견중",$Q80&lt;&gt;""),$Q80,IF(AND($AD80&lt;&gt;"",LEFT($AD80,1)&lt;&gt;"⚠"),LEFT($AD80,FIND(" ",$AD80)-1),IF($H80="","",IF(RIGHT($H80,2)="병원",$H80,$H80&amp;"병원")))))</f>
        <v/>
      </c>
      <c r="O80" s="10">
        <f>IF($B80="","",IF(AND($U80="파견중",$Q80&lt;&gt;""),IF($R80&lt;&gt;"",$R80,"파견과 미입력"),IF(AND($AD80&lt;&gt;"",LEFT($AD80,1)&lt;&gt;"⚠"),MID($AD80,FIND(" ",$AD80)+1,60),IF($F80="","",IF($F80="인턴","수련교육부(인턴)",$F80)))))</f>
        <v/>
      </c>
      <c r="P80" s="10">
        <f>IF($B80="","",IF($AK80&lt;&gt;"",IF(AND(TODAY()&gt;=INDEX(파견수련계획!$AB$4:$AB$203,$AK80),OR(NOT(ISNUMBER(INDEX(파견수련계획!$AC$4:$AC$203,$AK80))),TODAY()&lt;=INDEX(파견수련계획!$AC$4:$AC$203,$AK80))),"다기관",IF($AF80="","",INDEX(파견수련계획!$T$4:$T$203,$AF80))),IF($AF80="","",INDEX(파견수련계획!$T$4:$T$203,$AF80))))</f>
        <v/>
      </c>
      <c r="Q80" s="10">
        <f>IF($AF80="","",INDEX(파견수련계획!$S$4:$S$203,$AF80))</f>
        <v/>
      </c>
      <c r="R80" s="10">
        <f>IF($AF80="","",INDEX(파견수련계획!$U$4:$U$203,$AF80))</f>
        <v/>
      </c>
      <c r="S80" s="11">
        <f>IF($AF80="","",IF(INDEX(파견수련계획!$H$4:$H$203,$AF80)="","",INDEX(파견수련계획!$H$4:$H$203,$AF80)))</f>
        <v/>
      </c>
      <c r="T80" s="11">
        <f>IF($AF80="","",IF(INDEX(파견수련계획!$I$4:$I$203,$AF80)="","",INDEX(파견수련계획!$I$4:$I$203,$AF80)))</f>
        <v/>
      </c>
      <c r="U80" s="10">
        <f>IF($AF80="","",INDEX(파견수련계획!$X$4:$X$203,$AF80))</f>
        <v/>
      </c>
      <c r="V80" s="17">
        <f>IF($AF80="","",INDEX(파견수련계획!$V$4:$V$203,$AF80))</f>
        <v/>
      </c>
      <c r="W80" s="17">
        <f>IF(AND($U80="파견중",$T80&lt;&gt;""),$T80-TODAY(),"")</f>
        <v/>
      </c>
      <c r="X80" s="17">
        <f>IF(OR($B80="",TRIM($J80&amp;"")=""),"",SUMPRODUCT((파견수련계획!$Q$4:$Q$203=TRIM($J80&amp;""))*파견수련계획!$W$4:$W$203))</f>
        <v/>
      </c>
      <c r="Y80" s="10">
        <f>IF($B80="","",IF($AG80="","",IF(IF(TRIM($J80&amp;"")="",0,SUMPRODUCT((파견수련계획!$Q$4:$Q$203=TRIM($J80&amp;""))*파견수련계획!$AD$4:$AD$203))&gt;0,$AE80,IF(N($X80)&lt;=0,$AG80,IF($AH80+$AI80=DAY(EOMONTH(요약!$B$3,0)),IF(AND($AH80&gt;=요약!$E$3,$AI80&lt;요약!$E$3),"서울병원",IF(AND($AI80&gt;=요약!$E$3,$AH80&lt;요약!$E$3),"구리병원","⚠15일 판정불가(서울 "&amp;$AH80&amp;"일/구리 "&amp;$AI80&amp;"일)")),IF($AJ80="",$AE80,IF(INDEX(파견수련계획!$T$4:$T$203,$AJ80)="통합수련",INDEX(파견수련계획!$S$4:$S$203,$AJ80),$AE80)))))))</f>
        <v/>
      </c>
      <c r="Z80" s="19">
        <f>IF($B80="","",IF($AB80="","기본자료에 없는 사번",IF(COUNTIF($B$2:$B$201,$B80)&gt;1,"중복 사번",IF($AE80="","소속(입사장소) 입력",IF(IF(TRIM($J80&amp;"")="",0,SUMPRODUCT((파견수련계획!$Q$4:$Q$203=TRIM($J80&amp;""))*(파견수련계획!$AA$4:$AA$203&lt;&gt;"")))&gt;0,"파견수련계획 입력오류 확인",IF(LEFT($Y80,1)="⚠","서울·구리 15일 판정 불가(양쪽 모두 이상/미만)",IF(IF($AC80="",0,N(INDEX(인턴근무계획!$T$3:$T$202,$AC80)))&gt;0,"인턴계획 입력오류 확인",IF(AND($AC80&lt;&gt;"",$U80&lt;&gt;"파견중",$N80&lt;&gt;$AE80),"인턴 타지역 근무: 파견 여부 확인","정상"))))))))</f>
        <v/>
      </c>
      <c r="AA80" s="5" t="n"/>
      <c r="AB80" s="10">
        <f>IF($B80="","",IFERROR(MATCH($B80,기본자료!$B$2:$B$501,0),IFERROR(MATCH($B80&amp;"",기본자료!$B$2:$B$501,0),IFERROR(MATCH(VALUE($B80),기본자료!$B$2:$B$501,0),""))))</f>
        <v/>
      </c>
      <c r="AC80" s="10">
        <f>IF($B80="","",IFERROR(MATCH($B80,인턴근무계획!$D$3:$D$202,0),IFERROR(MATCH($B80&amp;"",인턴근무계획!$D$3:$D$202,0),IFERROR(MATCH(VALUE($B80),인턴근무계획!$D$3:$D$202,0),""))))</f>
        <v/>
      </c>
      <c r="AD80" s="10">
        <f>IF(OR($AC80="",인턴현황!$G$3=""),"",INDEX(인턴근무계획!$M$3:$R$202,$AC80,인턴현황!$G$3)&amp;"")</f>
        <v/>
      </c>
      <c r="AE80" s="10">
        <f>IF($B80="","",IF($M80&lt;&gt;"",$M80,IF($AF80&lt;&gt;"",IF(LEFT(INDEX(파견수련계획!$R$4:$R$203,$AF80),1)&lt;&gt;"⚠",INDEX(파견수련계획!$R$4:$R$203,$AF80),IF($H80="","",IF(RIGHT($H80,2)="병원",$H80,$H80&amp;"병원"))),IF($H80="","",IF(RIGHT($H80,2)="병원",$H80,$H80&amp;"병원")))))</f>
        <v/>
      </c>
      <c r="AF80" s="10">
        <f>IF(OR($B80="",TRIM($J80&amp;"")=""),"",IFERROR(MATCH(TRIM($J80&amp;"")&amp;"|파견중",파견수련계획!$Y$4:$Y$203,0),IFERROR(MATCH(TRIM($J80&amp;"")&amp;"|파견예정",파견수련계획!$Y$4:$Y$203,0),IFERROR(MATCH(TRIM($J80&amp;"")&amp;"|파견종료",파견수련계획!$Y$4:$Y$203,0),""))))</f>
        <v/>
      </c>
      <c r="AG80" s="10">
        <f>IF($B80="","",IF(AND(IF(OR($AC80="",인턴현황!$K$2=""),"",INDEX(인턴근무계획!$M$3:$R$202,$AC80,인턴현황!$K$2)&amp;"")&lt;&gt;"",LEFT(IF(OR($AC80="",인턴현황!$K$2=""),"",INDEX(인턴근무계획!$M$3:$R$202,$AC80,인턴현황!$K$2)&amp;""),1)&lt;&gt;"⚠"),LEFT(IF(OR($AC80="",인턴현황!$K$2=""),"",INDEX(인턴근무계획!$M$3:$R$202,$AC80,인턴현황!$K$2)&amp;""),FIND(" ",IF(OR($AC80="",인턴현황!$K$2=""),"",INDEX(인턴근무계획!$M$3:$R$202,$AC80,인턴현황!$K$2)&amp;""))-1),$AE80))</f>
        <v/>
      </c>
      <c r="AH80" s="17">
        <f>IF($B80="","",IF(TRIM($J80&amp;"")="",0,SUMPRODUCT((파견수련계획!$Q$4:$Q$203=TRIM($J80&amp;""))*(파견수련계획!$S$4:$S$203="서울병원")*파견수련계획!$W$4:$W$203))+IF($AG80="서울병원",MAX(0,DAY(EOMONTH(요약!$B$3,0))-N($X80)),0))</f>
        <v/>
      </c>
      <c r="AI80" s="17">
        <f>IF($B80="","",IF(TRIM($J80&amp;"")="",0,SUMPRODUCT((파견수련계획!$Q$4:$Q$203=TRIM($J80&amp;""))*(파견수련계획!$S$4:$S$203="구리병원")*파견수련계획!$W$4:$W$203))+IF($AG80="구리병원",MAX(0,DAY(EOMONTH(요약!$B$3,0))-N($X80)),0))</f>
        <v/>
      </c>
      <c r="AJ80" s="10">
        <f>IF(OR($B80="",TRIM($J80&amp;"")=""),"",IFERROR(MATCH(TRIM($J80&amp;"")&amp;"|월",파견수련계획!$Z$4:$Z$203,0),""))</f>
        <v/>
      </c>
      <c r="AK80" s="10">
        <f>IF(OR($B80="",TRIM($J80&amp;"")=""),"",IFERROR(MATCH(TRIM($J80&amp;"")&amp;"|다기관",파견수련계획!$AE$4:$AE$203,0),""))</f>
        <v/>
      </c>
      <c r="AL80" s="10">
        <f>IF($AK80="","","다기관 "&amp;TEXT(INDEX(파견수련계획!$AB$4:$AB$203,$AK80),"yyyy-mm-dd")&amp;"~"&amp;IF(ISNUMBER(INDEX(파견수련계획!$AC$4:$AC$203,$AK80)),TEXT(INDEX(파견수련계획!$AC$4:$AC$203,$AK80),"yyyy-mm-dd"),""))</f>
        <v/>
      </c>
    </row>
    <row r="81">
      <c r="A81" s="10">
        <f>IF(B81="","",ROW()-1)</f>
        <v/>
      </c>
      <c r="B81" s="18" t="n"/>
      <c r="C81" s="10">
        <f>IF($AB81="","",IF(INDEX(기본자료!$C$2:$C$501,$AB81)="","",INDEX(기본자료!$C$2:$C$501,$AB81)))</f>
        <v/>
      </c>
      <c r="D81" s="10">
        <f>IF($AB81="","",IF(INDEX(기본자료!$J$2:$J$501,$AB81)="","",INDEX(기본자료!$J$2:$J$501,$AB81)))</f>
        <v/>
      </c>
      <c r="E81" s="11">
        <f>IF($AB81="","",IF(INDEX(기본자료!$K$2:$K$501,$AB81)="","",IF(NOT(ISNUMBER(INDEX(기본자료!$K$2:$K$501,$AB81))),INDEX(기본자료!$K$2:$K$501,$AB81),IF(INDEX(기본자료!$K$2:$K$501,$AB81)&lt;1000000,INDEX(기본자료!$K$2:$K$501,$AB81),IF(AND(INDEX(기본자료!$K$2:$K$501,$AB81)&gt;=10000101,INT(MOD(INDEX(기본자료!$K$2:$K$501,$AB81),10000)/100)&gt;=1,INT(MOD(INDEX(기본자료!$K$2:$K$501,$AB81),10000)/100)&lt;=12,MOD(INDEX(기본자료!$K$2:$K$501,$AB81),100)&gt;=1,MOD(INDEX(기본자료!$K$2:$K$501,$AB81),100)&lt;=31),DATE(INT(INDEX(기본자료!$K$2:$K$501,$AB81)/10000),INT(MOD(INDEX(기본자료!$K$2:$K$501,$AB81),10000)/100),MOD(INDEX(기본자료!$K$2:$K$501,$AB81),100)),INDEX(기본자료!$K$2:$K$501,$AB81)&amp;"")))))</f>
        <v/>
      </c>
      <c r="F81" s="10">
        <f>IF($AB81="","",IF(INDEX(기본자료!$D$2:$D$501,$AB81)="","",INDEX(기본자료!$D$2:$D$501,$AB81)))</f>
        <v/>
      </c>
      <c r="G81" s="10">
        <f>IF($AB81="","",IF(INDEX(기본자료!$E$2:$E$501,$AB81)="","",INDEX(기본자료!$E$2:$E$501,$AB81)))</f>
        <v/>
      </c>
      <c r="H81" s="10">
        <f>IF($AB81="","",IF(INDEX(기본자료!$F$2:$F$501,$AB81)="","",INDEX(기본자료!$F$2:$F$501,$AB81)))</f>
        <v/>
      </c>
      <c r="I81" s="11">
        <f>IF($AB81="","",IF(INDEX(기본자료!$G$2:$G$501,$AB81)="","",IF(NOT(ISNUMBER(INDEX(기본자료!$G$2:$G$501,$AB81))),INDEX(기본자료!$G$2:$G$501,$AB81),IF(INDEX(기본자료!$G$2:$G$501,$AB81)&lt;1000000,INDEX(기본자료!$G$2:$G$501,$AB81),IF(AND(INDEX(기본자료!$G$2:$G$501,$AB81)&gt;=10000101,INT(MOD(INDEX(기본자료!$G$2:$G$501,$AB81),10000)/100)&gt;=1,INT(MOD(INDEX(기본자료!$G$2:$G$501,$AB81),10000)/100)&lt;=12,MOD(INDEX(기본자료!$G$2:$G$501,$AB81),100)&gt;=1,MOD(INDEX(기본자료!$G$2:$G$501,$AB81),100)&lt;=31),DATE(INT(INDEX(기본자료!$G$2:$G$501,$AB81)/10000),INT(MOD(INDEX(기본자료!$G$2:$G$501,$AB81),10000)/100),MOD(INDEX(기본자료!$G$2:$G$501,$AB81),100)),INDEX(기본자료!$G$2:$G$501,$AB81)&amp;"")))))</f>
        <v/>
      </c>
      <c r="J81" s="10">
        <f>IF($AB81="","",IF(INDEX(기본자료!$H$2:$H$501,$AB81)="","",INDEX(기본자료!$H$2:$H$501,$AB81)))</f>
        <v/>
      </c>
      <c r="K81" s="10">
        <f>IF($AB81="","",IF(INDEX(기본자료!$I$2:$I$501,$AB81)="","",INDEX(기본자료!$I$2:$I$501,$AB81)))</f>
        <v/>
      </c>
      <c r="L81" s="10">
        <f>IF($AB81="","",IF(INDEX(기본자료!$A$2:$A$501,$AB81)="","",INDEX(기본자료!$A$2:$A$501,$AB81)))</f>
        <v/>
      </c>
      <c r="M81" s="15" t="n"/>
      <c r="N81" s="10">
        <f>IF($B81="","",IF(AND($U81="파견중",$Q81&lt;&gt;""),$Q81,IF(AND($AD81&lt;&gt;"",LEFT($AD81,1)&lt;&gt;"⚠"),LEFT($AD81,FIND(" ",$AD81)-1),IF($H81="","",IF(RIGHT($H81,2)="병원",$H81,$H81&amp;"병원")))))</f>
        <v/>
      </c>
      <c r="O81" s="10">
        <f>IF($B81="","",IF(AND($U81="파견중",$Q81&lt;&gt;""),IF($R81&lt;&gt;"",$R81,"파견과 미입력"),IF(AND($AD81&lt;&gt;"",LEFT($AD81,1)&lt;&gt;"⚠"),MID($AD81,FIND(" ",$AD81)+1,60),IF($F81="","",IF($F81="인턴","수련교육부(인턴)",$F81)))))</f>
        <v/>
      </c>
      <c r="P81" s="10">
        <f>IF($B81="","",IF($AK81&lt;&gt;"",IF(AND(TODAY()&gt;=INDEX(파견수련계획!$AB$4:$AB$203,$AK81),OR(NOT(ISNUMBER(INDEX(파견수련계획!$AC$4:$AC$203,$AK81))),TODAY()&lt;=INDEX(파견수련계획!$AC$4:$AC$203,$AK81))),"다기관",IF($AF81="","",INDEX(파견수련계획!$T$4:$T$203,$AF81))),IF($AF81="","",INDEX(파견수련계획!$T$4:$T$203,$AF81))))</f>
        <v/>
      </c>
      <c r="Q81" s="10">
        <f>IF($AF81="","",INDEX(파견수련계획!$S$4:$S$203,$AF81))</f>
        <v/>
      </c>
      <c r="R81" s="10">
        <f>IF($AF81="","",INDEX(파견수련계획!$U$4:$U$203,$AF81))</f>
        <v/>
      </c>
      <c r="S81" s="11">
        <f>IF($AF81="","",IF(INDEX(파견수련계획!$H$4:$H$203,$AF81)="","",INDEX(파견수련계획!$H$4:$H$203,$AF81)))</f>
        <v/>
      </c>
      <c r="T81" s="11">
        <f>IF($AF81="","",IF(INDEX(파견수련계획!$I$4:$I$203,$AF81)="","",INDEX(파견수련계획!$I$4:$I$203,$AF81)))</f>
        <v/>
      </c>
      <c r="U81" s="10">
        <f>IF($AF81="","",INDEX(파견수련계획!$X$4:$X$203,$AF81))</f>
        <v/>
      </c>
      <c r="V81" s="17">
        <f>IF($AF81="","",INDEX(파견수련계획!$V$4:$V$203,$AF81))</f>
        <v/>
      </c>
      <c r="W81" s="17">
        <f>IF(AND($U81="파견중",$T81&lt;&gt;""),$T81-TODAY(),"")</f>
        <v/>
      </c>
      <c r="X81" s="17">
        <f>IF(OR($B81="",TRIM($J81&amp;"")=""),"",SUMPRODUCT((파견수련계획!$Q$4:$Q$203=TRIM($J81&amp;""))*파견수련계획!$W$4:$W$203))</f>
        <v/>
      </c>
      <c r="Y81" s="10">
        <f>IF($B81="","",IF($AG81="","",IF(IF(TRIM($J81&amp;"")="",0,SUMPRODUCT((파견수련계획!$Q$4:$Q$203=TRIM($J81&amp;""))*파견수련계획!$AD$4:$AD$203))&gt;0,$AE81,IF(N($X81)&lt;=0,$AG81,IF($AH81+$AI81=DAY(EOMONTH(요약!$B$3,0)),IF(AND($AH81&gt;=요약!$E$3,$AI81&lt;요약!$E$3),"서울병원",IF(AND($AI81&gt;=요약!$E$3,$AH81&lt;요약!$E$3),"구리병원","⚠15일 판정불가(서울 "&amp;$AH81&amp;"일/구리 "&amp;$AI81&amp;"일)")),IF($AJ81="",$AE81,IF(INDEX(파견수련계획!$T$4:$T$203,$AJ81)="통합수련",INDEX(파견수련계획!$S$4:$S$203,$AJ81),$AE81)))))))</f>
        <v/>
      </c>
      <c r="Z81" s="19">
        <f>IF($B81="","",IF($AB81="","기본자료에 없는 사번",IF(COUNTIF($B$2:$B$201,$B81)&gt;1,"중복 사번",IF($AE81="","소속(입사장소) 입력",IF(IF(TRIM($J81&amp;"")="",0,SUMPRODUCT((파견수련계획!$Q$4:$Q$203=TRIM($J81&amp;""))*(파견수련계획!$AA$4:$AA$203&lt;&gt;"")))&gt;0,"파견수련계획 입력오류 확인",IF(LEFT($Y81,1)="⚠","서울·구리 15일 판정 불가(양쪽 모두 이상/미만)",IF(IF($AC81="",0,N(INDEX(인턴근무계획!$T$3:$T$202,$AC81)))&gt;0,"인턴계획 입력오류 확인",IF(AND($AC81&lt;&gt;"",$U81&lt;&gt;"파견중",$N81&lt;&gt;$AE81),"인턴 타지역 근무: 파견 여부 확인","정상"))))))))</f>
        <v/>
      </c>
      <c r="AA81" s="5" t="n"/>
      <c r="AB81" s="10">
        <f>IF($B81="","",IFERROR(MATCH($B81,기본자료!$B$2:$B$501,0),IFERROR(MATCH($B81&amp;"",기본자료!$B$2:$B$501,0),IFERROR(MATCH(VALUE($B81),기본자료!$B$2:$B$501,0),""))))</f>
        <v/>
      </c>
      <c r="AC81" s="10">
        <f>IF($B81="","",IFERROR(MATCH($B81,인턴근무계획!$D$3:$D$202,0),IFERROR(MATCH($B81&amp;"",인턴근무계획!$D$3:$D$202,0),IFERROR(MATCH(VALUE($B81),인턴근무계획!$D$3:$D$202,0),""))))</f>
        <v/>
      </c>
      <c r="AD81" s="10">
        <f>IF(OR($AC81="",인턴현황!$G$3=""),"",INDEX(인턴근무계획!$M$3:$R$202,$AC81,인턴현황!$G$3)&amp;"")</f>
        <v/>
      </c>
      <c r="AE81" s="10">
        <f>IF($B81="","",IF($M81&lt;&gt;"",$M81,IF($AF81&lt;&gt;"",IF(LEFT(INDEX(파견수련계획!$R$4:$R$203,$AF81),1)&lt;&gt;"⚠",INDEX(파견수련계획!$R$4:$R$203,$AF81),IF($H81="","",IF(RIGHT($H81,2)="병원",$H81,$H81&amp;"병원"))),IF($H81="","",IF(RIGHT($H81,2)="병원",$H81,$H81&amp;"병원")))))</f>
        <v/>
      </c>
      <c r="AF81" s="10">
        <f>IF(OR($B81="",TRIM($J81&amp;"")=""),"",IFERROR(MATCH(TRIM($J81&amp;"")&amp;"|파견중",파견수련계획!$Y$4:$Y$203,0),IFERROR(MATCH(TRIM($J81&amp;"")&amp;"|파견예정",파견수련계획!$Y$4:$Y$203,0),IFERROR(MATCH(TRIM($J81&amp;"")&amp;"|파견종료",파견수련계획!$Y$4:$Y$203,0),""))))</f>
        <v/>
      </c>
      <c r="AG81" s="10">
        <f>IF($B81="","",IF(AND(IF(OR($AC81="",인턴현황!$K$2=""),"",INDEX(인턴근무계획!$M$3:$R$202,$AC81,인턴현황!$K$2)&amp;"")&lt;&gt;"",LEFT(IF(OR($AC81="",인턴현황!$K$2=""),"",INDEX(인턴근무계획!$M$3:$R$202,$AC81,인턴현황!$K$2)&amp;""),1)&lt;&gt;"⚠"),LEFT(IF(OR($AC81="",인턴현황!$K$2=""),"",INDEX(인턴근무계획!$M$3:$R$202,$AC81,인턴현황!$K$2)&amp;""),FIND(" ",IF(OR($AC81="",인턴현황!$K$2=""),"",INDEX(인턴근무계획!$M$3:$R$202,$AC81,인턴현황!$K$2)&amp;""))-1),$AE81))</f>
        <v/>
      </c>
      <c r="AH81" s="17">
        <f>IF($B81="","",IF(TRIM($J81&amp;"")="",0,SUMPRODUCT((파견수련계획!$Q$4:$Q$203=TRIM($J81&amp;""))*(파견수련계획!$S$4:$S$203="서울병원")*파견수련계획!$W$4:$W$203))+IF($AG81="서울병원",MAX(0,DAY(EOMONTH(요약!$B$3,0))-N($X81)),0))</f>
        <v/>
      </c>
      <c r="AI81" s="17">
        <f>IF($B81="","",IF(TRIM($J81&amp;"")="",0,SUMPRODUCT((파견수련계획!$Q$4:$Q$203=TRIM($J81&amp;""))*(파견수련계획!$S$4:$S$203="구리병원")*파견수련계획!$W$4:$W$203))+IF($AG81="구리병원",MAX(0,DAY(EOMONTH(요약!$B$3,0))-N($X81)),0))</f>
        <v/>
      </c>
      <c r="AJ81" s="10">
        <f>IF(OR($B81="",TRIM($J81&amp;"")=""),"",IFERROR(MATCH(TRIM($J81&amp;"")&amp;"|월",파견수련계획!$Z$4:$Z$203,0),""))</f>
        <v/>
      </c>
      <c r="AK81" s="10">
        <f>IF(OR($B81="",TRIM($J81&amp;"")=""),"",IFERROR(MATCH(TRIM($J81&amp;"")&amp;"|다기관",파견수련계획!$AE$4:$AE$203,0),""))</f>
        <v/>
      </c>
      <c r="AL81" s="10">
        <f>IF($AK81="","","다기관 "&amp;TEXT(INDEX(파견수련계획!$AB$4:$AB$203,$AK81),"yyyy-mm-dd")&amp;"~"&amp;IF(ISNUMBER(INDEX(파견수련계획!$AC$4:$AC$203,$AK81)),TEXT(INDEX(파견수련계획!$AC$4:$AC$203,$AK81),"yyyy-mm-dd"),""))</f>
        <v/>
      </c>
    </row>
    <row r="82">
      <c r="A82" s="10">
        <f>IF(B82="","",ROW()-1)</f>
        <v/>
      </c>
      <c r="B82" s="18" t="n"/>
      <c r="C82" s="10">
        <f>IF($AB82="","",IF(INDEX(기본자료!$C$2:$C$501,$AB82)="","",INDEX(기본자료!$C$2:$C$501,$AB82)))</f>
        <v/>
      </c>
      <c r="D82" s="10">
        <f>IF($AB82="","",IF(INDEX(기본자료!$J$2:$J$501,$AB82)="","",INDEX(기본자료!$J$2:$J$501,$AB82)))</f>
        <v/>
      </c>
      <c r="E82" s="11">
        <f>IF($AB82="","",IF(INDEX(기본자료!$K$2:$K$501,$AB82)="","",IF(NOT(ISNUMBER(INDEX(기본자료!$K$2:$K$501,$AB82))),INDEX(기본자료!$K$2:$K$501,$AB82),IF(INDEX(기본자료!$K$2:$K$501,$AB82)&lt;1000000,INDEX(기본자료!$K$2:$K$501,$AB82),IF(AND(INDEX(기본자료!$K$2:$K$501,$AB82)&gt;=10000101,INT(MOD(INDEX(기본자료!$K$2:$K$501,$AB82),10000)/100)&gt;=1,INT(MOD(INDEX(기본자료!$K$2:$K$501,$AB82),10000)/100)&lt;=12,MOD(INDEX(기본자료!$K$2:$K$501,$AB82),100)&gt;=1,MOD(INDEX(기본자료!$K$2:$K$501,$AB82),100)&lt;=31),DATE(INT(INDEX(기본자료!$K$2:$K$501,$AB82)/10000),INT(MOD(INDEX(기본자료!$K$2:$K$501,$AB82),10000)/100),MOD(INDEX(기본자료!$K$2:$K$501,$AB82),100)),INDEX(기본자료!$K$2:$K$501,$AB82)&amp;"")))))</f>
        <v/>
      </c>
      <c r="F82" s="10">
        <f>IF($AB82="","",IF(INDEX(기본자료!$D$2:$D$501,$AB82)="","",INDEX(기본자료!$D$2:$D$501,$AB82)))</f>
        <v/>
      </c>
      <c r="G82" s="10">
        <f>IF($AB82="","",IF(INDEX(기본자료!$E$2:$E$501,$AB82)="","",INDEX(기본자료!$E$2:$E$501,$AB82)))</f>
        <v/>
      </c>
      <c r="H82" s="10">
        <f>IF($AB82="","",IF(INDEX(기본자료!$F$2:$F$501,$AB82)="","",INDEX(기본자료!$F$2:$F$501,$AB82)))</f>
        <v/>
      </c>
      <c r="I82" s="11">
        <f>IF($AB82="","",IF(INDEX(기본자료!$G$2:$G$501,$AB82)="","",IF(NOT(ISNUMBER(INDEX(기본자료!$G$2:$G$501,$AB82))),INDEX(기본자료!$G$2:$G$501,$AB82),IF(INDEX(기본자료!$G$2:$G$501,$AB82)&lt;1000000,INDEX(기본자료!$G$2:$G$501,$AB82),IF(AND(INDEX(기본자료!$G$2:$G$501,$AB82)&gt;=10000101,INT(MOD(INDEX(기본자료!$G$2:$G$501,$AB82),10000)/100)&gt;=1,INT(MOD(INDEX(기본자료!$G$2:$G$501,$AB82),10000)/100)&lt;=12,MOD(INDEX(기본자료!$G$2:$G$501,$AB82),100)&gt;=1,MOD(INDEX(기본자료!$G$2:$G$501,$AB82),100)&lt;=31),DATE(INT(INDEX(기본자료!$G$2:$G$501,$AB82)/10000),INT(MOD(INDEX(기본자료!$G$2:$G$501,$AB82),10000)/100),MOD(INDEX(기본자료!$G$2:$G$501,$AB82),100)),INDEX(기본자료!$G$2:$G$501,$AB82)&amp;"")))))</f>
        <v/>
      </c>
      <c r="J82" s="10">
        <f>IF($AB82="","",IF(INDEX(기본자료!$H$2:$H$501,$AB82)="","",INDEX(기본자료!$H$2:$H$501,$AB82)))</f>
        <v/>
      </c>
      <c r="K82" s="10">
        <f>IF($AB82="","",IF(INDEX(기본자료!$I$2:$I$501,$AB82)="","",INDEX(기본자료!$I$2:$I$501,$AB82)))</f>
        <v/>
      </c>
      <c r="L82" s="10">
        <f>IF($AB82="","",IF(INDEX(기본자료!$A$2:$A$501,$AB82)="","",INDEX(기본자료!$A$2:$A$501,$AB82)))</f>
        <v/>
      </c>
      <c r="M82" s="15" t="n"/>
      <c r="N82" s="10">
        <f>IF($B82="","",IF(AND($U82="파견중",$Q82&lt;&gt;""),$Q82,IF(AND($AD82&lt;&gt;"",LEFT($AD82,1)&lt;&gt;"⚠"),LEFT($AD82,FIND(" ",$AD82)-1),IF($H82="","",IF(RIGHT($H82,2)="병원",$H82,$H82&amp;"병원")))))</f>
        <v/>
      </c>
      <c r="O82" s="10">
        <f>IF($B82="","",IF(AND($U82="파견중",$Q82&lt;&gt;""),IF($R82&lt;&gt;"",$R82,"파견과 미입력"),IF(AND($AD82&lt;&gt;"",LEFT($AD82,1)&lt;&gt;"⚠"),MID($AD82,FIND(" ",$AD82)+1,60),IF($F82="","",IF($F82="인턴","수련교육부(인턴)",$F82)))))</f>
        <v/>
      </c>
      <c r="P82" s="10">
        <f>IF($B82="","",IF($AK82&lt;&gt;"",IF(AND(TODAY()&gt;=INDEX(파견수련계획!$AB$4:$AB$203,$AK82),OR(NOT(ISNUMBER(INDEX(파견수련계획!$AC$4:$AC$203,$AK82))),TODAY()&lt;=INDEX(파견수련계획!$AC$4:$AC$203,$AK82))),"다기관",IF($AF82="","",INDEX(파견수련계획!$T$4:$T$203,$AF82))),IF($AF82="","",INDEX(파견수련계획!$T$4:$T$203,$AF82))))</f>
        <v/>
      </c>
      <c r="Q82" s="10">
        <f>IF($AF82="","",INDEX(파견수련계획!$S$4:$S$203,$AF82))</f>
        <v/>
      </c>
      <c r="R82" s="10">
        <f>IF($AF82="","",INDEX(파견수련계획!$U$4:$U$203,$AF82))</f>
        <v/>
      </c>
      <c r="S82" s="11">
        <f>IF($AF82="","",IF(INDEX(파견수련계획!$H$4:$H$203,$AF82)="","",INDEX(파견수련계획!$H$4:$H$203,$AF82)))</f>
        <v/>
      </c>
      <c r="T82" s="11">
        <f>IF($AF82="","",IF(INDEX(파견수련계획!$I$4:$I$203,$AF82)="","",INDEX(파견수련계획!$I$4:$I$203,$AF82)))</f>
        <v/>
      </c>
      <c r="U82" s="10">
        <f>IF($AF82="","",INDEX(파견수련계획!$X$4:$X$203,$AF82))</f>
        <v/>
      </c>
      <c r="V82" s="17">
        <f>IF($AF82="","",INDEX(파견수련계획!$V$4:$V$203,$AF82))</f>
        <v/>
      </c>
      <c r="W82" s="17">
        <f>IF(AND($U82="파견중",$T82&lt;&gt;""),$T82-TODAY(),"")</f>
        <v/>
      </c>
      <c r="X82" s="17">
        <f>IF(OR($B82="",TRIM($J82&amp;"")=""),"",SUMPRODUCT((파견수련계획!$Q$4:$Q$203=TRIM($J82&amp;""))*파견수련계획!$W$4:$W$203))</f>
        <v/>
      </c>
      <c r="Y82" s="10">
        <f>IF($B82="","",IF($AG82="","",IF(IF(TRIM($J82&amp;"")="",0,SUMPRODUCT((파견수련계획!$Q$4:$Q$203=TRIM($J82&amp;""))*파견수련계획!$AD$4:$AD$203))&gt;0,$AE82,IF(N($X82)&lt;=0,$AG82,IF($AH82+$AI82=DAY(EOMONTH(요약!$B$3,0)),IF(AND($AH82&gt;=요약!$E$3,$AI82&lt;요약!$E$3),"서울병원",IF(AND($AI82&gt;=요약!$E$3,$AH82&lt;요약!$E$3),"구리병원","⚠15일 판정불가(서울 "&amp;$AH82&amp;"일/구리 "&amp;$AI82&amp;"일)")),IF($AJ82="",$AE82,IF(INDEX(파견수련계획!$T$4:$T$203,$AJ82)="통합수련",INDEX(파견수련계획!$S$4:$S$203,$AJ82),$AE82)))))))</f>
        <v/>
      </c>
      <c r="Z82" s="19">
        <f>IF($B82="","",IF($AB82="","기본자료에 없는 사번",IF(COUNTIF($B$2:$B$201,$B82)&gt;1,"중복 사번",IF($AE82="","소속(입사장소) 입력",IF(IF(TRIM($J82&amp;"")="",0,SUMPRODUCT((파견수련계획!$Q$4:$Q$203=TRIM($J82&amp;""))*(파견수련계획!$AA$4:$AA$203&lt;&gt;"")))&gt;0,"파견수련계획 입력오류 확인",IF(LEFT($Y82,1)="⚠","서울·구리 15일 판정 불가(양쪽 모두 이상/미만)",IF(IF($AC82="",0,N(INDEX(인턴근무계획!$T$3:$T$202,$AC82)))&gt;0,"인턴계획 입력오류 확인",IF(AND($AC82&lt;&gt;"",$U82&lt;&gt;"파견중",$N82&lt;&gt;$AE82),"인턴 타지역 근무: 파견 여부 확인","정상"))))))))</f>
        <v/>
      </c>
      <c r="AA82" s="5" t="n"/>
      <c r="AB82" s="10">
        <f>IF($B82="","",IFERROR(MATCH($B82,기본자료!$B$2:$B$501,0),IFERROR(MATCH($B82&amp;"",기본자료!$B$2:$B$501,0),IFERROR(MATCH(VALUE($B82),기본자료!$B$2:$B$501,0),""))))</f>
        <v/>
      </c>
      <c r="AC82" s="10">
        <f>IF($B82="","",IFERROR(MATCH($B82,인턴근무계획!$D$3:$D$202,0),IFERROR(MATCH($B82&amp;"",인턴근무계획!$D$3:$D$202,0),IFERROR(MATCH(VALUE($B82),인턴근무계획!$D$3:$D$202,0),""))))</f>
        <v/>
      </c>
      <c r="AD82" s="10">
        <f>IF(OR($AC82="",인턴현황!$G$3=""),"",INDEX(인턴근무계획!$M$3:$R$202,$AC82,인턴현황!$G$3)&amp;"")</f>
        <v/>
      </c>
      <c r="AE82" s="10">
        <f>IF($B82="","",IF($M82&lt;&gt;"",$M82,IF($AF82&lt;&gt;"",IF(LEFT(INDEX(파견수련계획!$R$4:$R$203,$AF82),1)&lt;&gt;"⚠",INDEX(파견수련계획!$R$4:$R$203,$AF82),IF($H82="","",IF(RIGHT($H82,2)="병원",$H82,$H82&amp;"병원"))),IF($H82="","",IF(RIGHT($H82,2)="병원",$H82,$H82&amp;"병원")))))</f>
        <v/>
      </c>
      <c r="AF82" s="10">
        <f>IF(OR($B82="",TRIM($J82&amp;"")=""),"",IFERROR(MATCH(TRIM($J82&amp;"")&amp;"|파견중",파견수련계획!$Y$4:$Y$203,0),IFERROR(MATCH(TRIM($J82&amp;"")&amp;"|파견예정",파견수련계획!$Y$4:$Y$203,0),IFERROR(MATCH(TRIM($J82&amp;"")&amp;"|파견종료",파견수련계획!$Y$4:$Y$203,0),""))))</f>
        <v/>
      </c>
      <c r="AG82" s="10">
        <f>IF($B82="","",IF(AND(IF(OR($AC82="",인턴현황!$K$2=""),"",INDEX(인턴근무계획!$M$3:$R$202,$AC82,인턴현황!$K$2)&amp;"")&lt;&gt;"",LEFT(IF(OR($AC82="",인턴현황!$K$2=""),"",INDEX(인턴근무계획!$M$3:$R$202,$AC82,인턴현황!$K$2)&amp;""),1)&lt;&gt;"⚠"),LEFT(IF(OR($AC82="",인턴현황!$K$2=""),"",INDEX(인턴근무계획!$M$3:$R$202,$AC82,인턴현황!$K$2)&amp;""),FIND(" ",IF(OR($AC82="",인턴현황!$K$2=""),"",INDEX(인턴근무계획!$M$3:$R$202,$AC82,인턴현황!$K$2)&amp;""))-1),$AE82))</f>
        <v/>
      </c>
      <c r="AH82" s="17">
        <f>IF($B82="","",IF(TRIM($J82&amp;"")="",0,SUMPRODUCT((파견수련계획!$Q$4:$Q$203=TRIM($J82&amp;""))*(파견수련계획!$S$4:$S$203="서울병원")*파견수련계획!$W$4:$W$203))+IF($AG82="서울병원",MAX(0,DAY(EOMONTH(요약!$B$3,0))-N($X82)),0))</f>
        <v/>
      </c>
      <c r="AI82" s="17">
        <f>IF($B82="","",IF(TRIM($J82&amp;"")="",0,SUMPRODUCT((파견수련계획!$Q$4:$Q$203=TRIM($J82&amp;""))*(파견수련계획!$S$4:$S$203="구리병원")*파견수련계획!$W$4:$W$203))+IF($AG82="구리병원",MAX(0,DAY(EOMONTH(요약!$B$3,0))-N($X82)),0))</f>
        <v/>
      </c>
      <c r="AJ82" s="10">
        <f>IF(OR($B82="",TRIM($J82&amp;"")=""),"",IFERROR(MATCH(TRIM($J82&amp;"")&amp;"|월",파견수련계획!$Z$4:$Z$203,0),""))</f>
        <v/>
      </c>
      <c r="AK82" s="10">
        <f>IF(OR($B82="",TRIM($J82&amp;"")=""),"",IFERROR(MATCH(TRIM($J82&amp;"")&amp;"|다기관",파견수련계획!$AE$4:$AE$203,0),""))</f>
        <v/>
      </c>
      <c r="AL82" s="10">
        <f>IF($AK82="","","다기관 "&amp;TEXT(INDEX(파견수련계획!$AB$4:$AB$203,$AK82),"yyyy-mm-dd")&amp;"~"&amp;IF(ISNUMBER(INDEX(파견수련계획!$AC$4:$AC$203,$AK82)),TEXT(INDEX(파견수련계획!$AC$4:$AC$203,$AK82),"yyyy-mm-dd"),""))</f>
        <v/>
      </c>
    </row>
    <row r="83">
      <c r="A83" s="10">
        <f>IF(B83="","",ROW()-1)</f>
        <v/>
      </c>
      <c r="B83" s="18" t="n"/>
      <c r="C83" s="10">
        <f>IF($AB83="","",IF(INDEX(기본자료!$C$2:$C$501,$AB83)="","",INDEX(기본자료!$C$2:$C$501,$AB83)))</f>
        <v/>
      </c>
      <c r="D83" s="10">
        <f>IF($AB83="","",IF(INDEX(기본자료!$J$2:$J$501,$AB83)="","",INDEX(기본자료!$J$2:$J$501,$AB83)))</f>
        <v/>
      </c>
      <c r="E83" s="11">
        <f>IF($AB83="","",IF(INDEX(기본자료!$K$2:$K$501,$AB83)="","",IF(NOT(ISNUMBER(INDEX(기본자료!$K$2:$K$501,$AB83))),INDEX(기본자료!$K$2:$K$501,$AB83),IF(INDEX(기본자료!$K$2:$K$501,$AB83)&lt;1000000,INDEX(기본자료!$K$2:$K$501,$AB83),IF(AND(INDEX(기본자료!$K$2:$K$501,$AB83)&gt;=10000101,INT(MOD(INDEX(기본자료!$K$2:$K$501,$AB83),10000)/100)&gt;=1,INT(MOD(INDEX(기본자료!$K$2:$K$501,$AB83),10000)/100)&lt;=12,MOD(INDEX(기본자료!$K$2:$K$501,$AB83),100)&gt;=1,MOD(INDEX(기본자료!$K$2:$K$501,$AB83),100)&lt;=31),DATE(INT(INDEX(기본자료!$K$2:$K$501,$AB83)/10000),INT(MOD(INDEX(기본자료!$K$2:$K$501,$AB83),10000)/100),MOD(INDEX(기본자료!$K$2:$K$501,$AB83),100)),INDEX(기본자료!$K$2:$K$501,$AB83)&amp;"")))))</f>
        <v/>
      </c>
      <c r="F83" s="10">
        <f>IF($AB83="","",IF(INDEX(기본자료!$D$2:$D$501,$AB83)="","",INDEX(기본자료!$D$2:$D$501,$AB83)))</f>
        <v/>
      </c>
      <c r="G83" s="10">
        <f>IF($AB83="","",IF(INDEX(기본자료!$E$2:$E$501,$AB83)="","",INDEX(기본자료!$E$2:$E$501,$AB83)))</f>
        <v/>
      </c>
      <c r="H83" s="10">
        <f>IF($AB83="","",IF(INDEX(기본자료!$F$2:$F$501,$AB83)="","",INDEX(기본자료!$F$2:$F$501,$AB83)))</f>
        <v/>
      </c>
      <c r="I83" s="11">
        <f>IF($AB83="","",IF(INDEX(기본자료!$G$2:$G$501,$AB83)="","",IF(NOT(ISNUMBER(INDEX(기본자료!$G$2:$G$501,$AB83))),INDEX(기본자료!$G$2:$G$501,$AB83),IF(INDEX(기본자료!$G$2:$G$501,$AB83)&lt;1000000,INDEX(기본자료!$G$2:$G$501,$AB83),IF(AND(INDEX(기본자료!$G$2:$G$501,$AB83)&gt;=10000101,INT(MOD(INDEX(기본자료!$G$2:$G$501,$AB83),10000)/100)&gt;=1,INT(MOD(INDEX(기본자료!$G$2:$G$501,$AB83),10000)/100)&lt;=12,MOD(INDEX(기본자료!$G$2:$G$501,$AB83),100)&gt;=1,MOD(INDEX(기본자료!$G$2:$G$501,$AB83),100)&lt;=31),DATE(INT(INDEX(기본자료!$G$2:$G$501,$AB83)/10000),INT(MOD(INDEX(기본자료!$G$2:$G$501,$AB83),10000)/100),MOD(INDEX(기본자료!$G$2:$G$501,$AB83),100)),INDEX(기본자료!$G$2:$G$501,$AB83)&amp;"")))))</f>
        <v/>
      </c>
      <c r="J83" s="10">
        <f>IF($AB83="","",IF(INDEX(기본자료!$H$2:$H$501,$AB83)="","",INDEX(기본자료!$H$2:$H$501,$AB83)))</f>
        <v/>
      </c>
      <c r="K83" s="10">
        <f>IF($AB83="","",IF(INDEX(기본자료!$I$2:$I$501,$AB83)="","",INDEX(기본자료!$I$2:$I$501,$AB83)))</f>
        <v/>
      </c>
      <c r="L83" s="10">
        <f>IF($AB83="","",IF(INDEX(기본자료!$A$2:$A$501,$AB83)="","",INDEX(기본자료!$A$2:$A$501,$AB83)))</f>
        <v/>
      </c>
      <c r="M83" s="15" t="n"/>
      <c r="N83" s="10">
        <f>IF($B83="","",IF(AND($U83="파견중",$Q83&lt;&gt;""),$Q83,IF(AND($AD83&lt;&gt;"",LEFT($AD83,1)&lt;&gt;"⚠"),LEFT($AD83,FIND(" ",$AD83)-1),IF($H83="","",IF(RIGHT($H83,2)="병원",$H83,$H83&amp;"병원")))))</f>
        <v/>
      </c>
      <c r="O83" s="10">
        <f>IF($B83="","",IF(AND($U83="파견중",$Q83&lt;&gt;""),IF($R83&lt;&gt;"",$R83,"파견과 미입력"),IF(AND($AD83&lt;&gt;"",LEFT($AD83,1)&lt;&gt;"⚠"),MID($AD83,FIND(" ",$AD83)+1,60),IF($F83="","",IF($F83="인턴","수련교육부(인턴)",$F83)))))</f>
        <v/>
      </c>
      <c r="P83" s="10">
        <f>IF($B83="","",IF($AK83&lt;&gt;"",IF(AND(TODAY()&gt;=INDEX(파견수련계획!$AB$4:$AB$203,$AK83),OR(NOT(ISNUMBER(INDEX(파견수련계획!$AC$4:$AC$203,$AK83))),TODAY()&lt;=INDEX(파견수련계획!$AC$4:$AC$203,$AK83))),"다기관",IF($AF83="","",INDEX(파견수련계획!$T$4:$T$203,$AF83))),IF($AF83="","",INDEX(파견수련계획!$T$4:$T$203,$AF83))))</f>
        <v/>
      </c>
      <c r="Q83" s="10">
        <f>IF($AF83="","",INDEX(파견수련계획!$S$4:$S$203,$AF83))</f>
        <v/>
      </c>
      <c r="R83" s="10">
        <f>IF($AF83="","",INDEX(파견수련계획!$U$4:$U$203,$AF83))</f>
        <v/>
      </c>
      <c r="S83" s="11">
        <f>IF($AF83="","",IF(INDEX(파견수련계획!$H$4:$H$203,$AF83)="","",INDEX(파견수련계획!$H$4:$H$203,$AF83)))</f>
        <v/>
      </c>
      <c r="T83" s="11">
        <f>IF($AF83="","",IF(INDEX(파견수련계획!$I$4:$I$203,$AF83)="","",INDEX(파견수련계획!$I$4:$I$203,$AF83)))</f>
        <v/>
      </c>
      <c r="U83" s="10">
        <f>IF($AF83="","",INDEX(파견수련계획!$X$4:$X$203,$AF83))</f>
        <v/>
      </c>
      <c r="V83" s="17">
        <f>IF($AF83="","",INDEX(파견수련계획!$V$4:$V$203,$AF83))</f>
        <v/>
      </c>
      <c r="W83" s="17">
        <f>IF(AND($U83="파견중",$T83&lt;&gt;""),$T83-TODAY(),"")</f>
        <v/>
      </c>
      <c r="X83" s="17">
        <f>IF(OR($B83="",TRIM($J83&amp;"")=""),"",SUMPRODUCT((파견수련계획!$Q$4:$Q$203=TRIM($J83&amp;""))*파견수련계획!$W$4:$W$203))</f>
        <v/>
      </c>
      <c r="Y83" s="10">
        <f>IF($B83="","",IF($AG83="","",IF(IF(TRIM($J83&amp;"")="",0,SUMPRODUCT((파견수련계획!$Q$4:$Q$203=TRIM($J83&amp;""))*파견수련계획!$AD$4:$AD$203))&gt;0,$AE83,IF(N($X83)&lt;=0,$AG83,IF($AH83+$AI83=DAY(EOMONTH(요약!$B$3,0)),IF(AND($AH83&gt;=요약!$E$3,$AI83&lt;요약!$E$3),"서울병원",IF(AND($AI83&gt;=요약!$E$3,$AH83&lt;요약!$E$3),"구리병원","⚠15일 판정불가(서울 "&amp;$AH83&amp;"일/구리 "&amp;$AI83&amp;"일)")),IF($AJ83="",$AE83,IF(INDEX(파견수련계획!$T$4:$T$203,$AJ83)="통합수련",INDEX(파견수련계획!$S$4:$S$203,$AJ83),$AE83)))))))</f>
        <v/>
      </c>
      <c r="Z83" s="19">
        <f>IF($B83="","",IF($AB83="","기본자료에 없는 사번",IF(COUNTIF($B$2:$B$201,$B83)&gt;1,"중복 사번",IF($AE83="","소속(입사장소) 입력",IF(IF(TRIM($J83&amp;"")="",0,SUMPRODUCT((파견수련계획!$Q$4:$Q$203=TRIM($J83&amp;""))*(파견수련계획!$AA$4:$AA$203&lt;&gt;"")))&gt;0,"파견수련계획 입력오류 확인",IF(LEFT($Y83,1)="⚠","서울·구리 15일 판정 불가(양쪽 모두 이상/미만)",IF(IF($AC83="",0,N(INDEX(인턴근무계획!$T$3:$T$202,$AC83)))&gt;0,"인턴계획 입력오류 확인",IF(AND($AC83&lt;&gt;"",$U83&lt;&gt;"파견중",$N83&lt;&gt;$AE83),"인턴 타지역 근무: 파견 여부 확인","정상"))))))))</f>
        <v/>
      </c>
      <c r="AA83" s="5" t="n"/>
      <c r="AB83" s="10">
        <f>IF($B83="","",IFERROR(MATCH($B83,기본자료!$B$2:$B$501,0),IFERROR(MATCH($B83&amp;"",기본자료!$B$2:$B$501,0),IFERROR(MATCH(VALUE($B83),기본자료!$B$2:$B$501,0),""))))</f>
        <v/>
      </c>
      <c r="AC83" s="10">
        <f>IF($B83="","",IFERROR(MATCH($B83,인턴근무계획!$D$3:$D$202,0),IFERROR(MATCH($B83&amp;"",인턴근무계획!$D$3:$D$202,0),IFERROR(MATCH(VALUE($B83),인턴근무계획!$D$3:$D$202,0),""))))</f>
        <v/>
      </c>
      <c r="AD83" s="10">
        <f>IF(OR($AC83="",인턴현황!$G$3=""),"",INDEX(인턴근무계획!$M$3:$R$202,$AC83,인턴현황!$G$3)&amp;"")</f>
        <v/>
      </c>
      <c r="AE83" s="10">
        <f>IF($B83="","",IF($M83&lt;&gt;"",$M83,IF($AF83&lt;&gt;"",IF(LEFT(INDEX(파견수련계획!$R$4:$R$203,$AF83),1)&lt;&gt;"⚠",INDEX(파견수련계획!$R$4:$R$203,$AF83),IF($H83="","",IF(RIGHT($H83,2)="병원",$H83,$H83&amp;"병원"))),IF($H83="","",IF(RIGHT($H83,2)="병원",$H83,$H83&amp;"병원")))))</f>
        <v/>
      </c>
      <c r="AF83" s="10">
        <f>IF(OR($B83="",TRIM($J83&amp;"")=""),"",IFERROR(MATCH(TRIM($J83&amp;"")&amp;"|파견중",파견수련계획!$Y$4:$Y$203,0),IFERROR(MATCH(TRIM($J83&amp;"")&amp;"|파견예정",파견수련계획!$Y$4:$Y$203,0),IFERROR(MATCH(TRIM($J83&amp;"")&amp;"|파견종료",파견수련계획!$Y$4:$Y$203,0),""))))</f>
        <v/>
      </c>
      <c r="AG83" s="10">
        <f>IF($B83="","",IF(AND(IF(OR($AC83="",인턴현황!$K$2=""),"",INDEX(인턴근무계획!$M$3:$R$202,$AC83,인턴현황!$K$2)&amp;"")&lt;&gt;"",LEFT(IF(OR($AC83="",인턴현황!$K$2=""),"",INDEX(인턴근무계획!$M$3:$R$202,$AC83,인턴현황!$K$2)&amp;""),1)&lt;&gt;"⚠"),LEFT(IF(OR($AC83="",인턴현황!$K$2=""),"",INDEX(인턴근무계획!$M$3:$R$202,$AC83,인턴현황!$K$2)&amp;""),FIND(" ",IF(OR($AC83="",인턴현황!$K$2=""),"",INDEX(인턴근무계획!$M$3:$R$202,$AC83,인턴현황!$K$2)&amp;""))-1),$AE83))</f>
        <v/>
      </c>
      <c r="AH83" s="17">
        <f>IF($B83="","",IF(TRIM($J83&amp;"")="",0,SUMPRODUCT((파견수련계획!$Q$4:$Q$203=TRIM($J83&amp;""))*(파견수련계획!$S$4:$S$203="서울병원")*파견수련계획!$W$4:$W$203))+IF($AG83="서울병원",MAX(0,DAY(EOMONTH(요약!$B$3,0))-N($X83)),0))</f>
        <v/>
      </c>
      <c r="AI83" s="17">
        <f>IF($B83="","",IF(TRIM($J83&amp;"")="",0,SUMPRODUCT((파견수련계획!$Q$4:$Q$203=TRIM($J83&amp;""))*(파견수련계획!$S$4:$S$203="구리병원")*파견수련계획!$W$4:$W$203))+IF($AG83="구리병원",MAX(0,DAY(EOMONTH(요약!$B$3,0))-N($X83)),0))</f>
        <v/>
      </c>
      <c r="AJ83" s="10">
        <f>IF(OR($B83="",TRIM($J83&amp;"")=""),"",IFERROR(MATCH(TRIM($J83&amp;"")&amp;"|월",파견수련계획!$Z$4:$Z$203,0),""))</f>
        <v/>
      </c>
      <c r="AK83" s="10">
        <f>IF(OR($B83="",TRIM($J83&amp;"")=""),"",IFERROR(MATCH(TRIM($J83&amp;"")&amp;"|다기관",파견수련계획!$AE$4:$AE$203,0),""))</f>
        <v/>
      </c>
      <c r="AL83" s="10">
        <f>IF($AK83="","","다기관 "&amp;TEXT(INDEX(파견수련계획!$AB$4:$AB$203,$AK83),"yyyy-mm-dd")&amp;"~"&amp;IF(ISNUMBER(INDEX(파견수련계획!$AC$4:$AC$203,$AK83)),TEXT(INDEX(파견수련계획!$AC$4:$AC$203,$AK83),"yyyy-mm-dd"),""))</f>
        <v/>
      </c>
    </row>
    <row r="84">
      <c r="A84" s="10">
        <f>IF(B84="","",ROW()-1)</f>
        <v/>
      </c>
      <c r="B84" s="18" t="n"/>
      <c r="C84" s="10">
        <f>IF($AB84="","",IF(INDEX(기본자료!$C$2:$C$501,$AB84)="","",INDEX(기본자료!$C$2:$C$501,$AB84)))</f>
        <v/>
      </c>
      <c r="D84" s="10">
        <f>IF($AB84="","",IF(INDEX(기본자료!$J$2:$J$501,$AB84)="","",INDEX(기본자료!$J$2:$J$501,$AB84)))</f>
        <v/>
      </c>
      <c r="E84" s="11">
        <f>IF($AB84="","",IF(INDEX(기본자료!$K$2:$K$501,$AB84)="","",IF(NOT(ISNUMBER(INDEX(기본자료!$K$2:$K$501,$AB84))),INDEX(기본자료!$K$2:$K$501,$AB84),IF(INDEX(기본자료!$K$2:$K$501,$AB84)&lt;1000000,INDEX(기본자료!$K$2:$K$501,$AB84),IF(AND(INDEX(기본자료!$K$2:$K$501,$AB84)&gt;=10000101,INT(MOD(INDEX(기본자료!$K$2:$K$501,$AB84),10000)/100)&gt;=1,INT(MOD(INDEX(기본자료!$K$2:$K$501,$AB84),10000)/100)&lt;=12,MOD(INDEX(기본자료!$K$2:$K$501,$AB84),100)&gt;=1,MOD(INDEX(기본자료!$K$2:$K$501,$AB84),100)&lt;=31),DATE(INT(INDEX(기본자료!$K$2:$K$501,$AB84)/10000),INT(MOD(INDEX(기본자료!$K$2:$K$501,$AB84),10000)/100),MOD(INDEX(기본자료!$K$2:$K$501,$AB84),100)),INDEX(기본자료!$K$2:$K$501,$AB84)&amp;"")))))</f>
        <v/>
      </c>
      <c r="F84" s="10">
        <f>IF($AB84="","",IF(INDEX(기본자료!$D$2:$D$501,$AB84)="","",INDEX(기본자료!$D$2:$D$501,$AB84)))</f>
        <v/>
      </c>
      <c r="G84" s="10">
        <f>IF($AB84="","",IF(INDEX(기본자료!$E$2:$E$501,$AB84)="","",INDEX(기본자료!$E$2:$E$501,$AB84)))</f>
        <v/>
      </c>
      <c r="H84" s="10">
        <f>IF($AB84="","",IF(INDEX(기본자료!$F$2:$F$501,$AB84)="","",INDEX(기본자료!$F$2:$F$501,$AB84)))</f>
        <v/>
      </c>
      <c r="I84" s="11">
        <f>IF($AB84="","",IF(INDEX(기본자료!$G$2:$G$501,$AB84)="","",IF(NOT(ISNUMBER(INDEX(기본자료!$G$2:$G$501,$AB84))),INDEX(기본자료!$G$2:$G$501,$AB84),IF(INDEX(기본자료!$G$2:$G$501,$AB84)&lt;1000000,INDEX(기본자료!$G$2:$G$501,$AB84),IF(AND(INDEX(기본자료!$G$2:$G$501,$AB84)&gt;=10000101,INT(MOD(INDEX(기본자료!$G$2:$G$501,$AB84),10000)/100)&gt;=1,INT(MOD(INDEX(기본자료!$G$2:$G$501,$AB84),10000)/100)&lt;=12,MOD(INDEX(기본자료!$G$2:$G$501,$AB84),100)&gt;=1,MOD(INDEX(기본자료!$G$2:$G$501,$AB84),100)&lt;=31),DATE(INT(INDEX(기본자료!$G$2:$G$501,$AB84)/10000),INT(MOD(INDEX(기본자료!$G$2:$G$501,$AB84),10000)/100),MOD(INDEX(기본자료!$G$2:$G$501,$AB84),100)),INDEX(기본자료!$G$2:$G$501,$AB84)&amp;"")))))</f>
        <v/>
      </c>
      <c r="J84" s="10">
        <f>IF($AB84="","",IF(INDEX(기본자료!$H$2:$H$501,$AB84)="","",INDEX(기본자료!$H$2:$H$501,$AB84)))</f>
        <v/>
      </c>
      <c r="K84" s="10">
        <f>IF($AB84="","",IF(INDEX(기본자료!$I$2:$I$501,$AB84)="","",INDEX(기본자료!$I$2:$I$501,$AB84)))</f>
        <v/>
      </c>
      <c r="L84" s="10">
        <f>IF($AB84="","",IF(INDEX(기본자료!$A$2:$A$501,$AB84)="","",INDEX(기본자료!$A$2:$A$501,$AB84)))</f>
        <v/>
      </c>
      <c r="M84" s="15" t="n"/>
      <c r="N84" s="10">
        <f>IF($B84="","",IF(AND($U84="파견중",$Q84&lt;&gt;""),$Q84,IF(AND($AD84&lt;&gt;"",LEFT($AD84,1)&lt;&gt;"⚠"),LEFT($AD84,FIND(" ",$AD84)-1),IF($H84="","",IF(RIGHT($H84,2)="병원",$H84,$H84&amp;"병원")))))</f>
        <v/>
      </c>
      <c r="O84" s="10">
        <f>IF($B84="","",IF(AND($U84="파견중",$Q84&lt;&gt;""),IF($R84&lt;&gt;"",$R84,"파견과 미입력"),IF(AND($AD84&lt;&gt;"",LEFT($AD84,1)&lt;&gt;"⚠"),MID($AD84,FIND(" ",$AD84)+1,60),IF($F84="","",IF($F84="인턴","수련교육부(인턴)",$F84)))))</f>
        <v/>
      </c>
      <c r="P84" s="10">
        <f>IF($B84="","",IF($AK84&lt;&gt;"",IF(AND(TODAY()&gt;=INDEX(파견수련계획!$AB$4:$AB$203,$AK84),OR(NOT(ISNUMBER(INDEX(파견수련계획!$AC$4:$AC$203,$AK84))),TODAY()&lt;=INDEX(파견수련계획!$AC$4:$AC$203,$AK84))),"다기관",IF($AF84="","",INDEX(파견수련계획!$T$4:$T$203,$AF84))),IF($AF84="","",INDEX(파견수련계획!$T$4:$T$203,$AF84))))</f>
        <v/>
      </c>
      <c r="Q84" s="10">
        <f>IF($AF84="","",INDEX(파견수련계획!$S$4:$S$203,$AF84))</f>
        <v/>
      </c>
      <c r="R84" s="10">
        <f>IF($AF84="","",INDEX(파견수련계획!$U$4:$U$203,$AF84))</f>
        <v/>
      </c>
      <c r="S84" s="11">
        <f>IF($AF84="","",IF(INDEX(파견수련계획!$H$4:$H$203,$AF84)="","",INDEX(파견수련계획!$H$4:$H$203,$AF84)))</f>
        <v/>
      </c>
      <c r="T84" s="11">
        <f>IF($AF84="","",IF(INDEX(파견수련계획!$I$4:$I$203,$AF84)="","",INDEX(파견수련계획!$I$4:$I$203,$AF84)))</f>
        <v/>
      </c>
      <c r="U84" s="10">
        <f>IF($AF84="","",INDEX(파견수련계획!$X$4:$X$203,$AF84))</f>
        <v/>
      </c>
      <c r="V84" s="17">
        <f>IF($AF84="","",INDEX(파견수련계획!$V$4:$V$203,$AF84))</f>
        <v/>
      </c>
      <c r="W84" s="17">
        <f>IF(AND($U84="파견중",$T84&lt;&gt;""),$T84-TODAY(),"")</f>
        <v/>
      </c>
      <c r="X84" s="17">
        <f>IF(OR($B84="",TRIM($J84&amp;"")=""),"",SUMPRODUCT((파견수련계획!$Q$4:$Q$203=TRIM($J84&amp;""))*파견수련계획!$W$4:$W$203))</f>
        <v/>
      </c>
      <c r="Y84" s="10">
        <f>IF($B84="","",IF($AG84="","",IF(IF(TRIM($J84&amp;"")="",0,SUMPRODUCT((파견수련계획!$Q$4:$Q$203=TRIM($J84&amp;""))*파견수련계획!$AD$4:$AD$203))&gt;0,$AE84,IF(N($X84)&lt;=0,$AG84,IF($AH84+$AI84=DAY(EOMONTH(요약!$B$3,0)),IF(AND($AH84&gt;=요약!$E$3,$AI84&lt;요약!$E$3),"서울병원",IF(AND($AI84&gt;=요약!$E$3,$AH84&lt;요약!$E$3),"구리병원","⚠15일 판정불가(서울 "&amp;$AH84&amp;"일/구리 "&amp;$AI84&amp;"일)")),IF($AJ84="",$AE84,IF(INDEX(파견수련계획!$T$4:$T$203,$AJ84)="통합수련",INDEX(파견수련계획!$S$4:$S$203,$AJ84),$AE84)))))))</f>
        <v/>
      </c>
      <c r="Z84" s="19">
        <f>IF($B84="","",IF($AB84="","기본자료에 없는 사번",IF(COUNTIF($B$2:$B$201,$B84)&gt;1,"중복 사번",IF($AE84="","소속(입사장소) 입력",IF(IF(TRIM($J84&amp;"")="",0,SUMPRODUCT((파견수련계획!$Q$4:$Q$203=TRIM($J84&amp;""))*(파견수련계획!$AA$4:$AA$203&lt;&gt;"")))&gt;0,"파견수련계획 입력오류 확인",IF(LEFT($Y84,1)="⚠","서울·구리 15일 판정 불가(양쪽 모두 이상/미만)",IF(IF($AC84="",0,N(INDEX(인턴근무계획!$T$3:$T$202,$AC84)))&gt;0,"인턴계획 입력오류 확인",IF(AND($AC84&lt;&gt;"",$U84&lt;&gt;"파견중",$N84&lt;&gt;$AE84),"인턴 타지역 근무: 파견 여부 확인","정상"))))))))</f>
        <v/>
      </c>
      <c r="AA84" s="5" t="n"/>
      <c r="AB84" s="10">
        <f>IF($B84="","",IFERROR(MATCH($B84,기본자료!$B$2:$B$501,0),IFERROR(MATCH($B84&amp;"",기본자료!$B$2:$B$501,0),IFERROR(MATCH(VALUE($B84),기본자료!$B$2:$B$501,0),""))))</f>
        <v/>
      </c>
      <c r="AC84" s="10">
        <f>IF($B84="","",IFERROR(MATCH($B84,인턴근무계획!$D$3:$D$202,0),IFERROR(MATCH($B84&amp;"",인턴근무계획!$D$3:$D$202,0),IFERROR(MATCH(VALUE($B84),인턴근무계획!$D$3:$D$202,0),""))))</f>
        <v/>
      </c>
      <c r="AD84" s="10">
        <f>IF(OR($AC84="",인턴현황!$G$3=""),"",INDEX(인턴근무계획!$M$3:$R$202,$AC84,인턴현황!$G$3)&amp;"")</f>
        <v/>
      </c>
      <c r="AE84" s="10">
        <f>IF($B84="","",IF($M84&lt;&gt;"",$M84,IF($AF84&lt;&gt;"",IF(LEFT(INDEX(파견수련계획!$R$4:$R$203,$AF84),1)&lt;&gt;"⚠",INDEX(파견수련계획!$R$4:$R$203,$AF84),IF($H84="","",IF(RIGHT($H84,2)="병원",$H84,$H84&amp;"병원"))),IF($H84="","",IF(RIGHT($H84,2)="병원",$H84,$H84&amp;"병원")))))</f>
        <v/>
      </c>
      <c r="AF84" s="10">
        <f>IF(OR($B84="",TRIM($J84&amp;"")=""),"",IFERROR(MATCH(TRIM($J84&amp;"")&amp;"|파견중",파견수련계획!$Y$4:$Y$203,0),IFERROR(MATCH(TRIM($J84&amp;"")&amp;"|파견예정",파견수련계획!$Y$4:$Y$203,0),IFERROR(MATCH(TRIM($J84&amp;"")&amp;"|파견종료",파견수련계획!$Y$4:$Y$203,0),""))))</f>
        <v/>
      </c>
      <c r="AG84" s="10">
        <f>IF($B84="","",IF(AND(IF(OR($AC84="",인턴현황!$K$2=""),"",INDEX(인턴근무계획!$M$3:$R$202,$AC84,인턴현황!$K$2)&amp;"")&lt;&gt;"",LEFT(IF(OR($AC84="",인턴현황!$K$2=""),"",INDEX(인턴근무계획!$M$3:$R$202,$AC84,인턴현황!$K$2)&amp;""),1)&lt;&gt;"⚠"),LEFT(IF(OR($AC84="",인턴현황!$K$2=""),"",INDEX(인턴근무계획!$M$3:$R$202,$AC84,인턴현황!$K$2)&amp;""),FIND(" ",IF(OR($AC84="",인턴현황!$K$2=""),"",INDEX(인턴근무계획!$M$3:$R$202,$AC84,인턴현황!$K$2)&amp;""))-1),$AE84))</f>
        <v/>
      </c>
      <c r="AH84" s="17">
        <f>IF($B84="","",IF(TRIM($J84&amp;"")="",0,SUMPRODUCT((파견수련계획!$Q$4:$Q$203=TRIM($J84&amp;""))*(파견수련계획!$S$4:$S$203="서울병원")*파견수련계획!$W$4:$W$203))+IF($AG84="서울병원",MAX(0,DAY(EOMONTH(요약!$B$3,0))-N($X84)),0))</f>
        <v/>
      </c>
      <c r="AI84" s="17">
        <f>IF($B84="","",IF(TRIM($J84&amp;"")="",0,SUMPRODUCT((파견수련계획!$Q$4:$Q$203=TRIM($J84&amp;""))*(파견수련계획!$S$4:$S$203="구리병원")*파견수련계획!$W$4:$W$203))+IF($AG84="구리병원",MAX(0,DAY(EOMONTH(요약!$B$3,0))-N($X84)),0))</f>
        <v/>
      </c>
      <c r="AJ84" s="10">
        <f>IF(OR($B84="",TRIM($J84&amp;"")=""),"",IFERROR(MATCH(TRIM($J84&amp;"")&amp;"|월",파견수련계획!$Z$4:$Z$203,0),""))</f>
        <v/>
      </c>
      <c r="AK84" s="10">
        <f>IF(OR($B84="",TRIM($J84&amp;"")=""),"",IFERROR(MATCH(TRIM($J84&amp;"")&amp;"|다기관",파견수련계획!$AE$4:$AE$203,0),""))</f>
        <v/>
      </c>
      <c r="AL84" s="10">
        <f>IF($AK84="","","다기관 "&amp;TEXT(INDEX(파견수련계획!$AB$4:$AB$203,$AK84),"yyyy-mm-dd")&amp;"~"&amp;IF(ISNUMBER(INDEX(파견수련계획!$AC$4:$AC$203,$AK84)),TEXT(INDEX(파견수련계획!$AC$4:$AC$203,$AK84),"yyyy-mm-dd"),""))</f>
        <v/>
      </c>
    </row>
    <row r="85">
      <c r="A85" s="10">
        <f>IF(B85="","",ROW()-1)</f>
        <v/>
      </c>
      <c r="B85" s="18" t="n"/>
      <c r="C85" s="10">
        <f>IF($AB85="","",IF(INDEX(기본자료!$C$2:$C$501,$AB85)="","",INDEX(기본자료!$C$2:$C$501,$AB85)))</f>
        <v/>
      </c>
      <c r="D85" s="10">
        <f>IF($AB85="","",IF(INDEX(기본자료!$J$2:$J$501,$AB85)="","",INDEX(기본자료!$J$2:$J$501,$AB85)))</f>
        <v/>
      </c>
      <c r="E85" s="11">
        <f>IF($AB85="","",IF(INDEX(기본자료!$K$2:$K$501,$AB85)="","",IF(NOT(ISNUMBER(INDEX(기본자료!$K$2:$K$501,$AB85))),INDEX(기본자료!$K$2:$K$501,$AB85),IF(INDEX(기본자료!$K$2:$K$501,$AB85)&lt;1000000,INDEX(기본자료!$K$2:$K$501,$AB85),IF(AND(INDEX(기본자료!$K$2:$K$501,$AB85)&gt;=10000101,INT(MOD(INDEX(기본자료!$K$2:$K$501,$AB85),10000)/100)&gt;=1,INT(MOD(INDEX(기본자료!$K$2:$K$501,$AB85),10000)/100)&lt;=12,MOD(INDEX(기본자료!$K$2:$K$501,$AB85),100)&gt;=1,MOD(INDEX(기본자료!$K$2:$K$501,$AB85),100)&lt;=31),DATE(INT(INDEX(기본자료!$K$2:$K$501,$AB85)/10000),INT(MOD(INDEX(기본자료!$K$2:$K$501,$AB85),10000)/100),MOD(INDEX(기본자료!$K$2:$K$501,$AB85),100)),INDEX(기본자료!$K$2:$K$501,$AB85)&amp;"")))))</f>
        <v/>
      </c>
      <c r="F85" s="10">
        <f>IF($AB85="","",IF(INDEX(기본자료!$D$2:$D$501,$AB85)="","",INDEX(기본자료!$D$2:$D$501,$AB85)))</f>
        <v/>
      </c>
      <c r="G85" s="10">
        <f>IF($AB85="","",IF(INDEX(기본자료!$E$2:$E$501,$AB85)="","",INDEX(기본자료!$E$2:$E$501,$AB85)))</f>
        <v/>
      </c>
      <c r="H85" s="10">
        <f>IF($AB85="","",IF(INDEX(기본자료!$F$2:$F$501,$AB85)="","",INDEX(기본자료!$F$2:$F$501,$AB85)))</f>
        <v/>
      </c>
      <c r="I85" s="11">
        <f>IF($AB85="","",IF(INDEX(기본자료!$G$2:$G$501,$AB85)="","",IF(NOT(ISNUMBER(INDEX(기본자료!$G$2:$G$501,$AB85))),INDEX(기본자료!$G$2:$G$501,$AB85),IF(INDEX(기본자료!$G$2:$G$501,$AB85)&lt;1000000,INDEX(기본자료!$G$2:$G$501,$AB85),IF(AND(INDEX(기본자료!$G$2:$G$501,$AB85)&gt;=10000101,INT(MOD(INDEX(기본자료!$G$2:$G$501,$AB85),10000)/100)&gt;=1,INT(MOD(INDEX(기본자료!$G$2:$G$501,$AB85),10000)/100)&lt;=12,MOD(INDEX(기본자료!$G$2:$G$501,$AB85),100)&gt;=1,MOD(INDEX(기본자료!$G$2:$G$501,$AB85),100)&lt;=31),DATE(INT(INDEX(기본자료!$G$2:$G$501,$AB85)/10000),INT(MOD(INDEX(기본자료!$G$2:$G$501,$AB85),10000)/100),MOD(INDEX(기본자료!$G$2:$G$501,$AB85),100)),INDEX(기본자료!$G$2:$G$501,$AB85)&amp;"")))))</f>
        <v/>
      </c>
      <c r="J85" s="10">
        <f>IF($AB85="","",IF(INDEX(기본자료!$H$2:$H$501,$AB85)="","",INDEX(기본자료!$H$2:$H$501,$AB85)))</f>
        <v/>
      </c>
      <c r="K85" s="10">
        <f>IF($AB85="","",IF(INDEX(기본자료!$I$2:$I$501,$AB85)="","",INDEX(기본자료!$I$2:$I$501,$AB85)))</f>
        <v/>
      </c>
      <c r="L85" s="10">
        <f>IF($AB85="","",IF(INDEX(기본자료!$A$2:$A$501,$AB85)="","",INDEX(기본자료!$A$2:$A$501,$AB85)))</f>
        <v/>
      </c>
      <c r="M85" s="15" t="n"/>
      <c r="N85" s="10">
        <f>IF($B85="","",IF(AND($U85="파견중",$Q85&lt;&gt;""),$Q85,IF(AND($AD85&lt;&gt;"",LEFT($AD85,1)&lt;&gt;"⚠"),LEFT($AD85,FIND(" ",$AD85)-1),IF($H85="","",IF(RIGHT($H85,2)="병원",$H85,$H85&amp;"병원")))))</f>
        <v/>
      </c>
      <c r="O85" s="10">
        <f>IF($B85="","",IF(AND($U85="파견중",$Q85&lt;&gt;""),IF($R85&lt;&gt;"",$R85,"파견과 미입력"),IF(AND($AD85&lt;&gt;"",LEFT($AD85,1)&lt;&gt;"⚠"),MID($AD85,FIND(" ",$AD85)+1,60),IF($F85="","",IF($F85="인턴","수련교육부(인턴)",$F85)))))</f>
        <v/>
      </c>
      <c r="P85" s="10">
        <f>IF($B85="","",IF($AK85&lt;&gt;"",IF(AND(TODAY()&gt;=INDEX(파견수련계획!$AB$4:$AB$203,$AK85),OR(NOT(ISNUMBER(INDEX(파견수련계획!$AC$4:$AC$203,$AK85))),TODAY()&lt;=INDEX(파견수련계획!$AC$4:$AC$203,$AK85))),"다기관",IF($AF85="","",INDEX(파견수련계획!$T$4:$T$203,$AF85))),IF($AF85="","",INDEX(파견수련계획!$T$4:$T$203,$AF85))))</f>
        <v/>
      </c>
      <c r="Q85" s="10">
        <f>IF($AF85="","",INDEX(파견수련계획!$S$4:$S$203,$AF85))</f>
        <v/>
      </c>
      <c r="R85" s="10">
        <f>IF($AF85="","",INDEX(파견수련계획!$U$4:$U$203,$AF85))</f>
        <v/>
      </c>
      <c r="S85" s="11">
        <f>IF($AF85="","",IF(INDEX(파견수련계획!$H$4:$H$203,$AF85)="","",INDEX(파견수련계획!$H$4:$H$203,$AF85)))</f>
        <v/>
      </c>
      <c r="T85" s="11">
        <f>IF($AF85="","",IF(INDEX(파견수련계획!$I$4:$I$203,$AF85)="","",INDEX(파견수련계획!$I$4:$I$203,$AF85)))</f>
        <v/>
      </c>
      <c r="U85" s="10">
        <f>IF($AF85="","",INDEX(파견수련계획!$X$4:$X$203,$AF85))</f>
        <v/>
      </c>
      <c r="V85" s="17">
        <f>IF($AF85="","",INDEX(파견수련계획!$V$4:$V$203,$AF85))</f>
        <v/>
      </c>
      <c r="W85" s="17">
        <f>IF(AND($U85="파견중",$T85&lt;&gt;""),$T85-TODAY(),"")</f>
        <v/>
      </c>
      <c r="X85" s="17">
        <f>IF(OR($B85="",TRIM($J85&amp;"")=""),"",SUMPRODUCT((파견수련계획!$Q$4:$Q$203=TRIM($J85&amp;""))*파견수련계획!$W$4:$W$203))</f>
        <v/>
      </c>
      <c r="Y85" s="10">
        <f>IF($B85="","",IF($AG85="","",IF(IF(TRIM($J85&amp;"")="",0,SUMPRODUCT((파견수련계획!$Q$4:$Q$203=TRIM($J85&amp;""))*파견수련계획!$AD$4:$AD$203))&gt;0,$AE85,IF(N($X85)&lt;=0,$AG85,IF($AH85+$AI85=DAY(EOMONTH(요약!$B$3,0)),IF(AND($AH85&gt;=요약!$E$3,$AI85&lt;요약!$E$3),"서울병원",IF(AND($AI85&gt;=요약!$E$3,$AH85&lt;요약!$E$3),"구리병원","⚠15일 판정불가(서울 "&amp;$AH85&amp;"일/구리 "&amp;$AI85&amp;"일)")),IF($AJ85="",$AE85,IF(INDEX(파견수련계획!$T$4:$T$203,$AJ85)="통합수련",INDEX(파견수련계획!$S$4:$S$203,$AJ85),$AE85)))))))</f>
        <v/>
      </c>
      <c r="Z85" s="19">
        <f>IF($B85="","",IF($AB85="","기본자료에 없는 사번",IF(COUNTIF($B$2:$B$201,$B85)&gt;1,"중복 사번",IF($AE85="","소속(입사장소) 입력",IF(IF(TRIM($J85&amp;"")="",0,SUMPRODUCT((파견수련계획!$Q$4:$Q$203=TRIM($J85&amp;""))*(파견수련계획!$AA$4:$AA$203&lt;&gt;"")))&gt;0,"파견수련계획 입력오류 확인",IF(LEFT($Y85,1)="⚠","서울·구리 15일 판정 불가(양쪽 모두 이상/미만)",IF(IF($AC85="",0,N(INDEX(인턴근무계획!$T$3:$T$202,$AC85)))&gt;0,"인턴계획 입력오류 확인",IF(AND($AC85&lt;&gt;"",$U85&lt;&gt;"파견중",$N85&lt;&gt;$AE85),"인턴 타지역 근무: 파견 여부 확인","정상"))))))))</f>
        <v/>
      </c>
      <c r="AA85" s="5" t="n"/>
      <c r="AB85" s="10">
        <f>IF($B85="","",IFERROR(MATCH($B85,기본자료!$B$2:$B$501,0),IFERROR(MATCH($B85&amp;"",기본자료!$B$2:$B$501,0),IFERROR(MATCH(VALUE($B85),기본자료!$B$2:$B$501,0),""))))</f>
        <v/>
      </c>
      <c r="AC85" s="10">
        <f>IF($B85="","",IFERROR(MATCH($B85,인턴근무계획!$D$3:$D$202,0),IFERROR(MATCH($B85&amp;"",인턴근무계획!$D$3:$D$202,0),IFERROR(MATCH(VALUE($B85),인턴근무계획!$D$3:$D$202,0),""))))</f>
        <v/>
      </c>
      <c r="AD85" s="10">
        <f>IF(OR($AC85="",인턴현황!$G$3=""),"",INDEX(인턴근무계획!$M$3:$R$202,$AC85,인턴현황!$G$3)&amp;"")</f>
        <v/>
      </c>
      <c r="AE85" s="10">
        <f>IF($B85="","",IF($M85&lt;&gt;"",$M85,IF($AF85&lt;&gt;"",IF(LEFT(INDEX(파견수련계획!$R$4:$R$203,$AF85),1)&lt;&gt;"⚠",INDEX(파견수련계획!$R$4:$R$203,$AF85),IF($H85="","",IF(RIGHT($H85,2)="병원",$H85,$H85&amp;"병원"))),IF($H85="","",IF(RIGHT($H85,2)="병원",$H85,$H85&amp;"병원")))))</f>
        <v/>
      </c>
      <c r="AF85" s="10">
        <f>IF(OR($B85="",TRIM($J85&amp;"")=""),"",IFERROR(MATCH(TRIM($J85&amp;"")&amp;"|파견중",파견수련계획!$Y$4:$Y$203,0),IFERROR(MATCH(TRIM($J85&amp;"")&amp;"|파견예정",파견수련계획!$Y$4:$Y$203,0),IFERROR(MATCH(TRIM($J85&amp;"")&amp;"|파견종료",파견수련계획!$Y$4:$Y$203,0),""))))</f>
        <v/>
      </c>
      <c r="AG85" s="10">
        <f>IF($B85="","",IF(AND(IF(OR($AC85="",인턴현황!$K$2=""),"",INDEX(인턴근무계획!$M$3:$R$202,$AC85,인턴현황!$K$2)&amp;"")&lt;&gt;"",LEFT(IF(OR($AC85="",인턴현황!$K$2=""),"",INDEX(인턴근무계획!$M$3:$R$202,$AC85,인턴현황!$K$2)&amp;""),1)&lt;&gt;"⚠"),LEFT(IF(OR($AC85="",인턴현황!$K$2=""),"",INDEX(인턴근무계획!$M$3:$R$202,$AC85,인턴현황!$K$2)&amp;""),FIND(" ",IF(OR($AC85="",인턴현황!$K$2=""),"",INDEX(인턴근무계획!$M$3:$R$202,$AC85,인턴현황!$K$2)&amp;""))-1),$AE85))</f>
        <v/>
      </c>
      <c r="AH85" s="17">
        <f>IF($B85="","",IF(TRIM($J85&amp;"")="",0,SUMPRODUCT((파견수련계획!$Q$4:$Q$203=TRIM($J85&amp;""))*(파견수련계획!$S$4:$S$203="서울병원")*파견수련계획!$W$4:$W$203))+IF($AG85="서울병원",MAX(0,DAY(EOMONTH(요약!$B$3,0))-N($X85)),0))</f>
        <v/>
      </c>
      <c r="AI85" s="17">
        <f>IF($B85="","",IF(TRIM($J85&amp;"")="",0,SUMPRODUCT((파견수련계획!$Q$4:$Q$203=TRIM($J85&amp;""))*(파견수련계획!$S$4:$S$203="구리병원")*파견수련계획!$W$4:$W$203))+IF($AG85="구리병원",MAX(0,DAY(EOMONTH(요약!$B$3,0))-N($X85)),0))</f>
        <v/>
      </c>
      <c r="AJ85" s="10">
        <f>IF(OR($B85="",TRIM($J85&amp;"")=""),"",IFERROR(MATCH(TRIM($J85&amp;"")&amp;"|월",파견수련계획!$Z$4:$Z$203,0),""))</f>
        <v/>
      </c>
      <c r="AK85" s="10">
        <f>IF(OR($B85="",TRIM($J85&amp;"")=""),"",IFERROR(MATCH(TRIM($J85&amp;"")&amp;"|다기관",파견수련계획!$AE$4:$AE$203,0),""))</f>
        <v/>
      </c>
      <c r="AL85" s="10">
        <f>IF($AK85="","","다기관 "&amp;TEXT(INDEX(파견수련계획!$AB$4:$AB$203,$AK85),"yyyy-mm-dd")&amp;"~"&amp;IF(ISNUMBER(INDEX(파견수련계획!$AC$4:$AC$203,$AK85)),TEXT(INDEX(파견수련계획!$AC$4:$AC$203,$AK85),"yyyy-mm-dd"),""))</f>
        <v/>
      </c>
    </row>
    <row r="86">
      <c r="A86" s="10">
        <f>IF(B86="","",ROW()-1)</f>
        <v/>
      </c>
      <c r="B86" s="18" t="n"/>
      <c r="C86" s="10">
        <f>IF($AB86="","",IF(INDEX(기본자료!$C$2:$C$501,$AB86)="","",INDEX(기본자료!$C$2:$C$501,$AB86)))</f>
        <v/>
      </c>
      <c r="D86" s="10">
        <f>IF($AB86="","",IF(INDEX(기본자료!$J$2:$J$501,$AB86)="","",INDEX(기본자료!$J$2:$J$501,$AB86)))</f>
        <v/>
      </c>
      <c r="E86" s="11">
        <f>IF($AB86="","",IF(INDEX(기본자료!$K$2:$K$501,$AB86)="","",IF(NOT(ISNUMBER(INDEX(기본자료!$K$2:$K$501,$AB86))),INDEX(기본자료!$K$2:$K$501,$AB86),IF(INDEX(기본자료!$K$2:$K$501,$AB86)&lt;1000000,INDEX(기본자료!$K$2:$K$501,$AB86),IF(AND(INDEX(기본자료!$K$2:$K$501,$AB86)&gt;=10000101,INT(MOD(INDEX(기본자료!$K$2:$K$501,$AB86),10000)/100)&gt;=1,INT(MOD(INDEX(기본자료!$K$2:$K$501,$AB86),10000)/100)&lt;=12,MOD(INDEX(기본자료!$K$2:$K$501,$AB86),100)&gt;=1,MOD(INDEX(기본자료!$K$2:$K$501,$AB86),100)&lt;=31),DATE(INT(INDEX(기본자료!$K$2:$K$501,$AB86)/10000),INT(MOD(INDEX(기본자료!$K$2:$K$501,$AB86),10000)/100),MOD(INDEX(기본자료!$K$2:$K$501,$AB86),100)),INDEX(기본자료!$K$2:$K$501,$AB86)&amp;"")))))</f>
        <v/>
      </c>
      <c r="F86" s="10">
        <f>IF($AB86="","",IF(INDEX(기본자료!$D$2:$D$501,$AB86)="","",INDEX(기본자료!$D$2:$D$501,$AB86)))</f>
        <v/>
      </c>
      <c r="G86" s="10">
        <f>IF($AB86="","",IF(INDEX(기본자료!$E$2:$E$501,$AB86)="","",INDEX(기본자료!$E$2:$E$501,$AB86)))</f>
        <v/>
      </c>
      <c r="H86" s="10">
        <f>IF($AB86="","",IF(INDEX(기본자료!$F$2:$F$501,$AB86)="","",INDEX(기본자료!$F$2:$F$501,$AB86)))</f>
        <v/>
      </c>
      <c r="I86" s="11">
        <f>IF($AB86="","",IF(INDEX(기본자료!$G$2:$G$501,$AB86)="","",IF(NOT(ISNUMBER(INDEX(기본자료!$G$2:$G$501,$AB86))),INDEX(기본자료!$G$2:$G$501,$AB86),IF(INDEX(기본자료!$G$2:$G$501,$AB86)&lt;1000000,INDEX(기본자료!$G$2:$G$501,$AB86),IF(AND(INDEX(기본자료!$G$2:$G$501,$AB86)&gt;=10000101,INT(MOD(INDEX(기본자료!$G$2:$G$501,$AB86),10000)/100)&gt;=1,INT(MOD(INDEX(기본자료!$G$2:$G$501,$AB86),10000)/100)&lt;=12,MOD(INDEX(기본자료!$G$2:$G$501,$AB86),100)&gt;=1,MOD(INDEX(기본자료!$G$2:$G$501,$AB86),100)&lt;=31),DATE(INT(INDEX(기본자료!$G$2:$G$501,$AB86)/10000),INT(MOD(INDEX(기본자료!$G$2:$G$501,$AB86),10000)/100),MOD(INDEX(기본자료!$G$2:$G$501,$AB86),100)),INDEX(기본자료!$G$2:$G$501,$AB86)&amp;"")))))</f>
        <v/>
      </c>
      <c r="J86" s="10">
        <f>IF($AB86="","",IF(INDEX(기본자료!$H$2:$H$501,$AB86)="","",INDEX(기본자료!$H$2:$H$501,$AB86)))</f>
        <v/>
      </c>
      <c r="K86" s="10">
        <f>IF($AB86="","",IF(INDEX(기본자료!$I$2:$I$501,$AB86)="","",INDEX(기본자료!$I$2:$I$501,$AB86)))</f>
        <v/>
      </c>
      <c r="L86" s="10">
        <f>IF($AB86="","",IF(INDEX(기본자료!$A$2:$A$501,$AB86)="","",INDEX(기본자료!$A$2:$A$501,$AB86)))</f>
        <v/>
      </c>
      <c r="M86" s="15" t="n"/>
      <c r="N86" s="10">
        <f>IF($B86="","",IF(AND($U86="파견중",$Q86&lt;&gt;""),$Q86,IF(AND($AD86&lt;&gt;"",LEFT($AD86,1)&lt;&gt;"⚠"),LEFT($AD86,FIND(" ",$AD86)-1),IF($H86="","",IF(RIGHT($H86,2)="병원",$H86,$H86&amp;"병원")))))</f>
        <v/>
      </c>
      <c r="O86" s="10">
        <f>IF($B86="","",IF(AND($U86="파견중",$Q86&lt;&gt;""),IF($R86&lt;&gt;"",$R86,"파견과 미입력"),IF(AND($AD86&lt;&gt;"",LEFT($AD86,1)&lt;&gt;"⚠"),MID($AD86,FIND(" ",$AD86)+1,60),IF($F86="","",IF($F86="인턴","수련교육부(인턴)",$F86)))))</f>
        <v/>
      </c>
      <c r="P86" s="10">
        <f>IF($B86="","",IF($AK86&lt;&gt;"",IF(AND(TODAY()&gt;=INDEX(파견수련계획!$AB$4:$AB$203,$AK86),OR(NOT(ISNUMBER(INDEX(파견수련계획!$AC$4:$AC$203,$AK86))),TODAY()&lt;=INDEX(파견수련계획!$AC$4:$AC$203,$AK86))),"다기관",IF($AF86="","",INDEX(파견수련계획!$T$4:$T$203,$AF86))),IF($AF86="","",INDEX(파견수련계획!$T$4:$T$203,$AF86))))</f>
        <v/>
      </c>
      <c r="Q86" s="10">
        <f>IF($AF86="","",INDEX(파견수련계획!$S$4:$S$203,$AF86))</f>
        <v/>
      </c>
      <c r="R86" s="10">
        <f>IF($AF86="","",INDEX(파견수련계획!$U$4:$U$203,$AF86))</f>
        <v/>
      </c>
      <c r="S86" s="11">
        <f>IF($AF86="","",IF(INDEX(파견수련계획!$H$4:$H$203,$AF86)="","",INDEX(파견수련계획!$H$4:$H$203,$AF86)))</f>
        <v/>
      </c>
      <c r="T86" s="11">
        <f>IF($AF86="","",IF(INDEX(파견수련계획!$I$4:$I$203,$AF86)="","",INDEX(파견수련계획!$I$4:$I$203,$AF86)))</f>
        <v/>
      </c>
      <c r="U86" s="10">
        <f>IF($AF86="","",INDEX(파견수련계획!$X$4:$X$203,$AF86))</f>
        <v/>
      </c>
      <c r="V86" s="17">
        <f>IF($AF86="","",INDEX(파견수련계획!$V$4:$V$203,$AF86))</f>
        <v/>
      </c>
      <c r="W86" s="17">
        <f>IF(AND($U86="파견중",$T86&lt;&gt;""),$T86-TODAY(),"")</f>
        <v/>
      </c>
      <c r="X86" s="17">
        <f>IF(OR($B86="",TRIM($J86&amp;"")=""),"",SUMPRODUCT((파견수련계획!$Q$4:$Q$203=TRIM($J86&amp;""))*파견수련계획!$W$4:$W$203))</f>
        <v/>
      </c>
      <c r="Y86" s="10">
        <f>IF($B86="","",IF($AG86="","",IF(IF(TRIM($J86&amp;"")="",0,SUMPRODUCT((파견수련계획!$Q$4:$Q$203=TRIM($J86&amp;""))*파견수련계획!$AD$4:$AD$203))&gt;0,$AE86,IF(N($X86)&lt;=0,$AG86,IF($AH86+$AI86=DAY(EOMONTH(요약!$B$3,0)),IF(AND($AH86&gt;=요약!$E$3,$AI86&lt;요약!$E$3),"서울병원",IF(AND($AI86&gt;=요약!$E$3,$AH86&lt;요약!$E$3),"구리병원","⚠15일 판정불가(서울 "&amp;$AH86&amp;"일/구리 "&amp;$AI86&amp;"일)")),IF($AJ86="",$AE86,IF(INDEX(파견수련계획!$T$4:$T$203,$AJ86)="통합수련",INDEX(파견수련계획!$S$4:$S$203,$AJ86),$AE86)))))))</f>
        <v/>
      </c>
      <c r="Z86" s="19">
        <f>IF($B86="","",IF($AB86="","기본자료에 없는 사번",IF(COUNTIF($B$2:$B$201,$B86)&gt;1,"중복 사번",IF($AE86="","소속(입사장소) 입력",IF(IF(TRIM($J86&amp;"")="",0,SUMPRODUCT((파견수련계획!$Q$4:$Q$203=TRIM($J86&amp;""))*(파견수련계획!$AA$4:$AA$203&lt;&gt;"")))&gt;0,"파견수련계획 입력오류 확인",IF(LEFT($Y86,1)="⚠","서울·구리 15일 판정 불가(양쪽 모두 이상/미만)",IF(IF($AC86="",0,N(INDEX(인턴근무계획!$T$3:$T$202,$AC86)))&gt;0,"인턴계획 입력오류 확인",IF(AND($AC86&lt;&gt;"",$U86&lt;&gt;"파견중",$N86&lt;&gt;$AE86),"인턴 타지역 근무: 파견 여부 확인","정상"))))))))</f>
        <v/>
      </c>
      <c r="AA86" s="5" t="n"/>
      <c r="AB86" s="10">
        <f>IF($B86="","",IFERROR(MATCH($B86,기본자료!$B$2:$B$501,0),IFERROR(MATCH($B86&amp;"",기본자료!$B$2:$B$501,0),IFERROR(MATCH(VALUE($B86),기본자료!$B$2:$B$501,0),""))))</f>
        <v/>
      </c>
      <c r="AC86" s="10">
        <f>IF($B86="","",IFERROR(MATCH($B86,인턴근무계획!$D$3:$D$202,0),IFERROR(MATCH($B86&amp;"",인턴근무계획!$D$3:$D$202,0),IFERROR(MATCH(VALUE($B86),인턴근무계획!$D$3:$D$202,0),""))))</f>
        <v/>
      </c>
      <c r="AD86" s="10">
        <f>IF(OR($AC86="",인턴현황!$G$3=""),"",INDEX(인턴근무계획!$M$3:$R$202,$AC86,인턴현황!$G$3)&amp;"")</f>
        <v/>
      </c>
      <c r="AE86" s="10">
        <f>IF($B86="","",IF($M86&lt;&gt;"",$M86,IF($AF86&lt;&gt;"",IF(LEFT(INDEX(파견수련계획!$R$4:$R$203,$AF86),1)&lt;&gt;"⚠",INDEX(파견수련계획!$R$4:$R$203,$AF86),IF($H86="","",IF(RIGHT($H86,2)="병원",$H86,$H86&amp;"병원"))),IF($H86="","",IF(RIGHT($H86,2)="병원",$H86,$H86&amp;"병원")))))</f>
        <v/>
      </c>
      <c r="AF86" s="10">
        <f>IF(OR($B86="",TRIM($J86&amp;"")=""),"",IFERROR(MATCH(TRIM($J86&amp;"")&amp;"|파견중",파견수련계획!$Y$4:$Y$203,0),IFERROR(MATCH(TRIM($J86&amp;"")&amp;"|파견예정",파견수련계획!$Y$4:$Y$203,0),IFERROR(MATCH(TRIM($J86&amp;"")&amp;"|파견종료",파견수련계획!$Y$4:$Y$203,0),""))))</f>
        <v/>
      </c>
      <c r="AG86" s="10">
        <f>IF($B86="","",IF(AND(IF(OR($AC86="",인턴현황!$K$2=""),"",INDEX(인턴근무계획!$M$3:$R$202,$AC86,인턴현황!$K$2)&amp;"")&lt;&gt;"",LEFT(IF(OR($AC86="",인턴현황!$K$2=""),"",INDEX(인턴근무계획!$M$3:$R$202,$AC86,인턴현황!$K$2)&amp;""),1)&lt;&gt;"⚠"),LEFT(IF(OR($AC86="",인턴현황!$K$2=""),"",INDEX(인턴근무계획!$M$3:$R$202,$AC86,인턴현황!$K$2)&amp;""),FIND(" ",IF(OR($AC86="",인턴현황!$K$2=""),"",INDEX(인턴근무계획!$M$3:$R$202,$AC86,인턴현황!$K$2)&amp;""))-1),$AE86))</f>
        <v/>
      </c>
      <c r="AH86" s="17">
        <f>IF($B86="","",IF(TRIM($J86&amp;"")="",0,SUMPRODUCT((파견수련계획!$Q$4:$Q$203=TRIM($J86&amp;""))*(파견수련계획!$S$4:$S$203="서울병원")*파견수련계획!$W$4:$W$203))+IF($AG86="서울병원",MAX(0,DAY(EOMONTH(요약!$B$3,0))-N($X86)),0))</f>
        <v/>
      </c>
      <c r="AI86" s="17">
        <f>IF($B86="","",IF(TRIM($J86&amp;"")="",0,SUMPRODUCT((파견수련계획!$Q$4:$Q$203=TRIM($J86&amp;""))*(파견수련계획!$S$4:$S$203="구리병원")*파견수련계획!$W$4:$W$203))+IF($AG86="구리병원",MAX(0,DAY(EOMONTH(요약!$B$3,0))-N($X86)),0))</f>
        <v/>
      </c>
      <c r="AJ86" s="10">
        <f>IF(OR($B86="",TRIM($J86&amp;"")=""),"",IFERROR(MATCH(TRIM($J86&amp;"")&amp;"|월",파견수련계획!$Z$4:$Z$203,0),""))</f>
        <v/>
      </c>
      <c r="AK86" s="10">
        <f>IF(OR($B86="",TRIM($J86&amp;"")=""),"",IFERROR(MATCH(TRIM($J86&amp;"")&amp;"|다기관",파견수련계획!$AE$4:$AE$203,0),""))</f>
        <v/>
      </c>
      <c r="AL86" s="10">
        <f>IF($AK86="","","다기관 "&amp;TEXT(INDEX(파견수련계획!$AB$4:$AB$203,$AK86),"yyyy-mm-dd")&amp;"~"&amp;IF(ISNUMBER(INDEX(파견수련계획!$AC$4:$AC$203,$AK86)),TEXT(INDEX(파견수련계획!$AC$4:$AC$203,$AK86),"yyyy-mm-dd"),""))</f>
        <v/>
      </c>
    </row>
    <row r="87">
      <c r="A87" s="10">
        <f>IF(B87="","",ROW()-1)</f>
        <v/>
      </c>
      <c r="B87" s="18" t="n"/>
      <c r="C87" s="10">
        <f>IF($AB87="","",IF(INDEX(기본자료!$C$2:$C$501,$AB87)="","",INDEX(기본자료!$C$2:$C$501,$AB87)))</f>
        <v/>
      </c>
      <c r="D87" s="10">
        <f>IF($AB87="","",IF(INDEX(기본자료!$J$2:$J$501,$AB87)="","",INDEX(기본자료!$J$2:$J$501,$AB87)))</f>
        <v/>
      </c>
      <c r="E87" s="11">
        <f>IF($AB87="","",IF(INDEX(기본자료!$K$2:$K$501,$AB87)="","",IF(NOT(ISNUMBER(INDEX(기본자료!$K$2:$K$501,$AB87))),INDEX(기본자료!$K$2:$K$501,$AB87),IF(INDEX(기본자료!$K$2:$K$501,$AB87)&lt;1000000,INDEX(기본자료!$K$2:$K$501,$AB87),IF(AND(INDEX(기본자료!$K$2:$K$501,$AB87)&gt;=10000101,INT(MOD(INDEX(기본자료!$K$2:$K$501,$AB87),10000)/100)&gt;=1,INT(MOD(INDEX(기본자료!$K$2:$K$501,$AB87),10000)/100)&lt;=12,MOD(INDEX(기본자료!$K$2:$K$501,$AB87),100)&gt;=1,MOD(INDEX(기본자료!$K$2:$K$501,$AB87),100)&lt;=31),DATE(INT(INDEX(기본자료!$K$2:$K$501,$AB87)/10000),INT(MOD(INDEX(기본자료!$K$2:$K$501,$AB87),10000)/100),MOD(INDEX(기본자료!$K$2:$K$501,$AB87),100)),INDEX(기본자료!$K$2:$K$501,$AB87)&amp;"")))))</f>
        <v/>
      </c>
      <c r="F87" s="10">
        <f>IF($AB87="","",IF(INDEX(기본자료!$D$2:$D$501,$AB87)="","",INDEX(기본자료!$D$2:$D$501,$AB87)))</f>
        <v/>
      </c>
      <c r="G87" s="10">
        <f>IF($AB87="","",IF(INDEX(기본자료!$E$2:$E$501,$AB87)="","",INDEX(기본자료!$E$2:$E$501,$AB87)))</f>
        <v/>
      </c>
      <c r="H87" s="10">
        <f>IF($AB87="","",IF(INDEX(기본자료!$F$2:$F$501,$AB87)="","",INDEX(기본자료!$F$2:$F$501,$AB87)))</f>
        <v/>
      </c>
      <c r="I87" s="11">
        <f>IF($AB87="","",IF(INDEX(기본자료!$G$2:$G$501,$AB87)="","",IF(NOT(ISNUMBER(INDEX(기본자료!$G$2:$G$501,$AB87))),INDEX(기본자료!$G$2:$G$501,$AB87),IF(INDEX(기본자료!$G$2:$G$501,$AB87)&lt;1000000,INDEX(기본자료!$G$2:$G$501,$AB87),IF(AND(INDEX(기본자료!$G$2:$G$501,$AB87)&gt;=10000101,INT(MOD(INDEX(기본자료!$G$2:$G$501,$AB87),10000)/100)&gt;=1,INT(MOD(INDEX(기본자료!$G$2:$G$501,$AB87),10000)/100)&lt;=12,MOD(INDEX(기본자료!$G$2:$G$501,$AB87),100)&gt;=1,MOD(INDEX(기본자료!$G$2:$G$501,$AB87),100)&lt;=31),DATE(INT(INDEX(기본자료!$G$2:$G$501,$AB87)/10000),INT(MOD(INDEX(기본자료!$G$2:$G$501,$AB87),10000)/100),MOD(INDEX(기본자료!$G$2:$G$501,$AB87),100)),INDEX(기본자료!$G$2:$G$501,$AB87)&amp;"")))))</f>
        <v/>
      </c>
      <c r="J87" s="10">
        <f>IF($AB87="","",IF(INDEX(기본자료!$H$2:$H$501,$AB87)="","",INDEX(기본자료!$H$2:$H$501,$AB87)))</f>
        <v/>
      </c>
      <c r="K87" s="10">
        <f>IF($AB87="","",IF(INDEX(기본자료!$I$2:$I$501,$AB87)="","",INDEX(기본자료!$I$2:$I$501,$AB87)))</f>
        <v/>
      </c>
      <c r="L87" s="10">
        <f>IF($AB87="","",IF(INDEX(기본자료!$A$2:$A$501,$AB87)="","",INDEX(기본자료!$A$2:$A$501,$AB87)))</f>
        <v/>
      </c>
      <c r="M87" s="15" t="n"/>
      <c r="N87" s="10">
        <f>IF($B87="","",IF(AND($U87="파견중",$Q87&lt;&gt;""),$Q87,IF(AND($AD87&lt;&gt;"",LEFT($AD87,1)&lt;&gt;"⚠"),LEFT($AD87,FIND(" ",$AD87)-1),IF($H87="","",IF(RIGHT($H87,2)="병원",$H87,$H87&amp;"병원")))))</f>
        <v/>
      </c>
      <c r="O87" s="10">
        <f>IF($B87="","",IF(AND($U87="파견중",$Q87&lt;&gt;""),IF($R87&lt;&gt;"",$R87,"파견과 미입력"),IF(AND($AD87&lt;&gt;"",LEFT($AD87,1)&lt;&gt;"⚠"),MID($AD87,FIND(" ",$AD87)+1,60),IF($F87="","",IF($F87="인턴","수련교육부(인턴)",$F87)))))</f>
        <v/>
      </c>
      <c r="P87" s="10">
        <f>IF($B87="","",IF($AK87&lt;&gt;"",IF(AND(TODAY()&gt;=INDEX(파견수련계획!$AB$4:$AB$203,$AK87),OR(NOT(ISNUMBER(INDEX(파견수련계획!$AC$4:$AC$203,$AK87))),TODAY()&lt;=INDEX(파견수련계획!$AC$4:$AC$203,$AK87))),"다기관",IF($AF87="","",INDEX(파견수련계획!$T$4:$T$203,$AF87))),IF($AF87="","",INDEX(파견수련계획!$T$4:$T$203,$AF87))))</f>
        <v/>
      </c>
      <c r="Q87" s="10">
        <f>IF($AF87="","",INDEX(파견수련계획!$S$4:$S$203,$AF87))</f>
        <v/>
      </c>
      <c r="R87" s="10">
        <f>IF($AF87="","",INDEX(파견수련계획!$U$4:$U$203,$AF87))</f>
        <v/>
      </c>
      <c r="S87" s="11">
        <f>IF($AF87="","",IF(INDEX(파견수련계획!$H$4:$H$203,$AF87)="","",INDEX(파견수련계획!$H$4:$H$203,$AF87)))</f>
        <v/>
      </c>
      <c r="T87" s="11">
        <f>IF($AF87="","",IF(INDEX(파견수련계획!$I$4:$I$203,$AF87)="","",INDEX(파견수련계획!$I$4:$I$203,$AF87)))</f>
        <v/>
      </c>
      <c r="U87" s="10">
        <f>IF($AF87="","",INDEX(파견수련계획!$X$4:$X$203,$AF87))</f>
        <v/>
      </c>
      <c r="V87" s="17">
        <f>IF($AF87="","",INDEX(파견수련계획!$V$4:$V$203,$AF87))</f>
        <v/>
      </c>
      <c r="W87" s="17">
        <f>IF(AND($U87="파견중",$T87&lt;&gt;""),$T87-TODAY(),"")</f>
        <v/>
      </c>
      <c r="X87" s="17">
        <f>IF(OR($B87="",TRIM($J87&amp;"")=""),"",SUMPRODUCT((파견수련계획!$Q$4:$Q$203=TRIM($J87&amp;""))*파견수련계획!$W$4:$W$203))</f>
        <v/>
      </c>
      <c r="Y87" s="10">
        <f>IF($B87="","",IF($AG87="","",IF(IF(TRIM($J87&amp;"")="",0,SUMPRODUCT((파견수련계획!$Q$4:$Q$203=TRIM($J87&amp;""))*파견수련계획!$AD$4:$AD$203))&gt;0,$AE87,IF(N($X87)&lt;=0,$AG87,IF($AH87+$AI87=DAY(EOMONTH(요약!$B$3,0)),IF(AND($AH87&gt;=요약!$E$3,$AI87&lt;요약!$E$3),"서울병원",IF(AND($AI87&gt;=요약!$E$3,$AH87&lt;요약!$E$3),"구리병원","⚠15일 판정불가(서울 "&amp;$AH87&amp;"일/구리 "&amp;$AI87&amp;"일)")),IF($AJ87="",$AE87,IF(INDEX(파견수련계획!$T$4:$T$203,$AJ87)="통합수련",INDEX(파견수련계획!$S$4:$S$203,$AJ87),$AE87)))))))</f>
        <v/>
      </c>
      <c r="Z87" s="19">
        <f>IF($B87="","",IF($AB87="","기본자료에 없는 사번",IF(COUNTIF($B$2:$B$201,$B87)&gt;1,"중복 사번",IF($AE87="","소속(입사장소) 입력",IF(IF(TRIM($J87&amp;"")="",0,SUMPRODUCT((파견수련계획!$Q$4:$Q$203=TRIM($J87&amp;""))*(파견수련계획!$AA$4:$AA$203&lt;&gt;"")))&gt;0,"파견수련계획 입력오류 확인",IF(LEFT($Y87,1)="⚠","서울·구리 15일 판정 불가(양쪽 모두 이상/미만)",IF(IF($AC87="",0,N(INDEX(인턴근무계획!$T$3:$T$202,$AC87)))&gt;0,"인턴계획 입력오류 확인",IF(AND($AC87&lt;&gt;"",$U87&lt;&gt;"파견중",$N87&lt;&gt;$AE87),"인턴 타지역 근무: 파견 여부 확인","정상"))))))))</f>
        <v/>
      </c>
      <c r="AA87" s="5" t="n"/>
      <c r="AB87" s="10">
        <f>IF($B87="","",IFERROR(MATCH($B87,기본자료!$B$2:$B$501,0),IFERROR(MATCH($B87&amp;"",기본자료!$B$2:$B$501,0),IFERROR(MATCH(VALUE($B87),기본자료!$B$2:$B$501,0),""))))</f>
        <v/>
      </c>
      <c r="AC87" s="10">
        <f>IF($B87="","",IFERROR(MATCH($B87,인턴근무계획!$D$3:$D$202,0),IFERROR(MATCH($B87&amp;"",인턴근무계획!$D$3:$D$202,0),IFERROR(MATCH(VALUE($B87),인턴근무계획!$D$3:$D$202,0),""))))</f>
        <v/>
      </c>
      <c r="AD87" s="10">
        <f>IF(OR($AC87="",인턴현황!$G$3=""),"",INDEX(인턴근무계획!$M$3:$R$202,$AC87,인턴현황!$G$3)&amp;"")</f>
        <v/>
      </c>
      <c r="AE87" s="10">
        <f>IF($B87="","",IF($M87&lt;&gt;"",$M87,IF($AF87&lt;&gt;"",IF(LEFT(INDEX(파견수련계획!$R$4:$R$203,$AF87),1)&lt;&gt;"⚠",INDEX(파견수련계획!$R$4:$R$203,$AF87),IF($H87="","",IF(RIGHT($H87,2)="병원",$H87,$H87&amp;"병원"))),IF($H87="","",IF(RIGHT($H87,2)="병원",$H87,$H87&amp;"병원")))))</f>
        <v/>
      </c>
      <c r="AF87" s="10">
        <f>IF(OR($B87="",TRIM($J87&amp;"")=""),"",IFERROR(MATCH(TRIM($J87&amp;"")&amp;"|파견중",파견수련계획!$Y$4:$Y$203,0),IFERROR(MATCH(TRIM($J87&amp;"")&amp;"|파견예정",파견수련계획!$Y$4:$Y$203,0),IFERROR(MATCH(TRIM($J87&amp;"")&amp;"|파견종료",파견수련계획!$Y$4:$Y$203,0),""))))</f>
        <v/>
      </c>
      <c r="AG87" s="10">
        <f>IF($B87="","",IF(AND(IF(OR($AC87="",인턴현황!$K$2=""),"",INDEX(인턴근무계획!$M$3:$R$202,$AC87,인턴현황!$K$2)&amp;"")&lt;&gt;"",LEFT(IF(OR($AC87="",인턴현황!$K$2=""),"",INDEX(인턴근무계획!$M$3:$R$202,$AC87,인턴현황!$K$2)&amp;""),1)&lt;&gt;"⚠"),LEFT(IF(OR($AC87="",인턴현황!$K$2=""),"",INDEX(인턴근무계획!$M$3:$R$202,$AC87,인턴현황!$K$2)&amp;""),FIND(" ",IF(OR($AC87="",인턴현황!$K$2=""),"",INDEX(인턴근무계획!$M$3:$R$202,$AC87,인턴현황!$K$2)&amp;""))-1),$AE87))</f>
        <v/>
      </c>
      <c r="AH87" s="17">
        <f>IF($B87="","",IF(TRIM($J87&amp;"")="",0,SUMPRODUCT((파견수련계획!$Q$4:$Q$203=TRIM($J87&amp;""))*(파견수련계획!$S$4:$S$203="서울병원")*파견수련계획!$W$4:$W$203))+IF($AG87="서울병원",MAX(0,DAY(EOMONTH(요약!$B$3,0))-N($X87)),0))</f>
        <v/>
      </c>
      <c r="AI87" s="17">
        <f>IF($B87="","",IF(TRIM($J87&amp;"")="",0,SUMPRODUCT((파견수련계획!$Q$4:$Q$203=TRIM($J87&amp;""))*(파견수련계획!$S$4:$S$203="구리병원")*파견수련계획!$W$4:$W$203))+IF($AG87="구리병원",MAX(0,DAY(EOMONTH(요약!$B$3,0))-N($X87)),0))</f>
        <v/>
      </c>
      <c r="AJ87" s="10">
        <f>IF(OR($B87="",TRIM($J87&amp;"")=""),"",IFERROR(MATCH(TRIM($J87&amp;"")&amp;"|월",파견수련계획!$Z$4:$Z$203,0),""))</f>
        <v/>
      </c>
      <c r="AK87" s="10">
        <f>IF(OR($B87="",TRIM($J87&amp;"")=""),"",IFERROR(MATCH(TRIM($J87&amp;"")&amp;"|다기관",파견수련계획!$AE$4:$AE$203,0),""))</f>
        <v/>
      </c>
      <c r="AL87" s="10">
        <f>IF($AK87="","","다기관 "&amp;TEXT(INDEX(파견수련계획!$AB$4:$AB$203,$AK87),"yyyy-mm-dd")&amp;"~"&amp;IF(ISNUMBER(INDEX(파견수련계획!$AC$4:$AC$203,$AK87)),TEXT(INDEX(파견수련계획!$AC$4:$AC$203,$AK87),"yyyy-mm-dd"),""))</f>
        <v/>
      </c>
    </row>
    <row r="88">
      <c r="A88" s="10">
        <f>IF(B88="","",ROW()-1)</f>
        <v/>
      </c>
      <c r="B88" s="18" t="n"/>
      <c r="C88" s="10">
        <f>IF($AB88="","",IF(INDEX(기본자료!$C$2:$C$501,$AB88)="","",INDEX(기본자료!$C$2:$C$501,$AB88)))</f>
        <v/>
      </c>
      <c r="D88" s="10">
        <f>IF($AB88="","",IF(INDEX(기본자료!$J$2:$J$501,$AB88)="","",INDEX(기본자료!$J$2:$J$501,$AB88)))</f>
        <v/>
      </c>
      <c r="E88" s="11">
        <f>IF($AB88="","",IF(INDEX(기본자료!$K$2:$K$501,$AB88)="","",IF(NOT(ISNUMBER(INDEX(기본자료!$K$2:$K$501,$AB88))),INDEX(기본자료!$K$2:$K$501,$AB88),IF(INDEX(기본자료!$K$2:$K$501,$AB88)&lt;1000000,INDEX(기본자료!$K$2:$K$501,$AB88),IF(AND(INDEX(기본자료!$K$2:$K$501,$AB88)&gt;=10000101,INT(MOD(INDEX(기본자료!$K$2:$K$501,$AB88),10000)/100)&gt;=1,INT(MOD(INDEX(기본자료!$K$2:$K$501,$AB88),10000)/100)&lt;=12,MOD(INDEX(기본자료!$K$2:$K$501,$AB88),100)&gt;=1,MOD(INDEX(기본자료!$K$2:$K$501,$AB88),100)&lt;=31),DATE(INT(INDEX(기본자료!$K$2:$K$501,$AB88)/10000),INT(MOD(INDEX(기본자료!$K$2:$K$501,$AB88),10000)/100),MOD(INDEX(기본자료!$K$2:$K$501,$AB88),100)),INDEX(기본자료!$K$2:$K$501,$AB88)&amp;"")))))</f>
        <v/>
      </c>
      <c r="F88" s="10">
        <f>IF($AB88="","",IF(INDEX(기본자료!$D$2:$D$501,$AB88)="","",INDEX(기본자료!$D$2:$D$501,$AB88)))</f>
        <v/>
      </c>
      <c r="G88" s="10">
        <f>IF($AB88="","",IF(INDEX(기본자료!$E$2:$E$501,$AB88)="","",INDEX(기본자료!$E$2:$E$501,$AB88)))</f>
        <v/>
      </c>
      <c r="H88" s="10">
        <f>IF($AB88="","",IF(INDEX(기본자료!$F$2:$F$501,$AB88)="","",INDEX(기본자료!$F$2:$F$501,$AB88)))</f>
        <v/>
      </c>
      <c r="I88" s="11">
        <f>IF($AB88="","",IF(INDEX(기본자료!$G$2:$G$501,$AB88)="","",IF(NOT(ISNUMBER(INDEX(기본자료!$G$2:$G$501,$AB88))),INDEX(기본자료!$G$2:$G$501,$AB88),IF(INDEX(기본자료!$G$2:$G$501,$AB88)&lt;1000000,INDEX(기본자료!$G$2:$G$501,$AB88),IF(AND(INDEX(기본자료!$G$2:$G$501,$AB88)&gt;=10000101,INT(MOD(INDEX(기본자료!$G$2:$G$501,$AB88),10000)/100)&gt;=1,INT(MOD(INDEX(기본자료!$G$2:$G$501,$AB88),10000)/100)&lt;=12,MOD(INDEX(기본자료!$G$2:$G$501,$AB88),100)&gt;=1,MOD(INDEX(기본자료!$G$2:$G$501,$AB88),100)&lt;=31),DATE(INT(INDEX(기본자료!$G$2:$G$501,$AB88)/10000),INT(MOD(INDEX(기본자료!$G$2:$G$501,$AB88),10000)/100),MOD(INDEX(기본자료!$G$2:$G$501,$AB88),100)),INDEX(기본자료!$G$2:$G$501,$AB88)&amp;"")))))</f>
        <v/>
      </c>
      <c r="J88" s="10">
        <f>IF($AB88="","",IF(INDEX(기본자료!$H$2:$H$501,$AB88)="","",INDEX(기본자료!$H$2:$H$501,$AB88)))</f>
        <v/>
      </c>
      <c r="K88" s="10">
        <f>IF($AB88="","",IF(INDEX(기본자료!$I$2:$I$501,$AB88)="","",INDEX(기본자료!$I$2:$I$501,$AB88)))</f>
        <v/>
      </c>
      <c r="L88" s="10">
        <f>IF($AB88="","",IF(INDEX(기본자료!$A$2:$A$501,$AB88)="","",INDEX(기본자료!$A$2:$A$501,$AB88)))</f>
        <v/>
      </c>
      <c r="M88" s="15" t="n"/>
      <c r="N88" s="10">
        <f>IF($B88="","",IF(AND($U88="파견중",$Q88&lt;&gt;""),$Q88,IF(AND($AD88&lt;&gt;"",LEFT($AD88,1)&lt;&gt;"⚠"),LEFT($AD88,FIND(" ",$AD88)-1),IF($H88="","",IF(RIGHT($H88,2)="병원",$H88,$H88&amp;"병원")))))</f>
        <v/>
      </c>
      <c r="O88" s="10">
        <f>IF($B88="","",IF(AND($U88="파견중",$Q88&lt;&gt;""),IF($R88&lt;&gt;"",$R88,"파견과 미입력"),IF(AND($AD88&lt;&gt;"",LEFT($AD88,1)&lt;&gt;"⚠"),MID($AD88,FIND(" ",$AD88)+1,60),IF($F88="","",IF($F88="인턴","수련교육부(인턴)",$F88)))))</f>
        <v/>
      </c>
      <c r="P88" s="10">
        <f>IF($B88="","",IF($AK88&lt;&gt;"",IF(AND(TODAY()&gt;=INDEX(파견수련계획!$AB$4:$AB$203,$AK88),OR(NOT(ISNUMBER(INDEX(파견수련계획!$AC$4:$AC$203,$AK88))),TODAY()&lt;=INDEX(파견수련계획!$AC$4:$AC$203,$AK88))),"다기관",IF($AF88="","",INDEX(파견수련계획!$T$4:$T$203,$AF88))),IF($AF88="","",INDEX(파견수련계획!$T$4:$T$203,$AF88))))</f>
        <v/>
      </c>
      <c r="Q88" s="10">
        <f>IF($AF88="","",INDEX(파견수련계획!$S$4:$S$203,$AF88))</f>
        <v/>
      </c>
      <c r="R88" s="10">
        <f>IF($AF88="","",INDEX(파견수련계획!$U$4:$U$203,$AF88))</f>
        <v/>
      </c>
      <c r="S88" s="11">
        <f>IF($AF88="","",IF(INDEX(파견수련계획!$H$4:$H$203,$AF88)="","",INDEX(파견수련계획!$H$4:$H$203,$AF88)))</f>
        <v/>
      </c>
      <c r="T88" s="11">
        <f>IF($AF88="","",IF(INDEX(파견수련계획!$I$4:$I$203,$AF88)="","",INDEX(파견수련계획!$I$4:$I$203,$AF88)))</f>
        <v/>
      </c>
      <c r="U88" s="10">
        <f>IF($AF88="","",INDEX(파견수련계획!$X$4:$X$203,$AF88))</f>
        <v/>
      </c>
      <c r="V88" s="17">
        <f>IF($AF88="","",INDEX(파견수련계획!$V$4:$V$203,$AF88))</f>
        <v/>
      </c>
      <c r="W88" s="17">
        <f>IF(AND($U88="파견중",$T88&lt;&gt;""),$T88-TODAY(),"")</f>
        <v/>
      </c>
      <c r="X88" s="17">
        <f>IF(OR($B88="",TRIM($J88&amp;"")=""),"",SUMPRODUCT((파견수련계획!$Q$4:$Q$203=TRIM($J88&amp;""))*파견수련계획!$W$4:$W$203))</f>
        <v/>
      </c>
      <c r="Y88" s="10">
        <f>IF($B88="","",IF($AG88="","",IF(IF(TRIM($J88&amp;"")="",0,SUMPRODUCT((파견수련계획!$Q$4:$Q$203=TRIM($J88&amp;""))*파견수련계획!$AD$4:$AD$203))&gt;0,$AE88,IF(N($X88)&lt;=0,$AG88,IF($AH88+$AI88=DAY(EOMONTH(요약!$B$3,0)),IF(AND($AH88&gt;=요약!$E$3,$AI88&lt;요약!$E$3),"서울병원",IF(AND($AI88&gt;=요약!$E$3,$AH88&lt;요약!$E$3),"구리병원","⚠15일 판정불가(서울 "&amp;$AH88&amp;"일/구리 "&amp;$AI88&amp;"일)")),IF($AJ88="",$AE88,IF(INDEX(파견수련계획!$T$4:$T$203,$AJ88)="통합수련",INDEX(파견수련계획!$S$4:$S$203,$AJ88),$AE88)))))))</f>
        <v/>
      </c>
      <c r="Z88" s="19">
        <f>IF($B88="","",IF($AB88="","기본자료에 없는 사번",IF(COUNTIF($B$2:$B$201,$B88)&gt;1,"중복 사번",IF($AE88="","소속(입사장소) 입력",IF(IF(TRIM($J88&amp;"")="",0,SUMPRODUCT((파견수련계획!$Q$4:$Q$203=TRIM($J88&amp;""))*(파견수련계획!$AA$4:$AA$203&lt;&gt;"")))&gt;0,"파견수련계획 입력오류 확인",IF(LEFT($Y88,1)="⚠","서울·구리 15일 판정 불가(양쪽 모두 이상/미만)",IF(IF($AC88="",0,N(INDEX(인턴근무계획!$T$3:$T$202,$AC88)))&gt;0,"인턴계획 입력오류 확인",IF(AND($AC88&lt;&gt;"",$U88&lt;&gt;"파견중",$N88&lt;&gt;$AE88),"인턴 타지역 근무: 파견 여부 확인","정상"))))))))</f>
        <v/>
      </c>
      <c r="AA88" s="5" t="n"/>
      <c r="AB88" s="10">
        <f>IF($B88="","",IFERROR(MATCH($B88,기본자료!$B$2:$B$501,0),IFERROR(MATCH($B88&amp;"",기본자료!$B$2:$B$501,0),IFERROR(MATCH(VALUE($B88),기본자료!$B$2:$B$501,0),""))))</f>
        <v/>
      </c>
      <c r="AC88" s="10">
        <f>IF($B88="","",IFERROR(MATCH($B88,인턴근무계획!$D$3:$D$202,0),IFERROR(MATCH($B88&amp;"",인턴근무계획!$D$3:$D$202,0),IFERROR(MATCH(VALUE($B88),인턴근무계획!$D$3:$D$202,0),""))))</f>
        <v/>
      </c>
      <c r="AD88" s="10">
        <f>IF(OR($AC88="",인턴현황!$G$3=""),"",INDEX(인턴근무계획!$M$3:$R$202,$AC88,인턴현황!$G$3)&amp;"")</f>
        <v/>
      </c>
      <c r="AE88" s="10">
        <f>IF($B88="","",IF($M88&lt;&gt;"",$M88,IF($AF88&lt;&gt;"",IF(LEFT(INDEX(파견수련계획!$R$4:$R$203,$AF88),1)&lt;&gt;"⚠",INDEX(파견수련계획!$R$4:$R$203,$AF88),IF($H88="","",IF(RIGHT($H88,2)="병원",$H88,$H88&amp;"병원"))),IF($H88="","",IF(RIGHT($H88,2)="병원",$H88,$H88&amp;"병원")))))</f>
        <v/>
      </c>
      <c r="AF88" s="10">
        <f>IF(OR($B88="",TRIM($J88&amp;"")=""),"",IFERROR(MATCH(TRIM($J88&amp;"")&amp;"|파견중",파견수련계획!$Y$4:$Y$203,0),IFERROR(MATCH(TRIM($J88&amp;"")&amp;"|파견예정",파견수련계획!$Y$4:$Y$203,0),IFERROR(MATCH(TRIM($J88&amp;"")&amp;"|파견종료",파견수련계획!$Y$4:$Y$203,0),""))))</f>
        <v/>
      </c>
      <c r="AG88" s="10">
        <f>IF($B88="","",IF(AND(IF(OR($AC88="",인턴현황!$K$2=""),"",INDEX(인턴근무계획!$M$3:$R$202,$AC88,인턴현황!$K$2)&amp;"")&lt;&gt;"",LEFT(IF(OR($AC88="",인턴현황!$K$2=""),"",INDEX(인턴근무계획!$M$3:$R$202,$AC88,인턴현황!$K$2)&amp;""),1)&lt;&gt;"⚠"),LEFT(IF(OR($AC88="",인턴현황!$K$2=""),"",INDEX(인턴근무계획!$M$3:$R$202,$AC88,인턴현황!$K$2)&amp;""),FIND(" ",IF(OR($AC88="",인턴현황!$K$2=""),"",INDEX(인턴근무계획!$M$3:$R$202,$AC88,인턴현황!$K$2)&amp;""))-1),$AE88))</f>
        <v/>
      </c>
      <c r="AH88" s="17">
        <f>IF($B88="","",IF(TRIM($J88&amp;"")="",0,SUMPRODUCT((파견수련계획!$Q$4:$Q$203=TRIM($J88&amp;""))*(파견수련계획!$S$4:$S$203="서울병원")*파견수련계획!$W$4:$W$203))+IF($AG88="서울병원",MAX(0,DAY(EOMONTH(요약!$B$3,0))-N($X88)),0))</f>
        <v/>
      </c>
      <c r="AI88" s="17">
        <f>IF($B88="","",IF(TRIM($J88&amp;"")="",0,SUMPRODUCT((파견수련계획!$Q$4:$Q$203=TRIM($J88&amp;""))*(파견수련계획!$S$4:$S$203="구리병원")*파견수련계획!$W$4:$W$203))+IF($AG88="구리병원",MAX(0,DAY(EOMONTH(요약!$B$3,0))-N($X88)),0))</f>
        <v/>
      </c>
      <c r="AJ88" s="10">
        <f>IF(OR($B88="",TRIM($J88&amp;"")=""),"",IFERROR(MATCH(TRIM($J88&amp;"")&amp;"|월",파견수련계획!$Z$4:$Z$203,0),""))</f>
        <v/>
      </c>
      <c r="AK88" s="10">
        <f>IF(OR($B88="",TRIM($J88&amp;"")=""),"",IFERROR(MATCH(TRIM($J88&amp;"")&amp;"|다기관",파견수련계획!$AE$4:$AE$203,0),""))</f>
        <v/>
      </c>
      <c r="AL88" s="10">
        <f>IF($AK88="","","다기관 "&amp;TEXT(INDEX(파견수련계획!$AB$4:$AB$203,$AK88),"yyyy-mm-dd")&amp;"~"&amp;IF(ISNUMBER(INDEX(파견수련계획!$AC$4:$AC$203,$AK88)),TEXT(INDEX(파견수련계획!$AC$4:$AC$203,$AK88),"yyyy-mm-dd"),""))</f>
        <v/>
      </c>
    </row>
    <row r="89">
      <c r="A89" s="10">
        <f>IF(B89="","",ROW()-1)</f>
        <v/>
      </c>
      <c r="B89" s="18" t="n"/>
      <c r="C89" s="10">
        <f>IF($AB89="","",IF(INDEX(기본자료!$C$2:$C$501,$AB89)="","",INDEX(기본자료!$C$2:$C$501,$AB89)))</f>
        <v/>
      </c>
      <c r="D89" s="10">
        <f>IF($AB89="","",IF(INDEX(기본자료!$J$2:$J$501,$AB89)="","",INDEX(기본자료!$J$2:$J$501,$AB89)))</f>
        <v/>
      </c>
      <c r="E89" s="11">
        <f>IF($AB89="","",IF(INDEX(기본자료!$K$2:$K$501,$AB89)="","",IF(NOT(ISNUMBER(INDEX(기본자료!$K$2:$K$501,$AB89))),INDEX(기본자료!$K$2:$K$501,$AB89),IF(INDEX(기본자료!$K$2:$K$501,$AB89)&lt;1000000,INDEX(기본자료!$K$2:$K$501,$AB89),IF(AND(INDEX(기본자료!$K$2:$K$501,$AB89)&gt;=10000101,INT(MOD(INDEX(기본자료!$K$2:$K$501,$AB89),10000)/100)&gt;=1,INT(MOD(INDEX(기본자료!$K$2:$K$501,$AB89),10000)/100)&lt;=12,MOD(INDEX(기본자료!$K$2:$K$501,$AB89),100)&gt;=1,MOD(INDEX(기본자료!$K$2:$K$501,$AB89),100)&lt;=31),DATE(INT(INDEX(기본자료!$K$2:$K$501,$AB89)/10000),INT(MOD(INDEX(기본자료!$K$2:$K$501,$AB89),10000)/100),MOD(INDEX(기본자료!$K$2:$K$501,$AB89),100)),INDEX(기본자료!$K$2:$K$501,$AB89)&amp;"")))))</f>
        <v/>
      </c>
      <c r="F89" s="10">
        <f>IF($AB89="","",IF(INDEX(기본자료!$D$2:$D$501,$AB89)="","",INDEX(기본자료!$D$2:$D$501,$AB89)))</f>
        <v/>
      </c>
      <c r="G89" s="10">
        <f>IF($AB89="","",IF(INDEX(기본자료!$E$2:$E$501,$AB89)="","",INDEX(기본자료!$E$2:$E$501,$AB89)))</f>
        <v/>
      </c>
      <c r="H89" s="10">
        <f>IF($AB89="","",IF(INDEX(기본자료!$F$2:$F$501,$AB89)="","",INDEX(기본자료!$F$2:$F$501,$AB89)))</f>
        <v/>
      </c>
      <c r="I89" s="11">
        <f>IF($AB89="","",IF(INDEX(기본자료!$G$2:$G$501,$AB89)="","",IF(NOT(ISNUMBER(INDEX(기본자료!$G$2:$G$501,$AB89))),INDEX(기본자료!$G$2:$G$501,$AB89),IF(INDEX(기본자료!$G$2:$G$501,$AB89)&lt;1000000,INDEX(기본자료!$G$2:$G$501,$AB89),IF(AND(INDEX(기본자료!$G$2:$G$501,$AB89)&gt;=10000101,INT(MOD(INDEX(기본자료!$G$2:$G$501,$AB89),10000)/100)&gt;=1,INT(MOD(INDEX(기본자료!$G$2:$G$501,$AB89),10000)/100)&lt;=12,MOD(INDEX(기본자료!$G$2:$G$501,$AB89),100)&gt;=1,MOD(INDEX(기본자료!$G$2:$G$501,$AB89),100)&lt;=31),DATE(INT(INDEX(기본자료!$G$2:$G$501,$AB89)/10000),INT(MOD(INDEX(기본자료!$G$2:$G$501,$AB89),10000)/100),MOD(INDEX(기본자료!$G$2:$G$501,$AB89),100)),INDEX(기본자료!$G$2:$G$501,$AB89)&amp;"")))))</f>
        <v/>
      </c>
      <c r="J89" s="10">
        <f>IF($AB89="","",IF(INDEX(기본자료!$H$2:$H$501,$AB89)="","",INDEX(기본자료!$H$2:$H$501,$AB89)))</f>
        <v/>
      </c>
      <c r="K89" s="10">
        <f>IF($AB89="","",IF(INDEX(기본자료!$I$2:$I$501,$AB89)="","",INDEX(기본자료!$I$2:$I$501,$AB89)))</f>
        <v/>
      </c>
      <c r="L89" s="10">
        <f>IF($AB89="","",IF(INDEX(기본자료!$A$2:$A$501,$AB89)="","",INDEX(기본자료!$A$2:$A$501,$AB89)))</f>
        <v/>
      </c>
      <c r="M89" s="15" t="n"/>
      <c r="N89" s="10">
        <f>IF($B89="","",IF(AND($U89="파견중",$Q89&lt;&gt;""),$Q89,IF(AND($AD89&lt;&gt;"",LEFT($AD89,1)&lt;&gt;"⚠"),LEFT($AD89,FIND(" ",$AD89)-1),IF($H89="","",IF(RIGHT($H89,2)="병원",$H89,$H89&amp;"병원")))))</f>
        <v/>
      </c>
      <c r="O89" s="10">
        <f>IF($B89="","",IF(AND($U89="파견중",$Q89&lt;&gt;""),IF($R89&lt;&gt;"",$R89,"파견과 미입력"),IF(AND($AD89&lt;&gt;"",LEFT($AD89,1)&lt;&gt;"⚠"),MID($AD89,FIND(" ",$AD89)+1,60),IF($F89="","",IF($F89="인턴","수련교육부(인턴)",$F89)))))</f>
        <v/>
      </c>
      <c r="P89" s="10">
        <f>IF($B89="","",IF($AK89&lt;&gt;"",IF(AND(TODAY()&gt;=INDEX(파견수련계획!$AB$4:$AB$203,$AK89),OR(NOT(ISNUMBER(INDEX(파견수련계획!$AC$4:$AC$203,$AK89))),TODAY()&lt;=INDEX(파견수련계획!$AC$4:$AC$203,$AK89))),"다기관",IF($AF89="","",INDEX(파견수련계획!$T$4:$T$203,$AF89))),IF($AF89="","",INDEX(파견수련계획!$T$4:$T$203,$AF89))))</f>
        <v/>
      </c>
      <c r="Q89" s="10">
        <f>IF($AF89="","",INDEX(파견수련계획!$S$4:$S$203,$AF89))</f>
        <v/>
      </c>
      <c r="R89" s="10">
        <f>IF($AF89="","",INDEX(파견수련계획!$U$4:$U$203,$AF89))</f>
        <v/>
      </c>
      <c r="S89" s="11">
        <f>IF($AF89="","",IF(INDEX(파견수련계획!$H$4:$H$203,$AF89)="","",INDEX(파견수련계획!$H$4:$H$203,$AF89)))</f>
        <v/>
      </c>
      <c r="T89" s="11">
        <f>IF($AF89="","",IF(INDEX(파견수련계획!$I$4:$I$203,$AF89)="","",INDEX(파견수련계획!$I$4:$I$203,$AF89)))</f>
        <v/>
      </c>
      <c r="U89" s="10">
        <f>IF($AF89="","",INDEX(파견수련계획!$X$4:$X$203,$AF89))</f>
        <v/>
      </c>
      <c r="V89" s="17">
        <f>IF($AF89="","",INDEX(파견수련계획!$V$4:$V$203,$AF89))</f>
        <v/>
      </c>
      <c r="W89" s="17">
        <f>IF(AND($U89="파견중",$T89&lt;&gt;""),$T89-TODAY(),"")</f>
        <v/>
      </c>
      <c r="X89" s="17">
        <f>IF(OR($B89="",TRIM($J89&amp;"")=""),"",SUMPRODUCT((파견수련계획!$Q$4:$Q$203=TRIM($J89&amp;""))*파견수련계획!$W$4:$W$203))</f>
        <v/>
      </c>
      <c r="Y89" s="10">
        <f>IF($B89="","",IF($AG89="","",IF(IF(TRIM($J89&amp;"")="",0,SUMPRODUCT((파견수련계획!$Q$4:$Q$203=TRIM($J89&amp;""))*파견수련계획!$AD$4:$AD$203))&gt;0,$AE89,IF(N($X89)&lt;=0,$AG89,IF($AH89+$AI89=DAY(EOMONTH(요약!$B$3,0)),IF(AND($AH89&gt;=요약!$E$3,$AI89&lt;요약!$E$3),"서울병원",IF(AND($AI89&gt;=요약!$E$3,$AH89&lt;요약!$E$3),"구리병원","⚠15일 판정불가(서울 "&amp;$AH89&amp;"일/구리 "&amp;$AI89&amp;"일)")),IF($AJ89="",$AE89,IF(INDEX(파견수련계획!$T$4:$T$203,$AJ89)="통합수련",INDEX(파견수련계획!$S$4:$S$203,$AJ89),$AE89)))))))</f>
        <v/>
      </c>
      <c r="Z89" s="19">
        <f>IF($B89="","",IF($AB89="","기본자료에 없는 사번",IF(COUNTIF($B$2:$B$201,$B89)&gt;1,"중복 사번",IF($AE89="","소속(입사장소) 입력",IF(IF(TRIM($J89&amp;"")="",0,SUMPRODUCT((파견수련계획!$Q$4:$Q$203=TRIM($J89&amp;""))*(파견수련계획!$AA$4:$AA$203&lt;&gt;"")))&gt;0,"파견수련계획 입력오류 확인",IF(LEFT($Y89,1)="⚠","서울·구리 15일 판정 불가(양쪽 모두 이상/미만)",IF(IF($AC89="",0,N(INDEX(인턴근무계획!$T$3:$T$202,$AC89)))&gt;0,"인턴계획 입력오류 확인",IF(AND($AC89&lt;&gt;"",$U89&lt;&gt;"파견중",$N89&lt;&gt;$AE89),"인턴 타지역 근무: 파견 여부 확인","정상"))))))))</f>
        <v/>
      </c>
      <c r="AA89" s="5" t="n"/>
      <c r="AB89" s="10">
        <f>IF($B89="","",IFERROR(MATCH($B89,기본자료!$B$2:$B$501,0),IFERROR(MATCH($B89&amp;"",기본자료!$B$2:$B$501,0),IFERROR(MATCH(VALUE($B89),기본자료!$B$2:$B$501,0),""))))</f>
        <v/>
      </c>
      <c r="AC89" s="10">
        <f>IF($B89="","",IFERROR(MATCH($B89,인턴근무계획!$D$3:$D$202,0),IFERROR(MATCH($B89&amp;"",인턴근무계획!$D$3:$D$202,0),IFERROR(MATCH(VALUE($B89),인턴근무계획!$D$3:$D$202,0),""))))</f>
        <v/>
      </c>
      <c r="AD89" s="10">
        <f>IF(OR($AC89="",인턴현황!$G$3=""),"",INDEX(인턴근무계획!$M$3:$R$202,$AC89,인턴현황!$G$3)&amp;"")</f>
        <v/>
      </c>
      <c r="AE89" s="10">
        <f>IF($B89="","",IF($M89&lt;&gt;"",$M89,IF($AF89&lt;&gt;"",IF(LEFT(INDEX(파견수련계획!$R$4:$R$203,$AF89),1)&lt;&gt;"⚠",INDEX(파견수련계획!$R$4:$R$203,$AF89),IF($H89="","",IF(RIGHT($H89,2)="병원",$H89,$H89&amp;"병원"))),IF($H89="","",IF(RIGHT($H89,2)="병원",$H89,$H89&amp;"병원")))))</f>
        <v/>
      </c>
      <c r="AF89" s="10">
        <f>IF(OR($B89="",TRIM($J89&amp;"")=""),"",IFERROR(MATCH(TRIM($J89&amp;"")&amp;"|파견중",파견수련계획!$Y$4:$Y$203,0),IFERROR(MATCH(TRIM($J89&amp;"")&amp;"|파견예정",파견수련계획!$Y$4:$Y$203,0),IFERROR(MATCH(TRIM($J89&amp;"")&amp;"|파견종료",파견수련계획!$Y$4:$Y$203,0),""))))</f>
        <v/>
      </c>
      <c r="AG89" s="10">
        <f>IF($B89="","",IF(AND(IF(OR($AC89="",인턴현황!$K$2=""),"",INDEX(인턴근무계획!$M$3:$R$202,$AC89,인턴현황!$K$2)&amp;"")&lt;&gt;"",LEFT(IF(OR($AC89="",인턴현황!$K$2=""),"",INDEX(인턴근무계획!$M$3:$R$202,$AC89,인턴현황!$K$2)&amp;""),1)&lt;&gt;"⚠"),LEFT(IF(OR($AC89="",인턴현황!$K$2=""),"",INDEX(인턴근무계획!$M$3:$R$202,$AC89,인턴현황!$K$2)&amp;""),FIND(" ",IF(OR($AC89="",인턴현황!$K$2=""),"",INDEX(인턴근무계획!$M$3:$R$202,$AC89,인턴현황!$K$2)&amp;""))-1),$AE89))</f>
        <v/>
      </c>
      <c r="AH89" s="17">
        <f>IF($B89="","",IF(TRIM($J89&amp;"")="",0,SUMPRODUCT((파견수련계획!$Q$4:$Q$203=TRIM($J89&amp;""))*(파견수련계획!$S$4:$S$203="서울병원")*파견수련계획!$W$4:$W$203))+IF($AG89="서울병원",MAX(0,DAY(EOMONTH(요약!$B$3,0))-N($X89)),0))</f>
        <v/>
      </c>
      <c r="AI89" s="17">
        <f>IF($B89="","",IF(TRIM($J89&amp;"")="",0,SUMPRODUCT((파견수련계획!$Q$4:$Q$203=TRIM($J89&amp;""))*(파견수련계획!$S$4:$S$203="구리병원")*파견수련계획!$W$4:$W$203))+IF($AG89="구리병원",MAX(0,DAY(EOMONTH(요약!$B$3,0))-N($X89)),0))</f>
        <v/>
      </c>
      <c r="AJ89" s="10">
        <f>IF(OR($B89="",TRIM($J89&amp;"")=""),"",IFERROR(MATCH(TRIM($J89&amp;"")&amp;"|월",파견수련계획!$Z$4:$Z$203,0),""))</f>
        <v/>
      </c>
      <c r="AK89" s="10">
        <f>IF(OR($B89="",TRIM($J89&amp;"")=""),"",IFERROR(MATCH(TRIM($J89&amp;"")&amp;"|다기관",파견수련계획!$AE$4:$AE$203,0),""))</f>
        <v/>
      </c>
      <c r="AL89" s="10">
        <f>IF($AK89="","","다기관 "&amp;TEXT(INDEX(파견수련계획!$AB$4:$AB$203,$AK89),"yyyy-mm-dd")&amp;"~"&amp;IF(ISNUMBER(INDEX(파견수련계획!$AC$4:$AC$203,$AK89)),TEXT(INDEX(파견수련계획!$AC$4:$AC$203,$AK89),"yyyy-mm-dd"),""))</f>
        <v/>
      </c>
    </row>
    <row r="90">
      <c r="A90" s="10">
        <f>IF(B90="","",ROW()-1)</f>
        <v/>
      </c>
      <c r="B90" s="18" t="n"/>
      <c r="C90" s="10">
        <f>IF($AB90="","",IF(INDEX(기본자료!$C$2:$C$501,$AB90)="","",INDEX(기본자료!$C$2:$C$501,$AB90)))</f>
        <v/>
      </c>
      <c r="D90" s="10">
        <f>IF($AB90="","",IF(INDEX(기본자료!$J$2:$J$501,$AB90)="","",INDEX(기본자료!$J$2:$J$501,$AB90)))</f>
        <v/>
      </c>
      <c r="E90" s="11">
        <f>IF($AB90="","",IF(INDEX(기본자료!$K$2:$K$501,$AB90)="","",IF(NOT(ISNUMBER(INDEX(기본자료!$K$2:$K$501,$AB90))),INDEX(기본자료!$K$2:$K$501,$AB90),IF(INDEX(기본자료!$K$2:$K$501,$AB90)&lt;1000000,INDEX(기본자료!$K$2:$K$501,$AB90),IF(AND(INDEX(기본자료!$K$2:$K$501,$AB90)&gt;=10000101,INT(MOD(INDEX(기본자료!$K$2:$K$501,$AB90),10000)/100)&gt;=1,INT(MOD(INDEX(기본자료!$K$2:$K$501,$AB90),10000)/100)&lt;=12,MOD(INDEX(기본자료!$K$2:$K$501,$AB90),100)&gt;=1,MOD(INDEX(기본자료!$K$2:$K$501,$AB90),100)&lt;=31),DATE(INT(INDEX(기본자료!$K$2:$K$501,$AB90)/10000),INT(MOD(INDEX(기본자료!$K$2:$K$501,$AB90),10000)/100),MOD(INDEX(기본자료!$K$2:$K$501,$AB90),100)),INDEX(기본자료!$K$2:$K$501,$AB90)&amp;"")))))</f>
        <v/>
      </c>
      <c r="F90" s="10">
        <f>IF($AB90="","",IF(INDEX(기본자료!$D$2:$D$501,$AB90)="","",INDEX(기본자료!$D$2:$D$501,$AB90)))</f>
        <v/>
      </c>
      <c r="G90" s="10">
        <f>IF($AB90="","",IF(INDEX(기본자료!$E$2:$E$501,$AB90)="","",INDEX(기본자료!$E$2:$E$501,$AB90)))</f>
        <v/>
      </c>
      <c r="H90" s="10">
        <f>IF($AB90="","",IF(INDEX(기본자료!$F$2:$F$501,$AB90)="","",INDEX(기본자료!$F$2:$F$501,$AB90)))</f>
        <v/>
      </c>
      <c r="I90" s="11">
        <f>IF($AB90="","",IF(INDEX(기본자료!$G$2:$G$501,$AB90)="","",IF(NOT(ISNUMBER(INDEX(기본자료!$G$2:$G$501,$AB90))),INDEX(기본자료!$G$2:$G$501,$AB90),IF(INDEX(기본자료!$G$2:$G$501,$AB90)&lt;1000000,INDEX(기본자료!$G$2:$G$501,$AB90),IF(AND(INDEX(기본자료!$G$2:$G$501,$AB90)&gt;=10000101,INT(MOD(INDEX(기본자료!$G$2:$G$501,$AB90),10000)/100)&gt;=1,INT(MOD(INDEX(기본자료!$G$2:$G$501,$AB90),10000)/100)&lt;=12,MOD(INDEX(기본자료!$G$2:$G$501,$AB90),100)&gt;=1,MOD(INDEX(기본자료!$G$2:$G$501,$AB90),100)&lt;=31),DATE(INT(INDEX(기본자료!$G$2:$G$501,$AB90)/10000),INT(MOD(INDEX(기본자료!$G$2:$G$501,$AB90),10000)/100),MOD(INDEX(기본자료!$G$2:$G$501,$AB90),100)),INDEX(기본자료!$G$2:$G$501,$AB90)&amp;"")))))</f>
        <v/>
      </c>
      <c r="J90" s="10">
        <f>IF($AB90="","",IF(INDEX(기본자료!$H$2:$H$501,$AB90)="","",INDEX(기본자료!$H$2:$H$501,$AB90)))</f>
        <v/>
      </c>
      <c r="K90" s="10">
        <f>IF($AB90="","",IF(INDEX(기본자료!$I$2:$I$501,$AB90)="","",INDEX(기본자료!$I$2:$I$501,$AB90)))</f>
        <v/>
      </c>
      <c r="L90" s="10">
        <f>IF($AB90="","",IF(INDEX(기본자료!$A$2:$A$501,$AB90)="","",INDEX(기본자료!$A$2:$A$501,$AB90)))</f>
        <v/>
      </c>
      <c r="M90" s="15" t="n"/>
      <c r="N90" s="10">
        <f>IF($B90="","",IF(AND($U90="파견중",$Q90&lt;&gt;""),$Q90,IF(AND($AD90&lt;&gt;"",LEFT($AD90,1)&lt;&gt;"⚠"),LEFT($AD90,FIND(" ",$AD90)-1),IF($H90="","",IF(RIGHT($H90,2)="병원",$H90,$H90&amp;"병원")))))</f>
        <v/>
      </c>
      <c r="O90" s="10">
        <f>IF($B90="","",IF(AND($U90="파견중",$Q90&lt;&gt;""),IF($R90&lt;&gt;"",$R90,"파견과 미입력"),IF(AND($AD90&lt;&gt;"",LEFT($AD90,1)&lt;&gt;"⚠"),MID($AD90,FIND(" ",$AD90)+1,60),IF($F90="","",IF($F90="인턴","수련교육부(인턴)",$F90)))))</f>
        <v/>
      </c>
      <c r="P90" s="10">
        <f>IF($B90="","",IF($AK90&lt;&gt;"",IF(AND(TODAY()&gt;=INDEX(파견수련계획!$AB$4:$AB$203,$AK90),OR(NOT(ISNUMBER(INDEX(파견수련계획!$AC$4:$AC$203,$AK90))),TODAY()&lt;=INDEX(파견수련계획!$AC$4:$AC$203,$AK90))),"다기관",IF($AF90="","",INDEX(파견수련계획!$T$4:$T$203,$AF90))),IF($AF90="","",INDEX(파견수련계획!$T$4:$T$203,$AF90))))</f>
        <v/>
      </c>
      <c r="Q90" s="10">
        <f>IF($AF90="","",INDEX(파견수련계획!$S$4:$S$203,$AF90))</f>
        <v/>
      </c>
      <c r="R90" s="10">
        <f>IF($AF90="","",INDEX(파견수련계획!$U$4:$U$203,$AF90))</f>
        <v/>
      </c>
      <c r="S90" s="11">
        <f>IF($AF90="","",IF(INDEX(파견수련계획!$H$4:$H$203,$AF90)="","",INDEX(파견수련계획!$H$4:$H$203,$AF90)))</f>
        <v/>
      </c>
      <c r="T90" s="11">
        <f>IF($AF90="","",IF(INDEX(파견수련계획!$I$4:$I$203,$AF90)="","",INDEX(파견수련계획!$I$4:$I$203,$AF90)))</f>
        <v/>
      </c>
      <c r="U90" s="10">
        <f>IF($AF90="","",INDEX(파견수련계획!$X$4:$X$203,$AF90))</f>
        <v/>
      </c>
      <c r="V90" s="17">
        <f>IF($AF90="","",INDEX(파견수련계획!$V$4:$V$203,$AF90))</f>
        <v/>
      </c>
      <c r="W90" s="17">
        <f>IF(AND($U90="파견중",$T90&lt;&gt;""),$T90-TODAY(),"")</f>
        <v/>
      </c>
      <c r="X90" s="17">
        <f>IF(OR($B90="",TRIM($J90&amp;"")=""),"",SUMPRODUCT((파견수련계획!$Q$4:$Q$203=TRIM($J90&amp;""))*파견수련계획!$W$4:$W$203))</f>
        <v/>
      </c>
      <c r="Y90" s="10">
        <f>IF($B90="","",IF($AG90="","",IF(IF(TRIM($J90&amp;"")="",0,SUMPRODUCT((파견수련계획!$Q$4:$Q$203=TRIM($J90&amp;""))*파견수련계획!$AD$4:$AD$203))&gt;0,$AE90,IF(N($X90)&lt;=0,$AG90,IF($AH90+$AI90=DAY(EOMONTH(요약!$B$3,0)),IF(AND($AH90&gt;=요약!$E$3,$AI90&lt;요약!$E$3),"서울병원",IF(AND($AI90&gt;=요약!$E$3,$AH90&lt;요약!$E$3),"구리병원","⚠15일 판정불가(서울 "&amp;$AH90&amp;"일/구리 "&amp;$AI90&amp;"일)")),IF($AJ90="",$AE90,IF(INDEX(파견수련계획!$T$4:$T$203,$AJ90)="통합수련",INDEX(파견수련계획!$S$4:$S$203,$AJ90),$AE90)))))))</f>
        <v/>
      </c>
      <c r="Z90" s="19">
        <f>IF($B90="","",IF($AB90="","기본자료에 없는 사번",IF(COUNTIF($B$2:$B$201,$B90)&gt;1,"중복 사번",IF($AE90="","소속(입사장소) 입력",IF(IF(TRIM($J90&amp;"")="",0,SUMPRODUCT((파견수련계획!$Q$4:$Q$203=TRIM($J90&amp;""))*(파견수련계획!$AA$4:$AA$203&lt;&gt;"")))&gt;0,"파견수련계획 입력오류 확인",IF(LEFT($Y90,1)="⚠","서울·구리 15일 판정 불가(양쪽 모두 이상/미만)",IF(IF($AC90="",0,N(INDEX(인턴근무계획!$T$3:$T$202,$AC90)))&gt;0,"인턴계획 입력오류 확인",IF(AND($AC90&lt;&gt;"",$U90&lt;&gt;"파견중",$N90&lt;&gt;$AE90),"인턴 타지역 근무: 파견 여부 확인","정상"))))))))</f>
        <v/>
      </c>
      <c r="AA90" s="5" t="n"/>
      <c r="AB90" s="10">
        <f>IF($B90="","",IFERROR(MATCH($B90,기본자료!$B$2:$B$501,0),IFERROR(MATCH($B90&amp;"",기본자료!$B$2:$B$501,0),IFERROR(MATCH(VALUE($B90),기본자료!$B$2:$B$501,0),""))))</f>
        <v/>
      </c>
      <c r="AC90" s="10">
        <f>IF($B90="","",IFERROR(MATCH($B90,인턴근무계획!$D$3:$D$202,0),IFERROR(MATCH($B90&amp;"",인턴근무계획!$D$3:$D$202,0),IFERROR(MATCH(VALUE($B90),인턴근무계획!$D$3:$D$202,0),""))))</f>
        <v/>
      </c>
      <c r="AD90" s="10">
        <f>IF(OR($AC90="",인턴현황!$G$3=""),"",INDEX(인턴근무계획!$M$3:$R$202,$AC90,인턴현황!$G$3)&amp;"")</f>
        <v/>
      </c>
      <c r="AE90" s="10">
        <f>IF($B90="","",IF($M90&lt;&gt;"",$M90,IF($AF90&lt;&gt;"",IF(LEFT(INDEX(파견수련계획!$R$4:$R$203,$AF90),1)&lt;&gt;"⚠",INDEX(파견수련계획!$R$4:$R$203,$AF90),IF($H90="","",IF(RIGHT($H90,2)="병원",$H90,$H90&amp;"병원"))),IF($H90="","",IF(RIGHT($H90,2)="병원",$H90,$H90&amp;"병원")))))</f>
        <v/>
      </c>
      <c r="AF90" s="10">
        <f>IF(OR($B90="",TRIM($J90&amp;"")=""),"",IFERROR(MATCH(TRIM($J90&amp;"")&amp;"|파견중",파견수련계획!$Y$4:$Y$203,0),IFERROR(MATCH(TRIM($J90&amp;"")&amp;"|파견예정",파견수련계획!$Y$4:$Y$203,0),IFERROR(MATCH(TRIM($J90&amp;"")&amp;"|파견종료",파견수련계획!$Y$4:$Y$203,0),""))))</f>
        <v/>
      </c>
      <c r="AG90" s="10">
        <f>IF($B90="","",IF(AND(IF(OR($AC90="",인턴현황!$K$2=""),"",INDEX(인턴근무계획!$M$3:$R$202,$AC90,인턴현황!$K$2)&amp;"")&lt;&gt;"",LEFT(IF(OR($AC90="",인턴현황!$K$2=""),"",INDEX(인턴근무계획!$M$3:$R$202,$AC90,인턴현황!$K$2)&amp;""),1)&lt;&gt;"⚠"),LEFT(IF(OR($AC90="",인턴현황!$K$2=""),"",INDEX(인턴근무계획!$M$3:$R$202,$AC90,인턴현황!$K$2)&amp;""),FIND(" ",IF(OR($AC90="",인턴현황!$K$2=""),"",INDEX(인턴근무계획!$M$3:$R$202,$AC90,인턴현황!$K$2)&amp;""))-1),$AE90))</f>
        <v/>
      </c>
      <c r="AH90" s="17">
        <f>IF($B90="","",IF(TRIM($J90&amp;"")="",0,SUMPRODUCT((파견수련계획!$Q$4:$Q$203=TRIM($J90&amp;""))*(파견수련계획!$S$4:$S$203="서울병원")*파견수련계획!$W$4:$W$203))+IF($AG90="서울병원",MAX(0,DAY(EOMONTH(요약!$B$3,0))-N($X90)),0))</f>
        <v/>
      </c>
      <c r="AI90" s="17">
        <f>IF($B90="","",IF(TRIM($J90&amp;"")="",0,SUMPRODUCT((파견수련계획!$Q$4:$Q$203=TRIM($J90&amp;""))*(파견수련계획!$S$4:$S$203="구리병원")*파견수련계획!$W$4:$W$203))+IF($AG90="구리병원",MAX(0,DAY(EOMONTH(요약!$B$3,0))-N($X90)),0))</f>
        <v/>
      </c>
      <c r="AJ90" s="10">
        <f>IF(OR($B90="",TRIM($J90&amp;"")=""),"",IFERROR(MATCH(TRIM($J90&amp;"")&amp;"|월",파견수련계획!$Z$4:$Z$203,0),""))</f>
        <v/>
      </c>
      <c r="AK90" s="10">
        <f>IF(OR($B90="",TRIM($J90&amp;"")=""),"",IFERROR(MATCH(TRIM($J90&amp;"")&amp;"|다기관",파견수련계획!$AE$4:$AE$203,0),""))</f>
        <v/>
      </c>
      <c r="AL90" s="10">
        <f>IF($AK90="","","다기관 "&amp;TEXT(INDEX(파견수련계획!$AB$4:$AB$203,$AK90),"yyyy-mm-dd")&amp;"~"&amp;IF(ISNUMBER(INDEX(파견수련계획!$AC$4:$AC$203,$AK90)),TEXT(INDEX(파견수련계획!$AC$4:$AC$203,$AK90),"yyyy-mm-dd"),""))</f>
        <v/>
      </c>
    </row>
    <row r="91">
      <c r="A91" s="10">
        <f>IF(B91="","",ROW()-1)</f>
        <v/>
      </c>
      <c r="B91" s="18" t="n"/>
      <c r="C91" s="10">
        <f>IF($AB91="","",IF(INDEX(기본자료!$C$2:$C$501,$AB91)="","",INDEX(기본자료!$C$2:$C$501,$AB91)))</f>
        <v/>
      </c>
      <c r="D91" s="10">
        <f>IF($AB91="","",IF(INDEX(기본자료!$J$2:$J$501,$AB91)="","",INDEX(기본자료!$J$2:$J$501,$AB91)))</f>
        <v/>
      </c>
      <c r="E91" s="11">
        <f>IF($AB91="","",IF(INDEX(기본자료!$K$2:$K$501,$AB91)="","",IF(NOT(ISNUMBER(INDEX(기본자료!$K$2:$K$501,$AB91))),INDEX(기본자료!$K$2:$K$501,$AB91),IF(INDEX(기본자료!$K$2:$K$501,$AB91)&lt;1000000,INDEX(기본자료!$K$2:$K$501,$AB91),IF(AND(INDEX(기본자료!$K$2:$K$501,$AB91)&gt;=10000101,INT(MOD(INDEX(기본자료!$K$2:$K$501,$AB91),10000)/100)&gt;=1,INT(MOD(INDEX(기본자료!$K$2:$K$501,$AB91),10000)/100)&lt;=12,MOD(INDEX(기본자료!$K$2:$K$501,$AB91),100)&gt;=1,MOD(INDEX(기본자료!$K$2:$K$501,$AB91),100)&lt;=31),DATE(INT(INDEX(기본자료!$K$2:$K$501,$AB91)/10000),INT(MOD(INDEX(기본자료!$K$2:$K$501,$AB91),10000)/100),MOD(INDEX(기본자료!$K$2:$K$501,$AB91),100)),INDEX(기본자료!$K$2:$K$501,$AB91)&amp;"")))))</f>
        <v/>
      </c>
      <c r="F91" s="10">
        <f>IF($AB91="","",IF(INDEX(기본자료!$D$2:$D$501,$AB91)="","",INDEX(기본자료!$D$2:$D$501,$AB91)))</f>
        <v/>
      </c>
      <c r="G91" s="10">
        <f>IF($AB91="","",IF(INDEX(기본자료!$E$2:$E$501,$AB91)="","",INDEX(기본자료!$E$2:$E$501,$AB91)))</f>
        <v/>
      </c>
      <c r="H91" s="10">
        <f>IF($AB91="","",IF(INDEX(기본자료!$F$2:$F$501,$AB91)="","",INDEX(기본자료!$F$2:$F$501,$AB91)))</f>
        <v/>
      </c>
      <c r="I91" s="11">
        <f>IF($AB91="","",IF(INDEX(기본자료!$G$2:$G$501,$AB91)="","",IF(NOT(ISNUMBER(INDEX(기본자료!$G$2:$G$501,$AB91))),INDEX(기본자료!$G$2:$G$501,$AB91),IF(INDEX(기본자료!$G$2:$G$501,$AB91)&lt;1000000,INDEX(기본자료!$G$2:$G$501,$AB91),IF(AND(INDEX(기본자료!$G$2:$G$501,$AB91)&gt;=10000101,INT(MOD(INDEX(기본자료!$G$2:$G$501,$AB91),10000)/100)&gt;=1,INT(MOD(INDEX(기본자료!$G$2:$G$501,$AB91),10000)/100)&lt;=12,MOD(INDEX(기본자료!$G$2:$G$501,$AB91),100)&gt;=1,MOD(INDEX(기본자료!$G$2:$G$501,$AB91),100)&lt;=31),DATE(INT(INDEX(기본자료!$G$2:$G$501,$AB91)/10000),INT(MOD(INDEX(기본자료!$G$2:$G$501,$AB91),10000)/100),MOD(INDEX(기본자료!$G$2:$G$501,$AB91),100)),INDEX(기본자료!$G$2:$G$501,$AB91)&amp;"")))))</f>
        <v/>
      </c>
      <c r="J91" s="10">
        <f>IF($AB91="","",IF(INDEX(기본자료!$H$2:$H$501,$AB91)="","",INDEX(기본자료!$H$2:$H$501,$AB91)))</f>
        <v/>
      </c>
      <c r="K91" s="10">
        <f>IF($AB91="","",IF(INDEX(기본자료!$I$2:$I$501,$AB91)="","",INDEX(기본자료!$I$2:$I$501,$AB91)))</f>
        <v/>
      </c>
      <c r="L91" s="10">
        <f>IF($AB91="","",IF(INDEX(기본자료!$A$2:$A$501,$AB91)="","",INDEX(기본자료!$A$2:$A$501,$AB91)))</f>
        <v/>
      </c>
      <c r="M91" s="15" t="n"/>
      <c r="N91" s="10">
        <f>IF($B91="","",IF(AND($U91="파견중",$Q91&lt;&gt;""),$Q91,IF(AND($AD91&lt;&gt;"",LEFT($AD91,1)&lt;&gt;"⚠"),LEFT($AD91,FIND(" ",$AD91)-1),IF($H91="","",IF(RIGHT($H91,2)="병원",$H91,$H91&amp;"병원")))))</f>
        <v/>
      </c>
      <c r="O91" s="10">
        <f>IF($B91="","",IF(AND($U91="파견중",$Q91&lt;&gt;""),IF($R91&lt;&gt;"",$R91,"파견과 미입력"),IF(AND($AD91&lt;&gt;"",LEFT($AD91,1)&lt;&gt;"⚠"),MID($AD91,FIND(" ",$AD91)+1,60),IF($F91="","",IF($F91="인턴","수련교육부(인턴)",$F91)))))</f>
        <v/>
      </c>
      <c r="P91" s="10">
        <f>IF($B91="","",IF($AK91&lt;&gt;"",IF(AND(TODAY()&gt;=INDEX(파견수련계획!$AB$4:$AB$203,$AK91),OR(NOT(ISNUMBER(INDEX(파견수련계획!$AC$4:$AC$203,$AK91))),TODAY()&lt;=INDEX(파견수련계획!$AC$4:$AC$203,$AK91))),"다기관",IF($AF91="","",INDEX(파견수련계획!$T$4:$T$203,$AF91))),IF($AF91="","",INDEX(파견수련계획!$T$4:$T$203,$AF91))))</f>
        <v/>
      </c>
      <c r="Q91" s="10">
        <f>IF($AF91="","",INDEX(파견수련계획!$S$4:$S$203,$AF91))</f>
        <v/>
      </c>
      <c r="R91" s="10">
        <f>IF($AF91="","",INDEX(파견수련계획!$U$4:$U$203,$AF91))</f>
        <v/>
      </c>
      <c r="S91" s="11">
        <f>IF($AF91="","",IF(INDEX(파견수련계획!$H$4:$H$203,$AF91)="","",INDEX(파견수련계획!$H$4:$H$203,$AF91)))</f>
        <v/>
      </c>
      <c r="T91" s="11">
        <f>IF($AF91="","",IF(INDEX(파견수련계획!$I$4:$I$203,$AF91)="","",INDEX(파견수련계획!$I$4:$I$203,$AF91)))</f>
        <v/>
      </c>
      <c r="U91" s="10">
        <f>IF($AF91="","",INDEX(파견수련계획!$X$4:$X$203,$AF91))</f>
        <v/>
      </c>
      <c r="V91" s="17">
        <f>IF($AF91="","",INDEX(파견수련계획!$V$4:$V$203,$AF91))</f>
        <v/>
      </c>
      <c r="W91" s="17">
        <f>IF(AND($U91="파견중",$T91&lt;&gt;""),$T91-TODAY(),"")</f>
        <v/>
      </c>
      <c r="X91" s="17">
        <f>IF(OR($B91="",TRIM($J91&amp;"")=""),"",SUMPRODUCT((파견수련계획!$Q$4:$Q$203=TRIM($J91&amp;""))*파견수련계획!$W$4:$W$203))</f>
        <v/>
      </c>
      <c r="Y91" s="10">
        <f>IF($B91="","",IF($AG91="","",IF(IF(TRIM($J91&amp;"")="",0,SUMPRODUCT((파견수련계획!$Q$4:$Q$203=TRIM($J91&amp;""))*파견수련계획!$AD$4:$AD$203))&gt;0,$AE91,IF(N($X91)&lt;=0,$AG91,IF($AH91+$AI91=DAY(EOMONTH(요약!$B$3,0)),IF(AND($AH91&gt;=요약!$E$3,$AI91&lt;요약!$E$3),"서울병원",IF(AND($AI91&gt;=요약!$E$3,$AH91&lt;요약!$E$3),"구리병원","⚠15일 판정불가(서울 "&amp;$AH91&amp;"일/구리 "&amp;$AI91&amp;"일)")),IF($AJ91="",$AE91,IF(INDEX(파견수련계획!$T$4:$T$203,$AJ91)="통합수련",INDEX(파견수련계획!$S$4:$S$203,$AJ91),$AE91)))))))</f>
        <v/>
      </c>
      <c r="Z91" s="19">
        <f>IF($B91="","",IF($AB91="","기본자료에 없는 사번",IF(COUNTIF($B$2:$B$201,$B91)&gt;1,"중복 사번",IF($AE91="","소속(입사장소) 입력",IF(IF(TRIM($J91&amp;"")="",0,SUMPRODUCT((파견수련계획!$Q$4:$Q$203=TRIM($J91&amp;""))*(파견수련계획!$AA$4:$AA$203&lt;&gt;"")))&gt;0,"파견수련계획 입력오류 확인",IF(LEFT($Y91,1)="⚠","서울·구리 15일 판정 불가(양쪽 모두 이상/미만)",IF(IF($AC91="",0,N(INDEX(인턴근무계획!$T$3:$T$202,$AC91)))&gt;0,"인턴계획 입력오류 확인",IF(AND($AC91&lt;&gt;"",$U91&lt;&gt;"파견중",$N91&lt;&gt;$AE91),"인턴 타지역 근무: 파견 여부 확인","정상"))))))))</f>
        <v/>
      </c>
      <c r="AA91" s="5" t="n"/>
      <c r="AB91" s="10">
        <f>IF($B91="","",IFERROR(MATCH($B91,기본자료!$B$2:$B$501,0),IFERROR(MATCH($B91&amp;"",기본자료!$B$2:$B$501,0),IFERROR(MATCH(VALUE($B91),기본자료!$B$2:$B$501,0),""))))</f>
        <v/>
      </c>
      <c r="AC91" s="10">
        <f>IF($B91="","",IFERROR(MATCH($B91,인턴근무계획!$D$3:$D$202,0),IFERROR(MATCH($B91&amp;"",인턴근무계획!$D$3:$D$202,0),IFERROR(MATCH(VALUE($B91),인턴근무계획!$D$3:$D$202,0),""))))</f>
        <v/>
      </c>
      <c r="AD91" s="10">
        <f>IF(OR($AC91="",인턴현황!$G$3=""),"",INDEX(인턴근무계획!$M$3:$R$202,$AC91,인턴현황!$G$3)&amp;"")</f>
        <v/>
      </c>
      <c r="AE91" s="10">
        <f>IF($B91="","",IF($M91&lt;&gt;"",$M91,IF($AF91&lt;&gt;"",IF(LEFT(INDEX(파견수련계획!$R$4:$R$203,$AF91),1)&lt;&gt;"⚠",INDEX(파견수련계획!$R$4:$R$203,$AF91),IF($H91="","",IF(RIGHT($H91,2)="병원",$H91,$H91&amp;"병원"))),IF($H91="","",IF(RIGHT($H91,2)="병원",$H91,$H91&amp;"병원")))))</f>
        <v/>
      </c>
      <c r="AF91" s="10">
        <f>IF(OR($B91="",TRIM($J91&amp;"")=""),"",IFERROR(MATCH(TRIM($J91&amp;"")&amp;"|파견중",파견수련계획!$Y$4:$Y$203,0),IFERROR(MATCH(TRIM($J91&amp;"")&amp;"|파견예정",파견수련계획!$Y$4:$Y$203,0),IFERROR(MATCH(TRIM($J91&amp;"")&amp;"|파견종료",파견수련계획!$Y$4:$Y$203,0),""))))</f>
        <v/>
      </c>
      <c r="AG91" s="10">
        <f>IF($B91="","",IF(AND(IF(OR($AC91="",인턴현황!$K$2=""),"",INDEX(인턴근무계획!$M$3:$R$202,$AC91,인턴현황!$K$2)&amp;"")&lt;&gt;"",LEFT(IF(OR($AC91="",인턴현황!$K$2=""),"",INDEX(인턴근무계획!$M$3:$R$202,$AC91,인턴현황!$K$2)&amp;""),1)&lt;&gt;"⚠"),LEFT(IF(OR($AC91="",인턴현황!$K$2=""),"",INDEX(인턴근무계획!$M$3:$R$202,$AC91,인턴현황!$K$2)&amp;""),FIND(" ",IF(OR($AC91="",인턴현황!$K$2=""),"",INDEX(인턴근무계획!$M$3:$R$202,$AC91,인턴현황!$K$2)&amp;""))-1),$AE91))</f>
        <v/>
      </c>
      <c r="AH91" s="17">
        <f>IF($B91="","",IF(TRIM($J91&amp;"")="",0,SUMPRODUCT((파견수련계획!$Q$4:$Q$203=TRIM($J91&amp;""))*(파견수련계획!$S$4:$S$203="서울병원")*파견수련계획!$W$4:$W$203))+IF($AG91="서울병원",MAX(0,DAY(EOMONTH(요약!$B$3,0))-N($X91)),0))</f>
        <v/>
      </c>
      <c r="AI91" s="17">
        <f>IF($B91="","",IF(TRIM($J91&amp;"")="",0,SUMPRODUCT((파견수련계획!$Q$4:$Q$203=TRIM($J91&amp;""))*(파견수련계획!$S$4:$S$203="구리병원")*파견수련계획!$W$4:$W$203))+IF($AG91="구리병원",MAX(0,DAY(EOMONTH(요약!$B$3,0))-N($X91)),0))</f>
        <v/>
      </c>
      <c r="AJ91" s="10">
        <f>IF(OR($B91="",TRIM($J91&amp;"")=""),"",IFERROR(MATCH(TRIM($J91&amp;"")&amp;"|월",파견수련계획!$Z$4:$Z$203,0),""))</f>
        <v/>
      </c>
      <c r="AK91" s="10">
        <f>IF(OR($B91="",TRIM($J91&amp;"")=""),"",IFERROR(MATCH(TRIM($J91&amp;"")&amp;"|다기관",파견수련계획!$AE$4:$AE$203,0),""))</f>
        <v/>
      </c>
      <c r="AL91" s="10">
        <f>IF($AK91="","","다기관 "&amp;TEXT(INDEX(파견수련계획!$AB$4:$AB$203,$AK91),"yyyy-mm-dd")&amp;"~"&amp;IF(ISNUMBER(INDEX(파견수련계획!$AC$4:$AC$203,$AK91)),TEXT(INDEX(파견수련계획!$AC$4:$AC$203,$AK91),"yyyy-mm-dd"),""))</f>
        <v/>
      </c>
    </row>
    <row r="92">
      <c r="A92" s="10">
        <f>IF(B92="","",ROW()-1)</f>
        <v/>
      </c>
      <c r="B92" s="18" t="n"/>
      <c r="C92" s="10">
        <f>IF($AB92="","",IF(INDEX(기본자료!$C$2:$C$501,$AB92)="","",INDEX(기본자료!$C$2:$C$501,$AB92)))</f>
        <v/>
      </c>
      <c r="D92" s="10">
        <f>IF($AB92="","",IF(INDEX(기본자료!$J$2:$J$501,$AB92)="","",INDEX(기본자료!$J$2:$J$501,$AB92)))</f>
        <v/>
      </c>
      <c r="E92" s="11">
        <f>IF($AB92="","",IF(INDEX(기본자료!$K$2:$K$501,$AB92)="","",IF(NOT(ISNUMBER(INDEX(기본자료!$K$2:$K$501,$AB92))),INDEX(기본자료!$K$2:$K$501,$AB92),IF(INDEX(기본자료!$K$2:$K$501,$AB92)&lt;1000000,INDEX(기본자료!$K$2:$K$501,$AB92),IF(AND(INDEX(기본자료!$K$2:$K$501,$AB92)&gt;=10000101,INT(MOD(INDEX(기본자료!$K$2:$K$501,$AB92),10000)/100)&gt;=1,INT(MOD(INDEX(기본자료!$K$2:$K$501,$AB92),10000)/100)&lt;=12,MOD(INDEX(기본자료!$K$2:$K$501,$AB92),100)&gt;=1,MOD(INDEX(기본자료!$K$2:$K$501,$AB92),100)&lt;=31),DATE(INT(INDEX(기본자료!$K$2:$K$501,$AB92)/10000),INT(MOD(INDEX(기본자료!$K$2:$K$501,$AB92),10000)/100),MOD(INDEX(기본자료!$K$2:$K$501,$AB92),100)),INDEX(기본자료!$K$2:$K$501,$AB92)&amp;"")))))</f>
        <v/>
      </c>
      <c r="F92" s="10">
        <f>IF($AB92="","",IF(INDEX(기본자료!$D$2:$D$501,$AB92)="","",INDEX(기본자료!$D$2:$D$501,$AB92)))</f>
        <v/>
      </c>
      <c r="G92" s="10">
        <f>IF($AB92="","",IF(INDEX(기본자료!$E$2:$E$501,$AB92)="","",INDEX(기본자료!$E$2:$E$501,$AB92)))</f>
        <v/>
      </c>
      <c r="H92" s="10">
        <f>IF($AB92="","",IF(INDEX(기본자료!$F$2:$F$501,$AB92)="","",INDEX(기본자료!$F$2:$F$501,$AB92)))</f>
        <v/>
      </c>
      <c r="I92" s="11">
        <f>IF($AB92="","",IF(INDEX(기본자료!$G$2:$G$501,$AB92)="","",IF(NOT(ISNUMBER(INDEX(기본자료!$G$2:$G$501,$AB92))),INDEX(기본자료!$G$2:$G$501,$AB92),IF(INDEX(기본자료!$G$2:$G$501,$AB92)&lt;1000000,INDEX(기본자료!$G$2:$G$501,$AB92),IF(AND(INDEX(기본자료!$G$2:$G$501,$AB92)&gt;=10000101,INT(MOD(INDEX(기본자료!$G$2:$G$501,$AB92),10000)/100)&gt;=1,INT(MOD(INDEX(기본자료!$G$2:$G$501,$AB92),10000)/100)&lt;=12,MOD(INDEX(기본자료!$G$2:$G$501,$AB92),100)&gt;=1,MOD(INDEX(기본자료!$G$2:$G$501,$AB92),100)&lt;=31),DATE(INT(INDEX(기본자료!$G$2:$G$501,$AB92)/10000),INT(MOD(INDEX(기본자료!$G$2:$G$501,$AB92),10000)/100),MOD(INDEX(기본자료!$G$2:$G$501,$AB92),100)),INDEX(기본자료!$G$2:$G$501,$AB92)&amp;"")))))</f>
        <v/>
      </c>
      <c r="J92" s="10">
        <f>IF($AB92="","",IF(INDEX(기본자료!$H$2:$H$501,$AB92)="","",INDEX(기본자료!$H$2:$H$501,$AB92)))</f>
        <v/>
      </c>
      <c r="K92" s="10">
        <f>IF($AB92="","",IF(INDEX(기본자료!$I$2:$I$501,$AB92)="","",INDEX(기본자료!$I$2:$I$501,$AB92)))</f>
        <v/>
      </c>
      <c r="L92" s="10">
        <f>IF($AB92="","",IF(INDEX(기본자료!$A$2:$A$501,$AB92)="","",INDEX(기본자료!$A$2:$A$501,$AB92)))</f>
        <v/>
      </c>
      <c r="M92" s="15" t="n"/>
      <c r="N92" s="10">
        <f>IF($B92="","",IF(AND($U92="파견중",$Q92&lt;&gt;""),$Q92,IF(AND($AD92&lt;&gt;"",LEFT($AD92,1)&lt;&gt;"⚠"),LEFT($AD92,FIND(" ",$AD92)-1),IF($H92="","",IF(RIGHT($H92,2)="병원",$H92,$H92&amp;"병원")))))</f>
        <v/>
      </c>
      <c r="O92" s="10">
        <f>IF($B92="","",IF(AND($U92="파견중",$Q92&lt;&gt;""),IF($R92&lt;&gt;"",$R92,"파견과 미입력"),IF(AND($AD92&lt;&gt;"",LEFT($AD92,1)&lt;&gt;"⚠"),MID($AD92,FIND(" ",$AD92)+1,60),IF($F92="","",IF($F92="인턴","수련교육부(인턴)",$F92)))))</f>
        <v/>
      </c>
      <c r="P92" s="10">
        <f>IF($B92="","",IF($AK92&lt;&gt;"",IF(AND(TODAY()&gt;=INDEX(파견수련계획!$AB$4:$AB$203,$AK92),OR(NOT(ISNUMBER(INDEX(파견수련계획!$AC$4:$AC$203,$AK92))),TODAY()&lt;=INDEX(파견수련계획!$AC$4:$AC$203,$AK92))),"다기관",IF($AF92="","",INDEX(파견수련계획!$T$4:$T$203,$AF92))),IF($AF92="","",INDEX(파견수련계획!$T$4:$T$203,$AF92))))</f>
        <v/>
      </c>
      <c r="Q92" s="10">
        <f>IF($AF92="","",INDEX(파견수련계획!$S$4:$S$203,$AF92))</f>
        <v/>
      </c>
      <c r="R92" s="10">
        <f>IF($AF92="","",INDEX(파견수련계획!$U$4:$U$203,$AF92))</f>
        <v/>
      </c>
      <c r="S92" s="11">
        <f>IF($AF92="","",IF(INDEX(파견수련계획!$H$4:$H$203,$AF92)="","",INDEX(파견수련계획!$H$4:$H$203,$AF92)))</f>
        <v/>
      </c>
      <c r="T92" s="11">
        <f>IF($AF92="","",IF(INDEX(파견수련계획!$I$4:$I$203,$AF92)="","",INDEX(파견수련계획!$I$4:$I$203,$AF92)))</f>
        <v/>
      </c>
      <c r="U92" s="10">
        <f>IF($AF92="","",INDEX(파견수련계획!$X$4:$X$203,$AF92))</f>
        <v/>
      </c>
      <c r="V92" s="17">
        <f>IF($AF92="","",INDEX(파견수련계획!$V$4:$V$203,$AF92))</f>
        <v/>
      </c>
      <c r="W92" s="17">
        <f>IF(AND($U92="파견중",$T92&lt;&gt;""),$T92-TODAY(),"")</f>
        <v/>
      </c>
      <c r="X92" s="17">
        <f>IF(OR($B92="",TRIM($J92&amp;"")=""),"",SUMPRODUCT((파견수련계획!$Q$4:$Q$203=TRIM($J92&amp;""))*파견수련계획!$W$4:$W$203))</f>
        <v/>
      </c>
      <c r="Y92" s="10">
        <f>IF($B92="","",IF($AG92="","",IF(IF(TRIM($J92&amp;"")="",0,SUMPRODUCT((파견수련계획!$Q$4:$Q$203=TRIM($J92&amp;""))*파견수련계획!$AD$4:$AD$203))&gt;0,$AE92,IF(N($X92)&lt;=0,$AG92,IF($AH92+$AI92=DAY(EOMONTH(요약!$B$3,0)),IF(AND($AH92&gt;=요약!$E$3,$AI92&lt;요약!$E$3),"서울병원",IF(AND($AI92&gt;=요약!$E$3,$AH92&lt;요약!$E$3),"구리병원","⚠15일 판정불가(서울 "&amp;$AH92&amp;"일/구리 "&amp;$AI92&amp;"일)")),IF($AJ92="",$AE92,IF(INDEX(파견수련계획!$T$4:$T$203,$AJ92)="통합수련",INDEX(파견수련계획!$S$4:$S$203,$AJ92),$AE92)))))))</f>
        <v/>
      </c>
      <c r="Z92" s="19">
        <f>IF($B92="","",IF($AB92="","기본자료에 없는 사번",IF(COUNTIF($B$2:$B$201,$B92)&gt;1,"중복 사번",IF($AE92="","소속(입사장소) 입력",IF(IF(TRIM($J92&amp;"")="",0,SUMPRODUCT((파견수련계획!$Q$4:$Q$203=TRIM($J92&amp;""))*(파견수련계획!$AA$4:$AA$203&lt;&gt;"")))&gt;0,"파견수련계획 입력오류 확인",IF(LEFT($Y92,1)="⚠","서울·구리 15일 판정 불가(양쪽 모두 이상/미만)",IF(IF($AC92="",0,N(INDEX(인턴근무계획!$T$3:$T$202,$AC92)))&gt;0,"인턴계획 입력오류 확인",IF(AND($AC92&lt;&gt;"",$U92&lt;&gt;"파견중",$N92&lt;&gt;$AE92),"인턴 타지역 근무: 파견 여부 확인","정상"))))))))</f>
        <v/>
      </c>
      <c r="AA92" s="5" t="n"/>
      <c r="AB92" s="10">
        <f>IF($B92="","",IFERROR(MATCH($B92,기본자료!$B$2:$B$501,0),IFERROR(MATCH($B92&amp;"",기본자료!$B$2:$B$501,0),IFERROR(MATCH(VALUE($B92),기본자료!$B$2:$B$501,0),""))))</f>
        <v/>
      </c>
      <c r="AC92" s="10">
        <f>IF($B92="","",IFERROR(MATCH($B92,인턴근무계획!$D$3:$D$202,0),IFERROR(MATCH($B92&amp;"",인턴근무계획!$D$3:$D$202,0),IFERROR(MATCH(VALUE($B92),인턴근무계획!$D$3:$D$202,0),""))))</f>
        <v/>
      </c>
      <c r="AD92" s="10">
        <f>IF(OR($AC92="",인턴현황!$G$3=""),"",INDEX(인턴근무계획!$M$3:$R$202,$AC92,인턴현황!$G$3)&amp;"")</f>
        <v/>
      </c>
      <c r="AE92" s="10">
        <f>IF($B92="","",IF($M92&lt;&gt;"",$M92,IF($AF92&lt;&gt;"",IF(LEFT(INDEX(파견수련계획!$R$4:$R$203,$AF92),1)&lt;&gt;"⚠",INDEX(파견수련계획!$R$4:$R$203,$AF92),IF($H92="","",IF(RIGHT($H92,2)="병원",$H92,$H92&amp;"병원"))),IF($H92="","",IF(RIGHT($H92,2)="병원",$H92,$H92&amp;"병원")))))</f>
        <v/>
      </c>
      <c r="AF92" s="10">
        <f>IF(OR($B92="",TRIM($J92&amp;"")=""),"",IFERROR(MATCH(TRIM($J92&amp;"")&amp;"|파견중",파견수련계획!$Y$4:$Y$203,0),IFERROR(MATCH(TRIM($J92&amp;"")&amp;"|파견예정",파견수련계획!$Y$4:$Y$203,0),IFERROR(MATCH(TRIM($J92&amp;"")&amp;"|파견종료",파견수련계획!$Y$4:$Y$203,0),""))))</f>
        <v/>
      </c>
      <c r="AG92" s="10">
        <f>IF($B92="","",IF(AND(IF(OR($AC92="",인턴현황!$K$2=""),"",INDEX(인턴근무계획!$M$3:$R$202,$AC92,인턴현황!$K$2)&amp;"")&lt;&gt;"",LEFT(IF(OR($AC92="",인턴현황!$K$2=""),"",INDEX(인턴근무계획!$M$3:$R$202,$AC92,인턴현황!$K$2)&amp;""),1)&lt;&gt;"⚠"),LEFT(IF(OR($AC92="",인턴현황!$K$2=""),"",INDEX(인턴근무계획!$M$3:$R$202,$AC92,인턴현황!$K$2)&amp;""),FIND(" ",IF(OR($AC92="",인턴현황!$K$2=""),"",INDEX(인턴근무계획!$M$3:$R$202,$AC92,인턴현황!$K$2)&amp;""))-1),$AE92))</f>
        <v/>
      </c>
      <c r="AH92" s="17">
        <f>IF($B92="","",IF(TRIM($J92&amp;"")="",0,SUMPRODUCT((파견수련계획!$Q$4:$Q$203=TRIM($J92&amp;""))*(파견수련계획!$S$4:$S$203="서울병원")*파견수련계획!$W$4:$W$203))+IF($AG92="서울병원",MAX(0,DAY(EOMONTH(요약!$B$3,0))-N($X92)),0))</f>
        <v/>
      </c>
      <c r="AI92" s="17">
        <f>IF($B92="","",IF(TRIM($J92&amp;"")="",0,SUMPRODUCT((파견수련계획!$Q$4:$Q$203=TRIM($J92&amp;""))*(파견수련계획!$S$4:$S$203="구리병원")*파견수련계획!$W$4:$W$203))+IF($AG92="구리병원",MAX(0,DAY(EOMONTH(요약!$B$3,0))-N($X92)),0))</f>
        <v/>
      </c>
      <c r="AJ92" s="10">
        <f>IF(OR($B92="",TRIM($J92&amp;"")=""),"",IFERROR(MATCH(TRIM($J92&amp;"")&amp;"|월",파견수련계획!$Z$4:$Z$203,0),""))</f>
        <v/>
      </c>
      <c r="AK92" s="10">
        <f>IF(OR($B92="",TRIM($J92&amp;"")=""),"",IFERROR(MATCH(TRIM($J92&amp;"")&amp;"|다기관",파견수련계획!$AE$4:$AE$203,0),""))</f>
        <v/>
      </c>
      <c r="AL92" s="10">
        <f>IF($AK92="","","다기관 "&amp;TEXT(INDEX(파견수련계획!$AB$4:$AB$203,$AK92),"yyyy-mm-dd")&amp;"~"&amp;IF(ISNUMBER(INDEX(파견수련계획!$AC$4:$AC$203,$AK92)),TEXT(INDEX(파견수련계획!$AC$4:$AC$203,$AK92),"yyyy-mm-dd"),""))</f>
        <v/>
      </c>
    </row>
    <row r="93">
      <c r="A93" s="10">
        <f>IF(B93="","",ROW()-1)</f>
        <v/>
      </c>
      <c r="B93" s="18" t="n"/>
      <c r="C93" s="10">
        <f>IF($AB93="","",IF(INDEX(기본자료!$C$2:$C$501,$AB93)="","",INDEX(기본자료!$C$2:$C$501,$AB93)))</f>
        <v/>
      </c>
      <c r="D93" s="10">
        <f>IF($AB93="","",IF(INDEX(기본자료!$J$2:$J$501,$AB93)="","",INDEX(기본자료!$J$2:$J$501,$AB93)))</f>
        <v/>
      </c>
      <c r="E93" s="11">
        <f>IF($AB93="","",IF(INDEX(기본자료!$K$2:$K$501,$AB93)="","",IF(NOT(ISNUMBER(INDEX(기본자료!$K$2:$K$501,$AB93))),INDEX(기본자료!$K$2:$K$501,$AB93),IF(INDEX(기본자료!$K$2:$K$501,$AB93)&lt;1000000,INDEX(기본자료!$K$2:$K$501,$AB93),IF(AND(INDEX(기본자료!$K$2:$K$501,$AB93)&gt;=10000101,INT(MOD(INDEX(기본자료!$K$2:$K$501,$AB93),10000)/100)&gt;=1,INT(MOD(INDEX(기본자료!$K$2:$K$501,$AB93),10000)/100)&lt;=12,MOD(INDEX(기본자료!$K$2:$K$501,$AB93),100)&gt;=1,MOD(INDEX(기본자료!$K$2:$K$501,$AB93),100)&lt;=31),DATE(INT(INDEX(기본자료!$K$2:$K$501,$AB93)/10000),INT(MOD(INDEX(기본자료!$K$2:$K$501,$AB93),10000)/100),MOD(INDEX(기본자료!$K$2:$K$501,$AB93),100)),INDEX(기본자료!$K$2:$K$501,$AB93)&amp;"")))))</f>
        <v/>
      </c>
      <c r="F93" s="10">
        <f>IF($AB93="","",IF(INDEX(기본자료!$D$2:$D$501,$AB93)="","",INDEX(기본자료!$D$2:$D$501,$AB93)))</f>
        <v/>
      </c>
      <c r="G93" s="10">
        <f>IF($AB93="","",IF(INDEX(기본자료!$E$2:$E$501,$AB93)="","",INDEX(기본자료!$E$2:$E$501,$AB93)))</f>
        <v/>
      </c>
      <c r="H93" s="10">
        <f>IF($AB93="","",IF(INDEX(기본자료!$F$2:$F$501,$AB93)="","",INDEX(기본자료!$F$2:$F$501,$AB93)))</f>
        <v/>
      </c>
      <c r="I93" s="11">
        <f>IF($AB93="","",IF(INDEX(기본자료!$G$2:$G$501,$AB93)="","",IF(NOT(ISNUMBER(INDEX(기본자료!$G$2:$G$501,$AB93))),INDEX(기본자료!$G$2:$G$501,$AB93),IF(INDEX(기본자료!$G$2:$G$501,$AB93)&lt;1000000,INDEX(기본자료!$G$2:$G$501,$AB93),IF(AND(INDEX(기본자료!$G$2:$G$501,$AB93)&gt;=10000101,INT(MOD(INDEX(기본자료!$G$2:$G$501,$AB93),10000)/100)&gt;=1,INT(MOD(INDEX(기본자료!$G$2:$G$501,$AB93),10000)/100)&lt;=12,MOD(INDEX(기본자료!$G$2:$G$501,$AB93),100)&gt;=1,MOD(INDEX(기본자료!$G$2:$G$501,$AB93),100)&lt;=31),DATE(INT(INDEX(기본자료!$G$2:$G$501,$AB93)/10000),INT(MOD(INDEX(기본자료!$G$2:$G$501,$AB93),10000)/100),MOD(INDEX(기본자료!$G$2:$G$501,$AB93),100)),INDEX(기본자료!$G$2:$G$501,$AB93)&amp;"")))))</f>
        <v/>
      </c>
      <c r="J93" s="10">
        <f>IF($AB93="","",IF(INDEX(기본자료!$H$2:$H$501,$AB93)="","",INDEX(기본자료!$H$2:$H$501,$AB93)))</f>
        <v/>
      </c>
      <c r="K93" s="10">
        <f>IF($AB93="","",IF(INDEX(기본자료!$I$2:$I$501,$AB93)="","",INDEX(기본자료!$I$2:$I$501,$AB93)))</f>
        <v/>
      </c>
      <c r="L93" s="10">
        <f>IF($AB93="","",IF(INDEX(기본자료!$A$2:$A$501,$AB93)="","",INDEX(기본자료!$A$2:$A$501,$AB93)))</f>
        <v/>
      </c>
      <c r="M93" s="15" t="n"/>
      <c r="N93" s="10">
        <f>IF($B93="","",IF(AND($U93="파견중",$Q93&lt;&gt;""),$Q93,IF(AND($AD93&lt;&gt;"",LEFT($AD93,1)&lt;&gt;"⚠"),LEFT($AD93,FIND(" ",$AD93)-1),IF($H93="","",IF(RIGHT($H93,2)="병원",$H93,$H93&amp;"병원")))))</f>
        <v/>
      </c>
      <c r="O93" s="10">
        <f>IF($B93="","",IF(AND($U93="파견중",$Q93&lt;&gt;""),IF($R93&lt;&gt;"",$R93,"파견과 미입력"),IF(AND($AD93&lt;&gt;"",LEFT($AD93,1)&lt;&gt;"⚠"),MID($AD93,FIND(" ",$AD93)+1,60),IF($F93="","",IF($F93="인턴","수련교육부(인턴)",$F93)))))</f>
        <v/>
      </c>
      <c r="P93" s="10">
        <f>IF($B93="","",IF($AK93&lt;&gt;"",IF(AND(TODAY()&gt;=INDEX(파견수련계획!$AB$4:$AB$203,$AK93),OR(NOT(ISNUMBER(INDEX(파견수련계획!$AC$4:$AC$203,$AK93))),TODAY()&lt;=INDEX(파견수련계획!$AC$4:$AC$203,$AK93))),"다기관",IF($AF93="","",INDEX(파견수련계획!$T$4:$T$203,$AF93))),IF($AF93="","",INDEX(파견수련계획!$T$4:$T$203,$AF93))))</f>
        <v/>
      </c>
      <c r="Q93" s="10">
        <f>IF($AF93="","",INDEX(파견수련계획!$S$4:$S$203,$AF93))</f>
        <v/>
      </c>
      <c r="R93" s="10">
        <f>IF($AF93="","",INDEX(파견수련계획!$U$4:$U$203,$AF93))</f>
        <v/>
      </c>
      <c r="S93" s="11">
        <f>IF($AF93="","",IF(INDEX(파견수련계획!$H$4:$H$203,$AF93)="","",INDEX(파견수련계획!$H$4:$H$203,$AF93)))</f>
        <v/>
      </c>
      <c r="T93" s="11">
        <f>IF($AF93="","",IF(INDEX(파견수련계획!$I$4:$I$203,$AF93)="","",INDEX(파견수련계획!$I$4:$I$203,$AF93)))</f>
        <v/>
      </c>
      <c r="U93" s="10">
        <f>IF($AF93="","",INDEX(파견수련계획!$X$4:$X$203,$AF93))</f>
        <v/>
      </c>
      <c r="V93" s="17">
        <f>IF($AF93="","",INDEX(파견수련계획!$V$4:$V$203,$AF93))</f>
        <v/>
      </c>
      <c r="W93" s="17">
        <f>IF(AND($U93="파견중",$T93&lt;&gt;""),$T93-TODAY(),"")</f>
        <v/>
      </c>
      <c r="X93" s="17">
        <f>IF(OR($B93="",TRIM($J93&amp;"")=""),"",SUMPRODUCT((파견수련계획!$Q$4:$Q$203=TRIM($J93&amp;""))*파견수련계획!$W$4:$W$203))</f>
        <v/>
      </c>
      <c r="Y93" s="10">
        <f>IF($B93="","",IF($AG93="","",IF(IF(TRIM($J93&amp;"")="",0,SUMPRODUCT((파견수련계획!$Q$4:$Q$203=TRIM($J93&amp;""))*파견수련계획!$AD$4:$AD$203))&gt;0,$AE93,IF(N($X93)&lt;=0,$AG93,IF($AH93+$AI93=DAY(EOMONTH(요약!$B$3,0)),IF(AND($AH93&gt;=요약!$E$3,$AI93&lt;요약!$E$3),"서울병원",IF(AND($AI93&gt;=요약!$E$3,$AH93&lt;요약!$E$3),"구리병원","⚠15일 판정불가(서울 "&amp;$AH93&amp;"일/구리 "&amp;$AI93&amp;"일)")),IF($AJ93="",$AE93,IF(INDEX(파견수련계획!$T$4:$T$203,$AJ93)="통합수련",INDEX(파견수련계획!$S$4:$S$203,$AJ93),$AE93)))))))</f>
        <v/>
      </c>
      <c r="Z93" s="19">
        <f>IF($B93="","",IF($AB93="","기본자료에 없는 사번",IF(COUNTIF($B$2:$B$201,$B93)&gt;1,"중복 사번",IF($AE93="","소속(입사장소) 입력",IF(IF(TRIM($J93&amp;"")="",0,SUMPRODUCT((파견수련계획!$Q$4:$Q$203=TRIM($J93&amp;""))*(파견수련계획!$AA$4:$AA$203&lt;&gt;"")))&gt;0,"파견수련계획 입력오류 확인",IF(LEFT($Y93,1)="⚠","서울·구리 15일 판정 불가(양쪽 모두 이상/미만)",IF(IF($AC93="",0,N(INDEX(인턴근무계획!$T$3:$T$202,$AC93)))&gt;0,"인턴계획 입력오류 확인",IF(AND($AC93&lt;&gt;"",$U93&lt;&gt;"파견중",$N93&lt;&gt;$AE93),"인턴 타지역 근무: 파견 여부 확인","정상"))))))))</f>
        <v/>
      </c>
      <c r="AA93" s="5" t="n"/>
      <c r="AB93" s="10">
        <f>IF($B93="","",IFERROR(MATCH($B93,기본자료!$B$2:$B$501,0),IFERROR(MATCH($B93&amp;"",기본자료!$B$2:$B$501,0),IFERROR(MATCH(VALUE($B93),기본자료!$B$2:$B$501,0),""))))</f>
        <v/>
      </c>
      <c r="AC93" s="10">
        <f>IF($B93="","",IFERROR(MATCH($B93,인턴근무계획!$D$3:$D$202,0),IFERROR(MATCH($B93&amp;"",인턴근무계획!$D$3:$D$202,0),IFERROR(MATCH(VALUE($B93),인턴근무계획!$D$3:$D$202,0),""))))</f>
        <v/>
      </c>
      <c r="AD93" s="10">
        <f>IF(OR($AC93="",인턴현황!$G$3=""),"",INDEX(인턴근무계획!$M$3:$R$202,$AC93,인턴현황!$G$3)&amp;"")</f>
        <v/>
      </c>
      <c r="AE93" s="10">
        <f>IF($B93="","",IF($M93&lt;&gt;"",$M93,IF($AF93&lt;&gt;"",IF(LEFT(INDEX(파견수련계획!$R$4:$R$203,$AF93),1)&lt;&gt;"⚠",INDEX(파견수련계획!$R$4:$R$203,$AF93),IF($H93="","",IF(RIGHT($H93,2)="병원",$H93,$H93&amp;"병원"))),IF($H93="","",IF(RIGHT($H93,2)="병원",$H93,$H93&amp;"병원")))))</f>
        <v/>
      </c>
      <c r="AF93" s="10">
        <f>IF(OR($B93="",TRIM($J93&amp;"")=""),"",IFERROR(MATCH(TRIM($J93&amp;"")&amp;"|파견중",파견수련계획!$Y$4:$Y$203,0),IFERROR(MATCH(TRIM($J93&amp;"")&amp;"|파견예정",파견수련계획!$Y$4:$Y$203,0),IFERROR(MATCH(TRIM($J93&amp;"")&amp;"|파견종료",파견수련계획!$Y$4:$Y$203,0),""))))</f>
        <v/>
      </c>
      <c r="AG93" s="10">
        <f>IF($B93="","",IF(AND(IF(OR($AC93="",인턴현황!$K$2=""),"",INDEX(인턴근무계획!$M$3:$R$202,$AC93,인턴현황!$K$2)&amp;"")&lt;&gt;"",LEFT(IF(OR($AC93="",인턴현황!$K$2=""),"",INDEX(인턴근무계획!$M$3:$R$202,$AC93,인턴현황!$K$2)&amp;""),1)&lt;&gt;"⚠"),LEFT(IF(OR($AC93="",인턴현황!$K$2=""),"",INDEX(인턴근무계획!$M$3:$R$202,$AC93,인턴현황!$K$2)&amp;""),FIND(" ",IF(OR($AC93="",인턴현황!$K$2=""),"",INDEX(인턴근무계획!$M$3:$R$202,$AC93,인턴현황!$K$2)&amp;""))-1),$AE93))</f>
        <v/>
      </c>
      <c r="AH93" s="17">
        <f>IF($B93="","",IF(TRIM($J93&amp;"")="",0,SUMPRODUCT((파견수련계획!$Q$4:$Q$203=TRIM($J93&amp;""))*(파견수련계획!$S$4:$S$203="서울병원")*파견수련계획!$W$4:$W$203))+IF($AG93="서울병원",MAX(0,DAY(EOMONTH(요약!$B$3,0))-N($X93)),0))</f>
        <v/>
      </c>
      <c r="AI93" s="17">
        <f>IF($B93="","",IF(TRIM($J93&amp;"")="",0,SUMPRODUCT((파견수련계획!$Q$4:$Q$203=TRIM($J93&amp;""))*(파견수련계획!$S$4:$S$203="구리병원")*파견수련계획!$W$4:$W$203))+IF($AG93="구리병원",MAX(0,DAY(EOMONTH(요약!$B$3,0))-N($X93)),0))</f>
        <v/>
      </c>
      <c r="AJ93" s="10">
        <f>IF(OR($B93="",TRIM($J93&amp;"")=""),"",IFERROR(MATCH(TRIM($J93&amp;"")&amp;"|월",파견수련계획!$Z$4:$Z$203,0),""))</f>
        <v/>
      </c>
      <c r="AK93" s="10">
        <f>IF(OR($B93="",TRIM($J93&amp;"")=""),"",IFERROR(MATCH(TRIM($J93&amp;"")&amp;"|다기관",파견수련계획!$AE$4:$AE$203,0),""))</f>
        <v/>
      </c>
      <c r="AL93" s="10">
        <f>IF($AK93="","","다기관 "&amp;TEXT(INDEX(파견수련계획!$AB$4:$AB$203,$AK93),"yyyy-mm-dd")&amp;"~"&amp;IF(ISNUMBER(INDEX(파견수련계획!$AC$4:$AC$203,$AK93)),TEXT(INDEX(파견수련계획!$AC$4:$AC$203,$AK93),"yyyy-mm-dd"),""))</f>
        <v/>
      </c>
    </row>
    <row r="94">
      <c r="A94" s="10">
        <f>IF(B94="","",ROW()-1)</f>
        <v/>
      </c>
      <c r="B94" s="18" t="n"/>
      <c r="C94" s="10">
        <f>IF($AB94="","",IF(INDEX(기본자료!$C$2:$C$501,$AB94)="","",INDEX(기본자료!$C$2:$C$501,$AB94)))</f>
        <v/>
      </c>
      <c r="D94" s="10">
        <f>IF($AB94="","",IF(INDEX(기본자료!$J$2:$J$501,$AB94)="","",INDEX(기본자료!$J$2:$J$501,$AB94)))</f>
        <v/>
      </c>
      <c r="E94" s="11">
        <f>IF($AB94="","",IF(INDEX(기본자료!$K$2:$K$501,$AB94)="","",IF(NOT(ISNUMBER(INDEX(기본자료!$K$2:$K$501,$AB94))),INDEX(기본자료!$K$2:$K$501,$AB94),IF(INDEX(기본자료!$K$2:$K$501,$AB94)&lt;1000000,INDEX(기본자료!$K$2:$K$501,$AB94),IF(AND(INDEX(기본자료!$K$2:$K$501,$AB94)&gt;=10000101,INT(MOD(INDEX(기본자료!$K$2:$K$501,$AB94),10000)/100)&gt;=1,INT(MOD(INDEX(기본자료!$K$2:$K$501,$AB94),10000)/100)&lt;=12,MOD(INDEX(기본자료!$K$2:$K$501,$AB94),100)&gt;=1,MOD(INDEX(기본자료!$K$2:$K$501,$AB94),100)&lt;=31),DATE(INT(INDEX(기본자료!$K$2:$K$501,$AB94)/10000),INT(MOD(INDEX(기본자료!$K$2:$K$501,$AB94),10000)/100),MOD(INDEX(기본자료!$K$2:$K$501,$AB94),100)),INDEX(기본자료!$K$2:$K$501,$AB94)&amp;"")))))</f>
        <v/>
      </c>
      <c r="F94" s="10">
        <f>IF($AB94="","",IF(INDEX(기본자료!$D$2:$D$501,$AB94)="","",INDEX(기본자료!$D$2:$D$501,$AB94)))</f>
        <v/>
      </c>
      <c r="G94" s="10">
        <f>IF($AB94="","",IF(INDEX(기본자료!$E$2:$E$501,$AB94)="","",INDEX(기본자료!$E$2:$E$501,$AB94)))</f>
        <v/>
      </c>
      <c r="H94" s="10">
        <f>IF($AB94="","",IF(INDEX(기본자료!$F$2:$F$501,$AB94)="","",INDEX(기본자료!$F$2:$F$501,$AB94)))</f>
        <v/>
      </c>
      <c r="I94" s="11">
        <f>IF($AB94="","",IF(INDEX(기본자료!$G$2:$G$501,$AB94)="","",IF(NOT(ISNUMBER(INDEX(기본자료!$G$2:$G$501,$AB94))),INDEX(기본자료!$G$2:$G$501,$AB94),IF(INDEX(기본자료!$G$2:$G$501,$AB94)&lt;1000000,INDEX(기본자료!$G$2:$G$501,$AB94),IF(AND(INDEX(기본자료!$G$2:$G$501,$AB94)&gt;=10000101,INT(MOD(INDEX(기본자료!$G$2:$G$501,$AB94),10000)/100)&gt;=1,INT(MOD(INDEX(기본자료!$G$2:$G$501,$AB94),10000)/100)&lt;=12,MOD(INDEX(기본자료!$G$2:$G$501,$AB94),100)&gt;=1,MOD(INDEX(기본자료!$G$2:$G$501,$AB94),100)&lt;=31),DATE(INT(INDEX(기본자료!$G$2:$G$501,$AB94)/10000),INT(MOD(INDEX(기본자료!$G$2:$G$501,$AB94),10000)/100),MOD(INDEX(기본자료!$G$2:$G$501,$AB94),100)),INDEX(기본자료!$G$2:$G$501,$AB94)&amp;"")))))</f>
        <v/>
      </c>
      <c r="J94" s="10">
        <f>IF($AB94="","",IF(INDEX(기본자료!$H$2:$H$501,$AB94)="","",INDEX(기본자료!$H$2:$H$501,$AB94)))</f>
        <v/>
      </c>
      <c r="K94" s="10">
        <f>IF($AB94="","",IF(INDEX(기본자료!$I$2:$I$501,$AB94)="","",INDEX(기본자료!$I$2:$I$501,$AB94)))</f>
        <v/>
      </c>
      <c r="L94" s="10">
        <f>IF($AB94="","",IF(INDEX(기본자료!$A$2:$A$501,$AB94)="","",INDEX(기본자료!$A$2:$A$501,$AB94)))</f>
        <v/>
      </c>
      <c r="M94" s="15" t="n"/>
      <c r="N94" s="10">
        <f>IF($B94="","",IF(AND($U94="파견중",$Q94&lt;&gt;""),$Q94,IF(AND($AD94&lt;&gt;"",LEFT($AD94,1)&lt;&gt;"⚠"),LEFT($AD94,FIND(" ",$AD94)-1),IF($H94="","",IF(RIGHT($H94,2)="병원",$H94,$H94&amp;"병원")))))</f>
        <v/>
      </c>
      <c r="O94" s="10">
        <f>IF($B94="","",IF(AND($U94="파견중",$Q94&lt;&gt;""),IF($R94&lt;&gt;"",$R94,"파견과 미입력"),IF(AND($AD94&lt;&gt;"",LEFT($AD94,1)&lt;&gt;"⚠"),MID($AD94,FIND(" ",$AD94)+1,60),IF($F94="","",IF($F94="인턴","수련교육부(인턴)",$F94)))))</f>
        <v/>
      </c>
      <c r="P94" s="10">
        <f>IF($B94="","",IF($AK94&lt;&gt;"",IF(AND(TODAY()&gt;=INDEX(파견수련계획!$AB$4:$AB$203,$AK94),OR(NOT(ISNUMBER(INDEX(파견수련계획!$AC$4:$AC$203,$AK94))),TODAY()&lt;=INDEX(파견수련계획!$AC$4:$AC$203,$AK94))),"다기관",IF($AF94="","",INDEX(파견수련계획!$T$4:$T$203,$AF94))),IF($AF94="","",INDEX(파견수련계획!$T$4:$T$203,$AF94))))</f>
        <v/>
      </c>
      <c r="Q94" s="10">
        <f>IF($AF94="","",INDEX(파견수련계획!$S$4:$S$203,$AF94))</f>
        <v/>
      </c>
      <c r="R94" s="10">
        <f>IF($AF94="","",INDEX(파견수련계획!$U$4:$U$203,$AF94))</f>
        <v/>
      </c>
      <c r="S94" s="11">
        <f>IF($AF94="","",IF(INDEX(파견수련계획!$H$4:$H$203,$AF94)="","",INDEX(파견수련계획!$H$4:$H$203,$AF94)))</f>
        <v/>
      </c>
      <c r="T94" s="11">
        <f>IF($AF94="","",IF(INDEX(파견수련계획!$I$4:$I$203,$AF94)="","",INDEX(파견수련계획!$I$4:$I$203,$AF94)))</f>
        <v/>
      </c>
      <c r="U94" s="10">
        <f>IF($AF94="","",INDEX(파견수련계획!$X$4:$X$203,$AF94))</f>
        <v/>
      </c>
      <c r="V94" s="17">
        <f>IF($AF94="","",INDEX(파견수련계획!$V$4:$V$203,$AF94))</f>
        <v/>
      </c>
      <c r="W94" s="17">
        <f>IF(AND($U94="파견중",$T94&lt;&gt;""),$T94-TODAY(),"")</f>
        <v/>
      </c>
      <c r="X94" s="17">
        <f>IF(OR($B94="",TRIM($J94&amp;"")=""),"",SUMPRODUCT((파견수련계획!$Q$4:$Q$203=TRIM($J94&amp;""))*파견수련계획!$W$4:$W$203))</f>
        <v/>
      </c>
      <c r="Y94" s="10">
        <f>IF($B94="","",IF($AG94="","",IF(IF(TRIM($J94&amp;"")="",0,SUMPRODUCT((파견수련계획!$Q$4:$Q$203=TRIM($J94&amp;""))*파견수련계획!$AD$4:$AD$203))&gt;0,$AE94,IF(N($X94)&lt;=0,$AG94,IF($AH94+$AI94=DAY(EOMONTH(요약!$B$3,0)),IF(AND($AH94&gt;=요약!$E$3,$AI94&lt;요약!$E$3),"서울병원",IF(AND($AI94&gt;=요약!$E$3,$AH94&lt;요약!$E$3),"구리병원","⚠15일 판정불가(서울 "&amp;$AH94&amp;"일/구리 "&amp;$AI94&amp;"일)")),IF($AJ94="",$AE94,IF(INDEX(파견수련계획!$T$4:$T$203,$AJ94)="통합수련",INDEX(파견수련계획!$S$4:$S$203,$AJ94),$AE94)))))))</f>
        <v/>
      </c>
      <c r="Z94" s="19">
        <f>IF($B94="","",IF($AB94="","기본자료에 없는 사번",IF(COUNTIF($B$2:$B$201,$B94)&gt;1,"중복 사번",IF($AE94="","소속(입사장소) 입력",IF(IF(TRIM($J94&amp;"")="",0,SUMPRODUCT((파견수련계획!$Q$4:$Q$203=TRIM($J94&amp;""))*(파견수련계획!$AA$4:$AA$203&lt;&gt;"")))&gt;0,"파견수련계획 입력오류 확인",IF(LEFT($Y94,1)="⚠","서울·구리 15일 판정 불가(양쪽 모두 이상/미만)",IF(IF($AC94="",0,N(INDEX(인턴근무계획!$T$3:$T$202,$AC94)))&gt;0,"인턴계획 입력오류 확인",IF(AND($AC94&lt;&gt;"",$U94&lt;&gt;"파견중",$N94&lt;&gt;$AE94),"인턴 타지역 근무: 파견 여부 확인","정상"))))))))</f>
        <v/>
      </c>
      <c r="AA94" s="5" t="n"/>
      <c r="AB94" s="10">
        <f>IF($B94="","",IFERROR(MATCH($B94,기본자료!$B$2:$B$501,0),IFERROR(MATCH($B94&amp;"",기본자료!$B$2:$B$501,0),IFERROR(MATCH(VALUE($B94),기본자료!$B$2:$B$501,0),""))))</f>
        <v/>
      </c>
      <c r="AC94" s="10">
        <f>IF($B94="","",IFERROR(MATCH($B94,인턴근무계획!$D$3:$D$202,0),IFERROR(MATCH($B94&amp;"",인턴근무계획!$D$3:$D$202,0),IFERROR(MATCH(VALUE($B94),인턴근무계획!$D$3:$D$202,0),""))))</f>
        <v/>
      </c>
      <c r="AD94" s="10">
        <f>IF(OR($AC94="",인턴현황!$G$3=""),"",INDEX(인턴근무계획!$M$3:$R$202,$AC94,인턴현황!$G$3)&amp;"")</f>
        <v/>
      </c>
      <c r="AE94" s="10">
        <f>IF($B94="","",IF($M94&lt;&gt;"",$M94,IF($AF94&lt;&gt;"",IF(LEFT(INDEX(파견수련계획!$R$4:$R$203,$AF94),1)&lt;&gt;"⚠",INDEX(파견수련계획!$R$4:$R$203,$AF94),IF($H94="","",IF(RIGHT($H94,2)="병원",$H94,$H94&amp;"병원"))),IF($H94="","",IF(RIGHT($H94,2)="병원",$H94,$H94&amp;"병원")))))</f>
        <v/>
      </c>
      <c r="AF94" s="10">
        <f>IF(OR($B94="",TRIM($J94&amp;"")=""),"",IFERROR(MATCH(TRIM($J94&amp;"")&amp;"|파견중",파견수련계획!$Y$4:$Y$203,0),IFERROR(MATCH(TRIM($J94&amp;"")&amp;"|파견예정",파견수련계획!$Y$4:$Y$203,0),IFERROR(MATCH(TRIM($J94&amp;"")&amp;"|파견종료",파견수련계획!$Y$4:$Y$203,0),""))))</f>
        <v/>
      </c>
      <c r="AG94" s="10">
        <f>IF($B94="","",IF(AND(IF(OR($AC94="",인턴현황!$K$2=""),"",INDEX(인턴근무계획!$M$3:$R$202,$AC94,인턴현황!$K$2)&amp;"")&lt;&gt;"",LEFT(IF(OR($AC94="",인턴현황!$K$2=""),"",INDEX(인턴근무계획!$M$3:$R$202,$AC94,인턴현황!$K$2)&amp;""),1)&lt;&gt;"⚠"),LEFT(IF(OR($AC94="",인턴현황!$K$2=""),"",INDEX(인턴근무계획!$M$3:$R$202,$AC94,인턴현황!$K$2)&amp;""),FIND(" ",IF(OR($AC94="",인턴현황!$K$2=""),"",INDEX(인턴근무계획!$M$3:$R$202,$AC94,인턴현황!$K$2)&amp;""))-1),$AE94))</f>
        <v/>
      </c>
      <c r="AH94" s="17">
        <f>IF($B94="","",IF(TRIM($J94&amp;"")="",0,SUMPRODUCT((파견수련계획!$Q$4:$Q$203=TRIM($J94&amp;""))*(파견수련계획!$S$4:$S$203="서울병원")*파견수련계획!$W$4:$W$203))+IF($AG94="서울병원",MAX(0,DAY(EOMONTH(요약!$B$3,0))-N($X94)),0))</f>
        <v/>
      </c>
      <c r="AI94" s="17">
        <f>IF($B94="","",IF(TRIM($J94&amp;"")="",0,SUMPRODUCT((파견수련계획!$Q$4:$Q$203=TRIM($J94&amp;""))*(파견수련계획!$S$4:$S$203="구리병원")*파견수련계획!$W$4:$W$203))+IF($AG94="구리병원",MAX(0,DAY(EOMONTH(요약!$B$3,0))-N($X94)),0))</f>
        <v/>
      </c>
      <c r="AJ94" s="10">
        <f>IF(OR($B94="",TRIM($J94&amp;"")=""),"",IFERROR(MATCH(TRIM($J94&amp;"")&amp;"|월",파견수련계획!$Z$4:$Z$203,0),""))</f>
        <v/>
      </c>
      <c r="AK94" s="10">
        <f>IF(OR($B94="",TRIM($J94&amp;"")=""),"",IFERROR(MATCH(TRIM($J94&amp;"")&amp;"|다기관",파견수련계획!$AE$4:$AE$203,0),""))</f>
        <v/>
      </c>
      <c r="AL94" s="10">
        <f>IF($AK94="","","다기관 "&amp;TEXT(INDEX(파견수련계획!$AB$4:$AB$203,$AK94),"yyyy-mm-dd")&amp;"~"&amp;IF(ISNUMBER(INDEX(파견수련계획!$AC$4:$AC$203,$AK94)),TEXT(INDEX(파견수련계획!$AC$4:$AC$203,$AK94),"yyyy-mm-dd"),""))</f>
        <v/>
      </c>
    </row>
    <row r="95">
      <c r="A95" s="10">
        <f>IF(B95="","",ROW()-1)</f>
        <v/>
      </c>
      <c r="B95" s="18" t="n"/>
      <c r="C95" s="10">
        <f>IF($AB95="","",IF(INDEX(기본자료!$C$2:$C$501,$AB95)="","",INDEX(기본자료!$C$2:$C$501,$AB95)))</f>
        <v/>
      </c>
      <c r="D95" s="10">
        <f>IF($AB95="","",IF(INDEX(기본자료!$J$2:$J$501,$AB95)="","",INDEX(기본자료!$J$2:$J$501,$AB95)))</f>
        <v/>
      </c>
      <c r="E95" s="11">
        <f>IF($AB95="","",IF(INDEX(기본자료!$K$2:$K$501,$AB95)="","",IF(NOT(ISNUMBER(INDEX(기본자료!$K$2:$K$501,$AB95))),INDEX(기본자료!$K$2:$K$501,$AB95),IF(INDEX(기본자료!$K$2:$K$501,$AB95)&lt;1000000,INDEX(기본자료!$K$2:$K$501,$AB95),IF(AND(INDEX(기본자료!$K$2:$K$501,$AB95)&gt;=10000101,INT(MOD(INDEX(기본자료!$K$2:$K$501,$AB95),10000)/100)&gt;=1,INT(MOD(INDEX(기본자료!$K$2:$K$501,$AB95),10000)/100)&lt;=12,MOD(INDEX(기본자료!$K$2:$K$501,$AB95),100)&gt;=1,MOD(INDEX(기본자료!$K$2:$K$501,$AB95),100)&lt;=31),DATE(INT(INDEX(기본자료!$K$2:$K$501,$AB95)/10000),INT(MOD(INDEX(기본자료!$K$2:$K$501,$AB95),10000)/100),MOD(INDEX(기본자료!$K$2:$K$501,$AB95),100)),INDEX(기본자료!$K$2:$K$501,$AB95)&amp;"")))))</f>
        <v/>
      </c>
      <c r="F95" s="10">
        <f>IF($AB95="","",IF(INDEX(기본자료!$D$2:$D$501,$AB95)="","",INDEX(기본자료!$D$2:$D$501,$AB95)))</f>
        <v/>
      </c>
      <c r="G95" s="10">
        <f>IF($AB95="","",IF(INDEX(기본자료!$E$2:$E$501,$AB95)="","",INDEX(기본자료!$E$2:$E$501,$AB95)))</f>
        <v/>
      </c>
      <c r="H95" s="10">
        <f>IF($AB95="","",IF(INDEX(기본자료!$F$2:$F$501,$AB95)="","",INDEX(기본자료!$F$2:$F$501,$AB95)))</f>
        <v/>
      </c>
      <c r="I95" s="11">
        <f>IF($AB95="","",IF(INDEX(기본자료!$G$2:$G$501,$AB95)="","",IF(NOT(ISNUMBER(INDEX(기본자료!$G$2:$G$501,$AB95))),INDEX(기본자료!$G$2:$G$501,$AB95),IF(INDEX(기본자료!$G$2:$G$501,$AB95)&lt;1000000,INDEX(기본자료!$G$2:$G$501,$AB95),IF(AND(INDEX(기본자료!$G$2:$G$501,$AB95)&gt;=10000101,INT(MOD(INDEX(기본자료!$G$2:$G$501,$AB95),10000)/100)&gt;=1,INT(MOD(INDEX(기본자료!$G$2:$G$501,$AB95),10000)/100)&lt;=12,MOD(INDEX(기본자료!$G$2:$G$501,$AB95),100)&gt;=1,MOD(INDEX(기본자료!$G$2:$G$501,$AB95),100)&lt;=31),DATE(INT(INDEX(기본자료!$G$2:$G$501,$AB95)/10000),INT(MOD(INDEX(기본자료!$G$2:$G$501,$AB95),10000)/100),MOD(INDEX(기본자료!$G$2:$G$501,$AB95),100)),INDEX(기본자료!$G$2:$G$501,$AB95)&amp;"")))))</f>
        <v/>
      </c>
      <c r="J95" s="10">
        <f>IF($AB95="","",IF(INDEX(기본자료!$H$2:$H$501,$AB95)="","",INDEX(기본자료!$H$2:$H$501,$AB95)))</f>
        <v/>
      </c>
      <c r="K95" s="10">
        <f>IF($AB95="","",IF(INDEX(기본자료!$I$2:$I$501,$AB95)="","",INDEX(기본자료!$I$2:$I$501,$AB95)))</f>
        <v/>
      </c>
      <c r="L95" s="10">
        <f>IF($AB95="","",IF(INDEX(기본자료!$A$2:$A$501,$AB95)="","",INDEX(기본자료!$A$2:$A$501,$AB95)))</f>
        <v/>
      </c>
      <c r="M95" s="15" t="n"/>
      <c r="N95" s="10">
        <f>IF($B95="","",IF(AND($U95="파견중",$Q95&lt;&gt;""),$Q95,IF(AND($AD95&lt;&gt;"",LEFT($AD95,1)&lt;&gt;"⚠"),LEFT($AD95,FIND(" ",$AD95)-1),IF($H95="","",IF(RIGHT($H95,2)="병원",$H95,$H95&amp;"병원")))))</f>
        <v/>
      </c>
      <c r="O95" s="10">
        <f>IF($B95="","",IF(AND($U95="파견중",$Q95&lt;&gt;""),IF($R95&lt;&gt;"",$R95,"파견과 미입력"),IF(AND($AD95&lt;&gt;"",LEFT($AD95,1)&lt;&gt;"⚠"),MID($AD95,FIND(" ",$AD95)+1,60),IF($F95="","",IF($F95="인턴","수련교육부(인턴)",$F95)))))</f>
        <v/>
      </c>
      <c r="P95" s="10">
        <f>IF($B95="","",IF($AK95&lt;&gt;"",IF(AND(TODAY()&gt;=INDEX(파견수련계획!$AB$4:$AB$203,$AK95),OR(NOT(ISNUMBER(INDEX(파견수련계획!$AC$4:$AC$203,$AK95))),TODAY()&lt;=INDEX(파견수련계획!$AC$4:$AC$203,$AK95))),"다기관",IF($AF95="","",INDEX(파견수련계획!$T$4:$T$203,$AF95))),IF($AF95="","",INDEX(파견수련계획!$T$4:$T$203,$AF95))))</f>
        <v/>
      </c>
      <c r="Q95" s="10">
        <f>IF($AF95="","",INDEX(파견수련계획!$S$4:$S$203,$AF95))</f>
        <v/>
      </c>
      <c r="R95" s="10">
        <f>IF($AF95="","",INDEX(파견수련계획!$U$4:$U$203,$AF95))</f>
        <v/>
      </c>
      <c r="S95" s="11">
        <f>IF($AF95="","",IF(INDEX(파견수련계획!$H$4:$H$203,$AF95)="","",INDEX(파견수련계획!$H$4:$H$203,$AF95)))</f>
        <v/>
      </c>
      <c r="T95" s="11">
        <f>IF($AF95="","",IF(INDEX(파견수련계획!$I$4:$I$203,$AF95)="","",INDEX(파견수련계획!$I$4:$I$203,$AF95)))</f>
        <v/>
      </c>
      <c r="U95" s="10">
        <f>IF($AF95="","",INDEX(파견수련계획!$X$4:$X$203,$AF95))</f>
        <v/>
      </c>
      <c r="V95" s="17">
        <f>IF($AF95="","",INDEX(파견수련계획!$V$4:$V$203,$AF95))</f>
        <v/>
      </c>
      <c r="W95" s="17">
        <f>IF(AND($U95="파견중",$T95&lt;&gt;""),$T95-TODAY(),"")</f>
        <v/>
      </c>
      <c r="X95" s="17">
        <f>IF(OR($B95="",TRIM($J95&amp;"")=""),"",SUMPRODUCT((파견수련계획!$Q$4:$Q$203=TRIM($J95&amp;""))*파견수련계획!$W$4:$W$203))</f>
        <v/>
      </c>
      <c r="Y95" s="10">
        <f>IF($B95="","",IF($AG95="","",IF(IF(TRIM($J95&amp;"")="",0,SUMPRODUCT((파견수련계획!$Q$4:$Q$203=TRIM($J95&amp;""))*파견수련계획!$AD$4:$AD$203))&gt;0,$AE95,IF(N($X95)&lt;=0,$AG95,IF($AH95+$AI95=DAY(EOMONTH(요약!$B$3,0)),IF(AND($AH95&gt;=요약!$E$3,$AI95&lt;요약!$E$3),"서울병원",IF(AND($AI95&gt;=요약!$E$3,$AH95&lt;요약!$E$3),"구리병원","⚠15일 판정불가(서울 "&amp;$AH95&amp;"일/구리 "&amp;$AI95&amp;"일)")),IF($AJ95="",$AE95,IF(INDEX(파견수련계획!$T$4:$T$203,$AJ95)="통합수련",INDEX(파견수련계획!$S$4:$S$203,$AJ95),$AE95)))))))</f>
        <v/>
      </c>
      <c r="Z95" s="19">
        <f>IF($B95="","",IF($AB95="","기본자료에 없는 사번",IF(COUNTIF($B$2:$B$201,$B95)&gt;1,"중복 사번",IF($AE95="","소속(입사장소) 입력",IF(IF(TRIM($J95&amp;"")="",0,SUMPRODUCT((파견수련계획!$Q$4:$Q$203=TRIM($J95&amp;""))*(파견수련계획!$AA$4:$AA$203&lt;&gt;"")))&gt;0,"파견수련계획 입력오류 확인",IF(LEFT($Y95,1)="⚠","서울·구리 15일 판정 불가(양쪽 모두 이상/미만)",IF(IF($AC95="",0,N(INDEX(인턴근무계획!$T$3:$T$202,$AC95)))&gt;0,"인턴계획 입력오류 확인",IF(AND($AC95&lt;&gt;"",$U95&lt;&gt;"파견중",$N95&lt;&gt;$AE95),"인턴 타지역 근무: 파견 여부 확인","정상"))))))))</f>
        <v/>
      </c>
      <c r="AA95" s="5" t="n"/>
      <c r="AB95" s="10">
        <f>IF($B95="","",IFERROR(MATCH($B95,기본자료!$B$2:$B$501,0),IFERROR(MATCH($B95&amp;"",기본자료!$B$2:$B$501,0),IFERROR(MATCH(VALUE($B95),기본자료!$B$2:$B$501,0),""))))</f>
        <v/>
      </c>
      <c r="AC95" s="10">
        <f>IF($B95="","",IFERROR(MATCH($B95,인턴근무계획!$D$3:$D$202,0),IFERROR(MATCH($B95&amp;"",인턴근무계획!$D$3:$D$202,0),IFERROR(MATCH(VALUE($B95),인턴근무계획!$D$3:$D$202,0),""))))</f>
        <v/>
      </c>
      <c r="AD95" s="10">
        <f>IF(OR($AC95="",인턴현황!$G$3=""),"",INDEX(인턴근무계획!$M$3:$R$202,$AC95,인턴현황!$G$3)&amp;"")</f>
        <v/>
      </c>
      <c r="AE95" s="10">
        <f>IF($B95="","",IF($M95&lt;&gt;"",$M95,IF($AF95&lt;&gt;"",IF(LEFT(INDEX(파견수련계획!$R$4:$R$203,$AF95),1)&lt;&gt;"⚠",INDEX(파견수련계획!$R$4:$R$203,$AF95),IF($H95="","",IF(RIGHT($H95,2)="병원",$H95,$H95&amp;"병원"))),IF($H95="","",IF(RIGHT($H95,2)="병원",$H95,$H95&amp;"병원")))))</f>
        <v/>
      </c>
      <c r="AF95" s="10">
        <f>IF(OR($B95="",TRIM($J95&amp;"")=""),"",IFERROR(MATCH(TRIM($J95&amp;"")&amp;"|파견중",파견수련계획!$Y$4:$Y$203,0),IFERROR(MATCH(TRIM($J95&amp;"")&amp;"|파견예정",파견수련계획!$Y$4:$Y$203,0),IFERROR(MATCH(TRIM($J95&amp;"")&amp;"|파견종료",파견수련계획!$Y$4:$Y$203,0),""))))</f>
        <v/>
      </c>
      <c r="AG95" s="10">
        <f>IF($B95="","",IF(AND(IF(OR($AC95="",인턴현황!$K$2=""),"",INDEX(인턴근무계획!$M$3:$R$202,$AC95,인턴현황!$K$2)&amp;"")&lt;&gt;"",LEFT(IF(OR($AC95="",인턴현황!$K$2=""),"",INDEX(인턴근무계획!$M$3:$R$202,$AC95,인턴현황!$K$2)&amp;""),1)&lt;&gt;"⚠"),LEFT(IF(OR($AC95="",인턴현황!$K$2=""),"",INDEX(인턴근무계획!$M$3:$R$202,$AC95,인턴현황!$K$2)&amp;""),FIND(" ",IF(OR($AC95="",인턴현황!$K$2=""),"",INDEX(인턴근무계획!$M$3:$R$202,$AC95,인턴현황!$K$2)&amp;""))-1),$AE95))</f>
        <v/>
      </c>
      <c r="AH95" s="17">
        <f>IF($B95="","",IF(TRIM($J95&amp;"")="",0,SUMPRODUCT((파견수련계획!$Q$4:$Q$203=TRIM($J95&amp;""))*(파견수련계획!$S$4:$S$203="서울병원")*파견수련계획!$W$4:$W$203))+IF($AG95="서울병원",MAX(0,DAY(EOMONTH(요약!$B$3,0))-N($X95)),0))</f>
        <v/>
      </c>
      <c r="AI95" s="17">
        <f>IF($B95="","",IF(TRIM($J95&amp;"")="",0,SUMPRODUCT((파견수련계획!$Q$4:$Q$203=TRIM($J95&amp;""))*(파견수련계획!$S$4:$S$203="구리병원")*파견수련계획!$W$4:$W$203))+IF($AG95="구리병원",MAX(0,DAY(EOMONTH(요약!$B$3,0))-N($X95)),0))</f>
        <v/>
      </c>
      <c r="AJ95" s="10">
        <f>IF(OR($B95="",TRIM($J95&amp;"")=""),"",IFERROR(MATCH(TRIM($J95&amp;"")&amp;"|월",파견수련계획!$Z$4:$Z$203,0),""))</f>
        <v/>
      </c>
      <c r="AK95" s="10">
        <f>IF(OR($B95="",TRIM($J95&amp;"")=""),"",IFERROR(MATCH(TRIM($J95&amp;"")&amp;"|다기관",파견수련계획!$AE$4:$AE$203,0),""))</f>
        <v/>
      </c>
      <c r="AL95" s="10">
        <f>IF($AK95="","","다기관 "&amp;TEXT(INDEX(파견수련계획!$AB$4:$AB$203,$AK95),"yyyy-mm-dd")&amp;"~"&amp;IF(ISNUMBER(INDEX(파견수련계획!$AC$4:$AC$203,$AK95)),TEXT(INDEX(파견수련계획!$AC$4:$AC$203,$AK95),"yyyy-mm-dd"),""))</f>
        <v/>
      </c>
    </row>
    <row r="96">
      <c r="A96" s="10">
        <f>IF(B96="","",ROW()-1)</f>
        <v/>
      </c>
      <c r="B96" s="18" t="n"/>
      <c r="C96" s="10">
        <f>IF($AB96="","",IF(INDEX(기본자료!$C$2:$C$501,$AB96)="","",INDEX(기본자료!$C$2:$C$501,$AB96)))</f>
        <v/>
      </c>
      <c r="D96" s="10">
        <f>IF($AB96="","",IF(INDEX(기본자료!$J$2:$J$501,$AB96)="","",INDEX(기본자료!$J$2:$J$501,$AB96)))</f>
        <v/>
      </c>
      <c r="E96" s="11">
        <f>IF($AB96="","",IF(INDEX(기본자료!$K$2:$K$501,$AB96)="","",IF(NOT(ISNUMBER(INDEX(기본자료!$K$2:$K$501,$AB96))),INDEX(기본자료!$K$2:$K$501,$AB96),IF(INDEX(기본자료!$K$2:$K$501,$AB96)&lt;1000000,INDEX(기본자료!$K$2:$K$501,$AB96),IF(AND(INDEX(기본자료!$K$2:$K$501,$AB96)&gt;=10000101,INT(MOD(INDEX(기본자료!$K$2:$K$501,$AB96),10000)/100)&gt;=1,INT(MOD(INDEX(기본자료!$K$2:$K$501,$AB96),10000)/100)&lt;=12,MOD(INDEX(기본자료!$K$2:$K$501,$AB96),100)&gt;=1,MOD(INDEX(기본자료!$K$2:$K$501,$AB96),100)&lt;=31),DATE(INT(INDEX(기본자료!$K$2:$K$501,$AB96)/10000),INT(MOD(INDEX(기본자료!$K$2:$K$501,$AB96),10000)/100),MOD(INDEX(기본자료!$K$2:$K$501,$AB96),100)),INDEX(기본자료!$K$2:$K$501,$AB96)&amp;"")))))</f>
        <v/>
      </c>
      <c r="F96" s="10">
        <f>IF($AB96="","",IF(INDEX(기본자료!$D$2:$D$501,$AB96)="","",INDEX(기본자료!$D$2:$D$501,$AB96)))</f>
        <v/>
      </c>
      <c r="G96" s="10">
        <f>IF($AB96="","",IF(INDEX(기본자료!$E$2:$E$501,$AB96)="","",INDEX(기본자료!$E$2:$E$501,$AB96)))</f>
        <v/>
      </c>
      <c r="H96" s="10">
        <f>IF($AB96="","",IF(INDEX(기본자료!$F$2:$F$501,$AB96)="","",INDEX(기본자료!$F$2:$F$501,$AB96)))</f>
        <v/>
      </c>
      <c r="I96" s="11">
        <f>IF($AB96="","",IF(INDEX(기본자료!$G$2:$G$501,$AB96)="","",IF(NOT(ISNUMBER(INDEX(기본자료!$G$2:$G$501,$AB96))),INDEX(기본자료!$G$2:$G$501,$AB96),IF(INDEX(기본자료!$G$2:$G$501,$AB96)&lt;1000000,INDEX(기본자료!$G$2:$G$501,$AB96),IF(AND(INDEX(기본자료!$G$2:$G$501,$AB96)&gt;=10000101,INT(MOD(INDEX(기본자료!$G$2:$G$501,$AB96),10000)/100)&gt;=1,INT(MOD(INDEX(기본자료!$G$2:$G$501,$AB96),10000)/100)&lt;=12,MOD(INDEX(기본자료!$G$2:$G$501,$AB96),100)&gt;=1,MOD(INDEX(기본자료!$G$2:$G$501,$AB96),100)&lt;=31),DATE(INT(INDEX(기본자료!$G$2:$G$501,$AB96)/10000),INT(MOD(INDEX(기본자료!$G$2:$G$501,$AB96),10000)/100),MOD(INDEX(기본자료!$G$2:$G$501,$AB96),100)),INDEX(기본자료!$G$2:$G$501,$AB96)&amp;"")))))</f>
        <v/>
      </c>
      <c r="J96" s="10">
        <f>IF($AB96="","",IF(INDEX(기본자료!$H$2:$H$501,$AB96)="","",INDEX(기본자료!$H$2:$H$501,$AB96)))</f>
        <v/>
      </c>
      <c r="K96" s="10">
        <f>IF($AB96="","",IF(INDEX(기본자료!$I$2:$I$501,$AB96)="","",INDEX(기본자료!$I$2:$I$501,$AB96)))</f>
        <v/>
      </c>
      <c r="L96" s="10">
        <f>IF($AB96="","",IF(INDEX(기본자료!$A$2:$A$501,$AB96)="","",INDEX(기본자료!$A$2:$A$501,$AB96)))</f>
        <v/>
      </c>
      <c r="M96" s="15" t="n"/>
      <c r="N96" s="10">
        <f>IF($B96="","",IF(AND($U96="파견중",$Q96&lt;&gt;""),$Q96,IF(AND($AD96&lt;&gt;"",LEFT($AD96,1)&lt;&gt;"⚠"),LEFT($AD96,FIND(" ",$AD96)-1),IF($H96="","",IF(RIGHT($H96,2)="병원",$H96,$H96&amp;"병원")))))</f>
        <v/>
      </c>
      <c r="O96" s="10">
        <f>IF($B96="","",IF(AND($U96="파견중",$Q96&lt;&gt;""),IF($R96&lt;&gt;"",$R96,"파견과 미입력"),IF(AND($AD96&lt;&gt;"",LEFT($AD96,1)&lt;&gt;"⚠"),MID($AD96,FIND(" ",$AD96)+1,60),IF($F96="","",IF($F96="인턴","수련교육부(인턴)",$F96)))))</f>
        <v/>
      </c>
      <c r="P96" s="10">
        <f>IF($B96="","",IF($AK96&lt;&gt;"",IF(AND(TODAY()&gt;=INDEX(파견수련계획!$AB$4:$AB$203,$AK96),OR(NOT(ISNUMBER(INDEX(파견수련계획!$AC$4:$AC$203,$AK96))),TODAY()&lt;=INDEX(파견수련계획!$AC$4:$AC$203,$AK96))),"다기관",IF($AF96="","",INDEX(파견수련계획!$T$4:$T$203,$AF96))),IF($AF96="","",INDEX(파견수련계획!$T$4:$T$203,$AF96))))</f>
        <v/>
      </c>
      <c r="Q96" s="10">
        <f>IF($AF96="","",INDEX(파견수련계획!$S$4:$S$203,$AF96))</f>
        <v/>
      </c>
      <c r="R96" s="10">
        <f>IF($AF96="","",INDEX(파견수련계획!$U$4:$U$203,$AF96))</f>
        <v/>
      </c>
      <c r="S96" s="11">
        <f>IF($AF96="","",IF(INDEX(파견수련계획!$H$4:$H$203,$AF96)="","",INDEX(파견수련계획!$H$4:$H$203,$AF96)))</f>
        <v/>
      </c>
      <c r="T96" s="11">
        <f>IF($AF96="","",IF(INDEX(파견수련계획!$I$4:$I$203,$AF96)="","",INDEX(파견수련계획!$I$4:$I$203,$AF96)))</f>
        <v/>
      </c>
      <c r="U96" s="10">
        <f>IF($AF96="","",INDEX(파견수련계획!$X$4:$X$203,$AF96))</f>
        <v/>
      </c>
      <c r="V96" s="17">
        <f>IF($AF96="","",INDEX(파견수련계획!$V$4:$V$203,$AF96))</f>
        <v/>
      </c>
      <c r="W96" s="17">
        <f>IF(AND($U96="파견중",$T96&lt;&gt;""),$T96-TODAY(),"")</f>
        <v/>
      </c>
      <c r="X96" s="17">
        <f>IF(OR($B96="",TRIM($J96&amp;"")=""),"",SUMPRODUCT((파견수련계획!$Q$4:$Q$203=TRIM($J96&amp;""))*파견수련계획!$W$4:$W$203))</f>
        <v/>
      </c>
      <c r="Y96" s="10">
        <f>IF($B96="","",IF($AG96="","",IF(IF(TRIM($J96&amp;"")="",0,SUMPRODUCT((파견수련계획!$Q$4:$Q$203=TRIM($J96&amp;""))*파견수련계획!$AD$4:$AD$203))&gt;0,$AE96,IF(N($X96)&lt;=0,$AG96,IF($AH96+$AI96=DAY(EOMONTH(요약!$B$3,0)),IF(AND($AH96&gt;=요약!$E$3,$AI96&lt;요약!$E$3),"서울병원",IF(AND($AI96&gt;=요약!$E$3,$AH96&lt;요약!$E$3),"구리병원","⚠15일 판정불가(서울 "&amp;$AH96&amp;"일/구리 "&amp;$AI96&amp;"일)")),IF($AJ96="",$AE96,IF(INDEX(파견수련계획!$T$4:$T$203,$AJ96)="통합수련",INDEX(파견수련계획!$S$4:$S$203,$AJ96),$AE96)))))))</f>
        <v/>
      </c>
      <c r="Z96" s="19">
        <f>IF($B96="","",IF($AB96="","기본자료에 없는 사번",IF(COUNTIF($B$2:$B$201,$B96)&gt;1,"중복 사번",IF($AE96="","소속(입사장소) 입력",IF(IF(TRIM($J96&amp;"")="",0,SUMPRODUCT((파견수련계획!$Q$4:$Q$203=TRIM($J96&amp;""))*(파견수련계획!$AA$4:$AA$203&lt;&gt;"")))&gt;0,"파견수련계획 입력오류 확인",IF(LEFT($Y96,1)="⚠","서울·구리 15일 판정 불가(양쪽 모두 이상/미만)",IF(IF($AC96="",0,N(INDEX(인턴근무계획!$T$3:$T$202,$AC96)))&gt;0,"인턴계획 입력오류 확인",IF(AND($AC96&lt;&gt;"",$U96&lt;&gt;"파견중",$N96&lt;&gt;$AE96),"인턴 타지역 근무: 파견 여부 확인","정상"))))))))</f>
        <v/>
      </c>
      <c r="AA96" s="5" t="n"/>
      <c r="AB96" s="10">
        <f>IF($B96="","",IFERROR(MATCH($B96,기본자료!$B$2:$B$501,0),IFERROR(MATCH($B96&amp;"",기본자료!$B$2:$B$501,0),IFERROR(MATCH(VALUE($B96),기본자료!$B$2:$B$501,0),""))))</f>
        <v/>
      </c>
      <c r="AC96" s="10">
        <f>IF($B96="","",IFERROR(MATCH($B96,인턴근무계획!$D$3:$D$202,0),IFERROR(MATCH($B96&amp;"",인턴근무계획!$D$3:$D$202,0),IFERROR(MATCH(VALUE($B96),인턴근무계획!$D$3:$D$202,0),""))))</f>
        <v/>
      </c>
      <c r="AD96" s="10">
        <f>IF(OR($AC96="",인턴현황!$G$3=""),"",INDEX(인턴근무계획!$M$3:$R$202,$AC96,인턴현황!$G$3)&amp;"")</f>
        <v/>
      </c>
      <c r="AE96" s="10">
        <f>IF($B96="","",IF($M96&lt;&gt;"",$M96,IF($AF96&lt;&gt;"",IF(LEFT(INDEX(파견수련계획!$R$4:$R$203,$AF96),1)&lt;&gt;"⚠",INDEX(파견수련계획!$R$4:$R$203,$AF96),IF($H96="","",IF(RIGHT($H96,2)="병원",$H96,$H96&amp;"병원"))),IF($H96="","",IF(RIGHT($H96,2)="병원",$H96,$H96&amp;"병원")))))</f>
        <v/>
      </c>
      <c r="AF96" s="10">
        <f>IF(OR($B96="",TRIM($J96&amp;"")=""),"",IFERROR(MATCH(TRIM($J96&amp;"")&amp;"|파견중",파견수련계획!$Y$4:$Y$203,0),IFERROR(MATCH(TRIM($J96&amp;"")&amp;"|파견예정",파견수련계획!$Y$4:$Y$203,0),IFERROR(MATCH(TRIM($J96&amp;"")&amp;"|파견종료",파견수련계획!$Y$4:$Y$203,0),""))))</f>
        <v/>
      </c>
      <c r="AG96" s="10">
        <f>IF($B96="","",IF(AND(IF(OR($AC96="",인턴현황!$K$2=""),"",INDEX(인턴근무계획!$M$3:$R$202,$AC96,인턴현황!$K$2)&amp;"")&lt;&gt;"",LEFT(IF(OR($AC96="",인턴현황!$K$2=""),"",INDEX(인턴근무계획!$M$3:$R$202,$AC96,인턴현황!$K$2)&amp;""),1)&lt;&gt;"⚠"),LEFT(IF(OR($AC96="",인턴현황!$K$2=""),"",INDEX(인턴근무계획!$M$3:$R$202,$AC96,인턴현황!$K$2)&amp;""),FIND(" ",IF(OR($AC96="",인턴현황!$K$2=""),"",INDEX(인턴근무계획!$M$3:$R$202,$AC96,인턴현황!$K$2)&amp;""))-1),$AE96))</f>
        <v/>
      </c>
      <c r="AH96" s="17">
        <f>IF($B96="","",IF(TRIM($J96&amp;"")="",0,SUMPRODUCT((파견수련계획!$Q$4:$Q$203=TRIM($J96&amp;""))*(파견수련계획!$S$4:$S$203="서울병원")*파견수련계획!$W$4:$W$203))+IF($AG96="서울병원",MAX(0,DAY(EOMONTH(요약!$B$3,0))-N($X96)),0))</f>
        <v/>
      </c>
      <c r="AI96" s="17">
        <f>IF($B96="","",IF(TRIM($J96&amp;"")="",0,SUMPRODUCT((파견수련계획!$Q$4:$Q$203=TRIM($J96&amp;""))*(파견수련계획!$S$4:$S$203="구리병원")*파견수련계획!$W$4:$W$203))+IF($AG96="구리병원",MAX(0,DAY(EOMONTH(요약!$B$3,0))-N($X96)),0))</f>
        <v/>
      </c>
      <c r="AJ96" s="10">
        <f>IF(OR($B96="",TRIM($J96&amp;"")=""),"",IFERROR(MATCH(TRIM($J96&amp;"")&amp;"|월",파견수련계획!$Z$4:$Z$203,0),""))</f>
        <v/>
      </c>
      <c r="AK96" s="10">
        <f>IF(OR($B96="",TRIM($J96&amp;"")=""),"",IFERROR(MATCH(TRIM($J96&amp;"")&amp;"|다기관",파견수련계획!$AE$4:$AE$203,0),""))</f>
        <v/>
      </c>
      <c r="AL96" s="10">
        <f>IF($AK96="","","다기관 "&amp;TEXT(INDEX(파견수련계획!$AB$4:$AB$203,$AK96),"yyyy-mm-dd")&amp;"~"&amp;IF(ISNUMBER(INDEX(파견수련계획!$AC$4:$AC$203,$AK96)),TEXT(INDEX(파견수련계획!$AC$4:$AC$203,$AK96),"yyyy-mm-dd"),""))</f>
        <v/>
      </c>
    </row>
    <row r="97">
      <c r="A97" s="10">
        <f>IF(B97="","",ROW()-1)</f>
        <v/>
      </c>
      <c r="B97" s="18" t="n"/>
      <c r="C97" s="10">
        <f>IF($AB97="","",IF(INDEX(기본자료!$C$2:$C$501,$AB97)="","",INDEX(기본자료!$C$2:$C$501,$AB97)))</f>
        <v/>
      </c>
      <c r="D97" s="10">
        <f>IF($AB97="","",IF(INDEX(기본자료!$J$2:$J$501,$AB97)="","",INDEX(기본자료!$J$2:$J$501,$AB97)))</f>
        <v/>
      </c>
      <c r="E97" s="11">
        <f>IF($AB97="","",IF(INDEX(기본자료!$K$2:$K$501,$AB97)="","",IF(NOT(ISNUMBER(INDEX(기본자료!$K$2:$K$501,$AB97))),INDEX(기본자료!$K$2:$K$501,$AB97),IF(INDEX(기본자료!$K$2:$K$501,$AB97)&lt;1000000,INDEX(기본자료!$K$2:$K$501,$AB97),IF(AND(INDEX(기본자료!$K$2:$K$501,$AB97)&gt;=10000101,INT(MOD(INDEX(기본자료!$K$2:$K$501,$AB97),10000)/100)&gt;=1,INT(MOD(INDEX(기본자료!$K$2:$K$501,$AB97),10000)/100)&lt;=12,MOD(INDEX(기본자료!$K$2:$K$501,$AB97),100)&gt;=1,MOD(INDEX(기본자료!$K$2:$K$501,$AB97),100)&lt;=31),DATE(INT(INDEX(기본자료!$K$2:$K$501,$AB97)/10000),INT(MOD(INDEX(기본자료!$K$2:$K$501,$AB97),10000)/100),MOD(INDEX(기본자료!$K$2:$K$501,$AB97),100)),INDEX(기본자료!$K$2:$K$501,$AB97)&amp;"")))))</f>
        <v/>
      </c>
      <c r="F97" s="10">
        <f>IF($AB97="","",IF(INDEX(기본자료!$D$2:$D$501,$AB97)="","",INDEX(기본자료!$D$2:$D$501,$AB97)))</f>
        <v/>
      </c>
      <c r="G97" s="10">
        <f>IF($AB97="","",IF(INDEX(기본자료!$E$2:$E$501,$AB97)="","",INDEX(기본자료!$E$2:$E$501,$AB97)))</f>
        <v/>
      </c>
      <c r="H97" s="10">
        <f>IF($AB97="","",IF(INDEX(기본자료!$F$2:$F$501,$AB97)="","",INDEX(기본자료!$F$2:$F$501,$AB97)))</f>
        <v/>
      </c>
      <c r="I97" s="11">
        <f>IF($AB97="","",IF(INDEX(기본자료!$G$2:$G$501,$AB97)="","",IF(NOT(ISNUMBER(INDEX(기본자료!$G$2:$G$501,$AB97))),INDEX(기본자료!$G$2:$G$501,$AB97),IF(INDEX(기본자료!$G$2:$G$501,$AB97)&lt;1000000,INDEX(기본자료!$G$2:$G$501,$AB97),IF(AND(INDEX(기본자료!$G$2:$G$501,$AB97)&gt;=10000101,INT(MOD(INDEX(기본자료!$G$2:$G$501,$AB97),10000)/100)&gt;=1,INT(MOD(INDEX(기본자료!$G$2:$G$501,$AB97),10000)/100)&lt;=12,MOD(INDEX(기본자료!$G$2:$G$501,$AB97),100)&gt;=1,MOD(INDEX(기본자료!$G$2:$G$501,$AB97),100)&lt;=31),DATE(INT(INDEX(기본자료!$G$2:$G$501,$AB97)/10000),INT(MOD(INDEX(기본자료!$G$2:$G$501,$AB97),10000)/100),MOD(INDEX(기본자료!$G$2:$G$501,$AB97),100)),INDEX(기본자료!$G$2:$G$501,$AB97)&amp;"")))))</f>
        <v/>
      </c>
      <c r="J97" s="10">
        <f>IF($AB97="","",IF(INDEX(기본자료!$H$2:$H$501,$AB97)="","",INDEX(기본자료!$H$2:$H$501,$AB97)))</f>
        <v/>
      </c>
      <c r="K97" s="10">
        <f>IF($AB97="","",IF(INDEX(기본자료!$I$2:$I$501,$AB97)="","",INDEX(기본자료!$I$2:$I$501,$AB97)))</f>
        <v/>
      </c>
      <c r="L97" s="10">
        <f>IF($AB97="","",IF(INDEX(기본자료!$A$2:$A$501,$AB97)="","",INDEX(기본자료!$A$2:$A$501,$AB97)))</f>
        <v/>
      </c>
      <c r="M97" s="15" t="n"/>
      <c r="N97" s="10">
        <f>IF($B97="","",IF(AND($U97="파견중",$Q97&lt;&gt;""),$Q97,IF(AND($AD97&lt;&gt;"",LEFT($AD97,1)&lt;&gt;"⚠"),LEFT($AD97,FIND(" ",$AD97)-1),IF($H97="","",IF(RIGHT($H97,2)="병원",$H97,$H97&amp;"병원")))))</f>
        <v/>
      </c>
      <c r="O97" s="10">
        <f>IF($B97="","",IF(AND($U97="파견중",$Q97&lt;&gt;""),IF($R97&lt;&gt;"",$R97,"파견과 미입력"),IF(AND($AD97&lt;&gt;"",LEFT($AD97,1)&lt;&gt;"⚠"),MID($AD97,FIND(" ",$AD97)+1,60),IF($F97="","",IF($F97="인턴","수련교육부(인턴)",$F97)))))</f>
        <v/>
      </c>
      <c r="P97" s="10">
        <f>IF($B97="","",IF($AK97&lt;&gt;"",IF(AND(TODAY()&gt;=INDEX(파견수련계획!$AB$4:$AB$203,$AK97),OR(NOT(ISNUMBER(INDEX(파견수련계획!$AC$4:$AC$203,$AK97))),TODAY()&lt;=INDEX(파견수련계획!$AC$4:$AC$203,$AK97))),"다기관",IF($AF97="","",INDEX(파견수련계획!$T$4:$T$203,$AF97))),IF($AF97="","",INDEX(파견수련계획!$T$4:$T$203,$AF97))))</f>
        <v/>
      </c>
      <c r="Q97" s="10">
        <f>IF($AF97="","",INDEX(파견수련계획!$S$4:$S$203,$AF97))</f>
        <v/>
      </c>
      <c r="R97" s="10">
        <f>IF($AF97="","",INDEX(파견수련계획!$U$4:$U$203,$AF97))</f>
        <v/>
      </c>
      <c r="S97" s="11">
        <f>IF($AF97="","",IF(INDEX(파견수련계획!$H$4:$H$203,$AF97)="","",INDEX(파견수련계획!$H$4:$H$203,$AF97)))</f>
        <v/>
      </c>
      <c r="T97" s="11">
        <f>IF($AF97="","",IF(INDEX(파견수련계획!$I$4:$I$203,$AF97)="","",INDEX(파견수련계획!$I$4:$I$203,$AF97)))</f>
        <v/>
      </c>
      <c r="U97" s="10">
        <f>IF($AF97="","",INDEX(파견수련계획!$X$4:$X$203,$AF97))</f>
        <v/>
      </c>
      <c r="V97" s="17">
        <f>IF($AF97="","",INDEX(파견수련계획!$V$4:$V$203,$AF97))</f>
        <v/>
      </c>
      <c r="W97" s="17">
        <f>IF(AND($U97="파견중",$T97&lt;&gt;""),$T97-TODAY(),"")</f>
        <v/>
      </c>
      <c r="X97" s="17">
        <f>IF(OR($B97="",TRIM($J97&amp;"")=""),"",SUMPRODUCT((파견수련계획!$Q$4:$Q$203=TRIM($J97&amp;""))*파견수련계획!$W$4:$W$203))</f>
        <v/>
      </c>
      <c r="Y97" s="10">
        <f>IF($B97="","",IF($AG97="","",IF(IF(TRIM($J97&amp;"")="",0,SUMPRODUCT((파견수련계획!$Q$4:$Q$203=TRIM($J97&amp;""))*파견수련계획!$AD$4:$AD$203))&gt;0,$AE97,IF(N($X97)&lt;=0,$AG97,IF($AH97+$AI97=DAY(EOMONTH(요약!$B$3,0)),IF(AND($AH97&gt;=요약!$E$3,$AI97&lt;요약!$E$3),"서울병원",IF(AND($AI97&gt;=요약!$E$3,$AH97&lt;요약!$E$3),"구리병원","⚠15일 판정불가(서울 "&amp;$AH97&amp;"일/구리 "&amp;$AI97&amp;"일)")),IF($AJ97="",$AE97,IF(INDEX(파견수련계획!$T$4:$T$203,$AJ97)="통합수련",INDEX(파견수련계획!$S$4:$S$203,$AJ97),$AE97)))))))</f>
        <v/>
      </c>
      <c r="Z97" s="19">
        <f>IF($B97="","",IF($AB97="","기본자료에 없는 사번",IF(COUNTIF($B$2:$B$201,$B97)&gt;1,"중복 사번",IF($AE97="","소속(입사장소) 입력",IF(IF(TRIM($J97&amp;"")="",0,SUMPRODUCT((파견수련계획!$Q$4:$Q$203=TRIM($J97&amp;""))*(파견수련계획!$AA$4:$AA$203&lt;&gt;"")))&gt;0,"파견수련계획 입력오류 확인",IF(LEFT($Y97,1)="⚠","서울·구리 15일 판정 불가(양쪽 모두 이상/미만)",IF(IF($AC97="",0,N(INDEX(인턴근무계획!$T$3:$T$202,$AC97)))&gt;0,"인턴계획 입력오류 확인",IF(AND($AC97&lt;&gt;"",$U97&lt;&gt;"파견중",$N97&lt;&gt;$AE97),"인턴 타지역 근무: 파견 여부 확인","정상"))))))))</f>
        <v/>
      </c>
      <c r="AA97" s="5" t="n"/>
      <c r="AB97" s="10">
        <f>IF($B97="","",IFERROR(MATCH($B97,기본자료!$B$2:$B$501,0),IFERROR(MATCH($B97&amp;"",기본자료!$B$2:$B$501,0),IFERROR(MATCH(VALUE($B97),기본자료!$B$2:$B$501,0),""))))</f>
        <v/>
      </c>
      <c r="AC97" s="10">
        <f>IF($B97="","",IFERROR(MATCH($B97,인턴근무계획!$D$3:$D$202,0),IFERROR(MATCH($B97&amp;"",인턴근무계획!$D$3:$D$202,0),IFERROR(MATCH(VALUE($B97),인턴근무계획!$D$3:$D$202,0),""))))</f>
        <v/>
      </c>
      <c r="AD97" s="10">
        <f>IF(OR($AC97="",인턴현황!$G$3=""),"",INDEX(인턴근무계획!$M$3:$R$202,$AC97,인턴현황!$G$3)&amp;"")</f>
        <v/>
      </c>
      <c r="AE97" s="10">
        <f>IF($B97="","",IF($M97&lt;&gt;"",$M97,IF($AF97&lt;&gt;"",IF(LEFT(INDEX(파견수련계획!$R$4:$R$203,$AF97),1)&lt;&gt;"⚠",INDEX(파견수련계획!$R$4:$R$203,$AF97),IF($H97="","",IF(RIGHT($H97,2)="병원",$H97,$H97&amp;"병원"))),IF($H97="","",IF(RIGHT($H97,2)="병원",$H97,$H97&amp;"병원")))))</f>
        <v/>
      </c>
      <c r="AF97" s="10">
        <f>IF(OR($B97="",TRIM($J97&amp;"")=""),"",IFERROR(MATCH(TRIM($J97&amp;"")&amp;"|파견중",파견수련계획!$Y$4:$Y$203,0),IFERROR(MATCH(TRIM($J97&amp;"")&amp;"|파견예정",파견수련계획!$Y$4:$Y$203,0),IFERROR(MATCH(TRIM($J97&amp;"")&amp;"|파견종료",파견수련계획!$Y$4:$Y$203,0),""))))</f>
        <v/>
      </c>
      <c r="AG97" s="10">
        <f>IF($B97="","",IF(AND(IF(OR($AC97="",인턴현황!$K$2=""),"",INDEX(인턴근무계획!$M$3:$R$202,$AC97,인턴현황!$K$2)&amp;"")&lt;&gt;"",LEFT(IF(OR($AC97="",인턴현황!$K$2=""),"",INDEX(인턴근무계획!$M$3:$R$202,$AC97,인턴현황!$K$2)&amp;""),1)&lt;&gt;"⚠"),LEFT(IF(OR($AC97="",인턴현황!$K$2=""),"",INDEX(인턴근무계획!$M$3:$R$202,$AC97,인턴현황!$K$2)&amp;""),FIND(" ",IF(OR($AC97="",인턴현황!$K$2=""),"",INDEX(인턴근무계획!$M$3:$R$202,$AC97,인턴현황!$K$2)&amp;""))-1),$AE97))</f>
        <v/>
      </c>
      <c r="AH97" s="17">
        <f>IF($B97="","",IF(TRIM($J97&amp;"")="",0,SUMPRODUCT((파견수련계획!$Q$4:$Q$203=TRIM($J97&amp;""))*(파견수련계획!$S$4:$S$203="서울병원")*파견수련계획!$W$4:$W$203))+IF($AG97="서울병원",MAX(0,DAY(EOMONTH(요약!$B$3,0))-N($X97)),0))</f>
        <v/>
      </c>
      <c r="AI97" s="17">
        <f>IF($B97="","",IF(TRIM($J97&amp;"")="",0,SUMPRODUCT((파견수련계획!$Q$4:$Q$203=TRIM($J97&amp;""))*(파견수련계획!$S$4:$S$203="구리병원")*파견수련계획!$W$4:$W$203))+IF($AG97="구리병원",MAX(0,DAY(EOMONTH(요약!$B$3,0))-N($X97)),0))</f>
        <v/>
      </c>
      <c r="AJ97" s="10">
        <f>IF(OR($B97="",TRIM($J97&amp;"")=""),"",IFERROR(MATCH(TRIM($J97&amp;"")&amp;"|월",파견수련계획!$Z$4:$Z$203,0),""))</f>
        <v/>
      </c>
      <c r="AK97" s="10">
        <f>IF(OR($B97="",TRIM($J97&amp;"")=""),"",IFERROR(MATCH(TRIM($J97&amp;"")&amp;"|다기관",파견수련계획!$AE$4:$AE$203,0),""))</f>
        <v/>
      </c>
      <c r="AL97" s="10">
        <f>IF($AK97="","","다기관 "&amp;TEXT(INDEX(파견수련계획!$AB$4:$AB$203,$AK97),"yyyy-mm-dd")&amp;"~"&amp;IF(ISNUMBER(INDEX(파견수련계획!$AC$4:$AC$203,$AK97)),TEXT(INDEX(파견수련계획!$AC$4:$AC$203,$AK97),"yyyy-mm-dd"),""))</f>
        <v/>
      </c>
    </row>
    <row r="98">
      <c r="A98" s="10">
        <f>IF(B98="","",ROW()-1)</f>
        <v/>
      </c>
      <c r="B98" s="18" t="n"/>
      <c r="C98" s="10">
        <f>IF($AB98="","",IF(INDEX(기본자료!$C$2:$C$501,$AB98)="","",INDEX(기본자료!$C$2:$C$501,$AB98)))</f>
        <v/>
      </c>
      <c r="D98" s="10">
        <f>IF($AB98="","",IF(INDEX(기본자료!$J$2:$J$501,$AB98)="","",INDEX(기본자료!$J$2:$J$501,$AB98)))</f>
        <v/>
      </c>
      <c r="E98" s="11">
        <f>IF($AB98="","",IF(INDEX(기본자료!$K$2:$K$501,$AB98)="","",IF(NOT(ISNUMBER(INDEX(기본자료!$K$2:$K$501,$AB98))),INDEX(기본자료!$K$2:$K$501,$AB98),IF(INDEX(기본자료!$K$2:$K$501,$AB98)&lt;1000000,INDEX(기본자료!$K$2:$K$501,$AB98),IF(AND(INDEX(기본자료!$K$2:$K$501,$AB98)&gt;=10000101,INT(MOD(INDEX(기본자료!$K$2:$K$501,$AB98),10000)/100)&gt;=1,INT(MOD(INDEX(기본자료!$K$2:$K$501,$AB98),10000)/100)&lt;=12,MOD(INDEX(기본자료!$K$2:$K$501,$AB98),100)&gt;=1,MOD(INDEX(기본자료!$K$2:$K$501,$AB98),100)&lt;=31),DATE(INT(INDEX(기본자료!$K$2:$K$501,$AB98)/10000),INT(MOD(INDEX(기본자료!$K$2:$K$501,$AB98),10000)/100),MOD(INDEX(기본자료!$K$2:$K$501,$AB98),100)),INDEX(기본자료!$K$2:$K$501,$AB98)&amp;"")))))</f>
        <v/>
      </c>
      <c r="F98" s="10">
        <f>IF($AB98="","",IF(INDEX(기본자료!$D$2:$D$501,$AB98)="","",INDEX(기본자료!$D$2:$D$501,$AB98)))</f>
        <v/>
      </c>
      <c r="G98" s="10">
        <f>IF($AB98="","",IF(INDEX(기본자료!$E$2:$E$501,$AB98)="","",INDEX(기본자료!$E$2:$E$501,$AB98)))</f>
        <v/>
      </c>
      <c r="H98" s="10">
        <f>IF($AB98="","",IF(INDEX(기본자료!$F$2:$F$501,$AB98)="","",INDEX(기본자료!$F$2:$F$501,$AB98)))</f>
        <v/>
      </c>
      <c r="I98" s="11">
        <f>IF($AB98="","",IF(INDEX(기본자료!$G$2:$G$501,$AB98)="","",IF(NOT(ISNUMBER(INDEX(기본자료!$G$2:$G$501,$AB98))),INDEX(기본자료!$G$2:$G$501,$AB98),IF(INDEX(기본자료!$G$2:$G$501,$AB98)&lt;1000000,INDEX(기본자료!$G$2:$G$501,$AB98),IF(AND(INDEX(기본자료!$G$2:$G$501,$AB98)&gt;=10000101,INT(MOD(INDEX(기본자료!$G$2:$G$501,$AB98),10000)/100)&gt;=1,INT(MOD(INDEX(기본자료!$G$2:$G$501,$AB98),10000)/100)&lt;=12,MOD(INDEX(기본자료!$G$2:$G$501,$AB98),100)&gt;=1,MOD(INDEX(기본자료!$G$2:$G$501,$AB98),100)&lt;=31),DATE(INT(INDEX(기본자료!$G$2:$G$501,$AB98)/10000),INT(MOD(INDEX(기본자료!$G$2:$G$501,$AB98),10000)/100),MOD(INDEX(기본자료!$G$2:$G$501,$AB98),100)),INDEX(기본자료!$G$2:$G$501,$AB98)&amp;"")))))</f>
        <v/>
      </c>
      <c r="J98" s="10">
        <f>IF($AB98="","",IF(INDEX(기본자료!$H$2:$H$501,$AB98)="","",INDEX(기본자료!$H$2:$H$501,$AB98)))</f>
        <v/>
      </c>
      <c r="K98" s="10">
        <f>IF($AB98="","",IF(INDEX(기본자료!$I$2:$I$501,$AB98)="","",INDEX(기본자료!$I$2:$I$501,$AB98)))</f>
        <v/>
      </c>
      <c r="L98" s="10">
        <f>IF($AB98="","",IF(INDEX(기본자료!$A$2:$A$501,$AB98)="","",INDEX(기본자료!$A$2:$A$501,$AB98)))</f>
        <v/>
      </c>
      <c r="M98" s="15" t="n"/>
      <c r="N98" s="10">
        <f>IF($B98="","",IF(AND($U98="파견중",$Q98&lt;&gt;""),$Q98,IF(AND($AD98&lt;&gt;"",LEFT($AD98,1)&lt;&gt;"⚠"),LEFT($AD98,FIND(" ",$AD98)-1),IF($H98="","",IF(RIGHT($H98,2)="병원",$H98,$H98&amp;"병원")))))</f>
        <v/>
      </c>
      <c r="O98" s="10">
        <f>IF($B98="","",IF(AND($U98="파견중",$Q98&lt;&gt;""),IF($R98&lt;&gt;"",$R98,"파견과 미입력"),IF(AND($AD98&lt;&gt;"",LEFT($AD98,1)&lt;&gt;"⚠"),MID($AD98,FIND(" ",$AD98)+1,60),IF($F98="","",IF($F98="인턴","수련교육부(인턴)",$F98)))))</f>
        <v/>
      </c>
      <c r="P98" s="10">
        <f>IF($B98="","",IF($AK98&lt;&gt;"",IF(AND(TODAY()&gt;=INDEX(파견수련계획!$AB$4:$AB$203,$AK98),OR(NOT(ISNUMBER(INDEX(파견수련계획!$AC$4:$AC$203,$AK98))),TODAY()&lt;=INDEX(파견수련계획!$AC$4:$AC$203,$AK98))),"다기관",IF($AF98="","",INDEX(파견수련계획!$T$4:$T$203,$AF98))),IF($AF98="","",INDEX(파견수련계획!$T$4:$T$203,$AF98))))</f>
        <v/>
      </c>
      <c r="Q98" s="10">
        <f>IF($AF98="","",INDEX(파견수련계획!$S$4:$S$203,$AF98))</f>
        <v/>
      </c>
      <c r="R98" s="10">
        <f>IF($AF98="","",INDEX(파견수련계획!$U$4:$U$203,$AF98))</f>
        <v/>
      </c>
      <c r="S98" s="11">
        <f>IF($AF98="","",IF(INDEX(파견수련계획!$H$4:$H$203,$AF98)="","",INDEX(파견수련계획!$H$4:$H$203,$AF98)))</f>
        <v/>
      </c>
      <c r="T98" s="11">
        <f>IF($AF98="","",IF(INDEX(파견수련계획!$I$4:$I$203,$AF98)="","",INDEX(파견수련계획!$I$4:$I$203,$AF98)))</f>
        <v/>
      </c>
      <c r="U98" s="10">
        <f>IF($AF98="","",INDEX(파견수련계획!$X$4:$X$203,$AF98))</f>
        <v/>
      </c>
      <c r="V98" s="17">
        <f>IF($AF98="","",INDEX(파견수련계획!$V$4:$V$203,$AF98))</f>
        <v/>
      </c>
      <c r="W98" s="17">
        <f>IF(AND($U98="파견중",$T98&lt;&gt;""),$T98-TODAY(),"")</f>
        <v/>
      </c>
      <c r="X98" s="17">
        <f>IF(OR($B98="",TRIM($J98&amp;"")=""),"",SUMPRODUCT((파견수련계획!$Q$4:$Q$203=TRIM($J98&amp;""))*파견수련계획!$W$4:$W$203))</f>
        <v/>
      </c>
      <c r="Y98" s="10">
        <f>IF($B98="","",IF($AG98="","",IF(IF(TRIM($J98&amp;"")="",0,SUMPRODUCT((파견수련계획!$Q$4:$Q$203=TRIM($J98&amp;""))*파견수련계획!$AD$4:$AD$203))&gt;0,$AE98,IF(N($X98)&lt;=0,$AG98,IF($AH98+$AI98=DAY(EOMONTH(요약!$B$3,0)),IF(AND($AH98&gt;=요약!$E$3,$AI98&lt;요약!$E$3),"서울병원",IF(AND($AI98&gt;=요약!$E$3,$AH98&lt;요약!$E$3),"구리병원","⚠15일 판정불가(서울 "&amp;$AH98&amp;"일/구리 "&amp;$AI98&amp;"일)")),IF($AJ98="",$AE98,IF(INDEX(파견수련계획!$T$4:$T$203,$AJ98)="통합수련",INDEX(파견수련계획!$S$4:$S$203,$AJ98),$AE98)))))))</f>
        <v/>
      </c>
      <c r="Z98" s="19">
        <f>IF($B98="","",IF($AB98="","기본자료에 없는 사번",IF(COUNTIF($B$2:$B$201,$B98)&gt;1,"중복 사번",IF($AE98="","소속(입사장소) 입력",IF(IF(TRIM($J98&amp;"")="",0,SUMPRODUCT((파견수련계획!$Q$4:$Q$203=TRIM($J98&amp;""))*(파견수련계획!$AA$4:$AA$203&lt;&gt;"")))&gt;0,"파견수련계획 입력오류 확인",IF(LEFT($Y98,1)="⚠","서울·구리 15일 판정 불가(양쪽 모두 이상/미만)",IF(IF($AC98="",0,N(INDEX(인턴근무계획!$T$3:$T$202,$AC98)))&gt;0,"인턴계획 입력오류 확인",IF(AND($AC98&lt;&gt;"",$U98&lt;&gt;"파견중",$N98&lt;&gt;$AE98),"인턴 타지역 근무: 파견 여부 확인","정상"))))))))</f>
        <v/>
      </c>
      <c r="AA98" s="5" t="n"/>
      <c r="AB98" s="10">
        <f>IF($B98="","",IFERROR(MATCH($B98,기본자료!$B$2:$B$501,0),IFERROR(MATCH($B98&amp;"",기본자료!$B$2:$B$501,0),IFERROR(MATCH(VALUE($B98),기본자료!$B$2:$B$501,0),""))))</f>
        <v/>
      </c>
      <c r="AC98" s="10">
        <f>IF($B98="","",IFERROR(MATCH($B98,인턴근무계획!$D$3:$D$202,0),IFERROR(MATCH($B98&amp;"",인턴근무계획!$D$3:$D$202,0),IFERROR(MATCH(VALUE($B98),인턴근무계획!$D$3:$D$202,0),""))))</f>
        <v/>
      </c>
      <c r="AD98" s="10">
        <f>IF(OR($AC98="",인턴현황!$G$3=""),"",INDEX(인턴근무계획!$M$3:$R$202,$AC98,인턴현황!$G$3)&amp;"")</f>
        <v/>
      </c>
      <c r="AE98" s="10">
        <f>IF($B98="","",IF($M98&lt;&gt;"",$M98,IF($AF98&lt;&gt;"",IF(LEFT(INDEX(파견수련계획!$R$4:$R$203,$AF98),1)&lt;&gt;"⚠",INDEX(파견수련계획!$R$4:$R$203,$AF98),IF($H98="","",IF(RIGHT($H98,2)="병원",$H98,$H98&amp;"병원"))),IF($H98="","",IF(RIGHT($H98,2)="병원",$H98,$H98&amp;"병원")))))</f>
        <v/>
      </c>
      <c r="AF98" s="10">
        <f>IF(OR($B98="",TRIM($J98&amp;"")=""),"",IFERROR(MATCH(TRIM($J98&amp;"")&amp;"|파견중",파견수련계획!$Y$4:$Y$203,0),IFERROR(MATCH(TRIM($J98&amp;"")&amp;"|파견예정",파견수련계획!$Y$4:$Y$203,0),IFERROR(MATCH(TRIM($J98&amp;"")&amp;"|파견종료",파견수련계획!$Y$4:$Y$203,0),""))))</f>
        <v/>
      </c>
      <c r="AG98" s="10">
        <f>IF($B98="","",IF(AND(IF(OR($AC98="",인턴현황!$K$2=""),"",INDEX(인턴근무계획!$M$3:$R$202,$AC98,인턴현황!$K$2)&amp;"")&lt;&gt;"",LEFT(IF(OR($AC98="",인턴현황!$K$2=""),"",INDEX(인턴근무계획!$M$3:$R$202,$AC98,인턴현황!$K$2)&amp;""),1)&lt;&gt;"⚠"),LEFT(IF(OR($AC98="",인턴현황!$K$2=""),"",INDEX(인턴근무계획!$M$3:$R$202,$AC98,인턴현황!$K$2)&amp;""),FIND(" ",IF(OR($AC98="",인턴현황!$K$2=""),"",INDEX(인턴근무계획!$M$3:$R$202,$AC98,인턴현황!$K$2)&amp;""))-1),$AE98))</f>
        <v/>
      </c>
      <c r="AH98" s="17">
        <f>IF($B98="","",IF(TRIM($J98&amp;"")="",0,SUMPRODUCT((파견수련계획!$Q$4:$Q$203=TRIM($J98&amp;""))*(파견수련계획!$S$4:$S$203="서울병원")*파견수련계획!$W$4:$W$203))+IF($AG98="서울병원",MAX(0,DAY(EOMONTH(요약!$B$3,0))-N($X98)),0))</f>
        <v/>
      </c>
      <c r="AI98" s="17">
        <f>IF($B98="","",IF(TRIM($J98&amp;"")="",0,SUMPRODUCT((파견수련계획!$Q$4:$Q$203=TRIM($J98&amp;""))*(파견수련계획!$S$4:$S$203="구리병원")*파견수련계획!$W$4:$W$203))+IF($AG98="구리병원",MAX(0,DAY(EOMONTH(요약!$B$3,0))-N($X98)),0))</f>
        <v/>
      </c>
      <c r="AJ98" s="10">
        <f>IF(OR($B98="",TRIM($J98&amp;"")=""),"",IFERROR(MATCH(TRIM($J98&amp;"")&amp;"|월",파견수련계획!$Z$4:$Z$203,0),""))</f>
        <v/>
      </c>
      <c r="AK98" s="10">
        <f>IF(OR($B98="",TRIM($J98&amp;"")=""),"",IFERROR(MATCH(TRIM($J98&amp;"")&amp;"|다기관",파견수련계획!$AE$4:$AE$203,0),""))</f>
        <v/>
      </c>
      <c r="AL98" s="10">
        <f>IF($AK98="","","다기관 "&amp;TEXT(INDEX(파견수련계획!$AB$4:$AB$203,$AK98),"yyyy-mm-dd")&amp;"~"&amp;IF(ISNUMBER(INDEX(파견수련계획!$AC$4:$AC$203,$AK98)),TEXT(INDEX(파견수련계획!$AC$4:$AC$203,$AK98),"yyyy-mm-dd"),""))</f>
        <v/>
      </c>
    </row>
    <row r="99">
      <c r="A99" s="10">
        <f>IF(B99="","",ROW()-1)</f>
        <v/>
      </c>
      <c r="B99" s="18" t="n"/>
      <c r="C99" s="10">
        <f>IF($AB99="","",IF(INDEX(기본자료!$C$2:$C$501,$AB99)="","",INDEX(기본자료!$C$2:$C$501,$AB99)))</f>
        <v/>
      </c>
      <c r="D99" s="10">
        <f>IF($AB99="","",IF(INDEX(기본자료!$J$2:$J$501,$AB99)="","",INDEX(기본자료!$J$2:$J$501,$AB99)))</f>
        <v/>
      </c>
      <c r="E99" s="11">
        <f>IF($AB99="","",IF(INDEX(기본자료!$K$2:$K$501,$AB99)="","",IF(NOT(ISNUMBER(INDEX(기본자료!$K$2:$K$501,$AB99))),INDEX(기본자료!$K$2:$K$501,$AB99),IF(INDEX(기본자료!$K$2:$K$501,$AB99)&lt;1000000,INDEX(기본자료!$K$2:$K$501,$AB99),IF(AND(INDEX(기본자료!$K$2:$K$501,$AB99)&gt;=10000101,INT(MOD(INDEX(기본자료!$K$2:$K$501,$AB99),10000)/100)&gt;=1,INT(MOD(INDEX(기본자료!$K$2:$K$501,$AB99),10000)/100)&lt;=12,MOD(INDEX(기본자료!$K$2:$K$501,$AB99),100)&gt;=1,MOD(INDEX(기본자료!$K$2:$K$501,$AB99),100)&lt;=31),DATE(INT(INDEX(기본자료!$K$2:$K$501,$AB99)/10000),INT(MOD(INDEX(기본자료!$K$2:$K$501,$AB99),10000)/100),MOD(INDEX(기본자료!$K$2:$K$501,$AB99),100)),INDEX(기본자료!$K$2:$K$501,$AB99)&amp;"")))))</f>
        <v/>
      </c>
      <c r="F99" s="10">
        <f>IF($AB99="","",IF(INDEX(기본자료!$D$2:$D$501,$AB99)="","",INDEX(기본자료!$D$2:$D$501,$AB99)))</f>
        <v/>
      </c>
      <c r="G99" s="10">
        <f>IF($AB99="","",IF(INDEX(기본자료!$E$2:$E$501,$AB99)="","",INDEX(기본자료!$E$2:$E$501,$AB99)))</f>
        <v/>
      </c>
      <c r="H99" s="10">
        <f>IF($AB99="","",IF(INDEX(기본자료!$F$2:$F$501,$AB99)="","",INDEX(기본자료!$F$2:$F$501,$AB99)))</f>
        <v/>
      </c>
      <c r="I99" s="11">
        <f>IF($AB99="","",IF(INDEX(기본자료!$G$2:$G$501,$AB99)="","",IF(NOT(ISNUMBER(INDEX(기본자료!$G$2:$G$501,$AB99))),INDEX(기본자료!$G$2:$G$501,$AB99),IF(INDEX(기본자료!$G$2:$G$501,$AB99)&lt;1000000,INDEX(기본자료!$G$2:$G$501,$AB99),IF(AND(INDEX(기본자료!$G$2:$G$501,$AB99)&gt;=10000101,INT(MOD(INDEX(기본자료!$G$2:$G$501,$AB99),10000)/100)&gt;=1,INT(MOD(INDEX(기본자료!$G$2:$G$501,$AB99),10000)/100)&lt;=12,MOD(INDEX(기본자료!$G$2:$G$501,$AB99),100)&gt;=1,MOD(INDEX(기본자료!$G$2:$G$501,$AB99),100)&lt;=31),DATE(INT(INDEX(기본자료!$G$2:$G$501,$AB99)/10000),INT(MOD(INDEX(기본자료!$G$2:$G$501,$AB99),10000)/100),MOD(INDEX(기본자료!$G$2:$G$501,$AB99),100)),INDEX(기본자료!$G$2:$G$501,$AB99)&amp;"")))))</f>
        <v/>
      </c>
      <c r="J99" s="10">
        <f>IF($AB99="","",IF(INDEX(기본자료!$H$2:$H$501,$AB99)="","",INDEX(기본자료!$H$2:$H$501,$AB99)))</f>
        <v/>
      </c>
      <c r="K99" s="10">
        <f>IF($AB99="","",IF(INDEX(기본자료!$I$2:$I$501,$AB99)="","",INDEX(기본자료!$I$2:$I$501,$AB99)))</f>
        <v/>
      </c>
      <c r="L99" s="10">
        <f>IF($AB99="","",IF(INDEX(기본자료!$A$2:$A$501,$AB99)="","",INDEX(기본자료!$A$2:$A$501,$AB99)))</f>
        <v/>
      </c>
      <c r="M99" s="15" t="n"/>
      <c r="N99" s="10">
        <f>IF($B99="","",IF(AND($U99="파견중",$Q99&lt;&gt;""),$Q99,IF(AND($AD99&lt;&gt;"",LEFT($AD99,1)&lt;&gt;"⚠"),LEFT($AD99,FIND(" ",$AD99)-1),IF($H99="","",IF(RIGHT($H99,2)="병원",$H99,$H99&amp;"병원")))))</f>
        <v/>
      </c>
      <c r="O99" s="10">
        <f>IF($B99="","",IF(AND($U99="파견중",$Q99&lt;&gt;""),IF($R99&lt;&gt;"",$R99,"파견과 미입력"),IF(AND($AD99&lt;&gt;"",LEFT($AD99,1)&lt;&gt;"⚠"),MID($AD99,FIND(" ",$AD99)+1,60),IF($F99="","",IF($F99="인턴","수련교육부(인턴)",$F99)))))</f>
        <v/>
      </c>
      <c r="P99" s="10">
        <f>IF($B99="","",IF($AK99&lt;&gt;"",IF(AND(TODAY()&gt;=INDEX(파견수련계획!$AB$4:$AB$203,$AK99),OR(NOT(ISNUMBER(INDEX(파견수련계획!$AC$4:$AC$203,$AK99))),TODAY()&lt;=INDEX(파견수련계획!$AC$4:$AC$203,$AK99))),"다기관",IF($AF99="","",INDEX(파견수련계획!$T$4:$T$203,$AF99))),IF($AF99="","",INDEX(파견수련계획!$T$4:$T$203,$AF99))))</f>
        <v/>
      </c>
      <c r="Q99" s="10">
        <f>IF($AF99="","",INDEX(파견수련계획!$S$4:$S$203,$AF99))</f>
        <v/>
      </c>
      <c r="R99" s="10">
        <f>IF($AF99="","",INDEX(파견수련계획!$U$4:$U$203,$AF99))</f>
        <v/>
      </c>
      <c r="S99" s="11">
        <f>IF($AF99="","",IF(INDEX(파견수련계획!$H$4:$H$203,$AF99)="","",INDEX(파견수련계획!$H$4:$H$203,$AF99)))</f>
        <v/>
      </c>
      <c r="T99" s="11">
        <f>IF($AF99="","",IF(INDEX(파견수련계획!$I$4:$I$203,$AF99)="","",INDEX(파견수련계획!$I$4:$I$203,$AF99)))</f>
        <v/>
      </c>
      <c r="U99" s="10">
        <f>IF($AF99="","",INDEX(파견수련계획!$X$4:$X$203,$AF99))</f>
        <v/>
      </c>
      <c r="V99" s="17">
        <f>IF($AF99="","",INDEX(파견수련계획!$V$4:$V$203,$AF99))</f>
        <v/>
      </c>
      <c r="W99" s="17">
        <f>IF(AND($U99="파견중",$T99&lt;&gt;""),$T99-TODAY(),"")</f>
        <v/>
      </c>
      <c r="X99" s="17">
        <f>IF(OR($B99="",TRIM($J99&amp;"")=""),"",SUMPRODUCT((파견수련계획!$Q$4:$Q$203=TRIM($J99&amp;""))*파견수련계획!$W$4:$W$203))</f>
        <v/>
      </c>
      <c r="Y99" s="10">
        <f>IF($B99="","",IF($AG99="","",IF(IF(TRIM($J99&amp;"")="",0,SUMPRODUCT((파견수련계획!$Q$4:$Q$203=TRIM($J99&amp;""))*파견수련계획!$AD$4:$AD$203))&gt;0,$AE99,IF(N($X99)&lt;=0,$AG99,IF($AH99+$AI99=DAY(EOMONTH(요약!$B$3,0)),IF(AND($AH99&gt;=요약!$E$3,$AI99&lt;요약!$E$3),"서울병원",IF(AND($AI99&gt;=요약!$E$3,$AH99&lt;요약!$E$3),"구리병원","⚠15일 판정불가(서울 "&amp;$AH99&amp;"일/구리 "&amp;$AI99&amp;"일)")),IF($AJ99="",$AE99,IF(INDEX(파견수련계획!$T$4:$T$203,$AJ99)="통합수련",INDEX(파견수련계획!$S$4:$S$203,$AJ99),$AE99)))))))</f>
        <v/>
      </c>
      <c r="Z99" s="19">
        <f>IF($B99="","",IF($AB99="","기본자료에 없는 사번",IF(COUNTIF($B$2:$B$201,$B99)&gt;1,"중복 사번",IF($AE99="","소속(입사장소) 입력",IF(IF(TRIM($J99&amp;"")="",0,SUMPRODUCT((파견수련계획!$Q$4:$Q$203=TRIM($J99&amp;""))*(파견수련계획!$AA$4:$AA$203&lt;&gt;"")))&gt;0,"파견수련계획 입력오류 확인",IF(LEFT($Y99,1)="⚠","서울·구리 15일 판정 불가(양쪽 모두 이상/미만)",IF(IF($AC99="",0,N(INDEX(인턴근무계획!$T$3:$T$202,$AC99)))&gt;0,"인턴계획 입력오류 확인",IF(AND($AC99&lt;&gt;"",$U99&lt;&gt;"파견중",$N99&lt;&gt;$AE99),"인턴 타지역 근무: 파견 여부 확인","정상"))))))))</f>
        <v/>
      </c>
      <c r="AA99" s="5" t="n"/>
      <c r="AB99" s="10">
        <f>IF($B99="","",IFERROR(MATCH($B99,기본자료!$B$2:$B$501,0),IFERROR(MATCH($B99&amp;"",기본자료!$B$2:$B$501,0),IFERROR(MATCH(VALUE($B99),기본자료!$B$2:$B$501,0),""))))</f>
        <v/>
      </c>
      <c r="AC99" s="10">
        <f>IF($B99="","",IFERROR(MATCH($B99,인턴근무계획!$D$3:$D$202,0),IFERROR(MATCH($B99&amp;"",인턴근무계획!$D$3:$D$202,0),IFERROR(MATCH(VALUE($B99),인턴근무계획!$D$3:$D$202,0),""))))</f>
        <v/>
      </c>
      <c r="AD99" s="10">
        <f>IF(OR($AC99="",인턴현황!$G$3=""),"",INDEX(인턴근무계획!$M$3:$R$202,$AC99,인턴현황!$G$3)&amp;"")</f>
        <v/>
      </c>
      <c r="AE99" s="10">
        <f>IF($B99="","",IF($M99&lt;&gt;"",$M99,IF($AF99&lt;&gt;"",IF(LEFT(INDEX(파견수련계획!$R$4:$R$203,$AF99),1)&lt;&gt;"⚠",INDEX(파견수련계획!$R$4:$R$203,$AF99),IF($H99="","",IF(RIGHT($H99,2)="병원",$H99,$H99&amp;"병원"))),IF($H99="","",IF(RIGHT($H99,2)="병원",$H99,$H99&amp;"병원")))))</f>
        <v/>
      </c>
      <c r="AF99" s="10">
        <f>IF(OR($B99="",TRIM($J99&amp;"")=""),"",IFERROR(MATCH(TRIM($J99&amp;"")&amp;"|파견중",파견수련계획!$Y$4:$Y$203,0),IFERROR(MATCH(TRIM($J99&amp;"")&amp;"|파견예정",파견수련계획!$Y$4:$Y$203,0),IFERROR(MATCH(TRIM($J99&amp;"")&amp;"|파견종료",파견수련계획!$Y$4:$Y$203,0),""))))</f>
        <v/>
      </c>
      <c r="AG99" s="10">
        <f>IF($B99="","",IF(AND(IF(OR($AC99="",인턴현황!$K$2=""),"",INDEX(인턴근무계획!$M$3:$R$202,$AC99,인턴현황!$K$2)&amp;"")&lt;&gt;"",LEFT(IF(OR($AC99="",인턴현황!$K$2=""),"",INDEX(인턴근무계획!$M$3:$R$202,$AC99,인턴현황!$K$2)&amp;""),1)&lt;&gt;"⚠"),LEFT(IF(OR($AC99="",인턴현황!$K$2=""),"",INDEX(인턴근무계획!$M$3:$R$202,$AC99,인턴현황!$K$2)&amp;""),FIND(" ",IF(OR($AC99="",인턴현황!$K$2=""),"",INDEX(인턴근무계획!$M$3:$R$202,$AC99,인턴현황!$K$2)&amp;""))-1),$AE99))</f>
        <v/>
      </c>
      <c r="AH99" s="17">
        <f>IF($B99="","",IF(TRIM($J99&amp;"")="",0,SUMPRODUCT((파견수련계획!$Q$4:$Q$203=TRIM($J99&amp;""))*(파견수련계획!$S$4:$S$203="서울병원")*파견수련계획!$W$4:$W$203))+IF($AG99="서울병원",MAX(0,DAY(EOMONTH(요약!$B$3,0))-N($X99)),0))</f>
        <v/>
      </c>
      <c r="AI99" s="17">
        <f>IF($B99="","",IF(TRIM($J99&amp;"")="",0,SUMPRODUCT((파견수련계획!$Q$4:$Q$203=TRIM($J99&amp;""))*(파견수련계획!$S$4:$S$203="구리병원")*파견수련계획!$W$4:$W$203))+IF($AG99="구리병원",MAX(0,DAY(EOMONTH(요약!$B$3,0))-N($X99)),0))</f>
        <v/>
      </c>
      <c r="AJ99" s="10">
        <f>IF(OR($B99="",TRIM($J99&amp;"")=""),"",IFERROR(MATCH(TRIM($J99&amp;"")&amp;"|월",파견수련계획!$Z$4:$Z$203,0),""))</f>
        <v/>
      </c>
      <c r="AK99" s="10">
        <f>IF(OR($B99="",TRIM($J99&amp;"")=""),"",IFERROR(MATCH(TRIM($J99&amp;"")&amp;"|다기관",파견수련계획!$AE$4:$AE$203,0),""))</f>
        <v/>
      </c>
      <c r="AL99" s="10">
        <f>IF($AK99="","","다기관 "&amp;TEXT(INDEX(파견수련계획!$AB$4:$AB$203,$AK99),"yyyy-mm-dd")&amp;"~"&amp;IF(ISNUMBER(INDEX(파견수련계획!$AC$4:$AC$203,$AK99)),TEXT(INDEX(파견수련계획!$AC$4:$AC$203,$AK99),"yyyy-mm-dd"),""))</f>
        <v/>
      </c>
    </row>
    <row r="100">
      <c r="A100" s="10">
        <f>IF(B100="","",ROW()-1)</f>
        <v/>
      </c>
      <c r="B100" s="18" t="n"/>
      <c r="C100" s="10">
        <f>IF($AB100="","",IF(INDEX(기본자료!$C$2:$C$501,$AB100)="","",INDEX(기본자료!$C$2:$C$501,$AB100)))</f>
        <v/>
      </c>
      <c r="D100" s="10">
        <f>IF($AB100="","",IF(INDEX(기본자료!$J$2:$J$501,$AB100)="","",INDEX(기본자료!$J$2:$J$501,$AB100)))</f>
        <v/>
      </c>
      <c r="E100" s="11">
        <f>IF($AB100="","",IF(INDEX(기본자료!$K$2:$K$501,$AB100)="","",IF(NOT(ISNUMBER(INDEX(기본자료!$K$2:$K$501,$AB100))),INDEX(기본자료!$K$2:$K$501,$AB100),IF(INDEX(기본자료!$K$2:$K$501,$AB100)&lt;1000000,INDEX(기본자료!$K$2:$K$501,$AB100),IF(AND(INDEX(기본자료!$K$2:$K$501,$AB100)&gt;=10000101,INT(MOD(INDEX(기본자료!$K$2:$K$501,$AB100),10000)/100)&gt;=1,INT(MOD(INDEX(기본자료!$K$2:$K$501,$AB100),10000)/100)&lt;=12,MOD(INDEX(기본자료!$K$2:$K$501,$AB100),100)&gt;=1,MOD(INDEX(기본자료!$K$2:$K$501,$AB100),100)&lt;=31),DATE(INT(INDEX(기본자료!$K$2:$K$501,$AB100)/10000),INT(MOD(INDEX(기본자료!$K$2:$K$501,$AB100),10000)/100),MOD(INDEX(기본자료!$K$2:$K$501,$AB100),100)),INDEX(기본자료!$K$2:$K$501,$AB100)&amp;"")))))</f>
        <v/>
      </c>
      <c r="F100" s="10">
        <f>IF($AB100="","",IF(INDEX(기본자료!$D$2:$D$501,$AB100)="","",INDEX(기본자료!$D$2:$D$501,$AB100)))</f>
        <v/>
      </c>
      <c r="G100" s="10">
        <f>IF($AB100="","",IF(INDEX(기본자료!$E$2:$E$501,$AB100)="","",INDEX(기본자료!$E$2:$E$501,$AB100)))</f>
        <v/>
      </c>
      <c r="H100" s="10">
        <f>IF($AB100="","",IF(INDEX(기본자료!$F$2:$F$501,$AB100)="","",INDEX(기본자료!$F$2:$F$501,$AB100)))</f>
        <v/>
      </c>
      <c r="I100" s="11">
        <f>IF($AB100="","",IF(INDEX(기본자료!$G$2:$G$501,$AB100)="","",IF(NOT(ISNUMBER(INDEX(기본자료!$G$2:$G$501,$AB100))),INDEX(기본자료!$G$2:$G$501,$AB100),IF(INDEX(기본자료!$G$2:$G$501,$AB100)&lt;1000000,INDEX(기본자료!$G$2:$G$501,$AB100),IF(AND(INDEX(기본자료!$G$2:$G$501,$AB100)&gt;=10000101,INT(MOD(INDEX(기본자료!$G$2:$G$501,$AB100),10000)/100)&gt;=1,INT(MOD(INDEX(기본자료!$G$2:$G$501,$AB100),10000)/100)&lt;=12,MOD(INDEX(기본자료!$G$2:$G$501,$AB100),100)&gt;=1,MOD(INDEX(기본자료!$G$2:$G$501,$AB100),100)&lt;=31),DATE(INT(INDEX(기본자료!$G$2:$G$501,$AB100)/10000),INT(MOD(INDEX(기본자료!$G$2:$G$501,$AB100),10000)/100),MOD(INDEX(기본자료!$G$2:$G$501,$AB100),100)),INDEX(기본자료!$G$2:$G$501,$AB100)&amp;"")))))</f>
        <v/>
      </c>
      <c r="J100" s="10">
        <f>IF($AB100="","",IF(INDEX(기본자료!$H$2:$H$501,$AB100)="","",INDEX(기본자료!$H$2:$H$501,$AB100)))</f>
        <v/>
      </c>
      <c r="K100" s="10">
        <f>IF($AB100="","",IF(INDEX(기본자료!$I$2:$I$501,$AB100)="","",INDEX(기본자료!$I$2:$I$501,$AB100)))</f>
        <v/>
      </c>
      <c r="L100" s="10">
        <f>IF($AB100="","",IF(INDEX(기본자료!$A$2:$A$501,$AB100)="","",INDEX(기본자료!$A$2:$A$501,$AB100)))</f>
        <v/>
      </c>
      <c r="M100" s="15" t="n"/>
      <c r="N100" s="10">
        <f>IF($B100="","",IF(AND($U100="파견중",$Q100&lt;&gt;""),$Q100,IF(AND($AD100&lt;&gt;"",LEFT($AD100,1)&lt;&gt;"⚠"),LEFT($AD100,FIND(" ",$AD100)-1),IF($H100="","",IF(RIGHT($H100,2)="병원",$H100,$H100&amp;"병원")))))</f>
        <v/>
      </c>
      <c r="O100" s="10">
        <f>IF($B100="","",IF(AND($U100="파견중",$Q100&lt;&gt;""),IF($R100&lt;&gt;"",$R100,"파견과 미입력"),IF(AND($AD100&lt;&gt;"",LEFT($AD100,1)&lt;&gt;"⚠"),MID($AD100,FIND(" ",$AD100)+1,60),IF($F100="","",IF($F100="인턴","수련교육부(인턴)",$F100)))))</f>
        <v/>
      </c>
      <c r="P100" s="10">
        <f>IF($B100="","",IF($AK100&lt;&gt;"",IF(AND(TODAY()&gt;=INDEX(파견수련계획!$AB$4:$AB$203,$AK100),OR(NOT(ISNUMBER(INDEX(파견수련계획!$AC$4:$AC$203,$AK100))),TODAY()&lt;=INDEX(파견수련계획!$AC$4:$AC$203,$AK100))),"다기관",IF($AF100="","",INDEX(파견수련계획!$T$4:$T$203,$AF100))),IF($AF100="","",INDEX(파견수련계획!$T$4:$T$203,$AF100))))</f>
        <v/>
      </c>
      <c r="Q100" s="10">
        <f>IF($AF100="","",INDEX(파견수련계획!$S$4:$S$203,$AF100))</f>
        <v/>
      </c>
      <c r="R100" s="10">
        <f>IF($AF100="","",INDEX(파견수련계획!$U$4:$U$203,$AF100))</f>
        <v/>
      </c>
      <c r="S100" s="11">
        <f>IF($AF100="","",IF(INDEX(파견수련계획!$H$4:$H$203,$AF100)="","",INDEX(파견수련계획!$H$4:$H$203,$AF100)))</f>
        <v/>
      </c>
      <c r="T100" s="11">
        <f>IF($AF100="","",IF(INDEX(파견수련계획!$I$4:$I$203,$AF100)="","",INDEX(파견수련계획!$I$4:$I$203,$AF100)))</f>
        <v/>
      </c>
      <c r="U100" s="10">
        <f>IF($AF100="","",INDEX(파견수련계획!$X$4:$X$203,$AF100))</f>
        <v/>
      </c>
      <c r="V100" s="17">
        <f>IF($AF100="","",INDEX(파견수련계획!$V$4:$V$203,$AF100))</f>
        <v/>
      </c>
      <c r="W100" s="17">
        <f>IF(AND($U100="파견중",$T100&lt;&gt;""),$T100-TODAY(),"")</f>
        <v/>
      </c>
      <c r="X100" s="17">
        <f>IF(OR($B100="",TRIM($J100&amp;"")=""),"",SUMPRODUCT((파견수련계획!$Q$4:$Q$203=TRIM($J100&amp;""))*파견수련계획!$W$4:$W$203))</f>
        <v/>
      </c>
      <c r="Y100" s="10">
        <f>IF($B100="","",IF($AG100="","",IF(IF(TRIM($J100&amp;"")="",0,SUMPRODUCT((파견수련계획!$Q$4:$Q$203=TRIM($J100&amp;""))*파견수련계획!$AD$4:$AD$203))&gt;0,$AE100,IF(N($X100)&lt;=0,$AG100,IF($AH100+$AI100=DAY(EOMONTH(요약!$B$3,0)),IF(AND($AH100&gt;=요약!$E$3,$AI100&lt;요약!$E$3),"서울병원",IF(AND($AI100&gt;=요약!$E$3,$AH100&lt;요약!$E$3),"구리병원","⚠15일 판정불가(서울 "&amp;$AH100&amp;"일/구리 "&amp;$AI100&amp;"일)")),IF($AJ100="",$AE100,IF(INDEX(파견수련계획!$T$4:$T$203,$AJ100)="통합수련",INDEX(파견수련계획!$S$4:$S$203,$AJ100),$AE100)))))))</f>
        <v/>
      </c>
      <c r="Z100" s="19">
        <f>IF($B100="","",IF($AB100="","기본자료에 없는 사번",IF(COUNTIF($B$2:$B$201,$B100)&gt;1,"중복 사번",IF($AE100="","소속(입사장소) 입력",IF(IF(TRIM($J100&amp;"")="",0,SUMPRODUCT((파견수련계획!$Q$4:$Q$203=TRIM($J100&amp;""))*(파견수련계획!$AA$4:$AA$203&lt;&gt;"")))&gt;0,"파견수련계획 입력오류 확인",IF(LEFT($Y100,1)="⚠","서울·구리 15일 판정 불가(양쪽 모두 이상/미만)",IF(IF($AC100="",0,N(INDEX(인턴근무계획!$T$3:$T$202,$AC100)))&gt;0,"인턴계획 입력오류 확인",IF(AND($AC100&lt;&gt;"",$U100&lt;&gt;"파견중",$N100&lt;&gt;$AE100),"인턴 타지역 근무: 파견 여부 확인","정상"))))))))</f>
        <v/>
      </c>
      <c r="AA100" s="5" t="n"/>
      <c r="AB100" s="10">
        <f>IF($B100="","",IFERROR(MATCH($B100,기본자료!$B$2:$B$501,0),IFERROR(MATCH($B100&amp;"",기본자료!$B$2:$B$501,0),IFERROR(MATCH(VALUE($B100),기본자료!$B$2:$B$501,0),""))))</f>
        <v/>
      </c>
      <c r="AC100" s="10">
        <f>IF($B100="","",IFERROR(MATCH($B100,인턴근무계획!$D$3:$D$202,0),IFERROR(MATCH($B100&amp;"",인턴근무계획!$D$3:$D$202,0),IFERROR(MATCH(VALUE($B100),인턴근무계획!$D$3:$D$202,0),""))))</f>
        <v/>
      </c>
      <c r="AD100" s="10">
        <f>IF(OR($AC100="",인턴현황!$G$3=""),"",INDEX(인턴근무계획!$M$3:$R$202,$AC100,인턴현황!$G$3)&amp;"")</f>
        <v/>
      </c>
      <c r="AE100" s="10">
        <f>IF($B100="","",IF($M100&lt;&gt;"",$M100,IF($AF100&lt;&gt;"",IF(LEFT(INDEX(파견수련계획!$R$4:$R$203,$AF100),1)&lt;&gt;"⚠",INDEX(파견수련계획!$R$4:$R$203,$AF100),IF($H100="","",IF(RIGHT($H100,2)="병원",$H100,$H100&amp;"병원"))),IF($H100="","",IF(RIGHT($H100,2)="병원",$H100,$H100&amp;"병원")))))</f>
        <v/>
      </c>
      <c r="AF100" s="10">
        <f>IF(OR($B100="",TRIM($J100&amp;"")=""),"",IFERROR(MATCH(TRIM($J100&amp;"")&amp;"|파견중",파견수련계획!$Y$4:$Y$203,0),IFERROR(MATCH(TRIM($J100&amp;"")&amp;"|파견예정",파견수련계획!$Y$4:$Y$203,0),IFERROR(MATCH(TRIM($J100&amp;"")&amp;"|파견종료",파견수련계획!$Y$4:$Y$203,0),""))))</f>
        <v/>
      </c>
      <c r="AG100" s="10">
        <f>IF($B100="","",IF(AND(IF(OR($AC100="",인턴현황!$K$2=""),"",INDEX(인턴근무계획!$M$3:$R$202,$AC100,인턴현황!$K$2)&amp;"")&lt;&gt;"",LEFT(IF(OR($AC100="",인턴현황!$K$2=""),"",INDEX(인턴근무계획!$M$3:$R$202,$AC100,인턴현황!$K$2)&amp;""),1)&lt;&gt;"⚠"),LEFT(IF(OR($AC100="",인턴현황!$K$2=""),"",INDEX(인턴근무계획!$M$3:$R$202,$AC100,인턴현황!$K$2)&amp;""),FIND(" ",IF(OR($AC100="",인턴현황!$K$2=""),"",INDEX(인턴근무계획!$M$3:$R$202,$AC100,인턴현황!$K$2)&amp;""))-1),$AE100))</f>
        <v/>
      </c>
      <c r="AH100" s="17">
        <f>IF($B100="","",IF(TRIM($J100&amp;"")="",0,SUMPRODUCT((파견수련계획!$Q$4:$Q$203=TRIM($J100&amp;""))*(파견수련계획!$S$4:$S$203="서울병원")*파견수련계획!$W$4:$W$203))+IF($AG100="서울병원",MAX(0,DAY(EOMONTH(요약!$B$3,0))-N($X100)),0))</f>
        <v/>
      </c>
      <c r="AI100" s="17">
        <f>IF($B100="","",IF(TRIM($J100&amp;"")="",0,SUMPRODUCT((파견수련계획!$Q$4:$Q$203=TRIM($J100&amp;""))*(파견수련계획!$S$4:$S$203="구리병원")*파견수련계획!$W$4:$W$203))+IF($AG100="구리병원",MAX(0,DAY(EOMONTH(요약!$B$3,0))-N($X100)),0))</f>
        <v/>
      </c>
      <c r="AJ100" s="10">
        <f>IF(OR($B100="",TRIM($J100&amp;"")=""),"",IFERROR(MATCH(TRIM($J100&amp;"")&amp;"|월",파견수련계획!$Z$4:$Z$203,0),""))</f>
        <v/>
      </c>
      <c r="AK100" s="10">
        <f>IF(OR($B100="",TRIM($J100&amp;"")=""),"",IFERROR(MATCH(TRIM($J100&amp;"")&amp;"|다기관",파견수련계획!$AE$4:$AE$203,0),""))</f>
        <v/>
      </c>
      <c r="AL100" s="10">
        <f>IF($AK100="","","다기관 "&amp;TEXT(INDEX(파견수련계획!$AB$4:$AB$203,$AK100),"yyyy-mm-dd")&amp;"~"&amp;IF(ISNUMBER(INDEX(파견수련계획!$AC$4:$AC$203,$AK100)),TEXT(INDEX(파견수련계획!$AC$4:$AC$203,$AK100),"yyyy-mm-dd"),""))</f>
        <v/>
      </c>
    </row>
    <row r="101">
      <c r="A101" s="10">
        <f>IF(B101="","",ROW()-1)</f>
        <v/>
      </c>
      <c r="B101" s="18" t="n"/>
      <c r="C101" s="10">
        <f>IF($AB101="","",IF(INDEX(기본자료!$C$2:$C$501,$AB101)="","",INDEX(기본자료!$C$2:$C$501,$AB101)))</f>
        <v/>
      </c>
      <c r="D101" s="10">
        <f>IF($AB101="","",IF(INDEX(기본자료!$J$2:$J$501,$AB101)="","",INDEX(기본자료!$J$2:$J$501,$AB101)))</f>
        <v/>
      </c>
      <c r="E101" s="11">
        <f>IF($AB101="","",IF(INDEX(기본자료!$K$2:$K$501,$AB101)="","",IF(NOT(ISNUMBER(INDEX(기본자료!$K$2:$K$501,$AB101))),INDEX(기본자료!$K$2:$K$501,$AB101),IF(INDEX(기본자료!$K$2:$K$501,$AB101)&lt;1000000,INDEX(기본자료!$K$2:$K$501,$AB101),IF(AND(INDEX(기본자료!$K$2:$K$501,$AB101)&gt;=10000101,INT(MOD(INDEX(기본자료!$K$2:$K$501,$AB101),10000)/100)&gt;=1,INT(MOD(INDEX(기본자료!$K$2:$K$501,$AB101),10000)/100)&lt;=12,MOD(INDEX(기본자료!$K$2:$K$501,$AB101),100)&gt;=1,MOD(INDEX(기본자료!$K$2:$K$501,$AB101),100)&lt;=31),DATE(INT(INDEX(기본자료!$K$2:$K$501,$AB101)/10000),INT(MOD(INDEX(기본자료!$K$2:$K$501,$AB101),10000)/100),MOD(INDEX(기본자료!$K$2:$K$501,$AB101),100)),INDEX(기본자료!$K$2:$K$501,$AB101)&amp;"")))))</f>
        <v/>
      </c>
      <c r="F101" s="10">
        <f>IF($AB101="","",IF(INDEX(기본자료!$D$2:$D$501,$AB101)="","",INDEX(기본자료!$D$2:$D$501,$AB101)))</f>
        <v/>
      </c>
      <c r="G101" s="10">
        <f>IF($AB101="","",IF(INDEX(기본자료!$E$2:$E$501,$AB101)="","",INDEX(기본자료!$E$2:$E$501,$AB101)))</f>
        <v/>
      </c>
      <c r="H101" s="10">
        <f>IF($AB101="","",IF(INDEX(기본자료!$F$2:$F$501,$AB101)="","",INDEX(기본자료!$F$2:$F$501,$AB101)))</f>
        <v/>
      </c>
      <c r="I101" s="11">
        <f>IF($AB101="","",IF(INDEX(기본자료!$G$2:$G$501,$AB101)="","",IF(NOT(ISNUMBER(INDEX(기본자료!$G$2:$G$501,$AB101))),INDEX(기본자료!$G$2:$G$501,$AB101),IF(INDEX(기본자료!$G$2:$G$501,$AB101)&lt;1000000,INDEX(기본자료!$G$2:$G$501,$AB101),IF(AND(INDEX(기본자료!$G$2:$G$501,$AB101)&gt;=10000101,INT(MOD(INDEX(기본자료!$G$2:$G$501,$AB101),10000)/100)&gt;=1,INT(MOD(INDEX(기본자료!$G$2:$G$501,$AB101),10000)/100)&lt;=12,MOD(INDEX(기본자료!$G$2:$G$501,$AB101),100)&gt;=1,MOD(INDEX(기본자료!$G$2:$G$501,$AB101),100)&lt;=31),DATE(INT(INDEX(기본자료!$G$2:$G$501,$AB101)/10000),INT(MOD(INDEX(기본자료!$G$2:$G$501,$AB101),10000)/100),MOD(INDEX(기본자료!$G$2:$G$501,$AB101),100)),INDEX(기본자료!$G$2:$G$501,$AB101)&amp;"")))))</f>
        <v/>
      </c>
      <c r="J101" s="10">
        <f>IF($AB101="","",IF(INDEX(기본자료!$H$2:$H$501,$AB101)="","",INDEX(기본자료!$H$2:$H$501,$AB101)))</f>
        <v/>
      </c>
      <c r="K101" s="10">
        <f>IF($AB101="","",IF(INDEX(기본자료!$I$2:$I$501,$AB101)="","",INDEX(기본자료!$I$2:$I$501,$AB101)))</f>
        <v/>
      </c>
      <c r="L101" s="10">
        <f>IF($AB101="","",IF(INDEX(기본자료!$A$2:$A$501,$AB101)="","",INDEX(기본자료!$A$2:$A$501,$AB101)))</f>
        <v/>
      </c>
      <c r="M101" s="15" t="n"/>
      <c r="N101" s="10">
        <f>IF($B101="","",IF(AND($U101="파견중",$Q101&lt;&gt;""),$Q101,IF(AND($AD101&lt;&gt;"",LEFT($AD101,1)&lt;&gt;"⚠"),LEFT($AD101,FIND(" ",$AD101)-1),IF($H101="","",IF(RIGHT($H101,2)="병원",$H101,$H101&amp;"병원")))))</f>
        <v/>
      </c>
      <c r="O101" s="10">
        <f>IF($B101="","",IF(AND($U101="파견중",$Q101&lt;&gt;""),IF($R101&lt;&gt;"",$R101,"파견과 미입력"),IF(AND($AD101&lt;&gt;"",LEFT($AD101,1)&lt;&gt;"⚠"),MID($AD101,FIND(" ",$AD101)+1,60),IF($F101="","",IF($F101="인턴","수련교육부(인턴)",$F101)))))</f>
        <v/>
      </c>
      <c r="P101" s="10">
        <f>IF($B101="","",IF($AK101&lt;&gt;"",IF(AND(TODAY()&gt;=INDEX(파견수련계획!$AB$4:$AB$203,$AK101),OR(NOT(ISNUMBER(INDEX(파견수련계획!$AC$4:$AC$203,$AK101))),TODAY()&lt;=INDEX(파견수련계획!$AC$4:$AC$203,$AK101))),"다기관",IF($AF101="","",INDEX(파견수련계획!$T$4:$T$203,$AF101))),IF($AF101="","",INDEX(파견수련계획!$T$4:$T$203,$AF101))))</f>
        <v/>
      </c>
      <c r="Q101" s="10">
        <f>IF($AF101="","",INDEX(파견수련계획!$S$4:$S$203,$AF101))</f>
        <v/>
      </c>
      <c r="R101" s="10">
        <f>IF($AF101="","",INDEX(파견수련계획!$U$4:$U$203,$AF101))</f>
        <v/>
      </c>
      <c r="S101" s="11">
        <f>IF($AF101="","",IF(INDEX(파견수련계획!$H$4:$H$203,$AF101)="","",INDEX(파견수련계획!$H$4:$H$203,$AF101)))</f>
        <v/>
      </c>
      <c r="T101" s="11">
        <f>IF($AF101="","",IF(INDEX(파견수련계획!$I$4:$I$203,$AF101)="","",INDEX(파견수련계획!$I$4:$I$203,$AF101)))</f>
        <v/>
      </c>
      <c r="U101" s="10">
        <f>IF($AF101="","",INDEX(파견수련계획!$X$4:$X$203,$AF101))</f>
        <v/>
      </c>
      <c r="V101" s="17">
        <f>IF($AF101="","",INDEX(파견수련계획!$V$4:$V$203,$AF101))</f>
        <v/>
      </c>
      <c r="W101" s="17">
        <f>IF(AND($U101="파견중",$T101&lt;&gt;""),$T101-TODAY(),"")</f>
        <v/>
      </c>
      <c r="X101" s="17">
        <f>IF(OR($B101="",TRIM($J101&amp;"")=""),"",SUMPRODUCT((파견수련계획!$Q$4:$Q$203=TRIM($J101&amp;""))*파견수련계획!$W$4:$W$203))</f>
        <v/>
      </c>
      <c r="Y101" s="10">
        <f>IF($B101="","",IF($AG101="","",IF(IF(TRIM($J101&amp;"")="",0,SUMPRODUCT((파견수련계획!$Q$4:$Q$203=TRIM($J101&amp;""))*파견수련계획!$AD$4:$AD$203))&gt;0,$AE101,IF(N($X101)&lt;=0,$AG101,IF($AH101+$AI101=DAY(EOMONTH(요약!$B$3,0)),IF(AND($AH101&gt;=요약!$E$3,$AI101&lt;요약!$E$3),"서울병원",IF(AND($AI101&gt;=요약!$E$3,$AH101&lt;요약!$E$3),"구리병원","⚠15일 판정불가(서울 "&amp;$AH101&amp;"일/구리 "&amp;$AI101&amp;"일)")),IF($AJ101="",$AE101,IF(INDEX(파견수련계획!$T$4:$T$203,$AJ101)="통합수련",INDEX(파견수련계획!$S$4:$S$203,$AJ101),$AE101)))))))</f>
        <v/>
      </c>
      <c r="Z101" s="19">
        <f>IF($B101="","",IF($AB101="","기본자료에 없는 사번",IF(COUNTIF($B$2:$B$201,$B101)&gt;1,"중복 사번",IF($AE101="","소속(입사장소) 입력",IF(IF(TRIM($J101&amp;"")="",0,SUMPRODUCT((파견수련계획!$Q$4:$Q$203=TRIM($J101&amp;""))*(파견수련계획!$AA$4:$AA$203&lt;&gt;"")))&gt;0,"파견수련계획 입력오류 확인",IF(LEFT($Y101,1)="⚠","서울·구리 15일 판정 불가(양쪽 모두 이상/미만)",IF(IF($AC101="",0,N(INDEX(인턴근무계획!$T$3:$T$202,$AC101)))&gt;0,"인턴계획 입력오류 확인",IF(AND($AC101&lt;&gt;"",$U101&lt;&gt;"파견중",$N101&lt;&gt;$AE101),"인턴 타지역 근무: 파견 여부 확인","정상"))))))))</f>
        <v/>
      </c>
      <c r="AA101" s="5" t="n"/>
      <c r="AB101" s="10">
        <f>IF($B101="","",IFERROR(MATCH($B101,기본자료!$B$2:$B$501,0),IFERROR(MATCH($B101&amp;"",기본자료!$B$2:$B$501,0),IFERROR(MATCH(VALUE($B101),기본자료!$B$2:$B$501,0),""))))</f>
        <v/>
      </c>
      <c r="AC101" s="10">
        <f>IF($B101="","",IFERROR(MATCH($B101,인턴근무계획!$D$3:$D$202,0),IFERROR(MATCH($B101&amp;"",인턴근무계획!$D$3:$D$202,0),IFERROR(MATCH(VALUE($B101),인턴근무계획!$D$3:$D$202,0),""))))</f>
        <v/>
      </c>
      <c r="AD101" s="10">
        <f>IF(OR($AC101="",인턴현황!$G$3=""),"",INDEX(인턴근무계획!$M$3:$R$202,$AC101,인턴현황!$G$3)&amp;"")</f>
        <v/>
      </c>
      <c r="AE101" s="10">
        <f>IF($B101="","",IF($M101&lt;&gt;"",$M101,IF($AF101&lt;&gt;"",IF(LEFT(INDEX(파견수련계획!$R$4:$R$203,$AF101),1)&lt;&gt;"⚠",INDEX(파견수련계획!$R$4:$R$203,$AF101),IF($H101="","",IF(RIGHT($H101,2)="병원",$H101,$H101&amp;"병원"))),IF($H101="","",IF(RIGHT($H101,2)="병원",$H101,$H101&amp;"병원")))))</f>
        <v/>
      </c>
      <c r="AF101" s="10">
        <f>IF(OR($B101="",TRIM($J101&amp;"")=""),"",IFERROR(MATCH(TRIM($J101&amp;"")&amp;"|파견중",파견수련계획!$Y$4:$Y$203,0),IFERROR(MATCH(TRIM($J101&amp;"")&amp;"|파견예정",파견수련계획!$Y$4:$Y$203,0),IFERROR(MATCH(TRIM($J101&amp;"")&amp;"|파견종료",파견수련계획!$Y$4:$Y$203,0),""))))</f>
        <v/>
      </c>
      <c r="AG101" s="10">
        <f>IF($B101="","",IF(AND(IF(OR($AC101="",인턴현황!$K$2=""),"",INDEX(인턴근무계획!$M$3:$R$202,$AC101,인턴현황!$K$2)&amp;"")&lt;&gt;"",LEFT(IF(OR($AC101="",인턴현황!$K$2=""),"",INDEX(인턴근무계획!$M$3:$R$202,$AC101,인턴현황!$K$2)&amp;""),1)&lt;&gt;"⚠"),LEFT(IF(OR($AC101="",인턴현황!$K$2=""),"",INDEX(인턴근무계획!$M$3:$R$202,$AC101,인턴현황!$K$2)&amp;""),FIND(" ",IF(OR($AC101="",인턴현황!$K$2=""),"",INDEX(인턴근무계획!$M$3:$R$202,$AC101,인턴현황!$K$2)&amp;""))-1),$AE101))</f>
        <v/>
      </c>
      <c r="AH101" s="17">
        <f>IF($B101="","",IF(TRIM($J101&amp;"")="",0,SUMPRODUCT((파견수련계획!$Q$4:$Q$203=TRIM($J101&amp;""))*(파견수련계획!$S$4:$S$203="서울병원")*파견수련계획!$W$4:$W$203))+IF($AG101="서울병원",MAX(0,DAY(EOMONTH(요약!$B$3,0))-N($X101)),0))</f>
        <v/>
      </c>
      <c r="AI101" s="17">
        <f>IF($B101="","",IF(TRIM($J101&amp;"")="",0,SUMPRODUCT((파견수련계획!$Q$4:$Q$203=TRIM($J101&amp;""))*(파견수련계획!$S$4:$S$203="구리병원")*파견수련계획!$W$4:$W$203))+IF($AG101="구리병원",MAX(0,DAY(EOMONTH(요약!$B$3,0))-N($X101)),0))</f>
        <v/>
      </c>
      <c r="AJ101" s="10">
        <f>IF(OR($B101="",TRIM($J101&amp;"")=""),"",IFERROR(MATCH(TRIM($J101&amp;"")&amp;"|월",파견수련계획!$Z$4:$Z$203,0),""))</f>
        <v/>
      </c>
      <c r="AK101" s="10">
        <f>IF(OR($B101="",TRIM($J101&amp;"")=""),"",IFERROR(MATCH(TRIM($J101&amp;"")&amp;"|다기관",파견수련계획!$AE$4:$AE$203,0),""))</f>
        <v/>
      </c>
      <c r="AL101" s="10">
        <f>IF($AK101="","","다기관 "&amp;TEXT(INDEX(파견수련계획!$AB$4:$AB$203,$AK101),"yyyy-mm-dd")&amp;"~"&amp;IF(ISNUMBER(INDEX(파견수련계획!$AC$4:$AC$203,$AK101)),TEXT(INDEX(파견수련계획!$AC$4:$AC$203,$AK101),"yyyy-mm-dd"),""))</f>
        <v/>
      </c>
    </row>
    <row r="102">
      <c r="A102" s="10">
        <f>IF(B102="","",ROW()-1)</f>
        <v/>
      </c>
      <c r="B102" s="18" t="n"/>
      <c r="C102" s="10">
        <f>IF($AB102="","",IF(INDEX(기본자료!$C$2:$C$501,$AB102)="","",INDEX(기본자료!$C$2:$C$501,$AB102)))</f>
        <v/>
      </c>
      <c r="D102" s="10">
        <f>IF($AB102="","",IF(INDEX(기본자료!$J$2:$J$501,$AB102)="","",INDEX(기본자료!$J$2:$J$501,$AB102)))</f>
        <v/>
      </c>
      <c r="E102" s="11">
        <f>IF($AB102="","",IF(INDEX(기본자료!$K$2:$K$501,$AB102)="","",IF(NOT(ISNUMBER(INDEX(기본자료!$K$2:$K$501,$AB102))),INDEX(기본자료!$K$2:$K$501,$AB102),IF(INDEX(기본자료!$K$2:$K$501,$AB102)&lt;1000000,INDEX(기본자료!$K$2:$K$501,$AB102),IF(AND(INDEX(기본자료!$K$2:$K$501,$AB102)&gt;=10000101,INT(MOD(INDEX(기본자료!$K$2:$K$501,$AB102),10000)/100)&gt;=1,INT(MOD(INDEX(기본자료!$K$2:$K$501,$AB102),10000)/100)&lt;=12,MOD(INDEX(기본자료!$K$2:$K$501,$AB102),100)&gt;=1,MOD(INDEX(기본자료!$K$2:$K$501,$AB102),100)&lt;=31),DATE(INT(INDEX(기본자료!$K$2:$K$501,$AB102)/10000),INT(MOD(INDEX(기본자료!$K$2:$K$501,$AB102),10000)/100),MOD(INDEX(기본자료!$K$2:$K$501,$AB102),100)),INDEX(기본자료!$K$2:$K$501,$AB102)&amp;"")))))</f>
        <v/>
      </c>
      <c r="F102" s="10">
        <f>IF($AB102="","",IF(INDEX(기본자료!$D$2:$D$501,$AB102)="","",INDEX(기본자료!$D$2:$D$501,$AB102)))</f>
        <v/>
      </c>
      <c r="G102" s="10">
        <f>IF($AB102="","",IF(INDEX(기본자료!$E$2:$E$501,$AB102)="","",INDEX(기본자료!$E$2:$E$501,$AB102)))</f>
        <v/>
      </c>
      <c r="H102" s="10">
        <f>IF($AB102="","",IF(INDEX(기본자료!$F$2:$F$501,$AB102)="","",INDEX(기본자료!$F$2:$F$501,$AB102)))</f>
        <v/>
      </c>
      <c r="I102" s="11">
        <f>IF($AB102="","",IF(INDEX(기본자료!$G$2:$G$501,$AB102)="","",IF(NOT(ISNUMBER(INDEX(기본자료!$G$2:$G$501,$AB102))),INDEX(기본자료!$G$2:$G$501,$AB102),IF(INDEX(기본자료!$G$2:$G$501,$AB102)&lt;1000000,INDEX(기본자료!$G$2:$G$501,$AB102),IF(AND(INDEX(기본자료!$G$2:$G$501,$AB102)&gt;=10000101,INT(MOD(INDEX(기본자료!$G$2:$G$501,$AB102),10000)/100)&gt;=1,INT(MOD(INDEX(기본자료!$G$2:$G$501,$AB102),10000)/100)&lt;=12,MOD(INDEX(기본자료!$G$2:$G$501,$AB102),100)&gt;=1,MOD(INDEX(기본자료!$G$2:$G$501,$AB102),100)&lt;=31),DATE(INT(INDEX(기본자료!$G$2:$G$501,$AB102)/10000),INT(MOD(INDEX(기본자료!$G$2:$G$501,$AB102),10000)/100),MOD(INDEX(기본자료!$G$2:$G$501,$AB102),100)),INDEX(기본자료!$G$2:$G$501,$AB102)&amp;"")))))</f>
        <v/>
      </c>
      <c r="J102" s="10">
        <f>IF($AB102="","",IF(INDEX(기본자료!$H$2:$H$501,$AB102)="","",INDEX(기본자료!$H$2:$H$501,$AB102)))</f>
        <v/>
      </c>
      <c r="K102" s="10">
        <f>IF($AB102="","",IF(INDEX(기본자료!$I$2:$I$501,$AB102)="","",INDEX(기본자료!$I$2:$I$501,$AB102)))</f>
        <v/>
      </c>
      <c r="L102" s="10">
        <f>IF($AB102="","",IF(INDEX(기본자료!$A$2:$A$501,$AB102)="","",INDEX(기본자료!$A$2:$A$501,$AB102)))</f>
        <v/>
      </c>
      <c r="M102" s="15" t="n"/>
      <c r="N102" s="10">
        <f>IF($B102="","",IF(AND($U102="파견중",$Q102&lt;&gt;""),$Q102,IF(AND($AD102&lt;&gt;"",LEFT($AD102,1)&lt;&gt;"⚠"),LEFT($AD102,FIND(" ",$AD102)-1),IF($H102="","",IF(RIGHT($H102,2)="병원",$H102,$H102&amp;"병원")))))</f>
        <v/>
      </c>
      <c r="O102" s="10">
        <f>IF($B102="","",IF(AND($U102="파견중",$Q102&lt;&gt;""),IF($R102&lt;&gt;"",$R102,"파견과 미입력"),IF(AND($AD102&lt;&gt;"",LEFT($AD102,1)&lt;&gt;"⚠"),MID($AD102,FIND(" ",$AD102)+1,60),IF($F102="","",IF($F102="인턴","수련교육부(인턴)",$F102)))))</f>
        <v/>
      </c>
      <c r="P102" s="10">
        <f>IF($B102="","",IF($AK102&lt;&gt;"",IF(AND(TODAY()&gt;=INDEX(파견수련계획!$AB$4:$AB$203,$AK102),OR(NOT(ISNUMBER(INDEX(파견수련계획!$AC$4:$AC$203,$AK102))),TODAY()&lt;=INDEX(파견수련계획!$AC$4:$AC$203,$AK102))),"다기관",IF($AF102="","",INDEX(파견수련계획!$T$4:$T$203,$AF102))),IF($AF102="","",INDEX(파견수련계획!$T$4:$T$203,$AF102))))</f>
        <v/>
      </c>
      <c r="Q102" s="10">
        <f>IF($AF102="","",INDEX(파견수련계획!$S$4:$S$203,$AF102))</f>
        <v/>
      </c>
      <c r="R102" s="10">
        <f>IF($AF102="","",INDEX(파견수련계획!$U$4:$U$203,$AF102))</f>
        <v/>
      </c>
      <c r="S102" s="11">
        <f>IF($AF102="","",IF(INDEX(파견수련계획!$H$4:$H$203,$AF102)="","",INDEX(파견수련계획!$H$4:$H$203,$AF102)))</f>
        <v/>
      </c>
      <c r="T102" s="11">
        <f>IF($AF102="","",IF(INDEX(파견수련계획!$I$4:$I$203,$AF102)="","",INDEX(파견수련계획!$I$4:$I$203,$AF102)))</f>
        <v/>
      </c>
      <c r="U102" s="10">
        <f>IF($AF102="","",INDEX(파견수련계획!$X$4:$X$203,$AF102))</f>
        <v/>
      </c>
      <c r="V102" s="17">
        <f>IF($AF102="","",INDEX(파견수련계획!$V$4:$V$203,$AF102))</f>
        <v/>
      </c>
      <c r="W102" s="17">
        <f>IF(AND($U102="파견중",$T102&lt;&gt;""),$T102-TODAY(),"")</f>
        <v/>
      </c>
      <c r="X102" s="17">
        <f>IF(OR($B102="",TRIM($J102&amp;"")=""),"",SUMPRODUCT((파견수련계획!$Q$4:$Q$203=TRIM($J102&amp;""))*파견수련계획!$W$4:$W$203))</f>
        <v/>
      </c>
      <c r="Y102" s="10">
        <f>IF($B102="","",IF($AG102="","",IF(IF(TRIM($J102&amp;"")="",0,SUMPRODUCT((파견수련계획!$Q$4:$Q$203=TRIM($J102&amp;""))*파견수련계획!$AD$4:$AD$203))&gt;0,$AE102,IF(N($X102)&lt;=0,$AG102,IF($AH102+$AI102=DAY(EOMONTH(요약!$B$3,0)),IF(AND($AH102&gt;=요약!$E$3,$AI102&lt;요약!$E$3),"서울병원",IF(AND($AI102&gt;=요약!$E$3,$AH102&lt;요약!$E$3),"구리병원","⚠15일 판정불가(서울 "&amp;$AH102&amp;"일/구리 "&amp;$AI102&amp;"일)")),IF($AJ102="",$AE102,IF(INDEX(파견수련계획!$T$4:$T$203,$AJ102)="통합수련",INDEX(파견수련계획!$S$4:$S$203,$AJ102),$AE102)))))))</f>
        <v/>
      </c>
      <c r="Z102" s="19">
        <f>IF($B102="","",IF($AB102="","기본자료에 없는 사번",IF(COUNTIF($B$2:$B$201,$B102)&gt;1,"중복 사번",IF($AE102="","소속(입사장소) 입력",IF(IF(TRIM($J102&amp;"")="",0,SUMPRODUCT((파견수련계획!$Q$4:$Q$203=TRIM($J102&amp;""))*(파견수련계획!$AA$4:$AA$203&lt;&gt;"")))&gt;0,"파견수련계획 입력오류 확인",IF(LEFT($Y102,1)="⚠","서울·구리 15일 판정 불가(양쪽 모두 이상/미만)",IF(IF($AC102="",0,N(INDEX(인턴근무계획!$T$3:$T$202,$AC102)))&gt;0,"인턴계획 입력오류 확인",IF(AND($AC102&lt;&gt;"",$U102&lt;&gt;"파견중",$N102&lt;&gt;$AE102),"인턴 타지역 근무: 파견 여부 확인","정상"))))))))</f>
        <v/>
      </c>
      <c r="AA102" s="5" t="n"/>
      <c r="AB102" s="10">
        <f>IF($B102="","",IFERROR(MATCH($B102,기본자료!$B$2:$B$501,0),IFERROR(MATCH($B102&amp;"",기본자료!$B$2:$B$501,0),IFERROR(MATCH(VALUE($B102),기본자료!$B$2:$B$501,0),""))))</f>
        <v/>
      </c>
      <c r="AC102" s="10">
        <f>IF($B102="","",IFERROR(MATCH($B102,인턴근무계획!$D$3:$D$202,0),IFERROR(MATCH($B102&amp;"",인턴근무계획!$D$3:$D$202,0),IFERROR(MATCH(VALUE($B102),인턴근무계획!$D$3:$D$202,0),""))))</f>
        <v/>
      </c>
      <c r="AD102" s="10">
        <f>IF(OR($AC102="",인턴현황!$G$3=""),"",INDEX(인턴근무계획!$M$3:$R$202,$AC102,인턴현황!$G$3)&amp;"")</f>
        <v/>
      </c>
      <c r="AE102" s="10">
        <f>IF($B102="","",IF($M102&lt;&gt;"",$M102,IF($AF102&lt;&gt;"",IF(LEFT(INDEX(파견수련계획!$R$4:$R$203,$AF102),1)&lt;&gt;"⚠",INDEX(파견수련계획!$R$4:$R$203,$AF102),IF($H102="","",IF(RIGHT($H102,2)="병원",$H102,$H102&amp;"병원"))),IF($H102="","",IF(RIGHT($H102,2)="병원",$H102,$H102&amp;"병원")))))</f>
        <v/>
      </c>
      <c r="AF102" s="10">
        <f>IF(OR($B102="",TRIM($J102&amp;"")=""),"",IFERROR(MATCH(TRIM($J102&amp;"")&amp;"|파견중",파견수련계획!$Y$4:$Y$203,0),IFERROR(MATCH(TRIM($J102&amp;"")&amp;"|파견예정",파견수련계획!$Y$4:$Y$203,0),IFERROR(MATCH(TRIM($J102&amp;"")&amp;"|파견종료",파견수련계획!$Y$4:$Y$203,0),""))))</f>
        <v/>
      </c>
      <c r="AG102" s="10">
        <f>IF($B102="","",IF(AND(IF(OR($AC102="",인턴현황!$K$2=""),"",INDEX(인턴근무계획!$M$3:$R$202,$AC102,인턴현황!$K$2)&amp;"")&lt;&gt;"",LEFT(IF(OR($AC102="",인턴현황!$K$2=""),"",INDEX(인턴근무계획!$M$3:$R$202,$AC102,인턴현황!$K$2)&amp;""),1)&lt;&gt;"⚠"),LEFT(IF(OR($AC102="",인턴현황!$K$2=""),"",INDEX(인턴근무계획!$M$3:$R$202,$AC102,인턴현황!$K$2)&amp;""),FIND(" ",IF(OR($AC102="",인턴현황!$K$2=""),"",INDEX(인턴근무계획!$M$3:$R$202,$AC102,인턴현황!$K$2)&amp;""))-1),$AE102))</f>
        <v/>
      </c>
      <c r="AH102" s="17">
        <f>IF($B102="","",IF(TRIM($J102&amp;"")="",0,SUMPRODUCT((파견수련계획!$Q$4:$Q$203=TRIM($J102&amp;""))*(파견수련계획!$S$4:$S$203="서울병원")*파견수련계획!$W$4:$W$203))+IF($AG102="서울병원",MAX(0,DAY(EOMONTH(요약!$B$3,0))-N($X102)),0))</f>
        <v/>
      </c>
      <c r="AI102" s="17">
        <f>IF($B102="","",IF(TRIM($J102&amp;"")="",0,SUMPRODUCT((파견수련계획!$Q$4:$Q$203=TRIM($J102&amp;""))*(파견수련계획!$S$4:$S$203="구리병원")*파견수련계획!$W$4:$W$203))+IF($AG102="구리병원",MAX(0,DAY(EOMONTH(요약!$B$3,0))-N($X102)),0))</f>
        <v/>
      </c>
      <c r="AJ102" s="10">
        <f>IF(OR($B102="",TRIM($J102&amp;"")=""),"",IFERROR(MATCH(TRIM($J102&amp;"")&amp;"|월",파견수련계획!$Z$4:$Z$203,0),""))</f>
        <v/>
      </c>
      <c r="AK102" s="10">
        <f>IF(OR($B102="",TRIM($J102&amp;"")=""),"",IFERROR(MATCH(TRIM($J102&amp;"")&amp;"|다기관",파견수련계획!$AE$4:$AE$203,0),""))</f>
        <v/>
      </c>
      <c r="AL102" s="10">
        <f>IF($AK102="","","다기관 "&amp;TEXT(INDEX(파견수련계획!$AB$4:$AB$203,$AK102),"yyyy-mm-dd")&amp;"~"&amp;IF(ISNUMBER(INDEX(파견수련계획!$AC$4:$AC$203,$AK102)),TEXT(INDEX(파견수련계획!$AC$4:$AC$203,$AK102),"yyyy-mm-dd"),""))</f>
        <v/>
      </c>
    </row>
    <row r="103">
      <c r="A103" s="10">
        <f>IF(B103="","",ROW()-1)</f>
        <v/>
      </c>
      <c r="B103" s="18" t="n"/>
      <c r="C103" s="10">
        <f>IF($AB103="","",IF(INDEX(기본자료!$C$2:$C$501,$AB103)="","",INDEX(기본자료!$C$2:$C$501,$AB103)))</f>
        <v/>
      </c>
      <c r="D103" s="10">
        <f>IF($AB103="","",IF(INDEX(기본자료!$J$2:$J$501,$AB103)="","",INDEX(기본자료!$J$2:$J$501,$AB103)))</f>
        <v/>
      </c>
      <c r="E103" s="11">
        <f>IF($AB103="","",IF(INDEX(기본자료!$K$2:$K$501,$AB103)="","",IF(NOT(ISNUMBER(INDEX(기본자료!$K$2:$K$501,$AB103))),INDEX(기본자료!$K$2:$K$501,$AB103),IF(INDEX(기본자료!$K$2:$K$501,$AB103)&lt;1000000,INDEX(기본자료!$K$2:$K$501,$AB103),IF(AND(INDEX(기본자료!$K$2:$K$501,$AB103)&gt;=10000101,INT(MOD(INDEX(기본자료!$K$2:$K$501,$AB103),10000)/100)&gt;=1,INT(MOD(INDEX(기본자료!$K$2:$K$501,$AB103),10000)/100)&lt;=12,MOD(INDEX(기본자료!$K$2:$K$501,$AB103),100)&gt;=1,MOD(INDEX(기본자료!$K$2:$K$501,$AB103),100)&lt;=31),DATE(INT(INDEX(기본자료!$K$2:$K$501,$AB103)/10000),INT(MOD(INDEX(기본자료!$K$2:$K$501,$AB103),10000)/100),MOD(INDEX(기본자료!$K$2:$K$501,$AB103),100)),INDEX(기본자료!$K$2:$K$501,$AB103)&amp;"")))))</f>
        <v/>
      </c>
      <c r="F103" s="10">
        <f>IF($AB103="","",IF(INDEX(기본자료!$D$2:$D$501,$AB103)="","",INDEX(기본자료!$D$2:$D$501,$AB103)))</f>
        <v/>
      </c>
      <c r="G103" s="10">
        <f>IF($AB103="","",IF(INDEX(기본자료!$E$2:$E$501,$AB103)="","",INDEX(기본자료!$E$2:$E$501,$AB103)))</f>
        <v/>
      </c>
      <c r="H103" s="10">
        <f>IF($AB103="","",IF(INDEX(기본자료!$F$2:$F$501,$AB103)="","",INDEX(기본자료!$F$2:$F$501,$AB103)))</f>
        <v/>
      </c>
      <c r="I103" s="11">
        <f>IF($AB103="","",IF(INDEX(기본자료!$G$2:$G$501,$AB103)="","",IF(NOT(ISNUMBER(INDEX(기본자료!$G$2:$G$501,$AB103))),INDEX(기본자료!$G$2:$G$501,$AB103),IF(INDEX(기본자료!$G$2:$G$501,$AB103)&lt;1000000,INDEX(기본자료!$G$2:$G$501,$AB103),IF(AND(INDEX(기본자료!$G$2:$G$501,$AB103)&gt;=10000101,INT(MOD(INDEX(기본자료!$G$2:$G$501,$AB103),10000)/100)&gt;=1,INT(MOD(INDEX(기본자료!$G$2:$G$501,$AB103),10000)/100)&lt;=12,MOD(INDEX(기본자료!$G$2:$G$501,$AB103),100)&gt;=1,MOD(INDEX(기본자료!$G$2:$G$501,$AB103),100)&lt;=31),DATE(INT(INDEX(기본자료!$G$2:$G$501,$AB103)/10000),INT(MOD(INDEX(기본자료!$G$2:$G$501,$AB103),10000)/100),MOD(INDEX(기본자료!$G$2:$G$501,$AB103),100)),INDEX(기본자료!$G$2:$G$501,$AB103)&amp;"")))))</f>
        <v/>
      </c>
      <c r="J103" s="10">
        <f>IF($AB103="","",IF(INDEX(기본자료!$H$2:$H$501,$AB103)="","",INDEX(기본자료!$H$2:$H$501,$AB103)))</f>
        <v/>
      </c>
      <c r="K103" s="10">
        <f>IF($AB103="","",IF(INDEX(기본자료!$I$2:$I$501,$AB103)="","",INDEX(기본자료!$I$2:$I$501,$AB103)))</f>
        <v/>
      </c>
      <c r="L103" s="10">
        <f>IF($AB103="","",IF(INDEX(기본자료!$A$2:$A$501,$AB103)="","",INDEX(기본자료!$A$2:$A$501,$AB103)))</f>
        <v/>
      </c>
      <c r="M103" s="15" t="n"/>
      <c r="N103" s="10">
        <f>IF($B103="","",IF(AND($U103="파견중",$Q103&lt;&gt;""),$Q103,IF(AND($AD103&lt;&gt;"",LEFT($AD103,1)&lt;&gt;"⚠"),LEFT($AD103,FIND(" ",$AD103)-1),IF($H103="","",IF(RIGHT($H103,2)="병원",$H103,$H103&amp;"병원")))))</f>
        <v/>
      </c>
      <c r="O103" s="10">
        <f>IF($B103="","",IF(AND($U103="파견중",$Q103&lt;&gt;""),IF($R103&lt;&gt;"",$R103,"파견과 미입력"),IF(AND($AD103&lt;&gt;"",LEFT($AD103,1)&lt;&gt;"⚠"),MID($AD103,FIND(" ",$AD103)+1,60),IF($F103="","",IF($F103="인턴","수련교육부(인턴)",$F103)))))</f>
        <v/>
      </c>
      <c r="P103" s="10">
        <f>IF($B103="","",IF($AK103&lt;&gt;"",IF(AND(TODAY()&gt;=INDEX(파견수련계획!$AB$4:$AB$203,$AK103),OR(NOT(ISNUMBER(INDEX(파견수련계획!$AC$4:$AC$203,$AK103))),TODAY()&lt;=INDEX(파견수련계획!$AC$4:$AC$203,$AK103))),"다기관",IF($AF103="","",INDEX(파견수련계획!$T$4:$T$203,$AF103))),IF($AF103="","",INDEX(파견수련계획!$T$4:$T$203,$AF103))))</f>
        <v/>
      </c>
      <c r="Q103" s="10">
        <f>IF($AF103="","",INDEX(파견수련계획!$S$4:$S$203,$AF103))</f>
        <v/>
      </c>
      <c r="R103" s="10">
        <f>IF($AF103="","",INDEX(파견수련계획!$U$4:$U$203,$AF103))</f>
        <v/>
      </c>
      <c r="S103" s="11">
        <f>IF($AF103="","",IF(INDEX(파견수련계획!$H$4:$H$203,$AF103)="","",INDEX(파견수련계획!$H$4:$H$203,$AF103)))</f>
        <v/>
      </c>
      <c r="T103" s="11">
        <f>IF($AF103="","",IF(INDEX(파견수련계획!$I$4:$I$203,$AF103)="","",INDEX(파견수련계획!$I$4:$I$203,$AF103)))</f>
        <v/>
      </c>
      <c r="U103" s="10">
        <f>IF($AF103="","",INDEX(파견수련계획!$X$4:$X$203,$AF103))</f>
        <v/>
      </c>
      <c r="V103" s="17">
        <f>IF($AF103="","",INDEX(파견수련계획!$V$4:$V$203,$AF103))</f>
        <v/>
      </c>
      <c r="W103" s="17">
        <f>IF(AND($U103="파견중",$T103&lt;&gt;""),$T103-TODAY(),"")</f>
        <v/>
      </c>
      <c r="X103" s="17">
        <f>IF(OR($B103="",TRIM($J103&amp;"")=""),"",SUMPRODUCT((파견수련계획!$Q$4:$Q$203=TRIM($J103&amp;""))*파견수련계획!$W$4:$W$203))</f>
        <v/>
      </c>
      <c r="Y103" s="10">
        <f>IF($B103="","",IF($AG103="","",IF(IF(TRIM($J103&amp;"")="",0,SUMPRODUCT((파견수련계획!$Q$4:$Q$203=TRIM($J103&amp;""))*파견수련계획!$AD$4:$AD$203))&gt;0,$AE103,IF(N($X103)&lt;=0,$AG103,IF($AH103+$AI103=DAY(EOMONTH(요약!$B$3,0)),IF(AND($AH103&gt;=요약!$E$3,$AI103&lt;요약!$E$3),"서울병원",IF(AND($AI103&gt;=요약!$E$3,$AH103&lt;요약!$E$3),"구리병원","⚠15일 판정불가(서울 "&amp;$AH103&amp;"일/구리 "&amp;$AI103&amp;"일)")),IF($AJ103="",$AE103,IF(INDEX(파견수련계획!$T$4:$T$203,$AJ103)="통합수련",INDEX(파견수련계획!$S$4:$S$203,$AJ103),$AE103)))))))</f>
        <v/>
      </c>
      <c r="Z103" s="19">
        <f>IF($B103="","",IF($AB103="","기본자료에 없는 사번",IF(COUNTIF($B$2:$B$201,$B103)&gt;1,"중복 사번",IF($AE103="","소속(입사장소) 입력",IF(IF(TRIM($J103&amp;"")="",0,SUMPRODUCT((파견수련계획!$Q$4:$Q$203=TRIM($J103&amp;""))*(파견수련계획!$AA$4:$AA$203&lt;&gt;"")))&gt;0,"파견수련계획 입력오류 확인",IF(LEFT($Y103,1)="⚠","서울·구리 15일 판정 불가(양쪽 모두 이상/미만)",IF(IF($AC103="",0,N(INDEX(인턴근무계획!$T$3:$T$202,$AC103)))&gt;0,"인턴계획 입력오류 확인",IF(AND($AC103&lt;&gt;"",$U103&lt;&gt;"파견중",$N103&lt;&gt;$AE103),"인턴 타지역 근무: 파견 여부 확인","정상"))))))))</f>
        <v/>
      </c>
      <c r="AA103" s="5" t="n"/>
      <c r="AB103" s="10">
        <f>IF($B103="","",IFERROR(MATCH($B103,기본자료!$B$2:$B$501,0),IFERROR(MATCH($B103&amp;"",기본자료!$B$2:$B$501,0),IFERROR(MATCH(VALUE($B103),기본자료!$B$2:$B$501,0),""))))</f>
        <v/>
      </c>
      <c r="AC103" s="10">
        <f>IF($B103="","",IFERROR(MATCH($B103,인턴근무계획!$D$3:$D$202,0),IFERROR(MATCH($B103&amp;"",인턴근무계획!$D$3:$D$202,0),IFERROR(MATCH(VALUE($B103),인턴근무계획!$D$3:$D$202,0),""))))</f>
        <v/>
      </c>
      <c r="AD103" s="10">
        <f>IF(OR($AC103="",인턴현황!$G$3=""),"",INDEX(인턴근무계획!$M$3:$R$202,$AC103,인턴현황!$G$3)&amp;"")</f>
        <v/>
      </c>
      <c r="AE103" s="10">
        <f>IF($B103="","",IF($M103&lt;&gt;"",$M103,IF($AF103&lt;&gt;"",IF(LEFT(INDEX(파견수련계획!$R$4:$R$203,$AF103),1)&lt;&gt;"⚠",INDEX(파견수련계획!$R$4:$R$203,$AF103),IF($H103="","",IF(RIGHT($H103,2)="병원",$H103,$H103&amp;"병원"))),IF($H103="","",IF(RIGHT($H103,2)="병원",$H103,$H103&amp;"병원")))))</f>
        <v/>
      </c>
      <c r="AF103" s="10">
        <f>IF(OR($B103="",TRIM($J103&amp;"")=""),"",IFERROR(MATCH(TRIM($J103&amp;"")&amp;"|파견중",파견수련계획!$Y$4:$Y$203,0),IFERROR(MATCH(TRIM($J103&amp;"")&amp;"|파견예정",파견수련계획!$Y$4:$Y$203,0),IFERROR(MATCH(TRIM($J103&amp;"")&amp;"|파견종료",파견수련계획!$Y$4:$Y$203,0),""))))</f>
        <v/>
      </c>
      <c r="AG103" s="10">
        <f>IF($B103="","",IF(AND(IF(OR($AC103="",인턴현황!$K$2=""),"",INDEX(인턴근무계획!$M$3:$R$202,$AC103,인턴현황!$K$2)&amp;"")&lt;&gt;"",LEFT(IF(OR($AC103="",인턴현황!$K$2=""),"",INDEX(인턴근무계획!$M$3:$R$202,$AC103,인턴현황!$K$2)&amp;""),1)&lt;&gt;"⚠"),LEFT(IF(OR($AC103="",인턴현황!$K$2=""),"",INDEX(인턴근무계획!$M$3:$R$202,$AC103,인턴현황!$K$2)&amp;""),FIND(" ",IF(OR($AC103="",인턴현황!$K$2=""),"",INDEX(인턴근무계획!$M$3:$R$202,$AC103,인턴현황!$K$2)&amp;""))-1),$AE103))</f>
        <v/>
      </c>
      <c r="AH103" s="17">
        <f>IF($B103="","",IF(TRIM($J103&amp;"")="",0,SUMPRODUCT((파견수련계획!$Q$4:$Q$203=TRIM($J103&amp;""))*(파견수련계획!$S$4:$S$203="서울병원")*파견수련계획!$W$4:$W$203))+IF($AG103="서울병원",MAX(0,DAY(EOMONTH(요약!$B$3,0))-N($X103)),0))</f>
        <v/>
      </c>
      <c r="AI103" s="17">
        <f>IF($B103="","",IF(TRIM($J103&amp;"")="",0,SUMPRODUCT((파견수련계획!$Q$4:$Q$203=TRIM($J103&amp;""))*(파견수련계획!$S$4:$S$203="구리병원")*파견수련계획!$W$4:$W$203))+IF($AG103="구리병원",MAX(0,DAY(EOMONTH(요약!$B$3,0))-N($X103)),0))</f>
        <v/>
      </c>
      <c r="AJ103" s="10">
        <f>IF(OR($B103="",TRIM($J103&amp;"")=""),"",IFERROR(MATCH(TRIM($J103&amp;"")&amp;"|월",파견수련계획!$Z$4:$Z$203,0),""))</f>
        <v/>
      </c>
      <c r="AK103" s="10">
        <f>IF(OR($B103="",TRIM($J103&amp;"")=""),"",IFERROR(MATCH(TRIM($J103&amp;"")&amp;"|다기관",파견수련계획!$AE$4:$AE$203,0),""))</f>
        <v/>
      </c>
      <c r="AL103" s="10">
        <f>IF($AK103="","","다기관 "&amp;TEXT(INDEX(파견수련계획!$AB$4:$AB$203,$AK103),"yyyy-mm-dd")&amp;"~"&amp;IF(ISNUMBER(INDEX(파견수련계획!$AC$4:$AC$203,$AK103)),TEXT(INDEX(파견수련계획!$AC$4:$AC$203,$AK103),"yyyy-mm-dd"),""))</f>
        <v/>
      </c>
    </row>
    <row r="104">
      <c r="A104" s="10">
        <f>IF(B104="","",ROW()-1)</f>
        <v/>
      </c>
      <c r="B104" s="18" t="n"/>
      <c r="C104" s="10">
        <f>IF($AB104="","",IF(INDEX(기본자료!$C$2:$C$501,$AB104)="","",INDEX(기본자료!$C$2:$C$501,$AB104)))</f>
        <v/>
      </c>
      <c r="D104" s="10">
        <f>IF($AB104="","",IF(INDEX(기본자료!$J$2:$J$501,$AB104)="","",INDEX(기본자료!$J$2:$J$501,$AB104)))</f>
        <v/>
      </c>
      <c r="E104" s="11">
        <f>IF($AB104="","",IF(INDEX(기본자료!$K$2:$K$501,$AB104)="","",IF(NOT(ISNUMBER(INDEX(기본자료!$K$2:$K$501,$AB104))),INDEX(기본자료!$K$2:$K$501,$AB104),IF(INDEX(기본자료!$K$2:$K$501,$AB104)&lt;1000000,INDEX(기본자료!$K$2:$K$501,$AB104),IF(AND(INDEX(기본자료!$K$2:$K$501,$AB104)&gt;=10000101,INT(MOD(INDEX(기본자료!$K$2:$K$501,$AB104),10000)/100)&gt;=1,INT(MOD(INDEX(기본자료!$K$2:$K$501,$AB104),10000)/100)&lt;=12,MOD(INDEX(기본자료!$K$2:$K$501,$AB104),100)&gt;=1,MOD(INDEX(기본자료!$K$2:$K$501,$AB104),100)&lt;=31),DATE(INT(INDEX(기본자료!$K$2:$K$501,$AB104)/10000),INT(MOD(INDEX(기본자료!$K$2:$K$501,$AB104),10000)/100),MOD(INDEX(기본자료!$K$2:$K$501,$AB104),100)),INDEX(기본자료!$K$2:$K$501,$AB104)&amp;"")))))</f>
        <v/>
      </c>
      <c r="F104" s="10">
        <f>IF($AB104="","",IF(INDEX(기본자료!$D$2:$D$501,$AB104)="","",INDEX(기본자료!$D$2:$D$501,$AB104)))</f>
        <v/>
      </c>
      <c r="G104" s="10">
        <f>IF($AB104="","",IF(INDEX(기본자료!$E$2:$E$501,$AB104)="","",INDEX(기본자료!$E$2:$E$501,$AB104)))</f>
        <v/>
      </c>
      <c r="H104" s="10">
        <f>IF($AB104="","",IF(INDEX(기본자료!$F$2:$F$501,$AB104)="","",INDEX(기본자료!$F$2:$F$501,$AB104)))</f>
        <v/>
      </c>
      <c r="I104" s="11">
        <f>IF($AB104="","",IF(INDEX(기본자료!$G$2:$G$501,$AB104)="","",IF(NOT(ISNUMBER(INDEX(기본자료!$G$2:$G$501,$AB104))),INDEX(기본자료!$G$2:$G$501,$AB104),IF(INDEX(기본자료!$G$2:$G$501,$AB104)&lt;1000000,INDEX(기본자료!$G$2:$G$501,$AB104),IF(AND(INDEX(기본자료!$G$2:$G$501,$AB104)&gt;=10000101,INT(MOD(INDEX(기본자료!$G$2:$G$501,$AB104),10000)/100)&gt;=1,INT(MOD(INDEX(기본자료!$G$2:$G$501,$AB104),10000)/100)&lt;=12,MOD(INDEX(기본자료!$G$2:$G$501,$AB104),100)&gt;=1,MOD(INDEX(기본자료!$G$2:$G$501,$AB104),100)&lt;=31),DATE(INT(INDEX(기본자료!$G$2:$G$501,$AB104)/10000),INT(MOD(INDEX(기본자료!$G$2:$G$501,$AB104),10000)/100),MOD(INDEX(기본자료!$G$2:$G$501,$AB104),100)),INDEX(기본자료!$G$2:$G$501,$AB104)&amp;"")))))</f>
        <v/>
      </c>
      <c r="J104" s="10">
        <f>IF($AB104="","",IF(INDEX(기본자료!$H$2:$H$501,$AB104)="","",INDEX(기본자료!$H$2:$H$501,$AB104)))</f>
        <v/>
      </c>
      <c r="K104" s="10">
        <f>IF($AB104="","",IF(INDEX(기본자료!$I$2:$I$501,$AB104)="","",INDEX(기본자료!$I$2:$I$501,$AB104)))</f>
        <v/>
      </c>
      <c r="L104" s="10">
        <f>IF($AB104="","",IF(INDEX(기본자료!$A$2:$A$501,$AB104)="","",INDEX(기본자료!$A$2:$A$501,$AB104)))</f>
        <v/>
      </c>
      <c r="M104" s="15" t="n"/>
      <c r="N104" s="10">
        <f>IF($B104="","",IF(AND($U104="파견중",$Q104&lt;&gt;""),$Q104,IF(AND($AD104&lt;&gt;"",LEFT($AD104,1)&lt;&gt;"⚠"),LEFT($AD104,FIND(" ",$AD104)-1),IF($H104="","",IF(RIGHT($H104,2)="병원",$H104,$H104&amp;"병원")))))</f>
        <v/>
      </c>
      <c r="O104" s="10">
        <f>IF($B104="","",IF(AND($U104="파견중",$Q104&lt;&gt;""),IF($R104&lt;&gt;"",$R104,"파견과 미입력"),IF(AND($AD104&lt;&gt;"",LEFT($AD104,1)&lt;&gt;"⚠"),MID($AD104,FIND(" ",$AD104)+1,60),IF($F104="","",IF($F104="인턴","수련교육부(인턴)",$F104)))))</f>
        <v/>
      </c>
      <c r="P104" s="10">
        <f>IF($B104="","",IF($AK104&lt;&gt;"",IF(AND(TODAY()&gt;=INDEX(파견수련계획!$AB$4:$AB$203,$AK104),OR(NOT(ISNUMBER(INDEX(파견수련계획!$AC$4:$AC$203,$AK104))),TODAY()&lt;=INDEX(파견수련계획!$AC$4:$AC$203,$AK104))),"다기관",IF($AF104="","",INDEX(파견수련계획!$T$4:$T$203,$AF104))),IF($AF104="","",INDEX(파견수련계획!$T$4:$T$203,$AF104))))</f>
        <v/>
      </c>
      <c r="Q104" s="10">
        <f>IF($AF104="","",INDEX(파견수련계획!$S$4:$S$203,$AF104))</f>
        <v/>
      </c>
      <c r="R104" s="10">
        <f>IF($AF104="","",INDEX(파견수련계획!$U$4:$U$203,$AF104))</f>
        <v/>
      </c>
      <c r="S104" s="11">
        <f>IF($AF104="","",IF(INDEX(파견수련계획!$H$4:$H$203,$AF104)="","",INDEX(파견수련계획!$H$4:$H$203,$AF104)))</f>
        <v/>
      </c>
      <c r="T104" s="11">
        <f>IF($AF104="","",IF(INDEX(파견수련계획!$I$4:$I$203,$AF104)="","",INDEX(파견수련계획!$I$4:$I$203,$AF104)))</f>
        <v/>
      </c>
      <c r="U104" s="10">
        <f>IF($AF104="","",INDEX(파견수련계획!$X$4:$X$203,$AF104))</f>
        <v/>
      </c>
      <c r="V104" s="17">
        <f>IF($AF104="","",INDEX(파견수련계획!$V$4:$V$203,$AF104))</f>
        <v/>
      </c>
      <c r="W104" s="17">
        <f>IF(AND($U104="파견중",$T104&lt;&gt;""),$T104-TODAY(),"")</f>
        <v/>
      </c>
      <c r="X104" s="17">
        <f>IF(OR($B104="",TRIM($J104&amp;"")=""),"",SUMPRODUCT((파견수련계획!$Q$4:$Q$203=TRIM($J104&amp;""))*파견수련계획!$W$4:$W$203))</f>
        <v/>
      </c>
      <c r="Y104" s="10">
        <f>IF($B104="","",IF($AG104="","",IF(IF(TRIM($J104&amp;"")="",0,SUMPRODUCT((파견수련계획!$Q$4:$Q$203=TRIM($J104&amp;""))*파견수련계획!$AD$4:$AD$203))&gt;0,$AE104,IF(N($X104)&lt;=0,$AG104,IF($AH104+$AI104=DAY(EOMONTH(요약!$B$3,0)),IF(AND($AH104&gt;=요약!$E$3,$AI104&lt;요약!$E$3),"서울병원",IF(AND($AI104&gt;=요약!$E$3,$AH104&lt;요약!$E$3),"구리병원","⚠15일 판정불가(서울 "&amp;$AH104&amp;"일/구리 "&amp;$AI104&amp;"일)")),IF($AJ104="",$AE104,IF(INDEX(파견수련계획!$T$4:$T$203,$AJ104)="통합수련",INDEX(파견수련계획!$S$4:$S$203,$AJ104),$AE104)))))))</f>
        <v/>
      </c>
      <c r="Z104" s="19">
        <f>IF($B104="","",IF($AB104="","기본자료에 없는 사번",IF(COUNTIF($B$2:$B$201,$B104)&gt;1,"중복 사번",IF($AE104="","소속(입사장소) 입력",IF(IF(TRIM($J104&amp;"")="",0,SUMPRODUCT((파견수련계획!$Q$4:$Q$203=TRIM($J104&amp;""))*(파견수련계획!$AA$4:$AA$203&lt;&gt;"")))&gt;0,"파견수련계획 입력오류 확인",IF(LEFT($Y104,1)="⚠","서울·구리 15일 판정 불가(양쪽 모두 이상/미만)",IF(IF($AC104="",0,N(INDEX(인턴근무계획!$T$3:$T$202,$AC104)))&gt;0,"인턴계획 입력오류 확인",IF(AND($AC104&lt;&gt;"",$U104&lt;&gt;"파견중",$N104&lt;&gt;$AE104),"인턴 타지역 근무: 파견 여부 확인","정상"))))))))</f>
        <v/>
      </c>
      <c r="AA104" s="5" t="n"/>
      <c r="AB104" s="10">
        <f>IF($B104="","",IFERROR(MATCH($B104,기본자료!$B$2:$B$501,0),IFERROR(MATCH($B104&amp;"",기본자료!$B$2:$B$501,0),IFERROR(MATCH(VALUE($B104),기본자료!$B$2:$B$501,0),""))))</f>
        <v/>
      </c>
      <c r="AC104" s="10">
        <f>IF($B104="","",IFERROR(MATCH($B104,인턴근무계획!$D$3:$D$202,0),IFERROR(MATCH($B104&amp;"",인턴근무계획!$D$3:$D$202,0),IFERROR(MATCH(VALUE($B104),인턴근무계획!$D$3:$D$202,0),""))))</f>
        <v/>
      </c>
      <c r="AD104" s="10">
        <f>IF(OR($AC104="",인턴현황!$G$3=""),"",INDEX(인턴근무계획!$M$3:$R$202,$AC104,인턴현황!$G$3)&amp;"")</f>
        <v/>
      </c>
      <c r="AE104" s="10">
        <f>IF($B104="","",IF($M104&lt;&gt;"",$M104,IF($AF104&lt;&gt;"",IF(LEFT(INDEX(파견수련계획!$R$4:$R$203,$AF104),1)&lt;&gt;"⚠",INDEX(파견수련계획!$R$4:$R$203,$AF104),IF($H104="","",IF(RIGHT($H104,2)="병원",$H104,$H104&amp;"병원"))),IF($H104="","",IF(RIGHT($H104,2)="병원",$H104,$H104&amp;"병원")))))</f>
        <v/>
      </c>
      <c r="AF104" s="10">
        <f>IF(OR($B104="",TRIM($J104&amp;"")=""),"",IFERROR(MATCH(TRIM($J104&amp;"")&amp;"|파견중",파견수련계획!$Y$4:$Y$203,0),IFERROR(MATCH(TRIM($J104&amp;"")&amp;"|파견예정",파견수련계획!$Y$4:$Y$203,0),IFERROR(MATCH(TRIM($J104&amp;"")&amp;"|파견종료",파견수련계획!$Y$4:$Y$203,0),""))))</f>
        <v/>
      </c>
      <c r="AG104" s="10">
        <f>IF($B104="","",IF(AND(IF(OR($AC104="",인턴현황!$K$2=""),"",INDEX(인턴근무계획!$M$3:$R$202,$AC104,인턴현황!$K$2)&amp;"")&lt;&gt;"",LEFT(IF(OR($AC104="",인턴현황!$K$2=""),"",INDEX(인턴근무계획!$M$3:$R$202,$AC104,인턴현황!$K$2)&amp;""),1)&lt;&gt;"⚠"),LEFT(IF(OR($AC104="",인턴현황!$K$2=""),"",INDEX(인턴근무계획!$M$3:$R$202,$AC104,인턴현황!$K$2)&amp;""),FIND(" ",IF(OR($AC104="",인턴현황!$K$2=""),"",INDEX(인턴근무계획!$M$3:$R$202,$AC104,인턴현황!$K$2)&amp;""))-1),$AE104))</f>
        <v/>
      </c>
      <c r="AH104" s="17">
        <f>IF($B104="","",IF(TRIM($J104&amp;"")="",0,SUMPRODUCT((파견수련계획!$Q$4:$Q$203=TRIM($J104&amp;""))*(파견수련계획!$S$4:$S$203="서울병원")*파견수련계획!$W$4:$W$203))+IF($AG104="서울병원",MAX(0,DAY(EOMONTH(요약!$B$3,0))-N($X104)),0))</f>
        <v/>
      </c>
      <c r="AI104" s="17">
        <f>IF($B104="","",IF(TRIM($J104&amp;"")="",0,SUMPRODUCT((파견수련계획!$Q$4:$Q$203=TRIM($J104&amp;""))*(파견수련계획!$S$4:$S$203="구리병원")*파견수련계획!$W$4:$W$203))+IF($AG104="구리병원",MAX(0,DAY(EOMONTH(요약!$B$3,0))-N($X104)),0))</f>
        <v/>
      </c>
      <c r="AJ104" s="10">
        <f>IF(OR($B104="",TRIM($J104&amp;"")=""),"",IFERROR(MATCH(TRIM($J104&amp;"")&amp;"|월",파견수련계획!$Z$4:$Z$203,0),""))</f>
        <v/>
      </c>
      <c r="AK104" s="10">
        <f>IF(OR($B104="",TRIM($J104&amp;"")=""),"",IFERROR(MATCH(TRIM($J104&amp;"")&amp;"|다기관",파견수련계획!$AE$4:$AE$203,0),""))</f>
        <v/>
      </c>
      <c r="AL104" s="10">
        <f>IF($AK104="","","다기관 "&amp;TEXT(INDEX(파견수련계획!$AB$4:$AB$203,$AK104),"yyyy-mm-dd")&amp;"~"&amp;IF(ISNUMBER(INDEX(파견수련계획!$AC$4:$AC$203,$AK104)),TEXT(INDEX(파견수련계획!$AC$4:$AC$203,$AK104),"yyyy-mm-dd"),""))</f>
        <v/>
      </c>
    </row>
    <row r="105">
      <c r="A105" s="10">
        <f>IF(B105="","",ROW()-1)</f>
        <v/>
      </c>
      <c r="B105" s="18" t="n"/>
      <c r="C105" s="10">
        <f>IF($AB105="","",IF(INDEX(기본자료!$C$2:$C$501,$AB105)="","",INDEX(기본자료!$C$2:$C$501,$AB105)))</f>
        <v/>
      </c>
      <c r="D105" s="10">
        <f>IF($AB105="","",IF(INDEX(기본자료!$J$2:$J$501,$AB105)="","",INDEX(기본자료!$J$2:$J$501,$AB105)))</f>
        <v/>
      </c>
      <c r="E105" s="11">
        <f>IF($AB105="","",IF(INDEX(기본자료!$K$2:$K$501,$AB105)="","",IF(NOT(ISNUMBER(INDEX(기본자료!$K$2:$K$501,$AB105))),INDEX(기본자료!$K$2:$K$501,$AB105),IF(INDEX(기본자료!$K$2:$K$501,$AB105)&lt;1000000,INDEX(기본자료!$K$2:$K$501,$AB105),IF(AND(INDEX(기본자료!$K$2:$K$501,$AB105)&gt;=10000101,INT(MOD(INDEX(기본자료!$K$2:$K$501,$AB105),10000)/100)&gt;=1,INT(MOD(INDEX(기본자료!$K$2:$K$501,$AB105),10000)/100)&lt;=12,MOD(INDEX(기본자료!$K$2:$K$501,$AB105),100)&gt;=1,MOD(INDEX(기본자료!$K$2:$K$501,$AB105),100)&lt;=31),DATE(INT(INDEX(기본자료!$K$2:$K$501,$AB105)/10000),INT(MOD(INDEX(기본자료!$K$2:$K$501,$AB105),10000)/100),MOD(INDEX(기본자료!$K$2:$K$501,$AB105),100)),INDEX(기본자료!$K$2:$K$501,$AB105)&amp;"")))))</f>
        <v/>
      </c>
      <c r="F105" s="10">
        <f>IF($AB105="","",IF(INDEX(기본자료!$D$2:$D$501,$AB105)="","",INDEX(기본자료!$D$2:$D$501,$AB105)))</f>
        <v/>
      </c>
      <c r="G105" s="10">
        <f>IF($AB105="","",IF(INDEX(기본자료!$E$2:$E$501,$AB105)="","",INDEX(기본자료!$E$2:$E$501,$AB105)))</f>
        <v/>
      </c>
      <c r="H105" s="10">
        <f>IF($AB105="","",IF(INDEX(기본자료!$F$2:$F$501,$AB105)="","",INDEX(기본자료!$F$2:$F$501,$AB105)))</f>
        <v/>
      </c>
      <c r="I105" s="11">
        <f>IF($AB105="","",IF(INDEX(기본자료!$G$2:$G$501,$AB105)="","",IF(NOT(ISNUMBER(INDEX(기본자료!$G$2:$G$501,$AB105))),INDEX(기본자료!$G$2:$G$501,$AB105),IF(INDEX(기본자료!$G$2:$G$501,$AB105)&lt;1000000,INDEX(기본자료!$G$2:$G$501,$AB105),IF(AND(INDEX(기본자료!$G$2:$G$501,$AB105)&gt;=10000101,INT(MOD(INDEX(기본자료!$G$2:$G$501,$AB105),10000)/100)&gt;=1,INT(MOD(INDEX(기본자료!$G$2:$G$501,$AB105),10000)/100)&lt;=12,MOD(INDEX(기본자료!$G$2:$G$501,$AB105),100)&gt;=1,MOD(INDEX(기본자료!$G$2:$G$501,$AB105),100)&lt;=31),DATE(INT(INDEX(기본자료!$G$2:$G$501,$AB105)/10000),INT(MOD(INDEX(기본자료!$G$2:$G$501,$AB105),10000)/100),MOD(INDEX(기본자료!$G$2:$G$501,$AB105),100)),INDEX(기본자료!$G$2:$G$501,$AB105)&amp;"")))))</f>
        <v/>
      </c>
      <c r="J105" s="10">
        <f>IF($AB105="","",IF(INDEX(기본자료!$H$2:$H$501,$AB105)="","",INDEX(기본자료!$H$2:$H$501,$AB105)))</f>
        <v/>
      </c>
      <c r="K105" s="10">
        <f>IF($AB105="","",IF(INDEX(기본자료!$I$2:$I$501,$AB105)="","",INDEX(기본자료!$I$2:$I$501,$AB105)))</f>
        <v/>
      </c>
      <c r="L105" s="10">
        <f>IF($AB105="","",IF(INDEX(기본자료!$A$2:$A$501,$AB105)="","",INDEX(기본자료!$A$2:$A$501,$AB105)))</f>
        <v/>
      </c>
      <c r="M105" s="15" t="n"/>
      <c r="N105" s="10">
        <f>IF($B105="","",IF(AND($U105="파견중",$Q105&lt;&gt;""),$Q105,IF(AND($AD105&lt;&gt;"",LEFT($AD105,1)&lt;&gt;"⚠"),LEFT($AD105,FIND(" ",$AD105)-1),IF($H105="","",IF(RIGHT($H105,2)="병원",$H105,$H105&amp;"병원")))))</f>
        <v/>
      </c>
      <c r="O105" s="10">
        <f>IF($B105="","",IF(AND($U105="파견중",$Q105&lt;&gt;""),IF($R105&lt;&gt;"",$R105,"파견과 미입력"),IF(AND($AD105&lt;&gt;"",LEFT($AD105,1)&lt;&gt;"⚠"),MID($AD105,FIND(" ",$AD105)+1,60),IF($F105="","",IF($F105="인턴","수련교육부(인턴)",$F105)))))</f>
        <v/>
      </c>
      <c r="P105" s="10">
        <f>IF($B105="","",IF($AK105&lt;&gt;"",IF(AND(TODAY()&gt;=INDEX(파견수련계획!$AB$4:$AB$203,$AK105),OR(NOT(ISNUMBER(INDEX(파견수련계획!$AC$4:$AC$203,$AK105))),TODAY()&lt;=INDEX(파견수련계획!$AC$4:$AC$203,$AK105))),"다기관",IF($AF105="","",INDEX(파견수련계획!$T$4:$T$203,$AF105))),IF($AF105="","",INDEX(파견수련계획!$T$4:$T$203,$AF105))))</f>
        <v/>
      </c>
      <c r="Q105" s="10">
        <f>IF($AF105="","",INDEX(파견수련계획!$S$4:$S$203,$AF105))</f>
        <v/>
      </c>
      <c r="R105" s="10">
        <f>IF($AF105="","",INDEX(파견수련계획!$U$4:$U$203,$AF105))</f>
        <v/>
      </c>
      <c r="S105" s="11">
        <f>IF($AF105="","",IF(INDEX(파견수련계획!$H$4:$H$203,$AF105)="","",INDEX(파견수련계획!$H$4:$H$203,$AF105)))</f>
        <v/>
      </c>
      <c r="T105" s="11">
        <f>IF($AF105="","",IF(INDEX(파견수련계획!$I$4:$I$203,$AF105)="","",INDEX(파견수련계획!$I$4:$I$203,$AF105)))</f>
        <v/>
      </c>
      <c r="U105" s="10">
        <f>IF($AF105="","",INDEX(파견수련계획!$X$4:$X$203,$AF105))</f>
        <v/>
      </c>
      <c r="V105" s="17">
        <f>IF($AF105="","",INDEX(파견수련계획!$V$4:$V$203,$AF105))</f>
        <v/>
      </c>
      <c r="W105" s="17">
        <f>IF(AND($U105="파견중",$T105&lt;&gt;""),$T105-TODAY(),"")</f>
        <v/>
      </c>
      <c r="X105" s="17">
        <f>IF(OR($B105="",TRIM($J105&amp;"")=""),"",SUMPRODUCT((파견수련계획!$Q$4:$Q$203=TRIM($J105&amp;""))*파견수련계획!$W$4:$W$203))</f>
        <v/>
      </c>
      <c r="Y105" s="10">
        <f>IF($B105="","",IF($AG105="","",IF(IF(TRIM($J105&amp;"")="",0,SUMPRODUCT((파견수련계획!$Q$4:$Q$203=TRIM($J105&amp;""))*파견수련계획!$AD$4:$AD$203))&gt;0,$AE105,IF(N($X105)&lt;=0,$AG105,IF($AH105+$AI105=DAY(EOMONTH(요약!$B$3,0)),IF(AND($AH105&gt;=요약!$E$3,$AI105&lt;요약!$E$3),"서울병원",IF(AND($AI105&gt;=요약!$E$3,$AH105&lt;요약!$E$3),"구리병원","⚠15일 판정불가(서울 "&amp;$AH105&amp;"일/구리 "&amp;$AI105&amp;"일)")),IF($AJ105="",$AE105,IF(INDEX(파견수련계획!$T$4:$T$203,$AJ105)="통합수련",INDEX(파견수련계획!$S$4:$S$203,$AJ105),$AE105)))))))</f>
        <v/>
      </c>
      <c r="Z105" s="19">
        <f>IF($B105="","",IF($AB105="","기본자료에 없는 사번",IF(COUNTIF($B$2:$B$201,$B105)&gt;1,"중복 사번",IF($AE105="","소속(입사장소) 입력",IF(IF(TRIM($J105&amp;"")="",0,SUMPRODUCT((파견수련계획!$Q$4:$Q$203=TRIM($J105&amp;""))*(파견수련계획!$AA$4:$AA$203&lt;&gt;"")))&gt;0,"파견수련계획 입력오류 확인",IF(LEFT($Y105,1)="⚠","서울·구리 15일 판정 불가(양쪽 모두 이상/미만)",IF(IF($AC105="",0,N(INDEX(인턴근무계획!$T$3:$T$202,$AC105)))&gt;0,"인턴계획 입력오류 확인",IF(AND($AC105&lt;&gt;"",$U105&lt;&gt;"파견중",$N105&lt;&gt;$AE105),"인턴 타지역 근무: 파견 여부 확인","정상"))))))))</f>
        <v/>
      </c>
      <c r="AA105" s="5" t="n"/>
      <c r="AB105" s="10">
        <f>IF($B105="","",IFERROR(MATCH($B105,기본자료!$B$2:$B$501,0),IFERROR(MATCH($B105&amp;"",기본자료!$B$2:$B$501,0),IFERROR(MATCH(VALUE($B105),기본자료!$B$2:$B$501,0),""))))</f>
        <v/>
      </c>
      <c r="AC105" s="10">
        <f>IF($B105="","",IFERROR(MATCH($B105,인턴근무계획!$D$3:$D$202,0),IFERROR(MATCH($B105&amp;"",인턴근무계획!$D$3:$D$202,0),IFERROR(MATCH(VALUE($B105),인턴근무계획!$D$3:$D$202,0),""))))</f>
        <v/>
      </c>
      <c r="AD105" s="10">
        <f>IF(OR($AC105="",인턴현황!$G$3=""),"",INDEX(인턴근무계획!$M$3:$R$202,$AC105,인턴현황!$G$3)&amp;"")</f>
        <v/>
      </c>
      <c r="AE105" s="10">
        <f>IF($B105="","",IF($M105&lt;&gt;"",$M105,IF($AF105&lt;&gt;"",IF(LEFT(INDEX(파견수련계획!$R$4:$R$203,$AF105),1)&lt;&gt;"⚠",INDEX(파견수련계획!$R$4:$R$203,$AF105),IF($H105="","",IF(RIGHT($H105,2)="병원",$H105,$H105&amp;"병원"))),IF($H105="","",IF(RIGHT($H105,2)="병원",$H105,$H105&amp;"병원")))))</f>
        <v/>
      </c>
      <c r="AF105" s="10">
        <f>IF(OR($B105="",TRIM($J105&amp;"")=""),"",IFERROR(MATCH(TRIM($J105&amp;"")&amp;"|파견중",파견수련계획!$Y$4:$Y$203,0),IFERROR(MATCH(TRIM($J105&amp;"")&amp;"|파견예정",파견수련계획!$Y$4:$Y$203,0),IFERROR(MATCH(TRIM($J105&amp;"")&amp;"|파견종료",파견수련계획!$Y$4:$Y$203,0),""))))</f>
        <v/>
      </c>
      <c r="AG105" s="10">
        <f>IF($B105="","",IF(AND(IF(OR($AC105="",인턴현황!$K$2=""),"",INDEX(인턴근무계획!$M$3:$R$202,$AC105,인턴현황!$K$2)&amp;"")&lt;&gt;"",LEFT(IF(OR($AC105="",인턴현황!$K$2=""),"",INDEX(인턴근무계획!$M$3:$R$202,$AC105,인턴현황!$K$2)&amp;""),1)&lt;&gt;"⚠"),LEFT(IF(OR($AC105="",인턴현황!$K$2=""),"",INDEX(인턴근무계획!$M$3:$R$202,$AC105,인턴현황!$K$2)&amp;""),FIND(" ",IF(OR($AC105="",인턴현황!$K$2=""),"",INDEX(인턴근무계획!$M$3:$R$202,$AC105,인턴현황!$K$2)&amp;""))-1),$AE105))</f>
        <v/>
      </c>
      <c r="AH105" s="17">
        <f>IF($B105="","",IF(TRIM($J105&amp;"")="",0,SUMPRODUCT((파견수련계획!$Q$4:$Q$203=TRIM($J105&amp;""))*(파견수련계획!$S$4:$S$203="서울병원")*파견수련계획!$W$4:$W$203))+IF($AG105="서울병원",MAX(0,DAY(EOMONTH(요약!$B$3,0))-N($X105)),0))</f>
        <v/>
      </c>
      <c r="AI105" s="17">
        <f>IF($B105="","",IF(TRIM($J105&amp;"")="",0,SUMPRODUCT((파견수련계획!$Q$4:$Q$203=TRIM($J105&amp;""))*(파견수련계획!$S$4:$S$203="구리병원")*파견수련계획!$W$4:$W$203))+IF($AG105="구리병원",MAX(0,DAY(EOMONTH(요약!$B$3,0))-N($X105)),0))</f>
        <v/>
      </c>
      <c r="AJ105" s="10">
        <f>IF(OR($B105="",TRIM($J105&amp;"")=""),"",IFERROR(MATCH(TRIM($J105&amp;"")&amp;"|월",파견수련계획!$Z$4:$Z$203,0),""))</f>
        <v/>
      </c>
      <c r="AK105" s="10">
        <f>IF(OR($B105="",TRIM($J105&amp;"")=""),"",IFERROR(MATCH(TRIM($J105&amp;"")&amp;"|다기관",파견수련계획!$AE$4:$AE$203,0),""))</f>
        <v/>
      </c>
      <c r="AL105" s="10">
        <f>IF($AK105="","","다기관 "&amp;TEXT(INDEX(파견수련계획!$AB$4:$AB$203,$AK105),"yyyy-mm-dd")&amp;"~"&amp;IF(ISNUMBER(INDEX(파견수련계획!$AC$4:$AC$203,$AK105)),TEXT(INDEX(파견수련계획!$AC$4:$AC$203,$AK105),"yyyy-mm-dd"),""))</f>
        <v/>
      </c>
    </row>
    <row r="106">
      <c r="A106" s="10">
        <f>IF(B106="","",ROW()-1)</f>
        <v/>
      </c>
      <c r="B106" s="18" t="n"/>
      <c r="C106" s="10">
        <f>IF($AB106="","",IF(INDEX(기본자료!$C$2:$C$501,$AB106)="","",INDEX(기본자료!$C$2:$C$501,$AB106)))</f>
        <v/>
      </c>
      <c r="D106" s="10">
        <f>IF($AB106="","",IF(INDEX(기본자료!$J$2:$J$501,$AB106)="","",INDEX(기본자료!$J$2:$J$501,$AB106)))</f>
        <v/>
      </c>
      <c r="E106" s="11">
        <f>IF($AB106="","",IF(INDEX(기본자료!$K$2:$K$501,$AB106)="","",IF(NOT(ISNUMBER(INDEX(기본자료!$K$2:$K$501,$AB106))),INDEX(기본자료!$K$2:$K$501,$AB106),IF(INDEX(기본자료!$K$2:$K$501,$AB106)&lt;1000000,INDEX(기본자료!$K$2:$K$501,$AB106),IF(AND(INDEX(기본자료!$K$2:$K$501,$AB106)&gt;=10000101,INT(MOD(INDEX(기본자료!$K$2:$K$501,$AB106),10000)/100)&gt;=1,INT(MOD(INDEX(기본자료!$K$2:$K$501,$AB106),10000)/100)&lt;=12,MOD(INDEX(기본자료!$K$2:$K$501,$AB106),100)&gt;=1,MOD(INDEX(기본자료!$K$2:$K$501,$AB106),100)&lt;=31),DATE(INT(INDEX(기본자료!$K$2:$K$501,$AB106)/10000),INT(MOD(INDEX(기본자료!$K$2:$K$501,$AB106),10000)/100),MOD(INDEX(기본자료!$K$2:$K$501,$AB106),100)),INDEX(기본자료!$K$2:$K$501,$AB106)&amp;"")))))</f>
        <v/>
      </c>
      <c r="F106" s="10">
        <f>IF($AB106="","",IF(INDEX(기본자료!$D$2:$D$501,$AB106)="","",INDEX(기본자료!$D$2:$D$501,$AB106)))</f>
        <v/>
      </c>
      <c r="G106" s="10">
        <f>IF($AB106="","",IF(INDEX(기본자료!$E$2:$E$501,$AB106)="","",INDEX(기본자료!$E$2:$E$501,$AB106)))</f>
        <v/>
      </c>
      <c r="H106" s="10">
        <f>IF($AB106="","",IF(INDEX(기본자료!$F$2:$F$501,$AB106)="","",INDEX(기본자료!$F$2:$F$501,$AB106)))</f>
        <v/>
      </c>
      <c r="I106" s="11">
        <f>IF($AB106="","",IF(INDEX(기본자료!$G$2:$G$501,$AB106)="","",IF(NOT(ISNUMBER(INDEX(기본자료!$G$2:$G$501,$AB106))),INDEX(기본자료!$G$2:$G$501,$AB106),IF(INDEX(기본자료!$G$2:$G$501,$AB106)&lt;1000000,INDEX(기본자료!$G$2:$G$501,$AB106),IF(AND(INDEX(기본자료!$G$2:$G$501,$AB106)&gt;=10000101,INT(MOD(INDEX(기본자료!$G$2:$G$501,$AB106),10000)/100)&gt;=1,INT(MOD(INDEX(기본자료!$G$2:$G$501,$AB106),10000)/100)&lt;=12,MOD(INDEX(기본자료!$G$2:$G$501,$AB106),100)&gt;=1,MOD(INDEX(기본자료!$G$2:$G$501,$AB106),100)&lt;=31),DATE(INT(INDEX(기본자료!$G$2:$G$501,$AB106)/10000),INT(MOD(INDEX(기본자료!$G$2:$G$501,$AB106),10000)/100),MOD(INDEX(기본자료!$G$2:$G$501,$AB106),100)),INDEX(기본자료!$G$2:$G$501,$AB106)&amp;"")))))</f>
        <v/>
      </c>
      <c r="J106" s="10">
        <f>IF($AB106="","",IF(INDEX(기본자료!$H$2:$H$501,$AB106)="","",INDEX(기본자료!$H$2:$H$501,$AB106)))</f>
        <v/>
      </c>
      <c r="K106" s="10">
        <f>IF($AB106="","",IF(INDEX(기본자료!$I$2:$I$501,$AB106)="","",INDEX(기본자료!$I$2:$I$501,$AB106)))</f>
        <v/>
      </c>
      <c r="L106" s="10">
        <f>IF($AB106="","",IF(INDEX(기본자료!$A$2:$A$501,$AB106)="","",INDEX(기본자료!$A$2:$A$501,$AB106)))</f>
        <v/>
      </c>
      <c r="M106" s="15" t="n"/>
      <c r="N106" s="10">
        <f>IF($B106="","",IF(AND($U106="파견중",$Q106&lt;&gt;""),$Q106,IF(AND($AD106&lt;&gt;"",LEFT($AD106,1)&lt;&gt;"⚠"),LEFT($AD106,FIND(" ",$AD106)-1),IF($H106="","",IF(RIGHT($H106,2)="병원",$H106,$H106&amp;"병원")))))</f>
        <v/>
      </c>
      <c r="O106" s="10">
        <f>IF($B106="","",IF(AND($U106="파견중",$Q106&lt;&gt;""),IF($R106&lt;&gt;"",$R106,"파견과 미입력"),IF(AND($AD106&lt;&gt;"",LEFT($AD106,1)&lt;&gt;"⚠"),MID($AD106,FIND(" ",$AD106)+1,60),IF($F106="","",IF($F106="인턴","수련교육부(인턴)",$F106)))))</f>
        <v/>
      </c>
      <c r="P106" s="10">
        <f>IF($B106="","",IF($AK106&lt;&gt;"",IF(AND(TODAY()&gt;=INDEX(파견수련계획!$AB$4:$AB$203,$AK106),OR(NOT(ISNUMBER(INDEX(파견수련계획!$AC$4:$AC$203,$AK106))),TODAY()&lt;=INDEX(파견수련계획!$AC$4:$AC$203,$AK106))),"다기관",IF($AF106="","",INDEX(파견수련계획!$T$4:$T$203,$AF106))),IF($AF106="","",INDEX(파견수련계획!$T$4:$T$203,$AF106))))</f>
        <v/>
      </c>
      <c r="Q106" s="10">
        <f>IF($AF106="","",INDEX(파견수련계획!$S$4:$S$203,$AF106))</f>
        <v/>
      </c>
      <c r="R106" s="10">
        <f>IF($AF106="","",INDEX(파견수련계획!$U$4:$U$203,$AF106))</f>
        <v/>
      </c>
      <c r="S106" s="11">
        <f>IF($AF106="","",IF(INDEX(파견수련계획!$H$4:$H$203,$AF106)="","",INDEX(파견수련계획!$H$4:$H$203,$AF106)))</f>
        <v/>
      </c>
      <c r="T106" s="11">
        <f>IF($AF106="","",IF(INDEX(파견수련계획!$I$4:$I$203,$AF106)="","",INDEX(파견수련계획!$I$4:$I$203,$AF106)))</f>
        <v/>
      </c>
      <c r="U106" s="10">
        <f>IF($AF106="","",INDEX(파견수련계획!$X$4:$X$203,$AF106))</f>
        <v/>
      </c>
      <c r="V106" s="17">
        <f>IF($AF106="","",INDEX(파견수련계획!$V$4:$V$203,$AF106))</f>
        <v/>
      </c>
      <c r="W106" s="17">
        <f>IF(AND($U106="파견중",$T106&lt;&gt;""),$T106-TODAY(),"")</f>
        <v/>
      </c>
      <c r="X106" s="17">
        <f>IF(OR($B106="",TRIM($J106&amp;"")=""),"",SUMPRODUCT((파견수련계획!$Q$4:$Q$203=TRIM($J106&amp;""))*파견수련계획!$W$4:$W$203))</f>
        <v/>
      </c>
      <c r="Y106" s="10">
        <f>IF($B106="","",IF($AG106="","",IF(IF(TRIM($J106&amp;"")="",0,SUMPRODUCT((파견수련계획!$Q$4:$Q$203=TRIM($J106&amp;""))*파견수련계획!$AD$4:$AD$203))&gt;0,$AE106,IF(N($X106)&lt;=0,$AG106,IF($AH106+$AI106=DAY(EOMONTH(요약!$B$3,0)),IF(AND($AH106&gt;=요약!$E$3,$AI106&lt;요약!$E$3),"서울병원",IF(AND($AI106&gt;=요약!$E$3,$AH106&lt;요약!$E$3),"구리병원","⚠15일 판정불가(서울 "&amp;$AH106&amp;"일/구리 "&amp;$AI106&amp;"일)")),IF($AJ106="",$AE106,IF(INDEX(파견수련계획!$T$4:$T$203,$AJ106)="통합수련",INDEX(파견수련계획!$S$4:$S$203,$AJ106),$AE106)))))))</f>
        <v/>
      </c>
      <c r="Z106" s="19">
        <f>IF($B106="","",IF($AB106="","기본자료에 없는 사번",IF(COUNTIF($B$2:$B$201,$B106)&gt;1,"중복 사번",IF($AE106="","소속(입사장소) 입력",IF(IF(TRIM($J106&amp;"")="",0,SUMPRODUCT((파견수련계획!$Q$4:$Q$203=TRIM($J106&amp;""))*(파견수련계획!$AA$4:$AA$203&lt;&gt;"")))&gt;0,"파견수련계획 입력오류 확인",IF(LEFT($Y106,1)="⚠","서울·구리 15일 판정 불가(양쪽 모두 이상/미만)",IF(IF($AC106="",0,N(INDEX(인턴근무계획!$T$3:$T$202,$AC106)))&gt;0,"인턴계획 입력오류 확인",IF(AND($AC106&lt;&gt;"",$U106&lt;&gt;"파견중",$N106&lt;&gt;$AE106),"인턴 타지역 근무: 파견 여부 확인","정상"))))))))</f>
        <v/>
      </c>
      <c r="AA106" s="5" t="n"/>
      <c r="AB106" s="10">
        <f>IF($B106="","",IFERROR(MATCH($B106,기본자료!$B$2:$B$501,0),IFERROR(MATCH($B106&amp;"",기본자료!$B$2:$B$501,0),IFERROR(MATCH(VALUE($B106),기본자료!$B$2:$B$501,0),""))))</f>
        <v/>
      </c>
      <c r="AC106" s="10">
        <f>IF($B106="","",IFERROR(MATCH($B106,인턴근무계획!$D$3:$D$202,0),IFERROR(MATCH($B106&amp;"",인턴근무계획!$D$3:$D$202,0),IFERROR(MATCH(VALUE($B106),인턴근무계획!$D$3:$D$202,0),""))))</f>
        <v/>
      </c>
      <c r="AD106" s="10">
        <f>IF(OR($AC106="",인턴현황!$G$3=""),"",INDEX(인턴근무계획!$M$3:$R$202,$AC106,인턴현황!$G$3)&amp;"")</f>
        <v/>
      </c>
      <c r="AE106" s="10">
        <f>IF($B106="","",IF($M106&lt;&gt;"",$M106,IF($AF106&lt;&gt;"",IF(LEFT(INDEX(파견수련계획!$R$4:$R$203,$AF106),1)&lt;&gt;"⚠",INDEX(파견수련계획!$R$4:$R$203,$AF106),IF($H106="","",IF(RIGHT($H106,2)="병원",$H106,$H106&amp;"병원"))),IF($H106="","",IF(RIGHT($H106,2)="병원",$H106,$H106&amp;"병원")))))</f>
        <v/>
      </c>
      <c r="AF106" s="10">
        <f>IF(OR($B106="",TRIM($J106&amp;"")=""),"",IFERROR(MATCH(TRIM($J106&amp;"")&amp;"|파견중",파견수련계획!$Y$4:$Y$203,0),IFERROR(MATCH(TRIM($J106&amp;"")&amp;"|파견예정",파견수련계획!$Y$4:$Y$203,0),IFERROR(MATCH(TRIM($J106&amp;"")&amp;"|파견종료",파견수련계획!$Y$4:$Y$203,0),""))))</f>
        <v/>
      </c>
      <c r="AG106" s="10">
        <f>IF($B106="","",IF(AND(IF(OR($AC106="",인턴현황!$K$2=""),"",INDEX(인턴근무계획!$M$3:$R$202,$AC106,인턴현황!$K$2)&amp;"")&lt;&gt;"",LEFT(IF(OR($AC106="",인턴현황!$K$2=""),"",INDEX(인턴근무계획!$M$3:$R$202,$AC106,인턴현황!$K$2)&amp;""),1)&lt;&gt;"⚠"),LEFT(IF(OR($AC106="",인턴현황!$K$2=""),"",INDEX(인턴근무계획!$M$3:$R$202,$AC106,인턴현황!$K$2)&amp;""),FIND(" ",IF(OR($AC106="",인턴현황!$K$2=""),"",INDEX(인턴근무계획!$M$3:$R$202,$AC106,인턴현황!$K$2)&amp;""))-1),$AE106))</f>
        <v/>
      </c>
      <c r="AH106" s="17">
        <f>IF($B106="","",IF(TRIM($J106&amp;"")="",0,SUMPRODUCT((파견수련계획!$Q$4:$Q$203=TRIM($J106&amp;""))*(파견수련계획!$S$4:$S$203="서울병원")*파견수련계획!$W$4:$W$203))+IF($AG106="서울병원",MAX(0,DAY(EOMONTH(요약!$B$3,0))-N($X106)),0))</f>
        <v/>
      </c>
      <c r="AI106" s="17">
        <f>IF($B106="","",IF(TRIM($J106&amp;"")="",0,SUMPRODUCT((파견수련계획!$Q$4:$Q$203=TRIM($J106&amp;""))*(파견수련계획!$S$4:$S$203="구리병원")*파견수련계획!$W$4:$W$203))+IF($AG106="구리병원",MAX(0,DAY(EOMONTH(요약!$B$3,0))-N($X106)),0))</f>
        <v/>
      </c>
      <c r="AJ106" s="10">
        <f>IF(OR($B106="",TRIM($J106&amp;"")=""),"",IFERROR(MATCH(TRIM($J106&amp;"")&amp;"|월",파견수련계획!$Z$4:$Z$203,0),""))</f>
        <v/>
      </c>
      <c r="AK106" s="10">
        <f>IF(OR($B106="",TRIM($J106&amp;"")=""),"",IFERROR(MATCH(TRIM($J106&amp;"")&amp;"|다기관",파견수련계획!$AE$4:$AE$203,0),""))</f>
        <v/>
      </c>
      <c r="AL106" s="10">
        <f>IF($AK106="","","다기관 "&amp;TEXT(INDEX(파견수련계획!$AB$4:$AB$203,$AK106),"yyyy-mm-dd")&amp;"~"&amp;IF(ISNUMBER(INDEX(파견수련계획!$AC$4:$AC$203,$AK106)),TEXT(INDEX(파견수련계획!$AC$4:$AC$203,$AK106),"yyyy-mm-dd"),""))</f>
        <v/>
      </c>
    </row>
    <row r="107">
      <c r="A107" s="10">
        <f>IF(B107="","",ROW()-1)</f>
        <v/>
      </c>
      <c r="B107" s="18" t="n"/>
      <c r="C107" s="10">
        <f>IF($AB107="","",IF(INDEX(기본자료!$C$2:$C$501,$AB107)="","",INDEX(기본자료!$C$2:$C$501,$AB107)))</f>
        <v/>
      </c>
      <c r="D107" s="10">
        <f>IF($AB107="","",IF(INDEX(기본자료!$J$2:$J$501,$AB107)="","",INDEX(기본자료!$J$2:$J$501,$AB107)))</f>
        <v/>
      </c>
      <c r="E107" s="11">
        <f>IF($AB107="","",IF(INDEX(기본자료!$K$2:$K$501,$AB107)="","",IF(NOT(ISNUMBER(INDEX(기본자료!$K$2:$K$501,$AB107))),INDEX(기본자료!$K$2:$K$501,$AB107),IF(INDEX(기본자료!$K$2:$K$501,$AB107)&lt;1000000,INDEX(기본자료!$K$2:$K$501,$AB107),IF(AND(INDEX(기본자료!$K$2:$K$501,$AB107)&gt;=10000101,INT(MOD(INDEX(기본자료!$K$2:$K$501,$AB107),10000)/100)&gt;=1,INT(MOD(INDEX(기본자료!$K$2:$K$501,$AB107),10000)/100)&lt;=12,MOD(INDEX(기본자료!$K$2:$K$501,$AB107),100)&gt;=1,MOD(INDEX(기본자료!$K$2:$K$501,$AB107),100)&lt;=31),DATE(INT(INDEX(기본자료!$K$2:$K$501,$AB107)/10000),INT(MOD(INDEX(기본자료!$K$2:$K$501,$AB107),10000)/100),MOD(INDEX(기본자료!$K$2:$K$501,$AB107),100)),INDEX(기본자료!$K$2:$K$501,$AB107)&amp;"")))))</f>
        <v/>
      </c>
      <c r="F107" s="10">
        <f>IF($AB107="","",IF(INDEX(기본자료!$D$2:$D$501,$AB107)="","",INDEX(기본자료!$D$2:$D$501,$AB107)))</f>
        <v/>
      </c>
      <c r="G107" s="10">
        <f>IF($AB107="","",IF(INDEX(기본자료!$E$2:$E$501,$AB107)="","",INDEX(기본자료!$E$2:$E$501,$AB107)))</f>
        <v/>
      </c>
      <c r="H107" s="10">
        <f>IF($AB107="","",IF(INDEX(기본자료!$F$2:$F$501,$AB107)="","",INDEX(기본자료!$F$2:$F$501,$AB107)))</f>
        <v/>
      </c>
      <c r="I107" s="11">
        <f>IF($AB107="","",IF(INDEX(기본자료!$G$2:$G$501,$AB107)="","",IF(NOT(ISNUMBER(INDEX(기본자료!$G$2:$G$501,$AB107))),INDEX(기본자료!$G$2:$G$501,$AB107),IF(INDEX(기본자료!$G$2:$G$501,$AB107)&lt;1000000,INDEX(기본자료!$G$2:$G$501,$AB107),IF(AND(INDEX(기본자료!$G$2:$G$501,$AB107)&gt;=10000101,INT(MOD(INDEX(기본자료!$G$2:$G$501,$AB107),10000)/100)&gt;=1,INT(MOD(INDEX(기본자료!$G$2:$G$501,$AB107),10000)/100)&lt;=12,MOD(INDEX(기본자료!$G$2:$G$501,$AB107),100)&gt;=1,MOD(INDEX(기본자료!$G$2:$G$501,$AB107),100)&lt;=31),DATE(INT(INDEX(기본자료!$G$2:$G$501,$AB107)/10000),INT(MOD(INDEX(기본자료!$G$2:$G$501,$AB107),10000)/100),MOD(INDEX(기본자료!$G$2:$G$501,$AB107),100)),INDEX(기본자료!$G$2:$G$501,$AB107)&amp;"")))))</f>
        <v/>
      </c>
      <c r="J107" s="10">
        <f>IF($AB107="","",IF(INDEX(기본자료!$H$2:$H$501,$AB107)="","",INDEX(기본자료!$H$2:$H$501,$AB107)))</f>
        <v/>
      </c>
      <c r="K107" s="10">
        <f>IF($AB107="","",IF(INDEX(기본자료!$I$2:$I$501,$AB107)="","",INDEX(기본자료!$I$2:$I$501,$AB107)))</f>
        <v/>
      </c>
      <c r="L107" s="10">
        <f>IF($AB107="","",IF(INDEX(기본자료!$A$2:$A$501,$AB107)="","",INDEX(기본자료!$A$2:$A$501,$AB107)))</f>
        <v/>
      </c>
      <c r="M107" s="15" t="n"/>
      <c r="N107" s="10">
        <f>IF($B107="","",IF(AND($U107="파견중",$Q107&lt;&gt;""),$Q107,IF(AND($AD107&lt;&gt;"",LEFT($AD107,1)&lt;&gt;"⚠"),LEFT($AD107,FIND(" ",$AD107)-1),IF($H107="","",IF(RIGHT($H107,2)="병원",$H107,$H107&amp;"병원")))))</f>
        <v/>
      </c>
      <c r="O107" s="10">
        <f>IF($B107="","",IF(AND($U107="파견중",$Q107&lt;&gt;""),IF($R107&lt;&gt;"",$R107,"파견과 미입력"),IF(AND($AD107&lt;&gt;"",LEFT($AD107,1)&lt;&gt;"⚠"),MID($AD107,FIND(" ",$AD107)+1,60),IF($F107="","",IF($F107="인턴","수련교육부(인턴)",$F107)))))</f>
        <v/>
      </c>
      <c r="P107" s="10">
        <f>IF($B107="","",IF($AK107&lt;&gt;"",IF(AND(TODAY()&gt;=INDEX(파견수련계획!$AB$4:$AB$203,$AK107),OR(NOT(ISNUMBER(INDEX(파견수련계획!$AC$4:$AC$203,$AK107))),TODAY()&lt;=INDEX(파견수련계획!$AC$4:$AC$203,$AK107))),"다기관",IF($AF107="","",INDEX(파견수련계획!$T$4:$T$203,$AF107))),IF($AF107="","",INDEX(파견수련계획!$T$4:$T$203,$AF107))))</f>
        <v/>
      </c>
      <c r="Q107" s="10">
        <f>IF($AF107="","",INDEX(파견수련계획!$S$4:$S$203,$AF107))</f>
        <v/>
      </c>
      <c r="R107" s="10">
        <f>IF($AF107="","",INDEX(파견수련계획!$U$4:$U$203,$AF107))</f>
        <v/>
      </c>
      <c r="S107" s="11">
        <f>IF($AF107="","",IF(INDEX(파견수련계획!$H$4:$H$203,$AF107)="","",INDEX(파견수련계획!$H$4:$H$203,$AF107)))</f>
        <v/>
      </c>
      <c r="T107" s="11">
        <f>IF($AF107="","",IF(INDEX(파견수련계획!$I$4:$I$203,$AF107)="","",INDEX(파견수련계획!$I$4:$I$203,$AF107)))</f>
        <v/>
      </c>
      <c r="U107" s="10">
        <f>IF($AF107="","",INDEX(파견수련계획!$X$4:$X$203,$AF107))</f>
        <v/>
      </c>
      <c r="V107" s="17">
        <f>IF($AF107="","",INDEX(파견수련계획!$V$4:$V$203,$AF107))</f>
        <v/>
      </c>
      <c r="W107" s="17">
        <f>IF(AND($U107="파견중",$T107&lt;&gt;""),$T107-TODAY(),"")</f>
        <v/>
      </c>
      <c r="X107" s="17">
        <f>IF(OR($B107="",TRIM($J107&amp;"")=""),"",SUMPRODUCT((파견수련계획!$Q$4:$Q$203=TRIM($J107&amp;""))*파견수련계획!$W$4:$W$203))</f>
        <v/>
      </c>
      <c r="Y107" s="10">
        <f>IF($B107="","",IF($AG107="","",IF(IF(TRIM($J107&amp;"")="",0,SUMPRODUCT((파견수련계획!$Q$4:$Q$203=TRIM($J107&amp;""))*파견수련계획!$AD$4:$AD$203))&gt;0,$AE107,IF(N($X107)&lt;=0,$AG107,IF($AH107+$AI107=DAY(EOMONTH(요약!$B$3,0)),IF(AND($AH107&gt;=요약!$E$3,$AI107&lt;요약!$E$3),"서울병원",IF(AND($AI107&gt;=요약!$E$3,$AH107&lt;요약!$E$3),"구리병원","⚠15일 판정불가(서울 "&amp;$AH107&amp;"일/구리 "&amp;$AI107&amp;"일)")),IF($AJ107="",$AE107,IF(INDEX(파견수련계획!$T$4:$T$203,$AJ107)="통합수련",INDEX(파견수련계획!$S$4:$S$203,$AJ107),$AE107)))))))</f>
        <v/>
      </c>
      <c r="Z107" s="19">
        <f>IF($B107="","",IF($AB107="","기본자료에 없는 사번",IF(COUNTIF($B$2:$B$201,$B107)&gt;1,"중복 사번",IF($AE107="","소속(입사장소) 입력",IF(IF(TRIM($J107&amp;"")="",0,SUMPRODUCT((파견수련계획!$Q$4:$Q$203=TRIM($J107&amp;""))*(파견수련계획!$AA$4:$AA$203&lt;&gt;"")))&gt;0,"파견수련계획 입력오류 확인",IF(LEFT($Y107,1)="⚠","서울·구리 15일 판정 불가(양쪽 모두 이상/미만)",IF(IF($AC107="",0,N(INDEX(인턴근무계획!$T$3:$T$202,$AC107)))&gt;0,"인턴계획 입력오류 확인",IF(AND($AC107&lt;&gt;"",$U107&lt;&gt;"파견중",$N107&lt;&gt;$AE107),"인턴 타지역 근무: 파견 여부 확인","정상"))))))))</f>
        <v/>
      </c>
      <c r="AA107" s="5" t="n"/>
      <c r="AB107" s="10">
        <f>IF($B107="","",IFERROR(MATCH($B107,기본자료!$B$2:$B$501,0),IFERROR(MATCH($B107&amp;"",기본자료!$B$2:$B$501,0),IFERROR(MATCH(VALUE($B107),기본자료!$B$2:$B$501,0),""))))</f>
        <v/>
      </c>
      <c r="AC107" s="10">
        <f>IF($B107="","",IFERROR(MATCH($B107,인턴근무계획!$D$3:$D$202,0),IFERROR(MATCH($B107&amp;"",인턴근무계획!$D$3:$D$202,0),IFERROR(MATCH(VALUE($B107),인턴근무계획!$D$3:$D$202,0),""))))</f>
        <v/>
      </c>
      <c r="AD107" s="10">
        <f>IF(OR($AC107="",인턴현황!$G$3=""),"",INDEX(인턴근무계획!$M$3:$R$202,$AC107,인턴현황!$G$3)&amp;"")</f>
        <v/>
      </c>
      <c r="AE107" s="10">
        <f>IF($B107="","",IF($M107&lt;&gt;"",$M107,IF($AF107&lt;&gt;"",IF(LEFT(INDEX(파견수련계획!$R$4:$R$203,$AF107),1)&lt;&gt;"⚠",INDEX(파견수련계획!$R$4:$R$203,$AF107),IF($H107="","",IF(RIGHT($H107,2)="병원",$H107,$H107&amp;"병원"))),IF($H107="","",IF(RIGHT($H107,2)="병원",$H107,$H107&amp;"병원")))))</f>
        <v/>
      </c>
      <c r="AF107" s="10">
        <f>IF(OR($B107="",TRIM($J107&amp;"")=""),"",IFERROR(MATCH(TRIM($J107&amp;"")&amp;"|파견중",파견수련계획!$Y$4:$Y$203,0),IFERROR(MATCH(TRIM($J107&amp;"")&amp;"|파견예정",파견수련계획!$Y$4:$Y$203,0),IFERROR(MATCH(TRIM($J107&amp;"")&amp;"|파견종료",파견수련계획!$Y$4:$Y$203,0),""))))</f>
        <v/>
      </c>
      <c r="AG107" s="10">
        <f>IF($B107="","",IF(AND(IF(OR($AC107="",인턴현황!$K$2=""),"",INDEX(인턴근무계획!$M$3:$R$202,$AC107,인턴현황!$K$2)&amp;"")&lt;&gt;"",LEFT(IF(OR($AC107="",인턴현황!$K$2=""),"",INDEX(인턴근무계획!$M$3:$R$202,$AC107,인턴현황!$K$2)&amp;""),1)&lt;&gt;"⚠"),LEFT(IF(OR($AC107="",인턴현황!$K$2=""),"",INDEX(인턴근무계획!$M$3:$R$202,$AC107,인턴현황!$K$2)&amp;""),FIND(" ",IF(OR($AC107="",인턴현황!$K$2=""),"",INDEX(인턴근무계획!$M$3:$R$202,$AC107,인턴현황!$K$2)&amp;""))-1),$AE107))</f>
        <v/>
      </c>
      <c r="AH107" s="17">
        <f>IF($B107="","",IF(TRIM($J107&amp;"")="",0,SUMPRODUCT((파견수련계획!$Q$4:$Q$203=TRIM($J107&amp;""))*(파견수련계획!$S$4:$S$203="서울병원")*파견수련계획!$W$4:$W$203))+IF($AG107="서울병원",MAX(0,DAY(EOMONTH(요약!$B$3,0))-N($X107)),0))</f>
        <v/>
      </c>
      <c r="AI107" s="17">
        <f>IF($B107="","",IF(TRIM($J107&amp;"")="",0,SUMPRODUCT((파견수련계획!$Q$4:$Q$203=TRIM($J107&amp;""))*(파견수련계획!$S$4:$S$203="구리병원")*파견수련계획!$W$4:$W$203))+IF($AG107="구리병원",MAX(0,DAY(EOMONTH(요약!$B$3,0))-N($X107)),0))</f>
        <v/>
      </c>
      <c r="AJ107" s="10">
        <f>IF(OR($B107="",TRIM($J107&amp;"")=""),"",IFERROR(MATCH(TRIM($J107&amp;"")&amp;"|월",파견수련계획!$Z$4:$Z$203,0),""))</f>
        <v/>
      </c>
      <c r="AK107" s="10">
        <f>IF(OR($B107="",TRIM($J107&amp;"")=""),"",IFERROR(MATCH(TRIM($J107&amp;"")&amp;"|다기관",파견수련계획!$AE$4:$AE$203,0),""))</f>
        <v/>
      </c>
      <c r="AL107" s="10">
        <f>IF($AK107="","","다기관 "&amp;TEXT(INDEX(파견수련계획!$AB$4:$AB$203,$AK107),"yyyy-mm-dd")&amp;"~"&amp;IF(ISNUMBER(INDEX(파견수련계획!$AC$4:$AC$203,$AK107)),TEXT(INDEX(파견수련계획!$AC$4:$AC$203,$AK107),"yyyy-mm-dd"),""))</f>
        <v/>
      </c>
    </row>
    <row r="108">
      <c r="A108" s="10">
        <f>IF(B108="","",ROW()-1)</f>
        <v/>
      </c>
      <c r="B108" s="18" t="n"/>
      <c r="C108" s="10">
        <f>IF($AB108="","",IF(INDEX(기본자료!$C$2:$C$501,$AB108)="","",INDEX(기본자료!$C$2:$C$501,$AB108)))</f>
        <v/>
      </c>
      <c r="D108" s="10">
        <f>IF($AB108="","",IF(INDEX(기본자료!$J$2:$J$501,$AB108)="","",INDEX(기본자료!$J$2:$J$501,$AB108)))</f>
        <v/>
      </c>
      <c r="E108" s="11">
        <f>IF($AB108="","",IF(INDEX(기본자료!$K$2:$K$501,$AB108)="","",IF(NOT(ISNUMBER(INDEX(기본자료!$K$2:$K$501,$AB108))),INDEX(기본자료!$K$2:$K$501,$AB108),IF(INDEX(기본자료!$K$2:$K$501,$AB108)&lt;1000000,INDEX(기본자료!$K$2:$K$501,$AB108),IF(AND(INDEX(기본자료!$K$2:$K$501,$AB108)&gt;=10000101,INT(MOD(INDEX(기본자료!$K$2:$K$501,$AB108),10000)/100)&gt;=1,INT(MOD(INDEX(기본자료!$K$2:$K$501,$AB108),10000)/100)&lt;=12,MOD(INDEX(기본자료!$K$2:$K$501,$AB108),100)&gt;=1,MOD(INDEX(기본자료!$K$2:$K$501,$AB108),100)&lt;=31),DATE(INT(INDEX(기본자료!$K$2:$K$501,$AB108)/10000),INT(MOD(INDEX(기본자료!$K$2:$K$501,$AB108),10000)/100),MOD(INDEX(기본자료!$K$2:$K$501,$AB108),100)),INDEX(기본자료!$K$2:$K$501,$AB108)&amp;"")))))</f>
        <v/>
      </c>
      <c r="F108" s="10">
        <f>IF($AB108="","",IF(INDEX(기본자료!$D$2:$D$501,$AB108)="","",INDEX(기본자료!$D$2:$D$501,$AB108)))</f>
        <v/>
      </c>
      <c r="G108" s="10">
        <f>IF($AB108="","",IF(INDEX(기본자료!$E$2:$E$501,$AB108)="","",INDEX(기본자료!$E$2:$E$501,$AB108)))</f>
        <v/>
      </c>
      <c r="H108" s="10">
        <f>IF($AB108="","",IF(INDEX(기본자료!$F$2:$F$501,$AB108)="","",INDEX(기본자료!$F$2:$F$501,$AB108)))</f>
        <v/>
      </c>
      <c r="I108" s="11">
        <f>IF($AB108="","",IF(INDEX(기본자료!$G$2:$G$501,$AB108)="","",IF(NOT(ISNUMBER(INDEX(기본자료!$G$2:$G$501,$AB108))),INDEX(기본자료!$G$2:$G$501,$AB108),IF(INDEX(기본자료!$G$2:$G$501,$AB108)&lt;1000000,INDEX(기본자료!$G$2:$G$501,$AB108),IF(AND(INDEX(기본자료!$G$2:$G$501,$AB108)&gt;=10000101,INT(MOD(INDEX(기본자료!$G$2:$G$501,$AB108),10000)/100)&gt;=1,INT(MOD(INDEX(기본자료!$G$2:$G$501,$AB108),10000)/100)&lt;=12,MOD(INDEX(기본자료!$G$2:$G$501,$AB108),100)&gt;=1,MOD(INDEX(기본자료!$G$2:$G$501,$AB108),100)&lt;=31),DATE(INT(INDEX(기본자료!$G$2:$G$501,$AB108)/10000),INT(MOD(INDEX(기본자료!$G$2:$G$501,$AB108),10000)/100),MOD(INDEX(기본자료!$G$2:$G$501,$AB108),100)),INDEX(기본자료!$G$2:$G$501,$AB108)&amp;"")))))</f>
        <v/>
      </c>
      <c r="J108" s="10">
        <f>IF($AB108="","",IF(INDEX(기본자료!$H$2:$H$501,$AB108)="","",INDEX(기본자료!$H$2:$H$501,$AB108)))</f>
        <v/>
      </c>
      <c r="K108" s="10">
        <f>IF($AB108="","",IF(INDEX(기본자료!$I$2:$I$501,$AB108)="","",INDEX(기본자료!$I$2:$I$501,$AB108)))</f>
        <v/>
      </c>
      <c r="L108" s="10">
        <f>IF($AB108="","",IF(INDEX(기본자료!$A$2:$A$501,$AB108)="","",INDEX(기본자료!$A$2:$A$501,$AB108)))</f>
        <v/>
      </c>
      <c r="M108" s="15" t="n"/>
      <c r="N108" s="10">
        <f>IF($B108="","",IF(AND($U108="파견중",$Q108&lt;&gt;""),$Q108,IF(AND($AD108&lt;&gt;"",LEFT($AD108,1)&lt;&gt;"⚠"),LEFT($AD108,FIND(" ",$AD108)-1),IF($H108="","",IF(RIGHT($H108,2)="병원",$H108,$H108&amp;"병원")))))</f>
        <v/>
      </c>
      <c r="O108" s="10">
        <f>IF($B108="","",IF(AND($U108="파견중",$Q108&lt;&gt;""),IF($R108&lt;&gt;"",$R108,"파견과 미입력"),IF(AND($AD108&lt;&gt;"",LEFT($AD108,1)&lt;&gt;"⚠"),MID($AD108,FIND(" ",$AD108)+1,60),IF($F108="","",IF($F108="인턴","수련교육부(인턴)",$F108)))))</f>
        <v/>
      </c>
      <c r="P108" s="10">
        <f>IF($B108="","",IF($AK108&lt;&gt;"",IF(AND(TODAY()&gt;=INDEX(파견수련계획!$AB$4:$AB$203,$AK108),OR(NOT(ISNUMBER(INDEX(파견수련계획!$AC$4:$AC$203,$AK108))),TODAY()&lt;=INDEX(파견수련계획!$AC$4:$AC$203,$AK108))),"다기관",IF($AF108="","",INDEX(파견수련계획!$T$4:$T$203,$AF108))),IF($AF108="","",INDEX(파견수련계획!$T$4:$T$203,$AF108))))</f>
        <v/>
      </c>
      <c r="Q108" s="10">
        <f>IF($AF108="","",INDEX(파견수련계획!$S$4:$S$203,$AF108))</f>
        <v/>
      </c>
      <c r="R108" s="10">
        <f>IF($AF108="","",INDEX(파견수련계획!$U$4:$U$203,$AF108))</f>
        <v/>
      </c>
      <c r="S108" s="11">
        <f>IF($AF108="","",IF(INDEX(파견수련계획!$H$4:$H$203,$AF108)="","",INDEX(파견수련계획!$H$4:$H$203,$AF108)))</f>
        <v/>
      </c>
      <c r="T108" s="11">
        <f>IF($AF108="","",IF(INDEX(파견수련계획!$I$4:$I$203,$AF108)="","",INDEX(파견수련계획!$I$4:$I$203,$AF108)))</f>
        <v/>
      </c>
      <c r="U108" s="10">
        <f>IF($AF108="","",INDEX(파견수련계획!$X$4:$X$203,$AF108))</f>
        <v/>
      </c>
      <c r="V108" s="17">
        <f>IF($AF108="","",INDEX(파견수련계획!$V$4:$V$203,$AF108))</f>
        <v/>
      </c>
      <c r="W108" s="17">
        <f>IF(AND($U108="파견중",$T108&lt;&gt;""),$T108-TODAY(),"")</f>
        <v/>
      </c>
      <c r="X108" s="17">
        <f>IF(OR($B108="",TRIM($J108&amp;"")=""),"",SUMPRODUCT((파견수련계획!$Q$4:$Q$203=TRIM($J108&amp;""))*파견수련계획!$W$4:$W$203))</f>
        <v/>
      </c>
      <c r="Y108" s="10">
        <f>IF($B108="","",IF($AG108="","",IF(IF(TRIM($J108&amp;"")="",0,SUMPRODUCT((파견수련계획!$Q$4:$Q$203=TRIM($J108&amp;""))*파견수련계획!$AD$4:$AD$203))&gt;0,$AE108,IF(N($X108)&lt;=0,$AG108,IF($AH108+$AI108=DAY(EOMONTH(요약!$B$3,0)),IF(AND($AH108&gt;=요약!$E$3,$AI108&lt;요약!$E$3),"서울병원",IF(AND($AI108&gt;=요약!$E$3,$AH108&lt;요약!$E$3),"구리병원","⚠15일 판정불가(서울 "&amp;$AH108&amp;"일/구리 "&amp;$AI108&amp;"일)")),IF($AJ108="",$AE108,IF(INDEX(파견수련계획!$T$4:$T$203,$AJ108)="통합수련",INDEX(파견수련계획!$S$4:$S$203,$AJ108),$AE108)))))))</f>
        <v/>
      </c>
      <c r="Z108" s="19">
        <f>IF($B108="","",IF($AB108="","기본자료에 없는 사번",IF(COUNTIF($B$2:$B$201,$B108)&gt;1,"중복 사번",IF($AE108="","소속(입사장소) 입력",IF(IF(TRIM($J108&amp;"")="",0,SUMPRODUCT((파견수련계획!$Q$4:$Q$203=TRIM($J108&amp;""))*(파견수련계획!$AA$4:$AA$203&lt;&gt;"")))&gt;0,"파견수련계획 입력오류 확인",IF(LEFT($Y108,1)="⚠","서울·구리 15일 판정 불가(양쪽 모두 이상/미만)",IF(IF($AC108="",0,N(INDEX(인턴근무계획!$T$3:$T$202,$AC108)))&gt;0,"인턴계획 입력오류 확인",IF(AND($AC108&lt;&gt;"",$U108&lt;&gt;"파견중",$N108&lt;&gt;$AE108),"인턴 타지역 근무: 파견 여부 확인","정상"))))))))</f>
        <v/>
      </c>
      <c r="AA108" s="5" t="n"/>
      <c r="AB108" s="10">
        <f>IF($B108="","",IFERROR(MATCH($B108,기본자료!$B$2:$B$501,0),IFERROR(MATCH($B108&amp;"",기본자료!$B$2:$B$501,0),IFERROR(MATCH(VALUE($B108),기본자료!$B$2:$B$501,0),""))))</f>
        <v/>
      </c>
      <c r="AC108" s="10">
        <f>IF($B108="","",IFERROR(MATCH($B108,인턴근무계획!$D$3:$D$202,0),IFERROR(MATCH($B108&amp;"",인턴근무계획!$D$3:$D$202,0),IFERROR(MATCH(VALUE($B108),인턴근무계획!$D$3:$D$202,0),""))))</f>
        <v/>
      </c>
      <c r="AD108" s="10">
        <f>IF(OR($AC108="",인턴현황!$G$3=""),"",INDEX(인턴근무계획!$M$3:$R$202,$AC108,인턴현황!$G$3)&amp;"")</f>
        <v/>
      </c>
      <c r="AE108" s="10">
        <f>IF($B108="","",IF($M108&lt;&gt;"",$M108,IF($AF108&lt;&gt;"",IF(LEFT(INDEX(파견수련계획!$R$4:$R$203,$AF108),1)&lt;&gt;"⚠",INDEX(파견수련계획!$R$4:$R$203,$AF108),IF($H108="","",IF(RIGHT($H108,2)="병원",$H108,$H108&amp;"병원"))),IF($H108="","",IF(RIGHT($H108,2)="병원",$H108,$H108&amp;"병원")))))</f>
        <v/>
      </c>
      <c r="AF108" s="10">
        <f>IF(OR($B108="",TRIM($J108&amp;"")=""),"",IFERROR(MATCH(TRIM($J108&amp;"")&amp;"|파견중",파견수련계획!$Y$4:$Y$203,0),IFERROR(MATCH(TRIM($J108&amp;"")&amp;"|파견예정",파견수련계획!$Y$4:$Y$203,0),IFERROR(MATCH(TRIM($J108&amp;"")&amp;"|파견종료",파견수련계획!$Y$4:$Y$203,0),""))))</f>
        <v/>
      </c>
      <c r="AG108" s="10">
        <f>IF($B108="","",IF(AND(IF(OR($AC108="",인턴현황!$K$2=""),"",INDEX(인턴근무계획!$M$3:$R$202,$AC108,인턴현황!$K$2)&amp;"")&lt;&gt;"",LEFT(IF(OR($AC108="",인턴현황!$K$2=""),"",INDEX(인턴근무계획!$M$3:$R$202,$AC108,인턴현황!$K$2)&amp;""),1)&lt;&gt;"⚠"),LEFT(IF(OR($AC108="",인턴현황!$K$2=""),"",INDEX(인턴근무계획!$M$3:$R$202,$AC108,인턴현황!$K$2)&amp;""),FIND(" ",IF(OR($AC108="",인턴현황!$K$2=""),"",INDEX(인턴근무계획!$M$3:$R$202,$AC108,인턴현황!$K$2)&amp;""))-1),$AE108))</f>
        <v/>
      </c>
      <c r="AH108" s="17">
        <f>IF($B108="","",IF(TRIM($J108&amp;"")="",0,SUMPRODUCT((파견수련계획!$Q$4:$Q$203=TRIM($J108&amp;""))*(파견수련계획!$S$4:$S$203="서울병원")*파견수련계획!$W$4:$W$203))+IF($AG108="서울병원",MAX(0,DAY(EOMONTH(요약!$B$3,0))-N($X108)),0))</f>
        <v/>
      </c>
      <c r="AI108" s="17">
        <f>IF($B108="","",IF(TRIM($J108&amp;"")="",0,SUMPRODUCT((파견수련계획!$Q$4:$Q$203=TRIM($J108&amp;""))*(파견수련계획!$S$4:$S$203="구리병원")*파견수련계획!$W$4:$W$203))+IF($AG108="구리병원",MAX(0,DAY(EOMONTH(요약!$B$3,0))-N($X108)),0))</f>
        <v/>
      </c>
      <c r="AJ108" s="10">
        <f>IF(OR($B108="",TRIM($J108&amp;"")=""),"",IFERROR(MATCH(TRIM($J108&amp;"")&amp;"|월",파견수련계획!$Z$4:$Z$203,0),""))</f>
        <v/>
      </c>
      <c r="AK108" s="10">
        <f>IF(OR($B108="",TRIM($J108&amp;"")=""),"",IFERROR(MATCH(TRIM($J108&amp;"")&amp;"|다기관",파견수련계획!$AE$4:$AE$203,0),""))</f>
        <v/>
      </c>
      <c r="AL108" s="10">
        <f>IF($AK108="","","다기관 "&amp;TEXT(INDEX(파견수련계획!$AB$4:$AB$203,$AK108),"yyyy-mm-dd")&amp;"~"&amp;IF(ISNUMBER(INDEX(파견수련계획!$AC$4:$AC$203,$AK108)),TEXT(INDEX(파견수련계획!$AC$4:$AC$203,$AK108),"yyyy-mm-dd"),""))</f>
        <v/>
      </c>
    </row>
    <row r="109">
      <c r="A109" s="10">
        <f>IF(B109="","",ROW()-1)</f>
        <v/>
      </c>
      <c r="B109" s="18" t="n"/>
      <c r="C109" s="10">
        <f>IF($AB109="","",IF(INDEX(기본자료!$C$2:$C$501,$AB109)="","",INDEX(기본자료!$C$2:$C$501,$AB109)))</f>
        <v/>
      </c>
      <c r="D109" s="10">
        <f>IF($AB109="","",IF(INDEX(기본자료!$J$2:$J$501,$AB109)="","",INDEX(기본자료!$J$2:$J$501,$AB109)))</f>
        <v/>
      </c>
      <c r="E109" s="11">
        <f>IF($AB109="","",IF(INDEX(기본자료!$K$2:$K$501,$AB109)="","",IF(NOT(ISNUMBER(INDEX(기본자료!$K$2:$K$501,$AB109))),INDEX(기본자료!$K$2:$K$501,$AB109),IF(INDEX(기본자료!$K$2:$K$501,$AB109)&lt;1000000,INDEX(기본자료!$K$2:$K$501,$AB109),IF(AND(INDEX(기본자료!$K$2:$K$501,$AB109)&gt;=10000101,INT(MOD(INDEX(기본자료!$K$2:$K$501,$AB109),10000)/100)&gt;=1,INT(MOD(INDEX(기본자료!$K$2:$K$501,$AB109),10000)/100)&lt;=12,MOD(INDEX(기본자료!$K$2:$K$501,$AB109),100)&gt;=1,MOD(INDEX(기본자료!$K$2:$K$501,$AB109),100)&lt;=31),DATE(INT(INDEX(기본자료!$K$2:$K$501,$AB109)/10000),INT(MOD(INDEX(기본자료!$K$2:$K$501,$AB109),10000)/100),MOD(INDEX(기본자료!$K$2:$K$501,$AB109),100)),INDEX(기본자료!$K$2:$K$501,$AB109)&amp;"")))))</f>
        <v/>
      </c>
      <c r="F109" s="10">
        <f>IF($AB109="","",IF(INDEX(기본자료!$D$2:$D$501,$AB109)="","",INDEX(기본자료!$D$2:$D$501,$AB109)))</f>
        <v/>
      </c>
      <c r="G109" s="10">
        <f>IF($AB109="","",IF(INDEX(기본자료!$E$2:$E$501,$AB109)="","",INDEX(기본자료!$E$2:$E$501,$AB109)))</f>
        <v/>
      </c>
      <c r="H109" s="10">
        <f>IF($AB109="","",IF(INDEX(기본자료!$F$2:$F$501,$AB109)="","",INDEX(기본자료!$F$2:$F$501,$AB109)))</f>
        <v/>
      </c>
      <c r="I109" s="11">
        <f>IF($AB109="","",IF(INDEX(기본자료!$G$2:$G$501,$AB109)="","",IF(NOT(ISNUMBER(INDEX(기본자료!$G$2:$G$501,$AB109))),INDEX(기본자료!$G$2:$G$501,$AB109),IF(INDEX(기본자료!$G$2:$G$501,$AB109)&lt;1000000,INDEX(기본자료!$G$2:$G$501,$AB109),IF(AND(INDEX(기본자료!$G$2:$G$501,$AB109)&gt;=10000101,INT(MOD(INDEX(기본자료!$G$2:$G$501,$AB109),10000)/100)&gt;=1,INT(MOD(INDEX(기본자료!$G$2:$G$501,$AB109),10000)/100)&lt;=12,MOD(INDEX(기본자료!$G$2:$G$501,$AB109),100)&gt;=1,MOD(INDEX(기본자료!$G$2:$G$501,$AB109),100)&lt;=31),DATE(INT(INDEX(기본자료!$G$2:$G$501,$AB109)/10000),INT(MOD(INDEX(기본자료!$G$2:$G$501,$AB109),10000)/100),MOD(INDEX(기본자료!$G$2:$G$501,$AB109),100)),INDEX(기본자료!$G$2:$G$501,$AB109)&amp;"")))))</f>
        <v/>
      </c>
      <c r="J109" s="10">
        <f>IF($AB109="","",IF(INDEX(기본자료!$H$2:$H$501,$AB109)="","",INDEX(기본자료!$H$2:$H$501,$AB109)))</f>
        <v/>
      </c>
      <c r="K109" s="10">
        <f>IF($AB109="","",IF(INDEX(기본자료!$I$2:$I$501,$AB109)="","",INDEX(기본자료!$I$2:$I$501,$AB109)))</f>
        <v/>
      </c>
      <c r="L109" s="10">
        <f>IF($AB109="","",IF(INDEX(기본자료!$A$2:$A$501,$AB109)="","",INDEX(기본자료!$A$2:$A$501,$AB109)))</f>
        <v/>
      </c>
      <c r="M109" s="15" t="n"/>
      <c r="N109" s="10">
        <f>IF($B109="","",IF(AND($U109="파견중",$Q109&lt;&gt;""),$Q109,IF(AND($AD109&lt;&gt;"",LEFT($AD109,1)&lt;&gt;"⚠"),LEFT($AD109,FIND(" ",$AD109)-1),IF($H109="","",IF(RIGHT($H109,2)="병원",$H109,$H109&amp;"병원")))))</f>
        <v/>
      </c>
      <c r="O109" s="10">
        <f>IF($B109="","",IF(AND($U109="파견중",$Q109&lt;&gt;""),IF($R109&lt;&gt;"",$R109,"파견과 미입력"),IF(AND($AD109&lt;&gt;"",LEFT($AD109,1)&lt;&gt;"⚠"),MID($AD109,FIND(" ",$AD109)+1,60),IF($F109="","",IF($F109="인턴","수련교육부(인턴)",$F109)))))</f>
        <v/>
      </c>
      <c r="P109" s="10">
        <f>IF($B109="","",IF($AK109&lt;&gt;"",IF(AND(TODAY()&gt;=INDEX(파견수련계획!$AB$4:$AB$203,$AK109),OR(NOT(ISNUMBER(INDEX(파견수련계획!$AC$4:$AC$203,$AK109))),TODAY()&lt;=INDEX(파견수련계획!$AC$4:$AC$203,$AK109))),"다기관",IF($AF109="","",INDEX(파견수련계획!$T$4:$T$203,$AF109))),IF($AF109="","",INDEX(파견수련계획!$T$4:$T$203,$AF109))))</f>
        <v/>
      </c>
      <c r="Q109" s="10">
        <f>IF($AF109="","",INDEX(파견수련계획!$S$4:$S$203,$AF109))</f>
        <v/>
      </c>
      <c r="R109" s="10">
        <f>IF($AF109="","",INDEX(파견수련계획!$U$4:$U$203,$AF109))</f>
        <v/>
      </c>
      <c r="S109" s="11">
        <f>IF($AF109="","",IF(INDEX(파견수련계획!$H$4:$H$203,$AF109)="","",INDEX(파견수련계획!$H$4:$H$203,$AF109)))</f>
        <v/>
      </c>
      <c r="T109" s="11">
        <f>IF($AF109="","",IF(INDEX(파견수련계획!$I$4:$I$203,$AF109)="","",INDEX(파견수련계획!$I$4:$I$203,$AF109)))</f>
        <v/>
      </c>
      <c r="U109" s="10">
        <f>IF($AF109="","",INDEX(파견수련계획!$X$4:$X$203,$AF109))</f>
        <v/>
      </c>
      <c r="V109" s="17">
        <f>IF($AF109="","",INDEX(파견수련계획!$V$4:$V$203,$AF109))</f>
        <v/>
      </c>
      <c r="W109" s="17">
        <f>IF(AND($U109="파견중",$T109&lt;&gt;""),$T109-TODAY(),"")</f>
        <v/>
      </c>
      <c r="X109" s="17">
        <f>IF(OR($B109="",TRIM($J109&amp;"")=""),"",SUMPRODUCT((파견수련계획!$Q$4:$Q$203=TRIM($J109&amp;""))*파견수련계획!$W$4:$W$203))</f>
        <v/>
      </c>
      <c r="Y109" s="10">
        <f>IF($B109="","",IF($AG109="","",IF(IF(TRIM($J109&amp;"")="",0,SUMPRODUCT((파견수련계획!$Q$4:$Q$203=TRIM($J109&amp;""))*파견수련계획!$AD$4:$AD$203))&gt;0,$AE109,IF(N($X109)&lt;=0,$AG109,IF($AH109+$AI109=DAY(EOMONTH(요약!$B$3,0)),IF(AND($AH109&gt;=요약!$E$3,$AI109&lt;요약!$E$3),"서울병원",IF(AND($AI109&gt;=요약!$E$3,$AH109&lt;요약!$E$3),"구리병원","⚠15일 판정불가(서울 "&amp;$AH109&amp;"일/구리 "&amp;$AI109&amp;"일)")),IF($AJ109="",$AE109,IF(INDEX(파견수련계획!$T$4:$T$203,$AJ109)="통합수련",INDEX(파견수련계획!$S$4:$S$203,$AJ109),$AE109)))))))</f>
        <v/>
      </c>
      <c r="Z109" s="19">
        <f>IF($B109="","",IF($AB109="","기본자료에 없는 사번",IF(COUNTIF($B$2:$B$201,$B109)&gt;1,"중복 사번",IF($AE109="","소속(입사장소) 입력",IF(IF(TRIM($J109&amp;"")="",0,SUMPRODUCT((파견수련계획!$Q$4:$Q$203=TRIM($J109&amp;""))*(파견수련계획!$AA$4:$AA$203&lt;&gt;"")))&gt;0,"파견수련계획 입력오류 확인",IF(LEFT($Y109,1)="⚠","서울·구리 15일 판정 불가(양쪽 모두 이상/미만)",IF(IF($AC109="",0,N(INDEX(인턴근무계획!$T$3:$T$202,$AC109)))&gt;0,"인턴계획 입력오류 확인",IF(AND($AC109&lt;&gt;"",$U109&lt;&gt;"파견중",$N109&lt;&gt;$AE109),"인턴 타지역 근무: 파견 여부 확인","정상"))))))))</f>
        <v/>
      </c>
      <c r="AA109" s="5" t="n"/>
      <c r="AB109" s="10">
        <f>IF($B109="","",IFERROR(MATCH($B109,기본자료!$B$2:$B$501,0),IFERROR(MATCH($B109&amp;"",기본자료!$B$2:$B$501,0),IFERROR(MATCH(VALUE($B109),기본자료!$B$2:$B$501,0),""))))</f>
        <v/>
      </c>
      <c r="AC109" s="10">
        <f>IF($B109="","",IFERROR(MATCH($B109,인턴근무계획!$D$3:$D$202,0),IFERROR(MATCH($B109&amp;"",인턴근무계획!$D$3:$D$202,0),IFERROR(MATCH(VALUE($B109),인턴근무계획!$D$3:$D$202,0),""))))</f>
        <v/>
      </c>
      <c r="AD109" s="10">
        <f>IF(OR($AC109="",인턴현황!$G$3=""),"",INDEX(인턴근무계획!$M$3:$R$202,$AC109,인턴현황!$G$3)&amp;"")</f>
        <v/>
      </c>
      <c r="AE109" s="10">
        <f>IF($B109="","",IF($M109&lt;&gt;"",$M109,IF($AF109&lt;&gt;"",IF(LEFT(INDEX(파견수련계획!$R$4:$R$203,$AF109),1)&lt;&gt;"⚠",INDEX(파견수련계획!$R$4:$R$203,$AF109),IF($H109="","",IF(RIGHT($H109,2)="병원",$H109,$H109&amp;"병원"))),IF($H109="","",IF(RIGHT($H109,2)="병원",$H109,$H109&amp;"병원")))))</f>
        <v/>
      </c>
      <c r="AF109" s="10">
        <f>IF(OR($B109="",TRIM($J109&amp;"")=""),"",IFERROR(MATCH(TRIM($J109&amp;"")&amp;"|파견중",파견수련계획!$Y$4:$Y$203,0),IFERROR(MATCH(TRIM($J109&amp;"")&amp;"|파견예정",파견수련계획!$Y$4:$Y$203,0),IFERROR(MATCH(TRIM($J109&amp;"")&amp;"|파견종료",파견수련계획!$Y$4:$Y$203,0),""))))</f>
        <v/>
      </c>
      <c r="AG109" s="10">
        <f>IF($B109="","",IF(AND(IF(OR($AC109="",인턴현황!$K$2=""),"",INDEX(인턴근무계획!$M$3:$R$202,$AC109,인턴현황!$K$2)&amp;"")&lt;&gt;"",LEFT(IF(OR($AC109="",인턴현황!$K$2=""),"",INDEX(인턴근무계획!$M$3:$R$202,$AC109,인턴현황!$K$2)&amp;""),1)&lt;&gt;"⚠"),LEFT(IF(OR($AC109="",인턴현황!$K$2=""),"",INDEX(인턴근무계획!$M$3:$R$202,$AC109,인턴현황!$K$2)&amp;""),FIND(" ",IF(OR($AC109="",인턴현황!$K$2=""),"",INDEX(인턴근무계획!$M$3:$R$202,$AC109,인턴현황!$K$2)&amp;""))-1),$AE109))</f>
        <v/>
      </c>
      <c r="AH109" s="17">
        <f>IF($B109="","",IF(TRIM($J109&amp;"")="",0,SUMPRODUCT((파견수련계획!$Q$4:$Q$203=TRIM($J109&amp;""))*(파견수련계획!$S$4:$S$203="서울병원")*파견수련계획!$W$4:$W$203))+IF($AG109="서울병원",MAX(0,DAY(EOMONTH(요약!$B$3,0))-N($X109)),0))</f>
        <v/>
      </c>
      <c r="AI109" s="17">
        <f>IF($B109="","",IF(TRIM($J109&amp;"")="",0,SUMPRODUCT((파견수련계획!$Q$4:$Q$203=TRIM($J109&amp;""))*(파견수련계획!$S$4:$S$203="구리병원")*파견수련계획!$W$4:$W$203))+IF($AG109="구리병원",MAX(0,DAY(EOMONTH(요약!$B$3,0))-N($X109)),0))</f>
        <v/>
      </c>
      <c r="AJ109" s="10">
        <f>IF(OR($B109="",TRIM($J109&amp;"")=""),"",IFERROR(MATCH(TRIM($J109&amp;"")&amp;"|월",파견수련계획!$Z$4:$Z$203,0),""))</f>
        <v/>
      </c>
      <c r="AK109" s="10">
        <f>IF(OR($B109="",TRIM($J109&amp;"")=""),"",IFERROR(MATCH(TRIM($J109&amp;"")&amp;"|다기관",파견수련계획!$AE$4:$AE$203,0),""))</f>
        <v/>
      </c>
      <c r="AL109" s="10">
        <f>IF($AK109="","","다기관 "&amp;TEXT(INDEX(파견수련계획!$AB$4:$AB$203,$AK109),"yyyy-mm-dd")&amp;"~"&amp;IF(ISNUMBER(INDEX(파견수련계획!$AC$4:$AC$203,$AK109)),TEXT(INDEX(파견수련계획!$AC$4:$AC$203,$AK109),"yyyy-mm-dd"),""))</f>
        <v/>
      </c>
    </row>
    <row r="110">
      <c r="A110" s="10">
        <f>IF(B110="","",ROW()-1)</f>
        <v/>
      </c>
      <c r="B110" s="18" t="n"/>
      <c r="C110" s="10">
        <f>IF($AB110="","",IF(INDEX(기본자료!$C$2:$C$501,$AB110)="","",INDEX(기본자료!$C$2:$C$501,$AB110)))</f>
        <v/>
      </c>
      <c r="D110" s="10">
        <f>IF($AB110="","",IF(INDEX(기본자료!$J$2:$J$501,$AB110)="","",INDEX(기본자료!$J$2:$J$501,$AB110)))</f>
        <v/>
      </c>
      <c r="E110" s="11">
        <f>IF($AB110="","",IF(INDEX(기본자료!$K$2:$K$501,$AB110)="","",IF(NOT(ISNUMBER(INDEX(기본자료!$K$2:$K$501,$AB110))),INDEX(기본자료!$K$2:$K$501,$AB110),IF(INDEX(기본자료!$K$2:$K$501,$AB110)&lt;1000000,INDEX(기본자료!$K$2:$K$501,$AB110),IF(AND(INDEX(기본자료!$K$2:$K$501,$AB110)&gt;=10000101,INT(MOD(INDEX(기본자료!$K$2:$K$501,$AB110),10000)/100)&gt;=1,INT(MOD(INDEX(기본자료!$K$2:$K$501,$AB110),10000)/100)&lt;=12,MOD(INDEX(기본자료!$K$2:$K$501,$AB110),100)&gt;=1,MOD(INDEX(기본자료!$K$2:$K$501,$AB110),100)&lt;=31),DATE(INT(INDEX(기본자료!$K$2:$K$501,$AB110)/10000),INT(MOD(INDEX(기본자료!$K$2:$K$501,$AB110),10000)/100),MOD(INDEX(기본자료!$K$2:$K$501,$AB110),100)),INDEX(기본자료!$K$2:$K$501,$AB110)&amp;"")))))</f>
        <v/>
      </c>
      <c r="F110" s="10">
        <f>IF($AB110="","",IF(INDEX(기본자료!$D$2:$D$501,$AB110)="","",INDEX(기본자료!$D$2:$D$501,$AB110)))</f>
        <v/>
      </c>
      <c r="G110" s="10">
        <f>IF($AB110="","",IF(INDEX(기본자료!$E$2:$E$501,$AB110)="","",INDEX(기본자료!$E$2:$E$501,$AB110)))</f>
        <v/>
      </c>
      <c r="H110" s="10">
        <f>IF($AB110="","",IF(INDEX(기본자료!$F$2:$F$501,$AB110)="","",INDEX(기본자료!$F$2:$F$501,$AB110)))</f>
        <v/>
      </c>
      <c r="I110" s="11">
        <f>IF($AB110="","",IF(INDEX(기본자료!$G$2:$G$501,$AB110)="","",IF(NOT(ISNUMBER(INDEX(기본자료!$G$2:$G$501,$AB110))),INDEX(기본자료!$G$2:$G$501,$AB110),IF(INDEX(기본자료!$G$2:$G$501,$AB110)&lt;1000000,INDEX(기본자료!$G$2:$G$501,$AB110),IF(AND(INDEX(기본자료!$G$2:$G$501,$AB110)&gt;=10000101,INT(MOD(INDEX(기본자료!$G$2:$G$501,$AB110),10000)/100)&gt;=1,INT(MOD(INDEX(기본자료!$G$2:$G$501,$AB110),10000)/100)&lt;=12,MOD(INDEX(기본자료!$G$2:$G$501,$AB110),100)&gt;=1,MOD(INDEX(기본자료!$G$2:$G$501,$AB110),100)&lt;=31),DATE(INT(INDEX(기본자료!$G$2:$G$501,$AB110)/10000),INT(MOD(INDEX(기본자료!$G$2:$G$501,$AB110),10000)/100),MOD(INDEX(기본자료!$G$2:$G$501,$AB110),100)),INDEX(기본자료!$G$2:$G$501,$AB110)&amp;"")))))</f>
        <v/>
      </c>
      <c r="J110" s="10">
        <f>IF($AB110="","",IF(INDEX(기본자료!$H$2:$H$501,$AB110)="","",INDEX(기본자료!$H$2:$H$501,$AB110)))</f>
        <v/>
      </c>
      <c r="K110" s="10">
        <f>IF($AB110="","",IF(INDEX(기본자료!$I$2:$I$501,$AB110)="","",INDEX(기본자료!$I$2:$I$501,$AB110)))</f>
        <v/>
      </c>
      <c r="L110" s="10">
        <f>IF($AB110="","",IF(INDEX(기본자료!$A$2:$A$501,$AB110)="","",INDEX(기본자료!$A$2:$A$501,$AB110)))</f>
        <v/>
      </c>
      <c r="M110" s="15" t="n"/>
      <c r="N110" s="10">
        <f>IF($B110="","",IF(AND($U110="파견중",$Q110&lt;&gt;""),$Q110,IF(AND($AD110&lt;&gt;"",LEFT($AD110,1)&lt;&gt;"⚠"),LEFT($AD110,FIND(" ",$AD110)-1),IF($H110="","",IF(RIGHT($H110,2)="병원",$H110,$H110&amp;"병원")))))</f>
        <v/>
      </c>
      <c r="O110" s="10">
        <f>IF($B110="","",IF(AND($U110="파견중",$Q110&lt;&gt;""),IF($R110&lt;&gt;"",$R110,"파견과 미입력"),IF(AND($AD110&lt;&gt;"",LEFT($AD110,1)&lt;&gt;"⚠"),MID($AD110,FIND(" ",$AD110)+1,60),IF($F110="","",IF($F110="인턴","수련교육부(인턴)",$F110)))))</f>
        <v/>
      </c>
      <c r="P110" s="10">
        <f>IF($B110="","",IF($AK110&lt;&gt;"",IF(AND(TODAY()&gt;=INDEX(파견수련계획!$AB$4:$AB$203,$AK110),OR(NOT(ISNUMBER(INDEX(파견수련계획!$AC$4:$AC$203,$AK110))),TODAY()&lt;=INDEX(파견수련계획!$AC$4:$AC$203,$AK110))),"다기관",IF($AF110="","",INDEX(파견수련계획!$T$4:$T$203,$AF110))),IF($AF110="","",INDEX(파견수련계획!$T$4:$T$203,$AF110))))</f>
        <v/>
      </c>
      <c r="Q110" s="10">
        <f>IF($AF110="","",INDEX(파견수련계획!$S$4:$S$203,$AF110))</f>
        <v/>
      </c>
      <c r="R110" s="10">
        <f>IF($AF110="","",INDEX(파견수련계획!$U$4:$U$203,$AF110))</f>
        <v/>
      </c>
      <c r="S110" s="11">
        <f>IF($AF110="","",IF(INDEX(파견수련계획!$H$4:$H$203,$AF110)="","",INDEX(파견수련계획!$H$4:$H$203,$AF110)))</f>
        <v/>
      </c>
      <c r="T110" s="11">
        <f>IF($AF110="","",IF(INDEX(파견수련계획!$I$4:$I$203,$AF110)="","",INDEX(파견수련계획!$I$4:$I$203,$AF110)))</f>
        <v/>
      </c>
      <c r="U110" s="10">
        <f>IF($AF110="","",INDEX(파견수련계획!$X$4:$X$203,$AF110))</f>
        <v/>
      </c>
      <c r="V110" s="17">
        <f>IF($AF110="","",INDEX(파견수련계획!$V$4:$V$203,$AF110))</f>
        <v/>
      </c>
      <c r="W110" s="17">
        <f>IF(AND($U110="파견중",$T110&lt;&gt;""),$T110-TODAY(),"")</f>
        <v/>
      </c>
      <c r="X110" s="17">
        <f>IF(OR($B110="",TRIM($J110&amp;"")=""),"",SUMPRODUCT((파견수련계획!$Q$4:$Q$203=TRIM($J110&amp;""))*파견수련계획!$W$4:$W$203))</f>
        <v/>
      </c>
      <c r="Y110" s="10">
        <f>IF($B110="","",IF($AG110="","",IF(IF(TRIM($J110&amp;"")="",0,SUMPRODUCT((파견수련계획!$Q$4:$Q$203=TRIM($J110&amp;""))*파견수련계획!$AD$4:$AD$203))&gt;0,$AE110,IF(N($X110)&lt;=0,$AG110,IF($AH110+$AI110=DAY(EOMONTH(요약!$B$3,0)),IF(AND($AH110&gt;=요약!$E$3,$AI110&lt;요약!$E$3),"서울병원",IF(AND($AI110&gt;=요약!$E$3,$AH110&lt;요약!$E$3),"구리병원","⚠15일 판정불가(서울 "&amp;$AH110&amp;"일/구리 "&amp;$AI110&amp;"일)")),IF($AJ110="",$AE110,IF(INDEX(파견수련계획!$T$4:$T$203,$AJ110)="통합수련",INDEX(파견수련계획!$S$4:$S$203,$AJ110),$AE110)))))))</f>
        <v/>
      </c>
      <c r="Z110" s="19">
        <f>IF($B110="","",IF($AB110="","기본자료에 없는 사번",IF(COUNTIF($B$2:$B$201,$B110)&gt;1,"중복 사번",IF($AE110="","소속(입사장소) 입력",IF(IF(TRIM($J110&amp;"")="",0,SUMPRODUCT((파견수련계획!$Q$4:$Q$203=TRIM($J110&amp;""))*(파견수련계획!$AA$4:$AA$203&lt;&gt;"")))&gt;0,"파견수련계획 입력오류 확인",IF(LEFT($Y110,1)="⚠","서울·구리 15일 판정 불가(양쪽 모두 이상/미만)",IF(IF($AC110="",0,N(INDEX(인턴근무계획!$T$3:$T$202,$AC110)))&gt;0,"인턴계획 입력오류 확인",IF(AND($AC110&lt;&gt;"",$U110&lt;&gt;"파견중",$N110&lt;&gt;$AE110),"인턴 타지역 근무: 파견 여부 확인","정상"))))))))</f>
        <v/>
      </c>
      <c r="AA110" s="5" t="n"/>
      <c r="AB110" s="10">
        <f>IF($B110="","",IFERROR(MATCH($B110,기본자료!$B$2:$B$501,0),IFERROR(MATCH($B110&amp;"",기본자료!$B$2:$B$501,0),IFERROR(MATCH(VALUE($B110),기본자료!$B$2:$B$501,0),""))))</f>
        <v/>
      </c>
      <c r="AC110" s="10">
        <f>IF($B110="","",IFERROR(MATCH($B110,인턴근무계획!$D$3:$D$202,0),IFERROR(MATCH($B110&amp;"",인턴근무계획!$D$3:$D$202,0),IFERROR(MATCH(VALUE($B110),인턴근무계획!$D$3:$D$202,0),""))))</f>
        <v/>
      </c>
      <c r="AD110" s="10">
        <f>IF(OR($AC110="",인턴현황!$G$3=""),"",INDEX(인턴근무계획!$M$3:$R$202,$AC110,인턴현황!$G$3)&amp;"")</f>
        <v/>
      </c>
      <c r="AE110" s="10">
        <f>IF($B110="","",IF($M110&lt;&gt;"",$M110,IF($AF110&lt;&gt;"",IF(LEFT(INDEX(파견수련계획!$R$4:$R$203,$AF110),1)&lt;&gt;"⚠",INDEX(파견수련계획!$R$4:$R$203,$AF110),IF($H110="","",IF(RIGHT($H110,2)="병원",$H110,$H110&amp;"병원"))),IF($H110="","",IF(RIGHT($H110,2)="병원",$H110,$H110&amp;"병원")))))</f>
        <v/>
      </c>
      <c r="AF110" s="10">
        <f>IF(OR($B110="",TRIM($J110&amp;"")=""),"",IFERROR(MATCH(TRIM($J110&amp;"")&amp;"|파견중",파견수련계획!$Y$4:$Y$203,0),IFERROR(MATCH(TRIM($J110&amp;"")&amp;"|파견예정",파견수련계획!$Y$4:$Y$203,0),IFERROR(MATCH(TRIM($J110&amp;"")&amp;"|파견종료",파견수련계획!$Y$4:$Y$203,0),""))))</f>
        <v/>
      </c>
      <c r="AG110" s="10">
        <f>IF($B110="","",IF(AND(IF(OR($AC110="",인턴현황!$K$2=""),"",INDEX(인턴근무계획!$M$3:$R$202,$AC110,인턴현황!$K$2)&amp;"")&lt;&gt;"",LEFT(IF(OR($AC110="",인턴현황!$K$2=""),"",INDEX(인턴근무계획!$M$3:$R$202,$AC110,인턴현황!$K$2)&amp;""),1)&lt;&gt;"⚠"),LEFT(IF(OR($AC110="",인턴현황!$K$2=""),"",INDEX(인턴근무계획!$M$3:$R$202,$AC110,인턴현황!$K$2)&amp;""),FIND(" ",IF(OR($AC110="",인턴현황!$K$2=""),"",INDEX(인턴근무계획!$M$3:$R$202,$AC110,인턴현황!$K$2)&amp;""))-1),$AE110))</f>
        <v/>
      </c>
      <c r="AH110" s="17">
        <f>IF($B110="","",IF(TRIM($J110&amp;"")="",0,SUMPRODUCT((파견수련계획!$Q$4:$Q$203=TRIM($J110&amp;""))*(파견수련계획!$S$4:$S$203="서울병원")*파견수련계획!$W$4:$W$203))+IF($AG110="서울병원",MAX(0,DAY(EOMONTH(요약!$B$3,0))-N($X110)),0))</f>
        <v/>
      </c>
      <c r="AI110" s="17">
        <f>IF($B110="","",IF(TRIM($J110&amp;"")="",0,SUMPRODUCT((파견수련계획!$Q$4:$Q$203=TRIM($J110&amp;""))*(파견수련계획!$S$4:$S$203="구리병원")*파견수련계획!$W$4:$W$203))+IF($AG110="구리병원",MAX(0,DAY(EOMONTH(요약!$B$3,0))-N($X110)),0))</f>
        <v/>
      </c>
      <c r="AJ110" s="10">
        <f>IF(OR($B110="",TRIM($J110&amp;"")=""),"",IFERROR(MATCH(TRIM($J110&amp;"")&amp;"|월",파견수련계획!$Z$4:$Z$203,0),""))</f>
        <v/>
      </c>
      <c r="AK110" s="10">
        <f>IF(OR($B110="",TRIM($J110&amp;"")=""),"",IFERROR(MATCH(TRIM($J110&amp;"")&amp;"|다기관",파견수련계획!$AE$4:$AE$203,0),""))</f>
        <v/>
      </c>
      <c r="AL110" s="10">
        <f>IF($AK110="","","다기관 "&amp;TEXT(INDEX(파견수련계획!$AB$4:$AB$203,$AK110),"yyyy-mm-dd")&amp;"~"&amp;IF(ISNUMBER(INDEX(파견수련계획!$AC$4:$AC$203,$AK110)),TEXT(INDEX(파견수련계획!$AC$4:$AC$203,$AK110),"yyyy-mm-dd"),""))</f>
        <v/>
      </c>
    </row>
    <row r="111">
      <c r="A111" s="10">
        <f>IF(B111="","",ROW()-1)</f>
        <v/>
      </c>
      <c r="B111" s="18" t="n"/>
      <c r="C111" s="10">
        <f>IF($AB111="","",IF(INDEX(기본자료!$C$2:$C$501,$AB111)="","",INDEX(기본자료!$C$2:$C$501,$AB111)))</f>
        <v/>
      </c>
      <c r="D111" s="10">
        <f>IF($AB111="","",IF(INDEX(기본자료!$J$2:$J$501,$AB111)="","",INDEX(기본자료!$J$2:$J$501,$AB111)))</f>
        <v/>
      </c>
      <c r="E111" s="11">
        <f>IF($AB111="","",IF(INDEX(기본자료!$K$2:$K$501,$AB111)="","",IF(NOT(ISNUMBER(INDEX(기본자료!$K$2:$K$501,$AB111))),INDEX(기본자료!$K$2:$K$501,$AB111),IF(INDEX(기본자료!$K$2:$K$501,$AB111)&lt;1000000,INDEX(기본자료!$K$2:$K$501,$AB111),IF(AND(INDEX(기본자료!$K$2:$K$501,$AB111)&gt;=10000101,INT(MOD(INDEX(기본자료!$K$2:$K$501,$AB111),10000)/100)&gt;=1,INT(MOD(INDEX(기본자료!$K$2:$K$501,$AB111),10000)/100)&lt;=12,MOD(INDEX(기본자료!$K$2:$K$501,$AB111),100)&gt;=1,MOD(INDEX(기본자료!$K$2:$K$501,$AB111),100)&lt;=31),DATE(INT(INDEX(기본자료!$K$2:$K$501,$AB111)/10000),INT(MOD(INDEX(기본자료!$K$2:$K$501,$AB111),10000)/100),MOD(INDEX(기본자료!$K$2:$K$501,$AB111),100)),INDEX(기본자료!$K$2:$K$501,$AB111)&amp;"")))))</f>
        <v/>
      </c>
      <c r="F111" s="10">
        <f>IF($AB111="","",IF(INDEX(기본자료!$D$2:$D$501,$AB111)="","",INDEX(기본자료!$D$2:$D$501,$AB111)))</f>
        <v/>
      </c>
      <c r="G111" s="10">
        <f>IF($AB111="","",IF(INDEX(기본자료!$E$2:$E$501,$AB111)="","",INDEX(기본자료!$E$2:$E$501,$AB111)))</f>
        <v/>
      </c>
      <c r="H111" s="10">
        <f>IF($AB111="","",IF(INDEX(기본자료!$F$2:$F$501,$AB111)="","",INDEX(기본자료!$F$2:$F$501,$AB111)))</f>
        <v/>
      </c>
      <c r="I111" s="11">
        <f>IF($AB111="","",IF(INDEX(기본자료!$G$2:$G$501,$AB111)="","",IF(NOT(ISNUMBER(INDEX(기본자료!$G$2:$G$501,$AB111))),INDEX(기본자료!$G$2:$G$501,$AB111),IF(INDEX(기본자료!$G$2:$G$501,$AB111)&lt;1000000,INDEX(기본자료!$G$2:$G$501,$AB111),IF(AND(INDEX(기본자료!$G$2:$G$501,$AB111)&gt;=10000101,INT(MOD(INDEX(기본자료!$G$2:$G$501,$AB111),10000)/100)&gt;=1,INT(MOD(INDEX(기본자료!$G$2:$G$501,$AB111),10000)/100)&lt;=12,MOD(INDEX(기본자료!$G$2:$G$501,$AB111),100)&gt;=1,MOD(INDEX(기본자료!$G$2:$G$501,$AB111),100)&lt;=31),DATE(INT(INDEX(기본자료!$G$2:$G$501,$AB111)/10000),INT(MOD(INDEX(기본자료!$G$2:$G$501,$AB111),10000)/100),MOD(INDEX(기본자료!$G$2:$G$501,$AB111),100)),INDEX(기본자료!$G$2:$G$501,$AB111)&amp;"")))))</f>
        <v/>
      </c>
      <c r="J111" s="10">
        <f>IF($AB111="","",IF(INDEX(기본자료!$H$2:$H$501,$AB111)="","",INDEX(기본자료!$H$2:$H$501,$AB111)))</f>
        <v/>
      </c>
      <c r="K111" s="10">
        <f>IF($AB111="","",IF(INDEX(기본자료!$I$2:$I$501,$AB111)="","",INDEX(기본자료!$I$2:$I$501,$AB111)))</f>
        <v/>
      </c>
      <c r="L111" s="10">
        <f>IF($AB111="","",IF(INDEX(기본자료!$A$2:$A$501,$AB111)="","",INDEX(기본자료!$A$2:$A$501,$AB111)))</f>
        <v/>
      </c>
      <c r="M111" s="15" t="n"/>
      <c r="N111" s="10">
        <f>IF($B111="","",IF(AND($U111="파견중",$Q111&lt;&gt;""),$Q111,IF(AND($AD111&lt;&gt;"",LEFT($AD111,1)&lt;&gt;"⚠"),LEFT($AD111,FIND(" ",$AD111)-1),IF($H111="","",IF(RIGHT($H111,2)="병원",$H111,$H111&amp;"병원")))))</f>
        <v/>
      </c>
      <c r="O111" s="10">
        <f>IF($B111="","",IF(AND($U111="파견중",$Q111&lt;&gt;""),IF($R111&lt;&gt;"",$R111,"파견과 미입력"),IF(AND($AD111&lt;&gt;"",LEFT($AD111,1)&lt;&gt;"⚠"),MID($AD111,FIND(" ",$AD111)+1,60),IF($F111="","",IF($F111="인턴","수련교육부(인턴)",$F111)))))</f>
        <v/>
      </c>
      <c r="P111" s="10">
        <f>IF($B111="","",IF($AK111&lt;&gt;"",IF(AND(TODAY()&gt;=INDEX(파견수련계획!$AB$4:$AB$203,$AK111),OR(NOT(ISNUMBER(INDEX(파견수련계획!$AC$4:$AC$203,$AK111))),TODAY()&lt;=INDEX(파견수련계획!$AC$4:$AC$203,$AK111))),"다기관",IF($AF111="","",INDEX(파견수련계획!$T$4:$T$203,$AF111))),IF($AF111="","",INDEX(파견수련계획!$T$4:$T$203,$AF111))))</f>
        <v/>
      </c>
      <c r="Q111" s="10">
        <f>IF($AF111="","",INDEX(파견수련계획!$S$4:$S$203,$AF111))</f>
        <v/>
      </c>
      <c r="R111" s="10">
        <f>IF($AF111="","",INDEX(파견수련계획!$U$4:$U$203,$AF111))</f>
        <v/>
      </c>
      <c r="S111" s="11">
        <f>IF($AF111="","",IF(INDEX(파견수련계획!$H$4:$H$203,$AF111)="","",INDEX(파견수련계획!$H$4:$H$203,$AF111)))</f>
        <v/>
      </c>
      <c r="T111" s="11">
        <f>IF($AF111="","",IF(INDEX(파견수련계획!$I$4:$I$203,$AF111)="","",INDEX(파견수련계획!$I$4:$I$203,$AF111)))</f>
        <v/>
      </c>
      <c r="U111" s="10">
        <f>IF($AF111="","",INDEX(파견수련계획!$X$4:$X$203,$AF111))</f>
        <v/>
      </c>
      <c r="V111" s="17">
        <f>IF($AF111="","",INDEX(파견수련계획!$V$4:$V$203,$AF111))</f>
        <v/>
      </c>
      <c r="W111" s="17">
        <f>IF(AND($U111="파견중",$T111&lt;&gt;""),$T111-TODAY(),"")</f>
        <v/>
      </c>
      <c r="X111" s="17">
        <f>IF(OR($B111="",TRIM($J111&amp;"")=""),"",SUMPRODUCT((파견수련계획!$Q$4:$Q$203=TRIM($J111&amp;""))*파견수련계획!$W$4:$W$203))</f>
        <v/>
      </c>
      <c r="Y111" s="10">
        <f>IF($B111="","",IF($AG111="","",IF(IF(TRIM($J111&amp;"")="",0,SUMPRODUCT((파견수련계획!$Q$4:$Q$203=TRIM($J111&amp;""))*파견수련계획!$AD$4:$AD$203))&gt;0,$AE111,IF(N($X111)&lt;=0,$AG111,IF($AH111+$AI111=DAY(EOMONTH(요약!$B$3,0)),IF(AND($AH111&gt;=요약!$E$3,$AI111&lt;요약!$E$3),"서울병원",IF(AND($AI111&gt;=요약!$E$3,$AH111&lt;요약!$E$3),"구리병원","⚠15일 판정불가(서울 "&amp;$AH111&amp;"일/구리 "&amp;$AI111&amp;"일)")),IF($AJ111="",$AE111,IF(INDEX(파견수련계획!$T$4:$T$203,$AJ111)="통합수련",INDEX(파견수련계획!$S$4:$S$203,$AJ111),$AE111)))))))</f>
        <v/>
      </c>
      <c r="Z111" s="19">
        <f>IF($B111="","",IF($AB111="","기본자료에 없는 사번",IF(COUNTIF($B$2:$B$201,$B111)&gt;1,"중복 사번",IF($AE111="","소속(입사장소) 입력",IF(IF(TRIM($J111&amp;"")="",0,SUMPRODUCT((파견수련계획!$Q$4:$Q$203=TRIM($J111&amp;""))*(파견수련계획!$AA$4:$AA$203&lt;&gt;"")))&gt;0,"파견수련계획 입력오류 확인",IF(LEFT($Y111,1)="⚠","서울·구리 15일 판정 불가(양쪽 모두 이상/미만)",IF(IF($AC111="",0,N(INDEX(인턴근무계획!$T$3:$T$202,$AC111)))&gt;0,"인턴계획 입력오류 확인",IF(AND($AC111&lt;&gt;"",$U111&lt;&gt;"파견중",$N111&lt;&gt;$AE111),"인턴 타지역 근무: 파견 여부 확인","정상"))))))))</f>
        <v/>
      </c>
      <c r="AA111" s="5" t="n"/>
      <c r="AB111" s="10">
        <f>IF($B111="","",IFERROR(MATCH($B111,기본자료!$B$2:$B$501,0),IFERROR(MATCH($B111&amp;"",기본자료!$B$2:$B$501,0),IFERROR(MATCH(VALUE($B111),기본자료!$B$2:$B$501,0),""))))</f>
        <v/>
      </c>
      <c r="AC111" s="10">
        <f>IF($B111="","",IFERROR(MATCH($B111,인턴근무계획!$D$3:$D$202,0),IFERROR(MATCH($B111&amp;"",인턴근무계획!$D$3:$D$202,0),IFERROR(MATCH(VALUE($B111),인턴근무계획!$D$3:$D$202,0),""))))</f>
        <v/>
      </c>
      <c r="AD111" s="10">
        <f>IF(OR($AC111="",인턴현황!$G$3=""),"",INDEX(인턴근무계획!$M$3:$R$202,$AC111,인턴현황!$G$3)&amp;"")</f>
        <v/>
      </c>
      <c r="AE111" s="10">
        <f>IF($B111="","",IF($M111&lt;&gt;"",$M111,IF($AF111&lt;&gt;"",IF(LEFT(INDEX(파견수련계획!$R$4:$R$203,$AF111),1)&lt;&gt;"⚠",INDEX(파견수련계획!$R$4:$R$203,$AF111),IF($H111="","",IF(RIGHT($H111,2)="병원",$H111,$H111&amp;"병원"))),IF($H111="","",IF(RIGHT($H111,2)="병원",$H111,$H111&amp;"병원")))))</f>
        <v/>
      </c>
      <c r="AF111" s="10">
        <f>IF(OR($B111="",TRIM($J111&amp;"")=""),"",IFERROR(MATCH(TRIM($J111&amp;"")&amp;"|파견중",파견수련계획!$Y$4:$Y$203,0),IFERROR(MATCH(TRIM($J111&amp;"")&amp;"|파견예정",파견수련계획!$Y$4:$Y$203,0),IFERROR(MATCH(TRIM($J111&amp;"")&amp;"|파견종료",파견수련계획!$Y$4:$Y$203,0),""))))</f>
        <v/>
      </c>
      <c r="AG111" s="10">
        <f>IF($B111="","",IF(AND(IF(OR($AC111="",인턴현황!$K$2=""),"",INDEX(인턴근무계획!$M$3:$R$202,$AC111,인턴현황!$K$2)&amp;"")&lt;&gt;"",LEFT(IF(OR($AC111="",인턴현황!$K$2=""),"",INDEX(인턴근무계획!$M$3:$R$202,$AC111,인턴현황!$K$2)&amp;""),1)&lt;&gt;"⚠"),LEFT(IF(OR($AC111="",인턴현황!$K$2=""),"",INDEX(인턴근무계획!$M$3:$R$202,$AC111,인턴현황!$K$2)&amp;""),FIND(" ",IF(OR($AC111="",인턴현황!$K$2=""),"",INDEX(인턴근무계획!$M$3:$R$202,$AC111,인턴현황!$K$2)&amp;""))-1),$AE111))</f>
        <v/>
      </c>
      <c r="AH111" s="17">
        <f>IF($B111="","",IF(TRIM($J111&amp;"")="",0,SUMPRODUCT((파견수련계획!$Q$4:$Q$203=TRIM($J111&amp;""))*(파견수련계획!$S$4:$S$203="서울병원")*파견수련계획!$W$4:$W$203))+IF($AG111="서울병원",MAX(0,DAY(EOMONTH(요약!$B$3,0))-N($X111)),0))</f>
        <v/>
      </c>
      <c r="AI111" s="17">
        <f>IF($B111="","",IF(TRIM($J111&amp;"")="",0,SUMPRODUCT((파견수련계획!$Q$4:$Q$203=TRIM($J111&amp;""))*(파견수련계획!$S$4:$S$203="구리병원")*파견수련계획!$W$4:$W$203))+IF($AG111="구리병원",MAX(0,DAY(EOMONTH(요약!$B$3,0))-N($X111)),0))</f>
        <v/>
      </c>
      <c r="AJ111" s="10">
        <f>IF(OR($B111="",TRIM($J111&amp;"")=""),"",IFERROR(MATCH(TRIM($J111&amp;"")&amp;"|월",파견수련계획!$Z$4:$Z$203,0),""))</f>
        <v/>
      </c>
      <c r="AK111" s="10">
        <f>IF(OR($B111="",TRIM($J111&amp;"")=""),"",IFERROR(MATCH(TRIM($J111&amp;"")&amp;"|다기관",파견수련계획!$AE$4:$AE$203,0),""))</f>
        <v/>
      </c>
      <c r="AL111" s="10">
        <f>IF($AK111="","","다기관 "&amp;TEXT(INDEX(파견수련계획!$AB$4:$AB$203,$AK111),"yyyy-mm-dd")&amp;"~"&amp;IF(ISNUMBER(INDEX(파견수련계획!$AC$4:$AC$203,$AK111)),TEXT(INDEX(파견수련계획!$AC$4:$AC$203,$AK111),"yyyy-mm-dd"),""))</f>
        <v/>
      </c>
    </row>
    <row r="112">
      <c r="A112" s="10">
        <f>IF(B112="","",ROW()-1)</f>
        <v/>
      </c>
      <c r="B112" s="18" t="n"/>
      <c r="C112" s="10">
        <f>IF($AB112="","",IF(INDEX(기본자료!$C$2:$C$501,$AB112)="","",INDEX(기본자료!$C$2:$C$501,$AB112)))</f>
        <v/>
      </c>
      <c r="D112" s="10">
        <f>IF($AB112="","",IF(INDEX(기본자료!$J$2:$J$501,$AB112)="","",INDEX(기본자료!$J$2:$J$501,$AB112)))</f>
        <v/>
      </c>
      <c r="E112" s="11">
        <f>IF($AB112="","",IF(INDEX(기본자료!$K$2:$K$501,$AB112)="","",IF(NOT(ISNUMBER(INDEX(기본자료!$K$2:$K$501,$AB112))),INDEX(기본자료!$K$2:$K$501,$AB112),IF(INDEX(기본자료!$K$2:$K$501,$AB112)&lt;1000000,INDEX(기본자료!$K$2:$K$501,$AB112),IF(AND(INDEX(기본자료!$K$2:$K$501,$AB112)&gt;=10000101,INT(MOD(INDEX(기본자료!$K$2:$K$501,$AB112),10000)/100)&gt;=1,INT(MOD(INDEX(기본자료!$K$2:$K$501,$AB112),10000)/100)&lt;=12,MOD(INDEX(기본자료!$K$2:$K$501,$AB112),100)&gt;=1,MOD(INDEX(기본자료!$K$2:$K$501,$AB112),100)&lt;=31),DATE(INT(INDEX(기본자료!$K$2:$K$501,$AB112)/10000),INT(MOD(INDEX(기본자료!$K$2:$K$501,$AB112),10000)/100),MOD(INDEX(기본자료!$K$2:$K$501,$AB112),100)),INDEX(기본자료!$K$2:$K$501,$AB112)&amp;"")))))</f>
        <v/>
      </c>
      <c r="F112" s="10">
        <f>IF($AB112="","",IF(INDEX(기본자료!$D$2:$D$501,$AB112)="","",INDEX(기본자료!$D$2:$D$501,$AB112)))</f>
        <v/>
      </c>
      <c r="G112" s="10">
        <f>IF($AB112="","",IF(INDEX(기본자료!$E$2:$E$501,$AB112)="","",INDEX(기본자료!$E$2:$E$501,$AB112)))</f>
        <v/>
      </c>
      <c r="H112" s="10">
        <f>IF($AB112="","",IF(INDEX(기본자료!$F$2:$F$501,$AB112)="","",INDEX(기본자료!$F$2:$F$501,$AB112)))</f>
        <v/>
      </c>
      <c r="I112" s="11">
        <f>IF($AB112="","",IF(INDEX(기본자료!$G$2:$G$501,$AB112)="","",IF(NOT(ISNUMBER(INDEX(기본자료!$G$2:$G$501,$AB112))),INDEX(기본자료!$G$2:$G$501,$AB112),IF(INDEX(기본자료!$G$2:$G$501,$AB112)&lt;1000000,INDEX(기본자료!$G$2:$G$501,$AB112),IF(AND(INDEX(기본자료!$G$2:$G$501,$AB112)&gt;=10000101,INT(MOD(INDEX(기본자료!$G$2:$G$501,$AB112),10000)/100)&gt;=1,INT(MOD(INDEX(기본자료!$G$2:$G$501,$AB112),10000)/100)&lt;=12,MOD(INDEX(기본자료!$G$2:$G$501,$AB112),100)&gt;=1,MOD(INDEX(기본자료!$G$2:$G$501,$AB112),100)&lt;=31),DATE(INT(INDEX(기본자료!$G$2:$G$501,$AB112)/10000),INT(MOD(INDEX(기본자료!$G$2:$G$501,$AB112),10000)/100),MOD(INDEX(기본자료!$G$2:$G$501,$AB112),100)),INDEX(기본자료!$G$2:$G$501,$AB112)&amp;"")))))</f>
        <v/>
      </c>
      <c r="J112" s="10">
        <f>IF($AB112="","",IF(INDEX(기본자료!$H$2:$H$501,$AB112)="","",INDEX(기본자료!$H$2:$H$501,$AB112)))</f>
        <v/>
      </c>
      <c r="K112" s="10">
        <f>IF($AB112="","",IF(INDEX(기본자료!$I$2:$I$501,$AB112)="","",INDEX(기본자료!$I$2:$I$501,$AB112)))</f>
        <v/>
      </c>
      <c r="L112" s="10">
        <f>IF($AB112="","",IF(INDEX(기본자료!$A$2:$A$501,$AB112)="","",INDEX(기본자료!$A$2:$A$501,$AB112)))</f>
        <v/>
      </c>
      <c r="M112" s="15" t="n"/>
      <c r="N112" s="10">
        <f>IF($B112="","",IF(AND($U112="파견중",$Q112&lt;&gt;""),$Q112,IF(AND($AD112&lt;&gt;"",LEFT($AD112,1)&lt;&gt;"⚠"),LEFT($AD112,FIND(" ",$AD112)-1),IF($H112="","",IF(RIGHT($H112,2)="병원",$H112,$H112&amp;"병원")))))</f>
        <v/>
      </c>
      <c r="O112" s="10">
        <f>IF($B112="","",IF(AND($U112="파견중",$Q112&lt;&gt;""),IF($R112&lt;&gt;"",$R112,"파견과 미입력"),IF(AND($AD112&lt;&gt;"",LEFT($AD112,1)&lt;&gt;"⚠"),MID($AD112,FIND(" ",$AD112)+1,60),IF($F112="","",IF($F112="인턴","수련교육부(인턴)",$F112)))))</f>
        <v/>
      </c>
      <c r="P112" s="10">
        <f>IF($B112="","",IF($AK112&lt;&gt;"",IF(AND(TODAY()&gt;=INDEX(파견수련계획!$AB$4:$AB$203,$AK112),OR(NOT(ISNUMBER(INDEX(파견수련계획!$AC$4:$AC$203,$AK112))),TODAY()&lt;=INDEX(파견수련계획!$AC$4:$AC$203,$AK112))),"다기관",IF($AF112="","",INDEX(파견수련계획!$T$4:$T$203,$AF112))),IF($AF112="","",INDEX(파견수련계획!$T$4:$T$203,$AF112))))</f>
        <v/>
      </c>
      <c r="Q112" s="10">
        <f>IF($AF112="","",INDEX(파견수련계획!$S$4:$S$203,$AF112))</f>
        <v/>
      </c>
      <c r="R112" s="10">
        <f>IF($AF112="","",INDEX(파견수련계획!$U$4:$U$203,$AF112))</f>
        <v/>
      </c>
      <c r="S112" s="11">
        <f>IF($AF112="","",IF(INDEX(파견수련계획!$H$4:$H$203,$AF112)="","",INDEX(파견수련계획!$H$4:$H$203,$AF112)))</f>
        <v/>
      </c>
      <c r="T112" s="11">
        <f>IF($AF112="","",IF(INDEX(파견수련계획!$I$4:$I$203,$AF112)="","",INDEX(파견수련계획!$I$4:$I$203,$AF112)))</f>
        <v/>
      </c>
      <c r="U112" s="10">
        <f>IF($AF112="","",INDEX(파견수련계획!$X$4:$X$203,$AF112))</f>
        <v/>
      </c>
      <c r="V112" s="17">
        <f>IF($AF112="","",INDEX(파견수련계획!$V$4:$V$203,$AF112))</f>
        <v/>
      </c>
      <c r="W112" s="17">
        <f>IF(AND($U112="파견중",$T112&lt;&gt;""),$T112-TODAY(),"")</f>
        <v/>
      </c>
      <c r="X112" s="17">
        <f>IF(OR($B112="",TRIM($J112&amp;"")=""),"",SUMPRODUCT((파견수련계획!$Q$4:$Q$203=TRIM($J112&amp;""))*파견수련계획!$W$4:$W$203))</f>
        <v/>
      </c>
      <c r="Y112" s="10">
        <f>IF($B112="","",IF($AG112="","",IF(IF(TRIM($J112&amp;"")="",0,SUMPRODUCT((파견수련계획!$Q$4:$Q$203=TRIM($J112&amp;""))*파견수련계획!$AD$4:$AD$203))&gt;0,$AE112,IF(N($X112)&lt;=0,$AG112,IF($AH112+$AI112=DAY(EOMONTH(요약!$B$3,0)),IF(AND($AH112&gt;=요약!$E$3,$AI112&lt;요약!$E$3),"서울병원",IF(AND($AI112&gt;=요약!$E$3,$AH112&lt;요약!$E$3),"구리병원","⚠15일 판정불가(서울 "&amp;$AH112&amp;"일/구리 "&amp;$AI112&amp;"일)")),IF($AJ112="",$AE112,IF(INDEX(파견수련계획!$T$4:$T$203,$AJ112)="통합수련",INDEX(파견수련계획!$S$4:$S$203,$AJ112),$AE112)))))))</f>
        <v/>
      </c>
      <c r="Z112" s="19">
        <f>IF($B112="","",IF($AB112="","기본자료에 없는 사번",IF(COUNTIF($B$2:$B$201,$B112)&gt;1,"중복 사번",IF($AE112="","소속(입사장소) 입력",IF(IF(TRIM($J112&amp;"")="",0,SUMPRODUCT((파견수련계획!$Q$4:$Q$203=TRIM($J112&amp;""))*(파견수련계획!$AA$4:$AA$203&lt;&gt;"")))&gt;0,"파견수련계획 입력오류 확인",IF(LEFT($Y112,1)="⚠","서울·구리 15일 판정 불가(양쪽 모두 이상/미만)",IF(IF($AC112="",0,N(INDEX(인턴근무계획!$T$3:$T$202,$AC112)))&gt;0,"인턴계획 입력오류 확인",IF(AND($AC112&lt;&gt;"",$U112&lt;&gt;"파견중",$N112&lt;&gt;$AE112),"인턴 타지역 근무: 파견 여부 확인","정상"))))))))</f>
        <v/>
      </c>
      <c r="AA112" s="5" t="n"/>
      <c r="AB112" s="10">
        <f>IF($B112="","",IFERROR(MATCH($B112,기본자료!$B$2:$B$501,0),IFERROR(MATCH($B112&amp;"",기본자료!$B$2:$B$501,0),IFERROR(MATCH(VALUE($B112),기본자료!$B$2:$B$501,0),""))))</f>
        <v/>
      </c>
      <c r="AC112" s="10">
        <f>IF($B112="","",IFERROR(MATCH($B112,인턴근무계획!$D$3:$D$202,0),IFERROR(MATCH($B112&amp;"",인턴근무계획!$D$3:$D$202,0),IFERROR(MATCH(VALUE($B112),인턴근무계획!$D$3:$D$202,0),""))))</f>
        <v/>
      </c>
      <c r="AD112" s="10">
        <f>IF(OR($AC112="",인턴현황!$G$3=""),"",INDEX(인턴근무계획!$M$3:$R$202,$AC112,인턴현황!$G$3)&amp;"")</f>
        <v/>
      </c>
      <c r="AE112" s="10">
        <f>IF($B112="","",IF($M112&lt;&gt;"",$M112,IF($AF112&lt;&gt;"",IF(LEFT(INDEX(파견수련계획!$R$4:$R$203,$AF112),1)&lt;&gt;"⚠",INDEX(파견수련계획!$R$4:$R$203,$AF112),IF($H112="","",IF(RIGHT($H112,2)="병원",$H112,$H112&amp;"병원"))),IF($H112="","",IF(RIGHT($H112,2)="병원",$H112,$H112&amp;"병원")))))</f>
        <v/>
      </c>
      <c r="AF112" s="10">
        <f>IF(OR($B112="",TRIM($J112&amp;"")=""),"",IFERROR(MATCH(TRIM($J112&amp;"")&amp;"|파견중",파견수련계획!$Y$4:$Y$203,0),IFERROR(MATCH(TRIM($J112&amp;"")&amp;"|파견예정",파견수련계획!$Y$4:$Y$203,0),IFERROR(MATCH(TRIM($J112&amp;"")&amp;"|파견종료",파견수련계획!$Y$4:$Y$203,0),""))))</f>
        <v/>
      </c>
      <c r="AG112" s="10">
        <f>IF($B112="","",IF(AND(IF(OR($AC112="",인턴현황!$K$2=""),"",INDEX(인턴근무계획!$M$3:$R$202,$AC112,인턴현황!$K$2)&amp;"")&lt;&gt;"",LEFT(IF(OR($AC112="",인턴현황!$K$2=""),"",INDEX(인턴근무계획!$M$3:$R$202,$AC112,인턴현황!$K$2)&amp;""),1)&lt;&gt;"⚠"),LEFT(IF(OR($AC112="",인턴현황!$K$2=""),"",INDEX(인턴근무계획!$M$3:$R$202,$AC112,인턴현황!$K$2)&amp;""),FIND(" ",IF(OR($AC112="",인턴현황!$K$2=""),"",INDEX(인턴근무계획!$M$3:$R$202,$AC112,인턴현황!$K$2)&amp;""))-1),$AE112))</f>
        <v/>
      </c>
      <c r="AH112" s="17">
        <f>IF($B112="","",IF(TRIM($J112&amp;"")="",0,SUMPRODUCT((파견수련계획!$Q$4:$Q$203=TRIM($J112&amp;""))*(파견수련계획!$S$4:$S$203="서울병원")*파견수련계획!$W$4:$W$203))+IF($AG112="서울병원",MAX(0,DAY(EOMONTH(요약!$B$3,0))-N($X112)),0))</f>
        <v/>
      </c>
      <c r="AI112" s="17">
        <f>IF($B112="","",IF(TRIM($J112&amp;"")="",0,SUMPRODUCT((파견수련계획!$Q$4:$Q$203=TRIM($J112&amp;""))*(파견수련계획!$S$4:$S$203="구리병원")*파견수련계획!$W$4:$W$203))+IF($AG112="구리병원",MAX(0,DAY(EOMONTH(요약!$B$3,0))-N($X112)),0))</f>
        <v/>
      </c>
      <c r="AJ112" s="10">
        <f>IF(OR($B112="",TRIM($J112&amp;"")=""),"",IFERROR(MATCH(TRIM($J112&amp;"")&amp;"|월",파견수련계획!$Z$4:$Z$203,0),""))</f>
        <v/>
      </c>
      <c r="AK112" s="10">
        <f>IF(OR($B112="",TRIM($J112&amp;"")=""),"",IFERROR(MATCH(TRIM($J112&amp;"")&amp;"|다기관",파견수련계획!$AE$4:$AE$203,0),""))</f>
        <v/>
      </c>
      <c r="AL112" s="10">
        <f>IF($AK112="","","다기관 "&amp;TEXT(INDEX(파견수련계획!$AB$4:$AB$203,$AK112),"yyyy-mm-dd")&amp;"~"&amp;IF(ISNUMBER(INDEX(파견수련계획!$AC$4:$AC$203,$AK112)),TEXT(INDEX(파견수련계획!$AC$4:$AC$203,$AK112),"yyyy-mm-dd"),""))</f>
        <v/>
      </c>
    </row>
    <row r="113">
      <c r="A113" s="10">
        <f>IF(B113="","",ROW()-1)</f>
        <v/>
      </c>
      <c r="B113" s="18" t="n"/>
      <c r="C113" s="10">
        <f>IF($AB113="","",IF(INDEX(기본자료!$C$2:$C$501,$AB113)="","",INDEX(기본자료!$C$2:$C$501,$AB113)))</f>
        <v/>
      </c>
      <c r="D113" s="10">
        <f>IF($AB113="","",IF(INDEX(기본자료!$J$2:$J$501,$AB113)="","",INDEX(기본자료!$J$2:$J$501,$AB113)))</f>
        <v/>
      </c>
      <c r="E113" s="11">
        <f>IF($AB113="","",IF(INDEX(기본자료!$K$2:$K$501,$AB113)="","",IF(NOT(ISNUMBER(INDEX(기본자료!$K$2:$K$501,$AB113))),INDEX(기본자료!$K$2:$K$501,$AB113),IF(INDEX(기본자료!$K$2:$K$501,$AB113)&lt;1000000,INDEX(기본자료!$K$2:$K$501,$AB113),IF(AND(INDEX(기본자료!$K$2:$K$501,$AB113)&gt;=10000101,INT(MOD(INDEX(기본자료!$K$2:$K$501,$AB113),10000)/100)&gt;=1,INT(MOD(INDEX(기본자료!$K$2:$K$501,$AB113),10000)/100)&lt;=12,MOD(INDEX(기본자료!$K$2:$K$501,$AB113),100)&gt;=1,MOD(INDEX(기본자료!$K$2:$K$501,$AB113),100)&lt;=31),DATE(INT(INDEX(기본자료!$K$2:$K$501,$AB113)/10000),INT(MOD(INDEX(기본자료!$K$2:$K$501,$AB113),10000)/100),MOD(INDEX(기본자료!$K$2:$K$501,$AB113),100)),INDEX(기본자료!$K$2:$K$501,$AB113)&amp;"")))))</f>
        <v/>
      </c>
      <c r="F113" s="10">
        <f>IF($AB113="","",IF(INDEX(기본자료!$D$2:$D$501,$AB113)="","",INDEX(기본자료!$D$2:$D$501,$AB113)))</f>
        <v/>
      </c>
      <c r="G113" s="10">
        <f>IF($AB113="","",IF(INDEX(기본자료!$E$2:$E$501,$AB113)="","",INDEX(기본자료!$E$2:$E$501,$AB113)))</f>
        <v/>
      </c>
      <c r="H113" s="10">
        <f>IF($AB113="","",IF(INDEX(기본자료!$F$2:$F$501,$AB113)="","",INDEX(기본자료!$F$2:$F$501,$AB113)))</f>
        <v/>
      </c>
      <c r="I113" s="11">
        <f>IF($AB113="","",IF(INDEX(기본자료!$G$2:$G$501,$AB113)="","",IF(NOT(ISNUMBER(INDEX(기본자료!$G$2:$G$501,$AB113))),INDEX(기본자료!$G$2:$G$501,$AB113),IF(INDEX(기본자료!$G$2:$G$501,$AB113)&lt;1000000,INDEX(기본자료!$G$2:$G$501,$AB113),IF(AND(INDEX(기본자료!$G$2:$G$501,$AB113)&gt;=10000101,INT(MOD(INDEX(기본자료!$G$2:$G$501,$AB113),10000)/100)&gt;=1,INT(MOD(INDEX(기본자료!$G$2:$G$501,$AB113),10000)/100)&lt;=12,MOD(INDEX(기본자료!$G$2:$G$501,$AB113),100)&gt;=1,MOD(INDEX(기본자료!$G$2:$G$501,$AB113),100)&lt;=31),DATE(INT(INDEX(기본자료!$G$2:$G$501,$AB113)/10000),INT(MOD(INDEX(기본자료!$G$2:$G$501,$AB113),10000)/100),MOD(INDEX(기본자료!$G$2:$G$501,$AB113),100)),INDEX(기본자료!$G$2:$G$501,$AB113)&amp;"")))))</f>
        <v/>
      </c>
      <c r="J113" s="10">
        <f>IF($AB113="","",IF(INDEX(기본자료!$H$2:$H$501,$AB113)="","",INDEX(기본자료!$H$2:$H$501,$AB113)))</f>
        <v/>
      </c>
      <c r="K113" s="10">
        <f>IF($AB113="","",IF(INDEX(기본자료!$I$2:$I$501,$AB113)="","",INDEX(기본자료!$I$2:$I$501,$AB113)))</f>
        <v/>
      </c>
      <c r="L113" s="10">
        <f>IF($AB113="","",IF(INDEX(기본자료!$A$2:$A$501,$AB113)="","",INDEX(기본자료!$A$2:$A$501,$AB113)))</f>
        <v/>
      </c>
      <c r="M113" s="15" t="n"/>
      <c r="N113" s="10">
        <f>IF($B113="","",IF(AND($U113="파견중",$Q113&lt;&gt;""),$Q113,IF(AND($AD113&lt;&gt;"",LEFT($AD113,1)&lt;&gt;"⚠"),LEFT($AD113,FIND(" ",$AD113)-1),IF($H113="","",IF(RIGHT($H113,2)="병원",$H113,$H113&amp;"병원")))))</f>
        <v/>
      </c>
      <c r="O113" s="10">
        <f>IF($B113="","",IF(AND($U113="파견중",$Q113&lt;&gt;""),IF($R113&lt;&gt;"",$R113,"파견과 미입력"),IF(AND($AD113&lt;&gt;"",LEFT($AD113,1)&lt;&gt;"⚠"),MID($AD113,FIND(" ",$AD113)+1,60),IF($F113="","",IF($F113="인턴","수련교육부(인턴)",$F113)))))</f>
        <v/>
      </c>
      <c r="P113" s="10">
        <f>IF($B113="","",IF($AK113&lt;&gt;"",IF(AND(TODAY()&gt;=INDEX(파견수련계획!$AB$4:$AB$203,$AK113),OR(NOT(ISNUMBER(INDEX(파견수련계획!$AC$4:$AC$203,$AK113))),TODAY()&lt;=INDEX(파견수련계획!$AC$4:$AC$203,$AK113))),"다기관",IF($AF113="","",INDEX(파견수련계획!$T$4:$T$203,$AF113))),IF($AF113="","",INDEX(파견수련계획!$T$4:$T$203,$AF113))))</f>
        <v/>
      </c>
      <c r="Q113" s="10">
        <f>IF($AF113="","",INDEX(파견수련계획!$S$4:$S$203,$AF113))</f>
        <v/>
      </c>
      <c r="R113" s="10">
        <f>IF($AF113="","",INDEX(파견수련계획!$U$4:$U$203,$AF113))</f>
        <v/>
      </c>
      <c r="S113" s="11">
        <f>IF($AF113="","",IF(INDEX(파견수련계획!$H$4:$H$203,$AF113)="","",INDEX(파견수련계획!$H$4:$H$203,$AF113)))</f>
        <v/>
      </c>
      <c r="T113" s="11">
        <f>IF($AF113="","",IF(INDEX(파견수련계획!$I$4:$I$203,$AF113)="","",INDEX(파견수련계획!$I$4:$I$203,$AF113)))</f>
        <v/>
      </c>
      <c r="U113" s="10">
        <f>IF($AF113="","",INDEX(파견수련계획!$X$4:$X$203,$AF113))</f>
        <v/>
      </c>
      <c r="V113" s="17">
        <f>IF($AF113="","",INDEX(파견수련계획!$V$4:$V$203,$AF113))</f>
        <v/>
      </c>
      <c r="W113" s="17">
        <f>IF(AND($U113="파견중",$T113&lt;&gt;""),$T113-TODAY(),"")</f>
        <v/>
      </c>
      <c r="X113" s="17">
        <f>IF(OR($B113="",TRIM($J113&amp;"")=""),"",SUMPRODUCT((파견수련계획!$Q$4:$Q$203=TRIM($J113&amp;""))*파견수련계획!$W$4:$W$203))</f>
        <v/>
      </c>
      <c r="Y113" s="10">
        <f>IF($B113="","",IF($AG113="","",IF(IF(TRIM($J113&amp;"")="",0,SUMPRODUCT((파견수련계획!$Q$4:$Q$203=TRIM($J113&amp;""))*파견수련계획!$AD$4:$AD$203))&gt;0,$AE113,IF(N($X113)&lt;=0,$AG113,IF($AH113+$AI113=DAY(EOMONTH(요약!$B$3,0)),IF(AND($AH113&gt;=요약!$E$3,$AI113&lt;요약!$E$3),"서울병원",IF(AND($AI113&gt;=요약!$E$3,$AH113&lt;요약!$E$3),"구리병원","⚠15일 판정불가(서울 "&amp;$AH113&amp;"일/구리 "&amp;$AI113&amp;"일)")),IF($AJ113="",$AE113,IF(INDEX(파견수련계획!$T$4:$T$203,$AJ113)="통합수련",INDEX(파견수련계획!$S$4:$S$203,$AJ113),$AE113)))))))</f>
        <v/>
      </c>
      <c r="Z113" s="19">
        <f>IF($B113="","",IF($AB113="","기본자료에 없는 사번",IF(COUNTIF($B$2:$B$201,$B113)&gt;1,"중복 사번",IF($AE113="","소속(입사장소) 입력",IF(IF(TRIM($J113&amp;"")="",0,SUMPRODUCT((파견수련계획!$Q$4:$Q$203=TRIM($J113&amp;""))*(파견수련계획!$AA$4:$AA$203&lt;&gt;"")))&gt;0,"파견수련계획 입력오류 확인",IF(LEFT($Y113,1)="⚠","서울·구리 15일 판정 불가(양쪽 모두 이상/미만)",IF(IF($AC113="",0,N(INDEX(인턴근무계획!$T$3:$T$202,$AC113)))&gt;0,"인턴계획 입력오류 확인",IF(AND($AC113&lt;&gt;"",$U113&lt;&gt;"파견중",$N113&lt;&gt;$AE113),"인턴 타지역 근무: 파견 여부 확인","정상"))))))))</f>
        <v/>
      </c>
      <c r="AA113" s="5" t="n"/>
      <c r="AB113" s="10">
        <f>IF($B113="","",IFERROR(MATCH($B113,기본자료!$B$2:$B$501,0),IFERROR(MATCH($B113&amp;"",기본자료!$B$2:$B$501,0),IFERROR(MATCH(VALUE($B113),기본자료!$B$2:$B$501,0),""))))</f>
        <v/>
      </c>
      <c r="AC113" s="10">
        <f>IF($B113="","",IFERROR(MATCH($B113,인턴근무계획!$D$3:$D$202,0),IFERROR(MATCH($B113&amp;"",인턴근무계획!$D$3:$D$202,0),IFERROR(MATCH(VALUE($B113),인턴근무계획!$D$3:$D$202,0),""))))</f>
        <v/>
      </c>
      <c r="AD113" s="10">
        <f>IF(OR($AC113="",인턴현황!$G$3=""),"",INDEX(인턴근무계획!$M$3:$R$202,$AC113,인턴현황!$G$3)&amp;"")</f>
        <v/>
      </c>
      <c r="AE113" s="10">
        <f>IF($B113="","",IF($M113&lt;&gt;"",$M113,IF($AF113&lt;&gt;"",IF(LEFT(INDEX(파견수련계획!$R$4:$R$203,$AF113),1)&lt;&gt;"⚠",INDEX(파견수련계획!$R$4:$R$203,$AF113),IF($H113="","",IF(RIGHT($H113,2)="병원",$H113,$H113&amp;"병원"))),IF($H113="","",IF(RIGHT($H113,2)="병원",$H113,$H113&amp;"병원")))))</f>
        <v/>
      </c>
      <c r="AF113" s="10">
        <f>IF(OR($B113="",TRIM($J113&amp;"")=""),"",IFERROR(MATCH(TRIM($J113&amp;"")&amp;"|파견중",파견수련계획!$Y$4:$Y$203,0),IFERROR(MATCH(TRIM($J113&amp;"")&amp;"|파견예정",파견수련계획!$Y$4:$Y$203,0),IFERROR(MATCH(TRIM($J113&amp;"")&amp;"|파견종료",파견수련계획!$Y$4:$Y$203,0),""))))</f>
        <v/>
      </c>
      <c r="AG113" s="10">
        <f>IF($B113="","",IF(AND(IF(OR($AC113="",인턴현황!$K$2=""),"",INDEX(인턴근무계획!$M$3:$R$202,$AC113,인턴현황!$K$2)&amp;"")&lt;&gt;"",LEFT(IF(OR($AC113="",인턴현황!$K$2=""),"",INDEX(인턴근무계획!$M$3:$R$202,$AC113,인턴현황!$K$2)&amp;""),1)&lt;&gt;"⚠"),LEFT(IF(OR($AC113="",인턴현황!$K$2=""),"",INDEX(인턴근무계획!$M$3:$R$202,$AC113,인턴현황!$K$2)&amp;""),FIND(" ",IF(OR($AC113="",인턴현황!$K$2=""),"",INDEX(인턴근무계획!$M$3:$R$202,$AC113,인턴현황!$K$2)&amp;""))-1),$AE113))</f>
        <v/>
      </c>
      <c r="AH113" s="17">
        <f>IF($B113="","",IF(TRIM($J113&amp;"")="",0,SUMPRODUCT((파견수련계획!$Q$4:$Q$203=TRIM($J113&amp;""))*(파견수련계획!$S$4:$S$203="서울병원")*파견수련계획!$W$4:$W$203))+IF($AG113="서울병원",MAX(0,DAY(EOMONTH(요약!$B$3,0))-N($X113)),0))</f>
        <v/>
      </c>
      <c r="AI113" s="17">
        <f>IF($B113="","",IF(TRIM($J113&amp;"")="",0,SUMPRODUCT((파견수련계획!$Q$4:$Q$203=TRIM($J113&amp;""))*(파견수련계획!$S$4:$S$203="구리병원")*파견수련계획!$W$4:$W$203))+IF($AG113="구리병원",MAX(0,DAY(EOMONTH(요약!$B$3,0))-N($X113)),0))</f>
        <v/>
      </c>
      <c r="AJ113" s="10">
        <f>IF(OR($B113="",TRIM($J113&amp;"")=""),"",IFERROR(MATCH(TRIM($J113&amp;"")&amp;"|월",파견수련계획!$Z$4:$Z$203,0),""))</f>
        <v/>
      </c>
      <c r="AK113" s="10">
        <f>IF(OR($B113="",TRIM($J113&amp;"")=""),"",IFERROR(MATCH(TRIM($J113&amp;"")&amp;"|다기관",파견수련계획!$AE$4:$AE$203,0),""))</f>
        <v/>
      </c>
      <c r="AL113" s="10">
        <f>IF($AK113="","","다기관 "&amp;TEXT(INDEX(파견수련계획!$AB$4:$AB$203,$AK113),"yyyy-mm-dd")&amp;"~"&amp;IF(ISNUMBER(INDEX(파견수련계획!$AC$4:$AC$203,$AK113)),TEXT(INDEX(파견수련계획!$AC$4:$AC$203,$AK113),"yyyy-mm-dd"),""))</f>
        <v/>
      </c>
    </row>
    <row r="114">
      <c r="A114" s="10">
        <f>IF(B114="","",ROW()-1)</f>
        <v/>
      </c>
      <c r="B114" s="18" t="n"/>
      <c r="C114" s="10">
        <f>IF($AB114="","",IF(INDEX(기본자료!$C$2:$C$501,$AB114)="","",INDEX(기본자료!$C$2:$C$501,$AB114)))</f>
        <v/>
      </c>
      <c r="D114" s="10">
        <f>IF($AB114="","",IF(INDEX(기본자료!$J$2:$J$501,$AB114)="","",INDEX(기본자료!$J$2:$J$501,$AB114)))</f>
        <v/>
      </c>
      <c r="E114" s="11">
        <f>IF($AB114="","",IF(INDEX(기본자료!$K$2:$K$501,$AB114)="","",IF(NOT(ISNUMBER(INDEX(기본자료!$K$2:$K$501,$AB114))),INDEX(기본자료!$K$2:$K$501,$AB114),IF(INDEX(기본자료!$K$2:$K$501,$AB114)&lt;1000000,INDEX(기본자료!$K$2:$K$501,$AB114),IF(AND(INDEX(기본자료!$K$2:$K$501,$AB114)&gt;=10000101,INT(MOD(INDEX(기본자료!$K$2:$K$501,$AB114),10000)/100)&gt;=1,INT(MOD(INDEX(기본자료!$K$2:$K$501,$AB114),10000)/100)&lt;=12,MOD(INDEX(기본자료!$K$2:$K$501,$AB114),100)&gt;=1,MOD(INDEX(기본자료!$K$2:$K$501,$AB114),100)&lt;=31),DATE(INT(INDEX(기본자료!$K$2:$K$501,$AB114)/10000),INT(MOD(INDEX(기본자료!$K$2:$K$501,$AB114),10000)/100),MOD(INDEX(기본자료!$K$2:$K$501,$AB114),100)),INDEX(기본자료!$K$2:$K$501,$AB114)&amp;"")))))</f>
        <v/>
      </c>
      <c r="F114" s="10">
        <f>IF($AB114="","",IF(INDEX(기본자료!$D$2:$D$501,$AB114)="","",INDEX(기본자료!$D$2:$D$501,$AB114)))</f>
        <v/>
      </c>
      <c r="G114" s="10">
        <f>IF($AB114="","",IF(INDEX(기본자료!$E$2:$E$501,$AB114)="","",INDEX(기본자료!$E$2:$E$501,$AB114)))</f>
        <v/>
      </c>
      <c r="H114" s="10">
        <f>IF($AB114="","",IF(INDEX(기본자료!$F$2:$F$501,$AB114)="","",INDEX(기본자료!$F$2:$F$501,$AB114)))</f>
        <v/>
      </c>
      <c r="I114" s="11">
        <f>IF($AB114="","",IF(INDEX(기본자료!$G$2:$G$501,$AB114)="","",IF(NOT(ISNUMBER(INDEX(기본자료!$G$2:$G$501,$AB114))),INDEX(기본자료!$G$2:$G$501,$AB114),IF(INDEX(기본자료!$G$2:$G$501,$AB114)&lt;1000000,INDEX(기본자료!$G$2:$G$501,$AB114),IF(AND(INDEX(기본자료!$G$2:$G$501,$AB114)&gt;=10000101,INT(MOD(INDEX(기본자료!$G$2:$G$501,$AB114),10000)/100)&gt;=1,INT(MOD(INDEX(기본자료!$G$2:$G$501,$AB114),10000)/100)&lt;=12,MOD(INDEX(기본자료!$G$2:$G$501,$AB114),100)&gt;=1,MOD(INDEX(기본자료!$G$2:$G$501,$AB114),100)&lt;=31),DATE(INT(INDEX(기본자료!$G$2:$G$501,$AB114)/10000),INT(MOD(INDEX(기본자료!$G$2:$G$501,$AB114),10000)/100),MOD(INDEX(기본자료!$G$2:$G$501,$AB114),100)),INDEX(기본자료!$G$2:$G$501,$AB114)&amp;"")))))</f>
        <v/>
      </c>
      <c r="J114" s="10">
        <f>IF($AB114="","",IF(INDEX(기본자료!$H$2:$H$501,$AB114)="","",INDEX(기본자료!$H$2:$H$501,$AB114)))</f>
        <v/>
      </c>
      <c r="K114" s="10">
        <f>IF($AB114="","",IF(INDEX(기본자료!$I$2:$I$501,$AB114)="","",INDEX(기본자료!$I$2:$I$501,$AB114)))</f>
        <v/>
      </c>
      <c r="L114" s="10">
        <f>IF($AB114="","",IF(INDEX(기본자료!$A$2:$A$501,$AB114)="","",INDEX(기본자료!$A$2:$A$501,$AB114)))</f>
        <v/>
      </c>
      <c r="M114" s="15" t="n"/>
      <c r="N114" s="10">
        <f>IF($B114="","",IF(AND($U114="파견중",$Q114&lt;&gt;""),$Q114,IF(AND($AD114&lt;&gt;"",LEFT($AD114,1)&lt;&gt;"⚠"),LEFT($AD114,FIND(" ",$AD114)-1),IF($H114="","",IF(RIGHT($H114,2)="병원",$H114,$H114&amp;"병원")))))</f>
        <v/>
      </c>
      <c r="O114" s="10">
        <f>IF($B114="","",IF(AND($U114="파견중",$Q114&lt;&gt;""),IF($R114&lt;&gt;"",$R114,"파견과 미입력"),IF(AND($AD114&lt;&gt;"",LEFT($AD114,1)&lt;&gt;"⚠"),MID($AD114,FIND(" ",$AD114)+1,60),IF($F114="","",IF($F114="인턴","수련교육부(인턴)",$F114)))))</f>
        <v/>
      </c>
      <c r="P114" s="10">
        <f>IF($B114="","",IF($AK114&lt;&gt;"",IF(AND(TODAY()&gt;=INDEX(파견수련계획!$AB$4:$AB$203,$AK114),OR(NOT(ISNUMBER(INDEX(파견수련계획!$AC$4:$AC$203,$AK114))),TODAY()&lt;=INDEX(파견수련계획!$AC$4:$AC$203,$AK114))),"다기관",IF($AF114="","",INDEX(파견수련계획!$T$4:$T$203,$AF114))),IF($AF114="","",INDEX(파견수련계획!$T$4:$T$203,$AF114))))</f>
        <v/>
      </c>
      <c r="Q114" s="10">
        <f>IF($AF114="","",INDEX(파견수련계획!$S$4:$S$203,$AF114))</f>
        <v/>
      </c>
      <c r="R114" s="10">
        <f>IF($AF114="","",INDEX(파견수련계획!$U$4:$U$203,$AF114))</f>
        <v/>
      </c>
      <c r="S114" s="11">
        <f>IF($AF114="","",IF(INDEX(파견수련계획!$H$4:$H$203,$AF114)="","",INDEX(파견수련계획!$H$4:$H$203,$AF114)))</f>
        <v/>
      </c>
      <c r="T114" s="11">
        <f>IF($AF114="","",IF(INDEX(파견수련계획!$I$4:$I$203,$AF114)="","",INDEX(파견수련계획!$I$4:$I$203,$AF114)))</f>
        <v/>
      </c>
      <c r="U114" s="10">
        <f>IF($AF114="","",INDEX(파견수련계획!$X$4:$X$203,$AF114))</f>
        <v/>
      </c>
      <c r="V114" s="17">
        <f>IF($AF114="","",INDEX(파견수련계획!$V$4:$V$203,$AF114))</f>
        <v/>
      </c>
      <c r="W114" s="17">
        <f>IF(AND($U114="파견중",$T114&lt;&gt;""),$T114-TODAY(),"")</f>
        <v/>
      </c>
      <c r="X114" s="17">
        <f>IF(OR($B114="",TRIM($J114&amp;"")=""),"",SUMPRODUCT((파견수련계획!$Q$4:$Q$203=TRIM($J114&amp;""))*파견수련계획!$W$4:$W$203))</f>
        <v/>
      </c>
      <c r="Y114" s="10">
        <f>IF($B114="","",IF($AG114="","",IF(IF(TRIM($J114&amp;"")="",0,SUMPRODUCT((파견수련계획!$Q$4:$Q$203=TRIM($J114&amp;""))*파견수련계획!$AD$4:$AD$203))&gt;0,$AE114,IF(N($X114)&lt;=0,$AG114,IF($AH114+$AI114=DAY(EOMONTH(요약!$B$3,0)),IF(AND($AH114&gt;=요약!$E$3,$AI114&lt;요약!$E$3),"서울병원",IF(AND($AI114&gt;=요약!$E$3,$AH114&lt;요약!$E$3),"구리병원","⚠15일 판정불가(서울 "&amp;$AH114&amp;"일/구리 "&amp;$AI114&amp;"일)")),IF($AJ114="",$AE114,IF(INDEX(파견수련계획!$T$4:$T$203,$AJ114)="통합수련",INDEX(파견수련계획!$S$4:$S$203,$AJ114),$AE114)))))))</f>
        <v/>
      </c>
      <c r="Z114" s="19">
        <f>IF($B114="","",IF($AB114="","기본자료에 없는 사번",IF(COUNTIF($B$2:$B$201,$B114)&gt;1,"중복 사번",IF($AE114="","소속(입사장소) 입력",IF(IF(TRIM($J114&amp;"")="",0,SUMPRODUCT((파견수련계획!$Q$4:$Q$203=TRIM($J114&amp;""))*(파견수련계획!$AA$4:$AA$203&lt;&gt;"")))&gt;0,"파견수련계획 입력오류 확인",IF(LEFT($Y114,1)="⚠","서울·구리 15일 판정 불가(양쪽 모두 이상/미만)",IF(IF($AC114="",0,N(INDEX(인턴근무계획!$T$3:$T$202,$AC114)))&gt;0,"인턴계획 입력오류 확인",IF(AND($AC114&lt;&gt;"",$U114&lt;&gt;"파견중",$N114&lt;&gt;$AE114),"인턴 타지역 근무: 파견 여부 확인","정상"))))))))</f>
        <v/>
      </c>
      <c r="AA114" s="5" t="n"/>
      <c r="AB114" s="10">
        <f>IF($B114="","",IFERROR(MATCH($B114,기본자료!$B$2:$B$501,0),IFERROR(MATCH($B114&amp;"",기본자료!$B$2:$B$501,0),IFERROR(MATCH(VALUE($B114),기본자료!$B$2:$B$501,0),""))))</f>
        <v/>
      </c>
      <c r="AC114" s="10">
        <f>IF($B114="","",IFERROR(MATCH($B114,인턴근무계획!$D$3:$D$202,0),IFERROR(MATCH($B114&amp;"",인턴근무계획!$D$3:$D$202,0),IFERROR(MATCH(VALUE($B114),인턴근무계획!$D$3:$D$202,0),""))))</f>
        <v/>
      </c>
      <c r="AD114" s="10">
        <f>IF(OR($AC114="",인턴현황!$G$3=""),"",INDEX(인턴근무계획!$M$3:$R$202,$AC114,인턴현황!$G$3)&amp;"")</f>
        <v/>
      </c>
      <c r="AE114" s="10">
        <f>IF($B114="","",IF($M114&lt;&gt;"",$M114,IF($AF114&lt;&gt;"",IF(LEFT(INDEX(파견수련계획!$R$4:$R$203,$AF114),1)&lt;&gt;"⚠",INDEX(파견수련계획!$R$4:$R$203,$AF114),IF($H114="","",IF(RIGHT($H114,2)="병원",$H114,$H114&amp;"병원"))),IF($H114="","",IF(RIGHT($H114,2)="병원",$H114,$H114&amp;"병원")))))</f>
        <v/>
      </c>
      <c r="AF114" s="10">
        <f>IF(OR($B114="",TRIM($J114&amp;"")=""),"",IFERROR(MATCH(TRIM($J114&amp;"")&amp;"|파견중",파견수련계획!$Y$4:$Y$203,0),IFERROR(MATCH(TRIM($J114&amp;"")&amp;"|파견예정",파견수련계획!$Y$4:$Y$203,0),IFERROR(MATCH(TRIM($J114&amp;"")&amp;"|파견종료",파견수련계획!$Y$4:$Y$203,0),""))))</f>
        <v/>
      </c>
      <c r="AG114" s="10">
        <f>IF($B114="","",IF(AND(IF(OR($AC114="",인턴현황!$K$2=""),"",INDEX(인턴근무계획!$M$3:$R$202,$AC114,인턴현황!$K$2)&amp;"")&lt;&gt;"",LEFT(IF(OR($AC114="",인턴현황!$K$2=""),"",INDEX(인턴근무계획!$M$3:$R$202,$AC114,인턴현황!$K$2)&amp;""),1)&lt;&gt;"⚠"),LEFT(IF(OR($AC114="",인턴현황!$K$2=""),"",INDEX(인턴근무계획!$M$3:$R$202,$AC114,인턴현황!$K$2)&amp;""),FIND(" ",IF(OR($AC114="",인턴현황!$K$2=""),"",INDEX(인턴근무계획!$M$3:$R$202,$AC114,인턴현황!$K$2)&amp;""))-1),$AE114))</f>
        <v/>
      </c>
      <c r="AH114" s="17">
        <f>IF($B114="","",IF(TRIM($J114&amp;"")="",0,SUMPRODUCT((파견수련계획!$Q$4:$Q$203=TRIM($J114&amp;""))*(파견수련계획!$S$4:$S$203="서울병원")*파견수련계획!$W$4:$W$203))+IF($AG114="서울병원",MAX(0,DAY(EOMONTH(요약!$B$3,0))-N($X114)),0))</f>
        <v/>
      </c>
      <c r="AI114" s="17">
        <f>IF($B114="","",IF(TRIM($J114&amp;"")="",0,SUMPRODUCT((파견수련계획!$Q$4:$Q$203=TRIM($J114&amp;""))*(파견수련계획!$S$4:$S$203="구리병원")*파견수련계획!$W$4:$W$203))+IF($AG114="구리병원",MAX(0,DAY(EOMONTH(요약!$B$3,0))-N($X114)),0))</f>
        <v/>
      </c>
      <c r="AJ114" s="10">
        <f>IF(OR($B114="",TRIM($J114&amp;"")=""),"",IFERROR(MATCH(TRIM($J114&amp;"")&amp;"|월",파견수련계획!$Z$4:$Z$203,0),""))</f>
        <v/>
      </c>
      <c r="AK114" s="10">
        <f>IF(OR($B114="",TRIM($J114&amp;"")=""),"",IFERROR(MATCH(TRIM($J114&amp;"")&amp;"|다기관",파견수련계획!$AE$4:$AE$203,0),""))</f>
        <v/>
      </c>
      <c r="AL114" s="10">
        <f>IF($AK114="","","다기관 "&amp;TEXT(INDEX(파견수련계획!$AB$4:$AB$203,$AK114),"yyyy-mm-dd")&amp;"~"&amp;IF(ISNUMBER(INDEX(파견수련계획!$AC$4:$AC$203,$AK114)),TEXT(INDEX(파견수련계획!$AC$4:$AC$203,$AK114),"yyyy-mm-dd"),""))</f>
        <v/>
      </c>
    </row>
    <row r="115">
      <c r="A115" s="10">
        <f>IF(B115="","",ROW()-1)</f>
        <v/>
      </c>
      <c r="B115" s="18" t="n"/>
      <c r="C115" s="10">
        <f>IF($AB115="","",IF(INDEX(기본자료!$C$2:$C$501,$AB115)="","",INDEX(기본자료!$C$2:$C$501,$AB115)))</f>
        <v/>
      </c>
      <c r="D115" s="10">
        <f>IF($AB115="","",IF(INDEX(기본자료!$J$2:$J$501,$AB115)="","",INDEX(기본자료!$J$2:$J$501,$AB115)))</f>
        <v/>
      </c>
      <c r="E115" s="11">
        <f>IF($AB115="","",IF(INDEX(기본자료!$K$2:$K$501,$AB115)="","",IF(NOT(ISNUMBER(INDEX(기본자료!$K$2:$K$501,$AB115))),INDEX(기본자료!$K$2:$K$501,$AB115),IF(INDEX(기본자료!$K$2:$K$501,$AB115)&lt;1000000,INDEX(기본자료!$K$2:$K$501,$AB115),IF(AND(INDEX(기본자료!$K$2:$K$501,$AB115)&gt;=10000101,INT(MOD(INDEX(기본자료!$K$2:$K$501,$AB115),10000)/100)&gt;=1,INT(MOD(INDEX(기본자료!$K$2:$K$501,$AB115),10000)/100)&lt;=12,MOD(INDEX(기본자료!$K$2:$K$501,$AB115),100)&gt;=1,MOD(INDEX(기본자료!$K$2:$K$501,$AB115),100)&lt;=31),DATE(INT(INDEX(기본자료!$K$2:$K$501,$AB115)/10000),INT(MOD(INDEX(기본자료!$K$2:$K$501,$AB115),10000)/100),MOD(INDEX(기본자료!$K$2:$K$501,$AB115),100)),INDEX(기본자료!$K$2:$K$501,$AB115)&amp;"")))))</f>
        <v/>
      </c>
      <c r="F115" s="10">
        <f>IF($AB115="","",IF(INDEX(기본자료!$D$2:$D$501,$AB115)="","",INDEX(기본자료!$D$2:$D$501,$AB115)))</f>
        <v/>
      </c>
      <c r="G115" s="10">
        <f>IF($AB115="","",IF(INDEX(기본자료!$E$2:$E$501,$AB115)="","",INDEX(기본자료!$E$2:$E$501,$AB115)))</f>
        <v/>
      </c>
      <c r="H115" s="10">
        <f>IF($AB115="","",IF(INDEX(기본자료!$F$2:$F$501,$AB115)="","",INDEX(기본자료!$F$2:$F$501,$AB115)))</f>
        <v/>
      </c>
      <c r="I115" s="11">
        <f>IF($AB115="","",IF(INDEX(기본자료!$G$2:$G$501,$AB115)="","",IF(NOT(ISNUMBER(INDEX(기본자료!$G$2:$G$501,$AB115))),INDEX(기본자료!$G$2:$G$501,$AB115),IF(INDEX(기본자료!$G$2:$G$501,$AB115)&lt;1000000,INDEX(기본자료!$G$2:$G$501,$AB115),IF(AND(INDEX(기본자료!$G$2:$G$501,$AB115)&gt;=10000101,INT(MOD(INDEX(기본자료!$G$2:$G$501,$AB115),10000)/100)&gt;=1,INT(MOD(INDEX(기본자료!$G$2:$G$501,$AB115),10000)/100)&lt;=12,MOD(INDEX(기본자료!$G$2:$G$501,$AB115),100)&gt;=1,MOD(INDEX(기본자료!$G$2:$G$501,$AB115),100)&lt;=31),DATE(INT(INDEX(기본자료!$G$2:$G$501,$AB115)/10000),INT(MOD(INDEX(기본자료!$G$2:$G$501,$AB115),10000)/100),MOD(INDEX(기본자료!$G$2:$G$501,$AB115),100)),INDEX(기본자료!$G$2:$G$501,$AB115)&amp;"")))))</f>
        <v/>
      </c>
      <c r="J115" s="10">
        <f>IF($AB115="","",IF(INDEX(기본자료!$H$2:$H$501,$AB115)="","",INDEX(기본자료!$H$2:$H$501,$AB115)))</f>
        <v/>
      </c>
      <c r="K115" s="10">
        <f>IF($AB115="","",IF(INDEX(기본자료!$I$2:$I$501,$AB115)="","",INDEX(기본자료!$I$2:$I$501,$AB115)))</f>
        <v/>
      </c>
      <c r="L115" s="10">
        <f>IF($AB115="","",IF(INDEX(기본자료!$A$2:$A$501,$AB115)="","",INDEX(기본자료!$A$2:$A$501,$AB115)))</f>
        <v/>
      </c>
      <c r="M115" s="15" t="n"/>
      <c r="N115" s="10">
        <f>IF($B115="","",IF(AND($U115="파견중",$Q115&lt;&gt;""),$Q115,IF(AND($AD115&lt;&gt;"",LEFT($AD115,1)&lt;&gt;"⚠"),LEFT($AD115,FIND(" ",$AD115)-1),IF($H115="","",IF(RIGHT($H115,2)="병원",$H115,$H115&amp;"병원")))))</f>
        <v/>
      </c>
      <c r="O115" s="10">
        <f>IF($B115="","",IF(AND($U115="파견중",$Q115&lt;&gt;""),IF($R115&lt;&gt;"",$R115,"파견과 미입력"),IF(AND($AD115&lt;&gt;"",LEFT($AD115,1)&lt;&gt;"⚠"),MID($AD115,FIND(" ",$AD115)+1,60),IF($F115="","",IF($F115="인턴","수련교육부(인턴)",$F115)))))</f>
        <v/>
      </c>
      <c r="P115" s="10">
        <f>IF($B115="","",IF($AK115&lt;&gt;"",IF(AND(TODAY()&gt;=INDEX(파견수련계획!$AB$4:$AB$203,$AK115),OR(NOT(ISNUMBER(INDEX(파견수련계획!$AC$4:$AC$203,$AK115))),TODAY()&lt;=INDEX(파견수련계획!$AC$4:$AC$203,$AK115))),"다기관",IF($AF115="","",INDEX(파견수련계획!$T$4:$T$203,$AF115))),IF($AF115="","",INDEX(파견수련계획!$T$4:$T$203,$AF115))))</f>
        <v/>
      </c>
      <c r="Q115" s="10">
        <f>IF($AF115="","",INDEX(파견수련계획!$S$4:$S$203,$AF115))</f>
        <v/>
      </c>
      <c r="R115" s="10">
        <f>IF($AF115="","",INDEX(파견수련계획!$U$4:$U$203,$AF115))</f>
        <v/>
      </c>
      <c r="S115" s="11">
        <f>IF($AF115="","",IF(INDEX(파견수련계획!$H$4:$H$203,$AF115)="","",INDEX(파견수련계획!$H$4:$H$203,$AF115)))</f>
        <v/>
      </c>
      <c r="T115" s="11">
        <f>IF($AF115="","",IF(INDEX(파견수련계획!$I$4:$I$203,$AF115)="","",INDEX(파견수련계획!$I$4:$I$203,$AF115)))</f>
        <v/>
      </c>
      <c r="U115" s="10">
        <f>IF($AF115="","",INDEX(파견수련계획!$X$4:$X$203,$AF115))</f>
        <v/>
      </c>
      <c r="V115" s="17">
        <f>IF($AF115="","",INDEX(파견수련계획!$V$4:$V$203,$AF115))</f>
        <v/>
      </c>
      <c r="W115" s="17">
        <f>IF(AND($U115="파견중",$T115&lt;&gt;""),$T115-TODAY(),"")</f>
        <v/>
      </c>
      <c r="X115" s="17">
        <f>IF(OR($B115="",TRIM($J115&amp;"")=""),"",SUMPRODUCT((파견수련계획!$Q$4:$Q$203=TRIM($J115&amp;""))*파견수련계획!$W$4:$W$203))</f>
        <v/>
      </c>
      <c r="Y115" s="10">
        <f>IF($B115="","",IF($AG115="","",IF(IF(TRIM($J115&amp;"")="",0,SUMPRODUCT((파견수련계획!$Q$4:$Q$203=TRIM($J115&amp;""))*파견수련계획!$AD$4:$AD$203))&gt;0,$AE115,IF(N($X115)&lt;=0,$AG115,IF($AH115+$AI115=DAY(EOMONTH(요약!$B$3,0)),IF(AND($AH115&gt;=요약!$E$3,$AI115&lt;요약!$E$3),"서울병원",IF(AND($AI115&gt;=요약!$E$3,$AH115&lt;요약!$E$3),"구리병원","⚠15일 판정불가(서울 "&amp;$AH115&amp;"일/구리 "&amp;$AI115&amp;"일)")),IF($AJ115="",$AE115,IF(INDEX(파견수련계획!$T$4:$T$203,$AJ115)="통합수련",INDEX(파견수련계획!$S$4:$S$203,$AJ115),$AE115)))))))</f>
        <v/>
      </c>
      <c r="Z115" s="19">
        <f>IF($B115="","",IF($AB115="","기본자료에 없는 사번",IF(COUNTIF($B$2:$B$201,$B115)&gt;1,"중복 사번",IF($AE115="","소속(입사장소) 입력",IF(IF(TRIM($J115&amp;"")="",0,SUMPRODUCT((파견수련계획!$Q$4:$Q$203=TRIM($J115&amp;""))*(파견수련계획!$AA$4:$AA$203&lt;&gt;"")))&gt;0,"파견수련계획 입력오류 확인",IF(LEFT($Y115,1)="⚠","서울·구리 15일 판정 불가(양쪽 모두 이상/미만)",IF(IF($AC115="",0,N(INDEX(인턴근무계획!$T$3:$T$202,$AC115)))&gt;0,"인턴계획 입력오류 확인",IF(AND($AC115&lt;&gt;"",$U115&lt;&gt;"파견중",$N115&lt;&gt;$AE115),"인턴 타지역 근무: 파견 여부 확인","정상"))))))))</f>
        <v/>
      </c>
      <c r="AA115" s="5" t="n"/>
      <c r="AB115" s="10">
        <f>IF($B115="","",IFERROR(MATCH($B115,기본자료!$B$2:$B$501,0),IFERROR(MATCH($B115&amp;"",기본자료!$B$2:$B$501,0),IFERROR(MATCH(VALUE($B115),기본자료!$B$2:$B$501,0),""))))</f>
        <v/>
      </c>
      <c r="AC115" s="10">
        <f>IF($B115="","",IFERROR(MATCH($B115,인턴근무계획!$D$3:$D$202,0),IFERROR(MATCH($B115&amp;"",인턴근무계획!$D$3:$D$202,0),IFERROR(MATCH(VALUE($B115),인턴근무계획!$D$3:$D$202,0),""))))</f>
        <v/>
      </c>
      <c r="AD115" s="10">
        <f>IF(OR($AC115="",인턴현황!$G$3=""),"",INDEX(인턴근무계획!$M$3:$R$202,$AC115,인턴현황!$G$3)&amp;"")</f>
        <v/>
      </c>
      <c r="AE115" s="10">
        <f>IF($B115="","",IF($M115&lt;&gt;"",$M115,IF($AF115&lt;&gt;"",IF(LEFT(INDEX(파견수련계획!$R$4:$R$203,$AF115),1)&lt;&gt;"⚠",INDEX(파견수련계획!$R$4:$R$203,$AF115),IF($H115="","",IF(RIGHT($H115,2)="병원",$H115,$H115&amp;"병원"))),IF($H115="","",IF(RIGHT($H115,2)="병원",$H115,$H115&amp;"병원")))))</f>
        <v/>
      </c>
      <c r="AF115" s="10">
        <f>IF(OR($B115="",TRIM($J115&amp;"")=""),"",IFERROR(MATCH(TRIM($J115&amp;"")&amp;"|파견중",파견수련계획!$Y$4:$Y$203,0),IFERROR(MATCH(TRIM($J115&amp;"")&amp;"|파견예정",파견수련계획!$Y$4:$Y$203,0),IFERROR(MATCH(TRIM($J115&amp;"")&amp;"|파견종료",파견수련계획!$Y$4:$Y$203,0),""))))</f>
        <v/>
      </c>
      <c r="AG115" s="10">
        <f>IF($B115="","",IF(AND(IF(OR($AC115="",인턴현황!$K$2=""),"",INDEX(인턴근무계획!$M$3:$R$202,$AC115,인턴현황!$K$2)&amp;"")&lt;&gt;"",LEFT(IF(OR($AC115="",인턴현황!$K$2=""),"",INDEX(인턴근무계획!$M$3:$R$202,$AC115,인턴현황!$K$2)&amp;""),1)&lt;&gt;"⚠"),LEFT(IF(OR($AC115="",인턴현황!$K$2=""),"",INDEX(인턴근무계획!$M$3:$R$202,$AC115,인턴현황!$K$2)&amp;""),FIND(" ",IF(OR($AC115="",인턴현황!$K$2=""),"",INDEX(인턴근무계획!$M$3:$R$202,$AC115,인턴현황!$K$2)&amp;""))-1),$AE115))</f>
        <v/>
      </c>
      <c r="AH115" s="17">
        <f>IF($B115="","",IF(TRIM($J115&amp;"")="",0,SUMPRODUCT((파견수련계획!$Q$4:$Q$203=TRIM($J115&amp;""))*(파견수련계획!$S$4:$S$203="서울병원")*파견수련계획!$W$4:$W$203))+IF($AG115="서울병원",MAX(0,DAY(EOMONTH(요약!$B$3,0))-N($X115)),0))</f>
        <v/>
      </c>
      <c r="AI115" s="17">
        <f>IF($B115="","",IF(TRIM($J115&amp;"")="",0,SUMPRODUCT((파견수련계획!$Q$4:$Q$203=TRIM($J115&amp;""))*(파견수련계획!$S$4:$S$203="구리병원")*파견수련계획!$W$4:$W$203))+IF($AG115="구리병원",MAX(0,DAY(EOMONTH(요약!$B$3,0))-N($X115)),0))</f>
        <v/>
      </c>
      <c r="AJ115" s="10">
        <f>IF(OR($B115="",TRIM($J115&amp;"")=""),"",IFERROR(MATCH(TRIM($J115&amp;"")&amp;"|월",파견수련계획!$Z$4:$Z$203,0),""))</f>
        <v/>
      </c>
      <c r="AK115" s="10">
        <f>IF(OR($B115="",TRIM($J115&amp;"")=""),"",IFERROR(MATCH(TRIM($J115&amp;"")&amp;"|다기관",파견수련계획!$AE$4:$AE$203,0),""))</f>
        <v/>
      </c>
      <c r="AL115" s="10">
        <f>IF($AK115="","","다기관 "&amp;TEXT(INDEX(파견수련계획!$AB$4:$AB$203,$AK115),"yyyy-mm-dd")&amp;"~"&amp;IF(ISNUMBER(INDEX(파견수련계획!$AC$4:$AC$203,$AK115)),TEXT(INDEX(파견수련계획!$AC$4:$AC$203,$AK115),"yyyy-mm-dd"),""))</f>
        <v/>
      </c>
    </row>
    <row r="116">
      <c r="A116" s="10">
        <f>IF(B116="","",ROW()-1)</f>
        <v/>
      </c>
      <c r="B116" s="18" t="n"/>
      <c r="C116" s="10">
        <f>IF($AB116="","",IF(INDEX(기본자료!$C$2:$C$501,$AB116)="","",INDEX(기본자료!$C$2:$C$501,$AB116)))</f>
        <v/>
      </c>
      <c r="D116" s="10">
        <f>IF($AB116="","",IF(INDEX(기본자료!$J$2:$J$501,$AB116)="","",INDEX(기본자료!$J$2:$J$501,$AB116)))</f>
        <v/>
      </c>
      <c r="E116" s="11">
        <f>IF($AB116="","",IF(INDEX(기본자료!$K$2:$K$501,$AB116)="","",IF(NOT(ISNUMBER(INDEX(기본자료!$K$2:$K$501,$AB116))),INDEX(기본자료!$K$2:$K$501,$AB116),IF(INDEX(기본자료!$K$2:$K$501,$AB116)&lt;1000000,INDEX(기본자료!$K$2:$K$501,$AB116),IF(AND(INDEX(기본자료!$K$2:$K$501,$AB116)&gt;=10000101,INT(MOD(INDEX(기본자료!$K$2:$K$501,$AB116),10000)/100)&gt;=1,INT(MOD(INDEX(기본자료!$K$2:$K$501,$AB116),10000)/100)&lt;=12,MOD(INDEX(기본자료!$K$2:$K$501,$AB116),100)&gt;=1,MOD(INDEX(기본자료!$K$2:$K$501,$AB116),100)&lt;=31),DATE(INT(INDEX(기본자료!$K$2:$K$501,$AB116)/10000),INT(MOD(INDEX(기본자료!$K$2:$K$501,$AB116),10000)/100),MOD(INDEX(기본자료!$K$2:$K$501,$AB116),100)),INDEX(기본자료!$K$2:$K$501,$AB116)&amp;"")))))</f>
        <v/>
      </c>
      <c r="F116" s="10">
        <f>IF($AB116="","",IF(INDEX(기본자료!$D$2:$D$501,$AB116)="","",INDEX(기본자료!$D$2:$D$501,$AB116)))</f>
        <v/>
      </c>
      <c r="G116" s="10">
        <f>IF($AB116="","",IF(INDEX(기본자료!$E$2:$E$501,$AB116)="","",INDEX(기본자료!$E$2:$E$501,$AB116)))</f>
        <v/>
      </c>
      <c r="H116" s="10">
        <f>IF($AB116="","",IF(INDEX(기본자료!$F$2:$F$501,$AB116)="","",INDEX(기본자료!$F$2:$F$501,$AB116)))</f>
        <v/>
      </c>
      <c r="I116" s="11">
        <f>IF($AB116="","",IF(INDEX(기본자료!$G$2:$G$501,$AB116)="","",IF(NOT(ISNUMBER(INDEX(기본자료!$G$2:$G$501,$AB116))),INDEX(기본자료!$G$2:$G$501,$AB116),IF(INDEX(기본자료!$G$2:$G$501,$AB116)&lt;1000000,INDEX(기본자료!$G$2:$G$501,$AB116),IF(AND(INDEX(기본자료!$G$2:$G$501,$AB116)&gt;=10000101,INT(MOD(INDEX(기본자료!$G$2:$G$501,$AB116),10000)/100)&gt;=1,INT(MOD(INDEX(기본자료!$G$2:$G$501,$AB116),10000)/100)&lt;=12,MOD(INDEX(기본자료!$G$2:$G$501,$AB116),100)&gt;=1,MOD(INDEX(기본자료!$G$2:$G$501,$AB116),100)&lt;=31),DATE(INT(INDEX(기본자료!$G$2:$G$501,$AB116)/10000),INT(MOD(INDEX(기본자료!$G$2:$G$501,$AB116),10000)/100),MOD(INDEX(기본자료!$G$2:$G$501,$AB116),100)),INDEX(기본자료!$G$2:$G$501,$AB116)&amp;"")))))</f>
        <v/>
      </c>
      <c r="J116" s="10">
        <f>IF($AB116="","",IF(INDEX(기본자료!$H$2:$H$501,$AB116)="","",INDEX(기본자료!$H$2:$H$501,$AB116)))</f>
        <v/>
      </c>
      <c r="K116" s="10">
        <f>IF($AB116="","",IF(INDEX(기본자료!$I$2:$I$501,$AB116)="","",INDEX(기본자료!$I$2:$I$501,$AB116)))</f>
        <v/>
      </c>
      <c r="L116" s="10">
        <f>IF($AB116="","",IF(INDEX(기본자료!$A$2:$A$501,$AB116)="","",INDEX(기본자료!$A$2:$A$501,$AB116)))</f>
        <v/>
      </c>
      <c r="M116" s="15" t="n"/>
      <c r="N116" s="10">
        <f>IF($B116="","",IF(AND($U116="파견중",$Q116&lt;&gt;""),$Q116,IF(AND($AD116&lt;&gt;"",LEFT($AD116,1)&lt;&gt;"⚠"),LEFT($AD116,FIND(" ",$AD116)-1),IF($H116="","",IF(RIGHT($H116,2)="병원",$H116,$H116&amp;"병원")))))</f>
        <v/>
      </c>
      <c r="O116" s="10">
        <f>IF($B116="","",IF(AND($U116="파견중",$Q116&lt;&gt;""),IF($R116&lt;&gt;"",$R116,"파견과 미입력"),IF(AND($AD116&lt;&gt;"",LEFT($AD116,1)&lt;&gt;"⚠"),MID($AD116,FIND(" ",$AD116)+1,60),IF($F116="","",IF($F116="인턴","수련교육부(인턴)",$F116)))))</f>
        <v/>
      </c>
      <c r="P116" s="10">
        <f>IF($B116="","",IF($AK116&lt;&gt;"",IF(AND(TODAY()&gt;=INDEX(파견수련계획!$AB$4:$AB$203,$AK116),OR(NOT(ISNUMBER(INDEX(파견수련계획!$AC$4:$AC$203,$AK116))),TODAY()&lt;=INDEX(파견수련계획!$AC$4:$AC$203,$AK116))),"다기관",IF($AF116="","",INDEX(파견수련계획!$T$4:$T$203,$AF116))),IF($AF116="","",INDEX(파견수련계획!$T$4:$T$203,$AF116))))</f>
        <v/>
      </c>
      <c r="Q116" s="10">
        <f>IF($AF116="","",INDEX(파견수련계획!$S$4:$S$203,$AF116))</f>
        <v/>
      </c>
      <c r="R116" s="10">
        <f>IF($AF116="","",INDEX(파견수련계획!$U$4:$U$203,$AF116))</f>
        <v/>
      </c>
      <c r="S116" s="11">
        <f>IF($AF116="","",IF(INDEX(파견수련계획!$H$4:$H$203,$AF116)="","",INDEX(파견수련계획!$H$4:$H$203,$AF116)))</f>
        <v/>
      </c>
      <c r="T116" s="11">
        <f>IF($AF116="","",IF(INDEX(파견수련계획!$I$4:$I$203,$AF116)="","",INDEX(파견수련계획!$I$4:$I$203,$AF116)))</f>
        <v/>
      </c>
      <c r="U116" s="10">
        <f>IF($AF116="","",INDEX(파견수련계획!$X$4:$X$203,$AF116))</f>
        <v/>
      </c>
      <c r="V116" s="17">
        <f>IF($AF116="","",INDEX(파견수련계획!$V$4:$V$203,$AF116))</f>
        <v/>
      </c>
      <c r="W116" s="17">
        <f>IF(AND($U116="파견중",$T116&lt;&gt;""),$T116-TODAY(),"")</f>
        <v/>
      </c>
      <c r="X116" s="17">
        <f>IF(OR($B116="",TRIM($J116&amp;"")=""),"",SUMPRODUCT((파견수련계획!$Q$4:$Q$203=TRIM($J116&amp;""))*파견수련계획!$W$4:$W$203))</f>
        <v/>
      </c>
      <c r="Y116" s="10">
        <f>IF($B116="","",IF($AG116="","",IF(IF(TRIM($J116&amp;"")="",0,SUMPRODUCT((파견수련계획!$Q$4:$Q$203=TRIM($J116&amp;""))*파견수련계획!$AD$4:$AD$203))&gt;0,$AE116,IF(N($X116)&lt;=0,$AG116,IF($AH116+$AI116=DAY(EOMONTH(요약!$B$3,0)),IF(AND($AH116&gt;=요약!$E$3,$AI116&lt;요약!$E$3),"서울병원",IF(AND($AI116&gt;=요약!$E$3,$AH116&lt;요약!$E$3),"구리병원","⚠15일 판정불가(서울 "&amp;$AH116&amp;"일/구리 "&amp;$AI116&amp;"일)")),IF($AJ116="",$AE116,IF(INDEX(파견수련계획!$T$4:$T$203,$AJ116)="통합수련",INDEX(파견수련계획!$S$4:$S$203,$AJ116),$AE116)))))))</f>
        <v/>
      </c>
      <c r="Z116" s="19">
        <f>IF($B116="","",IF($AB116="","기본자료에 없는 사번",IF(COUNTIF($B$2:$B$201,$B116)&gt;1,"중복 사번",IF($AE116="","소속(입사장소) 입력",IF(IF(TRIM($J116&amp;"")="",0,SUMPRODUCT((파견수련계획!$Q$4:$Q$203=TRIM($J116&amp;""))*(파견수련계획!$AA$4:$AA$203&lt;&gt;"")))&gt;0,"파견수련계획 입력오류 확인",IF(LEFT($Y116,1)="⚠","서울·구리 15일 판정 불가(양쪽 모두 이상/미만)",IF(IF($AC116="",0,N(INDEX(인턴근무계획!$T$3:$T$202,$AC116)))&gt;0,"인턴계획 입력오류 확인",IF(AND($AC116&lt;&gt;"",$U116&lt;&gt;"파견중",$N116&lt;&gt;$AE116),"인턴 타지역 근무: 파견 여부 확인","정상"))))))))</f>
        <v/>
      </c>
      <c r="AA116" s="5" t="n"/>
      <c r="AB116" s="10">
        <f>IF($B116="","",IFERROR(MATCH($B116,기본자료!$B$2:$B$501,0),IFERROR(MATCH($B116&amp;"",기본자료!$B$2:$B$501,0),IFERROR(MATCH(VALUE($B116),기본자료!$B$2:$B$501,0),""))))</f>
        <v/>
      </c>
      <c r="AC116" s="10">
        <f>IF($B116="","",IFERROR(MATCH($B116,인턴근무계획!$D$3:$D$202,0),IFERROR(MATCH($B116&amp;"",인턴근무계획!$D$3:$D$202,0),IFERROR(MATCH(VALUE($B116),인턴근무계획!$D$3:$D$202,0),""))))</f>
        <v/>
      </c>
      <c r="AD116" s="10">
        <f>IF(OR($AC116="",인턴현황!$G$3=""),"",INDEX(인턴근무계획!$M$3:$R$202,$AC116,인턴현황!$G$3)&amp;"")</f>
        <v/>
      </c>
      <c r="AE116" s="10">
        <f>IF($B116="","",IF($M116&lt;&gt;"",$M116,IF($AF116&lt;&gt;"",IF(LEFT(INDEX(파견수련계획!$R$4:$R$203,$AF116),1)&lt;&gt;"⚠",INDEX(파견수련계획!$R$4:$R$203,$AF116),IF($H116="","",IF(RIGHT($H116,2)="병원",$H116,$H116&amp;"병원"))),IF($H116="","",IF(RIGHT($H116,2)="병원",$H116,$H116&amp;"병원")))))</f>
        <v/>
      </c>
      <c r="AF116" s="10">
        <f>IF(OR($B116="",TRIM($J116&amp;"")=""),"",IFERROR(MATCH(TRIM($J116&amp;"")&amp;"|파견중",파견수련계획!$Y$4:$Y$203,0),IFERROR(MATCH(TRIM($J116&amp;"")&amp;"|파견예정",파견수련계획!$Y$4:$Y$203,0),IFERROR(MATCH(TRIM($J116&amp;"")&amp;"|파견종료",파견수련계획!$Y$4:$Y$203,0),""))))</f>
        <v/>
      </c>
      <c r="AG116" s="10">
        <f>IF($B116="","",IF(AND(IF(OR($AC116="",인턴현황!$K$2=""),"",INDEX(인턴근무계획!$M$3:$R$202,$AC116,인턴현황!$K$2)&amp;"")&lt;&gt;"",LEFT(IF(OR($AC116="",인턴현황!$K$2=""),"",INDEX(인턴근무계획!$M$3:$R$202,$AC116,인턴현황!$K$2)&amp;""),1)&lt;&gt;"⚠"),LEFT(IF(OR($AC116="",인턴현황!$K$2=""),"",INDEX(인턴근무계획!$M$3:$R$202,$AC116,인턴현황!$K$2)&amp;""),FIND(" ",IF(OR($AC116="",인턴현황!$K$2=""),"",INDEX(인턴근무계획!$M$3:$R$202,$AC116,인턴현황!$K$2)&amp;""))-1),$AE116))</f>
        <v/>
      </c>
      <c r="AH116" s="17">
        <f>IF($B116="","",IF(TRIM($J116&amp;"")="",0,SUMPRODUCT((파견수련계획!$Q$4:$Q$203=TRIM($J116&amp;""))*(파견수련계획!$S$4:$S$203="서울병원")*파견수련계획!$W$4:$W$203))+IF($AG116="서울병원",MAX(0,DAY(EOMONTH(요약!$B$3,0))-N($X116)),0))</f>
        <v/>
      </c>
      <c r="AI116" s="17">
        <f>IF($B116="","",IF(TRIM($J116&amp;"")="",0,SUMPRODUCT((파견수련계획!$Q$4:$Q$203=TRIM($J116&amp;""))*(파견수련계획!$S$4:$S$203="구리병원")*파견수련계획!$W$4:$W$203))+IF($AG116="구리병원",MAX(0,DAY(EOMONTH(요약!$B$3,0))-N($X116)),0))</f>
        <v/>
      </c>
      <c r="AJ116" s="10">
        <f>IF(OR($B116="",TRIM($J116&amp;"")=""),"",IFERROR(MATCH(TRIM($J116&amp;"")&amp;"|월",파견수련계획!$Z$4:$Z$203,0),""))</f>
        <v/>
      </c>
      <c r="AK116" s="10">
        <f>IF(OR($B116="",TRIM($J116&amp;"")=""),"",IFERROR(MATCH(TRIM($J116&amp;"")&amp;"|다기관",파견수련계획!$AE$4:$AE$203,0),""))</f>
        <v/>
      </c>
      <c r="AL116" s="10">
        <f>IF($AK116="","","다기관 "&amp;TEXT(INDEX(파견수련계획!$AB$4:$AB$203,$AK116),"yyyy-mm-dd")&amp;"~"&amp;IF(ISNUMBER(INDEX(파견수련계획!$AC$4:$AC$203,$AK116)),TEXT(INDEX(파견수련계획!$AC$4:$AC$203,$AK116),"yyyy-mm-dd"),""))</f>
        <v/>
      </c>
    </row>
    <row r="117">
      <c r="A117" s="10">
        <f>IF(B117="","",ROW()-1)</f>
        <v/>
      </c>
      <c r="B117" s="18" t="n"/>
      <c r="C117" s="10">
        <f>IF($AB117="","",IF(INDEX(기본자료!$C$2:$C$501,$AB117)="","",INDEX(기본자료!$C$2:$C$501,$AB117)))</f>
        <v/>
      </c>
      <c r="D117" s="10">
        <f>IF($AB117="","",IF(INDEX(기본자료!$J$2:$J$501,$AB117)="","",INDEX(기본자료!$J$2:$J$501,$AB117)))</f>
        <v/>
      </c>
      <c r="E117" s="11">
        <f>IF($AB117="","",IF(INDEX(기본자료!$K$2:$K$501,$AB117)="","",IF(NOT(ISNUMBER(INDEX(기본자료!$K$2:$K$501,$AB117))),INDEX(기본자료!$K$2:$K$501,$AB117),IF(INDEX(기본자료!$K$2:$K$501,$AB117)&lt;1000000,INDEX(기본자료!$K$2:$K$501,$AB117),IF(AND(INDEX(기본자료!$K$2:$K$501,$AB117)&gt;=10000101,INT(MOD(INDEX(기본자료!$K$2:$K$501,$AB117),10000)/100)&gt;=1,INT(MOD(INDEX(기본자료!$K$2:$K$501,$AB117),10000)/100)&lt;=12,MOD(INDEX(기본자료!$K$2:$K$501,$AB117),100)&gt;=1,MOD(INDEX(기본자료!$K$2:$K$501,$AB117),100)&lt;=31),DATE(INT(INDEX(기본자료!$K$2:$K$501,$AB117)/10000),INT(MOD(INDEX(기본자료!$K$2:$K$501,$AB117),10000)/100),MOD(INDEX(기본자료!$K$2:$K$501,$AB117),100)),INDEX(기본자료!$K$2:$K$501,$AB117)&amp;"")))))</f>
        <v/>
      </c>
      <c r="F117" s="10">
        <f>IF($AB117="","",IF(INDEX(기본자료!$D$2:$D$501,$AB117)="","",INDEX(기본자료!$D$2:$D$501,$AB117)))</f>
        <v/>
      </c>
      <c r="G117" s="10">
        <f>IF($AB117="","",IF(INDEX(기본자료!$E$2:$E$501,$AB117)="","",INDEX(기본자료!$E$2:$E$501,$AB117)))</f>
        <v/>
      </c>
      <c r="H117" s="10">
        <f>IF($AB117="","",IF(INDEX(기본자료!$F$2:$F$501,$AB117)="","",INDEX(기본자료!$F$2:$F$501,$AB117)))</f>
        <v/>
      </c>
      <c r="I117" s="11">
        <f>IF($AB117="","",IF(INDEX(기본자료!$G$2:$G$501,$AB117)="","",IF(NOT(ISNUMBER(INDEX(기본자료!$G$2:$G$501,$AB117))),INDEX(기본자료!$G$2:$G$501,$AB117),IF(INDEX(기본자료!$G$2:$G$501,$AB117)&lt;1000000,INDEX(기본자료!$G$2:$G$501,$AB117),IF(AND(INDEX(기본자료!$G$2:$G$501,$AB117)&gt;=10000101,INT(MOD(INDEX(기본자료!$G$2:$G$501,$AB117),10000)/100)&gt;=1,INT(MOD(INDEX(기본자료!$G$2:$G$501,$AB117),10000)/100)&lt;=12,MOD(INDEX(기본자료!$G$2:$G$501,$AB117),100)&gt;=1,MOD(INDEX(기본자료!$G$2:$G$501,$AB117),100)&lt;=31),DATE(INT(INDEX(기본자료!$G$2:$G$501,$AB117)/10000),INT(MOD(INDEX(기본자료!$G$2:$G$501,$AB117),10000)/100),MOD(INDEX(기본자료!$G$2:$G$501,$AB117),100)),INDEX(기본자료!$G$2:$G$501,$AB117)&amp;"")))))</f>
        <v/>
      </c>
      <c r="J117" s="10">
        <f>IF($AB117="","",IF(INDEX(기본자료!$H$2:$H$501,$AB117)="","",INDEX(기본자료!$H$2:$H$501,$AB117)))</f>
        <v/>
      </c>
      <c r="K117" s="10">
        <f>IF($AB117="","",IF(INDEX(기본자료!$I$2:$I$501,$AB117)="","",INDEX(기본자료!$I$2:$I$501,$AB117)))</f>
        <v/>
      </c>
      <c r="L117" s="10">
        <f>IF($AB117="","",IF(INDEX(기본자료!$A$2:$A$501,$AB117)="","",INDEX(기본자료!$A$2:$A$501,$AB117)))</f>
        <v/>
      </c>
      <c r="M117" s="15" t="n"/>
      <c r="N117" s="10">
        <f>IF($B117="","",IF(AND($U117="파견중",$Q117&lt;&gt;""),$Q117,IF(AND($AD117&lt;&gt;"",LEFT($AD117,1)&lt;&gt;"⚠"),LEFT($AD117,FIND(" ",$AD117)-1),IF($H117="","",IF(RIGHT($H117,2)="병원",$H117,$H117&amp;"병원")))))</f>
        <v/>
      </c>
      <c r="O117" s="10">
        <f>IF($B117="","",IF(AND($U117="파견중",$Q117&lt;&gt;""),IF($R117&lt;&gt;"",$R117,"파견과 미입력"),IF(AND($AD117&lt;&gt;"",LEFT($AD117,1)&lt;&gt;"⚠"),MID($AD117,FIND(" ",$AD117)+1,60),IF($F117="","",IF($F117="인턴","수련교육부(인턴)",$F117)))))</f>
        <v/>
      </c>
      <c r="P117" s="10">
        <f>IF($B117="","",IF($AK117&lt;&gt;"",IF(AND(TODAY()&gt;=INDEX(파견수련계획!$AB$4:$AB$203,$AK117),OR(NOT(ISNUMBER(INDEX(파견수련계획!$AC$4:$AC$203,$AK117))),TODAY()&lt;=INDEX(파견수련계획!$AC$4:$AC$203,$AK117))),"다기관",IF($AF117="","",INDEX(파견수련계획!$T$4:$T$203,$AF117))),IF($AF117="","",INDEX(파견수련계획!$T$4:$T$203,$AF117))))</f>
        <v/>
      </c>
      <c r="Q117" s="10">
        <f>IF($AF117="","",INDEX(파견수련계획!$S$4:$S$203,$AF117))</f>
        <v/>
      </c>
      <c r="R117" s="10">
        <f>IF($AF117="","",INDEX(파견수련계획!$U$4:$U$203,$AF117))</f>
        <v/>
      </c>
      <c r="S117" s="11">
        <f>IF($AF117="","",IF(INDEX(파견수련계획!$H$4:$H$203,$AF117)="","",INDEX(파견수련계획!$H$4:$H$203,$AF117)))</f>
        <v/>
      </c>
      <c r="T117" s="11">
        <f>IF($AF117="","",IF(INDEX(파견수련계획!$I$4:$I$203,$AF117)="","",INDEX(파견수련계획!$I$4:$I$203,$AF117)))</f>
        <v/>
      </c>
      <c r="U117" s="10">
        <f>IF($AF117="","",INDEX(파견수련계획!$X$4:$X$203,$AF117))</f>
        <v/>
      </c>
      <c r="V117" s="17">
        <f>IF($AF117="","",INDEX(파견수련계획!$V$4:$V$203,$AF117))</f>
        <v/>
      </c>
      <c r="W117" s="17">
        <f>IF(AND($U117="파견중",$T117&lt;&gt;""),$T117-TODAY(),"")</f>
        <v/>
      </c>
      <c r="X117" s="17">
        <f>IF(OR($B117="",TRIM($J117&amp;"")=""),"",SUMPRODUCT((파견수련계획!$Q$4:$Q$203=TRIM($J117&amp;""))*파견수련계획!$W$4:$W$203))</f>
        <v/>
      </c>
      <c r="Y117" s="10">
        <f>IF($B117="","",IF($AG117="","",IF(IF(TRIM($J117&amp;"")="",0,SUMPRODUCT((파견수련계획!$Q$4:$Q$203=TRIM($J117&amp;""))*파견수련계획!$AD$4:$AD$203))&gt;0,$AE117,IF(N($X117)&lt;=0,$AG117,IF($AH117+$AI117=DAY(EOMONTH(요약!$B$3,0)),IF(AND($AH117&gt;=요약!$E$3,$AI117&lt;요약!$E$3),"서울병원",IF(AND($AI117&gt;=요약!$E$3,$AH117&lt;요약!$E$3),"구리병원","⚠15일 판정불가(서울 "&amp;$AH117&amp;"일/구리 "&amp;$AI117&amp;"일)")),IF($AJ117="",$AE117,IF(INDEX(파견수련계획!$T$4:$T$203,$AJ117)="통합수련",INDEX(파견수련계획!$S$4:$S$203,$AJ117),$AE117)))))))</f>
        <v/>
      </c>
      <c r="Z117" s="19">
        <f>IF($B117="","",IF($AB117="","기본자료에 없는 사번",IF(COUNTIF($B$2:$B$201,$B117)&gt;1,"중복 사번",IF($AE117="","소속(입사장소) 입력",IF(IF(TRIM($J117&amp;"")="",0,SUMPRODUCT((파견수련계획!$Q$4:$Q$203=TRIM($J117&amp;""))*(파견수련계획!$AA$4:$AA$203&lt;&gt;"")))&gt;0,"파견수련계획 입력오류 확인",IF(LEFT($Y117,1)="⚠","서울·구리 15일 판정 불가(양쪽 모두 이상/미만)",IF(IF($AC117="",0,N(INDEX(인턴근무계획!$T$3:$T$202,$AC117)))&gt;0,"인턴계획 입력오류 확인",IF(AND($AC117&lt;&gt;"",$U117&lt;&gt;"파견중",$N117&lt;&gt;$AE117),"인턴 타지역 근무: 파견 여부 확인","정상"))))))))</f>
        <v/>
      </c>
      <c r="AA117" s="5" t="n"/>
      <c r="AB117" s="10">
        <f>IF($B117="","",IFERROR(MATCH($B117,기본자료!$B$2:$B$501,0),IFERROR(MATCH($B117&amp;"",기본자료!$B$2:$B$501,0),IFERROR(MATCH(VALUE($B117),기본자료!$B$2:$B$501,0),""))))</f>
        <v/>
      </c>
      <c r="AC117" s="10">
        <f>IF($B117="","",IFERROR(MATCH($B117,인턴근무계획!$D$3:$D$202,0),IFERROR(MATCH($B117&amp;"",인턴근무계획!$D$3:$D$202,0),IFERROR(MATCH(VALUE($B117),인턴근무계획!$D$3:$D$202,0),""))))</f>
        <v/>
      </c>
      <c r="AD117" s="10">
        <f>IF(OR($AC117="",인턴현황!$G$3=""),"",INDEX(인턴근무계획!$M$3:$R$202,$AC117,인턴현황!$G$3)&amp;"")</f>
        <v/>
      </c>
      <c r="AE117" s="10">
        <f>IF($B117="","",IF($M117&lt;&gt;"",$M117,IF($AF117&lt;&gt;"",IF(LEFT(INDEX(파견수련계획!$R$4:$R$203,$AF117),1)&lt;&gt;"⚠",INDEX(파견수련계획!$R$4:$R$203,$AF117),IF($H117="","",IF(RIGHT($H117,2)="병원",$H117,$H117&amp;"병원"))),IF($H117="","",IF(RIGHT($H117,2)="병원",$H117,$H117&amp;"병원")))))</f>
        <v/>
      </c>
      <c r="AF117" s="10">
        <f>IF(OR($B117="",TRIM($J117&amp;"")=""),"",IFERROR(MATCH(TRIM($J117&amp;"")&amp;"|파견중",파견수련계획!$Y$4:$Y$203,0),IFERROR(MATCH(TRIM($J117&amp;"")&amp;"|파견예정",파견수련계획!$Y$4:$Y$203,0),IFERROR(MATCH(TRIM($J117&amp;"")&amp;"|파견종료",파견수련계획!$Y$4:$Y$203,0),""))))</f>
        <v/>
      </c>
      <c r="AG117" s="10">
        <f>IF($B117="","",IF(AND(IF(OR($AC117="",인턴현황!$K$2=""),"",INDEX(인턴근무계획!$M$3:$R$202,$AC117,인턴현황!$K$2)&amp;"")&lt;&gt;"",LEFT(IF(OR($AC117="",인턴현황!$K$2=""),"",INDEX(인턴근무계획!$M$3:$R$202,$AC117,인턴현황!$K$2)&amp;""),1)&lt;&gt;"⚠"),LEFT(IF(OR($AC117="",인턴현황!$K$2=""),"",INDEX(인턴근무계획!$M$3:$R$202,$AC117,인턴현황!$K$2)&amp;""),FIND(" ",IF(OR($AC117="",인턴현황!$K$2=""),"",INDEX(인턴근무계획!$M$3:$R$202,$AC117,인턴현황!$K$2)&amp;""))-1),$AE117))</f>
        <v/>
      </c>
      <c r="AH117" s="17">
        <f>IF($B117="","",IF(TRIM($J117&amp;"")="",0,SUMPRODUCT((파견수련계획!$Q$4:$Q$203=TRIM($J117&amp;""))*(파견수련계획!$S$4:$S$203="서울병원")*파견수련계획!$W$4:$W$203))+IF($AG117="서울병원",MAX(0,DAY(EOMONTH(요약!$B$3,0))-N($X117)),0))</f>
        <v/>
      </c>
      <c r="AI117" s="17">
        <f>IF($B117="","",IF(TRIM($J117&amp;"")="",0,SUMPRODUCT((파견수련계획!$Q$4:$Q$203=TRIM($J117&amp;""))*(파견수련계획!$S$4:$S$203="구리병원")*파견수련계획!$W$4:$W$203))+IF($AG117="구리병원",MAX(0,DAY(EOMONTH(요약!$B$3,0))-N($X117)),0))</f>
        <v/>
      </c>
      <c r="AJ117" s="10">
        <f>IF(OR($B117="",TRIM($J117&amp;"")=""),"",IFERROR(MATCH(TRIM($J117&amp;"")&amp;"|월",파견수련계획!$Z$4:$Z$203,0),""))</f>
        <v/>
      </c>
      <c r="AK117" s="10">
        <f>IF(OR($B117="",TRIM($J117&amp;"")=""),"",IFERROR(MATCH(TRIM($J117&amp;"")&amp;"|다기관",파견수련계획!$AE$4:$AE$203,0),""))</f>
        <v/>
      </c>
      <c r="AL117" s="10">
        <f>IF($AK117="","","다기관 "&amp;TEXT(INDEX(파견수련계획!$AB$4:$AB$203,$AK117),"yyyy-mm-dd")&amp;"~"&amp;IF(ISNUMBER(INDEX(파견수련계획!$AC$4:$AC$203,$AK117)),TEXT(INDEX(파견수련계획!$AC$4:$AC$203,$AK117),"yyyy-mm-dd"),""))</f>
        <v/>
      </c>
    </row>
    <row r="118">
      <c r="A118" s="10">
        <f>IF(B118="","",ROW()-1)</f>
        <v/>
      </c>
      <c r="B118" s="18" t="n"/>
      <c r="C118" s="10">
        <f>IF($AB118="","",IF(INDEX(기본자료!$C$2:$C$501,$AB118)="","",INDEX(기본자료!$C$2:$C$501,$AB118)))</f>
        <v/>
      </c>
      <c r="D118" s="10">
        <f>IF($AB118="","",IF(INDEX(기본자료!$J$2:$J$501,$AB118)="","",INDEX(기본자료!$J$2:$J$501,$AB118)))</f>
        <v/>
      </c>
      <c r="E118" s="11">
        <f>IF($AB118="","",IF(INDEX(기본자료!$K$2:$K$501,$AB118)="","",IF(NOT(ISNUMBER(INDEX(기본자료!$K$2:$K$501,$AB118))),INDEX(기본자료!$K$2:$K$501,$AB118),IF(INDEX(기본자료!$K$2:$K$501,$AB118)&lt;1000000,INDEX(기본자료!$K$2:$K$501,$AB118),IF(AND(INDEX(기본자료!$K$2:$K$501,$AB118)&gt;=10000101,INT(MOD(INDEX(기본자료!$K$2:$K$501,$AB118),10000)/100)&gt;=1,INT(MOD(INDEX(기본자료!$K$2:$K$501,$AB118),10000)/100)&lt;=12,MOD(INDEX(기본자료!$K$2:$K$501,$AB118),100)&gt;=1,MOD(INDEX(기본자료!$K$2:$K$501,$AB118),100)&lt;=31),DATE(INT(INDEX(기본자료!$K$2:$K$501,$AB118)/10000),INT(MOD(INDEX(기본자료!$K$2:$K$501,$AB118),10000)/100),MOD(INDEX(기본자료!$K$2:$K$501,$AB118),100)),INDEX(기본자료!$K$2:$K$501,$AB118)&amp;"")))))</f>
        <v/>
      </c>
      <c r="F118" s="10">
        <f>IF($AB118="","",IF(INDEX(기본자료!$D$2:$D$501,$AB118)="","",INDEX(기본자료!$D$2:$D$501,$AB118)))</f>
        <v/>
      </c>
      <c r="G118" s="10">
        <f>IF($AB118="","",IF(INDEX(기본자료!$E$2:$E$501,$AB118)="","",INDEX(기본자료!$E$2:$E$501,$AB118)))</f>
        <v/>
      </c>
      <c r="H118" s="10">
        <f>IF($AB118="","",IF(INDEX(기본자료!$F$2:$F$501,$AB118)="","",INDEX(기본자료!$F$2:$F$501,$AB118)))</f>
        <v/>
      </c>
      <c r="I118" s="11">
        <f>IF($AB118="","",IF(INDEX(기본자료!$G$2:$G$501,$AB118)="","",IF(NOT(ISNUMBER(INDEX(기본자료!$G$2:$G$501,$AB118))),INDEX(기본자료!$G$2:$G$501,$AB118),IF(INDEX(기본자료!$G$2:$G$501,$AB118)&lt;1000000,INDEX(기본자료!$G$2:$G$501,$AB118),IF(AND(INDEX(기본자료!$G$2:$G$501,$AB118)&gt;=10000101,INT(MOD(INDEX(기본자료!$G$2:$G$501,$AB118),10000)/100)&gt;=1,INT(MOD(INDEX(기본자료!$G$2:$G$501,$AB118),10000)/100)&lt;=12,MOD(INDEX(기본자료!$G$2:$G$501,$AB118),100)&gt;=1,MOD(INDEX(기본자료!$G$2:$G$501,$AB118),100)&lt;=31),DATE(INT(INDEX(기본자료!$G$2:$G$501,$AB118)/10000),INT(MOD(INDEX(기본자료!$G$2:$G$501,$AB118),10000)/100),MOD(INDEX(기본자료!$G$2:$G$501,$AB118),100)),INDEX(기본자료!$G$2:$G$501,$AB118)&amp;"")))))</f>
        <v/>
      </c>
      <c r="J118" s="10">
        <f>IF($AB118="","",IF(INDEX(기본자료!$H$2:$H$501,$AB118)="","",INDEX(기본자료!$H$2:$H$501,$AB118)))</f>
        <v/>
      </c>
      <c r="K118" s="10">
        <f>IF($AB118="","",IF(INDEX(기본자료!$I$2:$I$501,$AB118)="","",INDEX(기본자료!$I$2:$I$501,$AB118)))</f>
        <v/>
      </c>
      <c r="L118" s="10">
        <f>IF($AB118="","",IF(INDEX(기본자료!$A$2:$A$501,$AB118)="","",INDEX(기본자료!$A$2:$A$501,$AB118)))</f>
        <v/>
      </c>
      <c r="M118" s="15" t="n"/>
      <c r="N118" s="10">
        <f>IF($B118="","",IF(AND($U118="파견중",$Q118&lt;&gt;""),$Q118,IF(AND($AD118&lt;&gt;"",LEFT($AD118,1)&lt;&gt;"⚠"),LEFT($AD118,FIND(" ",$AD118)-1),IF($H118="","",IF(RIGHT($H118,2)="병원",$H118,$H118&amp;"병원")))))</f>
        <v/>
      </c>
      <c r="O118" s="10">
        <f>IF($B118="","",IF(AND($U118="파견중",$Q118&lt;&gt;""),IF($R118&lt;&gt;"",$R118,"파견과 미입력"),IF(AND($AD118&lt;&gt;"",LEFT($AD118,1)&lt;&gt;"⚠"),MID($AD118,FIND(" ",$AD118)+1,60),IF($F118="","",IF($F118="인턴","수련교육부(인턴)",$F118)))))</f>
        <v/>
      </c>
      <c r="P118" s="10">
        <f>IF($B118="","",IF($AK118&lt;&gt;"",IF(AND(TODAY()&gt;=INDEX(파견수련계획!$AB$4:$AB$203,$AK118),OR(NOT(ISNUMBER(INDEX(파견수련계획!$AC$4:$AC$203,$AK118))),TODAY()&lt;=INDEX(파견수련계획!$AC$4:$AC$203,$AK118))),"다기관",IF($AF118="","",INDEX(파견수련계획!$T$4:$T$203,$AF118))),IF($AF118="","",INDEX(파견수련계획!$T$4:$T$203,$AF118))))</f>
        <v/>
      </c>
      <c r="Q118" s="10">
        <f>IF($AF118="","",INDEX(파견수련계획!$S$4:$S$203,$AF118))</f>
        <v/>
      </c>
      <c r="R118" s="10">
        <f>IF($AF118="","",INDEX(파견수련계획!$U$4:$U$203,$AF118))</f>
        <v/>
      </c>
      <c r="S118" s="11">
        <f>IF($AF118="","",IF(INDEX(파견수련계획!$H$4:$H$203,$AF118)="","",INDEX(파견수련계획!$H$4:$H$203,$AF118)))</f>
        <v/>
      </c>
      <c r="T118" s="11">
        <f>IF($AF118="","",IF(INDEX(파견수련계획!$I$4:$I$203,$AF118)="","",INDEX(파견수련계획!$I$4:$I$203,$AF118)))</f>
        <v/>
      </c>
      <c r="U118" s="10">
        <f>IF($AF118="","",INDEX(파견수련계획!$X$4:$X$203,$AF118))</f>
        <v/>
      </c>
      <c r="V118" s="17">
        <f>IF($AF118="","",INDEX(파견수련계획!$V$4:$V$203,$AF118))</f>
        <v/>
      </c>
      <c r="W118" s="17">
        <f>IF(AND($U118="파견중",$T118&lt;&gt;""),$T118-TODAY(),"")</f>
        <v/>
      </c>
      <c r="X118" s="17">
        <f>IF(OR($B118="",TRIM($J118&amp;"")=""),"",SUMPRODUCT((파견수련계획!$Q$4:$Q$203=TRIM($J118&amp;""))*파견수련계획!$W$4:$W$203))</f>
        <v/>
      </c>
      <c r="Y118" s="10">
        <f>IF($B118="","",IF($AG118="","",IF(IF(TRIM($J118&amp;"")="",0,SUMPRODUCT((파견수련계획!$Q$4:$Q$203=TRIM($J118&amp;""))*파견수련계획!$AD$4:$AD$203))&gt;0,$AE118,IF(N($X118)&lt;=0,$AG118,IF($AH118+$AI118=DAY(EOMONTH(요약!$B$3,0)),IF(AND($AH118&gt;=요약!$E$3,$AI118&lt;요약!$E$3),"서울병원",IF(AND($AI118&gt;=요약!$E$3,$AH118&lt;요약!$E$3),"구리병원","⚠15일 판정불가(서울 "&amp;$AH118&amp;"일/구리 "&amp;$AI118&amp;"일)")),IF($AJ118="",$AE118,IF(INDEX(파견수련계획!$T$4:$T$203,$AJ118)="통합수련",INDEX(파견수련계획!$S$4:$S$203,$AJ118),$AE118)))))))</f>
        <v/>
      </c>
      <c r="Z118" s="19">
        <f>IF($B118="","",IF($AB118="","기본자료에 없는 사번",IF(COUNTIF($B$2:$B$201,$B118)&gt;1,"중복 사번",IF($AE118="","소속(입사장소) 입력",IF(IF(TRIM($J118&amp;"")="",0,SUMPRODUCT((파견수련계획!$Q$4:$Q$203=TRIM($J118&amp;""))*(파견수련계획!$AA$4:$AA$203&lt;&gt;"")))&gt;0,"파견수련계획 입력오류 확인",IF(LEFT($Y118,1)="⚠","서울·구리 15일 판정 불가(양쪽 모두 이상/미만)",IF(IF($AC118="",0,N(INDEX(인턴근무계획!$T$3:$T$202,$AC118)))&gt;0,"인턴계획 입력오류 확인",IF(AND($AC118&lt;&gt;"",$U118&lt;&gt;"파견중",$N118&lt;&gt;$AE118),"인턴 타지역 근무: 파견 여부 확인","정상"))))))))</f>
        <v/>
      </c>
      <c r="AA118" s="5" t="n"/>
      <c r="AB118" s="10">
        <f>IF($B118="","",IFERROR(MATCH($B118,기본자료!$B$2:$B$501,0),IFERROR(MATCH($B118&amp;"",기본자료!$B$2:$B$501,0),IFERROR(MATCH(VALUE($B118),기본자료!$B$2:$B$501,0),""))))</f>
        <v/>
      </c>
      <c r="AC118" s="10">
        <f>IF($B118="","",IFERROR(MATCH($B118,인턴근무계획!$D$3:$D$202,0),IFERROR(MATCH($B118&amp;"",인턴근무계획!$D$3:$D$202,0),IFERROR(MATCH(VALUE($B118),인턴근무계획!$D$3:$D$202,0),""))))</f>
        <v/>
      </c>
      <c r="AD118" s="10">
        <f>IF(OR($AC118="",인턴현황!$G$3=""),"",INDEX(인턴근무계획!$M$3:$R$202,$AC118,인턴현황!$G$3)&amp;"")</f>
        <v/>
      </c>
      <c r="AE118" s="10">
        <f>IF($B118="","",IF($M118&lt;&gt;"",$M118,IF($AF118&lt;&gt;"",IF(LEFT(INDEX(파견수련계획!$R$4:$R$203,$AF118),1)&lt;&gt;"⚠",INDEX(파견수련계획!$R$4:$R$203,$AF118),IF($H118="","",IF(RIGHT($H118,2)="병원",$H118,$H118&amp;"병원"))),IF($H118="","",IF(RIGHT($H118,2)="병원",$H118,$H118&amp;"병원")))))</f>
        <v/>
      </c>
      <c r="AF118" s="10">
        <f>IF(OR($B118="",TRIM($J118&amp;"")=""),"",IFERROR(MATCH(TRIM($J118&amp;"")&amp;"|파견중",파견수련계획!$Y$4:$Y$203,0),IFERROR(MATCH(TRIM($J118&amp;"")&amp;"|파견예정",파견수련계획!$Y$4:$Y$203,0),IFERROR(MATCH(TRIM($J118&amp;"")&amp;"|파견종료",파견수련계획!$Y$4:$Y$203,0),""))))</f>
        <v/>
      </c>
      <c r="AG118" s="10">
        <f>IF($B118="","",IF(AND(IF(OR($AC118="",인턴현황!$K$2=""),"",INDEX(인턴근무계획!$M$3:$R$202,$AC118,인턴현황!$K$2)&amp;"")&lt;&gt;"",LEFT(IF(OR($AC118="",인턴현황!$K$2=""),"",INDEX(인턴근무계획!$M$3:$R$202,$AC118,인턴현황!$K$2)&amp;""),1)&lt;&gt;"⚠"),LEFT(IF(OR($AC118="",인턴현황!$K$2=""),"",INDEX(인턴근무계획!$M$3:$R$202,$AC118,인턴현황!$K$2)&amp;""),FIND(" ",IF(OR($AC118="",인턴현황!$K$2=""),"",INDEX(인턴근무계획!$M$3:$R$202,$AC118,인턴현황!$K$2)&amp;""))-1),$AE118))</f>
        <v/>
      </c>
      <c r="AH118" s="17">
        <f>IF($B118="","",IF(TRIM($J118&amp;"")="",0,SUMPRODUCT((파견수련계획!$Q$4:$Q$203=TRIM($J118&amp;""))*(파견수련계획!$S$4:$S$203="서울병원")*파견수련계획!$W$4:$W$203))+IF($AG118="서울병원",MAX(0,DAY(EOMONTH(요약!$B$3,0))-N($X118)),0))</f>
        <v/>
      </c>
      <c r="AI118" s="17">
        <f>IF($B118="","",IF(TRIM($J118&amp;"")="",0,SUMPRODUCT((파견수련계획!$Q$4:$Q$203=TRIM($J118&amp;""))*(파견수련계획!$S$4:$S$203="구리병원")*파견수련계획!$W$4:$W$203))+IF($AG118="구리병원",MAX(0,DAY(EOMONTH(요약!$B$3,0))-N($X118)),0))</f>
        <v/>
      </c>
      <c r="AJ118" s="10">
        <f>IF(OR($B118="",TRIM($J118&amp;"")=""),"",IFERROR(MATCH(TRIM($J118&amp;"")&amp;"|월",파견수련계획!$Z$4:$Z$203,0),""))</f>
        <v/>
      </c>
      <c r="AK118" s="10">
        <f>IF(OR($B118="",TRIM($J118&amp;"")=""),"",IFERROR(MATCH(TRIM($J118&amp;"")&amp;"|다기관",파견수련계획!$AE$4:$AE$203,0),""))</f>
        <v/>
      </c>
      <c r="AL118" s="10">
        <f>IF($AK118="","","다기관 "&amp;TEXT(INDEX(파견수련계획!$AB$4:$AB$203,$AK118),"yyyy-mm-dd")&amp;"~"&amp;IF(ISNUMBER(INDEX(파견수련계획!$AC$4:$AC$203,$AK118)),TEXT(INDEX(파견수련계획!$AC$4:$AC$203,$AK118),"yyyy-mm-dd"),""))</f>
        <v/>
      </c>
    </row>
    <row r="119">
      <c r="A119" s="10">
        <f>IF(B119="","",ROW()-1)</f>
        <v/>
      </c>
      <c r="B119" s="18" t="n"/>
      <c r="C119" s="10">
        <f>IF($AB119="","",IF(INDEX(기본자료!$C$2:$C$501,$AB119)="","",INDEX(기본자료!$C$2:$C$501,$AB119)))</f>
        <v/>
      </c>
      <c r="D119" s="10">
        <f>IF($AB119="","",IF(INDEX(기본자료!$J$2:$J$501,$AB119)="","",INDEX(기본자료!$J$2:$J$501,$AB119)))</f>
        <v/>
      </c>
      <c r="E119" s="11">
        <f>IF($AB119="","",IF(INDEX(기본자료!$K$2:$K$501,$AB119)="","",IF(NOT(ISNUMBER(INDEX(기본자료!$K$2:$K$501,$AB119))),INDEX(기본자료!$K$2:$K$501,$AB119),IF(INDEX(기본자료!$K$2:$K$501,$AB119)&lt;1000000,INDEX(기본자료!$K$2:$K$501,$AB119),IF(AND(INDEX(기본자료!$K$2:$K$501,$AB119)&gt;=10000101,INT(MOD(INDEX(기본자료!$K$2:$K$501,$AB119),10000)/100)&gt;=1,INT(MOD(INDEX(기본자료!$K$2:$K$501,$AB119),10000)/100)&lt;=12,MOD(INDEX(기본자료!$K$2:$K$501,$AB119),100)&gt;=1,MOD(INDEX(기본자료!$K$2:$K$501,$AB119),100)&lt;=31),DATE(INT(INDEX(기본자료!$K$2:$K$501,$AB119)/10000),INT(MOD(INDEX(기본자료!$K$2:$K$501,$AB119),10000)/100),MOD(INDEX(기본자료!$K$2:$K$501,$AB119),100)),INDEX(기본자료!$K$2:$K$501,$AB119)&amp;"")))))</f>
        <v/>
      </c>
      <c r="F119" s="10">
        <f>IF($AB119="","",IF(INDEX(기본자료!$D$2:$D$501,$AB119)="","",INDEX(기본자료!$D$2:$D$501,$AB119)))</f>
        <v/>
      </c>
      <c r="G119" s="10">
        <f>IF($AB119="","",IF(INDEX(기본자료!$E$2:$E$501,$AB119)="","",INDEX(기본자료!$E$2:$E$501,$AB119)))</f>
        <v/>
      </c>
      <c r="H119" s="10">
        <f>IF($AB119="","",IF(INDEX(기본자료!$F$2:$F$501,$AB119)="","",INDEX(기본자료!$F$2:$F$501,$AB119)))</f>
        <v/>
      </c>
      <c r="I119" s="11">
        <f>IF($AB119="","",IF(INDEX(기본자료!$G$2:$G$501,$AB119)="","",IF(NOT(ISNUMBER(INDEX(기본자료!$G$2:$G$501,$AB119))),INDEX(기본자료!$G$2:$G$501,$AB119),IF(INDEX(기본자료!$G$2:$G$501,$AB119)&lt;1000000,INDEX(기본자료!$G$2:$G$501,$AB119),IF(AND(INDEX(기본자료!$G$2:$G$501,$AB119)&gt;=10000101,INT(MOD(INDEX(기본자료!$G$2:$G$501,$AB119),10000)/100)&gt;=1,INT(MOD(INDEX(기본자료!$G$2:$G$501,$AB119),10000)/100)&lt;=12,MOD(INDEX(기본자료!$G$2:$G$501,$AB119),100)&gt;=1,MOD(INDEX(기본자료!$G$2:$G$501,$AB119),100)&lt;=31),DATE(INT(INDEX(기본자료!$G$2:$G$501,$AB119)/10000),INT(MOD(INDEX(기본자료!$G$2:$G$501,$AB119),10000)/100),MOD(INDEX(기본자료!$G$2:$G$501,$AB119),100)),INDEX(기본자료!$G$2:$G$501,$AB119)&amp;"")))))</f>
        <v/>
      </c>
      <c r="J119" s="10">
        <f>IF($AB119="","",IF(INDEX(기본자료!$H$2:$H$501,$AB119)="","",INDEX(기본자료!$H$2:$H$501,$AB119)))</f>
        <v/>
      </c>
      <c r="K119" s="10">
        <f>IF($AB119="","",IF(INDEX(기본자료!$I$2:$I$501,$AB119)="","",INDEX(기본자료!$I$2:$I$501,$AB119)))</f>
        <v/>
      </c>
      <c r="L119" s="10">
        <f>IF($AB119="","",IF(INDEX(기본자료!$A$2:$A$501,$AB119)="","",INDEX(기본자료!$A$2:$A$501,$AB119)))</f>
        <v/>
      </c>
      <c r="M119" s="15" t="n"/>
      <c r="N119" s="10">
        <f>IF($B119="","",IF(AND($U119="파견중",$Q119&lt;&gt;""),$Q119,IF(AND($AD119&lt;&gt;"",LEFT($AD119,1)&lt;&gt;"⚠"),LEFT($AD119,FIND(" ",$AD119)-1),IF($H119="","",IF(RIGHT($H119,2)="병원",$H119,$H119&amp;"병원")))))</f>
        <v/>
      </c>
      <c r="O119" s="10">
        <f>IF($B119="","",IF(AND($U119="파견중",$Q119&lt;&gt;""),IF($R119&lt;&gt;"",$R119,"파견과 미입력"),IF(AND($AD119&lt;&gt;"",LEFT($AD119,1)&lt;&gt;"⚠"),MID($AD119,FIND(" ",$AD119)+1,60),IF($F119="","",IF($F119="인턴","수련교육부(인턴)",$F119)))))</f>
        <v/>
      </c>
      <c r="P119" s="10">
        <f>IF($B119="","",IF($AK119&lt;&gt;"",IF(AND(TODAY()&gt;=INDEX(파견수련계획!$AB$4:$AB$203,$AK119),OR(NOT(ISNUMBER(INDEX(파견수련계획!$AC$4:$AC$203,$AK119))),TODAY()&lt;=INDEX(파견수련계획!$AC$4:$AC$203,$AK119))),"다기관",IF($AF119="","",INDEX(파견수련계획!$T$4:$T$203,$AF119))),IF($AF119="","",INDEX(파견수련계획!$T$4:$T$203,$AF119))))</f>
        <v/>
      </c>
      <c r="Q119" s="10">
        <f>IF($AF119="","",INDEX(파견수련계획!$S$4:$S$203,$AF119))</f>
        <v/>
      </c>
      <c r="R119" s="10">
        <f>IF($AF119="","",INDEX(파견수련계획!$U$4:$U$203,$AF119))</f>
        <v/>
      </c>
      <c r="S119" s="11">
        <f>IF($AF119="","",IF(INDEX(파견수련계획!$H$4:$H$203,$AF119)="","",INDEX(파견수련계획!$H$4:$H$203,$AF119)))</f>
        <v/>
      </c>
      <c r="T119" s="11">
        <f>IF($AF119="","",IF(INDEX(파견수련계획!$I$4:$I$203,$AF119)="","",INDEX(파견수련계획!$I$4:$I$203,$AF119)))</f>
        <v/>
      </c>
      <c r="U119" s="10">
        <f>IF($AF119="","",INDEX(파견수련계획!$X$4:$X$203,$AF119))</f>
        <v/>
      </c>
      <c r="V119" s="17">
        <f>IF($AF119="","",INDEX(파견수련계획!$V$4:$V$203,$AF119))</f>
        <v/>
      </c>
      <c r="W119" s="17">
        <f>IF(AND($U119="파견중",$T119&lt;&gt;""),$T119-TODAY(),"")</f>
        <v/>
      </c>
      <c r="X119" s="17">
        <f>IF(OR($B119="",TRIM($J119&amp;"")=""),"",SUMPRODUCT((파견수련계획!$Q$4:$Q$203=TRIM($J119&amp;""))*파견수련계획!$W$4:$W$203))</f>
        <v/>
      </c>
      <c r="Y119" s="10">
        <f>IF($B119="","",IF($AG119="","",IF(IF(TRIM($J119&amp;"")="",0,SUMPRODUCT((파견수련계획!$Q$4:$Q$203=TRIM($J119&amp;""))*파견수련계획!$AD$4:$AD$203))&gt;0,$AE119,IF(N($X119)&lt;=0,$AG119,IF($AH119+$AI119=DAY(EOMONTH(요약!$B$3,0)),IF(AND($AH119&gt;=요약!$E$3,$AI119&lt;요약!$E$3),"서울병원",IF(AND($AI119&gt;=요약!$E$3,$AH119&lt;요약!$E$3),"구리병원","⚠15일 판정불가(서울 "&amp;$AH119&amp;"일/구리 "&amp;$AI119&amp;"일)")),IF($AJ119="",$AE119,IF(INDEX(파견수련계획!$T$4:$T$203,$AJ119)="통합수련",INDEX(파견수련계획!$S$4:$S$203,$AJ119),$AE119)))))))</f>
        <v/>
      </c>
      <c r="Z119" s="19">
        <f>IF($B119="","",IF($AB119="","기본자료에 없는 사번",IF(COUNTIF($B$2:$B$201,$B119)&gt;1,"중복 사번",IF($AE119="","소속(입사장소) 입력",IF(IF(TRIM($J119&amp;"")="",0,SUMPRODUCT((파견수련계획!$Q$4:$Q$203=TRIM($J119&amp;""))*(파견수련계획!$AA$4:$AA$203&lt;&gt;"")))&gt;0,"파견수련계획 입력오류 확인",IF(LEFT($Y119,1)="⚠","서울·구리 15일 판정 불가(양쪽 모두 이상/미만)",IF(IF($AC119="",0,N(INDEX(인턴근무계획!$T$3:$T$202,$AC119)))&gt;0,"인턴계획 입력오류 확인",IF(AND($AC119&lt;&gt;"",$U119&lt;&gt;"파견중",$N119&lt;&gt;$AE119),"인턴 타지역 근무: 파견 여부 확인","정상"))))))))</f>
        <v/>
      </c>
      <c r="AA119" s="5" t="n"/>
      <c r="AB119" s="10">
        <f>IF($B119="","",IFERROR(MATCH($B119,기본자료!$B$2:$B$501,0),IFERROR(MATCH($B119&amp;"",기본자료!$B$2:$B$501,0),IFERROR(MATCH(VALUE($B119),기본자료!$B$2:$B$501,0),""))))</f>
        <v/>
      </c>
      <c r="AC119" s="10">
        <f>IF($B119="","",IFERROR(MATCH($B119,인턴근무계획!$D$3:$D$202,0),IFERROR(MATCH($B119&amp;"",인턴근무계획!$D$3:$D$202,0),IFERROR(MATCH(VALUE($B119),인턴근무계획!$D$3:$D$202,0),""))))</f>
        <v/>
      </c>
      <c r="AD119" s="10">
        <f>IF(OR($AC119="",인턴현황!$G$3=""),"",INDEX(인턴근무계획!$M$3:$R$202,$AC119,인턴현황!$G$3)&amp;"")</f>
        <v/>
      </c>
      <c r="AE119" s="10">
        <f>IF($B119="","",IF($M119&lt;&gt;"",$M119,IF($AF119&lt;&gt;"",IF(LEFT(INDEX(파견수련계획!$R$4:$R$203,$AF119),1)&lt;&gt;"⚠",INDEX(파견수련계획!$R$4:$R$203,$AF119),IF($H119="","",IF(RIGHT($H119,2)="병원",$H119,$H119&amp;"병원"))),IF($H119="","",IF(RIGHT($H119,2)="병원",$H119,$H119&amp;"병원")))))</f>
        <v/>
      </c>
      <c r="AF119" s="10">
        <f>IF(OR($B119="",TRIM($J119&amp;"")=""),"",IFERROR(MATCH(TRIM($J119&amp;"")&amp;"|파견중",파견수련계획!$Y$4:$Y$203,0),IFERROR(MATCH(TRIM($J119&amp;"")&amp;"|파견예정",파견수련계획!$Y$4:$Y$203,0),IFERROR(MATCH(TRIM($J119&amp;"")&amp;"|파견종료",파견수련계획!$Y$4:$Y$203,0),""))))</f>
        <v/>
      </c>
      <c r="AG119" s="10">
        <f>IF($B119="","",IF(AND(IF(OR($AC119="",인턴현황!$K$2=""),"",INDEX(인턴근무계획!$M$3:$R$202,$AC119,인턴현황!$K$2)&amp;"")&lt;&gt;"",LEFT(IF(OR($AC119="",인턴현황!$K$2=""),"",INDEX(인턴근무계획!$M$3:$R$202,$AC119,인턴현황!$K$2)&amp;""),1)&lt;&gt;"⚠"),LEFT(IF(OR($AC119="",인턴현황!$K$2=""),"",INDEX(인턴근무계획!$M$3:$R$202,$AC119,인턴현황!$K$2)&amp;""),FIND(" ",IF(OR($AC119="",인턴현황!$K$2=""),"",INDEX(인턴근무계획!$M$3:$R$202,$AC119,인턴현황!$K$2)&amp;""))-1),$AE119))</f>
        <v/>
      </c>
      <c r="AH119" s="17">
        <f>IF($B119="","",IF(TRIM($J119&amp;"")="",0,SUMPRODUCT((파견수련계획!$Q$4:$Q$203=TRIM($J119&amp;""))*(파견수련계획!$S$4:$S$203="서울병원")*파견수련계획!$W$4:$W$203))+IF($AG119="서울병원",MAX(0,DAY(EOMONTH(요약!$B$3,0))-N($X119)),0))</f>
        <v/>
      </c>
      <c r="AI119" s="17">
        <f>IF($B119="","",IF(TRIM($J119&amp;"")="",0,SUMPRODUCT((파견수련계획!$Q$4:$Q$203=TRIM($J119&amp;""))*(파견수련계획!$S$4:$S$203="구리병원")*파견수련계획!$W$4:$W$203))+IF($AG119="구리병원",MAX(0,DAY(EOMONTH(요약!$B$3,0))-N($X119)),0))</f>
        <v/>
      </c>
      <c r="AJ119" s="10">
        <f>IF(OR($B119="",TRIM($J119&amp;"")=""),"",IFERROR(MATCH(TRIM($J119&amp;"")&amp;"|월",파견수련계획!$Z$4:$Z$203,0),""))</f>
        <v/>
      </c>
      <c r="AK119" s="10">
        <f>IF(OR($B119="",TRIM($J119&amp;"")=""),"",IFERROR(MATCH(TRIM($J119&amp;"")&amp;"|다기관",파견수련계획!$AE$4:$AE$203,0),""))</f>
        <v/>
      </c>
      <c r="AL119" s="10">
        <f>IF($AK119="","","다기관 "&amp;TEXT(INDEX(파견수련계획!$AB$4:$AB$203,$AK119),"yyyy-mm-dd")&amp;"~"&amp;IF(ISNUMBER(INDEX(파견수련계획!$AC$4:$AC$203,$AK119)),TEXT(INDEX(파견수련계획!$AC$4:$AC$203,$AK119),"yyyy-mm-dd"),""))</f>
        <v/>
      </c>
    </row>
    <row r="120">
      <c r="A120" s="10">
        <f>IF(B120="","",ROW()-1)</f>
        <v/>
      </c>
      <c r="B120" s="18" t="n"/>
      <c r="C120" s="10">
        <f>IF($AB120="","",IF(INDEX(기본자료!$C$2:$C$501,$AB120)="","",INDEX(기본자료!$C$2:$C$501,$AB120)))</f>
        <v/>
      </c>
      <c r="D120" s="10">
        <f>IF($AB120="","",IF(INDEX(기본자료!$J$2:$J$501,$AB120)="","",INDEX(기본자료!$J$2:$J$501,$AB120)))</f>
        <v/>
      </c>
      <c r="E120" s="11">
        <f>IF($AB120="","",IF(INDEX(기본자료!$K$2:$K$501,$AB120)="","",IF(NOT(ISNUMBER(INDEX(기본자료!$K$2:$K$501,$AB120))),INDEX(기본자료!$K$2:$K$501,$AB120),IF(INDEX(기본자료!$K$2:$K$501,$AB120)&lt;1000000,INDEX(기본자료!$K$2:$K$501,$AB120),IF(AND(INDEX(기본자료!$K$2:$K$501,$AB120)&gt;=10000101,INT(MOD(INDEX(기본자료!$K$2:$K$501,$AB120),10000)/100)&gt;=1,INT(MOD(INDEX(기본자료!$K$2:$K$501,$AB120),10000)/100)&lt;=12,MOD(INDEX(기본자료!$K$2:$K$501,$AB120),100)&gt;=1,MOD(INDEX(기본자료!$K$2:$K$501,$AB120),100)&lt;=31),DATE(INT(INDEX(기본자료!$K$2:$K$501,$AB120)/10000),INT(MOD(INDEX(기본자료!$K$2:$K$501,$AB120),10000)/100),MOD(INDEX(기본자료!$K$2:$K$501,$AB120),100)),INDEX(기본자료!$K$2:$K$501,$AB120)&amp;"")))))</f>
        <v/>
      </c>
      <c r="F120" s="10">
        <f>IF($AB120="","",IF(INDEX(기본자료!$D$2:$D$501,$AB120)="","",INDEX(기본자료!$D$2:$D$501,$AB120)))</f>
        <v/>
      </c>
      <c r="G120" s="10">
        <f>IF($AB120="","",IF(INDEX(기본자료!$E$2:$E$501,$AB120)="","",INDEX(기본자료!$E$2:$E$501,$AB120)))</f>
        <v/>
      </c>
      <c r="H120" s="10">
        <f>IF($AB120="","",IF(INDEX(기본자료!$F$2:$F$501,$AB120)="","",INDEX(기본자료!$F$2:$F$501,$AB120)))</f>
        <v/>
      </c>
      <c r="I120" s="11">
        <f>IF($AB120="","",IF(INDEX(기본자료!$G$2:$G$501,$AB120)="","",IF(NOT(ISNUMBER(INDEX(기본자료!$G$2:$G$501,$AB120))),INDEX(기본자료!$G$2:$G$501,$AB120),IF(INDEX(기본자료!$G$2:$G$501,$AB120)&lt;1000000,INDEX(기본자료!$G$2:$G$501,$AB120),IF(AND(INDEX(기본자료!$G$2:$G$501,$AB120)&gt;=10000101,INT(MOD(INDEX(기본자료!$G$2:$G$501,$AB120),10000)/100)&gt;=1,INT(MOD(INDEX(기본자료!$G$2:$G$501,$AB120),10000)/100)&lt;=12,MOD(INDEX(기본자료!$G$2:$G$501,$AB120),100)&gt;=1,MOD(INDEX(기본자료!$G$2:$G$501,$AB120),100)&lt;=31),DATE(INT(INDEX(기본자료!$G$2:$G$501,$AB120)/10000),INT(MOD(INDEX(기본자료!$G$2:$G$501,$AB120),10000)/100),MOD(INDEX(기본자료!$G$2:$G$501,$AB120),100)),INDEX(기본자료!$G$2:$G$501,$AB120)&amp;"")))))</f>
        <v/>
      </c>
      <c r="J120" s="10">
        <f>IF($AB120="","",IF(INDEX(기본자료!$H$2:$H$501,$AB120)="","",INDEX(기본자료!$H$2:$H$501,$AB120)))</f>
        <v/>
      </c>
      <c r="K120" s="10">
        <f>IF($AB120="","",IF(INDEX(기본자료!$I$2:$I$501,$AB120)="","",INDEX(기본자료!$I$2:$I$501,$AB120)))</f>
        <v/>
      </c>
      <c r="L120" s="10">
        <f>IF($AB120="","",IF(INDEX(기본자료!$A$2:$A$501,$AB120)="","",INDEX(기본자료!$A$2:$A$501,$AB120)))</f>
        <v/>
      </c>
      <c r="M120" s="15" t="n"/>
      <c r="N120" s="10">
        <f>IF($B120="","",IF(AND($U120="파견중",$Q120&lt;&gt;""),$Q120,IF(AND($AD120&lt;&gt;"",LEFT($AD120,1)&lt;&gt;"⚠"),LEFT($AD120,FIND(" ",$AD120)-1),IF($H120="","",IF(RIGHT($H120,2)="병원",$H120,$H120&amp;"병원")))))</f>
        <v/>
      </c>
      <c r="O120" s="10">
        <f>IF($B120="","",IF(AND($U120="파견중",$Q120&lt;&gt;""),IF($R120&lt;&gt;"",$R120,"파견과 미입력"),IF(AND($AD120&lt;&gt;"",LEFT($AD120,1)&lt;&gt;"⚠"),MID($AD120,FIND(" ",$AD120)+1,60),IF($F120="","",IF($F120="인턴","수련교육부(인턴)",$F120)))))</f>
        <v/>
      </c>
      <c r="P120" s="10">
        <f>IF($B120="","",IF($AK120&lt;&gt;"",IF(AND(TODAY()&gt;=INDEX(파견수련계획!$AB$4:$AB$203,$AK120),OR(NOT(ISNUMBER(INDEX(파견수련계획!$AC$4:$AC$203,$AK120))),TODAY()&lt;=INDEX(파견수련계획!$AC$4:$AC$203,$AK120))),"다기관",IF($AF120="","",INDEX(파견수련계획!$T$4:$T$203,$AF120))),IF($AF120="","",INDEX(파견수련계획!$T$4:$T$203,$AF120))))</f>
        <v/>
      </c>
      <c r="Q120" s="10">
        <f>IF($AF120="","",INDEX(파견수련계획!$S$4:$S$203,$AF120))</f>
        <v/>
      </c>
      <c r="R120" s="10">
        <f>IF($AF120="","",INDEX(파견수련계획!$U$4:$U$203,$AF120))</f>
        <v/>
      </c>
      <c r="S120" s="11">
        <f>IF($AF120="","",IF(INDEX(파견수련계획!$H$4:$H$203,$AF120)="","",INDEX(파견수련계획!$H$4:$H$203,$AF120)))</f>
        <v/>
      </c>
      <c r="T120" s="11">
        <f>IF($AF120="","",IF(INDEX(파견수련계획!$I$4:$I$203,$AF120)="","",INDEX(파견수련계획!$I$4:$I$203,$AF120)))</f>
        <v/>
      </c>
      <c r="U120" s="10">
        <f>IF($AF120="","",INDEX(파견수련계획!$X$4:$X$203,$AF120))</f>
        <v/>
      </c>
      <c r="V120" s="17">
        <f>IF($AF120="","",INDEX(파견수련계획!$V$4:$V$203,$AF120))</f>
        <v/>
      </c>
      <c r="W120" s="17">
        <f>IF(AND($U120="파견중",$T120&lt;&gt;""),$T120-TODAY(),"")</f>
        <v/>
      </c>
      <c r="X120" s="17">
        <f>IF(OR($B120="",TRIM($J120&amp;"")=""),"",SUMPRODUCT((파견수련계획!$Q$4:$Q$203=TRIM($J120&amp;""))*파견수련계획!$W$4:$W$203))</f>
        <v/>
      </c>
      <c r="Y120" s="10">
        <f>IF($B120="","",IF($AG120="","",IF(IF(TRIM($J120&amp;"")="",0,SUMPRODUCT((파견수련계획!$Q$4:$Q$203=TRIM($J120&amp;""))*파견수련계획!$AD$4:$AD$203))&gt;0,$AE120,IF(N($X120)&lt;=0,$AG120,IF($AH120+$AI120=DAY(EOMONTH(요약!$B$3,0)),IF(AND($AH120&gt;=요약!$E$3,$AI120&lt;요약!$E$3),"서울병원",IF(AND($AI120&gt;=요약!$E$3,$AH120&lt;요약!$E$3),"구리병원","⚠15일 판정불가(서울 "&amp;$AH120&amp;"일/구리 "&amp;$AI120&amp;"일)")),IF($AJ120="",$AE120,IF(INDEX(파견수련계획!$T$4:$T$203,$AJ120)="통합수련",INDEX(파견수련계획!$S$4:$S$203,$AJ120),$AE120)))))))</f>
        <v/>
      </c>
      <c r="Z120" s="19">
        <f>IF($B120="","",IF($AB120="","기본자료에 없는 사번",IF(COUNTIF($B$2:$B$201,$B120)&gt;1,"중복 사번",IF($AE120="","소속(입사장소) 입력",IF(IF(TRIM($J120&amp;"")="",0,SUMPRODUCT((파견수련계획!$Q$4:$Q$203=TRIM($J120&amp;""))*(파견수련계획!$AA$4:$AA$203&lt;&gt;"")))&gt;0,"파견수련계획 입력오류 확인",IF(LEFT($Y120,1)="⚠","서울·구리 15일 판정 불가(양쪽 모두 이상/미만)",IF(IF($AC120="",0,N(INDEX(인턴근무계획!$T$3:$T$202,$AC120)))&gt;0,"인턴계획 입력오류 확인",IF(AND($AC120&lt;&gt;"",$U120&lt;&gt;"파견중",$N120&lt;&gt;$AE120),"인턴 타지역 근무: 파견 여부 확인","정상"))))))))</f>
        <v/>
      </c>
      <c r="AA120" s="5" t="n"/>
      <c r="AB120" s="10">
        <f>IF($B120="","",IFERROR(MATCH($B120,기본자료!$B$2:$B$501,0),IFERROR(MATCH($B120&amp;"",기본자료!$B$2:$B$501,0),IFERROR(MATCH(VALUE($B120),기본자료!$B$2:$B$501,0),""))))</f>
        <v/>
      </c>
      <c r="AC120" s="10">
        <f>IF($B120="","",IFERROR(MATCH($B120,인턴근무계획!$D$3:$D$202,0),IFERROR(MATCH($B120&amp;"",인턴근무계획!$D$3:$D$202,0),IFERROR(MATCH(VALUE($B120),인턴근무계획!$D$3:$D$202,0),""))))</f>
        <v/>
      </c>
      <c r="AD120" s="10">
        <f>IF(OR($AC120="",인턴현황!$G$3=""),"",INDEX(인턴근무계획!$M$3:$R$202,$AC120,인턴현황!$G$3)&amp;"")</f>
        <v/>
      </c>
      <c r="AE120" s="10">
        <f>IF($B120="","",IF($M120&lt;&gt;"",$M120,IF($AF120&lt;&gt;"",IF(LEFT(INDEX(파견수련계획!$R$4:$R$203,$AF120),1)&lt;&gt;"⚠",INDEX(파견수련계획!$R$4:$R$203,$AF120),IF($H120="","",IF(RIGHT($H120,2)="병원",$H120,$H120&amp;"병원"))),IF($H120="","",IF(RIGHT($H120,2)="병원",$H120,$H120&amp;"병원")))))</f>
        <v/>
      </c>
      <c r="AF120" s="10">
        <f>IF(OR($B120="",TRIM($J120&amp;"")=""),"",IFERROR(MATCH(TRIM($J120&amp;"")&amp;"|파견중",파견수련계획!$Y$4:$Y$203,0),IFERROR(MATCH(TRIM($J120&amp;"")&amp;"|파견예정",파견수련계획!$Y$4:$Y$203,0),IFERROR(MATCH(TRIM($J120&amp;"")&amp;"|파견종료",파견수련계획!$Y$4:$Y$203,0),""))))</f>
        <v/>
      </c>
      <c r="AG120" s="10">
        <f>IF($B120="","",IF(AND(IF(OR($AC120="",인턴현황!$K$2=""),"",INDEX(인턴근무계획!$M$3:$R$202,$AC120,인턴현황!$K$2)&amp;"")&lt;&gt;"",LEFT(IF(OR($AC120="",인턴현황!$K$2=""),"",INDEX(인턴근무계획!$M$3:$R$202,$AC120,인턴현황!$K$2)&amp;""),1)&lt;&gt;"⚠"),LEFT(IF(OR($AC120="",인턴현황!$K$2=""),"",INDEX(인턴근무계획!$M$3:$R$202,$AC120,인턴현황!$K$2)&amp;""),FIND(" ",IF(OR($AC120="",인턴현황!$K$2=""),"",INDEX(인턴근무계획!$M$3:$R$202,$AC120,인턴현황!$K$2)&amp;""))-1),$AE120))</f>
        <v/>
      </c>
      <c r="AH120" s="17">
        <f>IF($B120="","",IF(TRIM($J120&amp;"")="",0,SUMPRODUCT((파견수련계획!$Q$4:$Q$203=TRIM($J120&amp;""))*(파견수련계획!$S$4:$S$203="서울병원")*파견수련계획!$W$4:$W$203))+IF($AG120="서울병원",MAX(0,DAY(EOMONTH(요약!$B$3,0))-N($X120)),0))</f>
        <v/>
      </c>
      <c r="AI120" s="17">
        <f>IF($B120="","",IF(TRIM($J120&amp;"")="",0,SUMPRODUCT((파견수련계획!$Q$4:$Q$203=TRIM($J120&amp;""))*(파견수련계획!$S$4:$S$203="구리병원")*파견수련계획!$W$4:$W$203))+IF($AG120="구리병원",MAX(0,DAY(EOMONTH(요약!$B$3,0))-N($X120)),0))</f>
        <v/>
      </c>
      <c r="AJ120" s="10">
        <f>IF(OR($B120="",TRIM($J120&amp;"")=""),"",IFERROR(MATCH(TRIM($J120&amp;"")&amp;"|월",파견수련계획!$Z$4:$Z$203,0),""))</f>
        <v/>
      </c>
      <c r="AK120" s="10">
        <f>IF(OR($B120="",TRIM($J120&amp;"")=""),"",IFERROR(MATCH(TRIM($J120&amp;"")&amp;"|다기관",파견수련계획!$AE$4:$AE$203,0),""))</f>
        <v/>
      </c>
      <c r="AL120" s="10">
        <f>IF($AK120="","","다기관 "&amp;TEXT(INDEX(파견수련계획!$AB$4:$AB$203,$AK120),"yyyy-mm-dd")&amp;"~"&amp;IF(ISNUMBER(INDEX(파견수련계획!$AC$4:$AC$203,$AK120)),TEXT(INDEX(파견수련계획!$AC$4:$AC$203,$AK120),"yyyy-mm-dd"),""))</f>
        <v/>
      </c>
    </row>
    <row r="121">
      <c r="A121" s="10">
        <f>IF(B121="","",ROW()-1)</f>
        <v/>
      </c>
      <c r="B121" s="18" t="n"/>
      <c r="C121" s="10">
        <f>IF($AB121="","",IF(INDEX(기본자료!$C$2:$C$501,$AB121)="","",INDEX(기본자료!$C$2:$C$501,$AB121)))</f>
        <v/>
      </c>
      <c r="D121" s="10">
        <f>IF($AB121="","",IF(INDEX(기본자료!$J$2:$J$501,$AB121)="","",INDEX(기본자료!$J$2:$J$501,$AB121)))</f>
        <v/>
      </c>
      <c r="E121" s="11">
        <f>IF($AB121="","",IF(INDEX(기본자료!$K$2:$K$501,$AB121)="","",IF(NOT(ISNUMBER(INDEX(기본자료!$K$2:$K$501,$AB121))),INDEX(기본자료!$K$2:$K$501,$AB121),IF(INDEX(기본자료!$K$2:$K$501,$AB121)&lt;1000000,INDEX(기본자료!$K$2:$K$501,$AB121),IF(AND(INDEX(기본자료!$K$2:$K$501,$AB121)&gt;=10000101,INT(MOD(INDEX(기본자료!$K$2:$K$501,$AB121),10000)/100)&gt;=1,INT(MOD(INDEX(기본자료!$K$2:$K$501,$AB121),10000)/100)&lt;=12,MOD(INDEX(기본자료!$K$2:$K$501,$AB121),100)&gt;=1,MOD(INDEX(기본자료!$K$2:$K$501,$AB121),100)&lt;=31),DATE(INT(INDEX(기본자료!$K$2:$K$501,$AB121)/10000),INT(MOD(INDEX(기본자료!$K$2:$K$501,$AB121),10000)/100),MOD(INDEX(기본자료!$K$2:$K$501,$AB121),100)),INDEX(기본자료!$K$2:$K$501,$AB121)&amp;"")))))</f>
        <v/>
      </c>
      <c r="F121" s="10">
        <f>IF($AB121="","",IF(INDEX(기본자료!$D$2:$D$501,$AB121)="","",INDEX(기본자료!$D$2:$D$501,$AB121)))</f>
        <v/>
      </c>
      <c r="G121" s="10">
        <f>IF($AB121="","",IF(INDEX(기본자료!$E$2:$E$501,$AB121)="","",INDEX(기본자료!$E$2:$E$501,$AB121)))</f>
        <v/>
      </c>
      <c r="H121" s="10">
        <f>IF($AB121="","",IF(INDEX(기본자료!$F$2:$F$501,$AB121)="","",INDEX(기본자료!$F$2:$F$501,$AB121)))</f>
        <v/>
      </c>
      <c r="I121" s="11">
        <f>IF($AB121="","",IF(INDEX(기본자료!$G$2:$G$501,$AB121)="","",IF(NOT(ISNUMBER(INDEX(기본자료!$G$2:$G$501,$AB121))),INDEX(기본자료!$G$2:$G$501,$AB121),IF(INDEX(기본자료!$G$2:$G$501,$AB121)&lt;1000000,INDEX(기본자료!$G$2:$G$501,$AB121),IF(AND(INDEX(기본자료!$G$2:$G$501,$AB121)&gt;=10000101,INT(MOD(INDEX(기본자료!$G$2:$G$501,$AB121),10000)/100)&gt;=1,INT(MOD(INDEX(기본자료!$G$2:$G$501,$AB121),10000)/100)&lt;=12,MOD(INDEX(기본자료!$G$2:$G$501,$AB121),100)&gt;=1,MOD(INDEX(기본자료!$G$2:$G$501,$AB121),100)&lt;=31),DATE(INT(INDEX(기본자료!$G$2:$G$501,$AB121)/10000),INT(MOD(INDEX(기본자료!$G$2:$G$501,$AB121),10000)/100),MOD(INDEX(기본자료!$G$2:$G$501,$AB121),100)),INDEX(기본자료!$G$2:$G$501,$AB121)&amp;"")))))</f>
        <v/>
      </c>
      <c r="J121" s="10">
        <f>IF($AB121="","",IF(INDEX(기본자료!$H$2:$H$501,$AB121)="","",INDEX(기본자료!$H$2:$H$501,$AB121)))</f>
        <v/>
      </c>
      <c r="K121" s="10">
        <f>IF($AB121="","",IF(INDEX(기본자료!$I$2:$I$501,$AB121)="","",INDEX(기본자료!$I$2:$I$501,$AB121)))</f>
        <v/>
      </c>
      <c r="L121" s="10">
        <f>IF($AB121="","",IF(INDEX(기본자료!$A$2:$A$501,$AB121)="","",INDEX(기본자료!$A$2:$A$501,$AB121)))</f>
        <v/>
      </c>
      <c r="M121" s="15" t="n"/>
      <c r="N121" s="10">
        <f>IF($B121="","",IF(AND($U121="파견중",$Q121&lt;&gt;""),$Q121,IF(AND($AD121&lt;&gt;"",LEFT($AD121,1)&lt;&gt;"⚠"),LEFT($AD121,FIND(" ",$AD121)-1),IF($H121="","",IF(RIGHT($H121,2)="병원",$H121,$H121&amp;"병원")))))</f>
        <v/>
      </c>
      <c r="O121" s="10">
        <f>IF($B121="","",IF(AND($U121="파견중",$Q121&lt;&gt;""),IF($R121&lt;&gt;"",$R121,"파견과 미입력"),IF(AND($AD121&lt;&gt;"",LEFT($AD121,1)&lt;&gt;"⚠"),MID($AD121,FIND(" ",$AD121)+1,60),IF($F121="","",IF($F121="인턴","수련교육부(인턴)",$F121)))))</f>
        <v/>
      </c>
      <c r="P121" s="10">
        <f>IF($B121="","",IF($AK121&lt;&gt;"",IF(AND(TODAY()&gt;=INDEX(파견수련계획!$AB$4:$AB$203,$AK121),OR(NOT(ISNUMBER(INDEX(파견수련계획!$AC$4:$AC$203,$AK121))),TODAY()&lt;=INDEX(파견수련계획!$AC$4:$AC$203,$AK121))),"다기관",IF($AF121="","",INDEX(파견수련계획!$T$4:$T$203,$AF121))),IF($AF121="","",INDEX(파견수련계획!$T$4:$T$203,$AF121))))</f>
        <v/>
      </c>
      <c r="Q121" s="10">
        <f>IF($AF121="","",INDEX(파견수련계획!$S$4:$S$203,$AF121))</f>
        <v/>
      </c>
      <c r="R121" s="10">
        <f>IF($AF121="","",INDEX(파견수련계획!$U$4:$U$203,$AF121))</f>
        <v/>
      </c>
      <c r="S121" s="11">
        <f>IF($AF121="","",IF(INDEX(파견수련계획!$H$4:$H$203,$AF121)="","",INDEX(파견수련계획!$H$4:$H$203,$AF121)))</f>
        <v/>
      </c>
      <c r="T121" s="11">
        <f>IF($AF121="","",IF(INDEX(파견수련계획!$I$4:$I$203,$AF121)="","",INDEX(파견수련계획!$I$4:$I$203,$AF121)))</f>
        <v/>
      </c>
      <c r="U121" s="10">
        <f>IF($AF121="","",INDEX(파견수련계획!$X$4:$X$203,$AF121))</f>
        <v/>
      </c>
      <c r="V121" s="17">
        <f>IF($AF121="","",INDEX(파견수련계획!$V$4:$V$203,$AF121))</f>
        <v/>
      </c>
      <c r="W121" s="17">
        <f>IF(AND($U121="파견중",$T121&lt;&gt;""),$T121-TODAY(),"")</f>
        <v/>
      </c>
      <c r="X121" s="17">
        <f>IF(OR($B121="",TRIM($J121&amp;"")=""),"",SUMPRODUCT((파견수련계획!$Q$4:$Q$203=TRIM($J121&amp;""))*파견수련계획!$W$4:$W$203))</f>
        <v/>
      </c>
      <c r="Y121" s="10">
        <f>IF($B121="","",IF($AG121="","",IF(IF(TRIM($J121&amp;"")="",0,SUMPRODUCT((파견수련계획!$Q$4:$Q$203=TRIM($J121&amp;""))*파견수련계획!$AD$4:$AD$203))&gt;0,$AE121,IF(N($X121)&lt;=0,$AG121,IF($AH121+$AI121=DAY(EOMONTH(요약!$B$3,0)),IF(AND($AH121&gt;=요약!$E$3,$AI121&lt;요약!$E$3),"서울병원",IF(AND($AI121&gt;=요약!$E$3,$AH121&lt;요약!$E$3),"구리병원","⚠15일 판정불가(서울 "&amp;$AH121&amp;"일/구리 "&amp;$AI121&amp;"일)")),IF($AJ121="",$AE121,IF(INDEX(파견수련계획!$T$4:$T$203,$AJ121)="통합수련",INDEX(파견수련계획!$S$4:$S$203,$AJ121),$AE121)))))))</f>
        <v/>
      </c>
      <c r="Z121" s="19">
        <f>IF($B121="","",IF($AB121="","기본자료에 없는 사번",IF(COUNTIF($B$2:$B$201,$B121)&gt;1,"중복 사번",IF($AE121="","소속(입사장소) 입력",IF(IF(TRIM($J121&amp;"")="",0,SUMPRODUCT((파견수련계획!$Q$4:$Q$203=TRIM($J121&amp;""))*(파견수련계획!$AA$4:$AA$203&lt;&gt;"")))&gt;0,"파견수련계획 입력오류 확인",IF(LEFT($Y121,1)="⚠","서울·구리 15일 판정 불가(양쪽 모두 이상/미만)",IF(IF($AC121="",0,N(INDEX(인턴근무계획!$T$3:$T$202,$AC121)))&gt;0,"인턴계획 입력오류 확인",IF(AND($AC121&lt;&gt;"",$U121&lt;&gt;"파견중",$N121&lt;&gt;$AE121),"인턴 타지역 근무: 파견 여부 확인","정상"))))))))</f>
        <v/>
      </c>
      <c r="AA121" s="5" t="n"/>
      <c r="AB121" s="10">
        <f>IF($B121="","",IFERROR(MATCH($B121,기본자료!$B$2:$B$501,0),IFERROR(MATCH($B121&amp;"",기본자료!$B$2:$B$501,0),IFERROR(MATCH(VALUE($B121),기본자료!$B$2:$B$501,0),""))))</f>
        <v/>
      </c>
      <c r="AC121" s="10">
        <f>IF($B121="","",IFERROR(MATCH($B121,인턴근무계획!$D$3:$D$202,0),IFERROR(MATCH($B121&amp;"",인턴근무계획!$D$3:$D$202,0),IFERROR(MATCH(VALUE($B121),인턴근무계획!$D$3:$D$202,0),""))))</f>
        <v/>
      </c>
      <c r="AD121" s="10">
        <f>IF(OR($AC121="",인턴현황!$G$3=""),"",INDEX(인턴근무계획!$M$3:$R$202,$AC121,인턴현황!$G$3)&amp;"")</f>
        <v/>
      </c>
      <c r="AE121" s="10">
        <f>IF($B121="","",IF($M121&lt;&gt;"",$M121,IF($AF121&lt;&gt;"",IF(LEFT(INDEX(파견수련계획!$R$4:$R$203,$AF121),1)&lt;&gt;"⚠",INDEX(파견수련계획!$R$4:$R$203,$AF121),IF($H121="","",IF(RIGHT($H121,2)="병원",$H121,$H121&amp;"병원"))),IF($H121="","",IF(RIGHT($H121,2)="병원",$H121,$H121&amp;"병원")))))</f>
        <v/>
      </c>
      <c r="AF121" s="10">
        <f>IF(OR($B121="",TRIM($J121&amp;"")=""),"",IFERROR(MATCH(TRIM($J121&amp;"")&amp;"|파견중",파견수련계획!$Y$4:$Y$203,0),IFERROR(MATCH(TRIM($J121&amp;"")&amp;"|파견예정",파견수련계획!$Y$4:$Y$203,0),IFERROR(MATCH(TRIM($J121&amp;"")&amp;"|파견종료",파견수련계획!$Y$4:$Y$203,0),""))))</f>
        <v/>
      </c>
      <c r="AG121" s="10">
        <f>IF($B121="","",IF(AND(IF(OR($AC121="",인턴현황!$K$2=""),"",INDEX(인턴근무계획!$M$3:$R$202,$AC121,인턴현황!$K$2)&amp;"")&lt;&gt;"",LEFT(IF(OR($AC121="",인턴현황!$K$2=""),"",INDEX(인턴근무계획!$M$3:$R$202,$AC121,인턴현황!$K$2)&amp;""),1)&lt;&gt;"⚠"),LEFT(IF(OR($AC121="",인턴현황!$K$2=""),"",INDEX(인턴근무계획!$M$3:$R$202,$AC121,인턴현황!$K$2)&amp;""),FIND(" ",IF(OR($AC121="",인턴현황!$K$2=""),"",INDEX(인턴근무계획!$M$3:$R$202,$AC121,인턴현황!$K$2)&amp;""))-1),$AE121))</f>
        <v/>
      </c>
      <c r="AH121" s="17">
        <f>IF($B121="","",IF(TRIM($J121&amp;"")="",0,SUMPRODUCT((파견수련계획!$Q$4:$Q$203=TRIM($J121&amp;""))*(파견수련계획!$S$4:$S$203="서울병원")*파견수련계획!$W$4:$W$203))+IF($AG121="서울병원",MAX(0,DAY(EOMONTH(요약!$B$3,0))-N($X121)),0))</f>
        <v/>
      </c>
      <c r="AI121" s="17">
        <f>IF($B121="","",IF(TRIM($J121&amp;"")="",0,SUMPRODUCT((파견수련계획!$Q$4:$Q$203=TRIM($J121&amp;""))*(파견수련계획!$S$4:$S$203="구리병원")*파견수련계획!$W$4:$W$203))+IF($AG121="구리병원",MAX(0,DAY(EOMONTH(요약!$B$3,0))-N($X121)),0))</f>
        <v/>
      </c>
      <c r="AJ121" s="10">
        <f>IF(OR($B121="",TRIM($J121&amp;"")=""),"",IFERROR(MATCH(TRIM($J121&amp;"")&amp;"|월",파견수련계획!$Z$4:$Z$203,0),""))</f>
        <v/>
      </c>
      <c r="AK121" s="10">
        <f>IF(OR($B121="",TRIM($J121&amp;"")=""),"",IFERROR(MATCH(TRIM($J121&amp;"")&amp;"|다기관",파견수련계획!$AE$4:$AE$203,0),""))</f>
        <v/>
      </c>
      <c r="AL121" s="10">
        <f>IF($AK121="","","다기관 "&amp;TEXT(INDEX(파견수련계획!$AB$4:$AB$203,$AK121),"yyyy-mm-dd")&amp;"~"&amp;IF(ISNUMBER(INDEX(파견수련계획!$AC$4:$AC$203,$AK121)),TEXT(INDEX(파견수련계획!$AC$4:$AC$203,$AK121),"yyyy-mm-dd"),""))</f>
        <v/>
      </c>
    </row>
    <row r="122">
      <c r="A122" s="10">
        <f>IF(B122="","",ROW()-1)</f>
        <v/>
      </c>
      <c r="B122" s="18" t="n"/>
      <c r="C122" s="10">
        <f>IF($AB122="","",IF(INDEX(기본자료!$C$2:$C$501,$AB122)="","",INDEX(기본자료!$C$2:$C$501,$AB122)))</f>
        <v/>
      </c>
      <c r="D122" s="10">
        <f>IF($AB122="","",IF(INDEX(기본자료!$J$2:$J$501,$AB122)="","",INDEX(기본자료!$J$2:$J$501,$AB122)))</f>
        <v/>
      </c>
      <c r="E122" s="11">
        <f>IF($AB122="","",IF(INDEX(기본자료!$K$2:$K$501,$AB122)="","",IF(NOT(ISNUMBER(INDEX(기본자료!$K$2:$K$501,$AB122))),INDEX(기본자료!$K$2:$K$501,$AB122),IF(INDEX(기본자료!$K$2:$K$501,$AB122)&lt;1000000,INDEX(기본자료!$K$2:$K$501,$AB122),IF(AND(INDEX(기본자료!$K$2:$K$501,$AB122)&gt;=10000101,INT(MOD(INDEX(기본자료!$K$2:$K$501,$AB122),10000)/100)&gt;=1,INT(MOD(INDEX(기본자료!$K$2:$K$501,$AB122),10000)/100)&lt;=12,MOD(INDEX(기본자료!$K$2:$K$501,$AB122),100)&gt;=1,MOD(INDEX(기본자료!$K$2:$K$501,$AB122),100)&lt;=31),DATE(INT(INDEX(기본자료!$K$2:$K$501,$AB122)/10000),INT(MOD(INDEX(기본자료!$K$2:$K$501,$AB122),10000)/100),MOD(INDEX(기본자료!$K$2:$K$501,$AB122),100)),INDEX(기본자료!$K$2:$K$501,$AB122)&amp;"")))))</f>
        <v/>
      </c>
      <c r="F122" s="10">
        <f>IF($AB122="","",IF(INDEX(기본자료!$D$2:$D$501,$AB122)="","",INDEX(기본자료!$D$2:$D$501,$AB122)))</f>
        <v/>
      </c>
      <c r="G122" s="10">
        <f>IF($AB122="","",IF(INDEX(기본자료!$E$2:$E$501,$AB122)="","",INDEX(기본자료!$E$2:$E$501,$AB122)))</f>
        <v/>
      </c>
      <c r="H122" s="10">
        <f>IF($AB122="","",IF(INDEX(기본자료!$F$2:$F$501,$AB122)="","",INDEX(기본자료!$F$2:$F$501,$AB122)))</f>
        <v/>
      </c>
      <c r="I122" s="11">
        <f>IF($AB122="","",IF(INDEX(기본자료!$G$2:$G$501,$AB122)="","",IF(NOT(ISNUMBER(INDEX(기본자료!$G$2:$G$501,$AB122))),INDEX(기본자료!$G$2:$G$501,$AB122),IF(INDEX(기본자료!$G$2:$G$501,$AB122)&lt;1000000,INDEX(기본자료!$G$2:$G$501,$AB122),IF(AND(INDEX(기본자료!$G$2:$G$501,$AB122)&gt;=10000101,INT(MOD(INDEX(기본자료!$G$2:$G$501,$AB122),10000)/100)&gt;=1,INT(MOD(INDEX(기본자료!$G$2:$G$501,$AB122),10000)/100)&lt;=12,MOD(INDEX(기본자료!$G$2:$G$501,$AB122),100)&gt;=1,MOD(INDEX(기본자료!$G$2:$G$501,$AB122),100)&lt;=31),DATE(INT(INDEX(기본자료!$G$2:$G$501,$AB122)/10000),INT(MOD(INDEX(기본자료!$G$2:$G$501,$AB122),10000)/100),MOD(INDEX(기본자료!$G$2:$G$501,$AB122),100)),INDEX(기본자료!$G$2:$G$501,$AB122)&amp;"")))))</f>
        <v/>
      </c>
      <c r="J122" s="10">
        <f>IF($AB122="","",IF(INDEX(기본자료!$H$2:$H$501,$AB122)="","",INDEX(기본자료!$H$2:$H$501,$AB122)))</f>
        <v/>
      </c>
      <c r="K122" s="10">
        <f>IF($AB122="","",IF(INDEX(기본자료!$I$2:$I$501,$AB122)="","",INDEX(기본자료!$I$2:$I$501,$AB122)))</f>
        <v/>
      </c>
      <c r="L122" s="10">
        <f>IF($AB122="","",IF(INDEX(기본자료!$A$2:$A$501,$AB122)="","",INDEX(기본자료!$A$2:$A$501,$AB122)))</f>
        <v/>
      </c>
      <c r="M122" s="15" t="n"/>
      <c r="N122" s="10">
        <f>IF($B122="","",IF(AND($U122="파견중",$Q122&lt;&gt;""),$Q122,IF(AND($AD122&lt;&gt;"",LEFT($AD122,1)&lt;&gt;"⚠"),LEFT($AD122,FIND(" ",$AD122)-1),IF($H122="","",IF(RIGHT($H122,2)="병원",$H122,$H122&amp;"병원")))))</f>
        <v/>
      </c>
      <c r="O122" s="10">
        <f>IF($B122="","",IF(AND($U122="파견중",$Q122&lt;&gt;""),IF($R122&lt;&gt;"",$R122,"파견과 미입력"),IF(AND($AD122&lt;&gt;"",LEFT($AD122,1)&lt;&gt;"⚠"),MID($AD122,FIND(" ",$AD122)+1,60),IF($F122="","",IF($F122="인턴","수련교육부(인턴)",$F122)))))</f>
        <v/>
      </c>
      <c r="P122" s="10">
        <f>IF($B122="","",IF($AK122&lt;&gt;"",IF(AND(TODAY()&gt;=INDEX(파견수련계획!$AB$4:$AB$203,$AK122),OR(NOT(ISNUMBER(INDEX(파견수련계획!$AC$4:$AC$203,$AK122))),TODAY()&lt;=INDEX(파견수련계획!$AC$4:$AC$203,$AK122))),"다기관",IF($AF122="","",INDEX(파견수련계획!$T$4:$T$203,$AF122))),IF($AF122="","",INDEX(파견수련계획!$T$4:$T$203,$AF122))))</f>
        <v/>
      </c>
      <c r="Q122" s="10">
        <f>IF($AF122="","",INDEX(파견수련계획!$S$4:$S$203,$AF122))</f>
        <v/>
      </c>
      <c r="R122" s="10">
        <f>IF($AF122="","",INDEX(파견수련계획!$U$4:$U$203,$AF122))</f>
        <v/>
      </c>
      <c r="S122" s="11">
        <f>IF($AF122="","",IF(INDEX(파견수련계획!$H$4:$H$203,$AF122)="","",INDEX(파견수련계획!$H$4:$H$203,$AF122)))</f>
        <v/>
      </c>
      <c r="T122" s="11">
        <f>IF($AF122="","",IF(INDEX(파견수련계획!$I$4:$I$203,$AF122)="","",INDEX(파견수련계획!$I$4:$I$203,$AF122)))</f>
        <v/>
      </c>
      <c r="U122" s="10">
        <f>IF($AF122="","",INDEX(파견수련계획!$X$4:$X$203,$AF122))</f>
        <v/>
      </c>
      <c r="V122" s="17">
        <f>IF($AF122="","",INDEX(파견수련계획!$V$4:$V$203,$AF122))</f>
        <v/>
      </c>
      <c r="W122" s="17">
        <f>IF(AND($U122="파견중",$T122&lt;&gt;""),$T122-TODAY(),"")</f>
        <v/>
      </c>
      <c r="X122" s="17">
        <f>IF(OR($B122="",TRIM($J122&amp;"")=""),"",SUMPRODUCT((파견수련계획!$Q$4:$Q$203=TRIM($J122&amp;""))*파견수련계획!$W$4:$W$203))</f>
        <v/>
      </c>
      <c r="Y122" s="10">
        <f>IF($B122="","",IF($AG122="","",IF(IF(TRIM($J122&amp;"")="",0,SUMPRODUCT((파견수련계획!$Q$4:$Q$203=TRIM($J122&amp;""))*파견수련계획!$AD$4:$AD$203))&gt;0,$AE122,IF(N($X122)&lt;=0,$AG122,IF($AH122+$AI122=DAY(EOMONTH(요약!$B$3,0)),IF(AND($AH122&gt;=요약!$E$3,$AI122&lt;요약!$E$3),"서울병원",IF(AND($AI122&gt;=요약!$E$3,$AH122&lt;요약!$E$3),"구리병원","⚠15일 판정불가(서울 "&amp;$AH122&amp;"일/구리 "&amp;$AI122&amp;"일)")),IF($AJ122="",$AE122,IF(INDEX(파견수련계획!$T$4:$T$203,$AJ122)="통합수련",INDEX(파견수련계획!$S$4:$S$203,$AJ122),$AE122)))))))</f>
        <v/>
      </c>
      <c r="Z122" s="19">
        <f>IF($B122="","",IF($AB122="","기본자료에 없는 사번",IF(COUNTIF($B$2:$B$201,$B122)&gt;1,"중복 사번",IF($AE122="","소속(입사장소) 입력",IF(IF(TRIM($J122&amp;"")="",0,SUMPRODUCT((파견수련계획!$Q$4:$Q$203=TRIM($J122&amp;""))*(파견수련계획!$AA$4:$AA$203&lt;&gt;"")))&gt;0,"파견수련계획 입력오류 확인",IF(LEFT($Y122,1)="⚠","서울·구리 15일 판정 불가(양쪽 모두 이상/미만)",IF(IF($AC122="",0,N(INDEX(인턴근무계획!$T$3:$T$202,$AC122)))&gt;0,"인턴계획 입력오류 확인",IF(AND($AC122&lt;&gt;"",$U122&lt;&gt;"파견중",$N122&lt;&gt;$AE122),"인턴 타지역 근무: 파견 여부 확인","정상"))))))))</f>
        <v/>
      </c>
      <c r="AA122" s="5" t="n"/>
      <c r="AB122" s="10">
        <f>IF($B122="","",IFERROR(MATCH($B122,기본자료!$B$2:$B$501,0),IFERROR(MATCH($B122&amp;"",기본자료!$B$2:$B$501,0),IFERROR(MATCH(VALUE($B122),기본자료!$B$2:$B$501,0),""))))</f>
        <v/>
      </c>
      <c r="AC122" s="10">
        <f>IF($B122="","",IFERROR(MATCH($B122,인턴근무계획!$D$3:$D$202,0),IFERROR(MATCH($B122&amp;"",인턴근무계획!$D$3:$D$202,0),IFERROR(MATCH(VALUE($B122),인턴근무계획!$D$3:$D$202,0),""))))</f>
        <v/>
      </c>
      <c r="AD122" s="10">
        <f>IF(OR($AC122="",인턴현황!$G$3=""),"",INDEX(인턴근무계획!$M$3:$R$202,$AC122,인턴현황!$G$3)&amp;"")</f>
        <v/>
      </c>
      <c r="AE122" s="10">
        <f>IF($B122="","",IF($M122&lt;&gt;"",$M122,IF($AF122&lt;&gt;"",IF(LEFT(INDEX(파견수련계획!$R$4:$R$203,$AF122),1)&lt;&gt;"⚠",INDEX(파견수련계획!$R$4:$R$203,$AF122),IF($H122="","",IF(RIGHT($H122,2)="병원",$H122,$H122&amp;"병원"))),IF($H122="","",IF(RIGHT($H122,2)="병원",$H122,$H122&amp;"병원")))))</f>
        <v/>
      </c>
      <c r="AF122" s="10">
        <f>IF(OR($B122="",TRIM($J122&amp;"")=""),"",IFERROR(MATCH(TRIM($J122&amp;"")&amp;"|파견중",파견수련계획!$Y$4:$Y$203,0),IFERROR(MATCH(TRIM($J122&amp;"")&amp;"|파견예정",파견수련계획!$Y$4:$Y$203,0),IFERROR(MATCH(TRIM($J122&amp;"")&amp;"|파견종료",파견수련계획!$Y$4:$Y$203,0),""))))</f>
        <v/>
      </c>
      <c r="AG122" s="10">
        <f>IF($B122="","",IF(AND(IF(OR($AC122="",인턴현황!$K$2=""),"",INDEX(인턴근무계획!$M$3:$R$202,$AC122,인턴현황!$K$2)&amp;"")&lt;&gt;"",LEFT(IF(OR($AC122="",인턴현황!$K$2=""),"",INDEX(인턴근무계획!$M$3:$R$202,$AC122,인턴현황!$K$2)&amp;""),1)&lt;&gt;"⚠"),LEFT(IF(OR($AC122="",인턴현황!$K$2=""),"",INDEX(인턴근무계획!$M$3:$R$202,$AC122,인턴현황!$K$2)&amp;""),FIND(" ",IF(OR($AC122="",인턴현황!$K$2=""),"",INDEX(인턴근무계획!$M$3:$R$202,$AC122,인턴현황!$K$2)&amp;""))-1),$AE122))</f>
        <v/>
      </c>
      <c r="AH122" s="17">
        <f>IF($B122="","",IF(TRIM($J122&amp;"")="",0,SUMPRODUCT((파견수련계획!$Q$4:$Q$203=TRIM($J122&amp;""))*(파견수련계획!$S$4:$S$203="서울병원")*파견수련계획!$W$4:$W$203))+IF($AG122="서울병원",MAX(0,DAY(EOMONTH(요약!$B$3,0))-N($X122)),0))</f>
        <v/>
      </c>
      <c r="AI122" s="17">
        <f>IF($B122="","",IF(TRIM($J122&amp;"")="",0,SUMPRODUCT((파견수련계획!$Q$4:$Q$203=TRIM($J122&amp;""))*(파견수련계획!$S$4:$S$203="구리병원")*파견수련계획!$W$4:$W$203))+IF($AG122="구리병원",MAX(0,DAY(EOMONTH(요약!$B$3,0))-N($X122)),0))</f>
        <v/>
      </c>
      <c r="AJ122" s="10">
        <f>IF(OR($B122="",TRIM($J122&amp;"")=""),"",IFERROR(MATCH(TRIM($J122&amp;"")&amp;"|월",파견수련계획!$Z$4:$Z$203,0),""))</f>
        <v/>
      </c>
      <c r="AK122" s="10">
        <f>IF(OR($B122="",TRIM($J122&amp;"")=""),"",IFERROR(MATCH(TRIM($J122&amp;"")&amp;"|다기관",파견수련계획!$AE$4:$AE$203,0),""))</f>
        <v/>
      </c>
      <c r="AL122" s="10">
        <f>IF($AK122="","","다기관 "&amp;TEXT(INDEX(파견수련계획!$AB$4:$AB$203,$AK122),"yyyy-mm-dd")&amp;"~"&amp;IF(ISNUMBER(INDEX(파견수련계획!$AC$4:$AC$203,$AK122)),TEXT(INDEX(파견수련계획!$AC$4:$AC$203,$AK122),"yyyy-mm-dd"),""))</f>
        <v/>
      </c>
    </row>
    <row r="123">
      <c r="A123" s="10">
        <f>IF(B123="","",ROW()-1)</f>
        <v/>
      </c>
      <c r="B123" s="18" t="n"/>
      <c r="C123" s="10">
        <f>IF($AB123="","",IF(INDEX(기본자료!$C$2:$C$501,$AB123)="","",INDEX(기본자료!$C$2:$C$501,$AB123)))</f>
        <v/>
      </c>
      <c r="D123" s="10">
        <f>IF($AB123="","",IF(INDEX(기본자료!$J$2:$J$501,$AB123)="","",INDEX(기본자료!$J$2:$J$501,$AB123)))</f>
        <v/>
      </c>
      <c r="E123" s="11">
        <f>IF($AB123="","",IF(INDEX(기본자료!$K$2:$K$501,$AB123)="","",IF(NOT(ISNUMBER(INDEX(기본자료!$K$2:$K$501,$AB123))),INDEX(기본자료!$K$2:$K$501,$AB123),IF(INDEX(기본자료!$K$2:$K$501,$AB123)&lt;1000000,INDEX(기본자료!$K$2:$K$501,$AB123),IF(AND(INDEX(기본자료!$K$2:$K$501,$AB123)&gt;=10000101,INT(MOD(INDEX(기본자료!$K$2:$K$501,$AB123),10000)/100)&gt;=1,INT(MOD(INDEX(기본자료!$K$2:$K$501,$AB123),10000)/100)&lt;=12,MOD(INDEX(기본자료!$K$2:$K$501,$AB123),100)&gt;=1,MOD(INDEX(기본자료!$K$2:$K$501,$AB123),100)&lt;=31),DATE(INT(INDEX(기본자료!$K$2:$K$501,$AB123)/10000),INT(MOD(INDEX(기본자료!$K$2:$K$501,$AB123),10000)/100),MOD(INDEX(기본자료!$K$2:$K$501,$AB123),100)),INDEX(기본자료!$K$2:$K$501,$AB123)&amp;"")))))</f>
        <v/>
      </c>
      <c r="F123" s="10">
        <f>IF($AB123="","",IF(INDEX(기본자료!$D$2:$D$501,$AB123)="","",INDEX(기본자료!$D$2:$D$501,$AB123)))</f>
        <v/>
      </c>
      <c r="G123" s="10">
        <f>IF($AB123="","",IF(INDEX(기본자료!$E$2:$E$501,$AB123)="","",INDEX(기본자료!$E$2:$E$501,$AB123)))</f>
        <v/>
      </c>
      <c r="H123" s="10">
        <f>IF($AB123="","",IF(INDEX(기본자료!$F$2:$F$501,$AB123)="","",INDEX(기본자료!$F$2:$F$501,$AB123)))</f>
        <v/>
      </c>
      <c r="I123" s="11">
        <f>IF($AB123="","",IF(INDEX(기본자료!$G$2:$G$501,$AB123)="","",IF(NOT(ISNUMBER(INDEX(기본자료!$G$2:$G$501,$AB123))),INDEX(기본자료!$G$2:$G$501,$AB123),IF(INDEX(기본자료!$G$2:$G$501,$AB123)&lt;1000000,INDEX(기본자료!$G$2:$G$501,$AB123),IF(AND(INDEX(기본자료!$G$2:$G$501,$AB123)&gt;=10000101,INT(MOD(INDEX(기본자료!$G$2:$G$501,$AB123),10000)/100)&gt;=1,INT(MOD(INDEX(기본자료!$G$2:$G$501,$AB123),10000)/100)&lt;=12,MOD(INDEX(기본자료!$G$2:$G$501,$AB123),100)&gt;=1,MOD(INDEX(기본자료!$G$2:$G$501,$AB123),100)&lt;=31),DATE(INT(INDEX(기본자료!$G$2:$G$501,$AB123)/10000),INT(MOD(INDEX(기본자료!$G$2:$G$501,$AB123),10000)/100),MOD(INDEX(기본자료!$G$2:$G$501,$AB123),100)),INDEX(기본자료!$G$2:$G$501,$AB123)&amp;"")))))</f>
        <v/>
      </c>
      <c r="J123" s="10">
        <f>IF($AB123="","",IF(INDEX(기본자료!$H$2:$H$501,$AB123)="","",INDEX(기본자료!$H$2:$H$501,$AB123)))</f>
        <v/>
      </c>
      <c r="K123" s="10">
        <f>IF($AB123="","",IF(INDEX(기본자료!$I$2:$I$501,$AB123)="","",INDEX(기본자료!$I$2:$I$501,$AB123)))</f>
        <v/>
      </c>
      <c r="L123" s="10">
        <f>IF($AB123="","",IF(INDEX(기본자료!$A$2:$A$501,$AB123)="","",INDEX(기본자료!$A$2:$A$501,$AB123)))</f>
        <v/>
      </c>
      <c r="M123" s="15" t="n"/>
      <c r="N123" s="10">
        <f>IF($B123="","",IF(AND($U123="파견중",$Q123&lt;&gt;""),$Q123,IF(AND($AD123&lt;&gt;"",LEFT($AD123,1)&lt;&gt;"⚠"),LEFT($AD123,FIND(" ",$AD123)-1),IF($H123="","",IF(RIGHT($H123,2)="병원",$H123,$H123&amp;"병원")))))</f>
        <v/>
      </c>
      <c r="O123" s="10">
        <f>IF($B123="","",IF(AND($U123="파견중",$Q123&lt;&gt;""),IF($R123&lt;&gt;"",$R123,"파견과 미입력"),IF(AND($AD123&lt;&gt;"",LEFT($AD123,1)&lt;&gt;"⚠"),MID($AD123,FIND(" ",$AD123)+1,60),IF($F123="","",IF($F123="인턴","수련교육부(인턴)",$F123)))))</f>
        <v/>
      </c>
      <c r="P123" s="10">
        <f>IF($B123="","",IF($AK123&lt;&gt;"",IF(AND(TODAY()&gt;=INDEX(파견수련계획!$AB$4:$AB$203,$AK123),OR(NOT(ISNUMBER(INDEX(파견수련계획!$AC$4:$AC$203,$AK123))),TODAY()&lt;=INDEX(파견수련계획!$AC$4:$AC$203,$AK123))),"다기관",IF($AF123="","",INDEX(파견수련계획!$T$4:$T$203,$AF123))),IF($AF123="","",INDEX(파견수련계획!$T$4:$T$203,$AF123))))</f>
        <v/>
      </c>
      <c r="Q123" s="10">
        <f>IF($AF123="","",INDEX(파견수련계획!$S$4:$S$203,$AF123))</f>
        <v/>
      </c>
      <c r="R123" s="10">
        <f>IF($AF123="","",INDEX(파견수련계획!$U$4:$U$203,$AF123))</f>
        <v/>
      </c>
      <c r="S123" s="11">
        <f>IF($AF123="","",IF(INDEX(파견수련계획!$H$4:$H$203,$AF123)="","",INDEX(파견수련계획!$H$4:$H$203,$AF123)))</f>
        <v/>
      </c>
      <c r="T123" s="11">
        <f>IF($AF123="","",IF(INDEX(파견수련계획!$I$4:$I$203,$AF123)="","",INDEX(파견수련계획!$I$4:$I$203,$AF123)))</f>
        <v/>
      </c>
      <c r="U123" s="10">
        <f>IF($AF123="","",INDEX(파견수련계획!$X$4:$X$203,$AF123))</f>
        <v/>
      </c>
      <c r="V123" s="17">
        <f>IF($AF123="","",INDEX(파견수련계획!$V$4:$V$203,$AF123))</f>
        <v/>
      </c>
      <c r="W123" s="17">
        <f>IF(AND($U123="파견중",$T123&lt;&gt;""),$T123-TODAY(),"")</f>
        <v/>
      </c>
      <c r="X123" s="17">
        <f>IF(OR($B123="",TRIM($J123&amp;"")=""),"",SUMPRODUCT((파견수련계획!$Q$4:$Q$203=TRIM($J123&amp;""))*파견수련계획!$W$4:$W$203))</f>
        <v/>
      </c>
      <c r="Y123" s="10">
        <f>IF($B123="","",IF($AG123="","",IF(IF(TRIM($J123&amp;"")="",0,SUMPRODUCT((파견수련계획!$Q$4:$Q$203=TRIM($J123&amp;""))*파견수련계획!$AD$4:$AD$203))&gt;0,$AE123,IF(N($X123)&lt;=0,$AG123,IF($AH123+$AI123=DAY(EOMONTH(요약!$B$3,0)),IF(AND($AH123&gt;=요약!$E$3,$AI123&lt;요약!$E$3),"서울병원",IF(AND($AI123&gt;=요약!$E$3,$AH123&lt;요약!$E$3),"구리병원","⚠15일 판정불가(서울 "&amp;$AH123&amp;"일/구리 "&amp;$AI123&amp;"일)")),IF($AJ123="",$AE123,IF(INDEX(파견수련계획!$T$4:$T$203,$AJ123)="통합수련",INDEX(파견수련계획!$S$4:$S$203,$AJ123),$AE123)))))))</f>
        <v/>
      </c>
      <c r="Z123" s="19">
        <f>IF($B123="","",IF($AB123="","기본자료에 없는 사번",IF(COUNTIF($B$2:$B$201,$B123)&gt;1,"중복 사번",IF($AE123="","소속(입사장소) 입력",IF(IF(TRIM($J123&amp;"")="",0,SUMPRODUCT((파견수련계획!$Q$4:$Q$203=TRIM($J123&amp;""))*(파견수련계획!$AA$4:$AA$203&lt;&gt;"")))&gt;0,"파견수련계획 입력오류 확인",IF(LEFT($Y123,1)="⚠","서울·구리 15일 판정 불가(양쪽 모두 이상/미만)",IF(IF($AC123="",0,N(INDEX(인턴근무계획!$T$3:$T$202,$AC123)))&gt;0,"인턴계획 입력오류 확인",IF(AND($AC123&lt;&gt;"",$U123&lt;&gt;"파견중",$N123&lt;&gt;$AE123),"인턴 타지역 근무: 파견 여부 확인","정상"))))))))</f>
        <v/>
      </c>
      <c r="AA123" s="5" t="n"/>
      <c r="AB123" s="10">
        <f>IF($B123="","",IFERROR(MATCH($B123,기본자료!$B$2:$B$501,0),IFERROR(MATCH($B123&amp;"",기본자료!$B$2:$B$501,0),IFERROR(MATCH(VALUE($B123),기본자료!$B$2:$B$501,0),""))))</f>
        <v/>
      </c>
      <c r="AC123" s="10">
        <f>IF($B123="","",IFERROR(MATCH($B123,인턴근무계획!$D$3:$D$202,0),IFERROR(MATCH($B123&amp;"",인턴근무계획!$D$3:$D$202,0),IFERROR(MATCH(VALUE($B123),인턴근무계획!$D$3:$D$202,0),""))))</f>
        <v/>
      </c>
      <c r="AD123" s="10">
        <f>IF(OR($AC123="",인턴현황!$G$3=""),"",INDEX(인턴근무계획!$M$3:$R$202,$AC123,인턴현황!$G$3)&amp;"")</f>
        <v/>
      </c>
      <c r="AE123" s="10">
        <f>IF($B123="","",IF($M123&lt;&gt;"",$M123,IF($AF123&lt;&gt;"",IF(LEFT(INDEX(파견수련계획!$R$4:$R$203,$AF123),1)&lt;&gt;"⚠",INDEX(파견수련계획!$R$4:$R$203,$AF123),IF($H123="","",IF(RIGHT($H123,2)="병원",$H123,$H123&amp;"병원"))),IF($H123="","",IF(RIGHT($H123,2)="병원",$H123,$H123&amp;"병원")))))</f>
        <v/>
      </c>
      <c r="AF123" s="10">
        <f>IF(OR($B123="",TRIM($J123&amp;"")=""),"",IFERROR(MATCH(TRIM($J123&amp;"")&amp;"|파견중",파견수련계획!$Y$4:$Y$203,0),IFERROR(MATCH(TRIM($J123&amp;"")&amp;"|파견예정",파견수련계획!$Y$4:$Y$203,0),IFERROR(MATCH(TRIM($J123&amp;"")&amp;"|파견종료",파견수련계획!$Y$4:$Y$203,0),""))))</f>
        <v/>
      </c>
      <c r="AG123" s="10">
        <f>IF($B123="","",IF(AND(IF(OR($AC123="",인턴현황!$K$2=""),"",INDEX(인턴근무계획!$M$3:$R$202,$AC123,인턴현황!$K$2)&amp;"")&lt;&gt;"",LEFT(IF(OR($AC123="",인턴현황!$K$2=""),"",INDEX(인턴근무계획!$M$3:$R$202,$AC123,인턴현황!$K$2)&amp;""),1)&lt;&gt;"⚠"),LEFT(IF(OR($AC123="",인턴현황!$K$2=""),"",INDEX(인턴근무계획!$M$3:$R$202,$AC123,인턴현황!$K$2)&amp;""),FIND(" ",IF(OR($AC123="",인턴현황!$K$2=""),"",INDEX(인턴근무계획!$M$3:$R$202,$AC123,인턴현황!$K$2)&amp;""))-1),$AE123))</f>
        <v/>
      </c>
      <c r="AH123" s="17">
        <f>IF($B123="","",IF(TRIM($J123&amp;"")="",0,SUMPRODUCT((파견수련계획!$Q$4:$Q$203=TRIM($J123&amp;""))*(파견수련계획!$S$4:$S$203="서울병원")*파견수련계획!$W$4:$W$203))+IF($AG123="서울병원",MAX(0,DAY(EOMONTH(요약!$B$3,0))-N($X123)),0))</f>
        <v/>
      </c>
      <c r="AI123" s="17">
        <f>IF($B123="","",IF(TRIM($J123&amp;"")="",0,SUMPRODUCT((파견수련계획!$Q$4:$Q$203=TRIM($J123&amp;""))*(파견수련계획!$S$4:$S$203="구리병원")*파견수련계획!$W$4:$W$203))+IF($AG123="구리병원",MAX(0,DAY(EOMONTH(요약!$B$3,0))-N($X123)),0))</f>
        <v/>
      </c>
      <c r="AJ123" s="10">
        <f>IF(OR($B123="",TRIM($J123&amp;"")=""),"",IFERROR(MATCH(TRIM($J123&amp;"")&amp;"|월",파견수련계획!$Z$4:$Z$203,0),""))</f>
        <v/>
      </c>
      <c r="AK123" s="10">
        <f>IF(OR($B123="",TRIM($J123&amp;"")=""),"",IFERROR(MATCH(TRIM($J123&amp;"")&amp;"|다기관",파견수련계획!$AE$4:$AE$203,0),""))</f>
        <v/>
      </c>
      <c r="AL123" s="10">
        <f>IF($AK123="","","다기관 "&amp;TEXT(INDEX(파견수련계획!$AB$4:$AB$203,$AK123),"yyyy-mm-dd")&amp;"~"&amp;IF(ISNUMBER(INDEX(파견수련계획!$AC$4:$AC$203,$AK123)),TEXT(INDEX(파견수련계획!$AC$4:$AC$203,$AK123),"yyyy-mm-dd"),""))</f>
        <v/>
      </c>
    </row>
    <row r="124">
      <c r="A124" s="10">
        <f>IF(B124="","",ROW()-1)</f>
        <v/>
      </c>
      <c r="B124" s="18" t="n"/>
      <c r="C124" s="10">
        <f>IF($AB124="","",IF(INDEX(기본자료!$C$2:$C$501,$AB124)="","",INDEX(기본자료!$C$2:$C$501,$AB124)))</f>
        <v/>
      </c>
      <c r="D124" s="10">
        <f>IF($AB124="","",IF(INDEX(기본자료!$J$2:$J$501,$AB124)="","",INDEX(기본자료!$J$2:$J$501,$AB124)))</f>
        <v/>
      </c>
      <c r="E124" s="11">
        <f>IF($AB124="","",IF(INDEX(기본자료!$K$2:$K$501,$AB124)="","",IF(NOT(ISNUMBER(INDEX(기본자료!$K$2:$K$501,$AB124))),INDEX(기본자료!$K$2:$K$501,$AB124),IF(INDEX(기본자료!$K$2:$K$501,$AB124)&lt;1000000,INDEX(기본자료!$K$2:$K$501,$AB124),IF(AND(INDEX(기본자료!$K$2:$K$501,$AB124)&gt;=10000101,INT(MOD(INDEX(기본자료!$K$2:$K$501,$AB124),10000)/100)&gt;=1,INT(MOD(INDEX(기본자료!$K$2:$K$501,$AB124),10000)/100)&lt;=12,MOD(INDEX(기본자료!$K$2:$K$501,$AB124),100)&gt;=1,MOD(INDEX(기본자료!$K$2:$K$501,$AB124),100)&lt;=31),DATE(INT(INDEX(기본자료!$K$2:$K$501,$AB124)/10000),INT(MOD(INDEX(기본자료!$K$2:$K$501,$AB124),10000)/100),MOD(INDEX(기본자료!$K$2:$K$501,$AB124),100)),INDEX(기본자료!$K$2:$K$501,$AB124)&amp;"")))))</f>
        <v/>
      </c>
      <c r="F124" s="10">
        <f>IF($AB124="","",IF(INDEX(기본자료!$D$2:$D$501,$AB124)="","",INDEX(기본자료!$D$2:$D$501,$AB124)))</f>
        <v/>
      </c>
      <c r="G124" s="10">
        <f>IF($AB124="","",IF(INDEX(기본자료!$E$2:$E$501,$AB124)="","",INDEX(기본자료!$E$2:$E$501,$AB124)))</f>
        <v/>
      </c>
      <c r="H124" s="10">
        <f>IF($AB124="","",IF(INDEX(기본자료!$F$2:$F$501,$AB124)="","",INDEX(기본자료!$F$2:$F$501,$AB124)))</f>
        <v/>
      </c>
      <c r="I124" s="11">
        <f>IF($AB124="","",IF(INDEX(기본자료!$G$2:$G$501,$AB124)="","",IF(NOT(ISNUMBER(INDEX(기본자료!$G$2:$G$501,$AB124))),INDEX(기본자료!$G$2:$G$501,$AB124),IF(INDEX(기본자료!$G$2:$G$501,$AB124)&lt;1000000,INDEX(기본자료!$G$2:$G$501,$AB124),IF(AND(INDEX(기본자료!$G$2:$G$501,$AB124)&gt;=10000101,INT(MOD(INDEX(기본자료!$G$2:$G$501,$AB124),10000)/100)&gt;=1,INT(MOD(INDEX(기본자료!$G$2:$G$501,$AB124),10000)/100)&lt;=12,MOD(INDEX(기본자료!$G$2:$G$501,$AB124),100)&gt;=1,MOD(INDEX(기본자료!$G$2:$G$501,$AB124),100)&lt;=31),DATE(INT(INDEX(기본자료!$G$2:$G$501,$AB124)/10000),INT(MOD(INDEX(기본자료!$G$2:$G$501,$AB124),10000)/100),MOD(INDEX(기본자료!$G$2:$G$501,$AB124),100)),INDEX(기본자료!$G$2:$G$501,$AB124)&amp;"")))))</f>
        <v/>
      </c>
      <c r="J124" s="10">
        <f>IF($AB124="","",IF(INDEX(기본자료!$H$2:$H$501,$AB124)="","",INDEX(기본자료!$H$2:$H$501,$AB124)))</f>
        <v/>
      </c>
      <c r="K124" s="10">
        <f>IF($AB124="","",IF(INDEX(기본자료!$I$2:$I$501,$AB124)="","",INDEX(기본자료!$I$2:$I$501,$AB124)))</f>
        <v/>
      </c>
      <c r="L124" s="10">
        <f>IF($AB124="","",IF(INDEX(기본자료!$A$2:$A$501,$AB124)="","",INDEX(기본자료!$A$2:$A$501,$AB124)))</f>
        <v/>
      </c>
      <c r="M124" s="15" t="n"/>
      <c r="N124" s="10">
        <f>IF($B124="","",IF(AND($U124="파견중",$Q124&lt;&gt;""),$Q124,IF(AND($AD124&lt;&gt;"",LEFT($AD124,1)&lt;&gt;"⚠"),LEFT($AD124,FIND(" ",$AD124)-1),IF($H124="","",IF(RIGHT($H124,2)="병원",$H124,$H124&amp;"병원")))))</f>
        <v/>
      </c>
      <c r="O124" s="10">
        <f>IF($B124="","",IF(AND($U124="파견중",$Q124&lt;&gt;""),IF($R124&lt;&gt;"",$R124,"파견과 미입력"),IF(AND($AD124&lt;&gt;"",LEFT($AD124,1)&lt;&gt;"⚠"),MID($AD124,FIND(" ",$AD124)+1,60),IF($F124="","",IF($F124="인턴","수련교육부(인턴)",$F124)))))</f>
        <v/>
      </c>
      <c r="P124" s="10">
        <f>IF($B124="","",IF($AK124&lt;&gt;"",IF(AND(TODAY()&gt;=INDEX(파견수련계획!$AB$4:$AB$203,$AK124),OR(NOT(ISNUMBER(INDEX(파견수련계획!$AC$4:$AC$203,$AK124))),TODAY()&lt;=INDEX(파견수련계획!$AC$4:$AC$203,$AK124))),"다기관",IF($AF124="","",INDEX(파견수련계획!$T$4:$T$203,$AF124))),IF($AF124="","",INDEX(파견수련계획!$T$4:$T$203,$AF124))))</f>
        <v/>
      </c>
      <c r="Q124" s="10">
        <f>IF($AF124="","",INDEX(파견수련계획!$S$4:$S$203,$AF124))</f>
        <v/>
      </c>
      <c r="R124" s="10">
        <f>IF($AF124="","",INDEX(파견수련계획!$U$4:$U$203,$AF124))</f>
        <v/>
      </c>
      <c r="S124" s="11">
        <f>IF($AF124="","",IF(INDEX(파견수련계획!$H$4:$H$203,$AF124)="","",INDEX(파견수련계획!$H$4:$H$203,$AF124)))</f>
        <v/>
      </c>
      <c r="T124" s="11">
        <f>IF($AF124="","",IF(INDEX(파견수련계획!$I$4:$I$203,$AF124)="","",INDEX(파견수련계획!$I$4:$I$203,$AF124)))</f>
        <v/>
      </c>
      <c r="U124" s="10">
        <f>IF($AF124="","",INDEX(파견수련계획!$X$4:$X$203,$AF124))</f>
        <v/>
      </c>
      <c r="V124" s="17">
        <f>IF($AF124="","",INDEX(파견수련계획!$V$4:$V$203,$AF124))</f>
        <v/>
      </c>
      <c r="W124" s="17">
        <f>IF(AND($U124="파견중",$T124&lt;&gt;""),$T124-TODAY(),"")</f>
        <v/>
      </c>
      <c r="X124" s="17">
        <f>IF(OR($B124="",TRIM($J124&amp;"")=""),"",SUMPRODUCT((파견수련계획!$Q$4:$Q$203=TRIM($J124&amp;""))*파견수련계획!$W$4:$W$203))</f>
        <v/>
      </c>
      <c r="Y124" s="10">
        <f>IF($B124="","",IF($AG124="","",IF(IF(TRIM($J124&amp;"")="",0,SUMPRODUCT((파견수련계획!$Q$4:$Q$203=TRIM($J124&amp;""))*파견수련계획!$AD$4:$AD$203))&gt;0,$AE124,IF(N($X124)&lt;=0,$AG124,IF($AH124+$AI124=DAY(EOMONTH(요약!$B$3,0)),IF(AND($AH124&gt;=요약!$E$3,$AI124&lt;요약!$E$3),"서울병원",IF(AND($AI124&gt;=요약!$E$3,$AH124&lt;요약!$E$3),"구리병원","⚠15일 판정불가(서울 "&amp;$AH124&amp;"일/구리 "&amp;$AI124&amp;"일)")),IF($AJ124="",$AE124,IF(INDEX(파견수련계획!$T$4:$T$203,$AJ124)="통합수련",INDEX(파견수련계획!$S$4:$S$203,$AJ124),$AE124)))))))</f>
        <v/>
      </c>
      <c r="Z124" s="19">
        <f>IF($B124="","",IF($AB124="","기본자료에 없는 사번",IF(COUNTIF($B$2:$B$201,$B124)&gt;1,"중복 사번",IF($AE124="","소속(입사장소) 입력",IF(IF(TRIM($J124&amp;"")="",0,SUMPRODUCT((파견수련계획!$Q$4:$Q$203=TRIM($J124&amp;""))*(파견수련계획!$AA$4:$AA$203&lt;&gt;"")))&gt;0,"파견수련계획 입력오류 확인",IF(LEFT($Y124,1)="⚠","서울·구리 15일 판정 불가(양쪽 모두 이상/미만)",IF(IF($AC124="",0,N(INDEX(인턴근무계획!$T$3:$T$202,$AC124)))&gt;0,"인턴계획 입력오류 확인",IF(AND($AC124&lt;&gt;"",$U124&lt;&gt;"파견중",$N124&lt;&gt;$AE124),"인턴 타지역 근무: 파견 여부 확인","정상"))))))))</f>
        <v/>
      </c>
      <c r="AA124" s="5" t="n"/>
      <c r="AB124" s="10">
        <f>IF($B124="","",IFERROR(MATCH($B124,기본자료!$B$2:$B$501,0),IFERROR(MATCH($B124&amp;"",기본자료!$B$2:$B$501,0),IFERROR(MATCH(VALUE($B124),기본자료!$B$2:$B$501,0),""))))</f>
        <v/>
      </c>
      <c r="AC124" s="10">
        <f>IF($B124="","",IFERROR(MATCH($B124,인턴근무계획!$D$3:$D$202,0),IFERROR(MATCH($B124&amp;"",인턴근무계획!$D$3:$D$202,0),IFERROR(MATCH(VALUE($B124),인턴근무계획!$D$3:$D$202,0),""))))</f>
        <v/>
      </c>
      <c r="AD124" s="10">
        <f>IF(OR($AC124="",인턴현황!$G$3=""),"",INDEX(인턴근무계획!$M$3:$R$202,$AC124,인턴현황!$G$3)&amp;"")</f>
        <v/>
      </c>
      <c r="AE124" s="10">
        <f>IF($B124="","",IF($M124&lt;&gt;"",$M124,IF($AF124&lt;&gt;"",IF(LEFT(INDEX(파견수련계획!$R$4:$R$203,$AF124),1)&lt;&gt;"⚠",INDEX(파견수련계획!$R$4:$R$203,$AF124),IF($H124="","",IF(RIGHT($H124,2)="병원",$H124,$H124&amp;"병원"))),IF($H124="","",IF(RIGHT($H124,2)="병원",$H124,$H124&amp;"병원")))))</f>
        <v/>
      </c>
      <c r="AF124" s="10">
        <f>IF(OR($B124="",TRIM($J124&amp;"")=""),"",IFERROR(MATCH(TRIM($J124&amp;"")&amp;"|파견중",파견수련계획!$Y$4:$Y$203,0),IFERROR(MATCH(TRIM($J124&amp;"")&amp;"|파견예정",파견수련계획!$Y$4:$Y$203,0),IFERROR(MATCH(TRIM($J124&amp;"")&amp;"|파견종료",파견수련계획!$Y$4:$Y$203,0),""))))</f>
        <v/>
      </c>
      <c r="AG124" s="10">
        <f>IF($B124="","",IF(AND(IF(OR($AC124="",인턴현황!$K$2=""),"",INDEX(인턴근무계획!$M$3:$R$202,$AC124,인턴현황!$K$2)&amp;"")&lt;&gt;"",LEFT(IF(OR($AC124="",인턴현황!$K$2=""),"",INDEX(인턴근무계획!$M$3:$R$202,$AC124,인턴현황!$K$2)&amp;""),1)&lt;&gt;"⚠"),LEFT(IF(OR($AC124="",인턴현황!$K$2=""),"",INDEX(인턴근무계획!$M$3:$R$202,$AC124,인턴현황!$K$2)&amp;""),FIND(" ",IF(OR($AC124="",인턴현황!$K$2=""),"",INDEX(인턴근무계획!$M$3:$R$202,$AC124,인턴현황!$K$2)&amp;""))-1),$AE124))</f>
        <v/>
      </c>
      <c r="AH124" s="17">
        <f>IF($B124="","",IF(TRIM($J124&amp;"")="",0,SUMPRODUCT((파견수련계획!$Q$4:$Q$203=TRIM($J124&amp;""))*(파견수련계획!$S$4:$S$203="서울병원")*파견수련계획!$W$4:$W$203))+IF($AG124="서울병원",MAX(0,DAY(EOMONTH(요약!$B$3,0))-N($X124)),0))</f>
        <v/>
      </c>
      <c r="AI124" s="17">
        <f>IF($B124="","",IF(TRIM($J124&amp;"")="",0,SUMPRODUCT((파견수련계획!$Q$4:$Q$203=TRIM($J124&amp;""))*(파견수련계획!$S$4:$S$203="구리병원")*파견수련계획!$W$4:$W$203))+IF($AG124="구리병원",MAX(0,DAY(EOMONTH(요약!$B$3,0))-N($X124)),0))</f>
        <v/>
      </c>
      <c r="AJ124" s="10">
        <f>IF(OR($B124="",TRIM($J124&amp;"")=""),"",IFERROR(MATCH(TRIM($J124&amp;"")&amp;"|월",파견수련계획!$Z$4:$Z$203,0),""))</f>
        <v/>
      </c>
      <c r="AK124" s="10">
        <f>IF(OR($B124="",TRIM($J124&amp;"")=""),"",IFERROR(MATCH(TRIM($J124&amp;"")&amp;"|다기관",파견수련계획!$AE$4:$AE$203,0),""))</f>
        <v/>
      </c>
      <c r="AL124" s="10">
        <f>IF($AK124="","","다기관 "&amp;TEXT(INDEX(파견수련계획!$AB$4:$AB$203,$AK124),"yyyy-mm-dd")&amp;"~"&amp;IF(ISNUMBER(INDEX(파견수련계획!$AC$4:$AC$203,$AK124)),TEXT(INDEX(파견수련계획!$AC$4:$AC$203,$AK124),"yyyy-mm-dd"),""))</f>
        <v/>
      </c>
    </row>
    <row r="125">
      <c r="A125" s="10">
        <f>IF(B125="","",ROW()-1)</f>
        <v/>
      </c>
      <c r="B125" s="18" t="n"/>
      <c r="C125" s="10">
        <f>IF($AB125="","",IF(INDEX(기본자료!$C$2:$C$501,$AB125)="","",INDEX(기본자료!$C$2:$C$501,$AB125)))</f>
        <v/>
      </c>
      <c r="D125" s="10">
        <f>IF($AB125="","",IF(INDEX(기본자료!$J$2:$J$501,$AB125)="","",INDEX(기본자료!$J$2:$J$501,$AB125)))</f>
        <v/>
      </c>
      <c r="E125" s="11">
        <f>IF($AB125="","",IF(INDEX(기본자료!$K$2:$K$501,$AB125)="","",IF(NOT(ISNUMBER(INDEX(기본자료!$K$2:$K$501,$AB125))),INDEX(기본자료!$K$2:$K$501,$AB125),IF(INDEX(기본자료!$K$2:$K$501,$AB125)&lt;1000000,INDEX(기본자료!$K$2:$K$501,$AB125),IF(AND(INDEX(기본자료!$K$2:$K$501,$AB125)&gt;=10000101,INT(MOD(INDEX(기본자료!$K$2:$K$501,$AB125),10000)/100)&gt;=1,INT(MOD(INDEX(기본자료!$K$2:$K$501,$AB125),10000)/100)&lt;=12,MOD(INDEX(기본자료!$K$2:$K$501,$AB125),100)&gt;=1,MOD(INDEX(기본자료!$K$2:$K$501,$AB125),100)&lt;=31),DATE(INT(INDEX(기본자료!$K$2:$K$501,$AB125)/10000),INT(MOD(INDEX(기본자료!$K$2:$K$501,$AB125),10000)/100),MOD(INDEX(기본자료!$K$2:$K$501,$AB125),100)),INDEX(기본자료!$K$2:$K$501,$AB125)&amp;"")))))</f>
        <v/>
      </c>
      <c r="F125" s="10">
        <f>IF($AB125="","",IF(INDEX(기본자료!$D$2:$D$501,$AB125)="","",INDEX(기본자료!$D$2:$D$501,$AB125)))</f>
        <v/>
      </c>
      <c r="G125" s="10">
        <f>IF($AB125="","",IF(INDEX(기본자료!$E$2:$E$501,$AB125)="","",INDEX(기본자료!$E$2:$E$501,$AB125)))</f>
        <v/>
      </c>
      <c r="H125" s="10">
        <f>IF($AB125="","",IF(INDEX(기본자료!$F$2:$F$501,$AB125)="","",INDEX(기본자료!$F$2:$F$501,$AB125)))</f>
        <v/>
      </c>
      <c r="I125" s="11">
        <f>IF($AB125="","",IF(INDEX(기본자료!$G$2:$G$501,$AB125)="","",IF(NOT(ISNUMBER(INDEX(기본자료!$G$2:$G$501,$AB125))),INDEX(기본자료!$G$2:$G$501,$AB125),IF(INDEX(기본자료!$G$2:$G$501,$AB125)&lt;1000000,INDEX(기본자료!$G$2:$G$501,$AB125),IF(AND(INDEX(기본자료!$G$2:$G$501,$AB125)&gt;=10000101,INT(MOD(INDEX(기본자료!$G$2:$G$501,$AB125),10000)/100)&gt;=1,INT(MOD(INDEX(기본자료!$G$2:$G$501,$AB125),10000)/100)&lt;=12,MOD(INDEX(기본자료!$G$2:$G$501,$AB125),100)&gt;=1,MOD(INDEX(기본자료!$G$2:$G$501,$AB125),100)&lt;=31),DATE(INT(INDEX(기본자료!$G$2:$G$501,$AB125)/10000),INT(MOD(INDEX(기본자료!$G$2:$G$501,$AB125),10000)/100),MOD(INDEX(기본자료!$G$2:$G$501,$AB125),100)),INDEX(기본자료!$G$2:$G$501,$AB125)&amp;"")))))</f>
        <v/>
      </c>
      <c r="J125" s="10">
        <f>IF($AB125="","",IF(INDEX(기본자료!$H$2:$H$501,$AB125)="","",INDEX(기본자료!$H$2:$H$501,$AB125)))</f>
        <v/>
      </c>
      <c r="K125" s="10">
        <f>IF($AB125="","",IF(INDEX(기본자료!$I$2:$I$501,$AB125)="","",INDEX(기본자료!$I$2:$I$501,$AB125)))</f>
        <v/>
      </c>
      <c r="L125" s="10">
        <f>IF($AB125="","",IF(INDEX(기본자료!$A$2:$A$501,$AB125)="","",INDEX(기본자료!$A$2:$A$501,$AB125)))</f>
        <v/>
      </c>
      <c r="M125" s="15" t="n"/>
      <c r="N125" s="10">
        <f>IF($B125="","",IF(AND($U125="파견중",$Q125&lt;&gt;""),$Q125,IF(AND($AD125&lt;&gt;"",LEFT($AD125,1)&lt;&gt;"⚠"),LEFT($AD125,FIND(" ",$AD125)-1),IF($H125="","",IF(RIGHT($H125,2)="병원",$H125,$H125&amp;"병원")))))</f>
        <v/>
      </c>
      <c r="O125" s="10">
        <f>IF($B125="","",IF(AND($U125="파견중",$Q125&lt;&gt;""),IF($R125&lt;&gt;"",$R125,"파견과 미입력"),IF(AND($AD125&lt;&gt;"",LEFT($AD125,1)&lt;&gt;"⚠"),MID($AD125,FIND(" ",$AD125)+1,60),IF($F125="","",IF($F125="인턴","수련교육부(인턴)",$F125)))))</f>
        <v/>
      </c>
      <c r="P125" s="10">
        <f>IF($B125="","",IF($AK125&lt;&gt;"",IF(AND(TODAY()&gt;=INDEX(파견수련계획!$AB$4:$AB$203,$AK125),OR(NOT(ISNUMBER(INDEX(파견수련계획!$AC$4:$AC$203,$AK125))),TODAY()&lt;=INDEX(파견수련계획!$AC$4:$AC$203,$AK125))),"다기관",IF($AF125="","",INDEX(파견수련계획!$T$4:$T$203,$AF125))),IF($AF125="","",INDEX(파견수련계획!$T$4:$T$203,$AF125))))</f>
        <v/>
      </c>
      <c r="Q125" s="10">
        <f>IF($AF125="","",INDEX(파견수련계획!$S$4:$S$203,$AF125))</f>
        <v/>
      </c>
      <c r="R125" s="10">
        <f>IF($AF125="","",INDEX(파견수련계획!$U$4:$U$203,$AF125))</f>
        <v/>
      </c>
      <c r="S125" s="11">
        <f>IF($AF125="","",IF(INDEX(파견수련계획!$H$4:$H$203,$AF125)="","",INDEX(파견수련계획!$H$4:$H$203,$AF125)))</f>
        <v/>
      </c>
      <c r="T125" s="11">
        <f>IF($AF125="","",IF(INDEX(파견수련계획!$I$4:$I$203,$AF125)="","",INDEX(파견수련계획!$I$4:$I$203,$AF125)))</f>
        <v/>
      </c>
      <c r="U125" s="10">
        <f>IF($AF125="","",INDEX(파견수련계획!$X$4:$X$203,$AF125))</f>
        <v/>
      </c>
      <c r="V125" s="17">
        <f>IF($AF125="","",INDEX(파견수련계획!$V$4:$V$203,$AF125))</f>
        <v/>
      </c>
      <c r="W125" s="17">
        <f>IF(AND($U125="파견중",$T125&lt;&gt;""),$T125-TODAY(),"")</f>
        <v/>
      </c>
      <c r="X125" s="17">
        <f>IF(OR($B125="",TRIM($J125&amp;"")=""),"",SUMPRODUCT((파견수련계획!$Q$4:$Q$203=TRIM($J125&amp;""))*파견수련계획!$W$4:$W$203))</f>
        <v/>
      </c>
      <c r="Y125" s="10">
        <f>IF($B125="","",IF($AG125="","",IF(IF(TRIM($J125&amp;"")="",0,SUMPRODUCT((파견수련계획!$Q$4:$Q$203=TRIM($J125&amp;""))*파견수련계획!$AD$4:$AD$203))&gt;0,$AE125,IF(N($X125)&lt;=0,$AG125,IF($AH125+$AI125=DAY(EOMONTH(요약!$B$3,0)),IF(AND($AH125&gt;=요약!$E$3,$AI125&lt;요약!$E$3),"서울병원",IF(AND($AI125&gt;=요약!$E$3,$AH125&lt;요약!$E$3),"구리병원","⚠15일 판정불가(서울 "&amp;$AH125&amp;"일/구리 "&amp;$AI125&amp;"일)")),IF($AJ125="",$AE125,IF(INDEX(파견수련계획!$T$4:$T$203,$AJ125)="통합수련",INDEX(파견수련계획!$S$4:$S$203,$AJ125),$AE125)))))))</f>
        <v/>
      </c>
      <c r="Z125" s="19">
        <f>IF($B125="","",IF($AB125="","기본자료에 없는 사번",IF(COUNTIF($B$2:$B$201,$B125)&gt;1,"중복 사번",IF($AE125="","소속(입사장소) 입력",IF(IF(TRIM($J125&amp;"")="",0,SUMPRODUCT((파견수련계획!$Q$4:$Q$203=TRIM($J125&amp;""))*(파견수련계획!$AA$4:$AA$203&lt;&gt;"")))&gt;0,"파견수련계획 입력오류 확인",IF(LEFT($Y125,1)="⚠","서울·구리 15일 판정 불가(양쪽 모두 이상/미만)",IF(IF($AC125="",0,N(INDEX(인턴근무계획!$T$3:$T$202,$AC125)))&gt;0,"인턴계획 입력오류 확인",IF(AND($AC125&lt;&gt;"",$U125&lt;&gt;"파견중",$N125&lt;&gt;$AE125),"인턴 타지역 근무: 파견 여부 확인","정상"))))))))</f>
        <v/>
      </c>
      <c r="AA125" s="5" t="n"/>
      <c r="AB125" s="10">
        <f>IF($B125="","",IFERROR(MATCH($B125,기본자료!$B$2:$B$501,0),IFERROR(MATCH($B125&amp;"",기본자료!$B$2:$B$501,0),IFERROR(MATCH(VALUE($B125),기본자료!$B$2:$B$501,0),""))))</f>
        <v/>
      </c>
      <c r="AC125" s="10">
        <f>IF($B125="","",IFERROR(MATCH($B125,인턴근무계획!$D$3:$D$202,0),IFERROR(MATCH($B125&amp;"",인턴근무계획!$D$3:$D$202,0),IFERROR(MATCH(VALUE($B125),인턴근무계획!$D$3:$D$202,0),""))))</f>
        <v/>
      </c>
      <c r="AD125" s="10">
        <f>IF(OR($AC125="",인턴현황!$G$3=""),"",INDEX(인턴근무계획!$M$3:$R$202,$AC125,인턴현황!$G$3)&amp;"")</f>
        <v/>
      </c>
      <c r="AE125" s="10">
        <f>IF($B125="","",IF($M125&lt;&gt;"",$M125,IF($AF125&lt;&gt;"",IF(LEFT(INDEX(파견수련계획!$R$4:$R$203,$AF125),1)&lt;&gt;"⚠",INDEX(파견수련계획!$R$4:$R$203,$AF125),IF($H125="","",IF(RIGHT($H125,2)="병원",$H125,$H125&amp;"병원"))),IF($H125="","",IF(RIGHT($H125,2)="병원",$H125,$H125&amp;"병원")))))</f>
        <v/>
      </c>
      <c r="AF125" s="10">
        <f>IF(OR($B125="",TRIM($J125&amp;"")=""),"",IFERROR(MATCH(TRIM($J125&amp;"")&amp;"|파견중",파견수련계획!$Y$4:$Y$203,0),IFERROR(MATCH(TRIM($J125&amp;"")&amp;"|파견예정",파견수련계획!$Y$4:$Y$203,0),IFERROR(MATCH(TRIM($J125&amp;"")&amp;"|파견종료",파견수련계획!$Y$4:$Y$203,0),""))))</f>
        <v/>
      </c>
      <c r="AG125" s="10">
        <f>IF($B125="","",IF(AND(IF(OR($AC125="",인턴현황!$K$2=""),"",INDEX(인턴근무계획!$M$3:$R$202,$AC125,인턴현황!$K$2)&amp;"")&lt;&gt;"",LEFT(IF(OR($AC125="",인턴현황!$K$2=""),"",INDEX(인턴근무계획!$M$3:$R$202,$AC125,인턴현황!$K$2)&amp;""),1)&lt;&gt;"⚠"),LEFT(IF(OR($AC125="",인턴현황!$K$2=""),"",INDEX(인턴근무계획!$M$3:$R$202,$AC125,인턴현황!$K$2)&amp;""),FIND(" ",IF(OR($AC125="",인턴현황!$K$2=""),"",INDEX(인턴근무계획!$M$3:$R$202,$AC125,인턴현황!$K$2)&amp;""))-1),$AE125))</f>
        <v/>
      </c>
      <c r="AH125" s="17">
        <f>IF($B125="","",IF(TRIM($J125&amp;"")="",0,SUMPRODUCT((파견수련계획!$Q$4:$Q$203=TRIM($J125&amp;""))*(파견수련계획!$S$4:$S$203="서울병원")*파견수련계획!$W$4:$W$203))+IF($AG125="서울병원",MAX(0,DAY(EOMONTH(요약!$B$3,0))-N($X125)),0))</f>
        <v/>
      </c>
      <c r="AI125" s="17">
        <f>IF($B125="","",IF(TRIM($J125&amp;"")="",0,SUMPRODUCT((파견수련계획!$Q$4:$Q$203=TRIM($J125&amp;""))*(파견수련계획!$S$4:$S$203="구리병원")*파견수련계획!$W$4:$W$203))+IF($AG125="구리병원",MAX(0,DAY(EOMONTH(요약!$B$3,0))-N($X125)),0))</f>
        <v/>
      </c>
      <c r="AJ125" s="10">
        <f>IF(OR($B125="",TRIM($J125&amp;"")=""),"",IFERROR(MATCH(TRIM($J125&amp;"")&amp;"|월",파견수련계획!$Z$4:$Z$203,0),""))</f>
        <v/>
      </c>
      <c r="AK125" s="10">
        <f>IF(OR($B125="",TRIM($J125&amp;"")=""),"",IFERROR(MATCH(TRIM($J125&amp;"")&amp;"|다기관",파견수련계획!$AE$4:$AE$203,0),""))</f>
        <v/>
      </c>
      <c r="AL125" s="10">
        <f>IF($AK125="","","다기관 "&amp;TEXT(INDEX(파견수련계획!$AB$4:$AB$203,$AK125),"yyyy-mm-dd")&amp;"~"&amp;IF(ISNUMBER(INDEX(파견수련계획!$AC$4:$AC$203,$AK125)),TEXT(INDEX(파견수련계획!$AC$4:$AC$203,$AK125),"yyyy-mm-dd"),""))</f>
        <v/>
      </c>
    </row>
    <row r="126">
      <c r="A126" s="10">
        <f>IF(B126="","",ROW()-1)</f>
        <v/>
      </c>
      <c r="B126" s="18" t="n"/>
      <c r="C126" s="10">
        <f>IF($AB126="","",IF(INDEX(기본자료!$C$2:$C$501,$AB126)="","",INDEX(기본자료!$C$2:$C$501,$AB126)))</f>
        <v/>
      </c>
      <c r="D126" s="10">
        <f>IF($AB126="","",IF(INDEX(기본자료!$J$2:$J$501,$AB126)="","",INDEX(기본자료!$J$2:$J$501,$AB126)))</f>
        <v/>
      </c>
      <c r="E126" s="11">
        <f>IF($AB126="","",IF(INDEX(기본자료!$K$2:$K$501,$AB126)="","",IF(NOT(ISNUMBER(INDEX(기본자료!$K$2:$K$501,$AB126))),INDEX(기본자료!$K$2:$K$501,$AB126),IF(INDEX(기본자료!$K$2:$K$501,$AB126)&lt;1000000,INDEX(기본자료!$K$2:$K$501,$AB126),IF(AND(INDEX(기본자료!$K$2:$K$501,$AB126)&gt;=10000101,INT(MOD(INDEX(기본자료!$K$2:$K$501,$AB126),10000)/100)&gt;=1,INT(MOD(INDEX(기본자료!$K$2:$K$501,$AB126),10000)/100)&lt;=12,MOD(INDEX(기본자료!$K$2:$K$501,$AB126),100)&gt;=1,MOD(INDEX(기본자료!$K$2:$K$501,$AB126),100)&lt;=31),DATE(INT(INDEX(기본자료!$K$2:$K$501,$AB126)/10000),INT(MOD(INDEX(기본자료!$K$2:$K$501,$AB126),10000)/100),MOD(INDEX(기본자료!$K$2:$K$501,$AB126),100)),INDEX(기본자료!$K$2:$K$501,$AB126)&amp;"")))))</f>
        <v/>
      </c>
      <c r="F126" s="10">
        <f>IF($AB126="","",IF(INDEX(기본자료!$D$2:$D$501,$AB126)="","",INDEX(기본자료!$D$2:$D$501,$AB126)))</f>
        <v/>
      </c>
      <c r="G126" s="10">
        <f>IF($AB126="","",IF(INDEX(기본자료!$E$2:$E$501,$AB126)="","",INDEX(기본자료!$E$2:$E$501,$AB126)))</f>
        <v/>
      </c>
      <c r="H126" s="10">
        <f>IF($AB126="","",IF(INDEX(기본자료!$F$2:$F$501,$AB126)="","",INDEX(기본자료!$F$2:$F$501,$AB126)))</f>
        <v/>
      </c>
      <c r="I126" s="11">
        <f>IF($AB126="","",IF(INDEX(기본자료!$G$2:$G$501,$AB126)="","",IF(NOT(ISNUMBER(INDEX(기본자료!$G$2:$G$501,$AB126))),INDEX(기본자료!$G$2:$G$501,$AB126),IF(INDEX(기본자료!$G$2:$G$501,$AB126)&lt;1000000,INDEX(기본자료!$G$2:$G$501,$AB126),IF(AND(INDEX(기본자료!$G$2:$G$501,$AB126)&gt;=10000101,INT(MOD(INDEX(기본자료!$G$2:$G$501,$AB126),10000)/100)&gt;=1,INT(MOD(INDEX(기본자료!$G$2:$G$501,$AB126),10000)/100)&lt;=12,MOD(INDEX(기본자료!$G$2:$G$501,$AB126),100)&gt;=1,MOD(INDEX(기본자료!$G$2:$G$501,$AB126),100)&lt;=31),DATE(INT(INDEX(기본자료!$G$2:$G$501,$AB126)/10000),INT(MOD(INDEX(기본자료!$G$2:$G$501,$AB126),10000)/100),MOD(INDEX(기본자료!$G$2:$G$501,$AB126),100)),INDEX(기본자료!$G$2:$G$501,$AB126)&amp;"")))))</f>
        <v/>
      </c>
      <c r="J126" s="10">
        <f>IF($AB126="","",IF(INDEX(기본자료!$H$2:$H$501,$AB126)="","",INDEX(기본자료!$H$2:$H$501,$AB126)))</f>
        <v/>
      </c>
      <c r="K126" s="10">
        <f>IF($AB126="","",IF(INDEX(기본자료!$I$2:$I$501,$AB126)="","",INDEX(기본자료!$I$2:$I$501,$AB126)))</f>
        <v/>
      </c>
      <c r="L126" s="10">
        <f>IF($AB126="","",IF(INDEX(기본자료!$A$2:$A$501,$AB126)="","",INDEX(기본자료!$A$2:$A$501,$AB126)))</f>
        <v/>
      </c>
      <c r="M126" s="15" t="n"/>
      <c r="N126" s="10">
        <f>IF($B126="","",IF(AND($U126="파견중",$Q126&lt;&gt;""),$Q126,IF(AND($AD126&lt;&gt;"",LEFT($AD126,1)&lt;&gt;"⚠"),LEFT($AD126,FIND(" ",$AD126)-1),IF($H126="","",IF(RIGHT($H126,2)="병원",$H126,$H126&amp;"병원")))))</f>
        <v/>
      </c>
      <c r="O126" s="10">
        <f>IF($B126="","",IF(AND($U126="파견중",$Q126&lt;&gt;""),IF($R126&lt;&gt;"",$R126,"파견과 미입력"),IF(AND($AD126&lt;&gt;"",LEFT($AD126,1)&lt;&gt;"⚠"),MID($AD126,FIND(" ",$AD126)+1,60),IF($F126="","",IF($F126="인턴","수련교육부(인턴)",$F126)))))</f>
        <v/>
      </c>
      <c r="P126" s="10">
        <f>IF($B126="","",IF($AK126&lt;&gt;"",IF(AND(TODAY()&gt;=INDEX(파견수련계획!$AB$4:$AB$203,$AK126),OR(NOT(ISNUMBER(INDEX(파견수련계획!$AC$4:$AC$203,$AK126))),TODAY()&lt;=INDEX(파견수련계획!$AC$4:$AC$203,$AK126))),"다기관",IF($AF126="","",INDEX(파견수련계획!$T$4:$T$203,$AF126))),IF($AF126="","",INDEX(파견수련계획!$T$4:$T$203,$AF126))))</f>
        <v/>
      </c>
      <c r="Q126" s="10">
        <f>IF($AF126="","",INDEX(파견수련계획!$S$4:$S$203,$AF126))</f>
        <v/>
      </c>
      <c r="R126" s="10">
        <f>IF($AF126="","",INDEX(파견수련계획!$U$4:$U$203,$AF126))</f>
        <v/>
      </c>
      <c r="S126" s="11">
        <f>IF($AF126="","",IF(INDEX(파견수련계획!$H$4:$H$203,$AF126)="","",INDEX(파견수련계획!$H$4:$H$203,$AF126)))</f>
        <v/>
      </c>
      <c r="T126" s="11">
        <f>IF($AF126="","",IF(INDEX(파견수련계획!$I$4:$I$203,$AF126)="","",INDEX(파견수련계획!$I$4:$I$203,$AF126)))</f>
        <v/>
      </c>
      <c r="U126" s="10">
        <f>IF($AF126="","",INDEX(파견수련계획!$X$4:$X$203,$AF126))</f>
        <v/>
      </c>
      <c r="V126" s="17">
        <f>IF($AF126="","",INDEX(파견수련계획!$V$4:$V$203,$AF126))</f>
        <v/>
      </c>
      <c r="W126" s="17">
        <f>IF(AND($U126="파견중",$T126&lt;&gt;""),$T126-TODAY(),"")</f>
        <v/>
      </c>
      <c r="X126" s="17">
        <f>IF(OR($B126="",TRIM($J126&amp;"")=""),"",SUMPRODUCT((파견수련계획!$Q$4:$Q$203=TRIM($J126&amp;""))*파견수련계획!$W$4:$W$203))</f>
        <v/>
      </c>
      <c r="Y126" s="10">
        <f>IF($B126="","",IF($AG126="","",IF(IF(TRIM($J126&amp;"")="",0,SUMPRODUCT((파견수련계획!$Q$4:$Q$203=TRIM($J126&amp;""))*파견수련계획!$AD$4:$AD$203))&gt;0,$AE126,IF(N($X126)&lt;=0,$AG126,IF($AH126+$AI126=DAY(EOMONTH(요약!$B$3,0)),IF(AND($AH126&gt;=요약!$E$3,$AI126&lt;요약!$E$3),"서울병원",IF(AND($AI126&gt;=요약!$E$3,$AH126&lt;요약!$E$3),"구리병원","⚠15일 판정불가(서울 "&amp;$AH126&amp;"일/구리 "&amp;$AI126&amp;"일)")),IF($AJ126="",$AE126,IF(INDEX(파견수련계획!$T$4:$T$203,$AJ126)="통합수련",INDEX(파견수련계획!$S$4:$S$203,$AJ126),$AE126)))))))</f>
        <v/>
      </c>
      <c r="Z126" s="19">
        <f>IF($B126="","",IF($AB126="","기본자료에 없는 사번",IF(COUNTIF($B$2:$B$201,$B126)&gt;1,"중복 사번",IF($AE126="","소속(입사장소) 입력",IF(IF(TRIM($J126&amp;"")="",0,SUMPRODUCT((파견수련계획!$Q$4:$Q$203=TRIM($J126&amp;""))*(파견수련계획!$AA$4:$AA$203&lt;&gt;"")))&gt;0,"파견수련계획 입력오류 확인",IF(LEFT($Y126,1)="⚠","서울·구리 15일 판정 불가(양쪽 모두 이상/미만)",IF(IF($AC126="",0,N(INDEX(인턴근무계획!$T$3:$T$202,$AC126)))&gt;0,"인턴계획 입력오류 확인",IF(AND($AC126&lt;&gt;"",$U126&lt;&gt;"파견중",$N126&lt;&gt;$AE126),"인턴 타지역 근무: 파견 여부 확인","정상"))))))))</f>
        <v/>
      </c>
      <c r="AA126" s="5" t="n"/>
      <c r="AB126" s="10">
        <f>IF($B126="","",IFERROR(MATCH($B126,기본자료!$B$2:$B$501,0),IFERROR(MATCH($B126&amp;"",기본자료!$B$2:$B$501,0),IFERROR(MATCH(VALUE($B126),기본자료!$B$2:$B$501,0),""))))</f>
        <v/>
      </c>
      <c r="AC126" s="10">
        <f>IF($B126="","",IFERROR(MATCH($B126,인턴근무계획!$D$3:$D$202,0),IFERROR(MATCH($B126&amp;"",인턴근무계획!$D$3:$D$202,0),IFERROR(MATCH(VALUE($B126),인턴근무계획!$D$3:$D$202,0),""))))</f>
        <v/>
      </c>
      <c r="AD126" s="10">
        <f>IF(OR($AC126="",인턴현황!$G$3=""),"",INDEX(인턴근무계획!$M$3:$R$202,$AC126,인턴현황!$G$3)&amp;"")</f>
        <v/>
      </c>
      <c r="AE126" s="10">
        <f>IF($B126="","",IF($M126&lt;&gt;"",$M126,IF($AF126&lt;&gt;"",IF(LEFT(INDEX(파견수련계획!$R$4:$R$203,$AF126),1)&lt;&gt;"⚠",INDEX(파견수련계획!$R$4:$R$203,$AF126),IF($H126="","",IF(RIGHT($H126,2)="병원",$H126,$H126&amp;"병원"))),IF($H126="","",IF(RIGHT($H126,2)="병원",$H126,$H126&amp;"병원")))))</f>
        <v/>
      </c>
      <c r="AF126" s="10">
        <f>IF(OR($B126="",TRIM($J126&amp;"")=""),"",IFERROR(MATCH(TRIM($J126&amp;"")&amp;"|파견중",파견수련계획!$Y$4:$Y$203,0),IFERROR(MATCH(TRIM($J126&amp;"")&amp;"|파견예정",파견수련계획!$Y$4:$Y$203,0),IFERROR(MATCH(TRIM($J126&amp;"")&amp;"|파견종료",파견수련계획!$Y$4:$Y$203,0),""))))</f>
        <v/>
      </c>
      <c r="AG126" s="10">
        <f>IF($B126="","",IF(AND(IF(OR($AC126="",인턴현황!$K$2=""),"",INDEX(인턴근무계획!$M$3:$R$202,$AC126,인턴현황!$K$2)&amp;"")&lt;&gt;"",LEFT(IF(OR($AC126="",인턴현황!$K$2=""),"",INDEX(인턴근무계획!$M$3:$R$202,$AC126,인턴현황!$K$2)&amp;""),1)&lt;&gt;"⚠"),LEFT(IF(OR($AC126="",인턴현황!$K$2=""),"",INDEX(인턴근무계획!$M$3:$R$202,$AC126,인턴현황!$K$2)&amp;""),FIND(" ",IF(OR($AC126="",인턴현황!$K$2=""),"",INDEX(인턴근무계획!$M$3:$R$202,$AC126,인턴현황!$K$2)&amp;""))-1),$AE126))</f>
        <v/>
      </c>
      <c r="AH126" s="17">
        <f>IF($B126="","",IF(TRIM($J126&amp;"")="",0,SUMPRODUCT((파견수련계획!$Q$4:$Q$203=TRIM($J126&amp;""))*(파견수련계획!$S$4:$S$203="서울병원")*파견수련계획!$W$4:$W$203))+IF($AG126="서울병원",MAX(0,DAY(EOMONTH(요약!$B$3,0))-N($X126)),0))</f>
        <v/>
      </c>
      <c r="AI126" s="17">
        <f>IF($B126="","",IF(TRIM($J126&amp;"")="",0,SUMPRODUCT((파견수련계획!$Q$4:$Q$203=TRIM($J126&amp;""))*(파견수련계획!$S$4:$S$203="구리병원")*파견수련계획!$W$4:$W$203))+IF($AG126="구리병원",MAX(0,DAY(EOMONTH(요약!$B$3,0))-N($X126)),0))</f>
        <v/>
      </c>
      <c r="AJ126" s="10">
        <f>IF(OR($B126="",TRIM($J126&amp;"")=""),"",IFERROR(MATCH(TRIM($J126&amp;"")&amp;"|월",파견수련계획!$Z$4:$Z$203,0),""))</f>
        <v/>
      </c>
      <c r="AK126" s="10">
        <f>IF(OR($B126="",TRIM($J126&amp;"")=""),"",IFERROR(MATCH(TRIM($J126&amp;"")&amp;"|다기관",파견수련계획!$AE$4:$AE$203,0),""))</f>
        <v/>
      </c>
      <c r="AL126" s="10">
        <f>IF($AK126="","","다기관 "&amp;TEXT(INDEX(파견수련계획!$AB$4:$AB$203,$AK126),"yyyy-mm-dd")&amp;"~"&amp;IF(ISNUMBER(INDEX(파견수련계획!$AC$4:$AC$203,$AK126)),TEXT(INDEX(파견수련계획!$AC$4:$AC$203,$AK126),"yyyy-mm-dd"),""))</f>
        <v/>
      </c>
    </row>
    <row r="127">
      <c r="A127" s="10">
        <f>IF(B127="","",ROW()-1)</f>
        <v/>
      </c>
      <c r="B127" s="18" t="n"/>
      <c r="C127" s="10">
        <f>IF($AB127="","",IF(INDEX(기본자료!$C$2:$C$501,$AB127)="","",INDEX(기본자료!$C$2:$C$501,$AB127)))</f>
        <v/>
      </c>
      <c r="D127" s="10">
        <f>IF($AB127="","",IF(INDEX(기본자료!$J$2:$J$501,$AB127)="","",INDEX(기본자료!$J$2:$J$501,$AB127)))</f>
        <v/>
      </c>
      <c r="E127" s="11">
        <f>IF($AB127="","",IF(INDEX(기본자료!$K$2:$K$501,$AB127)="","",IF(NOT(ISNUMBER(INDEX(기본자료!$K$2:$K$501,$AB127))),INDEX(기본자료!$K$2:$K$501,$AB127),IF(INDEX(기본자료!$K$2:$K$501,$AB127)&lt;1000000,INDEX(기본자료!$K$2:$K$501,$AB127),IF(AND(INDEX(기본자료!$K$2:$K$501,$AB127)&gt;=10000101,INT(MOD(INDEX(기본자료!$K$2:$K$501,$AB127),10000)/100)&gt;=1,INT(MOD(INDEX(기본자료!$K$2:$K$501,$AB127),10000)/100)&lt;=12,MOD(INDEX(기본자료!$K$2:$K$501,$AB127),100)&gt;=1,MOD(INDEX(기본자료!$K$2:$K$501,$AB127),100)&lt;=31),DATE(INT(INDEX(기본자료!$K$2:$K$501,$AB127)/10000),INT(MOD(INDEX(기본자료!$K$2:$K$501,$AB127),10000)/100),MOD(INDEX(기본자료!$K$2:$K$501,$AB127),100)),INDEX(기본자료!$K$2:$K$501,$AB127)&amp;"")))))</f>
        <v/>
      </c>
      <c r="F127" s="10">
        <f>IF($AB127="","",IF(INDEX(기본자료!$D$2:$D$501,$AB127)="","",INDEX(기본자료!$D$2:$D$501,$AB127)))</f>
        <v/>
      </c>
      <c r="G127" s="10">
        <f>IF($AB127="","",IF(INDEX(기본자료!$E$2:$E$501,$AB127)="","",INDEX(기본자료!$E$2:$E$501,$AB127)))</f>
        <v/>
      </c>
      <c r="H127" s="10">
        <f>IF($AB127="","",IF(INDEX(기본자료!$F$2:$F$501,$AB127)="","",INDEX(기본자료!$F$2:$F$501,$AB127)))</f>
        <v/>
      </c>
      <c r="I127" s="11">
        <f>IF($AB127="","",IF(INDEX(기본자료!$G$2:$G$501,$AB127)="","",IF(NOT(ISNUMBER(INDEX(기본자료!$G$2:$G$501,$AB127))),INDEX(기본자료!$G$2:$G$501,$AB127),IF(INDEX(기본자료!$G$2:$G$501,$AB127)&lt;1000000,INDEX(기본자료!$G$2:$G$501,$AB127),IF(AND(INDEX(기본자료!$G$2:$G$501,$AB127)&gt;=10000101,INT(MOD(INDEX(기본자료!$G$2:$G$501,$AB127),10000)/100)&gt;=1,INT(MOD(INDEX(기본자료!$G$2:$G$501,$AB127),10000)/100)&lt;=12,MOD(INDEX(기본자료!$G$2:$G$501,$AB127),100)&gt;=1,MOD(INDEX(기본자료!$G$2:$G$501,$AB127),100)&lt;=31),DATE(INT(INDEX(기본자료!$G$2:$G$501,$AB127)/10000),INT(MOD(INDEX(기본자료!$G$2:$G$501,$AB127),10000)/100),MOD(INDEX(기본자료!$G$2:$G$501,$AB127),100)),INDEX(기본자료!$G$2:$G$501,$AB127)&amp;"")))))</f>
        <v/>
      </c>
      <c r="J127" s="10">
        <f>IF($AB127="","",IF(INDEX(기본자료!$H$2:$H$501,$AB127)="","",INDEX(기본자료!$H$2:$H$501,$AB127)))</f>
        <v/>
      </c>
      <c r="K127" s="10">
        <f>IF($AB127="","",IF(INDEX(기본자료!$I$2:$I$501,$AB127)="","",INDEX(기본자료!$I$2:$I$501,$AB127)))</f>
        <v/>
      </c>
      <c r="L127" s="10">
        <f>IF($AB127="","",IF(INDEX(기본자료!$A$2:$A$501,$AB127)="","",INDEX(기본자료!$A$2:$A$501,$AB127)))</f>
        <v/>
      </c>
      <c r="M127" s="15" t="n"/>
      <c r="N127" s="10">
        <f>IF($B127="","",IF(AND($U127="파견중",$Q127&lt;&gt;""),$Q127,IF(AND($AD127&lt;&gt;"",LEFT($AD127,1)&lt;&gt;"⚠"),LEFT($AD127,FIND(" ",$AD127)-1),IF($H127="","",IF(RIGHT($H127,2)="병원",$H127,$H127&amp;"병원")))))</f>
        <v/>
      </c>
      <c r="O127" s="10">
        <f>IF($B127="","",IF(AND($U127="파견중",$Q127&lt;&gt;""),IF($R127&lt;&gt;"",$R127,"파견과 미입력"),IF(AND($AD127&lt;&gt;"",LEFT($AD127,1)&lt;&gt;"⚠"),MID($AD127,FIND(" ",$AD127)+1,60),IF($F127="","",IF($F127="인턴","수련교육부(인턴)",$F127)))))</f>
        <v/>
      </c>
      <c r="P127" s="10">
        <f>IF($B127="","",IF($AK127&lt;&gt;"",IF(AND(TODAY()&gt;=INDEX(파견수련계획!$AB$4:$AB$203,$AK127),OR(NOT(ISNUMBER(INDEX(파견수련계획!$AC$4:$AC$203,$AK127))),TODAY()&lt;=INDEX(파견수련계획!$AC$4:$AC$203,$AK127))),"다기관",IF($AF127="","",INDEX(파견수련계획!$T$4:$T$203,$AF127))),IF($AF127="","",INDEX(파견수련계획!$T$4:$T$203,$AF127))))</f>
        <v/>
      </c>
      <c r="Q127" s="10">
        <f>IF($AF127="","",INDEX(파견수련계획!$S$4:$S$203,$AF127))</f>
        <v/>
      </c>
      <c r="R127" s="10">
        <f>IF($AF127="","",INDEX(파견수련계획!$U$4:$U$203,$AF127))</f>
        <v/>
      </c>
      <c r="S127" s="11">
        <f>IF($AF127="","",IF(INDEX(파견수련계획!$H$4:$H$203,$AF127)="","",INDEX(파견수련계획!$H$4:$H$203,$AF127)))</f>
        <v/>
      </c>
      <c r="T127" s="11">
        <f>IF($AF127="","",IF(INDEX(파견수련계획!$I$4:$I$203,$AF127)="","",INDEX(파견수련계획!$I$4:$I$203,$AF127)))</f>
        <v/>
      </c>
      <c r="U127" s="10">
        <f>IF($AF127="","",INDEX(파견수련계획!$X$4:$X$203,$AF127))</f>
        <v/>
      </c>
      <c r="V127" s="17">
        <f>IF($AF127="","",INDEX(파견수련계획!$V$4:$V$203,$AF127))</f>
        <v/>
      </c>
      <c r="W127" s="17">
        <f>IF(AND($U127="파견중",$T127&lt;&gt;""),$T127-TODAY(),"")</f>
        <v/>
      </c>
      <c r="X127" s="17">
        <f>IF(OR($B127="",TRIM($J127&amp;"")=""),"",SUMPRODUCT((파견수련계획!$Q$4:$Q$203=TRIM($J127&amp;""))*파견수련계획!$W$4:$W$203))</f>
        <v/>
      </c>
      <c r="Y127" s="10">
        <f>IF($B127="","",IF($AG127="","",IF(IF(TRIM($J127&amp;"")="",0,SUMPRODUCT((파견수련계획!$Q$4:$Q$203=TRIM($J127&amp;""))*파견수련계획!$AD$4:$AD$203))&gt;0,$AE127,IF(N($X127)&lt;=0,$AG127,IF($AH127+$AI127=DAY(EOMONTH(요약!$B$3,0)),IF(AND($AH127&gt;=요약!$E$3,$AI127&lt;요약!$E$3),"서울병원",IF(AND($AI127&gt;=요약!$E$3,$AH127&lt;요약!$E$3),"구리병원","⚠15일 판정불가(서울 "&amp;$AH127&amp;"일/구리 "&amp;$AI127&amp;"일)")),IF($AJ127="",$AE127,IF(INDEX(파견수련계획!$T$4:$T$203,$AJ127)="통합수련",INDEX(파견수련계획!$S$4:$S$203,$AJ127),$AE127)))))))</f>
        <v/>
      </c>
      <c r="Z127" s="19">
        <f>IF($B127="","",IF($AB127="","기본자료에 없는 사번",IF(COUNTIF($B$2:$B$201,$B127)&gt;1,"중복 사번",IF($AE127="","소속(입사장소) 입력",IF(IF(TRIM($J127&amp;"")="",0,SUMPRODUCT((파견수련계획!$Q$4:$Q$203=TRIM($J127&amp;""))*(파견수련계획!$AA$4:$AA$203&lt;&gt;"")))&gt;0,"파견수련계획 입력오류 확인",IF(LEFT($Y127,1)="⚠","서울·구리 15일 판정 불가(양쪽 모두 이상/미만)",IF(IF($AC127="",0,N(INDEX(인턴근무계획!$T$3:$T$202,$AC127)))&gt;0,"인턴계획 입력오류 확인",IF(AND($AC127&lt;&gt;"",$U127&lt;&gt;"파견중",$N127&lt;&gt;$AE127),"인턴 타지역 근무: 파견 여부 확인","정상"))))))))</f>
        <v/>
      </c>
      <c r="AA127" s="5" t="n"/>
      <c r="AB127" s="10">
        <f>IF($B127="","",IFERROR(MATCH($B127,기본자료!$B$2:$B$501,0),IFERROR(MATCH($B127&amp;"",기본자료!$B$2:$B$501,0),IFERROR(MATCH(VALUE($B127),기본자료!$B$2:$B$501,0),""))))</f>
        <v/>
      </c>
      <c r="AC127" s="10">
        <f>IF($B127="","",IFERROR(MATCH($B127,인턴근무계획!$D$3:$D$202,0),IFERROR(MATCH($B127&amp;"",인턴근무계획!$D$3:$D$202,0),IFERROR(MATCH(VALUE($B127),인턴근무계획!$D$3:$D$202,0),""))))</f>
        <v/>
      </c>
      <c r="AD127" s="10">
        <f>IF(OR($AC127="",인턴현황!$G$3=""),"",INDEX(인턴근무계획!$M$3:$R$202,$AC127,인턴현황!$G$3)&amp;"")</f>
        <v/>
      </c>
      <c r="AE127" s="10">
        <f>IF($B127="","",IF($M127&lt;&gt;"",$M127,IF($AF127&lt;&gt;"",IF(LEFT(INDEX(파견수련계획!$R$4:$R$203,$AF127),1)&lt;&gt;"⚠",INDEX(파견수련계획!$R$4:$R$203,$AF127),IF($H127="","",IF(RIGHT($H127,2)="병원",$H127,$H127&amp;"병원"))),IF($H127="","",IF(RIGHT($H127,2)="병원",$H127,$H127&amp;"병원")))))</f>
        <v/>
      </c>
      <c r="AF127" s="10">
        <f>IF(OR($B127="",TRIM($J127&amp;"")=""),"",IFERROR(MATCH(TRIM($J127&amp;"")&amp;"|파견중",파견수련계획!$Y$4:$Y$203,0),IFERROR(MATCH(TRIM($J127&amp;"")&amp;"|파견예정",파견수련계획!$Y$4:$Y$203,0),IFERROR(MATCH(TRIM($J127&amp;"")&amp;"|파견종료",파견수련계획!$Y$4:$Y$203,0),""))))</f>
        <v/>
      </c>
      <c r="AG127" s="10">
        <f>IF($B127="","",IF(AND(IF(OR($AC127="",인턴현황!$K$2=""),"",INDEX(인턴근무계획!$M$3:$R$202,$AC127,인턴현황!$K$2)&amp;"")&lt;&gt;"",LEFT(IF(OR($AC127="",인턴현황!$K$2=""),"",INDEX(인턴근무계획!$M$3:$R$202,$AC127,인턴현황!$K$2)&amp;""),1)&lt;&gt;"⚠"),LEFT(IF(OR($AC127="",인턴현황!$K$2=""),"",INDEX(인턴근무계획!$M$3:$R$202,$AC127,인턴현황!$K$2)&amp;""),FIND(" ",IF(OR($AC127="",인턴현황!$K$2=""),"",INDEX(인턴근무계획!$M$3:$R$202,$AC127,인턴현황!$K$2)&amp;""))-1),$AE127))</f>
        <v/>
      </c>
      <c r="AH127" s="17">
        <f>IF($B127="","",IF(TRIM($J127&amp;"")="",0,SUMPRODUCT((파견수련계획!$Q$4:$Q$203=TRIM($J127&amp;""))*(파견수련계획!$S$4:$S$203="서울병원")*파견수련계획!$W$4:$W$203))+IF($AG127="서울병원",MAX(0,DAY(EOMONTH(요약!$B$3,0))-N($X127)),0))</f>
        <v/>
      </c>
      <c r="AI127" s="17">
        <f>IF($B127="","",IF(TRIM($J127&amp;"")="",0,SUMPRODUCT((파견수련계획!$Q$4:$Q$203=TRIM($J127&amp;""))*(파견수련계획!$S$4:$S$203="구리병원")*파견수련계획!$W$4:$W$203))+IF($AG127="구리병원",MAX(0,DAY(EOMONTH(요약!$B$3,0))-N($X127)),0))</f>
        <v/>
      </c>
      <c r="AJ127" s="10">
        <f>IF(OR($B127="",TRIM($J127&amp;"")=""),"",IFERROR(MATCH(TRIM($J127&amp;"")&amp;"|월",파견수련계획!$Z$4:$Z$203,0),""))</f>
        <v/>
      </c>
      <c r="AK127" s="10">
        <f>IF(OR($B127="",TRIM($J127&amp;"")=""),"",IFERROR(MATCH(TRIM($J127&amp;"")&amp;"|다기관",파견수련계획!$AE$4:$AE$203,0),""))</f>
        <v/>
      </c>
      <c r="AL127" s="10">
        <f>IF($AK127="","","다기관 "&amp;TEXT(INDEX(파견수련계획!$AB$4:$AB$203,$AK127),"yyyy-mm-dd")&amp;"~"&amp;IF(ISNUMBER(INDEX(파견수련계획!$AC$4:$AC$203,$AK127)),TEXT(INDEX(파견수련계획!$AC$4:$AC$203,$AK127),"yyyy-mm-dd"),""))</f>
        <v/>
      </c>
    </row>
    <row r="128">
      <c r="A128" s="10">
        <f>IF(B128="","",ROW()-1)</f>
        <v/>
      </c>
      <c r="B128" s="18" t="n"/>
      <c r="C128" s="10">
        <f>IF($AB128="","",IF(INDEX(기본자료!$C$2:$C$501,$AB128)="","",INDEX(기본자료!$C$2:$C$501,$AB128)))</f>
        <v/>
      </c>
      <c r="D128" s="10">
        <f>IF($AB128="","",IF(INDEX(기본자료!$J$2:$J$501,$AB128)="","",INDEX(기본자료!$J$2:$J$501,$AB128)))</f>
        <v/>
      </c>
      <c r="E128" s="11">
        <f>IF($AB128="","",IF(INDEX(기본자료!$K$2:$K$501,$AB128)="","",IF(NOT(ISNUMBER(INDEX(기본자료!$K$2:$K$501,$AB128))),INDEX(기본자료!$K$2:$K$501,$AB128),IF(INDEX(기본자료!$K$2:$K$501,$AB128)&lt;1000000,INDEX(기본자료!$K$2:$K$501,$AB128),IF(AND(INDEX(기본자료!$K$2:$K$501,$AB128)&gt;=10000101,INT(MOD(INDEX(기본자료!$K$2:$K$501,$AB128),10000)/100)&gt;=1,INT(MOD(INDEX(기본자료!$K$2:$K$501,$AB128),10000)/100)&lt;=12,MOD(INDEX(기본자료!$K$2:$K$501,$AB128),100)&gt;=1,MOD(INDEX(기본자료!$K$2:$K$501,$AB128),100)&lt;=31),DATE(INT(INDEX(기본자료!$K$2:$K$501,$AB128)/10000),INT(MOD(INDEX(기본자료!$K$2:$K$501,$AB128),10000)/100),MOD(INDEX(기본자료!$K$2:$K$501,$AB128),100)),INDEX(기본자료!$K$2:$K$501,$AB128)&amp;"")))))</f>
        <v/>
      </c>
      <c r="F128" s="10">
        <f>IF($AB128="","",IF(INDEX(기본자료!$D$2:$D$501,$AB128)="","",INDEX(기본자료!$D$2:$D$501,$AB128)))</f>
        <v/>
      </c>
      <c r="G128" s="10">
        <f>IF($AB128="","",IF(INDEX(기본자료!$E$2:$E$501,$AB128)="","",INDEX(기본자료!$E$2:$E$501,$AB128)))</f>
        <v/>
      </c>
      <c r="H128" s="10">
        <f>IF($AB128="","",IF(INDEX(기본자료!$F$2:$F$501,$AB128)="","",INDEX(기본자료!$F$2:$F$501,$AB128)))</f>
        <v/>
      </c>
      <c r="I128" s="11">
        <f>IF($AB128="","",IF(INDEX(기본자료!$G$2:$G$501,$AB128)="","",IF(NOT(ISNUMBER(INDEX(기본자료!$G$2:$G$501,$AB128))),INDEX(기본자료!$G$2:$G$501,$AB128),IF(INDEX(기본자료!$G$2:$G$501,$AB128)&lt;1000000,INDEX(기본자료!$G$2:$G$501,$AB128),IF(AND(INDEX(기본자료!$G$2:$G$501,$AB128)&gt;=10000101,INT(MOD(INDEX(기본자료!$G$2:$G$501,$AB128),10000)/100)&gt;=1,INT(MOD(INDEX(기본자료!$G$2:$G$501,$AB128),10000)/100)&lt;=12,MOD(INDEX(기본자료!$G$2:$G$501,$AB128),100)&gt;=1,MOD(INDEX(기본자료!$G$2:$G$501,$AB128),100)&lt;=31),DATE(INT(INDEX(기본자료!$G$2:$G$501,$AB128)/10000),INT(MOD(INDEX(기본자료!$G$2:$G$501,$AB128),10000)/100),MOD(INDEX(기본자료!$G$2:$G$501,$AB128),100)),INDEX(기본자료!$G$2:$G$501,$AB128)&amp;"")))))</f>
        <v/>
      </c>
      <c r="J128" s="10">
        <f>IF($AB128="","",IF(INDEX(기본자료!$H$2:$H$501,$AB128)="","",INDEX(기본자료!$H$2:$H$501,$AB128)))</f>
        <v/>
      </c>
      <c r="K128" s="10">
        <f>IF($AB128="","",IF(INDEX(기본자료!$I$2:$I$501,$AB128)="","",INDEX(기본자료!$I$2:$I$501,$AB128)))</f>
        <v/>
      </c>
      <c r="L128" s="10">
        <f>IF($AB128="","",IF(INDEX(기본자료!$A$2:$A$501,$AB128)="","",INDEX(기본자료!$A$2:$A$501,$AB128)))</f>
        <v/>
      </c>
      <c r="M128" s="15" t="n"/>
      <c r="N128" s="10">
        <f>IF($B128="","",IF(AND($U128="파견중",$Q128&lt;&gt;""),$Q128,IF(AND($AD128&lt;&gt;"",LEFT($AD128,1)&lt;&gt;"⚠"),LEFT($AD128,FIND(" ",$AD128)-1),IF($H128="","",IF(RIGHT($H128,2)="병원",$H128,$H128&amp;"병원")))))</f>
        <v/>
      </c>
      <c r="O128" s="10">
        <f>IF($B128="","",IF(AND($U128="파견중",$Q128&lt;&gt;""),IF($R128&lt;&gt;"",$R128,"파견과 미입력"),IF(AND($AD128&lt;&gt;"",LEFT($AD128,1)&lt;&gt;"⚠"),MID($AD128,FIND(" ",$AD128)+1,60),IF($F128="","",IF($F128="인턴","수련교육부(인턴)",$F128)))))</f>
        <v/>
      </c>
      <c r="P128" s="10">
        <f>IF($B128="","",IF($AK128&lt;&gt;"",IF(AND(TODAY()&gt;=INDEX(파견수련계획!$AB$4:$AB$203,$AK128),OR(NOT(ISNUMBER(INDEX(파견수련계획!$AC$4:$AC$203,$AK128))),TODAY()&lt;=INDEX(파견수련계획!$AC$4:$AC$203,$AK128))),"다기관",IF($AF128="","",INDEX(파견수련계획!$T$4:$T$203,$AF128))),IF($AF128="","",INDEX(파견수련계획!$T$4:$T$203,$AF128))))</f>
        <v/>
      </c>
      <c r="Q128" s="10">
        <f>IF($AF128="","",INDEX(파견수련계획!$S$4:$S$203,$AF128))</f>
        <v/>
      </c>
      <c r="R128" s="10">
        <f>IF($AF128="","",INDEX(파견수련계획!$U$4:$U$203,$AF128))</f>
        <v/>
      </c>
      <c r="S128" s="11">
        <f>IF($AF128="","",IF(INDEX(파견수련계획!$H$4:$H$203,$AF128)="","",INDEX(파견수련계획!$H$4:$H$203,$AF128)))</f>
        <v/>
      </c>
      <c r="T128" s="11">
        <f>IF($AF128="","",IF(INDEX(파견수련계획!$I$4:$I$203,$AF128)="","",INDEX(파견수련계획!$I$4:$I$203,$AF128)))</f>
        <v/>
      </c>
      <c r="U128" s="10">
        <f>IF($AF128="","",INDEX(파견수련계획!$X$4:$X$203,$AF128))</f>
        <v/>
      </c>
      <c r="V128" s="17">
        <f>IF($AF128="","",INDEX(파견수련계획!$V$4:$V$203,$AF128))</f>
        <v/>
      </c>
      <c r="W128" s="17">
        <f>IF(AND($U128="파견중",$T128&lt;&gt;""),$T128-TODAY(),"")</f>
        <v/>
      </c>
      <c r="X128" s="17">
        <f>IF(OR($B128="",TRIM($J128&amp;"")=""),"",SUMPRODUCT((파견수련계획!$Q$4:$Q$203=TRIM($J128&amp;""))*파견수련계획!$W$4:$W$203))</f>
        <v/>
      </c>
      <c r="Y128" s="10">
        <f>IF($B128="","",IF($AG128="","",IF(IF(TRIM($J128&amp;"")="",0,SUMPRODUCT((파견수련계획!$Q$4:$Q$203=TRIM($J128&amp;""))*파견수련계획!$AD$4:$AD$203))&gt;0,$AE128,IF(N($X128)&lt;=0,$AG128,IF($AH128+$AI128=DAY(EOMONTH(요약!$B$3,0)),IF(AND($AH128&gt;=요약!$E$3,$AI128&lt;요약!$E$3),"서울병원",IF(AND($AI128&gt;=요약!$E$3,$AH128&lt;요약!$E$3),"구리병원","⚠15일 판정불가(서울 "&amp;$AH128&amp;"일/구리 "&amp;$AI128&amp;"일)")),IF($AJ128="",$AE128,IF(INDEX(파견수련계획!$T$4:$T$203,$AJ128)="통합수련",INDEX(파견수련계획!$S$4:$S$203,$AJ128),$AE128)))))))</f>
        <v/>
      </c>
      <c r="Z128" s="19">
        <f>IF($B128="","",IF($AB128="","기본자료에 없는 사번",IF(COUNTIF($B$2:$B$201,$B128)&gt;1,"중복 사번",IF($AE128="","소속(입사장소) 입력",IF(IF(TRIM($J128&amp;"")="",0,SUMPRODUCT((파견수련계획!$Q$4:$Q$203=TRIM($J128&amp;""))*(파견수련계획!$AA$4:$AA$203&lt;&gt;"")))&gt;0,"파견수련계획 입력오류 확인",IF(LEFT($Y128,1)="⚠","서울·구리 15일 판정 불가(양쪽 모두 이상/미만)",IF(IF($AC128="",0,N(INDEX(인턴근무계획!$T$3:$T$202,$AC128)))&gt;0,"인턴계획 입력오류 확인",IF(AND($AC128&lt;&gt;"",$U128&lt;&gt;"파견중",$N128&lt;&gt;$AE128),"인턴 타지역 근무: 파견 여부 확인","정상"))))))))</f>
        <v/>
      </c>
      <c r="AA128" s="5" t="n"/>
      <c r="AB128" s="10">
        <f>IF($B128="","",IFERROR(MATCH($B128,기본자료!$B$2:$B$501,0),IFERROR(MATCH($B128&amp;"",기본자료!$B$2:$B$501,0),IFERROR(MATCH(VALUE($B128),기본자료!$B$2:$B$501,0),""))))</f>
        <v/>
      </c>
      <c r="AC128" s="10">
        <f>IF($B128="","",IFERROR(MATCH($B128,인턴근무계획!$D$3:$D$202,0),IFERROR(MATCH($B128&amp;"",인턴근무계획!$D$3:$D$202,0),IFERROR(MATCH(VALUE($B128),인턴근무계획!$D$3:$D$202,0),""))))</f>
        <v/>
      </c>
      <c r="AD128" s="10">
        <f>IF(OR($AC128="",인턴현황!$G$3=""),"",INDEX(인턴근무계획!$M$3:$R$202,$AC128,인턴현황!$G$3)&amp;"")</f>
        <v/>
      </c>
      <c r="AE128" s="10">
        <f>IF($B128="","",IF($M128&lt;&gt;"",$M128,IF($AF128&lt;&gt;"",IF(LEFT(INDEX(파견수련계획!$R$4:$R$203,$AF128),1)&lt;&gt;"⚠",INDEX(파견수련계획!$R$4:$R$203,$AF128),IF($H128="","",IF(RIGHT($H128,2)="병원",$H128,$H128&amp;"병원"))),IF($H128="","",IF(RIGHT($H128,2)="병원",$H128,$H128&amp;"병원")))))</f>
        <v/>
      </c>
      <c r="AF128" s="10">
        <f>IF(OR($B128="",TRIM($J128&amp;"")=""),"",IFERROR(MATCH(TRIM($J128&amp;"")&amp;"|파견중",파견수련계획!$Y$4:$Y$203,0),IFERROR(MATCH(TRIM($J128&amp;"")&amp;"|파견예정",파견수련계획!$Y$4:$Y$203,0),IFERROR(MATCH(TRIM($J128&amp;"")&amp;"|파견종료",파견수련계획!$Y$4:$Y$203,0),""))))</f>
        <v/>
      </c>
      <c r="AG128" s="10">
        <f>IF($B128="","",IF(AND(IF(OR($AC128="",인턴현황!$K$2=""),"",INDEX(인턴근무계획!$M$3:$R$202,$AC128,인턴현황!$K$2)&amp;"")&lt;&gt;"",LEFT(IF(OR($AC128="",인턴현황!$K$2=""),"",INDEX(인턴근무계획!$M$3:$R$202,$AC128,인턴현황!$K$2)&amp;""),1)&lt;&gt;"⚠"),LEFT(IF(OR($AC128="",인턴현황!$K$2=""),"",INDEX(인턴근무계획!$M$3:$R$202,$AC128,인턴현황!$K$2)&amp;""),FIND(" ",IF(OR($AC128="",인턴현황!$K$2=""),"",INDEX(인턴근무계획!$M$3:$R$202,$AC128,인턴현황!$K$2)&amp;""))-1),$AE128))</f>
        <v/>
      </c>
      <c r="AH128" s="17">
        <f>IF($B128="","",IF(TRIM($J128&amp;"")="",0,SUMPRODUCT((파견수련계획!$Q$4:$Q$203=TRIM($J128&amp;""))*(파견수련계획!$S$4:$S$203="서울병원")*파견수련계획!$W$4:$W$203))+IF($AG128="서울병원",MAX(0,DAY(EOMONTH(요약!$B$3,0))-N($X128)),0))</f>
        <v/>
      </c>
      <c r="AI128" s="17">
        <f>IF($B128="","",IF(TRIM($J128&amp;"")="",0,SUMPRODUCT((파견수련계획!$Q$4:$Q$203=TRIM($J128&amp;""))*(파견수련계획!$S$4:$S$203="구리병원")*파견수련계획!$W$4:$W$203))+IF($AG128="구리병원",MAX(0,DAY(EOMONTH(요약!$B$3,0))-N($X128)),0))</f>
        <v/>
      </c>
      <c r="AJ128" s="10">
        <f>IF(OR($B128="",TRIM($J128&amp;"")=""),"",IFERROR(MATCH(TRIM($J128&amp;"")&amp;"|월",파견수련계획!$Z$4:$Z$203,0),""))</f>
        <v/>
      </c>
      <c r="AK128" s="10">
        <f>IF(OR($B128="",TRIM($J128&amp;"")=""),"",IFERROR(MATCH(TRIM($J128&amp;"")&amp;"|다기관",파견수련계획!$AE$4:$AE$203,0),""))</f>
        <v/>
      </c>
      <c r="AL128" s="10">
        <f>IF($AK128="","","다기관 "&amp;TEXT(INDEX(파견수련계획!$AB$4:$AB$203,$AK128),"yyyy-mm-dd")&amp;"~"&amp;IF(ISNUMBER(INDEX(파견수련계획!$AC$4:$AC$203,$AK128)),TEXT(INDEX(파견수련계획!$AC$4:$AC$203,$AK128),"yyyy-mm-dd"),""))</f>
        <v/>
      </c>
    </row>
    <row r="129">
      <c r="A129" s="10">
        <f>IF(B129="","",ROW()-1)</f>
        <v/>
      </c>
      <c r="B129" s="18" t="n"/>
      <c r="C129" s="10">
        <f>IF($AB129="","",IF(INDEX(기본자료!$C$2:$C$501,$AB129)="","",INDEX(기본자료!$C$2:$C$501,$AB129)))</f>
        <v/>
      </c>
      <c r="D129" s="10">
        <f>IF($AB129="","",IF(INDEX(기본자료!$J$2:$J$501,$AB129)="","",INDEX(기본자료!$J$2:$J$501,$AB129)))</f>
        <v/>
      </c>
      <c r="E129" s="11">
        <f>IF($AB129="","",IF(INDEX(기본자료!$K$2:$K$501,$AB129)="","",IF(NOT(ISNUMBER(INDEX(기본자료!$K$2:$K$501,$AB129))),INDEX(기본자료!$K$2:$K$501,$AB129),IF(INDEX(기본자료!$K$2:$K$501,$AB129)&lt;1000000,INDEX(기본자료!$K$2:$K$501,$AB129),IF(AND(INDEX(기본자료!$K$2:$K$501,$AB129)&gt;=10000101,INT(MOD(INDEX(기본자료!$K$2:$K$501,$AB129),10000)/100)&gt;=1,INT(MOD(INDEX(기본자료!$K$2:$K$501,$AB129),10000)/100)&lt;=12,MOD(INDEX(기본자료!$K$2:$K$501,$AB129),100)&gt;=1,MOD(INDEX(기본자료!$K$2:$K$501,$AB129),100)&lt;=31),DATE(INT(INDEX(기본자료!$K$2:$K$501,$AB129)/10000),INT(MOD(INDEX(기본자료!$K$2:$K$501,$AB129),10000)/100),MOD(INDEX(기본자료!$K$2:$K$501,$AB129),100)),INDEX(기본자료!$K$2:$K$501,$AB129)&amp;"")))))</f>
        <v/>
      </c>
      <c r="F129" s="10">
        <f>IF($AB129="","",IF(INDEX(기본자료!$D$2:$D$501,$AB129)="","",INDEX(기본자료!$D$2:$D$501,$AB129)))</f>
        <v/>
      </c>
      <c r="G129" s="10">
        <f>IF($AB129="","",IF(INDEX(기본자료!$E$2:$E$501,$AB129)="","",INDEX(기본자료!$E$2:$E$501,$AB129)))</f>
        <v/>
      </c>
      <c r="H129" s="10">
        <f>IF($AB129="","",IF(INDEX(기본자료!$F$2:$F$501,$AB129)="","",INDEX(기본자료!$F$2:$F$501,$AB129)))</f>
        <v/>
      </c>
      <c r="I129" s="11">
        <f>IF($AB129="","",IF(INDEX(기본자료!$G$2:$G$501,$AB129)="","",IF(NOT(ISNUMBER(INDEX(기본자료!$G$2:$G$501,$AB129))),INDEX(기본자료!$G$2:$G$501,$AB129),IF(INDEX(기본자료!$G$2:$G$501,$AB129)&lt;1000000,INDEX(기본자료!$G$2:$G$501,$AB129),IF(AND(INDEX(기본자료!$G$2:$G$501,$AB129)&gt;=10000101,INT(MOD(INDEX(기본자료!$G$2:$G$501,$AB129),10000)/100)&gt;=1,INT(MOD(INDEX(기본자료!$G$2:$G$501,$AB129),10000)/100)&lt;=12,MOD(INDEX(기본자료!$G$2:$G$501,$AB129),100)&gt;=1,MOD(INDEX(기본자료!$G$2:$G$501,$AB129),100)&lt;=31),DATE(INT(INDEX(기본자료!$G$2:$G$501,$AB129)/10000),INT(MOD(INDEX(기본자료!$G$2:$G$501,$AB129),10000)/100),MOD(INDEX(기본자료!$G$2:$G$501,$AB129),100)),INDEX(기본자료!$G$2:$G$501,$AB129)&amp;"")))))</f>
        <v/>
      </c>
      <c r="J129" s="10">
        <f>IF($AB129="","",IF(INDEX(기본자료!$H$2:$H$501,$AB129)="","",INDEX(기본자료!$H$2:$H$501,$AB129)))</f>
        <v/>
      </c>
      <c r="K129" s="10">
        <f>IF($AB129="","",IF(INDEX(기본자료!$I$2:$I$501,$AB129)="","",INDEX(기본자료!$I$2:$I$501,$AB129)))</f>
        <v/>
      </c>
      <c r="L129" s="10">
        <f>IF($AB129="","",IF(INDEX(기본자료!$A$2:$A$501,$AB129)="","",INDEX(기본자료!$A$2:$A$501,$AB129)))</f>
        <v/>
      </c>
      <c r="M129" s="15" t="n"/>
      <c r="N129" s="10">
        <f>IF($B129="","",IF(AND($U129="파견중",$Q129&lt;&gt;""),$Q129,IF(AND($AD129&lt;&gt;"",LEFT($AD129,1)&lt;&gt;"⚠"),LEFT($AD129,FIND(" ",$AD129)-1),IF($H129="","",IF(RIGHT($H129,2)="병원",$H129,$H129&amp;"병원")))))</f>
        <v/>
      </c>
      <c r="O129" s="10">
        <f>IF($B129="","",IF(AND($U129="파견중",$Q129&lt;&gt;""),IF($R129&lt;&gt;"",$R129,"파견과 미입력"),IF(AND($AD129&lt;&gt;"",LEFT($AD129,1)&lt;&gt;"⚠"),MID($AD129,FIND(" ",$AD129)+1,60),IF($F129="","",IF($F129="인턴","수련교육부(인턴)",$F129)))))</f>
        <v/>
      </c>
      <c r="P129" s="10">
        <f>IF($B129="","",IF($AK129&lt;&gt;"",IF(AND(TODAY()&gt;=INDEX(파견수련계획!$AB$4:$AB$203,$AK129),OR(NOT(ISNUMBER(INDEX(파견수련계획!$AC$4:$AC$203,$AK129))),TODAY()&lt;=INDEX(파견수련계획!$AC$4:$AC$203,$AK129))),"다기관",IF($AF129="","",INDEX(파견수련계획!$T$4:$T$203,$AF129))),IF($AF129="","",INDEX(파견수련계획!$T$4:$T$203,$AF129))))</f>
        <v/>
      </c>
      <c r="Q129" s="10">
        <f>IF($AF129="","",INDEX(파견수련계획!$S$4:$S$203,$AF129))</f>
        <v/>
      </c>
      <c r="R129" s="10">
        <f>IF($AF129="","",INDEX(파견수련계획!$U$4:$U$203,$AF129))</f>
        <v/>
      </c>
      <c r="S129" s="11">
        <f>IF($AF129="","",IF(INDEX(파견수련계획!$H$4:$H$203,$AF129)="","",INDEX(파견수련계획!$H$4:$H$203,$AF129)))</f>
        <v/>
      </c>
      <c r="T129" s="11">
        <f>IF($AF129="","",IF(INDEX(파견수련계획!$I$4:$I$203,$AF129)="","",INDEX(파견수련계획!$I$4:$I$203,$AF129)))</f>
        <v/>
      </c>
      <c r="U129" s="10">
        <f>IF($AF129="","",INDEX(파견수련계획!$X$4:$X$203,$AF129))</f>
        <v/>
      </c>
      <c r="V129" s="17">
        <f>IF($AF129="","",INDEX(파견수련계획!$V$4:$V$203,$AF129))</f>
        <v/>
      </c>
      <c r="W129" s="17">
        <f>IF(AND($U129="파견중",$T129&lt;&gt;""),$T129-TODAY(),"")</f>
        <v/>
      </c>
      <c r="X129" s="17">
        <f>IF(OR($B129="",TRIM($J129&amp;"")=""),"",SUMPRODUCT((파견수련계획!$Q$4:$Q$203=TRIM($J129&amp;""))*파견수련계획!$W$4:$W$203))</f>
        <v/>
      </c>
      <c r="Y129" s="10">
        <f>IF($B129="","",IF($AG129="","",IF(IF(TRIM($J129&amp;"")="",0,SUMPRODUCT((파견수련계획!$Q$4:$Q$203=TRIM($J129&amp;""))*파견수련계획!$AD$4:$AD$203))&gt;0,$AE129,IF(N($X129)&lt;=0,$AG129,IF($AH129+$AI129=DAY(EOMONTH(요약!$B$3,0)),IF(AND($AH129&gt;=요약!$E$3,$AI129&lt;요약!$E$3),"서울병원",IF(AND($AI129&gt;=요약!$E$3,$AH129&lt;요약!$E$3),"구리병원","⚠15일 판정불가(서울 "&amp;$AH129&amp;"일/구리 "&amp;$AI129&amp;"일)")),IF($AJ129="",$AE129,IF(INDEX(파견수련계획!$T$4:$T$203,$AJ129)="통합수련",INDEX(파견수련계획!$S$4:$S$203,$AJ129),$AE129)))))))</f>
        <v/>
      </c>
      <c r="Z129" s="19">
        <f>IF($B129="","",IF($AB129="","기본자료에 없는 사번",IF(COUNTIF($B$2:$B$201,$B129)&gt;1,"중복 사번",IF($AE129="","소속(입사장소) 입력",IF(IF(TRIM($J129&amp;"")="",0,SUMPRODUCT((파견수련계획!$Q$4:$Q$203=TRIM($J129&amp;""))*(파견수련계획!$AA$4:$AA$203&lt;&gt;"")))&gt;0,"파견수련계획 입력오류 확인",IF(LEFT($Y129,1)="⚠","서울·구리 15일 판정 불가(양쪽 모두 이상/미만)",IF(IF($AC129="",0,N(INDEX(인턴근무계획!$T$3:$T$202,$AC129)))&gt;0,"인턴계획 입력오류 확인",IF(AND($AC129&lt;&gt;"",$U129&lt;&gt;"파견중",$N129&lt;&gt;$AE129),"인턴 타지역 근무: 파견 여부 확인","정상"))))))))</f>
        <v/>
      </c>
      <c r="AA129" s="5" t="n"/>
      <c r="AB129" s="10">
        <f>IF($B129="","",IFERROR(MATCH($B129,기본자료!$B$2:$B$501,0),IFERROR(MATCH($B129&amp;"",기본자료!$B$2:$B$501,0),IFERROR(MATCH(VALUE($B129),기본자료!$B$2:$B$501,0),""))))</f>
        <v/>
      </c>
      <c r="AC129" s="10">
        <f>IF($B129="","",IFERROR(MATCH($B129,인턴근무계획!$D$3:$D$202,0),IFERROR(MATCH($B129&amp;"",인턴근무계획!$D$3:$D$202,0),IFERROR(MATCH(VALUE($B129),인턴근무계획!$D$3:$D$202,0),""))))</f>
        <v/>
      </c>
      <c r="AD129" s="10">
        <f>IF(OR($AC129="",인턴현황!$G$3=""),"",INDEX(인턴근무계획!$M$3:$R$202,$AC129,인턴현황!$G$3)&amp;"")</f>
        <v/>
      </c>
      <c r="AE129" s="10">
        <f>IF($B129="","",IF($M129&lt;&gt;"",$M129,IF($AF129&lt;&gt;"",IF(LEFT(INDEX(파견수련계획!$R$4:$R$203,$AF129),1)&lt;&gt;"⚠",INDEX(파견수련계획!$R$4:$R$203,$AF129),IF($H129="","",IF(RIGHT($H129,2)="병원",$H129,$H129&amp;"병원"))),IF($H129="","",IF(RIGHT($H129,2)="병원",$H129,$H129&amp;"병원")))))</f>
        <v/>
      </c>
      <c r="AF129" s="10">
        <f>IF(OR($B129="",TRIM($J129&amp;"")=""),"",IFERROR(MATCH(TRIM($J129&amp;"")&amp;"|파견중",파견수련계획!$Y$4:$Y$203,0),IFERROR(MATCH(TRIM($J129&amp;"")&amp;"|파견예정",파견수련계획!$Y$4:$Y$203,0),IFERROR(MATCH(TRIM($J129&amp;"")&amp;"|파견종료",파견수련계획!$Y$4:$Y$203,0),""))))</f>
        <v/>
      </c>
      <c r="AG129" s="10">
        <f>IF($B129="","",IF(AND(IF(OR($AC129="",인턴현황!$K$2=""),"",INDEX(인턴근무계획!$M$3:$R$202,$AC129,인턴현황!$K$2)&amp;"")&lt;&gt;"",LEFT(IF(OR($AC129="",인턴현황!$K$2=""),"",INDEX(인턴근무계획!$M$3:$R$202,$AC129,인턴현황!$K$2)&amp;""),1)&lt;&gt;"⚠"),LEFT(IF(OR($AC129="",인턴현황!$K$2=""),"",INDEX(인턴근무계획!$M$3:$R$202,$AC129,인턴현황!$K$2)&amp;""),FIND(" ",IF(OR($AC129="",인턴현황!$K$2=""),"",INDEX(인턴근무계획!$M$3:$R$202,$AC129,인턴현황!$K$2)&amp;""))-1),$AE129))</f>
        <v/>
      </c>
      <c r="AH129" s="17">
        <f>IF($B129="","",IF(TRIM($J129&amp;"")="",0,SUMPRODUCT((파견수련계획!$Q$4:$Q$203=TRIM($J129&amp;""))*(파견수련계획!$S$4:$S$203="서울병원")*파견수련계획!$W$4:$W$203))+IF($AG129="서울병원",MAX(0,DAY(EOMONTH(요약!$B$3,0))-N($X129)),0))</f>
        <v/>
      </c>
      <c r="AI129" s="17">
        <f>IF($B129="","",IF(TRIM($J129&amp;"")="",0,SUMPRODUCT((파견수련계획!$Q$4:$Q$203=TRIM($J129&amp;""))*(파견수련계획!$S$4:$S$203="구리병원")*파견수련계획!$W$4:$W$203))+IF($AG129="구리병원",MAX(0,DAY(EOMONTH(요약!$B$3,0))-N($X129)),0))</f>
        <v/>
      </c>
      <c r="AJ129" s="10">
        <f>IF(OR($B129="",TRIM($J129&amp;"")=""),"",IFERROR(MATCH(TRIM($J129&amp;"")&amp;"|월",파견수련계획!$Z$4:$Z$203,0),""))</f>
        <v/>
      </c>
      <c r="AK129" s="10">
        <f>IF(OR($B129="",TRIM($J129&amp;"")=""),"",IFERROR(MATCH(TRIM($J129&amp;"")&amp;"|다기관",파견수련계획!$AE$4:$AE$203,0),""))</f>
        <v/>
      </c>
      <c r="AL129" s="10">
        <f>IF($AK129="","","다기관 "&amp;TEXT(INDEX(파견수련계획!$AB$4:$AB$203,$AK129),"yyyy-mm-dd")&amp;"~"&amp;IF(ISNUMBER(INDEX(파견수련계획!$AC$4:$AC$203,$AK129)),TEXT(INDEX(파견수련계획!$AC$4:$AC$203,$AK129),"yyyy-mm-dd"),""))</f>
        <v/>
      </c>
    </row>
    <row r="130">
      <c r="A130" s="10">
        <f>IF(B130="","",ROW()-1)</f>
        <v/>
      </c>
      <c r="B130" s="18" t="n"/>
      <c r="C130" s="10">
        <f>IF($AB130="","",IF(INDEX(기본자료!$C$2:$C$501,$AB130)="","",INDEX(기본자료!$C$2:$C$501,$AB130)))</f>
        <v/>
      </c>
      <c r="D130" s="10">
        <f>IF($AB130="","",IF(INDEX(기본자료!$J$2:$J$501,$AB130)="","",INDEX(기본자료!$J$2:$J$501,$AB130)))</f>
        <v/>
      </c>
      <c r="E130" s="11">
        <f>IF($AB130="","",IF(INDEX(기본자료!$K$2:$K$501,$AB130)="","",IF(NOT(ISNUMBER(INDEX(기본자료!$K$2:$K$501,$AB130))),INDEX(기본자료!$K$2:$K$501,$AB130),IF(INDEX(기본자료!$K$2:$K$501,$AB130)&lt;1000000,INDEX(기본자료!$K$2:$K$501,$AB130),IF(AND(INDEX(기본자료!$K$2:$K$501,$AB130)&gt;=10000101,INT(MOD(INDEX(기본자료!$K$2:$K$501,$AB130),10000)/100)&gt;=1,INT(MOD(INDEX(기본자료!$K$2:$K$501,$AB130),10000)/100)&lt;=12,MOD(INDEX(기본자료!$K$2:$K$501,$AB130),100)&gt;=1,MOD(INDEX(기본자료!$K$2:$K$501,$AB130),100)&lt;=31),DATE(INT(INDEX(기본자료!$K$2:$K$501,$AB130)/10000),INT(MOD(INDEX(기본자료!$K$2:$K$501,$AB130),10000)/100),MOD(INDEX(기본자료!$K$2:$K$501,$AB130),100)),INDEX(기본자료!$K$2:$K$501,$AB130)&amp;"")))))</f>
        <v/>
      </c>
      <c r="F130" s="10">
        <f>IF($AB130="","",IF(INDEX(기본자료!$D$2:$D$501,$AB130)="","",INDEX(기본자료!$D$2:$D$501,$AB130)))</f>
        <v/>
      </c>
      <c r="G130" s="10">
        <f>IF($AB130="","",IF(INDEX(기본자료!$E$2:$E$501,$AB130)="","",INDEX(기본자료!$E$2:$E$501,$AB130)))</f>
        <v/>
      </c>
      <c r="H130" s="10">
        <f>IF($AB130="","",IF(INDEX(기본자료!$F$2:$F$501,$AB130)="","",INDEX(기본자료!$F$2:$F$501,$AB130)))</f>
        <v/>
      </c>
      <c r="I130" s="11">
        <f>IF($AB130="","",IF(INDEX(기본자료!$G$2:$G$501,$AB130)="","",IF(NOT(ISNUMBER(INDEX(기본자료!$G$2:$G$501,$AB130))),INDEX(기본자료!$G$2:$G$501,$AB130),IF(INDEX(기본자료!$G$2:$G$501,$AB130)&lt;1000000,INDEX(기본자료!$G$2:$G$501,$AB130),IF(AND(INDEX(기본자료!$G$2:$G$501,$AB130)&gt;=10000101,INT(MOD(INDEX(기본자료!$G$2:$G$501,$AB130),10000)/100)&gt;=1,INT(MOD(INDEX(기본자료!$G$2:$G$501,$AB130),10000)/100)&lt;=12,MOD(INDEX(기본자료!$G$2:$G$501,$AB130),100)&gt;=1,MOD(INDEX(기본자료!$G$2:$G$501,$AB130),100)&lt;=31),DATE(INT(INDEX(기본자료!$G$2:$G$501,$AB130)/10000),INT(MOD(INDEX(기본자료!$G$2:$G$501,$AB130),10000)/100),MOD(INDEX(기본자료!$G$2:$G$501,$AB130),100)),INDEX(기본자료!$G$2:$G$501,$AB130)&amp;"")))))</f>
        <v/>
      </c>
      <c r="J130" s="10">
        <f>IF($AB130="","",IF(INDEX(기본자료!$H$2:$H$501,$AB130)="","",INDEX(기본자료!$H$2:$H$501,$AB130)))</f>
        <v/>
      </c>
      <c r="K130" s="10">
        <f>IF($AB130="","",IF(INDEX(기본자료!$I$2:$I$501,$AB130)="","",INDEX(기본자료!$I$2:$I$501,$AB130)))</f>
        <v/>
      </c>
      <c r="L130" s="10">
        <f>IF($AB130="","",IF(INDEX(기본자료!$A$2:$A$501,$AB130)="","",INDEX(기본자료!$A$2:$A$501,$AB130)))</f>
        <v/>
      </c>
      <c r="M130" s="15" t="n"/>
      <c r="N130" s="10">
        <f>IF($B130="","",IF(AND($U130="파견중",$Q130&lt;&gt;""),$Q130,IF(AND($AD130&lt;&gt;"",LEFT($AD130,1)&lt;&gt;"⚠"),LEFT($AD130,FIND(" ",$AD130)-1),IF($H130="","",IF(RIGHT($H130,2)="병원",$H130,$H130&amp;"병원")))))</f>
        <v/>
      </c>
      <c r="O130" s="10">
        <f>IF($B130="","",IF(AND($U130="파견중",$Q130&lt;&gt;""),IF($R130&lt;&gt;"",$R130,"파견과 미입력"),IF(AND($AD130&lt;&gt;"",LEFT($AD130,1)&lt;&gt;"⚠"),MID($AD130,FIND(" ",$AD130)+1,60),IF($F130="","",IF($F130="인턴","수련교육부(인턴)",$F130)))))</f>
        <v/>
      </c>
      <c r="P130" s="10">
        <f>IF($B130="","",IF($AK130&lt;&gt;"",IF(AND(TODAY()&gt;=INDEX(파견수련계획!$AB$4:$AB$203,$AK130),OR(NOT(ISNUMBER(INDEX(파견수련계획!$AC$4:$AC$203,$AK130))),TODAY()&lt;=INDEX(파견수련계획!$AC$4:$AC$203,$AK130))),"다기관",IF($AF130="","",INDEX(파견수련계획!$T$4:$T$203,$AF130))),IF($AF130="","",INDEX(파견수련계획!$T$4:$T$203,$AF130))))</f>
        <v/>
      </c>
      <c r="Q130" s="10">
        <f>IF($AF130="","",INDEX(파견수련계획!$S$4:$S$203,$AF130))</f>
        <v/>
      </c>
      <c r="R130" s="10">
        <f>IF($AF130="","",INDEX(파견수련계획!$U$4:$U$203,$AF130))</f>
        <v/>
      </c>
      <c r="S130" s="11">
        <f>IF($AF130="","",IF(INDEX(파견수련계획!$H$4:$H$203,$AF130)="","",INDEX(파견수련계획!$H$4:$H$203,$AF130)))</f>
        <v/>
      </c>
      <c r="T130" s="11">
        <f>IF($AF130="","",IF(INDEX(파견수련계획!$I$4:$I$203,$AF130)="","",INDEX(파견수련계획!$I$4:$I$203,$AF130)))</f>
        <v/>
      </c>
      <c r="U130" s="10">
        <f>IF($AF130="","",INDEX(파견수련계획!$X$4:$X$203,$AF130))</f>
        <v/>
      </c>
      <c r="V130" s="17">
        <f>IF($AF130="","",INDEX(파견수련계획!$V$4:$V$203,$AF130))</f>
        <v/>
      </c>
      <c r="W130" s="17">
        <f>IF(AND($U130="파견중",$T130&lt;&gt;""),$T130-TODAY(),"")</f>
        <v/>
      </c>
      <c r="X130" s="17">
        <f>IF(OR($B130="",TRIM($J130&amp;"")=""),"",SUMPRODUCT((파견수련계획!$Q$4:$Q$203=TRIM($J130&amp;""))*파견수련계획!$W$4:$W$203))</f>
        <v/>
      </c>
      <c r="Y130" s="10">
        <f>IF($B130="","",IF($AG130="","",IF(IF(TRIM($J130&amp;"")="",0,SUMPRODUCT((파견수련계획!$Q$4:$Q$203=TRIM($J130&amp;""))*파견수련계획!$AD$4:$AD$203))&gt;0,$AE130,IF(N($X130)&lt;=0,$AG130,IF($AH130+$AI130=DAY(EOMONTH(요약!$B$3,0)),IF(AND($AH130&gt;=요약!$E$3,$AI130&lt;요약!$E$3),"서울병원",IF(AND($AI130&gt;=요약!$E$3,$AH130&lt;요약!$E$3),"구리병원","⚠15일 판정불가(서울 "&amp;$AH130&amp;"일/구리 "&amp;$AI130&amp;"일)")),IF($AJ130="",$AE130,IF(INDEX(파견수련계획!$T$4:$T$203,$AJ130)="통합수련",INDEX(파견수련계획!$S$4:$S$203,$AJ130),$AE130)))))))</f>
        <v/>
      </c>
      <c r="Z130" s="19">
        <f>IF($B130="","",IF($AB130="","기본자료에 없는 사번",IF(COUNTIF($B$2:$B$201,$B130)&gt;1,"중복 사번",IF($AE130="","소속(입사장소) 입력",IF(IF(TRIM($J130&amp;"")="",0,SUMPRODUCT((파견수련계획!$Q$4:$Q$203=TRIM($J130&amp;""))*(파견수련계획!$AA$4:$AA$203&lt;&gt;"")))&gt;0,"파견수련계획 입력오류 확인",IF(LEFT($Y130,1)="⚠","서울·구리 15일 판정 불가(양쪽 모두 이상/미만)",IF(IF($AC130="",0,N(INDEX(인턴근무계획!$T$3:$T$202,$AC130)))&gt;0,"인턴계획 입력오류 확인",IF(AND($AC130&lt;&gt;"",$U130&lt;&gt;"파견중",$N130&lt;&gt;$AE130),"인턴 타지역 근무: 파견 여부 확인","정상"))))))))</f>
        <v/>
      </c>
      <c r="AA130" s="5" t="n"/>
      <c r="AB130" s="10">
        <f>IF($B130="","",IFERROR(MATCH($B130,기본자료!$B$2:$B$501,0),IFERROR(MATCH($B130&amp;"",기본자료!$B$2:$B$501,0),IFERROR(MATCH(VALUE($B130),기본자료!$B$2:$B$501,0),""))))</f>
        <v/>
      </c>
      <c r="AC130" s="10">
        <f>IF($B130="","",IFERROR(MATCH($B130,인턴근무계획!$D$3:$D$202,0),IFERROR(MATCH($B130&amp;"",인턴근무계획!$D$3:$D$202,0),IFERROR(MATCH(VALUE($B130),인턴근무계획!$D$3:$D$202,0),""))))</f>
        <v/>
      </c>
      <c r="AD130" s="10">
        <f>IF(OR($AC130="",인턴현황!$G$3=""),"",INDEX(인턴근무계획!$M$3:$R$202,$AC130,인턴현황!$G$3)&amp;"")</f>
        <v/>
      </c>
      <c r="AE130" s="10">
        <f>IF($B130="","",IF($M130&lt;&gt;"",$M130,IF($AF130&lt;&gt;"",IF(LEFT(INDEX(파견수련계획!$R$4:$R$203,$AF130),1)&lt;&gt;"⚠",INDEX(파견수련계획!$R$4:$R$203,$AF130),IF($H130="","",IF(RIGHT($H130,2)="병원",$H130,$H130&amp;"병원"))),IF($H130="","",IF(RIGHT($H130,2)="병원",$H130,$H130&amp;"병원")))))</f>
        <v/>
      </c>
      <c r="AF130" s="10">
        <f>IF(OR($B130="",TRIM($J130&amp;"")=""),"",IFERROR(MATCH(TRIM($J130&amp;"")&amp;"|파견중",파견수련계획!$Y$4:$Y$203,0),IFERROR(MATCH(TRIM($J130&amp;"")&amp;"|파견예정",파견수련계획!$Y$4:$Y$203,0),IFERROR(MATCH(TRIM($J130&amp;"")&amp;"|파견종료",파견수련계획!$Y$4:$Y$203,0),""))))</f>
        <v/>
      </c>
      <c r="AG130" s="10">
        <f>IF($B130="","",IF(AND(IF(OR($AC130="",인턴현황!$K$2=""),"",INDEX(인턴근무계획!$M$3:$R$202,$AC130,인턴현황!$K$2)&amp;"")&lt;&gt;"",LEFT(IF(OR($AC130="",인턴현황!$K$2=""),"",INDEX(인턴근무계획!$M$3:$R$202,$AC130,인턴현황!$K$2)&amp;""),1)&lt;&gt;"⚠"),LEFT(IF(OR($AC130="",인턴현황!$K$2=""),"",INDEX(인턴근무계획!$M$3:$R$202,$AC130,인턴현황!$K$2)&amp;""),FIND(" ",IF(OR($AC130="",인턴현황!$K$2=""),"",INDEX(인턴근무계획!$M$3:$R$202,$AC130,인턴현황!$K$2)&amp;""))-1),$AE130))</f>
        <v/>
      </c>
      <c r="AH130" s="17">
        <f>IF($B130="","",IF(TRIM($J130&amp;"")="",0,SUMPRODUCT((파견수련계획!$Q$4:$Q$203=TRIM($J130&amp;""))*(파견수련계획!$S$4:$S$203="서울병원")*파견수련계획!$W$4:$W$203))+IF($AG130="서울병원",MAX(0,DAY(EOMONTH(요약!$B$3,0))-N($X130)),0))</f>
        <v/>
      </c>
      <c r="AI130" s="17">
        <f>IF($B130="","",IF(TRIM($J130&amp;"")="",0,SUMPRODUCT((파견수련계획!$Q$4:$Q$203=TRIM($J130&amp;""))*(파견수련계획!$S$4:$S$203="구리병원")*파견수련계획!$W$4:$W$203))+IF($AG130="구리병원",MAX(0,DAY(EOMONTH(요약!$B$3,0))-N($X130)),0))</f>
        <v/>
      </c>
      <c r="AJ130" s="10">
        <f>IF(OR($B130="",TRIM($J130&amp;"")=""),"",IFERROR(MATCH(TRIM($J130&amp;"")&amp;"|월",파견수련계획!$Z$4:$Z$203,0),""))</f>
        <v/>
      </c>
      <c r="AK130" s="10">
        <f>IF(OR($B130="",TRIM($J130&amp;"")=""),"",IFERROR(MATCH(TRIM($J130&amp;"")&amp;"|다기관",파견수련계획!$AE$4:$AE$203,0),""))</f>
        <v/>
      </c>
      <c r="AL130" s="10">
        <f>IF($AK130="","","다기관 "&amp;TEXT(INDEX(파견수련계획!$AB$4:$AB$203,$AK130),"yyyy-mm-dd")&amp;"~"&amp;IF(ISNUMBER(INDEX(파견수련계획!$AC$4:$AC$203,$AK130)),TEXT(INDEX(파견수련계획!$AC$4:$AC$203,$AK130),"yyyy-mm-dd"),""))</f>
        <v/>
      </c>
    </row>
    <row r="131">
      <c r="A131" s="10">
        <f>IF(B131="","",ROW()-1)</f>
        <v/>
      </c>
      <c r="B131" s="18" t="n"/>
      <c r="C131" s="10">
        <f>IF($AB131="","",IF(INDEX(기본자료!$C$2:$C$501,$AB131)="","",INDEX(기본자료!$C$2:$C$501,$AB131)))</f>
        <v/>
      </c>
      <c r="D131" s="10">
        <f>IF($AB131="","",IF(INDEX(기본자료!$J$2:$J$501,$AB131)="","",INDEX(기본자료!$J$2:$J$501,$AB131)))</f>
        <v/>
      </c>
      <c r="E131" s="11">
        <f>IF($AB131="","",IF(INDEX(기본자료!$K$2:$K$501,$AB131)="","",IF(NOT(ISNUMBER(INDEX(기본자료!$K$2:$K$501,$AB131))),INDEX(기본자료!$K$2:$K$501,$AB131),IF(INDEX(기본자료!$K$2:$K$501,$AB131)&lt;1000000,INDEX(기본자료!$K$2:$K$501,$AB131),IF(AND(INDEX(기본자료!$K$2:$K$501,$AB131)&gt;=10000101,INT(MOD(INDEX(기본자료!$K$2:$K$501,$AB131),10000)/100)&gt;=1,INT(MOD(INDEX(기본자료!$K$2:$K$501,$AB131),10000)/100)&lt;=12,MOD(INDEX(기본자료!$K$2:$K$501,$AB131),100)&gt;=1,MOD(INDEX(기본자료!$K$2:$K$501,$AB131),100)&lt;=31),DATE(INT(INDEX(기본자료!$K$2:$K$501,$AB131)/10000),INT(MOD(INDEX(기본자료!$K$2:$K$501,$AB131),10000)/100),MOD(INDEX(기본자료!$K$2:$K$501,$AB131),100)),INDEX(기본자료!$K$2:$K$501,$AB131)&amp;"")))))</f>
        <v/>
      </c>
      <c r="F131" s="10">
        <f>IF($AB131="","",IF(INDEX(기본자료!$D$2:$D$501,$AB131)="","",INDEX(기본자료!$D$2:$D$501,$AB131)))</f>
        <v/>
      </c>
      <c r="G131" s="10">
        <f>IF($AB131="","",IF(INDEX(기본자료!$E$2:$E$501,$AB131)="","",INDEX(기본자료!$E$2:$E$501,$AB131)))</f>
        <v/>
      </c>
      <c r="H131" s="10">
        <f>IF($AB131="","",IF(INDEX(기본자료!$F$2:$F$501,$AB131)="","",INDEX(기본자료!$F$2:$F$501,$AB131)))</f>
        <v/>
      </c>
      <c r="I131" s="11">
        <f>IF($AB131="","",IF(INDEX(기본자료!$G$2:$G$501,$AB131)="","",IF(NOT(ISNUMBER(INDEX(기본자료!$G$2:$G$501,$AB131))),INDEX(기본자료!$G$2:$G$501,$AB131),IF(INDEX(기본자료!$G$2:$G$501,$AB131)&lt;1000000,INDEX(기본자료!$G$2:$G$501,$AB131),IF(AND(INDEX(기본자료!$G$2:$G$501,$AB131)&gt;=10000101,INT(MOD(INDEX(기본자료!$G$2:$G$501,$AB131),10000)/100)&gt;=1,INT(MOD(INDEX(기본자료!$G$2:$G$501,$AB131),10000)/100)&lt;=12,MOD(INDEX(기본자료!$G$2:$G$501,$AB131),100)&gt;=1,MOD(INDEX(기본자료!$G$2:$G$501,$AB131),100)&lt;=31),DATE(INT(INDEX(기본자료!$G$2:$G$501,$AB131)/10000),INT(MOD(INDEX(기본자료!$G$2:$G$501,$AB131),10000)/100),MOD(INDEX(기본자료!$G$2:$G$501,$AB131),100)),INDEX(기본자료!$G$2:$G$501,$AB131)&amp;"")))))</f>
        <v/>
      </c>
      <c r="J131" s="10">
        <f>IF($AB131="","",IF(INDEX(기본자료!$H$2:$H$501,$AB131)="","",INDEX(기본자료!$H$2:$H$501,$AB131)))</f>
        <v/>
      </c>
      <c r="K131" s="10">
        <f>IF($AB131="","",IF(INDEX(기본자료!$I$2:$I$501,$AB131)="","",INDEX(기본자료!$I$2:$I$501,$AB131)))</f>
        <v/>
      </c>
      <c r="L131" s="10">
        <f>IF($AB131="","",IF(INDEX(기본자료!$A$2:$A$501,$AB131)="","",INDEX(기본자료!$A$2:$A$501,$AB131)))</f>
        <v/>
      </c>
      <c r="M131" s="15" t="n"/>
      <c r="N131" s="10">
        <f>IF($B131="","",IF(AND($U131="파견중",$Q131&lt;&gt;""),$Q131,IF(AND($AD131&lt;&gt;"",LEFT($AD131,1)&lt;&gt;"⚠"),LEFT($AD131,FIND(" ",$AD131)-1),IF($H131="","",IF(RIGHT($H131,2)="병원",$H131,$H131&amp;"병원")))))</f>
        <v/>
      </c>
      <c r="O131" s="10">
        <f>IF($B131="","",IF(AND($U131="파견중",$Q131&lt;&gt;""),IF($R131&lt;&gt;"",$R131,"파견과 미입력"),IF(AND($AD131&lt;&gt;"",LEFT($AD131,1)&lt;&gt;"⚠"),MID($AD131,FIND(" ",$AD131)+1,60),IF($F131="","",IF($F131="인턴","수련교육부(인턴)",$F131)))))</f>
        <v/>
      </c>
      <c r="P131" s="10">
        <f>IF($B131="","",IF($AK131&lt;&gt;"",IF(AND(TODAY()&gt;=INDEX(파견수련계획!$AB$4:$AB$203,$AK131),OR(NOT(ISNUMBER(INDEX(파견수련계획!$AC$4:$AC$203,$AK131))),TODAY()&lt;=INDEX(파견수련계획!$AC$4:$AC$203,$AK131))),"다기관",IF($AF131="","",INDEX(파견수련계획!$T$4:$T$203,$AF131))),IF($AF131="","",INDEX(파견수련계획!$T$4:$T$203,$AF131))))</f>
        <v/>
      </c>
      <c r="Q131" s="10">
        <f>IF($AF131="","",INDEX(파견수련계획!$S$4:$S$203,$AF131))</f>
        <v/>
      </c>
      <c r="R131" s="10">
        <f>IF($AF131="","",INDEX(파견수련계획!$U$4:$U$203,$AF131))</f>
        <v/>
      </c>
      <c r="S131" s="11">
        <f>IF($AF131="","",IF(INDEX(파견수련계획!$H$4:$H$203,$AF131)="","",INDEX(파견수련계획!$H$4:$H$203,$AF131)))</f>
        <v/>
      </c>
      <c r="T131" s="11">
        <f>IF($AF131="","",IF(INDEX(파견수련계획!$I$4:$I$203,$AF131)="","",INDEX(파견수련계획!$I$4:$I$203,$AF131)))</f>
        <v/>
      </c>
      <c r="U131" s="10">
        <f>IF($AF131="","",INDEX(파견수련계획!$X$4:$X$203,$AF131))</f>
        <v/>
      </c>
      <c r="V131" s="17">
        <f>IF($AF131="","",INDEX(파견수련계획!$V$4:$V$203,$AF131))</f>
        <v/>
      </c>
      <c r="W131" s="17">
        <f>IF(AND($U131="파견중",$T131&lt;&gt;""),$T131-TODAY(),"")</f>
        <v/>
      </c>
      <c r="X131" s="17">
        <f>IF(OR($B131="",TRIM($J131&amp;"")=""),"",SUMPRODUCT((파견수련계획!$Q$4:$Q$203=TRIM($J131&amp;""))*파견수련계획!$W$4:$W$203))</f>
        <v/>
      </c>
      <c r="Y131" s="10">
        <f>IF($B131="","",IF($AG131="","",IF(IF(TRIM($J131&amp;"")="",0,SUMPRODUCT((파견수련계획!$Q$4:$Q$203=TRIM($J131&amp;""))*파견수련계획!$AD$4:$AD$203))&gt;0,$AE131,IF(N($X131)&lt;=0,$AG131,IF($AH131+$AI131=DAY(EOMONTH(요약!$B$3,0)),IF(AND($AH131&gt;=요약!$E$3,$AI131&lt;요약!$E$3),"서울병원",IF(AND($AI131&gt;=요약!$E$3,$AH131&lt;요약!$E$3),"구리병원","⚠15일 판정불가(서울 "&amp;$AH131&amp;"일/구리 "&amp;$AI131&amp;"일)")),IF($AJ131="",$AE131,IF(INDEX(파견수련계획!$T$4:$T$203,$AJ131)="통합수련",INDEX(파견수련계획!$S$4:$S$203,$AJ131),$AE131)))))))</f>
        <v/>
      </c>
      <c r="Z131" s="19">
        <f>IF($B131="","",IF($AB131="","기본자료에 없는 사번",IF(COUNTIF($B$2:$B$201,$B131)&gt;1,"중복 사번",IF($AE131="","소속(입사장소) 입력",IF(IF(TRIM($J131&amp;"")="",0,SUMPRODUCT((파견수련계획!$Q$4:$Q$203=TRIM($J131&amp;""))*(파견수련계획!$AA$4:$AA$203&lt;&gt;"")))&gt;0,"파견수련계획 입력오류 확인",IF(LEFT($Y131,1)="⚠","서울·구리 15일 판정 불가(양쪽 모두 이상/미만)",IF(IF($AC131="",0,N(INDEX(인턴근무계획!$T$3:$T$202,$AC131)))&gt;0,"인턴계획 입력오류 확인",IF(AND($AC131&lt;&gt;"",$U131&lt;&gt;"파견중",$N131&lt;&gt;$AE131),"인턴 타지역 근무: 파견 여부 확인","정상"))))))))</f>
        <v/>
      </c>
      <c r="AA131" s="5" t="n"/>
      <c r="AB131" s="10">
        <f>IF($B131="","",IFERROR(MATCH($B131,기본자료!$B$2:$B$501,0),IFERROR(MATCH($B131&amp;"",기본자료!$B$2:$B$501,0),IFERROR(MATCH(VALUE($B131),기본자료!$B$2:$B$501,0),""))))</f>
        <v/>
      </c>
      <c r="AC131" s="10">
        <f>IF($B131="","",IFERROR(MATCH($B131,인턴근무계획!$D$3:$D$202,0),IFERROR(MATCH($B131&amp;"",인턴근무계획!$D$3:$D$202,0),IFERROR(MATCH(VALUE($B131),인턴근무계획!$D$3:$D$202,0),""))))</f>
        <v/>
      </c>
      <c r="AD131" s="10">
        <f>IF(OR($AC131="",인턴현황!$G$3=""),"",INDEX(인턴근무계획!$M$3:$R$202,$AC131,인턴현황!$G$3)&amp;"")</f>
        <v/>
      </c>
      <c r="AE131" s="10">
        <f>IF($B131="","",IF($M131&lt;&gt;"",$M131,IF($AF131&lt;&gt;"",IF(LEFT(INDEX(파견수련계획!$R$4:$R$203,$AF131),1)&lt;&gt;"⚠",INDEX(파견수련계획!$R$4:$R$203,$AF131),IF($H131="","",IF(RIGHT($H131,2)="병원",$H131,$H131&amp;"병원"))),IF($H131="","",IF(RIGHT($H131,2)="병원",$H131,$H131&amp;"병원")))))</f>
        <v/>
      </c>
      <c r="AF131" s="10">
        <f>IF(OR($B131="",TRIM($J131&amp;"")=""),"",IFERROR(MATCH(TRIM($J131&amp;"")&amp;"|파견중",파견수련계획!$Y$4:$Y$203,0),IFERROR(MATCH(TRIM($J131&amp;"")&amp;"|파견예정",파견수련계획!$Y$4:$Y$203,0),IFERROR(MATCH(TRIM($J131&amp;"")&amp;"|파견종료",파견수련계획!$Y$4:$Y$203,0),""))))</f>
        <v/>
      </c>
      <c r="AG131" s="10">
        <f>IF($B131="","",IF(AND(IF(OR($AC131="",인턴현황!$K$2=""),"",INDEX(인턴근무계획!$M$3:$R$202,$AC131,인턴현황!$K$2)&amp;"")&lt;&gt;"",LEFT(IF(OR($AC131="",인턴현황!$K$2=""),"",INDEX(인턴근무계획!$M$3:$R$202,$AC131,인턴현황!$K$2)&amp;""),1)&lt;&gt;"⚠"),LEFT(IF(OR($AC131="",인턴현황!$K$2=""),"",INDEX(인턴근무계획!$M$3:$R$202,$AC131,인턴현황!$K$2)&amp;""),FIND(" ",IF(OR($AC131="",인턴현황!$K$2=""),"",INDEX(인턴근무계획!$M$3:$R$202,$AC131,인턴현황!$K$2)&amp;""))-1),$AE131))</f>
        <v/>
      </c>
      <c r="AH131" s="17">
        <f>IF($B131="","",IF(TRIM($J131&amp;"")="",0,SUMPRODUCT((파견수련계획!$Q$4:$Q$203=TRIM($J131&amp;""))*(파견수련계획!$S$4:$S$203="서울병원")*파견수련계획!$W$4:$W$203))+IF($AG131="서울병원",MAX(0,DAY(EOMONTH(요약!$B$3,0))-N($X131)),0))</f>
        <v/>
      </c>
      <c r="AI131" s="17">
        <f>IF($B131="","",IF(TRIM($J131&amp;"")="",0,SUMPRODUCT((파견수련계획!$Q$4:$Q$203=TRIM($J131&amp;""))*(파견수련계획!$S$4:$S$203="구리병원")*파견수련계획!$W$4:$W$203))+IF($AG131="구리병원",MAX(0,DAY(EOMONTH(요약!$B$3,0))-N($X131)),0))</f>
        <v/>
      </c>
      <c r="AJ131" s="10">
        <f>IF(OR($B131="",TRIM($J131&amp;"")=""),"",IFERROR(MATCH(TRIM($J131&amp;"")&amp;"|월",파견수련계획!$Z$4:$Z$203,0),""))</f>
        <v/>
      </c>
      <c r="AK131" s="10">
        <f>IF(OR($B131="",TRIM($J131&amp;"")=""),"",IFERROR(MATCH(TRIM($J131&amp;"")&amp;"|다기관",파견수련계획!$AE$4:$AE$203,0),""))</f>
        <v/>
      </c>
      <c r="AL131" s="10">
        <f>IF($AK131="","","다기관 "&amp;TEXT(INDEX(파견수련계획!$AB$4:$AB$203,$AK131),"yyyy-mm-dd")&amp;"~"&amp;IF(ISNUMBER(INDEX(파견수련계획!$AC$4:$AC$203,$AK131)),TEXT(INDEX(파견수련계획!$AC$4:$AC$203,$AK131),"yyyy-mm-dd"),""))</f>
        <v/>
      </c>
    </row>
    <row r="132">
      <c r="A132" s="10">
        <f>IF(B132="","",ROW()-1)</f>
        <v/>
      </c>
      <c r="B132" s="18" t="n"/>
      <c r="C132" s="10">
        <f>IF($AB132="","",IF(INDEX(기본자료!$C$2:$C$501,$AB132)="","",INDEX(기본자료!$C$2:$C$501,$AB132)))</f>
        <v/>
      </c>
      <c r="D132" s="10">
        <f>IF($AB132="","",IF(INDEX(기본자료!$J$2:$J$501,$AB132)="","",INDEX(기본자료!$J$2:$J$501,$AB132)))</f>
        <v/>
      </c>
      <c r="E132" s="11">
        <f>IF($AB132="","",IF(INDEX(기본자료!$K$2:$K$501,$AB132)="","",IF(NOT(ISNUMBER(INDEX(기본자료!$K$2:$K$501,$AB132))),INDEX(기본자료!$K$2:$K$501,$AB132),IF(INDEX(기본자료!$K$2:$K$501,$AB132)&lt;1000000,INDEX(기본자료!$K$2:$K$501,$AB132),IF(AND(INDEX(기본자료!$K$2:$K$501,$AB132)&gt;=10000101,INT(MOD(INDEX(기본자료!$K$2:$K$501,$AB132),10000)/100)&gt;=1,INT(MOD(INDEX(기본자료!$K$2:$K$501,$AB132),10000)/100)&lt;=12,MOD(INDEX(기본자료!$K$2:$K$501,$AB132),100)&gt;=1,MOD(INDEX(기본자료!$K$2:$K$501,$AB132),100)&lt;=31),DATE(INT(INDEX(기본자료!$K$2:$K$501,$AB132)/10000),INT(MOD(INDEX(기본자료!$K$2:$K$501,$AB132),10000)/100),MOD(INDEX(기본자료!$K$2:$K$501,$AB132),100)),INDEX(기본자료!$K$2:$K$501,$AB132)&amp;"")))))</f>
        <v/>
      </c>
      <c r="F132" s="10">
        <f>IF($AB132="","",IF(INDEX(기본자료!$D$2:$D$501,$AB132)="","",INDEX(기본자료!$D$2:$D$501,$AB132)))</f>
        <v/>
      </c>
      <c r="G132" s="10">
        <f>IF($AB132="","",IF(INDEX(기본자료!$E$2:$E$501,$AB132)="","",INDEX(기본자료!$E$2:$E$501,$AB132)))</f>
        <v/>
      </c>
      <c r="H132" s="10">
        <f>IF($AB132="","",IF(INDEX(기본자료!$F$2:$F$501,$AB132)="","",INDEX(기본자료!$F$2:$F$501,$AB132)))</f>
        <v/>
      </c>
      <c r="I132" s="11">
        <f>IF($AB132="","",IF(INDEX(기본자료!$G$2:$G$501,$AB132)="","",IF(NOT(ISNUMBER(INDEX(기본자료!$G$2:$G$501,$AB132))),INDEX(기본자료!$G$2:$G$501,$AB132),IF(INDEX(기본자료!$G$2:$G$501,$AB132)&lt;1000000,INDEX(기본자료!$G$2:$G$501,$AB132),IF(AND(INDEX(기본자료!$G$2:$G$501,$AB132)&gt;=10000101,INT(MOD(INDEX(기본자료!$G$2:$G$501,$AB132),10000)/100)&gt;=1,INT(MOD(INDEX(기본자료!$G$2:$G$501,$AB132),10000)/100)&lt;=12,MOD(INDEX(기본자료!$G$2:$G$501,$AB132),100)&gt;=1,MOD(INDEX(기본자료!$G$2:$G$501,$AB132),100)&lt;=31),DATE(INT(INDEX(기본자료!$G$2:$G$501,$AB132)/10000),INT(MOD(INDEX(기본자료!$G$2:$G$501,$AB132),10000)/100),MOD(INDEX(기본자료!$G$2:$G$501,$AB132),100)),INDEX(기본자료!$G$2:$G$501,$AB132)&amp;"")))))</f>
        <v/>
      </c>
      <c r="J132" s="10">
        <f>IF($AB132="","",IF(INDEX(기본자료!$H$2:$H$501,$AB132)="","",INDEX(기본자료!$H$2:$H$501,$AB132)))</f>
        <v/>
      </c>
      <c r="K132" s="10">
        <f>IF($AB132="","",IF(INDEX(기본자료!$I$2:$I$501,$AB132)="","",INDEX(기본자료!$I$2:$I$501,$AB132)))</f>
        <v/>
      </c>
      <c r="L132" s="10">
        <f>IF($AB132="","",IF(INDEX(기본자료!$A$2:$A$501,$AB132)="","",INDEX(기본자료!$A$2:$A$501,$AB132)))</f>
        <v/>
      </c>
      <c r="M132" s="15" t="n"/>
      <c r="N132" s="10">
        <f>IF($B132="","",IF(AND($U132="파견중",$Q132&lt;&gt;""),$Q132,IF(AND($AD132&lt;&gt;"",LEFT($AD132,1)&lt;&gt;"⚠"),LEFT($AD132,FIND(" ",$AD132)-1),IF($H132="","",IF(RIGHT($H132,2)="병원",$H132,$H132&amp;"병원")))))</f>
        <v/>
      </c>
      <c r="O132" s="10">
        <f>IF($B132="","",IF(AND($U132="파견중",$Q132&lt;&gt;""),IF($R132&lt;&gt;"",$R132,"파견과 미입력"),IF(AND($AD132&lt;&gt;"",LEFT($AD132,1)&lt;&gt;"⚠"),MID($AD132,FIND(" ",$AD132)+1,60),IF($F132="","",IF($F132="인턴","수련교육부(인턴)",$F132)))))</f>
        <v/>
      </c>
      <c r="P132" s="10">
        <f>IF($B132="","",IF($AK132&lt;&gt;"",IF(AND(TODAY()&gt;=INDEX(파견수련계획!$AB$4:$AB$203,$AK132),OR(NOT(ISNUMBER(INDEX(파견수련계획!$AC$4:$AC$203,$AK132))),TODAY()&lt;=INDEX(파견수련계획!$AC$4:$AC$203,$AK132))),"다기관",IF($AF132="","",INDEX(파견수련계획!$T$4:$T$203,$AF132))),IF($AF132="","",INDEX(파견수련계획!$T$4:$T$203,$AF132))))</f>
        <v/>
      </c>
      <c r="Q132" s="10">
        <f>IF($AF132="","",INDEX(파견수련계획!$S$4:$S$203,$AF132))</f>
        <v/>
      </c>
      <c r="R132" s="10">
        <f>IF($AF132="","",INDEX(파견수련계획!$U$4:$U$203,$AF132))</f>
        <v/>
      </c>
      <c r="S132" s="11">
        <f>IF($AF132="","",IF(INDEX(파견수련계획!$H$4:$H$203,$AF132)="","",INDEX(파견수련계획!$H$4:$H$203,$AF132)))</f>
        <v/>
      </c>
      <c r="T132" s="11">
        <f>IF($AF132="","",IF(INDEX(파견수련계획!$I$4:$I$203,$AF132)="","",INDEX(파견수련계획!$I$4:$I$203,$AF132)))</f>
        <v/>
      </c>
      <c r="U132" s="10">
        <f>IF($AF132="","",INDEX(파견수련계획!$X$4:$X$203,$AF132))</f>
        <v/>
      </c>
      <c r="V132" s="17">
        <f>IF($AF132="","",INDEX(파견수련계획!$V$4:$V$203,$AF132))</f>
        <v/>
      </c>
      <c r="W132" s="17">
        <f>IF(AND($U132="파견중",$T132&lt;&gt;""),$T132-TODAY(),"")</f>
        <v/>
      </c>
      <c r="X132" s="17">
        <f>IF(OR($B132="",TRIM($J132&amp;"")=""),"",SUMPRODUCT((파견수련계획!$Q$4:$Q$203=TRIM($J132&amp;""))*파견수련계획!$W$4:$W$203))</f>
        <v/>
      </c>
      <c r="Y132" s="10">
        <f>IF($B132="","",IF($AG132="","",IF(IF(TRIM($J132&amp;"")="",0,SUMPRODUCT((파견수련계획!$Q$4:$Q$203=TRIM($J132&amp;""))*파견수련계획!$AD$4:$AD$203))&gt;0,$AE132,IF(N($X132)&lt;=0,$AG132,IF($AH132+$AI132=DAY(EOMONTH(요약!$B$3,0)),IF(AND($AH132&gt;=요약!$E$3,$AI132&lt;요약!$E$3),"서울병원",IF(AND($AI132&gt;=요약!$E$3,$AH132&lt;요약!$E$3),"구리병원","⚠15일 판정불가(서울 "&amp;$AH132&amp;"일/구리 "&amp;$AI132&amp;"일)")),IF($AJ132="",$AE132,IF(INDEX(파견수련계획!$T$4:$T$203,$AJ132)="통합수련",INDEX(파견수련계획!$S$4:$S$203,$AJ132),$AE132)))))))</f>
        <v/>
      </c>
      <c r="Z132" s="19">
        <f>IF($B132="","",IF($AB132="","기본자료에 없는 사번",IF(COUNTIF($B$2:$B$201,$B132)&gt;1,"중복 사번",IF($AE132="","소속(입사장소) 입력",IF(IF(TRIM($J132&amp;"")="",0,SUMPRODUCT((파견수련계획!$Q$4:$Q$203=TRIM($J132&amp;""))*(파견수련계획!$AA$4:$AA$203&lt;&gt;"")))&gt;0,"파견수련계획 입력오류 확인",IF(LEFT($Y132,1)="⚠","서울·구리 15일 판정 불가(양쪽 모두 이상/미만)",IF(IF($AC132="",0,N(INDEX(인턴근무계획!$T$3:$T$202,$AC132)))&gt;0,"인턴계획 입력오류 확인",IF(AND($AC132&lt;&gt;"",$U132&lt;&gt;"파견중",$N132&lt;&gt;$AE132),"인턴 타지역 근무: 파견 여부 확인","정상"))))))))</f>
        <v/>
      </c>
      <c r="AA132" s="5" t="n"/>
      <c r="AB132" s="10">
        <f>IF($B132="","",IFERROR(MATCH($B132,기본자료!$B$2:$B$501,0),IFERROR(MATCH($B132&amp;"",기본자료!$B$2:$B$501,0),IFERROR(MATCH(VALUE($B132),기본자료!$B$2:$B$501,0),""))))</f>
        <v/>
      </c>
      <c r="AC132" s="10">
        <f>IF($B132="","",IFERROR(MATCH($B132,인턴근무계획!$D$3:$D$202,0),IFERROR(MATCH($B132&amp;"",인턴근무계획!$D$3:$D$202,0),IFERROR(MATCH(VALUE($B132),인턴근무계획!$D$3:$D$202,0),""))))</f>
        <v/>
      </c>
      <c r="AD132" s="10">
        <f>IF(OR($AC132="",인턴현황!$G$3=""),"",INDEX(인턴근무계획!$M$3:$R$202,$AC132,인턴현황!$G$3)&amp;"")</f>
        <v/>
      </c>
      <c r="AE132" s="10">
        <f>IF($B132="","",IF($M132&lt;&gt;"",$M132,IF($AF132&lt;&gt;"",IF(LEFT(INDEX(파견수련계획!$R$4:$R$203,$AF132),1)&lt;&gt;"⚠",INDEX(파견수련계획!$R$4:$R$203,$AF132),IF($H132="","",IF(RIGHT($H132,2)="병원",$H132,$H132&amp;"병원"))),IF($H132="","",IF(RIGHT($H132,2)="병원",$H132,$H132&amp;"병원")))))</f>
        <v/>
      </c>
      <c r="AF132" s="10">
        <f>IF(OR($B132="",TRIM($J132&amp;"")=""),"",IFERROR(MATCH(TRIM($J132&amp;"")&amp;"|파견중",파견수련계획!$Y$4:$Y$203,0),IFERROR(MATCH(TRIM($J132&amp;"")&amp;"|파견예정",파견수련계획!$Y$4:$Y$203,0),IFERROR(MATCH(TRIM($J132&amp;"")&amp;"|파견종료",파견수련계획!$Y$4:$Y$203,0),""))))</f>
        <v/>
      </c>
      <c r="AG132" s="10">
        <f>IF($B132="","",IF(AND(IF(OR($AC132="",인턴현황!$K$2=""),"",INDEX(인턴근무계획!$M$3:$R$202,$AC132,인턴현황!$K$2)&amp;"")&lt;&gt;"",LEFT(IF(OR($AC132="",인턴현황!$K$2=""),"",INDEX(인턴근무계획!$M$3:$R$202,$AC132,인턴현황!$K$2)&amp;""),1)&lt;&gt;"⚠"),LEFT(IF(OR($AC132="",인턴현황!$K$2=""),"",INDEX(인턴근무계획!$M$3:$R$202,$AC132,인턴현황!$K$2)&amp;""),FIND(" ",IF(OR($AC132="",인턴현황!$K$2=""),"",INDEX(인턴근무계획!$M$3:$R$202,$AC132,인턴현황!$K$2)&amp;""))-1),$AE132))</f>
        <v/>
      </c>
      <c r="AH132" s="17">
        <f>IF($B132="","",IF(TRIM($J132&amp;"")="",0,SUMPRODUCT((파견수련계획!$Q$4:$Q$203=TRIM($J132&amp;""))*(파견수련계획!$S$4:$S$203="서울병원")*파견수련계획!$W$4:$W$203))+IF($AG132="서울병원",MAX(0,DAY(EOMONTH(요약!$B$3,0))-N($X132)),0))</f>
        <v/>
      </c>
      <c r="AI132" s="17">
        <f>IF($B132="","",IF(TRIM($J132&amp;"")="",0,SUMPRODUCT((파견수련계획!$Q$4:$Q$203=TRIM($J132&amp;""))*(파견수련계획!$S$4:$S$203="구리병원")*파견수련계획!$W$4:$W$203))+IF($AG132="구리병원",MAX(0,DAY(EOMONTH(요약!$B$3,0))-N($X132)),0))</f>
        <v/>
      </c>
      <c r="AJ132" s="10">
        <f>IF(OR($B132="",TRIM($J132&amp;"")=""),"",IFERROR(MATCH(TRIM($J132&amp;"")&amp;"|월",파견수련계획!$Z$4:$Z$203,0),""))</f>
        <v/>
      </c>
      <c r="AK132" s="10">
        <f>IF(OR($B132="",TRIM($J132&amp;"")=""),"",IFERROR(MATCH(TRIM($J132&amp;"")&amp;"|다기관",파견수련계획!$AE$4:$AE$203,0),""))</f>
        <v/>
      </c>
      <c r="AL132" s="10">
        <f>IF($AK132="","","다기관 "&amp;TEXT(INDEX(파견수련계획!$AB$4:$AB$203,$AK132),"yyyy-mm-dd")&amp;"~"&amp;IF(ISNUMBER(INDEX(파견수련계획!$AC$4:$AC$203,$AK132)),TEXT(INDEX(파견수련계획!$AC$4:$AC$203,$AK132),"yyyy-mm-dd"),""))</f>
        <v/>
      </c>
    </row>
    <row r="133">
      <c r="A133" s="10">
        <f>IF(B133="","",ROW()-1)</f>
        <v/>
      </c>
      <c r="B133" s="18" t="n"/>
      <c r="C133" s="10">
        <f>IF($AB133="","",IF(INDEX(기본자료!$C$2:$C$501,$AB133)="","",INDEX(기본자료!$C$2:$C$501,$AB133)))</f>
        <v/>
      </c>
      <c r="D133" s="10">
        <f>IF($AB133="","",IF(INDEX(기본자료!$J$2:$J$501,$AB133)="","",INDEX(기본자료!$J$2:$J$501,$AB133)))</f>
        <v/>
      </c>
      <c r="E133" s="11">
        <f>IF($AB133="","",IF(INDEX(기본자료!$K$2:$K$501,$AB133)="","",IF(NOT(ISNUMBER(INDEX(기본자료!$K$2:$K$501,$AB133))),INDEX(기본자료!$K$2:$K$501,$AB133),IF(INDEX(기본자료!$K$2:$K$501,$AB133)&lt;1000000,INDEX(기본자료!$K$2:$K$501,$AB133),IF(AND(INDEX(기본자료!$K$2:$K$501,$AB133)&gt;=10000101,INT(MOD(INDEX(기본자료!$K$2:$K$501,$AB133),10000)/100)&gt;=1,INT(MOD(INDEX(기본자료!$K$2:$K$501,$AB133),10000)/100)&lt;=12,MOD(INDEX(기본자료!$K$2:$K$501,$AB133),100)&gt;=1,MOD(INDEX(기본자료!$K$2:$K$501,$AB133),100)&lt;=31),DATE(INT(INDEX(기본자료!$K$2:$K$501,$AB133)/10000),INT(MOD(INDEX(기본자료!$K$2:$K$501,$AB133),10000)/100),MOD(INDEX(기본자료!$K$2:$K$501,$AB133),100)),INDEX(기본자료!$K$2:$K$501,$AB133)&amp;"")))))</f>
        <v/>
      </c>
      <c r="F133" s="10">
        <f>IF($AB133="","",IF(INDEX(기본자료!$D$2:$D$501,$AB133)="","",INDEX(기본자료!$D$2:$D$501,$AB133)))</f>
        <v/>
      </c>
      <c r="G133" s="10">
        <f>IF($AB133="","",IF(INDEX(기본자료!$E$2:$E$501,$AB133)="","",INDEX(기본자료!$E$2:$E$501,$AB133)))</f>
        <v/>
      </c>
      <c r="H133" s="10">
        <f>IF($AB133="","",IF(INDEX(기본자료!$F$2:$F$501,$AB133)="","",INDEX(기본자료!$F$2:$F$501,$AB133)))</f>
        <v/>
      </c>
      <c r="I133" s="11">
        <f>IF($AB133="","",IF(INDEX(기본자료!$G$2:$G$501,$AB133)="","",IF(NOT(ISNUMBER(INDEX(기본자료!$G$2:$G$501,$AB133))),INDEX(기본자료!$G$2:$G$501,$AB133),IF(INDEX(기본자료!$G$2:$G$501,$AB133)&lt;1000000,INDEX(기본자료!$G$2:$G$501,$AB133),IF(AND(INDEX(기본자료!$G$2:$G$501,$AB133)&gt;=10000101,INT(MOD(INDEX(기본자료!$G$2:$G$501,$AB133),10000)/100)&gt;=1,INT(MOD(INDEX(기본자료!$G$2:$G$501,$AB133),10000)/100)&lt;=12,MOD(INDEX(기본자료!$G$2:$G$501,$AB133),100)&gt;=1,MOD(INDEX(기본자료!$G$2:$G$501,$AB133),100)&lt;=31),DATE(INT(INDEX(기본자료!$G$2:$G$501,$AB133)/10000),INT(MOD(INDEX(기본자료!$G$2:$G$501,$AB133),10000)/100),MOD(INDEX(기본자료!$G$2:$G$501,$AB133),100)),INDEX(기본자료!$G$2:$G$501,$AB133)&amp;"")))))</f>
        <v/>
      </c>
      <c r="J133" s="10">
        <f>IF($AB133="","",IF(INDEX(기본자료!$H$2:$H$501,$AB133)="","",INDEX(기본자료!$H$2:$H$501,$AB133)))</f>
        <v/>
      </c>
      <c r="K133" s="10">
        <f>IF($AB133="","",IF(INDEX(기본자료!$I$2:$I$501,$AB133)="","",INDEX(기본자료!$I$2:$I$501,$AB133)))</f>
        <v/>
      </c>
      <c r="L133" s="10">
        <f>IF($AB133="","",IF(INDEX(기본자료!$A$2:$A$501,$AB133)="","",INDEX(기본자료!$A$2:$A$501,$AB133)))</f>
        <v/>
      </c>
      <c r="M133" s="15" t="n"/>
      <c r="N133" s="10">
        <f>IF($B133="","",IF(AND($U133="파견중",$Q133&lt;&gt;""),$Q133,IF(AND($AD133&lt;&gt;"",LEFT($AD133,1)&lt;&gt;"⚠"),LEFT($AD133,FIND(" ",$AD133)-1),IF($H133="","",IF(RIGHT($H133,2)="병원",$H133,$H133&amp;"병원")))))</f>
        <v/>
      </c>
      <c r="O133" s="10">
        <f>IF($B133="","",IF(AND($U133="파견중",$Q133&lt;&gt;""),IF($R133&lt;&gt;"",$R133,"파견과 미입력"),IF(AND($AD133&lt;&gt;"",LEFT($AD133,1)&lt;&gt;"⚠"),MID($AD133,FIND(" ",$AD133)+1,60),IF($F133="","",IF($F133="인턴","수련교육부(인턴)",$F133)))))</f>
        <v/>
      </c>
      <c r="P133" s="10">
        <f>IF($B133="","",IF($AK133&lt;&gt;"",IF(AND(TODAY()&gt;=INDEX(파견수련계획!$AB$4:$AB$203,$AK133),OR(NOT(ISNUMBER(INDEX(파견수련계획!$AC$4:$AC$203,$AK133))),TODAY()&lt;=INDEX(파견수련계획!$AC$4:$AC$203,$AK133))),"다기관",IF($AF133="","",INDEX(파견수련계획!$T$4:$T$203,$AF133))),IF($AF133="","",INDEX(파견수련계획!$T$4:$T$203,$AF133))))</f>
        <v/>
      </c>
      <c r="Q133" s="10">
        <f>IF($AF133="","",INDEX(파견수련계획!$S$4:$S$203,$AF133))</f>
        <v/>
      </c>
      <c r="R133" s="10">
        <f>IF($AF133="","",INDEX(파견수련계획!$U$4:$U$203,$AF133))</f>
        <v/>
      </c>
      <c r="S133" s="11">
        <f>IF($AF133="","",IF(INDEX(파견수련계획!$H$4:$H$203,$AF133)="","",INDEX(파견수련계획!$H$4:$H$203,$AF133)))</f>
        <v/>
      </c>
      <c r="T133" s="11">
        <f>IF($AF133="","",IF(INDEX(파견수련계획!$I$4:$I$203,$AF133)="","",INDEX(파견수련계획!$I$4:$I$203,$AF133)))</f>
        <v/>
      </c>
      <c r="U133" s="10">
        <f>IF($AF133="","",INDEX(파견수련계획!$X$4:$X$203,$AF133))</f>
        <v/>
      </c>
      <c r="V133" s="17">
        <f>IF($AF133="","",INDEX(파견수련계획!$V$4:$V$203,$AF133))</f>
        <v/>
      </c>
      <c r="W133" s="17">
        <f>IF(AND($U133="파견중",$T133&lt;&gt;""),$T133-TODAY(),"")</f>
        <v/>
      </c>
      <c r="X133" s="17">
        <f>IF(OR($B133="",TRIM($J133&amp;"")=""),"",SUMPRODUCT((파견수련계획!$Q$4:$Q$203=TRIM($J133&amp;""))*파견수련계획!$W$4:$W$203))</f>
        <v/>
      </c>
      <c r="Y133" s="10">
        <f>IF($B133="","",IF($AG133="","",IF(IF(TRIM($J133&amp;"")="",0,SUMPRODUCT((파견수련계획!$Q$4:$Q$203=TRIM($J133&amp;""))*파견수련계획!$AD$4:$AD$203))&gt;0,$AE133,IF(N($X133)&lt;=0,$AG133,IF($AH133+$AI133=DAY(EOMONTH(요약!$B$3,0)),IF(AND($AH133&gt;=요약!$E$3,$AI133&lt;요약!$E$3),"서울병원",IF(AND($AI133&gt;=요약!$E$3,$AH133&lt;요약!$E$3),"구리병원","⚠15일 판정불가(서울 "&amp;$AH133&amp;"일/구리 "&amp;$AI133&amp;"일)")),IF($AJ133="",$AE133,IF(INDEX(파견수련계획!$T$4:$T$203,$AJ133)="통합수련",INDEX(파견수련계획!$S$4:$S$203,$AJ133),$AE133)))))))</f>
        <v/>
      </c>
      <c r="Z133" s="19">
        <f>IF($B133="","",IF($AB133="","기본자료에 없는 사번",IF(COUNTIF($B$2:$B$201,$B133)&gt;1,"중복 사번",IF($AE133="","소속(입사장소) 입력",IF(IF(TRIM($J133&amp;"")="",0,SUMPRODUCT((파견수련계획!$Q$4:$Q$203=TRIM($J133&amp;""))*(파견수련계획!$AA$4:$AA$203&lt;&gt;"")))&gt;0,"파견수련계획 입력오류 확인",IF(LEFT($Y133,1)="⚠","서울·구리 15일 판정 불가(양쪽 모두 이상/미만)",IF(IF($AC133="",0,N(INDEX(인턴근무계획!$T$3:$T$202,$AC133)))&gt;0,"인턴계획 입력오류 확인",IF(AND($AC133&lt;&gt;"",$U133&lt;&gt;"파견중",$N133&lt;&gt;$AE133),"인턴 타지역 근무: 파견 여부 확인","정상"))))))))</f>
        <v/>
      </c>
      <c r="AA133" s="5" t="n"/>
      <c r="AB133" s="10">
        <f>IF($B133="","",IFERROR(MATCH($B133,기본자료!$B$2:$B$501,0),IFERROR(MATCH($B133&amp;"",기본자료!$B$2:$B$501,0),IFERROR(MATCH(VALUE($B133),기본자료!$B$2:$B$501,0),""))))</f>
        <v/>
      </c>
      <c r="AC133" s="10">
        <f>IF($B133="","",IFERROR(MATCH($B133,인턴근무계획!$D$3:$D$202,0),IFERROR(MATCH($B133&amp;"",인턴근무계획!$D$3:$D$202,0),IFERROR(MATCH(VALUE($B133),인턴근무계획!$D$3:$D$202,0),""))))</f>
        <v/>
      </c>
      <c r="AD133" s="10">
        <f>IF(OR($AC133="",인턴현황!$G$3=""),"",INDEX(인턴근무계획!$M$3:$R$202,$AC133,인턴현황!$G$3)&amp;"")</f>
        <v/>
      </c>
      <c r="AE133" s="10">
        <f>IF($B133="","",IF($M133&lt;&gt;"",$M133,IF($AF133&lt;&gt;"",IF(LEFT(INDEX(파견수련계획!$R$4:$R$203,$AF133),1)&lt;&gt;"⚠",INDEX(파견수련계획!$R$4:$R$203,$AF133),IF($H133="","",IF(RIGHT($H133,2)="병원",$H133,$H133&amp;"병원"))),IF($H133="","",IF(RIGHT($H133,2)="병원",$H133,$H133&amp;"병원")))))</f>
        <v/>
      </c>
      <c r="AF133" s="10">
        <f>IF(OR($B133="",TRIM($J133&amp;"")=""),"",IFERROR(MATCH(TRIM($J133&amp;"")&amp;"|파견중",파견수련계획!$Y$4:$Y$203,0),IFERROR(MATCH(TRIM($J133&amp;"")&amp;"|파견예정",파견수련계획!$Y$4:$Y$203,0),IFERROR(MATCH(TRIM($J133&amp;"")&amp;"|파견종료",파견수련계획!$Y$4:$Y$203,0),""))))</f>
        <v/>
      </c>
      <c r="AG133" s="10">
        <f>IF($B133="","",IF(AND(IF(OR($AC133="",인턴현황!$K$2=""),"",INDEX(인턴근무계획!$M$3:$R$202,$AC133,인턴현황!$K$2)&amp;"")&lt;&gt;"",LEFT(IF(OR($AC133="",인턴현황!$K$2=""),"",INDEX(인턴근무계획!$M$3:$R$202,$AC133,인턴현황!$K$2)&amp;""),1)&lt;&gt;"⚠"),LEFT(IF(OR($AC133="",인턴현황!$K$2=""),"",INDEX(인턴근무계획!$M$3:$R$202,$AC133,인턴현황!$K$2)&amp;""),FIND(" ",IF(OR($AC133="",인턴현황!$K$2=""),"",INDEX(인턴근무계획!$M$3:$R$202,$AC133,인턴현황!$K$2)&amp;""))-1),$AE133))</f>
        <v/>
      </c>
      <c r="AH133" s="17">
        <f>IF($B133="","",IF(TRIM($J133&amp;"")="",0,SUMPRODUCT((파견수련계획!$Q$4:$Q$203=TRIM($J133&amp;""))*(파견수련계획!$S$4:$S$203="서울병원")*파견수련계획!$W$4:$W$203))+IF($AG133="서울병원",MAX(0,DAY(EOMONTH(요약!$B$3,0))-N($X133)),0))</f>
        <v/>
      </c>
      <c r="AI133" s="17">
        <f>IF($B133="","",IF(TRIM($J133&amp;"")="",0,SUMPRODUCT((파견수련계획!$Q$4:$Q$203=TRIM($J133&amp;""))*(파견수련계획!$S$4:$S$203="구리병원")*파견수련계획!$W$4:$W$203))+IF($AG133="구리병원",MAX(0,DAY(EOMONTH(요약!$B$3,0))-N($X133)),0))</f>
        <v/>
      </c>
      <c r="AJ133" s="10">
        <f>IF(OR($B133="",TRIM($J133&amp;"")=""),"",IFERROR(MATCH(TRIM($J133&amp;"")&amp;"|월",파견수련계획!$Z$4:$Z$203,0),""))</f>
        <v/>
      </c>
      <c r="AK133" s="10">
        <f>IF(OR($B133="",TRIM($J133&amp;"")=""),"",IFERROR(MATCH(TRIM($J133&amp;"")&amp;"|다기관",파견수련계획!$AE$4:$AE$203,0),""))</f>
        <v/>
      </c>
      <c r="AL133" s="10">
        <f>IF($AK133="","","다기관 "&amp;TEXT(INDEX(파견수련계획!$AB$4:$AB$203,$AK133),"yyyy-mm-dd")&amp;"~"&amp;IF(ISNUMBER(INDEX(파견수련계획!$AC$4:$AC$203,$AK133)),TEXT(INDEX(파견수련계획!$AC$4:$AC$203,$AK133),"yyyy-mm-dd"),""))</f>
        <v/>
      </c>
    </row>
    <row r="134">
      <c r="A134" s="10">
        <f>IF(B134="","",ROW()-1)</f>
        <v/>
      </c>
      <c r="B134" s="18" t="n"/>
      <c r="C134" s="10">
        <f>IF($AB134="","",IF(INDEX(기본자료!$C$2:$C$501,$AB134)="","",INDEX(기본자료!$C$2:$C$501,$AB134)))</f>
        <v/>
      </c>
      <c r="D134" s="10">
        <f>IF($AB134="","",IF(INDEX(기본자료!$J$2:$J$501,$AB134)="","",INDEX(기본자료!$J$2:$J$501,$AB134)))</f>
        <v/>
      </c>
      <c r="E134" s="11">
        <f>IF($AB134="","",IF(INDEX(기본자료!$K$2:$K$501,$AB134)="","",IF(NOT(ISNUMBER(INDEX(기본자료!$K$2:$K$501,$AB134))),INDEX(기본자료!$K$2:$K$501,$AB134),IF(INDEX(기본자료!$K$2:$K$501,$AB134)&lt;1000000,INDEX(기본자료!$K$2:$K$501,$AB134),IF(AND(INDEX(기본자료!$K$2:$K$501,$AB134)&gt;=10000101,INT(MOD(INDEX(기본자료!$K$2:$K$501,$AB134),10000)/100)&gt;=1,INT(MOD(INDEX(기본자료!$K$2:$K$501,$AB134),10000)/100)&lt;=12,MOD(INDEX(기본자료!$K$2:$K$501,$AB134),100)&gt;=1,MOD(INDEX(기본자료!$K$2:$K$501,$AB134),100)&lt;=31),DATE(INT(INDEX(기본자료!$K$2:$K$501,$AB134)/10000),INT(MOD(INDEX(기본자료!$K$2:$K$501,$AB134),10000)/100),MOD(INDEX(기본자료!$K$2:$K$501,$AB134),100)),INDEX(기본자료!$K$2:$K$501,$AB134)&amp;"")))))</f>
        <v/>
      </c>
      <c r="F134" s="10">
        <f>IF($AB134="","",IF(INDEX(기본자료!$D$2:$D$501,$AB134)="","",INDEX(기본자료!$D$2:$D$501,$AB134)))</f>
        <v/>
      </c>
      <c r="G134" s="10">
        <f>IF($AB134="","",IF(INDEX(기본자료!$E$2:$E$501,$AB134)="","",INDEX(기본자료!$E$2:$E$501,$AB134)))</f>
        <v/>
      </c>
      <c r="H134" s="10">
        <f>IF($AB134="","",IF(INDEX(기본자료!$F$2:$F$501,$AB134)="","",INDEX(기본자료!$F$2:$F$501,$AB134)))</f>
        <v/>
      </c>
      <c r="I134" s="11">
        <f>IF($AB134="","",IF(INDEX(기본자료!$G$2:$G$501,$AB134)="","",IF(NOT(ISNUMBER(INDEX(기본자료!$G$2:$G$501,$AB134))),INDEX(기본자료!$G$2:$G$501,$AB134),IF(INDEX(기본자료!$G$2:$G$501,$AB134)&lt;1000000,INDEX(기본자료!$G$2:$G$501,$AB134),IF(AND(INDEX(기본자료!$G$2:$G$501,$AB134)&gt;=10000101,INT(MOD(INDEX(기본자료!$G$2:$G$501,$AB134),10000)/100)&gt;=1,INT(MOD(INDEX(기본자료!$G$2:$G$501,$AB134),10000)/100)&lt;=12,MOD(INDEX(기본자료!$G$2:$G$501,$AB134),100)&gt;=1,MOD(INDEX(기본자료!$G$2:$G$501,$AB134),100)&lt;=31),DATE(INT(INDEX(기본자료!$G$2:$G$501,$AB134)/10000),INT(MOD(INDEX(기본자료!$G$2:$G$501,$AB134),10000)/100),MOD(INDEX(기본자료!$G$2:$G$501,$AB134),100)),INDEX(기본자료!$G$2:$G$501,$AB134)&amp;"")))))</f>
        <v/>
      </c>
      <c r="J134" s="10">
        <f>IF($AB134="","",IF(INDEX(기본자료!$H$2:$H$501,$AB134)="","",INDEX(기본자료!$H$2:$H$501,$AB134)))</f>
        <v/>
      </c>
      <c r="K134" s="10">
        <f>IF($AB134="","",IF(INDEX(기본자료!$I$2:$I$501,$AB134)="","",INDEX(기본자료!$I$2:$I$501,$AB134)))</f>
        <v/>
      </c>
      <c r="L134" s="10">
        <f>IF($AB134="","",IF(INDEX(기본자료!$A$2:$A$501,$AB134)="","",INDEX(기본자료!$A$2:$A$501,$AB134)))</f>
        <v/>
      </c>
      <c r="M134" s="15" t="n"/>
      <c r="N134" s="10">
        <f>IF($B134="","",IF(AND($U134="파견중",$Q134&lt;&gt;""),$Q134,IF(AND($AD134&lt;&gt;"",LEFT($AD134,1)&lt;&gt;"⚠"),LEFT($AD134,FIND(" ",$AD134)-1),IF($H134="","",IF(RIGHT($H134,2)="병원",$H134,$H134&amp;"병원")))))</f>
        <v/>
      </c>
      <c r="O134" s="10">
        <f>IF($B134="","",IF(AND($U134="파견중",$Q134&lt;&gt;""),IF($R134&lt;&gt;"",$R134,"파견과 미입력"),IF(AND($AD134&lt;&gt;"",LEFT($AD134,1)&lt;&gt;"⚠"),MID($AD134,FIND(" ",$AD134)+1,60),IF($F134="","",IF($F134="인턴","수련교육부(인턴)",$F134)))))</f>
        <v/>
      </c>
      <c r="P134" s="10">
        <f>IF($B134="","",IF($AK134&lt;&gt;"",IF(AND(TODAY()&gt;=INDEX(파견수련계획!$AB$4:$AB$203,$AK134),OR(NOT(ISNUMBER(INDEX(파견수련계획!$AC$4:$AC$203,$AK134))),TODAY()&lt;=INDEX(파견수련계획!$AC$4:$AC$203,$AK134))),"다기관",IF($AF134="","",INDEX(파견수련계획!$T$4:$T$203,$AF134))),IF($AF134="","",INDEX(파견수련계획!$T$4:$T$203,$AF134))))</f>
        <v/>
      </c>
      <c r="Q134" s="10">
        <f>IF($AF134="","",INDEX(파견수련계획!$S$4:$S$203,$AF134))</f>
        <v/>
      </c>
      <c r="R134" s="10">
        <f>IF($AF134="","",INDEX(파견수련계획!$U$4:$U$203,$AF134))</f>
        <v/>
      </c>
      <c r="S134" s="11">
        <f>IF($AF134="","",IF(INDEX(파견수련계획!$H$4:$H$203,$AF134)="","",INDEX(파견수련계획!$H$4:$H$203,$AF134)))</f>
        <v/>
      </c>
      <c r="T134" s="11">
        <f>IF($AF134="","",IF(INDEX(파견수련계획!$I$4:$I$203,$AF134)="","",INDEX(파견수련계획!$I$4:$I$203,$AF134)))</f>
        <v/>
      </c>
      <c r="U134" s="10">
        <f>IF($AF134="","",INDEX(파견수련계획!$X$4:$X$203,$AF134))</f>
        <v/>
      </c>
      <c r="V134" s="17">
        <f>IF($AF134="","",INDEX(파견수련계획!$V$4:$V$203,$AF134))</f>
        <v/>
      </c>
      <c r="W134" s="17">
        <f>IF(AND($U134="파견중",$T134&lt;&gt;""),$T134-TODAY(),"")</f>
        <v/>
      </c>
      <c r="X134" s="17">
        <f>IF(OR($B134="",TRIM($J134&amp;"")=""),"",SUMPRODUCT((파견수련계획!$Q$4:$Q$203=TRIM($J134&amp;""))*파견수련계획!$W$4:$W$203))</f>
        <v/>
      </c>
      <c r="Y134" s="10">
        <f>IF($B134="","",IF($AG134="","",IF(IF(TRIM($J134&amp;"")="",0,SUMPRODUCT((파견수련계획!$Q$4:$Q$203=TRIM($J134&amp;""))*파견수련계획!$AD$4:$AD$203))&gt;0,$AE134,IF(N($X134)&lt;=0,$AG134,IF($AH134+$AI134=DAY(EOMONTH(요약!$B$3,0)),IF(AND($AH134&gt;=요약!$E$3,$AI134&lt;요약!$E$3),"서울병원",IF(AND($AI134&gt;=요약!$E$3,$AH134&lt;요약!$E$3),"구리병원","⚠15일 판정불가(서울 "&amp;$AH134&amp;"일/구리 "&amp;$AI134&amp;"일)")),IF($AJ134="",$AE134,IF(INDEX(파견수련계획!$T$4:$T$203,$AJ134)="통합수련",INDEX(파견수련계획!$S$4:$S$203,$AJ134),$AE134)))))))</f>
        <v/>
      </c>
      <c r="Z134" s="19">
        <f>IF($B134="","",IF($AB134="","기본자료에 없는 사번",IF(COUNTIF($B$2:$B$201,$B134)&gt;1,"중복 사번",IF($AE134="","소속(입사장소) 입력",IF(IF(TRIM($J134&amp;"")="",0,SUMPRODUCT((파견수련계획!$Q$4:$Q$203=TRIM($J134&amp;""))*(파견수련계획!$AA$4:$AA$203&lt;&gt;"")))&gt;0,"파견수련계획 입력오류 확인",IF(LEFT($Y134,1)="⚠","서울·구리 15일 판정 불가(양쪽 모두 이상/미만)",IF(IF($AC134="",0,N(INDEX(인턴근무계획!$T$3:$T$202,$AC134)))&gt;0,"인턴계획 입력오류 확인",IF(AND($AC134&lt;&gt;"",$U134&lt;&gt;"파견중",$N134&lt;&gt;$AE134),"인턴 타지역 근무: 파견 여부 확인","정상"))))))))</f>
        <v/>
      </c>
      <c r="AA134" s="5" t="n"/>
      <c r="AB134" s="10">
        <f>IF($B134="","",IFERROR(MATCH($B134,기본자료!$B$2:$B$501,0),IFERROR(MATCH($B134&amp;"",기본자료!$B$2:$B$501,0),IFERROR(MATCH(VALUE($B134),기본자료!$B$2:$B$501,0),""))))</f>
        <v/>
      </c>
      <c r="AC134" s="10">
        <f>IF($B134="","",IFERROR(MATCH($B134,인턴근무계획!$D$3:$D$202,0),IFERROR(MATCH($B134&amp;"",인턴근무계획!$D$3:$D$202,0),IFERROR(MATCH(VALUE($B134),인턴근무계획!$D$3:$D$202,0),""))))</f>
        <v/>
      </c>
      <c r="AD134" s="10">
        <f>IF(OR($AC134="",인턴현황!$G$3=""),"",INDEX(인턴근무계획!$M$3:$R$202,$AC134,인턴현황!$G$3)&amp;"")</f>
        <v/>
      </c>
      <c r="AE134" s="10">
        <f>IF($B134="","",IF($M134&lt;&gt;"",$M134,IF($AF134&lt;&gt;"",IF(LEFT(INDEX(파견수련계획!$R$4:$R$203,$AF134),1)&lt;&gt;"⚠",INDEX(파견수련계획!$R$4:$R$203,$AF134),IF($H134="","",IF(RIGHT($H134,2)="병원",$H134,$H134&amp;"병원"))),IF($H134="","",IF(RIGHT($H134,2)="병원",$H134,$H134&amp;"병원")))))</f>
        <v/>
      </c>
      <c r="AF134" s="10">
        <f>IF(OR($B134="",TRIM($J134&amp;"")=""),"",IFERROR(MATCH(TRIM($J134&amp;"")&amp;"|파견중",파견수련계획!$Y$4:$Y$203,0),IFERROR(MATCH(TRIM($J134&amp;"")&amp;"|파견예정",파견수련계획!$Y$4:$Y$203,0),IFERROR(MATCH(TRIM($J134&amp;"")&amp;"|파견종료",파견수련계획!$Y$4:$Y$203,0),""))))</f>
        <v/>
      </c>
      <c r="AG134" s="10">
        <f>IF($B134="","",IF(AND(IF(OR($AC134="",인턴현황!$K$2=""),"",INDEX(인턴근무계획!$M$3:$R$202,$AC134,인턴현황!$K$2)&amp;"")&lt;&gt;"",LEFT(IF(OR($AC134="",인턴현황!$K$2=""),"",INDEX(인턴근무계획!$M$3:$R$202,$AC134,인턴현황!$K$2)&amp;""),1)&lt;&gt;"⚠"),LEFT(IF(OR($AC134="",인턴현황!$K$2=""),"",INDEX(인턴근무계획!$M$3:$R$202,$AC134,인턴현황!$K$2)&amp;""),FIND(" ",IF(OR($AC134="",인턴현황!$K$2=""),"",INDEX(인턴근무계획!$M$3:$R$202,$AC134,인턴현황!$K$2)&amp;""))-1),$AE134))</f>
        <v/>
      </c>
      <c r="AH134" s="17">
        <f>IF($B134="","",IF(TRIM($J134&amp;"")="",0,SUMPRODUCT((파견수련계획!$Q$4:$Q$203=TRIM($J134&amp;""))*(파견수련계획!$S$4:$S$203="서울병원")*파견수련계획!$W$4:$W$203))+IF($AG134="서울병원",MAX(0,DAY(EOMONTH(요약!$B$3,0))-N($X134)),0))</f>
        <v/>
      </c>
      <c r="AI134" s="17">
        <f>IF($B134="","",IF(TRIM($J134&amp;"")="",0,SUMPRODUCT((파견수련계획!$Q$4:$Q$203=TRIM($J134&amp;""))*(파견수련계획!$S$4:$S$203="구리병원")*파견수련계획!$W$4:$W$203))+IF($AG134="구리병원",MAX(0,DAY(EOMONTH(요약!$B$3,0))-N($X134)),0))</f>
        <v/>
      </c>
      <c r="AJ134" s="10">
        <f>IF(OR($B134="",TRIM($J134&amp;"")=""),"",IFERROR(MATCH(TRIM($J134&amp;"")&amp;"|월",파견수련계획!$Z$4:$Z$203,0),""))</f>
        <v/>
      </c>
      <c r="AK134" s="10">
        <f>IF(OR($B134="",TRIM($J134&amp;"")=""),"",IFERROR(MATCH(TRIM($J134&amp;"")&amp;"|다기관",파견수련계획!$AE$4:$AE$203,0),""))</f>
        <v/>
      </c>
      <c r="AL134" s="10">
        <f>IF($AK134="","","다기관 "&amp;TEXT(INDEX(파견수련계획!$AB$4:$AB$203,$AK134),"yyyy-mm-dd")&amp;"~"&amp;IF(ISNUMBER(INDEX(파견수련계획!$AC$4:$AC$203,$AK134)),TEXT(INDEX(파견수련계획!$AC$4:$AC$203,$AK134),"yyyy-mm-dd"),""))</f>
        <v/>
      </c>
    </row>
    <row r="135">
      <c r="A135" s="10">
        <f>IF(B135="","",ROW()-1)</f>
        <v/>
      </c>
      <c r="B135" s="18" t="n"/>
      <c r="C135" s="10">
        <f>IF($AB135="","",IF(INDEX(기본자료!$C$2:$C$501,$AB135)="","",INDEX(기본자료!$C$2:$C$501,$AB135)))</f>
        <v/>
      </c>
      <c r="D135" s="10">
        <f>IF($AB135="","",IF(INDEX(기본자료!$J$2:$J$501,$AB135)="","",INDEX(기본자료!$J$2:$J$501,$AB135)))</f>
        <v/>
      </c>
      <c r="E135" s="11">
        <f>IF($AB135="","",IF(INDEX(기본자료!$K$2:$K$501,$AB135)="","",IF(NOT(ISNUMBER(INDEX(기본자료!$K$2:$K$501,$AB135))),INDEX(기본자료!$K$2:$K$501,$AB135),IF(INDEX(기본자료!$K$2:$K$501,$AB135)&lt;1000000,INDEX(기본자료!$K$2:$K$501,$AB135),IF(AND(INDEX(기본자료!$K$2:$K$501,$AB135)&gt;=10000101,INT(MOD(INDEX(기본자료!$K$2:$K$501,$AB135),10000)/100)&gt;=1,INT(MOD(INDEX(기본자료!$K$2:$K$501,$AB135),10000)/100)&lt;=12,MOD(INDEX(기본자료!$K$2:$K$501,$AB135),100)&gt;=1,MOD(INDEX(기본자료!$K$2:$K$501,$AB135),100)&lt;=31),DATE(INT(INDEX(기본자료!$K$2:$K$501,$AB135)/10000),INT(MOD(INDEX(기본자료!$K$2:$K$501,$AB135),10000)/100),MOD(INDEX(기본자료!$K$2:$K$501,$AB135),100)),INDEX(기본자료!$K$2:$K$501,$AB135)&amp;"")))))</f>
        <v/>
      </c>
      <c r="F135" s="10">
        <f>IF($AB135="","",IF(INDEX(기본자료!$D$2:$D$501,$AB135)="","",INDEX(기본자료!$D$2:$D$501,$AB135)))</f>
        <v/>
      </c>
      <c r="G135" s="10">
        <f>IF($AB135="","",IF(INDEX(기본자료!$E$2:$E$501,$AB135)="","",INDEX(기본자료!$E$2:$E$501,$AB135)))</f>
        <v/>
      </c>
      <c r="H135" s="10">
        <f>IF($AB135="","",IF(INDEX(기본자료!$F$2:$F$501,$AB135)="","",INDEX(기본자료!$F$2:$F$501,$AB135)))</f>
        <v/>
      </c>
      <c r="I135" s="11">
        <f>IF($AB135="","",IF(INDEX(기본자료!$G$2:$G$501,$AB135)="","",IF(NOT(ISNUMBER(INDEX(기본자료!$G$2:$G$501,$AB135))),INDEX(기본자료!$G$2:$G$501,$AB135),IF(INDEX(기본자료!$G$2:$G$501,$AB135)&lt;1000000,INDEX(기본자료!$G$2:$G$501,$AB135),IF(AND(INDEX(기본자료!$G$2:$G$501,$AB135)&gt;=10000101,INT(MOD(INDEX(기본자료!$G$2:$G$501,$AB135),10000)/100)&gt;=1,INT(MOD(INDEX(기본자료!$G$2:$G$501,$AB135),10000)/100)&lt;=12,MOD(INDEX(기본자료!$G$2:$G$501,$AB135),100)&gt;=1,MOD(INDEX(기본자료!$G$2:$G$501,$AB135),100)&lt;=31),DATE(INT(INDEX(기본자료!$G$2:$G$501,$AB135)/10000),INT(MOD(INDEX(기본자료!$G$2:$G$501,$AB135),10000)/100),MOD(INDEX(기본자료!$G$2:$G$501,$AB135),100)),INDEX(기본자료!$G$2:$G$501,$AB135)&amp;"")))))</f>
        <v/>
      </c>
      <c r="J135" s="10">
        <f>IF($AB135="","",IF(INDEX(기본자료!$H$2:$H$501,$AB135)="","",INDEX(기본자료!$H$2:$H$501,$AB135)))</f>
        <v/>
      </c>
      <c r="K135" s="10">
        <f>IF($AB135="","",IF(INDEX(기본자료!$I$2:$I$501,$AB135)="","",INDEX(기본자료!$I$2:$I$501,$AB135)))</f>
        <v/>
      </c>
      <c r="L135" s="10">
        <f>IF($AB135="","",IF(INDEX(기본자료!$A$2:$A$501,$AB135)="","",INDEX(기본자료!$A$2:$A$501,$AB135)))</f>
        <v/>
      </c>
      <c r="M135" s="15" t="n"/>
      <c r="N135" s="10">
        <f>IF($B135="","",IF(AND($U135="파견중",$Q135&lt;&gt;""),$Q135,IF(AND($AD135&lt;&gt;"",LEFT($AD135,1)&lt;&gt;"⚠"),LEFT($AD135,FIND(" ",$AD135)-1),IF($H135="","",IF(RIGHT($H135,2)="병원",$H135,$H135&amp;"병원")))))</f>
        <v/>
      </c>
      <c r="O135" s="10">
        <f>IF($B135="","",IF(AND($U135="파견중",$Q135&lt;&gt;""),IF($R135&lt;&gt;"",$R135,"파견과 미입력"),IF(AND($AD135&lt;&gt;"",LEFT($AD135,1)&lt;&gt;"⚠"),MID($AD135,FIND(" ",$AD135)+1,60),IF($F135="","",IF($F135="인턴","수련교육부(인턴)",$F135)))))</f>
        <v/>
      </c>
      <c r="P135" s="10">
        <f>IF($B135="","",IF($AK135&lt;&gt;"",IF(AND(TODAY()&gt;=INDEX(파견수련계획!$AB$4:$AB$203,$AK135),OR(NOT(ISNUMBER(INDEX(파견수련계획!$AC$4:$AC$203,$AK135))),TODAY()&lt;=INDEX(파견수련계획!$AC$4:$AC$203,$AK135))),"다기관",IF($AF135="","",INDEX(파견수련계획!$T$4:$T$203,$AF135))),IF($AF135="","",INDEX(파견수련계획!$T$4:$T$203,$AF135))))</f>
        <v/>
      </c>
      <c r="Q135" s="10">
        <f>IF($AF135="","",INDEX(파견수련계획!$S$4:$S$203,$AF135))</f>
        <v/>
      </c>
      <c r="R135" s="10">
        <f>IF($AF135="","",INDEX(파견수련계획!$U$4:$U$203,$AF135))</f>
        <v/>
      </c>
      <c r="S135" s="11">
        <f>IF($AF135="","",IF(INDEX(파견수련계획!$H$4:$H$203,$AF135)="","",INDEX(파견수련계획!$H$4:$H$203,$AF135)))</f>
        <v/>
      </c>
      <c r="T135" s="11">
        <f>IF($AF135="","",IF(INDEX(파견수련계획!$I$4:$I$203,$AF135)="","",INDEX(파견수련계획!$I$4:$I$203,$AF135)))</f>
        <v/>
      </c>
      <c r="U135" s="10">
        <f>IF($AF135="","",INDEX(파견수련계획!$X$4:$X$203,$AF135))</f>
        <v/>
      </c>
      <c r="V135" s="17">
        <f>IF($AF135="","",INDEX(파견수련계획!$V$4:$V$203,$AF135))</f>
        <v/>
      </c>
      <c r="W135" s="17">
        <f>IF(AND($U135="파견중",$T135&lt;&gt;""),$T135-TODAY(),"")</f>
        <v/>
      </c>
      <c r="X135" s="17">
        <f>IF(OR($B135="",TRIM($J135&amp;"")=""),"",SUMPRODUCT((파견수련계획!$Q$4:$Q$203=TRIM($J135&amp;""))*파견수련계획!$W$4:$W$203))</f>
        <v/>
      </c>
      <c r="Y135" s="10">
        <f>IF($B135="","",IF($AG135="","",IF(IF(TRIM($J135&amp;"")="",0,SUMPRODUCT((파견수련계획!$Q$4:$Q$203=TRIM($J135&amp;""))*파견수련계획!$AD$4:$AD$203))&gt;0,$AE135,IF(N($X135)&lt;=0,$AG135,IF($AH135+$AI135=DAY(EOMONTH(요약!$B$3,0)),IF(AND($AH135&gt;=요약!$E$3,$AI135&lt;요약!$E$3),"서울병원",IF(AND($AI135&gt;=요약!$E$3,$AH135&lt;요약!$E$3),"구리병원","⚠15일 판정불가(서울 "&amp;$AH135&amp;"일/구리 "&amp;$AI135&amp;"일)")),IF($AJ135="",$AE135,IF(INDEX(파견수련계획!$T$4:$T$203,$AJ135)="통합수련",INDEX(파견수련계획!$S$4:$S$203,$AJ135),$AE135)))))))</f>
        <v/>
      </c>
      <c r="Z135" s="19">
        <f>IF($B135="","",IF($AB135="","기본자료에 없는 사번",IF(COUNTIF($B$2:$B$201,$B135)&gt;1,"중복 사번",IF($AE135="","소속(입사장소) 입력",IF(IF(TRIM($J135&amp;"")="",0,SUMPRODUCT((파견수련계획!$Q$4:$Q$203=TRIM($J135&amp;""))*(파견수련계획!$AA$4:$AA$203&lt;&gt;"")))&gt;0,"파견수련계획 입력오류 확인",IF(LEFT($Y135,1)="⚠","서울·구리 15일 판정 불가(양쪽 모두 이상/미만)",IF(IF($AC135="",0,N(INDEX(인턴근무계획!$T$3:$T$202,$AC135)))&gt;0,"인턴계획 입력오류 확인",IF(AND($AC135&lt;&gt;"",$U135&lt;&gt;"파견중",$N135&lt;&gt;$AE135),"인턴 타지역 근무: 파견 여부 확인","정상"))))))))</f>
        <v/>
      </c>
      <c r="AA135" s="5" t="n"/>
      <c r="AB135" s="10">
        <f>IF($B135="","",IFERROR(MATCH($B135,기본자료!$B$2:$B$501,0),IFERROR(MATCH($B135&amp;"",기본자료!$B$2:$B$501,0),IFERROR(MATCH(VALUE($B135),기본자료!$B$2:$B$501,0),""))))</f>
        <v/>
      </c>
      <c r="AC135" s="10">
        <f>IF($B135="","",IFERROR(MATCH($B135,인턴근무계획!$D$3:$D$202,0),IFERROR(MATCH($B135&amp;"",인턴근무계획!$D$3:$D$202,0),IFERROR(MATCH(VALUE($B135),인턴근무계획!$D$3:$D$202,0),""))))</f>
        <v/>
      </c>
      <c r="AD135" s="10">
        <f>IF(OR($AC135="",인턴현황!$G$3=""),"",INDEX(인턴근무계획!$M$3:$R$202,$AC135,인턴현황!$G$3)&amp;"")</f>
        <v/>
      </c>
      <c r="AE135" s="10">
        <f>IF($B135="","",IF($M135&lt;&gt;"",$M135,IF($AF135&lt;&gt;"",IF(LEFT(INDEX(파견수련계획!$R$4:$R$203,$AF135),1)&lt;&gt;"⚠",INDEX(파견수련계획!$R$4:$R$203,$AF135),IF($H135="","",IF(RIGHT($H135,2)="병원",$H135,$H135&amp;"병원"))),IF($H135="","",IF(RIGHT($H135,2)="병원",$H135,$H135&amp;"병원")))))</f>
        <v/>
      </c>
      <c r="AF135" s="10">
        <f>IF(OR($B135="",TRIM($J135&amp;"")=""),"",IFERROR(MATCH(TRIM($J135&amp;"")&amp;"|파견중",파견수련계획!$Y$4:$Y$203,0),IFERROR(MATCH(TRIM($J135&amp;"")&amp;"|파견예정",파견수련계획!$Y$4:$Y$203,0),IFERROR(MATCH(TRIM($J135&amp;"")&amp;"|파견종료",파견수련계획!$Y$4:$Y$203,0),""))))</f>
        <v/>
      </c>
      <c r="AG135" s="10">
        <f>IF($B135="","",IF(AND(IF(OR($AC135="",인턴현황!$K$2=""),"",INDEX(인턴근무계획!$M$3:$R$202,$AC135,인턴현황!$K$2)&amp;"")&lt;&gt;"",LEFT(IF(OR($AC135="",인턴현황!$K$2=""),"",INDEX(인턴근무계획!$M$3:$R$202,$AC135,인턴현황!$K$2)&amp;""),1)&lt;&gt;"⚠"),LEFT(IF(OR($AC135="",인턴현황!$K$2=""),"",INDEX(인턴근무계획!$M$3:$R$202,$AC135,인턴현황!$K$2)&amp;""),FIND(" ",IF(OR($AC135="",인턴현황!$K$2=""),"",INDEX(인턴근무계획!$M$3:$R$202,$AC135,인턴현황!$K$2)&amp;""))-1),$AE135))</f>
        <v/>
      </c>
      <c r="AH135" s="17">
        <f>IF($B135="","",IF(TRIM($J135&amp;"")="",0,SUMPRODUCT((파견수련계획!$Q$4:$Q$203=TRIM($J135&amp;""))*(파견수련계획!$S$4:$S$203="서울병원")*파견수련계획!$W$4:$W$203))+IF($AG135="서울병원",MAX(0,DAY(EOMONTH(요약!$B$3,0))-N($X135)),0))</f>
        <v/>
      </c>
      <c r="AI135" s="17">
        <f>IF($B135="","",IF(TRIM($J135&amp;"")="",0,SUMPRODUCT((파견수련계획!$Q$4:$Q$203=TRIM($J135&amp;""))*(파견수련계획!$S$4:$S$203="구리병원")*파견수련계획!$W$4:$W$203))+IF($AG135="구리병원",MAX(0,DAY(EOMONTH(요약!$B$3,0))-N($X135)),0))</f>
        <v/>
      </c>
      <c r="AJ135" s="10">
        <f>IF(OR($B135="",TRIM($J135&amp;"")=""),"",IFERROR(MATCH(TRIM($J135&amp;"")&amp;"|월",파견수련계획!$Z$4:$Z$203,0),""))</f>
        <v/>
      </c>
      <c r="AK135" s="10">
        <f>IF(OR($B135="",TRIM($J135&amp;"")=""),"",IFERROR(MATCH(TRIM($J135&amp;"")&amp;"|다기관",파견수련계획!$AE$4:$AE$203,0),""))</f>
        <v/>
      </c>
      <c r="AL135" s="10">
        <f>IF($AK135="","","다기관 "&amp;TEXT(INDEX(파견수련계획!$AB$4:$AB$203,$AK135),"yyyy-mm-dd")&amp;"~"&amp;IF(ISNUMBER(INDEX(파견수련계획!$AC$4:$AC$203,$AK135)),TEXT(INDEX(파견수련계획!$AC$4:$AC$203,$AK135),"yyyy-mm-dd"),""))</f>
        <v/>
      </c>
    </row>
    <row r="136">
      <c r="A136" s="10">
        <f>IF(B136="","",ROW()-1)</f>
        <v/>
      </c>
      <c r="B136" s="18" t="n"/>
      <c r="C136" s="10">
        <f>IF($AB136="","",IF(INDEX(기본자료!$C$2:$C$501,$AB136)="","",INDEX(기본자료!$C$2:$C$501,$AB136)))</f>
        <v/>
      </c>
      <c r="D136" s="10">
        <f>IF($AB136="","",IF(INDEX(기본자료!$J$2:$J$501,$AB136)="","",INDEX(기본자료!$J$2:$J$501,$AB136)))</f>
        <v/>
      </c>
      <c r="E136" s="11">
        <f>IF($AB136="","",IF(INDEX(기본자료!$K$2:$K$501,$AB136)="","",IF(NOT(ISNUMBER(INDEX(기본자료!$K$2:$K$501,$AB136))),INDEX(기본자료!$K$2:$K$501,$AB136),IF(INDEX(기본자료!$K$2:$K$501,$AB136)&lt;1000000,INDEX(기본자료!$K$2:$K$501,$AB136),IF(AND(INDEX(기본자료!$K$2:$K$501,$AB136)&gt;=10000101,INT(MOD(INDEX(기본자료!$K$2:$K$501,$AB136),10000)/100)&gt;=1,INT(MOD(INDEX(기본자료!$K$2:$K$501,$AB136),10000)/100)&lt;=12,MOD(INDEX(기본자료!$K$2:$K$501,$AB136),100)&gt;=1,MOD(INDEX(기본자료!$K$2:$K$501,$AB136),100)&lt;=31),DATE(INT(INDEX(기본자료!$K$2:$K$501,$AB136)/10000),INT(MOD(INDEX(기본자료!$K$2:$K$501,$AB136),10000)/100),MOD(INDEX(기본자료!$K$2:$K$501,$AB136),100)),INDEX(기본자료!$K$2:$K$501,$AB136)&amp;"")))))</f>
        <v/>
      </c>
      <c r="F136" s="10">
        <f>IF($AB136="","",IF(INDEX(기본자료!$D$2:$D$501,$AB136)="","",INDEX(기본자료!$D$2:$D$501,$AB136)))</f>
        <v/>
      </c>
      <c r="G136" s="10">
        <f>IF($AB136="","",IF(INDEX(기본자료!$E$2:$E$501,$AB136)="","",INDEX(기본자료!$E$2:$E$501,$AB136)))</f>
        <v/>
      </c>
      <c r="H136" s="10">
        <f>IF($AB136="","",IF(INDEX(기본자료!$F$2:$F$501,$AB136)="","",INDEX(기본자료!$F$2:$F$501,$AB136)))</f>
        <v/>
      </c>
      <c r="I136" s="11">
        <f>IF($AB136="","",IF(INDEX(기본자료!$G$2:$G$501,$AB136)="","",IF(NOT(ISNUMBER(INDEX(기본자료!$G$2:$G$501,$AB136))),INDEX(기본자료!$G$2:$G$501,$AB136),IF(INDEX(기본자료!$G$2:$G$501,$AB136)&lt;1000000,INDEX(기본자료!$G$2:$G$501,$AB136),IF(AND(INDEX(기본자료!$G$2:$G$501,$AB136)&gt;=10000101,INT(MOD(INDEX(기본자료!$G$2:$G$501,$AB136),10000)/100)&gt;=1,INT(MOD(INDEX(기본자료!$G$2:$G$501,$AB136),10000)/100)&lt;=12,MOD(INDEX(기본자료!$G$2:$G$501,$AB136),100)&gt;=1,MOD(INDEX(기본자료!$G$2:$G$501,$AB136),100)&lt;=31),DATE(INT(INDEX(기본자료!$G$2:$G$501,$AB136)/10000),INT(MOD(INDEX(기본자료!$G$2:$G$501,$AB136),10000)/100),MOD(INDEX(기본자료!$G$2:$G$501,$AB136),100)),INDEX(기본자료!$G$2:$G$501,$AB136)&amp;"")))))</f>
        <v/>
      </c>
      <c r="J136" s="10">
        <f>IF($AB136="","",IF(INDEX(기본자료!$H$2:$H$501,$AB136)="","",INDEX(기본자료!$H$2:$H$501,$AB136)))</f>
        <v/>
      </c>
      <c r="K136" s="10">
        <f>IF($AB136="","",IF(INDEX(기본자료!$I$2:$I$501,$AB136)="","",INDEX(기본자료!$I$2:$I$501,$AB136)))</f>
        <v/>
      </c>
      <c r="L136" s="10">
        <f>IF($AB136="","",IF(INDEX(기본자료!$A$2:$A$501,$AB136)="","",INDEX(기본자료!$A$2:$A$501,$AB136)))</f>
        <v/>
      </c>
      <c r="M136" s="15" t="n"/>
      <c r="N136" s="10">
        <f>IF($B136="","",IF(AND($U136="파견중",$Q136&lt;&gt;""),$Q136,IF(AND($AD136&lt;&gt;"",LEFT($AD136,1)&lt;&gt;"⚠"),LEFT($AD136,FIND(" ",$AD136)-1),IF($H136="","",IF(RIGHT($H136,2)="병원",$H136,$H136&amp;"병원")))))</f>
        <v/>
      </c>
      <c r="O136" s="10">
        <f>IF($B136="","",IF(AND($U136="파견중",$Q136&lt;&gt;""),IF($R136&lt;&gt;"",$R136,"파견과 미입력"),IF(AND($AD136&lt;&gt;"",LEFT($AD136,1)&lt;&gt;"⚠"),MID($AD136,FIND(" ",$AD136)+1,60),IF($F136="","",IF($F136="인턴","수련교육부(인턴)",$F136)))))</f>
        <v/>
      </c>
      <c r="P136" s="10">
        <f>IF($B136="","",IF($AK136&lt;&gt;"",IF(AND(TODAY()&gt;=INDEX(파견수련계획!$AB$4:$AB$203,$AK136),OR(NOT(ISNUMBER(INDEX(파견수련계획!$AC$4:$AC$203,$AK136))),TODAY()&lt;=INDEX(파견수련계획!$AC$4:$AC$203,$AK136))),"다기관",IF($AF136="","",INDEX(파견수련계획!$T$4:$T$203,$AF136))),IF($AF136="","",INDEX(파견수련계획!$T$4:$T$203,$AF136))))</f>
        <v/>
      </c>
      <c r="Q136" s="10">
        <f>IF($AF136="","",INDEX(파견수련계획!$S$4:$S$203,$AF136))</f>
        <v/>
      </c>
      <c r="R136" s="10">
        <f>IF($AF136="","",INDEX(파견수련계획!$U$4:$U$203,$AF136))</f>
        <v/>
      </c>
      <c r="S136" s="11">
        <f>IF($AF136="","",IF(INDEX(파견수련계획!$H$4:$H$203,$AF136)="","",INDEX(파견수련계획!$H$4:$H$203,$AF136)))</f>
        <v/>
      </c>
      <c r="T136" s="11">
        <f>IF($AF136="","",IF(INDEX(파견수련계획!$I$4:$I$203,$AF136)="","",INDEX(파견수련계획!$I$4:$I$203,$AF136)))</f>
        <v/>
      </c>
      <c r="U136" s="10">
        <f>IF($AF136="","",INDEX(파견수련계획!$X$4:$X$203,$AF136))</f>
        <v/>
      </c>
      <c r="V136" s="17">
        <f>IF($AF136="","",INDEX(파견수련계획!$V$4:$V$203,$AF136))</f>
        <v/>
      </c>
      <c r="W136" s="17">
        <f>IF(AND($U136="파견중",$T136&lt;&gt;""),$T136-TODAY(),"")</f>
        <v/>
      </c>
      <c r="X136" s="17">
        <f>IF(OR($B136="",TRIM($J136&amp;"")=""),"",SUMPRODUCT((파견수련계획!$Q$4:$Q$203=TRIM($J136&amp;""))*파견수련계획!$W$4:$W$203))</f>
        <v/>
      </c>
      <c r="Y136" s="10">
        <f>IF($B136="","",IF($AG136="","",IF(IF(TRIM($J136&amp;"")="",0,SUMPRODUCT((파견수련계획!$Q$4:$Q$203=TRIM($J136&amp;""))*파견수련계획!$AD$4:$AD$203))&gt;0,$AE136,IF(N($X136)&lt;=0,$AG136,IF($AH136+$AI136=DAY(EOMONTH(요약!$B$3,0)),IF(AND($AH136&gt;=요약!$E$3,$AI136&lt;요약!$E$3),"서울병원",IF(AND($AI136&gt;=요약!$E$3,$AH136&lt;요약!$E$3),"구리병원","⚠15일 판정불가(서울 "&amp;$AH136&amp;"일/구리 "&amp;$AI136&amp;"일)")),IF($AJ136="",$AE136,IF(INDEX(파견수련계획!$T$4:$T$203,$AJ136)="통합수련",INDEX(파견수련계획!$S$4:$S$203,$AJ136),$AE136)))))))</f>
        <v/>
      </c>
      <c r="Z136" s="19">
        <f>IF($B136="","",IF($AB136="","기본자료에 없는 사번",IF(COUNTIF($B$2:$B$201,$B136)&gt;1,"중복 사번",IF($AE136="","소속(입사장소) 입력",IF(IF(TRIM($J136&amp;"")="",0,SUMPRODUCT((파견수련계획!$Q$4:$Q$203=TRIM($J136&amp;""))*(파견수련계획!$AA$4:$AA$203&lt;&gt;"")))&gt;0,"파견수련계획 입력오류 확인",IF(LEFT($Y136,1)="⚠","서울·구리 15일 판정 불가(양쪽 모두 이상/미만)",IF(IF($AC136="",0,N(INDEX(인턴근무계획!$T$3:$T$202,$AC136)))&gt;0,"인턴계획 입력오류 확인",IF(AND($AC136&lt;&gt;"",$U136&lt;&gt;"파견중",$N136&lt;&gt;$AE136),"인턴 타지역 근무: 파견 여부 확인","정상"))))))))</f>
        <v/>
      </c>
      <c r="AA136" s="5" t="n"/>
      <c r="AB136" s="10">
        <f>IF($B136="","",IFERROR(MATCH($B136,기본자료!$B$2:$B$501,0),IFERROR(MATCH($B136&amp;"",기본자료!$B$2:$B$501,0),IFERROR(MATCH(VALUE($B136),기본자료!$B$2:$B$501,0),""))))</f>
        <v/>
      </c>
      <c r="AC136" s="10">
        <f>IF($B136="","",IFERROR(MATCH($B136,인턴근무계획!$D$3:$D$202,0),IFERROR(MATCH($B136&amp;"",인턴근무계획!$D$3:$D$202,0),IFERROR(MATCH(VALUE($B136),인턴근무계획!$D$3:$D$202,0),""))))</f>
        <v/>
      </c>
      <c r="AD136" s="10">
        <f>IF(OR($AC136="",인턴현황!$G$3=""),"",INDEX(인턴근무계획!$M$3:$R$202,$AC136,인턴현황!$G$3)&amp;"")</f>
        <v/>
      </c>
      <c r="AE136" s="10">
        <f>IF($B136="","",IF($M136&lt;&gt;"",$M136,IF($AF136&lt;&gt;"",IF(LEFT(INDEX(파견수련계획!$R$4:$R$203,$AF136),1)&lt;&gt;"⚠",INDEX(파견수련계획!$R$4:$R$203,$AF136),IF($H136="","",IF(RIGHT($H136,2)="병원",$H136,$H136&amp;"병원"))),IF($H136="","",IF(RIGHT($H136,2)="병원",$H136,$H136&amp;"병원")))))</f>
        <v/>
      </c>
      <c r="AF136" s="10">
        <f>IF(OR($B136="",TRIM($J136&amp;"")=""),"",IFERROR(MATCH(TRIM($J136&amp;"")&amp;"|파견중",파견수련계획!$Y$4:$Y$203,0),IFERROR(MATCH(TRIM($J136&amp;"")&amp;"|파견예정",파견수련계획!$Y$4:$Y$203,0),IFERROR(MATCH(TRIM($J136&amp;"")&amp;"|파견종료",파견수련계획!$Y$4:$Y$203,0),""))))</f>
        <v/>
      </c>
      <c r="AG136" s="10">
        <f>IF($B136="","",IF(AND(IF(OR($AC136="",인턴현황!$K$2=""),"",INDEX(인턴근무계획!$M$3:$R$202,$AC136,인턴현황!$K$2)&amp;"")&lt;&gt;"",LEFT(IF(OR($AC136="",인턴현황!$K$2=""),"",INDEX(인턴근무계획!$M$3:$R$202,$AC136,인턴현황!$K$2)&amp;""),1)&lt;&gt;"⚠"),LEFT(IF(OR($AC136="",인턴현황!$K$2=""),"",INDEX(인턴근무계획!$M$3:$R$202,$AC136,인턴현황!$K$2)&amp;""),FIND(" ",IF(OR($AC136="",인턴현황!$K$2=""),"",INDEX(인턴근무계획!$M$3:$R$202,$AC136,인턴현황!$K$2)&amp;""))-1),$AE136))</f>
        <v/>
      </c>
      <c r="AH136" s="17">
        <f>IF($B136="","",IF(TRIM($J136&amp;"")="",0,SUMPRODUCT((파견수련계획!$Q$4:$Q$203=TRIM($J136&amp;""))*(파견수련계획!$S$4:$S$203="서울병원")*파견수련계획!$W$4:$W$203))+IF($AG136="서울병원",MAX(0,DAY(EOMONTH(요약!$B$3,0))-N($X136)),0))</f>
        <v/>
      </c>
      <c r="AI136" s="17">
        <f>IF($B136="","",IF(TRIM($J136&amp;"")="",0,SUMPRODUCT((파견수련계획!$Q$4:$Q$203=TRIM($J136&amp;""))*(파견수련계획!$S$4:$S$203="구리병원")*파견수련계획!$W$4:$W$203))+IF($AG136="구리병원",MAX(0,DAY(EOMONTH(요약!$B$3,0))-N($X136)),0))</f>
        <v/>
      </c>
      <c r="AJ136" s="10">
        <f>IF(OR($B136="",TRIM($J136&amp;"")=""),"",IFERROR(MATCH(TRIM($J136&amp;"")&amp;"|월",파견수련계획!$Z$4:$Z$203,0),""))</f>
        <v/>
      </c>
      <c r="AK136" s="10">
        <f>IF(OR($B136="",TRIM($J136&amp;"")=""),"",IFERROR(MATCH(TRIM($J136&amp;"")&amp;"|다기관",파견수련계획!$AE$4:$AE$203,0),""))</f>
        <v/>
      </c>
      <c r="AL136" s="10">
        <f>IF($AK136="","","다기관 "&amp;TEXT(INDEX(파견수련계획!$AB$4:$AB$203,$AK136),"yyyy-mm-dd")&amp;"~"&amp;IF(ISNUMBER(INDEX(파견수련계획!$AC$4:$AC$203,$AK136)),TEXT(INDEX(파견수련계획!$AC$4:$AC$203,$AK136),"yyyy-mm-dd"),""))</f>
        <v/>
      </c>
    </row>
    <row r="137">
      <c r="A137" s="10">
        <f>IF(B137="","",ROW()-1)</f>
        <v/>
      </c>
      <c r="B137" s="18" t="n"/>
      <c r="C137" s="10">
        <f>IF($AB137="","",IF(INDEX(기본자료!$C$2:$C$501,$AB137)="","",INDEX(기본자료!$C$2:$C$501,$AB137)))</f>
        <v/>
      </c>
      <c r="D137" s="10">
        <f>IF($AB137="","",IF(INDEX(기본자료!$J$2:$J$501,$AB137)="","",INDEX(기본자료!$J$2:$J$501,$AB137)))</f>
        <v/>
      </c>
      <c r="E137" s="11">
        <f>IF($AB137="","",IF(INDEX(기본자료!$K$2:$K$501,$AB137)="","",IF(NOT(ISNUMBER(INDEX(기본자료!$K$2:$K$501,$AB137))),INDEX(기본자료!$K$2:$K$501,$AB137),IF(INDEX(기본자료!$K$2:$K$501,$AB137)&lt;1000000,INDEX(기본자료!$K$2:$K$501,$AB137),IF(AND(INDEX(기본자료!$K$2:$K$501,$AB137)&gt;=10000101,INT(MOD(INDEX(기본자료!$K$2:$K$501,$AB137),10000)/100)&gt;=1,INT(MOD(INDEX(기본자료!$K$2:$K$501,$AB137),10000)/100)&lt;=12,MOD(INDEX(기본자료!$K$2:$K$501,$AB137),100)&gt;=1,MOD(INDEX(기본자료!$K$2:$K$501,$AB137),100)&lt;=31),DATE(INT(INDEX(기본자료!$K$2:$K$501,$AB137)/10000),INT(MOD(INDEX(기본자료!$K$2:$K$501,$AB137),10000)/100),MOD(INDEX(기본자료!$K$2:$K$501,$AB137),100)),INDEX(기본자료!$K$2:$K$501,$AB137)&amp;"")))))</f>
        <v/>
      </c>
      <c r="F137" s="10">
        <f>IF($AB137="","",IF(INDEX(기본자료!$D$2:$D$501,$AB137)="","",INDEX(기본자료!$D$2:$D$501,$AB137)))</f>
        <v/>
      </c>
      <c r="G137" s="10">
        <f>IF($AB137="","",IF(INDEX(기본자료!$E$2:$E$501,$AB137)="","",INDEX(기본자료!$E$2:$E$501,$AB137)))</f>
        <v/>
      </c>
      <c r="H137" s="10">
        <f>IF($AB137="","",IF(INDEX(기본자료!$F$2:$F$501,$AB137)="","",INDEX(기본자료!$F$2:$F$501,$AB137)))</f>
        <v/>
      </c>
      <c r="I137" s="11">
        <f>IF($AB137="","",IF(INDEX(기본자료!$G$2:$G$501,$AB137)="","",IF(NOT(ISNUMBER(INDEX(기본자료!$G$2:$G$501,$AB137))),INDEX(기본자료!$G$2:$G$501,$AB137),IF(INDEX(기본자료!$G$2:$G$501,$AB137)&lt;1000000,INDEX(기본자료!$G$2:$G$501,$AB137),IF(AND(INDEX(기본자료!$G$2:$G$501,$AB137)&gt;=10000101,INT(MOD(INDEX(기본자료!$G$2:$G$501,$AB137),10000)/100)&gt;=1,INT(MOD(INDEX(기본자료!$G$2:$G$501,$AB137),10000)/100)&lt;=12,MOD(INDEX(기본자료!$G$2:$G$501,$AB137),100)&gt;=1,MOD(INDEX(기본자료!$G$2:$G$501,$AB137),100)&lt;=31),DATE(INT(INDEX(기본자료!$G$2:$G$501,$AB137)/10000),INT(MOD(INDEX(기본자료!$G$2:$G$501,$AB137),10000)/100),MOD(INDEX(기본자료!$G$2:$G$501,$AB137),100)),INDEX(기본자료!$G$2:$G$501,$AB137)&amp;"")))))</f>
        <v/>
      </c>
      <c r="J137" s="10">
        <f>IF($AB137="","",IF(INDEX(기본자료!$H$2:$H$501,$AB137)="","",INDEX(기본자료!$H$2:$H$501,$AB137)))</f>
        <v/>
      </c>
      <c r="K137" s="10">
        <f>IF($AB137="","",IF(INDEX(기본자료!$I$2:$I$501,$AB137)="","",INDEX(기본자료!$I$2:$I$501,$AB137)))</f>
        <v/>
      </c>
      <c r="L137" s="10">
        <f>IF($AB137="","",IF(INDEX(기본자료!$A$2:$A$501,$AB137)="","",INDEX(기본자료!$A$2:$A$501,$AB137)))</f>
        <v/>
      </c>
      <c r="M137" s="15" t="n"/>
      <c r="N137" s="10">
        <f>IF($B137="","",IF(AND($U137="파견중",$Q137&lt;&gt;""),$Q137,IF(AND($AD137&lt;&gt;"",LEFT($AD137,1)&lt;&gt;"⚠"),LEFT($AD137,FIND(" ",$AD137)-1),IF($H137="","",IF(RIGHT($H137,2)="병원",$H137,$H137&amp;"병원")))))</f>
        <v/>
      </c>
      <c r="O137" s="10">
        <f>IF($B137="","",IF(AND($U137="파견중",$Q137&lt;&gt;""),IF($R137&lt;&gt;"",$R137,"파견과 미입력"),IF(AND($AD137&lt;&gt;"",LEFT($AD137,1)&lt;&gt;"⚠"),MID($AD137,FIND(" ",$AD137)+1,60),IF($F137="","",IF($F137="인턴","수련교육부(인턴)",$F137)))))</f>
        <v/>
      </c>
      <c r="P137" s="10">
        <f>IF($B137="","",IF($AK137&lt;&gt;"",IF(AND(TODAY()&gt;=INDEX(파견수련계획!$AB$4:$AB$203,$AK137),OR(NOT(ISNUMBER(INDEX(파견수련계획!$AC$4:$AC$203,$AK137))),TODAY()&lt;=INDEX(파견수련계획!$AC$4:$AC$203,$AK137))),"다기관",IF($AF137="","",INDEX(파견수련계획!$T$4:$T$203,$AF137))),IF($AF137="","",INDEX(파견수련계획!$T$4:$T$203,$AF137))))</f>
        <v/>
      </c>
      <c r="Q137" s="10">
        <f>IF($AF137="","",INDEX(파견수련계획!$S$4:$S$203,$AF137))</f>
        <v/>
      </c>
      <c r="R137" s="10">
        <f>IF($AF137="","",INDEX(파견수련계획!$U$4:$U$203,$AF137))</f>
        <v/>
      </c>
      <c r="S137" s="11">
        <f>IF($AF137="","",IF(INDEX(파견수련계획!$H$4:$H$203,$AF137)="","",INDEX(파견수련계획!$H$4:$H$203,$AF137)))</f>
        <v/>
      </c>
      <c r="T137" s="11">
        <f>IF($AF137="","",IF(INDEX(파견수련계획!$I$4:$I$203,$AF137)="","",INDEX(파견수련계획!$I$4:$I$203,$AF137)))</f>
        <v/>
      </c>
      <c r="U137" s="10">
        <f>IF($AF137="","",INDEX(파견수련계획!$X$4:$X$203,$AF137))</f>
        <v/>
      </c>
      <c r="V137" s="17">
        <f>IF($AF137="","",INDEX(파견수련계획!$V$4:$V$203,$AF137))</f>
        <v/>
      </c>
      <c r="W137" s="17">
        <f>IF(AND($U137="파견중",$T137&lt;&gt;""),$T137-TODAY(),"")</f>
        <v/>
      </c>
      <c r="X137" s="17">
        <f>IF(OR($B137="",TRIM($J137&amp;"")=""),"",SUMPRODUCT((파견수련계획!$Q$4:$Q$203=TRIM($J137&amp;""))*파견수련계획!$W$4:$W$203))</f>
        <v/>
      </c>
      <c r="Y137" s="10">
        <f>IF($B137="","",IF($AG137="","",IF(IF(TRIM($J137&amp;"")="",0,SUMPRODUCT((파견수련계획!$Q$4:$Q$203=TRIM($J137&amp;""))*파견수련계획!$AD$4:$AD$203))&gt;0,$AE137,IF(N($X137)&lt;=0,$AG137,IF($AH137+$AI137=DAY(EOMONTH(요약!$B$3,0)),IF(AND($AH137&gt;=요약!$E$3,$AI137&lt;요약!$E$3),"서울병원",IF(AND($AI137&gt;=요약!$E$3,$AH137&lt;요약!$E$3),"구리병원","⚠15일 판정불가(서울 "&amp;$AH137&amp;"일/구리 "&amp;$AI137&amp;"일)")),IF($AJ137="",$AE137,IF(INDEX(파견수련계획!$T$4:$T$203,$AJ137)="통합수련",INDEX(파견수련계획!$S$4:$S$203,$AJ137),$AE137)))))))</f>
        <v/>
      </c>
      <c r="Z137" s="19">
        <f>IF($B137="","",IF($AB137="","기본자료에 없는 사번",IF(COUNTIF($B$2:$B$201,$B137)&gt;1,"중복 사번",IF($AE137="","소속(입사장소) 입력",IF(IF(TRIM($J137&amp;"")="",0,SUMPRODUCT((파견수련계획!$Q$4:$Q$203=TRIM($J137&amp;""))*(파견수련계획!$AA$4:$AA$203&lt;&gt;"")))&gt;0,"파견수련계획 입력오류 확인",IF(LEFT($Y137,1)="⚠","서울·구리 15일 판정 불가(양쪽 모두 이상/미만)",IF(IF($AC137="",0,N(INDEX(인턴근무계획!$T$3:$T$202,$AC137)))&gt;0,"인턴계획 입력오류 확인",IF(AND($AC137&lt;&gt;"",$U137&lt;&gt;"파견중",$N137&lt;&gt;$AE137),"인턴 타지역 근무: 파견 여부 확인","정상"))))))))</f>
        <v/>
      </c>
      <c r="AA137" s="5" t="n"/>
      <c r="AB137" s="10">
        <f>IF($B137="","",IFERROR(MATCH($B137,기본자료!$B$2:$B$501,0),IFERROR(MATCH($B137&amp;"",기본자료!$B$2:$B$501,0),IFERROR(MATCH(VALUE($B137),기본자료!$B$2:$B$501,0),""))))</f>
        <v/>
      </c>
      <c r="AC137" s="10">
        <f>IF($B137="","",IFERROR(MATCH($B137,인턴근무계획!$D$3:$D$202,0),IFERROR(MATCH($B137&amp;"",인턴근무계획!$D$3:$D$202,0),IFERROR(MATCH(VALUE($B137),인턴근무계획!$D$3:$D$202,0),""))))</f>
        <v/>
      </c>
      <c r="AD137" s="10">
        <f>IF(OR($AC137="",인턴현황!$G$3=""),"",INDEX(인턴근무계획!$M$3:$R$202,$AC137,인턴현황!$G$3)&amp;"")</f>
        <v/>
      </c>
      <c r="AE137" s="10">
        <f>IF($B137="","",IF($M137&lt;&gt;"",$M137,IF($AF137&lt;&gt;"",IF(LEFT(INDEX(파견수련계획!$R$4:$R$203,$AF137),1)&lt;&gt;"⚠",INDEX(파견수련계획!$R$4:$R$203,$AF137),IF($H137="","",IF(RIGHT($H137,2)="병원",$H137,$H137&amp;"병원"))),IF($H137="","",IF(RIGHT($H137,2)="병원",$H137,$H137&amp;"병원")))))</f>
        <v/>
      </c>
      <c r="AF137" s="10">
        <f>IF(OR($B137="",TRIM($J137&amp;"")=""),"",IFERROR(MATCH(TRIM($J137&amp;"")&amp;"|파견중",파견수련계획!$Y$4:$Y$203,0),IFERROR(MATCH(TRIM($J137&amp;"")&amp;"|파견예정",파견수련계획!$Y$4:$Y$203,0),IFERROR(MATCH(TRIM($J137&amp;"")&amp;"|파견종료",파견수련계획!$Y$4:$Y$203,0),""))))</f>
        <v/>
      </c>
      <c r="AG137" s="10">
        <f>IF($B137="","",IF(AND(IF(OR($AC137="",인턴현황!$K$2=""),"",INDEX(인턴근무계획!$M$3:$R$202,$AC137,인턴현황!$K$2)&amp;"")&lt;&gt;"",LEFT(IF(OR($AC137="",인턴현황!$K$2=""),"",INDEX(인턴근무계획!$M$3:$R$202,$AC137,인턴현황!$K$2)&amp;""),1)&lt;&gt;"⚠"),LEFT(IF(OR($AC137="",인턴현황!$K$2=""),"",INDEX(인턴근무계획!$M$3:$R$202,$AC137,인턴현황!$K$2)&amp;""),FIND(" ",IF(OR($AC137="",인턴현황!$K$2=""),"",INDEX(인턴근무계획!$M$3:$R$202,$AC137,인턴현황!$K$2)&amp;""))-1),$AE137))</f>
        <v/>
      </c>
      <c r="AH137" s="17">
        <f>IF($B137="","",IF(TRIM($J137&amp;"")="",0,SUMPRODUCT((파견수련계획!$Q$4:$Q$203=TRIM($J137&amp;""))*(파견수련계획!$S$4:$S$203="서울병원")*파견수련계획!$W$4:$W$203))+IF($AG137="서울병원",MAX(0,DAY(EOMONTH(요약!$B$3,0))-N($X137)),0))</f>
        <v/>
      </c>
      <c r="AI137" s="17">
        <f>IF($B137="","",IF(TRIM($J137&amp;"")="",0,SUMPRODUCT((파견수련계획!$Q$4:$Q$203=TRIM($J137&amp;""))*(파견수련계획!$S$4:$S$203="구리병원")*파견수련계획!$W$4:$W$203))+IF($AG137="구리병원",MAX(0,DAY(EOMONTH(요약!$B$3,0))-N($X137)),0))</f>
        <v/>
      </c>
      <c r="AJ137" s="10">
        <f>IF(OR($B137="",TRIM($J137&amp;"")=""),"",IFERROR(MATCH(TRIM($J137&amp;"")&amp;"|월",파견수련계획!$Z$4:$Z$203,0),""))</f>
        <v/>
      </c>
      <c r="AK137" s="10">
        <f>IF(OR($B137="",TRIM($J137&amp;"")=""),"",IFERROR(MATCH(TRIM($J137&amp;"")&amp;"|다기관",파견수련계획!$AE$4:$AE$203,0),""))</f>
        <v/>
      </c>
      <c r="AL137" s="10">
        <f>IF($AK137="","","다기관 "&amp;TEXT(INDEX(파견수련계획!$AB$4:$AB$203,$AK137),"yyyy-mm-dd")&amp;"~"&amp;IF(ISNUMBER(INDEX(파견수련계획!$AC$4:$AC$203,$AK137)),TEXT(INDEX(파견수련계획!$AC$4:$AC$203,$AK137),"yyyy-mm-dd"),""))</f>
        <v/>
      </c>
    </row>
    <row r="138">
      <c r="A138" s="10">
        <f>IF(B138="","",ROW()-1)</f>
        <v/>
      </c>
      <c r="B138" s="18" t="n"/>
      <c r="C138" s="10">
        <f>IF($AB138="","",IF(INDEX(기본자료!$C$2:$C$501,$AB138)="","",INDEX(기본자료!$C$2:$C$501,$AB138)))</f>
        <v/>
      </c>
      <c r="D138" s="10">
        <f>IF($AB138="","",IF(INDEX(기본자료!$J$2:$J$501,$AB138)="","",INDEX(기본자료!$J$2:$J$501,$AB138)))</f>
        <v/>
      </c>
      <c r="E138" s="11">
        <f>IF($AB138="","",IF(INDEX(기본자료!$K$2:$K$501,$AB138)="","",IF(NOT(ISNUMBER(INDEX(기본자료!$K$2:$K$501,$AB138))),INDEX(기본자료!$K$2:$K$501,$AB138),IF(INDEX(기본자료!$K$2:$K$501,$AB138)&lt;1000000,INDEX(기본자료!$K$2:$K$501,$AB138),IF(AND(INDEX(기본자료!$K$2:$K$501,$AB138)&gt;=10000101,INT(MOD(INDEX(기본자료!$K$2:$K$501,$AB138),10000)/100)&gt;=1,INT(MOD(INDEX(기본자료!$K$2:$K$501,$AB138),10000)/100)&lt;=12,MOD(INDEX(기본자료!$K$2:$K$501,$AB138),100)&gt;=1,MOD(INDEX(기본자료!$K$2:$K$501,$AB138),100)&lt;=31),DATE(INT(INDEX(기본자료!$K$2:$K$501,$AB138)/10000),INT(MOD(INDEX(기본자료!$K$2:$K$501,$AB138),10000)/100),MOD(INDEX(기본자료!$K$2:$K$501,$AB138),100)),INDEX(기본자료!$K$2:$K$501,$AB138)&amp;"")))))</f>
        <v/>
      </c>
      <c r="F138" s="10">
        <f>IF($AB138="","",IF(INDEX(기본자료!$D$2:$D$501,$AB138)="","",INDEX(기본자료!$D$2:$D$501,$AB138)))</f>
        <v/>
      </c>
      <c r="G138" s="10">
        <f>IF($AB138="","",IF(INDEX(기본자료!$E$2:$E$501,$AB138)="","",INDEX(기본자료!$E$2:$E$501,$AB138)))</f>
        <v/>
      </c>
      <c r="H138" s="10">
        <f>IF($AB138="","",IF(INDEX(기본자료!$F$2:$F$501,$AB138)="","",INDEX(기본자료!$F$2:$F$501,$AB138)))</f>
        <v/>
      </c>
      <c r="I138" s="11">
        <f>IF($AB138="","",IF(INDEX(기본자료!$G$2:$G$501,$AB138)="","",IF(NOT(ISNUMBER(INDEX(기본자료!$G$2:$G$501,$AB138))),INDEX(기본자료!$G$2:$G$501,$AB138),IF(INDEX(기본자료!$G$2:$G$501,$AB138)&lt;1000000,INDEX(기본자료!$G$2:$G$501,$AB138),IF(AND(INDEX(기본자료!$G$2:$G$501,$AB138)&gt;=10000101,INT(MOD(INDEX(기본자료!$G$2:$G$501,$AB138),10000)/100)&gt;=1,INT(MOD(INDEX(기본자료!$G$2:$G$501,$AB138),10000)/100)&lt;=12,MOD(INDEX(기본자료!$G$2:$G$501,$AB138),100)&gt;=1,MOD(INDEX(기본자료!$G$2:$G$501,$AB138),100)&lt;=31),DATE(INT(INDEX(기본자료!$G$2:$G$501,$AB138)/10000),INT(MOD(INDEX(기본자료!$G$2:$G$501,$AB138),10000)/100),MOD(INDEX(기본자료!$G$2:$G$501,$AB138),100)),INDEX(기본자료!$G$2:$G$501,$AB138)&amp;"")))))</f>
        <v/>
      </c>
      <c r="J138" s="10">
        <f>IF($AB138="","",IF(INDEX(기본자료!$H$2:$H$501,$AB138)="","",INDEX(기본자료!$H$2:$H$501,$AB138)))</f>
        <v/>
      </c>
      <c r="K138" s="10">
        <f>IF($AB138="","",IF(INDEX(기본자료!$I$2:$I$501,$AB138)="","",INDEX(기본자료!$I$2:$I$501,$AB138)))</f>
        <v/>
      </c>
      <c r="L138" s="10">
        <f>IF($AB138="","",IF(INDEX(기본자료!$A$2:$A$501,$AB138)="","",INDEX(기본자료!$A$2:$A$501,$AB138)))</f>
        <v/>
      </c>
      <c r="M138" s="15" t="n"/>
      <c r="N138" s="10">
        <f>IF($B138="","",IF(AND($U138="파견중",$Q138&lt;&gt;""),$Q138,IF(AND($AD138&lt;&gt;"",LEFT($AD138,1)&lt;&gt;"⚠"),LEFT($AD138,FIND(" ",$AD138)-1),IF($H138="","",IF(RIGHT($H138,2)="병원",$H138,$H138&amp;"병원")))))</f>
        <v/>
      </c>
      <c r="O138" s="10">
        <f>IF($B138="","",IF(AND($U138="파견중",$Q138&lt;&gt;""),IF($R138&lt;&gt;"",$R138,"파견과 미입력"),IF(AND($AD138&lt;&gt;"",LEFT($AD138,1)&lt;&gt;"⚠"),MID($AD138,FIND(" ",$AD138)+1,60),IF($F138="","",IF($F138="인턴","수련교육부(인턴)",$F138)))))</f>
        <v/>
      </c>
      <c r="P138" s="10">
        <f>IF($B138="","",IF($AK138&lt;&gt;"",IF(AND(TODAY()&gt;=INDEX(파견수련계획!$AB$4:$AB$203,$AK138),OR(NOT(ISNUMBER(INDEX(파견수련계획!$AC$4:$AC$203,$AK138))),TODAY()&lt;=INDEX(파견수련계획!$AC$4:$AC$203,$AK138))),"다기관",IF($AF138="","",INDEX(파견수련계획!$T$4:$T$203,$AF138))),IF($AF138="","",INDEX(파견수련계획!$T$4:$T$203,$AF138))))</f>
        <v/>
      </c>
      <c r="Q138" s="10">
        <f>IF($AF138="","",INDEX(파견수련계획!$S$4:$S$203,$AF138))</f>
        <v/>
      </c>
      <c r="R138" s="10">
        <f>IF($AF138="","",INDEX(파견수련계획!$U$4:$U$203,$AF138))</f>
        <v/>
      </c>
      <c r="S138" s="11">
        <f>IF($AF138="","",IF(INDEX(파견수련계획!$H$4:$H$203,$AF138)="","",INDEX(파견수련계획!$H$4:$H$203,$AF138)))</f>
        <v/>
      </c>
      <c r="T138" s="11">
        <f>IF($AF138="","",IF(INDEX(파견수련계획!$I$4:$I$203,$AF138)="","",INDEX(파견수련계획!$I$4:$I$203,$AF138)))</f>
        <v/>
      </c>
      <c r="U138" s="10">
        <f>IF($AF138="","",INDEX(파견수련계획!$X$4:$X$203,$AF138))</f>
        <v/>
      </c>
      <c r="V138" s="17">
        <f>IF($AF138="","",INDEX(파견수련계획!$V$4:$V$203,$AF138))</f>
        <v/>
      </c>
      <c r="W138" s="17">
        <f>IF(AND($U138="파견중",$T138&lt;&gt;""),$T138-TODAY(),"")</f>
        <v/>
      </c>
      <c r="X138" s="17">
        <f>IF(OR($B138="",TRIM($J138&amp;"")=""),"",SUMPRODUCT((파견수련계획!$Q$4:$Q$203=TRIM($J138&amp;""))*파견수련계획!$W$4:$W$203))</f>
        <v/>
      </c>
      <c r="Y138" s="10">
        <f>IF($B138="","",IF($AG138="","",IF(IF(TRIM($J138&amp;"")="",0,SUMPRODUCT((파견수련계획!$Q$4:$Q$203=TRIM($J138&amp;""))*파견수련계획!$AD$4:$AD$203))&gt;0,$AE138,IF(N($X138)&lt;=0,$AG138,IF($AH138+$AI138=DAY(EOMONTH(요약!$B$3,0)),IF(AND($AH138&gt;=요약!$E$3,$AI138&lt;요약!$E$3),"서울병원",IF(AND($AI138&gt;=요약!$E$3,$AH138&lt;요약!$E$3),"구리병원","⚠15일 판정불가(서울 "&amp;$AH138&amp;"일/구리 "&amp;$AI138&amp;"일)")),IF($AJ138="",$AE138,IF(INDEX(파견수련계획!$T$4:$T$203,$AJ138)="통합수련",INDEX(파견수련계획!$S$4:$S$203,$AJ138),$AE138)))))))</f>
        <v/>
      </c>
      <c r="Z138" s="19">
        <f>IF($B138="","",IF($AB138="","기본자료에 없는 사번",IF(COUNTIF($B$2:$B$201,$B138)&gt;1,"중복 사번",IF($AE138="","소속(입사장소) 입력",IF(IF(TRIM($J138&amp;"")="",0,SUMPRODUCT((파견수련계획!$Q$4:$Q$203=TRIM($J138&amp;""))*(파견수련계획!$AA$4:$AA$203&lt;&gt;"")))&gt;0,"파견수련계획 입력오류 확인",IF(LEFT($Y138,1)="⚠","서울·구리 15일 판정 불가(양쪽 모두 이상/미만)",IF(IF($AC138="",0,N(INDEX(인턴근무계획!$T$3:$T$202,$AC138)))&gt;0,"인턴계획 입력오류 확인",IF(AND($AC138&lt;&gt;"",$U138&lt;&gt;"파견중",$N138&lt;&gt;$AE138),"인턴 타지역 근무: 파견 여부 확인","정상"))))))))</f>
        <v/>
      </c>
      <c r="AA138" s="5" t="n"/>
      <c r="AB138" s="10">
        <f>IF($B138="","",IFERROR(MATCH($B138,기본자료!$B$2:$B$501,0),IFERROR(MATCH($B138&amp;"",기본자료!$B$2:$B$501,0),IFERROR(MATCH(VALUE($B138),기본자료!$B$2:$B$501,0),""))))</f>
        <v/>
      </c>
      <c r="AC138" s="10">
        <f>IF($B138="","",IFERROR(MATCH($B138,인턴근무계획!$D$3:$D$202,0),IFERROR(MATCH($B138&amp;"",인턴근무계획!$D$3:$D$202,0),IFERROR(MATCH(VALUE($B138),인턴근무계획!$D$3:$D$202,0),""))))</f>
        <v/>
      </c>
      <c r="AD138" s="10">
        <f>IF(OR($AC138="",인턴현황!$G$3=""),"",INDEX(인턴근무계획!$M$3:$R$202,$AC138,인턴현황!$G$3)&amp;"")</f>
        <v/>
      </c>
      <c r="AE138" s="10">
        <f>IF($B138="","",IF($M138&lt;&gt;"",$M138,IF($AF138&lt;&gt;"",IF(LEFT(INDEX(파견수련계획!$R$4:$R$203,$AF138),1)&lt;&gt;"⚠",INDEX(파견수련계획!$R$4:$R$203,$AF138),IF($H138="","",IF(RIGHT($H138,2)="병원",$H138,$H138&amp;"병원"))),IF($H138="","",IF(RIGHT($H138,2)="병원",$H138,$H138&amp;"병원")))))</f>
        <v/>
      </c>
      <c r="AF138" s="10">
        <f>IF(OR($B138="",TRIM($J138&amp;"")=""),"",IFERROR(MATCH(TRIM($J138&amp;"")&amp;"|파견중",파견수련계획!$Y$4:$Y$203,0),IFERROR(MATCH(TRIM($J138&amp;"")&amp;"|파견예정",파견수련계획!$Y$4:$Y$203,0),IFERROR(MATCH(TRIM($J138&amp;"")&amp;"|파견종료",파견수련계획!$Y$4:$Y$203,0),""))))</f>
        <v/>
      </c>
      <c r="AG138" s="10">
        <f>IF($B138="","",IF(AND(IF(OR($AC138="",인턴현황!$K$2=""),"",INDEX(인턴근무계획!$M$3:$R$202,$AC138,인턴현황!$K$2)&amp;"")&lt;&gt;"",LEFT(IF(OR($AC138="",인턴현황!$K$2=""),"",INDEX(인턴근무계획!$M$3:$R$202,$AC138,인턴현황!$K$2)&amp;""),1)&lt;&gt;"⚠"),LEFT(IF(OR($AC138="",인턴현황!$K$2=""),"",INDEX(인턴근무계획!$M$3:$R$202,$AC138,인턴현황!$K$2)&amp;""),FIND(" ",IF(OR($AC138="",인턴현황!$K$2=""),"",INDEX(인턴근무계획!$M$3:$R$202,$AC138,인턴현황!$K$2)&amp;""))-1),$AE138))</f>
        <v/>
      </c>
      <c r="AH138" s="17">
        <f>IF($B138="","",IF(TRIM($J138&amp;"")="",0,SUMPRODUCT((파견수련계획!$Q$4:$Q$203=TRIM($J138&amp;""))*(파견수련계획!$S$4:$S$203="서울병원")*파견수련계획!$W$4:$W$203))+IF($AG138="서울병원",MAX(0,DAY(EOMONTH(요약!$B$3,0))-N($X138)),0))</f>
        <v/>
      </c>
      <c r="AI138" s="17">
        <f>IF($B138="","",IF(TRIM($J138&amp;"")="",0,SUMPRODUCT((파견수련계획!$Q$4:$Q$203=TRIM($J138&amp;""))*(파견수련계획!$S$4:$S$203="구리병원")*파견수련계획!$W$4:$W$203))+IF($AG138="구리병원",MAX(0,DAY(EOMONTH(요약!$B$3,0))-N($X138)),0))</f>
        <v/>
      </c>
      <c r="AJ138" s="10">
        <f>IF(OR($B138="",TRIM($J138&amp;"")=""),"",IFERROR(MATCH(TRIM($J138&amp;"")&amp;"|월",파견수련계획!$Z$4:$Z$203,0),""))</f>
        <v/>
      </c>
      <c r="AK138" s="10">
        <f>IF(OR($B138="",TRIM($J138&amp;"")=""),"",IFERROR(MATCH(TRIM($J138&amp;"")&amp;"|다기관",파견수련계획!$AE$4:$AE$203,0),""))</f>
        <v/>
      </c>
      <c r="AL138" s="10">
        <f>IF($AK138="","","다기관 "&amp;TEXT(INDEX(파견수련계획!$AB$4:$AB$203,$AK138),"yyyy-mm-dd")&amp;"~"&amp;IF(ISNUMBER(INDEX(파견수련계획!$AC$4:$AC$203,$AK138)),TEXT(INDEX(파견수련계획!$AC$4:$AC$203,$AK138),"yyyy-mm-dd"),""))</f>
        <v/>
      </c>
    </row>
    <row r="139">
      <c r="A139" s="10">
        <f>IF(B139="","",ROW()-1)</f>
        <v/>
      </c>
      <c r="B139" s="18" t="n"/>
      <c r="C139" s="10">
        <f>IF($AB139="","",IF(INDEX(기본자료!$C$2:$C$501,$AB139)="","",INDEX(기본자료!$C$2:$C$501,$AB139)))</f>
        <v/>
      </c>
      <c r="D139" s="10">
        <f>IF($AB139="","",IF(INDEX(기본자료!$J$2:$J$501,$AB139)="","",INDEX(기본자료!$J$2:$J$501,$AB139)))</f>
        <v/>
      </c>
      <c r="E139" s="11">
        <f>IF($AB139="","",IF(INDEX(기본자료!$K$2:$K$501,$AB139)="","",IF(NOT(ISNUMBER(INDEX(기본자료!$K$2:$K$501,$AB139))),INDEX(기본자료!$K$2:$K$501,$AB139),IF(INDEX(기본자료!$K$2:$K$501,$AB139)&lt;1000000,INDEX(기본자료!$K$2:$K$501,$AB139),IF(AND(INDEX(기본자료!$K$2:$K$501,$AB139)&gt;=10000101,INT(MOD(INDEX(기본자료!$K$2:$K$501,$AB139),10000)/100)&gt;=1,INT(MOD(INDEX(기본자료!$K$2:$K$501,$AB139),10000)/100)&lt;=12,MOD(INDEX(기본자료!$K$2:$K$501,$AB139),100)&gt;=1,MOD(INDEX(기본자료!$K$2:$K$501,$AB139),100)&lt;=31),DATE(INT(INDEX(기본자료!$K$2:$K$501,$AB139)/10000),INT(MOD(INDEX(기본자료!$K$2:$K$501,$AB139),10000)/100),MOD(INDEX(기본자료!$K$2:$K$501,$AB139),100)),INDEX(기본자료!$K$2:$K$501,$AB139)&amp;"")))))</f>
        <v/>
      </c>
      <c r="F139" s="10">
        <f>IF($AB139="","",IF(INDEX(기본자료!$D$2:$D$501,$AB139)="","",INDEX(기본자료!$D$2:$D$501,$AB139)))</f>
        <v/>
      </c>
      <c r="G139" s="10">
        <f>IF($AB139="","",IF(INDEX(기본자료!$E$2:$E$501,$AB139)="","",INDEX(기본자료!$E$2:$E$501,$AB139)))</f>
        <v/>
      </c>
      <c r="H139" s="10">
        <f>IF($AB139="","",IF(INDEX(기본자료!$F$2:$F$501,$AB139)="","",INDEX(기본자료!$F$2:$F$501,$AB139)))</f>
        <v/>
      </c>
      <c r="I139" s="11">
        <f>IF($AB139="","",IF(INDEX(기본자료!$G$2:$G$501,$AB139)="","",IF(NOT(ISNUMBER(INDEX(기본자료!$G$2:$G$501,$AB139))),INDEX(기본자료!$G$2:$G$501,$AB139),IF(INDEX(기본자료!$G$2:$G$501,$AB139)&lt;1000000,INDEX(기본자료!$G$2:$G$501,$AB139),IF(AND(INDEX(기본자료!$G$2:$G$501,$AB139)&gt;=10000101,INT(MOD(INDEX(기본자료!$G$2:$G$501,$AB139),10000)/100)&gt;=1,INT(MOD(INDEX(기본자료!$G$2:$G$501,$AB139),10000)/100)&lt;=12,MOD(INDEX(기본자료!$G$2:$G$501,$AB139),100)&gt;=1,MOD(INDEX(기본자료!$G$2:$G$501,$AB139),100)&lt;=31),DATE(INT(INDEX(기본자료!$G$2:$G$501,$AB139)/10000),INT(MOD(INDEX(기본자료!$G$2:$G$501,$AB139),10000)/100),MOD(INDEX(기본자료!$G$2:$G$501,$AB139),100)),INDEX(기본자료!$G$2:$G$501,$AB139)&amp;"")))))</f>
        <v/>
      </c>
      <c r="J139" s="10">
        <f>IF($AB139="","",IF(INDEX(기본자료!$H$2:$H$501,$AB139)="","",INDEX(기본자료!$H$2:$H$501,$AB139)))</f>
        <v/>
      </c>
      <c r="K139" s="10">
        <f>IF($AB139="","",IF(INDEX(기본자료!$I$2:$I$501,$AB139)="","",INDEX(기본자료!$I$2:$I$501,$AB139)))</f>
        <v/>
      </c>
      <c r="L139" s="10">
        <f>IF($AB139="","",IF(INDEX(기본자료!$A$2:$A$501,$AB139)="","",INDEX(기본자료!$A$2:$A$501,$AB139)))</f>
        <v/>
      </c>
      <c r="M139" s="15" t="n"/>
      <c r="N139" s="10">
        <f>IF($B139="","",IF(AND($U139="파견중",$Q139&lt;&gt;""),$Q139,IF(AND($AD139&lt;&gt;"",LEFT($AD139,1)&lt;&gt;"⚠"),LEFT($AD139,FIND(" ",$AD139)-1),IF($H139="","",IF(RIGHT($H139,2)="병원",$H139,$H139&amp;"병원")))))</f>
        <v/>
      </c>
      <c r="O139" s="10">
        <f>IF($B139="","",IF(AND($U139="파견중",$Q139&lt;&gt;""),IF($R139&lt;&gt;"",$R139,"파견과 미입력"),IF(AND($AD139&lt;&gt;"",LEFT($AD139,1)&lt;&gt;"⚠"),MID($AD139,FIND(" ",$AD139)+1,60),IF($F139="","",IF($F139="인턴","수련교육부(인턴)",$F139)))))</f>
        <v/>
      </c>
      <c r="P139" s="10">
        <f>IF($B139="","",IF($AK139&lt;&gt;"",IF(AND(TODAY()&gt;=INDEX(파견수련계획!$AB$4:$AB$203,$AK139),OR(NOT(ISNUMBER(INDEX(파견수련계획!$AC$4:$AC$203,$AK139))),TODAY()&lt;=INDEX(파견수련계획!$AC$4:$AC$203,$AK139))),"다기관",IF($AF139="","",INDEX(파견수련계획!$T$4:$T$203,$AF139))),IF($AF139="","",INDEX(파견수련계획!$T$4:$T$203,$AF139))))</f>
        <v/>
      </c>
      <c r="Q139" s="10">
        <f>IF($AF139="","",INDEX(파견수련계획!$S$4:$S$203,$AF139))</f>
        <v/>
      </c>
      <c r="R139" s="10">
        <f>IF($AF139="","",INDEX(파견수련계획!$U$4:$U$203,$AF139))</f>
        <v/>
      </c>
      <c r="S139" s="11">
        <f>IF($AF139="","",IF(INDEX(파견수련계획!$H$4:$H$203,$AF139)="","",INDEX(파견수련계획!$H$4:$H$203,$AF139)))</f>
        <v/>
      </c>
      <c r="T139" s="11">
        <f>IF($AF139="","",IF(INDEX(파견수련계획!$I$4:$I$203,$AF139)="","",INDEX(파견수련계획!$I$4:$I$203,$AF139)))</f>
        <v/>
      </c>
      <c r="U139" s="10">
        <f>IF($AF139="","",INDEX(파견수련계획!$X$4:$X$203,$AF139))</f>
        <v/>
      </c>
      <c r="V139" s="17">
        <f>IF($AF139="","",INDEX(파견수련계획!$V$4:$V$203,$AF139))</f>
        <v/>
      </c>
      <c r="W139" s="17">
        <f>IF(AND($U139="파견중",$T139&lt;&gt;""),$T139-TODAY(),"")</f>
        <v/>
      </c>
      <c r="X139" s="17">
        <f>IF(OR($B139="",TRIM($J139&amp;"")=""),"",SUMPRODUCT((파견수련계획!$Q$4:$Q$203=TRIM($J139&amp;""))*파견수련계획!$W$4:$W$203))</f>
        <v/>
      </c>
      <c r="Y139" s="10">
        <f>IF($B139="","",IF($AG139="","",IF(IF(TRIM($J139&amp;"")="",0,SUMPRODUCT((파견수련계획!$Q$4:$Q$203=TRIM($J139&amp;""))*파견수련계획!$AD$4:$AD$203))&gt;0,$AE139,IF(N($X139)&lt;=0,$AG139,IF($AH139+$AI139=DAY(EOMONTH(요약!$B$3,0)),IF(AND($AH139&gt;=요약!$E$3,$AI139&lt;요약!$E$3),"서울병원",IF(AND($AI139&gt;=요약!$E$3,$AH139&lt;요약!$E$3),"구리병원","⚠15일 판정불가(서울 "&amp;$AH139&amp;"일/구리 "&amp;$AI139&amp;"일)")),IF($AJ139="",$AE139,IF(INDEX(파견수련계획!$T$4:$T$203,$AJ139)="통합수련",INDEX(파견수련계획!$S$4:$S$203,$AJ139),$AE139)))))))</f>
        <v/>
      </c>
      <c r="Z139" s="19">
        <f>IF($B139="","",IF($AB139="","기본자료에 없는 사번",IF(COUNTIF($B$2:$B$201,$B139)&gt;1,"중복 사번",IF($AE139="","소속(입사장소) 입력",IF(IF(TRIM($J139&amp;"")="",0,SUMPRODUCT((파견수련계획!$Q$4:$Q$203=TRIM($J139&amp;""))*(파견수련계획!$AA$4:$AA$203&lt;&gt;"")))&gt;0,"파견수련계획 입력오류 확인",IF(LEFT($Y139,1)="⚠","서울·구리 15일 판정 불가(양쪽 모두 이상/미만)",IF(IF($AC139="",0,N(INDEX(인턴근무계획!$T$3:$T$202,$AC139)))&gt;0,"인턴계획 입력오류 확인",IF(AND($AC139&lt;&gt;"",$U139&lt;&gt;"파견중",$N139&lt;&gt;$AE139),"인턴 타지역 근무: 파견 여부 확인","정상"))))))))</f>
        <v/>
      </c>
      <c r="AA139" s="5" t="n"/>
      <c r="AB139" s="10">
        <f>IF($B139="","",IFERROR(MATCH($B139,기본자료!$B$2:$B$501,0),IFERROR(MATCH($B139&amp;"",기본자료!$B$2:$B$501,0),IFERROR(MATCH(VALUE($B139),기본자료!$B$2:$B$501,0),""))))</f>
        <v/>
      </c>
      <c r="AC139" s="10">
        <f>IF($B139="","",IFERROR(MATCH($B139,인턴근무계획!$D$3:$D$202,0),IFERROR(MATCH($B139&amp;"",인턴근무계획!$D$3:$D$202,0),IFERROR(MATCH(VALUE($B139),인턴근무계획!$D$3:$D$202,0),""))))</f>
        <v/>
      </c>
      <c r="AD139" s="10">
        <f>IF(OR($AC139="",인턴현황!$G$3=""),"",INDEX(인턴근무계획!$M$3:$R$202,$AC139,인턴현황!$G$3)&amp;"")</f>
        <v/>
      </c>
      <c r="AE139" s="10">
        <f>IF($B139="","",IF($M139&lt;&gt;"",$M139,IF($AF139&lt;&gt;"",IF(LEFT(INDEX(파견수련계획!$R$4:$R$203,$AF139),1)&lt;&gt;"⚠",INDEX(파견수련계획!$R$4:$R$203,$AF139),IF($H139="","",IF(RIGHT($H139,2)="병원",$H139,$H139&amp;"병원"))),IF($H139="","",IF(RIGHT($H139,2)="병원",$H139,$H139&amp;"병원")))))</f>
        <v/>
      </c>
      <c r="AF139" s="10">
        <f>IF(OR($B139="",TRIM($J139&amp;"")=""),"",IFERROR(MATCH(TRIM($J139&amp;"")&amp;"|파견중",파견수련계획!$Y$4:$Y$203,0),IFERROR(MATCH(TRIM($J139&amp;"")&amp;"|파견예정",파견수련계획!$Y$4:$Y$203,0),IFERROR(MATCH(TRIM($J139&amp;"")&amp;"|파견종료",파견수련계획!$Y$4:$Y$203,0),""))))</f>
        <v/>
      </c>
      <c r="AG139" s="10">
        <f>IF($B139="","",IF(AND(IF(OR($AC139="",인턴현황!$K$2=""),"",INDEX(인턴근무계획!$M$3:$R$202,$AC139,인턴현황!$K$2)&amp;"")&lt;&gt;"",LEFT(IF(OR($AC139="",인턴현황!$K$2=""),"",INDEX(인턴근무계획!$M$3:$R$202,$AC139,인턴현황!$K$2)&amp;""),1)&lt;&gt;"⚠"),LEFT(IF(OR($AC139="",인턴현황!$K$2=""),"",INDEX(인턴근무계획!$M$3:$R$202,$AC139,인턴현황!$K$2)&amp;""),FIND(" ",IF(OR($AC139="",인턴현황!$K$2=""),"",INDEX(인턴근무계획!$M$3:$R$202,$AC139,인턴현황!$K$2)&amp;""))-1),$AE139))</f>
        <v/>
      </c>
      <c r="AH139" s="17">
        <f>IF($B139="","",IF(TRIM($J139&amp;"")="",0,SUMPRODUCT((파견수련계획!$Q$4:$Q$203=TRIM($J139&amp;""))*(파견수련계획!$S$4:$S$203="서울병원")*파견수련계획!$W$4:$W$203))+IF($AG139="서울병원",MAX(0,DAY(EOMONTH(요약!$B$3,0))-N($X139)),0))</f>
        <v/>
      </c>
      <c r="AI139" s="17">
        <f>IF($B139="","",IF(TRIM($J139&amp;"")="",0,SUMPRODUCT((파견수련계획!$Q$4:$Q$203=TRIM($J139&amp;""))*(파견수련계획!$S$4:$S$203="구리병원")*파견수련계획!$W$4:$W$203))+IF($AG139="구리병원",MAX(0,DAY(EOMONTH(요약!$B$3,0))-N($X139)),0))</f>
        <v/>
      </c>
      <c r="AJ139" s="10">
        <f>IF(OR($B139="",TRIM($J139&amp;"")=""),"",IFERROR(MATCH(TRIM($J139&amp;"")&amp;"|월",파견수련계획!$Z$4:$Z$203,0),""))</f>
        <v/>
      </c>
      <c r="AK139" s="10">
        <f>IF(OR($B139="",TRIM($J139&amp;"")=""),"",IFERROR(MATCH(TRIM($J139&amp;"")&amp;"|다기관",파견수련계획!$AE$4:$AE$203,0),""))</f>
        <v/>
      </c>
      <c r="AL139" s="10">
        <f>IF($AK139="","","다기관 "&amp;TEXT(INDEX(파견수련계획!$AB$4:$AB$203,$AK139),"yyyy-mm-dd")&amp;"~"&amp;IF(ISNUMBER(INDEX(파견수련계획!$AC$4:$AC$203,$AK139)),TEXT(INDEX(파견수련계획!$AC$4:$AC$203,$AK139),"yyyy-mm-dd"),""))</f>
        <v/>
      </c>
    </row>
    <row r="140">
      <c r="A140" s="10">
        <f>IF(B140="","",ROW()-1)</f>
        <v/>
      </c>
      <c r="B140" s="18" t="n"/>
      <c r="C140" s="10">
        <f>IF($AB140="","",IF(INDEX(기본자료!$C$2:$C$501,$AB140)="","",INDEX(기본자료!$C$2:$C$501,$AB140)))</f>
        <v/>
      </c>
      <c r="D140" s="10">
        <f>IF($AB140="","",IF(INDEX(기본자료!$J$2:$J$501,$AB140)="","",INDEX(기본자료!$J$2:$J$501,$AB140)))</f>
        <v/>
      </c>
      <c r="E140" s="11">
        <f>IF($AB140="","",IF(INDEX(기본자료!$K$2:$K$501,$AB140)="","",IF(NOT(ISNUMBER(INDEX(기본자료!$K$2:$K$501,$AB140))),INDEX(기본자료!$K$2:$K$501,$AB140),IF(INDEX(기본자료!$K$2:$K$501,$AB140)&lt;1000000,INDEX(기본자료!$K$2:$K$501,$AB140),IF(AND(INDEX(기본자료!$K$2:$K$501,$AB140)&gt;=10000101,INT(MOD(INDEX(기본자료!$K$2:$K$501,$AB140),10000)/100)&gt;=1,INT(MOD(INDEX(기본자료!$K$2:$K$501,$AB140),10000)/100)&lt;=12,MOD(INDEX(기본자료!$K$2:$K$501,$AB140),100)&gt;=1,MOD(INDEX(기본자료!$K$2:$K$501,$AB140),100)&lt;=31),DATE(INT(INDEX(기본자료!$K$2:$K$501,$AB140)/10000),INT(MOD(INDEX(기본자료!$K$2:$K$501,$AB140),10000)/100),MOD(INDEX(기본자료!$K$2:$K$501,$AB140),100)),INDEX(기본자료!$K$2:$K$501,$AB140)&amp;"")))))</f>
        <v/>
      </c>
      <c r="F140" s="10">
        <f>IF($AB140="","",IF(INDEX(기본자료!$D$2:$D$501,$AB140)="","",INDEX(기본자료!$D$2:$D$501,$AB140)))</f>
        <v/>
      </c>
      <c r="G140" s="10">
        <f>IF($AB140="","",IF(INDEX(기본자료!$E$2:$E$501,$AB140)="","",INDEX(기본자료!$E$2:$E$501,$AB140)))</f>
        <v/>
      </c>
      <c r="H140" s="10">
        <f>IF($AB140="","",IF(INDEX(기본자료!$F$2:$F$501,$AB140)="","",INDEX(기본자료!$F$2:$F$501,$AB140)))</f>
        <v/>
      </c>
      <c r="I140" s="11">
        <f>IF($AB140="","",IF(INDEX(기본자료!$G$2:$G$501,$AB140)="","",IF(NOT(ISNUMBER(INDEX(기본자료!$G$2:$G$501,$AB140))),INDEX(기본자료!$G$2:$G$501,$AB140),IF(INDEX(기본자료!$G$2:$G$501,$AB140)&lt;1000000,INDEX(기본자료!$G$2:$G$501,$AB140),IF(AND(INDEX(기본자료!$G$2:$G$501,$AB140)&gt;=10000101,INT(MOD(INDEX(기본자료!$G$2:$G$501,$AB140),10000)/100)&gt;=1,INT(MOD(INDEX(기본자료!$G$2:$G$501,$AB140),10000)/100)&lt;=12,MOD(INDEX(기본자료!$G$2:$G$501,$AB140),100)&gt;=1,MOD(INDEX(기본자료!$G$2:$G$501,$AB140),100)&lt;=31),DATE(INT(INDEX(기본자료!$G$2:$G$501,$AB140)/10000),INT(MOD(INDEX(기본자료!$G$2:$G$501,$AB140),10000)/100),MOD(INDEX(기본자료!$G$2:$G$501,$AB140),100)),INDEX(기본자료!$G$2:$G$501,$AB140)&amp;"")))))</f>
        <v/>
      </c>
      <c r="J140" s="10">
        <f>IF($AB140="","",IF(INDEX(기본자료!$H$2:$H$501,$AB140)="","",INDEX(기본자료!$H$2:$H$501,$AB140)))</f>
        <v/>
      </c>
      <c r="K140" s="10">
        <f>IF($AB140="","",IF(INDEX(기본자료!$I$2:$I$501,$AB140)="","",INDEX(기본자료!$I$2:$I$501,$AB140)))</f>
        <v/>
      </c>
      <c r="L140" s="10">
        <f>IF($AB140="","",IF(INDEX(기본자료!$A$2:$A$501,$AB140)="","",INDEX(기본자료!$A$2:$A$501,$AB140)))</f>
        <v/>
      </c>
      <c r="M140" s="15" t="n"/>
      <c r="N140" s="10">
        <f>IF($B140="","",IF(AND($U140="파견중",$Q140&lt;&gt;""),$Q140,IF(AND($AD140&lt;&gt;"",LEFT($AD140,1)&lt;&gt;"⚠"),LEFT($AD140,FIND(" ",$AD140)-1),IF($H140="","",IF(RIGHT($H140,2)="병원",$H140,$H140&amp;"병원")))))</f>
        <v/>
      </c>
      <c r="O140" s="10">
        <f>IF($B140="","",IF(AND($U140="파견중",$Q140&lt;&gt;""),IF($R140&lt;&gt;"",$R140,"파견과 미입력"),IF(AND($AD140&lt;&gt;"",LEFT($AD140,1)&lt;&gt;"⚠"),MID($AD140,FIND(" ",$AD140)+1,60),IF($F140="","",IF($F140="인턴","수련교육부(인턴)",$F140)))))</f>
        <v/>
      </c>
      <c r="P140" s="10">
        <f>IF($B140="","",IF($AK140&lt;&gt;"",IF(AND(TODAY()&gt;=INDEX(파견수련계획!$AB$4:$AB$203,$AK140),OR(NOT(ISNUMBER(INDEX(파견수련계획!$AC$4:$AC$203,$AK140))),TODAY()&lt;=INDEX(파견수련계획!$AC$4:$AC$203,$AK140))),"다기관",IF($AF140="","",INDEX(파견수련계획!$T$4:$T$203,$AF140))),IF($AF140="","",INDEX(파견수련계획!$T$4:$T$203,$AF140))))</f>
        <v/>
      </c>
      <c r="Q140" s="10">
        <f>IF($AF140="","",INDEX(파견수련계획!$S$4:$S$203,$AF140))</f>
        <v/>
      </c>
      <c r="R140" s="10">
        <f>IF($AF140="","",INDEX(파견수련계획!$U$4:$U$203,$AF140))</f>
        <v/>
      </c>
      <c r="S140" s="11">
        <f>IF($AF140="","",IF(INDEX(파견수련계획!$H$4:$H$203,$AF140)="","",INDEX(파견수련계획!$H$4:$H$203,$AF140)))</f>
        <v/>
      </c>
      <c r="T140" s="11">
        <f>IF($AF140="","",IF(INDEX(파견수련계획!$I$4:$I$203,$AF140)="","",INDEX(파견수련계획!$I$4:$I$203,$AF140)))</f>
        <v/>
      </c>
      <c r="U140" s="10">
        <f>IF($AF140="","",INDEX(파견수련계획!$X$4:$X$203,$AF140))</f>
        <v/>
      </c>
      <c r="V140" s="17">
        <f>IF($AF140="","",INDEX(파견수련계획!$V$4:$V$203,$AF140))</f>
        <v/>
      </c>
      <c r="W140" s="17">
        <f>IF(AND($U140="파견중",$T140&lt;&gt;""),$T140-TODAY(),"")</f>
        <v/>
      </c>
      <c r="X140" s="17">
        <f>IF(OR($B140="",TRIM($J140&amp;"")=""),"",SUMPRODUCT((파견수련계획!$Q$4:$Q$203=TRIM($J140&amp;""))*파견수련계획!$W$4:$W$203))</f>
        <v/>
      </c>
      <c r="Y140" s="10">
        <f>IF($B140="","",IF($AG140="","",IF(IF(TRIM($J140&amp;"")="",0,SUMPRODUCT((파견수련계획!$Q$4:$Q$203=TRIM($J140&amp;""))*파견수련계획!$AD$4:$AD$203))&gt;0,$AE140,IF(N($X140)&lt;=0,$AG140,IF($AH140+$AI140=DAY(EOMONTH(요약!$B$3,0)),IF(AND($AH140&gt;=요약!$E$3,$AI140&lt;요약!$E$3),"서울병원",IF(AND($AI140&gt;=요약!$E$3,$AH140&lt;요약!$E$3),"구리병원","⚠15일 판정불가(서울 "&amp;$AH140&amp;"일/구리 "&amp;$AI140&amp;"일)")),IF($AJ140="",$AE140,IF(INDEX(파견수련계획!$T$4:$T$203,$AJ140)="통합수련",INDEX(파견수련계획!$S$4:$S$203,$AJ140),$AE140)))))))</f>
        <v/>
      </c>
      <c r="Z140" s="19">
        <f>IF($B140="","",IF($AB140="","기본자료에 없는 사번",IF(COUNTIF($B$2:$B$201,$B140)&gt;1,"중복 사번",IF($AE140="","소속(입사장소) 입력",IF(IF(TRIM($J140&amp;"")="",0,SUMPRODUCT((파견수련계획!$Q$4:$Q$203=TRIM($J140&amp;""))*(파견수련계획!$AA$4:$AA$203&lt;&gt;"")))&gt;0,"파견수련계획 입력오류 확인",IF(LEFT($Y140,1)="⚠","서울·구리 15일 판정 불가(양쪽 모두 이상/미만)",IF(IF($AC140="",0,N(INDEX(인턴근무계획!$T$3:$T$202,$AC140)))&gt;0,"인턴계획 입력오류 확인",IF(AND($AC140&lt;&gt;"",$U140&lt;&gt;"파견중",$N140&lt;&gt;$AE140),"인턴 타지역 근무: 파견 여부 확인","정상"))))))))</f>
        <v/>
      </c>
      <c r="AA140" s="5" t="n"/>
      <c r="AB140" s="10">
        <f>IF($B140="","",IFERROR(MATCH($B140,기본자료!$B$2:$B$501,0),IFERROR(MATCH($B140&amp;"",기본자료!$B$2:$B$501,0),IFERROR(MATCH(VALUE($B140),기본자료!$B$2:$B$501,0),""))))</f>
        <v/>
      </c>
      <c r="AC140" s="10">
        <f>IF($B140="","",IFERROR(MATCH($B140,인턴근무계획!$D$3:$D$202,0),IFERROR(MATCH($B140&amp;"",인턴근무계획!$D$3:$D$202,0),IFERROR(MATCH(VALUE($B140),인턴근무계획!$D$3:$D$202,0),""))))</f>
        <v/>
      </c>
      <c r="AD140" s="10">
        <f>IF(OR($AC140="",인턴현황!$G$3=""),"",INDEX(인턴근무계획!$M$3:$R$202,$AC140,인턴현황!$G$3)&amp;"")</f>
        <v/>
      </c>
      <c r="AE140" s="10">
        <f>IF($B140="","",IF($M140&lt;&gt;"",$M140,IF($AF140&lt;&gt;"",IF(LEFT(INDEX(파견수련계획!$R$4:$R$203,$AF140),1)&lt;&gt;"⚠",INDEX(파견수련계획!$R$4:$R$203,$AF140),IF($H140="","",IF(RIGHT($H140,2)="병원",$H140,$H140&amp;"병원"))),IF($H140="","",IF(RIGHT($H140,2)="병원",$H140,$H140&amp;"병원")))))</f>
        <v/>
      </c>
      <c r="AF140" s="10">
        <f>IF(OR($B140="",TRIM($J140&amp;"")=""),"",IFERROR(MATCH(TRIM($J140&amp;"")&amp;"|파견중",파견수련계획!$Y$4:$Y$203,0),IFERROR(MATCH(TRIM($J140&amp;"")&amp;"|파견예정",파견수련계획!$Y$4:$Y$203,0),IFERROR(MATCH(TRIM($J140&amp;"")&amp;"|파견종료",파견수련계획!$Y$4:$Y$203,0),""))))</f>
        <v/>
      </c>
      <c r="AG140" s="10">
        <f>IF($B140="","",IF(AND(IF(OR($AC140="",인턴현황!$K$2=""),"",INDEX(인턴근무계획!$M$3:$R$202,$AC140,인턴현황!$K$2)&amp;"")&lt;&gt;"",LEFT(IF(OR($AC140="",인턴현황!$K$2=""),"",INDEX(인턴근무계획!$M$3:$R$202,$AC140,인턴현황!$K$2)&amp;""),1)&lt;&gt;"⚠"),LEFT(IF(OR($AC140="",인턴현황!$K$2=""),"",INDEX(인턴근무계획!$M$3:$R$202,$AC140,인턴현황!$K$2)&amp;""),FIND(" ",IF(OR($AC140="",인턴현황!$K$2=""),"",INDEX(인턴근무계획!$M$3:$R$202,$AC140,인턴현황!$K$2)&amp;""))-1),$AE140))</f>
        <v/>
      </c>
      <c r="AH140" s="17">
        <f>IF($B140="","",IF(TRIM($J140&amp;"")="",0,SUMPRODUCT((파견수련계획!$Q$4:$Q$203=TRIM($J140&amp;""))*(파견수련계획!$S$4:$S$203="서울병원")*파견수련계획!$W$4:$W$203))+IF($AG140="서울병원",MAX(0,DAY(EOMONTH(요약!$B$3,0))-N($X140)),0))</f>
        <v/>
      </c>
      <c r="AI140" s="17">
        <f>IF($B140="","",IF(TRIM($J140&amp;"")="",0,SUMPRODUCT((파견수련계획!$Q$4:$Q$203=TRIM($J140&amp;""))*(파견수련계획!$S$4:$S$203="구리병원")*파견수련계획!$W$4:$W$203))+IF($AG140="구리병원",MAX(0,DAY(EOMONTH(요약!$B$3,0))-N($X140)),0))</f>
        <v/>
      </c>
      <c r="AJ140" s="10">
        <f>IF(OR($B140="",TRIM($J140&amp;"")=""),"",IFERROR(MATCH(TRIM($J140&amp;"")&amp;"|월",파견수련계획!$Z$4:$Z$203,0),""))</f>
        <v/>
      </c>
      <c r="AK140" s="10">
        <f>IF(OR($B140="",TRIM($J140&amp;"")=""),"",IFERROR(MATCH(TRIM($J140&amp;"")&amp;"|다기관",파견수련계획!$AE$4:$AE$203,0),""))</f>
        <v/>
      </c>
      <c r="AL140" s="10">
        <f>IF($AK140="","","다기관 "&amp;TEXT(INDEX(파견수련계획!$AB$4:$AB$203,$AK140),"yyyy-mm-dd")&amp;"~"&amp;IF(ISNUMBER(INDEX(파견수련계획!$AC$4:$AC$203,$AK140)),TEXT(INDEX(파견수련계획!$AC$4:$AC$203,$AK140),"yyyy-mm-dd"),""))</f>
        <v/>
      </c>
    </row>
    <row r="141">
      <c r="A141" s="10">
        <f>IF(B141="","",ROW()-1)</f>
        <v/>
      </c>
      <c r="B141" s="18" t="n"/>
      <c r="C141" s="10">
        <f>IF($AB141="","",IF(INDEX(기본자료!$C$2:$C$501,$AB141)="","",INDEX(기본자료!$C$2:$C$501,$AB141)))</f>
        <v/>
      </c>
      <c r="D141" s="10">
        <f>IF($AB141="","",IF(INDEX(기본자료!$J$2:$J$501,$AB141)="","",INDEX(기본자료!$J$2:$J$501,$AB141)))</f>
        <v/>
      </c>
      <c r="E141" s="11">
        <f>IF($AB141="","",IF(INDEX(기본자료!$K$2:$K$501,$AB141)="","",IF(NOT(ISNUMBER(INDEX(기본자료!$K$2:$K$501,$AB141))),INDEX(기본자료!$K$2:$K$501,$AB141),IF(INDEX(기본자료!$K$2:$K$501,$AB141)&lt;1000000,INDEX(기본자료!$K$2:$K$501,$AB141),IF(AND(INDEX(기본자료!$K$2:$K$501,$AB141)&gt;=10000101,INT(MOD(INDEX(기본자료!$K$2:$K$501,$AB141),10000)/100)&gt;=1,INT(MOD(INDEX(기본자료!$K$2:$K$501,$AB141),10000)/100)&lt;=12,MOD(INDEX(기본자료!$K$2:$K$501,$AB141),100)&gt;=1,MOD(INDEX(기본자료!$K$2:$K$501,$AB141),100)&lt;=31),DATE(INT(INDEX(기본자료!$K$2:$K$501,$AB141)/10000),INT(MOD(INDEX(기본자료!$K$2:$K$501,$AB141),10000)/100),MOD(INDEX(기본자료!$K$2:$K$501,$AB141),100)),INDEX(기본자료!$K$2:$K$501,$AB141)&amp;"")))))</f>
        <v/>
      </c>
      <c r="F141" s="10">
        <f>IF($AB141="","",IF(INDEX(기본자료!$D$2:$D$501,$AB141)="","",INDEX(기본자료!$D$2:$D$501,$AB141)))</f>
        <v/>
      </c>
      <c r="G141" s="10">
        <f>IF($AB141="","",IF(INDEX(기본자료!$E$2:$E$501,$AB141)="","",INDEX(기본자료!$E$2:$E$501,$AB141)))</f>
        <v/>
      </c>
      <c r="H141" s="10">
        <f>IF($AB141="","",IF(INDEX(기본자료!$F$2:$F$501,$AB141)="","",INDEX(기본자료!$F$2:$F$501,$AB141)))</f>
        <v/>
      </c>
      <c r="I141" s="11">
        <f>IF($AB141="","",IF(INDEX(기본자료!$G$2:$G$501,$AB141)="","",IF(NOT(ISNUMBER(INDEX(기본자료!$G$2:$G$501,$AB141))),INDEX(기본자료!$G$2:$G$501,$AB141),IF(INDEX(기본자료!$G$2:$G$501,$AB141)&lt;1000000,INDEX(기본자료!$G$2:$G$501,$AB141),IF(AND(INDEX(기본자료!$G$2:$G$501,$AB141)&gt;=10000101,INT(MOD(INDEX(기본자료!$G$2:$G$501,$AB141),10000)/100)&gt;=1,INT(MOD(INDEX(기본자료!$G$2:$G$501,$AB141),10000)/100)&lt;=12,MOD(INDEX(기본자료!$G$2:$G$501,$AB141),100)&gt;=1,MOD(INDEX(기본자료!$G$2:$G$501,$AB141),100)&lt;=31),DATE(INT(INDEX(기본자료!$G$2:$G$501,$AB141)/10000),INT(MOD(INDEX(기본자료!$G$2:$G$501,$AB141),10000)/100),MOD(INDEX(기본자료!$G$2:$G$501,$AB141),100)),INDEX(기본자료!$G$2:$G$501,$AB141)&amp;"")))))</f>
        <v/>
      </c>
      <c r="J141" s="10">
        <f>IF($AB141="","",IF(INDEX(기본자료!$H$2:$H$501,$AB141)="","",INDEX(기본자료!$H$2:$H$501,$AB141)))</f>
        <v/>
      </c>
      <c r="K141" s="10">
        <f>IF($AB141="","",IF(INDEX(기본자료!$I$2:$I$501,$AB141)="","",INDEX(기본자료!$I$2:$I$501,$AB141)))</f>
        <v/>
      </c>
      <c r="L141" s="10">
        <f>IF($AB141="","",IF(INDEX(기본자료!$A$2:$A$501,$AB141)="","",INDEX(기본자료!$A$2:$A$501,$AB141)))</f>
        <v/>
      </c>
      <c r="M141" s="15" t="n"/>
      <c r="N141" s="10">
        <f>IF($B141="","",IF(AND($U141="파견중",$Q141&lt;&gt;""),$Q141,IF(AND($AD141&lt;&gt;"",LEFT($AD141,1)&lt;&gt;"⚠"),LEFT($AD141,FIND(" ",$AD141)-1),IF($H141="","",IF(RIGHT($H141,2)="병원",$H141,$H141&amp;"병원")))))</f>
        <v/>
      </c>
      <c r="O141" s="10">
        <f>IF($B141="","",IF(AND($U141="파견중",$Q141&lt;&gt;""),IF($R141&lt;&gt;"",$R141,"파견과 미입력"),IF(AND($AD141&lt;&gt;"",LEFT($AD141,1)&lt;&gt;"⚠"),MID($AD141,FIND(" ",$AD141)+1,60),IF($F141="","",IF($F141="인턴","수련교육부(인턴)",$F141)))))</f>
        <v/>
      </c>
      <c r="P141" s="10">
        <f>IF($B141="","",IF($AK141&lt;&gt;"",IF(AND(TODAY()&gt;=INDEX(파견수련계획!$AB$4:$AB$203,$AK141),OR(NOT(ISNUMBER(INDEX(파견수련계획!$AC$4:$AC$203,$AK141))),TODAY()&lt;=INDEX(파견수련계획!$AC$4:$AC$203,$AK141))),"다기관",IF($AF141="","",INDEX(파견수련계획!$T$4:$T$203,$AF141))),IF($AF141="","",INDEX(파견수련계획!$T$4:$T$203,$AF141))))</f>
        <v/>
      </c>
      <c r="Q141" s="10">
        <f>IF($AF141="","",INDEX(파견수련계획!$S$4:$S$203,$AF141))</f>
        <v/>
      </c>
      <c r="R141" s="10">
        <f>IF($AF141="","",INDEX(파견수련계획!$U$4:$U$203,$AF141))</f>
        <v/>
      </c>
      <c r="S141" s="11">
        <f>IF($AF141="","",IF(INDEX(파견수련계획!$H$4:$H$203,$AF141)="","",INDEX(파견수련계획!$H$4:$H$203,$AF141)))</f>
        <v/>
      </c>
      <c r="T141" s="11">
        <f>IF($AF141="","",IF(INDEX(파견수련계획!$I$4:$I$203,$AF141)="","",INDEX(파견수련계획!$I$4:$I$203,$AF141)))</f>
        <v/>
      </c>
      <c r="U141" s="10">
        <f>IF($AF141="","",INDEX(파견수련계획!$X$4:$X$203,$AF141))</f>
        <v/>
      </c>
      <c r="V141" s="17">
        <f>IF($AF141="","",INDEX(파견수련계획!$V$4:$V$203,$AF141))</f>
        <v/>
      </c>
      <c r="W141" s="17">
        <f>IF(AND($U141="파견중",$T141&lt;&gt;""),$T141-TODAY(),"")</f>
        <v/>
      </c>
      <c r="X141" s="17">
        <f>IF(OR($B141="",TRIM($J141&amp;"")=""),"",SUMPRODUCT((파견수련계획!$Q$4:$Q$203=TRIM($J141&amp;""))*파견수련계획!$W$4:$W$203))</f>
        <v/>
      </c>
      <c r="Y141" s="10">
        <f>IF($B141="","",IF($AG141="","",IF(IF(TRIM($J141&amp;"")="",0,SUMPRODUCT((파견수련계획!$Q$4:$Q$203=TRIM($J141&amp;""))*파견수련계획!$AD$4:$AD$203))&gt;0,$AE141,IF(N($X141)&lt;=0,$AG141,IF($AH141+$AI141=DAY(EOMONTH(요약!$B$3,0)),IF(AND($AH141&gt;=요약!$E$3,$AI141&lt;요약!$E$3),"서울병원",IF(AND($AI141&gt;=요약!$E$3,$AH141&lt;요약!$E$3),"구리병원","⚠15일 판정불가(서울 "&amp;$AH141&amp;"일/구리 "&amp;$AI141&amp;"일)")),IF($AJ141="",$AE141,IF(INDEX(파견수련계획!$T$4:$T$203,$AJ141)="통합수련",INDEX(파견수련계획!$S$4:$S$203,$AJ141),$AE141)))))))</f>
        <v/>
      </c>
      <c r="Z141" s="19">
        <f>IF($B141="","",IF($AB141="","기본자료에 없는 사번",IF(COUNTIF($B$2:$B$201,$B141)&gt;1,"중복 사번",IF($AE141="","소속(입사장소) 입력",IF(IF(TRIM($J141&amp;"")="",0,SUMPRODUCT((파견수련계획!$Q$4:$Q$203=TRIM($J141&amp;""))*(파견수련계획!$AA$4:$AA$203&lt;&gt;"")))&gt;0,"파견수련계획 입력오류 확인",IF(LEFT($Y141,1)="⚠","서울·구리 15일 판정 불가(양쪽 모두 이상/미만)",IF(IF($AC141="",0,N(INDEX(인턴근무계획!$T$3:$T$202,$AC141)))&gt;0,"인턴계획 입력오류 확인",IF(AND($AC141&lt;&gt;"",$U141&lt;&gt;"파견중",$N141&lt;&gt;$AE141),"인턴 타지역 근무: 파견 여부 확인","정상"))))))))</f>
        <v/>
      </c>
      <c r="AA141" s="5" t="n"/>
      <c r="AB141" s="10">
        <f>IF($B141="","",IFERROR(MATCH($B141,기본자료!$B$2:$B$501,0),IFERROR(MATCH($B141&amp;"",기본자료!$B$2:$B$501,0),IFERROR(MATCH(VALUE($B141),기본자료!$B$2:$B$501,0),""))))</f>
        <v/>
      </c>
      <c r="AC141" s="10">
        <f>IF($B141="","",IFERROR(MATCH($B141,인턴근무계획!$D$3:$D$202,0),IFERROR(MATCH($B141&amp;"",인턴근무계획!$D$3:$D$202,0),IFERROR(MATCH(VALUE($B141),인턴근무계획!$D$3:$D$202,0),""))))</f>
        <v/>
      </c>
      <c r="AD141" s="10">
        <f>IF(OR($AC141="",인턴현황!$G$3=""),"",INDEX(인턴근무계획!$M$3:$R$202,$AC141,인턴현황!$G$3)&amp;"")</f>
        <v/>
      </c>
      <c r="AE141" s="10">
        <f>IF($B141="","",IF($M141&lt;&gt;"",$M141,IF($AF141&lt;&gt;"",IF(LEFT(INDEX(파견수련계획!$R$4:$R$203,$AF141),1)&lt;&gt;"⚠",INDEX(파견수련계획!$R$4:$R$203,$AF141),IF($H141="","",IF(RIGHT($H141,2)="병원",$H141,$H141&amp;"병원"))),IF($H141="","",IF(RIGHT($H141,2)="병원",$H141,$H141&amp;"병원")))))</f>
        <v/>
      </c>
      <c r="AF141" s="10">
        <f>IF(OR($B141="",TRIM($J141&amp;"")=""),"",IFERROR(MATCH(TRIM($J141&amp;"")&amp;"|파견중",파견수련계획!$Y$4:$Y$203,0),IFERROR(MATCH(TRIM($J141&amp;"")&amp;"|파견예정",파견수련계획!$Y$4:$Y$203,0),IFERROR(MATCH(TRIM($J141&amp;"")&amp;"|파견종료",파견수련계획!$Y$4:$Y$203,0),""))))</f>
        <v/>
      </c>
      <c r="AG141" s="10">
        <f>IF($B141="","",IF(AND(IF(OR($AC141="",인턴현황!$K$2=""),"",INDEX(인턴근무계획!$M$3:$R$202,$AC141,인턴현황!$K$2)&amp;"")&lt;&gt;"",LEFT(IF(OR($AC141="",인턴현황!$K$2=""),"",INDEX(인턴근무계획!$M$3:$R$202,$AC141,인턴현황!$K$2)&amp;""),1)&lt;&gt;"⚠"),LEFT(IF(OR($AC141="",인턴현황!$K$2=""),"",INDEX(인턴근무계획!$M$3:$R$202,$AC141,인턴현황!$K$2)&amp;""),FIND(" ",IF(OR($AC141="",인턴현황!$K$2=""),"",INDEX(인턴근무계획!$M$3:$R$202,$AC141,인턴현황!$K$2)&amp;""))-1),$AE141))</f>
        <v/>
      </c>
      <c r="AH141" s="17">
        <f>IF($B141="","",IF(TRIM($J141&amp;"")="",0,SUMPRODUCT((파견수련계획!$Q$4:$Q$203=TRIM($J141&amp;""))*(파견수련계획!$S$4:$S$203="서울병원")*파견수련계획!$W$4:$W$203))+IF($AG141="서울병원",MAX(0,DAY(EOMONTH(요약!$B$3,0))-N($X141)),0))</f>
        <v/>
      </c>
      <c r="AI141" s="17">
        <f>IF($B141="","",IF(TRIM($J141&amp;"")="",0,SUMPRODUCT((파견수련계획!$Q$4:$Q$203=TRIM($J141&amp;""))*(파견수련계획!$S$4:$S$203="구리병원")*파견수련계획!$W$4:$W$203))+IF($AG141="구리병원",MAX(0,DAY(EOMONTH(요약!$B$3,0))-N($X141)),0))</f>
        <v/>
      </c>
      <c r="AJ141" s="10">
        <f>IF(OR($B141="",TRIM($J141&amp;"")=""),"",IFERROR(MATCH(TRIM($J141&amp;"")&amp;"|월",파견수련계획!$Z$4:$Z$203,0),""))</f>
        <v/>
      </c>
      <c r="AK141" s="10">
        <f>IF(OR($B141="",TRIM($J141&amp;"")=""),"",IFERROR(MATCH(TRIM($J141&amp;"")&amp;"|다기관",파견수련계획!$AE$4:$AE$203,0),""))</f>
        <v/>
      </c>
      <c r="AL141" s="10">
        <f>IF($AK141="","","다기관 "&amp;TEXT(INDEX(파견수련계획!$AB$4:$AB$203,$AK141),"yyyy-mm-dd")&amp;"~"&amp;IF(ISNUMBER(INDEX(파견수련계획!$AC$4:$AC$203,$AK141)),TEXT(INDEX(파견수련계획!$AC$4:$AC$203,$AK141),"yyyy-mm-dd"),""))</f>
        <v/>
      </c>
    </row>
    <row r="142">
      <c r="A142" s="10">
        <f>IF(B142="","",ROW()-1)</f>
        <v/>
      </c>
      <c r="B142" s="18" t="n"/>
      <c r="C142" s="10">
        <f>IF($AB142="","",IF(INDEX(기본자료!$C$2:$C$501,$AB142)="","",INDEX(기본자료!$C$2:$C$501,$AB142)))</f>
        <v/>
      </c>
      <c r="D142" s="10">
        <f>IF($AB142="","",IF(INDEX(기본자료!$J$2:$J$501,$AB142)="","",INDEX(기본자료!$J$2:$J$501,$AB142)))</f>
        <v/>
      </c>
      <c r="E142" s="11">
        <f>IF($AB142="","",IF(INDEX(기본자료!$K$2:$K$501,$AB142)="","",IF(NOT(ISNUMBER(INDEX(기본자료!$K$2:$K$501,$AB142))),INDEX(기본자료!$K$2:$K$501,$AB142),IF(INDEX(기본자료!$K$2:$K$501,$AB142)&lt;1000000,INDEX(기본자료!$K$2:$K$501,$AB142),IF(AND(INDEX(기본자료!$K$2:$K$501,$AB142)&gt;=10000101,INT(MOD(INDEX(기본자료!$K$2:$K$501,$AB142),10000)/100)&gt;=1,INT(MOD(INDEX(기본자료!$K$2:$K$501,$AB142),10000)/100)&lt;=12,MOD(INDEX(기본자료!$K$2:$K$501,$AB142),100)&gt;=1,MOD(INDEX(기본자료!$K$2:$K$501,$AB142),100)&lt;=31),DATE(INT(INDEX(기본자료!$K$2:$K$501,$AB142)/10000),INT(MOD(INDEX(기본자료!$K$2:$K$501,$AB142),10000)/100),MOD(INDEX(기본자료!$K$2:$K$501,$AB142),100)),INDEX(기본자료!$K$2:$K$501,$AB142)&amp;"")))))</f>
        <v/>
      </c>
      <c r="F142" s="10">
        <f>IF($AB142="","",IF(INDEX(기본자료!$D$2:$D$501,$AB142)="","",INDEX(기본자료!$D$2:$D$501,$AB142)))</f>
        <v/>
      </c>
      <c r="G142" s="10">
        <f>IF($AB142="","",IF(INDEX(기본자료!$E$2:$E$501,$AB142)="","",INDEX(기본자료!$E$2:$E$501,$AB142)))</f>
        <v/>
      </c>
      <c r="H142" s="10">
        <f>IF($AB142="","",IF(INDEX(기본자료!$F$2:$F$501,$AB142)="","",INDEX(기본자료!$F$2:$F$501,$AB142)))</f>
        <v/>
      </c>
      <c r="I142" s="11">
        <f>IF($AB142="","",IF(INDEX(기본자료!$G$2:$G$501,$AB142)="","",IF(NOT(ISNUMBER(INDEX(기본자료!$G$2:$G$501,$AB142))),INDEX(기본자료!$G$2:$G$501,$AB142),IF(INDEX(기본자료!$G$2:$G$501,$AB142)&lt;1000000,INDEX(기본자료!$G$2:$G$501,$AB142),IF(AND(INDEX(기본자료!$G$2:$G$501,$AB142)&gt;=10000101,INT(MOD(INDEX(기본자료!$G$2:$G$501,$AB142),10000)/100)&gt;=1,INT(MOD(INDEX(기본자료!$G$2:$G$501,$AB142),10000)/100)&lt;=12,MOD(INDEX(기본자료!$G$2:$G$501,$AB142),100)&gt;=1,MOD(INDEX(기본자료!$G$2:$G$501,$AB142),100)&lt;=31),DATE(INT(INDEX(기본자료!$G$2:$G$501,$AB142)/10000),INT(MOD(INDEX(기본자료!$G$2:$G$501,$AB142),10000)/100),MOD(INDEX(기본자료!$G$2:$G$501,$AB142),100)),INDEX(기본자료!$G$2:$G$501,$AB142)&amp;"")))))</f>
        <v/>
      </c>
      <c r="J142" s="10">
        <f>IF($AB142="","",IF(INDEX(기본자료!$H$2:$H$501,$AB142)="","",INDEX(기본자료!$H$2:$H$501,$AB142)))</f>
        <v/>
      </c>
      <c r="K142" s="10">
        <f>IF($AB142="","",IF(INDEX(기본자료!$I$2:$I$501,$AB142)="","",INDEX(기본자료!$I$2:$I$501,$AB142)))</f>
        <v/>
      </c>
      <c r="L142" s="10">
        <f>IF($AB142="","",IF(INDEX(기본자료!$A$2:$A$501,$AB142)="","",INDEX(기본자료!$A$2:$A$501,$AB142)))</f>
        <v/>
      </c>
      <c r="M142" s="15" t="n"/>
      <c r="N142" s="10">
        <f>IF($B142="","",IF(AND($U142="파견중",$Q142&lt;&gt;""),$Q142,IF(AND($AD142&lt;&gt;"",LEFT($AD142,1)&lt;&gt;"⚠"),LEFT($AD142,FIND(" ",$AD142)-1),IF($H142="","",IF(RIGHT($H142,2)="병원",$H142,$H142&amp;"병원")))))</f>
        <v/>
      </c>
      <c r="O142" s="10">
        <f>IF($B142="","",IF(AND($U142="파견중",$Q142&lt;&gt;""),IF($R142&lt;&gt;"",$R142,"파견과 미입력"),IF(AND($AD142&lt;&gt;"",LEFT($AD142,1)&lt;&gt;"⚠"),MID($AD142,FIND(" ",$AD142)+1,60),IF($F142="","",IF($F142="인턴","수련교육부(인턴)",$F142)))))</f>
        <v/>
      </c>
      <c r="P142" s="10">
        <f>IF($B142="","",IF($AK142&lt;&gt;"",IF(AND(TODAY()&gt;=INDEX(파견수련계획!$AB$4:$AB$203,$AK142),OR(NOT(ISNUMBER(INDEX(파견수련계획!$AC$4:$AC$203,$AK142))),TODAY()&lt;=INDEX(파견수련계획!$AC$4:$AC$203,$AK142))),"다기관",IF($AF142="","",INDEX(파견수련계획!$T$4:$T$203,$AF142))),IF($AF142="","",INDEX(파견수련계획!$T$4:$T$203,$AF142))))</f>
        <v/>
      </c>
      <c r="Q142" s="10">
        <f>IF($AF142="","",INDEX(파견수련계획!$S$4:$S$203,$AF142))</f>
        <v/>
      </c>
      <c r="R142" s="10">
        <f>IF($AF142="","",INDEX(파견수련계획!$U$4:$U$203,$AF142))</f>
        <v/>
      </c>
      <c r="S142" s="11">
        <f>IF($AF142="","",IF(INDEX(파견수련계획!$H$4:$H$203,$AF142)="","",INDEX(파견수련계획!$H$4:$H$203,$AF142)))</f>
        <v/>
      </c>
      <c r="T142" s="11">
        <f>IF($AF142="","",IF(INDEX(파견수련계획!$I$4:$I$203,$AF142)="","",INDEX(파견수련계획!$I$4:$I$203,$AF142)))</f>
        <v/>
      </c>
      <c r="U142" s="10">
        <f>IF($AF142="","",INDEX(파견수련계획!$X$4:$X$203,$AF142))</f>
        <v/>
      </c>
      <c r="V142" s="17">
        <f>IF($AF142="","",INDEX(파견수련계획!$V$4:$V$203,$AF142))</f>
        <v/>
      </c>
      <c r="W142" s="17">
        <f>IF(AND($U142="파견중",$T142&lt;&gt;""),$T142-TODAY(),"")</f>
        <v/>
      </c>
      <c r="X142" s="17">
        <f>IF(OR($B142="",TRIM($J142&amp;"")=""),"",SUMPRODUCT((파견수련계획!$Q$4:$Q$203=TRIM($J142&amp;""))*파견수련계획!$W$4:$W$203))</f>
        <v/>
      </c>
      <c r="Y142" s="10">
        <f>IF($B142="","",IF($AG142="","",IF(IF(TRIM($J142&amp;"")="",0,SUMPRODUCT((파견수련계획!$Q$4:$Q$203=TRIM($J142&amp;""))*파견수련계획!$AD$4:$AD$203))&gt;0,$AE142,IF(N($X142)&lt;=0,$AG142,IF($AH142+$AI142=DAY(EOMONTH(요약!$B$3,0)),IF(AND($AH142&gt;=요약!$E$3,$AI142&lt;요약!$E$3),"서울병원",IF(AND($AI142&gt;=요약!$E$3,$AH142&lt;요약!$E$3),"구리병원","⚠15일 판정불가(서울 "&amp;$AH142&amp;"일/구리 "&amp;$AI142&amp;"일)")),IF($AJ142="",$AE142,IF(INDEX(파견수련계획!$T$4:$T$203,$AJ142)="통합수련",INDEX(파견수련계획!$S$4:$S$203,$AJ142),$AE142)))))))</f>
        <v/>
      </c>
      <c r="Z142" s="19">
        <f>IF($B142="","",IF($AB142="","기본자료에 없는 사번",IF(COUNTIF($B$2:$B$201,$B142)&gt;1,"중복 사번",IF($AE142="","소속(입사장소) 입력",IF(IF(TRIM($J142&amp;"")="",0,SUMPRODUCT((파견수련계획!$Q$4:$Q$203=TRIM($J142&amp;""))*(파견수련계획!$AA$4:$AA$203&lt;&gt;"")))&gt;0,"파견수련계획 입력오류 확인",IF(LEFT($Y142,1)="⚠","서울·구리 15일 판정 불가(양쪽 모두 이상/미만)",IF(IF($AC142="",0,N(INDEX(인턴근무계획!$T$3:$T$202,$AC142)))&gt;0,"인턴계획 입력오류 확인",IF(AND($AC142&lt;&gt;"",$U142&lt;&gt;"파견중",$N142&lt;&gt;$AE142),"인턴 타지역 근무: 파견 여부 확인","정상"))))))))</f>
        <v/>
      </c>
      <c r="AA142" s="5" t="n"/>
      <c r="AB142" s="10">
        <f>IF($B142="","",IFERROR(MATCH($B142,기본자료!$B$2:$B$501,0),IFERROR(MATCH($B142&amp;"",기본자료!$B$2:$B$501,0),IFERROR(MATCH(VALUE($B142),기본자료!$B$2:$B$501,0),""))))</f>
        <v/>
      </c>
      <c r="AC142" s="10">
        <f>IF($B142="","",IFERROR(MATCH($B142,인턴근무계획!$D$3:$D$202,0),IFERROR(MATCH($B142&amp;"",인턴근무계획!$D$3:$D$202,0),IFERROR(MATCH(VALUE($B142),인턴근무계획!$D$3:$D$202,0),""))))</f>
        <v/>
      </c>
      <c r="AD142" s="10">
        <f>IF(OR($AC142="",인턴현황!$G$3=""),"",INDEX(인턴근무계획!$M$3:$R$202,$AC142,인턴현황!$G$3)&amp;"")</f>
        <v/>
      </c>
      <c r="AE142" s="10">
        <f>IF($B142="","",IF($M142&lt;&gt;"",$M142,IF($AF142&lt;&gt;"",IF(LEFT(INDEX(파견수련계획!$R$4:$R$203,$AF142),1)&lt;&gt;"⚠",INDEX(파견수련계획!$R$4:$R$203,$AF142),IF($H142="","",IF(RIGHT($H142,2)="병원",$H142,$H142&amp;"병원"))),IF($H142="","",IF(RIGHT($H142,2)="병원",$H142,$H142&amp;"병원")))))</f>
        <v/>
      </c>
      <c r="AF142" s="10">
        <f>IF(OR($B142="",TRIM($J142&amp;"")=""),"",IFERROR(MATCH(TRIM($J142&amp;"")&amp;"|파견중",파견수련계획!$Y$4:$Y$203,0),IFERROR(MATCH(TRIM($J142&amp;"")&amp;"|파견예정",파견수련계획!$Y$4:$Y$203,0),IFERROR(MATCH(TRIM($J142&amp;"")&amp;"|파견종료",파견수련계획!$Y$4:$Y$203,0),""))))</f>
        <v/>
      </c>
      <c r="AG142" s="10">
        <f>IF($B142="","",IF(AND(IF(OR($AC142="",인턴현황!$K$2=""),"",INDEX(인턴근무계획!$M$3:$R$202,$AC142,인턴현황!$K$2)&amp;"")&lt;&gt;"",LEFT(IF(OR($AC142="",인턴현황!$K$2=""),"",INDEX(인턴근무계획!$M$3:$R$202,$AC142,인턴현황!$K$2)&amp;""),1)&lt;&gt;"⚠"),LEFT(IF(OR($AC142="",인턴현황!$K$2=""),"",INDEX(인턴근무계획!$M$3:$R$202,$AC142,인턴현황!$K$2)&amp;""),FIND(" ",IF(OR($AC142="",인턴현황!$K$2=""),"",INDEX(인턴근무계획!$M$3:$R$202,$AC142,인턴현황!$K$2)&amp;""))-1),$AE142))</f>
        <v/>
      </c>
      <c r="AH142" s="17">
        <f>IF($B142="","",IF(TRIM($J142&amp;"")="",0,SUMPRODUCT((파견수련계획!$Q$4:$Q$203=TRIM($J142&amp;""))*(파견수련계획!$S$4:$S$203="서울병원")*파견수련계획!$W$4:$W$203))+IF($AG142="서울병원",MAX(0,DAY(EOMONTH(요약!$B$3,0))-N($X142)),0))</f>
        <v/>
      </c>
      <c r="AI142" s="17">
        <f>IF($B142="","",IF(TRIM($J142&amp;"")="",0,SUMPRODUCT((파견수련계획!$Q$4:$Q$203=TRIM($J142&amp;""))*(파견수련계획!$S$4:$S$203="구리병원")*파견수련계획!$W$4:$W$203))+IF($AG142="구리병원",MAX(0,DAY(EOMONTH(요약!$B$3,0))-N($X142)),0))</f>
        <v/>
      </c>
      <c r="AJ142" s="10">
        <f>IF(OR($B142="",TRIM($J142&amp;"")=""),"",IFERROR(MATCH(TRIM($J142&amp;"")&amp;"|월",파견수련계획!$Z$4:$Z$203,0),""))</f>
        <v/>
      </c>
      <c r="AK142" s="10">
        <f>IF(OR($B142="",TRIM($J142&amp;"")=""),"",IFERROR(MATCH(TRIM($J142&amp;"")&amp;"|다기관",파견수련계획!$AE$4:$AE$203,0),""))</f>
        <v/>
      </c>
      <c r="AL142" s="10">
        <f>IF($AK142="","","다기관 "&amp;TEXT(INDEX(파견수련계획!$AB$4:$AB$203,$AK142),"yyyy-mm-dd")&amp;"~"&amp;IF(ISNUMBER(INDEX(파견수련계획!$AC$4:$AC$203,$AK142)),TEXT(INDEX(파견수련계획!$AC$4:$AC$203,$AK142),"yyyy-mm-dd"),""))</f>
        <v/>
      </c>
    </row>
    <row r="143">
      <c r="A143" s="10">
        <f>IF(B143="","",ROW()-1)</f>
        <v/>
      </c>
      <c r="B143" s="18" t="n"/>
      <c r="C143" s="10">
        <f>IF($AB143="","",IF(INDEX(기본자료!$C$2:$C$501,$AB143)="","",INDEX(기본자료!$C$2:$C$501,$AB143)))</f>
        <v/>
      </c>
      <c r="D143" s="10">
        <f>IF($AB143="","",IF(INDEX(기본자료!$J$2:$J$501,$AB143)="","",INDEX(기본자료!$J$2:$J$501,$AB143)))</f>
        <v/>
      </c>
      <c r="E143" s="11">
        <f>IF($AB143="","",IF(INDEX(기본자료!$K$2:$K$501,$AB143)="","",IF(NOT(ISNUMBER(INDEX(기본자료!$K$2:$K$501,$AB143))),INDEX(기본자료!$K$2:$K$501,$AB143),IF(INDEX(기본자료!$K$2:$K$501,$AB143)&lt;1000000,INDEX(기본자료!$K$2:$K$501,$AB143),IF(AND(INDEX(기본자료!$K$2:$K$501,$AB143)&gt;=10000101,INT(MOD(INDEX(기본자료!$K$2:$K$501,$AB143),10000)/100)&gt;=1,INT(MOD(INDEX(기본자료!$K$2:$K$501,$AB143),10000)/100)&lt;=12,MOD(INDEX(기본자료!$K$2:$K$501,$AB143),100)&gt;=1,MOD(INDEX(기본자료!$K$2:$K$501,$AB143),100)&lt;=31),DATE(INT(INDEX(기본자료!$K$2:$K$501,$AB143)/10000),INT(MOD(INDEX(기본자료!$K$2:$K$501,$AB143),10000)/100),MOD(INDEX(기본자료!$K$2:$K$501,$AB143),100)),INDEX(기본자료!$K$2:$K$501,$AB143)&amp;"")))))</f>
        <v/>
      </c>
      <c r="F143" s="10">
        <f>IF($AB143="","",IF(INDEX(기본자료!$D$2:$D$501,$AB143)="","",INDEX(기본자료!$D$2:$D$501,$AB143)))</f>
        <v/>
      </c>
      <c r="G143" s="10">
        <f>IF($AB143="","",IF(INDEX(기본자료!$E$2:$E$501,$AB143)="","",INDEX(기본자료!$E$2:$E$501,$AB143)))</f>
        <v/>
      </c>
      <c r="H143" s="10">
        <f>IF($AB143="","",IF(INDEX(기본자료!$F$2:$F$501,$AB143)="","",INDEX(기본자료!$F$2:$F$501,$AB143)))</f>
        <v/>
      </c>
      <c r="I143" s="11">
        <f>IF($AB143="","",IF(INDEX(기본자료!$G$2:$G$501,$AB143)="","",IF(NOT(ISNUMBER(INDEX(기본자료!$G$2:$G$501,$AB143))),INDEX(기본자료!$G$2:$G$501,$AB143),IF(INDEX(기본자료!$G$2:$G$501,$AB143)&lt;1000000,INDEX(기본자료!$G$2:$G$501,$AB143),IF(AND(INDEX(기본자료!$G$2:$G$501,$AB143)&gt;=10000101,INT(MOD(INDEX(기본자료!$G$2:$G$501,$AB143),10000)/100)&gt;=1,INT(MOD(INDEX(기본자료!$G$2:$G$501,$AB143),10000)/100)&lt;=12,MOD(INDEX(기본자료!$G$2:$G$501,$AB143),100)&gt;=1,MOD(INDEX(기본자료!$G$2:$G$501,$AB143),100)&lt;=31),DATE(INT(INDEX(기본자료!$G$2:$G$501,$AB143)/10000),INT(MOD(INDEX(기본자료!$G$2:$G$501,$AB143),10000)/100),MOD(INDEX(기본자료!$G$2:$G$501,$AB143),100)),INDEX(기본자료!$G$2:$G$501,$AB143)&amp;"")))))</f>
        <v/>
      </c>
      <c r="J143" s="10">
        <f>IF($AB143="","",IF(INDEX(기본자료!$H$2:$H$501,$AB143)="","",INDEX(기본자료!$H$2:$H$501,$AB143)))</f>
        <v/>
      </c>
      <c r="K143" s="10">
        <f>IF($AB143="","",IF(INDEX(기본자료!$I$2:$I$501,$AB143)="","",INDEX(기본자료!$I$2:$I$501,$AB143)))</f>
        <v/>
      </c>
      <c r="L143" s="10">
        <f>IF($AB143="","",IF(INDEX(기본자료!$A$2:$A$501,$AB143)="","",INDEX(기본자료!$A$2:$A$501,$AB143)))</f>
        <v/>
      </c>
      <c r="M143" s="15" t="n"/>
      <c r="N143" s="10">
        <f>IF($B143="","",IF(AND($U143="파견중",$Q143&lt;&gt;""),$Q143,IF(AND($AD143&lt;&gt;"",LEFT($AD143,1)&lt;&gt;"⚠"),LEFT($AD143,FIND(" ",$AD143)-1),IF($H143="","",IF(RIGHT($H143,2)="병원",$H143,$H143&amp;"병원")))))</f>
        <v/>
      </c>
      <c r="O143" s="10">
        <f>IF($B143="","",IF(AND($U143="파견중",$Q143&lt;&gt;""),IF($R143&lt;&gt;"",$R143,"파견과 미입력"),IF(AND($AD143&lt;&gt;"",LEFT($AD143,1)&lt;&gt;"⚠"),MID($AD143,FIND(" ",$AD143)+1,60),IF($F143="","",IF($F143="인턴","수련교육부(인턴)",$F143)))))</f>
        <v/>
      </c>
      <c r="P143" s="10">
        <f>IF($B143="","",IF($AK143&lt;&gt;"",IF(AND(TODAY()&gt;=INDEX(파견수련계획!$AB$4:$AB$203,$AK143),OR(NOT(ISNUMBER(INDEX(파견수련계획!$AC$4:$AC$203,$AK143))),TODAY()&lt;=INDEX(파견수련계획!$AC$4:$AC$203,$AK143))),"다기관",IF($AF143="","",INDEX(파견수련계획!$T$4:$T$203,$AF143))),IF($AF143="","",INDEX(파견수련계획!$T$4:$T$203,$AF143))))</f>
        <v/>
      </c>
      <c r="Q143" s="10">
        <f>IF($AF143="","",INDEX(파견수련계획!$S$4:$S$203,$AF143))</f>
        <v/>
      </c>
      <c r="R143" s="10">
        <f>IF($AF143="","",INDEX(파견수련계획!$U$4:$U$203,$AF143))</f>
        <v/>
      </c>
      <c r="S143" s="11">
        <f>IF($AF143="","",IF(INDEX(파견수련계획!$H$4:$H$203,$AF143)="","",INDEX(파견수련계획!$H$4:$H$203,$AF143)))</f>
        <v/>
      </c>
      <c r="T143" s="11">
        <f>IF($AF143="","",IF(INDEX(파견수련계획!$I$4:$I$203,$AF143)="","",INDEX(파견수련계획!$I$4:$I$203,$AF143)))</f>
        <v/>
      </c>
      <c r="U143" s="10">
        <f>IF($AF143="","",INDEX(파견수련계획!$X$4:$X$203,$AF143))</f>
        <v/>
      </c>
      <c r="V143" s="17">
        <f>IF($AF143="","",INDEX(파견수련계획!$V$4:$V$203,$AF143))</f>
        <v/>
      </c>
      <c r="W143" s="17">
        <f>IF(AND($U143="파견중",$T143&lt;&gt;""),$T143-TODAY(),"")</f>
        <v/>
      </c>
      <c r="X143" s="17">
        <f>IF(OR($B143="",TRIM($J143&amp;"")=""),"",SUMPRODUCT((파견수련계획!$Q$4:$Q$203=TRIM($J143&amp;""))*파견수련계획!$W$4:$W$203))</f>
        <v/>
      </c>
      <c r="Y143" s="10">
        <f>IF($B143="","",IF($AG143="","",IF(IF(TRIM($J143&amp;"")="",0,SUMPRODUCT((파견수련계획!$Q$4:$Q$203=TRIM($J143&amp;""))*파견수련계획!$AD$4:$AD$203))&gt;0,$AE143,IF(N($X143)&lt;=0,$AG143,IF($AH143+$AI143=DAY(EOMONTH(요약!$B$3,0)),IF(AND($AH143&gt;=요약!$E$3,$AI143&lt;요약!$E$3),"서울병원",IF(AND($AI143&gt;=요약!$E$3,$AH143&lt;요약!$E$3),"구리병원","⚠15일 판정불가(서울 "&amp;$AH143&amp;"일/구리 "&amp;$AI143&amp;"일)")),IF($AJ143="",$AE143,IF(INDEX(파견수련계획!$T$4:$T$203,$AJ143)="통합수련",INDEX(파견수련계획!$S$4:$S$203,$AJ143),$AE143)))))))</f>
        <v/>
      </c>
      <c r="Z143" s="19">
        <f>IF($B143="","",IF($AB143="","기본자료에 없는 사번",IF(COUNTIF($B$2:$B$201,$B143)&gt;1,"중복 사번",IF($AE143="","소속(입사장소) 입력",IF(IF(TRIM($J143&amp;"")="",0,SUMPRODUCT((파견수련계획!$Q$4:$Q$203=TRIM($J143&amp;""))*(파견수련계획!$AA$4:$AA$203&lt;&gt;"")))&gt;0,"파견수련계획 입력오류 확인",IF(LEFT($Y143,1)="⚠","서울·구리 15일 판정 불가(양쪽 모두 이상/미만)",IF(IF($AC143="",0,N(INDEX(인턴근무계획!$T$3:$T$202,$AC143)))&gt;0,"인턴계획 입력오류 확인",IF(AND($AC143&lt;&gt;"",$U143&lt;&gt;"파견중",$N143&lt;&gt;$AE143),"인턴 타지역 근무: 파견 여부 확인","정상"))))))))</f>
        <v/>
      </c>
      <c r="AA143" s="5" t="n"/>
      <c r="AB143" s="10">
        <f>IF($B143="","",IFERROR(MATCH($B143,기본자료!$B$2:$B$501,0),IFERROR(MATCH($B143&amp;"",기본자료!$B$2:$B$501,0),IFERROR(MATCH(VALUE($B143),기본자료!$B$2:$B$501,0),""))))</f>
        <v/>
      </c>
      <c r="AC143" s="10">
        <f>IF($B143="","",IFERROR(MATCH($B143,인턴근무계획!$D$3:$D$202,0),IFERROR(MATCH($B143&amp;"",인턴근무계획!$D$3:$D$202,0),IFERROR(MATCH(VALUE($B143),인턴근무계획!$D$3:$D$202,0),""))))</f>
        <v/>
      </c>
      <c r="AD143" s="10">
        <f>IF(OR($AC143="",인턴현황!$G$3=""),"",INDEX(인턴근무계획!$M$3:$R$202,$AC143,인턴현황!$G$3)&amp;"")</f>
        <v/>
      </c>
      <c r="AE143" s="10">
        <f>IF($B143="","",IF($M143&lt;&gt;"",$M143,IF($AF143&lt;&gt;"",IF(LEFT(INDEX(파견수련계획!$R$4:$R$203,$AF143),1)&lt;&gt;"⚠",INDEX(파견수련계획!$R$4:$R$203,$AF143),IF($H143="","",IF(RIGHT($H143,2)="병원",$H143,$H143&amp;"병원"))),IF($H143="","",IF(RIGHT($H143,2)="병원",$H143,$H143&amp;"병원")))))</f>
        <v/>
      </c>
      <c r="AF143" s="10">
        <f>IF(OR($B143="",TRIM($J143&amp;"")=""),"",IFERROR(MATCH(TRIM($J143&amp;"")&amp;"|파견중",파견수련계획!$Y$4:$Y$203,0),IFERROR(MATCH(TRIM($J143&amp;"")&amp;"|파견예정",파견수련계획!$Y$4:$Y$203,0),IFERROR(MATCH(TRIM($J143&amp;"")&amp;"|파견종료",파견수련계획!$Y$4:$Y$203,0),""))))</f>
        <v/>
      </c>
      <c r="AG143" s="10">
        <f>IF($B143="","",IF(AND(IF(OR($AC143="",인턴현황!$K$2=""),"",INDEX(인턴근무계획!$M$3:$R$202,$AC143,인턴현황!$K$2)&amp;"")&lt;&gt;"",LEFT(IF(OR($AC143="",인턴현황!$K$2=""),"",INDEX(인턴근무계획!$M$3:$R$202,$AC143,인턴현황!$K$2)&amp;""),1)&lt;&gt;"⚠"),LEFT(IF(OR($AC143="",인턴현황!$K$2=""),"",INDEX(인턴근무계획!$M$3:$R$202,$AC143,인턴현황!$K$2)&amp;""),FIND(" ",IF(OR($AC143="",인턴현황!$K$2=""),"",INDEX(인턴근무계획!$M$3:$R$202,$AC143,인턴현황!$K$2)&amp;""))-1),$AE143))</f>
        <v/>
      </c>
      <c r="AH143" s="17">
        <f>IF($B143="","",IF(TRIM($J143&amp;"")="",0,SUMPRODUCT((파견수련계획!$Q$4:$Q$203=TRIM($J143&amp;""))*(파견수련계획!$S$4:$S$203="서울병원")*파견수련계획!$W$4:$W$203))+IF($AG143="서울병원",MAX(0,DAY(EOMONTH(요약!$B$3,0))-N($X143)),0))</f>
        <v/>
      </c>
      <c r="AI143" s="17">
        <f>IF($B143="","",IF(TRIM($J143&amp;"")="",0,SUMPRODUCT((파견수련계획!$Q$4:$Q$203=TRIM($J143&amp;""))*(파견수련계획!$S$4:$S$203="구리병원")*파견수련계획!$W$4:$W$203))+IF($AG143="구리병원",MAX(0,DAY(EOMONTH(요약!$B$3,0))-N($X143)),0))</f>
        <v/>
      </c>
      <c r="AJ143" s="10">
        <f>IF(OR($B143="",TRIM($J143&amp;"")=""),"",IFERROR(MATCH(TRIM($J143&amp;"")&amp;"|월",파견수련계획!$Z$4:$Z$203,0),""))</f>
        <v/>
      </c>
      <c r="AK143" s="10">
        <f>IF(OR($B143="",TRIM($J143&amp;"")=""),"",IFERROR(MATCH(TRIM($J143&amp;"")&amp;"|다기관",파견수련계획!$AE$4:$AE$203,0),""))</f>
        <v/>
      </c>
      <c r="AL143" s="10">
        <f>IF($AK143="","","다기관 "&amp;TEXT(INDEX(파견수련계획!$AB$4:$AB$203,$AK143),"yyyy-mm-dd")&amp;"~"&amp;IF(ISNUMBER(INDEX(파견수련계획!$AC$4:$AC$203,$AK143)),TEXT(INDEX(파견수련계획!$AC$4:$AC$203,$AK143),"yyyy-mm-dd"),""))</f>
        <v/>
      </c>
    </row>
    <row r="144">
      <c r="A144" s="10">
        <f>IF(B144="","",ROW()-1)</f>
        <v/>
      </c>
      <c r="B144" s="18" t="n"/>
      <c r="C144" s="10">
        <f>IF($AB144="","",IF(INDEX(기본자료!$C$2:$C$501,$AB144)="","",INDEX(기본자료!$C$2:$C$501,$AB144)))</f>
        <v/>
      </c>
      <c r="D144" s="10">
        <f>IF($AB144="","",IF(INDEX(기본자료!$J$2:$J$501,$AB144)="","",INDEX(기본자료!$J$2:$J$501,$AB144)))</f>
        <v/>
      </c>
      <c r="E144" s="11">
        <f>IF($AB144="","",IF(INDEX(기본자료!$K$2:$K$501,$AB144)="","",IF(NOT(ISNUMBER(INDEX(기본자료!$K$2:$K$501,$AB144))),INDEX(기본자료!$K$2:$K$501,$AB144),IF(INDEX(기본자료!$K$2:$K$501,$AB144)&lt;1000000,INDEX(기본자료!$K$2:$K$501,$AB144),IF(AND(INDEX(기본자료!$K$2:$K$501,$AB144)&gt;=10000101,INT(MOD(INDEX(기본자료!$K$2:$K$501,$AB144),10000)/100)&gt;=1,INT(MOD(INDEX(기본자료!$K$2:$K$501,$AB144),10000)/100)&lt;=12,MOD(INDEX(기본자료!$K$2:$K$501,$AB144),100)&gt;=1,MOD(INDEX(기본자료!$K$2:$K$501,$AB144),100)&lt;=31),DATE(INT(INDEX(기본자료!$K$2:$K$501,$AB144)/10000),INT(MOD(INDEX(기본자료!$K$2:$K$501,$AB144),10000)/100),MOD(INDEX(기본자료!$K$2:$K$501,$AB144),100)),INDEX(기본자료!$K$2:$K$501,$AB144)&amp;"")))))</f>
        <v/>
      </c>
      <c r="F144" s="10">
        <f>IF($AB144="","",IF(INDEX(기본자료!$D$2:$D$501,$AB144)="","",INDEX(기본자료!$D$2:$D$501,$AB144)))</f>
        <v/>
      </c>
      <c r="G144" s="10">
        <f>IF($AB144="","",IF(INDEX(기본자료!$E$2:$E$501,$AB144)="","",INDEX(기본자료!$E$2:$E$501,$AB144)))</f>
        <v/>
      </c>
      <c r="H144" s="10">
        <f>IF($AB144="","",IF(INDEX(기본자료!$F$2:$F$501,$AB144)="","",INDEX(기본자료!$F$2:$F$501,$AB144)))</f>
        <v/>
      </c>
      <c r="I144" s="11">
        <f>IF($AB144="","",IF(INDEX(기본자료!$G$2:$G$501,$AB144)="","",IF(NOT(ISNUMBER(INDEX(기본자료!$G$2:$G$501,$AB144))),INDEX(기본자료!$G$2:$G$501,$AB144),IF(INDEX(기본자료!$G$2:$G$501,$AB144)&lt;1000000,INDEX(기본자료!$G$2:$G$501,$AB144),IF(AND(INDEX(기본자료!$G$2:$G$501,$AB144)&gt;=10000101,INT(MOD(INDEX(기본자료!$G$2:$G$501,$AB144),10000)/100)&gt;=1,INT(MOD(INDEX(기본자료!$G$2:$G$501,$AB144),10000)/100)&lt;=12,MOD(INDEX(기본자료!$G$2:$G$501,$AB144),100)&gt;=1,MOD(INDEX(기본자료!$G$2:$G$501,$AB144),100)&lt;=31),DATE(INT(INDEX(기본자료!$G$2:$G$501,$AB144)/10000),INT(MOD(INDEX(기본자료!$G$2:$G$501,$AB144),10000)/100),MOD(INDEX(기본자료!$G$2:$G$501,$AB144),100)),INDEX(기본자료!$G$2:$G$501,$AB144)&amp;"")))))</f>
        <v/>
      </c>
      <c r="J144" s="10">
        <f>IF($AB144="","",IF(INDEX(기본자료!$H$2:$H$501,$AB144)="","",INDEX(기본자료!$H$2:$H$501,$AB144)))</f>
        <v/>
      </c>
      <c r="K144" s="10">
        <f>IF($AB144="","",IF(INDEX(기본자료!$I$2:$I$501,$AB144)="","",INDEX(기본자료!$I$2:$I$501,$AB144)))</f>
        <v/>
      </c>
      <c r="L144" s="10">
        <f>IF($AB144="","",IF(INDEX(기본자료!$A$2:$A$501,$AB144)="","",INDEX(기본자료!$A$2:$A$501,$AB144)))</f>
        <v/>
      </c>
      <c r="M144" s="15" t="n"/>
      <c r="N144" s="10">
        <f>IF($B144="","",IF(AND($U144="파견중",$Q144&lt;&gt;""),$Q144,IF(AND($AD144&lt;&gt;"",LEFT($AD144,1)&lt;&gt;"⚠"),LEFT($AD144,FIND(" ",$AD144)-1),IF($H144="","",IF(RIGHT($H144,2)="병원",$H144,$H144&amp;"병원")))))</f>
        <v/>
      </c>
      <c r="O144" s="10">
        <f>IF($B144="","",IF(AND($U144="파견중",$Q144&lt;&gt;""),IF($R144&lt;&gt;"",$R144,"파견과 미입력"),IF(AND($AD144&lt;&gt;"",LEFT($AD144,1)&lt;&gt;"⚠"),MID($AD144,FIND(" ",$AD144)+1,60),IF($F144="","",IF($F144="인턴","수련교육부(인턴)",$F144)))))</f>
        <v/>
      </c>
      <c r="P144" s="10">
        <f>IF($B144="","",IF($AK144&lt;&gt;"",IF(AND(TODAY()&gt;=INDEX(파견수련계획!$AB$4:$AB$203,$AK144),OR(NOT(ISNUMBER(INDEX(파견수련계획!$AC$4:$AC$203,$AK144))),TODAY()&lt;=INDEX(파견수련계획!$AC$4:$AC$203,$AK144))),"다기관",IF($AF144="","",INDEX(파견수련계획!$T$4:$T$203,$AF144))),IF($AF144="","",INDEX(파견수련계획!$T$4:$T$203,$AF144))))</f>
        <v/>
      </c>
      <c r="Q144" s="10">
        <f>IF($AF144="","",INDEX(파견수련계획!$S$4:$S$203,$AF144))</f>
        <v/>
      </c>
      <c r="R144" s="10">
        <f>IF($AF144="","",INDEX(파견수련계획!$U$4:$U$203,$AF144))</f>
        <v/>
      </c>
      <c r="S144" s="11">
        <f>IF($AF144="","",IF(INDEX(파견수련계획!$H$4:$H$203,$AF144)="","",INDEX(파견수련계획!$H$4:$H$203,$AF144)))</f>
        <v/>
      </c>
      <c r="T144" s="11">
        <f>IF($AF144="","",IF(INDEX(파견수련계획!$I$4:$I$203,$AF144)="","",INDEX(파견수련계획!$I$4:$I$203,$AF144)))</f>
        <v/>
      </c>
      <c r="U144" s="10">
        <f>IF($AF144="","",INDEX(파견수련계획!$X$4:$X$203,$AF144))</f>
        <v/>
      </c>
      <c r="V144" s="17">
        <f>IF($AF144="","",INDEX(파견수련계획!$V$4:$V$203,$AF144))</f>
        <v/>
      </c>
      <c r="W144" s="17">
        <f>IF(AND($U144="파견중",$T144&lt;&gt;""),$T144-TODAY(),"")</f>
        <v/>
      </c>
      <c r="X144" s="17">
        <f>IF(OR($B144="",TRIM($J144&amp;"")=""),"",SUMPRODUCT((파견수련계획!$Q$4:$Q$203=TRIM($J144&amp;""))*파견수련계획!$W$4:$W$203))</f>
        <v/>
      </c>
      <c r="Y144" s="10">
        <f>IF($B144="","",IF($AG144="","",IF(IF(TRIM($J144&amp;"")="",0,SUMPRODUCT((파견수련계획!$Q$4:$Q$203=TRIM($J144&amp;""))*파견수련계획!$AD$4:$AD$203))&gt;0,$AE144,IF(N($X144)&lt;=0,$AG144,IF($AH144+$AI144=DAY(EOMONTH(요약!$B$3,0)),IF(AND($AH144&gt;=요약!$E$3,$AI144&lt;요약!$E$3),"서울병원",IF(AND($AI144&gt;=요약!$E$3,$AH144&lt;요약!$E$3),"구리병원","⚠15일 판정불가(서울 "&amp;$AH144&amp;"일/구리 "&amp;$AI144&amp;"일)")),IF($AJ144="",$AE144,IF(INDEX(파견수련계획!$T$4:$T$203,$AJ144)="통합수련",INDEX(파견수련계획!$S$4:$S$203,$AJ144),$AE144)))))))</f>
        <v/>
      </c>
      <c r="Z144" s="19">
        <f>IF($B144="","",IF($AB144="","기본자료에 없는 사번",IF(COUNTIF($B$2:$B$201,$B144)&gt;1,"중복 사번",IF($AE144="","소속(입사장소) 입력",IF(IF(TRIM($J144&amp;"")="",0,SUMPRODUCT((파견수련계획!$Q$4:$Q$203=TRIM($J144&amp;""))*(파견수련계획!$AA$4:$AA$203&lt;&gt;"")))&gt;0,"파견수련계획 입력오류 확인",IF(LEFT($Y144,1)="⚠","서울·구리 15일 판정 불가(양쪽 모두 이상/미만)",IF(IF($AC144="",0,N(INDEX(인턴근무계획!$T$3:$T$202,$AC144)))&gt;0,"인턴계획 입력오류 확인",IF(AND($AC144&lt;&gt;"",$U144&lt;&gt;"파견중",$N144&lt;&gt;$AE144),"인턴 타지역 근무: 파견 여부 확인","정상"))))))))</f>
        <v/>
      </c>
      <c r="AA144" s="5" t="n"/>
      <c r="AB144" s="10">
        <f>IF($B144="","",IFERROR(MATCH($B144,기본자료!$B$2:$B$501,0),IFERROR(MATCH($B144&amp;"",기본자료!$B$2:$B$501,0),IFERROR(MATCH(VALUE($B144),기본자료!$B$2:$B$501,0),""))))</f>
        <v/>
      </c>
      <c r="AC144" s="10">
        <f>IF($B144="","",IFERROR(MATCH($B144,인턴근무계획!$D$3:$D$202,0),IFERROR(MATCH($B144&amp;"",인턴근무계획!$D$3:$D$202,0),IFERROR(MATCH(VALUE($B144),인턴근무계획!$D$3:$D$202,0),""))))</f>
        <v/>
      </c>
      <c r="AD144" s="10">
        <f>IF(OR($AC144="",인턴현황!$G$3=""),"",INDEX(인턴근무계획!$M$3:$R$202,$AC144,인턴현황!$G$3)&amp;"")</f>
        <v/>
      </c>
      <c r="AE144" s="10">
        <f>IF($B144="","",IF($M144&lt;&gt;"",$M144,IF($AF144&lt;&gt;"",IF(LEFT(INDEX(파견수련계획!$R$4:$R$203,$AF144),1)&lt;&gt;"⚠",INDEX(파견수련계획!$R$4:$R$203,$AF144),IF($H144="","",IF(RIGHT($H144,2)="병원",$H144,$H144&amp;"병원"))),IF($H144="","",IF(RIGHT($H144,2)="병원",$H144,$H144&amp;"병원")))))</f>
        <v/>
      </c>
      <c r="AF144" s="10">
        <f>IF(OR($B144="",TRIM($J144&amp;"")=""),"",IFERROR(MATCH(TRIM($J144&amp;"")&amp;"|파견중",파견수련계획!$Y$4:$Y$203,0),IFERROR(MATCH(TRIM($J144&amp;"")&amp;"|파견예정",파견수련계획!$Y$4:$Y$203,0),IFERROR(MATCH(TRIM($J144&amp;"")&amp;"|파견종료",파견수련계획!$Y$4:$Y$203,0),""))))</f>
        <v/>
      </c>
      <c r="AG144" s="10">
        <f>IF($B144="","",IF(AND(IF(OR($AC144="",인턴현황!$K$2=""),"",INDEX(인턴근무계획!$M$3:$R$202,$AC144,인턴현황!$K$2)&amp;"")&lt;&gt;"",LEFT(IF(OR($AC144="",인턴현황!$K$2=""),"",INDEX(인턴근무계획!$M$3:$R$202,$AC144,인턴현황!$K$2)&amp;""),1)&lt;&gt;"⚠"),LEFT(IF(OR($AC144="",인턴현황!$K$2=""),"",INDEX(인턴근무계획!$M$3:$R$202,$AC144,인턴현황!$K$2)&amp;""),FIND(" ",IF(OR($AC144="",인턴현황!$K$2=""),"",INDEX(인턴근무계획!$M$3:$R$202,$AC144,인턴현황!$K$2)&amp;""))-1),$AE144))</f>
        <v/>
      </c>
      <c r="AH144" s="17">
        <f>IF($B144="","",IF(TRIM($J144&amp;"")="",0,SUMPRODUCT((파견수련계획!$Q$4:$Q$203=TRIM($J144&amp;""))*(파견수련계획!$S$4:$S$203="서울병원")*파견수련계획!$W$4:$W$203))+IF($AG144="서울병원",MAX(0,DAY(EOMONTH(요약!$B$3,0))-N($X144)),0))</f>
        <v/>
      </c>
      <c r="AI144" s="17">
        <f>IF($B144="","",IF(TRIM($J144&amp;"")="",0,SUMPRODUCT((파견수련계획!$Q$4:$Q$203=TRIM($J144&amp;""))*(파견수련계획!$S$4:$S$203="구리병원")*파견수련계획!$W$4:$W$203))+IF($AG144="구리병원",MAX(0,DAY(EOMONTH(요약!$B$3,0))-N($X144)),0))</f>
        <v/>
      </c>
      <c r="AJ144" s="10">
        <f>IF(OR($B144="",TRIM($J144&amp;"")=""),"",IFERROR(MATCH(TRIM($J144&amp;"")&amp;"|월",파견수련계획!$Z$4:$Z$203,0),""))</f>
        <v/>
      </c>
      <c r="AK144" s="10">
        <f>IF(OR($B144="",TRIM($J144&amp;"")=""),"",IFERROR(MATCH(TRIM($J144&amp;"")&amp;"|다기관",파견수련계획!$AE$4:$AE$203,0),""))</f>
        <v/>
      </c>
      <c r="AL144" s="10">
        <f>IF($AK144="","","다기관 "&amp;TEXT(INDEX(파견수련계획!$AB$4:$AB$203,$AK144),"yyyy-mm-dd")&amp;"~"&amp;IF(ISNUMBER(INDEX(파견수련계획!$AC$4:$AC$203,$AK144)),TEXT(INDEX(파견수련계획!$AC$4:$AC$203,$AK144),"yyyy-mm-dd"),""))</f>
        <v/>
      </c>
    </row>
    <row r="145">
      <c r="A145" s="10">
        <f>IF(B145="","",ROW()-1)</f>
        <v/>
      </c>
      <c r="B145" s="18" t="n"/>
      <c r="C145" s="10">
        <f>IF($AB145="","",IF(INDEX(기본자료!$C$2:$C$501,$AB145)="","",INDEX(기본자료!$C$2:$C$501,$AB145)))</f>
        <v/>
      </c>
      <c r="D145" s="10">
        <f>IF($AB145="","",IF(INDEX(기본자료!$J$2:$J$501,$AB145)="","",INDEX(기본자료!$J$2:$J$501,$AB145)))</f>
        <v/>
      </c>
      <c r="E145" s="11">
        <f>IF($AB145="","",IF(INDEX(기본자료!$K$2:$K$501,$AB145)="","",IF(NOT(ISNUMBER(INDEX(기본자료!$K$2:$K$501,$AB145))),INDEX(기본자료!$K$2:$K$501,$AB145),IF(INDEX(기본자료!$K$2:$K$501,$AB145)&lt;1000000,INDEX(기본자료!$K$2:$K$501,$AB145),IF(AND(INDEX(기본자료!$K$2:$K$501,$AB145)&gt;=10000101,INT(MOD(INDEX(기본자료!$K$2:$K$501,$AB145),10000)/100)&gt;=1,INT(MOD(INDEX(기본자료!$K$2:$K$501,$AB145),10000)/100)&lt;=12,MOD(INDEX(기본자료!$K$2:$K$501,$AB145),100)&gt;=1,MOD(INDEX(기본자료!$K$2:$K$501,$AB145),100)&lt;=31),DATE(INT(INDEX(기본자료!$K$2:$K$501,$AB145)/10000),INT(MOD(INDEX(기본자료!$K$2:$K$501,$AB145),10000)/100),MOD(INDEX(기본자료!$K$2:$K$501,$AB145),100)),INDEX(기본자료!$K$2:$K$501,$AB145)&amp;"")))))</f>
        <v/>
      </c>
      <c r="F145" s="10">
        <f>IF($AB145="","",IF(INDEX(기본자료!$D$2:$D$501,$AB145)="","",INDEX(기본자료!$D$2:$D$501,$AB145)))</f>
        <v/>
      </c>
      <c r="G145" s="10">
        <f>IF($AB145="","",IF(INDEX(기본자료!$E$2:$E$501,$AB145)="","",INDEX(기본자료!$E$2:$E$501,$AB145)))</f>
        <v/>
      </c>
      <c r="H145" s="10">
        <f>IF($AB145="","",IF(INDEX(기본자료!$F$2:$F$501,$AB145)="","",INDEX(기본자료!$F$2:$F$501,$AB145)))</f>
        <v/>
      </c>
      <c r="I145" s="11">
        <f>IF($AB145="","",IF(INDEX(기본자료!$G$2:$G$501,$AB145)="","",IF(NOT(ISNUMBER(INDEX(기본자료!$G$2:$G$501,$AB145))),INDEX(기본자료!$G$2:$G$501,$AB145),IF(INDEX(기본자료!$G$2:$G$501,$AB145)&lt;1000000,INDEX(기본자료!$G$2:$G$501,$AB145),IF(AND(INDEX(기본자료!$G$2:$G$501,$AB145)&gt;=10000101,INT(MOD(INDEX(기본자료!$G$2:$G$501,$AB145),10000)/100)&gt;=1,INT(MOD(INDEX(기본자료!$G$2:$G$501,$AB145),10000)/100)&lt;=12,MOD(INDEX(기본자료!$G$2:$G$501,$AB145),100)&gt;=1,MOD(INDEX(기본자료!$G$2:$G$501,$AB145),100)&lt;=31),DATE(INT(INDEX(기본자료!$G$2:$G$501,$AB145)/10000),INT(MOD(INDEX(기본자료!$G$2:$G$501,$AB145),10000)/100),MOD(INDEX(기본자료!$G$2:$G$501,$AB145),100)),INDEX(기본자료!$G$2:$G$501,$AB145)&amp;"")))))</f>
        <v/>
      </c>
      <c r="J145" s="10">
        <f>IF($AB145="","",IF(INDEX(기본자료!$H$2:$H$501,$AB145)="","",INDEX(기본자료!$H$2:$H$501,$AB145)))</f>
        <v/>
      </c>
      <c r="K145" s="10">
        <f>IF($AB145="","",IF(INDEX(기본자료!$I$2:$I$501,$AB145)="","",INDEX(기본자료!$I$2:$I$501,$AB145)))</f>
        <v/>
      </c>
      <c r="L145" s="10">
        <f>IF($AB145="","",IF(INDEX(기본자료!$A$2:$A$501,$AB145)="","",INDEX(기본자료!$A$2:$A$501,$AB145)))</f>
        <v/>
      </c>
      <c r="M145" s="15" t="n"/>
      <c r="N145" s="10">
        <f>IF($B145="","",IF(AND($U145="파견중",$Q145&lt;&gt;""),$Q145,IF(AND($AD145&lt;&gt;"",LEFT($AD145,1)&lt;&gt;"⚠"),LEFT($AD145,FIND(" ",$AD145)-1),IF($H145="","",IF(RIGHT($H145,2)="병원",$H145,$H145&amp;"병원")))))</f>
        <v/>
      </c>
      <c r="O145" s="10">
        <f>IF($B145="","",IF(AND($U145="파견중",$Q145&lt;&gt;""),IF($R145&lt;&gt;"",$R145,"파견과 미입력"),IF(AND($AD145&lt;&gt;"",LEFT($AD145,1)&lt;&gt;"⚠"),MID($AD145,FIND(" ",$AD145)+1,60),IF($F145="","",IF($F145="인턴","수련교육부(인턴)",$F145)))))</f>
        <v/>
      </c>
      <c r="P145" s="10">
        <f>IF($B145="","",IF($AK145&lt;&gt;"",IF(AND(TODAY()&gt;=INDEX(파견수련계획!$AB$4:$AB$203,$AK145),OR(NOT(ISNUMBER(INDEX(파견수련계획!$AC$4:$AC$203,$AK145))),TODAY()&lt;=INDEX(파견수련계획!$AC$4:$AC$203,$AK145))),"다기관",IF($AF145="","",INDEX(파견수련계획!$T$4:$T$203,$AF145))),IF($AF145="","",INDEX(파견수련계획!$T$4:$T$203,$AF145))))</f>
        <v/>
      </c>
      <c r="Q145" s="10">
        <f>IF($AF145="","",INDEX(파견수련계획!$S$4:$S$203,$AF145))</f>
        <v/>
      </c>
      <c r="R145" s="10">
        <f>IF($AF145="","",INDEX(파견수련계획!$U$4:$U$203,$AF145))</f>
        <v/>
      </c>
      <c r="S145" s="11">
        <f>IF($AF145="","",IF(INDEX(파견수련계획!$H$4:$H$203,$AF145)="","",INDEX(파견수련계획!$H$4:$H$203,$AF145)))</f>
        <v/>
      </c>
      <c r="T145" s="11">
        <f>IF($AF145="","",IF(INDEX(파견수련계획!$I$4:$I$203,$AF145)="","",INDEX(파견수련계획!$I$4:$I$203,$AF145)))</f>
        <v/>
      </c>
      <c r="U145" s="10">
        <f>IF($AF145="","",INDEX(파견수련계획!$X$4:$X$203,$AF145))</f>
        <v/>
      </c>
      <c r="V145" s="17">
        <f>IF($AF145="","",INDEX(파견수련계획!$V$4:$V$203,$AF145))</f>
        <v/>
      </c>
      <c r="W145" s="17">
        <f>IF(AND($U145="파견중",$T145&lt;&gt;""),$T145-TODAY(),"")</f>
        <v/>
      </c>
      <c r="X145" s="17">
        <f>IF(OR($B145="",TRIM($J145&amp;"")=""),"",SUMPRODUCT((파견수련계획!$Q$4:$Q$203=TRIM($J145&amp;""))*파견수련계획!$W$4:$W$203))</f>
        <v/>
      </c>
      <c r="Y145" s="10">
        <f>IF($B145="","",IF($AG145="","",IF(IF(TRIM($J145&amp;"")="",0,SUMPRODUCT((파견수련계획!$Q$4:$Q$203=TRIM($J145&amp;""))*파견수련계획!$AD$4:$AD$203))&gt;0,$AE145,IF(N($X145)&lt;=0,$AG145,IF($AH145+$AI145=DAY(EOMONTH(요약!$B$3,0)),IF(AND($AH145&gt;=요약!$E$3,$AI145&lt;요약!$E$3),"서울병원",IF(AND($AI145&gt;=요약!$E$3,$AH145&lt;요약!$E$3),"구리병원","⚠15일 판정불가(서울 "&amp;$AH145&amp;"일/구리 "&amp;$AI145&amp;"일)")),IF($AJ145="",$AE145,IF(INDEX(파견수련계획!$T$4:$T$203,$AJ145)="통합수련",INDEX(파견수련계획!$S$4:$S$203,$AJ145),$AE145)))))))</f>
        <v/>
      </c>
      <c r="Z145" s="19">
        <f>IF($B145="","",IF($AB145="","기본자료에 없는 사번",IF(COUNTIF($B$2:$B$201,$B145)&gt;1,"중복 사번",IF($AE145="","소속(입사장소) 입력",IF(IF(TRIM($J145&amp;"")="",0,SUMPRODUCT((파견수련계획!$Q$4:$Q$203=TRIM($J145&amp;""))*(파견수련계획!$AA$4:$AA$203&lt;&gt;"")))&gt;0,"파견수련계획 입력오류 확인",IF(LEFT($Y145,1)="⚠","서울·구리 15일 판정 불가(양쪽 모두 이상/미만)",IF(IF($AC145="",0,N(INDEX(인턴근무계획!$T$3:$T$202,$AC145)))&gt;0,"인턴계획 입력오류 확인",IF(AND($AC145&lt;&gt;"",$U145&lt;&gt;"파견중",$N145&lt;&gt;$AE145),"인턴 타지역 근무: 파견 여부 확인","정상"))))))))</f>
        <v/>
      </c>
      <c r="AA145" s="5" t="n"/>
      <c r="AB145" s="10">
        <f>IF($B145="","",IFERROR(MATCH($B145,기본자료!$B$2:$B$501,0),IFERROR(MATCH($B145&amp;"",기본자료!$B$2:$B$501,0),IFERROR(MATCH(VALUE($B145),기본자료!$B$2:$B$501,0),""))))</f>
        <v/>
      </c>
      <c r="AC145" s="10">
        <f>IF($B145="","",IFERROR(MATCH($B145,인턴근무계획!$D$3:$D$202,0),IFERROR(MATCH($B145&amp;"",인턴근무계획!$D$3:$D$202,0),IFERROR(MATCH(VALUE($B145),인턴근무계획!$D$3:$D$202,0),""))))</f>
        <v/>
      </c>
      <c r="AD145" s="10">
        <f>IF(OR($AC145="",인턴현황!$G$3=""),"",INDEX(인턴근무계획!$M$3:$R$202,$AC145,인턴현황!$G$3)&amp;"")</f>
        <v/>
      </c>
      <c r="AE145" s="10">
        <f>IF($B145="","",IF($M145&lt;&gt;"",$M145,IF($AF145&lt;&gt;"",IF(LEFT(INDEX(파견수련계획!$R$4:$R$203,$AF145),1)&lt;&gt;"⚠",INDEX(파견수련계획!$R$4:$R$203,$AF145),IF($H145="","",IF(RIGHT($H145,2)="병원",$H145,$H145&amp;"병원"))),IF($H145="","",IF(RIGHT($H145,2)="병원",$H145,$H145&amp;"병원")))))</f>
        <v/>
      </c>
      <c r="AF145" s="10">
        <f>IF(OR($B145="",TRIM($J145&amp;"")=""),"",IFERROR(MATCH(TRIM($J145&amp;"")&amp;"|파견중",파견수련계획!$Y$4:$Y$203,0),IFERROR(MATCH(TRIM($J145&amp;"")&amp;"|파견예정",파견수련계획!$Y$4:$Y$203,0),IFERROR(MATCH(TRIM($J145&amp;"")&amp;"|파견종료",파견수련계획!$Y$4:$Y$203,0),""))))</f>
        <v/>
      </c>
      <c r="AG145" s="10">
        <f>IF($B145="","",IF(AND(IF(OR($AC145="",인턴현황!$K$2=""),"",INDEX(인턴근무계획!$M$3:$R$202,$AC145,인턴현황!$K$2)&amp;"")&lt;&gt;"",LEFT(IF(OR($AC145="",인턴현황!$K$2=""),"",INDEX(인턴근무계획!$M$3:$R$202,$AC145,인턴현황!$K$2)&amp;""),1)&lt;&gt;"⚠"),LEFT(IF(OR($AC145="",인턴현황!$K$2=""),"",INDEX(인턴근무계획!$M$3:$R$202,$AC145,인턴현황!$K$2)&amp;""),FIND(" ",IF(OR($AC145="",인턴현황!$K$2=""),"",INDEX(인턴근무계획!$M$3:$R$202,$AC145,인턴현황!$K$2)&amp;""))-1),$AE145))</f>
        <v/>
      </c>
      <c r="AH145" s="17">
        <f>IF($B145="","",IF(TRIM($J145&amp;"")="",0,SUMPRODUCT((파견수련계획!$Q$4:$Q$203=TRIM($J145&amp;""))*(파견수련계획!$S$4:$S$203="서울병원")*파견수련계획!$W$4:$W$203))+IF($AG145="서울병원",MAX(0,DAY(EOMONTH(요약!$B$3,0))-N($X145)),0))</f>
        <v/>
      </c>
      <c r="AI145" s="17">
        <f>IF($B145="","",IF(TRIM($J145&amp;"")="",0,SUMPRODUCT((파견수련계획!$Q$4:$Q$203=TRIM($J145&amp;""))*(파견수련계획!$S$4:$S$203="구리병원")*파견수련계획!$W$4:$W$203))+IF($AG145="구리병원",MAX(0,DAY(EOMONTH(요약!$B$3,0))-N($X145)),0))</f>
        <v/>
      </c>
      <c r="AJ145" s="10">
        <f>IF(OR($B145="",TRIM($J145&amp;"")=""),"",IFERROR(MATCH(TRIM($J145&amp;"")&amp;"|월",파견수련계획!$Z$4:$Z$203,0),""))</f>
        <v/>
      </c>
      <c r="AK145" s="10">
        <f>IF(OR($B145="",TRIM($J145&amp;"")=""),"",IFERROR(MATCH(TRIM($J145&amp;"")&amp;"|다기관",파견수련계획!$AE$4:$AE$203,0),""))</f>
        <v/>
      </c>
      <c r="AL145" s="10">
        <f>IF($AK145="","","다기관 "&amp;TEXT(INDEX(파견수련계획!$AB$4:$AB$203,$AK145),"yyyy-mm-dd")&amp;"~"&amp;IF(ISNUMBER(INDEX(파견수련계획!$AC$4:$AC$203,$AK145)),TEXT(INDEX(파견수련계획!$AC$4:$AC$203,$AK145),"yyyy-mm-dd"),""))</f>
        <v/>
      </c>
    </row>
    <row r="146">
      <c r="A146" s="10">
        <f>IF(B146="","",ROW()-1)</f>
        <v/>
      </c>
      <c r="B146" s="18" t="n"/>
      <c r="C146" s="10">
        <f>IF($AB146="","",IF(INDEX(기본자료!$C$2:$C$501,$AB146)="","",INDEX(기본자료!$C$2:$C$501,$AB146)))</f>
        <v/>
      </c>
      <c r="D146" s="10">
        <f>IF($AB146="","",IF(INDEX(기본자료!$J$2:$J$501,$AB146)="","",INDEX(기본자료!$J$2:$J$501,$AB146)))</f>
        <v/>
      </c>
      <c r="E146" s="11">
        <f>IF($AB146="","",IF(INDEX(기본자료!$K$2:$K$501,$AB146)="","",IF(NOT(ISNUMBER(INDEX(기본자료!$K$2:$K$501,$AB146))),INDEX(기본자료!$K$2:$K$501,$AB146),IF(INDEX(기본자료!$K$2:$K$501,$AB146)&lt;1000000,INDEX(기본자료!$K$2:$K$501,$AB146),IF(AND(INDEX(기본자료!$K$2:$K$501,$AB146)&gt;=10000101,INT(MOD(INDEX(기본자료!$K$2:$K$501,$AB146),10000)/100)&gt;=1,INT(MOD(INDEX(기본자료!$K$2:$K$501,$AB146),10000)/100)&lt;=12,MOD(INDEX(기본자료!$K$2:$K$501,$AB146),100)&gt;=1,MOD(INDEX(기본자료!$K$2:$K$501,$AB146),100)&lt;=31),DATE(INT(INDEX(기본자료!$K$2:$K$501,$AB146)/10000),INT(MOD(INDEX(기본자료!$K$2:$K$501,$AB146),10000)/100),MOD(INDEX(기본자료!$K$2:$K$501,$AB146),100)),INDEX(기본자료!$K$2:$K$501,$AB146)&amp;"")))))</f>
        <v/>
      </c>
      <c r="F146" s="10">
        <f>IF($AB146="","",IF(INDEX(기본자료!$D$2:$D$501,$AB146)="","",INDEX(기본자료!$D$2:$D$501,$AB146)))</f>
        <v/>
      </c>
      <c r="G146" s="10">
        <f>IF($AB146="","",IF(INDEX(기본자료!$E$2:$E$501,$AB146)="","",INDEX(기본자료!$E$2:$E$501,$AB146)))</f>
        <v/>
      </c>
      <c r="H146" s="10">
        <f>IF($AB146="","",IF(INDEX(기본자료!$F$2:$F$501,$AB146)="","",INDEX(기본자료!$F$2:$F$501,$AB146)))</f>
        <v/>
      </c>
      <c r="I146" s="11">
        <f>IF($AB146="","",IF(INDEX(기본자료!$G$2:$G$501,$AB146)="","",IF(NOT(ISNUMBER(INDEX(기본자료!$G$2:$G$501,$AB146))),INDEX(기본자료!$G$2:$G$501,$AB146),IF(INDEX(기본자료!$G$2:$G$501,$AB146)&lt;1000000,INDEX(기본자료!$G$2:$G$501,$AB146),IF(AND(INDEX(기본자료!$G$2:$G$501,$AB146)&gt;=10000101,INT(MOD(INDEX(기본자료!$G$2:$G$501,$AB146),10000)/100)&gt;=1,INT(MOD(INDEX(기본자료!$G$2:$G$501,$AB146),10000)/100)&lt;=12,MOD(INDEX(기본자료!$G$2:$G$501,$AB146),100)&gt;=1,MOD(INDEX(기본자료!$G$2:$G$501,$AB146),100)&lt;=31),DATE(INT(INDEX(기본자료!$G$2:$G$501,$AB146)/10000),INT(MOD(INDEX(기본자료!$G$2:$G$501,$AB146),10000)/100),MOD(INDEX(기본자료!$G$2:$G$501,$AB146),100)),INDEX(기본자료!$G$2:$G$501,$AB146)&amp;"")))))</f>
        <v/>
      </c>
      <c r="J146" s="10">
        <f>IF($AB146="","",IF(INDEX(기본자료!$H$2:$H$501,$AB146)="","",INDEX(기본자료!$H$2:$H$501,$AB146)))</f>
        <v/>
      </c>
      <c r="K146" s="10">
        <f>IF($AB146="","",IF(INDEX(기본자료!$I$2:$I$501,$AB146)="","",INDEX(기본자료!$I$2:$I$501,$AB146)))</f>
        <v/>
      </c>
      <c r="L146" s="10">
        <f>IF($AB146="","",IF(INDEX(기본자료!$A$2:$A$501,$AB146)="","",INDEX(기본자료!$A$2:$A$501,$AB146)))</f>
        <v/>
      </c>
      <c r="M146" s="15" t="n"/>
      <c r="N146" s="10">
        <f>IF($B146="","",IF(AND($U146="파견중",$Q146&lt;&gt;""),$Q146,IF(AND($AD146&lt;&gt;"",LEFT($AD146,1)&lt;&gt;"⚠"),LEFT($AD146,FIND(" ",$AD146)-1),IF($H146="","",IF(RIGHT($H146,2)="병원",$H146,$H146&amp;"병원")))))</f>
        <v/>
      </c>
      <c r="O146" s="10">
        <f>IF($B146="","",IF(AND($U146="파견중",$Q146&lt;&gt;""),IF($R146&lt;&gt;"",$R146,"파견과 미입력"),IF(AND($AD146&lt;&gt;"",LEFT($AD146,1)&lt;&gt;"⚠"),MID($AD146,FIND(" ",$AD146)+1,60),IF($F146="","",IF($F146="인턴","수련교육부(인턴)",$F146)))))</f>
        <v/>
      </c>
      <c r="P146" s="10">
        <f>IF($B146="","",IF($AK146&lt;&gt;"",IF(AND(TODAY()&gt;=INDEX(파견수련계획!$AB$4:$AB$203,$AK146),OR(NOT(ISNUMBER(INDEX(파견수련계획!$AC$4:$AC$203,$AK146))),TODAY()&lt;=INDEX(파견수련계획!$AC$4:$AC$203,$AK146))),"다기관",IF($AF146="","",INDEX(파견수련계획!$T$4:$T$203,$AF146))),IF($AF146="","",INDEX(파견수련계획!$T$4:$T$203,$AF146))))</f>
        <v/>
      </c>
      <c r="Q146" s="10">
        <f>IF($AF146="","",INDEX(파견수련계획!$S$4:$S$203,$AF146))</f>
        <v/>
      </c>
      <c r="R146" s="10">
        <f>IF($AF146="","",INDEX(파견수련계획!$U$4:$U$203,$AF146))</f>
        <v/>
      </c>
      <c r="S146" s="11">
        <f>IF($AF146="","",IF(INDEX(파견수련계획!$H$4:$H$203,$AF146)="","",INDEX(파견수련계획!$H$4:$H$203,$AF146)))</f>
        <v/>
      </c>
      <c r="T146" s="11">
        <f>IF($AF146="","",IF(INDEX(파견수련계획!$I$4:$I$203,$AF146)="","",INDEX(파견수련계획!$I$4:$I$203,$AF146)))</f>
        <v/>
      </c>
      <c r="U146" s="10">
        <f>IF($AF146="","",INDEX(파견수련계획!$X$4:$X$203,$AF146))</f>
        <v/>
      </c>
      <c r="V146" s="17">
        <f>IF($AF146="","",INDEX(파견수련계획!$V$4:$V$203,$AF146))</f>
        <v/>
      </c>
      <c r="W146" s="17">
        <f>IF(AND($U146="파견중",$T146&lt;&gt;""),$T146-TODAY(),"")</f>
        <v/>
      </c>
      <c r="X146" s="17">
        <f>IF(OR($B146="",TRIM($J146&amp;"")=""),"",SUMPRODUCT((파견수련계획!$Q$4:$Q$203=TRIM($J146&amp;""))*파견수련계획!$W$4:$W$203))</f>
        <v/>
      </c>
      <c r="Y146" s="10">
        <f>IF($B146="","",IF($AG146="","",IF(IF(TRIM($J146&amp;"")="",0,SUMPRODUCT((파견수련계획!$Q$4:$Q$203=TRIM($J146&amp;""))*파견수련계획!$AD$4:$AD$203))&gt;0,$AE146,IF(N($X146)&lt;=0,$AG146,IF($AH146+$AI146=DAY(EOMONTH(요약!$B$3,0)),IF(AND($AH146&gt;=요약!$E$3,$AI146&lt;요약!$E$3),"서울병원",IF(AND($AI146&gt;=요약!$E$3,$AH146&lt;요약!$E$3),"구리병원","⚠15일 판정불가(서울 "&amp;$AH146&amp;"일/구리 "&amp;$AI146&amp;"일)")),IF($AJ146="",$AE146,IF(INDEX(파견수련계획!$T$4:$T$203,$AJ146)="통합수련",INDEX(파견수련계획!$S$4:$S$203,$AJ146),$AE146)))))))</f>
        <v/>
      </c>
      <c r="Z146" s="19">
        <f>IF($B146="","",IF($AB146="","기본자료에 없는 사번",IF(COUNTIF($B$2:$B$201,$B146)&gt;1,"중복 사번",IF($AE146="","소속(입사장소) 입력",IF(IF(TRIM($J146&amp;"")="",0,SUMPRODUCT((파견수련계획!$Q$4:$Q$203=TRIM($J146&amp;""))*(파견수련계획!$AA$4:$AA$203&lt;&gt;"")))&gt;0,"파견수련계획 입력오류 확인",IF(LEFT($Y146,1)="⚠","서울·구리 15일 판정 불가(양쪽 모두 이상/미만)",IF(IF($AC146="",0,N(INDEX(인턴근무계획!$T$3:$T$202,$AC146)))&gt;0,"인턴계획 입력오류 확인",IF(AND($AC146&lt;&gt;"",$U146&lt;&gt;"파견중",$N146&lt;&gt;$AE146),"인턴 타지역 근무: 파견 여부 확인","정상"))))))))</f>
        <v/>
      </c>
      <c r="AA146" s="5" t="n"/>
      <c r="AB146" s="10">
        <f>IF($B146="","",IFERROR(MATCH($B146,기본자료!$B$2:$B$501,0),IFERROR(MATCH($B146&amp;"",기본자료!$B$2:$B$501,0),IFERROR(MATCH(VALUE($B146),기본자료!$B$2:$B$501,0),""))))</f>
        <v/>
      </c>
      <c r="AC146" s="10">
        <f>IF($B146="","",IFERROR(MATCH($B146,인턴근무계획!$D$3:$D$202,0),IFERROR(MATCH($B146&amp;"",인턴근무계획!$D$3:$D$202,0),IFERROR(MATCH(VALUE($B146),인턴근무계획!$D$3:$D$202,0),""))))</f>
        <v/>
      </c>
      <c r="AD146" s="10">
        <f>IF(OR($AC146="",인턴현황!$G$3=""),"",INDEX(인턴근무계획!$M$3:$R$202,$AC146,인턴현황!$G$3)&amp;"")</f>
        <v/>
      </c>
      <c r="AE146" s="10">
        <f>IF($B146="","",IF($M146&lt;&gt;"",$M146,IF($AF146&lt;&gt;"",IF(LEFT(INDEX(파견수련계획!$R$4:$R$203,$AF146),1)&lt;&gt;"⚠",INDEX(파견수련계획!$R$4:$R$203,$AF146),IF($H146="","",IF(RIGHT($H146,2)="병원",$H146,$H146&amp;"병원"))),IF($H146="","",IF(RIGHT($H146,2)="병원",$H146,$H146&amp;"병원")))))</f>
        <v/>
      </c>
      <c r="AF146" s="10">
        <f>IF(OR($B146="",TRIM($J146&amp;"")=""),"",IFERROR(MATCH(TRIM($J146&amp;"")&amp;"|파견중",파견수련계획!$Y$4:$Y$203,0),IFERROR(MATCH(TRIM($J146&amp;"")&amp;"|파견예정",파견수련계획!$Y$4:$Y$203,0),IFERROR(MATCH(TRIM($J146&amp;"")&amp;"|파견종료",파견수련계획!$Y$4:$Y$203,0),""))))</f>
        <v/>
      </c>
      <c r="AG146" s="10">
        <f>IF($B146="","",IF(AND(IF(OR($AC146="",인턴현황!$K$2=""),"",INDEX(인턴근무계획!$M$3:$R$202,$AC146,인턴현황!$K$2)&amp;"")&lt;&gt;"",LEFT(IF(OR($AC146="",인턴현황!$K$2=""),"",INDEX(인턴근무계획!$M$3:$R$202,$AC146,인턴현황!$K$2)&amp;""),1)&lt;&gt;"⚠"),LEFT(IF(OR($AC146="",인턴현황!$K$2=""),"",INDEX(인턴근무계획!$M$3:$R$202,$AC146,인턴현황!$K$2)&amp;""),FIND(" ",IF(OR($AC146="",인턴현황!$K$2=""),"",INDEX(인턴근무계획!$M$3:$R$202,$AC146,인턴현황!$K$2)&amp;""))-1),$AE146))</f>
        <v/>
      </c>
      <c r="AH146" s="17">
        <f>IF($B146="","",IF(TRIM($J146&amp;"")="",0,SUMPRODUCT((파견수련계획!$Q$4:$Q$203=TRIM($J146&amp;""))*(파견수련계획!$S$4:$S$203="서울병원")*파견수련계획!$W$4:$W$203))+IF($AG146="서울병원",MAX(0,DAY(EOMONTH(요약!$B$3,0))-N($X146)),0))</f>
        <v/>
      </c>
      <c r="AI146" s="17">
        <f>IF($B146="","",IF(TRIM($J146&amp;"")="",0,SUMPRODUCT((파견수련계획!$Q$4:$Q$203=TRIM($J146&amp;""))*(파견수련계획!$S$4:$S$203="구리병원")*파견수련계획!$W$4:$W$203))+IF($AG146="구리병원",MAX(0,DAY(EOMONTH(요약!$B$3,0))-N($X146)),0))</f>
        <v/>
      </c>
      <c r="AJ146" s="10">
        <f>IF(OR($B146="",TRIM($J146&amp;"")=""),"",IFERROR(MATCH(TRIM($J146&amp;"")&amp;"|월",파견수련계획!$Z$4:$Z$203,0),""))</f>
        <v/>
      </c>
      <c r="AK146" s="10">
        <f>IF(OR($B146="",TRIM($J146&amp;"")=""),"",IFERROR(MATCH(TRIM($J146&amp;"")&amp;"|다기관",파견수련계획!$AE$4:$AE$203,0),""))</f>
        <v/>
      </c>
      <c r="AL146" s="10">
        <f>IF($AK146="","","다기관 "&amp;TEXT(INDEX(파견수련계획!$AB$4:$AB$203,$AK146),"yyyy-mm-dd")&amp;"~"&amp;IF(ISNUMBER(INDEX(파견수련계획!$AC$4:$AC$203,$AK146)),TEXT(INDEX(파견수련계획!$AC$4:$AC$203,$AK146),"yyyy-mm-dd"),""))</f>
        <v/>
      </c>
    </row>
    <row r="147">
      <c r="A147" s="10">
        <f>IF(B147="","",ROW()-1)</f>
        <v/>
      </c>
      <c r="B147" s="18" t="n"/>
      <c r="C147" s="10">
        <f>IF($AB147="","",IF(INDEX(기본자료!$C$2:$C$501,$AB147)="","",INDEX(기본자료!$C$2:$C$501,$AB147)))</f>
        <v/>
      </c>
      <c r="D147" s="10">
        <f>IF($AB147="","",IF(INDEX(기본자료!$J$2:$J$501,$AB147)="","",INDEX(기본자료!$J$2:$J$501,$AB147)))</f>
        <v/>
      </c>
      <c r="E147" s="11">
        <f>IF($AB147="","",IF(INDEX(기본자료!$K$2:$K$501,$AB147)="","",IF(NOT(ISNUMBER(INDEX(기본자료!$K$2:$K$501,$AB147))),INDEX(기본자료!$K$2:$K$501,$AB147),IF(INDEX(기본자료!$K$2:$K$501,$AB147)&lt;1000000,INDEX(기본자료!$K$2:$K$501,$AB147),IF(AND(INDEX(기본자료!$K$2:$K$501,$AB147)&gt;=10000101,INT(MOD(INDEX(기본자료!$K$2:$K$501,$AB147),10000)/100)&gt;=1,INT(MOD(INDEX(기본자료!$K$2:$K$501,$AB147),10000)/100)&lt;=12,MOD(INDEX(기본자료!$K$2:$K$501,$AB147),100)&gt;=1,MOD(INDEX(기본자료!$K$2:$K$501,$AB147),100)&lt;=31),DATE(INT(INDEX(기본자료!$K$2:$K$501,$AB147)/10000),INT(MOD(INDEX(기본자료!$K$2:$K$501,$AB147),10000)/100),MOD(INDEX(기본자료!$K$2:$K$501,$AB147),100)),INDEX(기본자료!$K$2:$K$501,$AB147)&amp;"")))))</f>
        <v/>
      </c>
      <c r="F147" s="10">
        <f>IF($AB147="","",IF(INDEX(기본자료!$D$2:$D$501,$AB147)="","",INDEX(기본자료!$D$2:$D$501,$AB147)))</f>
        <v/>
      </c>
      <c r="G147" s="10">
        <f>IF($AB147="","",IF(INDEX(기본자료!$E$2:$E$501,$AB147)="","",INDEX(기본자료!$E$2:$E$501,$AB147)))</f>
        <v/>
      </c>
      <c r="H147" s="10">
        <f>IF($AB147="","",IF(INDEX(기본자료!$F$2:$F$501,$AB147)="","",INDEX(기본자료!$F$2:$F$501,$AB147)))</f>
        <v/>
      </c>
      <c r="I147" s="11">
        <f>IF($AB147="","",IF(INDEX(기본자료!$G$2:$G$501,$AB147)="","",IF(NOT(ISNUMBER(INDEX(기본자료!$G$2:$G$501,$AB147))),INDEX(기본자료!$G$2:$G$501,$AB147),IF(INDEX(기본자료!$G$2:$G$501,$AB147)&lt;1000000,INDEX(기본자료!$G$2:$G$501,$AB147),IF(AND(INDEX(기본자료!$G$2:$G$501,$AB147)&gt;=10000101,INT(MOD(INDEX(기본자료!$G$2:$G$501,$AB147),10000)/100)&gt;=1,INT(MOD(INDEX(기본자료!$G$2:$G$501,$AB147),10000)/100)&lt;=12,MOD(INDEX(기본자료!$G$2:$G$501,$AB147),100)&gt;=1,MOD(INDEX(기본자료!$G$2:$G$501,$AB147),100)&lt;=31),DATE(INT(INDEX(기본자료!$G$2:$G$501,$AB147)/10000),INT(MOD(INDEX(기본자료!$G$2:$G$501,$AB147),10000)/100),MOD(INDEX(기본자료!$G$2:$G$501,$AB147),100)),INDEX(기본자료!$G$2:$G$501,$AB147)&amp;"")))))</f>
        <v/>
      </c>
      <c r="J147" s="10">
        <f>IF($AB147="","",IF(INDEX(기본자료!$H$2:$H$501,$AB147)="","",INDEX(기본자료!$H$2:$H$501,$AB147)))</f>
        <v/>
      </c>
      <c r="K147" s="10">
        <f>IF($AB147="","",IF(INDEX(기본자료!$I$2:$I$501,$AB147)="","",INDEX(기본자료!$I$2:$I$501,$AB147)))</f>
        <v/>
      </c>
      <c r="L147" s="10">
        <f>IF($AB147="","",IF(INDEX(기본자료!$A$2:$A$501,$AB147)="","",INDEX(기본자료!$A$2:$A$501,$AB147)))</f>
        <v/>
      </c>
      <c r="M147" s="15" t="n"/>
      <c r="N147" s="10">
        <f>IF($B147="","",IF(AND($U147="파견중",$Q147&lt;&gt;""),$Q147,IF(AND($AD147&lt;&gt;"",LEFT($AD147,1)&lt;&gt;"⚠"),LEFT($AD147,FIND(" ",$AD147)-1),IF($H147="","",IF(RIGHT($H147,2)="병원",$H147,$H147&amp;"병원")))))</f>
        <v/>
      </c>
      <c r="O147" s="10">
        <f>IF($B147="","",IF(AND($U147="파견중",$Q147&lt;&gt;""),IF($R147&lt;&gt;"",$R147,"파견과 미입력"),IF(AND($AD147&lt;&gt;"",LEFT($AD147,1)&lt;&gt;"⚠"),MID($AD147,FIND(" ",$AD147)+1,60),IF($F147="","",IF($F147="인턴","수련교육부(인턴)",$F147)))))</f>
        <v/>
      </c>
      <c r="P147" s="10">
        <f>IF($B147="","",IF($AK147&lt;&gt;"",IF(AND(TODAY()&gt;=INDEX(파견수련계획!$AB$4:$AB$203,$AK147),OR(NOT(ISNUMBER(INDEX(파견수련계획!$AC$4:$AC$203,$AK147))),TODAY()&lt;=INDEX(파견수련계획!$AC$4:$AC$203,$AK147))),"다기관",IF($AF147="","",INDEX(파견수련계획!$T$4:$T$203,$AF147))),IF($AF147="","",INDEX(파견수련계획!$T$4:$T$203,$AF147))))</f>
        <v/>
      </c>
      <c r="Q147" s="10">
        <f>IF($AF147="","",INDEX(파견수련계획!$S$4:$S$203,$AF147))</f>
        <v/>
      </c>
      <c r="R147" s="10">
        <f>IF($AF147="","",INDEX(파견수련계획!$U$4:$U$203,$AF147))</f>
        <v/>
      </c>
      <c r="S147" s="11">
        <f>IF($AF147="","",IF(INDEX(파견수련계획!$H$4:$H$203,$AF147)="","",INDEX(파견수련계획!$H$4:$H$203,$AF147)))</f>
        <v/>
      </c>
      <c r="T147" s="11">
        <f>IF($AF147="","",IF(INDEX(파견수련계획!$I$4:$I$203,$AF147)="","",INDEX(파견수련계획!$I$4:$I$203,$AF147)))</f>
        <v/>
      </c>
      <c r="U147" s="10">
        <f>IF($AF147="","",INDEX(파견수련계획!$X$4:$X$203,$AF147))</f>
        <v/>
      </c>
      <c r="V147" s="17">
        <f>IF($AF147="","",INDEX(파견수련계획!$V$4:$V$203,$AF147))</f>
        <v/>
      </c>
      <c r="W147" s="17">
        <f>IF(AND($U147="파견중",$T147&lt;&gt;""),$T147-TODAY(),"")</f>
        <v/>
      </c>
      <c r="X147" s="17">
        <f>IF(OR($B147="",TRIM($J147&amp;"")=""),"",SUMPRODUCT((파견수련계획!$Q$4:$Q$203=TRIM($J147&amp;""))*파견수련계획!$W$4:$W$203))</f>
        <v/>
      </c>
      <c r="Y147" s="10">
        <f>IF($B147="","",IF($AG147="","",IF(IF(TRIM($J147&amp;"")="",0,SUMPRODUCT((파견수련계획!$Q$4:$Q$203=TRIM($J147&amp;""))*파견수련계획!$AD$4:$AD$203))&gt;0,$AE147,IF(N($X147)&lt;=0,$AG147,IF($AH147+$AI147=DAY(EOMONTH(요약!$B$3,0)),IF(AND($AH147&gt;=요약!$E$3,$AI147&lt;요약!$E$3),"서울병원",IF(AND($AI147&gt;=요약!$E$3,$AH147&lt;요약!$E$3),"구리병원","⚠15일 판정불가(서울 "&amp;$AH147&amp;"일/구리 "&amp;$AI147&amp;"일)")),IF($AJ147="",$AE147,IF(INDEX(파견수련계획!$T$4:$T$203,$AJ147)="통합수련",INDEX(파견수련계획!$S$4:$S$203,$AJ147),$AE147)))))))</f>
        <v/>
      </c>
      <c r="Z147" s="19">
        <f>IF($B147="","",IF($AB147="","기본자료에 없는 사번",IF(COUNTIF($B$2:$B$201,$B147)&gt;1,"중복 사번",IF($AE147="","소속(입사장소) 입력",IF(IF(TRIM($J147&amp;"")="",0,SUMPRODUCT((파견수련계획!$Q$4:$Q$203=TRIM($J147&amp;""))*(파견수련계획!$AA$4:$AA$203&lt;&gt;"")))&gt;0,"파견수련계획 입력오류 확인",IF(LEFT($Y147,1)="⚠","서울·구리 15일 판정 불가(양쪽 모두 이상/미만)",IF(IF($AC147="",0,N(INDEX(인턴근무계획!$T$3:$T$202,$AC147)))&gt;0,"인턴계획 입력오류 확인",IF(AND($AC147&lt;&gt;"",$U147&lt;&gt;"파견중",$N147&lt;&gt;$AE147),"인턴 타지역 근무: 파견 여부 확인","정상"))))))))</f>
        <v/>
      </c>
      <c r="AA147" s="5" t="n"/>
      <c r="AB147" s="10">
        <f>IF($B147="","",IFERROR(MATCH($B147,기본자료!$B$2:$B$501,0),IFERROR(MATCH($B147&amp;"",기본자료!$B$2:$B$501,0),IFERROR(MATCH(VALUE($B147),기본자료!$B$2:$B$501,0),""))))</f>
        <v/>
      </c>
      <c r="AC147" s="10">
        <f>IF($B147="","",IFERROR(MATCH($B147,인턴근무계획!$D$3:$D$202,0),IFERROR(MATCH($B147&amp;"",인턴근무계획!$D$3:$D$202,0),IFERROR(MATCH(VALUE($B147),인턴근무계획!$D$3:$D$202,0),""))))</f>
        <v/>
      </c>
      <c r="AD147" s="10">
        <f>IF(OR($AC147="",인턴현황!$G$3=""),"",INDEX(인턴근무계획!$M$3:$R$202,$AC147,인턴현황!$G$3)&amp;"")</f>
        <v/>
      </c>
      <c r="AE147" s="10">
        <f>IF($B147="","",IF($M147&lt;&gt;"",$M147,IF($AF147&lt;&gt;"",IF(LEFT(INDEX(파견수련계획!$R$4:$R$203,$AF147),1)&lt;&gt;"⚠",INDEX(파견수련계획!$R$4:$R$203,$AF147),IF($H147="","",IF(RIGHT($H147,2)="병원",$H147,$H147&amp;"병원"))),IF($H147="","",IF(RIGHT($H147,2)="병원",$H147,$H147&amp;"병원")))))</f>
        <v/>
      </c>
      <c r="AF147" s="10">
        <f>IF(OR($B147="",TRIM($J147&amp;"")=""),"",IFERROR(MATCH(TRIM($J147&amp;"")&amp;"|파견중",파견수련계획!$Y$4:$Y$203,0),IFERROR(MATCH(TRIM($J147&amp;"")&amp;"|파견예정",파견수련계획!$Y$4:$Y$203,0),IFERROR(MATCH(TRIM($J147&amp;"")&amp;"|파견종료",파견수련계획!$Y$4:$Y$203,0),""))))</f>
        <v/>
      </c>
      <c r="AG147" s="10">
        <f>IF($B147="","",IF(AND(IF(OR($AC147="",인턴현황!$K$2=""),"",INDEX(인턴근무계획!$M$3:$R$202,$AC147,인턴현황!$K$2)&amp;"")&lt;&gt;"",LEFT(IF(OR($AC147="",인턴현황!$K$2=""),"",INDEX(인턴근무계획!$M$3:$R$202,$AC147,인턴현황!$K$2)&amp;""),1)&lt;&gt;"⚠"),LEFT(IF(OR($AC147="",인턴현황!$K$2=""),"",INDEX(인턴근무계획!$M$3:$R$202,$AC147,인턴현황!$K$2)&amp;""),FIND(" ",IF(OR($AC147="",인턴현황!$K$2=""),"",INDEX(인턴근무계획!$M$3:$R$202,$AC147,인턴현황!$K$2)&amp;""))-1),$AE147))</f>
        <v/>
      </c>
      <c r="AH147" s="17">
        <f>IF($B147="","",IF(TRIM($J147&amp;"")="",0,SUMPRODUCT((파견수련계획!$Q$4:$Q$203=TRIM($J147&amp;""))*(파견수련계획!$S$4:$S$203="서울병원")*파견수련계획!$W$4:$W$203))+IF($AG147="서울병원",MAX(0,DAY(EOMONTH(요약!$B$3,0))-N($X147)),0))</f>
        <v/>
      </c>
      <c r="AI147" s="17">
        <f>IF($B147="","",IF(TRIM($J147&amp;"")="",0,SUMPRODUCT((파견수련계획!$Q$4:$Q$203=TRIM($J147&amp;""))*(파견수련계획!$S$4:$S$203="구리병원")*파견수련계획!$W$4:$W$203))+IF($AG147="구리병원",MAX(0,DAY(EOMONTH(요약!$B$3,0))-N($X147)),0))</f>
        <v/>
      </c>
      <c r="AJ147" s="10">
        <f>IF(OR($B147="",TRIM($J147&amp;"")=""),"",IFERROR(MATCH(TRIM($J147&amp;"")&amp;"|월",파견수련계획!$Z$4:$Z$203,0),""))</f>
        <v/>
      </c>
      <c r="AK147" s="10">
        <f>IF(OR($B147="",TRIM($J147&amp;"")=""),"",IFERROR(MATCH(TRIM($J147&amp;"")&amp;"|다기관",파견수련계획!$AE$4:$AE$203,0),""))</f>
        <v/>
      </c>
      <c r="AL147" s="10">
        <f>IF($AK147="","","다기관 "&amp;TEXT(INDEX(파견수련계획!$AB$4:$AB$203,$AK147),"yyyy-mm-dd")&amp;"~"&amp;IF(ISNUMBER(INDEX(파견수련계획!$AC$4:$AC$203,$AK147)),TEXT(INDEX(파견수련계획!$AC$4:$AC$203,$AK147),"yyyy-mm-dd"),""))</f>
        <v/>
      </c>
    </row>
    <row r="148">
      <c r="A148" s="10">
        <f>IF(B148="","",ROW()-1)</f>
        <v/>
      </c>
      <c r="B148" s="18" t="n"/>
      <c r="C148" s="10">
        <f>IF($AB148="","",IF(INDEX(기본자료!$C$2:$C$501,$AB148)="","",INDEX(기본자료!$C$2:$C$501,$AB148)))</f>
        <v/>
      </c>
      <c r="D148" s="10">
        <f>IF($AB148="","",IF(INDEX(기본자료!$J$2:$J$501,$AB148)="","",INDEX(기본자료!$J$2:$J$501,$AB148)))</f>
        <v/>
      </c>
      <c r="E148" s="11">
        <f>IF($AB148="","",IF(INDEX(기본자료!$K$2:$K$501,$AB148)="","",IF(NOT(ISNUMBER(INDEX(기본자료!$K$2:$K$501,$AB148))),INDEX(기본자료!$K$2:$K$501,$AB148),IF(INDEX(기본자료!$K$2:$K$501,$AB148)&lt;1000000,INDEX(기본자료!$K$2:$K$501,$AB148),IF(AND(INDEX(기본자료!$K$2:$K$501,$AB148)&gt;=10000101,INT(MOD(INDEX(기본자료!$K$2:$K$501,$AB148),10000)/100)&gt;=1,INT(MOD(INDEX(기본자료!$K$2:$K$501,$AB148),10000)/100)&lt;=12,MOD(INDEX(기본자료!$K$2:$K$501,$AB148),100)&gt;=1,MOD(INDEX(기본자료!$K$2:$K$501,$AB148),100)&lt;=31),DATE(INT(INDEX(기본자료!$K$2:$K$501,$AB148)/10000),INT(MOD(INDEX(기본자료!$K$2:$K$501,$AB148),10000)/100),MOD(INDEX(기본자료!$K$2:$K$501,$AB148),100)),INDEX(기본자료!$K$2:$K$501,$AB148)&amp;"")))))</f>
        <v/>
      </c>
      <c r="F148" s="10">
        <f>IF($AB148="","",IF(INDEX(기본자료!$D$2:$D$501,$AB148)="","",INDEX(기본자료!$D$2:$D$501,$AB148)))</f>
        <v/>
      </c>
      <c r="G148" s="10">
        <f>IF($AB148="","",IF(INDEX(기본자료!$E$2:$E$501,$AB148)="","",INDEX(기본자료!$E$2:$E$501,$AB148)))</f>
        <v/>
      </c>
      <c r="H148" s="10">
        <f>IF($AB148="","",IF(INDEX(기본자료!$F$2:$F$501,$AB148)="","",INDEX(기본자료!$F$2:$F$501,$AB148)))</f>
        <v/>
      </c>
      <c r="I148" s="11">
        <f>IF($AB148="","",IF(INDEX(기본자료!$G$2:$G$501,$AB148)="","",IF(NOT(ISNUMBER(INDEX(기본자료!$G$2:$G$501,$AB148))),INDEX(기본자료!$G$2:$G$501,$AB148),IF(INDEX(기본자료!$G$2:$G$501,$AB148)&lt;1000000,INDEX(기본자료!$G$2:$G$501,$AB148),IF(AND(INDEX(기본자료!$G$2:$G$501,$AB148)&gt;=10000101,INT(MOD(INDEX(기본자료!$G$2:$G$501,$AB148),10000)/100)&gt;=1,INT(MOD(INDEX(기본자료!$G$2:$G$501,$AB148),10000)/100)&lt;=12,MOD(INDEX(기본자료!$G$2:$G$501,$AB148),100)&gt;=1,MOD(INDEX(기본자료!$G$2:$G$501,$AB148),100)&lt;=31),DATE(INT(INDEX(기본자료!$G$2:$G$501,$AB148)/10000),INT(MOD(INDEX(기본자료!$G$2:$G$501,$AB148),10000)/100),MOD(INDEX(기본자료!$G$2:$G$501,$AB148),100)),INDEX(기본자료!$G$2:$G$501,$AB148)&amp;"")))))</f>
        <v/>
      </c>
      <c r="J148" s="10">
        <f>IF($AB148="","",IF(INDEX(기본자료!$H$2:$H$501,$AB148)="","",INDEX(기본자료!$H$2:$H$501,$AB148)))</f>
        <v/>
      </c>
      <c r="K148" s="10">
        <f>IF($AB148="","",IF(INDEX(기본자료!$I$2:$I$501,$AB148)="","",INDEX(기본자료!$I$2:$I$501,$AB148)))</f>
        <v/>
      </c>
      <c r="L148" s="10">
        <f>IF($AB148="","",IF(INDEX(기본자료!$A$2:$A$501,$AB148)="","",INDEX(기본자료!$A$2:$A$501,$AB148)))</f>
        <v/>
      </c>
      <c r="M148" s="15" t="n"/>
      <c r="N148" s="10">
        <f>IF($B148="","",IF(AND($U148="파견중",$Q148&lt;&gt;""),$Q148,IF(AND($AD148&lt;&gt;"",LEFT($AD148,1)&lt;&gt;"⚠"),LEFT($AD148,FIND(" ",$AD148)-1),IF($H148="","",IF(RIGHT($H148,2)="병원",$H148,$H148&amp;"병원")))))</f>
        <v/>
      </c>
      <c r="O148" s="10">
        <f>IF($B148="","",IF(AND($U148="파견중",$Q148&lt;&gt;""),IF($R148&lt;&gt;"",$R148,"파견과 미입력"),IF(AND($AD148&lt;&gt;"",LEFT($AD148,1)&lt;&gt;"⚠"),MID($AD148,FIND(" ",$AD148)+1,60),IF($F148="","",IF($F148="인턴","수련교육부(인턴)",$F148)))))</f>
        <v/>
      </c>
      <c r="P148" s="10">
        <f>IF($B148="","",IF($AK148&lt;&gt;"",IF(AND(TODAY()&gt;=INDEX(파견수련계획!$AB$4:$AB$203,$AK148),OR(NOT(ISNUMBER(INDEX(파견수련계획!$AC$4:$AC$203,$AK148))),TODAY()&lt;=INDEX(파견수련계획!$AC$4:$AC$203,$AK148))),"다기관",IF($AF148="","",INDEX(파견수련계획!$T$4:$T$203,$AF148))),IF($AF148="","",INDEX(파견수련계획!$T$4:$T$203,$AF148))))</f>
        <v/>
      </c>
      <c r="Q148" s="10">
        <f>IF($AF148="","",INDEX(파견수련계획!$S$4:$S$203,$AF148))</f>
        <v/>
      </c>
      <c r="R148" s="10">
        <f>IF($AF148="","",INDEX(파견수련계획!$U$4:$U$203,$AF148))</f>
        <v/>
      </c>
      <c r="S148" s="11">
        <f>IF($AF148="","",IF(INDEX(파견수련계획!$H$4:$H$203,$AF148)="","",INDEX(파견수련계획!$H$4:$H$203,$AF148)))</f>
        <v/>
      </c>
      <c r="T148" s="11">
        <f>IF($AF148="","",IF(INDEX(파견수련계획!$I$4:$I$203,$AF148)="","",INDEX(파견수련계획!$I$4:$I$203,$AF148)))</f>
        <v/>
      </c>
      <c r="U148" s="10">
        <f>IF($AF148="","",INDEX(파견수련계획!$X$4:$X$203,$AF148))</f>
        <v/>
      </c>
      <c r="V148" s="17">
        <f>IF($AF148="","",INDEX(파견수련계획!$V$4:$V$203,$AF148))</f>
        <v/>
      </c>
      <c r="W148" s="17">
        <f>IF(AND($U148="파견중",$T148&lt;&gt;""),$T148-TODAY(),"")</f>
        <v/>
      </c>
      <c r="X148" s="17">
        <f>IF(OR($B148="",TRIM($J148&amp;"")=""),"",SUMPRODUCT((파견수련계획!$Q$4:$Q$203=TRIM($J148&amp;""))*파견수련계획!$W$4:$W$203))</f>
        <v/>
      </c>
      <c r="Y148" s="10">
        <f>IF($B148="","",IF($AG148="","",IF(IF(TRIM($J148&amp;"")="",0,SUMPRODUCT((파견수련계획!$Q$4:$Q$203=TRIM($J148&amp;""))*파견수련계획!$AD$4:$AD$203))&gt;0,$AE148,IF(N($X148)&lt;=0,$AG148,IF($AH148+$AI148=DAY(EOMONTH(요약!$B$3,0)),IF(AND($AH148&gt;=요약!$E$3,$AI148&lt;요약!$E$3),"서울병원",IF(AND($AI148&gt;=요약!$E$3,$AH148&lt;요약!$E$3),"구리병원","⚠15일 판정불가(서울 "&amp;$AH148&amp;"일/구리 "&amp;$AI148&amp;"일)")),IF($AJ148="",$AE148,IF(INDEX(파견수련계획!$T$4:$T$203,$AJ148)="통합수련",INDEX(파견수련계획!$S$4:$S$203,$AJ148),$AE148)))))))</f>
        <v/>
      </c>
      <c r="Z148" s="19">
        <f>IF($B148="","",IF($AB148="","기본자료에 없는 사번",IF(COUNTIF($B$2:$B$201,$B148)&gt;1,"중복 사번",IF($AE148="","소속(입사장소) 입력",IF(IF(TRIM($J148&amp;"")="",0,SUMPRODUCT((파견수련계획!$Q$4:$Q$203=TRIM($J148&amp;""))*(파견수련계획!$AA$4:$AA$203&lt;&gt;"")))&gt;0,"파견수련계획 입력오류 확인",IF(LEFT($Y148,1)="⚠","서울·구리 15일 판정 불가(양쪽 모두 이상/미만)",IF(IF($AC148="",0,N(INDEX(인턴근무계획!$T$3:$T$202,$AC148)))&gt;0,"인턴계획 입력오류 확인",IF(AND($AC148&lt;&gt;"",$U148&lt;&gt;"파견중",$N148&lt;&gt;$AE148),"인턴 타지역 근무: 파견 여부 확인","정상"))))))))</f>
        <v/>
      </c>
      <c r="AA148" s="5" t="n"/>
      <c r="AB148" s="10">
        <f>IF($B148="","",IFERROR(MATCH($B148,기본자료!$B$2:$B$501,0),IFERROR(MATCH($B148&amp;"",기본자료!$B$2:$B$501,0),IFERROR(MATCH(VALUE($B148),기본자료!$B$2:$B$501,0),""))))</f>
        <v/>
      </c>
      <c r="AC148" s="10">
        <f>IF($B148="","",IFERROR(MATCH($B148,인턴근무계획!$D$3:$D$202,0),IFERROR(MATCH($B148&amp;"",인턴근무계획!$D$3:$D$202,0),IFERROR(MATCH(VALUE($B148),인턴근무계획!$D$3:$D$202,0),""))))</f>
        <v/>
      </c>
      <c r="AD148" s="10">
        <f>IF(OR($AC148="",인턴현황!$G$3=""),"",INDEX(인턴근무계획!$M$3:$R$202,$AC148,인턴현황!$G$3)&amp;"")</f>
        <v/>
      </c>
      <c r="AE148" s="10">
        <f>IF($B148="","",IF($M148&lt;&gt;"",$M148,IF($AF148&lt;&gt;"",IF(LEFT(INDEX(파견수련계획!$R$4:$R$203,$AF148),1)&lt;&gt;"⚠",INDEX(파견수련계획!$R$4:$R$203,$AF148),IF($H148="","",IF(RIGHT($H148,2)="병원",$H148,$H148&amp;"병원"))),IF($H148="","",IF(RIGHT($H148,2)="병원",$H148,$H148&amp;"병원")))))</f>
        <v/>
      </c>
      <c r="AF148" s="10">
        <f>IF(OR($B148="",TRIM($J148&amp;"")=""),"",IFERROR(MATCH(TRIM($J148&amp;"")&amp;"|파견중",파견수련계획!$Y$4:$Y$203,0),IFERROR(MATCH(TRIM($J148&amp;"")&amp;"|파견예정",파견수련계획!$Y$4:$Y$203,0),IFERROR(MATCH(TRIM($J148&amp;"")&amp;"|파견종료",파견수련계획!$Y$4:$Y$203,0),""))))</f>
        <v/>
      </c>
      <c r="AG148" s="10">
        <f>IF($B148="","",IF(AND(IF(OR($AC148="",인턴현황!$K$2=""),"",INDEX(인턴근무계획!$M$3:$R$202,$AC148,인턴현황!$K$2)&amp;"")&lt;&gt;"",LEFT(IF(OR($AC148="",인턴현황!$K$2=""),"",INDEX(인턴근무계획!$M$3:$R$202,$AC148,인턴현황!$K$2)&amp;""),1)&lt;&gt;"⚠"),LEFT(IF(OR($AC148="",인턴현황!$K$2=""),"",INDEX(인턴근무계획!$M$3:$R$202,$AC148,인턴현황!$K$2)&amp;""),FIND(" ",IF(OR($AC148="",인턴현황!$K$2=""),"",INDEX(인턴근무계획!$M$3:$R$202,$AC148,인턴현황!$K$2)&amp;""))-1),$AE148))</f>
        <v/>
      </c>
      <c r="AH148" s="17">
        <f>IF($B148="","",IF(TRIM($J148&amp;"")="",0,SUMPRODUCT((파견수련계획!$Q$4:$Q$203=TRIM($J148&amp;""))*(파견수련계획!$S$4:$S$203="서울병원")*파견수련계획!$W$4:$W$203))+IF($AG148="서울병원",MAX(0,DAY(EOMONTH(요약!$B$3,0))-N($X148)),0))</f>
        <v/>
      </c>
      <c r="AI148" s="17">
        <f>IF($B148="","",IF(TRIM($J148&amp;"")="",0,SUMPRODUCT((파견수련계획!$Q$4:$Q$203=TRIM($J148&amp;""))*(파견수련계획!$S$4:$S$203="구리병원")*파견수련계획!$W$4:$W$203))+IF($AG148="구리병원",MAX(0,DAY(EOMONTH(요약!$B$3,0))-N($X148)),0))</f>
        <v/>
      </c>
      <c r="AJ148" s="10">
        <f>IF(OR($B148="",TRIM($J148&amp;"")=""),"",IFERROR(MATCH(TRIM($J148&amp;"")&amp;"|월",파견수련계획!$Z$4:$Z$203,0),""))</f>
        <v/>
      </c>
      <c r="AK148" s="10">
        <f>IF(OR($B148="",TRIM($J148&amp;"")=""),"",IFERROR(MATCH(TRIM($J148&amp;"")&amp;"|다기관",파견수련계획!$AE$4:$AE$203,0),""))</f>
        <v/>
      </c>
      <c r="AL148" s="10">
        <f>IF($AK148="","","다기관 "&amp;TEXT(INDEX(파견수련계획!$AB$4:$AB$203,$AK148),"yyyy-mm-dd")&amp;"~"&amp;IF(ISNUMBER(INDEX(파견수련계획!$AC$4:$AC$203,$AK148)),TEXT(INDEX(파견수련계획!$AC$4:$AC$203,$AK148),"yyyy-mm-dd"),""))</f>
        <v/>
      </c>
    </row>
    <row r="149">
      <c r="A149" s="10">
        <f>IF(B149="","",ROW()-1)</f>
        <v/>
      </c>
      <c r="B149" s="18" t="n"/>
      <c r="C149" s="10">
        <f>IF($AB149="","",IF(INDEX(기본자료!$C$2:$C$501,$AB149)="","",INDEX(기본자료!$C$2:$C$501,$AB149)))</f>
        <v/>
      </c>
      <c r="D149" s="10">
        <f>IF($AB149="","",IF(INDEX(기본자료!$J$2:$J$501,$AB149)="","",INDEX(기본자료!$J$2:$J$501,$AB149)))</f>
        <v/>
      </c>
      <c r="E149" s="11">
        <f>IF($AB149="","",IF(INDEX(기본자료!$K$2:$K$501,$AB149)="","",IF(NOT(ISNUMBER(INDEX(기본자료!$K$2:$K$501,$AB149))),INDEX(기본자료!$K$2:$K$501,$AB149),IF(INDEX(기본자료!$K$2:$K$501,$AB149)&lt;1000000,INDEX(기본자료!$K$2:$K$501,$AB149),IF(AND(INDEX(기본자료!$K$2:$K$501,$AB149)&gt;=10000101,INT(MOD(INDEX(기본자료!$K$2:$K$501,$AB149),10000)/100)&gt;=1,INT(MOD(INDEX(기본자료!$K$2:$K$501,$AB149),10000)/100)&lt;=12,MOD(INDEX(기본자료!$K$2:$K$501,$AB149),100)&gt;=1,MOD(INDEX(기본자료!$K$2:$K$501,$AB149),100)&lt;=31),DATE(INT(INDEX(기본자료!$K$2:$K$501,$AB149)/10000),INT(MOD(INDEX(기본자료!$K$2:$K$501,$AB149),10000)/100),MOD(INDEX(기본자료!$K$2:$K$501,$AB149),100)),INDEX(기본자료!$K$2:$K$501,$AB149)&amp;"")))))</f>
        <v/>
      </c>
      <c r="F149" s="10">
        <f>IF($AB149="","",IF(INDEX(기본자료!$D$2:$D$501,$AB149)="","",INDEX(기본자료!$D$2:$D$501,$AB149)))</f>
        <v/>
      </c>
      <c r="G149" s="10">
        <f>IF($AB149="","",IF(INDEX(기본자료!$E$2:$E$501,$AB149)="","",INDEX(기본자료!$E$2:$E$501,$AB149)))</f>
        <v/>
      </c>
      <c r="H149" s="10">
        <f>IF($AB149="","",IF(INDEX(기본자료!$F$2:$F$501,$AB149)="","",INDEX(기본자료!$F$2:$F$501,$AB149)))</f>
        <v/>
      </c>
      <c r="I149" s="11">
        <f>IF($AB149="","",IF(INDEX(기본자료!$G$2:$G$501,$AB149)="","",IF(NOT(ISNUMBER(INDEX(기본자료!$G$2:$G$501,$AB149))),INDEX(기본자료!$G$2:$G$501,$AB149),IF(INDEX(기본자료!$G$2:$G$501,$AB149)&lt;1000000,INDEX(기본자료!$G$2:$G$501,$AB149),IF(AND(INDEX(기본자료!$G$2:$G$501,$AB149)&gt;=10000101,INT(MOD(INDEX(기본자료!$G$2:$G$501,$AB149),10000)/100)&gt;=1,INT(MOD(INDEX(기본자료!$G$2:$G$501,$AB149),10000)/100)&lt;=12,MOD(INDEX(기본자료!$G$2:$G$501,$AB149),100)&gt;=1,MOD(INDEX(기본자료!$G$2:$G$501,$AB149),100)&lt;=31),DATE(INT(INDEX(기본자료!$G$2:$G$501,$AB149)/10000),INT(MOD(INDEX(기본자료!$G$2:$G$501,$AB149),10000)/100),MOD(INDEX(기본자료!$G$2:$G$501,$AB149),100)),INDEX(기본자료!$G$2:$G$501,$AB149)&amp;"")))))</f>
        <v/>
      </c>
      <c r="J149" s="10">
        <f>IF($AB149="","",IF(INDEX(기본자료!$H$2:$H$501,$AB149)="","",INDEX(기본자료!$H$2:$H$501,$AB149)))</f>
        <v/>
      </c>
      <c r="K149" s="10">
        <f>IF($AB149="","",IF(INDEX(기본자료!$I$2:$I$501,$AB149)="","",INDEX(기본자료!$I$2:$I$501,$AB149)))</f>
        <v/>
      </c>
      <c r="L149" s="10">
        <f>IF($AB149="","",IF(INDEX(기본자료!$A$2:$A$501,$AB149)="","",INDEX(기본자료!$A$2:$A$501,$AB149)))</f>
        <v/>
      </c>
      <c r="M149" s="15" t="n"/>
      <c r="N149" s="10">
        <f>IF($B149="","",IF(AND($U149="파견중",$Q149&lt;&gt;""),$Q149,IF(AND($AD149&lt;&gt;"",LEFT($AD149,1)&lt;&gt;"⚠"),LEFT($AD149,FIND(" ",$AD149)-1),IF($H149="","",IF(RIGHT($H149,2)="병원",$H149,$H149&amp;"병원")))))</f>
        <v/>
      </c>
      <c r="O149" s="10">
        <f>IF($B149="","",IF(AND($U149="파견중",$Q149&lt;&gt;""),IF($R149&lt;&gt;"",$R149,"파견과 미입력"),IF(AND($AD149&lt;&gt;"",LEFT($AD149,1)&lt;&gt;"⚠"),MID($AD149,FIND(" ",$AD149)+1,60),IF($F149="","",IF($F149="인턴","수련교육부(인턴)",$F149)))))</f>
        <v/>
      </c>
      <c r="P149" s="10">
        <f>IF($B149="","",IF($AK149&lt;&gt;"",IF(AND(TODAY()&gt;=INDEX(파견수련계획!$AB$4:$AB$203,$AK149),OR(NOT(ISNUMBER(INDEX(파견수련계획!$AC$4:$AC$203,$AK149))),TODAY()&lt;=INDEX(파견수련계획!$AC$4:$AC$203,$AK149))),"다기관",IF($AF149="","",INDEX(파견수련계획!$T$4:$T$203,$AF149))),IF($AF149="","",INDEX(파견수련계획!$T$4:$T$203,$AF149))))</f>
        <v/>
      </c>
      <c r="Q149" s="10">
        <f>IF($AF149="","",INDEX(파견수련계획!$S$4:$S$203,$AF149))</f>
        <v/>
      </c>
      <c r="R149" s="10">
        <f>IF($AF149="","",INDEX(파견수련계획!$U$4:$U$203,$AF149))</f>
        <v/>
      </c>
      <c r="S149" s="11">
        <f>IF($AF149="","",IF(INDEX(파견수련계획!$H$4:$H$203,$AF149)="","",INDEX(파견수련계획!$H$4:$H$203,$AF149)))</f>
        <v/>
      </c>
      <c r="T149" s="11">
        <f>IF($AF149="","",IF(INDEX(파견수련계획!$I$4:$I$203,$AF149)="","",INDEX(파견수련계획!$I$4:$I$203,$AF149)))</f>
        <v/>
      </c>
      <c r="U149" s="10">
        <f>IF($AF149="","",INDEX(파견수련계획!$X$4:$X$203,$AF149))</f>
        <v/>
      </c>
      <c r="V149" s="17">
        <f>IF($AF149="","",INDEX(파견수련계획!$V$4:$V$203,$AF149))</f>
        <v/>
      </c>
      <c r="W149" s="17">
        <f>IF(AND($U149="파견중",$T149&lt;&gt;""),$T149-TODAY(),"")</f>
        <v/>
      </c>
      <c r="X149" s="17">
        <f>IF(OR($B149="",TRIM($J149&amp;"")=""),"",SUMPRODUCT((파견수련계획!$Q$4:$Q$203=TRIM($J149&amp;""))*파견수련계획!$W$4:$W$203))</f>
        <v/>
      </c>
      <c r="Y149" s="10">
        <f>IF($B149="","",IF($AG149="","",IF(IF(TRIM($J149&amp;"")="",0,SUMPRODUCT((파견수련계획!$Q$4:$Q$203=TRIM($J149&amp;""))*파견수련계획!$AD$4:$AD$203))&gt;0,$AE149,IF(N($X149)&lt;=0,$AG149,IF($AH149+$AI149=DAY(EOMONTH(요약!$B$3,0)),IF(AND($AH149&gt;=요약!$E$3,$AI149&lt;요약!$E$3),"서울병원",IF(AND($AI149&gt;=요약!$E$3,$AH149&lt;요약!$E$3),"구리병원","⚠15일 판정불가(서울 "&amp;$AH149&amp;"일/구리 "&amp;$AI149&amp;"일)")),IF($AJ149="",$AE149,IF(INDEX(파견수련계획!$T$4:$T$203,$AJ149)="통합수련",INDEX(파견수련계획!$S$4:$S$203,$AJ149),$AE149)))))))</f>
        <v/>
      </c>
      <c r="Z149" s="19">
        <f>IF($B149="","",IF($AB149="","기본자료에 없는 사번",IF(COUNTIF($B$2:$B$201,$B149)&gt;1,"중복 사번",IF($AE149="","소속(입사장소) 입력",IF(IF(TRIM($J149&amp;"")="",0,SUMPRODUCT((파견수련계획!$Q$4:$Q$203=TRIM($J149&amp;""))*(파견수련계획!$AA$4:$AA$203&lt;&gt;"")))&gt;0,"파견수련계획 입력오류 확인",IF(LEFT($Y149,1)="⚠","서울·구리 15일 판정 불가(양쪽 모두 이상/미만)",IF(IF($AC149="",0,N(INDEX(인턴근무계획!$T$3:$T$202,$AC149)))&gt;0,"인턴계획 입력오류 확인",IF(AND($AC149&lt;&gt;"",$U149&lt;&gt;"파견중",$N149&lt;&gt;$AE149),"인턴 타지역 근무: 파견 여부 확인","정상"))))))))</f>
        <v/>
      </c>
      <c r="AA149" s="5" t="n"/>
      <c r="AB149" s="10">
        <f>IF($B149="","",IFERROR(MATCH($B149,기본자료!$B$2:$B$501,0),IFERROR(MATCH($B149&amp;"",기본자료!$B$2:$B$501,0),IFERROR(MATCH(VALUE($B149),기본자료!$B$2:$B$501,0),""))))</f>
        <v/>
      </c>
      <c r="AC149" s="10">
        <f>IF($B149="","",IFERROR(MATCH($B149,인턴근무계획!$D$3:$D$202,0),IFERROR(MATCH($B149&amp;"",인턴근무계획!$D$3:$D$202,0),IFERROR(MATCH(VALUE($B149),인턴근무계획!$D$3:$D$202,0),""))))</f>
        <v/>
      </c>
      <c r="AD149" s="10">
        <f>IF(OR($AC149="",인턴현황!$G$3=""),"",INDEX(인턴근무계획!$M$3:$R$202,$AC149,인턴현황!$G$3)&amp;"")</f>
        <v/>
      </c>
      <c r="AE149" s="10">
        <f>IF($B149="","",IF($M149&lt;&gt;"",$M149,IF($AF149&lt;&gt;"",IF(LEFT(INDEX(파견수련계획!$R$4:$R$203,$AF149),1)&lt;&gt;"⚠",INDEX(파견수련계획!$R$4:$R$203,$AF149),IF($H149="","",IF(RIGHT($H149,2)="병원",$H149,$H149&amp;"병원"))),IF($H149="","",IF(RIGHT($H149,2)="병원",$H149,$H149&amp;"병원")))))</f>
        <v/>
      </c>
      <c r="AF149" s="10">
        <f>IF(OR($B149="",TRIM($J149&amp;"")=""),"",IFERROR(MATCH(TRIM($J149&amp;"")&amp;"|파견중",파견수련계획!$Y$4:$Y$203,0),IFERROR(MATCH(TRIM($J149&amp;"")&amp;"|파견예정",파견수련계획!$Y$4:$Y$203,0),IFERROR(MATCH(TRIM($J149&amp;"")&amp;"|파견종료",파견수련계획!$Y$4:$Y$203,0),""))))</f>
        <v/>
      </c>
      <c r="AG149" s="10">
        <f>IF($B149="","",IF(AND(IF(OR($AC149="",인턴현황!$K$2=""),"",INDEX(인턴근무계획!$M$3:$R$202,$AC149,인턴현황!$K$2)&amp;"")&lt;&gt;"",LEFT(IF(OR($AC149="",인턴현황!$K$2=""),"",INDEX(인턴근무계획!$M$3:$R$202,$AC149,인턴현황!$K$2)&amp;""),1)&lt;&gt;"⚠"),LEFT(IF(OR($AC149="",인턴현황!$K$2=""),"",INDEX(인턴근무계획!$M$3:$R$202,$AC149,인턴현황!$K$2)&amp;""),FIND(" ",IF(OR($AC149="",인턴현황!$K$2=""),"",INDEX(인턴근무계획!$M$3:$R$202,$AC149,인턴현황!$K$2)&amp;""))-1),$AE149))</f>
        <v/>
      </c>
      <c r="AH149" s="17">
        <f>IF($B149="","",IF(TRIM($J149&amp;"")="",0,SUMPRODUCT((파견수련계획!$Q$4:$Q$203=TRIM($J149&amp;""))*(파견수련계획!$S$4:$S$203="서울병원")*파견수련계획!$W$4:$W$203))+IF($AG149="서울병원",MAX(0,DAY(EOMONTH(요약!$B$3,0))-N($X149)),0))</f>
        <v/>
      </c>
      <c r="AI149" s="17">
        <f>IF($B149="","",IF(TRIM($J149&amp;"")="",0,SUMPRODUCT((파견수련계획!$Q$4:$Q$203=TRIM($J149&amp;""))*(파견수련계획!$S$4:$S$203="구리병원")*파견수련계획!$W$4:$W$203))+IF($AG149="구리병원",MAX(0,DAY(EOMONTH(요약!$B$3,0))-N($X149)),0))</f>
        <v/>
      </c>
      <c r="AJ149" s="10">
        <f>IF(OR($B149="",TRIM($J149&amp;"")=""),"",IFERROR(MATCH(TRIM($J149&amp;"")&amp;"|월",파견수련계획!$Z$4:$Z$203,0),""))</f>
        <v/>
      </c>
      <c r="AK149" s="10">
        <f>IF(OR($B149="",TRIM($J149&amp;"")=""),"",IFERROR(MATCH(TRIM($J149&amp;"")&amp;"|다기관",파견수련계획!$AE$4:$AE$203,0),""))</f>
        <v/>
      </c>
      <c r="AL149" s="10">
        <f>IF($AK149="","","다기관 "&amp;TEXT(INDEX(파견수련계획!$AB$4:$AB$203,$AK149),"yyyy-mm-dd")&amp;"~"&amp;IF(ISNUMBER(INDEX(파견수련계획!$AC$4:$AC$203,$AK149)),TEXT(INDEX(파견수련계획!$AC$4:$AC$203,$AK149),"yyyy-mm-dd"),""))</f>
        <v/>
      </c>
    </row>
    <row r="150">
      <c r="A150" s="10">
        <f>IF(B150="","",ROW()-1)</f>
        <v/>
      </c>
      <c r="B150" s="18" t="n"/>
      <c r="C150" s="10">
        <f>IF($AB150="","",IF(INDEX(기본자료!$C$2:$C$501,$AB150)="","",INDEX(기본자료!$C$2:$C$501,$AB150)))</f>
        <v/>
      </c>
      <c r="D150" s="10">
        <f>IF($AB150="","",IF(INDEX(기본자료!$J$2:$J$501,$AB150)="","",INDEX(기본자료!$J$2:$J$501,$AB150)))</f>
        <v/>
      </c>
      <c r="E150" s="11">
        <f>IF($AB150="","",IF(INDEX(기본자료!$K$2:$K$501,$AB150)="","",IF(NOT(ISNUMBER(INDEX(기본자료!$K$2:$K$501,$AB150))),INDEX(기본자료!$K$2:$K$501,$AB150),IF(INDEX(기본자료!$K$2:$K$501,$AB150)&lt;1000000,INDEX(기본자료!$K$2:$K$501,$AB150),IF(AND(INDEX(기본자료!$K$2:$K$501,$AB150)&gt;=10000101,INT(MOD(INDEX(기본자료!$K$2:$K$501,$AB150),10000)/100)&gt;=1,INT(MOD(INDEX(기본자료!$K$2:$K$501,$AB150),10000)/100)&lt;=12,MOD(INDEX(기본자료!$K$2:$K$501,$AB150),100)&gt;=1,MOD(INDEX(기본자료!$K$2:$K$501,$AB150),100)&lt;=31),DATE(INT(INDEX(기본자료!$K$2:$K$501,$AB150)/10000),INT(MOD(INDEX(기본자료!$K$2:$K$501,$AB150),10000)/100),MOD(INDEX(기본자료!$K$2:$K$501,$AB150),100)),INDEX(기본자료!$K$2:$K$501,$AB150)&amp;"")))))</f>
        <v/>
      </c>
      <c r="F150" s="10">
        <f>IF($AB150="","",IF(INDEX(기본자료!$D$2:$D$501,$AB150)="","",INDEX(기본자료!$D$2:$D$501,$AB150)))</f>
        <v/>
      </c>
      <c r="G150" s="10">
        <f>IF($AB150="","",IF(INDEX(기본자료!$E$2:$E$501,$AB150)="","",INDEX(기본자료!$E$2:$E$501,$AB150)))</f>
        <v/>
      </c>
      <c r="H150" s="10">
        <f>IF($AB150="","",IF(INDEX(기본자료!$F$2:$F$501,$AB150)="","",INDEX(기본자료!$F$2:$F$501,$AB150)))</f>
        <v/>
      </c>
      <c r="I150" s="11">
        <f>IF($AB150="","",IF(INDEX(기본자료!$G$2:$G$501,$AB150)="","",IF(NOT(ISNUMBER(INDEX(기본자료!$G$2:$G$501,$AB150))),INDEX(기본자료!$G$2:$G$501,$AB150),IF(INDEX(기본자료!$G$2:$G$501,$AB150)&lt;1000000,INDEX(기본자료!$G$2:$G$501,$AB150),IF(AND(INDEX(기본자료!$G$2:$G$501,$AB150)&gt;=10000101,INT(MOD(INDEX(기본자료!$G$2:$G$501,$AB150),10000)/100)&gt;=1,INT(MOD(INDEX(기본자료!$G$2:$G$501,$AB150),10000)/100)&lt;=12,MOD(INDEX(기본자료!$G$2:$G$501,$AB150),100)&gt;=1,MOD(INDEX(기본자료!$G$2:$G$501,$AB150),100)&lt;=31),DATE(INT(INDEX(기본자료!$G$2:$G$501,$AB150)/10000),INT(MOD(INDEX(기본자료!$G$2:$G$501,$AB150),10000)/100),MOD(INDEX(기본자료!$G$2:$G$501,$AB150),100)),INDEX(기본자료!$G$2:$G$501,$AB150)&amp;"")))))</f>
        <v/>
      </c>
      <c r="J150" s="10">
        <f>IF($AB150="","",IF(INDEX(기본자료!$H$2:$H$501,$AB150)="","",INDEX(기본자료!$H$2:$H$501,$AB150)))</f>
        <v/>
      </c>
      <c r="K150" s="10">
        <f>IF($AB150="","",IF(INDEX(기본자료!$I$2:$I$501,$AB150)="","",INDEX(기본자료!$I$2:$I$501,$AB150)))</f>
        <v/>
      </c>
      <c r="L150" s="10">
        <f>IF($AB150="","",IF(INDEX(기본자료!$A$2:$A$501,$AB150)="","",INDEX(기본자료!$A$2:$A$501,$AB150)))</f>
        <v/>
      </c>
      <c r="M150" s="15" t="n"/>
      <c r="N150" s="10">
        <f>IF($B150="","",IF(AND($U150="파견중",$Q150&lt;&gt;""),$Q150,IF(AND($AD150&lt;&gt;"",LEFT($AD150,1)&lt;&gt;"⚠"),LEFT($AD150,FIND(" ",$AD150)-1),IF($H150="","",IF(RIGHT($H150,2)="병원",$H150,$H150&amp;"병원")))))</f>
        <v/>
      </c>
      <c r="O150" s="10">
        <f>IF($B150="","",IF(AND($U150="파견중",$Q150&lt;&gt;""),IF($R150&lt;&gt;"",$R150,"파견과 미입력"),IF(AND($AD150&lt;&gt;"",LEFT($AD150,1)&lt;&gt;"⚠"),MID($AD150,FIND(" ",$AD150)+1,60),IF($F150="","",IF($F150="인턴","수련교육부(인턴)",$F150)))))</f>
        <v/>
      </c>
      <c r="P150" s="10">
        <f>IF($B150="","",IF($AK150&lt;&gt;"",IF(AND(TODAY()&gt;=INDEX(파견수련계획!$AB$4:$AB$203,$AK150),OR(NOT(ISNUMBER(INDEX(파견수련계획!$AC$4:$AC$203,$AK150))),TODAY()&lt;=INDEX(파견수련계획!$AC$4:$AC$203,$AK150))),"다기관",IF($AF150="","",INDEX(파견수련계획!$T$4:$T$203,$AF150))),IF($AF150="","",INDEX(파견수련계획!$T$4:$T$203,$AF150))))</f>
        <v/>
      </c>
      <c r="Q150" s="10">
        <f>IF($AF150="","",INDEX(파견수련계획!$S$4:$S$203,$AF150))</f>
        <v/>
      </c>
      <c r="R150" s="10">
        <f>IF($AF150="","",INDEX(파견수련계획!$U$4:$U$203,$AF150))</f>
        <v/>
      </c>
      <c r="S150" s="11">
        <f>IF($AF150="","",IF(INDEX(파견수련계획!$H$4:$H$203,$AF150)="","",INDEX(파견수련계획!$H$4:$H$203,$AF150)))</f>
        <v/>
      </c>
      <c r="T150" s="11">
        <f>IF($AF150="","",IF(INDEX(파견수련계획!$I$4:$I$203,$AF150)="","",INDEX(파견수련계획!$I$4:$I$203,$AF150)))</f>
        <v/>
      </c>
      <c r="U150" s="10">
        <f>IF($AF150="","",INDEX(파견수련계획!$X$4:$X$203,$AF150))</f>
        <v/>
      </c>
      <c r="V150" s="17">
        <f>IF($AF150="","",INDEX(파견수련계획!$V$4:$V$203,$AF150))</f>
        <v/>
      </c>
      <c r="W150" s="17">
        <f>IF(AND($U150="파견중",$T150&lt;&gt;""),$T150-TODAY(),"")</f>
        <v/>
      </c>
      <c r="X150" s="17">
        <f>IF(OR($B150="",TRIM($J150&amp;"")=""),"",SUMPRODUCT((파견수련계획!$Q$4:$Q$203=TRIM($J150&amp;""))*파견수련계획!$W$4:$W$203))</f>
        <v/>
      </c>
      <c r="Y150" s="10">
        <f>IF($B150="","",IF($AG150="","",IF(IF(TRIM($J150&amp;"")="",0,SUMPRODUCT((파견수련계획!$Q$4:$Q$203=TRIM($J150&amp;""))*파견수련계획!$AD$4:$AD$203))&gt;0,$AE150,IF(N($X150)&lt;=0,$AG150,IF($AH150+$AI150=DAY(EOMONTH(요약!$B$3,0)),IF(AND($AH150&gt;=요약!$E$3,$AI150&lt;요약!$E$3),"서울병원",IF(AND($AI150&gt;=요약!$E$3,$AH150&lt;요약!$E$3),"구리병원","⚠15일 판정불가(서울 "&amp;$AH150&amp;"일/구리 "&amp;$AI150&amp;"일)")),IF($AJ150="",$AE150,IF(INDEX(파견수련계획!$T$4:$T$203,$AJ150)="통합수련",INDEX(파견수련계획!$S$4:$S$203,$AJ150),$AE150)))))))</f>
        <v/>
      </c>
      <c r="Z150" s="19">
        <f>IF($B150="","",IF($AB150="","기본자료에 없는 사번",IF(COUNTIF($B$2:$B$201,$B150)&gt;1,"중복 사번",IF($AE150="","소속(입사장소) 입력",IF(IF(TRIM($J150&amp;"")="",0,SUMPRODUCT((파견수련계획!$Q$4:$Q$203=TRIM($J150&amp;""))*(파견수련계획!$AA$4:$AA$203&lt;&gt;"")))&gt;0,"파견수련계획 입력오류 확인",IF(LEFT($Y150,1)="⚠","서울·구리 15일 판정 불가(양쪽 모두 이상/미만)",IF(IF($AC150="",0,N(INDEX(인턴근무계획!$T$3:$T$202,$AC150)))&gt;0,"인턴계획 입력오류 확인",IF(AND($AC150&lt;&gt;"",$U150&lt;&gt;"파견중",$N150&lt;&gt;$AE150),"인턴 타지역 근무: 파견 여부 확인","정상"))))))))</f>
        <v/>
      </c>
      <c r="AA150" s="5" t="n"/>
      <c r="AB150" s="10">
        <f>IF($B150="","",IFERROR(MATCH($B150,기본자료!$B$2:$B$501,0),IFERROR(MATCH($B150&amp;"",기본자료!$B$2:$B$501,0),IFERROR(MATCH(VALUE($B150),기본자료!$B$2:$B$501,0),""))))</f>
        <v/>
      </c>
      <c r="AC150" s="10">
        <f>IF($B150="","",IFERROR(MATCH($B150,인턴근무계획!$D$3:$D$202,0),IFERROR(MATCH($B150&amp;"",인턴근무계획!$D$3:$D$202,0),IFERROR(MATCH(VALUE($B150),인턴근무계획!$D$3:$D$202,0),""))))</f>
        <v/>
      </c>
      <c r="AD150" s="10">
        <f>IF(OR($AC150="",인턴현황!$G$3=""),"",INDEX(인턴근무계획!$M$3:$R$202,$AC150,인턴현황!$G$3)&amp;"")</f>
        <v/>
      </c>
      <c r="AE150" s="10">
        <f>IF($B150="","",IF($M150&lt;&gt;"",$M150,IF($AF150&lt;&gt;"",IF(LEFT(INDEX(파견수련계획!$R$4:$R$203,$AF150),1)&lt;&gt;"⚠",INDEX(파견수련계획!$R$4:$R$203,$AF150),IF($H150="","",IF(RIGHT($H150,2)="병원",$H150,$H150&amp;"병원"))),IF($H150="","",IF(RIGHT($H150,2)="병원",$H150,$H150&amp;"병원")))))</f>
        <v/>
      </c>
      <c r="AF150" s="10">
        <f>IF(OR($B150="",TRIM($J150&amp;"")=""),"",IFERROR(MATCH(TRIM($J150&amp;"")&amp;"|파견중",파견수련계획!$Y$4:$Y$203,0),IFERROR(MATCH(TRIM($J150&amp;"")&amp;"|파견예정",파견수련계획!$Y$4:$Y$203,0),IFERROR(MATCH(TRIM($J150&amp;"")&amp;"|파견종료",파견수련계획!$Y$4:$Y$203,0),""))))</f>
        <v/>
      </c>
      <c r="AG150" s="10">
        <f>IF($B150="","",IF(AND(IF(OR($AC150="",인턴현황!$K$2=""),"",INDEX(인턴근무계획!$M$3:$R$202,$AC150,인턴현황!$K$2)&amp;"")&lt;&gt;"",LEFT(IF(OR($AC150="",인턴현황!$K$2=""),"",INDEX(인턴근무계획!$M$3:$R$202,$AC150,인턴현황!$K$2)&amp;""),1)&lt;&gt;"⚠"),LEFT(IF(OR($AC150="",인턴현황!$K$2=""),"",INDEX(인턴근무계획!$M$3:$R$202,$AC150,인턴현황!$K$2)&amp;""),FIND(" ",IF(OR($AC150="",인턴현황!$K$2=""),"",INDEX(인턴근무계획!$M$3:$R$202,$AC150,인턴현황!$K$2)&amp;""))-1),$AE150))</f>
        <v/>
      </c>
      <c r="AH150" s="17">
        <f>IF($B150="","",IF(TRIM($J150&amp;"")="",0,SUMPRODUCT((파견수련계획!$Q$4:$Q$203=TRIM($J150&amp;""))*(파견수련계획!$S$4:$S$203="서울병원")*파견수련계획!$W$4:$W$203))+IF($AG150="서울병원",MAX(0,DAY(EOMONTH(요약!$B$3,0))-N($X150)),0))</f>
        <v/>
      </c>
      <c r="AI150" s="17">
        <f>IF($B150="","",IF(TRIM($J150&amp;"")="",0,SUMPRODUCT((파견수련계획!$Q$4:$Q$203=TRIM($J150&amp;""))*(파견수련계획!$S$4:$S$203="구리병원")*파견수련계획!$W$4:$W$203))+IF($AG150="구리병원",MAX(0,DAY(EOMONTH(요약!$B$3,0))-N($X150)),0))</f>
        <v/>
      </c>
      <c r="AJ150" s="10">
        <f>IF(OR($B150="",TRIM($J150&amp;"")=""),"",IFERROR(MATCH(TRIM($J150&amp;"")&amp;"|월",파견수련계획!$Z$4:$Z$203,0),""))</f>
        <v/>
      </c>
      <c r="AK150" s="10">
        <f>IF(OR($B150="",TRIM($J150&amp;"")=""),"",IFERROR(MATCH(TRIM($J150&amp;"")&amp;"|다기관",파견수련계획!$AE$4:$AE$203,0),""))</f>
        <v/>
      </c>
      <c r="AL150" s="10">
        <f>IF($AK150="","","다기관 "&amp;TEXT(INDEX(파견수련계획!$AB$4:$AB$203,$AK150),"yyyy-mm-dd")&amp;"~"&amp;IF(ISNUMBER(INDEX(파견수련계획!$AC$4:$AC$203,$AK150)),TEXT(INDEX(파견수련계획!$AC$4:$AC$203,$AK150),"yyyy-mm-dd"),""))</f>
        <v/>
      </c>
    </row>
    <row r="151">
      <c r="A151" s="10">
        <f>IF(B151="","",ROW()-1)</f>
        <v/>
      </c>
      <c r="B151" s="18" t="n"/>
      <c r="C151" s="10">
        <f>IF($AB151="","",IF(INDEX(기본자료!$C$2:$C$501,$AB151)="","",INDEX(기본자료!$C$2:$C$501,$AB151)))</f>
        <v/>
      </c>
      <c r="D151" s="10">
        <f>IF($AB151="","",IF(INDEX(기본자료!$J$2:$J$501,$AB151)="","",INDEX(기본자료!$J$2:$J$501,$AB151)))</f>
        <v/>
      </c>
      <c r="E151" s="11">
        <f>IF($AB151="","",IF(INDEX(기본자료!$K$2:$K$501,$AB151)="","",IF(NOT(ISNUMBER(INDEX(기본자료!$K$2:$K$501,$AB151))),INDEX(기본자료!$K$2:$K$501,$AB151),IF(INDEX(기본자료!$K$2:$K$501,$AB151)&lt;1000000,INDEX(기본자료!$K$2:$K$501,$AB151),IF(AND(INDEX(기본자료!$K$2:$K$501,$AB151)&gt;=10000101,INT(MOD(INDEX(기본자료!$K$2:$K$501,$AB151),10000)/100)&gt;=1,INT(MOD(INDEX(기본자료!$K$2:$K$501,$AB151),10000)/100)&lt;=12,MOD(INDEX(기본자료!$K$2:$K$501,$AB151),100)&gt;=1,MOD(INDEX(기본자료!$K$2:$K$501,$AB151),100)&lt;=31),DATE(INT(INDEX(기본자료!$K$2:$K$501,$AB151)/10000),INT(MOD(INDEX(기본자료!$K$2:$K$501,$AB151),10000)/100),MOD(INDEX(기본자료!$K$2:$K$501,$AB151),100)),INDEX(기본자료!$K$2:$K$501,$AB151)&amp;"")))))</f>
        <v/>
      </c>
      <c r="F151" s="10">
        <f>IF($AB151="","",IF(INDEX(기본자료!$D$2:$D$501,$AB151)="","",INDEX(기본자료!$D$2:$D$501,$AB151)))</f>
        <v/>
      </c>
      <c r="G151" s="10">
        <f>IF($AB151="","",IF(INDEX(기본자료!$E$2:$E$501,$AB151)="","",INDEX(기본자료!$E$2:$E$501,$AB151)))</f>
        <v/>
      </c>
      <c r="H151" s="10">
        <f>IF($AB151="","",IF(INDEX(기본자료!$F$2:$F$501,$AB151)="","",INDEX(기본자료!$F$2:$F$501,$AB151)))</f>
        <v/>
      </c>
      <c r="I151" s="11">
        <f>IF($AB151="","",IF(INDEX(기본자료!$G$2:$G$501,$AB151)="","",IF(NOT(ISNUMBER(INDEX(기본자료!$G$2:$G$501,$AB151))),INDEX(기본자료!$G$2:$G$501,$AB151),IF(INDEX(기본자료!$G$2:$G$501,$AB151)&lt;1000000,INDEX(기본자료!$G$2:$G$501,$AB151),IF(AND(INDEX(기본자료!$G$2:$G$501,$AB151)&gt;=10000101,INT(MOD(INDEX(기본자료!$G$2:$G$501,$AB151),10000)/100)&gt;=1,INT(MOD(INDEX(기본자료!$G$2:$G$501,$AB151),10000)/100)&lt;=12,MOD(INDEX(기본자료!$G$2:$G$501,$AB151),100)&gt;=1,MOD(INDEX(기본자료!$G$2:$G$501,$AB151),100)&lt;=31),DATE(INT(INDEX(기본자료!$G$2:$G$501,$AB151)/10000),INT(MOD(INDEX(기본자료!$G$2:$G$501,$AB151),10000)/100),MOD(INDEX(기본자료!$G$2:$G$501,$AB151),100)),INDEX(기본자료!$G$2:$G$501,$AB151)&amp;"")))))</f>
        <v/>
      </c>
      <c r="J151" s="10">
        <f>IF($AB151="","",IF(INDEX(기본자료!$H$2:$H$501,$AB151)="","",INDEX(기본자료!$H$2:$H$501,$AB151)))</f>
        <v/>
      </c>
      <c r="K151" s="10">
        <f>IF($AB151="","",IF(INDEX(기본자료!$I$2:$I$501,$AB151)="","",INDEX(기본자료!$I$2:$I$501,$AB151)))</f>
        <v/>
      </c>
      <c r="L151" s="10">
        <f>IF($AB151="","",IF(INDEX(기본자료!$A$2:$A$501,$AB151)="","",INDEX(기본자료!$A$2:$A$501,$AB151)))</f>
        <v/>
      </c>
      <c r="M151" s="15" t="n"/>
      <c r="N151" s="10">
        <f>IF($B151="","",IF(AND($U151="파견중",$Q151&lt;&gt;""),$Q151,IF(AND($AD151&lt;&gt;"",LEFT($AD151,1)&lt;&gt;"⚠"),LEFT($AD151,FIND(" ",$AD151)-1),IF($H151="","",IF(RIGHT($H151,2)="병원",$H151,$H151&amp;"병원")))))</f>
        <v/>
      </c>
      <c r="O151" s="10">
        <f>IF($B151="","",IF(AND($U151="파견중",$Q151&lt;&gt;""),IF($R151&lt;&gt;"",$R151,"파견과 미입력"),IF(AND($AD151&lt;&gt;"",LEFT($AD151,1)&lt;&gt;"⚠"),MID($AD151,FIND(" ",$AD151)+1,60),IF($F151="","",IF($F151="인턴","수련교육부(인턴)",$F151)))))</f>
        <v/>
      </c>
      <c r="P151" s="10">
        <f>IF($B151="","",IF($AK151&lt;&gt;"",IF(AND(TODAY()&gt;=INDEX(파견수련계획!$AB$4:$AB$203,$AK151),OR(NOT(ISNUMBER(INDEX(파견수련계획!$AC$4:$AC$203,$AK151))),TODAY()&lt;=INDEX(파견수련계획!$AC$4:$AC$203,$AK151))),"다기관",IF($AF151="","",INDEX(파견수련계획!$T$4:$T$203,$AF151))),IF($AF151="","",INDEX(파견수련계획!$T$4:$T$203,$AF151))))</f>
        <v/>
      </c>
      <c r="Q151" s="10">
        <f>IF($AF151="","",INDEX(파견수련계획!$S$4:$S$203,$AF151))</f>
        <v/>
      </c>
      <c r="R151" s="10">
        <f>IF($AF151="","",INDEX(파견수련계획!$U$4:$U$203,$AF151))</f>
        <v/>
      </c>
      <c r="S151" s="11">
        <f>IF($AF151="","",IF(INDEX(파견수련계획!$H$4:$H$203,$AF151)="","",INDEX(파견수련계획!$H$4:$H$203,$AF151)))</f>
        <v/>
      </c>
      <c r="T151" s="11">
        <f>IF($AF151="","",IF(INDEX(파견수련계획!$I$4:$I$203,$AF151)="","",INDEX(파견수련계획!$I$4:$I$203,$AF151)))</f>
        <v/>
      </c>
      <c r="U151" s="10">
        <f>IF($AF151="","",INDEX(파견수련계획!$X$4:$X$203,$AF151))</f>
        <v/>
      </c>
      <c r="V151" s="17">
        <f>IF($AF151="","",INDEX(파견수련계획!$V$4:$V$203,$AF151))</f>
        <v/>
      </c>
      <c r="W151" s="17">
        <f>IF(AND($U151="파견중",$T151&lt;&gt;""),$T151-TODAY(),"")</f>
        <v/>
      </c>
      <c r="X151" s="17">
        <f>IF(OR($B151="",TRIM($J151&amp;"")=""),"",SUMPRODUCT((파견수련계획!$Q$4:$Q$203=TRIM($J151&amp;""))*파견수련계획!$W$4:$W$203))</f>
        <v/>
      </c>
      <c r="Y151" s="10">
        <f>IF($B151="","",IF($AG151="","",IF(IF(TRIM($J151&amp;"")="",0,SUMPRODUCT((파견수련계획!$Q$4:$Q$203=TRIM($J151&amp;""))*파견수련계획!$AD$4:$AD$203))&gt;0,$AE151,IF(N($X151)&lt;=0,$AG151,IF($AH151+$AI151=DAY(EOMONTH(요약!$B$3,0)),IF(AND($AH151&gt;=요약!$E$3,$AI151&lt;요약!$E$3),"서울병원",IF(AND($AI151&gt;=요약!$E$3,$AH151&lt;요약!$E$3),"구리병원","⚠15일 판정불가(서울 "&amp;$AH151&amp;"일/구리 "&amp;$AI151&amp;"일)")),IF($AJ151="",$AE151,IF(INDEX(파견수련계획!$T$4:$T$203,$AJ151)="통합수련",INDEX(파견수련계획!$S$4:$S$203,$AJ151),$AE151)))))))</f>
        <v/>
      </c>
      <c r="Z151" s="19">
        <f>IF($B151="","",IF($AB151="","기본자료에 없는 사번",IF(COUNTIF($B$2:$B$201,$B151)&gt;1,"중복 사번",IF($AE151="","소속(입사장소) 입력",IF(IF(TRIM($J151&amp;"")="",0,SUMPRODUCT((파견수련계획!$Q$4:$Q$203=TRIM($J151&amp;""))*(파견수련계획!$AA$4:$AA$203&lt;&gt;"")))&gt;0,"파견수련계획 입력오류 확인",IF(LEFT($Y151,1)="⚠","서울·구리 15일 판정 불가(양쪽 모두 이상/미만)",IF(IF($AC151="",0,N(INDEX(인턴근무계획!$T$3:$T$202,$AC151)))&gt;0,"인턴계획 입력오류 확인",IF(AND($AC151&lt;&gt;"",$U151&lt;&gt;"파견중",$N151&lt;&gt;$AE151),"인턴 타지역 근무: 파견 여부 확인","정상"))))))))</f>
        <v/>
      </c>
      <c r="AA151" s="5" t="n"/>
      <c r="AB151" s="10">
        <f>IF($B151="","",IFERROR(MATCH($B151,기본자료!$B$2:$B$501,0),IFERROR(MATCH($B151&amp;"",기본자료!$B$2:$B$501,0),IFERROR(MATCH(VALUE($B151),기본자료!$B$2:$B$501,0),""))))</f>
        <v/>
      </c>
      <c r="AC151" s="10">
        <f>IF($B151="","",IFERROR(MATCH($B151,인턴근무계획!$D$3:$D$202,0),IFERROR(MATCH($B151&amp;"",인턴근무계획!$D$3:$D$202,0),IFERROR(MATCH(VALUE($B151),인턴근무계획!$D$3:$D$202,0),""))))</f>
        <v/>
      </c>
      <c r="AD151" s="10">
        <f>IF(OR($AC151="",인턴현황!$G$3=""),"",INDEX(인턴근무계획!$M$3:$R$202,$AC151,인턴현황!$G$3)&amp;"")</f>
        <v/>
      </c>
      <c r="AE151" s="10">
        <f>IF($B151="","",IF($M151&lt;&gt;"",$M151,IF($AF151&lt;&gt;"",IF(LEFT(INDEX(파견수련계획!$R$4:$R$203,$AF151),1)&lt;&gt;"⚠",INDEX(파견수련계획!$R$4:$R$203,$AF151),IF($H151="","",IF(RIGHT($H151,2)="병원",$H151,$H151&amp;"병원"))),IF($H151="","",IF(RIGHT($H151,2)="병원",$H151,$H151&amp;"병원")))))</f>
        <v/>
      </c>
      <c r="AF151" s="10">
        <f>IF(OR($B151="",TRIM($J151&amp;"")=""),"",IFERROR(MATCH(TRIM($J151&amp;"")&amp;"|파견중",파견수련계획!$Y$4:$Y$203,0),IFERROR(MATCH(TRIM($J151&amp;"")&amp;"|파견예정",파견수련계획!$Y$4:$Y$203,0),IFERROR(MATCH(TRIM($J151&amp;"")&amp;"|파견종료",파견수련계획!$Y$4:$Y$203,0),""))))</f>
        <v/>
      </c>
      <c r="AG151" s="10">
        <f>IF($B151="","",IF(AND(IF(OR($AC151="",인턴현황!$K$2=""),"",INDEX(인턴근무계획!$M$3:$R$202,$AC151,인턴현황!$K$2)&amp;"")&lt;&gt;"",LEFT(IF(OR($AC151="",인턴현황!$K$2=""),"",INDEX(인턴근무계획!$M$3:$R$202,$AC151,인턴현황!$K$2)&amp;""),1)&lt;&gt;"⚠"),LEFT(IF(OR($AC151="",인턴현황!$K$2=""),"",INDEX(인턴근무계획!$M$3:$R$202,$AC151,인턴현황!$K$2)&amp;""),FIND(" ",IF(OR($AC151="",인턴현황!$K$2=""),"",INDEX(인턴근무계획!$M$3:$R$202,$AC151,인턴현황!$K$2)&amp;""))-1),$AE151))</f>
        <v/>
      </c>
      <c r="AH151" s="17">
        <f>IF($B151="","",IF(TRIM($J151&amp;"")="",0,SUMPRODUCT((파견수련계획!$Q$4:$Q$203=TRIM($J151&amp;""))*(파견수련계획!$S$4:$S$203="서울병원")*파견수련계획!$W$4:$W$203))+IF($AG151="서울병원",MAX(0,DAY(EOMONTH(요약!$B$3,0))-N($X151)),0))</f>
        <v/>
      </c>
      <c r="AI151" s="17">
        <f>IF($B151="","",IF(TRIM($J151&amp;"")="",0,SUMPRODUCT((파견수련계획!$Q$4:$Q$203=TRIM($J151&amp;""))*(파견수련계획!$S$4:$S$203="구리병원")*파견수련계획!$W$4:$W$203))+IF($AG151="구리병원",MAX(0,DAY(EOMONTH(요약!$B$3,0))-N($X151)),0))</f>
        <v/>
      </c>
      <c r="AJ151" s="10">
        <f>IF(OR($B151="",TRIM($J151&amp;"")=""),"",IFERROR(MATCH(TRIM($J151&amp;"")&amp;"|월",파견수련계획!$Z$4:$Z$203,0),""))</f>
        <v/>
      </c>
      <c r="AK151" s="10">
        <f>IF(OR($B151="",TRIM($J151&amp;"")=""),"",IFERROR(MATCH(TRIM($J151&amp;"")&amp;"|다기관",파견수련계획!$AE$4:$AE$203,0),""))</f>
        <v/>
      </c>
      <c r="AL151" s="10">
        <f>IF($AK151="","","다기관 "&amp;TEXT(INDEX(파견수련계획!$AB$4:$AB$203,$AK151),"yyyy-mm-dd")&amp;"~"&amp;IF(ISNUMBER(INDEX(파견수련계획!$AC$4:$AC$203,$AK151)),TEXT(INDEX(파견수련계획!$AC$4:$AC$203,$AK151),"yyyy-mm-dd"),""))</f>
        <v/>
      </c>
    </row>
    <row r="152">
      <c r="A152" s="10">
        <f>IF(B152="","",ROW()-1)</f>
        <v/>
      </c>
      <c r="B152" s="18" t="n"/>
      <c r="C152" s="10">
        <f>IF($AB152="","",IF(INDEX(기본자료!$C$2:$C$501,$AB152)="","",INDEX(기본자료!$C$2:$C$501,$AB152)))</f>
        <v/>
      </c>
      <c r="D152" s="10">
        <f>IF($AB152="","",IF(INDEX(기본자료!$J$2:$J$501,$AB152)="","",INDEX(기본자료!$J$2:$J$501,$AB152)))</f>
        <v/>
      </c>
      <c r="E152" s="11">
        <f>IF($AB152="","",IF(INDEX(기본자료!$K$2:$K$501,$AB152)="","",IF(NOT(ISNUMBER(INDEX(기본자료!$K$2:$K$501,$AB152))),INDEX(기본자료!$K$2:$K$501,$AB152),IF(INDEX(기본자료!$K$2:$K$501,$AB152)&lt;1000000,INDEX(기본자료!$K$2:$K$501,$AB152),IF(AND(INDEX(기본자료!$K$2:$K$501,$AB152)&gt;=10000101,INT(MOD(INDEX(기본자료!$K$2:$K$501,$AB152),10000)/100)&gt;=1,INT(MOD(INDEX(기본자료!$K$2:$K$501,$AB152),10000)/100)&lt;=12,MOD(INDEX(기본자료!$K$2:$K$501,$AB152),100)&gt;=1,MOD(INDEX(기본자료!$K$2:$K$501,$AB152),100)&lt;=31),DATE(INT(INDEX(기본자료!$K$2:$K$501,$AB152)/10000),INT(MOD(INDEX(기본자료!$K$2:$K$501,$AB152),10000)/100),MOD(INDEX(기본자료!$K$2:$K$501,$AB152),100)),INDEX(기본자료!$K$2:$K$501,$AB152)&amp;"")))))</f>
        <v/>
      </c>
      <c r="F152" s="10">
        <f>IF($AB152="","",IF(INDEX(기본자료!$D$2:$D$501,$AB152)="","",INDEX(기본자료!$D$2:$D$501,$AB152)))</f>
        <v/>
      </c>
      <c r="G152" s="10">
        <f>IF($AB152="","",IF(INDEX(기본자료!$E$2:$E$501,$AB152)="","",INDEX(기본자료!$E$2:$E$501,$AB152)))</f>
        <v/>
      </c>
      <c r="H152" s="10">
        <f>IF($AB152="","",IF(INDEX(기본자료!$F$2:$F$501,$AB152)="","",INDEX(기본자료!$F$2:$F$501,$AB152)))</f>
        <v/>
      </c>
      <c r="I152" s="11">
        <f>IF($AB152="","",IF(INDEX(기본자료!$G$2:$G$501,$AB152)="","",IF(NOT(ISNUMBER(INDEX(기본자료!$G$2:$G$501,$AB152))),INDEX(기본자료!$G$2:$G$501,$AB152),IF(INDEX(기본자료!$G$2:$G$501,$AB152)&lt;1000000,INDEX(기본자료!$G$2:$G$501,$AB152),IF(AND(INDEX(기본자료!$G$2:$G$501,$AB152)&gt;=10000101,INT(MOD(INDEX(기본자료!$G$2:$G$501,$AB152),10000)/100)&gt;=1,INT(MOD(INDEX(기본자료!$G$2:$G$501,$AB152),10000)/100)&lt;=12,MOD(INDEX(기본자료!$G$2:$G$501,$AB152),100)&gt;=1,MOD(INDEX(기본자료!$G$2:$G$501,$AB152),100)&lt;=31),DATE(INT(INDEX(기본자료!$G$2:$G$501,$AB152)/10000),INT(MOD(INDEX(기본자료!$G$2:$G$501,$AB152),10000)/100),MOD(INDEX(기본자료!$G$2:$G$501,$AB152),100)),INDEX(기본자료!$G$2:$G$501,$AB152)&amp;"")))))</f>
        <v/>
      </c>
      <c r="J152" s="10">
        <f>IF($AB152="","",IF(INDEX(기본자료!$H$2:$H$501,$AB152)="","",INDEX(기본자료!$H$2:$H$501,$AB152)))</f>
        <v/>
      </c>
      <c r="K152" s="10">
        <f>IF($AB152="","",IF(INDEX(기본자료!$I$2:$I$501,$AB152)="","",INDEX(기본자료!$I$2:$I$501,$AB152)))</f>
        <v/>
      </c>
      <c r="L152" s="10">
        <f>IF($AB152="","",IF(INDEX(기본자료!$A$2:$A$501,$AB152)="","",INDEX(기본자료!$A$2:$A$501,$AB152)))</f>
        <v/>
      </c>
      <c r="M152" s="15" t="n"/>
      <c r="N152" s="10">
        <f>IF($B152="","",IF(AND($U152="파견중",$Q152&lt;&gt;""),$Q152,IF(AND($AD152&lt;&gt;"",LEFT($AD152,1)&lt;&gt;"⚠"),LEFT($AD152,FIND(" ",$AD152)-1),IF($H152="","",IF(RIGHT($H152,2)="병원",$H152,$H152&amp;"병원")))))</f>
        <v/>
      </c>
      <c r="O152" s="10">
        <f>IF($B152="","",IF(AND($U152="파견중",$Q152&lt;&gt;""),IF($R152&lt;&gt;"",$R152,"파견과 미입력"),IF(AND($AD152&lt;&gt;"",LEFT($AD152,1)&lt;&gt;"⚠"),MID($AD152,FIND(" ",$AD152)+1,60),IF($F152="","",IF($F152="인턴","수련교육부(인턴)",$F152)))))</f>
        <v/>
      </c>
      <c r="P152" s="10">
        <f>IF($B152="","",IF($AK152&lt;&gt;"",IF(AND(TODAY()&gt;=INDEX(파견수련계획!$AB$4:$AB$203,$AK152),OR(NOT(ISNUMBER(INDEX(파견수련계획!$AC$4:$AC$203,$AK152))),TODAY()&lt;=INDEX(파견수련계획!$AC$4:$AC$203,$AK152))),"다기관",IF($AF152="","",INDEX(파견수련계획!$T$4:$T$203,$AF152))),IF($AF152="","",INDEX(파견수련계획!$T$4:$T$203,$AF152))))</f>
        <v/>
      </c>
      <c r="Q152" s="10">
        <f>IF($AF152="","",INDEX(파견수련계획!$S$4:$S$203,$AF152))</f>
        <v/>
      </c>
      <c r="R152" s="10">
        <f>IF($AF152="","",INDEX(파견수련계획!$U$4:$U$203,$AF152))</f>
        <v/>
      </c>
      <c r="S152" s="11">
        <f>IF($AF152="","",IF(INDEX(파견수련계획!$H$4:$H$203,$AF152)="","",INDEX(파견수련계획!$H$4:$H$203,$AF152)))</f>
        <v/>
      </c>
      <c r="T152" s="11">
        <f>IF($AF152="","",IF(INDEX(파견수련계획!$I$4:$I$203,$AF152)="","",INDEX(파견수련계획!$I$4:$I$203,$AF152)))</f>
        <v/>
      </c>
      <c r="U152" s="10">
        <f>IF($AF152="","",INDEX(파견수련계획!$X$4:$X$203,$AF152))</f>
        <v/>
      </c>
      <c r="V152" s="17">
        <f>IF($AF152="","",INDEX(파견수련계획!$V$4:$V$203,$AF152))</f>
        <v/>
      </c>
      <c r="W152" s="17">
        <f>IF(AND($U152="파견중",$T152&lt;&gt;""),$T152-TODAY(),"")</f>
        <v/>
      </c>
      <c r="X152" s="17">
        <f>IF(OR($B152="",TRIM($J152&amp;"")=""),"",SUMPRODUCT((파견수련계획!$Q$4:$Q$203=TRIM($J152&amp;""))*파견수련계획!$W$4:$W$203))</f>
        <v/>
      </c>
      <c r="Y152" s="10">
        <f>IF($B152="","",IF($AG152="","",IF(IF(TRIM($J152&amp;"")="",0,SUMPRODUCT((파견수련계획!$Q$4:$Q$203=TRIM($J152&amp;""))*파견수련계획!$AD$4:$AD$203))&gt;0,$AE152,IF(N($X152)&lt;=0,$AG152,IF($AH152+$AI152=DAY(EOMONTH(요약!$B$3,0)),IF(AND($AH152&gt;=요약!$E$3,$AI152&lt;요약!$E$3),"서울병원",IF(AND($AI152&gt;=요약!$E$3,$AH152&lt;요약!$E$3),"구리병원","⚠15일 판정불가(서울 "&amp;$AH152&amp;"일/구리 "&amp;$AI152&amp;"일)")),IF($AJ152="",$AE152,IF(INDEX(파견수련계획!$T$4:$T$203,$AJ152)="통합수련",INDEX(파견수련계획!$S$4:$S$203,$AJ152),$AE152)))))))</f>
        <v/>
      </c>
      <c r="Z152" s="19">
        <f>IF($B152="","",IF($AB152="","기본자료에 없는 사번",IF(COUNTIF($B$2:$B$201,$B152)&gt;1,"중복 사번",IF($AE152="","소속(입사장소) 입력",IF(IF(TRIM($J152&amp;"")="",0,SUMPRODUCT((파견수련계획!$Q$4:$Q$203=TRIM($J152&amp;""))*(파견수련계획!$AA$4:$AA$203&lt;&gt;"")))&gt;0,"파견수련계획 입력오류 확인",IF(LEFT($Y152,1)="⚠","서울·구리 15일 판정 불가(양쪽 모두 이상/미만)",IF(IF($AC152="",0,N(INDEX(인턴근무계획!$T$3:$T$202,$AC152)))&gt;0,"인턴계획 입력오류 확인",IF(AND($AC152&lt;&gt;"",$U152&lt;&gt;"파견중",$N152&lt;&gt;$AE152),"인턴 타지역 근무: 파견 여부 확인","정상"))))))))</f>
        <v/>
      </c>
      <c r="AA152" s="5" t="n"/>
      <c r="AB152" s="10">
        <f>IF($B152="","",IFERROR(MATCH($B152,기본자료!$B$2:$B$501,0),IFERROR(MATCH($B152&amp;"",기본자료!$B$2:$B$501,0),IFERROR(MATCH(VALUE($B152),기본자료!$B$2:$B$501,0),""))))</f>
        <v/>
      </c>
      <c r="AC152" s="10">
        <f>IF($B152="","",IFERROR(MATCH($B152,인턴근무계획!$D$3:$D$202,0),IFERROR(MATCH($B152&amp;"",인턴근무계획!$D$3:$D$202,0),IFERROR(MATCH(VALUE($B152),인턴근무계획!$D$3:$D$202,0),""))))</f>
        <v/>
      </c>
      <c r="AD152" s="10">
        <f>IF(OR($AC152="",인턴현황!$G$3=""),"",INDEX(인턴근무계획!$M$3:$R$202,$AC152,인턴현황!$G$3)&amp;"")</f>
        <v/>
      </c>
      <c r="AE152" s="10">
        <f>IF($B152="","",IF($M152&lt;&gt;"",$M152,IF($AF152&lt;&gt;"",IF(LEFT(INDEX(파견수련계획!$R$4:$R$203,$AF152),1)&lt;&gt;"⚠",INDEX(파견수련계획!$R$4:$R$203,$AF152),IF($H152="","",IF(RIGHT($H152,2)="병원",$H152,$H152&amp;"병원"))),IF($H152="","",IF(RIGHT($H152,2)="병원",$H152,$H152&amp;"병원")))))</f>
        <v/>
      </c>
      <c r="AF152" s="10">
        <f>IF(OR($B152="",TRIM($J152&amp;"")=""),"",IFERROR(MATCH(TRIM($J152&amp;"")&amp;"|파견중",파견수련계획!$Y$4:$Y$203,0),IFERROR(MATCH(TRIM($J152&amp;"")&amp;"|파견예정",파견수련계획!$Y$4:$Y$203,0),IFERROR(MATCH(TRIM($J152&amp;"")&amp;"|파견종료",파견수련계획!$Y$4:$Y$203,0),""))))</f>
        <v/>
      </c>
      <c r="AG152" s="10">
        <f>IF($B152="","",IF(AND(IF(OR($AC152="",인턴현황!$K$2=""),"",INDEX(인턴근무계획!$M$3:$R$202,$AC152,인턴현황!$K$2)&amp;"")&lt;&gt;"",LEFT(IF(OR($AC152="",인턴현황!$K$2=""),"",INDEX(인턴근무계획!$M$3:$R$202,$AC152,인턴현황!$K$2)&amp;""),1)&lt;&gt;"⚠"),LEFT(IF(OR($AC152="",인턴현황!$K$2=""),"",INDEX(인턴근무계획!$M$3:$R$202,$AC152,인턴현황!$K$2)&amp;""),FIND(" ",IF(OR($AC152="",인턴현황!$K$2=""),"",INDEX(인턴근무계획!$M$3:$R$202,$AC152,인턴현황!$K$2)&amp;""))-1),$AE152))</f>
        <v/>
      </c>
      <c r="AH152" s="17">
        <f>IF($B152="","",IF(TRIM($J152&amp;"")="",0,SUMPRODUCT((파견수련계획!$Q$4:$Q$203=TRIM($J152&amp;""))*(파견수련계획!$S$4:$S$203="서울병원")*파견수련계획!$W$4:$W$203))+IF($AG152="서울병원",MAX(0,DAY(EOMONTH(요약!$B$3,0))-N($X152)),0))</f>
        <v/>
      </c>
      <c r="AI152" s="17">
        <f>IF($B152="","",IF(TRIM($J152&amp;"")="",0,SUMPRODUCT((파견수련계획!$Q$4:$Q$203=TRIM($J152&amp;""))*(파견수련계획!$S$4:$S$203="구리병원")*파견수련계획!$W$4:$W$203))+IF($AG152="구리병원",MAX(0,DAY(EOMONTH(요약!$B$3,0))-N($X152)),0))</f>
        <v/>
      </c>
      <c r="AJ152" s="10">
        <f>IF(OR($B152="",TRIM($J152&amp;"")=""),"",IFERROR(MATCH(TRIM($J152&amp;"")&amp;"|월",파견수련계획!$Z$4:$Z$203,0),""))</f>
        <v/>
      </c>
      <c r="AK152" s="10">
        <f>IF(OR($B152="",TRIM($J152&amp;"")=""),"",IFERROR(MATCH(TRIM($J152&amp;"")&amp;"|다기관",파견수련계획!$AE$4:$AE$203,0),""))</f>
        <v/>
      </c>
      <c r="AL152" s="10">
        <f>IF($AK152="","","다기관 "&amp;TEXT(INDEX(파견수련계획!$AB$4:$AB$203,$AK152),"yyyy-mm-dd")&amp;"~"&amp;IF(ISNUMBER(INDEX(파견수련계획!$AC$4:$AC$203,$AK152)),TEXT(INDEX(파견수련계획!$AC$4:$AC$203,$AK152),"yyyy-mm-dd"),""))</f>
        <v/>
      </c>
    </row>
    <row r="153">
      <c r="A153" s="10">
        <f>IF(B153="","",ROW()-1)</f>
        <v/>
      </c>
      <c r="B153" s="18" t="n"/>
      <c r="C153" s="10">
        <f>IF($AB153="","",IF(INDEX(기본자료!$C$2:$C$501,$AB153)="","",INDEX(기본자료!$C$2:$C$501,$AB153)))</f>
        <v/>
      </c>
      <c r="D153" s="10">
        <f>IF($AB153="","",IF(INDEX(기본자료!$J$2:$J$501,$AB153)="","",INDEX(기본자료!$J$2:$J$501,$AB153)))</f>
        <v/>
      </c>
      <c r="E153" s="11">
        <f>IF($AB153="","",IF(INDEX(기본자료!$K$2:$K$501,$AB153)="","",IF(NOT(ISNUMBER(INDEX(기본자료!$K$2:$K$501,$AB153))),INDEX(기본자료!$K$2:$K$501,$AB153),IF(INDEX(기본자료!$K$2:$K$501,$AB153)&lt;1000000,INDEX(기본자료!$K$2:$K$501,$AB153),IF(AND(INDEX(기본자료!$K$2:$K$501,$AB153)&gt;=10000101,INT(MOD(INDEX(기본자료!$K$2:$K$501,$AB153),10000)/100)&gt;=1,INT(MOD(INDEX(기본자료!$K$2:$K$501,$AB153),10000)/100)&lt;=12,MOD(INDEX(기본자료!$K$2:$K$501,$AB153),100)&gt;=1,MOD(INDEX(기본자료!$K$2:$K$501,$AB153),100)&lt;=31),DATE(INT(INDEX(기본자료!$K$2:$K$501,$AB153)/10000),INT(MOD(INDEX(기본자료!$K$2:$K$501,$AB153),10000)/100),MOD(INDEX(기본자료!$K$2:$K$501,$AB153),100)),INDEX(기본자료!$K$2:$K$501,$AB153)&amp;"")))))</f>
        <v/>
      </c>
      <c r="F153" s="10">
        <f>IF($AB153="","",IF(INDEX(기본자료!$D$2:$D$501,$AB153)="","",INDEX(기본자료!$D$2:$D$501,$AB153)))</f>
        <v/>
      </c>
      <c r="G153" s="10">
        <f>IF($AB153="","",IF(INDEX(기본자료!$E$2:$E$501,$AB153)="","",INDEX(기본자료!$E$2:$E$501,$AB153)))</f>
        <v/>
      </c>
      <c r="H153" s="10">
        <f>IF($AB153="","",IF(INDEX(기본자료!$F$2:$F$501,$AB153)="","",INDEX(기본자료!$F$2:$F$501,$AB153)))</f>
        <v/>
      </c>
      <c r="I153" s="11">
        <f>IF($AB153="","",IF(INDEX(기본자료!$G$2:$G$501,$AB153)="","",IF(NOT(ISNUMBER(INDEX(기본자료!$G$2:$G$501,$AB153))),INDEX(기본자료!$G$2:$G$501,$AB153),IF(INDEX(기본자료!$G$2:$G$501,$AB153)&lt;1000000,INDEX(기본자료!$G$2:$G$501,$AB153),IF(AND(INDEX(기본자료!$G$2:$G$501,$AB153)&gt;=10000101,INT(MOD(INDEX(기본자료!$G$2:$G$501,$AB153),10000)/100)&gt;=1,INT(MOD(INDEX(기본자료!$G$2:$G$501,$AB153),10000)/100)&lt;=12,MOD(INDEX(기본자료!$G$2:$G$501,$AB153),100)&gt;=1,MOD(INDEX(기본자료!$G$2:$G$501,$AB153),100)&lt;=31),DATE(INT(INDEX(기본자료!$G$2:$G$501,$AB153)/10000),INT(MOD(INDEX(기본자료!$G$2:$G$501,$AB153),10000)/100),MOD(INDEX(기본자료!$G$2:$G$501,$AB153),100)),INDEX(기본자료!$G$2:$G$501,$AB153)&amp;"")))))</f>
        <v/>
      </c>
      <c r="J153" s="10">
        <f>IF($AB153="","",IF(INDEX(기본자료!$H$2:$H$501,$AB153)="","",INDEX(기본자료!$H$2:$H$501,$AB153)))</f>
        <v/>
      </c>
      <c r="K153" s="10">
        <f>IF($AB153="","",IF(INDEX(기본자료!$I$2:$I$501,$AB153)="","",INDEX(기본자료!$I$2:$I$501,$AB153)))</f>
        <v/>
      </c>
      <c r="L153" s="10">
        <f>IF($AB153="","",IF(INDEX(기본자료!$A$2:$A$501,$AB153)="","",INDEX(기본자료!$A$2:$A$501,$AB153)))</f>
        <v/>
      </c>
      <c r="M153" s="15" t="n"/>
      <c r="N153" s="10">
        <f>IF($B153="","",IF(AND($U153="파견중",$Q153&lt;&gt;""),$Q153,IF(AND($AD153&lt;&gt;"",LEFT($AD153,1)&lt;&gt;"⚠"),LEFT($AD153,FIND(" ",$AD153)-1),IF($H153="","",IF(RIGHT($H153,2)="병원",$H153,$H153&amp;"병원")))))</f>
        <v/>
      </c>
      <c r="O153" s="10">
        <f>IF($B153="","",IF(AND($U153="파견중",$Q153&lt;&gt;""),IF($R153&lt;&gt;"",$R153,"파견과 미입력"),IF(AND($AD153&lt;&gt;"",LEFT($AD153,1)&lt;&gt;"⚠"),MID($AD153,FIND(" ",$AD153)+1,60),IF($F153="","",IF($F153="인턴","수련교육부(인턴)",$F153)))))</f>
        <v/>
      </c>
      <c r="P153" s="10">
        <f>IF($B153="","",IF($AK153&lt;&gt;"",IF(AND(TODAY()&gt;=INDEX(파견수련계획!$AB$4:$AB$203,$AK153),OR(NOT(ISNUMBER(INDEX(파견수련계획!$AC$4:$AC$203,$AK153))),TODAY()&lt;=INDEX(파견수련계획!$AC$4:$AC$203,$AK153))),"다기관",IF($AF153="","",INDEX(파견수련계획!$T$4:$T$203,$AF153))),IF($AF153="","",INDEX(파견수련계획!$T$4:$T$203,$AF153))))</f>
        <v/>
      </c>
      <c r="Q153" s="10">
        <f>IF($AF153="","",INDEX(파견수련계획!$S$4:$S$203,$AF153))</f>
        <v/>
      </c>
      <c r="R153" s="10">
        <f>IF($AF153="","",INDEX(파견수련계획!$U$4:$U$203,$AF153))</f>
        <v/>
      </c>
      <c r="S153" s="11">
        <f>IF($AF153="","",IF(INDEX(파견수련계획!$H$4:$H$203,$AF153)="","",INDEX(파견수련계획!$H$4:$H$203,$AF153)))</f>
        <v/>
      </c>
      <c r="T153" s="11">
        <f>IF($AF153="","",IF(INDEX(파견수련계획!$I$4:$I$203,$AF153)="","",INDEX(파견수련계획!$I$4:$I$203,$AF153)))</f>
        <v/>
      </c>
      <c r="U153" s="10">
        <f>IF($AF153="","",INDEX(파견수련계획!$X$4:$X$203,$AF153))</f>
        <v/>
      </c>
      <c r="V153" s="17">
        <f>IF($AF153="","",INDEX(파견수련계획!$V$4:$V$203,$AF153))</f>
        <v/>
      </c>
      <c r="W153" s="17">
        <f>IF(AND($U153="파견중",$T153&lt;&gt;""),$T153-TODAY(),"")</f>
        <v/>
      </c>
      <c r="X153" s="17">
        <f>IF(OR($B153="",TRIM($J153&amp;"")=""),"",SUMPRODUCT((파견수련계획!$Q$4:$Q$203=TRIM($J153&amp;""))*파견수련계획!$W$4:$W$203))</f>
        <v/>
      </c>
      <c r="Y153" s="10">
        <f>IF($B153="","",IF($AG153="","",IF(IF(TRIM($J153&amp;"")="",0,SUMPRODUCT((파견수련계획!$Q$4:$Q$203=TRIM($J153&amp;""))*파견수련계획!$AD$4:$AD$203))&gt;0,$AE153,IF(N($X153)&lt;=0,$AG153,IF($AH153+$AI153=DAY(EOMONTH(요약!$B$3,0)),IF(AND($AH153&gt;=요약!$E$3,$AI153&lt;요약!$E$3),"서울병원",IF(AND($AI153&gt;=요약!$E$3,$AH153&lt;요약!$E$3),"구리병원","⚠15일 판정불가(서울 "&amp;$AH153&amp;"일/구리 "&amp;$AI153&amp;"일)")),IF($AJ153="",$AE153,IF(INDEX(파견수련계획!$T$4:$T$203,$AJ153)="통합수련",INDEX(파견수련계획!$S$4:$S$203,$AJ153),$AE153)))))))</f>
        <v/>
      </c>
      <c r="Z153" s="19">
        <f>IF($B153="","",IF($AB153="","기본자료에 없는 사번",IF(COUNTIF($B$2:$B$201,$B153)&gt;1,"중복 사번",IF($AE153="","소속(입사장소) 입력",IF(IF(TRIM($J153&amp;"")="",0,SUMPRODUCT((파견수련계획!$Q$4:$Q$203=TRIM($J153&amp;""))*(파견수련계획!$AA$4:$AA$203&lt;&gt;"")))&gt;0,"파견수련계획 입력오류 확인",IF(LEFT($Y153,1)="⚠","서울·구리 15일 판정 불가(양쪽 모두 이상/미만)",IF(IF($AC153="",0,N(INDEX(인턴근무계획!$T$3:$T$202,$AC153)))&gt;0,"인턴계획 입력오류 확인",IF(AND($AC153&lt;&gt;"",$U153&lt;&gt;"파견중",$N153&lt;&gt;$AE153),"인턴 타지역 근무: 파견 여부 확인","정상"))))))))</f>
        <v/>
      </c>
      <c r="AA153" s="5" t="n"/>
      <c r="AB153" s="10">
        <f>IF($B153="","",IFERROR(MATCH($B153,기본자료!$B$2:$B$501,0),IFERROR(MATCH($B153&amp;"",기본자료!$B$2:$B$501,0),IFERROR(MATCH(VALUE($B153),기본자료!$B$2:$B$501,0),""))))</f>
        <v/>
      </c>
      <c r="AC153" s="10">
        <f>IF($B153="","",IFERROR(MATCH($B153,인턴근무계획!$D$3:$D$202,0),IFERROR(MATCH($B153&amp;"",인턴근무계획!$D$3:$D$202,0),IFERROR(MATCH(VALUE($B153),인턴근무계획!$D$3:$D$202,0),""))))</f>
        <v/>
      </c>
      <c r="AD153" s="10">
        <f>IF(OR($AC153="",인턴현황!$G$3=""),"",INDEX(인턴근무계획!$M$3:$R$202,$AC153,인턴현황!$G$3)&amp;"")</f>
        <v/>
      </c>
      <c r="AE153" s="10">
        <f>IF($B153="","",IF($M153&lt;&gt;"",$M153,IF($AF153&lt;&gt;"",IF(LEFT(INDEX(파견수련계획!$R$4:$R$203,$AF153),1)&lt;&gt;"⚠",INDEX(파견수련계획!$R$4:$R$203,$AF153),IF($H153="","",IF(RIGHT($H153,2)="병원",$H153,$H153&amp;"병원"))),IF($H153="","",IF(RIGHT($H153,2)="병원",$H153,$H153&amp;"병원")))))</f>
        <v/>
      </c>
      <c r="AF153" s="10">
        <f>IF(OR($B153="",TRIM($J153&amp;"")=""),"",IFERROR(MATCH(TRIM($J153&amp;"")&amp;"|파견중",파견수련계획!$Y$4:$Y$203,0),IFERROR(MATCH(TRIM($J153&amp;"")&amp;"|파견예정",파견수련계획!$Y$4:$Y$203,0),IFERROR(MATCH(TRIM($J153&amp;"")&amp;"|파견종료",파견수련계획!$Y$4:$Y$203,0),""))))</f>
        <v/>
      </c>
      <c r="AG153" s="10">
        <f>IF($B153="","",IF(AND(IF(OR($AC153="",인턴현황!$K$2=""),"",INDEX(인턴근무계획!$M$3:$R$202,$AC153,인턴현황!$K$2)&amp;"")&lt;&gt;"",LEFT(IF(OR($AC153="",인턴현황!$K$2=""),"",INDEX(인턴근무계획!$M$3:$R$202,$AC153,인턴현황!$K$2)&amp;""),1)&lt;&gt;"⚠"),LEFT(IF(OR($AC153="",인턴현황!$K$2=""),"",INDEX(인턴근무계획!$M$3:$R$202,$AC153,인턴현황!$K$2)&amp;""),FIND(" ",IF(OR($AC153="",인턴현황!$K$2=""),"",INDEX(인턴근무계획!$M$3:$R$202,$AC153,인턴현황!$K$2)&amp;""))-1),$AE153))</f>
        <v/>
      </c>
      <c r="AH153" s="17">
        <f>IF($B153="","",IF(TRIM($J153&amp;"")="",0,SUMPRODUCT((파견수련계획!$Q$4:$Q$203=TRIM($J153&amp;""))*(파견수련계획!$S$4:$S$203="서울병원")*파견수련계획!$W$4:$W$203))+IF($AG153="서울병원",MAX(0,DAY(EOMONTH(요약!$B$3,0))-N($X153)),0))</f>
        <v/>
      </c>
      <c r="AI153" s="17">
        <f>IF($B153="","",IF(TRIM($J153&amp;"")="",0,SUMPRODUCT((파견수련계획!$Q$4:$Q$203=TRIM($J153&amp;""))*(파견수련계획!$S$4:$S$203="구리병원")*파견수련계획!$W$4:$W$203))+IF($AG153="구리병원",MAX(0,DAY(EOMONTH(요약!$B$3,0))-N($X153)),0))</f>
        <v/>
      </c>
      <c r="AJ153" s="10">
        <f>IF(OR($B153="",TRIM($J153&amp;"")=""),"",IFERROR(MATCH(TRIM($J153&amp;"")&amp;"|월",파견수련계획!$Z$4:$Z$203,0),""))</f>
        <v/>
      </c>
      <c r="AK153" s="10">
        <f>IF(OR($B153="",TRIM($J153&amp;"")=""),"",IFERROR(MATCH(TRIM($J153&amp;"")&amp;"|다기관",파견수련계획!$AE$4:$AE$203,0),""))</f>
        <v/>
      </c>
      <c r="AL153" s="10">
        <f>IF($AK153="","","다기관 "&amp;TEXT(INDEX(파견수련계획!$AB$4:$AB$203,$AK153),"yyyy-mm-dd")&amp;"~"&amp;IF(ISNUMBER(INDEX(파견수련계획!$AC$4:$AC$203,$AK153)),TEXT(INDEX(파견수련계획!$AC$4:$AC$203,$AK153),"yyyy-mm-dd"),""))</f>
        <v/>
      </c>
    </row>
    <row r="154">
      <c r="A154" s="10">
        <f>IF(B154="","",ROW()-1)</f>
        <v/>
      </c>
      <c r="B154" s="18" t="n"/>
      <c r="C154" s="10">
        <f>IF($AB154="","",IF(INDEX(기본자료!$C$2:$C$501,$AB154)="","",INDEX(기본자료!$C$2:$C$501,$AB154)))</f>
        <v/>
      </c>
      <c r="D154" s="10">
        <f>IF($AB154="","",IF(INDEX(기본자료!$J$2:$J$501,$AB154)="","",INDEX(기본자료!$J$2:$J$501,$AB154)))</f>
        <v/>
      </c>
      <c r="E154" s="11">
        <f>IF($AB154="","",IF(INDEX(기본자료!$K$2:$K$501,$AB154)="","",IF(NOT(ISNUMBER(INDEX(기본자료!$K$2:$K$501,$AB154))),INDEX(기본자료!$K$2:$K$501,$AB154),IF(INDEX(기본자료!$K$2:$K$501,$AB154)&lt;1000000,INDEX(기본자료!$K$2:$K$501,$AB154),IF(AND(INDEX(기본자료!$K$2:$K$501,$AB154)&gt;=10000101,INT(MOD(INDEX(기본자료!$K$2:$K$501,$AB154),10000)/100)&gt;=1,INT(MOD(INDEX(기본자료!$K$2:$K$501,$AB154),10000)/100)&lt;=12,MOD(INDEX(기본자료!$K$2:$K$501,$AB154),100)&gt;=1,MOD(INDEX(기본자료!$K$2:$K$501,$AB154),100)&lt;=31),DATE(INT(INDEX(기본자료!$K$2:$K$501,$AB154)/10000),INT(MOD(INDEX(기본자료!$K$2:$K$501,$AB154),10000)/100),MOD(INDEX(기본자료!$K$2:$K$501,$AB154),100)),INDEX(기본자료!$K$2:$K$501,$AB154)&amp;"")))))</f>
        <v/>
      </c>
      <c r="F154" s="10">
        <f>IF($AB154="","",IF(INDEX(기본자료!$D$2:$D$501,$AB154)="","",INDEX(기본자료!$D$2:$D$501,$AB154)))</f>
        <v/>
      </c>
      <c r="G154" s="10">
        <f>IF($AB154="","",IF(INDEX(기본자료!$E$2:$E$501,$AB154)="","",INDEX(기본자료!$E$2:$E$501,$AB154)))</f>
        <v/>
      </c>
      <c r="H154" s="10">
        <f>IF($AB154="","",IF(INDEX(기본자료!$F$2:$F$501,$AB154)="","",INDEX(기본자료!$F$2:$F$501,$AB154)))</f>
        <v/>
      </c>
      <c r="I154" s="11">
        <f>IF($AB154="","",IF(INDEX(기본자료!$G$2:$G$501,$AB154)="","",IF(NOT(ISNUMBER(INDEX(기본자료!$G$2:$G$501,$AB154))),INDEX(기본자료!$G$2:$G$501,$AB154),IF(INDEX(기본자료!$G$2:$G$501,$AB154)&lt;1000000,INDEX(기본자료!$G$2:$G$501,$AB154),IF(AND(INDEX(기본자료!$G$2:$G$501,$AB154)&gt;=10000101,INT(MOD(INDEX(기본자료!$G$2:$G$501,$AB154),10000)/100)&gt;=1,INT(MOD(INDEX(기본자료!$G$2:$G$501,$AB154),10000)/100)&lt;=12,MOD(INDEX(기본자료!$G$2:$G$501,$AB154),100)&gt;=1,MOD(INDEX(기본자료!$G$2:$G$501,$AB154),100)&lt;=31),DATE(INT(INDEX(기본자료!$G$2:$G$501,$AB154)/10000),INT(MOD(INDEX(기본자료!$G$2:$G$501,$AB154),10000)/100),MOD(INDEX(기본자료!$G$2:$G$501,$AB154),100)),INDEX(기본자료!$G$2:$G$501,$AB154)&amp;"")))))</f>
        <v/>
      </c>
      <c r="J154" s="10">
        <f>IF($AB154="","",IF(INDEX(기본자료!$H$2:$H$501,$AB154)="","",INDEX(기본자료!$H$2:$H$501,$AB154)))</f>
        <v/>
      </c>
      <c r="K154" s="10">
        <f>IF($AB154="","",IF(INDEX(기본자료!$I$2:$I$501,$AB154)="","",INDEX(기본자료!$I$2:$I$501,$AB154)))</f>
        <v/>
      </c>
      <c r="L154" s="10">
        <f>IF($AB154="","",IF(INDEX(기본자료!$A$2:$A$501,$AB154)="","",INDEX(기본자료!$A$2:$A$501,$AB154)))</f>
        <v/>
      </c>
      <c r="M154" s="15" t="n"/>
      <c r="N154" s="10">
        <f>IF($B154="","",IF(AND($U154="파견중",$Q154&lt;&gt;""),$Q154,IF(AND($AD154&lt;&gt;"",LEFT($AD154,1)&lt;&gt;"⚠"),LEFT($AD154,FIND(" ",$AD154)-1),IF($H154="","",IF(RIGHT($H154,2)="병원",$H154,$H154&amp;"병원")))))</f>
        <v/>
      </c>
      <c r="O154" s="10">
        <f>IF($B154="","",IF(AND($U154="파견중",$Q154&lt;&gt;""),IF($R154&lt;&gt;"",$R154,"파견과 미입력"),IF(AND($AD154&lt;&gt;"",LEFT($AD154,1)&lt;&gt;"⚠"),MID($AD154,FIND(" ",$AD154)+1,60),IF($F154="","",IF($F154="인턴","수련교육부(인턴)",$F154)))))</f>
        <v/>
      </c>
      <c r="P154" s="10">
        <f>IF($B154="","",IF($AK154&lt;&gt;"",IF(AND(TODAY()&gt;=INDEX(파견수련계획!$AB$4:$AB$203,$AK154),OR(NOT(ISNUMBER(INDEX(파견수련계획!$AC$4:$AC$203,$AK154))),TODAY()&lt;=INDEX(파견수련계획!$AC$4:$AC$203,$AK154))),"다기관",IF($AF154="","",INDEX(파견수련계획!$T$4:$T$203,$AF154))),IF($AF154="","",INDEX(파견수련계획!$T$4:$T$203,$AF154))))</f>
        <v/>
      </c>
      <c r="Q154" s="10">
        <f>IF($AF154="","",INDEX(파견수련계획!$S$4:$S$203,$AF154))</f>
        <v/>
      </c>
      <c r="R154" s="10">
        <f>IF($AF154="","",INDEX(파견수련계획!$U$4:$U$203,$AF154))</f>
        <v/>
      </c>
      <c r="S154" s="11">
        <f>IF($AF154="","",IF(INDEX(파견수련계획!$H$4:$H$203,$AF154)="","",INDEX(파견수련계획!$H$4:$H$203,$AF154)))</f>
        <v/>
      </c>
      <c r="T154" s="11">
        <f>IF($AF154="","",IF(INDEX(파견수련계획!$I$4:$I$203,$AF154)="","",INDEX(파견수련계획!$I$4:$I$203,$AF154)))</f>
        <v/>
      </c>
      <c r="U154" s="10">
        <f>IF($AF154="","",INDEX(파견수련계획!$X$4:$X$203,$AF154))</f>
        <v/>
      </c>
      <c r="V154" s="17">
        <f>IF($AF154="","",INDEX(파견수련계획!$V$4:$V$203,$AF154))</f>
        <v/>
      </c>
      <c r="W154" s="17">
        <f>IF(AND($U154="파견중",$T154&lt;&gt;""),$T154-TODAY(),"")</f>
        <v/>
      </c>
      <c r="X154" s="17">
        <f>IF(OR($B154="",TRIM($J154&amp;"")=""),"",SUMPRODUCT((파견수련계획!$Q$4:$Q$203=TRIM($J154&amp;""))*파견수련계획!$W$4:$W$203))</f>
        <v/>
      </c>
      <c r="Y154" s="10">
        <f>IF($B154="","",IF($AG154="","",IF(IF(TRIM($J154&amp;"")="",0,SUMPRODUCT((파견수련계획!$Q$4:$Q$203=TRIM($J154&amp;""))*파견수련계획!$AD$4:$AD$203))&gt;0,$AE154,IF(N($X154)&lt;=0,$AG154,IF($AH154+$AI154=DAY(EOMONTH(요약!$B$3,0)),IF(AND($AH154&gt;=요약!$E$3,$AI154&lt;요약!$E$3),"서울병원",IF(AND($AI154&gt;=요약!$E$3,$AH154&lt;요약!$E$3),"구리병원","⚠15일 판정불가(서울 "&amp;$AH154&amp;"일/구리 "&amp;$AI154&amp;"일)")),IF($AJ154="",$AE154,IF(INDEX(파견수련계획!$T$4:$T$203,$AJ154)="통합수련",INDEX(파견수련계획!$S$4:$S$203,$AJ154),$AE154)))))))</f>
        <v/>
      </c>
      <c r="Z154" s="19">
        <f>IF($B154="","",IF($AB154="","기본자료에 없는 사번",IF(COUNTIF($B$2:$B$201,$B154)&gt;1,"중복 사번",IF($AE154="","소속(입사장소) 입력",IF(IF(TRIM($J154&amp;"")="",0,SUMPRODUCT((파견수련계획!$Q$4:$Q$203=TRIM($J154&amp;""))*(파견수련계획!$AA$4:$AA$203&lt;&gt;"")))&gt;0,"파견수련계획 입력오류 확인",IF(LEFT($Y154,1)="⚠","서울·구리 15일 판정 불가(양쪽 모두 이상/미만)",IF(IF($AC154="",0,N(INDEX(인턴근무계획!$T$3:$T$202,$AC154)))&gt;0,"인턴계획 입력오류 확인",IF(AND($AC154&lt;&gt;"",$U154&lt;&gt;"파견중",$N154&lt;&gt;$AE154),"인턴 타지역 근무: 파견 여부 확인","정상"))))))))</f>
        <v/>
      </c>
      <c r="AA154" s="5" t="n"/>
      <c r="AB154" s="10">
        <f>IF($B154="","",IFERROR(MATCH($B154,기본자료!$B$2:$B$501,0),IFERROR(MATCH($B154&amp;"",기본자료!$B$2:$B$501,0),IFERROR(MATCH(VALUE($B154),기본자료!$B$2:$B$501,0),""))))</f>
        <v/>
      </c>
      <c r="AC154" s="10">
        <f>IF($B154="","",IFERROR(MATCH($B154,인턴근무계획!$D$3:$D$202,0),IFERROR(MATCH($B154&amp;"",인턴근무계획!$D$3:$D$202,0),IFERROR(MATCH(VALUE($B154),인턴근무계획!$D$3:$D$202,0),""))))</f>
        <v/>
      </c>
      <c r="AD154" s="10">
        <f>IF(OR($AC154="",인턴현황!$G$3=""),"",INDEX(인턴근무계획!$M$3:$R$202,$AC154,인턴현황!$G$3)&amp;"")</f>
        <v/>
      </c>
      <c r="AE154" s="10">
        <f>IF($B154="","",IF($M154&lt;&gt;"",$M154,IF($AF154&lt;&gt;"",IF(LEFT(INDEX(파견수련계획!$R$4:$R$203,$AF154),1)&lt;&gt;"⚠",INDEX(파견수련계획!$R$4:$R$203,$AF154),IF($H154="","",IF(RIGHT($H154,2)="병원",$H154,$H154&amp;"병원"))),IF($H154="","",IF(RIGHT($H154,2)="병원",$H154,$H154&amp;"병원")))))</f>
        <v/>
      </c>
      <c r="AF154" s="10">
        <f>IF(OR($B154="",TRIM($J154&amp;"")=""),"",IFERROR(MATCH(TRIM($J154&amp;"")&amp;"|파견중",파견수련계획!$Y$4:$Y$203,0),IFERROR(MATCH(TRIM($J154&amp;"")&amp;"|파견예정",파견수련계획!$Y$4:$Y$203,0),IFERROR(MATCH(TRIM($J154&amp;"")&amp;"|파견종료",파견수련계획!$Y$4:$Y$203,0),""))))</f>
        <v/>
      </c>
      <c r="AG154" s="10">
        <f>IF($B154="","",IF(AND(IF(OR($AC154="",인턴현황!$K$2=""),"",INDEX(인턴근무계획!$M$3:$R$202,$AC154,인턴현황!$K$2)&amp;"")&lt;&gt;"",LEFT(IF(OR($AC154="",인턴현황!$K$2=""),"",INDEX(인턴근무계획!$M$3:$R$202,$AC154,인턴현황!$K$2)&amp;""),1)&lt;&gt;"⚠"),LEFT(IF(OR($AC154="",인턴현황!$K$2=""),"",INDEX(인턴근무계획!$M$3:$R$202,$AC154,인턴현황!$K$2)&amp;""),FIND(" ",IF(OR($AC154="",인턴현황!$K$2=""),"",INDEX(인턴근무계획!$M$3:$R$202,$AC154,인턴현황!$K$2)&amp;""))-1),$AE154))</f>
        <v/>
      </c>
      <c r="AH154" s="17">
        <f>IF($B154="","",IF(TRIM($J154&amp;"")="",0,SUMPRODUCT((파견수련계획!$Q$4:$Q$203=TRIM($J154&amp;""))*(파견수련계획!$S$4:$S$203="서울병원")*파견수련계획!$W$4:$W$203))+IF($AG154="서울병원",MAX(0,DAY(EOMONTH(요약!$B$3,0))-N($X154)),0))</f>
        <v/>
      </c>
      <c r="AI154" s="17">
        <f>IF($B154="","",IF(TRIM($J154&amp;"")="",0,SUMPRODUCT((파견수련계획!$Q$4:$Q$203=TRIM($J154&amp;""))*(파견수련계획!$S$4:$S$203="구리병원")*파견수련계획!$W$4:$W$203))+IF($AG154="구리병원",MAX(0,DAY(EOMONTH(요약!$B$3,0))-N($X154)),0))</f>
        <v/>
      </c>
      <c r="AJ154" s="10">
        <f>IF(OR($B154="",TRIM($J154&amp;"")=""),"",IFERROR(MATCH(TRIM($J154&amp;"")&amp;"|월",파견수련계획!$Z$4:$Z$203,0),""))</f>
        <v/>
      </c>
      <c r="AK154" s="10">
        <f>IF(OR($B154="",TRIM($J154&amp;"")=""),"",IFERROR(MATCH(TRIM($J154&amp;"")&amp;"|다기관",파견수련계획!$AE$4:$AE$203,0),""))</f>
        <v/>
      </c>
      <c r="AL154" s="10">
        <f>IF($AK154="","","다기관 "&amp;TEXT(INDEX(파견수련계획!$AB$4:$AB$203,$AK154),"yyyy-mm-dd")&amp;"~"&amp;IF(ISNUMBER(INDEX(파견수련계획!$AC$4:$AC$203,$AK154)),TEXT(INDEX(파견수련계획!$AC$4:$AC$203,$AK154),"yyyy-mm-dd"),""))</f>
        <v/>
      </c>
    </row>
    <row r="155">
      <c r="A155" s="10">
        <f>IF(B155="","",ROW()-1)</f>
        <v/>
      </c>
      <c r="B155" s="18" t="n"/>
      <c r="C155" s="10">
        <f>IF($AB155="","",IF(INDEX(기본자료!$C$2:$C$501,$AB155)="","",INDEX(기본자료!$C$2:$C$501,$AB155)))</f>
        <v/>
      </c>
      <c r="D155" s="10">
        <f>IF($AB155="","",IF(INDEX(기본자료!$J$2:$J$501,$AB155)="","",INDEX(기본자료!$J$2:$J$501,$AB155)))</f>
        <v/>
      </c>
      <c r="E155" s="11">
        <f>IF($AB155="","",IF(INDEX(기본자료!$K$2:$K$501,$AB155)="","",IF(NOT(ISNUMBER(INDEX(기본자료!$K$2:$K$501,$AB155))),INDEX(기본자료!$K$2:$K$501,$AB155),IF(INDEX(기본자료!$K$2:$K$501,$AB155)&lt;1000000,INDEX(기본자료!$K$2:$K$501,$AB155),IF(AND(INDEX(기본자료!$K$2:$K$501,$AB155)&gt;=10000101,INT(MOD(INDEX(기본자료!$K$2:$K$501,$AB155),10000)/100)&gt;=1,INT(MOD(INDEX(기본자료!$K$2:$K$501,$AB155),10000)/100)&lt;=12,MOD(INDEX(기본자료!$K$2:$K$501,$AB155),100)&gt;=1,MOD(INDEX(기본자료!$K$2:$K$501,$AB155),100)&lt;=31),DATE(INT(INDEX(기본자료!$K$2:$K$501,$AB155)/10000),INT(MOD(INDEX(기본자료!$K$2:$K$501,$AB155),10000)/100),MOD(INDEX(기본자료!$K$2:$K$501,$AB155),100)),INDEX(기본자료!$K$2:$K$501,$AB155)&amp;"")))))</f>
        <v/>
      </c>
      <c r="F155" s="10">
        <f>IF($AB155="","",IF(INDEX(기본자료!$D$2:$D$501,$AB155)="","",INDEX(기본자료!$D$2:$D$501,$AB155)))</f>
        <v/>
      </c>
      <c r="G155" s="10">
        <f>IF($AB155="","",IF(INDEX(기본자료!$E$2:$E$501,$AB155)="","",INDEX(기본자료!$E$2:$E$501,$AB155)))</f>
        <v/>
      </c>
      <c r="H155" s="10">
        <f>IF($AB155="","",IF(INDEX(기본자료!$F$2:$F$501,$AB155)="","",INDEX(기본자료!$F$2:$F$501,$AB155)))</f>
        <v/>
      </c>
      <c r="I155" s="11">
        <f>IF($AB155="","",IF(INDEX(기본자료!$G$2:$G$501,$AB155)="","",IF(NOT(ISNUMBER(INDEX(기본자료!$G$2:$G$501,$AB155))),INDEX(기본자료!$G$2:$G$501,$AB155),IF(INDEX(기본자료!$G$2:$G$501,$AB155)&lt;1000000,INDEX(기본자료!$G$2:$G$501,$AB155),IF(AND(INDEX(기본자료!$G$2:$G$501,$AB155)&gt;=10000101,INT(MOD(INDEX(기본자료!$G$2:$G$501,$AB155),10000)/100)&gt;=1,INT(MOD(INDEX(기본자료!$G$2:$G$501,$AB155),10000)/100)&lt;=12,MOD(INDEX(기본자료!$G$2:$G$501,$AB155),100)&gt;=1,MOD(INDEX(기본자료!$G$2:$G$501,$AB155),100)&lt;=31),DATE(INT(INDEX(기본자료!$G$2:$G$501,$AB155)/10000),INT(MOD(INDEX(기본자료!$G$2:$G$501,$AB155),10000)/100),MOD(INDEX(기본자료!$G$2:$G$501,$AB155),100)),INDEX(기본자료!$G$2:$G$501,$AB155)&amp;"")))))</f>
        <v/>
      </c>
      <c r="J155" s="10">
        <f>IF($AB155="","",IF(INDEX(기본자료!$H$2:$H$501,$AB155)="","",INDEX(기본자료!$H$2:$H$501,$AB155)))</f>
        <v/>
      </c>
      <c r="K155" s="10">
        <f>IF($AB155="","",IF(INDEX(기본자료!$I$2:$I$501,$AB155)="","",INDEX(기본자료!$I$2:$I$501,$AB155)))</f>
        <v/>
      </c>
      <c r="L155" s="10">
        <f>IF($AB155="","",IF(INDEX(기본자료!$A$2:$A$501,$AB155)="","",INDEX(기본자료!$A$2:$A$501,$AB155)))</f>
        <v/>
      </c>
      <c r="M155" s="15" t="n"/>
      <c r="N155" s="10">
        <f>IF($B155="","",IF(AND($U155="파견중",$Q155&lt;&gt;""),$Q155,IF(AND($AD155&lt;&gt;"",LEFT($AD155,1)&lt;&gt;"⚠"),LEFT($AD155,FIND(" ",$AD155)-1),IF($H155="","",IF(RIGHT($H155,2)="병원",$H155,$H155&amp;"병원")))))</f>
        <v/>
      </c>
      <c r="O155" s="10">
        <f>IF($B155="","",IF(AND($U155="파견중",$Q155&lt;&gt;""),IF($R155&lt;&gt;"",$R155,"파견과 미입력"),IF(AND($AD155&lt;&gt;"",LEFT($AD155,1)&lt;&gt;"⚠"),MID($AD155,FIND(" ",$AD155)+1,60),IF($F155="","",IF($F155="인턴","수련교육부(인턴)",$F155)))))</f>
        <v/>
      </c>
      <c r="P155" s="10">
        <f>IF($B155="","",IF($AK155&lt;&gt;"",IF(AND(TODAY()&gt;=INDEX(파견수련계획!$AB$4:$AB$203,$AK155),OR(NOT(ISNUMBER(INDEX(파견수련계획!$AC$4:$AC$203,$AK155))),TODAY()&lt;=INDEX(파견수련계획!$AC$4:$AC$203,$AK155))),"다기관",IF($AF155="","",INDEX(파견수련계획!$T$4:$T$203,$AF155))),IF($AF155="","",INDEX(파견수련계획!$T$4:$T$203,$AF155))))</f>
        <v/>
      </c>
      <c r="Q155" s="10">
        <f>IF($AF155="","",INDEX(파견수련계획!$S$4:$S$203,$AF155))</f>
        <v/>
      </c>
      <c r="R155" s="10">
        <f>IF($AF155="","",INDEX(파견수련계획!$U$4:$U$203,$AF155))</f>
        <v/>
      </c>
      <c r="S155" s="11">
        <f>IF($AF155="","",IF(INDEX(파견수련계획!$H$4:$H$203,$AF155)="","",INDEX(파견수련계획!$H$4:$H$203,$AF155)))</f>
        <v/>
      </c>
      <c r="T155" s="11">
        <f>IF($AF155="","",IF(INDEX(파견수련계획!$I$4:$I$203,$AF155)="","",INDEX(파견수련계획!$I$4:$I$203,$AF155)))</f>
        <v/>
      </c>
      <c r="U155" s="10">
        <f>IF($AF155="","",INDEX(파견수련계획!$X$4:$X$203,$AF155))</f>
        <v/>
      </c>
      <c r="V155" s="17">
        <f>IF($AF155="","",INDEX(파견수련계획!$V$4:$V$203,$AF155))</f>
        <v/>
      </c>
      <c r="W155" s="17">
        <f>IF(AND($U155="파견중",$T155&lt;&gt;""),$T155-TODAY(),"")</f>
        <v/>
      </c>
      <c r="X155" s="17">
        <f>IF(OR($B155="",TRIM($J155&amp;"")=""),"",SUMPRODUCT((파견수련계획!$Q$4:$Q$203=TRIM($J155&amp;""))*파견수련계획!$W$4:$W$203))</f>
        <v/>
      </c>
      <c r="Y155" s="10">
        <f>IF($B155="","",IF($AG155="","",IF(IF(TRIM($J155&amp;"")="",0,SUMPRODUCT((파견수련계획!$Q$4:$Q$203=TRIM($J155&amp;""))*파견수련계획!$AD$4:$AD$203))&gt;0,$AE155,IF(N($X155)&lt;=0,$AG155,IF($AH155+$AI155=DAY(EOMONTH(요약!$B$3,0)),IF(AND($AH155&gt;=요약!$E$3,$AI155&lt;요약!$E$3),"서울병원",IF(AND($AI155&gt;=요약!$E$3,$AH155&lt;요약!$E$3),"구리병원","⚠15일 판정불가(서울 "&amp;$AH155&amp;"일/구리 "&amp;$AI155&amp;"일)")),IF($AJ155="",$AE155,IF(INDEX(파견수련계획!$T$4:$T$203,$AJ155)="통합수련",INDEX(파견수련계획!$S$4:$S$203,$AJ155),$AE155)))))))</f>
        <v/>
      </c>
      <c r="Z155" s="19">
        <f>IF($B155="","",IF($AB155="","기본자료에 없는 사번",IF(COUNTIF($B$2:$B$201,$B155)&gt;1,"중복 사번",IF($AE155="","소속(입사장소) 입력",IF(IF(TRIM($J155&amp;"")="",0,SUMPRODUCT((파견수련계획!$Q$4:$Q$203=TRIM($J155&amp;""))*(파견수련계획!$AA$4:$AA$203&lt;&gt;"")))&gt;0,"파견수련계획 입력오류 확인",IF(LEFT($Y155,1)="⚠","서울·구리 15일 판정 불가(양쪽 모두 이상/미만)",IF(IF($AC155="",0,N(INDEX(인턴근무계획!$T$3:$T$202,$AC155)))&gt;0,"인턴계획 입력오류 확인",IF(AND($AC155&lt;&gt;"",$U155&lt;&gt;"파견중",$N155&lt;&gt;$AE155),"인턴 타지역 근무: 파견 여부 확인","정상"))))))))</f>
        <v/>
      </c>
      <c r="AA155" s="5" t="n"/>
      <c r="AB155" s="10">
        <f>IF($B155="","",IFERROR(MATCH($B155,기본자료!$B$2:$B$501,0),IFERROR(MATCH($B155&amp;"",기본자료!$B$2:$B$501,0),IFERROR(MATCH(VALUE($B155),기본자료!$B$2:$B$501,0),""))))</f>
        <v/>
      </c>
      <c r="AC155" s="10">
        <f>IF($B155="","",IFERROR(MATCH($B155,인턴근무계획!$D$3:$D$202,0),IFERROR(MATCH($B155&amp;"",인턴근무계획!$D$3:$D$202,0),IFERROR(MATCH(VALUE($B155),인턴근무계획!$D$3:$D$202,0),""))))</f>
        <v/>
      </c>
      <c r="AD155" s="10">
        <f>IF(OR($AC155="",인턴현황!$G$3=""),"",INDEX(인턴근무계획!$M$3:$R$202,$AC155,인턴현황!$G$3)&amp;"")</f>
        <v/>
      </c>
      <c r="AE155" s="10">
        <f>IF($B155="","",IF($M155&lt;&gt;"",$M155,IF($AF155&lt;&gt;"",IF(LEFT(INDEX(파견수련계획!$R$4:$R$203,$AF155),1)&lt;&gt;"⚠",INDEX(파견수련계획!$R$4:$R$203,$AF155),IF($H155="","",IF(RIGHT($H155,2)="병원",$H155,$H155&amp;"병원"))),IF($H155="","",IF(RIGHT($H155,2)="병원",$H155,$H155&amp;"병원")))))</f>
        <v/>
      </c>
      <c r="AF155" s="10">
        <f>IF(OR($B155="",TRIM($J155&amp;"")=""),"",IFERROR(MATCH(TRIM($J155&amp;"")&amp;"|파견중",파견수련계획!$Y$4:$Y$203,0),IFERROR(MATCH(TRIM($J155&amp;"")&amp;"|파견예정",파견수련계획!$Y$4:$Y$203,0),IFERROR(MATCH(TRIM($J155&amp;"")&amp;"|파견종료",파견수련계획!$Y$4:$Y$203,0),""))))</f>
        <v/>
      </c>
      <c r="AG155" s="10">
        <f>IF($B155="","",IF(AND(IF(OR($AC155="",인턴현황!$K$2=""),"",INDEX(인턴근무계획!$M$3:$R$202,$AC155,인턴현황!$K$2)&amp;"")&lt;&gt;"",LEFT(IF(OR($AC155="",인턴현황!$K$2=""),"",INDEX(인턴근무계획!$M$3:$R$202,$AC155,인턴현황!$K$2)&amp;""),1)&lt;&gt;"⚠"),LEFT(IF(OR($AC155="",인턴현황!$K$2=""),"",INDEX(인턴근무계획!$M$3:$R$202,$AC155,인턴현황!$K$2)&amp;""),FIND(" ",IF(OR($AC155="",인턴현황!$K$2=""),"",INDEX(인턴근무계획!$M$3:$R$202,$AC155,인턴현황!$K$2)&amp;""))-1),$AE155))</f>
        <v/>
      </c>
      <c r="AH155" s="17">
        <f>IF($B155="","",IF(TRIM($J155&amp;"")="",0,SUMPRODUCT((파견수련계획!$Q$4:$Q$203=TRIM($J155&amp;""))*(파견수련계획!$S$4:$S$203="서울병원")*파견수련계획!$W$4:$W$203))+IF($AG155="서울병원",MAX(0,DAY(EOMONTH(요약!$B$3,0))-N($X155)),0))</f>
        <v/>
      </c>
      <c r="AI155" s="17">
        <f>IF($B155="","",IF(TRIM($J155&amp;"")="",0,SUMPRODUCT((파견수련계획!$Q$4:$Q$203=TRIM($J155&amp;""))*(파견수련계획!$S$4:$S$203="구리병원")*파견수련계획!$W$4:$W$203))+IF($AG155="구리병원",MAX(0,DAY(EOMONTH(요약!$B$3,0))-N($X155)),0))</f>
        <v/>
      </c>
      <c r="AJ155" s="10">
        <f>IF(OR($B155="",TRIM($J155&amp;"")=""),"",IFERROR(MATCH(TRIM($J155&amp;"")&amp;"|월",파견수련계획!$Z$4:$Z$203,0),""))</f>
        <v/>
      </c>
      <c r="AK155" s="10">
        <f>IF(OR($B155="",TRIM($J155&amp;"")=""),"",IFERROR(MATCH(TRIM($J155&amp;"")&amp;"|다기관",파견수련계획!$AE$4:$AE$203,0),""))</f>
        <v/>
      </c>
      <c r="AL155" s="10">
        <f>IF($AK155="","","다기관 "&amp;TEXT(INDEX(파견수련계획!$AB$4:$AB$203,$AK155),"yyyy-mm-dd")&amp;"~"&amp;IF(ISNUMBER(INDEX(파견수련계획!$AC$4:$AC$203,$AK155)),TEXT(INDEX(파견수련계획!$AC$4:$AC$203,$AK155),"yyyy-mm-dd"),""))</f>
        <v/>
      </c>
    </row>
    <row r="156">
      <c r="A156" s="10">
        <f>IF(B156="","",ROW()-1)</f>
        <v/>
      </c>
      <c r="B156" s="18" t="n"/>
      <c r="C156" s="10">
        <f>IF($AB156="","",IF(INDEX(기본자료!$C$2:$C$501,$AB156)="","",INDEX(기본자료!$C$2:$C$501,$AB156)))</f>
        <v/>
      </c>
      <c r="D156" s="10">
        <f>IF($AB156="","",IF(INDEX(기본자료!$J$2:$J$501,$AB156)="","",INDEX(기본자료!$J$2:$J$501,$AB156)))</f>
        <v/>
      </c>
      <c r="E156" s="11">
        <f>IF($AB156="","",IF(INDEX(기본자료!$K$2:$K$501,$AB156)="","",IF(NOT(ISNUMBER(INDEX(기본자료!$K$2:$K$501,$AB156))),INDEX(기본자료!$K$2:$K$501,$AB156),IF(INDEX(기본자료!$K$2:$K$501,$AB156)&lt;1000000,INDEX(기본자료!$K$2:$K$501,$AB156),IF(AND(INDEX(기본자료!$K$2:$K$501,$AB156)&gt;=10000101,INT(MOD(INDEX(기본자료!$K$2:$K$501,$AB156),10000)/100)&gt;=1,INT(MOD(INDEX(기본자료!$K$2:$K$501,$AB156),10000)/100)&lt;=12,MOD(INDEX(기본자료!$K$2:$K$501,$AB156),100)&gt;=1,MOD(INDEX(기본자료!$K$2:$K$501,$AB156),100)&lt;=31),DATE(INT(INDEX(기본자료!$K$2:$K$501,$AB156)/10000),INT(MOD(INDEX(기본자료!$K$2:$K$501,$AB156),10000)/100),MOD(INDEX(기본자료!$K$2:$K$501,$AB156),100)),INDEX(기본자료!$K$2:$K$501,$AB156)&amp;"")))))</f>
        <v/>
      </c>
      <c r="F156" s="10">
        <f>IF($AB156="","",IF(INDEX(기본자료!$D$2:$D$501,$AB156)="","",INDEX(기본자료!$D$2:$D$501,$AB156)))</f>
        <v/>
      </c>
      <c r="G156" s="10">
        <f>IF($AB156="","",IF(INDEX(기본자료!$E$2:$E$501,$AB156)="","",INDEX(기본자료!$E$2:$E$501,$AB156)))</f>
        <v/>
      </c>
      <c r="H156" s="10">
        <f>IF($AB156="","",IF(INDEX(기본자료!$F$2:$F$501,$AB156)="","",INDEX(기본자료!$F$2:$F$501,$AB156)))</f>
        <v/>
      </c>
      <c r="I156" s="11">
        <f>IF($AB156="","",IF(INDEX(기본자료!$G$2:$G$501,$AB156)="","",IF(NOT(ISNUMBER(INDEX(기본자료!$G$2:$G$501,$AB156))),INDEX(기본자료!$G$2:$G$501,$AB156),IF(INDEX(기본자료!$G$2:$G$501,$AB156)&lt;1000000,INDEX(기본자료!$G$2:$G$501,$AB156),IF(AND(INDEX(기본자료!$G$2:$G$501,$AB156)&gt;=10000101,INT(MOD(INDEX(기본자료!$G$2:$G$501,$AB156),10000)/100)&gt;=1,INT(MOD(INDEX(기본자료!$G$2:$G$501,$AB156),10000)/100)&lt;=12,MOD(INDEX(기본자료!$G$2:$G$501,$AB156),100)&gt;=1,MOD(INDEX(기본자료!$G$2:$G$501,$AB156),100)&lt;=31),DATE(INT(INDEX(기본자료!$G$2:$G$501,$AB156)/10000),INT(MOD(INDEX(기본자료!$G$2:$G$501,$AB156),10000)/100),MOD(INDEX(기본자료!$G$2:$G$501,$AB156),100)),INDEX(기본자료!$G$2:$G$501,$AB156)&amp;"")))))</f>
        <v/>
      </c>
      <c r="J156" s="10">
        <f>IF($AB156="","",IF(INDEX(기본자료!$H$2:$H$501,$AB156)="","",INDEX(기본자료!$H$2:$H$501,$AB156)))</f>
        <v/>
      </c>
      <c r="K156" s="10">
        <f>IF($AB156="","",IF(INDEX(기본자료!$I$2:$I$501,$AB156)="","",INDEX(기본자료!$I$2:$I$501,$AB156)))</f>
        <v/>
      </c>
      <c r="L156" s="10">
        <f>IF($AB156="","",IF(INDEX(기본자료!$A$2:$A$501,$AB156)="","",INDEX(기본자료!$A$2:$A$501,$AB156)))</f>
        <v/>
      </c>
      <c r="M156" s="15" t="n"/>
      <c r="N156" s="10">
        <f>IF($B156="","",IF(AND($U156="파견중",$Q156&lt;&gt;""),$Q156,IF(AND($AD156&lt;&gt;"",LEFT($AD156,1)&lt;&gt;"⚠"),LEFT($AD156,FIND(" ",$AD156)-1),IF($H156="","",IF(RIGHT($H156,2)="병원",$H156,$H156&amp;"병원")))))</f>
        <v/>
      </c>
      <c r="O156" s="10">
        <f>IF($B156="","",IF(AND($U156="파견중",$Q156&lt;&gt;""),IF($R156&lt;&gt;"",$R156,"파견과 미입력"),IF(AND($AD156&lt;&gt;"",LEFT($AD156,1)&lt;&gt;"⚠"),MID($AD156,FIND(" ",$AD156)+1,60),IF($F156="","",IF($F156="인턴","수련교육부(인턴)",$F156)))))</f>
        <v/>
      </c>
      <c r="P156" s="10">
        <f>IF($B156="","",IF($AK156&lt;&gt;"",IF(AND(TODAY()&gt;=INDEX(파견수련계획!$AB$4:$AB$203,$AK156),OR(NOT(ISNUMBER(INDEX(파견수련계획!$AC$4:$AC$203,$AK156))),TODAY()&lt;=INDEX(파견수련계획!$AC$4:$AC$203,$AK156))),"다기관",IF($AF156="","",INDEX(파견수련계획!$T$4:$T$203,$AF156))),IF($AF156="","",INDEX(파견수련계획!$T$4:$T$203,$AF156))))</f>
        <v/>
      </c>
      <c r="Q156" s="10">
        <f>IF($AF156="","",INDEX(파견수련계획!$S$4:$S$203,$AF156))</f>
        <v/>
      </c>
      <c r="R156" s="10">
        <f>IF($AF156="","",INDEX(파견수련계획!$U$4:$U$203,$AF156))</f>
        <v/>
      </c>
      <c r="S156" s="11">
        <f>IF($AF156="","",IF(INDEX(파견수련계획!$H$4:$H$203,$AF156)="","",INDEX(파견수련계획!$H$4:$H$203,$AF156)))</f>
        <v/>
      </c>
      <c r="T156" s="11">
        <f>IF($AF156="","",IF(INDEX(파견수련계획!$I$4:$I$203,$AF156)="","",INDEX(파견수련계획!$I$4:$I$203,$AF156)))</f>
        <v/>
      </c>
      <c r="U156" s="10">
        <f>IF($AF156="","",INDEX(파견수련계획!$X$4:$X$203,$AF156))</f>
        <v/>
      </c>
      <c r="V156" s="17">
        <f>IF($AF156="","",INDEX(파견수련계획!$V$4:$V$203,$AF156))</f>
        <v/>
      </c>
      <c r="W156" s="17">
        <f>IF(AND($U156="파견중",$T156&lt;&gt;""),$T156-TODAY(),"")</f>
        <v/>
      </c>
      <c r="X156" s="17">
        <f>IF(OR($B156="",TRIM($J156&amp;"")=""),"",SUMPRODUCT((파견수련계획!$Q$4:$Q$203=TRIM($J156&amp;""))*파견수련계획!$W$4:$W$203))</f>
        <v/>
      </c>
      <c r="Y156" s="10">
        <f>IF($B156="","",IF($AG156="","",IF(IF(TRIM($J156&amp;"")="",0,SUMPRODUCT((파견수련계획!$Q$4:$Q$203=TRIM($J156&amp;""))*파견수련계획!$AD$4:$AD$203))&gt;0,$AE156,IF(N($X156)&lt;=0,$AG156,IF($AH156+$AI156=DAY(EOMONTH(요약!$B$3,0)),IF(AND($AH156&gt;=요약!$E$3,$AI156&lt;요약!$E$3),"서울병원",IF(AND($AI156&gt;=요약!$E$3,$AH156&lt;요약!$E$3),"구리병원","⚠15일 판정불가(서울 "&amp;$AH156&amp;"일/구리 "&amp;$AI156&amp;"일)")),IF($AJ156="",$AE156,IF(INDEX(파견수련계획!$T$4:$T$203,$AJ156)="통합수련",INDEX(파견수련계획!$S$4:$S$203,$AJ156),$AE156)))))))</f>
        <v/>
      </c>
      <c r="Z156" s="19">
        <f>IF($B156="","",IF($AB156="","기본자료에 없는 사번",IF(COUNTIF($B$2:$B$201,$B156)&gt;1,"중복 사번",IF($AE156="","소속(입사장소) 입력",IF(IF(TRIM($J156&amp;"")="",0,SUMPRODUCT((파견수련계획!$Q$4:$Q$203=TRIM($J156&amp;""))*(파견수련계획!$AA$4:$AA$203&lt;&gt;"")))&gt;0,"파견수련계획 입력오류 확인",IF(LEFT($Y156,1)="⚠","서울·구리 15일 판정 불가(양쪽 모두 이상/미만)",IF(IF($AC156="",0,N(INDEX(인턴근무계획!$T$3:$T$202,$AC156)))&gt;0,"인턴계획 입력오류 확인",IF(AND($AC156&lt;&gt;"",$U156&lt;&gt;"파견중",$N156&lt;&gt;$AE156),"인턴 타지역 근무: 파견 여부 확인","정상"))))))))</f>
        <v/>
      </c>
      <c r="AA156" s="5" t="n"/>
      <c r="AB156" s="10">
        <f>IF($B156="","",IFERROR(MATCH($B156,기본자료!$B$2:$B$501,0),IFERROR(MATCH($B156&amp;"",기본자료!$B$2:$B$501,0),IFERROR(MATCH(VALUE($B156),기본자료!$B$2:$B$501,0),""))))</f>
        <v/>
      </c>
      <c r="AC156" s="10">
        <f>IF($B156="","",IFERROR(MATCH($B156,인턴근무계획!$D$3:$D$202,0),IFERROR(MATCH($B156&amp;"",인턴근무계획!$D$3:$D$202,0),IFERROR(MATCH(VALUE($B156),인턴근무계획!$D$3:$D$202,0),""))))</f>
        <v/>
      </c>
      <c r="AD156" s="10">
        <f>IF(OR($AC156="",인턴현황!$G$3=""),"",INDEX(인턴근무계획!$M$3:$R$202,$AC156,인턴현황!$G$3)&amp;"")</f>
        <v/>
      </c>
      <c r="AE156" s="10">
        <f>IF($B156="","",IF($M156&lt;&gt;"",$M156,IF($AF156&lt;&gt;"",IF(LEFT(INDEX(파견수련계획!$R$4:$R$203,$AF156),1)&lt;&gt;"⚠",INDEX(파견수련계획!$R$4:$R$203,$AF156),IF($H156="","",IF(RIGHT($H156,2)="병원",$H156,$H156&amp;"병원"))),IF($H156="","",IF(RIGHT($H156,2)="병원",$H156,$H156&amp;"병원")))))</f>
        <v/>
      </c>
      <c r="AF156" s="10">
        <f>IF(OR($B156="",TRIM($J156&amp;"")=""),"",IFERROR(MATCH(TRIM($J156&amp;"")&amp;"|파견중",파견수련계획!$Y$4:$Y$203,0),IFERROR(MATCH(TRIM($J156&amp;"")&amp;"|파견예정",파견수련계획!$Y$4:$Y$203,0),IFERROR(MATCH(TRIM($J156&amp;"")&amp;"|파견종료",파견수련계획!$Y$4:$Y$203,0),""))))</f>
        <v/>
      </c>
      <c r="AG156" s="10">
        <f>IF($B156="","",IF(AND(IF(OR($AC156="",인턴현황!$K$2=""),"",INDEX(인턴근무계획!$M$3:$R$202,$AC156,인턴현황!$K$2)&amp;"")&lt;&gt;"",LEFT(IF(OR($AC156="",인턴현황!$K$2=""),"",INDEX(인턴근무계획!$M$3:$R$202,$AC156,인턴현황!$K$2)&amp;""),1)&lt;&gt;"⚠"),LEFT(IF(OR($AC156="",인턴현황!$K$2=""),"",INDEX(인턴근무계획!$M$3:$R$202,$AC156,인턴현황!$K$2)&amp;""),FIND(" ",IF(OR($AC156="",인턴현황!$K$2=""),"",INDEX(인턴근무계획!$M$3:$R$202,$AC156,인턴현황!$K$2)&amp;""))-1),$AE156))</f>
        <v/>
      </c>
      <c r="AH156" s="17">
        <f>IF($B156="","",IF(TRIM($J156&amp;"")="",0,SUMPRODUCT((파견수련계획!$Q$4:$Q$203=TRIM($J156&amp;""))*(파견수련계획!$S$4:$S$203="서울병원")*파견수련계획!$W$4:$W$203))+IF($AG156="서울병원",MAX(0,DAY(EOMONTH(요약!$B$3,0))-N($X156)),0))</f>
        <v/>
      </c>
      <c r="AI156" s="17">
        <f>IF($B156="","",IF(TRIM($J156&amp;"")="",0,SUMPRODUCT((파견수련계획!$Q$4:$Q$203=TRIM($J156&amp;""))*(파견수련계획!$S$4:$S$203="구리병원")*파견수련계획!$W$4:$W$203))+IF($AG156="구리병원",MAX(0,DAY(EOMONTH(요약!$B$3,0))-N($X156)),0))</f>
        <v/>
      </c>
      <c r="AJ156" s="10">
        <f>IF(OR($B156="",TRIM($J156&amp;"")=""),"",IFERROR(MATCH(TRIM($J156&amp;"")&amp;"|월",파견수련계획!$Z$4:$Z$203,0),""))</f>
        <v/>
      </c>
      <c r="AK156" s="10">
        <f>IF(OR($B156="",TRIM($J156&amp;"")=""),"",IFERROR(MATCH(TRIM($J156&amp;"")&amp;"|다기관",파견수련계획!$AE$4:$AE$203,0),""))</f>
        <v/>
      </c>
      <c r="AL156" s="10">
        <f>IF($AK156="","","다기관 "&amp;TEXT(INDEX(파견수련계획!$AB$4:$AB$203,$AK156),"yyyy-mm-dd")&amp;"~"&amp;IF(ISNUMBER(INDEX(파견수련계획!$AC$4:$AC$203,$AK156)),TEXT(INDEX(파견수련계획!$AC$4:$AC$203,$AK156),"yyyy-mm-dd"),""))</f>
        <v/>
      </c>
    </row>
    <row r="157">
      <c r="A157" s="10">
        <f>IF(B157="","",ROW()-1)</f>
        <v/>
      </c>
      <c r="B157" s="18" t="n"/>
      <c r="C157" s="10">
        <f>IF($AB157="","",IF(INDEX(기본자료!$C$2:$C$501,$AB157)="","",INDEX(기본자료!$C$2:$C$501,$AB157)))</f>
        <v/>
      </c>
      <c r="D157" s="10">
        <f>IF($AB157="","",IF(INDEX(기본자료!$J$2:$J$501,$AB157)="","",INDEX(기본자료!$J$2:$J$501,$AB157)))</f>
        <v/>
      </c>
      <c r="E157" s="11">
        <f>IF($AB157="","",IF(INDEX(기본자료!$K$2:$K$501,$AB157)="","",IF(NOT(ISNUMBER(INDEX(기본자료!$K$2:$K$501,$AB157))),INDEX(기본자료!$K$2:$K$501,$AB157),IF(INDEX(기본자료!$K$2:$K$501,$AB157)&lt;1000000,INDEX(기본자료!$K$2:$K$501,$AB157),IF(AND(INDEX(기본자료!$K$2:$K$501,$AB157)&gt;=10000101,INT(MOD(INDEX(기본자료!$K$2:$K$501,$AB157),10000)/100)&gt;=1,INT(MOD(INDEX(기본자료!$K$2:$K$501,$AB157),10000)/100)&lt;=12,MOD(INDEX(기본자료!$K$2:$K$501,$AB157),100)&gt;=1,MOD(INDEX(기본자료!$K$2:$K$501,$AB157),100)&lt;=31),DATE(INT(INDEX(기본자료!$K$2:$K$501,$AB157)/10000),INT(MOD(INDEX(기본자료!$K$2:$K$501,$AB157),10000)/100),MOD(INDEX(기본자료!$K$2:$K$501,$AB157),100)),INDEX(기본자료!$K$2:$K$501,$AB157)&amp;"")))))</f>
        <v/>
      </c>
      <c r="F157" s="10">
        <f>IF($AB157="","",IF(INDEX(기본자료!$D$2:$D$501,$AB157)="","",INDEX(기본자료!$D$2:$D$501,$AB157)))</f>
        <v/>
      </c>
      <c r="G157" s="10">
        <f>IF($AB157="","",IF(INDEX(기본자료!$E$2:$E$501,$AB157)="","",INDEX(기본자료!$E$2:$E$501,$AB157)))</f>
        <v/>
      </c>
      <c r="H157" s="10">
        <f>IF($AB157="","",IF(INDEX(기본자료!$F$2:$F$501,$AB157)="","",INDEX(기본자료!$F$2:$F$501,$AB157)))</f>
        <v/>
      </c>
      <c r="I157" s="11">
        <f>IF($AB157="","",IF(INDEX(기본자료!$G$2:$G$501,$AB157)="","",IF(NOT(ISNUMBER(INDEX(기본자료!$G$2:$G$501,$AB157))),INDEX(기본자료!$G$2:$G$501,$AB157),IF(INDEX(기본자료!$G$2:$G$501,$AB157)&lt;1000000,INDEX(기본자료!$G$2:$G$501,$AB157),IF(AND(INDEX(기본자료!$G$2:$G$501,$AB157)&gt;=10000101,INT(MOD(INDEX(기본자료!$G$2:$G$501,$AB157),10000)/100)&gt;=1,INT(MOD(INDEX(기본자료!$G$2:$G$501,$AB157),10000)/100)&lt;=12,MOD(INDEX(기본자료!$G$2:$G$501,$AB157),100)&gt;=1,MOD(INDEX(기본자료!$G$2:$G$501,$AB157),100)&lt;=31),DATE(INT(INDEX(기본자료!$G$2:$G$501,$AB157)/10000),INT(MOD(INDEX(기본자료!$G$2:$G$501,$AB157),10000)/100),MOD(INDEX(기본자료!$G$2:$G$501,$AB157),100)),INDEX(기본자료!$G$2:$G$501,$AB157)&amp;"")))))</f>
        <v/>
      </c>
      <c r="J157" s="10">
        <f>IF($AB157="","",IF(INDEX(기본자료!$H$2:$H$501,$AB157)="","",INDEX(기본자료!$H$2:$H$501,$AB157)))</f>
        <v/>
      </c>
      <c r="K157" s="10">
        <f>IF($AB157="","",IF(INDEX(기본자료!$I$2:$I$501,$AB157)="","",INDEX(기본자료!$I$2:$I$501,$AB157)))</f>
        <v/>
      </c>
      <c r="L157" s="10">
        <f>IF($AB157="","",IF(INDEX(기본자료!$A$2:$A$501,$AB157)="","",INDEX(기본자료!$A$2:$A$501,$AB157)))</f>
        <v/>
      </c>
      <c r="M157" s="15" t="n"/>
      <c r="N157" s="10">
        <f>IF($B157="","",IF(AND($U157="파견중",$Q157&lt;&gt;""),$Q157,IF(AND($AD157&lt;&gt;"",LEFT($AD157,1)&lt;&gt;"⚠"),LEFT($AD157,FIND(" ",$AD157)-1),IF($H157="","",IF(RIGHT($H157,2)="병원",$H157,$H157&amp;"병원")))))</f>
        <v/>
      </c>
      <c r="O157" s="10">
        <f>IF($B157="","",IF(AND($U157="파견중",$Q157&lt;&gt;""),IF($R157&lt;&gt;"",$R157,"파견과 미입력"),IF(AND($AD157&lt;&gt;"",LEFT($AD157,1)&lt;&gt;"⚠"),MID($AD157,FIND(" ",$AD157)+1,60),IF($F157="","",IF($F157="인턴","수련교육부(인턴)",$F157)))))</f>
        <v/>
      </c>
      <c r="P157" s="10">
        <f>IF($B157="","",IF($AK157&lt;&gt;"",IF(AND(TODAY()&gt;=INDEX(파견수련계획!$AB$4:$AB$203,$AK157),OR(NOT(ISNUMBER(INDEX(파견수련계획!$AC$4:$AC$203,$AK157))),TODAY()&lt;=INDEX(파견수련계획!$AC$4:$AC$203,$AK157))),"다기관",IF($AF157="","",INDEX(파견수련계획!$T$4:$T$203,$AF157))),IF($AF157="","",INDEX(파견수련계획!$T$4:$T$203,$AF157))))</f>
        <v/>
      </c>
      <c r="Q157" s="10">
        <f>IF($AF157="","",INDEX(파견수련계획!$S$4:$S$203,$AF157))</f>
        <v/>
      </c>
      <c r="R157" s="10">
        <f>IF($AF157="","",INDEX(파견수련계획!$U$4:$U$203,$AF157))</f>
        <v/>
      </c>
      <c r="S157" s="11">
        <f>IF($AF157="","",IF(INDEX(파견수련계획!$H$4:$H$203,$AF157)="","",INDEX(파견수련계획!$H$4:$H$203,$AF157)))</f>
        <v/>
      </c>
      <c r="T157" s="11">
        <f>IF($AF157="","",IF(INDEX(파견수련계획!$I$4:$I$203,$AF157)="","",INDEX(파견수련계획!$I$4:$I$203,$AF157)))</f>
        <v/>
      </c>
      <c r="U157" s="10">
        <f>IF($AF157="","",INDEX(파견수련계획!$X$4:$X$203,$AF157))</f>
        <v/>
      </c>
      <c r="V157" s="17">
        <f>IF($AF157="","",INDEX(파견수련계획!$V$4:$V$203,$AF157))</f>
        <v/>
      </c>
      <c r="W157" s="17">
        <f>IF(AND($U157="파견중",$T157&lt;&gt;""),$T157-TODAY(),"")</f>
        <v/>
      </c>
      <c r="X157" s="17">
        <f>IF(OR($B157="",TRIM($J157&amp;"")=""),"",SUMPRODUCT((파견수련계획!$Q$4:$Q$203=TRIM($J157&amp;""))*파견수련계획!$W$4:$W$203))</f>
        <v/>
      </c>
      <c r="Y157" s="10">
        <f>IF($B157="","",IF($AG157="","",IF(IF(TRIM($J157&amp;"")="",0,SUMPRODUCT((파견수련계획!$Q$4:$Q$203=TRIM($J157&amp;""))*파견수련계획!$AD$4:$AD$203))&gt;0,$AE157,IF(N($X157)&lt;=0,$AG157,IF($AH157+$AI157=DAY(EOMONTH(요약!$B$3,0)),IF(AND($AH157&gt;=요약!$E$3,$AI157&lt;요약!$E$3),"서울병원",IF(AND($AI157&gt;=요약!$E$3,$AH157&lt;요약!$E$3),"구리병원","⚠15일 판정불가(서울 "&amp;$AH157&amp;"일/구리 "&amp;$AI157&amp;"일)")),IF($AJ157="",$AE157,IF(INDEX(파견수련계획!$T$4:$T$203,$AJ157)="통합수련",INDEX(파견수련계획!$S$4:$S$203,$AJ157),$AE157)))))))</f>
        <v/>
      </c>
      <c r="Z157" s="19">
        <f>IF($B157="","",IF($AB157="","기본자료에 없는 사번",IF(COUNTIF($B$2:$B$201,$B157)&gt;1,"중복 사번",IF($AE157="","소속(입사장소) 입력",IF(IF(TRIM($J157&amp;"")="",0,SUMPRODUCT((파견수련계획!$Q$4:$Q$203=TRIM($J157&amp;""))*(파견수련계획!$AA$4:$AA$203&lt;&gt;"")))&gt;0,"파견수련계획 입력오류 확인",IF(LEFT($Y157,1)="⚠","서울·구리 15일 판정 불가(양쪽 모두 이상/미만)",IF(IF($AC157="",0,N(INDEX(인턴근무계획!$T$3:$T$202,$AC157)))&gt;0,"인턴계획 입력오류 확인",IF(AND($AC157&lt;&gt;"",$U157&lt;&gt;"파견중",$N157&lt;&gt;$AE157),"인턴 타지역 근무: 파견 여부 확인","정상"))))))))</f>
        <v/>
      </c>
      <c r="AA157" s="5" t="n"/>
      <c r="AB157" s="10">
        <f>IF($B157="","",IFERROR(MATCH($B157,기본자료!$B$2:$B$501,0),IFERROR(MATCH($B157&amp;"",기본자료!$B$2:$B$501,0),IFERROR(MATCH(VALUE($B157),기본자료!$B$2:$B$501,0),""))))</f>
        <v/>
      </c>
      <c r="AC157" s="10">
        <f>IF($B157="","",IFERROR(MATCH($B157,인턴근무계획!$D$3:$D$202,0),IFERROR(MATCH($B157&amp;"",인턴근무계획!$D$3:$D$202,0),IFERROR(MATCH(VALUE($B157),인턴근무계획!$D$3:$D$202,0),""))))</f>
        <v/>
      </c>
      <c r="AD157" s="10">
        <f>IF(OR($AC157="",인턴현황!$G$3=""),"",INDEX(인턴근무계획!$M$3:$R$202,$AC157,인턴현황!$G$3)&amp;"")</f>
        <v/>
      </c>
      <c r="AE157" s="10">
        <f>IF($B157="","",IF($M157&lt;&gt;"",$M157,IF($AF157&lt;&gt;"",IF(LEFT(INDEX(파견수련계획!$R$4:$R$203,$AF157),1)&lt;&gt;"⚠",INDEX(파견수련계획!$R$4:$R$203,$AF157),IF($H157="","",IF(RIGHT($H157,2)="병원",$H157,$H157&amp;"병원"))),IF($H157="","",IF(RIGHT($H157,2)="병원",$H157,$H157&amp;"병원")))))</f>
        <v/>
      </c>
      <c r="AF157" s="10">
        <f>IF(OR($B157="",TRIM($J157&amp;"")=""),"",IFERROR(MATCH(TRIM($J157&amp;"")&amp;"|파견중",파견수련계획!$Y$4:$Y$203,0),IFERROR(MATCH(TRIM($J157&amp;"")&amp;"|파견예정",파견수련계획!$Y$4:$Y$203,0),IFERROR(MATCH(TRIM($J157&amp;"")&amp;"|파견종료",파견수련계획!$Y$4:$Y$203,0),""))))</f>
        <v/>
      </c>
      <c r="AG157" s="10">
        <f>IF($B157="","",IF(AND(IF(OR($AC157="",인턴현황!$K$2=""),"",INDEX(인턴근무계획!$M$3:$R$202,$AC157,인턴현황!$K$2)&amp;"")&lt;&gt;"",LEFT(IF(OR($AC157="",인턴현황!$K$2=""),"",INDEX(인턴근무계획!$M$3:$R$202,$AC157,인턴현황!$K$2)&amp;""),1)&lt;&gt;"⚠"),LEFT(IF(OR($AC157="",인턴현황!$K$2=""),"",INDEX(인턴근무계획!$M$3:$R$202,$AC157,인턴현황!$K$2)&amp;""),FIND(" ",IF(OR($AC157="",인턴현황!$K$2=""),"",INDEX(인턴근무계획!$M$3:$R$202,$AC157,인턴현황!$K$2)&amp;""))-1),$AE157))</f>
        <v/>
      </c>
      <c r="AH157" s="17">
        <f>IF($B157="","",IF(TRIM($J157&amp;"")="",0,SUMPRODUCT((파견수련계획!$Q$4:$Q$203=TRIM($J157&amp;""))*(파견수련계획!$S$4:$S$203="서울병원")*파견수련계획!$W$4:$W$203))+IF($AG157="서울병원",MAX(0,DAY(EOMONTH(요약!$B$3,0))-N($X157)),0))</f>
        <v/>
      </c>
      <c r="AI157" s="17">
        <f>IF($B157="","",IF(TRIM($J157&amp;"")="",0,SUMPRODUCT((파견수련계획!$Q$4:$Q$203=TRIM($J157&amp;""))*(파견수련계획!$S$4:$S$203="구리병원")*파견수련계획!$W$4:$W$203))+IF($AG157="구리병원",MAX(0,DAY(EOMONTH(요약!$B$3,0))-N($X157)),0))</f>
        <v/>
      </c>
      <c r="AJ157" s="10">
        <f>IF(OR($B157="",TRIM($J157&amp;"")=""),"",IFERROR(MATCH(TRIM($J157&amp;"")&amp;"|월",파견수련계획!$Z$4:$Z$203,0),""))</f>
        <v/>
      </c>
      <c r="AK157" s="10">
        <f>IF(OR($B157="",TRIM($J157&amp;"")=""),"",IFERROR(MATCH(TRIM($J157&amp;"")&amp;"|다기관",파견수련계획!$AE$4:$AE$203,0),""))</f>
        <v/>
      </c>
      <c r="AL157" s="10">
        <f>IF($AK157="","","다기관 "&amp;TEXT(INDEX(파견수련계획!$AB$4:$AB$203,$AK157),"yyyy-mm-dd")&amp;"~"&amp;IF(ISNUMBER(INDEX(파견수련계획!$AC$4:$AC$203,$AK157)),TEXT(INDEX(파견수련계획!$AC$4:$AC$203,$AK157),"yyyy-mm-dd"),""))</f>
        <v/>
      </c>
    </row>
    <row r="158">
      <c r="A158" s="10">
        <f>IF(B158="","",ROW()-1)</f>
        <v/>
      </c>
      <c r="B158" s="18" t="n"/>
      <c r="C158" s="10">
        <f>IF($AB158="","",IF(INDEX(기본자료!$C$2:$C$501,$AB158)="","",INDEX(기본자료!$C$2:$C$501,$AB158)))</f>
        <v/>
      </c>
      <c r="D158" s="10">
        <f>IF($AB158="","",IF(INDEX(기본자료!$J$2:$J$501,$AB158)="","",INDEX(기본자료!$J$2:$J$501,$AB158)))</f>
        <v/>
      </c>
      <c r="E158" s="11">
        <f>IF($AB158="","",IF(INDEX(기본자료!$K$2:$K$501,$AB158)="","",IF(NOT(ISNUMBER(INDEX(기본자료!$K$2:$K$501,$AB158))),INDEX(기본자료!$K$2:$K$501,$AB158),IF(INDEX(기본자료!$K$2:$K$501,$AB158)&lt;1000000,INDEX(기본자료!$K$2:$K$501,$AB158),IF(AND(INDEX(기본자료!$K$2:$K$501,$AB158)&gt;=10000101,INT(MOD(INDEX(기본자료!$K$2:$K$501,$AB158),10000)/100)&gt;=1,INT(MOD(INDEX(기본자료!$K$2:$K$501,$AB158),10000)/100)&lt;=12,MOD(INDEX(기본자료!$K$2:$K$501,$AB158),100)&gt;=1,MOD(INDEX(기본자료!$K$2:$K$501,$AB158),100)&lt;=31),DATE(INT(INDEX(기본자료!$K$2:$K$501,$AB158)/10000),INT(MOD(INDEX(기본자료!$K$2:$K$501,$AB158),10000)/100),MOD(INDEX(기본자료!$K$2:$K$501,$AB158),100)),INDEX(기본자료!$K$2:$K$501,$AB158)&amp;"")))))</f>
        <v/>
      </c>
      <c r="F158" s="10">
        <f>IF($AB158="","",IF(INDEX(기본자료!$D$2:$D$501,$AB158)="","",INDEX(기본자료!$D$2:$D$501,$AB158)))</f>
        <v/>
      </c>
      <c r="G158" s="10">
        <f>IF($AB158="","",IF(INDEX(기본자료!$E$2:$E$501,$AB158)="","",INDEX(기본자료!$E$2:$E$501,$AB158)))</f>
        <v/>
      </c>
      <c r="H158" s="10">
        <f>IF($AB158="","",IF(INDEX(기본자료!$F$2:$F$501,$AB158)="","",INDEX(기본자료!$F$2:$F$501,$AB158)))</f>
        <v/>
      </c>
      <c r="I158" s="11">
        <f>IF($AB158="","",IF(INDEX(기본자료!$G$2:$G$501,$AB158)="","",IF(NOT(ISNUMBER(INDEX(기본자료!$G$2:$G$501,$AB158))),INDEX(기본자료!$G$2:$G$501,$AB158),IF(INDEX(기본자료!$G$2:$G$501,$AB158)&lt;1000000,INDEX(기본자료!$G$2:$G$501,$AB158),IF(AND(INDEX(기본자료!$G$2:$G$501,$AB158)&gt;=10000101,INT(MOD(INDEX(기본자료!$G$2:$G$501,$AB158),10000)/100)&gt;=1,INT(MOD(INDEX(기본자료!$G$2:$G$501,$AB158),10000)/100)&lt;=12,MOD(INDEX(기본자료!$G$2:$G$501,$AB158),100)&gt;=1,MOD(INDEX(기본자료!$G$2:$G$501,$AB158),100)&lt;=31),DATE(INT(INDEX(기본자료!$G$2:$G$501,$AB158)/10000),INT(MOD(INDEX(기본자료!$G$2:$G$501,$AB158),10000)/100),MOD(INDEX(기본자료!$G$2:$G$501,$AB158),100)),INDEX(기본자료!$G$2:$G$501,$AB158)&amp;"")))))</f>
        <v/>
      </c>
      <c r="J158" s="10">
        <f>IF($AB158="","",IF(INDEX(기본자료!$H$2:$H$501,$AB158)="","",INDEX(기본자료!$H$2:$H$501,$AB158)))</f>
        <v/>
      </c>
      <c r="K158" s="10">
        <f>IF($AB158="","",IF(INDEX(기본자료!$I$2:$I$501,$AB158)="","",INDEX(기본자료!$I$2:$I$501,$AB158)))</f>
        <v/>
      </c>
      <c r="L158" s="10">
        <f>IF($AB158="","",IF(INDEX(기본자료!$A$2:$A$501,$AB158)="","",INDEX(기본자료!$A$2:$A$501,$AB158)))</f>
        <v/>
      </c>
      <c r="M158" s="15" t="n"/>
      <c r="N158" s="10">
        <f>IF($B158="","",IF(AND($U158="파견중",$Q158&lt;&gt;""),$Q158,IF(AND($AD158&lt;&gt;"",LEFT($AD158,1)&lt;&gt;"⚠"),LEFT($AD158,FIND(" ",$AD158)-1),IF($H158="","",IF(RIGHT($H158,2)="병원",$H158,$H158&amp;"병원")))))</f>
        <v/>
      </c>
      <c r="O158" s="10">
        <f>IF($B158="","",IF(AND($U158="파견중",$Q158&lt;&gt;""),IF($R158&lt;&gt;"",$R158,"파견과 미입력"),IF(AND($AD158&lt;&gt;"",LEFT($AD158,1)&lt;&gt;"⚠"),MID($AD158,FIND(" ",$AD158)+1,60),IF($F158="","",IF($F158="인턴","수련교육부(인턴)",$F158)))))</f>
        <v/>
      </c>
      <c r="P158" s="10">
        <f>IF($B158="","",IF($AK158&lt;&gt;"",IF(AND(TODAY()&gt;=INDEX(파견수련계획!$AB$4:$AB$203,$AK158),OR(NOT(ISNUMBER(INDEX(파견수련계획!$AC$4:$AC$203,$AK158))),TODAY()&lt;=INDEX(파견수련계획!$AC$4:$AC$203,$AK158))),"다기관",IF($AF158="","",INDEX(파견수련계획!$T$4:$T$203,$AF158))),IF($AF158="","",INDEX(파견수련계획!$T$4:$T$203,$AF158))))</f>
        <v/>
      </c>
      <c r="Q158" s="10">
        <f>IF($AF158="","",INDEX(파견수련계획!$S$4:$S$203,$AF158))</f>
        <v/>
      </c>
      <c r="R158" s="10">
        <f>IF($AF158="","",INDEX(파견수련계획!$U$4:$U$203,$AF158))</f>
        <v/>
      </c>
      <c r="S158" s="11">
        <f>IF($AF158="","",IF(INDEX(파견수련계획!$H$4:$H$203,$AF158)="","",INDEX(파견수련계획!$H$4:$H$203,$AF158)))</f>
        <v/>
      </c>
      <c r="T158" s="11">
        <f>IF($AF158="","",IF(INDEX(파견수련계획!$I$4:$I$203,$AF158)="","",INDEX(파견수련계획!$I$4:$I$203,$AF158)))</f>
        <v/>
      </c>
      <c r="U158" s="10">
        <f>IF($AF158="","",INDEX(파견수련계획!$X$4:$X$203,$AF158))</f>
        <v/>
      </c>
      <c r="V158" s="17">
        <f>IF($AF158="","",INDEX(파견수련계획!$V$4:$V$203,$AF158))</f>
        <v/>
      </c>
      <c r="W158" s="17">
        <f>IF(AND($U158="파견중",$T158&lt;&gt;""),$T158-TODAY(),"")</f>
        <v/>
      </c>
      <c r="X158" s="17">
        <f>IF(OR($B158="",TRIM($J158&amp;"")=""),"",SUMPRODUCT((파견수련계획!$Q$4:$Q$203=TRIM($J158&amp;""))*파견수련계획!$W$4:$W$203))</f>
        <v/>
      </c>
      <c r="Y158" s="10">
        <f>IF($B158="","",IF($AG158="","",IF(IF(TRIM($J158&amp;"")="",0,SUMPRODUCT((파견수련계획!$Q$4:$Q$203=TRIM($J158&amp;""))*파견수련계획!$AD$4:$AD$203))&gt;0,$AE158,IF(N($X158)&lt;=0,$AG158,IF($AH158+$AI158=DAY(EOMONTH(요약!$B$3,0)),IF(AND($AH158&gt;=요약!$E$3,$AI158&lt;요약!$E$3),"서울병원",IF(AND($AI158&gt;=요약!$E$3,$AH158&lt;요약!$E$3),"구리병원","⚠15일 판정불가(서울 "&amp;$AH158&amp;"일/구리 "&amp;$AI158&amp;"일)")),IF($AJ158="",$AE158,IF(INDEX(파견수련계획!$T$4:$T$203,$AJ158)="통합수련",INDEX(파견수련계획!$S$4:$S$203,$AJ158),$AE158)))))))</f>
        <v/>
      </c>
      <c r="Z158" s="19">
        <f>IF($B158="","",IF($AB158="","기본자료에 없는 사번",IF(COUNTIF($B$2:$B$201,$B158)&gt;1,"중복 사번",IF($AE158="","소속(입사장소) 입력",IF(IF(TRIM($J158&amp;"")="",0,SUMPRODUCT((파견수련계획!$Q$4:$Q$203=TRIM($J158&amp;""))*(파견수련계획!$AA$4:$AA$203&lt;&gt;"")))&gt;0,"파견수련계획 입력오류 확인",IF(LEFT($Y158,1)="⚠","서울·구리 15일 판정 불가(양쪽 모두 이상/미만)",IF(IF($AC158="",0,N(INDEX(인턴근무계획!$T$3:$T$202,$AC158)))&gt;0,"인턴계획 입력오류 확인",IF(AND($AC158&lt;&gt;"",$U158&lt;&gt;"파견중",$N158&lt;&gt;$AE158),"인턴 타지역 근무: 파견 여부 확인","정상"))))))))</f>
        <v/>
      </c>
      <c r="AA158" s="5" t="n"/>
      <c r="AB158" s="10">
        <f>IF($B158="","",IFERROR(MATCH($B158,기본자료!$B$2:$B$501,0),IFERROR(MATCH($B158&amp;"",기본자료!$B$2:$B$501,0),IFERROR(MATCH(VALUE($B158),기본자료!$B$2:$B$501,0),""))))</f>
        <v/>
      </c>
      <c r="AC158" s="10">
        <f>IF($B158="","",IFERROR(MATCH($B158,인턴근무계획!$D$3:$D$202,0),IFERROR(MATCH($B158&amp;"",인턴근무계획!$D$3:$D$202,0),IFERROR(MATCH(VALUE($B158),인턴근무계획!$D$3:$D$202,0),""))))</f>
        <v/>
      </c>
      <c r="AD158" s="10">
        <f>IF(OR($AC158="",인턴현황!$G$3=""),"",INDEX(인턴근무계획!$M$3:$R$202,$AC158,인턴현황!$G$3)&amp;"")</f>
        <v/>
      </c>
      <c r="AE158" s="10">
        <f>IF($B158="","",IF($M158&lt;&gt;"",$M158,IF($AF158&lt;&gt;"",IF(LEFT(INDEX(파견수련계획!$R$4:$R$203,$AF158),1)&lt;&gt;"⚠",INDEX(파견수련계획!$R$4:$R$203,$AF158),IF($H158="","",IF(RIGHT($H158,2)="병원",$H158,$H158&amp;"병원"))),IF($H158="","",IF(RIGHT($H158,2)="병원",$H158,$H158&amp;"병원")))))</f>
        <v/>
      </c>
      <c r="AF158" s="10">
        <f>IF(OR($B158="",TRIM($J158&amp;"")=""),"",IFERROR(MATCH(TRIM($J158&amp;"")&amp;"|파견중",파견수련계획!$Y$4:$Y$203,0),IFERROR(MATCH(TRIM($J158&amp;"")&amp;"|파견예정",파견수련계획!$Y$4:$Y$203,0),IFERROR(MATCH(TRIM($J158&amp;"")&amp;"|파견종료",파견수련계획!$Y$4:$Y$203,0),""))))</f>
        <v/>
      </c>
      <c r="AG158" s="10">
        <f>IF($B158="","",IF(AND(IF(OR($AC158="",인턴현황!$K$2=""),"",INDEX(인턴근무계획!$M$3:$R$202,$AC158,인턴현황!$K$2)&amp;"")&lt;&gt;"",LEFT(IF(OR($AC158="",인턴현황!$K$2=""),"",INDEX(인턴근무계획!$M$3:$R$202,$AC158,인턴현황!$K$2)&amp;""),1)&lt;&gt;"⚠"),LEFT(IF(OR($AC158="",인턴현황!$K$2=""),"",INDEX(인턴근무계획!$M$3:$R$202,$AC158,인턴현황!$K$2)&amp;""),FIND(" ",IF(OR($AC158="",인턴현황!$K$2=""),"",INDEX(인턴근무계획!$M$3:$R$202,$AC158,인턴현황!$K$2)&amp;""))-1),$AE158))</f>
        <v/>
      </c>
      <c r="AH158" s="17">
        <f>IF($B158="","",IF(TRIM($J158&amp;"")="",0,SUMPRODUCT((파견수련계획!$Q$4:$Q$203=TRIM($J158&amp;""))*(파견수련계획!$S$4:$S$203="서울병원")*파견수련계획!$W$4:$W$203))+IF($AG158="서울병원",MAX(0,DAY(EOMONTH(요약!$B$3,0))-N($X158)),0))</f>
        <v/>
      </c>
      <c r="AI158" s="17">
        <f>IF($B158="","",IF(TRIM($J158&amp;"")="",0,SUMPRODUCT((파견수련계획!$Q$4:$Q$203=TRIM($J158&amp;""))*(파견수련계획!$S$4:$S$203="구리병원")*파견수련계획!$W$4:$W$203))+IF($AG158="구리병원",MAX(0,DAY(EOMONTH(요약!$B$3,0))-N($X158)),0))</f>
        <v/>
      </c>
      <c r="AJ158" s="10">
        <f>IF(OR($B158="",TRIM($J158&amp;"")=""),"",IFERROR(MATCH(TRIM($J158&amp;"")&amp;"|월",파견수련계획!$Z$4:$Z$203,0),""))</f>
        <v/>
      </c>
      <c r="AK158" s="10">
        <f>IF(OR($B158="",TRIM($J158&amp;"")=""),"",IFERROR(MATCH(TRIM($J158&amp;"")&amp;"|다기관",파견수련계획!$AE$4:$AE$203,0),""))</f>
        <v/>
      </c>
      <c r="AL158" s="10">
        <f>IF($AK158="","","다기관 "&amp;TEXT(INDEX(파견수련계획!$AB$4:$AB$203,$AK158),"yyyy-mm-dd")&amp;"~"&amp;IF(ISNUMBER(INDEX(파견수련계획!$AC$4:$AC$203,$AK158)),TEXT(INDEX(파견수련계획!$AC$4:$AC$203,$AK158),"yyyy-mm-dd"),""))</f>
        <v/>
      </c>
    </row>
    <row r="159">
      <c r="A159" s="10">
        <f>IF(B159="","",ROW()-1)</f>
        <v/>
      </c>
      <c r="B159" s="18" t="n"/>
      <c r="C159" s="10">
        <f>IF($AB159="","",IF(INDEX(기본자료!$C$2:$C$501,$AB159)="","",INDEX(기본자료!$C$2:$C$501,$AB159)))</f>
        <v/>
      </c>
      <c r="D159" s="10">
        <f>IF($AB159="","",IF(INDEX(기본자료!$J$2:$J$501,$AB159)="","",INDEX(기본자료!$J$2:$J$501,$AB159)))</f>
        <v/>
      </c>
      <c r="E159" s="11">
        <f>IF($AB159="","",IF(INDEX(기본자료!$K$2:$K$501,$AB159)="","",IF(NOT(ISNUMBER(INDEX(기본자료!$K$2:$K$501,$AB159))),INDEX(기본자료!$K$2:$K$501,$AB159),IF(INDEX(기본자료!$K$2:$K$501,$AB159)&lt;1000000,INDEX(기본자료!$K$2:$K$501,$AB159),IF(AND(INDEX(기본자료!$K$2:$K$501,$AB159)&gt;=10000101,INT(MOD(INDEX(기본자료!$K$2:$K$501,$AB159),10000)/100)&gt;=1,INT(MOD(INDEX(기본자료!$K$2:$K$501,$AB159),10000)/100)&lt;=12,MOD(INDEX(기본자료!$K$2:$K$501,$AB159),100)&gt;=1,MOD(INDEX(기본자료!$K$2:$K$501,$AB159),100)&lt;=31),DATE(INT(INDEX(기본자료!$K$2:$K$501,$AB159)/10000),INT(MOD(INDEX(기본자료!$K$2:$K$501,$AB159),10000)/100),MOD(INDEX(기본자료!$K$2:$K$501,$AB159),100)),INDEX(기본자료!$K$2:$K$501,$AB159)&amp;"")))))</f>
        <v/>
      </c>
      <c r="F159" s="10">
        <f>IF($AB159="","",IF(INDEX(기본자료!$D$2:$D$501,$AB159)="","",INDEX(기본자료!$D$2:$D$501,$AB159)))</f>
        <v/>
      </c>
      <c r="G159" s="10">
        <f>IF($AB159="","",IF(INDEX(기본자료!$E$2:$E$501,$AB159)="","",INDEX(기본자료!$E$2:$E$501,$AB159)))</f>
        <v/>
      </c>
      <c r="H159" s="10">
        <f>IF($AB159="","",IF(INDEX(기본자료!$F$2:$F$501,$AB159)="","",INDEX(기본자료!$F$2:$F$501,$AB159)))</f>
        <v/>
      </c>
      <c r="I159" s="11">
        <f>IF($AB159="","",IF(INDEX(기본자료!$G$2:$G$501,$AB159)="","",IF(NOT(ISNUMBER(INDEX(기본자료!$G$2:$G$501,$AB159))),INDEX(기본자료!$G$2:$G$501,$AB159),IF(INDEX(기본자료!$G$2:$G$501,$AB159)&lt;1000000,INDEX(기본자료!$G$2:$G$501,$AB159),IF(AND(INDEX(기본자료!$G$2:$G$501,$AB159)&gt;=10000101,INT(MOD(INDEX(기본자료!$G$2:$G$501,$AB159),10000)/100)&gt;=1,INT(MOD(INDEX(기본자료!$G$2:$G$501,$AB159),10000)/100)&lt;=12,MOD(INDEX(기본자료!$G$2:$G$501,$AB159),100)&gt;=1,MOD(INDEX(기본자료!$G$2:$G$501,$AB159),100)&lt;=31),DATE(INT(INDEX(기본자료!$G$2:$G$501,$AB159)/10000),INT(MOD(INDEX(기본자료!$G$2:$G$501,$AB159),10000)/100),MOD(INDEX(기본자료!$G$2:$G$501,$AB159),100)),INDEX(기본자료!$G$2:$G$501,$AB159)&amp;"")))))</f>
        <v/>
      </c>
      <c r="J159" s="10">
        <f>IF($AB159="","",IF(INDEX(기본자료!$H$2:$H$501,$AB159)="","",INDEX(기본자료!$H$2:$H$501,$AB159)))</f>
        <v/>
      </c>
      <c r="K159" s="10">
        <f>IF($AB159="","",IF(INDEX(기본자료!$I$2:$I$501,$AB159)="","",INDEX(기본자료!$I$2:$I$501,$AB159)))</f>
        <v/>
      </c>
      <c r="L159" s="10">
        <f>IF($AB159="","",IF(INDEX(기본자료!$A$2:$A$501,$AB159)="","",INDEX(기본자료!$A$2:$A$501,$AB159)))</f>
        <v/>
      </c>
      <c r="M159" s="15" t="n"/>
      <c r="N159" s="10">
        <f>IF($B159="","",IF(AND($U159="파견중",$Q159&lt;&gt;""),$Q159,IF(AND($AD159&lt;&gt;"",LEFT($AD159,1)&lt;&gt;"⚠"),LEFT($AD159,FIND(" ",$AD159)-1),IF($H159="","",IF(RIGHT($H159,2)="병원",$H159,$H159&amp;"병원")))))</f>
        <v/>
      </c>
      <c r="O159" s="10">
        <f>IF($B159="","",IF(AND($U159="파견중",$Q159&lt;&gt;""),IF($R159&lt;&gt;"",$R159,"파견과 미입력"),IF(AND($AD159&lt;&gt;"",LEFT($AD159,1)&lt;&gt;"⚠"),MID($AD159,FIND(" ",$AD159)+1,60),IF($F159="","",IF($F159="인턴","수련교육부(인턴)",$F159)))))</f>
        <v/>
      </c>
      <c r="P159" s="10">
        <f>IF($B159="","",IF($AK159&lt;&gt;"",IF(AND(TODAY()&gt;=INDEX(파견수련계획!$AB$4:$AB$203,$AK159),OR(NOT(ISNUMBER(INDEX(파견수련계획!$AC$4:$AC$203,$AK159))),TODAY()&lt;=INDEX(파견수련계획!$AC$4:$AC$203,$AK159))),"다기관",IF($AF159="","",INDEX(파견수련계획!$T$4:$T$203,$AF159))),IF($AF159="","",INDEX(파견수련계획!$T$4:$T$203,$AF159))))</f>
        <v/>
      </c>
      <c r="Q159" s="10">
        <f>IF($AF159="","",INDEX(파견수련계획!$S$4:$S$203,$AF159))</f>
        <v/>
      </c>
      <c r="R159" s="10">
        <f>IF($AF159="","",INDEX(파견수련계획!$U$4:$U$203,$AF159))</f>
        <v/>
      </c>
      <c r="S159" s="11">
        <f>IF($AF159="","",IF(INDEX(파견수련계획!$H$4:$H$203,$AF159)="","",INDEX(파견수련계획!$H$4:$H$203,$AF159)))</f>
        <v/>
      </c>
      <c r="T159" s="11">
        <f>IF($AF159="","",IF(INDEX(파견수련계획!$I$4:$I$203,$AF159)="","",INDEX(파견수련계획!$I$4:$I$203,$AF159)))</f>
        <v/>
      </c>
      <c r="U159" s="10">
        <f>IF($AF159="","",INDEX(파견수련계획!$X$4:$X$203,$AF159))</f>
        <v/>
      </c>
      <c r="V159" s="17">
        <f>IF($AF159="","",INDEX(파견수련계획!$V$4:$V$203,$AF159))</f>
        <v/>
      </c>
      <c r="W159" s="17">
        <f>IF(AND($U159="파견중",$T159&lt;&gt;""),$T159-TODAY(),"")</f>
        <v/>
      </c>
      <c r="X159" s="17">
        <f>IF(OR($B159="",TRIM($J159&amp;"")=""),"",SUMPRODUCT((파견수련계획!$Q$4:$Q$203=TRIM($J159&amp;""))*파견수련계획!$W$4:$W$203))</f>
        <v/>
      </c>
      <c r="Y159" s="10">
        <f>IF($B159="","",IF($AG159="","",IF(IF(TRIM($J159&amp;"")="",0,SUMPRODUCT((파견수련계획!$Q$4:$Q$203=TRIM($J159&amp;""))*파견수련계획!$AD$4:$AD$203))&gt;0,$AE159,IF(N($X159)&lt;=0,$AG159,IF($AH159+$AI159=DAY(EOMONTH(요약!$B$3,0)),IF(AND($AH159&gt;=요약!$E$3,$AI159&lt;요약!$E$3),"서울병원",IF(AND($AI159&gt;=요약!$E$3,$AH159&lt;요약!$E$3),"구리병원","⚠15일 판정불가(서울 "&amp;$AH159&amp;"일/구리 "&amp;$AI159&amp;"일)")),IF($AJ159="",$AE159,IF(INDEX(파견수련계획!$T$4:$T$203,$AJ159)="통합수련",INDEX(파견수련계획!$S$4:$S$203,$AJ159),$AE159)))))))</f>
        <v/>
      </c>
      <c r="Z159" s="19">
        <f>IF($B159="","",IF($AB159="","기본자료에 없는 사번",IF(COUNTIF($B$2:$B$201,$B159)&gt;1,"중복 사번",IF($AE159="","소속(입사장소) 입력",IF(IF(TRIM($J159&amp;"")="",0,SUMPRODUCT((파견수련계획!$Q$4:$Q$203=TRIM($J159&amp;""))*(파견수련계획!$AA$4:$AA$203&lt;&gt;"")))&gt;0,"파견수련계획 입력오류 확인",IF(LEFT($Y159,1)="⚠","서울·구리 15일 판정 불가(양쪽 모두 이상/미만)",IF(IF($AC159="",0,N(INDEX(인턴근무계획!$T$3:$T$202,$AC159)))&gt;0,"인턴계획 입력오류 확인",IF(AND($AC159&lt;&gt;"",$U159&lt;&gt;"파견중",$N159&lt;&gt;$AE159),"인턴 타지역 근무: 파견 여부 확인","정상"))))))))</f>
        <v/>
      </c>
      <c r="AA159" s="5" t="n"/>
      <c r="AB159" s="10">
        <f>IF($B159="","",IFERROR(MATCH($B159,기본자료!$B$2:$B$501,0),IFERROR(MATCH($B159&amp;"",기본자료!$B$2:$B$501,0),IFERROR(MATCH(VALUE($B159),기본자료!$B$2:$B$501,0),""))))</f>
        <v/>
      </c>
      <c r="AC159" s="10">
        <f>IF($B159="","",IFERROR(MATCH($B159,인턴근무계획!$D$3:$D$202,0),IFERROR(MATCH($B159&amp;"",인턴근무계획!$D$3:$D$202,0),IFERROR(MATCH(VALUE($B159),인턴근무계획!$D$3:$D$202,0),""))))</f>
        <v/>
      </c>
      <c r="AD159" s="10">
        <f>IF(OR($AC159="",인턴현황!$G$3=""),"",INDEX(인턴근무계획!$M$3:$R$202,$AC159,인턴현황!$G$3)&amp;"")</f>
        <v/>
      </c>
      <c r="AE159" s="10">
        <f>IF($B159="","",IF($M159&lt;&gt;"",$M159,IF($AF159&lt;&gt;"",IF(LEFT(INDEX(파견수련계획!$R$4:$R$203,$AF159),1)&lt;&gt;"⚠",INDEX(파견수련계획!$R$4:$R$203,$AF159),IF($H159="","",IF(RIGHT($H159,2)="병원",$H159,$H159&amp;"병원"))),IF($H159="","",IF(RIGHT($H159,2)="병원",$H159,$H159&amp;"병원")))))</f>
        <v/>
      </c>
      <c r="AF159" s="10">
        <f>IF(OR($B159="",TRIM($J159&amp;"")=""),"",IFERROR(MATCH(TRIM($J159&amp;"")&amp;"|파견중",파견수련계획!$Y$4:$Y$203,0),IFERROR(MATCH(TRIM($J159&amp;"")&amp;"|파견예정",파견수련계획!$Y$4:$Y$203,0),IFERROR(MATCH(TRIM($J159&amp;"")&amp;"|파견종료",파견수련계획!$Y$4:$Y$203,0),""))))</f>
        <v/>
      </c>
      <c r="AG159" s="10">
        <f>IF($B159="","",IF(AND(IF(OR($AC159="",인턴현황!$K$2=""),"",INDEX(인턴근무계획!$M$3:$R$202,$AC159,인턴현황!$K$2)&amp;"")&lt;&gt;"",LEFT(IF(OR($AC159="",인턴현황!$K$2=""),"",INDEX(인턴근무계획!$M$3:$R$202,$AC159,인턴현황!$K$2)&amp;""),1)&lt;&gt;"⚠"),LEFT(IF(OR($AC159="",인턴현황!$K$2=""),"",INDEX(인턴근무계획!$M$3:$R$202,$AC159,인턴현황!$K$2)&amp;""),FIND(" ",IF(OR($AC159="",인턴현황!$K$2=""),"",INDEX(인턴근무계획!$M$3:$R$202,$AC159,인턴현황!$K$2)&amp;""))-1),$AE159))</f>
        <v/>
      </c>
      <c r="AH159" s="17">
        <f>IF($B159="","",IF(TRIM($J159&amp;"")="",0,SUMPRODUCT((파견수련계획!$Q$4:$Q$203=TRIM($J159&amp;""))*(파견수련계획!$S$4:$S$203="서울병원")*파견수련계획!$W$4:$W$203))+IF($AG159="서울병원",MAX(0,DAY(EOMONTH(요약!$B$3,0))-N($X159)),0))</f>
        <v/>
      </c>
      <c r="AI159" s="17">
        <f>IF($B159="","",IF(TRIM($J159&amp;"")="",0,SUMPRODUCT((파견수련계획!$Q$4:$Q$203=TRIM($J159&amp;""))*(파견수련계획!$S$4:$S$203="구리병원")*파견수련계획!$W$4:$W$203))+IF($AG159="구리병원",MAX(0,DAY(EOMONTH(요약!$B$3,0))-N($X159)),0))</f>
        <v/>
      </c>
      <c r="AJ159" s="10">
        <f>IF(OR($B159="",TRIM($J159&amp;"")=""),"",IFERROR(MATCH(TRIM($J159&amp;"")&amp;"|월",파견수련계획!$Z$4:$Z$203,0),""))</f>
        <v/>
      </c>
      <c r="AK159" s="10">
        <f>IF(OR($B159="",TRIM($J159&amp;"")=""),"",IFERROR(MATCH(TRIM($J159&amp;"")&amp;"|다기관",파견수련계획!$AE$4:$AE$203,0),""))</f>
        <v/>
      </c>
      <c r="AL159" s="10">
        <f>IF($AK159="","","다기관 "&amp;TEXT(INDEX(파견수련계획!$AB$4:$AB$203,$AK159),"yyyy-mm-dd")&amp;"~"&amp;IF(ISNUMBER(INDEX(파견수련계획!$AC$4:$AC$203,$AK159)),TEXT(INDEX(파견수련계획!$AC$4:$AC$203,$AK159),"yyyy-mm-dd"),""))</f>
        <v/>
      </c>
    </row>
    <row r="160">
      <c r="A160" s="10">
        <f>IF(B160="","",ROW()-1)</f>
        <v/>
      </c>
      <c r="B160" s="18" t="n"/>
      <c r="C160" s="10">
        <f>IF($AB160="","",IF(INDEX(기본자료!$C$2:$C$501,$AB160)="","",INDEX(기본자료!$C$2:$C$501,$AB160)))</f>
        <v/>
      </c>
      <c r="D160" s="10">
        <f>IF($AB160="","",IF(INDEX(기본자료!$J$2:$J$501,$AB160)="","",INDEX(기본자료!$J$2:$J$501,$AB160)))</f>
        <v/>
      </c>
      <c r="E160" s="11">
        <f>IF($AB160="","",IF(INDEX(기본자료!$K$2:$K$501,$AB160)="","",IF(NOT(ISNUMBER(INDEX(기본자료!$K$2:$K$501,$AB160))),INDEX(기본자료!$K$2:$K$501,$AB160),IF(INDEX(기본자료!$K$2:$K$501,$AB160)&lt;1000000,INDEX(기본자료!$K$2:$K$501,$AB160),IF(AND(INDEX(기본자료!$K$2:$K$501,$AB160)&gt;=10000101,INT(MOD(INDEX(기본자료!$K$2:$K$501,$AB160),10000)/100)&gt;=1,INT(MOD(INDEX(기본자료!$K$2:$K$501,$AB160),10000)/100)&lt;=12,MOD(INDEX(기본자료!$K$2:$K$501,$AB160),100)&gt;=1,MOD(INDEX(기본자료!$K$2:$K$501,$AB160),100)&lt;=31),DATE(INT(INDEX(기본자료!$K$2:$K$501,$AB160)/10000),INT(MOD(INDEX(기본자료!$K$2:$K$501,$AB160),10000)/100),MOD(INDEX(기본자료!$K$2:$K$501,$AB160),100)),INDEX(기본자료!$K$2:$K$501,$AB160)&amp;"")))))</f>
        <v/>
      </c>
      <c r="F160" s="10">
        <f>IF($AB160="","",IF(INDEX(기본자료!$D$2:$D$501,$AB160)="","",INDEX(기본자료!$D$2:$D$501,$AB160)))</f>
        <v/>
      </c>
      <c r="G160" s="10">
        <f>IF($AB160="","",IF(INDEX(기본자료!$E$2:$E$501,$AB160)="","",INDEX(기본자료!$E$2:$E$501,$AB160)))</f>
        <v/>
      </c>
      <c r="H160" s="10">
        <f>IF($AB160="","",IF(INDEX(기본자료!$F$2:$F$501,$AB160)="","",INDEX(기본자료!$F$2:$F$501,$AB160)))</f>
        <v/>
      </c>
      <c r="I160" s="11">
        <f>IF($AB160="","",IF(INDEX(기본자료!$G$2:$G$501,$AB160)="","",IF(NOT(ISNUMBER(INDEX(기본자료!$G$2:$G$501,$AB160))),INDEX(기본자료!$G$2:$G$501,$AB160),IF(INDEX(기본자료!$G$2:$G$501,$AB160)&lt;1000000,INDEX(기본자료!$G$2:$G$501,$AB160),IF(AND(INDEX(기본자료!$G$2:$G$501,$AB160)&gt;=10000101,INT(MOD(INDEX(기본자료!$G$2:$G$501,$AB160),10000)/100)&gt;=1,INT(MOD(INDEX(기본자료!$G$2:$G$501,$AB160),10000)/100)&lt;=12,MOD(INDEX(기본자료!$G$2:$G$501,$AB160),100)&gt;=1,MOD(INDEX(기본자료!$G$2:$G$501,$AB160),100)&lt;=31),DATE(INT(INDEX(기본자료!$G$2:$G$501,$AB160)/10000),INT(MOD(INDEX(기본자료!$G$2:$G$501,$AB160),10000)/100),MOD(INDEX(기본자료!$G$2:$G$501,$AB160),100)),INDEX(기본자료!$G$2:$G$501,$AB160)&amp;"")))))</f>
        <v/>
      </c>
      <c r="J160" s="10">
        <f>IF($AB160="","",IF(INDEX(기본자료!$H$2:$H$501,$AB160)="","",INDEX(기본자료!$H$2:$H$501,$AB160)))</f>
        <v/>
      </c>
      <c r="K160" s="10">
        <f>IF($AB160="","",IF(INDEX(기본자료!$I$2:$I$501,$AB160)="","",INDEX(기본자료!$I$2:$I$501,$AB160)))</f>
        <v/>
      </c>
      <c r="L160" s="10">
        <f>IF($AB160="","",IF(INDEX(기본자료!$A$2:$A$501,$AB160)="","",INDEX(기본자료!$A$2:$A$501,$AB160)))</f>
        <v/>
      </c>
      <c r="M160" s="15" t="n"/>
      <c r="N160" s="10">
        <f>IF($B160="","",IF(AND($U160="파견중",$Q160&lt;&gt;""),$Q160,IF(AND($AD160&lt;&gt;"",LEFT($AD160,1)&lt;&gt;"⚠"),LEFT($AD160,FIND(" ",$AD160)-1),IF($H160="","",IF(RIGHT($H160,2)="병원",$H160,$H160&amp;"병원")))))</f>
        <v/>
      </c>
      <c r="O160" s="10">
        <f>IF($B160="","",IF(AND($U160="파견중",$Q160&lt;&gt;""),IF($R160&lt;&gt;"",$R160,"파견과 미입력"),IF(AND($AD160&lt;&gt;"",LEFT($AD160,1)&lt;&gt;"⚠"),MID($AD160,FIND(" ",$AD160)+1,60),IF($F160="","",IF($F160="인턴","수련교육부(인턴)",$F160)))))</f>
        <v/>
      </c>
      <c r="P160" s="10">
        <f>IF($B160="","",IF($AK160&lt;&gt;"",IF(AND(TODAY()&gt;=INDEX(파견수련계획!$AB$4:$AB$203,$AK160),OR(NOT(ISNUMBER(INDEX(파견수련계획!$AC$4:$AC$203,$AK160))),TODAY()&lt;=INDEX(파견수련계획!$AC$4:$AC$203,$AK160))),"다기관",IF($AF160="","",INDEX(파견수련계획!$T$4:$T$203,$AF160))),IF($AF160="","",INDEX(파견수련계획!$T$4:$T$203,$AF160))))</f>
        <v/>
      </c>
      <c r="Q160" s="10">
        <f>IF($AF160="","",INDEX(파견수련계획!$S$4:$S$203,$AF160))</f>
        <v/>
      </c>
      <c r="R160" s="10">
        <f>IF($AF160="","",INDEX(파견수련계획!$U$4:$U$203,$AF160))</f>
        <v/>
      </c>
      <c r="S160" s="11">
        <f>IF($AF160="","",IF(INDEX(파견수련계획!$H$4:$H$203,$AF160)="","",INDEX(파견수련계획!$H$4:$H$203,$AF160)))</f>
        <v/>
      </c>
      <c r="T160" s="11">
        <f>IF($AF160="","",IF(INDEX(파견수련계획!$I$4:$I$203,$AF160)="","",INDEX(파견수련계획!$I$4:$I$203,$AF160)))</f>
        <v/>
      </c>
      <c r="U160" s="10">
        <f>IF($AF160="","",INDEX(파견수련계획!$X$4:$X$203,$AF160))</f>
        <v/>
      </c>
      <c r="V160" s="17">
        <f>IF($AF160="","",INDEX(파견수련계획!$V$4:$V$203,$AF160))</f>
        <v/>
      </c>
      <c r="W160" s="17">
        <f>IF(AND($U160="파견중",$T160&lt;&gt;""),$T160-TODAY(),"")</f>
        <v/>
      </c>
      <c r="X160" s="17">
        <f>IF(OR($B160="",TRIM($J160&amp;"")=""),"",SUMPRODUCT((파견수련계획!$Q$4:$Q$203=TRIM($J160&amp;""))*파견수련계획!$W$4:$W$203))</f>
        <v/>
      </c>
      <c r="Y160" s="10">
        <f>IF($B160="","",IF($AG160="","",IF(IF(TRIM($J160&amp;"")="",0,SUMPRODUCT((파견수련계획!$Q$4:$Q$203=TRIM($J160&amp;""))*파견수련계획!$AD$4:$AD$203))&gt;0,$AE160,IF(N($X160)&lt;=0,$AG160,IF($AH160+$AI160=DAY(EOMONTH(요약!$B$3,0)),IF(AND($AH160&gt;=요약!$E$3,$AI160&lt;요약!$E$3),"서울병원",IF(AND($AI160&gt;=요약!$E$3,$AH160&lt;요약!$E$3),"구리병원","⚠15일 판정불가(서울 "&amp;$AH160&amp;"일/구리 "&amp;$AI160&amp;"일)")),IF($AJ160="",$AE160,IF(INDEX(파견수련계획!$T$4:$T$203,$AJ160)="통합수련",INDEX(파견수련계획!$S$4:$S$203,$AJ160),$AE160)))))))</f>
        <v/>
      </c>
      <c r="Z160" s="19">
        <f>IF($B160="","",IF($AB160="","기본자료에 없는 사번",IF(COUNTIF($B$2:$B$201,$B160)&gt;1,"중복 사번",IF($AE160="","소속(입사장소) 입력",IF(IF(TRIM($J160&amp;"")="",0,SUMPRODUCT((파견수련계획!$Q$4:$Q$203=TRIM($J160&amp;""))*(파견수련계획!$AA$4:$AA$203&lt;&gt;"")))&gt;0,"파견수련계획 입력오류 확인",IF(LEFT($Y160,1)="⚠","서울·구리 15일 판정 불가(양쪽 모두 이상/미만)",IF(IF($AC160="",0,N(INDEX(인턴근무계획!$T$3:$T$202,$AC160)))&gt;0,"인턴계획 입력오류 확인",IF(AND($AC160&lt;&gt;"",$U160&lt;&gt;"파견중",$N160&lt;&gt;$AE160),"인턴 타지역 근무: 파견 여부 확인","정상"))))))))</f>
        <v/>
      </c>
      <c r="AA160" s="5" t="n"/>
      <c r="AB160" s="10">
        <f>IF($B160="","",IFERROR(MATCH($B160,기본자료!$B$2:$B$501,0),IFERROR(MATCH($B160&amp;"",기본자료!$B$2:$B$501,0),IFERROR(MATCH(VALUE($B160),기본자료!$B$2:$B$501,0),""))))</f>
        <v/>
      </c>
      <c r="AC160" s="10">
        <f>IF($B160="","",IFERROR(MATCH($B160,인턴근무계획!$D$3:$D$202,0),IFERROR(MATCH($B160&amp;"",인턴근무계획!$D$3:$D$202,0),IFERROR(MATCH(VALUE($B160),인턴근무계획!$D$3:$D$202,0),""))))</f>
        <v/>
      </c>
      <c r="AD160" s="10">
        <f>IF(OR($AC160="",인턴현황!$G$3=""),"",INDEX(인턴근무계획!$M$3:$R$202,$AC160,인턴현황!$G$3)&amp;"")</f>
        <v/>
      </c>
      <c r="AE160" s="10">
        <f>IF($B160="","",IF($M160&lt;&gt;"",$M160,IF($AF160&lt;&gt;"",IF(LEFT(INDEX(파견수련계획!$R$4:$R$203,$AF160),1)&lt;&gt;"⚠",INDEX(파견수련계획!$R$4:$R$203,$AF160),IF($H160="","",IF(RIGHT($H160,2)="병원",$H160,$H160&amp;"병원"))),IF($H160="","",IF(RIGHT($H160,2)="병원",$H160,$H160&amp;"병원")))))</f>
        <v/>
      </c>
      <c r="AF160" s="10">
        <f>IF(OR($B160="",TRIM($J160&amp;"")=""),"",IFERROR(MATCH(TRIM($J160&amp;"")&amp;"|파견중",파견수련계획!$Y$4:$Y$203,0),IFERROR(MATCH(TRIM($J160&amp;"")&amp;"|파견예정",파견수련계획!$Y$4:$Y$203,0),IFERROR(MATCH(TRIM($J160&amp;"")&amp;"|파견종료",파견수련계획!$Y$4:$Y$203,0),""))))</f>
        <v/>
      </c>
      <c r="AG160" s="10">
        <f>IF($B160="","",IF(AND(IF(OR($AC160="",인턴현황!$K$2=""),"",INDEX(인턴근무계획!$M$3:$R$202,$AC160,인턴현황!$K$2)&amp;"")&lt;&gt;"",LEFT(IF(OR($AC160="",인턴현황!$K$2=""),"",INDEX(인턴근무계획!$M$3:$R$202,$AC160,인턴현황!$K$2)&amp;""),1)&lt;&gt;"⚠"),LEFT(IF(OR($AC160="",인턴현황!$K$2=""),"",INDEX(인턴근무계획!$M$3:$R$202,$AC160,인턴현황!$K$2)&amp;""),FIND(" ",IF(OR($AC160="",인턴현황!$K$2=""),"",INDEX(인턴근무계획!$M$3:$R$202,$AC160,인턴현황!$K$2)&amp;""))-1),$AE160))</f>
        <v/>
      </c>
      <c r="AH160" s="17">
        <f>IF($B160="","",IF(TRIM($J160&amp;"")="",0,SUMPRODUCT((파견수련계획!$Q$4:$Q$203=TRIM($J160&amp;""))*(파견수련계획!$S$4:$S$203="서울병원")*파견수련계획!$W$4:$W$203))+IF($AG160="서울병원",MAX(0,DAY(EOMONTH(요약!$B$3,0))-N($X160)),0))</f>
        <v/>
      </c>
      <c r="AI160" s="17">
        <f>IF($B160="","",IF(TRIM($J160&amp;"")="",0,SUMPRODUCT((파견수련계획!$Q$4:$Q$203=TRIM($J160&amp;""))*(파견수련계획!$S$4:$S$203="구리병원")*파견수련계획!$W$4:$W$203))+IF($AG160="구리병원",MAX(0,DAY(EOMONTH(요약!$B$3,0))-N($X160)),0))</f>
        <v/>
      </c>
      <c r="AJ160" s="10">
        <f>IF(OR($B160="",TRIM($J160&amp;"")=""),"",IFERROR(MATCH(TRIM($J160&amp;"")&amp;"|월",파견수련계획!$Z$4:$Z$203,0),""))</f>
        <v/>
      </c>
      <c r="AK160" s="10">
        <f>IF(OR($B160="",TRIM($J160&amp;"")=""),"",IFERROR(MATCH(TRIM($J160&amp;"")&amp;"|다기관",파견수련계획!$AE$4:$AE$203,0),""))</f>
        <v/>
      </c>
      <c r="AL160" s="10">
        <f>IF($AK160="","","다기관 "&amp;TEXT(INDEX(파견수련계획!$AB$4:$AB$203,$AK160),"yyyy-mm-dd")&amp;"~"&amp;IF(ISNUMBER(INDEX(파견수련계획!$AC$4:$AC$203,$AK160)),TEXT(INDEX(파견수련계획!$AC$4:$AC$203,$AK160),"yyyy-mm-dd"),""))</f>
        <v/>
      </c>
    </row>
    <row r="161">
      <c r="A161" s="10">
        <f>IF(B161="","",ROW()-1)</f>
        <v/>
      </c>
      <c r="B161" s="18" t="n"/>
      <c r="C161" s="10">
        <f>IF($AB161="","",IF(INDEX(기본자료!$C$2:$C$501,$AB161)="","",INDEX(기본자료!$C$2:$C$501,$AB161)))</f>
        <v/>
      </c>
      <c r="D161" s="10">
        <f>IF($AB161="","",IF(INDEX(기본자료!$J$2:$J$501,$AB161)="","",INDEX(기본자료!$J$2:$J$501,$AB161)))</f>
        <v/>
      </c>
      <c r="E161" s="11">
        <f>IF($AB161="","",IF(INDEX(기본자료!$K$2:$K$501,$AB161)="","",IF(NOT(ISNUMBER(INDEX(기본자료!$K$2:$K$501,$AB161))),INDEX(기본자료!$K$2:$K$501,$AB161),IF(INDEX(기본자료!$K$2:$K$501,$AB161)&lt;1000000,INDEX(기본자료!$K$2:$K$501,$AB161),IF(AND(INDEX(기본자료!$K$2:$K$501,$AB161)&gt;=10000101,INT(MOD(INDEX(기본자료!$K$2:$K$501,$AB161),10000)/100)&gt;=1,INT(MOD(INDEX(기본자료!$K$2:$K$501,$AB161),10000)/100)&lt;=12,MOD(INDEX(기본자료!$K$2:$K$501,$AB161),100)&gt;=1,MOD(INDEX(기본자료!$K$2:$K$501,$AB161),100)&lt;=31),DATE(INT(INDEX(기본자료!$K$2:$K$501,$AB161)/10000),INT(MOD(INDEX(기본자료!$K$2:$K$501,$AB161),10000)/100),MOD(INDEX(기본자료!$K$2:$K$501,$AB161),100)),INDEX(기본자료!$K$2:$K$501,$AB161)&amp;"")))))</f>
        <v/>
      </c>
      <c r="F161" s="10">
        <f>IF($AB161="","",IF(INDEX(기본자료!$D$2:$D$501,$AB161)="","",INDEX(기본자료!$D$2:$D$501,$AB161)))</f>
        <v/>
      </c>
      <c r="G161" s="10">
        <f>IF($AB161="","",IF(INDEX(기본자료!$E$2:$E$501,$AB161)="","",INDEX(기본자료!$E$2:$E$501,$AB161)))</f>
        <v/>
      </c>
      <c r="H161" s="10">
        <f>IF($AB161="","",IF(INDEX(기본자료!$F$2:$F$501,$AB161)="","",INDEX(기본자료!$F$2:$F$501,$AB161)))</f>
        <v/>
      </c>
      <c r="I161" s="11">
        <f>IF($AB161="","",IF(INDEX(기본자료!$G$2:$G$501,$AB161)="","",IF(NOT(ISNUMBER(INDEX(기본자료!$G$2:$G$501,$AB161))),INDEX(기본자료!$G$2:$G$501,$AB161),IF(INDEX(기본자료!$G$2:$G$501,$AB161)&lt;1000000,INDEX(기본자료!$G$2:$G$501,$AB161),IF(AND(INDEX(기본자료!$G$2:$G$501,$AB161)&gt;=10000101,INT(MOD(INDEX(기본자료!$G$2:$G$501,$AB161),10000)/100)&gt;=1,INT(MOD(INDEX(기본자료!$G$2:$G$501,$AB161),10000)/100)&lt;=12,MOD(INDEX(기본자료!$G$2:$G$501,$AB161),100)&gt;=1,MOD(INDEX(기본자료!$G$2:$G$501,$AB161),100)&lt;=31),DATE(INT(INDEX(기본자료!$G$2:$G$501,$AB161)/10000),INT(MOD(INDEX(기본자료!$G$2:$G$501,$AB161),10000)/100),MOD(INDEX(기본자료!$G$2:$G$501,$AB161),100)),INDEX(기본자료!$G$2:$G$501,$AB161)&amp;"")))))</f>
        <v/>
      </c>
      <c r="J161" s="10">
        <f>IF($AB161="","",IF(INDEX(기본자료!$H$2:$H$501,$AB161)="","",INDEX(기본자료!$H$2:$H$501,$AB161)))</f>
        <v/>
      </c>
      <c r="K161" s="10">
        <f>IF($AB161="","",IF(INDEX(기본자료!$I$2:$I$501,$AB161)="","",INDEX(기본자료!$I$2:$I$501,$AB161)))</f>
        <v/>
      </c>
      <c r="L161" s="10">
        <f>IF($AB161="","",IF(INDEX(기본자료!$A$2:$A$501,$AB161)="","",INDEX(기본자료!$A$2:$A$501,$AB161)))</f>
        <v/>
      </c>
      <c r="M161" s="15" t="n"/>
      <c r="N161" s="10">
        <f>IF($B161="","",IF(AND($U161="파견중",$Q161&lt;&gt;""),$Q161,IF(AND($AD161&lt;&gt;"",LEFT($AD161,1)&lt;&gt;"⚠"),LEFT($AD161,FIND(" ",$AD161)-1),IF($H161="","",IF(RIGHT($H161,2)="병원",$H161,$H161&amp;"병원")))))</f>
        <v/>
      </c>
      <c r="O161" s="10">
        <f>IF($B161="","",IF(AND($U161="파견중",$Q161&lt;&gt;""),IF($R161&lt;&gt;"",$R161,"파견과 미입력"),IF(AND($AD161&lt;&gt;"",LEFT($AD161,1)&lt;&gt;"⚠"),MID($AD161,FIND(" ",$AD161)+1,60),IF($F161="","",IF($F161="인턴","수련교육부(인턴)",$F161)))))</f>
        <v/>
      </c>
      <c r="P161" s="10">
        <f>IF($B161="","",IF($AK161&lt;&gt;"",IF(AND(TODAY()&gt;=INDEX(파견수련계획!$AB$4:$AB$203,$AK161),OR(NOT(ISNUMBER(INDEX(파견수련계획!$AC$4:$AC$203,$AK161))),TODAY()&lt;=INDEX(파견수련계획!$AC$4:$AC$203,$AK161))),"다기관",IF($AF161="","",INDEX(파견수련계획!$T$4:$T$203,$AF161))),IF($AF161="","",INDEX(파견수련계획!$T$4:$T$203,$AF161))))</f>
        <v/>
      </c>
      <c r="Q161" s="10">
        <f>IF($AF161="","",INDEX(파견수련계획!$S$4:$S$203,$AF161))</f>
        <v/>
      </c>
      <c r="R161" s="10">
        <f>IF($AF161="","",INDEX(파견수련계획!$U$4:$U$203,$AF161))</f>
        <v/>
      </c>
      <c r="S161" s="11">
        <f>IF($AF161="","",IF(INDEX(파견수련계획!$H$4:$H$203,$AF161)="","",INDEX(파견수련계획!$H$4:$H$203,$AF161)))</f>
        <v/>
      </c>
      <c r="T161" s="11">
        <f>IF($AF161="","",IF(INDEX(파견수련계획!$I$4:$I$203,$AF161)="","",INDEX(파견수련계획!$I$4:$I$203,$AF161)))</f>
        <v/>
      </c>
      <c r="U161" s="10">
        <f>IF($AF161="","",INDEX(파견수련계획!$X$4:$X$203,$AF161))</f>
        <v/>
      </c>
      <c r="V161" s="17">
        <f>IF($AF161="","",INDEX(파견수련계획!$V$4:$V$203,$AF161))</f>
        <v/>
      </c>
      <c r="W161" s="17">
        <f>IF(AND($U161="파견중",$T161&lt;&gt;""),$T161-TODAY(),"")</f>
        <v/>
      </c>
      <c r="X161" s="17">
        <f>IF(OR($B161="",TRIM($J161&amp;"")=""),"",SUMPRODUCT((파견수련계획!$Q$4:$Q$203=TRIM($J161&amp;""))*파견수련계획!$W$4:$W$203))</f>
        <v/>
      </c>
      <c r="Y161" s="10">
        <f>IF($B161="","",IF($AG161="","",IF(IF(TRIM($J161&amp;"")="",0,SUMPRODUCT((파견수련계획!$Q$4:$Q$203=TRIM($J161&amp;""))*파견수련계획!$AD$4:$AD$203))&gt;0,$AE161,IF(N($X161)&lt;=0,$AG161,IF($AH161+$AI161=DAY(EOMONTH(요약!$B$3,0)),IF(AND($AH161&gt;=요약!$E$3,$AI161&lt;요약!$E$3),"서울병원",IF(AND($AI161&gt;=요약!$E$3,$AH161&lt;요약!$E$3),"구리병원","⚠15일 판정불가(서울 "&amp;$AH161&amp;"일/구리 "&amp;$AI161&amp;"일)")),IF($AJ161="",$AE161,IF(INDEX(파견수련계획!$T$4:$T$203,$AJ161)="통합수련",INDEX(파견수련계획!$S$4:$S$203,$AJ161),$AE161)))))))</f>
        <v/>
      </c>
      <c r="Z161" s="19">
        <f>IF($B161="","",IF($AB161="","기본자료에 없는 사번",IF(COUNTIF($B$2:$B$201,$B161)&gt;1,"중복 사번",IF($AE161="","소속(입사장소) 입력",IF(IF(TRIM($J161&amp;"")="",0,SUMPRODUCT((파견수련계획!$Q$4:$Q$203=TRIM($J161&amp;""))*(파견수련계획!$AA$4:$AA$203&lt;&gt;"")))&gt;0,"파견수련계획 입력오류 확인",IF(LEFT($Y161,1)="⚠","서울·구리 15일 판정 불가(양쪽 모두 이상/미만)",IF(IF($AC161="",0,N(INDEX(인턴근무계획!$T$3:$T$202,$AC161)))&gt;0,"인턴계획 입력오류 확인",IF(AND($AC161&lt;&gt;"",$U161&lt;&gt;"파견중",$N161&lt;&gt;$AE161),"인턴 타지역 근무: 파견 여부 확인","정상"))))))))</f>
        <v/>
      </c>
      <c r="AA161" s="5" t="n"/>
      <c r="AB161" s="10">
        <f>IF($B161="","",IFERROR(MATCH($B161,기본자료!$B$2:$B$501,0),IFERROR(MATCH($B161&amp;"",기본자료!$B$2:$B$501,0),IFERROR(MATCH(VALUE($B161),기본자료!$B$2:$B$501,0),""))))</f>
        <v/>
      </c>
      <c r="AC161" s="10">
        <f>IF($B161="","",IFERROR(MATCH($B161,인턴근무계획!$D$3:$D$202,0),IFERROR(MATCH($B161&amp;"",인턴근무계획!$D$3:$D$202,0),IFERROR(MATCH(VALUE($B161),인턴근무계획!$D$3:$D$202,0),""))))</f>
        <v/>
      </c>
      <c r="AD161" s="10">
        <f>IF(OR($AC161="",인턴현황!$G$3=""),"",INDEX(인턴근무계획!$M$3:$R$202,$AC161,인턴현황!$G$3)&amp;"")</f>
        <v/>
      </c>
      <c r="AE161" s="10">
        <f>IF($B161="","",IF($M161&lt;&gt;"",$M161,IF($AF161&lt;&gt;"",IF(LEFT(INDEX(파견수련계획!$R$4:$R$203,$AF161),1)&lt;&gt;"⚠",INDEX(파견수련계획!$R$4:$R$203,$AF161),IF($H161="","",IF(RIGHT($H161,2)="병원",$H161,$H161&amp;"병원"))),IF($H161="","",IF(RIGHT($H161,2)="병원",$H161,$H161&amp;"병원")))))</f>
        <v/>
      </c>
      <c r="AF161" s="10">
        <f>IF(OR($B161="",TRIM($J161&amp;"")=""),"",IFERROR(MATCH(TRIM($J161&amp;"")&amp;"|파견중",파견수련계획!$Y$4:$Y$203,0),IFERROR(MATCH(TRIM($J161&amp;"")&amp;"|파견예정",파견수련계획!$Y$4:$Y$203,0),IFERROR(MATCH(TRIM($J161&amp;"")&amp;"|파견종료",파견수련계획!$Y$4:$Y$203,0),""))))</f>
        <v/>
      </c>
      <c r="AG161" s="10">
        <f>IF($B161="","",IF(AND(IF(OR($AC161="",인턴현황!$K$2=""),"",INDEX(인턴근무계획!$M$3:$R$202,$AC161,인턴현황!$K$2)&amp;"")&lt;&gt;"",LEFT(IF(OR($AC161="",인턴현황!$K$2=""),"",INDEX(인턴근무계획!$M$3:$R$202,$AC161,인턴현황!$K$2)&amp;""),1)&lt;&gt;"⚠"),LEFT(IF(OR($AC161="",인턴현황!$K$2=""),"",INDEX(인턴근무계획!$M$3:$R$202,$AC161,인턴현황!$K$2)&amp;""),FIND(" ",IF(OR($AC161="",인턴현황!$K$2=""),"",INDEX(인턴근무계획!$M$3:$R$202,$AC161,인턴현황!$K$2)&amp;""))-1),$AE161))</f>
        <v/>
      </c>
      <c r="AH161" s="17">
        <f>IF($B161="","",IF(TRIM($J161&amp;"")="",0,SUMPRODUCT((파견수련계획!$Q$4:$Q$203=TRIM($J161&amp;""))*(파견수련계획!$S$4:$S$203="서울병원")*파견수련계획!$W$4:$W$203))+IF($AG161="서울병원",MAX(0,DAY(EOMONTH(요약!$B$3,0))-N($X161)),0))</f>
        <v/>
      </c>
      <c r="AI161" s="17">
        <f>IF($B161="","",IF(TRIM($J161&amp;"")="",0,SUMPRODUCT((파견수련계획!$Q$4:$Q$203=TRIM($J161&amp;""))*(파견수련계획!$S$4:$S$203="구리병원")*파견수련계획!$W$4:$W$203))+IF($AG161="구리병원",MAX(0,DAY(EOMONTH(요약!$B$3,0))-N($X161)),0))</f>
        <v/>
      </c>
      <c r="AJ161" s="10">
        <f>IF(OR($B161="",TRIM($J161&amp;"")=""),"",IFERROR(MATCH(TRIM($J161&amp;"")&amp;"|월",파견수련계획!$Z$4:$Z$203,0),""))</f>
        <v/>
      </c>
      <c r="AK161" s="10">
        <f>IF(OR($B161="",TRIM($J161&amp;"")=""),"",IFERROR(MATCH(TRIM($J161&amp;"")&amp;"|다기관",파견수련계획!$AE$4:$AE$203,0),""))</f>
        <v/>
      </c>
      <c r="AL161" s="10">
        <f>IF($AK161="","","다기관 "&amp;TEXT(INDEX(파견수련계획!$AB$4:$AB$203,$AK161),"yyyy-mm-dd")&amp;"~"&amp;IF(ISNUMBER(INDEX(파견수련계획!$AC$4:$AC$203,$AK161)),TEXT(INDEX(파견수련계획!$AC$4:$AC$203,$AK161),"yyyy-mm-dd"),""))</f>
        <v/>
      </c>
    </row>
    <row r="162">
      <c r="A162" s="10">
        <f>IF(B162="","",ROW()-1)</f>
        <v/>
      </c>
      <c r="B162" s="18" t="n"/>
      <c r="C162" s="10">
        <f>IF($AB162="","",IF(INDEX(기본자료!$C$2:$C$501,$AB162)="","",INDEX(기본자료!$C$2:$C$501,$AB162)))</f>
        <v/>
      </c>
      <c r="D162" s="10">
        <f>IF($AB162="","",IF(INDEX(기본자료!$J$2:$J$501,$AB162)="","",INDEX(기본자료!$J$2:$J$501,$AB162)))</f>
        <v/>
      </c>
      <c r="E162" s="11">
        <f>IF($AB162="","",IF(INDEX(기본자료!$K$2:$K$501,$AB162)="","",IF(NOT(ISNUMBER(INDEX(기본자료!$K$2:$K$501,$AB162))),INDEX(기본자료!$K$2:$K$501,$AB162),IF(INDEX(기본자료!$K$2:$K$501,$AB162)&lt;1000000,INDEX(기본자료!$K$2:$K$501,$AB162),IF(AND(INDEX(기본자료!$K$2:$K$501,$AB162)&gt;=10000101,INT(MOD(INDEX(기본자료!$K$2:$K$501,$AB162),10000)/100)&gt;=1,INT(MOD(INDEX(기본자료!$K$2:$K$501,$AB162),10000)/100)&lt;=12,MOD(INDEX(기본자료!$K$2:$K$501,$AB162),100)&gt;=1,MOD(INDEX(기본자료!$K$2:$K$501,$AB162),100)&lt;=31),DATE(INT(INDEX(기본자료!$K$2:$K$501,$AB162)/10000),INT(MOD(INDEX(기본자료!$K$2:$K$501,$AB162),10000)/100),MOD(INDEX(기본자료!$K$2:$K$501,$AB162),100)),INDEX(기본자료!$K$2:$K$501,$AB162)&amp;"")))))</f>
        <v/>
      </c>
      <c r="F162" s="10">
        <f>IF($AB162="","",IF(INDEX(기본자료!$D$2:$D$501,$AB162)="","",INDEX(기본자료!$D$2:$D$501,$AB162)))</f>
        <v/>
      </c>
      <c r="G162" s="10">
        <f>IF($AB162="","",IF(INDEX(기본자료!$E$2:$E$501,$AB162)="","",INDEX(기본자료!$E$2:$E$501,$AB162)))</f>
        <v/>
      </c>
      <c r="H162" s="10">
        <f>IF($AB162="","",IF(INDEX(기본자료!$F$2:$F$501,$AB162)="","",INDEX(기본자료!$F$2:$F$501,$AB162)))</f>
        <v/>
      </c>
      <c r="I162" s="11">
        <f>IF($AB162="","",IF(INDEX(기본자료!$G$2:$G$501,$AB162)="","",IF(NOT(ISNUMBER(INDEX(기본자료!$G$2:$G$501,$AB162))),INDEX(기본자료!$G$2:$G$501,$AB162),IF(INDEX(기본자료!$G$2:$G$501,$AB162)&lt;1000000,INDEX(기본자료!$G$2:$G$501,$AB162),IF(AND(INDEX(기본자료!$G$2:$G$501,$AB162)&gt;=10000101,INT(MOD(INDEX(기본자료!$G$2:$G$501,$AB162),10000)/100)&gt;=1,INT(MOD(INDEX(기본자료!$G$2:$G$501,$AB162),10000)/100)&lt;=12,MOD(INDEX(기본자료!$G$2:$G$501,$AB162),100)&gt;=1,MOD(INDEX(기본자료!$G$2:$G$501,$AB162),100)&lt;=31),DATE(INT(INDEX(기본자료!$G$2:$G$501,$AB162)/10000),INT(MOD(INDEX(기본자료!$G$2:$G$501,$AB162),10000)/100),MOD(INDEX(기본자료!$G$2:$G$501,$AB162),100)),INDEX(기본자료!$G$2:$G$501,$AB162)&amp;"")))))</f>
        <v/>
      </c>
      <c r="J162" s="10">
        <f>IF($AB162="","",IF(INDEX(기본자료!$H$2:$H$501,$AB162)="","",INDEX(기본자료!$H$2:$H$501,$AB162)))</f>
        <v/>
      </c>
      <c r="K162" s="10">
        <f>IF($AB162="","",IF(INDEX(기본자료!$I$2:$I$501,$AB162)="","",INDEX(기본자료!$I$2:$I$501,$AB162)))</f>
        <v/>
      </c>
      <c r="L162" s="10">
        <f>IF($AB162="","",IF(INDEX(기본자료!$A$2:$A$501,$AB162)="","",INDEX(기본자료!$A$2:$A$501,$AB162)))</f>
        <v/>
      </c>
      <c r="M162" s="15" t="n"/>
      <c r="N162" s="10">
        <f>IF($B162="","",IF(AND($U162="파견중",$Q162&lt;&gt;""),$Q162,IF(AND($AD162&lt;&gt;"",LEFT($AD162,1)&lt;&gt;"⚠"),LEFT($AD162,FIND(" ",$AD162)-1),IF($H162="","",IF(RIGHT($H162,2)="병원",$H162,$H162&amp;"병원")))))</f>
        <v/>
      </c>
      <c r="O162" s="10">
        <f>IF($B162="","",IF(AND($U162="파견중",$Q162&lt;&gt;""),IF($R162&lt;&gt;"",$R162,"파견과 미입력"),IF(AND($AD162&lt;&gt;"",LEFT($AD162,1)&lt;&gt;"⚠"),MID($AD162,FIND(" ",$AD162)+1,60),IF($F162="","",IF($F162="인턴","수련교육부(인턴)",$F162)))))</f>
        <v/>
      </c>
      <c r="P162" s="10">
        <f>IF($B162="","",IF($AK162&lt;&gt;"",IF(AND(TODAY()&gt;=INDEX(파견수련계획!$AB$4:$AB$203,$AK162),OR(NOT(ISNUMBER(INDEX(파견수련계획!$AC$4:$AC$203,$AK162))),TODAY()&lt;=INDEX(파견수련계획!$AC$4:$AC$203,$AK162))),"다기관",IF($AF162="","",INDEX(파견수련계획!$T$4:$T$203,$AF162))),IF($AF162="","",INDEX(파견수련계획!$T$4:$T$203,$AF162))))</f>
        <v/>
      </c>
      <c r="Q162" s="10">
        <f>IF($AF162="","",INDEX(파견수련계획!$S$4:$S$203,$AF162))</f>
        <v/>
      </c>
      <c r="R162" s="10">
        <f>IF($AF162="","",INDEX(파견수련계획!$U$4:$U$203,$AF162))</f>
        <v/>
      </c>
      <c r="S162" s="11">
        <f>IF($AF162="","",IF(INDEX(파견수련계획!$H$4:$H$203,$AF162)="","",INDEX(파견수련계획!$H$4:$H$203,$AF162)))</f>
        <v/>
      </c>
      <c r="T162" s="11">
        <f>IF($AF162="","",IF(INDEX(파견수련계획!$I$4:$I$203,$AF162)="","",INDEX(파견수련계획!$I$4:$I$203,$AF162)))</f>
        <v/>
      </c>
      <c r="U162" s="10">
        <f>IF($AF162="","",INDEX(파견수련계획!$X$4:$X$203,$AF162))</f>
        <v/>
      </c>
      <c r="V162" s="17">
        <f>IF($AF162="","",INDEX(파견수련계획!$V$4:$V$203,$AF162))</f>
        <v/>
      </c>
      <c r="W162" s="17">
        <f>IF(AND($U162="파견중",$T162&lt;&gt;""),$T162-TODAY(),"")</f>
        <v/>
      </c>
      <c r="X162" s="17">
        <f>IF(OR($B162="",TRIM($J162&amp;"")=""),"",SUMPRODUCT((파견수련계획!$Q$4:$Q$203=TRIM($J162&amp;""))*파견수련계획!$W$4:$W$203))</f>
        <v/>
      </c>
      <c r="Y162" s="10">
        <f>IF($B162="","",IF($AG162="","",IF(IF(TRIM($J162&amp;"")="",0,SUMPRODUCT((파견수련계획!$Q$4:$Q$203=TRIM($J162&amp;""))*파견수련계획!$AD$4:$AD$203))&gt;0,$AE162,IF(N($X162)&lt;=0,$AG162,IF($AH162+$AI162=DAY(EOMONTH(요약!$B$3,0)),IF(AND($AH162&gt;=요약!$E$3,$AI162&lt;요약!$E$3),"서울병원",IF(AND($AI162&gt;=요약!$E$3,$AH162&lt;요약!$E$3),"구리병원","⚠15일 판정불가(서울 "&amp;$AH162&amp;"일/구리 "&amp;$AI162&amp;"일)")),IF($AJ162="",$AE162,IF(INDEX(파견수련계획!$T$4:$T$203,$AJ162)="통합수련",INDEX(파견수련계획!$S$4:$S$203,$AJ162),$AE162)))))))</f>
        <v/>
      </c>
      <c r="Z162" s="19">
        <f>IF($B162="","",IF($AB162="","기본자료에 없는 사번",IF(COUNTIF($B$2:$B$201,$B162)&gt;1,"중복 사번",IF($AE162="","소속(입사장소) 입력",IF(IF(TRIM($J162&amp;"")="",0,SUMPRODUCT((파견수련계획!$Q$4:$Q$203=TRIM($J162&amp;""))*(파견수련계획!$AA$4:$AA$203&lt;&gt;"")))&gt;0,"파견수련계획 입력오류 확인",IF(LEFT($Y162,1)="⚠","서울·구리 15일 판정 불가(양쪽 모두 이상/미만)",IF(IF($AC162="",0,N(INDEX(인턴근무계획!$T$3:$T$202,$AC162)))&gt;0,"인턴계획 입력오류 확인",IF(AND($AC162&lt;&gt;"",$U162&lt;&gt;"파견중",$N162&lt;&gt;$AE162),"인턴 타지역 근무: 파견 여부 확인","정상"))))))))</f>
        <v/>
      </c>
      <c r="AA162" s="5" t="n"/>
      <c r="AB162" s="10">
        <f>IF($B162="","",IFERROR(MATCH($B162,기본자료!$B$2:$B$501,0),IFERROR(MATCH($B162&amp;"",기본자료!$B$2:$B$501,0),IFERROR(MATCH(VALUE($B162),기본자료!$B$2:$B$501,0),""))))</f>
        <v/>
      </c>
      <c r="AC162" s="10">
        <f>IF($B162="","",IFERROR(MATCH($B162,인턴근무계획!$D$3:$D$202,0),IFERROR(MATCH($B162&amp;"",인턴근무계획!$D$3:$D$202,0),IFERROR(MATCH(VALUE($B162),인턴근무계획!$D$3:$D$202,0),""))))</f>
        <v/>
      </c>
      <c r="AD162" s="10">
        <f>IF(OR($AC162="",인턴현황!$G$3=""),"",INDEX(인턴근무계획!$M$3:$R$202,$AC162,인턴현황!$G$3)&amp;"")</f>
        <v/>
      </c>
      <c r="AE162" s="10">
        <f>IF($B162="","",IF($M162&lt;&gt;"",$M162,IF($AF162&lt;&gt;"",IF(LEFT(INDEX(파견수련계획!$R$4:$R$203,$AF162),1)&lt;&gt;"⚠",INDEX(파견수련계획!$R$4:$R$203,$AF162),IF($H162="","",IF(RIGHT($H162,2)="병원",$H162,$H162&amp;"병원"))),IF($H162="","",IF(RIGHT($H162,2)="병원",$H162,$H162&amp;"병원")))))</f>
        <v/>
      </c>
      <c r="AF162" s="10">
        <f>IF(OR($B162="",TRIM($J162&amp;"")=""),"",IFERROR(MATCH(TRIM($J162&amp;"")&amp;"|파견중",파견수련계획!$Y$4:$Y$203,0),IFERROR(MATCH(TRIM($J162&amp;"")&amp;"|파견예정",파견수련계획!$Y$4:$Y$203,0),IFERROR(MATCH(TRIM($J162&amp;"")&amp;"|파견종료",파견수련계획!$Y$4:$Y$203,0),""))))</f>
        <v/>
      </c>
      <c r="AG162" s="10">
        <f>IF($B162="","",IF(AND(IF(OR($AC162="",인턴현황!$K$2=""),"",INDEX(인턴근무계획!$M$3:$R$202,$AC162,인턴현황!$K$2)&amp;"")&lt;&gt;"",LEFT(IF(OR($AC162="",인턴현황!$K$2=""),"",INDEX(인턴근무계획!$M$3:$R$202,$AC162,인턴현황!$K$2)&amp;""),1)&lt;&gt;"⚠"),LEFT(IF(OR($AC162="",인턴현황!$K$2=""),"",INDEX(인턴근무계획!$M$3:$R$202,$AC162,인턴현황!$K$2)&amp;""),FIND(" ",IF(OR($AC162="",인턴현황!$K$2=""),"",INDEX(인턴근무계획!$M$3:$R$202,$AC162,인턴현황!$K$2)&amp;""))-1),$AE162))</f>
        <v/>
      </c>
      <c r="AH162" s="17">
        <f>IF($B162="","",IF(TRIM($J162&amp;"")="",0,SUMPRODUCT((파견수련계획!$Q$4:$Q$203=TRIM($J162&amp;""))*(파견수련계획!$S$4:$S$203="서울병원")*파견수련계획!$W$4:$W$203))+IF($AG162="서울병원",MAX(0,DAY(EOMONTH(요약!$B$3,0))-N($X162)),0))</f>
        <v/>
      </c>
      <c r="AI162" s="17">
        <f>IF($B162="","",IF(TRIM($J162&amp;"")="",0,SUMPRODUCT((파견수련계획!$Q$4:$Q$203=TRIM($J162&amp;""))*(파견수련계획!$S$4:$S$203="구리병원")*파견수련계획!$W$4:$W$203))+IF($AG162="구리병원",MAX(0,DAY(EOMONTH(요약!$B$3,0))-N($X162)),0))</f>
        <v/>
      </c>
      <c r="AJ162" s="10">
        <f>IF(OR($B162="",TRIM($J162&amp;"")=""),"",IFERROR(MATCH(TRIM($J162&amp;"")&amp;"|월",파견수련계획!$Z$4:$Z$203,0),""))</f>
        <v/>
      </c>
      <c r="AK162" s="10">
        <f>IF(OR($B162="",TRIM($J162&amp;"")=""),"",IFERROR(MATCH(TRIM($J162&amp;"")&amp;"|다기관",파견수련계획!$AE$4:$AE$203,0),""))</f>
        <v/>
      </c>
      <c r="AL162" s="10">
        <f>IF($AK162="","","다기관 "&amp;TEXT(INDEX(파견수련계획!$AB$4:$AB$203,$AK162),"yyyy-mm-dd")&amp;"~"&amp;IF(ISNUMBER(INDEX(파견수련계획!$AC$4:$AC$203,$AK162)),TEXT(INDEX(파견수련계획!$AC$4:$AC$203,$AK162),"yyyy-mm-dd"),""))</f>
        <v/>
      </c>
    </row>
    <row r="163">
      <c r="A163" s="10">
        <f>IF(B163="","",ROW()-1)</f>
        <v/>
      </c>
      <c r="B163" s="18" t="n"/>
      <c r="C163" s="10">
        <f>IF($AB163="","",IF(INDEX(기본자료!$C$2:$C$501,$AB163)="","",INDEX(기본자료!$C$2:$C$501,$AB163)))</f>
        <v/>
      </c>
      <c r="D163" s="10">
        <f>IF($AB163="","",IF(INDEX(기본자료!$J$2:$J$501,$AB163)="","",INDEX(기본자료!$J$2:$J$501,$AB163)))</f>
        <v/>
      </c>
      <c r="E163" s="11">
        <f>IF($AB163="","",IF(INDEX(기본자료!$K$2:$K$501,$AB163)="","",IF(NOT(ISNUMBER(INDEX(기본자료!$K$2:$K$501,$AB163))),INDEX(기본자료!$K$2:$K$501,$AB163),IF(INDEX(기본자료!$K$2:$K$501,$AB163)&lt;1000000,INDEX(기본자료!$K$2:$K$501,$AB163),IF(AND(INDEX(기본자료!$K$2:$K$501,$AB163)&gt;=10000101,INT(MOD(INDEX(기본자료!$K$2:$K$501,$AB163),10000)/100)&gt;=1,INT(MOD(INDEX(기본자료!$K$2:$K$501,$AB163),10000)/100)&lt;=12,MOD(INDEX(기본자료!$K$2:$K$501,$AB163),100)&gt;=1,MOD(INDEX(기본자료!$K$2:$K$501,$AB163),100)&lt;=31),DATE(INT(INDEX(기본자료!$K$2:$K$501,$AB163)/10000),INT(MOD(INDEX(기본자료!$K$2:$K$501,$AB163),10000)/100),MOD(INDEX(기본자료!$K$2:$K$501,$AB163),100)),INDEX(기본자료!$K$2:$K$501,$AB163)&amp;"")))))</f>
        <v/>
      </c>
      <c r="F163" s="10">
        <f>IF($AB163="","",IF(INDEX(기본자료!$D$2:$D$501,$AB163)="","",INDEX(기본자료!$D$2:$D$501,$AB163)))</f>
        <v/>
      </c>
      <c r="G163" s="10">
        <f>IF($AB163="","",IF(INDEX(기본자료!$E$2:$E$501,$AB163)="","",INDEX(기본자료!$E$2:$E$501,$AB163)))</f>
        <v/>
      </c>
      <c r="H163" s="10">
        <f>IF($AB163="","",IF(INDEX(기본자료!$F$2:$F$501,$AB163)="","",INDEX(기본자료!$F$2:$F$501,$AB163)))</f>
        <v/>
      </c>
      <c r="I163" s="11">
        <f>IF($AB163="","",IF(INDEX(기본자료!$G$2:$G$501,$AB163)="","",IF(NOT(ISNUMBER(INDEX(기본자료!$G$2:$G$501,$AB163))),INDEX(기본자료!$G$2:$G$501,$AB163),IF(INDEX(기본자료!$G$2:$G$501,$AB163)&lt;1000000,INDEX(기본자료!$G$2:$G$501,$AB163),IF(AND(INDEX(기본자료!$G$2:$G$501,$AB163)&gt;=10000101,INT(MOD(INDEX(기본자료!$G$2:$G$501,$AB163),10000)/100)&gt;=1,INT(MOD(INDEX(기본자료!$G$2:$G$501,$AB163),10000)/100)&lt;=12,MOD(INDEX(기본자료!$G$2:$G$501,$AB163),100)&gt;=1,MOD(INDEX(기본자료!$G$2:$G$501,$AB163),100)&lt;=31),DATE(INT(INDEX(기본자료!$G$2:$G$501,$AB163)/10000),INT(MOD(INDEX(기본자료!$G$2:$G$501,$AB163),10000)/100),MOD(INDEX(기본자료!$G$2:$G$501,$AB163),100)),INDEX(기본자료!$G$2:$G$501,$AB163)&amp;"")))))</f>
        <v/>
      </c>
      <c r="J163" s="10">
        <f>IF($AB163="","",IF(INDEX(기본자료!$H$2:$H$501,$AB163)="","",INDEX(기본자료!$H$2:$H$501,$AB163)))</f>
        <v/>
      </c>
      <c r="K163" s="10">
        <f>IF($AB163="","",IF(INDEX(기본자료!$I$2:$I$501,$AB163)="","",INDEX(기본자료!$I$2:$I$501,$AB163)))</f>
        <v/>
      </c>
      <c r="L163" s="10">
        <f>IF($AB163="","",IF(INDEX(기본자료!$A$2:$A$501,$AB163)="","",INDEX(기본자료!$A$2:$A$501,$AB163)))</f>
        <v/>
      </c>
      <c r="M163" s="15" t="n"/>
      <c r="N163" s="10">
        <f>IF($B163="","",IF(AND($U163="파견중",$Q163&lt;&gt;""),$Q163,IF(AND($AD163&lt;&gt;"",LEFT($AD163,1)&lt;&gt;"⚠"),LEFT($AD163,FIND(" ",$AD163)-1),IF($H163="","",IF(RIGHT($H163,2)="병원",$H163,$H163&amp;"병원")))))</f>
        <v/>
      </c>
      <c r="O163" s="10">
        <f>IF($B163="","",IF(AND($U163="파견중",$Q163&lt;&gt;""),IF($R163&lt;&gt;"",$R163,"파견과 미입력"),IF(AND($AD163&lt;&gt;"",LEFT($AD163,1)&lt;&gt;"⚠"),MID($AD163,FIND(" ",$AD163)+1,60),IF($F163="","",IF($F163="인턴","수련교육부(인턴)",$F163)))))</f>
        <v/>
      </c>
      <c r="P163" s="10">
        <f>IF($B163="","",IF($AK163&lt;&gt;"",IF(AND(TODAY()&gt;=INDEX(파견수련계획!$AB$4:$AB$203,$AK163),OR(NOT(ISNUMBER(INDEX(파견수련계획!$AC$4:$AC$203,$AK163))),TODAY()&lt;=INDEX(파견수련계획!$AC$4:$AC$203,$AK163))),"다기관",IF($AF163="","",INDEX(파견수련계획!$T$4:$T$203,$AF163))),IF($AF163="","",INDEX(파견수련계획!$T$4:$T$203,$AF163))))</f>
        <v/>
      </c>
      <c r="Q163" s="10">
        <f>IF($AF163="","",INDEX(파견수련계획!$S$4:$S$203,$AF163))</f>
        <v/>
      </c>
      <c r="R163" s="10">
        <f>IF($AF163="","",INDEX(파견수련계획!$U$4:$U$203,$AF163))</f>
        <v/>
      </c>
      <c r="S163" s="11">
        <f>IF($AF163="","",IF(INDEX(파견수련계획!$H$4:$H$203,$AF163)="","",INDEX(파견수련계획!$H$4:$H$203,$AF163)))</f>
        <v/>
      </c>
      <c r="T163" s="11">
        <f>IF($AF163="","",IF(INDEX(파견수련계획!$I$4:$I$203,$AF163)="","",INDEX(파견수련계획!$I$4:$I$203,$AF163)))</f>
        <v/>
      </c>
      <c r="U163" s="10">
        <f>IF($AF163="","",INDEX(파견수련계획!$X$4:$X$203,$AF163))</f>
        <v/>
      </c>
      <c r="V163" s="17">
        <f>IF($AF163="","",INDEX(파견수련계획!$V$4:$V$203,$AF163))</f>
        <v/>
      </c>
      <c r="W163" s="17">
        <f>IF(AND($U163="파견중",$T163&lt;&gt;""),$T163-TODAY(),"")</f>
        <v/>
      </c>
      <c r="X163" s="17">
        <f>IF(OR($B163="",TRIM($J163&amp;"")=""),"",SUMPRODUCT((파견수련계획!$Q$4:$Q$203=TRIM($J163&amp;""))*파견수련계획!$W$4:$W$203))</f>
        <v/>
      </c>
      <c r="Y163" s="10">
        <f>IF($B163="","",IF($AG163="","",IF(IF(TRIM($J163&amp;"")="",0,SUMPRODUCT((파견수련계획!$Q$4:$Q$203=TRIM($J163&amp;""))*파견수련계획!$AD$4:$AD$203))&gt;0,$AE163,IF(N($X163)&lt;=0,$AG163,IF($AH163+$AI163=DAY(EOMONTH(요약!$B$3,0)),IF(AND($AH163&gt;=요약!$E$3,$AI163&lt;요약!$E$3),"서울병원",IF(AND($AI163&gt;=요약!$E$3,$AH163&lt;요약!$E$3),"구리병원","⚠15일 판정불가(서울 "&amp;$AH163&amp;"일/구리 "&amp;$AI163&amp;"일)")),IF($AJ163="",$AE163,IF(INDEX(파견수련계획!$T$4:$T$203,$AJ163)="통합수련",INDEX(파견수련계획!$S$4:$S$203,$AJ163),$AE163)))))))</f>
        <v/>
      </c>
      <c r="Z163" s="19">
        <f>IF($B163="","",IF($AB163="","기본자료에 없는 사번",IF(COUNTIF($B$2:$B$201,$B163)&gt;1,"중복 사번",IF($AE163="","소속(입사장소) 입력",IF(IF(TRIM($J163&amp;"")="",0,SUMPRODUCT((파견수련계획!$Q$4:$Q$203=TRIM($J163&amp;""))*(파견수련계획!$AA$4:$AA$203&lt;&gt;"")))&gt;0,"파견수련계획 입력오류 확인",IF(LEFT($Y163,1)="⚠","서울·구리 15일 판정 불가(양쪽 모두 이상/미만)",IF(IF($AC163="",0,N(INDEX(인턴근무계획!$T$3:$T$202,$AC163)))&gt;0,"인턴계획 입력오류 확인",IF(AND($AC163&lt;&gt;"",$U163&lt;&gt;"파견중",$N163&lt;&gt;$AE163),"인턴 타지역 근무: 파견 여부 확인","정상"))))))))</f>
        <v/>
      </c>
      <c r="AA163" s="5" t="n"/>
      <c r="AB163" s="10">
        <f>IF($B163="","",IFERROR(MATCH($B163,기본자료!$B$2:$B$501,0),IFERROR(MATCH($B163&amp;"",기본자료!$B$2:$B$501,0),IFERROR(MATCH(VALUE($B163),기본자료!$B$2:$B$501,0),""))))</f>
        <v/>
      </c>
      <c r="AC163" s="10">
        <f>IF($B163="","",IFERROR(MATCH($B163,인턴근무계획!$D$3:$D$202,0),IFERROR(MATCH($B163&amp;"",인턴근무계획!$D$3:$D$202,0),IFERROR(MATCH(VALUE($B163),인턴근무계획!$D$3:$D$202,0),""))))</f>
        <v/>
      </c>
      <c r="AD163" s="10">
        <f>IF(OR($AC163="",인턴현황!$G$3=""),"",INDEX(인턴근무계획!$M$3:$R$202,$AC163,인턴현황!$G$3)&amp;"")</f>
        <v/>
      </c>
      <c r="AE163" s="10">
        <f>IF($B163="","",IF($M163&lt;&gt;"",$M163,IF($AF163&lt;&gt;"",IF(LEFT(INDEX(파견수련계획!$R$4:$R$203,$AF163),1)&lt;&gt;"⚠",INDEX(파견수련계획!$R$4:$R$203,$AF163),IF($H163="","",IF(RIGHT($H163,2)="병원",$H163,$H163&amp;"병원"))),IF($H163="","",IF(RIGHT($H163,2)="병원",$H163,$H163&amp;"병원")))))</f>
        <v/>
      </c>
      <c r="AF163" s="10">
        <f>IF(OR($B163="",TRIM($J163&amp;"")=""),"",IFERROR(MATCH(TRIM($J163&amp;"")&amp;"|파견중",파견수련계획!$Y$4:$Y$203,0),IFERROR(MATCH(TRIM($J163&amp;"")&amp;"|파견예정",파견수련계획!$Y$4:$Y$203,0),IFERROR(MATCH(TRIM($J163&amp;"")&amp;"|파견종료",파견수련계획!$Y$4:$Y$203,0),""))))</f>
        <v/>
      </c>
      <c r="AG163" s="10">
        <f>IF($B163="","",IF(AND(IF(OR($AC163="",인턴현황!$K$2=""),"",INDEX(인턴근무계획!$M$3:$R$202,$AC163,인턴현황!$K$2)&amp;"")&lt;&gt;"",LEFT(IF(OR($AC163="",인턴현황!$K$2=""),"",INDEX(인턴근무계획!$M$3:$R$202,$AC163,인턴현황!$K$2)&amp;""),1)&lt;&gt;"⚠"),LEFT(IF(OR($AC163="",인턴현황!$K$2=""),"",INDEX(인턴근무계획!$M$3:$R$202,$AC163,인턴현황!$K$2)&amp;""),FIND(" ",IF(OR($AC163="",인턴현황!$K$2=""),"",INDEX(인턴근무계획!$M$3:$R$202,$AC163,인턴현황!$K$2)&amp;""))-1),$AE163))</f>
        <v/>
      </c>
      <c r="AH163" s="17">
        <f>IF($B163="","",IF(TRIM($J163&amp;"")="",0,SUMPRODUCT((파견수련계획!$Q$4:$Q$203=TRIM($J163&amp;""))*(파견수련계획!$S$4:$S$203="서울병원")*파견수련계획!$W$4:$W$203))+IF($AG163="서울병원",MAX(0,DAY(EOMONTH(요약!$B$3,0))-N($X163)),0))</f>
        <v/>
      </c>
      <c r="AI163" s="17">
        <f>IF($B163="","",IF(TRIM($J163&amp;"")="",0,SUMPRODUCT((파견수련계획!$Q$4:$Q$203=TRIM($J163&amp;""))*(파견수련계획!$S$4:$S$203="구리병원")*파견수련계획!$W$4:$W$203))+IF($AG163="구리병원",MAX(0,DAY(EOMONTH(요약!$B$3,0))-N($X163)),0))</f>
        <v/>
      </c>
      <c r="AJ163" s="10">
        <f>IF(OR($B163="",TRIM($J163&amp;"")=""),"",IFERROR(MATCH(TRIM($J163&amp;"")&amp;"|월",파견수련계획!$Z$4:$Z$203,0),""))</f>
        <v/>
      </c>
      <c r="AK163" s="10">
        <f>IF(OR($B163="",TRIM($J163&amp;"")=""),"",IFERROR(MATCH(TRIM($J163&amp;"")&amp;"|다기관",파견수련계획!$AE$4:$AE$203,0),""))</f>
        <v/>
      </c>
      <c r="AL163" s="10">
        <f>IF($AK163="","","다기관 "&amp;TEXT(INDEX(파견수련계획!$AB$4:$AB$203,$AK163),"yyyy-mm-dd")&amp;"~"&amp;IF(ISNUMBER(INDEX(파견수련계획!$AC$4:$AC$203,$AK163)),TEXT(INDEX(파견수련계획!$AC$4:$AC$203,$AK163),"yyyy-mm-dd"),""))</f>
        <v/>
      </c>
    </row>
    <row r="164">
      <c r="A164" s="10">
        <f>IF(B164="","",ROW()-1)</f>
        <v/>
      </c>
      <c r="B164" s="18" t="n"/>
      <c r="C164" s="10">
        <f>IF($AB164="","",IF(INDEX(기본자료!$C$2:$C$501,$AB164)="","",INDEX(기본자료!$C$2:$C$501,$AB164)))</f>
        <v/>
      </c>
      <c r="D164" s="10">
        <f>IF($AB164="","",IF(INDEX(기본자료!$J$2:$J$501,$AB164)="","",INDEX(기본자료!$J$2:$J$501,$AB164)))</f>
        <v/>
      </c>
      <c r="E164" s="11">
        <f>IF($AB164="","",IF(INDEX(기본자료!$K$2:$K$501,$AB164)="","",IF(NOT(ISNUMBER(INDEX(기본자료!$K$2:$K$501,$AB164))),INDEX(기본자료!$K$2:$K$501,$AB164),IF(INDEX(기본자료!$K$2:$K$501,$AB164)&lt;1000000,INDEX(기본자료!$K$2:$K$501,$AB164),IF(AND(INDEX(기본자료!$K$2:$K$501,$AB164)&gt;=10000101,INT(MOD(INDEX(기본자료!$K$2:$K$501,$AB164),10000)/100)&gt;=1,INT(MOD(INDEX(기본자료!$K$2:$K$501,$AB164),10000)/100)&lt;=12,MOD(INDEX(기본자료!$K$2:$K$501,$AB164),100)&gt;=1,MOD(INDEX(기본자료!$K$2:$K$501,$AB164),100)&lt;=31),DATE(INT(INDEX(기본자료!$K$2:$K$501,$AB164)/10000),INT(MOD(INDEX(기본자료!$K$2:$K$501,$AB164),10000)/100),MOD(INDEX(기본자료!$K$2:$K$501,$AB164),100)),INDEX(기본자료!$K$2:$K$501,$AB164)&amp;"")))))</f>
        <v/>
      </c>
      <c r="F164" s="10">
        <f>IF($AB164="","",IF(INDEX(기본자료!$D$2:$D$501,$AB164)="","",INDEX(기본자료!$D$2:$D$501,$AB164)))</f>
        <v/>
      </c>
      <c r="G164" s="10">
        <f>IF($AB164="","",IF(INDEX(기본자료!$E$2:$E$501,$AB164)="","",INDEX(기본자료!$E$2:$E$501,$AB164)))</f>
        <v/>
      </c>
      <c r="H164" s="10">
        <f>IF($AB164="","",IF(INDEX(기본자료!$F$2:$F$501,$AB164)="","",INDEX(기본자료!$F$2:$F$501,$AB164)))</f>
        <v/>
      </c>
      <c r="I164" s="11">
        <f>IF($AB164="","",IF(INDEX(기본자료!$G$2:$G$501,$AB164)="","",IF(NOT(ISNUMBER(INDEX(기본자료!$G$2:$G$501,$AB164))),INDEX(기본자료!$G$2:$G$501,$AB164),IF(INDEX(기본자료!$G$2:$G$501,$AB164)&lt;1000000,INDEX(기본자료!$G$2:$G$501,$AB164),IF(AND(INDEX(기본자료!$G$2:$G$501,$AB164)&gt;=10000101,INT(MOD(INDEX(기본자료!$G$2:$G$501,$AB164),10000)/100)&gt;=1,INT(MOD(INDEX(기본자료!$G$2:$G$501,$AB164),10000)/100)&lt;=12,MOD(INDEX(기본자료!$G$2:$G$501,$AB164),100)&gt;=1,MOD(INDEX(기본자료!$G$2:$G$501,$AB164),100)&lt;=31),DATE(INT(INDEX(기본자료!$G$2:$G$501,$AB164)/10000),INT(MOD(INDEX(기본자료!$G$2:$G$501,$AB164),10000)/100),MOD(INDEX(기본자료!$G$2:$G$501,$AB164),100)),INDEX(기본자료!$G$2:$G$501,$AB164)&amp;"")))))</f>
        <v/>
      </c>
      <c r="J164" s="10">
        <f>IF($AB164="","",IF(INDEX(기본자료!$H$2:$H$501,$AB164)="","",INDEX(기본자료!$H$2:$H$501,$AB164)))</f>
        <v/>
      </c>
      <c r="K164" s="10">
        <f>IF($AB164="","",IF(INDEX(기본자료!$I$2:$I$501,$AB164)="","",INDEX(기본자료!$I$2:$I$501,$AB164)))</f>
        <v/>
      </c>
      <c r="L164" s="10">
        <f>IF($AB164="","",IF(INDEX(기본자료!$A$2:$A$501,$AB164)="","",INDEX(기본자료!$A$2:$A$501,$AB164)))</f>
        <v/>
      </c>
      <c r="M164" s="15" t="n"/>
      <c r="N164" s="10">
        <f>IF($B164="","",IF(AND($U164="파견중",$Q164&lt;&gt;""),$Q164,IF(AND($AD164&lt;&gt;"",LEFT($AD164,1)&lt;&gt;"⚠"),LEFT($AD164,FIND(" ",$AD164)-1),IF($H164="","",IF(RIGHT($H164,2)="병원",$H164,$H164&amp;"병원")))))</f>
        <v/>
      </c>
      <c r="O164" s="10">
        <f>IF($B164="","",IF(AND($U164="파견중",$Q164&lt;&gt;""),IF($R164&lt;&gt;"",$R164,"파견과 미입력"),IF(AND($AD164&lt;&gt;"",LEFT($AD164,1)&lt;&gt;"⚠"),MID($AD164,FIND(" ",$AD164)+1,60),IF($F164="","",IF($F164="인턴","수련교육부(인턴)",$F164)))))</f>
        <v/>
      </c>
      <c r="P164" s="10">
        <f>IF($B164="","",IF($AK164&lt;&gt;"",IF(AND(TODAY()&gt;=INDEX(파견수련계획!$AB$4:$AB$203,$AK164),OR(NOT(ISNUMBER(INDEX(파견수련계획!$AC$4:$AC$203,$AK164))),TODAY()&lt;=INDEX(파견수련계획!$AC$4:$AC$203,$AK164))),"다기관",IF($AF164="","",INDEX(파견수련계획!$T$4:$T$203,$AF164))),IF($AF164="","",INDEX(파견수련계획!$T$4:$T$203,$AF164))))</f>
        <v/>
      </c>
      <c r="Q164" s="10">
        <f>IF($AF164="","",INDEX(파견수련계획!$S$4:$S$203,$AF164))</f>
        <v/>
      </c>
      <c r="R164" s="10">
        <f>IF($AF164="","",INDEX(파견수련계획!$U$4:$U$203,$AF164))</f>
        <v/>
      </c>
      <c r="S164" s="11">
        <f>IF($AF164="","",IF(INDEX(파견수련계획!$H$4:$H$203,$AF164)="","",INDEX(파견수련계획!$H$4:$H$203,$AF164)))</f>
        <v/>
      </c>
      <c r="T164" s="11">
        <f>IF($AF164="","",IF(INDEX(파견수련계획!$I$4:$I$203,$AF164)="","",INDEX(파견수련계획!$I$4:$I$203,$AF164)))</f>
        <v/>
      </c>
      <c r="U164" s="10">
        <f>IF($AF164="","",INDEX(파견수련계획!$X$4:$X$203,$AF164))</f>
        <v/>
      </c>
      <c r="V164" s="17">
        <f>IF($AF164="","",INDEX(파견수련계획!$V$4:$V$203,$AF164))</f>
        <v/>
      </c>
      <c r="W164" s="17">
        <f>IF(AND($U164="파견중",$T164&lt;&gt;""),$T164-TODAY(),"")</f>
        <v/>
      </c>
      <c r="X164" s="17">
        <f>IF(OR($B164="",TRIM($J164&amp;"")=""),"",SUMPRODUCT((파견수련계획!$Q$4:$Q$203=TRIM($J164&amp;""))*파견수련계획!$W$4:$W$203))</f>
        <v/>
      </c>
      <c r="Y164" s="10">
        <f>IF($B164="","",IF($AG164="","",IF(IF(TRIM($J164&amp;"")="",0,SUMPRODUCT((파견수련계획!$Q$4:$Q$203=TRIM($J164&amp;""))*파견수련계획!$AD$4:$AD$203))&gt;0,$AE164,IF(N($X164)&lt;=0,$AG164,IF($AH164+$AI164=DAY(EOMONTH(요약!$B$3,0)),IF(AND($AH164&gt;=요약!$E$3,$AI164&lt;요약!$E$3),"서울병원",IF(AND($AI164&gt;=요약!$E$3,$AH164&lt;요약!$E$3),"구리병원","⚠15일 판정불가(서울 "&amp;$AH164&amp;"일/구리 "&amp;$AI164&amp;"일)")),IF($AJ164="",$AE164,IF(INDEX(파견수련계획!$T$4:$T$203,$AJ164)="통합수련",INDEX(파견수련계획!$S$4:$S$203,$AJ164),$AE164)))))))</f>
        <v/>
      </c>
      <c r="Z164" s="19">
        <f>IF($B164="","",IF($AB164="","기본자료에 없는 사번",IF(COUNTIF($B$2:$B$201,$B164)&gt;1,"중복 사번",IF($AE164="","소속(입사장소) 입력",IF(IF(TRIM($J164&amp;"")="",0,SUMPRODUCT((파견수련계획!$Q$4:$Q$203=TRIM($J164&amp;""))*(파견수련계획!$AA$4:$AA$203&lt;&gt;"")))&gt;0,"파견수련계획 입력오류 확인",IF(LEFT($Y164,1)="⚠","서울·구리 15일 판정 불가(양쪽 모두 이상/미만)",IF(IF($AC164="",0,N(INDEX(인턴근무계획!$T$3:$T$202,$AC164)))&gt;0,"인턴계획 입력오류 확인",IF(AND($AC164&lt;&gt;"",$U164&lt;&gt;"파견중",$N164&lt;&gt;$AE164),"인턴 타지역 근무: 파견 여부 확인","정상"))))))))</f>
        <v/>
      </c>
      <c r="AA164" s="5" t="n"/>
      <c r="AB164" s="10">
        <f>IF($B164="","",IFERROR(MATCH($B164,기본자료!$B$2:$B$501,0),IFERROR(MATCH($B164&amp;"",기본자료!$B$2:$B$501,0),IFERROR(MATCH(VALUE($B164),기본자료!$B$2:$B$501,0),""))))</f>
        <v/>
      </c>
      <c r="AC164" s="10">
        <f>IF($B164="","",IFERROR(MATCH($B164,인턴근무계획!$D$3:$D$202,0),IFERROR(MATCH($B164&amp;"",인턴근무계획!$D$3:$D$202,0),IFERROR(MATCH(VALUE($B164),인턴근무계획!$D$3:$D$202,0),""))))</f>
        <v/>
      </c>
      <c r="AD164" s="10">
        <f>IF(OR($AC164="",인턴현황!$G$3=""),"",INDEX(인턴근무계획!$M$3:$R$202,$AC164,인턴현황!$G$3)&amp;"")</f>
        <v/>
      </c>
      <c r="AE164" s="10">
        <f>IF($B164="","",IF($M164&lt;&gt;"",$M164,IF($AF164&lt;&gt;"",IF(LEFT(INDEX(파견수련계획!$R$4:$R$203,$AF164),1)&lt;&gt;"⚠",INDEX(파견수련계획!$R$4:$R$203,$AF164),IF($H164="","",IF(RIGHT($H164,2)="병원",$H164,$H164&amp;"병원"))),IF($H164="","",IF(RIGHT($H164,2)="병원",$H164,$H164&amp;"병원")))))</f>
        <v/>
      </c>
      <c r="AF164" s="10">
        <f>IF(OR($B164="",TRIM($J164&amp;"")=""),"",IFERROR(MATCH(TRIM($J164&amp;"")&amp;"|파견중",파견수련계획!$Y$4:$Y$203,0),IFERROR(MATCH(TRIM($J164&amp;"")&amp;"|파견예정",파견수련계획!$Y$4:$Y$203,0),IFERROR(MATCH(TRIM($J164&amp;"")&amp;"|파견종료",파견수련계획!$Y$4:$Y$203,0),""))))</f>
        <v/>
      </c>
      <c r="AG164" s="10">
        <f>IF($B164="","",IF(AND(IF(OR($AC164="",인턴현황!$K$2=""),"",INDEX(인턴근무계획!$M$3:$R$202,$AC164,인턴현황!$K$2)&amp;"")&lt;&gt;"",LEFT(IF(OR($AC164="",인턴현황!$K$2=""),"",INDEX(인턴근무계획!$M$3:$R$202,$AC164,인턴현황!$K$2)&amp;""),1)&lt;&gt;"⚠"),LEFT(IF(OR($AC164="",인턴현황!$K$2=""),"",INDEX(인턴근무계획!$M$3:$R$202,$AC164,인턴현황!$K$2)&amp;""),FIND(" ",IF(OR($AC164="",인턴현황!$K$2=""),"",INDEX(인턴근무계획!$M$3:$R$202,$AC164,인턴현황!$K$2)&amp;""))-1),$AE164))</f>
        <v/>
      </c>
      <c r="AH164" s="17">
        <f>IF($B164="","",IF(TRIM($J164&amp;"")="",0,SUMPRODUCT((파견수련계획!$Q$4:$Q$203=TRIM($J164&amp;""))*(파견수련계획!$S$4:$S$203="서울병원")*파견수련계획!$W$4:$W$203))+IF($AG164="서울병원",MAX(0,DAY(EOMONTH(요약!$B$3,0))-N($X164)),0))</f>
        <v/>
      </c>
      <c r="AI164" s="17">
        <f>IF($B164="","",IF(TRIM($J164&amp;"")="",0,SUMPRODUCT((파견수련계획!$Q$4:$Q$203=TRIM($J164&amp;""))*(파견수련계획!$S$4:$S$203="구리병원")*파견수련계획!$W$4:$W$203))+IF($AG164="구리병원",MAX(0,DAY(EOMONTH(요약!$B$3,0))-N($X164)),0))</f>
        <v/>
      </c>
      <c r="AJ164" s="10">
        <f>IF(OR($B164="",TRIM($J164&amp;"")=""),"",IFERROR(MATCH(TRIM($J164&amp;"")&amp;"|월",파견수련계획!$Z$4:$Z$203,0),""))</f>
        <v/>
      </c>
      <c r="AK164" s="10">
        <f>IF(OR($B164="",TRIM($J164&amp;"")=""),"",IFERROR(MATCH(TRIM($J164&amp;"")&amp;"|다기관",파견수련계획!$AE$4:$AE$203,0),""))</f>
        <v/>
      </c>
      <c r="AL164" s="10">
        <f>IF($AK164="","","다기관 "&amp;TEXT(INDEX(파견수련계획!$AB$4:$AB$203,$AK164),"yyyy-mm-dd")&amp;"~"&amp;IF(ISNUMBER(INDEX(파견수련계획!$AC$4:$AC$203,$AK164)),TEXT(INDEX(파견수련계획!$AC$4:$AC$203,$AK164),"yyyy-mm-dd"),""))</f>
        <v/>
      </c>
    </row>
    <row r="165">
      <c r="A165" s="10">
        <f>IF(B165="","",ROW()-1)</f>
        <v/>
      </c>
      <c r="B165" s="18" t="n"/>
      <c r="C165" s="10">
        <f>IF($AB165="","",IF(INDEX(기본자료!$C$2:$C$501,$AB165)="","",INDEX(기본자료!$C$2:$C$501,$AB165)))</f>
        <v/>
      </c>
      <c r="D165" s="10">
        <f>IF($AB165="","",IF(INDEX(기본자료!$J$2:$J$501,$AB165)="","",INDEX(기본자료!$J$2:$J$501,$AB165)))</f>
        <v/>
      </c>
      <c r="E165" s="11">
        <f>IF($AB165="","",IF(INDEX(기본자료!$K$2:$K$501,$AB165)="","",IF(NOT(ISNUMBER(INDEX(기본자료!$K$2:$K$501,$AB165))),INDEX(기본자료!$K$2:$K$501,$AB165),IF(INDEX(기본자료!$K$2:$K$501,$AB165)&lt;1000000,INDEX(기본자료!$K$2:$K$501,$AB165),IF(AND(INDEX(기본자료!$K$2:$K$501,$AB165)&gt;=10000101,INT(MOD(INDEX(기본자료!$K$2:$K$501,$AB165),10000)/100)&gt;=1,INT(MOD(INDEX(기본자료!$K$2:$K$501,$AB165),10000)/100)&lt;=12,MOD(INDEX(기본자료!$K$2:$K$501,$AB165),100)&gt;=1,MOD(INDEX(기본자료!$K$2:$K$501,$AB165),100)&lt;=31),DATE(INT(INDEX(기본자료!$K$2:$K$501,$AB165)/10000),INT(MOD(INDEX(기본자료!$K$2:$K$501,$AB165),10000)/100),MOD(INDEX(기본자료!$K$2:$K$501,$AB165),100)),INDEX(기본자료!$K$2:$K$501,$AB165)&amp;"")))))</f>
        <v/>
      </c>
      <c r="F165" s="10">
        <f>IF($AB165="","",IF(INDEX(기본자료!$D$2:$D$501,$AB165)="","",INDEX(기본자료!$D$2:$D$501,$AB165)))</f>
        <v/>
      </c>
      <c r="G165" s="10">
        <f>IF($AB165="","",IF(INDEX(기본자료!$E$2:$E$501,$AB165)="","",INDEX(기본자료!$E$2:$E$501,$AB165)))</f>
        <v/>
      </c>
      <c r="H165" s="10">
        <f>IF($AB165="","",IF(INDEX(기본자료!$F$2:$F$501,$AB165)="","",INDEX(기본자료!$F$2:$F$501,$AB165)))</f>
        <v/>
      </c>
      <c r="I165" s="11">
        <f>IF($AB165="","",IF(INDEX(기본자료!$G$2:$G$501,$AB165)="","",IF(NOT(ISNUMBER(INDEX(기본자료!$G$2:$G$501,$AB165))),INDEX(기본자료!$G$2:$G$501,$AB165),IF(INDEX(기본자료!$G$2:$G$501,$AB165)&lt;1000000,INDEX(기본자료!$G$2:$G$501,$AB165),IF(AND(INDEX(기본자료!$G$2:$G$501,$AB165)&gt;=10000101,INT(MOD(INDEX(기본자료!$G$2:$G$501,$AB165),10000)/100)&gt;=1,INT(MOD(INDEX(기본자료!$G$2:$G$501,$AB165),10000)/100)&lt;=12,MOD(INDEX(기본자료!$G$2:$G$501,$AB165),100)&gt;=1,MOD(INDEX(기본자료!$G$2:$G$501,$AB165),100)&lt;=31),DATE(INT(INDEX(기본자료!$G$2:$G$501,$AB165)/10000),INT(MOD(INDEX(기본자료!$G$2:$G$501,$AB165),10000)/100),MOD(INDEX(기본자료!$G$2:$G$501,$AB165),100)),INDEX(기본자료!$G$2:$G$501,$AB165)&amp;"")))))</f>
        <v/>
      </c>
      <c r="J165" s="10">
        <f>IF($AB165="","",IF(INDEX(기본자료!$H$2:$H$501,$AB165)="","",INDEX(기본자료!$H$2:$H$501,$AB165)))</f>
        <v/>
      </c>
      <c r="K165" s="10">
        <f>IF($AB165="","",IF(INDEX(기본자료!$I$2:$I$501,$AB165)="","",INDEX(기본자료!$I$2:$I$501,$AB165)))</f>
        <v/>
      </c>
      <c r="L165" s="10">
        <f>IF($AB165="","",IF(INDEX(기본자료!$A$2:$A$501,$AB165)="","",INDEX(기본자료!$A$2:$A$501,$AB165)))</f>
        <v/>
      </c>
      <c r="M165" s="15" t="n"/>
      <c r="N165" s="10">
        <f>IF($B165="","",IF(AND($U165="파견중",$Q165&lt;&gt;""),$Q165,IF(AND($AD165&lt;&gt;"",LEFT($AD165,1)&lt;&gt;"⚠"),LEFT($AD165,FIND(" ",$AD165)-1),IF($H165="","",IF(RIGHT($H165,2)="병원",$H165,$H165&amp;"병원")))))</f>
        <v/>
      </c>
      <c r="O165" s="10">
        <f>IF($B165="","",IF(AND($U165="파견중",$Q165&lt;&gt;""),IF($R165&lt;&gt;"",$R165,"파견과 미입력"),IF(AND($AD165&lt;&gt;"",LEFT($AD165,1)&lt;&gt;"⚠"),MID($AD165,FIND(" ",$AD165)+1,60),IF($F165="","",IF($F165="인턴","수련교육부(인턴)",$F165)))))</f>
        <v/>
      </c>
      <c r="P165" s="10">
        <f>IF($B165="","",IF($AK165&lt;&gt;"",IF(AND(TODAY()&gt;=INDEX(파견수련계획!$AB$4:$AB$203,$AK165),OR(NOT(ISNUMBER(INDEX(파견수련계획!$AC$4:$AC$203,$AK165))),TODAY()&lt;=INDEX(파견수련계획!$AC$4:$AC$203,$AK165))),"다기관",IF($AF165="","",INDEX(파견수련계획!$T$4:$T$203,$AF165))),IF($AF165="","",INDEX(파견수련계획!$T$4:$T$203,$AF165))))</f>
        <v/>
      </c>
      <c r="Q165" s="10">
        <f>IF($AF165="","",INDEX(파견수련계획!$S$4:$S$203,$AF165))</f>
        <v/>
      </c>
      <c r="R165" s="10">
        <f>IF($AF165="","",INDEX(파견수련계획!$U$4:$U$203,$AF165))</f>
        <v/>
      </c>
      <c r="S165" s="11">
        <f>IF($AF165="","",IF(INDEX(파견수련계획!$H$4:$H$203,$AF165)="","",INDEX(파견수련계획!$H$4:$H$203,$AF165)))</f>
        <v/>
      </c>
      <c r="T165" s="11">
        <f>IF($AF165="","",IF(INDEX(파견수련계획!$I$4:$I$203,$AF165)="","",INDEX(파견수련계획!$I$4:$I$203,$AF165)))</f>
        <v/>
      </c>
      <c r="U165" s="10">
        <f>IF($AF165="","",INDEX(파견수련계획!$X$4:$X$203,$AF165))</f>
        <v/>
      </c>
      <c r="V165" s="17">
        <f>IF($AF165="","",INDEX(파견수련계획!$V$4:$V$203,$AF165))</f>
        <v/>
      </c>
      <c r="W165" s="17">
        <f>IF(AND($U165="파견중",$T165&lt;&gt;""),$T165-TODAY(),"")</f>
        <v/>
      </c>
      <c r="X165" s="17">
        <f>IF(OR($B165="",TRIM($J165&amp;"")=""),"",SUMPRODUCT((파견수련계획!$Q$4:$Q$203=TRIM($J165&amp;""))*파견수련계획!$W$4:$W$203))</f>
        <v/>
      </c>
      <c r="Y165" s="10">
        <f>IF($B165="","",IF($AG165="","",IF(IF(TRIM($J165&amp;"")="",0,SUMPRODUCT((파견수련계획!$Q$4:$Q$203=TRIM($J165&amp;""))*파견수련계획!$AD$4:$AD$203))&gt;0,$AE165,IF(N($X165)&lt;=0,$AG165,IF($AH165+$AI165=DAY(EOMONTH(요약!$B$3,0)),IF(AND($AH165&gt;=요약!$E$3,$AI165&lt;요약!$E$3),"서울병원",IF(AND($AI165&gt;=요약!$E$3,$AH165&lt;요약!$E$3),"구리병원","⚠15일 판정불가(서울 "&amp;$AH165&amp;"일/구리 "&amp;$AI165&amp;"일)")),IF($AJ165="",$AE165,IF(INDEX(파견수련계획!$T$4:$T$203,$AJ165)="통합수련",INDEX(파견수련계획!$S$4:$S$203,$AJ165),$AE165)))))))</f>
        <v/>
      </c>
      <c r="Z165" s="19">
        <f>IF($B165="","",IF($AB165="","기본자료에 없는 사번",IF(COUNTIF($B$2:$B$201,$B165)&gt;1,"중복 사번",IF($AE165="","소속(입사장소) 입력",IF(IF(TRIM($J165&amp;"")="",0,SUMPRODUCT((파견수련계획!$Q$4:$Q$203=TRIM($J165&amp;""))*(파견수련계획!$AA$4:$AA$203&lt;&gt;"")))&gt;0,"파견수련계획 입력오류 확인",IF(LEFT($Y165,1)="⚠","서울·구리 15일 판정 불가(양쪽 모두 이상/미만)",IF(IF($AC165="",0,N(INDEX(인턴근무계획!$T$3:$T$202,$AC165)))&gt;0,"인턴계획 입력오류 확인",IF(AND($AC165&lt;&gt;"",$U165&lt;&gt;"파견중",$N165&lt;&gt;$AE165),"인턴 타지역 근무: 파견 여부 확인","정상"))))))))</f>
        <v/>
      </c>
      <c r="AA165" s="5" t="n"/>
      <c r="AB165" s="10">
        <f>IF($B165="","",IFERROR(MATCH($B165,기본자료!$B$2:$B$501,0),IFERROR(MATCH($B165&amp;"",기본자료!$B$2:$B$501,0),IFERROR(MATCH(VALUE($B165),기본자료!$B$2:$B$501,0),""))))</f>
        <v/>
      </c>
      <c r="AC165" s="10">
        <f>IF($B165="","",IFERROR(MATCH($B165,인턴근무계획!$D$3:$D$202,0),IFERROR(MATCH($B165&amp;"",인턴근무계획!$D$3:$D$202,0),IFERROR(MATCH(VALUE($B165),인턴근무계획!$D$3:$D$202,0),""))))</f>
        <v/>
      </c>
      <c r="AD165" s="10">
        <f>IF(OR($AC165="",인턴현황!$G$3=""),"",INDEX(인턴근무계획!$M$3:$R$202,$AC165,인턴현황!$G$3)&amp;"")</f>
        <v/>
      </c>
      <c r="AE165" s="10">
        <f>IF($B165="","",IF($M165&lt;&gt;"",$M165,IF($AF165&lt;&gt;"",IF(LEFT(INDEX(파견수련계획!$R$4:$R$203,$AF165),1)&lt;&gt;"⚠",INDEX(파견수련계획!$R$4:$R$203,$AF165),IF($H165="","",IF(RIGHT($H165,2)="병원",$H165,$H165&amp;"병원"))),IF($H165="","",IF(RIGHT($H165,2)="병원",$H165,$H165&amp;"병원")))))</f>
        <v/>
      </c>
      <c r="AF165" s="10">
        <f>IF(OR($B165="",TRIM($J165&amp;"")=""),"",IFERROR(MATCH(TRIM($J165&amp;"")&amp;"|파견중",파견수련계획!$Y$4:$Y$203,0),IFERROR(MATCH(TRIM($J165&amp;"")&amp;"|파견예정",파견수련계획!$Y$4:$Y$203,0),IFERROR(MATCH(TRIM($J165&amp;"")&amp;"|파견종료",파견수련계획!$Y$4:$Y$203,0),""))))</f>
        <v/>
      </c>
      <c r="AG165" s="10">
        <f>IF($B165="","",IF(AND(IF(OR($AC165="",인턴현황!$K$2=""),"",INDEX(인턴근무계획!$M$3:$R$202,$AC165,인턴현황!$K$2)&amp;"")&lt;&gt;"",LEFT(IF(OR($AC165="",인턴현황!$K$2=""),"",INDEX(인턴근무계획!$M$3:$R$202,$AC165,인턴현황!$K$2)&amp;""),1)&lt;&gt;"⚠"),LEFT(IF(OR($AC165="",인턴현황!$K$2=""),"",INDEX(인턴근무계획!$M$3:$R$202,$AC165,인턴현황!$K$2)&amp;""),FIND(" ",IF(OR($AC165="",인턴현황!$K$2=""),"",INDEX(인턴근무계획!$M$3:$R$202,$AC165,인턴현황!$K$2)&amp;""))-1),$AE165))</f>
        <v/>
      </c>
      <c r="AH165" s="17">
        <f>IF($B165="","",IF(TRIM($J165&amp;"")="",0,SUMPRODUCT((파견수련계획!$Q$4:$Q$203=TRIM($J165&amp;""))*(파견수련계획!$S$4:$S$203="서울병원")*파견수련계획!$W$4:$W$203))+IF($AG165="서울병원",MAX(0,DAY(EOMONTH(요약!$B$3,0))-N($X165)),0))</f>
        <v/>
      </c>
      <c r="AI165" s="17">
        <f>IF($B165="","",IF(TRIM($J165&amp;"")="",0,SUMPRODUCT((파견수련계획!$Q$4:$Q$203=TRIM($J165&amp;""))*(파견수련계획!$S$4:$S$203="구리병원")*파견수련계획!$W$4:$W$203))+IF($AG165="구리병원",MAX(0,DAY(EOMONTH(요약!$B$3,0))-N($X165)),0))</f>
        <v/>
      </c>
      <c r="AJ165" s="10">
        <f>IF(OR($B165="",TRIM($J165&amp;"")=""),"",IFERROR(MATCH(TRIM($J165&amp;"")&amp;"|월",파견수련계획!$Z$4:$Z$203,0),""))</f>
        <v/>
      </c>
      <c r="AK165" s="10">
        <f>IF(OR($B165="",TRIM($J165&amp;"")=""),"",IFERROR(MATCH(TRIM($J165&amp;"")&amp;"|다기관",파견수련계획!$AE$4:$AE$203,0),""))</f>
        <v/>
      </c>
      <c r="AL165" s="10">
        <f>IF($AK165="","","다기관 "&amp;TEXT(INDEX(파견수련계획!$AB$4:$AB$203,$AK165),"yyyy-mm-dd")&amp;"~"&amp;IF(ISNUMBER(INDEX(파견수련계획!$AC$4:$AC$203,$AK165)),TEXT(INDEX(파견수련계획!$AC$4:$AC$203,$AK165),"yyyy-mm-dd"),""))</f>
        <v/>
      </c>
    </row>
    <row r="166">
      <c r="A166" s="10">
        <f>IF(B166="","",ROW()-1)</f>
        <v/>
      </c>
      <c r="B166" s="18" t="n"/>
      <c r="C166" s="10">
        <f>IF($AB166="","",IF(INDEX(기본자료!$C$2:$C$501,$AB166)="","",INDEX(기본자료!$C$2:$C$501,$AB166)))</f>
        <v/>
      </c>
      <c r="D166" s="10">
        <f>IF($AB166="","",IF(INDEX(기본자료!$J$2:$J$501,$AB166)="","",INDEX(기본자료!$J$2:$J$501,$AB166)))</f>
        <v/>
      </c>
      <c r="E166" s="11">
        <f>IF($AB166="","",IF(INDEX(기본자료!$K$2:$K$501,$AB166)="","",IF(NOT(ISNUMBER(INDEX(기본자료!$K$2:$K$501,$AB166))),INDEX(기본자료!$K$2:$K$501,$AB166),IF(INDEX(기본자료!$K$2:$K$501,$AB166)&lt;1000000,INDEX(기본자료!$K$2:$K$501,$AB166),IF(AND(INDEX(기본자료!$K$2:$K$501,$AB166)&gt;=10000101,INT(MOD(INDEX(기본자료!$K$2:$K$501,$AB166),10000)/100)&gt;=1,INT(MOD(INDEX(기본자료!$K$2:$K$501,$AB166),10000)/100)&lt;=12,MOD(INDEX(기본자료!$K$2:$K$501,$AB166),100)&gt;=1,MOD(INDEX(기본자료!$K$2:$K$501,$AB166),100)&lt;=31),DATE(INT(INDEX(기본자료!$K$2:$K$501,$AB166)/10000),INT(MOD(INDEX(기본자료!$K$2:$K$501,$AB166),10000)/100),MOD(INDEX(기본자료!$K$2:$K$501,$AB166),100)),INDEX(기본자료!$K$2:$K$501,$AB166)&amp;"")))))</f>
        <v/>
      </c>
      <c r="F166" s="10">
        <f>IF($AB166="","",IF(INDEX(기본자료!$D$2:$D$501,$AB166)="","",INDEX(기본자료!$D$2:$D$501,$AB166)))</f>
        <v/>
      </c>
      <c r="G166" s="10">
        <f>IF($AB166="","",IF(INDEX(기본자료!$E$2:$E$501,$AB166)="","",INDEX(기본자료!$E$2:$E$501,$AB166)))</f>
        <v/>
      </c>
      <c r="H166" s="10">
        <f>IF($AB166="","",IF(INDEX(기본자료!$F$2:$F$501,$AB166)="","",INDEX(기본자료!$F$2:$F$501,$AB166)))</f>
        <v/>
      </c>
      <c r="I166" s="11">
        <f>IF($AB166="","",IF(INDEX(기본자료!$G$2:$G$501,$AB166)="","",IF(NOT(ISNUMBER(INDEX(기본자료!$G$2:$G$501,$AB166))),INDEX(기본자료!$G$2:$G$501,$AB166),IF(INDEX(기본자료!$G$2:$G$501,$AB166)&lt;1000000,INDEX(기본자료!$G$2:$G$501,$AB166),IF(AND(INDEX(기본자료!$G$2:$G$501,$AB166)&gt;=10000101,INT(MOD(INDEX(기본자료!$G$2:$G$501,$AB166),10000)/100)&gt;=1,INT(MOD(INDEX(기본자료!$G$2:$G$501,$AB166),10000)/100)&lt;=12,MOD(INDEX(기본자료!$G$2:$G$501,$AB166),100)&gt;=1,MOD(INDEX(기본자료!$G$2:$G$501,$AB166),100)&lt;=31),DATE(INT(INDEX(기본자료!$G$2:$G$501,$AB166)/10000),INT(MOD(INDEX(기본자료!$G$2:$G$501,$AB166),10000)/100),MOD(INDEX(기본자료!$G$2:$G$501,$AB166),100)),INDEX(기본자료!$G$2:$G$501,$AB166)&amp;"")))))</f>
        <v/>
      </c>
      <c r="J166" s="10">
        <f>IF($AB166="","",IF(INDEX(기본자료!$H$2:$H$501,$AB166)="","",INDEX(기본자료!$H$2:$H$501,$AB166)))</f>
        <v/>
      </c>
      <c r="K166" s="10">
        <f>IF($AB166="","",IF(INDEX(기본자료!$I$2:$I$501,$AB166)="","",INDEX(기본자료!$I$2:$I$501,$AB166)))</f>
        <v/>
      </c>
      <c r="L166" s="10">
        <f>IF($AB166="","",IF(INDEX(기본자료!$A$2:$A$501,$AB166)="","",INDEX(기본자료!$A$2:$A$501,$AB166)))</f>
        <v/>
      </c>
      <c r="M166" s="15" t="n"/>
      <c r="N166" s="10">
        <f>IF($B166="","",IF(AND($U166="파견중",$Q166&lt;&gt;""),$Q166,IF(AND($AD166&lt;&gt;"",LEFT($AD166,1)&lt;&gt;"⚠"),LEFT($AD166,FIND(" ",$AD166)-1),IF($H166="","",IF(RIGHT($H166,2)="병원",$H166,$H166&amp;"병원")))))</f>
        <v/>
      </c>
      <c r="O166" s="10">
        <f>IF($B166="","",IF(AND($U166="파견중",$Q166&lt;&gt;""),IF($R166&lt;&gt;"",$R166,"파견과 미입력"),IF(AND($AD166&lt;&gt;"",LEFT($AD166,1)&lt;&gt;"⚠"),MID($AD166,FIND(" ",$AD166)+1,60),IF($F166="","",IF($F166="인턴","수련교육부(인턴)",$F166)))))</f>
        <v/>
      </c>
      <c r="P166" s="10">
        <f>IF($B166="","",IF($AK166&lt;&gt;"",IF(AND(TODAY()&gt;=INDEX(파견수련계획!$AB$4:$AB$203,$AK166),OR(NOT(ISNUMBER(INDEX(파견수련계획!$AC$4:$AC$203,$AK166))),TODAY()&lt;=INDEX(파견수련계획!$AC$4:$AC$203,$AK166))),"다기관",IF($AF166="","",INDEX(파견수련계획!$T$4:$T$203,$AF166))),IF($AF166="","",INDEX(파견수련계획!$T$4:$T$203,$AF166))))</f>
        <v/>
      </c>
      <c r="Q166" s="10">
        <f>IF($AF166="","",INDEX(파견수련계획!$S$4:$S$203,$AF166))</f>
        <v/>
      </c>
      <c r="R166" s="10">
        <f>IF($AF166="","",INDEX(파견수련계획!$U$4:$U$203,$AF166))</f>
        <v/>
      </c>
      <c r="S166" s="11">
        <f>IF($AF166="","",IF(INDEX(파견수련계획!$H$4:$H$203,$AF166)="","",INDEX(파견수련계획!$H$4:$H$203,$AF166)))</f>
        <v/>
      </c>
      <c r="T166" s="11">
        <f>IF($AF166="","",IF(INDEX(파견수련계획!$I$4:$I$203,$AF166)="","",INDEX(파견수련계획!$I$4:$I$203,$AF166)))</f>
        <v/>
      </c>
      <c r="U166" s="10">
        <f>IF($AF166="","",INDEX(파견수련계획!$X$4:$X$203,$AF166))</f>
        <v/>
      </c>
      <c r="V166" s="17">
        <f>IF($AF166="","",INDEX(파견수련계획!$V$4:$V$203,$AF166))</f>
        <v/>
      </c>
      <c r="W166" s="17">
        <f>IF(AND($U166="파견중",$T166&lt;&gt;""),$T166-TODAY(),"")</f>
        <v/>
      </c>
      <c r="X166" s="17">
        <f>IF(OR($B166="",TRIM($J166&amp;"")=""),"",SUMPRODUCT((파견수련계획!$Q$4:$Q$203=TRIM($J166&amp;""))*파견수련계획!$W$4:$W$203))</f>
        <v/>
      </c>
      <c r="Y166" s="10">
        <f>IF($B166="","",IF($AG166="","",IF(IF(TRIM($J166&amp;"")="",0,SUMPRODUCT((파견수련계획!$Q$4:$Q$203=TRIM($J166&amp;""))*파견수련계획!$AD$4:$AD$203))&gt;0,$AE166,IF(N($X166)&lt;=0,$AG166,IF($AH166+$AI166=DAY(EOMONTH(요약!$B$3,0)),IF(AND($AH166&gt;=요약!$E$3,$AI166&lt;요약!$E$3),"서울병원",IF(AND($AI166&gt;=요약!$E$3,$AH166&lt;요약!$E$3),"구리병원","⚠15일 판정불가(서울 "&amp;$AH166&amp;"일/구리 "&amp;$AI166&amp;"일)")),IF($AJ166="",$AE166,IF(INDEX(파견수련계획!$T$4:$T$203,$AJ166)="통합수련",INDEX(파견수련계획!$S$4:$S$203,$AJ166),$AE166)))))))</f>
        <v/>
      </c>
      <c r="Z166" s="19">
        <f>IF($B166="","",IF($AB166="","기본자료에 없는 사번",IF(COUNTIF($B$2:$B$201,$B166)&gt;1,"중복 사번",IF($AE166="","소속(입사장소) 입력",IF(IF(TRIM($J166&amp;"")="",0,SUMPRODUCT((파견수련계획!$Q$4:$Q$203=TRIM($J166&amp;""))*(파견수련계획!$AA$4:$AA$203&lt;&gt;"")))&gt;0,"파견수련계획 입력오류 확인",IF(LEFT($Y166,1)="⚠","서울·구리 15일 판정 불가(양쪽 모두 이상/미만)",IF(IF($AC166="",0,N(INDEX(인턴근무계획!$T$3:$T$202,$AC166)))&gt;0,"인턴계획 입력오류 확인",IF(AND($AC166&lt;&gt;"",$U166&lt;&gt;"파견중",$N166&lt;&gt;$AE166),"인턴 타지역 근무: 파견 여부 확인","정상"))))))))</f>
        <v/>
      </c>
      <c r="AA166" s="5" t="n"/>
      <c r="AB166" s="10">
        <f>IF($B166="","",IFERROR(MATCH($B166,기본자료!$B$2:$B$501,0),IFERROR(MATCH($B166&amp;"",기본자료!$B$2:$B$501,0),IFERROR(MATCH(VALUE($B166),기본자료!$B$2:$B$501,0),""))))</f>
        <v/>
      </c>
      <c r="AC166" s="10">
        <f>IF($B166="","",IFERROR(MATCH($B166,인턴근무계획!$D$3:$D$202,0),IFERROR(MATCH($B166&amp;"",인턴근무계획!$D$3:$D$202,0),IFERROR(MATCH(VALUE($B166),인턴근무계획!$D$3:$D$202,0),""))))</f>
        <v/>
      </c>
      <c r="AD166" s="10">
        <f>IF(OR($AC166="",인턴현황!$G$3=""),"",INDEX(인턴근무계획!$M$3:$R$202,$AC166,인턴현황!$G$3)&amp;"")</f>
        <v/>
      </c>
      <c r="AE166" s="10">
        <f>IF($B166="","",IF($M166&lt;&gt;"",$M166,IF($AF166&lt;&gt;"",IF(LEFT(INDEX(파견수련계획!$R$4:$R$203,$AF166),1)&lt;&gt;"⚠",INDEX(파견수련계획!$R$4:$R$203,$AF166),IF($H166="","",IF(RIGHT($H166,2)="병원",$H166,$H166&amp;"병원"))),IF($H166="","",IF(RIGHT($H166,2)="병원",$H166,$H166&amp;"병원")))))</f>
        <v/>
      </c>
      <c r="AF166" s="10">
        <f>IF(OR($B166="",TRIM($J166&amp;"")=""),"",IFERROR(MATCH(TRIM($J166&amp;"")&amp;"|파견중",파견수련계획!$Y$4:$Y$203,0),IFERROR(MATCH(TRIM($J166&amp;"")&amp;"|파견예정",파견수련계획!$Y$4:$Y$203,0),IFERROR(MATCH(TRIM($J166&amp;"")&amp;"|파견종료",파견수련계획!$Y$4:$Y$203,0),""))))</f>
        <v/>
      </c>
      <c r="AG166" s="10">
        <f>IF($B166="","",IF(AND(IF(OR($AC166="",인턴현황!$K$2=""),"",INDEX(인턴근무계획!$M$3:$R$202,$AC166,인턴현황!$K$2)&amp;"")&lt;&gt;"",LEFT(IF(OR($AC166="",인턴현황!$K$2=""),"",INDEX(인턴근무계획!$M$3:$R$202,$AC166,인턴현황!$K$2)&amp;""),1)&lt;&gt;"⚠"),LEFT(IF(OR($AC166="",인턴현황!$K$2=""),"",INDEX(인턴근무계획!$M$3:$R$202,$AC166,인턴현황!$K$2)&amp;""),FIND(" ",IF(OR($AC166="",인턴현황!$K$2=""),"",INDEX(인턴근무계획!$M$3:$R$202,$AC166,인턴현황!$K$2)&amp;""))-1),$AE166))</f>
        <v/>
      </c>
      <c r="AH166" s="17">
        <f>IF($B166="","",IF(TRIM($J166&amp;"")="",0,SUMPRODUCT((파견수련계획!$Q$4:$Q$203=TRIM($J166&amp;""))*(파견수련계획!$S$4:$S$203="서울병원")*파견수련계획!$W$4:$W$203))+IF($AG166="서울병원",MAX(0,DAY(EOMONTH(요약!$B$3,0))-N($X166)),0))</f>
        <v/>
      </c>
      <c r="AI166" s="17">
        <f>IF($B166="","",IF(TRIM($J166&amp;"")="",0,SUMPRODUCT((파견수련계획!$Q$4:$Q$203=TRIM($J166&amp;""))*(파견수련계획!$S$4:$S$203="구리병원")*파견수련계획!$W$4:$W$203))+IF($AG166="구리병원",MAX(0,DAY(EOMONTH(요약!$B$3,0))-N($X166)),0))</f>
        <v/>
      </c>
      <c r="AJ166" s="10">
        <f>IF(OR($B166="",TRIM($J166&amp;"")=""),"",IFERROR(MATCH(TRIM($J166&amp;"")&amp;"|월",파견수련계획!$Z$4:$Z$203,0),""))</f>
        <v/>
      </c>
      <c r="AK166" s="10">
        <f>IF(OR($B166="",TRIM($J166&amp;"")=""),"",IFERROR(MATCH(TRIM($J166&amp;"")&amp;"|다기관",파견수련계획!$AE$4:$AE$203,0),""))</f>
        <v/>
      </c>
      <c r="AL166" s="10">
        <f>IF($AK166="","","다기관 "&amp;TEXT(INDEX(파견수련계획!$AB$4:$AB$203,$AK166),"yyyy-mm-dd")&amp;"~"&amp;IF(ISNUMBER(INDEX(파견수련계획!$AC$4:$AC$203,$AK166)),TEXT(INDEX(파견수련계획!$AC$4:$AC$203,$AK166),"yyyy-mm-dd"),""))</f>
        <v/>
      </c>
    </row>
    <row r="167">
      <c r="A167" s="10">
        <f>IF(B167="","",ROW()-1)</f>
        <v/>
      </c>
      <c r="B167" s="18" t="n"/>
      <c r="C167" s="10">
        <f>IF($AB167="","",IF(INDEX(기본자료!$C$2:$C$501,$AB167)="","",INDEX(기본자료!$C$2:$C$501,$AB167)))</f>
        <v/>
      </c>
      <c r="D167" s="10">
        <f>IF($AB167="","",IF(INDEX(기본자료!$J$2:$J$501,$AB167)="","",INDEX(기본자료!$J$2:$J$501,$AB167)))</f>
        <v/>
      </c>
      <c r="E167" s="11">
        <f>IF($AB167="","",IF(INDEX(기본자료!$K$2:$K$501,$AB167)="","",IF(NOT(ISNUMBER(INDEX(기본자료!$K$2:$K$501,$AB167))),INDEX(기본자료!$K$2:$K$501,$AB167),IF(INDEX(기본자료!$K$2:$K$501,$AB167)&lt;1000000,INDEX(기본자료!$K$2:$K$501,$AB167),IF(AND(INDEX(기본자료!$K$2:$K$501,$AB167)&gt;=10000101,INT(MOD(INDEX(기본자료!$K$2:$K$501,$AB167),10000)/100)&gt;=1,INT(MOD(INDEX(기본자료!$K$2:$K$501,$AB167),10000)/100)&lt;=12,MOD(INDEX(기본자료!$K$2:$K$501,$AB167),100)&gt;=1,MOD(INDEX(기본자료!$K$2:$K$501,$AB167),100)&lt;=31),DATE(INT(INDEX(기본자료!$K$2:$K$501,$AB167)/10000),INT(MOD(INDEX(기본자료!$K$2:$K$501,$AB167),10000)/100),MOD(INDEX(기본자료!$K$2:$K$501,$AB167),100)),INDEX(기본자료!$K$2:$K$501,$AB167)&amp;"")))))</f>
        <v/>
      </c>
      <c r="F167" s="10">
        <f>IF($AB167="","",IF(INDEX(기본자료!$D$2:$D$501,$AB167)="","",INDEX(기본자료!$D$2:$D$501,$AB167)))</f>
        <v/>
      </c>
      <c r="G167" s="10">
        <f>IF($AB167="","",IF(INDEX(기본자료!$E$2:$E$501,$AB167)="","",INDEX(기본자료!$E$2:$E$501,$AB167)))</f>
        <v/>
      </c>
      <c r="H167" s="10">
        <f>IF($AB167="","",IF(INDEX(기본자료!$F$2:$F$501,$AB167)="","",INDEX(기본자료!$F$2:$F$501,$AB167)))</f>
        <v/>
      </c>
      <c r="I167" s="11">
        <f>IF($AB167="","",IF(INDEX(기본자료!$G$2:$G$501,$AB167)="","",IF(NOT(ISNUMBER(INDEX(기본자료!$G$2:$G$501,$AB167))),INDEX(기본자료!$G$2:$G$501,$AB167),IF(INDEX(기본자료!$G$2:$G$501,$AB167)&lt;1000000,INDEX(기본자료!$G$2:$G$501,$AB167),IF(AND(INDEX(기본자료!$G$2:$G$501,$AB167)&gt;=10000101,INT(MOD(INDEX(기본자료!$G$2:$G$501,$AB167),10000)/100)&gt;=1,INT(MOD(INDEX(기본자료!$G$2:$G$501,$AB167),10000)/100)&lt;=12,MOD(INDEX(기본자료!$G$2:$G$501,$AB167),100)&gt;=1,MOD(INDEX(기본자료!$G$2:$G$501,$AB167),100)&lt;=31),DATE(INT(INDEX(기본자료!$G$2:$G$501,$AB167)/10000),INT(MOD(INDEX(기본자료!$G$2:$G$501,$AB167),10000)/100),MOD(INDEX(기본자료!$G$2:$G$501,$AB167),100)),INDEX(기본자료!$G$2:$G$501,$AB167)&amp;"")))))</f>
        <v/>
      </c>
      <c r="J167" s="10">
        <f>IF($AB167="","",IF(INDEX(기본자료!$H$2:$H$501,$AB167)="","",INDEX(기본자료!$H$2:$H$501,$AB167)))</f>
        <v/>
      </c>
      <c r="K167" s="10">
        <f>IF($AB167="","",IF(INDEX(기본자료!$I$2:$I$501,$AB167)="","",INDEX(기본자료!$I$2:$I$501,$AB167)))</f>
        <v/>
      </c>
      <c r="L167" s="10">
        <f>IF($AB167="","",IF(INDEX(기본자료!$A$2:$A$501,$AB167)="","",INDEX(기본자료!$A$2:$A$501,$AB167)))</f>
        <v/>
      </c>
      <c r="M167" s="15" t="n"/>
      <c r="N167" s="10">
        <f>IF($B167="","",IF(AND($U167="파견중",$Q167&lt;&gt;""),$Q167,IF(AND($AD167&lt;&gt;"",LEFT($AD167,1)&lt;&gt;"⚠"),LEFT($AD167,FIND(" ",$AD167)-1),IF($H167="","",IF(RIGHT($H167,2)="병원",$H167,$H167&amp;"병원")))))</f>
        <v/>
      </c>
      <c r="O167" s="10">
        <f>IF($B167="","",IF(AND($U167="파견중",$Q167&lt;&gt;""),IF($R167&lt;&gt;"",$R167,"파견과 미입력"),IF(AND($AD167&lt;&gt;"",LEFT($AD167,1)&lt;&gt;"⚠"),MID($AD167,FIND(" ",$AD167)+1,60),IF($F167="","",IF($F167="인턴","수련교육부(인턴)",$F167)))))</f>
        <v/>
      </c>
      <c r="P167" s="10">
        <f>IF($B167="","",IF($AK167&lt;&gt;"",IF(AND(TODAY()&gt;=INDEX(파견수련계획!$AB$4:$AB$203,$AK167),OR(NOT(ISNUMBER(INDEX(파견수련계획!$AC$4:$AC$203,$AK167))),TODAY()&lt;=INDEX(파견수련계획!$AC$4:$AC$203,$AK167))),"다기관",IF($AF167="","",INDEX(파견수련계획!$T$4:$T$203,$AF167))),IF($AF167="","",INDEX(파견수련계획!$T$4:$T$203,$AF167))))</f>
        <v/>
      </c>
      <c r="Q167" s="10">
        <f>IF($AF167="","",INDEX(파견수련계획!$S$4:$S$203,$AF167))</f>
        <v/>
      </c>
      <c r="R167" s="10">
        <f>IF($AF167="","",INDEX(파견수련계획!$U$4:$U$203,$AF167))</f>
        <v/>
      </c>
      <c r="S167" s="11">
        <f>IF($AF167="","",IF(INDEX(파견수련계획!$H$4:$H$203,$AF167)="","",INDEX(파견수련계획!$H$4:$H$203,$AF167)))</f>
        <v/>
      </c>
      <c r="T167" s="11">
        <f>IF($AF167="","",IF(INDEX(파견수련계획!$I$4:$I$203,$AF167)="","",INDEX(파견수련계획!$I$4:$I$203,$AF167)))</f>
        <v/>
      </c>
      <c r="U167" s="10">
        <f>IF($AF167="","",INDEX(파견수련계획!$X$4:$X$203,$AF167))</f>
        <v/>
      </c>
      <c r="V167" s="17">
        <f>IF($AF167="","",INDEX(파견수련계획!$V$4:$V$203,$AF167))</f>
        <v/>
      </c>
      <c r="W167" s="17">
        <f>IF(AND($U167="파견중",$T167&lt;&gt;""),$T167-TODAY(),"")</f>
        <v/>
      </c>
      <c r="X167" s="17">
        <f>IF(OR($B167="",TRIM($J167&amp;"")=""),"",SUMPRODUCT((파견수련계획!$Q$4:$Q$203=TRIM($J167&amp;""))*파견수련계획!$W$4:$W$203))</f>
        <v/>
      </c>
      <c r="Y167" s="10">
        <f>IF($B167="","",IF($AG167="","",IF(IF(TRIM($J167&amp;"")="",0,SUMPRODUCT((파견수련계획!$Q$4:$Q$203=TRIM($J167&amp;""))*파견수련계획!$AD$4:$AD$203))&gt;0,$AE167,IF(N($X167)&lt;=0,$AG167,IF($AH167+$AI167=DAY(EOMONTH(요약!$B$3,0)),IF(AND($AH167&gt;=요약!$E$3,$AI167&lt;요약!$E$3),"서울병원",IF(AND($AI167&gt;=요약!$E$3,$AH167&lt;요약!$E$3),"구리병원","⚠15일 판정불가(서울 "&amp;$AH167&amp;"일/구리 "&amp;$AI167&amp;"일)")),IF($AJ167="",$AE167,IF(INDEX(파견수련계획!$T$4:$T$203,$AJ167)="통합수련",INDEX(파견수련계획!$S$4:$S$203,$AJ167),$AE167)))))))</f>
        <v/>
      </c>
      <c r="Z167" s="19">
        <f>IF($B167="","",IF($AB167="","기본자료에 없는 사번",IF(COUNTIF($B$2:$B$201,$B167)&gt;1,"중복 사번",IF($AE167="","소속(입사장소) 입력",IF(IF(TRIM($J167&amp;"")="",0,SUMPRODUCT((파견수련계획!$Q$4:$Q$203=TRIM($J167&amp;""))*(파견수련계획!$AA$4:$AA$203&lt;&gt;"")))&gt;0,"파견수련계획 입력오류 확인",IF(LEFT($Y167,1)="⚠","서울·구리 15일 판정 불가(양쪽 모두 이상/미만)",IF(IF($AC167="",0,N(INDEX(인턴근무계획!$T$3:$T$202,$AC167)))&gt;0,"인턴계획 입력오류 확인",IF(AND($AC167&lt;&gt;"",$U167&lt;&gt;"파견중",$N167&lt;&gt;$AE167),"인턴 타지역 근무: 파견 여부 확인","정상"))))))))</f>
        <v/>
      </c>
      <c r="AA167" s="5" t="n"/>
      <c r="AB167" s="10">
        <f>IF($B167="","",IFERROR(MATCH($B167,기본자료!$B$2:$B$501,0),IFERROR(MATCH($B167&amp;"",기본자료!$B$2:$B$501,0),IFERROR(MATCH(VALUE($B167),기본자료!$B$2:$B$501,0),""))))</f>
        <v/>
      </c>
      <c r="AC167" s="10">
        <f>IF($B167="","",IFERROR(MATCH($B167,인턴근무계획!$D$3:$D$202,0),IFERROR(MATCH($B167&amp;"",인턴근무계획!$D$3:$D$202,0),IFERROR(MATCH(VALUE($B167),인턴근무계획!$D$3:$D$202,0),""))))</f>
        <v/>
      </c>
      <c r="AD167" s="10">
        <f>IF(OR($AC167="",인턴현황!$G$3=""),"",INDEX(인턴근무계획!$M$3:$R$202,$AC167,인턴현황!$G$3)&amp;"")</f>
        <v/>
      </c>
      <c r="AE167" s="10">
        <f>IF($B167="","",IF($M167&lt;&gt;"",$M167,IF($AF167&lt;&gt;"",IF(LEFT(INDEX(파견수련계획!$R$4:$R$203,$AF167),1)&lt;&gt;"⚠",INDEX(파견수련계획!$R$4:$R$203,$AF167),IF($H167="","",IF(RIGHT($H167,2)="병원",$H167,$H167&amp;"병원"))),IF($H167="","",IF(RIGHT($H167,2)="병원",$H167,$H167&amp;"병원")))))</f>
        <v/>
      </c>
      <c r="AF167" s="10">
        <f>IF(OR($B167="",TRIM($J167&amp;"")=""),"",IFERROR(MATCH(TRIM($J167&amp;"")&amp;"|파견중",파견수련계획!$Y$4:$Y$203,0),IFERROR(MATCH(TRIM($J167&amp;"")&amp;"|파견예정",파견수련계획!$Y$4:$Y$203,0),IFERROR(MATCH(TRIM($J167&amp;"")&amp;"|파견종료",파견수련계획!$Y$4:$Y$203,0),""))))</f>
        <v/>
      </c>
      <c r="AG167" s="10">
        <f>IF($B167="","",IF(AND(IF(OR($AC167="",인턴현황!$K$2=""),"",INDEX(인턴근무계획!$M$3:$R$202,$AC167,인턴현황!$K$2)&amp;"")&lt;&gt;"",LEFT(IF(OR($AC167="",인턴현황!$K$2=""),"",INDEX(인턴근무계획!$M$3:$R$202,$AC167,인턴현황!$K$2)&amp;""),1)&lt;&gt;"⚠"),LEFT(IF(OR($AC167="",인턴현황!$K$2=""),"",INDEX(인턴근무계획!$M$3:$R$202,$AC167,인턴현황!$K$2)&amp;""),FIND(" ",IF(OR($AC167="",인턴현황!$K$2=""),"",INDEX(인턴근무계획!$M$3:$R$202,$AC167,인턴현황!$K$2)&amp;""))-1),$AE167))</f>
        <v/>
      </c>
      <c r="AH167" s="17">
        <f>IF($B167="","",IF(TRIM($J167&amp;"")="",0,SUMPRODUCT((파견수련계획!$Q$4:$Q$203=TRIM($J167&amp;""))*(파견수련계획!$S$4:$S$203="서울병원")*파견수련계획!$W$4:$W$203))+IF($AG167="서울병원",MAX(0,DAY(EOMONTH(요약!$B$3,0))-N($X167)),0))</f>
        <v/>
      </c>
      <c r="AI167" s="17">
        <f>IF($B167="","",IF(TRIM($J167&amp;"")="",0,SUMPRODUCT((파견수련계획!$Q$4:$Q$203=TRIM($J167&amp;""))*(파견수련계획!$S$4:$S$203="구리병원")*파견수련계획!$W$4:$W$203))+IF($AG167="구리병원",MAX(0,DAY(EOMONTH(요약!$B$3,0))-N($X167)),0))</f>
        <v/>
      </c>
      <c r="AJ167" s="10">
        <f>IF(OR($B167="",TRIM($J167&amp;"")=""),"",IFERROR(MATCH(TRIM($J167&amp;"")&amp;"|월",파견수련계획!$Z$4:$Z$203,0),""))</f>
        <v/>
      </c>
      <c r="AK167" s="10">
        <f>IF(OR($B167="",TRIM($J167&amp;"")=""),"",IFERROR(MATCH(TRIM($J167&amp;"")&amp;"|다기관",파견수련계획!$AE$4:$AE$203,0),""))</f>
        <v/>
      </c>
      <c r="AL167" s="10">
        <f>IF($AK167="","","다기관 "&amp;TEXT(INDEX(파견수련계획!$AB$4:$AB$203,$AK167),"yyyy-mm-dd")&amp;"~"&amp;IF(ISNUMBER(INDEX(파견수련계획!$AC$4:$AC$203,$AK167)),TEXT(INDEX(파견수련계획!$AC$4:$AC$203,$AK167),"yyyy-mm-dd"),""))</f>
        <v/>
      </c>
    </row>
    <row r="168">
      <c r="A168" s="10">
        <f>IF(B168="","",ROW()-1)</f>
        <v/>
      </c>
      <c r="B168" s="18" t="n"/>
      <c r="C168" s="10">
        <f>IF($AB168="","",IF(INDEX(기본자료!$C$2:$C$501,$AB168)="","",INDEX(기본자료!$C$2:$C$501,$AB168)))</f>
        <v/>
      </c>
      <c r="D168" s="10">
        <f>IF($AB168="","",IF(INDEX(기본자료!$J$2:$J$501,$AB168)="","",INDEX(기본자료!$J$2:$J$501,$AB168)))</f>
        <v/>
      </c>
      <c r="E168" s="11">
        <f>IF($AB168="","",IF(INDEX(기본자료!$K$2:$K$501,$AB168)="","",IF(NOT(ISNUMBER(INDEX(기본자료!$K$2:$K$501,$AB168))),INDEX(기본자료!$K$2:$K$501,$AB168),IF(INDEX(기본자료!$K$2:$K$501,$AB168)&lt;1000000,INDEX(기본자료!$K$2:$K$501,$AB168),IF(AND(INDEX(기본자료!$K$2:$K$501,$AB168)&gt;=10000101,INT(MOD(INDEX(기본자료!$K$2:$K$501,$AB168),10000)/100)&gt;=1,INT(MOD(INDEX(기본자료!$K$2:$K$501,$AB168),10000)/100)&lt;=12,MOD(INDEX(기본자료!$K$2:$K$501,$AB168),100)&gt;=1,MOD(INDEX(기본자료!$K$2:$K$501,$AB168),100)&lt;=31),DATE(INT(INDEX(기본자료!$K$2:$K$501,$AB168)/10000),INT(MOD(INDEX(기본자료!$K$2:$K$501,$AB168),10000)/100),MOD(INDEX(기본자료!$K$2:$K$501,$AB168),100)),INDEX(기본자료!$K$2:$K$501,$AB168)&amp;"")))))</f>
        <v/>
      </c>
      <c r="F168" s="10">
        <f>IF($AB168="","",IF(INDEX(기본자료!$D$2:$D$501,$AB168)="","",INDEX(기본자료!$D$2:$D$501,$AB168)))</f>
        <v/>
      </c>
      <c r="G168" s="10">
        <f>IF($AB168="","",IF(INDEX(기본자료!$E$2:$E$501,$AB168)="","",INDEX(기본자료!$E$2:$E$501,$AB168)))</f>
        <v/>
      </c>
      <c r="H168" s="10">
        <f>IF($AB168="","",IF(INDEX(기본자료!$F$2:$F$501,$AB168)="","",INDEX(기본자료!$F$2:$F$501,$AB168)))</f>
        <v/>
      </c>
      <c r="I168" s="11">
        <f>IF($AB168="","",IF(INDEX(기본자료!$G$2:$G$501,$AB168)="","",IF(NOT(ISNUMBER(INDEX(기본자료!$G$2:$G$501,$AB168))),INDEX(기본자료!$G$2:$G$501,$AB168),IF(INDEX(기본자료!$G$2:$G$501,$AB168)&lt;1000000,INDEX(기본자료!$G$2:$G$501,$AB168),IF(AND(INDEX(기본자료!$G$2:$G$501,$AB168)&gt;=10000101,INT(MOD(INDEX(기본자료!$G$2:$G$501,$AB168),10000)/100)&gt;=1,INT(MOD(INDEX(기본자료!$G$2:$G$501,$AB168),10000)/100)&lt;=12,MOD(INDEX(기본자료!$G$2:$G$501,$AB168),100)&gt;=1,MOD(INDEX(기본자료!$G$2:$G$501,$AB168),100)&lt;=31),DATE(INT(INDEX(기본자료!$G$2:$G$501,$AB168)/10000),INT(MOD(INDEX(기본자료!$G$2:$G$501,$AB168),10000)/100),MOD(INDEX(기본자료!$G$2:$G$501,$AB168),100)),INDEX(기본자료!$G$2:$G$501,$AB168)&amp;"")))))</f>
        <v/>
      </c>
      <c r="J168" s="10">
        <f>IF($AB168="","",IF(INDEX(기본자료!$H$2:$H$501,$AB168)="","",INDEX(기본자료!$H$2:$H$501,$AB168)))</f>
        <v/>
      </c>
      <c r="K168" s="10">
        <f>IF($AB168="","",IF(INDEX(기본자료!$I$2:$I$501,$AB168)="","",INDEX(기본자료!$I$2:$I$501,$AB168)))</f>
        <v/>
      </c>
      <c r="L168" s="10">
        <f>IF($AB168="","",IF(INDEX(기본자료!$A$2:$A$501,$AB168)="","",INDEX(기본자료!$A$2:$A$501,$AB168)))</f>
        <v/>
      </c>
      <c r="M168" s="15" t="n"/>
      <c r="N168" s="10">
        <f>IF($B168="","",IF(AND($U168="파견중",$Q168&lt;&gt;""),$Q168,IF(AND($AD168&lt;&gt;"",LEFT($AD168,1)&lt;&gt;"⚠"),LEFT($AD168,FIND(" ",$AD168)-1),IF($H168="","",IF(RIGHT($H168,2)="병원",$H168,$H168&amp;"병원")))))</f>
        <v/>
      </c>
      <c r="O168" s="10">
        <f>IF($B168="","",IF(AND($U168="파견중",$Q168&lt;&gt;""),IF($R168&lt;&gt;"",$R168,"파견과 미입력"),IF(AND($AD168&lt;&gt;"",LEFT($AD168,1)&lt;&gt;"⚠"),MID($AD168,FIND(" ",$AD168)+1,60),IF($F168="","",IF($F168="인턴","수련교육부(인턴)",$F168)))))</f>
        <v/>
      </c>
      <c r="P168" s="10">
        <f>IF($B168="","",IF($AK168&lt;&gt;"",IF(AND(TODAY()&gt;=INDEX(파견수련계획!$AB$4:$AB$203,$AK168),OR(NOT(ISNUMBER(INDEX(파견수련계획!$AC$4:$AC$203,$AK168))),TODAY()&lt;=INDEX(파견수련계획!$AC$4:$AC$203,$AK168))),"다기관",IF($AF168="","",INDEX(파견수련계획!$T$4:$T$203,$AF168))),IF($AF168="","",INDEX(파견수련계획!$T$4:$T$203,$AF168))))</f>
        <v/>
      </c>
      <c r="Q168" s="10">
        <f>IF($AF168="","",INDEX(파견수련계획!$S$4:$S$203,$AF168))</f>
        <v/>
      </c>
      <c r="R168" s="10">
        <f>IF($AF168="","",INDEX(파견수련계획!$U$4:$U$203,$AF168))</f>
        <v/>
      </c>
      <c r="S168" s="11">
        <f>IF($AF168="","",IF(INDEX(파견수련계획!$H$4:$H$203,$AF168)="","",INDEX(파견수련계획!$H$4:$H$203,$AF168)))</f>
        <v/>
      </c>
      <c r="T168" s="11">
        <f>IF($AF168="","",IF(INDEX(파견수련계획!$I$4:$I$203,$AF168)="","",INDEX(파견수련계획!$I$4:$I$203,$AF168)))</f>
        <v/>
      </c>
      <c r="U168" s="10">
        <f>IF($AF168="","",INDEX(파견수련계획!$X$4:$X$203,$AF168))</f>
        <v/>
      </c>
      <c r="V168" s="17">
        <f>IF($AF168="","",INDEX(파견수련계획!$V$4:$V$203,$AF168))</f>
        <v/>
      </c>
      <c r="W168" s="17">
        <f>IF(AND($U168="파견중",$T168&lt;&gt;""),$T168-TODAY(),"")</f>
        <v/>
      </c>
      <c r="X168" s="17">
        <f>IF(OR($B168="",TRIM($J168&amp;"")=""),"",SUMPRODUCT((파견수련계획!$Q$4:$Q$203=TRIM($J168&amp;""))*파견수련계획!$W$4:$W$203))</f>
        <v/>
      </c>
      <c r="Y168" s="10">
        <f>IF($B168="","",IF($AG168="","",IF(IF(TRIM($J168&amp;"")="",0,SUMPRODUCT((파견수련계획!$Q$4:$Q$203=TRIM($J168&amp;""))*파견수련계획!$AD$4:$AD$203))&gt;0,$AE168,IF(N($X168)&lt;=0,$AG168,IF($AH168+$AI168=DAY(EOMONTH(요약!$B$3,0)),IF(AND($AH168&gt;=요약!$E$3,$AI168&lt;요약!$E$3),"서울병원",IF(AND($AI168&gt;=요약!$E$3,$AH168&lt;요약!$E$3),"구리병원","⚠15일 판정불가(서울 "&amp;$AH168&amp;"일/구리 "&amp;$AI168&amp;"일)")),IF($AJ168="",$AE168,IF(INDEX(파견수련계획!$T$4:$T$203,$AJ168)="통합수련",INDEX(파견수련계획!$S$4:$S$203,$AJ168),$AE168)))))))</f>
        <v/>
      </c>
      <c r="Z168" s="19">
        <f>IF($B168="","",IF($AB168="","기본자료에 없는 사번",IF(COUNTIF($B$2:$B$201,$B168)&gt;1,"중복 사번",IF($AE168="","소속(입사장소) 입력",IF(IF(TRIM($J168&amp;"")="",0,SUMPRODUCT((파견수련계획!$Q$4:$Q$203=TRIM($J168&amp;""))*(파견수련계획!$AA$4:$AA$203&lt;&gt;"")))&gt;0,"파견수련계획 입력오류 확인",IF(LEFT($Y168,1)="⚠","서울·구리 15일 판정 불가(양쪽 모두 이상/미만)",IF(IF($AC168="",0,N(INDEX(인턴근무계획!$T$3:$T$202,$AC168)))&gt;0,"인턴계획 입력오류 확인",IF(AND($AC168&lt;&gt;"",$U168&lt;&gt;"파견중",$N168&lt;&gt;$AE168),"인턴 타지역 근무: 파견 여부 확인","정상"))))))))</f>
        <v/>
      </c>
      <c r="AA168" s="5" t="n"/>
      <c r="AB168" s="10">
        <f>IF($B168="","",IFERROR(MATCH($B168,기본자료!$B$2:$B$501,0),IFERROR(MATCH($B168&amp;"",기본자료!$B$2:$B$501,0),IFERROR(MATCH(VALUE($B168),기본자료!$B$2:$B$501,0),""))))</f>
        <v/>
      </c>
      <c r="AC168" s="10">
        <f>IF($B168="","",IFERROR(MATCH($B168,인턴근무계획!$D$3:$D$202,0),IFERROR(MATCH($B168&amp;"",인턴근무계획!$D$3:$D$202,0),IFERROR(MATCH(VALUE($B168),인턴근무계획!$D$3:$D$202,0),""))))</f>
        <v/>
      </c>
      <c r="AD168" s="10">
        <f>IF(OR($AC168="",인턴현황!$G$3=""),"",INDEX(인턴근무계획!$M$3:$R$202,$AC168,인턴현황!$G$3)&amp;"")</f>
        <v/>
      </c>
      <c r="AE168" s="10">
        <f>IF($B168="","",IF($M168&lt;&gt;"",$M168,IF($AF168&lt;&gt;"",IF(LEFT(INDEX(파견수련계획!$R$4:$R$203,$AF168),1)&lt;&gt;"⚠",INDEX(파견수련계획!$R$4:$R$203,$AF168),IF($H168="","",IF(RIGHT($H168,2)="병원",$H168,$H168&amp;"병원"))),IF($H168="","",IF(RIGHT($H168,2)="병원",$H168,$H168&amp;"병원")))))</f>
        <v/>
      </c>
      <c r="AF168" s="10">
        <f>IF(OR($B168="",TRIM($J168&amp;"")=""),"",IFERROR(MATCH(TRIM($J168&amp;"")&amp;"|파견중",파견수련계획!$Y$4:$Y$203,0),IFERROR(MATCH(TRIM($J168&amp;"")&amp;"|파견예정",파견수련계획!$Y$4:$Y$203,0),IFERROR(MATCH(TRIM($J168&amp;"")&amp;"|파견종료",파견수련계획!$Y$4:$Y$203,0),""))))</f>
        <v/>
      </c>
      <c r="AG168" s="10">
        <f>IF($B168="","",IF(AND(IF(OR($AC168="",인턴현황!$K$2=""),"",INDEX(인턴근무계획!$M$3:$R$202,$AC168,인턴현황!$K$2)&amp;"")&lt;&gt;"",LEFT(IF(OR($AC168="",인턴현황!$K$2=""),"",INDEX(인턴근무계획!$M$3:$R$202,$AC168,인턴현황!$K$2)&amp;""),1)&lt;&gt;"⚠"),LEFT(IF(OR($AC168="",인턴현황!$K$2=""),"",INDEX(인턴근무계획!$M$3:$R$202,$AC168,인턴현황!$K$2)&amp;""),FIND(" ",IF(OR($AC168="",인턴현황!$K$2=""),"",INDEX(인턴근무계획!$M$3:$R$202,$AC168,인턴현황!$K$2)&amp;""))-1),$AE168))</f>
        <v/>
      </c>
      <c r="AH168" s="17">
        <f>IF($B168="","",IF(TRIM($J168&amp;"")="",0,SUMPRODUCT((파견수련계획!$Q$4:$Q$203=TRIM($J168&amp;""))*(파견수련계획!$S$4:$S$203="서울병원")*파견수련계획!$W$4:$W$203))+IF($AG168="서울병원",MAX(0,DAY(EOMONTH(요약!$B$3,0))-N($X168)),0))</f>
        <v/>
      </c>
      <c r="AI168" s="17">
        <f>IF($B168="","",IF(TRIM($J168&amp;"")="",0,SUMPRODUCT((파견수련계획!$Q$4:$Q$203=TRIM($J168&amp;""))*(파견수련계획!$S$4:$S$203="구리병원")*파견수련계획!$W$4:$W$203))+IF($AG168="구리병원",MAX(0,DAY(EOMONTH(요약!$B$3,0))-N($X168)),0))</f>
        <v/>
      </c>
      <c r="AJ168" s="10">
        <f>IF(OR($B168="",TRIM($J168&amp;"")=""),"",IFERROR(MATCH(TRIM($J168&amp;"")&amp;"|월",파견수련계획!$Z$4:$Z$203,0),""))</f>
        <v/>
      </c>
      <c r="AK168" s="10">
        <f>IF(OR($B168="",TRIM($J168&amp;"")=""),"",IFERROR(MATCH(TRIM($J168&amp;"")&amp;"|다기관",파견수련계획!$AE$4:$AE$203,0),""))</f>
        <v/>
      </c>
      <c r="AL168" s="10">
        <f>IF($AK168="","","다기관 "&amp;TEXT(INDEX(파견수련계획!$AB$4:$AB$203,$AK168),"yyyy-mm-dd")&amp;"~"&amp;IF(ISNUMBER(INDEX(파견수련계획!$AC$4:$AC$203,$AK168)),TEXT(INDEX(파견수련계획!$AC$4:$AC$203,$AK168),"yyyy-mm-dd"),""))</f>
        <v/>
      </c>
    </row>
    <row r="169">
      <c r="A169" s="10">
        <f>IF(B169="","",ROW()-1)</f>
        <v/>
      </c>
      <c r="B169" s="18" t="n"/>
      <c r="C169" s="10">
        <f>IF($AB169="","",IF(INDEX(기본자료!$C$2:$C$501,$AB169)="","",INDEX(기본자료!$C$2:$C$501,$AB169)))</f>
        <v/>
      </c>
      <c r="D169" s="10">
        <f>IF($AB169="","",IF(INDEX(기본자료!$J$2:$J$501,$AB169)="","",INDEX(기본자료!$J$2:$J$501,$AB169)))</f>
        <v/>
      </c>
      <c r="E169" s="11">
        <f>IF($AB169="","",IF(INDEX(기본자료!$K$2:$K$501,$AB169)="","",IF(NOT(ISNUMBER(INDEX(기본자료!$K$2:$K$501,$AB169))),INDEX(기본자료!$K$2:$K$501,$AB169),IF(INDEX(기본자료!$K$2:$K$501,$AB169)&lt;1000000,INDEX(기본자료!$K$2:$K$501,$AB169),IF(AND(INDEX(기본자료!$K$2:$K$501,$AB169)&gt;=10000101,INT(MOD(INDEX(기본자료!$K$2:$K$501,$AB169),10000)/100)&gt;=1,INT(MOD(INDEX(기본자료!$K$2:$K$501,$AB169),10000)/100)&lt;=12,MOD(INDEX(기본자료!$K$2:$K$501,$AB169),100)&gt;=1,MOD(INDEX(기본자료!$K$2:$K$501,$AB169),100)&lt;=31),DATE(INT(INDEX(기본자료!$K$2:$K$501,$AB169)/10000),INT(MOD(INDEX(기본자료!$K$2:$K$501,$AB169),10000)/100),MOD(INDEX(기본자료!$K$2:$K$501,$AB169),100)),INDEX(기본자료!$K$2:$K$501,$AB169)&amp;"")))))</f>
        <v/>
      </c>
      <c r="F169" s="10">
        <f>IF($AB169="","",IF(INDEX(기본자료!$D$2:$D$501,$AB169)="","",INDEX(기본자료!$D$2:$D$501,$AB169)))</f>
        <v/>
      </c>
      <c r="G169" s="10">
        <f>IF($AB169="","",IF(INDEX(기본자료!$E$2:$E$501,$AB169)="","",INDEX(기본자료!$E$2:$E$501,$AB169)))</f>
        <v/>
      </c>
      <c r="H169" s="10">
        <f>IF($AB169="","",IF(INDEX(기본자료!$F$2:$F$501,$AB169)="","",INDEX(기본자료!$F$2:$F$501,$AB169)))</f>
        <v/>
      </c>
      <c r="I169" s="11">
        <f>IF($AB169="","",IF(INDEX(기본자료!$G$2:$G$501,$AB169)="","",IF(NOT(ISNUMBER(INDEX(기본자료!$G$2:$G$501,$AB169))),INDEX(기본자료!$G$2:$G$501,$AB169),IF(INDEX(기본자료!$G$2:$G$501,$AB169)&lt;1000000,INDEX(기본자료!$G$2:$G$501,$AB169),IF(AND(INDEX(기본자료!$G$2:$G$501,$AB169)&gt;=10000101,INT(MOD(INDEX(기본자료!$G$2:$G$501,$AB169),10000)/100)&gt;=1,INT(MOD(INDEX(기본자료!$G$2:$G$501,$AB169),10000)/100)&lt;=12,MOD(INDEX(기본자료!$G$2:$G$501,$AB169),100)&gt;=1,MOD(INDEX(기본자료!$G$2:$G$501,$AB169),100)&lt;=31),DATE(INT(INDEX(기본자료!$G$2:$G$501,$AB169)/10000),INT(MOD(INDEX(기본자료!$G$2:$G$501,$AB169),10000)/100),MOD(INDEX(기본자료!$G$2:$G$501,$AB169),100)),INDEX(기본자료!$G$2:$G$501,$AB169)&amp;"")))))</f>
        <v/>
      </c>
      <c r="J169" s="10">
        <f>IF($AB169="","",IF(INDEX(기본자료!$H$2:$H$501,$AB169)="","",INDEX(기본자료!$H$2:$H$501,$AB169)))</f>
        <v/>
      </c>
      <c r="K169" s="10">
        <f>IF($AB169="","",IF(INDEX(기본자료!$I$2:$I$501,$AB169)="","",INDEX(기본자료!$I$2:$I$501,$AB169)))</f>
        <v/>
      </c>
      <c r="L169" s="10">
        <f>IF($AB169="","",IF(INDEX(기본자료!$A$2:$A$501,$AB169)="","",INDEX(기본자료!$A$2:$A$501,$AB169)))</f>
        <v/>
      </c>
      <c r="M169" s="15" t="n"/>
      <c r="N169" s="10">
        <f>IF($B169="","",IF(AND($U169="파견중",$Q169&lt;&gt;""),$Q169,IF(AND($AD169&lt;&gt;"",LEFT($AD169,1)&lt;&gt;"⚠"),LEFT($AD169,FIND(" ",$AD169)-1),IF($H169="","",IF(RIGHT($H169,2)="병원",$H169,$H169&amp;"병원")))))</f>
        <v/>
      </c>
      <c r="O169" s="10">
        <f>IF($B169="","",IF(AND($U169="파견중",$Q169&lt;&gt;""),IF($R169&lt;&gt;"",$R169,"파견과 미입력"),IF(AND($AD169&lt;&gt;"",LEFT($AD169,1)&lt;&gt;"⚠"),MID($AD169,FIND(" ",$AD169)+1,60),IF($F169="","",IF($F169="인턴","수련교육부(인턴)",$F169)))))</f>
        <v/>
      </c>
      <c r="P169" s="10">
        <f>IF($B169="","",IF($AK169&lt;&gt;"",IF(AND(TODAY()&gt;=INDEX(파견수련계획!$AB$4:$AB$203,$AK169),OR(NOT(ISNUMBER(INDEX(파견수련계획!$AC$4:$AC$203,$AK169))),TODAY()&lt;=INDEX(파견수련계획!$AC$4:$AC$203,$AK169))),"다기관",IF($AF169="","",INDEX(파견수련계획!$T$4:$T$203,$AF169))),IF($AF169="","",INDEX(파견수련계획!$T$4:$T$203,$AF169))))</f>
        <v/>
      </c>
      <c r="Q169" s="10">
        <f>IF($AF169="","",INDEX(파견수련계획!$S$4:$S$203,$AF169))</f>
        <v/>
      </c>
      <c r="R169" s="10">
        <f>IF($AF169="","",INDEX(파견수련계획!$U$4:$U$203,$AF169))</f>
        <v/>
      </c>
      <c r="S169" s="11">
        <f>IF($AF169="","",IF(INDEX(파견수련계획!$H$4:$H$203,$AF169)="","",INDEX(파견수련계획!$H$4:$H$203,$AF169)))</f>
        <v/>
      </c>
      <c r="T169" s="11">
        <f>IF($AF169="","",IF(INDEX(파견수련계획!$I$4:$I$203,$AF169)="","",INDEX(파견수련계획!$I$4:$I$203,$AF169)))</f>
        <v/>
      </c>
      <c r="U169" s="10">
        <f>IF($AF169="","",INDEX(파견수련계획!$X$4:$X$203,$AF169))</f>
        <v/>
      </c>
      <c r="V169" s="17">
        <f>IF($AF169="","",INDEX(파견수련계획!$V$4:$V$203,$AF169))</f>
        <v/>
      </c>
      <c r="W169" s="17">
        <f>IF(AND($U169="파견중",$T169&lt;&gt;""),$T169-TODAY(),"")</f>
        <v/>
      </c>
      <c r="X169" s="17">
        <f>IF(OR($B169="",TRIM($J169&amp;"")=""),"",SUMPRODUCT((파견수련계획!$Q$4:$Q$203=TRIM($J169&amp;""))*파견수련계획!$W$4:$W$203))</f>
        <v/>
      </c>
      <c r="Y169" s="10">
        <f>IF($B169="","",IF($AG169="","",IF(IF(TRIM($J169&amp;"")="",0,SUMPRODUCT((파견수련계획!$Q$4:$Q$203=TRIM($J169&amp;""))*파견수련계획!$AD$4:$AD$203))&gt;0,$AE169,IF(N($X169)&lt;=0,$AG169,IF($AH169+$AI169=DAY(EOMONTH(요약!$B$3,0)),IF(AND($AH169&gt;=요약!$E$3,$AI169&lt;요약!$E$3),"서울병원",IF(AND($AI169&gt;=요약!$E$3,$AH169&lt;요약!$E$3),"구리병원","⚠15일 판정불가(서울 "&amp;$AH169&amp;"일/구리 "&amp;$AI169&amp;"일)")),IF($AJ169="",$AE169,IF(INDEX(파견수련계획!$T$4:$T$203,$AJ169)="통합수련",INDEX(파견수련계획!$S$4:$S$203,$AJ169),$AE169)))))))</f>
        <v/>
      </c>
      <c r="Z169" s="19">
        <f>IF($B169="","",IF($AB169="","기본자료에 없는 사번",IF(COUNTIF($B$2:$B$201,$B169)&gt;1,"중복 사번",IF($AE169="","소속(입사장소) 입력",IF(IF(TRIM($J169&amp;"")="",0,SUMPRODUCT((파견수련계획!$Q$4:$Q$203=TRIM($J169&amp;""))*(파견수련계획!$AA$4:$AA$203&lt;&gt;"")))&gt;0,"파견수련계획 입력오류 확인",IF(LEFT($Y169,1)="⚠","서울·구리 15일 판정 불가(양쪽 모두 이상/미만)",IF(IF($AC169="",0,N(INDEX(인턴근무계획!$T$3:$T$202,$AC169)))&gt;0,"인턴계획 입력오류 확인",IF(AND($AC169&lt;&gt;"",$U169&lt;&gt;"파견중",$N169&lt;&gt;$AE169),"인턴 타지역 근무: 파견 여부 확인","정상"))))))))</f>
        <v/>
      </c>
      <c r="AA169" s="5" t="n"/>
      <c r="AB169" s="10">
        <f>IF($B169="","",IFERROR(MATCH($B169,기본자료!$B$2:$B$501,0),IFERROR(MATCH($B169&amp;"",기본자료!$B$2:$B$501,0),IFERROR(MATCH(VALUE($B169),기본자료!$B$2:$B$501,0),""))))</f>
        <v/>
      </c>
      <c r="AC169" s="10">
        <f>IF($B169="","",IFERROR(MATCH($B169,인턴근무계획!$D$3:$D$202,0),IFERROR(MATCH($B169&amp;"",인턴근무계획!$D$3:$D$202,0),IFERROR(MATCH(VALUE($B169),인턴근무계획!$D$3:$D$202,0),""))))</f>
        <v/>
      </c>
      <c r="AD169" s="10">
        <f>IF(OR($AC169="",인턴현황!$G$3=""),"",INDEX(인턴근무계획!$M$3:$R$202,$AC169,인턴현황!$G$3)&amp;"")</f>
        <v/>
      </c>
      <c r="AE169" s="10">
        <f>IF($B169="","",IF($M169&lt;&gt;"",$M169,IF($AF169&lt;&gt;"",IF(LEFT(INDEX(파견수련계획!$R$4:$R$203,$AF169),1)&lt;&gt;"⚠",INDEX(파견수련계획!$R$4:$R$203,$AF169),IF($H169="","",IF(RIGHT($H169,2)="병원",$H169,$H169&amp;"병원"))),IF($H169="","",IF(RIGHT($H169,2)="병원",$H169,$H169&amp;"병원")))))</f>
        <v/>
      </c>
      <c r="AF169" s="10">
        <f>IF(OR($B169="",TRIM($J169&amp;"")=""),"",IFERROR(MATCH(TRIM($J169&amp;"")&amp;"|파견중",파견수련계획!$Y$4:$Y$203,0),IFERROR(MATCH(TRIM($J169&amp;"")&amp;"|파견예정",파견수련계획!$Y$4:$Y$203,0),IFERROR(MATCH(TRIM($J169&amp;"")&amp;"|파견종료",파견수련계획!$Y$4:$Y$203,0),""))))</f>
        <v/>
      </c>
      <c r="AG169" s="10">
        <f>IF($B169="","",IF(AND(IF(OR($AC169="",인턴현황!$K$2=""),"",INDEX(인턴근무계획!$M$3:$R$202,$AC169,인턴현황!$K$2)&amp;"")&lt;&gt;"",LEFT(IF(OR($AC169="",인턴현황!$K$2=""),"",INDEX(인턴근무계획!$M$3:$R$202,$AC169,인턴현황!$K$2)&amp;""),1)&lt;&gt;"⚠"),LEFT(IF(OR($AC169="",인턴현황!$K$2=""),"",INDEX(인턴근무계획!$M$3:$R$202,$AC169,인턴현황!$K$2)&amp;""),FIND(" ",IF(OR($AC169="",인턴현황!$K$2=""),"",INDEX(인턴근무계획!$M$3:$R$202,$AC169,인턴현황!$K$2)&amp;""))-1),$AE169))</f>
        <v/>
      </c>
      <c r="AH169" s="17">
        <f>IF($B169="","",IF(TRIM($J169&amp;"")="",0,SUMPRODUCT((파견수련계획!$Q$4:$Q$203=TRIM($J169&amp;""))*(파견수련계획!$S$4:$S$203="서울병원")*파견수련계획!$W$4:$W$203))+IF($AG169="서울병원",MAX(0,DAY(EOMONTH(요약!$B$3,0))-N($X169)),0))</f>
        <v/>
      </c>
      <c r="AI169" s="17">
        <f>IF($B169="","",IF(TRIM($J169&amp;"")="",0,SUMPRODUCT((파견수련계획!$Q$4:$Q$203=TRIM($J169&amp;""))*(파견수련계획!$S$4:$S$203="구리병원")*파견수련계획!$W$4:$W$203))+IF($AG169="구리병원",MAX(0,DAY(EOMONTH(요약!$B$3,0))-N($X169)),0))</f>
        <v/>
      </c>
      <c r="AJ169" s="10">
        <f>IF(OR($B169="",TRIM($J169&amp;"")=""),"",IFERROR(MATCH(TRIM($J169&amp;"")&amp;"|월",파견수련계획!$Z$4:$Z$203,0),""))</f>
        <v/>
      </c>
      <c r="AK169" s="10">
        <f>IF(OR($B169="",TRIM($J169&amp;"")=""),"",IFERROR(MATCH(TRIM($J169&amp;"")&amp;"|다기관",파견수련계획!$AE$4:$AE$203,0),""))</f>
        <v/>
      </c>
      <c r="AL169" s="10">
        <f>IF($AK169="","","다기관 "&amp;TEXT(INDEX(파견수련계획!$AB$4:$AB$203,$AK169),"yyyy-mm-dd")&amp;"~"&amp;IF(ISNUMBER(INDEX(파견수련계획!$AC$4:$AC$203,$AK169)),TEXT(INDEX(파견수련계획!$AC$4:$AC$203,$AK169),"yyyy-mm-dd"),""))</f>
        <v/>
      </c>
    </row>
    <row r="170">
      <c r="A170" s="10">
        <f>IF(B170="","",ROW()-1)</f>
        <v/>
      </c>
      <c r="B170" s="18" t="n"/>
      <c r="C170" s="10">
        <f>IF($AB170="","",IF(INDEX(기본자료!$C$2:$C$501,$AB170)="","",INDEX(기본자료!$C$2:$C$501,$AB170)))</f>
        <v/>
      </c>
      <c r="D170" s="10">
        <f>IF($AB170="","",IF(INDEX(기본자료!$J$2:$J$501,$AB170)="","",INDEX(기본자료!$J$2:$J$501,$AB170)))</f>
        <v/>
      </c>
      <c r="E170" s="11">
        <f>IF($AB170="","",IF(INDEX(기본자료!$K$2:$K$501,$AB170)="","",IF(NOT(ISNUMBER(INDEX(기본자료!$K$2:$K$501,$AB170))),INDEX(기본자료!$K$2:$K$501,$AB170),IF(INDEX(기본자료!$K$2:$K$501,$AB170)&lt;1000000,INDEX(기본자료!$K$2:$K$501,$AB170),IF(AND(INDEX(기본자료!$K$2:$K$501,$AB170)&gt;=10000101,INT(MOD(INDEX(기본자료!$K$2:$K$501,$AB170),10000)/100)&gt;=1,INT(MOD(INDEX(기본자료!$K$2:$K$501,$AB170),10000)/100)&lt;=12,MOD(INDEX(기본자료!$K$2:$K$501,$AB170),100)&gt;=1,MOD(INDEX(기본자료!$K$2:$K$501,$AB170),100)&lt;=31),DATE(INT(INDEX(기본자료!$K$2:$K$501,$AB170)/10000),INT(MOD(INDEX(기본자료!$K$2:$K$501,$AB170),10000)/100),MOD(INDEX(기본자료!$K$2:$K$501,$AB170),100)),INDEX(기본자료!$K$2:$K$501,$AB170)&amp;"")))))</f>
        <v/>
      </c>
      <c r="F170" s="10">
        <f>IF($AB170="","",IF(INDEX(기본자료!$D$2:$D$501,$AB170)="","",INDEX(기본자료!$D$2:$D$501,$AB170)))</f>
        <v/>
      </c>
      <c r="G170" s="10">
        <f>IF($AB170="","",IF(INDEX(기본자료!$E$2:$E$501,$AB170)="","",INDEX(기본자료!$E$2:$E$501,$AB170)))</f>
        <v/>
      </c>
      <c r="H170" s="10">
        <f>IF($AB170="","",IF(INDEX(기본자료!$F$2:$F$501,$AB170)="","",INDEX(기본자료!$F$2:$F$501,$AB170)))</f>
        <v/>
      </c>
      <c r="I170" s="11">
        <f>IF($AB170="","",IF(INDEX(기본자료!$G$2:$G$501,$AB170)="","",IF(NOT(ISNUMBER(INDEX(기본자료!$G$2:$G$501,$AB170))),INDEX(기본자료!$G$2:$G$501,$AB170),IF(INDEX(기본자료!$G$2:$G$501,$AB170)&lt;1000000,INDEX(기본자료!$G$2:$G$501,$AB170),IF(AND(INDEX(기본자료!$G$2:$G$501,$AB170)&gt;=10000101,INT(MOD(INDEX(기본자료!$G$2:$G$501,$AB170),10000)/100)&gt;=1,INT(MOD(INDEX(기본자료!$G$2:$G$501,$AB170),10000)/100)&lt;=12,MOD(INDEX(기본자료!$G$2:$G$501,$AB170),100)&gt;=1,MOD(INDEX(기본자료!$G$2:$G$501,$AB170),100)&lt;=31),DATE(INT(INDEX(기본자료!$G$2:$G$501,$AB170)/10000),INT(MOD(INDEX(기본자료!$G$2:$G$501,$AB170),10000)/100),MOD(INDEX(기본자료!$G$2:$G$501,$AB170),100)),INDEX(기본자료!$G$2:$G$501,$AB170)&amp;"")))))</f>
        <v/>
      </c>
      <c r="J170" s="10">
        <f>IF($AB170="","",IF(INDEX(기본자료!$H$2:$H$501,$AB170)="","",INDEX(기본자료!$H$2:$H$501,$AB170)))</f>
        <v/>
      </c>
      <c r="K170" s="10">
        <f>IF($AB170="","",IF(INDEX(기본자료!$I$2:$I$501,$AB170)="","",INDEX(기본자료!$I$2:$I$501,$AB170)))</f>
        <v/>
      </c>
      <c r="L170" s="10">
        <f>IF($AB170="","",IF(INDEX(기본자료!$A$2:$A$501,$AB170)="","",INDEX(기본자료!$A$2:$A$501,$AB170)))</f>
        <v/>
      </c>
      <c r="M170" s="15" t="n"/>
      <c r="N170" s="10">
        <f>IF($B170="","",IF(AND($U170="파견중",$Q170&lt;&gt;""),$Q170,IF(AND($AD170&lt;&gt;"",LEFT($AD170,1)&lt;&gt;"⚠"),LEFT($AD170,FIND(" ",$AD170)-1),IF($H170="","",IF(RIGHT($H170,2)="병원",$H170,$H170&amp;"병원")))))</f>
        <v/>
      </c>
      <c r="O170" s="10">
        <f>IF($B170="","",IF(AND($U170="파견중",$Q170&lt;&gt;""),IF($R170&lt;&gt;"",$R170,"파견과 미입력"),IF(AND($AD170&lt;&gt;"",LEFT($AD170,1)&lt;&gt;"⚠"),MID($AD170,FIND(" ",$AD170)+1,60),IF($F170="","",IF($F170="인턴","수련교육부(인턴)",$F170)))))</f>
        <v/>
      </c>
      <c r="P170" s="10">
        <f>IF($B170="","",IF($AK170&lt;&gt;"",IF(AND(TODAY()&gt;=INDEX(파견수련계획!$AB$4:$AB$203,$AK170),OR(NOT(ISNUMBER(INDEX(파견수련계획!$AC$4:$AC$203,$AK170))),TODAY()&lt;=INDEX(파견수련계획!$AC$4:$AC$203,$AK170))),"다기관",IF($AF170="","",INDEX(파견수련계획!$T$4:$T$203,$AF170))),IF($AF170="","",INDEX(파견수련계획!$T$4:$T$203,$AF170))))</f>
        <v/>
      </c>
      <c r="Q170" s="10">
        <f>IF($AF170="","",INDEX(파견수련계획!$S$4:$S$203,$AF170))</f>
        <v/>
      </c>
      <c r="R170" s="10">
        <f>IF($AF170="","",INDEX(파견수련계획!$U$4:$U$203,$AF170))</f>
        <v/>
      </c>
      <c r="S170" s="11">
        <f>IF($AF170="","",IF(INDEX(파견수련계획!$H$4:$H$203,$AF170)="","",INDEX(파견수련계획!$H$4:$H$203,$AF170)))</f>
        <v/>
      </c>
      <c r="T170" s="11">
        <f>IF($AF170="","",IF(INDEX(파견수련계획!$I$4:$I$203,$AF170)="","",INDEX(파견수련계획!$I$4:$I$203,$AF170)))</f>
        <v/>
      </c>
      <c r="U170" s="10">
        <f>IF($AF170="","",INDEX(파견수련계획!$X$4:$X$203,$AF170))</f>
        <v/>
      </c>
      <c r="V170" s="17">
        <f>IF($AF170="","",INDEX(파견수련계획!$V$4:$V$203,$AF170))</f>
        <v/>
      </c>
      <c r="W170" s="17">
        <f>IF(AND($U170="파견중",$T170&lt;&gt;""),$T170-TODAY(),"")</f>
        <v/>
      </c>
      <c r="X170" s="17">
        <f>IF(OR($B170="",TRIM($J170&amp;"")=""),"",SUMPRODUCT((파견수련계획!$Q$4:$Q$203=TRIM($J170&amp;""))*파견수련계획!$W$4:$W$203))</f>
        <v/>
      </c>
      <c r="Y170" s="10">
        <f>IF($B170="","",IF($AG170="","",IF(IF(TRIM($J170&amp;"")="",0,SUMPRODUCT((파견수련계획!$Q$4:$Q$203=TRIM($J170&amp;""))*파견수련계획!$AD$4:$AD$203))&gt;0,$AE170,IF(N($X170)&lt;=0,$AG170,IF($AH170+$AI170=DAY(EOMONTH(요약!$B$3,0)),IF(AND($AH170&gt;=요약!$E$3,$AI170&lt;요약!$E$3),"서울병원",IF(AND($AI170&gt;=요약!$E$3,$AH170&lt;요약!$E$3),"구리병원","⚠15일 판정불가(서울 "&amp;$AH170&amp;"일/구리 "&amp;$AI170&amp;"일)")),IF($AJ170="",$AE170,IF(INDEX(파견수련계획!$T$4:$T$203,$AJ170)="통합수련",INDEX(파견수련계획!$S$4:$S$203,$AJ170),$AE170)))))))</f>
        <v/>
      </c>
      <c r="Z170" s="19">
        <f>IF($B170="","",IF($AB170="","기본자료에 없는 사번",IF(COUNTIF($B$2:$B$201,$B170)&gt;1,"중복 사번",IF($AE170="","소속(입사장소) 입력",IF(IF(TRIM($J170&amp;"")="",0,SUMPRODUCT((파견수련계획!$Q$4:$Q$203=TRIM($J170&amp;""))*(파견수련계획!$AA$4:$AA$203&lt;&gt;"")))&gt;0,"파견수련계획 입력오류 확인",IF(LEFT($Y170,1)="⚠","서울·구리 15일 판정 불가(양쪽 모두 이상/미만)",IF(IF($AC170="",0,N(INDEX(인턴근무계획!$T$3:$T$202,$AC170)))&gt;0,"인턴계획 입력오류 확인",IF(AND($AC170&lt;&gt;"",$U170&lt;&gt;"파견중",$N170&lt;&gt;$AE170),"인턴 타지역 근무: 파견 여부 확인","정상"))))))))</f>
        <v/>
      </c>
      <c r="AA170" s="5" t="n"/>
      <c r="AB170" s="10">
        <f>IF($B170="","",IFERROR(MATCH($B170,기본자료!$B$2:$B$501,0),IFERROR(MATCH($B170&amp;"",기본자료!$B$2:$B$501,0),IFERROR(MATCH(VALUE($B170),기본자료!$B$2:$B$501,0),""))))</f>
        <v/>
      </c>
      <c r="AC170" s="10">
        <f>IF($B170="","",IFERROR(MATCH($B170,인턴근무계획!$D$3:$D$202,0),IFERROR(MATCH($B170&amp;"",인턴근무계획!$D$3:$D$202,0),IFERROR(MATCH(VALUE($B170),인턴근무계획!$D$3:$D$202,0),""))))</f>
        <v/>
      </c>
      <c r="AD170" s="10">
        <f>IF(OR($AC170="",인턴현황!$G$3=""),"",INDEX(인턴근무계획!$M$3:$R$202,$AC170,인턴현황!$G$3)&amp;"")</f>
        <v/>
      </c>
      <c r="AE170" s="10">
        <f>IF($B170="","",IF($M170&lt;&gt;"",$M170,IF($AF170&lt;&gt;"",IF(LEFT(INDEX(파견수련계획!$R$4:$R$203,$AF170),1)&lt;&gt;"⚠",INDEX(파견수련계획!$R$4:$R$203,$AF170),IF($H170="","",IF(RIGHT($H170,2)="병원",$H170,$H170&amp;"병원"))),IF($H170="","",IF(RIGHT($H170,2)="병원",$H170,$H170&amp;"병원")))))</f>
        <v/>
      </c>
      <c r="AF170" s="10">
        <f>IF(OR($B170="",TRIM($J170&amp;"")=""),"",IFERROR(MATCH(TRIM($J170&amp;"")&amp;"|파견중",파견수련계획!$Y$4:$Y$203,0),IFERROR(MATCH(TRIM($J170&amp;"")&amp;"|파견예정",파견수련계획!$Y$4:$Y$203,0),IFERROR(MATCH(TRIM($J170&amp;"")&amp;"|파견종료",파견수련계획!$Y$4:$Y$203,0),""))))</f>
        <v/>
      </c>
      <c r="AG170" s="10">
        <f>IF($B170="","",IF(AND(IF(OR($AC170="",인턴현황!$K$2=""),"",INDEX(인턴근무계획!$M$3:$R$202,$AC170,인턴현황!$K$2)&amp;"")&lt;&gt;"",LEFT(IF(OR($AC170="",인턴현황!$K$2=""),"",INDEX(인턴근무계획!$M$3:$R$202,$AC170,인턴현황!$K$2)&amp;""),1)&lt;&gt;"⚠"),LEFT(IF(OR($AC170="",인턴현황!$K$2=""),"",INDEX(인턴근무계획!$M$3:$R$202,$AC170,인턴현황!$K$2)&amp;""),FIND(" ",IF(OR($AC170="",인턴현황!$K$2=""),"",INDEX(인턴근무계획!$M$3:$R$202,$AC170,인턴현황!$K$2)&amp;""))-1),$AE170))</f>
        <v/>
      </c>
      <c r="AH170" s="17">
        <f>IF($B170="","",IF(TRIM($J170&amp;"")="",0,SUMPRODUCT((파견수련계획!$Q$4:$Q$203=TRIM($J170&amp;""))*(파견수련계획!$S$4:$S$203="서울병원")*파견수련계획!$W$4:$W$203))+IF($AG170="서울병원",MAX(0,DAY(EOMONTH(요약!$B$3,0))-N($X170)),0))</f>
        <v/>
      </c>
      <c r="AI170" s="17">
        <f>IF($B170="","",IF(TRIM($J170&amp;"")="",0,SUMPRODUCT((파견수련계획!$Q$4:$Q$203=TRIM($J170&amp;""))*(파견수련계획!$S$4:$S$203="구리병원")*파견수련계획!$W$4:$W$203))+IF($AG170="구리병원",MAX(0,DAY(EOMONTH(요약!$B$3,0))-N($X170)),0))</f>
        <v/>
      </c>
      <c r="AJ170" s="10">
        <f>IF(OR($B170="",TRIM($J170&amp;"")=""),"",IFERROR(MATCH(TRIM($J170&amp;"")&amp;"|월",파견수련계획!$Z$4:$Z$203,0),""))</f>
        <v/>
      </c>
      <c r="AK170" s="10">
        <f>IF(OR($B170="",TRIM($J170&amp;"")=""),"",IFERROR(MATCH(TRIM($J170&amp;"")&amp;"|다기관",파견수련계획!$AE$4:$AE$203,0),""))</f>
        <v/>
      </c>
      <c r="AL170" s="10">
        <f>IF($AK170="","","다기관 "&amp;TEXT(INDEX(파견수련계획!$AB$4:$AB$203,$AK170),"yyyy-mm-dd")&amp;"~"&amp;IF(ISNUMBER(INDEX(파견수련계획!$AC$4:$AC$203,$AK170)),TEXT(INDEX(파견수련계획!$AC$4:$AC$203,$AK170),"yyyy-mm-dd"),""))</f>
        <v/>
      </c>
    </row>
    <row r="171">
      <c r="A171" s="10">
        <f>IF(B171="","",ROW()-1)</f>
        <v/>
      </c>
      <c r="B171" s="18" t="n"/>
      <c r="C171" s="10">
        <f>IF($AB171="","",IF(INDEX(기본자료!$C$2:$C$501,$AB171)="","",INDEX(기본자료!$C$2:$C$501,$AB171)))</f>
        <v/>
      </c>
      <c r="D171" s="10">
        <f>IF($AB171="","",IF(INDEX(기본자료!$J$2:$J$501,$AB171)="","",INDEX(기본자료!$J$2:$J$501,$AB171)))</f>
        <v/>
      </c>
      <c r="E171" s="11">
        <f>IF($AB171="","",IF(INDEX(기본자료!$K$2:$K$501,$AB171)="","",IF(NOT(ISNUMBER(INDEX(기본자료!$K$2:$K$501,$AB171))),INDEX(기본자료!$K$2:$K$501,$AB171),IF(INDEX(기본자료!$K$2:$K$501,$AB171)&lt;1000000,INDEX(기본자료!$K$2:$K$501,$AB171),IF(AND(INDEX(기본자료!$K$2:$K$501,$AB171)&gt;=10000101,INT(MOD(INDEX(기본자료!$K$2:$K$501,$AB171),10000)/100)&gt;=1,INT(MOD(INDEX(기본자료!$K$2:$K$501,$AB171),10000)/100)&lt;=12,MOD(INDEX(기본자료!$K$2:$K$501,$AB171),100)&gt;=1,MOD(INDEX(기본자료!$K$2:$K$501,$AB171),100)&lt;=31),DATE(INT(INDEX(기본자료!$K$2:$K$501,$AB171)/10000),INT(MOD(INDEX(기본자료!$K$2:$K$501,$AB171),10000)/100),MOD(INDEX(기본자료!$K$2:$K$501,$AB171),100)),INDEX(기본자료!$K$2:$K$501,$AB171)&amp;"")))))</f>
        <v/>
      </c>
      <c r="F171" s="10">
        <f>IF($AB171="","",IF(INDEX(기본자료!$D$2:$D$501,$AB171)="","",INDEX(기본자료!$D$2:$D$501,$AB171)))</f>
        <v/>
      </c>
      <c r="G171" s="10">
        <f>IF($AB171="","",IF(INDEX(기본자료!$E$2:$E$501,$AB171)="","",INDEX(기본자료!$E$2:$E$501,$AB171)))</f>
        <v/>
      </c>
      <c r="H171" s="10">
        <f>IF($AB171="","",IF(INDEX(기본자료!$F$2:$F$501,$AB171)="","",INDEX(기본자료!$F$2:$F$501,$AB171)))</f>
        <v/>
      </c>
      <c r="I171" s="11">
        <f>IF($AB171="","",IF(INDEX(기본자료!$G$2:$G$501,$AB171)="","",IF(NOT(ISNUMBER(INDEX(기본자료!$G$2:$G$501,$AB171))),INDEX(기본자료!$G$2:$G$501,$AB171),IF(INDEX(기본자료!$G$2:$G$501,$AB171)&lt;1000000,INDEX(기본자료!$G$2:$G$501,$AB171),IF(AND(INDEX(기본자료!$G$2:$G$501,$AB171)&gt;=10000101,INT(MOD(INDEX(기본자료!$G$2:$G$501,$AB171),10000)/100)&gt;=1,INT(MOD(INDEX(기본자료!$G$2:$G$501,$AB171),10000)/100)&lt;=12,MOD(INDEX(기본자료!$G$2:$G$501,$AB171),100)&gt;=1,MOD(INDEX(기본자료!$G$2:$G$501,$AB171),100)&lt;=31),DATE(INT(INDEX(기본자료!$G$2:$G$501,$AB171)/10000),INT(MOD(INDEX(기본자료!$G$2:$G$501,$AB171),10000)/100),MOD(INDEX(기본자료!$G$2:$G$501,$AB171),100)),INDEX(기본자료!$G$2:$G$501,$AB171)&amp;"")))))</f>
        <v/>
      </c>
      <c r="J171" s="10">
        <f>IF($AB171="","",IF(INDEX(기본자료!$H$2:$H$501,$AB171)="","",INDEX(기본자료!$H$2:$H$501,$AB171)))</f>
        <v/>
      </c>
      <c r="K171" s="10">
        <f>IF($AB171="","",IF(INDEX(기본자료!$I$2:$I$501,$AB171)="","",INDEX(기본자료!$I$2:$I$501,$AB171)))</f>
        <v/>
      </c>
      <c r="L171" s="10">
        <f>IF($AB171="","",IF(INDEX(기본자료!$A$2:$A$501,$AB171)="","",INDEX(기본자료!$A$2:$A$501,$AB171)))</f>
        <v/>
      </c>
      <c r="M171" s="15" t="n"/>
      <c r="N171" s="10">
        <f>IF($B171="","",IF(AND($U171="파견중",$Q171&lt;&gt;""),$Q171,IF(AND($AD171&lt;&gt;"",LEFT($AD171,1)&lt;&gt;"⚠"),LEFT($AD171,FIND(" ",$AD171)-1),IF($H171="","",IF(RIGHT($H171,2)="병원",$H171,$H171&amp;"병원")))))</f>
        <v/>
      </c>
      <c r="O171" s="10">
        <f>IF($B171="","",IF(AND($U171="파견중",$Q171&lt;&gt;""),IF($R171&lt;&gt;"",$R171,"파견과 미입력"),IF(AND($AD171&lt;&gt;"",LEFT($AD171,1)&lt;&gt;"⚠"),MID($AD171,FIND(" ",$AD171)+1,60),IF($F171="","",IF($F171="인턴","수련교육부(인턴)",$F171)))))</f>
        <v/>
      </c>
      <c r="P171" s="10">
        <f>IF($B171="","",IF($AK171&lt;&gt;"",IF(AND(TODAY()&gt;=INDEX(파견수련계획!$AB$4:$AB$203,$AK171),OR(NOT(ISNUMBER(INDEX(파견수련계획!$AC$4:$AC$203,$AK171))),TODAY()&lt;=INDEX(파견수련계획!$AC$4:$AC$203,$AK171))),"다기관",IF($AF171="","",INDEX(파견수련계획!$T$4:$T$203,$AF171))),IF($AF171="","",INDEX(파견수련계획!$T$4:$T$203,$AF171))))</f>
        <v/>
      </c>
      <c r="Q171" s="10">
        <f>IF($AF171="","",INDEX(파견수련계획!$S$4:$S$203,$AF171))</f>
        <v/>
      </c>
      <c r="R171" s="10">
        <f>IF($AF171="","",INDEX(파견수련계획!$U$4:$U$203,$AF171))</f>
        <v/>
      </c>
      <c r="S171" s="11">
        <f>IF($AF171="","",IF(INDEX(파견수련계획!$H$4:$H$203,$AF171)="","",INDEX(파견수련계획!$H$4:$H$203,$AF171)))</f>
        <v/>
      </c>
      <c r="T171" s="11">
        <f>IF($AF171="","",IF(INDEX(파견수련계획!$I$4:$I$203,$AF171)="","",INDEX(파견수련계획!$I$4:$I$203,$AF171)))</f>
        <v/>
      </c>
      <c r="U171" s="10">
        <f>IF($AF171="","",INDEX(파견수련계획!$X$4:$X$203,$AF171))</f>
        <v/>
      </c>
      <c r="V171" s="17">
        <f>IF($AF171="","",INDEX(파견수련계획!$V$4:$V$203,$AF171))</f>
        <v/>
      </c>
      <c r="W171" s="17">
        <f>IF(AND($U171="파견중",$T171&lt;&gt;""),$T171-TODAY(),"")</f>
        <v/>
      </c>
      <c r="X171" s="17">
        <f>IF(OR($B171="",TRIM($J171&amp;"")=""),"",SUMPRODUCT((파견수련계획!$Q$4:$Q$203=TRIM($J171&amp;""))*파견수련계획!$W$4:$W$203))</f>
        <v/>
      </c>
      <c r="Y171" s="10">
        <f>IF($B171="","",IF($AG171="","",IF(IF(TRIM($J171&amp;"")="",0,SUMPRODUCT((파견수련계획!$Q$4:$Q$203=TRIM($J171&amp;""))*파견수련계획!$AD$4:$AD$203))&gt;0,$AE171,IF(N($X171)&lt;=0,$AG171,IF($AH171+$AI171=DAY(EOMONTH(요약!$B$3,0)),IF(AND($AH171&gt;=요약!$E$3,$AI171&lt;요약!$E$3),"서울병원",IF(AND($AI171&gt;=요약!$E$3,$AH171&lt;요약!$E$3),"구리병원","⚠15일 판정불가(서울 "&amp;$AH171&amp;"일/구리 "&amp;$AI171&amp;"일)")),IF($AJ171="",$AE171,IF(INDEX(파견수련계획!$T$4:$T$203,$AJ171)="통합수련",INDEX(파견수련계획!$S$4:$S$203,$AJ171),$AE171)))))))</f>
        <v/>
      </c>
      <c r="Z171" s="19">
        <f>IF($B171="","",IF($AB171="","기본자료에 없는 사번",IF(COUNTIF($B$2:$B$201,$B171)&gt;1,"중복 사번",IF($AE171="","소속(입사장소) 입력",IF(IF(TRIM($J171&amp;"")="",0,SUMPRODUCT((파견수련계획!$Q$4:$Q$203=TRIM($J171&amp;""))*(파견수련계획!$AA$4:$AA$203&lt;&gt;"")))&gt;0,"파견수련계획 입력오류 확인",IF(LEFT($Y171,1)="⚠","서울·구리 15일 판정 불가(양쪽 모두 이상/미만)",IF(IF($AC171="",0,N(INDEX(인턴근무계획!$T$3:$T$202,$AC171)))&gt;0,"인턴계획 입력오류 확인",IF(AND($AC171&lt;&gt;"",$U171&lt;&gt;"파견중",$N171&lt;&gt;$AE171),"인턴 타지역 근무: 파견 여부 확인","정상"))))))))</f>
        <v/>
      </c>
      <c r="AA171" s="5" t="n"/>
      <c r="AB171" s="10">
        <f>IF($B171="","",IFERROR(MATCH($B171,기본자료!$B$2:$B$501,0),IFERROR(MATCH($B171&amp;"",기본자료!$B$2:$B$501,0),IFERROR(MATCH(VALUE($B171),기본자료!$B$2:$B$501,0),""))))</f>
        <v/>
      </c>
      <c r="AC171" s="10">
        <f>IF($B171="","",IFERROR(MATCH($B171,인턴근무계획!$D$3:$D$202,0),IFERROR(MATCH($B171&amp;"",인턴근무계획!$D$3:$D$202,0),IFERROR(MATCH(VALUE($B171),인턴근무계획!$D$3:$D$202,0),""))))</f>
        <v/>
      </c>
      <c r="AD171" s="10">
        <f>IF(OR($AC171="",인턴현황!$G$3=""),"",INDEX(인턴근무계획!$M$3:$R$202,$AC171,인턴현황!$G$3)&amp;"")</f>
        <v/>
      </c>
      <c r="AE171" s="10">
        <f>IF($B171="","",IF($M171&lt;&gt;"",$M171,IF($AF171&lt;&gt;"",IF(LEFT(INDEX(파견수련계획!$R$4:$R$203,$AF171),1)&lt;&gt;"⚠",INDEX(파견수련계획!$R$4:$R$203,$AF171),IF($H171="","",IF(RIGHT($H171,2)="병원",$H171,$H171&amp;"병원"))),IF($H171="","",IF(RIGHT($H171,2)="병원",$H171,$H171&amp;"병원")))))</f>
        <v/>
      </c>
      <c r="AF171" s="10">
        <f>IF(OR($B171="",TRIM($J171&amp;"")=""),"",IFERROR(MATCH(TRIM($J171&amp;"")&amp;"|파견중",파견수련계획!$Y$4:$Y$203,0),IFERROR(MATCH(TRIM($J171&amp;"")&amp;"|파견예정",파견수련계획!$Y$4:$Y$203,0),IFERROR(MATCH(TRIM($J171&amp;"")&amp;"|파견종료",파견수련계획!$Y$4:$Y$203,0),""))))</f>
        <v/>
      </c>
      <c r="AG171" s="10">
        <f>IF($B171="","",IF(AND(IF(OR($AC171="",인턴현황!$K$2=""),"",INDEX(인턴근무계획!$M$3:$R$202,$AC171,인턴현황!$K$2)&amp;"")&lt;&gt;"",LEFT(IF(OR($AC171="",인턴현황!$K$2=""),"",INDEX(인턴근무계획!$M$3:$R$202,$AC171,인턴현황!$K$2)&amp;""),1)&lt;&gt;"⚠"),LEFT(IF(OR($AC171="",인턴현황!$K$2=""),"",INDEX(인턴근무계획!$M$3:$R$202,$AC171,인턴현황!$K$2)&amp;""),FIND(" ",IF(OR($AC171="",인턴현황!$K$2=""),"",INDEX(인턴근무계획!$M$3:$R$202,$AC171,인턴현황!$K$2)&amp;""))-1),$AE171))</f>
        <v/>
      </c>
      <c r="AH171" s="17">
        <f>IF($B171="","",IF(TRIM($J171&amp;"")="",0,SUMPRODUCT((파견수련계획!$Q$4:$Q$203=TRIM($J171&amp;""))*(파견수련계획!$S$4:$S$203="서울병원")*파견수련계획!$W$4:$W$203))+IF($AG171="서울병원",MAX(0,DAY(EOMONTH(요약!$B$3,0))-N($X171)),0))</f>
        <v/>
      </c>
      <c r="AI171" s="17">
        <f>IF($B171="","",IF(TRIM($J171&amp;"")="",0,SUMPRODUCT((파견수련계획!$Q$4:$Q$203=TRIM($J171&amp;""))*(파견수련계획!$S$4:$S$203="구리병원")*파견수련계획!$W$4:$W$203))+IF($AG171="구리병원",MAX(0,DAY(EOMONTH(요약!$B$3,0))-N($X171)),0))</f>
        <v/>
      </c>
      <c r="AJ171" s="10">
        <f>IF(OR($B171="",TRIM($J171&amp;"")=""),"",IFERROR(MATCH(TRIM($J171&amp;"")&amp;"|월",파견수련계획!$Z$4:$Z$203,0),""))</f>
        <v/>
      </c>
      <c r="AK171" s="10">
        <f>IF(OR($B171="",TRIM($J171&amp;"")=""),"",IFERROR(MATCH(TRIM($J171&amp;"")&amp;"|다기관",파견수련계획!$AE$4:$AE$203,0),""))</f>
        <v/>
      </c>
      <c r="AL171" s="10">
        <f>IF($AK171="","","다기관 "&amp;TEXT(INDEX(파견수련계획!$AB$4:$AB$203,$AK171),"yyyy-mm-dd")&amp;"~"&amp;IF(ISNUMBER(INDEX(파견수련계획!$AC$4:$AC$203,$AK171)),TEXT(INDEX(파견수련계획!$AC$4:$AC$203,$AK171),"yyyy-mm-dd"),""))</f>
        <v/>
      </c>
    </row>
    <row r="172">
      <c r="A172" s="10">
        <f>IF(B172="","",ROW()-1)</f>
        <v/>
      </c>
      <c r="B172" s="18" t="n"/>
      <c r="C172" s="10">
        <f>IF($AB172="","",IF(INDEX(기본자료!$C$2:$C$501,$AB172)="","",INDEX(기본자료!$C$2:$C$501,$AB172)))</f>
        <v/>
      </c>
      <c r="D172" s="10">
        <f>IF($AB172="","",IF(INDEX(기본자료!$J$2:$J$501,$AB172)="","",INDEX(기본자료!$J$2:$J$501,$AB172)))</f>
        <v/>
      </c>
      <c r="E172" s="11">
        <f>IF($AB172="","",IF(INDEX(기본자료!$K$2:$K$501,$AB172)="","",IF(NOT(ISNUMBER(INDEX(기본자료!$K$2:$K$501,$AB172))),INDEX(기본자료!$K$2:$K$501,$AB172),IF(INDEX(기본자료!$K$2:$K$501,$AB172)&lt;1000000,INDEX(기본자료!$K$2:$K$501,$AB172),IF(AND(INDEX(기본자료!$K$2:$K$501,$AB172)&gt;=10000101,INT(MOD(INDEX(기본자료!$K$2:$K$501,$AB172),10000)/100)&gt;=1,INT(MOD(INDEX(기본자료!$K$2:$K$501,$AB172),10000)/100)&lt;=12,MOD(INDEX(기본자료!$K$2:$K$501,$AB172),100)&gt;=1,MOD(INDEX(기본자료!$K$2:$K$501,$AB172),100)&lt;=31),DATE(INT(INDEX(기본자료!$K$2:$K$501,$AB172)/10000),INT(MOD(INDEX(기본자료!$K$2:$K$501,$AB172),10000)/100),MOD(INDEX(기본자료!$K$2:$K$501,$AB172),100)),INDEX(기본자료!$K$2:$K$501,$AB172)&amp;"")))))</f>
        <v/>
      </c>
      <c r="F172" s="10">
        <f>IF($AB172="","",IF(INDEX(기본자료!$D$2:$D$501,$AB172)="","",INDEX(기본자료!$D$2:$D$501,$AB172)))</f>
        <v/>
      </c>
      <c r="G172" s="10">
        <f>IF($AB172="","",IF(INDEX(기본자료!$E$2:$E$501,$AB172)="","",INDEX(기본자료!$E$2:$E$501,$AB172)))</f>
        <v/>
      </c>
      <c r="H172" s="10">
        <f>IF($AB172="","",IF(INDEX(기본자료!$F$2:$F$501,$AB172)="","",INDEX(기본자료!$F$2:$F$501,$AB172)))</f>
        <v/>
      </c>
      <c r="I172" s="11">
        <f>IF($AB172="","",IF(INDEX(기본자료!$G$2:$G$501,$AB172)="","",IF(NOT(ISNUMBER(INDEX(기본자료!$G$2:$G$501,$AB172))),INDEX(기본자료!$G$2:$G$501,$AB172),IF(INDEX(기본자료!$G$2:$G$501,$AB172)&lt;1000000,INDEX(기본자료!$G$2:$G$501,$AB172),IF(AND(INDEX(기본자료!$G$2:$G$501,$AB172)&gt;=10000101,INT(MOD(INDEX(기본자료!$G$2:$G$501,$AB172),10000)/100)&gt;=1,INT(MOD(INDEX(기본자료!$G$2:$G$501,$AB172),10000)/100)&lt;=12,MOD(INDEX(기본자료!$G$2:$G$501,$AB172),100)&gt;=1,MOD(INDEX(기본자료!$G$2:$G$501,$AB172),100)&lt;=31),DATE(INT(INDEX(기본자료!$G$2:$G$501,$AB172)/10000),INT(MOD(INDEX(기본자료!$G$2:$G$501,$AB172),10000)/100),MOD(INDEX(기본자료!$G$2:$G$501,$AB172),100)),INDEX(기본자료!$G$2:$G$501,$AB172)&amp;"")))))</f>
        <v/>
      </c>
      <c r="J172" s="10">
        <f>IF($AB172="","",IF(INDEX(기본자료!$H$2:$H$501,$AB172)="","",INDEX(기본자료!$H$2:$H$501,$AB172)))</f>
        <v/>
      </c>
      <c r="K172" s="10">
        <f>IF($AB172="","",IF(INDEX(기본자료!$I$2:$I$501,$AB172)="","",INDEX(기본자료!$I$2:$I$501,$AB172)))</f>
        <v/>
      </c>
      <c r="L172" s="10">
        <f>IF($AB172="","",IF(INDEX(기본자료!$A$2:$A$501,$AB172)="","",INDEX(기본자료!$A$2:$A$501,$AB172)))</f>
        <v/>
      </c>
      <c r="M172" s="15" t="n"/>
      <c r="N172" s="10">
        <f>IF($B172="","",IF(AND($U172="파견중",$Q172&lt;&gt;""),$Q172,IF(AND($AD172&lt;&gt;"",LEFT($AD172,1)&lt;&gt;"⚠"),LEFT($AD172,FIND(" ",$AD172)-1),IF($H172="","",IF(RIGHT($H172,2)="병원",$H172,$H172&amp;"병원")))))</f>
        <v/>
      </c>
      <c r="O172" s="10">
        <f>IF($B172="","",IF(AND($U172="파견중",$Q172&lt;&gt;""),IF($R172&lt;&gt;"",$R172,"파견과 미입력"),IF(AND($AD172&lt;&gt;"",LEFT($AD172,1)&lt;&gt;"⚠"),MID($AD172,FIND(" ",$AD172)+1,60),IF($F172="","",IF($F172="인턴","수련교육부(인턴)",$F172)))))</f>
        <v/>
      </c>
      <c r="P172" s="10">
        <f>IF($B172="","",IF($AK172&lt;&gt;"",IF(AND(TODAY()&gt;=INDEX(파견수련계획!$AB$4:$AB$203,$AK172),OR(NOT(ISNUMBER(INDEX(파견수련계획!$AC$4:$AC$203,$AK172))),TODAY()&lt;=INDEX(파견수련계획!$AC$4:$AC$203,$AK172))),"다기관",IF($AF172="","",INDEX(파견수련계획!$T$4:$T$203,$AF172))),IF($AF172="","",INDEX(파견수련계획!$T$4:$T$203,$AF172))))</f>
        <v/>
      </c>
      <c r="Q172" s="10">
        <f>IF($AF172="","",INDEX(파견수련계획!$S$4:$S$203,$AF172))</f>
        <v/>
      </c>
      <c r="R172" s="10">
        <f>IF($AF172="","",INDEX(파견수련계획!$U$4:$U$203,$AF172))</f>
        <v/>
      </c>
      <c r="S172" s="11">
        <f>IF($AF172="","",IF(INDEX(파견수련계획!$H$4:$H$203,$AF172)="","",INDEX(파견수련계획!$H$4:$H$203,$AF172)))</f>
        <v/>
      </c>
      <c r="T172" s="11">
        <f>IF($AF172="","",IF(INDEX(파견수련계획!$I$4:$I$203,$AF172)="","",INDEX(파견수련계획!$I$4:$I$203,$AF172)))</f>
        <v/>
      </c>
      <c r="U172" s="10">
        <f>IF($AF172="","",INDEX(파견수련계획!$X$4:$X$203,$AF172))</f>
        <v/>
      </c>
      <c r="V172" s="17">
        <f>IF($AF172="","",INDEX(파견수련계획!$V$4:$V$203,$AF172))</f>
        <v/>
      </c>
      <c r="W172" s="17">
        <f>IF(AND($U172="파견중",$T172&lt;&gt;""),$T172-TODAY(),"")</f>
        <v/>
      </c>
      <c r="X172" s="17">
        <f>IF(OR($B172="",TRIM($J172&amp;"")=""),"",SUMPRODUCT((파견수련계획!$Q$4:$Q$203=TRIM($J172&amp;""))*파견수련계획!$W$4:$W$203))</f>
        <v/>
      </c>
      <c r="Y172" s="10">
        <f>IF($B172="","",IF($AG172="","",IF(IF(TRIM($J172&amp;"")="",0,SUMPRODUCT((파견수련계획!$Q$4:$Q$203=TRIM($J172&amp;""))*파견수련계획!$AD$4:$AD$203))&gt;0,$AE172,IF(N($X172)&lt;=0,$AG172,IF($AH172+$AI172=DAY(EOMONTH(요약!$B$3,0)),IF(AND($AH172&gt;=요약!$E$3,$AI172&lt;요약!$E$3),"서울병원",IF(AND($AI172&gt;=요약!$E$3,$AH172&lt;요약!$E$3),"구리병원","⚠15일 판정불가(서울 "&amp;$AH172&amp;"일/구리 "&amp;$AI172&amp;"일)")),IF($AJ172="",$AE172,IF(INDEX(파견수련계획!$T$4:$T$203,$AJ172)="통합수련",INDEX(파견수련계획!$S$4:$S$203,$AJ172),$AE172)))))))</f>
        <v/>
      </c>
      <c r="Z172" s="19">
        <f>IF($B172="","",IF($AB172="","기본자료에 없는 사번",IF(COUNTIF($B$2:$B$201,$B172)&gt;1,"중복 사번",IF($AE172="","소속(입사장소) 입력",IF(IF(TRIM($J172&amp;"")="",0,SUMPRODUCT((파견수련계획!$Q$4:$Q$203=TRIM($J172&amp;""))*(파견수련계획!$AA$4:$AA$203&lt;&gt;"")))&gt;0,"파견수련계획 입력오류 확인",IF(LEFT($Y172,1)="⚠","서울·구리 15일 판정 불가(양쪽 모두 이상/미만)",IF(IF($AC172="",0,N(INDEX(인턴근무계획!$T$3:$T$202,$AC172)))&gt;0,"인턴계획 입력오류 확인",IF(AND($AC172&lt;&gt;"",$U172&lt;&gt;"파견중",$N172&lt;&gt;$AE172),"인턴 타지역 근무: 파견 여부 확인","정상"))))))))</f>
        <v/>
      </c>
      <c r="AA172" s="5" t="n"/>
      <c r="AB172" s="10">
        <f>IF($B172="","",IFERROR(MATCH($B172,기본자료!$B$2:$B$501,0),IFERROR(MATCH($B172&amp;"",기본자료!$B$2:$B$501,0),IFERROR(MATCH(VALUE($B172),기본자료!$B$2:$B$501,0),""))))</f>
        <v/>
      </c>
      <c r="AC172" s="10">
        <f>IF($B172="","",IFERROR(MATCH($B172,인턴근무계획!$D$3:$D$202,0),IFERROR(MATCH($B172&amp;"",인턴근무계획!$D$3:$D$202,0),IFERROR(MATCH(VALUE($B172),인턴근무계획!$D$3:$D$202,0),""))))</f>
        <v/>
      </c>
      <c r="AD172" s="10">
        <f>IF(OR($AC172="",인턴현황!$G$3=""),"",INDEX(인턴근무계획!$M$3:$R$202,$AC172,인턴현황!$G$3)&amp;"")</f>
        <v/>
      </c>
      <c r="AE172" s="10">
        <f>IF($B172="","",IF($M172&lt;&gt;"",$M172,IF($AF172&lt;&gt;"",IF(LEFT(INDEX(파견수련계획!$R$4:$R$203,$AF172),1)&lt;&gt;"⚠",INDEX(파견수련계획!$R$4:$R$203,$AF172),IF($H172="","",IF(RIGHT($H172,2)="병원",$H172,$H172&amp;"병원"))),IF($H172="","",IF(RIGHT($H172,2)="병원",$H172,$H172&amp;"병원")))))</f>
        <v/>
      </c>
      <c r="AF172" s="10">
        <f>IF(OR($B172="",TRIM($J172&amp;"")=""),"",IFERROR(MATCH(TRIM($J172&amp;"")&amp;"|파견중",파견수련계획!$Y$4:$Y$203,0),IFERROR(MATCH(TRIM($J172&amp;"")&amp;"|파견예정",파견수련계획!$Y$4:$Y$203,0),IFERROR(MATCH(TRIM($J172&amp;"")&amp;"|파견종료",파견수련계획!$Y$4:$Y$203,0),""))))</f>
        <v/>
      </c>
      <c r="AG172" s="10">
        <f>IF($B172="","",IF(AND(IF(OR($AC172="",인턴현황!$K$2=""),"",INDEX(인턴근무계획!$M$3:$R$202,$AC172,인턴현황!$K$2)&amp;"")&lt;&gt;"",LEFT(IF(OR($AC172="",인턴현황!$K$2=""),"",INDEX(인턴근무계획!$M$3:$R$202,$AC172,인턴현황!$K$2)&amp;""),1)&lt;&gt;"⚠"),LEFT(IF(OR($AC172="",인턴현황!$K$2=""),"",INDEX(인턴근무계획!$M$3:$R$202,$AC172,인턴현황!$K$2)&amp;""),FIND(" ",IF(OR($AC172="",인턴현황!$K$2=""),"",INDEX(인턴근무계획!$M$3:$R$202,$AC172,인턴현황!$K$2)&amp;""))-1),$AE172))</f>
        <v/>
      </c>
      <c r="AH172" s="17">
        <f>IF($B172="","",IF(TRIM($J172&amp;"")="",0,SUMPRODUCT((파견수련계획!$Q$4:$Q$203=TRIM($J172&amp;""))*(파견수련계획!$S$4:$S$203="서울병원")*파견수련계획!$W$4:$W$203))+IF($AG172="서울병원",MAX(0,DAY(EOMONTH(요약!$B$3,0))-N($X172)),0))</f>
        <v/>
      </c>
      <c r="AI172" s="17">
        <f>IF($B172="","",IF(TRIM($J172&amp;"")="",0,SUMPRODUCT((파견수련계획!$Q$4:$Q$203=TRIM($J172&amp;""))*(파견수련계획!$S$4:$S$203="구리병원")*파견수련계획!$W$4:$W$203))+IF($AG172="구리병원",MAX(0,DAY(EOMONTH(요약!$B$3,0))-N($X172)),0))</f>
        <v/>
      </c>
      <c r="AJ172" s="10">
        <f>IF(OR($B172="",TRIM($J172&amp;"")=""),"",IFERROR(MATCH(TRIM($J172&amp;"")&amp;"|월",파견수련계획!$Z$4:$Z$203,0),""))</f>
        <v/>
      </c>
      <c r="AK172" s="10">
        <f>IF(OR($B172="",TRIM($J172&amp;"")=""),"",IFERROR(MATCH(TRIM($J172&amp;"")&amp;"|다기관",파견수련계획!$AE$4:$AE$203,0),""))</f>
        <v/>
      </c>
      <c r="AL172" s="10">
        <f>IF($AK172="","","다기관 "&amp;TEXT(INDEX(파견수련계획!$AB$4:$AB$203,$AK172),"yyyy-mm-dd")&amp;"~"&amp;IF(ISNUMBER(INDEX(파견수련계획!$AC$4:$AC$203,$AK172)),TEXT(INDEX(파견수련계획!$AC$4:$AC$203,$AK172),"yyyy-mm-dd"),""))</f>
        <v/>
      </c>
    </row>
    <row r="173">
      <c r="A173" s="10">
        <f>IF(B173="","",ROW()-1)</f>
        <v/>
      </c>
      <c r="B173" s="18" t="n"/>
      <c r="C173" s="10">
        <f>IF($AB173="","",IF(INDEX(기본자료!$C$2:$C$501,$AB173)="","",INDEX(기본자료!$C$2:$C$501,$AB173)))</f>
        <v/>
      </c>
      <c r="D173" s="10">
        <f>IF($AB173="","",IF(INDEX(기본자료!$J$2:$J$501,$AB173)="","",INDEX(기본자료!$J$2:$J$501,$AB173)))</f>
        <v/>
      </c>
      <c r="E173" s="11">
        <f>IF($AB173="","",IF(INDEX(기본자료!$K$2:$K$501,$AB173)="","",IF(NOT(ISNUMBER(INDEX(기본자료!$K$2:$K$501,$AB173))),INDEX(기본자료!$K$2:$K$501,$AB173),IF(INDEX(기본자료!$K$2:$K$501,$AB173)&lt;1000000,INDEX(기본자료!$K$2:$K$501,$AB173),IF(AND(INDEX(기본자료!$K$2:$K$501,$AB173)&gt;=10000101,INT(MOD(INDEX(기본자료!$K$2:$K$501,$AB173),10000)/100)&gt;=1,INT(MOD(INDEX(기본자료!$K$2:$K$501,$AB173),10000)/100)&lt;=12,MOD(INDEX(기본자료!$K$2:$K$501,$AB173),100)&gt;=1,MOD(INDEX(기본자료!$K$2:$K$501,$AB173),100)&lt;=31),DATE(INT(INDEX(기본자료!$K$2:$K$501,$AB173)/10000),INT(MOD(INDEX(기본자료!$K$2:$K$501,$AB173),10000)/100),MOD(INDEX(기본자료!$K$2:$K$501,$AB173),100)),INDEX(기본자료!$K$2:$K$501,$AB173)&amp;"")))))</f>
        <v/>
      </c>
      <c r="F173" s="10">
        <f>IF($AB173="","",IF(INDEX(기본자료!$D$2:$D$501,$AB173)="","",INDEX(기본자료!$D$2:$D$501,$AB173)))</f>
        <v/>
      </c>
      <c r="G173" s="10">
        <f>IF($AB173="","",IF(INDEX(기본자료!$E$2:$E$501,$AB173)="","",INDEX(기본자료!$E$2:$E$501,$AB173)))</f>
        <v/>
      </c>
      <c r="H173" s="10">
        <f>IF($AB173="","",IF(INDEX(기본자료!$F$2:$F$501,$AB173)="","",INDEX(기본자료!$F$2:$F$501,$AB173)))</f>
        <v/>
      </c>
      <c r="I173" s="11">
        <f>IF($AB173="","",IF(INDEX(기본자료!$G$2:$G$501,$AB173)="","",IF(NOT(ISNUMBER(INDEX(기본자료!$G$2:$G$501,$AB173))),INDEX(기본자료!$G$2:$G$501,$AB173),IF(INDEX(기본자료!$G$2:$G$501,$AB173)&lt;1000000,INDEX(기본자료!$G$2:$G$501,$AB173),IF(AND(INDEX(기본자료!$G$2:$G$501,$AB173)&gt;=10000101,INT(MOD(INDEX(기본자료!$G$2:$G$501,$AB173),10000)/100)&gt;=1,INT(MOD(INDEX(기본자료!$G$2:$G$501,$AB173),10000)/100)&lt;=12,MOD(INDEX(기본자료!$G$2:$G$501,$AB173),100)&gt;=1,MOD(INDEX(기본자료!$G$2:$G$501,$AB173),100)&lt;=31),DATE(INT(INDEX(기본자료!$G$2:$G$501,$AB173)/10000),INT(MOD(INDEX(기본자료!$G$2:$G$501,$AB173),10000)/100),MOD(INDEX(기본자료!$G$2:$G$501,$AB173),100)),INDEX(기본자료!$G$2:$G$501,$AB173)&amp;"")))))</f>
        <v/>
      </c>
      <c r="J173" s="10">
        <f>IF($AB173="","",IF(INDEX(기본자료!$H$2:$H$501,$AB173)="","",INDEX(기본자료!$H$2:$H$501,$AB173)))</f>
        <v/>
      </c>
      <c r="K173" s="10">
        <f>IF($AB173="","",IF(INDEX(기본자료!$I$2:$I$501,$AB173)="","",INDEX(기본자료!$I$2:$I$501,$AB173)))</f>
        <v/>
      </c>
      <c r="L173" s="10">
        <f>IF($AB173="","",IF(INDEX(기본자료!$A$2:$A$501,$AB173)="","",INDEX(기본자료!$A$2:$A$501,$AB173)))</f>
        <v/>
      </c>
      <c r="M173" s="15" t="n"/>
      <c r="N173" s="10">
        <f>IF($B173="","",IF(AND($U173="파견중",$Q173&lt;&gt;""),$Q173,IF(AND($AD173&lt;&gt;"",LEFT($AD173,1)&lt;&gt;"⚠"),LEFT($AD173,FIND(" ",$AD173)-1),IF($H173="","",IF(RIGHT($H173,2)="병원",$H173,$H173&amp;"병원")))))</f>
        <v/>
      </c>
      <c r="O173" s="10">
        <f>IF($B173="","",IF(AND($U173="파견중",$Q173&lt;&gt;""),IF($R173&lt;&gt;"",$R173,"파견과 미입력"),IF(AND($AD173&lt;&gt;"",LEFT($AD173,1)&lt;&gt;"⚠"),MID($AD173,FIND(" ",$AD173)+1,60),IF($F173="","",IF($F173="인턴","수련교육부(인턴)",$F173)))))</f>
        <v/>
      </c>
      <c r="P173" s="10">
        <f>IF($B173="","",IF($AK173&lt;&gt;"",IF(AND(TODAY()&gt;=INDEX(파견수련계획!$AB$4:$AB$203,$AK173),OR(NOT(ISNUMBER(INDEX(파견수련계획!$AC$4:$AC$203,$AK173))),TODAY()&lt;=INDEX(파견수련계획!$AC$4:$AC$203,$AK173))),"다기관",IF($AF173="","",INDEX(파견수련계획!$T$4:$T$203,$AF173))),IF($AF173="","",INDEX(파견수련계획!$T$4:$T$203,$AF173))))</f>
        <v/>
      </c>
      <c r="Q173" s="10">
        <f>IF($AF173="","",INDEX(파견수련계획!$S$4:$S$203,$AF173))</f>
        <v/>
      </c>
      <c r="R173" s="10">
        <f>IF($AF173="","",INDEX(파견수련계획!$U$4:$U$203,$AF173))</f>
        <v/>
      </c>
      <c r="S173" s="11">
        <f>IF($AF173="","",IF(INDEX(파견수련계획!$H$4:$H$203,$AF173)="","",INDEX(파견수련계획!$H$4:$H$203,$AF173)))</f>
        <v/>
      </c>
      <c r="T173" s="11">
        <f>IF($AF173="","",IF(INDEX(파견수련계획!$I$4:$I$203,$AF173)="","",INDEX(파견수련계획!$I$4:$I$203,$AF173)))</f>
        <v/>
      </c>
      <c r="U173" s="10">
        <f>IF($AF173="","",INDEX(파견수련계획!$X$4:$X$203,$AF173))</f>
        <v/>
      </c>
      <c r="V173" s="17">
        <f>IF($AF173="","",INDEX(파견수련계획!$V$4:$V$203,$AF173))</f>
        <v/>
      </c>
      <c r="W173" s="17">
        <f>IF(AND($U173="파견중",$T173&lt;&gt;""),$T173-TODAY(),"")</f>
        <v/>
      </c>
      <c r="X173" s="17">
        <f>IF(OR($B173="",TRIM($J173&amp;"")=""),"",SUMPRODUCT((파견수련계획!$Q$4:$Q$203=TRIM($J173&amp;""))*파견수련계획!$W$4:$W$203))</f>
        <v/>
      </c>
      <c r="Y173" s="10">
        <f>IF($B173="","",IF($AG173="","",IF(IF(TRIM($J173&amp;"")="",0,SUMPRODUCT((파견수련계획!$Q$4:$Q$203=TRIM($J173&amp;""))*파견수련계획!$AD$4:$AD$203))&gt;0,$AE173,IF(N($X173)&lt;=0,$AG173,IF($AH173+$AI173=DAY(EOMONTH(요약!$B$3,0)),IF(AND($AH173&gt;=요약!$E$3,$AI173&lt;요약!$E$3),"서울병원",IF(AND($AI173&gt;=요약!$E$3,$AH173&lt;요약!$E$3),"구리병원","⚠15일 판정불가(서울 "&amp;$AH173&amp;"일/구리 "&amp;$AI173&amp;"일)")),IF($AJ173="",$AE173,IF(INDEX(파견수련계획!$T$4:$T$203,$AJ173)="통합수련",INDEX(파견수련계획!$S$4:$S$203,$AJ173),$AE173)))))))</f>
        <v/>
      </c>
      <c r="Z173" s="19">
        <f>IF($B173="","",IF($AB173="","기본자료에 없는 사번",IF(COUNTIF($B$2:$B$201,$B173)&gt;1,"중복 사번",IF($AE173="","소속(입사장소) 입력",IF(IF(TRIM($J173&amp;"")="",0,SUMPRODUCT((파견수련계획!$Q$4:$Q$203=TRIM($J173&amp;""))*(파견수련계획!$AA$4:$AA$203&lt;&gt;"")))&gt;0,"파견수련계획 입력오류 확인",IF(LEFT($Y173,1)="⚠","서울·구리 15일 판정 불가(양쪽 모두 이상/미만)",IF(IF($AC173="",0,N(INDEX(인턴근무계획!$T$3:$T$202,$AC173)))&gt;0,"인턴계획 입력오류 확인",IF(AND($AC173&lt;&gt;"",$U173&lt;&gt;"파견중",$N173&lt;&gt;$AE173),"인턴 타지역 근무: 파견 여부 확인","정상"))))))))</f>
        <v/>
      </c>
      <c r="AA173" s="5" t="n"/>
      <c r="AB173" s="10">
        <f>IF($B173="","",IFERROR(MATCH($B173,기본자료!$B$2:$B$501,0),IFERROR(MATCH($B173&amp;"",기본자료!$B$2:$B$501,0),IFERROR(MATCH(VALUE($B173),기본자료!$B$2:$B$501,0),""))))</f>
        <v/>
      </c>
      <c r="AC173" s="10">
        <f>IF($B173="","",IFERROR(MATCH($B173,인턴근무계획!$D$3:$D$202,0),IFERROR(MATCH($B173&amp;"",인턴근무계획!$D$3:$D$202,0),IFERROR(MATCH(VALUE($B173),인턴근무계획!$D$3:$D$202,0),""))))</f>
        <v/>
      </c>
      <c r="AD173" s="10">
        <f>IF(OR($AC173="",인턴현황!$G$3=""),"",INDEX(인턴근무계획!$M$3:$R$202,$AC173,인턴현황!$G$3)&amp;"")</f>
        <v/>
      </c>
      <c r="AE173" s="10">
        <f>IF($B173="","",IF($M173&lt;&gt;"",$M173,IF($AF173&lt;&gt;"",IF(LEFT(INDEX(파견수련계획!$R$4:$R$203,$AF173),1)&lt;&gt;"⚠",INDEX(파견수련계획!$R$4:$R$203,$AF173),IF($H173="","",IF(RIGHT($H173,2)="병원",$H173,$H173&amp;"병원"))),IF($H173="","",IF(RIGHT($H173,2)="병원",$H173,$H173&amp;"병원")))))</f>
        <v/>
      </c>
      <c r="AF173" s="10">
        <f>IF(OR($B173="",TRIM($J173&amp;"")=""),"",IFERROR(MATCH(TRIM($J173&amp;"")&amp;"|파견중",파견수련계획!$Y$4:$Y$203,0),IFERROR(MATCH(TRIM($J173&amp;"")&amp;"|파견예정",파견수련계획!$Y$4:$Y$203,0),IFERROR(MATCH(TRIM($J173&amp;"")&amp;"|파견종료",파견수련계획!$Y$4:$Y$203,0),""))))</f>
        <v/>
      </c>
      <c r="AG173" s="10">
        <f>IF($B173="","",IF(AND(IF(OR($AC173="",인턴현황!$K$2=""),"",INDEX(인턴근무계획!$M$3:$R$202,$AC173,인턴현황!$K$2)&amp;"")&lt;&gt;"",LEFT(IF(OR($AC173="",인턴현황!$K$2=""),"",INDEX(인턴근무계획!$M$3:$R$202,$AC173,인턴현황!$K$2)&amp;""),1)&lt;&gt;"⚠"),LEFT(IF(OR($AC173="",인턴현황!$K$2=""),"",INDEX(인턴근무계획!$M$3:$R$202,$AC173,인턴현황!$K$2)&amp;""),FIND(" ",IF(OR($AC173="",인턴현황!$K$2=""),"",INDEX(인턴근무계획!$M$3:$R$202,$AC173,인턴현황!$K$2)&amp;""))-1),$AE173))</f>
        <v/>
      </c>
      <c r="AH173" s="17">
        <f>IF($B173="","",IF(TRIM($J173&amp;"")="",0,SUMPRODUCT((파견수련계획!$Q$4:$Q$203=TRIM($J173&amp;""))*(파견수련계획!$S$4:$S$203="서울병원")*파견수련계획!$W$4:$W$203))+IF($AG173="서울병원",MAX(0,DAY(EOMONTH(요약!$B$3,0))-N($X173)),0))</f>
        <v/>
      </c>
      <c r="AI173" s="17">
        <f>IF($B173="","",IF(TRIM($J173&amp;"")="",0,SUMPRODUCT((파견수련계획!$Q$4:$Q$203=TRIM($J173&amp;""))*(파견수련계획!$S$4:$S$203="구리병원")*파견수련계획!$W$4:$W$203))+IF($AG173="구리병원",MAX(0,DAY(EOMONTH(요약!$B$3,0))-N($X173)),0))</f>
        <v/>
      </c>
      <c r="AJ173" s="10">
        <f>IF(OR($B173="",TRIM($J173&amp;"")=""),"",IFERROR(MATCH(TRIM($J173&amp;"")&amp;"|월",파견수련계획!$Z$4:$Z$203,0),""))</f>
        <v/>
      </c>
      <c r="AK173" s="10">
        <f>IF(OR($B173="",TRIM($J173&amp;"")=""),"",IFERROR(MATCH(TRIM($J173&amp;"")&amp;"|다기관",파견수련계획!$AE$4:$AE$203,0),""))</f>
        <v/>
      </c>
      <c r="AL173" s="10">
        <f>IF($AK173="","","다기관 "&amp;TEXT(INDEX(파견수련계획!$AB$4:$AB$203,$AK173),"yyyy-mm-dd")&amp;"~"&amp;IF(ISNUMBER(INDEX(파견수련계획!$AC$4:$AC$203,$AK173)),TEXT(INDEX(파견수련계획!$AC$4:$AC$203,$AK173),"yyyy-mm-dd"),""))</f>
        <v/>
      </c>
    </row>
    <row r="174">
      <c r="A174" s="10">
        <f>IF(B174="","",ROW()-1)</f>
        <v/>
      </c>
      <c r="B174" s="18" t="n"/>
      <c r="C174" s="10">
        <f>IF($AB174="","",IF(INDEX(기본자료!$C$2:$C$501,$AB174)="","",INDEX(기본자료!$C$2:$C$501,$AB174)))</f>
        <v/>
      </c>
      <c r="D174" s="10">
        <f>IF($AB174="","",IF(INDEX(기본자료!$J$2:$J$501,$AB174)="","",INDEX(기본자료!$J$2:$J$501,$AB174)))</f>
        <v/>
      </c>
      <c r="E174" s="11">
        <f>IF($AB174="","",IF(INDEX(기본자료!$K$2:$K$501,$AB174)="","",IF(NOT(ISNUMBER(INDEX(기본자료!$K$2:$K$501,$AB174))),INDEX(기본자료!$K$2:$K$501,$AB174),IF(INDEX(기본자료!$K$2:$K$501,$AB174)&lt;1000000,INDEX(기본자료!$K$2:$K$501,$AB174),IF(AND(INDEX(기본자료!$K$2:$K$501,$AB174)&gt;=10000101,INT(MOD(INDEX(기본자료!$K$2:$K$501,$AB174),10000)/100)&gt;=1,INT(MOD(INDEX(기본자료!$K$2:$K$501,$AB174),10000)/100)&lt;=12,MOD(INDEX(기본자료!$K$2:$K$501,$AB174),100)&gt;=1,MOD(INDEX(기본자료!$K$2:$K$501,$AB174),100)&lt;=31),DATE(INT(INDEX(기본자료!$K$2:$K$501,$AB174)/10000),INT(MOD(INDEX(기본자료!$K$2:$K$501,$AB174),10000)/100),MOD(INDEX(기본자료!$K$2:$K$501,$AB174),100)),INDEX(기본자료!$K$2:$K$501,$AB174)&amp;"")))))</f>
        <v/>
      </c>
      <c r="F174" s="10">
        <f>IF($AB174="","",IF(INDEX(기본자료!$D$2:$D$501,$AB174)="","",INDEX(기본자료!$D$2:$D$501,$AB174)))</f>
        <v/>
      </c>
      <c r="G174" s="10">
        <f>IF($AB174="","",IF(INDEX(기본자료!$E$2:$E$501,$AB174)="","",INDEX(기본자료!$E$2:$E$501,$AB174)))</f>
        <v/>
      </c>
      <c r="H174" s="10">
        <f>IF($AB174="","",IF(INDEX(기본자료!$F$2:$F$501,$AB174)="","",INDEX(기본자료!$F$2:$F$501,$AB174)))</f>
        <v/>
      </c>
      <c r="I174" s="11">
        <f>IF($AB174="","",IF(INDEX(기본자료!$G$2:$G$501,$AB174)="","",IF(NOT(ISNUMBER(INDEX(기본자료!$G$2:$G$501,$AB174))),INDEX(기본자료!$G$2:$G$501,$AB174),IF(INDEX(기본자료!$G$2:$G$501,$AB174)&lt;1000000,INDEX(기본자료!$G$2:$G$501,$AB174),IF(AND(INDEX(기본자료!$G$2:$G$501,$AB174)&gt;=10000101,INT(MOD(INDEX(기본자료!$G$2:$G$501,$AB174),10000)/100)&gt;=1,INT(MOD(INDEX(기본자료!$G$2:$G$501,$AB174),10000)/100)&lt;=12,MOD(INDEX(기본자료!$G$2:$G$501,$AB174),100)&gt;=1,MOD(INDEX(기본자료!$G$2:$G$501,$AB174),100)&lt;=31),DATE(INT(INDEX(기본자료!$G$2:$G$501,$AB174)/10000),INT(MOD(INDEX(기본자료!$G$2:$G$501,$AB174),10000)/100),MOD(INDEX(기본자료!$G$2:$G$501,$AB174),100)),INDEX(기본자료!$G$2:$G$501,$AB174)&amp;"")))))</f>
        <v/>
      </c>
      <c r="J174" s="10">
        <f>IF($AB174="","",IF(INDEX(기본자료!$H$2:$H$501,$AB174)="","",INDEX(기본자료!$H$2:$H$501,$AB174)))</f>
        <v/>
      </c>
      <c r="K174" s="10">
        <f>IF($AB174="","",IF(INDEX(기본자료!$I$2:$I$501,$AB174)="","",INDEX(기본자료!$I$2:$I$501,$AB174)))</f>
        <v/>
      </c>
      <c r="L174" s="10">
        <f>IF($AB174="","",IF(INDEX(기본자료!$A$2:$A$501,$AB174)="","",INDEX(기본자료!$A$2:$A$501,$AB174)))</f>
        <v/>
      </c>
      <c r="M174" s="15" t="n"/>
      <c r="N174" s="10">
        <f>IF($B174="","",IF(AND($U174="파견중",$Q174&lt;&gt;""),$Q174,IF(AND($AD174&lt;&gt;"",LEFT($AD174,1)&lt;&gt;"⚠"),LEFT($AD174,FIND(" ",$AD174)-1),IF($H174="","",IF(RIGHT($H174,2)="병원",$H174,$H174&amp;"병원")))))</f>
        <v/>
      </c>
      <c r="O174" s="10">
        <f>IF($B174="","",IF(AND($U174="파견중",$Q174&lt;&gt;""),IF($R174&lt;&gt;"",$R174,"파견과 미입력"),IF(AND($AD174&lt;&gt;"",LEFT($AD174,1)&lt;&gt;"⚠"),MID($AD174,FIND(" ",$AD174)+1,60),IF($F174="","",IF($F174="인턴","수련교육부(인턴)",$F174)))))</f>
        <v/>
      </c>
      <c r="P174" s="10">
        <f>IF($B174="","",IF($AK174&lt;&gt;"",IF(AND(TODAY()&gt;=INDEX(파견수련계획!$AB$4:$AB$203,$AK174),OR(NOT(ISNUMBER(INDEX(파견수련계획!$AC$4:$AC$203,$AK174))),TODAY()&lt;=INDEX(파견수련계획!$AC$4:$AC$203,$AK174))),"다기관",IF($AF174="","",INDEX(파견수련계획!$T$4:$T$203,$AF174))),IF($AF174="","",INDEX(파견수련계획!$T$4:$T$203,$AF174))))</f>
        <v/>
      </c>
      <c r="Q174" s="10">
        <f>IF($AF174="","",INDEX(파견수련계획!$S$4:$S$203,$AF174))</f>
        <v/>
      </c>
      <c r="R174" s="10">
        <f>IF($AF174="","",INDEX(파견수련계획!$U$4:$U$203,$AF174))</f>
        <v/>
      </c>
      <c r="S174" s="11">
        <f>IF($AF174="","",IF(INDEX(파견수련계획!$H$4:$H$203,$AF174)="","",INDEX(파견수련계획!$H$4:$H$203,$AF174)))</f>
        <v/>
      </c>
      <c r="T174" s="11">
        <f>IF($AF174="","",IF(INDEX(파견수련계획!$I$4:$I$203,$AF174)="","",INDEX(파견수련계획!$I$4:$I$203,$AF174)))</f>
        <v/>
      </c>
      <c r="U174" s="10">
        <f>IF($AF174="","",INDEX(파견수련계획!$X$4:$X$203,$AF174))</f>
        <v/>
      </c>
      <c r="V174" s="17">
        <f>IF($AF174="","",INDEX(파견수련계획!$V$4:$V$203,$AF174))</f>
        <v/>
      </c>
      <c r="W174" s="17">
        <f>IF(AND($U174="파견중",$T174&lt;&gt;""),$T174-TODAY(),"")</f>
        <v/>
      </c>
      <c r="X174" s="17">
        <f>IF(OR($B174="",TRIM($J174&amp;"")=""),"",SUMPRODUCT((파견수련계획!$Q$4:$Q$203=TRIM($J174&amp;""))*파견수련계획!$W$4:$W$203))</f>
        <v/>
      </c>
      <c r="Y174" s="10">
        <f>IF($B174="","",IF($AG174="","",IF(IF(TRIM($J174&amp;"")="",0,SUMPRODUCT((파견수련계획!$Q$4:$Q$203=TRIM($J174&amp;""))*파견수련계획!$AD$4:$AD$203))&gt;0,$AE174,IF(N($X174)&lt;=0,$AG174,IF($AH174+$AI174=DAY(EOMONTH(요약!$B$3,0)),IF(AND($AH174&gt;=요약!$E$3,$AI174&lt;요약!$E$3),"서울병원",IF(AND($AI174&gt;=요약!$E$3,$AH174&lt;요약!$E$3),"구리병원","⚠15일 판정불가(서울 "&amp;$AH174&amp;"일/구리 "&amp;$AI174&amp;"일)")),IF($AJ174="",$AE174,IF(INDEX(파견수련계획!$T$4:$T$203,$AJ174)="통합수련",INDEX(파견수련계획!$S$4:$S$203,$AJ174),$AE174)))))))</f>
        <v/>
      </c>
      <c r="Z174" s="19">
        <f>IF($B174="","",IF($AB174="","기본자료에 없는 사번",IF(COUNTIF($B$2:$B$201,$B174)&gt;1,"중복 사번",IF($AE174="","소속(입사장소) 입력",IF(IF(TRIM($J174&amp;"")="",0,SUMPRODUCT((파견수련계획!$Q$4:$Q$203=TRIM($J174&amp;""))*(파견수련계획!$AA$4:$AA$203&lt;&gt;"")))&gt;0,"파견수련계획 입력오류 확인",IF(LEFT($Y174,1)="⚠","서울·구리 15일 판정 불가(양쪽 모두 이상/미만)",IF(IF($AC174="",0,N(INDEX(인턴근무계획!$T$3:$T$202,$AC174)))&gt;0,"인턴계획 입력오류 확인",IF(AND($AC174&lt;&gt;"",$U174&lt;&gt;"파견중",$N174&lt;&gt;$AE174),"인턴 타지역 근무: 파견 여부 확인","정상"))))))))</f>
        <v/>
      </c>
      <c r="AA174" s="5" t="n"/>
      <c r="AB174" s="10">
        <f>IF($B174="","",IFERROR(MATCH($B174,기본자료!$B$2:$B$501,0),IFERROR(MATCH($B174&amp;"",기본자료!$B$2:$B$501,0),IFERROR(MATCH(VALUE($B174),기본자료!$B$2:$B$501,0),""))))</f>
        <v/>
      </c>
      <c r="AC174" s="10">
        <f>IF($B174="","",IFERROR(MATCH($B174,인턴근무계획!$D$3:$D$202,0),IFERROR(MATCH($B174&amp;"",인턴근무계획!$D$3:$D$202,0),IFERROR(MATCH(VALUE($B174),인턴근무계획!$D$3:$D$202,0),""))))</f>
        <v/>
      </c>
      <c r="AD174" s="10">
        <f>IF(OR($AC174="",인턴현황!$G$3=""),"",INDEX(인턴근무계획!$M$3:$R$202,$AC174,인턴현황!$G$3)&amp;"")</f>
        <v/>
      </c>
      <c r="AE174" s="10">
        <f>IF($B174="","",IF($M174&lt;&gt;"",$M174,IF($AF174&lt;&gt;"",IF(LEFT(INDEX(파견수련계획!$R$4:$R$203,$AF174),1)&lt;&gt;"⚠",INDEX(파견수련계획!$R$4:$R$203,$AF174),IF($H174="","",IF(RIGHT($H174,2)="병원",$H174,$H174&amp;"병원"))),IF($H174="","",IF(RIGHT($H174,2)="병원",$H174,$H174&amp;"병원")))))</f>
        <v/>
      </c>
      <c r="AF174" s="10">
        <f>IF(OR($B174="",TRIM($J174&amp;"")=""),"",IFERROR(MATCH(TRIM($J174&amp;"")&amp;"|파견중",파견수련계획!$Y$4:$Y$203,0),IFERROR(MATCH(TRIM($J174&amp;"")&amp;"|파견예정",파견수련계획!$Y$4:$Y$203,0),IFERROR(MATCH(TRIM($J174&amp;"")&amp;"|파견종료",파견수련계획!$Y$4:$Y$203,0),""))))</f>
        <v/>
      </c>
      <c r="AG174" s="10">
        <f>IF($B174="","",IF(AND(IF(OR($AC174="",인턴현황!$K$2=""),"",INDEX(인턴근무계획!$M$3:$R$202,$AC174,인턴현황!$K$2)&amp;"")&lt;&gt;"",LEFT(IF(OR($AC174="",인턴현황!$K$2=""),"",INDEX(인턴근무계획!$M$3:$R$202,$AC174,인턴현황!$K$2)&amp;""),1)&lt;&gt;"⚠"),LEFT(IF(OR($AC174="",인턴현황!$K$2=""),"",INDEX(인턴근무계획!$M$3:$R$202,$AC174,인턴현황!$K$2)&amp;""),FIND(" ",IF(OR($AC174="",인턴현황!$K$2=""),"",INDEX(인턴근무계획!$M$3:$R$202,$AC174,인턴현황!$K$2)&amp;""))-1),$AE174))</f>
        <v/>
      </c>
      <c r="AH174" s="17">
        <f>IF($B174="","",IF(TRIM($J174&amp;"")="",0,SUMPRODUCT((파견수련계획!$Q$4:$Q$203=TRIM($J174&amp;""))*(파견수련계획!$S$4:$S$203="서울병원")*파견수련계획!$W$4:$W$203))+IF($AG174="서울병원",MAX(0,DAY(EOMONTH(요약!$B$3,0))-N($X174)),0))</f>
        <v/>
      </c>
      <c r="AI174" s="17">
        <f>IF($B174="","",IF(TRIM($J174&amp;"")="",0,SUMPRODUCT((파견수련계획!$Q$4:$Q$203=TRIM($J174&amp;""))*(파견수련계획!$S$4:$S$203="구리병원")*파견수련계획!$W$4:$W$203))+IF($AG174="구리병원",MAX(0,DAY(EOMONTH(요약!$B$3,0))-N($X174)),0))</f>
        <v/>
      </c>
      <c r="AJ174" s="10">
        <f>IF(OR($B174="",TRIM($J174&amp;"")=""),"",IFERROR(MATCH(TRIM($J174&amp;"")&amp;"|월",파견수련계획!$Z$4:$Z$203,0),""))</f>
        <v/>
      </c>
      <c r="AK174" s="10">
        <f>IF(OR($B174="",TRIM($J174&amp;"")=""),"",IFERROR(MATCH(TRIM($J174&amp;"")&amp;"|다기관",파견수련계획!$AE$4:$AE$203,0),""))</f>
        <v/>
      </c>
      <c r="AL174" s="10">
        <f>IF($AK174="","","다기관 "&amp;TEXT(INDEX(파견수련계획!$AB$4:$AB$203,$AK174),"yyyy-mm-dd")&amp;"~"&amp;IF(ISNUMBER(INDEX(파견수련계획!$AC$4:$AC$203,$AK174)),TEXT(INDEX(파견수련계획!$AC$4:$AC$203,$AK174),"yyyy-mm-dd"),""))</f>
        <v/>
      </c>
    </row>
    <row r="175">
      <c r="A175" s="10">
        <f>IF(B175="","",ROW()-1)</f>
        <v/>
      </c>
      <c r="B175" s="18" t="n"/>
      <c r="C175" s="10">
        <f>IF($AB175="","",IF(INDEX(기본자료!$C$2:$C$501,$AB175)="","",INDEX(기본자료!$C$2:$C$501,$AB175)))</f>
        <v/>
      </c>
      <c r="D175" s="10">
        <f>IF($AB175="","",IF(INDEX(기본자료!$J$2:$J$501,$AB175)="","",INDEX(기본자료!$J$2:$J$501,$AB175)))</f>
        <v/>
      </c>
      <c r="E175" s="11">
        <f>IF($AB175="","",IF(INDEX(기본자료!$K$2:$K$501,$AB175)="","",IF(NOT(ISNUMBER(INDEX(기본자료!$K$2:$K$501,$AB175))),INDEX(기본자료!$K$2:$K$501,$AB175),IF(INDEX(기본자료!$K$2:$K$501,$AB175)&lt;1000000,INDEX(기본자료!$K$2:$K$501,$AB175),IF(AND(INDEX(기본자료!$K$2:$K$501,$AB175)&gt;=10000101,INT(MOD(INDEX(기본자료!$K$2:$K$501,$AB175),10000)/100)&gt;=1,INT(MOD(INDEX(기본자료!$K$2:$K$501,$AB175),10000)/100)&lt;=12,MOD(INDEX(기본자료!$K$2:$K$501,$AB175),100)&gt;=1,MOD(INDEX(기본자료!$K$2:$K$501,$AB175),100)&lt;=31),DATE(INT(INDEX(기본자료!$K$2:$K$501,$AB175)/10000),INT(MOD(INDEX(기본자료!$K$2:$K$501,$AB175),10000)/100),MOD(INDEX(기본자료!$K$2:$K$501,$AB175),100)),INDEX(기본자료!$K$2:$K$501,$AB175)&amp;"")))))</f>
        <v/>
      </c>
      <c r="F175" s="10">
        <f>IF($AB175="","",IF(INDEX(기본자료!$D$2:$D$501,$AB175)="","",INDEX(기본자료!$D$2:$D$501,$AB175)))</f>
        <v/>
      </c>
      <c r="G175" s="10">
        <f>IF($AB175="","",IF(INDEX(기본자료!$E$2:$E$501,$AB175)="","",INDEX(기본자료!$E$2:$E$501,$AB175)))</f>
        <v/>
      </c>
      <c r="H175" s="10">
        <f>IF($AB175="","",IF(INDEX(기본자료!$F$2:$F$501,$AB175)="","",INDEX(기본자료!$F$2:$F$501,$AB175)))</f>
        <v/>
      </c>
      <c r="I175" s="11">
        <f>IF($AB175="","",IF(INDEX(기본자료!$G$2:$G$501,$AB175)="","",IF(NOT(ISNUMBER(INDEX(기본자료!$G$2:$G$501,$AB175))),INDEX(기본자료!$G$2:$G$501,$AB175),IF(INDEX(기본자료!$G$2:$G$501,$AB175)&lt;1000000,INDEX(기본자료!$G$2:$G$501,$AB175),IF(AND(INDEX(기본자료!$G$2:$G$501,$AB175)&gt;=10000101,INT(MOD(INDEX(기본자료!$G$2:$G$501,$AB175),10000)/100)&gt;=1,INT(MOD(INDEX(기본자료!$G$2:$G$501,$AB175),10000)/100)&lt;=12,MOD(INDEX(기본자료!$G$2:$G$501,$AB175),100)&gt;=1,MOD(INDEX(기본자료!$G$2:$G$501,$AB175),100)&lt;=31),DATE(INT(INDEX(기본자료!$G$2:$G$501,$AB175)/10000),INT(MOD(INDEX(기본자료!$G$2:$G$501,$AB175),10000)/100),MOD(INDEX(기본자료!$G$2:$G$501,$AB175),100)),INDEX(기본자료!$G$2:$G$501,$AB175)&amp;"")))))</f>
        <v/>
      </c>
      <c r="J175" s="10">
        <f>IF($AB175="","",IF(INDEX(기본자료!$H$2:$H$501,$AB175)="","",INDEX(기본자료!$H$2:$H$501,$AB175)))</f>
        <v/>
      </c>
      <c r="K175" s="10">
        <f>IF($AB175="","",IF(INDEX(기본자료!$I$2:$I$501,$AB175)="","",INDEX(기본자료!$I$2:$I$501,$AB175)))</f>
        <v/>
      </c>
      <c r="L175" s="10">
        <f>IF($AB175="","",IF(INDEX(기본자료!$A$2:$A$501,$AB175)="","",INDEX(기본자료!$A$2:$A$501,$AB175)))</f>
        <v/>
      </c>
      <c r="M175" s="15" t="n"/>
      <c r="N175" s="10">
        <f>IF($B175="","",IF(AND($U175="파견중",$Q175&lt;&gt;""),$Q175,IF(AND($AD175&lt;&gt;"",LEFT($AD175,1)&lt;&gt;"⚠"),LEFT($AD175,FIND(" ",$AD175)-1),IF($H175="","",IF(RIGHT($H175,2)="병원",$H175,$H175&amp;"병원")))))</f>
        <v/>
      </c>
      <c r="O175" s="10">
        <f>IF($B175="","",IF(AND($U175="파견중",$Q175&lt;&gt;""),IF($R175&lt;&gt;"",$R175,"파견과 미입력"),IF(AND($AD175&lt;&gt;"",LEFT($AD175,1)&lt;&gt;"⚠"),MID($AD175,FIND(" ",$AD175)+1,60),IF($F175="","",IF($F175="인턴","수련교육부(인턴)",$F175)))))</f>
        <v/>
      </c>
      <c r="P175" s="10">
        <f>IF($B175="","",IF($AK175&lt;&gt;"",IF(AND(TODAY()&gt;=INDEX(파견수련계획!$AB$4:$AB$203,$AK175),OR(NOT(ISNUMBER(INDEX(파견수련계획!$AC$4:$AC$203,$AK175))),TODAY()&lt;=INDEX(파견수련계획!$AC$4:$AC$203,$AK175))),"다기관",IF($AF175="","",INDEX(파견수련계획!$T$4:$T$203,$AF175))),IF($AF175="","",INDEX(파견수련계획!$T$4:$T$203,$AF175))))</f>
        <v/>
      </c>
      <c r="Q175" s="10">
        <f>IF($AF175="","",INDEX(파견수련계획!$S$4:$S$203,$AF175))</f>
        <v/>
      </c>
      <c r="R175" s="10">
        <f>IF($AF175="","",INDEX(파견수련계획!$U$4:$U$203,$AF175))</f>
        <v/>
      </c>
      <c r="S175" s="11">
        <f>IF($AF175="","",IF(INDEX(파견수련계획!$H$4:$H$203,$AF175)="","",INDEX(파견수련계획!$H$4:$H$203,$AF175)))</f>
        <v/>
      </c>
      <c r="T175" s="11">
        <f>IF($AF175="","",IF(INDEX(파견수련계획!$I$4:$I$203,$AF175)="","",INDEX(파견수련계획!$I$4:$I$203,$AF175)))</f>
        <v/>
      </c>
      <c r="U175" s="10">
        <f>IF($AF175="","",INDEX(파견수련계획!$X$4:$X$203,$AF175))</f>
        <v/>
      </c>
      <c r="V175" s="17">
        <f>IF($AF175="","",INDEX(파견수련계획!$V$4:$V$203,$AF175))</f>
        <v/>
      </c>
      <c r="W175" s="17">
        <f>IF(AND($U175="파견중",$T175&lt;&gt;""),$T175-TODAY(),"")</f>
        <v/>
      </c>
      <c r="X175" s="17">
        <f>IF(OR($B175="",TRIM($J175&amp;"")=""),"",SUMPRODUCT((파견수련계획!$Q$4:$Q$203=TRIM($J175&amp;""))*파견수련계획!$W$4:$W$203))</f>
        <v/>
      </c>
      <c r="Y175" s="10">
        <f>IF($B175="","",IF($AG175="","",IF(IF(TRIM($J175&amp;"")="",0,SUMPRODUCT((파견수련계획!$Q$4:$Q$203=TRIM($J175&amp;""))*파견수련계획!$AD$4:$AD$203))&gt;0,$AE175,IF(N($X175)&lt;=0,$AG175,IF($AH175+$AI175=DAY(EOMONTH(요약!$B$3,0)),IF(AND($AH175&gt;=요약!$E$3,$AI175&lt;요약!$E$3),"서울병원",IF(AND($AI175&gt;=요약!$E$3,$AH175&lt;요약!$E$3),"구리병원","⚠15일 판정불가(서울 "&amp;$AH175&amp;"일/구리 "&amp;$AI175&amp;"일)")),IF($AJ175="",$AE175,IF(INDEX(파견수련계획!$T$4:$T$203,$AJ175)="통합수련",INDEX(파견수련계획!$S$4:$S$203,$AJ175),$AE175)))))))</f>
        <v/>
      </c>
      <c r="Z175" s="19">
        <f>IF($B175="","",IF($AB175="","기본자료에 없는 사번",IF(COUNTIF($B$2:$B$201,$B175)&gt;1,"중복 사번",IF($AE175="","소속(입사장소) 입력",IF(IF(TRIM($J175&amp;"")="",0,SUMPRODUCT((파견수련계획!$Q$4:$Q$203=TRIM($J175&amp;""))*(파견수련계획!$AA$4:$AA$203&lt;&gt;"")))&gt;0,"파견수련계획 입력오류 확인",IF(LEFT($Y175,1)="⚠","서울·구리 15일 판정 불가(양쪽 모두 이상/미만)",IF(IF($AC175="",0,N(INDEX(인턴근무계획!$T$3:$T$202,$AC175)))&gt;0,"인턴계획 입력오류 확인",IF(AND($AC175&lt;&gt;"",$U175&lt;&gt;"파견중",$N175&lt;&gt;$AE175),"인턴 타지역 근무: 파견 여부 확인","정상"))))))))</f>
        <v/>
      </c>
      <c r="AA175" s="5" t="n"/>
      <c r="AB175" s="10">
        <f>IF($B175="","",IFERROR(MATCH($B175,기본자료!$B$2:$B$501,0),IFERROR(MATCH($B175&amp;"",기본자료!$B$2:$B$501,0),IFERROR(MATCH(VALUE($B175),기본자료!$B$2:$B$501,0),""))))</f>
        <v/>
      </c>
      <c r="AC175" s="10">
        <f>IF($B175="","",IFERROR(MATCH($B175,인턴근무계획!$D$3:$D$202,0),IFERROR(MATCH($B175&amp;"",인턴근무계획!$D$3:$D$202,0),IFERROR(MATCH(VALUE($B175),인턴근무계획!$D$3:$D$202,0),""))))</f>
        <v/>
      </c>
      <c r="AD175" s="10">
        <f>IF(OR($AC175="",인턴현황!$G$3=""),"",INDEX(인턴근무계획!$M$3:$R$202,$AC175,인턴현황!$G$3)&amp;"")</f>
        <v/>
      </c>
      <c r="AE175" s="10">
        <f>IF($B175="","",IF($M175&lt;&gt;"",$M175,IF($AF175&lt;&gt;"",IF(LEFT(INDEX(파견수련계획!$R$4:$R$203,$AF175),1)&lt;&gt;"⚠",INDEX(파견수련계획!$R$4:$R$203,$AF175),IF($H175="","",IF(RIGHT($H175,2)="병원",$H175,$H175&amp;"병원"))),IF($H175="","",IF(RIGHT($H175,2)="병원",$H175,$H175&amp;"병원")))))</f>
        <v/>
      </c>
      <c r="AF175" s="10">
        <f>IF(OR($B175="",TRIM($J175&amp;"")=""),"",IFERROR(MATCH(TRIM($J175&amp;"")&amp;"|파견중",파견수련계획!$Y$4:$Y$203,0),IFERROR(MATCH(TRIM($J175&amp;"")&amp;"|파견예정",파견수련계획!$Y$4:$Y$203,0),IFERROR(MATCH(TRIM($J175&amp;"")&amp;"|파견종료",파견수련계획!$Y$4:$Y$203,0),""))))</f>
        <v/>
      </c>
      <c r="AG175" s="10">
        <f>IF($B175="","",IF(AND(IF(OR($AC175="",인턴현황!$K$2=""),"",INDEX(인턴근무계획!$M$3:$R$202,$AC175,인턴현황!$K$2)&amp;"")&lt;&gt;"",LEFT(IF(OR($AC175="",인턴현황!$K$2=""),"",INDEX(인턴근무계획!$M$3:$R$202,$AC175,인턴현황!$K$2)&amp;""),1)&lt;&gt;"⚠"),LEFT(IF(OR($AC175="",인턴현황!$K$2=""),"",INDEX(인턴근무계획!$M$3:$R$202,$AC175,인턴현황!$K$2)&amp;""),FIND(" ",IF(OR($AC175="",인턴현황!$K$2=""),"",INDEX(인턴근무계획!$M$3:$R$202,$AC175,인턴현황!$K$2)&amp;""))-1),$AE175))</f>
        <v/>
      </c>
      <c r="AH175" s="17">
        <f>IF($B175="","",IF(TRIM($J175&amp;"")="",0,SUMPRODUCT((파견수련계획!$Q$4:$Q$203=TRIM($J175&amp;""))*(파견수련계획!$S$4:$S$203="서울병원")*파견수련계획!$W$4:$W$203))+IF($AG175="서울병원",MAX(0,DAY(EOMONTH(요약!$B$3,0))-N($X175)),0))</f>
        <v/>
      </c>
      <c r="AI175" s="17">
        <f>IF($B175="","",IF(TRIM($J175&amp;"")="",0,SUMPRODUCT((파견수련계획!$Q$4:$Q$203=TRIM($J175&amp;""))*(파견수련계획!$S$4:$S$203="구리병원")*파견수련계획!$W$4:$W$203))+IF($AG175="구리병원",MAX(0,DAY(EOMONTH(요약!$B$3,0))-N($X175)),0))</f>
        <v/>
      </c>
      <c r="AJ175" s="10">
        <f>IF(OR($B175="",TRIM($J175&amp;"")=""),"",IFERROR(MATCH(TRIM($J175&amp;"")&amp;"|월",파견수련계획!$Z$4:$Z$203,0),""))</f>
        <v/>
      </c>
      <c r="AK175" s="10">
        <f>IF(OR($B175="",TRIM($J175&amp;"")=""),"",IFERROR(MATCH(TRIM($J175&amp;"")&amp;"|다기관",파견수련계획!$AE$4:$AE$203,0),""))</f>
        <v/>
      </c>
      <c r="AL175" s="10">
        <f>IF($AK175="","","다기관 "&amp;TEXT(INDEX(파견수련계획!$AB$4:$AB$203,$AK175),"yyyy-mm-dd")&amp;"~"&amp;IF(ISNUMBER(INDEX(파견수련계획!$AC$4:$AC$203,$AK175)),TEXT(INDEX(파견수련계획!$AC$4:$AC$203,$AK175),"yyyy-mm-dd"),""))</f>
        <v/>
      </c>
    </row>
    <row r="176">
      <c r="A176" s="10">
        <f>IF(B176="","",ROW()-1)</f>
        <v/>
      </c>
      <c r="B176" s="18" t="n"/>
      <c r="C176" s="10">
        <f>IF($AB176="","",IF(INDEX(기본자료!$C$2:$C$501,$AB176)="","",INDEX(기본자료!$C$2:$C$501,$AB176)))</f>
        <v/>
      </c>
      <c r="D176" s="10">
        <f>IF($AB176="","",IF(INDEX(기본자료!$J$2:$J$501,$AB176)="","",INDEX(기본자료!$J$2:$J$501,$AB176)))</f>
        <v/>
      </c>
      <c r="E176" s="11">
        <f>IF($AB176="","",IF(INDEX(기본자료!$K$2:$K$501,$AB176)="","",IF(NOT(ISNUMBER(INDEX(기본자료!$K$2:$K$501,$AB176))),INDEX(기본자료!$K$2:$K$501,$AB176),IF(INDEX(기본자료!$K$2:$K$501,$AB176)&lt;1000000,INDEX(기본자료!$K$2:$K$501,$AB176),IF(AND(INDEX(기본자료!$K$2:$K$501,$AB176)&gt;=10000101,INT(MOD(INDEX(기본자료!$K$2:$K$501,$AB176),10000)/100)&gt;=1,INT(MOD(INDEX(기본자료!$K$2:$K$501,$AB176),10000)/100)&lt;=12,MOD(INDEX(기본자료!$K$2:$K$501,$AB176),100)&gt;=1,MOD(INDEX(기본자료!$K$2:$K$501,$AB176),100)&lt;=31),DATE(INT(INDEX(기본자료!$K$2:$K$501,$AB176)/10000),INT(MOD(INDEX(기본자료!$K$2:$K$501,$AB176),10000)/100),MOD(INDEX(기본자료!$K$2:$K$501,$AB176),100)),INDEX(기본자료!$K$2:$K$501,$AB176)&amp;"")))))</f>
        <v/>
      </c>
      <c r="F176" s="10">
        <f>IF($AB176="","",IF(INDEX(기본자료!$D$2:$D$501,$AB176)="","",INDEX(기본자료!$D$2:$D$501,$AB176)))</f>
        <v/>
      </c>
      <c r="G176" s="10">
        <f>IF($AB176="","",IF(INDEX(기본자료!$E$2:$E$501,$AB176)="","",INDEX(기본자료!$E$2:$E$501,$AB176)))</f>
        <v/>
      </c>
      <c r="H176" s="10">
        <f>IF($AB176="","",IF(INDEX(기본자료!$F$2:$F$501,$AB176)="","",INDEX(기본자료!$F$2:$F$501,$AB176)))</f>
        <v/>
      </c>
      <c r="I176" s="11">
        <f>IF($AB176="","",IF(INDEX(기본자료!$G$2:$G$501,$AB176)="","",IF(NOT(ISNUMBER(INDEX(기본자료!$G$2:$G$501,$AB176))),INDEX(기본자료!$G$2:$G$501,$AB176),IF(INDEX(기본자료!$G$2:$G$501,$AB176)&lt;1000000,INDEX(기본자료!$G$2:$G$501,$AB176),IF(AND(INDEX(기본자료!$G$2:$G$501,$AB176)&gt;=10000101,INT(MOD(INDEX(기본자료!$G$2:$G$501,$AB176),10000)/100)&gt;=1,INT(MOD(INDEX(기본자료!$G$2:$G$501,$AB176),10000)/100)&lt;=12,MOD(INDEX(기본자료!$G$2:$G$501,$AB176),100)&gt;=1,MOD(INDEX(기본자료!$G$2:$G$501,$AB176),100)&lt;=31),DATE(INT(INDEX(기본자료!$G$2:$G$501,$AB176)/10000),INT(MOD(INDEX(기본자료!$G$2:$G$501,$AB176),10000)/100),MOD(INDEX(기본자료!$G$2:$G$501,$AB176),100)),INDEX(기본자료!$G$2:$G$501,$AB176)&amp;"")))))</f>
        <v/>
      </c>
      <c r="J176" s="10">
        <f>IF($AB176="","",IF(INDEX(기본자료!$H$2:$H$501,$AB176)="","",INDEX(기본자료!$H$2:$H$501,$AB176)))</f>
        <v/>
      </c>
      <c r="K176" s="10">
        <f>IF($AB176="","",IF(INDEX(기본자료!$I$2:$I$501,$AB176)="","",INDEX(기본자료!$I$2:$I$501,$AB176)))</f>
        <v/>
      </c>
      <c r="L176" s="10">
        <f>IF($AB176="","",IF(INDEX(기본자료!$A$2:$A$501,$AB176)="","",INDEX(기본자료!$A$2:$A$501,$AB176)))</f>
        <v/>
      </c>
      <c r="M176" s="15" t="n"/>
      <c r="N176" s="10">
        <f>IF($B176="","",IF(AND($U176="파견중",$Q176&lt;&gt;""),$Q176,IF(AND($AD176&lt;&gt;"",LEFT($AD176,1)&lt;&gt;"⚠"),LEFT($AD176,FIND(" ",$AD176)-1),IF($H176="","",IF(RIGHT($H176,2)="병원",$H176,$H176&amp;"병원")))))</f>
        <v/>
      </c>
      <c r="O176" s="10">
        <f>IF($B176="","",IF(AND($U176="파견중",$Q176&lt;&gt;""),IF($R176&lt;&gt;"",$R176,"파견과 미입력"),IF(AND($AD176&lt;&gt;"",LEFT($AD176,1)&lt;&gt;"⚠"),MID($AD176,FIND(" ",$AD176)+1,60),IF($F176="","",IF($F176="인턴","수련교육부(인턴)",$F176)))))</f>
        <v/>
      </c>
      <c r="P176" s="10">
        <f>IF($B176="","",IF($AK176&lt;&gt;"",IF(AND(TODAY()&gt;=INDEX(파견수련계획!$AB$4:$AB$203,$AK176),OR(NOT(ISNUMBER(INDEX(파견수련계획!$AC$4:$AC$203,$AK176))),TODAY()&lt;=INDEX(파견수련계획!$AC$4:$AC$203,$AK176))),"다기관",IF($AF176="","",INDEX(파견수련계획!$T$4:$T$203,$AF176))),IF($AF176="","",INDEX(파견수련계획!$T$4:$T$203,$AF176))))</f>
        <v/>
      </c>
      <c r="Q176" s="10">
        <f>IF($AF176="","",INDEX(파견수련계획!$S$4:$S$203,$AF176))</f>
        <v/>
      </c>
      <c r="R176" s="10">
        <f>IF($AF176="","",INDEX(파견수련계획!$U$4:$U$203,$AF176))</f>
        <v/>
      </c>
      <c r="S176" s="11">
        <f>IF($AF176="","",IF(INDEX(파견수련계획!$H$4:$H$203,$AF176)="","",INDEX(파견수련계획!$H$4:$H$203,$AF176)))</f>
        <v/>
      </c>
      <c r="T176" s="11">
        <f>IF($AF176="","",IF(INDEX(파견수련계획!$I$4:$I$203,$AF176)="","",INDEX(파견수련계획!$I$4:$I$203,$AF176)))</f>
        <v/>
      </c>
      <c r="U176" s="10">
        <f>IF($AF176="","",INDEX(파견수련계획!$X$4:$X$203,$AF176))</f>
        <v/>
      </c>
      <c r="V176" s="17">
        <f>IF($AF176="","",INDEX(파견수련계획!$V$4:$V$203,$AF176))</f>
        <v/>
      </c>
      <c r="W176" s="17">
        <f>IF(AND($U176="파견중",$T176&lt;&gt;""),$T176-TODAY(),"")</f>
        <v/>
      </c>
      <c r="X176" s="17">
        <f>IF(OR($B176="",TRIM($J176&amp;"")=""),"",SUMPRODUCT((파견수련계획!$Q$4:$Q$203=TRIM($J176&amp;""))*파견수련계획!$W$4:$W$203))</f>
        <v/>
      </c>
      <c r="Y176" s="10">
        <f>IF($B176="","",IF($AG176="","",IF(IF(TRIM($J176&amp;"")="",0,SUMPRODUCT((파견수련계획!$Q$4:$Q$203=TRIM($J176&amp;""))*파견수련계획!$AD$4:$AD$203))&gt;0,$AE176,IF(N($X176)&lt;=0,$AG176,IF($AH176+$AI176=DAY(EOMONTH(요약!$B$3,0)),IF(AND($AH176&gt;=요약!$E$3,$AI176&lt;요약!$E$3),"서울병원",IF(AND($AI176&gt;=요약!$E$3,$AH176&lt;요약!$E$3),"구리병원","⚠15일 판정불가(서울 "&amp;$AH176&amp;"일/구리 "&amp;$AI176&amp;"일)")),IF($AJ176="",$AE176,IF(INDEX(파견수련계획!$T$4:$T$203,$AJ176)="통합수련",INDEX(파견수련계획!$S$4:$S$203,$AJ176),$AE176)))))))</f>
        <v/>
      </c>
      <c r="Z176" s="19">
        <f>IF($B176="","",IF($AB176="","기본자료에 없는 사번",IF(COUNTIF($B$2:$B$201,$B176)&gt;1,"중복 사번",IF($AE176="","소속(입사장소) 입력",IF(IF(TRIM($J176&amp;"")="",0,SUMPRODUCT((파견수련계획!$Q$4:$Q$203=TRIM($J176&amp;""))*(파견수련계획!$AA$4:$AA$203&lt;&gt;"")))&gt;0,"파견수련계획 입력오류 확인",IF(LEFT($Y176,1)="⚠","서울·구리 15일 판정 불가(양쪽 모두 이상/미만)",IF(IF($AC176="",0,N(INDEX(인턴근무계획!$T$3:$T$202,$AC176)))&gt;0,"인턴계획 입력오류 확인",IF(AND($AC176&lt;&gt;"",$U176&lt;&gt;"파견중",$N176&lt;&gt;$AE176),"인턴 타지역 근무: 파견 여부 확인","정상"))))))))</f>
        <v/>
      </c>
      <c r="AA176" s="5" t="n"/>
      <c r="AB176" s="10">
        <f>IF($B176="","",IFERROR(MATCH($B176,기본자료!$B$2:$B$501,0),IFERROR(MATCH($B176&amp;"",기본자료!$B$2:$B$501,0),IFERROR(MATCH(VALUE($B176),기본자료!$B$2:$B$501,0),""))))</f>
        <v/>
      </c>
      <c r="AC176" s="10">
        <f>IF($B176="","",IFERROR(MATCH($B176,인턴근무계획!$D$3:$D$202,0),IFERROR(MATCH($B176&amp;"",인턴근무계획!$D$3:$D$202,0),IFERROR(MATCH(VALUE($B176),인턴근무계획!$D$3:$D$202,0),""))))</f>
        <v/>
      </c>
      <c r="AD176" s="10">
        <f>IF(OR($AC176="",인턴현황!$G$3=""),"",INDEX(인턴근무계획!$M$3:$R$202,$AC176,인턴현황!$G$3)&amp;"")</f>
        <v/>
      </c>
      <c r="AE176" s="10">
        <f>IF($B176="","",IF($M176&lt;&gt;"",$M176,IF($AF176&lt;&gt;"",IF(LEFT(INDEX(파견수련계획!$R$4:$R$203,$AF176),1)&lt;&gt;"⚠",INDEX(파견수련계획!$R$4:$R$203,$AF176),IF($H176="","",IF(RIGHT($H176,2)="병원",$H176,$H176&amp;"병원"))),IF($H176="","",IF(RIGHT($H176,2)="병원",$H176,$H176&amp;"병원")))))</f>
        <v/>
      </c>
      <c r="AF176" s="10">
        <f>IF(OR($B176="",TRIM($J176&amp;"")=""),"",IFERROR(MATCH(TRIM($J176&amp;"")&amp;"|파견중",파견수련계획!$Y$4:$Y$203,0),IFERROR(MATCH(TRIM($J176&amp;"")&amp;"|파견예정",파견수련계획!$Y$4:$Y$203,0),IFERROR(MATCH(TRIM($J176&amp;"")&amp;"|파견종료",파견수련계획!$Y$4:$Y$203,0),""))))</f>
        <v/>
      </c>
      <c r="AG176" s="10">
        <f>IF($B176="","",IF(AND(IF(OR($AC176="",인턴현황!$K$2=""),"",INDEX(인턴근무계획!$M$3:$R$202,$AC176,인턴현황!$K$2)&amp;"")&lt;&gt;"",LEFT(IF(OR($AC176="",인턴현황!$K$2=""),"",INDEX(인턴근무계획!$M$3:$R$202,$AC176,인턴현황!$K$2)&amp;""),1)&lt;&gt;"⚠"),LEFT(IF(OR($AC176="",인턴현황!$K$2=""),"",INDEX(인턴근무계획!$M$3:$R$202,$AC176,인턴현황!$K$2)&amp;""),FIND(" ",IF(OR($AC176="",인턴현황!$K$2=""),"",INDEX(인턴근무계획!$M$3:$R$202,$AC176,인턴현황!$K$2)&amp;""))-1),$AE176))</f>
        <v/>
      </c>
      <c r="AH176" s="17">
        <f>IF($B176="","",IF(TRIM($J176&amp;"")="",0,SUMPRODUCT((파견수련계획!$Q$4:$Q$203=TRIM($J176&amp;""))*(파견수련계획!$S$4:$S$203="서울병원")*파견수련계획!$W$4:$W$203))+IF($AG176="서울병원",MAX(0,DAY(EOMONTH(요약!$B$3,0))-N($X176)),0))</f>
        <v/>
      </c>
      <c r="AI176" s="17">
        <f>IF($B176="","",IF(TRIM($J176&amp;"")="",0,SUMPRODUCT((파견수련계획!$Q$4:$Q$203=TRIM($J176&amp;""))*(파견수련계획!$S$4:$S$203="구리병원")*파견수련계획!$W$4:$W$203))+IF($AG176="구리병원",MAX(0,DAY(EOMONTH(요약!$B$3,0))-N($X176)),0))</f>
        <v/>
      </c>
      <c r="AJ176" s="10">
        <f>IF(OR($B176="",TRIM($J176&amp;"")=""),"",IFERROR(MATCH(TRIM($J176&amp;"")&amp;"|월",파견수련계획!$Z$4:$Z$203,0),""))</f>
        <v/>
      </c>
      <c r="AK176" s="10">
        <f>IF(OR($B176="",TRIM($J176&amp;"")=""),"",IFERROR(MATCH(TRIM($J176&amp;"")&amp;"|다기관",파견수련계획!$AE$4:$AE$203,0),""))</f>
        <v/>
      </c>
      <c r="AL176" s="10">
        <f>IF($AK176="","","다기관 "&amp;TEXT(INDEX(파견수련계획!$AB$4:$AB$203,$AK176),"yyyy-mm-dd")&amp;"~"&amp;IF(ISNUMBER(INDEX(파견수련계획!$AC$4:$AC$203,$AK176)),TEXT(INDEX(파견수련계획!$AC$4:$AC$203,$AK176),"yyyy-mm-dd"),""))</f>
        <v/>
      </c>
    </row>
    <row r="177">
      <c r="A177" s="10">
        <f>IF(B177="","",ROW()-1)</f>
        <v/>
      </c>
      <c r="B177" s="18" t="n"/>
      <c r="C177" s="10">
        <f>IF($AB177="","",IF(INDEX(기본자료!$C$2:$C$501,$AB177)="","",INDEX(기본자료!$C$2:$C$501,$AB177)))</f>
        <v/>
      </c>
      <c r="D177" s="10">
        <f>IF($AB177="","",IF(INDEX(기본자료!$J$2:$J$501,$AB177)="","",INDEX(기본자료!$J$2:$J$501,$AB177)))</f>
        <v/>
      </c>
      <c r="E177" s="11">
        <f>IF($AB177="","",IF(INDEX(기본자료!$K$2:$K$501,$AB177)="","",IF(NOT(ISNUMBER(INDEX(기본자료!$K$2:$K$501,$AB177))),INDEX(기본자료!$K$2:$K$501,$AB177),IF(INDEX(기본자료!$K$2:$K$501,$AB177)&lt;1000000,INDEX(기본자료!$K$2:$K$501,$AB177),IF(AND(INDEX(기본자료!$K$2:$K$501,$AB177)&gt;=10000101,INT(MOD(INDEX(기본자료!$K$2:$K$501,$AB177),10000)/100)&gt;=1,INT(MOD(INDEX(기본자료!$K$2:$K$501,$AB177),10000)/100)&lt;=12,MOD(INDEX(기본자료!$K$2:$K$501,$AB177),100)&gt;=1,MOD(INDEX(기본자료!$K$2:$K$501,$AB177),100)&lt;=31),DATE(INT(INDEX(기본자료!$K$2:$K$501,$AB177)/10000),INT(MOD(INDEX(기본자료!$K$2:$K$501,$AB177),10000)/100),MOD(INDEX(기본자료!$K$2:$K$501,$AB177),100)),INDEX(기본자료!$K$2:$K$501,$AB177)&amp;"")))))</f>
        <v/>
      </c>
      <c r="F177" s="10">
        <f>IF($AB177="","",IF(INDEX(기본자료!$D$2:$D$501,$AB177)="","",INDEX(기본자료!$D$2:$D$501,$AB177)))</f>
        <v/>
      </c>
      <c r="G177" s="10">
        <f>IF($AB177="","",IF(INDEX(기본자료!$E$2:$E$501,$AB177)="","",INDEX(기본자료!$E$2:$E$501,$AB177)))</f>
        <v/>
      </c>
      <c r="H177" s="10">
        <f>IF($AB177="","",IF(INDEX(기본자료!$F$2:$F$501,$AB177)="","",INDEX(기본자료!$F$2:$F$501,$AB177)))</f>
        <v/>
      </c>
      <c r="I177" s="11">
        <f>IF($AB177="","",IF(INDEX(기본자료!$G$2:$G$501,$AB177)="","",IF(NOT(ISNUMBER(INDEX(기본자료!$G$2:$G$501,$AB177))),INDEX(기본자료!$G$2:$G$501,$AB177),IF(INDEX(기본자료!$G$2:$G$501,$AB177)&lt;1000000,INDEX(기본자료!$G$2:$G$501,$AB177),IF(AND(INDEX(기본자료!$G$2:$G$501,$AB177)&gt;=10000101,INT(MOD(INDEX(기본자료!$G$2:$G$501,$AB177),10000)/100)&gt;=1,INT(MOD(INDEX(기본자료!$G$2:$G$501,$AB177),10000)/100)&lt;=12,MOD(INDEX(기본자료!$G$2:$G$501,$AB177),100)&gt;=1,MOD(INDEX(기본자료!$G$2:$G$501,$AB177),100)&lt;=31),DATE(INT(INDEX(기본자료!$G$2:$G$501,$AB177)/10000),INT(MOD(INDEX(기본자료!$G$2:$G$501,$AB177),10000)/100),MOD(INDEX(기본자료!$G$2:$G$501,$AB177),100)),INDEX(기본자료!$G$2:$G$501,$AB177)&amp;"")))))</f>
        <v/>
      </c>
      <c r="J177" s="10">
        <f>IF($AB177="","",IF(INDEX(기본자료!$H$2:$H$501,$AB177)="","",INDEX(기본자료!$H$2:$H$501,$AB177)))</f>
        <v/>
      </c>
      <c r="K177" s="10">
        <f>IF($AB177="","",IF(INDEX(기본자료!$I$2:$I$501,$AB177)="","",INDEX(기본자료!$I$2:$I$501,$AB177)))</f>
        <v/>
      </c>
      <c r="L177" s="10">
        <f>IF($AB177="","",IF(INDEX(기본자료!$A$2:$A$501,$AB177)="","",INDEX(기본자료!$A$2:$A$501,$AB177)))</f>
        <v/>
      </c>
      <c r="M177" s="15" t="n"/>
      <c r="N177" s="10">
        <f>IF($B177="","",IF(AND($U177="파견중",$Q177&lt;&gt;""),$Q177,IF(AND($AD177&lt;&gt;"",LEFT($AD177,1)&lt;&gt;"⚠"),LEFT($AD177,FIND(" ",$AD177)-1),IF($H177="","",IF(RIGHT($H177,2)="병원",$H177,$H177&amp;"병원")))))</f>
        <v/>
      </c>
      <c r="O177" s="10">
        <f>IF($B177="","",IF(AND($U177="파견중",$Q177&lt;&gt;""),IF($R177&lt;&gt;"",$R177,"파견과 미입력"),IF(AND($AD177&lt;&gt;"",LEFT($AD177,1)&lt;&gt;"⚠"),MID($AD177,FIND(" ",$AD177)+1,60),IF($F177="","",IF($F177="인턴","수련교육부(인턴)",$F177)))))</f>
        <v/>
      </c>
      <c r="P177" s="10">
        <f>IF($B177="","",IF($AK177&lt;&gt;"",IF(AND(TODAY()&gt;=INDEX(파견수련계획!$AB$4:$AB$203,$AK177),OR(NOT(ISNUMBER(INDEX(파견수련계획!$AC$4:$AC$203,$AK177))),TODAY()&lt;=INDEX(파견수련계획!$AC$4:$AC$203,$AK177))),"다기관",IF($AF177="","",INDEX(파견수련계획!$T$4:$T$203,$AF177))),IF($AF177="","",INDEX(파견수련계획!$T$4:$T$203,$AF177))))</f>
        <v/>
      </c>
      <c r="Q177" s="10">
        <f>IF($AF177="","",INDEX(파견수련계획!$S$4:$S$203,$AF177))</f>
        <v/>
      </c>
      <c r="R177" s="10">
        <f>IF($AF177="","",INDEX(파견수련계획!$U$4:$U$203,$AF177))</f>
        <v/>
      </c>
      <c r="S177" s="11">
        <f>IF($AF177="","",IF(INDEX(파견수련계획!$H$4:$H$203,$AF177)="","",INDEX(파견수련계획!$H$4:$H$203,$AF177)))</f>
        <v/>
      </c>
      <c r="T177" s="11">
        <f>IF($AF177="","",IF(INDEX(파견수련계획!$I$4:$I$203,$AF177)="","",INDEX(파견수련계획!$I$4:$I$203,$AF177)))</f>
        <v/>
      </c>
      <c r="U177" s="10">
        <f>IF($AF177="","",INDEX(파견수련계획!$X$4:$X$203,$AF177))</f>
        <v/>
      </c>
      <c r="V177" s="17">
        <f>IF($AF177="","",INDEX(파견수련계획!$V$4:$V$203,$AF177))</f>
        <v/>
      </c>
      <c r="W177" s="17">
        <f>IF(AND($U177="파견중",$T177&lt;&gt;""),$T177-TODAY(),"")</f>
        <v/>
      </c>
      <c r="X177" s="17">
        <f>IF(OR($B177="",TRIM($J177&amp;"")=""),"",SUMPRODUCT((파견수련계획!$Q$4:$Q$203=TRIM($J177&amp;""))*파견수련계획!$W$4:$W$203))</f>
        <v/>
      </c>
      <c r="Y177" s="10">
        <f>IF($B177="","",IF($AG177="","",IF(IF(TRIM($J177&amp;"")="",0,SUMPRODUCT((파견수련계획!$Q$4:$Q$203=TRIM($J177&amp;""))*파견수련계획!$AD$4:$AD$203))&gt;0,$AE177,IF(N($X177)&lt;=0,$AG177,IF($AH177+$AI177=DAY(EOMONTH(요약!$B$3,0)),IF(AND($AH177&gt;=요약!$E$3,$AI177&lt;요약!$E$3),"서울병원",IF(AND($AI177&gt;=요약!$E$3,$AH177&lt;요약!$E$3),"구리병원","⚠15일 판정불가(서울 "&amp;$AH177&amp;"일/구리 "&amp;$AI177&amp;"일)")),IF($AJ177="",$AE177,IF(INDEX(파견수련계획!$T$4:$T$203,$AJ177)="통합수련",INDEX(파견수련계획!$S$4:$S$203,$AJ177),$AE177)))))))</f>
        <v/>
      </c>
      <c r="Z177" s="19">
        <f>IF($B177="","",IF($AB177="","기본자료에 없는 사번",IF(COUNTIF($B$2:$B$201,$B177)&gt;1,"중복 사번",IF($AE177="","소속(입사장소) 입력",IF(IF(TRIM($J177&amp;"")="",0,SUMPRODUCT((파견수련계획!$Q$4:$Q$203=TRIM($J177&amp;""))*(파견수련계획!$AA$4:$AA$203&lt;&gt;"")))&gt;0,"파견수련계획 입력오류 확인",IF(LEFT($Y177,1)="⚠","서울·구리 15일 판정 불가(양쪽 모두 이상/미만)",IF(IF($AC177="",0,N(INDEX(인턴근무계획!$T$3:$T$202,$AC177)))&gt;0,"인턴계획 입력오류 확인",IF(AND($AC177&lt;&gt;"",$U177&lt;&gt;"파견중",$N177&lt;&gt;$AE177),"인턴 타지역 근무: 파견 여부 확인","정상"))))))))</f>
        <v/>
      </c>
      <c r="AA177" s="5" t="n"/>
      <c r="AB177" s="10">
        <f>IF($B177="","",IFERROR(MATCH($B177,기본자료!$B$2:$B$501,0),IFERROR(MATCH($B177&amp;"",기본자료!$B$2:$B$501,0),IFERROR(MATCH(VALUE($B177),기본자료!$B$2:$B$501,0),""))))</f>
        <v/>
      </c>
      <c r="AC177" s="10">
        <f>IF($B177="","",IFERROR(MATCH($B177,인턴근무계획!$D$3:$D$202,0),IFERROR(MATCH($B177&amp;"",인턴근무계획!$D$3:$D$202,0),IFERROR(MATCH(VALUE($B177),인턴근무계획!$D$3:$D$202,0),""))))</f>
        <v/>
      </c>
      <c r="AD177" s="10">
        <f>IF(OR($AC177="",인턴현황!$G$3=""),"",INDEX(인턴근무계획!$M$3:$R$202,$AC177,인턴현황!$G$3)&amp;"")</f>
        <v/>
      </c>
      <c r="AE177" s="10">
        <f>IF($B177="","",IF($M177&lt;&gt;"",$M177,IF($AF177&lt;&gt;"",IF(LEFT(INDEX(파견수련계획!$R$4:$R$203,$AF177),1)&lt;&gt;"⚠",INDEX(파견수련계획!$R$4:$R$203,$AF177),IF($H177="","",IF(RIGHT($H177,2)="병원",$H177,$H177&amp;"병원"))),IF($H177="","",IF(RIGHT($H177,2)="병원",$H177,$H177&amp;"병원")))))</f>
        <v/>
      </c>
      <c r="AF177" s="10">
        <f>IF(OR($B177="",TRIM($J177&amp;"")=""),"",IFERROR(MATCH(TRIM($J177&amp;"")&amp;"|파견중",파견수련계획!$Y$4:$Y$203,0),IFERROR(MATCH(TRIM($J177&amp;"")&amp;"|파견예정",파견수련계획!$Y$4:$Y$203,0),IFERROR(MATCH(TRIM($J177&amp;"")&amp;"|파견종료",파견수련계획!$Y$4:$Y$203,0),""))))</f>
        <v/>
      </c>
      <c r="AG177" s="10">
        <f>IF($B177="","",IF(AND(IF(OR($AC177="",인턴현황!$K$2=""),"",INDEX(인턴근무계획!$M$3:$R$202,$AC177,인턴현황!$K$2)&amp;"")&lt;&gt;"",LEFT(IF(OR($AC177="",인턴현황!$K$2=""),"",INDEX(인턴근무계획!$M$3:$R$202,$AC177,인턴현황!$K$2)&amp;""),1)&lt;&gt;"⚠"),LEFT(IF(OR($AC177="",인턴현황!$K$2=""),"",INDEX(인턴근무계획!$M$3:$R$202,$AC177,인턴현황!$K$2)&amp;""),FIND(" ",IF(OR($AC177="",인턴현황!$K$2=""),"",INDEX(인턴근무계획!$M$3:$R$202,$AC177,인턴현황!$K$2)&amp;""))-1),$AE177))</f>
        <v/>
      </c>
      <c r="AH177" s="17">
        <f>IF($B177="","",IF(TRIM($J177&amp;"")="",0,SUMPRODUCT((파견수련계획!$Q$4:$Q$203=TRIM($J177&amp;""))*(파견수련계획!$S$4:$S$203="서울병원")*파견수련계획!$W$4:$W$203))+IF($AG177="서울병원",MAX(0,DAY(EOMONTH(요약!$B$3,0))-N($X177)),0))</f>
        <v/>
      </c>
      <c r="AI177" s="17">
        <f>IF($B177="","",IF(TRIM($J177&amp;"")="",0,SUMPRODUCT((파견수련계획!$Q$4:$Q$203=TRIM($J177&amp;""))*(파견수련계획!$S$4:$S$203="구리병원")*파견수련계획!$W$4:$W$203))+IF($AG177="구리병원",MAX(0,DAY(EOMONTH(요약!$B$3,0))-N($X177)),0))</f>
        <v/>
      </c>
      <c r="AJ177" s="10">
        <f>IF(OR($B177="",TRIM($J177&amp;"")=""),"",IFERROR(MATCH(TRIM($J177&amp;"")&amp;"|월",파견수련계획!$Z$4:$Z$203,0),""))</f>
        <v/>
      </c>
      <c r="AK177" s="10">
        <f>IF(OR($B177="",TRIM($J177&amp;"")=""),"",IFERROR(MATCH(TRIM($J177&amp;"")&amp;"|다기관",파견수련계획!$AE$4:$AE$203,0),""))</f>
        <v/>
      </c>
      <c r="AL177" s="10">
        <f>IF($AK177="","","다기관 "&amp;TEXT(INDEX(파견수련계획!$AB$4:$AB$203,$AK177),"yyyy-mm-dd")&amp;"~"&amp;IF(ISNUMBER(INDEX(파견수련계획!$AC$4:$AC$203,$AK177)),TEXT(INDEX(파견수련계획!$AC$4:$AC$203,$AK177),"yyyy-mm-dd"),""))</f>
        <v/>
      </c>
    </row>
    <row r="178">
      <c r="A178" s="10">
        <f>IF(B178="","",ROW()-1)</f>
        <v/>
      </c>
      <c r="B178" s="18" t="n"/>
      <c r="C178" s="10">
        <f>IF($AB178="","",IF(INDEX(기본자료!$C$2:$C$501,$AB178)="","",INDEX(기본자료!$C$2:$C$501,$AB178)))</f>
        <v/>
      </c>
      <c r="D178" s="10">
        <f>IF($AB178="","",IF(INDEX(기본자료!$J$2:$J$501,$AB178)="","",INDEX(기본자료!$J$2:$J$501,$AB178)))</f>
        <v/>
      </c>
      <c r="E178" s="11">
        <f>IF($AB178="","",IF(INDEX(기본자료!$K$2:$K$501,$AB178)="","",IF(NOT(ISNUMBER(INDEX(기본자료!$K$2:$K$501,$AB178))),INDEX(기본자료!$K$2:$K$501,$AB178),IF(INDEX(기본자료!$K$2:$K$501,$AB178)&lt;1000000,INDEX(기본자료!$K$2:$K$501,$AB178),IF(AND(INDEX(기본자료!$K$2:$K$501,$AB178)&gt;=10000101,INT(MOD(INDEX(기본자료!$K$2:$K$501,$AB178),10000)/100)&gt;=1,INT(MOD(INDEX(기본자료!$K$2:$K$501,$AB178),10000)/100)&lt;=12,MOD(INDEX(기본자료!$K$2:$K$501,$AB178),100)&gt;=1,MOD(INDEX(기본자료!$K$2:$K$501,$AB178),100)&lt;=31),DATE(INT(INDEX(기본자료!$K$2:$K$501,$AB178)/10000),INT(MOD(INDEX(기본자료!$K$2:$K$501,$AB178),10000)/100),MOD(INDEX(기본자료!$K$2:$K$501,$AB178),100)),INDEX(기본자료!$K$2:$K$501,$AB178)&amp;"")))))</f>
        <v/>
      </c>
      <c r="F178" s="10">
        <f>IF($AB178="","",IF(INDEX(기본자료!$D$2:$D$501,$AB178)="","",INDEX(기본자료!$D$2:$D$501,$AB178)))</f>
        <v/>
      </c>
      <c r="G178" s="10">
        <f>IF($AB178="","",IF(INDEX(기본자료!$E$2:$E$501,$AB178)="","",INDEX(기본자료!$E$2:$E$501,$AB178)))</f>
        <v/>
      </c>
      <c r="H178" s="10">
        <f>IF($AB178="","",IF(INDEX(기본자료!$F$2:$F$501,$AB178)="","",INDEX(기본자료!$F$2:$F$501,$AB178)))</f>
        <v/>
      </c>
      <c r="I178" s="11">
        <f>IF($AB178="","",IF(INDEX(기본자료!$G$2:$G$501,$AB178)="","",IF(NOT(ISNUMBER(INDEX(기본자료!$G$2:$G$501,$AB178))),INDEX(기본자료!$G$2:$G$501,$AB178),IF(INDEX(기본자료!$G$2:$G$501,$AB178)&lt;1000000,INDEX(기본자료!$G$2:$G$501,$AB178),IF(AND(INDEX(기본자료!$G$2:$G$501,$AB178)&gt;=10000101,INT(MOD(INDEX(기본자료!$G$2:$G$501,$AB178),10000)/100)&gt;=1,INT(MOD(INDEX(기본자료!$G$2:$G$501,$AB178),10000)/100)&lt;=12,MOD(INDEX(기본자료!$G$2:$G$501,$AB178),100)&gt;=1,MOD(INDEX(기본자료!$G$2:$G$501,$AB178),100)&lt;=31),DATE(INT(INDEX(기본자료!$G$2:$G$501,$AB178)/10000),INT(MOD(INDEX(기본자료!$G$2:$G$501,$AB178),10000)/100),MOD(INDEX(기본자료!$G$2:$G$501,$AB178),100)),INDEX(기본자료!$G$2:$G$501,$AB178)&amp;"")))))</f>
        <v/>
      </c>
      <c r="J178" s="10">
        <f>IF($AB178="","",IF(INDEX(기본자료!$H$2:$H$501,$AB178)="","",INDEX(기본자료!$H$2:$H$501,$AB178)))</f>
        <v/>
      </c>
      <c r="K178" s="10">
        <f>IF($AB178="","",IF(INDEX(기본자료!$I$2:$I$501,$AB178)="","",INDEX(기본자료!$I$2:$I$501,$AB178)))</f>
        <v/>
      </c>
      <c r="L178" s="10">
        <f>IF($AB178="","",IF(INDEX(기본자료!$A$2:$A$501,$AB178)="","",INDEX(기본자료!$A$2:$A$501,$AB178)))</f>
        <v/>
      </c>
      <c r="M178" s="15" t="n"/>
      <c r="N178" s="10">
        <f>IF($B178="","",IF(AND($U178="파견중",$Q178&lt;&gt;""),$Q178,IF(AND($AD178&lt;&gt;"",LEFT($AD178,1)&lt;&gt;"⚠"),LEFT($AD178,FIND(" ",$AD178)-1),IF($H178="","",IF(RIGHT($H178,2)="병원",$H178,$H178&amp;"병원")))))</f>
        <v/>
      </c>
      <c r="O178" s="10">
        <f>IF($B178="","",IF(AND($U178="파견중",$Q178&lt;&gt;""),IF($R178&lt;&gt;"",$R178,"파견과 미입력"),IF(AND($AD178&lt;&gt;"",LEFT($AD178,1)&lt;&gt;"⚠"),MID($AD178,FIND(" ",$AD178)+1,60),IF($F178="","",IF($F178="인턴","수련교육부(인턴)",$F178)))))</f>
        <v/>
      </c>
      <c r="P178" s="10">
        <f>IF($B178="","",IF($AK178&lt;&gt;"",IF(AND(TODAY()&gt;=INDEX(파견수련계획!$AB$4:$AB$203,$AK178),OR(NOT(ISNUMBER(INDEX(파견수련계획!$AC$4:$AC$203,$AK178))),TODAY()&lt;=INDEX(파견수련계획!$AC$4:$AC$203,$AK178))),"다기관",IF($AF178="","",INDEX(파견수련계획!$T$4:$T$203,$AF178))),IF($AF178="","",INDEX(파견수련계획!$T$4:$T$203,$AF178))))</f>
        <v/>
      </c>
      <c r="Q178" s="10">
        <f>IF($AF178="","",INDEX(파견수련계획!$S$4:$S$203,$AF178))</f>
        <v/>
      </c>
      <c r="R178" s="10">
        <f>IF($AF178="","",INDEX(파견수련계획!$U$4:$U$203,$AF178))</f>
        <v/>
      </c>
      <c r="S178" s="11">
        <f>IF($AF178="","",IF(INDEX(파견수련계획!$H$4:$H$203,$AF178)="","",INDEX(파견수련계획!$H$4:$H$203,$AF178)))</f>
        <v/>
      </c>
      <c r="T178" s="11">
        <f>IF($AF178="","",IF(INDEX(파견수련계획!$I$4:$I$203,$AF178)="","",INDEX(파견수련계획!$I$4:$I$203,$AF178)))</f>
        <v/>
      </c>
      <c r="U178" s="10">
        <f>IF($AF178="","",INDEX(파견수련계획!$X$4:$X$203,$AF178))</f>
        <v/>
      </c>
      <c r="V178" s="17">
        <f>IF($AF178="","",INDEX(파견수련계획!$V$4:$V$203,$AF178))</f>
        <v/>
      </c>
      <c r="W178" s="17">
        <f>IF(AND($U178="파견중",$T178&lt;&gt;""),$T178-TODAY(),"")</f>
        <v/>
      </c>
      <c r="X178" s="17">
        <f>IF(OR($B178="",TRIM($J178&amp;"")=""),"",SUMPRODUCT((파견수련계획!$Q$4:$Q$203=TRIM($J178&amp;""))*파견수련계획!$W$4:$W$203))</f>
        <v/>
      </c>
      <c r="Y178" s="10">
        <f>IF($B178="","",IF($AG178="","",IF(IF(TRIM($J178&amp;"")="",0,SUMPRODUCT((파견수련계획!$Q$4:$Q$203=TRIM($J178&amp;""))*파견수련계획!$AD$4:$AD$203))&gt;0,$AE178,IF(N($X178)&lt;=0,$AG178,IF($AH178+$AI178=DAY(EOMONTH(요약!$B$3,0)),IF(AND($AH178&gt;=요약!$E$3,$AI178&lt;요약!$E$3),"서울병원",IF(AND($AI178&gt;=요약!$E$3,$AH178&lt;요약!$E$3),"구리병원","⚠15일 판정불가(서울 "&amp;$AH178&amp;"일/구리 "&amp;$AI178&amp;"일)")),IF($AJ178="",$AE178,IF(INDEX(파견수련계획!$T$4:$T$203,$AJ178)="통합수련",INDEX(파견수련계획!$S$4:$S$203,$AJ178),$AE178)))))))</f>
        <v/>
      </c>
      <c r="Z178" s="19">
        <f>IF($B178="","",IF($AB178="","기본자료에 없는 사번",IF(COUNTIF($B$2:$B$201,$B178)&gt;1,"중복 사번",IF($AE178="","소속(입사장소) 입력",IF(IF(TRIM($J178&amp;"")="",0,SUMPRODUCT((파견수련계획!$Q$4:$Q$203=TRIM($J178&amp;""))*(파견수련계획!$AA$4:$AA$203&lt;&gt;"")))&gt;0,"파견수련계획 입력오류 확인",IF(LEFT($Y178,1)="⚠","서울·구리 15일 판정 불가(양쪽 모두 이상/미만)",IF(IF($AC178="",0,N(INDEX(인턴근무계획!$T$3:$T$202,$AC178)))&gt;0,"인턴계획 입력오류 확인",IF(AND($AC178&lt;&gt;"",$U178&lt;&gt;"파견중",$N178&lt;&gt;$AE178),"인턴 타지역 근무: 파견 여부 확인","정상"))))))))</f>
        <v/>
      </c>
      <c r="AA178" s="5" t="n"/>
      <c r="AB178" s="10">
        <f>IF($B178="","",IFERROR(MATCH($B178,기본자료!$B$2:$B$501,0),IFERROR(MATCH($B178&amp;"",기본자료!$B$2:$B$501,0),IFERROR(MATCH(VALUE($B178),기본자료!$B$2:$B$501,0),""))))</f>
        <v/>
      </c>
      <c r="AC178" s="10">
        <f>IF($B178="","",IFERROR(MATCH($B178,인턴근무계획!$D$3:$D$202,0),IFERROR(MATCH($B178&amp;"",인턴근무계획!$D$3:$D$202,0),IFERROR(MATCH(VALUE($B178),인턴근무계획!$D$3:$D$202,0),""))))</f>
        <v/>
      </c>
      <c r="AD178" s="10">
        <f>IF(OR($AC178="",인턴현황!$G$3=""),"",INDEX(인턴근무계획!$M$3:$R$202,$AC178,인턴현황!$G$3)&amp;"")</f>
        <v/>
      </c>
      <c r="AE178" s="10">
        <f>IF($B178="","",IF($M178&lt;&gt;"",$M178,IF($AF178&lt;&gt;"",IF(LEFT(INDEX(파견수련계획!$R$4:$R$203,$AF178),1)&lt;&gt;"⚠",INDEX(파견수련계획!$R$4:$R$203,$AF178),IF($H178="","",IF(RIGHT($H178,2)="병원",$H178,$H178&amp;"병원"))),IF($H178="","",IF(RIGHT($H178,2)="병원",$H178,$H178&amp;"병원")))))</f>
        <v/>
      </c>
      <c r="AF178" s="10">
        <f>IF(OR($B178="",TRIM($J178&amp;"")=""),"",IFERROR(MATCH(TRIM($J178&amp;"")&amp;"|파견중",파견수련계획!$Y$4:$Y$203,0),IFERROR(MATCH(TRIM($J178&amp;"")&amp;"|파견예정",파견수련계획!$Y$4:$Y$203,0),IFERROR(MATCH(TRIM($J178&amp;"")&amp;"|파견종료",파견수련계획!$Y$4:$Y$203,0),""))))</f>
        <v/>
      </c>
      <c r="AG178" s="10">
        <f>IF($B178="","",IF(AND(IF(OR($AC178="",인턴현황!$K$2=""),"",INDEX(인턴근무계획!$M$3:$R$202,$AC178,인턴현황!$K$2)&amp;"")&lt;&gt;"",LEFT(IF(OR($AC178="",인턴현황!$K$2=""),"",INDEX(인턴근무계획!$M$3:$R$202,$AC178,인턴현황!$K$2)&amp;""),1)&lt;&gt;"⚠"),LEFT(IF(OR($AC178="",인턴현황!$K$2=""),"",INDEX(인턴근무계획!$M$3:$R$202,$AC178,인턴현황!$K$2)&amp;""),FIND(" ",IF(OR($AC178="",인턴현황!$K$2=""),"",INDEX(인턴근무계획!$M$3:$R$202,$AC178,인턴현황!$K$2)&amp;""))-1),$AE178))</f>
        <v/>
      </c>
      <c r="AH178" s="17">
        <f>IF($B178="","",IF(TRIM($J178&amp;"")="",0,SUMPRODUCT((파견수련계획!$Q$4:$Q$203=TRIM($J178&amp;""))*(파견수련계획!$S$4:$S$203="서울병원")*파견수련계획!$W$4:$W$203))+IF($AG178="서울병원",MAX(0,DAY(EOMONTH(요약!$B$3,0))-N($X178)),0))</f>
        <v/>
      </c>
      <c r="AI178" s="17">
        <f>IF($B178="","",IF(TRIM($J178&amp;"")="",0,SUMPRODUCT((파견수련계획!$Q$4:$Q$203=TRIM($J178&amp;""))*(파견수련계획!$S$4:$S$203="구리병원")*파견수련계획!$W$4:$W$203))+IF($AG178="구리병원",MAX(0,DAY(EOMONTH(요약!$B$3,0))-N($X178)),0))</f>
        <v/>
      </c>
      <c r="AJ178" s="10">
        <f>IF(OR($B178="",TRIM($J178&amp;"")=""),"",IFERROR(MATCH(TRIM($J178&amp;"")&amp;"|월",파견수련계획!$Z$4:$Z$203,0),""))</f>
        <v/>
      </c>
      <c r="AK178" s="10">
        <f>IF(OR($B178="",TRIM($J178&amp;"")=""),"",IFERROR(MATCH(TRIM($J178&amp;"")&amp;"|다기관",파견수련계획!$AE$4:$AE$203,0),""))</f>
        <v/>
      </c>
      <c r="AL178" s="10">
        <f>IF($AK178="","","다기관 "&amp;TEXT(INDEX(파견수련계획!$AB$4:$AB$203,$AK178),"yyyy-mm-dd")&amp;"~"&amp;IF(ISNUMBER(INDEX(파견수련계획!$AC$4:$AC$203,$AK178)),TEXT(INDEX(파견수련계획!$AC$4:$AC$203,$AK178),"yyyy-mm-dd"),""))</f>
        <v/>
      </c>
    </row>
    <row r="179">
      <c r="A179" s="10">
        <f>IF(B179="","",ROW()-1)</f>
        <v/>
      </c>
      <c r="B179" s="18" t="n"/>
      <c r="C179" s="10">
        <f>IF($AB179="","",IF(INDEX(기본자료!$C$2:$C$501,$AB179)="","",INDEX(기본자료!$C$2:$C$501,$AB179)))</f>
        <v/>
      </c>
      <c r="D179" s="10">
        <f>IF($AB179="","",IF(INDEX(기본자료!$J$2:$J$501,$AB179)="","",INDEX(기본자료!$J$2:$J$501,$AB179)))</f>
        <v/>
      </c>
      <c r="E179" s="11">
        <f>IF($AB179="","",IF(INDEX(기본자료!$K$2:$K$501,$AB179)="","",IF(NOT(ISNUMBER(INDEX(기본자료!$K$2:$K$501,$AB179))),INDEX(기본자료!$K$2:$K$501,$AB179),IF(INDEX(기본자료!$K$2:$K$501,$AB179)&lt;1000000,INDEX(기본자료!$K$2:$K$501,$AB179),IF(AND(INDEX(기본자료!$K$2:$K$501,$AB179)&gt;=10000101,INT(MOD(INDEX(기본자료!$K$2:$K$501,$AB179),10000)/100)&gt;=1,INT(MOD(INDEX(기본자료!$K$2:$K$501,$AB179),10000)/100)&lt;=12,MOD(INDEX(기본자료!$K$2:$K$501,$AB179),100)&gt;=1,MOD(INDEX(기본자료!$K$2:$K$501,$AB179),100)&lt;=31),DATE(INT(INDEX(기본자료!$K$2:$K$501,$AB179)/10000),INT(MOD(INDEX(기본자료!$K$2:$K$501,$AB179),10000)/100),MOD(INDEX(기본자료!$K$2:$K$501,$AB179),100)),INDEX(기본자료!$K$2:$K$501,$AB179)&amp;"")))))</f>
        <v/>
      </c>
      <c r="F179" s="10">
        <f>IF($AB179="","",IF(INDEX(기본자료!$D$2:$D$501,$AB179)="","",INDEX(기본자료!$D$2:$D$501,$AB179)))</f>
        <v/>
      </c>
      <c r="G179" s="10">
        <f>IF($AB179="","",IF(INDEX(기본자료!$E$2:$E$501,$AB179)="","",INDEX(기본자료!$E$2:$E$501,$AB179)))</f>
        <v/>
      </c>
      <c r="H179" s="10">
        <f>IF($AB179="","",IF(INDEX(기본자료!$F$2:$F$501,$AB179)="","",INDEX(기본자료!$F$2:$F$501,$AB179)))</f>
        <v/>
      </c>
      <c r="I179" s="11">
        <f>IF($AB179="","",IF(INDEX(기본자료!$G$2:$G$501,$AB179)="","",IF(NOT(ISNUMBER(INDEX(기본자료!$G$2:$G$501,$AB179))),INDEX(기본자료!$G$2:$G$501,$AB179),IF(INDEX(기본자료!$G$2:$G$501,$AB179)&lt;1000000,INDEX(기본자료!$G$2:$G$501,$AB179),IF(AND(INDEX(기본자료!$G$2:$G$501,$AB179)&gt;=10000101,INT(MOD(INDEX(기본자료!$G$2:$G$501,$AB179),10000)/100)&gt;=1,INT(MOD(INDEX(기본자료!$G$2:$G$501,$AB179),10000)/100)&lt;=12,MOD(INDEX(기본자료!$G$2:$G$501,$AB179),100)&gt;=1,MOD(INDEX(기본자료!$G$2:$G$501,$AB179),100)&lt;=31),DATE(INT(INDEX(기본자료!$G$2:$G$501,$AB179)/10000),INT(MOD(INDEX(기본자료!$G$2:$G$501,$AB179),10000)/100),MOD(INDEX(기본자료!$G$2:$G$501,$AB179),100)),INDEX(기본자료!$G$2:$G$501,$AB179)&amp;"")))))</f>
        <v/>
      </c>
      <c r="J179" s="10">
        <f>IF($AB179="","",IF(INDEX(기본자료!$H$2:$H$501,$AB179)="","",INDEX(기본자료!$H$2:$H$501,$AB179)))</f>
        <v/>
      </c>
      <c r="K179" s="10">
        <f>IF($AB179="","",IF(INDEX(기본자료!$I$2:$I$501,$AB179)="","",INDEX(기본자료!$I$2:$I$501,$AB179)))</f>
        <v/>
      </c>
      <c r="L179" s="10">
        <f>IF($AB179="","",IF(INDEX(기본자료!$A$2:$A$501,$AB179)="","",INDEX(기본자료!$A$2:$A$501,$AB179)))</f>
        <v/>
      </c>
      <c r="M179" s="15" t="n"/>
      <c r="N179" s="10">
        <f>IF($B179="","",IF(AND($U179="파견중",$Q179&lt;&gt;""),$Q179,IF(AND($AD179&lt;&gt;"",LEFT($AD179,1)&lt;&gt;"⚠"),LEFT($AD179,FIND(" ",$AD179)-1),IF($H179="","",IF(RIGHT($H179,2)="병원",$H179,$H179&amp;"병원")))))</f>
        <v/>
      </c>
      <c r="O179" s="10">
        <f>IF($B179="","",IF(AND($U179="파견중",$Q179&lt;&gt;""),IF($R179&lt;&gt;"",$R179,"파견과 미입력"),IF(AND($AD179&lt;&gt;"",LEFT($AD179,1)&lt;&gt;"⚠"),MID($AD179,FIND(" ",$AD179)+1,60),IF($F179="","",IF($F179="인턴","수련교육부(인턴)",$F179)))))</f>
        <v/>
      </c>
      <c r="P179" s="10">
        <f>IF($B179="","",IF($AK179&lt;&gt;"",IF(AND(TODAY()&gt;=INDEX(파견수련계획!$AB$4:$AB$203,$AK179),OR(NOT(ISNUMBER(INDEX(파견수련계획!$AC$4:$AC$203,$AK179))),TODAY()&lt;=INDEX(파견수련계획!$AC$4:$AC$203,$AK179))),"다기관",IF($AF179="","",INDEX(파견수련계획!$T$4:$T$203,$AF179))),IF($AF179="","",INDEX(파견수련계획!$T$4:$T$203,$AF179))))</f>
        <v/>
      </c>
      <c r="Q179" s="10">
        <f>IF($AF179="","",INDEX(파견수련계획!$S$4:$S$203,$AF179))</f>
        <v/>
      </c>
      <c r="R179" s="10">
        <f>IF($AF179="","",INDEX(파견수련계획!$U$4:$U$203,$AF179))</f>
        <v/>
      </c>
      <c r="S179" s="11">
        <f>IF($AF179="","",IF(INDEX(파견수련계획!$H$4:$H$203,$AF179)="","",INDEX(파견수련계획!$H$4:$H$203,$AF179)))</f>
        <v/>
      </c>
      <c r="T179" s="11">
        <f>IF($AF179="","",IF(INDEX(파견수련계획!$I$4:$I$203,$AF179)="","",INDEX(파견수련계획!$I$4:$I$203,$AF179)))</f>
        <v/>
      </c>
      <c r="U179" s="10">
        <f>IF($AF179="","",INDEX(파견수련계획!$X$4:$X$203,$AF179))</f>
        <v/>
      </c>
      <c r="V179" s="17">
        <f>IF($AF179="","",INDEX(파견수련계획!$V$4:$V$203,$AF179))</f>
        <v/>
      </c>
      <c r="W179" s="17">
        <f>IF(AND($U179="파견중",$T179&lt;&gt;""),$T179-TODAY(),"")</f>
        <v/>
      </c>
      <c r="X179" s="17">
        <f>IF(OR($B179="",TRIM($J179&amp;"")=""),"",SUMPRODUCT((파견수련계획!$Q$4:$Q$203=TRIM($J179&amp;""))*파견수련계획!$W$4:$W$203))</f>
        <v/>
      </c>
      <c r="Y179" s="10">
        <f>IF($B179="","",IF($AG179="","",IF(IF(TRIM($J179&amp;"")="",0,SUMPRODUCT((파견수련계획!$Q$4:$Q$203=TRIM($J179&amp;""))*파견수련계획!$AD$4:$AD$203))&gt;0,$AE179,IF(N($X179)&lt;=0,$AG179,IF($AH179+$AI179=DAY(EOMONTH(요약!$B$3,0)),IF(AND($AH179&gt;=요약!$E$3,$AI179&lt;요약!$E$3),"서울병원",IF(AND($AI179&gt;=요약!$E$3,$AH179&lt;요약!$E$3),"구리병원","⚠15일 판정불가(서울 "&amp;$AH179&amp;"일/구리 "&amp;$AI179&amp;"일)")),IF($AJ179="",$AE179,IF(INDEX(파견수련계획!$T$4:$T$203,$AJ179)="통합수련",INDEX(파견수련계획!$S$4:$S$203,$AJ179),$AE179)))))))</f>
        <v/>
      </c>
      <c r="Z179" s="19">
        <f>IF($B179="","",IF($AB179="","기본자료에 없는 사번",IF(COUNTIF($B$2:$B$201,$B179)&gt;1,"중복 사번",IF($AE179="","소속(입사장소) 입력",IF(IF(TRIM($J179&amp;"")="",0,SUMPRODUCT((파견수련계획!$Q$4:$Q$203=TRIM($J179&amp;""))*(파견수련계획!$AA$4:$AA$203&lt;&gt;"")))&gt;0,"파견수련계획 입력오류 확인",IF(LEFT($Y179,1)="⚠","서울·구리 15일 판정 불가(양쪽 모두 이상/미만)",IF(IF($AC179="",0,N(INDEX(인턴근무계획!$T$3:$T$202,$AC179)))&gt;0,"인턴계획 입력오류 확인",IF(AND($AC179&lt;&gt;"",$U179&lt;&gt;"파견중",$N179&lt;&gt;$AE179),"인턴 타지역 근무: 파견 여부 확인","정상"))))))))</f>
        <v/>
      </c>
      <c r="AA179" s="5" t="n"/>
      <c r="AB179" s="10">
        <f>IF($B179="","",IFERROR(MATCH($B179,기본자료!$B$2:$B$501,0),IFERROR(MATCH($B179&amp;"",기본자료!$B$2:$B$501,0),IFERROR(MATCH(VALUE($B179),기본자료!$B$2:$B$501,0),""))))</f>
        <v/>
      </c>
      <c r="AC179" s="10">
        <f>IF($B179="","",IFERROR(MATCH($B179,인턴근무계획!$D$3:$D$202,0),IFERROR(MATCH($B179&amp;"",인턴근무계획!$D$3:$D$202,0),IFERROR(MATCH(VALUE($B179),인턴근무계획!$D$3:$D$202,0),""))))</f>
        <v/>
      </c>
      <c r="AD179" s="10">
        <f>IF(OR($AC179="",인턴현황!$G$3=""),"",INDEX(인턴근무계획!$M$3:$R$202,$AC179,인턴현황!$G$3)&amp;"")</f>
        <v/>
      </c>
      <c r="AE179" s="10">
        <f>IF($B179="","",IF($M179&lt;&gt;"",$M179,IF($AF179&lt;&gt;"",IF(LEFT(INDEX(파견수련계획!$R$4:$R$203,$AF179),1)&lt;&gt;"⚠",INDEX(파견수련계획!$R$4:$R$203,$AF179),IF($H179="","",IF(RIGHT($H179,2)="병원",$H179,$H179&amp;"병원"))),IF($H179="","",IF(RIGHT($H179,2)="병원",$H179,$H179&amp;"병원")))))</f>
        <v/>
      </c>
      <c r="AF179" s="10">
        <f>IF(OR($B179="",TRIM($J179&amp;"")=""),"",IFERROR(MATCH(TRIM($J179&amp;"")&amp;"|파견중",파견수련계획!$Y$4:$Y$203,0),IFERROR(MATCH(TRIM($J179&amp;"")&amp;"|파견예정",파견수련계획!$Y$4:$Y$203,0),IFERROR(MATCH(TRIM($J179&amp;"")&amp;"|파견종료",파견수련계획!$Y$4:$Y$203,0),""))))</f>
        <v/>
      </c>
      <c r="AG179" s="10">
        <f>IF($B179="","",IF(AND(IF(OR($AC179="",인턴현황!$K$2=""),"",INDEX(인턴근무계획!$M$3:$R$202,$AC179,인턴현황!$K$2)&amp;"")&lt;&gt;"",LEFT(IF(OR($AC179="",인턴현황!$K$2=""),"",INDEX(인턴근무계획!$M$3:$R$202,$AC179,인턴현황!$K$2)&amp;""),1)&lt;&gt;"⚠"),LEFT(IF(OR($AC179="",인턴현황!$K$2=""),"",INDEX(인턴근무계획!$M$3:$R$202,$AC179,인턴현황!$K$2)&amp;""),FIND(" ",IF(OR($AC179="",인턴현황!$K$2=""),"",INDEX(인턴근무계획!$M$3:$R$202,$AC179,인턴현황!$K$2)&amp;""))-1),$AE179))</f>
        <v/>
      </c>
      <c r="AH179" s="17">
        <f>IF($B179="","",IF(TRIM($J179&amp;"")="",0,SUMPRODUCT((파견수련계획!$Q$4:$Q$203=TRIM($J179&amp;""))*(파견수련계획!$S$4:$S$203="서울병원")*파견수련계획!$W$4:$W$203))+IF($AG179="서울병원",MAX(0,DAY(EOMONTH(요약!$B$3,0))-N($X179)),0))</f>
        <v/>
      </c>
      <c r="AI179" s="17">
        <f>IF($B179="","",IF(TRIM($J179&amp;"")="",0,SUMPRODUCT((파견수련계획!$Q$4:$Q$203=TRIM($J179&amp;""))*(파견수련계획!$S$4:$S$203="구리병원")*파견수련계획!$W$4:$W$203))+IF($AG179="구리병원",MAX(0,DAY(EOMONTH(요약!$B$3,0))-N($X179)),0))</f>
        <v/>
      </c>
      <c r="AJ179" s="10">
        <f>IF(OR($B179="",TRIM($J179&amp;"")=""),"",IFERROR(MATCH(TRIM($J179&amp;"")&amp;"|월",파견수련계획!$Z$4:$Z$203,0),""))</f>
        <v/>
      </c>
      <c r="AK179" s="10">
        <f>IF(OR($B179="",TRIM($J179&amp;"")=""),"",IFERROR(MATCH(TRIM($J179&amp;"")&amp;"|다기관",파견수련계획!$AE$4:$AE$203,0),""))</f>
        <v/>
      </c>
      <c r="AL179" s="10">
        <f>IF($AK179="","","다기관 "&amp;TEXT(INDEX(파견수련계획!$AB$4:$AB$203,$AK179),"yyyy-mm-dd")&amp;"~"&amp;IF(ISNUMBER(INDEX(파견수련계획!$AC$4:$AC$203,$AK179)),TEXT(INDEX(파견수련계획!$AC$4:$AC$203,$AK179),"yyyy-mm-dd"),""))</f>
        <v/>
      </c>
    </row>
    <row r="180">
      <c r="A180" s="10">
        <f>IF(B180="","",ROW()-1)</f>
        <v/>
      </c>
      <c r="B180" s="18" t="n"/>
      <c r="C180" s="10">
        <f>IF($AB180="","",IF(INDEX(기본자료!$C$2:$C$501,$AB180)="","",INDEX(기본자료!$C$2:$C$501,$AB180)))</f>
        <v/>
      </c>
      <c r="D180" s="10">
        <f>IF($AB180="","",IF(INDEX(기본자료!$J$2:$J$501,$AB180)="","",INDEX(기본자료!$J$2:$J$501,$AB180)))</f>
        <v/>
      </c>
      <c r="E180" s="11">
        <f>IF($AB180="","",IF(INDEX(기본자료!$K$2:$K$501,$AB180)="","",IF(NOT(ISNUMBER(INDEX(기본자료!$K$2:$K$501,$AB180))),INDEX(기본자료!$K$2:$K$501,$AB180),IF(INDEX(기본자료!$K$2:$K$501,$AB180)&lt;1000000,INDEX(기본자료!$K$2:$K$501,$AB180),IF(AND(INDEX(기본자료!$K$2:$K$501,$AB180)&gt;=10000101,INT(MOD(INDEX(기본자료!$K$2:$K$501,$AB180),10000)/100)&gt;=1,INT(MOD(INDEX(기본자료!$K$2:$K$501,$AB180),10000)/100)&lt;=12,MOD(INDEX(기본자료!$K$2:$K$501,$AB180),100)&gt;=1,MOD(INDEX(기본자료!$K$2:$K$501,$AB180),100)&lt;=31),DATE(INT(INDEX(기본자료!$K$2:$K$501,$AB180)/10000),INT(MOD(INDEX(기본자료!$K$2:$K$501,$AB180),10000)/100),MOD(INDEX(기본자료!$K$2:$K$501,$AB180),100)),INDEX(기본자료!$K$2:$K$501,$AB180)&amp;"")))))</f>
        <v/>
      </c>
      <c r="F180" s="10">
        <f>IF($AB180="","",IF(INDEX(기본자료!$D$2:$D$501,$AB180)="","",INDEX(기본자료!$D$2:$D$501,$AB180)))</f>
        <v/>
      </c>
      <c r="G180" s="10">
        <f>IF($AB180="","",IF(INDEX(기본자료!$E$2:$E$501,$AB180)="","",INDEX(기본자료!$E$2:$E$501,$AB180)))</f>
        <v/>
      </c>
      <c r="H180" s="10">
        <f>IF($AB180="","",IF(INDEX(기본자료!$F$2:$F$501,$AB180)="","",INDEX(기본자료!$F$2:$F$501,$AB180)))</f>
        <v/>
      </c>
      <c r="I180" s="11">
        <f>IF($AB180="","",IF(INDEX(기본자료!$G$2:$G$501,$AB180)="","",IF(NOT(ISNUMBER(INDEX(기본자료!$G$2:$G$501,$AB180))),INDEX(기본자료!$G$2:$G$501,$AB180),IF(INDEX(기본자료!$G$2:$G$501,$AB180)&lt;1000000,INDEX(기본자료!$G$2:$G$501,$AB180),IF(AND(INDEX(기본자료!$G$2:$G$501,$AB180)&gt;=10000101,INT(MOD(INDEX(기본자료!$G$2:$G$501,$AB180),10000)/100)&gt;=1,INT(MOD(INDEX(기본자료!$G$2:$G$501,$AB180),10000)/100)&lt;=12,MOD(INDEX(기본자료!$G$2:$G$501,$AB180),100)&gt;=1,MOD(INDEX(기본자료!$G$2:$G$501,$AB180),100)&lt;=31),DATE(INT(INDEX(기본자료!$G$2:$G$501,$AB180)/10000),INT(MOD(INDEX(기본자료!$G$2:$G$501,$AB180),10000)/100),MOD(INDEX(기본자료!$G$2:$G$501,$AB180),100)),INDEX(기본자료!$G$2:$G$501,$AB180)&amp;"")))))</f>
        <v/>
      </c>
      <c r="J180" s="10">
        <f>IF($AB180="","",IF(INDEX(기본자료!$H$2:$H$501,$AB180)="","",INDEX(기본자료!$H$2:$H$501,$AB180)))</f>
        <v/>
      </c>
      <c r="K180" s="10">
        <f>IF($AB180="","",IF(INDEX(기본자료!$I$2:$I$501,$AB180)="","",INDEX(기본자료!$I$2:$I$501,$AB180)))</f>
        <v/>
      </c>
      <c r="L180" s="10">
        <f>IF($AB180="","",IF(INDEX(기본자료!$A$2:$A$501,$AB180)="","",INDEX(기본자료!$A$2:$A$501,$AB180)))</f>
        <v/>
      </c>
      <c r="M180" s="15" t="n"/>
      <c r="N180" s="10">
        <f>IF($B180="","",IF(AND($U180="파견중",$Q180&lt;&gt;""),$Q180,IF(AND($AD180&lt;&gt;"",LEFT($AD180,1)&lt;&gt;"⚠"),LEFT($AD180,FIND(" ",$AD180)-1),IF($H180="","",IF(RIGHT($H180,2)="병원",$H180,$H180&amp;"병원")))))</f>
        <v/>
      </c>
      <c r="O180" s="10">
        <f>IF($B180="","",IF(AND($U180="파견중",$Q180&lt;&gt;""),IF($R180&lt;&gt;"",$R180,"파견과 미입력"),IF(AND($AD180&lt;&gt;"",LEFT($AD180,1)&lt;&gt;"⚠"),MID($AD180,FIND(" ",$AD180)+1,60),IF($F180="","",IF($F180="인턴","수련교육부(인턴)",$F180)))))</f>
        <v/>
      </c>
      <c r="P180" s="10">
        <f>IF($B180="","",IF($AK180&lt;&gt;"",IF(AND(TODAY()&gt;=INDEX(파견수련계획!$AB$4:$AB$203,$AK180),OR(NOT(ISNUMBER(INDEX(파견수련계획!$AC$4:$AC$203,$AK180))),TODAY()&lt;=INDEX(파견수련계획!$AC$4:$AC$203,$AK180))),"다기관",IF($AF180="","",INDEX(파견수련계획!$T$4:$T$203,$AF180))),IF($AF180="","",INDEX(파견수련계획!$T$4:$T$203,$AF180))))</f>
        <v/>
      </c>
      <c r="Q180" s="10">
        <f>IF($AF180="","",INDEX(파견수련계획!$S$4:$S$203,$AF180))</f>
        <v/>
      </c>
      <c r="R180" s="10">
        <f>IF($AF180="","",INDEX(파견수련계획!$U$4:$U$203,$AF180))</f>
        <v/>
      </c>
      <c r="S180" s="11">
        <f>IF($AF180="","",IF(INDEX(파견수련계획!$H$4:$H$203,$AF180)="","",INDEX(파견수련계획!$H$4:$H$203,$AF180)))</f>
        <v/>
      </c>
      <c r="T180" s="11">
        <f>IF($AF180="","",IF(INDEX(파견수련계획!$I$4:$I$203,$AF180)="","",INDEX(파견수련계획!$I$4:$I$203,$AF180)))</f>
        <v/>
      </c>
      <c r="U180" s="10">
        <f>IF($AF180="","",INDEX(파견수련계획!$X$4:$X$203,$AF180))</f>
        <v/>
      </c>
      <c r="V180" s="17">
        <f>IF($AF180="","",INDEX(파견수련계획!$V$4:$V$203,$AF180))</f>
        <v/>
      </c>
      <c r="W180" s="17">
        <f>IF(AND($U180="파견중",$T180&lt;&gt;""),$T180-TODAY(),"")</f>
        <v/>
      </c>
      <c r="X180" s="17">
        <f>IF(OR($B180="",TRIM($J180&amp;"")=""),"",SUMPRODUCT((파견수련계획!$Q$4:$Q$203=TRIM($J180&amp;""))*파견수련계획!$W$4:$W$203))</f>
        <v/>
      </c>
      <c r="Y180" s="10">
        <f>IF($B180="","",IF($AG180="","",IF(IF(TRIM($J180&amp;"")="",0,SUMPRODUCT((파견수련계획!$Q$4:$Q$203=TRIM($J180&amp;""))*파견수련계획!$AD$4:$AD$203))&gt;0,$AE180,IF(N($X180)&lt;=0,$AG180,IF($AH180+$AI180=DAY(EOMONTH(요약!$B$3,0)),IF(AND($AH180&gt;=요약!$E$3,$AI180&lt;요약!$E$3),"서울병원",IF(AND($AI180&gt;=요약!$E$3,$AH180&lt;요약!$E$3),"구리병원","⚠15일 판정불가(서울 "&amp;$AH180&amp;"일/구리 "&amp;$AI180&amp;"일)")),IF($AJ180="",$AE180,IF(INDEX(파견수련계획!$T$4:$T$203,$AJ180)="통합수련",INDEX(파견수련계획!$S$4:$S$203,$AJ180),$AE180)))))))</f>
        <v/>
      </c>
      <c r="Z180" s="19">
        <f>IF($B180="","",IF($AB180="","기본자료에 없는 사번",IF(COUNTIF($B$2:$B$201,$B180)&gt;1,"중복 사번",IF($AE180="","소속(입사장소) 입력",IF(IF(TRIM($J180&amp;"")="",0,SUMPRODUCT((파견수련계획!$Q$4:$Q$203=TRIM($J180&amp;""))*(파견수련계획!$AA$4:$AA$203&lt;&gt;"")))&gt;0,"파견수련계획 입력오류 확인",IF(LEFT($Y180,1)="⚠","서울·구리 15일 판정 불가(양쪽 모두 이상/미만)",IF(IF($AC180="",0,N(INDEX(인턴근무계획!$T$3:$T$202,$AC180)))&gt;0,"인턴계획 입력오류 확인",IF(AND($AC180&lt;&gt;"",$U180&lt;&gt;"파견중",$N180&lt;&gt;$AE180),"인턴 타지역 근무: 파견 여부 확인","정상"))))))))</f>
        <v/>
      </c>
      <c r="AA180" s="5" t="n"/>
      <c r="AB180" s="10">
        <f>IF($B180="","",IFERROR(MATCH($B180,기본자료!$B$2:$B$501,0),IFERROR(MATCH($B180&amp;"",기본자료!$B$2:$B$501,0),IFERROR(MATCH(VALUE($B180),기본자료!$B$2:$B$501,0),""))))</f>
        <v/>
      </c>
      <c r="AC180" s="10">
        <f>IF($B180="","",IFERROR(MATCH($B180,인턴근무계획!$D$3:$D$202,0),IFERROR(MATCH($B180&amp;"",인턴근무계획!$D$3:$D$202,0),IFERROR(MATCH(VALUE($B180),인턴근무계획!$D$3:$D$202,0),""))))</f>
        <v/>
      </c>
      <c r="AD180" s="10">
        <f>IF(OR($AC180="",인턴현황!$G$3=""),"",INDEX(인턴근무계획!$M$3:$R$202,$AC180,인턴현황!$G$3)&amp;"")</f>
        <v/>
      </c>
      <c r="AE180" s="10">
        <f>IF($B180="","",IF($M180&lt;&gt;"",$M180,IF($AF180&lt;&gt;"",IF(LEFT(INDEX(파견수련계획!$R$4:$R$203,$AF180),1)&lt;&gt;"⚠",INDEX(파견수련계획!$R$4:$R$203,$AF180),IF($H180="","",IF(RIGHT($H180,2)="병원",$H180,$H180&amp;"병원"))),IF($H180="","",IF(RIGHT($H180,2)="병원",$H180,$H180&amp;"병원")))))</f>
        <v/>
      </c>
      <c r="AF180" s="10">
        <f>IF(OR($B180="",TRIM($J180&amp;"")=""),"",IFERROR(MATCH(TRIM($J180&amp;"")&amp;"|파견중",파견수련계획!$Y$4:$Y$203,0),IFERROR(MATCH(TRIM($J180&amp;"")&amp;"|파견예정",파견수련계획!$Y$4:$Y$203,0),IFERROR(MATCH(TRIM($J180&amp;"")&amp;"|파견종료",파견수련계획!$Y$4:$Y$203,0),""))))</f>
        <v/>
      </c>
      <c r="AG180" s="10">
        <f>IF($B180="","",IF(AND(IF(OR($AC180="",인턴현황!$K$2=""),"",INDEX(인턴근무계획!$M$3:$R$202,$AC180,인턴현황!$K$2)&amp;"")&lt;&gt;"",LEFT(IF(OR($AC180="",인턴현황!$K$2=""),"",INDEX(인턴근무계획!$M$3:$R$202,$AC180,인턴현황!$K$2)&amp;""),1)&lt;&gt;"⚠"),LEFT(IF(OR($AC180="",인턴현황!$K$2=""),"",INDEX(인턴근무계획!$M$3:$R$202,$AC180,인턴현황!$K$2)&amp;""),FIND(" ",IF(OR($AC180="",인턴현황!$K$2=""),"",INDEX(인턴근무계획!$M$3:$R$202,$AC180,인턴현황!$K$2)&amp;""))-1),$AE180))</f>
        <v/>
      </c>
      <c r="AH180" s="17">
        <f>IF($B180="","",IF(TRIM($J180&amp;"")="",0,SUMPRODUCT((파견수련계획!$Q$4:$Q$203=TRIM($J180&amp;""))*(파견수련계획!$S$4:$S$203="서울병원")*파견수련계획!$W$4:$W$203))+IF($AG180="서울병원",MAX(0,DAY(EOMONTH(요약!$B$3,0))-N($X180)),0))</f>
        <v/>
      </c>
      <c r="AI180" s="17">
        <f>IF($B180="","",IF(TRIM($J180&amp;"")="",0,SUMPRODUCT((파견수련계획!$Q$4:$Q$203=TRIM($J180&amp;""))*(파견수련계획!$S$4:$S$203="구리병원")*파견수련계획!$W$4:$W$203))+IF($AG180="구리병원",MAX(0,DAY(EOMONTH(요약!$B$3,0))-N($X180)),0))</f>
        <v/>
      </c>
      <c r="AJ180" s="10">
        <f>IF(OR($B180="",TRIM($J180&amp;"")=""),"",IFERROR(MATCH(TRIM($J180&amp;"")&amp;"|월",파견수련계획!$Z$4:$Z$203,0),""))</f>
        <v/>
      </c>
      <c r="AK180" s="10">
        <f>IF(OR($B180="",TRIM($J180&amp;"")=""),"",IFERROR(MATCH(TRIM($J180&amp;"")&amp;"|다기관",파견수련계획!$AE$4:$AE$203,0),""))</f>
        <v/>
      </c>
      <c r="AL180" s="10">
        <f>IF($AK180="","","다기관 "&amp;TEXT(INDEX(파견수련계획!$AB$4:$AB$203,$AK180),"yyyy-mm-dd")&amp;"~"&amp;IF(ISNUMBER(INDEX(파견수련계획!$AC$4:$AC$203,$AK180)),TEXT(INDEX(파견수련계획!$AC$4:$AC$203,$AK180),"yyyy-mm-dd"),""))</f>
        <v/>
      </c>
    </row>
    <row r="181">
      <c r="A181" s="10">
        <f>IF(B181="","",ROW()-1)</f>
        <v/>
      </c>
      <c r="B181" s="18" t="n"/>
      <c r="C181" s="10">
        <f>IF($AB181="","",IF(INDEX(기본자료!$C$2:$C$501,$AB181)="","",INDEX(기본자료!$C$2:$C$501,$AB181)))</f>
        <v/>
      </c>
      <c r="D181" s="10">
        <f>IF($AB181="","",IF(INDEX(기본자료!$J$2:$J$501,$AB181)="","",INDEX(기본자료!$J$2:$J$501,$AB181)))</f>
        <v/>
      </c>
      <c r="E181" s="11">
        <f>IF($AB181="","",IF(INDEX(기본자료!$K$2:$K$501,$AB181)="","",IF(NOT(ISNUMBER(INDEX(기본자료!$K$2:$K$501,$AB181))),INDEX(기본자료!$K$2:$K$501,$AB181),IF(INDEX(기본자료!$K$2:$K$501,$AB181)&lt;1000000,INDEX(기본자료!$K$2:$K$501,$AB181),IF(AND(INDEX(기본자료!$K$2:$K$501,$AB181)&gt;=10000101,INT(MOD(INDEX(기본자료!$K$2:$K$501,$AB181),10000)/100)&gt;=1,INT(MOD(INDEX(기본자료!$K$2:$K$501,$AB181),10000)/100)&lt;=12,MOD(INDEX(기본자료!$K$2:$K$501,$AB181),100)&gt;=1,MOD(INDEX(기본자료!$K$2:$K$501,$AB181),100)&lt;=31),DATE(INT(INDEX(기본자료!$K$2:$K$501,$AB181)/10000),INT(MOD(INDEX(기본자료!$K$2:$K$501,$AB181),10000)/100),MOD(INDEX(기본자료!$K$2:$K$501,$AB181),100)),INDEX(기본자료!$K$2:$K$501,$AB181)&amp;"")))))</f>
        <v/>
      </c>
      <c r="F181" s="10">
        <f>IF($AB181="","",IF(INDEX(기본자료!$D$2:$D$501,$AB181)="","",INDEX(기본자료!$D$2:$D$501,$AB181)))</f>
        <v/>
      </c>
      <c r="G181" s="10">
        <f>IF($AB181="","",IF(INDEX(기본자료!$E$2:$E$501,$AB181)="","",INDEX(기본자료!$E$2:$E$501,$AB181)))</f>
        <v/>
      </c>
      <c r="H181" s="10">
        <f>IF($AB181="","",IF(INDEX(기본자료!$F$2:$F$501,$AB181)="","",INDEX(기본자료!$F$2:$F$501,$AB181)))</f>
        <v/>
      </c>
      <c r="I181" s="11">
        <f>IF($AB181="","",IF(INDEX(기본자료!$G$2:$G$501,$AB181)="","",IF(NOT(ISNUMBER(INDEX(기본자료!$G$2:$G$501,$AB181))),INDEX(기본자료!$G$2:$G$501,$AB181),IF(INDEX(기본자료!$G$2:$G$501,$AB181)&lt;1000000,INDEX(기본자료!$G$2:$G$501,$AB181),IF(AND(INDEX(기본자료!$G$2:$G$501,$AB181)&gt;=10000101,INT(MOD(INDEX(기본자료!$G$2:$G$501,$AB181),10000)/100)&gt;=1,INT(MOD(INDEX(기본자료!$G$2:$G$501,$AB181),10000)/100)&lt;=12,MOD(INDEX(기본자료!$G$2:$G$501,$AB181),100)&gt;=1,MOD(INDEX(기본자료!$G$2:$G$501,$AB181),100)&lt;=31),DATE(INT(INDEX(기본자료!$G$2:$G$501,$AB181)/10000),INT(MOD(INDEX(기본자료!$G$2:$G$501,$AB181),10000)/100),MOD(INDEX(기본자료!$G$2:$G$501,$AB181),100)),INDEX(기본자료!$G$2:$G$501,$AB181)&amp;"")))))</f>
        <v/>
      </c>
      <c r="J181" s="10">
        <f>IF($AB181="","",IF(INDEX(기본자료!$H$2:$H$501,$AB181)="","",INDEX(기본자료!$H$2:$H$501,$AB181)))</f>
        <v/>
      </c>
      <c r="K181" s="10">
        <f>IF($AB181="","",IF(INDEX(기본자료!$I$2:$I$501,$AB181)="","",INDEX(기본자료!$I$2:$I$501,$AB181)))</f>
        <v/>
      </c>
      <c r="L181" s="10">
        <f>IF($AB181="","",IF(INDEX(기본자료!$A$2:$A$501,$AB181)="","",INDEX(기본자료!$A$2:$A$501,$AB181)))</f>
        <v/>
      </c>
      <c r="M181" s="15" t="n"/>
      <c r="N181" s="10">
        <f>IF($B181="","",IF(AND($U181="파견중",$Q181&lt;&gt;""),$Q181,IF(AND($AD181&lt;&gt;"",LEFT($AD181,1)&lt;&gt;"⚠"),LEFT($AD181,FIND(" ",$AD181)-1),IF($H181="","",IF(RIGHT($H181,2)="병원",$H181,$H181&amp;"병원")))))</f>
        <v/>
      </c>
      <c r="O181" s="10">
        <f>IF($B181="","",IF(AND($U181="파견중",$Q181&lt;&gt;""),IF($R181&lt;&gt;"",$R181,"파견과 미입력"),IF(AND($AD181&lt;&gt;"",LEFT($AD181,1)&lt;&gt;"⚠"),MID($AD181,FIND(" ",$AD181)+1,60),IF($F181="","",IF($F181="인턴","수련교육부(인턴)",$F181)))))</f>
        <v/>
      </c>
      <c r="P181" s="10">
        <f>IF($B181="","",IF($AK181&lt;&gt;"",IF(AND(TODAY()&gt;=INDEX(파견수련계획!$AB$4:$AB$203,$AK181),OR(NOT(ISNUMBER(INDEX(파견수련계획!$AC$4:$AC$203,$AK181))),TODAY()&lt;=INDEX(파견수련계획!$AC$4:$AC$203,$AK181))),"다기관",IF($AF181="","",INDEX(파견수련계획!$T$4:$T$203,$AF181))),IF($AF181="","",INDEX(파견수련계획!$T$4:$T$203,$AF181))))</f>
        <v/>
      </c>
      <c r="Q181" s="10">
        <f>IF($AF181="","",INDEX(파견수련계획!$S$4:$S$203,$AF181))</f>
        <v/>
      </c>
      <c r="R181" s="10">
        <f>IF($AF181="","",INDEX(파견수련계획!$U$4:$U$203,$AF181))</f>
        <v/>
      </c>
      <c r="S181" s="11">
        <f>IF($AF181="","",IF(INDEX(파견수련계획!$H$4:$H$203,$AF181)="","",INDEX(파견수련계획!$H$4:$H$203,$AF181)))</f>
        <v/>
      </c>
      <c r="T181" s="11">
        <f>IF($AF181="","",IF(INDEX(파견수련계획!$I$4:$I$203,$AF181)="","",INDEX(파견수련계획!$I$4:$I$203,$AF181)))</f>
        <v/>
      </c>
      <c r="U181" s="10">
        <f>IF($AF181="","",INDEX(파견수련계획!$X$4:$X$203,$AF181))</f>
        <v/>
      </c>
      <c r="V181" s="17">
        <f>IF($AF181="","",INDEX(파견수련계획!$V$4:$V$203,$AF181))</f>
        <v/>
      </c>
      <c r="W181" s="17">
        <f>IF(AND($U181="파견중",$T181&lt;&gt;""),$T181-TODAY(),"")</f>
        <v/>
      </c>
      <c r="X181" s="17">
        <f>IF(OR($B181="",TRIM($J181&amp;"")=""),"",SUMPRODUCT((파견수련계획!$Q$4:$Q$203=TRIM($J181&amp;""))*파견수련계획!$W$4:$W$203))</f>
        <v/>
      </c>
      <c r="Y181" s="10">
        <f>IF($B181="","",IF($AG181="","",IF(IF(TRIM($J181&amp;"")="",0,SUMPRODUCT((파견수련계획!$Q$4:$Q$203=TRIM($J181&amp;""))*파견수련계획!$AD$4:$AD$203))&gt;0,$AE181,IF(N($X181)&lt;=0,$AG181,IF($AH181+$AI181=DAY(EOMONTH(요약!$B$3,0)),IF(AND($AH181&gt;=요약!$E$3,$AI181&lt;요약!$E$3),"서울병원",IF(AND($AI181&gt;=요약!$E$3,$AH181&lt;요약!$E$3),"구리병원","⚠15일 판정불가(서울 "&amp;$AH181&amp;"일/구리 "&amp;$AI181&amp;"일)")),IF($AJ181="",$AE181,IF(INDEX(파견수련계획!$T$4:$T$203,$AJ181)="통합수련",INDEX(파견수련계획!$S$4:$S$203,$AJ181),$AE181)))))))</f>
        <v/>
      </c>
      <c r="Z181" s="19">
        <f>IF($B181="","",IF($AB181="","기본자료에 없는 사번",IF(COUNTIF($B$2:$B$201,$B181)&gt;1,"중복 사번",IF($AE181="","소속(입사장소) 입력",IF(IF(TRIM($J181&amp;"")="",0,SUMPRODUCT((파견수련계획!$Q$4:$Q$203=TRIM($J181&amp;""))*(파견수련계획!$AA$4:$AA$203&lt;&gt;"")))&gt;0,"파견수련계획 입력오류 확인",IF(LEFT($Y181,1)="⚠","서울·구리 15일 판정 불가(양쪽 모두 이상/미만)",IF(IF($AC181="",0,N(INDEX(인턴근무계획!$T$3:$T$202,$AC181)))&gt;0,"인턴계획 입력오류 확인",IF(AND($AC181&lt;&gt;"",$U181&lt;&gt;"파견중",$N181&lt;&gt;$AE181),"인턴 타지역 근무: 파견 여부 확인","정상"))))))))</f>
        <v/>
      </c>
      <c r="AA181" s="5" t="n"/>
      <c r="AB181" s="10">
        <f>IF($B181="","",IFERROR(MATCH($B181,기본자료!$B$2:$B$501,0),IFERROR(MATCH($B181&amp;"",기본자료!$B$2:$B$501,0),IFERROR(MATCH(VALUE($B181),기본자료!$B$2:$B$501,0),""))))</f>
        <v/>
      </c>
      <c r="AC181" s="10">
        <f>IF($B181="","",IFERROR(MATCH($B181,인턴근무계획!$D$3:$D$202,0),IFERROR(MATCH($B181&amp;"",인턴근무계획!$D$3:$D$202,0),IFERROR(MATCH(VALUE($B181),인턴근무계획!$D$3:$D$202,0),""))))</f>
        <v/>
      </c>
      <c r="AD181" s="10">
        <f>IF(OR($AC181="",인턴현황!$G$3=""),"",INDEX(인턴근무계획!$M$3:$R$202,$AC181,인턴현황!$G$3)&amp;"")</f>
        <v/>
      </c>
      <c r="AE181" s="10">
        <f>IF($B181="","",IF($M181&lt;&gt;"",$M181,IF($AF181&lt;&gt;"",IF(LEFT(INDEX(파견수련계획!$R$4:$R$203,$AF181),1)&lt;&gt;"⚠",INDEX(파견수련계획!$R$4:$R$203,$AF181),IF($H181="","",IF(RIGHT($H181,2)="병원",$H181,$H181&amp;"병원"))),IF($H181="","",IF(RIGHT($H181,2)="병원",$H181,$H181&amp;"병원")))))</f>
        <v/>
      </c>
      <c r="AF181" s="10">
        <f>IF(OR($B181="",TRIM($J181&amp;"")=""),"",IFERROR(MATCH(TRIM($J181&amp;"")&amp;"|파견중",파견수련계획!$Y$4:$Y$203,0),IFERROR(MATCH(TRIM($J181&amp;"")&amp;"|파견예정",파견수련계획!$Y$4:$Y$203,0),IFERROR(MATCH(TRIM($J181&amp;"")&amp;"|파견종료",파견수련계획!$Y$4:$Y$203,0),""))))</f>
        <v/>
      </c>
      <c r="AG181" s="10">
        <f>IF($B181="","",IF(AND(IF(OR($AC181="",인턴현황!$K$2=""),"",INDEX(인턴근무계획!$M$3:$R$202,$AC181,인턴현황!$K$2)&amp;"")&lt;&gt;"",LEFT(IF(OR($AC181="",인턴현황!$K$2=""),"",INDEX(인턴근무계획!$M$3:$R$202,$AC181,인턴현황!$K$2)&amp;""),1)&lt;&gt;"⚠"),LEFT(IF(OR($AC181="",인턴현황!$K$2=""),"",INDEX(인턴근무계획!$M$3:$R$202,$AC181,인턴현황!$K$2)&amp;""),FIND(" ",IF(OR($AC181="",인턴현황!$K$2=""),"",INDEX(인턴근무계획!$M$3:$R$202,$AC181,인턴현황!$K$2)&amp;""))-1),$AE181))</f>
        <v/>
      </c>
      <c r="AH181" s="17">
        <f>IF($B181="","",IF(TRIM($J181&amp;"")="",0,SUMPRODUCT((파견수련계획!$Q$4:$Q$203=TRIM($J181&amp;""))*(파견수련계획!$S$4:$S$203="서울병원")*파견수련계획!$W$4:$W$203))+IF($AG181="서울병원",MAX(0,DAY(EOMONTH(요약!$B$3,0))-N($X181)),0))</f>
        <v/>
      </c>
      <c r="AI181" s="17">
        <f>IF($B181="","",IF(TRIM($J181&amp;"")="",0,SUMPRODUCT((파견수련계획!$Q$4:$Q$203=TRIM($J181&amp;""))*(파견수련계획!$S$4:$S$203="구리병원")*파견수련계획!$W$4:$W$203))+IF($AG181="구리병원",MAX(0,DAY(EOMONTH(요약!$B$3,0))-N($X181)),0))</f>
        <v/>
      </c>
      <c r="AJ181" s="10">
        <f>IF(OR($B181="",TRIM($J181&amp;"")=""),"",IFERROR(MATCH(TRIM($J181&amp;"")&amp;"|월",파견수련계획!$Z$4:$Z$203,0),""))</f>
        <v/>
      </c>
      <c r="AK181" s="10">
        <f>IF(OR($B181="",TRIM($J181&amp;"")=""),"",IFERROR(MATCH(TRIM($J181&amp;"")&amp;"|다기관",파견수련계획!$AE$4:$AE$203,0),""))</f>
        <v/>
      </c>
      <c r="AL181" s="10">
        <f>IF($AK181="","","다기관 "&amp;TEXT(INDEX(파견수련계획!$AB$4:$AB$203,$AK181),"yyyy-mm-dd")&amp;"~"&amp;IF(ISNUMBER(INDEX(파견수련계획!$AC$4:$AC$203,$AK181)),TEXT(INDEX(파견수련계획!$AC$4:$AC$203,$AK181),"yyyy-mm-dd"),""))</f>
        <v/>
      </c>
    </row>
    <row r="182">
      <c r="A182" s="10">
        <f>IF(B182="","",ROW()-1)</f>
        <v/>
      </c>
      <c r="B182" s="18" t="n"/>
      <c r="C182" s="10">
        <f>IF($AB182="","",IF(INDEX(기본자료!$C$2:$C$501,$AB182)="","",INDEX(기본자료!$C$2:$C$501,$AB182)))</f>
        <v/>
      </c>
      <c r="D182" s="10">
        <f>IF($AB182="","",IF(INDEX(기본자료!$J$2:$J$501,$AB182)="","",INDEX(기본자료!$J$2:$J$501,$AB182)))</f>
        <v/>
      </c>
      <c r="E182" s="11">
        <f>IF($AB182="","",IF(INDEX(기본자료!$K$2:$K$501,$AB182)="","",IF(NOT(ISNUMBER(INDEX(기본자료!$K$2:$K$501,$AB182))),INDEX(기본자료!$K$2:$K$501,$AB182),IF(INDEX(기본자료!$K$2:$K$501,$AB182)&lt;1000000,INDEX(기본자료!$K$2:$K$501,$AB182),IF(AND(INDEX(기본자료!$K$2:$K$501,$AB182)&gt;=10000101,INT(MOD(INDEX(기본자료!$K$2:$K$501,$AB182),10000)/100)&gt;=1,INT(MOD(INDEX(기본자료!$K$2:$K$501,$AB182),10000)/100)&lt;=12,MOD(INDEX(기본자료!$K$2:$K$501,$AB182),100)&gt;=1,MOD(INDEX(기본자료!$K$2:$K$501,$AB182),100)&lt;=31),DATE(INT(INDEX(기본자료!$K$2:$K$501,$AB182)/10000),INT(MOD(INDEX(기본자료!$K$2:$K$501,$AB182),10000)/100),MOD(INDEX(기본자료!$K$2:$K$501,$AB182),100)),INDEX(기본자료!$K$2:$K$501,$AB182)&amp;"")))))</f>
        <v/>
      </c>
      <c r="F182" s="10">
        <f>IF($AB182="","",IF(INDEX(기본자료!$D$2:$D$501,$AB182)="","",INDEX(기본자료!$D$2:$D$501,$AB182)))</f>
        <v/>
      </c>
      <c r="G182" s="10">
        <f>IF($AB182="","",IF(INDEX(기본자료!$E$2:$E$501,$AB182)="","",INDEX(기본자료!$E$2:$E$501,$AB182)))</f>
        <v/>
      </c>
      <c r="H182" s="10">
        <f>IF($AB182="","",IF(INDEX(기본자료!$F$2:$F$501,$AB182)="","",INDEX(기본자료!$F$2:$F$501,$AB182)))</f>
        <v/>
      </c>
      <c r="I182" s="11">
        <f>IF($AB182="","",IF(INDEX(기본자료!$G$2:$G$501,$AB182)="","",IF(NOT(ISNUMBER(INDEX(기본자료!$G$2:$G$501,$AB182))),INDEX(기본자료!$G$2:$G$501,$AB182),IF(INDEX(기본자료!$G$2:$G$501,$AB182)&lt;1000000,INDEX(기본자료!$G$2:$G$501,$AB182),IF(AND(INDEX(기본자료!$G$2:$G$501,$AB182)&gt;=10000101,INT(MOD(INDEX(기본자료!$G$2:$G$501,$AB182),10000)/100)&gt;=1,INT(MOD(INDEX(기본자료!$G$2:$G$501,$AB182),10000)/100)&lt;=12,MOD(INDEX(기본자료!$G$2:$G$501,$AB182),100)&gt;=1,MOD(INDEX(기본자료!$G$2:$G$501,$AB182),100)&lt;=31),DATE(INT(INDEX(기본자료!$G$2:$G$501,$AB182)/10000),INT(MOD(INDEX(기본자료!$G$2:$G$501,$AB182),10000)/100),MOD(INDEX(기본자료!$G$2:$G$501,$AB182),100)),INDEX(기본자료!$G$2:$G$501,$AB182)&amp;"")))))</f>
        <v/>
      </c>
      <c r="J182" s="10">
        <f>IF($AB182="","",IF(INDEX(기본자료!$H$2:$H$501,$AB182)="","",INDEX(기본자료!$H$2:$H$501,$AB182)))</f>
        <v/>
      </c>
      <c r="K182" s="10">
        <f>IF($AB182="","",IF(INDEX(기본자료!$I$2:$I$501,$AB182)="","",INDEX(기본자료!$I$2:$I$501,$AB182)))</f>
        <v/>
      </c>
      <c r="L182" s="10">
        <f>IF($AB182="","",IF(INDEX(기본자료!$A$2:$A$501,$AB182)="","",INDEX(기본자료!$A$2:$A$501,$AB182)))</f>
        <v/>
      </c>
      <c r="M182" s="15" t="n"/>
      <c r="N182" s="10">
        <f>IF($B182="","",IF(AND($U182="파견중",$Q182&lt;&gt;""),$Q182,IF(AND($AD182&lt;&gt;"",LEFT($AD182,1)&lt;&gt;"⚠"),LEFT($AD182,FIND(" ",$AD182)-1),IF($H182="","",IF(RIGHT($H182,2)="병원",$H182,$H182&amp;"병원")))))</f>
        <v/>
      </c>
      <c r="O182" s="10">
        <f>IF($B182="","",IF(AND($U182="파견중",$Q182&lt;&gt;""),IF($R182&lt;&gt;"",$R182,"파견과 미입력"),IF(AND($AD182&lt;&gt;"",LEFT($AD182,1)&lt;&gt;"⚠"),MID($AD182,FIND(" ",$AD182)+1,60),IF($F182="","",IF($F182="인턴","수련교육부(인턴)",$F182)))))</f>
        <v/>
      </c>
      <c r="P182" s="10">
        <f>IF($B182="","",IF($AK182&lt;&gt;"",IF(AND(TODAY()&gt;=INDEX(파견수련계획!$AB$4:$AB$203,$AK182),OR(NOT(ISNUMBER(INDEX(파견수련계획!$AC$4:$AC$203,$AK182))),TODAY()&lt;=INDEX(파견수련계획!$AC$4:$AC$203,$AK182))),"다기관",IF($AF182="","",INDEX(파견수련계획!$T$4:$T$203,$AF182))),IF($AF182="","",INDEX(파견수련계획!$T$4:$T$203,$AF182))))</f>
        <v/>
      </c>
      <c r="Q182" s="10">
        <f>IF($AF182="","",INDEX(파견수련계획!$S$4:$S$203,$AF182))</f>
        <v/>
      </c>
      <c r="R182" s="10">
        <f>IF($AF182="","",INDEX(파견수련계획!$U$4:$U$203,$AF182))</f>
        <v/>
      </c>
      <c r="S182" s="11">
        <f>IF($AF182="","",IF(INDEX(파견수련계획!$H$4:$H$203,$AF182)="","",INDEX(파견수련계획!$H$4:$H$203,$AF182)))</f>
        <v/>
      </c>
      <c r="T182" s="11">
        <f>IF($AF182="","",IF(INDEX(파견수련계획!$I$4:$I$203,$AF182)="","",INDEX(파견수련계획!$I$4:$I$203,$AF182)))</f>
        <v/>
      </c>
      <c r="U182" s="10">
        <f>IF($AF182="","",INDEX(파견수련계획!$X$4:$X$203,$AF182))</f>
        <v/>
      </c>
      <c r="V182" s="17">
        <f>IF($AF182="","",INDEX(파견수련계획!$V$4:$V$203,$AF182))</f>
        <v/>
      </c>
      <c r="W182" s="17">
        <f>IF(AND($U182="파견중",$T182&lt;&gt;""),$T182-TODAY(),"")</f>
        <v/>
      </c>
      <c r="X182" s="17">
        <f>IF(OR($B182="",TRIM($J182&amp;"")=""),"",SUMPRODUCT((파견수련계획!$Q$4:$Q$203=TRIM($J182&amp;""))*파견수련계획!$W$4:$W$203))</f>
        <v/>
      </c>
      <c r="Y182" s="10">
        <f>IF($B182="","",IF($AG182="","",IF(IF(TRIM($J182&amp;"")="",0,SUMPRODUCT((파견수련계획!$Q$4:$Q$203=TRIM($J182&amp;""))*파견수련계획!$AD$4:$AD$203))&gt;0,$AE182,IF(N($X182)&lt;=0,$AG182,IF($AH182+$AI182=DAY(EOMONTH(요약!$B$3,0)),IF(AND($AH182&gt;=요약!$E$3,$AI182&lt;요약!$E$3),"서울병원",IF(AND($AI182&gt;=요약!$E$3,$AH182&lt;요약!$E$3),"구리병원","⚠15일 판정불가(서울 "&amp;$AH182&amp;"일/구리 "&amp;$AI182&amp;"일)")),IF($AJ182="",$AE182,IF(INDEX(파견수련계획!$T$4:$T$203,$AJ182)="통합수련",INDEX(파견수련계획!$S$4:$S$203,$AJ182),$AE182)))))))</f>
        <v/>
      </c>
      <c r="Z182" s="19">
        <f>IF($B182="","",IF($AB182="","기본자료에 없는 사번",IF(COUNTIF($B$2:$B$201,$B182)&gt;1,"중복 사번",IF($AE182="","소속(입사장소) 입력",IF(IF(TRIM($J182&amp;"")="",0,SUMPRODUCT((파견수련계획!$Q$4:$Q$203=TRIM($J182&amp;""))*(파견수련계획!$AA$4:$AA$203&lt;&gt;"")))&gt;0,"파견수련계획 입력오류 확인",IF(LEFT($Y182,1)="⚠","서울·구리 15일 판정 불가(양쪽 모두 이상/미만)",IF(IF($AC182="",0,N(INDEX(인턴근무계획!$T$3:$T$202,$AC182)))&gt;0,"인턴계획 입력오류 확인",IF(AND($AC182&lt;&gt;"",$U182&lt;&gt;"파견중",$N182&lt;&gt;$AE182),"인턴 타지역 근무: 파견 여부 확인","정상"))))))))</f>
        <v/>
      </c>
      <c r="AA182" s="5" t="n"/>
      <c r="AB182" s="10">
        <f>IF($B182="","",IFERROR(MATCH($B182,기본자료!$B$2:$B$501,0),IFERROR(MATCH($B182&amp;"",기본자료!$B$2:$B$501,0),IFERROR(MATCH(VALUE($B182),기본자료!$B$2:$B$501,0),""))))</f>
        <v/>
      </c>
      <c r="AC182" s="10">
        <f>IF($B182="","",IFERROR(MATCH($B182,인턴근무계획!$D$3:$D$202,0),IFERROR(MATCH($B182&amp;"",인턴근무계획!$D$3:$D$202,0),IFERROR(MATCH(VALUE($B182),인턴근무계획!$D$3:$D$202,0),""))))</f>
        <v/>
      </c>
      <c r="AD182" s="10">
        <f>IF(OR($AC182="",인턴현황!$G$3=""),"",INDEX(인턴근무계획!$M$3:$R$202,$AC182,인턴현황!$G$3)&amp;"")</f>
        <v/>
      </c>
      <c r="AE182" s="10">
        <f>IF($B182="","",IF($M182&lt;&gt;"",$M182,IF($AF182&lt;&gt;"",IF(LEFT(INDEX(파견수련계획!$R$4:$R$203,$AF182),1)&lt;&gt;"⚠",INDEX(파견수련계획!$R$4:$R$203,$AF182),IF($H182="","",IF(RIGHT($H182,2)="병원",$H182,$H182&amp;"병원"))),IF($H182="","",IF(RIGHT($H182,2)="병원",$H182,$H182&amp;"병원")))))</f>
        <v/>
      </c>
      <c r="AF182" s="10">
        <f>IF(OR($B182="",TRIM($J182&amp;"")=""),"",IFERROR(MATCH(TRIM($J182&amp;"")&amp;"|파견중",파견수련계획!$Y$4:$Y$203,0),IFERROR(MATCH(TRIM($J182&amp;"")&amp;"|파견예정",파견수련계획!$Y$4:$Y$203,0),IFERROR(MATCH(TRIM($J182&amp;"")&amp;"|파견종료",파견수련계획!$Y$4:$Y$203,0),""))))</f>
        <v/>
      </c>
      <c r="AG182" s="10">
        <f>IF($B182="","",IF(AND(IF(OR($AC182="",인턴현황!$K$2=""),"",INDEX(인턴근무계획!$M$3:$R$202,$AC182,인턴현황!$K$2)&amp;"")&lt;&gt;"",LEFT(IF(OR($AC182="",인턴현황!$K$2=""),"",INDEX(인턴근무계획!$M$3:$R$202,$AC182,인턴현황!$K$2)&amp;""),1)&lt;&gt;"⚠"),LEFT(IF(OR($AC182="",인턴현황!$K$2=""),"",INDEX(인턴근무계획!$M$3:$R$202,$AC182,인턴현황!$K$2)&amp;""),FIND(" ",IF(OR($AC182="",인턴현황!$K$2=""),"",INDEX(인턴근무계획!$M$3:$R$202,$AC182,인턴현황!$K$2)&amp;""))-1),$AE182))</f>
        <v/>
      </c>
      <c r="AH182" s="17">
        <f>IF($B182="","",IF(TRIM($J182&amp;"")="",0,SUMPRODUCT((파견수련계획!$Q$4:$Q$203=TRIM($J182&amp;""))*(파견수련계획!$S$4:$S$203="서울병원")*파견수련계획!$W$4:$W$203))+IF($AG182="서울병원",MAX(0,DAY(EOMONTH(요약!$B$3,0))-N($X182)),0))</f>
        <v/>
      </c>
      <c r="AI182" s="17">
        <f>IF($B182="","",IF(TRIM($J182&amp;"")="",0,SUMPRODUCT((파견수련계획!$Q$4:$Q$203=TRIM($J182&amp;""))*(파견수련계획!$S$4:$S$203="구리병원")*파견수련계획!$W$4:$W$203))+IF($AG182="구리병원",MAX(0,DAY(EOMONTH(요약!$B$3,0))-N($X182)),0))</f>
        <v/>
      </c>
      <c r="AJ182" s="10">
        <f>IF(OR($B182="",TRIM($J182&amp;"")=""),"",IFERROR(MATCH(TRIM($J182&amp;"")&amp;"|월",파견수련계획!$Z$4:$Z$203,0),""))</f>
        <v/>
      </c>
      <c r="AK182" s="10">
        <f>IF(OR($B182="",TRIM($J182&amp;"")=""),"",IFERROR(MATCH(TRIM($J182&amp;"")&amp;"|다기관",파견수련계획!$AE$4:$AE$203,0),""))</f>
        <v/>
      </c>
      <c r="AL182" s="10">
        <f>IF($AK182="","","다기관 "&amp;TEXT(INDEX(파견수련계획!$AB$4:$AB$203,$AK182),"yyyy-mm-dd")&amp;"~"&amp;IF(ISNUMBER(INDEX(파견수련계획!$AC$4:$AC$203,$AK182)),TEXT(INDEX(파견수련계획!$AC$4:$AC$203,$AK182),"yyyy-mm-dd"),""))</f>
        <v/>
      </c>
    </row>
    <row r="183">
      <c r="A183" s="10">
        <f>IF(B183="","",ROW()-1)</f>
        <v/>
      </c>
      <c r="B183" s="18" t="n"/>
      <c r="C183" s="10">
        <f>IF($AB183="","",IF(INDEX(기본자료!$C$2:$C$501,$AB183)="","",INDEX(기본자료!$C$2:$C$501,$AB183)))</f>
        <v/>
      </c>
      <c r="D183" s="10">
        <f>IF($AB183="","",IF(INDEX(기본자료!$J$2:$J$501,$AB183)="","",INDEX(기본자료!$J$2:$J$501,$AB183)))</f>
        <v/>
      </c>
      <c r="E183" s="11">
        <f>IF($AB183="","",IF(INDEX(기본자료!$K$2:$K$501,$AB183)="","",IF(NOT(ISNUMBER(INDEX(기본자료!$K$2:$K$501,$AB183))),INDEX(기본자료!$K$2:$K$501,$AB183),IF(INDEX(기본자료!$K$2:$K$501,$AB183)&lt;1000000,INDEX(기본자료!$K$2:$K$501,$AB183),IF(AND(INDEX(기본자료!$K$2:$K$501,$AB183)&gt;=10000101,INT(MOD(INDEX(기본자료!$K$2:$K$501,$AB183),10000)/100)&gt;=1,INT(MOD(INDEX(기본자료!$K$2:$K$501,$AB183),10000)/100)&lt;=12,MOD(INDEX(기본자료!$K$2:$K$501,$AB183),100)&gt;=1,MOD(INDEX(기본자료!$K$2:$K$501,$AB183),100)&lt;=31),DATE(INT(INDEX(기본자료!$K$2:$K$501,$AB183)/10000),INT(MOD(INDEX(기본자료!$K$2:$K$501,$AB183),10000)/100),MOD(INDEX(기본자료!$K$2:$K$501,$AB183),100)),INDEX(기본자료!$K$2:$K$501,$AB183)&amp;"")))))</f>
        <v/>
      </c>
      <c r="F183" s="10">
        <f>IF($AB183="","",IF(INDEX(기본자료!$D$2:$D$501,$AB183)="","",INDEX(기본자료!$D$2:$D$501,$AB183)))</f>
        <v/>
      </c>
      <c r="G183" s="10">
        <f>IF($AB183="","",IF(INDEX(기본자료!$E$2:$E$501,$AB183)="","",INDEX(기본자료!$E$2:$E$501,$AB183)))</f>
        <v/>
      </c>
      <c r="H183" s="10">
        <f>IF($AB183="","",IF(INDEX(기본자료!$F$2:$F$501,$AB183)="","",INDEX(기본자료!$F$2:$F$501,$AB183)))</f>
        <v/>
      </c>
      <c r="I183" s="11">
        <f>IF($AB183="","",IF(INDEX(기본자료!$G$2:$G$501,$AB183)="","",IF(NOT(ISNUMBER(INDEX(기본자료!$G$2:$G$501,$AB183))),INDEX(기본자료!$G$2:$G$501,$AB183),IF(INDEX(기본자료!$G$2:$G$501,$AB183)&lt;1000000,INDEX(기본자료!$G$2:$G$501,$AB183),IF(AND(INDEX(기본자료!$G$2:$G$501,$AB183)&gt;=10000101,INT(MOD(INDEX(기본자료!$G$2:$G$501,$AB183),10000)/100)&gt;=1,INT(MOD(INDEX(기본자료!$G$2:$G$501,$AB183),10000)/100)&lt;=12,MOD(INDEX(기본자료!$G$2:$G$501,$AB183),100)&gt;=1,MOD(INDEX(기본자료!$G$2:$G$501,$AB183),100)&lt;=31),DATE(INT(INDEX(기본자료!$G$2:$G$501,$AB183)/10000),INT(MOD(INDEX(기본자료!$G$2:$G$501,$AB183),10000)/100),MOD(INDEX(기본자료!$G$2:$G$501,$AB183),100)),INDEX(기본자료!$G$2:$G$501,$AB183)&amp;"")))))</f>
        <v/>
      </c>
      <c r="J183" s="10">
        <f>IF($AB183="","",IF(INDEX(기본자료!$H$2:$H$501,$AB183)="","",INDEX(기본자료!$H$2:$H$501,$AB183)))</f>
        <v/>
      </c>
      <c r="K183" s="10">
        <f>IF($AB183="","",IF(INDEX(기본자료!$I$2:$I$501,$AB183)="","",INDEX(기본자료!$I$2:$I$501,$AB183)))</f>
        <v/>
      </c>
      <c r="L183" s="10">
        <f>IF($AB183="","",IF(INDEX(기본자료!$A$2:$A$501,$AB183)="","",INDEX(기본자료!$A$2:$A$501,$AB183)))</f>
        <v/>
      </c>
      <c r="M183" s="15" t="n"/>
      <c r="N183" s="10">
        <f>IF($B183="","",IF(AND($U183="파견중",$Q183&lt;&gt;""),$Q183,IF(AND($AD183&lt;&gt;"",LEFT($AD183,1)&lt;&gt;"⚠"),LEFT($AD183,FIND(" ",$AD183)-1),IF($H183="","",IF(RIGHT($H183,2)="병원",$H183,$H183&amp;"병원")))))</f>
        <v/>
      </c>
      <c r="O183" s="10">
        <f>IF($B183="","",IF(AND($U183="파견중",$Q183&lt;&gt;""),IF($R183&lt;&gt;"",$R183,"파견과 미입력"),IF(AND($AD183&lt;&gt;"",LEFT($AD183,1)&lt;&gt;"⚠"),MID($AD183,FIND(" ",$AD183)+1,60),IF($F183="","",IF($F183="인턴","수련교육부(인턴)",$F183)))))</f>
        <v/>
      </c>
      <c r="P183" s="10">
        <f>IF($B183="","",IF($AK183&lt;&gt;"",IF(AND(TODAY()&gt;=INDEX(파견수련계획!$AB$4:$AB$203,$AK183),OR(NOT(ISNUMBER(INDEX(파견수련계획!$AC$4:$AC$203,$AK183))),TODAY()&lt;=INDEX(파견수련계획!$AC$4:$AC$203,$AK183))),"다기관",IF($AF183="","",INDEX(파견수련계획!$T$4:$T$203,$AF183))),IF($AF183="","",INDEX(파견수련계획!$T$4:$T$203,$AF183))))</f>
        <v/>
      </c>
      <c r="Q183" s="10">
        <f>IF($AF183="","",INDEX(파견수련계획!$S$4:$S$203,$AF183))</f>
        <v/>
      </c>
      <c r="R183" s="10">
        <f>IF($AF183="","",INDEX(파견수련계획!$U$4:$U$203,$AF183))</f>
        <v/>
      </c>
      <c r="S183" s="11">
        <f>IF($AF183="","",IF(INDEX(파견수련계획!$H$4:$H$203,$AF183)="","",INDEX(파견수련계획!$H$4:$H$203,$AF183)))</f>
        <v/>
      </c>
      <c r="T183" s="11">
        <f>IF($AF183="","",IF(INDEX(파견수련계획!$I$4:$I$203,$AF183)="","",INDEX(파견수련계획!$I$4:$I$203,$AF183)))</f>
        <v/>
      </c>
      <c r="U183" s="10">
        <f>IF($AF183="","",INDEX(파견수련계획!$X$4:$X$203,$AF183))</f>
        <v/>
      </c>
      <c r="V183" s="17">
        <f>IF($AF183="","",INDEX(파견수련계획!$V$4:$V$203,$AF183))</f>
        <v/>
      </c>
      <c r="W183" s="17">
        <f>IF(AND($U183="파견중",$T183&lt;&gt;""),$T183-TODAY(),"")</f>
        <v/>
      </c>
      <c r="X183" s="17">
        <f>IF(OR($B183="",TRIM($J183&amp;"")=""),"",SUMPRODUCT((파견수련계획!$Q$4:$Q$203=TRIM($J183&amp;""))*파견수련계획!$W$4:$W$203))</f>
        <v/>
      </c>
      <c r="Y183" s="10">
        <f>IF($B183="","",IF($AG183="","",IF(IF(TRIM($J183&amp;"")="",0,SUMPRODUCT((파견수련계획!$Q$4:$Q$203=TRIM($J183&amp;""))*파견수련계획!$AD$4:$AD$203))&gt;0,$AE183,IF(N($X183)&lt;=0,$AG183,IF($AH183+$AI183=DAY(EOMONTH(요약!$B$3,0)),IF(AND($AH183&gt;=요약!$E$3,$AI183&lt;요약!$E$3),"서울병원",IF(AND($AI183&gt;=요약!$E$3,$AH183&lt;요약!$E$3),"구리병원","⚠15일 판정불가(서울 "&amp;$AH183&amp;"일/구리 "&amp;$AI183&amp;"일)")),IF($AJ183="",$AE183,IF(INDEX(파견수련계획!$T$4:$T$203,$AJ183)="통합수련",INDEX(파견수련계획!$S$4:$S$203,$AJ183),$AE183)))))))</f>
        <v/>
      </c>
      <c r="Z183" s="19">
        <f>IF($B183="","",IF($AB183="","기본자료에 없는 사번",IF(COUNTIF($B$2:$B$201,$B183)&gt;1,"중복 사번",IF($AE183="","소속(입사장소) 입력",IF(IF(TRIM($J183&amp;"")="",0,SUMPRODUCT((파견수련계획!$Q$4:$Q$203=TRIM($J183&amp;""))*(파견수련계획!$AA$4:$AA$203&lt;&gt;"")))&gt;0,"파견수련계획 입력오류 확인",IF(LEFT($Y183,1)="⚠","서울·구리 15일 판정 불가(양쪽 모두 이상/미만)",IF(IF($AC183="",0,N(INDEX(인턴근무계획!$T$3:$T$202,$AC183)))&gt;0,"인턴계획 입력오류 확인",IF(AND($AC183&lt;&gt;"",$U183&lt;&gt;"파견중",$N183&lt;&gt;$AE183),"인턴 타지역 근무: 파견 여부 확인","정상"))))))))</f>
        <v/>
      </c>
      <c r="AA183" s="5" t="n"/>
      <c r="AB183" s="10">
        <f>IF($B183="","",IFERROR(MATCH($B183,기본자료!$B$2:$B$501,0),IFERROR(MATCH($B183&amp;"",기본자료!$B$2:$B$501,0),IFERROR(MATCH(VALUE($B183),기본자료!$B$2:$B$501,0),""))))</f>
        <v/>
      </c>
      <c r="AC183" s="10">
        <f>IF($B183="","",IFERROR(MATCH($B183,인턴근무계획!$D$3:$D$202,0),IFERROR(MATCH($B183&amp;"",인턴근무계획!$D$3:$D$202,0),IFERROR(MATCH(VALUE($B183),인턴근무계획!$D$3:$D$202,0),""))))</f>
        <v/>
      </c>
      <c r="AD183" s="10">
        <f>IF(OR($AC183="",인턴현황!$G$3=""),"",INDEX(인턴근무계획!$M$3:$R$202,$AC183,인턴현황!$G$3)&amp;"")</f>
        <v/>
      </c>
      <c r="AE183" s="10">
        <f>IF($B183="","",IF($M183&lt;&gt;"",$M183,IF($AF183&lt;&gt;"",IF(LEFT(INDEX(파견수련계획!$R$4:$R$203,$AF183),1)&lt;&gt;"⚠",INDEX(파견수련계획!$R$4:$R$203,$AF183),IF($H183="","",IF(RIGHT($H183,2)="병원",$H183,$H183&amp;"병원"))),IF($H183="","",IF(RIGHT($H183,2)="병원",$H183,$H183&amp;"병원")))))</f>
        <v/>
      </c>
      <c r="AF183" s="10">
        <f>IF(OR($B183="",TRIM($J183&amp;"")=""),"",IFERROR(MATCH(TRIM($J183&amp;"")&amp;"|파견중",파견수련계획!$Y$4:$Y$203,0),IFERROR(MATCH(TRIM($J183&amp;"")&amp;"|파견예정",파견수련계획!$Y$4:$Y$203,0),IFERROR(MATCH(TRIM($J183&amp;"")&amp;"|파견종료",파견수련계획!$Y$4:$Y$203,0),""))))</f>
        <v/>
      </c>
      <c r="AG183" s="10">
        <f>IF($B183="","",IF(AND(IF(OR($AC183="",인턴현황!$K$2=""),"",INDEX(인턴근무계획!$M$3:$R$202,$AC183,인턴현황!$K$2)&amp;"")&lt;&gt;"",LEFT(IF(OR($AC183="",인턴현황!$K$2=""),"",INDEX(인턴근무계획!$M$3:$R$202,$AC183,인턴현황!$K$2)&amp;""),1)&lt;&gt;"⚠"),LEFT(IF(OR($AC183="",인턴현황!$K$2=""),"",INDEX(인턴근무계획!$M$3:$R$202,$AC183,인턴현황!$K$2)&amp;""),FIND(" ",IF(OR($AC183="",인턴현황!$K$2=""),"",INDEX(인턴근무계획!$M$3:$R$202,$AC183,인턴현황!$K$2)&amp;""))-1),$AE183))</f>
        <v/>
      </c>
      <c r="AH183" s="17">
        <f>IF($B183="","",IF(TRIM($J183&amp;"")="",0,SUMPRODUCT((파견수련계획!$Q$4:$Q$203=TRIM($J183&amp;""))*(파견수련계획!$S$4:$S$203="서울병원")*파견수련계획!$W$4:$W$203))+IF($AG183="서울병원",MAX(0,DAY(EOMONTH(요약!$B$3,0))-N($X183)),0))</f>
        <v/>
      </c>
      <c r="AI183" s="17">
        <f>IF($B183="","",IF(TRIM($J183&amp;"")="",0,SUMPRODUCT((파견수련계획!$Q$4:$Q$203=TRIM($J183&amp;""))*(파견수련계획!$S$4:$S$203="구리병원")*파견수련계획!$W$4:$W$203))+IF($AG183="구리병원",MAX(0,DAY(EOMONTH(요약!$B$3,0))-N($X183)),0))</f>
        <v/>
      </c>
      <c r="AJ183" s="10">
        <f>IF(OR($B183="",TRIM($J183&amp;"")=""),"",IFERROR(MATCH(TRIM($J183&amp;"")&amp;"|월",파견수련계획!$Z$4:$Z$203,0),""))</f>
        <v/>
      </c>
      <c r="AK183" s="10">
        <f>IF(OR($B183="",TRIM($J183&amp;"")=""),"",IFERROR(MATCH(TRIM($J183&amp;"")&amp;"|다기관",파견수련계획!$AE$4:$AE$203,0),""))</f>
        <v/>
      </c>
      <c r="AL183" s="10">
        <f>IF($AK183="","","다기관 "&amp;TEXT(INDEX(파견수련계획!$AB$4:$AB$203,$AK183),"yyyy-mm-dd")&amp;"~"&amp;IF(ISNUMBER(INDEX(파견수련계획!$AC$4:$AC$203,$AK183)),TEXT(INDEX(파견수련계획!$AC$4:$AC$203,$AK183),"yyyy-mm-dd"),""))</f>
        <v/>
      </c>
    </row>
    <row r="184">
      <c r="A184" s="10">
        <f>IF(B184="","",ROW()-1)</f>
        <v/>
      </c>
      <c r="B184" s="18" t="n"/>
      <c r="C184" s="10">
        <f>IF($AB184="","",IF(INDEX(기본자료!$C$2:$C$501,$AB184)="","",INDEX(기본자료!$C$2:$C$501,$AB184)))</f>
        <v/>
      </c>
      <c r="D184" s="10">
        <f>IF($AB184="","",IF(INDEX(기본자료!$J$2:$J$501,$AB184)="","",INDEX(기본자료!$J$2:$J$501,$AB184)))</f>
        <v/>
      </c>
      <c r="E184" s="11">
        <f>IF($AB184="","",IF(INDEX(기본자료!$K$2:$K$501,$AB184)="","",IF(NOT(ISNUMBER(INDEX(기본자료!$K$2:$K$501,$AB184))),INDEX(기본자료!$K$2:$K$501,$AB184),IF(INDEX(기본자료!$K$2:$K$501,$AB184)&lt;1000000,INDEX(기본자료!$K$2:$K$501,$AB184),IF(AND(INDEX(기본자료!$K$2:$K$501,$AB184)&gt;=10000101,INT(MOD(INDEX(기본자료!$K$2:$K$501,$AB184),10000)/100)&gt;=1,INT(MOD(INDEX(기본자료!$K$2:$K$501,$AB184),10000)/100)&lt;=12,MOD(INDEX(기본자료!$K$2:$K$501,$AB184),100)&gt;=1,MOD(INDEX(기본자료!$K$2:$K$501,$AB184),100)&lt;=31),DATE(INT(INDEX(기본자료!$K$2:$K$501,$AB184)/10000),INT(MOD(INDEX(기본자료!$K$2:$K$501,$AB184),10000)/100),MOD(INDEX(기본자료!$K$2:$K$501,$AB184),100)),INDEX(기본자료!$K$2:$K$501,$AB184)&amp;"")))))</f>
        <v/>
      </c>
      <c r="F184" s="10">
        <f>IF($AB184="","",IF(INDEX(기본자료!$D$2:$D$501,$AB184)="","",INDEX(기본자료!$D$2:$D$501,$AB184)))</f>
        <v/>
      </c>
      <c r="G184" s="10">
        <f>IF($AB184="","",IF(INDEX(기본자료!$E$2:$E$501,$AB184)="","",INDEX(기본자료!$E$2:$E$501,$AB184)))</f>
        <v/>
      </c>
      <c r="H184" s="10">
        <f>IF($AB184="","",IF(INDEX(기본자료!$F$2:$F$501,$AB184)="","",INDEX(기본자료!$F$2:$F$501,$AB184)))</f>
        <v/>
      </c>
      <c r="I184" s="11">
        <f>IF($AB184="","",IF(INDEX(기본자료!$G$2:$G$501,$AB184)="","",IF(NOT(ISNUMBER(INDEX(기본자료!$G$2:$G$501,$AB184))),INDEX(기본자료!$G$2:$G$501,$AB184),IF(INDEX(기본자료!$G$2:$G$501,$AB184)&lt;1000000,INDEX(기본자료!$G$2:$G$501,$AB184),IF(AND(INDEX(기본자료!$G$2:$G$501,$AB184)&gt;=10000101,INT(MOD(INDEX(기본자료!$G$2:$G$501,$AB184),10000)/100)&gt;=1,INT(MOD(INDEX(기본자료!$G$2:$G$501,$AB184),10000)/100)&lt;=12,MOD(INDEX(기본자료!$G$2:$G$501,$AB184),100)&gt;=1,MOD(INDEX(기본자료!$G$2:$G$501,$AB184),100)&lt;=31),DATE(INT(INDEX(기본자료!$G$2:$G$501,$AB184)/10000),INT(MOD(INDEX(기본자료!$G$2:$G$501,$AB184),10000)/100),MOD(INDEX(기본자료!$G$2:$G$501,$AB184),100)),INDEX(기본자료!$G$2:$G$501,$AB184)&amp;"")))))</f>
        <v/>
      </c>
      <c r="J184" s="10">
        <f>IF($AB184="","",IF(INDEX(기본자료!$H$2:$H$501,$AB184)="","",INDEX(기본자료!$H$2:$H$501,$AB184)))</f>
        <v/>
      </c>
      <c r="K184" s="10">
        <f>IF($AB184="","",IF(INDEX(기본자료!$I$2:$I$501,$AB184)="","",INDEX(기본자료!$I$2:$I$501,$AB184)))</f>
        <v/>
      </c>
      <c r="L184" s="10">
        <f>IF($AB184="","",IF(INDEX(기본자료!$A$2:$A$501,$AB184)="","",INDEX(기본자료!$A$2:$A$501,$AB184)))</f>
        <v/>
      </c>
      <c r="M184" s="15" t="n"/>
      <c r="N184" s="10">
        <f>IF($B184="","",IF(AND($U184="파견중",$Q184&lt;&gt;""),$Q184,IF(AND($AD184&lt;&gt;"",LEFT($AD184,1)&lt;&gt;"⚠"),LEFT($AD184,FIND(" ",$AD184)-1),IF($H184="","",IF(RIGHT($H184,2)="병원",$H184,$H184&amp;"병원")))))</f>
        <v/>
      </c>
      <c r="O184" s="10">
        <f>IF($B184="","",IF(AND($U184="파견중",$Q184&lt;&gt;""),IF($R184&lt;&gt;"",$R184,"파견과 미입력"),IF(AND($AD184&lt;&gt;"",LEFT($AD184,1)&lt;&gt;"⚠"),MID($AD184,FIND(" ",$AD184)+1,60),IF($F184="","",IF($F184="인턴","수련교육부(인턴)",$F184)))))</f>
        <v/>
      </c>
      <c r="P184" s="10">
        <f>IF($B184="","",IF($AK184&lt;&gt;"",IF(AND(TODAY()&gt;=INDEX(파견수련계획!$AB$4:$AB$203,$AK184),OR(NOT(ISNUMBER(INDEX(파견수련계획!$AC$4:$AC$203,$AK184))),TODAY()&lt;=INDEX(파견수련계획!$AC$4:$AC$203,$AK184))),"다기관",IF($AF184="","",INDEX(파견수련계획!$T$4:$T$203,$AF184))),IF($AF184="","",INDEX(파견수련계획!$T$4:$T$203,$AF184))))</f>
        <v/>
      </c>
      <c r="Q184" s="10">
        <f>IF($AF184="","",INDEX(파견수련계획!$S$4:$S$203,$AF184))</f>
        <v/>
      </c>
      <c r="R184" s="10">
        <f>IF($AF184="","",INDEX(파견수련계획!$U$4:$U$203,$AF184))</f>
        <v/>
      </c>
      <c r="S184" s="11">
        <f>IF($AF184="","",IF(INDEX(파견수련계획!$H$4:$H$203,$AF184)="","",INDEX(파견수련계획!$H$4:$H$203,$AF184)))</f>
        <v/>
      </c>
      <c r="T184" s="11">
        <f>IF($AF184="","",IF(INDEX(파견수련계획!$I$4:$I$203,$AF184)="","",INDEX(파견수련계획!$I$4:$I$203,$AF184)))</f>
        <v/>
      </c>
      <c r="U184" s="10">
        <f>IF($AF184="","",INDEX(파견수련계획!$X$4:$X$203,$AF184))</f>
        <v/>
      </c>
      <c r="V184" s="17">
        <f>IF($AF184="","",INDEX(파견수련계획!$V$4:$V$203,$AF184))</f>
        <v/>
      </c>
      <c r="W184" s="17">
        <f>IF(AND($U184="파견중",$T184&lt;&gt;""),$T184-TODAY(),"")</f>
        <v/>
      </c>
      <c r="X184" s="17">
        <f>IF(OR($B184="",TRIM($J184&amp;"")=""),"",SUMPRODUCT((파견수련계획!$Q$4:$Q$203=TRIM($J184&amp;""))*파견수련계획!$W$4:$W$203))</f>
        <v/>
      </c>
      <c r="Y184" s="10">
        <f>IF($B184="","",IF($AG184="","",IF(IF(TRIM($J184&amp;"")="",0,SUMPRODUCT((파견수련계획!$Q$4:$Q$203=TRIM($J184&amp;""))*파견수련계획!$AD$4:$AD$203))&gt;0,$AE184,IF(N($X184)&lt;=0,$AG184,IF($AH184+$AI184=DAY(EOMONTH(요약!$B$3,0)),IF(AND($AH184&gt;=요약!$E$3,$AI184&lt;요약!$E$3),"서울병원",IF(AND($AI184&gt;=요약!$E$3,$AH184&lt;요약!$E$3),"구리병원","⚠15일 판정불가(서울 "&amp;$AH184&amp;"일/구리 "&amp;$AI184&amp;"일)")),IF($AJ184="",$AE184,IF(INDEX(파견수련계획!$T$4:$T$203,$AJ184)="통합수련",INDEX(파견수련계획!$S$4:$S$203,$AJ184),$AE184)))))))</f>
        <v/>
      </c>
      <c r="Z184" s="19">
        <f>IF($B184="","",IF($AB184="","기본자료에 없는 사번",IF(COUNTIF($B$2:$B$201,$B184)&gt;1,"중복 사번",IF($AE184="","소속(입사장소) 입력",IF(IF(TRIM($J184&amp;"")="",0,SUMPRODUCT((파견수련계획!$Q$4:$Q$203=TRIM($J184&amp;""))*(파견수련계획!$AA$4:$AA$203&lt;&gt;"")))&gt;0,"파견수련계획 입력오류 확인",IF(LEFT($Y184,1)="⚠","서울·구리 15일 판정 불가(양쪽 모두 이상/미만)",IF(IF($AC184="",0,N(INDEX(인턴근무계획!$T$3:$T$202,$AC184)))&gt;0,"인턴계획 입력오류 확인",IF(AND($AC184&lt;&gt;"",$U184&lt;&gt;"파견중",$N184&lt;&gt;$AE184),"인턴 타지역 근무: 파견 여부 확인","정상"))))))))</f>
        <v/>
      </c>
      <c r="AA184" s="5" t="n"/>
      <c r="AB184" s="10">
        <f>IF($B184="","",IFERROR(MATCH($B184,기본자료!$B$2:$B$501,0),IFERROR(MATCH($B184&amp;"",기본자료!$B$2:$B$501,0),IFERROR(MATCH(VALUE($B184),기본자료!$B$2:$B$501,0),""))))</f>
        <v/>
      </c>
      <c r="AC184" s="10">
        <f>IF($B184="","",IFERROR(MATCH($B184,인턴근무계획!$D$3:$D$202,0),IFERROR(MATCH($B184&amp;"",인턴근무계획!$D$3:$D$202,0),IFERROR(MATCH(VALUE($B184),인턴근무계획!$D$3:$D$202,0),""))))</f>
        <v/>
      </c>
      <c r="AD184" s="10">
        <f>IF(OR($AC184="",인턴현황!$G$3=""),"",INDEX(인턴근무계획!$M$3:$R$202,$AC184,인턴현황!$G$3)&amp;"")</f>
        <v/>
      </c>
      <c r="AE184" s="10">
        <f>IF($B184="","",IF($M184&lt;&gt;"",$M184,IF($AF184&lt;&gt;"",IF(LEFT(INDEX(파견수련계획!$R$4:$R$203,$AF184),1)&lt;&gt;"⚠",INDEX(파견수련계획!$R$4:$R$203,$AF184),IF($H184="","",IF(RIGHT($H184,2)="병원",$H184,$H184&amp;"병원"))),IF($H184="","",IF(RIGHT($H184,2)="병원",$H184,$H184&amp;"병원")))))</f>
        <v/>
      </c>
      <c r="AF184" s="10">
        <f>IF(OR($B184="",TRIM($J184&amp;"")=""),"",IFERROR(MATCH(TRIM($J184&amp;"")&amp;"|파견중",파견수련계획!$Y$4:$Y$203,0),IFERROR(MATCH(TRIM($J184&amp;"")&amp;"|파견예정",파견수련계획!$Y$4:$Y$203,0),IFERROR(MATCH(TRIM($J184&amp;"")&amp;"|파견종료",파견수련계획!$Y$4:$Y$203,0),""))))</f>
        <v/>
      </c>
      <c r="AG184" s="10">
        <f>IF($B184="","",IF(AND(IF(OR($AC184="",인턴현황!$K$2=""),"",INDEX(인턴근무계획!$M$3:$R$202,$AC184,인턴현황!$K$2)&amp;"")&lt;&gt;"",LEFT(IF(OR($AC184="",인턴현황!$K$2=""),"",INDEX(인턴근무계획!$M$3:$R$202,$AC184,인턴현황!$K$2)&amp;""),1)&lt;&gt;"⚠"),LEFT(IF(OR($AC184="",인턴현황!$K$2=""),"",INDEX(인턴근무계획!$M$3:$R$202,$AC184,인턴현황!$K$2)&amp;""),FIND(" ",IF(OR($AC184="",인턴현황!$K$2=""),"",INDEX(인턴근무계획!$M$3:$R$202,$AC184,인턴현황!$K$2)&amp;""))-1),$AE184))</f>
        <v/>
      </c>
      <c r="AH184" s="17">
        <f>IF($B184="","",IF(TRIM($J184&amp;"")="",0,SUMPRODUCT((파견수련계획!$Q$4:$Q$203=TRIM($J184&amp;""))*(파견수련계획!$S$4:$S$203="서울병원")*파견수련계획!$W$4:$W$203))+IF($AG184="서울병원",MAX(0,DAY(EOMONTH(요약!$B$3,0))-N($X184)),0))</f>
        <v/>
      </c>
      <c r="AI184" s="17">
        <f>IF($B184="","",IF(TRIM($J184&amp;"")="",0,SUMPRODUCT((파견수련계획!$Q$4:$Q$203=TRIM($J184&amp;""))*(파견수련계획!$S$4:$S$203="구리병원")*파견수련계획!$W$4:$W$203))+IF($AG184="구리병원",MAX(0,DAY(EOMONTH(요약!$B$3,0))-N($X184)),0))</f>
        <v/>
      </c>
      <c r="AJ184" s="10">
        <f>IF(OR($B184="",TRIM($J184&amp;"")=""),"",IFERROR(MATCH(TRIM($J184&amp;"")&amp;"|월",파견수련계획!$Z$4:$Z$203,0),""))</f>
        <v/>
      </c>
      <c r="AK184" s="10">
        <f>IF(OR($B184="",TRIM($J184&amp;"")=""),"",IFERROR(MATCH(TRIM($J184&amp;"")&amp;"|다기관",파견수련계획!$AE$4:$AE$203,0),""))</f>
        <v/>
      </c>
      <c r="AL184" s="10">
        <f>IF($AK184="","","다기관 "&amp;TEXT(INDEX(파견수련계획!$AB$4:$AB$203,$AK184),"yyyy-mm-dd")&amp;"~"&amp;IF(ISNUMBER(INDEX(파견수련계획!$AC$4:$AC$203,$AK184)),TEXT(INDEX(파견수련계획!$AC$4:$AC$203,$AK184),"yyyy-mm-dd"),""))</f>
        <v/>
      </c>
    </row>
    <row r="185">
      <c r="A185" s="10">
        <f>IF(B185="","",ROW()-1)</f>
        <v/>
      </c>
      <c r="B185" s="18" t="n"/>
      <c r="C185" s="10">
        <f>IF($AB185="","",IF(INDEX(기본자료!$C$2:$C$501,$AB185)="","",INDEX(기본자료!$C$2:$C$501,$AB185)))</f>
        <v/>
      </c>
      <c r="D185" s="10">
        <f>IF($AB185="","",IF(INDEX(기본자료!$J$2:$J$501,$AB185)="","",INDEX(기본자료!$J$2:$J$501,$AB185)))</f>
        <v/>
      </c>
      <c r="E185" s="11">
        <f>IF($AB185="","",IF(INDEX(기본자료!$K$2:$K$501,$AB185)="","",IF(NOT(ISNUMBER(INDEX(기본자료!$K$2:$K$501,$AB185))),INDEX(기본자료!$K$2:$K$501,$AB185),IF(INDEX(기본자료!$K$2:$K$501,$AB185)&lt;1000000,INDEX(기본자료!$K$2:$K$501,$AB185),IF(AND(INDEX(기본자료!$K$2:$K$501,$AB185)&gt;=10000101,INT(MOD(INDEX(기본자료!$K$2:$K$501,$AB185),10000)/100)&gt;=1,INT(MOD(INDEX(기본자료!$K$2:$K$501,$AB185),10000)/100)&lt;=12,MOD(INDEX(기본자료!$K$2:$K$501,$AB185),100)&gt;=1,MOD(INDEX(기본자료!$K$2:$K$501,$AB185),100)&lt;=31),DATE(INT(INDEX(기본자료!$K$2:$K$501,$AB185)/10000),INT(MOD(INDEX(기본자료!$K$2:$K$501,$AB185),10000)/100),MOD(INDEX(기본자료!$K$2:$K$501,$AB185),100)),INDEX(기본자료!$K$2:$K$501,$AB185)&amp;"")))))</f>
        <v/>
      </c>
      <c r="F185" s="10">
        <f>IF($AB185="","",IF(INDEX(기본자료!$D$2:$D$501,$AB185)="","",INDEX(기본자료!$D$2:$D$501,$AB185)))</f>
        <v/>
      </c>
      <c r="G185" s="10">
        <f>IF($AB185="","",IF(INDEX(기본자료!$E$2:$E$501,$AB185)="","",INDEX(기본자료!$E$2:$E$501,$AB185)))</f>
        <v/>
      </c>
      <c r="H185" s="10">
        <f>IF($AB185="","",IF(INDEX(기본자료!$F$2:$F$501,$AB185)="","",INDEX(기본자료!$F$2:$F$501,$AB185)))</f>
        <v/>
      </c>
      <c r="I185" s="11">
        <f>IF($AB185="","",IF(INDEX(기본자료!$G$2:$G$501,$AB185)="","",IF(NOT(ISNUMBER(INDEX(기본자료!$G$2:$G$501,$AB185))),INDEX(기본자료!$G$2:$G$501,$AB185),IF(INDEX(기본자료!$G$2:$G$501,$AB185)&lt;1000000,INDEX(기본자료!$G$2:$G$501,$AB185),IF(AND(INDEX(기본자료!$G$2:$G$501,$AB185)&gt;=10000101,INT(MOD(INDEX(기본자료!$G$2:$G$501,$AB185),10000)/100)&gt;=1,INT(MOD(INDEX(기본자료!$G$2:$G$501,$AB185),10000)/100)&lt;=12,MOD(INDEX(기본자료!$G$2:$G$501,$AB185),100)&gt;=1,MOD(INDEX(기본자료!$G$2:$G$501,$AB185),100)&lt;=31),DATE(INT(INDEX(기본자료!$G$2:$G$501,$AB185)/10000),INT(MOD(INDEX(기본자료!$G$2:$G$501,$AB185),10000)/100),MOD(INDEX(기본자료!$G$2:$G$501,$AB185),100)),INDEX(기본자료!$G$2:$G$501,$AB185)&amp;"")))))</f>
        <v/>
      </c>
      <c r="J185" s="10">
        <f>IF($AB185="","",IF(INDEX(기본자료!$H$2:$H$501,$AB185)="","",INDEX(기본자료!$H$2:$H$501,$AB185)))</f>
        <v/>
      </c>
      <c r="K185" s="10">
        <f>IF($AB185="","",IF(INDEX(기본자료!$I$2:$I$501,$AB185)="","",INDEX(기본자료!$I$2:$I$501,$AB185)))</f>
        <v/>
      </c>
      <c r="L185" s="10">
        <f>IF($AB185="","",IF(INDEX(기본자료!$A$2:$A$501,$AB185)="","",INDEX(기본자료!$A$2:$A$501,$AB185)))</f>
        <v/>
      </c>
      <c r="M185" s="15" t="n"/>
      <c r="N185" s="10">
        <f>IF($B185="","",IF(AND($U185="파견중",$Q185&lt;&gt;""),$Q185,IF(AND($AD185&lt;&gt;"",LEFT($AD185,1)&lt;&gt;"⚠"),LEFT($AD185,FIND(" ",$AD185)-1),IF($H185="","",IF(RIGHT($H185,2)="병원",$H185,$H185&amp;"병원")))))</f>
        <v/>
      </c>
      <c r="O185" s="10">
        <f>IF($B185="","",IF(AND($U185="파견중",$Q185&lt;&gt;""),IF($R185&lt;&gt;"",$R185,"파견과 미입력"),IF(AND($AD185&lt;&gt;"",LEFT($AD185,1)&lt;&gt;"⚠"),MID($AD185,FIND(" ",$AD185)+1,60),IF($F185="","",IF($F185="인턴","수련교육부(인턴)",$F185)))))</f>
        <v/>
      </c>
      <c r="P185" s="10">
        <f>IF($B185="","",IF($AK185&lt;&gt;"",IF(AND(TODAY()&gt;=INDEX(파견수련계획!$AB$4:$AB$203,$AK185),OR(NOT(ISNUMBER(INDEX(파견수련계획!$AC$4:$AC$203,$AK185))),TODAY()&lt;=INDEX(파견수련계획!$AC$4:$AC$203,$AK185))),"다기관",IF($AF185="","",INDEX(파견수련계획!$T$4:$T$203,$AF185))),IF($AF185="","",INDEX(파견수련계획!$T$4:$T$203,$AF185))))</f>
        <v/>
      </c>
      <c r="Q185" s="10">
        <f>IF($AF185="","",INDEX(파견수련계획!$S$4:$S$203,$AF185))</f>
        <v/>
      </c>
      <c r="R185" s="10">
        <f>IF($AF185="","",INDEX(파견수련계획!$U$4:$U$203,$AF185))</f>
        <v/>
      </c>
      <c r="S185" s="11">
        <f>IF($AF185="","",IF(INDEX(파견수련계획!$H$4:$H$203,$AF185)="","",INDEX(파견수련계획!$H$4:$H$203,$AF185)))</f>
        <v/>
      </c>
      <c r="T185" s="11">
        <f>IF($AF185="","",IF(INDEX(파견수련계획!$I$4:$I$203,$AF185)="","",INDEX(파견수련계획!$I$4:$I$203,$AF185)))</f>
        <v/>
      </c>
      <c r="U185" s="10">
        <f>IF($AF185="","",INDEX(파견수련계획!$X$4:$X$203,$AF185))</f>
        <v/>
      </c>
      <c r="V185" s="17">
        <f>IF($AF185="","",INDEX(파견수련계획!$V$4:$V$203,$AF185))</f>
        <v/>
      </c>
      <c r="W185" s="17">
        <f>IF(AND($U185="파견중",$T185&lt;&gt;""),$T185-TODAY(),"")</f>
        <v/>
      </c>
      <c r="X185" s="17">
        <f>IF(OR($B185="",TRIM($J185&amp;"")=""),"",SUMPRODUCT((파견수련계획!$Q$4:$Q$203=TRIM($J185&amp;""))*파견수련계획!$W$4:$W$203))</f>
        <v/>
      </c>
      <c r="Y185" s="10">
        <f>IF($B185="","",IF($AG185="","",IF(IF(TRIM($J185&amp;"")="",0,SUMPRODUCT((파견수련계획!$Q$4:$Q$203=TRIM($J185&amp;""))*파견수련계획!$AD$4:$AD$203))&gt;0,$AE185,IF(N($X185)&lt;=0,$AG185,IF($AH185+$AI185=DAY(EOMONTH(요약!$B$3,0)),IF(AND($AH185&gt;=요약!$E$3,$AI185&lt;요약!$E$3),"서울병원",IF(AND($AI185&gt;=요약!$E$3,$AH185&lt;요약!$E$3),"구리병원","⚠15일 판정불가(서울 "&amp;$AH185&amp;"일/구리 "&amp;$AI185&amp;"일)")),IF($AJ185="",$AE185,IF(INDEX(파견수련계획!$T$4:$T$203,$AJ185)="통합수련",INDEX(파견수련계획!$S$4:$S$203,$AJ185),$AE185)))))))</f>
        <v/>
      </c>
      <c r="Z185" s="19">
        <f>IF($B185="","",IF($AB185="","기본자료에 없는 사번",IF(COUNTIF($B$2:$B$201,$B185)&gt;1,"중복 사번",IF($AE185="","소속(입사장소) 입력",IF(IF(TRIM($J185&amp;"")="",0,SUMPRODUCT((파견수련계획!$Q$4:$Q$203=TRIM($J185&amp;""))*(파견수련계획!$AA$4:$AA$203&lt;&gt;"")))&gt;0,"파견수련계획 입력오류 확인",IF(LEFT($Y185,1)="⚠","서울·구리 15일 판정 불가(양쪽 모두 이상/미만)",IF(IF($AC185="",0,N(INDEX(인턴근무계획!$T$3:$T$202,$AC185)))&gt;0,"인턴계획 입력오류 확인",IF(AND($AC185&lt;&gt;"",$U185&lt;&gt;"파견중",$N185&lt;&gt;$AE185),"인턴 타지역 근무: 파견 여부 확인","정상"))))))))</f>
        <v/>
      </c>
      <c r="AA185" s="5" t="n"/>
      <c r="AB185" s="10">
        <f>IF($B185="","",IFERROR(MATCH($B185,기본자료!$B$2:$B$501,0),IFERROR(MATCH($B185&amp;"",기본자료!$B$2:$B$501,0),IFERROR(MATCH(VALUE($B185),기본자료!$B$2:$B$501,0),""))))</f>
        <v/>
      </c>
      <c r="AC185" s="10">
        <f>IF($B185="","",IFERROR(MATCH($B185,인턴근무계획!$D$3:$D$202,0),IFERROR(MATCH($B185&amp;"",인턴근무계획!$D$3:$D$202,0),IFERROR(MATCH(VALUE($B185),인턴근무계획!$D$3:$D$202,0),""))))</f>
        <v/>
      </c>
      <c r="AD185" s="10">
        <f>IF(OR($AC185="",인턴현황!$G$3=""),"",INDEX(인턴근무계획!$M$3:$R$202,$AC185,인턴현황!$G$3)&amp;"")</f>
        <v/>
      </c>
      <c r="AE185" s="10">
        <f>IF($B185="","",IF($M185&lt;&gt;"",$M185,IF($AF185&lt;&gt;"",IF(LEFT(INDEX(파견수련계획!$R$4:$R$203,$AF185),1)&lt;&gt;"⚠",INDEX(파견수련계획!$R$4:$R$203,$AF185),IF($H185="","",IF(RIGHT($H185,2)="병원",$H185,$H185&amp;"병원"))),IF($H185="","",IF(RIGHT($H185,2)="병원",$H185,$H185&amp;"병원")))))</f>
        <v/>
      </c>
      <c r="AF185" s="10">
        <f>IF(OR($B185="",TRIM($J185&amp;"")=""),"",IFERROR(MATCH(TRIM($J185&amp;"")&amp;"|파견중",파견수련계획!$Y$4:$Y$203,0),IFERROR(MATCH(TRIM($J185&amp;"")&amp;"|파견예정",파견수련계획!$Y$4:$Y$203,0),IFERROR(MATCH(TRIM($J185&amp;"")&amp;"|파견종료",파견수련계획!$Y$4:$Y$203,0),""))))</f>
        <v/>
      </c>
      <c r="AG185" s="10">
        <f>IF($B185="","",IF(AND(IF(OR($AC185="",인턴현황!$K$2=""),"",INDEX(인턴근무계획!$M$3:$R$202,$AC185,인턴현황!$K$2)&amp;"")&lt;&gt;"",LEFT(IF(OR($AC185="",인턴현황!$K$2=""),"",INDEX(인턴근무계획!$M$3:$R$202,$AC185,인턴현황!$K$2)&amp;""),1)&lt;&gt;"⚠"),LEFT(IF(OR($AC185="",인턴현황!$K$2=""),"",INDEX(인턴근무계획!$M$3:$R$202,$AC185,인턴현황!$K$2)&amp;""),FIND(" ",IF(OR($AC185="",인턴현황!$K$2=""),"",INDEX(인턴근무계획!$M$3:$R$202,$AC185,인턴현황!$K$2)&amp;""))-1),$AE185))</f>
        <v/>
      </c>
      <c r="AH185" s="17">
        <f>IF($B185="","",IF(TRIM($J185&amp;"")="",0,SUMPRODUCT((파견수련계획!$Q$4:$Q$203=TRIM($J185&amp;""))*(파견수련계획!$S$4:$S$203="서울병원")*파견수련계획!$W$4:$W$203))+IF($AG185="서울병원",MAX(0,DAY(EOMONTH(요약!$B$3,0))-N($X185)),0))</f>
        <v/>
      </c>
      <c r="AI185" s="17">
        <f>IF($B185="","",IF(TRIM($J185&amp;"")="",0,SUMPRODUCT((파견수련계획!$Q$4:$Q$203=TRIM($J185&amp;""))*(파견수련계획!$S$4:$S$203="구리병원")*파견수련계획!$W$4:$W$203))+IF($AG185="구리병원",MAX(0,DAY(EOMONTH(요약!$B$3,0))-N($X185)),0))</f>
        <v/>
      </c>
      <c r="AJ185" s="10">
        <f>IF(OR($B185="",TRIM($J185&amp;"")=""),"",IFERROR(MATCH(TRIM($J185&amp;"")&amp;"|월",파견수련계획!$Z$4:$Z$203,0),""))</f>
        <v/>
      </c>
      <c r="AK185" s="10">
        <f>IF(OR($B185="",TRIM($J185&amp;"")=""),"",IFERROR(MATCH(TRIM($J185&amp;"")&amp;"|다기관",파견수련계획!$AE$4:$AE$203,0),""))</f>
        <v/>
      </c>
      <c r="AL185" s="10">
        <f>IF($AK185="","","다기관 "&amp;TEXT(INDEX(파견수련계획!$AB$4:$AB$203,$AK185),"yyyy-mm-dd")&amp;"~"&amp;IF(ISNUMBER(INDEX(파견수련계획!$AC$4:$AC$203,$AK185)),TEXT(INDEX(파견수련계획!$AC$4:$AC$203,$AK185),"yyyy-mm-dd"),""))</f>
        <v/>
      </c>
    </row>
    <row r="186">
      <c r="A186" s="10">
        <f>IF(B186="","",ROW()-1)</f>
        <v/>
      </c>
      <c r="B186" s="18" t="n"/>
      <c r="C186" s="10">
        <f>IF($AB186="","",IF(INDEX(기본자료!$C$2:$C$501,$AB186)="","",INDEX(기본자료!$C$2:$C$501,$AB186)))</f>
        <v/>
      </c>
      <c r="D186" s="10">
        <f>IF($AB186="","",IF(INDEX(기본자료!$J$2:$J$501,$AB186)="","",INDEX(기본자료!$J$2:$J$501,$AB186)))</f>
        <v/>
      </c>
      <c r="E186" s="11">
        <f>IF($AB186="","",IF(INDEX(기본자료!$K$2:$K$501,$AB186)="","",IF(NOT(ISNUMBER(INDEX(기본자료!$K$2:$K$501,$AB186))),INDEX(기본자료!$K$2:$K$501,$AB186),IF(INDEX(기본자료!$K$2:$K$501,$AB186)&lt;1000000,INDEX(기본자료!$K$2:$K$501,$AB186),IF(AND(INDEX(기본자료!$K$2:$K$501,$AB186)&gt;=10000101,INT(MOD(INDEX(기본자료!$K$2:$K$501,$AB186),10000)/100)&gt;=1,INT(MOD(INDEX(기본자료!$K$2:$K$501,$AB186),10000)/100)&lt;=12,MOD(INDEX(기본자료!$K$2:$K$501,$AB186),100)&gt;=1,MOD(INDEX(기본자료!$K$2:$K$501,$AB186),100)&lt;=31),DATE(INT(INDEX(기본자료!$K$2:$K$501,$AB186)/10000),INT(MOD(INDEX(기본자료!$K$2:$K$501,$AB186),10000)/100),MOD(INDEX(기본자료!$K$2:$K$501,$AB186),100)),INDEX(기본자료!$K$2:$K$501,$AB186)&amp;"")))))</f>
        <v/>
      </c>
      <c r="F186" s="10">
        <f>IF($AB186="","",IF(INDEX(기본자료!$D$2:$D$501,$AB186)="","",INDEX(기본자료!$D$2:$D$501,$AB186)))</f>
        <v/>
      </c>
      <c r="G186" s="10">
        <f>IF($AB186="","",IF(INDEX(기본자료!$E$2:$E$501,$AB186)="","",INDEX(기본자료!$E$2:$E$501,$AB186)))</f>
        <v/>
      </c>
      <c r="H186" s="10">
        <f>IF($AB186="","",IF(INDEX(기본자료!$F$2:$F$501,$AB186)="","",INDEX(기본자료!$F$2:$F$501,$AB186)))</f>
        <v/>
      </c>
      <c r="I186" s="11">
        <f>IF($AB186="","",IF(INDEX(기본자료!$G$2:$G$501,$AB186)="","",IF(NOT(ISNUMBER(INDEX(기본자료!$G$2:$G$501,$AB186))),INDEX(기본자료!$G$2:$G$501,$AB186),IF(INDEX(기본자료!$G$2:$G$501,$AB186)&lt;1000000,INDEX(기본자료!$G$2:$G$501,$AB186),IF(AND(INDEX(기본자료!$G$2:$G$501,$AB186)&gt;=10000101,INT(MOD(INDEX(기본자료!$G$2:$G$501,$AB186),10000)/100)&gt;=1,INT(MOD(INDEX(기본자료!$G$2:$G$501,$AB186),10000)/100)&lt;=12,MOD(INDEX(기본자료!$G$2:$G$501,$AB186),100)&gt;=1,MOD(INDEX(기본자료!$G$2:$G$501,$AB186),100)&lt;=31),DATE(INT(INDEX(기본자료!$G$2:$G$501,$AB186)/10000),INT(MOD(INDEX(기본자료!$G$2:$G$501,$AB186),10000)/100),MOD(INDEX(기본자료!$G$2:$G$501,$AB186),100)),INDEX(기본자료!$G$2:$G$501,$AB186)&amp;"")))))</f>
        <v/>
      </c>
      <c r="J186" s="10">
        <f>IF($AB186="","",IF(INDEX(기본자료!$H$2:$H$501,$AB186)="","",INDEX(기본자료!$H$2:$H$501,$AB186)))</f>
        <v/>
      </c>
      <c r="K186" s="10">
        <f>IF($AB186="","",IF(INDEX(기본자료!$I$2:$I$501,$AB186)="","",INDEX(기본자료!$I$2:$I$501,$AB186)))</f>
        <v/>
      </c>
      <c r="L186" s="10">
        <f>IF($AB186="","",IF(INDEX(기본자료!$A$2:$A$501,$AB186)="","",INDEX(기본자료!$A$2:$A$501,$AB186)))</f>
        <v/>
      </c>
      <c r="M186" s="15" t="n"/>
      <c r="N186" s="10">
        <f>IF($B186="","",IF(AND($U186="파견중",$Q186&lt;&gt;""),$Q186,IF(AND($AD186&lt;&gt;"",LEFT($AD186,1)&lt;&gt;"⚠"),LEFT($AD186,FIND(" ",$AD186)-1),IF($H186="","",IF(RIGHT($H186,2)="병원",$H186,$H186&amp;"병원")))))</f>
        <v/>
      </c>
      <c r="O186" s="10">
        <f>IF($B186="","",IF(AND($U186="파견중",$Q186&lt;&gt;""),IF($R186&lt;&gt;"",$R186,"파견과 미입력"),IF(AND($AD186&lt;&gt;"",LEFT($AD186,1)&lt;&gt;"⚠"),MID($AD186,FIND(" ",$AD186)+1,60),IF($F186="","",IF($F186="인턴","수련교육부(인턴)",$F186)))))</f>
        <v/>
      </c>
      <c r="P186" s="10">
        <f>IF($B186="","",IF($AK186&lt;&gt;"",IF(AND(TODAY()&gt;=INDEX(파견수련계획!$AB$4:$AB$203,$AK186),OR(NOT(ISNUMBER(INDEX(파견수련계획!$AC$4:$AC$203,$AK186))),TODAY()&lt;=INDEX(파견수련계획!$AC$4:$AC$203,$AK186))),"다기관",IF($AF186="","",INDEX(파견수련계획!$T$4:$T$203,$AF186))),IF($AF186="","",INDEX(파견수련계획!$T$4:$T$203,$AF186))))</f>
        <v/>
      </c>
      <c r="Q186" s="10">
        <f>IF($AF186="","",INDEX(파견수련계획!$S$4:$S$203,$AF186))</f>
        <v/>
      </c>
      <c r="R186" s="10">
        <f>IF($AF186="","",INDEX(파견수련계획!$U$4:$U$203,$AF186))</f>
        <v/>
      </c>
      <c r="S186" s="11">
        <f>IF($AF186="","",IF(INDEX(파견수련계획!$H$4:$H$203,$AF186)="","",INDEX(파견수련계획!$H$4:$H$203,$AF186)))</f>
        <v/>
      </c>
      <c r="T186" s="11">
        <f>IF($AF186="","",IF(INDEX(파견수련계획!$I$4:$I$203,$AF186)="","",INDEX(파견수련계획!$I$4:$I$203,$AF186)))</f>
        <v/>
      </c>
      <c r="U186" s="10">
        <f>IF($AF186="","",INDEX(파견수련계획!$X$4:$X$203,$AF186))</f>
        <v/>
      </c>
      <c r="V186" s="17">
        <f>IF($AF186="","",INDEX(파견수련계획!$V$4:$V$203,$AF186))</f>
        <v/>
      </c>
      <c r="W186" s="17">
        <f>IF(AND($U186="파견중",$T186&lt;&gt;""),$T186-TODAY(),"")</f>
        <v/>
      </c>
      <c r="X186" s="17">
        <f>IF(OR($B186="",TRIM($J186&amp;"")=""),"",SUMPRODUCT((파견수련계획!$Q$4:$Q$203=TRIM($J186&amp;""))*파견수련계획!$W$4:$W$203))</f>
        <v/>
      </c>
      <c r="Y186" s="10">
        <f>IF($B186="","",IF($AG186="","",IF(IF(TRIM($J186&amp;"")="",0,SUMPRODUCT((파견수련계획!$Q$4:$Q$203=TRIM($J186&amp;""))*파견수련계획!$AD$4:$AD$203))&gt;0,$AE186,IF(N($X186)&lt;=0,$AG186,IF($AH186+$AI186=DAY(EOMONTH(요약!$B$3,0)),IF(AND($AH186&gt;=요약!$E$3,$AI186&lt;요약!$E$3),"서울병원",IF(AND($AI186&gt;=요약!$E$3,$AH186&lt;요약!$E$3),"구리병원","⚠15일 판정불가(서울 "&amp;$AH186&amp;"일/구리 "&amp;$AI186&amp;"일)")),IF($AJ186="",$AE186,IF(INDEX(파견수련계획!$T$4:$T$203,$AJ186)="통합수련",INDEX(파견수련계획!$S$4:$S$203,$AJ186),$AE186)))))))</f>
        <v/>
      </c>
      <c r="Z186" s="19">
        <f>IF($B186="","",IF($AB186="","기본자료에 없는 사번",IF(COUNTIF($B$2:$B$201,$B186)&gt;1,"중복 사번",IF($AE186="","소속(입사장소) 입력",IF(IF(TRIM($J186&amp;"")="",0,SUMPRODUCT((파견수련계획!$Q$4:$Q$203=TRIM($J186&amp;""))*(파견수련계획!$AA$4:$AA$203&lt;&gt;"")))&gt;0,"파견수련계획 입력오류 확인",IF(LEFT($Y186,1)="⚠","서울·구리 15일 판정 불가(양쪽 모두 이상/미만)",IF(IF($AC186="",0,N(INDEX(인턴근무계획!$T$3:$T$202,$AC186)))&gt;0,"인턴계획 입력오류 확인",IF(AND($AC186&lt;&gt;"",$U186&lt;&gt;"파견중",$N186&lt;&gt;$AE186),"인턴 타지역 근무: 파견 여부 확인","정상"))))))))</f>
        <v/>
      </c>
      <c r="AA186" s="5" t="n"/>
      <c r="AB186" s="10">
        <f>IF($B186="","",IFERROR(MATCH($B186,기본자료!$B$2:$B$501,0),IFERROR(MATCH($B186&amp;"",기본자료!$B$2:$B$501,0),IFERROR(MATCH(VALUE($B186),기본자료!$B$2:$B$501,0),""))))</f>
        <v/>
      </c>
      <c r="AC186" s="10">
        <f>IF($B186="","",IFERROR(MATCH($B186,인턴근무계획!$D$3:$D$202,0),IFERROR(MATCH($B186&amp;"",인턴근무계획!$D$3:$D$202,0),IFERROR(MATCH(VALUE($B186),인턴근무계획!$D$3:$D$202,0),""))))</f>
        <v/>
      </c>
      <c r="AD186" s="10">
        <f>IF(OR($AC186="",인턴현황!$G$3=""),"",INDEX(인턴근무계획!$M$3:$R$202,$AC186,인턴현황!$G$3)&amp;"")</f>
        <v/>
      </c>
      <c r="AE186" s="10">
        <f>IF($B186="","",IF($M186&lt;&gt;"",$M186,IF($AF186&lt;&gt;"",IF(LEFT(INDEX(파견수련계획!$R$4:$R$203,$AF186),1)&lt;&gt;"⚠",INDEX(파견수련계획!$R$4:$R$203,$AF186),IF($H186="","",IF(RIGHT($H186,2)="병원",$H186,$H186&amp;"병원"))),IF($H186="","",IF(RIGHT($H186,2)="병원",$H186,$H186&amp;"병원")))))</f>
        <v/>
      </c>
      <c r="AF186" s="10">
        <f>IF(OR($B186="",TRIM($J186&amp;"")=""),"",IFERROR(MATCH(TRIM($J186&amp;"")&amp;"|파견중",파견수련계획!$Y$4:$Y$203,0),IFERROR(MATCH(TRIM($J186&amp;"")&amp;"|파견예정",파견수련계획!$Y$4:$Y$203,0),IFERROR(MATCH(TRIM($J186&amp;"")&amp;"|파견종료",파견수련계획!$Y$4:$Y$203,0),""))))</f>
        <v/>
      </c>
      <c r="AG186" s="10">
        <f>IF($B186="","",IF(AND(IF(OR($AC186="",인턴현황!$K$2=""),"",INDEX(인턴근무계획!$M$3:$R$202,$AC186,인턴현황!$K$2)&amp;"")&lt;&gt;"",LEFT(IF(OR($AC186="",인턴현황!$K$2=""),"",INDEX(인턴근무계획!$M$3:$R$202,$AC186,인턴현황!$K$2)&amp;""),1)&lt;&gt;"⚠"),LEFT(IF(OR($AC186="",인턴현황!$K$2=""),"",INDEX(인턴근무계획!$M$3:$R$202,$AC186,인턴현황!$K$2)&amp;""),FIND(" ",IF(OR($AC186="",인턴현황!$K$2=""),"",INDEX(인턴근무계획!$M$3:$R$202,$AC186,인턴현황!$K$2)&amp;""))-1),$AE186))</f>
        <v/>
      </c>
      <c r="AH186" s="17">
        <f>IF($B186="","",IF(TRIM($J186&amp;"")="",0,SUMPRODUCT((파견수련계획!$Q$4:$Q$203=TRIM($J186&amp;""))*(파견수련계획!$S$4:$S$203="서울병원")*파견수련계획!$W$4:$W$203))+IF($AG186="서울병원",MAX(0,DAY(EOMONTH(요약!$B$3,0))-N($X186)),0))</f>
        <v/>
      </c>
      <c r="AI186" s="17">
        <f>IF($B186="","",IF(TRIM($J186&amp;"")="",0,SUMPRODUCT((파견수련계획!$Q$4:$Q$203=TRIM($J186&amp;""))*(파견수련계획!$S$4:$S$203="구리병원")*파견수련계획!$W$4:$W$203))+IF($AG186="구리병원",MAX(0,DAY(EOMONTH(요약!$B$3,0))-N($X186)),0))</f>
        <v/>
      </c>
      <c r="AJ186" s="10">
        <f>IF(OR($B186="",TRIM($J186&amp;"")=""),"",IFERROR(MATCH(TRIM($J186&amp;"")&amp;"|월",파견수련계획!$Z$4:$Z$203,0),""))</f>
        <v/>
      </c>
      <c r="AK186" s="10">
        <f>IF(OR($B186="",TRIM($J186&amp;"")=""),"",IFERROR(MATCH(TRIM($J186&amp;"")&amp;"|다기관",파견수련계획!$AE$4:$AE$203,0),""))</f>
        <v/>
      </c>
      <c r="AL186" s="10">
        <f>IF($AK186="","","다기관 "&amp;TEXT(INDEX(파견수련계획!$AB$4:$AB$203,$AK186),"yyyy-mm-dd")&amp;"~"&amp;IF(ISNUMBER(INDEX(파견수련계획!$AC$4:$AC$203,$AK186)),TEXT(INDEX(파견수련계획!$AC$4:$AC$203,$AK186),"yyyy-mm-dd"),""))</f>
        <v/>
      </c>
    </row>
    <row r="187">
      <c r="A187" s="10">
        <f>IF(B187="","",ROW()-1)</f>
        <v/>
      </c>
      <c r="B187" s="18" t="n"/>
      <c r="C187" s="10">
        <f>IF($AB187="","",IF(INDEX(기본자료!$C$2:$C$501,$AB187)="","",INDEX(기본자료!$C$2:$C$501,$AB187)))</f>
        <v/>
      </c>
      <c r="D187" s="10">
        <f>IF($AB187="","",IF(INDEX(기본자료!$J$2:$J$501,$AB187)="","",INDEX(기본자료!$J$2:$J$501,$AB187)))</f>
        <v/>
      </c>
      <c r="E187" s="11">
        <f>IF($AB187="","",IF(INDEX(기본자료!$K$2:$K$501,$AB187)="","",IF(NOT(ISNUMBER(INDEX(기본자료!$K$2:$K$501,$AB187))),INDEX(기본자료!$K$2:$K$501,$AB187),IF(INDEX(기본자료!$K$2:$K$501,$AB187)&lt;1000000,INDEX(기본자료!$K$2:$K$501,$AB187),IF(AND(INDEX(기본자료!$K$2:$K$501,$AB187)&gt;=10000101,INT(MOD(INDEX(기본자료!$K$2:$K$501,$AB187),10000)/100)&gt;=1,INT(MOD(INDEX(기본자료!$K$2:$K$501,$AB187),10000)/100)&lt;=12,MOD(INDEX(기본자료!$K$2:$K$501,$AB187),100)&gt;=1,MOD(INDEX(기본자료!$K$2:$K$501,$AB187),100)&lt;=31),DATE(INT(INDEX(기본자료!$K$2:$K$501,$AB187)/10000),INT(MOD(INDEX(기본자료!$K$2:$K$501,$AB187),10000)/100),MOD(INDEX(기본자료!$K$2:$K$501,$AB187),100)),INDEX(기본자료!$K$2:$K$501,$AB187)&amp;"")))))</f>
        <v/>
      </c>
      <c r="F187" s="10">
        <f>IF($AB187="","",IF(INDEX(기본자료!$D$2:$D$501,$AB187)="","",INDEX(기본자료!$D$2:$D$501,$AB187)))</f>
        <v/>
      </c>
      <c r="G187" s="10">
        <f>IF($AB187="","",IF(INDEX(기본자료!$E$2:$E$501,$AB187)="","",INDEX(기본자료!$E$2:$E$501,$AB187)))</f>
        <v/>
      </c>
      <c r="H187" s="10">
        <f>IF($AB187="","",IF(INDEX(기본자료!$F$2:$F$501,$AB187)="","",INDEX(기본자료!$F$2:$F$501,$AB187)))</f>
        <v/>
      </c>
      <c r="I187" s="11">
        <f>IF($AB187="","",IF(INDEX(기본자료!$G$2:$G$501,$AB187)="","",IF(NOT(ISNUMBER(INDEX(기본자료!$G$2:$G$501,$AB187))),INDEX(기본자료!$G$2:$G$501,$AB187),IF(INDEX(기본자료!$G$2:$G$501,$AB187)&lt;1000000,INDEX(기본자료!$G$2:$G$501,$AB187),IF(AND(INDEX(기본자료!$G$2:$G$501,$AB187)&gt;=10000101,INT(MOD(INDEX(기본자료!$G$2:$G$501,$AB187),10000)/100)&gt;=1,INT(MOD(INDEX(기본자료!$G$2:$G$501,$AB187),10000)/100)&lt;=12,MOD(INDEX(기본자료!$G$2:$G$501,$AB187),100)&gt;=1,MOD(INDEX(기본자료!$G$2:$G$501,$AB187),100)&lt;=31),DATE(INT(INDEX(기본자료!$G$2:$G$501,$AB187)/10000),INT(MOD(INDEX(기본자료!$G$2:$G$501,$AB187),10000)/100),MOD(INDEX(기본자료!$G$2:$G$501,$AB187),100)),INDEX(기본자료!$G$2:$G$501,$AB187)&amp;"")))))</f>
        <v/>
      </c>
      <c r="J187" s="10">
        <f>IF($AB187="","",IF(INDEX(기본자료!$H$2:$H$501,$AB187)="","",INDEX(기본자료!$H$2:$H$501,$AB187)))</f>
        <v/>
      </c>
      <c r="K187" s="10">
        <f>IF($AB187="","",IF(INDEX(기본자료!$I$2:$I$501,$AB187)="","",INDEX(기본자료!$I$2:$I$501,$AB187)))</f>
        <v/>
      </c>
      <c r="L187" s="10">
        <f>IF($AB187="","",IF(INDEX(기본자료!$A$2:$A$501,$AB187)="","",INDEX(기본자료!$A$2:$A$501,$AB187)))</f>
        <v/>
      </c>
      <c r="M187" s="15" t="n"/>
      <c r="N187" s="10">
        <f>IF($B187="","",IF(AND($U187="파견중",$Q187&lt;&gt;""),$Q187,IF(AND($AD187&lt;&gt;"",LEFT($AD187,1)&lt;&gt;"⚠"),LEFT($AD187,FIND(" ",$AD187)-1),IF($H187="","",IF(RIGHT($H187,2)="병원",$H187,$H187&amp;"병원")))))</f>
        <v/>
      </c>
      <c r="O187" s="10">
        <f>IF($B187="","",IF(AND($U187="파견중",$Q187&lt;&gt;""),IF($R187&lt;&gt;"",$R187,"파견과 미입력"),IF(AND($AD187&lt;&gt;"",LEFT($AD187,1)&lt;&gt;"⚠"),MID($AD187,FIND(" ",$AD187)+1,60),IF($F187="","",IF($F187="인턴","수련교육부(인턴)",$F187)))))</f>
        <v/>
      </c>
      <c r="P187" s="10">
        <f>IF($B187="","",IF($AK187&lt;&gt;"",IF(AND(TODAY()&gt;=INDEX(파견수련계획!$AB$4:$AB$203,$AK187),OR(NOT(ISNUMBER(INDEX(파견수련계획!$AC$4:$AC$203,$AK187))),TODAY()&lt;=INDEX(파견수련계획!$AC$4:$AC$203,$AK187))),"다기관",IF($AF187="","",INDEX(파견수련계획!$T$4:$T$203,$AF187))),IF($AF187="","",INDEX(파견수련계획!$T$4:$T$203,$AF187))))</f>
        <v/>
      </c>
      <c r="Q187" s="10">
        <f>IF($AF187="","",INDEX(파견수련계획!$S$4:$S$203,$AF187))</f>
        <v/>
      </c>
      <c r="R187" s="10">
        <f>IF($AF187="","",INDEX(파견수련계획!$U$4:$U$203,$AF187))</f>
        <v/>
      </c>
      <c r="S187" s="11">
        <f>IF($AF187="","",IF(INDEX(파견수련계획!$H$4:$H$203,$AF187)="","",INDEX(파견수련계획!$H$4:$H$203,$AF187)))</f>
        <v/>
      </c>
      <c r="T187" s="11">
        <f>IF($AF187="","",IF(INDEX(파견수련계획!$I$4:$I$203,$AF187)="","",INDEX(파견수련계획!$I$4:$I$203,$AF187)))</f>
        <v/>
      </c>
      <c r="U187" s="10">
        <f>IF($AF187="","",INDEX(파견수련계획!$X$4:$X$203,$AF187))</f>
        <v/>
      </c>
      <c r="V187" s="17">
        <f>IF($AF187="","",INDEX(파견수련계획!$V$4:$V$203,$AF187))</f>
        <v/>
      </c>
      <c r="W187" s="17">
        <f>IF(AND($U187="파견중",$T187&lt;&gt;""),$T187-TODAY(),"")</f>
        <v/>
      </c>
      <c r="X187" s="17">
        <f>IF(OR($B187="",TRIM($J187&amp;"")=""),"",SUMPRODUCT((파견수련계획!$Q$4:$Q$203=TRIM($J187&amp;""))*파견수련계획!$W$4:$W$203))</f>
        <v/>
      </c>
      <c r="Y187" s="10">
        <f>IF($B187="","",IF($AG187="","",IF(IF(TRIM($J187&amp;"")="",0,SUMPRODUCT((파견수련계획!$Q$4:$Q$203=TRIM($J187&amp;""))*파견수련계획!$AD$4:$AD$203))&gt;0,$AE187,IF(N($X187)&lt;=0,$AG187,IF($AH187+$AI187=DAY(EOMONTH(요약!$B$3,0)),IF(AND($AH187&gt;=요약!$E$3,$AI187&lt;요약!$E$3),"서울병원",IF(AND($AI187&gt;=요약!$E$3,$AH187&lt;요약!$E$3),"구리병원","⚠15일 판정불가(서울 "&amp;$AH187&amp;"일/구리 "&amp;$AI187&amp;"일)")),IF($AJ187="",$AE187,IF(INDEX(파견수련계획!$T$4:$T$203,$AJ187)="통합수련",INDEX(파견수련계획!$S$4:$S$203,$AJ187),$AE187)))))))</f>
        <v/>
      </c>
      <c r="Z187" s="19">
        <f>IF($B187="","",IF($AB187="","기본자료에 없는 사번",IF(COUNTIF($B$2:$B$201,$B187)&gt;1,"중복 사번",IF($AE187="","소속(입사장소) 입력",IF(IF(TRIM($J187&amp;"")="",0,SUMPRODUCT((파견수련계획!$Q$4:$Q$203=TRIM($J187&amp;""))*(파견수련계획!$AA$4:$AA$203&lt;&gt;"")))&gt;0,"파견수련계획 입력오류 확인",IF(LEFT($Y187,1)="⚠","서울·구리 15일 판정 불가(양쪽 모두 이상/미만)",IF(IF($AC187="",0,N(INDEX(인턴근무계획!$T$3:$T$202,$AC187)))&gt;0,"인턴계획 입력오류 확인",IF(AND($AC187&lt;&gt;"",$U187&lt;&gt;"파견중",$N187&lt;&gt;$AE187),"인턴 타지역 근무: 파견 여부 확인","정상"))))))))</f>
        <v/>
      </c>
      <c r="AA187" s="5" t="n"/>
      <c r="AB187" s="10">
        <f>IF($B187="","",IFERROR(MATCH($B187,기본자료!$B$2:$B$501,0),IFERROR(MATCH($B187&amp;"",기본자료!$B$2:$B$501,0),IFERROR(MATCH(VALUE($B187),기본자료!$B$2:$B$501,0),""))))</f>
        <v/>
      </c>
      <c r="AC187" s="10">
        <f>IF($B187="","",IFERROR(MATCH($B187,인턴근무계획!$D$3:$D$202,0),IFERROR(MATCH($B187&amp;"",인턴근무계획!$D$3:$D$202,0),IFERROR(MATCH(VALUE($B187),인턴근무계획!$D$3:$D$202,0),""))))</f>
        <v/>
      </c>
      <c r="AD187" s="10">
        <f>IF(OR($AC187="",인턴현황!$G$3=""),"",INDEX(인턴근무계획!$M$3:$R$202,$AC187,인턴현황!$G$3)&amp;"")</f>
        <v/>
      </c>
      <c r="AE187" s="10">
        <f>IF($B187="","",IF($M187&lt;&gt;"",$M187,IF($AF187&lt;&gt;"",IF(LEFT(INDEX(파견수련계획!$R$4:$R$203,$AF187),1)&lt;&gt;"⚠",INDEX(파견수련계획!$R$4:$R$203,$AF187),IF($H187="","",IF(RIGHT($H187,2)="병원",$H187,$H187&amp;"병원"))),IF($H187="","",IF(RIGHT($H187,2)="병원",$H187,$H187&amp;"병원")))))</f>
        <v/>
      </c>
      <c r="AF187" s="10">
        <f>IF(OR($B187="",TRIM($J187&amp;"")=""),"",IFERROR(MATCH(TRIM($J187&amp;"")&amp;"|파견중",파견수련계획!$Y$4:$Y$203,0),IFERROR(MATCH(TRIM($J187&amp;"")&amp;"|파견예정",파견수련계획!$Y$4:$Y$203,0),IFERROR(MATCH(TRIM($J187&amp;"")&amp;"|파견종료",파견수련계획!$Y$4:$Y$203,0),""))))</f>
        <v/>
      </c>
      <c r="AG187" s="10">
        <f>IF($B187="","",IF(AND(IF(OR($AC187="",인턴현황!$K$2=""),"",INDEX(인턴근무계획!$M$3:$R$202,$AC187,인턴현황!$K$2)&amp;"")&lt;&gt;"",LEFT(IF(OR($AC187="",인턴현황!$K$2=""),"",INDEX(인턴근무계획!$M$3:$R$202,$AC187,인턴현황!$K$2)&amp;""),1)&lt;&gt;"⚠"),LEFT(IF(OR($AC187="",인턴현황!$K$2=""),"",INDEX(인턴근무계획!$M$3:$R$202,$AC187,인턴현황!$K$2)&amp;""),FIND(" ",IF(OR($AC187="",인턴현황!$K$2=""),"",INDEX(인턴근무계획!$M$3:$R$202,$AC187,인턴현황!$K$2)&amp;""))-1),$AE187))</f>
        <v/>
      </c>
      <c r="AH187" s="17">
        <f>IF($B187="","",IF(TRIM($J187&amp;"")="",0,SUMPRODUCT((파견수련계획!$Q$4:$Q$203=TRIM($J187&amp;""))*(파견수련계획!$S$4:$S$203="서울병원")*파견수련계획!$W$4:$W$203))+IF($AG187="서울병원",MAX(0,DAY(EOMONTH(요약!$B$3,0))-N($X187)),0))</f>
        <v/>
      </c>
      <c r="AI187" s="17">
        <f>IF($B187="","",IF(TRIM($J187&amp;"")="",0,SUMPRODUCT((파견수련계획!$Q$4:$Q$203=TRIM($J187&amp;""))*(파견수련계획!$S$4:$S$203="구리병원")*파견수련계획!$W$4:$W$203))+IF($AG187="구리병원",MAX(0,DAY(EOMONTH(요약!$B$3,0))-N($X187)),0))</f>
        <v/>
      </c>
      <c r="AJ187" s="10">
        <f>IF(OR($B187="",TRIM($J187&amp;"")=""),"",IFERROR(MATCH(TRIM($J187&amp;"")&amp;"|월",파견수련계획!$Z$4:$Z$203,0),""))</f>
        <v/>
      </c>
      <c r="AK187" s="10">
        <f>IF(OR($B187="",TRIM($J187&amp;"")=""),"",IFERROR(MATCH(TRIM($J187&amp;"")&amp;"|다기관",파견수련계획!$AE$4:$AE$203,0),""))</f>
        <v/>
      </c>
      <c r="AL187" s="10">
        <f>IF($AK187="","","다기관 "&amp;TEXT(INDEX(파견수련계획!$AB$4:$AB$203,$AK187),"yyyy-mm-dd")&amp;"~"&amp;IF(ISNUMBER(INDEX(파견수련계획!$AC$4:$AC$203,$AK187)),TEXT(INDEX(파견수련계획!$AC$4:$AC$203,$AK187),"yyyy-mm-dd"),""))</f>
        <v/>
      </c>
    </row>
    <row r="188">
      <c r="A188" s="10">
        <f>IF(B188="","",ROW()-1)</f>
        <v/>
      </c>
      <c r="B188" s="18" t="n"/>
      <c r="C188" s="10">
        <f>IF($AB188="","",IF(INDEX(기본자료!$C$2:$C$501,$AB188)="","",INDEX(기본자료!$C$2:$C$501,$AB188)))</f>
        <v/>
      </c>
      <c r="D188" s="10">
        <f>IF($AB188="","",IF(INDEX(기본자료!$J$2:$J$501,$AB188)="","",INDEX(기본자료!$J$2:$J$501,$AB188)))</f>
        <v/>
      </c>
      <c r="E188" s="11">
        <f>IF($AB188="","",IF(INDEX(기본자료!$K$2:$K$501,$AB188)="","",IF(NOT(ISNUMBER(INDEX(기본자료!$K$2:$K$501,$AB188))),INDEX(기본자료!$K$2:$K$501,$AB188),IF(INDEX(기본자료!$K$2:$K$501,$AB188)&lt;1000000,INDEX(기본자료!$K$2:$K$501,$AB188),IF(AND(INDEX(기본자료!$K$2:$K$501,$AB188)&gt;=10000101,INT(MOD(INDEX(기본자료!$K$2:$K$501,$AB188),10000)/100)&gt;=1,INT(MOD(INDEX(기본자료!$K$2:$K$501,$AB188),10000)/100)&lt;=12,MOD(INDEX(기본자료!$K$2:$K$501,$AB188),100)&gt;=1,MOD(INDEX(기본자료!$K$2:$K$501,$AB188),100)&lt;=31),DATE(INT(INDEX(기본자료!$K$2:$K$501,$AB188)/10000),INT(MOD(INDEX(기본자료!$K$2:$K$501,$AB188),10000)/100),MOD(INDEX(기본자료!$K$2:$K$501,$AB188),100)),INDEX(기본자료!$K$2:$K$501,$AB188)&amp;"")))))</f>
        <v/>
      </c>
      <c r="F188" s="10">
        <f>IF($AB188="","",IF(INDEX(기본자료!$D$2:$D$501,$AB188)="","",INDEX(기본자료!$D$2:$D$501,$AB188)))</f>
        <v/>
      </c>
      <c r="G188" s="10">
        <f>IF($AB188="","",IF(INDEX(기본자료!$E$2:$E$501,$AB188)="","",INDEX(기본자료!$E$2:$E$501,$AB188)))</f>
        <v/>
      </c>
      <c r="H188" s="10">
        <f>IF($AB188="","",IF(INDEX(기본자료!$F$2:$F$501,$AB188)="","",INDEX(기본자료!$F$2:$F$501,$AB188)))</f>
        <v/>
      </c>
      <c r="I188" s="11">
        <f>IF($AB188="","",IF(INDEX(기본자료!$G$2:$G$501,$AB188)="","",IF(NOT(ISNUMBER(INDEX(기본자료!$G$2:$G$501,$AB188))),INDEX(기본자료!$G$2:$G$501,$AB188),IF(INDEX(기본자료!$G$2:$G$501,$AB188)&lt;1000000,INDEX(기본자료!$G$2:$G$501,$AB188),IF(AND(INDEX(기본자료!$G$2:$G$501,$AB188)&gt;=10000101,INT(MOD(INDEX(기본자료!$G$2:$G$501,$AB188),10000)/100)&gt;=1,INT(MOD(INDEX(기본자료!$G$2:$G$501,$AB188),10000)/100)&lt;=12,MOD(INDEX(기본자료!$G$2:$G$501,$AB188),100)&gt;=1,MOD(INDEX(기본자료!$G$2:$G$501,$AB188),100)&lt;=31),DATE(INT(INDEX(기본자료!$G$2:$G$501,$AB188)/10000),INT(MOD(INDEX(기본자료!$G$2:$G$501,$AB188),10000)/100),MOD(INDEX(기본자료!$G$2:$G$501,$AB188),100)),INDEX(기본자료!$G$2:$G$501,$AB188)&amp;"")))))</f>
        <v/>
      </c>
      <c r="J188" s="10">
        <f>IF($AB188="","",IF(INDEX(기본자료!$H$2:$H$501,$AB188)="","",INDEX(기본자료!$H$2:$H$501,$AB188)))</f>
        <v/>
      </c>
      <c r="K188" s="10">
        <f>IF($AB188="","",IF(INDEX(기본자료!$I$2:$I$501,$AB188)="","",INDEX(기본자료!$I$2:$I$501,$AB188)))</f>
        <v/>
      </c>
      <c r="L188" s="10">
        <f>IF($AB188="","",IF(INDEX(기본자료!$A$2:$A$501,$AB188)="","",INDEX(기본자료!$A$2:$A$501,$AB188)))</f>
        <v/>
      </c>
      <c r="M188" s="15" t="n"/>
      <c r="N188" s="10">
        <f>IF($B188="","",IF(AND($U188="파견중",$Q188&lt;&gt;""),$Q188,IF(AND($AD188&lt;&gt;"",LEFT($AD188,1)&lt;&gt;"⚠"),LEFT($AD188,FIND(" ",$AD188)-1),IF($H188="","",IF(RIGHT($H188,2)="병원",$H188,$H188&amp;"병원")))))</f>
        <v/>
      </c>
      <c r="O188" s="10">
        <f>IF($B188="","",IF(AND($U188="파견중",$Q188&lt;&gt;""),IF($R188&lt;&gt;"",$R188,"파견과 미입력"),IF(AND($AD188&lt;&gt;"",LEFT($AD188,1)&lt;&gt;"⚠"),MID($AD188,FIND(" ",$AD188)+1,60),IF($F188="","",IF($F188="인턴","수련교육부(인턴)",$F188)))))</f>
        <v/>
      </c>
      <c r="P188" s="10">
        <f>IF($B188="","",IF($AK188&lt;&gt;"",IF(AND(TODAY()&gt;=INDEX(파견수련계획!$AB$4:$AB$203,$AK188),OR(NOT(ISNUMBER(INDEX(파견수련계획!$AC$4:$AC$203,$AK188))),TODAY()&lt;=INDEX(파견수련계획!$AC$4:$AC$203,$AK188))),"다기관",IF($AF188="","",INDEX(파견수련계획!$T$4:$T$203,$AF188))),IF($AF188="","",INDEX(파견수련계획!$T$4:$T$203,$AF188))))</f>
        <v/>
      </c>
      <c r="Q188" s="10">
        <f>IF($AF188="","",INDEX(파견수련계획!$S$4:$S$203,$AF188))</f>
        <v/>
      </c>
      <c r="R188" s="10">
        <f>IF($AF188="","",INDEX(파견수련계획!$U$4:$U$203,$AF188))</f>
        <v/>
      </c>
      <c r="S188" s="11">
        <f>IF($AF188="","",IF(INDEX(파견수련계획!$H$4:$H$203,$AF188)="","",INDEX(파견수련계획!$H$4:$H$203,$AF188)))</f>
        <v/>
      </c>
      <c r="T188" s="11">
        <f>IF($AF188="","",IF(INDEX(파견수련계획!$I$4:$I$203,$AF188)="","",INDEX(파견수련계획!$I$4:$I$203,$AF188)))</f>
        <v/>
      </c>
      <c r="U188" s="10">
        <f>IF($AF188="","",INDEX(파견수련계획!$X$4:$X$203,$AF188))</f>
        <v/>
      </c>
      <c r="V188" s="17">
        <f>IF($AF188="","",INDEX(파견수련계획!$V$4:$V$203,$AF188))</f>
        <v/>
      </c>
      <c r="W188" s="17">
        <f>IF(AND($U188="파견중",$T188&lt;&gt;""),$T188-TODAY(),"")</f>
        <v/>
      </c>
      <c r="X188" s="17">
        <f>IF(OR($B188="",TRIM($J188&amp;"")=""),"",SUMPRODUCT((파견수련계획!$Q$4:$Q$203=TRIM($J188&amp;""))*파견수련계획!$W$4:$W$203))</f>
        <v/>
      </c>
      <c r="Y188" s="10">
        <f>IF($B188="","",IF($AG188="","",IF(IF(TRIM($J188&amp;"")="",0,SUMPRODUCT((파견수련계획!$Q$4:$Q$203=TRIM($J188&amp;""))*파견수련계획!$AD$4:$AD$203))&gt;0,$AE188,IF(N($X188)&lt;=0,$AG188,IF($AH188+$AI188=DAY(EOMONTH(요약!$B$3,0)),IF(AND($AH188&gt;=요약!$E$3,$AI188&lt;요약!$E$3),"서울병원",IF(AND($AI188&gt;=요약!$E$3,$AH188&lt;요약!$E$3),"구리병원","⚠15일 판정불가(서울 "&amp;$AH188&amp;"일/구리 "&amp;$AI188&amp;"일)")),IF($AJ188="",$AE188,IF(INDEX(파견수련계획!$T$4:$T$203,$AJ188)="통합수련",INDEX(파견수련계획!$S$4:$S$203,$AJ188),$AE188)))))))</f>
        <v/>
      </c>
      <c r="Z188" s="19">
        <f>IF($B188="","",IF($AB188="","기본자료에 없는 사번",IF(COUNTIF($B$2:$B$201,$B188)&gt;1,"중복 사번",IF($AE188="","소속(입사장소) 입력",IF(IF(TRIM($J188&amp;"")="",0,SUMPRODUCT((파견수련계획!$Q$4:$Q$203=TRIM($J188&amp;""))*(파견수련계획!$AA$4:$AA$203&lt;&gt;"")))&gt;0,"파견수련계획 입력오류 확인",IF(LEFT($Y188,1)="⚠","서울·구리 15일 판정 불가(양쪽 모두 이상/미만)",IF(IF($AC188="",0,N(INDEX(인턴근무계획!$T$3:$T$202,$AC188)))&gt;0,"인턴계획 입력오류 확인",IF(AND($AC188&lt;&gt;"",$U188&lt;&gt;"파견중",$N188&lt;&gt;$AE188),"인턴 타지역 근무: 파견 여부 확인","정상"))))))))</f>
        <v/>
      </c>
      <c r="AA188" s="5" t="n"/>
      <c r="AB188" s="10">
        <f>IF($B188="","",IFERROR(MATCH($B188,기본자료!$B$2:$B$501,0),IFERROR(MATCH($B188&amp;"",기본자료!$B$2:$B$501,0),IFERROR(MATCH(VALUE($B188),기본자료!$B$2:$B$501,0),""))))</f>
        <v/>
      </c>
      <c r="AC188" s="10">
        <f>IF($B188="","",IFERROR(MATCH($B188,인턴근무계획!$D$3:$D$202,0),IFERROR(MATCH($B188&amp;"",인턴근무계획!$D$3:$D$202,0),IFERROR(MATCH(VALUE($B188),인턴근무계획!$D$3:$D$202,0),""))))</f>
        <v/>
      </c>
      <c r="AD188" s="10">
        <f>IF(OR($AC188="",인턴현황!$G$3=""),"",INDEX(인턴근무계획!$M$3:$R$202,$AC188,인턴현황!$G$3)&amp;"")</f>
        <v/>
      </c>
      <c r="AE188" s="10">
        <f>IF($B188="","",IF($M188&lt;&gt;"",$M188,IF($AF188&lt;&gt;"",IF(LEFT(INDEX(파견수련계획!$R$4:$R$203,$AF188),1)&lt;&gt;"⚠",INDEX(파견수련계획!$R$4:$R$203,$AF188),IF($H188="","",IF(RIGHT($H188,2)="병원",$H188,$H188&amp;"병원"))),IF($H188="","",IF(RIGHT($H188,2)="병원",$H188,$H188&amp;"병원")))))</f>
        <v/>
      </c>
      <c r="AF188" s="10">
        <f>IF(OR($B188="",TRIM($J188&amp;"")=""),"",IFERROR(MATCH(TRIM($J188&amp;"")&amp;"|파견중",파견수련계획!$Y$4:$Y$203,0),IFERROR(MATCH(TRIM($J188&amp;"")&amp;"|파견예정",파견수련계획!$Y$4:$Y$203,0),IFERROR(MATCH(TRIM($J188&amp;"")&amp;"|파견종료",파견수련계획!$Y$4:$Y$203,0),""))))</f>
        <v/>
      </c>
      <c r="AG188" s="10">
        <f>IF($B188="","",IF(AND(IF(OR($AC188="",인턴현황!$K$2=""),"",INDEX(인턴근무계획!$M$3:$R$202,$AC188,인턴현황!$K$2)&amp;"")&lt;&gt;"",LEFT(IF(OR($AC188="",인턴현황!$K$2=""),"",INDEX(인턴근무계획!$M$3:$R$202,$AC188,인턴현황!$K$2)&amp;""),1)&lt;&gt;"⚠"),LEFT(IF(OR($AC188="",인턴현황!$K$2=""),"",INDEX(인턴근무계획!$M$3:$R$202,$AC188,인턴현황!$K$2)&amp;""),FIND(" ",IF(OR($AC188="",인턴현황!$K$2=""),"",INDEX(인턴근무계획!$M$3:$R$202,$AC188,인턴현황!$K$2)&amp;""))-1),$AE188))</f>
        <v/>
      </c>
      <c r="AH188" s="17">
        <f>IF($B188="","",IF(TRIM($J188&amp;"")="",0,SUMPRODUCT((파견수련계획!$Q$4:$Q$203=TRIM($J188&amp;""))*(파견수련계획!$S$4:$S$203="서울병원")*파견수련계획!$W$4:$W$203))+IF($AG188="서울병원",MAX(0,DAY(EOMONTH(요약!$B$3,0))-N($X188)),0))</f>
        <v/>
      </c>
      <c r="AI188" s="17">
        <f>IF($B188="","",IF(TRIM($J188&amp;"")="",0,SUMPRODUCT((파견수련계획!$Q$4:$Q$203=TRIM($J188&amp;""))*(파견수련계획!$S$4:$S$203="구리병원")*파견수련계획!$W$4:$W$203))+IF($AG188="구리병원",MAX(0,DAY(EOMONTH(요약!$B$3,0))-N($X188)),0))</f>
        <v/>
      </c>
      <c r="AJ188" s="10">
        <f>IF(OR($B188="",TRIM($J188&amp;"")=""),"",IFERROR(MATCH(TRIM($J188&amp;"")&amp;"|월",파견수련계획!$Z$4:$Z$203,0),""))</f>
        <v/>
      </c>
      <c r="AK188" s="10">
        <f>IF(OR($B188="",TRIM($J188&amp;"")=""),"",IFERROR(MATCH(TRIM($J188&amp;"")&amp;"|다기관",파견수련계획!$AE$4:$AE$203,0),""))</f>
        <v/>
      </c>
      <c r="AL188" s="10">
        <f>IF($AK188="","","다기관 "&amp;TEXT(INDEX(파견수련계획!$AB$4:$AB$203,$AK188),"yyyy-mm-dd")&amp;"~"&amp;IF(ISNUMBER(INDEX(파견수련계획!$AC$4:$AC$203,$AK188)),TEXT(INDEX(파견수련계획!$AC$4:$AC$203,$AK188),"yyyy-mm-dd"),""))</f>
        <v/>
      </c>
    </row>
    <row r="189">
      <c r="A189" s="10">
        <f>IF(B189="","",ROW()-1)</f>
        <v/>
      </c>
      <c r="B189" s="18" t="n"/>
      <c r="C189" s="10">
        <f>IF($AB189="","",IF(INDEX(기본자료!$C$2:$C$501,$AB189)="","",INDEX(기본자료!$C$2:$C$501,$AB189)))</f>
        <v/>
      </c>
      <c r="D189" s="10">
        <f>IF($AB189="","",IF(INDEX(기본자료!$J$2:$J$501,$AB189)="","",INDEX(기본자료!$J$2:$J$501,$AB189)))</f>
        <v/>
      </c>
      <c r="E189" s="11">
        <f>IF($AB189="","",IF(INDEX(기본자료!$K$2:$K$501,$AB189)="","",IF(NOT(ISNUMBER(INDEX(기본자료!$K$2:$K$501,$AB189))),INDEX(기본자료!$K$2:$K$501,$AB189),IF(INDEX(기본자료!$K$2:$K$501,$AB189)&lt;1000000,INDEX(기본자료!$K$2:$K$501,$AB189),IF(AND(INDEX(기본자료!$K$2:$K$501,$AB189)&gt;=10000101,INT(MOD(INDEX(기본자료!$K$2:$K$501,$AB189),10000)/100)&gt;=1,INT(MOD(INDEX(기본자료!$K$2:$K$501,$AB189),10000)/100)&lt;=12,MOD(INDEX(기본자료!$K$2:$K$501,$AB189),100)&gt;=1,MOD(INDEX(기본자료!$K$2:$K$501,$AB189),100)&lt;=31),DATE(INT(INDEX(기본자료!$K$2:$K$501,$AB189)/10000),INT(MOD(INDEX(기본자료!$K$2:$K$501,$AB189),10000)/100),MOD(INDEX(기본자료!$K$2:$K$501,$AB189),100)),INDEX(기본자료!$K$2:$K$501,$AB189)&amp;"")))))</f>
        <v/>
      </c>
      <c r="F189" s="10">
        <f>IF($AB189="","",IF(INDEX(기본자료!$D$2:$D$501,$AB189)="","",INDEX(기본자료!$D$2:$D$501,$AB189)))</f>
        <v/>
      </c>
      <c r="G189" s="10">
        <f>IF($AB189="","",IF(INDEX(기본자료!$E$2:$E$501,$AB189)="","",INDEX(기본자료!$E$2:$E$501,$AB189)))</f>
        <v/>
      </c>
      <c r="H189" s="10">
        <f>IF($AB189="","",IF(INDEX(기본자료!$F$2:$F$501,$AB189)="","",INDEX(기본자료!$F$2:$F$501,$AB189)))</f>
        <v/>
      </c>
      <c r="I189" s="11">
        <f>IF($AB189="","",IF(INDEX(기본자료!$G$2:$G$501,$AB189)="","",IF(NOT(ISNUMBER(INDEX(기본자료!$G$2:$G$501,$AB189))),INDEX(기본자료!$G$2:$G$501,$AB189),IF(INDEX(기본자료!$G$2:$G$501,$AB189)&lt;1000000,INDEX(기본자료!$G$2:$G$501,$AB189),IF(AND(INDEX(기본자료!$G$2:$G$501,$AB189)&gt;=10000101,INT(MOD(INDEX(기본자료!$G$2:$G$501,$AB189),10000)/100)&gt;=1,INT(MOD(INDEX(기본자료!$G$2:$G$501,$AB189),10000)/100)&lt;=12,MOD(INDEX(기본자료!$G$2:$G$501,$AB189),100)&gt;=1,MOD(INDEX(기본자료!$G$2:$G$501,$AB189),100)&lt;=31),DATE(INT(INDEX(기본자료!$G$2:$G$501,$AB189)/10000),INT(MOD(INDEX(기본자료!$G$2:$G$501,$AB189),10000)/100),MOD(INDEX(기본자료!$G$2:$G$501,$AB189),100)),INDEX(기본자료!$G$2:$G$501,$AB189)&amp;"")))))</f>
        <v/>
      </c>
      <c r="J189" s="10">
        <f>IF($AB189="","",IF(INDEX(기본자료!$H$2:$H$501,$AB189)="","",INDEX(기본자료!$H$2:$H$501,$AB189)))</f>
        <v/>
      </c>
      <c r="K189" s="10">
        <f>IF($AB189="","",IF(INDEX(기본자료!$I$2:$I$501,$AB189)="","",INDEX(기본자료!$I$2:$I$501,$AB189)))</f>
        <v/>
      </c>
      <c r="L189" s="10">
        <f>IF($AB189="","",IF(INDEX(기본자료!$A$2:$A$501,$AB189)="","",INDEX(기본자료!$A$2:$A$501,$AB189)))</f>
        <v/>
      </c>
      <c r="M189" s="15" t="n"/>
      <c r="N189" s="10">
        <f>IF($B189="","",IF(AND($U189="파견중",$Q189&lt;&gt;""),$Q189,IF(AND($AD189&lt;&gt;"",LEFT($AD189,1)&lt;&gt;"⚠"),LEFT($AD189,FIND(" ",$AD189)-1),IF($H189="","",IF(RIGHT($H189,2)="병원",$H189,$H189&amp;"병원")))))</f>
        <v/>
      </c>
      <c r="O189" s="10">
        <f>IF($B189="","",IF(AND($U189="파견중",$Q189&lt;&gt;""),IF($R189&lt;&gt;"",$R189,"파견과 미입력"),IF(AND($AD189&lt;&gt;"",LEFT($AD189,1)&lt;&gt;"⚠"),MID($AD189,FIND(" ",$AD189)+1,60),IF($F189="","",IF($F189="인턴","수련교육부(인턴)",$F189)))))</f>
        <v/>
      </c>
      <c r="P189" s="10">
        <f>IF($B189="","",IF($AK189&lt;&gt;"",IF(AND(TODAY()&gt;=INDEX(파견수련계획!$AB$4:$AB$203,$AK189),OR(NOT(ISNUMBER(INDEX(파견수련계획!$AC$4:$AC$203,$AK189))),TODAY()&lt;=INDEX(파견수련계획!$AC$4:$AC$203,$AK189))),"다기관",IF($AF189="","",INDEX(파견수련계획!$T$4:$T$203,$AF189))),IF($AF189="","",INDEX(파견수련계획!$T$4:$T$203,$AF189))))</f>
        <v/>
      </c>
      <c r="Q189" s="10">
        <f>IF($AF189="","",INDEX(파견수련계획!$S$4:$S$203,$AF189))</f>
        <v/>
      </c>
      <c r="R189" s="10">
        <f>IF($AF189="","",INDEX(파견수련계획!$U$4:$U$203,$AF189))</f>
        <v/>
      </c>
      <c r="S189" s="11">
        <f>IF($AF189="","",IF(INDEX(파견수련계획!$H$4:$H$203,$AF189)="","",INDEX(파견수련계획!$H$4:$H$203,$AF189)))</f>
        <v/>
      </c>
      <c r="T189" s="11">
        <f>IF($AF189="","",IF(INDEX(파견수련계획!$I$4:$I$203,$AF189)="","",INDEX(파견수련계획!$I$4:$I$203,$AF189)))</f>
        <v/>
      </c>
      <c r="U189" s="10">
        <f>IF($AF189="","",INDEX(파견수련계획!$X$4:$X$203,$AF189))</f>
        <v/>
      </c>
      <c r="V189" s="17">
        <f>IF($AF189="","",INDEX(파견수련계획!$V$4:$V$203,$AF189))</f>
        <v/>
      </c>
      <c r="W189" s="17">
        <f>IF(AND($U189="파견중",$T189&lt;&gt;""),$T189-TODAY(),"")</f>
        <v/>
      </c>
      <c r="X189" s="17">
        <f>IF(OR($B189="",TRIM($J189&amp;"")=""),"",SUMPRODUCT((파견수련계획!$Q$4:$Q$203=TRIM($J189&amp;""))*파견수련계획!$W$4:$W$203))</f>
        <v/>
      </c>
      <c r="Y189" s="10">
        <f>IF($B189="","",IF($AG189="","",IF(IF(TRIM($J189&amp;"")="",0,SUMPRODUCT((파견수련계획!$Q$4:$Q$203=TRIM($J189&amp;""))*파견수련계획!$AD$4:$AD$203))&gt;0,$AE189,IF(N($X189)&lt;=0,$AG189,IF($AH189+$AI189=DAY(EOMONTH(요약!$B$3,0)),IF(AND($AH189&gt;=요약!$E$3,$AI189&lt;요약!$E$3),"서울병원",IF(AND($AI189&gt;=요약!$E$3,$AH189&lt;요약!$E$3),"구리병원","⚠15일 판정불가(서울 "&amp;$AH189&amp;"일/구리 "&amp;$AI189&amp;"일)")),IF($AJ189="",$AE189,IF(INDEX(파견수련계획!$T$4:$T$203,$AJ189)="통합수련",INDEX(파견수련계획!$S$4:$S$203,$AJ189),$AE189)))))))</f>
        <v/>
      </c>
      <c r="Z189" s="19">
        <f>IF($B189="","",IF($AB189="","기본자료에 없는 사번",IF(COUNTIF($B$2:$B$201,$B189)&gt;1,"중복 사번",IF($AE189="","소속(입사장소) 입력",IF(IF(TRIM($J189&amp;"")="",0,SUMPRODUCT((파견수련계획!$Q$4:$Q$203=TRIM($J189&amp;""))*(파견수련계획!$AA$4:$AA$203&lt;&gt;"")))&gt;0,"파견수련계획 입력오류 확인",IF(LEFT($Y189,1)="⚠","서울·구리 15일 판정 불가(양쪽 모두 이상/미만)",IF(IF($AC189="",0,N(INDEX(인턴근무계획!$T$3:$T$202,$AC189)))&gt;0,"인턴계획 입력오류 확인",IF(AND($AC189&lt;&gt;"",$U189&lt;&gt;"파견중",$N189&lt;&gt;$AE189),"인턴 타지역 근무: 파견 여부 확인","정상"))))))))</f>
        <v/>
      </c>
      <c r="AA189" s="5" t="n"/>
      <c r="AB189" s="10">
        <f>IF($B189="","",IFERROR(MATCH($B189,기본자료!$B$2:$B$501,0),IFERROR(MATCH($B189&amp;"",기본자료!$B$2:$B$501,0),IFERROR(MATCH(VALUE($B189),기본자료!$B$2:$B$501,0),""))))</f>
        <v/>
      </c>
      <c r="AC189" s="10">
        <f>IF($B189="","",IFERROR(MATCH($B189,인턴근무계획!$D$3:$D$202,0),IFERROR(MATCH($B189&amp;"",인턴근무계획!$D$3:$D$202,0),IFERROR(MATCH(VALUE($B189),인턴근무계획!$D$3:$D$202,0),""))))</f>
        <v/>
      </c>
      <c r="AD189" s="10">
        <f>IF(OR($AC189="",인턴현황!$G$3=""),"",INDEX(인턴근무계획!$M$3:$R$202,$AC189,인턴현황!$G$3)&amp;"")</f>
        <v/>
      </c>
      <c r="AE189" s="10">
        <f>IF($B189="","",IF($M189&lt;&gt;"",$M189,IF($AF189&lt;&gt;"",IF(LEFT(INDEX(파견수련계획!$R$4:$R$203,$AF189),1)&lt;&gt;"⚠",INDEX(파견수련계획!$R$4:$R$203,$AF189),IF($H189="","",IF(RIGHT($H189,2)="병원",$H189,$H189&amp;"병원"))),IF($H189="","",IF(RIGHT($H189,2)="병원",$H189,$H189&amp;"병원")))))</f>
        <v/>
      </c>
      <c r="AF189" s="10">
        <f>IF(OR($B189="",TRIM($J189&amp;"")=""),"",IFERROR(MATCH(TRIM($J189&amp;"")&amp;"|파견중",파견수련계획!$Y$4:$Y$203,0),IFERROR(MATCH(TRIM($J189&amp;"")&amp;"|파견예정",파견수련계획!$Y$4:$Y$203,0),IFERROR(MATCH(TRIM($J189&amp;"")&amp;"|파견종료",파견수련계획!$Y$4:$Y$203,0),""))))</f>
        <v/>
      </c>
      <c r="AG189" s="10">
        <f>IF($B189="","",IF(AND(IF(OR($AC189="",인턴현황!$K$2=""),"",INDEX(인턴근무계획!$M$3:$R$202,$AC189,인턴현황!$K$2)&amp;"")&lt;&gt;"",LEFT(IF(OR($AC189="",인턴현황!$K$2=""),"",INDEX(인턴근무계획!$M$3:$R$202,$AC189,인턴현황!$K$2)&amp;""),1)&lt;&gt;"⚠"),LEFT(IF(OR($AC189="",인턴현황!$K$2=""),"",INDEX(인턴근무계획!$M$3:$R$202,$AC189,인턴현황!$K$2)&amp;""),FIND(" ",IF(OR($AC189="",인턴현황!$K$2=""),"",INDEX(인턴근무계획!$M$3:$R$202,$AC189,인턴현황!$K$2)&amp;""))-1),$AE189))</f>
        <v/>
      </c>
      <c r="AH189" s="17">
        <f>IF($B189="","",IF(TRIM($J189&amp;"")="",0,SUMPRODUCT((파견수련계획!$Q$4:$Q$203=TRIM($J189&amp;""))*(파견수련계획!$S$4:$S$203="서울병원")*파견수련계획!$W$4:$W$203))+IF($AG189="서울병원",MAX(0,DAY(EOMONTH(요약!$B$3,0))-N($X189)),0))</f>
        <v/>
      </c>
      <c r="AI189" s="17">
        <f>IF($B189="","",IF(TRIM($J189&amp;"")="",0,SUMPRODUCT((파견수련계획!$Q$4:$Q$203=TRIM($J189&amp;""))*(파견수련계획!$S$4:$S$203="구리병원")*파견수련계획!$W$4:$W$203))+IF($AG189="구리병원",MAX(0,DAY(EOMONTH(요약!$B$3,0))-N($X189)),0))</f>
        <v/>
      </c>
      <c r="AJ189" s="10">
        <f>IF(OR($B189="",TRIM($J189&amp;"")=""),"",IFERROR(MATCH(TRIM($J189&amp;"")&amp;"|월",파견수련계획!$Z$4:$Z$203,0),""))</f>
        <v/>
      </c>
      <c r="AK189" s="10">
        <f>IF(OR($B189="",TRIM($J189&amp;"")=""),"",IFERROR(MATCH(TRIM($J189&amp;"")&amp;"|다기관",파견수련계획!$AE$4:$AE$203,0),""))</f>
        <v/>
      </c>
      <c r="AL189" s="10">
        <f>IF($AK189="","","다기관 "&amp;TEXT(INDEX(파견수련계획!$AB$4:$AB$203,$AK189),"yyyy-mm-dd")&amp;"~"&amp;IF(ISNUMBER(INDEX(파견수련계획!$AC$4:$AC$203,$AK189)),TEXT(INDEX(파견수련계획!$AC$4:$AC$203,$AK189),"yyyy-mm-dd"),""))</f>
        <v/>
      </c>
    </row>
    <row r="190">
      <c r="A190" s="10">
        <f>IF(B190="","",ROW()-1)</f>
        <v/>
      </c>
      <c r="B190" s="18" t="n"/>
      <c r="C190" s="10">
        <f>IF($AB190="","",IF(INDEX(기본자료!$C$2:$C$501,$AB190)="","",INDEX(기본자료!$C$2:$C$501,$AB190)))</f>
        <v/>
      </c>
      <c r="D190" s="10">
        <f>IF($AB190="","",IF(INDEX(기본자료!$J$2:$J$501,$AB190)="","",INDEX(기본자료!$J$2:$J$501,$AB190)))</f>
        <v/>
      </c>
      <c r="E190" s="11">
        <f>IF($AB190="","",IF(INDEX(기본자료!$K$2:$K$501,$AB190)="","",IF(NOT(ISNUMBER(INDEX(기본자료!$K$2:$K$501,$AB190))),INDEX(기본자료!$K$2:$K$501,$AB190),IF(INDEX(기본자료!$K$2:$K$501,$AB190)&lt;1000000,INDEX(기본자료!$K$2:$K$501,$AB190),IF(AND(INDEX(기본자료!$K$2:$K$501,$AB190)&gt;=10000101,INT(MOD(INDEX(기본자료!$K$2:$K$501,$AB190),10000)/100)&gt;=1,INT(MOD(INDEX(기본자료!$K$2:$K$501,$AB190),10000)/100)&lt;=12,MOD(INDEX(기본자료!$K$2:$K$501,$AB190),100)&gt;=1,MOD(INDEX(기본자료!$K$2:$K$501,$AB190),100)&lt;=31),DATE(INT(INDEX(기본자료!$K$2:$K$501,$AB190)/10000),INT(MOD(INDEX(기본자료!$K$2:$K$501,$AB190),10000)/100),MOD(INDEX(기본자료!$K$2:$K$501,$AB190),100)),INDEX(기본자료!$K$2:$K$501,$AB190)&amp;"")))))</f>
        <v/>
      </c>
      <c r="F190" s="10">
        <f>IF($AB190="","",IF(INDEX(기본자료!$D$2:$D$501,$AB190)="","",INDEX(기본자료!$D$2:$D$501,$AB190)))</f>
        <v/>
      </c>
      <c r="G190" s="10">
        <f>IF($AB190="","",IF(INDEX(기본자료!$E$2:$E$501,$AB190)="","",INDEX(기본자료!$E$2:$E$501,$AB190)))</f>
        <v/>
      </c>
      <c r="H190" s="10">
        <f>IF($AB190="","",IF(INDEX(기본자료!$F$2:$F$501,$AB190)="","",INDEX(기본자료!$F$2:$F$501,$AB190)))</f>
        <v/>
      </c>
      <c r="I190" s="11">
        <f>IF($AB190="","",IF(INDEX(기본자료!$G$2:$G$501,$AB190)="","",IF(NOT(ISNUMBER(INDEX(기본자료!$G$2:$G$501,$AB190))),INDEX(기본자료!$G$2:$G$501,$AB190),IF(INDEX(기본자료!$G$2:$G$501,$AB190)&lt;1000000,INDEX(기본자료!$G$2:$G$501,$AB190),IF(AND(INDEX(기본자료!$G$2:$G$501,$AB190)&gt;=10000101,INT(MOD(INDEX(기본자료!$G$2:$G$501,$AB190),10000)/100)&gt;=1,INT(MOD(INDEX(기본자료!$G$2:$G$501,$AB190),10000)/100)&lt;=12,MOD(INDEX(기본자료!$G$2:$G$501,$AB190),100)&gt;=1,MOD(INDEX(기본자료!$G$2:$G$501,$AB190),100)&lt;=31),DATE(INT(INDEX(기본자료!$G$2:$G$501,$AB190)/10000),INT(MOD(INDEX(기본자료!$G$2:$G$501,$AB190),10000)/100),MOD(INDEX(기본자료!$G$2:$G$501,$AB190),100)),INDEX(기본자료!$G$2:$G$501,$AB190)&amp;"")))))</f>
        <v/>
      </c>
      <c r="J190" s="10">
        <f>IF($AB190="","",IF(INDEX(기본자료!$H$2:$H$501,$AB190)="","",INDEX(기본자료!$H$2:$H$501,$AB190)))</f>
        <v/>
      </c>
      <c r="K190" s="10">
        <f>IF($AB190="","",IF(INDEX(기본자료!$I$2:$I$501,$AB190)="","",INDEX(기본자료!$I$2:$I$501,$AB190)))</f>
        <v/>
      </c>
      <c r="L190" s="10">
        <f>IF($AB190="","",IF(INDEX(기본자료!$A$2:$A$501,$AB190)="","",INDEX(기본자료!$A$2:$A$501,$AB190)))</f>
        <v/>
      </c>
      <c r="M190" s="15" t="n"/>
      <c r="N190" s="10">
        <f>IF($B190="","",IF(AND($U190="파견중",$Q190&lt;&gt;""),$Q190,IF(AND($AD190&lt;&gt;"",LEFT($AD190,1)&lt;&gt;"⚠"),LEFT($AD190,FIND(" ",$AD190)-1),IF($H190="","",IF(RIGHT($H190,2)="병원",$H190,$H190&amp;"병원")))))</f>
        <v/>
      </c>
      <c r="O190" s="10">
        <f>IF($B190="","",IF(AND($U190="파견중",$Q190&lt;&gt;""),IF($R190&lt;&gt;"",$R190,"파견과 미입력"),IF(AND($AD190&lt;&gt;"",LEFT($AD190,1)&lt;&gt;"⚠"),MID($AD190,FIND(" ",$AD190)+1,60),IF($F190="","",IF($F190="인턴","수련교육부(인턴)",$F190)))))</f>
        <v/>
      </c>
      <c r="P190" s="10">
        <f>IF($B190="","",IF($AK190&lt;&gt;"",IF(AND(TODAY()&gt;=INDEX(파견수련계획!$AB$4:$AB$203,$AK190),OR(NOT(ISNUMBER(INDEX(파견수련계획!$AC$4:$AC$203,$AK190))),TODAY()&lt;=INDEX(파견수련계획!$AC$4:$AC$203,$AK190))),"다기관",IF($AF190="","",INDEX(파견수련계획!$T$4:$T$203,$AF190))),IF($AF190="","",INDEX(파견수련계획!$T$4:$T$203,$AF190))))</f>
        <v/>
      </c>
      <c r="Q190" s="10">
        <f>IF($AF190="","",INDEX(파견수련계획!$S$4:$S$203,$AF190))</f>
        <v/>
      </c>
      <c r="R190" s="10">
        <f>IF($AF190="","",INDEX(파견수련계획!$U$4:$U$203,$AF190))</f>
        <v/>
      </c>
      <c r="S190" s="11">
        <f>IF($AF190="","",IF(INDEX(파견수련계획!$H$4:$H$203,$AF190)="","",INDEX(파견수련계획!$H$4:$H$203,$AF190)))</f>
        <v/>
      </c>
      <c r="T190" s="11">
        <f>IF($AF190="","",IF(INDEX(파견수련계획!$I$4:$I$203,$AF190)="","",INDEX(파견수련계획!$I$4:$I$203,$AF190)))</f>
        <v/>
      </c>
      <c r="U190" s="10">
        <f>IF($AF190="","",INDEX(파견수련계획!$X$4:$X$203,$AF190))</f>
        <v/>
      </c>
      <c r="V190" s="17">
        <f>IF($AF190="","",INDEX(파견수련계획!$V$4:$V$203,$AF190))</f>
        <v/>
      </c>
      <c r="W190" s="17">
        <f>IF(AND($U190="파견중",$T190&lt;&gt;""),$T190-TODAY(),"")</f>
        <v/>
      </c>
      <c r="X190" s="17">
        <f>IF(OR($B190="",TRIM($J190&amp;"")=""),"",SUMPRODUCT((파견수련계획!$Q$4:$Q$203=TRIM($J190&amp;""))*파견수련계획!$W$4:$W$203))</f>
        <v/>
      </c>
      <c r="Y190" s="10">
        <f>IF($B190="","",IF($AG190="","",IF(IF(TRIM($J190&amp;"")="",0,SUMPRODUCT((파견수련계획!$Q$4:$Q$203=TRIM($J190&amp;""))*파견수련계획!$AD$4:$AD$203))&gt;0,$AE190,IF(N($X190)&lt;=0,$AG190,IF($AH190+$AI190=DAY(EOMONTH(요약!$B$3,0)),IF(AND($AH190&gt;=요약!$E$3,$AI190&lt;요약!$E$3),"서울병원",IF(AND($AI190&gt;=요약!$E$3,$AH190&lt;요약!$E$3),"구리병원","⚠15일 판정불가(서울 "&amp;$AH190&amp;"일/구리 "&amp;$AI190&amp;"일)")),IF($AJ190="",$AE190,IF(INDEX(파견수련계획!$T$4:$T$203,$AJ190)="통합수련",INDEX(파견수련계획!$S$4:$S$203,$AJ190),$AE190)))))))</f>
        <v/>
      </c>
      <c r="Z190" s="19">
        <f>IF($B190="","",IF($AB190="","기본자료에 없는 사번",IF(COUNTIF($B$2:$B$201,$B190)&gt;1,"중복 사번",IF($AE190="","소속(입사장소) 입력",IF(IF(TRIM($J190&amp;"")="",0,SUMPRODUCT((파견수련계획!$Q$4:$Q$203=TRIM($J190&amp;""))*(파견수련계획!$AA$4:$AA$203&lt;&gt;"")))&gt;0,"파견수련계획 입력오류 확인",IF(LEFT($Y190,1)="⚠","서울·구리 15일 판정 불가(양쪽 모두 이상/미만)",IF(IF($AC190="",0,N(INDEX(인턴근무계획!$T$3:$T$202,$AC190)))&gt;0,"인턴계획 입력오류 확인",IF(AND($AC190&lt;&gt;"",$U190&lt;&gt;"파견중",$N190&lt;&gt;$AE190),"인턴 타지역 근무: 파견 여부 확인","정상"))))))))</f>
        <v/>
      </c>
      <c r="AA190" s="5" t="n"/>
      <c r="AB190" s="10">
        <f>IF($B190="","",IFERROR(MATCH($B190,기본자료!$B$2:$B$501,0),IFERROR(MATCH($B190&amp;"",기본자료!$B$2:$B$501,0),IFERROR(MATCH(VALUE($B190),기본자료!$B$2:$B$501,0),""))))</f>
        <v/>
      </c>
      <c r="AC190" s="10">
        <f>IF($B190="","",IFERROR(MATCH($B190,인턴근무계획!$D$3:$D$202,0),IFERROR(MATCH($B190&amp;"",인턴근무계획!$D$3:$D$202,0),IFERROR(MATCH(VALUE($B190),인턴근무계획!$D$3:$D$202,0),""))))</f>
        <v/>
      </c>
      <c r="AD190" s="10">
        <f>IF(OR($AC190="",인턴현황!$G$3=""),"",INDEX(인턴근무계획!$M$3:$R$202,$AC190,인턴현황!$G$3)&amp;"")</f>
        <v/>
      </c>
      <c r="AE190" s="10">
        <f>IF($B190="","",IF($M190&lt;&gt;"",$M190,IF($AF190&lt;&gt;"",IF(LEFT(INDEX(파견수련계획!$R$4:$R$203,$AF190),1)&lt;&gt;"⚠",INDEX(파견수련계획!$R$4:$R$203,$AF190),IF($H190="","",IF(RIGHT($H190,2)="병원",$H190,$H190&amp;"병원"))),IF($H190="","",IF(RIGHT($H190,2)="병원",$H190,$H190&amp;"병원")))))</f>
        <v/>
      </c>
      <c r="AF190" s="10">
        <f>IF(OR($B190="",TRIM($J190&amp;"")=""),"",IFERROR(MATCH(TRIM($J190&amp;"")&amp;"|파견중",파견수련계획!$Y$4:$Y$203,0),IFERROR(MATCH(TRIM($J190&amp;"")&amp;"|파견예정",파견수련계획!$Y$4:$Y$203,0),IFERROR(MATCH(TRIM($J190&amp;"")&amp;"|파견종료",파견수련계획!$Y$4:$Y$203,0),""))))</f>
        <v/>
      </c>
      <c r="AG190" s="10">
        <f>IF($B190="","",IF(AND(IF(OR($AC190="",인턴현황!$K$2=""),"",INDEX(인턴근무계획!$M$3:$R$202,$AC190,인턴현황!$K$2)&amp;"")&lt;&gt;"",LEFT(IF(OR($AC190="",인턴현황!$K$2=""),"",INDEX(인턴근무계획!$M$3:$R$202,$AC190,인턴현황!$K$2)&amp;""),1)&lt;&gt;"⚠"),LEFT(IF(OR($AC190="",인턴현황!$K$2=""),"",INDEX(인턴근무계획!$M$3:$R$202,$AC190,인턴현황!$K$2)&amp;""),FIND(" ",IF(OR($AC190="",인턴현황!$K$2=""),"",INDEX(인턴근무계획!$M$3:$R$202,$AC190,인턴현황!$K$2)&amp;""))-1),$AE190))</f>
        <v/>
      </c>
      <c r="AH190" s="17">
        <f>IF($B190="","",IF(TRIM($J190&amp;"")="",0,SUMPRODUCT((파견수련계획!$Q$4:$Q$203=TRIM($J190&amp;""))*(파견수련계획!$S$4:$S$203="서울병원")*파견수련계획!$W$4:$W$203))+IF($AG190="서울병원",MAX(0,DAY(EOMONTH(요약!$B$3,0))-N($X190)),0))</f>
        <v/>
      </c>
      <c r="AI190" s="17">
        <f>IF($B190="","",IF(TRIM($J190&amp;"")="",0,SUMPRODUCT((파견수련계획!$Q$4:$Q$203=TRIM($J190&amp;""))*(파견수련계획!$S$4:$S$203="구리병원")*파견수련계획!$W$4:$W$203))+IF($AG190="구리병원",MAX(0,DAY(EOMONTH(요약!$B$3,0))-N($X190)),0))</f>
        <v/>
      </c>
      <c r="AJ190" s="10">
        <f>IF(OR($B190="",TRIM($J190&amp;"")=""),"",IFERROR(MATCH(TRIM($J190&amp;"")&amp;"|월",파견수련계획!$Z$4:$Z$203,0),""))</f>
        <v/>
      </c>
      <c r="AK190" s="10">
        <f>IF(OR($B190="",TRIM($J190&amp;"")=""),"",IFERROR(MATCH(TRIM($J190&amp;"")&amp;"|다기관",파견수련계획!$AE$4:$AE$203,0),""))</f>
        <v/>
      </c>
      <c r="AL190" s="10">
        <f>IF($AK190="","","다기관 "&amp;TEXT(INDEX(파견수련계획!$AB$4:$AB$203,$AK190),"yyyy-mm-dd")&amp;"~"&amp;IF(ISNUMBER(INDEX(파견수련계획!$AC$4:$AC$203,$AK190)),TEXT(INDEX(파견수련계획!$AC$4:$AC$203,$AK190),"yyyy-mm-dd"),""))</f>
        <v/>
      </c>
    </row>
    <row r="191">
      <c r="A191" s="10">
        <f>IF(B191="","",ROW()-1)</f>
        <v/>
      </c>
      <c r="B191" s="18" t="n"/>
      <c r="C191" s="10">
        <f>IF($AB191="","",IF(INDEX(기본자료!$C$2:$C$501,$AB191)="","",INDEX(기본자료!$C$2:$C$501,$AB191)))</f>
        <v/>
      </c>
      <c r="D191" s="10">
        <f>IF($AB191="","",IF(INDEX(기본자료!$J$2:$J$501,$AB191)="","",INDEX(기본자료!$J$2:$J$501,$AB191)))</f>
        <v/>
      </c>
      <c r="E191" s="11">
        <f>IF($AB191="","",IF(INDEX(기본자료!$K$2:$K$501,$AB191)="","",IF(NOT(ISNUMBER(INDEX(기본자료!$K$2:$K$501,$AB191))),INDEX(기본자료!$K$2:$K$501,$AB191),IF(INDEX(기본자료!$K$2:$K$501,$AB191)&lt;1000000,INDEX(기본자료!$K$2:$K$501,$AB191),IF(AND(INDEX(기본자료!$K$2:$K$501,$AB191)&gt;=10000101,INT(MOD(INDEX(기본자료!$K$2:$K$501,$AB191),10000)/100)&gt;=1,INT(MOD(INDEX(기본자료!$K$2:$K$501,$AB191),10000)/100)&lt;=12,MOD(INDEX(기본자료!$K$2:$K$501,$AB191),100)&gt;=1,MOD(INDEX(기본자료!$K$2:$K$501,$AB191),100)&lt;=31),DATE(INT(INDEX(기본자료!$K$2:$K$501,$AB191)/10000),INT(MOD(INDEX(기본자료!$K$2:$K$501,$AB191),10000)/100),MOD(INDEX(기본자료!$K$2:$K$501,$AB191),100)),INDEX(기본자료!$K$2:$K$501,$AB191)&amp;"")))))</f>
        <v/>
      </c>
      <c r="F191" s="10">
        <f>IF($AB191="","",IF(INDEX(기본자료!$D$2:$D$501,$AB191)="","",INDEX(기본자료!$D$2:$D$501,$AB191)))</f>
        <v/>
      </c>
      <c r="G191" s="10">
        <f>IF($AB191="","",IF(INDEX(기본자료!$E$2:$E$501,$AB191)="","",INDEX(기본자료!$E$2:$E$501,$AB191)))</f>
        <v/>
      </c>
      <c r="H191" s="10">
        <f>IF($AB191="","",IF(INDEX(기본자료!$F$2:$F$501,$AB191)="","",INDEX(기본자료!$F$2:$F$501,$AB191)))</f>
        <v/>
      </c>
      <c r="I191" s="11">
        <f>IF($AB191="","",IF(INDEX(기본자료!$G$2:$G$501,$AB191)="","",IF(NOT(ISNUMBER(INDEX(기본자료!$G$2:$G$501,$AB191))),INDEX(기본자료!$G$2:$G$501,$AB191),IF(INDEX(기본자료!$G$2:$G$501,$AB191)&lt;1000000,INDEX(기본자료!$G$2:$G$501,$AB191),IF(AND(INDEX(기본자료!$G$2:$G$501,$AB191)&gt;=10000101,INT(MOD(INDEX(기본자료!$G$2:$G$501,$AB191),10000)/100)&gt;=1,INT(MOD(INDEX(기본자료!$G$2:$G$501,$AB191),10000)/100)&lt;=12,MOD(INDEX(기본자료!$G$2:$G$501,$AB191),100)&gt;=1,MOD(INDEX(기본자료!$G$2:$G$501,$AB191),100)&lt;=31),DATE(INT(INDEX(기본자료!$G$2:$G$501,$AB191)/10000),INT(MOD(INDEX(기본자료!$G$2:$G$501,$AB191),10000)/100),MOD(INDEX(기본자료!$G$2:$G$501,$AB191),100)),INDEX(기본자료!$G$2:$G$501,$AB191)&amp;"")))))</f>
        <v/>
      </c>
      <c r="J191" s="10">
        <f>IF($AB191="","",IF(INDEX(기본자료!$H$2:$H$501,$AB191)="","",INDEX(기본자료!$H$2:$H$501,$AB191)))</f>
        <v/>
      </c>
      <c r="K191" s="10">
        <f>IF($AB191="","",IF(INDEX(기본자료!$I$2:$I$501,$AB191)="","",INDEX(기본자료!$I$2:$I$501,$AB191)))</f>
        <v/>
      </c>
      <c r="L191" s="10">
        <f>IF($AB191="","",IF(INDEX(기본자료!$A$2:$A$501,$AB191)="","",INDEX(기본자료!$A$2:$A$501,$AB191)))</f>
        <v/>
      </c>
      <c r="M191" s="15" t="n"/>
      <c r="N191" s="10">
        <f>IF($B191="","",IF(AND($U191="파견중",$Q191&lt;&gt;""),$Q191,IF(AND($AD191&lt;&gt;"",LEFT($AD191,1)&lt;&gt;"⚠"),LEFT($AD191,FIND(" ",$AD191)-1),IF($H191="","",IF(RIGHT($H191,2)="병원",$H191,$H191&amp;"병원")))))</f>
        <v/>
      </c>
      <c r="O191" s="10">
        <f>IF($B191="","",IF(AND($U191="파견중",$Q191&lt;&gt;""),IF($R191&lt;&gt;"",$R191,"파견과 미입력"),IF(AND($AD191&lt;&gt;"",LEFT($AD191,1)&lt;&gt;"⚠"),MID($AD191,FIND(" ",$AD191)+1,60),IF($F191="","",IF($F191="인턴","수련교육부(인턴)",$F191)))))</f>
        <v/>
      </c>
      <c r="P191" s="10">
        <f>IF($B191="","",IF($AK191&lt;&gt;"",IF(AND(TODAY()&gt;=INDEX(파견수련계획!$AB$4:$AB$203,$AK191),OR(NOT(ISNUMBER(INDEX(파견수련계획!$AC$4:$AC$203,$AK191))),TODAY()&lt;=INDEX(파견수련계획!$AC$4:$AC$203,$AK191))),"다기관",IF($AF191="","",INDEX(파견수련계획!$T$4:$T$203,$AF191))),IF($AF191="","",INDEX(파견수련계획!$T$4:$T$203,$AF191))))</f>
        <v/>
      </c>
      <c r="Q191" s="10">
        <f>IF($AF191="","",INDEX(파견수련계획!$S$4:$S$203,$AF191))</f>
        <v/>
      </c>
      <c r="R191" s="10">
        <f>IF($AF191="","",INDEX(파견수련계획!$U$4:$U$203,$AF191))</f>
        <v/>
      </c>
      <c r="S191" s="11">
        <f>IF($AF191="","",IF(INDEX(파견수련계획!$H$4:$H$203,$AF191)="","",INDEX(파견수련계획!$H$4:$H$203,$AF191)))</f>
        <v/>
      </c>
      <c r="T191" s="11">
        <f>IF($AF191="","",IF(INDEX(파견수련계획!$I$4:$I$203,$AF191)="","",INDEX(파견수련계획!$I$4:$I$203,$AF191)))</f>
        <v/>
      </c>
      <c r="U191" s="10">
        <f>IF($AF191="","",INDEX(파견수련계획!$X$4:$X$203,$AF191))</f>
        <v/>
      </c>
      <c r="V191" s="17">
        <f>IF($AF191="","",INDEX(파견수련계획!$V$4:$V$203,$AF191))</f>
        <v/>
      </c>
      <c r="W191" s="17">
        <f>IF(AND($U191="파견중",$T191&lt;&gt;""),$T191-TODAY(),"")</f>
        <v/>
      </c>
      <c r="X191" s="17">
        <f>IF(OR($B191="",TRIM($J191&amp;"")=""),"",SUMPRODUCT((파견수련계획!$Q$4:$Q$203=TRIM($J191&amp;""))*파견수련계획!$W$4:$W$203))</f>
        <v/>
      </c>
      <c r="Y191" s="10">
        <f>IF($B191="","",IF($AG191="","",IF(IF(TRIM($J191&amp;"")="",0,SUMPRODUCT((파견수련계획!$Q$4:$Q$203=TRIM($J191&amp;""))*파견수련계획!$AD$4:$AD$203))&gt;0,$AE191,IF(N($X191)&lt;=0,$AG191,IF($AH191+$AI191=DAY(EOMONTH(요약!$B$3,0)),IF(AND($AH191&gt;=요약!$E$3,$AI191&lt;요약!$E$3),"서울병원",IF(AND($AI191&gt;=요약!$E$3,$AH191&lt;요약!$E$3),"구리병원","⚠15일 판정불가(서울 "&amp;$AH191&amp;"일/구리 "&amp;$AI191&amp;"일)")),IF($AJ191="",$AE191,IF(INDEX(파견수련계획!$T$4:$T$203,$AJ191)="통합수련",INDEX(파견수련계획!$S$4:$S$203,$AJ191),$AE191)))))))</f>
        <v/>
      </c>
      <c r="Z191" s="19">
        <f>IF($B191="","",IF($AB191="","기본자료에 없는 사번",IF(COUNTIF($B$2:$B$201,$B191)&gt;1,"중복 사번",IF($AE191="","소속(입사장소) 입력",IF(IF(TRIM($J191&amp;"")="",0,SUMPRODUCT((파견수련계획!$Q$4:$Q$203=TRIM($J191&amp;""))*(파견수련계획!$AA$4:$AA$203&lt;&gt;"")))&gt;0,"파견수련계획 입력오류 확인",IF(LEFT($Y191,1)="⚠","서울·구리 15일 판정 불가(양쪽 모두 이상/미만)",IF(IF($AC191="",0,N(INDEX(인턴근무계획!$T$3:$T$202,$AC191)))&gt;0,"인턴계획 입력오류 확인",IF(AND($AC191&lt;&gt;"",$U191&lt;&gt;"파견중",$N191&lt;&gt;$AE191),"인턴 타지역 근무: 파견 여부 확인","정상"))))))))</f>
        <v/>
      </c>
      <c r="AA191" s="5" t="n"/>
      <c r="AB191" s="10">
        <f>IF($B191="","",IFERROR(MATCH($B191,기본자료!$B$2:$B$501,0),IFERROR(MATCH($B191&amp;"",기본자료!$B$2:$B$501,0),IFERROR(MATCH(VALUE($B191),기본자료!$B$2:$B$501,0),""))))</f>
        <v/>
      </c>
      <c r="AC191" s="10">
        <f>IF($B191="","",IFERROR(MATCH($B191,인턴근무계획!$D$3:$D$202,0),IFERROR(MATCH($B191&amp;"",인턴근무계획!$D$3:$D$202,0),IFERROR(MATCH(VALUE($B191),인턴근무계획!$D$3:$D$202,0),""))))</f>
        <v/>
      </c>
      <c r="AD191" s="10">
        <f>IF(OR($AC191="",인턴현황!$G$3=""),"",INDEX(인턴근무계획!$M$3:$R$202,$AC191,인턴현황!$G$3)&amp;"")</f>
        <v/>
      </c>
      <c r="AE191" s="10">
        <f>IF($B191="","",IF($M191&lt;&gt;"",$M191,IF($AF191&lt;&gt;"",IF(LEFT(INDEX(파견수련계획!$R$4:$R$203,$AF191),1)&lt;&gt;"⚠",INDEX(파견수련계획!$R$4:$R$203,$AF191),IF($H191="","",IF(RIGHT($H191,2)="병원",$H191,$H191&amp;"병원"))),IF($H191="","",IF(RIGHT($H191,2)="병원",$H191,$H191&amp;"병원")))))</f>
        <v/>
      </c>
      <c r="AF191" s="10">
        <f>IF(OR($B191="",TRIM($J191&amp;"")=""),"",IFERROR(MATCH(TRIM($J191&amp;"")&amp;"|파견중",파견수련계획!$Y$4:$Y$203,0),IFERROR(MATCH(TRIM($J191&amp;"")&amp;"|파견예정",파견수련계획!$Y$4:$Y$203,0),IFERROR(MATCH(TRIM($J191&amp;"")&amp;"|파견종료",파견수련계획!$Y$4:$Y$203,0),""))))</f>
        <v/>
      </c>
      <c r="AG191" s="10">
        <f>IF($B191="","",IF(AND(IF(OR($AC191="",인턴현황!$K$2=""),"",INDEX(인턴근무계획!$M$3:$R$202,$AC191,인턴현황!$K$2)&amp;"")&lt;&gt;"",LEFT(IF(OR($AC191="",인턴현황!$K$2=""),"",INDEX(인턴근무계획!$M$3:$R$202,$AC191,인턴현황!$K$2)&amp;""),1)&lt;&gt;"⚠"),LEFT(IF(OR($AC191="",인턴현황!$K$2=""),"",INDEX(인턴근무계획!$M$3:$R$202,$AC191,인턴현황!$K$2)&amp;""),FIND(" ",IF(OR($AC191="",인턴현황!$K$2=""),"",INDEX(인턴근무계획!$M$3:$R$202,$AC191,인턴현황!$K$2)&amp;""))-1),$AE191))</f>
        <v/>
      </c>
      <c r="AH191" s="17">
        <f>IF($B191="","",IF(TRIM($J191&amp;"")="",0,SUMPRODUCT((파견수련계획!$Q$4:$Q$203=TRIM($J191&amp;""))*(파견수련계획!$S$4:$S$203="서울병원")*파견수련계획!$W$4:$W$203))+IF($AG191="서울병원",MAX(0,DAY(EOMONTH(요약!$B$3,0))-N($X191)),0))</f>
        <v/>
      </c>
      <c r="AI191" s="17">
        <f>IF($B191="","",IF(TRIM($J191&amp;"")="",0,SUMPRODUCT((파견수련계획!$Q$4:$Q$203=TRIM($J191&amp;""))*(파견수련계획!$S$4:$S$203="구리병원")*파견수련계획!$W$4:$W$203))+IF($AG191="구리병원",MAX(0,DAY(EOMONTH(요약!$B$3,0))-N($X191)),0))</f>
        <v/>
      </c>
      <c r="AJ191" s="10">
        <f>IF(OR($B191="",TRIM($J191&amp;"")=""),"",IFERROR(MATCH(TRIM($J191&amp;"")&amp;"|월",파견수련계획!$Z$4:$Z$203,0),""))</f>
        <v/>
      </c>
      <c r="AK191" s="10">
        <f>IF(OR($B191="",TRIM($J191&amp;"")=""),"",IFERROR(MATCH(TRIM($J191&amp;"")&amp;"|다기관",파견수련계획!$AE$4:$AE$203,0),""))</f>
        <v/>
      </c>
      <c r="AL191" s="10">
        <f>IF($AK191="","","다기관 "&amp;TEXT(INDEX(파견수련계획!$AB$4:$AB$203,$AK191),"yyyy-mm-dd")&amp;"~"&amp;IF(ISNUMBER(INDEX(파견수련계획!$AC$4:$AC$203,$AK191)),TEXT(INDEX(파견수련계획!$AC$4:$AC$203,$AK191),"yyyy-mm-dd"),""))</f>
        <v/>
      </c>
    </row>
    <row r="192">
      <c r="A192" s="10">
        <f>IF(B192="","",ROW()-1)</f>
        <v/>
      </c>
      <c r="B192" s="18" t="n"/>
      <c r="C192" s="10">
        <f>IF($AB192="","",IF(INDEX(기본자료!$C$2:$C$501,$AB192)="","",INDEX(기본자료!$C$2:$C$501,$AB192)))</f>
        <v/>
      </c>
      <c r="D192" s="10">
        <f>IF($AB192="","",IF(INDEX(기본자료!$J$2:$J$501,$AB192)="","",INDEX(기본자료!$J$2:$J$501,$AB192)))</f>
        <v/>
      </c>
      <c r="E192" s="11">
        <f>IF($AB192="","",IF(INDEX(기본자료!$K$2:$K$501,$AB192)="","",IF(NOT(ISNUMBER(INDEX(기본자료!$K$2:$K$501,$AB192))),INDEX(기본자료!$K$2:$K$501,$AB192),IF(INDEX(기본자료!$K$2:$K$501,$AB192)&lt;1000000,INDEX(기본자료!$K$2:$K$501,$AB192),IF(AND(INDEX(기본자료!$K$2:$K$501,$AB192)&gt;=10000101,INT(MOD(INDEX(기본자료!$K$2:$K$501,$AB192),10000)/100)&gt;=1,INT(MOD(INDEX(기본자료!$K$2:$K$501,$AB192),10000)/100)&lt;=12,MOD(INDEX(기본자료!$K$2:$K$501,$AB192),100)&gt;=1,MOD(INDEX(기본자료!$K$2:$K$501,$AB192),100)&lt;=31),DATE(INT(INDEX(기본자료!$K$2:$K$501,$AB192)/10000),INT(MOD(INDEX(기본자료!$K$2:$K$501,$AB192),10000)/100),MOD(INDEX(기본자료!$K$2:$K$501,$AB192),100)),INDEX(기본자료!$K$2:$K$501,$AB192)&amp;"")))))</f>
        <v/>
      </c>
      <c r="F192" s="10">
        <f>IF($AB192="","",IF(INDEX(기본자료!$D$2:$D$501,$AB192)="","",INDEX(기본자료!$D$2:$D$501,$AB192)))</f>
        <v/>
      </c>
      <c r="G192" s="10">
        <f>IF($AB192="","",IF(INDEX(기본자료!$E$2:$E$501,$AB192)="","",INDEX(기본자료!$E$2:$E$501,$AB192)))</f>
        <v/>
      </c>
      <c r="H192" s="10">
        <f>IF($AB192="","",IF(INDEX(기본자료!$F$2:$F$501,$AB192)="","",INDEX(기본자료!$F$2:$F$501,$AB192)))</f>
        <v/>
      </c>
      <c r="I192" s="11">
        <f>IF($AB192="","",IF(INDEX(기본자료!$G$2:$G$501,$AB192)="","",IF(NOT(ISNUMBER(INDEX(기본자료!$G$2:$G$501,$AB192))),INDEX(기본자료!$G$2:$G$501,$AB192),IF(INDEX(기본자료!$G$2:$G$501,$AB192)&lt;1000000,INDEX(기본자료!$G$2:$G$501,$AB192),IF(AND(INDEX(기본자료!$G$2:$G$501,$AB192)&gt;=10000101,INT(MOD(INDEX(기본자료!$G$2:$G$501,$AB192),10000)/100)&gt;=1,INT(MOD(INDEX(기본자료!$G$2:$G$501,$AB192),10000)/100)&lt;=12,MOD(INDEX(기본자료!$G$2:$G$501,$AB192),100)&gt;=1,MOD(INDEX(기본자료!$G$2:$G$501,$AB192),100)&lt;=31),DATE(INT(INDEX(기본자료!$G$2:$G$501,$AB192)/10000),INT(MOD(INDEX(기본자료!$G$2:$G$501,$AB192),10000)/100),MOD(INDEX(기본자료!$G$2:$G$501,$AB192),100)),INDEX(기본자료!$G$2:$G$501,$AB192)&amp;"")))))</f>
        <v/>
      </c>
      <c r="J192" s="10">
        <f>IF($AB192="","",IF(INDEX(기본자료!$H$2:$H$501,$AB192)="","",INDEX(기본자료!$H$2:$H$501,$AB192)))</f>
        <v/>
      </c>
      <c r="K192" s="10">
        <f>IF($AB192="","",IF(INDEX(기본자료!$I$2:$I$501,$AB192)="","",INDEX(기본자료!$I$2:$I$501,$AB192)))</f>
        <v/>
      </c>
      <c r="L192" s="10">
        <f>IF($AB192="","",IF(INDEX(기본자료!$A$2:$A$501,$AB192)="","",INDEX(기본자료!$A$2:$A$501,$AB192)))</f>
        <v/>
      </c>
      <c r="M192" s="15" t="n"/>
      <c r="N192" s="10">
        <f>IF($B192="","",IF(AND($U192="파견중",$Q192&lt;&gt;""),$Q192,IF(AND($AD192&lt;&gt;"",LEFT($AD192,1)&lt;&gt;"⚠"),LEFT($AD192,FIND(" ",$AD192)-1),IF($H192="","",IF(RIGHT($H192,2)="병원",$H192,$H192&amp;"병원")))))</f>
        <v/>
      </c>
      <c r="O192" s="10">
        <f>IF($B192="","",IF(AND($U192="파견중",$Q192&lt;&gt;""),IF($R192&lt;&gt;"",$R192,"파견과 미입력"),IF(AND($AD192&lt;&gt;"",LEFT($AD192,1)&lt;&gt;"⚠"),MID($AD192,FIND(" ",$AD192)+1,60),IF($F192="","",IF($F192="인턴","수련교육부(인턴)",$F192)))))</f>
        <v/>
      </c>
      <c r="P192" s="10">
        <f>IF($B192="","",IF($AK192&lt;&gt;"",IF(AND(TODAY()&gt;=INDEX(파견수련계획!$AB$4:$AB$203,$AK192),OR(NOT(ISNUMBER(INDEX(파견수련계획!$AC$4:$AC$203,$AK192))),TODAY()&lt;=INDEX(파견수련계획!$AC$4:$AC$203,$AK192))),"다기관",IF($AF192="","",INDEX(파견수련계획!$T$4:$T$203,$AF192))),IF($AF192="","",INDEX(파견수련계획!$T$4:$T$203,$AF192))))</f>
        <v/>
      </c>
      <c r="Q192" s="10">
        <f>IF($AF192="","",INDEX(파견수련계획!$S$4:$S$203,$AF192))</f>
        <v/>
      </c>
      <c r="R192" s="10">
        <f>IF($AF192="","",INDEX(파견수련계획!$U$4:$U$203,$AF192))</f>
        <v/>
      </c>
      <c r="S192" s="11">
        <f>IF($AF192="","",IF(INDEX(파견수련계획!$H$4:$H$203,$AF192)="","",INDEX(파견수련계획!$H$4:$H$203,$AF192)))</f>
        <v/>
      </c>
      <c r="T192" s="11">
        <f>IF($AF192="","",IF(INDEX(파견수련계획!$I$4:$I$203,$AF192)="","",INDEX(파견수련계획!$I$4:$I$203,$AF192)))</f>
        <v/>
      </c>
      <c r="U192" s="10">
        <f>IF($AF192="","",INDEX(파견수련계획!$X$4:$X$203,$AF192))</f>
        <v/>
      </c>
      <c r="V192" s="17">
        <f>IF($AF192="","",INDEX(파견수련계획!$V$4:$V$203,$AF192))</f>
        <v/>
      </c>
      <c r="W192" s="17">
        <f>IF(AND($U192="파견중",$T192&lt;&gt;""),$T192-TODAY(),"")</f>
        <v/>
      </c>
      <c r="X192" s="17">
        <f>IF(OR($B192="",TRIM($J192&amp;"")=""),"",SUMPRODUCT((파견수련계획!$Q$4:$Q$203=TRIM($J192&amp;""))*파견수련계획!$W$4:$W$203))</f>
        <v/>
      </c>
      <c r="Y192" s="10">
        <f>IF($B192="","",IF($AG192="","",IF(IF(TRIM($J192&amp;"")="",0,SUMPRODUCT((파견수련계획!$Q$4:$Q$203=TRIM($J192&amp;""))*파견수련계획!$AD$4:$AD$203))&gt;0,$AE192,IF(N($X192)&lt;=0,$AG192,IF($AH192+$AI192=DAY(EOMONTH(요약!$B$3,0)),IF(AND($AH192&gt;=요약!$E$3,$AI192&lt;요약!$E$3),"서울병원",IF(AND($AI192&gt;=요약!$E$3,$AH192&lt;요약!$E$3),"구리병원","⚠15일 판정불가(서울 "&amp;$AH192&amp;"일/구리 "&amp;$AI192&amp;"일)")),IF($AJ192="",$AE192,IF(INDEX(파견수련계획!$T$4:$T$203,$AJ192)="통합수련",INDEX(파견수련계획!$S$4:$S$203,$AJ192),$AE192)))))))</f>
        <v/>
      </c>
      <c r="Z192" s="19">
        <f>IF($B192="","",IF($AB192="","기본자료에 없는 사번",IF(COUNTIF($B$2:$B$201,$B192)&gt;1,"중복 사번",IF($AE192="","소속(입사장소) 입력",IF(IF(TRIM($J192&amp;"")="",0,SUMPRODUCT((파견수련계획!$Q$4:$Q$203=TRIM($J192&amp;""))*(파견수련계획!$AA$4:$AA$203&lt;&gt;"")))&gt;0,"파견수련계획 입력오류 확인",IF(LEFT($Y192,1)="⚠","서울·구리 15일 판정 불가(양쪽 모두 이상/미만)",IF(IF($AC192="",0,N(INDEX(인턴근무계획!$T$3:$T$202,$AC192)))&gt;0,"인턴계획 입력오류 확인",IF(AND($AC192&lt;&gt;"",$U192&lt;&gt;"파견중",$N192&lt;&gt;$AE192),"인턴 타지역 근무: 파견 여부 확인","정상"))))))))</f>
        <v/>
      </c>
      <c r="AA192" s="5" t="n"/>
      <c r="AB192" s="10">
        <f>IF($B192="","",IFERROR(MATCH($B192,기본자료!$B$2:$B$501,0),IFERROR(MATCH($B192&amp;"",기본자료!$B$2:$B$501,0),IFERROR(MATCH(VALUE($B192),기본자료!$B$2:$B$501,0),""))))</f>
        <v/>
      </c>
      <c r="AC192" s="10">
        <f>IF($B192="","",IFERROR(MATCH($B192,인턴근무계획!$D$3:$D$202,0),IFERROR(MATCH($B192&amp;"",인턴근무계획!$D$3:$D$202,0),IFERROR(MATCH(VALUE($B192),인턴근무계획!$D$3:$D$202,0),""))))</f>
        <v/>
      </c>
      <c r="AD192" s="10">
        <f>IF(OR($AC192="",인턴현황!$G$3=""),"",INDEX(인턴근무계획!$M$3:$R$202,$AC192,인턴현황!$G$3)&amp;"")</f>
        <v/>
      </c>
      <c r="AE192" s="10">
        <f>IF($B192="","",IF($M192&lt;&gt;"",$M192,IF($AF192&lt;&gt;"",IF(LEFT(INDEX(파견수련계획!$R$4:$R$203,$AF192),1)&lt;&gt;"⚠",INDEX(파견수련계획!$R$4:$R$203,$AF192),IF($H192="","",IF(RIGHT($H192,2)="병원",$H192,$H192&amp;"병원"))),IF($H192="","",IF(RIGHT($H192,2)="병원",$H192,$H192&amp;"병원")))))</f>
        <v/>
      </c>
      <c r="AF192" s="10">
        <f>IF(OR($B192="",TRIM($J192&amp;"")=""),"",IFERROR(MATCH(TRIM($J192&amp;"")&amp;"|파견중",파견수련계획!$Y$4:$Y$203,0),IFERROR(MATCH(TRIM($J192&amp;"")&amp;"|파견예정",파견수련계획!$Y$4:$Y$203,0),IFERROR(MATCH(TRIM($J192&amp;"")&amp;"|파견종료",파견수련계획!$Y$4:$Y$203,0),""))))</f>
        <v/>
      </c>
      <c r="AG192" s="10">
        <f>IF($B192="","",IF(AND(IF(OR($AC192="",인턴현황!$K$2=""),"",INDEX(인턴근무계획!$M$3:$R$202,$AC192,인턴현황!$K$2)&amp;"")&lt;&gt;"",LEFT(IF(OR($AC192="",인턴현황!$K$2=""),"",INDEX(인턴근무계획!$M$3:$R$202,$AC192,인턴현황!$K$2)&amp;""),1)&lt;&gt;"⚠"),LEFT(IF(OR($AC192="",인턴현황!$K$2=""),"",INDEX(인턴근무계획!$M$3:$R$202,$AC192,인턴현황!$K$2)&amp;""),FIND(" ",IF(OR($AC192="",인턴현황!$K$2=""),"",INDEX(인턴근무계획!$M$3:$R$202,$AC192,인턴현황!$K$2)&amp;""))-1),$AE192))</f>
        <v/>
      </c>
      <c r="AH192" s="17">
        <f>IF($B192="","",IF(TRIM($J192&amp;"")="",0,SUMPRODUCT((파견수련계획!$Q$4:$Q$203=TRIM($J192&amp;""))*(파견수련계획!$S$4:$S$203="서울병원")*파견수련계획!$W$4:$W$203))+IF($AG192="서울병원",MAX(0,DAY(EOMONTH(요약!$B$3,0))-N($X192)),0))</f>
        <v/>
      </c>
      <c r="AI192" s="17">
        <f>IF($B192="","",IF(TRIM($J192&amp;"")="",0,SUMPRODUCT((파견수련계획!$Q$4:$Q$203=TRIM($J192&amp;""))*(파견수련계획!$S$4:$S$203="구리병원")*파견수련계획!$W$4:$W$203))+IF($AG192="구리병원",MAX(0,DAY(EOMONTH(요약!$B$3,0))-N($X192)),0))</f>
        <v/>
      </c>
      <c r="AJ192" s="10">
        <f>IF(OR($B192="",TRIM($J192&amp;"")=""),"",IFERROR(MATCH(TRIM($J192&amp;"")&amp;"|월",파견수련계획!$Z$4:$Z$203,0),""))</f>
        <v/>
      </c>
      <c r="AK192" s="10">
        <f>IF(OR($B192="",TRIM($J192&amp;"")=""),"",IFERROR(MATCH(TRIM($J192&amp;"")&amp;"|다기관",파견수련계획!$AE$4:$AE$203,0),""))</f>
        <v/>
      </c>
      <c r="AL192" s="10">
        <f>IF($AK192="","","다기관 "&amp;TEXT(INDEX(파견수련계획!$AB$4:$AB$203,$AK192),"yyyy-mm-dd")&amp;"~"&amp;IF(ISNUMBER(INDEX(파견수련계획!$AC$4:$AC$203,$AK192)),TEXT(INDEX(파견수련계획!$AC$4:$AC$203,$AK192),"yyyy-mm-dd"),""))</f>
        <v/>
      </c>
    </row>
    <row r="193">
      <c r="A193" s="10">
        <f>IF(B193="","",ROW()-1)</f>
        <v/>
      </c>
      <c r="B193" s="18" t="n"/>
      <c r="C193" s="10">
        <f>IF($AB193="","",IF(INDEX(기본자료!$C$2:$C$501,$AB193)="","",INDEX(기본자료!$C$2:$C$501,$AB193)))</f>
        <v/>
      </c>
      <c r="D193" s="10">
        <f>IF($AB193="","",IF(INDEX(기본자료!$J$2:$J$501,$AB193)="","",INDEX(기본자료!$J$2:$J$501,$AB193)))</f>
        <v/>
      </c>
      <c r="E193" s="11">
        <f>IF($AB193="","",IF(INDEX(기본자료!$K$2:$K$501,$AB193)="","",IF(NOT(ISNUMBER(INDEX(기본자료!$K$2:$K$501,$AB193))),INDEX(기본자료!$K$2:$K$501,$AB193),IF(INDEX(기본자료!$K$2:$K$501,$AB193)&lt;1000000,INDEX(기본자료!$K$2:$K$501,$AB193),IF(AND(INDEX(기본자료!$K$2:$K$501,$AB193)&gt;=10000101,INT(MOD(INDEX(기본자료!$K$2:$K$501,$AB193),10000)/100)&gt;=1,INT(MOD(INDEX(기본자료!$K$2:$K$501,$AB193),10000)/100)&lt;=12,MOD(INDEX(기본자료!$K$2:$K$501,$AB193),100)&gt;=1,MOD(INDEX(기본자료!$K$2:$K$501,$AB193),100)&lt;=31),DATE(INT(INDEX(기본자료!$K$2:$K$501,$AB193)/10000),INT(MOD(INDEX(기본자료!$K$2:$K$501,$AB193),10000)/100),MOD(INDEX(기본자료!$K$2:$K$501,$AB193),100)),INDEX(기본자료!$K$2:$K$501,$AB193)&amp;"")))))</f>
        <v/>
      </c>
      <c r="F193" s="10">
        <f>IF($AB193="","",IF(INDEX(기본자료!$D$2:$D$501,$AB193)="","",INDEX(기본자료!$D$2:$D$501,$AB193)))</f>
        <v/>
      </c>
      <c r="G193" s="10">
        <f>IF($AB193="","",IF(INDEX(기본자료!$E$2:$E$501,$AB193)="","",INDEX(기본자료!$E$2:$E$501,$AB193)))</f>
        <v/>
      </c>
      <c r="H193" s="10">
        <f>IF($AB193="","",IF(INDEX(기본자료!$F$2:$F$501,$AB193)="","",INDEX(기본자료!$F$2:$F$501,$AB193)))</f>
        <v/>
      </c>
      <c r="I193" s="11">
        <f>IF($AB193="","",IF(INDEX(기본자료!$G$2:$G$501,$AB193)="","",IF(NOT(ISNUMBER(INDEX(기본자료!$G$2:$G$501,$AB193))),INDEX(기본자료!$G$2:$G$501,$AB193),IF(INDEX(기본자료!$G$2:$G$501,$AB193)&lt;1000000,INDEX(기본자료!$G$2:$G$501,$AB193),IF(AND(INDEX(기본자료!$G$2:$G$501,$AB193)&gt;=10000101,INT(MOD(INDEX(기본자료!$G$2:$G$501,$AB193),10000)/100)&gt;=1,INT(MOD(INDEX(기본자료!$G$2:$G$501,$AB193),10000)/100)&lt;=12,MOD(INDEX(기본자료!$G$2:$G$501,$AB193),100)&gt;=1,MOD(INDEX(기본자료!$G$2:$G$501,$AB193),100)&lt;=31),DATE(INT(INDEX(기본자료!$G$2:$G$501,$AB193)/10000),INT(MOD(INDEX(기본자료!$G$2:$G$501,$AB193),10000)/100),MOD(INDEX(기본자료!$G$2:$G$501,$AB193),100)),INDEX(기본자료!$G$2:$G$501,$AB193)&amp;"")))))</f>
        <v/>
      </c>
      <c r="J193" s="10">
        <f>IF($AB193="","",IF(INDEX(기본자료!$H$2:$H$501,$AB193)="","",INDEX(기본자료!$H$2:$H$501,$AB193)))</f>
        <v/>
      </c>
      <c r="K193" s="10">
        <f>IF($AB193="","",IF(INDEX(기본자료!$I$2:$I$501,$AB193)="","",INDEX(기본자료!$I$2:$I$501,$AB193)))</f>
        <v/>
      </c>
      <c r="L193" s="10">
        <f>IF($AB193="","",IF(INDEX(기본자료!$A$2:$A$501,$AB193)="","",INDEX(기본자료!$A$2:$A$501,$AB193)))</f>
        <v/>
      </c>
      <c r="M193" s="15" t="n"/>
      <c r="N193" s="10">
        <f>IF($B193="","",IF(AND($U193="파견중",$Q193&lt;&gt;""),$Q193,IF(AND($AD193&lt;&gt;"",LEFT($AD193,1)&lt;&gt;"⚠"),LEFT($AD193,FIND(" ",$AD193)-1),IF($H193="","",IF(RIGHT($H193,2)="병원",$H193,$H193&amp;"병원")))))</f>
        <v/>
      </c>
      <c r="O193" s="10">
        <f>IF($B193="","",IF(AND($U193="파견중",$Q193&lt;&gt;""),IF($R193&lt;&gt;"",$R193,"파견과 미입력"),IF(AND($AD193&lt;&gt;"",LEFT($AD193,1)&lt;&gt;"⚠"),MID($AD193,FIND(" ",$AD193)+1,60),IF($F193="","",IF($F193="인턴","수련교육부(인턴)",$F193)))))</f>
        <v/>
      </c>
      <c r="P193" s="10">
        <f>IF($B193="","",IF($AK193&lt;&gt;"",IF(AND(TODAY()&gt;=INDEX(파견수련계획!$AB$4:$AB$203,$AK193),OR(NOT(ISNUMBER(INDEX(파견수련계획!$AC$4:$AC$203,$AK193))),TODAY()&lt;=INDEX(파견수련계획!$AC$4:$AC$203,$AK193))),"다기관",IF($AF193="","",INDEX(파견수련계획!$T$4:$T$203,$AF193))),IF($AF193="","",INDEX(파견수련계획!$T$4:$T$203,$AF193))))</f>
        <v/>
      </c>
      <c r="Q193" s="10">
        <f>IF($AF193="","",INDEX(파견수련계획!$S$4:$S$203,$AF193))</f>
        <v/>
      </c>
      <c r="R193" s="10">
        <f>IF($AF193="","",INDEX(파견수련계획!$U$4:$U$203,$AF193))</f>
        <v/>
      </c>
      <c r="S193" s="11">
        <f>IF($AF193="","",IF(INDEX(파견수련계획!$H$4:$H$203,$AF193)="","",INDEX(파견수련계획!$H$4:$H$203,$AF193)))</f>
        <v/>
      </c>
      <c r="T193" s="11">
        <f>IF($AF193="","",IF(INDEX(파견수련계획!$I$4:$I$203,$AF193)="","",INDEX(파견수련계획!$I$4:$I$203,$AF193)))</f>
        <v/>
      </c>
      <c r="U193" s="10">
        <f>IF($AF193="","",INDEX(파견수련계획!$X$4:$X$203,$AF193))</f>
        <v/>
      </c>
      <c r="V193" s="17">
        <f>IF($AF193="","",INDEX(파견수련계획!$V$4:$V$203,$AF193))</f>
        <v/>
      </c>
      <c r="W193" s="17">
        <f>IF(AND($U193="파견중",$T193&lt;&gt;""),$T193-TODAY(),"")</f>
        <v/>
      </c>
      <c r="X193" s="17">
        <f>IF(OR($B193="",TRIM($J193&amp;"")=""),"",SUMPRODUCT((파견수련계획!$Q$4:$Q$203=TRIM($J193&amp;""))*파견수련계획!$W$4:$W$203))</f>
        <v/>
      </c>
      <c r="Y193" s="10">
        <f>IF($B193="","",IF($AG193="","",IF(IF(TRIM($J193&amp;"")="",0,SUMPRODUCT((파견수련계획!$Q$4:$Q$203=TRIM($J193&amp;""))*파견수련계획!$AD$4:$AD$203))&gt;0,$AE193,IF(N($X193)&lt;=0,$AG193,IF($AH193+$AI193=DAY(EOMONTH(요약!$B$3,0)),IF(AND($AH193&gt;=요약!$E$3,$AI193&lt;요약!$E$3),"서울병원",IF(AND($AI193&gt;=요약!$E$3,$AH193&lt;요약!$E$3),"구리병원","⚠15일 판정불가(서울 "&amp;$AH193&amp;"일/구리 "&amp;$AI193&amp;"일)")),IF($AJ193="",$AE193,IF(INDEX(파견수련계획!$T$4:$T$203,$AJ193)="통합수련",INDEX(파견수련계획!$S$4:$S$203,$AJ193),$AE193)))))))</f>
        <v/>
      </c>
      <c r="Z193" s="19">
        <f>IF($B193="","",IF($AB193="","기본자료에 없는 사번",IF(COUNTIF($B$2:$B$201,$B193)&gt;1,"중복 사번",IF($AE193="","소속(입사장소) 입력",IF(IF(TRIM($J193&amp;"")="",0,SUMPRODUCT((파견수련계획!$Q$4:$Q$203=TRIM($J193&amp;""))*(파견수련계획!$AA$4:$AA$203&lt;&gt;"")))&gt;0,"파견수련계획 입력오류 확인",IF(LEFT($Y193,1)="⚠","서울·구리 15일 판정 불가(양쪽 모두 이상/미만)",IF(IF($AC193="",0,N(INDEX(인턴근무계획!$T$3:$T$202,$AC193)))&gt;0,"인턴계획 입력오류 확인",IF(AND($AC193&lt;&gt;"",$U193&lt;&gt;"파견중",$N193&lt;&gt;$AE193),"인턴 타지역 근무: 파견 여부 확인","정상"))))))))</f>
        <v/>
      </c>
      <c r="AA193" s="5" t="n"/>
      <c r="AB193" s="10">
        <f>IF($B193="","",IFERROR(MATCH($B193,기본자료!$B$2:$B$501,0),IFERROR(MATCH($B193&amp;"",기본자료!$B$2:$B$501,0),IFERROR(MATCH(VALUE($B193),기본자료!$B$2:$B$501,0),""))))</f>
        <v/>
      </c>
      <c r="AC193" s="10">
        <f>IF($B193="","",IFERROR(MATCH($B193,인턴근무계획!$D$3:$D$202,0),IFERROR(MATCH($B193&amp;"",인턴근무계획!$D$3:$D$202,0),IFERROR(MATCH(VALUE($B193),인턴근무계획!$D$3:$D$202,0),""))))</f>
        <v/>
      </c>
      <c r="AD193" s="10">
        <f>IF(OR($AC193="",인턴현황!$G$3=""),"",INDEX(인턴근무계획!$M$3:$R$202,$AC193,인턴현황!$G$3)&amp;"")</f>
        <v/>
      </c>
      <c r="AE193" s="10">
        <f>IF($B193="","",IF($M193&lt;&gt;"",$M193,IF($AF193&lt;&gt;"",IF(LEFT(INDEX(파견수련계획!$R$4:$R$203,$AF193),1)&lt;&gt;"⚠",INDEX(파견수련계획!$R$4:$R$203,$AF193),IF($H193="","",IF(RIGHT($H193,2)="병원",$H193,$H193&amp;"병원"))),IF($H193="","",IF(RIGHT($H193,2)="병원",$H193,$H193&amp;"병원")))))</f>
        <v/>
      </c>
      <c r="AF193" s="10">
        <f>IF(OR($B193="",TRIM($J193&amp;"")=""),"",IFERROR(MATCH(TRIM($J193&amp;"")&amp;"|파견중",파견수련계획!$Y$4:$Y$203,0),IFERROR(MATCH(TRIM($J193&amp;"")&amp;"|파견예정",파견수련계획!$Y$4:$Y$203,0),IFERROR(MATCH(TRIM($J193&amp;"")&amp;"|파견종료",파견수련계획!$Y$4:$Y$203,0),""))))</f>
        <v/>
      </c>
      <c r="AG193" s="10">
        <f>IF($B193="","",IF(AND(IF(OR($AC193="",인턴현황!$K$2=""),"",INDEX(인턴근무계획!$M$3:$R$202,$AC193,인턴현황!$K$2)&amp;"")&lt;&gt;"",LEFT(IF(OR($AC193="",인턴현황!$K$2=""),"",INDEX(인턴근무계획!$M$3:$R$202,$AC193,인턴현황!$K$2)&amp;""),1)&lt;&gt;"⚠"),LEFT(IF(OR($AC193="",인턴현황!$K$2=""),"",INDEX(인턴근무계획!$M$3:$R$202,$AC193,인턴현황!$K$2)&amp;""),FIND(" ",IF(OR($AC193="",인턴현황!$K$2=""),"",INDEX(인턴근무계획!$M$3:$R$202,$AC193,인턴현황!$K$2)&amp;""))-1),$AE193))</f>
        <v/>
      </c>
      <c r="AH193" s="17">
        <f>IF($B193="","",IF(TRIM($J193&amp;"")="",0,SUMPRODUCT((파견수련계획!$Q$4:$Q$203=TRIM($J193&amp;""))*(파견수련계획!$S$4:$S$203="서울병원")*파견수련계획!$W$4:$W$203))+IF($AG193="서울병원",MAX(0,DAY(EOMONTH(요약!$B$3,0))-N($X193)),0))</f>
        <v/>
      </c>
      <c r="AI193" s="17">
        <f>IF($B193="","",IF(TRIM($J193&amp;"")="",0,SUMPRODUCT((파견수련계획!$Q$4:$Q$203=TRIM($J193&amp;""))*(파견수련계획!$S$4:$S$203="구리병원")*파견수련계획!$W$4:$W$203))+IF($AG193="구리병원",MAX(0,DAY(EOMONTH(요약!$B$3,0))-N($X193)),0))</f>
        <v/>
      </c>
      <c r="AJ193" s="10">
        <f>IF(OR($B193="",TRIM($J193&amp;"")=""),"",IFERROR(MATCH(TRIM($J193&amp;"")&amp;"|월",파견수련계획!$Z$4:$Z$203,0),""))</f>
        <v/>
      </c>
      <c r="AK193" s="10">
        <f>IF(OR($B193="",TRIM($J193&amp;"")=""),"",IFERROR(MATCH(TRIM($J193&amp;"")&amp;"|다기관",파견수련계획!$AE$4:$AE$203,0),""))</f>
        <v/>
      </c>
      <c r="AL193" s="10">
        <f>IF($AK193="","","다기관 "&amp;TEXT(INDEX(파견수련계획!$AB$4:$AB$203,$AK193),"yyyy-mm-dd")&amp;"~"&amp;IF(ISNUMBER(INDEX(파견수련계획!$AC$4:$AC$203,$AK193)),TEXT(INDEX(파견수련계획!$AC$4:$AC$203,$AK193),"yyyy-mm-dd"),""))</f>
        <v/>
      </c>
    </row>
    <row r="194">
      <c r="A194" s="10">
        <f>IF(B194="","",ROW()-1)</f>
        <v/>
      </c>
      <c r="B194" s="18" t="n"/>
      <c r="C194" s="10">
        <f>IF($AB194="","",IF(INDEX(기본자료!$C$2:$C$501,$AB194)="","",INDEX(기본자료!$C$2:$C$501,$AB194)))</f>
        <v/>
      </c>
      <c r="D194" s="10">
        <f>IF($AB194="","",IF(INDEX(기본자료!$J$2:$J$501,$AB194)="","",INDEX(기본자료!$J$2:$J$501,$AB194)))</f>
        <v/>
      </c>
      <c r="E194" s="11">
        <f>IF($AB194="","",IF(INDEX(기본자료!$K$2:$K$501,$AB194)="","",IF(NOT(ISNUMBER(INDEX(기본자료!$K$2:$K$501,$AB194))),INDEX(기본자료!$K$2:$K$501,$AB194),IF(INDEX(기본자료!$K$2:$K$501,$AB194)&lt;1000000,INDEX(기본자료!$K$2:$K$501,$AB194),IF(AND(INDEX(기본자료!$K$2:$K$501,$AB194)&gt;=10000101,INT(MOD(INDEX(기본자료!$K$2:$K$501,$AB194),10000)/100)&gt;=1,INT(MOD(INDEX(기본자료!$K$2:$K$501,$AB194),10000)/100)&lt;=12,MOD(INDEX(기본자료!$K$2:$K$501,$AB194),100)&gt;=1,MOD(INDEX(기본자료!$K$2:$K$501,$AB194),100)&lt;=31),DATE(INT(INDEX(기본자료!$K$2:$K$501,$AB194)/10000),INT(MOD(INDEX(기본자료!$K$2:$K$501,$AB194),10000)/100),MOD(INDEX(기본자료!$K$2:$K$501,$AB194),100)),INDEX(기본자료!$K$2:$K$501,$AB194)&amp;"")))))</f>
        <v/>
      </c>
      <c r="F194" s="10">
        <f>IF($AB194="","",IF(INDEX(기본자료!$D$2:$D$501,$AB194)="","",INDEX(기본자료!$D$2:$D$501,$AB194)))</f>
        <v/>
      </c>
      <c r="G194" s="10">
        <f>IF($AB194="","",IF(INDEX(기본자료!$E$2:$E$501,$AB194)="","",INDEX(기본자료!$E$2:$E$501,$AB194)))</f>
        <v/>
      </c>
      <c r="H194" s="10">
        <f>IF($AB194="","",IF(INDEX(기본자료!$F$2:$F$501,$AB194)="","",INDEX(기본자료!$F$2:$F$501,$AB194)))</f>
        <v/>
      </c>
      <c r="I194" s="11">
        <f>IF($AB194="","",IF(INDEX(기본자료!$G$2:$G$501,$AB194)="","",IF(NOT(ISNUMBER(INDEX(기본자료!$G$2:$G$501,$AB194))),INDEX(기본자료!$G$2:$G$501,$AB194),IF(INDEX(기본자료!$G$2:$G$501,$AB194)&lt;1000000,INDEX(기본자료!$G$2:$G$501,$AB194),IF(AND(INDEX(기본자료!$G$2:$G$501,$AB194)&gt;=10000101,INT(MOD(INDEX(기본자료!$G$2:$G$501,$AB194),10000)/100)&gt;=1,INT(MOD(INDEX(기본자료!$G$2:$G$501,$AB194),10000)/100)&lt;=12,MOD(INDEX(기본자료!$G$2:$G$501,$AB194),100)&gt;=1,MOD(INDEX(기본자료!$G$2:$G$501,$AB194),100)&lt;=31),DATE(INT(INDEX(기본자료!$G$2:$G$501,$AB194)/10000),INT(MOD(INDEX(기본자료!$G$2:$G$501,$AB194),10000)/100),MOD(INDEX(기본자료!$G$2:$G$501,$AB194),100)),INDEX(기본자료!$G$2:$G$501,$AB194)&amp;"")))))</f>
        <v/>
      </c>
      <c r="J194" s="10">
        <f>IF($AB194="","",IF(INDEX(기본자료!$H$2:$H$501,$AB194)="","",INDEX(기본자료!$H$2:$H$501,$AB194)))</f>
        <v/>
      </c>
      <c r="K194" s="10">
        <f>IF($AB194="","",IF(INDEX(기본자료!$I$2:$I$501,$AB194)="","",INDEX(기본자료!$I$2:$I$501,$AB194)))</f>
        <v/>
      </c>
      <c r="L194" s="10">
        <f>IF($AB194="","",IF(INDEX(기본자료!$A$2:$A$501,$AB194)="","",INDEX(기본자료!$A$2:$A$501,$AB194)))</f>
        <v/>
      </c>
      <c r="M194" s="15" t="n"/>
      <c r="N194" s="10">
        <f>IF($B194="","",IF(AND($U194="파견중",$Q194&lt;&gt;""),$Q194,IF(AND($AD194&lt;&gt;"",LEFT($AD194,1)&lt;&gt;"⚠"),LEFT($AD194,FIND(" ",$AD194)-1),IF($H194="","",IF(RIGHT($H194,2)="병원",$H194,$H194&amp;"병원")))))</f>
        <v/>
      </c>
      <c r="O194" s="10">
        <f>IF($B194="","",IF(AND($U194="파견중",$Q194&lt;&gt;""),IF($R194&lt;&gt;"",$R194,"파견과 미입력"),IF(AND($AD194&lt;&gt;"",LEFT($AD194,1)&lt;&gt;"⚠"),MID($AD194,FIND(" ",$AD194)+1,60),IF($F194="","",IF($F194="인턴","수련교육부(인턴)",$F194)))))</f>
        <v/>
      </c>
      <c r="P194" s="10">
        <f>IF($B194="","",IF($AK194&lt;&gt;"",IF(AND(TODAY()&gt;=INDEX(파견수련계획!$AB$4:$AB$203,$AK194),OR(NOT(ISNUMBER(INDEX(파견수련계획!$AC$4:$AC$203,$AK194))),TODAY()&lt;=INDEX(파견수련계획!$AC$4:$AC$203,$AK194))),"다기관",IF($AF194="","",INDEX(파견수련계획!$T$4:$T$203,$AF194))),IF($AF194="","",INDEX(파견수련계획!$T$4:$T$203,$AF194))))</f>
        <v/>
      </c>
      <c r="Q194" s="10">
        <f>IF($AF194="","",INDEX(파견수련계획!$S$4:$S$203,$AF194))</f>
        <v/>
      </c>
      <c r="R194" s="10">
        <f>IF($AF194="","",INDEX(파견수련계획!$U$4:$U$203,$AF194))</f>
        <v/>
      </c>
      <c r="S194" s="11">
        <f>IF($AF194="","",IF(INDEX(파견수련계획!$H$4:$H$203,$AF194)="","",INDEX(파견수련계획!$H$4:$H$203,$AF194)))</f>
        <v/>
      </c>
      <c r="T194" s="11">
        <f>IF($AF194="","",IF(INDEX(파견수련계획!$I$4:$I$203,$AF194)="","",INDEX(파견수련계획!$I$4:$I$203,$AF194)))</f>
        <v/>
      </c>
      <c r="U194" s="10">
        <f>IF($AF194="","",INDEX(파견수련계획!$X$4:$X$203,$AF194))</f>
        <v/>
      </c>
      <c r="V194" s="17">
        <f>IF($AF194="","",INDEX(파견수련계획!$V$4:$V$203,$AF194))</f>
        <v/>
      </c>
      <c r="W194" s="17">
        <f>IF(AND($U194="파견중",$T194&lt;&gt;""),$T194-TODAY(),"")</f>
        <v/>
      </c>
      <c r="X194" s="17">
        <f>IF(OR($B194="",TRIM($J194&amp;"")=""),"",SUMPRODUCT((파견수련계획!$Q$4:$Q$203=TRIM($J194&amp;""))*파견수련계획!$W$4:$W$203))</f>
        <v/>
      </c>
      <c r="Y194" s="10">
        <f>IF($B194="","",IF($AG194="","",IF(IF(TRIM($J194&amp;"")="",0,SUMPRODUCT((파견수련계획!$Q$4:$Q$203=TRIM($J194&amp;""))*파견수련계획!$AD$4:$AD$203))&gt;0,$AE194,IF(N($X194)&lt;=0,$AG194,IF($AH194+$AI194=DAY(EOMONTH(요약!$B$3,0)),IF(AND($AH194&gt;=요약!$E$3,$AI194&lt;요약!$E$3),"서울병원",IF(AND($AI194&gt;=요약!$E$3,$AH194&lt;요약!$E$3),"구리병원","⚠15일 판정불가(서울 "&amp;$AH194&amp;"일/구리 "&amp;$AI194&amp;"일)")),IF($AJ194="",$AE194,IF(INDEX(파견수련계획!$T$4:$T$203,$AJ194)="통합수련",INDEX(파견수련계획!$S$4:$S$203,$AJ194),$AE194)))))))</f>
        <v/>
      </c>
      <c r="Z194" s="19">
        <f>IF($B194="","",IF($AB194="","기본자료에 없는 사번",IF(COUNTIF($B$2:$B$201,$B194)&gt;1,"중복 사번",IF($AE194="","소속(입사장소) 입력",IF(IF(TRIM($J194&amp;"")="",0,SUMPRODUCT((파견수련계획!$Q$4:$Q$203=TRIM($J194&amp;""))*(파견수련계획!$AA$4:$AA$203&lt;&gt;"")))&gt;0,"파견수련계획 입력오류 확인",IF(LEFT($Y194,1)="⚠","서울·구리 15일 판정 불가(양쪽 모두 이상/미만)",IF(IF($AC194="",0,N(INDEX(인턴근무계획!$T$3:$T$202,$AC194)))&gt;0,"인턴계획 입력오류 확인",IF(AND($AC194&lt;&gt;"",$U194&lt;&gt;"파견중",$N194&lt;&gt;$AE194),"인턴 타지역 근무: 파견 여부 확인","정상"))))))))</f>
        <v/>
      </c>
      <c r="AA194" s="5" t="n"/>
      <c r="AB194" s="10">
        <f>IF($B194="","",IFERROR(MATCH($B194,기본자료!$B$2:$B$501,0),IFERROR(MATCH($B194&amp;"",기본자료!$B$2:$B$501,0),IFERROR(MATCH(VALUE($B194),기본자료!$B$2:$B$501,0),""))))</f>
        <v/>
      </c>
      <c r="AC194" s="10">
        <f>IF($B194="","",IFERROR(MATCH($B194,인턴근무계획!$D$3:$D$202,0),IFERROR(MATCH($B194&amp;"",인턴근무계획!$D$3:$D$202,0),IFERROR(MATCH(VALUE($B194),인턴근무계획!$D$3:$D$202,0),""))))</f>
        <v/>
      </c>
      <c r="AD194" s="10">
        <f>IF(OR($AC194="",인턴현황!$G$3=""),"",INDEX(인턴근무계획!$M$3:$R$202,$AC194,인턴현황!$G$3)&amp;"")</f>
        <v/>
      </c>
      <c r="AE194" s="10">
        <f>IF($B194="","",IF($M194&lt;&gt;"",$M194,IF($AF194&lt;&gt;"",IF(LEFT(INDEX(파견수련계획!$R$4:$R$203,$AF194),1)&lt;&gt;"⚠",INDEX(파견수련계획!$R$4:$R$203,$AF194),IF($H194="","",IF(RIGHT($H194,2)="병원",$H194,$H194&amp;"병원"))),IF($H194="","",IF(RIGHT($H194,2)="병원",$H194,$H194&amp;"병원")))))</f>
        <v/>
      </c>
      <c r="AF194" s="10">
        <f>IF(OR($B194="",TRIM($J194&amp;"")=""),"",IFERROR(MATCH(TRIM($J194&amp;"")&amp;"|파견중",파견수련계획!$Y$4:$Y$203,0),IFERROR(MATCH(TRIM($J194&amp;"")&amp;"|파견예정",파견수련계획!$Y$4:$Y$203,0),IFERROR(MATCH(TRIM($J194&amp;"")&amp;"|파견종료",파견수련계획!$Y$4:$Y$203,0),""))))</f>
        <v/>
      </c>
      <c r="AG194" s="10">
        <f>IF($B194="","",IF(AND(IF(OR($AC194="",인턴현황!$K$2=""),"",INDEX(인턴근무계획!$M$3:$R$202,$AC194,인턴현황!$K$2)&amp;"")&lt;&gt;"",LEFT(IF(OR($AC194="",인턴현황!$K$2=""),"",INDEX(인턴근무계획!$M$3:$R$202,$AC194,인턴현황!$K$2)&amp;""),1)&lt;&gt;"⚠"),LEFT(IF(OR($AC194="",인턴현황!$K$2=""),"",INDEX(인턴근무계획!$M$3:$R$202,$AC194,인턴현황!$K$2)&amp;""),FIND(" ",IF(OR($AC194="",인턴현황!$K$2=""),"",INDEX(인턴근무계획!$M$3:$R$202,$AC194,인턴현황!$K$2)&amp;""))-1),$AE194))</f>
        <v/>
      </c>
      <c r="AH194" s="17">
        <f>IF($B194="","",IF(TRIM($J194&amp;"")="",0,SUMPRODUCT((파견수련계획!$Q$4:$Q$203=TRIM($J194&amp;""))*(파견수련계획!$S$4:$S$203="서울병원")*파견수련계획!$W$4:$W$203))+IF($AG194="서울병원",MAX(0,DAY(EOMONTH(요약!$B$3,0))-N($X194)),0))</f>
        <v/>
      </c>
      <c r="AI194" s="17">
        <f>IF($B194="","",IF(TRIM($J194&amp;"")="",0,SUMPRODUCT((파견수련계획!$Q$4:$Q$203=TRIM($J194&amp;""))*(파견수련계획!$S$4:$S$203="구리병원")*파견수련계획!$W$4:$W$203))+IF($AG194="구리병원",MAX(0,DAY(EOMONTH(요약!$B$3,0))-N($X194)),0))</f>
        <v/>
      </c>
      <c r="AJ194" s="10">
        <f>IF(OR($B194="",TRIM($J194&amp;"")=""),"",IFERROR(MATCH(TRIM($J194&amp;"")&amp;"|월",파견수련계획!$Z$4:$Z$203,0),""))</f>
        <v/>
      </c>
      <c r="AK194" s="10">
        <f>IF(OR($B194="",TRIM($J194&amp;"")=""),"",IFERROR(MATCH(TRIM($J194&amp;"")&amp;"|다기관",파견수련계획!$AE$4:$AE$203,0),""))</f>
        <v/>
      </c>
      <c r="AL194" s="10">
        <f>IF($AK194="","","다기관 "&amp;TEXT(INDEX(파견수련계획!$AB$4:$AB$203,$AK194),"yyyy-mm-dd")&amp;"~"&amp;IF(ISNUMBER(INDEX(파견수련계획!$AC$4:$AC$203,$AK194)),TEXT(INDEX(파견수련계획!$AC$4:$AC$203,$AK194),"yyyy-mm-dd"),""))</f>
        <v/>
      </c>
    </row>
    <row r="195">
      <c r="A195" s="10">
        <f>IF(B195="","",ROW()-1)</f>
        <v/>
      </c>
      <c r="B195" s="18" t="n"/>
      <c r="C195" s="10">
        <f>IF($AB195="","",IF(INDEX(기본자료!$C$2:$C$501,$AB195)="","",INDEX(기본자료!$C$2:$C$501,$AB195)))</f>
        <v/>
      </c>
      <c r="D195" s="10">
        <f>IF($AB195="","",IF(INDEX(기본자료!$J$2:$J$501,$AB195)="","",INDEX(기본자료!$J$2:$J$501,$AB195)))</f>
        <v/>
      </c>
      <c r="E195" s="11">
        <f>IF($AB195="","",IF(INDEX(기본자료!$K$2:$K$501,$AB195)="","",IF(NOT(ISNUMBER(INDEX(기본자료!$K$2:$K$501,$AB195))),INDEX(기본자료!$K$2:$K$501,$AB195),IF(INDEX(기본자료!$K$2:$K$501,$AB195)&lt;1000000,INDEX(기본자료!$K$2:$K$501,$AB195),IF(AND(INDEX(기본자료!$K$2:$K$501,$AB195)&gt;=10000101,INT(MOD(INDEX(기본자료!$K$2:$K$501,$AB195),10000)/100)&gt;=1,INT(MOD(INDEX(기본자료!$K$2:$K$501,$AB195),10000)/100)&lt;=12,MOD(INDEX(기본자료!$K$2:$K$501,$AB195),100)&gt;=1,MOD(INDEX(기본자료!$K$2:$K$501,$AB195),100)&lt;=31),DATE(INT(INDEX(기본자료!$K$2:$K$501,$AB195)/10000),INT(MOD(INDEX(기본자료!$K$2:$K$501,$AB195),10000)/100),MOD(INDEX(기본자료!$K$2:$K$501,$AB195),100)),INDEX(기본자료!$K$2:$K$501,$AB195)&amp;"")))))</f>
        <v/>
      </c>
      <c r="F195" s="10">
        <f>IF($AB195="","",IF(INDEX(기본자료!$D$2:$D$501,$AB195)="","",INDEX(기본자료!$D$2:$D$501,$AB195)))</f>
        <v/>
      </c>
      <c r="G195" s="10">
        <f>IF($AB195="","",IF(INDEX(기본자료!$E$2:$E$501,$AB195)="","",INDEX(기본자료!$E$2:$E$501,$AB195)))</f>
        <v/>
      </c>
      <c r="H195" s="10">
        <f>IF($AB195="","",IF(INDEX(기본자료!$F$2:$F$501,$AB195)="","",INDEX(기본자료!$F$2:$F$501,$AB195)))</f>
        <v/>
      </c>
      <c r="I195" s="11">
        <f>IF($AB195="","",IF(INDEX(기본자료!$G$2:$G$501,$AB195)="","",IF(NOT(ISNUMBER(INDEX(기본자료!$G$2:$G$501,$AB195))),INDEX(기본자료!$G$2:$G$501,$AB195),IF(INDEX(기본자료!$G$2:$G$501,$AB195)&lt;1000000,INDEX(기본자료!$G$2:$G$501,$AB195),IF(AND(INDEX(기본자료!$G$2:$G$501,$AB195)&gt;=10000101,INT(MOD(INDEX(기본자료!$G$2:$G$501,$AB195),10000)/100)&gt;=1,INT(MOD(INDEX(기본자료!$G$2:$G$501,$AB195),10000)/100)&lt;=12,MOD(INDEX(기본자료!$G$2:$G$501,$AB195),100)&gt;=1,MOD(INDEX(기본자료!$G$2:$G$501,$AB195),100)&lt;=31),DATE(INT(INDEX(기본자료!$G$2:$G$501,$AB195)/10000),INT(MOD(INDEX(기본자료!$G$2:$G$501,$AB195),10000)/100),MOD(INDEX(기본자료!$G$2:$G$501,$AB195),100)),INDEX(기본자료!$G$2:$G$501,$AB195)&amp;"")))))</f>
        <v/>
      </c>
      <c r="J195" s="10">
        <f>IF($AB195="","",IF(INDEX(기본자료!$H$2:$H$501,$AB195)="","",INDEX(기본자료!$H$2:$H$501,$AB195)))</f>
        <v/>
      </c>
      <c r="K195" s="10">
        <f>IF($AB195="","",IF(INDEX(기본자료!$I$2:$I$501,$AB195)="","",INDEX(기본자료!$I$2:$I$501,$AB195)))</f>
        <v/>
      </c>
      <c r="L195" s="10">
        <f>IF($AB195="","",IF(INDEX(기본자료!$A$2:$A$501,$AB195)="","",INDEX(기본자료!$A$2:$A$501,$AB195)))</f>
        <v/>
      </c>
      <c r="M195" s="15" t="n"/>
      <c r="N195" s="10">
        <f>IF($B195="","",IF(AND($U195="파견중",$Q195&lt;&gt;""),$Q195,IF(AND($AD195&lt;&gt;"",LEFT($AD195,1)&lt;&gt;"⚠"),LEFT($AD195,FIND(" ",$AD195)-1),IF($H195="","",IF(RIGHT($H195,2)="병원",$H195,$H195&amp;"병원")))))</f>
        <v/>
      </c>
      <c r="O195" s="10">
        <f>IF($B195="","",IF(AND($U195="파견중",$Q195&lt;&gt;""),IF($R195&lt;&gt;"",$R195,"파견과 미입력"),IF(AND($AD195&lt;&gt;"",LEFT($AD195,1)&lt;&gt;"⚠"),MID($AD195,FIND(" ",$AD195)+1,60),IF($F195="","",IF($F195="인턴","수련교육부(인턴)",$F195)))))</f>
        <v/>
      </c>
      <c r="P195" s="10">
        <f>IF($B195="","",IF($AK195&lt;&gt;"",IF(AND(TODAY()&gt;=INDEX(파견수련계획!$AB$4:$AB$203,$AK195),OR(NOT(ISNUMBER(INDEX(파견수련계획!$AC$4:$AC$203,$AK195))),TODAY()&lt;=INDEX(파견수련계획!$AC$4:$AC$203,$AK195))),"다기관",IF($AF195="","",INDEX(파견수련계획!$T$4:$T$203,$AF195))),IF($AF195="","",INDEX(파견수련계획!$T$4:$T$203,$AF195))))</f>
        <v/>
      </c>
      <c r="Q195" s="10">
        <f>IF($AF195="","",INDEX(파견수련계획!$S$4:$S$203,$AF195))</f>
        <v/>
      </c>
      <c r="R195" s="10">
        <f>IF($AF195="","",INDEX(파견수련계획!$U$4:$U$203,$AF195))</f>
        <v/>
      </c>
      <c r="S195" s="11">
        <f>IF($AF195="","",IF(INDEX(파견수련계획!$H$4:$H$203,$AF195)="","",INDEX(파견수련계획!$H$4:$H$203,$AF195)))</f>
        <v/>
      </c>
      <c r="T195" s="11">
        <f>IF($AF195="","",IF(INDEX(파견수련계획!$I$4:$I$203,$AF195)="","",INDEX(파견수련계획!$I$4:$I$203,$AF195)))</f>
        <v/>
      </c>
      <c r="U195" s="10">
        <f>IF($AF195="","",INDEX(파견수련계획!$X$4:$X$203,$AF195))</f>
        <v/>
      </c>
      <c r="V195" s="17">
        <f>IF($AF195="","",INDEX(파견수련계획!$V$4:$V$203,$AF195))</f>
        <v/>
      </c>
      <c r="W195" s="17">
        <f>IF(AND($U195="파견중",$T195&lt;&gt;""),$T195-TODAY(),"")</f>
        <v/>
      </c>
      <c r="X195" s="17">
        <f>IF(OR($B195="",TRIM($J195&amp;"")=""),"",SUMPRODUCT((파견수련계획!$Q$4:$Q$203=TRIM($J195&amp;""))*파견수련계획!$W$4:$W$203))</f>
        <v/>
      </c>
      <c r="Y195" s="10">
        <f>IF($B195="","",IF($AG195="","",IF(IF(TRIM($J195&amp;"")="",0,SUMPRODUCT((파견수련계획!$Q$4:$Q$203=TRIM($J195&amp;""))*파견수련계획!$AD$4:$AD$203))&gt;0,$AE195,IF(N($X195)&lt;=0,$AG195,IF($AH195+$AI195=DAY(EOMONTH(요약!$B$3,0)),IF(AND($AH195&gt;=요약!$E$3,$AI195&lt;요약!$E$3),"서울병원",IF(AND($AI195&gt;=요약!$E$3,$AH195&lt;요약!$E$3),"구리병원","⚠15일 판정불가(서울 "&amp;$AH195&amp;"일/구리 "&amp;$AI195&amp;"일)")),IF($AJ195="",$AE195,IF(INDEX(파견수련계획!$T$4:$T$203,$AJ195)="통합수련",INDEX(파견수련계획!$S$4:$S$203,$AJ195),$AE195)))))))</f>
        <v/>
      </c>
      <c r="Z195" s="19">
        <f>IF($B195="","",IF($AB195="","기본자료에 없는 사번",IF(COUNTIF($B$2:$B$201,$B195)&gt;1,"중복 사번",IF($AE195="","소속(입사장소) 입력",IF(IF(TRIM($J195&amp;"")="",0,SUMPRODUCT((파견수련계획!$Q$4:$Q$203=TRIM($J195&amp;""))*(파견수련계획!$AA$4:$AA$203&lt;&gt;"")))&gt;0,"파견수련계획 입력오류 확인",IF(LEFT($Y195,1)="⚠","서울·구리 15일 판정 불가(양쪽 모두 이상/미만)",IF(IF($AC195="",0,N(INDEX(인턴근무계획!$T$3:$T$202,$AC195)))&gt;0,"인턴계획 입력오류 확인",IF(AND($AC195&lt;&gt;"",$U195&lt;&gt;"파견중",$N195&lt;&gt;$AE195),"인턴 타지역 근무: 파견 여부 확인","정상"))))))))</f>
        <v/>
      </c>
      <c r="AA195" s="5" t="n"/>
      <c r="AB195" s="10">
        <f>IF($B195="","",IFERROR(MATCH($B195,기본자료!$B$2:$B$501,0),IFERROR(MATCH($B195&amp;"",기본자료!$B$2:$B$501,0),IFERROR(MATCH(VALUE($B195),기본자료!$B$2:$B$501,0),""))))</f>
        <v/>
      </c>
      <c r="AC195" s="10">
        <f>IF($B195="","",IFERROR(MATCH($B195,인턴근무계획!$D$3:$D$202,0),IFERROR(MATCH($B195&amp;"",인턴근무계획!$D$3:$D$202,0),IFERROR(MATCH(VALUE($B195),인턴근무계획!$D$3:$D$202,0),""))))</f>
        <v/>
      </c>
      <c r="AD195" s="10">
        <f>IF(OR($AC195="",인턴현황!$G$3=""),"",INDEX(인턴근무계획!$M$3:$R$202,$AC195,인턴현황!$G$3)&amp;"")</f>
        <v/>
      </c>
      <c r="AE195" s="10">
        <f>IF($B195="","",IF($M195&lt;&gt;"",$M195,IF($AF195&lt;&gt;"",IF(LEFT(INDEX(파견수련계획!$R$4:$R$203,$AF195),1)&lt;&gt;"⚠",INDEX(파견수련계획!$R$4:$R$203,$AF195),IF($H195="","",IF(RIGHT($H195,2)="병원",$H195,$H195&amp;"병원"))),IF($H195="","",IF(RIGHT($H195,2)="병원",$H195,$H195&amp;"병원")))))</f>
        <v/>
      </c>
      <c r="AF195" s="10">
        <f>IF(OR($B195="",TRIM($J195&amp;"")=""),"",IFERROR(MATCH(TRIM($J195&amp;"")&amp;"|파견중",파견수련계획!$Y$4:$Y$203,0),IFERROR(MATCH(TRIM($J195&amp;"")&amp;"|파견예정",파견수련계획!$Y$4:$Y$203,0),IFERROR(MATCH(TRIM($J195&amp;"")&amp;"|파견종료",파견수련계획!$Y$4:$Y$203,0),""))))</f>
        <v/>
      </c>
      <c r="AG195" s="10">
        <f>IF($B195="","",IF(AND(IF(OR($AC195="",인턴현황!$K$2=""),"",INDEX(인턴근무계획!$M$3:$R$202,$AC195,인턴현황!$K$2)&amp;"")&lt;&gt;"",LEFT(IF(OR($AC195="",인턴현황!$K$2=""),"",INDEX(인턴근무계획!$M$3:$R$202,$AC195,인턴현황!$K$2)&amp;""),1)&lt;&gt;"⚠"),LEFT(IF(OR($AC195="",인턴현황!$K$2=""),"",INDEX(인턴근무계획!$M$3:$R$202,$AC195,인턴현황!$K$2)&amp;""),FIND(" ",IF(OR($AC195="",인턴현황!$K$2=""),"",INDEX(인턴근무계획!$M$3:$R$202,$AC195,인턴현황!$K$2)&amp;""))-1),$AE195))</f>
        <v/>
      </c>
      <c r="AH195" s="17">
        <f>IF($B195="","",IF(TRIM($J195&amp;"")="",0,SUMPRODUCT((파견수련계획!$Q$4:$Q$203=TRIM($J195&amp;""))*(파견수련계획!$S$4:$S$203="서울병원")*파견수련계획!$W$4:$W$203))+IF($AG195="서울병원",MAX(0,DAY(EOMONTH(요약!$B$3,0))-N($X195)),0))</f>
        <v/>
      </c>
      <c r="AI195" s="17">
        <f>IF($B195="","",IF(TRIM($J195&amp;"")="",0,SUMPRODUCT((파견수련계획!$Q$4:$Q$203=TRIM($J195&amp;""))*(파견수련계획!$S$4:$S$203="구리병원")*파견수련계획!$W$4:$W$203))+IF($AG195="구리병원",MAX(0,DAY(EOMONTH(요약!$B$3,0))-N($X195)),0))</f>
        <v/>
      </c>
      <c r="AJ195" s="10">
        <f>IF(OR($B195="",TRIM($J195&amp;"")=""),"",IFERROR(MATCH(TRIM($J195&amp;"")&amp;"|월",파견수련계획!$Z$4:$Z$203,0),""))</f>
        <v/>
      </c>
      <c r="AK195" s="10">
        <f>IF(OR($B195="",TRIM($J195&amp;"")=""),"",IFERROR(MATCH(TRIM($J195&amp;"")&amp;"|다기관",파견수련계획!$AE$4:$AE$203,0),""))</f>
        <v/>
      </c>
      <c r="AL195" s="10">
        <f>IF($AK195="","","다기관 "&amp;TEXT(INDEX(파견수련계획!$AB$4:$AB$203,$AK195),"yyyy-mm-dd")&amp;"~"&amp;IF(ISNUMBER(INDEX(파견수련계획!$AC$4:$AC$203,$AK195)),TEXT(INDEX(파견수련계획!$AC$4:$AC$203,$AK195),"yyyy-mm-dd"),""))</f>
        <v/>
      </c>
    </row>
    <row r="196">
      <c r="A196" s="10">
        <f>IF(B196="","",ROW()-1)</f>
        <v/>
      </c>
      <c r="B196" s="18" t="n"/>
      <c r="C196" s="10">
        <f>IF($AB196="","",IF(INDEX(기본자료!$C$2:$C$501,$AB196)="","",INDEX(기본자료!$C$2:$C$501,$AB196)))</f>
        <v/>
      </c>
      <c r="D196" s="10">
        <f>IF($AB196="","",IF(INDEX(기본자료!$J$2:$J$501,$AB196)="","",INDEX(기본자료!$J$2:$J$501,$AB196)))</f>
        <v/>
      </c>
      <c r="E196" s="11">
        <f>IF($AB196="","",IF(INDEX(기본자료!$K$2:$K$501,$AB196)="","",IF(NOT(ISNUMBER(INDEX(기본자료!$K$2:$K$501,$AB196))),INDEX(기본자료!$K$2:$K$501,$AB196),IF(INDEX(기본자료!$K$2:$K$501,$AB196)&lt;1000000,INDEX(기본자료!$K$2:$K$501,$AB196),IF(AND(INDEX(기본자료!$K$2:$K$501,$AB196)&gt;=10000101,INT(MOD(INDEX(기본자료!$K$2:$K$501,$AB196),10000)/100)&gt;=1,INT(MOD(INDEX(기본자료!$K$2:$K$501,$AB196),10000)/100)&lt;=12,MOD(INDEX(기본자료!$K$2:$K$501,$AB196),100)&gt;=1,MOD(INDEX(기본자료!$K$2:$K$501,$AB196),100)&lt;=31),DATE(INT(INDEX(기본자료!$K$2:$K$501,$AB196)/10000),INT(MOD(INDEX(기본자료!$K$2:$K$501,$AB196),10000)/100),MOD(INDEX(기본자료!$K$2:$K$501,$AB196),100)),INDEX(기본자료!$K$2:$K$501,$AB196)&amp;"")))))</f>
        <v/>
      </c>
      <c r="F196" s="10">
        <f>IF($AB196="","",IF(INDEX(기본자료!$D$2:$D$501,$AB196)="","",INDEX(기본자료!$D$2:$D$501,$AB196)))</f>
        <v/>
      </c>
      <c r="G196" s="10">
        <f>IF($AB196="","",IF(INDEX(기본자료!$E$2:$E$501,$AB196)="","",INDEX(기본자료!$E$2:$E$501,$AB196)))</f>
        <v/>
      </c>
      <c r="H196" s="10">
        <f>IF($AB196="","",IF(INDEX(기본자료!$F$2:$F$501,$AB196)="","",INDEX(기본자료!$F$2:$F$501,$AB196)))</f>
        <v/>
      </c>
      <c r="I196" s="11">
        <f>IF($AB196="","",IF(INDEX(기본자료!$G$2:$G$501,$AB196)="","",IF(NOT(ISNUMBER(INDEX(기본자료!$G$2:$G$501,$AB196))),INDEX(기본자료!$G$2:$G$501,$AB196),IF(INDEX(기본자료!$G$2:$G$501,$AB196)&lt;1000000,INDEX(기본자료!$G$2:$G$501,$AB196),IF(AND(INDEX(기본자료!$G$2:$G$501,$AB196)&gt;=10000101,INT(MOD(INDEX(기본자료!$G$2:$G$501,$AB196),10000)/100)&gt;=1,INT(MOD(INDEX(기본자료!$G$2:$G$501,$AB196),10000)/100)&lt;=12,MOD(INDEX(기본자료!$G$2:$G$501,$AB196),100)&gt;=1,MOD(INDEX(기본자료!$G$2:$G$501,$AB196),100)&lt;=31),DATE(INT(INDEX(기본자료!$G$2:$G$501,$AB196)/10000),INT(MOD(INDEX(기본자료!$G$2:$G$501,$AB196),10000)/100),MOD(INDEX(기본자료!$G$2:$G$501,$AB196),100)),INDEX(기본자료!$G$2:$G$501,$AB196)&amp;"")))))</f>
        <v/>
      </c>
      <c r="J196" s="10">
        <f>IF($AB196="","",IF(INDEX(기본자료!$H$2:$H$501,$AB196)="","",INDEX(기본자료!$H$2:$H$501,$AB196)))</f>
        <v/>
      </c>
      <c r="K196" s="10">
        <f>IF($AB196="","",IF(INDEX(기본자료!$I$2:$I$501,$AB196)="","",INDEX(기본자료!$I$2:$I$501,$AB196)))</f>
        <v/>
      </c>
      <c r="L196" s="10">
        <f>IF($AB196="","",IF(INDEX(기본자료!$A$2:$A$501,$AB196)="","",INDEX(기본자료!$A$2:$A$501,$AB196)))</f>
        <v/>
      </c>
      <c r="M196" s="15" t="n"/>
      <c r="N196" s="10">
        <f>IF($B196="","",IF(AND($U196="파견중",$Q196&lt;&gt;""),$Q196,IF(AND($AD196&lt;&gt;"",LEFT($AD196,1)&lt;&gt;"⚠"),LEFT($AD196,FIND(" ",$AD196)-1),IF($H196="","",IF(RIGHT($H196,2)="병원",$H196,$H196&amp;"병원")))))</f>
        <v/>
      </c>
      <c r="O196" s="10">
        <f>IF($B196="","",IF(AND($U196="파견중",$Q196&lt;&gt;""),IF($R196&lt;&gt;"",$R196,"파견과 미입력"),IF(AND($AD196&lt;&gt;"",LEFT($AD196,1)&lt;&gt;"⚠"),MID($AD196,FIND(" ",$AD196)+1,60),IF($F196="","",IF($F196="인턴","수련교육부(인턴)",$F196)))))</f>
        <v/>
      </c>
      <c r="P196" s="10">
        <f>IF($B196="","",IF($AK196&lt;&gt;"",IF(AND(TODAY()&gt;=INDEX(파견수련계획!$AB$4:$AB$203,$AK196),OR(NOT(ISNUMBER(INDEX(파견수련계획!$AC$4:$AC$203,$AK196))),TODAY()&lt;=INDEX(파견수련계획!$AC$4:$AC$203,$AK196))),"다기관",IF($AF196="","",INDEX(파견수련계획!$T$4:$T$203,$AF196))),IF($AF196="","",INDEX(파견수련계획!$T$4:$T$203,$AF196))))</f>
        <v/>
      </c>
      <c r="Q196" s="10">
        <f>IF($AF196="","",INDEX(파견수련계획!$S$4:$S$203,$AF196))</f>
        <v/>
      </c>
      <c r="R196" s="10">
        <f>IF($AF196="","",INDEX(파견수련계획!$U$4:$U$203,$AF196))</f>
        <v/>
      </c>
      <c r="S196" s="11">
        <f>IF($AF196="","",IF(INDEX(파견수련계획!$H$4:$H$203,$AF196)="","",INDEX(파견수련계획!$H$4:$H$203,$AF196)))</f>
        <v/>
      </c>
      <c r="T196" s="11">
        <f>IF($AF196="","",IF(INDEX(파견수련계획!$I$4:$I$203,$AF196)="","",INDEX(파견수련계획!$I$4:$I$203,$AF196)))</f>
        <v/>
      </c>
      <c r="U196" s="10">
        <f>IF($AF196="","",INDEX(파견수련계획!$X$4:$X$203,$AF196))</f>
        <v/>
      </c>
      <c r="V196" s="17">
        <f>IF($AF196="","",INDEX(파견수련계획!$V$4:$V$203,$AF196))</f>
        <v/>
      </c>
      <c r="W196" s="17">
        <f>IF(AND($U196="파견중",$T196&lt;&gt;""),$T196-TODAY(),"")</f>
        <v/>
      </c>
      <c r="X196" s="17">
        <f>IF(OR($B196="",TRIM($J196&amp;"")=""),"",SUMPRODUCT((파견수련계획!$Q$4:$Q$203=TRIM($J196&amp;""))*파견수련계획!$W$4:$W$203))</f>
        <v/>
      </c>
      <c r="Y196" s="10">
        <f>IF($B196="","",IF($AG196="","",IF(IF(TRIM($J196&amp;"")="",0,SUMPRODUCT((파견수련계획!$Q$4:$Q$203=TRIM($J196&amp;""))*파견수련계획!$AD$4:$AD$203))&gt;0,$AE196,IF(N($X196)&lt;=0,$AG196,IF($AH196+$AI196=DAY(EOMONTH(요약!$B$3,0)),IF(AND($AH196&gt;=요약!$E$3,$AI196&lt;요약!$E$3),"서울병원",IF(AND($AI196&gt;=요약!$E$3,$AH196&lt;요약!$E$3),"구리병원","⚠15일 판정불가(서울 "&amp;$AH196&amp;"일/구리 "&amp;$AI196&amp;"일)")),IF($AJ196="",$AE196,IF(INDEX(파견수련계획!$T$4:$T$203,$AJ196)="통합수련",INDEX(파견수련계획!$S$4:$S$203,$AJ196),$AE196)))))))</f>
        <v/>
      </c>
      <c r="Z196" s="19">
        <f>IF($B196="","",IF($AB196="","기본자료에 없는 사번",IF(COUNTIF($B$2:$B$201,$B196)&gt;1,"중복 사번",IF($AE196="","소속(입사장소) 입력",IF(IF(TRIM($J196&amp;"")="",0,SUMPRODUCT((파견수련계획!$Q$4:$Q$203=TRIM($J196&amp;""))*(파견수련계획!$AA$4:$AA$203&lt;&gt;"")))&gt;0,"파견수련계획 입력오류 확인",IF(LEFT($Y196,1)="⚠","서울·구리 15일 판정 불가(양쪽 모두 이상/미만)",IF(IF($AC196="",0,N(INDEX(인턴근무계획!$T$3:$T$202,$AC196)))&gt;0,"인턴계획 입력오류 확인",IF(AND($AC196&lt;&gt;"",$U196&lt;&gt;"파견중",$N196&lt;&gt;$AE196),"인턴 타지역 근무: 파견 여부 확인","정상"))))))))</f>
        <v/>
      </c>
      <c r="AA196" s="5" t="n"/>
      <c r="AB196" s="10">
        <f>IF($B196="","",IFERROR(MATCH($B196,기본자료!$B$2:$B$501,0),IFERROR(MATCH($B196&amp;"",기본자료!$B$2:$B$501,0),IFERROR(MATCH(VALUE($B196),기본자료!$B$2:$B$501,0),""))))</f>
        <v/>
      </c>
      <c r="AC196" s="10">
        <f>IF($B196="","",IFERROR(MATCH($B196,인턴근무계획!$D$3:$D$202,0),IFERROR(MATCH($B196&amp;"",인턴근무계획!$D$3:$D$202,0),IFERROR(MATCH(VALUE($B196),인턴근무계획!$D$3:$D$202,0),""))))</f>
        <v/>
      </c>
      <c r="AD196" s="10">
        <f>IF(OR($AC196="",인턴현황!$G$3=""),"",INDEX(인턴근무계획!$M$3:$R$202,$AC196,인턴현황!$G$3)&amp;"")</f>
        <v/>
      </c>
      <c r="AE196" s="10">
        <f>IF($B196="","",IF($M196&lt;&gt;"",$M196,IF($AF196&lt;&gt;"",IF(LEFT(INDEX(파견수련계획!$R$4:$R$203,$AF196),1)&lt;&gt;"⚠",INDEX(파견수련계획!$R$4:$R$203,$AF196),IF($H196="","",IF(RIGHT($H196,2)="병원",$H196,$H196&amp;"병원"))),IF($H196="","",IF(RIGHT($H196,2)="병원",$H196,$H196&amp;"병원")))))</f>
        <v/>
      </c>
      <c r="AF196" s="10">
        <f>IF(OR($B196="",TRIM($J196&amp;"")=""),"",IFERROR(MATCH(TRIM($J196&amp;"")&amp;"|파견중",파견수련계획!$Y$4:$Y$203,0),IFERROR(MATCH(TRIM($J196&amp;"")&amp;"|파견예정",파견수련계획!$Y$4:$Y$203,0),IFERROR(MATCH(TRIM($J196&amp;"")&amp;"|파견종료",파견수련계획!$Y$4:$Y$203,0),""))))</f>
        <v/>
      </c>
      <c r="AG196" s="10">
        <f>IF($B196="","",IF(AND(IF(OR($AC196="",인턴현황!$K$2=""),"",INDEX(인턴근무계획!$M$3:$R$202,$AC196,인턴현황!$K$2)&amp;"")&lt;&gt;"",LEFT(IF(OR($AC196="",인턴현황!$K$2=""),"",INDEX(인턴근무계획!$M$3:$R$202,$AC196,인턴현황!$K$2)&amp;""),1)&lt;&gt;"⚠"),LEFT(IF(OR($AC196="",인턴현황!$K$2=""),"",INDEX(인턴근무계획!$M$3:$R$202,$AC196,인턴현황!$K$2)&amp;""),FIND(" ",IF(OR($AC196="",인턴현황!$K$2=""),"",INDEX(인턴근무계획!$M$3:$R$202,$AC196,인턴현황!$K$2)&amp;""))-1),$AE196))</f>
        <v/>
      </c>
      <c r="AH196" s="17">
        <f>IF($B196="","",IF(TRIM($J196&amp;"")="",0,SUMPRODUCT((파견수련계획!$Q$4:$Q$203=TRIM($J196&amp;""))*(파견수련계획!$S$4:$S$203="서울병원")*파견수련계획!$W$4:$W$203))+IF($AG196="서울병원",MAX(0,DAY(EOMONTH(요약!$B$3,0))-N($X196)),0))</f>
        <v/>
      </c>
      <c r="AI196" s="17">
        <f>IF($B196="","",IF(TRIM($J196&amp;"")="",0,SUMPRODUCT((파견수련계획!$Q$4:$Q$203=TRIM($J196&amp;""))*(파견수련계획!$S$4:$S$203="구리병원")*파견수련계획!$W$4:$W$203))+IF($AG196="구리병원",MAX(0,DAY(EOMONTH(요약!$B$3,0))-N($X196)),0))</f>
        <v/>
      </c>
      <c r="AJ196" s="10">
        <f>IF(OR($B196="",TRIM($J196&amp;"")=""),"",IFERROR(MATCH(TRIM($J196&amp;"")&amp;"|월",파견수련계획!$Z$4:$Z$203,0),""))</f>
        <v/>
      </c>
      <c r="AK196" s="10">
        <f>IF(OR($B196="",TRIM($J196&amp;"")=""),"",IFERROR(MATCH(TRIM($J196&amp;"")&amp;"|다기관",파견수련계획!$AE$4:$AE$203,0),""))</f>
        <v/>
      </c>
      <c r="AL196" s="10">
        <f>IF($AK196="","","다기관 "&amp;TEXT(INDEX(파견수련계획!$AB$4:$AB$203,$AK196),"yyyy-mm-dd")&amp;"~"&amp;IF(ISNUMBER(INDEX(파견수련계획!$AC$4:$AC$203,$AK196)),TEXT(INDEX(파견수련계획!$AC$4:$AC$203,$AK196),"yyyy-mm-dd"),""))</f>
        <v/>
      </c>
    </row>
    <row r="197">
      <c r="A197" s="10">
        <f>IF(B197="","",ROW()-1)</f>
        <v/>
      </c>
      <c r="B197" s="18" t="n"/>
      <c r="C197" s="10">
        <f>IF($AB197="","",IF(INDEX(기본자료!$C$2:$C$501,$AB197)="","",INDEX(기본자료!$C$2:$C$501,$AB197)))</f>
        <v/>
      </c>
      <c r="D197" s="10">
        <f>IF($AB197="","",IF(INDEX(기본자료!$J$2:$J$501,$AB197)="","",INDEX(기본자료!$J$2:$J$501,$AB197)))</f>
        <v/>
      </c>
      <c r="E197" s="11">
        <f>IF($AB197="","",IF(INDEX(기본자료!$K$2:$K$501,$AB197)="","",IF(NOT(ISNUMBER(INDEX(기본자료!$K$2:$K$501,$AB197))),INDEX(기본자료!$K$2:$K$501,$AB197),IF(INDEX(기본자료!$K$2:$K$501,$AB197)&lt;1000000,INDEX(기본자료!$K$2:$K$501,$AB197),IF(AND(INDEX(기본자료!$K$2:$K$501,$AB197)&gt;=10000101,INT(MOD(INDEX(기본자료!$K$2:$K$501,$AB197),10000)/100)&gt;=1,INT(MOD(INDEX(기본자료!$K$2:$K$501,$AB197),10000)/100)&lt;=12,MOD(INDEX(기본자료!$K$2:$K$501,$AB197),100)&gt;=1,MOD(INDEX(기본자료!$K$2:$K$501,$AB197),100)&lt;=31),DATE(INT(INDEX(기본자료!$K$2:$K$501,$AB197)/10000),INT(MOD(INDEX(기본자료!$K$2:$K$501,$AB197),10000)/100),MOD(INDEX(기본자료!$K$2:$K$501,$AB197),100)),INDEX(기본자료!$K$2:$K$501,$AB197)&amp;"")))))</f>
        <v/>
      </c>
      <c r="F197" s="10">
        <f>IF($AB197="","",IF(INDEX(기본자료!$D$2:$D$501,$AB197)="","",INDEX(기본자료!$D$2:$D$501,$AB197)))</f>
        <v/>
      </c>
      <c r="G197" s="10">
        <f>IF($AB197="","",IF(INDEX(기본자료!$E$2:$E$501,$AB197)="","",INDEX(기본자료!$E$2:$E$501,$AB197)))</f>
        <v/>
      </c>
      <c r="H197" s="10">
        <f>IF($AB197="","",IF(INDEX(기본자료!$F$2:$F$501,$AB197)="","",INDEX(기본자료!$F$2:$F$501,$AB197)))</f>
        <v/>
      </c>
      <c r="I197" s="11">
        <f>IF($AB197="","",IF(INDEX(기본자료!$G$2:$G$501,$AB197)="","",IF(NOT(ISNUMBER(INDEX(기본자료!$G$2:$G$501,$AB197))),INDEX(기본자료!$G$2:$G$501,$AB197),IF(INDEX(기본자료!$G$2:$G$501,$AB197)&lt;1000000,INDEX(기본자료!$G$2:$G$501,$AB197),IF(AND(INDEX(기본자료!$G$2:$G$501,$AB197)&gt;=10000101,INT(MOD(INDEX(기본자료!$G$2:$G$501,$AB197),10000)/100)&gt;=1,INT(MOD(INDEX(기본자료!$G$2:$G$501,$AB197),10000)/100)&lt;=12,MOD(INDEX(기본자료!$G$2:$G$501,$AB197),100)&gt;=1,MOD(INDEX(기본자료!$G$2:$G$501,$AB197),100)&lt;=31),DATE(INT(INDEX(기본자료!$G$2:$G$501,$AB197)/10000),INT(MOD(INDEX(기본자료!$G$2:$G$501,$AB197),10000)/100),MOD(INDEX(기본자료!$G$2:$G$501,$AB197),100)),INDEX(기본자료!$G$2:$G$501,$AB197)&amp;"")))))</f>
        <v/>
      </c>
      <c r="J197" s="10">
        <f>IF($AB197="","",IF(INDEX(기본자료!$H$2:$H$501,$AB197)="","",INDEX(기본자료!$H$2:$H$501,$AB197)))</f>
        <v/>
      </c>
      <c r="K197" s="10">
        <f>IF($AB197="","",IF(INDEX(기본자료!$I$2:$I$501,$AB197)="","",INDEX(기본자료!$I$2:$I$501,$AB197)))</f>
        <v/>
      </c>
      <c r="L197" s="10">
        <f>IF($AB197="","",IF(INDEX(기본자료!$A$2:$A$501,$AB197)="","",INDEX(기본자료!$A$2:$A$501,$AB197)))</f>
        <v/>
      </c>
      <c r="M197" s="15" t="n"/>
      <c r="N197" s="10">
        <f>IF($B197="","",IF(AND($U197="파견중",$Q197&lt;&gt;""),$Q197,IF(AND($AD197&lt;&gt;"",LEFT($AD197,1)&lt;&gt;"⚠"),LEFT($AD197,FIND(" ",$AD197)-1),IF($H197="","",IF(RIGHT($H197,2)="병원",$H197,$H197&amp;"병원")))))</f>
        <v/>
      </c>
      <c r="O197" s="10">
        <f>IF($B197="","",IF(AND($U197="파견중",$Q197&lt;&gt;""),IF($R197&lt;&gt;"",$R197,"파견과 미입력"),IF(AND($AD197&lt;&gt;"",LEFT($AD197,1)&lt;&gt;"⚠"),MID($AD197,FIND(" ",$AD197)+1,60),IF($F197="","",IF($F197="인턴","수련교육부(인턴)",$F197)))))</f>
        <v/>
      </c>
      <c r="P197" s="10">
        <f>IF($B197="","",IF($AK197&lt;&gt;"",IF(AND(TODAY()&gt;=INDEX(파견수련계획!$AB$4:$AB$203,$AK197),OR(NOT(ISNUMBER(INDEX(파견수련계획!$AC$4:$AC$203,$AK197))),TODAY()&lt;=INDEX(파견수련계획!$AC$4:$AC$203,$AK197))),"다기관",IF($AF197="","",INDEX(파견수련계획!$T$4:$T$203,$AF197))),IF($AF197="","",INDEX(파견수련계획!$T$4:$T$203,$AF197))))</f>
        <v/>
      </c>
      <c r="Q197" s="10">
        <f>IF($AF197="","",INDEX(파견수련계획!$S$4:$S$203,$AF197))</f>
        <v/>
      </c>
      <c r="R197" s="10">
        <f>IF($AF197="","",INDEX(파견수련계획!$U$4:$U$203,$AF197))</f>
        <v/>
      </c>
      <c r="S197" s="11">
        <f>IF($AF197="","",IF(INDEX(파견수련계획!$H$4:$H$203,$AF197)="","",INDEX(파견수련계획!$H$4:$H$203,$AF197)))</f>
        <v/>
      </c>
      <c r="T197" s="11">
        <f>IF($AF197="","",IF(INDEX(파견수련계획!$I$4:$I$203,$AF197)="","",INDEX(파견수련계획!$I$4:$I$203,$AF197)))</f>
        <v/>
      </c>
      <c r="U197" s="10">
        <f>IF($AF197="","",INDEX(파견수련계획!$X$4:$X$203,$AF197))</f>
        <v/>
      </c>
      <c r="V197" s="17">
        <f>IF($AF197="","",INDEX(파견수련계획!$V$4:$V$203,$AF197))</f>
        <v/>
      </c>
      <c r="W197" s="17">
        <f>IF(AND($U197="파견중",$T197&lt;&gt;""),$T197-TODAY(),"")</f>
        <v/>
      </c>
      <c r="X197" s="17">
        <f>IF(OR($B197="",TRIM($J197&amp;"")=""),"",SUMPRODUCT((파견수련계획!$Q$4:$Q$203=TRIM($J197&amp;""))*파견수련계획!$W$4:$W$203))</f>
        <v/>
      </c>
      <c r="Y197" s="10">
        <f>IF($B197="","",IF($AG197="","",IF(IF(TRIM($J197&amp;"")="",0,SUMPRODUCT((파견수련계획!$Q$4:$Q$203=TRIM($J197&amp;""))*파견수련계획!$AD$4:$AD$203))&gt;0,$AE197,IF(N($X197)&lt;=0,$AG197,IF($AH197+$AI197=DAY(EOMONTH(요약!$B$3,0)),IF(AND($AH197&gt;=요약!$E$3,$AI197&lt;요약!$E$3),"서울병원",IF(AND($AI197&gt;=요약!$E$3,$AH197&lt;요약!$E$3),"구리병원","⚠15일 판정불가(서울 "&amp;$AH197&amp;"일/구리 "&amp;$AI197&amp;"일)")),IF($AJ197="",$AE197,IF(INDEX(파견수련계획!$T$4:$T$203,$AJ197)="통합수련",INDEX(파견수련계획!$S$4:$S$203,$AJ197),$AE197)))))))</f>
        <v/>
      </c>
      <c r="Z197" s="19">
        <f>IF($B197="","",IF($AB197="","기본자료에 없는 사번",IF(COUNTIF($B$2:$B$201,$B197)&gt;1,"중복 사번",IF($AE197="","소속(입사장소) 입력",IF(IF(TRIM($J197&amp;"")="",0,SUMPRODUCT((파견수련계획!$Q$4:$Q$203=TRIM($J197&amp;""))*(파견수련계획!$AA$4:$AA$203&lt;&gt;"")))&gt;0,"파견수련계획 입력오류 확인",IF(LEFT($Y197,1)="⚠","서울·구리 15일 판정 불가(양쪽 모두 이상/미만)",IF(IF($AC197="",0,N(INDEX(인턴근무계획!$T$3:$T$202,$AC197)))&gt;0,"인턴계획 입력오류 확인",IF(AND($AC197&lt;&gt;"",$U197&lt;&gt;"파견중",$N197&lt;&gt;$AE197),"인턴 타지역 근무: 파견 여부 확인","정상"))))))))</f>
        <v/>
      </c>
      <c r="AA197" s="5" t="n"/>
      <c r="AB197" s="10">
        <f>IF($B197="","",IFERROR(MATCH($B197,기본자료!$B$2:$B$501,0),IFERROR(MATCH($B197&amp;"",기본자료!$B$2:$B$501,0),IFERROR(MATCH(VALUE($B197),기본자료!$B$2:$B$501,0),""))))</f>
        <v/>
      </c>
      <c r="AC197" s="10">
        <f>IF($B197="","",IFERROR(MATCH($B197,인턴근무계획!$D$3:$D$202,0),IFERROR(MATCH($B197&amp;"",인턴근무계획!$D$3:$D$202,0),IFERROR(MATCH(VALUE($B197),인턴근무계획!$D$3:$D$202,0),""))))</f>
        <v/>
      </c>
      <c r="AD197" s="10">
        <f>IF(OR($AC197="",인턴현황!$G$3=""),"",INDEX(인턴근무계획!$M$3:$R$202,$AC197,인턴현황!$G$3)&amp;"")</f>
        <v/>
      </c>
      <c r="AE197" s="10">
        <f>IF($B197="","",IF($M197&lt;&gt;"",$M197,IF($AF197&lt;&gt;"",IF(LEFT(INDEX(파견수련계획!$R$4:$R$203,$AF197),1)&lt;&gt;"⚠",INDEX(파견수련계획!$R$4:$R$203,$AF197),IF($H197="","",IF(RIGHT($H197,2)="병원",$H197,$H197&amp;"병원"))),IF($H197="","",IF(RIGHT($H197,2)="병원",$H197,$H197&amp;"병원")))))</f>
        <v/>
      </c>
      <c r="AF197" s="10">
        <f>IF(OR($B197="",TRIM($J197&amp;"")=""),"",IFERROR(MATCH(TRIM($J197&amp;"")&amp;"|파견중",파견수련계획!$Y$4:$Y$203,0),IFERROR(MATCH(TRIM($J197&amp;"")&amp;"|파견예정",파견수련계획!$Y$4:$Y$203,0),IFERROR(MATCH(TRIM($J197&amp;"")&amp;"|파견종료",파견수련계획!$Y$4:$Y$203,0),""))))</f>
        <v/>
      </c>
      <c r="AG197" s="10">
        <f>IF($B197="","",IF(AND(IF(OR($AC197="",인턴현황!$K$2=""),"",INDEX(인턴근무계획!$M$3:$R$202,$AC197,인턴현황!$K$2)&amp;"")&lt;&gt;"",LEFT(IF(OR($AC197="",인턴현황!$K$2=""),"",INDEX(인턴근무계획!$M$3:$R$202,$AC197,인턴현황!$K$2)&amp;""),1)&lt;&gt;"⚠"),LEFT(IF(OR($AC197="",인턴현황!$K$2=""),"",INDEX(인턴근무계획!$M$3:$R$202,$AC197,인턴현황!$K$2)&amp;""),FIND(" ",IF(OR($AC197="",인턴현황!$K$2=""),"",INDEX(인턴근무계획!$M$3:$R$202,$AC197,인턴현황!$K$2)&amp;""))-1),$AE197))</f>
        <v/>
      </c>
      <c r="AH197" s="17">
        <f>IF($B197="","",IF(TRIM($J197&amp;"")="",0,SUMPRODUCT((파견수련계획!$Q$4:$Q$203=TRIM($J197&amp;""))*(파견수련계획!$S$4:$S$203="서울병원")*파견수련계획!$W$4:$W$203))+IF($AG197="서울병원",MAX(0,DAY(EOMONTH(요약!$B$3,0))-N($X197)),0))</f>
        <v/>
      </c>
      <c r="AI197" s="17">
        <f>IF($B197="","",IF(TRIM($J197&amp;"")="",0,SUMPRODUCT((파견수련계획!$Q$4:$Q$203=TRIM($J197&amp;""))*(파견수련계획!$S$4:$S$203="구리병원")*파견수련계획!$W$4:$W$203))+IF($AG197="구리병원",MAX(0,DAY(EOMONTH(요약!$B$3,0))-N($X197)),0))</f>
        <v/>
      </c>
      <c r="AJ197" s="10">
        <f>IF(OR($B197="",TRIM($J197&amp;"")=""),"",IFERROR(MATCH(TRIM($J197&amp;"")&amp;"|월",파견수련계획!$Z$4:$Z$203,0),""))</f>
        <v/>
      </c>
      <c r="AK197" s="10">
        <f>IF(OR($B197="",TRIM($J197&amp;"")=""),"",IFERROR(MATCH(TRIM($J197&amp;"")&amp;"|다기관",파견수련계획!$AE$4:$AE$203,0),""))</f>
        <v/>
      </c>
      <c r="AL197" s="10">
        <f>IF($AK197="","","다기관 "&amp;TEXT(INDEX(파견수련계획!$AB$4:$AB$203,$AK197),"yyyy-mm-dd")&amp;"~"&amp;IF(ISNUMBER(INDEX(파견수련계획!$AC$4:$AC$203,$AK197)),TEXT(INDEX(파견수련계획!$AC$4:$AC$203,$AK197),"yyyy-mm-dd"),""))</f>
        <v/>
      </c>
    </row>
    <row r="198">
      <c r="A198" s="10">
        <f>IF(B198="","",ROW()-1)</f>
        <v/>
      </c>
      <c r="B198" s="18" t="n"/>
      <c r="C198" s="10">
        <f>IF($AB198="","",IF(INDEX(기본자료!$C$2:$C$501,$AB198)="","",INDEX(기본자료!$C$2:$C$501,$AB198)))</f>
        <v/>
      </c>
      <c r="D198" s="10">
        <f>IF($AB198="","",IF(INDEX(기본자료!$J$2:$J$501,$AB198)="","",INDEX(기본자료!$J$2:$J$501,$AB198)))</f>
        <v/>
      </c>
      <c r="E198" s="11">
        <f>IF($AB198="","",IF(INDEX(기본자료!$K$2:$K$501,$AB198)="","",IF(NOT(ISNUMBER(INDEX(기본자료!$K$2:$K$501,$AB198))),INDEX(기본자료!$K$2:$K$501,$AB198),IF(INDEX(기본자료!$K$2:$K$501,$AB198)&lt;1000000,INDEX(기본자료!$K$2:$K$501,$AB198),IF(AND(INDEX(기본자료!$K$2:$K$501,$AB198)&gt;=10000101,INT(MOD(INDEX(기본자료!$K$2:$K$501,$AB198),10000)/100)&gt;=1,INT(MOD(INDEX(기본자료!$K$2:$K$501,$AB198),10000)/100)&lt;=12,MOD(INDEX(기본자료!$K$2:$K$501,$AB198),100)&gt;=1,MOD(INDEX(기본자료!$K$2:$K$501,$AB198),100)&lt;=31),DATE(INT(INDEX(기본자료!$K$2:$K$501,$AB198)/10000),INT(MOD(INDEX(기본자료!$K$2:$K$501,$AB198),10000)/100),MOD(INDEX(기본자료!$K$2:$K$501,$AB198),100)),INDEX(기본자료!$K$2:$K$501,$AB198)&amp;"")))))</f>
        <v/>
      </c>
      <c r="F198" s="10">
        <f>IF($AB198="","",IF(INDEX(기본자료!$D$2:$D$501,$AB198)="","",INDEX(기본자료!$D$2:$D$501,$AB198)))</f>
        <v/>
      </c>
      <c r="G198" s="10">
        <f>IF($AB198="","",IF(INDEX(기본자료!$E$2:$E$501,$AB198)="","",INDEX(기본자료!$E$2:$E$501,$AB198)))</f>
        <v/>
      </c>
      <c r="H198" s="10">
        <f>IF($AB198="","",IF(INDEX(기본자료!$F$2:$F$501,$AB198)="","",INDEX(기본자료!$F$2:$F$501,$AB198)))</f>
        <v/>
      </c>
      <c r="I198" s="11">
        <f>IF($AB198="","",IF(INDEX(기본자료!$G$2:$G$501,$AB198)="","",IF(NOT(ISNUMBER(INDEX(기본자료!$G$2:$G$501,$AB198))),INDEX(기본자료!$G$2:$G$501,$AB198),IF(INDEX(기본자료!$G$2:$G$501,$AB198)&lt;1000000,INDEX(기본자료!$G$2:$G$501,$AB198),IF(AND(INDEX(기본자료!$G$2:$G$501,$AB198)&gt;=10000101,INT(MOD(INDEX(기본자료!$G$2:$G$501,$AB198),10000)/100)&gt;=1,INT(MOD(INDEX(기본자료!$G$2:$G$501,$AB198),10000)/100)&lt;=12,MOD(INDEX(기본자료!$G$2:$G$501,$AB198),100)&gt;=1,MOD(INDEX(기본자료!$G$2:$G$501,$AB198),100)&lt;=31),DATE(INT(INDEX(기본자료!$G$2:$G$501,$AB198)/10000),INT(MOD(INDEX(기본자료!$G$2:$G$501,$AB198),10000)/100),MOD(INDEX(기본자료!$G$2:$G$501,$AB198),100)),INDEX(기본자료!$G$2:$G$501,$AB198)&amp;"")))))</f>
        <v/>
      </c>
      <c r="J198" s="10">
        <f>IF($AB198="","",IF(INDEX(기본자료!$H$2:$H$501,$AB198)="","",INDEX(기본자료!$H$2:$H$501,$AB198)))</f>
        <v/>
      </c>
      <c r="K198" s="10">
        <f>IF($AB198="","",IF(INDEX(기본자료!$I$2:$I$501,$AB198)="","",INDEX(기본자료!$I$2:$I$501,$AB198)))</f>
        <v/>
      </c>
      <c r="L198" s="10">
        <f>IF($AB198="","",IF(INDEX(기본자료!$A$2:$A$501,$AB198)="","",INDEX(기본자료!$A$2:$A$501,$AB198)))</f>
        <v/>
      </c>
      <c r="M198" s="15" t="n"/>
      <c r="N198" s="10">
        <f>IF($B198="","",IF(AND($U198="파견중",$Q198&lt;&gt;""),$Q198,IF(AND($AD198&lt;&gt;"",LEFT($AD198,1)&lt;&gt;"⚠"),LEFT($AD198,FIND(" ",$AD198)-1),IF($H198="","",IF(RIGHT($H198,2)="병원",$H198,$H198&amp;"병원")))))</f>
        <v/>
      </c>
      <c r="O198" s="10">
        <f>IF($B198="","",IF(AND($U198="파견중",$Q198&lt;&gt;""),IF($R198&lt;&gt;"",$R198,"파견과 미입력"),IF(AND($AD198&lt;&gt;"",LEFT($AD198,1)&lt;&gt;"⚠"),MID($AD198,FIND(" ",$AD198)+1,60),IF($F198="","",IF($F198="인턴","수련교육부(인턴)",$F198)))))</f>
        <v/>
      </c>
      <c r="P198" s="10">
        <f>IF($B198="","",IF($AK198&lt;&gt;"",IF(AND(TODAY()&gt;=INDEX(파견수련계획!$AB$4:$AB$203,$AK198),OR(NOT(ISNUMBER(INDEX(파견수련계획!$AC$4:$AC$203,$AK198))),TODAY()&lt;=INDEX(파견수련계획!$AC$4:$AC$203,$AK198))),"다기관",IF($AF198="","",INDEX(파견수련계획!$T$4:$T$203,$AF198))),IF($AF198="","",INDEX(파견수련계획!$T$4:$T$203,$AF198))))</f>
        <v/>
      </c>
      <c r="Q198" s="10">
        <f>IF($AF198="","",INDEX(파견수련계획!$S$4:$S$203,$AF198))</f>
        <v/>
      </c>
      <c r="R198" s="10">
        <f>IF($AF198="","",INDEX(파견수련계획!$U$4:$U$203,$AF198))</f>
        <v/>
      </c>
      <c r="S198" s="11">
        <f>IF($AF198="","",IF(INDEX(파견수련계획!$H$4:$H$203,$AF198)="","",INDEX(파견수련계획!$H$4:$H$203,$AF198)))</f>
        <v/>
      </c>
      <c r="T198" s="11">
        <f>IF($AF198="","",IF(INDEX(파견수련계획!$I$4:$I$203,$AF198)="","",INDEX(파견수련계획!$I$4:$I$203,$AF198)))</f>
        <v/>
      </c>
      <c r="U198" s="10">
        <f>IF($AF198="","",INDEX(파견수련계획!$X$4:$X$203,$AF198))</f>
        <v/>
      </c>
      <c r="V198" s="17">
        <f>IF($AF198="","",INDEX(파견수련계획!$V$4:$V$203,$AF198))</f>
        <v/>
      </c>
      <c r="W198" s="17">
        <f>IF(AND($U198="파견중",$T198&lt;&gt;""),$T198-TODAY(),"")</f>
        <v/>
      </c>
      <c r="X198" s="17">
        <f>IF(OR($B198="",TRIM($J198&amp;"")=""),"",SUMPRODUCT((파견수련계획!$Q$4:$Q$203=TRIM($J198&amp;""))*파견수련계획!$W$4:$W$203))</f>
        <v/>
      </c>
      <c r="Y198" s="10">
        <f>IF($B198="","",IF($AG198="","",IF(IF(TRIM($J198&amp;"")="",0,SUMPRODUCT((파견수련계획!$Q$4:$Q$203=TRIM($J198&amp;""))*파견수련계획!$AD$4:$AD$203))&gt;0,$AE198,IF(N($X198)&lt;=0,$AG198,IF($AH198+$AI198=DAY(EOMONTH(요약!$B$3,0)),IF(AND($AH198&gt;=요약!$E$3,$AI198&lt;요약!$E$3),"서울병원",IF(AND($AI198&gt;=요약!$E$3,$AH198&lt;요약!$E$3),"구리병원","⚠15일 판정불가(서울 "&amp;$AH198&amp;"일/구리 "&amp;$AI198&amp;"일)")),IF($AJ198="",$AE198,IF(INDEX(파견수련계획!$T$4:$T$203,$AJ198)="통합수련",INDEX(파견수련계획!$S$4:$S$203,$AJ198),$AE198)))))))</f>
        <v/>
      </c>
      <c r="Z198" s="19">
        <f>IF($B198="","",IF($AB198="","기본자료에 없는 사번",IF(COUNTIF($B$2:$B$201,$B198)&gt;1,"중복 사번",IF($AE198="","소속(입사장소) 입력",IF(IF(TRIM($J198&amp;"")="",0,SUMPRODUCT((파견수련계획!$Q$4:$Q$203=TRIM($J198&amp;""))*(파견수련계획!$AA$4:$AA$203&lt;&gt;"")))&gt;0,"파견수련계획 입력오류 확인",IF(LEFT($Y198,1)="⚠","서울·구리 15일 판정 불가(양쪽 모두 이상/미만)",IF(IF($AC198="",0,N(INDEX(인턴근무계획!$T$3:$T$202,$AC198)))&gt;0,"인턴계획 입력오류 확인",IF(AND($AC198&lt;&gt;"",$U198&lt;&gt;"파견중",$N198&lt;&gt;$AE198),"인턴 타지역 근무: 파견 여부 확인","정상"))))))))</f>
        <v/>
      </c>
      <c r="AA198" s="5" t="n"/>
      <c r="AB198" s="10">
        <f>IF($B198="","",IFERROR(MATCH($B198,기본자료!$B$2:$B$501,0),IFERROR(MATCH($B198&amp;"",기본자료!$B$2:$B$501,0),IFERROR(MATCH(VALUE($B198),기본자료!$B$2:$B$501,0),""))))</f>
        <v/>
      </c>
      <c r="AC198" s="10">
        <f>IF($B198="","",IFERROR(MATCH($B198,인턴근무계획!$D$3:$D$202,0),IFERROR(MATCH($B198&amp;"",인턴근무계획!$D$3:$D$202,0),IFERROR(MATCH(VALUE($B198),인턴근무계획!$D$3:$D$202,0),""))))</f>
        <v/>
      </c>
      <c r="AD198" s="10">
        <f>IF(OR($AC198="",인턴현황!$G$3=""),"",INDEX(인턴근무계획!$M$3:$R$202,$AC198,인턴현황!$G$3)&amp;"")</f>
        <v/>
      </c>
      <c r="AE198" s="10">
        <f>IF($B198="","",IF($M198&lt;&gt;"",$M198,IF($AF198&lt;&gt;"",IF(LEFT(INDEX(파견수련계획!$R$4:$R$203,$AF198),1)&lt;&gt;"⚠",INDEX(파견수련계획!$R$4:$R$203,$AF198),IF($H198="","",IF(RIGHT($H198,2)="병원",$H198,$H198&amp;"병원"))),IF($H198="","",IF(RIGHT($H198,2)="병원",$H198,$H198&amp;"병원")))))</f>
        <v/>
      </c>
      <c r="AF198" s="10">
        <f>IF(OR($B198="",TRIM($J198&amp;"")=""),"",IFERROR(MATCH(TRIM($J198&amp;"")&amp;"|파견중",파견수련계획!$Y$4:$Y$203,0),IFERROR(MATCH(TRIM($J198&amp;"")&amp;"|파견예정",파견수련계획!$Y$4:$Y$203,0),IFERROR(MATCH(TRIM($J198&amp;"")&amp;"|파견종료",파견수련계획!$Y$4:$Y$203,0),""))))</f>
        <v/>
      </c>
      <c r="AG198" s="10">
        <f>IF($B198="","",IF(AND(IF(OR($AC198="",인턴현황!$K$2=""),"",INDEX(인턴근무계획!$M$3:$R$202,$AC198,인턴현황!$K$2)&amp;"")&lt;&gt;"",LEFT(IF(OR($AC198="",인턴현황!$K$2=""),"",INDEX(인턴근무계획!$M$3:$R$202,$AC198,인턴현황!$K$2)&amp;""),1)&lt;&gt;"⚠"),LEFT(IF(OR($AC198="",인턴현황!$K$2=""),"",INDEX(인턴근무계획!$M$3:$R$202,$AC198,인턴현황!$K$2)&amp;""),FIND(" ",IF(OR($AC198="",인턴현황!$K$2=""),"",INDEX(인턴근무계획!$M$3:$R$202,$AC198,인턴현황!$K$2)&amp;""))-1),$AE198))</f>
        <v/>
      </c>
      <c r="AH198" s="17">
        <f>IF($B198="","",IF(TRIM($J198&amp;"")="",0,SUMPRODUCT((파견수련계획!$Q$4:$Q$203=TRIM($J198&amp;""))*(파견수련계획!$S$4:$S$203="서울병원")*파견수련계획!$W$4:$W$203))+IF($AG198="서울병원",MAX(0,DAY(EOMONTH(요약!$B$3,0))-N($X198)),0))</f>
        <v/>
      </c>
      <c r="AI198" s="17">
        <f>IF($B198="","",IF(TRIM($J198&amp;"")="",0,SUMPRODUCT((파견수련계획!$Q$4:$Q$203=TRIM($J198&amp;""))*(파견수련계획!$S$4:$S$203="구리병원")*파견수련계획!$W$4:$W$203))+IF($AG198="구리병원",MAX(0,DAY(EOMONTH(요약!$B$3,0))-N($X198)),0))</f>
        <v/>
      </c>
      <c r="AJ198" s="10">
        <f>IF(OR($B198="",TRIM($J198&amp;"")=""),"",IFERROR(MATCH(TRIM($J198&amp;"")&amp;"|월",파견수련계획!$Z$4:$Z$203,0),""))</f>
        <v/>
      </c>
      <c r="AK198" s="10">
        <f>IF(OR($B198="",TRIM($J198&amp;"")=""),"",IFERROR(MATCH(TRIM($J198&amp;"")&amp;"|다기관",파견수련계획!$AE$4:$AE$203,0),""))</f>
        <v/>
      </c>
      <c r="AL198" s="10">
        <f>IF($AK198="","","다기관 "&amp;TEXT(INDEX(파견수련계획!$AB$4:$AB$203,$AK198),"yyyy-mm-dd")&amp;"~"&amp;IF(ISNUMBER(INDEX(파견수련계획!$AC$4:$AC$203,$AK198)),TEXT(INDEX(파견수련계획!$AC$4:$AC$203,$AK198),"yyyy-mm-dd"),""))</f>
        <v/>
      </c>
    </row>
    <row r="199">
      <c r="A199" s="10">
        <f>IF(B199="","",ROW()-1)</f>
        <v/>
      </c>
      <c r="B199" s="18" t="n"/>
      <c r="C199" s="10">
        <f>IF($AB199="","",IF(INDEX(기본자료!$C$2:$C$501,$AB199)="","",INDEX(기본자료!$C$2:$C$501,$AB199)))</f>
        <v/>
      </c>
      <c r="D199" s="10">
        <f>IF($AB199="","",IF(INDEX(기본자료!$J$2:$J$501,$AB199)="","",INDEX(기본자료!$J$2:$J$501,$AB199)))</f>
        <v/>
      </c>
      <c r="E199" s="11">
        <f>IF($AB199="","",IF(INDEX(기본자료!$K$2:$K$501,$AB199)="","",IF(NOT(ISNUMBER(INDEX(기본자료!$K$2:$K$501,$AB199))),INDEX(기본자료!$K$2:$K$501,$AB199),IF(INDEX(기본자료!$K$2:$K$501,$AB199)&lt;1000000,INDEX(기본자료!$K$2:$K$501,$AB199),IF(AND(INDEX(기본자료!$K$2:$K$501,$AB199)&gt;=10000101,INT(MOD(INDEX(기본자료!$K$2:$K$501,$AB199),10000)/100)&gt;=1,INT(MOD(INDEX(기본자료!$K$2:$K$501,$AB199),10000)/100)&lt;=12,MOD(INDEX(기본자료!$K$2:$K$501,$AB199),100)&gt;=1,MOD(INDEX(기본자료!$K$2:$K$501,$AB199),100)&lt;=31),DATE(INT(INDEX(기본자료!$K$2:$K$501,$AB199)/10000),INT(MOD(INDEX(기본자료!$K$2:$K$501,$AB199),10000)/100),MOD(INDEX(기본자료!$K$2:$K$501,$AB199),100)),INDEX(기본자료!$K$2:$K$501,$AB199)&amp;"")))))</f>
        <v/>
      </c>
      <c r="F199" s="10">
        <f>IF($AB199="","",IF(INDEX(기본자료!$D$2:$D$501,$AB199)="","",INDEX(기본자료!$D$2:$D$501,$AB199)))</f>
        <v/>
      </c>
      <c r="G199" s="10">
        <f>IF($AB199="","",IF(INDEX(기본자료!$E$2:$E$501,$AB199)="","",INDEX(기본자료!$E$2:$E$501,$AB199)))</f>
        <v/>
      </c>
      <c r="H199" s="10">
        <f>IF($AB199="","",IF(INDEX(기본자료!$F$2:$F$501,$AB199)="","",INDEX(기본자료!$F$2:$F$501,$AB199)))</f>
        <v/>
      </c>
      <c r="I199" s="11">
        <f>IF($AB199="","",IF(INDEX(기본자료!$G$2:$G$501,$AB199)="","",IF(NOT(ISNUMBER(INDEX(기본자료!$G$2:$G$501,$AB199))),INDEX(기본자료!$G$2:$G$501,$AB199),IF(INDEX(기본자료!$G$2:$G$501,$AB199)&lt;1000000,INDEX(기본자료!$G$2:$G$501,$AB199),IF(AND(INDEX(기본자료!$G$2:$G$501,$AB199)&gt;=10000101,INT(MOD(INDEX(기본자료!$G$2:$G$501,$AB199),10000)/100)&gt;=1,INT(MOD(INDEX(기본자료!$G$2:$G$501,$AB199),10000)/100)&lt;=12,MOD(INDEX(기본자료!$G$2:$G$501,$AB199),100)&gt;=1,MOD(INDEX(기본자료!$G$2:$G$501,$AB199),100)&lt;=31),DATE(INT(INDEX(기본자료!$G$2:$G$501,$AB199)/10000),INT(MOD(INDEX(기본자료!$G$2:$G$501,$AB199),10000)/100),MOD(INDEX(기본자료!$G$2:$G$501,$AB199),100)),INDEX(기본자료!$G$2:$G$501,$AB199)&amp;"")))))</f>
        <v/>
      </c>
      <c r="J199" s="10">
        <f>IF($AB199="","",IF(INDEX(기본자료!$H$2:$H$501,$AB199)="","",INDEX(기본자료!$H$2:$H$501,$AB199)))</f>
        <v/>
      </c>
      <c r="K199" s="10">
        <f>IF($AB199="","",IF(INDEX(기본자료!$I$2:$I$501,$AB199)="","",INDEX(기본자료!$I$2:$I$501,$AB199)))</f>
        <v/>
      </c>
      <c r="L199" s="10">
        <f>IF($AB199="","",IF(INDEX(기본자료!$A$2:$A$501,$AB199)="","",INDEX(기본자료!$A$2:$A$501,$AB199)))</f>
        <v/>
      </c>
      <c r="M199" s="15" t="n"/>
      <c r="N199" s="10">
        <f>IF($B199="","",IF(AND($U199="파견중",$Q199&lt;&gt;""),$Q199,IF(AND($AD199&lt;&gt;"",LEFT($AD199,1)&lt;&gt;"⚠"),LEFT($AD199,FIND(" ",$AD199)-1),IF($H199="","",IF(RIGHT($H199,2)="병원",$H199,$H199&amp;"병원")))))</f>
        <v/>
      </c>
      <c r="O199" s="10">
        <f>IF($B199="","",IF(AND($U199="파견중",$Q199&lt;&gt;""),IF($R199&lt;&gt;"",$R199,"파견과 미입력"),IF(AND($AD199&lt;&gt;"",LEFT($AD199,1)&lt;&gt;"⚠"),MID($AD199,FIND(" ",$AD199)+1,60),IF($F199="","",IF($F199="인턴","수련교육부(인턴)",$F199)))))</f>
        <v/>
      </c>
      <c r="P199" s="10">
        <f>IF($B199="","",IF($AK199&lt;&gt;"",IF(AND(TODAY()&gt;=INDEX(파견수련계획!$AB$4:$AB$203,$AK199),OR(NOT(ISNUMBER(INDEX(파견수련계획!$AC$4:$AC$203,$AK199))),TODAY()&lt;=INDEX(파견수련계획!$AC$4:$AC$203,$AK199))),"다기관",IF($AF199="","",INDEX(파견수련계획!$T$4:$T$203,$AF199))),IF($AF199="","",INDEX(파견수련계획!$T$4:$T$203,$AF199))))</f>
        <v/>
      </c>
      <c r="Q199" s="10">
        <f>IF($AF199="","",INDEX(파견수련계획!$S$4:$S$203,$AF199))</f>
        <v/>
      </c>
      <c r="R199" s="10">
        <f>IF($AF199="","",INDEX(파견수련계획!$U$4:$U$203,$AF199))</f>
        <v/>
      </c>
      <c r="S199" s="11">
        <f>IF($AF199="","",IF(INDEX(파견수련계획!$H$4:$H$203,$AF199)="","",INDEX(파견수련계획!$H$4:$H$203,$AF199)))</f>
        <v/>
      </c>
      <c r="T199" s="11">
        <f>IF($AF199="","",IF(INDEX(파견수련계획!$I$4:$I$203,$AF199)="","",INDEX(파견수련계획!$I$4:$I$203,$AF199)))</f>
        <v/>
      </c>
      <c r="U199" s="10">
        <f>IF($AF199="","",INDEX(파견수련계획!$X$4:$X$203,$AF199))</f>
        <v/>
      </c>
      <c r="V199" s="17">
        <f>IF($AF199="","",INDEX(파견수련계획!$V$4:$V$203,$AF199))</f>
        <v/>
      </c>
      <c r="W199" s="17">
        <f>IF(AND($U199="파견중",$T199&lt;&gt;""),$T199-TODAY(),"")</f>
        <v/>
      </c>
      <c r="X199" s="17">
        <f>IF(OR($B199="",TRIM($J199&amp;"")=""),"",SUMPRODUCT((파견수련계획!$Q$4:$Q$203=TRIM($J199&amp;""))*파견수련계획!$W$4:$W$203))</f>
        <v/>
      </c>
      <c r="Y199" s="10">
        <f>IF($B199="","",IF($AG199="","",IF(IF(TRIM($J199&amp;"")="",0,SUMPRODUCT((파견수련계획!$Q$4:$Q$203=TRIM($J199&amp;""))*파견수련계획!$AD$4:$AD$203))&gt;0,$AE199,IF(N($X199)&lt;=0,$AG199,IF($AH199+$AI199=DAY(EOMONTH(요약!$B$3,0)),IF(AND($AH199&gt;=요약!$E$3,$AI199&lt;요약!$E$3),"서울병원",IF(AND($AI199&gt;=요약!$E$3,$AH199&lt;요약!$E$3),"구리병원","⚠15일 판정불가(서울 "&amp;$AH199&amp;"일/구리 "&amp;$AI199&amp;"일)")),IF($AJ199="",$AE199,IF(INDEX(파견수련계획!$T$4:$T$203,$AJ199)="통합수련",INDEX(파견수련계획!$S$4:$S$203,$AJ199),$AE199)))))))</f>
        <v/>
      </c>
      <c r="Z199" s="19">
        <f>IF($B199="","",IF($AB199="","기본자료에 없는 사번",IF(COUNTIF($B$2:$B$201,$B199)&gt;1,"중복 사번",IF($AE199="","소속(입사장소) 입력",IF(IF(TRIM($J199&amp;"")="",0,SUMPRODUCT((파견수련계획!$Q$4:$Q$203=TRIM($J199&amp;""))*(파견수련계획!$AA$4:$AA$203&lt;&gt;"")))&gt;0,"파견수련계획 입력오류 확인",IF(LEFT($Y199,1)="⚠","서울·구리 15일 판정 불가(양쪽 모두 이상/미만)",IF(IF($AC199="",0,N(INDEX(인턴근무계획!$T$3:$T$202,$AC199)))&gt;0,"인턴계획 입력오류 확인",IF(AND($AC199&lt;&gt;"",$U199&lt;&gt;"파견중",$N199&lt;&gt;$AE199),"인턴 타지역 근무: 파견 여부 확인","정상"))))))))</f>
        <v/>
      </c>
      <c r="AA199" s="5" t="n"/>
      <c r="AB199" s="10">
        <f>IF($B199="","",IFERROR(MATCH($B199,기본자료!$B$2:$B$501,0),IFERROR(MATCH($B199&amp;"",기본자료!$B$2:$B$501,0),IFERROR(MATCH(VALUE($B199),기본자료!$B$2:$B$501,0),""))))</f>
        <v/>
      </c>
      <c r="AC199" s="10">
        <f>IF($B199="","",IFERROR(MATCH($B199,인턴근무계획!$D$3:$D$202,0),IFERROR(MATCH($B199&amp;"",인턴근무계획!$D$3:$D$202,0),IFERROR(MATCH(VALUE($B199),인턴근무계획!$D$3:$D$202,0),""))))</f>
        <v/>
      </c>
      <c r="AD199" s="10">
        <f>IF(OR($AC199="",인턴현황!$G$3=""),"",INDEX(인턴근무계획!$M$3:$R$202,$AC199,인턴현황!$G$3)&amp;"")</f>
        <v/>
      </c>
      <c r="AE199" s="10">
        <f>IF($B199="","",IF($M199&lt;&gt;"",$M199,IF($AF199&lt;&gt;"",IF(LEFT(INDEX(파견수련계획!$R$4:$R$203,$AF199),1)&lt;&gt;"⚠",INDEX(파견수련계획!$R$4:$R$203,$AF199),IF($H199="","",IF(RIGHT($H199,2)="병원",$H199,$H199&amp;"병원"))),IF($H199="","",IF(RIGHT($H199,2)="병원",$H199,$H199&amp;"병원")))))</f>
        <v/>
      </c>
      <c r="AF199" s="10">
        <f>IF(OR($B199="",TRIM($J199&amp;"")=""),"",IFERROR(MATCH(TRIM($J199&amp;"")&amp;"|파견중",파견수련계획!$Y$4:$Y$203,0),IFERROR(MATCH(TRIM($J199&amp;"")&amp;"|파견예정",파견수련계획!$Y$4:$Y$203,0),IFERROR(MATCH(TRIM($J199&amp;"")&amp;"|파견종료",파견수련계획!$Y$4:$Y$203,0),""))))</f>
        <v/>
      </c>
      <c r="AG199" s="10">
        <f>IF($B199="","",IF(AND(IF(OR($AC199="",인턴현황!$K$2=""),"",INDEX(인턴근무계획!$M$3:$R$202,$AC199,인턴현황!$K$2)&amp;"")&lt;&gt;"",LEFT(IF(OR($AC199="",인턴현황!$K$2=""),"",INDEX(인턴근무계획!$M$3:$R$202,$AC199,인턴현황!$K$2)&amp;""),1)&lt;&gt;"⚠"),LEFT(IF(OR($AC199="",인턴현황!$K$2=""),"",INDEX(인턴근무계획!$M$3:$R$202,$AC199,인턴현황!$K$2)&amp;""),FIND(" ",IF(OR($AC199="",인턴현황!$K$2=""),"",INDEX(인턴근무계획!$M$3:$R$202,$AC199,인턴현황!$K$2)&amp;""))-1),$AE199))</f>
        <v/>
      </c>
      <c r="AH199" s="17">
        <f>IF($B199="","",IF(TRIM($J199&amp;"")="",0,SUMPRODUCT((파견수련계획!$Q$4:$Q$203=TRIM($J199&amp;""))*(파견수련계획!$S$4:$S$203="서울병원")*파견수련계획!$W$4:$W$203))+IF($AG199="서울병원",MAX(0,DAY(EOMONTH(요약!$B$3,0))-N($X199)),0))</f>
        <v/>
      </c>
      <c r="AI199" s="17">
        <f>IF($B199="","",IF(TRIM($J199&amp;"")="",0,SUMPRODUCT((파견수련계획!$Q$4:$Q$203=TRIM($J199&amp;""))*(파견수련계획!$S$4:$S$203="구리병원")*파견수련계획!$W$4:$W$203))+IF($AG199="구리병원",MAX(0,DAY(EOMONTH(요약!$B$3,0))-N($X199)),0))</f>
        <v/>
      </c>
      <c r="AJ199" s="10">
        <f>IF(OR($B199="",TRIM($J199&amp;"")=""),"",IFERROR(MATCH(TRIM($J199&amp;"")&amp;"|월",파견수련계획!$Z$4:$Z$203,0),""))</f>
        <v/>
      </c>
      <c r="AK199" s="10">
        <f>IF(OR($B199="",TRIM($J199&amp;"")=""),"",IFERROR(MATCH(TRIM($J199&amp;"")&amp;"|다기관",파견수련계획!$AE$4:$AE$203,0),""))</f>
        <v/>
      </c>
      <c r="AL199" s="10">
        <f>IF($AK199="","","다기관 "&amp;TEXT(INDEX(파견수련계획!$AB$4:$AB$203,$AK199),"yyyy-mm-dd")&amp;"~"&amp;IF(ISNUMBER(INDEX(파견수련계획!$AC$4:$AC$203,$AK199)),TEXT(INDEX(파견수련계획!$AC$4:$AC$203,$AK199),"yyyy-mm-dd"),""))</f>
        <v/>
      </c>
    </row>
    <row r="200">
      <c r="A200" s="10">
        <f>IF(B200="","",ROW()-1)</f>
        <v/>
      </c>
      <c r="B200" s="18" t="n"/>
      <c r="C200" s="10">
        <f>IF($AB200="","",IF(INDEX(기본자료!$C$2:$C$501,$AB200)="","",INDEX(기본자료!$C$2:$C$501,$AB200)))</f>
        <v/>
      </c>
      <c r="D200" s="10">
        <f>IF($AB200="","",IF(INDEX(기본자료!$J$2:$J$501,$AB200)="","",INDEX(기본자료!$J$2:$J$501,$AB200)))</f>
        <v/>
      </c>
      <c r="E200" s="11">
        <f>IF($AB200="","",IF(INDEX(기본자료!$K$2:$K$501,$AB200)="","",IF(NOT(ISNUMBER(INDEX(기본자료!$K$2:$K$501,$AB200))),INDEX(기본자료!$K$2:$K$501,$AB200),IF(INDEX(기본자료!$K$2:$K$501,$AB200)&lt;1000000,INDEX(기본자료!$K$2:$K$501,$AB200),IF(AND(INDEX(기본자료!$K$2:$K$501,$AB200)&gt;=10000101,INT(MOD(INDEX(기본자료!$K$2:$K$501,$AB200),10000)/100)&gt;=1,INT(MOD(INDEX(기본자료!$K$2:$K$501,$AB200),10000)/100)&lt;=12,MOD(INDEX(기본자료!$K$2:$K$501,$AB200),100)&gt;=1,MOD(INDEX(기본자료!$K$2:$K$501,$AB200),100)&lt;=31),DATE(INT(INDEX(기본자료!$K$2:$K$501,$AB200)/10000),INT(MOD(INDEX(기본자료!$K$2:$K$501,$AB200),10000)/100),MOD(INDEX(기본자료!$K$2:$K$501,$AB200),100)),INDEX(기본자료!$K$2:$K$501,$AB200)&amp;"")))))</f>
        <v/>
      </c>
      <c r="F200" s="10">
        <f>IF($AB200="","",IF(INDEX(기본자료!$D$2:$D$501,$AB200)="","",INDEX(기본자료!$D$2:$D$501,$AB200)))</f>
        <v/>
      </c>
      <c r="G200" s="10">
        <f>IF($AB200="","",IF(INDEX(기본자료!$E$2:$E$501,$AB200)="","",INDEX(기본자료!$E$2:$E$501,$AB200)))</f>
        <v/>
      </c>
      <c r="H200" s="10">
        <f>IF($AB200="","",IF(INDEX(기본자료!$F$2:$F$501,$AB200)="","",INDEX(기본자료!$F$2:$F$501,$AB200)))</f>
        <v/>
      </c>
      <c r="I200" s="11">
        <f>IF($AB200="","",IF(INDEX(기본자료!$G$2:$G$501,$AB200)="","",IF(NOT(ISNUMBER(INDEX(기본자료!$G$2:$G$501,$AB200))),INDEX(기본자료!$G$2:$G$501,$AB200),IF(INDEX(기본자료!$G$2:$G$501,$AB200)&lt;1000000,INDEX(기본자료!$G$2:$G$501,$AB200),IF(AND(INDEX(기본자료!$G$2:$G$501,$AB200)&gt;=10000101,INT(MOD(INDEX(기본자료!$G$2:$G$501,$AB200),10000)/100)&gt;=1,INT(MOD(INDEX(기본자료!$G$2:$G$501,$AB200),10000)/100)&lt;=12,MOD(INDEX(기본자료!$G$2:$G$501,$AB200),100)&gt;=1,MOD(INDEX(기본자료!$G$2:$G$501,$AB200),100)&lt;=31),DATE(INT(INDEX(기본자료!$G$2:$G$501,$AB200)/10000),INT(MOD(INDEX(기본자료!$G$2:$G$501,$AB200),10000)/100),MOD(INDEX(기본자료!$G$2:$G$501,$AB200),100)),INDEX(기본자료!$G$2:$G$501,$AB200)&amp;"")))))</f>
        <v/>
      </c>
      <c r="J200" s="10">
        <f>IF($AB200="","",IF(INDEX(기본자료!$H$2:$H$501,$AB200)="","",INDEX(기본자료!$H$2:$H$501,$AB200)))</f>
        <v/>
      </c>
      <c r="K200" s="10">
        <f>IF($AB200="","",IF(INDEX(기본자료!$I$2:$I$501,$AB200)="","",INDEX(기본자료!$I$2:$I$501,$AB200)))</f>
        <v/>
      </c>
      <c r="L200" s="10">
        <f>IF($AB200="","",IF(INDEX(기본자료!$A$2:$A$501,$AB200)="","",INDEX(기본자료!$A$2:$A$501,$AB200)))</f>
        <v/>
      </c>
      <c r="M200" s="15" t="n"/>
      <c r="N200" s="10">
        <f>IF($B200="","",IF(AND($U200="파견중",$Q200&lt;&gt;""),$Q200,IF(AND($AD200&lt;&gt;"",LEFT($AD200,1)&lt;&gt;"⚠"),LEFT($AD200,FIND(" ",$AD200)-1),IF($H200="","",IF(RIGHT($H200,2)="병원",$H200,$H200&amp;"병원")))))</f>
        <v/>
      </c>
      <c r="O200" s="10">
        <f>IF($B200="","",IF(AND($U200="파견중",$Q200&lt;&gt;""),IF($R200&lt;&gt;"",$R200,"파견과 미입력"),IF(AND($AD200&lt;&gt;"",LEFT($AD200,1)&lt;&gt;"⚠"),MID($AD200,FIND(" ",$AD200)+1,60),IF($F200="","",IF($F200="인턴","수련교육부(인턴)",$F200)))))</f>
        <v/>
      </c>
      <c r="P200" s="10">
        <f>IF($B200="","",IF($AK200&lt;&gt;"",IF(AND(TODAY()&gt;=INDEX(파견수련계획!$AB$4:$AB$203,$AK200),OR(NOT(ISNUMBER(INDEX(파견수련계획!$AC$4:$AC$203,$AK200))),TODAY()&lt;=INDEX(파견수련계획!$AC$4:$AC$203,$AK200))),"다기관",IF($AF200="","",INDEX(파견수련계획!$T$4:$T$203,$AF200))),IF($AF200="","",INDEX(파견수련계획!$T$4:$T$203,$AF200))))</f>
        <v/>
      </c>
      <c r="Q200" s="10">
        <f>IF($AF200="","",INDEX(파견수련계획!$S$4:$S$203,$AF200))</f>
        <v/>
      </c>
      <c r="R200" s="10">
        <f>IF($AF200="","",INDEX(파견수련계획!$U$4:$U$203,$AF200))</f>
        <v/>
      </c>
      <c r="S200" s="11">
        <f>IF($AF200="","",IF(INDEX(파견수련계획!$H$4:$H$203,$AF200)="","",INDEX(파견수련계획!$H$4:$H$203,$AF200)))</f>
        <v/>
      </c>
      <c r="T200" s="11">
        <f>IF($AF200="","",IF(INDEX(파견수련계획!$I$4:$I$203,$AF200)="","",INDEX(파견수련계획!$I$4:$I$203,$AF200)))</f>
        <v/>
      </c>
      <c r="U200" s="10">
        <f>IF($AF200="","",INDEX(파견수련계획!$X$4:$X$203,$AF200))</f>
        <v/>
      </c>
      <c r="V200" s="17">
        <f>IF($AF200="","",INDEX(파견수련계획!$V$4:$V$203,$AF200))</f>
        <v/>
      </c>
      <c r="W200" s="17">
        <f>IF(AND($U200="파견중",$T200&lt;&gt;""),$T200-TODAY(),"")</f>
        <v/>
      </c>
      <c r="X200" s="17">
        <f>IF(OR($B200="",TRIM($J200&amp;"")=""),"",SUMPRODUCT((파견수련계획!$Q$4:$Q$203=TRIM($J200&amp;""))*파견수련계획!$W$4:$W$203))</f>
        <v/>
      </c>
      <c r="Y200" s="10">
        <f>IF($B200="","",IF($AG200="","",IF(IF(TRIM($J200&amp;"")="",0,SUMPRODUCT((파견수련계획!$Q$4:$Q$203=TRIM($J200&amp;""))*파견수련계획!$AD$4:$AD$203))&gt;0,$AE200,IF(N($X200)&lt;=0,$AG200,IF($AH200+$AI200=DAY(EOMONTH(요약!$B$3,0)),IF(AND($AH200&gt;=요약!$E$3,$AI200&lt;요약!$E$3),"서울병원",IF(AND($AI200&gt;=요약!$E$3,$AH200&lt;요약!$E$3),"구리병원","⚠15일 판정불가(서울 "&amp;$AH200&amp;"일/구리 "&amp;$AI200&amp;"일)")),IF($AJ200="",$AE200,IF(INDEX(파견수련계획!$T$4:$T$203,$AJ200)="통합수련",INDEX(파견수련계획!$S$4:$S$203,$AJ200),$AE200)))))))</f>
        <v/>
      </c>
      <c r="Z200" s="19">
        <f>IF($B200="","",IF($AB200="","기본자료에 없는 사번",IF(COUNTIF($B$2:$B$201,$B200)&gt;1,"중복 사번",IF($AE200="","소속(입사장소) 입력",IF(IF(TRIM($J200&amp;"")="",0,SUMPRODUCT((파견수련계획!$Q$4:$Q$203=TRIM($J200&amp;""))*(파견수련계획!$AA$4:$AA$203&lt;&gt;"")))&gt;0,"파견수련계획 입력오류 확인",IF(LEFT($Y200,1)="⚠","서울·구리 15일 판정 불가(양쪽 모두 이상/미만)",IF(IF($AC200="",0,N(INDEX(인턴근무계획!$T$3:$T$202,$AC200)))&gt;0,"인턴계획 입력오류 확인",IF(AND($AC200&lt;&gt;"",$U200&lt;&gt;"파견중",$N200&lt;&gt;$AE200),"인턴 타지역 근무: 파견 여부 확인","정상"))))))))</f>
        <v/>
      </c>
      <c r="AA200" s="5" t="n"/>
      <c r="AB200" s="10">
        <f>IF($B200="","",IFERROR(MATCH($B200,기본자료!$B$2:$B$501,0),IFERROR(MATCH($B200&amp;"",기본자료!$B$2:$B$501,0),IFERROR(MATCH(VALUE($B200),기본자료!$B$2:$B$501,0),""))))</f>
        <v/>
      </c>
      <c r="AC200" s="10">
        <f>IF($B200="","",IFERROR(MATCH($B200,인턴근무계획!$D$3:$D$202,0),IFERROR(MATCH($B200&amp;"",인턴근무계획!$D$3:$D$202,0),IFERROR(MATCH(VALUE($B200),인턴근무계획!$D$3:$D$202,0),""))))</f>
        <v/>
      </c>
      <c r="AD200" s="10">
        <f>IF(OR($AC200="",인턴현황!$G$3=""),"",INDEX(인턴근무계획!$M$3:$R$202,$AC200,인턴현황!$G$3)&amp;"")</f>
        <v/>
      </c>
      <c r="AE200" s="10">
        <f>IF($B200="","",IF($M200&lt;&gt;"",$M200,IF($AF200&lt;&gt;"",IF(LEFT(INDEX(파견수련계획!$R$4:$R$203,$AF200),1)&lt;&gt;"⚠",INDEX(파견수련계획!$R$4:$R$203,$AF200),IF($H200="","",IF(RIGHT($H200,2)="병원",$H200,$H200&amp;"병원"))),IF($H200="","",IF(RIGHT($H200,2)="병원",$H200,$H200&amp;"병원")))))</f>
        <v/>
      </c>
      <c r="AF200" s="10">
        <f>IF(OR($B200="",TRIM($J200&amp;"")=""),"",IFERROR(MATCH(TRIM($J200&amp;"")&amp;"|파견중",파견수련계획!$Y$4:$Y$203,0),IFERROR(MATCH(TRIM($J200&amp;"")&amp;"|파견예정",파견수련계획!$Y$4:$Y$203,0),IFERROR(MATCH(TRIM($J200&amp;"")&amp;"|파견종료",파견수련계획!$Y$4:$Y$203,0),""))))</f>
        <v/>
      </c>
      <c r="AG200" s="10">
        <f>IF($B200="","",IF(AND(IF(OR($AC200="",인턴현황!$K$2=""),"",INDEX(인턴근무계획!$M$3:$R$202,$AC200,인턴현황!$K$2)&amp;"")&lt;&gt;"",LEFT(IF(OR($AC200="",인턴현황!$K$2=""),"",INDEX(인턴근무계획!$M$3:$R$202,$AC200,인턴현황!$K$2)&amp;""),1)&lt;&gt;"⚠"),LEFT(IF(OR($AC200="",인턴현황!$K$2=""),"",INDEX(인턴근무계획!$M$3:$R$202,$AC200,인턴현황!$K$2)&amp;""),FIND(" ",IF(OR($AC200="",인턴현황!$K$2=""),"",INDEX(인턴근무계획!$M$3:$R$202,$AC200,인턴현황!$K$2)&amp;""))-1),$AE200))</f>
        <v/>
      </c>
      <c r="AH200" s="17">
        <f>IF($B200="","",IF(TRIM($J200&amp;"")="",0,SUMPRODUCT((파견수련계획!$Q$4:$Q$203=TRIM($J200&amp;""))*(파견수련계획!$S$4:$S$203="서울병원")*파견수련계획!$W$4:$W$203))+IF($AG200="서울병원",MAX(0,DAY(EOMONTH(요약!$B$3,0))-N($X200)),0))</f>
        <v/>
      </c>
      <c r="AI200" s="17">
        <f>IF($B200="","",IF(TRIM($J200&amp;"")="",0,SUMPRODUCT((파견수련계획!$Q$4:$Q$203=TRIM($J200&amp;""))*(파견수련계획!$S$4:$S$203="구리병원")*파견수련계획!$W$4:$W$203))+IF($AG200="구리병원",MAX(0,DAY(EOMONTH(요약!$B$3,0))-N($X200)),0))</f>
        <v/>
      </c>
      <c r="AJ200" s="10">
        <f>IF(OR($B200="",TRIM($J200&amp;"")=""),"",IFERROR(MATCH(TRIM($J200&amp;"")&amp;"|월",파견수련계획!$Z$4:$Z$203,0),""))</f>
        <v/>
      </c>
      <c r="AK200" s="10">
        <f>IF(OR($B200="",TRIM($J200&amp;"")=""),"",IFERROR(MATCH(TRIM($J200&amp;"")&amp;"|다기관",파견수련계획!$AE$4:$AE$203,0),""))</f>
        <v/>
      </c>
      <c r="AL200" s="10">
        <f>IF($AK200="","","다기관 "&amp;TEXT(INDEX(파견수련계획!$AB$4:$AB$203,$AK200),"yyyy-mm-dd")&amp;"~"&amp;IF(ISNUMBER(INDEX(파견수련계획!$AC$4:$AC$203,$AK200)),TEXT(INDEX(파견수련계획!$AC$4:$AC$203,$AK200),"yyyy-mm-dd"),""))</f>
        <v/>
      </c>
    </row>
    <row r="201">
      <c r="A201" s="10">
        <f>IF(B201="","",ROW()-1)</f>
        <v/>
      </c>
      <c r="B201" s="18" t="n"/>
      <c r="C201" s="10">
        <f>IF($AB201="","",IF(INDEX(기본자료!$C$2:$C$501,$AB201)="","",INDEX(기본자료!$C$2:$C$501,$AB201)))</f>
        <v/>
      </c>
      <c r="D201" s="10">
        <f>IF($AB201="","",IF(INDEX(기본자료!$J$2:$J$501,$AB201)="","",INDEX(기본자료!$J$2:$J$501,$AB201)))</f>
        <v/>
      </c>
      <c r="E201" s="11">
        <f>IF($AB201="","",IF(INDEX(기본자료!$K$2:$K$501,$AB201)="","",IF(NOT(ISNUMBER(INDEX(기본자료!$K$2:$K$501,$AB201))),INDEX(기본자료!$K$2:$K$501,$AB201),IF(INDEX(기본자료!$K$2:$K$501,$AB201)&lt;1000000,INDEX(기본자료!$K$2:$K$501,$AB201),IF(AND(INDEX(기본자료!$K$2:$K$501,$AB201)&gt;=10000101,INT(MOD(INDEX(기본자료!$K$2:$K$501,$AB201),10000)/100)&gt;=1,INT(MOD(INDEX(기본자료!$K$2:$K$501,$AB201),10000)/100)&lt;=12,MOD(INDEX(기본자료!$K$2:$K$501,$AB201),100)&gt;=1,MOD(INDEX(기본자료!$K$2:$K$501,$AB201),100)&lt;=31),DATE(INT(INDEX(기본자료!$K$2:$K$501,$AB201)/10000),INT(MOD(INDEX(기본자료!$K$2:$K$501,$AB201),10000)/100),MOD(INDEX(기본자료!$K$2:$K$501,$AB201),100)),INDEX(기본자료!$K$2:$K$501,$AB201)&amp;"")))))</f>
        <v/>
      </c>
      <c r="F201" s="10">
        <f>IF($AB201="","",IF(INDEX(기본자료!$D$2:$D$501,$AB201)="","",INDEX(기본자료!$D$2:$D$501,$AB201)))</f>
        <v/>
      </c>
      <c r="G201" s="10">
        <f>IF($AB201="","",IF(INDEX(기본자료!$E$2:$E$501,$AB201)="","",INDEX(기본자료!$E$2:$E$501,$AB201)))</f>
        <v/>
      </c>
      <c r="H201" s="10">
        <f>IF($AB201="","",IF(INDEX(기본자료!$F$2:$F$501,$AB201)="","",INDEX(기본자료!$F$2:$F$501,$AB201)))</f>
        <v/>
      </c>
      <c r="I201" s="11">
        <f>IF($AB201="","",IF(INDEX(기본자료!$G$2:$G$501,$AB201)="","",IF(NOT(ISNUMBER(INDEX(기본자료!$G$2:$G$501,$AB201))),INDEX(기본자료!$G$2:$G$501,$AB201),IF(INDEX(기본자료!$G$2:$G$501,$AB201)&lt;1000000,INDEX(기본자료!$G$2:$G$501,$AB201),IF(AND(INDEX(기본자료!$G$2:$G$501,$AB201)&gt;=10000101,INT(MOD(INDEX(기본자료!$G$2:$G$501,$AB201),10000)/100)&gt;=1,INT(MOD(INDEX(기본자료!$G$2:$G$501,$AB201),10000)/100)&lt;=12,MOD(INDEX(기본자료!$G$2:$G$501,$AB201),100)&gt;=1,MOD(INDEX(기본자료!$G$2:$G$501,$AB201),100)&lt;=31),DATE(INT(INDEX(기본자료!$G$2:$G$501,$AB201)/10000),INT(MOD(INDEX(기본자료!$G$2:$G$501,$AB201),10000)/100),MOD(INDEX(기본자료!$G$2:$G$501,$AB201),100)),INDEX(기본자료!$G$2:$G$501,$AB201)&amp;"")))))</f>
        <v/>
      </c>
      <c r="J201" s="10">
        <f>IF($AB201="","",IF(INDEX(기본자료!$H$2:$H$501,$AB201)="","",INDEX(기본자료!$H$2:$H$501,$AB201)))</f>
        <v/>
      </c>
      <c r="K201" s="10">
        <f>IF($AB201="","",IF(INDEX(기본자료!$I$2:$I$501,$AB201)="","",INDEX(기본자료!$I$2:$I$501,$AB201)))</f>
        <v/>
      </c>
      <c r="L201" s="10">
        <f>IF($AB201="","",IF(INDEX(기본자료!$A$2:$A$501,$AB201)="","",INDEX(기본자료!$A$2:$A$501,$AB201)))</f>
        <v/>
      </c>
      <c r="M201" s="15" t="n"/>
      <c r="N201" s="10">
        <f>IF($B201="","",IF(AND($U201="파견중",$Q201&lt;&gt;""),$Q201,IF(AND($AD201&lt;&gt;"",LEFT($AD201,1)&lt;&gt;"⚠"),LEFT($AD201,FIND(" ",$AD201)-1),IF($H201="","",IF(RIGHT($H201,2)="병원",$H201,$H201&amp;"병원")))))</f>
        <v/>
      </c>
      <c r="O201" s="10">
        <f>IF($B201="","",IF(AND($U201="파견중",$Q201&lt;&gt;""),IF($R201&lt;&gt;"",$R201,"파견과 미입력"),IF(AND($AD201&lt;&gt;"",LEFT($AD201,1)&lt;&gt;"⚠"),MID($AD201,FIND(" ",$AD201)+1,60),IF($F201="","",IF($F201="인턴","수련교육부(인턴)",$F201)))))</f>
        <v/>
      </c>
      <c r="P201" s="10">
        <f>IF($B201="","",IF($AK201&lt;&gt;"",IF(AND(TODAY()&gt;=INDEX(파견수련계획!$AB$4:$AB$203,$AK201),OR(NOT(ISNUMBER(INDEX(파견수련계획!$AC$4:$AC$203,$AK201))),TODAY()&lt;=INDEX(파견수련계획!$AC$4:$AC$203,$AK201))),"다기관",IF($AF201="","",INDEX(파견수련계획!$T$4:$T$203,$AF201))),IF($AF201="","",INDEX(파견수련계획!$T$4:$T$203,$AF201))))</f>
        <v/>
      </c>
      <c r="Q201" s="10">
        <f>IF($AF201="","",INDEX(파견수련계획!$S$4:$S$203,$AF201))</f>
        <v/>
      </c>
      <c r="R201" s="10">
        <f>IF($AF201="","",INDEX(파견수련계획!$U$4:$U$203,$AF201))</f>
        <v/>
      </c>
      <c r="S201" s="11">
        <f>IF($AF201="","",IF(INDEX(파견수련계획!$H$4:$H$203,$AF201)="","",INDEX(파견수련계획!$H$4:$H$203,$AF201)))</f>
        <v/>
      </c>
      <c r="T201" s="11">
        <f>IF($AF201="","",IF(INDEX(파견수련계획!$I$4:$I$203,$AF201)="","",INDEX(파견수련계획!$I$4:$I$203,$AF201)))</f>
        <v/>
      </c>
      <c r="U201" s="10">
        <f>IF($AF201="","",INDEX(파견수련계획!$X$4:$X$203,$AF201))</f>
        <v/>
      </c>
      <c r="V201" s="17">
        <f>IF($AF201="","",INDEX(파견수련계획!$V$4:$V$203,$AF201))</f>
        <v/>
      </c>
      <c r="W201" s="17">
        <f>IF(AND($U201="파견중",$T201&lt;&gt;""),$T201-TODAY(),"")</f>
        <v/>
      </c>
      <c r="X201" s="17">
        <f>IF(OR($B201="",TRIM($J201&amp;"")=""),"",SUMPRODUCT((파견수련계획!$Q$4:$Q$203=TRIM($J201&amp;""))*파견수련계획!$W$4:$W$203))</f>
        <v/>
      </c>
      <c r="Y201" s="10">
        <f>IF($B201="","",IF($AG201="","",IF(IF(TRIM($J201&amp;"")="",0,SUMPRODUCT((파견수련계획!$Q$4:$Q$203=TRIM($J201&amp;""))*파견수련계획!$AD$4:$AD$203))&gt;0,$AE201,IF(N($X201)&lt;=0,$AG201,IF($AH201+$AI201=DAY(EOMONTH(요약!$B$3,0)),IF(AND($AH201&gt;=요약!$E$3,$AI201&lt;요약!$E$3),"서울병원",IF(AND($AI201&gt;=요약!$E$3,$AH201&lt;요약!$E$3),"구리병원","⚠15일 판정불가(서울 "&amp;$AH201&amp;"일/구리 "&amp;$AI201&amp;"일)")),IF($AJ201="",$AE201,IF(INDEX(파견수련계획!$T$4:$T$203,$AJ201)="통합수련",INDEX(파견수련계획!$S$4:$S$203,$AJ201),$AE201)))))))</f>
        <v/>
      </c>
      <c r="Z201" s="19">
        <f>IF($B201="","",IF($AB201="","기본자료에 없는 사번",IF(COUNTIF($B$2:$B$201,$B201)&gt;1,"중복 사번",IF($AE201="","소속(입사장소) 입력",IF(IF(TRIM($J201&amp;"")="",0,SUMPRODUCT((파견수련계획!$Q$4:$Q$203=TRIM($J201&amp;""))*(파견수련계획!$AA$4:$AA$203&lt;&gt;"")))&gt;0,"파견수련계획 입력오류 확인",IF(LEFT($Y201,1)="⚠","서울·구리 15일 판정 불가(양쪽 모두 이상/미만)",IF(IF($AC201="",0,N(INDEX(인턴근무계획!$T$3:$T$202,$AC201)))&gt;0,"인턴계획 입력오류 확인",IF(AND($AC201&lt;&gt;"",$U201&lt;&gt;"파견중",$N201&lt;&gt;$AE201),"인턴 타지역 근무: 파견 여부 확인","정상"))))))))</f>
        <v/>
      </c>
      <c r="AA201" s="5" t="n"/>
      <c r="AB201" s="10">
        <f>IF($B201="","",IFERROR(MATCH($B201,기본자료!$B$2:$B$501,0),IFERROR(MATCH($B201&amp;"",기본자료!$B$2:$B$501,0),IFERROR(MATCH(VALUE($B201),기본자료!$B$2:$B$501,0),""))))</f>
        <v/>
      </c>
      <c r="AC201" s="10">
        <f>IF($B201="","",IFERROR(MATCH($B201,인턴근무계획!$D$3:$D$202,0),IFERROR(MATCH($B201&amp;"",인턴근무계획!$D$3:$D$202,0),IFERROR(MATCH(VALUE($B201),인턴근무계획!$D$3:$D$202,0),""))))</f>
        <v/>
      </c>
      <c r="AD201" s="10">
        <f>IF(OR($AC201="",인턴현황!$G$3=""),"",INDEX(인턴근무계획!$M$3:$R$202,$AC201,인턴현황!$G$3)&amp;"")</f>
        <v/>
      </c>
      <c r="AE201" s="10">
        <f>IF($B201="","",IF($M201&lt;&gt;"",$M201,IF($AF201&lt;&gt;"",IF(LEFT(INDEX(파견수련계획!$R$4:$R$203,$AF201),1)&lt;&gt;"⚠",INDEX(파견수련계획!$R$4:$R$203,$AF201),IF($H201="","",IF(RIGHT($H201,2)="병원",$H201,$H201&amp;"병원"))),IF($H201="","",IF(RIGHT($H201,2)="병원",$H201,$H201&amp;"병원")))))</f>
        <v/>
      </c>
      <c r="AF201" s="10">
        <f>IF(OR($B201="",TRIM($J201&amp;"")=""),"",IFERROR(MATCH(TRIM($J201&amp;"")&amp;"|파견중",파견수련계획!$Y$4:$Y$203,0),IFERROR(MATCH(TRIM($J201&amp;"")&amp;"|파견예정",파견수련계획!$Y$4:$Y$203,0),IFERROR(MATCH(TRIM($J201&amp;"")&amp;"|파견종료",파견수련계획!$Y$4:$Y$203,0),""))))</f>
        <v/>
      </c>
      <c r="AG201" s="10">
        <f>IF($B201="","",IF(AND(IF(OR($AC201="",인턴현황!$K$2=""),"",INDEX(인턴근무계획!$M$3:$R$202,$AC201,인턴현황!$K$2)&amp;"")&lt;&gt;"",LEFT(IF(OR($AC201="",인턴현황!$K$2=""),"",INDEX(인턴근무계획!$M$3:$R$202,$AC201,인턴현황!$K$2)&amp;""),1)&lt;&gt;"⚠"),LEFT(IF(OR($AC201="",인턴현황!$K$2=""),"",INDEX(인턴근무계획!$M$3:$R$202,$AC201,인턴현황!$K$2)&amp;""),FIND(" ",IF(OR($AC201="",인턴현황!$K$2=""),"",INDEX(인턴근무계획!$M$3:$R$202,$AC201,인턴현황!$K$2)&amp;""))-1),$AE201))</f>
        <v/>
      </c>
      <c r="AH201" s="17">
        <f>IF($B201="","",IF(TRIM($J201&amp;"")="",0,SUMPRODUCT((파견수련계획!$Q$4:$Q$203=TRIM($J201&amp;""))*(파견수련계획!$S$4:$S$203="서울병원")*파견수련계획!$W$4:$W$203))+IF($AG201="서울병원",MAX(0,DAY(EOMONTH(요약!$B$3,0))-N($X201)),0))</f>
        <v/>
      </c>
      <c r="AI201" s="17">
        <f>IF($B201="","",IF(TRIM($J201&amp;"")="",0,SUMPRODUCT((파견수련계획!$Q$4:$Q$203=TRIM($J201&amp;""))*(파견수련계획!$S$4:$S$203="구리병원")*파견수련계획!$W$4:$W$203))+IF($AG201="구리병원",MAX(0,DAY(EOMONTH(요약!$B$3,0))-N($X201)),0))</f>
        <v/>
      </c>
      <c r="AJ201" s="10">
        <f>IF(OR($B201="",TRIM($J201&amp;"")=""),"",IFERROR(MATCH(TRIM($J201&amp;"")&amp;"|월",파견수련계획!$Z$4:$Z$203,0),""))</f>
        <v/>
      </c>
      <c r="AK201" s="10">
        <f>IF(OR($B201="",TRIM($J201&amp;"")=""),"",IFERROR(MATCH(TRIM($J201&amp;"")&amp;"|다기관",파견수련계획!$AE$4:$AE$203,0),""))</f>
        <v/>
      </c>
      <c r="AL201" s="10">
        <f>IF($AK201="","","다기관 "&amp;TEXT(INDEX(파견수련계획!$AB$4:$AB$203,$AK201),"yyyy-mm-dd")&amp;"~"&amp;IF(ISNUMBER(INDEX(파견수련계획!$AC$4:$AC$203,$AK201)),TEXT(INDEX(파견수련계획!$AC$4:$AC$203,$AK201),"yyyy-mm-dd"),""))</f>
        <v/>
      </c>
    </row>
  </sheetData>
  <conditionalFormatting sqref="B2:B201">
    <cfRule type="expression" priority="1" dxfId="3">
      <formula>AND($B2&lt;&gt;"",$AB2="")</formula>
    </cfRule>
    <cfRule type="expression" priority="2" dxfId="4">
      <formula>AND($B2&lt;&gt;"",COUNTIF($B$2:$B$201,$B2)&gt;1)</formula>
    </cfRule>
  </conditionalFormatting>
  <conditionalFormatting sqref="E2:E201">
    <cfRule type="expression" priority="3" dxfId="5">
      <formula>ISTEXT($E2)</formula>
    </cfRule>
  </conditionalFormatting>
  <conditionalFormatting sqref="I2:I201">
    <cfRule type="expression" priority="4" dxfId="5">
      <formula>ISTEXT($I2)</formula>
    </cfRule>
  </conditionalFormatting>
  <conditionalFormatting sqref="Z2:Z201">
    <cfRule type="expression" priority="5" dxfId="6">
      <formula>AND($Z2&lt;&gt;"",$Z2&lt;&gt;"정상")</formula>
    </cfRule>
  </conditionalFormatting>
  <conditionalFormatting sqref="U2:W201">
    <cfRule type="expression" priority="6" dxfId="7">
      <formula>$U2="파견종료"</formula>
    </cfRule>
  </conditionalFormatting>
  <conditionalFormatting sqref="A2:T201">
    <cfRule type="expression" priority="7" dxfId="8">
      <formula>AND($U2="파견중",$W2&lt;&gt;"",$W2&lt;=요약!$E$2)</formula>
    </cfRule>
  </conditionalFormatting>
  <conditionalFormatting sqref="U2:U201">
    <cfRule type="expression" priority="8" dxfId="9">
      <formula>$U2="파견중"</formula>
    </cfRule>
    <cfRule type="expression" priority="9" dxfId="10">
      <formula>$U2="파견예정"</formula>
    </cfRule>
  </conditionalFormatting>
  <conditionalFormatting sqref="Y2:Y201">
    <cfRule type="expression" priority="10" dxfId="3">
      <formula>LEFT($Y2,1)="⚠"</formula>
    </cfRule>
    <cfRule type="expression" priority="11" dxfId="11">
      <formula>AND($Y2&lt;&gt;"",$AE2&lt;&gt;"",$Y2&lt;&gt;$AE2)</formula>
    </cfRule>
  </conditionalFormatting>
  <dataValidations count="1">
    <dataValidation sqref="M2:M201" showDropDown="0" showInputMessage="0" showErrorMessage="1" allowBlank="1" errorTitle="등록되지 않은 값" error="병원 목록에 없는 값입니다. 새로운 병원이면 '코드표' 시트에 먼저 추가한 뒤 선택하세요." type="list" errorStyle="stop">
      <formula1>=코드표!$A$2:$A$21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3" customWidth="1" min="3" max="3"/>
    <col width="14" customWidth="1" min="4" max="4"/>
    <col width="12" customWidth="1" min="5" max="5"/>
    <col width="14" customWidth="1" min="6" max="6"/>
    <col width="14" customWidth="1" min="7" max="7"/>
    <col width="3" customWidth="1" min="8" max="8"/>
    <col width="20" customWidth="1" min="9" max="9"/>
    <col width="10" customWidth="1" min="10" max="10"/>
  </cols>
  <sheetData>
    <row r="1">
      <c r="A1" s="1" t="inlineStr">
        <is>
          <t>파견 현황 요약</t>
        </is>
      </c>
    </row>
    <row r="2">
      <c r="A2" s="3" t="inlineStr">
        <is>
          <t>기준일</t>
        </is>
      </c>
      <c r="B2" s="20">
        <f>TODAY()</f>
        <v/>
      </c>
      <c r="D2" s="3" t="inlineStr">
        <is>
          <t>종료 임박 기준(일)</t>
        </is>
      </c>
      <c r="E2" s="21" t="n">
        <v>30</v>
      </c>
      <c r="F2" s="2" t="inlineStr">
        <is>
          <t>← 전공의명단 주황색 강조에도 반영</t>
        </is>
      </c>
    </row>
    <row r="3">
      <c r="A3" s="3" t="inlineStr">
        <is>
          <t>급여 기준월(1일)</t>
        </is>
      </c>
      <c r="B3" s="22">
        <f>DATE(YEAR(TODAY()),MONTH(TODAY()),1)</f>
        <v/>
      </c>
      <c r="D3" s="3" t="inlineStr">
        <is>
          <t>서울·구리 15일 기준(일)</t>
        </is>
      </c>
      <c r="E3" s="21" t="n">
        <v>15</v>
      </c>
      <c r="F3" s="2" t="inlineStr">
        <is>
          <t>← 급여 기준월은 다른 달의 1일로 바꿔 입력하면 그 달 기준으로 계산됩니다</t>
        </is>
      </c>
    </row>
    <row r="4" ht="30" customHeight="1">
      <c r="A4" s="12" t="inlineStr">
        <is>
          <t>파견상태</t>
        </is>
      </c>
      <c r="B4" s="12" t="inlineStr">
        <is>
          <t>인원</t>
        </is>
      </c>
      <c r="D4" s="12" t="inlineStr">
        <is>
          <t>병원</t>
        </is>
      </c>
      <c r="E4" s="12" t="inlineStr">
        <is>
          <t>현재 근무</t>
        </is>
      </c>
      <c r="F4" s="12" t="inlineStr">
        <is>
          <t>급여 지급(기준월)</t>
        </is>
      </c>
      <c r="G4" s="12" t="inlineStr">
        <is>
          <t>파견 수용(파견중)</t>
        </is>
      </c>
      <c r="I4" s="12" t="inlineStr">
        <is>
          <t>현재 진료과</t>
        </is>
      </c>
      <c r="J4" s="12" t="inlineStr">
        <is>
          <t>인원</t>
        </is>
      </c>
    </row>
    <row r="5">
      <c r="A5" s="23" t="inlineStr">
        <is>
          <t>파견중</t>
        </is>
      </c>
      <c r="B5" s="23">
        <f>COUNTIF(전공의명단!$U$2:$U$201,A5)</f>
        <v/>
      </c>
      <c r="D5" s="23">
        <f>IF(코드표!A2="","",코드표!A2)</f>
        <v/>
      </c>
      <c r="E5" s="23">
        <f>IF(D5="","",COUNTIF(전공의명단!$N$2:$N$201,D5))</f>
        <v/>
      </c>
      <c r="F5" s="23">
        <f>IF(D5="","",COUNTIF(전공의명단!$Y$2:$Y$201,D5))</f>
        <v/>
      </c>
      <c r="G5" s="23">
        <f>IF(D5="","",COUNTIFS(전공의명단!$Q$2:$Q$201,D5,전공의명단!$U$2:$U$201,"파견중"))</f>
        <v/>
      </c>
      <c r="I5" s="23">
        <f>IF(코드표!B2="","",코드표!B2)</f>
        <v/>
      </c>
      <c r="J5" s="23">
        <f>IF(I5="","",COUNTIF(전공의명단!$O$2:$O$201,I5))</f>
        <v/>
      </c>
    </row>
    <row r="6">
      <c r="A6" s="23" t="inlineStr">
        <is>
          <t>파견예정</t>
        </is>
      </c>
      <c r="B6" s="23">
        <f>COUNTIF(전공의명단!$U$2:$U$201,A6)</f>
        <v/>
      </c>
      <c r="D6" s="23">
        <f>IF(코드표!A3="","",코드표!A3)</f>
        <v/>
      </c>
      <c r="E6" s="23">
        <f>IF(D6="","",COUNTIF(전공의명단!$N$2:$N$201,D6))</f>
        <v/>
      </c>
      <c r="F6" s="23">
        <f>IF(D6="","",COUNTIF(전공의명단!$Y$2:$Y$201,D6))</f>
        <v/>
      </c>
      <c r="G6" s="23">
        <f>IF(D6="","",COUNTIFS(전공의명단!$Q$2:$Q$201,D6,전공의명단!$U$2:$U$201,"파견중"))</f>
        <v/>
      </c>
      <c r="I6" s="23">
        <f>IF(코드표!B3="","",코드표!B3)</f>
        <v/>
      </c>
      <c r="J6" s="23">
        <f>IF(I6="","",COUNTIF(전공의명단!$O$2:$O$201,I6))</f>
        <v/>
      </c>
    </row>
    <row r="7">
      <c r="A7" s="23" t="inlineStr">
        <is>
          <t>파견종료</t>
        </is>
      </c>
      <c r="B7" s="23">
        <f>COUNTIF(전공의명단!$U$2:$U$201,A7)</f>
        <v/>
      </c>
      <c r="D7" s="23">
        <f>IF(코드표!A4="","",코드표!A4)</f>
        <v/>
      </c>
      <c r="E7" s="23">
        <f>IF(D7="","",COUNTIF(전공의명단!$N$2:$N$201,D7))</f>
        <v/>
      </c>
      <c r="F7" s="23">
        <f>IF(D7="","",COUNTIF(전공의명단!$Y$2:$Y$201,D7))</f>
        <v/>
      </c>
      <c r="G7" s="23">
        <f>IF(D7="","",COUNTIFS(전공의명단!$Q$2:$Q$201,D7,전공의명단!$U$2:$U$201,"파견중"))</f>
        <v/>
      </c>
      <c r="I7" s="23">
        <f>IF(코드표!B4="","",코드표!B4)</f>
        <v/>
      </c>
      <c r="J7" s="23">
        <f>IF(I7="","",COUNTIF(전공의명단!$O$2:$O$201,I7))</f>
        <v/>
      </c>
    </row>
    <row r="8">
      <c r="A8" s="24" t="inlineStr">
        <is>
          <t>명단 등록 인원</t>
        </is>
      </c>
      <c r="B8" s="24">
        <f>COUNTA(전공의명단!$B$2:$B$201)</f>
        <v/>
      </c>
      <c r="D8" s="23">
        <f>IF(코드표!A5="","",코드표!A5)</f>
        <v/>
      </c>
      <c r="E8" s="23">
        <f>IF(D8="","",COUNTIF(전공의명단!$N$2:$N$201,D8))</f>
        <v/>
      </c>
      <c r="F8" s="23">
        <f>IF(D8="","",COUNTIF(전공의명단!$Y$2:$Y$201,D8))</f>
        <v/>
      </c>
      <c r="G8" s="23">
        <f>IF(D8="","",COUNTIFS(전공의명단!$Q$2:$Q$201,D8,전공의명단!$U$2:$U$201,"파견중"))</f>
        <v/>
      </c>
      <c r="I8" s="23">
        <f>IF(코드표!B5="","",코드표!B5)</f>
        <v/>
      </c>
      <c r="J8" s="23">
        <f>IF(I8="","",COUNTIF(전공의명단!$O$2:$O$201,I8))</f>
        <v/>
      </c>
    </row>
    <row r="9">
      <c r="A9" s="23" t="inlineStr">
        <is>
          <t>종료 임박(파견중)</t>
        </is>
      </c>
      <c r="B9" s="23">
        <f>COUNTIFS(전공의명단!$U$2:$U$201,"파견중",전공의명단!$W$2:$W$201,"&lt;="&amp;$E$2)</f>
        <v/>
      </c>
      <c r="D9" s="23">
        <f>IF(코드표!A6="","",코드표!A6)</f>
        <v/>
      </c>
      <c r="E9" s="23">
        <f>IF(D9="","",COUNTIF(전공의명단!$N$2:$N$201,D9))</f>
        <v/>
      </c>
      <c r="F9" s="23">
        <f>IF(D9="","",COUNTIF(전공의명단!$Y$2:$Y$201,D9))</f>
        <v/>
      </c>
      <c r="G9" s="23">
        <f>IF(D9="","",COUNTIFS(전공의명단!$Q$2:$Q$201,D9,전공의명단!$U$2:$U$201,"파견중"))</f>
        <v/>
      </c>
      <c r="I9" s="23">
        <f>IF(코드표!B6="","",코드표!B6)</f>
        <v/>
      </c>
      <c r="J9" s="23">
        <f>IF(I9="","",COUNTIF(전공의명단!$O$2:$O$201,I9))</f>
        <v/>
      </c>
    </row>
    <row r="10">
      <c r="D10" s="23">
        <f>IF(코드표!A7="","",코드표!A7)</f>
        <v/>
      </c>
      <c r="E10" s="23">
        <f>IF(D10="","",COUNTIF(전공의명단!$N$2:$N$201,D10))</f>
        <v/>
      </c>
      <c r="F10" s="23">
        <f>IF(D10="","",COUNTIF(전공의명단!$Y$2:$Y$201,D10))</f>
        <v/>
      </c>
      <c r="G10" s="23">
        <f>IF(D10="","",COUNTIFS(전공의명단!$Q$2:$Q$201,D10,전공의명단!$U$2:$U$201,"파견중"))</f>
        <v/>
      </c>
      <c r="I10" s="23">
        <f>IF(코드표!B7="","",코드표!B7)</f>
        <v/>
      </c>
      <c r="J10" s="23">
        <f>IF(I10="","",COUNTIF(전공의명단!$O$2:$O$201,I10))</f>
        <v/>
      </c>
    </row>
    <row r="11">
      <c r="D11" s="23">
        <f>IF(코드표!A8="","",코드표!A8)</f>
        <v/>
      </c>
      <c r="E11" s="23">
        <f>IF(D11="","",COUNTIF(전공의명단!$N$2:$N$201,D11))</f>
        <v/>
      </c>
      <c r="F11" s="23">
        <f>IF(D11="","",COUNTIF(전공의명단!$Y$2:$Y$201,D11))</f>
        <v/>
      </c>
      <c r="G11" s="23">
        <f>IF(D11="","",COUNTIFS(전공의명단!$Q$2:$Q$201,D11,전공의명단!$U$2:$U$201,"파견중"))</f>
        <v/>
      </c>
      <c r="I11" s="23">
        <f>IF(코드표!B8="","",코드표!B8)</f>
        <v/>
      </c>
      <c r="J11" s="23">
        <f>IF(I11="","",COUNTIF(전공의명단!$O$2:$O$201,I11))</f>
        <v/>
      </c>
    </row>
    <row r="12">
      <c r="A12" s="12" t="inlineStr">
        <is>
          <t>파견근거(종류)</t>
        </is>
      </c>
      <c r="B12" s="12" t="inlineStr">
        <is>
          <t>인원</t>
        </is>
      </c>
      <c r="D12" s="23">
        <f>IF(코드표!A9="","",코드표!A9)</f>
        <v/>
      </c>
      <c r="E12" s="23">
        <f>IF(D12="","",COUNTIF(전공의명단!$N$2:$N$201,D12))</f>
        <v/>
      </c>
      <c r="F12" s="23">
        <f>IF(D12="","",COUNTIF(전공의명단!$Y$2:$Y$201,D12))</f>
        <v/>
      </c>
      <c r="G12" s="23">
        <f>IF(D12="","",COUNTIFS(전공의명단!$Q$2:$Q$201,D12,전공의명단!$U$2:$U$201,"파견중"))</f>
        <v/>
      </c>
      <c r="I12" s="23">
        <f>IF(코드표!B9="","",코드표!B9)</f>
        <v/>
      </c>
      <c r="J12" s="23">
        <f>IF(I12="","",COUNTIF(전공의명단!$O$2:$O$201,I12))</f>
        <v/>
      </c>
    </row>
    <row r="13">
      <c r="A13" s="23">
        <f>IF(코드표!C2="","",코드표!C2)</f>
        <v/>
      </c>
      <c r="B13" s="23">
        <f>IF(A13="","",COUNTIF(전공의명단!$P$2:$P$201,A13))</f>
        <v/>
      </c>
      <c r="D13" s="23">
        <f>IF(코드표!A10="","",코드표!A10)</f>
        <v/>
      </c>
      <c r="E13" s="23">
        <f>IF(D13="","",COUNTIF(전공의명단!$N$2:$N$201,D13))</f>
        <v/>
      </c>
      <c r="F13" s="23">
        <f>IF(D13="","",COUNTIF(전공의명단!$Y$2:$Y$201,D13))</f>
        <v/>
      </c>
      <c r="G13" s="23">
        <f>IF(D13="","",COUNTIFS(전공의명단!$Q$2:$Q$201,D13,전공의명단!$U$2:$U$201,"파견중"))</f>
        <v/>
      </c>
      <c r="I13" s="23">
        <f>IF(코드표!B10="","",코드표!B10)</f>
        <v/>
      </c>
      <c r="J13" s="23">
        <f>IF(I13="","",COUNTIF(전공의명단!$O$2:$O$201,I13))</f>
        <v/>
      </c>
    </row>
    <row r="14">
      <c r="A14" s="23">
        <f>IF(코드표!C3="","",코드표!C3)</f>
        <v/>
      </c>
      <c r="B14" s="23">
        <f>IF(A14="","",COUNTIF(전공의명단!$P$2:$P$201,A14))</f>
        <v/>
      </c>
      <c r="D14" s="23">
        <f>IF(코드표!A11="","",코드표!A11)</f>
        <v/>
      </c>
      <c r="E14" s="23">
        <f>IF(D14="","",COUNTIF(전공의명단!$N$2:$N$201,D14))</f>
        <v/>
      </c>
      <c r="F14" s="23">
        <f>IF(D14="","",COUNTIF(전공의명단!$Y$2:$Y$201,D14))</f>
        <v/>
      </c>
      <c r="G14" s="23">
        <f>IF(D14="","",COUNTIFS(전공의명단!$Q$2:$Q$201,D14,전공의명단!$U$2:$U$201,"파견중"))</f>
        <v/>
      </c>
      <c r="I14" s="23">
        <f>IF(코드표!B11="","",코드표!B11)</f>
        <v/>
      </c>
      <c r="J14" s="23">
        <f>IF(I14="","",COUNTIF(전공의명단!$O$2:$O$201,I14))</f>
        <v/>
      </c>
    </row>
    <row r="15">
      <c r="A15" s="23">
        <f>IF(코드표!C4="","",코드표!C4)</f>
        <v/>
      </c>
      <c r="B15" s="23">
        <f>IF(A15="","",COUNTIF(전공의명단!$P$2:$P$201,A15))</f>
        <v/>
      </c>
      <c r="D15" s="23">
        <f>IF(코드표!A12="","",코드표!A12)</f>
        <v/>
      </c>
      <c r="E15" s="23">
        <f>IF(D15="","",COUNTIF(전공의명단!$N$2:$N$201,D15))</f>
        <v/>
      </c>
      <c r="F15" s="23">
        <f>IF(D15="","",COUNTIF(전공의명단!$Y$2:$Y$201,D15))</f>
        <v/>
      </c>
      <c r="G15" s="23">
        <f>IF(D15="","",COUNTIFS(전공의명단!$Q$2:$Q$201,D15,전공의명단!$U$2:$U$201,"파견중"))</f>
        <v/>
      </c>
      <c r="I15" s="23">
        <f>IF(코드표!B12="","",코드표!B12)</f>
        <v/>
      </c>
      <c r="J15" s="23">
        <f>IF(I15="","",COUNTIF(전공의명단!$O$2:$O$201,I15))</f>
        <v/>
      </c>
    </row>
    <row r="16">
      <c r="A16" s="23">
        <f>IF(코드표!C5="","",코드표!C5)</f>
        <v/>
      </c>
      <c r="B16" s="23">
        <f>IF(A16="","",COUNTIF(전공의명단!$P$2:$P$201,A16))</f>
        <v/>
      </c>
      <c r="D16" s="23">
        <f>IF(코드표!A13="","",코드표!A13)</f>
        <v/>
      </c>
      <c r="E16" s="23">
        <f>IF(D16="","",COUNTIF(전공의명단!$N$2:$N$201,D16))</f>
        <v/>
      </c>
      <c r="F16" s="23">
        <f>IF(D16="","",COUNTIF(전공의명단!$Y$2:$Y$201,D16))</f>
        <v/>
      </c>
      <c r="G16" s="23">
        <f>IF(D16="","",COUNTIFS(전공의명단!$Q$2:$Q$201,D16,전공의명단!$U$2:$U$201,"파견중"))</f>
        <v/>
      </c>
      <c r="I16" s="23">
        <f>IF(코드표!B13="","",코드표!B13)</f>
        <v/>
      </c>
      <c r="J16" s="23">
        <f>IF(I16="","",COUNTIF(전공의명단!$O$2:$O$201,I16))</f>
        <v/>
      </c>
    </row>
    <row r="17">
      <c r="A17" s="23">
        <f>IF(코드표!C6="","",코드표!C6)</f>
        <v/>
      </c>
      <c r="B17" s="23">
        <f>IF(A17="","",COUNTIF(전공의명단!$P$2:$P$201,A17))</f>
        <v/>
      </c>
      <c r="D17" s="23">
        <f>IF(코드표!A14="","",코드표!A14)</f>
        <v/>
      </c>
      <c r="E17" s="23">
        <f>IF(D17="","",COUNTIF(전공의명단!$N$2:$N$201,D17))</f>
        <v/>
      </c>
      <c r="F17" s="23">
        <f>IF(D17="","",COUNTIF(전공의명단!$Y$2:$Y$201,D17))</f>
        <v/>
      </c>
      <c r="G17" s="23">
        <f>IF(D17="","",COUNTIFS(전공의명단!$Q$2:$Q$201,D17,전공의명단!$U$2:$U$201,"파견중"))</f>
        <v/>
      </c>
      <c r="I17" s="23">
        <f>IF(코드표!B14="","",코드표!B14)</f>
        <v/>
      </c>
      <c r="J17" s="23">
        <f>IF(I17="","",COUNTIF(전공의명단!$O$2:$O$201,I17))</f>
        <v/>
      </c>
    </row>
    <row r="18">
      <c r="A18" s="23">
        <f>IF(코드표!C7="","",코드표!C7)</f>
        <v/>
      </c>
      <c r="B18" s="23">
        <f>IF(A18="","",COUNTIF(전공의명단!$P$2:$P$201,A18))</f>
        <v/>
      </c>
      <c r="D18" s="23">
        <f>IF(코드표!A15="","",코드표!A15)</f>
        <v/>
      </c>
      <c r="E18" s="23">
        <f>IF(D18="","",COUNTIF(전공의명단!$N$2:$N$201,D18))</f>
        <v/>
      </c>
      <c r="F18" s="23">
        <f>IF(D18="","",COUNTIF(전공의명단!$Y$2:$Y$201,D18))</f>
        <v/>
      </c>
      <c r="G18" s="23">
        <f>IF(D18="","",COUNTIFS(전공의명단!$Q$2:$Q$201,D18,전공의명단!$U$2:$U$201,"파견중"))</f>
        <v/>
      </c>
      <c r="I18" s="23">
        <f>IF(코드표!B15="","",코드표!B15)</f>
        <v/>
      </c>
      <c r="J18" s="23">
        <f>IF(I18="","",COUNTIF(전공의명단!$O$2:$O$201,I18))</f>
        <v/>
      </c>
    </row>
    <row r="19">
      <c r="A19" s="23">
        <f>IF(코드표!C8="","",코드표!C8)</f>
        <v/>
      </c>
      <c r="B19" s="23">
        <f>IF(A19="","",COUNTIF(전공의명단!$P$2:$P$201,A19))</f>
        <v/>
      </c>
      <c r="D19" s="23">
        <f>IF(코드표!A16="","",코드표!A16)</f>
        <v/>
      </c>
      <c r="E19" s="23">
        <f>IF(D19="","",COUNTIF(전공의명단!$N$2:$N$201,D19))</f>
        <v/>
      </c>
      <c r="F19" s="23">
        <f>IF(D19="","",COUNTIF(전공의명단!$Y$2:$Y$201,D19))</f>
        <v/>
      </c>
      <c r="G19" s="23">
        <f>IF(D19="","",COUNTIFS(전공의명단!$Q$2:$Q$201,D19,전공의명단!$U$2:$U$201,"파견중"))</f>
        <v/>
      </c>
      <c r="I19" s="23">
        <f>IF(코드표!B16="","",코드표!B16)</f>
        <v/>
      </c>
      <c r="J19" s="23">
        <f>IF(I19="","",COUNTIF(전공의명단!$O$2:$O$201,I19))</f>
        <v/>
      </c>
    </row>
    <row r="20">
      <c r="A20" s="23">
        <f>IF(코드표!C9="","",코드표!C9)</f>
        <v/>
      </c>
      <c r="B20" s="23">
        <f>IF(A20="","",COUNTIF(전공의명단!$P$2:$P$201,A20))</f>
        <v/>
      </c>
      <c r="D20" s="23">
        <f>IF(코드표!A17="","",코드표!A17)</f>
        <v/>
      </c>
      <c r="E20" s="23">
        <f>IF(D20="","",COUNTIF(전공의명단!$N$2:$N$201,D20))</f>
        <v/>
      </c>
      <c r="F20" s="23">
        <f>IF(D20="","",COUNTIF(전공의명단!$Y$2:$Y$201,D20))</f>
        <v/>
      </c>
      <c r="G20" s="23">
        <f>IF(D20="","",COUNTIFS(전공의명단!$Q$2:$Q$201,D20,전공의명단!$U$2:$U$201,"파견중"))</f>
        <v/>
      </c>
      <c r="I20" s="23">
        <f>IF(코드표!B17="","",코드표!B17)</f>
        <v/>
      </c>
      <c r="J20" s="23">
        <f>IF(I20="","",COUNTIF(전공의명단!$O$2:$O$201,I20))</f>
        <v/>
      </c>
    </row>
    <row r="21">
      <c r="D21" s="23">
        <f>IF(코드표!A18="","",코드표!A18)</f>
        <v/>
      </c>
      <c r="E21" s="23">
        <f>IF(D21="","",COUNTIF(전공의명단!$N$2:$N$201,D21))</f>
        <v/>
      </c>
      <c r="F21" s="23">
        <f>IF(D21="","",COUNTIF(전공의명단!$Y$2:$Y$201,D21))</f>
        <v/>
      </c>
      <c r="G21" s="23">
        <f>IF(D21="","",COUNTIFS(전공의명단!$Q$2:$Q$201,D21,전공의명단!$U$2:$U$201,"파견중"))</f>
        <v/>
      </c>
      <c r="I21" s="23">
        <f>IF(코드표!B18="","",코드표!B18)</f>
        <v/>
      </c>
      <c r="J21" s="23">
        <f>IF(I21="","",COUNTIF(전공의명단!$O$2:$O$201,I21))</f>
        <v/>
      </c>
    </row>
    <row r="22">
      <c r="A22" s="12" t="inlineStr">
        <is>
          <t>데이터 점검</t>
        </is>
      </c>
      <c r="B22" s="12" t="inlineStr">
        <is>
          <t>건수</t>
        </is>
      </c>
      <c r="D22" s="23">
        <f>IF(코드표!A19="","",코드표!A19)</f>
        <v/>
      </c>
      <c r="E22" s="23">
        <f>IF(D22="","",COUNTIF(전공의명단!$N$2:$N$201,D22))</f>
        <v/>
      </c>
      <c r="F22" s="23">
        <f>IF(D22="","",COUNTIF(전공의명단!$Y$2:$Y$201,D22))</f>
        <v/>
      </c>
      <c r="G22" s="23">
        <f>IF(D22="","",COUNTIFS(전공의명단!$Q$2:$Q$201,D22,전공의명단!$U$2:$U$201,"파견중"))</f>
        <v/>
      </c>
      <c r="I22" s="23">
        <f>IF(코드표!B19="","",코드표!B19)</f>
        <v/>
      </c>
      <c r="J22" s="23">
        <f>IF(I22="","",COUNTIF(전공의명단!$O$2:$O$201,I22))</f>
        <v/>
      </c>
    </row>
    <row r="23">
      <c r="A23" s="23" t="inlineStr">
        <is>
          <t>기본자료 인원</t>
        </is>
      </c>
      <c r="B23" s="23">
        <f>COUNTA(기본자료!$B$2:$B$501)</f>
        <v/>
      </c>
      <c r="D23" s="23">
        <f>IF(코드표!A20="","",코드표!A20)</f>
        <v/>
      </c>
      <c r="E23" s="23">
        <f>IF(D23="","",COUNTIF(전공의명단!$N$2:$N$201,D23))</f>
        <v/>
      </c>
      <c r="F23" s="23">
        <f>IF(D23="","",COUNTIF(전공의명단!$Y$2:$Y$201,D23))</f>
        <v/>
      </c>
      <c r="G23" s="23">
        <f>IF(D23="","",COUNTIFS(전공의명단!$Q$2:$Q$201,D23,전공의명단!$U$2:$U$201,"파견중"))</f>
        <v/>
      </c>
      <c r="I23" s="23">
        <f>IF(코드표!B20="","",코드표!B20)</f>
        <v/>
      </c>
      <c r="J23" s="23">
        <f>IF(I23="","",COUNTIF(전공의명단!$O$2:$O$201,I23))</f>
        <v/>
      </c>
    </row>
    <row r="24">
      <c r="A24" s="23" t="inlineStr">
        <is>
          <t>기본자료 재직 인원</t>
        </is>
      </c>
      <c r="B24" s="23">
        <f>COUNTIF(기본자료!$A$2:$A$501,"재직")</f>
        <v/>
      </c>
      <c r="D24" s="23">
        <f>IF(코드표!A21="","",코드표!A21)</f>
        <v/>
      </c>
      <c r="E24" s="23">
        <f>IF(D24="","",COUNTIF(전공의명단!$N$2:$N$201,D24))</f>
        <v/>
      </c>
      <c r="F24" s="23">
        <f>IF(D24="","",COUNTIF(전공의명단!$Y$2:$Y$201,D24))</f>
        <v/>
      </c>
      <c r="G24" s="23">
        <f>IF(D24="","",COUNTIFS(전공의명단!$Q$2:$Q$201,D24,전공의명단!$U$2:$U$201,"파견중"))</f>
        <v/>
      </c>
      <c r="I24" s="23">
        <f>IF(코드표!B21="","",코드표!B21)</f>
        <v/>
      </c>
      <c r="J24" s="23">
        <f>IF(I24="","",COUNTIF(전공의명단!$O$2:$O$201,I24))</f>
        <v/>
      </c>
    </row>
    <row r="25">
      <c r="A25" s="23" t="inlineStr">
        <is>
          <t>기본자료에 없는 사번</t>
        </is>
      </c>
      <c r="B25" s="23">
        <f>SUMPRODUCT((전공의명단!$B$2:$B$201&lt;&gt;"")*(전공의명단!$AB$2:$AB$201=""))</f>
        <v/>
      </c>
      <c r="I25" s="23">
        <f>IF(코드표!B22="","",코드표!B22)</f>
        <v/>
      </c>
      <c r="J25" s="23">
        <f>IF(I25="","",COUNTIF(전공의명단!$O$2:$O$201,I25))</f>
        <v/>
      </c>
    </row>
    <row r="26">
      <c r="A26" s="23" t="inlineStr">
        <is>
          <t>명단 중복 사번</t>
        </is>
      </c>
      <c r="B26" s="23">
        <f>SUMPRODUCT((전공의명단!$B$2:$B$201&lt;&gt;"")*(COUNTIF(전공의명단!$B$2:$B$201,전공의명단!$B$2:$B$201)&gt;1))</f>
        <v/>
      </c>
      <c r="I26" s="23">
        <f>IF(코드표!B23="","",코드표!B23)</f>
        <v/>
      </c>
      <c r="J26" s="23">
        <f>IF(I26="","",COUNTIF(전공의명단!$O$2:$O$201,I26))</f>
        <v/>
      </c>
    </row>
    <row r="27">
      <c r="A27" s="23" t="inlineStr">
        <is>
          <t>날짜 형식 오류(생년월일/수련개시일)</t>
        </is>
      </c>
      <c r="B27" s="23">
        <f>SUMPRODUCT((전공의명단!$E$2:$E$201&lt;&gt;"")*1)-COUNT(전공의명단!$E$2:$E$201)+SUMPRODUCT((전공의명단!$I$2:$I$201&lt;&gt;"")*1)-COUNT(전공의명단!$I$2:$I$201)</f>
        <v/>
      </c>
      <c r="I27" s="23">
        <f>IF(코드표!B24="","",코드표!B24)</f>
        <v/>
      </c>
      <c r="J27" s="23">
        <f>IF(I27="","",COUNTIF(전공의명단!$O$2:$O$201,I27))</f>
        <v/>
      </c>
    </row>
    <row r="28">
      <c r="A28" s="23" t="inlineStr">
        <is>
          <t>인턴계획 입력 오류(병원/진료과)</t>
        </is>
      </c>
      <c r="B28" s="23">
        <f>SUM(인턴근무계획!$T$3:$T$202)</f>
        <v/>
      </c>
      <c r="I28" s="23">
        <f>IF(코드표!B25="","",코드표!B25)</f>
        <v/>
      </c>
      <c r="J28" s="23">
        <f>IF(I28="","",COUNTIF(전공의명단!$O$2:$O$201,I28))</f>
        <v/>
      </c>
    </row>
    <row r="29">
      <c r="A29" s="23" t="inlineStr">
        <is>
          <t>파견수련계획 입력 오류</t>
        </is>
      </c>
      <c r="B29" s="23">
        <f>SUMPRODUCT(--(LEN(파견수련계획!$AA$4:$AA$203)&gt;0))</f>
        <v/>
      </c>
      <c r="I29" s="23">
        <f>IF(코드표!B26="","",코드표!B26)</f>
        <v/>
      </c>
      <c r="J29" s="23">
        <f>IF(I29="","",COUNTIF(전공의명단!$O$2:$O$201,I29))</f>
        <v/>
      </c>
    </row>
    <row r="30">
      <c r="A30" s="23" t="inlineStr">
        <is>
          <t>명단에 없는 파견 기록(등록번호)</t>
        </is>
      </c>
      <c r="B30" s="23">
        <f>SUMPRODUCT((파견수련계획!$Q$4:$Q$203&lt;&gt;"")*ISNA(MATCH(파견수련계획!$Q$4:$Q$203,전공의명단!$J$2:$J$201,0)))</f>
        <v/>
      </c>
      <c r="I30" s="23">
        <f>IF(코드표!B27="","",코드표!B27)</f>
        <v/>
      </c>
      <c r="J30" s="23">
        <f>IF(I30="","",COUNTIF(전공의명단!$O$2:$O$201,I30))</f>
        <v/>
      </c>
    </row>
    <row r="31">
      <c r="A31" s="23" t="inlineStr">
        <is>
          <t>서울·구리 15일 판정 불가(양쪽 모두 이상/미만)</t>
        </is>
      </c>
      <c r="B31" s="23">
        <f>COUNTIF(전공의명단!$Y$2:$Y$201,"⚠*")</f>
        <v/>
      </c>
      <c r="I31" s="23">
        <f>IF(코드표!B28="","",코드표!B28)</f>
        <v/>
      </c>
      <c r="J31" s="23">
        <f>IF(I31="","",COUNTIF(전공의명단!$O$2:$O$201,I31))</f>
        <v/>
      </c>
    </row>
    <row r="32">
      <c r="A32" s="23" t="inlineStr">
        <is>
          <t>점검 필요 행(전공의명단 '점검' 열)</t>
        </is>
      </c>
      <c r="B32" s="23">
        <f>SUMPRODUCT((전공의명단!$B$2:$B$201&lt;&gt;"")*(전공의명단!$Z$2:$Z$201&lt;&gt;"정상"))</f>
        <v/>
      </c>
      <c r="I32" s="23">
        <f>IF(코드표!B29="","",코드표!B29)</f>
        <v/>
      </c>
      <c r="J32" s="23">
        <f>IF(I32="","",COUNTIF(전공의명단!$O$2:$O$201,I32))</f>
        <v/>
      </c>
    </row>
    <row r="33">
      <c r="I33" s="23">
        <f>IF(코드표!B30="","",코드표!B30)</f>
        <v/>
      </c>
      <c r="J33" s="23">
        <f>IF(I33="","",COUNTIF(전공의명단!$O$2:$O$201,I33))</f>
        <v/>
      </c>
    </row>
    <row r="34">
      <c r="I34" s="23">
        <f>IF(코드표!B31="","",코드표!B31)</f>
        <v/>
      </c>
      <c r="J34" s="23">
        <f>IF(I34="","",COUNTIF(전공의명단!$O$2:$O$201,I34))</f>
        <v/>
      </c>
    </row>
    <row r="35">
      <c r="I35" s="23">
        <f>IF(코드표!B32="","",코드표!B32)</f>
        <v/>
      </c>
      <c r="J35" s="23">
        <f>IF(I35="","",COUNTIF(전공의명단!$O$2:$O$201,I35))</f>
        <v/>
      </c>
    </row>
    <row r="36">
      <c r="I36" s="23">
        <f>IF(코드표!B33="","",코드표!B33)</f>
        <v/>
      </c>
      <c r="J36" s="23">
        <f>IF(I36="","",COUNTIF(전공의명단!$O$2:$O$201,I36))</f>
        <v/>
      </c>
    </row>
    <row r="37">
      <c r="I37" s="23">
        <f>IF(코드표!B34="","",코드표!B34)</f>
        <v/>
      </c>
      <c r="J37" s="23">
        <f>IF(I37="","",COUNTIF(전공의명단!$O$2:$O$201,I37))</f>
        <v/>
      </c>
    </row>
    <row r="38">
      <c r="I38" s="23">
        <f>IF(코드표!B35="","",코드표!B35)</f>
        <v/>
      </c>
      <c r="J38" s="23">
        <f>IF(I38="","",COUNTIF(전공의명단!$O$2:$O$201,I38))</f>
        <v/>
      </c>
    </row>
    <row r="39">
      <c r="I39" s="23">
        <f>IF(코드표!B36="","",코드표!B36)</f>
        <v/>
      </c>
      <c r="J39" s="23">
        <f>IF(I39="","",COUNTIF(전공의명단!$O$2:$O$201,I39))</f>
        <v/>
      </c>
    </row>
    <row r="40">
      <c r="I40" s="23">
        <f>IF(코드표!B37="","",코드표!B37)</f>
        <v/>
      </c>
      <c r="J40" s="23">
        <f>IF(I40="","",COUNTIF(전공의명단!$O$2:$O$201,I40))</f>
        <v/>
      </c>
    </row>
    <row r="41">
      <c r="I41" s="23">
        <f>IF(코드표!B38="","",코드표!B38)</f>
        <v/>
      </c>
      <c r="J41" s="23">
        <f>IF(I41="","",COUNTIF(전공의명단!$O$2:$O$201,I41))</f>
        <v/>
      </c>
    </row>
    <row r="42">
      <c r="I42" s="23">
        <f>IF(코드표!B39="","",코드표!B39)</f>
        <v/>
      </c>
      <c r="J42" s="23">
        <f>IF(I42="","",COUNTIF(전공의명단!$O$2:$O$201,I42))</f>
        <v/>
      </c>
    </row>
    <row r="43">
      <c r="I43" s="23">
        <f>IF(코드표!B40="","",코드표!B40)</f>
        <v/>
      </c>
      <c r="J43" s="23">
        <f>IF(I43="","",COUNTIF(전공의명단!$O$2:$O$201,I43))</f>
        <v/>
      </c>
    </row>
    <row r="44">
      <c r="I44" s="23">
        <f>IF(코드표!B41="","",코드표!B41)</f>
        <v/>
      </c>
      <c r="J44" s="23">
        <f>IF(I44="","",COUNTIF(전공의명단!$O$2:$O$201,I44))</f>
        <v/>
      </c>
    </row>
    <row r="45">
      <c r="I45" s="23">
        <f>IF(코드표!D2="","",코드표!D2&amp;" (인턴)")</f>
        <v/>
      </c>
      <c r="J45" s="23">
        <f>IF(코드표!D2="","",COUNTIF(전공의명단!$O$2:$O$201,코드표!D2))</f>
        <v/>
      </c>
    </row>
    <row r="46">
      <c r="I46" s="23">
        <f>IF(코드표!D3="","",코드표!D3&amp;" (인턴)")</f>
        <v/>
      </c>
      <c r="J46" s="23">
        <f>IF(코드표!D3="","",COUNTIF(전공의명단!$O$2:$O$201,코드표!D3))</f>
        <v/>
      </c>
    </row>
  </sheetData>
  <conditionalFormatting sqref="B25:B32">
    <cfRule type="expression" priority="1" dxfId="0">
      <formula>B25&gt;0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0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10" customWidth="1" min="3" max="3"/>
    <col width="10" customWidth="1" min="4" max="4"/>
    <col width="11" customWidth="1" min="5" max="5"/>
    <col width="12" customWidth="1" min="6" max="6"/>
    <col width="15" customWidth="1" min="7" max="7"/>
    <col width="16" customWidth="1" min="8" max="8"/>
    <col width="15" customWidth="1" min="9" max="9"/>
    <col width="16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9" customWidth="1" min="17" max="17"/>
    <col width="3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인턴 근무 현황</t>
        </is>
      </c>
    </row>
    <row r="2">
      <c r="A2" s="3" t="inlineStr">
        <is>
          <t>기준일</t>
        </is>
      </c>
      <c r="B2" s="20">
        <f>TODAY()</f>
        <v/>
      </c>
      <c r="J2" s="8" t="inlineStr">
        <is>
          <t>급여 기준월 위치→</t>
        </is>
      </c>
      <c r="K2" s="25">
        <f>IFERROR(MATCH(MONTH(요약!$B$3),$K$3:$P$3,0),"")</f>
        <v/>
      </c>
    </row>
    <row r="3">
      <c r="A3" s="8" t="inlineStr">
        <is>
          <t>계획 월 번호(자동)</t>
        </is>
      </c>
      <c r="F3" s="8" t="inlineStr">
        <is>
          <t>이번/다음 달 위치→</t>
        </is>
      </c>
      <c r="G3" s="25">
        <f>IFERROR(MATCH(MONTH(TODAY()),$K$3:$P$3,0),"")</f>
        <v/>
      </c>
      <c r="I3" s="25">
        <f>IFERROR(MATCH(MONTH(EDATE(TODAY(),1)),$K$3:$P$3,0),"")</f>
        <v/>
      </c>
      <c r="K3" s="25">
        <f>IFERROR(VALUE(SUBSTITUTE(TRIM(K5),"월","")),"")</f>
        <v/>
      </c>
      <c r="L3" s="25">
        <f>IFERROR(VALUE(SUBSTITUTE(TRIM(L5),"월","")),"")</f>
        <v/>
      </c>
      <c r="M3" s="25">
        <f>IFERROR(VALUE(SUBSTITUTE(TRIM(M5),"월","")),"")</f>
        <v/>
      </c>
      <c r="N3" s="25">
        <f>IFERROR(VALUE(SUBSTITUTE(TRIM(N5),"월","")),"")</f>
        <v/>
      </c>
      <c r="O3" s="25">
        <f>IFERROR(VALUE(SUBSTITUTE(TRIM(O5),"월","")),"")</f>
        <v/>
      </c>
      <c r="P3" s="25">
        <f>IFERROR(VALUE(SUBSTITUTE(TRIM(P5),"월","")),"")</f>
        <v/>
      </c>
    </row>
    <row r="4">
      <c r="S4" s="3" t="inlineStr">
        <is>
          <t>월별 병원별 인턴 인원</t>
        </is>
      </c>
    </row>
    <row r="5" ht="30" customHeight="1">
      <c r="A5" s="12" t="inlineStr">
        <is>
          <t>계획행</t>
        </is>
      </c>
      <c r="B5" s="12" t="inlineStr">
        <is>
          <t>순번</t>
        </is>
      </c>
      <c r="C5" s="12" t="inlineStr">
        <is>
          <t>이름</t>
        </is>
      </c>
      <c r="D5" s="12" t="inlineStr">
        <is>
          <t>사번</t>
        </is>
      </c>
      <c r="E5" s="12" t="inlineStr">
        <is>
          <t>기본자료 확인</t>
        </is>
      </c>
      <c r="F5" s="12" t="inlineStr">
        <is>
          <t>입사일</t>
        </is>
      </c>
      <c r="G5" s="12">
        <f>"이번 달("&amp;IF($G$3="","계획 외",MONTH(TODAY())&amp;"월")&amp;") 병원"</f>
        <v/>
      </c>
      <c r="H5" s="12" t="inlineStr">
        <is>
          <t>이번 달 진료과</t>
        </is>
      </c>
      <c r="I5" s="12">
        <f>"다음 달("&amp;IF($I$3="","계획 외",MONTH(EDATE(TODAY(),1))&amp;"월")&amp;") 병원"</f>
        <v/>
      </c>
      <c r="J5" s="12" t="inlineStr">
        <is>
          <t>다음 달 진료과</t>
        </is>
      </c>
      <c r="K5" s="12">
        <f>TRIM(인턴근무계획!E$2&amp;"")</f>
        <v/>
      </c>
      <c r="L5" s="12">
        <f>TRIM(인턴근무계획!F$2&amp;"")</f>
        <v/>
      </c>
      <c r="M5" s="12">
        <f>TRIM(인턴근무계획!G$2&amp;"")</f>
        <v/>
      </c>
      <c r="N5" s="12">
        <f>TRIM(인턴근무계획!H$2&amp;"")</f>
        <v/>
      </c>
      <c r="O5" s="12">
        <f>TRIM(인턴근무계획!I$2&amp;"")</f>
        <v/>
      </c>
      <c r="P5" s="12">
        <f>TRIM(인턴근무계획!J$2&amp;"")</f>
        <v/>
      </c>
      <c r="Q5" s="12" t="inlineStr">
        <is>
          <t>입력오류(건)</t>
        </is>
      </c>
      <c r="S5" s="12" t="inlineStr">
        <is>
          <t>병원</t>
        </is>
      </c>
      <c r="T5" s="12">
        <f>K5</f>
        <v/>
      </c>
      <c r="U5" s="12">
        <f>L5</f>
        <v/>
      </c>
      <c r="V5" s="12">
        <f>M5</f>
        <v/>
      </c>
      <c r="W5" s="12">
        <f>N5</f>
        <v/>
      </c>
      <c r="X5" s="12">
        <f>O5</f>
        <v/>
      </c>
      <c r="Y5" s="12">
        <f>P5</f>
        <v/>
      </c>
    </row>
    <row r="6">
      <c r="A6" s="26" t="n">
        <v>1</v>
      </c>
      <c r="B6" s="23">
        <f>IF($C6="","",INDEX(인턴근무계획!$B$3:$B$202,$A6))</f>
        <v/>
      </c>
      <c r="C6" s="23">
        <f>IFERROR(TRIM(INDEX(인턴근무계획!$C$3:$C$202,$A6)&amp;""),"")</f>
        <v/>
      </c>
      <c r="D6" s="23">
        <f>IF($C6="","",INDEX(인턴근무계획!$D$3:$D$202,$A6))</f>
        <v/>
      </c>
      <c r="E6" s="23">
        <f>IF($C6="","",IF(IFERROR(MATCH($D6,기본자료!$B$2:$B$501,0),IFERROR(MATCH($D6&amp;"",기본자료!$B$2:$B$501,0),IFERROR(MATCH(VALUE($D6),기본자료!$B$2:$B$501,0),0)))&gt;0,"확인","미등록"))</f>
        <v/>
      </c>
      <c r="F6" s="27">
        <f>IF($C6="","",INDEX(인턴근무계획!$S$3:$S$202,$A6))</f>
        <v/>
      </c>
      <c r="G6" s="23">
        <f>IF(OR($C6="",$G$3=""),"",IF(INDEX(인턴근무계획!$M$3:$R$202,$A6,$G$3)&amp;""="","",IF(LEFT(INDEX(인턴근무계획!$M$3:$R$202,$A6,$G$3)&amp;"",1)="⚠",INDEX(인턴근무계획!$M$3:$R$202,$A6,$G$3)&amp;"",LEFT(INDEX(인턴근무계획!$M$3:$R$202,$A6,$G$3)&amp;"",FIND(" ",INDEX(인턴근무계획!$M$3:$R$202,$A6,$G$3)&amp;"")-1))))</f>
        <v/>
      </c>
      <c r="H6" s="23">
        <f>IF(OR($C6="",$G$3=""),"",IF(INDEX(인턴근무계획!$M$3:$R$202,$A6,$G$3)&amp;""="","",IF(LEFT(INDEX(인턴근무계획!$M$3:$R$202,$A6,$G$3)&amp;"",1)="⚠","",MID(INDEX(인턴근무계획!$M$3:$R$202,$A6,$G$3)&amp;"",FIND(" ",INDEX(인턴근무계획!$M$3:$R$202,$A6,$G$3)&amp;"")+1,60))))</f>
        <v/>
      </c>
      <c r="I6" s="23">
        <f>IF(OR($C6="",$I$3=""),"",IF(INDEX(인턴근무계획!$M$3:$R$202,$A6,$I$3)&amp;""="","",IF(LEFT(INDEX(인턴근무계획!$M$3:$R$202,$A6,$I$3)&amp;"",1)="⚠",INDEX(인턴근무계획!$M$3:$R$202,$A6,$I$3)&amp;"",LEFT(INDEX(인턴근무계획!$M$3:$R$202,$A6,$I$3)&amp;"",FIND(" ",INDEX(인턴근무계획!$M$3:$R$202,$A6,$I$3)&amp;"")-1))))</f>
        <v/>
      </c>
      <c r="J6" s="23">
        <f>IF(OR($C6="",$I$3=""),"",IF(INDEX(인턴근무계획!$M$3:$R$202,$A6,$I$3)&amp;""="","",IF(LEFT(INDEX(인턴근무계획!$M$3:$R$202,$A6,$I$3)&amp;"",1)="⚠","",MID(INDEX(인턴근무계획!$M$3:$R$202,$A6,$I$3)&amp;"",FIND(" ",INDEX(인턴근무계획!$M$3:$R$202,$A6,$I$3)&amp;"")+1,60))))</f>
        <v/>
      </c>
      <c r="K6" s="23">
        <f>IF($C6="","",INDEX(인턴근무계획!$M$3:$M$202,$A6)&amp;"")</f>
        <v/>
      </c>
      <c r="L6" s="23">
        <f>IF($C6="","",INDEX(인턴근무계획!$N$3:$N$202,$A6)&amp;"")</f>
        <v/>
      </c>
      <c r="M6" s="23">
        <f>IF($C6="","",INDEX(인턴근무계획!$O$3:$O$202,$A6)&amp;"")</f>
        <v/>
      </c>
      <c r="N6" s="23">
        <f>IF($C6="","",INDEX(인턴근무계획!$P$3:$P$202,$A6)&amp;"")</f>
        <v/>
      </c>
      <c r="O6" s="23">
        <f>IF($C6="","",INDEX(인턴근무계획!$Q$3:$Q$202,$A6)&amp;"")</f>
        <v/>
      </c>
      <c r="P6" s="23">
        <f>IF($C6="","",INDEX(인턴근무계획!$R$3:$R$202,$A6)&amp;"")</f>
        <v/>
      </c>
      <c r="Q6" s="23">
        <f>IF($C6="","",INDEX(인턴근무계획!$T$3:$T$202,$A6))</f>
        <v/>
      </c>
      <c r="S6" s="23">
        <f>IF(코드표!A2="","",코드표!A2)</f>
        <v/>
      </c>
      <c r="T6" s="23">
        <f>IF($S6="","",COUNTIF(K$6:K$205,$S6&amp;" *"))</f>
        <v/>
      </c>
      <c r="U6" s="23">
        <f>IF($S6="","",COUNTIF(L$6:L$205,$S6&amp;" *"))</f>
        <v/>
      </c>
      <c r="V6" s="23">
        <f>IF($S6="","",COUNTIF(M$6:M$205,$S6&amp;" *"))</f>
        <v/>
      </c>
      <c r="W6" s="23">
        <f>IF($S6="","",COUNTIF(N$6:N$205,$S6&amp;" *"))</f>
        <v/>
      </c>
      <c r="X6" s="23">
        <f>IF($S6="","",COUNTIF(O$6:O$205,$S6&amp;" *"))</f>
        <v/>
      </c>
      <c r="Y6" s="23">
        <f>IF($S6="","",COUNTIF(P$6:P$205,$S6&amp;" *"))</f>
        <v/>
      </c>
    </row>
    <row r="7">
      <c r="A7" s="26" t="n">
        <v>2</v>
      </c>
      <c r="B7" s="23">
        <f>IF($C7="","",INDEX(인턴근무계획!$B$3:$B$202,$A7))</f>
        <v/>
      </c>
      <c r="C7" s="23">
        <f>IFERROR(TRIM(INDEX(인턴근무계획!$C$3:$C$202,$A7)&amp;""),"")</f>
        <v/>
      </c>
      <c r="D7" s="23">
        <f>IF($C7="","",INDEX(인턴근무계획!$D$3:$D$202,$A7))</f>
        <v/>
      </c>
      <c r="E7" s="23">
        <f>IF($C7="","",IF(IFERROR(MATCH($D7,기본자료!$B$2:$B$501,0),IFERROR(MATCH($D7&amp;"",기본자료!$B$2:$B$501,0),IFERROR(MATCH(VALUE($D7),기본자료!$B$2:$B$501,0),0)))&gt;0,"확인","미등록"))</f>
        <v/>
      </c>
      <c r="F7" s="27">
        <f>IF($C7="","",INDEX(인턴근무계획!$S$3:$S$202,$A7))</f>
        <v/>
      </c>
      <c r="G7" s="23">
        <f>IF(OR($C7="",$G$3=""),"",IF(INDEX(인턴근무계획!$M$3:$R$202,$A7,$G$3)&amp;""="","",IF(LEFT(INDEX(인턴근무계획!$M$3:$R$202,$A7,$G$3)&amp;"",1)="⚠",INDEX(인턴근무계획!$M$3:$R$202,$A7,$G$3)&amp;"",LEFT(INDEX(인턴근무계획!$M$3:$R$202,$A7,$G$3)&amp;"",FIND(" ",INDEX(인턴근무계획!$M$3:$R$202,$A7,$G$3)&amp;"")-1))))</f>
        <v/>
      </c>
      <c r="H7" s="23">
        <f>IF(OR($C7="",$G$3=""),"",IF(INDEX(인턴근무계획!$M$3:$R$202,$A7,$G$3)&amp;""="","",IF(LEFT(INDEX(인턴근무계획!$M$3:$R$202,$A7,$G$3)&amp;"",1)="⚠","",MID(INDEX(인턴근무계획!$M$3:$R$202,$A7,$G$3)&amp;"",FIND(" ",INDEX(인턴근무계획!$M$3:$R$202,$A7,$G$3)&amp;"")+1,60))))</f>
        <v/>
      </c>
      <c r="I7" s="23">
        <f>IF(OR($C7="",$I$3=""),"",IF(INDEX(인턴근무계획!$M$3:$R$202,$A7,$I$3)&amp;""="","",IF(LEFT(INDEX(인턴근무계획!$M$3:$R$202,$A7,$I$3)&amp;"",1)="⚠",INDEX(인턴근무계획!$M$3:$R$202,$A7,$I$3)&amp;"",LEFT(INDEX(인턴근무계획!$M$3:$R$202,$A7,$I$3)&amp;"",FIND(" ",INDEX(인턴근무계획!$M$3:$R$202,$A7,$I$3)&amp;"")-1))))</f>
        <v/>
      </c>
      <c r="J7" s="23">
        <f>IF(OR($C7="",$I$3=""),"",IF(INDEX(인턴근무계획!$M$3:$R$202,$A7,$I$3)&amp;""="","",IF(LEFT(INDEX(인턴근무계획!$M$3:$R$202,$A7,$I$3)&amp;"",1)="⚠","",MID(INDEX(인턴근무계획!$M$3:$R$202,$A7,$I$3)&amp;"",FIND(" ",INDEX(인턴근무계획!$M$3:$R$202,$A7,$I$3)&amp;"")+1,60))))</f>
        <v/>
      </c>
      <c r="K7" s="23">
        <f>IF($C7="","",INDEX(인턴근무계획!$M$3:$M$202,$A7)&amp;"")</f>
        <v/>
      </c>
      <c r="L7" s="23">
        <f>IF($C7="","",INDEX(인턴근무계획!$N$3:$N$202,$A7)&amp;"")</f>
        <v/>
      </c>
      <c r="M7" s="23">
        <f>IF($C7="","",INDEX(인턴근무계획!$O$3:$O$202,$A7)&amp;"")</f>
        <v/>
      </c>
      <c r="N7" s="23">
        <f>IF($C7="","",INDEX(인턴근무계획!$P$3:$P$202,$A7)&amp;"")</f>
        <v/>
      </c>
      <c r="O7" s="23">
        <f>IF($C7="","",INDEX(인턴근무계획!$Q$3:$Q$202,$A7)&amp;"")</f>
        <v/>
      </c>
      <c r="P7" s="23">
        <f>IF($C7="","",INDEX(인턴근무계획!$R$3:$R$202,$A7)&amp;"")</f>
        <v/>
      </c>
      <c r="Q7" s="23">
        <f>IF($C7="","",INDEX(인턴근무계획!$T$3:$T$202,$A7))</f>
        <v/>
      </c>
      <c r="S7" s="23">
        <f>IF(코드표!A3="","",코드표!A3)</f>
        <v/>
      </c>
      <c r="T7" s="23">
        <f>IF($S7="","",COUNTIF(K$6:K$205,$S7&amp;" *"))</f>
        <v/>
      </c>
      <c r="U7" s="23">
        <f>IF($S7="","",COUNTIF(L$6:L$205,$S7&amp;" *"))</f>
        <v/>
      </c>
      <c r="V7" s="23">
        <f>IF($S7="","",COUNTIF(M$6:M$205,$S7&amp;" *"))</f>
        <v/>
      </c>
      <c r="W7" s="23">
        <f>IF($S7="","",COUNTIF(N$6:N$205,$S7&amp;" *"))</f>
        <v/>
      </c>
      <c r="X7" s="23">
        <f>IF($S7="","",COUNTIF(O$6:O$205,$S7&amp;" *"))</f>
        <v/>
      </c>
      <c r="Y7" s="23">
        <f>IF($S7="","",COUNTIF(P$6:P$205,$S7&amp;" *"))</f>
        <v/>
      </c>
    </row>
    <row r="8">
      <c r="A8" s="26" t="n">
        <v>3</v>
      </c>
      <c r="B8" s="23">
        <f>IF($C8="","",INDEX(인턴근무계획!$B$3:$B$202,$A8))</f>
        <v/>
      </c>
      <c r="C8" s="23">
        <f>IFERROR(TRIM(INDEX(인턴근무계획!$C$3:$C$202,$A8)&amp;""),"")</f>
        <v/>
      </c>
      <c r="D8" s="23">
        <f>IF($C8="","",INDEX(인턴근무계획!$D$3:$D$202,$A8))</f>
        <v/>
      </c>
      <c r="E8" s="23">
        <f>IF($C8="","",IF(IFERROR(MATCH($D8,기본자료!$B$2:$B$501,0),IFERROR(MATCH($D8&amp;"",기본자료!$B$2:$B$501,0),IFERROR(MATCH(VALUE($D8),기본자료!$B$2:$B$501,0),0)))&gt;0,"확인","미등록"))</f>
        <v/>
      </c>
      <c r="F8" s="27">
        <f>IF($C8="","",INDEX(인턴근무계획!$S$3:$S$202,$A8))</f>
        <v/>
      </c>
      <c r="G8" s="23">
        <f>IF(OR($C8="",$G$3=""),"",IF(INDEX(인턴근무계획!$M$3:$R$202,$A8,$G$3)&amp;""="","",IF(LEFT(INDEX(인턴근무계획!$M$3:$R$202,$A8,$G$3)&amp;"",1)="⚠",INDEX(인턴근무계획!$M$3:$R$202,$A8,$G$3)&amp;"",LEFT(INDEX(인턴근무계획!$M$3:$R$202,$A8,$G$3)&amp;"",FIND(" ",INDEX(인턴근무계획!$M$3:$R$202,$A8,$G$3)&amp;"")-1))))</f>
        <v/>
      </c>
      <c r="H8" s="23">
        <f>IF(OR($C8="",$G$3=""),"",IF(INDEX(인턴근무계획!$M$3:$R$202,$A8,$G$3)&amp;""="","",IF(LEFT(INDEX(인턴근무계획!$M$3:$R$202,$A8,$G$3)&amp;"",1)="⚠","",MID(INDEX(인턴근무계획!$M$3:$R$202,$A8,$G$3)&amp;"",FIND(" ",INDEX(인턴근무계획!$M$3:$R$202,$A8,$G$3)&amp;"")+1,60))))</f>
        <v/>
      </c>
      <c r="I8" s="23">
        <f>IF(OR($C8="",$I$3=""),"",IF(INDEX(인턴근무계획!$M$3:$R$202,$A8,$I$3)&amp;""="","",IF(LEFT(INDEX(인턴근무계획!$M$3:$R$202,$A8,$I$3)&amp;"",1)="⚠",INDEX(인턴근무계획!$M$3:$R$202,$A8,$I$3)&amp;"",LEFT(INDEX(인턴근무계획!$M$3:$R$202,$A8,$I$3)&amp;"",FIND(" ",INDEX(인턴근무계획!$M$3:$R$202,$A8,$I$3)&amp;"")-1))))</f>
        <v/>
      </c>
      <c r="J8" s="23">
        <f>IF(OR($C8="",$I$3=""),"",IF(INDEX(인턴근무계획!$M$3:$R$202,$A8,$I$3)&amp;""="","",IF(LEFT(INDEX(인턴근무계획!$M$3:$R$202,$A8,$I$3)&amp;"",1)="⚠","",MID(INDEX(인턴근무계획!$M$3:$R$202,$A8,$I$3)&amp;"",FIND(" ",INDEX(인턴근무계획!$M$3:$R$202,$A8,$I$3)&amp;"")+1,60))))</f>
        <v/>
      </c>
      <c r="K8" s="23">
        <f>IF($C8="","",INDEX(인턴근무계획!$M$3:$M$202,$A8)&amp;"")</f>
        <v/>
      </c>
      <c r="L8" s="23">
        <f>IF($C8="","",INDEX(인턴근무계획!$N$3:$N$202,$A8)&amp;"")</f>
        <v/>
      </c>
      <c r="M8" s="23">
        <f>IF($C8="","",INDEX(인턴근무계획!$O$3:$O$202,$A8)&amp;"")</f>
        <v/>
      </c>
      <c r="N8" s="23">
        <f>IF($C8="","",INDEX(인턴근무계획!$P$3:$P$202,$A8)&amp;"")</f>
        <v/>
      </c>
      <c r="O8" s="23">
        <f>IF($C8="","",INDEX(인턴근무계획!$Q$3:$Q$202,$A8)&amp;"")</f>
        <v/>
      </c>
      <c r="P8" s="23">
        <f>IF($C8="","",INDEX(인턴근무계획!$R$3:$R$202,$A8)&amp;"")</f>
        <v/>
      </c>
      <c r="Q8" s="23">
        <f>IF($C8="","",INDEX(인턴근무계획!$T$3:$T$202,$A8))</f>
        <v/>
      </c>
      <c r="S8" s="23">
        <f>IF(코드표!A4="","",코드표!A4)</f>
        <v/>
      </c>
      <c r="T8" s="23">
        <f>IF($S8="","",COUNTIF(K$6:K$205,$S8&amp;" *"))</f>
        <v/>
      </c>
      <c r="U8" s="23">
        <f>IF($S8="","",COUNTIF(L$6:L$205,$S8&amp;" *"))</f>
        <v/>
      </c>
      <c r="V8" s="23">
        <f>IF($S8="","",COUNTIF(M$6:M$205,$S8&amp;" *"))</f>
        <v/>
      </c>
      <c r="W8" s="23">
        <f>IF($S8="","",COUNTIF(N$6:N$205,$S8&amp;" *"))</f>
        <v/>
      </c>
      <c r="X8" s="23">
        <f>IF($S8="","",COUNTIF(O$6:O$205,$S8&amp;" *"))</f>
        <v/>
      </c>
      <c r="Y8" s="23">
        <f>IF($S8="","",COUNTIF(P$6:P$205,$S8&amp;" *"))</f>
        <v/>
      </c>
    </row>
    <row r="9">
      <c r="A9" s="26" t="n">
        <v>4</v>
      </c>
      <c r="B9" s="23">
        <f>IF($C9="","",INDEX(인턴근무계획!$B$3:$B$202,$A9))</f>
        <v/>
      </c>
      <c r="C9" s="23">
        <f>IFERROR(TRIM(INDEX(인턴근무계획!$C$3:$C$202,$A9)&amp;""),"")</f>
        <v/>
      </c>
      <c r="D9" s="23">
        <f>IF($C9="","",INDEX(인턴근무계획!$D$3:$D$202,$A9))</f>
        <v/>
      </c>
      <c r="E9" s="23">
        <f>IF($C9="","",IF(IFERROR(MATCH($D9,기본자료!$B$2:$B$501,0),IFERROR(MATCH($D9&amp;"",기본자료!$B$2:$B$501,0),IFERROR(MATCH(VALUE($D9),기본자료!$B$2:$B$501,0),0)))&gt;0,"확인","미등록"))</f>
        <v/>
      </c>
      <c r="F9" s="27">
        <f>IF($C9="","",INDEX(인턴근무계획!$S$3:$S$202,$A9))</f>
        <v/>
      </c>
      <c r="G9" s="23">
        <f>IF(OR($C9="",$G$3=""),"",IF(INDEX(인턴근무계획!$M$3:$R$202,$A9,$G$3)&amp;""="","",IF(LEFT(INDEX(인턴근무계획!$M$3:$R$202,$A9,$G$3)&amp;"",1)="⚠",INDEX(인턴근무계획!$M$3:$R$202,$A9,$G$3)&amp;"",LEFT(INDEX(인턴근무계획!$M$3:$R$202,$A9,$G$3)&amp;"",FIND(" ",INDEX(인턴근무계획!$M$3:$R$202,$A9,$G$3)&amp;"")-1))))</f>
        <v/>
      </c>
      <c r="H9" s="23">
        <f>IF(OR($C9="",$G$3=""),"",IF(INDEX(인턴근무계획!$M$3:$R$202,$A9,$G$3)&amp;""="","",IF(LEFT(INDEX(인턴근무계획!$M$3:$R$202,$A9,$G$3)&amp;"",1)="⚠","",MID(INDEX(인턴근무계획!$M$3:$R$202,$A9,$G$3)&amp;"",FIND(" ",INDEX(인턴근무계획!$M$3:$R$202,$A9,$G$3)&amp;"")+1,60))))</f>
        <v/>
      </c>
      <c r="I9" s="23">
        <f>IF(OR($C9="",$I$3=""),"",IF(INDEX(인턴근무계획!$M$3:$R$202,$A9,$I$3)&amp;""="","",IF(LEFT(INDEX(인턴근무계획!$M$3:$R$202,$A9,$I$3)&amp;"",1)="⚠",INDEX(인턴근무계획!$M$3:$R$202,$A9,$I$3)&amp;"",LEFT(INDEX(인턴근무계획!$M$3:$R$202,$A9,$I$3)&amp;"",FIND(" ",INDEX(인턴근무계획!$M$3:$R$202,$A9,$I$3)&amp;"")-1))))</f>
        <v/>
      </c>
      <c r="J9" s="23">
        <f>IF(OR($C9="",$I$3=""),"",IF(INDEX(인턴근무계획!$M$3:$R$202,$A9,$I$3)&amp;""="","",IF(LEFT(INDEX(인턴근무계획!$M$3:$R$202,$A9,$I$3)&amp;"",1)="⚠","",MID(INDEX(인턴근무계획!$M$3:$R$202,$A9,$I$3)&amp;"",FIND(" ",INDEX(인턴근무계획!$M$3:$R$202,$A9,$I$3)&amp;"")+1,60))))</f>
        <v/>
      </c>
      <c r="K9" s="23">
        <f>IF($C9="","",INDEX(인턴근무계획!$M$3:$M$202,$A9)&amp;"")</f>
        <v/>
      </c>
      <c r="L9" s="23">
        <f>IF($C9="","",INDEX(인턴근무계획!$N$3:$N$202,$A9)&amp;"")</f>
        <v/>
      </c>
      <c r="M9" s="23">
        <f>IF($C9="","",INDEX(인턴근무계획!$O$3:$O$202,$A9)&amp;"")</f>
        <v/>
      </c>
      <c r="N9" s="23">
        <f>IF($C9="","",INDEX(인턴근무계획!$P$3:$P$202,$A9)&amp;"")</f>
        <v/>
      </c>
      <c r="O9" s="23">
        <f>IF($C9="","",INDEX(인턴근무계획!$Q$3:$Q$202,$A9)&amp;"")</f>
        <v/>
      </c>
      <c r="P9" s="23">
        <f>IF($C9="","",INDEX(인턴근무계획!$R$3:$R$202,$A9)&amp;"")</f>
        <v/>
      </c>
      <c r="Q9" s="23">
        <f>IF($C9="","",INDEX(인턴근무계획!$T$3:$T$202,$A9))</f>
        <v/>
      </c>
      <c r="S9" s="23">
        <f>IF(코드표!A5="","",코드표!A5)</f>
        <v/>
      </c>
      <c r="T9" s="23">
        <f>IF($S9="","",COUNTIF(K$6:K$205,$S9&amp;" *"))</f>
        <v/>
      </c>
      <c r="U9" s="23">
        <f>IF($S9="","",COUNTIF(L$6:L$205,$S9&amp;" *"))</f>
        <v/>
      </c>
      <c r="V9" s="23">
        <f>IF($S9="","",COUNTIF(M$6:M$205,$S9&amp;" *"))</f>
        <v/>
      </c>
      <c r="W9" s="23">
        <f>IF($S9="","",COUNTIF(N$6:N$205,$S9&amp;" *"))</f>
        <v/>
      </c>
      <c r="X9" s="23">
        <f>IF($S9="","",COUNTIF(O$6:O$205,$S9&amp;" *"))</f>
        <v/>
      </c>
      <c r="Y9" s="23">
        <f>IF($S9="","",COUNTIF(P$6:P$205,$S9&amp;" *"))</f>
        <v/>
      </c>
    </row>
    <row r="10">
      <c r="A10" s="26" t="n">
        <v>5</v>
      </c>
      <c r="B10" s="23">
        <f>IF($C10="","",INDEX(인턴근무계획!$B$3:$B$202,$A10))</f>
        <v/>
      </c>
      <c r="C10" s="23">
        <f>IFERROR(TRIM(INDEX(인턴근무계획!$C$3:$C$202,$A10)&amp;""),"")</f>
        <v/>
      </c>
      <c r="D10" s="23">
        <f>IF($C10="","",INDEX(인턴근무계획!$D$3:$D$202,$A10))</f>
        <v/>
      </c>
      <c r="E10" s="23">
        <f>IF($C10="","",IF(IFERROR(MATCH($D10,기본자료!$B$2:$B$501,0),IFERROR(MATCH($D10&amp;"",기본자료!$B$2:$B$501,0),IFERROR(MATCH(VALUE($D10),기본자료!$B$2:$B$501,0),0)))&gt;0,"확인","미등록"))</f>
        <v/>
      </c>
      <c r="F10" s="27">
        <f>IF($C10="","",INDEX(인턴근무계획!$S$3:$S$202,$A10))</f>
        <v/>
      </c>
      <c r="G10" s="23">
        <f>IF(OR($C10="",$G$3=""),"",IF(INDEX(인턴근무계획!$M$3:$R$202,$A10,$G$3)&amp;""="","",IF(LEFT(INDEX(인턴근무계획!$M$3:$R$202,$A10,$G$3)&amp;"",1)="⚠",INDEX(인턴근무계획!$M$3:$R$202,$A10,$G$3)&amp;"",LEFT(INDEX(인턴근무계획!$M$3:$R$202,$A10,$G$3)&amp;"",FIND(" ",INDEX(인턴근무계획!$M$3:$R$202,$A10,$G$3)&amp;"")-1))))</f>
        <v/>
      </c>
      <c r="H10" s="23">
        <f>IF(OR($C10="",$G$3=""),"",IF(INDEX(인턴근무계획!$M$3:$R$202,$A10,$G$3)&amp;""="","",IF(LEFT(INDEX(인턴근무계획!$M$3:$R$202,$A10,$G$3)&amp;"",1)="⚠","",MID(INDEX(인턴근무계획!$M$3:$R$202,$A10,$G$3)&amp;"",FIND(" ",INDEX(인턴근무계획!$M$3:$R$202,$A10,$G$3)&amp;"")+1,60))))</f>
        <v/>
      </c>
      <c r="I10" s="23">
        <f>IF(OR($C10="",$I$3=""),"",IF(INDEX(인턴근무계획!$M$3:$R$202,$A10,$I$3)&amp;""="","",IF(LEFT(INDEX(인턴근무계획!$M$3:$R$202,$A10,$I$3)&amp;"",1)="⚠",INDEX(인턴근무계획!$M$3:$R$202,$A10,$I$3)&amp;"",LEFT(INDEX(인턴근무계획!$M$3:$R$202,$A10,$I$3)&amp;"",FIND(" ",INDEX(인턴근무계획!$M$3:$R$202,$A10,$I$3)&amp;"")-1))))</f>
        <v/>
      </c>
      <c r="J10" s="23">
        <f>IF(OR($C10="",$I$3=""),"",IF(INDEX(인턴근무계획!$M$3:$R$202,$A10,$I$3)&amp;""="","",IF(LEFT(INDEX(인턴근무계획!$M$3:$R$202,$A10,$I$3)&amp;"",1)="⚠","",MID(INDEX(인턴근무계획!$M$3:$R$202,$A10,$I$3)&amp;"",FIND(" ",INDEX(인턴근무계획!$M$3:$R$202,$A10,$I$3)&amp;"")+1,60))))</f>
        <v/>
      </c>
      <c r="K10" s="23">
        <f>IF($C10="","",INDEX(인턴근무계획!$M$3:$M$202,$A10)&amp;"")</f>
        <v/>
      </c>
      <c r="L10" s="23">
        <f>IF($C10="","",INDEX(인턴근무계획!$N$3:$N$202,$A10)&amp;"")</f>
        <v/>
      </c>
      <c r="M10" s="23">
        <f>IF($C10="","",INDEX(인턴근무계획!$O$3:$O$202,$A10)&amp;"")</f>
        <v/>
      </c>
      <c r="N10" s="23">
        <f>IF($C10="","",INDEX(인턴근무계획!$P$3:$P$202,$A10)&amp;"")</f>
        <v/>
      </c>
      <c r="O10" s="23">
        <f>IF($C10="","",INDEX(인턴근무계획!$Q$3:$Q$202,$A10)&amp;"")</f>
        <v/>
      </c>
      <c r="P10" s="23">
        <f>IF($C10="","",INDEX(인턴근무계획!$R$3:$R$202,$A10)&amp;"")</f>
        <v/>
      </c>
      <c r="Q10" s="23">
        <f>IF($C10="","",INDEX(인턴근무계획!$T$3:$T$202,$A10))</f>
        <v/>
      </c>
      <c r="S10" s="23">
        <f>IF(코드표!A6="","",코드표!A6)</f>
        <v/>
      </c>
      <c r="T10" s="23">
        <f>IF($S10="","",COUNTIF(K$6:K$205,$S10&amp;" *"))</f>
        <v/>
      </c>
      <c r="U10" s="23">
        <f>IF($S10="","",COUNTIF(L$6:L$205,$S10&amp;" *"))</f>
        <v/>
      </c>
      <c r="V10" s="23">
        <f>IF($S10="","",COUNTIF(M$6:M$205,$S10&amp;" *"))</f>
        <v/>
      </c>
      <c r="W10" s="23">
        <f>IF($S10="","",COUNTIF(N$6:N$205,$S10&amp;" *"))</f>
        <v/>
      </c>
      <c r="X10" s="23">
        <f>IF($S10="","",COUNTIF(O$6:O$205,$S10&amp;" *"))</f>
        <v/>
      </c>
      <c r="Y10" s="23">
        <f>IF($S10="","",COUNTIF(P$6:P$205,$S10&amp;" *"))</f>
        <v/>
      </c>
    </row>
    <row r="11">
      <c r="A11" s="26" t="n">
        <v>6</v>
      </c>
      <c r="B11" s="23">
        <f>IF($C11="","",INDEX(인턴근무계획!$B$3:$B$202,$A11))</f>
        <v/>
      </c>
      <c r="C11" s="23">
        <f>IFERROR(TRIM(INDEX(인턴근무계획!$C$3:$C$202,$A11)&amp;""),"")</f>
        <v/>
      </c>
      <c r="D11" s="23">
        <f>IF($C11="","",INDEX(인턴근무계획!$D$3:$D$202,$A11))</f>
        <v/>
      </c>
      <c r="E11" s="23">
        <f>IF($C11="","",IF(IFERROR(MATCH($D11,기본자료!$B$2:$B$501,0),IFERROR(MATCH($D11&amp;"",기본자료!$B$2:$B$501,0),IFERROR(MATCH(VALUE($D11),기본자료!$B$2:$B$501,0),0)))&gt;0,"확인","미등록"))</f>
        <v/>
      </c>
      <c r="F11" s="27">
        <f>IF($C11="","",INDEX(인턴근무계획!$S$3:$S$202,$A11))</f>
        <v/>
      </c>
      <c r="G11" s="23">
        <f>IF(OR($C11="",$G$3=""),"",IF(INDEX(인턴근무계획!$M$3:$R$202,$A11,$G$3)&amp;""="","",IF(LEFT(INDEX(인턴근무계획!$M$3:$R$202,$A11,$G$3)&amp;"",1)="⚠",INDEX(인턴근무계획!$M$3:$R$202,$A11,$G$3)&amp;"",LEFT(INDEX(인턴근무계획!$M$3:$R$202,$A11,$G$3)&amp;"",FIND(" ",INDEX(인턴근무계획!$M$3:$R$202,$A11,$G$3)&amp;"")-1))))</f>
        <v/>
      </c>
      <c r="H11" s="23">
        <f>IF(OR($C11="",$G$3=""),"",IF(INDEX(인턴근무계획!$M$3:$R$202,$A11,$G$3)&amp;""="","",IF(LEFT(INDEX(인턴근무계획!$M$3:$R$202,$A11,$G$3)&amp;"",1)="⚠","",MID(INDEX(인턴근무계획!$M$3:$R$202,$A11,$G$3)&amp;"",FIND(" ",INDEX(인턴근무계획!$M$3:$R$202,$A11,$G$3)&amp;"")+1,60))))</f>
        <v/>
      </c>
      <c r="I11" s="23">
        <f>IF(OR($C11="",$I$3=""),"",IF(INDEX(인턴근무계획!$M$3:$R$202,$A11,$I$3)&amp;""="","",IF(LEFT(INDEX(인턴근무계획!$M$3:$R$202,$A11,$I$3)&amp;"",1)="⚠",INDEX(인턴근무계획!$M$3:$R$202,$A11,$I$3)&amp;"",LEFT(INDEX(인턴근무계획!$M$3:$R$202,$A11,$I$3)&amp;"",FIND(" ",INDEX(인턴근무계획!$M$3:$R$202,$A11,$I$3)&amp;"")-1))))</f>
        <v/>
      </c>
      <c r="J11" s="23">
        <f>IF(OR($C11="",$I$3=""),"",IF(INDEX(인턴근무계획!$M$3:$R$202,$A11,$I$3)&amp;""="","",IF(LEFT(INDEX(인턴근무계획!$M$3:$R$202,$A11,$I$3)&amp;"",1)="⚠","",MID(INDEX(인턴근무계획!$M$3:$R$202,$A11,$I$3)&amp;"",FIND(" ",INDEX(인턴근무계획!$M$3:$R$202,$A11,$I$3)&amp;"")+1,60))))</f>
        <v/>
      </c>
      <c r="K11" s="23">
        <f>IF($C11="","",INDEX(인턴근무계획!$M$3:$M$202,$A11)&amp;"")</f>
        <v/>
      </c>
      <c r="L11" s="23">
        <f>IF($C11="","",INDEX(인턴근무계획!$N$3:$N$202,$A11)&amp;"")</f>
        <v/>
      </c>
      <c r="M11" s="23">
        <f>IF($C11="","",INDEX(인턴근무계획!$O$3:$O$202,$A11)&amp;"")</f>
        <v/>
      </c>
      <c r="N11" s="23">
        <f>IF($C11="","",INDEX(인턴근무계획!$P$3:$P$202,$A11)&amp;"")</f>
        <v/>
      </c>
      <c r="O11" s="23">
        <f>IF($C11="","",INDEX(인턴근무계획!$Q$3:$Q$202,$A11)&amp;"")</f>
        <v/>
      </c>
      <c r="P11" s="23">
        <f>IF($C11="","",INDEX(인턴근무계획!$R$3:$R$202,$A11)&amp;"")</f>
        <v/>
      </c>
      <c r="Q11" s="23">
        <f>IF($C11="","",INDEX(인턴근무계획!$T$3:$T$202,$A11))</f>
        <v/>
      </c>
      <c r="S11" s="23">
        <f>IF(코드표!A7="","",코드표!A7)</f>
        <v/>
      </c>
      <c r="T11" s="23">
        <f>IF($S11="","",COUNTIF(K$6:K$205,$S11&amp;" *"))</f>
        <v/>
      </c>
      <c r="U11" s="23">
        <f>IF($S11="","",COUNTIF(L$6:L$205,$S11&amp;" *"))</f>
        <v/>
      </c>
      <c r="V11" s="23">
        <f>IF($S11="","",COUNTIF(M$6:M$205,$S11&amp;" *"))</f>
        <v/>
      </c>
      <c r="W11" s="23">
        <f>IF($S11="","",COUNTIF(N$6:N$205,$S11&amp;" *"))</f>
        <v/>
      </c>
      <c r="X11" s="23">
        <f>IF($S11="","",COUNTIF(O$6:O$205,$S11&amp;" *"))</f>
        <v/>
      </c>
      <c r="Y11" s="23">
        <f>IF($S11="","",COUNTIF(P$6:P$205,$S11&amp;" *"))</f>
        <v/>
      </c>
    </row>
    <row r="12">
      <c r="A12" s="26" t="n">
        <v>7</v>
      </c>
      <c r="B12" s="23">
        <f>IF($C12="","",INDEX(인턴근무계획!$B$3:$B$202,$A12))</f>
        <v/>
      </c>
      <c r="C12" s="23">
        <f>IFERROR(TRIM(INDEX(인턴근무계획!$C$3:$C$202,$A12)&amp;""),"")</f>
        <v/>
      </c>
      <c r="D12" s="23">
        <f>IF($C12="","",INDEX(인턴근무계획!$D$3:$D$202,$A12))</f>
        <v/>
      </c>
      <c r="E12" s="23">
        <f>IF($C12="","",IF(IFERROR(MATCH($D12,기본자료!$B$2:$B$501,0),IFERROR(MATCH($D12&amp;"",기본자료!$B$2:$B$501,0),IFERROR(MATCH(VALUE($D12),기본자료!$B$2:$B$501,0),0)))&gt;0,"확인","미등록"))</f>
        <v/>
      </c>
      <c r="F12" s="27">
        <f>IF($C12="","",INDEX(인턴근무계획!$S$3:$S$202,$A12))</f>
        <v/>
      </c>
      <c r="G12" s="23">
        <f>IF(OR($C12="",$G$3=""),"",IF(INDEX(인턴근무계획!$M$3:$R$202,$A12,$G$3)&amp;""="","",IF(LEFT(INDEX(인턴근무계획!$M$3:$R$202,$A12,$G$3)&amp;"",1)="⚠",INDEX(인턴근무계획!$M$3:$R$202,$A12,$G$3)&amp;"",LEFT(INDEX(인턴근무계획!$M$3:$R$202,$A12,$G$3)&amp;"",FIND(" ",INDEX(인턴근무계획!$M$3:$R$202,$A12,$G$3)&amp;"")-1))))</f>
        <v/>
      </c>
      <c r="H12" s="23">
        <f>IF(OR($C12="",$G$3=""),"",IF(INDEX(인턴근무계획!$M$3:$R$202,$A12,$G$3)&amp;""="","",IF(LEFT(INDEX(인턴근무계획!$M$3:$R$202,$A12,$G$3)&amp;"",1)="⚠","",MID(INDEX(인턴근무계획!$M$3:$R$202,$A12,$G$3)&amp;"",FIND(" ",INDEX(인턴근무계획!$M$3:$R$202,$A12,$G$3)&amp;"")+1,60))))</f>
        <v/>
      </c>
      <c r="I12" s="23">
        <f>IF(OR($C12="",$I$3=""),"",IF(INDEX(인턴근무계획!$M$3:$R$202,$A12,$I$3)&amp;""="","",IF(LEFT(INDEX(인턴근무계획!$M$3:$R$202,$A12,$I$3)&amp;"",1)="⚠",INDEX(인턴근무계획!$M$3:$R$202,$A12,$I$3)&amp;"",LEFT(INDEX(인턴근무계획!$M$3:$R$202,$A12,$I$3)&amp;"",FIND(" ",INDEX(인턴근무계획!$M$3:$R$202,$A12,$I$3)&amp;"")-1))))</f>
        <v/>
      </c>
      <c r="J12" s="23">
        <f>IF(OR($C12="",$I$3=""),"",IF(INDEX(인턴근무계획!$M$3:$R$202,$A12,$I$3)&amp;""="","",IF(LEFT(INDEX(인턴근무계획!$M$3:$R$202,$A12,$I$3)&amp;"",1)="⚠","",MID(INDEX(인턴근무계획!$M$3:$R$202,$A12,$I$3)&amp;"",FIND(" ",INDEX(인턴근무계획!$M$3:$R$202,$A12,$I$3)&amp;"")+1,60))))</f>
        <v/>
      </c>
      <c r="K12" s="23">
        <f>IF($C12="","",INDEX(인턴근무계획!$M$3:$M$202,$A12)&amp;"")</f>
        <v/>
      </c>
      <c r="L12" s="23">
        <f>IF($C12="","",INDEX(인턴근무계획!$N$3:$N$202,$A12)&amp;"")</f>
        <v/>
      </c>
      <c r="M12" s="23">
        <f>IF($C12="","",INDEX(인턴근무계획!$O$3:$O$202,$A12)&amp;"")</f>
        <v/>
      </c>
      <c r="N12" s="23">
        <f>IF($C12="","",INDEX(인턴근무계획!$P$3:$P$202,$A12)&amp;"")</f>
        <v/>
      </c>
      <c r="O12" s="23">
        <f>IF($C12="","",INDEX(인턴근무계획!$Q$3:$Q$202,$A12)&amp;"")</f>
        <v/>
      </c>
      <c r="P12" s="23">
        <f>IF($C12="","",INDEX(인턴근무계획!$R$3:$R$202,$A12)&amp;"")</f>
        <v/>
      </c>
      <c r="Q12" s="23">
        <f>IF($C12="","",INDEX(인턴근무계획!$T$3:$T$202,$A12))</f>
        <v/>
      </c>
      <c r="S12" s="23">
        <f>IF(코드표!A8="","",코드표!A8)</f>
        <v/>
      </c>
      <c r="T12" s="23">
        <f>IF($S12="","",COUNTIF(K$6:K$205,$S12&amp;" *"))</f>
        <v/>
      </c>
      <c r="U12" s="23">
        <f>IF($S12="","",COUNTIF(L$6:L$205,$S12&amp;" *"))</f>
        <v/>
      </c>
      <c r="V12" s="23">
        <f>IF($S12="","",COUNTIF(M$6:M$205,$S12&amp;" *"))</f>
        <v/>
      </c>
      <c r="W12" s="23">
        <f>IF($S12="","",COUNTIF(N$6:N$205,$S12&amp;" *"))</f>
        <v/>
      </c>
      <c r="X12" s="23">
        <f>IF($S12="","",COUNTIF(O$6:O$205,$S12&amp;" *"))</f>
        <v/>
      </c>
      <c r="Y12" s="23">
        <f>IF($S12="","",COUNTIF(P$6:P$205,$S12&amp;" *"))</f>
        <v/>
      </c>
    </row>
    <row r="13">
      <c r="A13" s="26" t="n">
        <v>8</v>
      </c>
      <c r="B13" s="23">
        <f>IF($C13="","",INDEX(인턴근무계획!$B$3:$B$202,$A13))</f>
        <v/>
      </c>
      <c r="C13" s="23">
        <f>IFERROR(TRIM(INDEX(인턴근무계획!$C$3:$C$202,$A13)&amp;""),"")</f>
        <v/>
      </c>
      <c r="D13" s="23">
        <f>IF($C13="","",INDEX(인턴근무계획!$D$3:$D$202,$A13))</f>
        <v/>
      </c>
      <c r="E13" s="23">
        <f>IF($C13="","",IF(IFERROR(MATCH($D13,기본자료!$B$2:$B$501,0),IFERROR(MATCH($D13&amp;"",기본자료!$B$2:$B$501,0),IFERROR(MATCH(VALUE($D13),기본자료!$B$2:$B$501,0),0)))&gt;0,"확인","미등록"))</f>
        <v/>
      </c>
      <c r="F13" s="27">
        <f>IF($C13="","",INDEX(인턴근무계획!$S$3:$S$202,$A13))</f>
        <v/>
      </c>
      <c r="G13" s="23">
        <f>IF(OR($C13="",$G$3=""),"",IF(INDEX(인턴근무계획!$M$3:$R$202,$A13,$G$3)&amp;""="","",IF(LEFT(INDEX(인턴근무계획!$M$3:$R$202,$A13,$G$3)&amp;"",1)="⚠",INDEX(인턴근무계획!$M$3:$R$202,$A13,$G$3)&amp;"",LEFT(INDEX(인턴근무계획!$M$3:$R$202,$A13,$G$3)&amp;"",FIND(" ",INDEX(인턴근무계획!$M$3:$R$202,$A13,$G$3)&amp;"")-1))))</f>
        <v/>
      </c>
      <c r="H13" s="23">
        <f>IF(OR($C13="",$G$3=""),"",IF(INDEX(인턴근무계획!$M$3:$R$202,$A13,$G$3)&amp;""="","",IF(LEFT(INDEX(인턴근무계획!$M$3:$R$202,$A13,$G$3)&amp;"",1)="⚠","",MID(INDEX(인턴근무계획!$M$3:$R$202,$A13,$G$3)&amp;"",FIND(" ",INDEX(인턴근무계획!$M$3:$R$202,$A13,$G$3)&amp;"")+1,60))))</f>
        <v/>
      </c>
      <c r="I13" s="23">
        <f>IF(OR($C13="",$I$3=""),"",IF(INDEX(인턴근무계획!$M$3:$R$202,$A13,$I$3)&amp;""="","",IF(LEFT(INDEX(인턴근무계획!$M$3:$R$202,$A13,$I$3)&amp;"",1)="⚠",INDEX(인턴근무계획!$M$3:$R$202,$A13,$I$3)&amp;"",LEFT(INDEX(인턴근무계획!$M$3:$R$202,$A13,$I$3)&amp;"",FIND(" ",INDEX(인턴근무계획!$M$3:$R$202,$A13,$I$3)&amp;"")-1))))</f>
        <v/>
      </c>
      <c r="J13" s="23">
        <f>IF(OR($C13="",$I$3=""),"",IF(INDEX(인턴근무계획!$M$3:$R$202,$A13,$I$3)&amp;""="","",IF(LEFT(INDEX(인턴근무계획!$M$3:$R$202,$A13,$I$3)&amp;"",1)="⚠","",MID(INDEX(인턴근무계획!$M$3:$R$202,$A13,$I$3)&amp;"",FIND(" ",INDEX(인턴근무계획!$M$3:$R$202,$A13,$I$3)&amp;"")+1,60))))</f>
        <v/>
      </c>
      <c r="K13" s="23">
        <f>IF($C13="","",INDEX(인턴근무계획!$M$3:$M$202,$A13)&amp;"")</f>
        <v/>
      </c>
      <c r="L13" s="23">
        <f>IF($C13="","",INDEX(인턴근무계획!$N$3:$N$202,$A13)&amp;"")</f>
        <v/>
      </c>
      <c r="M13" s="23">
        <f>IF($C13="","",INDEX(인턴근무계획!$O$3:$O$202,$A13)&amp;"")</f>
        <v/>
      </c>
      <c r="N13" s="23">
        <f>IF($C13="","",INDEX(인턴근무계획!$P$3:$P$202,$A13)&amp;"")</f>
        <v/>
      </c>
      <c r="O13" s="23">
        <f>IF($C13="","",INDEX(인턴근무계획!$Q$3:$Q$202,$A13)&amp;"")</f>
        <v/>
      </c>
      <c r="P13" s="23">
        <f>IF($C13="","",INDEX(인턴근무계획!$R$3:$R$202,$A13)&amp;"")</f>
        <v/>
      </c>
      <c r="Q13" s="23">
        <f>IF($C13="","",INDEX(인턴근무계획!$T$3:$T$202,$A13))</f>
        <v/>
      </c>
      <c r="S13" s="23">
        <f>IF(코드표!A9="","",코드표!A9)</f>
        <v/>
      </c>
      <c r="T13" s="23">
        <f>IF($S13="","",COUNTIF(K$6:K$205,$S13&amp;" *"))</f>
        <v/>
      </c>
      <c r="U13" s="23">
        <f>IF($S13="","",COUNTIF(L$6:L$205,$S13&amp;" *"))</f>
        <v/>
      </c>
      <c r="V13" s="23">
        <f>IF($S13="","",COUNTIF(M$6:M$205,$S13&amp;" *"))</f>
        <v/>
      </c>
      <c r="W13" s="23">
        <f>IF($S13="","",COUNTIF(N$6:N$205,$S13&amp;" *"))</f>
        <v/>
      </c>
      <c r="X13" s="23">
        <f>IF($S13="","",COUNTIF(O$6:O$205,$S13&amp;" *"))</f>
        <v/>
      </c>
      <c r="Y13" s="23">
        <f>IF($S13="","",COUNTIF(P$6:P$205,$S13&amp;" *"))</f>
        <v/>
      </c>
    </row>
    <row r="14">
      <c r="A14" s="26" t="n">
        <v>9</v>
      </c>
      <c r="B14" s="23">
        <f>IF($C14="","",INDEX(인턴근무계획!$B$3:$B$202,$A14))</f>
        <v/>
      </c>
      <c r="C14" s="23">
        <f>IFERROR(TRIM(INDEX(인턴근무계획!$C$3:$C$202,$A14)&amp;""),"")</f>
        <v/>
      </c>
      <c r="D14" s="23">
        <f>IF($C14="","",INDEX(인턴근무계획!$D$3:$D$202,$A14))</f>
        <v/>
      </c>
      <c r="E14" s="23">
        <f>IF($C14="","",IF(IFERROR(MATCH($D14,기본자료!$B$2:$B$501,0),IFERROR(MATCH($D14&amp;"",기본자료!$B$2:$B$501,0),IFERROR(MATCH(VALUE($D14),기본자료!$B$2:$B$501,0),0)))&gt;0,"확인","미등록"))</f>
        <v/>
      </c>
      <c r="F14" s="27">
        <f>IF($C14="","",INDEX(인턴근무계획!$S$3:$S$202,$A14))</f>
        <v/>
      </c>
      <c r="G14" s="23">
        <f>IF(OR($C14="",$G$3=""),"",IF(INDEX(인턴근무계획!$M$3:$R$202,$A14,$G$3)&amp;""="","",IF(LEFT(INDEX(인턴근무계획!$M$3:$R$202,$A14,$G$3)&amp;"",1)="⚠",INDEX(인턴근무계획!$M$3:$R$202,$A14,$G$3)&amp;"",LEFT(INDEX(인턴근무계획!$M$3:$R$202,$A14,$G$3)&amp;"",FIND(" ",INDEX(인턴근무계획!$M$3:$R$202,$A14,$G$3)&amp;"")-1))))</f>
        <v/>
      </c>
      <c r="H14" s="23">
        <f>IF(OR($C14="",$G$3=""),"",IF(INDEX(인턴근무계획!$M$3:$R$202,$A14,$G$3)&amp;""="","",IF(LEFT(INDEX(인턴근무계획!$M$3:$R$202,$A14,$G$3)&amp;"",1)="⚠","",MID(INDEX(인턴근무계획!$M$3:$R$202,$A14,$G$3)&amp;"",FIND(" ",INDEX(인턴근무계획!$M$3:$R$202,$A14,$G$3)&amp;"")+1,60))))</f>
        <v/>
      </c>
      <c r="I14" s="23">
        <f>IF(OR($C14="",$I$3=""),"",IF(INDEX(인턴근무계획!$M$3:$R$202,$A14,$I$3)&amp;""="","",IF(LEFT(INDEX(인턴근무계획!$M$3:$R$202,$A14,$I$3)&amp;"",1)="⚠",INDEX(인턴근무계획!$M$3:$R$202,$A14,$I$3)&amp;"",LEFT(INDEX(인턴근무계획!$M$3:$R$202,$A14,$I$3)&amp;"",FIND(" ",INDEX(인턴근무계획!$M$3:$R$202,$A14,$I$3)&amp;"")-1))))</f>
        <v/>
      </c>
      <c r="J14" s="23">
        <f>IF(OR($C14="",$I$3=""),"",IF(INDEX(인턴근무계획!$M$3:$R$202,$A14,$I$3)&amp;""="","",IF(LEFT(INDEX(인턴근무계획!$M$3:$R$202,$A14,$I$3)&amp;"",1)="⚠","",MID(INDEX(인턴근무계획!$M$3:$R$202,$A14,$I$3)&amp;"",FIND(" ",INDEX(인턴근무계획!$M$3:$R$202,$A14,$I$3)&amp;"")+1,60))))</f>
        <v/>
      </c>
      <c r="K14" s="23">
        <f>IF($C14="","",INDEX(인턴근무계획!$M$3:$M$202,$A14)&amp;"")</f>
        <v/>
      </c>
      <c r="L14" s="23">
        <f>IF($C14="","",INDEX(인턴근무계획!$N$3:$N$202,$A14)&amp;"")</f>
        <v/>
      </c>
      <c r="M14" s="23">
        <f>IF($C14="","",INDEX(인턴근무계획!$O$3:$O$202,$A14)&amp;"")</f>
        <v/>
      </c>
      <c r="N14" s="23">
        <f>IF($C14="","",INDEX(인턴근무계획!$P$3:$P$202,$A14)&amp;"")</f>
        <v/>
      </c>
      <c r="O14" s="23">
        <f>IF($C14="","",INDEX(인턴근무계획!$Q$3:$Q$202,$A14)&amp;"")</f>
        <v/>
      </c>
      <c r="P14" s="23">
        <f>IF($C14="","",INDEX(인턴근무계획!$R$3:$R$202,$A14)&amp;"")</f>
        <v/>
      </c>
      <c r="Q14" s="23">
        <f>IF($C14="","",INDEX(인턴근무계획!$T$3:$T$202,$A14))</f>
        <v/>
      </c>
      <c r="S14" s="23">
        <f>IF(코드표!A10="","",코드표!A10)</f>
        <v/>
      </c>
      <c r="T14" s="23">
        <f>IF($S14="","",COUNTIF(K$6:K$205,$S14&amp;" *"))</f>
        <v/>
      </c>
      <c r="U14" s="23">
        <f>IF($S14="","",COUNTIF(L$6:L$205,$S14&amp;" *"))</f>
        <v/>
      </c>
      <c r="V14" s="23">
        <f>IF($S14="","",COUNTIF(M$6:M$205,$S14&amp;" *"))</f>
        <v/>
      </c>
      <c r="W14" s="23">
        <f>IF($S14="","",COUNTIF(N$6:N$205,$S14&amp;" *"))</f>
        <v/>
      </c>
      <c r="X14" s="23">
        <f>IF($S14="","",COUNTIF(O$6:O$205,$S14&amp;" *"))</f>
        <v/>
      </c>
      <c r="Y14" s="23">
        <f>IF($S14="","",COUNTIF(P$6:P$205,$S14&amp;" *"))</f>
        <v/>
      </c>
    </row>
    <row r="15">
      <c r="A15" s="26" t="n">
        <v>10</v>
      </c>
      <c r="B15" s="23">
        <f>IF($C15="","",INDEX(인턴근무계획!$B$3:$B$202,$A15))</f>
        <v/>
      </c>
      <c r="C15" s="23">
        <f>IFERROR(TRIM(INDEX(인턴근무계획!$C$3:$C$202,$A15)&amp;""),"")</f>
        <v/>
      </c>
      <c r="D15" s="23">
        <f>IF($C15="","",INDEX(인턴근무계획!$D$3:$D$202,$A15))</f>
        <v/>
      </c>
      <c r="E15" s="23">
        <f>IF($C15="","",IF(IFERROR(MATCH($D15,기본자료!$B$2:$B$501,0),IFERROR(MATCH($D15&amp;"",기본자료!$B$2:$B$501,0),IFERROR(MATCH(VALUE($D15),기본자료!$B$2:$B$501,0),0)))&gt;0,"확인","미등록"))</f>
        <v/>
      </c>
      <c r="F15" s="27">
        <f>IF($C15="","",INDEX(인턴근무계획!$S$3:$S$202,$A15))</f>
        <v/>
      </c>
      <c r="G15" s="23">
        <f>IF(OR($C15="",$G$3=""),"",IF(INDEX(인턴근무계획!$M$3:$R$202,$A15,$G$3)&amp;""="","",IF(LEFT(INDEX(인턴근무계획!$M$3:$R$202,$A15,$G$3)&amp;"",1)="⚠",INDEX(인턴근무계획!$M$3:$R$202,$A15,$G$3)&amp;"",LEFT(INDEX(인턴근무계획!$M$3:$R$202,$A15,$G$3)&amp;"",FIND(" ",INDEX(인턴근무계획!$M$3:$R$202,$A15,$G$3)&amp;"")-1))))</f>
        <v/>
      </c>
      <c r="H15" s="23">
        <f>IF(OR($C15="",$G$3=""),"",IF(INDEX(인턴근무계획!$M$3:$R$202,$A15,$G$3)&amp;""="","",IF(LEFT(INDEX(인턴근무계획!$M$3:$R$202,$A15,$G$3)&amp;"",1)="⚠","",MID(INDEX(인턴근무계획!$M$3:$R$202,$A15,$G$3)&amp;"",FIND(" ",INDEX(인턴근무계획!$M$3:$R$202,$A15,$G$3)&amp;"")+1,60))))</f>
        <v/>
      </c>
      <c r="I15" s="23">
        <f>IF(OR($C15="",$I$3=""),"",IF(INDEX(인턴근무계획!$M$3:$R$202,$A15,$I$3)&amp;""="","",IF(LEFT(INDEX(인턴근무계획!$M$3:$R$202,$A15,$I$3)&amp;"",1)="⚠",INDEX(인턴근무계획!$M$3:$R$202,$A15,$I$3)&amp;"",LEFT(INDEX(인턴근무계획!$M$3:$R$202,$A15,$I$3)&amp;"",FIND(" ",INDEX(인턴근무계획!$M$3:$R$202,$A15,$I$3)&amp;"")-1))))</f>
        <v/>
      </c>
      <c r="J15" s="23">
        <f>IF(OR($C15="",$I$3=""),"",IF(INDEX(인턴근무계획!$M$3:$R$202,$A15,$I$3)&amp;""="","",IF(LEFT(INDEX(인턴근무계획!$M$3:$R$202,$A15,$I$3)&amp;"",1)="⚠","",MID(INDEX(인턴근무계획!$M$3:$R$202,$A15,$I$3)&amp;"",FIND(" ",INDEX(인턴근무계획!$M$3:$R$202,$A15,$I$3)&amp;"")+1,60))))</f>
        <v/>
      </c>
      <c r="K15" s="23">
        <f>IF($C15="","",INDEX(인턴근무계획!$M$3:$M$202,$A15)&amp;"")</f>
        <v/>
      </c>
      <c r="L15" s="23">
        <f>IF($C15="","",INDEX(인턴근무계획!$N$3:$N$202,$A15)&amp;"")</f>
        <v/>
      </c>
      <c r="M15" s="23">
        <f>IF($C15="","",INDEX(인턴근무계획!$O$3:$O$202,$A15)&amp;"")</f>
        <v/>
      </c>
      <c r="N15" s="23">
        <f>IF($C15="","",INDEX(인턴근무계획!$P$3:$P$202,$A15)&amp;"")</f>
        <v/>
      </c>
      <c r="O15" s="23">
        <f>IF($C15="","",INDEX(인턴근무계획!$Q$3:$Q$202,$A15)&amp;"")</f>
        <v/>
      </c>
      <c r="P15" s="23">
        <f>IF($C15="","",INDEX(인턴근무계획!$R$3:$R$202,$A15)&amp;"")</f>
        <v/>
      </c>
      <c r="Q15" s="23">
        <f>IF($C15="","",INDEX(인턴근무계획!$T$3:$T$202,$A15))</f>
        <v/>
      </c>
      <c r="S15" s="23">
        <f>IF(코드표!A11="","",코드표!A11)</f>
        <v/>
      </c>
      <c r="T15" s="23">
        <f>IF($S15="","",COUNTIF(K$6:K$205,$S15&amp;" *"))</f>
        <v/>
      </c>
      <c r="U15" s="23">
        <f>IF($S15="","",COUNTIF(L$6:L$205,$S15&amp;" *"))</f>
        <v/>
      </c>
      <c r="V15" s="23">
        <f>IF($S15="","",COUNTIF(M$6:M$205,$S15&amp;" *"))</f>
        <v/>
      </c>
      <c r="W15" s="23">
        <f>IF($S15="","",COUNTIF(N$6:N$205,$S15&amp;" *"))</f>
        <v/>
      </c>
      <c r="X15" s="23">
        <f>IF($S15="","",COUNTIF(O$6:O$205,$S15&amp;" *"))</f>
        <v/>
      </c>
      <c r="Y15" s="23">
        <f>IF($S15="","",COUNTIF(P$6:P$205,$S15&amp;" *"))</f>
        <v/>
      </c>
    </row>
    <row r="16">
      <c r="A16" s="26" t="n">
        <v>11</v>
      </c>
      <c r="B16" s="23">
        <f>IF($C16="","",INDEX(인턴근무계획!$B$3:$B$202,$A16))</f>
        <v/>
      </c>
      <c r="C16" s="23">
        <f>IFERROR(TRIM(INDEX(인턴근무계획!$C$3:$C$202,$A16)&amp;""),"")</f>
        <v/>
      </c>
      <c r="D16" s="23">
        <f>IF($C16="","",INDEX(인턴근무계획!$D$3:$D$202,$A16))</f>
        <v/>
      </c>
      <c r="E16" s="23">
        <f>IF($C16="","",IF(IFERROR(MATCH($D16,기본자료!$B$2:$B$501,0),IFERROR(MATCH($D16&amp;"",기본자료!$B$2:$B$501,0),IFERROR(MATCH(VALUE($D16),기본자료!$B$2:$B$501,0),0)))&gt;0,"확인","미등록"))</f>
        <v/>
      </c>
      <c r="F16" s="27">
        <f>IF($C16="","",INDEX(인턴근무계획!$S$3:$S$202,$A16))</f>
        <v/>
      </c>
      <c r="G16" s="23">
        <f>IF(OR($C16="",$G$3=""),"",IF(INDEX(인턴근무계획!$M$3:$R$202,$A16,$G$3)&amp;""="","",IF(LEFT(INDEX(인턴근무계획!$M$3:$R$202,$A16,$G$3)&amp;"",1)="⚠",INDEX(인턴근무계획!$M$3:$R$202,$A16,$G$3)&amp;"",LEFT(INDEX(인턴근무계획!$M$3:$R$202,$A16,$G$3)&amp;"",FIND(" ",INDEX(인턴근무계획!$M$3:$R$202,$A16,$G$3)&amp;"")-1))))</f>
        <v/>
      </c>
      <c r="H16" s="23">
        <f>IF(OR($C16="",$G$3=""),"",IF(INDEX(인턴근무계획!$M$3:$R$202,$A16,$G$3)&amp;""="","",IF(LEFT(INDEX(인턴근무계획!$M$3:$R$202,$A16,$G$3)&amp;"",1)="⚠","",MID(INDEX(인턴근무계획!$M$3:$R$202,$A16,$G$3)&amp;"",FIND(" ",INDEX(인턴근무계획!$M$3:$R$202,$A16,$G$3)&amp;"")+1,60))))</f>
        <v/>
      </c>
      <c r="I16" s="23">
        <f>IF(OR($C16="",$I$3=""),"",IF(INDEX(인턴근무계획!$M$3:$R$202,$A16,$I$3)&amp;""="","",IF(LEFT(INDEX(인턴근무계획!$M$3:$R$202,$A16,$I$3)&amp;"",1)="⚠",INDEX(인턴근무계획!$M$3:$R$202,$A16,$I$3)&amp;"",LEFT(INDEX(인턴근무계획!$M$3:$R$202,$A16,$I$3)&amp;"",FIND(" ",INDEX(인턴근무계획!$M$3:$R$202,$A16,$I$3)&amp;"")-1))))</f>
        <v/>
      </c>
      <c r="J16" s="23">
        <f>IF(OR($C16="",$I$3=""),"",IF(INDEX(인턴근무계획!$M$3:$R$202,$A16,$I$3)&amp;""="","",IF(LEFT(INDEX(인턴근무계획!$M$3:$R$202,$A16,$I$3)&amp;"",1)="⚠","",MID(INDEX(인턴근무계획!$M$3:$R$202,$A16,$I$3)&amp;"",FIND(" ",INDEX(인턴근무계획!$M$3:$R$202,$A16,$I$3)&amp;"")+1,60))))</f>
        <v/>
      </c>
      <c r="K16" s="23">
        <f>IF($C16="","",INDEX(인턴근무계획!$M$3:$M$202,$A16)&amp;"")</f>
        <v/>
      </c>
      <c r="L16" s="23">
        <f>IF($C16="","",INDEX(인턴근무계획!$N$3:$N$202,$A16)&amp;"")</f>
        <v/>
      </c>
      <c r="M16" s="23">
        <f>IF($C16="","",INDEX(인턴근무계획!$O$3:$O$202,$A16)&amp;"")</f>
        <v/>
      </c>
      <c r="N16" s="23">
        <f>IF($C16="","",INDEX(인턴근무계획!$P$3:$P$202,$A16)&amp;"")</f>
        <v/>
      </c>
      <c r="O16" s="23">
        <f>IF($C16="","",INDEX(인턴근무계획!$Q$3:$Q$202,$A16)&amp;"")</f>
        <v/>
      </c>
      <c r="P16" s="23">
        <f>IF($C16="","",INDEX(인턴근무계획!$R$3:$R$202,$A16)&amp;"")</f>
        <v/>
      </c>
      <c r="Q16" s="23">
        <f>IF($C16="","",INDEX(인턴근무계획!$T$3:$T$202,$A16))</f>
        <v/>
      </c>
      <c r="S16" s="23">
        <f>IF(코드표!A12="","",코드표!A12)</f>
        <v/>
      </c>
      <c r="T16" s="23">
        <f>IF($S16="","",COUNTIF(K$6:K$205,$S16&amp;" *"))</f>
        <v/>
      </c>
      <c r="U16" s="23">
        <f>IF($S16="","",COUNTIF(L$6:L$205,$S16&amp;" *"))</f>
        <v/>
      </c>
      <c r="V16" s="23">
        <f>IF($S16="","",COUNTIF(M$6:M$205,$S16&amp;" *"))</f>
        <v/>
      </c>
      <c r="W16" s="23">
        <f>IF($S16="","",COUNTIF(N$6:N$205,$S16&amp;" *"))</f>
        <v/>
      </c>
      <c r="X16" s="23">
        <f>IF($S16="","",COUNTIF(O$6:O$205,$S16&amp;" *"))</f>
        <v/>
      </c>
      <c r="Y16" s="23">
        <f>IF($S16="","",COUNTIF(P$6:P$205,$S16&amp;" *"))</f>
        <v/>
      </c>
    </row>
    <row r="17">
      <c r="A17" s="26" t="n">
        <v>12</v>
      </c>
      <c r="B17" s="23">
        <f>IF($C17="","",INDEX(인턴근무계획!$B$3:$B$202,$A17))</f>
        <v/>
      </c>
      <c r="C17" s="23">
        <f>IFERROR(TRIM(INDEX(인턴근무계획!$C$3:$C$202,$A17)&amp;""),"")</f>
        <v/>
      </c>
      <c r="D17" s="23">
        <f>IF($C17="","",INDEX(인턴근무계획!$D$3:$D$202,$A17))</f>
        <v/>
      </c>
      <c r="E17" s="23">
        <f>IF($C17="","",IF(IFERROR(MATCH($D17,기본자료!$B$2:$B$501,0),IFERROR(MATCH($D17&amp;"",기본자료!$B$2:$B$501,0),IFERROR(MATCH(VALUE($D17),기본자료!$B$2:$B$501,0),0)))&gt;0,"확인","미등록"))</f>
        <v/>
      </c>
      <c r="F17" s="27">
        <f>IF($C17="","",INDEX(인턴근무계획!$S$3:$S$202,$A17))</f>
        <v/>
      </c>
      <c r="G17" s="23">
        <f>IF(OR($C17="",$G$3=""),"",IF(INDEX(인턴근무계획!$M$3:$R$202,$A17,$G$3)&amp;""="","",IF(LEFT(INDEX(인턴근무계획!$M$3:$R$202,$A17,$G$3)&amp;"",1)="⚠",INDEX(인턴근무계획!$M$3:$R$202,$A17,$G$3)&amp;"",LEFT(INDEX(인턴근무계획!$M$3:$R$202,$A17,$G$3)&amp;"",FIND(" ",INDEX(인턴근무계획!$M$3:$R$202,$A17,$G$3)&amp;"")-1))))</f>
        <v/>
      </c>
      <c r="H17" s="23">
        <f>IF(OR($C17="",$G$3=""),"",IF(INDEX(인턴근무계획!$M$3:$R$202,$A17,$G$3)&amp;""="","",IF(LEFT(INDEX(인턴근무계획!$M$3:$R$202,$A17,$G$3)&amp;"",1)="⚠","",MID(INDEX(인턴근무계획!$M$3:$R$202,$A17,$G$3)&amp;"",FIND(" ",INDEX(인턴근무계획!$M$3:$R$202,$A17,$G$3)&amp;"")+1,60))))</f>
        <v/>
      </c>
      <c r="I17" s="23">
        <f>IF(OR($C17="",$I$3=""),"",IF(INDEX(인턴근무계획!$M$3:$R$202,$A17,$I$3)&amp;""="","",IF(LEFT(INDEX(인턴근무계획!$M$3:$R$202,$A17,$I$3)&amp;"",1)="⚠",INDEX(인턴근무계획!$M$3:$R$202,$A17,$I$3)&amp;"",LEFT(INDEX(인턴근무계획!$M$3:$R$202,$A17,$I$3)&amp;"",FIND(" ",INDEX(인턴근무계획!$M$3:$R$202,$A17,$I$3)&amp;"")-1))))</f>
        <v/>
      </c>
      <c r="J17" s="23">
        <f>IF(OR($C17="",$I$3=""),"",IF(INDEX(인턴근무계획!$M$3:$R$202,$A17,$I$3)&amp;""="","",IF(LEFT(INDEX(인턴근무계획!$M$3:$R$202,$A17,$I$3)&amp;"",1)="⚠","",MID(INDEX(인턴근무계획!$M$3:$R$202,$A17,$I$3)&amp;"",FIND(" ",INDEX(인턴근무계획!$M$3:$R$202,$A17,$I$3)&amp;"")+1,60))))</f>
        <v/>
      </c>
      <c r="K17" s="23">
        <f>IF($C17="","",INDEX(인턴근무계획!$M$3:$M$202,$A17)&amp;"")</f>
        <v/>
      </c>
      <c r="L17" s="23">
        <f>IF($C17="","",INDEX(인턴근무계획!$N$3:$N$202,$A17)&amp;"")</f>
        <v/>
      </c>
      <c r="M17" s="23">
        <f>IF($C17="","",INDEX(인턴근무계획!$O$3:$O$202,$A17)&amp;"")</f>
        <v/>
      </c>
      <c r="N17" s="23">
        <f>IF($C17="","",INDEX(인턴근무계획!$P$3:$P$202,$A17)&amp;"")</f>
        <v/>
      </c>
      <c r="O17" s="23">
        <f>IF($C17="","",INDEX(인턴근무계획!$Q$3:$Q$202,$A17)&amp;"")</f>
        <v/>
      </c>
      <c r="P17" s="23">
        <f>IF($C17="","",INDEX(인턴근무계획!$R$3:$R$202,$A17)&amp;"")</f>
        <v/>
      </c>
      <c r="Q17" s="23">
        <f>IF($C17="","",INDEX(인턴근무계획!$T$3:$T$202,$A17))</f>
        <v/>
      </c>
      <c r="S17" s="23">
        <f>IF(코드표!A13="","",코드표!A13)</f>
        <v/>
      </c>
      <c r="T17" s="23">
        <f>IF($S17="","",COUNTIF(K$6:K$205,$S17&amp;" *"))</f>
        <v/>
      </c>
      <c r="U17" s="23">
        <f>IF($S17="","",COUNTIF(L$6:L$205,$S17&amp;" *"))</f>
        <v/>
      </c>
      <c r="V17" s="23">
        <f>IF($S17="","",COUNTIF(M$6:M$205,$S17&amp;" *"))</f>
        <v/>
      </c>
      <c r="W17" s="23">
        <f>IF($S17="","",COUNTIF(N$6:N$205,$S17&amp;" *"))</f>
        <v/>
      </c>
      <c r="X17" s="23">
        <f>IF($S17="","",COUNTIF(O$6:O$205,$S17&amp;" *"))</f>
        <v/>
      </c>
      <c r="Y17" s="23">
        <f>IF($S17="","",COUNTIF(P$6:P$205,$S17&amp;" *"))</f>
        <v/>
      </c>
    </row>
    <row r="18">
      <c r="A18" s="26" t="n">
        <v>13</v>
      </c>
      <c r="B18" s="23">
        <f>IF($C18="","",INDEX(인턴근무계획!$B$3:$B$202,$A18))</f>
        <v/>
      </c>
      <c r="C18" s="23">
        <f>IFERROR(TRIM(INDEX(인턴근무계획!$C$3:$C$202,$A18)&amp;""),"")</f>
        <v/>
      </c>
      <c r="D18" s="23">
        <f>IF($C18="","",INDEX(인턴근무계획!$D$3:$D$202,$A18))</f>
        <v/>
      </c>
      <c r="E18" s="23">
        <f>IF($C18="","",IF(IFERROR(MATCH($D18,기본자료!$B$2:$B$501,0),IFERROR(MATCH($D18&amp;"",기본자료!$B$2:$B$501,0),IFERROR(MATCH(VALUE($D18),기본자료!$B$2:$B$501,0),0)))&gt;0,"확인","미등록"))</f>
        <v/>
      </c>
      <c r="F18" s="27">
        <f>IF($C18="","",INDEX(인턴근무계획!$S$3:$S$202,$A18))</f>
        <v/>
      </c>
      <c r="G18" s="23">
        <f>IF(OR($C18="",$G$3=""),"",IF(INDEX(인턴근무계획!$M$3:$R$202,$A18,$G$3)&amp;""="","",IF(LEFT(INDEX(인턴근무계획!$M$3:$R$202,$A18,$G$3)&amp;"",1)="⚠",INDEX(인턴근무계획!$M$3:$R$202,$A18,$G$3)&amp;"",LEFT(INDEX(인턴근무계획!$M$3:$R$202,$A18,$G$3)&amp;"",FIND(" ",INDEX(인턴근무계획!$M$3:$R$202,$A18,$G$3)&amp;"")-1))))</f>
        <v/>
      </c>
      <c r="H18" s="23">
        <f>IF(OR($C18="",$G$3=""),"",IF(INDEX(인턴근무계획!$M$3:$R$202,$A18,$G$3)&amp;""="","",IF(LEFT(INDEX(인턴근무계획!$M$3:$R$202,$A18,$G$3)&amp;"",1)="⚠","",MID(INDEX(인턴근무계획!$M$3:$R$202,$A18,$G$3)&amp;"",FIND(" ",INDEX(인턴근무계획!$M$3:$R$202,$A18,$G$3)&amp;"")+1,60))))</f>
        <v/>
      </c>
      <c r="I18" s="23">
        <f>IF(OR($C18="",$I$3=""),"",IF(INDEX(인턴근무계획!$M$3:$R$202,$A18,$I$3)&amp;""="","",IF(LEFT(INDEX(인턴근무계획!$M$3:$R$202,$A18,$I$3)&amp;"",1)="⚠",INDEX(인턴근무계획!$M$3:$R$202,$A18,$I$3)&amp;"",LEFT(INDEX(인턴근무계획!$M$3:$R$202,$A18,$I$3)&amp;"",FIND(" ",INDEX(인턴근무계획!$M$3:$R$202,$A18,$I$3)&amp;"")-1))))</f>
        <v/>
      </c>
      <c r="J18" s="23">
        <f>IF(OR($C18="",$I$3=""),"",IF(INDEX(인턴근무계획!$M$3:$R$202,$A18,$I$3)&amp;""="","",IF(LEFT(INDEX(인턴근무계획!$M$3:$R$202,$A18,$I$3)&amp;"",1)="⚠","",MID(INDEX(인턴근무계획!$M$3:$R$202,$A18,$I$3)&amp;"",FIND(" ",INDEX(인턴근무계획!$M$3:$R$202,$A18,$I$3)&amp;"")+1,60))))</f>
        <v/>
      </c>
      <c r="K18" s="23">
        <f>IF($C18="","",INDEX(인턴근무계획!$M$3:$M$202,$A18)&amp;"")</f>
        <v/>
      </c>
      <c r="L18" s="23">
        <f>IF($C18="","",INDEX(인턴근무계획!$N$3:$N$202,$A18)&amp;"")</f>
        <v/>
      </c>
      <c r="M18" s="23">
        <f>IF($C18="","",INDEX(인턴근무계획!$O$3:$O$202,$A18)&amp;"")</f>
        <v/>
      </c>
      <c r="N18" s="23">
        <f>IF($C18="","",INDEX(인턴근무계획!$P$3:$P$202,$A18)&amp;"")</f>
        <v/>
      </c>
      <c r="O18" s="23">
        <f>IF($C18="","",INDEX(인턴근무계획!$Q$3:$Q$202,$A18)&amp;"")</f>
        <v/>
      </c>
      <c r="P18" s="23">
        <f>IF($C18="","",INDEX(인턴근무계획!$R$3:$R$202,$A18)&amp;"")</f>
        <v/>
      </c>
      <c r="Q18" s="23">
        <f>IF($C18="","",INDEX(인턴근무계획!$T$3:$T$202,$A18))</f>
        <v/>
      </c>
      <c r="S18" s="23">
        <f>IF(코드표!A14="","",코드표!A14)</f>
        <v/>
      </c>
      <c r="T18" s="23">
        <f>IF($S18="","",COUNTIF(K$6:K$205,$S18&amp;" *"))</f>
        <v/>
      </c>
      <c r="U18" s="23">
        <f>IF($S18="","",COUNTIF(L$6:L$205,$S18&amp;" *"))</f>
        <v/>
      </c>
      <c r="V18" s="23">
        <f>IF($S18="","",COUNTIF(M$6:M$205,$S18&amp;" *"))</f>
        <v/>
      </c>
      <c r="W18" s="23">
        <f>IF($S18="","",COUNTIF(N$6:N$205,$S18&amp;" *"))</f>
        <v/>
      </c>
      <c r="X18" s="23">
        <f>IF($S18="","",COUNTIF(O$6:O$205,$S18&amp;" *"))</f>
        <v/>
      </c>
      <c r="Y18" s="23">
        <f>IF($S18="","",COUNTIF(P$6:P$205,$S18&amp;" *"))</f>
        <v/>
      </c>
    </row>
    <row r="19">
      <c r="A19" s="26" t="n">
        <v>14</v>
      </c>
      <c r="B19" s="23">
        <f>IF($C19="","",INDEX(인턴근무계획!$B$3:$B$202,$A19))</f>
        <v/>
      </c>
      <c r="C19" s="23">
        <f>IFERROR(TRIM(INDEX(인턴근무계획!$C$3:$C$202,$A19)&amp;""),"")</f>
        <v/>
      </c>
      <c r="D19" s="23">
        <f>IF($C19="","",INDEX(인턴근무계획!$D$3:$D$202,$A19))</f>
        <v/>
      </c>
      <c r="E19" s="23">
        <f>IF($C19="","",IF(IFERROR(MATCH($D19,기본자료!$B$2:$B$501,0),IFERROR(MATCH($D19&amp;"",기본자료!$B$2:$B$501,0),IFERROR(MATCH(VALUE($D19),기본자료!$B$2:$B$501,0),0)))&gt;0,"확인","미등록"))</f>
        <v/>
      </c>
      <c r="F19" s="27">
        <f>IF($C19="","",INDEX(인턴근무계획!$S$3:$S$202,$A19))</f>
        <v/>
      </c>
      <c r="G19" s="23">
        <f>IF(OR($C19="",$G$3=""),"",IF(INDEX(인턴근무계획!$M$3:$R$202,$A19,$G$3)&amp;""="","",IF(LEFT(INDEX(인턴근무계획!$M$3:$R$202,$A19,$G$3)&amp;"",1)="⚠",INDEX(인턴근무계획!$M$3:$R$202,$A19,$G$3)&amp;"",LEFT(INDEX(인턴근무계획!$M$3:$R$202,$A19,$G$3)&amp;"",FIND(" ",INDEX(인턴근무계획!$M$3:$R$202,$A19,$G$3)&amp;"")-1))))</f>
        <v/>
      </c>
      <c r="H19" s="23">
        <f>IF(OR($C19="",$G$3=""),"",IF(INDEX(인턴근무계획!$M$3:$R$202,$A19,$G$3)&amp;""="","",IF(LEFT(INDEX(인턴근무계획!$M$3:$R$202,$A19,$G$3)&amp;"",1)="⚠","",MID(INDEX(인턴근무계획!$M$3:$R$202,$A19,$G$3)&amp;"",FIND(" ",INDEX(인턴근무계획!$M$3:$R$202,$A19,$G$3)&amp;"")+1,60))))</f>
        <v/>
      </c>
      <c r="I19" s="23">
        <f>IF(OR($C19="",$I$3=""),"",IF(INDEX(인턴근무계획!$M$3:$R$202,$A19,$I$3)&amp;""="","",IF(LEFT(INDEX(인턴근무계획!$M$3:$R$202,$A19,$I$3)&amp;"",1)="⚠",INDEX(인턴근무계획!$M$3:$R$202,$A19,$I$3)&amp;"",LEFT(INDEX(인턴근무계획!$M$3:$R$202,$A19,$I$3)&amp;"",FIND(" ",INDEX(인턴근무계획!$M$3:$R$202,$A19,$I$3)&amp;"")-1))))</f>
        <v/>
      </c>
      <c r="J19" s="23">
        <f>IF(OR($C19="",$I$3=""),"",IF(INDEX(인턴근무계획!$M$3:$R$202,$A19,$I$3)&amp;""="","",IF(LEFT(INDEX(인턴근무계획!$M$3:$R$202,$A19,$I$3)&amp;"",1)="⚠","",MID(INDEX(인턴근무계획!$M$3:$R$202,$A19,$I$3)&amp;"",FIND(" ",INDEX(인턴근무계획!$M$3:$R$202,$A19,$I$3)&amp;"")+1,60))))</f>
        <v/>
      </c>
      <c r="K19" s="23">
        <f>IF($C19="","",INDEX(인턴근무계획!$M$3:$M$202,$A19)&amp;"")</f>
        <v/>
      </c>
      <c r="L19" s="23">
        <f>IF($C19="","",INDEX(인턴근무계획!$N$3:$N$202,$A19)&amp;"")</f>
        <v/>
      </c>
      <c r="M19" s="23">
        <f>IF($C19="","",INDEX(인턴근무계획!$O$3:$O$202,$A19)&amp;"")</f>
        <v/>
      </c>
      <c r="N19" s="23">
        <f>IF($C19="","",INDEX(인턴근무계획!$P$3:$P$202,$A19)&amp;"")</f>
        <v/>
      </c>
      <c r="O19" s="23">
        <f>IF($C19="","",INDEX(인턴근무계획!$Q$3:$Q$202,$A19)&amp;"")</f>
        <v/>
      </c>
      <c r="P19" s="23">
        <f>IF($C19="","",INDEX(인턴근무계획!$R$3:$R$202,$A19)&amp;"")</f>
        <v/>
      </c>
      <c r="Q19" s="23">
        <f>IF($C19="","",INDEX(인턴근무계획!$T$3:$T$202,$A19))</f>
        <v/>
      </c>
      <c r="S19" s="23">
        <f>IF(코드표!A15="","",코드표!A15)</f>
        <v/>
      </c>
      <c r="T19" s="23">
        <f>IF($S19="","",COUNTIF(K$6:K$205,$S19&amp;" *"))</f>
        <v/>
      </c>
      <c r="U19" s="23">
        <f>IF($S19="","",COUNTIF(L$6:L$205,$S19&amp;" *"))</f>
        <v/>
      </c>
      <c r="V19" s="23">
        <f>IF($S19="","",COUNTIF(M$6:M$205,$S19&amp;" *"))</f>
        <v/>
      </c>
      <c r="W19" s="23">
        <f>IF($S19="","",COUNTIF(N$6:N$205,$S19&amp;" *"))</f>
        <v/>
      </c>
      <c r="X19" s="23">
        <f>IF($S19="","",COUNTIF(O$6:O$205,$S19&amp;" *"))</f>
        <v/>
      </c>
      <c r="Y19" s="23">
        <f>IF($S19="","",COUNTIF(P$6:P$205,$S19&amp;" *"))</f>
        <v/>
      </c>
    </row>
    <row r="20">
      <c r="A20" s="26" t="n">
        <v>15</v>
      </c>
      <c r="B20" s="23">
        <f>IF($C20="","",INDEX(인턴근무계획!$B$3:$B$202,$A20))</f>
        <v/>
      </c>
      <c r="C20" s="23">
        <f>IFERROR(TRIM(INDEX(인턴근무계획!$C$3:$C$202,$A20)&amp;""),"")</f>
        <v/>
      </c>
      <c r="D20" s="23">
        <f>IF($C20="","",INDEX(인턴근무계획!$D$3:$D$202,$A20))</f>
        <v/>
      </c>
      <c r="E20" s="23">
        <f>IF($C20="","",IF(IFERROR(MATCH($D20,기본자료!$B$2:$B$501,0),IFERROR(MATCH($D20&amp;"",기본자료!$B$2:$B$501,0),IFERROR(MATCH(VALUE($D20),기본자료!$B$2:$B$501,0),0)))&gt;0,"확인","미등록"))</f>
        <v/>
      </c>
      <c r="F20" s="27">
        <f>IF($C20="","",INDEX(인턴근무계획!$S$3:$S$202,$A20))</f>
        <v/>
      </c>
      <c r="G20" s="23">
        <f>IF(OR($C20="",$G$3=""),"",IF(INDEX(인턴근무계획!$M$3:$R$202,$A20,$G$3)&amp;""="","",IF(LEFT(INDEX(인턴근무계획!$M$3:$R$202,$A20,$G$3)&amp;"",1)="⚠",INDEX(인턴근무계획!$M$3:$R$202,$A20,$G$3)&amp;"",LEFT(INDEX(인턴근무계획!$M$3:$R$202,$A20,$G$3)&amp;"",FIND(" ",INDEX(인턴근무계획!$M$3:$R$202,$A20,$G$3)&amp;"")-1))))</f>
        <v/>
      </c>
      <c r="H20" s="23">
        <f>IF(OR($C20="",$G$3=""),"",IF(INDEX(인턴근무계획!$M$3:$R$202,$A20,$G$3)&amp;""="","",IF(LEFT(INDEX(인턴근무계획!$M$3:$R$202,$A20,$G$3)&amp;"",1)="⚠","",MID(INDEX(인턴근무계획!$M$3:$R$202,$A20,$G$3)&amp;"",FIND(" ",INDEX(인턴근무계획!$M$3:$R$202,$A20,$G$3)&amp;"")+1,60))))</f>
        <v/>
      </c>
      <c r="I20" s="23">
        <f>IF(OR($C20="",$I$3=""),"",IF(INDEX(인턴근무계획!$M$3:$R$202,$A20,$I$3)&amp;""="","",IF(LEFT(INDEX(인턴근무계획!$M$3:$R$202,$A20,$I$3)&amp;"",1)="⚠",INDEX(인턴근무계획!$M$3:$R$202,$A20,$I$3)&amp;"",LEFT(INDEX(인턴근무계획!$M$3:$R$202,$A20,$I$3)&amp;"",FIND(" ",INDEX(인턴근무계획!$M$3:$R$202,$A20,$I$3)&amp;"")-1))))</f>
        <v/>
      </c>
      <c r="J20" s="23">
        <f>IF(OR($C20="",$I$3=""),"",IF(INDEX(인턴근무계획!$M$3:$R$202,$A20,$I$3)&amp;""="","",IF(LEFT(INDEX(인턴근무계획!$M$3:$R$202,$A20,$I$3)&amp;"",1)="⚠","",MID(INDEX(인턴근무계획!$M$3:$R$202,$A20,$I$3)&amp;"",FIND(" ",INDEX(인턴근무계획!$M$3:$R$202,$A20,$I$3)&amp;"")+1,60))))</f>
        <v/>
      </c>
      <c r="K20" s="23">
        <f>IF($C20="","",INDEX(인턴근무계획!$M$3:$M$202,$A20)&amp;"")</f>
        <v/>
      </c>
      <c r="L20" s="23">
        <f>IF($C20="","",INDEX(인턴근무계획!$N$3:$N$202,$A20)&amp;"")</f>
        <v/>
      </c>
      <c r="M20" s="23">
        <f>IF($C20="","",INDEX(인턴근무계획!$O$3:$O$202,$A20)&amp;"")</f>
        <v/>
      </c>
      <c r="N20" s="23">
        <f>IF($C20="","",INDEX(인턴근무계획!$P$3:$P$202,$A20)&amp;"")</f>
        <v/>
      </c>
      <c r="O20" s="23">
        <f>IF($C20="","",INDEX(인턴근무계획!$Q$3:$Q$202,$A20)&amp;"")</f>
        <v/>
      </c>
      <c r="P20" s="23">
        <f>IF($C20="","",INDEX(인턴근무계획!$R$3:$R$202,$A20)&amp;"")</f>
        <v/>
      </c>
      <c r="Q20" s="23">
        <f>IF($C20="","",INDEX(인턴근무계획!$T$3:$T$202,$A20))</f>
        <v/>
      </c>
      <c r="S20" s="23">
        <f>IF(코드표!A16="","",코드표!A16)</f>
        <v/>
      </c>
      <c r="T20" s="23">
        <f>IF($S20="","",COUNTIF(K$6:K$205,$S20&amp;" *"))</f>
        <v/>
      </c>
      <c r="U20" s="23">
        <f>IF($S20="","",COUNTIF(L$6:L$205,$S20&amp;" *"))</f>
        <v/>
      </c>
      <c r="V20" s="23">
        <f>IF($S20="","",COUNTIF(M$6:M$205,$S20&amp;" *"))</f>
        <v/>
      </c>
      <c r="W20" s="23">
        <f>IF($S20="","",COUNTIF(N$6:N$205,$S20&amp;" *"))</f>
        <v/>
      </c>
      <c r="X20" s="23">
        <f>IF($S20="","",COUNTIF(O$6:O$205,$S20&amp;" *"))</f>
        <v/>
      </c>
      <c r="Y20" s="23">
        <f>IF($S20="","",COUNTIF(P$6:P$205,$S20&amp;" *"))</f>
        <v/>
      </c>
    </row>
    <row r="21">
      <c r="A21" s="26" t="n">
        <v>16</v>
      </c>
      <c r="B21" s="23">
        <f>IF($C21="","",INDEX(인턴근무계획!$B$3:$B$202,$A21))</f>
        <v/>
      </c>
      <c r="C21" s="23">
        <f>IFERROR(TRIM(INDEX(인턴근무계획!$C$3:$C$202,$A21)&amp;""),"")</f>
        <v/>
      </c>
      <c r="D21" s="23">
        <f>IF($C21="","",INDEX(인턴근무계획!$D$3:$D$202,$A21))</f>
        <v/>
      </c>
      <c r="E21" s="23">
        <f>IF($C21="","",IF(IFERROR(MATCH($D21,기본자료!$B$2:$B$501,0),IFERROR(MATCH($D21&amp;"",기본자료!$B$2:$B$501,0),IFERROR(MATCH(VALUE($D21),기본자료!$B$2:$B$501,0),0)))&gt;0,"확인","미등록"))</f>
        <v/>
      </c>
      <c r="F21" s="27">
        <f>IF($C21="","",INDEX(인턴근무계획!$S$3:$S$202,$A21))</f>
        <v/>
      </c>
      <c r="G21" s="23">
        <f>IF(OR($C21="",$G$3=""),"",IF(INDEX(인턴근무계획!$M$3:$R$202,$A21,$G$3)&amp;""="","",IF(LEFT(INDEX(인턴근무계획!$M$3:$R$202,$A21,$G$3)&amp;"",1)="⚠",INDEX(인턴근무계획!$M$3:$R$202,$A21,$G$3)&amp;"",LEFT(INDEX(인턴근무계획!$M$3:$R$202,$A21,$G$3)&amp;"",FIND(" ",INDEX(인턴근무계획!$M$3:$R$202,$A21,$G$3)&amp;"")-1))))</f>
        <v/>
      </c>
      <c r="H21" s="23">
        <f>IF(OR($C21="",$G$3=""),"",IF(INDEX(인턴근무계획!$M$3:$R$202,$A21,$G$3)&amp;""="","",IF(LEFT(INDEX(인턴근무계획!$M$3:$R$202,$A21,$G$3)&amp;"",1)="⚠","",MID(INDEX(인턴근무계획!$M$3:$R$202,$A21,$G$3)&amp;"",FIND(" ",INDEX(인턴근무계획!$M$3:$R$202,$A21,$G$3)&amp;"")+1,60))))</f>
        <v/>
      </c>
      <c r="I21" s="23">
        <f>IF(OR($C21="",$I$3=""),"",IF(INDEX(인턴근무계획!$M$3:$R$202,$A21,$I$3)&amp;""="","",IF(LEFT(INDEX(인턴근무계획!$M$3:$R$202,$A21,$I$3)&amp;"",1)="⚠",INDEX(인턴근무계획!$M$3:$R$202,$A21,$I$3)&amp;"",LEFT(INDEX(인턴근무계획!$M$3:$R$202,$A21,$I$3)&amp;"",FIND(" ",INDEX(인턴근무계획!$M$3:$R$202,$A21,$I$3)&amp;"")-1))))</f>
        <v/>
      </c>
      <c r="J21" s="23">
        <f>IF(OR($C21="",$I$3=""),"",IF(INDEX(인턴근무계획!$M$3:$R$202,$A21,$I$3)&amp;""="","",IF(LEFT(INDEX(인턴근무계획!$M$3:$R$202,$A21,$I$3)&amp;"",1)="⚠","",MID(INDEX(인턴근무계획!$M$3:$R$202,$A21,$I$3)&amp;"",FIND(" ",INDEX(인턴근무계획!$M$3:$R$202,$A21,$I$3)&amp;"")+1,60))))</f>
        <v/>
      </c>
      <c r="K21" s="23">
        <f>IF($C21="","",INDEX(인턴근무계획!$M$3:$M$202,$A21)&amp;"")</f>
        <v/>
      </c>
      <c r="L21" s="23">
        <f>IF($C21="","",INDEX(인턴근무계획!$N$3:$N$202,$A21)&amp;"")</f>
        <v/>
      </c>
      <c r="M21" s="23">
        <f>IF($C21="","",INDEX(인턴근무계획!$O$3:$O$202,$A21)&amp;"")</f>
        <v/>
      </c>
      <c r="N21" s="23">
        <f>IF($C21="","",INDEX(인턴근무계획!$P$3:$P$202,$A21)&amp;"")</f>
        <v/>
      </c>
      <c r="O21" s="23">
        <f>IF($C21="","",INDEX(인턴근무계획!$Q$3:$Q$202,$A21)&amp;"")</f>
        <v/>
      </c>
      <c r="P21" s="23">
        <f>IF($C21="","",INDEX(인턴근무계획!$R$3:$R$202,$A21)&amp;"")</f>
        <v/>
      </c>
      <c r="Q21" s="23">
        <f>IF($C21="","",INDEX(인턴근무계획!$T$3:$T$202,$A21))</f>
        <v/>
      </c>
      <c r="S21" s="23">
        <f>IF(코드표!A17="","",코드표!A17)</f>
        <v/>
      </c>
      <c r="T21" s="23">
        <f>IF($S21="","",COUNTIF(K$6:K$205,$S21&amp;" *"))</f>
        <v/>
      </c>
      <c r="U21" s="23">
        <f>IF($S21="","",COUNTIF(L$6:L$205,$S21&amp;" *"))</f>
        <v/>
      </c>
      <c r="V21" s="23">
        <f>IF($S21="","",COUNTIF(M$6:M$205,$S21&amp;" *"))</f>
        <v/>
      </c>
      <c r="W21" s="23">
        <f>IF($S21="","",COUNTIF(N$6:N$205,$S21&amp;" *"))</f>
        <v/>
      </c>
      <c r="X21" s="23">
        <f>IF($S21="","",COUNTIF(O$6:O$205,$S21&amp;" *"))</f>
        <v/>
      </c>
      <c r="Y21" s="23">
        <f>IF($S21="","",COUNTIF(P$6:P$205,$S21&amp;" *"))</f>
        <v/>
      </c>
    </row>
    <row r="22">
      <c r="A22" s="26" t="n">
        <v>17</v>
      </c>
      <c r="B22" s="23">
        <f>IF($C22="","",INDEX(인턴근무계획!$B$3:$B$202,$A22))</f>
        <v/>
      </c>
      <c r="C22" s="23">
        <f>IFERROR(TRIM(INDEX(인턴근무계획!$C$3:$C$202,$A22)&amp;""),"")</f>
        <v/>
      </c>
      <c r="D22" s="23">
        <f>IF($C22="","",INDEX(인턴근무계획!$D$3:$D$202,$A22))</f>
        <v/>
      </c>
      <c r="E22" s="23">
        <f>IF($C22="","",IF(IFERROR(MATCH($D22,기본자료!$B$2:$B$501,0),IFERROR(MATCH($D22&amp;"",기본자료!$B$2:$B$501,0),IFERROR(MATCH(VALUE($D22),기본자료!$B$2:$B$501,0),0)))&gt;0,"확인","미등록"))</f>
        <v/>
      </c>
      <c r="F22" s="27">
        <f>IF($C22="","",INDEX(인턴근무계획!$S$3:$S$202,$A22))</f>
        <v/>
      </c>
      <c r="G22" s="23">
        <f>IF(OR($C22="",$G$3=""),"",IF(INDEX(인턴근무계획!$M$3:$R$202,$A22,$G$3)&amp;""="","",IF(LEFT(INDEX(인턴근무계획!$M$3:$R$202,$A22,$G$3)&amp;"",1)="⚠",INDEX(인턴근무계획!$M$3:$R$202,$A22,$G$3)&amp;"",LEFT(INDEX(인턴근무계획!$M$3:$R$202,$A22,$G$3)&amp;"",FIND(" ",INDEX(인턴근무계획!$M$3:$R$202,$A22,$G$3)&amp;"")-1))))</f>
        <v/>
      </c>
      <c r="H22" s="23">
        <f>IF(OR($C22="",$G$3=""),"",IF(INDEX(인턴근무계획!$M$3:$R$202,$A22,$G$3)&amp;""="","",IF(LEFT(INDEX(인턴근무계획!$M$3:$R$202,$A22,$G$3)&amp;"",1)="⚠","",MID(INDEX(인턴근무계획!$M$3:$R$202,$A22,$G$3)&amp;"",FIND(" ",INDEX(인턴근무계획!$M$3:$R$202,$A22,$G$3)&amp;"")+1,60))))</f>
        <v/>
      </c>
      <c r="I22" s="23">
        <f>IF(OR($C22="",$I$3=""),"",IF(INDEX(인턴근무계획!$M$3:$R$202,$A22,$I$3)&amp;""="","",IF(LEFT(INDEX(인턴근무계획!$M$3:$R$202,$A22,$I$3)&amp;"",1)="⚠",INDEX(인턴근무계획!$M$3:$R$202,$A22,$I$3)&amp;"",LEFT(INDEX(인턴근무계획!$M$3:$R$202,$A22,$I$3)&amp;"",FIND(" ",INDEX(인턴근무계획!$M$3:$R$202,$A22,$I$3)&amp;"")-1))))</f>
        <v/>
      </c>
      <c r="J22" s="23">
        <f>IF(OR($C22="",$I$3=""),"",IF(INDEX(인턴근무계획!$M$3:$R$202,$A22,$I$3)&amp;""="","",IF(LEFT(INDEX(인턴근무계획!$M$3:$R$202,$A22,$I$3)&amp;"",1)="⚠","",MID(INDEX(인턴근무계획!$M$3:$R$202,$A22,$I$3)&amp;"",FIND(" ",INDEX(인턴근무계획!$M$3:$R$202,$A22,$I$3)&amp;"")+1,60))))</f>
        <v/>
      </c>
      <c r="K22" s="23">
        <f>IF($C22="","",INDEX(인턴근무계획!$M$3:$M$202,$A22)&amp;"")</f>
        <v/>
      </c>
      <c r="L22" s="23">
        <f>IF($C22="","",INDEX(인턴근무계획!$N$3:$N$202,$A22)&amp;"")</f>
        <v/>
      </c>
      <c r="M22" s="23">
        <f>IF($C22="","",INDEX(인턴근무계획!$O$3:$O$202,$A22)&amp;"")</f>
        <v/>
      </c>
      <c r="N22" s="23">
        <f>IF($C22="","",INDEX(인턴근무계획!$P$3:$P$202,$A22)&amp;"")</f>
        <v/>
      </c>
      <c r="O22" s="23">
        <f>IF($C22="","",INDEX(인턴근무계획!$Q$3:$Q$202,$A22)&amp;"")</f>
        <v/>
      </c>
      <c r="P22" s="23">
        <f>IF($C22="","",INDEX(인턴근무계획!$R$3:$R$202,$A22)&amp;"")</f>
        <v/>
      </c>
      <c r="Q22" s="23">
        <f>IF($C22="","",INDEX(인턴근무계획!$T$3:$T$202,$A22))</f>
        <v/>
      </c>
      <c r="S22" s="23">
        <f>IF(코드표!A18="","",코드표!A18)</f>
        <v/>
      </c>
      <c r="T22" s="23">
        <f>IF($S22="","",COUNTIF(K$6:K$205,$S22&amp;" *"))</f>
        <v/>
      </c>
      <c r="U22" s="23">
        <f>IF($S22="","",COUNTIF(L$6:L$205,$S22&amp;" *"))</f>
        <v/>
      </c>
      <c r="V22" s="23">
        <f>IF($S22="","",COUNTIF(M$6:M$205,$S22&amp;" *"))</f>
        <v/>
      </c>
      <c r="W22" s="23">
        <f>IF($S22="","",COUNTIF(N$6:N$205,$S22&amp;" *"))</f>
        <v/>
      </c>
      <c r="X22" s="23">
        <f>IF($S22="","",COUNTIF(O$6:O$205,$S22&amp;" *"))</f>
        <v/>
      </c>
      <c r="Y22" s="23">
        <f>IF($S22="","",COUNTIF(P$6:P$205,$S22&amp;" *"))</f>
        <v/>
      </c>
    </row>
    <row r="23">
      <c r="A23" s="26" t="n">
        <v>18</v>
      </c>
      <c r="B23" s="23">
        <f>IF($C23="","",INDEX(인턴근무계획!$B$3:$B$202,$A23))</f>
        <v/>
      </c>
      <c r="C23" s="23">
        <f>IFERROR(TRIM(INDEX(인턴근무계획!$C$3:$C$202,$A23)&amp;""),"")</f>
        <v/>
      </c>
      <c r="D23" s="23">
        <f>IF($C23="","",INDEX(인턴근무계획!$D$3:$D$202,$A23))</f>
        <v/>
      </c>
      <c r="E23" s="23">
        <f>IF($C23="","",IF(IFERROR(MATCH($D23,기본자료!$B$2:$B$501,0),IFERROR(MATCH($D23&amp;"",기본자료!$B$2:$B$501,0),IFERROR(MATCH(VALUE($D23),기본자료!$B$2:$B$501,0),0)))&gt;0,"확인","미등록"))</f>
        <v/>
      </c>
      <c r="F23" s="27">
        <f>IF($C23="","",INDEX(인턴근무계획!$S$3:$S$202,$A23))</f>
        <v/>
      </c>
      <c r="G23" s="23">
        <f>IF(OR($C23="",$G$3=""),"",IF(INDEX(인턴근무계획!$M$3:$R$202,$A23,$G$3)&amp;""="","",IF(LEFT(INDEX(인턴근무계획!$M$3:$R$202,$A23,$G$3)&amp;"",1)="⚠",INDEX(인턴근무계획!$M$3:$R$202,$A23,$G$3)&amp;"",LEFT(INDEX(인턴근무계획!$M$3:$R$202,$A23,$G$3)&amp;"",FIND(" ",INDEX(인턴근무계획!$M$3:$R$202,$A23,$G$3)&amp;"")-1))))</f>
        <v/>
      </c>
      <c r="H23" s="23">
        <f>IF(OR($C23="",$G$3=""),"",IF(INDEX(인턴근무계획!$M$3:$R$202,$A23,$G$3)&amp;""="","",IF(LEFT(INDEX(인턴근무계획!$M$3:$R$202,$A23,$G$3)&amp;"",1)="⚠","",MID(INDEX(인턴근무계획!$M$3:$R$202,$A23,$G$3)&amp;"",FIND(" ",INDEX(인턴근무계획!$M$3:$R$202,$A23,$G$3)&amp;"")+1,60))))</f>
        <v/>
      </c>
      <c r="I23" s="23">
        <f>IF(OR($C23="",$I$3=""),"",IF(INDEX(인턴근무계획!$M$3:$R$202,$A23,$I$3)&amp;""="","",IF(LEFT(INDEX(인턴근무계획!$M$3:$R$202,$A23,$I$3)&amp;"",1)="⚠",INDEX(인턴근무계획!$M$3:$R$202,$A23,$I$3)&amp;"",LEFT(INDEX(인턴근무계획!$M$3:$R$202,$A23,$I$3)&amp;"",FIND(" ",INDEX(인턴근무계획!$M$3:$R$202,$A23,$I$3)&amp;"")-1))))</f>
        <v/>
      </c>
      <c r="J23" s="23">
        <f>IF(OR($C23="",$I$3=""),"",IF(INDEX(인턴근무계획!$M$3:$R$202,$A23,$I$3)&amp;""="","",IF(LEFT(INDEX(인턴근무계획!$M$3:$R$202,$A23,$I$3)&amp;"",1)="⚠","",MID(INDEX(인턴근무계획!$M$3:$R$202,$A23,$I$3)&amp;"",FIND(" ",INDEX(인턴근무계획!$M$3:$R$202,$A23,$I$3)&amp;"")+1,60))))</f>
        <v/>
      </c>
      <c r="K23" s="23">
        <f>IF($C23="","",INDEX(인턴근무계획!$M$3:$M$202,$A23)&amp;"")</f>
        <v/>
      </c>
      <c r="L23" s="23">
        <f>IF($C23="","",INDEX(인턴근무계획!$N$3:$N$202,$A23)&amp;"")</f>
        <v/>
      </c>
      <c r="M23" s="23">
        <f>IF($C23="","",INDEX(인턴근무계획!$O$3:$O$202,$A23)&amp;"")</f>
        <v/>
      </c>
      <c r="N23" s="23">
        <f>IF($C23="","",INDEX(인턴근무계획!$P$3:$P$202,$A23)&amp;"")</f>
        <v/>
      </c>
      <c r="O23" s="23">
        <f>IF($C23="","",INDEX(인턴근무계획!$Q$3:$Q$202,$A23)&amp;"")</f>
        <v/>
      </c>
      <c r="P23" s="23">
        <f>IF($C23="","",INDEX(인턴근무계획!$R$3:$R$202,$A23)&amp;"")</f>
        <v/>
      </c>
      <c r="Q23" s="23">
        <f>IF($C23="","",INDEX(인턴근무계획!$T$3:$T$202,$A23))</f>
        <v/>
      </c>
      <c r="S23" s="23">
        <f>IF(코드표!A19="","",코드표!A19)</f>
        <v/>
      </c>
      <c r="T23" s="23">
        <f>IF($S23="","",COUNTIF(K$6:K$205,$S23&amp;" *"))</f>
        <v/>
      </c>
      <c r="U23" s="23">
        <f>IF($S23="","",COUNTIF(L$6:L$205,$S23&amp;" *"))</f>
        <v/>
      </c>
      <c r="V23" s="23">
        <f>IF($S23="","",COUNTIF(M$6:M$205,$S23&amp;" *"))</f>
        <v/>
      </c>
      <c r="W23" s="23">
        <f>IF($S23="","",COUNTIF(N$6:N$205,$S23&amp;" *"))</f>
        <v/>
      </c>
      <c r="X23" s="23">
        <f>IF($S23="","",COUNTIF(O$6:O$205,$S23&amp;" *"))</f>
        <v/>
      </c>
      <c r="Y23" s="23">
        <f>IF($S23="","",COUNTIF(P$6:P$205,$S23&amp;" *"))</f>
        <v/>
      </c>
    </row>
    <row r="24">
      <c r="A24" s="26" t="n">
        <v>19</v>
      </c>
      <c r="B24" s="23">
        <f>IF($C24="","",INDEX(인턴근무계획!$B$3:$B$202,$A24))</f>
        <v/>
      </c>
      <c r="C24" s="23">
        <f>IFERROR(TRIM(INDEX(인턴근무계획!$C$3:$C$202,$A24)&amp;""),"")</f>
        <v/>
      </c>
      <c r="D24" s="23">
        <f>IF($C24="","",INDEX(인턴근무계획!$D$3:$D$202,$A24))</f>
        <v/>
      </c>
      <c r="E24" s="23">
        <f>IF($C24="","",IF(IFERROR(MATCH($D24,기본자료!$B$2:$B$501,0),IFERROR(MATCH($D24&amp;"",기본자료!$B$2:$B$501,0),IFERROR(MATCH(VALUE($D24),기본자료!$B$2:$B$501,0),0)))&gt;0,"확인","미등록"))</f>
        <v/>
      </c>
      <c r="F24" s="27">
        <f>IF($C24="","",INDEX(인턴근무계획!$S$3:$S$202,$A24))</f>
        <v/>
      </c>
      <c r="G24" s="23">
        <f>IF(OR($C24="",$G$3=""),"",IF(INDEX(인턴근무계획!$M$3:$R$202,$A24,$G$3)&amp;""="","",IF(LEFT(INDEX(인턴근무계획!$M$3:$R$202,$A24,$G$3)&amp;"",1)="⚠",INDEX(인턴근무계획!$M$3:$R$202,$A24,$G$3)&amp;"",LEFT(INDEX(인턴근무계획!$M$3:$R$202,$A24,$G$3)&amp;"",FIND(" ",INDEX(인턴근무계획!$M$3:$R$202,$A24,$G$3)&amp;"")-1))))</f>
        <v/>
      </c>
      <c r="H24" s="23">
        <f>IF(OR($C24="",$G$3=""),"",IF(INDEX(인턴근무계획!$M$3:$R$202,$A24,$G$3)&amp;""="","",IF(LEFT(INDEX(인턴근무계획!$M$3:$R$202,$A24,$G$3)&amp;"",1)="⚠","",MID(INDEX(인턴근무계획!$M$3:$R$202,$A24,$G$3)&amp;"",FIND(" ",INDEX(인턴근무계획!$M$3:$R$202,$A24,$G$3)&amp;"")+1,60))))</f>
        <v/>
      </c>
      <c r="I24" s="23">
        <f>IF(OR($C24="",$I$3=""),"",IF(INDEX(인턴근무계획!$M$3:$R$202,$A24,$I$3)&amp;""="","",IF(LEFT(INDEX(인턴근무계획!$M$3:$R$202,$A24,$I$3)&amp;"",1)="⚠",INDEX(인턴근무계획!$M$3:$R$202,$A24,$I$3)&amp;"",LEFT(INDEX(인턴근무계획!$M$3:$R$202,$A24,$I$3)&amp;"",FIND(" ",INDEX(인턴근무계획!$M$3:$R$202,$A24,$I$3)&amp;"")-1))))</f>
        <v/>
      </c>
      <c r="J24" s="23">
        <f>IF(OR($C24="",$I$3=""),"",IF(INDEX(인턴근무계획!$M$3:$R$202,$A24,$I$3)&amp;""="","",IF(LEFT(INDEX(인턴근무계획!$M$3:$R$202,$A24,$I$3)&amp;"",1)="⚠","",MID(INDEX(인턴근무계획!$M$3:$R$202,$A24,$I$3)&amp;"",FIND(" ",INDEX(인턴근무계획!$M$3:$R$202,$A24,$I$3)&amp;"")+1,60))))</f>
        <v/>
      </c>
      <c r="K24" s="23">
        <f>IF($C24="","",INDEX(인턴근무계획!$M$3:$M$202,$A24)&amp;"")</f>
        <v/>
      </c>
      <c r="L24" s="23">
        <f>IF($C24="","",INDEX(인턴근무계획!$N$3:$N$202,$A24)&amp;"")</f>
        <v/>
      </c>
      <c r="M24" s="23">
        <f>IF($C24="","",INDEX(인턴근무계획!$O$3:$O$202,$A24)&amp;"")</f>
        <v/>
      </c>
      <c r="N24" s="23">
        <f>IF($C24="","",INDEX(인턴근무계획!$P$3:$P$202,$A24)&amp;"")</f>
        <v/>
      </c>
      <c r="O24" s="23">
        <f>IF($C24="","",INDEX(인턴근무계획!$Q$3:$Q$202,$A24)&amp;"")</f>
        <v/>
      </c>
      <c r="P24" s="23">
        <f>IF($C24="","",INDEX(인턴근무계획!$R$3:$R$202,$A24)&amp;"")</f>
        <v/>
      </c>
      <c r="Q24" s="23">
        <f>IF($C24="","",INDEX(인턴근무계획!$T$3:$T$202,$A24))</f>
        <v/>
      </c>
      <c r="S24" s="23">
        <f>IF(코드표!A20="","",코드표!A20)</f>
        <v/>
      </c>
      <c r="T24" s="23">
        <f>IF($S24="","",COUNTIF(K$6:K$205,$S24&amp;" *"))</f>
        <v/>
      </c>
      <c r="U24" s="23">
        <f>IF($S24="","",COUNTIF(L$6:L$205,$S24&amp;" *"))</f>
        <v/>
      </c>
      <c r="V24" s="23">
        <f>IF($S24="","",COUNTIF(M$6:M$205,$S24&amp;" *"))</f>
        <v/>
      </c>
      <c r="W24" s="23">
        <f>IF($S24="","",COUNTIF(N$6:N$205,$S24&amp;" *"))</f>
        <v/>
      </c>
      <c r="X24" s="23">
        <f>IF($S24="","",COUNTIF(O$6:O$205,$S24&amp;" *"))</f>
        <v/>
      </c>
      <c r="Y24" s="23">
        <f>IF($S24="","",COUNTIF(P$6:P$205,$S24&amp;" *"))</f>
        <v/>
      </c>
    </row>
    <row r="25">
      <c r="A25" s="26" t="n">
        <v>20</v>
      </c>
      <c r="B25" s="23">
        <f>IF($C25="","",INDEX(인턴근무계획!$B$3:$B$202,$A25))</f>
        <v/>
      </c>
      <c r="C25" s="23">
        <f>IFERROR(TRIM(INDEX(인턴근무계획!$C$3:$C$202,$A25)&amp;""),"")</f>
        <v/>
      </c>
      <c r="D25" s="23">
        <f>IF($C25="","",INDEX(인턴근무계획!$D$3:$D$202,$A25))</f>
        <v/>
      </c>
      <c r="E25" s="23">
        <f>IF($C25="","",IF(IFERROR(MATCH($D25,기본자료!$B$2:$B$501,0),IFERROR(MATCH($D25&amp;"",기본자료!$B$2:$B$501,0),IFERROR(MATCH(VALUE($D25),기본자료!$B$2:$B$501,0),0)))&gt;0,"확인","미등록"))</f>
        <v/>
      </c>
      <c r="F25" s="27">
        <f>IF($C25="","",INDEX(인턴근무계획!$S$3:$S$202,$A25))</f>
        <v/>
      </c>
      <c r="G25" s="23">
        <f>IF(OR($C25="",$G$3=""),"",IF(INDEX(인턴근무계획!$M$3:$R$202,$A25,$G$3)&amp;""="","",IF(LEFT(INDEX(인턴근무계획!$M$3:$R$202,$A25,$G$3)&amp;"",1)="⚠",INDEX(인턴근무계획!$M$3:$R$202,$A25,$G$3)&amp;"",LEFT(INDEX(인턴근무계획!$M$3:$R$202,$A25,$G$3)&amp;"",FIND(" ",INDEX(인턴근무계획!$M$3:$R$202,$A25,$G$3)&amp;"")-1))))</f>
        <v/>
      </c>
      <c r="H25" s="23">
        <f>IF(OR($C25="",$G$3=""),"",IF(INDEX(인턴근무계획!$M$3:$R$202,$A25,$G$3)&amp;""="","",IF(LEFT(INDEX(인턴근무계획!$M$3:$R$202,$A25,$G$3)&amp;"",1)="⚠","",MID(INDEX(인턴근무계획!$M$3:$R$202,$A25,$G$3)&amp;"",FIND(" ",INDEX(인턴근무계획!$M$3:$R$202,$A25,$G$3)&amp;"")+1,60))))</f>
        <v/>
      </c>
      <c r="I25" s="23">
        <f>IF(OR($C25="",$I$3=""),"",IF(INDEX(인턴근무계획!$M$3:$R$202,$A25,$I$3)&amp;""="","",IF(LEFT(INDEX(인턴근무계획!$M$3:$R$202,$A25,$I$3)&amp;"",1)="⚠",INDEX(인턴근무계획!$M$3:$R$202,$A25,$I$3)&amp;"",LEFT(INDEX(인턴근무계획!$M$3:$R$202,$A25,$I$3)&amp;"",FIND(" ",INDEX(인턴근무계획!$M$3:$R$202,$A25,$I$3)&amp;"")-1))))</f>
        <v/>
      </c>
      <c r="J25" s="23">
        <f>IF(OR($C25="",$I$3=""),"",IF(INDEX(인턴근무계획!$M$3:$R$202,$A25,$I$3)&amp;""="","",IF(LEFT(INDEX(인턴근무계획!$M$3:$R$202,$A25,$I$3)&amp;"",1)="⚠","",MID(INDEX(인턴근무계획!$M$3:$R$202,$A25,$I$3)&amp;"",FIND(" ",INDEX(인턴근무계획!$M$3:$R$202,$A25,$I$3)&amp;"")+1,60))))</f>
        <v/>
      </c>
      <c r="K25" s="23">
        <f>IF($C25="","",INDEX(인턴근무계획!$M$3:$M$202,$A25)&amp;"")</f>
        <v/>
      </c>
      <c r="L25" s="23">
        <f>IF($C25="","",INDEX(인턴근무계획!$N$3:$N$202,$A25)&amp;"")</f>
        <v/>
      </c>
      <c r="M25" s="23">
        <f>IF($C25="","",INDEX(인턴근무계획!$O$3:$O$202,$A25)&amp;"")</f>
        <v/>
      </c>
      <c r="N25" s="23">
        <f>IF($C25="","",INDEX(인턴근무계획!$P$3:$P$202,$A25)&amp;"")</f>
        <v/>
      </c>
      <c r="O25" s="23">
        <f>IF($C25="","",INDEX(인턴근무계획!$Q$3:$Q$202,$A25)&amp;"")</f>
        <v/>
      </c>
      <c r="P25" s="23">
        <f>IF($C25="","",INDEX(인턴근무계획!$R$3:$R$202,$A25)&amp;"")</f>
        <v/>
      </c>
      <c r="Q25" s="23">
        <f>IF($C25="","",INDEX(인턴근무계획!$T$3:$T$202,$A25))</f>
        <v/>
      </c>
      <c r="S25" s="23">
        <f>IF(코드표!A21="","",코드표!A21)</f>
        <v/>
      </c>
      <c r="T25" s="23">
        <f>IF($S25="","",COUNTIF(K$6:K$205,$S25&amp;" *"))</f>
        <v/>
      </c>
      <c r="U25" s="23">
        <f>IF($S25="","",COUNTIF(L$6:L$205,$S25&amp;" *"))</f>
        <v/>
      </c>
      <c r="V25" s="23">
        <f>IF($S25="","",COUNTIF(M$6:M$205,$S25&amp;" *"))</f>
        <v/>
      </c>
      <c r="W25" s="23">
        <f>IF($S25="","",COUNTIF(N$6:N$205,$S25&amp;" *"))</f>
        <v/>
      </c>
      <c r="X25" s="23">
        <f>IF($S25="","",COUNTIF(O$6:O$205,$S25&amp;" *"))</f>
        <v/>
      </c>
      <c r="Y25" s="23">
        <f>IF($S25="","",COUNTIF(P$6:P$205,$S25&amp;" *"))</f>
        <v/>
      </c>
    </row>
    <row r="26">
      <c r="A26" s="26" t="n">
        <v>21</v>
      </c>
      <c r="B26" s="23">
        <f>IF($C26="","",INDEX(인턴근무계획!$B$3:$B$202,$A26))</f>
        <v/>
      </c>
      <c r="C26" s="23">
        <f>IFERROR(TRIM(INDEX(인턴근무계획!$C$3:$C$202,$A26)&amp;""),"")</f>
        <v/>
      </c>
      <c r="D26" s="23">
        <f>IF($C26="","",INDEX(인턴근무계획!$D$3:$D$202,$A26))</f>
        <v/>
      </c>
      <c r="E26" s="23">
        <f>IF($C26="","",IF(IFERROR(MATCH($D26,기본자료!$B$2:$B$501,0),IFERROR(MATCH($D26&amp;"",기본자료!$B$2:$B$501,0),IFERROR(MATCH(VALUE($D26),기본자료!$B$2:$B$501,0),0)))&gt;0,"확인","미등록"))</f>
        <v/>
      </c>
      <c r="F26" s="27">
        <f>IF($C26="","",INDEX(인턴근무계획!$S$3:$S$202,$A26))</f>
        <v/>
      </c>
      <c r="G26" s="23">
        <f>IF(OR($C26="",$G$3=""),"",IF(INDEX(인턴근무계획!$M$3:$R$202,$A26,$G$3)&amp;""="","",IF(LEFT(INDEX(인턴근무계획!$M$3:$R$202,$A26,$G$3)&amp;"",1)="⚠",INDEX(인턴근무계획!$M$3:$R$202,$A26,$G$3)&amp;"",LEFT(INDEX(인턴근무계획!$M$3:$R$202,$A26,$G$3)&amp;"",FIND(" ",INDEX(인턴근무계획!$M$3:$R$202,$A26,$G$3)&amp;"")-1))))</f>
        <v/>
      </c>
      <c r="H26" s="23">
        <f>IF(OR($C26="",$G$3=""),"",IF(INDEX(인턴근무계획!$M$3:$R$202,$A26,$G$3)&amp;""="","",IF(LEFT(INDEX(인턴근무계획!$M$3:$R$202,$A26,$G$3)&amp;"",1)="⚠","",MID(INDEX(인턴근무계획!$M$3:$R$202,$A26,$G$3)&amp;"",FIND(" ",INDEX(인턴근무계획!$M$3:$R$202,$A26,$G$3)&amp;"")+1,60))))</f>
        <v/>
      </c>
      <c r="I26" s="23">
        <f>IF(OR($C26="",$I$3=""),"",IF(INDEX(인턴근무계획!$M$3:$R$202,$A26,$I$3)&amp;""="","",IF(LEFT(INDEX(인턴근무계획!$M$3:$R$202,$A26,$I$3)&amp;"",1)="⚠",INDEX(인턴근무계획!$M$3:$R$202,$A26,$I$3)&amp;"",LEFT(INDEX(인턴근무계획!$M$3:$R$202,$A26,$I$3)&amp;"",FIND(" ",INDEX(인턴근무계획!$M$3:$R$202,$A26,$I$3)&amp;"")-1))))</f>
        <v/>
      </c>
      <c r="J26" s="23">
        <f>IF(OR($C26="",$I$3=""),"",IF(INDEX(인턴근무계획!$M$3:$R$202,$A26,$I$3)&amp;""="","",IF(LEFT(INDEX(인턴근무계획!$M$3:$R$202,$A26,$I$3)&amp;"",1)="⚠","",MID(INDEX(인턴근무계획!$M$3:$R$202,$A26,$I$3)&amp;"",FIND(" ",INDEX(인턴근무계획!$M$3:$R$202,$A26,$I$3)&amp;"")+1,60))))</f>
        <v/>
      </c>
      <c r="K26" s="23">
        <f>IF($C26="","",INDEX(인턴근무계획!$M$3:$M$202,$A26)&amp;"")</f>
        <v/>
      </c>
      <c r="L26" s="23">
        <f>IF($C26="","",INDEX(인턴근무계획!$N$3:$N$202,$A26)&amp;"")</f>
        <v/>
      </c>
      <c r="M26" s="23">
        <f>IF($C26="","",INDEX(인턴근무계획!$O$3:$O$202,$A26)&amp;"")</f>
        <v/>
      </c>
      <c r="N26" s="23">
        <f>IF($C26="","",INDEX(인턴근무계획!$P$3:$P$202,$A26)&amp;"")</f>
        <v/>
      </c>
      <c r="O26" s="23">
        <f>IF($C26="","",INDEX(인턴근무계획!$Q$3:$Q$202,$A26)&amp;"")</f>
        <v/>
      </c>
      <c r="P26" s="23">
        <f>IF($C26="","",INDEX(인턴근무계획!$R$3:$R$202,$A26)&amp;"")</f>
        <v/>
      </c>
      <c r="Q26" s="23">
        <f>IF($C26="","",INDEX(인턴근무계획!$T$3:$T$202,$A26))</f>
        <v/>
      </c>
      <c r="S26" s="24" t="inlineStr">
        <is>
          <t>⚠ 오류(인식 불가)</t>
        </is>
      </c>
      <c r="T26" s="24">
        <f>COUNTIF(K$6:K$205,"⚠*")</f>
        <v/>
      </c>
      <c r="U26" s="24">
        <f>COUNTIF(L$6:L$205,"⚠*")</f>
        <v/>
      </c>
      <c r="V26" s="24">
        <f>COUNTIF(M$6:M$205,"⚠*")</f>
        <v/>
      </c>
      <c r="W26" s="24">
        <f>COUNTIF(N$6:N$205,"⚠*")</f>
        <v/>
      </c>
      <c r="X26" s="24">
        <f>COUNTIF(O$6:O$205,"⚠*")</f>
        <v/>
      </c>
      <c r="Y26" s="24">
        <f>COUNTIF(P$6:P$205,"⚠*")</f>
        <v/>
      </c>
    </row>
    <row r="27">
      <c r="A27" s="26" t="n">
        <v>22</v>
      </c>
      <c r="B27" s="23">
        <f>IF($C27="","",INDEX(인턴근무계획!$B$3:$B$202,$A27))</f>
        <v/>
      </c>
      <c r="C27" s="23">
        <f>IFERROR(TRIM(INDEX(인턴근무계획!$C$3:$C$202,$A27)&amp;""),"")</f>
        <v/>
      </c>
      <c r="D27" s="23">
        <f>IF($C27="","",INDEX(인턴근무계획!$D$3:$D$202,$A27))</f>
        <v/>
      </c>
      <c r="E27" s="23">
        <f>IF($C27="","",IF(IFERROR(MATCH($D27,기본자료!$B$2:$B$501,0),IFERROR(MATCH($D27&amp;"",기본자료!$B$2:$B$501,0),IFERROR(MATCH(VALUE($D27),기본자료!$B$2:$B$501,0),0)))&gt;0,"확인","미등록"))</f>
        <v/>
      </c>
      <c r="F27" s="27">
        <f>IF($C27="","",INDEX(인턴근무계획!$S$3:$S$202,$A27))</f>
        <v/>
      </c>
      <c r="G27" s="23">
        <f>IF(OR($C27="",$G$3=""),"",IF(INDEX(인턴근무계획!$M$3:$R$202,$A27,$G$3)&amp;""="","",IF(LEFT(INDEX(인턴근무계획!$M$3:$R$202,$A27,$G$3)&amp;"",1)="⚠",INDEX(인턴근무계획!$M$3:$R$202,$A27,$G$3)&amp;"",LEFT(INDEX(인턴근무계획!$M$3:$R$202,$A27,$G$3)&amp;"",FIND(" ",INDEX(인턴근무계획!$M$3:$R$202,$A27,$G$3)&amp;"")-1))))</f>
        <v/>
      </c>
      <c r="H27" s="23">
        <f>IF(OR($C27="",$G$3=""),"",IF(INDEX(인턴근무계획!$M$3:$R$202,$A27,$G$3)&amp;""="","",IF(LEFT(INDEX(인턴근무계획!$M$3:$R$202,$A27,$G$3)&amp;"",1)="⚠","",MID(INDEX(인턴근무계획!$M$3:$R$202,$A27,$G$3)&amp;"",FIND(" ",INDEX(인턴근무계획!$M$3:$R$202,$A27,$G$3)&amp;"")+1,60))))</f>
        <v/>
      </c>
      <c r="I27" s="23">
        <f>IF(OR($C27="",$I$3=""),"",IF(INDEX(인턴근무계획!$M$3:$R$202,$A27,$I$3)&amp;""="","",IF(LEFT(INDEX(인턴근무계획!$M$3:$R$202,$A27,$I$3)&amp;"",1)="⚠",INDEX(인턴근무계획!$M$3:$R$202,$A27,$I$3)&amp;"",LEFT(INDEX(인턴근무계획!$M$3:$R$202,$A27,$I$3)&amp;"",FIND(" ",INDEX(인턴근무계획!$M$3:$R$202,$A27,$I$3)&amp;"")-1))))</f>
        <v/>
      </c>
      <c r="J27" s="23">
        <f>IF(OR($C27="",$I$3=""),"",IF(INDEX(인턴근무계획!$M$3:$R$202,$A27,$I$3)&amp;""="","",IF(LEFT(INDEX(인턴근무계획!$M$3:$R$202,$A27,$I$3)&amp;"",1)="⚠","",MID(INDEX(인턴근무계획!$M$3:$R$202,$A27,$I$3)&amp;"",FIND(" ",INDEX(인턴근무계획!$M$3:$R$202,$A27,$I$3)&amp;"")+1,60))))</f>
        <v/>
      </c>
      <c r="K27" s="23">
        <f>IF($C27="","",INDEX(인턴근무계획!$M$3:$M$202,$A27)&amp;"")</f>
        <v/>
      </c>
      <c r="L27" s="23">
        <f>IF($C27="","",INDEX(인턴근무계획!$N$3:$N$202,$A27)&amp;"")</f>
        <v/>
      </c>
      <c r="M27" s="23">
        <f>IF($C27="","",INDEX(인턴근무계획!$O$3:$O$202,$A27)&amp;"")</f>
        <v/>
      </c>
      <c r="N27" s="23">
        <f>IF($C27="","",INDEX(인턴근무계획!$P$3:$P$202,$A27)&amp;"")</f>
        <v/>
      </c>
      <c r="O27" s="23">
        <f>IF($C27="","",INDEX(인턴근무계획!$Q$3:$Q$202,$A27)&amp;"")</f>
        <v/>
      </c>
      <c r="P27" s="23">
        <f>IF($C27="","",INDEX(인턴근무계획!$R$3:$R$202,$A27)&amp;"")</f>
        <v/>
      </c>
      <c r="Q27" s="23">
        <f>IF($C27="","",INDEX(인턴근무계획!$T$3:$T$202,$A27))</f>
        <v/>
      </c>
      <c r="S27" s="24" t="inlineStr">
        <is>
          <t>합계</t>
        </is>
      </c>
      <c r="T27" s="24">
        <f>SUM(T6:T26)</f>
        <v/>
      </c>
      <c r="U27" s="24">
        <f>SUM(U6:U26)</f>
        <v/>
      </c>
      <c r="V27" s="24">
        <f>SUM(V6:V26)</f>
        <v/>
      </c>
      <c r="W27" s="24">
        <f>SUM(W6:W26)</f>
        <v/>
      </c>
      <c r="X27" s="24">
        <f>SUM(X6:X26)</f>
        <v/>
      </c>
      <c r="Y27" s="24">
        <f>SUM(Y6:Y26)</f>
        <v/>
      </c>
    </row>
    <row r="28">
      <c r="A28" s="26" t="n">
        <v>23</v>
      </c>
      <c r="B28" s="23">
        <f>IF($C28="","",INDEX(인턴근무계획!$B$3:$B$202,$A28))</f>
        <v/>
      </c>
      <c r="C28" s="23">
        <f>IFERROR(TRIM(INDEX(인턴근무계획!$C$3:$C$202,$A28)&amp;""),"")</f>
        <v/>
      </c>
      <c r="D28" s="23">
        <f>IF($C28="","",INDEX(인턴근무계획!$D$3:$D$202,$A28))</f>
        <v/>
      </c>
      <c r="E28" s="23">
        <f>IF($C28="","",IF(IFERROR(MATCH($D28,기본자료!$B$2:$B$501,0),IFERROR(MATCH($D28&amp;"",기본자료!$B$2:$B$501,0),IFERROR(MATCH(VALUE($D28),기본자료!$B$2:$B$501,0),0)))&gt;0,"확인","미등록"))</f>
        <v/>
      </c>
      <c r="F28" s="27">
        <f>IF($C28="","",INDEX(인턴근무계획!$S$3:$S$202,$A28))</f>
        <v/>
      </c>
      <c r="G28" s="23">
        <f>IF(OR($C28="",$G$3=""),"",IF(INDEX(인턴근무계획!$M$3:$R$202,$A28,$G$3)&amp;""="","",IF(LEFT(INDEX(인턴근무계획!$M$3:$R$202,$A28,$G$3)&amp;"",1)="⚠",INDEX(인턴근무계획!$M$3:$R$202,$A28,$G$3)&amp;"",LEFT(INDEX(인턴근무계획!$M$3:$R$202,$A28,$G$3)&amp;"",FIND(" ",INDEX(인턴근무계획!$M$3:$R$202,$A28,$G$3)&amp;"")-1))))</f>
        <v/>
      </c>
      <c r="H28" s="23">
        <f>IF(OR($C28="",$G$3=""),"",IF(INDEX(인턴근무계획!$M$3:$R$202,$A28,$G$3)&amp;""="","",IF(LEFT(INDEX(인턴근무계획!$M$3:$R$202,$A28,$G$3)&amp;"",1)="⚠","",MID(INDEX(인턴근무계획!$M$3:$R$202,$A28,$G$3)&amp;"",FIND(" ",INDEX(인턴근무계획!$M$3:$R$202,$A28,$G$3)&amp;"")+1,60))))</f>
        <v/>
      </c>
      <c r="I28" s="23">
        <f>IF(OR($C28="",$I$3=""),"",IF(INDEX(인턴근무계획!$M$3:$R$202,$A28,$I$3)&amp;""="","",IF(LEFT(INDEX(인턴근무계획!$M$3:$R$202,$A28,$I$3)&amp;"",1)="⚠",INDEX(인턴근무계획!$M$3:$R$202,$A28,$I$3)&amp;"",LEFT(INDEX(인턴근무계획!$M$3:$R$202,$A28,$I$3)&amp;"",FIND(" ",INDEX(인턴근무계획!$M$3:$R$202,$A28,$I$3)&amp;"")-1))))</f>
        <v/>
      </c>
      <c r="J28" s="23">
        <f>IF(OR($C28="",$I$3=""),"",IF(INDEX(인턴근무계획!$M$3:$R$202,$A28,$I$3)&amp;""="","",IF(LEFT(INDEX(인턴근무계획!$M$3:$R$202,$A28,$I$3)&amp;"",1)="⚠","",MID(INDEX(인턴근무계획!$M$3:$R$202,$A28,$I$3)&amp;"",FIND(" ",INDEX(인턴근무계획!$M$3:$R$202,$A28,$I$3)&amp;"")+1,60))))</f>
        <v/>
      </c>
      <c r="K28" s="23">
        <f>IF($C28="","",INDEX(인턴근무계획!$M$3:$M$202,$A28)&amp;"")</f>
        <v/>
      </c>
      <c r="L28" s="23">
        <f>IF($C28="","",INDEX(인턴근무계획!$N$3:$N$202,$A28)&amp;"")</f>
        <v/>
      </c>
      <c r="M28" s="23">
        <f>IF($C28="","",INDEX(인턴근무계획!$O$3:$O$202,$A28)&amp;"")</f>
        <v/>
      </c>
      <c r="N28" s="23">
        <f>IF($C28="","",INDEX(인턴근무계획!$P$3:$P$202,$A28)&amp;"")</f>
        <v/>
      </c>
      <c r="O28" s="23">
        <f>IF($C28="","",INDEX(인턴근무계획!$Q$3:$Q$202,$A28)&amp;"")</f>
        <v/>
      </c>
      <c r="P28" s="23">
        <f>IF($C28="","",INDEX(인턴근무계획!$R$3:$R$202,$A28)&amp;"")</f>
        <v/>
      </c>
      <c r="Q28" s="23">
        <f>IF($C28="","",INDEX(인턴근무계획!$T$3:$T$202,$A28))</f>
        <v/>
      </c>
      <c r="S28" s="8" t="inlineStr">
        <is>
          <t>※ 합계는 계획표에 입력된 인턴 수와 같아야 합니다.</t>
        </is>
      </c>
    </row>
    <row r="29">
      <c r="A29" s="26" t="n">
        <v>24</v>
      </c>
      <c r="B29" s="23">
        <f>IF($C29="","",INDEX(인턴근무계획!$B$3:$B$202,$A29))</f>
        <v/>
      </c>
      <c r="C29" s="23">
        <f>IFERROR(TRIM(INDEX(인턴근무계획!$C$3:$C$202,$A29)&amp;""),"")</f>
        <v/>
      </c>
      <c r="D29" s="23">
        <f>IF($C29="","",INDEX(인턴근무계획!$D$3:$D$202,$A29))</f>
        <v/>
      </c>
      <c r="E29" s="23">
        <f>IF($C29="","",IF(IFERROR(MATCH($D29,기본자료!$B$2:$B$501,0),IFERROR(MATCH($D29&amp;"",기본자료!$B$2:$B$501,0),IFERROR(MATCH(VALUE($D29),기본자료!$B$2:$B$501,0),0)))&gt;0,"확인","미등록"))</f>
        <v/>
      </c>
      <c r="F29" s="27">
        <f>IF($C29="","",INDEX(인턴근무계획!$S$3:$S$202,$A29))</f>
        <v/>
      </c>
      <c r="G29" s="23">
        <f>IF(OR($C29="",$G$3=""),"",IF(INDEX(인턴근무계획!$M$3:$R$202,$A29,$G$3)&amp;""="","",IF(LEFT(INDEX(인턴근무계획!$M$3:$R$202,$A29,$G$3)&amp;"",1)="⚠",INDEX(인턴근무계획!$M$3:$R$202,$A29,$G$3)&amp;"",LEFT(INDEX(인턴근무계획!$M$3:$R$202,$A29,$G$3)&amp;"",FIND(" ",INDEX(인턴근무계획!$M$3:$R$202,$A29,$G$3)&amp;"")-1))))</f>
        <v/>
      </c>
      <c r="H29" s="23">
        <f>IF(OR($C29="",$G$3=""),"",IF(INDEX(인턴근무계획!$M$3:$R$202,$A29,$G$3)&amp;""="","",IF(LEFT(INDEX(인턴근무계획!$M$3:$R$202,$A29,$G$3)&amp;"",1)="⚠","",MID(INDEX(인턴근무계획!$M$3:$R$202,$A29,$G$3)&amp;"",FIND(" ",INDEX(인턴근무계획!$M$3:$R$202,$A29,$G$3)&amp;"")+1,60))))</f>
        <v/>
      </c>
      <c r="I29" s="23">
        <f>IF(OR($C29="",$I$3=""),"",IF(INDEX(인턴근무계획!$M$3:$R$202,$A29,$I$3)&amp;""="","",IF(LEFT(INDEX(인턴근무계획!$M$3:$R$202,$A29,$I$3)&amp;"",1)="⚠",INDEX(인턴근무계획!$M$3:$R$202,$A29,$I$3)&amp;"",LEFT(INDEX(인턴근무계획!$M$3:$R$202,$A29,$I$3)&amp;"",FIND(" ",INDEX(인턴근무계획!$M$3:$R$202,$A29,$I$3)&amp;"")-1))))</f>
        <v/>
      </c>
      <c r="J29" s="23">
        <f>IF(OR($C29="",$I$3=""),"",IF(INDEX(인턴근무계획!$M$3:$R$202,$A29,$I$3)&amp;""="","",IF(LEFT(INDEX(인턴근무계획!$M$3:$R$202,$A29,$I$3)&amp;"",1)="⚠","",MID(INDEX(인턴근무계획!$M$3:$R$202,$A29,$I$3)&amp;"",FIND(" ",INDEX(인턴근무계획!$M$3:$R$202,$A29,$I$3)&amp;"")+1,60))))</f>
        <v/>
      </c>
      <c r="K29" s="23">
        <f>IF($C29="","",INDEX(인턴근무계획!$M$3:$M$202,$A29)&amp;"")</f>
        <v/>
      </c>
      <c r="L29" s="23">
        <f>IF($C29="","",INDEX(인턴근무계획!$N$3:$N$202,$A29)&amp;"")</f>
        <v/>
      </c>
      <c r="M29" s="23">
        <f>IF($C29="","",INDEX(인턴근무계획!$O$3:$O$202,$A29)&amp;"")</f>
        <v/>
      </c>
      <c r="N29" s="23">
        <f>IF($C29="","",INDEX(인턴근무계획!$P$3:$P$202,$A29)&amp;"")</f>
        <v/>
      </c>
      <c r="O29" s="23">
        <f>IF($C29="","",INDEX(인턴근무계획!$Q$3:$Q$202,$A29)&amp;"")</f>
        <v/>
      </c>
      <c r="P29" s="23">
        <f>IF($C29="","",INDEX(인턴근무계획!$R$3:$R$202,$A29)&amp;"")</f>
        <v/>
      </c>
      <c r="Q29" s="23">
        <f>IF($C29="","",INDEX(인턴근무계획!$T$3:$T$202,$A29))</f>
        <v/>
      </c>
    </row>
    <row r="30">
      <c r="A30" s="26" t="n">
        <v>25</v>
      </c>
      <c r="B30" s="23">
        <f>IF($C30="","",INDEX(인턴근무계획!$B$3:$B$202,$A30))</f>
        <v/>
      </c>
      <c r="C30" s="23">
        <f>IFERROR(TRIM(INDEX(인턴근무계획!$C$3:$C$202,$A30)&amp;""),"")</f>
        <v/>
      </c>
      <c r="D30" s="23">
        <f>IF($C30="","",INDEX(인턴근무계획!$D$3:$D$202,$A30))</f>
        <v/>
      </c>
      <c r="E30" s="23">
        <f>IF($C30="","",IF(IFERROR(MATCH($D30,기본자료!$B$2:$B$501,0),IFERROR(MATCH($D30&amp;"",기본자료!$B$2:$B$501,0),IFERROR(MATCH(VALUE($D30),기본자료!$B$2:$B$501,0),0)))&gt;0,"확인","미등록"))</f>
        <v/>
      </c>
      <c r="F30" s="27">
        <f>IF($C30="","",INDEX(인턴근무계획!$S$3:$S$202,$A30))</f>
        <v/>
      </c>
      <c r="G30" s="23">
        <f>IF(OR($C30="",$G$3=""),"",IF(INDEX(인턴근무계획!$M$3:$R$202,$A30,$G$3)&amp;""="","",IF(LEFT(INDEX(인턴근무계획!$M$3:$R$202,$A30,$G$3)&amp;"",1)="⚠",INDEX(인턴근무계획!$M$3:$R$202,$A30,$G$3)&amp;"",LEFT(INDEX(인턴근무계획!$M$3:$R$202,$A30,$G$3)&amp;"",FIND(" ",INDEX(인턴근무계획!$M$3:$R$202,$A30,$G$3)&amp;"")-1))))</f>
        <v/>
      </c>
      <c r="H30" s="23">
        <f>IF(OR($C30="",$G$3=""),"",IF(INDEX(인턴근무계획!$M$3:$R$202,$A30,$G$3)&amp;""="","",IF(LEFT(INDEX(인턴근무계획!$M$3:$R$202,$A30,$G$3)&amp;"",1)="⚠","",MID(INDEX(인턴근무계획!$M$3:$R$202,$A30,$G$3)&amp;"",FIND(" ",INDEX(인턴근무계획!$M$3:$R$202,$A30,$G$3)&amp;"")+1,60))))</f>
        <v/>
      </c>
      <c r="I30" s="23">
        <f>IF(OR($C30="",$I$3=""),"",IF(INDEX(인턴근무계획!$M$3:$R$202,$A30,$I$3)&amp;""="","",IF(LEFT(INDEX(인턴근무계획!$M$3:$R$202,$A30,$I$3)&amp;"",1)="⚠",INDEX(인턴근무계획!$M$3:$R$202,$A30,$I$3)&amp;"",LEFT(INDEX(인턴근무계획!$M$3:$R$202,$A30,$I$3)&amp;"",FIND(" ",INDEX(인턴근무계획!$M$3:$R$202,$A30,$I$3)&amp;"")-1))))</f>
        <v/>
      </c>
      <c r="J30" s="23">
        <f>IF(OR($C30="",$I$3=""),"",IF(INDEX(인턴근무계획!$M$3:$R$202,$A30,$I$3)&amp;""="","",IF(LEFT(INDEX(인턴근무계획!$M$3:$R$202,$A30,$I$3)&amp;"",1)="⚠","",MID(INDEX(인턴근무계획!$M$3:$R$202,$A30,$I$3)&amp;"",FIND(" ",INDEX(인턴근무계획!$M$3:$R$202,$A30,$I$3)&amp;"")+1,60))))</f>
        <v/>
      </c>
      <c r="K30" s="23">
        <f>IF($C30="","",INDEX(인턴근무계획!$M$3:$M$202,$A30)&amp;"")</f>
        <v/>
      </c>
      <c r="L30" s="23">
        <f>IF($C30="","",INDEX(인턴근무계획!$N$3:$N$202,$A30)&amp;"")</f>
        <v/>
      </c>
      <c r="M30" s="23">
        <f>IF($C30="","",INDEX(인턴근무계획!$O$3:$O$202,$A30)&amp;"")</f>
        <v/>
      </c>
      <c r="N30" s="23">
        <f>IF($C30="","",INDEX(인턴근무계획!$P$3:$P$202,$A30)&amp;"")</f>
        <v/>
      </c>
      <c r="O30" s="23">
        <f>IF($C30="","",INDEX(인턴근무계획!$Q$3:$Q$202,$A30)&amp;"")</f>
        <v/>
      </c>
      <c r="P30" s="23">
        <f>IF($C30="","",INDEX(인턴근무계획!$R$3:$R$202,$A30)&amp;"")</f>
        <v/>
      </c>
      <c r="Q30" s="23">
        <f>IF($C30="","",INDEX(인턴근무계획!$T$3:$T$202,$A30))</f>
        <v/>
      </c>
    </row>
    <row r="31">
      <c r="A31" s="26" t="n">
        <v>26</v>
      </c>
      <c r="B31" s="23">
        <f>IF($C31="","",INDEX(인턴근무계획!$B$3:$B$202,$A31))</f>
        <v/>
      </c>
      <c r="C31" s="23">
        <f>IFERROR(TRIM(INDEX(인턴근무계획!$C$3:$C$202,$A31)&amp;""),"")</f>
        <v/>
      </c>
      <c r="D31" s="23">
        <f>IF($C31="","",INDEX(인턴근무계획!$D$3:$D$202,$A31))</f>
        <v/>
      </c>
      <c r="E31" s="23">
        <f>IF($C31="","",IF(IFERROR(MATCH($D31,기본자료!$B$2:$B$501,0),IFERROR(MATCH($D31&amp;"",기본자료!$B$2:$B$501,0),IFERROR(MATCH(VALUE($D31),기본자료!$B$2:$B$501,0),0)))&gt;0,"확인","미등록"))</f>
        <v/>
      </c>
      <c r="F31" s="27">
        <f>IF($C31="","",INDEX(인턴근무계획!$S$3:$S$202,$A31))</f>
        <v/>
      </c>
      <c r="G31" s="23">
        <f>IF(OR($C31="",$G$3=""),"",IF(INDEX(인턴근무계획!$M$3:$R$202,$A31,$G$3)&amp;""="","",IF(LEFT(INDEX(인턴근무계획!$M$3:$R$202,$A31,$G$3)&amp;"",1)="⚠",INDEX(인턴근무계획!$M$3:$R$202,$A31,$G$3)&amp;"",LEFT(INDEX(인턴근무계획!$M$3:$R$202,$A31,$G$3)&amp;"",FIND(" ",INDEX(인턴근무계획!$M$3:$R$202,$A31,$G$3)&amp;"")-1))))</f>
        <v/>
      </c>
      <c r="H31" s="23">
        <f>IF(OR($C31="",$G$3=""),"",IF(INDEX(인턴근무계획!$M$3:$R$202,$A31,$G$3)&amp;""="","",IF(LEFT(INDEX(인턴근무계획!$M$3:$R$202,$A31,$G$3)&amp;"",1)="⚠","",MID(INDEX(인턴근무계획!$M$3:$R$202,$A31,$G$3)&amp;"",FIND(" ",INDEX(인턴근무계획!$M$3:$R$202,$A31,$G$3)&amp;"")+1,60))))</f>
        <v/>
      </c>
      <c r="I31" s="23">
        <f>IF(OR($C31="",$I$3=""),"",IF(INDEX(인턴근무계획!$M$3:$R$202,$A31,$I$3)&amp;""="","",IF(LEFT(INDEX(인턴근무계획!$M$3:$R$202,$A31,$I$3)&amp;"",1)="⚠",INDEX(인턴근무계획!$M$3:$R$202,$A31,$I$3)&amp;"",LEFT(INDEX(인턴근무계획!$M$3:$R$202,$A31,$I$3)&amp;"",FIND(" ",INDEX(인턴근무계획!$M$3:$R$202,$A31,$I$3)&amp;"")-1))))</f>
        <v/>
      </c>
      <c r="J31" s="23">
        <f>IF(OR($C31="",$I$3=""),"",IF(INDEX(인턴근무계획!$M$3:$R$202,$A31,$I$3)&amp;""="","",IF(LEFT(INDEX(인턴근무계획!$M$3:$R$202,$A31,$I$3)&amp;"",1)="⚠","",MID(INDEX(인턴근무계획!$M$3:$R$202,$A31,$I$3)&amp;"",FIND(" ",INDEX(인턴근무계획!$M$3:$R$202,$A31,$I$3)&amp;"")+1,60))))</f>
        <v/>
      </c>
      <c r="K31" s="23">
        <f>IF($C31="","",INDEX(인턴근무계획!$M$3:$M$202,$A31)&amp;"")</f>
        <v/>
      </c>
      <c r="L31" s="23">
        <f>IF($C31="","",INDEX(인턴근무계획!$N$3:$N$202,$A31)&amp;"")</f>
        <v/>
      </c>
      <c r="M31" s="23">
        <f>IF($C31="","",INDEX(인턴근무계획!$O$3:$O$202,$A31)&amp;"")</f>
        <v/>
      </c>
      <c r="N31" s="23">
        <f>IF($C31="","",INDEX(인턴근무계획!$P$3:$P$202,$A31)&amp;"")</f>
        <v/>
      </c>
      <c r="O31" s="23">
        <f>IF($C31="","",INDEX(인턴근무계획!$Q$3:$Q$202,$A31)&amp;"")</f>
        <v/>
      </c>
      <c r="P31" s="23">
        <f>IF($C31="","",INDEX(인턴근무계획!$R$3:$R$202,$A31)&amp;"")</f>
        <v/>
      </c>
      <c r="Q31" s="23">
        <f>IF($C31="","",INDEX(인턴근무계획!$T$3:$T$202,$A31))</f>
        <v/>
      </c>
    </row>
    <row r="32">
      <c r="A32" s="26" t="n">
        <v>27</v>
      </c>
      <c r="B32" s="23">
        <f>IF($C32="","",INDEX(인턴근무계획!$B$3:$B$202,$A32))</f>
        <v/>
      </c>
      <c r="C32" s="23">
        <f>IFERROR(TRIM(INDEX(인턴근무계획!$C$3:$C$202,$A32)&amp;""),"")</f>
        <v/>
      </c>
      <c r="D32" s="23">
        <f>IF($C32="","",INDEX(인턴근무계획!$D$3:$D$202,$A32))</f>
        <v/>
      </c>
      <c r="E32" s="23">
        <f>IF($C32="","",IF(IFERROR(MATCH($D32,기본자료!$B$2:$B$501,0),IFERROR(MATCH($D32&amp;"",기본자료!$B$2:$B$501,0),IFERROR(MATCH(VALUE($D32),기본자료!$B$2:$B$501,0),0)))&gt;0,"확인","미등록"))</f>
        <v/>
      </c>
      <c r="F32" s="27">
        <f>IF($C32="","",INDEX(인턴근무계획!$S$3:$S$202,$A32))</f>
        <v/>
      </c>
      <c r="G32" s="23">
        <f>IF(OR($C32="",$G$3=""),"",IF(INDEX(인턴근무계획!$M$3:$R$202,$A32,$G$3)&amp;""="","",IF(LEFT(INDEX(인턴근무계획!$M$3:$R$202,$A32,$G$3)&amp;"",1)="⚠",INDEX(인턴근무계획!$M$3:$R$202,$A32,$G$3)&amp;"",LEFT(INDEX(인턴근무계획!$M$3:$R$202,$A32,$G$3)&amp;"",FIND(" ",INDEX(인턴근무계획!$M$3:$R$202,$A32,$G$3)&amp;"")-1))))</f>
        <v/>
      </c>
      <c r="H32" s="23">
        <f>IF(OR($C32="",$G$3=""),"",IF(INDEX(인턴근무계획!$M$3:$R$202,$A32,$G$3)&amp;""="","",IF(LEFT(INDEX(인턴근무계획!$M$3:$R$202,$A32,$G$3)&amp;"",1)="⚠","",MID(INDEX(인턴근무계획!$M$3:$R$202,$A32,$G$3)&amp;"",FIND(" ",INDEX(인턴근무계획!$M$3:$R$202,$A32,$G$3)&amp;"")+1,60))))</f>
        <v/>
      </c>
      <c r="I32" s="23">
        <f>IF(OR($C32="",$I$3=""),"",IF(INDEX(인턴근무계획!$M$3:$R$202,$A32,$I$3)&amp;""="","",IF(LEFT(INDEX(인턴근무계획!$M$3:$R$202,$A32,$I$3)&amp;"",1)="⚠",INDEX(인턴근무계획!$M$3:$R$202,$A32,$I$3)&amp;"",LEFT(INDEX(인턴근무계획!$M$3:$R$202,$A32,$I$3)&amp;"",FIND(" ",INDEX(인턴근무계획!$M$3:$R$202,$A32,$I$3)&amp;"")-1))))</f>
        <v/>
      </c>
      <c r="J32" s="23">
        <f>IF(OR($C32="",$I$3=""),"",IF(INDEX(인턴근무계획!$M$3:$R$202,$A32,$I$3)&amp;""="","",IF(LEFT(INDEX(인턴근무계획!$M$3:$R$202,$A32,$I$3)&amp;"",1)="⚠","",MID(INDEX(인턴근무계획!$M$3:$R$202,$A32,$I$3)&amp;"",FIND(" ",INDEX(인턴근무계획!$M$3:$R$202,$A32,$I$3)&amp;"")+1,60))))</f>
        <v/>
      </c>
      <c r="K32" s="23">
        <f>IF($C32="","",INDEX(인턴근무계획!$M$3:$M$202,$A32)&amp;"")</f>
        <v/>
      </c>
      <c r="L32" s="23">
        <f>IF($C32="","",INDEX(인턴근무계획!$N$3:$N$202,$A32)&amp;"")</f>
        <v/>
      </c>
      <c r="M32" s="23">
        <f>IF($C32="","",INDEX(인턴근무계획!$O$3:$O$202,$A32)&amp;"")</f>
        <v/>
      </c>
      <c r="N32" s="23">
        <f>IF($C32="","",INDEX(인턴근무계획!$P$3:$P$202,$A32)&amp;"")</f>
        <v/>
      </c>
      <c r="O32" s="23">
        <f>IF($C32="","",INDEX(인턴근무계획!$Q$3:$Q$202,$A32)&amp;"")</f>
        <v/>
      </c>
      <c r="P32" s="23">
        <f>IF($C32="","",INDEX(인턴근무계획!$R$3:$R$202,$A32)&amp;"")</f>
        <v/>
      </c>
      <c r="Q32" s="23">
        <f>IF($C32="","",INDEX(인턴근무계획!$T$3:$T$202,$A32))</f>
        <v/>
      </c>
    </row>
    <row r="33">
      <c r="A33" s="26" t="n">
        <v>28</v>
      </c>
      <c r="B33" s="23">
        <f>IF($C33="","",INDEX(인턴근무계획!$B$3:$B$202,$A33))</f>
        <v/>
      </c>
      <c r="C33" s="23">
        <f>IFERROR(TRIM(INDEX(인턴근무계획!$C$3:$C$202,$A33)&amp;""),"")</f>
        <v/>
      </c>
      <c r="D33" s="23">
        <f>IF($C33="","",INDEX(인턴근무계획!$D$3:$D$202,$A33))</f>
        <v/>
      </c>
      <c r="E33" s="23">
        <f>IF($C33="","",IF(IFERROR(MATCH($D33,기본자료!$B$2:$B$501,0),IFERROR(MATCH($D33&amp;"",기본자료!$B$2:$B$501,0),IFERROR(MATCH(VALUE($D33),기본자료!$B$2:$B$501,0),0)))&gt;0,"확인","미등록"))</f>
        <v/>
      </c>
      <c r="F33" s="27">
        <f>IF($C33="","",INDEX(인턴근무계획!$S$3:$S$202,$A33))</f>
        <v/>
      </c>
      <c r="G33" s="23">
        <f>IF(OR($C33="",$G$3=""),"",IF(INDEX(인턴근무계획!$M$3:$R$202,$A33,$G$3)&amp;""="","",IF(LEFT(INDEX(인턴근무계획!$M$3:$R$202,$A33,$G$3)&amp;"",1)="⚠",INDEX(인턴근무계획!$M$3:$R$202,$A33,$G$3)&amp;"",LEFT(INDEX(인턴근무계획!$M$3:$R$202,$A33,$G$3)&amp;"",FIND(" ",INDEX(인턴근무계획!$M$3:$R$202,$A33,$G$3)&amp;"")-1))))</f>
        <v/>
      </c>
      <c r="H33" s="23">
        <f>IF(OR($C33="",$G$3=""),"",IF(INDEX(인턴근무계획!$M$3:$R$202,$A33,$G$3)&amp;""="","",IF(LEFT(INDEX(인턴근무계획!$M$3:$R$202,$A33,$G$3)&amp;"",1)="⚠","",MID(INDEX(인턴근무계획!$M$3:$R$202,$A33,$G$3)&amp;"",FIND(" ",INDEX(인턴근무계획!$M$3:$R$202,$A33,$G$3)&amp;"")+1,60))))</f>
        <v/>
      </c>
      <c r="I33" s="23">
        <f>IF(OR($C33="",$I$3=""),"",IF(INDEX(인턴근무계획!$M$3:$R$202,$A33,$I$3)&amp;""="","",IF(LEFT(INDEX(인턴근무계획!$M$3:$R$202,$A33,$I$3)&amp;"",1)="⚠",INDEX(인턴근무계획!$M$3:$R$202,$A33,$I$3)&amp;"",LEFT(INDEX(인턴근무계획!$M$3:$R$202,$A33,$I$3)&amp;"",FIND(" ",INDEX(인턴근무계획!$M$3:$R$202,$A33,$I$3)&amp;"")-1))))</f>
        <v/>
      </c>
      <c r="J33" s="23">
        <f>IF(OR($C33="",$I$3=""),"",IF(INDEX(인턴근무계획!$M$3:$R$202,$A33,$I$3)&amp;""="","",IF(LEFT(INDEX(인턴근무계획!$M$3:$R$202,$A33,$I$3)&amp;"",1)="⚠","",MID(INDEX(인턴근무계획!$M$3:$R$202,$A33,$I$3)&amp;"",FIND(" ",INDEX(인턴근무계획!$M$3:$R$202,$A33,$I$3)&amp;"")+1,60))))</f>
        <v/>
      </c>
      <c r="K33" s="23">
        <f>IF($C33="","",INDEX(인턴근무계획!$M$3:$M$202,$A33)&amp;"")</f>
        <v/>
      </c>
      <c r="L33" s="23">
        <f>IF($C33="","",INDEX(인턴근무계획!$N$3:$N$202,$A33)&amp;"")</f>
        <v/>
      </c>
      <c r="M33" s="23">
        <f>IF($C33="","",INDEX(인턴근무계획!$O$3:$O$202,$A33)&amp;"")</f>
        <v/>
      </c>
      <c r="N33" s="23">
        <f>IF($C33="","",INDEX(인턴근무계획!$P$3:$P$202,$A33)&amp;"")</f>
        <v/>
      </c>
      <c r="O33" s="23">
        <f>IF($C33="","",INDEX(인턴근무계획!$Q$3:$Q$202,$A33)&amp;"")</f>
        <v/>
      </c>
      <c r="P33" s="23">
        <f>IF($C33="","",INDEX(인턴근무계획!$R$3:$R$202,$A33)&amp;"")</f>
        <v/>
      </c>
      <c r="Q33" s="23">
        <f>IF($C33="","",INDEX(인턴근무계획!$T$3:$T$202,$A33))</f>
        <v/>
      </c>
    </row>
    <row r="34">
      <c r="A34" s="26" t="n">
        <v>29</v>
      </c>
      <c r="B34" s="23">
        <f>IF($C34="","",INDEX(인턴근무계획!$B$3:$B$202,$A34))</f>
        <v/>
      </c>
      <c r="C34" s="23">
        <f>IFERROR(TRIM(INDEX(인턴근무계획!$C$3:$C$202,$A34)&amp;""),"")</f>
        <v/>
      </c>
      <c r="D34" s="23">
        <f>IF($C34="","",INDEX(인턴근무계획!$D$3:$D$202,$A34))</f>
        <v/>
      </c>
      <c r="E34" s="23">
        <f>IF($C34="","",IF(IFERROR(MATCH($D34,기본자료!$B$2:$B$501,0),IFERROR(MATCH($D34&amp;"",기본자료!$B$2:$B$501,0),IFERROR(MATCH(VALUE($D34),기본자료!$B$2:$B$501,0),0)))&gt;0,"확인","미등록"))</f>
        <v/>
      </c>
      <c r="F34" s="27">
        <f>IF($C34="","",INDEX(인턴근무계획!$S$3:$S$202,$A34))</f>
        <v/>
      </c>
      <c r="G34" s="23">
        <f>IF(OR($C34="",$G$3=""),"",IF(INDEX(인턴근무계획!$M$3:$R$202,$A34,$G$3)&amp;""="","",IF(LEFT(INDEX(인턴근무계획!$M$3:$R$202,$A34,$G$3)&amp;"",1)="⚠",INDEX(인턴근무계획!$M$3:$R$202,$A34,$G$3)&amp;"",LEFT(INDEX(인턴근무계획!$M$3:$R$202,$A34,$G$3)&amp;"",FIND(" ",INDEX(인턴근무계획!$M$3:$R$202,$A34,$G$3)&amp;"")-1))))</f>
        <v/>
      </c>
      <c r="H34" s="23">
        <f>IF(OR($C34="",$G$3=""),"",IF(INDEX(인턴근무계획!$M$3:$R$202,$A34,$G$3)&amp;""="","",IF(LEFT(INDEX(인턴근무계획!$M$3:$R$202,$A34,$G$3)&amp;"",1)="⚠","",MID(INDEX(인턴근무계획!$M$3:$R$202,$A34,$G$3)&amp;"",FIND(" ",INDEX(인턴근무계획!$M$3:$R$202,$A34,$G$3)&amp;"")+1,60))))</f>
        <v/>
      </c>
      <c r="I34" s="23">
        <f>IF(OR($C34="",$I$3=""),"",IF(INDEX(인턴근무계획!$M$3:$R$202,$A34,$I$3)&amp;""="","",IF(LEFT(INDEX(인턴근무계획!$M$3:$R$202,$A34,$I$3)&amp;"",1)="⚠",INDEX(인턴근무계획!$M$3:$R$202,$A34,$I$3)&amp;"",LEFT(INDEX(인턴근무계획!$M$3:$R$202,$A34,$I$3)&amp;"",FIND(" ",INDEX(인턴근무계획!$M$3:$R$202,$A34,$I$3)&amp;"")-1))))</f>
        <v/>
      </c>
      <c r="J34" s="23">
        <f>IF(OR($C34="",$I$3=""),"",IF(INDEX(인턴근무계획!$M$3:$R$202,$A34,$I$3)&amp;""="","",IF(LEFT(INDEX(인턴근무계획!$M$3:$R$202,$A34,$I$3)&amp;"",1)="⚠","",MID(INDEX(인턴근무계획!$M$3:$R$202,$A34,$I$3)&amp;"",FIND(" ",INDEX(인턴근무계획!$M$3:$R$202,$A34,$I$3)&amp;"")+1,60))))</f>
        <v/>
      </c>
      <c r="K34" s="23">
        <f>IF($C34="","",INDEX(인턴근무계획!$M$3:$M$202,$A34)&amp;"")</f>
        <v/>
      </c>
      <c r="L34" s="23">
        <f>IF($C34="","",INDEX(인턴근무계획!$N$3:$N$202,$A34)&amp;"")</f>
        <v/>
      </c>
      <c r="M34" s="23">
        <f>IF($C34="","",INDEX(인턴근무계획!$O$3:$O$202,$A34)&amp;"")</f>
        <v/>
      </c>
      <c r="N34" s="23">
        <f>IF($C34="","",INDEX(인턴근무계획!$P$3:$P$202,$A34)&amp;"")</f>
        <v/>
      </c>
      <c r="O34" s="23">
        <f>IF($C34="","",INDEX(인턴근무계획!$Q$3:$Q$202,$A34)&amp;"")</f>
        <v/>
      </c>
      <c r="P34" s="23">
        <f>IF($C34="","",INDEX(인턴근무계획!$R$3:$R$202,$A34)&amp;"")</f>
        <v/>
      </c>
      <c r="Q34" s="23">
        <f>IF($C34="","",INDEX(인턴근무계획!$T$3:$T$202,$A34))</f>
        <v/>
      </c>
    </row>
    <row r="35">
      <c r="A35" s="26" t="n">
        <v>30</v>
      </c>
      <c r="B35" s="23">
        <f>IF($C35="","",INDEX(인턴근무계획!$B$3:$B$202,$A35))</f>
        <v/>
      </c>
      <c r="C35" s="23">
        <f>IFERROR(TRIM(INDEX(인턴근무계획!$C$3:$C$202,$A35)&amp;""),"")</f>
        <v/>
      </c>
      <c r="D35" s="23">
        <f>IF($C35="","",INDEX(인턴근무계획!$D$3:$D$202,$A35))</f>
        <v/>
      </c>
      <c r="E35" s="23">
        <f>IF($C35="","",IF(IFERROR(MATCH($D35,기본자료!$B$2:$B$501,0),IFERROR(MATCH($D35&amp;"",기본자료!$B$2:$B$501,0),IFERROR(MATCH(VALUE($D35),기본자료!$B$2:$B$501,0),0)))&gt;0,"확인","미등록"))</f>
        <v/>
      </c>
      <c r="F35" s="27">
        <f>IF($C35="","",INDEX(인턴근무계획!$S$3:$S$202,$A35))</f>
        <v/>
      </c>
      <c r="G35" s="23">
        <f>IF(OR($C35="",$G$3=""),"",IF(INDEX(인턴근무계획!$M$3:$R$202,$A35,$G$3)&amp;""="","",IF(LEFT(INDEX(인턴근무계획!$M$3:$R$202,$A35,$G$3)&amp;"",1)="⚠",INDEX(인턴근무계획!$M$3:$R$202,$A35,$G$3)&amp;"",LEFT(INDEX(인턴근무계획!$M$3:$R$202,$A35,$G$3)&amp;"",FIND(" ",INDEX(인턴근무계획!$M$3:$R$202,$A35,$G$3)&amp;"")-1))))</f>
        <v/>
      </c>
      <c r="H35" s="23">
        <f>IF(OR($C35="",$G$3=""),"",IF(INDEX(인턴근무계획!$M$3:$R$202,$A35,$G$3)&amp;""="","",IF(LEFT(INDEX(인턴근무계획!$M$3:$R$202,$A35,$G$3)&amp;"",1)="⚠","",MID(INDEX(인턴근무계획!$M$3:$R$202,$A35,$G$3)&amp;"",FIND(" ",INDEX(인턴근무계획!$M$3:$R$202,$A35,$G$3)&amp;"")+1,60))))</f>
        <v/>
      </c>
      <c r="I35" s="23">
        <f>IF(OR($C35="",$I$3=""),"",IF(INDEX(인턴근무계획!$M$3:$R$202,$A35,$I$3)&amp;""="","",IF(LEFT(INDEX(인턴근무계획!$M$3:$R$202,$A35,$I$3)&amp;"",1)="⚠",INDEX(인턴근무계획!$M$3:$R$202,$A35,$I$3)&amp;"",LEFT(INDEX(인턴근무계획!$M$3:$R$202,$A35,$I$3)&amp;"",FIND(" ",INDEX(인턴근무계획!$M$3:$R$202,$A35,$I$3)&amp;"")-1))))</f>
        <v/>
      </c>
      <c r="J35" s="23">
        <f>IF(OR($C35="",$I$3=""),"",IF(INDEX(인턴근무계획!$M$3:$R$202,$A35,$I$3)&amp;""="","",IF(LEFT(INDEX(인턴근무계획!$M$3:$R$202,$A35,$I$3)&amp;"",1)="⚠","",MID(INDEX(인턴근무계획!$M$3:$R$202,$A35,$I$3)&amp;"",FIND(" ",INDEX(인턴근무계획!$M$3:$R$202,$A35,$I$3)&amp;"")+1,60))))</f>
        <v/>
      </c>
      <c r="K35" s="23">
        <f>IF($C35="","",INDEX(인턴근무계획!$M$3:$M$202,$A35)&amp;"")</f>
        <v/>
      </c>
      <c r="L35" s="23">
        <f>IF($C35="","",INDEX(인턴근무계획!$N$3:$N$202,$A35)&amp;"")</f>
        <v/>
      </c>
      <c r="M35" s="23">
        <f>IF($C35="","",INDEX(인턴근무계획!$O$3:$O$202,$A35)&amp;"")</f>
        <v/>
      </c>
      <c r="N35" s="23">
        <f>IF($C35="","",INDEX(인턴근무계획!$P$3:$P$202,$A35)&amp;"")</f>
        <v/>
      </c>
      <c r="O35" s="23">
        <f>IF($C35="","",INDEX(인턴근무계획!$Q$3:$Q$202,$A35)&amp;"")</f>
        <v/>
      </c>
      <c r="P35" s="23">
        <f>IF($C35="","",INDEX(인턴근무계획!$R$3:$R$202,$A35)&amp;"")</f>
        <v/>
      </c>
      <c r="Q35" s="23">
        <f>IF($C35="","",INDEX(인턴근무계획!$T$3:$T$202,$A35))</f>
        <v/>
      </c>
    </row>
    <row r="36">
      <c r="A36" s="26" t="n">
        <v>31</v>
      </c>
      <c r="B36" s="23">
        <f>IF($C36="","",INDEX(인턴근무계획!$B$3:$B$202,$A36))</f>
        <v/>
      </c>
      <c r="C36" s="23">
        <f>IFERROR(TRIM(INDEX(인턴근무계획!$C$3:$C$202,$A36)&amp;""),"")</f>
        <v/>
      </c>
      <c r="D36" s="23">
        <f>IF($C36="","",INDEX(인턴근무계획!$D$3:$D$202,$A36))</f>
        <v/>
      </c>
      <c r="E36" s="23">
        <f>IF($C36="","",IF(IFERROR(MATCH($D36,기본자료!$B$2:$B$501,0),IFERROR(MATCH($D36&amp;"",기본자료!$B$2:$B$501,0),IFERROR(MATCH(VALUE($D36),기본자료!$B$2:$B$501,0),0)))&gt;0,"확인","미등록"))</f>
        <v/>
      </c>
      <c r="F36" s="27">
        <f>IF($C36="","",INDEX(인턴근무계획!$S$3:$S$202,$A36))</f>
        <v/>
      </c>
      <c r="G36" s="23">
        <f>IF(OR($C36="",$G$3=""),"",IF(INDEX(인턴근무계획!$M$3:$R$202,$A36,$G$3)&amp;""="","",IF(LEFT(INDEX(인턴근무계획!$M$3:$R$202,$A36,$G$3)&amp;"",1)="⚠",INDEX(인턴근무계획!$M$3:$R$202,$A36,$G$3)&amp;"",LEFT(INDEX(인턴근무계획!$M$3:$R$202,$A36,$G$3)&amp;"",FIND(" ",INDEX(인턴근무계획!$M$3:$R$202,$A36,$G$3)&amp;"")-1))))</f>
        <v/>
      </c>
      <c r="H36" s="23">
        <f>IF(OR($C36="",$G$3=""),"",IF(INDEX(인턴근무계획!$M$3:$R$202,$A36,$G$3)&amp;""="","",IF(LEFT(INDEX(인턴근무계획!$M$3:$R$202,$A36,$G$3)&amp;"",1)="⚠","",MID(INDEX(인턴근무계획!$M$3:$R$202,$A36,$G$3)&amp;"",FIND(" ",INDEX(인턴근무계획!$M$3:$R$202,$A36,$G$3)&amp;"")+1,60))))</f>
        <v/>
      </c>
      <c r="I36" s="23">
        <f>IF(OR($C36="",$I$3=""),"",IF(INDEX(인턴근무계획!$M$3:$R$202,$A36,$I$3)&amp;""="","",IF(LEFT(INDEX(인턴근무계획!$M$3:$R$202,$A36,$I$3)&amp;"",1)="⚠",INDEX(인턴근무계획!$M$3:$R$202,$A36,$I$3)&amp;"",LEFT(INDEX(인턴근무계획!$M$3:$R$202,$A36,$I$3)&amp;"",FIND(" ",INDEX(인턴근무계획!$M$3:$R$202,$A36,$I$3)&amp;"")-1))))</f>
        <v/>
      </c>
      <c r="J36" s="23">
        <f>IF(OR($C36="",$I$3=""),"",IF(INDEX(인턴근무계획!$M$3:$R$202,$A36,$I$3)&amp;""="","",IF(LEFT(INDEX(인턴근무계획!$M$3:$R$202,$A36,$I$3)&amp;"",1)="⚠","",MID(INDEX(인턴근무계획!$M$3:$R$202,$A36,$I$3)&amp;"",FIND(" ",INDEX(인턴근무계획!$M$3:$R$202,$A36,$I$3)&amp;"")+1,60))))</f>
        <v/>
      </c>
      <c r="K36" s="23">
        <f>IF($C36="","",INDEX(인턴근무계획!$M$3:$M$202,$A36)&amp;"")</f>
        <v/>
      </c>
      <c r="L36" s="23">
        <f>IF($C36="","",INDEX(인턴근무계획!$N$3:$N$202,$A36)&amp;"")</f>
        <v/>
      </c>
      <c r="M36" s="23">
        <f>IF($C36="","",INDEX(인턴근무계획!$O$3:$O$202,$A36)&amp;"")</f>
        <v/>
      </c>
      <c r="N36" s="23">
        <f>IF($C36="","",INDEX(인턴근무계획!$P$3:$P$202,$A36)&amp;"")</f>
        <v/>
      </c>
      <c r="O36" s="23">
        <f>IF($C36="","",INDEX(인턴근무계획!$Q$3:$Q$202,$A36)&amp;"")</f>
        <v/>
      </c>
      <c r="P36" s="23">
        <f>IF($C36="","",INDEX(인턴근무계획!$R$3:$R$202,$A36)&amp;"")</f>
        <v/>
      </c>
      <c r="Q36" s="23">
        <f>IF($C36="","",INDEX(인턴근무계획!$T$3:$T$202,$A36))</f>
        <v/>
      </c>
    </row>
    <row r="37">
      <c r="A37" s="26" t="n">
        <v>32</v>
      </c>
      <c r="B37" s="23">
        <f>IF($C37="","",INDEX(인턴근무계획!$B$3:$B$202,$A37))</f>
        <v/>
      </c>
      <c r="C37" s="23">
        <f>IFERROR(TRIM(INDEX(인턴근무계획!$C$3:$C$202,$A37)&amp;""),"")</f>
        <v/>
      </c>
      <c r="D37" s="23">
        <f>IF($C37="","",INDEX(인턴근무계획!$D$3:$D$202,$A37))</f>
        <v/>
      </c>
      <c r="E37" s="23">
        <f>IF($C37="","",IF(IFERROR(MATCH($D37,기본자료!$B$2:$B$501,0),IFERROR(MATCH($D37&amp;"",기본자료!$B$2:$B$501,0),IFERROR(MATCH(VALUE($D37),기본자료!$B$2:$B$501,0),0)))&gt;0,"확인","미등록"))</f>
        <v/>
      </c>
      <c r="F37" s="27">
        <f>IF($C37="","",INDEX(인턴근무계획!$S$3:$S$202,$A37))</f>
        <v/>
      </c>
      <c r="G37" s="23">
        <f>IF(OR($C37="",$G$3=""),"",IF(INDEX(인턴근무계획!$M$3:$R$202,$A37,$G$3)&amp;""="","",IF(LEFT(INDEX(인턴근무계획!$M$3:$R$202,$A37,$G$3)&amp;"",1)="⚠",INDEX(인턴근무계획!$M$3:$R$202,$A37,$G$3)&amp;"",LEFT(INDEX(인턴근무계획!$M$3:$R$202,$A37,$G$3)&amp;"",FIND(" ",INDEX(인턴근무계획!$M$3:$R$202,$A37,$G$3)&amp;"")-1))))</f>
        <v/>
      </c>
      <c r="H37" s="23">
        <f>IF(OR($C37="",$G$3=""),"",IF(INDEX(인턴근무계획!$M$3:$R$202,$A37,$G$3)&amp;""="","",IF(LEFT(INDEX(인턴근무계획!$M$3:$R$202,$A37,$G$3)&amp;"",1)="⚠","",MID(INDEX(인턴근무계획!$M$3:$R$202,$A37,$G$3)&amp;"",FIND(" ",INDEX(인턴근무계획!$M$3:$R$202,$A37,$G$3)&amp;"")+1,60))))</f>
        <v/>
      </c>
      <c r="I37" s="23">
        <f>IF(OR($C37="",$I$3=""),"",IF(INDEX(인턴근무계획!$M$3:$R$202,$A37,$I$3)&amp;""="","",IF(LEFT(INDEX(인턴근무계획!$M$3:$R$202,$A37,$I$3)&amp;"",1)="⚠",INDEX(인턴근무계획!$M$3:$R$202,$A37,$I$3)&amp;"",LEFT(INDEX(인턴근무계획!$M$3:$R$202,$A37,$I$3)&amp;"",FIND(" ",INDEX(인턴근무계획!$M$3:$R$202,$A37,$I$3)&amp;"")-1))))</f>
        <v/>
      </c>
      <c r="J37" s="23">
        <f>IF(OR($C37="",$I$3=""),"",IF(INDEX(인턴근무계획!$M$3:$R$202,$A37,$I$3)&amp;""="","",IF(LEFT(INDEX(인턴근무계획!$M$3:$R$202,$A37,$I$3)&amp;"",1)="⚠","",MID(INDEX(인턴근무계획!$M$3:$R$202,$A37,$I$3)&amp;"",FIND(" ",INDEX(인턴근무계획!$M$3:$R$202,$A37,$I$3)&amp;"")+1,60))))</f>
        <v/>
      </c>
      <c r="K37" s="23">
        <f>IF($C37="","",INDEX(인턴근무계획!$M$3:$M$202,$A37)&amp;"")</f>
        <v/>
      </c>
      <c r="L37" s="23">
        <f>IF($C37="","",INDEX(인턴근무계획!$N$3:$N$202,$A37)&amp;"")</f>
        <v/>
      </c>
      <c r="M37" s="23">
        <f>IF($C37="","",INDEX(인턴근무계획!$O$3:$O$202,$A37)&amp;"")</f>
        <v/>
      </c>
      <c r="N37" s="23">
        <f>IF($C37="","",INDEX(인턴근무계획!$P$3:$P$202,$A37)&amp;"")</f>
        <v/>
      </c>
      <c r="O37" s="23">
        <f>IF($C37="","",INDEX(인턴근무계획!$Q$3:$Q$202,$A37)&amp;"")</f>
        <v/>
      </c>
      <c r="P37" s="23">
        <f>IF($C37="","",INDEX(인턴근무계획!$R$3:$R$202,$A37)&amp;"")</f>
        <v/>
      </c>
      <c r="Q37" s="23">
        <f>IF($C37="","",INDEX(인턴근무계획!$T$3:$T$202,$A37))</f>
        <v/>
      </c>
    </row>
    <row r="38">
      <c r="A38" s="26" t="n">
        <v>33</v>
      </c>
      <c r="B38" s="23">
        <f>IF($C38="","",INDEX(인턴근무계획!$B$3:$B$202,$A38))</f>
        <v/>
      </c>
      <c r="C38" s="23">
        <f>IFERROR(TRIM(INDEX(인턴근무계획!$C$3:$C$202,$A38)&amp;""),"")</f>
        <v/>
      </c>
      <c r="D38" s="23">
        <f>IF($C38="","",INDEX(인턴근무계획!$D$3:$D$202,$A38))</f>
        <v/>
      </c>
      <c r="E38" s="23">
        <f>IF($C38="","",IF(IFERROR(MATCH($D38,기본자료!$B$2:$B$501,0),IFERROR(MATCH($D38&amp;"",기본자료!$B$2:$B$501,0),IFERROR(MATCH(VALUE($D38),기본자료!$B$2:$B$501,0),0)))&gt;0,"확인","미등록"))</f>
        <v/>
      </c>
      <c r="F38" s="27">
        <f>IF($C38="","",INDEX(인턴근무계획!$S$3:$S$202,$A38))</f>
        <v/>
      </c>
      <c r="G38" s="23">
        <f>IF(OR($C38="",$G$3=""),"",IF(INDEX(인턴근무계획!$M$3:$R$202,$A38,$G$3)&amp;""="","",IF(LEFT(INDEX(인턴근무계획!$M$3:$R$202,$A38,$G$3)&amp;"",1)="⚠",INDEX(인턴근무계획!$M$3:$R$202,$A38,$G$3)&amp;"",LEFT(INDEX(인턴근무계획!$M$3:$R$202,$A38,$G$3)&amp;"",FIND(" ",INDEX(인턴근무계획!$M$3:$R$202,$A38,$G$3)&amp;"")-1))))</f>
        <v/>
      </c>
      <c r="H38" s="23">
        <f>IF(OR($C38="",$G$3=""),"",IF(INDEX(인턴근무계획!$M$3:$R$202,$A38,$G$3)&amp;""="","",IF(LEFT(INDEX(인턴근무계획!$M$3:$R$202,$A38,$G$3)&amp;"",1)="⚠","",MID(INDEX(인턴근무계획!$M$3:$R$202,$A38,$G$3)&amp;"",FIND(" ",INDEX(인턴근무계획!$M$3:$R$202,$A38,$G$3)&amp;"")+1,60))))</f>
        <v/>
      </c>
      <c r="I38" s="23">
        <f>IF(OR($C38="",$I$3=""),"",IF(INDEX(인턴근무계획!$M$3:$R$202,$A38,$I$3)&amp;""="","",IF(LEFT(INDEX(인턴근무계획!$M$3:$R$202,$A38,$I$3)&amp;"",1)="⚠",INDEX(인턴근무계획!$M$3:$R$202,$A38,$I$3)&amp;"",LEFT(INDEX(인턴근무계획!$M$3:$R$202,$A38,$I$3)&amp;"",FIND(" ",INDEX(인턴근무계획!$M$3:$R$202,$A38,$I$3)&amp;"")-1))))</f>
        <v/>
      </c>
      <c r="J38" s="23">
        <f>IF(OR($C38="",$I$3=""),"",IF(INDEX(인턴근무계획!$M$3:$R$202,$A38,$I$3)&amp;""="","",IF(LEFT(INDEX(인턴근무계획!$M$3:$R$202,$A38,$I$3)&amp;"",1)="⚠","",MID(INDEX(인턴근무계획!$M$3:$R$202,$A38,$I$3)&amp;"",FIND(" ",INDEX(인턴근무계획!$M$3:$R$202,$A38,$I$3)&amp;"")+1,60))))</f>
        <v/>
      </c>
      <c r="K38" s="23">
        <f>IF($C38="","",INDEX(인턴근무계획!$M$3:$M$202,$A38)&amp;"")</f>
        <v/>
      </c>
      <c r="L38" s="23">
        <f>IF($C38="","",INDEX(인턴근무계획!$N$3:$N$202,$A38)&amp;"")</f>
        <v/>
      </c>
      <c r="M38" s="23">
        <f>IF($C38="","",INDEX(인턴근무계획!$O$3:$O$202,$A38)&amp;"")</f>
        <v/>
      </c>
      <c r="N38" s="23">
        <f>IF($C38="","",INDEX(인턴근무계획!$P$3:$P$202,$A38)&amp;"")</f>
        <v/>
      </c>
      <c r="O38" s="23">
        <f>IF($C38="","",INDEX(인턴근무계획!$Q$3:$Q$202,$A38)&amp;"")</f>
        <v/>
      </c>
      <c r="P38" s="23">
        <f>IF($C38="","",INDEX(인턴근무계획!$R$3:$R$202,$A38)&amp;"")</f>
        <v/>
      </c>
      <c r="Q38" s="23">
        <f>IF($C38="","",INDEX(인턴근무계획!$T$3:$T$202,$A38))</f>
        <v/>
      </c>
    </row>
    <row r="39">
      <c r="A39" s="26" t="n">
        <v>34</v>
      </c>
      <c r="B39" s="23">
        <f>IF($C39="","",INDEX(인턴근무계획!$B$3:$B$202,$A39))</f>
        <v/>
      </c>
      <c r="C39" s="23">
        <f>IFERROR(TRIM(INDEX(인턴근무계획!$C$3:$C$202,$A39)&amp;""),"")</f>
        <v/>
      </c>
      <c r="D39" s="23">
        <f>IF($C39="","",INDEX(인턴근무계획!$D$3:$D$202,$A39))</f>
        <v/>
      </c>
      <c r="E39" s="23">
        <f>IF($C39="","",IF(IFERROR(MATCH($D39,기본자료!$B$2:$B$501,0),IFERROR(MATCH($D39&amp;"",기본자료!$B$2:$B$501,0),IFERROR(MATCH(VALUE($D39),기본자료!$B$2:$B$501,0),0)))&gt;0,"확인","미등록"))</f>
        <v/>
      </c>
      <c r="F39" s="27">
        <f>IF($C39="","",INDEX(인턴근무계획!$S$3:$S$202,$A39))</f>
        <v/>
      </c>
      <c r="G39" s="23">
        <f>IF(OR($C39="",$G$3=""),"",IF(INDEX(인턴근무계획!$M$3:$R$202,$A39,$G$3)&amp;""="","",IF(LEFT(INDEX(인턴근무계획!$M$3:$R$202,$A39,$G$3)&amp;"",1)="⚠",INDEX(인턴근무계획!$M$3:$R$202,$A39,$G$3)&amp;"",LEFT(INDEX(인턴근무계획!$M$3:$R$202,$A39,$G$3)&amp;"",FIND(" ",INDEX(인턴근무계획!$M$3:$R$202,$A39,$G$3)&amp;"")-1))))</f>
        <v/>
      </c>
      <c r="H39" s="23">
        <f>IF(OR($C39="",$G$3=""),"",IF(INDEX(인턴근무계획!$M$3:$R$202,$A39,$G$3)&amp;""="","",IF(LEFT(INDEX(인턴근무계획!$M$3:$R$202,$A39,$G$3)&amp;"",1)="⚠","",MID(INDEX(인턴근무계획!$M$3:$R$202,$A39,$G$3)&amp;"",FIND(" ",INDEX(인턴근무계획!$M$3:$R$202,$A39,$G$3)&amp;"")+1,60))))</f>
        <v/>
      </c>
      <c r="I39" s="23">
        <f>IF(OR($C39="",$I$3=""),"",IF(INDEX(인턴근무계획!$M$3:$R$202,$A39,$I$3)&amp;""="","",IF(LEFT(INDEX(인턴근무계획!$M$3:$R$202,$A39,$I$3)&amp;"",1)="⚠",INDEX(인턴근무계획!$M$3:$R$202,$A39,$I$3)&amp;"",LEFT(INDEX(인턴근무계획!$M$3:$R$202,$A39,$I$3)&amp;"",FIND(" ",INDEX(인턴근무계획!$M$3:$R$202,$A39,$I$3)&amp;"")-1))))</f>
        <v/>
      </c>
      <c r="J39" s="23">
        <f>IF(OR($C39="",$I$3=""),"",IF(INDEX(인턴근무계획!$M$3:$R$202,$A39,$I$3)&amp;""="","",IF(LEFT(INDEX(인턴근무계획!$M$3:$R$202,$A39,$I$3)&amp;"",1)="⚠","",MID(INDEX(인턴근무계획!$M$3:$R$202,$A39,$I$3)&amp;"",FIND(" ",INDEX(인턴근무계획!$M$3:$R$202,$A39,$I$3)&amp;"")+1,60))))</f>
        <v/>
      </c>
      <c r="K39" s="23">
        <f>IF($C39="","",INDEX(인턴근무계획!$M$3:$M$202,$A39)&amp;"")</f>
        <v/>
      </c>
      <c r="L39" s="23">
        <f>IF($C39="","",INDEX(인턴근무계획!$N$3:$N$202,$A39)&amp;"")</f>
        <v/>
      </c>
      <c r="M39" s="23">
        <f>IF($C39="","",INDEX(인턴근무계획!$O$3:$O$202,$A39)&amp;"")</f>
        <v/>
      </c>
      <c r="N39" s="23">
        <f>IF($C39="","",INDEX(인턴근무계획!$P$3:$P$202,$A39)&amp;"")</f>
        <v/>
      </c>
      <c r="O39" s="23">
        <f>IF($C39="","",INDEX(인턴근무계획!$Q$3:$Q$202,$A39)&amp;"")</f>
        <v/>
      </c>
      <c r="P39" s="23">
        <f>IF($C39="","",INDEX(인턴근무계획!$R$3:$R$202,$A39)&amp;"")</f>
        <v/>
      </c>
      <c r="Q39" s="23">
        <f>IF($C39="","",INDEX(인턴근무계획!$T$3:$T$202,$A39))</f>
        <v/>
      </c>
    </row>
    <row r="40">
      <c r="A40" s="26" t="n">
        <v>35</v>
      </c>
      <c r="B40" s="23">
        <f>IF($C40="","",INDEX(인턴근무계획!$B$3:$B$202,$A40))</f>
        <v/>
      </c>
      <c r="C40" s="23">
        <f>IFERROR(TRIM(INDEX(인턴근무계획!$C$3:$C$202,$A40)&amp;""),"")</f>
        <v/>
      </c>
      <c r="D40" s="23">
        <f>IF($C40="","",INDEX(인턴근무계획!$D$3:$D$202,$A40))</f>
        <v/>
      </c>
      <c r="E40" s="23">
        <f>IF($C40="","",IF(IFERROR(MATCH($D40,기본자료!$B$2:$B$501,0),IFERROR(MATCH($D40&amp;"",기본자료!$B$2:$B$501,0),IFERROR(MATCH(VALUE($D40),기본자료!$B$2:$B$501,0),0)))&gt;0,"확인","미등록"))</f>
        <v/>
      </c>
      <c r="F40" s="27">
        <f>IF($C40="","",INDEX(인턴근무계획!$S$3:$S$202,$A40))</f>
        <v/>
      </c>
      <c r="G40" s="23">
        <f>IF(OR($C40="",$G$3=""),"",IF(INDEX(인턴근무계획!$M$3:$R$202,$A40,$G$3)&amp;""="","",IF(LEFT(INDEX(인턴근무계획!$M$3:$R$202,$A40,$G$3)&amp;"",1)="⚠",INDEX(인턴근무계획!$M$3:$R$202,$A40,$G$3)&amp;"",LEFT(INDEX(인턴근무계획!$M$3:$R$202,$A40,$G$3)&amp;"",FIND(" ",INDEX(인턴근무계획!$M$3:$R$202,$A40,$G$3)&amp;"")-1))))</f>
        <v/>
      </c>
      <c r="H40" s="23">
        <f>IF(OR($C40="",$G$3=""),"",IF(INDEX(인턴근무계획!$M$3:$R$202,$A40,$G$3)&amp;""="","",IF(LEFT(INDEX(인턴근무계획!$M$3:$R$202,$A40,$G$3)&amp;"",1)="⚠","",MID(INDEX(인턴근무계획!$M$3:$R$202,$A40,$G$3)&amp;"",FIND(" ",INDEX(인턴근무계획!$M$3:$R$202,$A40,$G$3)&amp;"")+1,60))))</f>
        <v/>
      </c>
      <c r="I40" s="23">
        <f>IF(OR($C40="",$I$3=""),"",IF(INDEX(인턴근무계획!$M$3:$R$202,$A40,$I$3)&amp;""="","",IF(LEFT(INDEX(인턴근무계획!$M$3:$R$202,$A40,$I$3)&amp;"",1)="⚠",INDEX(인턴근무계획!$M$3:$R$202,$A40,$I$3)&amp;"",LEFT(INDEX(인턴근무계획!$M$3:$R$202,$A40,$I$3)&amp;"",FIND(" ",INDEX(인턴근무계획!$M$3:$R$202,$A40,$I$3)&amp;"")-1))))</f>
        <v/>
      </c>
      <c r="J40" s="23">
        <f>IF(OR($C40="",$I$3=""),"",IF(INDEX(인턴근무계획!$M$3:$R$202,$A40,$I$3)&amp;""="","",IF(LEFT(INDEX(인턴근무계획!$M$3:$R$202,$A40,$I$3)&amp;"",1)="⚠","",MID(INDEX(인턴근무계획!$M$3:$R$202,$A40,$I$3)&amp;"",FIND(" ",INDEX(인턴근무계획!$M$3:$R$202,$A40,$I$3)&amp;"")+1,60))))</f>
        <v/>
      </c>
      <c r="K40" s="23">
        <f>IF($C40="","",INDEX(인턴근무계획!$M$3:$M$202,$A40)&amp;"")</f>
        <v/>
      </c>
      <c r="L40" s="23">
        <f>IF($C40="","",INDEX(인턴근무계획!$N$3:$N$202,$A40)&amp;"")</f>
        <v/>
      </c>
      <c r="M40" s="23">
        <f>IF($C40="","",INDEX(인턴근무계획!$O$3:$O$202,$A40)&amp;"")</f>
        <v/>
      </c>
      <c r="N40" s="23">
        <f>IF($C40="","",INDEX(인턴근무계획!$P$3:$P$202,$A40)&amp;"")</f>
        <v/>
      </c>
      <c r="O40" s="23">
        <f>IF($C40="","",INDEX(인턴근무계획!$Q$3:$Q$202,$A40)&amp;"")</f>
        <v/>
      </c>
      <c r="P40" s="23">
        <f>IF($C40="","",INDEX(인턴근무계획!$R$3:$R$202,$A40)&amp;"")</f>
        <v/>
      </c>
      <c r="Q40" s="23">
        <f>IF($C40="","",INDEX(인턴근무계획!$T$3:$T$202,$A40))</f>
        <v/>
      </c>
    </row>
    <row r="41">
      <c r="A41" s="26" t="n">
        <v>36</v>
      </c>
      <c r="B41" s="23">
        <f>IF($C41="","",INDEX(인턴근무계획!$B$3:$B$202,$A41))</f>
        <v/>
      </c>
      <c r="C41" s="23">
        <f>IFERROR(TRIM(INDEX(인턴근무계획!$C$3:$C$202,$A41)&amp;""),"")</f>
        <v/>
      </c>
      <c r="D41" s="23">
        <f>IF($C41="","",INDEX(인턴근무계획!$D$3:$D$202,$A41))</f>
        <v/>
      </c>
      <c r="E41" s="23">
        <f>IF($C41="","",IF(IFERROR(MATCH($D41,기본자료!$B$2:$B$501,0),IFERROR(MATCH($D41&amp;"",기본자료!$B$2:$B$501,0),IFERROR(MATCH(VALUE($D41),기본자료!$B$2:$B$501,0),0)))&gt;0,"확인","미등록"))</f>
        <v/>
      </c>
      <c r="F41" s="27">
        <f>IF($C41="","",INDEX(인턴근무계획!$S$3:$S$202,$A41))</f>
        <v/>
      </c>
      <c r="G41" s="23">
        <f>IF(OR($C41="",$G$3=""),"",IF(INDEX(인턴근무계획!$M$3:$R$202,$A41,$G$3)&amp;""="","",IF(LEFT(INDEX(인턴근무계획!$M$3:$R$202,$A41,$G$3)&amp;"",1)="⚠",INDEX(인턴근무계획!$M$3:$R$202,$A41,$G$3)&amp;"",LEFT(INDEX(인턴근무계획!$M$3:$R$202,$A41,$G$3)&amp;"",FIND(" ",INDEX(인턴근무계획!$M$3:$R$202,$A41,$G$3)&amp;"")-1))))</f>
        <v/>
      </c>
      <c r="H41" s="23">
        <f>IF(OR($C41="",$G$3=""),"",IF(INDEX(인턴근무계획!$M$3:$R$202,$A41,$G$3)&amp;""="","",IF(LEFT(INDEX(인턴근무계획!$M$3:$R$202,$A41,$G$3)&amp;"",1)="⚠","",MID(INDEX(인턴근무계획!$M$3:$R$202,$A41,$G$3)&amp;"",FIND(" ",INDEX(인턴근무계획!$M$3:$R$202,$A41,$G$3)&amp;"")+1,60))))</f>
        <v/>
      </c>
      <c r="I41" s="23">
        <f>IF(OR($C41="",$I$3=""),"",IF(INDEX(인턴근무계획!$M$3:$R$202,$A41,$I$3)&amp;""="","",IF(LEFT(INDEX(인턴근무계획!$M$3:$R$202,$A41,$I$3)&amp;"",1)="⚠",INDEX(인턴근무계획!$M$3:$R$202,$A41,$I$3)&amp;"",LEFT(INDEX(인턴근무계획!$M$3:$R$202,$A41,$I$3)&amp;"",FIND(" ",INDEX(인턴근무계획!$M$3:$R$202,$A41,$I$3)&amp;"")-1))))</f>
        <v/>
      </c>
      <c r="J41" s="23">
        <f>IF(OR($C41="",$I$3=""),"",IF(INDEX(인턴근무계획!$M$3:$R$202,$A41,$I$3)&amp;""="","",IF(LEFT(INDEX(인턴근무계획!$M$3:$R$202,$A41,$I$3)&amp;"",1)="⚠","",MID(INDEX(인턴근무계획!$M$3:$R$202,$A41,$I$3)&amp;"",FIND(" ",INDEX(인턴근무계획!$M$3:$R$202,$A41,$I$3)&amp;"")+1,60))))</f>
        <v/>
      </c>
      <c r="K41" s="23">
        <f>IF($C41="","",INDEX(인턴근무계획!$M$3:$M$202,$A41)&amp;"")</f>
        <v/>
      </c>
      <c r="L41" s="23">
        <f>IF($C41="","",INDEX(인턴근무계획!$N$3:$N$202,$A41)&amp;"")</f>
        <v/>
      </c>
      <c r="M41" s="23">
        <f>IF($C41="","",INDEX(인턴근무계획!$O$3:$O$202,$A41)&amp;"")</f>
        <v/>
      </c>
      <c r="N41" s="23">
        <f>IF($C41="","",INDEX(인턴근무계획!$P$3:$P$202,$A41)&amp;"")</f>
        <v/>
      </c>
      <c r="O41" s="23">
        <f>IF($C41="","",INDEX(인턴근무계획!$Q$3:$Q$202,$A41)&amp;"")</f>
        <v/>
      </c>
      <c r="P41" s="23">
        <f>IF($C41="","",INDEX(인턴근무계획!$R$3:$R$202,$A41)&amp;"")</f>
        <v/>
      </c>
      <c r="Q41" s="23">
        <f>IF($C41="","",INDEX(인턴근무계획!$T$3:$T$202,$A41))</f>
        <v/>
      </c>
    </row>
    <row r="42">
      <c r="A42" s="26" t="n">
        <v>37</v>
      </c>
      <c r="B42" s="23">
        <f>IF($C42="","",INDEX(인턴근무계획!$B$3:$B$202,$A42))</f>
        <v/>
      </c>
      <c r="C42" s="23">
        <f>IFERROR(TRIM(INDEX(인턴근무계획!$C$3:$C$202,$A42)&amp;""),"")</f>
        <v/>
      </c>
      <c r="D42" s="23">
        <f>IF($C42="","",INDEX(인턴근무계획!$D$3:$D$202,$A42))</f>
        <v/>
      </c>
      <c r="E42" s="23">
        <f>IF($C42="","",IF(IFERROR(MATCH($D42,기본자료!$B$2:$B$501,0),IFERROR(MATCH($D42&amp;"",기본자료!$B$2:$B$501,0),IFERROR(MATCH(VALUE($D42),기본자료!$B$2:$B$501,0),0)))&gt;0,"확인","미등록"))</f>
        <v/>
      </c>
      <c r="F42" s="27">
        <f>IF($C42="","",INDEX(인턴근무계획!$S$3:$S$202,$A42))</f>
        <v/>
      </c>
      <c r="G42" s="23">
        <f>IF(OR($C42="",$G$3=""),"",IF(INDEX(인턴근무계획!$M$3:$R$202,$A42,$G$3)&amp;""="","",IF(LEFT(INDEX(인턴근무계획!$M$3:$R$202,$A42,$G$3)&amp;"",1)="⚠",INDEX(인턴근무계획!$M$3:$R$202,$A42,$G$3)&amp;"",LEFT(INDEX(인턴근무계획!$M$3:$R$202,$A42,$G$3)&amp;"",FIND(" ",INDEX(인턴근무계획!$M$3:$R$202,$A42,$G$3)&amp;"")-1))))</f>
        <v/>
      </c>
      <c r="H42" s="23">
        <f>IF(OR($C42="",$G$3=""),"",IF(INDEX(인턴근무계획!$M$3:$R$202,$A42,$G$3)&amp;""="","",IF(LEFT(INDEX(인턴근무계획!$M$3:$R$202,$A42,$G$3)&amp;"",1)="⚠","",MID(INDEX(인턴근무계획!$M$3:$R$202,$A42,$G$3)&amp;"",FIND(" ",INDEX(인턴근무계획!$M$3:$R$202,$A42,$G$3)&amp;"")+1,60))))</f>
        <v/>
      </c>
      <c r="I42" s="23">
        <f>IF(OR($C42="",$I$3=""),"",IF(INDEX(인턴근무계획!$M$3:$R$202,$A42,$I$3)&amp;""="","",IF(LEFT(INDEX(인턴근무계획!$M$3:$R$202,$A42,$I$3)&amp;"",1)="⚠",INDEX(인턴근무계획!$M$3:$R$202,$A42,$I$3)&amp;"",LEFT(INDEX(인턴근무계획!$M$3:$R$202,$A42,$I$3)&amp;"",FIND(" ",INDEX(인턴근무계획!$M$3:$R$202,$A42,$I$3)&amp;"")-1))))</f>
        <v/>
      </c>
      <c r="J42" s="23">
        <f>IF(OR($C42="",$I$3=""),"",IF(INDEX(인턴근무계획!$M$3:$R$202,$A42,$I$3)&amp;""="","",IF(LEFT(INDEX(인턴근무계획!$M$3:$R$202,$A42,$I$3)&amp;"",1)="⚠","",MID(INDEX(인턴근무계획!$M$3:$R$202,$A42,$I$3)&amp;"",FIND(" ",INDEX(인턴근무계획!$M$3:$R$202,$A42,$I$3)&amp;"")+1,60))))</f>
        <v/>
      </c>
      <c r="K42" s="23">
        <f>IF($C42="","",INDEX(인턴근무계획!$M$3:$M$202,$A42)&amp;"")</f>
        <v/>
      </c>
      <c r="L42" s="23">
        <f>IF($C42="","",INDEX(인턴근무계획!$N$3:$N$202,$A42)&amp;"")</f>
        <v/>
      </c>
      <c r="M42" s="23">
        <f>IF($C42="","",INDEX(인턴근무계획!$O$3:$O$202,$A42)&amp;"")</f>
        <v/>
      </c>
      <c r="N42" s="23">
        <f>IF($C42="","",INDEX(인턴근무계획!$P$3:$P$202,$A42)&amp;"")</f>
        <v/>
      </c>
      <c r="O42" s="23">
        <f>IF($C42="","",INDEX(인턴근무계획!$Q$3:$Q$202,$A42)&amp;"")</f>
        <v/>
      </c>
      <c r="P42" s="23">
        <f>IF($C42="","",INDEX(인턴근무계획!$R$3:$R$202,$A42)&amp;"")</f>
        <v/>
      </c>
      <c r="Q42" s="23">
        <f>IF($C42="","",INDEX(인턴근무계획!$T$3:$T$202,$A42))</f>
        <v/>
      </c>
    </row>
    <row r="43">
      <c r="A43" s="26" t="n">
        <v>38</v>
      </c>
      <c r="B43" s="23">
        <f>IF($C43="","",INDEX(인턴근무계획!$B$3:$B$202,$A43))</f>
        <v/>
      </c>
      <c r="C43" s="23">
        <f>IFERROR(TRIM(INDEX(인턴근무계획!$C$3:$C$202,$A43)&amp;""),"")</f>
        <v/>
      </c>
      <c r="D43" s="23">
        <f>IF($C43="","",INDEX(인턴근무계획!$D$3:$D$202,$A43))</f>
        <v/>
      </c>
      <c r="E43" s="23">
        <f>IF($C43="","",IF(IFERROR(MATCH($D43,기본자료!$B$2:$B$501,0),IFERROR(MATCH($D43&amp;"",기본자료!$B$2:$B$501,0),IFERROR(MATCH(VALUE($D43),기본자료!$B$2:$B$501,0),0)))&gt;0,"확인","미등록"))</f>
        <v/>
      </c>
      <c r="F43" s="27">
        <f>IF($C43="","",INDEX(인턴근무계획!$S$3:$S$202,$A43))</f>
        <v/>
      </c>
      <c r="G43" s="23">
        <f>IF(OR($C43="",$G$3=""),"",IF(INDEX(인턴근무계획!$M$3:$R$202,$A43,$G$3)&amp;""="","",IF(LEFT(INDEX(인턴근무계획!$M$3:$R$202,$A43,$G$3)&amp;"",1)="⚠",INDEX(인턴근무계획!$M$3:$R$202,$A43,$G$3)&amp;"",LEFT(INDEX(인턴근무계획!$M$3:$R$202,$A43,$G$3)&amp;"",FIND(" ",INDEX(인턴근무계획!$M$3:$R$202,$A43,$G$3)&amp;"")-1))))</f>
        <v/>
      </c>
      <c r="H43" s="23">
        <f>IF(OR($C43="",$G$3=""),"",IF(INDEX(인턴근무계획!$M$3:$R$202,$A43,$G$3)&amp;""="","",IF(LEFT(INDEX(인턴근무계획!$M$3:$R$202,$A43,$G$3)&amp;"",1)="⚠","",MID(INDEX(인턴근무계획!$M$3:$R$202,$A43,$G$3)&amp;"",FIND(" ",INDEX(인턴근무계획!$M$3:$R$202,$A43,$G$3)&amp;"")+1,60))))</f>
        <v/>
      </c>
      <c r="I43" s="23">
        <f>IF(OR($C43="",$I$3=""),"",IF(INDEX(인턴근무계획!$M$3:$R$202,$A43,$I$3)&amp;""="","",IF(LEFT(INDEX(인턴근무계획!$M$3:$R$202,$A43,$I$3)&amp;"",1)="⚠",INDEX(인턴근무계획!$M$3:$R$202,$A43,$I$3)&amp;"",LEFT(INDEX(인턴근무계획!$M$3:$R$202,$A43,$I$3)&amp;"",FIND(" ",INDEX(인턴근무계획!$M$3:$R$202,$A43,$I$3)&amp;"")-1))))</f>
        <v/>
      </c>
      <c r="J43" s="23">
        <f>IF(OR($C43="",$I$3=""),"",IF(INDEX(인턴근무계획!$M$3:$R$202,$A43,$I$3)&amp;""="","",IF(LEFT(INDEX(인턴근무계획!$M$3:$R$202,$A43,$I$3)&amp;"",1)="⚠","",MID(INDEX(인턴근무계획!$M$3:$R$202,$A43,$I$3)&amp;"",FIND(" ",INDEX(인턴근무계획!$M$3:$R$202,$A43,$I$3)&amp;"")+1,60))))</f>
        <v/>
      </c>
      <c r="K43" s="23">
        <f>IF($C43="","",INDEX(인턴근무계획!$M$3:$M$202,$A43)&amp;"")</f>
        <v/>
      </c>
      <c r="L43" s="23">
        <f>IF($C43="","",INDEX(인턴근무계획!$N$3:$N$202,$A43)&amp;"")</f>
        <v/>
      </c>
      <c r="M43" s="23">
        <f>IF($C43="","",INDEX(인턴근무계획!$O$3:$O$202,$A43)&amp;"")</f>
        <v/>
      </c>
      <c r="N43" s="23">
        <f>IF($C43="","",INDEX(인턴근무계획!$P$3:$P$202,$A43)&amp;"")</f>
        <v/>
      </c>
      <c r="O43" s="23">
        <f>IF($C43="","",INDEX(인턴근무계획!$Q$3:$Q$202,$A43)&amp;"")</f>
        <v/>
      </c>
      <c r="P43" s="23">
        <f>IF($C43="","",INDEX(인턴근무계획!$R$3:$R$202,$A43)&amp;"")</f>
        <v/>
      </c>
      <c r="Q43" s="23">
        <f>IF($C43="","",INDEX(인턴근무계획!$T$3:$T$202,$A43))</f>
        <v/>
      </c>
    </row>
    <row r="44">
      <c r="A44" s="26" t="n">
        <v>39</v>
      </c>
      <c r="B44" s="23">
        <f>IF($C44="","",INDEX(인턴근무계획!$B$3:$B$202,$A44))</f>
        <v/>
      </c>
      <c r="C44" s="23">
        <f>IFERROR(TRIM(INDEX(인턴근무계획!$C$3:$C$202,$A44)&amp;""),"")</f>
        <v/>
      </c>
      <c r="D44" s="23">
        <f>IF($C44="","",INDEX(인턴근무계획!$D$3:$D$202,$A44))</f>
        <v/>
      </c>
      <c r="E44" s="23">
        <f>IF($C44="","",IF(IFERROR(MATCH($D44,기본자료!$B$2:$B$501,0),IFERROR(MATCH($D44&amp;"",기본자료!$B$2:$B$501,0),IFERROR(MATCH(VALUE($D44),기본자료!$B$2:$B$501,0),0)))&gt;0,"확인","미등록"))</f>
        <v/>
      </c>
      <c r="F44" s="27">
        <f>IF($C44="","",INDEX(인턴근무계획!$S$3:$S$202,$A44))</f>
        <v/>
      </c>
      <c r="G44" s="23">
        <f>IF(OR($C44="",$G$3=""),"",IF(INDEX(인턴근무계획!$M$3:$R$202,$A44,$G$3)&amp;""="","",IF(LEFT(INDEX(인턴근무계획!$M$3:$R$202,$A44,$G$3)&amp;"",1)="⚠",INDEX(인턴근무계획!$M$3:$R$202,$A44,$G$3)&amp;"",LEFT(INDEX(인턴근무계획!$M$3:$R$202,$A44,$G$3)&amp;"",FIND(" ",INDEX(인턴근무계획!$M$3:$R$202,$A44,$G$3)&amp;"")-1))))</f>
        <v/>
      </c>
      <c r="H44" s="23">
        <f>IF(OR($C44="",$G$3=""),"",IF(INDEX(인턴근무계획!$M$3:$R$202,$A44,$G$3)&amp;""="","",IF(LEFT(INDEX(인턴근무계획!$M$3:$R$202,$A44,$G$3)&amp;"",1)="⚠","",MID(INDEX(인턴근무계획!$M$3:$R$202,$A44,$G$3)&amp;"",FIND(" ",INDEX(인턴근무계획!$M$3:$R$202,$A44,$G$3)&amp;"")+1,60))))</f>
        <v/>
      </c>
      <c r="I44" s="23">
        <f>IF(OR($C44="",$I$3=""),"",IF(INDEX(인턴근무계획!$M$3:$R$202,$A44,$I$3)&amp;""="","",IF(LEFT(INDEX(인턴근무계획!$M$3:$R$202,$A44,$I$3)&amp;"",1)="⚠",INDEX(인턴근무계획!$M$3:$R$202,$A44,$I$3)&amp;"",LEFT(INDEX(인턴근무계획!$M$3:$R$202,$A44,$I$3)&amp;"",FIND(" ",INDEX(인턴근무계획!$M$3:$R$202,$A44,$I$3)&amp;"")-1))))</f>
        <v/>
      </c>
      <c r="J44" s="23">
        <f>IF(OR($C44="",$I$3=""),"",IF(INDEX(인턴근무계획!$M$3:$R$202,$A44,$I$3)&amp;""="","",IF(LEFT(INDEX(인턴근무계획!$M$3:$R$202,$A44,$I$3)&amp;"",1)="⚠","",MID(INDEX(인턴근무계획!$M$3:$R$202,$A44,$I$3)&amp;"",FIND(" ",INDEX(인턴근무계획!$M$3:$R$202,$A44,$I$3)&amp;"")+1,60))))</f>
        <v/>
      </c>
      <c r="K44" s="23">
        <f>IF($C44="","",INDEX(인턴근무계획!$M$3:$M$202,$A44)&amp;"")</f>
        <v/>
      </c>
      <c r="L44" s="23">
        <f>IF($C44="","",INDEX(인턴근무계획!$N$3:$N$202,$A44)&amp;"")</f>
        <v/>
      </c>
      <c r="M44" s="23">
        <f>IF($C44="","",INDEX(인턴근무계획!$O$3:$O$202,$A44)&amp;"")</f>
        <v/>
      </c>
      <c r="N44" s="23">
        <f>IF($C44="","",INDEX(인턴근무계획!$P$3:$P$202,$A44)&amp;"")</f>
        <v/>
      </c>
      <c r="O44" s="23">
        <f>IF($C44="","",INDEX(인턴근무계획!$Q$3:$Q$202,$A44)&amp;"")</f>
        <v/>
      </c>
      <c r="P44" s="23">
        <f>IF($C44="","",INDEX(인턴근무계획!$R$3:$R$202,$A44)&amp;"")</f>
        <v/>
      </c>
      <c r="Q44" s="23">
        <f>IF($C44="","",INDEX(인턴근무계획!$T$3:$T$202,$A44))</f>
        <v/>
      </c>
    </row>
    <row r="45">
      <c r="A45" s="26" t="n">
        <v>40</v>
      </c>
      <c r="B45" s="23">
        <f>IF($C45="","",INDEX(인턴근무계획!$B$3:$B$202,$A45))</f>
        <v/>
      </c>
      <c r="C45" s="23">
        <f>IFERROR(TRIM(INDEX(인턴근무계획!$C$3:$C$202,$A45)&amp;""),"")</f>
        <v/>
      </c>
      <c r="D45" s="23">
        <f>IF($C45="","",INDEX(인턴근무계획!$D$3:$D$202,$A45))</f>
        <v/>
      </c>
      <c r="E45" s="23">
        <f>IF($C45="","",IF(IFERROR(MATCH($D45,기본자료!$B$2:$B$501,0),IFERROR(MATCH($D45&amp;"",기본자료!$B$2:$B$501,0),IFERROR(MATCH(VALUE($D45),기본자료!$B$2:$B$501,0),0)))&gt;0,"확인","미등록"))</f>
        <v/>
      </c>
      <c r="F45" s="27">
        <f>IF($C45="","",INDEX(인턴근무계획!$S$3:$S$202,$A45))</f>
        <v/>
      </c>
      <c r="G45" s="23">
        <f>IF(OR($C45="",$G$3=""),"",IF(INDEX(인턴근무계획!$M$3:$R$202,$A45,$G$3)&amp;""="","",IF(LEFT(INDEX(인턴근무계획!$M$3:$R$202,$A45,$G$3)&amp;"",1)="⚠",INDEX(인턴근무계획!$M$3:$R$202,$A45,$G$3)&amp;"",LEFT(INDEX(인턴근무계획!$M$3:$R$202,$A45,$G$3)&amp;"",FIND(" ",INDEX(인턴근무계획!$M$3:$R$202,$A45,$G$3)&amp;"")-1))))</f>
        <v/>
      </c>
      <c r="H45" s="23">
        <f>IF(OR($C45="",$G$3=""),"",IF(INDEX(인턴근무계획!$M$3:$R$202,$A45,$G$3)&amp;""="","",IF(LEFT(INDEX(인턴근무계획!$M$3:$R$202,$A45,$G$3)&amp;"",1)="⚠","",MID(INDEX(인턴근무계획!$M$3:$R$202,$A45,$G$3)&amp;"",FIND(" ",INDEX(인턴근무계획!$M$3:$R$202,$A45,$G$3)&amp;"")+1,60))))</f>
        <v/>
      </c>
      <c r="I45" s="23">
        <f>IF(OR($C45="",$I$3=""),"",IF(INDEX(인턴근무계획!$M$3:$R$202,$A45,$I$3)&amp;""="","",IF(LEFT(INDEX(인턴근무계획!$M$3:$R$202,$A45,$I$3)&amp;"",1)="⚠",INDEX(인턴근무계획!$M$3:$R$202,$A45,$I$3)&amp;"",LEFT(INDEX(인턴근무계획!$M$3:$R$202,$A45,$I$3)&amp;"",FIND(" ",INDEX(인턴근무계획!$M$3:$R$202,$A45,$I$3)&amp;"")-1))))</f>
        <v/>
      </c>
      <c r="J45" s="23">
        <f>IF(OR($C45="",$I$3=""),"",IF(INDEX(인턴근무계획!$M$3:$R$202,$A45,$I$3)&amp;""="","",IF(LEFT(INDEX(인턴근무계획!$M$3:$R$202,$A45,$I$3)&amp;"",1)="⚠","",MID(INDEX(인턴근무계획!$M$3:$R$202,$A45,$I$3)&amp;"",FIND(" ",INDEX(인턴근무계획!$M$3:$R$202,$A45,$I$3)&amp;"")+1,60))))</f>
        <v/>
      </c>
      <c r="K45" s="23">
        <f>IF($C45="","",INDEX(인턴근무계획!$M$3:$M$202,$A45)&amp;"")</f>
        <v/>
      </c>
      <c r="L45" s="23">
        <f>IF($C45="","",INDEX(인턴근무계획!$N$3:$N$202,$A45)&amp;"")</f>
        <v/>
      </c>
      <c r="M45" s="23">
        <f>IF($C45="","",INDEX(인턴근무계획!$O$3:$O$202,$A45)&amp;"")</f>
        <v/>
      </c>
      <c r="N45" s="23">
        <f>IF($C45="","",INDEX(인턴근무계획!$P$3:$P$202,$A45)&amp;"")</f>
        <v/>
      </c>
      <c r="O45" s="23">
        <f>IF($C45="","",INDEX(인턴근무계획!$Q$3:$Q$202,$A45)&amp;"")</f>
        <v/>
      </c>
      <c r="P45" s="23">
        <f>IF($C45="","",INDEX(인턴근무계획!$R$3:$R$202,$A45)&amp;"")</f>
        <v/>
      </c>
      <c r="Q45" s="23">
        <f>IF($C45="","",INDEX(인턴근무계획!$T$3:$T$202,$A45))</f>
        <v/>
      </c>
    </row>
    <row r="46">
      <c r="A46" s="26" t="n">
        <v>41</v>
      </c>
      <c r="B46" s="23">
        <f>IF($C46="","",INDEX(인턴근무계획!$B$3:$B$202,$A46))</f>
        <v/>
      </c>
      <c r="C46" s="23">
        <f>IFERROR(TRIM(INDEX(인턴근무계획!$C$3:$C$202,$A46)&amp;""),"")</f>
        <v/>
      </c>
      <c r="D46" s="23">
        <f>IF($C46="","",INDEX(인턴근무계획!$D$3:$D$202,$A46))</f>
        <v/>
      </c>
      <c r="E46" s="23">
        <f>IF($C46="","",IF(IFERROR(MATCH($D46,기본자료!$B$2:$B$501,0),IFERROR(MATCH($D46&amp;"",기본자료!$B$2:$B$501,0),IFERROR(MATCH(VALUE($D46),기본자료!$B$2:$B$501,0),0)))&gt;0,"확인","미등록"))</f>
        <v/>
      </c>
      <c r="F46" s="27">
        <f>IF($C46="","",INDEX(인턴근무계획!$S$3:$S$202,$A46))</f>
        <v/>
      </c>
      <c r="G46" s="23">
        <f>IF(OR($C46="",$G$3=""),"",IF(INDEX(인턴근무계획!$M$3:$R$202,$A46,$G$3)&amp;""="","",IF(LEFT(INDEX(인턴근무계획!$M$3:$R$202,$A46,$G$3)&amp;"",1)="⚠",INDEX(인턴근무계획!$M$3:$R$202,$A46,$G$3)&amp;"",LEFT(INDEX(인턴근무계획!$M$3:$R$202,$A46,$G$3)&amp;"",FIND(" ",INDEX(인턴근무계획!$M$3:$R$202,$A46,$G$3)&amp;"")-1))))</f>
        <v/>
      </c>
      <c r="H46" s="23">
        <f>IF(OR($C46="",$G$3=""),"",IF(INDEX(인턴근무계획!$M$3:$R$202,$A46,$G$3)&amp;""="","",IF(LEFT(INDEX(인턴근무계획!$M$3:$R$202,$A46,$G$3)&amp;"",1)="⚠","",MID(INDEX(인턴근무계획!$M$3:$R$202,$A46,$G$3)&amp;"",FIND(" ",INDEX(인턴근무계획!$M$3:$R$202,$A46,$G$3)&amp;"")+1,60))))</f>
        <v/>
      </c>
      <c r="I46" s="23">
        <f>IF(OR($C46="",$I$3=""),"",IF(INDEX(인턴근무계획!$M$3:$R$202,$A46,$I$3)&amp;""="","",IF(LEFT(INDEX(인턴근무계획!$M$3:$R$202,$A46,$I$3)&amp;"",1)="⚠",INDEX(인턴근무계획!$M$3:$R$202,$A46,$I$3)&amp;"",LEFT(INDEX(인턴근무계획!$M$3:$R$202,$A46,$I$3)&amp;"",FIND(" ",INDEX(인턴근무계획!$M$3:$R$202,$A46,$I$3)&amp;"")-1))))</f>
        <v/>
      </c>
      <c r="J46" s="23">
        <f>IF(OR($C46="",$I$3=""),"",IF(INDEX(인턴근무계획!$M$3:$R$202,$A46,$I$3)&amp;""="","",IF(LEFT(INDEX(인턴근무계획!$M$3:$R$202,$A46,$I$3)&amp;"",1)="⚠","",MID(INDEX(인턴근무계획!$M$3:$R$202,$A46,$I$3)&amp;"",FIND(" ",INDEX(인턴근무계획!$M$3:$R$202,$A46,$I$3)&amp;"")+1,60))))</f>
        <v/>
      </c>
      <c r="K46" s="23">
        <f>IF($C46="","",INDEX(인턴근무계획!$M$3:$M$202,$A46)&amp;"")</f>
        <v/>
      </c>
      <c r="L46" s="23">
        <f>IF($C46="","",INDEX(인턴근무계획!$N$3:$N$202,$A46)&amp;"")</f>
        <v/>
      </c>
      <c r="M46" s="23">
        <f>IF($C46="","",INDEX(인턴근무계획!$O$3:$O$202,$A46)&amp;"")</f>
        <v/>
      </c>
      <c r="N46" s="23">
        <f>IF($C46="","",INDEX(인턴근무계획!$P$3:$P$202,$A46)&amp;"")</f>
        <v/>
      </c>
      <c r="O46" s="23">
        <f>IF($C46="","",INDEX(인턴근무계획!$Q$3:$Q$202,$A46)&amp;"")</f>
        <v/>
      </c>
      <c r="P46" s="23">
        <f>IF($C46="","",INDEX(인턴근무계획!$R$3:$R$202,$A46)&amp;"")</f>
        <v/>
      </c>
      <c r="Q46" s="23">
        <f>IF($C46="","",INDEX(인턴근무계획!$T$3:$T$202,$A46))</f>
        <v/>
      </c>
    </row>
    <row r="47">
      <c r="A47" s="26" t="n">
        <v>42</v>
      </c>
      <c r="B47" s="23">
        <f>IF($C47="","",INDEX(인턴근무계획!$B$3:$B$202,$A47))</f>
        <v/>
      </c>
      <c r="C47" s="23">
        <f>IFERROR(TRIM(INDEX(인턴근무계획!$C$3:$C$202,$A47)&amp;""),"")</f>
        <v/>
      </c>
      <c r="D47" s="23">
        <f>IF($C47="","",INDEX(인턴근무계획!$D$3:$D$202,$A47))</f>
        <v/>
      </c>
      <c r="E47" s="23">
        <f>IF($C47="","",IF(IFERROR(MATCH($D47,기본자료!$B$2:$B$501,0),IFERROR(MATCH($D47&amp;"",기본자료!$B$2:$B$501,0),IFERROR(MATCH(VALUE($D47),기본자료!$B$2:$B$501,0),0)))&gt;0,"확인","미등록"))</f>
        <v/>
      </c>
      <c r="F47" s="27">
        <f>IF($C47="","",INDEX(인턴근무계획!$S$3:$S$202,$A47))</f>
        <v/>
      </c>
      <c r="G47" s="23">
        <f>IF(OR($C47="",$G$3=""),"",IF(INDEX(인턴근무계획!$M$3:$R$202,$A47,$G$3)&amp;""="","",IF(LEFT(INDEX(인턴근무계획!$M$3:$R$202,$A47,$G$3)&amp;"",1)="⚠",INDEX(인턴근무계획!$M$3:$R$202,$A47,$G$3)&amp;"",LEFT(INDEX(인턴근무계획!$M$3:$R$202,$A47,$G$3)&amp;"",FIND(" ",INDEX(인턴근무계획!$M$3:$R$202,$A47,$G$3)&amp;"")-1))))</f>
        <v/>
      </c>
      <c r="H47" s="23">
        <f>IF(OR($C47="",$G$3=""),"",IF(INDEX(인턴근무계획!$M$3:$R$202,$A47,$G$3)&amp;""="","",IF(LEFT(INDEX(인턴근무계획!$M$3:$R$202,$A47,$G$3)&amp;"",1)="⚠","",MID(INDEX(인턴근무계획!$M$3:$R$202,$A47,$G$3)&amp;"",FIND(" ",INDEX(인턴근무계획!$M$3:$R$202,$A47,$G$3)&amp;"")+1,60))))</f>
        <v/>
      </c>
      <c r="I47" s="23">
        <f>IF(OR($C47="",$I$3=""),"",IF(INDEX(인턴근무계획!$M$3:$R$202,$A47,$I$3)&amp;""="","",IF(LEFT(INDEX(인턴근무계획!$M$3:$R$202,$A47,$I$3)&amp;"",1)="⚠",INDEX(인턴근무계획!$M$3:$R$202,$A47,$I$3)&amp;"",LEFT(INDEX(인턴근무계획!$M$3:$R$202,$A47,$I$3)&amp;"",FIND(" ",INDEX(인턴근무계획!$M$3:$R$202,$A47,$I$3)&amp;"")-1))))</f>
        <v/>
      </c>
      <c r="J47" s="23">
        <f>IF(OR($C47="",$I$3=""),"",IF(INDEX(인턴근무계획!$M$3:$R$202,$A47,$I$3)&amp;""="","",IF(LEFT(INDEX(인턴근무계획!$M$3:$R$202,$A47,$I$3)&amp;"",1)="⚠","",MID(INDEX(인턴근무계획!$M$3:$R$202,$A47,$I$3)&amp;"",FIND(" ",INDEX(인턴근무계획!$M$3:$R$202,$A47,$I$3)&amp;"")+1,60))))</f>
        <v/>
      </c>
      <c r="K47" s="23">
        <f>IF($C47="","",INDEX(인턴근무계획!$M$3:$M$202,$A47)&amp;"")</f>
        <v/>
      </c>
      <c r="L47" s="23">
        <f>IF($C47="","",INDEX(인턴근무계획!$N$3:$N$202,$A47)&amp;"")</f>
        <v/>
      </c>
      <c r="M47" s="23">
        <f>IF($C47="","",INDEX(인턴근무계획!$O$3:$O$202,$A47)&amp;"")</f>
        <v/>
      </c>
      <c r="N47" s="23">
        <f>IF($C47="","",INDEX(인턴근무계획!$P$3:$P$202,$A47)&amp;"")</f>
        <v/>
      </c>
      <c r="O47" s="23">
        <f>IF($C47="","",INDEX(인턴근무계획!$Q$3:$Q$202,$A47)&amp;"")</f>
        <v/>
      </c>
      <c r="P47" s="23">
        <f>IF($C47="","",INDEX(인턴근무계획!$R$3:$R$202,$A47)&amp;"")</f>
        <v/>
      </c>
      <c r="Q47" s="23">
        <f>IF($C47="","",INDEX(인턴근무계획!$T$3:$T$202,$A47))</f>
        <v/>
      </c>
    </row>
    <row r="48">
      <c r="A48" s="26" t="n">
        <v>43</v>
      </c>
      <c r="B48" s="23">
        <f>IF($C48="","",INDEX(인턴근무계획!$B$3:$B$202,$A48))</f>
        <v/>
      </c>
      <c r="C48" s="23">
        <f>IFERROR(TRIM(INDEX(인턴근무계획!$C$3:$C$202,$A48)&amp;""),"")</f>
        <v/>
      </c>
      <c r="D48" s="23">
        <f>IF($C48="","",INDEX(인턴근무계획!$D$3:$D$202,$A48))</f>
        <v/>
      </c>
      <c r="E48" s="23">
        <f>IF($C48="","",IF(IFERROR(MATCH($D48,기본자료!$B$2:$B$501,0),IFERROR(MATCH($D48&amp;"",기본자료!$B$2:$B$501,0),IFERROR(MATCH(VALUE($D48),기본자료!$B$2:$B$501,0),0)))&gt;0,"확인","미등록"))</f>
        <v/>
      </c>
      <c r="F48" s="27">
        <f>IF($C48="","",INDEX(인턴근무계획!$S$3:$S$202,$A48))</f>
        <v/>
      </c>
      <c r="G48" s="23">
        <f>IF(OR($C48="",$G$3=""),"",IF(INDEX(인턴근무계획!$M$3:$R$202,$A48,$G$3)&amp;""="","",IF(LEFT(INDEX(인턴근무계획!$M$3:$R$202,$A48,$G$3)&amp;"",1)="⚠",INDEX(인턴근무계획!$M$3:$R$202,$A48,$G$3)&amp;"",LEFT(INDEX(인턴근무계획!$M$3:$R$202,$A48,$G$3)&amp;"",FIND(" ",INDEX(인턴근무계획!$M$3:$R$202,$A48,$G$3)&amp;"")-1))))</f>
        <v/>
      </c>
      <c r="H48" s="23">
        <f>IF(OR($C48="",$G$3=""),"",IF(INDEX(인턴근무계획!$M$3:$R$202,$A48,$G$3)&amp;""="","",IF(LEFT(INDEX(인턴근무계획!$M$3:$R$202,$A48,$G$3)&amp;"",1)="⚠","",MID(INDEX(인턴근무계획!$M$3:$R$202,$A48,$G$3)&amp;"",FIND(" ",INDEX(인턴근무계획!$M$3:$R$202,$A48,$G$3)&amp;"")+1,60))))</f>
        <v/>
      </c>
      <c r="I48" s="23">
        <f>IF(OR($C48="",$I$3=""),"",IF(INDEX(인턴근무계획!$M$3:$R$202,$A48,$I$3)&amp;""="","",IF(LEFT(INDEX(인턴근무계획!$M$3:$R$202,$A48,$I$3)&amp;"",1)="⚠",INDEX(인턴근무계획!$M$3:$R$202,$A48,$I$3)&amp;"",LEFT(INDEX(인턴근무계획!$M$3:$R$202,$A48,$I$3)&amp;"",FIND(" ",INDEX(인턴근무계획!$M$3:$R$202,$A48,$I$3)&amp;"")-1))))</f>
        <v/>
      </c>
      <c r="J48" s="23">
        <f>IF(OR($C48="",$I$3=""),"",IF(INDEX(인턴근무계획!$M$3:$R$202,$A48,$I$3)&amp;""="","",IF(LEFT(INDEX(인턴근무계획!$M$3:$R$202,$A48,$I$3)&amp;"",1)="⚠","",MID(INDEX(인턴근무계획!$M$3:$R$202,$A48,$I$3)&amp;"",FIND(" ",INDEX(인턴근무계획!$M$3:$R$202,$A48,$I$3)&amp;"")+1,60))))</f>
        <v/>
      </c>
      <c r="K48" s="23">
        <f>IF($C48="","",INDEX(인턴근무계획!$M$3:$M$202,$A48)&amp;"")</f>
        <v/>
      </c>
      <c r="L48" s="23">
        <f>IF($C48="","",INDEX(인턴근무계획!$N$3:$N$202,$A48)&amp;"")</f>
        <v/>
      </c>
      <c r="M48" s="23">
        <f>IF($C48="","",INDEX(인턴근무계획!$O$3:$O$202,$A48)&amp;"")</f>
        <v/>
      </c>
      <c r="N48" s="23">
        <f>IF($C48="","",INDEX(인턴근무계획!$P$3:$P$202,$A48)&amp;"")</f>
        <v/>
      </c>
      <c r="O48" s="23">
        <f>IF($C48="","",INDEX(인턴근무계획!$Q$3:$Q$202,$A48)&amp;"")</f>
        <v/>
      </c>
      <c r="P48" s="23">
        <f>IF($C48="","",INDEX(인턴근무계획!$R$3:$R$202,$A48)&amp;"")</f>
        <v/>
      </c>
      <c r="Q48" s="23">
        <f>IF($C48="","",INDEX(인턴근무계획!$T$3:$T$202,$A48))</f>
        <v/>
      </c>
    </row>
    <row r="49">
      <c r="A49" s="26" t="n">
        <v>44</v>
      </c>
      <c r="B49" s="23">
        <f>IF($C49="","",INDEX(인턴근무계획!$B$3:$B$202,$A49))</f>
        <v/>
      </c>
      <c r="C49" s="23">
        <f>IFERROR(TRIM(INDEX(인턴근무계획!$C$3:$C$202,$A49)&amp;""),"")</f>
        <v/>
      </c>
      <c r="D49" s="23">
        <f>IF($C49="","",INDEX(인턴근무계획!$D$3:$D$202,$A49))</f>
        <v/>
      </c>
      <c r="E49" s="23">
        <f>IF($C49="","",IF(IFERROR(MATCH($D49,기본자료!$B$2:$B$501,0),IFERROR(MATCH($D49&amp;"",기본자료!$B$2:$B$501,0),IFERROR(MATCH(VALUE($D49),기본자료!$B$2:$B$501,0),0)))&gt;0,"확인","미등록"))</f>
        <v/>
      </c>
      <c r="F49" s="27">
        <f>IF($C49="","",INDEX(인턴근무계획!$S$3:$S$202,$A49))</f>
        <v/>
      </c>
      <c r="G49" s="23">
        <f>IF(OR($C49="",$G$3=""),"",IF(INDEX(인턴근무계획!$M$3:$R$202,$A49,$G$3)&amp;""="","",IF(LEFT(INDEX(인턴근무계획!$M$3:$R$202,$A49,$G$3)&amp;"",1)="⚠",INDEX(인턴근무계획!$M$3:$R$202,$A49,$G$3)&amp;"",LEFT(INDEX(인턴근무계획!$M$3:$R$202,$A49,$G$3)&amp;"",FIND(" ",INDEX(인턴근무계획!$M$3:$R$202,$A49,$G$3)&amp;"")-1))))</f>
        <v/>
      </c>
      <c r="H49" s="23">
        <f>IF(OR($C49="",$G$3=""),"",IF(INDEX(인턴근무계획!$M$3:$R$202,$A49,$G$3)&amp;""="","",IF(LEFT(INDEX(인턴근무계획!$M$3:$R$202,$A49,$G$3)&amp;"",1)="⚠","",MID(INDEX(인턴근무계획!$M$3:$R$202,$A49,$G$3)&amp;"",FIND(" ",INDEX(인턴근무계획!$M$3:$R$202,$A49,$G$3)&amp;"")+1,60))))</f>
        <v/>
      </c>
      <c r="I49" s="23">
        <f>IF(OR($C49="",$I$3=""),"",IF(INDEX(인턴근무계획!$M$3:$R$202,$A49,$I$3)&amp;""="","",IF(LEFT(INDEX(인턴근무계획!$M$3:$R$202,$A49,$I$3)&amp;"",1)="⚠",INDEX(인턴근무계획!$M$3:$R$202,$A49,$I$3)&amp;"",LEFT(INDEX(인턴근무계획!$M$3:$R$202,$A49,$I$3)&amp;"",FIND(" ",INDEX(인턴근무계획!$M$3:$R$202,$A49,$I$3)&amp;"")-1))))</f>
        <v/>
      </c>
      <c r="J49" s="23">
        <f>IF(OR($C49="",$I$3=""),"",IF(INDEX(인턴근무계획!$M$3:$R$202,$A49,$I$3)&amp;""="","",IF(LEFT(INDEX(인턴근무계획!$M$3:$R$202,$A49,$I$3)&amp;"",1)="⚠","",MID(INDEX(인턴근무계획!$M$3:$R$202,$A49,$I$3)&amp;"",FIND(" ",INDEX(인턴근무계획!$M$3:$R$202,$A49,$I$3)&amp;"")+1,60))))</f>
        <v/>
      </c>
      <c r="K49" s="23">
        <f>IF($C49="","",INDEX(인턴근무계획!$M$3:$M$202,$A49)&amp;"")</f>
        <v/>
      </c>
      <c r="L49" s="23">
        <f>IF($C49="","",INDEX(인턴근무계획!$N$3:$N$202,$A49)&amp;"")</f>
        <v/>
      </c>
      <c r="M49" s="23">
        <f>IF($C49="","",INDEX(인턴근무계획!$O$3:$O$202,$A49)&amp;"")</f>
        <v/>
      </c>
      <c r="N49" s="23">
        <f>IF($C49="","",INDEX(인턴근무계획!$P$3:$P$202,$A49)&amp;"")</f>
        <v/>
      </c>
      <c r="O49" s="23">
        <f>IF($C49="","",INDEX(인턴근무계획!$Q$3:$Q$202,$A49)&amp;"")</f>
        <v/>
      </c>
      <c r="P49" s="23">
        <f>IF($C49="","",INDEX(인턴근무계획!$R$3:$R$202,$A49)&amp;"")</f>
        <v/>
      </c>
      <c r="Q49" s="23">
        <f>IF($C49="","",INDEX(인턴근무계획!$T$3:$T$202,$A49))</f>
        <v/>
      </c>
    </row>
    <row r="50">
      <c r="A50" s="26" t="n">
        <v>45</v>
      </c>
      <c r="B50" s="23">
        <f>IF($C50="","",INDEX(인턴근무계획!$B$3:$B$202,$A50))</f>
        <v/>
      </c>
      <c r="C50" s="23">
        <f>IFERROR(TRIM(INDEX(인턴근무계획!$C$3:$C$202,$A50)&amp;""),"")</f>
        <v/>
      </c>
      <c r="D50" s="23">
        <f>IF($C50="","",INDEX(인턴근무계획!$D$3:$D$202,$A50))</f>
        <v/>
      </c>
      <c r="E50" s="23">
        <f>IF($C50="","",IF(IFERROR(MATCH($D50,기본자료!$B$2:$B$501,0),IFERROR(MATCH($D50&amp;"",기본자료!$B$2:$B$501,0),IFERROR(MATCH(VALUE($D50),기본자료!$B$2:$B$501,0),0)))&gt;0,"확인","미등록"))</f>
        <v/>
      </c>
      <c r="F50" s="27">
        <f>IF($C50="","",INDEX(인턴근무계획!$S$3:$S$202,$A50))</f>
        <v/>
      </c>
      <c r="G50" s="23">
        <f>IF(OR($C50="",$G$3=""),"",IF(INDEX(인턴근무계획!$M$3:$R$202,$A50,$G$3)&amp;""="","",IF(LEFT(INDEX(인턴근무계획!$M$3:$R$202,$A50,$G$3)&amp;"",1)="⚠",INDEX(인턴근무계획!$M$3:$R$202,$A50,$G$3)&amp;"",LEFT(INDEX(인턴근무계획!$M$3:$R$202,$A50,$G$3)&amp;"",FIND(" ",INDEX(인턴근무계획!$M$3:$R$202,$A50,$G$3)&amp;"")-1))))</f>
        <v/>
      </c>
      <c r="H50" s="23">
        <f>IF(OR($C50="",$G$3=""),"",IF(INDEX(인턴근무계획!$M$3:$R$202,$A50,$G$3)&amp;""="","",IF(LEFT(INDEX(인턴근무계획!$M$3:$R$202,$A50,$G$3)&amp;"",1)="⚠","",MID(INDEX(인턴근무계획!$M$3:$R$202,$A50,$G$3)&amp;"",FIND(" ",INDEX(인턴근무계획!$M$3:$R$202,$A50,$G$3)&amp;"")+1,60))))</f>
        <v/>
      </c>
      <c r="I50" s="23">
        <f>IF(OR($C50="",$I$3=""),"",IF(INDEX(인턴근무계획!$M$3:$R$202,$A50,$I$3)&amp;""="","",IF(LEFT(INDEX(인턴근무계획!$M$3:$R$202,$A50,$I$3)&amp;"",1)="⚠",INDEX(인턴근무계획!$M$3:$R$202,$A50,$I$3)&amp;"",LEFT(INDEX(인턴근무계획!$M$3:$R$202,$A50,$I$3)&amp;"",FIND(" ",INDEX(인턴근무계획!$M$3:$R$202,$A50,$I$3)&amp;"")-1))))</f>
        <v/>
      </c>
      <c r="J50" s="23">
        <f>IF(OR($C50="",$I$3=""),"",IF(INDEX(인턴근무계획!$M$3:$R$202,$A50,$I$3)&amp;""="","",IF(LEFT(INDEX(인턴근무계획!$M$3:$R$202,$A50,$I$3)&amp;"",1)="⚠","",MID(INDEX(인턴근무계획!$M$3:$R$202,$A50,$I$3)&amp;"",FIND(" ",INDEX(인턴근무계획!$M$3:$R$202,$A50,$I$3)&amp;"")+1,60))))</f>
        <v/>
      </c>
      <c r="K50" s="23">
        <f>IF($C50="","",INDEX(인턴근무계획!$M$3:$M$202,$A50)&amp;"")</f>
        <v/>
      </c>
      <c r="L50" s="23">
        <f>IF($C50="","",INDEX(인턴근무계획!$N$3:$N$202,$A50)&amp;"")</f>
        <v/>
      </c>
      <c r="M50" s="23">
        <f>IF($C50="","",INDEX(인턴근무계획!$O$3:$O$202,$A50)&amp;"")</f>
        <v/>
      </c>
      <c r="N50" s="23">
        <f>IF($C50="","",INDEX(인턴근무계획!$P$3:$P$202,$A50)&amp;"")</f>
        <v/>
      </c>
      <c r="O50" s="23">
        <f>IF($C50="","",INDEX(인턴근무계획!$Q$3:$Q$202,$A50)&amp;"")</f>
        <v/>
      </c>
      <c r="P50" s="23">
        <f>IF($C50="","",INDEX(인턴근무계획!$R$3:$R$202,$A50)&amp;"")</f>
        <v/>
      </c>
      <c r="Q50" s="23">
        <f>IF($C50="","",INDEX(인턴근무계획!$T$3:$T$202,$A50))</f>
        <v/>
      </c>
    </row>
    <row r="51">
      <c r="A51" s="26" t="n">
        <v>46</v>
      </c>
      <c r="B51" s="23">
        <f>IF($C51="","",INDEX(인턴근무계획!$B$3:$B$202,$A51))</f>
        <v/>
      </c>
      <c r="C51" s="23">
        <f>IFERROR(TRIM(INDEX(인턴근무계획!$C$3:$C$202,$A51)&amp;""),"")</f>
        <v/>
      </c>
      <c r="D51" s="23">
        <f>IF($C51="","",INDEX(인턴근무계획!$D$3:$D$202,$A51))</f>
        <v/>
      </c>
      <c r="E51" s="23">
        <f>IF($C51="","",IF(IFERROR(MATCH($D51,기본자료!$B$2:$B$501,0),IFERROR(MATCH($D51&amp;"",기본자료!$B$2:$B$501,0),IFERROR(MATCH(VALUE($D51),기본자료!$B$2:$B$501,0),0)))&gt;0,"확인","미등록"))</f>
        <v/>
      </c>
      <c r="F51" s="27">
        <f>IF($C51="","",INDEX(인턴근무계획!$S$3:$S$202,$A51))</f>
        <v/>
      </c>
      <c r="G51" s="23">
        <f>IF(OR($C51="",$G$3=""),"",IF(INDEX(인턴근무계획!$M$3:$R$202,$A51,$G$3)&amp;""="","",IF(LEFT(INDEX(인턴근무계획!$M$3:$R$202,$A51,$G$3)&amp;"",1)="⚠",INDEX(인턴근무계획!$M$3:$R$202,$A51,$G$3)&amp;"",LEFT(INDEX(인턴근무계획!$M$3:$R$202,$A51,$G$3)&amp;"",FIND(" ",INDEX(인턴근무계획!$M$3:$R$202,$A51,$G$3)&amp;"")-1))))</f>
        <v/>
      </c>
      <c r="H51" s="23">
        <f>IF(OR($C51="",$G$3=""),"",IF(INDEX(인턴근무계획!$M$3:$R$202,$A51,$G$3)&amp;""="","",IF(LEFT(INDEX(인턴근무계획!$M$3:$R$202,$A51,$G$3)&amp;"",1)="⚠","",MID(INDEX(인턴근무계획!$M$3:$R$202,$A51,$G$3)&amp;"",FIND(" ",INDEX(인턴근무계획!$M$3:$R$202,$A51,$G$3)&amp;"")+1,60))))</f>
        <v/>
      </c>
      <c r="I51" s="23">
        <f>IF(OR($C51="",$I$3=""),"",IF(INDEX(인턴근무계획!$M$3:$R$202,$A51,$I$3)&amp;""="","",IF(LEFT(INDEX(인턴근무계획!$M$3:$R$202,$A51,$I$3)&amp;"",1)="⚠",INDEX(인턴근무계획!$M$3:$R$202,$A51,$I$3)&amp;"",LEFT(INDEX(인턴근무계획!$M$3:$R$202,$A51,$I$3)&amp;"",FIND(" ",INDEX(인턴근무계획!$M$3:$R$202,$A51,$I$3)&amp;"")-1))))</f>
        <v/>
      </c>
      <c r="J51" s="23">
        <f>IF(OR($C51="",$I$3=""),"",IF(INDEX(인턴근무계획!$M$3:$R$202,$A51,$I$3)&amp;""="","",IF(LEFT(INDEX(인턴근무계획!$M$3:$R$202,$A51,$I$3)&amp;"",1)="⚠","",MID(INDEX(인턴근무계획!$M$3:$R$202,$A51,$I$3)&amp;"",FIND(" ",INDEX(인턴근무계획!$M$3:$R$202,$A51,$I$3)&amp;"")+1,60))))</f>
        <v/>
      </c>
      <c r="K51" s="23">
        <f>IF($C51="","",INDEX(인턴근무계획!$M$3:$M$202,$A51)&amp;"")</f>
        <v/>
      </c>
      <c r="L51" s="23">
        <f>IF($C51="","",INDEX(인턴근무계획!$N$3:$N$202,$A51)&amp;"")</f>
        <v/>
      </c>
      <c r="M51" s="23">
        <f>IF($C51="","",INDEX(인턴근무계획!$O$3:$O$202,$A51)&amp;"")</f>
        <v/>
      </c>
      <c r="N51" s="23">
        <f>IF($C51="","",INDEX(인턴근무계획!$P$3:$P$202,$A51)&amp;"")</f>
        <v/>
      </c>
      <c r="O51" s="23">
        <f>IF($C51="","",INDEX(인턴근무계획!$Q$3:$Q$202,$A51)&amp;"")</f>
        <v/>
      </c>
      <c r="P51" s="23">
        <f>IF($C51="","",INDEX(인턴근무계획!$R$3:$R$202,$A51)&amp;"")</f>
        <v/>
      </c>
      <c r="Q51" s="23">
        <f>IF($C51="","",INDEX(인턴근무계획!$T$3:$T$202,$A51))</f>
        <v/>
      </c>
    </row>
    <row r="52">
      <c r="A52" s="26" t="n">
        <v>47</v>
      </c>
      <c r="B52" s="23">
        <f>IF($C52="","",INDEX(인턴근무계획!$B$3:$B$202,$A52))</f>
        <v/>
      </c>
      <c r="C52" s="23">
        <f>IFERROR(TRIM(INDEX(인턴근무계획!$C$3:$C$202,$A52)&amp;""),"")</f>
        <v/>
      </c>
      <c r="D52" s="23">
        <f>IF($C52="","",INDEX(인턴근무계획!$D$3:$D$202,$A52))</f>
        <v/>
      </c>
      <c r="E52" s="23">
        <f>IF($C52="","",IF(IFERROR(MATCH($D52,기본자료!$B$2:$B$501,0),IFERROR(MATCH($D52&amp;"",기본자료!$B$2:$B$501,0),IFERROR(MATCH(VALUE($D52),기본자료!$B$2:$B$501,0),0)))&gt;0,"확인","미등록"))</f>
        <v/>
      </c>
      <c r="F52" s="27">
        <f>IF($C52="","",INDEX(인턴근무계획!$S$3:$S$202,$A52))</f>
        <v/>
      </c>
      <c r="G52" s="23">
        <f>IF(OR($C52="",$G$3=""),"",IF(INDEX(인턴근무계획!$M$3:$R$202,$A52,$G$3)&amp;""="","",IF(LEFT(INDEX(인턴근무계획!$M$3:$R$202,$A52,$G$3)&amp;"",1)="⚠",INDEX(인턴근무계획!$M$3:$R$202,$A52,$G$3)&amp;"",LEFT(INDEX(인턴근무계획!$M$3:$R$202,$A52,$G$3)&amp;"",FIND(" ",INDEX(인턴근무계획!$M$3:$R$202,$A52,$G$3)&amp;"")-1))))</f>
        <v/>
      </c>
      <c r="H52" s="23">
        <f>IF(OR($C52="",$G$3=""),"",IF(INDEX(인턴근무계획!$M$3:$R$202,$A52,$G$3)&amp;""="","",IF(LEFT(INDEX(인턴근무계획!$M$3:$R$202,$A52,$G$3)&amp;"",1)="⚠","",MID(INDEX(인턴근무계획!$M$3:$R$202,$A52,$G$3)&amp;"",FIND(" ",INDEX(인턴근무계획!$M$3:$R$202,$A52,$G$3)&amp;"")+1,60))))</f>
        <v/>
      </c>
      <c r="I52" s="23">
        <f>IF(OR($C52="",$I$3=""),"",IF(INDEX(인턴근무계획!$M$3:$R$202,$A52,$I$3)&amp;""="","",IF(LEFT(INDEX(인턴근무계획!$M$3:$R$202,$A52,$I$3)&amp;"",1)="⚠",INDEX(인턴근무계획!$M$3:$R$202,$A52,$I$3)&amp;"",LEFT(INDEX(인턴근무계획!$M$3:$R$202,$A52,$I$3)&amp;"",FIND(" ",INDEX(인턴근무계획!$M$3:$R$202,$A52,$I$3)&amp;"")-1))))</f>
        <v/>
      </c>
      <c r="J52" s="23">
        <f>IF(OR($C52="",$I$3=""),"",IF(INDEX(인턴근무계획!$M$3:$R$202,$A52,$I$3)&amp;""="","",IF(LEFT(INDEX(인턴근무계획!$M$3:$R$202,$A52,$I$3)&amp;"",1)="⚠","",MID(INDEX(인턴근무계획!$M$3:$R$202,$A52,$I$3)&amp;"",FIND(" ",INDEX(인턴근무계획!$M$3:$R$202,$A52,$I$3)&amp;"")+1,60))))</f>
        <v/>
      </c>
      <c r="K52" s="23">
        <f>IF($C52="","",INDEX(인턴근무계획!$M$3:$M$202,$A52)&amp;"")</f>
        <v/>
      </c>
      <c r="L52" s="23">
        <f>IF($C52="","",INDEX(인턴근무계획!$N$3:$N$202,$A52)&amp;"")</f>
        <v/>
      </c>
      <c r="M52" s="23">
        <f>IF($C52="","",INDEX(인턴근무계획!$O$3:$O$202,$A52)&amp;"")</f>
        <v/>
      </c>
      <c r="N52" s="23">
        <f>IF($C52="","",INDEX(인턴근무계획!$P$3:$P$202,$A52)&amp;"")</f>
        <v/>
      </c>
      <c r="O52" s="23">
        <f>IF($C52="","",INDEX(인턴근무계획!$Q$3:$Q$202,$A52)&amp;"")</f>
        <v/>
      </c>
      <c r="P52" s="23">
        <f>IF($C52="","",INDEX(인턴근무계획!$R$3:$R$202,$A52)&amp;"")</f>
        <v/>
      </c>
      <c r="Q52" s="23">
        <f>IF($C52="","",INDEX(인턴근무계획!$T$3:$T$202,$A52))</f>
        <v/>
      </c>
    </row>
    <row r="53">
      <c r="A53" s="26" t="n">
        <v>48</v>
      </c>
      <c r="B53" s="23">
        <f>IF($C53="","",INDEX(인턴근무계획!$B$3:$B$202,$A53))</f>
        <v/>
      </c>
      <c r="C53" s="23">
        <f>IFERROR(TRIM(INDEX(인턴근무계획!$C$3:$C$202,$A53)&amp;""),"")</f>
        <v/>
      </c>
      <c r="D53" s="23">
        <f>IF($C53="","",INDEX(인턴근무계획!$D$3:$D$202,$A53))</f>
        <v/>
      </c>
      <c r="E53" s="23">
        <f>IF($C53="","",IF(IFERROR(MATCH($D53,기본자료!$B$2:$B$501,0),IFERROR(MATCH($D53&amp;"",기본자료!$B$2:$B$501,0),IFERROR(MATCH(VALUE($D53),기본자료!$B$2:$B$501,0),0)))&gt;0,"확인","미등록"))</f>
        <v/>
      </c>
      <c r="F53" s="27">
        <f>IF($C53="","",INDEX(인턴근무계획!$S$3:$S$202,$A53))</f>
        <v/>
      </c>
      <c r="G53" s="23">
        <f>IF(OR($C53="",$G$3=""),"",IF(INDEX(인턴근무계획!$M$3:$R$202,$A53,$G$3)&amp;""="","",IF(LEFT(INDEX(인턴근무계획!$M$3:$R$202,$A53,$G$3)&amp;"",1)="⚠",INDEX(인턴근무계획!$M$3:$R$202,$A53,$G$3)&amp;"",LEFT(INDEX(인턴근무계획!$M$3:$R$202,$A53,$G$3)&amp;"",FIND(" ",INDEX(인턴근무계획!$M$3:$R$202,$A53,$G$3)&amp;"")-1))))</f>
        <v/>
      </c>
      <c r="H53" s="23">
        <f>IF(OR($C53="",$G$3=""),"",IF(INDEX(인턴근무계획!$M$3:$R$202,$A53,$G$3)&amp;""="","",IF(LEFT(INDEX(인턴근무계획!$M$3:$R$202,$A53,$G$3)&amp;"",1)="⚠","",MID(INDEX(인턴근무계획!$M$3:$R$202,$A53,$G$3)&amp;"",FIND(" ",INDEX(인턴근무계획!$M$3:$R$202,$A53,$G$3)&amp;"")+1,60))))</f>
        <v/>
      </c>
      <c r="I53" s="23">
        <f>IF(OR($C53="",$I$3=""),"",IF(INDEX(인턴근무계획!$M$3:$R$202,$A53,$I$3)&amp;""="","",IF(LEFT(INDEX(인턴근무계획!$M$3:$R$202,$A53,$I$3)&amp;"",1)="⚠",INDEX(인턴근무계획!$M$3:$R$202,$A53,$I$3)&amp;"",LEFT(INDEX(인턴근무계획!$M$3:$R$202,$A53,$I$3)&amp;"",FIND(" ",INDEX(인턴근무계획!$M$3:$R$202,$A53,$I$3)&amp;"")-1))))</f>
        <v/>
      </c>
      <c r="J53" s="23">
        <f>IF(OR($C53="",$I$3=""),"",IF(INDEX(인턴근무계획!$M$3:$R$202,$A53,$I$3)&amp;""="","",IF(LEFT(INDEX(인턴근무계획!$M$3:$R$202,$A53,$I$3)&amp;"",1)="⚠","",MID(INDEX(인턴근무계획!$M$3:$R$202,$A53,$I$3)&amp;"",FIND(" ",INDEX(인턴근무계획!$M$3:$R$202,$A53,$I$3)&amp;"")+1,60))))</f>
        <v/>
      </c>
      <c r="K53" s="23">
        <f>IF($C53="","",INDEX(인턴근무계획!$M$3:$M$202,$A53)&amp;"")</f>
        <v/>
      </c>
      <c r="L53" s="23">
        <f>IF($C53="","",INDEX(인턴근무계획!$N$3:$N$202,$A53)&amp;"")</f>
        <v/>
      </c>
      <c r="M53" s="23">
        <f>IF($C53="","",INDEX(인턴근무계획!$O$3:$O$202,$A53)&amp;"")</f>
        <v/>
      </c>
      <c r="N53" s="23">
        <f>IF($C53="","",INDEX(인턴근무계획!$P$3:$P$202,$A53)&amp;"")</f>
        <v/>
      </c>
      <c r="O53" s="23">
        <f>IF($C53="","",INDEX(인턴근무계획!$Q$3:$Q$202,$A53)&amp;"")</f>
        <v/>
      </c>
      <c r="P53" s="23">
        <f>IF($C53="","",INDEX(인턴근무계획!$R$3:$R$202,$A53)&amp;"")</f>
        <v/>
      </c>
      <c r="Q53" s="23">
        <f>IF($C53="","",INDEX(인턴근무계획!$T$3:$T$202,$A53))</f>
        <v/>
      </c>
    </row>
    <row r="54">
      <c r="A54" s="26" t="n">
        <v>49</v>
      </c>
      <c r="B54" s="23">
        <f>IF($C54="","",INDEX(인턴근무계획!$B$3:$B$202,$A54))</f>
        <v/>
      </c>
      <c r="C54" s="23">
        <f>IFERROR(TRIM(INDEX(인턴근무계획!$C$3:$C$202,$A54)&amp;""),"")</f>
        <v/>
      </c>
      <c r="D54" s="23">
        <f>IF($C54="","",INDEX(인턴근무계획!$D$3:$D$202,$A54))</f>
        <v/>
      </c>
      <c r="E54" s="23">
        <f>IF($C54="","",IF(IFERROR(MATCH($D54,기본자료!$B$2:$B$501,0),IFERROR(MATCH($D54&amp;"",기본자료!$B$2:$B$501,0),IFERROR(MATCH(VALUE($D54),기본자료!$B$2:$B$501,0),0)))&gt;0,"확인","미등록"))</f>
        <v/>
      </c>
      <c r="F54" s="27">
        <f>IF($C54="","",INDEX(인턴근무계획!$S$3:$S$202,$A54))</f>
        <v/>
      </c>
      <c r="G54" s="23">
        <f>IF(OR($C54="",$G$3=""),"",IF(INDEX(인턴근무계획!$M$3:$R$202,$A54,$G$3)&amp;""="","",IF(LEFT(INDEX(인턴근무계획!$M$3:$R$202,$A54,$G$3)&amp;"",1)="⚠",INDEX(인턴근무계획!$M$3:$R$202,$A54,$G$3)&amp;"",LEFT(INDEX(인턴근무계획!$M$3:$R$202,$A54,$G$3)&amp;"",FIND(" ",INDEX(인턴근무계획!$M$3:$R$202,$A54,$G$3)&amp;"")-1))))</f>
        <v/>
      </c>
      <c r="H54" s="23">
        <f>IF(OR($C54="",$G$3=""),"",IF(INDEX(인턴근무계획!$M$3:$R$202,$A54,$G$3)&amp;""="","",IF(LEFT(INDEX(인턴근무계획!$M$3:$R$202,$A54,$G$3)&amp;"",1)="⚠","",MID(INDEX(인턴근무계획!$M$3:$R$202,$A54,$G$3)&amp;"",FIND(" ",INDEX(인턴근무계획!$M$3:$R$202,$A54,$G$3)&amp;"")+1,60))))</f>
        <v/>
      </c>
      <c r="I54" s="23">
        <f>IF(OR($C54="",$I$3=""),"",IF(INDEX(인턴근무계획!$M$3:$R$202,$A54,$I$3)&amp;""="","",IF(LEFT(INDEX(인턴근무계획!$M$3:$R$202,$A54,$I$3)&amp;"",1)="⚠",INDEX(인턴근무계획!$M$3:$R$202,$A54,$I$3)&amp;"",LEFT(INDEX(인턴근무계획!$M$3:$R$202,$A54,$I$3)&amp;"",FIND(" ",INDEX(인턴근무계획!$M$3:$R$202,$A54,$I$3)&amp;"")-1))))</f>
        <v/>
      </c>
      <c r="J54" s="23">
        <f>IF(OR($C54="",$I$3=""),"",IF(INDEX(인턴근무계획!$M$3:$R$202,$A54,$I$3)&amp;""="","",IF(LEFT(INDEX(인턴근무계획!$M$3:$R$202,$A54,$I$3)&amp;"",1)="⚠","",MID(INDEX(인턴근무계획!$M$3:$R$202,$A54,$I$3)&amp;"",FIND(" ",INDEX(인턴근무계획!$M$3:$R$202,$A54,$I$3)&amp;"")+1,60))))</f>
        <v/>
      </c>
      <c r="K54" s="23">
        <f>IF($C54="","",INDEX(인턴근무계획!$M$3:$M$202,$A54)&amp;"")</f>
        <v/>
      </c>
      <c r="L54" s="23">
        <f>IF($C54="","",INDEX(인턴근무계획!$N$3:$N$202,$A54)&amp;"")</f>
        <v/>
      </c>
      <c r="M54" s="23">
        <f>IF($C54="","",INDEX(인턴근무계획!$O$3:$O$202,$A54)&amp;"")</f>
        <v/>
      </c>
      <c r="N54" s="23">
        <f>IF($C54="","",INDEX(인턴근무계획!$P$3:$P$202,$A54)&amp;"")</f>
        <v/>
      </c>
      <c r="O54" s="23">
        <f>IF($C54="","",INDEX(인턴근무계획!$Q$3:$Q$202,$A54)&amp;"")</f>
        <v/>
      </c>
      <c r="P54" s="23">
        <f>IF($C54="","",INDEX(인턴근무계획!$R$3:$R$202,$A54)&amp;"")</f>
        <v/>
      </c>
      <c r="Q54" s="23">
        <f>IF($C54="","",INDEX(인턴근무계획!$T$3:$T$202,$A54))</f>
        <v/>
      </c>
    </row>
    <row r="55">
      <c r="A55" s="26" t="n">
        <v>50</v>
      </c>
      <c r="B55" s="23">
        <f>IF($C55="","",INDEX(인턴근무계획!$B$3:$B$202,$A55))</f>
        <v/>
      </c>
      <c r="C55" s="23">
        <f>IFERROR(TRIM(INDEX(인턴근무계획!$C$3:$C$202,$A55)&amp;""),"")</f>
        <v/>
      </c>
      <c r="D55" s="23">
        <f>IF($C55="","",INDEX(인턴근무계획!$D$3:$D$202,$A55))</f>
        <v/>
      </c>
      <c r="E55" s="23">
        <f>IF($C55="","",IF(IFERROR(MATCH($D55,기본자료!$B$2:$B$501,0),IFERROR(MATCH($D55&amp;"",기본자료!$B$2:$B$501,0),IFERROR(MATCH(VALUE($D55),기본자료!$B$2:$B$501,0),0)))&gt;0,"확인","미등록"))</f>
        <v/>
      </c>
      <c r="F55" s="27">
        <f>IF($C55="","",INDEX(인턴근무계획!$S$3:$S$202,$A55))</f>
        <v/>
      </c>
      <c r="G55" s="23">
        <f>IF(OR($C55="",$G$3=""),"",IF(INDEX(인턴근무계획!$M$3:$R$202,$A55,$G$3)&amp;""="","",IF(LEFT(INDEX(인턴근무계획!$M$3:$R$202,$A55,$G$3)&amp;"",1)="⚠",INDEX(인턴근무계획!$M$3:$R$202,$A55,$G$3)&amp;"",LEFT(INDEX(인턴근무계획!$M$3:$R$202,$A55,$G$3)&amp;"",FIND(" ",INDEX(인턴근무계획!$M$3:$R$202,$A55,$G$3)&amp;"")-1))))</f>
        <v/>
      </c>
      <c r="H55" s="23">
        <f>IF(OR($C55="",$G$3=""),"",IF(INDEX(인턴근무계획!$M$3:$R$202,$A55,$G$3)&amp;""="","",IF(LEFT(INDEX(인턴근무계획!$M$3:$R$202,$A55,$G$3)&amp;"",1)="⚠","",MID(INDEX(인턴근무계획!$M$3:$R$202,$A55,$G$3)&amp;"",FIND(" ",INDEX(인턴근무계획!$M$3:$R$202,$A55,$G$3)&amp;"")+1,60))))</f>
        <v/>
      </c>
      <c r="I55" s="23">
        <f>IF(OR($C55="",$I$3=""),"",IF(INDEX(인턴근무계획!$M$3:$R$202,$A55,$I$3)&amp;""="","",IF(LEFT(INDEX(인턴근무계획!$M$3:$R$202,$A55,$I$3)&amp;"",1)="⚠",INDEX(인턴근무계획!$M$3:$R$202,$A55,$I$3)&amp;"",LEFT(INDEX(인턴근무계획!$M$3:$R$202,$A55,$I$3)&amp;"",FIND(" ",INDEX(인턴근무계획!$M$3:$R$202,$A55,$I$3)&amp;"")-1))))</f>
        <v/>
      </c>
      <c r="J55" s="23">
        <f>IF(OR($C55="",$I$3=""),"",IF(INDEX(인턴근무계획!$M$3:$R$202,$A55,$I$3)&amp;""="","",IF(LEFT(INDEX(인턴근무계획!$M$3:$R$202,$A55,$I$3)&amp;"",1)="⚠","",MID(INDEX(인턴근무계획!$M$3:$R$202,$A55,$I$3)&amp;"",FIND(" ",INDEX(인턴근무계획!$M$3:$R$202,$A55,$I$3)&amp;"")+1,60))))</f>
        <v/>
      </c>
      <c r="K55" s="23">
        <f>IF($C55="","",INDEX(인턴근무계획!$M$3:$M$202,$A55)&amp;"")</f>
        <v/>
      </c>
      <c r="L55" s="23">
        <f>IF($C55="","",INDEX(인턴근무계획!$N$3:$N$202,$A55)&amp;"")</f>
        <v/>
      </c>
      <c r="M55" s="23">
        <f>IF($C55="","",INDEX(인턴근무계획!$O$3:$O$202,$A55)&amp;"")</f>
        <v/>
      </c>
      <c r="N55" s="23">
        <f>IF($C55="","",INDEX(인턴근무계획!$P$3:$P$202,$A55)&amp;"")</f>
        <v/>
      </c>
      <c r="O55" s="23">
        <f>IF($C55="","",INDEX(인턴근무계획!$Q$3:$Q$202,$A55)&amp;"")</f>
        <v/>
      </c>
      <c r="P55" s="23">
        <f>IF($C55="","",INDEX(인턴근무계획!$R$3:$R$202,$A55)&amp;"")</f>
        <v/>
      </c>
      <c r="Q55" s="23">
        <f>IF($C55="","",INDEX(인턴근무계획!$T$3:$T$202,$A55))</f>
        <v/>
      </c>
    </row>
    <row r="56">
      <c r="A56" s="26" t="n">
        <v>51</v>
      </c>
      <c r="B56" s="23">
        <f>IF($C56="","",INDEX(인턴근무계획!$B$3:$B$202,$A56))</f>
        <v/>
      </c>
      <c r="C56" s="23">
        <f>IFERROR(TRIM(INDEX(인턴근무계획!$C$3:$C$202,$A56)&amp;""),"")</f>
        <v/>
      </c>
      <c r="D56" s="23">
        <f>IF($C56="","",INDEX(인턴근무계획!$D$3:$D$202,$A56))</f>
        <v/>
      </c>
      <c r="E56" s="23">
        <f>IF($C56="","",IF(IFERROR(MATCH($D56,기본자료!$B$2:$B$501,0),IFERROR(MATCH($D56&amp;"",기본자료!$B$2:$B$501,0),IFERROR(MATCH(VALUE($D56),기본자료!$B$2:$B$501,0),0)))&gt;0,"확인","미등록"))</f>
        <v/>
      </c>
      <c r="F56" s="27">
        <f>IF($C56="","",INDEX(인턴근무계획!$S$3:$S$202,$A56))</f>
        <v/>
      </c>
      <c r="G56" s="23">
        <f>IF(OR($C56="",$G$3=""),"",IF(INDEX(인턴근무계획!$M$3:$R$202,$A56,$G$3)&amp;""="","",IF(LEFT(INDEX(인턴근무계획!$M$3:$R$202,$A56,$G$3)&amp;"",1)="⚠",INDEX(인턴근무계획!$M$3:$R$202,$A56,$G$3)&amp;"",LEFT(INDEX(인턴근무계획!$M$3:$R$202,$A56,$G$3)&amp;"",FIND(" ",INDEX(인턴근무계획!$M$3:$R$202,$A56,$G$3)&amp;"")-1))))</f>
        <v/>
      </c>
      <c r="H56" s="23">
        <f>IF(OR($C56="",$G$3=""),"",IF(INDEX(인턴근무계획!$M$3:$R$202,$A56,$G$3)&amp;""="","",IF(LEFT(INDEX(인턴근무계획!$M$3:$R$202,$A56,$G$3)&amp;"",1)="⚠","",MID(INDEX(인턴근무계획!$M$3:$R$202,$A56,$G$3)&amp;"",FIND(" ",INDEX(인턴근무계획!$M$3:$R$202,$A56,$G$3)&amp;"")+1,60))))</f>
        <v/>
      </c>
      <c r="I56" s="23">
        <f>IF(OR($C56="",$I$3=""),"",IF(INDEX(인턴근무계획!$M$3:$R$202,$A56,$I$3)&amp;""="","",IF(LEFT(INDEX(인턴근무계획!$M$3:$R$202,$A56,$I$3)&amp;"",1)="⚠",INDEX(인턴근무계획!$M$3:$R$202,$A56,$I$3)&amp;"",LEFT(INDEX(인턴근무계획!$M$3:$R$202,$A56,$I$3)&amp;"",FIND(" ",INDEX(인턴근무계획!$M$3:$R$202,$A56,$I$3)&amp;"")-1))))</f>
        <v/>
      </c>
      <c r="J56" s="23">
        <f>IF(OR($C56="",$I$3=""),"",IF(INDEX(인턴근무계획!$M$3:$R$202,$A56,$I$3)&amp;""="","",IF(LEFT(INDEX(인턴근무계획!$M$3:$R$202,$A56,$I$3)&amp;"",1)="⚠","",MID(INDEX(인턴근무계획!$M$3:$R$202,$A56,$I$3)&amp;"",FIND(" ",INDEX(인턴근무계획!$M$3:$R$202,$A56,$I$3)&amp;"")+1,60))))</f>
        <v/>
      </c>
      <c r="K56" s="23">
        <f>IF($C56="","",INDEX(인턴근무계획!$M$3:$M$202,$A56)&amp;"")</f>
        <v/>
      </c>
      <c r="L56" s="23">
        <f>IF($C56="","",INDEX(인턴근무계획!$N$3:$N$202,$A56)&amp;"")</f>
        <v/>
      </c>
      <c r="M56" s="23">
        <f>IF($C56="","",INDEX(인턴근무계획!$O$3:$O$202,$A56)&amp;"")</f>
        <v/>
      </c>
      <c r="N56" s="23">
        <f>IF($C56="","",INDEX(인턴근무계획!$P$3:$P$202,$A56)&amp;"")</f>
        <v/>
      </c>
      <c r="O56" s="23">
        <f>IF($C56="","",INDEX(인턴근무계획!$Q$3:$Q$202,$A56)&amp;"")</f>
        <v/>
      </c>
      <c r="P56" s="23">
        <f>IF($C56="","",INDEX(인턴근무계획!$R$3:$R$202,$A56)&amp;"")</f>
        <v/>
      </c>
      <c r="Q56" s="23">
        <f>IF($C56="","",INDEX(인턴근무계획!$T$3:$T$202,$A56))</f>
        <v/>
      </c>
    </row>
    <row r="57">
      <c r="A57" s="26" t="n">
        <v>52</v>
      </c>
      <c r="B57" s="23">
        <f>IF($C57="","",INDEX(인턴근무계획!$B$3:$B$202,$A57))</f>
        <v/>
      </c>
      <c r="C57" s="23">
        <f>IFERROR(TRIM(INDEX(인턴근무계획!$C$3:$C$202,$A57)&amp;""),"")</f>
        <v/>
      </c>
      <c r="D57" s="23">
        <f>IF($C57="","",INDEX(인턴근무계획!$D$3:$D$202,$A57))</f>
        <v/>
      </c>
      <c r="E57" s="23">
        <f>IF($C57="","",IF(IFERROR(MATCH($D57,기본자료!$B$2:$B$501,0),IFERROR(MATCH($D57&amp;"",기본자료!$B$2:$B$501,0),IFERROR(MATCH(VALUE($D57),기본자료!$B$2:$B$501,0),0)))&gt;0,"확인","미등록"))</f>
        <v/>
      </c>
      <c r="F57" s="27">
        <f>IF($C57="","",INDEX(인턴근무계획!$S$3:$S$202,$A57))</f>
        <v/>
      </c>
      <c r="G57" s="23">
        <f>IF(OR($C57="",$G$3=""),"",IF(INDEX(인턴근무계획!$M$3:$R$202,$A57,$G$3)&amp;""="","",IF(LEFT(INDEX(인턴근무계획!$M$3:$R$202,$A57,$G$3)&amp;"",1)="⚠",INDEX(인턴근무계획!$M$3:$R$202,$A57,$G$3)&amp;"",LEFT(INDEX(인턴근무계획!$M$3:$R$202,$A57,$G$3)&amp;"",FIND(" ",INDEX(인턴근무계획!$M$3:$R$202,$A57,$G$3)&amp;"")-1))))</f>
        <v/>
      </c>
      <c r="H57" s="23">
        <f>IF(OR($C57="",$G$3=""),"",IF(INDEX(인턴근무계획!$M$3:$R$202,$A57,$G$3)&amp;""="","",IF(LEFT(INDEX(인턴근무계획!$M$3:$R$202,$A57,$G$3)&amp;"",1)="⚠","",MID(INDEX(인턴근무계획!$M$3:$R$202,$A57,$G$3)&amp;"",FIND(" ",INDEX(인턴근무계획!$M$3:$R$202,$A57,$G$3)&amp;"")+1,60))))</f>
        <v/>
      </c>
      <c r="I57" s="23">
        <f>IF(OR($C57="",$I$3=""),"",IF(INDEX(인턴근무계획!$M$3:$R$202,$A57,$I$3)&amp;""="","",IF(LEFT(INDEX(인턴근무계획!$M$3:$R$202,$A57,$I$3)&amp;"",1)="⚠",INDEX(인턴근무계획!$M$3:$R$202,$A57,$I$3)&amp;"",LEFT(INDEX(인턴근무계획!$M$3:$R$202,$A57,$I$3)&amp;"",FIND(" ",INDEX(인턴근무계획!$M$3:$R$202,$A57,$I$3)&amp;"")-1))))</f>
        <v/>
      </c>
      <c r="J57" s="23">
        <f>IF(OR($C57="",$I$3=""),"",IF(INDEX(인턴근무계획!$M$3:$R$202,$A57,$I$3)&amp;""="","",IF(LEFT(INDEX(인턴근무계획!$M$3:$R$202,$A57,$I$3)&amp;"",1)="⚠","",MID(INDEX(인턴근무계획!$M$3:$R$202,$A57,$I$3)&amp;"",FIND(" ",INDEX(인턴근무계획!$M$3:$R$202,$A57,$I$3)&amp;"")+1,60))))</f>
        <v/>
      </c>
      <c r="K57" s="23">
        <f>IF($C57="","",INDEX(인턴근무계획!$M$3:$M$202,$A57)&amp;"")</f>
        <v/>
      </c>
      <c r="L57" s="23">
        <f>IF($C57="","",INDEX(인턴근무계획!$N$3:$N$202,$A57)&amp;"")</f>
        <v/>
      </c>
      <c r="M57" s="23">
        <f>IF($C57="","",INDEX(인턴근무계획!$O$3:$O$202,$A57)&amp;"")</f>
        <v/>
      </c>
      <c r="N57" s="23">
        <f>IF($C57="","",INDEX(인턴근무계획!$P$3:$P$202,$A57)&amp;"")</f>
        <v/>
      </c>
      <c r="O57" s="23">
        <f>IF($C57="","",INDEX(인턴근무계획!$Q$3:$Q$202,$A57)&amp;"")</f>
        <v/>
      </c>
      <c r="P57" s="23">
        <f>IF($C57="","",INDEX(인턴근무계획!$R$3:$R$202,$A57)&amp;"")</f>
        <v/>
      </c>
      <c r="Q57" s="23">
        <f>IF($C57="","",INDEX(인턴근무계획!$T$3:$T$202,$A57))</f>
        <v/>
      </c>
    </row>
    <row r="58">
      <c r="A58" s="26" t="n">
        <v>53</v>
      </c>
      <c r="B58" s="23">
        <f>IF($C58="","",INDEX(인턴근무계획!$B$3:$B$202,$A58))</f>
        <v/>
      </c>
      <c r="C58" s="23">
        <f>IFERROR(TRIM(INDEX(인턴근무계획!$C$3:$C$202,$A58)&amp;""),"")</f>
        <v/>
      </c>
      <c r="D58" s="23">
        <f>IF($C58="","",INDEX(인턴근무계획!$D$3:$D$202,$A58))</f>
        <v/>
      </c>
      <c r="E58" s="23">
        <f>IF($C58="","",IF(IFERROR(MATCH($D58,기본자료!$B$2:$B$501,0),IFERROR(MATCH($D58&amp;"",기본자료!$B$2:$B$501,0),IFERROR(MATCH(VALUE($D58),기본자료!$B$2:$B$501,0),0)))&gt;0,"확인","미등록"))</f>
        <v/>
      </c>
      <c r="F58" s="27">
        <f>IF($C58="","",INDEX(인턴근무계획!$S$3:$S$202,$A58))</f>
        <v/>
      </c>
      <c r="G58" s="23">
        <f>IF(OR($C58="",$G$3=""),"",IF(INDEX(인턴근무계획!$M$3:$R$202,$A58,$G$3)&amp;""="","",IF(LEFT(INDEX(인턴근무계획!$M$3:$R$202,$A58,$G$3)&amp;"",1)="⚠",INDEX(인턴근무계획!$M$3:$R$202,$A58,$G$3)&amp;"",LEFT(INDEX(인턴근무계획!$M$3:$R$202,$A58,$G$3)&amp;"",FIND(" ",INDEX(인턴근무계획!$M$3:$R$202,$A58,$G$3)&amp;"")-1))))</f>
        <v/>
      </c>
      <c r="H58" s="23">
        <f>IF(OR($C58="",$G$3=""),"",IF(INDEX(인턴근무계획!$M$3:$R$202,$A58,$G$3)&amp;""="","",IF(LEFT(INDEX(인턴근무계획!$M$3:$R$202,$A58,$G$3)&amp;"",1)="⚠","",MID(INDEX(인턴근무계획!$M$3:$R$202,$A58,$G$3)&amp;"",FIND(" ",INDEX(인턴근무계획!$M$3:$R$202,$A58,$G$3)&amp;"")+1,60))))</f>
        <v/>
      </c>
      <c r="I58" s="23">
        <f>IF(OR($C58="",$I$3=""),"",IF(INDEX(인턴근무계획!$M$3:$R$202,$A58,$I$3)&amp;""="","",IF(LEFT(INDEX(인턴근무계획!$M$3:$R$202,$A58,$I$3)&amp;"",1)="⚠",INDEX(인턴근무계획!$M$3:$R$202,$A58,$I$3)&amp;"",LEFT(INDEX(인턴근무계획!$M$3:$R$202,$A58,$I$3)&amp;"",FIND(" ",INDEX(인턴근무계획!$M$3:$R$202,$A58,$I$3)&amp;"")-1))))</f>
        <v/>
      </c>
      <c r="J58" s="23">
        <f>IF(OR($C58="",$I$3=""),"",IF(INDEX(인턴근무계획!$M$3:$R$202,$A58,$I$3)&amp;""="","",IF(LEFT(INDEX(인턴근무계획!$M$3:$R$202,$A58,$I$3)&amp;"",1)="⚠","",MID(INDEX(인턴근무계획!$M$3:$R$202,$A58,$I$3)&amp;"",FIND(" ",INDEX(인턴근무계획!$M$3:$R$202,$A58,$I$3)&amp;"")+1,60))))</f>
        <v/>
      </c>
      <c r="K58" s="23">
        <f>IF($C58="","",INDEX(인턴근무계획!$M$3:$M$202,$A58)&amp;"")</f>
        <v/>
      </c>
      <c r="L58" s="23">
        <f>IF($C58="","",INDEX(인턴근무계획!$N$3:$N$202,$A58)&amp;"")</f>
        <v/>
      </c>
      <c r="M58" s="23">
        <f>IF($C58="","",INDEX(인턴근무계획!$O$3:$O$202,$A58)&amp;"")</f>
        <v/>
      </c>
      <c r="N58" s="23">
        <f>IF($C58="","",INDEX(인턴근무계획!$P$3:$P$202,$A58)&amp;"")</f>
        <v/>
      </c>
      <c r="O58" s="23">
        <f>IF($C58="","",INDEX(인턴근무계획!$Q$3:$Q$202,$A58)&amp;"")</f>
        <v/>
      </c>
      <c r="P58" s="23">
        <f>IF($C58="","",INDEX(인턴근무계획!$R$3:$R$202,$A58)&amp;"")</f>
        <v/>
      </c>
      <c r="Q58" s="23">
        <f>IF($C58="","",INDEX(인턴근무계획!$T$3:$T$202,$A58))</f>
        <v/>
      </c>
    </row>
    <row r="59">
      <c r="A59" s="26" t="n">
        <v>54</v>
      </c>
      <c r="B59" s="23">
        <f>IF($C59="","",INDEX(인턴근무계획!$B$3:$B$202,$A59))</f>
        <v/>
      </c>
      <c r="C59" s="23">
        <f>IFERROR(TRIM(INDEX(인턴근무계획!$C$3:$C$202,$A59)&amp;""),"")</f>
        <v/>
      </c>
      <c r="D59" s="23">
        <f>IF($C59="","",INDEX(인턴근무계획!$D$3:$D$202,$A59))</f>
        <v/>
      </c>
      <c r="E59" s="23">
        <f>IF($C59="","",IF(IFERROR(MATCH($D59,기본자료!$B$2:$B$501,0),IFERROR(MATCH($D59&amp;"",기본자료!$B$2:$B$501,0),IFERROR(MATCH(VALUE($D59),기본자료!$B$2:$B$501,0),0)))&gt;0,"확인","미등록"))</f>
        <v/>
      </c>
      <c r="F59" s="27">
        <f>IF($C59="","",INDEX(인턴근무계획!$S$3:$S$202,$A59))</f>
        <v/>
      </c>
      <c r="G59" s="23">
        <f>IF(OR($C59="",$G$3=""),"",IF(INDEX(인턴근무계획!$M$3:$R$202,$A59,$G$3)&amp;""="","",IF(LEFT(INDEX(인턴근무계획!$M$3:$R$202,$A59,$G$3)&amp;"",1)="⚠",INDEX(인턴근무계획!$M$3:$R$202,$A59,$G$3)&amp;"",LEFT(INDEX(인턴근무계획!$M$3:$R$202,$A59,$G$3)&amp;"",FIND(" ",INDEX(인턴근무계획!$M$3:$R$202,$A59,$G$3)&amp;"")-1))))</f>
        <v/>
      </c>
      <c r="H59" s="23">
        <f>IF(OR($C59="",$G$3=""),"",IF(INDEX(인턴근무계획!$M$3:$R$202,$A59,$G$3)&amp;""="","",IF(LEFT(INDEX(인턴근무계획!$M$3:$R$202,$A59,$G$3)&amp;"",1)="⚠","",MID(INDEX(인턴근무계획!$M$3:$R$202,$A59,$G$3)&amp;"",FIND(" ",INDEX(인턴근무계획!$M$3:$R$202,$A59,$G$3)&amp;"")+1,60))))</f>
        <v/>
      </c>
      <c r="I59" s="23">
        <f>IF(OR($C59="",$I$3=""),"",IF(INDEX(인턴근무계획!$M$3:$R$202,$A59,$I$3)&amp;""="","",IF(LEFT(INDEX(인턴근무계획!$M$3:$R$202,$A59,$I$3)&amp;"",1)="⚠",INDEX(인턴근무계획!$M$3:$R$202,$A59,$I$3)&amp;"",LEFT(INDEX(인턴근무계획!$M$3:$R$202,$A59,$I$3)&amp;"",FIND(" ",INDEX(인턴근무계획!$M$3:$R$202,$A59,$I$3)&amp;"")-1))))</f>
        <v/>
      </c>
      <c r="J59" s="23">
        <f>IF(OR($C59="",$I$3=""),"",IF(INDEX(인턴근무계획!$M$3:$R$202,$A59,$I$3)&amp;""="","",IF(LEFT(INDEX(인턴근무계획!$M$3:$R$202,$A59,$I$3)&amp;"",1)="⚠","",MID(INDEX(인턴근무계획!$M$3:$R$202,$A59,$I$3)&amp;"",FIND(" ",INDEX(인턴근무계획!$M$3:$R$202,$A59,$I$3)&amp;"")+1,60))))</f>
        <v/>
      </c>
      <c r="K59" s="23">
        <f>IF($C59="","",INDEX(인턴근무계획!$M$3:$M$202,$A59)&amp;"")</f>
        <v/>
      </c>
      <c r="L59" s="23">
        <f>IF($C59="","",INDEX(인턴근무계획!$N$3:$N$202,$A59)&amp;"")</f>
        <v/>
      </c>
      <c r="M59" s="23">
        <f>IF($C59="","",INDEX(인턴근무계획!$O$3:$O$202,$A59)&amp;"")</f>
        <v/>
      </c>
      <c r="N59" s="23">
        <f>IF($C59="","",INDEX(인턴근무계획!$P$3:$P$202,$A59)&amp;"")</f>
        <v/>
      </c>
      <c r="O59" s="23">
        <f>IF($C59="","",INDEX(인턴근무계획!$Q$3:$Q$202,$A59)&amp;"")</f>
        <v/>
      </c>
      <c r="P59" s="23">
        <f>IF($C59="","",INDEX(인턴근무계획!$R$3:$R$202,$A59)&amp;"")</f>
        <v/>
      </c>
      <c r="Q59" s="23">
        <f>IF($C59="","",INDEX(인턴근무계획!$T$3:$T$202,$A59))</f>
        <v/>
      </c>
    </row>
    <row r="60">
      <c r="A60" s="26" t="n">
        <v>55</v>
      </c>
      <c r="B60" s="23">
        <f>IF($C60="","",INDEX(인턴근무계획!$B$3:$B$202,$A60))</f>
        <v/>
      </c>
      <c r="C60" s="23">
        <f>IFERROR(TRIM(INDEX(인턴근무계획!$C$3:$C$202,$A60)&amp;""),"")</f>
        <v/>
      </c>
      <c r="D60" s="23">
        <f>IF($C60="","",INDEX(인턴근무계획!$D$3:$D$202,$A60))</f>
        <v/>
      </c>
      <c r="E60" s="23">
        <f>IF($C60="","",IF(IFERROR(MATCH($D60,기본자료!$B$2:$B$501,0),IFERROR(MATCH($D60&amp;"",기본자료!$B$2:$B$501,0),IFERROR(MATCH(VALUE($D60),기본자료!$B$2:$B$501,0),0)))&gt;0,"확인","미등록"))</f>
        <v/>
      </c>
      <c r="F60" s="27">
        <f>IF($C60="","",INDEX(인턴근무계획!$S$3:$S$202,$A60))</f>
        <v/>
      </c>
      <c r="G60" s="23">
        <f>IF(OR($C60="",$G$3=""),"",IF(INDEX(인턴근무계획!$M$3:$R$202,$A60,$G$3)&amp;""="","",IF(LEFT(INDEX(인턴근무계획!$M$3:$R$202,$A60,$G$3)&amp;"",1)="⚠",INDEX(인턴근무계획!$M$3:$R$202,$A60,$G$3)&amp;"",LEFT(INDEX(인턴근무계획!$M$3:$R$202,$A60,$G$3)&amp;"",FIND(" ",INDEX(인턴근무계획!$M$3:$R$202,$A60,$G$3)&amp;"")-1))))</f>
        <v/>
      </c>
      <c r="H60" s="23">
        <f>IF(OR($C60="",$G$3=""),"",IF(INDEX(인턴근무계획!$M$3:$R$202,$A60,$G$3)&amp;""="","",IF(LEFT(INDEX(인턴근무계획!$M$3:$R$202,$A60,$G$3)&amp;"",1)="⚠","",MID(INDEX(인턴근무계획!$M$3:$R$202,$A60,$G$3)&amp;"",FIND(" ",INDEX(인턴근무계획!$M$3:$R$202,$A60,$G$3)&amp;"")+1,60))))</f>
        <v/>
      </c>
      <c r="I60" s="23">
        <f>IF(OR($C60="",$I$3=""),"",IF(INDEX(인턴근무계획!$M$3:$R$202,$A60,$I$3)&amp;""="","",IF(LEFT(INDEX(인턴근무계획!$M$3:$R$202,$A60,$I$3)&amp;"",1)="⚠",INDEX(인턴근무계획!$M$3:$R$202,$A60,$I$3)&amp;"",LEFT(INDEX(인턴근무계획!$M$3:$R$202,$A60,$I$3)&amp;"",FIND(" ",INDEX(인턴근무계획!$M$3:$R$202,$A60,$I$3)&amp;"")-1))))</f>
        <v/>
      </c>
      <c r="J60" s="23">
        <f>IF(OR($C60="",$I$3=""),"",IF(INDEX(인턴근무계획!$M$3:$R$202,$A60,$I$3)&amp;""="","",IF(LEFT(INDEX(인턴근무계획!$M$3:$R$202,$A60,$I$3)&amp;"",1)="⚠","",MID(INDEX(인턴근무계획!$M$3:$R$202,$A60,$I$3)&amp;"",FIND(" ",INDEX(인턴근무계획!$M$3:$R$202,$A60,$I$3)&amp;"")+1,60))))</f>
        <v/>
      </c>
      <c r="K60" s="23">
        <f>IF($C60="","",INDEX(인턴근무계획!$M$3:$M$202,$A60)&amp;"")</f>
        <v/>
      </c>
      <c r="L60" s="23">
        <f>IF($C60="","",INDEX(인턴근무계획!$N$3:$N$202,$A60)&amp;"")</f>
        <v/>
      </c>
      <c r="M60" s="23">
        <f>IF($C60="","",INDEX(인턴근무계획!$O$3:$O$202,$A60)&amp;"")</f>
        <v/>
      </c>
      <c r="N60" s="23">
        <f>IF($C60="","",INDEX(인턴근무계획!$P$3:$P$202,$A60)&amp;"")</f>
        <v/>
      </c>
      <c r="O60" s="23">
        <f>IF($C60="","",INDEX(인턴근무계획!$Q$3:$Q$202,$A60)&amp;"")</f>
        <v/>
      </c>
      <c r="P60" s="23">
        <f>IF($C60="","",INDEX(인턴근무계획!$R$3:$R$202,$A60)&amp;"")</f>
        <v/>
      </c>
      <c r="Q60" s="23">
        <f>IF($C60="","",INDEX(인턴근무계획!$T$3:$T$202,$A60))</f>
        <v/>
      </c>
    </row>
    <row r="61">
      <c r="A61" s="26" t="n">
        <v>56</v>
      </c>
      <c r="B61" s="23">
        <f>IF($C61="","",INDEX(인턴근무계획!$B$3:$B$202,$A61))</f>
        <v/>
      </c>
      <c r="C61" s="23">
        <f>IFERROR(TRIM(INDEX(인턴근무계획!$C$3:$C$202,$A61)&amp;""),"")</f>
        <v/>
      </c>
      <c r="D61" s="23">
        <f>IF($C61="","",INDEX(인턴근무계획!$D$3:$D$202,$A61))</f>
        <v/>
      </c>
      <c r="E61" s="23">
        <f>IF($C61="","",IF(IFERROR(MATCH($D61,기본자료!$B$2:$B$501,0),IFERROR(MATCH($D61&amp;"",기본자료!$B$2:$B$501,0),IFERROR(MATCH(VALUE($D61),기본자료!$B$2:$B$501,0),0)))&gt;0,"확인","미등록"))</f>
        <v/>
      </c>
      <c r="F61" s="27">
        <f>IF($C61="","",INDEX(인턴근무계획!$S$3:$S$202,$A61))</f>
        <v/>
      </c>
      <c r="G61" s="23">
        <f>IF(OR($C61="",$G$3=""),"",IF(INDEX(인턴근무계획!$M$3:$R$202,$A61,$G$3)&amp;""="","",IF(LEFT(INDEX(인턴근무계획!$M$3:$R$202,$A61,$G$3)&amp;"",1)="⚠",INDEX(인턴근무계획!$M$3:$R$202,$A61,$G$3)&amp;"",LEFT(INDEX(인턴근무계획!$M$3:$R$202,$A61,$G$3)&amp;"",FIND(" ",INDEX(인턴근무계획!$M$3:$R$202,$A61,$G$3)&amp;"")-1))))</f>
        <v/>
      </c>
      <c r="H61" s="23">
        <f>IF(OR($C61="",$G$3=""),"",IF(INDEX(인턴근무계획!$M$3:$R$202,$A61,$G$3)&amp;""="","",IF(LEFT(INDEX(인턴근무계획!$M$3:$R$202,$A61,$G$3)&amp;"",1)="⚠","",MID(INDEX(인턴근무계획!$M$3:$R$202,$A61,$G$3)&amp;"",FIND(" ",INDEX(인턴근무계획!$M$3:$R$202,$A61,$G$3)&amp;"")+1,60))))</f>
        <v/>
      </c>
      <c r="I61" s="23">
        <f>IF(OR($C61="",$I$3=""),"",IF(INDEX(인턴근무계획!$M$3:$R$202,$A61,$I$3)&amp;""="","",IF(LEFT(INDEX(인턴근무계획!$M$3:$R$202,$A61,$I$3)&amp;"",1)="⚠",INDEX(인턴근무계획!$M$3:$R$202,$A61,$I$3)&amp;"",LEFT(INDEX(인턴근무계획!$M$3:$R$202,$A61,$I$3)&amp;"",FIND(" ",INDEX(인턴근무계획!$M$3:$R$202,$A61,$I$3)&amp;"")-1))))</f>
        <v/>
      </c>
      <c r="J61" s="23">
        <f>IF(OR($C61="",$I$3=""),"",IF(INDEX(인턴근무계획!$M$3:$R$202,$A61,$I$3)&amp;""="","",IF(LEFT(INDEX(인턴근무계획!$M$3:$R$202,$A61,$I$3)&amp;"",1)="⚠","",MID(INDEX(인턴근무계획!$M$3:$R$202,$A61,$I$3)&amp;"",FIND(" ",INDEX(인턴근무계획!$M$3:$R$202,$A61,$I$3)&amp;"")+1,60))))</f>
        <v/>
      </c>
      <c r="K61" s="23">
        <f>IF($C61="","",INDEX(인턴근무계획!$M$3:$M$202,$A61)&amp;"")</f>
        <v/>
      </c>
      <c r="L61" s="23">
        <f>IF($C61="","",INDEX(인턴근무계획!$N$3:$N$202,$A61)&amp;"")</f>
        <v/>
      </c>
      <c r="M61" s="23">
        <f>IF($C61="","",INDEX(인턴근무계획!$O$3:$O$202,$A61)&amp;"")</f>
        <v/>
      </c>
      <c r="N61" s="23">
        <f>IF($C61="","",INDEX(인턴근무계획!$P$3:$P$202,$A61)&amp;"")</f>
        <v/>
      </c>
      <c r="O61" s="23">
        <f>IF($C61="","",INDEX(인턴근무계획!$Q$3:$Q$202,$A61)&amp;"")</f>
        <v/>
      </c>
      <c r="P61" s="23">
        <f>IF($C61="","",INDEX(인턴근무계획!$R$3:$R$202,$A61)&amp;"")</f>
        <v/>
      </c>
      <c r="Q61" s="23">
        <f>IF($C61="","",INDEX(인턴근무계획!$T$3:$T$202,$A61))</f>
        <v/>
      </c>
    </row>
    <row r="62">
      <c r="A62" s="26" t="n">
        <v>57</v>
      </c>
      <c r="B62" s="23">
        <f>IF($C62="","",INDEX(인턴근무계획!$B$3:$B$202,$A62))</f>
        <v/>
      </c>
      <c r="C62" s="23">
        <f>IFERROR(TRIM(INDEX(인턴근무계획!$C$3:$C$202,$A62)&amp;""),"")</f>
        <v/>
      </c>
      <c r="D62" s="23">
        <f>IF($C62="","",INDEX(인턴근무계획!$D$3:$D$202,$A62))</f>
        <v/>
      </c>
      <c r="E62" s="23">
        <f>IF($C62="","",IF(IFERROR(MATCH($D62,기본자료!$B$2:$B$501,0),IFERROR(MATCH($D62&amp;"",기본자료!$B$2:$B$501,0),IFERROR(MATCH(VALUE($D62),기본자료!$B$2:$B$501,0),0)))&gt;0,"확인","미등록"))</f>
        <v/>
      </c>
      <c r="F62" s="27">
        <f>IF($C62="","",INDEX(인턴근무계획!$S$3:$S$202,$A62))</f>
        <v/>
      </c>
      <c r="G62" s="23">
        <f>IF(OR($C62="",$G$3=""),"",IF(INDEX(인턴근무계획!$M$3:$R$202,$A62,$G$3)&amp;""="","",IF(LEFT(INDEX(인턴근무계획!$M$3:$R$202,$A62,$G$3)&amp;"",1)="⚠",INDEX(인턴근무계획!$M$3:$R$202,$A62,$G$3)&amp;"",LEFT(INDEX(인턴근무계획!$M$3:$R$202,$A62,$G$3)&amp;"",FIND(" ",INDEX(인턴근무계획!$M$3:$R$202,$A62,$G$3)&amp;"")-1))))</f>
        <v/>
      </c>
      <c r="H62" s="23">
        <f>IF(OR($C62="",$G$3=""),"",IF(INDEX(인턴근무계획!$M$3:$R$202,$A62,$G$3)&amp;""="","",IF(LEFT(INDEX(인턴근무계획!$M$3:$R$202,$A62,$G$3)&amp;"",1)="⚠","",MID(INDEX(인턴근무계획!$M$3:$R$202,$A62,$G$3)&amp;"",FIND(" ",INDEX(인턴근무계획!$M$3:$R$202,$A62,$G$3)&amp;"")+1,60))))</f>
        <v/>
      </c>
      <c r="I62" s="23">
        <f>IF(OR($C62="",$I$3=""),"",IF(INDEX(인턴근무계획!$M$3:$R$202,$A62,$I$3)&amp;""="","",IF(LEFT(INDEX(인턴근무계획!$M$3:$R$202,$A62,$I$3)&amp;"",1)="⚠",INDEX(인턴근무계획!$M$3:$R$202,$A62,$I$3)&amp;"",LEFT(INDEX(인턴근무계획!$M$3:$R$202,$A62,$I$3)&amp;"",FIND(" ",INDEX(인턴근무계획!$M$3:$R$202,$A62,$I$3)&amp;"")-1))))</f>
        <v/>
      </c>
      <c r="J62" s="23">
        <f>IF(OR($C62="",$I$3=""),"",IF(INDEX(인턴근무계획!$M$3:$R$202,$A62,$I$3)&amp;""="","",IF(LEFT(INDEX(인턴근무계획!$M$3:$R$202,$A62,$I$3)&amp;"",1)="⚠","",MID(INDEX(인턴근무계획!$M$3:$R$202,$A62,$I$3)&amp;"",FIND(" ",INDEX(인턴근무계획!$M$3:$R$202,$A62,$I$3)&amp;"")+1,60))))</f>
        <v/>
      </c>
      <c r="K62" s="23">
        <f>IF($C62="","",INDEX(인턴근무계획!$M$3:$M$202,$A62)&amp;"")</f>
        <v/>
      </c>
      <c r="L62" s="23">
        <f>IF($C62="","",INDEX(인턴근무계획!$N$3:$N$202,$A62)&amp;"")</f>
        <v/>
      </c>
      <c r="M62" s="23">
        <f>IF($C62="","",INDEX(인턴근무계획!$O$3:$O$202,$A62)&amp;"")</f>
        <v/>
      </c>
      <c r="N62" s="23">
        <f>IF($C62="","",INDEX(인턴근무계획!$P$3:$P$202,$A62)&amp;"")</f>
        <v/>
      </c>
      <c r="O62" s="23">
        <f>IF($C62="","",INDEX(인턴근무계획!$Q$3:$Q$202,$A62)&amp;"")</f>
        <v/>
      </c>
      <c r="P62" s="23">
        <f>IF($C62="","",INDEX(인턴근무계획!$R$3:$R$202,$A62)&amp;"")</f>
        <v/>
      </c>
      <c r="Q62" s="23">
        <f>IF($C62="","",INDEX(인턴근무계획!$T$3:$T$202,$A62))</f>
        <v/>
      </c>
    </row>
    <row r="63">
      <c r="A63" s="26" t="n">
        <v>58</v>
      </c>
      <c r="B63" s="23">
        <f>IF($C63="","",INDEX(인턴근무계획!$B$3:$B$202,$A63))</f>
        <v/>
      </c>
      <c r="C63" s="23">
        <f>IFERROR(TRIM(INDEX(인턴근무계획!$C$3:$C$202,$A63)&amp;""),"")</f>
        <v/>
      </c>
      <c r="D63" s="23">
        <f>IF($C63="","",INDEX(인턴근무계획!$D$3:$D$202,$A63))</f>
        <v/>
      </c>
      <c r="E63" s="23">
        <f>IF($C63="","",IF(IFERROR(MATCH($D63,기본자료!$B$2:$B$501,0),IFERROR(MATCH($D63&amp;"",기본자료!$B$2:$B$501,0),IFERROR(MATCH(VALUE($D63),기본자료!$B$2:$B$501,0),0)))&gt;0,"확인","미등록"))</f>
        <v/>
      </c>
      <c r="F63" s="27">
        <f>IF($C63="","",INDEX(인턴근무계획!$S$3:$S$202,$A63))</f>
        <v/>
      </c>
      <c r="G63" s="23">
        <f>IF(OR($C63="",$G$3=""),"",IF(INDEX(인턴근무계획!$M$3:$R$202,$A63,$G$3)&amp;""="","",IF(LEFT(INDEX(인턴근무계획!$M$3:$R$202,$A63,$G$3)&amp;"",1)="⚠",INDEX(인턴근무계획!$M$3:$R$202,$A63,$G$3)&amp;"",LEFT(INDEX(인턴근무계획!$M$3:$R$202,$A63,$G$3)&amp;"",FIND(" ",INDEX(인턴근무계획!$M$3:$R$202,$A63,$G$3)&amp;"")-1))))</f>
        <v/>
      </c>
      <c r="H63" s="23">
        <f>IF(OR($C63="",$G$3=""),"",IF(INDEX(인턴근무계획!$M$3:$R$202,$A63,$G$3)&amp;""="","",IF(LEFT(INDEX(인턴근무계획!$M$3:$R$202,$A63,$G$3)&amp;"",1)="⚠","",MID(INDEX(인턴근무계획!$M$3:$R$202,$A63,$G$3)&amp;"",FIND(" ",INDEX(인턴근무계획!$M$3:$R$202,$A63,$G$3)&amp;"")+1,60))))</f>
        <v/>
      </c>
      <c r="I63" s="23">
        <f>IF(OR($C63="",$I$3=""),"",IF(INDEX(인턴근무계획!$M$3:$R$202,$A63,$I$3)&amp;""="","",IF(LEFT(INDEX(인턴근무계획!$M$3:$R$202,$A63,$I$3)&amp;"",1)="⚠",INDEX(인턴근무계획!$M$3:$R$202,$A63,$I$3)&amp;"",LEFT(INDEX(인턴근무계획!$M$3:$R$202,$A63,$I$3)&amp;"",FIND(" ",INDEX(인턴근무계획!$M$3:$R$202,$A63,$I$3)&amp;"")-1))))</f>
        <v/>
      </c>
      <c r="J63" s="23">
        <f>IF(OR($C63="",$I$3=""),"",IF(INDEX(인턴근무계획!$M$3:$R$202,$A63,$I$3)&amp;""="","",IF(LEFT(INDEX(인턴근무계획!$M$3:$R$202,$A63,$I$3)&amp;"",1)="⚠","",MID(INDEX(인턴근무계획!$M$3:$R$202,$A63,$I$3)&amp;"",FIND(" ",INDEX(인턴근무계획!$M$3:$R$202,$A63,$I$3)&amp;"")+1,60))))</f>
        <v/>
      </c>
      <c r="K63" s="23">
        <f>IF($C63="","",INDEX(인턴근무계획!$M$3:$M$202,$A63)&amp;"")</f>
        <v/>
      </c>
      <c r="L63" s="23">
        <f>IF($C63="","",INDEX(인턴근무계획!$N$3:$N$202,$A63)&amp;"")</f>
        <v/>
      </c>
      <c r="M63" s="23">
        <f>IF($C63="","",INDEX(인턴근무계획!$O$3:$O$202,$A63)&amp;"")</f>
        <v/>
      </c>
      <c r="N63" s="23">
        <f>IF($C63="","",INDEX(인턴근무계획!$P$3:$P$202,$A63)&amp;"")</f>
        <v/>
      </c>
      <c r="O63" s="23">
        <f>IF($C63="","",INDEX(인턴근무계획!$Q$3:$Q$202,$A63)&amp;"")</f>
        <v/>
      </c>
      <c r="P63" s="23">
        <f>IF($C63="","",INDEX(인턴근무계획!$R$3:$R$202,$A63)&amp;"")</f>
        <v/>
      </c>
      <c r="Q63" s="23">
        <f>IF($C63="","",INDEX(인턴근무계획!$T$3:$T$202,$A63))</f>
        <v/>
      </c>
    </row>
    <row r="64">
      <c r="A64" s="26" t="n">
        <v>59</v>
      </c>
      <c r="B64" s="23">
        <f>IF($C64="","",INDEX(인턴근무계획!$B$3:$B$202,$A64))</f>
        <v/>
      </c>
      <c r="C64" s="23">
        <f>IFERROR(TRIM(INDEX(인턴근무계획!$C$3:$C$202,$A64)&amp;""),"")</f>
        <v/>
      </c>
      <c r="D64" s="23">
        <f>IF($C64="","",INDEX(인턴근무계획!$D$3:$D$202,$A64))</f>
        <v/>
      </c>
      <c r="E64" s="23">
        <f>IF($C64="","",IF(IFERROR(MATCH($D64,기본자료!$B$2:$B$501,0),IFERROR(MATCH($D64&amp;"",기본자료!$B$2:$B$501,0),IFERROR(MATCH(VALUE($D64),기본자료!$B$2:$B$501,0),0)))&gt;0,"확인","미등록"))</f>
        <v/>
      </c>
      <c r="F64" s="27">
        <f>IF($C64="","",INDEX(인턴근무계획!$S$3:$S$202,$A64))</f>
        <v/>
      </c>
      <c r="G64" s="23">
        <f>IF(OR($C64="",$G$3=""),"",IF(INDEX(인턴근무계획!$M$3:$R$202,$A64,$G$3)&amp;""="","",IF(LEFT(INDEX(인턴근무계획!$M$3:$R$202,$A64,$G$3)&amp;"",1)="⚠",INDEX(인턴근무계획!$M$3:$R$202,$A64,$G$3)&amp;"",LEFT(INDEX(인턴근무계획!$M$3:$R$202,$A64,$G$3)&amp;"",FIND(" ",INDEX(인턴근무계획!$M$3:$R$202,$A64,$G$3)&amp;"")-1))))</f>
        <v/>
      </c>
      <c r="H64" s="23">
        <f>IF(OR($C64="",$G$3=""),"",IF(INDEX(인턴근무계획!$M$3:$R$202,$A64,$G$3)&amp;""="","",IF(LEFT(INDEX(인턴근무계획!$M$3:$R$202,$A64,$G$3)&amp;"",1)="⚠","",MID(INDEX(인턴근무계획!$M$3:$R$202,$A64,$G$3)&amp;"",FIND(" ",INDEX(인턴근무계획!$M$3:$R$202,$A64,$G$3)&amp;"")+1,60))))</f>
        <v/>
      </c>
      <c r="I64" s="23">
        <f>IF(OR($C64="",$I$3=""),"",IF(INDEX(인턴근무계획!$M$3:$R$202,$A64,$I$3)&amp;""="","",IF(LEFT(INDEX(인턴근무계획!$M$3:$R$202,$A64,$I$3)&amp;"",1)="⚠",INDEX(인턴근무계획!$M$3:$R$202,$A64,$I$3)&amp;"",LEFT(INDEX(인턴근무계획!$M$3:$R$202,$A64,$I$3)&amp;"",FIND(" ",INDEX(인턴근무계획!$M$3:$R$202,$A64,$I$3)&amp;"")-1))))</f>
        <v/>
      </c>
      <c r="J64" s="23">
        <f>IF(OR($C64="",$I$3=""),"",IF(INDEX(인턴근무계획!$M$3:$R$202,$A64,$I$3)&amp;""="","",IF(LEFT(INDEX(인턴근무계획!$M$3:$R$202,$A64,$I$3)&amp;"",1)="⚠","",MID(INDEX(인턴근무계획!$M$3:$R$202,$A64,$I$3)&amp;"",FIND(" ",INDEX(인턴근무계획!$M$3:$R$202,$A64,$I$3)&amp;"")+1,60))))</f>
        <v/>
      </c>
      <c r="K64" s="23">
        <f>IF($C64="","",INDEX(인턴근무계획!$M$3:$M$202,$A64)&amp;"")</f>
        <v/>
      </c>
      <c r="L64" s="23">
        <f>IF($C64="","",INDEX(인턴근무계획!$N$3:$N$202,$A64)&amp;"")</f>
        <v/>
      </c>
      <c r="M64" s="23">
        <f>IF($C64="","",INDEX(인턴근무계획!$O$3:$O$202,$A64)&amp;"")</f>
        <v/>
      </c>
      <c r="N64" s="23">
        <f>IF($C64="","",INDEX(인턴근무계획!$P$3:$P$202,$A64)&amp;"")</f>
        <v/>
      </c>
      <c r="O64" s="23">
        <f>IF($C64="","",INDEX(인턴근무계획!$Q$3:$Q$202,$A64)&amp;"")</f>
        <v/>
      </c>
      <c r="P64" s="23">
        <f>IF($C64="","",INDEX(인턴근무계획!$R$3:$R$202,$A64)&amp;"")</f>
        <v/>
      </c>
      <c r="Q64" s="23">
        <f>IF($C64="","",INDEX(인턴근무계획!$T$3:$T$202,$A64))</f>
        <v/>
      </c>
    </row>
    <row r="65">
      <c r="A65" s="26" t="n">
        <v>60</v>
      </c>
      <c r="B65" s="23">
        <f>IF($C65="","",INDEX(인턴근무계획!$B$3:$B$202,$A65))</f>
        <v/>
      </c>
      <c r="C65" s="23">
        <f>IFERROR(TRIM(INDEX(인턴근무계획!$C$3:$C$202,$A65)&amp;""),"")</f>
        <v/>
      </c>
      <c r="D65" s="23">
        <f>IF($C65="","",INDEX(인턴근무계획!$D$3:$D$202,$A65))</f>
        <v/>
      </c>
      <c r="E65" s="23">
        <f>IF($C65="","",IF(IFERROR(MATCH($D65,기본자료!$B$2:$B$501,0),IFERROR(MATCH($D65&amp;"",기본자료!$B$2:$B$501,0),IFERROR(MATCH(VALUE($D65),기본자료!$B$2:$B$501,0),0)))&gt;0,"확인","미등록"))</f>
        <v/>
      </c>
      <c r="F65" s="27">
        <f>IF($C65="","",INDEX(인턴근무계획!$S$3:$S$202,$A65))</f>
        <v/>
      </c>
      <c r="G65" s="23">
        <f>IF(OR($C65="",$G$3=""),"",IF(INDEX(인턴근무계획!$M$3:$R$202,$A65,$G$3)&amp;""="","",IF(LEFT(INDEX(인턴근무계획!$M$3:$R$202,$A65,$G$3)&amp;"",1)="⚠",INDEX(인턴근무계획!$M$3:$R$202,$A65,$G$3)&amp;"",LEFT(INDEX(인턴근무계획!$M$3:$R$202,$A65,$G$3)&amp;"",FIND(" ",INDEX(인턴근무계획!$M$3:$R$202,$A65,$G$3)&amp;"")-1))))</f>
        <v/>
      </c>
      <c r="H65" s="23">
        <f>IF(OR($C65="",$G$3=""),"",IF(INDEX(인턴근무계획!$M$3:$R$202,$A65,$G$3)&amp;""="","",IF(LEFT(INDEX(인턴근무계획!$M$3:$R$202,$A65,$G$3)&amp;"",1)="⚠","",MID(INDEX(인턴근무계획!$M$3:$R$202,$A65,$G$3)&amp;"",FIND(" ",INDEX(인턴근무계획!$M$3:$R$202,$A65,$G$3)&amp;"")+1,60))))</f>
        <v/>
      </c>
      <c r="I65" s="23">
        <f>IF(OR($C65="",$I$3=""),"",IF(INDEX(인턴근무계획!$M$3:$R$202,$A65,$I$3)&amp;""="","",IF(LEFT(INDEX(인턴근무계획!$M$3:$R$202,$A65,$I$3)&amp;"",1)="⚠",INDEX(인턴근무계획!$M$3:$R$202,$A65,$I$3)&amp;"",LEFT(INDEX(인턴근무계획!$M$3:$R$202,$A65,$I$3)&amp;"",FIND(" ",INDEX(인턴근무계획!$M$3:$R$202,$A65,$I$3)&amp;"")-1))))</f>
        <v/>
      </c>
      <c r="J65" s="23">
        <f>IF(OR($C65="",$I$3=""),"",IF(INDEX(인턴근무계획!$M$3:$R$202,$A65,$I$3)&amp;""="","",IF(LEFT(INDEX(인턴근무계획!$M$3:$R$202,$A65,$I$3)&amp;"",1)="⚠","",MID(INDEX(인턴근무계획!$M$3:$R$202,$A65,$I$3)&amp;"",FIND(" ",INDEX(인턴근무계획!$M$3:$R$202,$A65,$I$3)&amp;"")+1,60))))</f>
        <v/>
      </c>
      <c r="K65" s="23">
        <f>IF($C65="","",INDEX(인턴근무계획!$M$3:$M$202,$A65)&amp;"")</f>
        <v/>
      </c>
      <c r="L65" s="23">
        <f>IF($C65="","",INDEX(인턴근무계획!$N$3:$N$202,$A65)&amp;"")</f>
        <v/>
      </c>
      <c r="M65" s="23">
        <f>IF($C65="","",INDEX(인턴근무계획!$O$3:$O$202,$A65)&amp;"")</f>
        <v/>
      </c>
      <c r="N65" s="23">
        <f>IF($C65="","",INDEX(인턴근무계획!$P$3:$P$202,$A65)&amp;"")</f>
        <v/>
      </c>
      <c r="O65" s="23">
        <f>IF($C65="","",INDEX(인턴근무계획!$Q$3:$Q$202,$A65)&amp;"")</f>
        <v/>
      </c>
      <c r="P65" s="23">
        <f>IF($C65="","",INDEX(인턴근무계획!$R$3:$R$202,$A65)&amp;"")</f>
        <v/>
      </c>
      <c r="Q65" s="23">
        <f>IF($C65="","",INDEX(인턴근무계획!$T$3:$T$202,$A65))</f>
        <v/>
      </c>
    </row>
    <row r="66">
      <c r="A66" s="26" t="n">
        <v>61</v>
      </c>
      <c r="B66" s="23">
        <f>IF($C66="","",INDEX(인턴근무계획!$B$3:$B$202,$A66))</f>
        <v/>
      </c>
      <c r="C66" s="23">
        <f>IFERROR(TRIM(INDEX(인턴근무계획!$C$3:$C$202,$A66)&amp;""),"")</f>
        <v/>
      </c>
      <c r="D66" s="23">
        <f>IF($C66="","",INDEX(인턴근무계획!$D$3:$D$202,$A66))</f>
        <v/>
      </c>
      <c r="E66" s="23">
        <f>IF($C66="","",IF(IFERROR(MATCH($D66,기본자료!$B$2:$B$501,0),IFERROR(MATCH($D66&amp;"",기본자료!$B$2:$B$501,0),IFERROR(MATCH(VALUE($D66),기본자료!$B$2:$B$501,0),0)))&gt;0,"확인","미등록"))</f>
        <v/>
      </c>
      <c r="F66" s="27">
        <f>IF($C66="","",INDEX(인턴근무계획!$S$3:$S$202,$A66))</f>
        <v/>
      </c>
      <c r="G66" s="23">
        <f>IF(OR($C66="",$G$3=""),"",IF(INDEX(인턴근무계획!$M$3:$R$202,$A66,$G$3)&amp;""="","",IF(LEFT(INDEX(인턴근무계획!$M$3:$R$202,$A66,$G$3)&amp;"",1)="⚠",INDEX(인턴근무계획!$M$3:$R$202,$A66,$G$3)&amp;"",LEFT(INDEX(인턴근무계획!$M$3:$R$202,$A66,$G$3)&amp;"",FIND(" ",INDEX(인턴근무계획!$M$3:$R$202,$A66,$G$3)&amp;"")-1))))</f>
        <v/>
      </c>
      <c r="H66" s="23">
        <f>IF(OR($C66="",$G$3=""),"",IF(INDEX(인턴근무계획!$M$3:$R$202,$A66,$G$3)&amp;""="","",IF(LEFT(INDEX(인턴근무계획!$M$3:$R$202,$A66,$G$3)&amp;"",1)="⚠","",MID(INDEX(인턴근무계획!$M$3:$R$202,$A66,$G$3)&amp;"",FIND(" ",INDEX(인턴근무계획!$M$3:$R$202,$A66,$G$3)&amp;"")+1,60))))</f>
        <v/>
      </c>
      <c r="I66" s="23">
        <f>IF(OR($C66="",$I$3=""),"",IF(INDEX(인턴근무계획!$M$3:$R$202,$A66,$I$3)&amp;""="","",IF(LEFT(INDEX(인턴근무계획!$M$3:$R$202,$A66,$I$3)&amp;"",1)="⚠",INDEX(인턴근무계획!$M$3:$R$202,$A66,$I$3)&amp;"",LEFT(INDEX(인턴근무계획!$M$3:$R$202,$A66,$I$3)&amp;"",FIND(" ",INDEX(인턴근무계획!$M$3:$R$202,$A66,$I$3)&amp;"")-1))))</f>
        <v/>
      </c>
      <c r="J66" s="23">
        <f>IF(OR($C66="",$I$3=""),"",IF(INDEX(인턴근무계획!$M$3:$R$202,$A66,$I$3)&amp;""="","",IF(LEFT(INDEX(인턴근무계획!$M$3:$R$202,$A66,$I$3)&amp;"",1)="⚠","",MID(INDEX(인턴근무계획!$M$3:$R$202,$A66,$I$3)&amp;"",FIND(" ",INDEX(인턴근무계획!$M$3:$R$202,$A66,$I$3)&amp;"")+1,60))))</f>
        <v/>
      </c>
      <c r="K66" s="23">
        <f>IF($C66="","",INDEX(인턴근무계획!$M$3:$M$202,$A66)&amp;"")</f>
        <v/>
      </c>
      <c r="L66" s="23">
        <f>IF($C66="","",INDEX(인턴근무계획!$N$3:$N$202,$A66)&amp;"")</f>
        <v/>
      </c>
      <c r="M66" s="23">
        <f>IF($C66="","",INDEX(인턴근무계획!$O$3:$O$202,$A66)&amp;"")</f>
        <v/>
      </c>
      <c r="N66" s="23">
        <f>IF($C66="","",INDEX(인턴근무계획!$P$3:$P$202,$A66)&amp;"")</f>
        <v/>
      </c>
      <c r="O66" s="23">
        <f>IF($C66="","",INDEX(인턴근무계획!$Q$3:$Q$202,$A66)&amp;"")</f>
        <v/>
      </c>
      <c r="P66" s="23">
        <f>IF($C66="","",INDEX(인턴근무계획!$R$3:$R$202,$A66)&amp;"")</f>
        <v/>
      </c>
      <c r="Q66" s="23">
        <f>IF($C66="","",INDEX(인턴근무계획!$T$3:$T$202,$A66))</f>
        <v/>
      </c>
    </row>
    <row r="67">
      <c r="A67" s="26" t="n">
        <v>62</v>
      </c>
      <c r="B67" s="23">
        <f>IF($C67="","",INDEX(인턴근무계획!$B$3:$B$202,$A67))</f>
        <v/>
      </c>
      <c r="C67" s="23">
        <f>IFERROR(TRIM(INDEX(인턴근무계획!$C$3:$C$202,$A67)&amp;""),"")</f>
        <v/>
      </c>
      <c r="D67" s="23">
        <f>IF($C67="","",INDEX(인턴근무계획!$D$3:$D$202,$A67))</f>
        <v/>
      </c>
      <c r="E67" s="23">
        <f>IF($C67="","",IF(IFERROR(MATCH($D67,기본자료!$B$2:$B$501,0),IFERROR(MATCH($D67&amp;"",기본자료!$B$2:$B$501,0),IFERROR(MATCH(VALUE($D67),기본자료!$B$2:$B$501,0),0)))&gt;0,"확인","미등록"))</f>
        <v/>
      </c>
      <c r="F67" s="27">
        <f>IF($C67="","",INDEX(인턴근무계획!$S$3:$S$202,$A67))</f>
        <v/>
      </c>
      <c r="G67" s="23">
        <f>IF(OR($C67="",$G$3=""),"",IF(INDEX(인턴근무계획!$M$3:$R$202,$A67,$G$3)&amp;""="","",IF(LEFT(INDEX(인턴근무계획!$M$3:$R$202,$A67,$G$3)&amp;"",1)="⚠",INDEX(인턴근무계획!$M$3:$R$202,$A67,$G$3)&amp;"",LEFT(INDEX(인턴근무계획!$M$3:$R$202,$A67,$G$3)&amp;"",FIND(" ",INDEX(인턴근무계획!$M$3:$R$202,$A67,$G$3)&amp;"")-1))))</f>
        <v/>
      </c>
      <c r="H67" s="23">
        <f>IF(OR($C67="",$G$3=""),"",IF(INDEX(인턴근무계획!$M$3:$R$202,$A67,$G$3)&amp;""="","",IF(LEFT(INDEX(인턴근무계획!$M$3:$R$202,$A67,$G$3)&amp;"",1)="⚠","",MID(INDEX(인턴근무계획!$M$3:$R$202,$A67,$G$3)&amp;"",FIND(" ",INDEX(인턴근무계획!$M$3:$R$202,$A67,$G$3)&amp;"")+1,60))))</f>
        <v/>
      </c>
      <c r="I67" s="23">
        <f>IF(OR($C67="",$I$3=""),"",IF(INDEX(인턴근무계획!$M$3:$R$202,$A67,$I$3)&amp;""="","",IF(LEFT(INDEX(인턴근무계획!$M$3:$R$202,$A67,$I$3)&amp;"",1)="⚠",INDEX(인턴근무계획!$M$3:$R$202,$A67,$I$3)&amp;"",LEFT(INDEX(인턴근무계획!$M$3:$R$202,$A67,$I$3)&amp;"",FIND(" ",INDEX(인턴근무계획!$M$3:$R$202,$A67,$I$3)&amp;"")-1))))</f>
        <v/>
      </c>
      <c r="J67" s="23">
        <f>IF(OR($C67="",$I$3=""),"",IF(INDEX(인턴근무계획!$M$3:$R$202,$A67,$I$3)&amp;""="","",IF(LEFT(INDEX(인턴근무계획!$M$3:$R$202,$A67,$I$3)&amp;"",1)="⚠","",MID(INDEX(인턴근무계획!$M$3:$R$202,$A67,$I$3)&amp;"",FIND(" ",INDEX(인턴근무계획!$M$3:$R$202,$A67,$I$3)&amp;"")+1,60))))</f>
        <v/>
      </c>
      <c r="K67" s="23">
        <f>IF($C67="","",INDEX(인턴근무계획!$M$3:$M$202,$A67)&amp;"")</f>
        <v/>
      </c>
      <c r="L67" s="23">
        <f>IF($C67="","",INDEX(인턴근무계획!$N$3:$N$202,$A67)&amp;"")</f>
        <v/>
      </c>
      <c r="M67" s="23">
        <f>IF($C67="","",INDEX(인턴근무계획!$O$3:$O$202,$A67)&amp;"")</f>
        <v/>
      </c>
      <c r="N67" s="23">
        <f>IF($C67="","",INDEX(인턴근무계획!$P$3:$P$202,$A67)&amp;"")</f>
        <v/>
      </c>
      <c r="O67" s="23">
        <f>IF($C67="","",INDEX(인턴근무계획!$Q$3:$Q$202,$A67)&amp;"")</f>
        <v/>
      </c>
      <c r="P67" s="23">
        <f>IF($C67="","",INDEX(인턴근무계획!$R$3:$R$202,$A67)&amp;"")</f>
        <v/>
      </c>
      <c r="Q67" s="23">
        <f>IF($C67="","",INDEX(인턴근무계획!$T$3:$T$202,$A67))</f>
        <v/>
      </c>
    </row>
    <row r="68">
      <c r="A68" s="26" t="n">
        <v>63</v>
      </c>
      <c r="B68" s="23">
        <f>IF($C68="","",INDEX(인턴근무계획!$B$3:$B$202,$A68))</f>
        <v/>
      </c>
      <c r="C68" s="23">
        <f>IFERROR(TRIM(INDEX(인턴근무계획!$C$3:$C$202,$A68)&amp;""),"")</f>
        <v/>
      </c>
      <c r="D68" s="23">
        <f>IF($C68="","",INDEX(인턴근무계획!$D$3:$D$202,$A68))</f>
        <v/>
      </c>
      <c r="E68" s="23">
        <f>IF($C68="","",IF(IFERROR(MATCH($D68,기본자료!$B$2:$B$501,0),IFERROR(MATCH($D68&amp;"",기본자료!$B$2:$B$501,0),IFERROR(MATCH(VALUE($D68),기본자료!$B$2:$B$501,0),0)))&gt;0,"확인","미등록"))</f>
        <v/>
      </c>
      <c r="F68" s="27">
        <f>IF($C68="","",INDEX(인턴근무계획!$S$3:$S$202,$A68))</f>
        <v/>
      </c>
      <c r="G68" s="23">
        <f>IF(OR($C68="",$G$3=""),"",IF(INDEX(인턴근무계획!$M$3:$R$202,$A68,$G$3)&amp;""="","",IF(LEFT(INDEX(인턴근무계획!$M$3:$R$202,$A68,$G$3)&amp;"",1)="⚠",INDEX(인턴근무계획!$M$3:$R$202,$A68,$G$3)&amp;"",LEFT(INDEX(인턴근무계획!$M$3:$R$202,$A68,$G$3)&amp;"",FIND(" ",INDEX(인턴근무계획!$M$3:$R$202,$A68,$G$3)&amp;"")-1))))</f>
        <v/>
      </c>
      <c r="H68" s="23">
        <f>IF(OR($C68="",$G$3=""),"",IF(INDEX(인턴근무계획!$M$3:$R$202,$A68,$G$3)&amp;""="","",IF(LEFT(INDEX(인턴근무계획!$M$3:$R$202,$A68,$G$3)&amp;"",1)="⚠","",MID(INDEX(인턴근무계획!$M$3:$R$202,$A68,$G$3)&amp;"",FIND(" ",INDEX(인턴근무계획!$M$3:$R$202,$A68,$G$3)&amp;"")+1,60))))</f>
        <v/>
      </c>
      <c r="I68" s="23">
        <f>IF(OR($C68="",$I$3=""),"",IF(INDEX(인턴근무계획!$M$3:$R$202,$A68,$I$3)&amp;""="","",IF(LEFT(INDEX(인턴근무계획!$M$3:$R$202,$A68,$I$3)&amp;"",1)="⚠",INDEX(인턴근무계획!$M$3:$R$202,$A68,$I$3)&amp;"",LEFT(INDEX(인턴근무계획!$M$3:$R$202,$A68,$I$3)&amp;"",FIND(" ",INDEX(인턴근무계획!$M$3:$R$202,$A68,$I$3)&amp;"")-1))))</f>
        <v/>
      </c>
      <c r="J68" s="23">
        <f>IF(OR($C68="",$I$3=""),"",IF(INDEX(인턴근무계획!$M$3:$R$202,$A68,$I$3)&amp;""="","",IF(LEFT(INDEX(인턴근무계획!$M$3:$R$202,$A68,$I$3)&amp;"",1)="⚠","",MID(INDEX(인턴근무계획!$M$3:$R$202,$A68,$I$3)&amp;"",FIND(" ",INDEX(인턴근무계획!$M$3:$R$202,$A68,$I$3)&amp;"")+1,60))))</f>
        <v/>
      </c>
      <c r="K68" s="23">
        <f>IF($C68="","",INDEX(인턴근무계획!$M$3:$M$202,$A68)&amp;"")</f>
        <v/>
      </c>
      <c r="L68" s="23">
        <f>IF($C68="","",INDEX(인턴근무계획!$N$3:$N$202,$A68)&amp;"")</f>
        <v/>
      </c>
      <c r="M68" s="23">
        <f>IF($C68="","",INDEX(인턴근무계획!$O$3:$O$202,$A68)&amp;"")</f>
        <v/>
      </c>
      <c r="N68" s="23">
        <f>IF($C68="","",INDEX(인턴근무계획!$P$3:$P$202,$A68)&amp;"")</f>
        <v/>
      </c>
      <c r="O68" s="23">
        <f>IF($C68="","",INDEX(인턴근무계획!$Q$3:$Q$202,$A68)&amp;"")</f>
        <v/>
      </c>
      <c r="P68" s="23">
        <f>IF($C68="","",INDEX(인턴근무계획!$R$3:$R$202,$A68)&amp;"")</f>
        <v/>
      </c>
      <c r="Q68" s="23">
        <f>IF($C68="","",INDEX(인턴근무계획!$T$3:$T$202,$A68))</f>
        <v/>
      </c>
    </row>
    <row r="69">
      <c r="A69" s="26" t="n">
        <v>64</v>
      </c>
      <c r="B69" s="23">
        <f>IF($C69="","",INDEX(인턴근무계획!$B$3:$B$202,$A69))</f>
        <v/>
      </c>
      <c r="C69" s="23">
        <f>IFERROR(TRIM(INDEX(인턴근무계획!$C$3:$C$202,$A69)&amp;""),"")</f>
        <v/>
      </c>
      <c r="D69" s="23">
        <f>IF($C69="","",INDEX(인턴근무계획!$D$3:$D$202,$A69))</f>
        <v/>
      </c>
      <c r="E69" s="23">
        <f>IF($C69="","",IF(IFERROR(MATCH($D69,기본자료!$B$2:$B$501,0),IFERROR(MATCH($D69&amp;"",기본자료!$B$2:$B$501,0),IFERROR(MATCH(VALUE($D69),기본자료!$B$2:$B$501,0),0)))&gt;0,"확인","미등록"))</f>
        <v/>
      </c>
      <c r="F69" s="27">
        <f>IF($C69="","",INDEX(인턴근무계획!$S$3:$S$202,$A69))</f>
        <v/>
      </c>
      <c r="G69" s="23">
        <f>IF(OR($C69="",$G$3=""),"",IF(INDEX(인턴근무계획!$M$3:$R$202,$A69,$G$3)&amp;""="","",IF(LEFT(INDEX(인턴근무계획!$M$3:$R$202,$A69,$G$3)&amp;"",1)="⚠",INDEX(인턴근무계획!$M$3:$R$202,$A69,$G$3)&amp;"",LEFT(INDEX(인턴근무계획!$M$3:$R$202,$A69,$G$3)&amp;"",FIND(" ",INDEX(인턴근무계획!$M$3:$R$202,$A69,$G$3)&amp;"")-1))))</f>
        <v/>
      </c>
      <c r="H69" s="23">
        <f>IF(OR($C69="",$G$3=""),"",IF(INDEX(인턴근무계획!$M$3:$R$202,$A69,$G$3)&amp;""="","",IF(LEFT(INDEX(인턴근무계획!$M$3:$R$202,$A69,$G$3)&amp;"",1)="⚠","",MID(INDEX(인턴근무계획!$M$3:$R$202,$A69,$G$3)&amp;"",FIND(" ",INDEX(인턴근무계획!$M$3:$R$202,$A69,$G$3)&amp;"")+1,60))))</f>
        <v/>
      </c>
      <c r="I69" s="23">
        <f>IF(OR($C69="",$I$3=""),"",IF(INDEX(인턴근무계획!$M$3:$R$202,$A69,$I$3)&amp;""="","",IF(LEFT(INDEX(인턴근무계획!$M$3:$R$202,$A69,$I$3)&amp;"",1)="⚠",INDEX(인턴근무계획!$M$3:$R$202,$A69,$I$3)&amp;"",LEFT(INDEX(인턴근무계획!$M$3:$R$202,$A69,$I$3)&amp;"",FIND(" ",INDEX(인턴근무계획!$M$3:$R$202,$A69,$I$3)&amp;"")-1))))</f>
        <v/>
      </c>
      <c r="J69" s="23">
        <f>IF(OR($C69="",$I$3=""),"",IF(INDEX(인턴근무계획!$M$3:$R$202,$A69,$I$3)&amp;""="","",IF(LEFT(INDEX(인턴근무계획!$M$3:$R$202,$A69,$I$3)&amp;"",1)="⚠","",MID(INDEX(인턴근무계획!$M$3:$R$202,$A69,$I$3)&amp;"",FIND(" ",INDEX(인턴근무계획!$M$3:$R$202,$A69,$I$3)&amp;"")+1,60))))</f>
        <v/>
      </c>
      <c r="K69" s="23">
        <f>IF($C69="","",INDEX(인턴근무계획!$M$3:$M$202,$A69)&amp;"")</f>
        <v/>
      </c>
      <c r="L69" s="23">
        <f>IF($C69="","",INDEX(인턴근무계획!$N$3:$N$202,$A69)&amp;"")</f>
        <v/>
      </c>
      <c r="M69" s="23">
        <f>IF($C69="","",INDEX(인턴근무계획!$O$3:$O$202,$A69)&amp;"")</f>
        <v/>
      </c>
      <c r="N69" s="23">
        <f>IF($C69="","",INDEX(인턴근무계획!$P$3:$P$202,$A69)&amp;"")</f>
        <v/>
      </c>
      <c r="O69" s="23">
        <f>IF($C69="","",INDEX(인턴근무계획!$Q$3:$Q$202,$A69)&amp;"")</f>
        <v/>
      </c>
      <c r="P69" s="23">
        <f>IF($C69="","",INDEX(인턴근무계획!$R$3:$R$202,$A69)&amp;"")</f>
        <v/>
      </c>
      <c r="Q69" s="23">
        <f>IF($C69="","",INDEX(인턴근무계획!$T$3:$T$202,$A69))</f>
        <v/>
      </c>
    </row>
    <row r="70">
      <c r="A70" s="26" t="n">
        <v>65</v>
      </c>
      <c r="B70" s="23">
        <f>IF($C70="","",INDEX(인턴근무계획!$B$3:$B$202,$A70))</f>
        <v/>
      </c>
      <c r="C70" s="23">
        <f>IFERROR(TRIM(INDEX(인턴근무계획!$C$3:$C$202,$A70)&amp;""),"")</f>
        <v/>
      </c>
      <c r="D70" s="23">
        <f>IF($C70="","",INDEX(인턴근무계획!$D$3:$D$202,$A70))</f>
        <v/>
      </c>
      <c r="E70" s="23">
        <f>IF($C70="","",IF(IFERROR(MATCH($D70,기본자료!$B$2:$B$501,0),IFERROR(MATCH($D70&amp;"",기본자료!$B$2:$B$501,0),IFERROR(MATCH(VALUE($D70),기본자료!$B$2:$B$501,0),0)))&gt;0,"확인","미등록"))</f>
        <v/>
      </c>
      <c r="F70" s="27">
        <f>IF($C70="","",INDEX(인턴근무계획!$S$3:$S$202,$A70))</f>
        <v/>
      </c>
      <c r="G70" s="23">
        <f>IF(OR($C70="",$G$3=""),"",IF(INDEX(인턴근무계획!$M$3:$R$202,$A70,$G$3)&amp;""="","",IF(LEFT(INDEX(인턴근무계획!$M$3:$R$202,$A70,$G$3)&amp;"",1)="⚠",INDEX(인턴근무계획!$M$3:$R$202,$A70,$G$3)&amp;"",LEFT(INDEX(인턴근무계획!$M$3:$R$202,$A70,$G$3)&amp;"",FIND(" ",INDEX(인턴근무계획!$M$3:$R$202,$A70,$G$3)&amp;"")-1))))</f>
        <v/>
      </c>
      <c r="H70" s="23">
        <f>IF(OR($C70="",$G$3=""),"",IF(INDEX(인턴근무계획!$M$3:$R$202,$A70,$G$3)&amp;""="","",IF(LEFT(INDEX(인턴근무계획!$M$3:$R$202,$A70,$G$3)&amp;"",1)="⚠","",MID(INDEX(인턴근무계획!$M$3:$R$202,$A70,$G$3)&amp;"",FIND(" ",INDEX(인턴근무계획!$M$3:$R$202,$A70,$G$3)&amp;"")+1,60))))</f>
        <v/>
      </c>
      <c r="I70" s="23">
        <f>IF(OR($C70="",$I$3=""),"",IF(INDEX(인턴근무계획!$M$3:$R$202,$A70,$I$3)&amp;""="","",IF(LEFT(INDEX(인턴근무계획!$M$3:$R$202,$A70,$I$3)&amp;"",1)="⚠",INDEX(인턴근무계획!$M$3:$R$202,$A70,$I$3)&amp;"",LEFT(INDEX(인턴근무계획!$M$3:$R$202,$A70,$I$3)&amp;"",FIND(" ",INDEX(인턴근무계획!$M$3:$R$202,$A70,$I$3)&amp;"")-1))))</f>
        <v/>
      </c>
      <c r="J70" s="23">
        <f>IF(OR($C70="",$I$3=""),"",IF(INDEX(인턴근무계획!$M$3:$R$202,$A70,$I$3)&amp;""="","",IF(LEFT(INDEX(인턴근무계획!$M$3:$R$202,$A70,$I$3)&amp;"",1)="⚠","",MID(INDEX(인턴근무계획!$M$3:$R$202,$A70,$I$3)&amp;"",FIND(" ",INDEX(인턴근무계획!$M$3:$R$202,$A70,$I$3)&amp;"")+1,60))))</f>
        <v/>
      </c>
      <c r="K70" s="23">
        <f>IF($C70="","",INDEX(인턴근무계획!$M$3:$M$202,$A70)&amp;"")</f>
        <v/>
      </c>
      <c r="L70" s="23">
        <f>IF($C70="","",INDEX(인턴근무계획!$N$3:$N$202,$A70)&amp;"")</f>
        <v/>
      </c>
      <c r="M70" s="23">
        <f>IF($C70="","",INDEX(인턴근무계획!$O$3:$O$202,$A70)&amp;"")</f>
        <v/>
      </c>
      <c r="N70" s="23">
        <f>IF($C70="","",INDEX(인턴근무계획!$P$3:$P$202,$A70)&amp;"")</f>
        <v/>
      </c>
      <c r="O70" s="23">
        <f>IF($C70="","",INDEX(인턴근무계획!$Q$3:$Q$202,$A70)&amp;"")</f>
        <v/>
      </c>
      <c r="P70" s="23">
        <f>IF($C70="","",INDEX(인턴근무계획!$R$3:$R$202,$A70)&amp;"")</f>
        <v/>
      </c>
      <c r="Q70" s="23">
        <f>IF($C70="","",INDEX(인턴근무계획!$T$3:$T$202,$A70))</f>
        <v/>
      </c>
    </row>
    <row r="71">
      <c r="A71" s="26" t="n">
        <v>66</v>
      </c>
      <c r="B71" s="23">
        <f>IF($C71="","",INDEX(인턴근무계획!$B$3:$B$202,$A71))</f>
        <v/>
      </c>
      <c r="C71" s="23">
        <f>IFERROR(TRIM(INDEX(인턴근무계획!$C$3:$C$202,$A71)&amp;""),"")</f>
        <v/>
      </c>
      <c r="D71" s="23">
        <f>IF($C71="","",INDEX(인턴근무계획!$D$3:$D$202,$A71))</f>
        <v/>
      </c>
      <c r="E71" s="23">
        <f>IF($C71="","",IF(IFERROR(MATCH($D71,기본자료!$B$2:$B$501,0),IFERROR(MATCH($D71&amp;"",기본자료!$B$2:$B$501,0),IFERROR(MATCH(VALUE($D71),기본자료!$B$2:$B$501,0),0)))&gt;0,"확인","미등록"))</f>
        <v/>
      </c>
      <c r="F71" s="27">
        <f>IF($C71="","",INDEX(인턴근무계획!$S$3:$S$202,$A71))</f>
        <v/>
      </c>
      <c r="G71" s="23">
        <f>IF(OR($C71="",$G$3=""),"",IF(INDEX(인턴근무계획!$M$3:$R$202,$A71,$G$3)&amp;""="","",IF(LEFT(INDEX(인턴근무계획!$M$3:$R$202,$A71,$G$3)&amp;"",1)="⚠",INDEX(인턴근무계획!$M$3:$R$202,$A71,$G$3)&amp;"",LEFT(INDEX(인턴근무계획!$M$3:$R$202,$A71,$G$3)&amp;"",FIND(" ",INDEX(인턴근무계획!$M$3:$R$202,$A71,$G$3)&amp;"")-1))))</f>
        <v/>
      </c>
      <c r="H71" s="23">
        <f>IF(OR($C71="",$G$3=""),"",IF(INDEX(인턴근무계획!$M$3:$R$202,$A71,$G$3)&amp;""="","",IF(LEFT(INDEX(인턴근무계획!$M$3:$R$202,$A71,$G$3)&amp;"",1)="⚠","",MID(INDEX(인턴근무계획!$M$3:$R$202,$A71,$G$3)&amp;"",FIND(" ",INDEX(인턴근무계획!$M$3:$R$202,$A71,$G$3)&amp;"")+1,60))))</f>
        <v/>
      </c>
      <c r="I71" s="23">
        <f>IF(OR($C71="",$I$3=""),"",IF(INDEX(인턴근무계획!$M$3:$R$202,$A71,$I$3)&amp;""="","",IF(LEFT(INDEX(인턴근무계획!$M$3:$R$202,$A71,$I$3)&amp;"",1)="⚠",INDEX(인턴근무계획!$M$3:$R$202,$A71,$I$3)&amp;"",LEFT(INDEX(인턴근무계획!$M$3:$R$202,$A71,$I$3)&amp;"",FIND(" ",INDEX(인턴근무계획!$M$3:$R$202,$A71,$I$3)&amp;"")-1))))</f>
        <v/>
      </c>
      <c r="J71" s="23">
        <f>IF(OR($C71="",$I$3=""),"",IF(INDEX(인턴근무계획!$M$3:$R$202,$A71,$I$3)&amp;""="","",IF(LEFT(INDEX(인턴근무계획!$M$3:$R$202,$A71,$I$3)&amp;"",1)="⚠","",MID(INDEX(인턴근무계획!$M$3:$R$202,$A71,$I$3)&amp;"",FIND(" ",INDEX(인턴근무계획!$M$3:$R$202,$A71,$I$3)&amp;"")+1,60))))</f>
        <v/>
      </c>
      <c r="K71" s="23">
        <f>IF($C71="","",INDEX(인턴근무계획!$M$3:$M$202,$A71)&amp;"")</f>
        <v/>
      </c>
      <c r="L71" s="23">
        <f>IF($C71="","",INDEX(인턴근무계획!$N$3:$N$202,$A71)&amp;"")</f>
        <v/>
      </c>
      <c r="M71" s="23">
        <f>IF($C71="","",INDEX(인턴근무계획!$O$3:$O$202,$A71)&amp;"")</f>
        <v/>
      </c>
      <c r="N71" s="23">
        <f>IF($C71="","",INDEX(인턴근무계획!$P$3:$P$202,$A71)&amp;"")</f>
        <v/>
      </c>
      <c r="O71" s="23">
        <f>IF($C71="","",INDEX(인턴근무계획!$Q$3:$Q$202,$A71)&amp;"")</f>
        <v/>
      </c>
      <c r="P71" s="23">
        <f>IF($C71="","",INDEX(인턴근무계획!$R$3:$R$202,$A71)&amp;"")</f>
        <v/>
      </c>
      <c r="Q71" s="23">
        <f>IF($C71="","",INDEX(인턴근무계획!$T$3:$T$202,$A71))</f>
        <v/>
      </c>
    </row>
    <row r="72">
      <c r="A72" s="26" t="n">
        <v>67</v>
      </c>
      <c r="B72" s="23">
        <f>IF($C72="","",INDEX(인턴근무계획!$B$3:$B$202,$A72))</f>
        <v/>
      </c>
      <c r="C72" s="23">
        <f>IFERROR(TRIM(INDEX(인턴근무계획!$C$3:$C$202,$A72)&amp;""),"")</f>
        <v/>
      </c>
      <c r="D72" s="23">
        <f>IF($C72="","",INDEX(인턴근무계획!$D$3:$D$202,$A72))</f>
        <v/>
      </c>
      <c r="E72" s="23">
        <f>IF($C72="","",IF(IFERROR(MATCH($D72,기본자료!$B$2:$B$501,0),IFERROR(MATCH($D72&amp;"",기본자료!$B$2:$B$501,0),IFERROR(MATCH(VALUE($D72),기본자료!$B$2:$B$501,0),0)))&gt;0,"확인","미등록"))</f>
        <v/>
      </c>
      <c r="F72" s="27">
        <f>IF($C72="","",INDEX(인턴근무계획!$S$3:$S$202,$A72))</f>
        <v/>
      </c>
      <c r="G72" s="23">
        <f>IF(OR($C72="",$G$3=""),"",IF(INDEX(인턴근무계획!$M$3:$R$202,$A72,$G$3)&amp;""="","",IF(LEFT(INDEX(인턴근무계획!$M$3:$R$202,$A72,$G$3)&amp;"",1)="⚠",INDEX(인턴근무계획!$M$3:$R$202,$A72,$G$3)&amp;"",LEFT(INDEX(인턴근무계획!$M$3:$R$202,$A72,$G$3)&amp;"",FIND(" ",INDEX(인턴근무계획!$M$3:$R$202,$A72,$G$3)&amp;"")-1))))</f>
        <v/>
      </c>
      <c r="H72" s="23">
        <f>IF(OR($C72="",$G$3=""),"",IF(INDEX(인턴근무계획!$M$3:$R$202,$A72,$G$3)&amp;""="","",IF(LEFT(INDEX(인턴근무계획!$M$3:$R$202,$A72,$G$3)&amp;"",1)="⚠","",MID(INDEX(인턴근무계획!$M$3:$R$202,$A72,$G$3)&amp;"",FIND(" ",INDEX(인턴근무계획!$M$3:$R$202,$A72,$G$3)&amp;"")+1,60))))</f>
        <v/>
      </c>
      <c r="I72" s="23">
        <f>IF(OR($C72="",$I$3=""),"",IF(INDEX(인턴근무계획!$M$3:$R$202,$A72,$I$3)&amp;""="","",IF(LEFT(INDEX(인턴근무계획!$M$3:$R$202,$A72,$I$3)&amp;"",1)="⚠",INDEX(인턴근무계획!$M$3:$R$202,$A72,$I$3)&amp;"",LEFT(INDEX(인턴근무계획!$M$3:$R$202,$A72,$I$3)&amp;"",FIND(" ",INDEX(인턴근무계획!$M$3:$R$202,$A72,$I$3)&amp;"")-1))))</f>
        <v/>
      </c>
      <c r="J72" s="23">
        <f>IF(OR($C72="",$I$3=""),"",IF(INDEX(인턴근무계획!$M$3:$R$202,$A72,$I$3)&amp;""="","",IF(LEFT(INDEX(인턴근무계획!$M$3:$R$202,$A72,$I$3)&amp;"",1)="⚠","",MID(INDEX(인턴근무계획!$M$3:$R$202,$A72,$I$3)&amp;"",FIND(" ",INDEX(인턴근무계획!$M$3:$R$202,$A72,$I$3)&amp;"")+1,60))))</f>
        <v/>
      </c>
      <c r="K72" s="23">
        <f>IF($C72="","",INDEX(인턴근무계획!$M$3:$M$202,$A72)&amp;"")</f>
        <v/>
      </c>
      <c r="L72" s="23">
        <f>IF($C72="","",INDEX(인턴근무계획!$N$3:$N$202,$A72)&amp;"")</f>
        <v/>
      </c>
      <c r="M72" s="23">
        <f>IF($C72="","",INDEX(인턴근무계획!$O$3:$O$202,$A72)&amp;"")</f>
        <v/>
      </c>
      <c r="N72" s="23">
        <f>IF($C72="","",INDEX(인턴근무계획!$P$3:$P$202,$A72)&amp;"")</f>
        <v/>
      </c>
      <c r="O72" s="23">
        <f>IF($C72="","",INDEX(인턴근무계획!$Q$3:$Q$202,$A72)&amp;"")</f>
        <v/>
      </c>
      <c r="P72" s="23">
        <f>IF($C72="","",INDEX(인턴근무계획!$R$3:$R$202,$A72)&amp;"")</f>
        <v/>
      </c>
      <c r="Q72" s="23">
        <f>IF($C72="","",INDEX(인턴근무계획!$T$3:$T$202,$A72))</f>
        <v/>
      </c>
    </row>
    <row r="73">
      <c r="A73" s="26" t="n">
        <v>68</v>
      </c>
      <c r="B73" s="23">
        <f>IF($C73="","",INDEX(인턴근무계획!$B$3:$B$202,$A73))</f>
        <v/>
      </c>
      <c r="C73" s="23">
        <f>IFERROR(TRIM(INDEX(인턴근무계획!$C$3:$C$202,$A73)&amp;""),"")</f>
        <v/>
      </c>
      <c r="D73" s="23">
        <f>IF($C73="","",INDEX(인턴근무계획!$D$3:$D$202,$A73))</f>
        <v/>
      </c>
      <c r="E73" s="23">
        <f>IF($C73="","",IF(IFERROR(MATCH($D73,기본자료!$B$2:$B$501,0),IFERROR(MATCH($D73&amp;"",기본자료!$B$2:$B$501,0),IFERROR(MATCH(VALUE($D73),기본자료!$B$2:$B$501,0),0)))&gt;0,"확인","미등록"))</f>
        <v/>
      </c>
      <c r="F73" s="27">
        <f>IF($C73="","",INDEX(인턴근무계획!$S$3:$S$202,$A73))</f>
        <v/>
      </c>
      <c r="G73" s="23">
        <f>IF(OR($C73="",$G$3=""),"",IF(INDEX(인턴근무계획!$M$3:$R$202,$A73,$G$3)&amp;""="","",IF(LEFT(INDEX(인턴근무계획!$M$3:$R$202,$A73,$G$3)&amp;"",1)="⚠",INDEX(인턴근무계획!$M$3:$R$202,$A73,$G$3)&amp;"",LEFT(INDEX(인턴근무계획!$M$3:$R$202,$A73,$G$3)&amp;"",FIND(" ",INDEX(인턴근무계획!$M$3:$R$202,$A73,$G$3)&amp;"")-1))))</f>
        <v/>
      </c>
      <c r="H73" s="23">
        <f>IF(OR($C73="",$G$3=""),"",IF(INDEX(인턴근무계획!$M$3:$R$202,$A73,$G$3)&amp;""="","",IF(LEFT(INDEX(인턴근무계획!$M$3:$R$202,$A73,$G$3)&amp;"",1)="⚠","",MID(INDEX(인턴근무계획!$M$3:$R$202,$A73,$G$3)&amp;"",FIND(" ",INDEX(인턴근무계획!$M$3:$R$202,$A73,$G$3)&amp;"")+1,60))))</f>
        <v/>
      </c>
      <c r="I73" s="23">
        <f>IF(OR($C73="",$I$3=""),"",IF(INDEX(인턴근무계획!$M$3:$R$202,$A73,$I$3)&amp;""="","",IF(LEFT(INDEX(인턴근무계획!$M$3:$R$202,$A73,$I$3)&amp;"",1)="⚠",INDEX(인턴근무계획!$M$3:$R$202,$A73,$I$3)&amp;"",LEFT(INDEX(인턴근무계획!$M$3:$R$202,$A73,$I$3)&amp;"",FIND(" ",INDEX(인턴근무계획!$M$3:$R$202,$A73,$I$3)&amp;"")-1))))</f>
        <v/>
      </c>
      <c r="J73" s="23">
        <f>IF(OR($C73="",$I$3=""),"",IF(INDEX(인턴근무계획!$M$3:$R$202,$A73,$I$3)&amp;""="","",IF(LEFT(INDEX(인턴근무계획!$M$3:$R$202,$A73,$I$3)&amp;"",1)="⚠","",MID(INDEX(인턴근무계획!$M$3:$R$202,$A73,$I$3)&amp;"",FIND(" ",INDEX(인턴근무계획!$M$3:$R$202,$A73,$I$3)&amp;"")+1,60))))</f>
        <v/>
      </c>
      <c r="K73" s="23">
        <f>IF($C73="","",INDEX(인턴근무계획!$M$3:$M$202,$A73)&amp;"")</f>
        <v/>
      </c>
      <c r="L73" s="23">
        <f>IF($C73="","",INDEX(인턴근무계획!$N$3:$N$202,$A73)&amp;"")</f>
        <v/>
      </c>
      <c r="M73" s="23">
        <f>IF($C73="","",INDEX(인턴근무계획!$O$3:$O$202,$A73)&amp;"")</f>
        <v/>
      </c>
      <c r="N73" s="23">
        <f>IF($C73="","",INDEX(인턴근무계획!$P$3:$P$202,$A73)&amp;"")</f>
        <v/>
      </c>
      <c r="O73" s="23">
        <f>IF($C73="","",INDEX(인턴근무계획!$Q$3:$Q$202,$A73)&amp;"")</f>
        <v/>
      </c>
      <c r="P73" s="23">
        <f>IF($C73="","",INDEX(인턴근무계획!$R$3:$R$202,$A73)&amp;"")</f>
        <v/>
      </c>
      <c r="Q73" s="23">
        <f>IF($C73="","",INDEX(인턴근무계획!$T$3:$T$202,$A73))</f>
        <v/>
      </c>
    </row>
    <row r="74">
      <c r="A74" s="26" t="n">
        <v>69</v>
      </c>
      <c r="B74" s="23">
        <f>IF($C74="","",INDEX(인턴근무계획!$B$3:$B$202,$A74))</f>
        <v/>
      </c>
      <c r="C74" s="23">
        <f>IFERROR(TRIM(INDEX(인턴근무계획!$C$3:$C$202,$A74)&amp;""),"")</f>
        <v/>
      </c>
      <c r="D74" s="23">
        <f>IF($C74="","",INDEX(인턴근무계획!$D$3:$D$202,$A74))</f>
        <v/>
      </c>
      <c r="E74" s="23">
        <f>IF($C74="","",IF(IFERROR(MATCH($D74,기본자료!$B$2:$B$501,0),IFERROR(MATCH($D74&amp;"",기본자료!$B$2:$B$501,0),IFERROR(MATCH(VALUE($D74),기본자료!$B$2:$B$501,0),0)))&gt;0,"확인","미등록"))</f>
        <v/>
      </c>
      <c r="F74" s="27">
        <f>IF($C74="","",INDEX(인턴근무계획!$S$3:$S$202,$A74))</f>
        <v/>
      </c>
      <c r="G74" s="23">
        <f>IF(OR($C74="",$G$3=""),"",IF(INDEX(인턴근무계획!$M$3:$R$202,$A74,$G$3)&amp;""="","",IF(LEFT(INDEX(인턴근무계획!$M$3:$R$202,$A74,$G$3)&amp;"",1)="⚠",INDEX(인턴근무계획!$M$3:$R$202,$A74,$G$3)&amp;"",LEFT(INDEX(인턴근무계획!$M$3:$R$202,$A74,$G$3)&amp;"",FIND(" ",INDEX(인턴근무계획!$M$3:$R$202,$A74,$G$3)&amp;"")-1))))</f>
        <v/>
      </c>
      <c r="H74" s="23">
        <f>IF(OR($C74="",$G$3=""),"",IF(INDEX(인턴근무계획!$M$3:$R$202,$A74,$G$3)&amp;""="","",IF(LEFT(INDEX(인턴근무계획!$M$3:$R$202,$A74,$G$3)&amp;"",1)="⚠","",MID(INDEX(인턴근무계획!$M$3:$R$202,$A74,$G$3)&amp;"",FIND(" ",INDEX(인턴근무계획!$M$3:$R$202,$A74,$G$3)&amp;"")+1,60))))</f>
        <v/>
      </c>
      <c r="I74" s="23">
        <f>IF(OR($C74="",$I$3=""),"",IF(INDEX(인턴근무계획!$M$3:$R$202,$A74,$I$3)&amp;""="","",IF(LEFT(INDEX(인턴근무계획!$M$3:$R$202,$A74,$I$3)&amp;"",1)="⚠",INDEX(인턴근무계획!$M$3:$R$202,$A74,$I$3)&amp;"",LEFT(INDEX(인턴근무계획!$M$3:$R$202,$A74,$I$3)&amp;"",FIND(" ",INDEX(인턴근무계획!$M$3:$R$202,$A74,$I$3)&amp;"")-1))))</f>
        <v/>
      </c>
      <c r="J74" s="23">
        <f>IF(OR($C74="",$I$3=""),"",IF(INDEX(인턴근무계획!$M$3:$R$202,$A74,$I$3)&amp;""="","",IF(LEFT(INDEX(인턴근무계획!$M$3:$R$202,$A74,$I$3)&amp;"",1)="⚠","",MID(INDEX(인턴근무계획!$M$3:$R$202,$A74,$I$3)&amp;"",FIND(" ",INDEX(인턴근무계획!$M$3:$R$202,$A74,$I$3)&amp;"")+1,60))))</f>
        <v/>
      </c>
      <c r="K74" s="23">
        <f>IF($C74="","",INDEX(인턴근무계획!$M$3:$M$202,$A74)&amp;"")</f>
        <v/>
      </c>
      <c r="L74" s="23">
        <f>IF($C74="","",INDEX(인턴근무계획!$N$3:$N$202,$A74)&amp;"")</f>
        <v/>
      </c>
      <c r="M74" s="23">
        <f>IF($C74="","",INDEX(인턴근무계획!$O$3:$O$202,$A74)&amp;"")</f>
        <v/>
      </c>
      <c r="N74" s="23">
        <f>IF($C74="","",INDEX(인턴근무계획!$P$3:$P$202,$A74)&amp;"")</f>
        <v/>
      </c>
      <c r="O74" s="23">
        <f>IF($C74="","",INDEX(인턴근무계획!$Q$3:$Q$202,$A74)&amp;"")</f>
        <v/>
      </c>
      <c r="P74" s="23">
        <f>IF($C74="","",INDEX(인턴근무계획!$R$3:$R$202,$A74)&amp;"")</f>
        <v/>
      </c>
      <c r="Q74" s="23">
        <f>IF($C74="","",INDEX(인턴근무계획!$T$3:$T$202,$A74))</f>
        <v/>
      </c>
    </row>
    <row r="75">
      <c r="A75" s="26" t="n">
        <v>70</v>
      </c>
      <c r="B75" s="23">
        <f>IF($C75="","",INDEX(인턴근무계획!$B$3:$B$202,$A75))</f>
        <v/>
      </c>
      <c r="C75" s="23">
        <f>IFERROR(TRIM(INDEX(인턴근무계획!$C$3:$C$202,$A75)&amp;""),"")</f>
        <v/>
      </c>
      <c r="D75" s="23">
        <f>IF($C75="","",INDEX(인턴근무계획!$D$3:$D$202,$A75))</f>
        <v/>
      </c>
      <c r="E75" s="23">
        <f>IF($C75="","",IF(IFERROR(MATCH($D75,기본자료!$B$2:$B$501,0),IFERROR(MATCH($D75&amp;"",기본자료!$B$2:$B$501,0),IFERROR(MATCH(VALUE($D75),기본자료!$B$2:$B$501,0),0)))&gt;0,"확인","미등록"))</f>
        <v/>
      </c>
      <c r="F75" s="27">
        <f>IF($C75="","",INDEX(인턴근무계획!$S$3:$S$202,$A75))</f>
        <v/>
      </c>
      <c r="G75" s="23">
        <f>IF(OR($C75="",$G$3=""),"",IF(INDEX(인턴근무계획!$M$3:$R$202,$A75,$G$3)&amp;""="","",IF(LEFT(INDEX(인턴근무계획!$M$3:$R$202,$A75,$G$3)&amp;"",1)="⚠",INDEX(인턴근무계획!$M$3:$R$202,$A75,$G$3)&amp;"",LEFT(INDEX(인턴근무계획!$M$3:$R$202,$A75,$G$3)&amp;"",FIND(" ",INDEX(인턴근무계획!$M$3:$R$202,$A75,$G$3)&amp;"")-1))))</f>
        <v/>
      </c>
      <c r="H75" s="23">
        <f>IF(OR($C75="",$G$3=""),"",IF(INDEX(인턴근무계획!$M$3:$R$202,$A75,$G$3)&amp;""="","",IF(LEFT(INDEX(인턴근무계획!$M$3:$R$202,$A75,$G$3)&amp;"",1)="⚠","",MID(INDEX(인턴근무계획!$M$3:$R$202,$A75,$G$3)&amp;"",FIND(" ",INDEX(인턴근무계획!$M$3:$R$202,$A75,$G$3)&amp;"")+1,60))))</f>
        <v/>
      </c>
      <c r="I75" s="23">
        <f>IF(OR($C75="",$I$3=""),"",IF(INDEX(인턴근무계획!$M$3:$R$202,$A75,$I$3)&amp;""="","",IF(LEFT(INDEX(인턴근무계획!$M$3:$R$202,$A75,$I$3)&amp;"",1)="⚠",INDEX(인턴근무계획!$M$3:$R$202,$A75,$I$3)&amp;"",LEFT(INDEX(인턴근무계획!$M$3:$R$202,$A75,$I$3)&amp;"",FIND(" ",INDEX(인턴근무계획!$M$3:$R$202,$A75,$I$3)&amp;"")-1))))</f>
        <v/>
      </c>
      <c r="J75" s="23">
        <f>IF(OR($C75="",$I$3=""),"",IF(INDEX(인턴근무계획!$M$3:$R$202,$A75,$I$3)&amp;""="","",IF(LEFT(INDEX(인턴근무계획!$M$3:$R$202,$A75,$I$3)&amp;"",1)="⚠","",MID(INDEX(인턴근무계획!$M$3:$R$202,$A75,$I$3)&amp;"",FIND(" ",INDEX(인턴근무계획!$M$3:$R$202,$A75,$I$3)&amp;"")+1,60))))</f>
        <v/>
      </c>
      <c r="K75" s="23">
        <f>IF($C75="","",INDEX(인턴근무계획!$M$3:$M$202,$A75)&amp;"")</f>
        <v/>
      </c>
      <c r="L75" s="23">
        <f>IF($C75="","",INDEX(인턴근무계획!$N$3:$N$202,$A75)&amp;"")</f>
        <v/>
      </c>
      <c r="M75" s="23">
        <f>IF($C75="","",INDEX(인턴근무계획!$O$3:$O$202,$A75)&amp;"")</f>
        <v/>
      </c>
      <c r="N75" s="23">
        <f>IF($C75="","",INDEX(인턴근무계획!$P$3:$P$202,$A75)&amp;"")</f>
        <v/>
      </c>
      <c r="O75" s="23">
        <f>IF($C75="","",INDEX(인턴근무계획!$Q$3:$Q$202,$A75)&amp;"")</f>
        <v/>
      </c>
      <c r="P75" s="23">
        <f>IF($C75="","",INDEX(인턴근무계획!$R$3:$R$202,$A75)&amp;"")</f>
        <v/>
      </c>
      <c r="Q75" s="23">
        <f>IF($C75="","",INDEX(인턴근무계획!$T$3:$T$202,$A75))</f>
        <v/>
      </c>
    </row>
    <row r="76">
      <c r="A76" s="26" t="n">
        <v>71</v>
      </c>
      <c r="B76" s="23">
        <f>IF($C76="","",INDEX(인턴근무계획!$B$3:$B$202,$A76))</f>
        <v/>
      </c>
      <c r="C76" s="23">
        <f>IFERROR(TRIM(INDEX(인턴근무계획!$C$3:$C$202,$A76)&amp;""),"")</f>
        <v/>
      </c>
      <c r="D76" s="23">
        <f>IF($C76="","",INDEX(인턴근무계획!$D$3:$D$202,$A76))</f>
        <v/>
      </c>
      <c r="E76" s="23">
        <f>IF($C76="","",IF(IFERROR(MATCH($D76,기본자료!$B$2:$B$501,0),IFERROR(MATCH($D76&amp;"",기본자료!$B$2:$B$501,0),IFERROR(MATCH(VALUE($D76),기본자료!$B$2:$B$501,0),0)))&gt;0,"확인","미등록"))</f>
        <v/>
      </c>
      <c r="F76" s="27">
        <f>IF($C76="","",INDEX(인턴근무계획!$S$3:$S$202,$A76))</f>
        <v/>
      </c>
      <c r="G76" s="23">
        <f>IF(OR($C76="",$G$3=""),"",IF(INDEX(인턴근무계획!$M$3:$R$202,$A76,$G$3)&amp;""="","",IF(LEFT(INDEX(인턴근무계획!$M$3:$R$202,$A76,$G$3)&amp;"",1)="⚠",INDEX(인턴근무계획!$M$3:$R$202,$A76,$G$3)&amp;"",LEFT(INDEX(인턴근무계획!$M$3:$R$202,$A76,$G$3)&amp;"",FIND(" ",INDEX(인턴근무계획!$M$3:$R$202,$A76,$G$3)&amp;"")-1))))</f>
        <v/>
      </c>
      <c r="H76" s="23">
        <f>IF(OR($C76="",$G$3=""),"",IF(INDEX(인턴근무계획!$M$3:$R$202,$A76,$G$3)&amp;""="","",IF(LEFT(INDEX(인턴근무계획!$M$3:$R$202,$A76,$G$3)&amp;"",1)="⚠","",MID(INDEX(인턴근무계획!$M$3:$R$202,$A76,$G$3)&amp;"",FIND(" ",INDEX(인턴근무계획!$M$3:$R$202,$A76,$G$3)&amp;"")+1,60))))</f>
        <v/>
      </c>
      <c r="I76" s="23">
        <f>IF(OR($C76="",$I$3=""),"",IF(INDEX(인턴근무계획!$M$3:$R$202,$A76,$I$3)&amp;""="","",IF(LEFT(INDEX(인턴근무계획!$M$3:$R$202,$A76,$I$3)&amp;"",1)="⚠",INDEX(인턴근무계획!$M$3:$R$202,$A76,$I$3)&amp;"",LEFT(INDEX(인턴근무계획!$M$3:$R$202,$A76,$I$3)&amp;"",FIND(" ",INDEX(인턴근무계획!$M$3:$R$202,$A76,$I$3)&amp;"")-1))))</f>
        <v/>
      </c>
      <c r="J76" s="23">
        <f>IF(OR($C76="",$I$3=""),"",IF(INDEX(인턴근무계획!$M$3:$R$202,$A76,$I$3)&amp;""="","",IF(LEFT(INDEX(인턴근무계획!$M$3:$R$202,$A76,$I$3)&amp;"",1)="⚠","",MID(INDEX(인턴근무계획!$M$3:$R$202,$A76,$I$3)&amp;"",FIND(" ",INDEX(인턴근무계획!$M$3:$R$202,$A76,$I$3)&amp;"")+1,60))))</f>
        <v/>
      </c>
      <c r="K76" s="23">
        <f>IF($C76="","",INDEX(인턴근무계획!$M$3:$M$202,$A76)&amp;"")</f>
        <v/>
      </c>
      <c r="L76" s="23">
        <f>IF($C76="","",INDEX(인턴근무계획!$N$3:$N$202,$A76)&amp;"")</f>
        <v/>
      </c>
      <c r="M76" s="23">
        <f>IF($C76="","",INDEX(인턴근무계획!$O$3:$O$202,$A76)&amp;"")</f>
        <v/>
      </c>
      <c r="N76" s="23">
        <f>IF($C76="","",INDEX(인턴근무계획!$P$3:$P$202,$A76)&amp;"")</f>
        <v/>
      </c>
      <c r="O76" s="23">
        <f>IF($C76="","",INDEX(인턴근무계획!$Q$3:$Q$202,$A76)&amp;"")</f>
        <v/>
      </c>
      <c r="P76" s="23">
        <f>IF($C76="","",INDEX(인턴근무계획!$R$3:$R$202,$A76)&amp;"")</f>
        <v/>
      </c>
      <c r="Q76" s="23">
        <f>IF($C76="","",INDEX(인턴근무계획!$T$3:$T$202,$A76))</f>
        <v/>
      </c>
    </row>
    <row r="77">
      <c r="A77" s="26" t="n">
        <v>72</v>
      </c>
      <c r="B77" s="23">
        <f>IF($C77="","",INDEX(인턴근무계획!$B$3:$B$202,$A77))</f>
        <v/>
      </c>
      <c r="C77" s="23">
        <f>IFERROR(TRIM(INDEX(인턴근무계획!$C$3:$C$202,$A77)&amp;""),"")</f>
        <v/>
      </c>
      <c r="D77" s="23">
        <f>IF($C77="","",INDEX(인턴근무계획!$D$3:$D$202,$A77))</f>
        <v/>
      </c>
      <c r="E77" s="23">
        <f>IF($C77="","",IF(IFERROR(MATCH($D77,기본자료!$B$2:$B$501,0),IFERROR(MATCH($D77&amp;"",기본자료!$B$2:$B$501,0),IFERROR(MATCH(VALUE($D77),기본자료!$B$2:$B$501,0),0)))&gt;0,"확인","미등록"))</f>
        <v/>
      </c>
      <c r="F77" s="27">
        <f>IF($C77="","",INDEX(인턴근무계획!$S$3:$S$202,$A77))</f>
        <v/>
      </c>
      <c r="G77" s="23">
        <f>IF(OR($C77="",$G$3=""),"",IF(INDEX(인턴근무계획!$M$3:$R$202,$A77,$G$3)&amp;""="","",IF(LEFT(INDEX(인턴근무계획!$M$3:$R$202,$A77,$G$3)&amp;"",1)="⚠",INDEX(인턴근무계획!$M$3:$R$202,$A77,$G$3)&amp;"",LEFT(INDEX(인턴근무계획!$M$3:$R$202,$A77,$G$3)&amp;"",FIND(" ",INDEX(인턴근무계획!$M$3:$R$202,$A77,$G$3)&amp;"")-1))))</f>
        <v/>
      </c>
      <c r="H77" s="23">
        <f>IF(OR($C77="",$G$3=""),"",IF(INDEX(인턴근무계획!$M$3:$R$202,$A77,$G$3)&amp;""="","",IF(LEFT(INDEX(인턴근무계획!$M$3:$R$202,$A77,$G$3)&amp;"",1)="⚠","",MID(INDEX(인턴근무계획!$M$3:$R$202,$A77,$G$3)&amp;"",FIND(" ",INDEX(인턴근무계획!$M$3:$R$202,$A77,$G$3)&amp;"")+1,60))))</f>
        <v/>
      </c>
      <c r="I77" s="23">
        <f>IF(OR($C77="",$I$3=""),"",IF(INDEX(인턴근무계획!$M$3:$R$202,$A77,$I$3)&amp;""="","",IF(LEFT(INDEX(인턴근무계획!$M$3:$R$202,$A77,$I$3)&amp;"",1)="⚠",INDEX(인턴근무계획!$M$3:$R$202,$A77,$I$3)&amp;"",LEFT(INDEX(인턴근무계획!$M$3:$R$202,$A77,$I$3)&amp;"",FIND(" ",INDEX(인턴근무계획!$M$3:$R$202,$A77,$I$3)&amp;"")-1))))</f>
        <v/>
      </c>
      <c r="J77" s="23">
        <f>IF(OR($C77="",$I$3=""),"",IF(INDEX(인턴근무계획!$M$3:$R$202,$A77,$I$3)&amp;""="","",IF(LEFT(INDEX(인턴근무계획!$M$3:$R$202,$A77,$I$3)&amp;"",1)="⚠","",MID(INDEX(인턴근무계획!$M$3:$R$202,$A77,$I$3)&amp;"",FIND(" ",INDEX(인턴근무계획!$M$3:$R$202,$A77,$I$3)&amp;"")+1,60))))</f>
        <v/>
      </c>
      <c r="K77" s="23">
        <f>IF($C77="","",INDEX(인턴근무계획!$M$3:$M$202,$A77)&amp;"")</f>
        <v/>
      </c>
      <c r="L77" s="23">
        <f>IF($C77="","",INDEX(인턴근무계획!$N$3:$N$202,$A77)&amp;"")</f>
        <v/>
      </c>
      <c r="M77" s="23">
        <f>IF($C77="","",INDEX(인턴근무계획!$O$3:$O$202,$A77)&amp;"")</f>
        <v/>
      </c>
      <c r="N77" s="23">
        <f>IF($C77="","",INDEX(인턴근무계획!$P$3:$P$202,$A77)&amp;"")</f>
        <v/>
      </c>
      <c r="O77" s="23">
        <f>IF($C77="","",INDEX(인턴근무계획!$Q$3:$Q$202,$A77)&amp;"")</f>
        <v/>
      </c>
      <c r="P77" s="23">
        <f>IF($C77="","",INDEX(인턴근무계획!$R$3:$R$202,$A77)&amp;"")</f>
        <v/>
      </c>
      <c r="Q77" s="23">
        <f>IF($C77="","",INDEX(인턴근무계획!$T$3:$T$202,$A77))</f>
        <v/>
      </c>
    </row>
    <row r="78">
      <c r="A78" s="26" t="n">
        <v>73</v>
      </c>
      <c r="B78" s="23">
        <f>IF($C78="","",INDEX(인턴근무계획!$B$3:$B$202,$A78))</f>
        <v/>
      </c>
      <c r="C78" s="23">
        <f>IFERROR(TRIM(INDEX(인턴근무계획!$C$3:$C$202,$A78)&amp;""),"")</f>
        <v/>
      </c>
      <c r="D78" s="23">
        <f>IF($C78="","",INDEX(인턴근무계획!$D$3:$D$202,$A78))</f>
        <v/>
      </c>
      <c r="E78" s="23">
        <f>IF($C78="","",IF(IFERROR(MATCH($D78,기본자료!$B$2:$B$501,0),IFERROR(MATCH($D78&amp;"",기본자료!$B$2:$B$501,0),IFERROR(MATCH(VALUE($D78),기본자료!$B$2:$B$501,0),0)))&gt;0,"확인","미등록"))</f>
        <v/>
      </c>
      <c r="F78" s="27">
        <f>IF($C78="","",INDEX(인턴근무계획!$S$3:$S$202,$A78))</f>
        <v/>
      </c>
      <c r="G78" s="23">
        <f>IF(OR($C78="",$G$3=""),"",IF(INDEX(인턴근무계획!$M$3:$R$202,$A78,$G$3)&amp;""="","",IF(LEFT(INDEX(인턴근무계획!$M$3:$R$202,$A78,$G$3)&amp;"",1)="⚠",INDEX(인턴근무계획!$M$3:$R$202,$A78,$G$3)&amp;"",LEFT(INDEX(인턴근무계획!$M$3:$R$202,$A78,$G$3)&amp;"",FIND(" ",INDEX(인턴근무계획!$M$3:$R$202,$A78,$G$3)&amp;"")-1))))</f>
        <v/>
      </c>
      <c r="H78" s="23">
        <f>IF(OR($C78="",$G$3=""),"",IF(INDEX(인턴근무계획!$M$3:$R$202,$A78,$G$3)&amp;""="","",IF(LEFT(INDEX(인턴근무계획!$M$3:$R$202,$A78,$G$3)&amp;"",1)="⚠","",MID(INDEX(인턴근무계획!$M$3:$R$202,$A78,$G$3)&amp;"",FIND(" ",INDEX(인턴근무계획!$M$3:$R$202,$A78,$G$3)&amp;"")+1,60))))</f>
        <v/>
      </c>
      <c r="I78" s="23">
        <f>IF(OR($C78="",$I$3=""),"",IF(INDEX(인턴근무계획!$M$3:$R$202,$A78,$I$3)&amp;""="","",IF(LEFT(INDEX(인턴근무계획!$M$3:$R$202,$A78,$I$3)&amp;"",1)="⚠",INDEX(인턴근무계획!$M$3:$R$202,$A78,$I$3)&amp;"",LEFT(INDEX(인턴근무계획!$M$3:$R$202,$A78,$I$3)&amp;"",FIND(" ",INDEX(인턴근무계획!$M$3:$R$202,$A78,$I$3)&amp;"")-1))))</f>
        <v/>
      </c>
      <c r="J78" s="23">
        <f>IF(OR($C78="",$I$3=""),"",IF(INDEX(인턴근무계획!$M$3:$R$202,$A78,$I$3)&amp;""="","",IF(LEFT(INDEX(인턴근무계획!$M$3:$R$202,$A78,$I$3)&amp;"",1)="⚠","",MID(INDEX(인턴근무계획!$M$3:$R$202,$A78,$I$3)&amp;"",FIND(" ",INDEX(인턴근무계획!$M$3:$R$202,$A78,$I$3)&amp;"")+1,60))))</f>
        <v/>
      </c>
      <c r="K78" s="23">
        <f>IF($C78="","",INDEX(인턴근무계획!$M$3:$M$202,$A78)&amp;"")</f>
        <v/>
      </c>
      <c r="L78" s="23">
        <f>IF($C78="","",INDEX(인턴근무계획!$N$3:$N$202,$A78)&amp;"")</f>
        <v/>
      </c>
      <c r="M78" s="23">
        <f>IF($C78="","",INDEX(인턴근무계획!$O$3:$O$202,$A78)&amp;"")</f>
        <v/>
      </c>
      <c r="N78" s="23">
        <f>IF($C78="","",INDEX(인턴근무계획!$P$3:$P$202,$A78)&amp;"")</f>
        <v/>
      </c>
      <c r="O78" s="23">
        <f>IF($C78="","",INDEX(인턴근무계획!$Q$3:$Q$202,$A78)&amp;"")</f>
        <v/>
      </c>
      <c r="P78" s="23">
        <f>IF($C78="","",INDEX(인턴근무계획!$R$3:$R$202,$A78)&amp;"")</f>
        <v/>
      </c>
      <c r="Q78" s="23">
        <f>IF($C78="","",INDEX(인턴근무계획!$T$3:$T$202,$A78))</f>
        <v/>
      </c>
    </row>
    <row r="79">
      <c r="A79" s="26" t="n">
        <v>74</v>
      </c>
      <c r="B79" s="23">
        <f>IF($C79="","",INDEX(인턴근무계획!$B$3:$B$202,$A79))</f>
        <v/>
      </c>
      <c r="C79" s="23">
        <f>IFERROR(TRIM(INDEX(인턴근무계획!$C$3:$C$202,$A79)&amp;""),"")</f>
        <v/>
      </c>
      <c r="D79" s="23">
        <f>IF($C79="","",INDEX(인턴근무계획!$D$3:$D$202,$A79))</f>
        <v/>
      </c>
      <c r="E79" s="23">
        <f>IF($C79="","",IF(IFERROR(MATCH($D79,기본자료!$B$2:$B$501,0),IFERROR(MATCH($D79&amp;"",기본자료!$B$2:$B$501,0),IFERROR(MATCH(VALUE($D79),기본자료!$B$2:$B$501,0),0)))&gt;0,"확인","미등록"))</f>
        <v/>
      </c>
      <c r="F79" s="27">
        <f>IF($C79="","",INDEX(인턴근무계획!$S$3:$S$202,$A79))</f>
        <v/>
      </c>
      <c r="G79" s="23">
        <f>IF(OR($C79="",$G$3=""),"",IF(INDEX(인턴근무계획!$M$3:$R$202,$A79,$G$3)&amp;""="","",IF(LEFT(INDEX(인턴근무계획!$M$3:$R$202,$A79,$G$3)&amp;"",1)="⚠",INDEX(인턴근무계획!$M$3:$R$202,$A79,$G$3)&amp;"",LEFT(INDEX(인턴근무계획!$M$3:$R$202,$A79,$G$3)&amp;"",FIND(" ",INDEX(인턴근무계획!$M$3:$R$202,$A79,$G$3)&amp;"")-1))))</f>
        <v/>
      </c>
      <c r="H79" s="23">
        <f>IF(OR($C79="",$G$3=""),"",IF(INDEX(인턴근무계획!$M$3:$R$202,$A79,$G$3)&amp;""="","",IF(LEFT(INDEX(인턴근무계획!$M$3:$R$202,$A79,$G$3)&amp;"",1)="⚠","",MID(INDEX(인턴근무계획!$M$3:$R$202,$A79,$G$3)&amp;"",FIND(" ",INDEX(인턴근무계획!$M$3:$R$202,$A79,$G$3)&amp;"")+1,60))))</f>
        <v/>
      </c>
      <c r="I79" s="23">
        <f>IF(OR($C79="",$I$3=""),"",IF(INDEX(인턴근무계획!$M$3:$R$202,$A79,$I$3)&amp;""="","",IF(LEFT(INDEX(인턴근무계획!$M$3:$R$202,$A79,$I$3)&amp;"",1)="⚠",INDEX(인턴근무계획!$M$3:$R$202,$A79,$I$3)&amp;"",LEFT(INDEX(인턴근무계획!$M$3:$R$202,$A79,$I$3)&amp;"",FIND(" ",INDEX(인턴근무계획!$M$3:$R$202,$A79,$I$3)&amp;"")-1))))</f>
        <v/>
      </c>
      <c r="J79" s="23">
        <f>IF(OR($C79="",$I$3=""),"",IF(INDEX(인턴근무계획!$M$3:$R$202,$A79,$I$3)&amp;""="","",IF(LEFT(INDEX(인턴근무계획!$M$3:$R$202,$A79,$I$3)&amp;"",1)="⚠","",MID(INDEX(인턴근무계획!$M$3:$R$202,$A79,$I$3)&amp;"",FIND(" ",INDEX(인턴근무계획!$M$3:$R$202,$A79,$I$3)&amp;"")+1,60))))</f>
        <v/>
      </c>
      <c r="K79" s="23">
        <f>IF($C79="","",INDEX(인턴근무계획!$M$3:$M$202,$A79)&amp;"")</f>
        <v/>
      </c>
      <c r="L79" s="23">
        <f>IF($C79="","",INDEX(인턴근무계획!$N$3:$N$202,$A79)&amp;"")</f>
        <v/>
      </c>
      <c r="M79" s="23">
        <f>IF($C79="","",INDEX(인턴근무계획!$O$3:$O$202,$A79)&amp;"")</f>
        <v/>
      </c>
      <c r="N79" s="23">
        <f>IF($C79="","",INDEX(인턴근무계획!$P$3:$P$202,$A79)&amp;"")</f>
        <v/>
      </c>
      <c r="O79" s="23">
        <f>IF($C79="","",INDEX(인턴근무계획!$Q$3:$Q$202,$A79)&amp;"")</f>
        <v/>
      </c>
      <c r="P79" s="23">
        <f>IF($C79="","",INDEX(인턴근무계획!$R$3:$R$202,$A79)&amp;"")</f>
        <v/>
      </c>
      <c r="Q79" s="23">
        <f>IF($C79="","",INDEX(인턴근무계획!$T$3:$T$202,$A79))</f>
        <v/>
      </c>
    </row>
    <row r="80">
      <c r="A80" s="26" t="n">
        <v>75</v>
      </c>
      <c r="B80" s="23">
        <f>IF($C80="","",INDEX(인턴근무계획!$B$3:$B$202,$A80))</f>
        <v/>
      </c>
      <c r="C80" s="23">
        <f>IFERROR(TRIM(INDEX(인턴근무계획!$C$3:$C$202,$A80)&amp;""),"")</f>
        <v/>
      </c>
      <c r="D80" s="23">
        <f>IF($C80="","",INDEX(인턴근무계획!$D$3:$D$202,$A80))</f>
        <v/>
      </c>
      <c r="E80" s="23">
        <f>IF($C80="","",IF(IFERROR(MATCH($D80,기본자료!$B$2:$B$501,0),IFERROR(MATCH($D80&amp;"",기본자료!$B$2:$B$501,0),IFERROR(MATCH(VALUE($D80),기본자료!$B$2:$B$501,0),0)))&gt;0,"확인","미등록"))</f>
        <v/>
      </c>
      <c r="F80" s="27">
        <f>IF($C80="","",INDEX(인턴근무계획!$S$3:$S$202,$A80))</f>
        <v/>
      </c>
      <c r="G80" s="23">
        <f>IF(OR($C80="",$G$3=""),"",IF(INDEX(인턴근무계획!$M$3:$R$202,$A80,$G$3)&amp;""="","",IF(LEFT(INDEX(인턴근무계획!$M$3:$R$202,$A80,$G$3)&amp;"",1)="⚠",INDEX(인턴근무계획!$M$3:$R$202,$A80,$G$3)&amp;"",LEFT(INDEX(인턴근무계획!$M$3:$R$202,$A80,$G$3)&amp;"",FIND(" ",INDEX(인턴근무계획!$M$3:$R$202,$A80,$G$3)&amp;"")-1))))</f>
        <v/>
      </c>
      <c r="H80" s="23">
        <f>IF(OR($C80="",$G$3=""),"",IF(INDEX(인턴근무계획!$M$3:$R$202,$A80,$G$3)&amp;""="","",IF(LEFT(INDEX(인턴근무계획!$M$3:$R$202,$A80,$G$3)&amp;"",1)="⚠","",MID(INDEX(인턴근무계획!$M$3:$R$202,$A80,$G$3)&amp;"",FIND(" ",INDEX(인턴근무계획!$M$3:$R$202,$A80,$G$3)&amp;"")+1,60))))</f>
        <v/>
      </c>
      <c r="I80" s="23">
        <f>IF(OR($C80="",$I$3=""),"",IF(INDEX(인턴근무계획!$M$3:$R$202,$A80,$I$3)&amp;""="","",IF(LEFT(INDEX(인턴근무계획!$M$3:$R$202,$A80,$I$3)&amp;"",1)="⚠",INDEX(인턴근무계획!$M$3:$R$202,$A80,$I$3)&amp;"",LEFT(INDEX(인턴근무계획!$M$3:$R$202,$A80,$I$3)&amp;"",FIND(" ",INDEX(인턴근무계획!$M$3:$R$202,$A80,$I$3)&amp;"")-1))))</f>
        <v/>
      </c>
      <c r="J80" s="23">
        <f>IF(OR($C80="",$I$3=""),"",IF(INDEX(인턴근무계획!$M$3:$R$202,$A80,$I$3)&amp;""="","",IF(LEFT(INDEX(인턴근무계획!$M$3:$R$202,$A80,$I$3)&amp;"",1)="⚠","",MID(INDEX(인턴근무계획!$M$3:$R$202,$A80,$I$3)&amp;"",FIND(" ",INDEX(인턴근무계획!$M$3:$R$202,$A80,$I$3)&amp;"")+1,60))))</f>
        <v/>
      </c>
      <c r="K80" s="23">
        <f>IF($C80="","",INDEX(인턴근무계획!$M$3:$M$202,$A80)&amp;"")</f>
        <v/>
      </c>
      <c r="L80" s="23">
        <f>IF($C80="","",INDEX(인턴근무계획!$N$3:$N$202,$A80)&amp;"")</f>
        <v/>
      </c>
      <c r="M80" s="23">
        <f>IF($C80="","",INDEX(인턴근무계획!$O$3:$O$202,$A80)&amp;"")</f>
        <v/>
      </c>
      <c r="N80" s="23">
        <f>IF($C80="","",INDEX(인턴근무계획!$P$3:$P$202,$A80)&amp;"")</f>
        <v/>
      </c>
      <c r="O80" s="23">
        <f>IF($C80="","",INDEX(인턴근무계획!$Q$3:$Q$202,$A80)&amp;"")</f>
        <v/>
      </c>
      <c r="P80" s="23">
        <f>IF($C80="","",INDEX(인턴근무계획!$R$3:$R$202,$A80)&amp;"")</f>
        <v/>
      </c>
      <c r="Q80" s="23">
        <f>IF($C80="","",INDEX(인턴근무계획!$T$3:$T$202,$A80))</f>
        <v/>
      </c>
    </row>
    <row r="81">
      <c r="A81" s="26" t="n">
        <v>76</v>
      </c>
      <c r="B81" s="23">
        <f>IF($C81="","",INDEX(인턴근무계획!$B$3:$B$202,$A81))</f>
        <v/>
      </c>
      <c r="C81" s="23">
        <f>IFERROR(TRIM(INDEX(인턴근무계획!$C$3:$C$202,$A81)&amp;""),"")</f>
        <v/>
      </c>
      <c r="D81" s="23">
        <f>IF($C81="","",INDEX(인턴근무계획!$D$3:$D$202,$A81))</f>
        <v/>
      </c>
      <c r="E81" s="23">
        <f>IF($C81="","",IF(IFERROR(MATCH($D81,기본자료!$B$2:$B$501,0),IFERROR(MATCH($D81&amp;"",기본자료!$B$2:$B$501,0),IFERROR(MATCH(VALUE($D81),기본자료!$B$2:$B$501,0),0)))&gt;0,"확인","미등록"))</f>
        <v/>
      </c>
      <c r="F81" s="27">
        <f>IF($C81="","",INDEX(인턴근무계획!$S$3:$S$202,$A81))</f>
        <v/>
      </c>
      <c r="G81" s="23">
        <f>IF(OR($C81="",$G$3=""),"",IF(INDEX(인턴근무계획!$M$3:$R$202,$A81,$G$3)&amp;""="","",IF(LEFT(INDEX(인턴근무계획!$M$3:$R$202,$A81,$G$3)&amp;"",1)="⚠",INDEX(인턴근무계획!$M$3:$R$202,$A81,$G$3)&amp;"",LEFT(INDEX(인턴근무계획!$M$3:$R$202,$A81,$G$3)&amp;"",FIND(" ",INDEX(인턴근무계획!$M$3:$R$202,$A81,$G$3)&amp;"")-1))))</f>
        <v/>
      </c>
      <c r="H81" s="23">
        <f>IF(OR($C81="",$G$3=""),"",IF(INDEX(인턴근무계획!$M$3:$R$202,$A81,$G$3)&amp;""="","",IF(LEFT(INDEX(인턴근무계획!$M$3:$R$202,$A81,$G$3)&amp;"",1)="⚠","",MID(INDEX(인턴근무계획!$M$3:$R$202,$A81,$G$3)&amp;"",FIND(" ",INDEX(인턴근무계획!$M$3:$R$202,$A81,$G$3)&amp;"")+1,60))))</f>
        <v/>
      </c>
      <c r="I81" s="23">
        <f>IF(OR($C81="",$I$3=""),"",IF(INDEX(인턴근무계획!$M$3:$R$202,$A81,$I$3)&amp;""="","",IF(LEFT(INDEX(인턴근무계획!$M$3:$R$202,$A81,$I$3)&amp;"",1)="⚠",INDEX(인턴근무계획!$M$3:$R$202,$A81,$I$3)&amp;"",LEFT(INDEX(인턴근무계획!$M$3:$R$202,$A81,$I$3)&amp;"",FIND(" ",INDEX(인턴근무계획!$M$3:$R$202,$A81,$I$3)&amp;"")-1))))</f>
        <v/>
      </c>
      <c r="J81" s="23">
        <f>IF(OR($C81="",$I$3=""),"",IF(INDEX(인턴근무계획!$M$3:$R$202,$A81,$I$3)&amp;""="","",IF(LEFT(INDEX(인턴근무계획!$M$3:$R$202,$A81,$I$3)&amp;"",1)="⚠","",MID(INDEX(인턴근무계획!$M$3:$R$202,$A81,$I$3)&amp;"",FIND(" ",INDEX(인턴근무계획!$M$3:$R$202,$A81,$I$3)&amp;"")+1,60))))</f>
        <v/>
      </c>
      <c r="K81" s="23">
        <f>IF($C81="","",INDEX(인턴근무계획!$M$3:$M$202,$A81)&amp;"")</f>
        <v/>
      </c>
      <c r="L81" s="23">
        <f>IF($C81="","",INDEX(인턴근무계획!$N$3:$N$202,$A81)&amp;"")</f>
        <v/>
      </c>
      <c r="M81" s="23">
        <f>IF($C81="","",INDEX(인턴근무계획!$O$3:$O$202,$A81)&amp;"")</f>
        <v/>
      </c>
      <c r="N81" s="23">
        <f>IF($C81="","",INDEX(인턴근무계획!$P$3:$P$202,$A81)&amp;"")</f>
        <v/>
      </c>
      <c r="O81" s="23">
        <f>IF($C81="","",INDEX(인턴근무계획!$Q$3:$Q$202,$A81)&amp;"")</f>
        <v/>
      </c>
      <c r="P81" s="23">
        <f>IF($C81="","",INDEX(인턴근무계획!$R$3:$R$202,$A81)&amp;"")</f>
        <v/>
      </c>
      <c r="Q81" s="23">
        <f>IF($C81="","",INDEX(인턴근무계획!$T$3:$T$202,$A81))</f>
        <v/>
      </c>
    </row>
    <row r="82">
      <c r="A82" s="26" t="n">
        <v>77</v>
      </c>
      <c r="B82" s="23">
        <f>IF($C82="","",INDEX(인턴근무계획!$B$3:$B$202,$A82))</f>
        <v/>
      </c>
      <c r="C82" s="23">
        <f>IFERROR(TRIM(INDEX(인턴근무계획!$C$3:$C$202,$A82)&amp;""),"")</f>
        <v/>
      </c>
      <c r="D82" s="23">
        <f>IF($C82="","",INDEX(인턴근무계획!$D$3:$D$202,$A82))</f>
        <v/>
      </c>
      <c r="E82" s="23">
        <f>IF($C82="","",IF(IFERROR(MATCH($D82,기본자료!$B$2:$B$501,0),IFERROR(MATCH($D82&amp;"",기본자료!$B$2:$B$501,0),IFERROR(MATCH(VALUE($D82),기본자료!$B$2:$B$501,0),0)))&gt;0,"확인","미등록"))</f>
        <v/>
      </c>
      <c r="F82" s="27">
        <f>IF($C82="","",INDEX(인턴근무계획!$S$3:$S$202,$A82))</f>
        <v/>
      </c>
      <c r="G82" s="23">
        <f>IF(OR($C82="",$G$3=""),"",IF(INDEX(인턴근무계획!$M$3:$R$202,$A82,$G$3)&amp;""="","",IF(LEFT(INDEX(인턴근무계획!$M$3:$R$202,$A82,$G$3)&amp;"",1)="⚠",INDEX(인턴근무계획!$M$3:$R$202,$A82,$G$3)&amp;"",LEFT(INDEX(인턴근무계획!$M$3:$R$202,$A82,$G$3)&amp;"",FIND(" ",INDEX(인턴근무계획!$M$3:$R$202,$A82,$G$3)&amp;"")-1))))</f>
        <v/>
      </c>
      <c r="H82" s="23">
        <f>IF(OR($C82="",$G$3=""),"",IF(INDEX(인턴근무계획!$M$3:$R$202,$A82,$G$3)&amp;""="","",IF(LEFT(INDEX(인턴근무계획!$M$3:$R$202,$A82,$G$3)&amp;"",1)="⚠","",MID(INDEX(인턴근무계획!$M$3:$R$202,$A82,$G$3)&amp;"",FIND(" ",INDEX(인턴근무계획!$M$3:$R$202,$A82,$G$3)&amp;"")+1,60))))</f>
        <v/>
      </c>
      <c r="I82" s="23">
        <f>IF(OR($C82="",$I$3=""),"",IF(INDEX(인턴근무계획!$M$3:$R$202,$A82,$I$3)&amp;""="","",IF(LEFT(INDEX(인턴근무계획!$M$3:$R$202,$A82,$I$3)&amp;"",1)="⚠",INDEX(인턴근무계획!$M$3:$R$202,$A82,$I$3)&amp;"",LEFT(INDEX(인턴근무계획!$M$3:$R$202,$A82,$I$3)&amp;"",FIND(" ",INDEX(인턴근무계획!$M$3:$R$202,$A82,$I$3)&amp;"")-1))))</f>
        <v/>
      </c>
      <c r="J82" s="23">
        <f>IF(OR($C82="",$I$3=""),"",IF(INDEX(인턴근무계획!$M$3:$R$202,$A82,$I$3)&amp;""="","",IF(LEFT(INDEX(인턴근무계획!$M$3:$R$202,$A82,$I$3)&amp;"",1)="⚠","",MID(INDEX(인턴근무계획!$M$3:$R$202,$A82,$I$3)&amp;"",FIND(" ",INDEX(인턴근무계획!$M$3:$R$202,$A82,$I$3)&amp;"")+1,60))))</f>
        <v/>
      </c>
      <c r="K82" s="23">
        <f>IF($C82="","",INDEX(인턴근무계획!$M$3:$M$202,$A82)&amp;"")</f>
        <v/>
      </c>
      <c r="L82" s="23">
        <f>IF($C82="","",INDEX(인턴근무계획!$N$3:$N$202,$A82)&amp;"")</f>
        <v/>
      </c>
      <c r="M82" s="23">
        <f>IF($C82="","",INDEX(인턴근무계획!$O$3:$O$202,$A82)&amp;"")</f>
        <v/>
      </c>
      <c r="N82" s="23">
        <f>IF($C82="","",INDEX(인턴근무계획!$P$3:$P$202,$A82)&amp;"")</f>
        <v/>
      </c>
      <c r="O82" s="23">
        <f>IF($C82="","",INDEX(인턴근무계획!$Q$3:$Q$202,$A82)&amp;"")</f>
        <v/>
      </c>
      <c r="P82" s="23">
        <f>IF($C82="","",INDEX(인턴근무계획!$R$3:$R$202,$A82)&amp;"")</f>
        <v/>
      </c>
      <c r="Q82" s="23">
        <f>IF($C82="","",INDEX(인턴근무계획!$T$3:$T$202,$A82))</f>
        <v/>
      </c>
    </row>
    <row r="83">
      <c r="A83" s="26" t="n">
        <v>78</v>
      </c>
      <c r="B83" s="23">
        <f>IF($C83="","",INDEX(인턴근무계획!$B$3:$B$202,$A83))</f>
        <v/>
      </c>
      <c r="C83" s="23">
        <f>IFERROR(TRIM(INDEX(인턴근무계획!$C$3:$C$202,$A83)&amp;""),"")</f>
        <v/>
      </c>
      <c r="D83" s="23">
        <f>IF($C83="","",INDEX(인턴근무계획!$D$3:$D$202,$A83))</f>
        <v/>
      </c>
      <c r="E83" s="23">
        <f>IF($C83="","",IF(IFERROR(MATCH($D83,기본자료!$B$2:$B$501,0),IFERROR(MATCH($D83&amp;"",기본자료!$B$2:$B$501,0),IFERROR(MATCH(VALUE($D83),기본자료!$B$2:$B$501,0),0)))&gt;0,"확인","미등록"))</f>
        <v/>
      </c>
      <c r="F83" s="27">
        <f>IF($C83="","",INDEX(인턴근무계획!$S$3:$S$202,$A83))</f>
        <v/>
      </c>
      <c r="G83" s="23">
        <f>IF(OR($C83="",$G$3=""),"",IF(INDEX(인턴근무계획!$M$3:$R$202,$A83,$G$3)&amp;""="","",IF(LEFT(INDEX(인턴근무계획!$M$3:$R$202,$A83,$G$3)&amp;"",1)="⚠",INDEX(인턴근무계획!$M$3:$R$202,$A83,$G$3)&amp;"",LEFT(INDEX(인턴근무계획!$M$3:$R$202,$A83,$G$3)&amp;"",FIND(" ",INDEX(인턴근무계획!$M$3:$R$202,$A83,$G$3)&amp;"")-1))))</f>
        <v/>
      </c>
      <c r="H83" s="23">
        <f>IF(OR($C83="",$G$3=""),"",IF(INDEX(인턴근무계획!$M$3:$R$202,$A83,$G$3)&amp;""="","",IF(LEFT(INDEX(인턴근무계획!$M$3:$R$202,$A83,$G$3)&amp;"",1)="⚠","",MID(INDEX(인턴근무계획!$M$3:$R$202,$A83,$G$3)&amp;"",FIND(" ",INDEX(인턴근무계획!$M$3:$R$202,$A83,$G$3)&amp;"")+1,60))))</f>
        <v/>
      </c>
      <c r="I83" s="23">
        <f>IF(OR($C83="",$I$3=""),"",IF(INDEX(인턴근무계획!$M$3:$R$202,$A83,$I$3)&amp;""="","",IF(LEFT(INDEX(인턴근무계획!$M$3:$R$202,$A83,$I$3)&amp;"",1)="⚠",INDEX(인턴근무계획!$M$3:$R$202,$A83,$I$3)&amp;"",LEFT(INDEX(인턴근무계획!$M$3:$R$202,$A83,$I$3)&amp;"",FIND(" ",INDEX(인턴근무계획!$M$3:$R$202,$A83,$I$3)&amp;"")-1))))</f>
        <v/>
      </c>
      <c r="J83" s="23">
        <f>IF(OR($C83="",$I$3=""),"",IF(INDEX(인턴근무계획!$M$3:$R$202,$A83,$I$3)&amp;""="","",IF(LEFT(INDEX(인턴근무계획!$M$3:$R$202,$A83,$I$3)&amp;"",1)="⚠","",MID(INDEX(인턴근무계획!$M$3:$R$202,$A83,$I$3)&amp;"",FIND(" ",INDEX(인턴근무계획!$M$3:$R$202,$A83,$I$3)&amp;"")+1,60))))</f>
        <v/>
      </c>
      <c r="K83" s="23">
        <f>IF($C83="","",INDEX(인턴근무계획!$M$3:$M$202,$A83)&amp;"")</f>
        <v/>
      </c>
      <c r="L83" s="23">
        <f>IF($C83="","",INDEX(인턴근무계획!$N$3:$N$202,$A83)&amp;"")</f>
        <v/>
      </c>
      <c r="M83" s="23">
        <f>IF($C83="","",INDEX(인턴근무계획!$O$3:$O$202,$A83)&amp;"")</f>
        <v/>
      </c>
      <c r="N83" s="23">
        <f>IF($C83="","",INDEX(인턴근무계획!$P$3:$P$202,$A83)&amp;"")</f>
        <v/>
      </c>
      <c r="O83" s="23">
        <f>IF($C83="","",INDEX(인턴근무계획!$Q$3:$Q$202,$A83)&amp;"")</f>
        <v/>
      </c>
      <c r="P83" s="23">
        <f>IF($C83="","",INDEX(인턴근무계획!$R$3:$R$202,$A83)&amp;"")</f>
        <v/>
      </c>
      <c r="Q83" s="23">
        <f>IF($C83="","",INDEX(인턴근무계획!$T$3:$T$202,$A83))</f>
        <v/>
      </c>
    </row>
    <row r="84">
      <c r="A84" s="26" t="n">
        <v>79</v>
      </c>
      <c r="B84" s="23">
        <f>IF($C84="","",INDEX(인턴근무계획!$B$3:$B$202,$A84))</f>
        <v/>
      </c>
      <c r="C84" s="23">
        <f>IFERROR(TRIM(INDEX(인턴근무계획!$C$3:$C$202,$A84)&amp;""),"")</f>
        <v/>
      </c>
      <c r="D84" s="23">
        <f>IF($C84="","",INDEX(인턴근무계획!$D$3:$D$202,$A84))</f>
        <v/>
      </c>
      <c r="E84" s="23">
        <f>IF($C84="","",IF(IFERROR(MATCH($D84,기본자료!$B$2:$B$501,0),IFERROR(MATCH($D84&amp;"",기본자료!$B$2:$B$501,0),IFERROR(MATCH(VALUE($D84),기본자료!$B$2:$B$501,0),0)))&gt;0,"확인","미등록"))</f>
        <v/>
      </c>
      <c r="F84" s="27">
        <f>IF($C84="","",INDEX(인턴근무계획!$S$3:$S$202,$A84))</f>
        <v/>
      </c>
      <c r="G84" s="23">
        <f>IF(OR($C84="",$G$3=""),"",IF(INDEX(인턴근무계획!$M$3:$R$202,$A84,$G$3)&amp;""="","",IF(LEFT(INDEX(인턴근무계획!$M$3:$R$202,$A84,$G$3)&amp;"",1)="⚠",INDEX(인턴근무계획!$M$3:$R$202,$A84,$G$3)&amp;"",LEFT(INDEX(인턴근무계획!$M$3:$R$202,$A84,$G$3)&amp;"",FIND(" ",INDEX(인턴근무계획!$M$3:$R$202,$A84,$G$3)&amp;"")-1))))</f>
        <v/>
      </c>
      <c r="H84" s="23">
        <f>IF(OR($C84="",$G$3=""),"",IF(INDEX(인턴근무계획!$M$3:$R$202,$A84,$G$3)&amp;""="","",IF(LEFT(INDEX(인턴근무계획!$M$3:$R$202,$A84,$G$3)&amp;"",1)="⚠","",MID(INDEX(인턴근무계획!$M$3:$R$202,$A84,$G$3)&amp;"",FIND(" ",INDEX(인턴근무계획!$M$3:$R$202,$A84,$G$3)&amp;"")+1,60))))</f>
        <v/>
      </c>
      <c r="I84" s="23">
        <f>IF(OR($C84="",$I$3=""),"",IF(INDEX(인턴근무계획!$M$3:$R$202,$A84,$I$3)&amp;""="","",IF(LEFT(INDEX(인턴근무계획!$M$3:$R$202,$A84,$I$3)&amp;"",1)="⚠",INDEX(인턴근무계획!$M$3:$R$202,$A84,$I$3)&amp;"",LEFT(INDEX(인턴근무계획!$M$3:$R$202,$A84,$I$3)&amp;"",FIND(" ",INDEX(인턴근무계획!$M$3:$R$202,$A84,$I$3)&amp;"")-1))))</f>
        <v/>
      </c>
      <c r="J84" s="23">
        <f>IF(OR($C84="",$I$3=""),"",IF(INDEX(인턴근무계획!$M$3:$R$202,$A84,$I$3)&amp;""="","",IF(LEFT(INDEX(인턴근무계획!$M$3:$R$202,$A84,$I$3)&amp;"",1)="⚠","",MID(INDEX(인턴근무계획!$M$3:$R$202,$A84,$I$3)&amp;"",FIND(" ",INDEX(인턴근무계획!$M$3:$R$202,$A84,$I$3)&amp;"")+1,60))))</f>
        <v/>
      </c>
      <c r="K84" s="23">
        <f>IF($C84="","",INDEX(인턴근무계획!$M$3:$M$202,$A84)&amp;"")</f>
        <v/>
      </c>
      <c r="L84" s="23">
        <f>IF($C84="","",INDEX(인턴근무계획!$N$3:$N$202,$A84)&amp;"")</f>
        <v/>
      </c>
      <c r="M84" s="23">
        <f>IF($C84="","",INDEX(인턴근무계획!$O$3:$O$202,$A84)&amp;"")</f>
        <v/>
      </c>
      <c r="N84" s="23">
        <f>IF($C84="","",INDEX(인턴근무계획!$P$3:$P$202,$A84)&amp;"")</f>
        <v/>
      </c>
      <c r="O84" s="23">
        <f>IF($C84="","",INDEX(인턴근무계획!$Q$3:$Q$202,$A84)&amp;"")</f>
        <v/>
      </c>
      <c r="P84" s="23">
        <f>IF($C84="","",INDEX(인턴근무계획!$R$3:$R$202,$A84)&amp;"")</f>
        <v/>
      </c>
      <c r="Q84" s="23">
        <f>IF($C84="","",INDEX(인턴근무계획!$T$3:$T$202,$A84))</f>
        <v/>
      </c>
    </row>
    <row r="85">
      <c r="A85" s="26" t="n">
        <v>80</v>
      </c>
      <c r="B85" s="23">
        <f>IF($C85="","",INDEX(인턴근무계획!$B$3:$B$202,$A85))</f>
        <v/>
      </c>
      <c r="C85" s="23">
        <f>IFERROR(TRIM(INDEX(인턴근무계획!$C$3:$C$202,$A85)&amp;""),"")</f>
        <v/>
      </c>
      <c r="D85" s="23">
        <f>IF($C85="","",INDEX(인턴근무계획!$D$3:$D$202,$A85))</f>
        <v/>
      </c>
      <c r="E85" s="23">
        <f>IF($C85="","",IF(IFERROR(MATCH($D85,기본자료!$B$2:$B$501,0),IFERROR(MATCH($D85&amp;"",기본자료!$B$2:$B$501,0),IFERROR(MATCH(VALUE($D85),기본자료!$B$2:$B$501,0),0)))&gt;0,"확인","미등록"))</f>
        <v/>
      </c>
      <c r="F85" s="27">
        <f>IF($C85="","",INDEX(인턴근무계획!$S$3:$S$202,$A85))</f>
        <v/>
      </c>
      <c r="G85" s="23">
        <f>IF(OR($C85="",$G$3=""),"",IF(INDEX(인턴근무계획!$M$3:$R$202,$A85,$G$3)&amp;""="","",IF(LEFT(INDEX(인턴근무계획!$M$3:$R$202,$A85,$G$3)&amp;"",1)="⚠",INDEX(인턴근무계획!$M$3:$R$202,$A85,$G$3)&amp;"",LEFT(INDEX(인턴근무계획!$M$3:$R$202,$A85,$G$3)&amp;"",FIND(" ",INDEX(인턴근무계획!$M$3:$R$202,$A85,$G$3)&amp;"")-1))))</f>
        <v/>
      </c>
      <c r="H85" s="23">
        <f>IF(OR($C85="",$G$3=""),"",IF(INDEX(인턴근무계획!$M$3:$R$202,$A85,$G$3)&amp;""="","",IF(LEFT(INDEX(인턴근무계획!$M$3:$R$202,$A85,$G$3)&amp;"",1)="⚠","",MID(INDEX(인턴근무계획!$M$3:$R$202,$A85,$G$3)&amp;"",FIND(" ",INDEX(인턴근무계획!$M$3:$R$202,$A85,$G$3)&amp;"")+1,60))))</f>
        <v/>
      </c>
      <c r="I85" s="23">
        <f>IF(OR($C85="",$I$3=""),"",IF(INDEX(인턴근무계획!$M$3:$R$202,$A85,$I$3)&amp;""="","",IF(LEFT(INDEX(인턴근무계획!$M$3:$R$202,$A85,$I$3)&amp;"",1)="⚠",INDEX(인턴근무계획!$M$3:$R$202,$A85,$I$3)&amp;"",LEFT(INDEX(인턴근무계획!$M$3:$R$202,$A85,$I$3)&amp;"",FIND(" ",INDEX(인턴근무계획!$M$3:$R$202,$A85,$I$3)&amp;"")-1))))</f>
        <v/>
      </c>
      <c r="J85" s="23">
        <f>IF(OR($C85="",$I$3=""),"",IF(INDEX(인턴근무계획!$M$3:$R$202,$A85,$I$3)&amp;""="","",IF(LEFT(INDEX(인턴근무계획!$M$3:$R$202,$A85,$I$3)&amp;"",1)="⚠","",MID(INDEX(인턴근무계획!$M$3:$R$202,$A85,$I$3)&amp;"",FIND(" ",INDEX(인턴근무계획!$M$3:$R$202,$A85,$I$3)&amp;"")+1,60))))</f>
        <v/>
      </c>
      <c r="K85" s="23">
        <f>IF($C85="","",INDEX(인턴근무계획!$M$3:$M$202,$A85)&amp;"")</f>
        <v/>
      </c>
      <c r="L85" s="23">
        <f>IF($C85="","",INDEX(인턴근무계획!$N$3:$N$202,$A85)&amp;"")</f>
        <v/>
      </c>
      <c r="M85" s="23">
        <f>IF($C85="","",INDEX(인턴근무계획!$O$3:$O$202,$A85)&amp;"")</f>
        <v/>
      </c>
      <c r="N85" s="23">
        <f>IF($C85="","",INDEX(인턴근무계획!$P$3:$P$202,$A85)&amp;"")</f>
        <v/>
      </c>
      <c r="O85" s="23">
        <f>IF($C85="","",INDEX(인턴근무계획!$Q$3:$Q$202,$A85)&amp;"")</f>
        <v/>
      </c>
      <c r="P85" s="23">
        <f>IF($C85="","",INDEX(인턴근무계획!$R$3:$R$202,$A85)&amp;"")</f>
        <v/>
      </c>
      <c r="Q85" s="23">
        <f>IF($C85="","",INDEX(인턴근무계획!$T$3:$T$202,$A85))</f>
        <v/>
      </c>
    </row>
    <row r="86">
      <c r="A86" s="26" t="n">
        <v>81</v>
      </c>
      <c r="B86" s="23">
        <f>IF($C86="","",INDEX(인턴근무계획!$B$3:$B$202,$A86))</f>
        <v/>
      </c>
      <c r="C86" s="23">
        <f>IFERROR(TRIM(INDEX(인턴근무계획!$C$3:$C$202,$A86)&amp;""),"")</f>
        <v/>
      </c>
      <c r="D86" s="23">
        <f>IF($C86="","",INDEX(인턴근무계획!$D$3:$D$202,$A86))</f>
        <v/>
      </c>
      <c r="E86" s="23">
        <f>IF($C86="","",IF(IFERROR(MATCH($D86,기본자료!$B$2:$B$501,0),IFERROR(MATCH($D86&amp;"",기본자료!$B$2:$B$501,0),IFERROR(MATCH(VALUE($D86),기본자료!$B$2:$B$501,0),0)))&gt;0,"확인","미등록"))</f>
        <v/>
      </c>
      <c r="F86" s="27">
        <f>IF($C86="","",INDEX(인턴근무계획!$S$3:$S$202,$A86))</f>
        <v/>
      </c>
      <c r="G86" s="23">
        <f>IF(OR($C86="",$G$3=""),"",IF(INDEX(인턴근무계획!$M$3:$R$202,$A86,$G$3)&amp;""="","",IF(LEFT(INDEX(인턴근무계획!$M$3:$R$202,$A86,$G$3)&amp;"",1)="⚠",INDEX(인턴근무계획!$M$3:$R$202,$A86,$G$3)&amp;"",LEFT(INDEX(인턴근무계획!$M$3:$R$202,$A86,$G$3)&amp;"",FIND(" ",INDEX(인턴근무계획!$M$3:$R$202,$A86,$G$3)&amp;"")-1))))</f>
        <v/>
      </c>
      <c r="H86" s="23">
        <f>IF(OR($C86="",$G$3=""),"",IF(INDEX(인턴근무계획!$M$3:$R$202,$A86,$G$3)&amp;""="","",IF(LEFT(INDEX(인턴근무계획!$M$3:$R$202,$A86,$G$3)&amp;"",1)="⚠","",MID(INDEX(인턴근무계획!$M$3:$R$202,$A86,$G$3)&amp;"",FIND(" ",INDEX(인턴근무계획!$M$3:$R$202,$A86,$G$3)&amp;"")+1,60))))</f>
        <v/>
      </c>
      <c r="I86" s="23">
        <f>IF(OR($C86="",$I$3=""),"",IF(INDEX(인턴근무계획!$M$3:$R$202,$A86,$I$3)&amp;""="","",IF(LEFT(INDEX(인턴근무계획!$M$3:$R$202,$A86,$I$3)&amp;"",1)="⚠",INDEX(인턴근무계획!$M$3:$R$202,$A86,$I$3)&amp;"",LEFT(INDEX(인턴근무계획!$M$3:$R$202,$A86,$I$3)&amp;"",FIND(" ",INDEX(인턴근무계획!$M$3:$R$202,$A86,$I$3)&amp;"")-1))))</f>
        <v/>
      </c>
      <c r="J86" s="23">
        <f>IF(OR($C86="",$I$3=""),"",IF(INDEX(인턴근무계획!$M$3:$R$202,$A86,$I$3)&amp;""="","",IF(LEFT(INDEX(인턴근무계획!$M$3:$R$202,$A86,$I$3)&amp;"",1)="⚠","",MID(INDEX(인턴근무계획!$M$3:$R$202,$A86,$I$3)&amp;"",FIND(" ",INDEX(인턴근무계획!$M$3:$R$202,$A86,$I$3)&amp;"")+1,60))))</f>
        <v/>
      </c>
      <c r="K86" s="23">
        <f>IF($C86="","",INDEX(인턴근무계획!$M$3:$M$202,$A86)&amp;"")</f>
        <v/>
      </c>
      <c r="L86" s="23">
        <f>IF($C86="","",INDEX(인턴근무계획!$N$3:$N$202,$A86)&amp;"")</f>
        <v/>
      </c>
      <c r="M86" s="23">
        <f>IF($C86="","",INDEX(인턴근무계획!$O$3:$O$202,$A86)&amp;"")</f>
        <v/>
      </c>
      <c r="N86" s="23">
        <f>IF($C86="","",INDEX(인턴근무계획!$P$3:$P$202,$A86)&amp;"")</f>
        <v/>
      </c>
      <c r="O86" s="23">
        <f>IF($C86="","",INDEX(인턴근무계획!$Q$3:$Q$202,$A86)&amp;"")</f>
        <v/>
      </c>
      <c r="P86" s="23">
        <f>IF($C86="","",INDEX(인턴근무계획!$R$3:$R$202,$A86)&amp;"")</f>
        <v/>
      </c>
      <c r="Q86" s="23">
        <f>IF($C86="","",INDEX(인턴근무계획!$T$3:$T$202,$A86))</f>
        <v/>
      </c>
    </row>
    <row r="87">
      <c r="A87" s="26" t="n">
        <v>82</v>
      </c>
      <c r="B87" s="23">
        <f>IF($C87="","",INDEX(인턴근무계획!$B$3:$B$202,$A87))</f>
        <v/>
      </c>
      <c r="C87" s="23">
        <f>IFERROR(TRIM(INDEX(인턴근무계획!$C$3:$C$202,$A87)&amp;""),"")</f>
        <v/>
      </c>
      <c r="D87" s="23">
        <f>IF($C87="","",INDEX(인턴근무계획!$D$3:$D$202,$A87))</f>
        <v/>
      </c>
      <c r="E87" s="23">
        <f>IF($C87="","",IF(IFERROR(MATCH($D87,기본자료!$B$2:$B$501,0),IFERROR(MATCH($D87&amp;"",기본자료!$B$2:$B$501,0),IFERROR(MATCH(VALUE($D87),기본자료!$B$2:$B$501,0),0)))&gt;0,"확인","미등록"))</f>
        <v/>
      </c>
      <c r="F87" s="27">
        <f>IF($C87="","",INDEX(인턴근무계획!$S$3:$S$202,$A87))</f>
        <v/>
      </c>
      <c r="G87" s="23">
        <f>IF(OR($C87="",$G$3=""),"",IF(INDEX(인턴근무계획!$M$3:$R$202,$A87,$G$3)&amp;""="","",IF(LEFT(INDEX(인턴근무계획!$M$3:$R$202,$A87,$G$3)&amp;"",1)="⚠",INDEX(인턴근무계획!$M$3:$R$202,$A87,$G$3)&amp;"",LEFT(INDEX(인턴근무계획!$M$3:$R$202,$A87,$G$3)&amp;"",FIND(" ",INDEX(인턴근무계획!$M$3:$R$202,$A87,$G$3)&amp;"")-1))))</f>
        <v/>
      </c>
      <c r="H87" s="23">
        <f>IF(OR($C87="",$G$3=""),"",IF(INDEX(인턴근무계획!$M$3:$R$202,$A87,$G$3)&amp;""="","",IF(LEFT(INDEX(인턴근무계획!$M$3:$R$202,$A87,$G$3)&amp;"",1)="⚠","",MID(INDEX(인턴근무계획!$M$3:$R$202,$A87,$G$3)&amp;"",FIND(" ",INDEX(인턴근무계획!$M$3:$R$202,$A87,$G$3)&amp;"")+1,60))))</f>
        <v/>
      </c>
      <c r="I87" s="23">
        <f>IF(OR($C87="",$I$3=""),"",IF(INDEX(인턴근무계획!$M$3:$R$202,$A87,$I$3)&amp;""="","",IF(LEFT(INDEX(인턴근무계획!$M$3:$R$202,$A87,$I$3)&amp;"",1)="⚠",INDEX(인턴근무계획!$M$3:$R$202,$A87,$I$3)&amp;"",LEFT(INDEX(인턴근무계획!$M$3:$R$202,$A87,$I$3)&amp;"",FIND(" ",INDEX(인턴근무계획!$M$3:$R$202,$A87,$I$3)&amp;"")-1))))</f>
        <v/>
      </c>
      <c r="J87" s="23">
        <f>IF(OR($C87="",$I$3=""),"",IF(INDEX(인턴근무계획!$M$3:$R$202,$A87,$I$3)&amp;""="","",IF(LEFT(INDEX(인턴근무계획!$M$3:$R$202,$A87,$I$3)&amp;"",1)="⚠","",MID(INDEX(인턴근무계획!$M$3:$R$202,$A87,$I$3)&amp;"",FIND(" ",INDEX(인턴근무계획!$M$3:$R$202,$A87,$I$3)&amp;"")+1,60))))</f>
        <v/>
      </c>
      <c r="K87" s="23">
        <f>IF($C87="","",INDEX(인턴근무계획!$M$3:$M$202,$A87)&amp;"")</f>
        <v/>
      </c>
      <c r="L87" s="23">
        <f>IF($C87="","",INDEX(인턴근무계획!$N$3:$N$202,$A87)&amp;"")</f>
        <v/>
      </c>
      <c r="M87" s="23">
        <f>IF($C87="","",INDEX(인턴근무계획!$O$3:$O$202,$A87)&amp;"")</f>
        <v/>
      </c>
      <c r="N87" s="23">
        <f>IF($C87="","",INDEX(인턴근무계획!$P$3:$P$202,$A87)&amp;"")</f>
        <v/>
      </c>
      <c r="O87" s="23">
        <f>IF($C87="","",INDEX(인턴근무계획!$Q$3:$Q$202,$A87)&amp;"")</f>
        <v/>
      </c>
      <c r="P87" s="23">
        <f>IF($C87="","",INDEX(인턴근무계획!$R$3:$R$202,$A87)&amp;"")</f>
        <v/>
      </c>
      <c r="Q87" s="23">
        <f>IF($C87="","",INDEX(인턴근무계획!$T$3:$T$202,$A87))</f>
        <v/>
      </c>
    </row>
    <row r="88">
      <c r="A88" s="26" t="n">
        <v>83</v>
      </c>
      <c r="B88" s="23">
        <f>IF($C88="","",INDEX(인턴근무계획!$B$3:$B$202,$A88))</f>
        <v/>
      </c>
      <c r="C88" s="23">
        <f>IFERROR(TRIM(INDEX(인턴근무계획!$C$3:$C$202,$A88)&amp;""),"")</f>
        <v/>
      </c>
      <c r="D88" s="23">
        <f>IF($C88="","",INDEX(인턴근무계획!$D$3:$D$202,$A88))</f>
        <v/>
      </c>
      <c r="E88" s="23">
        <f>IF($C88="","",IF(IFERROR(MATCH($D88,기본자료!$B$2:$B$501,0),IFERROR(MATCH($D88&amp;"",기본자료!$B$2:$B$501,0),IFERROR(MATCH(VALUE($D88),기본자료!$B$2:$B$501,0),0)))&gt;0,"확인","미등록"))</f>
        <v/>
      </c>
      <c r="F88" s="27">
        <f>IF($C88="","",INDEX(인턴근무계획!$S$3:$S$202,$A88))</f>
        <v/>
      </c>
      <c r="G88" s="23">
        <f>IF(OR($C88="",$G$3=""),"",IF(INDEX(인턴근무계획!$M$3:$R$202,$A88,$G$3)&amp;""="","",IF(LEFT(INDEX(인턴근무계획!$M$3:$R$202,$A88,$G$3)&amp;"",1)="⚠",INDEX(인턴근무계획!$M$3:$R$202,$A88,$G$3)&amp;"",LEFT(INDEX(인턴근무계획!$M$3:$R$202,$A88,$G$3)&amp;"",FIND(" ",INDEX(인턴근무계획!$M$3:$R$202,$A88,$G$3)&amp;"")-1))))</f>
        <v/>
      </c>
      <c r="H88" s="23">
        <f>IF(OR($C88="",$G$3=""),"",IF(INDEX(인턴근무계획!$M$3:$R$202,$A88,$G$3)&amp;""="","",IF(LEFT(INDEX(인턴근무계획!$M$3:$R$202,$A88,$G$3)&amp;"",1)="⚠","",MID(INDEX(인턴근무계획!$M$3:$R$202,$A88,$G$3)&amp;"",FIND(" ",INDEX(인턴근무계획!$M$3:$R$202,$A88,$G$3)&amp;"")+1,60))))</f>
        <v/>
      </c>
      <c r="I88" s="23">
        <f>IF(OR($C88="",$I$3=""),"",IF(INDEX(인턴근무계획!$M$3:$R$202,$A88,$I$3)&amp;""="","",IF(LEFT(INDEX(인턴근무계획!$M$3:$R$202,$A88,$I$3)&amp;"",1)="⚠",INDEX(인턴근무계획!$M$3:$R$202,$A88,$I$3)&amp;"",LEFT(INDEX(인턴근무계획!$M$3:$R$202,$A88,$I$3)&amp;"",FIND(" ",INDEX(인턴근무계획!$M$3:$R$202,$A88,$I$3)&amp;"")-1))))</f>
        <v/>
      </c>
      <c r="J88" s="23">
        <f>IF(OR($C88="",$I$3=""),"",IF(INDEX(인턴근무계획!$M$3:$R$202,$A88,$I$3)&amp;""="","",IF(LEFT(INDEX(인턴근무계획!$M$3:$R$202,$A88,$I$3)&amp;"",1)="⚠","",MID(INDEX(인턴근무계획!$M$3:$R$202,$A88,$I$3)&amp;"",FIND(" ",INDEX(인턴근무계획!$M$3:$R$202,$A88,$I$3)&amp;"")+1,60))))</f>
        <v/>
      </c>
      <c r="K88" s="23">
        <f>IF($C88="","",INDEX(인턴근무계획!$M$3:$M$202,$A88)&amp;"")</f>
        <v/>
      </c>
      <c r="L88" s="23">
        <f>IF($C88="","",INDEX(인턴근무계획!$N$3:$N$202,$A88)&amp;"")</f>
        <v/>
      </c>
      <c r="M88" s="23">
        <f>IF($C88="","",INDEX(인턴근무계획!$O$3:$O$202,$A88)&amp;"")</f>
        <v/>
      </c>
      <c r="N88" s="23">
        <f>IF($C88="","",INDEX(인턴근무계획!$P$3:$P$202,$A88)&amp;"")</f>
        <v/>
      </c>
      <c r="O88" s="23">
        <f>IF($C88="","",INDEX(인턴근무계획!$Q$3:$Q$202,$A88)&amp;"")</f>
        <v/>
      </c>
      <c r="P88" s="23">
        <f>IF($C88="","",INDEX(인턴근무계획!$R$3:$R$202,$A88)&amp;"")</f>
        <v/>
      </c>
      <c r="Q88" s="23">
        <f>IF($C88="","",INDEX(인턴근무계획!$T$3:$T$202,$A88))</f>
        <v/>
      </c>
    </row>
    <row r="89">
      <c r="A89" s="26" t="n">
        <v>84</v>
      </c>
      <c r="B89" s="23">
        <f>IF($C89="","",INDEX(인턴근무계획!$B$3:$B$202,$A89))</f>
        <v/>
      </c>
      <c r="C89" s="23">
        <f>IFERROR(TRIM(INDEX(인턴근무계획!$C$3:$C$202,$A89)&amp;""),"")</f>
        <v/>
      </c>
      <c r="D89" s="23">
        <f>IF($C89="","",INDEX(인턴근무계획!$D$3:$D$202,$A89))</f>
        <v/>
      </c>
      <c r="E89" s="23">
        <f>IF($C89="","",IF(IFERROR(MATCH($D89,기본자료!$B$2:$B$501,0),IFERROR(MATCH($D89&amp;"",기본자료!$B$2:$B$501,0),IFERROR(MATCH(VALUE($D89),기본자료!$B$2:$B$501,0),0)))&gt;0,"확인","미등록"))</f>
        <v/>
      </c>
      <c r="F89" s="27">
        <f>IF($C89="","",INDEX(인턴근무계획!$S$3:$S$202,$A89))</f>
        <v/>
      </c>
      <c r="G89" s="23">
        <f>IF(OR($C89="",$G$3=""),"",IF(INDEX(인턴근무계획!$M$3:$R$202,$A89,$G$3)&amp;""="","",IF(LEFT(INDEX(인턴근무계획!$M$3:$R$202,$A89,$G$3)&amp;"",1)="⚠",INDEX(인턴근무계획!$M$3:$R$202,$A89,$G$3)&amp;"",LEFT(INDEX(인턴근무계획!$M$3:$R$202,$A89,$G$3)&amp;"",FIND(" ",INDEX(인턴근무계획!$M$3:$R$202,$A89,$G$3)&amp;"")-1))))</f>
        <v/>
      </c>
      <c r="H89" s="23">
        <f>IF(OR($C89="",$G$3=""),"",IF(INDEX(인턴근무계획!$M$3:$R$202,$A89,$G$3)&amp;""="","",IF(LEFT(INDEX(인턴근무계획!$M$3:$R$202,$A89,$G$3)&amp;"",1)="⚠","",MID(INDEX(인턴근무계획!$M$3:$R$202,$A89,$G$3)&amp;"",FIND(" ",INDEX(인턴근무계획!$M$3:$R$202,$A89,$G$3)&amp;"")+1,60))))</f>
        <v/>
      </c>
      <c r="I89" s="23">
        <f>IF(OR($C89="",$I$3=""),"",IF(INDEX(인턴근무계획!$M$3:$R$202,$A89,$I$3)&amp;""="","",IF(LEFT(INDEX(인턴근무계획!$M$3:$R$202,$A89,$I$3)&amp;"",1)="⚠",INDEX(인턴근무계획!$M$3:$R$202,$A89,$I$3)&amp;"",LEFT(INDEX(인턴근무계획!$M$3:$R$202,$A89,$I$3)&amp;"",FIND(" ",INDEX(인턴근무계획!$M$3:$R$202,$A89,$I$3)&amp;"")-1))))</f>
        <v/>
      </c>
      <c r="J89" s="23">
        <f>IF(OR($C89="",$I$3=""),"",IF(INDEX(인턴근무계획!$M$3:$R$202,$A89,$I$3)&amp;""="","",IF(LEFT(INDEX(인턴근무계획!$M$3:$R$202,$A89,$I$3)&amp;"",1)="⚠","",MID(INDEX(인턴근무계획!$M$3:$R$202,$A89,$I$3)&amp;"",FIND(" ",INDEX(인턴근무계획!$M$3:$R$202,$A89,$I$3)&amp;"")+1,60))))</f>
        <v/>
      </c>
      <c r="K89" s="23">
        <f>IF($C89="","",INDEX(인턴근무계획!$M$3:$M$202,$A89)&amp;"")</f>
        <v/>
      </c>
      <c r="L89" s="23">
        <f>IF($C89="","",INDEX(인턴근무계획!$N$3:$N$202,$A89)&amp;"")</f>
        <v/>
      </c>
      <c r="M89" s="23">
        <f>IF($C89="","",INDEX(인턴근무계획!$O$3:$O$202,$A89)&amp;"")</f>
        <v/>
      </c>
      <c r="N89" s="23">
        <f>IF($C89="","",INDEX(인턴근무계획!$P$3:$P$202,$A89)&amp;"")</f>
        <v/>
      </c>
      <c r="O89" s="23">
        <f>IF($C89="","",INDEX(인턴근무계획!$Q$3:$Q$202,$A89)&amp;"")</f>
        <v/>
      </c>
      <c r="P89" s="23">
        <f>IF($C89="","",INDEX(인턴근무계획!$R$3:$R$202,$A89)&amp;"")</f>
        <v/>
      </c>
      <c r="Q89" s="23">
        <f>IF($C89="","",INDEX(인턴근무계획!$T$3:$T$202,$A89))</f>
        <v/>
      </c>
    </row>
    <row r="90">
      <c r="A90" s="26" t="n">
        <v>85</v>
      </c>
      <c r="B90" s="23">
        <f>IF($C90="","",INDEX(인턴근무계획!$B$3:$B$202,$A90))</f>
        <v/>
      </c>
      <c r="C90" s="23">
        <f>IFERROR(TRIM(INDEX(인턴근무계획!$C$3:$C$202,$A90)&amp;""),"")</f>
        <v/>
      </c>
      <c r="D90" s="23">
        <f>IF($C90="","",INDEX(인턴근무계획!$D$3:$D$202,$A90))</f>
        <v/>
      </c>
      <c r="E90" s="23">
        <f>IF($C90="","",IF(IFERROR(MATCH($D90,기본자료!$B$2:$B$501,0),IFERROR(MATCH($D90&amp;"",기본자료!$B$2:$B$501,0),IFERROR(MATCH(VALUE($D90),기본자료!$B$2:$B$501,0),0)))&gt;0,"확인","미등록"))</f>
        <v/>
      </c>
      <c r="F90" s="27">
        <f>IF($C90="","",INDEX(인턴근무계획!$S$3:$S$202,$A90))</f>
        <v/>
      </c>
      <c r="G90" s="23">
        <f>IF(OR($C90="",$G$3=""),"",IF(INDEX(인턴근무계획!$M$3:$R$202,$A90,$G$3)&amp;""="","",IF(LEFT(INDEX(인턴근무계획!$M$3:$R$202,$A90,$G$3)&amp;"",1)="⚠",INDEX(인턴근무계획!$M$3:$R$202,$A90,$G$3)&amp;"",LEFT(INDEX(인턴근무계획!$M$3:$R$202,$A90,$G$3)&amp;"",FIND(" ",INDEX(인턴근무계획!$M$3:$R$202,$A90,$G$3)&amp;"")-1))))</f>
        <v/>
      </c>
      <c r="H90" s="23">
        <f>IF(OR($C90="",$G$3=""),"",IF(INDEX(인턴근무계획!$M$3:$R$202,$A90,$G$3)&amp;""="","",IF(LEFT(INDEX(인턴근무계획!$M$3:$R$202,$A90,$G$3)&amp;"",1)="⚠","",MID(INDEX(인턴근무계획!$M$3:$R$202,$A90,$G$3)&amp;"",FIND(" ",INDEX(인턴근무계획!$M$3:$R$202,$A90,$G$3)&amp;"")+1,60))))</f>
        <v/>
      </c>
      <c r="I90" s="23">
        <f>IF(OR($C90="",$I$3=""),"",IF(INDEX(인턴근무계획!$M$3:$R$202,$A90,$I$3)&amp;""="","",IF(LEFT(INDEX(인턴근무계획!$M$3:$R$202,$A90,$I$3)&amp;"",1)="⚠",INDEX(인턴근무계획!$M$3:$R$202,$A90,$I$3)&amp;"",LEFT(INDEX(인턴근무계획!$M$3:$R$202,$A90,$I$3)&amp;"",FIND(" ",INDEX(인턴근무계획!$M$3:$R$202,$A90,$I$3)&amp;"")-1))))</f>
        <v/>
      </c>
      <c r="J90" s="23">
        <f>IF(OR($C90="",$I$3=""),"",IF(INDEX(인턴근무계획!$M$3:$R$202,$A90,$I$3)&amp;""="","",IF(LEFT(INDEX(인턴근무계획!$M$3:$R$202,$A90,$I$3)&amp;"",1)="⚠","",MID(INDEX(인턴근무계획!$M$3:$R$202,$A90,$I$3)&amp;"",FIND(" ",INDEX(인턴근무계획!$M$3:$R$202,$A90,$I$3)&amp;"")+1,60))))</f>
        <v/>
      </c>
      <c r="K90" s="23">
        <f>IF($C90="","",INDEX(인턴근무계획!$M$3:$M$202,$A90)&amp;"")</f>
        <v/>
      </c>
      <c r="L90" s="23">
        <f>IF($C90="","",INDEX(인턴근무계획!$N$3:$N$202,$A90)&amp;"")</f>
        <v/>
      </c>
      <c r="M90" s="23">
        <f>IF($C90="","",INDEX(인턴근무계획!$O$3:$O$202,$A90)&amp;"")</f>
        <v/>
      </c>
      <c r="N90" s="23">
        <f>IF($C90="","",INDEX(인턴근무계획!$P$3:$P$202,$A90)&amp;"")</f>
        <v/>
      </c>
      <c r="O90" s="23">
        <f>IF($C90="","",INDEX(인턴근무계획!$Q$3:$Q$202,$A90)&amp;"")</f>
        <v/>
      </c>
      <c r="P90" s="23">
        <f>IF($C90="","",INDEX(인턴근무계획!$R$3:$R$202,$A90)&amp;"")</f>
        <v/>
      </c>
      <c r="Q90" s="23">
        <f>IF($C90="","",INDEX(인턴근무계획!$T$3:$T$202,$A90))</f>
        <v/>
      </c>
    </row>
    <row r="91">
      <c r="A91" s="26" t="n">
        <v>86</v>
      </c>
      <c r="B91" s="23">
        <f>IF($C91="","",INDEX(인턴근무계획!$B$3:$B$202,$A91))</f>
        <v/>
      </c>
      <c r="C91" s="23">
        <f>IFERROR(TRIM(INDEX(인턴근무계획!$C$3:$C$202,$A91)&amp;""),"")</f>
        <v/>
      </c>
      <c r="D91" s="23">
        <f>IF($C91="","",INDEX(인턴근무계획!$D$3:$D$202,$A91))</f>
        <v/>
      </c>
      <c r="E91" s="23">
        <f>IF($C91="","",IF(IFERROR(MATCH($D91,기본자료!$B$2:$B$501,0),IFERROR(MATCH($D91&amp;"",기본자료!$B$2:$B$501,0),IFERROR(MATCH(VALUE($D91),기본자료!$B$2:$B$501,0),0)))&gt;0,"확인","미등록"))</f>
        <v/>
      </c>
      <c r="F91" s="27">
        <f>IF($C91="","",INDEX(인턴근무계획!$S$3:$S$202,$A91))</f>
        <v/>
      </c>
      <c r="G91" s="23">
        <f>IF(OR($C91="",$G$3=""),"",IF(INDEX(인턴근무계획!$M$3:$R$202,$A91,$G$3)&amp;""="","",IF(LEFT(INDEX(인턴근무계획!$M$3:$R$202,$A91,$G$3)&amp;"",1)="⚠",INDEX(인턴근무계획!$M$3:$R$202,$A91,$G$3)&amp;"",LEFT(INDEX(인턴근무계획!$M$3:$R$202,$A91,$G$3)&amp;"",FIND(" ",INDEX(인턴근무계획!$M$3:$R$202,$A91,$G$3)&amp;"")-1))))</f>
        <v/>
      </c>
      <c r="H91" s="23">
        <f>IF(OR($C91="",$G$3=""),"",IF(INDEX(인턴근무계획!$M$3:$R$202,$A91,$G$3)&amp;""="","",IF(LEFT(INDEX(인턴근무계획!$M$3:$R$202,$A91,$G$3)&amp;"",1)="⚠","",MID(INDEX(인턴근무계획!$M$3:$R$202,$A91,$G$3)&amp;"",FIND(" ",INDEX(인턴근무계획!$M$3:$R$202,$A91,$G$3)&amp;"")+1,60))))</f>
        <v/>
      </c>
      <c r="I91" s="23">
        <f>IF(OR($C91="",$I$3=""),"",IF(INDEX(인턴근무계획!$M$3:$R$202,$A91,$I$3)&amp;""="","",IF(LEFT(INDEX(인턴근무계획!$M$3:$R$202,$A91,$I$3)&amp;"",1)="⚠",INDEX(인턴근무계획!$M$3:$R$202,$A91,$I$3)&amp;"",LEFT(INDEX(인턴근무계획!$M$3:$R$202,$A91,$I$3)&amp;"",FIND(" ",INDEX(인턴근무계획!$M$3:$R$202,$A91,$I$3)&amp;"")-1))))</f>
        <v/>
      </c>
      <c r="J91" s="23">
        <f>IF(OR($C91="",$I$3=""),"",IF(INDEX(인턴근무계획!$M$3:$R$202,$A91,$I$3)&amp;""="","",IF(LEFT(INDEX(인턴근무계획!$M$3:$R$202,$A91,$I$3)&amp;"",1)="⚠","",MID(INDEX(인턴근무계획!$M$3:$R$202,$A91,$I$3)&amp;"",FIND(" ",INDEX(인턴근무계획!$M$3:$R$202,$A91,$I$3)&amp;"")+1,60))))</f>
        <v/>
      </c>
      <c r="K91" s="23">
        <f>IF($C91="","",INDEX(인턴근무계획!$M$3:$M$202,$A91)&amp;"")</f>
        <v/>
      </c>
      <c r="L91" s="23">
        <f>IF($C91="","",INDEX(인턴근무계획!$N$3:$N$202,$A91)&amp;"")</f>
        <v/>
      </c>
      <c r="M91" s="23">
        <f>IF($C91="","",INDEX(인턴근무계획!$O$3:$O$202,$A91)&amp;"")</f>
        <v/>
      </c>
      <c r="N91" s="23">
        <f>IF($C91="","",INDEX(인턴근무계획!$P$3:$P$202,$A91)&amp;"")</f>
        <v/>
      </c>
      <c r="O91" s="23">
        <f>IF($C91="","",INDEX(인턴근무계획!$Q$3:$Q$202,$A91)&amp;"")</f>
        <v/>
      </c>
      <c r="P91" s="23">
        <f>IF($C91="","",INDEX(인턴근무계획!$R$3:$R$202,$A91)&amp;"")</f>
        <v/>
      </c>
      <c r="Q91" s="23">
        <f>IF($C91="","",INDEX(인턴근무계획!$T$3:$T$202,$A91))</f>
        <v/>
      </c>
    </row>
    <row r="92">
      <c r="A92" s="26" t="n">
        <v>87</v>
      </c>
      <c r="B92" s="23">
        <f>IF($C92="","",INDEX(인턴근무계획!$B$3:$B$202,$A92))</f>
        <v/>
      </c>
      <c r="C92" s="23">
        <f>IFERROR(TRIM(INDEX(인턴근무계획!$C$3:$C$202,$A92)&amp;""),"")</f>
        <v/>
      </c>
      <c r="D92" s="23">
        <f>IF($C92="","",INDEX(인턴근무계획!$D$3:$D$202,$A92))</f>
        <v/>
      </c>
      <c r="E92" s="23">
        <f>IF($C92="","",IF(IFERROR(MATCH($D92,기본자료!$B$2:$B$501,0),IFERROR(MATCH($D92&amp;"",기본자료!$B$2:$B$501,0),IFERROR(MATCH(VALUE($D92),기본자료!$B$2:$B$501,0),0)))&gt;0,"확인","미등록"))</f>
        <v/>
      </c>
      <c r="F92" s="27">
        <f>IF($C92="","",INDEX(인턴근무계획!$S$3:$S$202,$A92))</f>
        <v/>
      </c>
      <c r="G92" s="23">
        <f>IF(OR($C92="",$G$3=""),"",IF(INDEX(인턴근무계획!$M$3:$R$202,$A92,$G$3)&amp;""="","",IF(LEFT(INDEX(인턴근무계획!$M$3:$R$202,$A92,$G$3)&amp;"",1)="⚠",INDEX(인턴근무계획!$M$3:$R$202,$A92,$G$3)&amp;"",LEFT(INDEX(인턴근무계획!$M$3:$R$202,$A92,$G$3)&amp;"",FIND(" ",INDEX(인턴근무계획!$M$3:$R$202,$A92,$G$3)&amp;"")-1))))</f>
        <v/>
      </c>
      <c r="H92" s="23">
        <f>IF(OR($C92="",$G$3=""),"",IF(INDEX(인턴근무계획!$M$3:$R$202,$A92,$G$3)&amp;""="","",IF(LEFT(INDEX(인턴근무계획!$M$3:$R$202,$A92,$G$3)&amp;"",1)="⚠","",MID(INDEX(인턴근무계획!$M$3:$R$202,$A92,$G$3)&amp;"",FIND(" ",INDEX(인턴근무계획!$M$3:$R$202,$A92,$G$3)&amp;"")+1,60))))</f>
        <v/>
      </c>
      <c r="I92" s="23">
        <f>IF(OR($C92="",$I$3=""),"",IF(INDEX(인턴근무계획!$M$3:$R$202,$A92,$I$3)&amp;""="","",IF(LEFT(INDEX(인턴근무계획!$M$3:$R$202,$A92,$I$3)&amp;"",1)="⚠",INDEX(인턴근무계획!$M$3:$R$202,$A92,$I$3)&amp;"",LEFT(INDEX(인턴근무계획!$M$3:$R$202,$A92,$I$3)&amp;"",FIND(" ",INDEX(인턴근무계획!$M$3:$R$202,$A92,$I$3)&amp;"")-1))))</f>
        <v/>
      </c>
      <c r="J92" s="23">
        <f>IF(OR($C92="",$I$3=""),"",IF(INDEX(인턴근무계획!$M$3:$R$202,$A92,$I$3)&amp;""="","",IF(LEFT(INDEX(인턴근무계획!$M$3:$R$202,$A92,$I$3)&amp;"",1)="⚠","",MID(INDEX(인턴근무계획!$M$3:$R$202,$A92,$I$3)&amp;"",FIND(" ",INDEX(인턴근무계획!$M$3:$R$202,$A92,$I$3)&amp;"")+1,60))))</f>
        <v/>
      </c>
      <c r="K92" s="23">
        <f>IF($C92="","",INDEX(인턴근무계획!$M$3:$M$202,$A92)&amp;"")</f>
        <v/>
      </c>
      <c r="L92" s="23">
        <f>IF($C92="","",INDEX(인턴근무계획!$N$3:$N$202,$A92)&amp;"")</f>
        <v/>
      </c>
      <c r="M92" s="23">
        <f>IF($C92="","",INDEX(인턴근무계획!$O$3:$O$202,$A92)&amp;"")</f>
        <v/>
      </c>
      <c r="N92" s="23">
        <f>IF($C92="","",INDEX(인턴근무계획!$P$3:$P$202,$A92)&amp;"")</f>
        <v/>
      </c>
      <c r="O92" s="23">
        <f>IF($C92="","",INDEX(인턴근무계획!$Q$3:$Q$202,$A92)&amp;"")</f>
        <v/>
      </c>
      <c r="P92" s="23">
        <f>IF($C92="","",INDEX(인턴근무계획!$R$3:$R$202,$A92)&amp;"")</f>
        <v/>
      </c>
      <c r="Q92" s="23">
        <f>IF($C92="","",INDEX(인턴근무계획!$T$3:$T$202,$A92))</f>
        <v/>
      </c>
    </row>
    <row r="93">
      <c r="A93" s="26" t="n">
        <v>88</v>
      </c>
      <c r="B93" s="23">
        <f>IF($C93="","",INDEX(인턴근무계획!$B$3:$B$202,$A93))</f>
        <v/>
      </c>
      <c r="C93" s="23">
        <f>IFERROR(TRIM(INDEX(인턴근무계획!$C$3:$C$202,$A93)&amp;""),"")</f>
        <v/>
      </c>
      <c r="D93" s="23">
        <f>IF($C93="","",INDEX(인턴근무계획!$D$3:$D$202,$A93))</f>
        <v/>
      </c>
      <c r="E93" s="23">
        <f>IF($C93="","",IF(IFERROR(MATCH($D93,기본자료!$B$2:$B$501,0),IFERROR(MATCH($D93&amp;"",기본자료!$B$2:$B$501,0),IFERROR(MATCH(VALUE($D93),기본자료!$B$2:$B$501,0),0)))&gt;0,"확인","미등록"))</f>
        <v/>
      </c>
      <c r="F93" s="27">
        <f>IF($C93="","",INDEX(인턴근무계획!$S$3:$S$202,$A93))</f>
        <v/>
      </c>
      <c r="G93" s="23">
        <f>IF(OR($C93="",$G$3=""),"",IF(INDEX(인턴근무계획!$M$3:$R$202,$A93,$G$3)&amp;""="","",IF(LEFT(INDEX(인턴근무계획!$M$3:$R$202,$A93,$G$3)&amp;"",1)="⚠",INDEX(인턴근무계획!$M$3:$R$202,$A93,$G$3)&amp;"",LEFT(INDEX(인턴근무계획!$M$3:$R$202,$A93,$G$3)&amp;"",FIND(" ",INDEX(인턴근무계획!$M$3:$R$202,$A93,$G$3)&amp;"")-1))))</f>
        <v/>
      </c>
      <c r="H93" s="23">
        <f>IF(OR($C93="",$G$3=""),"",IF(INDEX(인턴근무계획!$M$3:$R$202,$A93,$G$3)&amp;""="","",IF(LEFT(INDEX(인턴근무계획!$M$3:$R$202,$A93,$G$3)&amp;"",1)="⚠","",MID(INDEX(인턴근무계획!$M$3:$R$202,$A93,$G$3)&amp;"",FIND(" ",INDEX(인턴근무계획!$M$3:$R$202,$A93,$G$3)&amp;"")+1,60))))</f>
        <v/>
      </c>
      <c r="I93" s="23">
        <f>IF(OR($C93="",$I$3=""),"",IF(INDEX(인턴근무계획!$M$3:$R$202,$A93,$I$3)&amp;""="","",IF(LEFT(INDEX(인턴근무계획!$M$3:$R$202,$A93,$I$3)&amp;"",1)="⚠",INDEX(인턴근무계획!$M$3:$R$202,$A93,$I$3)&amp;"",LEFT(INDEX(인턴근무계획!$M$3:$R$202,$A93,$I$3)&amp;"",FIND(" ",INDEX(인턴근무계획!$M$3:$R$202,$A93,$I$3)&amp;"")-1))))</f>
        <v/>
      </c>
      <c r="J93" s="23">
        <f>IF(OR($C93="",$I$3=""),"",IF(INDEX(인턴근무계획!$M$3:$R$202,$A93,$I$3)&amp;""="","",IF(LEFT(INDEX(인턴근무계획!$M$3:$R$202,$A93,$I$3)&amp;"",1)="⚠","",MID(INDEX(인턴근무계획!$M$3:$R$202,$A93,$I$3)&amp;"",FIND(" ",INDEX(인턴근무계획!$M$3:$R$202,$A93,$I$3)&amp;"")+1,60))))</f>
        <v/>
      </c>
      <c r="K93" s="23">
        <f>IF($C93="","",INDEX(인턴근무계획!$M$3:$M$202,$A93)&amp;"")</f>
        <v/>
      </c>
      <c r="L93" s="23">
        <f>IF($C93="","",INDEX(인턴근무계획!$N$3:$N$202,$A93)&amp;"")</f>
        <v/>
      </c>
      <c r="M93" s="23">
        <f>IF($C93="","",INDEX(인턴근무계획!$O$3:$O$202,$A93)&amp;"")</f>
        <v/>
      </c>
      <c r="N93" s="23">
        <f>IF($C93="","",INDEX(인턴근무계획!$P$3:$P$202,$A93)&amp;"")</f>
        <v/>
      </c>
      <c r="O93" s="23">
        <f>IF($C93="","",INDEX(인턴근무계획!$Q$3:$Q$202,$A93)&amp;"")</f>
        <v/>
      </c>
      <c r="P93" s="23">
        <f>IF($C93="","",INDEX(인턴근무계획!$R$3:$R$202,$A93)&amp;"")</f>
        <v/>
      </c>
      <c r="Q93" s="23">
        <f>IF($C93="","",INDEX(인턴근무계획!$T$3:$T$202,$A93))</f>
        <v/>
      </c>
    </row>
    <row r="94">
      <c r="A94" s="26" t="n">
        <v>89</v>
      </c>
      <c r="B94" s="23">
        <f>IF($C94="","",INDEX(인턴근무계획!$B$3:$B$202,$A94))</f>
        <v/>
      </c>
      <c r="C94" s="23">
        <f>IFERROR(TRIM(INDEX(인턴근무계획!$C$3:$C$202,$A94)&amp;""),"")</f>
        <v/>
      </c>
      <c r="D94" s="23">
        <f>IF($C94="","",INDEX(인턴근무계획!$D$3:$D$202,$A94))</f>
        <v/>
      </c>
      <c r="E94" s="23">
        <f>IF($C94="","",IF(IFERROR(MATCH($D94,기본자료!$B$2:$B$501,0),IFERROR(MATCH($D94&amp;"",기본자료!$B$2:$B$501,0),IFERROR(MATCH(VALUE($D94),기본자료!$B$2:$B$501,0),0)))&gt;0,"확인","미등록"))</f>
        <v/>
      </c>
      <c r="F94" s="27">
        <f>IF($C94="","",INDEX(인턴근무계획!$S$3:$S$202,$A94))</f>
        <v/>
      </c>
      <c r="G94" s="23">
        <f>IF(OR($C94="",$G$3=""),"",IF(INDEX(인턴근무계획!$M$3:$R$202,$A94,$G$3)&amp;""="","",IF(LEFT(INDEX(인턴근무계획!$M$3:$R$202,$A94,$G$3)&amp;"",1)="⚠",INDEX(인턴근무계획!$M$3:$R$202,$A94,$G$3)&amp;"",LEFT(INDEX(인턴근무계획!$M$3:$R$202,$A94,$G$3)&amp;"",FIND(" ",INDEX(인턴근무계획!$M$3:$R$202,$A94,$G$3)&amp;"")-1))))</f>
        <v/>
      </c>
      <c r="H94" s="23">
        <f>IF(OR($C94="",$G$3=""),"",IF(INDEX(인턴근무계획!$M$3:$R$202,$A94,$G$3)&amp;""="","",IF(LEFT(INDEX(인턴근무계획!$M$3:$R$202,$A94,$G$3)&amp;"",1)="⚠","",MID(INDEX(인턴근무계획!$M$3:$R$202,$A94,$G$3)&amp;"",FIND(" ",INDEX(인턴근무계획!$M$3:$R$202,$A94,$G$3)&amp;"")+1,60))))</f>
        <v/>
      </c>
      <c r="I94" s="23">
        <f>IF(OR($C94="",$I$3=""),"",IF(INDEX(인턴근무계획!$M$3:$R$202,$A94,$I$3)&amp;""="","",IF(LEFT(INDEX(인턴근무계획!$M$3:$R$202,$A94,$I$3)&amp;"",1)="⚠",INDEX(인턴근무계획!$M$3:$R$202,$A94,$I$3)&amp;"",LEFT(INDEX(인턴근무계획!$M$3:$R$202,$A94,$I$3)&amp;"",FIND(" ",INDEX(인턴근무계획!$M$3:$R$202,$A94,$I$3)&amp;"")-1))))</f>
        <v/>
      </c>
      <c r="J94" s="23">
        <f>IF(OR($C94="",$I$3=""),"",IF(INDEX(인턴근무계획!$M$3:$R$202,$A94,$I$3)&amp;""="","",IF(LEFT(INDEX(인턴근무계획!$M$3:$R$202,$A94,$I$3)&amp;"",1)="⚠","",MID(INDEX(인턴근무계획!$M$3:$R$202,$A94,$I$3)&amp;"",FIND(" ",INDEX(인턴근무계획!$M$3:$R$202,$A94,$I$3)&amp;"")+1,60))))</f>
        <v/>
      </c>
      <c r="K94" s="23">
        <f>IF($C94="","",INDEX(인턴근무계획!$M$3:$M$202,$A94)&amp;"")</f>
        <v/>
      </c>
      <c r="L94" s="23">
        <f>IF($C94="","",INDEX(인턴근무계획!$N$3:$N$202,$A94)&amp;"")</f>
        <v/>
      </c>
      <c r="M94" s="23">
        <f>IF($C94="","",INDEX(인턴근무계획!$O$3:$O$202,$A94)&amp;"")</f>
        <v/>
      </c>
      <c r="N94" s="23">
        <f>IF($C94="","",INDEX(인턴근무계획!$P$3:$P$202,$A94)&amp;"")</f>
        <v/>
      </c>
      <c r="O94" s="23">
        <f>IF($C94="","",INDEX(인턴근무계획!$Q$3:$Q$202,$A94)&amp;"")</f>
        <v/>
      </c>
      <c r="P94" s="23">
        <f>IF($C94="","",INDEX(인턴근무계획!$R$3:$R$202,$A94)&amp;"")</f>
        <v/>
      </c>
      <c r="Q94" s="23">
        <f>IF($C94="","",INDEX(인턴근무계획!$T$3:$T$202,$A94))</f>
        <v/>
      </c>
    </row>
    <row r="95">
      <c r="A95" s="26" t="n">
        <v>90</v>
      </c>
      <c r="B95" s="23">
        <f>IF($C95="","",INDEX(인턴근무계획!$B$3:$B$202,$A95))</f>
        <v/>
      </c>
      <c r="C95" s="23">
        <f>IFERROR(TRIM(INDEX(인턴근무계획!$C$3:$C$202,$A95)&amp;""),"")</f>
        <v/>
      </c>
      <c r="D95" s="23">
        <f>IF($C95="","",INDEX(인턴근무계획!$D$3:$D$202,$A95))</f>
        <v/>
      </c>
      <c r="E95" s="23">
        <f>IF($C95="","",IF(IFERROR(MATCH($D95,기본자료!$B$2:$B$501,0),IFERROR(MATCH($D95&amp;"",기본자료!$B$2:$B$501,0),IFERROR(MATCH(VALUE($D95),기본자료!$B$2:$B$501,0),0)))&gt;0,"확인","미등록"))</f>
        <v/>
      </c>
      <c r="F95" s="27">
        <f>IF($C95="","",INDEX(인턴근무계획!$S$3:$S$202,$A95))</f>
        <v/>
      </c>
      <c r="G95" s="23">
        <f>IF(OR($C95="",$G$3=""),"",IF(INDEX(인턴근무계획!$M$3:$R$202,$A95,$G$3)&amp;""="","",IF(LEFT(INDEX(인턴근무계획!$M$3:$R$202,$A95,$G$3)&amp;"",1)="⚠",INDEX(인턴근무계획!$M$3:$R$202,$A95,$G$3)&amp;"",LEFT(INDEX(인턴근무계획!$M$3:$R$202,$A95,$G$3)&amp;"",FIND(" ",INDEX(인턴근무계획!$M$3:$R$202,$A95,$G$3)&amp;"")-1))))</f>
        <v/>
      </c>
      <c r="H95" s="23">
        <f>IF(OR($C95="",$G$3=""),"",IF(INDEX(인턴근무계획!$M$3:$R$202,$A95,$G$3)&amp;""="","",IF(LEFT(INDEX(인턴근무계획!$M$3:$R$202,$A95,$G$3)&amp;"",1)="⚠","",MID(INDEX(인턴근무계획!$M$3:$R$202,$A95,$G$3)&amp;"",FIND(" ",INDEX(인턴근무계획!$M$3:$R$202,$A95,$G$3)&amp;"")+1,60))))</f>
        <v/>
      </c>
      <c r="I95" s="23">
        <f>IF(OR($C95="",$I$3=""),"",IF(INDEX(인턴근무계획!$M$3:$R$202,$A95,$I$3)&amp;""="","",IF(LEFT(INDEX(인턴근무계획!$M$3:$R$202,$A95,$I$3)&amp;"",1)="⚠",INDEX(인턴근무계획!$M$3:$R$202,$A95,$I$3)&amp;"",LEFT(INDEX(인턴근무계획!$M$3:$R$202,$A95,$I$3)&amp;"",FIND(" ",INDEX(인턴근무계획!$M$3:$R$202,$A95,$I$3)&amp;"")-1))))</f>
        <v/>
      </c>
      <c r="J95" s="23">
        <f>IF(OR($C95="",$I$3=""),"",IF(INDEX(인턴근무계획!$M$3:$R$202,$A95,$I$3)&amp;""="","",IF(LEFT(INDEX(인턴근무계획!$M$3:$R$202,$A95,$I$3)&amp;"",1)="⚠","",MID(INDEX(인턴근무계획!$M$3:$R$202,$A95,$I$3)&amp;"",FIND(" ",INDEX(인턴근무계획!$M$3:$R$202,$A95,$I$3)&amp;"")+1,60))))</f>
        <v/>
      </c>
      <c r="K95" s="23">
        <f>IF($C95="","",INDEX(인턴근무계획!$M$3:$M$202,$A95)&amp;"")</f>
        <v/>
      </c>
      <c r="L95" s="23">
        <f>IF($C95="","",INDEX(인턴근무계획!$N$3:$N$202,$A95)&amp;"")</f>
        <v/>
      </c>
      <c r="M95" s="23">
        <f>IF($C95="","",INDEX(인턴근무계획!$O$3:$O$202,$A95)&amp;"")</f>
        <v/>
      </c>
      <c r="N95" s="23">
        <f>IF($C95="","",INDEX(인턴근무계획!$P$3:$P$202,$A95)&amp;"")</f>
        <v/>
      </c>
      <c r="O95" s="23">
        <f>IF($C95="","",INDEX(인턴근무계획!$Q$3:$Q$202,$A95)&amp;"")</f>
        <v/>
      </c>
      <c r="P95" s="23">
        <f>IF($C95="","",INDEX(인턴근무계획!$R$3:$R$202,$A95)&amp;"")</f>
        <v/>
      </c>
      <c r="Q95" s="23">
        <f>IF($C95="","",INDEX(인턴근무계획!$T$3:$T$202,$A95))</f>
        <v/>
      </c>
    </row>
    <row r="96">
      <c r="A96" s="26" t="n">
        <v>91</v>
      </c>
      <c r="B96" s="23">
        <f>IF($C96="","",INDEX(인턴근무계획!$B$3:$B$202,$A96))</f>
        <v/>
      </c>
      <c r="C96" s="23">
        <f>IFERROR(TRIM(INDEX(인턴근무계획!$C$3:$C$202,$A96)&amp;""),"")</f>
        <v/>
      </c>
      <c r="D96" s="23">
        <f>IF($C96="","",INDEX(인턴근무계획!$D$3:$D$202,$A96))</f>
        <v/>
      </c>
      <c r="E96" s="23">
        <f>IF($C96="","",IF(IFERROR(MATCH($D96,기본자료!$B$2:$B$501,0),IFERROR(MATCH($D96&amp;"",기본자료!$B$2:$B$501,0),IFERROR(MATCH(VALUE($D96),기본자료!$B$2:$B$501,0),0)))&gt;0,"확인","미등록"))</f>
        <v/>
      </c>
      <c r="F96" s="27">
        <f>IF($C96="","",INDEX(인턴근무계획!$S$3:$S$202,$A96))</f>
        <v/>
      </c>
      <c r="G96" s="23">
        <f>IF(OR($C96="",$G$3=""),"",IF(INDEX(인턴근무계획!$M$3:$R$202,$A96,$G$3)&amp;""="","",IF(LEFT(INDEX(인턴근무계획!$M$3:$R$202,$A96,$G$3)&amp;"",1)="⚠",INDEX(인턴근무계획!$M$3:$R$202,$A96,$G$3)&amp;"",LEFT(INDEX(인턴근무계획!$M$3:$R$202,$A96,$G$3)&amp;"",FIND(" ",INDEX(인턴근무계획!$M$3:$R$202,$A96,$G$3)&amp;"")-1))))</f>
        <v/>
      </c>
      <c r="H96" s="23">
        <f>IF(OR($C96="",$G$3=""),"",IF(INDEX(인턴근무계획!$M$3:$R$202,$A96,$G$3)&amp;""="","",IF(LEFT(INDEX(인턴근무계획!$M$3:$R$202,$A96,$G$3)&amp;"",1)="⚠","",MID(INDEX(인턴근무계획!$M$3:$R$202,$A96,$G$3)&amp;"",FIND(" ",INDEX(인턴근무계획!$M$3:$R$202,$A96,$G$3)&amp;"")+1,60))))</f>
        <v/>
      </c>
      <c r="I96" s="23">
        <f>IF(OR($C96="",$I$3=""),"",IF(INDEX(인턴근무계획!$M$3:$R$202,$A96,$I$3)&amp;""="","",IF(LEFT(INDEX(인턴근무계획!$M$3:$R$202,$A96,$I$3)&amp;"",1)="⚠",INDEX(인턴근무계획!$M$3:$R$202,$A96,$I$3)&amp;"",LEFT(INDEX(인턴근무계획!$M$3:$R$202,$A96,$I$3)&amp;"",FIND(" ",INDEX(인턴근무계획!$M$3:$R$202,$A96,$I$3)&amp;"")-1))))</f>
        <v/>
      </c>
      <c r="J96" s="23">
        <f>IF(OR($C96="",$I$3=""),"",IF(INDEX(인턴근무계획!$M$3:$R$202,$A96,$I$3)&amp;""="","",IF(LEFT(INDEX(인턴근무계획!$M$3:$R$202,$A96,$I$3)&amp;"",1)="⚠","",MID(INDEX(인턴근무계획!$M$3:$R$202,$A96,$I$3)&amp;"",FIND(" ",INDEX(인턴근무계획!$M$3:$R$202,$A96,$I$3)&amp;"")+1,60))))</f>
        <v/>
      </c>
      <c r="K96" s="23">
        <f>IF($C96="","",INDEX(인턴근무계획!$M$3:$M$202,$A96)&amp;"")</f>
        <v/>
      </c>
      <c r="L96" s="23">
        <f>IF($C96="","",INDEX(인턴근무계획!$N$3:$N$202,$A96)&amp;"")</f>
        <v/>
      </c>
      <c r="M96" s="23">
        <f>IF($C96="","",INDEX(인턴근무계획!$O$3:$O$202,$A96)&amp;"")</f>
        <v/>
      </c>
      <c r="N96" s="23">
        <f>IF($C96="","",INDEX(인턴근무계획!$P$3:$P$202,$A96)&amp;"")</f>
        <v/>
      </c>
      <c r="O96" s="23">
        <f>IF($C96="","",INDEX(인턴근무계획!$Q$3:$Q$202,$A96)&amp;"")</f>
        <v/>
      </c>
      <c r="P96" s="23">
        <f>IF($C96="","",INDEX(인턴근무계획!$R$3:$R$202,$A96)&amp;"")</f>
        <v/>
      </c>
      <c r="Q96" s="23">
        <f>IF($C96="","",INDEX(인턴근무계획!$T$3:$T$202,$A96))</f>
        <v/>
      </c>
    </row>
    <row r="97">
      <c r="A97" s="26" t="n">
        <v>92</v>
      </c>
      <c r="B97" s="23">
        <f>IF($C97="","",INDEX(인턴근무계획!$B$3:$B$202,$A97))</f>
        <v/>
      </c>
      <c r="C97" s="23">
        <f>IFERROR(TRIM(INDEX(인턴근무계획!$C$3:$C$202,$A97)&amp;""),"")</f>
        <v/>
      </c>
      <c r="D97" s="23">
        <f>IF($C97="","",INDEX(인턴근무계획!$D$3:$D$202,$A97))</f>
        <v/>
      </c>
      <c r="E97" s="23">
        <f>IF($C97="","",IF(IFERROR(MATCH($D97,기본자료!$B$2:$B$501,0),IFERROR(MATCH($D97&amp;"",기본자료!$B$2:$B$501,0),IFERROR(MATCH(VALUE($D97),기본자료!$B$2:$B$501,0),0)))&gt;0,"확인","미등록"))</f>
        <v/>
      </c>
      <c r="F97" s="27">
        <f>IF($C97="","",INDEX(인턴근무계획!$S$3:$S$202,$A97))</f>
        <v/>
      </c>
      <c r="G97" s="23">
        <f>IF(OR($C97="",$G$3=""),"",IF(INDEX(인턴근무계획!$M$3:$R$202,$A97,$G$3)&amp;""="","",IF(LEFT(INDEX(인턴근무계획!$M$3:$R$202,$A97,$G$3)&amp;"",1)="⚠",INDEX(인턴근무계획!$M$3:$R$202,$A97,$G$3)&amp;"",LEFT(INDEX(인턴근무계획!$M$3:$R$202,$A97,$G$3)&amp;"",FIND(" ",INDEX(인턴근무계획!$M$3:$R$202,$A97,$G$3)&amp;"")-1))))</f>
        <v/>
      </c>
      <c r="H97" s="23">
        <f>IF(OR($C97="",$G$3=""),"",IF(INDEX(인턴근무계획!$M$3:$R$202,$A97,$G$3)&amp;""="","",IF(LEFT(INDEX(인턴근무계획!$M$3:$R$202,$A97,$G$3)&amp;"",1)="⚠","",MID(INDEX(인턴근무계획!$M$3:$R$202,$A97,$G$3)&amp;"",FIND(" ",INDEX(인턴근무계획!$M$3:$R$202,$A97,$G$3)&amp;"")+1,60))))</f>
        <v/>
      </c>
      <c r="I97" s="23">
        <f>IF(OR($C97="",$I$3=""),"",IF(INDEX(인턴근무계획!$M$3:$R$202,$A97,$I$3)&amp;""="","",IF(LEFT(INDEX(인턴근무계획!$M$3:$R$202,$A97,$I$3)&amp;"",1)="⚠",INDEX(인턴근무계획!$M$3:$R$202,$A97,$I$3)&amp;"",LEFT(INDEX(인턴근무계획!$M$3:$R$202,$A97,$I$3)&amp;"",FIND(" ",INDEX(인턴근무계획!$M$3:$R$202,$A97,$I$3)&amp;"")-1))))</f>
        <v/>
      </c>
      <c r="J97" s="23">
        <f>IF(OR($C97="",$I$3=""),"",IF(INDEX(인턴근무계획!$M$3:$R$202,$A97,$I$3)&amp;""="","",IF(LEFT(INDEX(인턴근무계획!$M$3:$R$202,$A97,$I$3)&amp;"",1)="⚠","",MID(INDEX(인턴근무계획!$M$3:$R$202,$A97,$I$3)&amp;"",FIND(" ",INDEX(인턴근무계획!$M$3:$R$202,$A97,$I$3)&amp;"")+1,60))))</f>
        <v/>
      </c>
      <c r="K97" s="23">
        <f>IF($C97="","",INDEX(인턴근무계획!$M$3:$M$202,$A97)&amp;"")</f>
        <v/>
      </c>
      <c r="L97" s="23">
        <f>IF($C97="","",INDEX(인턴근무계획!$N$3:$N$202,$A97)&amp;"")</f>
        <v/>
      </c>
      <c r="M97" s="23">
        <f>IF($C97="","",INDEX(인턴근무계획!$O$3:$O$202,$A97)&amp;"")</f>
        <v/>
      </c>
      <c r="N97" s="23">
        <f>IF($C97="","",INDEX(인턴근무계획!$P$3:$P$202,$A97)&amp;"")</f>
        <v/>
      </c>
      <c r="O97" s="23">
        <f>IF($C97="","",INDEX(인턴근무계획!$Q$3:$Q$202,$A97)&amp;"")</f>
        <v/>
      </c>
      <c r="P97" s="23">
        <f>IF($C97="","",INDEX(인턴근무계획!$R$3:$R$202,$A97)&amp;"")</f>
        <v/>
      </c>
      <c r="Q97" s="23">
        <f>IF($C97="","",INDEX(인턴근무계획!$T$3:$T$202,$A97))</f>
        <v/>
      </c>
    </row>
    <row r="98">
      <c r="A98" s="26" t="n">
        <v>93</v>
      </c>
      <c r="B98" s="23">
        <f>IF($C98="","",INDEX(인턴근무계획!$B$3:$B$202,$A98))</f>
        <v/>
      </c>
      <c r="C98" s="23">
        <f>IFERROR(TRIM(INDEX(인턴근무계획!$C$3:$C$202,$A98)&amp;""),"")</f>
        <v/>
      </c>
      <c r="D98" s="23">
        <f>IF($C98="","",INDEX(인턴근무계획!$D$3:$D$202,$A98))</f>
        <v/>
      </c>
      <c r="E98" s="23">
        <f>IF($C98="","",IF(IFERROR(MATCH($D98,기본자료!$B$2:$B$501,0),IFERROR(MATCH($D98&amp;"",기본자료!$B$2:$B$501,0),IFERROR(MATCH(VALUE($D98),기본자료!$B$2:$B$501,0),0)))&gt;0,"확인","미등록"))</f>
        <v/>
      </c>
      <c r="F98" s="27">
        <f>IF($C98="","",INDEX(인턴근무계획!$S$3:$S$202,$A98))</f>
        <v/>
      </c>
      <c r="G98" s="23">
        <f>IF(OR($C98="",$G$3=""),"",IF(INDEX(인턴근무계획!$M$3:$R$202,$A98,$G$3)&amp;""="","",IF(LEFT(INDEX(인턴근무계획!$M$3:$R$202,$A98,$G$3)&amp;"",1)="⚠",INDEX(인턴근무계획!$M$3:$R$202,$A98,$G$3)&amp;"",LEFT(INDEX(인턴근무계획!$M$3:$R$202,$A98,$G$3)&amp;"",FIND(" ",INDEX(인턴근무계획!$M$3:$R$202,$A98,$G$3)&amp;"")-1))))</f>
        <v/>
      </c>
      <c r="H98" s="23">
        <f>IF(OR($C98="",$G$3=""),"",IF(INDEX(인턴근무계획!$M$3:$R$202,$A98,$G$3)&amp;""="","",IF(LEFT(INDEX(인턴근무계획!$M$3:$R$202,$A98,$G$3)&amp;"",1)="⚠","",MID(INDEX(인턴근무계획!$M$3:$R$202,$A98,$G$3)&amp;"",FIND(" ",INDEX(인턴근무계획!$M$3:$R$202,$A98,$G$3)&amp;"")+1,60))))</f>
        <v/>
      </c>
      <c r="I98" s="23">
        <f>IF(OR($C98="",$I$3=""),"",IF(INDEX(인턴근무계획!$M$3:$R$202,$A98,$I$3)&amp;""="","",IF(LEFT(INDEX(인턴근무계획!$M$3:$R$202,$A98,$I$3)&amp;"",1)="⚠",INDEX(인턴근무계획!$M$3:$R$202,$A98,$I$3)&amp;"",LEFT(INDEX(인턴근무계획!$M$3:$R$202,$A98,$I$3)&amp;"",FIND(" ",INDEX(인턴근무계획!$M$3:$R$202,$A98,$I$3)&amp;"")-1))))</f>
        <v/>
      </c>
      <c r="J98" s="23">
        <f>IF(OR($C98="",$I$3=""),"",IF(INDEX(인턴근무계획!$M$3:$R$202,$A98,$I$3)&amp;""="","",IF(LEFT(INDEX(인턴근무계획!$M$3:$R$202,$A98,$I$3)&amp;"",1)="⚠","",MID(INDEX(인턴근무계획!$M$3:$R$202,$A98,$I$3)&amp;"",FIND(" ",INDEX(인턴근무계획!$M$3:$R$202,$A98,$I$3)&amp;"")+1,60))))</f>
        <v/>
      </c>
      <c r="K98" s="23">
        <f>IF($C98="","",INDEX(인턴근무계획!$M$3:$M$202,$A98)&amp;"")</f>
        <v/>
      </c>
      <c r="L98" s="23">
        <f>IF($C98="","",INDEX(인턴근무계획!$N$3:$N$202,$A98)&amp;"")</f>
        <v/>
      </c>
      <c r="M98" s="23">
        <f>IF($C98="","",INDEX(인턴근무계획!$O$3:$O$202,$A98)&amp;"")</f>
        <v/>
      </c>
      <c r="N98" s="23">
        <f>IF($C98="","",INDEX(인턴근무계획!$P$3:$P$202,$A98)&amp;"")</f>
        <v/>
      </c>
      <c r="O98" s="23">
        <f>IF($C98="","",INDEX(인턴근무계획!$Q$3:$Q$202,$A98)&amp;"")</f>
        <v/>
      </c>
      <c r="P98" s="23">
        <f>IF($C98="","",INDEX(인턴근무계획!$R$3:$R$202,$A98)&amp;"")</f>
        <v/>
      </c>
      <c r="Q98" s="23">
        <f>IF($C98="","",INDEX(인턴근무계획!$T$3:$T$202,$A98))</f>
        <v/>
      </c>
    </row>
    <row r="99">
      <c r="A99" s="26" t="n">
        <v>94</v>
      </c>
      <c r="B99" s="23">
        <f>IF($C99="","",INDEX(인턴근무계획!$B$3:$B$202,$A99))</f>
        <v/>
      </c>
      <c r="C99" s="23">
        <f>IFERROR(TRIM(INDEX(인턴근무계획!$C$3:$C$202,$A99)&amp;""),"")</f>
        <v/>
      </c>
      <c r="D99" s="23">
        <f>IF($C99="","",INDEX(인턴근무계획!$D$3:$D$202,$A99))</f>
        <v/>
      </c>
      <c r="E99" s="23">
        <f>IF($C99="","",IF(IFERROR(MATCH($D99,기본자료!$B$2:$B$501,0),IFERROR(MATCH($D99&amp;"",기본자료!$B$2:$B$501,0),IFERROR(MATCH(VALUE($D99),기본자료!$B$2:$B$501,0),0)))&gt;0,"확인","미등록"))</f>
        <v/>
      </c>
      <c r="F99" s="27">
        <f>IF($C99="","",INDEX(인턴근무계획!$S$3:$S$202,$A99))</f>
        <v/>
      </c>
      <c r="G99" s="23">
        <f>IF(OR($C99="",$G$3=""),"",IF(INDEX(인턴근무계획!$M$3:$R$202,$A99,$G$3)&amp;""="","",IF(LEFT(INDEX(인턴근무계획!$M$3:$R$202,$A99,$G$3)&amp;"",1)="⚠",INDEX(인턴근무계획!$M$3:$R$202,$A99,$G$3)&amp;"",LEFT(INDEX(인턴근무계획!$M$3:$R$202,$A99,$G$3)&amp;"",FIND(" ",INDEX(인턴근무계획!$M$3:$R$202,$A99,$G$3)&amp;"")-1))))</f>
        <v/>
      </c>
      <c r="H99" s="23">
        <f>IF(OR($C99="",$G$3=""),"",IF(INDEX(인턴근무계획!$M$3:$R$202,$A99,$G$3)&amp;""="","",IF(LEFT(INDEX(인턴근무계획!$M$3:$R$202,$A99,$G$3)&amp;"",1)="⚠","",MID(INDEX(인턴근무계획!$M$3:$R$202,$A99,$G$3)&amp;"",FIND(" ",INDEX(인턴근무계획!$M$3:$R$202,$A99,$G$3)&amp;"")+1,60))))</f>
        <v/>
      </c>
      <c r="I99" s="23">
        <f>IF(OR($C99="",$I$3=""),"",IF(INDEX(인턴근무계획!$M$3:$R$202,$A99,$I$3)&amp;""="","",IF(LEFT(INDEX(인턴근무계획!$M$3:$R$202,$A99,$I$3)&amp;"",1)="⚠",INDEX(인턴근무계획!$M$3:$R$202,$A99,$I$3)&amp;"",LEFT(INDEX(인턴근무계획!$M$3:$R$202,$A99,$I$3)&amp;"",FIND(" ",INDEX(인턴근무계획!$M$3:$R$202,$A99,$I$3)&amp;"")-1))))</f>
        <v/>
      </c>
      <c r="J99" s="23">
        <f>IF(OR($C99="",$I$3=""),"",IF(INDEX(인턴근무계획!$M$3:$R$202,$A99,$I$3)&amp;""="","",IF(LEFT(INDEX(인턴근무계획!$M$3:$R$202,$A99,$I$3)&amp;"",1)="⚠","",MID(INDEX(인턴근무계획!$M$3:$R$202,$A99,$I$3)&amp;"",FIND(" ",INDEX(인턴근무계획!$M$3:$R$202,$A99,$I$3)&amp;"")+1,60))))</f>
        <v/>
      </c>
      <c r="K99" s="23">
        <f>IF($C99="","",INDEX(인턴근무계획!$M$3:$M$202,$A99)&amp;"")</f>
        <v/>
      </c>
      <c r="L99" s="23">
        <f>IF($C99="","",INDEX(인턴근무계획!$N$3:$N$202,$A99)&amp;"")</f>
        <v/>
      </c>
      <c r="M99" s="23">
        <f>IF($C99="","",INDEX(인턴근무계획!$O$3:$O$202,$A99)&amp;"")</f>
        <v/>
      </c>
      <c r="N99" s="23">
        <f>IF($C99="","",INDEX(인턴근무계획!$P$3:$P$202,$A99)&amp;"")</f>
        <v/>
      </c>
      <c r="O99" s="23">
        <f>IF($C99="","",INDEX(인턴근무계획!$Q$3:$Q$202,$A99)&amp;"")</f>
        <v/>
      </c>
      <c r="P99" s="23">
        <f>IF($C99="","",INDEX(인턴근무계획!$R$3:$R$202,$A99)&amp;"")</f>
        <v/>
      </c>
      <c r="Q99" s="23">
        <f>IF($C99="","",INDEX(인턴근무계획!$T$3:$T$202,$A99))</f>
        <v/>
      </c>
    </row>
    <row r="100">
      <c r="A100" s="26" t="n">
        <v>95</v>
      </c>
      <c r="B100" s="23">
        <f>IF($C100="","",INDEX(인턴근무계획!$B$3:$B$202,$A100))</f>
        <v/>
      </c>
      <c r="C100" s="23">
        <f>IFERROR(TRIM(INDEX(인턴근무계획!$C$3:$C$202,$A100)&amp;""),"")</f>
        <v/>
      </c>
      <c r="D100" s="23">
        <f>IF($C100="","",INDEX(인턴근무계획!$D$3:$D$202,$A100))</f>
        <v/>
      </c>
      <c r="E100" s="23">
        <f>IF($C100="","",IF(IFERROR(MATCH($D100,기본자료!$B$2:$B$501,0),IFERROR(MATCH($D100&amp;"",기본자료!$B$2:$B$501,0),IFERROR(MATCH(VALUE($D100),기본자료!$B$2:$B$501,0),0)))&gt;0,"확인","미등록"))</f>
        <v/>
      </c>
      <c r="F100" s="27">
        <f>IF($C100="","",INDEX(인턴근무계획!$S$3:$S$202,$A100))</f>
        <v/>
      </c>
      <c r="G100" s="23">
        <f>IF(OR($C100="",$G$3=""),"",IF(INDEX(인턴근무계획!$M$3:$R$202,$A100,$G$3)&amp;""="","",IF(LEFT(INDEX(인턴근무계획!$M$3:$R$202,$A100,$G$3)&amp;"",1)="⚠",INDEX(인턴근무계획!$M$3:$R$202,$A100,$G$3)&amp;"",LEFT(INDEX(인턴근무계획!$M$3:$R$202,$A100,$G$3)&amp;"",FIND(" ",INDEX(인턴근무계획!$M$3:$R$202,$A100,$G$3)&amp;"")-1))))</f>
        <v/>
      </c>
      <c r="H100" s="23">
        <f>IF(OR($C100="",$G$3=""),"",IF(INDEX(인턴근무계획!$M$3:$R$202,$A100,$G$3)&amp;""="","",IF(LEFT(INDEX(인턴근무계획!$M$3:$R$202,$A100,$G$3)&amp;"",1)="⚠","",MID(INDEX(인턴근무계획!$M$3:$R$202,$A100,$G$3)&amp;"",FIND(" ",INDEX(인턴근무계획!$M$3:$R$202,$A100,$G$3)&amp;"")+1,60))))</f>
        <v/>
      </c>
      <c r="I100" s="23">
        <f>IF(OR($C100="",$I$3=""),"",IF(INDEX(인턴근무계획!$M$3:$R$202,$A100,$I$3)&amp;""="","",IF(LEFT(INDEX(인턴근무계획!$M$3:$R$202,$A100,$I$3)&amp;"",1)="⚠",INDEX(인턴근무계획!$M$3:$R$202,$A100,$I$3)&amp;"",LEFT(INDEX(인턴근무계획!$M$3:$R$202,$A100,$I$3)&amp;"",FIND(" ",INDEX(인턴근무계획!$M$3:$R$202,$A100,$I$3)&amp;"")-1))))</f>
        <v/>
      </c>
      <c r="J100" s="23">
        <f>IF(OR($C100="",$I$3=""),"",IF(INDEX(인턴근무계획!$M$3:$R$202,$A100,$I$3)&amp;""="","",IF(LEFT(INDEX(인턴근무계획!$M$3:$R$202,$A100,$I$3)&amp;"",1)="⚠","",MID(INDEX(인턴근무계획!$M$3:$R$202,$A100,$I$3)&amp;"",FIND(" ",INDEX(인턴근무계획!$M$3:$R$202,$A100,$I$3)&amp;"")+1,60))))</f>
        <v/>
      </c>
      <c r="K100" s="23">
        <f>IF($C100="","",INDEX(인턴근무계획!$M$3:$M$202,$A100)&amp;"")</f>
        <v/>
      </c>
      <c r="L100" s="23">
        <f>IF($C100="","",INDEX(인턴근무계획!$N$3:$N$202,$A100)&amp;"")</f>
        <v/>
      </c>
      <c r="M100" s="23">
        <f>IF($C100="","",INDEX(인턴근무계획!$O$3:$O$202,$A100)&amp;"")</f>
        <v/>
      </c>
      <c r="N100" s="23">
        <f>IF($C100="","",INDEX(인턴근무계획!$P$3:$P$202,$A100)&amp;"")</f>
        <v/>
      </c>
      <c r="O100" s="23">
        <f>IF($C100="","",INDEX(인턴근무계획!$Q$3:$Q$202,$A100)&amp;"")</f>
        <v/>
      </c>
      <c r="P100" s="23">
        <f>IF($C100="","",INDEX(인턴근무계획!$R$3:$R$202,$A100)&amp;"")</f>
        <v/>
      </c>
      <c r="Q100" s="23">
        <f>IF($C100="","",INDEX(인턴근무계획!$T$3:$T$202,$A100))</f>
        <v/>
      </c>
    </row>
    <row r="101">
      <c r="A101" s="26" t="n">
        <v>96</v>
      </c>
      <c r="B101" s="23">
        <f>IF($C101="","",INDEX(인턴근무계획!$B$3:$B$202,$A101))</f>
        <v/>
      </c>
      <c r="C101" s="23">
        <f>IFERROR(TRIM(INDEX(인턴근무계획!$C$3:$C$202,$A101)&amp;""),"")</f>
        <v/>
      </c>
      <c r="D101" s="23">
        <f>IF($C101="","",INDEX(인턴근무계획!$D$3:$D$202,$A101))</f>
        <v/>
      </c>
      <c r="E101" s="23">
        <f>IF($C101="","",IF(IFERROR(MATCH($D101,기본자료!$B$2:$B$501,0),IFERROR(MATCH($D101&amp;"",기본자료!$B$2:$B$501,0),IFERROR(MATCH(VALUE($D101),기본자료!$B$2:$B$501,0),0)))&gt;0,"확인","미등록"))</f>
        <v/>
      </c>
      <c r="F101" s="27">
        <f>IF($C101="","",INDEX(인턴근무계획!$S$3:$S$202,$A101))</f>
        <v/>
      </c>
      <c r="G101" s="23">
        <f>IF(OR($C101="",$G$3=""),"",IF(INDEX(인턴근무계획!$M$3:$R$202,$A101,$G$3)&amp;""="","",IF(LEFT(INDEX(인턴근무계획!$M$3:$R$202,$A101,$G$3)&amp;"",1)="⚠",INDEX(인턴근무계획!$M$3:$R$202,$A101,$G$3)&amp;"",LEFT(INDEX(인턴근무계획!$M$3:$R$202,$A101,$G$3)&amp;"",FIND(" ",INDEX(인턴근무계획!$M$3:$R$202,$A101,$G$3)&amp;"")-1))))</f>
        <v/>
      </c>
      <c r="H101" s="23">
        <f>IF(OR($C101="",$G$3=""),"",IF(INDEX(인턴근무계획!$M$3:$R$202,$A101,$G$3)&amp;""="","",IF(LEFT(INDEX(인턴근무계획!$M$3:$R$202,$A101,$G$3)&amp;"",1)="⚠","",MID(INDEX(인턴근무계획!$M$3:$R$202,$A101,$G$3)&amp;"",FIND(" ",INDEX(인턴근무계획!$M$3:$R$202,$A101,$G$3)&amp;"")+1,60))))</f>
        <v/>
      </c>
      <c r="I101" s="23">
        <f>IF(OR($C101="",$I$3=""),"",IF(INDEX(인턴근무계획!$M$3:$R$202,$A101,$I$3)&amp;""="","",IF(LEFT(INDEX(인턴근무계획!$M$3:$R$202,$A101,$I$3)&amp;"",1)="⚠",INDEX(인턴근무계획!$M$3:$R$202,$A101,$I$3)&amp;"",LEFT(INDEX(인턴근무계획!$M$3:$R$202,$A101,$I$3)&amp;"",FIND(" ",INDEX(인턴근무계획!$M$3:$R$202,$A101,$I$3)&amp;"")-1))))</f>
        <v/>
      </c>
      <c r="J101" s="23">
        <f>IF(OR($C101="",$I$3=""),"",IF(INDEX(인턴근무계획!$M$3:$R$202,$A101,$I$3)&amp;""="","",IF(LEFT(INDEX(인턴근무계획!$M$3:$R$202,$A101,$I$3)&amp;"",1)="⚠","",MID(INDEX(인턴근무계획!$M$3:$R$202,$A101,$I$3)&amp;"",FIND(" ",INDEX(인턴근무계획!$M$3:$R$202,$A101,$I$3)&amp;"")+1,60))))</f>
        <v/>
      </c>
      <c r="K101" s="23">
        <f>IF($C101="","",INDEX(인턴근무계획!$M$3:$M$202,$A101)&amp;"")</f>
        <v/>
      </c>
      <c r="L101" s="23">
        <f>IF($C101="","",INDEX(인턴근무계획!$N$3:$N$202,$A101)&amp;"")</f>
        <v/>
      </c>
      <c r="M101" s="23">
        <f>IF($C101="","",INDEX(인턴근무계획!$O$3:$O$202,$A101)&amp;"")</f>
        <v/>
      </c>
      <c r="N101" s="23">
        <f>IF($C101="","",INDEX(인턴근무계획!$P$3:$P$202,$A101)&amp;"")</f>
        <v/>
      </c>
      <c r="O101" s="23">
        <f>IF($C101="","",INDEX(인턴근무계획!$Q$3:$Q$202,$A101)&amp;"")</f>
        <v/>
      </c>
      <c r="P101" s="23">
        <f>IF($C101="","",INDEX(인턴근무계획!$R$3:$R$202,$A101)&amp;"")</f>
        <v/>
      </c>
      <c r="Q101" s="23">
        <f>IF($C101="","",INDEX(인턴근무계획!$T$3:$T$202,$A101))</f>
        <v/>
      </c>
    </row>
    <row r="102">
      <c r="A102" s="26" t="n">
        <v>97</v>
      </c>
      <c r="B102" s="23">
        <f>IF($C102="","",INDEX(인턴근무계획!$B$3:$B$202,$A102))</f>
        <v/>
      </c>
      <c r="C102" s="23">
        <f>IFERROR(TRIM(INDEX(인턴근무계획!$C$3:$C$202,$A102)&amp;""),"")</f>
        <v/>
      </c>
      <c r="D102" s="23">
        <f>IF($C102="","",INDEX(인턴근무계획!$D$3:$D$202,$A102))</f>
        <v/>
      </c>
      <c r="E102" s="23">
        <f>IF($C102="","",IF(IFERROR(MATCH($D102,기본자료!$B$2:$B$501,0),IFERROR(MATCH($D102&amp;"",기본자료!$B$2:$B$501,0),IFERROR(MATCH(VALUE($D102),기본자료!$B$2:$B$501,0),0)))&gt;0,"확인","미등록"))</f>
        <v/>
      </c>
      <c r="F102" s="27">
        <f>IF($C102="","",INDEX(인턴근무계획!$S$3:$S$202,$A102))</f>
        <v/>
      </c>
      <c r="G102" s="23">
        <f>IF(OR($C102="",$G$3=""),"",IF(INDEX(인턴근무계획!$M$3:$R$202,$A102,$G$3)&amp;""="","",IF(LEFT(INDEX(인턴근무계획!$M$3:$R$202,$A102,$G$3)&amp;"",1)="⚠",INDEX(인턴근무계획!$M$3:$R$202,$A102,$G$3)&amp;"",LEFT(INDEX(인턴근무계획!$M$3:$R$202,$A102,$G$3)&amp;"",FIND(" ",INDEX(인턴근무계획!$M$3:$R$202,$A102,$G$3)&amp;"")-1))))</f>
        <v/>
      </c>
      <c r="H102" s="23">
        <f>IF(OR($C102="",$G$3=""),"",IF(INDEX(인턴근무계획!$M$3:$R$202,$A102,$G$3)&amp;""="","",IF(LEFT(INDEX(인턴근무계획!$M$3:$R$202,$A102,$G$3)&amp;"",1)="⚠","",MID(INDEX(인턴근무계획!$M$3:$R$202,$A102,$G$3)&amp;"",FIND(" ",INDEX(인턴근무계획!$M$3:$R$202,$A102,$G$3)&amp;"")+1,60))))</f>
        <v/>
      </c>
      <c r="I102" s="23">
        <f>IF(OR($C102="",$I$3=""),"",IF(INDEX(인턴근무계획!$M$3:$R$202,$A102,$I$3)&amp;""="","",IF(LEFT(INDEX(인턴근무계획!$M$3:$R$202,$A102,$I$3)&amp;"",1)="⚠",INDEX(인턴근무계획!$M$3:$R$202,$A102,$I$3)&amp;"",LEFT(INDEX(인턴근무계획!$M$3:$R$202,$A102,$I$3)&amp;"",FIND(" ",INDEX(인턴근무계획!$M$3:$R$202,$A102,$I$3)&amp;"")-1))))</f>
        <v/>
      </c>
      <c r="J102" s="23">
        <f>IF(OR($C102="",$I$3=""),"",IF(INDEX(인턴근무계획!$M$3:$R$202,$A102,$I$3)&amp;""="","",IF(LEFT(INDEX(인턴근무계획!$M$3:$R$202,$A102,$I$3)&amp;"",1)="⚠","",MID(INDEX(인턴근무계획!$M$3:$R$202,$A102,$I$3)&amp;"",FIND(" ",INDEX(인턴근무계획!$M$3:$R$202,$A102,$I$3)&amp;"")+1,60))))</f>
        <v/>
      </c>
      <c r="K102" s="23">
        <f>IF($C102="","",INDEX(인턴근무계획!$M$3:$M$202,$A102)&amp;"")</f>
        <v/>
      </c>
      <c r="L102" s="23">
        <f>IF($C102="","",INDEX(인턴근무계획!$N$3:$N$202,$A102)&amp;"")</f>
        <v/>
      </c>
      <c r="M102" s="23">
        <f>IF($C102="","",INDEX(인턴근무계획!$O$3:$O$202,$A102)&amp;"")</f>
        <v/>
      </c>
      <c r="N102" s="23">
        <f>IF($C102="","",INDEX(인턴근무계획!$P$3:$P$202,$A102)&amp;"")</f>
        <v/>
      </c>
      <c r="O102" s="23">
        <f>IF($C102="","",INDEX(인턴근무계획!$Q$3:$Q$202,$A102)&amp;"")</f>
        <v/>
      </c>
      <c r="P102" s="23">
        <f>IF($C102="","",INDEX(인턴근무계획!$R$3:$R$202,$A102)&amp;"")</f>
        <v/>
      </c>
      <c r="Q102" s="23">
        <f>IF($C102="","",INDEX(인턴근무계획!$T$3:$T$202,$A102))</f>
        <v/>
      </c>
    </row>
    <row r="103">
      <c r="A103" s="26" t="n">
        <v>98</v>
      </c>
      <c r="B103" s="23">
        <f>IF($C103="","",INDEX(인턴근무계획!$B$3:$B$202,$A103))</f>
        <v/>
      </c>
      <c r="C103" s="23">
        <f>IFERROR(TRIM(INDEX(인턴근무계획!$C$3:$C$202,$A103)&amp;""),"")</f>
        <v/>
      </c>
      <c r="D103" s="23">
        <f>IF($C103="","",INDEX(인턴근무계획!$D$3:$D$202,$A103))</f>
        <v/>
      </c>
      <c r="E103" s="23">
        <f>IF($C103="","",IF(IFERROR(MATCH($D103,기본자료!$B$2:$B$501,0),IFERROR(MATCH($D103&amp;"",기본자료!$B$2:$B$501,0),IFERROR(MATCH(VALUE($D103),기본자료!$B$2:$B$501,0),0)))&gt;0,"확인","미등록"))</f>
        <v/>
      </c>
      <c r="F103" s="27">
        <f>IF($C103="","",INDEX(인턴근무계획!$S$3:$S$202,$A103))</f>
        <v/>
      </c>
      <c r="G103" s="23">
        <f>IF(OR($C103="",$G$3=""),"",IF(INDEX(인턴근무계획!$M$3:$R$202,$A103,$G$3)&amp;""="","",IF(LEFT(INDEX(인턴근무계획!$M$3:$R$202,$A103,$G$3)&amp;"",1)="⚠",INDEX(인턴근무계획!$M$3:$R$202,$A103,$G$3)&amp;"",LEFT(INDEX(인턴근무계획!$M$3:$R$202,$A103,$G$3)&amp;"",FIND(" ",INDEX(인턴근무계획!$M$3:$R$202,$A103,$G$3)&amp;"")-1))))</f>
        <v/>
      </c>
      <c r="H103" s="23">
        <f>IF(OR($C103="",$G$3=""),"",IF(INDEX(인턴근무계획!$M$3:$R$202,$A103,$G$3)&amp;""="","",IF(LEFT(INDEX(인턴근무계획!$M$3:$R$202,$A103,$G$3)&amp;"",1)="⚠","",MID(INDEX(인턴근무계획!$M$3:$R$202,$A103,$G$3)&amp;"",FIND(" ",INDEX(인턴근무계획!$M$3:$R$202,$A103,$G$3)&amp;"")+1,60))))</f>
        <v/>
      </c>
      <c r="I103" s="23">
        <f>IF(OR($C103="",$I$3=""),"",IF(INDEX(인턴근무계획!$M$3:$R$202,$A103,$I$3)&amp;""="","",IF(LEFT(INDEX(인턴근무계획!$M$3:$R$202,$A103,$I$3)&amp;"",1)="⚠",INDEX(인턴근무계획!$M$3:$R$202,$A103,$I$3)&amp;"",LEFT(INDEX(인턴근무계획!$M$3:$R$202,$A103,$I$3)&amp;"",FIND(" ",INDEX(인턴근무계획!$M$3:$R$202,$A103,$I$3)&amp;"")-1))))</f>
        <v/>
      </c>
      <c r="J103" s="23">
        <f>IF(OR($C103="",$I$3=""),"",IF(INDEX(인턴근무계획!$M$3:$R$202,$A103,$I$3)&amp;""="","",IF(LEFT(INDEX(인턴근무계획!$M$3:$R$202,$A103,$I$3)&amp;"",1)="⚠","",MID(INDEX(인턴근무계획!$M$3:$R$202,$A103,$I$3)&amp;"",FIND(" ",INDEX(인턴근무계획!$M$3:$R$202,$A103,$I$3)&amp;"")+1,60))))</f>
        <v/>
      </c>
      <c r="K103" s="23">
        <f>IF($C103="","",INDEX(인턴근무계획!$M$3:$M$202,$A103)&amp;"")</f>
        <v/>
      </c>
      <c r="L103" s="23">
        <f>IF($C103="","",INDEX(인턴근무계획!$N$3:$N$202,$A103)&amp;"")</f>
        <v/>
      </c>
      <c r="M103" s="23">
        <f>IF($C103="","",INDEX(인턴근무계획!$O$3:$O$202,$A103)&amp;"")</f>
        <v/>
      </c>
      <c r="N103" s="23">
        <f>IF($C103="","",INDEX(인턴근무계획!$P$3:$P$202,$A103)&amp;"")</f>
        <v/>
      </c>
      <c r="O103" s="23">
        <f>IF($C103="","",INDEX(인턴근무계획!$Q$3:$Q$202,$A103)&amp;"")</f>
        <v/>
      </c>
      <c r="P103" s="23">
        <f>IF($C103="","",INDEX(인턴근무계획!$R$3:$R$202,$A103)&amp;"")</f>
        <v/>
      </c>
      <c r="Q103" s="23">
        <f>IF($C103="","",INDEX(인턴근무계획!$T$3:$T$202,$A103))</f>
        <v/>
      </c>
    </row>
    <row r="104">
      <c r="A104" s="26" t="n">
        <v>99</v>
      </c>
      <c r="B104" s="23">
        <f>IF($C104="","",INDEX(인턴근무계획!$B$3:$B$202,$A104))</f>
        <v/>
      </c>
      <c r="C104" s="23">
        <f>IFERROR(TRIM(INDEX(인턴근무계획!$C$3:$C$202,$A104)&amp;""),"")</f>
        <v/>
      </c>
      <c r="D104" s="23">
        <f>IF($C104="","",INDEX(인턴근무계획!$D$3:$D$202,$A104))</f>
        <v/>
      </c>
      <c r="E104" s="23">
        <f>IF($C104="","",IF(IFERROR(MATCH($D104,기본자료!$B$2:$B$501,0),IFERROR(MATCH($D104&amp;"",기본자료!$B$2:$B$501,0),IFERROR(MATCH(VALUE($D104),기본자료!$B$2:$B$501,0),0)))&gt;0,"확인","미등록"))</f>
        <v/>
      </c>
      <c r="F104" s="27">
        <f>IF($C104="","",INDEX(인턴근무계획!$S$3:$S$202,$A104))</f>
        <v/>
      </c>
      <c r="G104" s="23">
        <f>IF(OR($C104="",$G$3=""),"",IF(INDEX(인턴근무계획!$M$3:$R$202,$A104,$G$3)&amp;""="","",IF(LEFT(INDEX(인턴근무계획!$M$3:$R$202,$A104,$G$3)&amp;"",1)="⚠",INDEX(인턴근무계획!$M$3:$R$202,$A104,$G$3)&amp;"",LEFT(INDEX(인턴근무계획!$M$3:$R$202,$A104,$G$3)&amp;"",FIND(" ",INDEX(인턴근무계획!$M$3:$R$202,$A104,$G$3)&amp;"")-1))))</f>
        <v/>
      </c>
      <c r="H104" s="23">
        <f>IF(OR($C104="",$G$3=""),"",IF(INDEX(인턴근무계획!$M$3:$R$202,$A104,$G$3)&amp;""="","",IF(LEFT(INDEX(인턴근무계획!$M$3:$R$202,$A104,$G$3)&amp;"",1)="⚠","",MID(INDEX(인턴근무계획!$M$3:$R$202,$A104,$G$3)&amp;"",FIND(" ",INDEX(인턴근무계획!$M$3:$R$202,$A104,$G$3)&amp;"")+1,60))))</f>
        <v/>
      </c>
      <c r="I104" s="23">
        <f>IF(OR($C104="",$I$3=""),"",IF(INDEX(인턴근무계획!$M$3:$R$202,$A104,$I$3)&amp;""="","",IF(LEFT(INDEX(인턴근무계획!$M$3:$R$202,$A104,$I$3)&amp;"",1)="⚠",INDEX(인턴근무계획!$M$3:$R$202,$A104,$I$3)&amp;"",LEFT(INDEX(인턴근무계획!$M$3:$R$202,$A104,$I$3)&amp;"",FIND(" ",INDEX(인턴근무계획!$M$3:$R$202,$A104,$I$3)&amp;"")-1))))</f>
        <v/>
      </c>
      <c r="J104" s="23">
        <f>IF(OR($C104="",$I$3=""),"",IF(INDEX(인턴근무계획!$M$3:$R$202,$A104,$I$3)&amp;""="","",IF(LEFT(INDEX(인턴근무계획!$M$3:$R$202,$A104,$I$3)&amp;"",1)="⚠","",MID(INDEX(인턴근무계획!$M$3:$R$202,$A104,$I$3)&amp;"",FIND(" ",INDEX(인턴근무계획!$M$3:$R$202,$A104,$I$3)&amp;"")+1,60))))</f>
        <v/>
      </c>
      <c r="K104" s="23">
        <f>IF($C104="","",INDEX(인턴근무계획!$M$3:$M$202,$A104)&amp;"")</f>
        <v/>
      </c>
      <c r="L104" s="23">
        <f>IF($C104="","",INDEX(인턴근무계획!$N$3:$N$202,$A104)&amp;"")</f>
        <v/>
      </c>
      <c r="M104" s="23">
        <f>IF($C104="","",INDEX(인턴근무계획!$O$3:$O$202,$A104)&amp;"")</f>
        <v/>
      </c>
      <c r="N104" s="23">
        <f>IF($C104="","",INDEX(인턴근무계획!$P$3:$P$202,$A104)&amp;"")</f>
        <v/>
      </c>
      <c r="O104" s="23">
        <f>IF($C104="","",INDEX(인턴근무계획!$Q$3:$Q$202,$A104)&amp;"")</f>
        <v/>
      </c>
      <c r="P104" s="23">
        <f>IF($C104="","",INDEX(인턴근무계획!$R$3:$R$202,$A104)&amp;"")</f>
        <v/>
      </c>
      <c r="Q104" s="23">
        <f>IF($C104="","",INDEX(인턴근무계획!$T$3:$T$202,$A104))</f>
        <v/>
      </c>
    </row>
    <row r="105">
      <c r="A105" s="26" t="n">
        <v>100</v>
      </c>
      <c r="B105" s="23">
        <f>IF($C105="","",INDEX(인턴근무계획!$B$3:$B$202,$A105))</f>
        <v/>
      </c>
      <c r="C105" s="23">
        <f>IFERROR(TRIM(INDEX(인턴근무계획!$C$3:$C$202,$A105)&amp;""),"")</f>
        <v/>
      </c>
      <c r="D105" s="23">
        <f>IF($C105="","",INDEX(인턴근무계획!$D$3:$D$202,$A105))</f>
        <v/>
      </c>
      <c r="E105" s="23">
        <f>IF($C105="","",IF(IFERROR(MATCH($D105,기본자료!$B$2:$B$501,0),IFERROR(MATCH($D105&amp;"",기본자료!$B$2:$B$501,0),IFERROR(MATCH(VALUE($D105),기본자료!$B$2:$B$501,0),0)))&gt;0,"확인","미등록"))</f>
        <v/>
      </c>
      <c r="F105" s="27">
        <f>IF($C105="","",INDEX(인턴근무계획!$S$3:$S$202,$A105))</f>
        <v/>
      </c>
      <c r="G105" s="23">
        <f>IF(OR($C105="",$G$3=""),"",IF(INDEX(인턴근무계획!$M$3:$R$202,$A105,$G$3)&amp;""="","",IF(LEFT(INDEX(인턴근무계획!$M$3:$R$202,$A105,$G$3)&amp;"",1)="⚠",INDEX(인턴근무계획!$M$3:$R$202,$A105,$G$3)&amp;"",LEFT(INDEX(인턴근무계획!$M$3:$R$202,$A105,$G$3)&amp;"",FIND(" ",INDEX(인턴근무계획!$M$3:$R$202,$A105,$G$3)&amp;"")-1))))</f>
        <v/>
      </c>
      <c r="H105" s="23">
        <f>IF(OR($C105="",$G$3=""),"",IF(INDEX(인턴근무계획!$M$3:$R$202,$A105,$G$3)&amp;""="","",IF(LEFT(INDEX(인턴근무계획!$M$3:$R$202,$A105,$G$3)&amp;"",1)="⚠","",MID(INDEX(인턴근무계획!$M$3:$R$202,$A105,$G$3)&amp;"",FIND(" ",INDEX(인턴근무계획!$M$3:$R$202,$A105,$G$3)&amp;"")+1,60))))</f>
        <v/>
      </c>
      <c r="I105" s="23">
        <f>IF(OR($C105="",$I$3=""),"",IF(INDEX(인턴근무계획!$M$3:$R$202,$A105,$I$3)&amp;""="","",IF(LEFT(INDEX(인턴근무계획!$M$3:$R$202,$A105,$I$3)&amp;"",1)="⚠",INDEX(인턴근무계획!$M$3:$R$202,$A105,$I$3)&amp;"",LEFT(INDEX(인턴근무계획!$M$3:$R$202,$A105,$I$3)&amp;"",FIND(" ",INDEX(인턴근무계획!$M$3:$R$202,$A105,$I$3)&amp;"")-1))))</f>
        <v/>
      </c>
      <c r="J105" s="23">
        <f>IF(OR($C105="",$I$3=""),"",IF(INDEX(인턴근무계획!$M$3:$R$202,$A105,$I$3)&amp;""="","",IF(LEFT(INDEX(인턴근무계획!$M$3:$R$202,$A105,$I$3)&amp;"",1)="⚠","",MID(INDEX(인턴근무계획!$M$3:$R$202,$A105,$I$3)&amp;"",FIND(" ",INDEX(인턴근무계획!$M$3:$R$202,$A105,$I$3)&amp;"")+1,60))))</f>
        <v/>
      </c>
      <c r="K105" s="23">
        <f>IF($C105="","",INDEX(인턴근무계획!$M$3:$M$202,$A105)&amp;"")</f>
        <v/>
      </c>
      <c r="L105" s="23">
        <f>IF($C105="","",INDEX(인턴근무계획!$N$3:$N$202,$A105)&amp;"")</f>
        <v/>
      </c>
      <c r="M105" s="23">
        <f>IF($C105="","",INDEX(인턴근무계획!$O$3:$O$202,$A105)&amp;"")</f>
        <v/>
      </c>
      <c r="N105" s="23">
        <f>IF($C105="","",INDEX(인턴근무계획!$P$3:$P$202,$A105)&amp;"")</f>
        <v/>
      </c>
      <c r="O105" s="23">
        <f>IF($C105="","",INDEX(인턴근무계획!$Q$3:$Q$202,$A105)&amp;"")</f>
        <v/>
      </c>
      <c r="P105" s="23">
        <f>IF($C105="","",INDEX(인턴근무계획!$R$3:$R$202,$A105)&amp;"")</f>
        <v/>
      </c>
      <c r="Q105" s="23">
        <f>IF($C105="","",INDEX(인턴근무계획!$T$3:$T$202,$A105))</f>
        <v/>
      </c>
    </row>
    <row r="106">
      <c r="A106" s="26" t="n">
        <v>101</v>
      </c>
      <c r="B106" s="23">
        <f>IF($C106="","",INDEX(인턴근무계획!$B$3:$B$202,$A106))</f>
        <v/>
      </c>
      <c r="C106" s="23">
        <f>IFERROR(TRIM(INDEX(인턴근무계획!$C$3:$C$202,$A106)&amp;""),"")</f>
        <v/>
      </c>
      <c r="D106" s="23">
        <f>IF($C106="","",INDEX(인턴근무계획!$D$3:$D$202,$A106))</f>
        <v/>
      </c>
      <c r="E106" s="23">
        <f>IF($C106="","",IF(IFERROR(MATCH($D106,기본자료!$B$2:$B$501,0),IFERROR(MATCH($D106&amp;"",기본자료!$B$2:$B$501,0),IFERROR(MATCH(VALUE($D106),기본자료!$B$2:$B$501,0),0)))&gt;0,"확인","미등록"))</f>
        <v/>
      </c>
      <c r="F106" s="27">
        <f>IF($C106="","",INDEX(인턴근무계획!$S$3:$S$202,$A106))</f>
        <v/>
      </c>
      <c r="G106" s="23">
        <f>IF(OR($C106="",$G$3=""),"",IF(INDEX(인턴근무계획!$M$3:$R$202,$A106,$G$3)&amp;""="","",IF(LEFT(INDEX(인턴근무계획!$M$3:$R$202,$A106,$G$3)&amp;"",1)="⚠",INDEX(인턴근무계획!$M$3:$R$202,$A106,$G$3)&amp;"",LEFT(INDEX(인턴근무계획!$M$3:$R$202,$A106,$G$3)&amp;"",FIND(" ",INDEX(인턴근무계획!$M$3:$R$202,$A106,$G$3)&amp;"")-1))))</f>
        <v/>
      </c>
      <c r="H106" s="23">
        <f>IF(OR($C106="",$G$3=""),"",IF(INDEX(인턴근무계획!$M$3:$R$202,$A106,$G$3)&amp;""="","",IF(LEFT(INDEX(인턴근무계획!$M$3:$R$202,$A106,$G$3)&amp;"",1)="⚠","",MID(INDEX(인턴근무계획!$M$3:$R$202,$A106,$G$3)&amp;"",FIND(" ",INDEX(인턴근무계획!$M$3:$R$202,$A106,$G$3)&amp;"")+1,60))))</f>
        <v/>
      </c>
      <c r="I106" s="23">
        <f>IF(OR($C106="",$I$3=""),"",IF(INDEX(인턴근무계획!$M$3:$R$202,$A106,$I$3)&amp;""="","",IF(LEFT(INDEX(인턴근무계획!$M$3:$R$202,$A106,$I$3)&amp;"",1)="⚠",INDEX(인턴근무계획!$M$3:$R$202,$A106,$I$3)&amp;"",LEFT(INDEX(인턴근무계획!$M$3:$R$202,$A106,$I$3)&amp;"",FIND(" ",INDEX(인턴근무계획!$M$3:$R$202,$A106,$I$3)&amp;"")-1))))</f>
        <v/>
      </c>
      <c r="J106" s="23">
        <f>IF(OR($C106="",$I$3=""),"",IF(INDEX(인턴근무계획!$M$3:$R$202,$A106,$I$3)&amp;""="","",IF(LEFT(INDEX(인턴근무계획!$M$3:$R$202,$A106,$I$3)&amp;"",1)="⚠","",MID(INDEX(인턴근무계획!$M$3:$R$202,$A106,$I$3)&amp;"",FIND(" ",INDEX(인턴근무계획!$M$3:$R$202,$A106,$I$3)&amp;"")+1,60))))</f>
        <v/>
      </c>
      <c r="K106" s="23">
        <f>IF($C106="","",INDEX(인턴근무계획!$M$3:$M$202,$A106)&amp;"")</f>
        <v/>
      </c>
      <c r="L106" s="23">
        <f>IF($C106="","",INDEX(인턴근무계획!$N$3:$N$202,$A106)&amp;"")</f>
        <v/>
      </c>
      <c r="M106" s="23">
        <f>IF($C106="","",INDEX(인턴근무계획!$O$3:$O$202,$A106)&amp;"")</f>
        <v/>
      </c>
      <c r="N106" s="23">
        <f>IF($C106="","",INDEX(인턴근무계획!$P$3:$P$202,$A106)&amp;"")</f>
        <v/>
      </c>
      <c r="O106" s="23">
        <f>IF($C106="","",INDEX(인턴근무계획!$Q$3:$Q$202,$A106)&amp;"")</f>
        <v/>
      </c>
      <c r="P106" s="23">
        <f>IF($C106="","",INDEX(인턴근무계획!$R$3:$R$202,$A106)&amp;"")</f>
        <v/>
      </c>
      <c r="Q106" s="23">
        <f>IF($C106="","",INDEX(인턴근무계획!$T$3:$T$202,$A106))</f>
        <v/>
      </c>
    </row>
    <row r="107">
      <c r="A107" s="26" t="n">
        <v>102</v>
      </c>
      <c r="B107" s="23">
        <f>IF($C107="","",INDEX(인턴근무계획!$B$3:$B$202,$A107))</f>
        <v/>
      </c>
      <c r="C107" s="23">
        <f>IFERROR(TRIM(INDEX(인턴근무계획!$C$3:$C$202,$A107)&amp;""),"")</f>
        <v/>
      </c>
      <c r="D107" s="23">
        <f>IF($C107="","",INDEX(인턴근무계획!$D$3:$D$202,$A107))</f>
        <v/>
      </c>
      <c r="E107" s="23">
        <f>IF($C107="","",IF(IFERROR(MATCH($D107,기본자료!$B$2:$B$501,0),IFERROR(MATCH($D107&amp;"",기본자료!$B$2:$B$501,0),IFERROR(MATCH(VALUE($D107),기본자료!$B$2:$B$501,0),0)))&gt;0,"확인","미등록"))</f>
        <v/>
      </c>
      <c r="F107" s="27">
        <f>IF($C107="","",INDEX(인턴근무계획!$S$3:$S$202,$A107))</f>
        <v/>
      </c>
      <c r="G107" s="23">
        <f>IF(OR($C107="",$G$3=""),"",IF(INDEX(인턴근무계획!$M$3:$R$202,$A107,$G$3)&amp;""="","",IF(LEFT(INDEX(인턴근무계획!$M$3:$R$202,$A107,$G$3)&amp;"",1)="⚠",INDEX(인턴근무계획!$M$3:$R$202,$A107,$G$3)&amp;"",LEFT(INDEX(인턴근무계획!$M$3:$R$202,$A107,$G$3)&amp;"",FIND(" ",INDEX(인턴근무계획!$M$3:$R$202,$A107,$G$3)&amp;"")-1))))</f>
        <v/>
      </c>
      <c r="H107" s="23">
        <f>IF(OR($C107="",$G$3=""),"",IF(INDEX(인턴근무계획!$M$3:$R$202,$A107,$G$3)&amp;""="","",IF(LEFT(INDEX(인턴근무계획!$M$3:$R$202,$A107,$G$3)&amp;"",1)="⚠","",MID(INDEX(인턴근무계획!$M$3:$R$202,$A107,$G$3)&amp;"",FIND(" ",INDEX(인턴근무계획!$M$3:$R$202,$A107,$G$3)&amp;"")+1,60))))</f>
        <v/>
      </c>
      <c r="I107" s="23">
        <f>IF(OR($C107="",$I$3=""),"",IF(INDEX(인턴근무계획!$M$3:$R$202,$A107,$I$3)&amp;""="","",IF(LEFT(INDEX(인턴근무계획!$M$3:$R$202,$A107,$I$3)&amp;"",1)="⚠",INDEX(인턴근무계획!$M$3:$R$202,$A107,$I$3)&amp;"",LEFT(INDEX(인턴근무계획!$M$3:$R$202,$A107,$I$3)&amp;"",FIND(" ",INDEX(인턴근무계획!$M$3:$R$202,$A107,$I$3)&amp;"")-1))))</f>
        <v/>
      </c>
      <c r="J107" s="23">
        <f>IF(OR($C107="",$I$3=""),"",IF(INDEX(인턴근무계획!$M$3:$R$202,$A107,$I$3)&amp;""="","",IF(LEFT(INDEX(인턴근무계획!$M$3:$R$202,$A107,$I$3)&amp;"",1)="⚠","",MID(INDEX(인턴근무계획!$M$3:$R$202,$A107,$I$3)&amp;"",FIND(" ",INDEX(인턴근무계획!$M$3:$R$202,$A107,$I$3)&amp;"")+1,60))))</f>
        <v/>
      </c>
      <c r="K107" s="23">
        <f>IF($C107="","",INDEX(인턴근무계획!$M$3:$M$202,$A107)&amp;"")</f>
        <v/>
      </c>
      <c r="L107" s="23">
        <f>IF($C107="","",INDEX(인턴근무계획!$N$3:$N$202,$A107)&amp;"")</f>
        <v/>
      </c>
      <c r="M107" s="23">
        <f>IF($C107="","",INDEX(인턴근무계획!$O$3:$O$202,$A107)&amp;"")</f>
        <v/>
      </c>
      <c r="N107" s="23">
        <f>IF($C107="","",INDEX(인턴근무계획!$P$3:$P$202,$A107)&amp;"")</f>
        <v/>
      </c>
      <c r="O107" s="23">
        <f>IF($C107="","",INDEX(인턴근무계획!$Q$3:$Q$202,$A107)&amp;"")</f>
        <v/>
      </c>
      <c r="P107" s="23">
        <f>IF($C107="","",INDEX(인턴근무계획!$R$3:$R$202,$A107)&amp;"")</f>
        <v/>
      </c>
      <c r="Q107" s="23">
        <f>IF($C107="","",INDEX(인턴근무계획!$T$3:$T$202,$A107))</f>
        <v/>
      </c>
    </row>
    <row r="108">
      <c r="A108" s="26" t="n">
        <v>103</v>
      </c>
      <c r="B108" s="23">
        <f>IF($C108="","",INDEX(인턴근무계획!$B$3:$B$202,$A108))</f>
        <v/>
      </c>
      <c r="C108" s="23">
        <f>IFERROR(TRIM(INDEX(인턴근무계획!$C$3:$C$202,$A108)&amp;""),"")</f>
        <v/>
      </c>
      <c r="D108" s="23">
        <f>IF($C108="","",INDEX(인턴근무계획!$D$3:$D$202,$A108))</f>
        <v/>
      </c>
      <c r="E108" s="23">
        <f>IF($C108="","",IF(IFERROR(MATCH($D108,기본자료!$B$2:$B$501,0),IFERROR(MATCH($D108&amp;"",기본자료!$B$2:$B$501,0),IFERROR(MATCH(VALUE($D108),기본자료!$B$2:$B$501,0),0)))&gt;0,"확인","미등록"))</f>
        <v/>
      </c>
      <c r="F108" s="27">
        <f>IF($C108="","",INDEX(인턴근무계획!$S$3:$S$202,$A108))</f>
        <v/>
      </c>
      <c r="G108" s="23">
        <f>IF(OR($C108="",$G$3=""),"",IF(INDEX(인턴근무계획!$M$3:$R$202,$A108,$G$3)&amp;""="","",IF(LEFT(INDEX(인턴근무계획!$M$3:$R$202,$A108,$G$3)&amp;"",1)="⚠",INDEX(인턴근무계획!$M$3:$R$202,$A108,$G$3)&amp;"",LEFT(INDEX(인턴근무계획!$M$3:$R$202,$A108,$G$3)&amp;"",FIND(" ",INDEX(인턴근무계획!$M$3:$R$202,$A108,$G$3)&amp;"")-1))))</f>
        <v/>
      </c>
      <c r="H108" s="23">
        <f>IF(OR($C108="",$G$3=""),"",IF(INDEX(인턴근무계획!$M$3:$R$202,$A108,$G$3)&amp;""="","",IF(LEFT(INDEX(인턴근무계획!$M$3:$R$202,$A108,$G$3)&amp;"",1)="⚠","",MID(INDEX(인턴근무계획!$M$3:$R$202,$A108,$G$3)&amp;"",FIND(" ",INDEX(인턴근무계획!$M$3:$R$202,$A108,$G$3)&amp;"")+1,60))))</f>
        <v/>
      </c>
      <c r="I108" s="23">
        <f>IF(OR($C108="",$I$3=""),"",IF(INDEX(인턴근무계획!$M$3:$R$202,$A108,$I$3)&amp;""="","",IF(LEFT(INDEX(인턴근무계획!$M$3:$R$202,$A108,$I$3)&amp;"",1)="⚠",INDEX(인턴근무계획!$M$3:$R$202,$A108,$I$3)&amp;"",LEFT(INDEX(인턴근무계획!$M$3:$R$202,$A108,$I$3)&amp;"",FIND(" ",INDEX(인턴근무계획!$M$3:$R$202,$A108,$I$3)&amp;"")-1))))</f>
        <v/>
      </c>
      <c r="J108" s="23">
        <f>IF(OR($C108="",$I$3=""),"",IF(INDEX(인턴근무계획!$M$3:$R$202,$A108,$I$3)&amp;""="","",IF(LEFT(INDEX(인턴근무계획!$M$3:$R$202,$A108,$I$3)&amp;"",1)="⚠","",MID(INDEX(인턴근무계획!$M$3:$R$202,$A108,$I$3)&amp;"",FIND(" ",INDEX(인턴근무계획!$M$3:$R$202,$A108,$I$3)&amp;"")+1,60))))</f>
        <v/>
      </c>
      <c r="K108" s="23">
        <f>IF($C108="","",INDEX(인턴근무계획!$M$3:$M$202,$A108)&amp;"")</f>
        <v/>
      </c>
      <c r="L108" s="23">
        <f>IF($C108="","",INDEX(인턴근무계획!$N$3:$N$202,$A108)&amp;"")</f>
        <v/>
      </c>
      <c r="M108" s="23">
        <f>IF($C108="","",INDEX(인턴근무계획!$O$3:$O$202,$A108)&amp;"")</f>
        <v/>
      </c>
      <c r="N108" s="23">
        <f>IF($C108="","",INDEX(인턴근무계획!$P$3:$P$202,$A108)&amp;"")</f>
        <v/>
      </c>
      <c r="O108" s="23">
        <f>IF($C108="","",INDEX(인턴근무계획!$Q$3:$Q$202,$A108)&amp;"")</f>
        <v/>
      </c>
      <c r="P108" s="23">
        <f>IF($C108="","",INDEX(인턴근무계획!$R$3:$R$202,$A108)&amp;"")</f>
        <v/>
      </c>
      <c r="Q108" s="23">
        <f>IF($C108="","",INDEX(인턴근무계획!$T$3:$T$202,$A108))</f>
        <v/>
      </c>
    </row>
    <row r="109">
      <c r="A109" s="26" t="n">
        <v>104</v>
      </c>
      <c r="B109" s="23">
        <f>IF($C109="","",INDEX(인턴근무계획!$B$3:$B$202,$A109))</f>
        <v/>
      </c>
      <c r="C109" s="23">
        <f>IFERROR(TRIM(INDEX(인턴근무계획!$C$3:$C$202,$A109)&amp;""),"")</f>
        <v/>
      </c>
      <c r="D109" s="23">
        <f>IF($C109="","",INDEX(인턴근무계획!$D$3:$D$202,$A109))</f>
        <v/>
      </c>
      <c r="E109" s="23">
        <f>IF($C109="","",IF(IFERROR(MATCH($D109,기본자료!$B$2:$B$501,0),IFERROR(MATCH($D109&amp;"",기본자료!$B$2:$B$501,0),IFERROR(MATCH(VALUE($D109),기본자료!$B$2:$B$501,0),0)))&gt;0,"확인","미등록"))</f>
        <v/>
      </c>
      <c r="F109" s="27">
        <f>IF($C109="","",INDEX(인턴근무계획!$S$3:$S$202,$A109))</f>
        <v/>
      </c>
      <c r="G109" s="23">
        <f>IF(OR($C109="",$G$3=""),"",IF(INDEX(인턴근무계획!$M$3:$R$202,$A109,$G$3)&amp;""="","",IF(LEFT(INDEX(인턴근무계획!$M$3:$R$202,$A109,$G$3)&amp;"",1)="⚠",INDEX(인턴근무계획!$M$3:$R$202,$A109,$G$3)&amp;"",LEFT(INDEX(인턴근무계획!$M$3:$R$202,$A109,$G$3)&amp;"",FIND(" ",INDEX(인턴근무계획!$M$3:$R$202,$A109,$G$3)&amp;"")-1))))</f>
        <v/>
      </c>
      <c r="H109" s="23">
        <f>IF(OR($C109="",$G$3=""),"",IF(INDEX(인턴근무계획!$M$3:$R$202,$A109,$G$3)&amp;""="","",IF(LEFT(INDEX(인턴근무계획!$M$3:$R$202,$A109,$G$3)&amp;"",1)="⚠","",MID(INDEX(인턴근무계획!$M$3:$R$202,$A109,$G$3)&amp;"",FIND(" ",INDEX(인턴근무계획!$M$3:$R$202,$A109,$G$3)&amp;"")+1,60))))</f>
        <v/>
      </c>
      <c r="I109" s="23">
        <f>IF(OR($C109="",$I$3=""),"",IF(INDEX(인턴근무계획!$M$3:$R$202,$A109,$I$3)&amp;""="","",IF(LEFT(INDEX(인턴근무계획!$M$3:$R$202,$A109,$I$3)&amp;"",1)="⚠",INDEX(인턴근무계획!$M$3:$R$202,$A109,$I$3)&amp;"",LEFT(INDEX(인턴근무계획!$M$3:$R$202,$A109,$I$3)&amp;"",FIND(" ",INDEX(인턴근무계획!$M$3:$R$202,$A109,$I$3)&amp;"")-1))))</f>
        <v/>
      </c>
      <c r="J109" s="23">
        <f>IF(OR($C109="",$I$3=""),"",IF(INDEX(인턴근무계획!$M$3:$R$202,$A109,$I$3)&amp;""="","",IF(LEFT(INDEX(인턴근무계획!$M$3:$R$202,$A109,$I$3)&amp;"",1)="⚠","",MID(INDEX(인턴근무계획!$M$3:$R$202,$A109,$I$3)&amp;"",FIND(" ",INDEX(인턴근무계획!$M$3:$R$202,$A109,$I$3)&amp;"")+1,60))))</f>
        <v/>
      </c>
      <c r="K109" s="23">
        <f>IF($C109="","",INDEX(인턴근무계획!$M$3:$M$202,$A109)&amp;"")</f>
        <v/>
      </c>
      <c r="L109" s="23">
        <f>IF($C109="","",INDEX(인턴근무계획!$N$3:$N$202,$A109)&amp;"")</f>
        <v/>
      </c>
      <c r="M109" s="23">
        <f>IF($C109="","",INDEX(인턴근무계획!$O$3:$O$202,$A109)&amp;"")</f>
        <v/>
      </c>
      <c r="N109" s="23">
        <f>IF($C109="","",INDEX(인턴근무계획!$P$3:$P$202,$A109)&amp;"")</f>
        <v/>
      </c>
      <c r="O109" s="23">
        <f>IF($C109="","",INDEX(인턴근무계획!$Q$3:$Q$202,$A109)&amp;"")</f>
        <v/>
      </c>
      <c r="P109" s="23">
        <f>IF($C109="","",INDEX(인턴근무계획!$R$3:$R$202,$A109)&amp;"")</f>
        <v/>
      </c>
      <c r="Q109" s="23">
        <f>IF($C109="","",INDEX(인턴근무계획!$T$3:$T$202,$A109))</f>
        <v/>
      </c>
    </row>
    <row r="110">
      <c r="A110" s="26" t="n">
        <v>105</v>
      </c>
      <c r="B110" s="23">
        <f>IF($C110="","",INDEX(인턴근무계획!$B$3:$B$202,$A110))</f>
        <v/>
      </c>
      <c r="C110" s="23">
        <f>IFERROR(TRIM(INDEX(인턴근무계획!$C$3:$C$202,$A110)&amp;""),"")</f>
        <v/>
      </c>
      <c r="D110" s="23">
        <f>IF($C110="","",INDEX(인턴근무계획!$D$3:$D$202,$A110))</f>
        <v/>
      </c>
      <c r="E110" s="23">
        <f>IF($C110="","",IF(IFERROR(MATCH($D110,기본자료!$B$2:$B$501,0),IFERROR(MATCH($D110&amp;"",기본자료!$B$2:$B$501,0),IFERROR(MATCH(VALUE($D110),기본자료!$B$2:$B$501,0),0)))&gt;0,"확인","미등록"))</f>
        <v/>
      </c>
      <c r="F110" s="27">
        <f>IF($C110="","",INDEX(인턴근무계획!$S$3:$S$202,$A110))</f>
        <v/>
      </c>
      <c r="G110" s="23">
        <f>IF(OR($C110="",$G$3=""),"",IF(INDEX(인턴근무계획!$M$3:$R$202,$A110,$G$3)&amp;""="","",IF(LEFT(INDEX(인턴근무계획!$M$3:$R$202,$A110,$G$3)&amp;"",1)="⚠",INDEX(인턴근무계획!$M$3:$R$202,$A110,$G$3)&amp;"",LEFT(INDEX(인턴근무계획!$M$3:$R$202,$A110,$G$3)&amp;"",FIND(" ",INDEX(인턴근무계획!$M$3:$R$202,$A110,$G$3)&amp;"")-1))))</f>
        <v/>
      </c>
      <c r="H110" s="23">
        <f>IF(OR($C110="",$G$3=""),"",IF(INDEX(인턴근무계획!$M$3:$R$202,$A110,$G$3)&amp;""="","",IF(LEFT(INDEX(인턴근무계획!$M$3:$R$202,$A110,$G$3)&amp;"",1)="⚠","",MID(INDEX(인턴근무계획!$M$3:$R$202,$A110,$G$3)&amp;"",FIND(" ",INDEX(인턴근무계획!$M$3:$R$202,$A110,$G$3)&amp;"")+1,60))))</f>
        <v/>
      </c>
      <c r="I110" s="23">
        <f>IF(OR($C110="",$I$3=""),"",IF(INDEX(인턴근무계획!$M$3:$R$202,$A110,$I$3)&amp;""="","",IF(LEFT(INDEX(인턴근무계획!$M$3:$R$202,$A110,$I$3)&amp;"",1)="⚠",INDEX(인턴근무계획!$M$3:$R$202,$A110,$I$3)&amp;"",LEFT(INDEX(인턴근무계획!$M$3:$R$202,$A110,$I$3)&amp;"",FIND(" ",INDEX(인턴근무계획!$M$3:$R$202,$A110,$I$3)&amp;"")-1))))</f>
        <v/>
      </c>
      <c r="J110" s="23">
        <f>IF(OR($C110="",$I$3=""),"",IF(INDEX(인턴근무계획!$M$3:$R$202,$A110,$I$3)&amp;""="","",IF(LEFT(INDEX(인턴근무계획!$M$3:$R$202,$A110,$I$3)&amp;"",1)="⚠","",MID(INDEX(인턴근무계획!$M$3:$R$202,$A110,$I$3)&amp;"",FIND(" ",INDEX(인턴근무계획!$M$3:$R$202,$A110,$I$3)&amp;"")+1,60))))</f>
        <v/>
      </c>
      <c r="K110" s="23">
        <f>IF($C110="","",INDEX(인턴근무계획!$M$3:$M$202,$A110)&amp;"")</f>
        <v/>
      </c>
      <c r="L110" s="23">
        <f>IF($C110="","",INDEX(인턴근무계획!$N$3:$N$202,$A110)&amp;"")</f>
        <v/>
      </c>
      <c r="M110" s="23">
        <f>IF($C110="","",INDEX(인턴근무계획!$O$3:$O$202,$A110)&amp;"")</f>
        <v/>
      </c>
      <c r="N110" s="23">
        <f>IF($C110="","",INDEX(인턴근무계획!$P$3:$P$202,$A110)&amp;"")</f>
        <v/>
      </c>
      <c r="O110" s="23">
        <f>IF($C110="","",INDEX(인턴근무계획!$Q$3:$Q$202,$A110)&amp;"")</f>
        <v/>
      </c>
      <c r="P110" s="23">
        <f>IF($C110="","",INDEX(인턴근무계획!$R$3:$R$202,$A110)&amp;"")</f>
        <v/>
      </c>
      <c r="Q110" s="23">
        <f>IF($C110="","",INDEX(인턴근무계획!$T$3:$T$202,$A110))</f>
        <v/>
      </c>
    </row>
    <row r="111">
      <c r="A111" s="26" t="n">
        <v>106</v>
      </c>
      <c r="B111" s="23">
        <f>IF($C111="","",INDEX(인턴근무계획!$B$3:$B$202,$A111))</f>
        <v/>
      </c>
      <c r="C111" s="23">
        <f>IFERROR(TRIM(INDEX(인턴근무계획!$C$3:$C$202,$A111)&amp;""),"")</f>
        <v/>
      </c>
      <c r="D111" s="23">
        <f>IF($C111="","",INDEX(인턴근무계획!$D$3:$D$202,$A111))</f>
        <v/>
      </c>
      <c r="E111" s="23">
        <f>IF($C111="","",IF(IFERROR(MATCH($D111,기본자료!$B$2:$B$501,0),IFERROR(MATCH($D111&amp;"",기본자료!$B$2:$B$501,0),IFERROR(MATCH(VALUE($D111),기본자료!$B$2:$B$501,0),0)))&gt;0,"확인","미등록"))</f>
        <v/>
      </c>
      <c r="F111" s="27">
        <f>IF($C111="","",INDEX(인턴근무계획!$S$3:$S$202,$A111))</f>
        <v/>
      </c>
      <c r="G111" s="23">
        <f>IF(OR($C111="",$G$3=""),"",IF(INDEX(인턴근무계획!$M$3:$R$202,$A111,$G$3)&amp;""="","",IF(LEFT(INDEX(인턴근무계획!$M$3:$R$202,$A111,$G$3)&amp;"",1)="⚠",INDEX(인턴근무계획!$M$3:$R$202,$A111,$G$3)&amp;"",LEFT(INDEX(인턴근무계획!$M$3:$R$202,$A111,$G$3)&amp;"",FIND(" ",INDEX(인턴근무계획!$M$3:$R$202,$A111,$G$3)&amp;"")-1))))</f>
        <v/>
      </c>
      <c r="H111" s="23">
        <f>IF(OR($C111="",$G$3=""),"",IF(INDEX(인턴근무계획!$M$3:$R$202,$A111,$G$3)&amp;""="","",IF(LEFT(INDEX(인턴근무계획!$M$3:$R$202,$A111,$G$3)&amp;"",1)="⚠","",MID(INDEX(인턴근무계획!$M$3:$R$202,$A111,$G$3)&amp;"",FIND(" ",INDEX(인턴근무계획!$M$3:$R$202,$A111,$G$3)&amp;"")+1,60))))</f>
        <v/>
      </c>
      <c r="I111" s="23">
        <f>IF(OR($C111="",$I$3=""),"",IF(INDEX(인턴근무계획!$M$3:$R$202,$A111,$I$3)&amp;""="","",IF(LEFT(INDEX(인턴근무계획!$M$3:$R$202,$A111,$I$3)&amp;"",1)="⚠",INDEX(인턴근무계획!$M$3:$R$202,$A111,$I$3)&amp;"",LEFT(INDEX(인턴근무계획!$M$3:$R$202,$A111,$I$3)&amp;"",FIND(" ",INDEX(인턴근무계획!$M$3:$R$202,$A111,$I$3)&amp;"")-1))))</f>
        <v/>
      </c>
      <c r="J111" s="23">
        <f>IF(OR($C111="",$I$3=""),"",IF(INDEX(인턴근무계획!$M$3:$R$202,$A111,$I$3)&amp;""="","",IF(LEFT(INDEX(인턴근무계획!$M$3:$R$202,$A111,$I$3)&amp;"",1)="⚠","",MID(INDEX(인턴근무계획!$M$3:$R$202,$A111,$I$3)&amp;"",FIND(" ",INDEX(인턴근무계획!$M$3:$R$202,$A111,$I$3)&amp;"")+1,60))))</f>
        <v/>
      </c>
      <c r="K111" s="23">
        <f>IF($C111="","",INDEX(인턴근무계획!$M$3:$M$202,$A111)&amp;"")</f>
        <v/>
      </c>
      <c r="L111" s="23">
        <f>IF($C111="","",INDEX(인턴근무계획!$N$3:$N$202,$A111)&amp;"")</f>
        <v/>
      </c>
      <c r="M111" s="23">
        <f>IF($C111="","",INDEX(인턴근무계획!$O$3:$O$202,$A111)&amp;"")</f>
        <v/>
      </c>
      <c r="N111" s="23">
        <f>IF($C111="","",INDEX(인턴근무계획!$P$3:$P$202,$A111)&amp;"")</f>
        <v/>
      </c>
      <c r="O111" s="23">
        <f>IF($C111="","",INDEX(인턴근무계획!$Q$3:$Q$202,$A111)&amp;"")</f>
        <v/>
      </c>
      <c r="P111" s="23">
        <f>IF($C111="","",INDEX(인턴근무계획!$R$3:$R$202,$A111)&amp;"")</f>
        <v/>
      </c>
      <c r="Q111" s="23">
        <f>IF($C111="","",INDEX(인턴근무계획!$T$3:$T$202,$A111))</f>
        <v/>
      </c>
    </row>
    <row r="112">
      <c r="A112" s="26" t="n">
        <v>107</v>
      </c>
      <c r="B112" s="23">
        <f>IF($C112="","",INDEX(인턴근무계획!$B$3:$B$202,$A112))</f>
        <v/>
      </c>
      <c r="C112" s="23">
        <f>IFERROR(TRIM(INDEX(인턴근무계획!$C$3:$C$202,$A112)&amp;""),"")</f>
        <v/>
      </c>
      <c r="D112" s="23">
        <f>IF($C112="","",INDEX(인턴근무계획!$D$3:$D$202,$A112))</f>
        <v/>
      </c>
      <c r="E112" s="23">
        <f>IF($C112="","",IF(IFERROR(MATCH($D112,기본자료!$B$2:$B$501,0),IFERROR(MATCH($D112&amp;"",기본자료!$B$2:$B$501,0),IFERROR(MATCH(VALUE($D112),기본자료!$B$2:$B$501,0),0)))&gt;0,"확인","미등록"))</f>
        <v/>
      </c>
      <c r="F112" s="27">
        <f>IF($C112="","",INDEX(인턴근무계획!$S$3:$S$202,$A112))</f>
        <v/>
      </c>
      <c r="G112" s="23">
        <f>IF(OR($C112="",$G$3=""),"",IF(INDEX(인턴근무계획!$M$3:$R$202,$A112,$G$3)&amp;""="","",IF(LEFT(INDEX(인턴근무계획!$M$3:$R$202,$A112,$G$3)&amp;"",1)="⚠",INDEX(인턴근무계획!$M$3:$R$202,$A112,$G$3)&amp;"",LEFT(INDEX(인턴근무계획!$M$3:$R$202,$A112,$G$3)&amp;"",FIND(" ",INDEX(인턴근무계획!$M$3:$R$202,$A112,$G$3)&amp;"")-1))))</f>
        <v/>
      </c>
      <c r="H112" s="23">
        <f>IF(OR($C112="",$G$3=""),"",IF(INDEX(인턴근무계획!$M$3:$R$202,$A112,$G$3)&amp;""="","",IF(LEFT(INDEX(인턴근무계획!$M$3:$R$202,$A112,$G$3)&amp;"",1)="⚠","",MID(INDEX(인턴근무계획!$M$3:$R$202,$A112,$G$3)&amp;"",FIND(" ",INDEX(인턴근무계획!$M$3:$R$202,$A112,$G$3)&amp;"")+1,60))))</f>
        <v/>
      </c>
      <c r="I112" s="23">
        <f>IF(OR($C112="",$I$3=""),"",IF(INDEX(인턴근무계획!$M$3:$R$202,$A112,$I$3)&amp;""="","",IF(LEFT(INDEX(인턴근무계획!$M$3:$R$202,$A112,$I$3)&amp;"",1)="⚠",INDEX(인턴근무계획!$M$3:$R$202,$A112,$I$3)&amp;"",LEFT(INDEX(인턴근무계획!$M$3:$R$202,$A112,$I$3)&amp;"",FIND(" ",INDEX(인턴근무계획!$M$3:$R$202,$A112,$I$3)&amp;"")-1))))</f>
        <v/>
      </c>
      <c r="J112" s="23">
        <f>IF(OR($C112="",$I$3=""),"",IF(INDEX(인턴근무계획!$M$3:$R$202,$A112,$I$3)&amp;""="","",IF(LEFT(INDEX(인턴근무계획!$M$3:$R$202,$A112,$I$3)&amp;"",1)="⚠","",MID(INDEX(인턴근무계획!$M$3:$R$202,$A112,$I$3)&amp;"",FIND(" ",INDEX(인턴근무계획!$M$3:$R$202,$A112,$I$3)&amp;"")+1,60))))</f>
        <v/>
      </c>
      <c r="K112" s="23">
        <f>IF($C112="","",INDEX(인턴근무계획!$M$3:$M$202,$A112)&amp;"")</f>
        <v/>
      </c>
      <c r="L112" s="23">
        <f>IF($C112="","",INDEX(인턴근무계획!$N$3:$N$202,$A112)&amp;"")</f>
        <v/>
      </c>
      <c r="M112" s="23">
        <f>IF($C112="","",INDEX(인턴근무계획!$O$3:$O$202,$A112)&amp;"")</f>
        <v/>
      </c>
      <c r="N112" s="23">
        <f>IF($C112="","",INDEX(인턴근무계획!$P$3:$P$202,$A112)&amp;"")</f>
        <v/>
      </c>
      <c r="O112" s="23">
        <f>IF($C112="","",INDEX(인턴근무계획!$Q$3:$Q$202,$A112)&amp;"")</f>
        <v/>
      </c>
      <c r="P112" s="23">
        <f>IF($C112="","",INDEX(인턴근무계획!$R$3:$R$202,$A112)&amp;"")</f>
        <v/>
      </c>
      <c r="Q112" s="23">
        <f>IF($C112="","",INDEX(인턴근무계획!$T$3:$T$202,$A112))</f>
        <v/>
      </c>
    </row>
    <row r="113">
      <c r="A113" s="26" t="n">
        <v>108</v>
      </c>
      <c r="B113" s="23">
        <f>IF($C113="","",INDEX(인턴근무계획!$B$3:$B$202,$A113))</f>
        <v/>
      </c>
      <c r="C113" s="23">
        <f>IFERROR(TRIM(INDEX(인턴근무계획!$C$3:$C$202,$A113)&amp;""),"")</f>
        <v/>
      </c>
      <c r="D113" s="23">
        <f>IF($C113="","",INDEX(인턴근무계획!$D$3:$D$202,$A113))</f>
        <v/>
      </c>
      <c r="E113" s="23">
        <f>IF($C113="","",IF(IFERROR(MATCH($D113,기본자료!$B$2:$B$501,0),IFERROR(MATCH($D113&amp;"",기본자료!$B$2:$B$501,0),IFERROR(MATCH(VALUE($D113),기본자료!$B$2:$B$501,0),0)))&gt;0,"확인","미등록"))</f>
        <v/>
      </c>
      <c r="F113" s="27">
        <f>IF($C113="","",INDEX(인턴근무계획!$S$3:$S$202,$A113))</f>
        <v/>
      </c>
      <c r="G113" s="23">
        <f>IF(OR($C113="",$G$3=""),"",IF(INDEX(인턴근무계획!$M$3:$R$202,$A113,$G$3)&amp;""="","",IF(LEFT(INDEX(인턴근무계획!$M$3:$R$202,$A113,$G$3)&amp;"",1)="⚠",INDEX(인턴근무계획!$M$3:$R$202,$A113,$G$3)&amp;"",LEFT(INDEX(인턴근무계획!$M$3:$R$202,$A113,$G$3)&amp;"",FIND(" ",INDEX(인턴근무계획!$M$3:$R$202,$A113,$G$3)&amp;"")-1))))</f>
        <v/>
      </c>
      <c r="H113" s="23">
        <f>IF(OR($C113="",$G$3=""),"",IF(INDEX(인턴근무계획!$M$3:$R$202,$A113,$G$3)&amp;""="","",IF(LEFT(INDEX(인턴근무계획!$M$3:$R$202,$A113,$G$3)&amp;"",1)="⚠","",MID(INDEX(인턴근무계획!$M$3:$R$202,$A113,$G$3)&amp;"",FIND(" ",INDEX(인턴근무계획!$M$3:$R$202,$A113,$G$3)&amp;"")+1,60))))</f>
        <v/>
      </c>
      <c r="I113" s="23">
        <f>IF(OR($C113="",$I$3=""),"",IF(INDEX(인턴근무계획!$M$3:$R$202,$A113,$I$3)&amp;""="","",IF(LEFT(INDEX(인턴근무계획!$M$3:$R$202,$A113,$I$3)&amp;"",1)="⚠",INDEX(인턴근무계획!$M$3:$R$202,$A113,$I$3)&amp;"",LEFT(INDEX(인턴근무계획!$M$3:$R$202,$A113,$I$3)&amp;"",FIND(" ",INDEX(인턴근무계획!$M$3:$R$202,$A113,$I$3)&amp;"")-1))))</f>
        <v/>
      </c>
      <c r="J113" s="23">
        <f>IF(OR($C113="",$I$3=""),"",IF(INDEX(인턴근무계획!$M$3:$R$202,$A113,$I$3)&amp;""="","",IF(LEFT(INDEX(인턴근무계획!$M$3:$R$202,$A113,$I$3)&amp;"",1)="⚠","",MID(INDEX(인턴근무계획!$M$3:$R$202,$A113,$I$3)&amp;"",FIND(" ",INDEX(인턴근무계획!$M$3:$R$202,$A113,$I$3)&amp;"")+1,60))))</f>
        <v/>
      </c>
      <c r="K113" s="23">
        <f>IF($C113="","",INDEX(인턴근무계획!$M$3:$M$202,$A113)&amp;"")</f>
        <v/>
      </c>
      <c r="L113" s="23">
        <f>IF($C113="","",INDEX(인턴근무계획!$N$3:$N$202,$A113)&amp;"")</f>
        <v/>
      </c>
      <c r="M113" s="23">
        <f>IF($C113="","",INDEX(인턴근무계획!$O$3:$O$202,$A113)&amp;"")</f>
        <v/>
      </c>
      <c r="N113" s="23">
        <f>IF($C113="","",INDEX(인턴근무계획!$P$3:$P$202,$A113)&amp;"")</f>
        <v/>
      </c>
      <c r="O113" s="23">
        <f>IF($C113="","",INDEX(인턴근무계획!$Q$3:$Q$202,$A113)&amp;"")</f>
        <v/>
      </c>
      <c r="P113" s="23">
        <f>IF($C113="","",INDEX(인턴근무계획!$R$3:$R$202,$A113)&amp;"")</f>
        <v/>
      </c>
      <c r="Q113" s="23">
        <f>IF($C113="","",INDEX(인턴근무계획!$T$3:$T$202,$A113))</f>
        <v/>
      </c>
    </row>
    <row r="114">
      <c r="A114" s="26" t="n">
        <v>109</v>
      </c>
      <c r="B114" s="23">
        <f>IF($C114="","",INDEX(인턴근무계획!$B$3:$B$202,$A114))</f>
        <v/>
      </c>
      <c r="C114" s="23">
        <f>IFERROR(TRIM(INDEX(인턴근무계획!$C$3:$C$202,$A114)&amp;""),"")</f>
        <v/>
      </c>
      <c r="D114" s="23">
        <f>IF($C114="","",INDEX(인턴근무계획!$D$3:$D$202,$A114))</f>
        <v/>
      </c>
      <c r="E114" s="23">
        <f>IF($C114="","",IF(IFERROR(MATCH($D114,기본자료!$B$2:$B$501,0),IFERROR(MATCH($D114&amp;"",기본자료!$B$2:$B$501,0),IFERROR(MATCH(VALUE($D114),기본자료!$B$2:$B$501,0),0)))&gt;0,"확인","미등록"))</f>
        <v/>
      </c>
      <c r="F114" s="27">
        <f>IF($C114="","",INDEX(인턴근무계획!$S$3:$S$202,$A114))</f>
        <v/>
      </c>
      <c r="G114" s="23">
        <f>IF(OR($C114="",$G$3=""),"",IF(INDEX(인턴근무계획!$M$3:$R$202,$A114,$G$3)&amp;""="","",IF(LEFT(INDEX(인턴근무계획!$M$3:$R$202,$A114,$G$3)&amp;"",1)="⚠",INDEX(인턴근무계획!$M$3:$R$202,$A114,$G$3)&amp;"",LEFT(INDEX(인턴근무계획!$M$3:$R$202,$A114,$G$3)&amp;"",FIND(" ",INDEX(인턴근무계획!$M$3:$R$202,$A114,$G$3)&amp;"")-1))))</f>
        <v/>
      </c>
      <c r="H114" s="23">
        <f>IF(OR($C114="",$G$3=""),"",IF(INDEX(인턴근무계획!$M$3:$R$202,$A114,$G$3)&amp;""="","",IF(LEFT(INDEX(인턴근무계획!$M$3:$R$202,$A114,$G$3)&amp;"",1)="⚠","",MID(INDEX(인턴근무계획!$M$3:$R$202,$A114,$G$3)&amp;"",FIND(" ",INDEX(인턴근무계획!$M$3:$R$202,$A114,$G$3)&amp;"")+1,60))))</f>
        <v/>
      </c>
      <c r="I114" s="23">
        <f>IF(OR($C114="",$I$3=""),"",IF(INDEX(인턴근무계획!$M$3:$R$202,$A114,$I$3)&amp;""="","",IF(LEFT(INDEX(인턴근무계획!$M$3:$R$202,$A114,$I$3)&amp;"",1)="⚠",INDEX(인턴근무계획!$M$3:$R$202,$A114,$I$3)&amp;"",LEFT(INDEX(인턴근무계획!$M$3:$R$202,$A114,$I$3)&amp;"",FIND(" ",INDEX(인턴근무계획!$M$3:$R$202,$A114,$I$3)&amp;"")-1))))</f>
        <v/>
      </c>
      <c r="J114" s="23">
        <f>IF(OR($C114="",$I$3=""),"",IF(INDEX(인턴근무계획!$M$3:$R$202,$A114,$I$3)&amp;""="","",IF(LEFT(INDEX(인턴근무계획!$M$3:$R$202,$A114,$I$3)&amp;"",1)="⚠","",MID(INDEX(인턴근무계획!$M$3:$R$202,$A114,$I$3)&amp;"",FIND(" ",INDEX(인턴근무계획!$M$3:$R$202,$A114,$I$3)&amp;"")+1,60))))</f>
        <v/>
      </c>
      <c r="K114" s="23">
        <f>IF($C114="","",INDEX(인턴근무계획!$M$3:$M$202,$A114)&amp;"")</f>
        <v/>
      </c>
      <c r="L114" s="23">
        <f>IF($C114="","",INDEX(인턴근무계획!$N$3:$N$202,$A114)&amp;"")</f>
        <v/>
      </c>
      <c r="M114" s="23">
        <f>IF($C114="","",INDEX(인턴근무계획!$O$3:$O$202,$A114)&amp;"")</f>
        <v/>
      </c>
      <c r="N114" s="23">
        <f>IF($C114="","",INDEX(인턴근무계획!$P$3:$P$202,$A114)&amp;"")</f>
        <v/>
      </c>
      <c r="O114" s="23">
        <f>IF($C114="","",INDEX(인턴근무계획!$Q$3:$Q$202,$A114)&amp;"")</f>
        <v/>
      </c>
      <c r="P114" s="23">
        <f>IF($C114="","",INDEX(인턴근무계획!$R$3:$R$202,$A114)&amp;"")</f>
        <v/>
      </c>
      <c r="Q114" s="23">
        <f>IF($C114="","",INDEX(인턴근무계획!$T$3:$T$202,$A114))</f>
        <v/>
      </c>
    </row>
    <row r="115">
      <c r="A115" s="26" t="n">
        <v>110</v>
      </c>
      <c r="B115" s="23">
        <f>IF($C115="","",INDEX(인턴근무계획!$B$3:$B$202,$A115))</f>
        <v/>
      </c>
      <c r="C115" s="23">
        <f>IFERROR(TRIM(INDEX(인턴근무계획!$C$3:$C$202,$A115)&amp;""),"")</f>
        <v/>
      </c>
      <c r="D115" s="23">
        <f>IF($C115="","",INDEX(인턴근무계획!$D$3:$D$202,$A115))</f>
        <v/>
      </c>
      <c r="E115" s="23">
        <f>IF($C115="","",IF(IFERROR(MATCH($D115,기본자료!$B$2:$B$501,0),IFERROR(MATCH($D115&amp;"",기본자료!$B$2:$B$501,0),IFERROR(MATCH(VALUE($D115),기본자료!$B$2:$B$501,0),0)))&gt;0,"확인","미등록"))</f>
        <v/>
      </c>
      <c r="F115" s="27">
        <f>IF($C115="","",INDEX(인턴근무계획!$S$3:$S$202,$A115))</f>
        <v/>
      </c>
      <c r="G115" s="23">
        <f>IF(OR($C115="",$G$3=""),"",IF(INDEX(인턴근무계획!$M$3:$R$202,$A115,$G$3)&amp;""="","",IF(LEFT(INDEX(인턴근무계획!$M$3:$R$202,$A115,$G$3)&amp;"",1)="⚠",INDEX(인턴근무계획!$M$3:$R$202,$A115,$G$3)&amp;"",LEFT(INDEX(인턴근무계획!$M$3:$R$202,$A115,$G$3)&amp;"",FIND(" ",INDEX(인턴근무계획!$M$3:$R$202,$A115,$G$3)&amp;"")-1))))</f>
        <v/>
      </c>
      <c r="H115" s="23">
        <f>IF(OR($C115="",$G$3=""),"",IF(INDEX(인턴근무계획!$M$3:$R$202,$A115,$G$3)&amp;""="","",IF(LEFT(INDEX(인턴근무계획!$M$3:$R$202,$A115,$G$3)&amp;"",1)="⚠","",MID(INDEX(인턴근무계획!$M$3:$R$202,$A115,$G$3)&amp;"",FIND(" ",INDEX(인턴근무계획!$M$3:$R$202,$A115,$G$3)&amp;"")+1,60))))</f>
        <v/>
      </c>
      <c r="I115" s="23">
        <f>IF(OR($C115="",$I$3=""),"",IF(INDEX(인턴근무계획!$M$3:$R$202,$A115,$I$3)&amp;""="","",IF(LEFT(INDEX(인턴근무계획!$M$3:$R$202,$A115,$I$3)&amp;"",1)="⚠",INDEX(인턴근무계획!$M$3:$R$202,$A115,$I$3)&amp;"",LEFT(INDEX(인턴근무계획!$M$3:$R$202,$A115,$I$3)&amp;"",FIND(" ",INDEX(인턴근무계획!$M$3:$R$202,$A115,$I$3)&amp;"")-1))))</f>
        <v/>
      </c>
      <c r="J115" s="23">
        <f>IF(OR($C115="",$I$3=""),"",IF(INDEX(인턴근무계획!$M$3:$R$202,$A115,$I$3)&amp;""="","",IF(LEFT(INDEX(인턴근무계획!$M$3:$R$202,$A115,$I$3)&amp;"",1)="⚠","",MID(INDEX(인턴근무계획!$M$3:$R$202,$A115,$I$3)&amp;"",FIND(" ",INDEX(인턴근무계획!$M$3:$R$202,$A115,$I$3)&amp;"")+1,60))))</f>
        <v/>
      </c>
      <c r="K115" s="23">
        <f>IF($C115="","",INDEX(인턴근무계획!$M$3:$M$202,$A115)&amp;"")</f>
        <v/>
      </c>
      <c r="L115" s="23">
        <f>IF($C115="","",INDEX(인턴근무계획!$N$3:$N$202,$A115)&amp;"")</f>
        <v/>
      </c>
      <c r="M115" s="23">
        <f>IF($C115="","",INDEX(인턴근무계획!$O$3:$O$202,$A115)&amp;"")</f>
        <v/>
      </c>
      <c r="N115" s="23">
        <f>IF($C115="","",INDEX(인턴근무계획!$P$3:$P$202,$A115)&amp;"")</f>
        <v/>
      </c>
      <c r="O115" s="23">
        <f>IF($C115="","",INDEX(인턴근무계획!$Q$3:$Q$202,$A115)&amp;"")</f>
        <v/>
      </c>
      <c r="P115" s="23">
        <f>IF($C115="","",INDEX(인턴근무계획!$R$3:$R$202,$A115)&amp;"")</f>
        <v/>
      </c>
      <c r="Q115" s="23">
        <f>IF($C115="","",INDEX(인턴근무계획!$T$3:$T$202,$A115))</f>
        <v/>
      </c>
    </row>
    <row r="116">
      <c r="A116" s="26" t="n">
        <v>111</v>
      </c>
      <c r="B116" s="23">
        <f>IF($C116="","",INDEX(인턴근무계획!$B$3:$B$202,$A116))</f>
        <v/>
      </c>
      <c r="C116" s="23">
        <f>IFERROR(TRIM(INDEX(인턴근무계획!$C$3:$C$202,$A116)&amp;""),"")</f>
        <v/>
      </c>
      <c r="D116" s="23">
        <f>IF($C116="","",INDEX(인턴근무계획!$D$3:$D$202,$A116))</f>
        <v/>
      </c>
      <c r="E116" s="23">
        <f>IF($C116="","",IF(IFERROR(MATCH($D116,기본자료!$B$2:$B$501,0),IFERROR(MATCH($D116&amp;"",기본자료!$B$2:$B$501,0),IFERROR(MATCH(VALUE($D116),기본자료!$B$2:$B$501,0),0)))&gt;0,"확인","미등록"))</f>
        <v/>
      </c>
      <c r="F116" s="27">
        <f>IF($C116="","",INDEX(인턴근무계획!$S$3:$S$202,$A116))</f>
        <v/>
      </c>
      <c r="G116" s="23">
        <f>IF(OR($C116="",$G$3=""),"",IF(INDEX(인턴근무계획!$M$3:$R$202,$A116,$G$3)&amp;""="","",IF(LEFT(INDEX(인턴근무계획!$M$3:$R$202,$A116,$G$3)&amp;"",1)="⚠",INDEX(인턴근무계획!$M$3:$R$202,$A116,$G$3)&amp;"",LEFT(INDEX(인턴근무계획!$M$3:$R$202,$A116,$G$3)&amp;"",FIND(" ",INDEX(인턴근무계획!$M$3:$R$202,$A116,$G$3)&amp;"")-1))))</f>
        <v/>
      </c>
      <c r="H116" s="23">
        <f>IF(OR($C116="",$G$3=""),"",IF(INDEX(인턴근무계획!$M$3:$R$202,$A116,$G$3)&amp;""="","",IF(LEFT(INDEX(인턴근무계획!$M$3:$R$202,$A116,$G$3)&amp;"",1)="⚠","",MID(INDEX(인턴근무계획!$M$3:$R$202,$A116,$G$3)&amp;"",FIND(" ",INDEX(인턴근무계획!$M$3:$R$202,$A116,$G$3)&amp;"")+1,60))))</f>
        <v/>
      </c>
      <c r="I116" s="23">
        <f>IF(OR($C116="",$I$3=""),"",IF(INDEX(인턴근무계획!$M$3:$R$202,$A116,$I$3)&amp;""="","",IF(LEFT(INDEX(인턴근무계획!$M$3:$R$202,$A116,$I$3)&amp;"",1)="⚠",INDEX(인턴근무계획!$M$3:$R$202,$A116,$I$3)&amp;"",LEFT(INDEX(인턴근무계획!$M$3:$R$202,$A116,$I$3)&amp;"",FIND(" ",INDEX(인턴근무계획!$M$3:$R$202,$A116,$I$3)&amp;"")-1))))</f>
        <v/>
      </c>
      <c r="J116" s="23">
        <f>IF(OR($C116="",$I$3=""),"",IF(INDEX(인턴근무계획!$M$3:$R$202,$A116,$I$3)&amp;""="","",IF(LEFT(INDEX(인턴근무계획!$M$3:$R$202,$A116,$I$3)&amp;"",1)="⚠","",MID(INDEX(인턴근무계획!$M$3:$R$202,$A116,$I$3)&amp;"",FIND(" ",INDEX(인턴근무계획!$M$3:$R$202,$A116,$I$3)&amp;"")+1,60))))</f>
        <v/>
      </c>
      <c r="K116" s="23">
        <f>IF($C116="","",INDEX(인턴근무계획!$M$3:$M$202,$A116)&amp;"")</f>
        <v/>
      </c>
      <c r="L116" s="23">
        <f>IF($C116="","",INDEX(인턴근무계획!$N$3:$N$202,$A116)&amp;"")</f>
        <v/>
      </c>
      <c r="M116" s="23">
        <f>IF($C116="","",INDEX(인턴근무계획!$O$3:$O$202,$A116)&amp;"")</f>
        <v/>
      </c>
      <c r="N116" s="23">
        <f>IF($C116="","",INDEX(인턴근무계획!$P$3:$P$202,$A116)&amp;"")</f>
        <v/>
      </c>
      <c r="O116" s="23">
        <f>IF($C116="","",INDEX(인턴근무계획!$Q$3:$Q$202,$A116)&amp;"")</f>
        <v/>
      </c>
      <c r="P116" s="23">
        <f>IF($C116="","",INDEX(인턴근무계획!$R$3:$R$202,$A116)&amp;"")</f>
        <v/>
      </c>
      <c r="Q116" s="23">
        <f>IF($C116="","",INDEX(인턴근무계획!$T$3:$T$202,$A116))</f>
        <v/>
      </c>
    </row>
    <row r="117">
      <c r="A117" s="26" t="n">
        <v>112</v>
      </c>
      <c r="B117" s="23">
        <f>IF($C117="","",INDEX(인턴근무계획!$B$3:$B$202,$A117))</f>
        <v/>
      </c>
      <c r="C117" s="23">
        <f>IFERROR(TRIM(INDEX(인턴근무계획!$C$3:$C$202,$A117)&amp;""),"")</f>
        <v/>
      </c>
      <c r="D117" s="23">
        <f>IF($C117="","",INDEX(인턴근무계획!$D$3:$D$202,$A117))</f>
        <v/>
      </c>
      <c r="E117" s="23">
        <f>IF($C117="","",IF(IFERROR(MATCH($D117,기본자료!$B$2:$B$501,0),IFERROR(MATCH($D117&amp;"",기본자료!$B$2:$B$501,0),IFERROR(MATCH(VALUE($D117),기본자료!$B$2:$B$501,0),0)))&gt;0,"확인","미등록"))</f>
        <v/>
      </c>
      <c r="F117" s="27">
        <f>IF($C117="","",INDEX(인턴근무계획!$S$3:$S$202,$A117))</f>
        <v/>
      </c>
      <c r="G117" s="23">
        <f>IF(OR($C117="",$G$3=""),"",IF(INDEX(인턴근무계획!$M$3:$R$202,$A117,$G$3)&amp;""="","",IF(LEFT(INDEX(인턴근무계획!$M$3:$R$202,$A117,$G$3)&amp;"",1)="⚠",INDEX(인턴근무계획!$M$3:$R$202,$A117,$G$3)&amp;"",LEFT(INDEX(인턴근무계획!$M$3:$R$202,$A117,$G$3)&amp;"",FIND(" ",INDEX(인턴근무계획!$M$3:$R$202,$A117,$G$3)&amp;"")-1))))</f>
        <v/>
      </c>
      <c r="H117" s="23">
        <f>IF(OR($C117="",$G$3=""),"",IF(INDEX(인턴근무계획!$M$3:$R$202,$A117,$G$3)&amp;""="","",IF(LEFT(INDEX(인턴근무계획!$M$3:$R$202,$A117,$G$3)&amp;"",1)="⚠","",MID(INDEX(인턴근무계획!$M$3:$R$202,$A117,$G$3)&amp;"",FIND(" ",INDEX(인턴근무계획!$M$3:$R$202,$A117,$G$3)&amp;"")+1,60))))</f>
        <v/>
      </c>
      <c r="I117" s="23">
        <f>IF(OR($C117="",$I$3=""),"",IF(INDEX(인턴근무계획!$M$3:$R$202,$A117,$I$3)&amp;""="","",IF(LEFT(INDEX(인턴근무계획!$M$3:$R$202,$A117,$I$3)&amp;"",1)="⚠",INDEX(인턴근무계획!$M$3:$R$202,$A117,$I$3)&amp;"",LEFT(INDEX(인턴근무계획!$M$3:$R$202,$A117,$I$3)&amp;"",FIND(" ",INDEX(인턴근무계획!$M$3:$R$202,$A117,$I$3)&amp;"")-1))))</f>
        <v/>
      </c>
      <c r="J117" s="23">
        <f>IF(OR($C117="",$I$3=""),"",IF(INDEX(인턴근무계획!$M$3:$R$202,$A117,$I$3)&amp;""="","",IF(LEFT(INDEX(인턴근무계획!$M$3:$R$202,$A117,$I$3)&amp;"",1)="⚠","",MID(INDEX(인턴근무계획!$M$3:$R$202,$A117,$I$3)&amp;"",FIND(" ",INDEX(인턴근무계획!$M$3:$R$202,$A117,$I$3)&amp;"")+1,60))))</f>
        <v/>
      </c>
      <c r="K117" s="23">
        <f>IF($C117="","",INDEX(인턴근무계획!$M$3:$M$202,$A117)&amp;"")</f>
        <v/>
      </c>
      <c r="L117" s="23">
        <f>IF($C117="","",INDEX(인턴근무계획!$N$3:$N$202,$A117)&amp;"")</f>
        <v/>
      </c>
      <c r="M117" s="23">
        <f>IF($C117="","",INDEX(인턴근무계획!$O$3:$O$202,$A117)&amp;"")</f>
        <v/>
      </c>
      <c r="N117" s="23">
        <f>IF($C117="","",INDEX(인턴근무계획!$P$3:$P$202,$A117)&amp;"")</f>
        <v/>
      </c>
      <c r="O117" s="23">
        <f>IF($C117="","",INDEX(인턴근무계획!$Q$3:$Q$202,$A117)&amp;"")</f>
        <v/>
      </c>
      <c r="P117" s="23">
        <f>IF($C117="","",INDEX(인턴근무계획!$R$3:$R$202,$A117)&amp;"")</f>
        <v/>
      </c>
      <c r="Q117" s="23">
        <f>IF($C117="","",INDEX(인턴근무계획!$T$3:$T$202,$A117))</f>
        <v/>
      </c>
    </row>
    <row r="118">
      <c r="A118" s="26" t="n">
        <v>113</v>
      </c>
      <c r="B118" s="23">
        <f>IF($C118="","",INDEX(인턴근무계획!$B$3:$B$202,$A118))</f>
        <v/>
      </c>
      <c r="C118" s="23">
        <f>IFERROR(TRIM(INDEX(인턴근무계획!$C$3:$C$202,$A118)&amp;""),"")</f>
        <v/>
      </c>
      <c r="D118" s="23">
        <f>IF($C118="","",INDEX(인턴근무계획!$D$3:$D$202,$A118))</f>
        <v/>
      </c>
      <c r="E118" s="23">
        <f>IF($C118="","",IF(IFERROR(MATCH($D118,기본자료!$B$2:$B$501,0),IFERROR(MATCH($D118&amp;"",기본자료!$B$2:$B$501,0),IFERROR(MATCH(VALUE($D118),기본자료!$B$2:$B$501,0),0)))&gt;0,"확인","미등록"))</f>
        <v/>
      </c>
      <c r="F118" s="27">
        <f>IF($C118="","",INDEX(인턴근무계획!$S$3:$S$202,$A118))</f>
        <v/>
      </c>
      <c r="G118" s="23">
        <f>IF(OR($C118="",$G$3=""),"",IF(INDEX(인턴근무계획!$M$3:$R$202,$A118,$G$3)&amp;""="","",IF(LEFT(INDEX(인턴근무계획!$M$3:$R$202,$A118,$G$3)&amp;"",1)="⚠",INDEX(인턴근무계획!$M$3:$R$202,$A118,$G$3)&amp;"",LEFT(INDEX(인턴근무계획!$M$3:$R$202,$A118,$G$3)&amp;"",FIND(" ",INDEX(인턴근무계획!$M$3:$R$202,$A118,$G$3)&amp;"")-1))))</f>
        <v/>
      </c>
      <c r="H118" s="23">
        <f>IF(OR($C118="",$G$3=""),"",IF(INDEX(인턴근무계획!$M$3:$R$202,$A118,$G$3)&amp;""="","",IF(LEFT(INDEX(인턴근무계획!$M$3:$R$202,$A118,$G$3)&amp;"",1)="⚠","",MID(INDEX(인턴근무계획!$M$3:$R$202,$A118,$G$3)&amp;"",FIND(" ",INDEX(인턴근무계획!$M$3:$R$202,$A118,$G$3)&amp;"")+1,60))))</f>
        <v/>
      </c>
      <c r="I118" s="23">
        <f>IF(OR($C118="",$I$3=""),"",IF(INDEX(인턴근무계획!$M$3:$R$202,$A118,$I$3)&amp;""="","",IF(LEFT(INDEX(인턴근무계획!$M$3:$R$202,$A118,$I$3)&amp;"",1)="⚠",INDEX(인턴근무계획!$M$3:$R$202,$A118,$I$3)&amp;"",LEFT(INDEX(인턴근무계획!$M$3:$R$202,$A118,$I$3)&amp;"",FIND(" ",INDEX(인턴근무계획!$M$3:$R$202,$A118,$I$3)&amp;"")-1))))</f>
        <v/>
      </c>
      <c r="J118" s="23">
        <f>IF(OR($C118="",$I$3=""),"",IF(INDEX(인턴근무계획!$M$3:$R$202,$A118,$I$3)&amp;""="","",IF(LEFT(INDEX(인턴근무계획!$M$3:$R$202,$A118,$I$3)&amp;"",1)="⚠","",MID(INDEX(인턴근무계획!$M$3:$R$202,$A118,$I$3)&amp;"",FIND(" ",INDEX(인턴근무계획!$M$3:$R$202,$A118,$I$3)&amp;"")+1,60))))</f>
        <v/>
      </c>
      <c r="K118" s="23">
        <f>IF($C118="","",INDEX(인턴근무계획!$M$3:$M$202,$A118)&amp;"")</f>
        <v/>
      </c>
      <c r="L118" s="23">
        <f>IF($C118="","",INDEX(인턴근무계획!$N$3:$N$202,$A118)&amp;"")</f>
        <v/>
      </c>
      <c r="M118" s="23">
        <f>IF($C118="","",INDEX(인턴근무계획!$O$3:$O$202,$A118)&amp;"")</f>
        <v/>
      </c>
      <c r="N118" s="23">
        <f>IF($C118="","",INDEX(인턴근무계획!$P$3:$P$202,$A118)&amp;"")</f>
        <v/>
      </c>
      <c r="O118" s="23">
        <f>IF($C118="","",INDEX(인턴근무계획!$Q$3:$Q$202,$A118)&amp;"")</f>
        <v/>
      </c>
      <c r="P118" s="23">
        <f>IF($C118="","",INDEX(인턴근무계획!$R$3:$R$202,$A118)&amp;"")</f>
        <v/>
      </c>
      <c r="Q118" s="23">
        <f>IF($C118="","",INDEX(인턴근무계획!$T$3:$T$202,$A118))</f>
        <v/>
      </c>
    </row>
    <row r="119">
      <c r="A119" s="26" t="n">
        <v>114</v>
      </c>
      <c r="B119" s="23">
        <f>IF($C119="","",INDEX(인턴근무계획!$B$3:$B$202,$A119))</f>
        <v/>
      </c>
      <c r="C119" s="23">
        <f>IFERROR(TRIM(INDEX(인턴근무계획!$C$3:$C$202,$A119)&amp;""),"")</f>
        <v/>
      </c>
      <c r="D119" s="23">
        <f>IF($C119="","",INDEX(인턴근무계획!$D$3:$D$202,$A119))</f>
        <v/>
      </c>
      <c r="E119" s="23">
        <f>IF($C119="","",IF(IFERROR(MATCH($D119,기본자료!$B$2:$B$501,0),IFERROR(MATCH($D119&amp;"",기본자료!$B$2:$B$501,0),IFERROR(MATCH(VALUE($D119),기본자료!$B$2:$B$501,0),0)))&gt;0,"확인","미등록"))</f>
        <v/>
      </c>
      <c r="F119" s="27">
        <f>IF($C119="","",INDEX(인턴근무계획!$S$3:$S$202,$A119))</f>
        <v/>
      </c>
      <c r="G119" s="23">
        <f>IF(OR($C119="",$G$3=""),"",IF(INDEX(인턴근무계획!$M$3:$R$202,$A119,$G$3)&amp;""="","",IF(LEFT(INDEX(인턴근무계획!$M$3:$R$202,$A119,$G$3)&amp;"",1)="⚠",INDEX(인턴근무계획!$M$3:$R$202,$A119,$G$3)&amp;"",LEFT(INDEX(인턴근무계획!$M$3:$R$202,$A119,$G$3)&amp;"",FIND(" ",INDEX(인턴근무계획!$M$3:$R$202,$A119,$G$3)&amp;"")-1))))</f>
        <v/>
      </c>
      <c r="H119" s="23">
        <f>IF(OR($C119="",$G$3=""),"",IF(INDEX(인턴근무계획!$M$3:$R$202,$A119,$G$3)&amp;""="","",IF(LEFT(INDEX(인턴근무계획!$M$3:$R$202,$A119,$G$3)&amp;"",1)="⚠","",MID(INDEX(인턴근무계획!$M$3:$R$202,$A119,$G$3)&amp;"",FIND(" ",INDEX(인턴근무계획!$M$3:$R$202,$A119,$G$3)&amp;"")+1,60))))</f>
        <v/>
      </c>
      <c r="I119" s="23">
        <f>IF(OR($C119="",$I$3=""),"",IF(INDEX(인턴근무계획!$M$3:$R$202,$A119,$I$3)&amp;""="","",IF(LEFT(INDEX(인턴근무계획!$M$3:$R$202,$A119,$I$3)&amp;"",1)="⚠",INDEX(인턴근무계획!$M$3:$R$202,$A119,$I$3)&amp;"",LEFT(INDEX(인턴근무계획!$M$3:$R$202,$A119,$I$3)&amp;"",FIND(" ",INDEX(인턴근무계획!$M$3:$R$202,$A119,$I$3)&amp;"")-1))))</f>
        <v/>
      </c>
      <c r="J119" s="23">
        <f>IF(OR($C119="",$I$3=""),"",IF(INDEX(인턴근무계획!$M$3:$R$202,$A119,$I$3)&amp;""="","",IF(LEFT(INDEX(인턴근무계획!$M$3:$R$202,$A119,$I$3)&amp;"",1)="⚠","",MID(INDEX(인턴근무계획!$M$3:$R$202,$A119,$I$3)&amp;"",FIND(" ",INDEX(인턴근무계획!$M$3:$R$202,$A119,$I$3)&amp;"")+1,60))))</f>
        <v/>
      </c>
      <c r="K119" s="23">
        <f>IF($C119="","",INDEX(인턴근무계획!$M$3:$M$202,$A119)&amp;"")</f>
        <v/>
      </c>
      <c r="L119" s="23">
        <f>IF($C119="","",INDEX(인턴근무계획!$N$3:$N$202,$A119)&amp;"")</f>
        <v/>
      </c>
      <c r="M119" s="23">
        <f>IF($C119="","",INDEX(인턴근무계획!$O$3:$O$202,$A119)&amp;"")</f>
        <v/>
      </c>
      <c r="N119" s="23">
        <f>IF($C119="","",INDEX(인턴근무계획!$P$3:$P$202,$A119)&amp;"")</f>
        <v/>
      </c>
      <c r="O119" s="23">
        <f>IF($C119="","",INDEX(인턴근무계획!$Q$3:$Q$202,$A119)&amp;"")</f>
        <v/>
      </c>
      <c r="P119" s="23">
        <f>IF($C119="","",INDEX(인턴근무계획!$R$3:$R$202,$A119)&amp;"")</f>
        <v/>
      </c>
      <c r="Q119" s="23">
        <f>IF($C119="","",INDEX(인턴근무계획!$T$3:$T$202,$A119))</f>
        <v/>
      </c>
    </row>
    <row r="120">
      <c r="A120" s="26" t="n">
        <v>115</v>
      </c>
      <c r="B120" s="23">
        <f>IF($C120="","",INDEX(인턴근무계획!$B$3:$B$202,$A120))</f>
        <v/>
      </c>
      <c r="C120" s="23">
        <f>IFERROR(TRIM(INDEX(인턴근무계획!$C$3:$C$202,$A120)&amp;""),"")</f>
        <v/>
      </c>
      <c r="D120" s="23">
        <f>IF($C120="","",INDEX(인턴근무계획!$D$3:$D$202,$A120))</f>
        <v/>
      </c>
      <c r="E120" s="23">
        <f>IF($C120="","",IF(IFERROR(MATCH($D120,기본자료!$B$2:$B$501,0),IFERROR(MATCH($D120&amp;"",기본자료!$B$2:$B$501,0),IFERROR(MATCH(VALUE($D120),기본자료!$B$2:$B$501,0),0)))&gt;0,"확인","미등록"))</f>
        <v/>
      </c>
      <c r="F120" s="27">
        <f>IF($C120="","",INDEX(인턴근무계획!$S$3:$S$202,$A120))</f>
        <v/>
      </c>
      <c r="G120" s="23">
        <f>IF(OR($C120="",$G$3=""),"",IF(INDEX(인턴근무계획!$M$3:$R$202,$A120,$G$3)&amp;""="","",IF(LEFT(INDEX(인턴근무계획!$M$3:$R$202,$A120,$G$3)&amp;"",1)="⚠",INDEX(인턴근무계획!$M$3:$R$202,$A120,$G$3)&amp;"",LEFT(INDEX(인턴근무계획!$M$3:$R$202,$A120,$G$3)&amp;"",FIND(" ",INDEX(인턴근무계획!$M$3:$R$202,$A120,$G$3)&amp;"")-1))))</f>
        <v/>
      </c>
      <c r="H120" s="23">
        <f>IF(OR($C120="",$G$3=""),"",IF(INDEX(인턴근무계획!$M$3:$R$202,$A120,$G$3)&amp;""="","",IF(LEFT(INDEX(인턴근무계획!$M$3:$R$202,$A120,$G$3)&amp;"",1)="⚠","",MID(INDEX(인턴근무계획!$M$3:$R$202,$A120,$G$3)&amp;"",FIND(" ",INDEX(인턴근무계획!$M$3:$R$202,$A120,$G$3)&amp;"")+1,60))))</f>
        <v/>
      </c>
      <c r="I120" s="23">
        <f>IF(OR($C120="",$I$3=""),"",IF(INDEX(인턴근무계획!$M$3:$R$202,$A120,$I$3)&amp;""="","",IF(LEFT(INDEX(인턴근무계획!$M$3:$R$202,$A120,$I$3)&amp;"",1)="⚠",INDEX(인턴근무계획!$M$3:$R$202,$A120,$I$3)&amp;"",LEFT(INDEX(인턴근무계획!$M$3:$R$202,$A120,$I$3)&amp;"",FIND(" ",INDEX(인턴근무계획!$M$3:$R$202,$A120,$I$3)&amp;"")-1))))</f>
        <v/>
      </c>
      <c r="J120" s="23">
        <f>IF(OR($C120="",$I$3=""),"",IF(INDEX(인턴근무계획!$M$3:$R$202,$A120,$I$3)&amp;""="","",IF(LEFT(INDEX(인턴근무계획!$M$3:$R$202,$A120,$I$3)&amp;"",1)="⚠","",MID(INDEX(인턴근무계획!$M$3:$R$202,$A120,$I$3)&amp;"",FIND(" ",INDEX(인턴근무계획!$M$3:$R$202,$A120,$I$3)&amp;"")+1,60))))</f>
        <v/>
      </c>
      <c r="K120" s="23">
        <f>IF($C120="","",INDEX(인턴근무계획!$M$3:$M$202,$A120)&amp;"")</f>
        <v/>
      </c>
      <c r="L120" s="23">
        <f>IF($C120="","",INDEX(인턴근무계획!$N$3:$N$202,$A120)&amp;"")</f>
        <v/>
      </c>
      <c r="M120" s="23">
        <f>IF($C120="","",INDEX(인턴근무계획!$O$3:$O$202,$A120)&amp;"")</f>
        <v/>
      </c>
      <c r="N120" s="23">
        <f>IF($C120="","",INDEX(인턴근무계획!$P$3:$P$202,$A120)&amp;"")</f>
        <v/>
      </c>
      <c r="O120" s="23">
        <f>IF($C120="","",INDEX(인턴근무계획!$Q$3:$Q$202,$A120)&amp;"")</f>
        <v/>
      </c>
      <c r="P120" s="23">
        <f>IF($C120="","",INDEX(인턴근무계획!$R$3:$R$202,$A120)&amp;"")</f>
        <v/>
      </c>
      <c r="Q120" s="23">
        <f>IF($C120="","",INDEX(인턴근무계획!$T$3:$T$202,$A120))</f>
        <v/>
      </c>
    </row>
    <row r="121">
      <c r="A121" s="26" t="n">
        <v>116</v>
      </c>
      <c r="B121" s="23">
        <f>IF($C121="","",INDEX(인턴근무계획!$B$3:$B$202,$A121))</f>
        <v/>
      </c>
      <c r="C121" s="23">
        <f>IFERROR(TRIM(INDEX(인턴근무계획!$C$3:$C$202,$A121)&amp;""),"")</f>
        <v/>
      </c>
      <c r="D121" s="23">
        <f>IF($C121="","",INDEX(인턴근무계획!$D$3:$D$202,$A121))</f>
        <v/>
      </c>
      <c r="E121" s="23">
        <f>IF($C121="","",IF(IFERROR(MATCH($D121,기본자료!$B$2:$B$501,0),IFERROR(MATCH($D121&amp;"",기본자료!$B$2:$B$501,0),IFERROR(MATCH(VALUE($D121),기본자료!$B$2:$B$501,0),0)))&gt;0,"확인","미등록"))</f>
        <v/>
      </c>
      <c r="F121" s="27">
        <f>IF($C121="","",INDEX(인턴근무계획!$S$3:$S$202,$A121))</f>
        <v/>
      </c>
      <c r="G121" s="23">
        <f>IF(OR($C121="",$G$3=""),"",IF(INDEX(인턴근무계획!$M$3:$R$202,$A121,$G$3)&amp;""="","",IF(LEFT(INDEX(인턴근무계획!$M$3:$R$202,$A121,$G$3)&amp;"",1)="⚠",INDEX(인턴근무계획!$M$3:$R$202,$A121,$G$3)&amp;"",LEFT(INDEX(인턴근무계획!$M$3:$R$202,$A121,$G$3)&amp;"",FIND(" ",INDEX(인턴근무계획!$M$3:$R$202,$A121,$G$3)&amp;"")-1))))</f>
        <v/>
      </c>
      <c r="H121" s="23">
        <f>IF(OR($C121="",$G$3=""),"",IF(INDEX(인턴근무계획!$M$3:$R$202,$A121,$G$3)&amp;""="","",IF(LEFT(INDEX(인턴근무계획!$M$3:$R$202,$A121,$G$3)&amp;"",1)="⚠","",MID(INDEX(인턴근무계획!$M$3:$R$202,$A121,$G$3)&amp;"",FIND(" ",INDEX(인턴근무계획!$M$3:$R$202,$A121,$G$3)&amp;"")+1,60))))</f>
        <v/>
      </c>
      <c r="I121" s="23">
        <f>IF(OR($C121="",$I$3=""),"",IF(INDEX(인턴근무계획!$M$3:$R$202,$A121,$I$3)&amp;""="","",IF(LEFT(INDEX(인턴근무계획!$M$3:$R$202,$A121,$I$3)&amp;"",1)="⚠",INDEX(인턴근무계획!$M$3:$R$202,$A121,$I$3)&amp;"",LEFT(INDEX(인턴근무계획!$M$3:$R$202,$A121,$I$3)&amp;"",FIND(" ",INDEX(인턴근무계획!$M$3:$R$202,$A121,$I$3)&amp;"")-1))))</f>
        <v/>
      </c>
      <c r="J121" s="23">
        <f>IF(OR($C121="",$I$3=""),"",IF(INDEX(인턴근무계획!$M$3:$R$202,$A121,$I$3)&amp;""="","",IF(LEFT(INDEX(인턴근무계획!$M$3:$R$202,$A121,$I$3)&amp;"",1)="⚠","",MID(INDEX(인턴근무계획!$M$3:$R$202,$A121,$I$3)&amp;"",FIND(" ",INDEX(인턴근무계획!$M$3:$R$202,$A121,$I$3)&amp;"")+1,60))))</f>
        <v/>
      </c>
      <c r="K121" s="23">
        <f>IF($C121="","",INDEX(인턴근무계획!$M$3:$M$202,$A121)&amp;"")</f>
        <v/>
      </c>
      <c r="L121" s="23">
        <f>IF($C121="","",INDEX(인턴근무계획!$N$3:$N$202,$A121)&amp;"")</f>
        <v/>
      </c>
      <c r="M121" s="23">
        <f>IF($C121="","",INDEX(인턴근무계획!$O$3:$O$202,$A121)&amp;"")</f>
        <v/>
      </c>
      <c r="N121" s="23">
        <f>IF($C121="","",INDEX(인턴근무계획!$P$3:$P$202,$A121)&amp;"")</f>
        <v/>
      </c>
      <c r="O121" s="23">
        <f>IF($C121="","",INDEX(인턴근무계획!$Q$3:$Q$202,$A121)&amp;"")</f>
        <v/>
      </c>
      <c r="P121" s="23">
        <f>IF($C121="","",INDEX(인턴근무계획!$R$3:$R$202,$A121)&amp;"")</f>
        <v/>
      </c>
      <c r="Q121" s="23">
        <f>IF($C121="","",INDEX(인턴근무계획!$T$3:$T$202,$A121))</f>
        <v/>
      </c>
    </row>
    <row r="122">
      <c r="A122" s="26" t="n">
        <v>117</v>
      </c>
      <c r="B122" s="23">
        <f>IF($C122="","",INDEX(인턴근무계획!$B$3:$B$202,$A122))</f>
        <v/>
      </c>
      <c r="C122" s="23">
        <f>IFERROR(TRIM(INDEX(인턴근무계획!$C$3:$C$202,$A122)&amp;""),"")</f>
        <v/>
      </c>
      <c r="D122" s="23">
        <f>IF($C122="","",INDEX(인턴근무계획!$D$3:$D$202,$A122))</f>
        <v/>
      </c>
      <c r="E122" s="23">
        <f>IF($C122="","",IF(IFERROR(MATCH($D122,기본자료!$B$2:$B$501,0),IFERROR(MATCH($D122&amp;"",기본자료!$B$2:$B$501,0),IFERROR(MATCH(VALUE($D122),기본자료!$B$2:$B$501,0),0)))&gt;0,"확인","미등록"))</f>
        <v/>
      </c>
      <c r="F122" s="27">
        <f>IF($C122="","",INDEX(인턴근무계획!$S$3:$S$202,$A122))</f>
        <v/>
      </c>
      <c r="G122" s="23">
        <f>IF(OR($C122="",$G$3=""),"",IF(INDEX(인턴근무계획!$M$3:$R$202,$A122,$G$3)&amp;""="","",IF(LEFT(INDEX(인턴근무계획!$M$3:$R$202,$A122,$G$3)&amp;"",1)="⚠",INDEX(인턴근무계획!$M$3:$R$202,$A122,$G$3)&amp;"",LEFT(INDEX(인턴근무계획!$M$3:$R$202,$A122,$G$3)&amp;"",FIND(" ",INDEX(인턴근무계획!$M$3:$R$202,$A122,$G$3)&amp;"")-1))))</f>
        <v/>
      </c>
      <c r="H122" s="23">
        <f>IF(OR($C122="",$G$3=""),"",IF(INDEX(인턴근무계획!$M$3:$R$202,$A122,$G$3)&amp;""="","",IF(LEFT(INDEX(인턴근무계획!$M$3:$R$202,$A122,$G$3)&amp;"",1)="⚠","",MID(INDEX(인턴근무계획!$M$3:$R$202,$A122,$G$3)&amp;"",FIND(" ",INDEX(인턴근무계획!$M$3:$R$202,$A122,$G$3)&amp;"")+1,60))))</f>
        <v/>
      </c>
      <c r="I122" s="23">
        <f>IF(OR($C122="",$I$3=""),"",IF(INDEX(인턴근무계획!$M$3:$R$202,$A122,$I$3)&amp;""="","",IF(LEFT(INDEX(인턴근무계획!$M$3:$R$202,$A122,$I$3)&amp;"",1)="⚠",INDEX(인턴근무계획!$M$3:$R$202,$A122,$I$3)&amp;"",LEFT(INDEX(인턴근무계획!$M$3:$R$202,$A122,$I$3)&amp;"",FIND(" ",INDEX(인턴근무계획!$M$3:$R$202,$A122,$I$3)&amp;"")-1))))</f>
        <v/>
      </c>
      <c r="J122" s="23">
        <f>IF(OR($C122="",$I$3=""),"",IF(INDEX(인턴근무계획!$M$3:$R$202,$A122,$I$3)&amp;""="","",IF(LEFT(INDEX(인턴근무계획!$M$3:$R$202,$A122,$I$3)&amp;"",1)="⚠","",MID(INDEX(인턴근무계획!$M$3:$R$202,$A122,$I$3)&amp;"",FIND(" ",INDEX(인턴근무계획!$M$3:$R$202,$A122,$I$3)&amp;"")+1,60))))</f>
        <v/>
      </c>
      <c r="K122" s="23">
        <f>IF($C122="","",INDEX(인턴근무계획!$M$3:$M$202,$A122)&amp;"")</f>
        <v/>
      </c>
      <c r="L122" s="23">
        <f>IF($C122="","",INDEX(인턴근무계획!$N$3:$N$202,$A122)&amp;"")</f>
        <v/>
      </c>
      <c r="M122" s="23">
        <f>IF($C122="","",INDEX(인턴근무계획!$O$3:$O$202,$A122)&amp;"")</f>
        <v/>
      </c>
      <c r="N122" s="23">
        <f>IF($C122="","",INDEX(인턴근무계획!$P$3:$P$202,$A122)&amp;"")</f>
        <v/>
      </c>
      <c r="O122" s="23">
        <f>IF($C122="","",INDEX(인턴근무계획!$Q$3:$Q$202,$A122)&amp;"")</f>
        <v/>
      </c>
      <c r="P122" s="23">
        <f>IF($C122="","",INDEX(인턴근무계획!$R$3:$R$202,$A122)&amp;"")</f>
        <v/>
      </c>
      <c r="Q122" s="23">
        <f>IF($C122="","",INDEX(인턴근무계획!$T$3:$T$202,$A122))</f>
        <v/>
      </c>
    </row>
    <row r="123">
      <c r="A123" s="26" t="n">
        <v>118</v>
      </c>
      <c r="B123" s="23">
        <f>IF($C123="","",INDEX(인턴근무계획!$B$3:$B$202,$A123))</f>
        <v/>
      </c>
      <c r="C123" s="23">
        <f>IFERROR(TRIM(INDEX(인턴근무계획!$C$3:$C$202,$A123)&amp;""),"")</f>
        <v/>
      </c>
      <c r="D123" s="23">
        <f>IF($C123="","",INDEX(인턴근무계획!$D$3:$D$202,$A123))</f>
        <v/>
      </c>
      <c r="E123" s="23">
        <f>IF($C123="","",IF(IFERROR(MATCH($D123,기본자료!$B$2:$B$501,0),IFERROR(MATCH($D123&amp;"",기본자료!$B$2:$B$501,0),IFERROR(MATCH(VALUE($D123),기본자료!$B$2:$B$501,0),0)))&gt;0,"확인","미등록"))</f>
        <v/>
      </c>
      <c r="F123" s="27">
        <f>IF($C123="","",INDEX(인턴근무계획!$S$3:$S$202,$A123))</f>
        <v/>
      </c>
      <c r="G123" s="23">
        <f>IF(OR($C123="",$G$3=""),"",IF(INDEX(인턴근무계획!$M$3:$R$202,$A123,$G$3)&amp;""="","",IF(LEFT(INDEX(인턴근무계획!$M$3:$R$202,$A123,$G$3)&amp;"",1)="⚠",INDEX(인턴근무계획!$M$3:$R$202,$A123,$G$3)&amp;"",LEFT(INDEX(인턴근무계획!$M$3:$R$202,$A123,$G$3)&amp;"",FIND(" ",INDEX(인턴근무계획!$M$3:$R$202,$A123,$G$3)&amp;"")-1))))</f>
        <v/>
      </c>
      <c r="H123" s="23">
        <f>IF(OR($C123="",$G$3=""),"",IF(INDEX(인턴근무계획!$M$3:$R$202,$A123,$G$3)&amp;""="","",IF(LEFT(INDEX(인턴근무계획!$M$3:$R$202,$A123,$G$3)&amp;"",1)="⚠","",MID(INDEX(인턴근무계획!$M$3:$R$202,$A123,$G$3)&amp;"",FIND(" ",INDEX(인턴근무계획!$M$3:$R$202,$A123,$G$3)&amp;"")+1,60))))</f>
        <v/>
      </c>
      <c r="I123" s="23">
        <f>IF(OR($C123="",$I$3=""),"",IF(INDEX(인턴근무계획!$M$3:$R$202,$A123,$I$3)&amp;""="","",IF(LEFT(INDEX(인턴근무계획!$M$3:$R$202,$A123,$I$3)&amp;"",1)="⚠",INDEX(인턴근무계획!$M$3:$R$202,$A123,$I$3)&amp;"",LEFT(INDEX(인턴근무계획!$M$3:$R$202,$A123,$I$3)&amp;"",FIND(" ",INDEX(인턴근무계획!$M$3:$R$202,$A123,$I$3)&amp;"")-1))))</f>
        <v/>
      </c>
      <c r="J123" s="23">
        <f>IF(OR($C123="",$I$3=""),"",IF(INDEX(인턴근무계획!$M$3:$R$202,$A123,$I$3)&amp;""="","",IF(LEFT(INDEX(인턴근무계획!$M$3:$R$202,$A123,$I$3)&amp;"",1)="⚠","",MID(INDEX(인턴근무계획!$M$3:$R$202,$A123,$I$3)&amp;"",FIND(" ",INDEX(인턴근무계획!$M$3:$R$202,$A123,$I$3)&amp;"")+1,60))))</f>
        <v/>
      </c>
      <c r="K123" s="23">
        <f>IF($C123="","",INDEX(인턴근무계획!$M$3:$M$202,$A123)&amp;"")</f>
        <v/>
      </c>
      <c r="L123" s="23">
        <f>IF($C123="","",INDEX(인턴근무계획!$N$3:$N$202,$A123)&amp;"")</f>
        <v/>
      </c>
      <c r="M123" s="23">
        <f>IF($C123="","",INDEX(인턴근무계획!$O$3:$O$202,$A123)&amp;"")</f>
        <v/>
      </c>
      <c r="N123" s="23">
        <f>IF($C123="","",INDEX(인턴근무계획!$P$3:$P$202,$A123)&amp;"")</f>
        <v/>
      </c>
      <c r="O123" s="23">
        <f>IF($C123="","",INDEX(인턴근무계획!$Q$3:$Q$202,$A123)&amp;"")</f>
        <v/>
      </c>
      <c r="P123" s="23">
        <f>IF($C123="","",INDEX(인턴근무계획!$R$3:$R$202,$A123)&amp;"")</f>
        <v/>
      </c>
      <c r="Q123" s="23">
        <f>IF($C123="","",INDEX(인턴근무계획!$T$3:$T$202,$A123))</f>
        <v/>
      </c>
    </row>
    <row r="124">
      <c r="A124" s="26" t="n">
        <v>119</v>
      </c>
      <c r="B124" s="23">
        <f>IF($C124="","",INDEX(인턴근무계획!$B$3:$B$202,$A124))</f>
        <v/>
      </c>
      <c r="C124" s="23">
        <f>IFERROR(TRIM(INDEX(인턴근무계획!$C$3:$C$202,$A124)&amp;""),"")</f>
        <v/>
      </c>
      <c r="D124" s="23">
        <f>IF($C124="","",INDEX(인턴근무계획!$D$3:$D$202,$A124))</f>
        <v/>
      </c>
      <c r="E124" s="23">
        <f>IF($C124="","",IF(IFERROR(MATCH($D124,기본자료!$B$2:$B$501,0),IFERROR(MATCH($D124&amp;"",기본자료!$B$2:$B$501,0),IFERROR(MATCH(VALUE($D124),기본자료!$B$2:$B$501,0),0)))&gt;0,"확인","미등록"))</f>
        <v/>
      </c>
      <c r="F124" s="27">
        <f>IF($C124="","",INDEX(인턴근무계획!$S$3:$S$202,$A124))</f>
        <v/>
      </c>
      <c r="G124" s="23">
        <f>IF(OR($C124="",$G$3=""),"",IF(INDEX(인턴근무계획!$M$3:$R$202,$A124,$G$3)&amp;""="","",IF(LEFT(INDEX(인턴근무계획!$M$3:$R$202,$A124,$G$3)&amp;"",1)="⚠",INDEX(인턴근무계획!$M$3:$R$202,$A124,$G$3)&amp;"",LEFT(INDEX(인턴근무계획!$M$3:$R$202,$A124,$G$3)&amp;"",FIND(" ",INDEX(인턴근무계획!$M$3:$R$202,$A124,$G$3)&amp;"")-1))))</f>
        <v/>
      </c>
      <c r="H124" s="23">
        <f>IF(OR($C124="",$G$3=""),"",IF(INDEX(인턴근무계획!$M$3:$R$202,$A124,$G$3)&amp;""="","",IF(LEFT(INDEX(인턴근무계획!$M$3:$R$202,$A124,$G$3)&amp;"",1)="⚠","",MID(INDEX(인턴근무계획!$M$3:$R$202,$A124,$G$3)&amp;"",FIND(" ",INDEX(인턴근무계획!$M$3:$R$202,$A124,$G$3)&amp;"")+1,60))))</f>
        <v/>
      </c>
      <c r="I124" s="23">
        <f>IF(OR($C124="",$I$3=""),"",IF(INDEX(인턴근무계획!$M$3:$R$202,$A124,$I$3)&amp;""="","",IF(LEFT(INDEX(인턴근무계획!$M$3:$R$202,$A124,$I$3)&amp;"",1)="⚠",INDEX(인턴근무계획!$M$3:$R$202,$A124,$I$3)&amp;"",LEFT(INDEX(인턴근무계획!$M$3:$R$202,$A124,$I$3)&amp;"",FIND(" ",INDEX(인턴근무계획!$M$3:$R$202,$A124,$I$3)&amp;"")-1))))</f>
        <v/>
      </c>
      <c r="J124" s="23">
        <f>IF(OR($C124="",$I$3=""),"",IF(INDEX(인턴근무계획!$M$3:$R$202,$A124,$I$3)&amp;""="","",IF(LEFT(INDEX(인턴근무계획!$M$3:$R$202,$A124,$I$3)&amp;"",1)="⚠","",MID(INDEX(인턴근무계획!$M$3:$R$202,$A124,$I$3)&amp;"",FIND(" ",INDEX(인턴근무계획!$M$3:$R$202,$A124,$I$3)&amp;"")+1,60))))</f>
        <v/>
      </c>
      <c r="K124" s="23">
        <f>IF($C124="","",INDEX(인턴근무계획!$M$3:$M$202,$A124)&amp;"")</f>
        <v/>
      </c>
      <c r="L124" s="23">
        <f>IF($C124="","",INDEX(인턴근무계획!$N$3:$N$202,$A124)&amp;"")</f>
        <v/>
      </c>
      <c r="M124" s="23">
        <f>IF($C124="","",INDEX(인턴근무계획!$O$3:$O$202,$A124)&amp;"")</f>
        <v/>
      </c>
      <c r="N124" s="23">
        <f>IF($C124="","",INDEX(인턴근무계획!$P$3:$P$202,$A124)&amp;"")</f>
        <v/>
      </c>
      <c r="O124" s="23">
        <f>IF($C124="","",INDEX(인턴근무계획!$Q$3:$Q$202,$A124)&amp;"")</f>
        <v/>
      </c>
      <c r="P124" s="23">
        <f>IF($C124="","",INDEX(인턴근무계획!$R$3:$R$202,$A124)&amp;"")</f>
        <v/>
      </c>
      <c r="Q124" s="23">
        <f>IF($C124="","",INDEX(인턴근무계획!$T$3:$T$202,$A124))</f>
        <v/>
      </c>
    </row>
    <row r="125">
      <c r="A125" s="26" t="n">
        <v>120</v>
      </c>
      <c r="B125" s="23">
        <f>IF($C125="","",INDEX(인턴근무계획!$B$3:$B$202,$A125))</f>
        <v/>
      </c>
      <c r="C125" s="23">
        <f>IFERROR(TRIM(INDEX(인턴근무계획!$C$3:$C$202,$A125)&amp;""),"")</f>
        <v/>
      </c>
      <c r="D125" s="23">
        <f>IF($C125="","",INDEX(인턴근무계획!$D$3:$D$202,$A125))</f>
        <v/>
      </c>
      <c r="E125" s="23">
        <f>IF($C125="","",IF(IFERROR(MATCH($D125,기본자료!$B$2:$B$501,0),IFERROR(MATCH($D125&amp;"",기본자료!$B$2:$B$501,0),IFERROR(MATCH(VALUE($D125),기본자료!$B$2:$B$501,0),0)))&gt;0,"확인","미등록"))</f>
        <v/>
      </c>
      <c r="F125" s="27">
        <f>IF($C125="","",INDEX(인턴근무계획!$S$3:$S$202,$A125))</f>
        <v/>
      </c>
      <c r="G125" s="23">
        <f>IF(OR($C125="",$G$3=""),"",IF(INDEX(인턴근무계획!$M$3:$R$202,$A125,$G$3)&amp;""="","",IF(LEFT(INDEX(인턴근무계획!$M$3:$R$202,$A125,$G$3)&amp;"",1)="⚠",INDEX(인턴근무계획!$M$3:$R$202,$A125,$G$3)&amp;"",LEFT(INDEX(인턴근무계획!$M$3:$R$202,$A125,$G$3)&amp;"",FIND(" ",INDEX(인턴근무계획!$M$3:$R$202,$A125,$G$3)&amp;"")-1))))</f>
        <v/>
      </c>
      <c r="H125" s="23">
        <f>IF(OR($C125="",$G$3=""),"",IF(INDEX(인턴근무계획!$M$3:$R$202,$A125,$G$3)&amp;""="","",IF(LEFT(INDEX(인턴근무계획!$M$3:$R$202,$A125,$G$3)&amp;"",1)="⚠","",MID(INDEX(인턴근무계획!$M$3:$R$202,$A125,$G$3)&amp;"",FIND(" ",INDEX(인턴근무계획!$M$3:$R$202,$A125,$G$3)&amp;"")+1,60))))</f>
        <v/>
      </c>
      <c r="I125" s="23">
        <f>IF(OR($C125="",$I$3=""),"",IF(INDEX(인턴근무계획!$M$3:$R$202,$A125,$I$3)&amp;""="","",IF(LEFT(INDEX(인턴근무계획!$M$3:$R$202,$A125,$I$3)&amp;"",1)="⚠",INDEX(인턴근무계획!$M$3:$R$202,$A125,$I$3)&amp;"",LEFT(INDEX(인턴근무계획!$M$3:$R$202,$A125,$I$3)&amp;"",FIND(" ",INDEX(인턴근무계획!$M$3:$R$202,$A125,$I$3)&amp;"")-1))))</f>
        <v/>
      </c>
      <c r="J125" s="23">
        <f>IF(OR($C125="",$I$3=""),"",IF(INDEX(인턴근무계획!$M$3:$R$202,$A125,$I$3)&amp;""="","",IF(LEFT(INDEX(인턴근무계획!$M$3:$R$202,$A125,$I$3)&amp;"",1)="⚠","",MID(INDEX(인턴근무계획!$M$3:$R$202,$A125,$I$3)&amp;"",FIND(" ",INDEX(인턴근무계획!$M$3:$R$202,$A125,$I$3)&amp;"")+1,60))))</f>
        <v/>
      </c>
      <c r="K125" s="23">
        <f>IF($C125="","",INDEX(인턴근무계획!$M$3:$M$202,$A125)&amp;"")</f>
        <v/>
      </c>
      <c r="L125" s="23">
        <f>IF($C125="","",INDEX(인턴근무계획!$N$3:$N$202,$A125)&amp;"")</f>
        <v/>
      </c>
      <c r="M125" s="23">
        <f>IF($C125="","",INDEX(인턴근무계획!$O$3:$O$202,$A125)&amp;"")</f>
        <v/>
      </c>
      <c r="N125" s="23">
        <f>IF($C125="","",INDEX(인턴근무계획!$P$3:$P$202,$A125)&amp;"")</f>
        <v/>
      </c>
      <c r="O125" s="23">
        <f>IF($C125="","",INDEX(인턴근무계획!$Q$3:$Q$202,$A125)&amp;"")</f>
        <v/>
      </c>
      <c r="P125" s="23">
        <f>IF($C125="","",INDEX(인턴근무계획!$R$3:$R$202,$A125)&amp;"")</f>
        <v/>
      </c>
      <c r="Q125" s="23">
        <f>IF($C125="","",INDEX(인턴근무계획!$T$3:$T$202,$A125))</f>
        <v/>
      </c>
    </row>
    <row r="126">
      <c r="A126" s="26" t="n">
        <v>121</v>
      </c>
      <c r="B126" s="23">
        <f>IF($C126="","",INDEX(인턴근무계획!$B$3:$B$202,$A126))</f>
        <v/>
      </c>
      <c r="C126" s="23">
        <f>IFERROR(TRIM(INDEX(인턴근무계획!$C$3:$C$202,$A126)&amp;""),"")</f>
        <v/>
      </c>
      <c r="D126" s="23">
        <f>IF($C126="","",INDEX(인턴근무계획!$D$3:$D$202,$A126))</f>
        <v/>
      </c>
      <c r="E126" s="23">
        <f>IF($C126="","",IF(IFERROR(MATCH($D126,기본자료!$B$2:$B$501,0),IFERROR(MATCH($D126&amp;"",기본자료!$B$2:$B$501,0),IFERROR(MATCH(VALUE($D126),기본자료!$B$2:$B$501,0),0)))&gt;0,"확인","미등록"))</f>
        <v/>
      </c>
      <c r="F126" s="27">
        <f>IF($C126="","",INDEX(인턴근무계획!$S$3:$S$202,$A126))</f>
        <v/>
      </c>
      <c r="G126" s="23">
        <f>IF(OR($C126="",$G$3=""),"",IF(INDEX(인턴근무계획!$M$3:$R$202,$A126,$G$3)&amp;""="","",IF(LEFT(INDEX(인턴근무계획!$M$3:$R$202,$A126,$G$3)&amp;"",1)="⚠",INDEX(인턴근무계획!$M$3:$R$202,$A126,$G$3)&amp;"",LEFT(INDEX(인턴근무계획!$M$3:$R$202,$A126,$G$3)&amp;"",FIND(" ",INDEX(인턴근무계획!$M$3:$R$202,$A126,$G$3)&amp;"")-1))))</f>
        <v/>
      </c>
      <c r="H126" s="23">
        <f>IF(OR($C126="",$G$3=""),"",IF(INDEX(인턴근무계획!$M$3:$R$202,$A126,$G$3)&amp;""="","",IF(LEFT(INDEX(인턴근무계획!$M$3:$R$202,$A126,$G$3)&amp;"",1)="⚠","",MID(INDEX(인턴근무계획!$M$3:$R$202,$A126,$G$3)&amp;"",FIND(" ",INDEX(인턴근무계획!$M$3:$R$202,$A126,$G$3)&amp;"")+1,60))))</f>
        <v/>
      </c>
      <c r="I126" s="23">
        <f>IF(OR($C126="",$I$3=""),"",IF(INDEX(인턴근무계획!$M$3:$R$202,$A126,$I$3)&amp;""="","",IF(LEFT(INDEX(인턴근무계획!$M$3:$R$202,$A126,$I$3)&amp;"",1)="⚠",INDEX(인턴근무계획!$M$3:$R$202,$A126,$I$3)&amp;"",LEFT(INDEX(인턴근무계획!$M$3:$R$202,$A126,$I$3)&amp;"",FIND(" ",INDEX(인턴근무계획!$M$3:$R$202,$A126,$I$3)&amp;"")-1))))</f>
        <v/>
      </c>
      <c r="J126" s="23">
        <f>IF(OR($C126="",$I$3=""),"",IF(INDEX(인턴근무계획!$M$3:$R$202,$A126,$I$3)&amp;""="","",IF(LEFT(INDEX(인턴근무계획!$M$3:$R$202,$A126,$I$3)&amp;"",1)="⚠","",MID(INDEX(인턴근무계획!$M$3:$R$202,$A126,$I$3)&amp;"",FIND(" ",INDEX(인턴근무계획!$M$3:$R$202,$A126,$I$3)&amp;"")+1,60))))</f>
        <v/>
      </c>
      <c r="K126" s="23">
        <f>IF($C126="","",INDEX(인턴근무계획!$M$3:$M$202,$A126)&amp;"")</f>
        <v/>
      </c>
      <c r="L126" s="23">
        <f>IF($C126="","",INDEX(인턴근무계획!$N$3:$N$202,$A126)&amp;"")</f>
        <v/>
      </c>
      <c r="M126" s="23">
        <f>IF($C126="","",INDEX(인턴근무계획!$O$3:$O$202,$A126)&amp;"")</f>
        <v/>
      </c>
      <c r="N126" s="23">
        <f>IF($C126="","",INDEX(인턴근무계획!$P$3:$P$202,$A126)&amp;"")</f>
        <v/>
      </c>
      <c r="O126" s="23">
        <f>IF($C126="","",INDEX(인턴근무계획!$Q$3:$Q$202,$A126)&amp;"")</f>
        <v/>
      </c>
      <c r="P126" s="23">
        <f>IF($C126="","",INDEX(인턴근무계획!$R$3:$R$202,$A126)&amp;"")</f>
        <v/>
      </c>
      <c r="Q126" s="23">
        <f>IF($C126="","",INDEX(인턴근무계획!$T$3:$T$202,$A126))</f>
        <v/>
      </c>
    </row>
    <row r="127">
      <c r="A127" s="26" t="n">
        <v>122</v>
      </c>
      <c r="B127" s="23">
        <f>IF($C127="","",INDEX(인턴근무계획!$B$3:$B$202,$A127))</f>
        <v/>
      </c>
      <c r="C127" s="23">
        <f>IFERROR(TRIM(INDEX(인턴근무계획!$C$3:$C$202,$A127)&amp;""),"")</f>
        <v/>
      </c>
      <c r="D127" s="23">
        <f>IF($C127="","",INDEX(인턴근무계획!$D$3:$D$202,$A127))</f>
        <v/>
      </c>
      <c r="E127" s="23">
        <f>IF($C127="","",IF(IFERROR(MATCH($D127,기본자료!$B$2:$B$501,0),IFERROR(MATCH($D127&amp;"",기본자료!$B$2:$B$501,0),IFERROR(MATCH(VALUE($D127),기본자료!$B$2:$B$501,0),0)))&gt;0,"확인","미등록"))</f>
        <v/>
      </c>
      <c r="F127" s="27">
        <f>IF($C127="","",INDEX(인턴근무계획!$S$3:$S$202,$A127))</f>
        <v/>
      </c>
      <c r="G127" s="23">
        <f>IF(OR($C127="",$G$3=""),"",IF(INDEX(인턴근무계획!$M$3:$R$202,$A127,$G$3)&amp;""="","",IF(LEFT(INDEX(인턴근무계획!$M$3:$R$202,$A127,$G$3)&amp;"",1)="⚠",INDEX(인턴근무계획!$M$3:$R$202,$A127,$G$3)&amp;"",LEFT(INDEX(인턴근무계획!$M$3:$R$202,$A127,$G$3)&amp;"",FIND(" ",INDEX(인턴근무계획!$M$3:$R$202,$A127,$G$3)&amp;"")-1))))</f>
        <v/>
      </c>
      <c r="H127" s="23">
        <f>IF(OR($C127="",$G$3=""),"",IF(INDEX(인턴근무계획!$M$3:$R$202,$A127,$G$3)&amp;""="","",IF(LEFT(INDEX(인턴근무계획!$M$3:$R$202,$A127,$G$3)&amp;"",1)="⚠","",MID(INDEX(인턴근무계획!$M$3:$R$202,$A127,$G$3)&amp;"",FIND(" ",INDEX(인턴근무계획!$M$3:$R$202,$A127,$G$3)&amp;"")+1,60))))</f>
        <v/>
      </c>
      <c r="I127" s="23">
        <f>IF(OR($C127="",$I$3=""),"",IF(INDEX(인턴근무계획!$M$3:$R$202,$A127,$I$3)&amp;""="","",IF(LEFT(INDEX(인턴근무계획!$M$3:$R$202,$A127,$I$3)&amp;"",1)="⚠",INDEX(인턴근무계획!$M$3:$R$202,$A127,$I$3)&amp;"",LEFT(INDEX(인턴근무계획!$M$3:$R$202,$A127,$I$3)&amp;"",FIND(" ",INDEX(인턴근무계획!$M$3:$R$202,$A127,$I$3)&amp;"")-1))))</f>
        <v/>
      </c>
      <c r="J127" s="23">
        <f>IF(OR($C127="",$I$3=""),"",IF(INDEX(인턴근무계획!$M$3:$R$202,$A127,$I$3)&amp;""="","",IF(LEFT(INDEX(인턴근무계획!$M$3:$R$202,$A127,$I$3)&amp;"",1)="⚠","",MID(INDEX(인턴근무계획!$M$3:$R$202,$A127,$I$3)&amp;"",FIND(" ",INDEX(인턴근무계획!$M$3:$R$202,$A127,$I$3)&amp;"")+1,60))))</f>
        <v/>
      </c>
      <c r="K127" s="23">
        <f>IF($C127="","",INDEX(인턴근무계획!$M$3:$M$202,$A127)&amp;"")</f>
        <v/>
      </c>
      <c r="L127" s="23">
        <f>IF($C127="","",INDEX(인턴근무계획!$N$3:$N$202,$A127)&amp;"")</f>
        <v/>
      </c>
      <c r="M127" s="23">
        <f>IF($C127="","",INDEX(인턴근무계획!$O$3:$O$202,$A127)&amp;"")</f>
        <v/>
      </c>
      <c r="N127" s="23">
        <f>IF($C127="","",INDEX(인턴근무계획!$P$3:$P$202,$A127)&amp;"")</f>
        <v/>
      </c>
      <c r="O127" s="23">
        <f>IF($C127="","",INDEX(인턴근무계획!$Q$3:$Q$202,$A127)&amp;"")</f>
        <v/>
      </c>
      <c r="P127" s="23">
        <f>IF($C127="","",INDEX(인턴근무계획!$R$3:$R$202,$A127)&amp;"")</f>
        <v/>
      </c>
      <c r="Q127" s="23">
        <f>IF($C127="","",INDEX(인턴근무계획!$T$3:$T$202,$A127))</f>
        <v/>
      </c>
    </row>
    <row r="128">
      <c r="A128" s="26" t="n">
        <v>123</v>
      </c>
      <c r="B128" s="23">
        <f>IF($C128="","",INDEX(인턴근무계획!$B$3:$B$202,$A128))</f>
        <v/>
      </c>
      <c r="C128" s="23">
        <f>IFERROR(TRIM(INDEX(인턴근무계획!$C$3:$C$202,$A128)&amp;""),"")</f>
        <v/>
      </c>
      <c r="D128" s="23">
        <f>IF($C128="","",INDEX(인턴근무계획!$D$3:$D$202,$A128))</f>
        <v/>
      </c>
      <c r="E128" s="23">
        <f>IF($C128="","",IF(IFERROR(MATCH($D128,기본자료!$B$2:$B$501,0),IFERROR(MATCH($D128&amp;"",기본자료!$B$2:$B$501,0),IFERROR(MATCH(VALUE($D128),기본자료!$B$2:$B$501,0),0)))&gt;0,"확인","미등록"))</f>
        <v/>
      </c>
      <c r="F128" s="27">
        <f>IF($C128="","",INDEX(인턴근무계획!$S$3:$S$202,$A128))</f>
        <v/>
      </c>
      <c r="G128" s="23">
        <f>IF(OR($C128="",$G$3=""),"",IF(INDEX(인턴근무계획!$M$3:$R$202,$A128,$G$3)&amp;""="","",IF(LEFT(INDEX(인턴근무계획!$M$3:$R$202,$A128,$G$3)&amp;"",1)="⚠",INDEX(인턴근무계획!$M$3:$R$202,$A128,$G$3)&amp;"",LEFT(INDEX(인턴근무계획!$M$3:$R$202,$A128,$G$3)&amp;"",FIND(" ",INDEX(인턴근무계획!$M$3:$R$202,$A128,$G$3)&amp;"")-1))))</f>
        <v/>
      </c>
      <c r="H128" s="23">
        <f>IF(OR($C128="",$G$3=""),"",IF(INDEX(인턴근무계획!$M$3:$R$202,$A128,$G$3)&amp;""="","",IF(LEFT(INDEX(인턴근무계획!$M$3:$R$202,$A128,$G$3)&amp;"",1)="⚠","",MID(INDEX(인턴근무계획!$M$3:$R$202,$A128,$G$3)&amp;"",FIND(" ",INDEX(인턴근무계획!$M$3:$R$202,$A128,$G$3)&amp;"")+1,60))))</f>
        <v/>
      </c>
      <c r="I128" s="23">
        <f>IF(OR($C128="",$I$3=""),"",IF(INDEX(인턴근무계획!$M$3:$R$202,$A128,$I$3)&amp;""="","",IF(LEFT(INDEX(인턴근무계획!$M$3:$R$202,$A128,$I$3)&amp;"",1)="⚠",INDEX(인턴근무계획!$M$3:$R$202,$A128,$I$3)&amp;"",LEFT(INDEX(인턴근무계획!$M$3:$R$202,$A128,$I$3)&amp;"",FIND(" ",INDEX(인턴근무계획!$M$3:$R$202,$A128,$I$3)&amp;"")-1))))</f>
        <v/>
      </c>
      <c r="J128" s="23">
        <f>IF(OR($C128="",$I$3=""),"",IF(INDEX(인턴근무계획!$M$3:$R$202,$A128,$I$3)&amp;""="","",IF(LEFT(INDEX(인턴근무계획!$M$3:$R$202,$A128,$I$3)&amp;"",1)="⚠","",MID(INDEX(인턴근무계획!$M$3:$R$202,$A128,$I$3)&amp;"",FIND(" ",INDEX(인턴근무계획!$M$3:$R$202,$A128,$I$3)&amp;"")+1,60))))</f>
        <v/>
      </c>
      <c r="K128" s="23">
        <f>IF($C128="","",INDEX(인턴근무계획!$M$3:$M$202,$A128)&amp;"")</f>
        <v/>
      </c>
      <c r="L128" s="23">
        <f>IF($C128="","",INDEX(인턴근무계획!$N$3:$N$202,$A128)&amp;"")</f>
        <v/>
      </c>
      <c r="M128" s="23">
        <f>IF($C128="","",INDEX(인턴근무계획!$O$3:$O$202,$A128)&amp;"")</f>
        <v/>
      </c>
      <c r="N128" s="23">
        <f>IF($C128="","",INDEX(인턴근무계획!$P$3:$P$202,$A128)&amp;"")</f>
        <v/>
      </c>
      <c r="O128" s="23">
        <f>IF($C128="","",INDEX(인턴근무계획!$Q$3:$Q$202,$A128)&amp;"")</f>
        <v/>
      </c>
      <c r="P128" s="23">
        <f>IF($C128="","",INDEX(인턴근무계획!$R$3:$R$202,$A128)&amp;"")</f>
        <v/>
      </c>
      <c r="Q128" s="23">
        <f>IF($C128="","",INDEX(인턴근무계획!$T$3:$T$202,$A128))</f>
        <v/>
      </c>
    </row>
    <row r="129">
      <c r="A129" s="26" t="n">
        <v>124</v>
      </c>
      <c r="B129" s="23">
        <f>IF($C129="","",INDEX(인턴근무계획!$B$3:$B$202,$A129))</f>
        <v/>
      </c>
      <c r="C129" s="23">
        <f>IFERROR(TRIM(INDEX(인턴근무계획!$C$3:$C$202,$A129)&amp;""),"")</f>
        <v/>
      </c>
      <c r="D129" s="23">
        <f>IF($C129="","",INDEX(인턴근무계획!$D$3:$D$202,$A129))</f>
        <v/>
      </c>
      <c r="E129" s="23">
        <f>IF($C129="","",IF(IFERROR(MATCH($D129,기본자료!$B$2:$B$501,0),IFERROR(MATCH($D129&amp;"",기본자료!$B$2:$B$501,0),IFERROR(MATCH(VALUE($D129),기본자료!$B$2:$B$501,0),0)))&gt;0,"확인","미등록"))</f>
        <v/>
      </c>
      <c r="F129" s="27">
        <f>IF($C129="","",INDEX(인턴근무계획!$S$3:$S$202,$A129))</f>
        <v/>
      </c>
      <c r="G129" s="23">
        <f>IF(OR($C129="",$G$3=""),"",IF(INDEX(인턴근무계획!$M$3:$R$202,$A129,$G$3)&amp;""="","",IF(LEFT(INDEX(인턴근무계획!$M$3:$R$202,$A129,$G$3)&amp;"",1)="⚠",INDEX(인턴근무계획!$M$3:$R$202,$A129,$G$3)&amp;"",LEFT(INDEX(인턴근무계획!$M$3:$R$202,$A129,$G$3)&amp;"",FIND(" ",INDEX(인턴근무계획!$M$3:$R$202,$A129,$G$3)&amp;"")-1))))</f>
        <v/>
      </c>
      <c r="H129" s="23">
        <f>IF(OR($C129="",$G$3=""),"",IF(INDEX(인턴근무계획!$M$3:$R$202,$A129,$G$3)&amp;""="","",IF(LEFT(INDEX(인턴근무계획!$M$3:$R$202,$A129,$G$3)&amp;"",1)="⚠","",MID(INDEX(인턴근무계획!$M$3:$R$202,$A129,$G$3)&amp;"",FIND(" ",INDEX(인턴근무계획!$M$3:$R$202,$A129,$G$3)&amp;"")+1,60))))</f>
        <v/>
      </c>
      <c r="I129" s="23">
        <f>IF(OR($C129="",$I$3=""),"",IF(INDEX(인턴근무계획!$M$3:$R$202,$A129,$I$3)&amp;""="","",IF(LEFT(INDEX(인턴근무계획!$M$3:$R$202,$A129,$I$3)&amp;"",1)="⚠",INDEX(인턴근무계획!$M$3:$R$202,$A129,$I$3)&amp;"",LEFT(INDEX(인턴근무계획!$M$3:$R$202,$A129,$I$3)&amp;"",FIND(" ",INDEX(인턴근무계획!$M$3:$R$202,$A129,$I$3)&amp;"")-1))))</f>
        <v/>
      </c>
      <c r="J129" s="23">
        <f>IF(OR($C129="",$I$3=""),"",IF(INDEX(인턴근무계획!$M$3:$R$202,$A129,$I$3)&amp;""="","",IF(LEFT(INDEX(인턴근무계획!$M$3:$R$202,$A129,$I$3)&amp;"",1)="⚠","",MID(INDEX(인턴근무계획!$M$3:$R$202,$A129,$I$3)&amp;"",FIND(" ",INDEX(인턴근무계획!$M$3:$R$202,$A129,$I$3)&amp;"")+1,60))))</f>
        <v/>
      </c>
      <c r="K129" s="23">
        <f>IF($C129="","",INDEX(인턴근무계획!$M$3:$M$202,$A129)&amp;"")</f>
        <v/>
      </c>
      <c r="L129" s="23">
        <f>IF($C129="","",INDEX(인턴근무계획!$N$3:$N$202,$A129)&amp;"")</f>
        <v/>
      </c>
      <c r="M129" s="23">
        <f>IF($C129="","",INDEX(인턴근무계획!$O$3:$O$202,$A129)&amp;"")</f>
        <v/>
      </c>
      <c r="N129" s="23">
        <f>IF($C129="","",INDEX(인턴근무계획!$P$3:$P$202,$A129)&amp;"")</f>
        <v/>
      </c>
      <c r="O129" s="23">
        <f>IF($C129="","",INDEX(인턴근무계획!$Q$3:$Q$202,$A129)&amp;"")</f>
        <v/>
      </c>
      <c r="P129" s="23">
        <f>IF($C129="","",INDEX(인턴근무계획!$R$3:$R$202,$A129)&amp;"")</f>
        <v/>
      </c>
      <c r="Q129" s="23">
        <f>IF($C129="","",INDEX(인턴근무계획!$T$3:$T$202,$A129))</f>
        <v/>
      </c>
    </row>
    <row r="130">
      <c r="A130" s="26" t="n">
        <v>125</v>
      </c>
      <c r="B130" s="23">
        <f>IF($C130="","",INDEX(인턴근무계획!$B$3:$B$202,$A130))</f>
        <v/>
      </c>
      <c r="C130" s="23">
        <f>IFERROR(TRIM(INDEX(인턴근무계획!$C$3:$C$202,$A130)&amp;""),"")</f>
        <v/>
      </c>
      <c r="D130" s="23">
        <f>IF($C130="","",INDEX(인턴근무계획!$D$3:$D$202,$A130))</f>
        <v/>
      </c>
      <c r="E130" s="23">
        <f>IF($C130="","",IF(IFERROR(MATCH($D130,기본자료!$B$2:$B$501,0),IFERROR(MATCH($D130&amp;"",기본자료!$B$2:$B$501,0),IFERROR(MATCH(VALUE($D130),기본자료!$B$2:$B$501,0),0)))&gt;0,"확인","미등록"))</f>
        <v/>
      </c>
      <c r="F130" s="27">
        <f>IF($C130="","",INDEX(인턴근무계획!$S$3:$S$202,$A130))</f>
        <v/>
      </c>
      <c r="G130" s="23">
        <f>IF(OR($C130="",$G$3=""),"",IF(INDEX(인턴근무계획!$M$3:$R$202,$A130,$G$3)&amp;""="","",IF(LEFT(INDEX(인턴근무계획!$M$3:$R$202,$A130,$G$3)&amp;"",1)="⚠",INDEX(인턴근무계획!$M$3:$R$202,$A130,$G$3)&amp;"",LEFT(INDEX(인턴근무계획!$M$3:$R$202,$A130,$G$3)&amp;"",FIND(" ",INDEX(인턴근무계획!$M$3:$R$202,$A130,$G$3)&amp;"")-1))))</f>
        <v/>
      </c>
      <c r="H130" s="23">
        <f>IF(OR($C130="",$G$3=""),"",IF(INDEX(인턴근무계획!$M$3:$R$202,$A130,$G$3)&amp;""="","",IF(LEFT(INDEX(인턴근무계획!$M$3:$R$202,$A130,$G$3)&amp;"",1)="⚠","",MID(INDEX(인턴근무계획!$M$3:$R$202,$A130,$G$3)&amp;"",FIND(" ",INDEX(인턴근무계획!$M$3:$R$202,$A130,$G$3)&amp;"")+1,60))))</f>
        <v/>
      </c>
      <c r="I130" s="23">
        <f>IF(OR($C130="",$I$3=""),"",IF(INDEX(인턴근무계획!$M$3:$R$202,$A130,$I$3)&amp;""="","",IF(LEFT(INDEX(인턴근무계획!$M$3:$R$202,$A130,$I$3)&amp;"",1)="⚠",INDEX(인턴근무계획!$M$3:$R$202,$A130,$I$3)&amp;"",LEFT(INDEX(인턴근무계획!$M$3:$R$202,$A130,$I$3)&amp;"",FIND(" ",INDEX(인턴근무계획!$M$3:$R$202,$A130,$I$3)&amp;"")-1))))</f>
        <v/>
      </c>
      <c r="J130" s="23">
        <f>IF(OR($C130="",$I$3=""),"",IF(INDEX(인턴근무계획!$M$3:$R$202,$A130,$I$3)&amp;""="","",IF(LEFT(INDEX(인턴근무계획!$M$3:$R$202,$A130,$I$3)&amp;"",1)="⚠","",MID(INDEX(인턴근무계획!$M$3:$R$202,$A130,$I$3)&amp;"",FIND(" ",INDEX(인턴근무계획!$M$3:$R$202,$A130,$I$3)&amp;"")+1,60))))</f>
        <v/>
      </c>
      <c r="K130" s="23">
        <f>IF($C130="","",INDEX(인턴근무계획!$M$3:$M$202,$A130)&amp;"")</f>
        <v/>
      </c>
      <c r="L130" s="23">
        <f>IF($C130="","",INDEX(인턴근무계획!$N$3:$N$202,$A130)&amp;"")</f>
        <v/>
      </c>
      <c r="M130" s="23">
        <f>IF($C130="","",INDEX(인턴근무계획!$O$3:$O$202,$A130)&amp;"")</f>
        <v/>
      </c>
      <c r="N130" s="23">
        <f>IF($C130="","",INDEX(인턴근무계획!$P$3:$P$202,$A130)&amp;"")</f>
        <v/>
      </c>
      <c r="O130" s="23">
        <f>IF($C130="","",INDEX(인턴근무계획!$Q$3:$Q$202,$A130)&amp;"")</f>
        <v/>
      </c>
      <c r="P130" s="23">
        <f>IF($C130="","",INDEX(인턴근무계획!$R$3:$R$202,$A130)&amp;"")</f>
        <v/>
      </c>
      <c r="Q130" s="23">
        <f>IF($C130="","",INDEX(인턴근무계획!$T$3:$T$202,$A130))</f>
        <v/>
      </c>
    </row>
    <row r="131">
      <c r="A131" s="26" t="n">
        <v>126</v>
      </c>
      <c r="B131" s="23">
        <f>IF($C131="","",INDEX(인턴근무계획!$B$3:$B$202,$A131))</f>
        <v/>
      </c>
      <c r="C131" s="23">
        <f>IFERROR(TRIM(INDEX(인턴근무계획!$C$3:$C$202,$A131)&amp;""),"")</f>
        <v/>
      </c>
      <c r="D131" s="23">
        <f>IF($C131="","",INDEX(인턴근무계획!$D$3:$D$202,$A131))</f>
        <v/>
      </c>
      <c r="E131" s="23">
        <f>IF($C131="","",IF(IFERROR(MATCH($D131,기본자료!$B$2:$B$501,0),IFERROR(MATCH($D131&amp;"",기본자료!$B$2:$B$501,0),IFERROR(MATCH(VALUE($D131),기본자료!$B$2:$B$501,0),0)))&gt;0,"확인","미등록"))</f>
        <v/>
      </c>
      <c r="F131" s="27">
        <f>IF($C131="","",INDEX(인턴근무계획!$S$3:$S$202,$A131))</f>
        <v/>
      </c>
      <c r="G131" s="23">
        <f>IF(OR($C131="",$G$3=""),"",IF(INDEX(인턴근무계획!$M$3:$R$202,$A131,$G$3)&amp;""="","",IF(LEFT(INDEX(인턴근무계획!$M$3:$R$202,$A131,$G$3)&amp;"",1)="⚠",INDEX(인턴근무계획!$M$3:$R$202,$A131,$G$3)&amp;"",LEFT(INDEX(인턴근무계획!$M$3:$R$202,$A131,$G$3)&amp;"",FIND(" ",INDEX(인턴근무계획!$M$3:$R$202,$A131,$G$3)&amp;"")-1))))</f>
        <v/>
      </c>
      <c r="H131" s="23">
        <f>IF(OR($C131="",$G$3=""),"",IF(INDEX(인턴근무계획!$M$3:$R$202,$A131,$G$3)&amp;""="","",IF(LEFT(INDEX(인턴근무계획!$M$3:$R$202,$A131,$G$3)&amp;"",1)="⚠","",MID(INDEX(인턴근무계획!$M$3:$R$202,$A131,$G$3)&amp;"",FIND(" ",INDEX(인턴근무계획!$M$3:$R$202,$A131,$G$3)&amp;"")+1,60))))</f>
        <v/>
      </c>
      <c r="I131" s="23">
        <f>IF(OR($C131="",$I$3=""),"",IF(INDEX(인턴근무계획!$M$3:$R$202,$A131,$I$3)&amp;""="","",IF(LEFT(INDEX(인턴근무계획!$M$3:$R$202,$A131,$I$3)&amp;"",1)="⚠",INDEX(인턴근무계획!$M$3:$R$202,$A131,$I$3)&amp;"",LEFT(INDEX(인턴근무계획!$M$3:$R$202,$A131,$I$3)&amp;"",FIND(" ",INDEX(인턴근무계획!$M$3:$R$202,$A131,$I$3)&amp;"")-1))))</f>
        <v/>
      </c>
      <c r="J131" s="23">
        <f>IF(OR($C131="",$I$3=""),"",IF(INDEX(인턴근무계획!$M$3:$R$202,$A131,$I$3)&amp;""="","",IF(LEFT(INDEX(인턴근무계획!$M$3:$R$202,$A131,$I$3)&amp;"",1)="⚠","",MID(INDEX(인턴근무계획!$M$3:$R$202,$A131,$I$3)&amp;"",FIND(" ",INDEX(인턴근무계획!$M$3:$R$202,$A131,$I$3)&amp;"")+1,60))))</f>
        <v/>
      </c>
      <c r="K131" s="23">
        <f>IF($C131="","",INDEX(인턴근무계획!$M$3:$M$202,$A131)&amp;"")</f>
        <v/>
      </c>
      <c r="L131" s="23">
        <f>IF($C131="","",INDEX(인턴근무계획!$N$3:$N$202,$A131)&amp;"")</f>
        <v/>
      </c>
      <c r="M131" s="23">
        <f>IF($C131="","",INDEX(인턴근무계획!$O$3:$O$202,$A131)&amp;"")</f>
        <v/>
      </c>
      <c r="N131" s="23">
        <f>IF($C131="","",INDEX(인턴근무계획!$P$3:$P$202,$A131)&amp;"")</f>
        <v/>
      </c>
      <c r="O131" s="23">
        <f>IF($C131="","",INDEX(인턴근무계획!$Q$3:$Q$202,$A131)&amp;"")</f>
        <v/>
      </c>
      <c r="P131" s="23">
        <f>IF($C131="","",INDEX(인턴근무계획!$R$3:$R$202,$A131)&amp;"")</f>
        <v/>
      </c>
      <c r="Q131" s="23">
        <f>IF($C131="","",INDEX(인턴근무계획!$T$3:$T$202,$A131))</f>
        <v/>
      </c>
    </row>
    <row r="132">
      <c r="A132" s="26" t="n">
        <v>127</v>
      </c>
      <c r="B132" s="23">
        <f>IF($C132="","",INDEX(인턴근무계획!$B$3:$B$202,$A132))</f>
        <v/>
      </c>
      <c r="C132" s="23">
        <f>IFERROR(TRIM(INDEX(인턴근무계획!$C$3:$C$202,$A132)&amp;""),"")</f>
        <v/>
      </c>
      <c r="D132" s="23">
        <f>IF($C132="","",INDEX(인턴근무계획!$D$3:$D$202,$A132))</f>
        <v/>
      </c>
      <c r="E132" s="23">
        <f>IF($C132="","",IF(IFERROR(MATCH($D132,기본자료!$B$2:$B$501,0),IFERROR(MATCH($D132&amp;"",기본자료!$B$2:$B$501,0),IFERROR(MATCH(VALUE($D132),기본자료!$B$2:$B$501,0),0)))&gt;0,"확인","미등록"))</f>
        <v/>
      </c>
      <c r="F132" s="27">
        <f>IF($C132="","",INDEX(인턴근무계획!$S$3:$S$202,$A132))</f>
        <v/>
      </c>
      <c r="G132" s="23">
        <f>IF(OR($C132="",$G$3=""),"",IF(INDEX(인턴근무계획!$M$3:$R$202,$A132,$G$3)&amp;""="","",IF(LEFT(INDEX(인턴근무계획!$M$3:$R$202,$A132,$G$3)&amp;"",1)="⚠",INDEX(인턴근무계획!$M$3:$R$202,$A132,$G$3)&amp;"",LEFT(INDEX(인턴근무계획!$M$3:$R$202,$A132,$G$3)&amp;"",FIND(" ",INDEX(인턴근무계획!$M$3:$R$202,$A132,$G$3)&amp;"")-1))))</f>
        <v/>
      </c>
      <c r="H132" s="23">
        <f>IF(OR($C132="",$G$3=""),"",IF(INDEX(인턴근무계획!$M$3:$R$202,$A132,$G$3)&amp;""="","",IF(LEFT(INDEX(인턴근무계획!$M$3:$R$202,$A132,$G$3)&amp;"",1)="⚠","",MID(INDEX(인턴근무계획!$M$3:$R$202,$A132,$G$3)&amp;"",FIND(" ",INDEX(인턴근무계획!$M$3:$R$202,$A132,$G$3)&amp;"")+1,60))))</f>
        <v/>
      </c>
      <c r="I132" s="23">
        <f>IF(OR($C132="",$I$3=""),"",IF(INDEX(인턴근무계획!$M$3:$R$202,$A132,$I$3)&amp;""="","",IF(LEFT(INDEX(인턴근무계획!$M$3:$R$202,$A132,$I$3)&amp;"",1)="⚠",INDEX(인턴근무계획!$M$3:$R$202,$A132,$I$3)&amp;"",LEFT(INDEX(인턴근무계획!$M$3:$R$202,$A132,$I$3)&amp;"",FIND(" ",INDEX(인턴근무계획!$M$3:$R$202,$A132,$I$3)&amp;"")-1))))</f>
        <v/>
      </c>
      <c r="J132" s="23">
        <f>IF(OR($C132="",$I$3=""),"",IF(INDEX(인턴근무계획!$M$3:$R$202,$A132,$I$3)&amp;""="","",IF(LEFT(INDEX(인턴근무계획!$M$3:$R$202,$A132,$I$3)&amp;"",1)="⚠","",MID(INDEX(인턴근무계획!$M$3:$R$202,$A132,$I$3)&amp;"",FIND(" ",INDEX(인턴근무계획!$M$3:$R$202,$A132,$I$3)&amp;"")+1,60))))</f>
        <v/>
      </c>
      <c r="K132" s="23">
        <f>IF($C132="","",INDEX(인턴근무계획!$M$3:$M$202,$A132)&amp;"")</f>
        <v/>
      </c>
      <c r="L132" s="23">
        <f>IF($C132="","",INDEX(인턴근무계획!$N$3:$N$202,$A132)&amp;"")</f>
        <v/>
      </c>
      <c r="M132" s="23">
        <f>IF($C132="","",INDEX(인턴근무계획!$O$3:$O$202,$A132)&amp;"")</f>
        <v/>
      </c>
      <c r="N132" s="23">
        <f>IF($C132="","",INDEX(인턴근무계획!$P$3:$P$202,$A132)&amp;"")</f>
        <v/>
      </c>
      <c r="O132" s="23">
        <f>IF($C132="","",INDEX(인턴근무계획!$Q$3:$Q$202,$A132)&amp;"")</f>
        <v/>
      </c>
      <c r="P132" s="23">
        <f>IF($C132="","",INDEX(인턴근무계획!$R$3:$R$202,$A132)&amp;"")</f>
        <v/>
      </c>
      <c r="Q132" s="23">
        <f>IF($C132="","",INDEX(인턴근무계획!$T$3:$T$202,$A132))</f>
        <v/>
      </c>
    </row>
    <row r="133">
      <c r="A133" s="26" t="n">
        <v>128</v>
      </c>
      <c r="B133" s="23">
        <f>IF($C133="","",INDEX(인턴근무계획!$B$3:$B$202,$A133))</f>
        <v/>
      </c>
      <c r="C133" s="23">
        <f>IFERROR(TRIM(INDEX(인턴근무계획!$C$3:$C$202,$A133)&amp;""),"")</f>
        <v/>
      </c>
      <c r="D133" s="23">
        <f>IF($C133="","",INDEX(인턴근무계획!$D$3:$D$202,$A133))</f>
        <v/>
      </c>
      <c r="E133" s="23">
        <f>IF($C133="","",IF(IFERROR(MATCH($D133,기본자료!$B$2:$B$501,0),IFERROR(MATCH($D133&amp;"",기본자료!$B$2:$B$501,0),IFERROR(MATCH(VALUE($D133),기본자료!$B$2:$B$501,0),0)))&gt;0,"확인","미등록"))</f>
        <v/>
      </c>
      <c r="F133" s="27">
        <f>IF($C133="","",INDEX(인턴근무계획!$S$3:$S$202,$A133))</f>
        <v/>
      </c>
      <c r="G133" s="23">
        <f>IF(OR($C133="",$G$3=""),"",IF(INDEX(인턴근무계획!$M$3:$R$202,$A133,$G$3)&amp;""="","",IF(LEFT(INDEX(인턴근무계획!$M$3:$R$202,$A133,$G$3)&amp;"",1)="⚠",INDEX(인턴근무계획!$M$3:$R$202,$A133,$G$3)&amp;"",LEFT(INDEX(인턴근무계획!$M$3:$R$202,$A133,$G$3)&amp;"",FIND(" ",INDEX(인턴근무계획!$M$3:$R$202,$A133,$G$3)&amp;"")-1))))</f>
        <v/>
      </c>
      <c r="H133" s="23">
        <f>IF(OR($C133="",$G$3=""),"",IF(INDEX(인턴근무계획!$M$3:$R$202,$A133,$G$3)&amp;""="","",IF(LEFT(INDEX(인턴근무계획!$M$3:$R$202,$A133,$G$3)&amp;"",1)="⚠","",MID(INDEX(인턴근무계획!$M$3:$R$202,$A133,$G$3)&amp;"",FIND(" ",INDEX(인턴근무계획!$M$3:$R$202,$A133,$G$3)&amp;"")+1,60))))</f>
        <v/>
      </c>
      <c r="I133" s="23">
        <f>IF(OR($C133="",$I$3=""),"",IF(INDEX(인턴근무계획!$M$3:$R$202,$A133,$I$3)&amp;""="","",IF(LEFT(INDEX(인턴근무계획!$M$3:$R$202,$A133,$I$3)&amp;"",1)="⚠",INDEX(인턴근무계획!$M$3:$R$202,$A133,$I$3)&amp;"",LEFT(INDEX(인턴근무계획!$M$3:$R$202,$A133,$I$3)&amp;"",FIND(" ",INDEX(인턴근무계획!$M$3:$R$202,$A133,$I$3)&amp;"")-1))))</f>
        <v/>
      </c>
      <c r="J133" s="23">
        <f>IF(OR($C133="",$I$3=""),"",IF(INDEX(인턴근무계획!$M$3:$R$202,$A133,$I$3)&amp;""="","",IF(LEFT(INDEX(인턴근무계획!$M$3:$R$202,$A133,$I$3)&amp;"",1)="⚠","",MID(INDEX(인턴근무계획!$M$3:$R$202,$A133,$I$3)&amp;"",FIND(" ",INDEX(인턴근무계획!$M$3:$R$202,$A133,$I$3)&amp;"")+1,60))))</f>
        <v/>
      </c>
      <c r="K133" s="23">
        <f>IF($C133="","",INDEX(인턴근무계획!$M$3:$M$202,$A133)&amp;"")</f>
        <v/>
      </c>
      <c r="L133" s="23">
        <f>IF($C133="","",INDEX(인턴근무계획!$N$3:$N$202,$A133)&amp;"")</f>
        <v/>
      </c>
      <c r="M133" s="23">
        <f>IF($C133="","",INDEX(인턴근무계획!$O$3:$O$202,$A133)&amp;"")</f>
        <v/>
      </c>
      <c r="N133" s="23">
        <f>IF($C133="","",INDEX(인턴근무계획!$P$3:$P$202,$A133)&amp;"")</f>
        <v/>
      </c>
      <c r="O133" s="23">
        <f>IF($C133="","",INDEX(인턴근무계획!$Q$3:$Q$202,$A133)&amp;"")</f>
        <v/>
      </c>
      <c r="P133" s="23">
        <f>IF($C133="","",INDEX(인턴근무계획!$R$3:$R$202,$A133)&amp;"")</f>
        <v/>
      </c>
      <c r="Q133" s="23">
        <f>IF($C133="","",INDEX(인턴근무계획!$T$3:$T$202,$A133))</f>
        <v/>
      </c>
    </row>
    <row r="134">
      <c r="A134" s="26" t="n">
        <v>129</v>
      </c>
      <c r="B134" s="23">
        <f>IF($C134="","",INDEX(인턴근무계획!$B$3:$B$202,$A134))</f>
        <v/>
      </c>
      <c r="C134" s="23">
        <f>IFERROR(TRIM(INDEX(인턴근무계획!$C$3:$C$202,$A134)&amp;""),"")</f>
        <v/>
      </c>
      <c r="D134" s="23">
        <f>IF($C134="","",INDEX(인턴근무계획!$D$3:$D$202,$A134))</f>
        <v/>
      </c>
      <c r="E134" s="23">
        <f>IF($C134="","",IF(IFERROR(MATCH($D134,기본자료!$B$2:$B$501,0),IFERROR(MATCH($D134&amp;"",기본자료!$B$2:$B$501,0),IFERROR(MATCH(VALUE($D134),기본자료!$B$2:$B$501,0),0)))&gt;0,"확인","미등록"))</f>
        <v/>
      </c>
      <c r="F134" s="27">
        <f>IF($C134="","",INDEX(인턴근무계획!$S$3:$S$202,$A134))</f>
        <v/>
      </c>
      <c r="G134" s="23">
        <f>IF(OR($C134="",$G$3=""),"",IF(INDEX(인턴근무계획!$M$3:$R$202,$A134,$G$3)&amp;""="","",IF(LEFT(INDEX(인턴근무계획!$M$3:$R$202,$A134,$G$3)&amp;"",1)="⚠",INDEX(인턴근무계획!$M$3:$R$202,$A134,$G$3)&amp;"",LEFT(INDEX(인턴근무계획!$M$3:$R$202,$A134,$G$3)&amp;"",FIND(" ",INDEX(인턴근무계획!$M$3:$R$202,$A134,$G$3)&amp;"")-1))))</f>
        <v/>
      </c>
      <c r="H134" s="23">
        <f>IF(OR($C134="",$G$3=""),"",IF(INDEX(인턴근무계획!$M$3:$R$202,$A134,$G$3)&amp;""="","",IF(LEFT(INDEX(인턴근무계획!$M$3:$R$202,$A134,$G$3)&amp;"",1)="⚠","",MID(INDEX(인턴근무계획!$M$3:$R$202,$A134,$G$3)&amp;"",FIND(" ",INDEX(인턴근무계획!$M$3:$R$202,$A134,$G$3)&amp;"")+1,60))))</f>
        <v/>
      </c>
      <c r="I134" s="23">
        <f>IF(OR($C134="",$I$3=""),"",IF(INDEX(인턴근무계획!$M$3:$R$202,$A134,$I$3)&amp;""="","",IF(LEFT(INDEX(인턴근무계획!$M$3:$R$202,$A134,$I$3)&amp;"",1)="⚠",INDEX(인턴근무계획!$M$3:$R$202,$A134,$I$3)&amp;"",LEFT(INDEX(인턴근무계획!$M$3:$R$202,$A134,$I$3)&amp;"",FIND(" ",INDEX(인턴근무계획!$M$3:$R$202,$A134,$I$3)&amp;"")-1))))</f>
        <v/>
      </c>
      <c r="J134" s="23">
        <f>IF(OR($C134="",$I$3=""),"",IF(INDEX(인턴근무계획!$M$3:$R$202,$A134,$I$3)&amp;""="","",IF(LEFT(INDEX(인턴근무계획!$M$3:$R$202,$A134,$I$3)&amp;"",1)="⚠","",MID(INDEX(인턴근무계획!$M$3:$R$202,$A134,$I$3)&amp;"",FIND(" ",INDEX(인턴근무계획!$M$3:$R$202,$A134,$I$3)&amp;"")+1,60))))</f>
        <v/>
      </c>
      <c r="K134" s="23">
        <f>IF($C134="","",INDEX(인턴근무계획!$M$3:$M$202,$A134)&amp;"")</f>
        <v/>
      </c>
      <c r="L134" s="23">
        <f>IF($C134="","",INDEX(인턴근무계획!$N$3:$N$202,$A134)&amp;"")</f>
        <v/>
      </c>
      <c r="M134" s="23">
        <f>IF($C134="","",INDEX(인턴근무계획!$O$3:$O$202,$A134)&amp;"")</f>
        <v/>
      </c>
      <c r="N134" s="23">
        <f>IF($C134="","",INDEX(인턴근무계획!$P$3:$P$202,$A134)&amp;"")</f>
        <v/>
      </c>
      <c r="O134" s="23">
        <f>IF($C134="","",INDEX(인턴근무계획!$Q$3:$Q$202,$A134)&amp;"")</f>
        <v/>
      </c>
      <c r="P134" s="23">
        <f>IF($C134="","",INDEX(인턴근무계획!$R$3:$R$202,$A134)&amp;"")</f>
        <v/>
      </c>
      <c r="Q134" s="23">
        <f>IF($C134="","",INDEX(인턴근무계획!$T$3:$T$202,$A134))</f>
        <v/>
      </c>
    </row>
    <row r="135">
      <c r="A135" s="26" t="n">
        <v>130</v>
      </c>
      <c r="B135" s="23">
        <f>IF($C135="","",INDEX(인턴근무계획!$B$3:$B$202,$A135))</f>
        <v/>
      </c>
      <c r="C135" s="23">
        <f>IFERROR(TRIM(INDEX(인턴근무계획!$C$3:$C$202,$A135)&amp;""),"")</f>
        <v/>
      </c>
      <c r="D135" s="23">
        <f>IF($C135="","",INDEX(인턴근무계획!$D$3:$D$202,$A135))</f>
        <v/>
      </c>
      <c r="E135" s="23">
        <f>IF($C135="","",IF(IFERROR(MATCH($D135,기본자료!$B$2:$B$501,0),IFERROR(MATCH($D135&amp;"",기본자료!$B$2:$B$501,0),IFERROR(MATCH(VALUE($D135),기본자료!$B$2:$B$501,0),0)))&gt;0,"확인","미등록"))</f>
        <v/>
      </c>
      <c r="F135" s="27">
        <f>IF($C135="","",INDEX(인턴근무계획!$S$3:$S$202,$A135))</f>
        <v/>
      </c>
      <c r="G135" s="23">
        <f>IF(OR($C135="",$G$3=""),"",IF(INDEX(인턴근무계획!$M$3:$R$202,$A135,$G$3)&amp;""="","",IF(LEFT(INDEX(인턴근무계획!$M$3:$R$202,$A135,$G$3)&amp;"",1)="⚠",INDEX(인턴근무계획!$M$3:$R$202,$A135,$G$3)&amp;"",LEFT(INDEX(인턴근무계획!$M$3:$R$202,$A135,$G$3)&amp;"",FIND(" ",INDEX(인턴근무계획!$M$3:$R$202,$A135,$G$3)&amp;"")-1))))</f>
        <v/>
      </c>
      <c r="H135" s="23">
        <f>IF(OR($C135="",$G$3=""),"",IF(INDEX(인턴근무계획!$M$3:$R$202,$A135,$G$3)&amp;""="","",IF(LEFT(INDEX(인턴근무계획!$M$3:$R$202,$A135,$G$3)&amp;"",1)="⚠","",MID(INDEX(인턴근무계획!$M$3:$R$202,$A135,$G$3)&amp;"",FIND(" ",INDEX(인턴근무계획!$M$3:$R$202,$A135,$G$3)&amp;"")+1,60))))</f>
        <v/>
      </c>
      <c r="I135" s="23">
        <f>IF(OR($C135="",$I$3=""),"",IF(INDEX(인턴근무계획!$M$3:$R$202,$A135,$I$3)&amp;""="","",IF(LEFT(INDEX(인턴근무계획!$M$3:$R$202,$A135,$I$3)&amp;"",1)="⚠",INDEX(인턴근무계획!$M$3:$R$202,$A135,$I$3)&amp;"",LEFT(INDEX(인턴근무계획!$M$3:$R$202,$A135,$I$3)&amp;"",FIND(" ",INDEX(인턴근무계획!$M$3:$R$202,$A135,$I$3)&amp;"")-1))))</f>
        <v/>
      </c>
      <c r="J135" s="23">
        <f>IF(OR($C135="",$I$3=""),"",IF(INDEX(인턴근무계획!$M$3:$R$202,$A135,$I$3)&amp;""="","",IF(LEFT(INDEX(인턴근무계획!$M$3:$R$202,$A135,$I$3)&amp;"",1)="⚠","",MID(INDEX(인턴근무계획!$M$3:$R$202,$A135,$I$3)&amp;"",FIND(" ",INDEX(인턴근무계획!$M$3:$R$202,$A135,$I$3)&amp;"")+1,60))))</f>
        <v/>
      </c>
      <c r="K135" s="23">
        <f>IF($C135="","",INDEX(인턴근무계획!$M$3:$M$202,$A135)&amp;"")</f>
        <v/>
      </c>
      <c r="L135" s="23">
        <f>IF($C135="","",INDEX(인턴근무계획!$N$3:$N$202,$A135)&amp;"")</f>
        <v/>
      </c>
      <c r="M135" s="23">
        <f>IF($C135="","",INDEX(인턴근무계획!$O$3:$O$202,$A135)&amp;"")</f>
        <v/>
      </c>
      <c r="N135" s="23">
        <f>IF($C135="","",INDEX(인턴근무계획!$P$3:$P$202,$A135)&amp;"")</f>
        <v/>
      </c>
      <c r="O135" s="23">
        <f>IF($C135="","",INDEX(인턴근무계획!$Q$3:$Q$202,$A135)&amp;"")</f>
        <v/>
      </c>
      <c r="P135" s="23">
        <f>IF($C135="","",INDEX(인턴근무계획!$R$3:$R$202,$A135)&amp;"")</f>
        <v/>
      </c>
      <c r="Q135" s="23">
        <f>IF($C135="","",INDEX(인턴근무계획!$T$3:$T$202,$A135))</f>
        <v/>
      </c>
    </row>
    <row r="136">
      <c r="A136" s="26" t="n">
        <v>131</v>
      </c>
      <c r="B136" s="23">
        <f>IF($C136="","",INDEX(인턴근무계획!$B$3:$B$202,$A136))</f>
        <v/>
      </c>
      <c r="C136" s="23">
        <f>IFERROR(TRIM(INDEX(인턴근무계획!$C$3:$C$202,$A136)&amp;""),"")</f>
        <v/>
      </c>
      <c r="D136" s="23">
        <f>IF($C136="","",INDEX(인턴근무계획!$D$3:$D$202,$A136))</f>
        <v/>
      </c>
      <c r="E136" s="23">
        <f>IF($C136="","",IF(IFERROR(MATCH($D136,기본자료!$B$2:$B$501,0),IFERROR(MATCH($D136&amp;"",기본자료!$B$2:$B$501,0),IFERROR(MATCH(VALUE($D136),기본자료!$B$2:$B$501,0),0)))&gt;0,"확인","미등록"))</f>
        <v/>
      </c>
      <c r="F136" s="27">
        <f>IF($C136="","",INDEX(인턴근무계획!$S$3:$S$202,$A136))</f>
        <v/>
      </c>
      <c r="G136" s="23">
        <f>IF(OR($C136="",$G$3=""),"",IF(INDEX(인턴근무계획!$M$3:$R$202,$A136,$G$3)&amp;""="","",IF(LEFT(INDEX(인턴근무계획!$M$3:$R$202,$A136,$G$3)&amp;"",1)="⚠",INDEX(인턴근무계획!$M$3:$R$202,$A136,$G$3)&amp;"",LEFT(INDEX(인턴근무계획!$M$3:$R$202,$A136,$G$3)&amp;"",FIND(" ",INDEX(인턴근무계획!$M$3:$R$202,$A136,$G$3)&amp;"")-1))))</f>
        <v/>
      </c>
      <c r="H136" s="23">
        <f>IF(OR($C136="",$G$3=""),"",IF(INDEX(인턴근무계획!$M$3:$R$202,$A136,$G$3)&amp;""="","",IF(LEFT(INDEX(인턴근무계획!$M$3:$R$202,$A136,$G$3)&amp;"",1)="⚠","",MID(INDEX(인턴근무계획!$M$3:$R$202,$A136,$G$3)&amp;"",FIND(" ",INDEX(인턴근무계획!$M$3:$R$202,$A136,$G$3)&amp;"")+1,60))))</f>
        <v/>
      </c>
      <c r="I136" s="23">
        <f>IF(OR($C136="",$I$3=""),"",IF(INDEX(인턴근무계획!$M$3:$R$202,$A136,$I$3)&amp;""="","",IF(LEFT(INDEX(인턴근무계획!$M$3:$R$202,$A136,$I$3)&amp;"",1)="⚠",INDEX(인턴근무계획!$M$3:$R$202,$A136,$I$3)&amp;"",LEFT(INDEX(인턴근무계획!$M$3:$R$202,$A136,$I$3)&amp;"",FIND(" ",INDEX(인턴근무계획!$M$3:$R$202,$A136,$I$3)&amp;"")-1))))</f>
        <v/>
      </c>
      <c r="J136" s="23">
        <f>IF(OR($C136="",$I$3=""),"",IF(INDEX(인턴근무계획!$M$3:$R$202,$A136,$I$3)&amp;""="","",IF(LEFT(INDEX(인턴근무계획!$M$3:$R$202,$A136,$I$3)&amp;"",1)="⚠","",MID(INDEX(인턴근무계획!$M$3:$R$202,$A136,$I$3)&amp;"",FIND(" ",INDEX(인턴근무계획!$M$3:$R$202,$A136,$I$3)&amp;"")+1,60))))</f>
        <v/>
      </c>
      <c r="K136" s="23">
        <f>IF($C136="","",INDEX(인턴근무계획!$M$3:$M$202,$A136)&amp;"")</f>
        <v/>
      </c>
      <c r="L136" s="23">
        <f>IF($C136="","",INDEX(인턴근무계획!$N$3:$N$202,$A136)&amp;"")</f>
        <v/>
      </c>
      <c r="M136" s="23">
        <f>IF($C136="","",INDEX(인턴근무계획!$O$3:$O$202,$A136)&amp;"")</f>
        <v/>
      </c>
      <c r="N136" s="23">
        <f>IF($C136="","",INDEX(인턴근무계획!$P$3:$P$202,$A136)&amp;"")</f>
        <v/>
      </c>
      <c r="O136" s="23">
        <f>IF($C136="","",INDEX(인턴근무계획!$Q$3:$Q$202,$A136)&amp;"")</f>
        <v/>
      </c>
      <c r="P136" s="23">
        <f>IF($C136="","",INDEX(인턴근무계획!$R$3:$R$202,$A136)&amp;"")</f>
        <v/>
      </c>
      <c r="Q136" s="23">
        <f>IF($C136="","",INDEX(인턴근무계획!$T$3:$T$202,$A136))</f>
        <v/>
      </c>
    </row>
    <row r="137">
      <c r="A137" s="26" t="n">
        <v>132</v>
      </c>
      <c r="B137" s="23">
        <f>IF($C137="","",INDEX(인턴근무계획!$B$3:$B$202,$A137))</f>
        <v/>
      </c>
      <c r="C137" s="23">
        <f>IFERROR(TRIM(INDEX(인턴근무계획!$C$3:$C$202,$A137)&amp;""),"")</f>
        <v/>
      </c>
      <c r="D137" s="23">
        <f>IF($C137="","",INDEX(인턴근무계획!$D$3:$D$202,$A137))</f>
        <v/>
      </c>
      <c r="E137" s="23">
        <f>IF($C137="","",IF(IFERROR(MATCH($D137,기본자료!$B$2:$B$501,0),IFERROR(MATCH($D137&amp;"",기본자료!$B$2:$B$501,0),IFERROR(MATCH(VALUE($D137),기본자료!$B$2:$B$501,0),0)))&gt;0,"확인","미등록"))</f>
        <v/>
      </c>
      <c r="F137" s="27">
        <f>IF($C137="","",INDEX(인턴근무계획!$S$3:$S$202,$A137))</f>
        <v/>
      </c>
      <c r="G137" s="23">
        <f>IF(OR($C137="",$G$3=""),"",IF(INDEX(인턴근무계획!$M$3:$R$202,$A137,$G$3)&amp;""="","",IF(LEFT(INDEX(인턴근무계획!$M$3:$R$202,$A137,$G$3)&amp;"",1)="⚠",INDEX(인턴근무계획!$M$3:$R$202,$A137,$G$3)&amp;"",LEFT(INDEX(인턴근무계획!$M$3:$R$202,$A137,$G$3)&amp;"",FIND(" ",INDEX(인턴근무계획!$M$3:$R$202,$A137,$G$3)&amp;"")-1))))</f>
        <v/>
      </c>
      <c r="H137" s="23">
        <f>IF(OR($C137="",$G$3=""),"",IF(INDEX(인턴근무계획!$M$3:$R$202,$A137,$G$3)&amp;""="","",IF(LEFT(INDEX(인턴근무계획!$M$3:$R$202,$A137,$G$3)&amp;"",1)="⚠","",MID(INDEX(인턴근무계획!$M$3:$R$202,$A137,$G$3)&amp;"",FIND(" ",INDEX(인턴근무계획!$M$3:$R$202,$A137,$G$3)&amp;"")+1,60))))</f>
        <v/>
      </c>
      <c r="I137" s="23">
        <f>IF(OR($C137="",$I$3=""),"",IF(INDEX(인턴근무계획!$M$3:$R$202,$A137,$I$3)&amp;""="","",IF(LEFT(INDEX(인턴근무계획!$M$3:$R$202,$A137,$I$3)&amp;"",1)="⚠",INDEX(인턴근무계획!$M$3:$R$202,$A137,$I$3)&amp;"",LEFT(INDEX(인턴근무계획!$M$3:$R$202,$A137,$I$3)&amp;"",FIND(" ",INDEX(인턴근무계획!$M$3:$R$202,$A137,$I$3)&amp;"")-1))))</f>
        <v/>
      </c>
      <c r="J137" s="23">
        <f>IF(OR($C137="",$I$3=""),"",IF(INDEX(인턴근무계획!$M$3:$R$202,$A137,$I$3)&amp;""="","",IF(LEFT(INDEX(인턴근무계획!$M$3:$R$202,$A137,$I$3)&amp;"",1)="⚠","",MID(INDEX(인턴근무계획!$M$3:$R$202,$A137,$I$3)&amp;"",FIND(" ",INDEX(인턴근무계획!$M$3:$R$202,$A137,$I$3)&amp;"")+1,60))))</f>
        <v/>
      </c>
      <c r="K137" s="23">
        <f>IF($C137="","",INDEX(인턴근무계획!$M$3:$M$202,$A137)&amp;"")</f>
        <v/>
      </c>
      <c r="L137" s="23">
        <f>IF($C137="","",INDEX(인턴근무계획!$N$3:$N$202,$A137)&amp;"")</f>
        <v/>
      </c>
      <c r="M137" s="23">
        <f>IF($C137="","",INDEX(인턴근무계획!$O$3:$O$202,$A137)&amp;"")</f>
        <v/>
      </c>
      <c r="N137" s="23">
        <f>IF($C137="","",INDEX(인턴근무계획!$P$3:$P$202,$A137)&amp;"")</f>
        <v/>
      </c>
      <c r="O137" s="23">
        <f>IF($C137="","",INDEX(인턴근무계획!$Q$3:$Q$202,$A137)&amp;"")</f>
        <v/>
      </c>
      <c r="P137" s="23">
        <f>IF($C137="","",INDEX(인턴근무계획!$R$3:$R$202,$A137)&amp;"")</f>
        <v/>
      </c>
      <c r="Q137" s="23">
        <f>IF($C137="","",INDEX(인턴근무계획!$T$3:$T$202,$A137))</f>
        <v/>
      </c>
    </row>
    <row r="138">
      <c r="A138" s="26" t="n">
        <v>133</v>
      </c>
      <c r="B138" s="23">
        <f>IF($C138="","",INDEX(인턴근무계획!$B$3:$B$202,$A138))</f>
        <v/>
      </c>
      <c r="C138" s="23">
        <f>IFERROR(TRIM(INDEX(인턴근무계획!$C$3:$C$202,$A138)&amp;""),"")</f>
        <v/>
      </c>
      <c r="D138" s="23">
        <f>IF($C138="","",INDEX(인턴근무계획!$D$3:$D$202,$A138))</f>
        <v/>
      </c>
      <c r="E138" s="23">
        <f>IF($C138="","",IF(IFERROR(MATCH($D138,기본자료!$B$2:$B$501,0),IFERROR(MATCH($D138&amp;"",기본자료!$B$2:$B$501,0),IFERROR(MATCH(VALUE($D138),기본자료!$B$2:$B$501,0),0)))&gt;0,"확인","미등록"))</f>
        <v/>
      </c>
      <c r="F138" s="27">
        <f>IF($C138="","",INDEX(인턴근무계획!$S$3:$S$202,$A138))</f>
        <v/>
      </c>
      <c r="G138" s="23">
        <f>IF(OR($C138="",$G$3=""),"",IF(INDEX(인턴근무계획!$M$3:$R$202,$A138,$G$3)&amp;""="","",IF(LEFT(INDEX(인턴근무계획!$M$3:$R$202,$A138,$G$3)&amp;"",1)="⚠",INDEX(인턴근무계획!$M$3:$R$202,$A138,$G$3)&amp;"",LEFT(INDEX(인턴근무계획!$M$3:$R$202,$A138,$G$3)&amp;"",FIND(" ",INDEX(인턴근무계획!$M$3:$R$202,$A138,$G$3)&amp;"")-1))))</f>
        <v/>
      </c>
      <c r="H138" s="23">
        <f>IF(OR($C138="",$G$3=""),"",IF(INDEX(인턴근무계획!$M$3:$R$202,$A138,$G$3)&amp;""="","",IF(LEFT(INDEX(인턴근무계획!$M$3:$R$202,$A138,$G$3)&amp;"",1)="⚠","",MID(INDEX(인턴근무계획!$M$3:$R$202,$A138,$G$3)&amp;"",FIND(" ",INDEX(인턴근무계획!$M$3:$R$202,$A138,$G$3)&amp;"")+1,60))))</f>
        <v/>
      </c>
      <c r="I138" s="23">
        <f>IF(OR($C138="",$I$3=""),"",IF(INDEX(인턴근무계획!$M$3:$R$202,$A138,$I$3)&amp;""="","",IF(LEFT(INDEX(인턴근무계획!$M$3:$R$202,$A138,$I$3)&amp;"",1)="⚠",INDEX(인턴근무계획!$M$3:$R$202,$A138,$I$3)&amp;"",LEFT(INDEX(인턴근무계획!$M$3:$R$202,$A138,$I$3)&amp;"",FIND(" ",INDEX(인턴근무계획!$M$3:$R$202,$A138,$I$3)&amp;"")-1))))</f>
        <v/>
      </c>
      <c r="J138" s="23">
        <f>IF(OR($C138="",$I$3=""),"",IF(INDEX(인턴근무계획!$M$3:$R$202,$A138,$I$3)&amp;""="","",IF(LEFT(INDEX(인턴근무계획!$M$3:$R$202,$A138,$I$3)&amp;"",1)="⚠","",MID(INDEX(인턴근무계획!$M$3:$R$202,$A138,$I$3)&amp;"",FIND(" ",INDEX(인턴근무계획!$M$3:$R$202,$A138,$I$3)&amp;"")+1,60))))</f>
        <v/>
      </c>
      <c r="K138" s="23">
        <f>IF($C138="","",INDEX(인턴근무계획!$M$3:$M$202,$A138)&amp;"")</f>
        <v/>
      </c>
      <c r="L138" s="23">
        <f>IF($C138="","",INDEX(인턴근무계획!$N$3:$N$202,$A138)&amp;"")</f>
        <v/>
      </c>
      <c r="M138" s="23">
        <f>IF($C138="","",INDEX(인턴근무계획!$O$3:$O$202,$A138)&amp;"")</f>
        <v/>
      </c>
      <c r="N138" s="23">
        <f>IF($C138="","",INDEX(인턴근무계획!$P$3:$P$202,$A138)&amp;"")</f>
        <v/>
      </c>
      <c r="O138" s="23">
        <f>IF($C138="","",INDEX(인턴근무계획!$Q$3:$Q$202,$A138)&amp;"")</f>
        <v/>
      </c>
      <c r="P138" s="23">
        <f>IF($C138="","",INDEX(인턴근무계획!$R$3:$R$202,$A138)&amp;"")</f>
        <v/>
      </c>
      <c r="Q138" s="23">
        <f>IF($C138="","",INDEX(인턴근무계획!$T$3:$T$202,$A138))</f>
        <v/>
      </c>
    </row>
    <row r="139">
      <c r="A139" s="26" t="n">
        <v>134</v>
      </c>
      <c r="B139" s="23">
        <f>IF($C139="","",INDEX(인턴근무계획!$B$3:$B$202,$A139))</f>
        <v/>
      </c>
      <c r="C139" s="23">
        <f>IFERROR(TRIM(INDEX(인턴근무계획!$C$3:$C$202,$A139)&amp;""),"")</f>
        <v/>
      </c>
      <c r="D139" s="23">
        <f>IF($C139="","",INDEX(인턴근무계획!$D$3:$D$202,$A139))</f>
        <v/>
      </c>
      <c r="E139" s="23">
        <f>IF($C139="","",IF(IFERROR(MATCH($D139,기본자료!$B$2:$B$501,0),IFERROR(MATCH($D139&amp;"",기본자료!$B$2:$B$501,0),IFERROR(MATCH(VALUE($D139),기본자료!$B$2:$B$501,0),0)))&gt;0,"확인","미등록"))</f>
        <v/>
      </c>
      <c r="F139" s="27">
        <f>IF($C139="","",INDEX(인턴근무계획!$S$3:$S$202,$A139))</f>
        <v/>
      </c>
      <c r="G139" s="23">
        <f>IF(OR($C139="",$G$3=""),"",IF(INDEX(인턴근무계획!$M$3:$R$202,$A139,$G$3)&amp;""="","",IF(LEFT(INDEX(인턴근무계획!$M$3:$R$202,$A139,$G$3)&amp;"",1)="⚠",INDEX(인턴근무계획!$M$3:$R$202,$A139,$G$3)&amp;"",LEFT(INDEX(인턴근무계획!$M$3:$R$202,$A139,$G$3)&amp;"",FIND(" ",INDEX(인턴근무계획!$M$3:$R$202,$A139,$G$3)&amp;"")-1))))</f>
        <v/>
      </c>
      <c r="H139" s="23">
        <f>IF(OR($C139="",$G$3=""),"",IF(INDEX(인턴근무계획!$M$3:$R$202,$A139,$G$3)&amp;""="","",IF(LEFT(INDEX(인턴근무계획!$M$3:$R$202,$A139,$G$3)&amp;"",1)="⚠","",MID(INDEX(인턴근무계획!$M$3:$R$202,$A139,$G$3)&amp;"",FIND(" ",INDEX(인턴근무계획!$M$3:$R$202,$A139,$G$3)&amp;"")+1,60))))</f>
        <v/>
      </c>
      <c r="I139" s="23">
        <f>IF(OR($C139="",$I$3=""),"",IF(INDEX(인턴근무계획!$M$3:$R$202,$A139,$I$3)&amp;""="","",IF(LEFT(INDEX(인턴근무계획!$M$3:$R$202,$A139,$I$3)&amp;"",1)="⚠",INDEX(인턴근무계획!$M$3:$R$202,$A139,$I$3)&amp;"",LEFT(INDEX(인턴근무계획!$M$3:$R$202,$A139,$I$3)&amp;"",FIND(" ",INDEX(인턴근무계획!$M$3:$R$202,$A139,$I$3)&amp;"")-1))))</f>
        <v/>
      </c>
      <c r="J139" s="23">
        <f>IF(OR($C139="",$I$3=""),"",IF(INDEX(인턴근무계획!$M$3:$R$202,$A139,$I$3)&amp;""="","",IF(LEFT(INDEX(인턴근무계획!$M$3:$R$202,$A139,$I$3)&amp;"",1)="⚠","",MID(INDEX(인턴근무계획!$M$3:$R$202,$A139,$I$3)&amp;"",FIND(" ",INDEX(인턴근무계획!$M$3:$R$202,$A139,$I$3)&amp;"")+1,60))))</f>
        <v/>
      </c>
      <c r="K139" s="23">
        <f>IF($C139="","",INDEX(인턴근무계획!$M$3:$M$202,$A139)&amp;"")</f>
        <v/>
      </c>
      <c r="L139" s="23">
        <f>IF($C139="","",INDEX(인턴근무계획!$N$3:$N$202,$A139)&amp;"")</f>
        <v/>
      </c>
      <c r="M139" s="23">
        <f>IF($C139="","",INDEX(인턴근무계획!$O$3:$O$202,$A139)&amp;"")</f>
        <v/>
      </c>
      <c r="N139" s="23">
        <f>IF($C139="","",INDEX(인턴근무계획!$P$3:$P$202,$A139)&amp;"")</f>
        <v/>
      </c>
      <c r="O139" s="23">
        <f>IF($C139="","",INDEX(인턴근무계획!$Q$3:$Q$202,$A139)&amp;"")</f>
        <v/>
      </c>
      <c r="P139" s="23">
        <f>IF($C139="","",INDEX(인턴근무계획!$R$3:$R$202,$A139)&amp;"")</f>
        <v/>
      </c>
      <c r="Q139" s="23">
        <f>IF($C139="","",INDEX(인턴근무계획!$T$3:$T$202,$A139))</f>
        <v/>
      </c>
    </row>
    <row r="140">
      <c r="A140" s="26" t="n">
        <v>135</v>
      </c>
      <c r="B140" s="23">
        <f>IF($C140="","",INDEX(인턴근무계획!$B$3:$B$202,$A140))</f>
        <v/>
      </c>
      <c r="C140" s="23">
        <f>IFERROR(TRIM(INDEX(인턴근무계획!$C$3:$C$202,$A140)&amp;""),"")</f>
        <v/>
      </c>
      <c r="D140" s="23">
        <f>IF($C140="","",INDEX(인턴근무계획!$D$3:$D$202,$A140))</f>
        <v/>
      </c>
      <c r="E140" s="23">
        <f>IF($C140="","",IF(IFERROR(MATCH($D140,기본자료!$B$2:$B$501,0),IFERROR(MATCH($D140&amp;"",기본자료!$B$2:$B$501,0),IFERROR(MATCH(VALUE($D140),기본자료!$B$2:$B$501,0),0)))&gt;0,"확인","미등록"))</f>
        <v/>
      </c>
      <c r="F140" s="27">
        <f>IF($C140="","",INDEX(인턴근무계획!$S$3:$S$202,$A140))</f>
        <v/>
      </c>
      <c r="G140" s="23">
        <f>IF(OR($C140="",$G$3=""),"",IF(INDEX(인턴근무계획!$M$3:$R$202,$A140,$G$3)&amp;""="","",IF(LEFT(INDEX(인턴근무계획!$M$3:$R$202,$A140,$G$3)&amp;"",1)="⚠",INDEX(인턴근무계획!$M$3:$R$202,$A140,$G$3)&amp;"",LEFT(INDEX(인턴근무계획!$M$3:$R$202,$A140,$G$3)&amp;"",FIND(" ",INDEX(인턴근무계획!$M$3:$R$202,$A140,$G$3)&amp;"")-1))))</f>
        <v/>
      </c>
      <c r="H140" s="23">
        <f>IF(OR($C140="",$G$3=""),"",IF(INDEX(인턴근무계획!$M$3:$R$202,$A140,$G$3)&amp;""="","",IF(LEFT(INDEX(인턴근무계획!$M$3:$R$202,$A140,$G$3)&amp;"",1)="⚠","",MID(INDEX(인턴근무계획!$M$3:$R$202,$A140,$G$3)&amp;"",FIND(" ",INDEX(인턴근무계획!$M$3:$R$202,$A140,$G$3)&amp;"")+1,60))))</f>
        <v/>
      </c>
      <c r="I140" s="23">
        <f>IF(OR($C140="",$I$3=""),"",IF(INDEX(인턴근무계획!$M$3:$R$202,$A140,$I$3)&amp;""="","",IF(LEFT(INDEX(인턴근무계획!$M$3:$R$202,$A140,$I$3)&amp;"",1)="⚠",INDEX(인턴근무계획!$M$3:$R$202,$A140,$I$3)&amp;"",LEFT(INDEX(인턴근무계획!$M$3:$R$202,$A140,$I$3)&amp;"",FIND(" ",INDEX(인턴근무계획!$M$3:$R$202,$A140,$I$3)&amp;"")-1))))</f>
        <v/>
      </c>
      <c r="J140" s="23">
        <f>IF(OR($C140="",$I$3=""),"",IF(INDEX(인턴근무계획!$M$3:$R$202,$A140,$I$3)&amp;""="","",IF(LEFT(INDEX(인턴근무계획!$M$3:$R$202,$A140,$I$3)&amp;"",1)="⚠","",MID(INDEX(인턴근무계획!$M$3:$R$202,$A140,$I$3)&amp;"",FIND(" ",INDEX(인턴근무계획!$M$3:$R$202,$A140,$I$3)&amp;"")+1,60))))</f>
        <v/>
      </c>
      <c r="K140" s="23">
        <f>IF($C140="","",INDEX(인턴근무계획!$M$3:$M$202,$A140)&amp;"")</f>
        <v/>
      </c>
      <c r="L140" s="23">
        <f>IF($C140="","",INDEX(인턴근무계획!$N$3:$N$202,$A140)&amp;"")</f>
        <v/>
      </c>
      <c r="M140" s="23">
        <f>IF($C140="","",INDEX(인턴근무계획!$O$3:$O$202,$A140)&amp;"")</f>
        <v/>
      </c>
      <c r="N140" s="23">
        <f>IF($C140="","",INDEX(인턴근무계획!$P$3:$P$202,$A140)&amp;"")</f>
        <v/>
      </c>
      <c r="O140" s="23">
        <f>IF($C140="","",INDEX(인턴근무계획!$Q$3:$Q$202,$A140)&amp;"")</f>
        <v/>
      </c>
      <c r="P140" s="23">
        <f>IF($C140="","",INDEX(인턴근무계획!$R$3:$R$202,$A140)&amp;"")</f>
        <v/>
      </c>
      <c r="Q140" s="23">
        <f>IF($C140="","",INDEX(인턴근무계획!$T$3:$T$202,$A140))</f>
        <v/>
      </c>
    </row>
    <row r="141">
      <c r="A141" s="26" t="n">
        <v>136</v>
      </c>
      <c r="B141" s="23">
        <f>IF($C141="","",INDEX(인턴근무계획!$B$3:$B$202,$A141))</f>
        <v/>
      </c>
      <c r="C141" s="23">
        <f>IFERROR(TRIM(INDEX(인턴근무계획!$C$3:$C$202,$A141)&amp;""),"")</f>
        <v/>
      </c>
      <c r="D141" s="23">
        <f>IF($C141="","",INDEX(인턴근무계획!$D$3:$D$202,$A141))</f>
        <v/>
      </c>
      <c r="E141" s="23">
        <f>IF($C141="","",IF(IFERROR(MATCH($D141,기본자료!$B$2:$B$501,0),IFERROR(MATCH($D141&amp;"",기본자료!$B$2:$B$501,0),IFERROR(MATCH(VALUE($D141),기본자료!$B$2:$B$501,0),0)))&gt;0,"확인","미등록"))</f>
        <v/>
      </c>
      <c r="F141" s="27">
        <f>IF($C141="","",INDEX(인턴근무계획!$S$3:$S$202,$A141))</f>
        <v/>
      </c>
      <c r="G141" s="23">
        <f>IF(OR($C141="",$G$3=""),"",IF(INDEX(인턴근무계획!$M$3:$R$202,$A141,$G$3)&amp;""="","",IF(LEFT(INDEX(인턴근무계획!$M$3:$R$202,$A141,$G$3)&amp;"",1)="⚠",INDEX(인턴근무계획!$M$3:$R$202,$A141,$G$3)&amp;"",LEFT(INDEX(인턴근무계획!$M$3:$R$202,$A141,$G$3)&amp;"",FIND(" ",INDEX(인턴근무계획!$M$3:$R$202,$A141,$G$3)&amp;"")-1))))</f>
        <v/>
      </c>
      <c r="H141" s="23">
        <f>IF(OR($C141="",$G$3=""),"",IF(INDEX(인턴근무계획!$M$3:$R$202,$A141,$G$3)&amp;""="","",IF(LEFT(INDEX(인턴근무계획!$M$3:$R$202,$A141,$G$3)&amp;"",1)="⚠","",MID(INDEX(인턴근무계획!$M$3:$R$202,$A141,$G$3)&amp;"",FIND(" ",INDEX(인턴근무계획!$M$3:$R$202,$A141,$G$3)&amp;"")+1,60))))</f>
        <v/>
      </c>
      <c r="I141" s="23">
        <f>IF(OR($C141="",$I$3=""),"",IF(INDEX(인턴근무계획!$M$3:$R$202,$A141,$I$3)&amp;""="","",IF(LEFT(INDEX(인턴근무계획!$M$3:$R$202,$A141,$I$3)&amp;"",1)="⚠",INDEX(인턴근무계획!$M$3:$R$202,$A141,$I$3)&amp;"",LEFT(INDEX(인턴근무계획!$M$3:$R$202,$A141,$I$3)&amp;"",FIND(" ",INDEX(인턴근무계획!$M$3:$R$202,$A141,$I$3)&amp;"")-1))))</f>
        <v/>
      </c>
      <c r="J141" s="23">
        <f>IF(OR($C141="",$I$3=""),"",IF(INDEX(인턴근무계획!$M$3:$R$202,$A141,$I$3)&amp;""="","",IF(LEFT(INDEX(인턴근무계획!$M$3:$R$202,$A141,$I$3)&amp;"",1)="⚠","",MID(INDEX(인턴근무계획!$M$3:$R$202,$A141,$I$3)&amp;"",FIND(" ",INDEX(인턴근무계획!$M$3:$R$202,$A141,$I$3)&amp;"")+1,60))))</f>
        <v/>
      </c>
      <c r="K141" s="23">
        <f>IF($C141="","",INDEX(인턴근무계획!$M$3:$M$202,$A141)&amp;"")</f>
        <v/>
      </c>
      <c r="L141" s="23">
        <f>IF($C141="","",INDEX(인턴근무계획!$N$3:$N$202,$A141)&amp;"")</f>
        <v/>
      </c>
      <c r="M141" s="23">
        <f>IF($C141="","",INDEX(인턴근무계획!$O$3:$O$202,$A141)&amp;"")</f>
        <v/>
      </c>
      <c r="N141" s="23">
        <f>IF($C141="","",INDEX(인턴근무계획!$P$3:$P$202,$A141)&amp;"")</f>
        <v/>
      </c>
      <c r="O141" s="23">
        <f>IF($C141="","",INDEX(인턴근무계획!$Q$3:$Q$202,$A141)&amp;"")</f>
        <v/>
      </c>
      <c r="P141" s="23">
        <f>IF($C141="","",INDEX(인턴근무계획!$R$3:$R$202,$A141)&amp;"")</f>
        <v/>
      </c>
      <c r="Q141" s="23">
        <f>IF($C141="","",INDEX(인턴근무계획!$T$3:$T$202,$A141))</f>
        <v/>
      </c>
    </row>
    <row r="142">
      <c r="A142" s="26" t="n">
        <v>137</v>
      </c>
      <c r="B142" s="23">
        <f>IF($C142="","",INDEX(인턴근무계획!$B$3:$B$202,$A142))</f>
        <v/>
      </c>
      <c r="C142" s="23">
        <f>IFERROR(TRIM(INDEX(인턴근무계획!$C$3:$C$202,$A142)&amp;""),"")</f>
        <v/>
      </c>
      <c r="D142" s="23">
        <f>IF($C142="","",INDEX(인턴근무계획!$D$3:$D$202,$A142))</f>
        <v/>
      </c>
      <c r="E142" s="23">
        <f>IF($C142="","",IF(IFERROR(MATCH($D142,기본자료!$B$2:$B$501,0),IFERROR(MATCH($D142&amp;"",기본자료!$B$2:$B$501,0),IFERROR(MATCH(VALUE($D142),기본자료!$B$2:$B$501,0),0)))&gt;0,"확인","미등록"))</f>
        <v/>
      </c>
      <c r="F142" s="27">
        <f>IF($C142="","",INDEX(인턴근무계획!$S$3:$S$202,$A142))</f>
        <v/>
      </c>
      <c r="G142" s="23">
        <f>IF(OR($C142="",$G$3=""),"",IF(INDEX(인턴근무계획!$M$3:$R$202,$A142,$G$3)&amp;""="","",IF(LEFT(INDEX(인턴근무계획!$M$3:$R$202,$A142,$G$3)&amp;"",1)="⚠",INDEX(인턴근무계획!$M$3:$R$202,$A142,$G$3)&amp;"",LEFT(INDEX(인턴근무계획!$M$3:$R$202,$A142,$G$3)&amp;"",FIND(" ",INDEX(인턴근무계획!$M$3:$R$202,$A142,$G$3)&amp;"")-1))))</f>
        <v/>
      </c>
      <c r="H142" s="23">
        <f>IF(OR($C142="",$G$3=""),"",IF(INDEX(인턴근무계획!$M$3:$R$202,$A142,$G$3)&amp;""="","",IF(LEFT(INDEX(인턴근무계획!$M$3:$R$202,$A142,$G$3)&amp;"",1)="⚠","",MID(INDEX(인턴근무계획!$M$3:$R$202,$A142,$G$3)&amp;"",FIND(" ",INDEX(인턴근무계획!$M$3:$R$202,$A142,$G$3)&amp;"")+1,60))))</f>
        <v/>
      </c>
      <c r="I142" s="23">
        <f>IF(OR($C142="",$I$3=""),"",IF(INDEX(인턴근무계획!$M$3:$R$202,$A142,$I$3)&amp;""="","",IF(LEFT(INDEX(인턴근무계획!$M$3:$R$202,$A142,$I$3)&amp;"",1)="⚠",INDEX(인턴근무계획!$M$3:$R$202,$A142,$I$3)&amp;"",LEFT(INDEX(인턴근무계획!$M$3:$R$202,$A142,$I$3)&amp;"",FIND(" ",INDEX(인턴근무계획!$M$3:$R$202,$A142,$I$3)&amp;"")-1))))</f>
        <v/>
      </c>
      <c r="J142" s="23">
        <f>IF(OR($C142="",$I$3=""),"",IF(INDEX(인턴근무계획!$M$3:$R$202,$A142,$I$3)&amp;""="","",IF(LEFT(INDEX(인턴근무계획!$M$3:$R$202,$A142,$I$3)&amp;"",1)="⚠","",MID(INDEX(인턴근무계획!$M$3:$R$202,$A142,$I$3)&amp;"",FIND(" ",INDEX(인턴근무계획!$M$3:$R$202,$A142,$I$3)&amp;"")+1,60))))</f>
        <v/>
      </c>
      <c r="K142" s="23">
        <f>IF($C142="","",INDEX(인턴근무계획!$M$3:$M$202,$A142)&amp;"")</f>
        <v/>
      </c>
      <c r="L142" s="23">
        <f>IF($C142="","",INDEX(인턴근무계획!$N$3:$N$202,$A142)&amp;"")</f>
        <v/>
      </c>
      <c r="M142" s="23">
        <f>IF($C142="","",INDEX(인턴근무계획!$O$3:$O$202,$A142)&amp;"")</f>
        <v/>
      </c>
      <c r="N142" s="23">
        <f>IF($C142="","",INDEX(인턴근무계획!$P$3:$P$202,$A142)&amp;"")</f>
        <v/>
      </c>
      <c r="O142" s="23">
        <f>IF($C142="","",INDEX(인턴근무계획!$Q$3:$Q$202,$A142)&amp;"")</f>
        <v/>
      </c>
      <c r="P142" s="23">
        <f>IF($C142="","",INDEX(인턴근무계획!$R$3:$R$202,$A142)&amp;"")</f>
        <v/>
      </c>
      <c r="Q142" s="23">
        <f>IF($C142="","",INDEX(인턴근무계획!$T$3:$T$202,$A142))</f>
        <v/>
      </c>
    </row>
    <row r="143">
      <c r="A143" s="26" t="n">
        <v>138</v>
      </c>
      <c r="B143" s="23">
        <f>IF($C143="","",INDEX(인턴근무계획!$B$3:$B$202,$A143))</f>
        <v/>
      </c>
      <c r="C143" s="23">
        <f>IFERROR(TRIM(INDEX(인턴근무계획!$C$3:$C$202,$A143)&amp;""),"")</f>
        <v/>
      </c>
      <c r="D143" s="23">
        <f>IF($C143="","",INDEX(인턴근무계획!$D$3:$D$202,$A143))</f>
        <v/>
      </c>
      <c r="E143" s="23">
        <f>IF($C143="","",IF(IFERROR(MATCH($D143,기본자료!$B$2:$B$501,0),IFERROR(MATCH($D143&amp;"",기본자료!$B$2:$B$501,0),IFERROR(MATCH(VALUE($D143),기본자료!$B$2:$B$501,0),0)))&gt;0,"확인","미등록"))</f>
        <v/>
      </c>
      <c r="F143" s="27">
        <f>IF($C143="","",INDEX(인턴근무계획!$S$3:$S$202,$A143))</f>
        <v/>
      </c>
      <c r="G143" s="23">
        <f>IF(OR($C143="",$G$3=""),"",IF(INDEX(인턴근무계획!$M$3:$R$202,$A143,$G$3)&amp;""="","",IF(LEFT(INDEX(인턴근무계획!$M$3:$R$202,$A143,$G$3)&amp;"",1)="⚠",INDEX(인턴근무계획!$M$3:$R$202,$A143,$G$3)&amp;"",LEFT(INDEX(인턴근무계획!$M$3:$R$202,$A143,$G$3)&amp;"",FIND(" ",INDEX(인턴근무계획!$M$3:$R$202,$A143,$G$3)&amp;"")-1))))</f>
        <v/>
      </c>
      <c r="H143" s="23">
        <f>IF(OR($C143="",$G$3=""),"",IF(INDEX(인턴근무계획!$M$3:$R$202,$A143,$G$3)&amp;""="","",IF(LEFT(INDEX(인턴근무계획!$M$3:$R$202,$A143,$G$3)&amp;"",1)="⚠","",MID(INDEX(인턴근무계획!$M$3:$R$202,$A143,$G$3)&amp;"",FIND(" ",INDEX(인턴근무계획!$M$3:$R$202,$A143,$G$3)&amp;"")+1,60))))</f>
        <v/>
      </c>
      <c r="I143" s="23">
        <f>IF(OR($C143="",$I$3=""),"",IF(INDEX(인턴근무계획!$M$3:$R$202,$A143,$I$3)&amp;""="","",IF(LEFT(INDEX(인턴근무계획!$M$3:$R$202,$A143,$I$3)&amp;"",1)="⚠",INDEX(인턴근무계획!$M$3:$R$202,$A143,$I$3)&amp;"",LEFT(INDEX(인턴근무계획!$M$3:$R$202,$A143,$I$3)&amp;"",FIND(" ",INDEX(인턴근무계획!$M$3:$R$202,$A143,$I$3)&amp;"")-1))))</f>
        <v/>
      </c>
      <c r="J143" s="23">
        <f>IF(OR($C143="",$I$3=""),"",IF(INDEX(인턴근무계획!$M$3:$R$202,$A143,$I$3)&amp;""="","",IF(LEFT(INDEX(인턴근무계획!$M$3:$R$202,$A143,$I$3)&amp;"",1)="⚠","",MID(INDEX(인턴근무계획!$M$3:$R$202,$A143,$I$3)&amp;"",FIND(" ",INDEX(인턴근무계획!$M$3:$R$202,$A143,$I$3)&amp;"")+1,60))))</f>
        <v/>
      </c>
      <c r="K143" s="23">
        <f>IF($C143="","",INDEX(인턴근무계획!$M$3:$M$202,$A143)&amp;"")</f>
        <v/>
      </c>
      <c r="L143" s="23">
        <f>IF($C143="","",INDEX(인턴근무계획!$N$3:$N$202,$A143)&amp;"")</f>
        <v/>
      </c>
      <c r="M143" s="23">
        <f>IF($C143="","",INDEX(인턴근무계획!$O$3:$O$202,$A143)&amp;"")</f>
        <v/>
      </c>
      <c r="N143" s="23">
        <f>IF($C143="","",INDEX(인턴근무계획!$P$3:$P$202,$A143)&amp;"")</f>
        <v/>
      </c>
      <c r="O143" s="23">
        <f>IF($C143="","",INDEX(인턴근무계획!$Q$3:$Q$202,$A143)&amp;"")</f>
        <v/>
      </c>
      <c r="P143" s="23">
        <f>IF($C143="","",INDEX(인턴근무계획!$R$3:$R$202,$A143)&amp;"")</f>
        <v/>
      </c>
      <c r="Q143" s="23">
        <f>IF($C143="","",INDEX(인턴근무계획!$T$3:$T$202,$A143))</f>
        <v/>
      </c>
    </row>
    <row r="144">
      <c r="A144" s="26" t="n">
        <v>139</v>
      </c>
      <c r="B144" s="23">
        <f>IF($C144="","",INDEX(인턴근무계획!$B$3:$B$202,$A144))</f>
        <v/>
      </c>
      <c r="C144" s="23">
        <f>IFERROR(TRIM(INDEX(인턴근무계획!$C$3:$C$202,$A144)&amp;""),"")</f>
        <v/>
      </c>
      <c r="D144" s="23">
        <f>IF($C144="","",INDEX(인턴근무계획!$D$3:$D$202,$A144))</f>
        <v/>
      </c>
      <c r="E144" s="23">
        <f>IF($C144="","",IF(IFERROR(MATCH($D144,기본자료!$B$2:$B$501,0),IFERROR(MATCH($D144&amp;"",기본자료!$B$2:$B$501,0),IFERROR(MATCH(VALUE($D144),기본자료!$B$2:$B$501,0),0)))&gt;0,"확인","미등록"))</f>
        <v/>
      </c>
      <c r="F144" s="27">
        <f>IF($C144="","",INDEX(인턴근무계획!$S$3:$S$202,$A144))</f>
        <v/>
      </c>
      <c r="G144" s="23">
        <f>IF(OR($C144="",$G$3=""),"",IF(INDEX(인턴근무계획!$M$3:$R$202,$A144,$G$3)&amp;""="","",IF(LEFT(INDEX(인턴근무계획!$M$3:$R$202,$A144,$G$3)&amp;"",1)="⚠",INDEX(인턴근무계획!$M$3:$R$202,$A144,$G$3)&amp;"",LEFT(INDEX(인턴근무계획!$M$3:$R$202,$A144,$G$3)&amp;"",FIND(" ",INDEX(인턴근무계획!$M$3:$R$202,$A144,$G$3)&amp;"")-1))))</f>
        <v/>
      </c>
      <c r="H144" s="23">
        <f>IF(OR($C144="",$G$3=""),"",IF(INDEX(인턴근무계획!$M$3:$R$202,$A144,$G$3)&amp;""="","",IF(LEFT(INDEX(인턴근무계획!$M$3:$R$202,$A144,$G$3)&amp;"",1)="⚠","",MID(INDEX(인턴근무계획!$M$3:$R$202,$A144,$G$3)&amp;"",FIND(" ",INDEX(인턴근무계획!$M$3:$R$202,$A144,$G$3)&amp;"")+1,60))))</f>
        <v/>
      </c>
      <c r="I144" s="23">
        <f>IF(OR($C144="",$I$3=""),"",IF(INDEX(인턴근무계획!$M$3:$R$202,$A144,$I$3)&amp;""="","",IF(LEFT(INDEX(인턴근무계획!$M$3:$R$202,$A144,$I$3)&amp;"",1)="⚠",INDEX(인턴근무계획!$M$3:$R$202,$A144,$I$3)&amp;"",LEFT(INDEX(인턴근무계획!$M$3:$R$202,$A144,$I$3)&amp;"",FIND(" ",INDEX(인턴근무계획!$M$3:$R$202,$A144,$I$3)&amp;"")-1))))</f>
        <v/>
      </c>
      <c r="J144" s="23">
        <f>IF(OR($C144="",$I$3=""),"",IF(INDEX(인턴근무계획!$M$3:$R$202,$A144,$I$3)&amp;""="","",IF(LEFT(INDEX(인턴근무계획!$M$3:$R$202,$A144,$I$3)&amp;"",1)="⚠","",MID(INDEX(인턴근무계획!$M$3:$R$202,$A144,$I$3)&amp;"",FIND(" ",INDEX(인턴근무계획!$M$3:$R$202,$A144,$I$3)&amp;"")+1,60))))</f>
        <v/>
      </c>
      <c r="K144" s="23">
        <f>IF($C144="","",INDEX(인턴근무계획!$M$3:$M$202,$A144)&amp;"")</f>
        <v/>
      </c>
      <c r="L144" s="23">
        <f>IF($C144="","",INDEX(인턴근무계획!$N$3:$N$202,$A144)&amp;"")</f>
        <v/>
      </c>
      <c r="M144" s="23">
        <f>IF($C144="","",INDEX(인턴근무계획!$O$3:$O$202,$A144)&amp;"")</f>
        <v/>
      </c>
      <c r="N144" s="23">
        <f>IF($C144="","",INDEX(인턴근무계획!$P$3:$P$202,$A144)&amp;"")</f>
        <v/>
      </c>
      <c r="O144" s="23">
        <f>IF($C144="","",INDEX(인턴근무계획!$Q$3:$Q$202,$A144)&amp;"")</f>
        <v/>
      </c>
      <c r="P144" s="23">
        <f>IF($C144="","",INDEX(인턴근무계획!$R$3:$R$202,$A144)&amp;"")</f>
        <v/>
      </c>
      <c r="Q144" s="23">
        <f>IF($C144="","",INDEX(인턴근무계획!$T$3:$T$202,$A144))</f>
        <v/>
      </c>
    </row>
    <row r="145">
      <c r="A145" s="26" t="n">
        <v>140</v>
      </c>
      <c r="B145" s="23">
        <f>IF($C145="","",INDEX(인턴근무계획!$B$3:$B$202,$A145))</f>
        <v/>
      </c>
      <c r="C145" s="23">
        <f>IFERROR(TRIM(INDEX(인턴근무계획!$C$3:$C$202,$A145)&amp;""),"")</f>
        <v/>
      </c>
      <c r="D145" s="23">
        <f>IF($C145="","",INDEX(인턴근무계획!$D$3:$D$202,$A145))</f>
        <v/>
      </c>
      <c r="E145" s="23">
        <f>IF($C145="","",IF(IFERROR(MATCH($D145,기본자료!$B$2:$B$501,0),IFERROR(MATCH($D145&amp;"",기본자료!$B$2:$B$501,0),IFERROR(MATCH(VALUE($D145),기본자료!$B$2:$B$501,0),0)))&gt;0,"확인","미등록"))</f>
        <v/>
      </c>
      <c r="F145" s="27">
        <f>IF($C145="","",INDEX(인턴근무계획!$S$3:$S$202,$A145))</f>
        <v/>
      </c>
      <c r="G145" s="23">
        <f>IF(OR($C145="",$G$3=""),"",IF(INDEX(인턴근무계획!$M$3:$R$202,$A145,$G$3)&amp;""="","",IF(LEFT(INDEX(인턴근무계획!$M$3:$R$202,$A145,$G$3)&amp;"",1)="⚠",INDEX(인턴근무계획!$M$3:$R$202,$A145,$G$3)&amp;"",LEFT(INDEX(인턴근무계획!$M$3:$R$202,$A145,$G$3)&amp;"",FIND(" ",INDEX(인턴근무계획!$M$3:$R$202,$A145,$G$3)&amp;"")-1))))</f>
        <v/>
      </c>
      <c r="H145" s="23">
        <f>IF(OR($C145="",$G$3=""),"",IF(INDEX(인턴근무계획!$M$3:$R$202,$A145,$G$3)&amp;""="","",IF(LEFT(INDEX(인턴근무계획!$M$3:$R$202,$A145,$G$3)&amp;"",1)="⚠","",MID(INDEX(인턴근무계획!$M$3:$R$202,$A145,$G$3)&amp;"",FIND(" ",INDEX(인턴근무계획!$M$3:$R$202,$A145,$G$3)&amp;"")+1,60))))</f>
        <v/>
      </c>
      <c r="I145" s="23">
        <f>IF(OR($C145="",$I$3=""),"",IF(INDEX(인턴근무계획!$M$3:$R$202,$A145,$I$3)&amp;""="","",IF(LEFT(INDEX(인턴근무계획!$M$3:$R$202,$A145,$I$3)&amp;"",1)="⚠",INDEX(인턴근무계획!$M$3:$R$202,$A145,$I$3)&amp;"",LEFT(INDEX(인턴근무계획!$M$3:$R$202,$A145,$I$3)&amp;"",FIND(" ",INDEX(인턴근무계획!$M$3:$R$202,$A145,$I$3)&amp;"")-1))))</f>
        <v/>
      </c>
      <c r="J145" s="23">
        <f>IF(OR($C145="",$I$3=""),"",IF(INDEX(인턴근무계획!$M$3:$R$202,$A145,$I$3)&amp;""="","",IF(LEFT(INDEX(인턴근무계획!$M$3:$R$202,$A145,$I$3)&amp;"",1)="⚠","",MID(INDEX(인턴근무계획!$M$3:$R$202,$A145,$I$3)&amp;"",FIND(" ",INDEX(인턴근무계획!$M$3:$R$202,$A145,$I$3)&amp;"")+1,60))))</f>
        <v/>
      </c>
      <c r="K145" s="23">
        <f>IF($C145="","",INDEX(인턴근무계획!$M$3:$M$202,$A145)&amp;"")</f>
        <v/>
      </c>
      <c r="L145" s="23">
        <f>IF($C145="","",INDEX(인턴근무계획!$N$3:$N$202,$A145)&amp;"")</f>
        <v/>
      </c>
      <c r="M145" s="23">
        <f>IF($C145="","",INDEX(인턴근무계획!$O$3:$O$202,$A145)&amp;"")</f>
        <v/>
      </c>
      <c r="N145" s="23">
        <f>IF($C145="","",INDEX(인턴근무계획!$P$3:$P$202,$A145)&amp;"")</f>
        <v/>
      </c>
      <c r="O145" s="23">
        <f>IF($C145="","",INDEX(인턴근무계획!$Q$3:$Q$202,$A145)&amp;"")</f>
        <v/>
      </c>
      <c r="P145" s="23">
        <f>IF($C145="","",INDEX(인턴근무계획!$R$3:$R$202,$A145)&amp;"")</f>
        <v/>
      </c>
      <c r="Q145" s="23">
        <f>IF($C145="","",INDEX(인턴근무계획!$T$3:$T$202,$A145))</f>
        <v/>
      </c>
    </row>
    <row r="146">
      <c r="A146" s="26" t="n">
        <v>141</v>
      </c>
      <c r="B146" s="23">
        <f>IF($C146="","",INDEX(인턴근무계획!$B$3:$B$202,$A146))</f>
        <v/>
      </c>
      <c r="C146" s="23">
        <f>IFERROR(TRIM(INDEX(인턴근무계획!$C$3:$C$202,$A146)&amp;""),"")</f>
        <v/>
      </c>
      <c r="D146" s="23">
        <f>IF($C146="","",INDEX(인턴근무계획!$D$3:$D$202,$A146))</f>
        <v/>
      </c>
      <c r="E146" s="23">
        <f>IF($C146="","",IF(IFERROR(MATCH($D146,기본자료!$B$2:$B$501,0),IFERROR(MATCH($D146&amp;"",기본자료!$B$2:$B$501,0),IFERROR(MATCH(VALUE($D146),기본자료!$B$2:$B$501,0),0)))&gt;0,"확인","미등록"))</f>
        <v/>
      </c>
      <c r="F146" s="27">
        <f>IF($C146="","",INDEX(인턴근무계획!$S$3:$S$202,$A146))</f>
        <v/>
      </c>
      <c r="G146" s="23">
        <f>IF(OR($C146="",$G$3=""),"",IF(INDEX(인턴근무계획!$M$3:$R$202,$A146,$G$3)&amp;""="","",IF(LEFT(INDEX(인턴근무계획!$M$3:$R$202,$A146,$G$3)&amp;"",1)="⚠",INDEX(인턴근무계획!$M$3:$R$202,$A146,$G$3)&amp;"",LEFT(INDEX(인턴근무계획!$M$3:$R$202,$A146,$G$3)&amp;"",FIND(" ",INDEX(인턴근무계획!$M$3:$R$202,$A146,$G$3)&amp;"")-1))))</f>
        <v/>
      </c>
      <c r="H146" s="23">
        <f>IF(OR($C146="",$G$3=""),"",IF(INDEX(인턴근무계획!$M$3:$R$202,$A146,$G$3)&amp;""="","",IF(LEFT(INDEX(인턴근무계획!$M$3:$R$202,$A146,$G$3)&amp;"",1)="⚠","",MID(INDEX(인턴근무계획!$M$3:$R$202,$A146,$G$3)&amp;"",FIND(" ",INDEX(인턴근무계획!$M$3:$R$202,$A146,$G$3)&amp;"")+1,60))))</f>
        <v/>
      </c>
      <c r="I146" s="23">
        <f>IF(OR($C146="",$I$3=""),"",IF(INDEX(인턴근무계획!$M$3:$R$202,$A146,$I$3)&amp;""="","",IF(LEFT(INDEX(인턴근무계획!$M$3:$R$202,$A146,$I$3)&amp;"",1)="⚠",INDEX(인턴근무계획!$M$3:$R$202,$A146,$I$3)&amp;"",LEFT(INDEX(인턴근무계획!$M$3:$R$202,$A146,$I$3)&amp;"",FIND(" ",INDEX(인턴근무계획!$M$3:$R$202,$A146,$I$3)&amp;"")-1))))</f>
        <v/>
      </c>
      <c r="J146" s="23">
        <f>IF(OR($C146="",$I$3=""),"",IF(INDEX(인턴근무계획!$M$3:$R$202,$A146,$I$3)&amp;""="","",IF(LEFT(INDEX(인턴근무계획!$M$3:$R$202,$A146,$I$3)&amp;"",1)="⚠","",MID(INDEX(인턴근무계획!$M$3:$R$202,$A146,$I$3)&amp;"",FIND(" ",INDEX(인턴근무계획!$M$3:$R$202,$A146,$I$3)&amp;"")+1,60))))</f>
        <v/>
      </c>
      <c r="K146" s="23">
        <f>IF($C146="","",INDEX(인턴근무계획!$M$3:$M$202,$A146)&amp;"")</f>
        <v/>
      </c>
      <c r="L146" s="23">
        <f>IF($C146="","",INDEX(인턴근무계획!$N$3:$N$202,$A146)&amp;"")</f>
        <v/>
      </c>
      <c r="M146" s="23">
        <f>IF($C146="","",INDEX(인턴근무계획!$O$3:$O$202,$A146)&amp;"")</f>
        <v/>
      </c>
      <c r="N146" s="23">
        <f>IF($C146="","",INDEX(인턴근무계획!$P$3:$P$202,$A146)&amp;"")</f>
        <v/>
      </c>
      <c r="O146" s="23">
        <f>IF($C146="","",INDEX(인턴근무계획!$Q$3:$Q$202,$A146)&amp;"")</f>
        <v/>
      </c>
      <c r="P146" s="23">
        <f>IF($C146="","",INDEX(인턴근무계획!$R$3:$R$202,$A146)&amp;"")</f>
        <v/>
      </c>
      <c r="Q146" s="23">
        <f>IF($C146="","",INDEX(인턴근무계획!$T$3:$T$202,$A146))</f>
        <v/>
      </c>
    </row>
    <row r="147">
      <c r="A147" s="26" t="n">
        <v>142</v>
      </c>
      <c r="B147" s="23">
        <f>IF($C147="","",INDEX(인턴근무계획!$B$3:$B$202,$A147))</f>
        <v/>
      </c>
      <c r="C147" s="23">
        <f>IFERROR(TRIM(INDEX(인턴근무계획!$C$3:$C$202,$A147)&amp;""),"")</f>
        <v/>
      </c>
      <c r="D147" s="23">
        <f>IF($C147="","",INDEX(인턴근무계획!$D$3:$D$202,$A147))</f>
        <v/>
      </c>
      <c r="E147" s="23">
        <f>IF($C147="","",IF(IFERROR(MATCH($D147,기본자료!$B$2:$B$501,0),IFERROR(MATCH($D147&amp;"",기본자료!$B$2:$B$501,0),IFERROR(MATCH(VALUE($D147),기본자료!$B$2:$B$501,0),0)))&gt;0,"확인","미등록"))</f>
        <v/>
      </c>
      <c r="F147" s="27">
        <f>IF($C147="","",INDEX(인턴근무계획!$S$3:$S$202,$A147))</f>
        <v/>
      </c>
      <c r="G147" s="23">
        <f>IF(OR($C147="",$G$3=""),"",IF(INDEX(인턴근무계획!$M$3:$R$202,$A147,$G$3)&amp;""="","",IF(LEFT(INDEX(인턴근무계획!$M$3:$R$202,$A147,$G$3)&amp;"",1)="⚠",INDEX(인턴근무계획!$M$3:$R$202,$A147,$G$3)&amp;"",LEFT(INDEX(인턴근무계획!$M$3:$R$202,$A147,$G$3)&amp;"",FIND(" ",INDEX(인턴근무계획!$M$3:$R$202,$A147,$G$3)&amp;"")-1))))</f>
        <v/>
      </c>
      <c r="H147" s="23">
        <f>IF(OR($C147="",$G$3=""),"",IF(INDEX(인턴근무계획!$M$3:$R$202,$A147,$G$3)&amp;""="","",IF(LEFT(INDEX(인턴근무계획!$M$3:$R$202,$A147,$G$3)&amp;"",1)="⚠","",MID(INDEX(인턴근무계획!$M$3:$R$202,$A147,$G$3)&amp;"",FIND(" ",INDEX(인턴근무계획!$M$3:$R$202,$A147,$G$3)&amp;"")+1,60))))</f>
        <v/>
      </c>
      <c r="I147" s="23">
        <f>IF(OR($C147="",$I$3=""),"",IF(INDEX(인턴근무계획!$M$3:$R$202,$A147,$I$3)&amp;""="","",IF(LEFT(INDEX(인턴근무계획!$M$3:$R$202,$A147,$I$3)&amp;"",1)="⚠",INDEX(인턴근무계획!$M$3:$R$202,$A147,$I$3)&amp;"",LEFT(INDEX(인턴근무계획!$M$3:$R$202,$A147,$I$3)&amp;"",FIND(" ",INDEX(인턴근무계획!$M$3:$R$202,$A147,$I$3)&amp;"")-1))))</f>
        <v/>
      </c>
      <c r="J147" s="23">
        <f>IF(OR($C147="",$I$3=""),"",IF(INDEX(인턴근무계획!$M$3:$R$202,$A147,$I$3)&amp;""="","",IF(LEFT(INDEX(인턴근무계획!$M$3:$R$202,$A147,$I$3)&amp;"",1)="⚠","",MID(INDEX(인턴근무계획!$M$3:$R$202,$A147,$I$3)&amp;"",FIND(" ",INDEX(인턴근무계획!$M$3:$R$202,$A147,$I$3)&amp;"")+1,60))))</f>
        <v/>
      </c>
      <c r="K147" s="23">
        <f>IF($C147="","",INDEX(인턴근무계획!$M$3:$M$202,$A147)&amp;"")</f>
        <v/>
      </c>
      <c r="L147" s="23">
        <f>IF($C147="","",INDEX(인턴근무계획!$N$3:$N$202,$A147)&amp;"")</f>
        <v/>
      </c>
      <c r="M147" s="23">
        <f>IF($C147="","",INDEX(인턴근무계획!$O$3:$O$202,$A147)&amp;"")</f>
        <v/>
      </c>
      <c r="N147" s="23">
        <f>IF($C147="","",INDEX(인턴근무계획!$P$3:$P$202,$A147)&amp;"")</f>
        <v/>
      </c>
      <c r="O147" s="23">
        <f>IF($C147="","",INDEX(인턴근무계획!$Q$3:$Q$202,$A147)&amp;"")</f>
        <v/>
      </c>
      <c r="P147" s="23">
        <f>IF($C147="","",INDEX(인턴근무계획!$R$3:$R$202,$A147)&amp;"")</f>
        <v/>
      </c>
      <c r="Q147" s="23">
        <f>IF($C147="","",INDEX(인턴근무계획!$T$3:$T$202,$A147))</f>
        <v/>
      </c>
    </row>
    <row r="148">
      <c r="A148" s="26" t="n">
        <v>143</v>
      </c>
      <c r="B148" s="23">
        <f>IF($C148="","",INDEX(인턴근무계획!$B$3:$B$202,$A148))</f>
        <v/>
      </c>
      <c r="C148" s="23">
        <f>IFERROR(TRIM(INDEX(인턴근무계획!$C$3:$C$202,$A148)&amp;""),"")</f>
        <v/>
      </c>
      <c r="D148" s="23">
        <f>IF($C148="","",INDEX(인턴근무계획!$D$3:$D$202,$A148))</f>
        <v/>
      </c>
      <c r="E148" s="23">
        <f>IF($C148="","",IF(IFERROR(MATCH($D148,기본자료!$B$2:$B$501,0),IFERROR(MATCH($D148&amp;"",기본자료!$B$2:$B$501,0),IFERROR(MATCH(VALUE($D148),기본자료!$B$2:$B$501,0),0)))&gt;0,"확인","미등록"))</f>
        <v/>
      </c>
      <c r="F148" s="27">
        <f>IF($C148="","",INDEX(인턴근무계획!$S$3:$S$202,$A148))</f>
        <v/>
      </c>
      <c r="G148" s="23">
        <f>IF(OR($C148="",$G$3=""),"",IF(INDEX(인턴근무계획!$M$3:$R$202,$A148,$G$3)&amp;""="","",IF(LEFT(INDEX(인턴근무계획!$M$3:$R$202,$A148,$G$3)&amp;"",1)="⚠",INDEX(인턴근무계획!$M$3:$R$202,$A148,$G$3)&amp;"",LEFT(INDEX(인턴근무계획!$M$3:$R$202,$A148,$G$3)&amp;"",FIND(" ",INDEX(인턴근무계획!$M$3:$R$202,$A148,$G$3)&amp;"")-1))))</f>
        <v/>
      </c>
      <c r="H148" s="23">
        <f>IF(OR($C148="",$G$3=""),"",IF(INDEX(인턴근무계획!$M$3:$R$202,$A148,$G$3)&amp;""="","",IF(LEFT(INDEX(인턴근무계획!$M$3:$R$202,$A148,$G$3)&amp;"",1)="⚠","",MID(INDEX(인턴근무계획!$M$3:$R$202,$A148,$G$3)&amp;"",FIND(" ",INDEX(인턴근무계획!$M$3:$R$202,$A148,$G$3)&amp;"")+1,60))))</f>
        <v/>
      </c>
      <c r="I148" s="23">
        <f>IF(OR($C148="",$I$3=""),"",IF(INDEX(인턴근무계획!$M$3:$R$202,$A148,$I$3)&amp;""="","",IF(LEFT(INDEX(인턴근무계획!$M$3:$R$202,$A148,$I$3)&amp;"",1)="⚠",INDEX(인턴근무계획!$M$3:$R$202,$A148,$I$3)&amp;"",LEFT(INDEX(인턴근무계획!$M$3:$R$202,$A148,$I$3)&amp;"",FIND(" ",INDEX(인턴근무계획!$M$3:$R$202,$A148,$I$3)&amp;"")-1))))</f>
        <v/>
      </c>
      <c r="J148" s="23">
        <f>IF(OR($C148="",$I$3=""),"",IF(INDEX(인턴근무계획!$M$3:$R$202,$A148,$I$3)&amp;""="","",IF(LEFT(INDEX(인턴근무계획!$M$3:$R$202,$A148,$I$3)&amp;"",1)="⚠","",MID(INDEX(인턴근무계획!$M$3:$R$202,$A148,$I$3)&amp;"",FIND(" ",INDEX(인턴근무계획!$M$3:$R$202,$A148,$I$3)&amp;"")+1,60))))</f>
        <v/>
      </c>
      <c r="K148" s="23">
        <f>IF($C148="","",INDEX(인턴근무계획!$M$3:$M$202,$A148)&amp;"")</f>
        <v/>
      </c>
      <c r="L148" s="23">
        <f>IF($C148="","",INDEX(인턴근무계획!$N$3:$N$202,$A148)&amp;"")</f>
        <v/>
      </c>
      <c r="M148" s="23">
        <f>IF($C148="","",INDEX(인턴근무계획!$O$3:$O$202,$A148)&amp;"")</f>
        <v/>
      </c>
      <c r="N148" s="23">
        <f>IF($C148="","",INDEX(인턴근무계획!$P$3:$P$202,$A148)&amp;"")</f>
        <v/>
      </c>
      <c r="O148" s="23">
        <f>IF($C148="","",INDEX(인턴근무계획!$Q$3:$Q$202,$A148)&amp;"")</f>
        <v/>
      </c>
      <c r="P148" s="23">
        <f>IF($C148="","",INDEX(인턴근무계획!$R$3:$R$202,$A148)&amp;"")</f>
        <v/>
      </c>
      <c r="Q148" s="23">
        <f>IF($C148="","",INDEX(인턴근무계획!$T$3:$T$202,$A148))</f>
        <v/>
      </c>
    </row>
    <row r="149">
      <c r="A149" s="26" t="n">
        <v>144</v>
      </c>
      <c r="B149" s="23">
        <f>IF($C149="","",INDEX(인턴근무계획!$B$3:$B$202,$A149))</f>
        <v/>
      </c>
      <c r="C149" s="23">
        <f>IFERROR(TRIM(INDEX(인턴근무계획!$C$3:$C$202,$A149)&amp;""),"")</f>
        <v/>
      </c>
      <c r="D149" s="23">
        <f>IF($C149="","",INDEX(인턴근무계획!$D$3:$D$202,$A149))</f>
        <v/>
      </c>
      <c r="E149" s="23">
        <f>IF($C149="","",IF(IFERROR(MATCH($D149,기본자료!$B$2:$B$501,0),IFERROR(MATCH($D149&amp;"",기본자료!$B$2:$B$501,0),IFERROR(MATCH(VALUE($D149),기본자료!$B$2:$B$501,0),0)))&gt;0,"확인","미등록"))</f>
        <v/>
      </c>
      <c r="F149" s="27">
        <f>IF($C149="","",INDEX(인턴근무계획!$S$3:$S$202,$A149))</f>
        <v/>
      </c>
      <c r="G149" s="23">
        <f>IF(OR($C149="",$G$3=""),"",IF(INDEX(인턴근무계획!$M$3:$R$202,$A149,$G$3)&amp;""="","",IF(LEFT(INDEX(인턴근무계획!$M$3:$R$202,$A149,$G$3)&amp;"",1)="⚠",INDEX(인턴근무계획!$M$3:$R$202,$A149,$G$3)&amp;"",LEFT(INDEX(인턴근무계획!$M$3:$R$202,$A149,$G$3)&amp;"",FIND(" ",INDEX(인턴근무계획!$M$3:$R$202,$A149,$G$3)&amp;"")-1))))</f>
        <v/>
      </c>
      <c r="H149" s="23">
        <f>IF(OR($C149="",$G$3=""),"",IF(INDEX(인턴근무계획!$M$3:$R$202,$A149,$G$3)&amp;""="","",IF(LEFT(INDEX(인턴근무계획!$M$3:$R$202,$A149,$G$3)&amp;"",1)="⚠","",MID(INDEX(인턴근무계획!$M$3:$R$202,$A149,$G$3)&amp;"",FIND(" ",INDEX(인턴근무계획!$M$3:$R$202,$A149,$G$3)&amp;"")+1,60))))</f>
        <v/>
      </c>
      <c r="I149" s="23">
        <f>IF(OR($C149="",$I$3=""),"",IF(INDEX(인턴근무계획!$M$3:$R$202,$A149,$I$3)&amp;""="","",IF(LEFT(INDEX(인턴근무계획!$M$3:$R$202,$A149,$I$3)&amp;"",1)="⚠",INDEX(인턴근무계획!$M$3:$R$202,$A149,$I$3)&amp;"",LEFT(INDEX(인턴근무계획!$M$3:$R$202,$A149,$I$3)&amp;"",FIND(" ",INDEX(인턴근무계획!$M$3:$R$202,$A149,$I$3)&amp;"")-1))))</f>
        <v/>
      </c>
      <c r="J149" s="23">
        <f>IF(OR($C149="",$I$3=""),"",IF(INDEX(인턴근무계획!$M$3:$R$202,$A149,$I$3)&amp;""="","",IF(LEFT(INDEX(인턴근무계획!$M$3:$R$202,$A149,$I$3)&amp;"",1)="⚠","",MID(INDEX(인턴근무계획!$M$3:$R$202,$A149,$I$3)&amp;"",FIND(" ",INDEX(인턴근무계획!$M$3:$R$202,$A149,$I$3)&amp;"")+1,60))))</f>
        <v/>
      </c>
      <c r="K149" s="23">
        <f>IF($C149="","",INDEX(인턴근무계획!$M$3:$M$202,$A149)&amp;"")</f>
        <v/>
      </c>
      <c r="L149" s="23">
        <f>IF($C149="","",INDEX(인턴근무계획!$N$3:$N$202,$A149)&amp;"")</f>
        <v/>
      </c>
      <c r="M149" s="23">
        <f>IF($C149="","",INDEX(인턴근무계획!$O$3:$O$202,$A149)&amp;"")</f>
        <v/>
      </c>
      <c r="N149" s="23">
        <f>IF($C149="","",INDEX(인턴근무계획!$P$3:$P$202,$A149)&amp;"")</f>
        <v/>
      </c>
      <c r="O149" s="23">
        <f>IF($C149="","",INDEX(인턴근무계획!$Q$3:$Q$202,$A149)&amp;"")</f>
        <v/>
      </c>
      <c r="P149" s="23">
        <f>IF($C149="","",INDEX(인턴근무계획!$R$3:$R$202,$A149)&amp;"")</f>
        <v/>
      </c>
      <c r="Q149" s="23">
        <f>IF($C149="","",INDEX(인턴근무계획!$T$3:$T$202,$A149))</f>
        <v/>
      </c>
    </row>
    <row r="150">
      <c r="A150" s="26" t="n">
        <v>145</v>
      </c>
      <c r="B150" s="23">
        <f>IF($C150="","",INDEX(인턴근무계획!$B$3:$B$202,$A150))</f>
        <v/>
      </c>
      <c r="C150" s="23">
        <f>IFERROR(TRIM(INDEX(인턴근무계획!$C$3:$C$202,$A150)&amp;""),"")</f>
        <v/>
      </c>
      <c r="D150" s="23">
        <f>IF($C150="","",INDEX(인턴근무계획!$D$3:$D$202,$A150))</f>
        <v/>
      </c>
      <c r="E150" s="23">
        <f>IF($C150="","",IF(IFERROR(MATCH($D150,기본자료!$B$2:$B$501,0),IFERROR(MATCH($D150&amp;"",기본자료!$B$2:$B$501,0),IFERROR(MATCH(VALUE($D150),기본자료!$B$2:$B$501,0),0)))&gt;0,"확인","미등록"))</f>
        <v/>
      </c>
      <c r="F150" s="27">
        <f>IF($C150="","",INDEX(인턴근무계획!$S$3:$S$202,$A150))</f>
        <v/>
      </c>
      <c r="G150" s="23">
        <f>IF(OR($C150="",$G$3=""),"",IF(INDEX(인턴근무계획!$M$3:$R$202,$A150,$G$3)&amp;""="","",IF(LEFT(INDEX(인턴근무계획!$M$3:$R$202,$A150,$G$3)&amp;"",1)="⚠",INDEX(인턴근무계획!$M$3:$R$202,$A150,$G$3)&amp;"",LEFT(INDEX(인턴근무계획!$M$3:$R$202,$A150,$G$3)&amp;"",FIND(" ",INDEX(인턴근무계획!$M$3:$R$202,$A150,$G$3)&amp;"")-1))))</f>
        <v/>
      </c>
      <c r="H150" s="23">
        <f>IF(OR($C150="",$G$3=""),"",IF(INDEX(인턴근무계획!$M$3:$R$202,$A150,$G$3)&amp;""="","",IF(LEFT(INDEX(인턴근무계획!$M$3:$R$202,$A150,$G$3)&amp;"",1)="⚠","",MID(INDEX(인턴근무계획!$M$3:$R$202,$A150,$G$3)&amp;"",FIND(" ",INDEX(인턴근무계획!$M$3:$R$202,$A150,$G$3)&amp;"")+1,60))))</f>
        <v/>
      </c>
      <c r="I150" s="23">
        <f>IF(OR($C150="",$I$3=""),"",IF(INDEX(인턴근무계획!$M$3:$R$202,$A150,$I$3)&amp;""="","",IF(LEFT(INDEX(인턴근무계획!$M$3:$R$202,$A150,$I$3)&amp;"",1)="⚠",INDEX(인턴근무계획!$M$3:$R$202,$A150,$I$3)&amp;"",LEFT(INDEX(인턴근무계획!$M$3:$R$202,$A150,$I$3)&amp;"",FIND(" ",INDEX(인턴근무계획!$M$3:$R$202,$A150,$I$3)&amp;"")-1))))</f>
        <v/>
      </c>
      <c r="J150" s="23">
        <f>IF(OR($C150="",$I$3=""),"",IF(INDEX(인턴근무계획!$M$3:$R$202,$A150,$I$3)&amp;""="","",IF(LEFT(INDEX(인턴근무계획!$M$3:$R$202,$A150,$I$3)&amp;"",1)="⚠","",MID(INDEX(인턴근무계획!$M$3:$R$202,$A150,$I$3)&amp;"",FIND(" ",INDEX(인턴근무계획!$M$3:$R$202,$A150,$I$3)&amp;"")+1,60))))</f>
        <v/>
      </c>
      <c r="K150" s="23">
        <f>IF($C150="","",INDEX(인턴근무계획!$M$3:$M$202,$A150)&amp;"")</f>
        <v/>
      </c>
      <c r="L150" s="23">
        <f>IF($C150="","",INDEX(인턴근무계획!$N$3:$N$202,$A150)&amp;"")</f>
        <v/>
      </c>
      <c r="M150" s="23">
        <f>IF($C150="","",INDEX(인턴근무계획!$O$3:$O$202,$A150)&amp;"")</f>
        <v/>
      </c>
      <c r="N150" s="23">
        <f>IF($C150="","",INDEX(인턴근무계획!$P$3:$P$202,$A150)&amp;"")</f>
        <v/>
      </c>
      <c r="O150" s="23">
        <f>IF($C150="","",INDEX(인턴근무계획!$Q$3:$Q$202,$A150)&amp;"")</f>
        <v/>
      </c>
      <c r="P150" s="23">
        <f>IF($C150="","",INDEX(인턴근무계획!$R$3:$R$202,$A150)&amp;"")</f>
        <v/>
      </c>
      <c r="Q150" s="23">
        <f>IF($C150="","",INDEX(인턴근무계획!$T$3:$T$202,$A150))</f>
        <v/>
      </c>
    </row>
    <row r="151">
      <c r="A151" s="26" t="n">
        <v>146</v>
      </c>
      <c r="B151" s="23">
        <f>IF($C151="","",INDEX(인턴근무계획!$B$3:$B$202,$A151))</f>
        <v/>
      </c>
      <c r="C151" s="23">
        <f>IFERROR(TRIM(INDEX(인턴근무계획!$C$3:$C$202,$A151)&amp;""),"")</f>
        <v/>
      </c>
      <c r="D151" s="23">
        <f>IF($C151="","",INDEX(인턴근무계획!$D$3:$D$202,$A151))</f>
        <v/>
      </c>
      <c r="E151" s="23">
        <f>IF($C151="","",IF(IFERROR(MATCH($D151,기본자료!$B$2:$B$501,0),IFERROR(MATCH($D151&amp;"",기본자료!$B$2:$B$501,0),IFERROR(MATCH(VALUE($D151),기본자료!$B$2:$B$501,0),0)))&gt;0,"확인","미등록"))</f>
        <v/>
      </c>
      <c r="F151" s="27">
        <f>IF($C151="","",INDEX(인턴근무계획!$S$3:$S$202,$A151))</f>
        <v/>
      </c>
      <c r="G151" s="23">
        <f>IF(OR($C151="",$G$3=""),"",IF(INDEX(인턴근무계획!$M$3:$R$202,$A151,$G$3)&amp;""="","",IF(LEFT(INDEX(인턴근무계획!$M$3:$R$202,$A151,$G$3)&amp;"",1)="⚠",INDEX(인턴근무계획!$M$3:$R$202,$A151,$G$3)&amp;"",LEFT(INDEX(인턴근무계획!$M$3:$R$202,$A151,$G$3)&amp;"",FIND(" ",INDEX(인턴근무계획!$M$3:$R$202,$A151,$G$3)&amp;"")-1))))</f>
        <v/>
      </c>
      <c r="H151" s="23">
        <f>IF(OR($C151="",$G$3=""),"",IF(INDEX(인턴근무계획!$M$3:$R$202,$A151,$G$3)&amp;""="","",IF(LEFT(INDEX(인턴근무계획!$M$3:$R$202,$A151,$G$3)&amp;"",1)="⚠","",MID(INDEX(인턴근무계획!$M$3:$R$202,$A151,$G$3)&amp;"",FIND(" ",INDEX(인턴근무계획!$M$3:$R$202,$A151,$G$3)&amp;"")+1,60))))</f>
        <v/>
      </c>
      <c r="I151" s="23">
        <f>IF(OR($C151="",$I$3=""),"",IF(INDEX(인턴근무계획!$M$3:$R$202,$A151,$I$3)&amp;""="","",IF(LEFT(INDEX(인턴근무계획!$M$3:$R$202,$A151,$I$3)&amp;"",1)="⚠",INDEX(인턴근무계획!$M$3:$R$202,$A151,$I$3)&amp;"",LEFT(INDEX(인턴근무계획!$M$3:$R$202,$A151,$I$3)&amp;"",FIND(" ",INDEX(인턴근무계획!$M$3:$R$202,$A151,$I$3)&amp;"")-1))))</f>
        <v/>
      </c>
      <c r="J151" s="23">
        <f>IF(OR($C151="",$I$3=""),"",IF(INDEX(인턴근무계획!$M$3:$R$202,$A151,$I$3)&amp;""="","",IF(LEFT(INDEX(인턴근무계획!$M$3:$R$202,$A151,$I$3)&amp;"",1)="⚠","",MID(INDEX(인턴근무계획!$M$3:$R$202,$A151,$I$3)&amp;"",FIND(" ",INDEX(인턴근무계획!$M$3:$R$202,$A151,$I$3)&amp;"")+1,60))))</f>
        <v/>
      </c>
      <c r="K151" s="23">
        <f>IF($C151="","",INDEX(인턴근무계획!$M$3:$M$202,$A151)&amp;"")</f>
        <v/>
      </c>
      <c r="L151" s="23">
        <f>IF($C151="","",INDEX(인턴근무계획!$N$3:$N$202,$A151)&amp;"")</f>
        <v/>
      </c>
      <c r="M151" s="23">
        <f>IF($C151="","",INDEX(인턴근무계획!$O$3:$O$202,$A151)&amp;"")</f>
        <v/>
      </c>
      <c r="N151" s="23">
        <f>IF($C151="","",INDEX(인턴근무계획!$P$3:$P$202,$A151)&amp;"")</f>
        <v/>
      </c>
      <c r="O151" s="23">
        <f>IF($C151="","",INDEX(인턴근무계획!$Q$3:$Q$202,$A151)&amp;"")</f>
        <v/>
      </c>
      <c r="P151" s="23">
        <f>IF($C151="","",INDEX(인턴근무계획!$R$3:$R$202,$A151)&amp;"")</f>
        <v/>
      </c>
      <c r="Q151" s="23">
        <f>IF($C151="","",INDEX(인턴근무계획!$T$3:$T$202,$A151))</f>
        <v/>
      </c>
    </row>
    <row r="152">
      <c r="A152" s="26" t="n">
        <v>147</v>
      </c>
      <c r="B152" s="23">
        <f>IF($C152="","",INDEX(인턴근무계획!$B$3:$B$202,$A152))</f>
        <v/>
      </c>
      <c r="C152" s="23">
        <f>IFERROR(TRIM(INDEX(인턴근무계획!$C$3:$C$202,$A152)&amp;""),"")</f>
        <v/>
      </c>
      <c r="D152" s="23">
        <f>IF($C152="","",INDEX(인턴근무계획!$D$3:$D$202,$A152))</f>
        <v/>
      </c>
      <c r="E152" s="23">
        <f>IF($C152="","",IF(IFERROR(MATCH($D152,기본자료!$B$2:$B$501,0),IFERROR(MATCH($D152&amp;"",기본자료!$B$2:$B$501,0),IFERROR(MATCH(VALUE($D152),기본자료!$B$2:$B$501,0),0)))&gt;0,"확인","미등록"))</f>
        <v/>
      </c>
      <c r="F152" s="27">
        <f>IF($C152="","",INDEX(인턴근무계획!$S$3:$S$202,$A152))</f>
        <v/>
      </c>
      <c r="G152" s="23">
        <f>IF(OR($C152="",$G$3=""),"",IF(INDEX(인턴근무계획!$M$3:$R$202,$A152,$G$3)&amp;""="","",IF(LEFT(INDEX(인턴근무계획!$M$3:$R$202,$A152,$G$3)&amp;"",1)="⚠",INDEX(인턴근무계획!$M$3:$R$202,$A152,$G$3)&amp;"",LEFT(INDEX(인턴근무계획!$M$3:$R$202,$A152,$G$3)&amp;"",FIND(" ",INDEX(인턴근무계획!$M$3:$R$202,$A152,$G$3)&amp;"")-1))))</f>
        <v/>
      </c>
      <c r="H152" s="23">
        <f>IF(OR($C152="",$G$3=""),"",IF(INDEX(인턴근무계획!$M$3:$R$202,$A152,$G$3)&amp;""="","",IF(LEFT(INDEX(인턴근무계획!$M$3:$R$202,$A152,$G$3)&amp;"",1)="⚠","",MID(INDEX(인턴근무계획!$M$3:$R$202,$A152,$G$3)&amp;"",FIND(" ",INDEX(인턴근무계획!$M$3:$R$202,$A152,$G$3)&amp;"")+1,60))))</f>
        <v/>
      </c>
      <c r="I152" s="23">
        <f>IF(OR($C152="",$I$3=""),"",IF(INDEX(인턴근무계획!$M$3:$R$202,$A152,$I$3)&amp;""="","",IF(LEFT(INDEX(인턴근무계획!$M$3:$R$202,$A152,$I$3)&amp;"",1)="⚠",INDEX(인턴근무계획!$M$3:$R$202,$A152,$I$3)&amp;"",LEFT(INDEX(인턴근무계획!$M$3:$R$202,$A152,$I$3)&amp;"",FIND(" ",INDEX(인턴근무계획!$M$3:$R$202,$A152,$I$3)&amp;"")-1))))</f>
        <v/>
      </c>
      <c r="J152" s="23">
        <f>IF(OR($C152="",$I$3=""),"",IF(INDEX(인턴근무계획!$M$3:$R$202,$A152,$I$3)&amp;""="","",IF(LEFT(INDEX(인턴근무계획!$M$3:$R$202,$A152,$I$3)&amp;"",1)="⚠","",MID(INDEX(인턴근무계획!$M$3:$R$202,$A152,$I$3)&amp;"",FIND(" ",INDEX(인턴근무계획!$M$3:$R$202,$A152,$I$3)&amp;"")+1,60))))</f>
        <v/>
      </c>
      <c r="K152" s="23">
        <f>IF($C152="","",INDEX(인턴근무계획!$M$3:$M$202,$A152)&amp;"")</f>
        <v/>
      </c>
      <c r="L152" s="23">
        <f>IF($C152="","",INDEX(인턴근무계획!$N$3:$N$202,$A152)&amp;"")</f>
        <v/>
      </c>
      <c r="M152" s="23">
        <f>IF($C152="","",INDEX(인턴근무계획!$O$3:$O$202,$A152)&amp;"")</f>
        <v/>
      </c>
      <c r="N152" s="23">
        <f>IF($C152="","",INDEX(인턴근무계획!$P$3:$P$202,$A152)&amp;"")</f>
        <v/>
      </c>
      <c r="O152" s="23">
        <f>IF($C152="","",INDEX(인턴근무계획!$Q$3:$Q$202,$A152)&amp;"")</f>
        <v/>
      </c>
      <c r="P152" s="23">
        <f>IF($C152="","",INDEX(인턴근무계획!$R$3:$R$202,$A152)&amp;"")</f>
        <v/>
      </c>
      <c r="Q152" s="23">
        <f>IF($C152="","",INDEX(인턴근무계획!$T$3:$T$202,$A152))</f>
        <v/>
      </c>
    </row>
    <row r="153">
      <c r="A153" s="26" t="n">
        <v>148</v>
      </c>
      <c r="B153" s="23">
        <f>IF($C153="","",INDEX(인턴근무계획!$B$3:$B$202,$A153))</f>
        <v/>
      </c>
      <c r="C153" s="23">
        <f>IFERROR(TRIM(INDEX(인턴근무계획!$C$3:$C$202,$A153)&amp;""),"")</f>
        <v/>
      </c>
      <c r="D153" s="23">
        <f>IF($C153="","",INDEX(인턴근무계획!$D$3:$D$202,$A153))</f>
        <v/>
      </c>
      <c r="E153" s="23">
        <f>IF($C153="","",IF(IFERROR(MATCH($D153,기본자료!$B$2:$B$501,0),IFERROR(MATCH($D153&amp;"",기본자료!$B$2:$B$501,0),IFERROR(MATCH(VALUE($D153),기본자료!$B$2:$B$501,0),0)))&gt;0,"확인","미등록"))</f>
        <v/>
      </c>
      <c r="F153" s="27">
        <f>IF($C153="","",INDEX(인턴근무계획!$S$3:$S$202,$A153))</f>
        <v/>
      </c>
      <c r="G153" s="23">
        <f>IF(OR($C153="",$G$3=""),"",IF(INDEX(인턴근무계획!$M$3:$R$202,$A153,$G$3)&amp;""="","",IF(LEFT(INDEX(인턴근무계획!$M$3:$R$202,$A153,$G$3)&amp;"",1)="⚠",INDEX(인턴근무계획!$M$3:$R$202,$A153,$G$3)&amp;"",LEFT(INDEX(인턴근무계획!$M$3:$R$202,$A153,$G$3)&amp;"",FIND(" ",INDEX(인턴근무계획!$M$3:$R$202,$A153,$G$3)&amp;"")-1))))</f>
        <v/>
      </c>
      <c r="H153" s="23">
        <f>IF(OR($C153="",$G$3=""),"",IF(INDEX(인턴근무계획!$M$3:$R$202,$A153,$G$3)&amp;""="","",IF(LEFT(INDEX(인턴근무계획!$M$3:$R$202,$A153,$G$3)&amp;"",1)="⚠","",MID(INDEX(인턴근무계획!$M$3:$R$202,$A153,$G$3)&amp;"",FIND(" ",INDEX(인턴근무계획!$M$3:$R$202,$A153,$G$3)&amp;"")+1,60))))</f>
        <v/>
      </c>
      <c r="I153" s="23">
        <f>IF(OR($C153="",$I$3=""),"",IF(INDEX(인턴근무계획!$M$3:$R$202,$A153,$I$3)&amp;""="","",IF(LEFT(INDEX(인턴근무계획!$M$3:$R$202,$A153,$I$3)&amp;"",1)="⚠",INDEX(인턴근무계획!$M$3:$R$202,$A153,$I$3)&amp;"",LEFT(INDEX(인턴근무계획!$M$3:$R$202,$A153,$I$3)&amp;"",FIND(" ",INDEX(인턴근무계획!$M$3:$R$202,$A153,$I$3)&amp;"")-1))))</f>
        <v/>
      </c>
      <c r="J153" s="23">
        <f>IF(OR($C153="",$I$3=""),"",IF(INDEX(인턴근무계획!$M$3:$R$202,$A153,$I$3)&amp;""="","",IF(LEFT(INDEX(인턴근무계획!$M$3:$R$202,$A153,$I$3)&amp;"",1)="⚠","",MID(INDEX(인턴근무계획!$M$3:$R$202,$A153,$I$3)&amp;"",FIND(" ",INDEX(인턴근무계획!$M$3:$R$202,$A153,$I$3)&amp;"")+1,60))))</f>
        <v/>
      </c>
      <c r="K153" s="23">
        <f>IF($C153="","",INDEX(인턴근무계획!$M$3:$M$202,$A153)&amp;"")</f>
        <v/>
      </c>
      <c r="L153" s="23">
        <f>IF($C153="","",INDEX(인턴근무계획!$N$3:$N$202,$A153)&amp;"")</f>
        <v/>
      </c>
      <c r="M153" s="23">
        <f>IF($C153="","",INDEX(인턴근무계획!$O$3:$O$202,$A153)&amp;"")</f>
        <v/>
      </c>
      <c r="N153" s="23">
        <f>IF($C153="","",INDEX(인턴근무계획!$P$3:$P$202,$A153)&amp;"")</f>
        <v/>
      </c>
      <c r="O153" s="23">
        <f>IF($C153="","",INDEX(인턴근무계획!$Q$3:$Q$202,$A153)&amp;"")</f>
        <v/>
      </c>
      <c r="P153" s="23">
        <f>IF($C153="","",INDEX(인턴근무계획!$R$3:$R$202,$A153)&amp;"")</f>
        <v/>
      </c>
      <c r="Q153" s="23">
        <f>IF($C153="","",INDEX(인턴근무계획!$T$3:$T$202,$A153))</f>
        <v/>
      </c>
    </row>
    <row r="154">
      <c r="A154" s="26" t="n">
        <v>149</v>
      </c>
      <c r="B154" s="23">
        <f>IF($C154="","",INDEX(인턴근무계획!$B$3:$B$202,$A154))</f>
        <v/>
      </c>
      <c r="C154" s="23">
        <f>IFERROR(TRIM(INDEX(인턴근무계획!$C$3:$C$202,$A154)&amp;""),"")</f>
        <v/>
      </c>
      <c r="D154" s="23">
        <f>IF($C154="","",INDEX(인턴근무계획!$D$3:$D$202,$A154))</f>
        <v/>
      </c>
      <c r="E154" s="23">
        <f>IF($C154="","",IF(IFERROR(MATCH($D154,기본자료!$B$2:$B$501,0),IFERROR(MATCH($D154&amp;"",기본자료!$B$2:$B$501,0),IFERROR(MATCH(VALUE($D154),기본자료!$B$2:$B$501,0),0)))&gt;0,"확인","미등록"))</f>
        <v/>
      </c>
      <c r="F154" s="27">
        <f>IF($C154="","",INDEX(인턴근무계획!$S$3:$S$202,$A154))</f>
        <v/>
      </c>
      <c r="G154" s="23">
        <f>IF(OR($C154="",$G$3=""),"",IF(INDEX(인턴근무계획!$M$3:$R$202,$A154,$G$3)&amp;""="","",IF(LEFT(INDEX(인턴근무계획!$M$3:$R$202,$A154,$G$3)&amp;"",1)="⚠",INDEX(인턴근무계획!$M$3:$R$202,$A154,$G$3)&amp;"",LEFT(INDEX(인턴근무계획!$M$3:$R$202,$A154,$G$3)&amp;"",FIND(" ",INDEX(인턴근무계획!$M$3:$R$202,$A154,$G$3)&amp;"")-1))))</f>
        <v/>
      </c>
      <c r="H154" s="23">
        <f>IF(OR($C154="",$G$3=""),"",IF(INDEX(인턴근무계획!$M$3:$R$202,$A154,$G$3)&amp;""="","",IF(LEFT(INDEX(인턴근무계획!$M$3:$R$202,$A154,$G$3)&amp;"",1)="⚠","",MID(INDEX(인턴근무계획!$M$3:$R$202,$A154,$G$3)&amp;"",FIND(" ",INDEX(인턴근무계획!$M$3:$R$202,$A154,$G$3)&amp;"")+1,60))))</f>
        <v/>
      </c>
      <c r="I154" s="23">
        <f>IF(OR($C154="",$I$3=""),"",IF(INDEX(인턴근무계획!$M$3:$R$202,$A154,$I$3)&amp;""="","",IF(LEFT(INDEX(인턴근무계획!$M$3:$R$202,$A154,$I$3)&amp;"",1)="⚠",INDEX(인턴근무계획!$M$3:$R$202,$A154,$I$3)&amp;"",LEFT(INDEX(인턴근무계획!$M$3:$R$202,$A154,$I$3)&amp;"",FIND(" ",INDEX(인턴근무계획!$M$3:$R$202,$A154,$I$3)&amp;"")-1))))</f>
        <v/>
      </c>
      <c r="J154" s="23">
        <f>IF(OR($C154="",$I$3=""),"",IF(INDEX(인턴근무계획!$M$3:$R$202,$A154,$I$3)&amp;""="","",IF(LEFT(INDEX(인턴근무계획!$M$3:$R$202,$A154,$I$3)&amp;"",1)="⚠","",MID(INDEX(인턴근무계획!$M$3:$R$202,$A154,$I$3)&amp;"",FIND(" ",INDEX(인턴근무계획!$M$3:$R$202,$A154,$I$3)&amp;"")+1,60))))</f>
        <v/>
      </c>
      <c r="K154" s="23">
        <f>IF($C154="","",INDEX(인턴근무계획!$M$3:$M$202,$A154)&amp;"")</f>
        <v/>
      </c>
      <c r="L154" s="23">
        <f>IF($C154="","",INDEX(인턴근무계획!$N$3:$N$202,$A154)&amp;"")</f>
        <v/>
      </c>
      <c r="M154" s="23">
        <f>IF($C154="","",INDEX(인턴근무계획!$O$3:$O$202,$A154)&amp;"")</f>
        <v/>
      </c>
      <c r="N154" s="23">
        <f>IF($C154="","",INDEX(인턴근무계획!$P$3:$P$202,$A154)&amp;"")</f>
        <v/>
      </c>
      <c r="O154" s="23">
        <f>IF($C154="","",INDEX(인턴근무계획!$Q$3:$Q$202,$A154)&amp;"")</f>
        <v/>
      </c>
      <c r="P154" s="23">
        <f>IF($C154="","",INDEX(인턴근무계획!$R$3:$R$202,$A154)&amp;"")</f>
        <v/>
      </c>
      <c r="Q154" s="23">
        <f>IF($C154="","",INDEX(인턴근무계획!$T$3:$T$202,$A154))</f>
        <v/>
      </c>
    </row>
    <row r="155">
      <c r="A155" s="26" t="n">
        <v>150</v>
      </c>
      <c r="B155" s="23">
        <f>IF($C155="","",INDEX(인턴근무계획!$B$3:$B$202,$A155))</f>
        <v/>
      </c>
      <c r="C155" s="23">
        <f>IFERROR(TRIM(INDEX(인턴근무계획!$C$3:$C$202,$A155)&amp;""),"")</f>
        <v/>
      </c>
      <c r="D155" s="23">
        <f>IF($C155="","",INDEX(인턴근무계획!$D$3:$D$202,$A155))</f>
        <v/>
      </c>
      <c r="E155" s="23">
        <f>IF($C155="","",IF(IFERROR(MATCH($D155,기본자료!$B$2:$B$501,0),IFERROR(MATCH($D155&amp;"",기본자료!$B$2:$B$501,0),IFERROR(MATCH(VALUE($D155),기본자료!$B$2:$B$501,0),0)))&gt;0,"확인","미등록"))</f>
        <v/>
      </c>
      <c r="F155" s="27">
        <f>IF($C155="","",INDEX(인턴근무계획!$S$3:$S$202,$A155))</f>
        <v/>
      </c>
      <c r="G155" s="23">
        <f>IF(OR($C155="",$G$3=""),"",IF(INDEX(인턴근무계획!$M$3:$R$202,$A155,$G$3)&amp;""="","",IF(LEFT(INDEX(인턴근무계획!$M$3:$R$202,$A155,$G$3)&amp;"",1)="⚠",INDEX(인턴근무계획!$M$3:$R$202,$A155,$G$3)&amp;"",LEFT(INDEX(인턴근무계획!$M$3:$R$202,$A155,$G$3)&amp;"",FIND(" ",INDEX(인턴근무계획!$M$3:$R$202,$A155,$G$3)&amp;"")-1))))</f>
        <v/>
      </c>
      <c r="H155" s="23">
        <f>IF(OR($C155="",$G$3=""),"",IF(INDEX(인턴근무계획!$M$3:$R$202,$A155,$G$3)&amp;""="","",IF(LEFT(INDEX(인턴근무계획!$M$3:$R$202,$A155,$G$3)&amp;"",1)="⚠","",MID(INDEX(인턴근무계획!$M$3:$R$202,$A155,$G$3)&amp;"",FIND(" ",INDEX(인턴근무계획!$M$3:$R$202,$A155,$G$3)&amp;"")+1,60))))</f>
        <v/>
      </c>
      <c r="I155" s="23">
        <f>IF(OR($C155="",$I$3=""),"",IF(INDEX(인턴근무계획!$M$3:$R$202,$A155,$I$3)&amp;""="","",IF(LEFT(INDEX(인턴근무계획!$M$3:$R$202,$A155,$I$3)&amp;"",1)="⚠",INDEX(인턴근무계획!$M$3:$R$202,$A155,$I$3)&amp;"",LEFT(INDEX(인턴근무계획!$M$3:$R$202,$A155,$I$3)&amp;"",FIND(" ",INDEX(인턴근무계획!$M$3:$R$202,$A155,$I$3)&amp;"")-1))))</f>
        <v/>
      </c>
      <c r="J155" s="23">
        <f>IF(OR($C155="",$I$3=""),"",IF(INDEX(인턴근무계획!$M$3:$R$202,$A155,$I$3)&amp;""="","",IF(LEFT(INDEX(인턴근무계획!$M$3:$R$202,$A155,$I$3)&amp;"",1)="⚠","",MID(INDEX(인턴근무계획!$M$3:$R$202,$A155,$I$3)&amp;"",FIND(" ",INDEX(인턴근무계획!$M$3:$R$202,$A155,$I$3)&amp;"")+1,60))))</f>
        <v/>
      </c>
      <c r="K155" s="23">
        <f>IF($C155="","",INDEX(인턴근무계획!$M$3:$M$202,$A155)&amp;"")</f>
        <v/>
      </c>
      <c r="L155" s="23">
        <f>IF($C155="","",INDEX(인턴근무계획!$N$3:$N$202,$A155)&amp;"")</f>
        <v/>
      </c>
      <c r="M155" s="23">
        <f>IF($C155="","",INDEX(인턴근무계획!$O$3:$O$202,$A155)&amp;"")</f>
        <v/>
      </c>
      <c r="N155" s="23">
        <f>IF($C155="","",INDEX(인턴근무계획!$P$3:$P$202,$A155)&amp;"")</f>
        <v/>
      </c>
      <c r="O155" s="23">
        <f>IF($C155="","",INDEX(인턴근무계획!$Q$3:$Q$202,$A155)&amp;"")</f>
        <v/>
      </c>
      <c r="P155" s="23">
        <f>IF($C155="","",INDEX(인턴근무계획!$R$3:$R$202,$A155)&amp;"")</f>
        <v/>
      </c>
      <c r="Q155" s="23">
        <f>IF($C155="","",INDEX(인턴근무계획!$T$3:$T$202,$A155))</f>
        <v/>
      </c>
    </row>
    <row r="156">
      <c r="A156" s="26" t="n">
        <v>151</v>
      </c>
      <c r="B156" s="23">
        <f>IF($C156="","",INDEX(인턴근무계획!$B$3:$B$202,$A156))</f>
        <v/>
      </c>
      <c r="C156" s="23">
        <f>IFERROR(TRIM(INDEX(인턴근무계획!$C$3:$C$202,$A156)&amp;""),"")</f>
        <v/>
      </c>
      <c r="D156" s="23">
        <f>IF($C156="","",INDEX(인턴근무계획!$D$3:$D$202,$A156))</f>
        <v/>
      </c>
      <c r="E156" s="23">
        <f>IF($C156="","",IF(IFERROR(MATCH($D156,기본자료!$B$2:$B$501,0),IFERROR(MATCH($D156&amp;"",기본자료!$B$2:$B$501,0),IFERROR(MATCH(VALUE($D156),기본자료!$B$2:$B$501,0),0)))&gt;0,"확인","미등록"))</f>
        <v/>
      </c>
      <c r="F156" s="27">
        <f>IF($C156="","",INDEX(인턴근무계획!$S$3:$S$202,$A156))</f>
        <v/>
      </c>
      <c r="G156" s="23">
        <f>IF(OR($C156="",$G$3=""),"",IF(INDEX(인턴근무계획!$M$3:$R$202,$A156,$G$3)&amp;""="","",IF(LEFT(INDEX(인턴근무계획!$M$3:$R$202,$A156,$G$3)&amp;"",1)="⚠",INDEX(인턴근무계획!$M$3:$R$202,$A156,$G$3)&amp;"",LEFT(INDEX(인턴근무계획!$M$3:$R$202,$A156,$G$3)&amp;"",FIND(" ",INDEX(인턴근무계획!$M$3:$R$202,$A156,$G$3)&amp;"")-1))))</f>
        <v/>
      </c>
      <c r="H156" s="23">
        <f>IF(OR($C156="",$G$3=""),"",IF(INDEX(인턴근무계획!$M$3:$R$202,$A156,$G$3)&amp;""="","",IF(LEFT(INDEX(인턴근무계획!$M$3:$R$202,$A156,$G$3)&amp;"",1)="⚠","",MID(INDEX(인턴근무계획!$M$3:$R$202,$A156,$G$3)&amp;"",FIND(" ",INDEX(인턴근무계획!$M$3:$R$202,$A156,$G$3)&amp;"")+1,60))))</f>
        <v/>
      </c>
      <c r="I156" s="23">
        <f>IF(OR($C156="",$I$3=""),"",IF(INDEX(인턴근무계획!$M$3:$R$202,$A156,$I$3)&amp;""="","",IF(LEFT(INDEX(인턴근무계획!$M$3:$R$202,$A156,$I$3)&amp;"",1)="⚠",INDEX(인턴근무계획!$M$3:$R$202,$A156,$I$3)&amp;"",LEFT(INDEX(인턴근무계획!$M$3:$R$202,$A156,$I$3)&amp;"",FIND(" ",INDEX(인턴근무계획!$M$3:$R$202,$A156,$I$3)&amp;"")-1))))</f>
        <v/>
      </c>
      <c r="J156" s="23">
        <f>IF(OR($C156="",$I$3=""),"",IF(INDEX(인턴근무계획!$M$3:$R$202,$A156,$I$3)&amp;""="","",IF(LEFT(INDEX(인턴근무계획!$M$3:$R$202,$A156,$I$3)&amp;"",1)="⚠","",MID(INDEX(인턴근무계획!$M$3:$R$202,$A156,$I$3)&amp;"",FIND(" ",INDEX(인턴근무계획!$M$3:$R$202,$A156,$I$3)&amp;"")+1,60))))</f>
        <v/>
      </c>
      <c r="K156" s="23">
        <f>IF($C156="","",INDEX(인턴근무계획!$M$3:$M$202,$A156)&amp;"")</f>
        <v/>
      </c>
      <c r="L156" s="23">
        <f>IF($C156="","",INDEX(인턴근무계획!$N$3:$N$202,$A156)&amp;"")</f>
        <v/>
      </c>
      <c r="M156" s="23">
        <f>IF($C156="","",INDEX(인턴근무계획!$O$3:$O$202,$A156)&amp;"")</f>
        <v/>
      </c>
      <c r="N156" s="23">
        <f>IF($C156="","",INDEX(인턴근무계획!$P$3:$P$202,$A156)&amp;"")</f>
        <v/>
      </c>
      <c r="O156" s="23">
        <f>IF($C156="","",INDEX(인턴근무계획!$Q$3:$Q$202,$A156)&amp;"")</f>
        <v/>
      </c>
      <c r="P156" s="23">
        <f>IF($C156="","",INDEX(인턴근무계획!$R$3:$R$202,$A156)&amp;"")</f>
        <v/>
      </c>
      <c r="Q156" s="23">
        <f>IF($C156="","",INDEX(인턴근무계획!$T$3:$T$202,$A156))</f>
        <v/>
      </c>
    </row>
    <row r="157">
      <c r="A157" s="26" t="n">
        <v>152</v>
      </c>
      <c r="B157" s="23">
        <f>IF($C157="","",INDEX(인턴근무계획!$B$3:$B$202,$A157))</f>
        <v/>
      </c>
      <c r="C157" s="23">
        <f>IFERROR(TRIM(INDEX(인턴근무계획!$C$3:$C$202,$A157)&amp;""),"")</f>
        <v/>
      </c>
      <c r="D157" s="23">
        <f>IF($C157="","",INDEX(인턴근무계획!$D$3:$D$202,$A157))</f>
        <v/>
      </c>
      <c r="E157" s="23">
        <f>IF($C157="","",IF(IFERROR(MATCH($D157,기본자료!$B$2:$B$501,0),IFERROR(MATCH($D157&amp;"",기본자료!$B$2:$B$501,0),IFERROR(MATCH(VALUE($D157),기본자료!$B$2:$B$501,0),0)))&gt;0,"확인","미등록"))</f>
        <v/>
      </c>
      <c r="F157" s="27">
        <f>IF($C157="","",INDEX(인턴근무계획!$S$3:$S$202,$A157))</f>
        <v/>
      </c>
      <c r="G157" s="23">
        <f>IF(OR($C157="",$G$3=""),"",IF(INDEX(인턴근무계획!$M$3:$R$202,$A157,$G$3)&amp;""="","",IF(LEFT(INDEX(인턴근무계획!$M$3:$R$202,$A157,$G$3)&amp;"",1)="⚠",INDEX(인턴근무계획!$M$3:$R$202,$A157,$G$3)&amp;"",LEFT(INDEX(인턴근무계획!$M$3:$R$202,$A157,$G$3)&amp;"",FIND(" ",INDEX(인턴근무계획!$M$3:$R$202,$A157,$G$3)&amp;"")-1))))</f>
        <v/>
      </c>
      <c r="H157" s="23">
        <f>IF(OR($C157="",$G$3=""),"",IF(INDEX(인턴근무계획!$M$3:$R$202,$A157,$G$3)&amp;""="","",IF(LEFT(INDEX(인턴근무계획!$M$3:$R$202,$A157,$G$3)&amp;"",1)="⚠","",MID(INDEX(인턴근무계획!$M$3:$R$202,$A157,$G$3)&amp;"",FIND(" ",INDEX(인턴근무계획!$M$3:$R$202,$A157,$G$3)&amp;"")+1,60))))</f>
        <v/>
      </c>
      <c r="I157" s="23">
        <f>IF(OR($C157="",$I$3=""),"",IF(INDEX(인턴근무계획!$M$3:$R$202,$A157,$I$3)&amp;""="","",IF(LEFT(INDEX(인턴근무계획!$M$3:$R$202,$A157,$I$3)&amp;"",1)="⚠",INDEX(인턴근무계획!$M$3:$R$202,$A157,$I$3)&amp;"",LEFT(INDEX(인턴근무계획!$M$3:$R$202,$A157,$I$3)&amp;"",FIND(" ",INDEX(인턴근무계획!$M$3:$R$202,$A157,$I$3)&amp;"")-1))))</f>
        <v/>
      </c>
      <c r="J157" s="23">
        <f>IF(OR($C157="",$I$3=""),"",IF(INDEX(인턴근무계획!$M$3:$R$202,$A157,$I$3)&amp;""="","",IF(LEFT(INDEX(인턴근무계획!$M$3:$R$202,$A157,$I$3)&amp;"",1)="⚠","",MID(INDEX(인턴근무계획!$M$3:$R$202,$A157,$I$3)&amp;"",FIND(" ",INDEX(인턴근무계획!$M$3:$R$202,$A157,$I$3)&amp;"")+1,60))))</f>
        <v/>
      </c>
      <c r="K157" s="23">
        <f>IF($C157="","",INDEX(인턴근무계획!$M$3:$M$202,$A157)&amp;"")</f>
        <v/>
      </c>
      <c r="L157" s="23">
        <f>IF($C157="","",INDEX(인턴근무계획!$N$3:$N$202,$A157)&amp;"")</f>
        <v/>
      </c>
      <c r="M157" s="23">
        <f>IF($C157="","",INDEX(인턴근무계획!$O$3:$O$202,$A157)&amp;"")</f>
        <v/>
      </c>
      <c r="N157" s="23">
        <f>IF($C157="","",INDEX(인턴근무계획!$P$3:$P$202,$A157)&amp;"")</f>
        <v/>
      </c>
      <c r="O157" s="23">
        <f>IF($C157="","",INDEX(인턴근무계획!$Q$3:$Q$202,$A157)&amp;"")</f>
        <v/>
      </c>
      <c r="P157" s="23">
        <f>IF($C157="","",INDEX(인턴근무계획!$R$3:$R$202,$A157)&amp;"")</f>
        <v/>
      </c>
      <c r="Q157" s="23">
        <f>IF($C157="","",INDEX(인턴근무계획!$T$3:$T$202,$A157))</f>
        <v/>
      </c>
    </row>
    <row r="158">
      <c r="A158" s="26" t="n">
        <v>153</v>
      </c>
      <c r="B158" s="23">
        <f>IF($C158="","",INDEX(인턴근무계획!$B$3:$B$202,$A158))</f>
        <v/>
      </c>
      <c r="C158" s="23">
        <f>IFERROR(TRIM(INDEX(인턴근무계획!$C$3:$C$202,$A158)&amp;""),"")</f>
        <v/>
      </c>
      <c r="D158" s="23">
        <f>IF($C158="","",INDEX(인턴근무계획!$D$3:$D$202,$A158))</f>
        <v/>
      </c>
      <c r="E158" s="23">
        <f>IF($C158="","",IF(IFERROR(MATCH($D158,기본자료!$B$2:$B$501,0),IFERROR(MATCH($D158&amp;"",기본자료!$B$2:$B$501,0),IFERROR(MATCH(VALUE($D158),기본자료!$B$2:$B$501,0),0)))&gt;0,"확인","미등록"))</f>
        <v/>
      </c>
      <c r="F158" s="27">
        <f>IF($C158="","",INDEX(인턴근무계획!$S$3:$S$202,$A158))</f>
        <v/>
      </c>
      <c r="G158" s="23">
        <f>IF(OR($C158="",$G$3=""),"",IF(INDEX(인턴근무계획!$M$3:$R$202,$A158,$G$3)&amp;""="","",IF(LEFT(INDEX(인턴근무계획!$M$3:$R$202,$A158,$G$3)&amp;"",1)="⚠",INDEX(인턴근무계획!$M$3:$R$202,$A158,$G$3)&amp;"",LEFT(INDEX(인턴근무계획!$M$3:$R$202,$A158,$G$3)&amp;"",FIND(" ",INDEX(인턴근무계획!$M$3:$R$202,$A158,$G$3)&amp;"")-1))))</f>
        <v/>
      </c>
      <c r="H158" s="23">
        <f>IF(OR($C158="",$G$3=""),"",IF(INDEX(인턴근무계획!$M$3:$R$202,$A158,$G$3)&amp;""="","",IF(LEFT(INDEX(인턴근무계획!$M$3:$R$202,$A158,$G$3)&amp;"",1)="⚠","",MID(INDEX(인턴근무계획!$M$3:$R$202,$A158,$G$3)&amp;"",FIND(" ",INDEX(인턴근무계획!$M$3:$R$202,$A158,$G$3)&amp;"")+1,60))))</f>
        <v/>
      </c>
      <c r="I158" s="23">
        <f>IF(OR($C158="",$I$3=""),"",IF(INDEX(인턴근무계획!$M$3:$R$202,$A158,$I$3)&amp;""="","",IF(LEFT(INDEX(인턴근무계획!$M$3:$R$202,$A158,$I$3)&amp;"",1)="⚠",INDEX(인턴근무계획!$M$3:$R$202,$A158,$I$3)&amp;"",LEFT(INDEX(인턴근무계획!$M$3:$R$202,$A158,$I$3)&amp;"",FIND(" ",INDEX(인턴근무계획!$M$3:$R$202,$A158,$I$3)&amp;"")-1))))</f>
        <v/>
      </c>
      <c r="J158" s="23">
        <f>IF(OR($C158="",$I$3=""),"",IF(INDEX(인턴근무계획!$M$3:$R$202,$A158,$I$3)&amp;""="","",IF(LEFT(INDEX(인턴근무계획!$M$3:$R$202,$A158,$I$3)&amp;"",1)="⚠","",MID(INDEX(인턴근무계획!$M$3:$R$202,$A158,$I$3)&amp;"",FIND(" ",INDEX(인턴근무계획!$M$3:$R$202,$A158,$I$3)&amp;"")+1,60))))</f>
        <v/>
      </c>
      <c r="K158" s="23">
        <f>IF($C158="","",INDEX(인턴근무계획!$M$3:$M$202,$A158)&amp;"")</f>
        <v/>
      </c>
      <c r="L158" s="23">
        <f>IF($C158="","",INDEX(인턴근무계획!$N$3:$N$202,$A158)&amp;"")</f>
        <v/>
      </c>
      <c r="M158" s="23">
        <f>IF($C158="","",INDEX(인턴근무계획!$O$3:$O$202,$A158)&amp;"")</f>
        <v/>
      </c>
      <c r="N158" s="23">
        <f>IF($C158="","",INDEX(인턴근무계획!$P$3:$P$202,$A158)&amp;"")</f>
        <v/>
      </c>
      <c r="O158" s="23">
        <f>IF($C158="","",INDEX(인턴근무계획!$Q$3:$Q$202,$A158)&amp;"")</f>
        <v/>
      </c>
      <c r="P158" s="23">
        <f>IF($C158="","",INDEX(인턴근무계획!$R$3:$R$202,$A158)&amp;"")</f>
        <v/>
      </c>
      <c r="Q158" s="23">
        <f>IF($C158="","",INDEX(인턴근무계획!$T$3:$T$202,$A158))</f>
        <v/>
      </c>
    </row>
    <row r="159">
      <c r="A159" s="26" t="n">
        <v>154</v>
      </c>
      <c r="B159" s="23">
        <f>IF($C159="","",INDEX(인턴근무계획!$B$3:$B$202,$A159))</f>
        <v/>
      </c>
      <c r="C159" s="23">
        <f>IFERROR(TRIM(INDEX(인턴근무계획!$C$3:$C$202,$A159)&amp;""),"")</f>
        <v/>
      </c>
      <c r="D159" s="23">
        <f>IF($C159="","",INDEX(인턴근무계획!$D$3:$D$202,$A159))</f>
        <v/>
      </c>
      <c r="E159" s="23">
        <f>IF($C159="","",IF(IFERROR(MATCH($D159,기본자료!$B$2:$B$501,0),IFERROR(MATCH($D159&amp;"",기본자료!$B$2:$B$501,0),IFERROR(MATCH(VALUE($D159),기본자료!$B$2:$B$501,0),0)))&gt;0,"확인","미등록"))</f>
        <v/>
      </c>
      <c r="F159" s="27">
        <f>IF($C159="","",INDEX(인턴근무계획!$S$3:$S$202,$A159))</f>
        <v/>
      </c>
      <c r="G159" s="23">
        <f>IF(OR($C159="",$G$3=""),"",IF(INDEX(인턴근무계획!$M$3:$R$202,$A159,$G$3)&amp;""="","",IF(LEFT(INDEX(인턴근무계획!$M$3:$R$202,$A159,$G$3)&amp;"",1)="⚠",INDEX(인턴근무계획!$M$3:$R$202,$A159,$G$3)&amp;"",LEFT(INDEX(인턴근무계획!$M$3:$R$202,$A159,$G$3)&amp;"",FIND(" ",INDEX(인턴근무계획!$M$3:$R$202,$A159,$G$3)&amp;"")-1))))</f>
        <v/>
      </c>
      <c r="H159" s="23">
        <f>IF(OR($C159="",$G$3=""),"",IF(INDEX(인턴근무계획!$M$3:$R$202,$A159,$G$3)&amp;""="","",IF(LEFT(INDEX(인턴근무계획!$M$3:$R$202,$A159,$G$3)&amp;"",1)="⚠","",MID(INDEX(인턴근무계획!$M$3:$R$202,$A159,$G$3)&amp;"",FIND(" ",INDEX(인턴근무계획!$M$3:$R$202,$A159,$G$3)&amp;"")+1,60))))</f>
        <v/>
      </c>
      <c r="I159" s="23">
        <f>IF(OR($C159="",$I$3=""),"",IF(INDEX(인턴근무계획!$M$3:$R$202,$A159,$I$3)&amp;""="","",IF(LEFT(INDEX(인턴근무계획!$M$3:$R$202,$A159,$I$3)&amp;"",1)="⚠",INDEX(인턴근무계획!$M$3:$R$202,$A159,$I$3)&amp;"",LEFT(INDEX(인턴근무계획!$M$3:$R$202,$A159,$I$3)&amp;"",FIND(" ",INDEX(인턴근무계획!$M$3:$R$202,$A159,$I$3)&amp;"")-1))))</f>
        <v/>
      </c>
      <c r="J159" s="23">
        <f>IF(OR($C159="",$I$3=""),"",IF(INDEX(인턴근무계획!$M$3:$R$202,$A159,$I$3)&amp;""="","",IF(LEFT(INDEX(인턴근무계획!$M$3:$R$202,$A159,$I$3)&amp;"",1)="⚠","",MID(INDEX(인턴근무계획!$M$3:$R$202,$A159,$I$3)&amp;"",FIND(" ",INDEX(인턴근무계획!$M$3:$R$202,$A159,$I$3)&amp;"")+1,60))))</f>
        <v/>
      </c>
      <c r="K159" s="23">
        <f>IF($C159="","",INDEX(인턴근무계획!$M$3:$M$202,$A159)&amp;"")</f>
        <v/>
      </c>
      <c r="L159" s="23">
        <f>IF($C159="","",INDEX(인턴근무계획!$N$3:$N$202,$A159)&amp;"")</f>
        <v/>
      </c>
      <c r="M159" s="23">
        <f>IF($C159="","",INDEX(인턴근무계획!$O$3:$O$202,$A159)&amp;"")</f>
        <v/>
      </c>
      <c r="N159" s="23">
        <f>IF($C159="","",INDEX(인턴근무계획!$P$3:$P$202,$A159)&amp;"")</f>
        <v/>
      </c>
      <c r="O159" s="23">
        <f>IF($C159="","",INDEX(인턴근무계획!$Q$3:$Q$202,$A159)&amp;"")</f>
        <v/>
      </c>
      <c r="P159" s="23">
        <f>IF($C159="","",INDEX(인턴근무계획!$R$3:$R$202,$A159)&amp;"")</f>
        <v/>
      </c>
      <c r="Q159" s="23">
        <f>IF($C159="","",INDEX(인턴근무계획!$T$3:$T$202,$A159))</f>
        <v/>
      </c>
    </row>
    <row r="160">
      <c r="A160" s="26" t="n">
        <v>155</v>
      </c>
      <c r="B160" s="23">
        <f>IF($C160="","",INDEX(인턴근무계획!$B$3:$B$202,$A160))</f>
        <v/>
      </c>
      <c r="C160" s="23">
        <f>IFERROR(TRIM(INDEX(인턴근무계획!$C$3:$C$202,$A160)&amp;""),"")</f>
        <v/>
      </c>
      <c r="D160" s="23">
        <f>IF($C160="","",INDEX(인턴근무계획!$D$3:$D$202,$A160))</f>
        <v/>
      </c>
      <c r="E160" s="23">
        <f>IF($C160="","",IF(IFERROR(MATCH($D160,기본자료!$B$2:$B$501,0),IFERROR(MATCH($D160&amp;"",기본자료!$B$2:$B$501,0),IFERROR(MATCH(VALUE($D160),기본자료!$B$2:$B$501,0),0)))&gt;0,"확인","미등록"))</f>
        <v/>
      </c>
      <c r="F160" s="27">
        <f>IF($C160="","",INDEX(인턴근무계획!$S$3:$S$202,$A160))</f>
        <v/>
      </c>
      <c r="G160" s="23">
        <f>IF(OR($C160="",$G$3=""),"",IF(INDEX(인턴근무계획!$M$3:$R$202,$A160,$G$3)&amp;""="","",IF(LEFT(INDEX(인턴근무계획!$M$3:$R$202,$A160,$G$3)&amp;"",1)="⚠",INDEX(인턴근무계획!$M$3:$R$202,$A160,$G$3)&amp;"",LEFT(INDEX(인턴근무계획!$M$3:$R$202,$A160,$G$3)&amp;"",FIND(" ",INDEX(인턴근무계획!$M$3:$R$202,$A160,$G$3)&amp;"")-1))))</f>
        <v/>
      </c>
      <c r="H160" s="23">
        <f>IF(OR($C160="",$G$3=""),"",IF(INDEX(인턴근무계획!$M$3:$R$202,$A160,$G$3)&amp;""="","",IF(LEFT(INDEX(인턴근무계획!$M$3:$R$202,$A160,$G$3)&amp;"",1)="⚠","",MID(INDEX(인턴근무계획!$M$3:$R$202,$A160,$G$3)&amp;"",FIND(" ",INDEX(인턴근무계획!$M$3:$R$202,$A160,$G$3)&amp;"")+1,60))))</f>
        <v/>
      </c>
      <c r="I160" s="23">
        <f>IF(OR($C160="",$I$3=""),"",IF(INDEX(인턴근무계획!$M$3:$R$202,$A160,$I$3)&amp;""="","",IF(LEFT(INDEX(인턴근무계획!$M$3:$R$202,$A160,$I$3)&amp;"",1)="⚠",INDEX(인턴근무계획!$M$3:$R$202,$A160,$I$3)&amp;"",LEFT(INDEX(인턴근무계획!$M$3:$R$202,$A160,$I$3)&amp;"",FIND(" ",INDEX(인턴근무계획!$M$3:$R$202,$A160,$I$3)&amp;"")-1))))</f>
        <v/>
      </c>
      <c r="J160" s="23">
        <f>IF(OR($C160="",$I$3=""),"",IF(INDEX(인턴근무계획!$M$3:$R$202,$A160,$I$3)&amp;""="","",IF(LEFT(INDEX(인턴근무계획!$M$3:$R$202,$A160,$I$3)&amp;"",1)="⚠","",MID(INDEX(인턴근무계획!$M$3:$R$202,$A160,$I$3)&amp;"",FIND(" ",INDEX(인턴근무계획!$M$3:$R$202,$A160,$I$3)&amp;"")+1,60))))</f>
        <v/>
      </c>
      <c r="K160" s="23">
        <f>IF($C160="","",INDEX(인턴근무계획!$M$3:$M$202,$A160)&amp;"")</f>
        <v/>
      </c>
      <c r="L160" s="23">
        <f>IF($C160="","",INDEX(인턴근무계획!$N$3:$N$202,$A160)&amp;"")</f>
        <v/>
      </c>
      <c r="M160" s="23">
        <f>IF($C160="","",INDEX(인턴근무계획!$O$3:$O$202,$A160)&amp;"")</f>
        <v/>
      </c>
      <c r="N160" s="23">
        <f>IF($C160="","",INDEX(인턴근무계획!$P$3:$P$202,$A160)&amp;"")</f>
        <v/>
      </c>
      <c r="O160" s="23">
        <f>IF($C160="","",INDEX(인턴근무계획!$Q$3:$Q$202,$A160)&amp;"")</f>
        <v/>
      </c>
      <c r="P160" s="23">
        <f>IF($C160="","",INDEX(인턴근무계획!$R$3:$R$202,$A160)&amp;"")</f>
        <v/>
      </c>
      <c r="Q160" s="23">
        <f>IF($C160="","",INDEX(인턴근무계획!$T$3:$T$202,$A160))</f>
        <v/>
      </c>
    </row>
    <row r="161">
      <c r="A161" s="26" t="n">
        <v>156</v>
      </c>
      <c r="B161" s="23">
        <f>IF($C161="","",INDEX(인턴근무계획!$B$3:$B$202,$A161))</f>
        <v/>
      </c>
      <c r="C161" s="23">
        <f>IFERROR(TRIM(INDEX(인턴근무계획!$C$3:$C$202,$A161)&amp;""),"")</f>
        <v/>
      </c>
      <c r="D161" s="23">
        <f>IF($C161="","",INDEX(인턴근무계획!$D$3:$D$202,$A161))</f>
        <v/>
      </c>
      <c r="E161" s="23">
        <f>IF($C161="","",IF(IFERROR(MATCH($D161,기본자료!$B$2:$B$501,0),IFERROR(MATCH($D161&amp;"",기본자료!$B$2:$B$501,0),IFERROR(MATCH(VALUE($D161),기본자료!$B$2:$B$501,0),0)))&gt;0,"확인","미등록"))</f>
        <v/>
      </c>
      <c r="F161" s="27">
        <f>IF($C161="","",INDEX(인턴근무계획!$S$3:$S$202,$A161))</f>
        <v/>
      </c>
      <c r="G161" s="23">
        <f>IF(OR($C161="",$G$3=""),"",IF(INDEX(인턴근무계획!$M$3:$R$202,$A161,$G$3)&amp;""="","",IF(LEFT(INDEX(인턴근무계획!$M$3:$R$202,$A161,$G$3)&amp;"",1)="⚠",INDEX(인턴근무계획!$M$3:$R$202,$A161,$G$3)&amp;"",LEFT(INDEX(인턴근무계획!$M$3:$R$202,$A161,$G$3)&amp;"",FIND(" ",INDEX(인턴근무계획!$M$3:$R$202,$A161,$G$3)&amp;"")-1))))</f>
        <v/>
      </c>
      <c r="H161" s="23">
        <f>IF(OR($C161="",$G$3=""),"",IF(INDEX(인턴근무계획!$M$3:$R$202,$A161,$G$3)&amp;""="","",IF(LEFT(INDEX(인턴근무계획!$M$3:$R$202,$A161,$G$3)&amp;"",1)="⚠","",MID(INDEX(인턴근무계획!$M$3:$R$202,$A161,$G$3)&amp;"",FIND(" ",INDEX(인턴근무계획!$M$3:$R$202,$A161,$G$3)&amp;"")+1,60))))</f>
        <v/>
      </c>
      <c r="I161" s="23">
        <f>IF(OR($C161="",$I$3=""),"",IF(INDEX(인턴근무계획!$M$3:$R$202,$A161,$I$3)&amp;""="","",IF(LEFT(INDEX(인턴근무계획!$M$3:$R$202,$A161,$I$3)&amp;"",1)="⚠",INDEX(인턴근무계획!$M$3:$R$202,$A161,$I$3)&amp;"",LEFT(INDEX(인턴근무계획!$M$3:$R$202,$A161,$I$3)&amp;"",FIND(" ",INDEX(인턴근무계획!$M$3:$R$202,$A161,$I$3)&amp;"")-1))))</f>
        <v/>
      </c>
      <c r="J161" s="23">
        <f>IF(OR($C161="",$I$3=""),"",IF(INDEX(인턴근무계획!$M$3:$R$202,$A161,$I$3)&amp;""="","",IF(LEFT(INDEX(인턴근무계획!$M$3:$R$202,$A161,$I$3)&amp;"",1)="⚠","",MID(INDEX(인턴근무계획!$M$3:$R$202,$A161,$I$3)&amp;"",FIND(" ",INDEX(인턴근무계획!$M$3:$R$202,$A161,$I$3)&amp;"")+1,60))))</f>
        <v/>
      </c>
      <c r="K161" s="23">
        <f>IF($C161="","",INDEX(인턴근무계획!$M$3:$M$202,$A161)&amp;"")</f>
        <v/>
      </c>
      <c r="L161" s="23">
        <f>IF($C161="","",INDEX(인턴근무계획!$N$3:$N$202,$A161)&amp;"")</f>
        <v/>
      </c>
      <c r="M161" s="23">
        <f>IF($C161="","",INDEX(인턴근무계획!$O$3:$O$202,$A161)&amp;"")</f>
        <v/>
      </c>
      <c r="N161" s="23">
        <f>IF($C161="","",INDEX(인턴근무계획!$P$3:$P$202,$A161)&amp;"")</f>
        <v/>
      </c>
      <c r="O161" s="23">
        <f>IF($C161="","",INDEX(인턴근무계획!$Q$3:$Q$202,$A161)&amp;"")</f>
        <v/>
      </c>
      <c r="P161" s="23">
        <f>IF($C161="","",INDEX(인턴근무계획!$R$3:$R$202,$A161)&amp;"")</f>
        <v/>
      </c>
      <c r="Q161" s="23">
        <f>IF($C161="","",INDEX(인턴근무계획!$T$3:$T$202,$A161))</f>
        <v/>
      </c>
    </row>
    <row r="162">
      <c r="A162" s="26" t="n">
        <v>157</v>
      </c>
      <c r="B162" s="23">
        <f>IF($C162="","",INDEX(인턴근무계획!$B$3:$B$202,$A162))</f>
        <v/>
      </c>
      <c r="C162" s="23">
        <f>IFERROR(TRIM(INDEX(인턴근무계획!$C$3:$C$202,$A162)&amp;""),"")</f>
        <v/>
      </c>
      <c r="D162" s="23">
        <f>IF($C162="","",INDEX(인턴근무계획!$D$3:$D$202,$A162))</f>
        <v/>
      </c>
      <c r="E162" s="23">
        <f>IF($C162="","",IF(IFERROR(MATCH($D162,기본자료!$B$2:$B$501,0),IFERROR(MATCH($D162&amp;"",기본자료!$B$2:$B$501,0),IFERROR(MATCH(VALUE($D162),기본자료!$B$2:$B$501,0),0)))&gt;0,"확인","미등록"))</f>
        <v/>
      </c>
      <c r="F162" s="27">
        <f>IF($C162="","",INDEX(인턴근무계획!$S$3:$S$202,$A162))</f>
        <v/>
      </c>
      <c r="G162" s="23">
        <f>IF(OR($C162="",$G$3=""),"",IF(INDEX(인턴근무계획!$M$3:$R$202,$A162,$G$3)&amp;""="","",IF(LEFT(INDEX(인턴근무계획!$M$3:$R$202,$A162,$G$3)&amp;"",1)="⚠",INDEX(인턴근무계획!$M$3:$R$202,$A162,$G$3)&amp;"",LEFT(INDEX(인턴근무계획!$M$3:$R$202,$A162,$G$3)&amp;"",FIND(" ",INDEX(인턴근무계획!$M$3:$R$202,$A162,$G$3)&amp;"")-1))))</f>
        <v/>
      </c>
      <c r="H162" s="23">
        <f>IF(OR($C162="",$G$3=""),"",IF(INDEX(인턴근무계획!$M$3:$R$202,$A162,$G$3)&amp;""="","",IF(LEFT(INDEX(인턴근무계획!$M$3:$R$202,$A162,$G$3)&amp;"",1)="⚠","",MID(INDEX(인턴근무계획!$M$3:$R$202,$A162,$G$3)&amp;"",FIND(" ",INDEX(인턴근무계획!$M$3:$R$202,$A162,$G$3)&amp;"")+1,60))))</f>
        <v/>
      </c>
      <c r="I162" s="23">
        <f>IF(OR($C162="",$I$3=""),"",IF(INDEX(인턴근무계획!$M$3:$R$202,$A162,$I$3)&amp;""="","",IF(LEFT(INDEX(인턴근무계획!$M$3:$R$202,$A162,$I$3)&amp;"",1)="⚠",INDEX(인턴근무계획!$M$3:$R$202,$A162,$I$3)&amp;"",LEFT(INDEX(인턴근무계획!$M$3:$R$202,$A162,$I$3)&amp;"",FIND(" ",INDEX(인턴근무계획!$M$3:$R$202,$A162,$I$3)&amp;"")-1))))</f>
        <v/>
      </c>
      <c r="J162" s="23">
        <f>IF(OR($C162="",$I$3=""),"",IF(INDEX(인턴근무계획!$M$3:$R$202,$A162,$I$3)&amp;""="","",IF(LEFT(INDEX(인턴근무계획!$M$3:$R$202,$A162,$I$3)&amp;"",1)="⚠","",MID(INDEX(인턴근무계획!$M$3:$R$202,$A162,$I$3)&amp;"",FIND(" ",INDEX(인턴근무계획!$M$3:$R$202,$A162,$I$3)&amp;"")+1,60))))</f>
        <v/>
      </c>
      <c r="K162" s="23">
        <f>IF($C162="","",INDEX(인턴근무계획!$M$3:$M$202,$A162)&amp;"")</f>
        <v/>
      </c>
      <c r="L162" s="23">
        <f>IF($C162="","",INDEX(인턴근무계획!$N$3:$N$202,$A162)&amp;"")</f>
        <v/>
      </c>
      <c r="M162" s="23">
        <f>IF($C162="","",INDEX(인턴근무계획!$O$3:$O$202,$A162)&amp;"")</f>
        <v/>
      </c>
      <c r="N162" s="23">
        <f>IF($C162="","",INDEX(인턴근무계획!$P$3:$P$202,$A162)&amp;"")</f>
        <v/>
      </c>
      <c r="O162" s="23">
        <f>IF($C162="","",INDEX(인턴근무계획!$Q$3:$Q$202,$A162)&amp;"")</f>
        <v/>
      </c>
      <c r="P162" s="23">
        <f>IF($C162="","",INDEX(인턴근무계획!$R$3:$R$202,$A162)&amp;"")</f>
        <v/>
      </c>
      <c r="Q162" s="23">
        <f>IF($C162="","",INDEX(인턴근무계획!$T$3:$T$202,$A162))</f>
        <v/>
      </c>
    </row>
    <row r="163">
      <c r="A163" s="26" t="n">
        <v>158</v>
      </c>
      <c r="B163" s="23">
        <f>IF($C163="","",INDEX(인턴근무계획!$B$3:$B$202,$A163))</f>
        <v/>
      </c>
      <c r="C163" s="23">
        <f>IFERROR(TRIM(INDEX(인턴근무계획!$C$3:$C$202,$A163)&amp;""),"")</f>
        <v/>
      </c>
      <c r="D163" s="23">
        <f>IF($C163="","",INDEX(인턴근무계획!$D$3:$D$202,$A163))</f>
        <v/>
      </c>
      <c r="E163" s="23">
        <f>IF($C163="","",IF(IFERROR(MATCH($D163,기본자료!$B$2:$B$501,0),IFERROR(MATCH($D163&amp;"",기본자료!$B$2:$B$501,0),IFERROR(MATCH(VALUE($D163),기본자료!$B$2:$B$501,0),0)))&gt;0,"확인","미등록"))</f>
        <v/>
      </c>
      <c r="F163" s="27">
        <f>IF($C163="","",INDEX(인턴근무계획!$S$3:$S$202,$A163))</f>
        <v/>
      </c>
      <c r="G163" s="23">
        <f>IF(OR($C163="",$G$3=""),"",IF(INDEX(인턴근무계획!$M$3:$R$202,$A163,$G$3)&amp;""="","",IF(LEFT(INDEX(인턴근무계획!$M$3:$R$202,$A163,$G$3)&amp;"",1)="⚠",INDEX(인턴근무계획!$M$3:$R$202,$A163,$G$3)&amp;"",LEFT(INDEX(인턴근무계획!$M$3:$R$202,$A163,$G$3)&amp;"",FIND(" ",INDEX(인턴근무계획!$M$3:$R$202,$A163,$G$3)&amp;"")-1))))</f>
        <v/>
      </c>
      <c r="H163" s="23">
        <f>IF(OR($C163="",$G$3=""),"",IF(INDEX(인턴근무계획!$M$3:$R$202,$A163,$G$3)&amp;""="","",IF(LEFT(INDEX(인턴근무계획!$M$3:$R$202,$A163,$G$3)&amp;"",1)="⚠","",MID(INDEX(인턴근무계획!$M$3:$R$202,$A163,$G$3)&amp;"",FIND(" ",INDEX(인턴근무계획!$M$3:$R$202,$A163,$G$3)&amp;"")+1,60))))</f>
        <v/>
      </c>
      <c r="I163" s="23">
        <f>IF(OR($C163="",$I$3=""),"",IF(INDEX(인턴근무계획!$M$3:$R$202,$A163,$I$3)&amp;""="","",IF(LEFT(INDEX(인턴근무계획!$M$3:$R$202,$A163,$I$3)&amp;"",1)="⚠",INDEX(인턴근무계획!$M$3:$R$202,$A163,$I$3)&amp;"",LEFT(INDEX(인턴근무계획!$M$3:$R$202,$A163,$I$3)&amp;"",FIND(" ",INDEX(인턴근무계획!$M$3:$R$202,$A163,$I$3)&amp;"")-1))))</f>
        <v/>
      </c>
      <c r="J163" s="23">
        <f>IF(OR($C163="",$I$3=""),"",IF(INDEX(인턴근무계획!$M$3:$R$202,$A163,$I$3)&amp;""="","",IF(LEFT(INDEX(인턴근무계획!$M$3:$R$202,$A163,$I$3)&amp;"",1)="⚠","",MID(INDEX(인턴근무계획!$M$3:$R$202,$A163,$I$3)&amp;"",FIND(" ",INDEX(인턴근무계획!$M$3:$R$202,$A163,$I$3)&amp;"")+1,60))))</f>
        <v/>
      </c>
      <c r="K163" s="23">
        <f>IF($C163="","",INDEX(인턴근무계획!$M$3:$M$202,$A163)&amp;"")</f>
        <v/>
      </c>
      <c r="L163" s="23">
        <f>IF($C163="","",INDEX(인턴근무계획!$N$3:$N$202,$A163)&amp;"")</f>
        <v/>
      </c>
      <c r="M163" s="23">
        <f>IF($C163="","",INDEX(인턴근무계획!$O$3:$O$202,$A163)&amp;"")</f>
        <v/>
      </c>
      <c r="N163" s="23">
        <f>IF($C163="","",INDEX(인턴근무계획!$P$3:$P$202,$A163)&amp;"")</f>
        <v/>
      </c>
      <c r="O163" s="23">
        <f>IF($C163="","",INDEX(인턴근무계획!$Q$3:$Q$202,$A163)&amp;"")</f>
        <v/>
      </c>
      <c r="P163" s="23">
        <f>IF($C163="","",INDEX(인턴근무계획!$R$3:$R$202,$A163)&amp;"")</f>
        <v/>
      </c>
      <c r="Q163" s="23">
        <f>IF($C163="","",INDEX(인턴근무계획!$T$3:$T$202,$A163))</f>
        <v/>
      </c>
    </row>
    <row r="164">
      <c r="A164" s="26" t="n">
        <v>159</v>
      </c>
      <c r="B164" s="23">
        <f>IF($C164="","",INDEX(인턴근무계획!$B$3:$B$202,$A164))</f>
        <v/>
      </c>
      <c r="C164" s="23">
        <f>IFERROR(TRIM(INDEX(인턴근무계획!$C$3:$C$202,$A164)&amp;""),"")</f>
        <v/>
      </c>
      <c r="D164" s="23">
        <f>IF($C164="","",INDEX(인턴근무계획!$D$3:$D$202,$A164))</f>
        <v/>
      </c>
      <c r="E164" s="23">
        <f>IF($C164="","",IF(IFERROR(MATCH($D164,기본자료!$B$2:$B$501,0),IFERROR(MATCH($D164&amp;"",기본자료!$B$2:$B$501,0),IFERROR(MATCH(VALUE($D164),기본자료!$B$2:$B$501,0),0)))&gt;0,"확인","미등록"))</f>
        <v/>
      </c>
      <c r="F164" s="27">
        <f>IF($C164="","",INDEX(인턴근무계획!$S$3:$S$202,$A164))</f>
        <v/>
      </c>
      <c r="G164" s="23">
        <f>IF(OR($C164="",$G$3=""),"",IF(INDEX(인턴근무계획!$M$3:$R$202,$A164,$G$3)&amp;""="","",IF(LEFT(INDEX(인턴근무계획!$M$3:$R$202,$A164,$G$3)&amp;"",1)="⚠",INDEX(인턴근무계획!$M$3:$R$202,$A164,$G$3)&amp;"",LEFT(INDEX(인턴근무계획!$M$3:$R$202,$A164,$G$3)&amp;"",FIND(" ",INDEX(인턴근무계획!$M$3:$R$202,$A164,$G$3)&amp;"")-1))))</f>
        <v/>
      </c>
      <c r="H164" s="23">
        <f>IF(OR($C164="",$G$3=""),"",IF(INDEX(인턴근무계획!$M$3:$R$202,$A164,$G$3)&amp;""="","",IF(LEFT(INDEX(인턴근무계획!$M$3:$R$202,$A164,$G$3)&amp;"",1)="⚠","",MID(INDEX(인턴근무계획!$M$3:$R$202,$A164,$G$3)&amp;"",FIND(" ",INDEX(인턴근무계획!$M$3:$R$202,$A164,$G$3)&amp;"")+1,60))))</f>
        <v/>
      </c>
      <c r="I164" s="23">
        <f>IF(OR($C164="",$I$3=""),"",IF(INDEX(인턴근무계획!$M$3:$R$202,$A164,$I$3)&amp;""="","",IF(LEFT(INDEX(인턴근무계획!$M$3:$R$202,$A164,$I$3)&amp;"",1)="⚠",INDEX(인턴근무계획!$M$3:$R$202,$A164,$I$3)&amp;"",LEFT(INDEX(인턴근무계획!$M$3:$R$202,$A164,$I$3)&amp;"",FIND(" ",INDEX(인턴근무계획!$M$3:$R$202,$A164,$I$3)&amp;"")-1))))</f>
        <v/>
      </c>
      <c r="J164" s="23">
        <f>IF(OR($C164="",$I$3=""),"",IF(INDEX(인턴근무계획!$M$3:$R$202,$A164,$I$3)&amp;""="","",IF(LEFT(INDEX(인턴근무계획!$M$3:$R$202,$A164,$I$3)&amp;"",1)="⚠","",MID(INDEX(인턴근무계획!$M$3:$R$202,$A164,$I$3)&amp;"",FIND(" ",INDEX(인턴근무계획!$M$3:$R$202,$A164,$I$3)&amp;"")+1,60))))</f>
        <v/>
      </c>
      <c r="K164" s="23">
        <f>IF($C164="","",INDEX(인턴근무계획!$M$3:$M$202,$A164)&amp;"")</f>
        <v/>
      </c>
      <c r="L164" s="23">
        <f>IF($C164="","",INDEX(인턴근무계획!$N$3:$N$202,$A164)&amp;"")</f>
        <v/>
      </c>
      <c r="M164" s="23">
        <f>IF($C164="","",INDEX(인턴근무계획!$O$3:$O$202,$A164)&amp;"")</f>
        <v/>
      </c>
      <c r="N164" s="23">
        <f>IF($C164="","",INDEX(인턴근무계획!$P$3:$P$202,$A164)&amp;"")</f>
        <v/>
      </c>
      <c r="O164" s="23">
        <f>IF($C164="","",INDEX(인턴근무계획!$Q$3:$Q$202,$A164)&amp;"")</f>
        <v/>
      </c>
      <c r="P164" s="23">
        <f>IF($C164="","",INDEX(인턴근무계획!$R$3:$R$202,$A164)&amp;"")</f>
        <v/>
      </c>
      <c r="Q164" s="23">
        <f>IF($C164="","",INDEX(인턴근무계획!$T$3:$T$202,$A164))</f>
        <v/>
      </c>
    </row>
    <row r="165">
      <c r="A165" s="26" t="n">
        <v>160</v>
      </c>
      <c r="B165" s="23">
        <f>IF($C165="","",INDEX(인턴근무계획!$B$3:$B$202,$A165))</f>
        <v/>
      </c>
      <c r="C165" s="23">
        <f>IFERROR(TRIM(INDEX(인턴근무계획!$C$3:$C$202,$A165)&amp;""),"")</f>
        <v/>
      </c>
      <c r="D165" s="23">
        <f>IF($C165="","",INDEX(인턴근무계획!$D$3:$D$202,$A165))</f>
        <v/>
      </c>
      <c r="E165" s="23">
        <f>IF($C165="","",IF(IFERROR(MATCH($D165,기본자료!$B$2:$B$501,0),IFERROR(MATCH($D165&amp;"",기본자료!$B$2:$B$501,0),IFERROR(MATCH(VALUE($D165),기본자료!$B$2:$B$501,0),0)))&gt;0,"확인","미등록"))</f>
        <v/>
      </c>
      <c r="F165" s="27">
        <f>IF($C165="","",INDEX(인턴근무계획!$S$3:$S$202,$A165))</f>
        <v/>
      </c>
      <c r="G165" s="23">
        <f>IF(OR($C165="",$G$3=""),"",IF(INDEX(인턴근무계획!$M$3:$R$202,$A165,$G$3)&amp;""="","",IF(LEFT(INDEX(인턴근무계획!$M$3:$R$202,$A165,$G$3)&amp;"",1)="⚠",INDEX(인턴근무계획!$M$3:$R$202,$A165,$G$3)&amp;"",LEFT(INDEX(인턴근무계획!$M$3:$R$202,$A165,$G$3)&amp;"",FIND(" ",INDEX(인턴근무계획!$M$3:$R$202,$A165,$G$3)&amp;"")-1))))</f>
        <v/>
      </c>
      <c r="H165" s="23">
        <f>IF(OR($C165="",$G$3=""),"",IF(INDEX(인턴근무계획!$M$3:$R$202,$A165,$G$3)&amp;""="","",IF(LEFT(INDEX(인턴근무계획!$M$3:$R$202,$A165,$G$3)&amp;"",1)="⚠","",MID(INDEX(인턴근무계획!$M$3:$R$202,$A165,$G$3)&amp;"",FIND(" ",INDEX(인턴근무계획!$M$3:$R$202,$A165,$G$3)&amp;"")+1,60))))</f>
        <v/>
      </c>
      <c r="I165" s="23">
        <f>IF(OR($C165="",$I$3=""),"",IF(INDEX(인턴근무계획!$M$3:$R$202,$A165,$I$3)&amp;""="","",IF(LEFT(INDEX(인턴근무계획!$M$3:$R$202,$A165,$I$3)&amp;"",1)="⚠",INDEX(인턴근무계획!$M$3:$R$202,$A165,$I$3)&amp;"",LEFT(INDEX(인턴근무계획!$M$3:$R$202,$A165,$I$3)&amp;"",FIND(" ",INDEX(인턴근무계획!$M$3:$R$202,$A165,$I$3)&amp;"")-1))))</f>
        <v/>
      </c>
      <c r="J165" s="23">
        <f>IF(OR($C165="",$I$3=""),"",IF(INDEX(인턴근무계획!$M$3:$R$202,$A165,$I$3)&amp;""="","",IF(LEFT(INDEX(인턴근무계획!$M$3:$R$202,$A165,$I$3)&amp;"",1)="⚠","",MID(INDEX(인턴근무계획!$M$3:$R$202,$A165,$I$3)&amp;"",FIND(" ",INDEX(인턴근무계획!$M$3:$R$202,$A165,$I$3)&amp;"")+1,60))))</f>
        <v/>
      </c>
      <c r="K165" s="23">
        <f>IF($C165="","",INDEX(인턴근무계획!$M$3:$M$202,$A165)&amp;"")</f>
        <v/>
      </c>
      <c r="L165" s="23">
        <f>IF($C165="","",INDEX(인턴근무계획!$N$3:$N$202,$A165)&amp;"")</f>
        <v/>
      </c>
      <c r="M165" s="23">
        <f>IF($C165="","",INDEX(인턴근무계획!$O$3:$O$202,$A165)&amp;"")</f>
        <v/>
      </c>
      <c r="N165" s="23">
        <f>IF($C165="","",INDEX(인턴근무계획!$P$3:$P$202,$A165)&amp;"")</f>
        <v/>
      </c>
      <c r="O165" s="23">
        <f>IF($C165="","",INDEX(인턴근무계획!$Q$3:$Q$202,$A165)&amp;"")</f>
        <v/>
      </c>
      <c r="P165" s="23">
        <f>IF($C165="","",INDEX(인턴근무계획!$R$3:$R$202,$A165)&amp;"")</f>
        <v/>
      </c>
      <c r="Q165" s="23">
        <f>IF($C165="","",INDEX(인턴근무계획!$T$3:$T$202,$A165))</f>
        <v/>
      </c>
    </row>
    <row r="166">
      <c r="A166" s="26" t="n">
        <v>161</v>
      </c>
      <c r="B166" s="23">
        <f>IF($C166="","",INDEX(인턴근무계획!$B$3:$B$202,$A166))</f>
        <v/>
      </c>
      <c r="C166" s="23">
        <f>IFERROR(TRIM(INDEX(인턴근무계획!$C$3:$C$202,$A166)&amp;""),"")</f>
        <v/>
      </c>
      <c r="D166" s="23">
        <f>IF($C166="","",INDEX(인턴근무계획!$D$3:$D$202,$A166))</f>
        <v/>
      </c>
      <c r="E166" s="23">
        <f>IF($C166="","",IF(IFERROR(MATCH($D166,기본자료!$B$2:$B$501,0),IFERROR(MATCH($D166&amp;"",기본자료!$B$2:$B$501,0),IFERROR(MATCH(VALUE($D166),기본자료!$B$2:$B$501,0),0)))&gt;0,"확인","미등록"))</f>
        <v/>
      </c>
      <c r="F166" s="27">
        <f>IF($C166="","",INDEX(인턴근무계획!$S$3:$S$202,$A166))</f>
        <v/>
      </c>
      <c r="G166" s="23">
        <f>IF(OR($C166="",$G$3=""),"",IF(INDEX(인턴근무계획!$M$3:$R$202,$A166,$G$3)&amp;""="","",IF(LEFT(INDEX(인턴근무계획!$M$3:$R$202,$A166,$G$3)&amp;"",1)="⚠",INDEX(인턴근무계획!$M$3:$R$202,$A166,$G$3)&amp;"",LEFT(INDEX(인턴근무계획!$M$3:$R$202,$A166,$G$3)&amp;"",FIND(" ",INDEX(인턴근무계획!$M$3:$R$202,$A166,$G$3)&amp;"")-1))))</f>
        <v/>
      </c>
      <c r="H166" s="23">
        <f>IF(OR($C166="",$G$3=""),"",IF(INDEX(인턴근무계획!$M$3:$R$202,$A166,$G$3)&amp;""="","",IF(LEFT(INDEX(인턴근무계획!$M$3:$R$202,$A166,$G$3)&amp;"",1)="⚠","",MID(INDEX(인턴근무계획!$M$3:$R$202,$A166,$G$3)&amp;"",FIND(" ",INDEX(인턴근무계획!$M$3:$R$202,$A166,$G$3)&amp;"")+1,60))))</f>
        <v/>
      </c>
      <c r="I166" s="23">
        <f>IF(OR($C166="",$I$3=""),"",IF(INDEX(인턴근무계획!$M$3:$R$202,$A166,$I$3)&amp;""="","",IF(LEFT(INDEX(인턴근무계획!$M$3:$R$202,$A166,$I$3)&amp;"",1)="⚠",INDEX(인턴근무계획!$M$3:$R$202,$A166,$I$3)&amp;"",LEFT(INDEX(인턴근무계획!$M$3:$R$202,$A166,$I$3)&amp;"",FIND(" ",INDEX(인턴근무계획!$M$3:$R$202,$A166,$I$3)&amp;"")-1))))</f>
        <v/>
      </c>
      <c r="J166" s="23">
        <f>IF(OR($C166="",$I$3=""),"",IF(INDEX(인턴근무계획!$M$3:$R$202,$A166,$I$3)&amp;""="","",IF(LEFT(INDEX(인턴근무계획!$M$3:$R$202,$A166,$I$3)&amp;"",1)="⚠","",MID(INDEX(인턴근무계획!$M$3:$R$202,$A166,$I$3)&amp;"",FIND(" ",INDEX(인턴근무계획!$M$3:$R$202,$A166,$I$3)&amp;"")+1,60))))</f>
        <v/>
      </c>
      <c r="K166" s="23">
        <f>IF($C166="","",INDEX(인턴근무계획!$M$3:$M$202,$A166)&amp;"")</f>
        <v/>
      </c>
      <c r="L166" s="23">
        <f>IF($C166="","",INDEX(인턴근무계획!$N$3:$N$202,$A166)&amp;"")</f>
        <v/>
      </c>
      <c r="M166" s="23">
        <f>IF($C166="","",INDEX(인턴근무계획!$O$3:$O$202,$A166)&amp;"")</f>
        <v/>
      </c>
      <c r="N166" s="23">
        <f>IF($C166="","",INDEX(인턴근무계획!$P$3:$P$202,$A166)&amp;"")</f>
        <v/>
      </c>
      <c r="O166" s="23">
        <f>IF($C166="","",INDEX(인턴근무계획!$Q$3:$Q$202,$A166)&amp;"")</f>
        <v/>
      </c>
      <c r="P166" s="23">
        <f>IF($C166="","",INDEX(인턴근무계획!$R$3:$R$202,$A166)&amp;"")</f>
        <v/>
      </c>
      <c r="Q166" s="23">
        <f>IF($C166="","",INDEX(인턴근무계획!$T$3:$T$202,$A166))</f>
        <v/>
      </c>
    </row>
    <row r="167">
      <c r="A167" s="26" t="n">
        <v>162</v>
      </c>
      <c r="B167" s="23">
        <f>IF($C167="","",INDEX(인턴근무계획!$B$3:$B$202,$A167))</f>
        <v/>
      </c>
      <c r="C167" s="23">
        <f>IFERROR(TRIM(INDEX(인턴근무계획!$C$3:$C$202,$A167)&amp;""),"")</f>
        <v/>
      </c>
      <c r="D167" s="23">
        <f>IF($C167="","",INDEX(인턴근무계획!$D$3:$D$202,$A167))</f>
        <v/>
      </c>
      <c r="E167" s="23">
        <f>IF($C167="","",IF(IFERROR(MATCH($D167,기본자료!$B$2:$B$501,0),IFERROR(MATCH($D167&amp;"",기본자료!$B$2:$B$501,0),IFERROR(MATCH(VALUE($D167),기본자료!$B$2:$B$501,0),0)))&gt;0,"확인","미등록"))</f>
        <v/>
      </c>
      <c r="F167" s="27">
        <f>IF($C167="","",INDEX(인턴근무계획!$S$3:$S$202,$A167))</f>
        <v/>
      </c>
      <c r="G167" s="23">
        <f>IF(OR($C167="",$G$3=""),"",IF(INDEX(인턴근무계획!$M$3:$R$202,$A167,$G$3)&amp;""="","",IF(LEFT(INDEX(인턴근무계획!$M$3:$R$202,$A167,$G$3)&amp;"",1)="⚠",INDEX(인턴근무계획!$M$3:$R$202,$A167,$G$3)&amp;"",LEFT(INDEX(인턴근무계획!$M$3:$R$202,$A167,$G$3)&amp;"",FIND(" ",INDEX(인턴근무계획!$M$3:$R$202,$A167,$G$3)&amp;"")-1))))</f>
        <v/>
      </c>
      <c r="H167" s="23">
        <f>IF(OR($C167="",$G$3=""),"",IF(INDEX(인턴근무계획!$M$3:$R$202,$A167,$G$3)&amp;""="","",IF(LEFT(INDEX(인턴근무계획!$M$3:$R$202,$A167,$G$3)&amp;"",1)="⚠","",MID(INDEX(인턴근무계획!$M$3:$R$202,$A167,$G$3)&amp;"",FIND(" ",INDEX(인턴근무계획!$M$3:$R$202,$A167,$G$3)&amp;"")+1,60))))</f>
        <v/>
      </c>
      <c r="I167" s="23">
        <f>IF(OR($C167="",$I$3=""),"",IF(INDEX(인턴근무계획!$M$3:$R$202,$A167,$I$3)&amp;""="","",IF(LEFT(INDEX(인턴근무계획!$M$3:$R$202,$A167,$I$3)&amp;"",1)="⚠",INDEX(인턴근무계획!$M$3:$R$202,$A167,$I$3)&amp;"",LEFT(INDEX(인턴근무계획!$M$3:$R$202,$A167,$I$3)&amp;"",FIND(" ",INDEX(인턴근무계획!$M$3:$R$202,$A167,$I$3)&amp;"")-1))))</f>
        <v/>
      </c>
      <c r="J167" s="23">
        <f>IF(OR($C167="",$I$3=""),"",IF(INDEX(인턴근무계획!$M$3:$R$202,$A167,$I$3)&amp;""="","",IF(LEFT(INDEX(인턴근무계획!$M$3:$R$202,$A167,$I$3)&amp;"",1)="⚠","",MID(INDEX(인턴근무계획!$M$3:$R$202,$A167,$I$3)&amp;"",FIND(" ",INDEX(인턴근무계획!$M$3:$R$202,$A167,$I$3)&amp;"")+1,60))))</f>
        <v/>
      </c>
      <c r="K167" s="23">
        <f>IF($C167="","",INDEX(인턴근무계획!$M$3:$M$202,$A167)&amp;"")</f>
        <v/>
      </c>
      <c r="L167" s="23">
        <f>IF($C167="","",INDEX(인턴근무계획!$N$3:$N$202,$A167)&amp;"")</f>
        <v/>
      </c>
      <c r="M167" s="23">
        <f>IF($C167="","",INDEX(인턴근무계획!$O$3:$O$202,$A167)&amp;"")</f>
        <v/>
      </c>
      <c r="N167" s="23">
        <f>IF($C167="","",INDEX(인턴근무계획!$P$3:$P$202,$A167)&amp;"")</f>
        <v/>
      </c>
      <c r="O167" s="23">
        <f>IF($C167="","",INDEX(인턴근무계획!$Q$3:$Q$202,$A167)&amp;"")</f>
        <v/>
      </c>
      <c r="P167" s="23">
        <f>IF($C167="","",INDEX(인턴근무계획!$R$3:$R$202,$A167)&amp;"")</f>
        <v/>
      </c>
      <c r="Q167" s="23">
        <f>IF($C167="","",INDEX(인턴근무계획!$T$3:$T$202,$A167))</f>
        <v/>
      </c>
    </row>
    <row r="168">
      <c r="A168" s="26" t="n">
        <v>163</v>
      </c>
      <c r="B168" s="23">
        <f>IF($C168="","",INDEX(인턴근무계획!$B$3:$B$202,$A168))</f>
        <v/>
      </c>
      <c r="C168" s="23">
        <f>IFERROR(TRIM(INDEX(인턴근무계획!$C$3:$C$202,$A168)&amp;""),"")</f>
        <v/>
      </c>
      <c r="D168" s="23">
        <f>IF($C168="","",INDEX(인턴근무계획!$D$3:$D$202,$A168))</f>
        <v/>
      </c>
      <c r="E168" s="23">
        <f>IF($C168="","",IF(IFERROR(MATCH($D168,기본자료!$B$2:$B$501,0),IFERROR(MATCH($D168&amp;"",기본자료!$B$2:$B$501,0),IFERROR(MATCH(VALUE($D168),기본자료!$B$2:$B$501,0),0)))&gt;0,"확인","미등록"))</f>
        <v/>
      </c>
      <c r="F168" s="27">
        <f>IF($C168="","",INDEX(인턴근무계획!$S$3:$S$202,$A168))</f>
        <v/>
      </c>
      <c r="G168" s="23">
        <f>IF(OR($C168="",$G$3=""),"",IF(INDEX(인턴근무계획!$M$3:$R$202,$A168,$G$3)&amp;""="","",IF(LEFT(INDEX(인턴근무계획!$M$3:$R$202,$A168,$G$3)&amp;"",1)="⚠",INDEX(인턴근무계획!$M$3:$R$202,$A168,$G$3)&amp;"",LEFT(INDEX(인턴근무계획!$M$3:$R$202,$A168,$G$3)&amp;"",FIND(" ",INDEX(인턴근무계획!$M$3:$R$202,$A168,$G$3)&amp;"")-1))))</f>
        <v/>
      </c>
      <c r="H168" s="23">
        <f>IF(OR($C168="",$G$3=""),"",IF(INDEX(인턴근무계획!$M$3:$R$202,$A168,$G$3)&amp;""="","",IF(LEFT(INDEX(인턴근무계획!$M$3:$R$202,$A168,$G$3)&amp;"",1)="⚠","",MID(INDEX(인턴근무계획!$M$3:$R$202,$A168,$G$3)&amp;"",FIND(" ",INDEX(인턴근무계획!$M$3:$R$202,$A168,$G$3)&amp;"")+1,60))))</f>
        <v/>
      </c>
      <c r="I168" s="23">
        <f>IF(OR($C168="",$I$3=""),"",IF(INDEX(인턴근무계획!$M$3:$R$202,$A168,$I$3)&amp;""="","",IF(LEFT(INDEX(인턴근무계획!$M$3:$R$202,$A168,$I$3)&amp;"",1)="⚠",INDEX(인턴근무계획!$M$3:$R$202,$A168,$I$3)&amp;"",LEFT(INDEX(인턴근무계획!$M$3:$R$202,$A168,$I$3)&amp;"",FIND(" ",INDEX(인턴근무계획!$M$3:$R$202,$A168,$I$3)&amp;"")-1))))</f>
        <v/>
      </c>
      <c r="J168" s="23">
        <f>IF(OR($C168="",$I$3=""),"",IF(INDEX(인턴근무계획!$M$3:$R$202,$A168,$I$3)&amp;""="","",IF(LEFT(INDEX(인턴근무계획!$M$3:$R$202,$A168,$I$3)&amp;"",1)="⚠","",MID(INDEX(인턴근무계획!$M$3:$R$202,$A168,$I$3)&amp;"",FIND(" ",INDEX(인턴근무계획!$M$3:$R$202,$A168,$I$3)&amp;"")+1,60))))</f>
        <v/>
      </c>
      <c r="K168" s="23">
        <f>IF($C168="","",INDEX(인턴근무계획!$M$3:$M$202,$A168)&amp;"")</f>
        <v/>
      </c>
      <c r="L168" s="23">
        <f>IF($C168="","",INDEX(인턴근무계획!$N$3:$N$202,$A168)&amp;"")</f>
        <v/>
      </c>
      <c r="M168" s="23">
        <f>IF($C168="","",INDEX(인턴근무계획!$O$3:$O$202,$A168)&amp;"")</f>
        <v/>
      </c>
      <c r="N168" s="23">
        <f>IF($C168="","",INDEX(인턴근무계획!$P$3:$P$202,$A168)&amp;"")</f>
        <v/>
      </c>
      <c r="O168" s="23">
        <f>IF($C168="","",INDEX(인턴근무계획!$Q$3:$Q$202,$A168)&amp;"")</f>
        <v/>
      </c>
      <c r="P168" s="23">
        <f>IF($C168="","",INDEX(인턴근무계획!$R$3:$R$202,$A168)&amp;"")</f>
        <v/>
      </c>
      <c r="Q168" s="23">
        <f>IF($C168="","",INDEX(인턴근무계획!$T$3:$T$202,$A168))</f>
        <v/>
      </c>
    </row>
    <row r="169">
      <c r="A169" s="26" t="n">
        <v>164</v>
      </c>
      <c r="B169" s="23">
        <f>IF($C169="","",INDEX(인턴근무계획!$B$3:$B$202,$A169))</f>
        <v/>
      </c>
      <c r="C169" s="23">
        <f>IFERROR(TRIM(INDEX(인턴근무계획!$C$3:$C$202,$A169)&amp;""),"")</f>
        <v/>
      </c>
      <c r="D169" s="23">
        <f>IF($C169="","",INDEX(인턴근무계획!$D$3:$D$202,$A169))</f>
        <v/>
      </c>
      <c r="E169" s="23">
        <f>IF($C169="","",IF(IFERROR(MATCH($D169,기본자료!$B$2:$B$501,0),IFERROR(MATCH($D169&amp;"",기본자료!$B$2:$B$501,0),IFERROR(MATCH(VALUE($D169),기본자료!$B$2:$B$501,0),0)))&gt;0,"확인","미등록"))</f>
        <v/>
      </c>
      <c r="F169" s="27">
        <f>IF($C169="","",INDEX(인턴근무계획!$S$3:$S$202,$A169))</f>
        <v/>
      </c>
      <c r="G169" s="23">
        <f>IF(OR($C169="",$G$3=""),"",IF(INDEX(인턴근무계획!$M$3:$R$202,$A169,$G$3)&amp;""="","",IF(LEFT(INDEX(인턴근무계획!$M$3:$R$202,$A169,$G$3)&amp;"",1)="⚠",INDEX(인턴근무계획!$M$3:$R$202,$A169,$G$3)&amp;"",LEFT(INDEX(인턴근무계획!$M$3:$R$202,$A169,$G$3)&amp;"",FIND(" ",INDEX(인턴근무계획!$M$3:$R$202,$A169,$G$3)&amp;"")-1))))</f>
        <v/>
      </c>
      <c r="H169" s="23">
        <f>IF(OR($C169="",$G$3=""),"",IF(INDEX(인턴근무계획!$M$3:$R$202,$A169,$G$3)&amp;""="","",IF(LEFT(INDEX(인턴근무계획!$M$3:$R$202,$A169,$G$3)&amp;"",1)="⚠","",MID(INDEX(인턴근무계획!$M$3:$R$202,$A169,$G$3)&amp;"",FIND(" ",INDEX(인턴근무계획!$M$3:$R$202,$A169,$G$3)&amp;"")+1,60))))</f>
        <v/>
      </c>
      <c r="I169" s="23">
        <f>IF(OR($C169="",$I$3=""),"",IF(INDEX(인턴근무계획!$M$3:$R$202,$A169,$I$3)&amp;""="","",IF(LEFT(INDEX(인턴근무계획!$M$3:$R$202,$A169,$I$3)&amp;"",1)="⚠",INDEX(인턴근무계획!$M$3:$R$202,$A169,$I$3)&amp;"",LEFT(INDEX(인턴근무계획!$M$3:$R$202,$A169,$I$3)&amp;"",FIND(" ",INDEX(인턴근무계획!$M$3:$R$202,$A169,$I$3)&amp;"")-1))))</f>
        <v/>
      </c>
      <c r="J169" s="23">
        <f>IF(OR($C169="",$I$3=""),"",IF(INDEX(인턴근무계획!$M$3:$R$202,$A169,$I$3)&amp;""="","",IF(LEFT(INDEX(인턴근무계획!$M$3:$R$202,$A169,$I$3)&amp;"",1)="⚠","",MID(INDEX(인턴근무계획!$M$3:$R$202,$A169,$I$3)&amp;"",FIND(" ",INDEX(인턴근무계획!$M$3:$R$202,$A169,$I$3)&amp;"")+1,60))))</f>
        <v/>
      </c>
      <c r="K169" s="23">
        <f>IF($C169="","",INDEX(인턴근무계획!$M$3:$M$202,$A169)&amp;"")</f>
        <v/>
      </c>
      <c r="L169" s="23">
        <f>IF($C169="","",INDEX(인턴근무계획!$N$3:$N$202,$A169)&amp;"")</f>
        <v/>
      </c>
      <c r="M169" s="23">
        <f>IF($C169="","",INDEX(인턴근무계획!$O$3:$O$202,$A169)&amp;"")</f>
        <v/>
      </c>
      <c r="N169" s="23">
        <f>IF($C169="","",INDEX(인턴근무계획!$P$3:$P$202,$A169)&amp;"")</f>
        <v/>
      </c>
      <c r="O169" s="23">
        <f>IF($C169="","",INDEX(인턴근무계획!$Q$3:$Q$202,$A169)&amp;"")</f>
        <v/>
      </c>
      <c r="P169" s="23">
        <f>IF($C169="","",INDEX(인턴근무계획!$R$3:$R$202,$A169)&amp;"")</f>
        <v/>
      </c>
      <c r="Q169" s="23">
        <f>IF($C169="","",INDEX(인턴근무계획!$T$3:$T$202,$A169))</f>
        <v/>
      </c>
    </row>
    <row r="170">
      <c r="A170" s="26" t="n">
        <v>165</v>
      </c>
      <c r="B170" s="23">
        <f>IF($C170="","",INDEX(인턴근무계획!$B$3:$B$202,$A170))</f>
        <v/>
      </c>
      <c r="C170" s="23">
        <f>IFERROR(TRIM(INDEX(인턴근무계획!$C$3:$C$202,$A170)&amp;""),"")</f>
        <v/>
      </c>
      <c r="D170" s="23">
        <f>IF($C170="","",INDEX(인턴근무계획!$D$3:$D$202,$A170))</f>
        <v/>
      </c>
      <c r="E170" s="23">
        <f>IF($C170="","",IF(IFERROR(MATCH($D170,기본자료!$B$2:$B$501,0),IFERROR(MATCH($D170&amp;"",기본자료!$B$2:$B$501,0),IFERROR(MATCH(VALUE($D170),기본자료!$B$2:$B$501,0),0)))&gt;0,"확인","미등록"))</f>
        <v/>
      </c>
      <c r="F170" s="27">
        <f>IF($C170="","",INDEX(인턴근무계획!$S$3:$S$202,$A170))</f>
        <v/>
      </c>
      <c r="G170" s="23">
        <f>IF(OR($C170="",$G$3=""),"",IF(INDEX(인턴근무계획!$M$3:$R$202,$A170,$G$3)&amp;""="","",IF(LEFT(INDEX(인턴근무계획!$M$3:$R$202,$A170,$G$3)&amp;"",1)="⚠",INDEX(인턴근무계획!$M$3:$R$202,$A170,$G$3)&amp;"",LEFT(INDEX(인턴근무계획!$M$3:$R$202,$A170,$G$3)&amp;"",FIND(" ",INDEX(인턴근무계획!$M$3:$R$202,$A170,$G$3)&amp;"")-1))))</f>
        <v/>
      </c>
      <c r="H170" s="23">
        <f>IF(OR($C170="",$G$3=""),"",IF(INDEX(인턴근무계획!$M$3:$R$202,$A170,$G$3)&amp;""="","",IF(LEFT(INDEX(인턴근무계획!$M$3:$R$202,$A170,$G$3)&amp;"",1)="⚠","",MID(INDEX(인턴근무계획!$M$3:$R$202,$A170,$G$3)&amp;"",FIND(" ",INDEX(인턴근무계획!$M$3:$R$202,$A170,$G$3)&amp;"")+1,60))))</f>
        <v/>
      </c>
      <c r="I170" s="23">
        <f>IF(OR($C170="",$I$3=""),"",IF(INDEX(인턴근무계획!$M$3:$R$202,$A170,$I$3)&amp;""="","",IF(LEFT(INDEX(인턴근무계획!$M$3:$R$202,$A170,$I$3)&amp;"",1)="⚠",INDEX(인턴근무계획!$M$3:$R$202,$A170,$I$3)&amp;"",LEFT(INDEX(인턴근무계획!$M$3:$R$202,$A170,$I$3)&amp;"",FIND(" ",INDEX(인턴근무계획!$M$3:$R$202,$A170,$I$3)&amp;"")-1))))</f>
        <v/>
      </c>
      <c r="J170" s="23">
        <f>IF(OR($C170="",$I$3=""),"",IF(INDEX(인턴근무계획!$M$3:$R$202,$A170,$I$3)&amp;""="","",IF(LEFT(INDEX(인턴근무계획!$M$3:$R$202,$A170,$I$3)&amp;"",1)="⚠","",MID(INDEX(인턴근무계획!$M$3:$R$202,$A170,$I$3)&amp;"",FIND(" ",INDEX(인턴근무계획!$M$3:$R$202,$A170,$I$3)&amp;"")+1,60))))</f>
        <v/>
      </c>
      <c r="K170" s="23">
        <f>IF($C170="","",INDEX(인턴근무계획!$M$3:$M$202,$A170)&amp;"")</f>
        <v/>
      </c>
      <c r="L170" s="23">
        <f>IF($C170="","",INDEX(인턴근무계획!$N$3:$N$202,$A170)&amp;"")</f>
        <v/>
      </c>
      <c r="M170" s="23">
        <f>IF($C170="","",INDEX(인턴근무계획!$O$3:$O$202,$A170)&amp;"")</f>
        <v/>
      </c>
      <c r="N170" s="23">
        <f>IF($C170="","",INDEX(인턴근무계획!$P$3:$P$202,$A170)&amp;"")</f>
        <v/>
      </c>
      <c r="O170" s="23">
        <f>IF($C170="","",INDEX(인턴근무계획!$Q$3:$Q$202,$A170)&amp;"")</f>
        <v/>
      </c>
      <c r="P170" s="23">
        <f>IF($C170="","",INDEX(인턴근무계획!$R$3:$R$202,$A170)&amp;"")</f>
        <v/>
      </c>
      <c r="Q170" s="23">
        <f>IF($C170="","",INDEX(인턴근무계획!$T$3:$T$202,$A170))</f>
        <v/>
      </c>
    </row>
    <row r="171">
      <c r="A171" s="26" t="n">
        <v>166</v>
      </c>
      <c r="B171" s="23">
        <f>IF($C171="","",INDEX(인턴근무계획!$B$3:$B$202,$A171))</f>
        <v/>
      </c>
      <c r="C171" s="23">
        <f>IFERROR(TRIM(INDEX(인턴근무계획!$C$3:$C$202,$A171)&amp;""),"")</f>
        <v/>
      </c>
      <c r="D171" s="23">
        <f>IF($C171="","",INDEX(인턴근무계획!$D$3:$D$202,$A171))</f>
        <v/>
      </c>
      <c r="E171" s="23">
        <f>IF($C171="","",IF(IFERROR(MATCH($D171,기본자료!$B$2:$B$501,0),IFERROR(MATCH($D171&amp;"",기본자료!$B$2:$B$501,0),IFERROR(MATCH(VALUE($D171),기본자료!$B$2:$B$501,0),0)))&gt;0,"확인","미등록"))</f>
        <v/>
      </c>
      <c r="F171" s="27">
        <f>IF($C171="","",INDEX(인턴근무계획!$S$3:$S$202,$A171))</f>
        <v/>
      </c>
      <c r="G171" s="23">
        <f>IF(OR($C171="",$G$3=""),"",IF(INDEX(인턴근무계획!$M$3:$R$202,$A171,$G$3)&amp;""="","",IF(LEFT(INDEX(인턴근무계획!$M$3:$R$202,$A171,$G$3)&amp;"",1)="⚠",INDEX(인턴근무계획!$M$3:$R$202,$A171,$G$3)&amp;"",LEFT(INDEX(인턴근무계획!$M$3:$R$202,$A171,$G$3)&amp;"",FIND(" ",INDEX(인턴근무계획!$M$3:$R$202,$A171,$G$3)&amp;"")-1))))</f>
        <v/>
      </c>
      <c r="H171" s="23">
        <f>IF(OR($C171="",$G$3=""),"",IF(INDEX(인턴근무계획!$M$3:$R$202,$A171,$G$3)&amp;""="","",IF(LEFT(INDEX(인턴근무계획!$M$3:$R$202,$A171,$G$3)&amp;"",1)="⚠","",MID(INDEX(인턴근무계획!$M$3:$R$202,$A171,$G$3)&amp;"",FIND(" ",INDEX(인턴근무계획!$M$3:$R$202,$A171,$G$3)&amp;"")+1,60))))</f>
        <v/>
      </c>
      <c r="I171" s="23">
        <f>IF(OR($C171="",$I$3=""),"",IF(INDEX(인턴근무계획!$M$3:$R$202,$A171,$I$3)&amp;""="","",IF(LEFT(INDEX(인턴근무계획!$M$3:$R$202,$A171,$I$3)&amp;"",1)="⚠",INDEX(인턴근무계획!$M$3:$R$202,$A171,$I$3)&amp;"",LEFT(INDEX(인턴근무계획!$M$3:$R$202,$A171,$I$3)&amp;"",FIND(" ",INDEX(인턴근무계획!$M$3:$R$202,$A171,$I$3)&amp;"")-1))))</f>
        <v/>
      </c>
      <c r="J171" s="23">
        <f>IF(OR($C171="",$I$3=""),"",IF(INDEX(인턴근무계획!$M$3:$R$202,$A171,$I$3)&amp;""="","",IF(LEFT(INDEX(인턴근무계획!$M$3:$R$202,$A171,$I$3)&amp;"",1)="⚠","",MID(INDEX(인턴근무계획!$M$3:$R$202,$A171,$I$3)&amp;"",FIND(" ",INDEX(인턴근무계획!$M$3:$R$202,$A171,$I$3)&amp;"")+1,60))))</f>
        <v/>
      </c>
      <c r="K171" s="23">
        <f>IF($C171="","",INDEX(인턴근무계획!$M$3:$M$202,$A171)&amp;"")</f>
        <v/>
      </c>
      <c r="L171" s="23">
        <f>IF($C171="","",INDEX(인턴근무계획!$N$3:$N$202,$A171)&amp;"")</f>
        <v/>
      </c>
      <c r="M171" s="23">
        <f>IF($C171="","",INDEX(인턴근무계획!$O$3:$O$202,$A171)&amp;"")</f>
        <v/>
      </c>
      <c r="N171" s="23">
        <f>IF($C171="","",INDEX(인턴근무계획!$P$3:$P$202,$A171)&amp;"")</f>
        <v/>
      </c>
      <c r="O171" s="23">
        <f>IF($C171="","",INDEX(인턴근무계획!$Q$3:$Q$202,$A171)&amp;"")</f>
        <v/>
      </c>
      <c r="P171" s="23">
        <f>IF($C171="","",INDEX(인턴근무계획!$R$3:$R$202,$A171)&amp;"")</f>
        <v/>
      </c>
      <c r="Q171" s="23">
        <f>IF($C171="","",INDEX(인턴근무계획!$T$3:$T$202,$A171))</f>
        <v/>
      </c>
    </row>
    <row r="172">
      <c r="A172" s="26" t="n">
        <v>167</v>
      </c>
      <c r="B172" s="23">
        <f>IF($C172="","",INDEX(인턴근무계획!$B$3:$B$202,$A172))</f>
        <v/>
      </c>
      <c r="C172" s="23">
        <f>IFERROR(TRIM(INDEX(인턴근무계획!$C$3:$C$202,$A172)&amp;""),"")</f>
        <v/>
      </c>
      <c r="D172" s="23">
        <f>IF($C172="","",INDEX(인턴근무계획!$D$3:$D$202,$A172))</f>
        <v/>
      </c>
      <c r="E172" s="23">
        <f>IF($C172="","",IF(IFERROR(MATCH($D172,기본자료!$B$2:$B$501,0),IFERROR(MATCH($D172&amp;"",기본자료!$B$2:$B$501,0),IFERROR(MATCH(VALUE($D172),기본자료!$B$2:$B$501,0),0)))&gt;0,"확인","미등록"))</f>
        <v/>
      </c>
      <c r="F172" s="27">
        <f>IF($C172="","",INDEX(인턴근무계획!$S$3:$S$202,$A172))</f>
        <v/>
      </c>
      <c r="G172" s="23">
        <f>IF(OR($C172="",$G$3=""),"",IF(INDEX(인턴근무계획!$M$3:$R$202,$A172,$G$3)&amp;""="","",IF(LEFT(INDEX(인턴근무계획!$M$3:$R$202,$A172,$G$3)&amp;"",1)="⚠",INDEX(인턴근무계획!$M$3:$R$202,$A172,$G$3)&amp;"",LEFT(INDEX(인턴근무계획!$M$3:$R$202,$A172,$G$3)&amp;"",FIND(" ",INDEX(인턴근무계획!$M$3:$R$202,$A172,$G$3)&amp;"")-1))))</f>
        <v/>
      </c>
      <c r="H172" s="23">
        <f>IF(OR($C172="",$G$3=""),"",IF(INDEX(인턴근무계획!$M$3:$R$202,$A172,$G$3)&amp;""="","",IF(LEFT(INDEX(인턴근무계획!$M$3:$R$202,$A172,$G$3)&amp;"",1)="⚠","",MID(INDEX(인턴근무계획!$M$3:$R$202,$A172,$G$3)&amp;"",FIND(" ",INDEX(인턴근무계획!$M$3:$R$202,$A172,$G$3)&amp;"")+1,60))))</f>
        <v/>
      </c>
      <c r="I172" s="23">
        <f>IF(OR($C172="",$I$3=""),"",IF(INDEX(인턴근무계획!$M$3:$R$202,$A172,$I$3)&amp;""="","",IF(LEFT(INDEX(인턴근무계획!$M$3:$R$202,$A172,$I$3)&amp;"",1)="⚠",INDEX(인턴근무계획!$M$3:$R$202,$A172,$I$3)&amp;"",LEFT(INDEX(인턴근무계획!$M$3:$R$202,$A172,$I$3)&amp;"",FIND(" ",INDEX(인턴근무계획!$M$3:$R$202,$A172,$I$3)&amp;"")-1))))</f>
        <v/>
      </c>
      <c r="J172" s="23">
        <f>IF(OR($C172="",$I$3=""),"",IF(INDEX(인턴근무계획!$M$3:$R$202,$A172,$I$3)&amp;""="","",IF(LEFT(INDEX(인턴근무계획!$M$3:$R$202,$A172,$I$3)&amp;"",1)="⚠","",MID(INDEX(인턴근무계획!$M$3:$R$202,$A172,$I$3)&amp;"",FIND(" ",INDEX(인턴근무계획!$M$3:$R$202,$A172,$I$3)&amp;"")+1,60))))</f>
        <v/>
      </c>
      <c r="K172" s="23">
        <f>IF($C172="","",INDEX(인턴근무계획!$M$3:$M$202,$A172)&amp;"")</f>
        <v/>
      </c>
      <c r="L172" s="23">
        <f>IF($C172="","",INDEX(인턴근무계획!$N$3:$N$202,$A172)&amp;"")</f>
        <v/>
      </c>
      <c r="M172" s="23">
        <f>IF($C172="","",INDEX(인턴근무계획!$O$3:$O$202,$A172)&amp;"")</f>
        <v/>
      </c>
      <c r="N172" s="23">
        <f>IF($C172="","",INDEX(인턴근무계획!$P$3:$P$202,$A172)&amp;"")</f>
        <v/>
      </c>
      <c r="O172" s="23">
        <f>IF($C172="","",INDEX(인턴근무계획!$Q$3:$Q$202,$A172)&amp;"")</f>
        <v/>
      </c>
      <c r="P172" s="23">
        <f>IF($C172="","",INDEX(인턴근무계획!$R$3:$R$202,$A172)&amp;"")</f>
        <v/>
      </c>
      <c r="Q172" s="23">
        <f>IF($C172="","",INDEX(인턴근무계획!$T$3:$T$202,$A172))</f>
        <v/>
      </c>
    </row>
    <row r="173">
      <c r="A173" s="26" t="n">
        <v>168</v>
      </c>
      <c r="B173" s="23">
        <f>IF($C173="","",INDEX(인턴근무계획!$B$3:$B$202,$A173))</f>
        <v/>
      </c>
      <c r="C173" s="23">
        <f>IFERROR(TRIM(INDEX(인턴근무계획!$C$3:$C$202,$A173)&amp;""),"")</f>
        <v/>
      </c>
      <c r="D173" s="23">
        <f>IF($C173="","",INDEX(인턴근무계획!$D$3:$D$202,$A173))</f>
        <v/>
      </c>
      <c r="E173" s="23">
        <f>IF($C173="","",IF(IFERROR(MATCH($D173,기본자료!$B$2:$B$501,0),IFERROR(MATCH($D173&amp;"",기본자료!$B$2:$B$501,0),IFERROR(MATCH(VALUE($D173),기본자료!$B$2:$B$501,0),0)))&gt;0,"확인","미등록"))</f>
        <v/>
      </c>
      <c r="F173" s="27">
        <f>IF($C173="","",INDEX(인턴근무계획!$S$3:$S$202,$A173))</f>
        <v/>
      </c>
      <c r="G173" s="23">
        <f>IF(OR($C173="",$G$3=""),"",IF(INDEX(인턴근무계획!$M$3:$R$202,$A173,$G$3)&amp;""="","",IF(LEFT(INDEX(인턴근무계획!$M$3:$R$202,$A173,$G$3)&amp;"",1)="⚠",INDEX(인턴근무계획!$M$3:$R$202,$A173,$G$3)&amp;"",LEFT(INDEX(인턴근무계획!$M$3:$R$202,$A173,$G$3)&amp;"",FIND(" ",INDEX(인턴근무계획!$M$3:$R$202,$A173,$G$3)&amp;"")-1))))</f>
        <v/>
      </c>
      <c r="H173" s="23">
        <f>IF(OR($C173="",$G$3=""),"",IF(INDEX(인턴근무계획!$M$3:$R$202,$A173,$G$3)&amp;""="","",IF(LEFT(INDEX(인턴근무계획!$M$3:$R$202,$A173,$G$3)&amp;"",1)="⚠","",MID(INDEX(인턴근무계획!$M$3:$R$202,$A173,$G$3)&amp;"",FIND(" ",INDEX(인턴근무계획!$M$3:$R$202,$A173,$G$3)&amp;"")+1,60))))</f>
        <v/>
      </c>
      <c r="I173" s="23">
        <f>IF(OR($C173="",$I$3=""),"",IF(INDEX(인턴근무계획!$M$3:$R$202,$A173,$I$3)&amp;""="","",IF(LEFT(INDEX(인턴근무계획!$M$3:$R$202,$A173,$I$3)&amp;"",1)="⚠",INDEX(인턴근무계획!$M$3:$R$202,$A173,$I$3)&amp;"",LEFT(INDEX(인턴근무계획!$M$3:$R$202,$A173,$I$3)&amp;"",FIND(" ",INDEX(인턴근무계획!$M$3:$R$202,$A173,$I$3)&amp;"")-1))))</f>
        <v/>
      </c>
      <c r="J173" s="23">
        <f>IF(OR($C173="",$I$3=""),"",IF(INDEX(인턴근무계획!$M$3:$R$202,$A173,$I$3)&amp;""="","",IF(LEFT(INDEX(인턴근무계획!$M$3:$R$202,$A173,$I$3)&amp;"",1)="⚠","",MID(INDEX(인턴근무계획!$M$3:$R$202,$A173,$I$3)&amp;"",FIND(" ",INDEX(인턴근무계획!$M$3:$R$202,$A173,$I$3)&amp;"")+1,60))))</f>
        <v/>
      </c>
      <c r="K173" s="23">
        <f>IF($C173="","",INDEX(인턴근무계획!$M$3:$M$202,$A173)&amp;"")</f>
        <v/>
      </c>
      <c r="L173" s="23">
        <f>IF($C173="","",INDEX(인턴근무계획!$N$3:$N$202,$A173)&amp;"")</f>
        <v/>
      </c>
      <c r="M173" s="23">
        <f>IF($C173="","",INDEX(인턴근무계획!$O$3:$O$202,$A173)&amp;"")</f>
        <v/>
      </c>
      <c r="N173" s="23">
        <f>IF($C173="","",INDEX(인턴근무계획!$P$3:$P$202,$A173)&amp;"")</f>
        <v/>
      </c>
      <c r="O173" s="23">
        <f>IF($C173="","",INDEX(인턴근무계획!$Q$3:$Q$202,$A173)&amp;"")</f>
        <v/>
      </c>
      <c r="P173" s="23">
        <f>IF($C173="","",INDEX(인턴근무계획!$R$3:$R$202,$A173)&amp;"")</f>
        <v/>
      </c>
      <c r="Q173" s="23">
        <f>IF($C173="","",INDEX(인턴근무계획!$T$3:$T$202,$A173))</f>
        <v/>
      </c>
    </row>
    <row r="174">
      <c r="A174" s="26" t="n">
        <v>169</v>
      </c>
      <c r="B174" s="23">
        <f>IF($C174="","",INDEX(인턴근무계획!$B$3:$B$202,$A174))</f>
        <v/>
      </c>
      <c r="C174" s="23">
        <f>IFERROR(TRIM(INDEX(인턴근무계획!$C$3:$C$202,$A174)&amp;""),"")</f>
        <v/>
      </c>
      <c r="D174" s="23">
        <f>IF($C174="","",INDEX(인턴근무계획!$D$3:$D$202,$A174))</f>
        <v/>
      </c>
      <c r="E174" s="23">
        <f>IF($C174="","",IF(IFERROR(MATCH($D174,기본자료!$B$2:$B$501,0),IFERROR(MATCH($D174&amp;"",기본자료!$B$2:$B$501,0),IFERROR(MATCH(VALUE($D174),기본자료!$B$2:$B$501,0),0)))&gt;0,"확인","미등록"))</f>
        <v/>
      </c>
      <c r="F174" s="27">
        <f>IF($C174="","",INDEX(인턴근무계획!$S$3:$S$202,$A174))</f>
        <v/>
      </c>
      <c r="G174" s="23">
        <f>IF(OR($C174="",$G$3=""),"",IF(INDEX(인턴근무계획!$M$3:$R$202,$A174,$G$3)&amp;""="","",IF(LEFT(INDEX(인턴근무계획!$M$3:$R$202,$A174,$G$3)&amp;"",1)="⚠",INDEX(인턴근무계획!$M$3:$R$202,$A174,$G$3)&amp;"",LEFT(INDEX(인턴근무계획!$M$3:$R$202,$A174,$G$3)&amp;"",FIND(" ",INDEX(인턴근무계획!$M$3:$R$202,$A174,$G$3)&amp;"")-1))))</f>
        <v/>
      </c>
      <c r="H174" s="23">
        <f>IF(OR($C174="",$G$3=""),"",IF(INDEX(인턴근무계획!$M$3:$R$202,$A174,$G$3)&amp;""="","",IF(LEFT(INDEX(인턴근무계획!$M$3:$R$202,$A174,$G$3)&amp;"",1)="⚠","",MID(INDEX(인턴근무계획!$M$3:$R$202,$A174,$G$3)&amp;"",FIND(" ",INDEX(인턴근무계획!$M$3:$R$202,$A174,$G$3)&amp;"")+1,60))))</f>
        <v/>
      </c>
      <c r="I174" s="23">
        <f>IF(OR($C174="",$I$3=""),"",IF(INDEX(인턴근무계획!$M$3:$R$202,$A174,$I$3)&amp;""="","",IF(LEFT(INDEX(인턴근무계획!$M$3:$R$202,$A174,$I$3)&amp;"",1)="⚠",INDEX(인턴근무계획!$M$3:$R$202,$A174,$I$3)&amp;"",LEFT(INDEX(인턴근무계획!$M$3:$R$202,$A174,$I$3)&amp;"",FIND(" ",INDEX(인턴근무계획!$M$3:$R$202,$A174,$I$3)&amp;"")-1))))</f>
        <v/>
      </c>
      <c r="J174" s="23">
        <f>IF(OR($C174="",$I$3=""),"",IF(INDEX(인턴근무계획!$M$3:$R$202,$A174,$I$3)&amp;""="","",IF(LEFT(INDEX(인턴근무계획!$M$3:$R$202,$A174,$I$3)&amp;"",1)="⚠","",MID(INDEX(인턴근무계획!$M$3:$R$202,$A174,$I$3)&amp;"",FIND(" ",INDEX(인턴근무계획!$M$3:$R$202,$A174,$I$3)&amp;"")+1,60))))</f>
        <v/>
      </c>
      <c r="K174" s="23">
        <f>IF($C174="","",INDEX(인턴근무계획!$M$3:$M$202,$A174)&amp;"")</f>
        <v/>
      </c>
      <c r="L174" s="23">
        <f>IF($C174="","",INDEX(인턴근무계획!$N$3:$N$202,$A174)&amp;"")</f>
        <v/>
      </c>
      <c r="M174" s="23">
        <f>IF($C174="","",INDEX(인턴근무계획!$O$3:$O$202,$A174)&amp;"")</f>
        <v/>
      </c>
      <c r="N174" s="23">
        <f>IF($C174="","",INDEX(인턴근무계획!$P$3:$P$202,$A174)&amp;"")</f>
        <v/>
      </c>
      <c r="O174" s="23">
        <f>IF($C174="","",INDEX(인턴근무계획!$Q$3:$Q$202,$A174)&amp;"")</f>
        <v/>
      </c>
      <c r="P174" s="23">
        <f>IF($C174="","",INDEX(인턴근무계획!$R$3:$R$202,$A174)&amp;"")</f>
        <v/>
      </c>
      <c r="Q174" s="23">
        <f>IF($C174="","",INDEX(인턴근무계획!$T$3:$T$202,$A174))</f>
        <v/>
      </c>
    </row>
    <row r="175">
      <c r="A175" s="26" t="n">
        <v>170</v>
      </c>
      <c r="B175" s="23">
        <f>IF($C175="","",INDEX(인턴근무계획!$B$3:$B$202,$A175))</f>
        <v/>
      </c>
      <c r="C175" s="23">
        <f>IFERROR(TRIM(INDEX(인턴근무계획!$C$3:$C$202,$A175)&amp;""),"")</f>
        <v/>
      </c>
      <c r="D175" s="23">
        <f>IF($C175="","",INDEX(인턴근무계획!$D$3:$D$202,$A175))</f>
        <v/>
      </c>
      <c r="E175" s="23">
        <f>IF($C175="","",IF(IFERROR(MATCH($D175,기본자료!$B$2:$B$501,0),IFERROR(MATCH($D175&amp;"",기본자료!$B$2:$B$501,0),IFERROR(MATCH(VALUE($D175),기본자료!$B$2:$B$501,0),0)))&gt;0,"확인","미등록"))</f>
        <v/>
      </c>
      <c r="F175" s="27">
        <f>IF($C175="","",INDEX(인턴근무계획!$S$3:$S$202,$A175))</f>
        <v/>
      </c>
      <c r="G175" s="23">
        <f>IF(OR($C175="",$G$3=""),"",IF(INDEX(인턴근무계획!$M$3:$R$202,$A175,$G$3)&amp;""="","",IF(LEFT(INDEX(인턴근무계획!$M$3:$R$202,$A175,$G$3)&amp;"",1)="⚠",INDEX(인턴근무계획!$M$3:$R$202,$A175,$G$3)&amp;"",LEFT(INDEX(인턴근무계획!$M$3:$R$202,$A175,$G$3)&amp;"",FIND(" ",INDEX(인턴근무계획!$M$3:$R$202,$A175,$G$3)&amp;"")-1))))</f>
        <v/>
      </c>
      <c r="H175" s="23">
        <f>IF(OR($C175="",$G$3=""),"",IF(INDEX(인턴근무계획!$M$3:$R$202,$A175,$G$3)&amp;""="","",IF(LEFT(INDEX(인턴근무계획!$M$3:$R$202,$A175,$G$3)&amp;"",1)="⚠","",MID(INDEX(인턴근무계획!$M$3:$R$202,$A175,$G$3)&amp;"",FIND(" ",INDEX(인턴근무계획!$M$3:$R$202,$A175,$G$3)&amp;"")+1,60))))</f>
        <v/>
      </c>
      <c r="I175" s="23">
        <f>IF(OR($C175="",$I$3=""),"",IF(INDEX(인턴근무계획!$M$3:$R$202,$A175,$I$3)&amp;""="","",IF(LEFT(INDEX(인턴근무계획!$M$3:$R$202,$A175,$I$3)&amp;"",1)="⚠",INDEX(인턴근무계획!$M$3:$R$202,$A175,$I$3)&amp;"",LEFT(INDEX(인턴근무계획!$M$3:$R$202,$A175,$I$3)&amp;"",FIND(" ",INDEX(인턴근무계획!$M$3:$R$202,$A175,$I$3)&amp;"")-1))))</f>
        <v/>
      </c>
      <c r="J175" s="23">
        <f>IF(OR($C175="",$I$3=""),"",IF(INDEX(인턴근무계획!$M$3:$R$202,$A175,$I$3)&amp;""="","",IF(LEFT(INDEX(인턴근무계획!$M$3:$R$202,$A175,$I$3)&amp;"",1)="⚠","",MID(INDEX(인턴근무계획!$M$3:$R$202,$A175,$I$3)&amp;"",FIND(" ",INDEX(인턴근무계획!$M$3:$R$202,$A175,$I$3)&amp;"")+1,60))))</f>
        <v/>
      </c>
      <c r="K175" s="23">
        <f>IF($C175="","",INDEX(인턴근무계획!$M$3:$M$202,$A175)&amp;"")</f>
        <v/>
      </c>
      <c r="L175" s="23">
        <f>IF($C175="","",INDEX(인턴근무계획!$N$3:$N$202,$A175)&amp;"")</f>
        <v/>
      </c>
      <c r="M175" s="23">
        <f>IF($C175="","",INDEX(인턴근무계획!$O$3:$O$202,$A175)&amp;"")</f>
        <v/>
      </c>
      <c r="N175" s="23">
        <f>IF($C175="","",INDEX(인턴근무계획!$P$3:$P$202,$A175)&amp;"")</f>
        <v/>
      </c>
      <c r="O175" s="23">
        <f>IF($C175="","",INDEX(인턴근무계획!$Q$3:$Q$202,$A175)&amp;"")</f>
        <v/>
      </c>
      <c r="P175" s="23">
        <f>IF($C175="","",INDEX(인턴근무계획!$R$3:$R$202,$A175)&amp;"")</f>
        <v/>
      </c>
      <c r="Q175" s="23">
        <f>IF($C175="","",INDEX(인턴근무계획!$T$3:$T$202,$A175))</f>
        <v/>
      </c>
    </row>
    <row r="176">
      <c r="A176" s="26" t="n">
        <v>171</v>
      </c>
      <c r="B176" s="23">
        <f>IF($C176="","",INDEX(인턴근무계획!$B$3:$B$202,$A176))</f>
        <v/>
      </c>
      <c r="C176" s="23">
        <f>IFERROR(TRIM(INDEX(인턴근무계획!$C$3:$C$202,$A176)&amp;""),"")</f>
        <v/>
      </c>
      <c r="D176" s="23">
        <f>IF($C176="","",INDEX(인턴근무계획!$D$3:$D$202,$A176))</f>
        <v/>
      </c>
      <c r="E176" s="23">
        <f>IF($C176="","",IF(IFERROR(MATCH($D176,기본자료!$B$2:$B$501,0),IFERROR(MATCH($D176&amp;"",기본자료!$B$2:$B$501,0),IFERROR(MATCH(VALUE($D176),기본자료!$B$2:$B$501,0),0)))&gt;0,"확인","미등록"))</f>
        <v/>
      </c>
      <c r="F176" s="27">
        <f>IF($C176="","",INDEX(인턴근무계획!$S$3:$S$202,$A176))</f>
        <v/>
      </c>
      <c r="G176" s="23">
        <f>IF(OR($C176="",$G$3=""),"",IF(INDEX(인턴근무계획!$M$3:$R$202,$A176,$G$3)&amp;""="","",IF(LEFT(INDEX(인턴근무계획!$M$3:$R$202,$A176,$G$3)&amp;"",1)="⚠",INDEX(인턴근무계획!$M$3:$R$202,$A176,$G$3)&amp;"",LEFT(INDEX(인턴근무계획!$M$3:$R$202,$A176,$G$3)&amp;"",FIND(" ",INDEX(인턴근무계획!$M$3:$R$202,$A176,$G$3)&amp;"")-1))))</f>
        <v/>
      </c>
      <c r="H176" s="23">
        <f>IF(OR($C176="",$G$3=""),"",IF(INDEX(인턴근무계획!$M$3:$R$202,$A176,$G$3)&amp;""="","",IF(LEFT(INDEX(인턴근무계획!$M$3:$R$202,$A176,$G$3)&amp;"",1)="⚠","",MID(INDEX(인턴근무계획!$M$3:$R$202,$A176,$G$3)&amp;"",FIND(" ",INDEX(인턴근무계획!$M$3:$R$202,$A176,$G$3)&amp;"")+1,60))))</f>
        <v/>
      </c>
      <c r="I176" s="23">
        <f>IF(OR($C176="",$I$3=""),"",IF(INDEX(인턴근무계획!$M$3:$R$202,$A176,$I$3)&amp;""="","",IF(LEFT(INDEX(인턴근무계획!$M$3:$R$202,$A176,$I$3)&amp;"",1)="⚠",INDEX(인턴근무계획!$M$3:$R$202,$A176,$I$3)&amp;"",LEFT(INDEX(인턴근무계획!$M$3:$R$202,$A176,$I$3)&amp;"",FIND(" ",INDEX(인턴근무계획!$M$3:$R$202,$A176,$I$3)&amp;"")-1))))</f>
        <v/>
      </c>
      <c r="J176" s="23">
        <f>IF(OR($C176="",$I$3=""),"",IF(INDEX(인턴근무계획!$M$3:$R$202,$A176,$I$3)&amp;""="","",IF(LEFT(INDEX(인턴근무계획!$M$3:$R$202,$A176,$I$3)&amp;"",1)="⚠","",MID(INDEX(인턴근무계획!$M$3:$R$202,$A176,$I$3)&amp;"",FIND(" ",INDEX(인턴근무계획!$M$3:$R$202,$A176,$I$3)&amp;"")+1,60))))</f>
        <v/>
      </c>
      <c r="K176" s="23">
        <f>IF($C176="","",INDEX(인턴근무계획!$M$3:$M$202,$A176)&amp;"")</f>
        <v/>
      </c>
      <c r="L176" s="23">
        <f>IF($C176="","",INDEX(인턴근무계획!$N$3:$N$202,$A176)&amp;"")</f>
        <v/>
      </c>
      <c r="M176" s="23">
        <f>IF($C176="","",INDEX(인턴근무계획!$O$3:$O$202,$A176)&amp;"")</f>
        <v/>
      </c>
      <c r="N176" s="23">
        <f>IF($C176="","",INDEX(인턴근무계획!$P$3:$P$202,$A176)&amp;"")</f>
        <v/>
      </c>
      <c r="O176" s="23">
        <f>IF($C176="","",INDEX(인턴근무계획!$Q$3:$Q$202,$A176)&amp;"")</f>
        <v/>
      </c>
      <c r="P176" s="23">
        <f>IF($C176="","",INDEX(인턴근무계획!$R$3:$R$202,$A176)&amp;"")</f>
        <v/>
      </c>
      <c r="Q176" s="23">
        <f>IF($C176="","",INDEX(인턴근무계획!$T$3:$T$202,$A176))</f>
        <v/>
      </c>
    </row>
    <row r="177">
      <c r="A177" s="26" t="n">
        <v>172</v>
      </c>
      <c r="B177" s="23">
        <f>IF($C177="","",INDEX(인턴근무계획!$B$3:$B$202,$A177))</f>
        <v/>
      </c>
      <c r="C177" s="23">
        <f>IFERROR(TRIM(INDEX(인턴근무계획!$C$3:$C$202,$A177)&amp;""),"")</f>
        <v/>
      </c>
      <c r="D177" s="23">
        <f>IF($C177="","",INDEX(인턴근무계획!$D$3:$D$202,$A177))</f>
        <v/>
      </c>
      <c r="E177" s="23">
        <f>IF($C177="","",IF(IFERROR(MATCH($D177,기본자료!$B$2:$B$501,0),IFERROR(MATCH($D177&amp;"",기본자료!$B$2:$B$501,0),IFERROR(MATCH(VALUE($D177),기본자료!$B$2:$B$501,0),0)))&gt;0,"확인","미등록"))</f>
        <v/>
      </c>
      <c r="F177" s="27">
        <f>IF($C177="","",INDEX(인턴근무계획!$S$3:$S$202,$A177))</f>
        <v/>
      </c>
      <c r="G177" s="23">
        <f>IF(OR($C177="",$G$3=""),"",IF(INDEX(인턴근무계획!$M$3:$R$202,$A177,$G$3)&amp;""="","",IF(LEFT(INDEX(인턴근무계획!$M$3:$R$202,$A177,$G$3)&amp;"",1)="⚠",INDEX(인턴근무계획!$M$3:$R$202,$A177,$G$3)&amp;"",LEFT(INDEX(인턴근무계획!$M$3:$R$202,$A177,$G$3)&amp;"",FIND(" ",INDEX(인턴근무계획!$M$3:$R$202,$A177,$G$3)&amp;"")-1))))</f>
        <v/>
      </c>
      <c r="H177" s="23">
        <f>IF(OR($C177="",$G$3=""),"",IF(INDEX(인턴근무계획!$M$3:$R$202,$A177,$G$3)&amp;""="","",IF(LEFT(INDEX(인턴근무계획!$M$3:$R$202,$A177,$G$3)&amp;"",1)="⚠","",MID(INDEX(인턴근무계획!$M$3:$R$202,$A177,$G$3)&amp;"",FIND(" ",INDEX(인턴근무계획!$M$3:$R$202,$A177,$G$3)&amp;"")+1,60))))</f>
        <v/>
      </c>
      <c r="I177" s="23">
        <f>IF(OR($C177="",$I$3=""),"",IF(INDEX(인턴근무계획!$M$3:$R$202,$A177,$I$3)&amp;""="","",IF(LEFT(INDEX(인턴근무계획!$M$3:$R$202,$A177,$I$3)&amp;"",1)="⚠",INDEX(인턴근무계획!$M$3:$R$202,$A177,$I$3)&amp;"",LEFT(INDEX(인턴근무계획!$M$3:$R$202,$A177,$I$3)&amp;"",FIND(" ",INDEX(인턴근무계획!$M$3:$R$202,$A177,$I$3)&amp;"")-1))))</f>
        <v/>
      </c>
      <c r="J177" s="23">
        <f>IF(OR($C177="",$I$3=""),"",IF(INDEX(인턴근무계획!$M$3:$R$202,$A177,$I$3)&amp;""="","",IF(LEFT(INDEX(인턴근무계획!$M$3:$R$202,$A177,$I$3)&amp;"",1)="⚠","",MID(INDEX(인턴근무계획!$M$3:$R$202,$A177,$I$3)&amp;"",FIND(" ",INDEX(인턴근무계획!$M$3:$R$202,$A177,$I$3)&amp;"")+1,60))))</f>
        <v/>
      </c>
      <c r="K177" s="23">
        <f>IF($C177="","",INDEX(인턴근무계획!$M$3:$M$202,$A177)&amp;"")</f>
        <v/>
      </c>
      <c r="L177" s="23">
        <f>IF($C177="","",INDEX(인턴근무계획!$N$3:$N$202,$A177)&amp;"")</f>
        <v/>
      </c>
      <c r="M177" s="23">
        <f>IF($C177="","",INDEX(인턴근무계획!$O$3:$O$202,$A177)&amp;"")</f>
        <v/>
      </c>
      <c r="N177" s="23">
        <f>IF($C177="","",INDEX(인턴근무계획!$P$3:$P$202,$A177)&amp;"")</f>
        <v/>
      </c>
      <c r="O177" s="23">
        <f>IF($C177="","",INDEX(인턴근무계획!$Q$3:$Q$202,$A177)&amp;"")</f>
        <v/>
      </c>
      <c r="P177" s="23">
        <f>IF($C177="","",INDEX(인턴근무계획!$R$3:$R$202,$A177)&amp;"")</f>
        <v/>
      </c>
      <c r="Q177" s="23">
        <f>IF($C177="","",INDEX(인턴근무계획!$T$3:$T$202,$A177))</f>
        <v/>
      </c>
    </row>
    <row r="178">
      <c r="A178" s="26" t="n">
        <v>173</v>
      </c>
      <c r="B178" s="23">
        <f>IF($C178="","",INDEX(인턴근무계획!$B$3:$B$202,$A178))</f>
        <v/>
      </c>
      <c r="C178" s="23">
        <f>IFERROR(TRIM(INDEX(인턴근무계획!$C$3:$C$202,$A178)&amp;""),"")</f>
        <v/>
      </c>
      <c r="D178" s="23">
        <f>IF($C178="","",INDEX(인턴근무계획!$D$3:$D$202,$A178))</f>
        <v/>
      </c>
      <c r="E178" s="23">
        <f>IF($C178="","",IF(IFERROR(MATCH($D178,기본자료!$B$2:$B$501,0),IFERROR(MATCH($D178&amp;"",기본자료!$B$2:$B$501,0),IFERROR(MATCH(VALUE($D178),기본자료!$B$2:$B$501,0),0)))&gt;0,"확인","미등록"))</f>
        <v/>
      </c>
      <c r="F178" s="27">
        <f>IF($C178="","",INDEX(인턴근무계획!$S$3:$S$202,$A178))</f>
        <v/>
      </c>
      <c r="G178" s="23">
        <f>IF(OR($C178="",$G$3=""),"",IF(INDEX(인턴근무계획!$M$3:$R$202,$A178,$G$3)&amp;""="","",IF(LEFT(INDEX(인턴근무계획!$M$3:$R$202,$A178,$G$3)&amp;"",1)="⚠",INDEX(인턴근무계획!$M$3:$R$202,$A178,$G$3)&amp;"",LEFT(INDEX(인턴근무계획!$M$3:$R$202,$A178,$G$3)&amp;"",FIND(" ",INDEX(인턴근무계획!$M$3:$R$202,$A178,$G$3)&amp;"")-1))))</f>
        <v/>
      </c>
      <c r="H178" s="23">
        <f>IF(OR($C178="",$G$3=""),"",IF(INDEX(인턴근무계획!$M$3:$R$202,$A178,$G$3)&amp;""="","",IF(LEFT(INDEX(인턴근무계획!$M$3:$R$202,$A178,$G$3)&amp;"",1)="⚠","",MID(INDEX(인턴근무계획!$M$3:$R$202,$A178,$G$3)&amp;"",FIND(" ",INDEX(인턴근무계획!$M$3:$R$202,$A178,$G$3)&amp;"")+1,60))))</f>
        <v/>
      </c>
      <c r="I178" s="23">
        <f>IF(OR($C178="",$I$3=""),"",IF(INDEX(인턴근무계획!$M$3:$R$202,$A178,$I$3)&amp;""="","",IF(LEFT(INDEX(인턴근무계획!$M$3:$R$202,$A178,$I$3)&amp;"",1)="⚠",INDEX(인턴근무계획!$M$3:$R$202,$A178,$I$3)&amp;"",LEFT(INDEX(인턴근무계획!$M$3:$R$202,$A178,$I$3)&amp;"",FIND(" ",INDEX(인턴근무계획!$M$3:$R$202,$A178,$I$3)&amp;"")-1))))</f>
        <v/>
      </c>
      <c r="J178" s="23">
        <f>IF(OR($C178="",$I$3=""),"",IF(INDEX(인턴근무계획!$M$3:$R$202,$A178,$I$3)&amp;""="","",IF(LEFT(INDEX(인턴근무계획!$M$3:$R$202,$A178,$I$3)&amp;"",1)="⚠","",MID(INDEX(인턴근무계획!$M$3:$R$202,$A178,$I$3)&amp;"",FIND(" ",INDEX(인턴근무계획!$M$3:$R$202,$A178,$I$3)&amp;"")+1,60))))</f>
        <v/>
      </c>
      <c r="K178" s="23">
        <f>IF($C178="","",INDEX(인턴근무계획!$M$3:$M$202,$A178)&amp;"")</f>
        <v/>
      </c>
      <c r="L178" s="23">
        <f>IF($C178="","",INDEX(인턴근무계획!$N$3:$N$202,$A178)&amp;"")</f>
        <v/>
      </c>
      <c r="M178" s="23">
        <f>IF($C178="","",INDEX(인턴근무계획!$O$3:$O$202,$A178)&amp;"")</f>
        <v/>
      </c>
      <c r="N178" s="23">
        <f>IF($C178="","",INDEX(인턴근무계획!$P$3:$P$202,$A178)&amp;"")</f>
        <v/>
      </c>
      <c r="O178" s="23">
        <f>IF($C178="","",INDEX(인턴근무계획!$Q$3:$Q$202,$A178)&amp;"")</f>
        <v/>
      </c>
      <c r="P178" s="23">
        <f>IF($C178="","",INDEX(인턴근무계획!$R$3:$R$202,$A178)&amp;"")</f>
        <v/>
      </c>
      <c r="Q178" s="23">
        <f>IF($C178="","",INDEX(인턴근무계획!$T$3:$T$202,$A178))</f>
        <v/>
      </c>
    </row>
    <row r="179">
      <c r="A179" s="26" t="n">
        <v>174</v>
      </c>
      <c r="B179" s="23">
        <f>IF($C179="","",INDEX(인턴근무계획!$B$3:$B$202,$A179))</f>
        <v/>
      </c>
      <c r="C179" s="23">
        <f>IFERROR(TRIM(INDEX(인턴근무계획!$C$3:$C$202,$A179)&amp;""),"")</f>
        <v/>
      </c>
      <c r="D179" s="23">
        <f>IF($C179="","",INDEX(인턴근무계획!$D$3:$D$202,$A179))</f>
        <v/>
      </c>
      <c r="E179" s="23">
        <f>IF($C179="","",IF(IFERROR(MATCH($D179,기본자료!$B$2:$B$501,0),IFERROR(MATCH($D179&amp;"",기본자료!$B$2:$B$501,0),IFERROR(MATCH(VALUE($D179),기본자료!$B$2:$B$501,0),0)))&gt;0,"확인","미등록"))</f>
        <v/>
      </c>
      <c r="F179" s="27">
        <f>IF($C179="","",INDEX(인턴근무계획!$S$3:$S$202,$A179))</f>
        <v/>
      </c>
      <c r="G179" s="23">
        <f>IF(OR($C179="",$G$3=""),"",IF(INDEX(인턴근무계획!$M$3:$R$202,$A179,$G$3)&amp;""="","",IF(LEFT(INDEX(인턴근무계획!$M$3:$R$202,$A179,$G$3)&amp;"",1)="⚠",INDEX(인턴근무계획!$M$3:$R$202,$A179,$G$3)&amp;"",LEFT(INDEX(인턴근무계획!$M$3:$R$202,$A179,$G$3)&amp;"",FIND(" ",INDEX(인턴근무계획!$M$3:$R$202,$A179,$G$3)&amp;"")-1))))</f>
        <v/>
      </c>
      <c r="H179" s="23">
        <f>IF(OR($C179="",$G$3=""),"",IF(INDEX(인턴근무계획!$M$3:$R$202,$A179,$G$3)&amp;""="","",IF(LEFT(INDEX(인턴근무계획!$M$3:$R$202,$A179,$G$3)&amp;"",1)="⚠","",MID(INDEX(인턴근무계획!$M$3:$R$202,$A179,$G$3)&amp;"",FIND(" ",INDEX(인턴근무계획!$M$3:$R$202,$A179,$G$3)&amp;"")+1,60))))</f>
        <v/>
      </c>
      <c r="I179" s="23">
        <f>IF(OR($C179="",$I$3=""),"",IF(INDEX(인턴근무계획!$M$3:$R$202,$A179,$I$3)&amp;""="","",IF(LEFT(INDEX(인턴근무계획!$M$3:$R$202,$A179,$I$3)&amp;"",1)="⚠",INDEX(인턴근무계획!$M$3:$R$202,$A179,$I$3)&amp;"",LEFT(INDEX(인턴근무계획!$M$3:$R$202,$A179,$I$3)&amp;"",FIND(" ",INDEX(인턴근무계획!$M$3:$R$202,$A179,$I$3)&amp;"")-1))))</f>
        <v/>
      </c>
      <c r="J179" s="23">
        <f>IF(OR($C179="",$I$3=""),"",IF(INDEX(인턴근무계획!$M$3:$R$202,$A179,$I$3)&amp;""="","",IF(LEFT(INDEX(인턴근무계획!$M$3:$R$202,$A179,$I$3)&amp;"",1)="⚠","",MID(INDEX(인턴근무계획!$M$3:$R$202,$A179,$I$3)&amp;"",FIND(" ",INDEX(인턴근무계획!$M$3:$R$202,$A179,$I$3)&amp;"")+1,60))))</f>
        <v/>
      </c>
      <c r="K179" s="23">
        <f>IF($C179="","",INDEX(인턴근무계획!$M$3:$M$202,$A179)&amp;"")</f>
        <v/>
      </c>
      <c r="L179" s="23">
        <f>IF($C179="","",INDEX(인턴근무계획!$N$3:$N$202,$A179)&amp;"")</f>
        <v/>
      </c>
      <c r="M179" s="23">
        <f>IF($C179="","",INDEX(인턴근무계획!$O$3:$O$202,$A179)&amp;"")</f>
        <v/>
      </c>
      <c r="N179" s="23">
        <f>IF($C179="","",INDEX(인턴근무계획!$P$3:$P$202,$A179)&amp;"")</f>
        <v/>
      </c>
      <c r="O179" s="23">
        <f>IF($C179="","",INDEX(인턴근무계획!$Q$3:$Q$202,$A179)&amp;"")</f>
        <v/>
      </c>
      <c r="P179" s="23">
        <f>IF($C179="","",INDEX(인턴근무계획!$R$3:$R$202,$A179)&amp;"")</f>
        <v/>
      </c>
      <c r="Q179" s="23">
        <f>IF($C179="","",INDEX(인턴근무계획!$T$3:$T$202,$A179))</f>
        <v/>
      </c>
    </row>
    <row r="180">
      <c r="A180" s="26" t="n">
        <v>175</v>
      </c>
      <c r="B180" s="23">
        <f>IF($C180="","",INDEX(인턴근무계획!$B$3:$B$202,$A180))</f>
        <v/>
      </c>
      <c r="C180" s="23">
        <f>IFERROR(TRIM(INDEX(인턴근무계획!$C$3:$C$202,$A180)&amp;""),"")</f>
        <v/>
      </c>
      <c r="D180" s="23">
        <f>IF($C180="","",INDEX(인턴근무계획!$D$3:$D$202,$A180))</f>
        <v/>
      </c>
      <c r="E180" s="23">
        <f>IF($C180="","",IF(IFERROR(MATCH($D180,기본자료!$B$2:$B$501,0),IFERROR(MATCH($D180&amp;"",기본자료!$B$2:$B$501,0),IFERROR(MATCH(VALUE($D180),기본자료!$B$2:$B$501,0),0)))&gt;0,"확인","미등록"))</f>
        <v/>
      </c>
      <c r="F180" s="27">
        <f>IF($C180="","",INDEX(인턴근무계획!$S$3:$S$202,$A180))</f>
        <v/>
      </c>
      <c r="G180" s="23">
        <f>IF(OR($C180="",$G$3=""),"",IF(INDEX(인턴근무계획!$M$3:$R$202,$A180,$G$3)&amp;""="","",IF(LEFT(INDEX(인턴근무계획!$M$3:$R$202,$A180,$G$3)&amp;"",1)="⚠",INDEX(인턴근무계획!$M$3:$R$202,$A180,$G$3)&amp;"",LEFT(INDEX(인턴근무계획!$M$3:$R$202,$A180,$G$3)&amp;"",FIND(" ",INDEX(인턴근무계획!$M$3:$R$202,$A180,$G$3)&amp;"")-1))))</f>
        <v/>
      </c>
      <c r="H180" s="23">
        <f>IF(OR($C180="",$G$3=""),"",IF(INDEX(인턴근무계획!$M$3:$R$202,$A180,$G$3)&amp;""="","",IF(LEFT(INDEX(인턴근무계획!$M$3:$R$202,$A180,$G$3)&amp;"",1)="⚠","",MID(INDEX(인턴근무계획!$M$3:$R$202,$A180,$G$3)&amp;"",FIND(" ",INDEX(인턴근무계획!$M$3:$R$202,$A180,$G$3)&amp;"")+1,60))))</f>
        <v/>
      </c>
      <c r="I180" s="23">
        <f>IF(OR($C180="",$I$3=""),"",IF(INDEX(인턴근무계획!$M$3:$R$202,$A180,$I$3)&amp;""="","",IF(LEFT(INDEX(인턴근무계획!$M$3:$R$202,$A180,$I$3)&amp;"",1)="⚠",INDEX(인턴근무계획!$M$3:$R$202,$A180,$I$3)&amp;"",LEFT(INDEX(인턴근무계획!$M$3:$R$202,$A180,$I$3)&amp;"",FIND(" ",INDEX(인턴근무계획!$M$3:$R$202,$A180,$I$3)&amp;"")-1))))</f>
        <v/>
      </c>
      <c r="J180" s="23">
        <f>IF(OR($C180="",$I$3=""),"",IF(INDEX(인턴근무계획!$M$3:$R$202,$A180,$I$3)&amp;""="","",IF(LEFT(INDEX(인턴근무계획!$M$3:$R$202,$A180,$I$3)&amp;"",1)="⚠","",MID(INDEX(인턴근무계획!$M$3:$R$202,$A180,$I$3)&amp;"",FIND(" ",INDEX(인턴근무계획!$M$3:$R$202,$A180,$I$3)&amp;"")+1,60))))</f>
        <v/>
      </c>
      <c r="K180" s="23">
        <f>IF($C180="","",INDEX(인턴근무계획!$M$3:$M$202,$A180)&amp;"")</f>
        <v/>
      </c>
      <c r="L180" s="23">
        <f>IF($C180="","",INDEX(인턴근무계획!$N$3:$N$202,$A180)&amp;"")</f>
        <v/>
      </c>
      <c r="M180" s="23">
        <f>IF($C180="","",INDEX(인턴근무계획!$O$3:$O$202,$A180)&amp;"")</f>
        <v/>
      </c>
      <c r="N180" s="23">
        <f>IF($C180="","",INDEX(인턴근무계획!$P$3:$P$202,$A180)&amp;"")</f>
        <v/>
      </c>
      <c r="O180" s="23">
        <f>IF($C180="","",INDEX(인턴근무계획!$Q$3:$Q$202,$A180)&amp;"")</f>
        <v/>
      </c>
      <c r="P180" s="23">
        <f>IF($C180="","",INDEX(인턴근무계획!$R$3:$R$202,$A180)&amp;"")</f>
        <v/>
      </c>
      <c r="Q180" s="23">
        <f>IF($C180="","",INDEX(인턴근무계획!$T$3:$T$202,$A180))</f>
        <v/>
      </c>
    </row>
    <row r="181">
      <c r="A181" s="26" t="n">
        <v>176</v>
      </c>
      <c r="B181" s="23">
        <f>IF($C181="","",INDEX(인턴근무계획!$B$3:$B$202,$A181))</f>
        <v/>
      </c>
      <c r="C181" s="23">
        <f>IFERROR(TRIM(INDEX(인턴근무계획!$C$3:$C$202,$A181)&amp;""),"")</f>
        <v/>
      </c>
      <c r="D181" s="23">
        <f>IF($C181="","",INDEX(인턴근무계획!$D$3:$D$202,$A181))</f>
        <v/>
      </c>
      <c r="E181" s="23">
        <f>IF($C181="","",IF(IFERROR(MATCH($D181,기본자료!$B$2:$B$501,0),IFERROR(MATCH($D181&amp;"",기본자료!$B$2:$B$501,0),IFERROR(MATCH(VALUE($D181),기본자료!$B$2:$B$501,0),0)))&gt;0,"확인","미등록"))</f>
        <v/>
      </c>
      <c r="F181" s="27">
        <f>IF($C181="","",INDEX(인턴근무계획!$S$3:$S$202,$A181))</f>
        <v/>
      </c>
      <c r="G181" s="23">
        <f>IF(OR($C181="",$G$3=""),"",IF(INDEX(인턴근무계획!$M$3:$R$202,$A181,$G$3)&amp;""="","",IF(LEFT(INDEX(인턴근무계획!$M$3:$R$202,$A181,$G$3)&amp;"",1)="⚠",INDEX(인턴근무계획!$M$3:$R$202,$A181,$G$3)&amp;"",LEFT(INDEX(인턴근무계획!$M$3:$R$202,$A181,$G$3)&amp;"",FIND(" ",INDEX(인턴근무계획!$M$3:$R$202,$A181,$G$3)&amp;"")-1))))</f>
        <v/>
      </c>
      <c r="H181" s="23">
        <f>IF(OR($C181="",$G$3=""),"",IF(INDEX(인턴근무계획!$M$3:$R$202,$A181,$G$3)&amp;""="","",IF(LEFT(INDEX(인턴근무계획!$M$3:$R$202,$A181,$G$3)&amp;"",1)="⚠","",MID(INDEX(인턴근무계획!$M$3:$R$202,$A181,$G$3)&amp;"",FIND(" ",INDEX(인턴근무계획!$M$3:$R$202,$A181,$G$3)&amp;"")+1,60))))</f>
        <v/>
      </c>
      <c r="I181" s="23">
        <f>IF(OR($C181="",$I$3=""),"",IF(INDEX(인턴근무계획!$M$3:$R$202,$A181,$I$3)&amp;""="","",IF(LEFT(INDEX(인턴근무계획!$M$3:$R$202,$A181,$I$3)&amp;"",1)="⚠",INDEX(인턴근무계획!$M$3:$R$202,$A181,$I$3)&amp;"",LEFT(INDEX(인턴근무계획!$M$3:$R$202,$A181,$I$3)&amp;"",FIND(" ",INDEX(인턴근무계획!$M$3:$R$202,$A181,$I$3)&amp;"")-1))))</f>
        <v/>
      </c>
      <c r="J181" s="23">
        <f>IF(OR($C181="",$I$3=""),"",IF(INDEX(인턴근무계획!$M$3:$R$202,$A181,$I$3)&amp;""="","",IF(LEFT(INDEX(인턴근무계획!$M$3:$R$202,$A181,$I$3)&amp;"",1)="⚠","",MID(INDEX(인턴근무계획!$M$3:$R$202,$A181,$I$3)&amp;"",FIND(" ",INDEX(인턴근무계획!$M$3:$R$202,$A181,$I$3)&amp;"")+1,60))))</f>
        <v/>
      </c>
      <c r="K181" s="23">
        <f>IF($C181="","",INDEX(인턴근무계획!$M$3:$M$202,$A181)&amp;"")</f>
        <v/>
      </c>
      <c r="L181" s="23">
        <f>IF($C181="","",INDEX(인턴근무계획!$N$3:$N$202,$A181)&amp;"")</f>
        <v/>
      </c>
      <c r="M181" s="23">
        <f>IF($C181="","",INDEX(인턴근무계획!$O$3:$O$202,$A181)&amp;"")</f>
        <v/>
      </c>
      <c r="N181" s="23">
        <f>IF($C181="","",INDEX(인턴근무계획!$P$3:$P$202,$A181)&amp;"")</f>
        <v/>
      </c>
      <c r="O181" s="23">
        <f>IF($C181="","",INDEX(인턴근무계획!$Q$3:$Q$202,$A181)&amp;"")</f>
        <v/>
      </c>
      <c r="P181" s="23">
        <f>IF($C181="","",INDEX(인턴근무계획!$R$3:$R$202,$A181)&amp;"")</f>
        <v/>
      </c>
      <c r="Q181" s="23">
        <f>IF($C181="","",INDEX(인턴근무계획!$T$3:$T$202,$A181))</f>
        <v/>
      </c>
    </row>
    <row r="182">
      <c r="A182" s="26" t="n">
        <v>177</v>
      </c>
      <c r="B182" s="23">
        <f>IF($C182="","",INDEX(인턴근무계획!$B$3:$B$202,$A182))</f>
        <v/>
      </c>
      <c r="C182" s="23">
        <f>IFERROR(TRIM(INDEX(인턴근무계획!$C$3:$C$202,$A182)&amp;""),"")</f>
        <v/>
      </c>
      <c r="D182" s="23">
        <f>IF($C182="","",INDEX(인턴근무계획!$D$3:$D$202,$A182))</f>
        <v/>
      </c>
      <c r="E182" s="23">
        <f>IF($C182="","",IF(IFERROR(MATCH($D182,기본자료!$B$2:$B$501,0),IFERROR(MATCH($D182&amp;"",기본자료!$B$2:$B$501,0),IFERROR(MATCH(VALUE($D182),기본자료!$B$2:$B$501,0),0)))&gt;0,"확인","미등록"))</f>
        <v/>
      </c>
      <c r="F182" s="27">
        <f>IF($C182="","",INDEX(인턴근무계획!$S$3:$S$202,$A182))</f>
        <v/>
      </c>
      <c r="G182" s="23">
        <f>IF(OR($C182="",$G$3=""),"",IF(INDEX(인턴근무계획!$M$3:$R$202,$A182,$G$3)&amp;""="","",IF(LEFT(INDEX(인턴근무계획!$M$3:$R$202,$A182,$G$3)&amp;"",1)="⚠",INDEX(인턴근무계획!$M$3:$R$202,$A182,$G$3)&amp;"",LEFT(INDEX(인턴근무계획!$M$3:$R$202,$A182,$G$3)&amp;"",FIND(" ",INDEX(인턴근무계획!$M$3:$R$202,$A182,$G$3)&amp;"")-1))))</f>
        <v/>
      </c>
      <c r="H182" s="23">
        <f>IF(OR($C182="",$G$3=""),"",IF(INDEX(인턴근무계획!$M$3:$R$202,$A182,$G$3)&amp;""="","",IF(LEFT(INDEX(인턴근무계획!$M$3:$R$202,$A182,$G$3)&amp;"",1)="⚠","",MID(INDEX(인턴근무계획!$M$3:$R$202,$A182,$G$3)&amp;"",FIND(" ",INDEX(인턴근무계획!$M$3:$R$202,$A182,$G$3)&amp;"")+1,60))))</f>
        <v/>
      </c>
      <c r="I182" s="23">
        <f>IF(OR($C182="",$I$3=""),"",IF(INDEX(인턴근무계획!$M$3:$R$202,$A182,$I$3)&amp;""="","",IF(LEFT(INDEX(인턴근무계획!$M$3:$R$202,$A182,$I$3)&amp;"",1)="⚠",INDEX(인턴근무계획!$M$3:$R$202,$A182,$I$3)&amp;"",LEFT(INDEX(인턴근무계획!$M$3:$R$202,$A182,$I$3)&amp;"",FIND(" ",INDEX(인턴근무계획!$M$3:$R$202,$A182,$I$3)&amp;"")-1))))</f>
        <v/>
      </c>
      <c r="J182" s="23">
        <f>IF(OR($C182="",$I$3=""),"",IF(INDEX(인턴근무계획!$M$3:$R$202,$A182,$I$3)&amp;""="","",IF(LEFT(INDEX(인턴근무계획!$M$3:$R$202,$A182,$I$3)&amp;"",1)="⚠","",MID(INDEX(인턴근무계획!$M$3:$R$202,$A182,$I$3)&amp;"",FIND(" ",INDEX(인턴근무계획!$M$3:$R$202,$A182,$I$3)&amp;"")+1,60))))</f>
        <v/>
      </c>
      <c r="K182" s="23">
        <f>IF($C182="","",INDEX(인턴근무계획!$M$3:$M$202,$A182)&amp;"")</f>
        <v/>
      </c>
      <c r="L182" s="23">
        <f>IF($C182="","",INDEX(인턴근무계획!$N$3:$N$202,$A182)&amp;"")</f>
        <v/>
      </c>
      <c r="M182" s="23">
        <f>IF($C182="","",INDEX(인턴근무계획!$O$3:$O$202,$A182)&amp;"")</f>
        <v/>
      </c>
      <c r="N182" s="23">
        <f>IF($C182="","",INDEX(인턴근무계획!$P$3:$P$202,$A182)&amp;"")</f>
        <v/>
      </c>
      <c r="O182" s="23">
        <f>IF($C182="","",INDEX(인턴근무계획!$Q$3:$Q$202,$A182)&amp;"")</f>
        <v/>
      </c>
      <c r="P182" s="23">
        <f>IF($C182="","",INDEX(인턴근무계획!$R$3:$R$202,$A182)&amp;"")</f>
        <v/>
      </c>
      <c r="Q182" s="23">
        <f>IF($C182="","",INDEX(인턴근무계획!$T$3:$T$202,$A182))</f>
        <v/>
      </c>
    </row>
    <row r="183">
      <c r="A183" s="26" t="n">
        <v>178</v>
      </c>
      <c r="B183" s="23">
        <f>IF($C183="","",INDEX(인턴근무계획!$B$3:$B$202,$A183))</f>
        <v/>
      </c>
      <c r="C183" s="23">
        <f>IFERROR(TRIM(INDEX(인턴근무계획!$C$3:$C$202,$A183)&amp;""),"")</f>
        <v/>
      </c>
      <c r="D183" s="23">
        <f>IF($C183="","",INDEX(인턴근무계획!$D$3:$D$202,$A183))</f>
        <v/>
      </c>
      <c r="E183" s="23">
        <f>IF($C183="","",IF(IFERROR(MATCH($D183,기본자료!$B$2:$B$501,0),IFERROR(MATCH($D183&amp;"",기본자료!$B$2:$B$501,0),IFERROR(MATCH(VALUE($D183),기본자료!$B$2:$B$501,0),0)))&gt;0,"확인","미등록"))</f>
        <v/>
      </c>
      <c r="F183" s="27">
        <f>IF($C183="","",INDEX(인턴근무계획!$S$3:$S$202,$A183))</f>
        <v/>
      </c>
      <c r="G183" s="23">
        <f>IF(OR($C183="",$G$3=""),"",IF(INDEX(인턴근무계획!$M$3:$R$202,$A183,$G$3)&amp;""="","",IF(LEFT(INDEX(인턴근무계획!$M$3:$R$202,$A183,$G$3)&amp;"",1)="⚠",INDEX(인턴근무계획!$M$3:$R$202,$A183,$G$3)&amp;"",LEFT(INDEX(인턴근무계획!$M$3:$R$202,$A183,$G$3)&amp;"",FIND(" ",INDEX(인턴근무계획!$M$3:$R$202,$A183,$G$3)&amp;"")-1))))</f>
        <v/>
      </c>
      <c r="H183" s="23">
        <f>IF(OR($C183="",$G$3=""),"",IF(INDEX(인턴근무계획!$M$3:$R$202,$A183,$G$3)&amp;""="","",IF(LEFT(INDEX(인턴근무계획!$M$3:$R$202,$A183,$G$3)&amp;"",1)="⚠","",MID(INDEX(인턴근무계획!$M$3:$R$202,$A183,$G$3)&amp;"",FIND(" ",INDEX(인턴근무계획!$M$3:$R$202,$A183,$G$3)&amp;"")+1,60))))</f>
        <v/>
      </c>
      <c r="I183" s="23">
        <f>IF(OR($C183="",$I$3=""),"",IF(INDEX(인턴근무계획!$M$3:$R$202,$A183,$I$3)&amp;""="","",IF(LEFT(INDEX(인턴근무계획!$M$3:$R$202,$A183,$I$3)&amp;"",1)="⚠",INDEX(인턴근무계획!$M$3:$R$202,$A183,$I$3)&amp;"",LEFT(INDEX(인턴근무계획!$M$3:$R$202,$A183,$I$3)&amp;"",FIND(" ",INDEX(인턴근무계획!$M$3:$R$202,$A183,$I$3)&amp;"")-1))))</f>
        <v/>
      </c>
      <c r="J183" s="23">
        <f>IF(OR($C183="",$I$3=""),"",IF(INDEX(인턴근무계획!$M$3:$R$202,$A183,$I$3)&amp;""="","",IF(LEFT(INDEX(인턴근무계획!$M$3:$R$202,$A183,$I$3)&amp;"",1)="⚠","",MID(INDEX(인턴근무계획!$M$3:$R$202,$A183,$I$3)&amp;"",FIND(" ",INDEX(인턴근무계획!$M$3:$R$202,$A183,$I$3)&amp;"")+1,60))))</f>
        <v/>
      </c>
      <c r="K183" s="23">
        <f>IF($C183="","",INDEX(인턴근무계획!$M$3:$M$202,$A183)&amp;"")</f>
        <v/>
      </c>
      <c r="L183" s="23">
        <f>IF($C183="","",INDEX(인턴근무계획!$N$3:$N$202,$A183)&amp;"")</f>
        <v/>
      </c>
      <c r="M183" s="23">
        <f>IF($C183="","",INDEX(인턴근무계획!$O$3:$O$202,$A183)&amp;"")</f>
        <v/>
      </c>
      <c r="N183" s="23">
        <f>IF($C183="","",INDEX(인턴근무계획!$P$3:$P$202,$A183)&amp;"")</f>
        <v/>
      </c>
      <c r="O183" s="23">
        <f>IF($C183="","",INDEX(인턴근무계획!$Q$3:$Q$202,$A183)&amp;"")</f>
        <v/>
      </c>
      <c r="P183" s="23">
        <f>IF($C183="","",INDEX(인턴근무계획!$R$3:$R$202,$A183)&amp;"")</f>
        <v/>
      </c>
      <c r="Q183" s="23">
        <f>IF($C183="","",INDEX(인턴근무계획!$T$3:$T$202,$A183))</f>
        <v/>
      </c>
    </row>
    <row r="184">
      <c r="A184" s="26" t="n">
        <v>179</v>
      </c>
      <c r="B184" s="23">
        <f>IF($C184="","",INDEX(인턴근무계획!$B$3:$B$202,$A184))</f>
        <v/>
      </c>
      <c r="C184" s="23">
        <f>IFERROR(TRIM(INDEX(인턴근무계획!$C$3:$C$202,$A184)&amp;""),"")</f>
        <v/>
      </c>
      <c r="D184" s="23">
        <f>IF($C184="","",INDEX(인턴근무계획!$D$3:$D$202,$A184))</f>
        <v/>
      </c>
      <c r="E184" s="23">
        <f>IF($C184="","",IF(IFERROR(MATCH($D184,기본자료!$B$2:$B$501,0),IFERROR(MATCH($D184&amp;"",기본자료!$B$2:$B$501,0),IFERROR(MATCH(VALUE($D184),기본자료!$B$2:$B$501,0),0)))&gt;0,"확인","미등록"))</f>
        <v/>
      </c>
      <c r="F184" s="27">
        <f>IF($C184="","",INDEX(인턴근무계획!$S$3:$S$202,$A184))</f>
        <v/>
      </c>
      <c r="G184" s="23">
        <f>IF(OR($C184="",$G$3=""),"",IF(INDEX(인턴근무계획!$M$3:$R$202,$A184,$G$3)&amp;""="","",IF(LEFT(INDEX(인턴근무계획!$M$3:$R$202,$A184,$G$3)&amp;"",1)="⚠",INDEX(인턴근무계획!$M$3:$R$202,$A184,$G$3)&amp;"",LEFT(INDEX(인턴근무계획!$M$3:$R$202,$A184,$G$3)&amp;"",FIND(" ",INDEX(인턴근무계획!$M$3:$R$202,$A184,$G$3)&amp;"")-1))))</f>
        <v/>
      </c>
      <c r="H184" s="23">
        <f>IF(OR($C184="",$G$3=""),"",IF(INDEX(인턴근무계획!$M$3:$R$202,$A184,$G$3)&amp;""="","",IF(LEFT(INDEX(인턴근무계획!$M$3:$R$202,$A184,$G$3)&amp;"",1)="⚠","",MID(INDEX(인턴근무계획!$M$3:$R$202,$A184,$G$3)&amp;"",FIND(" ",INDEX(인턴근무계획!$M$3:$R$202,$A184,$G$3)&amp;"")+1,60))))</f>
        <v/>
      </c>
      <c r="I184" s="23">
        <f>IF(OR($C184="",$I$3=""),"",IF(INDEX(인턴근무계획!$M$3:$R$202,$A184,$I$3)&amp;""="","",IF(LEFT(INDEX(인턴근무계획!$M$3:$R$202,$A184,$I$3)&amp;"",1)="⚠",INDEX(인턴근무계획!$M$3:$R$202,$A184,$I$3)&amp;"",LEFT(INDEX(인턴근무계획!$M$3:$R$202,$A184,$I$3)&amp;"",FIND(" ",INDEX(인턴근무계획!$M$3:$R$202,$A184,$I$3)&amp;"")-1))))</f>
        <v/>
      </c>
      <c r="J184" s="23">
        <f>IF(OR($C184="",$I$3=""),"",IF(INDEX(인턴근무계획!$M$3:$R$202,$A184,$I$3)&amp;""="","",IF(LEFT(INDEX(인턴근무계획!$M$3:$R$202,$A184,$I$3)&amp;"",1)="⚠","",MID(INDEX(인턴근무계획!$M$3:$R$202,$A184,$I$3)&amp;"",FIND(" ",INDEX(인턴근무계획!$M$3:$R$202,$A184,$I$3)&amp;"")+1,60))))</f>
        <v/>
      </c>
      <c r="K184" s="23">
        <f>IF($C184="","",INDEX(인턴근무계획!$M$3:$M$202,$A184)&amp;"")</f>
        <v/>
      </c>
      <c r="L184" s="23">
        <f>IF($C184="","",INDEX(인턴근무계획!$N$3:$N$202,$A184)&amp;"")</f>
        <v/>
      </c>
      <c r="M184" s="23">
        <f>IF($C184="","",INDEX(인턴근무계획!$O$3:$O$202,$A184)&amp;"")</f>
        <v/>
      </c>
      <c r="N184" s="23">
        <f>IF($C184="","",INDEX(인턴근무계획!$P$3:$P$202,$A184)&amp;"")</f>
        <v/>
      </c>
      <c r="O184" s="23">
        <f>IF($C184="","",INDEX(인턴근무계획!$Q$3:$Q$202,$A184)&amp;"")</f>
        <v/>
      </c>
      <c r="P184" s="23">
        <f>IF($C184="","",INDEX(인턴근무계획!$R$3:$R$202,$A184)&amp;"")</f>
        <v/>
      </c>
      <c r="Q184" s="23">
        <f>IF($C184="","",INDEX(인턴근무계획!$T$3:$T$202,$A184))</f>
        <v/>
      </c>
    </row>
    <row r="185">
      <c r="A185" s="26" t="n">
        <v>180</v>
      </c>
      <c r="B185" s="23">
        <f>IF($C185="","",INDEX(인턴근무계획!$B$3:$B$202,$A185))</f>
        <v/>
      </c>
      <c r="C185" s="23">
        <f>IFERROR(TRIM(INDEX(인턴근무계획!$C$3:$C$202,$A185)&amp;""),"")</f>
        <v/>
      </c>
      <c r="D185" s="23">
        <f>IF($C185="","",INDEX(인턴근무계획!$D$3:$D$202,$A185))</f>
        <v/>
      </c>
      <c r="E185" s="23">
        <f>IF($C185="","",IF(IFERROR(MATCH($D185,기본자료!$B$2:$B$501,0),IFERROR(MATCH($D185&amp;"",기본자료!$B$2:$B$501,0),IFERROR(MATCH(VALUE($D185),기본자료!$B$2:$B$501,0),0)))&gt;0,"확인","미등록"))</f>
        <v/>
      </c>
      <c r="F185" s="27">
        <f>IF($C185="","",INDEX(인턴근무계획!$S$3:$S$202,$A185))</f>
        <v/>
      </c>
      <c r="G185" s="23">
        <f>IF(OR($C185="",$G$3=""),"",IF(INDEX(인턴근무계획!$M$3:$R$202,$A185,$G$3)&amp;""="","",IF(LEFT(INDEX(인턴근무계획!$M$3:$R$202,$A185,$G$3)&amp;"",1)="⚠",INDEX(인턴근무계획!$M$3:$R$202,$A185,$G$3)&amp;"",LEFT(INDEX(인턴근무계획!$M$3:$R$202,$A185,$G$3)&amp;"",FIND(" ",INDEX(인턴근무계획!$M$3:$R$202,$A185,$G$3)&amp;"")-1))))</f>
        <v/>
      </c>
      <c r="H185" s="23">
        <f>IF(OR($C185="",$G$3=""),"",IF(INDEX(인턴근무계획!$M$3:$R$202,$A185,$G$3)&amp;""="","",IF(LEFT(INDEX(인턴근무계획!$M$3:$R$202,$A185,$G$3)&amp;"",1)="⚠","",MID(INDEX(인턴근무계획!$M$3:$R$202,$A185,$G$3)&amp;"",FIND(" ",INDEX(인턴근무계획!$M$3:$R$202,$A185,$G$3)&amp;"")+1,60))))</f>
        <v/>
      </c>
      <c r="I185" s="23">
        <f>IF(OR($C185="",$I$3=""),"",IF(INDEX(인턴근무계획!$M$3:$R$202,$A185,$I$3)&amp;""="","",IF(LEFT(INDEX(인턴근무계획!$M$3:$R$202,$A185,$I$3)&amp;"",1)="⚠",INDEX(인턴근무계획!$M$3:$R$202,$A185,$I$3)&amp;"",LEFT(INDEX(인턴근무계획!$M$3:$R$202,$A185,$I$3)&amp;"",FIND(" ",INDEX(인턴근무계획!$M$3:$R$202,$A185,$I$3)&amp;"")-1))))</f>
        <v/>
      </c>
      <c r="J185" s="23">
        <f>IF(OR($C185="",$I$3=""),"",IF(INDEX(인턴근무계획!$M$3:$R$202,$A185,$I$3)&amp;""="","",IF(LEFT(INDEX(인턴근무계획!$M$3:$R$202,$A185,$I$3)&amp;"",1)="⚠","",MID(INDEX(인턴근무계획!$M$3:$R$202,$A185,$I$3)&amp;"",FIND(" ",INDEX(인턴근무계획!$M$3:$R$202,$A185,$I$3)&amp;"")+1,60))))</f>
        <v/>
      </c>
      <c r="K185" s="23">
        <f>IF($C185="","",INDEX(인턴근무계획!$M$3:$M$202,$A185)&amp;"")</f>
        <v/>
      </c>
      <c r="L185" s="23">
        <f>IF($C185="","",INDEX(인턴근무계획!$N$3:$N$202,$A185)&amp;"")</f>
        <v/>
      </c>
      <c r="M185" s="23">
        <f>IF($C185="","",INDEX(인턴근무계획!$O$3:$O$202,$A185)&amp;"")</f>
        <v/>
      </c>
      <c r="N185" s="23">
        <f>IF($C185="","",INDEX(인턴근무계획!$P$3:$P$202,$A185)&amp;"")</f>
        <v/>
      </c>
      <c r="O185" s="23">
        <f>IF($C185="","",INDEX(인턴근무계획!$Q$3:$Q$202,$A185)&amp;"")</f>
        <v/>
      </c>
      <c r="P185" s="23">
        <f>IF($C185="","",INDEX(인턴근무계획!$R$3:$R$202,$A185)&amp;"")</f>
        <v/>
      </c>
      <c r="Q185" s="23">
        <f>IF($C185="","",INDEX(인턴근무계획!$T$3:$T$202,$A185))</f>
        <v/>
      </c>
    </row>
    <row r="186">
      <c r="A186" s="26" t="n">
        <v>181</v>
      </c>
      <c r="B186" s="23">
        <f>IF($C186="","",INDEX(인턴근무계획!$B$3:$B$202,$A186))</f>
        <v/>
      </c>
      <c r="C186" s="23">
        <f>IFERROR(TRIM(INDEX(인턴근무계획!$C$3:$C$202,$A186)&amp;""),"")</f>
        <v/>
      </c>
      <c r="D186" s="23">
        <f>IF($C186="","",INDEX(인턴근무계획!$D$3:$D$202,$A186))</f>
        <v/>
      </c>
      <c r="E186" s="23">
        <f>IF($C186="","",IF(IFERROR(MATCH($D186,기본자료!$B$2:$B$501,0),IFERROR(MATCH($D186&amp;"",기본자료!$B$2:$B$501,0),IFERROR(MATCH(VALUE($D186),기본자료!$B$2:$B$501,0),0)))&gt;0,"확인","미등록"))</f>
        <v/>
      </c>
      <c r="F186" s="27">
        <f>IF($C186="","",INDEX(인턴근무계획!$S$3:$S$202,$A186))</f>
        <v/>
      </c>
      <c r="G186" s="23">
        <f>IF(OR($C186="",$G$3=""),"",IF(INDEX(인턴근무계획!$M$3:$R$202,$A186,$G$3)&amp;""="","",IF(LEFT(INDEX(인턴근무계획!$M$3:$R$202,$A186,$G$3)&amp;"",1)="⚠",INDEX(인턴근무계획!$M$3:$R$202,$A186,$G$3)&amp;"",LEFT(INDEX(인턴근무계획!$M$3:$R$202,$A186,$G$3)&amp;"",FIND(" ",INDEX(인턴근무계획!$M$3:$R$202,$A186,$G$3)&amp;"")-1))))</f>
        <v/>
      </c>
      <c r="H186" s="23">
        <f>IF(OR($C186="",$G$3=""),"",IF(INDEX(인턴근무계획!$M$3:$R$202,$A186,$G$3)&amp;""="","",IF(LEFT(INDEX(인턴근무계획!$M$3:$R$202,$A186,$G$3)&amp;"",1)="⚠","",MID(INDEX(인턴근무계획!$M$3:$R$202,$A186,$G$3)&amp;"",FIND(" ",INDEX(인턴근무계획!$M$3:$R$202,$A186,$G$3)&amp;"")+1,60))))</f>
        <v/>
      </c>
      <c r="I186" s="23">
        <f>IF(OR($C186="",$I$3=""),"",IF(INDEX(인턴근무계획!$M$3:$R$202,$A186,$I$3)&amp;""="","",IF(LEFT(INDEX(인턴근무계획!$M$3:$R$202,$A186,$I$3)&amp;"",1)="⚠",INDEX(인턴근무계획!$M$3:$R$202,$A186,$I$3)&amp;"",LEFT(INDEX(인턴근무계획!$M$3:$R$202,$A186,$I$3)&amp;"",FIND(" ",INDEX(인턴근무계획!$M$3:$R$202,$A186,$I$3)&amp;"")-1))))</f>
        <v/>
      </c>
      <c r="J186" s="23">
        <f>IF(OR($C186="",$I$3=""),"",IF(INDEX(인턴근무계획!$M$3:$R$202,$A186,$I$3)&amp;""="","",IF(LEFT(INDEX(인턴근무계획!$M$3:$R$202,$A186,$I$3)&amp;"",1)="⚠","",MID(INDEX(인턴근무계획!$M$3:$R$202,$A186,$I$3)&amp;"",FIND(" ",INDEX(인턴근무계획!$M$3:$R$202,$A186,$I$3)&amp;"")+1,60))))</f>
        <v/>
      </c>
      <c r="K186" s="23">
        <f>IF($C186="","",INDEX(인턴근무계획!$M$3:$M$202,$A186)&amp;"")</f>
        <v/>
      </c>
      <c r="L186" s="23">
        <f>IF($C186="","",INDEX(인턴근무계획!$N$3:$N$202,$A186)&amp;"")</f>
        <v/>
      </c>
      <c r="M186" s="23">
        <f>IF($C186="","",INDEX(인턴근무계획!$O$3:$O$202,$A186)&amp;"")</f>
        <v/>
      </c>
      <c r="N186" s="23">
        <f>IF($C186="","",INDEX(인턴근무계획!$P$3:$P$202,$A186)&amp;"")</f>
        <v/>
      </c>
      <c r="O186" s="23">
        <f>IF($C186="","",INDEX(인턴근무계획!$Q$3:$Q$202,$A186)&amp;"")</f>
        <v/>
      </c>
      <c r="P186" s="23">
        <f>IF($C186="","",INDEX(인턴근무계획!$R$3:$R$202,$A186)&amp;"")</f>
        <v/>
      </c>
      <c r="Q186" s="23">
        <f>IF($C186="","",INDEX(인턴근무계획!$T$3:$T$202,$A186))</f>
        <v/>
      </c>
    </row>
    <row r="187">
      <c r="A187" s="26" t="n">
        <v>182</v>
      </c>
      <c r="B187" s="23">
        <f>IF($C187="","",INDEX(인턴근무계획!$B$3:$B$202,$A187))</f>
        <v/>
      </c>
      <c r="C187" s="23">
        <f>IFERROR(TRIM(INDEX(인턴근무계획!$C$3:$C$202,$A187)&amp;""),"")</f>
        <v/>
      </c>
      <c r="D187" s="23">
        <f>IF($C187="","",INDEX(인턴근무계획!$D$3:$D$202,$A187))</f>
        <v/>
      </c>
      <c r="E187" s="23">
        <f>IF($C187="","",IF(IFERROR(MATCH($D187,기본자료!$B$2:$B$501,0),IFERROR(MATCH($D187&amp;"",기본자료!$B$2:$B$501,0),IFERROR(MATCH(VALUE($D187),기본자료!$B$2:$B$501,0),0)))&gt;0,"확인","미등록"))</f>
        <v/>
      </c>
      <c r="F187" s="27">
        <f>IF($C187="","",INDEX(인턴근무계획!$S$3:$S$202,$A187))</f>
        <v/>
      </c>
      <c r="G187" s="23">
        <f>IF(OR($C187="",$G$3=""),"",IF(INDEX(인턴근무계획!$M$3:$R$202,$A187,$G$3)&amp;""="","",IF(LEFT(INDEX(인턴근무계획!$M$3:$R$202,$A187,$G$3)&amp;"",1)="⚠",INDEX(인턴근무계획!$M$3:$R$202,$A187,$G$3)&amp;"",LEFT(INDEX(인턴근무계획!$M$3:$R$202,$A187,$G$3)&amp;"",FIND(" ",INDEX(인턴근무계획!$M$3:$R$202,$A187,$G$3)&amp;"")-1))))</f>
        <v/>
      </c>
      <c r="H187" s="23">
        <f>IF(OR($C187="",$G$3=""),"",IF(INDEX(인턴근무계획!$M$3:$R$202,$A187,$G$3)&amp;""="","",IF(LEFT(INDEX(인턴근무계획!$M$3:$R$202,$A187,$G$3)&amp;"",1)="⚠","",MID(INDEX(인턴근무계획!$M$3:$R$202,$A187,$G$3)&amp;"",FIND(" ",INDEX(인턴근무계획!$M$3:$R$202,$A187,$G$3)&amp;"")+1,60))))</f>
        <v/>
      </c>
      <c r="I187" s="23">
        <f>IF(OR($C187="",$I$3=""),"",IF(INDEX(인턴근무계획!$M$3:$R$202,$A187,$I$3)&amp;""="","",IF(LEFT(INDEX(인턴근무계획!$M$3:$R$202,$A187,$I$3)&amp;"",1)="⚠",INDEX(인턴근무계획!$M$3:$R$202,$A187,$I$3)&amp;"",LEFT(INDEX(인턴근무계획!$M$3:$R$202,$A187,$I$3)&amp;"",FIND(" ",INDEX(인턴근무계획!$M$3:$R$202,$A187,$I$3)&amp;"")-1))))</f>
        <v/>
      </c>
      <c r="J187" s="23">
        <f>IF(OR($C187="",$I$3=""),"",IF(INDEX(인턴근무계획!$M$3:$R$202,$A187,$I$3)&amp;""="","",IF(LEFT(INDEX(인턴근무계획!$M$3:$R$202,$A187,$I$3)&amp;"",1)="⚠","",MID(INDEX(인턴근무계획!$M$3:$R$202,$A187,$I$3)&amp;"",FIND(" ",INDEX(인턴근무계획!$M$3:$R$202,$A187,$I$3)&amp;"")+1,60))))</f>
        <v/>
      </c>
      <c r="K187" s="23">
        <f>IF($C187="","",INDEX(인턴근무계획!$M$3:$M$202,$A187)&amp;"")</f>
        <v/>
      </c>
      <c r="L187" s="23">
        <f>IF($C187="","",INDEX(인턴근무계획!$N$3:$N$202,$A187)&amp;"")</f>
        <v/>
      </c>
      <c r="M187" s="23">
        <f>IF($C187="","",INDEX(인턴근무계획!$O$3:$O$202,$A187)&amp;"")</f>
        <v/>
      </c>
      <c r="N187" s="23">
        <f>IF($C187="","",INDEX(인턴근무계획!$P$3:$P$202,$A187)&amp;"")</f>
        <v/>
      </c>
      <c r="O187" s="23">
        <f>IF($C187="","",INDEX(인턴근무계획!$Q$3:$Q$202,$A187)&amp;"")</f>
        <v/>
      </c>
      <c r="P187" s="23">
        <f>IF($C187="","",INDEX(인턴근무계획!$R$3:$R$202,$A187)&amp;"")</f>
        <v/>
      </c>
      <c r="Q187" s="23">
        <f>IF($C187="","",INDEX(인턴근무계획!$T$3:$T$202,$A187))</f>
        <v/>
      </c>
    </row>
    <row r="188">
      <c r="A188" s="26" t="n">
        <v>183</v>
      </c>
      <c r="B188" s="23">
        <f>IF($C188="","",INDEX(인턴근무계획!$B$3:$B$202,$A188))</f>
        <v/>
      </c>
      <c r="C188" s="23">
        <f>IFERROR(TRIM(INDEX(인턴근무계획!$C$3:$C$202,$A188)&amp;""),"")</f>
        <v/>
      </c>
      <c r="D188" s="23">
        <f>IF($C188="","",INDEX(인턴근무계획!$D$3:$D$202,$A188))</f>
        <v/>
      </c>
      <c r="E188" s="23">
        <f>IF($C188="","",IF(IFERROR(MATCH($D188,기본자료!$B$2:$B$501,0),IFERROR(MATCH($D188&amp;"",기본자료!$B$2:$B$501,0),IFERROR(MATCH(VALUE($D188),기본자료!$B$2:$B$501,0),0)))&gt;0,"확인","미등록"))</f>
        <v/>
      </c>
      <c r="F188" s="27">
        <f>IF($C188="","",INDEX(인턴근무계획!$S$3:$S$202,$A188))</f>
        <v/>
      </c>
      <c r="G188" s="23">
        <f>IF(OR($C188="",$G$3=""),"",IF(INDEX(인턴근무계획!$M$3:$R$202,$A188,$G$3)&amp;""="","",IF(LEFT(INDEX(인턴근무계획!$M$3:$R$202,$A188,$G$3)&amp;"",1)="⚠",INDEX(인턴근무계획!$M$3:$R$202,$A188,$G$3)&amp;"",LEFT(INDEX(인턴근무계획!$M$3:$R$202,$A188,$G$3)&amp;"",FIND(" ",INDEX(인턴근무계획!$M$3:$R$202,$A188,$G$3)&amp;"")-1))))</f>
        <v/>
      </c>
      <c r="H188" s="23">
        <f>IF(OR($C188="",$G$3=""),"",IF(INDEX(인턴근무계획!$M$3:$R$202,$A188,$G$3)&amp;""="","",IF(LEFT(INDEX(인턴근무계획!$M$3:$R$202,$A188,$G$3)&amp;"",1)="⚠","",MID(INDEX(인턴근무계획!$M$3:$R$202,$A188,$G$3)&amp;"",FIND(" ",INDEX(인턴근무계획!$M$3:$R$202,$A188,$G$3)&amp;"")+1,60))))</f>
        <v/>
      </c>
      <c r="I188" s="23">
        <f>IF(OR($C188="",$I$3=""),"",IF(INDEX(인턴근무계획!$M$3:$R$202,$A188,$I$3)&amp;""="","",IF(LEFT(INDEX(인턴근무계획!$M$3:$R$202,$A188,$I$3)&amp;"",1)="⚠",INDEX(인턴근무계획!$M$3:$R$202,$A188,$I$3)&amp;"",LEFT(INDEX(인턴근무계획!$M$3:$R$202,$A188,$I$3)&amp;"",FIND(" ",INDEX(인턴근무계획!$M$3:$R$202,$A188,$I$3)&amp;"")-1))))</f>
        <v/>
      </c>
      <c r="J188" s="23">
        <f>IF(OR($C188="",$I$3=""),"",IF(INDEX(인턴근무계획!$M$3:$R$202,$A188,$I$3)&amp;""="","",IF(LEFT(INDEX(인턴근무계획!$M$3:$R$202,$A188,$I$3)&amp;"",1)="⚠","",MID(INDEX(인턴근무계획!$M$3:$R$202,$A188,$I$3)&amp;"",FIND(" ",INDEX(인턴근무계획!$M$3:$R$202,$A188,$I$3)&amp;"")+1,60))))</f>
        <v/>
      </c>
      <c r="K188" s="23">
        <f>IF($C188="","",INDEX(인턴근무계획!$M$3:$M$202,$A188)&amp;"")</f>
        <v/>
      </c>
      <c r="L188" s="23">
        <f>IF($C188="","",INDEX(인턴근무계획!$N$3:$N$202,$A188)&amp;"")</f>
        <v/>
      </c>
      <c r="M188" s="23">
        <f>IF($C188="","",INDEX(인턴근무계획!$O$3:$O$202,$A188)&amp;"")</f>
        <v/>
      </c>
      <c r="N188" s="23">
        <f>IF($C188="","",INDEX(인턴근무계획!$P$3:$P$202,$A188)&amp;"")</f>
        <v/>
      </c>
      <c r="O188" s="23">
        <f>IF($C188="","",INDEX(인턴근무계획!$Q$3:$Q$202,$A188)&amp;"")</f>
        <v/>
      </c>
      <c r="P188" s="23">
        <f>IF($C188="","",INDEX(인턴근무계획!$R$3:$R$202,$A188)&amp;"")</f>
        <v/>
      </c>
      <c r="Q188" s="23">
        <f>IF($C188="","",INDEX(인턴근무계획!$T$3:$T$202,$A188))</f>
        <v/>
      </c>
    </row>
    <row r="189">
      <c r="A189" s="26" t="n">
        <v>184</v>
      </c>
      <c r="B189" s="23">
        <f>IF($C189="","",INDEX(인턴근무계획!$B$3:$B$202,$A189))</f>
        <v/>
      </c>
      <c r="C189" s="23">
        <f>IFERROR(TRIM(INDEX(인턴근무계획!$C$3:$C$202,$A189)&amp;""),"")</f>
        <v/>
      </c>
      <c r="D189" s="23">
        <f>IF($C189="","",INDEX(인턴근무계획!$D$3:$D$202,$A189))</f>
        <v/>
      </c>
      <c r="E189" s="23">
        <f>IF($C189="","",IF(IFERROR(MATCH($D189,기본자료!$B$2:$B$501,0),IFERROR(MATCH($D189&amp;"",기본자료!$B$2:$B$501,0),IFERROR(MATCH(VALUE($D189),기본자료!$B$2:$B$501,0),0)))&gt;0,"확인","미등록"))</f>
        <v/>
      </c>
      <c r="F189" s="27">
        <f>IF($C189="","",INDEX(인턴근무계획!$S$3:$S$202,$A189))</f>
        <v/>
      </c>
      <c r="G189" s="23">
        <f>IF(OR($C189="",$G$3=""),"",IF(INDEX(인턴근무계획!$M$3:$R$202,$A189,$G$3)&amp;""="","",IF(LEFT(INDEX(인턴근무계획!$M$3:$R$202,$A189,$G$3)&amp;"",1)="⚠",INDEX(인턴근무계획!$M$3:$R$202,$A189,$G$3)&amp;"",LEFT(INDEX(인턴근무계획!$M$3:$R$202,$A189,$G$3)&amp;"",FIND(" ",INDEX(인턴근무계획!$M$3:$R$202,$A189,$G$3)&amp;"")-1))))</f>
        <v/>
      </c>
      <c r="H189" s="23">
        <f>IF(OR($C189="",$G$3=""),"",IF(INDEX(인턴근무계획!$M$3:$R$202,$A189,$G$3)&amp;""="","",IF(LEFT(INDEX(인턴근무계획!$M$3:$R$202,$A189,$G$3)&amp;"",1)="⚠","",MID(INDEX(인턴근무계획!$M$3:$R$202,$A189,$G$3)&amp;"",FIND(" ",INDEX(인턴근무계획!$M$3:$R$202,$A189,$G$3)&amp;"")+1,60))))</f>
        <v/>
      </c>
      <c r="I189" s="23">
        <f>IF(OR($C189="",$I$3=""),"",IF(INDEX(인턴근무계획!$M$3:$R$202,$A189,$I$3)&amp;""="","",IF(LEFT(INDEX(인턴근무계획!$M$3:$R$202,$A189,$I$3)&amp;"",1)="⚠",INDEX(인턴근무계획!$M$3:$R$202,$A189,$I$3)&amp;"",LEFT(INDEX(인턴근무계획!$M$3:$R$202,$A189,$I$3)&amp;"",FIND(" ",INDEX(인턴근무계획!$M$3:$R$202,$A189,$I$3)&amp;"")-1))))</f>
        <v/>
      </c>
      <c r="J189" s="23">
        <f>IF(OR($C189="",$I$3=""),"",IF(INDEX(인턴근무계획!$M$3:$R$202,$A189,$I$3)&amp;""="","",IF(LEFT(INDEX(인턴근무계획!$M$3:$R$202,$A189,$I$3)&amp;"",1)="⚠","",MID(INDEX(인턴근무계획!$M$3:$R$202,$A189,$I$3)&amp;"",FIND(" ",INDEX(인턴근무계획!$M$3:$R$202,$A189,$I$3)&amp;"")+1,60))))</f>
        <v/>
      </c>
      <c r="K189" s="23">
        <f>IF($C189="","",INDEX(인턴근무계획!$M$3:$M$202,$A189)&amp;"")</f>
        <v/>
      </c>
      <c r="L189" s="23">
        <f>IF($C189="","",INDEX(인턴근무계획!$N$3:$N$202,$A189)&amp;"")</f>
        <v/>
      </c>
      <c r="M189" s="23">
        <f>IF($C189="","",INDEX(인턴근무계획!$O$3:$O$202,$A189)&amp;"")</f>
        <v/>
      </c>
      <c r="N189" s="23">
        <f>IF($C189="","",INDEX(인턴근무계획!$P$3:$P$202,$A189)&amp;"")</f>
        <v/>
      </c>
      <c r="O189" s="23">
        <f>IF($C189="","",INDEX(인턴근무계획!$Q$3:$Q$202,$A189)&amp;"")</f>
        <v/>
      </c>
      <c r="P189" s="23">
        <f>IF($C189="","",INDEX(인턴근무계획!$R$3:$R$202,$A189)&amp;"")</f>
        <v/>
      </c>
      <c r="Q189" s="23">
        <f>IF($C189="","",INDEX(인턴근무계획!$T$3:$T$202,$A189))</f>
        <v/>
      </c>
    </row>
    <row r="190">
      <c r="A190" s="26" t="n">
        <v>185</v>
      </c>
      <c r="B190" s="23">
        <f>IF($C190="","",INDEX(인턴근무계획!$B$3:$B$202,$A190))</f>
        <v/>
      </c>
      <c r="C190" s="23">
        <f>IFERROR(TRIM(INDEX(인턴근무계획!$C$3:$C$202,$A190)&amp;""),"")</f>
        <v/>
      </c>
      <c r="D190" s="23">
        <f>IF($C190="","",INDEX(인턴근무계획!$D$3:$D$202,$A190))</f>
        <v/>
      </c>
      <c r="E190" s="23">
        <f>IF($C190="","",IF(IFERROR(MATCH($D190,기본자료!$B$2:$B$501,0),IFERROR(MATCH($D190&amp;"",기본자료!$B$2:$B$501,0),IFERROR(MATCH(VALUE($D190),기본자료!$B$2:$B$501,0),0)))&gt;0,"확인","미등록"))</f>
        <v/>
      </c>
      <c r="F190" s="27">
        <f>IF($C190="","",INDEX(인턴근무계획!$S$3:$S$202,$A190))</f>
        <v/>
      </c>
      <c r="G190" s="23">
        <f>IF(OR($C190="",$G$3=""),"",IF(INDEX(인턴근무계획!$M$3:$R$202,$A190,$G$3)&amp;""="","",IF(LEFT(INDEX(인턴근무계획!$M$3:$R$202,$A190,$G$3)&amp;"",1)="⚠",INDEX(인턴근무계획!$M$3:$R$202,$A190,$G$3)&amp;"",LEFT(INDEX(인턴근무계획!$M$3:$R$202,$A190,$G$3)&amp;"",FIND(" ",INDEX(인턴근무계획!$M$3:$R$202,$A190,$G$3)&amp;"")-1))))</f>
        <v/>
      </c>
      <c r="H190" s="23">
        <f>IF(OR($C190="",$G$3=""),"",IF(INDEX(인턴근무계획!$M$3:$R$202,$A190,$G$3)&amp;""="","",IF(LEFT(INDEX(인턴근무계획!$M$3:$R$202,$A190,$G$3)&amp;"",1)="⚠","",MID(INDEX(인턴근무계획!$M$3:$R$202,$A190,$G$3)&amp;"",FIND(" ",INDEX(인턴근무계획!$M$3:$R$202,$A190,$G$3)&amp;"")+1,60))))</f>
        <v/>
      </c>
      <c r="I190" s="23">
        <f>IF(OR($C190="",$I$3=""),"",IF(INDEX(인턴근무계획!$M$3:$R$202,$A190,$I$3)&amp;""="","",IF(LEFT(INDEX(인턴근무계획!$M$3:$R$202,$A190,$I$3)&amp;"",1)="⚠",INDEX(인턴근무계획!$M$3:$R$202,$A190,$I$3)&amp;"",LEFT(INDEX(인턴근무계획!$M$3:$R$202,$A190,$I$3)&amp;"",FIND(" ",INDEX(인턴근무계획!$M$3:$R$202,$A190,$I$3)&amp;"")-1))))</f>
        <v/>
      </c>
      <c r="J190" s="23">
        <f>IF(OR($C190="",$I$3=""),"",IF(INDEX(인턴근무계획!$M$3:$R$202,$A190,$I$3)&amp;""="","",IF(LEFT(INDEX(인턴근무계획!$M$3:$R$202,$A190,$I$3)&amp;"",1)="⚠","",MID(INDEX(인턴근무계획!$M$3:$R$202,$A190,$I$3)&amp;"",FIND(" ",INDEX(인턴근무계획!$M$3:$R$202,$A190,$I$3)&amp;"")+1,60))))</f>
        <v/>
      </c>
      <c r="K190" s="23">
        <f>IF($C190="","",INDEX(인턴근무계획!$M$3:$M$202,$A190)&amp;"")</f>
        <v/>
      </c>
      <c r="L190" s="23">
        <f>IF($C190="","",INDEX(인턴근무계획!$N$3:$N$202,$A190)&amp;"")</f>
        <v/>
      </c>
      <c r="M190" s="23">
        <f>IF($C190="","",INDEX(인턴근무계획!$O$3:$O$202,$A190)&amp;"")</f>
        <v/>
      </c>
      <c r="N190" s="23">
        <f>IF($C190="","",INDEX(인턴근무계획!$P$3:$P$202,$A190)&amp;"")</f>
        <v/>
      </c>
      <c r="O190" s="23">
        <f>IF($C190="","",INDEX(인턴근무계획!$Q$3:$Q$202,$A190)&amp;"")</f>
        <v/>
      </c>
      <c r="P190" s="23">
        <f>IF($C190="","",INDEX(인턴근무계획!$R$3:$R$202,$A190)&amp;"")</f>
        <v/>
      </c>
      <c r="Q190" s="23">
        <f>IF($C190="","",INDEX(인턴근무계획!$T$3:$T$202,$A190))</f>
        <v/>
      </c>
    </row>
    <row r="191">
      <c r="A191" s="26" t="n">
        <v>186</v>
      </c>
      <c r="B191" s="23">
        <f>IF($C191="","",INDEX(인턴근무계획!$B$3:$B$202,$A191))</f>
        <v/>
      </c>
      <c r="C191" s="23">
        <f>IFERROR(TRIM(INDEX(인턴근무계획!$C$3:$C$202,$A191)&amp;""),"")</f>
        <v/>
      </c>
      <c r="D191" s="23">
        <f>IF($C191="","",INDEX(인턴근무계획!$D$3:$D$202,$A191))</f>
        <v/>
      </c>
      <c r="E191" s="23">
        <f>IF($C191="","",IF(IFERROR(MATCH($D191,기본자료!$B$2:$B$501,0),IFERROR(MATCH($D191&amp;"",기본자료!$B$2:$B$501,0),IFERROR(MATCH(VALUE($D191),기본자료!$B$2:$B$501,0),0)))&gt;0,"확인","미등록"))</f>
        <v/>
      </c>
      <c r="F191" s="27">
        <f>IF($C191="","",INDEX(인턴근무계획!$S$3:$S$202,$A191))</f>
        <v/>
      </c>
      <c r="G191" s="23">
        <f>IF(OR($C191="",$G$3=""),"",IF(INDEX(인턴근무계획!$M$3:$R$202,$A191,$G$3)&amp;""="","",IF(LEFT(INDEX(인턴근무계획!$M$3:$R$202,$A191,$G$3)&amp;"",1)="⚠",INDEX(인턴근무계획!$M$3:$R$202,$A191,$G$3)&amp;"",LEFT(INDEX(인턴근무계획!$M$3:$R$202,$A191,$G$3)&amp;"",FIND(" ",INDEX(인턴근무계획!$M$3:$R$202,$A191,$G$3)&amp;"")-1))))</f>
        <v/>
      </c>
      <c r="H191" s="23">
        <f>IF(OR($C191="",$G$3=""),"",IF(INDEX(인턴근무계획!$M$3:$R$202,$A191,$G$3)&amp;""="","",IF(LEFT(INDEX(인턴근무계획!$M$3:$R$202,$A191,$G$3)&amp;"",1)="⚠","",MID(INDEX(인턴근무계획!$M$3:$R$202,$A191,$G$3)&amp;"",FIND(" ",INDEX(인턴근무계획!$M$3:$R$202,$A191,$G$3)&amp;"")+1,60))))</f>
        <v/>
      </c>
      <c r="I191" s="23">
        <f>IF(OR($C191="",$I$3=""),"",IF(INDEX(인턴근무계획!$M$3:$R$202,$A191,$I$3)&amp;""="","",IF(LEFT(INDEX(인턴근무계획!$M$3:$R$202,$A191,$I$3)&amp;"",1)="⚠",INDEX(인턴근무계획!$M$3:$R$202,$A191,$I$3)&amp;"",LEFT(INDEX(인턴근무계획!$M$3:$R$202,$A191,$I$3)&amp;"",FIND(" ",INDEX(인턴근무계획!$M$3:$R$202,$A191,$I$3)&amp;"")-1))))</f>
        <v/>
      </c>
      <c r="J191" s="23">
        <f>IF(OR($C191="",$I$3=""),"",IF(INDEX(인턴근무계획!$M$3:$R$202,$A191,$I$3)&amp;""="","",IF(LEFT(INDEX(인턴근무계획!$M$3:$R$202,$A191,$I$3)&amp;"",1)="⚠","",MID(INDEX(인턴근무계획!$M$3:$R$202,$A191,$I$3)&amp;"",FIND(" ",INDEX(인턴근무계획!$M$3:$R$202,$A191,$I$3)&amp;"")+1,60))))</f>
        <v/>
      </c>
      <c r="K191" s="23">
        <f>IF($C191="","",INDEX(인턴근무계획!$M$3:$M$202,$A191)&amp;"")</f>
        <v/>
      </c>
      <c r="L191" s="23">
        <f>IF($C191="","",INDEX(인턴근무계획!$N$3:$N$202,$A191)&amp;"")</f>
        <v/>
      </c>
      <c r="M191" s="23">
        <f>IF($C191="","",INDEX(인턴근무계획!$O$3:$O$202,$A191)&amp;"")</f>
        <v/>
      </c>
      <c r="N191" s="23">
        <f>IF($C191="","",INDEX(인턴근무계획!$P$3:$P$202,$A191)&amp;"")</f>
        <v/>
      </c>
      <c r="O191" s="23">
        <f>IF($C191="","",INDEX(인턴근무계획!$Q$3:$Q$202,$A191)&amp;"")</f>
        <v/>
      </c>
      <c r="P191" s="23">
        <f>IF($C191="","",INDEX(인턴근무계획!$R$3:$R$202,$A191)&amp;"")</f>
        <v/>
      </c>
      <c r="Q191" s="23">
        <f>IF($C191="","",INDEX(인턴근무계획!$T$3:$T$202,$A191))</f>
        <v/>
      </c>
    </row>
    <row r="192">
      <c r="A192" s="26" t="n">
        <v>187</v>
      </c>
      <c r="B192" s="23">
        <f>IF($C192="","",INDEX(인턴근무계획!$B$3:$B$202,$A192))</f>
        <v/>
      </c>
      <c r="C192" s="23">
        <f>IFERROR(TRIM(INDEX(인턴근무계획!$C$3:$C$202,$A192)&amp;""),"")</f>
        <v/>
      </c>
      <c r="D192" s="23">
        <f>IF($C192="","",INDEX(인턴근무계획!$D$3:$D$202,$A192))</f>
        <v/>
      </c>
      <c r="E192" s="23">
        <f>IF($C192="","",IF(IFERROR(MATCH($D192,기본자료!$B$2:$B$501,0),IFERROR(MATCH($D192&amp;"",기본자료!$B$2:$B$501,0),IFERROR(MATCH(VALUE($D192),기본자료!$B$2:$B$501,0),0)))&gt;0,"확인","미등록"))</f>
        <v/>
      </c>
      <c r="F192" s="27">
        <f>IF($C192="","",INDEX(인턴근무계획!$S$3:$S$202,$A192))</f>
        <v/>
      </c>
      <c r="G192" s="23">
        <f>IF(OR($C192="",$G$3=""),"",IF(INDEX(인턴근무계획!$M$3:$R$202,$A192,$G$3)&amp;""="","",IF(LEFT(INDEX(인턴근무계획!$M$3:$R$202,$A192,$G$3)&amp;"",1)="⚠",INDEX(인턴근무계획!$M$3:$R$202,$A192,$G$3)&amp;"",LEFT(INDEX(인턴근무계획!$M$3:$R$202,$A192,$G$3)&amp;"",FIND(" ",INDEX(인턴근무계획!$M$3:$R$202,$A192,$G$3)&amp;"")-1))))</f>
        <v/>
      </c>
      <c r="H192" s="23">
        <f>IF(OR($C192="",$G$3=""),"",IF(INDEX(인턴근무계획!$M$3:$R$202,$A192,$G$3)&amp;""="","",IF(LEFT(INDEX(인턴근무계획!$M$3:$R$202,$A192,$G$3)&amp;"",1)="⚠","",MID(INDEX(인턴근무계획!$M$3:$R$202,$A192,$G$3)&amp;"",FIND(" ",INDEX(인턴근무계획!$M$3:$R$202,$A192,$G$3)&amp;"")+1,60))))</f>
        <v/>
      </c>
      <c r="I192" s="23">
        <f>IF(OR($C192="",$I$3=""),"",IF(INDEX(인턴근무계획!$M$3:$R$202,$A192,$I$3)&amp;""="","",IF(LEFT(INDEX(인턴근무계획!$M$3:$R$202,$A192,$I$3)&amp;"",1)="⚠",INDEX(인턴근무계획!$M$3:$R$202,$A192,$I$3)&amp;"",LEFT(INDEX(인턴근무계획!$M$3:$R$202,$A192,$I$3)&amp;"",FIND(" ",INDEX(인턴근무계획!$M$3:$R$202,$A192,$I$3)&amp;"")-1))))</f>
        <v/>
      </c>
      <c r="J192" s="23">
        <f>IF(OR($C192="",$I$3=""),"",IF(INDEX(인턴근무계획!$M$3:$R$202,$A192,$I$3)&amp;""="","",IF(LEFT(INDEX(인턴근무계획!$M$3:$R$202,$A192,$I$3)&amp;"",1)="⚠","",MID(INDEX(인턴근무계획!$M$3:$R$202,$A192,$I$3)&amp;"",FIND(" ",INDEX(인턴근무계획!$M$3:$R$202,$A192,$I$3)&amp;"")+1,60))))</f>
        <v/>
      </c>
      <c r="K192" s="23">
        <f>IF($C192="","",INDEX(인턴근무계획!$M$3:$M$202,$A192)&amp;"")</f>
        <v/>
      </c>
      <c r="L192" s="23">
        <f>IF($C192="","",INDEX(인턴근무계획!$N$3:$N$202,$A192)&amp;"")</f>
        <v/>
      </c>
      <c r="M192" s="23">
        <f>IF($C192="","",INDEX(인턴근무계획!$O$3:$O$202,$A192)&amp;"")</f>
        <v/>
      </c>
      <c r="N192" s="23">
        <f>IF($C192="","",INDEX(인턴근무계획!$P$3:$P$202,$A192)&amp;"")</f>
        <v/>
      </c>
      <c r="O192" s="23">
        <f>IF($C192="","",INDEX(인턴근무계획!$Q$3:$Q$202,$A192)&amp;"")</f>
        <v/>
      </c>
      <c r="P192" s="23">
        <f>IF($C192="","",INDEX(인턴근무계획!$R$3:$R$202,$A192)&amp;"")</f>
        <v/>
      </c>
      <c r="Q192" s="23">
        <f>IF($C192="","",INDEX(인턴근무계획!$T$3:$T$202,$A192))</f>
        <v/>
      </c>
    </row>
    <row r="193">
      <c r="A193" s="26" t="n">
        <v>188</v>
      </c>
      <c r="B193" s="23">
        <f>IF($C193="","",INDEX(인턴근무계획!$B$3:$B$202,$A193))</f>
        <v/>
      </c>
      <c r="C193" s="23">
        <f>IFERROR(TRIM(INDEX(인턴근무계획!$C$3:$C$202,$A193)&amp;""),"")</f>
        <v/>
      </c>
      <c r="D193" s="23">
        <f>IF($C193="","",INDEX(인턴근무계획!$D$3:$D$202,$A193))</f>
        <v/>
      </c>
      <c r="E193" s="23">
        <f>IF($C193="","",IF(IFERROR(MATCH($D193,기본자료!$B$2:$B$501,0),IFERROR(MATCH($D193&amp;"",기본자료!$B$2:$B$501,0),IFERROR(MATCH(VALUE($D193),기본자료!$B$2:$B$501,0),0)))&gt;0,"확인","미등록"))</f>
        <v/>
      </c>
      <c r="F193" s="27">
        <f>IF($C193="","",INDEX(인턴근무계획!$S$3:$S$202,$A193))</f>
        <v/>
      </c>
      <c r="G193" s="23">
        <f>IF(OR($C193="",$G$3=""),"",IF(INDEX(인턴근무계획!$M$3:$R$202,$A193,$G$3)&amp;""="","",IF(LEFT(INDEX(인턴근무계획!$M$3:$R$202,$A193,$G$3)&amp;"",1)="⚠",INDEX(인턴근무계획!$M$3:$R$202,$A193,$G$3)&amp;"",LEFT(INDEX(인턴근무계획!$M$3:$R$202,$A193,$G$3)&amp;"",FIND(" ",INDEX(인턴근무계획!$M$3:$R$202,$A193,$G$3)&amp;"")-1))))</f>
        <v/>
      </c>
      <c r="H193" s="23">
        <f>IF(OR($C193="",$G$3=""),"",IF(INDEX(인턴근무계획!$M$3:$R$202,$A193,$G$3)&amp;""="","",IF(LEFT(INDEX(인턴근무계획!$M$3:$R$202,$A193,$G$3)&amp;"",1)="⚠","",MID(INDEX(인턴근무계획!$M$3:$R$202,$A193,$G$3)&amp;"",FIND(" ",INDEX(인턴근무계획!$M$3:$R$202,$A193,$G$3)&amp;"")+1,60))))</f>
        <v/>
      </c>
      <c r="I193" s="23">
        <f>IF(OR($C193="",$I$3=""),"",IF(INDEX(인턴근무계획!$M$3:$R$202,$A193,$I$3)&amp;""="","",IF(LEFT(INDEX(인턴근무계획!$M$3:$R$202,$A193,$I$3)&amp;"",1)="⚠",INDEX(인턴근무계획!$M$3:$R$202,$A193,$I$3)&amp;"",LEFT(INDEX(인턴근무계획!$M$3:$R$202,$A193,$I$3)&amp;"",FIND(" ",INDEX(인턴근무계획!$M$3:$R$202,$A193,$I$3)&amp;"")-1))))</f>
        <v/>
      </c>
      <c r="J193" s="23">
        <f>IF(OR($C193="",$I$3=""),"",IF(INDEX(인턴근무계획!$M$3:$R$202,$A193,$I$3)&amp;""="","",IF(LEFT(INDEX(인턴근무계획!$M$3:$R$202,$A193,$I$3)&amp;"",1)="⚠","",MID(INDEX(인턴근무계획!$M$3:$R$202,$A193,$I$3)&amp;"",FIND(" ",INDEX(인턴근무계획!$M$3:$R$202,$A193,$I$3)&amp;"")+1,60))))</f>
        <v/>
      </c>
      <c r="K193" s="23">
        <f>IF($C193="","",INDEX(인턴근무계획!$M$3:$M$202,$A193)&amp;"")</f>
        <v/>
      </c>
      <c r="L193" s="23">
        <f>IF($C193="","",INDEX(인턴근무계획!$N$3:$N$202,$A193)&amp;"")</f>
        <v/>
      </c>
      <c r="M193" s="23">
        <f>IF($C193="","",INDEX(인턴근무계획!$O$3:$O$202,$A193)&amp;"")</f>
        <v/>
      </c>
      <c r="N193" s="23">
        <f>IF($C193="","",INDEX(인턴근무계획!$P$3:$P$202,$A193)&amp;"")</f>
        <v/>
      </c>
      <c r="O193" s="23">
        <f>IF($C193="","",INDEX(인턴근무계획!$Q$3:$Q$202,$A193)&amp;"")</f>
        <v/>
      </c>
      <c r="P193" s="23">
        <f>IF($C193="","",INDEX(인턴근무계획!$R$3:$R$202,$A193)&amp;"")</f>
        <v/>
      </c>
      <c r="Q193" s="23">
        <f>IF($C193="","",INDEX(인턴근무계획!$T$3:$T$202,$A193))</f>
        <v/>
      </c>
    </row>
    <row r="194">
      <c r="A194" s="26" t="n">
        <v>189</v>
      </c>
      <c r="B194" s="23">
        <f>IF($C194="","",INDEX(인턴근무계획!$B$3:$B$202,$A194))</f>
        <v/>
      </c>
      <c r="C194" s="23">
        <f>IFERROR(TRIM(INDEX(인턴근무계획!$C$3:$C$202,$A194)&amp;""),"")</f>
        <v/>
      </c>
      <c r="D194" s="23">
        <f>IF($C194="","",INDEX(인턴근무계획!$D$3:$D$202,$A194))</f>
        <v/>
      </c>
      <c r="E194" s="23">
        <f>IF($C194="","",IF(IFERROR(MATCH($D194,기본자료!$B$2:$B$501,0),IFERROR(MATCH($D194&amp;"",기본자료!$B$2:$B$501,0),IFERROR(MATCH(VALUE($D194),기본자료!$B$2:$B$501,0),0)))&gt;0,"확인","미등록"))</f>
        <v/>
      </c>
      <c r="F194" s="27">
        <f>IF($C194="","",INDEX(인턴근무계획!$S$3:$S$202,$A194))</f>
        <v/>
      </c>
      <c r="G194" s="23">
        <f>IF(OR($C194="",$G$3=""),"",IF(INDEX(인턴근무계획!$M$3:$R$202,$A194,$G$3)&amp;""="","",IF(LEFT(INDEX(인턴근무계획!$M$3:$R$202,$A194,$G$3)&amp;"",1)="⚠",INDEX(인턴근무계획!$M$3:$R$202,$A194,$G$3)&amp;"",LEFT(INDEX(인턴근무계획!$M$3:$R$202,$A194,$G$3)&amp;"",FIND(" ",INDEX(인턴근무계획!$M$3:$R$202,$A194,$G$3)&amp;"")-1))))</f>
        <v/>
      </c>
      <c r="H194" s="23">
        <f>IF(OR($C194="",$G$3=""),"",IF(INDEX(인턴근무계획!$M$3:$R$202,$A194,$G$3)&amp;""="","",IF(LEFT(INDEX(인턴근무계획!$M$3:$R$202,$A194,$G$3)&amp;"",1)="⚠","",MID(INDEX(인턴근무계획!$M$3:$R$202,$A194,$G$3)&amp;"",FIND(" ",INDEX(인턴근무계획!$M$3:$R$202,$A194,$G$3)&amp;"")+1,60))))</f>
        <v/>
      </c>
      <c r="I194" s="23">
        <f>IF(OR($C194="",$I$3=""),"",IF(INDEX(인턴근무계획!$M$3:$R$202,$A194,$I$3)&amp;""="","",IF(LEFT(INDEX(인턴근무계획!$M$3:$R$202,$A194,$I$3)&amp;"",1)="⚠",INDEX(인턴근무계획!$M$3:$R$202,$A194,$I$3)&amp;"",LEFT(INDEX(인턴근무계획!$M$3:$R$202,$A194,$I$3)&amp;"",FIND(" ",INDEX(인턴근무계획!$M$3:$R$202,$A194,$I$3)&amp;"")-1))))</f>
        <v/>
      </c>
      <c r="J194" s="23">
        <f>IF(OR($C194="",$I$3=""),"",IF(INDEX(인턴근무계획!$M$3:$R$202,$A194,$I$3)&amp;""="","",IF(LEFT(INDEX(인턴근무계획!$M$3:$R$202,$A194,$I$3)&amp;"",1)="⚠","",MID(INDEX(인턴근무계획!$M$3:$R$202,$A194,$I$3)&amp;"",FIND(" ",INDEX(인턴근무계획!$M$3:$R$202,$A194,$I$3)&amp;"")+1,60))))</f>
        <v/>
      </c>
      <c r="K194" s="23">
        <f>IF($C194="","",INDEX(인턴근무계획!$M$3:$M$202,$A194)&amp;"")</f>
        <v/>
      </c>
      <c r="L194" s="23">
        <f>IF($C194="","",INDEX(인턴근무계획!$N$3:$N$202,$A194)&amp;"")</f>
        <v/>
      </c>
      <c r="M194" s="23">
        <f>IF($C194="","",INDEX(인턴근무계획!$O$3:$O$202,$A194)&amp;"")</f>
        <v/>
      </c>
      <c r="N194" s="23">
        <f>IF($C194="","",INDEX(인턴근무계획!$P$3:$P$202,$A194)&amp;"")</f>
        <v/>
      </c>
      <c r="O194" s="23">
        <f>IF($C194="","",INDEX(인턴근무계획!$Q$3:$Q$202,$A194)&amp;"")</f>
        <v/>
      </c>
      <c r="P194" s="23">
        <f>IF($C194="","",INDEX(인턴근무계획!$R$3:$R$202,$A194)&amp;"")</f>
        <v/>
      </c>
      <c r="Q194" s="23">
        <f>IF($C194="","",INDEX(인턴근무계획!$T$3:$T$202,$A194))</f>
        <v/>
      </c>
    </row>
    <row r="195">
      <c r="A195" s="26" t="n">
        <v>190</v>
      </c>
      <c r="B195" s="23">
        <f>IF($C195="","",INDEX(인턴근무계획!$B$3:$B$202,$A195))</f>
        <v/>
      </c>
      <c r="C195" s="23">
        <f>IFERROR(TRIM(INDEX(인턴근무계획!$C$3:$C$202,$A195)&amp;""),"")</f>
        <v/>
      </c>
      <c r="D195" s="23">
        <f>IF($C195="","",INDEX(인턴근무계획!$D$3:$D$202,$A195))</f>
        <v/>
      </c>
      <c r="E195" s="23">
        <f>IF($C195="","",IF(IFERROR(MATCH($D195,기본자료!$B$2:$B$501,0),IFERROR(MATCH($D195&amp;"",기본자료!$B$2:$B$501,0),IFERROR(MATCH(VALUE($D195),기본자료!$B$2:$B$501,0),0)))&gt;0,"확인","미등록"))</f>
        <v/>
      </c>
      <c r="F195" s="27">
        <f>IF($C195="","",INDEX(인턴근무계획!$S$3:$S$202,$A195))</f>
        <v/>
      </c>
      <c r="G195" s="23">
        <f>IF(OR($C195="",$G$3=""),"",IF(INDEX(인턴근무계획!$M$3:$R$202,$A195,$G$3)&amp;""="","",IF(LEFT(INDEX(인턴근무계획!$M$3:$R$202,$A195,$G$3)&amp;"",1)="⚠",INDEX(인턴근무계획!$M$3:$R$202,$A195,$G$3)&amp;"",LEFT(INDEX(인턴근무계획!$M$3:$R$202,$A195,$G$3)&amp;"",FIND(" ",INDEX(인턴근무계획!$M$3:$R$202,$A195,$G$3)&amp;"")-1))))</f>
        <v/>
      </c>
      <c r="H195" s="23">
        <f>IF(OR($C195="",$G$3=""),"",IF(INDEX(인턴근무계획!$M$3:$R$202,$A195,$G$3)&amp;""="","",IF(LEFT(INDEX(인턴근무계획!$M$3:$R$202,$A195,$G$3)&amp;"",1)="⚠","",MID(INDEX(인턴근무계획!$M$3:$R$202,$A195,$G$3)&amp;"",FIND(" ",INDEX(인턴근무계획!$M$3:$R$202,$A195,$G$3)&amp;"")+1,60))))</f>
        <v/>
      </c>
      <c r="I195" s="23">
        <f>IF(OR($C195="",$I$3=""),"",IF(INDEX(인턴근무계획!$M$3:$R$202,$A195,$I$3)&amp;""="","",IF(LEFT(INDEX(인턴근무계획!$M$3:$R$202,$A195,$I$3)&amp;"",1)="⚠",INDEX(인턴근무계획!$M$3:$R$202,$A195,$I$3)&amp;"",LEFT(INDEX(인턴근무계획!$M$3:$R$202,$A195,$I$3)&amp;"",FIND(" ",INDEX(인턴근무계획!$M$3:$R$202,$A195,$I$3)&amp;"")-1))))</f>
        <v/>
      </c>
      <c r="J195" s="23">
        <f>IF(OR($C195="",$I$3=""),"",IF(INDEX(인턴근무계획!$M$3:$R$202,$A195,$I$3)&amp;""="","",IF(LEFT(INDEX(인턴근무계획!$M$3:$R$202,$A195,$I$3)&amp;"",1)="⚠","",MID(INDEX(인턴근무계획!$M$3:$R$202,$A195,$I$3)&amp;"",FIND(" ",INDEX(인턴근무계획!$M$3:$R$202,$A195,$I$3)&amp;"")+1,60))))</f>
        <v/>
      </c>
      <c r="K195" s="23">
        <f>IF($C195="","",INDEX(인턴근무계획!$M$3:$M$202,$A195)&amp;"")</f>
        <v/>
      </c>
      <c r="L195" s="23">
        <f>IF($C195="","",INDEX(인턴근무계획!$N$3:$N$202,$A195)&amp;"")</f>
        <v/>
      </c>
      <c r="M195" s="23">
        <f>IF($C195="","",INDEX(인턴근무계획!$O$3:$O$202,$A195)&amp;"")</f>
        <v/>
      </c>
      <c r="N195" s="23">
        <f>IF($C195="","",INDEX(인턴근무계획!$P$3:$P$202,$A195)&amp;"")</f>
        <v/>
      </c>
      <c r="O195" s="23">
        <f>IF($C195="","",INDEX(인턴근무계획!$Q$3:$Q$202,$A195)&amp;"")</f>
        <v/>
      </c>
      <c r="P195" s="23">
        <f>IF($C195="","",INDEX(인턴근무계획!$R$3:$R$202,$A195)&amp;"")</f>
        <v/>
      </c>
      <c r="Q195" s="23">
        <f>IF($C195="","",INDEX(인턴근무계획!$T$3:$T$202,$A195))</f>
        <v/>
      </c>
    </row>
    <row r="196">
      <c r="A196" s="26" t="n">
        <v>191</v>
      </c>
      <c r="B196" s="23">
        <f>IF($C196="","",INDEX(인턴근무계획!$B$3:$B$202,$A196))</f>
        <v/>
      </c>
      <c r="C196" s="23">
        <f>IFERROR(TRIM(INDEX(인턴근무계획!$C$3:$C$202,$A196)&amp;""),"")</f>
        <v/>
      </c>
      <c r="D196" s="23">
        <f>IF($C196="","",INDEX(인턴근무계획!$D$3:$D$202,$A196))</f>
        <v/>
      </c>
      <c r="E196" s="23">
        <f>IF($C196="","",IF(IFERROR(MATCH($D196,기본자료!$B$2:$B$501,0),IFERROR(MATCH($D196&amp;"",기본자료!$B$2:$B$501,0),IFERROR(MATCH(VALUE($D196),기본자료!$B$2:$B$501,0),0)))&gt;0,"확인","미등록"))</f>
        <v/>
      </c>
      <c r="F196" s="27">
        <f>IF($C196="","",INDEX(인턴근무계획!$S$3:$S$202,$A196))</f>
        <v/>
      </c>
      <c r="G196" s="23">
        <f>IF(OR($C196="",$G$3=""),"",IF(INDEX(인턴근무계획!$M$3:$R$202,$A196,$G$3)&amp;""="","",IF(LEFT(INDEX(인턴근무계획!$M$3:$R$202,$A196,$G$3)&amp;"",1)="⚠",INDEX(인턴근무계획!$M$3:$R$202,$A196,$G$3)&amp;"",LEFT(INDEX(인턴근무계획!$M$3:$R$202,$A196,$G$3)&amp;"",FIND(" ",INDEX(인턴근무계획!$M$3:$R$202,$A196,$G$3)&amp;"")-1))))</f>
        <v/>
      </c>
      <c r="H196" s="23">
        <f>IF(OR($C196="",$G$3=""),"",IF(INDEX(인턴근무계획!$M$3:$R$202,$A196,$G$3)&amp;""="","",IF(LEFT(INDEX(인턴근무계획!$M$3:$R$202,$A196,$G$3)&amp;"",1)="⚠","",MID(INDEX(인턴근무계획!$M$3:$R$202,$A196,$G$3)&amp;"",FIND(" ",INDEX(인턴근무계획!$M$3:$R$202,$A196,$G$3)&amp;"")+1,60))))</f>
        <v/>
      </c>
      <c r="I196" s="23">
        <f>IF(OR($C196="",$I$3=""),"",IF(INDEX(인턴근무계획!$M$3:$R$202,$A196,$I$3)&amp;""="","",IF(LEFT(INDEX(인턴근무계획!$M$3:$R$202,$A196,$I$3)&amp;"",1)="⚠",INDEX(인턴근무계획!$M$3:$R$202,$A196,$I$3)&amp;"",LEFT(INDEX(인턴근무계획!$M$3:$R$202,$A196,$I$3)&amp;"",FIND(" ",INDEX(인턴근무계획!$M$3:$R$202,$A196,$I$3)&amp;"")-1))))</f>
        <v/>
      </c>
      <c r="J196" s="23">
        <f>IF(OR($C196="",$I$3=""),"",IF(INDEX(인턴근무계획!$M$3:$R$202,$A196,$I$3)&amp;""="","",IF(LEFT(INDEX(인턴근무계획!$M$3:$R$202,$A196,$I$3)&amp;"",1)="⚠","",MID(INDEX(인턴근무계획!$M$3:$R$202,$A196,$I$3)&amp;"",FIND(" ",INDEX(인턴근무계획!$M$3:$R$202,$A196,$I$3)&amp;"")+1,60))))</f>
        <v/>
      </c>
      <c r="K196" s="23">
        <f>IF($C196="","",INDEX(인턴근무계획!$M$3:$M$202,$A196)&amp;"")</f>
        <v/>
      </c>
      <c r="L196" s="23">
        <f>IF($C196="","",INDEX(인턴근무계획!$N$3:$N$202,$A196)&amp;"")</f>
        <v/>
      </c>
      <c r="M196" s="23">
        <f>IF($C196="","",INDEX(인턴근무계획!$O$3:$O$202,$A196)&amp;"")</f>
        <v/>
      </c>
      <c r="N196" s="23">
        <f>IF($C196="","",INDEX(인턴근무계획!$P$3:$P$202,$A196)&amp;"")</f>
        <v/>
      </c>
      <c r="O196" s="23">
        <f>IF($C196="","",INDEX(인턴근무계획!$Q$3:$Q$202,$A196)&amp;"")</f>
        <v/>
      </c>
      <c r="P196" s="23">
        <f>IF($C196="","",INDEX(인턴근무계획!$R$3:$R$202,$A196)&amp;"")</f>
        <v/>
      </c>
      <c r="Q196" s="23">
        <f>IF($C196="","",INDEX(인턴근무계획!$T$3:$T$202,$A196))</f>
        <v/>
      </c>
    </row>
    <row r="197">
      <c r="A197" s="26" t="n">
        <v>192</v>
      </c>
      <c r="B197" s="23">
        <f>IF($C197="","",INDEX(인턴근무계획!$B$3:$B$202,$A197))</f>
        <v/>
      </c>
      <c r="C197" s="23">
        <f>IFERROR(TRIM(INDEX(인턴근무계획!$C$3:$C$202,$A197)&amp;""),"")</f>
        <v/>
      </c>
      <c r="D197" s="23">
        <f>IF($C197="","",INDEX(인턴근무계획!$D$3:$D$202,$A197))</f>
        <v/>
      </c>
      <c r="E197" s="23">
        <f>IF($C197="","",IF(IFERROR(MATCH($D197,기본자료!$B$2:$B$501,0),IFERROR(MATCH($D197&amp;"",기본자료!$B$2:$B$501,0),IFERROR(MATCH(VALUE($D197),기본자료!$B$2:$B$501,0),0)))&gt;0,"확인","미등록"))</f>
        <v/>
      </c>
      <c r="F197" s="27">
        <f>IF($C197="","",INDEX(인턴근무계획!$S$3:$S$202,$A197))</f>
        <v/>
      </c>
      <c r="G197" s="23">
        <f>IF(OR($C197="",$G$3=""),"",IF(INDEX(인턴근무계획!$M$3:$R$202,$A197,$G$3)&amp;""="","",IF(LEFT(INDEX(인턴근무계획!$M$3:$R$202,$A197,$G$3)&amp;"",1)="⚠",INDEX(인턴근무계획!$M$3:$R$202,$A197,$G$3)&amp;"",LEFT(INDEX(인턴근무계획!$M$3:$R$202,$A197,$G$3)&amp;"",FIND(" ",INDEX(인턴근무계획!$M$3:$R$202,$A197,$G$3)&amp;"")-1))))</f>
        <v/>
      </c>
      <c r="H197" s="23">
        <f>IF(OR($C197="",$G$3=""),"",IF(INDEX(인턴근무계획!$M$3:$R$202,$A197,$G$3)&amp;""="","",IF(LEFT(INDEX(인턴근무계획!$M$3:$R$202,$A197,$G$3)&amp;"",1)="⚠","",MID(INDEX(인턴근무계획!$M$3:$R$202,$A197,$G$3)&amp;"",FIND(" ",INDEX(인턴근무계획!$M$3:$R$202,$A197,$G$3)&amp;"")+1,60))))</f>
        <v/>
      </c>
      <c r="I197" s="23">
        <f>IF(OR($C197="",$I$3=""),"",IF(INDEX(인턴근무계획!$M$3:$R$202,$A197,$I$3)&amp;""="","",IF(LEFT(INDEX(인턴근무계획!$M$3:$R$202,$A197,$I$3)&amp;"",1)="⚠",INDEX(인턴근무계획!$M$3:$R$202,$A197,$I$3)&amp;"",LEFT(INDEX(인턴근무계획!$M$3:$R$202,$A197,$I$3)&amp;"",FIND(" ",INDEX(인턴근무계획!$M$3:$R$202,$A197,$I$3)&amp;"")-1))))</f>
        <v/>
      </c>
      <c r="J197" s="23">
        <f>IF(OR($C197="",$I$3=""),"",IF(INDEX(인턴근무계획!$M$3:$R$202,$A197,$I$3)&amp;""="","",IF(LEFT(INDEX(인턴근무계획!$M$3:$R$202,$A197,$I$3)&amp;"",1)="⚠","",MID(INDEX(인턴근무계획!$M$3:$R$202,$A197,$I$3)&amp;"",FIND(" ",INDEX(인턴근무계획!$M$3:$R$202,$A197,$I$3)&amp;"")+1,60))))</f>
        <v/>
      </c>
      <c r="K197" s="23">
        <f>IF($C197="","",INDEX(인턴근무계획!$M$3:$M$202,$A197)&amp;"")</f>
        <v/>
      </c>
      <c r="L197" s="23">
        <f>IF($C197="","",INDEX(인턴근무계획!$N$3:$N$202,$A197)&amp;"")</f>
        <v/>
      </c>
      <c r="M197" s="23">
        <f>IF($C197="","",INDEX(인턴근무계획!$O$3:$O$202,$A197)&amp;"")</f>
        <v/>
      </c>
      <c r="N197" s="23">
        <f>IF($C197="","",INDEX(인턴근무계획!$P$3:$P$202,$A197)&amp;"")</f>
        <v/>
      </c>
      <c r="O197" s="23">
        <f>IF($C197="","",INDEX(인턴근무계획!$Q$3:$Q$202,$A197)&amp;"")</f>
        <v/>
      </c>
      <c r="P197" s="23">
        <f>IF($C197="","",INDEX(인턴근무계획!$R$3:$R$202,$A197)&amp;"")</f>
        <v/>
      </c>
      <c r="Q197" s="23">
        <f>IF($C197="","",INDEX(인턴근무계획!$T$3:$T$202,$A197))</f>
        <v/>
      </c>
    </row>
    <row r="198">
      <c r="A198" s="26" t="n">
        <v>193</v>
      </c>
      <c r="B198" s="23">
        <f>IF($C198="","",INDEX(인턴근무계획!$B$3:$B$202,$A198))</f>
        <v/>
      </c>
      <c r="C198" s="23">
        <f>IFERROR(TRIM(INDEX(인턴근무계획!$C$3:$C$202,$A198)&amp;""),"")</f>
        <v/>
      </c>
      <c r="D198" s="23">
        <f>IF($C198="","",INDEX(인턴근무계획!$D$3:$D$202,$A198))</f>
        <v/>
      </c>
      <c r="E198" s="23">
        <f>IF($C198="","",IF(IFERROR(MATCH($D198,기본자료!$B$2:$B$501,0),IFERROR(MATCH($D198&amp;"",기본자료!$B$2:$B$501,0),IFERROR(MATCH(VALUE($D198),기본자료!$B$2:$B$501,0),0)))&gt;0,"확인","미등록"))</f>
        <v/>
      </c>
      <c r="F198" s="27">
        <f>IF($C198="","",INDEX(인턴근무계획!$S$3:$S$202,$A198))</f>
        <v/>
      </c>
      <c r="G198" s="23">
        <f>IF(OR($C198="",$G$3=""),"",IF(INDEX(인턴근무계획!$M$3:$R$202,$A198,$G$3)&amp;""="","",IF(LEFT(INDEX(인턴근무계획!$M$3:$R$202,$A198,$G$3)&amp;"",1)="⚠",INDEX(인턴근무계획!$M$3:$R$202,$A198,$G$3)&amp;"",LEFT(INDEX(인턴근무계획!$M$3:$R$202,$A198,$G$3)&amp;"",FIND(" ",INDEX(인턴근무계획!$M$3:$R$202,$A198,$G$3)&amp;"")-1))))</f>
        <v/>
      </c>
      <c r="H198" s="23">
        <f>IF(OR($C198="",$G$3=""),"",IF(INDEX(인턴근무계획!$M$3:$R$202,$A198,$G$3)&amp;""="","",IF(LEFT(INDEX(인턴근무계획!$M$3:$R$202,$A198,$G$3)&amp;"",1)="⚠","",MID(INDEX(인턴근무계획!$M$3:$R$202,$A198,$G$3)&amp;"",FIND(" ",INDEX(인턴근무계획!$M$3:$R$202,$A198,$G$3)&amp;"")+1,60))))</f>
        <v/>
      </c>
      <c r="I198" s="23">
        <f>IF(OR($C198="",$I$3=""),"",IF(INDEX(인턴근무계획!$M$3:$R$202,$A198,$I$3)&amp;""="","",IF(LEFT(INDEX(인턴근무계획!$M$3:$R$202,$A198,$I$3)&amp;"",1)="⚠",INDEX(인턴근무계획!$M$3:$R$202,$A198,$I$3)&amp;"",LEFT(INDEX(인턴근무계획!$M$3:$R$202,$A198,$I$3)&amp;"",FIND(" ",INDEX(인턴근무계획!$M$3:$R$202,$A198,$I$3)&amp;"")-1))))</f>
        <v/>
      </c>
      <c r="J198" s="23">
        <f>IF(OR($C198="",$I$3=""),"",IF(INDEX(인턴근무계획!$M$3:$R$202,$A198,$I$3)&amp;""="","",IF(LEFT(INDEX(인턴근무계획!$M$3:$R$202,$A198,$I$3)&amp;"",1)="⚠","",MID(INDEX(인턴근무계획!$M$3:$R$202,$A198,$I$3)&amp;"",FIND(" ",INDEX(인턴근무계획!$M$3:$R$202,$A198,$I$3)&amp;"")+1,60))))</f>
        <v/>
      </c>
      <c r="K198" s="23">
        <f>IF($C198="","",INDEX(인턴근무계획!$M$3:$M$202,$A198)&amp;"")</f>
        <v/>
      </c>
      <c r="L198" s="23">
        <f>IF($C198="","",INDEX(인턴근무계획!$N$3:$N$202,$A198)&amp;"")</f>
        <v/>
      </c>
      <c r="M198" s="23">
        <f>IF($C198="","",INDEX(인턴근무계획!$O$3:$O$202,$A198)&amp;"")</f>
        <v/>
      </c>
      <c r="N198" s="23">
        <f>IF($C198="","",INDEX(인턴근무계획!$P$3:$P$202,$A198)&amp;"")</f>
        <v/>
      </c>
      <c r="O198" s="23">
        <f>IF($C198="","",INDEX(인턴근무계획!$Q$3:$Q$202,$A198)&amp;"")</f>
        <v/>
      </c>
      <c r="P198" s="23">
        <f>IF($C198="","",INDEX(인턴근무계획!$R$3:$R$202,$A198)&amp;"")</f>
        <v/>
      </c>
      <c r="Q198" s="23">
        <f>IF($C198="","",INDEX(인턴근무계획!$T$3:$T$202,$A198))</f>
        <v/>
      </c>
    </row>
    <row r="199">
      <c r="A199" s="26" t="n">
        <v>194</v>
      </c>
      <c r="B199" s="23">
        <f>IF($C199="","",INDEX(인턴근무계획!$B$3:$B$202,$A199))</f>
        <v/>
      </c>
      <c r="C199" s="23">
        <f>IFERROR(TRIM(INDEX(인턴근무계획!$C$3:$C$202,$A199)&amp;""),"")</f>
        <v/>
      </c>
      <c r="D199" s="23">
        <f>IF($C199="","",INDEX(인턴근무계획!$D$3:$D$202,$A199))</f>
        <v/>
      </c>
      <c r="E199" s="23">
        <f>IF($C199="","",IF(IFERROR(MATCH($D199,기본자료!$B$2:$B$501,0),IFERROR(MATCH($D199&amp;"",기본자료!$B$2:$B$501,0),IFERROR(MATCH(VALUE($D199),기본자료!$B$2:$B$501,0),0)))&gt;0,"확인","미등록"))</f>
        <v/>
      </c>
      <c r="F199" s="27">
        <f>IF($C199="","",INDEX(인턴근무계획!$S$3:$S$202,$A199))</f>
        <v/>
      </c>
      <c r="G199" s="23">
        <f>IF(OR($C199="",$G$3=""),"",IF(INDEX(인턴근무계획!$M$3:$R$202,$A199,$G$3)&amp;""="","",IF(LEFT(INDEX(인턴근무계획!$M$3:$R$202,$A199,$G$3)&amp;"",1)="⚠",INDEX(인턴근무계획!$M$3:$R$202,$A199,$G$3)&amp;"",LEFT(INDEX(인턴근무계획!$M$3:$R$202,$A199,$G$3)&amp;"",FIND(" ",INDEX(인턴근무계획!$M$3:$R$202,$A199,$G$3)&amp;"")-1))))</f>
        <v/>
      </c>
      <c r="H199" s="23">
        <f>IF(OR($C199="",$G$3=""),"",IF(INDEX(인턴근무계획!$M$3:$R$202,$A199,$G$3)&amp;""="","",IF(LEFT(INDEX(인턴근무계획!$M$3:$R$202,$A199,$G$3)&amp;"",1)="⚠","",MID(INDEX(인턴근무계획!$M$3:$R$202,$A199,$G$3)&amp;"",FIND(" ",INDEX(인턴근무계획!$M$3:$R$202,$A199,$G$3)&amp;"")+1,60))))</f>
        <v/>
      </c>
      <c r="I199" s="23">
        <f>IF(OR($C199="",$I$3=""),"",IF(INDEX(인턴근무계획!$M$3:$R$202,$A199,$I$3)&amp;""="","",IF(LEFT(INDEX(인턴근무계획!$M$3:$R$202,$A199,$I$3)&amp;"",1)="⚠",INDEX(인턴근무계획!$M$3:$R$202,$A199,$I$3)&amp;"",LEFT(INDEX(인턴근무계획!$M$3:$R$202,$A199,$I$3)&amp;"",FIND(" ",INDEX(인턴근무계획!$M$3:$R$202,$A199,$I$3)&amp;"")-1))))</f>
        <v/>
      </c>
      <c r="J199" s="23">
        <f>IF(OR($C199="",$I$3=""),"",IF(INDEX(인턴근무계획!$M$3:$R$202,$A199,$I$3)&amp;""="","",IF(LEFT(INDEX(인턴근무계획!$M$3:$R$202,$A199,$I$3)&amp;"",1)="⚠","",MID(INDEX(인턴근무계획!$M$3:$R$202,$A199,$I$3)&amp;"",FIND(" ",INDEX(인턴근무계획!$M$3:$R$202,$A199,$I$3)&amp;"")+1,60))))</f>
        <v/>
      </c>
      <c r="K199" s="23">
        <f>IF($C199="","",INDEX(인턴근무계획!$M$3:$M$202,$A199)&amp;"")</f>
        <v/>
      </c>
      <c r="L199" s="23">
        <f>IF($C199="","",INDEX(인턴근무계획!$N$3:$N$202,$A199)&amp;"")</f>
        <v/>
      </c>
      <c r="M199" s="23">
        <f>IF($C199="","",INDEX(인턴근무계획!$O$3:$O$202,$A199)&amp;"")</f>
        <v/>
      </c>
      <c r="N199" s="23">
        <f>IF($C199="","",INDEX(인턴근무계획!$P$3:$P$202,$A199)&amp;"")</f>
        <v/>
      </c>
      <c r="O199" s="23">
        <f>IF($C199="","",INDEX(인턴근무계획!$Q$3:$Q$202,$A199)&amp;"")</f>
        <v/>
      </c>
      <c r="P199" s="23">
        <f>IF($C199="","",INDEX(인턴근무계획!$R$3:$R$202,$A199)&amp;"")</f>
        <v/>
      </c>
      <c r="Q199" s="23">
        <f>IF($C199="","",INDEX(인턴근무계획!$T$3:$T$202,$A199))</f>
        <v/>
      </c>
    </row>
    <row r="200">
      <c r="A200" s="26" t="n">
        <v>195</v>
      </c>
      <c r="B200" s="23">
        <f>IF($C200="","",INDEX(인턴근무계획!$B$3:$B$202,$A200))</f>
        <v/>
      </c>
      <c r="C200" s="23">
        <f>IFERROR(TRIM(INDEX(인턴근무계획!$C$3:$C$202,$A200)&amp;""),"")</f>
        <v/>
      </c>
      <c r="D200" s="23">
        <f>IF($C200="","",INDEX(인턴근무계획!$D$3:$D$202,$A200))</f>
        <v/>
      </c>
      <c r="E200" s="23">
        <f>IF($C200="","",IF(IFERROR(MATCH($D200,기본자료!$B$2:$B$501,0),IFERROR(MATCH($D200&amp;"",기본자료!$B$2:$B$501,0),IFERROR(MATCH(VALUE($D200),기본자료!$B$2:$B$501,0),0)))&gt;0,"확인","미등록"))</f>
        <v/>
      </c>
      <c r="F200" s="27">
        <f>IF($C200="","",INDEX(인턴근무계획!$S$3:$S$202,$A200))</f>
        <v/>
      </c>
      <c r="G200" s="23">
        <f>IF(OR($C200="",$G$3=""),"",IF(INDEX(인턴근무계획!$M$3:$R$202,$A200,$G$3)&amp;""="","",IF(LEFT(INDEX(인턴근무계획!$M$3:$R$202,$A200,$G$3)&amp;"",1)="⚠",INDEX(인턴근무계획!$M$3:$R$202,$A200,$G$3)&amp;"",LEFT(INDEX(인턴근무계획!$M$3:$R$202,$A200,$G$3)&amp;"",FIND(" ",INDEX(인턴근무계획!$M$3:$R$202,$A200,$G$3)&amp;"")-1))))</f>
        <v/>
      </c>
      <c r="H200" s="23">
        <f>IF(OR($C200="",$G$3=""),"",IF(INDEX(인턴근무계획!$M$3:$R$202,$A200,$G$3)&amp;""="","",IF(LEFT(INDEX(인턴근무계획!$M$3:$R$202,$A200,$G$3)&amp;"",1)="⚠","",MID(INDEX(인턴근무계획!$M$3:$R$202,$A200,$G$3)&amp;"",FIND(" ",INDEX(인턴근무계획!$M$3:$R$202,$A200,$G$3)&amp;"")+1,60))))</f>
        <v/>
      </c>
      <c r="I200" s="23">
        <f>IF(OR($C200="",$I$3=""),"",IF(INDEX(인턴근무계획!$M$3:$R$202,$A200,$I$3)&amp;""="","",IF(LEFT(INDEX(인턴근무계획!$M$3:$R$202,$A200,$I$3)&amp;"",1)="⚠",INDEX(인턴근무계획!$M$3:$R$202,$A200,$I$3)&amp;"",LEFT(INDEX(인턴근무계획!$M$3:$R$202,$A200,$I$3)&amp;"",FIND(" ",INDEX(인턴근무계획!$M$3:$R$202,$A200,$I$3)&amp;"")-1))))</f>
        <v/>
      </c>
      <c r="J200" s="23">
        <f>IF(OR($C200="",$I$3=""),"",IF(INDEX(인턴근무계획!$M$3:$R$202,$A200,$I$3)&amp;""="","",IF(LEFT(INDEX(인턴근무계획!$M$3:$R$202,$A200,$I$3)&amp;"",1)="⚠","",MID(INDEX(인턴근무계획!$M$3:$R$202,$A200,$I$3)&amp;"",FIND(" ",INDEX(인턴근무계획!$M$3:$R$202,$A200,$I$3)&amp;"")+1,60))))</f>
        <v/>
      </c>
      <c r="K200" s="23">
        <f>IF($C200="","",INDEX(인턴근무계획!$M$3:$M$202,$A200)&amp;"")</f>
        <v/>
      </c>
      <c r="L200" s="23">
        <f>IF($C200="","",INDEX(인턴근무계획!$N$3:$N$202,$A200)&amp;"")</f>
        <v/>
      </c>
      <c r="M200" s="23">
        <f>IF($C200="","",INDEX(인턴근무계획!$O$3:$O$202,$A200)&amp;"")</f>
        <v/>
      </c>
      <c r="N200" s="23">
        <f>IF($C200="","",INDEX(인턴근무계획!$P$3:$P$202,$A200)&amp;"")</f>
        <v/>
      </c>
      <c r="O200" s="23">
        <f>IF($C200="","",INDEX(인턴근무계획!$Q$3:$Q$202,$A200)&amp;"")</f>
        <v/>
      </c>
      <c r="P200" s="23">
        <f>IF($C200="","",INDEX(인턴근무계획!$R$3:$R$202,$A200)&amp;"")</f>
        <v/>
      </c>
      <c r="Q200" s="23">
        <f>IF($C200="","",INDEX(인턴근무계획!$T$3:$T$202,$A200))</f>
        <v/>
      </c>
    </row>
    <row r="201">
      <c r="A201" s="26" t="n">
        <v>196</v>
      </c>
      <c r="B201" s="23">
        <f>IF($C201="","",INDEX(인턴근무계획!$B$3:$B$202,$A201))</f>
        <v/>
      </c>
      <c r="C201" s="23">
        <f>IFERROR(TRIM(INDEX(인턴근무계획!$C$3:$C$202,$A201)&amp;""),"")</f>
        <v/>
      </c>
      <c r="D201" s="23">
        <f>IF($C201="","",INDEX(인턴근무계획!$D$3:$D$202,$A201))</f>
        <v/>
      </c>
      <c r="E201" s="23">
        <f>IF($C201="","",IF(IFERROR(MATCH($D201,기본자료!$B$2:$B$501,0),IFERROR(MATCH($D201&amp;"",기본자료!$B$2:$B$501,0),IFERROR(MATCH(VALUE($D201),기본자료!$B$2:$B$501,0),0)))&gt;0,"확인","미등록"))</f>
        <v/>
      </c>
      <c r="F201" s="27">
        <f>IF($C201="","",INDEX(인턴근무계획!$S$3:$S$202,$A201))</f>
        <v/>
      </c>
      <c r="G201" s="23">
        <f>IF(OR($C201="",$G$3=""),"",IF(INDEX(인턴근무계획!$M$3:$R$202,$A201,$G$3)&amp;""="","",IF(LEFT(INDEX(인턴근무계획!$M$3:$R$202,$A201,$G$3)&amp;"",1)="⚠",INDEX(인턴근무계획!$M$3:$R$202,$A201,$G$3)&amp;"",LEFT(INDEX(인턴근무계획!$M$3:$R$202,$A201,$G$3)&amp;"",FIND(" ",INDEX(인턴근무계획!$M$3:$R$202,$A201,$G$3)&amp;"")-1))))</f>
        <v/>
      </c>
      <c r="H201" s="23">
        <f>IF(OR($C201="",$G$3=""),"",IF(INDEX(인턴근무계획!$M$3:$R$202,$A201,$G$3)&amp;""="","",IF(LEFT(INDEX(인턴근무계획!$M$3:$R$202,$A201,$G$3)&amp;"",1)="⚠","",MID(INDEX(인턴근무계획!$M$3:$R$202,$A201,$G$3)&amp;"",FIND(" ",INDEX(인턴근무계획!$M$3:$R$202,$A201,$G$3)&amp;"")+1,60))))</f>
        <v/>
      </c>
      <c r="I201" s="23">
        <f>IF(OR($C201="",$I$3=""),"",IF(INDEX(인턴근무계획!$M$3:$R$202,$A201,$I$3)&amp;""="","",IF(LEFT(INDEX(인턴근무계획!$M$3:$R$202,$A201,$I$3)&amp;"",1)="⚠",INDEX(인턴근무계획!$M$3:$R$202,$A201,$I$3)&amp;"",LEFT(INDEX(인턴근무계획!$M$3:$R$202,$A201,$I$3)&amp;"",FIND(" ",INDEX(인턴근무계획!$M$3:$R$202,$A201,$I$3)&amp;"")-1))))</f>
        <v/>
      </c>
      <c r="J201" s="23">
        <f>IF(OR($C201="",$I$3=""),"",IF(INDEX(인턴근무계획!$M$3:$R$202,$A201,$I$3)&amp;""="","",IF(LEFT(INDEX(인턴근무계획!$M$3:$R$202,$A201,$I$3)&amp;"",1)="⚠","",MID(INDEX(인턴근무계획!$M$3:$R$202,$A201,$I$3)&amp;"",FIND(" ",INDEX(인턴근무계획!$M$3:$R$202,$A201,$I$3)&amp;"")+1,60))))</f>
        <v/>
      </c>
      <c r="K201" s="23">
        <f>IF($C201="","",INDEX(인턴근무계획!$M$3:$M$202,$A201)&amp;"")</f>
        <v/>
      </c>
      <c r="L201" s="23">
        <f>IF($C201="","",INDEX(인턴근무계획!$N$3:$N$202,$A201)&amp;"")</f>
        <v/>
      </c>
      <c r="M201" s="23">
        <f>IF($C201="","",INDEX(인턴근무계획!$O$3:$O$202,$A201)&amp;"")</f>
        <v/>
      </c>
      <c r="N201" s="23">
        <f>IF($C201="","",INDEX(인턴근무계획!$P$3:$P$202,$A201)&amp;"")</f>
        <v/>
      </c>
      <c r="O201" s="23">
        <f>IF($C201="","",INDEX(인턴근무계획!$Q$3:$Q$202,$A201)&amp;"")</f>
        <v/>
      </c>
      <c r="P201" s="23">
        <f>IF($C201="","",INDEX(인턴근무계획!$R$3:$R$202,$A201)&amp;"")</f>
        <v/>
      </c>
      <c r="Q201" s="23">
        <f>IF($C201="","",INDEX(인턴근무계획!$T$3:$T$202,$A201))</f>
        <v/>
      </c>
    </row>
    <row r="202">
      <c r="A202" s="26" t="n">
        <v>197</v>
      </c>
      <c r="B202" s="23">
        <f>IF($C202="","",INDEX(인턴근무계획!$B$3:$B$202,$A202))</f>
        <v/>
      </c>
      <c r="C202" s="23">
        <f>IFERROR(TRIM(INDEX(인턴근무계획!$C$3:$C$202,$A202)&amp;""),"")</f>
        <v/>
      </c>
      <c r="D202" s="23">
        <f>IF($C202="","",INDEX(인턴근무계획!$D$3:$D$202,$A202))</f>
        <v/>
      </c>
      <c r="E202" s="23">
        <f>IF($C202="","",IF(IFERROR(MATCH($D202,기본자료!$B$2:$B$501,0),IFERROR(MATCH($D202&amp;"",기본자료!$B$2:$B$501,0),IFERROR(MATCH(VALUE($D202),기본자료!$B$2:$B$501,0),0)))&gt;0,"확인","미등록"))</f>
        <v/>
      </c>
      <c r="F202" s="27">
        <f>IF($C202="","",INDEX(인턴근무계획!$S$3:$S$202,$A202))</f>
        <v/>
      </c>
      <c r="G202" s="23">
        <f>IF(OR($C202="",$G$3=""),"",IF(INDEX(인턴근무계획!$M$3:$R$202,$A202,$G$3)&amp;""="","",IF(LEFT(INDEX(인턴근무계획!$M$3:$R$202,$A202,$G$3)&amp;"",1)="⚠",INDEX(인턴근무계획!$M$3:$R$202,$A202,$G$3)&amp;"",LEFT(INDEX(인턴근무계획!$M$3:$R$202,$A202,$G$3)&amp;"",FIND(" ",INDEX(인턴근무계획!$M$3:$R$202,$A202,$G$3)&amp;"")-1))))</f>
        <v/>
      </c>
      <c r="H202" s="23">
        <f>IF(OR($C202="",$G$3=""),"",IF(INDEX(인턴근무계획!$M$3:$R$202,$A202,$G$3)&amp;""="","",IF(LEFT(INDEX(인턴근무계획!$M$3:$R$202,$A202,$G$3)&amp;"",1)="⚠","",MID(INDEX(인턴근무계획!$M$3:$R$202,$A202,$G$3)&amp;"",FIND(" ",INDEX(인턴근무계획!$M$3:$R$202,$A202,$G$3)&amp;"")+1,60))))</f>
        <v/>
      </c>
      <c r="I202" s="23">
        <f>IF(OR($C202="",$I$3=""),"",IF(INDEX(인턴근무계획!$M$3:$R$202,$A202,$I$3)&amp;""="","",IF(LEFT(INDEX(인턴근무계획!$M$3:$R$202,$A202,$I$3)&amp;"",1)="⚠",INDEX(인턴근무계획!$M$3:$R$202,$A202,$I$3)&amp;"",LEFT(INDEX(인턴근무계획!$M$3:$R$202,$A202,$I$3)&amp;"",FIND(" ",INDEX(인턴근무계획!$M$3:$R$202,$A202,$I$3)&amp;"")-1))))</f>
        <v/>
      </c>
      <c r="J202" s="23">
        <f>IF(OR($C202="",$I$3=""),"",IF(INDEX(인턴근무계획!$M$3:$R$202,$A202,$I$3)&amp;""="","",IF(LEFT(INDEX(인턴근무계획!$M$3:$R$202,$A202,$I$3)&amp;"",1)="⚠","",MID(INDEX(인턴근무계획!$M$3:$R$202,$A202,$I$3)&amp;"",FIND(" ",INDEX(인턴근무계획!$M$3:$R$202,$A202,$I$3)&amp;"")+1,60))))</f>
        <v/>
      </c>
      <c r="K202" s="23">
        <f>IF($C202="","",INDEX(인턴근무계획!$M$3:$M$202,$A202)&amp;"")</f>
        <v/>
      </c>
      <c r="L202" s="23">
        <f>IF($C202="","",INDEX(인턴근무계획!$N$3:$N$202,$A202)&amp;"")</f>
        <v/>
      </c>
      <c r="M202" s="23">
        <f>IF($C202="","",INDEX(인턴근무계획!$O$3:$O$202,$A202)&amp;"")</f>
        <v/>
      </c>
      <c r="N202" s="23">
        <f>IF($C202="","",INDEX(인턴근무계획!$P$3:$P$202,$A202)&amp;"")</f>
        <v/>
      </c>
      <c r="O202" s="23">
        <f>IF($C202="","",INDEX(인턴근무계획!$Q$3:$Q$202,$A202)&amp;"")</f>
        <v/>
      </c>
      <c r="P202" s="23">
        <f>IF($C202="","",INDEX(인턴근무계획!$R$3:$R$202,$A202)&amp;"")</f>
        <v/>
      </c>
      <c r="Q202" s="23">
        <f>IF($C202="","",INDEX(인턴근무계획!$T$3:$T$202,$A202))</f>
        <v/>
      </c>
    </row>
    <row r="203">
      <c r="A203" s="26" t="n">
        <v>198</v>
      </c>
      <c r="B203" s="23">
        <f>IF($C203="","",INDEX(인턴근무계획!$B$3:$B$202,$A203))</f>
        <v/>
      </c>
      <c r="C203" s="23">
        <f>IFERROR(TRIM(INDEX(인턴근무계획!$C$3:$C$202,$A203)&amp;""),"")</f>
        <v/>
      </c>
      <c r="D203" s="23">
        <f>IF($C203="","",INDEX(인턴근무계획!$D$3:$D$202,$A203))</f>
        <v/>
      </c>
      <c r="E203" s="23">
        <f>IF($C203="","",IF(IFERROR(MATCH($D203,기본자료!$B$2:$B$501,0),IFERROR(MATCH($D203&amp;"",기본자료!$B$2:$B$501,0),IFERROR(MATCH(VALUE($D203),기본자료!$B$2:$B$501,0),0)))&gt;0,"확인","미등록"))</f>
        <v/>
      </c>
      <c r="F203" s="27">
        <f>IF($C203="","",INDEX(인턴근무계획!$S$3:$S$202,$A203))</f>
        <v/>
      </c>
      <c r="G203" s="23">
        <f>IF(OR($C203="",$G$3=""),"",IF(INDEX(인턴근무계획!$M$3:$R$202,$A203,$G$3)&amp;""="","",IF(LEFT(INDEX(인턴근무계획!$M$3:$R$202,$A203,$G$3)&amp;"",1)="⚠",INDEX(인턴근무계획!$M$3:$R$202,$A203,$G$3)&amp;"",LEFT(INDEX(인턴근무계획!$M$3:$R$202,$A203,$G$3)&amp;"",FIND(" ",INDEX(인턴근무계획!$M$3:$R$202,$A203,$G$3)&amp;"")-1))))</f>
        <v/>
      </c>
      <c r="H203" s="23">
        <f>IF(OR($C203="",$G$3=""),"",IF(INDEX(인턴근무계획!$M$3:$R$202,$A203,$G$3)&amp;""="","",IF(LEFT(INDEX(인턴근무계획!$M$3:$R$202,$A203,$G$3)&amp;"",1)="⚠","",MID(INDEX(인턴근무계획!$M$3:$R$202,$A203,$G$3)&amp;"",FIND(" ",INDEX(인턴근무계획!$M$3:$R$202,$A203,$G$3)&amp;"")+1,60))))</f>
        <v/>
      </c>
      <c r="I203" s="23">
        <f>IF(OR($C203="",$I$3=""),"",IF(INDEX(인턴근무계획!$M$3:$R$202,$A203,$I$3)&amp;""="","",IF(LEFT(INDEX(인턴근무계획!$M$3:$R$202,$A203,$I$3)&amp;"",1)="⚠",INDEX(인턴근무계획!$M$3:$R$202,$A203,$I$3)&amp;"",LEFT(INDEX(인턴근무계획!$M$3:$R$202,$A203,$I$3)&amp;"",FIND(" ",INDEX(인턴근무계획!$M$3:$R$202,$A203,$I$3)&amp;"")-1))))</f>
        <v/>
      </c>
      <c r="J203" s="23">
        <f>IF(OR($C203="",$I$3=""),"",IF(INDEX(인턴근무계획!$M$3:$R$202,$A203,$I$3)&amp;""="","",IF(LEFT(INDEX(인턴근무계획!$M$3:$R$202,$A203,$I$3)&amp;"",1)="⚠","",MID(INDEX(인턴근무계획!$M$3:$R$202,$A203,$I$3)&amp;"",FIND(" ",INDEX(인턴근무계획!$M$3:$R$202,$A203,$I$3)&amp;"")+1,60))))</f>
        <v/>
      </c>
      <c r="K203" s="23">
        <f>IF($C203="","",INDEX(인턴근무계획!$M$3:$M$202,$A203)&amp;"")</f>
        <v/>
      </c>
      <c r="L203" s="23">
        <f>IF($C203="","",INDEX(인턴근무계획!$N$3:$N$202,$A203)&amp;"")</f>
        <v/>
      </c>
      <c r="M203" s="23">
        <f>IF($C203="","",INDEX(인턴근무계획!$O$3:$O$202,$A203)&amp;"")</f>
        <v/>
      </c>
      <c r="N203" s="23">
        <f>IF($C203="","",INDEX(인턴근무계획!$P$3:$P$202,$A203)&amp;"")</f>
        <v/>
      </c>
      <c r="O203" s="23">
        <f>IF($C203="","",INDEX(인턴근무계획!$Q$3:$Q$202,$A203)&amp;"")</f>
        <v/>
      </c>
      <c r="P203" s="23">
        <f>IF($C203="","",INDEX(인턴근무계획!$R$3:$R$202,$A203)&amp;"")</f>
        <v/>
      </c>
      <c r="Q203" s="23">
        <f>IF($C203="","",INDEX(인턴근무계획!$T$3:$T$202,$A203))</f>
        <v/>
      </c>
    </row>
    <row r="204">
      <c r="A204" s="26" t="n">
        <v>199</v>
      </c>
      <c r="B204" s="23">
        <f>IF($C204="","",INDEX(인턴근무계획!$B$3:$B$202,$A204))</f>
        <v/>
      </c>
      <c r="C204" s="23">
        <f>IFERROR(TRIM(INDEX(인턴근무계획!$C$3:$C$202,$A204)&amp;""),"")</f>
        <v/>
      </c>
      <c r="D204" s="23">
        <f>IF($C204="","",INDEX(인턴근무계획!$D$3:$D$202,$A204))</f>
        <v/>
      </c>
      <c r="E204" s="23">
        <f>IF($C204="","",IF(IFERROR(MATCH($D204,기본자료!$B$2:$B$501,0),IFERROR(MATCH($D204&amp;"",기본자료!$B$2:$B$501,0),IFERROR(MATCH(VALUE($D204),기본자료!$B$2:$B$501,0),0)))&gt;0,"확인","미등록"))</f>
        <v/>
      </c>
      <c r="F204" s="27">
        <f>IF($C204="","",INDEX(인턴근무계획!$S$3:$S$202,$A204))</f>
        <v/>
      </c>
      <c r="G204" s="23">
        <f>IF(OR($C204="",$G$3=""),"",IF(INDEX(인턴근무계획!$M$3:$R$202,$A204,$G$3)&amp;""="","",IF(LEFT(INDEX(인턴근무계획!$M$3:$R$202,$A204,$G$3)&amp;"",1)="⚠",INDEX(인턴근무계획!$M$3:$R$202,$A204,$G$3)&amp;"",LEFT(INDEX(인턴근무계획!$M$3:$R$202,$A204,$G$3)&amp;"",FIND(" ",INDEX(인턴근무계획!$M$3:$R$202,$A204,$G$3)&amp;"")-1))))</f>
        <v/>
      </c>
      <c r="H204" s="23">
        <f>IF(OR($C204="",$G$3=""),"",IF(INDEX(인턴근무계획!$M$3:$R$202,$A204,$G$3)&amp;""="","",IF(LEFT(INDEX(인턴근무계획!$M$3:$R$202,$A204,$G$3)&amp;"",1)="⚠","",MID(INDEX(인턴근무계획!$M$3:$R$202,$A204,$G$3)&amp;"",FIND(" ",INDEX(인턴근무계획!$M$3:$R$202,$A204,$G$3)&amp;"")+1,60))))</f>
        <v/>
      </c>
      <c r="I204" s="23">
        <f>IF(OR($C204="",$I$3=""),"",IF(INDEX(인턴근무계획!$M$3:$R$202,$A204,$I$3)&amp;""="","",IF(LEFT(INDEX(인턴근무계획!$M$3:$R$202,$A204,$I$3)&amp;"",1)="⚠",INDEX(인턴근무계획!$M$3:$R$202,$A204,$I$3)&amp;"",LEFT(INDEX(인턴근무계획!$M$3:$R$202,$A204,$I$3)&amp;"",FIND(" ",INDEX(인턴근무계획!$M$3:$R$202,$A204,$I$3)&amp;"")-1))))</f>
        <v/>
      </c>
      <c r="J204" s="23">
        <f>IF(OR($C204="",$I$3=""),"",IF(INDEX(인턴근무계획!$M$3:$R$202,$A204,$I$3)&amp;""="","",IF(LEFT(INDEX(인턴근무계획!$M$3:$R$202,$A204,$I$3)&amp;"",1)="⚠","",MID(INDEX(인턴근무계획!$M$3:$R$202,$A204,$I$3)&amp;"",FIND(" ",INDEX(인턴근무계획!$M$3:$R$202,$A204,$I$3)&amp;"")+1,60))))</f>
        <v/>
      </c>
      <c r="K204" s="23">
        <f>IF($C204="","",INDEX(인턴근무계획!$M$3:$M$202,$A204)&amp;"")</f>
        <v/>
      </c>
      <c r="L204" s="23">
        <f>IF($C204="","",INDEX(인턴근무계획!$N$3:$N$202,$A204)&amp;"")</f>
        <v/>
      </c>
      <c r="M204" s="23">
        <f>IF($C204="","",INDEX(인턴근무계획!$O$3:$O$202,$A204)&amp;"")</f>
        <v/>
      </c>
      <c r="N204" s="23">
        <f>IF($C204="","",INDEX(인턴근무계획!$P$3:$P$202,$A204)&amp;"")</f>
        <v/>
      </c>
      <c r="O204" s="23">
        <f>IF($C204="","",INDEX(인턴근무계획!$Q$3:$Q$202,$A204)&amp;"")</f>
        <v/>
      </c>
      <c r="P204" s="23">
        <f>IF($C204="","",INDEX(인턴근무계획!$R$3:$R$202,$A204)&amp;"")</f>
        <v/>
      </c>
      <c r="Q204" s="23">
        <f>IF($C204="","",INDEX(인턴근무계획!$T$3:$T$202,$A204))</f>
        <v/>
      </c>
    </row>
    <row r="205">
      <c r="A205" s="26" t="n">
        <v>200</v>
      </c>
      <c r="B205" s="23">
        <f>IF($C205="","",INDEX(인턴근무계획!$B$3:$B$202,$A205))</f>
        <v/>
      </c>
      <c r="C205" s="23">
        <f>IFERROR(TRIM(INDEX(인턴근무계획!$C$3:$C$202,$A205)&amp;""),"")</f>
        <v/>
      </c>
      <c r="D205" s="23">
        <f>IF($C205="","",INDEX(인턴근무계획!$D$3:$D$202,$A205))</f>
        <v/>
      </c>
      <c r="E205" s="23">
        <f>IF($C205="","",IF(IFERROR(MATCH($D205,기본자료!$B$2:$B$501,0),IFERROR(MATCH($D205&amp;"",기본자료!$B$2:$B$501,0),IFERROR(MATCH(VALUE($D205),기본자료!$B$2:$B$501,0),0)))&gt;0,"확인","미등록"))</f>
        <v/>
      </c>
      <c r="F205" s="27">
        <f>IF($C205="","",INDEX(인턴근무계획!$S$3:$S$202,$A205))</f>
        <v/>
      </c>
      <c r="G205" s="23">
        <f>IF(OR($C205="",$G$3=""),"",IF(INDEX(인턴근무계획!$M$3:$R$202,$A205,$G$3)&amp;""="","",IF(LEFT(INDEX(인턴근무계획!$M$3:$R$202,$A205,$G$3)&amp;"",1)="⚠",INDEX(인턴근무계획!$M$3:$R$202,$A205,$G$3)&amp;"",LEFT(INDEX(인턴근무계획!$M$3:$R$202,$A205,$G$3)&amp;"",FIND(" ",INDEX(인턴근무계획!$M$3:$R$202,$A205,$G$3)&amp;"")-1))))</f>
        <v/>
      </c>
      <c r="H205" s="23">
        <f>IF(OR($C205="",$G$3=""),"",IF(INDEX(인턴근무계획!$M$3:$R$202,$A205,$G$3)&amp;""="","",IF(LEFT(INDEX(인턴근무계획!$M$3:$R$202,$A205,$G$3)&amp;"",1)="⚠","",MID(INDEX(인턴근무계획!$M$3:$R$202,$A205,$G$3)&amp;"",FIND(" ",INDEX(인턴근무계획!$M$3:$R$202,$A205,$G$3)&amp;"")+1,60))))</f>
        <v/>
      </c>
      <c r="I205" s="23">
        <f>IF(OR($C205="",$I$3=""),"",IF(INDEX(인턴근무계획!$M$3:$R$202,$A205,$I$3)&amp;""="","",IF(LEFT(INDEX(인턴근무계획!$M$3:$R$202,$A205,$I$3)&amp;"",1)="⚠",INDEX(인턴근무계획!$M$3:$R$202,$A205,$I$3)&amp;"",LEFT(INDEX(인턴근무계획!$M$3:$R$202,$A205,$I$3)&amp;"",FIND(" ",INDEX(인턴근무계획!$M$3:$R$202,$A205,$I$3)&amp;"")-1))))</f>
        <v/>
      </c>
      <c r="J205" s="23">
        <f>IF(OR($C205="",$I$3=""),"",IF(INDEX(인턴근무계획!$M$3:$R$202,$A205,$I$3)&amp;""="","",IF(LEFT(INDEX(인턴근무계획!$M$3:$R$202,$A205,$I$3)&amp;"",1)="⚠","",MID(INDEX(인턴근무계획!$M$3:$R$202,$A205,$I$3)&amp;"",FIND(" ",INDEX(인턴근무계획!$M$3:$R$202,$A205,$I$3)&amp;"")+1,60))))</f>
        <v/>
      </c>
      <c r="K205" s="23">
        <f>IF($C205="","",INDEX(인턴근무계획!$M$3:$M$202,$A205)&amp;"")</f>
        <v/>
      </c>
      <c r="L205" s="23">
        <f>IF($C205="","",INDEX(인턴근무계획!$N$3:$N$202,$A205)&amp;"")</f>
        <v/>
      </c>
      <c r="M205" s="23">
        <f>IF($C205="","",INDEX(인턴근무계획!$O$3:$O$202,$A205)&amp;"")</f>
        <v/>
      </c>
      <c r="N205" s="23">
        <f>IF($C205="","",INDEX(인턴근무계획!$P$3:$P$202,$A205)&amp;"")</f>
        <v/>
      </c>
      <c r="O205" s="23">
        <f>IF($C205="","",INDEX(인턴근무계획!$Q$3:$Q$202,$A205)&amp;"")</f>
        <v/>
      </c>
      <c r="P205" s="23">
        <f>IF($C205="","",INDEX(인턴근무계획!$R$3:$R$202,$A205)&amp;"")</f>
        <v/>
      </c>
      <c r="Q205" s="23">
        <f>IF($C205="","",INDEX(인턴근무계획!$T$3:$T$202,$A205))</f>
        <v/>
      </c>
    </row>
  </sheetData>
  <autoFilter ref="A5:Q205"/>
  <conditionalFormatting sqref="E6:E205">
    <cfRule type="expression" priority="1" dxfId="0">
      <formula>$E6="미등록"</formula>
    </cfRule>
  </conditionalFormatting>
  <conditionalFormatting sqref="K6:P205">
    <cfRule type="expression" priority="2" dxfId="1">
      <formula>LEFT(K6,1)="⚠"</formula>
    </cfRule>
  </conditionalFormatting>
  <conditionalFormatting sqref="K5:P205">
    <cfRule type="expression" priority="3" dxfId="12">
      <formula>K$3=MONTH(TODAY())</formula>
    </cfRule>
  </conditionalFormatting>
  <conditionalFormatting sqref="G6:H205">
    <cfRule type="expression" priority="4" dxfId="12">
      <formula>$G$3&lt;&gt;""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3" customWidth="1" min="5" max="5"/>
    <col width="20" customWidth="1" min="6" max="6"/>
    <col width="20" customWidth="1" min="7" max="7"/>
    <col width="3" customWidth="1" min="8" max="8"/>
    <col width="3" customWidth="1" min="9" max="9"/>
    <col width="20" customWidth="1" min="10" max="10"/>
    <col width="20" customWidth="1" min="11" max="11"/>
    <col width="3" customWidth="1" min="12" max="12"/>
  </cols>
  <sheetData>
    <row r="1" ht="30" customHeight="1">
      <c r="A1" s="12" t="inlineStr">
        <is>
          <t>병원</t>
        </is>
      </c>
      <c r="B1" s="12" t="inlineStr">
        <is>
          <t>근무과(진료과)</t>
        </is>
      </c>
      <c r="C1" s="12" t="inlineStr">
        <is>
          <t>파견근거(종류)</t>
        </is>
      </c>
      <c r="D1" s="12" t="inlineStr">
        <is>
          <t>인턴 전용 구분</t>
        </is>
      </c>
      <c r="F1" s="12" t="inlineStr">
        <is>
          <t>진료과 약칭</t>
        </is>
      </c>
      <c r="G1" s="12" t="inlineStr">
        <is>
          <t>정식 명칭</t>
        </is>
      </c>
      <c r="J1" s="12" t="inlineStr">
        <is>
          <t>병원 표기(약칭·기관명)</t>
        </is>
      </c>
      <c r="K1" s="12" t="inlineStr">
        <is>
          <t>정식 병원</t>
        </is>
      </c>
      <c r="M1" s="2" t="inlineStr">
        <is>
          <t>※ 파란 글씨 칸은 모두 수정·추가할 수 있습니다. 새 병원/진료과가 생기면 여기에 먼저 추가하세요.</t>
        </is>
      </c>
    </row>
    <row r="2">
      <c r="A2" s="5" t="inlineStr">
        <is>
          <t>서울병원</t>
        </is>
      </c>
      <c r="B2" s="5" t="inlineStr">
        <is>
          <t>내과</t>
        </is>
      </c>
      <c r="C2" s="5" t="inlineStr">
        <is>
          <t>모자</t>
        </is>
      </c>
      <c r="D2" s="5" t="inlineStr">
        <is>
          <t>통합</t>
        </is>
      </c>
      <c r="F2" s="5" t="inlineStr">
        <is>
          <t>내과</t>
        </is>
      </c>
      <c r="G2" s="5" t="inlineStr">
        <is>
          <t>내과</t>
        </is>
      </c>
      <c r="J2" s="5" t="inlineStr">
        <is>
          <t>서울병원</t>
        </is>
      </c>
      <c r="K2" s="5" t="inlineStr">
        <is>
          <t>서울병원</t>
        </is>
      </c>
      <c r="M2" s="2" t="inlineStr">
        <is>
          <t>※ 병원 표기(J→K): 인턴근무계획의 지역 단어와 파견수련계획의 모병원명·파견병원은 이 표로 정식 병원(A열)으로 바뀝니다.</t>
        </is>
      </c>
    </row>
    <row r="3">
      <c r="A3" s="5" t="inlineStr">
        <is>
          <t>인천병원</t>
        </is>
      </c>
      <c r="B3" s="5" t="inlineStr">
        <is>
          <t>소아청소년과</t>
        </is>
      </c>
      <c r="C3" s="5" t="inlineStr">
        <is>
          <t>통합수련</t>
        </is>
      </c>
      <c r="D3" s="5" t="inlineStr">
        <is>
          <t>핵/방</t>
        </is>
      </c>
      <c r="F3" s="5" t="inlineStr">
        <is>
          <t>소아청소년과</t>
        </is>
      </c>
      <c r="G3" s="5" t="inlineStr">
        <is>
          <t>소아청소년과</t>
        </is>
      </c>
      <c r="J3" s="5" t="inlineStr">
        <is>
          <t>인천병원</t>
        </is>
      </c>
      <c r="K3" s="5" t="inlineStr">
        <is>
          <t>인천병원</t>
        </is>
      </c>
      <c r="M3" s="2" t="inlineStr">
        <is>
          <t xml:space="preserve">   (예: 한양대학교병원→서울병원, 한양대구리병원→구리병원, '제주 에스중앙 내과'의 '제주'→제주병원). 인천·창원·오산 등 실제 기관명은 J·K열에 추가하세요.</t>
        </is>
      </c>
    </row>
    <row r="4">
      <c r="A4" s="5" t="inlineStr">
        <is>
          <t>구리병원</t>
        </is>
      </c>
      <c r="B4" s="5" t="inlineStr">
        <is>
          <t>신경과</t>
        </is>
      </c>
      <c r="C4" s="5" t="inlineStr">
        <is>
          <t>다기관</t>
        </is>
      </c>
      <c r="D4" s="5" t="n"/>
      <c r="F4" s="5" t="inlineStr">
        <is>
          <t>신경과</t>
        </is>
      </c>
      <c r="G4" s="5" t="inlineStr">
        <is>
          <t>신경과</t>
        </is>
      </c>
      <c r="J4" s="5" t="inlineStr">
        <is>
          <t>구리병원</t>
        </is>
      </c>
      <c r="K4" s="5" t="inlineStr">
        <is>
          <t>구리병원</t>
        </is>
      </c>
      <c r="M4" s="2" t="inlineStr">
        <is>
          <t>※ 진료과 약칭(F→G): 인턴근무계획 월 칸의 마지막 단어와 파견수련계획의 파견과목을 정식 명칭으로 바꿉니다. (예: 산부→산부인과)</t>
        </is>
      </c>
    </row>
    <row r="5">
      <c r="A5" s="5" t="inlineStr">
        <is>
          <t>창원병원</t>
        </is>
      </c>
      <c r="B5" s="5" t="inlineStr">
        <is>
          <t>정신건강의학과</t>
        </is>
      </c>
      <c r="C5" s="5" t="n"/>
      <c r="D5" s="5" t="n"/>
      <c r="F5" s="5" t="inlineStr">
        <is>
          <t>정신건강의학과</t>
        </is>
      </c>
      <c r="G5" s="5" t="inlineStr">
        <is>
          <t>정신건강의학과</t>
        </is>
      </c>
      <c r="J5" s="5" t="inlineStr">
        <is>
          <t>창원병원</t>
        </is>
      </c>
      <c r="K5" s="5" t="inlineStr">
        <is>
          <t>창원병원</t>
        </is>
      </c>
      <c r="M5" s="2" t="inlineStr">
        <is>
          <t>※ 파견근거(C열): 양식의 모자 / 통합수련, 그리고 다기관. 새 값이 있으면 추가하세요.</t>
        </is>
      </c>
    </row>
    <row r="6">
      <c r="A6" s="5" t="inlineStr">
        <is>
          <t>제주병원</t>
        </is>
      </c>
      <c r="B6" s="5" t="inlineStr">
        <is>
          <t>피부과</t>
        </is>
      </c>
      <c r="C6" s="5" t="n"/>
      <c r="D6" s="5" t="n"/>
      <c r="F6" s="5" t="inlineStr">
        <is>
          <t>피부과</t>
        </is>
      </c>
      <c r="G6" s="5" t="inlineStr">
        <is>
          <t>피부과</t>
        </is>
      </c>
      <c r="J6" s="5" t="inlineStr">
        <is>
          <t>제주병원</t>
        </is>
      </c>
      <c r="K6" s="5" t="inlineStr">
        <is>
          <t>제주병원</t>
        </is>
      </c>
    </row>
    <row r="7">
      <c r="A7" s="5" t="inlineStr">
        <is>
          <t>오산병원</t>
        </is>
      </c>
      <c r="B7" s="5" t="inlineStr">
        <is>
          <t>외과</t>
        </is>
      </c>
      <c r="C7" s="5" t="n"/>
      <c r="F7" s="5" t="inlineStr">
        <is>
          <t>외과</t>
        </is>
      </c>
      <c r="G7" s="5" t="inlineStr">
        <is>
          <t>외과</t>
        </is>
      </c>
      <c r="J7" s="5" t="inlineStr">
        <is>
          <t>오산병원</t>
        </is>
      </c>
      <c r="K7" s="5" t="inlineStr">
        <is>
          <t>오산병원</t>
        </is>
      </c>
    </row>
    <row r="8">
      <c r="A8" s="5" t="n"/>
      <c r="B8" s="5" t="inlineStr">
        <is>
          <t>심장혈관흉부외과</t>
        </is>
      </c>
      <c r="C8" s="5" t="n"/>
      <c r="F8" s="5" t="inlineStr">
        <is>
          <t>심장혈관흉부외과</t>
        </is>
      </c>
      <c r="G8" s="5" t="inlineStr">
        <is>
          <t>심장혈관흉부외과</t>
        </is>
      </c>
      <c r="J8" s="5" t="inlineStr">
        <is>
          <t>서울</t>
        </is>
      </c>
      <c r="K8" s="5" t="inlineStr">
        <is>
          <t>서울병원</t>
        </is>
      </c>
    </row>
    <row r="9">
      <c r="A9" s="5" t="n"/>
      <c r="B9" s="5" t="inlineStr">
        <is>
          <t>정형외과</t>
        </is>
      </c>
      <c r="C9" s="5" t="n"/>
      <c r="F9" s="5" t="inlineStr">
        <is>
          <t>정형외과</t>
        </is>
      </c>
      <c r="G9" s="5" t="inlineStr">
        <is>
          <t>정형외과</t>
        </is>
      </c>
      <c r="J9" s="5" t="inlineStr">
        <is>
          <t>인천</t>
        </is>
      </c>
      <c r="K9" s="5" t="inlineStr">
        <is>
          <t>인천병원</t>
        </is>
      </c>
    </row>
    <row r="10">
      <c r="A10" s="5" t="n"/>
      <c r="B10" s="5" t="inlineStr">
        <is>
          <t>신경외과</t>
        </is>
      </c>
      <c r="C10" s="5" t="n"/>
      <c r="F10" s="5" t="inlineStr">
        <is>
          <t>신경외과</t>
        </is>
      </c>
      <c r="G10" s="5" t="inlineStr">
        <is>
          <t>신경외과</t>
        </is>
      </c>
      <c r="J10" s="5" t="inlineStr">
        <is>
          <t>구리</t>
        </is>
      </c>
      <c r="K10" s="5" t="inlineStr">
        <is>
          <t>구리병원</t>
        </is>
      </c>
    </row>
    <row r="11">
      <c r="A11" s="5" t="n"/>
      <c r="B11" s="5" t="inlineStr">
        <is>
          <t>성형외과</t>
        </is>
      </c>
      <c r="C11" s="5" t="n"/>
      <c r="F11" s="5" t="inlineStr">
        <is>
          <t>성형외과</t>
        </is>
      </c>
      <c r="G11" s="5" t="inlineStr">
        <is>
          <t>성형외과</t>
        </is>
      </c>
      <c r="J11" s="5" t="inlineStr">
        <is>
          <t>창원</t>
        </is>
      </c>
      <c r="K11" s="5" t="inlineStr">
        <is>
          <t>창원병원</t>
        </is>
      </c>
    </row>
    <row r="12">
      <c r="A12" s="5" t="n"/>
      <c r="B12" s="5" t="inlineStr">
        <is>
          <t>산부인과</t>
        </is>
      </c>
      <c r="F12" s="5" t="inlineStr">
        <is>
          <t>산부인과</t>
        </is>
      </c>
      <c r="G12" s="5" t="inlineStr">
        <is>
          <t>산부인과</t>
        </is>
      </c>
      <c r="J12" s="5" t="inlineStr">
        <is>
          <t>제주</t>
        </is>
      </c>
      <c r="K12" s="5" t="inlineStr">
        <is>
          <t>제주병원</t>
        </is>
      </c>
    </row>
    <row r="13">
      <c r="A13" s="5" t="n"/>
      <c r="B13" s="5" t="inlineStr">
        <is>
          <t>안과</t>
        </is>
      </c>
      <c r="F13" s="5" t="inlineStr">
        <is>
          <t>안과</t>
        </is>
      </c>
      <c r="G13" s="5" t="inlineStr">
        <is>
          <t>안과</t>
        </is>
      </c>
      <c r="J13" s="5" t="inlineStr">
        <is>
          <t>오산</t>
        </is>
      </c>
      <c r="K13" s="5" t="inlineStr">
        <is>
          <t>오산병원</t>
        </is>
      </c>
    </row>
    <row r="14">
      <c r="A14" s="5" t="n"/>
      <c r="B14" s="5" t="inlineStr">
        <is>
          <t>이비인후과</t>
        </is>
      </c>
      <c r="F14" s="5" t="inlineStr">
        <is>
          <t>이비인후과</t>
        </is>
      </c>
      <c r="G14" s="5" t="inlineStr">
        <is>
          <t>이비인후과</t>
        </is>
      </c>
      <c r="J14" s="5" t="inlineStr">
        <is>
          <t>한양대학교병원</t>
        </is>
      </c>
      <c r="K14" s="5" t="inlineStr">
        <is>
          <t>서울병원</t>
        </is>
      </c>
    </row>
    <row r="15">
      <c r="A15" s="5" t="n"/>
      <c r="B15" s="5" t="inlineStr">
        <is>
          <t>비뇨의학과</t>
        </is>
      </c>
      <c r="F15" s="5" t="inlineStr">
        <is>
          <t>비뇨의학과</t>
        </is>
      </c>
      <c r="G15" s="5" t="inlineStr">
        <is>
          <t>비뇨의학과</t>
        </is>
      </c>
      <c r="J15" s="5" t="inlineStr">
        <is>
          <t>한양대병원</t>
        </is>
      </c>
      <c r="K15" s="5" t="inlineStr">
        <is>
          <t>서울병원</t>
        </is>
      </c>
    </row>
    <row r="16">
      <c r="A16" s="5" t="n"/>
      <c r="B16" s="5" t="inlineStr">
        <is>
          <t>재활의학과</t>
        </is>
      </c>
      <c r="F16" s="5" t="inlineStr">
        <is>
          <t>재활의학과</t>
        </is>
      </c>
      <c r="G16" s="5" t="inlineStr">
        <is>
          <t>재활의학과</t>
        </is>
      </c>
      <c r="J16" s="5" t="inlineStr">
        <is>
          <t>한양대서울병원</t>
        </is>
      </c>
      <c r="K16" s="5" t="inlineStr">
        <is>
          <t>서울병원</t>
        </is>
      </c>
    </row>
    <row r="17">
      <c r="A17" s="5" t="n"/>
      <c r="B17" s="5" t="inlineStr">
        <is>
          <t>마취통증의학과</t>
        </is>
      </c>
      <c r="F17" s="5" t="inlineStr">
        <is>
          <t>마취통증의학과</t>
        </is>
      </c>
      <c r="G17" s="5" t="inlineStr">
        <is>
          <t>마취통증의학과</t>
        </is>
      </c>
      <c r="J17" s="5" t="inlineStr">
        <is>
          <t>한양대구리병원</t>
        </is>
      </c>
      <c r="K17" s="5" t="inlineStr">
        <is>
          <t>구리병원</t>
        </is>
      </c>
    </row>
    <row r="18">
      <c r="A18" s="5" t="n"/>
      <c r="B18" s="5" t="inlineStr">
        <is>
          <t>영상의학과</t>
        </is>
      </c>
      <c r="F18" s="5" t="inlineStr">
        <is>
          <t>영상의학과</t>
        </is>
      </c>
      <c r="G18" s="5" t="inlineStr">
        <is>
          <t>영상의학과</t>
        </is>
      </c>
      <c r="J18" s="5" t="inlineStr">
        <is>
          <t>에스중앙병원</t>
        </is>
      </c>
      <c r="K18" s="5" t="inlineStr">
        <is>
          <t>제주병원</t>
        </is>
      </c>
    </row>
    <row r="19">
      <c r="A19" s="5" t="n"/>
      <c r="B19" s="5" t="inlineStr">
        <is>
          <t>진단검사의학과</t>
        </is>
      </c>
      <c r="F19" s="5" t="inlineStr">
        <is>
          <t>진단검사의학과</t>
        </is>
      </c>
      <c r="G19" s="5" t="inlineStr">
        <is>
          <t>진단검사의학과</t>
        </is>
      </c>
      <c r="J19" s="5" t="inlineStr">
        <is>
          <t>에스중앙</t>
        </is>
      </c>
      <c r="K19" s="5" t="inlineStr">
        <is>
          <t>제주병원</t>
        </is>
      </c>
    </row>
    <row r="20">
      <c r="A20" s="5" t="n"/>
      <c r="B20" s="5" t="inlineStr">
        <is>
          <t>병리과</t>
        </is>
      </c>
      <c r="F20" s="5" t="inlineStr">
        <is>
          <t>병리과</t>
        </is>
      </c>
      <c r="G20" s="5" t="inlineStr">
        <is>
          <t>병리과</t>
        </is>
      </c>
      <c r="J20" s="5" t="n"/>
      <c r="K20" s="5" t="n"/>
    </row>
    <row r="21">
      <c r="A21" s="5" t="n"/>
      <c r="B21" s="5" t="inlineStr">
        <is>
          <t>가정의학과</t>
        </is>
      </c>
      <c r="F21" s="5" t="inlineStr">
        <is>
          <t>가정의학과</t>
        </is>
      </c>
      <c r="G21" s="5" t="inlineStr">
        <is>
          <t>가정의학과</t>
        </is>
      </c>
      <c r="J21" s="5" t="n"/>
      <c r="K21" s="5" t="n"/>
    </row>
    <row r="22">
      <c r="B22" s="5" t="inlineStr">
        <is>
          <t>응급의학과</t>
        </is>
      </c>
      <c r="F22" s="5" t="inlineStr">
        <is>
          <t>응급의학과</t>
        </is>
      </c>
      <c r="G22" s="5" t="inlineStr">
        <is>
          <t>응급의학과</t>
        </is>
      </c>
      <c r="J22" s="5" t="n"/>
      <c r="K22" s="5" t="n"/>
    </row>
    <row r="23">
      <c r="B23" s="5" t="inlineStr">
        <is>
          <t>핵의학과</t>
        </is>
      </c>
      <c r="F23" s="5" t="inlineStr">
        <is>
          <t>핵의학과</t>
        </is>
      </c>
      <c r="G23" s="5" t="inlineStr">
        <is>
          <t>핵의학과</t>
        </is>
      </c>
      <c r="J23" s="5" t="n"/>
      <c r="K23" s="5" t="n"/>
    </row>
    <row r="24">
      <c r="B24" s="5" t="inlineStr">
        <is>
          <t>직업환경의학과</t>
        </is>
      </c>
      <c r="F24" s="5" t="inlineStr">
        <is>
          <t>직업환경의학과</t>
        </is>
      </c>
      <c r="G24" s="5" t="inlineStr">
        <is>
          <t>직업환경의학과</t>
        </is>
      </c>
      <c r="J24" s="5" t="n"/>
      <c r="K24" s="5" t="n"/>
    </row>
    <row r="25">
      <c r="B25" s="5" t="inlineStr">
        <is>
          <t>수련교육부(인턴)</t>
        </is>
      </c>
      <c r="F25" s="5" t="inlineStr">
        <is>
          <t>수련교육부(인턴)</t>
        </is>
      </c>
      <c r="G25" s="5" t="inlineStr">
        <is>
          <t>수련교육부(인턴)</t>
        </is>
      </c>
      <c r="J25" s="5" t="n"/>
      <c r="K25" s="5" t="n"/>
    </row>
    <row r="26">
      <c r="B26" s="5" t="n"/>
      <c r="F26" s="5" t="inlineStr">
        <is>
          <t>소아과</t>
        </is>
      </c>
      <c r="G26" s="5" t="inlineStr">
        <is>
          <t>소아청소년과</t>
        </is>
      </c>
      <c r="J26" s="5" t="n"/>
      <c r="K26" s="5" t="n"/>
    </row>
    <row r="27">
      <c r="B27" s="5" t="n"/>
      <c r="F27" s="5" t="inlineStr">
        <is>
          <t>소청</t>
        </is>
      </c>
      <c r="G27" s="5" t="inlineStr">
        <is>
          <t>소아청소년과</t>
        </is>
      </c>
      <c r="J27" s="5" t="n"/>
      <c r="K27" s="5" t="n"/>
    </row>
    <row r="28">
      <c r="B28" s="5" t="n"/>
      <c r="F28" s="5" t="inlineStr">
        <is>
          <t>소청과</t>
        </is>
      </c>
      <c r="G28" s="5" t="inlineStr">
        <is>
          <t>소아청소년과</t>
        </is>
      </c>
      <c r="J28" s="5" t="n"/>
      <c r="K28" s="5" t="n"/>
    </row>
    <row r="29">
      <c r="B29" s="5" t="n"/>
      <c r="F29" s="5" t="inlineStr">
        <is>
          <t>정신과</t>
        </is>
      </c>
      <c r="G29" s="5" t="inlineStr">
        <is>
          <t>정신건강의학과</t>
        </is>
      </c>
      <c r="J29" s="5" t="n"/>
      <c r="K29" s="5" t="n"/>
    </row>
    <row r="30">
      <c r="B30" s="5" t="n"/>
      <c r="F30" s="5" t="inlineStr">
        <is>
          <t>정신</t>
        </is>
      </c>
      <c r="G30" s="5" t="inlineStr">
        <is>
          <t>정신건강의학과</t>
        </is>
      </c>
      <c r="J30" s="5" t="n"/>
      <c r="K30" s="5" t="n"/>
    </row>
    <row r="31">
      <c r="B31" s="5" t="n"/>
      <c r="F31" s="5" t="inlineStr">
        <is>
          <t>흉부외과</t>
        </is>
      </c>
      <c r="G31" s="5" t="inlineStr">
        <is>
          <t>심장혈관흉부외과</t>
        </is>
      </c>
      <c r="J31" s="5" t="n"/>
      <c r="K31" s="5" t="n"/>
    </row>
    <row r="32">
      <c r="B32" s="5" t="n"/>
      <c r="F32" s="5" t="inlineStr">
        <is>
          <t>흉외</t>
        </is>
      </c>
      <c r="G32" s="5" t="inlineStr">
        <is>
          <t>심장혈관흉부외과</t>
        </is>
      </c>
      <c r="J32" s="5" t="n"/>
      <c r="K32" s="5" t="n"/>
    </row>
    <row r="33">
      <c r="B33" s="5" t="n"/>
      <c r="F33" s="5" t="inlineStr">
        <is>
          <t>심장혈관흉부</t>
        </is>
      </c>
      <c r="G33" s="5" t="inlineStr">
        <is>
          <t>심장혈관흉부외과</t>
        </is>
      </c>
      <c r="J33" s="5" t="n"/>
      <c r="K33" s="5" t="n"/>
    </row>
    <row r="34">
      <c r="B34" s="5" t="n"/>
      <c r="F34" s="5" t="inlineStr">
        <is>
          <t>정형</t>
        </is>
      </c>
      <c r="G34" s="5" t="inlineStr">
        <is>
          <t>정형외과</t>
        </is>
      </c>
      <c r="J34" s="5" t="n"/>
      <c r="K34" s="5" t="n"/>
    </row>
    <row r="35">
      <c r="B35" s="5" t="n"/>
      <c r="F35" s="5" t="inlineStr">
        <is>
          <t>신외</t>
        </is>
      </c>
      <c r="G35" s="5" t="inlineStr">
        <is>
          <t>신경외과</t>
        </is>
      </c>
      <c r="J35" s="5" t="n"/>
      <c r="K35" s="5" t="n"/>
    </row>
    <row r="36">
      <c r="B36" s="5" t="n"/>
      <c r="F36" s="5" t="inlineStr">
        <is>
          <t>성형</t>
        </is>
      </c>
      <c r="G36" s="5" t="inlineStr">
        <is>
          <t>성형외과</t>
        </is>
      </c>
      <c r="J36" s="5" t="n"/>
      <c r="K36" s="5" t="n"/>
    </row>
    <row r="37">
      <c r="B37" s="5" t="n"/>
      <c r="F37" s="5" t="inlineStr">
        <is>
          <t>산부</t>
        </is>
      </c>
      <c r="G37" s="5" t="inlineStr">
        <is>
          <t>산부인과</t>
        </is>
      </c>
      <c r="J37" s="5" t="n"/>
      <c r="K37" s="5" t="n"/>
    </row>
    <row r="38">
      <c r="B38" s="5" t="n"/>
      <c r="F38" s="5" t="inlineStr">
        <is>
          <t>이비</t>
        </is>
      </c>
      <c r="G38" s="5" t="inlineStr">
        <is>
          <t>이비인후과</t>
        </is>
      </c>
      <c r="J38" s="5" t="n"/>
      <c r="K38" s="5" t="n"/>
    </row>
    <row r="39">
      <c r="B39" s="5" t="n"/>
      <c r="F39" s="5" t="inlineStr">
        <is>
          <t>이비인후</t>
        </is>
      </c>
      <c r="G39" s="5" t="inlineStr">
        <is>
          <t>이비인후과</t>
        </is>
      </c>
      <c r="J39" s="5" t="n"/>
      <c r="K39" s="5" t="n"/>
    </row>
    <row r="40">
      <c r="B40" s="5" t="n"/>
      <c r="F40" s="5" t="inlineStr">
        <is>
          <t>비뇨</t>
        </is>
      </c>
      <c r="G40" s="5" t="inlineStr">
        <is>
          <t>비뇨의학과</t>
        </is>
      </c>
      <c r="J40" s="5" t="n"/>
      <c r="K40" s="5" t="n"/>
    </row>
    <row r="41">
      <c r="B41" s="5" t="n"/>
      <c r="F41" s="5" t="inlineStr">
        <is>
          <t>비뇨기과</t>
        </is>
      </c>
      <c r="G41" s="5" t="inlineStr">
        <is>
          <t>비뇨의학과</t>
        </is>
      </c>
      <c r="J41" s="5" t="n"/>
      <c r="K41" s="5" t="n"/>
    </row>
    <row r="42">
      <c r="F42" s="5" t="inlineStr">
        <is>
          <t>재활</t>
        </is>
      </c>
      <c r="G42" s="5" t="inlineStr">
        <is>
          <t>재활의학과</t>
        </is>
      </c>
      <c r="J42" s="5" t="n"/>
      <c r="K42" s="5" t="n"/>
    </row>
    <row r="43">
      <c r="F43" s="5" t="inlineStr">
        <is>
          <t>마취</t>
        </is>
      </c>
      <c r="G43" s="5" t="inlineStr">
        <is>
          <t>마취통증의학과</t>
        </is>
      </c>
      <c r="J43" s="5" t="n"/>
      <c r="K43" s="5" t="n"/>
    </row>
    <row r="44">
      <c r="F44" s="5" t="inlineStr">
        <is>
          <t>마통</t>
        </is>
      </c>
      <c r="G44" s="5" t="inlineStr">
        <is>
          <t>마취통증의학과</t>
        </is>
      </c>
      <c r="J44" s="5" t="n"/>
      <c r="K44" s="5" t="n"/>
    </row>
    <row r="45">
      <c r="F45" s="5" t="inlineStr">
        <is>
          <t>영상</t>
        </is>
      </c>
      <c r="G45" s="5" t="inlineStr">
        <is>
          <t>영상의학과</t>
        </is>
      </c>
      <c r="J45" s="5" t="n"/>
      <c r="K45" s="5" t="n"/>
    </row>
    <row r="46">
      <c r="F46" s="5" t="inlineStr">
        <is>
          <t>진검</t>
        </is>
      </c>
      <c r="G46" s="5" t="inlineStr">
        <is>
          <t>진단검사의학과</t>
        </is>
      </c>
      <c r="J46" s="5" t="n"/>
      <c r="K46" s="5" t="n"/>
    </row>
    <row r="47">
      <c r="F47" s="5" t="inlineStr">
        <is>
          <t>진단검사</t>
        </is>
      </c>
      <c r="G47" s="5" t="inlineStr">
        <is>
          <t>진단검사의학과</t>
        </is>
      </c>
      <c r="J47" s="5" t="n"/>
      <c r="K47" s="5" t="n"/>
    </row>
    <row r="48">
      <c r="F48" s="5" t="inlineStr">
        <is>
          <t>병리</t>
        </is>
      </c>
      <c r="G48" s="5" t="inlineStr">
        <is>
          <t>병리과</t>
        </is>
      </c>
      <c r="J48" s="5" t="n"/>
      <c r="K48" s="5" t="n"/>
    </row>
    <row r="49">
      <c r="F49" s="5" t="inlineStr">
        <is>
          <t>가정</t>
        </is>
      </c>
      <c r="G49" s="5" t="inlineStr">
        <is>
          <t>가정의학과</t>
        </is>
      </c>
      <c r="J49" s="5" t="n"/>
      <c r="K49" s="5" t="n"/>
    </row>
    <row r="50">
      <c r="F50" s="5" t="inlineStr">
        <is>
          <t>가정의학</t>
        </is>
      </c>
      <c r="G50" s="5" t="inlineStr">
        <is>
          <t>가정의학과</t>
        </is>
      </c>
      <c r="J50" s="5" t="n"/>
      <c r="K50" s="5" t="n"/>
    </row>
    <row r="51">
      <c r="F51" s="5" t="inlineStr">
        <is>
          <t>응급</t>
        </is>
      </c>
      <c r="G51" s="5" t="inlineStr">
        <is>
          <t>응급의학과</t>
        </is>
      </c>
      <c r="J51" s="5" t="n"/>
      <c r="K51" s="5" t="n"/>
    </row>
    <row r="52">
      <c r="F52" s="5" t="inlineStr">
        <is>
          <t>핵의학</t>
        </is>
      </c>
      <c r="G52" s="5" t="inlineStr">
        <is>
          <t>핵의학과</t>
        </is>
      </c>
      <c r="J52" s="5" t="n"/>
      <c r="K52" s="5" t="n"/>
    </row>
    <row r="53">
      <c r="F53" s="5" t="inlineStr">
        <is>
          <t>핵</t>
        </is>
      </c>
      <c r="G53" s="5" t="inlineStr">
        <is>
          <t>핵의학과</t>
        </is>
      </c>
      <c r="J53" s="5" t="n"/>
      <c r="K53" s="5" t="n"/>
    </row>
    <row r="54">
      <c r="F54" s="5" t="inlineStr">
        <is>
          <t>직업환경</t>
        </is>
      </c>
      <c r="G54" s="5" t="inlineStr">
        <is>
          <t>직업환경의학과</t>
        </is>
      </c>
      <c r="J54" s="5" t="n"/>
      <c r="K54" s="5" t="n"/>
    </row>
    <row r="55">
      <c r="F55" s="5" t="inlineStr">
        <is>
          <t>직환</t>
        </is>
      </c>
      <c r="G55" s="5" t="inlineStr">
        <is>
          <t>직업환경의학과</t>
        </is>
      </c>
      <c r="J55" s="5" t="n"/>
      <c r="K55" s="5" t="n"/>
    </row>
    <row r="56">
      <c r="F56" s="5" t="inlineStr">
        <is>
          <t>수련교육부</t>
        </is>
      </c>
      <c r="G56" s="5" t="inlineStr">
        <is>
          <t>수련교육부(인턴)</t>
        </is>
      </c>
      <c r="J56" s="5" t="n"/>
      <c r="K56" s="5" t="n"/>
    </row>
    <row r="57">
      <c r="F57" s="5" t="inlineStr">
        <is>
          <t>인턴</t>
        </is>
      </c>
      <c r="G57" s="5" t="inlineStr">
        <is>
          <t>수련교육부(인턴)</t>
        </is>
      </c>
      <c r="J57" s="5" t="n"/>
      <c r="K57" s="5" t="n"/>
    </row>
    <row r="58">
      <c r="F58" s="5" t="inlineStr">
        <is>
          <t>핵방</t>
        </is>
      </c>
      <c r="G58" s="5" t="inlineStr">
        <is>
          <t>핵/방</t>
        </is>
      </c>
      <c r="J58" s="5" t="n"/>
      <c r="K58" s="5" t="n"/>
    </row>
    <row r="59">
      <c r="F59" s="5" t="inlineStr">
        <is>
          <t>핵/방</t>
        </is>
      </c>
      <c r="G59" s="5" t="inlineStr">
        <is>
          <t>핵/방</t>
        </is>
      </c>
      <c r="J59" s="5" t="n"/>
      <c r="K59" s="5" t="n"/>
    </row>
    <row r="60">
      <c r="F60" s="5" t="inlineStr">
        <is>
          <t>통합</t>
        </is>
      </c>
      <c r="G60" s="5" t="inlineStr">
        <is>
          <t>통합</t>
        </is>
      </c>
      <c r="J60" s="5" t="n"/>
      <c r="K60" s="5" t="n"/>
    </row>
    <row r="61">
      <c r="F61" s="5" t="n"/>
      <c r="G61" s="5" t="n"/>
      <c r="J61" s="5" t="n"/>
      <c r="K61" s="5" t="n"/>
    </row>
    <row r="62">
      <c r="F62" s="5" t="n"/>
      <c r="G62" s="5" t="n"/>
      <c r="J62" s="5" t="n"/>
      <c r="K62" s="5" t="n"/>
    </row>
    <row r="63">
      <c r="F63" s="5" t="n"/>
      <c r="G63" s="5" t="n"/>
      <c r="J63" s="5" t="n"/>
      <c r="K63" s="5" t="n"/>
    </row>
    <row r="64">
      <c r="F64" s="5" t="n"/>
      <c r="G64" s="5" t="n"/>
      <c r="J64" s="5" t="n"/>
      <c r="K64" s="5" t="n"/>
    </row>
    <row r="65">
      <c r="F65" s="5" t="n"/>
      <c r="G65" s="5" t="n"/>
      <c r="J65" s="5" t="n"/>
      <c r="K65" s="5" t="n"/>
    </row>
    <row r="66">
      <c r="F66" s="5" t="n"/>
      <c r="G66" s="5" t="n"/>
      <c r="J66" s="5" t="n"/>
      <c r="K66" s="5" t="n"/>
    </row>
    <row r="67">
      <c r="F67" s="5" t="n"/>
      <c r="G67" s="5" t="n"/>
      <c r="J67" s="5" t="n"/>
      <c r="K67" s="5" t="n"/>
    </row>
    <row r="68">
      <c r="F68" s="5" t="n"/>
      <c r="G68" s="5" t="n"/>
      <c r="J68" s="5" t="n"/>
      <c r="K68" s="5" t="n"/>
    </row>
    <row r="69">
      <c r="F69" s="5" t="n"/>
      <c r="G69" s="5" t="n"/>
      <c r="J69" s="5" t="n"/>
      <c r="K69" s="5" t="n"/>
    </row>
    <row r="70">
      <c r="F70" s="5" t="n"/>
      <c r="G70" s="5" t="n"/>
      <c r="J70" s="5" t="n"/>
      <c r="K70" s="5" t="n"/>
    </row>
    <row r="71">
      <c r="F71" s="5" t="n"/>
      <c r="G71" s="5" t="n"/>
      <c r="J71" s="5" t="n"/>
      <c r="K71" s="5" t="n"/>
    </row>
    <row r="72">
      <c r="F72" s="5" t="n"/>
      <c r="G72" s="5" t="n"/>
      <c r="J72" s="5" t="n"/>
      <c r="K72" s="5" t="n"/>
    </row>
    <row r="73">
      <c r="F73" s="5" t="n"/>
      <c r="G73" s="5" t="n"/>
      <c r="J73" s="5" t="n"/>
      <c r="K73" s="5" t="n"/>
    </row>
    <row r="74">
      <c r="F74" s="5" t="n"/>
      <c r="G74" s="5" t="n"/>
      <c r="J74" s="5" t="n"/>
      <c r="K74" s="5" t="n"/>
    </row>
    <row r="75">
      <c r="F75" s="5" t="n"/>
      <c r="G75" s="5" t="n"/>
      <c r="J75" s="5" t="n"/>
      <c r="K75" s="5" t="n"/>
    </row>
    <row r="76">
      <c r="F76" s="5" t="n"/>
      <c r="G76" s="5" t="n"/>
      <c r="J76" s="5" t="n"/>
      <c r="K76" s="5" t="n"/>
    </row>
    <row r="77">
      <c r="F77" s="5" t="n"/>
      <c r="G77" s="5" t="n"/>
      <c r="J77" s="5" t="n"/>
      <c r="K77" s="5" t="n"/>
    </row>
    <row r="78">
      <c r="F78" s="5" t="n"/>
      <c r="G78" s="5" t="n"/>
      <c r="J78" s="5" t="n"/>
      <c r="K78" s="5" t="n"/>
    </row>
    <row r="79">
      <c r="F79" s="5" t="n"/>
      <c r="G79" s="5" t="n"/>
      <c r="J79" s="5" t="n"/>
      <c r="K79" s="5" t="n"/>
    </row>
    <row r="80">
      <c r="F80" s="5" t="n"/>
      <c r="G80" s="5" t="n"/>
      <c r="J80" s="5" t="n"/>
      <c r="K80" s="5" t="n"/>
    </row>
    <row r="81">
      <c r="F81" s="5" t="n"/>
      <c r="G81" s="5" t="n"/>
      <c r="J81" s="5" t="n"/>
      <c r="K81" s="5" t="n"/>
    </row>
    <row r="82">
      <c r="F82" s="5" t="n"/>
      <c r="G82" s="5" t="n"/>
      <c r="J82" s="5" t="n"/>
      <c r="K82" s="5" t="n"/>
    </row>
    <row r="83">
      <c r="F83" s="5" t="n"/>
      <c r="G83" s="5" t="n"/>
      <c r="J83" s="5" t="n"/>
      <c r="K83" s="5" t="n"/>
    </row>
    <row r="84">
      <c r="F84" s="5" t="n"/>
      <c r="G84" s="5" t="n"/>
      <c r="J84" s="5" t="n"/>
      <c r="K84" s="5" t="n"/>
    </row>
    <row r="85">
      <c r="F85" s="5" t="n"/>
      <c r="G85" s="5" t="n"/>
      <c r="J85" s="5" t="n"/>
      <c r="K85" s="5" t="n"/>
    </row>
    <row r="86">
      <c r="F86" s="5" t="n"/>
      <c r="G86" s="5" t="n"/>
      <c r="J86" s="5" t="n"/>
      <c r="K86" s="5" t="n"/>
    </row>
    <row r="87">
      <c r="F87" s="5" t="n"/>
      <c r="G87" s="5" t="n"/>
      <c r="J87" s="5" t="n"/>
      <c r="K87" s="5" t="n"/>
    </row>
    <row r="88">
      <c r="F88" s="5" t="n"/>
      <c r="G88" s="5" t="n"/>
      <c r="J88" s="5" t="n"/>
      <c r="K88" s="5" t="n"/>
    </row>
    <row r="89">
      <c r="F89" s="5" t="n"/>
      <c r="G89" s="5" t="n"/>
      <c r="J89" s="5" t="n"/>
      <c r="K89" s="5" t="n"/>
    </row>
    <row r="90">
      <c r="F90" s="5" t="n"/>
      <c r="G90" s="5" t="n"/>
      <c r="J90" s="5" t="n"/>
      <c r="K90" s="5" t="n"/>
    </row>
    <row r="91">
      <c r="F91" s="5" t="n"/>
      <c r="G91" s="5" t="n"/>
      <c r="J91" s="5" t="n"/>
      <c r="K91" s="5" t="n"/>
    </row>
    <row r="92">
      <c r="F92" s="5" t="n"/>
      <c r="G92" s="5" t="n"/>
      <c r="J92" s="5" t="n"/>
      <c r="K92" s="5" t="n"/>
    </row>
    <row r="93">
      <c r="F93" s="5" t="n"/>
      <c r="G93" s="5" t="n"/>
      <c r="J93" s="5" t="n"/>
      <c r="K93" s="5" t="n"/>
    </row>
    <row r="94">
      <c r="F94" s="5" t="n"/>
      <c r="G94" s="5" t="n"/>
      <c r="J94" s="5" t="n"/>
      <c r="K94" s="5" t="n"/>
    </row>
    <row r="95">
      <c r="F95" s="5" t="n"/>
      <c r="G95" s="5" t="n"/>
      <c r="J95" s="5" t="n"/>
      <c r="K95" s="5" t="n"/>
    </row>
    <row r="96">
      <c r="F96" s="5" t="n"/>
      <c r="G96" s="5" t="n"/>
      <c r="J96" s="5" t="n"/>
      <c r="K96" s="5" t="n"/>
    </row>
    <row r="97">
      <c r="F97" s="5" t="n"/>
      <c r="G97" s="5" t="n"/>
      <c r="J97" s="5" t="n"/>
      <c r="K97" s="5" t="n"/>
    </row>
    <row r="98">
      <c r="F98" s="5" t="n"/>
      <c r="G98" s="5" t="n"/>
      <c r="J98" s="5" t="n"/>
      <c r="K98" s="5" t="n"/>
    </row>
    <row r="99">
      <c r="F99" s="5" t="n"/>
      <c r="G99" s="5" t="n"/>
      <c r="J99" s="5" t="n"/>
      <c r="K99" s="5" t="n"/>
    </row>
    <row r="100">
      <c r="F100" s="5" t="n"/>
      <c r="G100" s="5" t="n"/>
      <c r="J100" s="5" t="n"/>
      <c r="K100" s="5" t="n"/>
    </row>
    <row r="101">
      <c r="F101" s="5" t="n"/>
      <c r="G101" s="5" t="n"/>
      <c r="J101" s="5" t="n"/>
      <c r="K10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2026-10-03T13:23:46Z</dcterms:created>
  <dcterms:modified xsi:type="dcterms:W3CDTF">2026-10-03T13:23:47Z</dcterms:modified>
</cp:coreProperties>
</file>