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전공의명단" sheetId="4" state="visible" r:id="rId4"/>
    <sheet name="요약" sheetId="5" state="visible" r:id="rId5"/>
    <sheet name="인턴현황" sheetId="6" state="visible" r:id="rId6"/>
    <sheet name="코드표" sheetId="7" state="visible" r:id="rId7"/>
  </sheets>
  <definedNames>
    <definedName name="_xlnm._FilterDatabase" localSheetId="1" hidden="1">'기본자료'!$A$1:$L$501</definedName>
    <definedName name="_xlnm._FilterDatabase" localSheetId="5" hidden="1">'인턴현황'!$A$5:$Q$205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전공의" displayName="전공의" ref="A1:AE201" headerRowCount="1">
  <autoFilter ref="A1:AE201"/>
  <tableColumns count="31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종류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기본자료에 전공의/인턴 기본자료 붙여넣기  2) 인턴근무계획에 인턴근무계획표 붙여넣기  3) 전공의명단에 사번과 입사장소, 파견 정보 입력  4)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500명.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예시(김ㅇㅇ 등)입니다. 삭제하고 실제 자료를 붙여넣으세요. 인턴도 기본자료에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200명. 3~5행은 가상 예시입니다.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단어=지역(→ 서울병원), 마지막 단어=진료과(약칭 → 정식 명칭, 예: 산부→산부인과, 소아과→소아청소년과). 사이 단어는 무시합니다.</t>
        </is>
      </c>
    </row>
    <row r="14">
      <c r="A14" s="2" t="inlineStr">
        <is>
          <t>• 통합(과를 정하지 않고 근무)과 핵방/핵/방(핵의학과+방사선종양학과)은 인턴 전용 구분으로 인정됩니다.</t>
        </is>
      </c>
    </row>
    <row r="15">
      <c r="A15" s="2" t="inlineStr">
        <is>
          <t>• 코드표에 없는 지역/진료과 약칭을 직접 입력하면 오류 팝업이 뜹니다. 코드표에 먼저 추가하세요. 붙여넣기는 엑셀 특성상 팝업이 뜨지 않으므로, 대신 해당 칸이 빨갛게 표시되고 요약의 '인턴계획 입력 오류'에 집계됩니다.</t>
        </is>
      </c>
    </row>
    <row r="16">
      <c r="A16" s="2" t="inlineStr">
        <is>
          <t>• 비고의 2026.03은 2026년 3월 1일 입사로 해석해 인턴현황의 '입사일'에 날짜로 보여줍니다.</t>
        </is>
      </c>
    </row>
    <row r="17">
      <c r="A17" s="2" t="inlineStr"/>
    </row>
    <row r="18">
      <c r="A18" s="3" t="inlineStr">
        <is>
          <t>[전공의명단 입력]</t>
        </is>
      </c>
    </row>
    <row r="19">
      <c r="A19" s="2" t="inlineStr">
        <is>
          <t>• 파란 글씨 칸만 입력: 사번, 입사장소, 파견종류, 파견병원, 파견진료과, 파견시작일, 파견종료일, 비고. 인적사항(초록 머리글)은 기본자료에서 자동 조회됩니다. 인턴도 같은 방식으로 사번을 입력하세요.</t>
        </is>
      </c>
    </row>
    <row r="20">
      <c r="A20" s="2" t="inlineStr">
        <is>
          <t>• 입사장소 = 채용된 병원(예: 구리병원에서 채용해 구리에서 근무하는 전공의는 구리병원). 급여지급의 '소속'은 입사장소 기준입니다.</t>
        </is>
      </c>
    </row>
    <row r="21">
      <c r="A21" s="2" t="inlineStr">
        <is>
          <t>• 현재 근무병원/현재 진료과는 자동입니다: ①파견중이면 파견병원/파견진료과 ②인턴이면 이번 달 근무계획 ③그 외는 기본자료의 근무지/수련과목.</t>
        </is>
      </c>
    </row>
    <row r="22">
      <c r="A22" s="2" t="inlineStr">
        <is>
          <t>• 병원/파견종류/진료과 입력 칸은 목록 선택이며, 목록에 없는 값을 직접 입력하면 오류 팝업이 뜹니다.</t>
        </is>
      </c>
    </row>
    <row r="23">
      <c r="A23" s="2" t="inlineStr"/>
    </row>
    <row r="24">
      <c r="A24" s="3" t="inlineStr">
        <is>
          <t>[급여지급병원(기준월) 규칙 — 전공의명단 Y열]</t>
        </is>
      </c>
    </row>
    <row r="25">
      <c r="A25" s="2" t="inlineStr">
        <is>
          <t>• 모자파견: 소속(입사장소) 병원에서 지급.  다기관파견: 소속(입사장소) 병원에서 지급.  일반파견(단독): 파견받은 병원에서 지급.</t>
        </is>
      </c>
    </row>
    <row r="26">
      <c r="A26" s="2" t="inlineStr">
        <is>
          <t>• 소속이 구리병원인 경우: 모자파견/일반파견 모두 요약 시트의 급여 기준월에 파견병원에서 15일 이상 근무하면 그 병원에서 지급, 15일 미만이면 구리병원에서 지급.</t>
        </is>
      </c>
    </row>
    <row r="27">
      <c r="A27" s="2" t="inlineStr">
        <is>
          <t>• 급여 기준월은 요약 시트 B3(기본값=이번 달 1일)입니다. 다른 달 급여를 보려면 그 달 1일 날짜로 바꾸세요. 15일 기준은 요약 E3에서 바꿀 수 있습니다.</t>
        </is>
      </c>
    </row>
    <row r="28">
      <c r="A28" s="2" t="inlineStr">
        <is>
          <t>• 급여지급병원 칸이 노란색이면 소속 병원과 다른 병원에서 급여가 지급되는 경우입니다.</t>
        </is>
      </c>
    </row>
    <row r="29">
      <c r="A29" s="2" t="inlineStr"/>
    </row>
    <row r="30">
      <c r="A30" s="3" t="inlineStr">
        <is>
          <t>[점검 열]</t>
        </is>
      </c>
    </row>
    <row r="31">
      <c r="A31" s="2" t="inlineStr">
        <is>
          <t>• 전공의명단 '점검' 열이 '정상'이 아니면 빨간색으로 표시됩니다 (기본자료에 없는 사번, 중복, 입사장소/파견 정보 누락, 인턴 타지역 근무인데 파견 입력 없음 등).</t>
        </is>
      </c>
    </row>
    <row r="32">
      <c r="A32" s="2" t="inlineStr"/>
    </row>
    <row r="33">
      <c r="A33" s="3" t="inlineStr">
        <is>
          <t>[정렬·필터]</t>
        </is>
      </c>
    </row>
    <row r="34">
      <c r="A34" s="2" t="inlineStr">
        <is>
          <t>• 전공의명단·인턴현황 머리글의 ▼ 버튼으로 정렬/필터합니다 (예: 파견상태=파견중, 종료까지(일) 오름차순 → 종료 임박순). 인턴현황은 인턴근무계획 순서가 바뀌어도 사번 기준으로 유지됩니다.</t>
        </is>
      </c>
    </row>
    <row r="35">
      <c r="A35" s="2" t="inlineStr">
        <is>
          <t>• 주황색 행: 파견중이면서 종료까지 요약 시트의 기준일수(기본 30일) 이내.  회색: 파견종료.</t>
        </is>
      </c>
    </row>
    <row r="36">
      <c r="A36" s="2" t="inlineStr"/>
    </row>
    <row r="37">
      <c r="A37" s="3" t="inlineStr">
        <is>
          <t>[참고]</t>
        </is>
      </c>
    </row>
    <row r="38">
      <c r="A38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소아청소년과</t>
        </is>
      </c>
      <c r="E4" s="5" t="inlineStr">
        <is>
          <t>레지던트1</t>
        </is>
      </c>
      <c r="F4" s="5" t="inlineStr">
        <is>
          <t>구리</t>
        </is>
      </c>
      <c r="G4" s="5" t="n">
        <v>20260301</v>
      </c>
      <c r="H4" s="6" t="inlineStr">
        <is>
          <t>11-1113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</sheetData>
  <autoFilter ref="A1:L5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2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",TRIM(E3&amp;""))),COUNTIF(코드표!$A$2:$A$21,IF(RIGHT(LEFT(TRIM(E3&amp;""),FIND(" ",TRIM(E3&amp;""))-1),2)="병원",LEFT(TRIM(E3&amp;""),FIND(" ",TRIM(E3&amp;""))-1),LEFT(TRIM(E3&amp;""),FIND(" ",TRIM(E3&amp;""))-1)&amp;"병원"))&gt;0,ISNUMBER(MATCH(TRIM(RIGHT(SUBSTITUTE(TRIM(E3&amp;"")," ",REPT(" ",60)),60)),코드표!$F$2:$F$101,0))),IF(RIGHT(LEFT(TRIM(E3&amp;""),FIND(" ",TRIM(E3&amp;""))-1),2)="병원",LEFT(TRIM(E3&amp;""),FIND(" ",TRIM(E3&amp;""))-1),LEFT(TRIM(E3&amp;""),FIND(" ",TRIM(E3&amp;""))-1)&amp;"병원")&amp;"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",TRIM(F3&amp;""))),COUNTIF(코드표!$A$2:$A$21,IF(RIGHT(LEFT(TRIM(F3&amp;""),FIND(" ",TRIM(F3&amp;""))-1),2)="병원",LEFT(TRIM(F3&amp;""),FIND(" ",TRIM(F3&amp;""))-1),LEFT(TRIM(F3&amp;""),FIND(" ",TRIM(F3&amp;""))-1)&amp;"병원"))&gt;0,ISNUMBER(MATCH(TRIM(RIGHT(SUBSTITUTE(TRIM(F3&amp;"")," ",REPT(" ",60)),60)),코드표!$F$2:$F$101,0))),IF(RIGHT(LEFT(TRIM(F3&amp;""),FIND(" ",TRIM(F3&amp;""))-1),2)="병원",LEFT(TRIM(F3&amp;""),FIND(" ",TRIM(F3&amp;""))-1),LEFT(TRIM(F3&amp;""),FIND(" ",TRIM(F3&amp;""))-1)&amp;"병원")&amp;"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",TRIM(G3&amp;""))),COUNTIF(코드표!$A$2:$A$21,IF(RIGHT(LEFT(TRIM(G3&amp;""),FIND(" ",TRIM(G3&amp;""))-1),2)="병원",LEFT(TRIM(G3&amp;""),FIND(" ",TRIM(G3&amp;""))-1),LEFT(TRIM(G3&amp;""),FIND(" ",TRIM(G3&amp;""))-1)&amp;"병원"))&gt;0,ISNUMBER(MATCH(TRIM(RIGHT(SUBSTITUTE(TRIM(G3&amp;"")," ",REPT(" ",60)),60)),코드표!$F$2:$F$101,0))),IF(RIGHT(LEFT(TRIM(G3&amp;""),FIND(" ",TRIM(G3&amp;""))-1),2)="병원",LEFT(TRIM(G3&amp;""),FIND(" ",TRIM(G3&amp;""))-1),LEFT(TRIM(G3&amp;""),FIND(" ",TRIM(G3&amp;""))-1)&amp;"병원")&amp;"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",TRIM(H3&amp;""))),COUNTIF(코드표!$A$2:$A$21,IF(RIGHT(LEFT(TRIM(H3&amp;""),FIND(" ",TRIM(H3&amp;""))-1),2)="병원",LEFT(TRIM(H3&amp;""),FIND(" ",TRIM(H3&amp;""))-1),LEFT(TRIM(H3&amp;""),FIND(" ",TRIM(H3&amp;""))-1)&amp;"병원"))&gt;0,ISNUMBER(MATCH(TRIM(RIGHT(SUBSTITUTE(TRIM(H3&amp;"")," ",REPT(" ",60)),60)),코드표!$F$2:$F$101,0))),IF(RIGHT(LEFT(TRIM(H3&amp;""),FIND(" ",TRIM(H3&amp;""))-1),2)="병원",LEFT(TRIM(H3&amp;""),FIND(" ",TRIM(H3&amp;""))-1),LEFT(TRIM(H3&amp;""),FIND(" ",TRIM(H3&amp;""))-1)&amp;"병원")&amp;"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",TRIM(I3&amp;""))),COUNTIF(코드표!$A$2:$A$21,IF(RIGHT(LEFT(TRIM(I3&amp;""),FIND(" ",TRIM(I3&amp;""))-1),2)="병원",LEFT(TRIM(I3&amp;""),FIND(" ",TRIM(I3&amp;""))-1),LEFT(TRIM(I3&amp;""),FIND(" ",TRIM(I3&amp;""))-1)&amp;"병원"))&gt;0,ISNUMBER(MATCH(TRIM(RIGHT(SUBSTITUTE(TRIM(I3&amp;"")," ",REPT(" ",60)),60)),코드표!$F$2:$F$101,0))),IF(RIGHT(LEFT(TRIM(I3&amp;""),FIND(" ",TRIM(I3&amp;""))-1),2)="병원",LEFT(TRIM(I3&amp;""),FIND(" ",TRIM(I3&amp;""))-1),LEFT(TRIM(I3&amp;""),FIND(" ",TRIM(I3&amp;""))-1)&amp;"병원")&amp;"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",TRIM(J3&amp;""))),COUNTIF(코드표!$A$2:$A$21,IF(RIGHT(LEFT(TRIM(J3&amp;""),FIND(" ",TRIM(J3&amp;""))-1),2)="병원",LEFT(TRIM(J3&amp;""),FIND(" ",TRIM(J3&amp;""))-1),LEFT(TRIM(J3&amp;""),FIND(" ",TRIM(J3&amp;""))-1)&amp;"병원"))&gt;0,ISNUMBER(MATCH(TRIM(RIGHT(SUBSTITUTE(TRIM(J3&amp;"")," ",REPT(" ",60)),60)),코드표!$F$2:$F$101,0))),IF(RIGHT(LEFT(TRIM(J3&amp;""),FIND(" ",TRIM(J3&amp;""))-1),2)="병원",LEFT(TRIM(J3&amp;""),FIND(" ",TRIM(J3&amp;""))-1),LEFT(TRIM(J3&amp;""),FIND(" ",TRIM(J3&amp;""))-1)&amp;"병원")&amp;"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",TRIM(E4&amp;""))),COUNTIF(코드표!$A$2:$A$21,IF(RIGHT(LEFT(TRIM(E4&amp;""),FIND(" ",TRIM(E4&amp;""))-1),2)="병원",LEFT(TRIM(E4&amp;""),FIND(" ",TRIM(E4&amp;""))-1),LEFT(TRIM(E4&amp;""),FIND(" ",TRIM(E4&amp;""))-1)&amp;"병원"))&gt;0,ISNUMBER(MATCH(TRIM(RIGHT(SUBSTITUTE(TRIM(E4&amp;"")," ",REPT(" ",60)),60)),코드표!$F$2:$F$101,0))),IF(RIGHT(LEFT(TRIM(E4&amp;""),FIND(" ",TRIM(E4&amp;""))-1),2)="병원",LEFT(TRIM(E4&amp;""),FIND(" ",TRIM(E4&amp;""))-1),LEFT(TRIM(E4&amp;""),FIND(" ",TRIM(E4&amp;""))-1)&amp;"병원")&amp;"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",TRIM(F4&amp;""))),COUNTIF(코드표!$A$2:$A$21,IF(RIGHT(LEFT(TRIM(F4&amp;""),FIND(" ",TRIM(F4&amp;""))-1),2)="병원",LEFT(TRIM(F4&amp;""),FIND(" ",TRIM(F4&amp;""))-1),LEFT(TRIM(F4&amp;""),FIND(" ",TRIM(F4&amp;""))-1)&amp;"병원"))&gt;0,ISNUMBER(MATCH(TRIM(RIGHT(SUBSTITUTE(TRIM(F4&amp;"")," ",REPT(" ",60)),60)),코드표!$F$2:$F$101,0))),IF(RIGHT(LEFT(TRIM(F4&amp;""),FIND(" ",TRIM(F4&amp;""))-1),2)="병원",LEFT(TRIM(F4&amp;""),FIND(" ",TRIM(F4&amp;""))-1),LEFT(TRIM(F4&amp;""),FIND(" ",TRIM(F4&amp;""))-1)&amp;"병원")&amp;"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",TRIM(G4&amp;""))),COUNTIF(코드표!$A$2:$A$21,IF(RIGHT(LEFT(TRIM(G4&amp;""),FIND(" ",TRIM(G4&amp;""))-1),2)="병원",LEFT(TRIM(G4&amp;""),FIND(" ",TRIM(G4&amp;""))-1),LEFT(TRIM(G4&amp;""),FIND(" ",TRIM(G4&amp;""))-1)&amp;"병원"))&gt;0,ISNUMBER(MATCH(TRIM(RIGHT(SUBSTITUTE(TRIM(G4&amp;"")," ",REPT(" ",60)),60)),코드표!$F$2:$F$101,0))),IF(RIGHT(LEFT(TRIM(G4&amp;""),FIND(" ",TRIM(G4&amp;""))-1),2)="병원",LEFT(TRIM(G4&amp;""),FIND(" ",TRIM(G4&amp;""))-1),LEFT(TRIM(G4&amp;""),FIND(" ",TRIM(G4&amp;""))-1)&amp;"병원")&amp;"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",TRIM(H4&amp;""))),COUNTIF(코드표!$A$2:$A$21,IF(RIGHT(LEFT(TRIM(H4&amp;""),FIND(" ",TRIM(H4&amp;""))-1),2)="병원",LEFT(TRIM(H4&amp;""),FIND(" ",TRIM(H4&amp;""))-1),LEFT(TRIM(H4&amp;""),FIND(" ",TRIM(H4&amp;""))-1)&amp;"병원"))&gt;0,ISNUMBER(MATCH(TRIM(RIGHT(SUBSTITUTE(TRIM(H4&amp;"")," ",REPT(" ",60)),60)),코드표!$F$2:$F$101,0))),IF(RIGHT(LEFT(TRIM(H4&amp;""),FIND(" ",TRIM(H4&amp;""))-1),2)="병원",LEFT(TRIM(H4&amp;""),FIND(" ",TRIM(H4&amp;""))-1),LEFT(TRIM(H4&amp;""),FIND(" ",TRIM(H4&amp;""))-1)&amp;"병원")&amp;"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",TRIM(I4&amp;""))),COUNTIF(코드표!$A$2:$A$21,IF(RIGHT(LEFT(TRIM(I4&amp;""),FIND(" ",TRIM(I4&amp;""))-1),2)="병원",LEFT(TRIM(I4&amp;""),FIND(" ",TRIM(I4&amp;""))-1),LEFT(TRIM(I4&amp;""),FIND(" ",TRIM(I4&amp;""))-1)&amp;"병원"))&gt;0,ISNUMBER(MATCH(TRIM(RIGHT(SUBSTITUTE(TRIM(I4&amp;"")," ",REPT(" ",60)),60)),코드표!$F$2:$F$101,0))),IF(RIGHT(LEFT(TRIM(I4&amp;""),FIND(" ",TRIM(I4&amp;""))-1),2)="병원",LEFT(TRIM(I4&amp;""),FIND(" ",TRIM(I4&amp;""))-1),LEFT(TRIM(I4&amp;""),FIND(" ",TRIM(I4&amp;""))-1)&amp;"병원")&amp;"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",TRIM(J4&amp;""))),COUNTIF(코드표!$A$2:$A$21,IF(RIGHT(LEFT(TRIM(J4&amp;""),FIND(" ",TRIM(J4&amp;""))-1),2)="병원",LEFT(TRIM(J4&amp;""),FIND(" ",TRIM(J4&amp;""))-1),LEFT(TRIM(J4&amp;""),FIND(" ",TRIM(J4&amp;""))-1)&amp;"병원"))&gt;0,ISNUMBER(MATCH(TRIM(RIGHT(SUBSTITUTE(TRIM(J4&amp;"")," ",REPT(" ",60)),60)),코드표!$F$2:$F$101,0))),IF(RIGHT(LEFT(TRIM(J4&amp;""),FIND(" ",TRIM(J4&amp;""))-1),2)="병원",LEFT(TRIM(J4&amp;""),FIND(" ",TRIM(J4&amp;""))-1),LEFT(TRIM(J4&amp;""),FIND(" ",TRIM(J4&amp;""))-1)&amp;"병원")&amp;"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",TRIM(E5&amp;""))),COUNTIF(코드표!$A$2:$A$21,IF(RIGHT(LEFT(TRIM(E5&amp;""),FIND(" ",TRIM(E5&amp;""))-1),2)="병원",LEFT(TRIM(E5&amp;""),FIND(" ",TRIM(E5&amp;""))-1),LEFT(TRIM(E5&amp;""),FIND(" ",TRIM(E5&amp;""))-1)&amp;"병원"))&gt;0,ISNUMBER(MATCH(TRIM(RIGHT(SUBSTITUTE(TRIM(E5&amp;"")," ",REPT(" ",60)),60)),코드표!$F$2:$F$101,0))),IF(RIGHT(LEFT(TRIM(E5&amp;""),FIND(" ",TRIM(E5&amp;""))-1),2)="병원",LEFT(TRIM(E5&amp;""),FIND(" ",TRIM(E5&amp;""))-1),LEFT(TRIM(E5&amp;""),FIND(" ",TRIM(E5&amp;""))-1)&amp;"병원")&amp;"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",TRIM(F5&amp;""))),COUNTIF(코드표!$A$2:$A$21,IF(RIGHT(LEFT(TRIM(F5&amp;""),FIND(" ",TRIM(F5&amp;""))-1),2)="병원",LEFT(TRIM(F5&amp;""),FIND(" ",TRIM(F5&amp;""))-1),LEFT(TRIM(F5&amp;""),FIND(" ",TRIM(F5&amp;""))-1)&amp;"병원"))&gt;0,ISNUMBER(MATCH(TRIM(RIGHT(SUBSTITUTE(TRIM(F5&amp;"")," ",REPT(" ",60)),60)),코드표!$F$2:$F$101,0))),IF(RIGHT(LEFT(TRIM(F5&amp;""),FIND(" ",TRIM(F5&amp;""))-1),2)="병원",LEFT(TRIM(F5&amp;""),FIND(" ",TRIM(F5&amp;""))-1),LEFT(TRIM(F5&amp;""),FIND(" ",TRIM(F5&amp;""))-1)&amp;"병원")&amp;"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",TRIM(G5&amp;""))),COUNTIF(코드표!$A$2:$A$21,IF(RIGHT(LEFT(TRIM(G5&amp;""),FIND(" ",TRIM(G5&amp;""))-1),2)="병원",LEFT(TRIM(G5&amp;""),FIND(" ",TRIM(G5&amp;""))-1),LEFT(TRIM(G5&amp;""),FIND(" ",TRIM(G5&amp;""))-1)&amp;"병원"))&gt;0,ISNUMBER(MATCH(TRIM(RIGHT(SUBSTITUTE(TRIM(G5&amp;"")," ",REPT(" ",60)),60)),코드표!$F$2:$F$101,0))),IF(RIGHT(LEFT(TRIM(G5&amp;""),FIND(" ",TRIM(G5&amp;""))-1),2)="병원",LEFT(TRIM(G5&amp;""),FIND(" ",TRIM(G5&amp;""))-1),LEFT(TRIM(G5&amp;""),FIND(" ",TRIM(G5&amp;""))-1)&amp;"병원")&amp;"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",TRIM(H5&amp;""))),COUNTIF(코드표!$A$2:$A$21,IF(RIGHT(LEFT(TRIM(H5&amp;""),FIND(" ",TRIM(H5&amp;""))-1),2)="병원",LEFT(TRIM(H5&amp;""),FIND(" ",TRIM(H5&amp;""))-1),LEFT(TRIM(H5&amp;""),FIND(" ",TRIM(H5&amp;""))-1)&amp;"병원"))&gt;0,ISNUMBER(MATCH(TRIM(RIGHT(SUBSTITUTE(TRIM(H5&amp;"")," ",REPT(" ",60)),60)),코드표!$F$2:$F$101,0))),IF(RIGHT(LEFT(TRIM(H5&amp;""),FIND(" ",TRIM(H5&amp;""))-1),2)="병원",LEFT(TRIM(H5&amp;""),FIND(" ",TRIM(H5&amp;""))-1),LEFT(TRIM(H5&amp;""),FIND(" ",TRIM(H5&amp;""))-1)&amp;"병원")&amp;"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",TRIM(I5&amp;""))),COUNTIF(코드표!$A$2:$A$21,IF(RIGHT(LEFT(TRIM(I5&amp;""),FIND(" ",TRIM(I5&amp;""))-1),2)="병원",LEFT(TRIM(I5&amp;""),FIND(" ",TRIM(I5&amp;""))-1),LEFT(TRIM(I5&amp;""),FIND(" ",TRIM(I5&amp;""))-1)&amp;"병원"))&gt;0,ISNUMBER(MATCH(TRIM(RIGHT(SUBSTITUTE(TRIM(I5&amp;"")," ",REPT(" ",60)),60)),코드표!$F$2:$F$101,0))),IF(RIGHT(LEFT(TRIM(I5&amp;""),FIND(" ",TRIM(I5&amp;""))-1),2)="병원",LEFT(TRIM(I5&amp;""),FIND(" ",TRIM(I5&amp;""))-1),LEFT(TRIM(I5&amp;""),FIND(" ",TRIM(I5&amp;""))-1)&amp;"병원")&amp;"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",TRIM(J5&amp;""))),COUNTIF(코드표!$A$2:$A$21,IF(RIGHT(LEFT(TRIM(J5&amp;""),FIND(" ",TRIM(J5&amp;""))-1),2)="병원",LEFT(TRIM(J5&amp;""),FIND(" ",TRIM(J5&amp;""))-1),LEFT(TRIM(J5&amp;""),FIND(" ",TRIM(J5&amp;""))-1)&amp;"병원"))&gt;0,ISNUMBER(MATCH(TRIM(RIGHT(SUBSTITUTE(TRIM(J5&amp;"")," ",REPT(" ",60)),60)),코드표!$F$2:$F$101,0))),IF(RIGHT(LEFT(TRIM(J5&amp;""),FIND(" ",TRIM(J5&amp;""))-1),2)="병원",LEFT(TRIM(J5&amp;""),FIND(" ",TRIM(J5&amp;""))-1),LEFT(TRIM(J5&amp;""),FIND(" ",TRIM(J5&amp;""))-1)&amp;"병원")&amp;"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",TRIM(E6&amp;""))),COUNTIF(코드표!$A$2:$A$21,IF(RIGHT(LEFT(TRIM(E6&amp;""),FIND(" ",TRIM(E6&amp;""))-1),2)="병원",LEFT(TRIM(E6&amp;""),FIND(" ",TRIM(E6&amp;""))-1),LEFT(TRIM(E6&amp;""),FIND(" ",TRIM(E6&amp;""))-1)&amp;"병원"))&gt;0,ISNUMBER(MATCH(TRIM(RIGHT(SUBSTITUTE(TRIM(E6&amp;"")," ",REPT(" ",60)),60)),코드표!$F$2:$F$101,0))),IF(RIGHT(LEFT(TRIM(E6&amp;""),FIND(" ",TRIM(E6&amp;""))-1),2)="병원",LEFT(TRIM(E6&amp;""),FIND(" ",TRIM(E6&amp;""))-1),LEFT(TRIM(E6&amp;""),FIND(" ",TRIM(E6&amp;""))-1)&amp;"병원")&amp;"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",TRIM(F6&amp;""))),COUNTIF(코드표!$A$2:$A$21,IF(RIGHT(LEFT(TRIM(F6&amp;""),FIND(" ",TRIM(F6&amp;""))-1),2)="병원",LEFT(TRIM(F6&amp;""),FIND(" ",TRIM(F6&amp;""))-1),LEFT(TRIM(F6&amp;""),FIND(" ",TRIM(F6&amp;""))-1)&amp;"병원"))&gt;0,ISNUMBER(MATCH(TRIM(RIGHT(SUBSTITUTE(TRIM(F6&amp;"")," ",REPT(" ",60)),60)),코드표!$F$2:$F$101,0))),IF(RIGHT(LEFT(TRIM(F6&amp;""),FIND(" ",TRIM(F6&amp;""))-1),2)="병원",LEFT(TRIM(F6&amp;""),FIND(" ",TRIM(F6&amp;""))-1),LEFT(TRIM(F6&amp;""),FIND(" ",TRIM(F6&amp;""))-1)&amp;"병원")&amp;"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",TRIM(G6&amp;""))),COUNTIF(코드표!$A$2:$A$21,IF(RIGHT(LEFT(TRIM(G6&amp;""),FIND(" ",TRIM(G6&amp;""))-1),2)="병원",LEFT(TRIM(G6&amp;""),FIND(" ",TRIM(G6&amp;""))-1),LEFT(TRIM(G6&amp;""),FIND(" ",TRIM(G6&amp;""))-1)&amp;"병원"))&gt;0,ISNUMBER(MATCH(TRIM(RIGHT(SUBSTITUTE(TRIM(G6&amp;"")," ",REPT(" ",60)),60)),코드표!$F$2:$F$101,0))),IF(RIGHT(LEFT(TRIM(G6&amp;""),FIND(" ",TRIM(G6&amp;""))-1),2)="병원",LEFT(TRIM(G6&amp;""),FIND(" ",TRIM(G6&amp;""))-1),LEFT(TRIM(G6&amp;""),FIND(" ",TRIM(G6&amp;""))-1)&amp;"병원")&amp;"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",TRIM(H6&amp;""))),COUNTIF(코드표!$A$2:$A$21,IF(RIGHT(LEFT(TRIM(H6&amp;""),FIND(" ",TRIM(H6&amp;""))-1),2)="병원",LEFT(TRIM(H6&amp;""),FIND(" ",TRIM(H6&amp;""))-1),LEFT(TRIM(H6&amp;""),FIND(" ",TRIM(H6&amp;""))-1)&amp;"병원"))&gt;0,ISNUMBER(MATCH(TRIM(RIGHT(SUBSTITUTE(TRIM(H6&amp;"")," ",REPT(" ",60)),60)),코드표!$F$2:$F$101,0))),IF(RIGHT(LEFT(TRIM(H6&amp;""),FIND(" ",TRIM(H6&amp;""))-1),2)="병원",LEFT(TRIM(H6&amp;""),FIND(" ",TRIM(H6&amp;""))-1),LEFT(TRIM(H6&amp;""),FIND(" ",TRIM(H6&amp;""))-1)&amp;"병원")&amp;"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",TRIM(I6&amp;""))),COUNTIF(코드표!$A$2:$A$21,IF(RIGHT(LEFT(TRIM(I6&amp;""),FIND(" ",TRIM(I6&amp;""))-1),2)="병원",LEFT(TRIM(I6&amp;""),FIND(" ",TRIM(I6&amp;""))-1),LEFT(TRIM(I6&amp;""),FIND(" ",TRIM(I6&amp;""))-1)&amp;"병원"))&gt;0,ISNUMBER(MATCH(TRIM(RIGHT(SUBSTITUTE(TRIM(I6&amp;"")," ",REPT(" ",60)),60)),코드표!$F$2:$F$101,0))),IF(RIGHT(LEFT(TRIM(I6&amp;""),FIND(" ",TRIM(I6&amp;""))-1),2)="병원",LEFT(TRIM(I6&amp;""),FIND(" ",TRIM(I6&amp;""))-1),LEFT(TRIM(I6&amp;""),FIND(" ",TRIM(I6&amp;""))-1)&amp;"병원")&amp;"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",TRIM(J6&amp;""))),COUNTIF(코드표!$A$2:$A$21,IF(RIGHT(LEFT(TRIM(J6&amp;""),FIND(" ",TRIM(J6&amp;""))-1),2)="병원",LEFT(TRIM(J6&amp;""),FIND(" ",TRIM(J6&amp;""))-1),LEFT(TRIM(J6&amp;""),FIND(" ",TRIM(J6&amp;""))-1)&amp;"병원"))&gt;0,ISNUMBER(MATCH(TRIM(RIGHT(SUBSTITUTE(TRIM(J6&amp;"")," ",REPT(" ",60)),60)),코드표!$F$2:$F$101,0))),IF(RIGHT(LEFT(TRIM(J6&amp;""),FIND(" ",TRIM(J6&amp;""))-1),2)="병원",LEFT(TRIM(J6&amp;""),FIND(" ",TRIM(J6&amp;""))-1),LEFT(TRIM(J6&amp;""),FIND(" ",TRIM(J6&amp;""))-1)&amp;"병원")&amp;"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",TRIM(E7&amp;""))),COUNTIF(코드표!$A$2:$A$21,IF(RIGHT(LEFT(TRIM(E7&amp;""),FIND(" ",TRIM(E7&amp;""))-1),2)="병원",LEFT(TRIM(E7&amp;""),FIND(" ",TRIM(E7&amp;""))-1),LEFT(TRIM(E7&amp;""),FIND(" ",TRIM(E7&amp;""))-1)&amp;"병원"))&gt;0,ISNUMBER(MATCH(TRIM(RIGHT(SUBSTITUTE(TRIM(E7&amp;"")," ",REPT(" ",60)),60)),코드표!$F$2:$F$101,0))),IF(RIGHT(LEFT(TRIM(E7&amp;""),FIND(" ",TRIM(E7&amp;""))-1),2)="병원",LEFT(TRIM(E7&amp;""),FIND(" ",TRIM(E7&amp;""))-1),LEFT(TRIM(E7&amp;""),FIND(" ",TRIM(E7&amp;""))-1)&amp;"병원")&amp;"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",TRIM(F7&amp;""))),COUNTIF(코드표!$A$2:$A$21,IF(RIGHT(LEFT(TRIM(F7&amp;""),FIND(" ",TRIM(F7&amp;""))-1),2)="병원",LEFT(TRIM(F7&amp;""),FIND(" ",TRIM(F7&amp;""))-1),LEFT(TRIM(F7&amp;""),FIND(" ",TRIM(F7&amp;""))-1)&amp;"병원"))&gt;0,ISNUMBER(MATCH(TRIM(RIGHT(SUBSTITUTE(TRIM(F7&amp;"")," ",REPT(" ",60)),60)),코드표!$F$2:$F$101,0))),IF(RIGHT(LEFT(TRIM(F7&amp;""),FIND(" ",TRIM(F7&amp;""))-1),2)="병원",LEFT(TRIM(F7&amp;""),FIND(" ",TRIM(F7&amp;""))-1),LEFT(TRIM(F7&amp;""),FIND(" ",TRIM(F7&amp;""))-1)&amp;"병원")&amp;"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",TRIM(G7&amp;""))),COUNTIF(코드표!$A$2:$A$21,IF(RIGHT(LEFT(TRIM(G7&amp;""),FIND(" ",TRIM(G7&amp;""))-1),2)="병원",LEFT(TRIM(G7&amp;""),FIND(" ",TRIM(G7&amp;""))-1),LEFT(TRIM(G7&amp;""),FIND(" ",TRIM(G7&amp;""))-1)&amp;"병원"))&gt;0,ISNUMBER(MATCH(TRIM(RIGHT(SUBSTITUTE(TRIM(G7&amp;"")," ",REPT(" ",60)),60)),코드표!$F$2:$F$101,0))),IF(RIGHT(LEFT(TRIM(G7&amp;""),FIND(" ",TRIM(G7&amp;""))-1),2)="병원",LEFT(TRIM(G7&amp;""),FIND(" ",TRIM(G7&amp;""))-1),LEFT(TRIM(G7&amp;""),FIND(" ",TRIM(G7&amp;""))-1)&amp;"병원")&amp;"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",TRIM(H7&amp;""))),COUNTIF(코드표!$A$2:$A$21,IF(RIGHT(LEFT(TRIM(H7&amp;""),FIND(" ",TRIM(H7&amp;""))-1),2)="병원",LEFT(TRIM(H7&amp;""),FIND(" ",TRIM(H7&amp;""))-1),LEFT(TRIM(H7&amp;""),FIND(" ",TRIM(H7&amp;""))-1)&amp;"병원"))&gt;0,ISNUMBER(MATCH(TRIM(RIGHT(SUBSTITUTE(TRIM(H7&amp;"")," ",REPT(" ",60)),60)),코드표!$F$2:$F$101,0))),IF(RIGHT(LEFT(TRIM(H7&amp;""),FIND(" ",TRIM(H7&amp;""))-1),2)="병원",LEFT(TRIM(H7&amp;""),FIND(" ",TRIM(H7&amp;""))-1),LEFT(TRIM(H7&amp;""),FIND(" ",TRIM(H7&amp;""))-1)&amp;"병원")&amp;"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",TRIM(I7&amp;""))),COUNTIF(코드표!$A$2:$A$21,IF(RIGHT(LEFT(TRIM(I7&amp;""),FIND(" ",TRIM(I7&amp;""))-1),2)="병원",LEFT(TRIM(I7&amp;""),FIND(" ",TRIM(I7&amp;""))-1),LEFT(TRIM(I7&amp;""),FIND(" ",TRIM(I7&amp;""))-1)&amp;"병원"))&gt;0,ISNUMBER(MATCH(TRIM(RIGHT(SUBSTITUTE(TRIM(I7&amp;"")," ",REPT(" ",60)),60)),코드표!$F$2:$F$101,0))),IF(RIGHT(LEFT(TRIM(I7&amp;""),FIND(" ",TRIM(I7&amp;""))-1),2)="병원",LEFT(TRIM(I7&amp;""),FIND(" ",TRIM(I7&amp;""))-1),LEFT(TRIM(I7&amp;""),FIND(" ",TRIM(I7&amp;""))-1)&amp;"병원")&amp;"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",TRIM(J7&amp;""))),COUNTIF(코드표!$A$2:$A$21,IF(RIGHT(LEFT(TRIM(J7&amp;""),FIND(" ",TRIM(J7&amp;""))-1),2)="병원",LEFT(TRIM(J7&amp;""),FIND(" ",TRIM(J7&amp;""))-1),LEFT(TRIM(J7&amp;""),FIND(" ",TRIM(J7&amp;""))-1)&amp;"병원"))&gt;0,ISNUMBER(MATCH(TRIM(RIGHT(SUBSTITUTE(TRIM(J7&amp;"")," ",REPT(" ",60)),60)),코드표!$F$2:$F$101,0))),IF(RIGHT(LEFT(TRIM(J7&amp;""),FIND(" ",TRIM(J7&amp;""))-1),2)="병원",LEFT(TRIM(J7&amp;""),FIND(" ",TRIM(J7&amp;""))-1),LEFT(TRIM(J7&amp;""),FIND(" ",TRIM(J7&amp;""))-1)&amp;"병원")&amp;"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",TRIM(E8&amp;""))),COUNTIF(코드표!$A$2:$A$21,IF(RIGHT(LEFT(TRIM(E8&amp;""),FIND(" ",TRIM(E8&amp;""))-1),2)="병원",LEFT(TRIM(E8&amp;""),FIND(" ",TRIM(E8&amp;""))-1),LEFT(TRIM(E8&amp;""),FIND(" ",TRIM(E8&amp;""))-1)&amp;"병원"))&gt;0,ISNUMBER(MATCH(TRIM(RIGHT(SUBSTITUTE(TRIM(E8&amp;"")," ",REPT(" ",60)),60)),코드표!$F$2:$F$101,0))),IF(RIGHT(LEFT(TRIM(E8&amp;""),FIND(" ",TRIM(E8&amp;""))-1),2)="병원",LEFT(TRIM(E8&amp;""),FIND(" ",TRIM(E8&amp;""))-1),LEFT(TRIM(E8&amp;""),FIND(" ",TRIM(E8&amp;""))-1)&amp;"병원")&amp;"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",TRIM(F8&amp;""))),COUNTIF(코드표!$A$2:$A$21,IF(RIGHT(LEFT(TRIM(F8&amp;""),FIND(" ",TRIM(F8&amp;""))-1),2)="병원",LEFT(TRIM(F8&amp;""),FIND(" ",TRIM(F8&amp;""))-1),LEFT(TRIM(F8&amp;""),FIND(" ",TRIM(F8&amp;""))-1)&amp;"병원"))&gt;0,ISNUMBER(MATCH(TRIM(RIGHT(SUBSTITUTE(TRIM(F8&amp;"")," ",REPT(" ",60)),60)),코드표!$F$2:$F$101,0))),IF(RIGHT(LEFT(TRIM(F8&amp;""),FIND(" ",TRIM(F8&amp;""))-1),2)="병원",LEFT(TRIM(F8&amp;""),FIND(" ",TRIM(F8&amp;""))-1),LEFT(TRIM(F8&amp;""),FIND(" ",TRIM(F8&amp;""))-1)&amp;"병원")&amp;"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",TRIM(G8&amp;""))),COUNTIF(코드표!$A$2:$A$21,IF(RIGHT(LEFT(TRIM(G8&amp;""),FIND(" ",TRIM(G8&amp;""))-1),2)="병원",LEFT(TRIM(G8&amp;""),FIND(" ",TRIM(G8&amp;""))-1),LEFT(TRIM(G8&amp;""),FIND(" ",TRIM(G8&amp;""))-1)&amp;"병원"))&gt;0,ISNUMBER(MATCH(TRIM(RIGHT(SUBSTITUTE(TRIM(G8&amp;"")," ",REPT(" ",60)),60)),코드표!$F$2:$F$101,0))),IF(RIGHT(LEFT(TRIM(G8&amp;""),FIND(" ",TRIM(G8&amp;""))-1),2)="병원",LEFT(TRIM(G8&amp;""),FIND(" ",TRIM(G8&amp;""))-1),LEFT(TRIM(G8&amp;""),FIND(" ",TRIM(G8&amp;""))-1)&amp;"병원")&amp;"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",TRIM(H8&amp;""))),COUNTIF(코드표!$A$2:$A$21,IF(RIGHT(LEFT(TRIM(H8&amp;""),FIND(" ",TRIM(H8&amp;""))-1),2)="병원",LEFT(TRIM(H8&amp;""),FIND(" ",TRIM(H8&amp;""))-1),LEFT(TRIM(H8&amp;""),FIND(" ",TRIM(H8&amp;""))-1)&amp;"병원"))&gt;0,ISNUMBER(MATCH(TRIM(RIGHT(SUBSTITUTE(TRIM(H8&amp;"")," ",REPT(" ",60)),60)),코드표!$F$2:$F$101,0))),IF(RIGHT(LEFT(TRIM(H8&amp;""),FIND(" ",TRIM(H8&amp;""))-1),2)="병원",LEFT(TRIM(H8&amp;""),FIND(" ",TRIM(H8&amp;""))-1),LEFT(TRIM(H8&amp;""),FIND(" ",TRIM(H8&amp;""))-1)&amp;"병원")&amp;"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",TRIM(I8&amp;""))),COUNTIF(코드표!$A$2:$A$21,IF(RIGHT(LEFT(TRIM(I8&amp;""),FIND(" ",TRIM(I8&amp;""))-1),2)="병원",LEFT(TRIM(I8&amp;""),FIND(" ",TRIM(I8&amp;""))-1),LEFT(TRIM(I8&amp;""),FIND(" ",TRIM(I8&amp;""))-1)&amp;"병원"))&gt;0,ISNUMBER(MATCH(TRIM(RIGHT(SUBSTITUTE(TRIM(I8&amp;"")," ",REPT(" ",60)),60)),코드표!$F$2:$F$101,0))),IF(RIGHT(LEFT(TRIM(I8&amp;""),FIND(" ",TRIM(I8&amp;""))-1),2)="병원",LEFT(TRIM(I8&amp;""),FIND(" ",TRIM(I8&amp;""))-1),LEFT(TRIM(I8&amp;""),FIND(" ",TRIM(I8&amp;""))-1)&amp;"병원")&amp;"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",TRIM(J8&amp;""))),COUNTIF(코드표!$A$2:$A$21,IF(RIGHT(LEFT(TRIM(J8&amp;""),FIND(" ",TRIM(J8&amp;""))-1),2)="병원",LEFT(TRIM(J8&amp;""),FIND(" ",TRIM(J8&amp;""))-1),LEFT(TRIM(J8&amp;""),FIND(" ",TRIM(J8&amp;""))-1)&amp;"병원"))&gt;0,ISNUMBER(MATCH(TRIM(RIGHT(SUBSTITUTE(TRIM(J8&amp;"")," ",REPT(" ",60)),60)),코드표!$F$2:$F$101,0))),IF(RIGHT(LEFT(TRIM(J8&amp;""),FIND(" ",TRIM(J8&amp;""))-1),2)="병원",LEFT(TRIM(J8&amp;""),FIND(" ",TRIM(J8&amp;""))-1),LEFT(TRIM(J8&amp;""),FIND(" ",TRIM(J8&amp;""))-1)&amp;"병원")&amp;"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",TRIM(E9&amp;""))),COUNTIF(코드표!$A$2:$A$21,IF(RIGHT(LEFT(TRIM(E9&amp;""),FIND(" ",TRIM(E9&amp;""))-1),2)="병원",LEFT(TRIM(E9&amp;""),FIND(" ",TRIM(E9&amp;""))-1),LEFT(TRIM(E9&amp;""),FIND(" ",TRIM(E9&amp;""))-1)&amp;"병원"))&gt;0,ISNUMBER(MATCH(TRIM(RIGHT(SUBSTITUTE(TRIM(E9&amp;"")," ",REPT(" ",60)),60)),코드표!$F$2:$F$101,0))),IF(RIGHT(LEFT(TRIM(E9&amp;""),FIND(" ",TRIM(E9&amp;""))-1),2)="병원",LEFT(TRIM(E9&amp;""),FIND(" ",TRIM(E9&amp;""))-1),LEFT(TRIM(E9&amp;""),FIND(" ",TRIM(E9&amp;""))-1)&amp;"병원")&amp;"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",TRIM(F9&amp;""))),COUNTIF(코드표!$A$2:$A$21,IF(RIGHT(LEFT(TRIM(F9&amp;""),FIND(" ",TRIM(F9&amp;""))-1),2)="병원",LEFT(TRIM(F9&amp;""),FIND(" ",TRIM(F9&amp;""))-1),LEFT(TRIM(F9&amp;""),FIND(" ",TRIM(F9&amp;""))-1)&amp;"병원"))&gt;0,ISNUMBER(MATCH(TRIM(RIGHT(SUBSTITUTE(TRIM(F9&amp;"")," ",REPT(" ",60)),60)),코드표!$F$2:$F$101,0))),IF(RIGHT(LEFT(TRIM(F9&amp;""),FIND(" ",TRIM(F9&amp;""))-1),2)="병원",LEFT(TRIM(F9&amp;""),FIND(" ",TRIM(F9&amp;""))-1),LEFT(TRIM(F9&amp;""),FIND(" ",TRIM(F9&amp;""))-1)&amp;"병원")&amp;"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",TRIM(G9&amp;""))),COUNTIF(코드표!$A$2:$A$21,IF(RIGHT(LEFT(TRIM(G9&amp;""),FIND(" ",TRIM(G9&amp;""))-1),2)="병원",LEFT(TRIM(G9&amp;""),FIND(" ",TRIM(G9&amp;""))-1),LEFT(TRIM(G9&amp;""),FIND(" ",TRIM(G9&amp;""))-1)&amp;"병원"))&gt;0,ISNUMBER(MATCH(TRIM(RIGHT(SUBSTITUTE(TRIM(G9&amp;"")," ",REPT(" ",60)),60)),코드표!$F$2:$F$101,0))),IF(RIGHT(LEFT(TRIM(G9&amp;""),FIND(" ",TRIM(G9&amp;""))-1),2)="병원",LEFT(TRIM(G9&amp;""),FIND(" ",TRIM(G9&amp;""))-1),LEFT(TRIM(G9&amp;""),FIND(" ",TRIM(G9&amp;""))-1)&amp;"병원")&amp;"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",TRIM(H9&amp;""))),COUNTIF(코드표!$A$2:$A$21,IF(RIGHT(LEFT(TRIM(H9&amp;""),FIND(" ",TRIM(H9&amp;""))-1),2)="병원",LEFT(TRIM(H9&amp;""),FIND(" ",TRIM(H9&amp;""))-1),LEFT(TRIM(H9&amp;""),FIND(" ",TRIM(H9&amp;""))-1)&amp;"병원"))&gt;0,ISNUMBER(MATCH(TRIM(RIGHT(SUBSTITUTE(TRIM(H9&amp;"")," ",REPT(" ",60)),60)),코드표!$F$2:$F$101,0))),IF(RIGHT(LEFT(TRIM(H9&amp;""),FIND(" ",TRIM(H9&amp;""))-1),2)="병원",LEFT(TRIM(H9&amp;""),FIND(" ",TRIM(H9&amp;""))-1),LEFT(TRIM(H9&amp;""),FIND(" ",TRIM(H9&amp;""))-1)&amp;"병원")&amp;"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",TRIM(I9&amp;""))),COUNTIF(코드표!$A$2:$A$21,IF(RIGHT(LEFT(TRIM(I9&amp;""),FIND(" ",TRIM(I9&amp;""))-1),2)="병원",LEFT(TRIM(I9&amp;""),FIND(" ",TRIM(I9&amp;""))-1),LEFT(TRIM(I9&amp;""),FIND(" ",TRIM(I9&amp;""))-1)&amp;"병원"))&gt;0,ISNUMBER(MATCH(TRIM(RIGHT(SUBSTITUTE(TRIM(I9&amp;"")," ",REPT(" ",60)),60)),코드표!$F$2:$F$101,0))),IF(RIGHT(LEFT(TRIM(I9&amp;""),FIND(" ",TRIM(I9&amp;""))-1),2)="병원",LEFT(TRIM(I9&amp;""),FIND(" ",TRIM(I9&amp;""))-1),LEFT(TRIM(I9&amp;""),FIND(" ",TRIM(I9&amp;""))-1)&amp;"병원")&amp;"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",TRIM(J9&amp;""))),COUNTIF(코드표!$A$2:$A$21,IF(RIGHT(LEFT(TRIM(J9&amp;""),FIND(" ",TRIM(J9&amp;""))-1),2)="병원",LEFT(TRIM(J9&amp;""),FIND(" ",TRIM(J9&amp;""))-1),LEFT(TRIM(J9&amp;""),FIND(" ",TRIM(J9&amp;""))-1)&amp;"병원"))&gt;0,ISNUMBER(MATCH(TRIM(RIGHT(SUBSTITUTE(TRIM(J9&amp;"")," ",REPT(" ",60)),60)),코드표!$F$2:$F$101,0))),IF(RIGHT(LEFT(TRIM(J9&amp;""),FIND(" ",TRIM(J9&amp;""))-1),2)="병원",LEFT(TRIM(J9&amp;""),FIND(" ",TRIM(J9&amp;""))-1),LEFT(TRIM(J9&amp;""),FIND(" ",TRIM(J9&amp;""))-1)&amp;"병원")&amp;"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",TRIM(E10&amp;""))),COUNTIF(코드표!$A$2:$A$21,IF(RIGHT(LEFT(TRIM(E10&amp;""),FIND(" ",TRIM(E10&amp;""))-1),2)="병원",LEFT(TRIM(E10&amp;""),FIND(" ",TRIM(E10&amp;""))-1),LEFT(TRIM(E10&amp;""),FIND(" ",TRIM(E10&amp;""))-1)&amp;"병원"))&gt;0,ISNUMBER(MATCH(TRIM(RIGHT(SUBSTITUTE(TRIM(E10&amp;"")," ",REPT(" ",60)),60)),코드표!$F$2:$F$101,0))),IF(RIGHT(LEFT(TRIM(E10&amp;""),FIND(" ",TRIM(E10&amp;""))-1),2)="병원",LEFT(TRIM(E10&amp;""),FIND(" ",TRIM(E10&amp;""))-1),LEFT(TRIM(E10&amp;""),FIND(" ",TRIM(E10&amp;""))-1)&amp;"병원")&amp;"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",TRIM(F10&amp;""))),COUNTIF(코드표!$A$2:$A$21,IF(RIGHT(LEFT(TRIM(F10&amp;""),FIND(" ",TRIM(F10&amp;""))-1),2)="병원",LEFT(TRIM(F10&amp;""),FIND(" ",TRIM(F10&amp;""))-1),LEFT(TRIM(F10&amp;""),FIND(" ",TRIM(F10&amp;""))-1)&amp;"병원"))&gt;0,ISNUMBER(MATCH(TRIM(RIGHT(SUBSTITUTE(TRIM(F10&amp;"")," ",REPT(" ",60)),60)),코드표!$F$2:$F$101,0))),IF(RIGHT(LEFT(TRIM(F10&amp;""),FIND(" ",TRIM(F10&amp;""))-1),2)="병원",LEFT(TRIM(F10&amp;""),FIND(" ",TRIM(F10&amp;""))-1),LEFT(TRIM(F10&amp;""),FIND(" ",TRIM(F10&amp;""))-1)&amp;"병원")&amp;"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",TRIM(G10&amp;""))),COUNTIF(코드표!$A$2:$A$21,IF(RIGHT(LEFT(TRIM(G10&amp;""),FIND(" ",TRIM(G10&amp;""))-1),2)="병원",LEFT(TRIM(G10&amp;""),FIND(" ",TRIM(G10&amp;""))-1),LEFT(TRIM(G10&amp;""),FIND(" ",TRIM(G10&amp;""))-1)&amp;"병원"))&gt;0,ISNUMBER(MATCH(TRIM(RIGHT(SUBSTITUTE(TRIM(G10&amp;"")," ",REPT(" ",60)),60)),코드표!$F$2:$F$101,0))),IF(RIGHT(LEFT(TRIM(G10&amp;""),FIND(" ",TRIM(G10&amp;""))-1),2)="병원",LEFT(TRIM(G10&amp;""),FIND(" ",TRIM(G10&amp;""))-1),LEFT(TRIM(G10&amp;""),FIND(" ",TRIM(G10&amp;""))-1)&amp;"병원")&amp;"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",TRIM(H10&amp;""))),COUNTIF(코드표!$A$2:$A$21,IF(RIGHT(LEFT(TRIM(H10&amp;""),FIND(" ",TRIM(H10&amp;""))-1),2)="병원",LEFT(TRIM(H10&amp;""),FIND(" ",TRIM(H10&amp;""))-1),LEFT(TRIM(H10&amp;""),FIND(" ",TRIM(H10&amp;""))-1)&amp;"병원"))&gt;0,ISNUMBER(MATCH(TRIM(RIGHT(SUBSTITUTE(TRIM(H10&amp;"")," ",REPT(" ",60)),60)),코드표!$F$2:$F$101,0))),IF(RIGHT(LEFT(TRIM(H10&amp;""),FIND(" ",TRIM(H10&amp;""))-1),2)="병원",LEFT(TRIM(H10&amp;""),FIND(" ",TRIM(H10&amp;""))-1),LEFT(TRIM(H10&amp;""),FIND(" ",TRIM(H10&amp;""))-1)&amp;"병원")&amp;"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",TRIM(I10&amp;""))),COUNTIF(코드표!$A$2:$A$21,IF(RIGHT(LEFT(TRIM(I10&amp;""),FIND(" ",TRIM(I10&amp;""))-1),2)="병원",LEFT(TRIM(I10&amp;""),FIND(" ",TRIM(I10&amp;""))-1),LEFT(TRIM(I10&amp;""),FIND(" ",TRIM(I10&amp;""))-1)&amp;"병원"))&gt;0,ISNUMBER(MATCH(TRIM(RIGHT(SUBSTITUTE(TRIM(I10&amp;"")," ",REPT(" ",60)),60)),코드표!$F$2:$F$101,0))),IF(RIGHT(LEFT(TRIM(I10&amp;""),FIND(" ",TRIM(I10&amp;""))-1),2)="병원",LEFT(TRIM(I10&amp;""),FIND(" ",TRIM(I10&amp;""))-1),LEFT(TRIM(I10&amp;""),FIND(" ",TRIM(I10&amp;""))-1)&amp;"병원")&amp;"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",TRIM(J10&amp;""))),COUNTIF(코드표!$A$2:$A$21,IF(RIGHT(LEFT(TRIM(J10&amp;""),FIND(" ",TRIM(J10&amp;""))-1),2)="병원",LEFT(TRIM(J10&amp;""),FIND(" ",TRIM(J10&amp;""))-1),LEFT(TRIM(J10&amp;""),FIND(" ",TRIM(J10&amp;""))-1)&amp;"병원"))&gt;0,ISNUMBER(MATCH(TRIM(RIGHT(SUBSTITUTE(TRIM(J10&amp;"")," ",REPT(" ",60)),60)),코드표!$F$2:$F$101,0))),IF(RIGHT(LEFT(TRIM(J10&amp;""),FIND(" ",TRIM(J10&amp;""))-1),2)="병원",LEFT(TRIM(J10&amp;""),FIND(" ",TRIM(J10&amp;""))-1),LEFT(TRIM(J10&amp;""),FIND(" ",TRIM(J10&amp;""))-1)&amp;"병원")&amp;"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",TRIM(E11&amp;""))),COUNTIF(코드표!$A$2:$A$21,IF(RIGHT(LEFT(TRIM(E11&amp;""),FIND(" ",TRIM(E11&amp;""))-1),2)="병원",LEFT(TRIM(E11&amp;""),FIND(" ",TRIM(E11&amp;""))-1),LEFT(TRIM(E11&amp;""),FIND(" ",TRIM(E11&amp;""))-1)&amp;"병원"))&gt;0,ISNUMBER(MATCH(TRIM(RIGHT(SUBSTITUTE(TRIM(E11&amp;"")," ",REPT(" ",60)),60)),코드표!$F$2:$F$101,0))),IF(RIGHT(LEFT(TRIM(E11&amp;""),FIND(" ",TRIM(E11&amp;""))-1),2)="병원",LEFT(TRIM(E11&amp;""),FIND(" ",TRIM(E11&amp;""))-1),LEFT(TRIM(E11&amp;""),FIND(" ",TRIM(E11&amp;""))-1)&amp;"병원")&amp;"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",TRIM(F11&amp;""))),COUNTIF(코드표!$A$2:$A$21,IF(RIGHT(LEFT(TRIM(F11&amp;""),FIND(" ",TRIM(F11&amp;""))-1),2)="병원",LEFT(TRIM(F11&amp;""),FIND(" ",TRIM(F11&amp;""))-1),LEFT(TRIM(F11&amp;""),FIND(" ",TRIM(F11&amp;""))-1)&amp;"병원"))&gt;0,ISNUMBER(MATCH(TRIM(RIGHT(SUBSTITUTE(TRIM(F11&amp;"")," ",REPT(" ",60)),60)),코드표!$F$2:$F$101,0))),IF(RIGHT(LEFT(TRIM(F11&amp;""),FIND(" ",TRIM(F11&amp;""))-1),2)="병원",LEFT(TRIM(F11&amp;""),FIND(" ",TRIM(F11&amp;""))-1),LEFT(TRIM(F11&amp;""),FIND(" ",TRIM(F11&amp;""))-1)&amp;"병원")&amp;"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",TRIM(G11&amp;""))),COUNTIF(코드표!$A$2:$A$21,IF(RIGHT(LEFT(TRIM(G11&amp;""),FIND(" ",TRIM(G11&amp;""))-1),2)="병원",LEFT(TRIM(G11&amp;""),FIND(" ",TRIM(G11&amp;""))-1),LEFT(TRIM(G11&amp;""),FIND(" ",TRIM(G11&amp;""))-1)&amp;"병원"))&gt;0,ISNUMBER(MATCH(TRIM(RIGHT(SUBSTITUTE(TRIM(G11&amp;"")," ",REPT(" ",60)),60)),코드표!$F$2:$F$101,0))),IF(RIGHT(LEFT(TRIM(G11&amp;""),FIND(" ",TRIM(G11&amp;""))-1),2)="병원",LEFT(TRIM(G11&amp;""),FIND(" ",TRIM(G11&amp;""))-1),LEFT(TRIM(G11&amp;""),FIND(" ",TRIM(G11&amp;""))-1)&amp;"병원")&amp;"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",TRIM(H11&amp;""))),COUNTIF(코드표!$A$2:$A$21,IF(RIGHT(LEFT(TRIM(H11&amp;""),FIND(" ",TRIM(H11&amp;""))-1),2)="병원",LEFT(TRIM(H11&amp;""),FIND(" ",TRIM(H11&amp;""))-1),LEFT(TRIM(H11&amp;""),FIND(" ",TRIM(H11&amp;""))-1)&amp;"병원"))&gt;0,ISNUMBER(MATCH(TRIM(RIGHT(SUBSTITUTE(TRIM(H11&amp;"")," ",REPT(" ",60)),60)),코드표!$F$2:$F$101,0))),IF(RIGHT(LEFT(TRIM(H11&amp;""),FIND(" ",TRIM(H11&amp;""))-1),2)="병원",LEFT(TRIM(H11&amp;""),FIND(" ",TRIM(H11&amp;""))-1),LEFT(TRIM(H11&amp;""),FIND(" ",TRIM(H11&amp;""))-1)&amp;"병원")&amp;"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",TRIM(I11&amp;""))),COUNTIF(코드표!$A$2:$A$21,IF(RIGHT(LEFT(TRIM(I11&amp;""),FIND(" ",TRIM(I11&amp;""))-1),2)="병원",LEFT(TRIM(I11&amp;""),FIND(" ",TRIM(I11&amp;""))-1),LEFT(TRIM(I11&amp;""),FIND(" ",TRIM(I11&amp;""))-1)&amp;"병원"))&gt;0,ISNUMBER(MATCH(TRIM(RIGHT(SUBSTITUTE(TRIM(I11&amp;"")," ",REPT(" ",60)),60)),코드표!$F$2:$F$101,0))),IF(RIGHT(LEFT(TRIM(I11&amp;""),FIND(" ",TRIM(I11&amp;""))-1),2)="병원",LEFT(TRIM(I11&amp;""),FIND(" ",TRIM(I11&amp;""))-1),LEFT(TRIM(I11&amp;""),FIND(" ",TRIM(I11&amp;""))-1)&amp;"병원")&amp;"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",TRIM(J11&amp;""))),COUNTIF(코드표!$A$2:$A$21,IF(RIGHT(LEFT(TRIM(J11&amp;""),FIND(" ",TRIM(J11&amp;""))-1),2)="병원",LEFT(TRIM(J11&amp;""),FIND(" ",TRIM(J11&amp;""))-1),LEFT(TRIM(J11&amp;""),FIND(" ",TRIM(J11&amp;""))-1)&amp;"병원"))&gt;0,ISNUMBER(MATCH(TRIM(RIGHT(SUBSTITUTE(TRIM(J11&amp;"")," ",REPT(" ",60)),60)),코드표!$F$2:$F$101,0))),IF(RIGHT(LEFT(TRIM(J11&amp;""),FIND(" ",TRIM(J11&amp;""))-1),2)="병원",LEFT(TRIM(J11&amp;""),FIND(" ",TRIM(J11&amp;""))-1),LEFT(TRIM(J11&amp;""),FIND(" ",TRIM(J11&amp;""))-1)&amp;"병원")&amp;"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",TRIM(E12&amp;""))),COUNTIF(코드표!$A$2:$A$21,IF(RIGHT(LEFT(TRIM(E12&amp;""),FIND(" ",TRIM(E12&amp;""))-1),2)="병원",LEFT(TRIM(E12&amp;""),FIND(" ",TRIM(E12&amp;""))-1),LEFT(TRIM(E12&amp;""),FIND(" ",TRIM(E12&amp;""))-1)&amp;"병원"))&gt;0,ISNUMBER(MATCH(TRIM(RIGHT(SUBSTITUTE(TRIM(E12&amp;"")," ",REPT(" ",60)),60)),코드표!$F$2:$F$101,0))),IF(RIGHT(LEFT(TRIM(E12&amp;""),FIND(" ",TRIM(E12&amp;""))-1),2)="병원",LEFT(TRIM(E12&amp;""),FIND(" ",TRIM(E12&amp;""))-1),LEFT(TRIM(E12&amp;""),FIND(" ",TRIM(E12&amp;""))-1)&amp;"병원")&amp;"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",TRIM(F12&amp;""))),COUNTIF(코드표!$A$2:$A$21,IF(RIGHT(LEFT(TRIM(F12&amp;""),FIND(" ",TRIM(F12&amp;""))-1),2)="병원",LEFT(TRIM(F12&amp;""),FIND(" ",TRIM(F12&amp;""))-1),LEFT(TRIM(F12&amp;""),FIND(" ",TRIM(F12&amp;""))-1)&amp;"병원"))&gt;0,ISNUMBER(MATCH(TRIM(RIGHT(SUBSTITUTE(TRIM(F12&amp;"")," ",REPT(" ",60)),60)),코드표!$F$2:$F$101,0))),IF(RIGHT(LEFT(TRIM(F12&amp;""),FIND(" ",TRIM(F12&amp;""))-1),2)="병원",LEFT(TRIM(F12&amp;""),FIND(" ",TRIM(F12&amp;""))-1),LEFT(TRIM(F12&amp;""),FIND(" ",TRIM(F12&amp;""))-1)&amp;"병원")&amp;"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",TRIM(G12&amp;""))),COUNTIF(코드표!$A$2:$A$21,IF(RIGHT(LEFT(TRIM(G12&amp;""),FIND(" ",TRIM(G12&amp;""))-1),2)="병원",LEFT(TRIM(G12&amp;""),FIND(" ",TRIM(G12&amp;""))-1),LEFT(TRIM(G12&amp;""),FIND(" ",TRIM(G12&amp;""))-1)&amp;"병원"))&gt;0,ISNUMBER(MATCH(TRIM(RIGHT(SUBSTITUTE(TRIM(G12&amp;"")," ",REPT(" ",60)),60)),코드표!$F$2:$F$101,0))),IF(RIGHT(LEFT(TRIM(G12&amp;""),FIND(" ",TRIM(G12&amp;""))-1),2)="병원",LEFT(TRIM(G12&amp;""),FIND(" ",TRIM(G12&amp;""))-1),LEFT(TRIM(G12&amp;""),FIND(" ",TRIM(G12&amp;""))-1)&amp;"병원")&amp;"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",TRIM(H12&amp;""))),COUNTIF(코드표!$A$2:$A$21,IF(RIGHT(LEFT(TRIM(H12&amp;""),FIND(" ",TRIM(H12&amp;""))-1),2)="병원",LEFT(TRIM(H12&amp;""),FIND(" ",TRIM(H12&amp;""))-1),LEFT(TRIM(H12&amp;""),FIND(" ",TRIM(H12&amp;""))-1)&amp;"병원"))&gt;0,ISNUMBER(MATCH(TRIM(RIGHT(SUBSTITUTE(TRIM(H12&amp;"")," ",REPT(" ",60)),60)),코드표!$F$2:$F$101,0))),IF(RIGHT(LEFT(TRIM(H12&amp;""),FIND(" ",TRIM(H12&amp;""))-1),2)="병원",LEFT(TRIM(H12&amp;""),FIND(" ",TRIM(H12&amp;""))-1),LEFT(TRIM(H12&amp;""),FIND(" ",TRIM(H12&amp;""))-1)&amp;"병원")&amp;"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",TRIM(I12&amp;""))),COUNTIF(코드표!$A$2:$A$21,IF(RIGHT(LEFT(TRIM(I12&amp;""),FIND(" ",TRIM(I12&amp;""))-1),2)="병원",LEFT(TRIM(I12&amp;""),FIND(" ",TRIM(I12&amp;""))-1),LEFT(TRIM(I12&amp;""),FIND(" ",TRIM(I12&amp;""))-1)&amp;"병원"))&gt;0,ISNUMBER(MATCH(TRIM(RIGHT(SUBSTITUTE(TRIM(I12&amp;"")," ",REPT(" ",60)),60)),코드표!$F$2:$F$101,0))),IF(RIGHT(LEFT(TRIM(I12&amp;""),FIND(" ",TRIM(I12&amp;""))-1),2)="병원",LEFT(TRIM(I12&amp;""),FIND(" ",TRIM(I12&amp;""))-1),LEFT(TRIM(I12&amp;""),FIND(" ",TRIM(I12&amp;""))-1)&amp;"병원")&amp;"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",TRIM(J12&amp;""))),COUNTIF(코드표!$A$2:$A$21,IF(RIGHT(LEFT(TRIM(J12&amp;""),FIND(" ",TRIM(J12&amp;""))-1),2)="병원",LEFT(TRIM(J12&amp;""),FIND(" ",TRIM(J12&amp;""))-1),LEFT(TRIM(J12&amp;""),FIND(" ",TRIM(J12&amp;""))-1)&amp;"병원"))&gt;0,ISNUMBER(MATCH(TRIM(RIGHT(SUBSTITUTE(TRIM(J12&amp;"")," ",REPT(" ",60)),60)),코드표!$F$2:$F$101,0))),IF(RIGHT(LEFT(TRIM(J12&amp;""),FIND(" ",TRIM(J12&amp;""))-1),2)="병원",LEFT(TRIM(J12&amp;""),FIND(" ",TRIM(J12&amp;""))-1),LEFT(TRIM(J12&amp;""),FIND(" ",TRIM(J12&amp;""))-1)&amp;"병원")&amp;"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",TRIM(E13&amp;""))),COUNTIF(코드표!$A$2:$A$21,IF(RIGHT(LEFT(TRIM(E13&amp;""),FIND(" ",TRIM(E13&amp;""))-1),2)="병원",LEFT(TRIM(E13&amp;""),FIND(" ",TRIM(E13&amp;""))-1),LEFT(TRIM(E13&amp;""),FIND(" ",TRIM(E13&amp;""))-1)&amp;"병원"))&gt;0,ISNUMBER(MATCH(TRIM(RIGHT(SUBSTITUTE(TRIM(E13&amp;"")," ",REPT(" ",60)),60)),코드표!$F$2:$F$101,0))),IF(RIGHT(LEFT(TRIM(E13&amp;""),FIND(" ",TRIM(E13&amp;""))-1),2)="병원",LEFT(TRIM(E13&amp;""),FIND(" ",TRIM(E13&amp;""))-1),LEFT(TRIM(E13&amp;""),FIND(" ",TRIM(E13&amp;""))-1)&amp;"병원")&amp;"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",TRIM(F13&amp;""))),COUNTIF(코드표!$A$2:$A$21,IF(RIGHT(LEFT(TRIM(F13&amp;""),FIND(" ",TRIM(F13&amp;""))-1),2)="병원",LEFT(TRIM(F13&amp;""),FIND(" ",TRIM(F13&amp;""))-1),LEFT(TRIM(F13&amp;""),FIND(" ",TRIM(F13&amp;""))-1)&amp;"병원"))&gt;0,ISNUMBER(MATCH(TRIM(RIGHT(SUBSTITUTE(TRIM(F13&amp;"")," ",REPT(" ",60)),60)),코드표!$F$2:$F$101,0))),IF(RIGHT(LEFT(TRIM(F13&amp;""),FIND(" ",TRIM(F13&amp;""))-1),2)="병원",LEFT(TRIM(F13&amp;""),FIND(" ",TRIM(F13&amp;""))-1),LEFT(TRIM(F13&amp;""),FIND(" ",TRIM(F13&amp;""))-1)&amp;"병원")&amp;"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",TRIM(G13&amp;""))),COUNTIF(코드표!$A$2:$A$21,IF(RIGHT(LEFT(TRIM(G13&amp;""),FIND(" ",TRIM(G13&amp;""))-1),2)="병원",LEFT(TRIM(G13&amp;""),FIND(" ",TRIM(G13&amp;""))-1),LEFT(TRIM(G13&amp;""),FIND(" ",TRIM(G13&amp;""))-1)&amp;"병원"))&gt;0,ISNUMBER(MATCH(TRIM(RIGHT(SUBSTITUTE(TRIM(G13&amp;"")," ",REPT(" ",60)),60)),코드표!$F$2:$F$101,0))),IF(RIGHT(LEFT(TRIM(G13&amp;""),FIND(" ",TRIM(G13&amp;""))-1),2)="병원",LEFT(TRIM(G13&amp;""),FIND(" ",TRIM(G13&amp;""))-1),LEFT(TRIM(G13&amp;""),FIND(" ",TRIM(G13&amp;""))-1)&amp;"병원")&amp;"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",TRIM(H13&amp;""))),COUNTIF(코드표!$A$2:$A$21,IF(RIGHT(LEFT(TRIM(H13&amp;""),FIND(" ",TRIM(H13&amp;""))-1),2)="병원",LEFT(TRIM(H13&amp;""),FIND(" ",TRIM(H13&amp;""))-1),LEFT(TRIM(H13&amp;""),FIND(" ",TRIM(H13&amp;""))-1)&amp;"병원"))&gt;0,ISNUMBER(MATCH(TRIM(RIGHT(SUBSTITUTE(TRIM(H13&amp;"")," ",REPT(" ",60)),60)),코드표!$F$2:$F$101,0))),IF(RIGHT(LEFT(TRIM(H13&amp;""),FIND(" ",TRIM(H13&amp;""))-1),2)="병원",LEFT(TRIM(H13&amp;""),FIND(" ",TRIM(H13&amp;""))-1),LEFT(TRIM(H13&amp;""),FIND(" ",TRIM(H13&amp;""))-1)&amp;"병원")&amp;"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",TRIM(I13&amp;""))),COUNTIF(코드표!$A$2:$A$21,IF(RIGHT(LEFT(TRIM(I13&amp;""),FIND(" ",TRIM(I13&amp;""))-1),2)="병원",LEFT(TRIM(I13&amp;""),FIND(" ",TRIM(I13&amp;""))-1),LEFT(TRIM(I13&amp;""),FIND(" ",TRIM(I13&amp;""))-1)&amp;"병원"))&gt;0,ISNUMBER(MATCH(TRIM(RIGHT(SUBSTITUTE(TRIM(I13&amp;"")," ",REPT(" ",60)),60)),코드표!$F$2:$F$101,0))),IF(RIGHT(LEFT(TRIM(I13&amp;""),FIND(" ",TRIM(I13&amp;""))-1),2)="병원",LEFT(TRIM(I13&amp;""),FIND(" ",TRIM(I13&amp;""))-1),LEFT(TRIM(I13&amp;""),FIND(" ",TRIM(I13&amp;""))-1)&amp;"병원")&amp;"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",TRIM(J13&amp;""))),COUNTIF(코드표!$A$2:$A$21,IF(RIGHT(LEFT(TRIM(J13&amp;""),FIND(" ",TRIM(J13&amp;""))-1),2)="병원",LEFT(TRIM(J13&amp;""),FIND(" ",TRIM(J13&amp;""))-1),LEFT(TRIM(J13&amp;""),FIND(" ",TRIM(J13&amp;""))-1)&amp;"병원"))&gt;0,ISNUMBER(MATCH(TRIM(RIGHT(SUBSTITUTE(TRIM(J13&amp;"")," ",REPT(" ",60)),60)),코드표!$F$2:$F$101,0))),IF(RIGHT(LEFT(TRIM(J13&amp;""),FIND(" ",TRIM(J13&amp;""))-1),2)="병원",LEFT(TRIM(J13&amp;""),FIND(" ",TRIM(J13&amp;""))-1),LEFT(TRIM(J13&amp;""),FIND(" ",TRIM(J13&amp;""))-1)&amp;"병원")&amp;"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",TRIM(E14&amp;""))),COUNTIF(코드표!$A$2:$A$21,IF(RIGHT(LEFT(TRIM(E14&amp;""),FIND(" ",TRIM(E14&amp;""))-1),2)="병원",LEFT(TRIM(E14&amp;""),FIND(" ",TRIM(E14&amp;""))-1),LEFT(TRIM(E14&amp;""),FIND(" ",TRIM(E14&amp;""))-1)&amp;"병원"))&gt;0,ISNUMBER(MATCH(TRIM(RIGHT(SUBSTITUTE(TRIM(E14&amp;"")," ",REPT(" ",60)),60)),코드표!$F$2:$F$101,0))),IF(RIGHT(LEFT(TRIM(E14&amp;""),FIND(" ",TRIM(E14&amp;""))-1),2)="병원",LEFT(TRIM(E14&amp;""),FIND(" ",TRIM(E14&amp;""))-1),LEFT(TRIM(E14&amp;""),FIND(" ",TRIM(E14&amp;""))-1)&amp;"병원")&amp;"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",TRIM(F14&amp;""))),COUNTIF(코드표!$A$2:$A$21,IF(RIGHT(LEFT(TRIM(F14&amp;""),FIND(" ",TRIM(F14&amp;""))-1),2)="병원",LEFT(TRIM(F14&amp;""),FIND(" ",TRIM(F14&amp;""))-1),LEFT(TRIM(F14&amp;""),FIND(" ",TRIM(F14&amp;""))-1)&amp;"병원"))&gt;0,ISNUMBER(MATCH(TRIM(RIGHT(SUBSTITUTE(TRIM(F14&amp;"")," ",REPT(" ",60)),60)),코드표!$F$2:$F$101,0))),IF(RIGHT(LEFT(TRIM(F14&amp;""),FIND(" ",TRIM(F14&amp;""))-1),2)="병원",LEFT(TRIM(F14&amp;""),FIND(" ",TRIM(F14&amp;""))-1),LEFT(TRIM(F14&amp;""),FIND(" ",TRIM(F14&amp;""))-1)&amp;"병원")&amp;"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",TRIM(G14&amp;""))),COUNTIF(코드표!$A$2:$A$21,IF(RIGHT(LEFT(TRIM(G14&amp;""),FIND(" ",TRIM(G14&amp;""))-1),2)="병원",LEFT(TRIM(G14&amp;""),FIND(" ",TRIM(G14&amp;""))-1),LEFT(TRIM(G14&amp;""),FIND(" ",TRIM(G14&amp;""))-1)&amp;"병원"))&gt;0,ISNUMBER(MATCH(TRIM(RIGHT(SUBSTITUTE(TRIM(G14&amp;"")," ",REPT(" ",60)),60)),코드표!$F$2:$F$101,0))),IF(RIGHT(LEFT(TRIM(G14&amp;""),FIND(" ",TRIM(G14&amp;""))-1),2)="병원",LEFT(TRIM(G14&amp;""),FIND(" ",TRIM(G14&amp;""))-1),LEFT(TRIM(G14&amp;""),FIND(" ",TRIM(G14&amp;""))-1)&amp;"병원")&amp;"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",TRIM(H14&amp;""))),COUNTIF(코드표!$A$2:$A$21,IF(RIGHT(LEFT(TRIM(H14&amp;""),FIND(" ",TRIM(H14&amp;""))-1),2)="병원",LEFT(TRIM(H14&amp;""),FIND(" ",TRIM(H14&amp;""))-1),LEFT(TRIM(H14&amp;""),FIND(" ",TRIM(H14&amp;""))-1)&amp;"병원"))&gt;0,ISNUMBER(MATCH(TRIM(RIGHT(SUBSTITUTE(TRIM(H14&amp;"")," ",REPT(" ",60)),60)),코드표!$F$2:$F$101,0))),IF(RIGHT(LEFT(TRIM(H14&amp;""),FIND(" ",TRIM(H14&amp;""))-1),2)="병원",LEFT(TRIM(H14&amp;""),FIND(" ",TRIM(H14&amp;""))-1),LEFT(TRIM(H14&amp;""),FIND(" ",TRIM(H14&amp;""))-1)&amp;"병원")&amp;"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",TRIM(I14&amp;""))),COUNTIF(코드표!$A$2:$A$21,IF(RIGHT(LEFT(TRIM(I14&amp;""),FIND(" ",TRIM(I14&amp;""))-1),2)="병원",LEFT(TRIM(I14&amp;""),FIND(" ",TRIM(I14&amp;""))-1),LEFT(TRIM(I14&amp;""),FIND(" ",TRIM(I14&amp;""))-1)&amp;"병원"))&gt;0,ISNUMBER(MATCH(TRIM(RIGHT(SUBSTITUTE(TRIM(I14&amp;"")," ",REPT(" ",60)),60)),코드표!$F$2:$F$101,0))),IF(RIGHT(LEFT(TRIM(I14&amp;""),FIND(" ",TRIM(I14&amp;""))-1),2)="병원",LEFT(TRIM(I14&amp;""),FIND(" ",TRIM(I14&amp;""))-1),LEFT(TRIM(I14&amp;""),FIND(" ",TRIM(I14&amp;""))-1)&amp;"병원")&amp;"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",TRIM(J14&amp;""))),COUNTIF(코드표!$A$2:$A$21,IF(RIGHT(LEFT(TRIM(J14&amp;""),FIND(" ",TRIM(J14&amp;""))-1),2)="병원",LEFT(TRIM(J14&amp;""),FIND(" ",TRIM(J14&amp;""))-1),LEFT(TRIM(J14&amp;""),FIND(" ",TRIM(J14&amp;""))-1)&amp;"병원"))&gt;0,ISNUMBER(MATCH(TRIM(RIGHT(SUBSTITUTE(TRIM(J14&amp;"")," ",REPT(" ",60)),60)),코드표!$F$2:$F$101,0))),IF(RIGHT(LEFT(TRIM(J14&amp;""),FIND(" ",TRIM(J14&amp;""))-1),2)="병원",LEFT(TRIM(J14&amp;""),FIND(" ",TRIM(J14&amp;""))-1),LEFT(TRIM(J14&amp;""),FIND(" ",TRIM(J14&amp;""))-1)&amp;"병원")&amp;"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",TRIM(E15&amp;""))),COUNTIF(코드표!$A$2:$A$21,IF(RIGHT(LEFT(TRIM(E15&amp;""),FIND(" ",TRIM(E15&amp;""))-1),2)="병원",LEFT(TRIM(E15&amp;""),FIND(" ",TRIM(E15&amp;""))-1),LEFT(TRIM(E15&amp;""),FIND(" ",TRIM(E15&amp;""))-1)&amp;"병원"))&gt;0,ISNUMBER(MATCH(TRIM(RIGHT(SUBSTITUTE(TRIM(E15&amp;"")," ",REPT(" ",60)),60)),코드표!$F$2:$F$101,0))),IF(RIGHT(LEFT(TRIM(E15&amp;""),FIND(" ",TRIM(E15&amp;""))-1),2)="병원",LEFT(TRIM(E15&amp;""),FIND(" ",TRIM(E15&amp;""))-1),LEFT(TRIM(E15&amp;""),FIND(" ",TRIM(E15&amp;""))-1)&amp;"병원")&amp;"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",TRIM(F15&amp;""))),COUNTIF(코드표!$A$2:$A$21,IF(RIGHT(LEFT(TRIM(F15&amp;""),FIND(" ",TRIM(F15&amp;""))-1),2)="병원",LEFT(TRIM(F15&amp;""),FIND(" ",TRIM(F15&amp;""))-1),LEFT(TRIM(F15&amp;""),FIND(" ",TRIM(F15&amp;""))-1)&amp;"병원"))&gt;0,ISNUMBER(MATCH(TRIM(RIGHT(SUBSTITUTE(TRIM(F15&amp;"")," ",REPT(" ",60)),60)),코드표!$F$2:$F$101,0))),IF(RIGHT(LEFT(TRIM(F15&amp;""),FIND(" ",TRIM(F15&amp;""))-1),2)="병원",LEFT(TRIM(F15&amp;""),FIND(" ",TRIM(F15&amp;""))-1),LEFT(TRIM(F15&amp;""),FIND(" ",TRIM(F15&amp;""))-1)&amp;"병원")&amp;"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",TRIM(G15&amp;""))),COUNTIF(코드표!$A$2:$A$21,IF(RIGHT(LEFT(TRIM(G15&amp;""),FIND(" ",TRIM(G15&amp;""))-1),2)="병원",LEFT(TRIM(G15&amp;""),FIND(" ",TRIM(G15&amp;""))-1),LEFT(TRIM(G15&amp;""),FIND(" ",TRIM(G15&amp;""))-1)&amp;"병원"))&gt;0,ISNUMBER(MATCH(TRIM(RIGHT(SUBSTITUTE(TRIM(G15&amp;"")," ",REPT(" ",60)),60)),코드표!$F$2:$F$101,0))),IF(RIGHT(LEFT(TRIM(G15&amp;""),FIND(" ",TRIM(G15&amp;""))-1),2)="병원",LEFT(TRIM(G15&amp;""),FIND(" ",TRIM(G15&amp;""))-1),LEFT(TRIM(G15&amp;""),FIND(" ",TRIM(G15&amp;""))-1)&amp;"병원")&amp;"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",TRIM(H15&amp;""))),COUNTIF(코드표!$A$2:$A$21,IF(RIGHT(LEFT(TRIM(H15&amp;""),FIND(" ",TRIM(H15&amp;""))-1),2)="병원",LEFT(TRIM(H15&amp;""),FIND(" ",TRIM(H15&amp;""))-1),LEFT(TRIM(H15&amp;""),FIND(" ",TRIM(H15&amp;""))-1)&amp;"병원"))&gt;0,ISNUMBER(MATCH(TRIM(RIGHT(SUBSTITUTE(TRIM(H15&amp;"")," ",REPT(" ",60)),60)),코드표!$F$2:$F$101,0))),IF(RIGHT(LEFT(TRIM(H15&amp;""),FIND(" ",TRIM(H15&amp;""))-1),2)="병원",LEFT(TRIM(H15&amp;""),FIND(" ",TRIM(H15&amp;""))-1),LEFT(TRIM(H15&amp;""),FIND(" ",TRIM(H15&amp;""))-1)&amp;"병원")&amp;"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",TRIM(I15&amp;""))),COUNTIF(코드표!$A$2:$A$21,IF(RIGHT(LEFT(TRIM(I15&amp;""),FIND(" ",TRIM(I15&amp;""))-1),2)="병원",LEFT(TRIM(I15&amp;""),FIND(" ",TRIM(I15&amp;""))-1),LEFT(TRIM(I15&amp;""),FIND(" ",TRIM(I15&amp;""))-1)&amp;"병원"))&gt;0,ISNUMBER(MATCH(TRIM(RIGHT(SUBSTITUTE(TRIM(I15&amp;"")," ",REPT(" ",60)),60)),코드표!$F$2:$F$101,0))),IF(RIGHT(LEFT(TRIM(I15&amp;""),FIND(" ",TRIM(I15&amp;""))-1),2)="병원",LEFT(TRIM(I15&amp;""),FIND(" ",TRIM(I15&amp;""))-1),LEFT(TRIM(I15&amp;""),FIND(" ",TRIM(I15&amp;""))-1)&amp;"병원")&amp;"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",TRIM(J15&amp;""))),COUNTIF(코드표!$A$2:$A$21,IF(RIGHT(LEFT(TRIM(J15&amp;""),FIND(" ",TRIM(J15&amp;""))-1),2)="병원",LEFT(TRIM(J15&amp;""),FIND(" ",TRIM(J15&amp;""))-1),LEFT(TRIM(J15&amp;""),FIND(" ",TRIM(J15&amp;""))-1)&amp;"병원"))&gt;0,ISNUMBER(MATCH(TRIM(RIGHT(SUBSTITUTE(TRIM(J15&amp;"")," ",REPT(" ",60)),60)),코드표!$F$2:$F$101,0))),IF(RIGHT(LEFT(TRIM(J15&amp;""),FIND(" ",TRIM(J15&amp;""))-1),2)="병원",LEFT(TRIM(J15&amp;""),FIND(" ",TRIM(J15&amp;""))-1),LEFT(TRIM(J15&amp;""),FIND(" ",TRIM(J15&amp;""))-1)&amp;"병원")&amp;"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",TRIM(E16&amp;""))),COUNTIF(코드표!$A$2:$A$21,IF(RIGHT(LEFT(TRIM(E16&amp;""),FIND(" ",TRIM(E16&amp;""))-1),2)="병원",LEFT(TRIM(E16&amp;""),FIND(" ",TRIM(E16&amp;""))-1),LEFT(TRIM(E16&amp;""),FIND(" ",TRIM(E16&amp;""))-1)&amp;"병원"))&gt;0,ISNUMBER(MATCH(TRIM(RIGHT(SUBSTITUTE(TRIM(E16&amp;"")," ",REPT(" ",60)),60)),코드표!$F$2:$F$101,0))),IF(RIGHT(LEFT(TRIM(E16&amp;""),FIND(" ",TRIM(E16&amp;""))-1),2)="병원",LEFT(TRIM(E16&amp;""),FIND(" ",TRIM(E16&amp;""))-1),LEFT(TRIM(E16&amp;""),FIND(" ",TRIM(E16&amp;""))-1)&amp;"병원")&amp;"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",TRIM(F16&amp;""))),COUNTIF(코드표!$A$2:$A$21,IF(RIGHT(LEFT(TRIM(F16&amp;""),FIND(" ",TRIM(F16&amp;""))-1),2)="병원",LEFT(TRIM(F16&amp;""),FIND(" ",TRIM(F16&amp;""))-1),LEFT(TRIM(F16&amp;""),FIND(" ",TRIM(F16&amp;""))-1)&amp;"병원"))&gt;0,ISNUMBER(MATCH(TRIM(RIGHT(SUBSTITUTE(TRIM(F16&amp;"")," ",REPT(" ",60)),60)),코드표!$F$2:$F$101,0))),IF(RIGHT(LEFT(TRIM(F16&amp;""),FIND(" ",TRIM(F16&amp;""))-1),2)="병원",LEFT(TRIM(F16&amp;""),FIND(" ",TRIM(F16&amp;""))-1),LEFT(TRIM(F16&amp;""),FIND(" ",TRIM(F16&amp;""))-1)&amp;"병원")&amp;"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",TRIM(G16&amp;""))),COUNTIF(코드표!$A$2:$A$21,IF(RIGHT(LEFT(TRIM(G16&amp;""),FIND(" ",TRIM(G16&amp;""))-1),2)="병원",LEFT(TRIM(G16&amp;""),FIND(" ",TRIM(G16&amp;""))-1),LEFT(TRIM(G16&amp;""),FIND(" ",TRIM(G16&amp;""))-1)&amp;"병원"))&gt;0,ISNUMBER(MATCH(TRIM(RIGHT(SUBSTITUTE(TRIM(G16&amp;"")," ",REPT(" ",60)),60)),코드표!$F$2:$F$101,0))),IF(RIGHT(LEFT(TRIM(G16&amp;""),FIND(" ",TRIM(G16&amp;""))-1),2)="병원",LEFT(TRIM(G16&amp;""),FIND(" ",TRIM(G16&amp;""))-1),LEFT(TRIM(G16&amp;""),FIND(" ",TRIM(G16&amp;""))-1)&amp;"병원")&amp;"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",TRIM(H16&amp;""))),COUNTIF(코드표!$A$2:$A$21,IF(RIGHT(LEFT(TRIM(H16&amp;""),FIND(" ",TRIM(H16&amp;""))-1),2)="병원",LEFT(TRIM(H16&amp;""),FIND(" ",TRIM(H16&amp;""))-1),LEFT(TRIM(H16&amp;""),FIND(" ",TRIM(H16&amp;""))-1)&amp;"병원"))&gt;0,ISNUMBER(MATCH(TRIM(RIGHT(SUBSTITUTE(TRIM(H16&amp;"")," ",REPT(" ",60)),60)),코드표!$F$2:$F$101,0))),IF(RIGHT(LEFT(TRIM(H16&amp;""),FIND(" ",TRIM(H16&amp;""))-1),2)="병원",LEFT(TRIM(H16&amp;""),FIND(" ",TRIM(H16&amp;""))-1),LEFT(TRIM(H16&amp;""),FIND(" ",TRIM(H16&amp;""))-1)&amp;"병원")&amp;"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",TRIM(I16&amp;""))),COUNTIF(코드표!$A$2:$A$21,IF(RIGHT(LEFT(TRIM(I16&amp;""),FIND(" ",TRIM(I16&amp;""))-1),2)="병원",LEFT(TRIM(I16&amp;""),FIND(" ",TRIM(I16&amp;""))-1),LEFT(TRIM(I16&amp;""),FIND(" ",TRIM(I16&amp;""))-1)&amp;"병원"))&gt;0,ISNUMBER(MATCH(TRIM(RIGHT(SUBSTITUTE(TRIM(I16&amp;"")," ",REPT(" ",60)),60)),코드표!$F$2:$F$101,0))),IF(RIGHT(LEFT(TRIM(I16&amp;""),FIND(" ",TRIM(I16&amp;""))-1),2)="병원",LEFT(TRIM(I16&amp;""),FIND(" ",TRIM(I16&amp;""))-1),LEFT(TRIM(I16&amp;""),FIND(" ",TRIM(I16&amp;""))-1)&amp;"병원")&amp;"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",TRIM(J16&amp;""))),COUNTIF(코드표!$A$2:$A$21,IF(RIGHT(LEFT(TRIM(J16&amp;""),FIND(" ",TRIM(J16&amp;""))-1),2)="병원",LEFT(TRIM(J16&amp;""),FIND(" ",TRIM(J16&amp;""))-1),LEFT(TRIM(J16&amp;""),FIND(" ",TRIM(J16&amp;""))-1)&amp;"병원"))&gt;0,ISNUMBER(MATCH(TRIM(RIGHT(SUBSTITUTE(TRIM(J16&amp;"")," ",REPT(" ",60)),60)),코드표!$F$2:$F$101,0))),IF(RIGHT(LEFT(TRIM(J16&amp;""),FIND(" ",TRIM(J16&amp;""))-1),2)="병원",LEFT(TRIM(J16&amp;""),FIND(" ",TRIM(J16&amp;""))-1),LEFT(TRIM(J16&amp;""),FIND(" ",TRIM(J16&amp;""))-1)&amp;"병원")&amp;"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",TRIM(E17&amp;""))),COUNTIF(코드표!$A$2:$A$21,IF(RIGHT(LEFT(TRIM(E17&amp;""),FIND(" ",TRIM(E17&amp;""))-1),2)="병원",LEFT(TRIM(E17&amp;""),FIND(" ",TRIM(E17&amp;""))-1),LEFT(TRIM(E17&amp;""),FIND(" ",TRIM(E17&amp;""))-1)&amp;"병원"))&gt;0,ISNUMBER(MATCH(TRIM(RIGHT(SUBSTITUTE(TRIM(E17&amp;"")," ",REPT(" ",60)),60)),코드표!$F$2:$F$101,0))),IF(RIGHT(LEFT(TRIM(E17&amp;""),FIND(" ",TRIM(E17&amp;""))-1),2)="병원",LEFT(TRIM(E17&amp;""),FIND(" ",TRIM(E17&amp;""))-1),LEFT(TRIM(E17&amp;""),FIND(" ",TRIM(E17&amp;""))-1)&amp;"병원")&amp;"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",TRIM(F17&amp;""))),COUNTIF(코드표!$A$2:$A$21,IF(RIGHT(LEFT(TRIM(F17&amp;""),FIND(" ",TRIM(F17&amp;""))-1),2)="병원",LEFT(TRIM(F17&amp;""),FIND(" ",TRIM(F17&amp;""))-1),LEFT(TRIM(F17&amp;""),FIND(" ",TRIM(F17&amp;""))-1)&amp;"병원"))&gt;0,ISNUMBER(MATCH(TRIM(RIGHT(SUBSTITUTE(TRIM(F17&amp;"")," ",REPT(" ",60)),60)),코드표!$F$2:$F$101,0))),IF(RIGHT(LEFT(TRIM(F17&amp;""),FIND(" ",TRIM(F17&amp;""))-1),2)="병원",LEFT(TRIM(F17&amp;""),FIND(" ",TRIM(F17&amp;""))-1),LEFT(TRIM(F17&amp;""),FIND(" ",TRIM(F17&amp;""))-1)&amp;"병원")&amp;"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",TRIM(G17&amp;""))),COUNTIF(코드표!$A$2:$A$21,IF(RIGHT(LEFT(TRIM(G17&amp;""),FIND(" ",TRIM(G17&amp;""))-1),2)="병원",LEFT(TRIM(G17&amp;""),FIND(" ",TRIM(G17&amp;""))-1),LEFT(TRIM(G17&amp;""),FIND(" ",TRIM(G17&amp;""))-1)&amp;"병원"))&gt;0,ISNUMBER(MATCH(TRIM(RIGHT(SUBSTITUTE(TRIM(G17&amp;"")," ",REPT(" ",60)),60)),코드표!$F$2:$F$101,0))),IF(RIGHT(LEFT(TRIM(G17&amp;""),FIND(" ",TRIM(G17&amp;""))-1),2)="병원",LEFT(TRIM(G17&amp;""),FIND(" ",TRIM(G17&amp;""))-1),LEFT(TRIM(G17&amp;""),FIND(" ",TRIM(G17&amp;""))-1)&amp;"병원")&amp;"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",TRIM(H17&amp;""))),COUNTIF(코드표!$A$2:$A$21,IF(RIGHT(LEFT(TRIM(H17&amp;""),FIND(" ",TRIM(H17&amp;""))-1),2)="병원",LEFT(TRIM(H17&amp;""),FIND(" ",TRIM(H17&amp;""))-1),LEFT(TRIM(H17&amp;""),FIND(" ",TRIM(H17&amp;""))-1)&amp;"병원"))&gt;0,ISNUMBER(MATCH(TRIM(RIGHT(SUBSTITUTE(TRIM(H17&amp;"")," ",REPT(" ",60)),60)),코드표!$F$2:$F$101,0))),IF(RIGHT(LEFT(TRIM(H17&amp;""),FIND(" ",TRIM(H17&amp;""))-1),2)="병원",LEFT(TRIM(H17&amp;""),FIND(" ",TRIM(H17&amp;""))-1),LEFT(TRIM(H17&amp;""),FIND(" ",TRIM(H17&amp;""))-1)&amp;"병원")&amp;"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",TRIM(I17&amp;""))),COUNTIF(코드표!$A$2:$A$21,IF(RIGHT(LEFT(TRIM(I17&amp;""),FIND(" ",TRIM(I17&amp;""))-1),2)="병원",LEFT(TRIM(I17&amp;""),FIND(" ",TRIM(I17&amp;""))-1),LEFT(TRIM(I17&amp;""),FIND(" ",TRIM(I17&amp;""))-1)&amp;"병원"))&gt;0,ISNUMBER(MATCH(TRIM(RIGHT(SUBSTITUTE(TRIM(I17&amp;"")," ",REPT(" ",60)),60)),코드표!$F$2:$F$101,0))),IF(RIGHT(LEFT(TRIM(I17&amp;""),FIND(" ",TRIM(I17&amp;""))-1),2)="병원",LEFT(TRIM(I17&amp;""),FIND(" ",TRIM(I17&amp;""))-1),LEFT(TRIM(I17&amp;""),FIND(" ",TRIM(I17&amp;""))-1)&amp;"병원")&amp;"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",TRIM(J17&amp;""))),COUNTIF(코드표!$A$2:$A$21,IF(RIGHT(LEFT(TRIM(J17&amp;""),FIND(" ",TRIM(J17&amp;""))-1),2)="병원",LEFT(TRIM(J17&amp;""),FIND(" ",TRIM(J17&amp;""))-1),LEFT(TRIM(J17&amp;""),FIND(" ",TRIM(J17&amp;""))-1)&amp;"병원"))&gt;0,ISNUMBER(MATCH(TRIM(RIGHT(SUBSTITUTE(TRIM(J17&amp;"")," ",REPT(" ",60)),60)),코드표!$F$2:$F$101,0))),IF(RIGHT(LEFT(TRIM(J17&amp;""),FIND(" ",TRIM(J17&amp;""))-1),2)="병원",LEFT(TRIM(J17&amp;""),FIND(" ",TRIM(J17&amp;""))-1),LEFT(TRIM(J17&amp;""),FIND(" ",TRIM(J17&amp;""))-1)&amp;"병원")&amp;"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",TRIM(E18&amp;""))),COUNTIF(코드표!$A$2:$A$21,IF(RIGHT(LEFT(TRIM(E18&amp;""),FIND(" ",TRIM(E18&amp;""))-1),2)="병원",LEFT(TRIM(E18&amp;""),FIND(" ",TRIM(E18&amp;""))-1),LEFT(TRIM(E18&amp;""),FIND(" ",TRIM(E18&amp;""))-1)&amp;"병원"))&gt;0,ISNUMBER(MATCH(TRIM(RIGHT(SUBSTITUTE(TRIM(E18&amp;"")," ",REPT(" ",60)),60)),코드표!$F$2:$F$101,0))),IF(RIGHT(LEFT(TRIM(E18&amp;""),FIND(" ",TRIM(E18&amp;""))-1),2)="병원",LEFT(TRIM(E18&amp;""),FIND(" ",TRIM(E18&amp;""))-1),LEFT(TRIM(E18&amp;""),FIND(" ",TRIM(E18&amp;""))-1)&amp;"병원")&amp;"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",TRIM(F18&amp;""))),COUNTIF(코드표!$A$2:$A$21,IF(RIGHT(LEFT(TRIM(F18&amp;""),FIND(" ",TRIM(F18&amp;""))-1),2)="병원",LEFT(TRIM(F18&amp;""),FIND(" ",TRIM(F18&amp;""))-1),LEFT(TRIM(F18&amp;""),FIND(" ",TRIM(F18&amp;""))-1)&amp;"병원"))&gt;0,ISNUMBER(MATCH(TRIM(RIGHT(SUBSTITUTE(TRIM(F18&amp;"")," ",REPT(" ",60)),60)),코드표!$F$2:$F$101,0))),IF(RIGHT(LEFT(TRIM(F18&amp;""),FIND(" ",TRIM(F18&amp;""))-1),2)="병원",LEFT(TRIM(F18&amp;""),FIND(" ",TRIM(F18&amp;""))-1),LEFT(TRIM(F18&amp;""),FIND(" ",TRIM(F18&amp;""))-1)&amp;"병원")&amp;"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",TRIM(G18&amp;""))),COUNTIF(코드표!$A$2:$A$21,IF(RIGHT(LEFT(TRIM(G18&amp;""),FIND(" ",TRIM(G18&amp;""))-1),2)="병원",LEFT(TRIM(G18&amp;""),FIND(" ",TRIM(G18&amp;""))-1),LEFT(TRIM(G18&amp;""),FIND(" ",TRIM(G18&amp;""))-1)&amp;"병원"))&gt;0,ISNUMBER(MATCH(TRIM(RIGHT(SUBSTITUTE(TRIM(G18&amp;"")," ",REPT(" ",60)),60)),코드표!$F$2:$F$101,0))),IF(RIGHT(LEFT(TRIM(G18&amp;""),FIND(" ",TRIM(G18&amp;""))-1),2)="병원",LEFT(TRIM(G18&amp;""),FIND(" ",TRIM(G18&amp;""))-1),LEFT(TRIM(G18&amp;""),FIND(" ",TRIM(G18&amp;""))-1)&amp;"병원")&amp;"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",TRIM(H18&amp;""))),COUNTIF(코드표!$A$2:$A$21,IF(RIGHT(LEFT(TRIM(H18&amp;""),FIND(" ",TRIM(H18&amp;""))-1),2)="병원",LEFT(TRIM(H18&amp;""),FIND(" ",TRIM(H18&amp;""))-1),LEFT(TRIM(H18&amp;""),FIND(" ",TRIM(H18&amp;""))-1)&amp;"병원"))&gt;0,ISNUMBER(MATCH(TRIM(RIGHT(SUBSTITUTE(TRIM(H18&amp;"")," ",REPT(" ",60)),60)),코드표!$F$2:$F$101,0))),IF(RIGHT(LEFT(TRIM(H18&amp;""),FIND(" ",TRIM(H18&amp;""))-1),2)="병원",LEFT(TRIM(H18&amp;""),FIND(" ",TRIM(H18&amp;""))-1),LEFT(TRIM(H18&amp;""),FIND(" ",TRIM(H18&amp;""))-1)&amp;"병원")&amp;"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",TRIM(I18&amp;""))),COUNTIF(코드표!$A$2:$A$21,IF(RIGHT(LEFT(TRIM(I18&amp;""),FIND(" ",TRIM(I18&amp;""))-1),2)="병원",LEFT(TRIM(I18&amp;""),FIND(" ",TRIM(I18&amp;""))-1),LEFT(TRIM(I18&amp;""),FIND(" ",TRIM(I18&amp;""))-1)&amp;"병원"))&gt;0,ISNUMBER(MATCH(TRIM(RIGHT(SUBSTITUTE(TRIM(I18&amp;"")," ",REPT(" ",60)),60)),코드표!$F$2:$F$101,0))),IF(RIGHT(LEFT(TRIM(I18&amp;""),FIND(" ",TRIM(I18&amp;""))-1),2)="병원",LEFT(TRIM(I18&amp;""),FIND(" ",TRIM(I18&amp;""))-1),LEFT(TRIM(I18&amp;""),FIND(" ",TRIM(I18&amp;""))-1)&amp;"병원")&amp;"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",TRIM(J18&amp;""))),COUNTIF(코드표!$A$2:$A$21,IF(RIGHT(LEFT(TRIM(J18&amp;""),FIND(" ",TRIM(J18&amp;""))-1),2)="병원",LEFT(TRIM(J18&amp;""),FIND(" ",TRIM(J18&amp;""))-1),LEFT(TRIM(J18&amp;""),FIND(" ",TRIM(J18&amp;""))-1)&amp;"병원"))&gt;0,ISNUMBER(MATCH(TRIM(RIGHT(SUBSTITUTE(TRIM(J18&amp;"")," ",REPT(" ",60)),60)),코드표!$F$2:$F$101,0))),IF(RIGHT(LEFT(TRIM(J18&amp;""),FIND(" ",TRIM(J18&amp;""))-1),2)="병원",LEFT(TRIM(J18&amp;""),FIND(" ",TRIM(J18&amp;""))-1),LEFT(TRIM(J18&amp;""),FIND(" ",TRIM(J18&amp;""))-1)&amp;"병원")&amp;"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",TRIM(E19&amp;""))),COUNTIF(코드표!$A$2:$A$21,IF(RIGHT(LEFT(TRIM(E19&amp;""),FIND(" ",TRIM(E19&amp;""))-1),2)="병원",LEFT(TRIM(E19&amp;""),FIND(" ",TRIM(E19&amp;""))-1),LEFT(TRIM(E19&amp;""),FIND(" ",TRIM(E19&amp;""))-1)&amp;"병원"))&gt;0,ISNUMBER(MATCH(TRIM(RIGHT(SUBSTITUTE(TRIM(E19&amp;"")," ",REPT(" ",60)),60)),코드표!$F$2:$F$101,0))),IF(RIGHT(LEFT(TRIM(E19&amp;""),FIND(" ",TRIM(E19&amp;""))-1),2)="병원",LEFT(TRIM(E19&amp;""),FIND(" ",TRIM(E19&amp;""))-1),LEFT(TRIM(E19&amp;""),FIND(" ",TRIM(E19&amp;""))-1)&amp;"병원")&amp;"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",TRIM(F19&amp;""))),COUNTIF(코드표!$A$2:$A$21,IF(RIGHT(LEFT(TRIM(F19&amp;""),FIND(" ",TRIM(F19&amp;""))-1),2)="병원",LEFT(TRIM(F19&amp;""),FIND(" ",TRIM(F19&amp;""))-1),LEFT(TRIM(F19&amp;""),FIND(" ",TRIM(F19&amp;""))-1)&amp;"병원"))&gt;0,ISNUMBER(MATCH(TRIM(RIGHT(SUBSTITUTE(TRIM(F19&amp;"")," ",REPT(" ",60)),60)),코드표!$F$2:$F$101,0))),IF(RIGHT(LEFT(TRIM(F19&amp;""),FIND(" ",TRIM(F19&amp;""))-1),2)="병원",LEFT(TRIM(F19&amp;""),FIND(" ",TRIM(F19&amp;""))-1),LEFT(TRIM(F19&amp;""),FIND(" ",TRIM(F19&amp;""))-1)&amp;"병원")&amp;"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",TRIM(G19&amp;""))),COUNTIF(코드표!$A$2:$A$21,IF(RIGHT(LEFT(TRIM(G19&amp;""),FIND(" ",TRIM(G19&amp;""))-1),2)="병원",LEFT(TRIM(G19&amp;""),FIND(" ",TRIM(G19&amp;""))-1),LEFT(TRIM(G19&amp;""),FIND(" ",TRIM(G19&amp;""))-1)&amp;"병원"))&gt;0,ISNUMBER(MATCH(TRIM(RIGHT(SUBSTITUTE(TRIM(G19&amp;"")," ",REPT(" ",60)),60)),코드표!$F$2:$F$101,0))),IF(RIGHT(LEFT(TRIM(G19&amp;""),FIND(" ",TRIM(G19&amp;""))-1),2)="병원",LEFT(TRIM(G19&amp;""),FIND(" ",TRIM(G19&amp;""))-1),LEFT(TRIM(G19&amp;""),FIND(" ",TRIM(G19&amp;""))-1)&amp;"병원")&amp;"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",TRIM(H19&amp;""))),COUNTIF(코드표!$A$2:$A$21,IF(RIGHT(LEFT(TRIM(H19&amp;""),FIND(" ",TRIM(H19&amp;""))-1),2)="병원",LEFT(TRIM(H19&amp;""),FIND(" ",TRIM(H19&amp;""))-1),LEFT(TRIM(H19&amp;""),FIND(" ",TRIM(H19&amp;""))-1)&amp;"병원"))&gt;0,ISNUMBER(MATCH(TRIM(RIGHT(SUBSTITUTE(TRIM(H19&amp;"")," ",REPT(" ",60)),60)),코드표!$F$2:$F$101,0))),IF(RIGHT(LEFT(TRIM(H19&amp;""),FIND(" ",TRIM(H19&amp;""))-1),2)="병원",LEFT(TRIM(H19&amp;""),FIND(" ",TRIM(H19&amp;""))-1),LEFT(TRIM(H19&amp;""),FIND(" ",TRIM(H19&amp;""))-1)&amp;"병원")&amp;"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",TRIM(I19&amp;""))),COUNTIF(코드표!$A$2:$A$21,IF(RIGHT(LEFT(TRIM(I19&amp;""),FIND(" ",TRIM(I19&amp;""))-1),2)="병원",LEFT(TRIM(I19&amp;""),FIND(" ",TRIM(I19&amp;""))-1),LEFT(TRIM(I19&amp;""),FIND(" ",TRIM(I19&amp;""))-1)&amp;"병원"))&gt;0,ISNUMBER(MATCH(TRIM(RIGHT(SUBSTITUTE(TRIM(I19&amp;"")," ",REPT(" ",60)),60)),코드표!$F$2:$F$101,0))),IF(RIGHT(LEFT(TRIM(I19&amp;""),FIND(" ",TRIM(I19&amp;""))-1),2)="병원",LEFT(TRIM(I19&amp;""),FIND(" ",TRIM(I19&amp;""))-1),LEFT(TRIM(I19&amp;""),FIND(" ",TRIM(I19&amp;""))-1)&amp;"병원")&amp;"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",TRIM(J19&amp;""))),COUNTIF(코드표!$A$2:$A$21,IF(RIGHT(LEFT(TRIM(J19&amp;""),FIND(" ",TRIM(J19&amp;""))-1),2)="병원",LEFT(TRIM(J19&amp;""),FIND(" ",TRIM(J19&amp;""))-1),LEFT(TRIM(J19&amp;""),FIND(" ",TRIM(J19&amp;""))-1)&amp;"병원"))&gt;0,ISNUMBER(MATCH(TRIM(RIGHT(SUBSTITUTE(TRIM(J19&amp;"")," ",REPT(" ",60)),60)),코드표!$F$2:$F$101,0))),IF(RIGHT(LEFT(TRIM(J19&amp;""),FIND(" ",TRIM(J19&amp;""))-1),2)="병원",LEFT(TRIM(J19&amp;""),FIND(" ",TRIM(J19&amp;""))-1),LEFT(TRIM(J19&amp;""),FIND(" ",TRIM(J19&amp;""))-1)&amp;"병원")&amp;"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",TRIM(E20&amp;""))),COUNTIF(코드표!$A$2:$A$21,IF(RIGHT(LEFT(TRIM(E20&amp;""),FIND(" ",TRIM(E20&amp;""))-1),2)="병원",LEFT(TRIM(E20&amp;""),FIND(" ",TRIM(E20&amp;""))-1),LEFT(TRIM(E20&amp;""),FIND(" ",TRIM(E20&amp;""))-1)&amp;"병원"))&gt;0,ISNUMBER(MATCH(TRIM(RIGHT(SUBSTITUTE(TRIM(E20&amp;"")," ",REPT(" ",60)),60)),코드표!$F$2:$F$101,0))),IF(RIGHT(LEFT(TRIM(E20&amp;""),FIND(" ",TRIM(E20&amp;""))-1),2)="병원",LEFT(TRIM(E20&amp;""),FIND(" ",TRIM(E20&amp;""))-1),LEFT(TRIM(E20&amp;""),FIND(" ",TRIM(E20&amp;""))-1)&amp;"병원")&amp;"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",TRIM(F20&amp;""))),COUNTIF(코드표!$A$2:$A$21,IF(RIGHT(LEFT(TRIM(F20&amp;""),FIND(" ",TRIM(F20&amp;""))-1),2)="병원",LEFT(TRIM(F20&amp;""),FIND(" ",TRIM(F20&amp;""))-1),LEFT(TRIM(F20&amp;""),FIND(" ",TRIM(F20&amp;""))-1)&amp;"병원"))&gt;0,ISNUMBER(MATCH(TRIM(RIGHT(SUBSTITUTE(TRIM(F20&amp;"")," ",REPT(" ",60)),60)),코드표!$F$2:$F$101,0))),IF(RIGHT(LEFT(TRIM(F20&amp;""),FIND(" ",TRIM(F20&amp;""))-1),2)="병원",LEFT(TRIM(F20&amp;""),FIND(" ",TRIM(F20&amp;""))-1),LEFT(TRIM(F20&amp;""),FIND(" ",TRIM(F20&amp;""))-1)&amp;"병원")&amp;"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",TRIM(G20&amp;""))),COUNTIF(코드표!$A$2:$A$21,IF(RIGHT(LEFT(TRIM(G20&amp;""),FIND(" ",TRIM(G20&amp;""))-1),2)="병원",LEFT(TRIM(G20&amp;""),FIND(" ",TRIM(G20&amp;""))-1),LEFT(TRIM(G20&amp;""),FIND(" ",TRIM(G20&amp;""))-1)&amp;"병원"))&gt;0,ISNUMBER(MATCH(TRIM(RIGHT(SUBSTITUTE(TRIM(G20&amp;"")," ",REPT(" ",60)),60)),코드표!$F$2:$F$101,0))),IF(RIGHT(LEFT(TRIM(G20&amp;""),FIND(" ",TRIM(G20&amp;""))-1),2)="병원",LEFT(TRIM(G20&amp;""),FIND(" ",TRIM(G20&amp;""))-1),LEFT(TRIM(G20&amp;""),FIND(" ",TRIM(G20&amp;""))-1)&amp;"병원")&amp;"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",TRIM(H20&amp;""))),COUNTIF(코드표!$A$2:$A$21,IF(RIGHT(LEFT(TRIM(H20&amp;""),FIND(" ",TRIM(H20&amp;""))-1),2)="병원",LEFT(TRIM(H20&amp;""),FIND(" ",TRIM(H20&amp;""))-1),LEFT(TRIM(H20&amp;""),FIND(" ",TRIM(H20&amp;""))-1)&amp;"병원"))&gt;0,ISNUMBER(MATCH(TRIM(RIGHT(SUBSTITUTE(TRIM(H20&amp;"")," ",REPT(" ",60)),60)),코드표!$F$2:$F$101,0))),IF(RIGHT(LEFT(TRIM(H20&amp;""),FIND(" ",TRIM(H20&amp;""))-1),2)="병원",LEFT(TRIM(H20&amp;""),FIND(" ",TRIM(H20&amp;""))-1),LEFT(TRIM(H20&amp;""),FIND(" ",TRIM(H20&amp;""))-1)&amp;"병원")&amp;"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",TRIM(I20&amp;""))),COUNTIF(코드표!$A$2:$A$21,IF(RIGHT(LEFT(TRIM(I20&amp;""),FIND(" ",TRIM(I20&amp;""))-1),2)="병원",LEFT(TRIM(I20&amp;""),FIND(" ",TRIM(I20&amp;""))-1),LEFT(TRIM(I20&amp;""),FIND(" ",TRIM(I20&amp;""))-1)&amp;"병원"))&gt;0,ISNUMBER(MATCH(TRIM(RIGHT(SUBSTITUTE(TRIM(I20&amp;"")," ",REPT(" ",60)),60)),코드표!$F$2:$F$101,0))),IF(RIGHT(LEFT(TRIM(I20&amp;""),FIND(" ",TRIM(I20&amp;""))-1),2)="병원",LEFT(TRIM(I20&amp;""),FIND(" ",TRIM(I20&amp;""))-1),LEFT(TRIM(I20&amp;""),FIND(" ",TRIM(I20&amp;""))-1)&amp;"병원")&amp;"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",TRIM(J20&amp;""))),COUNTIF(코드표!$A$2:$A$21,IF(RIGHT(LEFT(TRIM(J20&amp;""),FIND(" ",TRIM(J20&amp;""))-1),2)="병원",LEFT(TRIM(J20&amp;""),FIND(" ",TRIM(J20&amp;""))-1),LEFT(TRIM(J20&amp;""),FIND(" ",TRIM(J20&amp;""))-1)&amp;"병원"))&gt;0,ISNUMBER(MATCH(TRIM(RIGHT(SUBSTITUTE(TRIM(J20&amp;"")," ",REPT(" ",60)),60)),코드표!$F$2:$F$101,0))),IF(RIGHT(LEFT(TRIM(J20&amp;""),FIND(" ",TRIM(J20&amp;""))-1),2)="병원",LEFT(TRIM(J20&amp;""),FIND(" ",TRIM(J20&amp;""))-1),LEFT(TRIM(J20&amp;""),FIND(" ",TRIM(J20&amp;""))-1)&amp;"병원")&amp;"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",TRIM(E21&amp;""))),COUNTIF(코드표!$A$2:$A$21,IF(RIGHT(LEFT(TRIM(E21&amp;""),FIND(" ",TRIM(E21&amp;""))-1),2)="병원",LEFT(TRIM(E21&amp;""),FIND(" ",TRIM(E21&amp;""))-1),LEFT(TRIM(E21&amp;""),FIND(" ",TRIM(E21&amp;""))-1)&amp;"병원"))&gt;0,ISNUMBER(MATCH(TRIM(RIGHT(SUBSTITUTE(TRIM(E21&amp;"")," ",REPT(" ",60)),60)),코드표!$F$2:$F$101,0))),IF(RIGHT(LEFT(TRIM(E21&amp;""),FIND(" ",TRIM(E21&amp;""))-1),2)="병원",LEFT(TRIM(E21&amp;""),FIND(" ",TRIM(E21&amp;""))-1),LEFT(TRIM(E21&amp;""),FIND(" ",TRIM(E21&amp;""))-1)&amp;"병원")&amp;"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",TRIM(F21&amp;""))),COUNTIF(코드표!$A$2:$A$21,IF(RIGHT(LEFT(TRIM(F21&amp;""),FIND(" ",TRIM(F21&amp;""))-1),2)="병원",LEFT(TRIM(F21&amp;""),FIND(" ",TRIM(F21&amp;""))-1),LEFT(TRIM(F21&amp;""),FIND(" ",TRIM(F21&amp;""))-1)&amp;"병원"))&gt;0,ISNUMBER(MATCH(TRIM(RIGHT(SUBSTITUTE(TRIM(F21&amp;"")," ",REPT(" ",60)),60)),코드표!$F$2:$F$101,0))),IF(RIGHT(LEFT(TRIM(F21&amp;""),FIND(" ",TRIM(F21&amp;""))-1),2)="병원",LEFT(TRIM(F21&amp;""),FIND(" ",TRIM(F21&amp;""))-1),LEFT(TRIM(F21&amp;""),FIND(" ",TRIM(F21&amp;""))-1)&amp;"병원")&amp;"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",TRIM(G21&amp;""))),COUNTIF(코드표!$A$2:$A$21,IF(RIGHT(LEFT(TRIM(G21&amp;""),FIND(" ",TRIM(G21&amp;""))-1),2)="병원",LEFT(TRIM(G21&amp;""),FIND(" ",TRIM(G21&amp;""))-1),LEFT(TRIM(G21&amp;""),FIND(" ",TRIM(G21&amp;""))-1)&amp;"병원"))&gt;0,ISNUMBER(MATCH(TRIM(RIGHT(SUBSTITUTE(TRIM(G21&amp;"")," ",REPT(" ",60)),60)),코드표!$F$2:$F$101,0))),IF(RIGHT(LEFT(TRIM(G21&amp;""),FIND(" ",TRIM(G21&amp;""))-1),2)="병원",LEFT(TRIM(G21&amp;""),FIND(" ",TRIM(G21&amp;""))-1),LEFT(TRIM(G21&amp;""),FIND(" ",TRIM(G21&amp;""))-1)&amp;"병원")&amp;"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",TRIM(H21&amp;""))),COUNTIF(코드표!$A$2:$A$21,IF(RIGHT(LEFT(TRIM(H21&amp;""),FIND(" ",TRIM(H21&amp;""))-1),2)="병원",LEFT(TRIM(H21&amp;""),FIND(" ",TRIM(H21&amp;""))-1),LEFT(TRIM(H21&amp;""),FIND(" ",TRIM(H21&amp;""))-1)&amp;"병원"))&gt;0,ISNUMBER(MATCH(TRIM(RIGHT(SUBSTITUTE(TRIM(H21&amp;"")," ",REPT(" ",60)),60)),코드표!$F$2:$F$101,0))),IF(RIGHT(LEFT(TRIM(H21&amp;""),FIND(" ",TRIM(H21&amp;""))-1),2)="병원",LEFT(TRIM(H21&amp;""),FIND(" ",TRIM(H21&amp;""))-1),LEFT(TRIM(H21&amp;""),FIND(" ",TRIM(H21&amp;""))-1)&amp;"병원")&amp;"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",TRIM(I21&amp;""))),COUNTIF(코드표!$A$2:$A$21,IF(RIGHT(LEFT(TRIM(I21&amp;""),FIND(" ",TRIM(I21&amp;""))-1),2)="병원",LEFT(TRIM(I21&amp;""),FIND(" ",TRIM(I21&amp;""))-1),LEFT(TRIM(I21&amp;""),FIND(" ",TRIM(I21&amp;""))-1)&amp;"병원"))&gt;0,ISNUMBER(MATCH(TRIM(RIGHT(SUBSTITUTE(TRIM(I21&amp;"")," ",REPT(" ",60)),60)),코드표!$F$2:$F$101,0))),IF(RIGHT(LEFT(TRIM(I21&amp;""),FIND(" ",TRIM(I21&amp;""))-1),2)="병원",LEFT(TRIM(I21&amp;""),FIND(" ",TRIM(I21&amp;""))-1),LEFT(TRIM(I21&amp;""),FIND(" ",TRIM(I21&amp;""))-1)&amp;"병원")&amp;"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",TRIM(J21&amp;""))),COUNTIF(코드표!$A$2:$A$21,IF(RIGHT(LEFT(TRIM(J21&amp;""),FIND(" ",TRIM(J21&amp;""))-1),2)="병원",LEFT(TRIM(J21&amp;""),FIND(" ",TRIM(J21&amp;""))-1),LEFT(TRIM(J21&amp;""),FIND(" ",TRIM(J21&amp;""))-1)&amp;"병원"))&gt;0,ISNUMBER(MATCH(TRIM(RIGHT(SUBSTITUTE(TRIM(J21&amp;"")," ",REPT(" ",60)),60)),코드표!$F$2:$F$101,0))),IF(RIGHT(LEFT(TRIM(J21&amp;""),FIND(" ",TRIM(J21&amp;""))-1),2)="병원",LEFT(TRIM(J21&amp;""),FIND(" ",TRIM(J21&amp;""))-1),LEFT(TRIM(J21&amp;""),FIND(" ",TRIM(J21&amp;""))-1)&amp;"병원")&amp;"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",TRIM(E22&amp;""))),COUNTIF(코드표!$A$2:$A$21,IF(RIGHT(LEFT(TRIM(E22&amp;""),FIND(" ",TRIM(E22&amp;""))-1),2)="병원",LEFT(TRIM(E22&amp;""),FIND(" ",TRIM(E22&amp;""))-1),LEFT(TRIM(E22&amp;""),FIND(" ",TRIM(E22&amp;""))-1)&amp;"병원"))&gt;0,ISNUMBER(MATCH(TRIM(RIGHT(SUBSTITUTE(TRIM(E22&amp;"")," ",REPT(" ",60)),60)),코드표!$F$2:$F$101,0))),IF(RIGHT(LEFT(TRIM(E22&amp;""),FIND(" ",TRIM(E22&amp;""))-1),2)="병원",LEFT(TRIM(E22&amp;""),FIND(" ",TRIM(E22&amp;""))-1),LEFT(TRIM(E22&amp;""),FIND(" ",TRIM(E22&amp;""))-1)&amp;"병원")&amp;"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",TRIM(F22&amp;""))),COUNTIF(코드표!$A$2:$A$21,IF(RIGHT(LEFT(TRIM(F22&amp;""),FIND(" ",TRIM(F22&amp;""))-1),2)="병원",LEFT(TRIM(F22&amp;""),FIND(" ",TRIM(F22&amp;""))-1),LEFT(TRIM(F22&amp;""),FIND(" ",TRIM(F22&amp;""))-1)&amp;"병원"))&gt;0,ISNUMBER(MATCH(TRIM(RIGHT(SUBSTITUTE(TRIM(F22&amp;"")," ",REPT(" ",60)),60)),코드표!$F$2:$F$101,0))),IF(RIGHT(LEFT(TRIM(F22&amp;""),FIND(" ",TRIM(F22&amp;""))-1),2)="병원",LEFT(TRIM(F22&amp;""),FIND(" ",TRIM(F22&amp;""))-1),LEFT(TRIM(F22&amp;""),FIND(" ",TRIM(F22&amp;""))-1)&amp;"병원")&amp;"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",TRIM(G22&amp;""))),COUNTIF(코드표!$A$2:$A$21,IF(RIGHT(LEFT(TRIM(G22&amp;""),FIND(" ",TRIM(G22&amp;""))-1),2)="병원",LEFT(TRIM(G22&amp;""),FIND(" ",TRIM(G22&amp;""))-1),LEFT(TRIM(G22&amp;""),FIND(" ",TRIM(G22&amp;""))-1)&amp;"병원"))&gt;0,ISNUMBER(MATCH(TRIM(RIGHT(SUBSTITUTE(TRIM(G22&amp;"")," ",REPT(" ",60)),60)),코드표!$F$2:$F$101,0))),IF(RIGHT(LEFT(TRIM(G22&amp;""),FIND(" ",TRIM(G22&amp;""))-1),2)="병원",LEFT(TRIM(G22&amp;""),FIND(" ",TRIM(G22&amp;""))-1),LEFT(TRIM(G22&amp;""),FIND(" ",TRIM(G22&amp;""))-1)&amp;"병원")&amp;"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",TRIM(H22&amp;""))),COUNTIF(코드표!$A$2:$A$21,IF(RIGHT(LEFT(TRIM(H22&amp;""),FIND(" ",TRIM(H22&amp;""))-1),2)="병원",LEFT(TRIM(H22&amp;""),FIND(" ",TRIM(H22&amp;""))-1),LEFT(TRIM(H22&amp;""),FIND(" ",TRIM(H22&amp;""))-1)&amp;"병원"))&gt;0,ISNUMBER(MATCH(TRIM(RIGHT(SUBSTITUTE(TRIM(H22&amp;"")," ",REPT(" ",60)),60)),코드표!$F$2:$F$101,0))),IF(RIGHT(LEFT(TRIM(H22&amp;""),FIND(" ",TRIM(H22&amp;""))-1),2)="병원",LEFT(TRIM(H22&amp;""),FIND(" ",TRIM(H22&amp;""))-1),LEFT(TRIM(H22&amp;""),FIND(" ",TRIM(H22&amp;""))-1)&amp;"병원")&amp;"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",TRIM(I22&amp;""))),COUNTIF(코드표!$A$2:$A$21,IF(RIGHT(LEFT(TRIM(I22&amp;""),FIND(" ",TRIM(I22&amp;""))-1),2)="병원",LEFT(TRIM(I22&amp;""),FIND(" ",TRIM(I22&amp;""))-1),LEFT(TRIM(I22&amp;""),FIND(" ",TRIM(I22&amp;""))-1)&amp;"병원"))&gt;0,ISNUMBER(MATCH(TRIM(RIGHT(SUBSTITUTE(TRIM(I22&amp;"")," ",REPT(" ",60)),60)),코드표!$F$2:$F$101,0))),IF(RIGHT(LEFT(TRIM(I22&amp;""),FIND(" ",TRIM(I22&amp;""))-1),2)="병원",LEFT(TRIM(I22&amp;""),FIND(" ",TRIM(I22&amp;""))-1),LEFT(TRIM(I22&amp;""),FIND(" ",TRIM(I22&amp;""))-1)&amp;"병원")&amp;"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",TRIM(J22&amp;""))),COUNTIF(코드표!$A$2:$A$21,IF(RIGHT(LEFT(TRIM(J22&amp;""),FIND(" ",TRIM(J22&amp;""))-1),2)="병원",LEFT(TRIM(J22&amp;""),FIND(" ",TRIM(J22&amp;""))-1),LEFT(TRIM(J22&amp;""),FIND(" ",TRIM(J22&amp;""))-1)&amp;"병원"))&gt;0,ISNUMBER(MATCH(TRIM(RIGHT(SUBSTITUTE(TRIM(J22&amp;"")," ",REPT(" ",60)),60)),코드표!$F$2:$F$101,0))),IF(RIGHT(LEFT(TRIM(J22&amp;""),FIND(" ",TRIM(J22&amp;""))-1),2)="병원",LEFT(TRIM(J22&amp;""),FIND(" ",TRIM(J22&amp;""))-1),LEFT(TRIM(J22&amp;""),FIND(" ",TRIM(J22&amp;""))-1)&amp;"병원")&amp;"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",TRIM(E23&amp;""))),COUNTIF(코드표!$A$2:$A$21,IF(RIGHT(LEFT(TRIM(E23&amp;""),FIND(" ",TRIM(E23&amp;""))-1),2)="병원",LEFT(TRIM(E23&amp;""),FIND(" ",TRIM(E23&amp;""))-1),LEFT(TRIM(E23&amp;""),FIND(" ",TRIM(E23&amp;""))-1)&amp;"병원"))&gt;0,ISNUMBER(MATCH(TRIM(RIGHT(SUBSTITUTE(TRIM(E23&amp;"")," ",REPT(" ",60)),60)),코드표!$F$2:$F$101,0))),IF(RIGHT(LEFT(TRIM(E23&amp;""),FIND(" ",TRIM(E23&amp;""))-1),2)="병원",LEFT(TRIM(E23&amp;""),FIND(" ",TRIM(E23&amp;""))-1),LEFT(TRIM(E23&amp;""),FIND(" ",TRIM(E23&amp;""))-1)&amp;"병원")&amp;"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",TRIM(F23&amp;""))),COUNTIF(코드표!$A$2:$A$21,IF(RIGHT(LEFT(TRIM(F23&amp;""),FIND(" ",TRIM(F23&amp;""))-1),2)="병원",LEFT(TRIM(F23&amp;""),FIND(" ",TRIM(F23&amp;""))-1),LEFT(TRIM(F23&amp;""),FIND(" ",TRIM(F23&amp;""))-1)&amp;"병원"))&gt;0,ISNUMBER(MATCH(TRIM(RIGHT(SUBSTITUTE(TRIM(F23&amp;"")," ",REPT(" ",60)),60)),코드표!$F$2:$F$101,0))),IF(RIGHT(LEFT(TRIM(F23&amp;""),FIND(" ",TRIM(F23&amp;""))-1),2)="병원",LEFT(TRIM(F23&amp;""),FIND(" ",TRIM(F23&amp;""))-1),LEFT(TRIM(F23&amp;""),FIND(" ",TRIM(F23&amp;""))-1)&amp;"병원")&amp;"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",TRIM(G23&amp;""))),COUNTIF(코드표!$A$2:$A$21,IF(RIGHT(LEFT(TRIM(G23&amp;""),FIND(" ",TRIM(G23&amp;""))-1),2)="병원",LEFT(TRIM(G23&amp;""),FIND(" ",TRIM(G23&amp;""))-1),LEFT(TRIM(G23&amp;""),FIND(" ",TRIM(G23&amp;""))-1)&amp;"병원"))&gt;0,ISNUMBER(MATCH(TRIM(RIGHT(SUBSTITUTE(TRIM(G23&amp;"")," ",REPT(" ",60)),60)),코드표!$F$2:$F$101,0))),IF(RIGHT(LEFT(TRIM(G23&amp;""),FIND(" ",TRIM(G23&amp;""))-1),2)="병원",LEFT(TRIM(G23&amp;""),FIND(" ",TRIM(G23&amp;""))-1),LEFT(TRIM(G23&amp;""),FIND(" ",TRIM(G23&amp;""))-1)&amp;"병원")&amp;"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",TRIM(H23&amp;""))),COUNTIF(코드표!$A$2:$A$21,IF(RIGHT(LEFT(TRIM(H23&amp;""),FIND(" ",TRIM(H23&amp;""))-1),2)="병원",LEFT(TRIM(H23&amp;""),FIND(" ",TRIM(H23&amp;""))-1),LEFT(TRIM(H23&amp;""),FIND(" ",TRIM(H23&amp;""))-1)&amp;"병원"))&gt;0,ISNUMBER(MATCH(TRIM(RIGHT(SUBSTITUTE(TRIM(H23&amp;"")," ",REPT(" ",60)),60)),코드표!$F$2:$F$101,0))),IF(RIGHT(LEFT(TRIM(H23&amp;""),FIND(" ",TRIM(H23&amp;""))-1),2)="병원",LEFT(TRIM(H23&amp;""),FIND(" ",TRIM(H23&amp;""))-1),LEFT(TRIM(H23&amp;""),FIND(" ",TRIM(H23&amp;""))-1)&amp;"병원")&amp;"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",TRIM(I23&amp;""))),COUNTIF(코드표!$A$2:$A$21,IF(RIGHT(LEFT(TRIM(I23&amp;""),FIND(" ",TRIM(I23&amp;""))-1),2)="병원",LEFT(TRIM(I23&amp;""),FIND(" ",TRIM(I23&amp;""))-1),LEFT(TRIM(I23&amp;""),FIND(" ",TRIM(I23&amp;""))-1)&amp;"병원"))&gt;0,ISNUMBER(MATCH(TRIM(RIGHT(SUBSTITUTE(TRIM(I23&amp;"")," ",REPT(" ",60)),60)),코드표!$F$2:$F$101,0))),IF(RIGHT(LEFT(TRIM(I23&amp;""),FIND(" ",TRIM(I23&amp;""))-1),2)="병원",LEFT(TRIM(I23&amp;""),FIND(" ",TRIM(I23&amp;""))-1),LEFT(TRIM(I23&amp;""),FIND(" ",TRIM(I23&amp;""))-1)&amp;"병원")&amp;"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",TRIM(J23&amp;""))),COUNTIF(코드표!$A$2:$A$21,IF(RIGHT(LEFT(TRIM(J23&amp;""),FIND(" ",TRIM(J23&amp;""))-1),2)="병원",LEFT(TRIM(J23&amp;""),FIND(" ",TRIM(J23&amp;""))-1),LEFT(TRIM(J23&amp;""),FIND(" ",TRIM(J23&amp;""))-1)&amp;"병원"))&gt;0,ISNUMBER(MATCH(TRIM(RIGHT(SUBSTITUTE(TRIM(J23&amp;"")," ",REPT(" ",60)),60)),코드표!$F$2:$F$101,0))),IF(RIGHT(LEFT(TRIM(J23&amp;""),FIND(" ",TRIM(J23&amp;""))-1),2)="병원",LEFT(TRIM(J23&amp;""),FIND(" ",TRIM(J23&amp;""))-1),LEFT(TRIM(J23&amp;""),FIND(" ",TRIM(J23&amp;""))-1)&amp;"병원")&amp;"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",TRIM(E24&amp;""))),COUNTIF(코드표!$A$2:$A$21,IF(RIGHT(LEFT(TRIM(E24&amp;""),FIND(" ",TRIM(E24&amp;""))-1),2)="병원",LEFT(TRIM(E24&amp;""),FIND(" ",TRIM(E24&amp;""))-1),LEFT(TRIM(E24&amp;""),FIND(" ",TRIM(E24&amp;""))-1)&amp;"병원"))&gt;0,ISNUMBER(MATCH(TRIM(RIGHT(SUBSTITUTE(TRIM(E24&amp;"")," ",REPT(" ",60)),60)),코드표!$F$2:$F$101,0))),IF(RIGHT(LEFT(TRIM(E24&amp;""),FIND(" ",TRIM(E24&amp;""))-1),2)="병원",LEFT(TRIM(E24&amp;""),FIND(" ",TRIM(E24&amp;""))-1),LEFT(TRIM(E24&amp;""),FIND(" ",TRIM(E24&amp;""))-1)&amp;"병원")&amp;"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",TRIM(F24&amp;""))),COUNTIF(코드표!$A$2:$A$21,IF(RIGHT(LEFT(TRIM(F24&amp;""),FIND(" ",TRIM(F24&amp;""))-1),2)="병원",LEFT(TRIM(F24&amp;""),FIND(" ",TRIM(F24&amp;""))-1),LEFT(TRIM(F24&amp;""),FIND(" ",TRIM(F24&amp;""))-1)&amp;"병원"))&gt;0,ISNUMBER(MATCH(TRIM(RIGHT(SUBSTITUTE(TRIM(F24&amp;"")," ",REPT(" ",60)),60)),코드표!$F$2:$F$101,0))),IF(RIGHT(LEFT(TRIM(F24&amp;""),FIND(" ",TRIM(F24&amp;""))-1),2)="병원",LEFT(TRIM(F24&amp;""),FIND(" ",TRIM(F24&amp;""))-1),LEFT(TRIM(F24&amp;""),FIND(" ",TRIM(F24&amp;""))-1)&amp;"병원")&amp;"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",TRIM(G24&amp;""))),COUNTIF(코드표!$A$2:$A$21,IF(RIGHT(LEFT(TRIM(G24&amp;""),FIND(" ",TRIM(G24&amp;""))-1),2)="병원",LEFT(TRIM(G24&amp;""),FIND(" ",TRIM(G24&amp;""))-1),LEFT(TRIM(G24&amp;""),FIND(" ",TRIM(G24&amp;""))-1)&amp;"병원"))&gt;0,ISNUMBER(MATCH(TRIM(RIGHT(SUBSTITUTE(TRIM(G24&amp;"")," ",REPT(" ",60)),60)),코드표!$F$2:$F$101,0))),IF(RIGHT(LEFT(TRIM(G24&amp;""),FIND(" ",TRIM(G24&amp;""))-1),2)="병원",LEFT(TRIM(G24&amp;""),FIND(" ",TRIM(G24&amp;""))-1),LEFT(TRIM(G24&amp;""),FIND(" ",TRIM(G24&amp;""))-1)&amp;"병원")&amp;"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",TRIM(H24&amp;""))),COUNTIF(코드표!$A$2:$A$21,IF(RIGHT(LEFT(TRIM(H24&amp;""),FIND(" ",TRIM(H24&amp;""))-1),2)="병원",LEFT(TRIM(H24&amp;""),FIND(" ",TRIM(H24&amp;""))-1),LEFT(TRIM(H24&amp;""),FIND(" ",TRIM(H24&amp;""))-1)&amp;"병원"))&gt;0,ISNUMBER(MATCH(TRIM(RIGHT(SUBSTITUTE(TRIM(H24&amp;"")," ",REPT(" ",60)),60)),코드표!$F$2:$F$101,0))),IF(RIGHT(LEFT(TRIM(H24&amp;""),FIND(" ",TRIM(H24&amp;""))-1),2)="병원",LEFT(TRIM(H24&amp;""),FIND(" ",TRIM(H24&amp;""))-1),LEFT(TRIM(H24&amp;""),FIND(" ",TRIM(H24&amp;""))-1)&amp;"병원")&amp;"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",TRIM(I24&amp;""))),COUNTIF(코드표!$A$2:$A$21,IF(RIGHT(LEFT(TRIM(I24&amp;""),FIND(" ",TRIM(I24&amp;""))-1),2)="병원",LEFT(TRIM(I24&amp;""),FIND(" ",TRIM(I24&amp;""))-1),LEFT(TRIM(I24&amp;""),FIND(" ",TRIM(I24&amp;""))-1)&amp;"병원"))&gt;0,ISNUMBER(MATCH(TRIM(RIGHT(SUBSTITUTE(TRIM(I24&amp;"")," ",REPT(" ",60)),60)),코드표!$F$2:$F$101,0))),IF(RIGHT(LEFT(TRIM(I24&amp;""),FIND(" ",TRIM(I24&amp;""))-1),2)="병원",LEFT(TRIM(I24&amp;""),FIND(" ",TRIM(I24&amp;""))-1),LEFT(TRIM(I24&amp;""),FIND(" ",TRIM(I24&amp;""))-1)&amp;"병원")&amp;"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",TRIM(J24&amp;""))),COUNTIF(코드표!$A$2:$A$21,IF(RIGHT(LEFT(TRIM(J24&amp;""),FIND(" ",TRIM(J24&amp;""))-1),2)="병원",LEFT(TRIM(J24&amp;""),FIND(" ",TRIM(J24&amp;""))-1),LEFT(TRIM(J24&amp;""),FIND(" ",TRIM(J24&amp;""))-1)&amp;"병원"))&gt;0,ISNUMBER(MATCH(TRIM(RIGHT(SUBSTITUTE(TRIM(J24&amp;"")," ",REPT(" ",60)),60)),코드표!$F$2:$F$101,0))),IF(RIGHT(LEFT(TRIM(J24&amp;""),FIND(" ",TRIM(J24&amp;""))-1),2)="병원",LEFT(TRIM(J24&amp;""),FIND(" ",TRIM(J24&amp;""))-1),LEFT(TRIM(J24&amp;""),FIND(" ",TRIM(J24&amp;""))-1)&amp;"병원")&amp;"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",TRIM(E25&amp;""))),COUNTIF(코드표!$A$2:$A$21,IF(RIGHT(LEFT(TRIM(E25&amp;""),FIND(" ",TRIM(E25&amp;""))-1),2)="병원",LEFT(TRIM(E25&amp;""),FIND(" ",TRIM(E25&amp;""))-1),LEFT(TRIM(E25&amp;""),FIND(" ",TRIM(E25&amp;""))-1)&amp;"병원"))&gt;0,ISNUMBER(MATCH(TRIM(RIGHT(SUBSTITUTE(TRIM(E25&amp;"")," ",REPT(" ",60)),60)),코드표!$F$2:$F$101,0))),IF(RIGHT(LEFT(TRIM(E25&amp;""),FIND(" ",TRIM(E25&amp;""))-1),2)="병원",LEFT(TRIM(E25&amp;""),FIND(" ",TRIM(E25&amp;""))-1),LEFT(TRIM(E25&amp;""),FIND(" ",TRIM(E25&amp;""))-1)&amp;"병원")&amp;"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",TRIM(F25&amp;""))),COUNTIF(코드표!$A$2:$A$21,IF(RIGHT(LEFT(TRIM(F25&amp;""),FIND(" ",TRIM(F25&amp;""))-1),2)="병원",LEFT(TRIM(F25&amp;""),FIND(" ",TRIM(F25&amp;""))-1),LEFT(TRIM(F25&amp;""),FIND(" ",TRIM(F25&amp;""))-1)&amp;"병원"))&gt;0,ISNUMBER(MATCH(TRIM(RIGHT(SUBSTITUTE(TRIM(F25&amp;"")," ",REPT(" ",60)),60)),코드표!$F$2:$F$101,0))),IF(RIGHT(LEFT(TRIM(F25&amp;""),FIND(" ",TRIM(F25&amp;""))-1),2)="병원",LEFT(TRIM(F25&amp;""),FIND(" ",TRIM(F25&amp;""))-1),LEFT(TRIM(F25&amp;""),FIND(" ",TRIM(F25&amp;""))-1)&amp;"병원")&amp;"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",TRIM(G25&amp;""))),COUNTIF(코드표!$A$2:$A$21,IF(RIGHT(LEFT(TRIM(G25&amp;""),FIND(" ",TRIM(G25&amp;""))-1),2)="병원",LEFT(TRIM(G25&amp;""),FIND(" ",TRIM(G25&amp;""))-1),LEFT(TRIM(G25&amp;""),FIND(" ",TRIM(G25&amp;""))-1)&amp;"병원"))&gt;0,ISNUMBER(MATCH(TRIM(RIGHT(SUBSTITUTE(TRIM(G25&amp;"")," ",REPT(" ",60)),60)),코드표!$F$2:$F$101,0))),IF(RIGHT(LEFT(TRIM(G25&amp;""),FIND(" ",TRIM(G25&amp;""))-1),2)="병원",LEFT(TRIM(G25&amp;""),FIND(" ",TRIM(G25&amp;""))-1),LEFT(TRIM(G25&amp;""),FIND(" ",TRIM(G25&amp;""))-1)&amp;"병원")&amp;"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",TRIM(H25&amp;""))),COUNTIF(코드표!$A$2:$A$21,IF(RIGHT(LEFT(TRIM(H25&amp;""),FIND(" ",TRIM(H25&amp;""))-1),2)="병원",LEFT(TRIM(H25&amp;""),FIND(" ",TRIM(H25&amp;""))-1),LEFT(TRIM(H25&amp;""),FIND(" ",TRIM(H25&amp;""))-1)&amp;"병원"))&gt;0,ISNUMBER(MATCH(TRIM(RIGHT(SUBSTITUTE(TRIM(H25&amp;"")," ",REPT(" ",60)),60)),코드표!$F$2:$F$101,0))),IF(RIGHT(LEFT(TRIM(H25&amp;""),FIND(" ",TRIM(H25&amp;""))-1),2)="병원",LEFT(TRIM(H25&amp;""),FIND(" ",TRIM(H25&amp;""))-1),LEFT(TRIM(H25&amp;""),FIND(" ",TRIM(H25&amp;""))-1)&amp;"병원")&amp;"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",TRIM(I25&amp;""))),COUNTIF(코드표!$A$2:$A$21,IF(RIGHT(LEFT(TRIM(I25&amp;""),FIND(" ",TRIM(I25&amp;""))-1),2)="병원",LEFT(TRIM(I25&amp;""),FIND(" ",TRIM(I25&amp;""))-1),LEFT(TRIM(I25&amp;""),FIND(" ",TRIM(I25&amp;""))-1)&amp;"병원"))&gt;0,ISNUMBER(MATCH(TRIM(RIGHT(SUBSTITUTE(TRIM(I25&amp;"")," ",REPT(" ",60)),60)),코드표!$F$2:$F$101,0))),IF(RIGHT(LEFT(TRIM(I25&amp;""),FIND(" ",TRIM(I25&amp;""))-1),2)="병원",LEFT(TRIM(I25&amp;""),FIND(" ",TRIM(I25&amp;""))-1),LEFT(TRIM(I25&amp;""),FIND(" ",TRIM(I25&amp;""))-1)&amp;"병원")&amp;"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",TRIM(J25&amp;""))),COUNTIF(코드표!$A$2:$A$21,IF(RIGHT(LEFT(TRIM(J25&amp;""),FIND(" ",TRIM(J25&amp;""))-1),2)="병원",LEFT(TRIM(J25&amp;""),FIND(" ",TRIM(J25&amp;""))-1),LEFT(TRIM(J25&amp;""),FIND(" ",TRIM(J25&amp;""))-1)&amp;"병원"))&gt;0,ISNUMBER(MATCH(TRIM(RIGHT(SUBSTITUTE(TRIM(J25&amp;"")," ",REPT(" ",60)),60)),코드표!$F$2:$F$101,0))),IF(RIGHT(LEFT(TRIM(J25&amp;""),FIND(" ",TRIM(J25&amp;""))-1),2)="병원",LEFT(TRIM(J25&amp;""),FIND(" ",TRIM(J25&amp;""))-1),LEFT(TRIM(J25&amp;""),FIND(" ",TRIM(J25&amp;""))-1)&amp;"병원")&amp;"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",TRIM(E26&amp;""))),COUNTIF(코드표!$A$2:$A$21,IF(RIGHT(LEFT(TRIM(E26&amp;""),FIND(" ",TRIM(E26&amp;""))-1),2)="병원",LEFT(TRIM(E26&amp;""),FIND(" ",TRIM(E26&amp;""))-1),LEFT(TRIM(E26&amp;""),FIND(" ",TRIM(E26&amp;""))-1)&amp;"병원"))&gt;0,ISNUMBER(MATCH(TRIM(RIGHT(SUBSTITUTE(TRIM(E26&amp;"")," ",REPT(" ",60)),60)),코드표!$F$2:$F$101,0))),IF(RIGHT(LEFT(TRIM(E26&amp;""),FIND(" ",TRIM(E26&amp;""))-1),2)="병원",LEFT(TRIM(E26&amp;""),FIND(" ",TRIM(E26&amp;""))-1),LEFT(TRIM(E26&amp;""),FIND(" ",TRIM(E26&amp;""))-1)&amp;"병원")&amp;"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",TRIM(F26&amp;""))),COUNTIF(코드표!$A$2:$A$21,IF(RIGHT(LEFT(TRIM(F26&amp;""),FIND(" ",TRIM(F26&amp;""))-1),2)="병원",LEFT(TRIM(F26&amp;""),FIND(" ",TRIM(F26&amp;""))-1),LEFT(TRIM(F26&amp;""),FIND(" ",TRIM(F26&amp;""))-1)&amp;"병원"))&gt;0,ISNUMBER(MATCH(TRIM(RIGHT(SUBSTITUTE(TRIM(F26&amp;"")," ",REPT(" ",60)),60)),코드표!$F$2:$F$101,0))),IF(RIGHT(LEFT(TRIM(F26&amp;""),FIND(" ",TRIM(F26&amp;""))-1),2)="병원",LEFT(TRIM(F26&amp;""),FIND(" ",TRIM(F26&amp;""))-1),LEFT(TRIM(F26&amp;""),FIND(" ",TRIM(F26&amp;""))-1)&amp;"병원")&amp;"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",TRIM(G26&amp;""))),COUNTIF(코드표!$A$2:$A$21,IF(RIGHT(LEFT(TRIM(G26&amp;""),FIND(" ",TRIM(G26&amp;""))-1),2)="병원",LEFT(TRIM(G26&amp;""),FIND(" ",TRIM(G26&amp;""))-1),LEFT(TRIM(G26&amp;""),FIND(" ",TRIM(G26&amp;""))-1)&amp;"병원"))&gt;0,ISNUMBER(MATCH(TRIM(RIGHT(SUBSTITUTE(TRIM(G26&amp;"")," ",REPT(" ",60)),60)),코드표!$F$2:$F$101,0))),IF(RIGHT(LEFT(TRIM(G26&amp;""),FIND(" ",TRIM(G26&amp;""))-1),2)="병원",LEFT(TRIM(G26&amp;""),FIND(" ",TRIM(G26&amp;""))-1),LEFT(TRIM(G26&amp;""),FIND(" ",TRIM(G26&amp;""))-1)&amp;"병원")&amp;"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",TRIM(H26&amp;""))),COUNTIF(코드표!$A$2:$A$21,IF(RIGHT(LEFT(TRIM(H26&amp;""),FIND(" ",TRIM(H26&amp;""))-1),2)="병원",LEFT(TRIM(H26&amp;""),FIND(" ",TRIM(H26&amp;""))-1),LEFT(TRIM(H26&amp;""),FIND(" ",TRIM(H26&amp;""))-1)&amp;"병원"))&gt;0,ISNUMBER(MATCH(TRIM(RIGHT(SUBSTITUTE(TRIM(H26&amp;"")," ",REPT(" ",60)),60)),코드표!$F$2:$F$101,0))),IF(RIGHT(LEFT(TRIM(H26&amp;""),FIND(" ",TRIM(H26&amp;""))-1),2)="병원",LEFT(TRIM(H26&amp;""),FIND(" ",TRIM(H26&amp;""))-1),LEFT(TRIM(H26&amp;""),FIND(" ",TRIM(H26&amp;""))-1)&amp;"병원")&amp;"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",TRIM(I26&amp;""))),COUNTIF(코드표!$A$2:$A$21,IF(RIGHT(LEFT(TRIM(I26&amp;""),FIND(" ",TRIM(I26&amp;""))-1),2)="병원",LEFT(TRIM(I26&amp;""),FIND(" ",TRIM(I26&amp;""))-1),LEFT(TRIM(I26&amp;""),FIND(" ",TRIM(I26&amp;""))-1)&amp;"병원"))&gt;0,ISNUMBER(MATCH(TRIM(RIGHT(SUBSTITUTE(TRIM(I26&amp;"")," ",REPT(" ",60)),60)),코드표!$F$2:$F$101,0))),IF(RIGHT(LEFT(TRIM(I26&amp;""),FIND(" ",TRIM(I26&amp;""))-1),2)="병원",LEFT(TRIM(I26&amp;""),FIND(" ",TRIM(I26&amp;""))-1),LEFT(TRIM(I26&amp;""),FIND(" ",TRIM(I26&amp;""))-1)&amp;"병원")&amp;"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",TRIM(J26&amp;""))),COUNTIF(코드표!$A$2:$A$21,IF(RIGHT(LEFT(TRIM(J26&amp;""),FIND(" ",TRIM(J26&amp;""))-1),2)="병원",LEFT(TRIM(J26&amp;""),FIND(" ",TRIM(J26&amp;""))-1),LEFT(TRIM(J26&amp;""),FIND(" ",TRIM(J26&amp;""))-1)&amp;"병원"))&gt;0,ISNUMBER(MATCH(TRIM(RIGHT(SUBSTITUTE(TRIM(J26&amp;"")," ",REPT(" ",60)),60)),코드표!$F$2:$F$101,0))),IF(RIGHT(LEFT(TRIM(J26&amp;""),FIND(" ",TRIM(J26&amp;""))-1),2)="병원",LEFT(TRIM(J26&amp;""),FIND(" ",TRIM(J26&amp;""))-1),LEFT(TRIM(J26&amp;""),FIND(" ",TRIM(J26&amp;""))-1)&amp;"병원")&amp;"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",TRIM(E27&amp;""))),COUNTIF(코드표!$A$2:$A$21,IF(RIGHT(LEFT(TRIM(E27&amp;""),FIND(" ",TRIM(E27&amp;""))-1),2)="병원",LEFT(TRIM(E27&amp;""),FIND(" ",TRIM(E27&amp;""))-1),LEFT(TRIM(E27&amp;""),FIND(" ",TRIM(E27&amp;""))-1)&amp;"병원"))&gt;0,ISNUMBER(MATCH(TRIM(RIGHT(SUBSTITUTE(TRIM(E27&amp;"")," ",REPT(" ",60)),60)),코드표!$F$2:$F$101,0))),IF(RIGHT(LEFT(TRIM(E27&amp;""),FIND(" ",TRIM(E27&amp;""))-1),2)="병원",LEFT(TRIM(E27&amp;""),FIND(" ",TRIM(E27&amp;""))-1),LEFT(TRIM(E27&amp;""),FIND(" ",TRIM(E27&amp;""))-1)&amp;"병원")&amp;"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",TRIM(F27&amp;""))),COUNTIF(코드표!$A$2:$A$21,IF(RIGHT(LEFT(TRIM(F27&amp;""),FIND(" ",TRIM(F27&amp;""))-1),2)="병원",LEFT(TRIM(F27&amp;""),FIND(" ",TRIM(F27&amp;""))-1),LEFT(TRIM(F27&amp;""),FIND(" ",TRIM(F27&amp;""))-1)&amp;"병원"))&gt;0,ISNUMBER(MATCH(TRIM(RIGHT(SUBSTITUTE(TRIM(F27&amp;"")," ",REPT(" ",60)),60)),코드표!$F$2:$F$101,0))),IF(RIGHT(LEFT(TRIM(F27&amp;""),FIND(" ",TRIM(F27&amp;""))-1),2)="병원",LEFT(TRIM(F27&amp;""),FIND(" ",TRIM(F27&amp;""))-1),LEFT(TRIM(F27&amp;""),FIND(" ",TRIM(F27&amp;""))-1)&amp;"병원")&amp;"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",TRIM(G27&amp;""))),COUNTIF(코드표!$A$2:$A$21,IF(RIGHT(LEFT(TRIM(G27&amp;""),FIND(" ",TRIM(G27&amp;""))-1),2)="병원",LEFT(TRIM(G27&amp;""),FIND(" ",TRIM(G27&amp;""))-1),LEFT(TRIM(G27&amp;""),FIND(" ",TRIM(G27&amp;""))-1)&amp;"병원"))&gt;0,ISNUMBER(MATCH(TRIM(RIGHT(SUBSTITUTE(TRIM(G27&amp;"")," ",REPT(" ",60)),60)),코드표!$F$2:$F$101,0))),IF(RIGHT(LEFT(TRIM(G27&amp;""),FIND(" ",TRIM(G27&amp;""))-1),2)="병원",LEFT(TRIM(G27&amp;""),FIND(" ",TRIM(G27&amp;""))-1),LEFT(TRIM(G27&amp;""),FIND(" ",TRIM(G27&amp;""))-1)&amp;"병원")&amp;"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",TRIM(H27&amp;""))),COUNTIF(코드표!$A$2:$A$21,IF(RIGHT(LEFT(TRIM(H27&amp;""),FIND(" ",TRIM(H27&amp;""))-1),2)="병원",LEFT(TRIM(H27&amp;""),FIND(" ",TRIM(H27&amp;""))-1),LEFT(TRIM(H27&amp;""),FIND(" ",TRIM(H27&amp;""))-1)&amp;"병원"))&gt;0,ISNUMBER(MATCH(TRIM(RIGHT(SUBSTITUTE(TRIM(H27&amp;"")," ",REPT(" ",60)),60)),코드표!$F$2:$F$101,0))),IF(RIGHT(LEFT(TRIM(H27&amp;""),FIND(" ",TRIM(H27&amp;""))-1),2)="병원",LEFT(TRIM(H27&amp;""),FIND(" ",TRIM(H27&amp;""))-1),LEFT(TRIM(H27&amp;""),FIND(" ",TRIM(H27&amp;""))-1)&amp;"병원")&amp;"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",TRIM(I27&amp;""))),COUNTIF(코드표!$A$2:$A$21,IF(RIGHT(LEFT(TRIM(I27&amp;""),FIND(" ",TRIM(I27&amp;""))-1),2)="병원",LEFT(TRIM(I27&amp;""),FIND(" ",TRIM(I27&amp;""))-1),LEFT(TRIM(I27&amp;""),FIND(" ",TRIM(I27&amp;""))-1)&amp;"병원"))&gt;0,ISNUMBER(MATCH(TRIM(RIGHT(SUBSTITUTE(TRIM(I27&amp;"")," ",REPT(" ",60)),60)),코드표!$F$2:$F$101,0))),IF(RIGHT(LEFT(TRIM(I27&amp;""),FIND(" ",TRIM(I27&amp;""))-1),2)="병원",LEFT(TRIM(I27&amp;""),FIND(" ",TRIM(I27&amp;""))-1),LEFT(TRIM(I27&amp;""),FIND(" ",TRIM(I27&amp;""))-1)&amp;"병원")&amp;"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",TRIM(J27&amp;""))),COUNTIF(코드표!$A$2:$A$21,IF(RIGHT(LEFT(TRIM(J27&amp;""),FIND(" ",TRIM(J27&amp;""))-1),2)="병원",LEFT(TRIM(J27&amp;""),FIND(" ",TRIM(J27&amp;""))-1),LEFT(TRIM(J27&amp;""),FIND(" ",TRIM(J27&amp;""))-1)&amp;"병원"))&gt;0,ISNUMBER(MATCH(TRIM(RIGHT(SUBSTITUTE(TRIM(J27&amp;"")," ",REPT(" ",60)),60)),코드표!$F$2:$F$101,0))),IF(RIGHT(LEFT(TRIM(J27&amp;""),FIND(" ",TRIM(J27&amp;""))-1),2)="병원",LEFT(TRIM(J27&amp;""),FIND(" ",TRIM(J27&amp;""))-1),LEFT(TRIM(J27&amp;""),FIND(" ",TRIM(J27&amp;""))-1)&amp;"병원")&amp;"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",TRIM(E28&amp;""))),COUNTIF(코드표!$A$2:$A$21,IF(RIGHT(LEFT(TRIM(E28&amp;""),FIND(" ",TRIM(E28&amp;""))-1),2)="병원",LEFT(TRIM(E28&amp;""),FIND(" ",TRIM(E28&amp;""))-1),LEFT(TRIM(E28&amp;""),FIND(" ",TRIM(E28&amp;""))-1)&amp;"병원"))&gt;0,ISNUMBER(MATCH(TRIM(RIGHT(SUBSTITUTE(TRIM(E28&amp;"")," ",REPT(" ",60)),60)),코드표!$F$2:$F$101,0))),IF(RIGHT(LEFT(TRIM(E28&amp;""),FIND(" ",TRIM(E28&amp;""))-1),2)="병원",LEFT(TRIM(E28&amp;""),FIND(" ",TRIM(E28&amp;""))-1),LEFT(TRIM(E28&amp;""),FIND(" ",TRIM(E28&amp;""))-1)&amp;"병원")&amp;"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",TRIM(F28&amp;""))),COUNTIF(코드표!$A$2:$A$21,IF(RIGHT(LEFT(TRIM(F28&amp;""),FIND(" ",TRIM(F28&amp;""))-1),2)="병원",LEFT(TRIM(F28&amp;""),FIND(" ",TRIM(F28&amp;""))-1),LEFT(TRIM(F28&amp;""),FIND(" ",TRIM(F28&amp;""))-1)&amp;"병원"))&gt;0,ISNUMBER(MATCH(TRIM(RIGHT(SUBSTITUTE(TRIM(F28&amp;"")," ",REPT(" ",60)),60)),코드표!$F$2:$F$101,0))),IF(RIGHT(LEFT(TRIM(F28&amp;""),FIND(" ",TRIM(F28&amp;""))-1),2)="병원",LEFT(TRIM(F28&amp;""),FIND(" ",TRIM(F28&amp;""))-1),LEFT(TRIM(F28&amp;""),FIND(" ",TRIM(F28&amp;""))-1)&amp;"병원")&amp;"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",TRIM(G28&amp;""))),COUNTIF(코드표!$A$2:$A$21,IF(RIGHT(LEFT(TRIM(G28&amp;""),FIND(" ",TRIM(G28&amp;""))-1),2)="병원",LEFT(TRIM(G28&amp;""),FIND(" ",TRIM(G28&amp;""))-1),LEFT(TRIM(G28&amp;""),FIND(" ",TRIM(G28&amp;""))-1)&amp;"병원"))&gt;0,ISNUMBER(MATCH(TRIM(RIGHT(SUBSTITUTE(TRIM(G28&amp;"")," ",REPT(" ",60)),60)),코드표!$F$2:$F$101,0))),IF(RIGHT(LEFT(TRIM(G28&amp;""),FIND(" ",TRIM(G28&amp;""))-1),2)="병원",LEFT(TRIM(G28&amp;""),FIND(" ",TRIM(G28&amp;""))-1),LEFT(TRIM(G28&amp;""),FIND(" ",TRIM(G28&amp;""))-1)&amp;"병원")&amp;"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",TRIM(H28&amp;""))),COUNTIF(코드표!$A$2:$A$21,IF(RIGHT(LEFT(TRIM(H28&amp;""),FIND(" ",TRIM(H28&amp;""))-1),2)="병원",LEFT(TRIM(H28&amp;""),FIND(" ",TRIM(H28&amp;""))-1),LEFT(TRIM(H28&amp;""),FIND(" ",TRIM(H28&amp;""))-1)&amp;"병원"))&gt;0,ISNUMBER(MATCH(TRIM(RIGHT(SUBSTITUTE(TRIM(H28&amp;"")," ",REPT(" ",60)),60)),코드표!$F$2:$F$101,0))),IF(RIGHT(LEFT(TRIM(H28&amp;""),FIND(" ",TRIM(H28&amp;""))-1),2)="병원",LEFT(TRIM(H28&amp;""),FIND(" ",TRIM(H28&amp;""))-1),LEFT(TRIM(H28&amp;""),FIND(" ",TRIM(H28&amp;""))-1)&amp;"병원")&amp;"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",TRIM(I28&amp;""))),COUNTIF(코드표!$A$2:$A$21,IF(RIGHT(LEFT(TRIM(I28&amp;""),FIND(" ",TRIM(I28&amp;""))-1),2)="병원",LEFT(TRIM(I28&amp;""),FIND(" ",TRIM(I28&amp;""))-1),LEFT(TRIM(I28&amp;""),FIND(" ",TRIM(I28&amp;""))-1)&amp;"병원"))&gt;0,ISNUMBER(MATCH(TRIM(RIGHT(SUBSTITUTE(TRIM(I28&amp;"")," ",REPT(" ",60)),60)),코드표!$F$2:$F$101,0))),IF(RIGHT(LEFT(TRIM(I28&amp;""),FIND(" ",TRIM(I28&amp;""))-1),2)="병원",LEFT(TRIM(I28&amp;""),FIND(" ",TRIM(I28&amp;""))-1),LEFT(TRIM(I28&amp;""),FIND(" ",TRIM(I28&amp;""))-1)&amp;"병원")&amp;"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",TRIM(J28&amp;""))),COUNTIF(코드표!$A$2:$A$21,IF(RIGHT(LEFT(TRIM(J28&amp;""),FIND(" ",TRIM(J28&amp;""))-1),2)="병원",LEFT(TRIM(J28&amp;""),FIND(" ",TRIM(J28&amp;""))-1),LEFT(TRIM(J28&amp;""),FIND(" ",TRIM(J28&amp;""))-1)&amp;"병원"))&gt;0,ISNUMBER(MATCH(TRIM(RIGHT(SUBSTITUTE(TRIM(J28&amp;"")," ",REPT(" ",60)),60)),코드표!$F$2:$F$101,0))),IF(RIGHT(LEFT(TRIM(J28&amp;""),FIND(" ",TRIM(J28&amp;""))-1),2)="병원",LEFT(TRIM(J28&amp;""),FIND(" ",TRIM(J28&amp;""))-1),LEFT(TRIM(J28&amp;""),FIND(" ",TRIM(J28&amp;""))-1)&amp;"병원")&amp;"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",TRIM(E29&amp;""))),COUNTIF(코드표!$A$2:$A$21,IF(RIGHT(LEFT(TRIM(E29&amp;""),FIND(" ",TRIM(E29&amp;""))-1),2)="병원",LEFT(TRIM(E29&amp;""),FIND(" ",TRIM(E29&amp;""))-1),LEFT(TRIM(E29&amp;""),FIND(" ",TRIM(E29&amp;""))-1)&amp;"병원"))&gt;0,ISNUMBER(MATCH(TRIM(RIGHT(SUBSTITUTE(TRIM(E29&amp;"")," ",REPT(" ",60)),60)),코드표!$F$2:$F$101,0))),IF(RIGHT(LEFT(TRIM(E29&amp;""),FIND(" ",TRIM(E29&amp;""))-1),2)="병원",LEFT(TRIM(E29&amp;""),FIND(" ",TRIM(E29&amp;""))-1),LEFT(TRIM(E29&amp;""),FIND(" ",TRIM(E29&amp;""))-1)&amp;"병원")&amp;"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",TRIM(F29&amp;""))),COUNTIF(코드표!$A$2:$A$21,IF(RIGHT(LEFT(TRIM(F29&amp;""),FIND(" ",TRIM(F29&amp;""))-1),2)="병원",LEFT(TRIM(F29&amp;""),FIND(" ",TRIM(F29&amp;""))-1),LEFT(TRIM(F29&amp;""),FIND(" ",TRIM(F29&amp;""))-1)&amp;"병원"))&gt;0,ISNUMBER(MATCH(TRIM(RIGHT(SUBSTITUTE(TRIM(F29&amp;"")," ",REPT(" ",60)),60)),코드표!$F$2:$F$101,0))),IF(RIGHT(LEFT(TRIM(F29&amp;""),FIND(" ",TRIM(F29&amp;""))-1),2)="병원",LEFT(TRIM(F29&amp;""),FIND(" ",TRIM(F29&amp;""))-1),LEFT(TRIM(F29&amp;""),FIND(" ",TRIM(F29&amp;""))-1)&amp;"병원")&amp;"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",TRIM(G29&amp;""))),COUNTIF(코드표!$A$2:$A$21,IF(RIGHT(LEFT(TRIM(G29&amp;""),FIND(" ",TRIM(G29&amp;""))-1),2)="병원",LEFT(TRIM(G29&amp;""),FIND(" ",TRIM(G29&amp;""))-1),LEFT(TRIM(G29&amp;""),FIND(" ",TRIM(G29&amp;""))-1)&amp;"병원"))&gt;0,ISNUMBER(MATCH(TRIM(RIGHT(SUBSTITUTE(TRIM(G29&amp;"")," ",REPT(" ",60)),60)),코드표!$F$2:$F$101,0))),IF(RIGHT(LEFT(TRIM(G29&amp;""),FIND(" ",TRIM(G29&amp;""))-1),2)="병원",LEFT(TRIM(G29&amp;""),FIND(" ",TRIM(G29&amp;""))-1),LEFT(TRIM(G29&amp;""),FIND(" ",TRIM(G29&amp;""))-1)&amp;"병원")&amp;"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",TRIM(H29&amp;""))),COUNTIF(코드표!$A$2:$A$21,IF(RIGHT(LEFT(TRIM(H29&amp;""),FIND(" ",TRIM(H29&amp;""))-1),2)="병원",LEFT(TRIM(H29&amp;""),FIND(" ",TRIM(H29&amp;""))-1),LEFT(TRIM(H29&amp;""),FIND(" ",TRIM(H29&amp;""))-1)&amp;"병원"))&gt;0,ISNUMBER(MATCH(TRIM(RIGHT(SUBSTITUTE(TRIM(H29&amp;"")," ",REPT(" ",60)),60)),코드표!$F$2:$F$101,0))),IF(RIGHT(LEFT(TRIM(H29&amp;""),FIND(" ",TRIM(H29&amp;""))-1),2)="병원",LEFT(TRIM(H29&amp;""),FIND(" ",TRIM(H29&amp;""))-1),LEFT(TRIM(H29&amp;""),FIND(" ",TRIM(H29&amp;""))-1)&amp;"병원")&amp;"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",TRIM(I29&amp;""))),COUNTIF(코드표!$A$2:$A$21,IF(RIGHT(LEFT(TRIM(I29&amp;""),FIND(" ",TRIM(I29&amp;""))-1),2)="병원",LEFT(TRIM(I29&amp;""),FIND(" ",TRIM(I29&amp;""))-1),LEFT(TRIM(I29&amp;""),FIND(" ",TRIM(I29&amp;""))-1)&amp;"병원"))&gt;0,ISNUMBER(MATCH(TRIM(RIGHT(SUBSTITUTE(TRIM(I29&amp;"")," ",REPT(" ",60)),60)),코드표!$F$2:$F$101,0))),IF(RIGHT(LEFT(TRIM(I29&amp;""),FIND(" ",TRIM(I29&amp;""))-1),2)="병원",LEFT(TRIM(I29&amp;""),FIND(" ",TRIM(I29&amp;""))-1),LEFT(TRIM(I29&amp;""),FIND(" ",TRIM(I29&amp;""))-1)&amp;"병원")&amp;"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",TRIM(J29&amp;""))),COUNTIF(코드표!$A$2:$A$21,IF(RIGHT(LEFT(TRIM(J29&amp;""),FIND(" ",TRIM(J29&amp;""))-1),2)="병원",LEFT(TRIM(J29&amp;""),FIND(" ",TRIM(J29&amp;""))-1),LEFT(TRIM(J29&amp;""),FIND(" ",TRIM(J29&amp;""))-1)&amp;"병원"))&gt;0,ISNUMBER(MATCH(TRIM(RIGHT(SUBSTITUTE(TRIM(J29&amp;"")," ",REPT(" ",60)),60)),코드표!$F$2:$F$101,0))),IF(RIGHT(LEFT(TRIM(J29&amp;""),FIND(" ",TRIM(J29&amp;""))-1),2)="병원",LEFT(TRIM(J29&amp;""),FIND(" ",TRIM(J29&amp;""))-1),LEFT(TRIM(J29&amp;""),FIND(" ",TRIM(J29&amp;""))-1)&amp;"병원")&amp;"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",TRIM(E30&amp;""))),COUNTIF(코드표!$A$2:$A$21,IF(RIGHT(LEFT(TRIM(E30&amp;""),FIND(" ",TRIM(E30&amp;""))-1),2)="병원",LEFT(TRIM(E30&amp;""),FIND(" ",TRIM(E30&amp;""))-1),LEFT(TRIM(E30&amp;""),FIND(" ",TRIM(E30&amp;""))-1)&amp;"병원"))&gt;0,ISNUMBER(MATCH(TRIM(RIGHT(SUBSTITUTE(TRIM(E30&amp;"")," ",REPT(" ",60)),60)),코드표!$F$2:$F$101,0))),IF(RIGHT(LEFT(TRIM(E30&amp;""),FIND(" ",TRIM(E30&amp;""))-1),2)="병원",LEFT(TRIM(E30&amp;""),FIND(" ",TRIM(E30&amp;""))-1),LEFT(TRIM(E30&amp;""),FIND(" ",TRIM(E30&amp;""))-1)&amp;"병원")&amp;"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",TRIM(F30&amp;""))),COUNTIF(코드표!$A$2:$A$21,IF(RIGHT(LEFT(TRIM(F30&amp;""),FIND(" ",TRIM(F30&amp;""))-1),2)="병원",LEFT(TRIM(F30&amp;""),FIND(" ",TRIM(F30&amp;""))-1),LEFT(TRIM(F30&amp;""),FIND(" ",TRIM(F30&amp;""))-1)&amp;"병원"))&gt;0,ISNUMBER(MATCH(TRIM(RIGHT(SUBSTITUTE(TRIM(F30&amp;"")," ",REPT(" ",60)),60)),코드표!$F$2:$F$101,0))),IF(RIGHT(LEFT(TRIM(F30&amp;""),FIND(" ",TRIM(F30&amp;""))-1),2)="병원",LEFT(TRIM(F30&amp;""),FIND(" ",TRIM(F30&amp;""))-1),LEFT(TRIM(F30&amp;""),FIND(" ",TRIM(F30&amp;""))-1)&amp;"병원")&amp;"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",TRIM(G30&amp;""))),COUNTIF(코드표!$A$2:$A$21,IF(RIGHT(LEFT(TRIM(G30&amp;""),FIND(" ",TRIM(G30&amp;""))-1),2)="병원",LEFT(TRIM(G30&amp;""),FIND(" ",TRIM(G30&amp;""))-1),LEFT(TRIM(G30&amp;""),FIND(" ",TRIM(G30&amp;""))-1)&amp;"병원"))&gt;0,ISNUMBER(MATCH(TRIM(RIGHT(SUBSTITUTE(TRIM(G30&amp;"")," ",REPT(" ",60)),60)),코드표!$F$2:$F$101,0))),IF(RIGHT(LEFT(TRIM(G30&amp;""),FIND(" ",TRIM(G30&amp;""))-1),2)="병원",LEFT(TRIM(G30&amp;""),FIND(" ",TRIM(G30&amp;""))-1),LEFT(TRIM(G30&amp;""),FIND(" ",TRIM(G30&amp;""))-1)&amp;"병원")&amp;"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",TRIM(H30&amp;""))),COUNTIF(코드표!$A$2:$A$21,IF(RIGHT(LEFT(TRIM(H30&amp;""),FIND(" ",TRIM(H30&amp;""))-1),2)="병원",LEFT(TRIM(H30&amp;""),FIND(" ",TRIM(H30&amp;""))-1),LEFT(TRIM(H30&amp;""),FIND(" ",TRIM(H30&amp;""))-1)&amp;"병원"))&gt;0,ISNUMBER(MATCH(TRIM(RIGHT(SUBSTITUTE(TRIM(H30&amp;"")," ",REPT(" ",60)),60)),코드표!$F$2:$F$101,0))),IF(RIGHT(LEFT(TRIM(H30&amp;""),FIND(" ",TRIM(H30&amp;""))-1),2)="병원",LEFT(TRIM(H30&amp;""),FIND(" ",TRIM(H30&amp;""))-1),LEFT(TRIM(H30&amp;""),FIND(" ",TRIM(H30&amp;""))-1)&amp;"병원")&amp;"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",TRIM(I30&amp;""))),COUNTIF(코드표!$A$2:$A$21,IF(RIGHT(LEFT(TRIM(I30&amp;""),FIND(" ",TRIM(I30&amp;""))-1),2)="병원",LEFT(TRIM(I30&amp;""),FIND(" ",TRIM(I30&amp;""))-1),LEFT(TRIM(I30&amp;""),FIND(" ",TRIM(I30&amp;""))-1)&amp;"병원"))&gt;0,ISNUMBER(MATCH(TRIM(RIGHT(SUBSTITUTE(TRIM(I30&amp;"")," ",REPT(" ",60)),60)),코드표!$F$2:$F$101,0))),IF(RIGHT(LEFT(TRIM(I30&amp;""),FIND(" ",TRIM(I30&amp;""))-1),2)="병원",LEFT(TRIM(I30&amp;""),FIND(" ",TRIM(I30&amp;""))-1),LEFT(TRIM(I30&amp;""),FIND(" ",TRIM(I30&amp;""))-1)&amp;"병원")&amp;"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",TRIM(J30&amp;""))),COUNTIF(코드표!$A$2:$A$21,IF(RIGHT(LEFT(TRIM(J30&amp;""),FIND(" ",TRIM(J30&amp;""))-1),2)="병원",LEFT(TRIM(J30&amp;""),FIND(" ",TRIM(J30&amp;""))-1),LEFT(TRIM(J30&amp;""),FIND(" ",TRIM(J30&amp;""))-1)&amp;"병원"))&gt;0,ISNUMBER(MATCH(TRIM(RIGHT(SUBSTITUTE(TRIM(J30&amp;"")," ",REPT(" ",60)),60)),코드표!$F$2:$F$101,0))),IF(RIGHT(LEFT(TRIM(J30&amp;""),FIND(" ",TRIM(J30&amp;""))-1),2)="병원",LEFT(TRIM(J30&amp;""),FIND(" ",TRIM(J30&amp;""))-1),LEFT(TRIM(J30&amp;""),FIND(" ",TRIM(J30&amp;""))-1)&amp;"병원")&amp;"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",TRIM(E31&amp;""))),COUNTIF(코드표!$A$2:$A$21,IF(RIGHT(LEFT(TRIM(E31&amp;""),FIND(" ",TRIM(E31&amp;""))-1),2)="병원",LEFT(TRIM(E31&amp;""),FIND(" ",TRIM(E31&amp;""))-1),LEFT(TRIM(E31&amp;""),FIND(" ",TRIM(E31&amp;""))-1)&amp;"병원"))&gt;0,ISNUMBER(MATCH(TRIM(RIGHT(SUBSTITUTE(TRIM(E31&amp;"")," ",REPT(" ",60)),60)),코드표!$F$2:$F$101,0))),IF(RIGHT(LEFT(TRIM(E31&amp;""),FIND(" ",TRIM(E31&amp;""))-1),2)="병원",LEFT(TRIM(E31&amp;""),FIND(" ",TRIM(E31&amp;""))-1),LEFT(TRIM(E31&amp;""),FIND(" ",TRIM(E31&amp;""))-1)&amp;"병원")&amp;"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",TRIM(F31&amp;""))),COUNTIF(코드표!$A$2:$A$21,IF(RIGHT(LEFT(TRIM(F31&amp;""),FIND(" ",TRIM(F31&amp;""))-1),2)="병원",LEFT(TRIM(F31&amp;""),FIND(" ",TRIM(F31&amp;""))-1),LEFT(TRIM(F31&amp;""),FIND(" ",TRIM(F31&amp;""))-1)&amp;"병원"))&gt;0,ISNUMBER(MATCH(TRIM(RIGHT(SUBSTITUTE(TRIM(F31&amp;"")," ",REPT(" ",60)),60)),코드표!$F$2:$F$101,0))),IF(RIGHT(LEFT(TRIM(F31&amp;""),FIND(" ",TRIM(F31&amp;""))-1),2)="병원",LEFT(TRIM(F31&amp;""),FIND(" ",TRIM(F31&amp;""))-1),LEFT(TRIM(F31&amp;""),FIND(" ",TRIM(F31&amp;""))-1)&amp;"병원")&amp;"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",TRIM(G31&amp;""))),COUNTIF(코드표!$A$2:$A$21,IF(RIGHT(LEFT(TRIM(G31&amp;""),FIND(" ",TRIM(G31&amp;""))-1),2)="병원",LEFT(TRIM(G31&amp;""),FIND(" ",TRIM(G31&amp;""))-1),LEFT(TRIM(G31&amp;""),FIND(" ",TRIM(G31&amp;""))-1)&amp;"병원"))&gt;0,ISNUMBER(MATCH(TRIM(RIGHT(SUBSTITUTE(TRIM(G31&amp;"")," ",REPT(" ",60)),60)),코드표!$F$2:$F$101,0))),IF(RIGHT(LEFT(TRIM(G31&amp;""),FIND(" ",TRIM(G31&amp;""))-1),2)="병원",LEFT(TRIM(G31&amp;""),FIND(" ",TRIM(G31&amp;""))-1),LEFT(TRIM(G31&amp;""),FIND(" ",TRIM(G31&amp;""))-1)&amp;"병원")&amp;"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",TRIM(H31&amp;""))),COUNTIF(코드표!$A$2:$A$21,IF(RIGHT(LEFT(TRIM(H31&amp;""),FIND(" ",TRIM(H31&amp;""))-1),2)="병원",LEFT(TRIM(H31&amp;""),FIND(" ",TRIM(H31&amp;""))-1),LEFT(TRIM(H31&amp;""),FIND(" ",TRIM(H31&amp;""))-1)&amp;"병원"))&gt;0,ISNUMBER(MATCH(TRIM(RIGHT(SUBSTITUTE(TRIM(H31&amp;"")," ",REPT(" ",60)),60)),코드표!$F$2:$F$101,0))),IF(RIGHT(LEFT(TRIM(H31&amp;""),FIND(" ",TRIM(H31&amp;""))-1),2)="병원",LEFT(TRIM(H31&amp;""),FIND(" ",TRIM(H31&amp;""))-1),LEFT(TRIM(H31&amp;""),FIND(" ",TRIM(H31&amp;""))-1)&amp;"병원")&amp;"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",TRIM(I31&amp;""))),COUNTIF(코드표!$A$2:$A$21,IF(RIGHT(LEFT(TRIM(I31&amp;""),FIND(" ",TRIM(I31&amp;""))-1),2)="병원",LEFT(TRIM(I31&amp;""),FIND(" ",TRIM(I31&amp;""))-1),LEFT(TRIM(I31&amp;""),FIND(" ",TRIM(I31&amp;""))-1)&amp;"병원"))&gt;0,ISNUMBER(MATCH(TRIM(RIGHT(SUBSTITUTE(TRIM(I31&amp;"")," ",REPT(" ",60)),60)),코드표!$F$2:$F$101,0))),IF(RIGHT(LEFT(TRIM(I31&amp;""),FIND(" ",TRIM(I31&amp;""))-1),2)="병원",LEFT(TRIM(I31&amp;""),FIND(" ",TRIM(I31&amp;""))-1),LEFT(TRIM(I31&amp;""),FIND(" ",TRIM(I31&amp;""))-1)&amp;"병원")&amp;"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",TRIM(J31&amp;""))),COUNTIF(코드표!$A$2:$A$21,IF(RIGHT(LEFT(TRIM(J31&amp;""),FIND(" ",TRIM(J31&amp;""))-1),2)="병원",LEFT(TRIM(J31&amp;""),FIND(" ",TRIM(J31&amp;""))-1),LEFT(TRIM(J31&amp;""),FIND(" ",TRIM(J31&amp;""))-1)&amp;"병원"))&gt;0,ISNUMBER(MATCH(TRIM(RIGHT(SUBSTITUTE(TRIM(J31&amp;"")," ",REPT(" ",60)),60)),코드표!$F$2:$F$101,0))),IF(RIGHT(LEFT(TRIM(J31&amp;""),FIND(" ",TRIM(J31&amp;""))-1),2)="병원",LEFT(TRIM(J31&amp;""),FIND(" ",TRIM(J31&amp;""))-1),LEFT(TRIM(J31&amp;""),FIND(" ",TRIM(J31&amp;""))-1)&amp;"병원")&amp;"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",TRIM(E32&amp;""))),COUNTIF(코드표!$A$2:$A$21,IF(RIGHT(LEFT(TRIM(E32&amp;""),FIND(" ",TRIM(E32&amp;""))-1),2)="병원",LEFT(TRIM(E32&amp;""),FIND(" ",TRIM(E32&amp;""))-1),LEFT(TRIM(E32&amp;""),FIND(" ",TRIM(E32&amp;""))-1)&amp;"병원"))&gt;0,ISNUMBER(MATCH(TRIM(RIGHT(SUBSTITUTE(TRIM(E32&amp;"")," ",REPT(" ",60)),60)),코드표!$F$2:$F$101,0))),IF(RIGHT(LEFT(TRIM(E32&amp;""),FIND(" ",TRIM(E32&amp;""))-1),2)="병원",LEFT(TRIM(E32&amp;""),FIND(" ",TRIM(E32&amp;""))-1),LEFT(TRIM(E32&amp;""),FIND(" ",TRIM(E32&amp;""))-1)&amp;"병원")&amp;"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",TRIM(F32&amp;""))),COUNTIF(코드표!$A$2:$A$21,IF(RIGHT(LEFT(TRIM(F32&amp;""),FIND(" ",TRIM(F32&amp;""))-1),2)="병원",LEFT(TRIM(F32&amp;""),FIND(" ",TRIM(F32&amp;""))-1),LEFT(TRIM(F32&amp;""),FIND(" ",TRIM(F32&amp;""))-1)&amp;"병원"))&gt;0,ISNUMBER(MATCH(TRIM(RIGHT(SUBSTITUTE(TRIM(F32&amp;"")," ",REPT(" ",60)),60)),코드표!$F$2:$F$101,0))),IF(RIGHT(LEFT(TRIM(F32&amp;""),FIND(" ",TRIM(F32&amp;""))-1),2)="병원",LEFT(TRIM(F32&amp;""),FIND(" ",TRIM(F32&amp;""))-1),LEFT(TRIM(F32&amp;""),FIND(" ",TRIM(F32&amp;""))-1)&amp;"병원")&amp;"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",TRIM(G32&amp;""))),COUNTIF(코드표!$A$2:$A$21,IF(RIGHT(LEFT(TRIM(G32&amp;""),FIND(" ",TRIM(G32&amp;""))-1),2)="병원",LEFT(TRIM(G32&amp;""),FIND(" ",TRIM(G32&amp;""))-1),LEFT(TRIM(G32&amp;""),FIND(" ",TRIM(G32&amp;""))-1)&amp;"병원"))&gt;0,ISNUMBER(MATCH(TRIM(RIGHT(SUBSTITUTE(TRIM(G32&amp;"")," ",REPT(" ",60)),60)),코드표!$F$2:$F$101,0))),IF(RIGHT(LEFT(TRIM(G32&amp;""),FIND(" ",TRIM(G32&amp;""))-1),2)="병원",LEFT(TRIM(G32&amp;""),FIND(" ",TRIM(G32&amp;""))-1),LEFT(TRIM(G32&amp;""),FIND(" ",TRIM(G32&amp;""))-1)&amp;"병원")&amp;"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",TRIM(H32&amp;""))),COUNTIF(코드표!$A$2:$A$21,IF(RIGHT(LEFT(TRIM(H32&amp;""),FIND(" ",TRIM(H32&amp;""))-1),2)="병원",LEFT(TRIM(H32&amp;""),FIND(" ",TRIM(H32&amp;""))-1),LEFT(TRIM(H32&amp;""),FIND(" ",TRIM(H32&amp;""))-1)&amp;"병원"))&gt;0,ISNUMBER(MATCH(TRIM(RIGHT(SUBSTITUTE(TRIM(H32&amp;"")," ",REPT(" ",60)),60)),코드표!$F$2:$F$101,0))),IF(RIGHT(LEFT(TRIM(H32&amp;""),FIND(" ",TRIM(H32&amp;""))-1),2)="병원",LEFT(TRIM(H32&amp;""),FIND(" ",TRIM(H32&amp;""))-1),LEFT(TRIM(H32&amp;""),FIND(" ",TRIM(H32&amp;""))-1)&amp;"병원")&amp;"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",TRIM(I32&amp;""))),COUNTIF(코드표!$A$2:$A$21,IF(RIGHT(LEFT(TRIM(I32&amp;""),FIND(" ",TRIM(I32&amp;""))-1),2)="병원",LEFT(TRIM(I32&amp;""),FIND(" ",TRIM(I32&amp;""))-1),LEFT(TRIM(I32&amp;""),FIND(" ",TRIM(I32&amp;""))-1)&amp;"병원"))&gt;0,ISNUMBER(MATCH(TRIM(RIGHT(SUBSTITUTE(TRIM(I32&amp;"")," ",REPT(" ",60)),60)),코드표!$F$2:$F$101,0))),IF(RIGHT(LEFT(TRIM(I32&amp;""),FIND(" ",TRIM(I32&amp;""))-1),2)="병원",LEFT(TRIM(I32&amp;""),FIND(" ",TRIM(I32&amp;""))-1),LEFT(TRIM(I32&amp;""),FIND(" ",TRIM(I32&amp;""))-1)&amp;"병원")&amp;"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",TRIM(J32&amp;""))),COUNTIF(코드표!$A$2:$A$21,IF(RIGHT(LEFT(TRIM(J32&amp;""),FIND(" ",TRIM(J32&amp;""))-1),2)="병원",LEFT(TRIM(J32&amp;""),FIND(" ",TRIM(J32&amp;""))-1),LEFT(TRIM(J32&amp;""),FIND(" ",TRIM(J32&amp;""))-1)&amp;"병원"))&gt;0,ISNUMBER(MATCH(TRIM(RIGHT(SUBSTITUTE(TRIM(J32&amp;"")," ",REPT(" ",60)),60)),코드표!$F$2:$F$101,0))),IF(RIGHT(LEFT(TRIM(J32&amp;""),FIND(" ",TRIM(J32&amp;""))-1),2)="병원",LEFT(TRIM(J32&amp;""),FIND(" ",TRIM(J32&amp;""))-1),LEFT(TRIM(J32&amp;""),FIND(" ",TRIM(J32&amp;""))-1)&amp;"병원")&amp;"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",TRIM(E33&amp;""))),COUNTIF(코드표!$A$2:$A$21,IF(RIGHT(LEFT(TRIM(E33&amp;""),FIND(" ",TRIM(E33&amp;""))-1),2)="병원",LEFT(TRIM(E33&amp;""),FIND(" ",TRIM(E33&amp;""))-1),LEFT(TRIM(E33&amp;""),FIND(" ",TRIM(E33&amp;""))-1)&amp;"병원"))&gt;0,ISNUMBER(MATCH(TRIM(RIGHT(SUBSTITUTE(TRIM(E33&amp;"")," ",REPT(" ",60)),60)),코드표!$F$2:$F$101,0))),IF(RIGHT(LEFT(TRIM(E33&amp;""),FIND(" ",TRIM(E33&amp;""))-1),2)="병원",LEFT(TRIM(E33&amp;""),FIND(" ",TRIM(E33&amp;""))-1),LEFT(TRIM(E33&amp;""),FIND(" ",TRIM(E33&amp;""))-1)&amp;"병원")&amp;"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",TRIM(F33&amp;""))),COUNTIF(코드표!$A$2:$A$21,IF(RIGHT(LEFT(TRIM(F33&amp;""),FIND(" ",TRIM(F33&amp;""))-1),2)="병원",LEFT(TRIM(F33&amp;""),FIND(" ",TRIM(F33&amp;""))-1),LEFT(TRIM(F33&amp;""),FIND(" ",TRIM(F33&amp;""))-1)&amp;"병원"))&gt;0,ISNUMBER(MATCH(TRIM(RIGHT(SUBSTITUTE(TRIM(F33&amp;"")," ",REPT(" ",60)),60)),코드표!$F$2:$F$101,0))),IF(RIGHT(LEFT(TRIM(F33&amp;""),FIND(" ",TRIM(F33&amp;""))-1),2)="병원",LEFT(TRIM(F33&amp;""),FIND(" ",TRIM(F33&amp;""))-1),LEFT(TRIM(F33&amp;""),FIND(" ",TRIM(F33&amp;""))-1)&amp;"병원")&amp;"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",TRIM(G33&amp;""))),COUNTIF(코드표!$A$2:$A$21,IF(RIGHT(LEFT(TRIM(G33&amp;""),FIND(" ",TRIM(G33&amp;""))-1),2)="병원",LEFT(TRIM(G33&amp;""),FIND(" ",TRIM(G33&amp;""))-1),LEFT(TRIM(G33&amp;""),FIND(" ",TRIM(G33&amp;""))-1)&amp;"병원"))&gt;0,ISNUMBER(MATCH(TRIM(RIGHT(SUBSTITUTE(TRIM(G33&amp;"")," ",REPT(" ",60)),60)),코드표!$F$2:$F$101,0))),IF(RIGHT(LEFT(TRIM(G33&amp;""),FIND(" ",TRIM(G33&amp;""))-1),2)="병원",LEFT(TRIM(G33&amp;""),FIND(" ",TRIM(G33&amp;""))-1),LEFT(TRIM(G33&amp;""),FIND(" ",TRIM(G33&amp;""))-1)&amp;"병원")&amp;"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",TRIM(H33&amp;""))),COUNTIF(코드표!$A$2:$A$21,IF(RIGHT(LEFT(TRIM(H33&amp;""),FIND(" ",TRIM(H33&amp;""))-1),2)="병원",LEFT(TRIM(H33&amp;""),FIND(" ",TRIM(H33&amp;""))-1),LEFT(TRIM(H33&amp;""),FIND(" ",TRIM(H33&amp;""))-1)&amp;"병원"))&gt;0,ISNUMBER(MATCH(TRIM(RIGHT(SUBSTITUTE(TRIM(H33&amp;"")," ",REPT(" ",60)),60)),코드표!$F$2:$F$101,0))),IF(RIGHT(LEFT(TRIM(H33&amp;""),FIND(" ",TRIM(H33&amp;""))-1),2)="병원",LEFT(TRIM(H33&amp;""),FIND(" ",TRIM(H33&amp;""))-1),LEFT(TRIM(H33&amp;""),FIND(" ",TRIM(H33&amp;""))-1)&amp;"병원")&amp;"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",TRIM(I33&amp;""))),COUNTIF(코드표!$A$2:$A$21,IF(RIGHT(LEFT(TRIM(I33&amp;""),FIND(" ",TRIM(I33&amp;""))-1),2)="병원",LEFT(TRIM(I33&amp;""),FIND(" ",TRIM(I33&amp;""))-1),LEFT(TRIM(I33&amp;""),FIND(" ",TRIM(I33&amp;""))-1)&amp;"병원"))&gt;0,ISNUMBER(MATCH(TRIM(RIGHT(SUBSTITUTE(TRIM(I33&amp;"")," ",REPT(" ",60)),60)),코드표!$F$2:$F$101,0))),IF(RIGHT(LEFT(TRIM(I33&amp;""),FIND(" ",TRIM(I33&amp;""))-1),2)="병원",LEFT(TRIM(I33&amp;""),FIND(" ",TRIM(I33&amp;""))-1),LEFT(TRIM(I33&amp;""),FIND(" ",TRIM(I33&amp;""))-1)&amp;"병원")&amp;"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",TRIM(J33&amp;""))),COUNTIF(코드표!$A$2:$A$21,IF(RIGHT(LEFT(TRIM(J33&amp;""),FIND(" ",TRIM(J33&amp;""))-1),2)="병원",LEFT(TRIM(J33&amp;""),FIND(" ",TRIM(J33&amp;""))-1),LEFT(TRIM(J33&amp;""),FIND(" ",TRIM(J33&amp;""))-1)&amp;"병원"))&gt;0,ISNUMBER(MATCH(TRIM(RIGHT(SUBSTITUTE(TRIM(J33&amp;"")," ",REPT(" ",60)),60)),코드표!$F$2:$F$101,0))),IF(RIGHT(LEFT(TRIM(J33&amp;""),FIND(" ",TRIM(J33&amp;""))-1),2)="병원",LEFT(TRIM(J33&amp;""),FIND(" ",TRIM(J33&amp;""))-1),LEFT(TRIM(J33&amp;""),FIND(" ",TRIM(J33&amp;""))-1)&amp;"병원")&amp;"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",TRIM(E34&amp;""))),COUNTIF(코드표!$A$2:$A$21,IF(RIGHT(LEFT(TRIM(E34&amp;""),FIND(" ",TRIM(E34&amp;""))-1),2)="병원",LEFT(TRIM(E34&amp;""),FIND(" ",TRIM(E34&amp;""))-1),LEFT(TRIM(E34&amp;""),FIND(" ",TRIM(E34&amp;""))-1)&amp;"병원"))&gt;0,ISNUMBER(MATCH(TRIM(RIGHT(SUBSTITUTE(TRIM(E34&amp;"")," ",REPT(" ",60)),60)),코드표!$F$2:$F$101,0))),IF(RIGHT(LEFT(TRIM(E34&amp;""),FIND(" ",TRIM(E34&amp;""))-1),2)="병원",LEFT(TRIM(E34&amp;""),FIND(" ",TRIM(E34&amp;""))-1),LEFT(TRIM(E34&amp;""),FIND(" ",TRIM(E34&amp;""))-1)&amp;"병원")&amp;"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",TRIM(F34&amp;""))),COUNTIF(코드표!$A$2:$A$21,IF(RIGHT(LEFT(TRIM(F34&amp;""),FIND(" ",TRIM(F34&amp;""))-1),2)="병원",LEFT(TRIM(F34&amp;""),FIND(" ",TRIM(F34&amp;""))-1),LEFT(TRIM(F34&amp;""),FIND(" ",TRIM(F34&amp;""))-1)&amp;"병원"))&gt;0,ISNUMBER(MATCH(TRIM(RIGHT(SUBSTITUTE(TRIM(F34&amp;"")," ",REPT(" ",60)),60)),코드표!$F$2:$F$101,0))),IF(RIGHT(LEFT(TRIM(F34&amp;""),FIND(" ",TRIM(F34&amp;""))-1),2)="병원",LEFT(TRIM(F34&amp;""),FIND(" ",TRIM(F34&amp;""))-1),LEFT(TRIM(F34&amp;""),FIND(" ",TRIM(F34&amp;""))-1)&amp;"병원")&amp;"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",TRIM(G34&amp;""))),COUNTIF(코드표!$A$2:$A$21,IF(RIGHT(LEFT(TRIM(G34&amp;""),FIND(" ",TRIM(G34&amp;""))-1),2)="병원",LEFT(TRIM(G34&amp;""),FIND(" ",TRIM(G34&amp;""))-1),LEFT(TRIM(G34&amp;""),FIND(" ",TRIM(G34&amp;""))-1)&amp;"병원"))&gt;0,ISNUMBER(MATCH(TRIM(RIGHT(SUBSTITUTE(TRIM(G34&amp;"")," ",REPT(" ",60)),60)),코드표!$F$2:$F$101,0))),IF(RIGHT(LEFT(TRIM(G34&amp;""),FIND(" ",TRIM(G34&amp;""))-1),2)="병원",LEFT(TRIM(G34&amp;""),FIND(" ",TRIM(G34&amp;""))-1),LEFT(TRIM(G34&amp;""),FIND(" ",TRIM(G34&amp;""))-1)&amp;"병원")&amp;"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",TRIM(H34&amp;""))),COUNTIF(코드표!$A$2:$A$21,IF(RIGHT(LEFT(TRIM(H34&amp;""),FIND(" ",TRIM(H34&amp;""))-1),2)="병원",LEFT(TRIM(H34&amp;""),FIND(" ",TRIM(H34&amp;""))-1),LEFT(TRIM(H34&amp;""),FIND(" ",TRIM(H34&amp;""))-1)&amp;"병원"))&gt;0,ISNUMBER(MATCH(TRIM(RIGHT(SUBSTITUTE(TRIM(H34&amp;"")," ",REPT(" ",60)),60)),코드표!$F$2:$F$101,0))),IF(RIGHT(LEFT(TRIM(H34&amp;""),FIND(" ",TRIM(H34&amp;""))-1),2)="병원",LEFT(TRIM(H34&amp;""),FIND(" ",TRIM(H34&amp;""))-1),LEFT(TRIM(H34&amp;""),FIND(" ",TRIM(H34&amp;""))-1)&amp;"병원")&amp;"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",TRIM(I34&amp;""))),COUNTIF(코드표!$A$2:$A$21,IF(RIGHT(LEFT(TRIM(I34&amp;""),FIND(" ",TRIM(I34&amp;""))-1),2)="병원",LEFT(TRIM(I34&amp;""),FIND(" ",TRIM(I34&amp;""))-1),LEFT(TRIM(I34&amp;""),FIND(" ",TRIM(I34&amp;""))-1)&amp;"병원"))&gt;0,ISNUMBER(MATCH(TRIM(RIGHT(SUBSTITUTE(TRIM(I34&amp;"")," ",REPT(" ",60)),60)),코드표!$F$2:$F$101,0))),IF(RIGHT(LEFT(TRIM(I34&amp;""),FIND(" ",TRIM(I34&amp;""))-1),2)="병원",LEFT(TRIM(I34&amp;""),FIND(" ",TRIM(I34&amp;""))-1),LEFT(TRIM(I34&amp;""),FIND(" ",TRIM(I34&amp;""))-1)&amp;"병원")&amp;"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",TRIM(J34&amp;""))),COUNTIF(코드표!$A$2:$A$21,IF(RIGHT(LEFT(TRIM(J34&amp;""),FIND(" ",TRIM(J34&amp;""))-1),2)="병원",LEFT(TRIM(J34&amp;""),FIND(" ",TRIM(J34&amp;""))-1),LEFT(TRIM(J34&amp;""),FIND(" ",TRIM(J34&amp;""))-1)&amp;"병원"))&gt;0,ISNUMBER(MATCH(TRIM(RIGHT(SUBSTITUTE(TRIM(J34&amp;"")," ",REPT(" ",60)),60)),코드표!$F$2:$F$101,0))),IF(RIGHT(LEFT(TRIM(J34&amp;""),FIND(" ",TRIM(J34&amp;""))-1),2)="병원",LEFT(TRIM(J34&amp;""),FIND(" ",TRIM(J34&amp;""))-1),LEFT(TRIM(J34&amp;""),FIND(" ",TRIM(J34&amp;""))-1)&amp;"병원")&amp;"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",TRIM(E35&amp;""))),COUNTIF(코드표!$A$2:$A$21,IF(RIGHT(LEFT(TRIM(E35&amp;""),FIND(" ",TRIM(E35&amp;""))-1),2)="병원",LEFT(TRIM(E35&amp;""),FIND(" ",TRIM(E35&amp;""))-1),LEFT(TRIM(E35&amp;""),FIND(" ",TRIM(E35&amp;""))-1)&amp;"병원"))&gt;0,ISNUMBER(MATCH(TRIM(RIGHT(SUBSTITUTE(TRIM(E35&amp;"")," ",REPT(" ",60)),60)),코드표!$F$2:$F$101,0))),IF(RIGHT(LEFT(TRIM(E35&amp;""),FIND(" ",TRIM(E35&amp;""))-1),2)="병원",LEFT(TRIM(E35&amp;""),FIND(" ",TRIM(E35&amp;""))-1),LEFT(TRIM(E35&amp;""),FIND(" ",TRIM(E35&amp;""))-1)&amp;"병원")&amp;"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",TRIM(F35&amp;""))),COUNTIF(코드표!$A$2:$A$21,IF(RIGHT(LEFT(TRIM(F35&amp;""),FIND(" ",TRIM(F35&amp;""))-1),2)="병원",LEFT(TRIM(F35&amp;""),FIND(" ",TRIM(F35&amp;""))-1),LEFT(TRIM(F35&amp;""),FIND(" ",TRIM(F35&amp;""))-1)&amp;"병원"))&gt;0,ISNUMBER(MATCH(TRIM(RIGHT(SUBSTITUTE(TRIM(F35&amp;"")," ",REPT(" ",60)),60)),코드표!$F$2:$F$101,0))),IF(RIGHT(LEFT(TRIM(F35&amp;""),FIND(" ",TRIM(F35&amp;""))-1),2)="병원",LEFT(TRIM(F35&amp;""),FIND(" ",TRIM(F35&amp;""))-1),LEFT(TRIM(F35&amp;""),FIND(" ",TRIM(F35&amp;""))-1)&amp;"병원")&amp;"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",TRIM(G35&amp;""))),COUNTIF(코드표!$A$2:$A$21,IF(RIGHT(LEFT(TRIM(G35&amp;""),FIND(" ",TRIM(G35&amp;""))-1),2)="병원",LEFT(TRIM(G35&amp;""),FIND(" ",TRIM(G35&amp;""))-1),LEFT(TRIM(G35&amp;""),FIND(" ",TRIM(G35&amp;""))-1)&amp;"병원"))&gt;0,ISNUMBER(MATCH(TRIM(RIGHT(SUBSTITUTE(TRIM(G35&amp;"")," ",REPT(" ",60)),60)),코드표!$F$2:$F$101,0))),IF(RIGHT(LEFT(TRIM(G35&amp;""),FIND(" ",TRIM(G35&amp;""))-1),2)="병원",LEFT(TRIM(G35&amp;""),FIND(" ",TRIM(G35&amp;""))-1),LEFT(TRIM(G35&amp;""),FIND(" ",TRIM(G35&amp;""))-1)&amp;"병원")&amp;"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",TRIM(H35&amp;""))),COUNTIF(코드표!$A$2:$A$21,IF(RIGHT(LEFT(TRIM(H35&amp;""),FIND(" ",TRIM(H35&amp;""))-1),2)="병원",LEFT(TRIM(H35&amp;""),FIND(" ",TRIM(H35&amp;""))-1),LEFT(TRIM(H35&amp;""),FIND(" ",TRIM(H35&amp;""))-1)&amp;"병원"))&gt;0,ISNUMBER(MATCH(TRIM(RIGHT(SUBSTITUTE(TRIM(H35&amp;"")," ",REPT(" ",60)),60)),코드표!$F$2:$F$101,0))),IF(RIGHT(LEFT(TRIM(H35&amp;""),FIND(" ",TRIM(H35&amp;""))-1),2)="병원",LEFT(TRIM(H35&amp;""),FIND(" ",TRIM(H35&amp;""))-1),LEFT(TRIM(H35&amp;""),FIND(" ",TRIM(H35&amp;""))-1)&amp;"병원")&amp;"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",TRIM(I35&amp;""))),COUNTIF(코드표!$A$2:$A$21,IF(RIGHT(LEFT(TRIM(I35&amp;""),FIND(" ",TRIM(I35&amp;""))-1),2)="병원",LEFT(TRIM(I35&amp;""),FIND(" ",TRIM(I35&amp;""))-1),LEFT(TRIM(I35&amp;""),FIND(" ",TRIM(I35&amp;""))-1)&amp;"병원"))&gt;0,ISNUMBER(MATCH(TRIM(RIGHT(SUBSTITUTE(TRIM(I35&amp;"")," ",REPT(" ",60)),60)),코드표!$F$2:$F$101,0))),IF(RIGHT(LEFT(TRIM(I35&amp;""),FIND(" ",TRIM(I35&amp;""))-1),2)="병원",LEFT(TRIM(I35&amp;""),FIND(" ",TRIM(I35&amp;""))-1),LEFT(TRIM(I35&amp;""),FIND(" ",TRIM(I35&amp;""))-1)&amp;"병원")&amp;"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",TRIM(J35&amp;""))),COUNTIF(코드표!$A$2:$A$21,IF(RIGHT(LEFT(TRIM(J35&amp;""),FIND(" ",TRIM(J35&amp;""))-1),2)="병원",LEFT(TRIM(J35&amp;""),FIND(" ",TRIM(J35&amp;""))-1),LEFT(TRIM(J35&amp;""),FIND(" ",TRIM(J35&amp;""))-1)&amp;"병원"))&gt;0,ISNUMBER(MATCH(TRIM(RIGHT(SUBSTITUTE(TRIM(J35&amp;"")," ",REPT(" ",60)),60)),코드표!$F$2:$F$101,0))),IF(RIGHT(LEFT(TRIM(J35&amp;""),FIND(" ",TRIM(J35&amp;""))-1),2)="병원",LEFT(TRIM(J35&amp;""),FIND(" ",TRIM(J35&amp;""))-1),LEFT(TRIM(J35&amp;""),FIND(" ",TRIM(J35&amp;""))-1)&amp;"병원")&amp;"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",TRIM(E36&amp;""))),COUNTIF(코드표!$A$2:$A$21,IF(RIGHT(LEFT(TRIM(E36&amp;""),FIND(" ",TRIM(E36&amp;""))-1),2)="병원",LEFT(TRIM(E36&amp;""),FIND(" ",TRIM(E36&amp;""))-1),LEFT(TRIM(E36&amp;""),FIND(" ",TRIM(E36&amp;""))-1)&amp;"병원"))&gt;0,ISNUMBER(MATCH(TRIM(RIGHT(SUBSTITUTE(TRIM(E36&amp;"")," ",REPT(" ",60)),60)),코드표!$F$2:$F$101,0))),IF(RIGHT(LEFT(TRIM(E36&amp;""),FIND(" ",TRIM(E36&amp;""))-1),2)="병원",LEFT(TRIM(E36&amp;""),FIND(" ",TRIM(E36&amp;""))-1),LEFT(TRIM(E36&amp;""),FIND(" ",TRIM(E36&amp;""))-1)&amp;"병원")&amp;"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",TRIM(F36&amp;""))),COUNTIF(코드표!$A$2:$A$21,IF(RIGHT(LEFT(TRIM(F36&amp;""),FIND(" ",TRIM(F36&amp;""))-1),2)="병원",LEFT(TRIM(F36&amp;""),FIND(" ",TRIM(F36&amp;""))-1),LEFT(TRIM(F36&amp;""),FIND(" ",TRIM(F36&amp;""))-1)&amp;"병원"))&gt;0,ISNUMBER(MATCH(TRIM(RIGHT(SUBSTITUTE(TRIM(F36&amp;"")," ",REPT(" ",60)),60)),코드표!$F$2:$F$101,0))),IF(RIGHT(LEFT(TRIM(F36&amp;""),FIND(" ",TRIM(F36&amp;""))-1),2)="병원",LEFT(TRIM(F36&amp;""),FIND(" ",TRIM(F36&amp;""))-1),LEFT(TRIM(F36&amp;""),FIND(" ",TRIM(F36&amp;""))-1)&amp;"병원")&amp;"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",TRIM(G36&amp;""))),COUNTIF(코드표!$A$2:$A$21,IF(RIGHT(LEFT(TRIM(G36&amp;""),FIND(" ",TRIM(G36&amp;""))-1),2)="병원",LEFT(TRIM(G36&amp;""),FIND(" ",TRIM(G36&amp;""))-1),LEFT(TRIM(G36&amp;""),FIND(" ",TRIM(G36&amp;""))-1)&amp;"병원"))&gt;0,ISNUMBER(MATCH(TRIM(RIGHT(SUBSTITUTE(TRIM(G36&amp;"")," ",REPT(" ",60)),60)),코드표!$F$2:$F$101,0))),IF(RIGHT(LEFT(TRIM(G36&amp;""),FIND(" ",TRIM(G36&amp;""))-1),2)="병원",LEFT(TRIM(G36&amp;""),FIND(" ",TRIM(G36&amp;""))-1),LEFT(TRIM(G36&amp;""),FIND(" ",TRIM(G36&amp;""))-1)&amp;"병원")&amp;"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",TRIM(H36&amp;""))),COUNTIF(코드표!$A$2:$A$21,IF(RIGHT(LEFT(TRIM(H36&amp;""),FIND(" ",TRIM(H36&amp;""))-1),2)="병원",LEFT(TRIM(H36&amp;""),FIND(" ",TRIM(H36&amp;""))-1),LEFT(TRIM(H36&amp;""),FIND(" ",TRIM(H36&amp;""))-1)&amp;"병원"))&gt;0,ISNUMBER(MATCH(TRIM(RIGHT(SUBSTITUTE(TRIM(H36&amp;"")," ",REPT(" ",60)),60)),코드표!$F$2:$F$101,0))),IF(RIGHT(LEFT(TRIM(H36&amp;""),FIND(" ",TRIM(H36&amp;""))-1),2)="병원",LEFT(TRIM(H36&amp;""),FIND(" ",TRIM(H36&amp;""))-1),LEFT(TRIM(H36&amp;""),FIND(" ",TRIM(H36&amp;""))-1)&amp;"병원")&amp;"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",TRIM(I36&amp;""))),COUNTIF(코드표!$A$2:$A$21,IF(RIGHT(LEFT(TRIM(I36&amp;""),FIND(" ",TRIM(I36&amp;""))-1),2)="병원",LEFT(TRIM(I36&amp;""),FIND(" ",TRIM(I36&amp;""))-1),LEFT(TRIM(I36&amp;""),FIND(" ",TRIM(I36&amp;""))-1)&amp;"병원"))&gt;0,ISNUMBER(MATCH(TRIM(RIGHT(SUBSTITUTE(TRIM(I36&amp;"")," ",REPT(" ",60)),60)),코드표!$F$2:$F$101,0))),IF(RIGHT(LEFT(TRIM(I36&amp;""),FIND(" ",TRIM(I36&amp;""))-1),2)="병원",LEFT(TRIM(I36&amp;""),FIND(" ",TRIM(I36&amp;""))-1),LEFT(TRIM(I36&amp;""),FIND(" ",TRIM(I36&amp;""))-1)&amp;"병원")&amp;"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",TRIM(J36&amp;""))),COUNTIF(코드표!$A$2:$A$21,IF(RIGHT(LEFT(TRIM(J36&amp;""),FIND(" ",TRIM(J36&amp;""))-1),2)="병원",LEFT(TRIM(J36&amp;""),FIND(" ",TRIM(J36&amp;""))-1),LEFT(TRIM(J36&amp;""),FIND(" ",TRIM(J36&amp;""))-1)&amp;"병원"))&gt;0,ISNUMBER(MATCH(TRIM(RIGHT(SUBSTITUTE(TRIM(J36&amp;"")," ",REPT(" ",60)),60)),코드표!$F$2:$F$101,0))),IF(RIGHT(LEFT(TRIM(J36&amp;""),FIND(" ",TRIM(J36&amp;""))-1),2)="병원",LEFT(TRIM(J36&amp;""),FIND(" ",TRIM(J36&amp;""))-1),LEFT(TRIM(J36&amp;""),FIND(" ",TRIM(J36&amp;""))-1)&amp;"병원")&amp;"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",TRIM(E37&amp;""))),COUNTIF(코드표!$A$2:$A$21,IF(RIGHT(LEFT(TRIM(E37&amp;""),FIND(" ",TRIM(E37&amp;""))-1),2)="병원",LEFT(TRIM(E37&amp;""),FIND(" ",TRIM(E37&amp;""))-1),LEFT(TRIM(E37&amp;""),FIND(" ",TRIM(E37&amp;""))-1)&amp;"병원"))&gt;0,ISNUMBER(MATCH(TRIM(RIGHT(SUBSTITUTE(TRIM(E37&amp;"")," ",REPT(" ",60)),60)),코드표!$F$2:$F$101,0))),IF(RIGHT(LEFT(TRIM(E37&amp;""),FIND(" ",TRIM(E37&amp;""))-1),2)="병원",LEFT(TRIM(E37&amp;""),FIND(" ",TRIM(E37&amp;""))-1),LEFT(TRIM(E37&amp;""),FIND(" ",TRIM(E37&amp;""))-1)&amp;"병원")&amp;"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",TRIM(F37&amp;""))),COUNTIF(코드표!$A$2:$A$21,IF(RIGHT(LEFT(TRIM(F37&amp;""),FIND(" ",TRIM(F37&amp;""))-1),2)="병원",LEFT(TRIM(F37&amp;""),FIND(" ",TRIM(F37&amp;""))-1),LEFT(TRIM(F37&amp;""),FIND(" ",TRIM(F37&amp;""))-1)&amp;"병원"))&gt;0,ISNUMBER(MATCH(TRIM(RIGHT(SUBSTITUTE(TRIM(F37&amp;"")," ",REPT(" ",60)),60)),코드표!$F$2:$F$101,0))),IF(RIGHT(LEFT(TRIM(F37&amp;""),FIND(" ",TRIM(F37&amp;""))-1),2)="병원",LEFT(TRIM(F37&amp;""),FIND(" ",TRIM(F37&amp;""))-1),LEFT(TRIM(F37&amp;""),FIND(" ",TRIM(F37&amp;""))-1)&amp;"병원")&amp;"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",TRIM(G37&amp;""))),COUNTIF(코드표!$A$2:$A$21,IF(RIGHT(LEFT(TRIM(G37&amp;""),FIND(" ",TRIM(G37&amp;""))-1),2)="병원",LEFT(TRIM(G37&amp;""),FIND(" ",TRIM(G37&amp;""))-1),LEFT(TRIM(G37&amp;""),FIND(" ",TRIM(G37&amp;""))-1)&amp;"병원"))&gt;0,ISNUMBER(MATCH(TRIM(RIGHT(SUBSTITUTE(TRIM(G37&amp;"")," ",REPT(" ",60)),60)),코드표!$F$2:$F$101,0))),IF(RIGHT(LEFT(TRIM(G37&amp;""),FIND(" ",TRIM(G37&amp;""))-1),2)="병원",LEFT(TRIM(G37&amp;""),FIND(" ",TRIM(G37&amp;""))-1),LEFT(TRIM(G37&amp;""),FIND(" ",TRIM(G37&amp;""))-1)&amp;"병원")&amp;"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",TRIM(H37&amp;""))),COUNTIF(코드표!$A$2:$A$21,IF(RIGHT(LEFT(TRIM(H37&amp;""),FIND(" ",TRIM(H37&amp;""))-1),2)="병원",LEFT(TRIM(H37&amp;""),FIND(" ",TRIM(H37&amp;""))-1),LEFT(TRIM(H37&amp;""),FIND(" ",TRIM(H37&amp;""))-1)&amp;"병원"))&gt;0,ISNUMBER(MATCH(TRIM(RIGHT(SUBSTITUTE(TRIM(H37&amp;"")," ",REPT(" ",60)),60)),코드표!$F$2:$F$101,0))),IF(RIGHT(LEFT(TRIM(H37&amp;""),FIND(" ",TRIM(H37&amp;""))-1),2)="병원",LEFT(TRIM(H37&amp;""),FIND(" ",TRIM(H37&amp;""))-1),LEFT(TRIM(H37&amp;""),FIND(" ",TRIM(H37&amp;""))-1)&amp;"병원")&amp;"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",TRIM(I37&amp;""))),COUNTIF(코드표!$A$2:$A$21,IF(RIGHT(LEFT(TRIM(I37&amp;""),FIND(" ",TRIM(I37&amp;""))-1),2)="병원",LEFT(TRIM(I37&amp;""),FIND(" ",TRIM(I37&amp;""))-1),LEFT(TRIM(I37&amp;""),FIND(" ",TRIM(I37&amp;""))-1)&amp;"병원"))&gt;0,ISNUMBER(MATCH(TRIM(RIGHT(SUBSTITUTE(TRIM(I37&amp;"")," ",REPT(" ",60)),60)),코드표!$F$2:$F$101,0))),IF(RIGHT(LEFT(TRIM(I37&amp;""),FIND(" ",TRIM(I37&amp;""))-1),2)="병원",LEFT(TRIM(I37&amp;""),FIND(" ",TRIM(I37&amp;""))-1),LEFT(TRIM(I37&amp;""),FIND(" ",TRIM(I37&amp;""))-1)&amp;"병원")&amp;"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",TRIM(J37&amp;""))),COUNTIF(코드표!$A$2:$A$21,IF(RIGHT(LEFT(TRIM(J37&amp;""),FIND(" ",TRIM(J37&amp;""))-1),2)="병원",LEFT(TRIM(J37&amp;""),FIND(" ",TRIM(J37&amp;""))-1),LEFT(TRIM(J37&amp;""),FIND(" ",TRIM(J37&amp;""))-1)&amp;"병원"))&gt;0,ISNUMBER(MATCH(TRIM(RIGHT(SUBSTITUTE(TRIM(J37&amp;"")," ",REPT(" ",60)),60)),코드표!$F$2:$F$101,0))),IF(RIGHT(LEFT(TRIM(J37&amp;""),FIND(" ",TRIM(J37&amp;""))-1),2)="병원",LEFT(TRIM(J37&amp;""),FIND(" ",TRIM(J37&amp;""))-1),LEFT(TRIM(J37&amp;""),FIND(" ",TRIM(J37&amp;""))-1)&amp;"병원")&amp;"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",TRIM(E38&amp;""))),COUNTIF(코드표!$A$2:$A$21,IF(RIGHT(LEFT(TRIM(E38&amp;""),FIND(" ",TRIM(E38&amp;""))-1),2)="병원",LEFT(TRIM(E38&amp;""),FIND(" ",TRIM(E38&amp;""))-1),LEFT(TRIM(E38&amp;""),FIND(" ",TRIM(E38&amp;""))-1)&amp;"병원"))&gt;0,ISNUMBER(MATCH(TRIM(RIGHT(SUBSTITUTE(TRIM(E38&amp;"")," ",REPT(" ",60)),60)),코드표!$F$2:$F$101,0))),IF(RIGHT(LEFT(TRIM(E38&amp;""),FIND(" ",TRIM(E38&amp;""))-1),2)="병원",LEFT(TRIM(E38&amp;""),FIND(" ",TRIM(E38&amp;""))-1),LEFT(TRIM(E38&amp;""),FIND(" ",TRIM(E38&amp;""))-1)&amp;"병원")&amp;"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",TRIM(F38&amp;""))),COUNTIF(코드표!$A$2:$A$21,IF(RIGHT(LEFT(TRIM(F38&amp;""),FIND(" ",TRIM(F38&amp;""))-1),2)="병원",LEFT(TRIM(F38&amp;""),FIND(" ",TRIM(F38&amp;""))-1),LEFT(TRIM(F38&amp;""),FIND(" ",TRIM(F38&amp;""))-1)&amp;"병원"))&gt;0,ISNUMBER(MATCH(TRIM(RIGHT(SUBSTITUTE(TRIM(F38&amp;"")," ",REPT(" ",60)),60)),코드표!$F$2:$F$101,0))),IF(RIGHT(LEFT(TRIM(F38&amp;""),FIND(" ",TRIM(F38&amp;""))-1),2)="병원",LEFT(TRIM(F38&amp;""),FIND(" ",TRIM(F38&amp;""))-1),LEFT(TRIM(F38&amp;""),FIND(" ",TRIM(F38&amp;""))-1)&amp;"병원")&amp;"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",TRIM(G38&amp;""))),COUNTIF(코드표!$A$2:$A$21,IF(RIGHT(LEFT(TRIM(G38&amp;""),FIND(" ",TRIM(G38&amp;""))-1),2)="병원",LEFT(TRIM(G38&amp;""),FIND(" ",TRIM(G38&amp;""))-1),LEFT(TRIM(G38&amp;""),FIND(" ",TRIM(G38&amp;""))-1)&amp;"병원"))&gt;0,ISNUMBER(MATCH(TRIM(RIGHT(SUBSTITUTE(TRIM(G38&amp;"")," ",REPT(" ",60)),60)),코드표!$F$2:$F$101,0))),IF(RIGHT(LEFT(TRIM(G38&amp;""),FIND(" ",TRIM(G38&amp;""))-1),2)="병원",LEFT(TRIM(G38&amp;""),FIND(" ",TRIM(G38&amp;""))-1),LEFT(TRIM(G38&amp;""),FIND(" ",TRIM(G38&amp;""))-1)&amp;"병원")&amp;"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",TRIM(H38&amp;""))),COUNTIF(코드표!$A$2:$A$21,IF(RIGHT(LEFT(TRIM(H38&amp;""),FIND(" ",TRIM(H38&amp;""))-1),2)="병원",LEFT(TRIM(H38&amp;""),FIND(" ",TRIM(H38&amp;""))-1),LEFT(TRIM(H38&amp;""),FIND(" ",TRIM(H38&amp;""))-1)&amp;"병원"))&gt;0,ISNUMBER(MATCH(TRIM(RIGHT(SUBSTITUTE(TRIM(H38&amp;"")," ",REPT(" ",60)),60)),코드표!$F$2:$F$101,0))),IF(RIGHT(LEFT(TRIM(H38&amp;""),FIND(" ",TRIM(H38&amp;""))-1),2)="병원",LEFT(TRIM(H38&amp;""),FIND(" ",TRIM(H38&amp;""))-1),LEFT(TRIM(H38&amp;""),FIND(" ",TRIM(H38&amp;""))-1)&amp;"병원")&amp;"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",TRIM(I38&amp;""))),COUNTIF(코드표!$A$2:$A$21,IF(RIGHT(LEFT(TRIM(I38&amp;""),FIND(" ",TRIM(I38&amp;""))-1),2)="병원",LEFT(TRIM(I38&amp;""),FIND(" ",TRIM(I38&amp;""))-1),LEFT(TRIM(I38&amp;""),FIND(" ",TRIM(I38&amp;""))-1)&amp;"병원"))&gt;0,ISNUMBER(MATCH(TRIM(RIGHT(SUBSTITUTE(TRIM(I38&amp;"")," ",REPT(" ",60)),60)),코드표!$F$2:$F$101,0))),IF(RIGHT(LEFT(TRIM(I38&amp;""),FIND(" ",TRIM(I38&amp;""))-1),2)="병원",LEFT(TRIM(I38&amp;""),FIND(" ",TRIM(I38&amp;""))-1),LEFT(TRIM(I38&amp;""),FIND(" ",TRIM(I38&amp;""))-1)&amp;"병원")&amp;"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",TRIM(J38&amp;""))),COUNTIF(코드표!$A$2:$A$21,IF(RIGHT(LEFT(TRIM(J38&amp;""),FIND(" ",TRIM(J38&amp;""))-1),2)="병원",LEFT(TRIM(J38&amp;""),FIND(" ",TRIM(J38&amp;""))-1),LEFT(TRIM(J38&amp;""),FIND(" ",TRIM(J38&amp;""))-1)&amp;"병원"))&gt;0,ISNUMBER(MATCH(TRIM(RIGHT(SUBSTITUTE(TRIM(J38&amp;"")," ",REPT(" ",60)),60)),코드표!$F$2:$F$101,0))),IF(RIGHT(LEFT(TRIM(J38&amp;""),FIND(" ",TRIM(J38&amp;""))-1),2)="병원",LEFT(TRIM(J38&amp;""),FIND(" ",TRIM(J38&amp;""))-1),LEFT(TRIM(J38&amp;""),FIND(" ",TRIM(J38&amp;""))-1)&amp;"병원")&amp;"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",TRIM(E39&amp;""))),COUNTIF(코드표!$A$2:$A$21,IF(RIGHT(LEFT(TRIM(E39&amp;""),FIND(" ",TRIM(E39&amp;""))-1),2)="병원",LEFT(TRIM(E39&amp;""),FIND(" ",TRIM(E39&amp;""))-1),LEFT(TRIM(E39&amp;""),FIND(" ",TRIM(E39&amp;""))-1)&amp;"병원"))&gt;0,ISNUMBER(MATCH(TRIM(RIGHT(SUBSTITUTE(TRIM(E39&amp;"")," ",REPT(" ",60)),60)),코드표!$F$2:$F$101,0))),IF(RIGHT(LEFT(TRIM(E39&amp;""),FIND(" ",TRIM(E39&amp;""))-1),2)="병원",LEFT(TRIM(E39&amp;""),FIND(" ",TRIM(E39&amp;""))-1),LEFT(TRIM(E39&amp;""),FIND(" ",TRIM(E39&amp;""))-1)&amp;"병원")&amp;"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",TRIM(F39&amp;""))),COUNTIF(코드표!$A$2:$A$21,IF(RIGHT(LEFT(TRIM(F39&amp;""),FIND(" ",TRIM(F39&amp;""))-1),2)="병원",LEFT(TRIM(F39&amp;""),FIND(" ",TRIM(F39&amp;""))-1),LEFT(TRIM(F39&amp;""),FIND(" ",TRIM(F39&amp;""))-1)&amp;"병원"))&gt;0,ISNUMBER(MATCH(TRIM(RIGHT(SUBSTITUTE(TRIM(F39&amp;"")," ",REPT(" ",60)),60)),코드표!$F$2:$F$101,0))),IF(RIGHT(LEFT(TRIM(F39&amp;""),FIND(" ",TRIM(F39&amp;""))-1),2)="병원",LEFT(TRIM(F39&amp;""),FIND(" ",TRIM(F39&amp;""))-1),LEFT(TRIM(F39&amp;""),FIND(" ",TRIM(F39&amp;""))-1)&amp;"병원")&amp;"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",TRIM(G39&amp;""))),COUNTIF(코드표!$A$2:$A$21,IF(RIGHT(LEFT(TRIM(G39&amp;""),FIND(" ",TRIM(G39&amp;""))-1),2)="병원",LEFT(TRIM(G39&amp;""),FIND(" ",TRIM(G39&amp;""))-1),LEFT(TRIM(G39&amp;""),FIND(" ",TRIM(G39&amp;""))-1)&amp;"병원"))&gt;0,ISNUMBER(MATCH(TRIM(RIGHT(SUBSTITUTE(TRIM(G39&amp;"")," ",REPT(" ",60)),60)),코드표!$F$2:$F$101,0))),IF(RIGHT(LEFT(TRIM(G39&amp;""),FIND(" ",TRIM(G39&amp;""))-1),2)="병원",LEFT(TRIM(G39&amp;""),FIND(" ",TRIM(G39&amp;""))-1),LEFT(TRIM(G39&amp;""),FIND(" ",TRIM(G39&amp;""))-1)&amp;"병원")&amp;"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",TRIM(H39&amp;""))),COUNTIF(코드표!$A$2:$A$21,IF(RIGHT(LEFT(TRIM(H39&amp;""),FIND(" ",TRIM(H39&amp;""))-1),2)="병원",LEFT(TRIM(H39&amp;""),FIND(" ",TRIM(H39&amp;""))-1),LEFT(TRIM(H39&amp;""),FIND(" ",TRIM(H39&amp;""))-1)&amp;"병원"))&gt;0,ISNUMBER(MATCH(TRIM(RIGHT(SUBSTITUTE(TRIM(H39&amp;"")," ",REPT(" ",60)),60)),코드표!$F$2:$F$101,0))),IF(RIGHT(LEFT(TRIM(H39&amp;""),FIND(" ",TRIM(H39&amp;""))-1),2)="병원",LEFT(TRIM(H39&amp;""),FIND(" ",TRIM(H39&amp;""))-1),LEFT(TRIM(H39&amp;""),FIND(" ",TRIM(H39&amp;""))-1)&amp;"병원")&amp;"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",TRIM(I39&amp;""))),COUNTIF(코드표!$A$2:$A$21,IF(RIGHT(LEFT(TRIM(I39&amp;""),FIND(" ",TRIM(I39&amp;""))-1),2)="병원",LEFT(TRIM(I39&amp;""),FIND(" ",TRIM(I39&amp;""))-1),LEFT(TRIM(I39&amp;""),FIND(" ",TRIM(I39&amp;""))-1)&amp;"병원"))&gt;0,ISNUMBER(MATCH(TRIM(RIGHT(SUBSTITUTE(TRIM(I39&amp;"")," ",REPT(" ",60)),60)),코드표!$F$2:$F$101,0))),IF(RIGHT(LEFT(TRIM(I39&amp;""),FIND(" ",TRIM(I39&amp;""))-1),2)="병원",LEFT(TRIM(I39&amp;""),FIND(" ",TRIM(I39&amp;""))-1),LEFT(TRIM(I39&amp;""),FIND(" ",TRIM(I39&amp;""))-1)&amp;"병원")&amp;"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",TRIM(J39&amp;""))),COUNTIF(코드표!$A$2:$A$21,IF(RIGHT(LEFT(TRIM(J39&amp;""),FIND(" ",TRIM(J39&amp;""))-1),2)="병원",LEFT(TRIM(J39&amp;""),FIND(" ",TRIM(J39&amp;""))-1),LEFT(TRIM(J39&amp;""),FIND(" ",TRIM(J39&amp;""))-1)&amp;"병원"))&gt;0,ISNUMBER(MATCH(TRIM(RIGHT(SUBSTITUTE(TRIM(J39&amp;"")," ",REPT(" ",60)),60)),코드표!$F$2:$F$101,0))),IF(RIGHT(LEFT(TRIM(J39&amp;""),FIND(" ",TRIM(J39&amp;""))-1),2)="병원",LEFT(TRIM(J39&amp;""),FIND(" ",TRIM(J39&amp;""))-1),LEFT(TRIM(J39&amp;""),FIND(" ",TRIM(J39&amp;""))-1)&amp;"병원")&amp;"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",TRIM(E40&amp;""))),COUNTIF(코드표!$A$2:$A$21,IF(RIGHT(LEFT(TRIM(E40&amp;""),FIND(" ",TRIM(E40&amp;""))-1),2)="병원",LEFT(TRIM(E40&amp;""),FIND(" ",TRIM(E40&amp;""))-1),LEFT(TRIM(E40&amp;""),FIND(" ",TRIM(E40&amp;""))-1)&amp;"병원"))&gt;0,ISNUMBER(MATCH(TRIM(RIGHT(SUBSTITUTE(TRIM(E40&amp;"")," ",REPT(" ",60)),60)),코드표!$F$2:$F$101,0))),IF(RIGHT(LEFT(TRIM(E40&amp;""),FIND(" ",TRIM(E40&amp;""))-1),2)="병원",LEFT(TRIM(E40&amp;""),FIND(" ",TRIM(E40&amp;""))-1),LEFT(TRIM(E40&amp;""),FIND(" ",TRIM(E40&amp;""))-1)&amp;"병원")&amp;"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",TRIM(F40&amp;""))),COUNTIF(코드표!$A$2:$A$21,IF(RIGHT(LEFT(TRIM(F40&amp;""),FIND(" ",TRIM(F40&amp;""))-1),2)="병원",LEFT(TRIM(F40&amp;""),FIND(" ",TRIM(F40&amp;""))-1),LEFT(TRIM(F40&amp;""),FIND(" ",TRIM(F40&amp;""))-1)&amp;"병원"))&gt;0,ISNUMBER(MATCH(TRIM(RIGHT(SUBSTITUTE(TRIM(F40&amp;"")," ",REPT(" ",60)),60)),코드표!$F$2:$F$101,0))),IF(RIGHT(LEFT(TRIM(F40&amp;""),FIND(" ",TRIM(F40&amp;""))-1),2)="병원",LEFT(TRIM(F40&amp;""),FIND(" ",TRIM(F40&amp;""))-1),LEFT(TRIM(F40&amp;""),FIND(" ",TRIM(F40&amp;""))-1)&amp;"병원")&amp;"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",TRIM(G40&amp;""))),COUNTIF(코드표!$A$2:$A$21,IF(RIGHT(LEFT(TRIM(G40&amp;""),FIND(" ",TRIM(G40&amp;""))-1),2)="병원",LEFT(TRIM(G40&amp;""),FIND(" ",TRIM(G40&amp;""))-1),LEFT(TRIM(G40&amp;""),FIND(" ",TRIM(G40&amp;""))-1)&amp;"병원"))&gt;0,ISNUMBER(MATCH(TRIM(RIGHT(SUBSTITUTE(TRIM(G40&amp;"")," ",REPT(" ",60)),60)),코드표!$F$2:$F$101,0))),IF(RIGHT(LEFT(TRIM(G40&amp;""),FIND(" ",TRIM(G40&amp;""))-1),2)="병원",LEFT(TRIM(G40&amp;""),FIND(" ",TRIM(G40&amp;""))-1),LEFT(TRIM(G40&amp;""),FIND(" ",TRIM(G40&amp;""))-1)&amp;"병원")&amp;"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",TRIM(H40&amp;""))),COUNTIF(코드표!$A$2:$A$21,IF(RIGHT(LEFT(TRIM(H40&amp;""),FIND(" ",TRIM(H40&amp;""))-1),2)="병원",LEFT(TRIM(H40&amp;""),FIND(" ",TRIM(H40&amp;""))-1),LEFT(TRIM(H40&amp;""),FIND(" ",TRIM(H40&amp;""))-1)&amp;"병원"))&gt;0,ISNUMBER(MATCH(TRIM(RIGHT(SUBSTITUTE(TRIM(H40&amp;"")," ",REPT(" ",60)),60)),코드표!$F$2:$F$101,0))),IF(RIGHT(LEFT(TRIM(H40&amp;""),FIND(" ",TRIM(H40&amp;""))-1),2)="병원",LEFT(TRIM(H40&amp;""),FIND(" ",TRIM(H40&amp;""))-1),LEFT(TRIM(H40&amp;""),FIND(" ",TRIM(H40&amp;""))-1)&amp;"병원")&amp;"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",TRIM(I40&amp;""))),COUNTIF(코드표!$A$2:$A$21,IF(RIGHT(LEFT(TRIM(I40&amp;""),FIND(" ",TRIM(I40&amp;""))-1),2)="병원",LEFT(TRIM(I40&amp;""),FIND(" ",TRIM(I40&amp;""))-1),LEFT(TRIM(I40&amp;""),FIND(" ",TRIM(I40&amp;""))-1)&amp;"병원"))&gt;0,ISNUMBER(MATCH(TRIM(RIGHT(SUBSTITUTE(TRIM(I40&amp;"")," ",REPT(" ",60)),60)),코드표!$F$2:$F$101,0))),IF(RIGHT(LEFT(TRIM(I40&amp;""),FIND(" ",TRIM(I40&amp;""))-1),2)="병원",LEFT(TRIM(I40&amp;""),FIND(" ",TRIM(I40&amp;""))-1),LEFT(TRIM(I40&amp;""),FIND(" ",TRIM(I40&amp;""))-1)&amp;"병원")&amp;"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",TRIM(J40&amp;""))),COUNTIF(코드표!$A$2:$A$21,IF(RIGHT(LEFT(TRIM(J40&amp;""),FIND(" ",TRIM(J40&amp;""))-1),2)="병원",LEFT(TRIM(J40&amp;""),FIND(" ",TRIM(J40&amp;""))-1),LEFT(TRIM(J40&amp;""),FIND(" ",TRIM(J40&amp;""))-1)&amp;"병원"))&gt;0,ISNUMBER(MATCH(TRIM(RIGHT(SUBSTITUTE(TRIM(J40&amp;"")," ",REPT(" ",60)),60)),코드표!$F$2:$F$101,0))),IF(RIGHT(LEFT(TRIM(J40&amp;""),FIND(" ",TRIM(J40&amp;""))-1),2)="병원",LEFT(TRIM(J40&amp;""),FIND(" ",TRIM(J40&amp;""))-1),LEFT(TRIM(J40&amp;""),FIND(" ",TRIM(J40&amp;""))-1)&amp;"병원")&amp;"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",TRIM(E41&amp;""))),COUNTIF(코드표!$A$2:$A$21,IF(RIGHT(LEFT(TRIM(E41&amp;""),FIND(" ",TRIM(E41&amp;""))-1),2)="병원",LEFT(TRIM(E41&amp;""),FIND(" ",TRIM(E41&amp;""))-1),LEFT(TRIM(E41&amp;""),FIND(" ",TRIM(E41&amp;""))-1)&amp;"병원"))&gt;0,ISNUMBER(MATCH(TRIM(RIGHT(SUBSTITUTE(TRIM(E41&amp;"")," ",REPT(" ",60)),60)),코드표!$F$2:$F$101,0))),IF(RIGHT(LEFT(TRIM(E41&amp;""),FIND(" ",TRIM(E41&amp;""))-1),2)="병원",LEFT(TRIM(E41&amp;""),FIND(" ",TRIM(E41&amp;""))-1),LEFT(TRIM(E41&amp;""),FIND(" ",TRIM(E41&amp;""))-1)&amp;"병원")&amp;"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",TRIM(F41&amp;""))),COUNTIF(코드표!$A$2:$A$21,IF(RIGHT(LEFT(TRIM(F41&amp;""),FIND(" ",TRIM(F41&amp;""))-1),2)="병원",LEFT(TRIM(F41&amp;""),FIND(" ",TRIM(F41&amp;""))-1),LEFT(TRIM(F41&amp;""),FIND(" ",TRIM(F41&amp;""))-1)&amp;"병원"))&gt;0,ISNUMBER(MATCH(TRIM(RIGHT(SUBSTITUTE(TRIM(F41&amp;"")," ",REPT(" ",60)),60)),코드표!$F$2:$F$101,0))),IF(RIGHT(LEFT(TRIM(F41&amp;""),FIND(" ",TRIM(F41&amp;""))-1),2)="병원",LEFT(TRIM(F41&amp;""),FIND(" ",TRIM(F41&amp;""))-1),LEFT(TRIM(F41&amp;""),FIND(" ",TRIM(F41&amp;""))-1)&amp;"병원")&amp;"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",TRIM(G41&amp;""))),COUNTIF(코드표!$A$2:$A$21,IF(RIGHT(LEFT(TRIM(G41&amp;""),FIND(" ",TRIM(G41&amp;""))-1),2)="병원",LEFT(TRIM(G41&amp;""),FIND(" ",TRIM(G41&amp;""))-1),LEFT(TRIM(G41&amp;""),FIND(" ",TRIM(G41&amp;""))-1)&amp;"병원"))&gt;0,ISNUMBER(MATCH(TRIM(RIGHT(SUBSTITUTE(TRIM(G41&amp;"")," ",REPT(" ",60)),60)),코드표!$F$2:$F$101,0))),IF(RIGHT(LEFT(TRIM(G41&amp;""),FIND(" ",TRIM(G41&amp;""))-1),2)="병원",LEFT(TRIM(G41&amp;""),FIND(" ",TRIM(G41&amp;""))-1),LEFT(TRIM(G41&amp;""),FIND(" ",TRIM(G41&amp;""))-1)&amp;"병원")&amp;"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",TRIM(H41&amp;""))),COUNTIF(코드표!$A$2:$A$21,IF(RIGHT(LEFT(TRIM(H41&amp;""),FIND(" ",TRIM(H41&amp;""))-1),2)="병원",LEFT(TRIM(H41&amp;""),FIND(" ",TRIM(H41&amp;""))-1),LEFT(TRIM(H41&amp;""),FIND(" ",TRIM(H41&amp;""))-1)&amp;"병원"))&gt;0,ISNUMBER(MATCH(TRIM(RIGHT(SUBSTITUTE(TRIM(H41&amp;"")," ",REPT(" ",60)),60)),코드표!$F$2:$F$101,0))),IF(RIGHT(LEFT(TRIM(H41&amp;""),FIND(" ",TRIM(H41&amp;""))-1),2)="병원",LEFT(TRIM(H41&amp;""),FIND(" ",TRIM(H41&amp;""))-1),LEFT(TRIM(H41&amp;""),FIND(" ",TRIM(H41&amp;""))-1)&amp;"병원")&amp;"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",TRIM(I41&amp;""))),COUNTIF(코드표!$A$2:$A$21,IF(RIGHT(LEFT(TRIM(I41&amp;""),FIND(" ",TRIM(I41&amp;""))-1),2)="병원",LEFT(TRIM(I41&amp;""),FIND(" ",TRIM(I41&amp;""))-1),LEFT(TRIM(I41&amp;""),FIND(" ",TRIM(I41&amp;""))-1)&amp;"병원"))&gt;0,ISNUMBER(MATCH(TRIM(RIGHT(SUBSTITUTE(TRIM(I41&amp;"")," ",REPT(" ",60)),60)),코드표!$F$2:$F$101,0))),IF(RIGHT(LEFT(TRIM(I41&amp;""),FIND(" ",TRIM(I41&amp;""))-1),2)="병원",LEFT(TRIM(I41&amp;""),FIND(" ",TRIM(I41&amp;""))-1),LEFT(TRIM(I41&amp;""),FIND(" ",TRIM(I41&amp;""))-1)&amp;"병원")&amp;"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",TRIM(J41&amp;""))),COUNTIF(코드표!$A$2:$A$21,IF(RIGHT(LEFT(TRIM(J41&amp;""),FIND(" ",TRIM(J41&amp;""))-1),2)="병원",LEFT(TRIM(J41&amp;""),FIND(" ",TRIM(J41&amp;""))-1),LEFT(TRIM(J41&amp;""),FIND(" ",TRIM(J41&amp;""))-1)&amp;"병원"))&gt;0,ISNUMBER(MATCH(TRIM(RIGHT(SUBSTITUTE(TRIM(J41&amp;"")," ",REPT(" ",60)),60)),코드표!$F$2:$F$101,0))),IF(RIGHT(LEFT(TRIM(J41&amp;""),FIND(" ",TRIM(J41&amp;""))-1),2)="병원",LEFT(TRIM(J41&amp;""),FIND(" ",TRIM(J41&amp;""))-1),LEFT(TRIM(J41&amp;""),FIND(" ",TRIM(J41&amp;""))-1)&amp;"병원")&amp;"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",TRIM(E42&amp;""))),COUNTIF(코드표!$A$2:$A$21,IF(RIGHT(LEFT(TRIM(E42&amp;""),FIND(" ",TRIM(E42&amp;""))-1),2)="병원",LEFT(TRIM(E42&amp;""),FIND(" ",TRIM(E42&amp;""))-1),LEFT(TRIM(E42&amp;""),FIND(" ",TRIM(E42&amp;""))-1)&amp;"병원"))&gt;0,ISNUMBER(MATCH(TRIM(RIGHT(SUBSTITUTE(TRIM(E42&amp;"")," ",REPT(" ",60)),60)),코드표!$F$2:$F$101,0))),IF(RIGHT(LEFT(TRIM(E42&amp;""),FIND(" ",TRIM(E42&amp;""))-1),2)="병원",LEFT(TRIM(E42&amp;""),FIND(" ",TRIM(E42&amp;""))-1),LEFT(TRIM(E42&amp;""),FIND(" ",TRIM(E42&amp;""))-1)&amp;"병원")&amp;"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",TRIM(F42&amp;""))),COUNTIF(코드표!$A$2:$A$21,IF(RIGHT(LEFT(TRIM(F42&amp;""),FIND(" ",TRIM(F42&amp;""))-1),2)="병원",LEFT(TRIM(F42&amp;""),FIND(" ",TRIM(F42&amp;""))-1),LEFT(TRIM(F42&amp;""),FIND(" ",TRIM(F42&amp;""))-1)&amp;"병원"))&gt;0,ISNUMBER(MATCH(TRIM(RIGHT(SUBSTITUTE(TRIM(F42&amp;"")," ",REPT(" ",60)),60)),코드표!$F$2:$F$101,0))),IF(RIGHT(LEFT(TRIM(F42&amp;""),FIND(" ",TRIM(F42&amp;""))-1),2)="병원",LEFT(TRIM(F42&amp;""),FIND(" ",TRIM(F42&amp;""))-1),LEFT(TRIM(F42&amp;""),FIND(" ",TRIM(F42&amp;""))-1)&amp;"병원")&amp;"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",TRIM(G42&amp;""))),COUNTIF(코드표!$A$2:$A$21,IF(RIGHT(LEFT(TRIM(G42&amp;""),FIND(" ",TRIM(G42&amp;""))-1),2)="병원",LEFT(TRIM(G42&amp;""),FIND(" ",TRIM(G42&amp;""))-1),LEFT(TRIM(G42&amp;""),FIND(" ",TRIM(G42&amp;""))-1)&amp;"병원"))&gt;0,ISNUMBER(MATCH(TRIM(RIGHT(SUBSTITUTE(TRIM(G42&amp;"")," ",REPT(" ",60)),60)),코드표!$F$2:$F$101,0))),IF(RIGHT(LEFT(TRIM(G42&amp;""),FIND(" ",TRIM(G42&amp;""))-1),2)="병원",LEFT(TRIM(G42&amp;""),FIND(" ",TRIM(G42&amp;""))-1),LEFT(TRIM(G42&amp;""),FIND(" ",TRIM(G42&amp;""))-1)&amp;"병원")&amp;"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",TRIM(H42&amp;""))),COUNTIF(코드표!$A$2:$A$21,IF(RIGHT(LEFT(TRIM(H42&amp;""),FIND(" ",TRIM(H42&amp;""))-1),2)="병원",LEFT(TRIM(H42&amp;""),FIND(" ",TRIM(H42&amp;""))-1),LEFT(TRIM(H42&amp;""),FIND(" ",TRIM(H42&amp;""))-1)&amp;"병원"))&gt;0,ISNUMBER(MATCH(TRIM(RIGHT(SUBSTITUTE(TRIM(H42&amp;"")," ",REPT(" ",60)),60)),코드표!$F$2:$F$101,0))),IF(RIGHT(LEFT(TRIM(H42&amp;""),FIND(" ",TRIM(H42&amp;""))-1),2)="병원",LEFT(TRIM(H42&amp;""),FIND(" ",TRIM(H42&amp;""))-1),LEFT(TRIM(H42&amp;""),FIND(" ",TRIM(H42&amp;""))-1)&amp;"병원")&amp;"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",TRIM(I42&amp;""))),COUNTIF(코드표!$A$2:$A$21,IF(RIGHT(LEFT(TRIM(I42&amp;""),FIND(" ",TRIM(I42&amp;""))-1),2)="병원",LEFT(TRIM(I42&amp;""),FIND(" ",TRIM(I42&amp;""))-1),LEFT(TRIM(I42&amp;""),FIND(" ",TRIM(I42&amp;""))-1)&amp;"병원"))&gt;0,ISNUMBER(MATCH(TRIM(RIGHT(SUBSTITUTE(TRIM(I42&amp;"")," ",REPT(" ",60)),60)),코드표!$F$2:$F$101,0))),IF(RIGHT(LEFT(TRIM(I42&amp;""),FIND(" ",TRIM(I42&amp;""))-1),2)="병원",LEFT(TRIM(I42&amp;""),FIND(" ",TRIM(I42&amp;""))-1),LEFT(TRIM(I42&amp;""),FIND(" ",TRIM(I42&amp;""))-1)&amp;"병원")&amp;"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",TRIM(J42&amp;""))),COUNTIF(코드표!$A$2:$A$21,IF(RIGHT(LEFT(TRIM(J42&amp;""),FIND(" ",TRIM(J42&amp;""))-1),2)="병원",LEFT(TRIM(J42&amp;""),FIND(" ",TRIM(J42&amp;""))-1),LEFT(TRIM(J42&amp;""),FIND(" ",TRIM(J42&amp;""))-1)&amp;"병원"))&gt;0,ISNUMBER(MATCH(TRIM(RIGHT(SUBSTITUTE(TRIM(J42&amp;"")," ",REPT(" ",60)),60)),코드표!$F$2:$F$101,0))),IF(RIGHT(LEFT(TRIM(J42&amp;""),FIND(" ",TRIM(J42&amp;""))-1),2)="병원",LEFT(TRIM(J42&amp;""),FIND(" ",TRIM(J42&amp;""))-1),LEFT(TRIM(J42&amp;""),FIND(" ",TRIM(J42&amp;""))-1)&amp;"병원")&amp;"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",TRIM(E43&amp;""))),COUNTIF(코드표!$A$2:$A$21,IF(RIGHT(LEFT(TRIM(E43&amp;""),FIND(" ",TRIM(E43&amp;""))-1),2)="병원",LEFT(TRIM(E43&amp;""),FIND(" ",TRIM(E43&amp;""))-1),LEFT(TRIM(E43&amp;""),FIND(" ",TRIM(E43&amp;""))-1)&amp;"병원"))&gt;0,ISNUMBER(MATCH(TRIM(RIGHT(SUBSTITUTE(TRIM(E43&amp;"")," ",REPT(" ",60)),60)),코드표!$F$2:$F$101,0))),IF(RIGHT(LEFT(TRIM(E43&amp;""),FIND(" ",TRIM(E43&amp;""))-1),2)="병원",LEFT(TRIM(E43&amp;""),FIND(" ",TRIM(E43&amp;""))-1),LEFT(TRIM(E43&amp;""),FIND(" ",TRIM(E43&amp;""))-1)&amp;"병원")&amp;"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",TRIM(F43&amp;""))),COUNTIF(코드표!$A$2:$A$21,IF(RIGHT(LEFT(TRIM(F43&amp;""),FIND(" ",TRIM(F43&amp;""))-1),2)="병원",LEFT(TRIM(F43&amp;""),FIND(" ",TRIM(F43&amp;""))-1),LEFT(TRIM(F43&amp;""),FIND(" ",TRIM(F43&amp;""))-1)&amp;"병원"))&gt;0,ISNUMBER(MATCH(TRIM(RIGHT(SUBSTITUTE(TRIM(F43&amp;"")," ",REPT(" ",60)),60)),코드표!$F$2:$F$101,0))),IF(RIGHT(LEFT(TRIM(F43&amp;""),FIND(" ",TRIM(F43&amp;""))-1),2)="병원",LEFT(TRIM(F43&amp;""),FIND(" ",TRIM(F43&amp;""))-1),LEFT(TRIM(F43&amp;""),FIND(" ",TRIM(F43&amp;""))-1)&amp;"병원")&amp;"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",TRIM(G43&amp;""))),COUNTIF(코드표!$A$2:$A$21,IF(RIGHT(LEFT(TRIM(G43&amp;""),FIND(" ",TRIM(G43&amp;""))-1),2)="병원",LEFT(TRIM(G43&amp;""),FIND(" ",TRIM(G43&amp;""))-1),LEFT(TRIM(G43&amp;""),FIND(" ",TRIM(G43&amp;""))-1)&amp;"병원"))&gt;0,ISNUMBER(MATCH(TRIM(RIGHT(SUBSTITUTE(TRIM(G43&amp;"")," ",REPT(" ",60)),60)),코드표!$F$2:$F$101,0))),IF(RIGHT(LEFT(TRIM(G43&amp;""),FIND(" ",TRIM(G43&amp;""))-1),2)="병원",LEFT(TRIM(G43&amp;""),FIND(" ",TRIM(G43&amp;""))-1),LEFT(TRIM(G43&amp;""),FIND(" ",TRIM(G43&amp;""))-1)&amp;"병원")&amp;"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",TRIM(H43&amp;""))),COUNTIF(코드표!$A$2:$A$21,IF(RIGHT(LEFT(TRIM(H43&amp;""),FIND(" ",TRIM(H43&amp;""))-1),2)="병원",LEFT(TRIM(H43&amp;""),FIND(" ",TRIM(H43&amp;""))-1),LEFT(TRIM(H43&amp;""),FIND(" ",TRIM(H43&amp;""))-1)&amp;"병원"))&gt;0,ISNUMBER(MATCH(TRIM(RIGHT(SUBSTITUTE(TRIM(H43&amp;"")," ",REPT(" ",60)),60)),코드표!$F$2:$F$101,0))),IF(RIGHT(LEFT(TRIM(H43&amp;""),FIND(" ",TRIM(H43&amp;""))-1),2)="병원",LEFT(TRIM(H43&amp;""),FIND(" ",TRIM(H43&amp;""))-1),LEFT(TRIM(H43&amp;""),FIND(" ",TRIM(H43&amp;""))-1)&amp;"병원")&amp;"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",TRIM(I43&amp;""))),COUNTIF(코드표!$A$2:$A$21,IF(RIGHT(LEFT(TRIM(I43&amp;""),FIND(" ",TRIM(I43&amp;""))-1),2)="병원",LEFT(TRIM(I43&amp;""),FIND(" ",TRIM(I43&amp;""))-1),LEFT(TRIM(I43&amp;""),FIND(" ",TRIM(I43&amp;""))-1)&amp;"병원"))&gt;0,ISNUMBER(MATCH(TRIM(RIGHT(SUBSTITUTE(TRIM(I43&amp;"")," ",REPT(" ",60)),60)),코드표!$F$2:$F$101,0))),IF(RIGHT(LEFT(TRIM(I43&amp;""),FIND(" ",TRIM(I43&amp;""))-1),2)="병원",LEFT(TRIM(I43&amp;""),FIND(" ",TRIM(I43&amp;""))-1),LEFT(TRIM(I43&amp;""),FIND(" ",TRIM(I43&amp;""))-1)&amp;"병원")&amp;"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",TRIM(J43&amp;""))),COUNTIF(코드표!$A$2:$A$21,IF(RIGHT(LEFT(TRIM(J43&amp;""),FIND(" ",TRIM(J43&amp;""))-1),2)="병원",LEFT(TRIM(J43&amp;""),FIND(" ",TRIM(J43&amp;""))-1),LEFT(TRIM(J43&amp;""),FIND(" ",TRIM(J43&amp;""))-1)&amp;"병원"))&gt;0,ISNUMBER(MATCH(TRIM(RIGHT(SUBSTITUTE(TRIM(J43&amp;"")," ",REPT(" ",60)),60)),코드표!$F$2:$F$101,0))),IF(RIGHT(LEFT(TRIM(J43&amp;""),FIND(" ",TRIM(J43&amp;""))-1),2)="병원",LEFT(TRIM(J43&amp;""),FIND(" ",TRIM(J43&amp;""))-1),LEFT(TRIM(J43&amp;""),FIND(" ",TRIM(J43&amp;""))-1)&amp;"병원")&amp;"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",TRIM(E44&amp;""))),COUNTIF(코드표!$A$2:$A$21,IF(RIGHT(LEFT(TRIM(E44&amp;""),FIND(" ",TRIM(E44&amp;""))-1),2)="병원",LEFT(TRIM(E44&amp;""),FIND(" ",TRIM(E44&amp;""))-1),LEFT(TRIM(E44&amp;""),FIND(" ",TRIM(E44&amp;""))-1)&amp;"병원"))&gt;0,ISNUMBER(MATCH(TRIM(RIGHT(SUBSTITUTE(TRIM(E44&amp;"")," ",REPT(" ",60)),60)),코드표!$F$2:$F$101,0))),IF(RIGHT(LEFT(TRIM(E44&amp;""),FIND(" ",TRIM(E44&amp;""))-1),2)="병원",LEFT(TRIM(E44&amp;""),FIND(" ",TRIM(E44&amp;""))-1),LEFT(TRIM(E44&amp;""),FIND(" ",TRIM(E44&amp;""))-1)&amp;"병원")&amp;"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",TRIM(F44&amp;""))),COUNTIF(코드표!$A$2:$A$21,IF(RIGHT(LEFT(TRIM(F44&amp;""),FIND(" ",TRIM(F44&amp;""))-1),2)="병원",LEFT(TRIM(F44&amp;""),FIND(" ",TRIM(F44&amp;""))-1),LEFT(TRIM(F44&amp;""),FIND(" ",TRIM(F44&amp;""))-1)&amp;"병원"))&gt;0,ISNUMBER(MATCH(TRIM(RIGHT(SUBSTITUTE(TRIM(F44&amp;"")," ",REPT(" ",60)),60)),코드표!$F$2:$F$101,0))),IF(RIGHT(LEFT(TRIM(F44&amp;""),FIND(" ",TRIM(F44&amp;""))-1),2)="병원",LEFT(TRIM(F44&amp;""),FIND(" ",TRIM(F44&amp;""))-1),LEFT(TRIM(F44&amp;""),FIND(" ",TRIM(F44&amp;""))-1)&amp;"병원")&amp;"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",TRIM(G44&amp;""))),COUNTIF(코드표!$A$2:$A$21,IF(RIGHT(LEFT(TRIM(G44&amp;""),FIND(" ",TRIM(G44&amp;""))-1),2)="병원",LEFT(TRIM(G44&amp;""),FIND(" ",TRIM(G44&amp;""))-1),LEFT(TRIM(G44&amp;""),FIND(" ",TRIM(G44&amp;""))-1)&amp;"병원"))&gt;0,ISNUMBER(MATCH(TRIM(RIGHT(SUBSTITUTE(TRIM(G44&amp;"")," ",REPT(" ",60)),60)),코드표!$F$2:$F$101,0))),IF(RIGHT(LEFT(TRIM(G44&amp;""),FIND(" ",TRIM(G44&amp;""))-1),2)="병원",LEFT(TRIM(G44&amp;""),FIND(" ",TRIM(G44&amp;""))-1),LEFT(TRIM(G44&amp;""),FIND(" ",TRIM(G44&amp;""))-1)&amp;"병원")&amp;"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",TRIM(H44&amp;""))),COUNTIF(코드표!$A$2:$A$21,IF(RIGHT(LEFT(TRIM(H44&amp;""),FIND(" ",TRIM(H44&amp;""))-1),2)="병원",LEFT(TRIM(H44&amp;""),FIND(" ",TRIM(H44&amp;""))-1),LEFT(TRIM(H44&amp;""),FIND(" ",TRIM(H44&amp;""))-1)&amp;"병원"))&gt;0,ISNUMBER(MATCH(TRIM(RIGHT(SUBSTITUTE(TRIM(H44&amp;"")," ",REPT(" ",60)),60)),코드표!$F$2:$F$101,0))),IF(RIGHT(LEFT(TRIM(H44&amp;""),FIND(" ",TRIM(H44&amp;""))-1),2)="병원",LEFT(TRIM(H44&amp;""),FIND(" ",TRIM(H44&amp;""))-1),LEFT(TRIM(H44&amp;""),FIND(" ",TRIM(H44&amp;""))-1)&amp;"병원")&amp;"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",TRIM(I44&amp;""))),COUNTIF(코드표!$A$2:$A$21,IF(RIGHT(LEFT(TRIM(I44&amp;""),FIND(" ",TRIM(I44&amp;""))-1),2)="병원",LEFT(TRIM(I44&amp;""),FIND(" ",TRIM(I44&amp;""))-1),LEFT(TRIM(I44&amp;""),FIND(" ",TRIM(I44&amp;""))-1)&amp;"병원"))&gt;0,ISNUMBER(MATCH(TRIM(RIGHT(SUBSTITUTE(TRIM(I44&amp;"")," ",REPT(" ",60)),60)),코드표!$F$2:$F$101,0))),IF(RIGHT(LEFT(TRIM(I44&amp;""),FIND(" ",TRIM(I44&amp;""))-1),2)="병원",LEFT(TRIM(I44&amp;""),FIND(" ",TRIM(I44&amp;""))-1),LEFT(TRIM(I44&amp;""),FIND(" ",TRIM(I44&amp;""))-1)&amp;"병원")&amp;"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",TRIM(J44&amp;""))),COUNTIF(코드표!$A$2:$A$21,IF(RIGHT(LEFT(TRIM(J44&amp;""),FIND(" ",TRIM(J44&amp;""))-1),2)="병원",LEFT(TRIM(J44&amp;""),FIND(" ",TRIM(J44&amp;""))-1),LEFT(TRIM(J44&amp;""),FIND(" ",TRIM(J44&amp;""))-1)&amp;"병원"))&gt;0,ISNUMBER(MATCH(TRIM(RIGHT(SUBSTITUTE(TRIM(J44&amp;"")," ",REPT(" ",60)),60)),코드표!$F$2:$F$101,0))),IF(RIGHT(LEFT(TRIM(J44&amp;""),FIND(" ",TRIM(J44&amp;""))-1),2)="병원",LEFT(TRIM(J44&amp;""),FIND(" ",TRIM(J44&amp;""))-1),LEFT(TRIM(J44&amp;""),FIND(" ",TRIM(J44&amp;""))-1)&amp;"병원")&amp;"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",TRIM(E45&amp;""))),COUNTIF(코드표!$A$2:$A$21,IF(RIGHT(LEFT(TRIM(E45&amp;""),FIND(" ",TRIM(E45&amp;""))-1),2)="병원",LEFT(TRIM(E45&amp;""),FIND(" ",TRIM(E45&amp;""))-1),LEFT(TRIM(E45&amp;""),FIND(" ",TRIM(E45&amp;""))-1)&amp;"병원"))&gt;0,ISNUMBER(MATCH(TRIM(RIGHT(SUBSTITUTE(TRIM(E45&amp;"")," ",REPT(" ",60)),60)),코드표!$F$2:$F$101,0))),IF(RIGHT(LEFT(TRIM(E45&amp;""),FIND(" ",TRIM(E45&amp;""))-1),2)="병원",LEFT(TRIM(E45&amp;""),FIND(" ",TRIM(E45&amp;""))-1),LEFT(TRIM(E45&amp;""),FIND(" ",TRIM(E45&amp;""))-1)&amp;"병원")&amp;"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",TRIM(F45&amp;""))),COUNTIF(코드표!$A$2:$A$21,IF(RIGHT(LEFT(TRIM(F45&amp;""),FIND(" ",TRIM(F45&amp;""))-1),2)="병원",LEFT(TRIM(F45&amp;""),FIND(" ",TRIM(F45&amp;""))-1),LEFT(TRIM(F45&amp;""),FIND(" ",TRIM(F45&amp;""))-1)&amp;"병원"))&gt;0,ISNUMBER(MATCH(TRIM(RIGHT(SUBSTITUTE(TRIM(F45&amp;"")," ",REPT(" ",60)),60)),코드표!$F$2:$F$101,0))),IF(RIGHT(LEFT(TRIM(F45&amp;""),FIND(" ",TRIM(F45&amp;""))-1),2)="병원",LEFT(TRIM(F45&amp;""),FIND(" ",TRIM(F45&amp;""))-1),LEFT(TRIM(F45&amp;""),FIND(" ",TRIM(F45&amp;""))-1)&amp;"병원")&amp;"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",TRIM(G45&amp;""))),COUNTIF(코드표!$A$2:$A$21,IF(RIGHT(LEFT(TRIM(G45&amp;""),FIND(" ",TRIM(G45&amp;""))-1),2)="병원",LEFT(TRIM(G45&amp;""),FIND(" ",TRIM(G45&amp;""))-1),LEFT(TRIM(G45&amp;""),FIND(" ",TRIM(G45&amp;""))-1)&amp;"병원"))&gt;0,ISNUMBER(MATCH(TRIM(RIGHT(SUBSTITUTE(TRIM(G45&amp;"")," ",REPT(" ",60)),60)),코드표!$F$2:$F$101,0))),IF(RIGHT(LEFT(TRIM(G45&amp;""),FIND(" ",TRIM(G45&amp;""))-1),2)="병원",LEFT(TRIM(G45&amp;""),FIND(" ",TRIM(G45&amp;""))-1),LEFT(TRIM(G45&amp;""),FIND(" ",TRIM(G45&amp;""))-1)&amp;"병원")&amp;"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",TRIM(H45&amp;""))),COUNTIF(코드표!$A$2:$A$21,IF(RIGHT(LEFT(TRIM(H45&amp;""),FIND(" ",TRIM(H45&amp;""))-1),2)="병원",LEFT(TRIM(H45&amp;""),FIND(" ",TRIM(H45&amp;""))-1),LEFT(TRIM(H45&amp;""),FIND(" ",TRIM(H45&amp;""))-1)&amp;"병원"))&gt;0,ISNUMBER(MATCH(TRIM(RIGHT(SUBSTITUTE(TRIM(H45&amp;"")," ",REPT(" ",60)),60)),코드표!$F$2:$F$101,0))),IF(RIGHT(LEFT(TRIM(H45&amp;""),FIND(" ",TRIM(H45&amp;""))-1),2)="병원",LEFT(TRIM(H45&amp;""),FIND(" ",TRIM(H45&amp;""))-1),LEFT(TRIM(H45&amp;""),FIND(" ",TRIM(H45&amp;""))-1)&amp;"병원")&amp;"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",TRIM(I45&amp;""))),COUNTIF(코드표!$A$2:$A$21,IF(RIGHT(LEFT(TRIM(I45&amp;""),FIND(" ",TRIM(I45&amp;""))-1),2)="병원",LEFT(TRIM(I45&amp;""),FIND(" ",TRIM(I45&amp;""))-1),LEFT(TRIM(I45&amp;""),FIND(" ",TRIM(I45&amp;""))-1)&amp;"병원"))&gt;0,ISNUMBER(MATCH(TRIM(RIGHT(SUBSTITUTE(TRIM(I45&amp;"")," ",REPT(" ",60)),60)),코드표!$F$2:$F$101,0))),IF(RIGHT(LEFT(TRIM(I45&amp;""),FIND(" ",TRIM(I45&amp;""))-1),2)="병원",LEFT(TRIM(I45&amp;""),FIND(" ",TRIM(I45&amp;""))-1),LEFT(TRIM(I45&amp;""),FIND(" ",TRIM(I45&amp;""))-1)&amp;"병원")&amp;"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",TRIM(J45&amp;""))),COUNTIF(코드표!$A$2:$A$21,IF(RIGHT(LEFT(TRIM(J45&amp;""),FIND(" ",TRIM(J45&amp;""))-1),2)="병원",LEFT(TRIM(J45&amp;""),FIND(" ",TRIM(J45&amp;""))-1),LEFT(TRIM(J45&amp;""),FIND(" ",TRIM(J45&amp;""))-1)&amp;"병원"))&gt;0,ISNUMBER(MATCH(TRIM(RIGHT(SUBSTITUTE(TRIM(J45&amp;"")," ",REPT(" ",60)),60)),코드표!$F$2:$F$101,0))),IF(RIGHT(LEFT(TRIM(J45&amp;""),FIND(" ",TRIM(J45&amp;""))-1),2)="병원",LEFT(TRIM(J45&amp;""),FIND(" ",TRIM(J45&amp;""))-1),LEFT(TRIM(J45&amp;""),FIND(" ",TRIM(J45&amp;""))-1)&amp;"병원")&amp;"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",TRIM(E46&amp;""))),COUNTIF(코드표!$A$2:$A$21,IF(RIGHT(LEFT(TRIM(E46&amp;""),FIND(" ",TRIM(E46&amp;""))-1),2)="병원",LEFT(TRIM(E46&amp;""),FIND(" ",TRIM(E46&amp;""))-1),LEFT(TRIM(E46&amp;""),FIND(" ",TRIM(E46&amp;""))-1)&amp;"병원"))&gt;0,ISNUMBER(MATCH(TRIM(RIGHT(SUBSTITUTE(TRIM(E46&amp;"")," ",REPT(" ",60)),60)),코드표!$F$2:$F$101,0))),IF(RIGHT(LEFT(TRIM(E46&amp;""),FIND(" ",TRIM(E46&amp;""))-1),2)="병원",LEFT(TRIM(E46&amp;""),FIND(" ",TRIM(E46&amp;""))-1),LEFT(TRIM(E46&amp;""),FIND(" ",TRIM(E46&amp;""))-1)&amp;"병원")&amp;"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",TRIM(F46&amp;""))),COUNTIF(코드표!$A$2:$A$21,IF(RIGHT(LEFT(TRIM(F46&amp;""),FIND(" ",TRIM(F46&amp;""))-1),2)="병원",LEFT(TRIM(F46&amp;""),FIND(" ",TRIM(F46&amp;""))-1),LEFT(TRIM(F46&amp;""),FIND(" ",TRIM(F46&amp;""))-1)&amp;"병원"))&gt;0,ISNUMBER(MATCH(TRIM(RIGHT(SUBSTITUTE(TRIM(F46&amp;"")," ",REPT(" ",60)),60)),코드표!$F$2:$F$101,0))),IF(RIGHT(LEFT(TRIM(F46&amp;""),FIND(" ",TRIM(F46&amp;""))-1),2)="병원",LEFT(TRIM(F46&amp;""),FIND(" ",TRIM(F46&amp;""))-1),LEFT(TRIM(F46&amp;""),FIND(" ",TRIM(F46&amp;""))-1)&amp;"병원")&amp;"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",TRIM(G46&amp;""))),COUNTIF(코드표!$A$2:$A$21,IF(RIGHT(LEFT(TRIM(G46&amp;""),FIND(" ",TRIM(G46&amp;""))-1),2)="병원",LEFT(TRIM(G46&amp;""),FIND(" ",TRIM(G46&amp;""))-1),LEFT(TRIM(G46&amp;""),FIND(" ",TRIM(G46&amp;""))-1)&amp;"병원"))&gt;0,ISNUMBER(MATCH(TRIM(RIGHT(SUBSTITUTE(TRIM(G46&amp;"")," ",REPT(" ",60)),60)),코드표!$F$2:$F$101,0))),IF(RIGHT(LEFT(TRIM(G46&amp;""),FIND(" ",TRIM(G46&amp;""))-1),2)="병원",LEFT(TRIM(G46&amp;""),FIND(" ",TRIM(G46&amp;""))-1),LEFT(TRIM(G46&amp;""),FIND(" ",TRIM(G46&amp;""))-1)&amp;"병원")&amp;"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",TRIM(H46&amp;""))),COUNTIF(코드표!$A$2:$A$21,IF(RIGHT(LEFT(TRIM(H46&amp;""),FIND(" ",TRIM(H46&amp;""))-1),2)="병원",LEFT(TRIM(H46&amp;""),FIND(" ",TRIM(H46&amp;""))-1),LEFT(TRIM(H46&amp;""),FIND(" ",TRIM(H46&amp;""))-1)&amp;"병원"))&gt;0,ISNUMBER(MATCH(TRIM(RIGHT(SUBSTITUTE(TRIM(H46&amp;"")," ",REPT(" ",60)),60)),코드표!$F$2:$F$101,0))),IF(RIGHT(LEFT(TRIM(H46&amp;""),FIND(" ",TRIM(H46&amp;""))-1),2)="병원",LEFT(TRIM(H46&amp;""),FIND(" ",TRIM(H46&amp;""))-1),LEFT(TRIM(H46&amp;""),FIND(" ",TRIM(H46&amp;""))-1)&amp;"병원")&amp;"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",TRIM(I46&amp;""))),COUNTIF(코드표!$A$2:$A$21,IF(RIGHT(LEFT(TRIM(I46&amp;""),FIND(" ",TRIM(I46&amp;""))-1),2)="병원",LEFT(TRIM(I46&amp;""),FIND(" ",TRIM(I46&amp;""))-1),LEFT(TRIM(I46&amp;""),FIND(" ",TRIM(I46&amp;""))-1)&amp;"병원"))&gt;0,ISNUMBER(MATCH(TRIM(RIGHT(SUBSTITUTE(TRIM(I46&amp;"")," ",REPT(" ",60)),60)),코드표!$F$2:$F$101,0))),IF(RIGHT(LEFT(TRIM(I46&amp;""),FIND(" ",TRIM(I46&amp;""))-1),2)="병원",LEFT(TRIM(I46&amp;""),FIND(" ",TRIM(I46&amp;""))-1),LEFT(TRIM(I46&amp;""),FIND(" ",TRIM(I46&amp;""))-1)&amp;"병원")&amp;"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",TRIM(J46&amp;""))),COUNTIF(코드표!$A$2:$A$21,IF(RIGHT(LEFT(TRIM(J46&amp;""),FIND(" ",TRIM(J46&amp;""))-1),2)="병원",LEFT(TRIM(J46&amp;""),FIND(" ",TRIM(J46&amp;""))-1),LEFT(TRIM(J46&amp;""),FIND(" ",TRIM(J46&amp;""))-1)&amp;"병원"))&gt;0,ISNUMBER(MATCH(TRIM(RIGHT(SUBSTITUTE(TRIM(J46&amp;"")," ",REPT(" ",60)),60)),코드표!$F$2:$F$101,0))),IF(RIGHT(LEFT(TRIM(J46&amp;""),FIND(" ",TRIM(J46&amp;""))-1),2)="병원",LEFT(TRIM(J46&amp;""),FIND(" ",TRIM(J46&amp;""))-1),LEFT(TRIM(J46&amp;""),FIND(" ",TRIM(J46&amp;""))-1)&amp;"병원")&amp;"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",TRIM(E47&amp;""))),COUNTIF(코드표!$A$2:$A$21,IF(RIGHT(LEFT(TRIM(E47&amp;""),FIND(" ",TRIM(E47&amp;""))-1),2)="병원",LEFT(TRIM(E47&amp;""),FIND(" ",TRIM(E47&amp;""))-1),LEFT(TRIM(E47&amp;""),FIND(" ",TRIM(E47&amp;""))-1)&amp;"병원"))&gt;0,ISNUMBER(MATCH(TRIM(RIGHT(SUBSTITUTE(TRIM(E47&amp;"")," ",REPT(" ",60)),60)),코드표!$F$2:$F$101,0))),IF(RIGHT(LEFT(TRIM(E47&amp;""),FIND(" ",TRIM(E47&amp;""))-1),2)="병원",LEFT(TRIM(E47&amp;""),FIND(" ",TRIM(E47&amp;""))-1),LEFT(TRIM(E47&amp;""),FIND(" ",TRIM(E47&amp;""))-1)&amp;"병원")&amp;"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",TRIM(F47&amp;""))),COUNTIF(코드표!$A$2:$A$21,IF(RIGHT(LEFT(TRIM(F47&amp;""),FIND(" ",TRIM(F47&amp;""))-1),2)="병원",LEFT(TRIM(F47&amp;""),FIND(" ",TRIM(F47&amp;""))-1),LEFT(TRIM(F47&amp;""),FIND(" ",TRIM(F47&amp;""))-1)&amp;"병원"))&gt;0,ISNUMBER(MATCH(TRIM(RIGHT(SUBSTITUTE(TRIM(F47&amp;"")," ",REPT(" ",60)),60)),코드표!$F$2:$F$101,0))),IF(RIGHT(LEFT(TRIM(F47&amp;""),FIND(" ",TRIM(F47&amp;""))-1),2)="병원",LEFT(TRIM(F47&amp;""),FIND(" ",TRIM(F47&amp;""))-1),LEFT(TRIM(F47&amp;""),FIND(" ",TRIM(F47&amp;""))-1)&amp;"병원")&amp;"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",TRIM(G47&amp;""))),COUNTIF(코드표!$A$2:$A$21,IF(RIGHT(LEFT(TRIM(G47&amp;""),FIND(" ",TRIM(G47&amp;""))-1),2)="병원",LEFT(TRIM(G47&amp;""),FIND(" ",TRIM(G47&amp;""))-1),LEFT(TRIM(G47&amp;""),FIND(" ",TRIM(G47&amp;""))-1)&amp;"병원"))&gt;0,ISNUMBER(MATCH(TRIM(RIGHT(SUBSTITUTE(TRIM(G47&amp;"")," ",REPT(" ",60)),60)),코드표!$F$2:$F$101,0))),IF(RIGHT(LEFT(TRIM(G47&amp;""),FIND(" ",TRIM(G47&amp;""))-1),2)="병원",LEFT(TRIM(G47&amp;""),FIND(" ",TRIM(G47&amp;""))-1),LEFT(TRIM(G47&amp;""),FIND(" ",TRIM(G47&amp;""))-1)&amp;"병원")&amp;"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",TRIM(H47&amp;""))),COUNTIF(코드표!$A$2:$A$21,IF(RIGHT(LEFT(TRIM(H47&amp;""),FIND(" ",TRIM(H47&amp;""))-1),2)="병원",LEFT(TRIM(H47&amp;""),FIND(" ",TRIM(H47&amp;""))-1),LEFT(TRIM(H47&amp;""),FIND(" ",TRIM(H47&amp;""))-1)&amp;"병원"))&gt;0,ISNUMBER(MATCH(TRIM(RIGHT(SUBSTITUTE(TRIM(H47&amp;"")," ",REPT(" ",60)),60)),코드표!$F$2:$F$101,0))),IF(RIGHT(LEFT(TRIM(H47&amp;""),FIND(" ",TRIM(H47&amp;""))-1),2)="병원",LEFT(TRIM(H47&amp;""),FIND(" ",TRIM(H47&amp;""))-1),LEFT(TRIM(H47&amp;""),FIND(" ",TRIM(H47&amp;""))-1)&amp;"병원")&amp;"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",TRIM(I47&amp;""))),COUNTIF(코드표!$A$2:$A$21,IF(RIGHT(LEFT(TRIM(I47&amp;""),FIND(" ",TRIM(I47&amp;""))-1),2)="병원",LEFT(TRIM(I47&amp;""),FIND(" ",TRIM(I47&amp;""))-1),LEFT(TRIM(I47&amp;""),FIND(" ",TRIM(I47&amp;""))-1)&amp;"병원"))&gt;0,ISNUMBER(MATCH(TRIM(RIGHT(SUBSTITUTE(TRIM(I47&amp;"")," ",REPT(" ",60)),60)),코드표!$F$2:$F$101,0))),IF(RIGHT(LEFT(TRIM(I47&amp;""),FIND(" ",TRIM(I47&amp;""))-1),2)="병원",LEFT(TRIM(I47&amp;""),FIND(" ",TRIM(I47&amp;""))-1),LEFT(TRIM(I47&amp;""),FIND(" ",TRIM(I47&amp;""))-1)&amp;"병원")&amp;"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",TRIM(J47&amp;""))),COUNTIF(코드표!$A$2:$A$21,IF(RIGHT(LEFT(TRIM(J47&amp;""),FIND(" ",TRIM(J47&amp;""))-1),2)="병원",LEFT(TRIM(J47&amp;""),FIND(" ",TRIM(J47&amp;""))-1),LEFT(TRIM(J47&amp;""),FIND(" ",TRIM(J47&amp;""))-1)&amp;"병원"))&gt;0,ISNUMBER(MATCH(TRIM(RIGHT(SUBSTITUTE(TRIM(J47&amp;"")," ",REPT(" ",60)),60)),코드표!$F$2:$F$101,0))),IF(RIGHT(LEFT(TRIM(J47&amp;""),FIND(" ",TRIM(J47&amp;""))-1),2)="병원",LEFT(TRIM(J47&amp;""),FIND(" ",TRIM(J47&amp;""))-1),LEFT(TRIM(J47&amp;""),FIND(" ",TRIM(J47&amp;""))-1)&amp;"병원")&amp;"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",TRIM(E48&amp;""))),COUNTIF(코드표!$A$2:$A$21,IF(RIGHT(LEFT(TRIM(E48&amp;""),FIND(" ",TRIM(E48&amp;""))-1),2)="병원",LEFT(TRIM(E48&amp;""),FIND(" ",TRIM(E48&amp;""))-1),LEFT(TRIM(E48&amp;""),FIND(" ",TRIM(E48&amp;""))-1)&amp;"병원"))&gt;0,ISNUMBER(MATCH(TRIM(RIGHT(SUBSTITUTE(TRIM(E48&amp;"")," ",REPT(" ",60)),60)),코드표!$F$2:$F$101,0))),IF(RIGHT(LEFT(TRIM(E48&amp;""),FIND(" ",TRIM(E48&amp;""))-1),2)="병원",LEFT(TRIM(E48&amp;""),FIND(" ",TRIM(E48&amp;""))-1),LEFT(TRIM(E48&amp;""),FIND(" ",TRIM(E48&amp;""))-1)&amp;"병원")&amp;"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",TRIM(F48&amp;""))),COUNTIF(코드표!$A$2:$A$21,IF(RIGHT(LEFT(TRIM(F48&amp;""),FIND(" ",TRIM(F48&amp;""))-1),2)="병원",LEFT(TRIM(F48&amp;""),FIND(" ",TRIM(F48&amp;""))-1),LEFT(TRIM(F48&amp;""),FIND(" ",TRIM(F48&amp;""))-1)&amp;"병원"))&gt;0,ISNUMBER(MATCH(TRIM(RIGHT(SUBSTITUTE(TRIM(F48&amp;"")," ",REPT(" ",60)),60)),코드표!$F$2:$F$101,0))),IF(RIGHT(LEFT(TRIM(F48&amp;""),FIND(" ",TRIM(F48&amp;""))-1),2)="병원",LEFT(TRIM(F48&amp;""),FIND(" ",TRIM(F48&amp;""))-1),LEFT(TRIM(F48&amp;""),FIND(" ",TRIM(F48&amp;""))-1)&amp;"병원")&amp;"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",TRIM(G48&amp;""))),COUNTIF(코드표!$A$2:$A$21,IF(RIGHT(LEFT(TRIM(G48&amp;""),FIND(" ",TRIM(G48&amp;""))-1),2)="병원",LEFT(TRIM(G48&amp;""),FIND(" ",TRIM(G48&amp;""))-1),LEFT(TRIM(G48&amp;""),FIND(" ",TRIM(G48&amp;""))-1)&amp;"병원"))&gt;0,ISNUMBER(MATCH(TRIM(RIGHT(SUBSTITUTE(TRIM(G48&amp;"")," ",REPT(" ",60)),60)),코드표!$F$2:$F$101,0))),IF(RIGHT(LEFT(TRIM(G48&amp;""),FIND(" ",TRIM(G48&amp;""))-1),2)="병원",LEFT(TRIM(G48&amp;""),FIND(" ",TRIM(G48&amp;""))-1),LEFT(TRIM(G48&amp;""),FIND(" ",TRIM(G48&amp;""))-1)&amp;"병원")&amp;"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",TRIM(H48&amp;""))),COUNTIF(코드표!$A$2:$A$21,IF(RIGHT(LEFT(TRIM(H48&amp;""),FIND(" ",TRIM(H48&amp;""))-1),2)="병원",LEFT(TRIM(H48&amp;""),FIND(" ",TRIM(H48&amp;""))-1),LEFT(TRIM(H48&amp;""),FIND(" ",TRIM(H48&amp;""))-1)&amp;"병원"))&gt;0,ISNUMBER(MATCH(TRIM(RIGHT(SUBSTITUTE(TRIM(H48&amp;"")," ",REPT(" ",60)),60)),코드표!$F$2:$F$101,0))),IF(RIGHT(LEFT(TRIM(H48&amp;""),FIND(" ",TRIM(H48&amp;""))-1),2)="병원",LEFT(TRIM(H48&amp;""),FIND(" ",TRIM(H48&amp;""))-1),LEFT(TRIM(H48&amp;""),FIND(" ",TRIM(H48&amp;""))-1)&amp;"병원")&amp;"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",TRIM(I48&amp;""))),COUNTIF(코드표!$A$2:$A$21,IF(RIGHT(LEFT(TRIM(I48&amp;""),FIND(" ",TRIM(I48&amp;""))-1),2)="병원",LEFT(TRIM(I48&amp;""),FIND(" ",TRIM(I48&amp;""))-1),LEFT(TRIM(I48&amp;""),FIND(" ",TRIM(I48&amp;""))-1)&amp;"병원"))&gt;0,ISNUMBER(MATCH(TRIM(RIGHT(SUBSTITUTE(TRIM(I48&amp;"")," ",REPT(" ",60)),60)),코드표!$F$2:$F$101,0))),IF(RIGHT(LEFT(TRIM(I48&amp;""),FIND(" ",TRIM(I48&amp;""))-1),2)="병원",LEFT(TRIM(I48&amp;""),FIND(" ",TRIM(I48&amp;""))-1),LEFT(TRIM(I48&amp;""),FIND(" ",TRIM(I48&amp;""))-1)&amp;"병원")&amp;"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",TRIM(J48&amp;""))),COUNTIF(코드표!$A$2:$A$21,IF(RIGHT(LEFT(TRIM(J48&amp;""),FIND(" ",TRIM(J48&amp;""))-1),2)="병원",LEFT(TRIM(J48&amp;""),FIND(" ",TRIM(J48&amp;""))-1),LEFT(TRIM(J48&amp;""),FIND(" ",TRIM(J48&amp;""))-1)&amp;"병원"))&gt;0,ISNUMBER(MATCH(TRIM(RIGHT(SUBSTITUTE(TRIM(J48&amp;"")," ",REPT(" ",60)),60)),코드표!$F$2:$F$101,0))),IF(RIGHT(LEFT(TRIM(J48&amp;""),FIND(" ",TRIM(J48&amp;""))-1),2)="병원",LEFT(TRIM(J48&amp;""),FIND(" ",TRIM(J48&amp;""))-1),LEFT(TRIM(J48&amp;""),FIND(" ",TRIM(J48&amp;""))-1)&amp;"병원")&amp;"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",TRIM(E49&amp;""))),COUNTIF(코드표!$A$2:$A$21,IF(RIGHT(LEFT(TRIM(E49&amp;""),FIND(" ",TRIM(E49&amp;""))-1),2)="병원",LEFT(TRIM(E49&amp;""),FIND(" ",TRIM(E49&amp;""))-1),LEFT(TRIM(E49&amp;""),FIND(" ",TRIM(E49&amp;""))-1)&amp;"병원"))&gt;0,ISNUMBER(MATCH(TRIM(RIGHT(SUBSTITUTE(TRIM(E49&amp;"")," ",REPT(" ",60)),60)),코드표!$F$2:$F$101,0))),IF(RIGHT(LEFT(TRIM(E49&amp;""),FIND(" ",TRIM(E49&amp;""))-1),2)="병원",LEFT(TRIM(E49&amp;""),FIND(" ",TRIM(E49&amp;""))-1),LEFT(TRIM(E49&amp;""),FIND(" ",TRIM(E49&amp;""))-1)&amp;"병원")&amp;"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",TRIM(F49&amp;""))),COUNTIF(코드표!$A$2:$A$21,IF(RIGHT(LEFT(TRIM(F49&amp;""),FIND(" ",TRIM(F49&amp;""))-1),2)="병원",LEFT(TRIM(F49&amp;""),FIND(" ",TRIM(F49&amp;""))-1),LEFT(TRIM(F49&amp;""),FIND(" ",TRIM(F49&amp;""))-1)&amp;"병원"))&gt;0,ISNUMBER(MATCH(TRIM(RIGHT(SUBSTITUTE(TRIM(F49&amp;"")," ",REPT(" ",60)),60)),코드표!$F$2:$F$101,0))),IF(RIGHT(LEFT(TRIM(F49&amp;""),FIND(" ",TRIM(F49&amp;""))-1),2)="병원",LEFT(TRIM(F49&amp;""),FIND(" ",TRIM(F49&amp;""))-1),LEFT(TRIM(F49&amp;""),FIND(" ",TRIM(F49&amp;""))-1)&amp;"병원")&amp;"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",TRIM(G49&amp;""))),COUNTIF(코드표!$A$2:$A$21,IF(RIGHT(LEFT(TRIM(G49&amp;""),FIND(" ",TRIM(G49&amp;""))-1),2)="병원",LEFT(TRIM(G49&amp;""),FIND(" ",TRIM(G49&amp;""))-1),LEFT(TRIM(G49&amp;""),FIND(" ",TRIM(G49&amp;""))-1)&amp;"병원"))&gt;0,ISNUMBER(MATCH(TRIM(RIGHT(SUBSTITUTE(TRIM(G49&amp;"")," ",REPT(" ",60)),60)),코드표!$F$2:$F$101,0))),IF(RIGHT(LEFT(TRIM(G49&amp;""),FIND(" ",TRIM(G49&amp;""))-1),2)="병원",LEFT(TRIM(G49&amp;""),FIND(" ",TRIM(G49&amp;""))-1),LEFT(TRIM(G49&amp;""),FIND(" ",TRIM(G49&amp;""))-1)&amp;"병원")&amp;"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",TRIM(H49&amp;""))),COUNTIF(코드표!$A$2:$A$21,IF(RIGHT(LEFT(TRIM(H49&amp;""),FIND(" ",TRIM(H49&amp;""))-1),2)="병원",LEFT(TRIM(H49&amp;""),FIND(" ",TRIM(H49&amp;""))-1),LEFT(TRIM(H49&amp;""),FIND(" ",TRIM(H49&amp;""))-1)&amp;"병원"))&gt;0,ISNUMBER(MATCH(TRIM(RIGHT(SUBSTITUTE(TRIM(H49&amp;"")," ",REPT(" ",60)),60)),코드표!$F$2:$F$101,0))),IF(RIGHT(LEFT(TRIM(H49&amp;""),FIND(" ",TRIM(H49&amp;""))-1),2)="병원",LEFT(TRIM(H49&amp;""),FIND(" ",TRIM(H49&amp;""))-1),LEFT(TRIM(H49&amp;""),FIND(" ",TRIM(H49&amp;""))-1)&amp;"병원")&amp;"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",TRIM(I49&amp;""))),COUNTIF(코드표!$A$2:$A$21,IF(RIGHT(LEFT(TRIM(I49&amp;""),FIND(" ",TRIM(I49&amp;""))-1),2)="병원",LEFT(TRIM(I49&amp;""),FIND(" ",TRIM(I49&amp;""))-1),LEFT(TRIM(I49&amp;""),FIND(" ",TRIM(I49&amp;""))-1)&amp;"병원"))&gt;0,ISNUMBER(MATCH(TRIM(RIGHT(SUBSTITUTE(TRIM(I49&amp;"")," ",REPT(" ",60)),60)),코드표!$F$2:$F$101,0))),IF(RIGHT(LEFT(TRIM(I49&amp;""),FIND(" ",TRIM(I49&amp;""))-1),2)="병원",LEFT(TRIM(I49&amp;""),FIND(" ",TRIM(I49&amp;""))-1),LEFT(TRIM(I49&amp;""),FIND(" ",TRIM(I49&amp;""))-1)&amp;"병원")&amp;"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",TRIM(J49&amp;""))),COUNTIF(코드표!$A$2:$A$21,IF(RIGHT(LEFT(TRIM(J49&amp;""),FIND(" ",TRIM(J49&amp;""))-1),2)="병원",LEFT(TRIM(J49&amp;""),FIND(" ",TRIM(J49&amp;""))-1),LEFT(TRIM(J49&amp;""),FIND(" ",TRIM(J49&amp;""))-1)&amp;"병원"))&gt;0,ISNUMBER(MATCH(TRIM(RIGHT(SUBSTITUTE(TRIM(J49&amp;"")," ",REPT(" ",60)),60)),코드표!$F$2:$F$101,0))),IF(RIGHT(LEFT(TRIM(J49&amp;""),FIND(" ",TRIM(J49&amp;""))-1),2)="병원",LEFT(TRIM(J49&amp;""),FIND(" ",TRIM(J49&amp;""))-1),LEFT(TRIM(J49&amp;""),FIND(" ",TRIM(J49&amp;""))-1)&amp;"병원")&amp;"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",TRIM(E50&amp;""))),COUNTIF(코드표!$A$2:$A$21,IF(RIGHT(LEFT(TRIM(E50&amp;""),FIND(" ",TRIM(E50&amp;""))-1),2)="병원",LEFT(TRIM(E50&amp;""),FIND(" ",TRIM(E50&amp;""))-1),LEFT(TRIM(E50&amp;""),FIND(" ",TRIM(E50&amp;""))-1)&amp;"병원"))&gt;0,ISNUMBER(MATCH(TRIM(RIGHT(SUBSTITUTE(TRIM(E50&amp;"")," ",REPT(" ",60)),60)),코드표!$F$2:$F$101,0))),IF(RIGHT(LEFT(TRIM(E50&amp;""),FIND(" ",TRIM(E50&amp;""))-1),2)="병원",LEFT(TRIM(E50&amp;""),FIND(" ",TRIM(E50&amp;""))-1),LEFT(TRIM(E50&amp;""),FIND(" ",TRIM(E50&amp;""))-1)&amp;"병원")&amp;"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",TRIM(F50&amp;""))),COUNTIF(코드표!$A$2:$A$21,IF(RIGHT(LEFT(TRIM(F50&amp;""),FIND(" ",TRIM(F50&amp;""))-1),2)="병원",LEFT(TRIM(F50&amp;""),FIND(" ",TRIM(F50&amp;""))-1),LEFT(TRIM(F50&amp;""),FIND(" ",TRIM(F50&amp;""))-1)&amp;"병원"))&gt;0,ISNUMBER(MATCH(TRIM(RIGHT(SUBSTITUTE(TRIM(F50&amp;"")," ",REPT(" ",60)),60)),코드표!$F$2:$F$101,0))),IF(RIGHT(LEFT(TRIM(F50&amp;""),FIND(" ",TRIM(F50&amp;""))-1),2)="병원",LEFT(TRIM(F50&amp;""),FIND(" ",TRIM(F50&amp;""))-1),LEFT(TRIM(F50&amp;""),FIND(" ",TRIM(F50&amp;""))-1)&amp;"병원")&amp;"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",TRIM(G50&amp;""))),COUNTIF(코드표!$A$2:$A$21,IF(RIGHT(LEFT(TRIM(G50&amp;""),FIND(" ",TRIM(G50&amp;""))-1),2)="병원",LEFT(TRIM(G50&amp;""),FIND(" ",TRIM(G50&amp;""))-1),LEFT(TRIM(G50&amp;""),FIND(" ",TRIM(G50&amp;""))-1)&amp;"병원"))&gt;0,ISNUMBER(MATCH(TRIM(RIGHT(SUBSTITUTE(TRIM(G50&amp;"")," ",REPT(" ",60)),60)),코드표!$F$2:$F$101,0))),IF(RIGHT(LEFT(TRIM(G50&amp;""),FIND(" ",TRIM(G50&amp;""))-1),2)="병원",LEFT(TRIM(G50&amp;""),FIND(" ",TRIM(G50&amp;""))-1),LEFT(TRIM(G50&amp;""),FIND(" ",TRIM(G50&amp;""))-1)&amp;"병원")&amp;"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",TRIM(H50&amp;""))),COUNTIF(코드표!$A$2:$A$21,IF(RIGHT(LEFT(TRIM(H50&amp;""),FIND(" ",TRIM(H50&amp;""))-1),2)="병원",LEFT(TRIM(H50&amp;""),FIND(" ",TRIM(H50&amp;""))-1),LEFT(TRIM(H50&amp;""),FIND(" ",TRIM(H50&amp;""))-1)&amp;"병원"))&gt;0,ISNUMBER(MATCH(TRIM(RIGHT(SUBSTITUTE(TRIM(H50&amp;"")," ",REPT(" ",60)),60)),코드표!$F$2:$F$101,0))),IF(RIGHT(LEFT(TRIM(H50&amp;""),FIND(" ",TRIM(H50&amp;""))-1),2)="병원",LEFT(TRIM(H50&amp;""),FIND(" ",TRIM(H50&amp;""))-1),LEFT(TRIM(H50&amp;""),FIND(" ",TRIM(H50&amp;""))-1)&amp;"병원")&amp;"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",TRIM(I50&amp;""))),COUNTIF(코드표!$A$2:$A$21,IF(RIGHT(LEFT(TRIM(I50&amp;""),FIND(" ",TRIM(I50&amp;""))-1),2)="병원",LEFT(TRIM(I50&amp;""),FIND(" ",TRIM(I50&amp;""))-1),LEFT(TRIM(I50&amp;""),FIND(" ",TRIM(I50&amp;""))-1)&amp;"병원"))&gt;0,ISNUMBER(MATCH(TRIM(RIGHT(SUBSTITUTE(TRIM(I50&amp;"")," ",REPT(" ",60)),60)),코드표!$F$2:$F$101,0))),IF(RIGHT(LEFT(TRIM(I50&amp;""),FIND(" ",TRIM(I50&amp;""))-1),2)="병원",LEFT(TRIM(I50&amp;""),FIND(" ",TRIM(I50&amp;""))-1),LEFT(TRIM(I50&amp;""),FIND(" ",TRIM(I50&amp;""))-1)&amp;"병원")&amp;"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",TRIM(J50&amp;""))),COUNTIF(코드표!$A$2:$A$21,IF(RIGHT(LEFT(TRIM(J50&amp;""),FIND(" ",TRIM(J50&amp;""))-1),2)="병원",LEFT(TRIM(J50&amp;""),FIND(" ",TRIM(J50&amp;""))-1),LEFT(TRIM(J50&amp;""),FIND(" ",TRIM(J50&amp;""))-1)&amp;"병원"))&gt;0,ISNUMBER(MATCH(TRIM(RIGHT(SUBSTITUTE(TRIM(J50&amp;"")," ",REPT(" ",60)),60)),코드표!$F$2:$F$101,0))),IF(RIGHT(LEFT(TRIM(J50&amp;""),FIND(" ",TRIM(J50&amp;""))-1),2)="병원",LEFT(TRIM(J50&amp;""),FIND(" ",TRIM(J50&amp;""))-1),LEFT(TRIM(J50&amp;""),FIND(" ",TRIM(J50&amp;""))-1)&amp;"병원")&amp;"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",TRIM(E51&amp;""))),COUNTIF(코드표!$A$2:$A$21,IF(RIGHT(LEFT(TRIM(E51&amp;""),FIND(" ",TRIM(E51&amp;""))-1),2)="병원",LEFT(TRIM(E51&amp;""),FIND(" ",TRIM(E51&amp;""))-1),LEFT(TRIM(E51&amp;""),FIND(" ",TRIM(E51&amp;""))-1)&amp;"병원"))&gt;0,ISNUMBER(MATCH(TRIM(RIGHT(SUBSTITUTE(TRIM(E51&amp;"")," ",REPT(" ",60)),60)),코드표!$F$2:$F$101,0))),IF(RIGHT(LEFT(TRIM(E51&amp;""),FIND(" ",TRIM(E51&amp;""))-1),2)="병원",LEFT(TRIM(E51&amp;""),FIND(" ",TRIM(E51&amp;""))-1),LEFT(TRIM(E51&amp;""),FIND(" ",TRIM(E51&amp;""))-1)&amp;"병원")&amp;"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",TRIM(F51&amp;""))),COUNTIF(코드표!$A$2:$A$21,IF(RIGHT(LEFT(TRIM(F51&amp;""),FIND(" ",TRIM(F51&amp;""))-1),2)="병원",LEFT(TRIM(F51&amp;""),FIND(" ",TRIM(F51&amp;""))-1),LEFT(TRIM(F51&amp;""),FIND(" ",TRIM(F51&amp;""))-1)&amp;"병원"))&gt;0,ISNUMBER(MATCH(TRIM(RIGHT(SUBSTITUTE(TRIM(F51&amp;"")," ",REPT(" ",60)),60)),코드표!$F$2:$F$101,0))),IF(RIGHT(LEFT(TRIM(F51&amp;""),FIND(" ",TRIM(F51&amp;""))-1),2)="병원",LEFT(TRIM(F51&amp;""),FIND(" ",TRIM(F51&amp;""))-1),LEFT(TRIM(F51&amp;""),FIND(" ",TRIM(F51&amp;""))-1)&amp;"병원")&amp;"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",TRIM(G51&amp;""))),COUNTIF(코드표!$A$2:$A$21,IF(RIGHT(LEFT(TRIM(G51&amp;""),FIND(" ",TRIM(G51&amp;""))-1),2)="병원",LEFT(TRIM(G51&amp;""),FIND(" ",TRIM(G51&amp;""))-1),LEFT(TRIM(G51&amp;""),FIND(" ",TRIM(G51&amp;""))-1)&amp;"병원"))&gt;0,ISNUMBER(MATCH(TRIM(RIGHT(SUBSTITUTE(TRIM(G51&amp;"")," ",REPT(" ",60)),60)),코드표!$F$2:$F$101,0))),IF(RIGHT(LEFT(TRIM(G51&amp;""),FIND(" ",TRIM(G51&amp;""))-1),2)="병원",LEFT(TRIM(G51&amp;""),FIND(" ",TRIM(G51&amp;""))-1),LEFT(TRIM(G51&amp;""),FIND(" ",TRIM(G51&amp;""))-1)&amp;"병원")&amp;"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",TRIM(H51&amp;""))),COUNTIF(코드표!$A$2:$A$21,IF(RIGHT(LEFT(TRIM(H51&amp;""),FIND(" ",TRIM(H51&amp;""))-1),2)="병원",LEFT(TRIM(H51&amp;""),FIND(" ",TRIM(H51&amp;""))-1),LEFT(TRIM(H51&amp;""),FIND(" ",TRIM(H51&amp;""))-1)&amp;"병원"))&gt;0,ISNUMBER(MATCH(TRIM(RIGHT(SUBSTITUTE(TRIM(H51&amp;"")," ",REPT(" ",60)),60)),코드표!$F$2:$F$101,0))),IF(RIGHT(LEFT(TRIM(H51&amp;""),FIND(" ",TRIM(H51&amp;""))-1),2)="병원",LEFT(TRIM(H51&amp;""),FIND(" ",TRIM(H51&amp;""))-1),LEFT(TRIM(H51&amp;""),FIND(" ",TRIM(H51&amp;""))-1)&amp;"병원")&amp;"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",TRIM(I51&amp;""))),COUNTIF(코드표!$A$2:$A$21,IF(RIGHT(LEFT(TRIM(I51&amp;""),FIND(" ",TRIM(I51&amp;""))-1),2)="병원",LEFT(TRIM(I51&amp;""),FIND(" ",TRIM(I51&amp;""))-1),LEFT(TRIM(I51&amp;""),FIND(" ",TRIM(I51&amp;""))-1)&amp;"병원"))&gt;0,ISNUMBER(MATCH(TRIM(RIGHT(SUBSTITUTE(TRIM(I51&amp;"")," ",REPT(" ",60)),60)),코드표!$F$2:$F$101,0))),IF(RIGHT(LEFT(TRIM(I51&amp;""),FIND(" ",TRIM(I51&amp;""))-1),2)="병원",LEFT(TRIM(I51&amp;""),FIND(" ",TRIM(I51&amp;""))-1),LEFT(TRIM(I51&amp;""),FIND(" ",TRIM(I51&amp;""))-1)&amp;"병원")&amp;"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",TRIM(J51&amp;""))),COUNTIF(코드표!$A$2:$A$21,IF(RIGHT(LEFT(TRIM(J51&amp;""),FIND(" ",TRIM(J51&amp;""))-1),2)="병원",LEFT(TRIM(J51&amp;""),FIND(" ",TRIM(J51&amp;""))-1),LEFT(TRIM(J51&amp;""),FIND(" ",TRIM(J51&amp;""))-1)&amp;"병원"))&gt;0,ISNUMBER(MATCH(TRIM(RIGHT(SUBSTITUTE(TRIM(J51&amp;"")," ",REPT(" ",60)),60)),코드표!$F$2:$F$101,0))),IF(RIGHT(LEFT(TRIM(J51&amp;""),FIND(" ",TRIM(J51&amp;""))-1),2)="병원",LEFT(TRIM(J51&amp;""),FIND(" ",TRIM(J51&amp;""))-1),LEFT(TRIM(J51&amp;""),FIND(" ",TRIM(J51&amp;""))-1)&amp;"병원")&amp;"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",TRIM(E52&amp;""))),COUNTIF(코드표!$A$2:$A$21,IF(RIGHT(LEFT(TRIM(E52&amp;""),FIND(" ",TRIM(E52&amp;""))-1),2)="병원",LEFT(TRIM(E52&amp;""),FIND(" ",TRIM(E52&amp;""))-1),LEFT(TRIM(E52&amp;""),FIND(" ",TRIM(E52&amp;""))-1)&amp;"병원"))&gt;0,ISNUMBER(MATCH(TRIM(RIGHT(SUBSTITUTE(TRIM(E52&amp;"")," ",REPT(" ",60)),60)),코드표!$F$2:$F$101,0))),IF(RIGHT(LEFT(TRIM(E52&amp;""),FIND(" ",TRIM(E52&amp;""))-1),2)="병원",LEFT(TRIM(E52&amp;""),FIND(" ",TRIM(E52&amp;""))-1),LEFT(TRIM(E52&amp;""),FIND(" ",TRIM(E52&amp;""))-1)&amp;"병원")&amp;"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",TRIM(F52&amp;""))),COUNTIF(코드표!$A$2:$A$21,IF(RIGHT(LEFT(TRIM(F52&amp;""),FIND(" ",TRIM(F52&amp;""))-1),2)="병원",LEFT(TRIM(F52&amp;""),FIND(" ",TRIM(F52&amp;""))-1),LEFT(TRIM(F52&amp;""),FIND(" ",TRIM(F52&amp;""))-1)&amp;"병원"))&gt;0,ISNUMBER(MATCH(TRIM(RIGHT(SUBSTITUTE(TRIM(F52&amp;"")," ",REPT(" ",60)),60)),코드표!$F$2:$F$101,0))),IF(RIGHT(LEFT(TRIM(F52&amp;""),FIND(" ",TRIM(F52&amp;""))-1),2)="병원",LEFT(TRIM(F52&amp;""),FIND(" ",TRIM(F52&amp;""))-1),LEFT(TRIM(F52&amp;""),FIND(" ",TRIM(F52&amp;""))-1)&amp;"병원")&amp;"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",TRIM(G52&amp;""))),COUNTIF(코드표!$A$2:$A$21,IF(RIGHT(LEFT(TRIM(G52&amp;""),FIND(" ",TRIM(G52&amp;""))-1),2)="병원",LEFT(TRIM(G52&amp;""),FIND(" ",TRIM(G52&amp;""))-1),LEFT(TRIM(G52&amp;""),FIND(" ",TRIM(G52&amp;""))-1)&amp;"병원"))&gt;0,ISNUMBER(MATCH(TRIM(RIGHT(SUBSTITUTE(TRIM(G52&amp;"")," ",REPT(" ",60)),60)),코드표!$F$2:$F$101,0))),IF(RIGHT(LEFT(TRIM(G52&amp;""),FIND(" ",TRIM(G52&amp;""))-1),2)="병원",LEFT(TRIM(G52&amp;""),FIND(" ",TRIM(G52&amp;""))-1),LEFT(TRIM(G52&amp;""),FIND(" ",TRIM(G52&amp;""))-1)&amp;"병원")&amp;"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",TRIM(H52&amp;""))),COUNTIF(코드표!$A$2:$A$21,IF(RIGHT(LEFT(TRIM(H52&amp;""),FIND(" ",TRIM(H52&amp;""))-1),2)="병원",LEFT(TRIM(H52&amp;""),FIND(" ",TRIM(H52&amp;""))-1),LEFT(TRIM(H52&amp;""),FIND(" ",TRIM(H52&amp;""))-1)&amp;"병원"))&gt;0,ISNUMBER(MATCH(TRIM(RIGHT(SUBSTITUTE(TRIM(H52&amp;"")," ",REPT(" ",60)),60)),코드표!$F$2:$F$101,0))),IF(RIGHT(LEFT(TRIM(H52&amp;""),FIND(" ",TRIM(H52&amp;""))-1),2)="병원",LEFT(TRIM(H52&amp;""),FIND(" ",TRIM(H52&amp;""))-1),LEFT(TRIM(H52&amp;""),FIND(" ",TRIM(H52&amp;""))-1)&amp;"병원")&amp;"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",TRIM(I52&amp;""))),COUNTIF(코드표!$A$2:$A$21,IF(RIGHT(LEFT(TRIM(I52&amp;""),FIND(" ",TRIM(I52&amp;""))-1),2)="병원",LEFT(TRIM(I52&amp;""),FIND(" ",TRIM(I52&amp;""))-1),LEFT(TRIM(I52&amp;""),FIND(" ",TRIM(I52&amp;""))-1)&amp;"병원"))&gt;0,ISNUMBER(MATCH(TRIM(RIGHT(SUBSTITUTE(TRIM(I52&amp;"")," ",REPT(" ",60)),60)),코드표!$F$2:$F$101,0))),IF(RIGHT(LEFT(TRIM(I52&amp;""),FIND(" ",TRIM(I52&amp;""))-1),2)="병원",LEFT(TRIM(I52&amp;""),FIND(" ",TRIM(I52&amp;""))-1),LEFT(TRIM(I52&amp;""),FIND(" ",TRIM(I52&amp;""))-1)&amp;"병원")&amp;"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",TRIM(J52&amp;""))),COUNTIF(코드표!$A$2:$A$21,IF(RIGHT(LEFT(TRIM(J52&amp;""),FIND(" ",TRIM(J52&amp;""))-1),2)="병원",LEFT(TRIM(J52&amp;""),FIND(" ",TRIM(J52&amp;""))-1),LEFT(TRIM(J52&amp;""),FIND(" ",TRIM(J52&amp;""))-1)&amp;"병원"))&gt;0,ISNUMBER(MATCH(TRIM(RIGHT(SUBSTITUTE(TRIM(J52&amp;"")," ",REPT(" ",60)),60)),코드표!$F$2:$F$101,0))),IF(RIGHT(LEFT(TRIM(J52&amp;""),FIND(" ",TRIM(J52&amp;""))-1),2)="병원",LEFT(TRIM(J52&amp;""),FIND(" ",TRIM(J52&amp;""))-1),LEFT(TRIM(J52&amp;""),FIND(" ",TRIM(J52&amp;""))-1)&amp;"병원")&amp;"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",TRIM(E53&amp;""))),COUNTIF(코드표!$A$2:$A$21,IF(RIGHT(LEFT(TRIM(E53&amp;""),FIND(" ",TRIM(E53&amp;""))-1),2)="병원",LEFT(TRIM(E53&amp;""),FIND(" ",TRIM(E53&amp;""))-1),LEFT(TRIM(E53&amp;""),FIND(" ",TRIM(E53&amp;""))-1)&amp;"병원"))&gt;0,ISNUMBER(MATCH(TRIM(RIGHT(SUBSTITUTE(TRIM(E53&amp;"")," ",REPT(" ",60)),60)),코드표!$F$2:$F$101,0))),IF(RIGHT(LEFT(TRIM(E53&amp;""),FIND(" ",TRIM(E53&amp;""))-1),2)="병원",LEFT(TRIM(E53&amp;""),FIND(" ",TRIM(E53&amp;""))-1),LEFT(TRIM(E53&amp;""),FIND(" ",TRIM(E53&amp;""))-1)&amp;"병원")&amp;"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",TRIM(F53&amp;""))),COUNTIF(코드표!$A$2:$A$21,IF(RIGHT(LEFT(TRIM(F53&amp;""),FIND(" ",TRIM(F53&amp;""))-1),2)="병원",LEFT(TRIM(F53&amp;""),FIND(" ",TRIM(F53&amp;""))-1),LEFT(TRIM(F53&amp;""),FIND(" ",TRIM(F53&amp;""))-1)&amp;"병원"))&gt;0,ISNUMBER(MATCH(TRIM(RIGHT(SUBSTITUTE(TRIM(F53&amp;"")," ",REPT(" ",60)),60)),코드표!$F$2:$F$101,0))),IF(RIGHT(LEFT(TRIM(F53&amp;""),FIND(" ",TRIM(F53&amp;""))-1),2)="병원",LEFT(TRIM(F53&amp;""),FIND(" ",TRIM(F53&amp;""))-1),LEFT(TRIM(F53&amp;""),FIND(" ",TRIM(F53&amp;""))-1)&amp;"병원")&amp;"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",TRIM(G53&amp;""))),COUNTIF(코드표!$A$2:$A$21,IF(RIGHT(LEFT(TRIM(G53&amp;""),FIND(" ",TRIM(G53&amp;""))-1),2)="병원",LEFT(TRIM(G53&amp;""),FIND(" ",TRIM(G53&amp;""))-1),LEFT(TRIM(G53&amp;""),FIND(" ",TRIM(G53&amp;""))-1)&amp;"병원"))&gt;0,ISNUMBER(MATCH(TRIM(RIGHT(SUBSTITUTE(TRIM(G53&amp;"")," ",REPT(" ",60)),60)),코드표!$F$2:$F$101,0))),IF(RIGHT(LEFT(TRIM(G53&amp;""),FIND(" ",TRIM(G53&amp;""))-1),2)="병원",LEFT(TRIM(G53&amp;""),FIND(" ",TRIM(G53&amp;""))-1),LEFT(TRIM(G53&amp;""),FIND(" ",TRIM(G53&amp;""))-1)&amp;"병원")&amp;"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",TRIM(H53&amp;""))),COUNTIF(코드표!$A$2:$A$21,IF(RIGHT(LEFT(TRIM(H53&amp;""),FIND(" ",TRIM(H53&amp;""))-1),2)="병원",LEFT(TRIM(H53&amp;""),FIND(" ",TRIM(H53&amp;""))-1),LEFT(TRIM(H53&amp;""),FIND(" ",TRIM(H53&amp;""))-1)&amp;"병원"))&gt;0,ISNUMBER(MATCH(TRIM(RIGHT(SUBSTITUTE(TRIM(H53&amp;"")," ",REPT(" ",60)),60)),코드표!$F$2:$F$101,0))),IF(RIGHT(LEFT(TRIM(H53&amp;""),FIND(" ",TRIM(H53&amp;""))-1),2)="병원",LEFT(TRIM(H53&amp;""),FIND(" ",TRIM(H53&amp;""))-1),LEFT(TRIM(H53&amp;""),FIND(" ",TRIM(H53&amp;""))-1)&amp;"병원")&amp;"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",TRIM(I53&amp;""))),COUNTIF(코드표!$A$2:$A$21,IF(RIGHT(LEFT(TRIM(I53&amp;""),FIND(" ",TRIM(I53&amp;""))-1),2)="병원",LEFT(TRIM(I53&amp;""),FIND(" ",TRIM(I53&amp;""))-1),LEFT(TRIM(I53&amp;""),FIND(" ",TRIM(I53&amp;""))-1)&amp;"병원"))&gt;0,ISNUMBER(MATCH(TRIM(RIGHT(SUBSTITUTE(TRIM(I53&amp;"")," ",REPT(" ",60)),60)),코드표!$F$2:$F$101,0))),IF(RIGHT(LEFT(TRIM(I53&amp;""),FIND(" ",TRIM(I53&amp;""))-1),2)="병원",LEFT(TRIM(I53&amp;""),FIND(" ",TRIM(I53&amp;""))-1),LEFT(TRIM(I53&amp;""),FIND(" ",TRIM(I53&amp;""))-1)&amp;"병원")&amp;"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",TRIM(J53&amp;""))),COUNTIF(코드표!$A$2:$A$21,IF(RIGHT(LEFT(TRIM(J53&amp;""),FIND(" ",TRIM(J53&amp;""))-1),2)="병원",LEFT(TRIM(J53&amp;""),FIND(" ",TRIM(J53&amp;""))-1),LEFT(TRIM(J53&amp;""),FIND(" ",TRIM(J53&amp;""))-1)&amp;"병원"))&gt;0,ISNUMBER(MATCH(TRIM(RIGHT(SUBSTITUTE(TRIM(J53&amp;"")," ",REPT(" ",60)),60)),코드표!$F$2:$F$101,0))),IF(RIGHT(LEFT(TRIM(J53&amp;""),FIND(" ",TRIM(J53&amp;""))-1),2)="병원",LEFT(TRIM(J53&amp;""),FIND(" ",TRIM(J53&amp;""))-1),LEFT(TRIM(J53&amp;""),FIND(" ",TRIM(J53&amp;""))-1)&amp;"병원")&amp;"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",TRIM(E54&amp;""))),COUNTIF(코드표!$A$2:$A$21,IF(RIGHT(LEFT(TRIM(E54&amp;""),FIND(" ",TRIM(E54&amp;""))-1),2)="병원",LEFT(TRIM(E54&amp;""),FIND(" ",TRIM(E54&amp;""))-1),LEFT(TRIM(E54&amp;""),FIND(" ",TRIM(E54&amp;""))-1)&amp;"병원"))&gt;0,ISNUMBER(MATCH(TRIM(RIGHT(SUBSTITUTE(TRIM(E54&amp;"")," ",REPT(" ",60)),60)),코드표!$F$2:$F$101,0))),IF(RIGHT(LEFT(TRIM(E54&amp;""),FIND(" ",TRIM(E54&amp;""))-1),2)="병원",LEFT(TRIM(E54&amp;""),FIND(" ",TRIM(E54&amp;""))-1),LEFT(TRIM(E54&amp;""),FIND(" ",TRIM(E54&amp;""))-1)&amp;"병원")&amp;"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",TRIM(F54&amp;""))),COUNTIF(코드표!$A$2:$A$21,IF(RIGHT(LEFT(TRIM(F54&amp;""),FIND(" ",TRIM(F54&amp;""))-1),2)="병원",LEFT(TRIM(F54&amp;""),FIND(" ",TRIM(F54&amp;""))-1),LEFT(TRIM(F54&amp;""),FIND(" ",TRIM(F54&amp;""))-1)&amp;"병원"))&gt;0,ISNUMBER(MATCH(TRIM(RIGHT(SUBSTITUTE(TRIM(F54&amp;"")," ",REPT(" ",60)),60)),코드표!$F$2:$F$101,0))),IF(RIGHT(LEFT(TRIM(F54&amp;""),FIND(" ",TRIM(F54&amp;""))-1),2)="병원",LEFT(TRIM(F54&amp;""),FIND(" ",TRIM(F54&amp;""))-1),LEFT(TRIM(F54&amp;""),FIND(" ",TRIM(F54&amp;""))-1)&amp;"병원")&amp;"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",TRIM(G54&amp;""))),COUNTIF(코드표!$A$2:$A$21,IF(RIGHT(LEFT(TRIM(G54&amp;""),FIND(" ",TRIM(G54&amp;""))-1),2)="병원",LEFT(TRIM(G54&amp;""),FIND(" ",TRIM(G54&amp;""))-1),LEFT(TRIM(G54&amp;""),FIND(" ",TRIM(G54&amp;""))-1)&amp;"병원"))&gt;0,ISNUMBER(MATCH(TRIM(RIGHT(SUBSTITUTE(TRIM(G54&amp;"")," ",REPT(" ",60)),60)),코드표!$F$2:$F$101,0))),IF(RIGHT(LEFT(TRIM(G54&amp;""),FIND(" ",TRIM(G54&amp;""))-1),2)="병원",LEFT(TRIM(G54&amp;""),FIND(" ",TRIM(G54&amp;""))-1),LEFT(TRIM(G54&amp;""),FIND(" ",TRIM(G54&amp;""))-1)&amp;"병원")&amp;"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",TRIM(H54&amp;""))),COUNTIF(코드표!$A$2:$A$21,IF(RIGHT(LEFT(TRIM(H54&amp;""),FIND(" ",TRIM(H54&amp;""))-1),2)="병원",LEFT(TRIM(H54&amp;""),FIND(" ",TRIM(H54&amp;""))-1),LEFT(TRIM(H54&amp;""),FIND(" ",TRIM(H54&amp;""))-1)&amp;"병원"))&gt;0,ISNUMBER(MATCH(TRIM(RIGHT(SUBSTITUTE(TRIM(H54&amp;"")," ",REPT(" ",60)),60)),코드표!$F$2:$F$101,0))),IF(RIGHT(LEFT(TRIM(H54&amp;""),FIND(" ",TRIM(H54&amp;""))-1),2)="병원",LEFT(TRIM(H54&amp;""),FIND(" ",TRIM(H54&amp;""))-1),LEFT(TRIM(H54&amp;""),FIND(" ",TRIM(H54&amp;""))-1)&amp;"병원")&amp;"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",TRIM(I54&amp;""))),COUNTIF(코드표!$A$2:$A$21,IF(RIGHT(LEFT(TRIM(I54&amp;""),FIND(" ",TRIM(I54&amp;""))-1),2)="병원",LEFT(TRIM(I54&amp;""),FIND(" ",TRIM(I54&amp;""))-1),LEFT(TRIM(I54&amp;""),FIND(" ",TRIM(I54&amp;""))-1)&amp;"병원"))&gt;0,ISNUMBER(MATCH(TRIM(RIGHT(SUBSTITUTE(TRIM(I54&amp;"")," ",REPT(" ",60)),60)),코드표!$F$2:$F$101,0))),IF(RIGHT(LEFT(TRIM(I54&amp;""),FIND(" ",TRIM(I54&amp;""))-1),2)="병원",LEFT(TRIM(I54&amp;""),FIND(" ",TRIM(I54&amp;""))-1),LEFT(TRIM(I54&amp;""),FIND(" ",TRIM(I54&amp;""))-1)&amp;"병원")&amp;"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",TRIM(J54&amp;""))),COUNTIF(코드표!$A$2:$A$21,IF(RIGHT(LEFT(TRIM(J54&amp;""),FIND(" ",TRIM(J54&amp;""))-1),2)="병원",LEFT(TRIM(J54&amp;""),FIND(" ",TRIM(J54&amp;""))-1),LEFT(TRIM(J54&amp;""),FIND(" ",TRIM(J54&amp;""))-1)&amp;"병원"))&gt;0,ISNUMBER(MATCH(TRIM(RIGHT(SUBSTITUTE(TRIM(J54&amp;"")," ",REPT(" ",60)),60)),코드표!$F$2:$F$101,0))),IF(RIGHT(LEFT(TRIM(J54&amp;""),FIND(" ",TRIM(J54&amp;""))-1),2)="병원",LEFT(TRIM(J54&amp;""),FIND(" ",TRIM(J54&amp;""))-1),LEFT(TRIM(J54&amp;""),FIND(" ",TRIM(J54&amp;""))-1)&amp;"병원")&amp;"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",TRIM(E55&amp;""))),COUNTIF(코드표!$A$2:$A$21,IF(RIGHT(LEFT(TRIM(E55&amp;""),FIND(" ",TRIM(E55&amp;""))-1),2)="병원",LEFT(TRIM(E55&amp;""),FIND(" ",TRIM(E55&amp;""))-1),LEFT(TRIM(E55&amp;""),FIND(" ",TRIM(E55&amp;""))-1)&amp;"병원"))&gt;0,ISNUMBER(MATCH(TRIM(RIGHT(SUBSTITUTE(TRIM(E55&amp;"")," ",REPT(" ",60)),60)),코드표!$F$2:$F$101,0))),IF(RIGHT(LEFT(TRIM(E55&amp;""),FIND(" ",TRIM(E55&amp;""))-1),2)="병원",LEFT(TRIM(E55&amp;""),FIND(" ",TRIM(E55&amp;""))-1),LEFT(TRIM(E55&amp;""),FIND(" ",TRIM(E55&amp;""))-1)&amp;"병원")&amp;"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",TRIM(F55&amp;""))),COUNTIF(코드표!$A$2:$A$21,IF(RIGHT(LEFT(TRIM(F55&amp;""),FIND(" ",TRIM(F55&amp;""))-1),2)="병원",LEFT(TRIM(F55&amp;""),FIND(" ",TRIM(F55&amp;""))-1),LEFT(TRIM(F55&amp;""),FIND(" ",TRIM(F55&amp;""))-1)&amp;"병원"))&gt;0,ISNUMBER(MATCH(TRIM(RIGHT(SUBSTITUTE(TRIM(F55&amp;"")," ",REPT(" ",60)),60)),코드표!$F$2:$F$101,0))),IF(RIGHT(LEFT(TRIM(F55&amp;""),FIND(" ",TRIM(F55&amp;""))-1),2)="병원",LEFT(TRIM(F55&amp;""),FIND(" ",TRIM(F55&amp;""))-1),LEFT(TRIM(F55&amp;""),FIND(" ",TRIM(F55&amp;""))-1)&amp;"병원")&amp;"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",TRIM(G55&amp;""))),COUNTIF(코드표!$A$2:$A$21,IF(RIGHT(LEFT(TRIM(G55&amp;""),FIND(" ",TRIM(G55&amp;""))-1),2)="병원",LEFT(TRIM(G55&amp;""),FIND(" ",TRIM(G55&amp;""))-1),LEFT(TRIM(G55&amp;""),FIND(" ",TRIM(G55&amp;""))-1)&amp;"병원"))&gt;0,ISNUMBER(MATCH(TRIM(RIGHT(SUBSTITUTE(TRIM(G55&amp;"")," ",REPT(" ",60)),60)),코드표!$F$2:$F$101,0))),IF(RIGHT(LEFT(TRIM(G55&amp;""),FIND(" ",TRIM(G55&amp;""))-1),2)="병원",LEFT(TRIM(G55&amp;""),FIND(" ",TRIM(G55&amp;""))-1),LEFT(TRIM(G55&amp;""),FIND(" ",TRIM(G55&amp;""))-1)&amp;"병원")&amp;"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",TRIM(H55&amp;""))),COUNTIF(코드표!$A$2:$A$21,IF(RIGHT(LEFT(TRIM(H55&amp;""),FIND(" ",TRIM(H55&amp;""))-1),2)="병원",LEFT(TRIM(H55&amp;""),FIND(" ",TRIM(H55&amp;""))-1),LEFT(TRIM(H55&amp;""),FIND(" ",TRIM(H55&amp;""))-1)&amp;"병원"))&gt;0,ISNUMBER(MATCH(TRIM(RIGHT(SUBSTITUTE(TRIM(H55&amp;"")," ",REPT(" ",60)),60)),코드표!$F$2:$F$101,0))),IF(RIGHT(LEFT(TRIM(H55&amp;""),FIND(" ",TRIM(H55&amp;""))-1),2)="병원",LEFT(TRIM(H55&amp;""),FIND(" ",TRIM(H55&amp;""))-1),LEFT(TRIM(H55&amp;""),FIND(" ",TRIM(H55&amp;""))-1)&amp;"병원")&amp;"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",TRIM(I55&amp;""))),COUNTIF(코드표!$A$2:$A$21,IF(RIGHT(LEFT(TRIM(I55&amp;""),FIND(" ",TRIM(I55&amp;""))-1),2)="병원",LEFT(TRIM(I55&amp;""),FIND(" ",TRIM(I55&amp;""))-1),LEFT(TRIM(I55&amp;""),FIND(" ",TRIM(I55&amp;""))-1)&amp;"병원"))&gt;0,ISNUMBER(MATCH(TRIM(RIGHT(SUBSTITUTE(TRIM(I55&amp;"")," ",REPT(" ",60)),60)),코드표!$F$2:$F$101,0))),IF(RIGHT(LEFT(TRIM(I55&amp;""),FIND(" ",TRIM(I55&amp;""))-1),2)="병원",LEFT(TRIM(I55&amp;""),FIND(" ",TRIM(I55&amp;""))-1),LEFT(TRIM(I55&amp;""),FIND(" ",TRIM(I55&amp;""))-1)&amp;"병원")&amp;"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",TRIM(J55&amp;""))),COUNTIF(코드표!$A$2:$A$21,IF(RIGHT(LEFT(TRIM(J55&amp;""),FIND(" ",TRIM(J55&amp;""))-1),2)="병원",LEFT(TRIM(J55&amp;""),FIND(" ",TRIM(J55&amp;""))-1),LEFT(TRIM(J55&amp;""),FIND(" ",TRIM(J55&amp;""))-1)&amp;"병원"))&gt;0,ISNUMBER(MATCH(TRIM(RIGHT(SUBSTITUTE(TRIM(J55&amp;"")," ",REPT(" ",60)),60)),코드표!$F$2:$F$101,0))),IF(RIGHT(LEFT(TRIM(J55&amp;""),FIND(" ",TRIM(J55&amp;""))-1),2)="병원",LEFT(TRIM(J55&amp;""),FIND(" ",TRIM(J55&amp;""))-1),LEFT(TRIM(J55&amp;""),FIND(" ",TRIM(J55&amp;""))-1)&amp;"병원")&amp;"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",TRIM(E56&amp;""))),COUNTIF(코드표!$A$2:$A$21,IF(RIGHT(LEFT(TRIM(E56&amp;""),FIND(" ",TRIM(E56&amp;""))-1),2)="병원",LEFT(TRIM(E56&amp;""),FIND(" ",TRIM(E56&amp;""))-1),LEFT(TRIM(E56&amp;""),FIND(" ",TRIM(E56&amp;""))-1)&amp;"병원"))&gt;0,ISNUMBER(MATCH(TRIM(RIGHT(SUBSTITUTE(TRIM(E56&amp;"")," ",REPT(" ",60)),60)),코드표!$F$2:$F$101,0))),IF(RIGHT(LEFT(TRIM(E56&amp;""),FIND(" ",TRIM(E56&amp;""))-1),2)="병원",LEFT(TRIM(E56&amp;""),FIND(" ",TRIM(E56&amp;""))-1),LEFT(TRIM(E56&amp;""),FIND(" ",TRIM(E56&amp;""))-1)&amp;"병원")&amp;"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",TRIM(F56&amp;""))),COUNTIF(코드표!$A$2:$A$21,IF(RIGHT(LEFT(TRIM(F56&amp;""),FIND(" ",TRIM(F56&amp;""))-1),2)="병원",LEFT(TRIM(F56&amp;""),FIND(" ",TRIM(F56&amp;""))-1),LEFT(TRIM(F56&amp;""),FIND(" ",TRIM(F56&amp;""))-1)&amp;"병원"))&gt;0,ISNUMBER(MATCH(TRIM(RIGHT(SUBSTITUTE(TRIM(F56&amp;"")," ",REPT(" ",60)),60)),코드표!$F$2:$F$101,0))),IF(RIGHT(LEFT(TRIM(F56&amp;""),FIND(" ",TRIM(F56&amp;""))-1),2)="병원",LEFT(TRIM(F56&amp;""),FIND(" ",TRIM(F56&amp;""))-1),LEFT(TRIM(F56&amp;""),FIND(" ",TRIM(F56&amp;""))-1)&amp;"병원")&amp;"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",TRIM(G56&amp;""))),COUNTIF(코드표!$A$2:$A$21,IF(RIGHT(LEFT(TRIM(G56&amp;""),FIND(" ",TRIM(G56&amp;""))-1),2)="병원",LEFT(TRIM(G56&amp;""),FIND(" ",TRIM(G56&amp;""))-1),LEFT(TRIM(G56&amp;""),FIND(" ",TRIM(G56&amp;""))-1)&amp;"병원"))&gt;0,ISNUMBER(MATCH(TRIM(RIGHT(SUBSTITUTE(TRIM(G56&amp;"")," ",REPT(" ",60)),60)),코드표!$F$2:$F$101,0))),IF(RIGHT(LEFT(TRIM(G56&amp;""),FIND(" ",TRIM(G56&amp;""))-1),2)="병원",LEFT(TRIM(G56&amp;""),FIND(" ",TRIM(G56&amp;""))-1),LEFT(TRIM(G56&amp;""),FIND(" ",TRIM(G56&amp;""))-1)&amp;"병원")&amp;"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",TRIM(H56&amp;""))),COUNTIF(코드표!$A$2:$A$21,IF(RIGHT(LEFT(TRIM(H56&amp;""),FIND(" ",TRIM(H56&amp;""))-1),2)="병원",LEFT(TRIM(H56&amp;""),FIND(" ",TRIM(H56&amp;""))-1),LEFT(TRIM(H56&amp;""),FIND(" ",TRIM(H56&amp;""))-1)&amp;"병원"))&gt;0,ISNUMBER(MATCH(TRIM(RIGHT(SUBSTITUTE(TRIM(H56&amp;"")," ",REPT(" ",60)),60)),코드표!$F$2:$F$101,0))),IF(RIGHT(LEFT(TRIM(H56&amp;""),FIND(" ",TRIM(H56&amp;""))-1),2)="병원",LEFT(TRIM(H56&amp;""),FIND(" ",TRIM(H56&amp;""))-1),LEFT(TRIM(H56&amp;""),FIND(" ",TRIM(H56&amp;""))-1)&amp;"병원")&amp;"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",TRIM(I56&amp;""))),COUNTIF(코드표!$A$2:$A$21,IF(RIGHT(LEFT(TRIM(I56&amp;""),FIND(" ",TRIM(I56&amp;""))-1),2)="병원",LEFT(TRIM(I56&amp;""),FIND(" ",TRIM(I56&amp;""))-1),LEFT(TRIM(I56&amp;""),FIND(" ",TRIM(I56&amp;""))-1)&amp;"병원"))&gt;0,ISNUMBER(MATCH(TRIM(RIGHT(SUBSTITUTE(TRIM(I56&amp;"")," ",REPT(" ",60)),60)),코드표!$F$2:$F$101,0))),IF(RIGHT(LEFT(TRIM(I56&amp;""),FIND(" ",TRIM(I56&amp;""))-1),2)="병원",LEFT(TRIM(I56&amp;""),FIND(" ",TRIM(I56&amp;""))-1),LEFT(TRIM(I56&amp;""),FIND(" ",TRIM(I56&amp;""))-1)&amp;"병원")&amp;"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",TRIM(J56&amp;""))),COUNTIF(코드표!$A$2:$A$21,IF(RIGHT(LEFT(TRIM(J56&amp;""),FIND(" ",TRIM(J56&amp;""))-1),2)="병원",LEFT(TRIM(J56&amp;""),FIND(" ",TRIM(J56&amp;""))-1),LEFT(TRIM(J56&amp;""),FIND(" ",TRIM(J56&amp;""))-1)&amp;"병원"))&gt;0,ISNUMBER(MATCH(TRIM(RIGHT(SUBSTITUTE(TRIM(J56&amp;"")," ",REPT(" ",60)),60)),코드표!$F$2:$F$101,0))),IF(RIGHT(LEFT(TRIM(J56&amp;""),FIND(" ",TRIM(J56&amp;""))-1),2)="병원",LEFT(TRIM(J56&amp;""),FIND(" ",TRIM(J56&amp;""))-1),LEFT(TRIM(J56&amp;""),FIND(" ",TRIM(J56&amp;""))-1)&amp;"병원")&amp;"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",TRIM(E57&amp;""))),COUNTIF(코드표!$A$2:$A$21,IF(RIGHT(LEFT(TRIM(E57&amp;""),FIND(" ",TRIM(E57&amp;""))-1),2)="병원",LEFT(TRIM(E57&amp;""),FIND(" ",TRIM(E57&amp;""))-1),LEFT(TRIM(E57&amp;""),FIND(" ",TRIM(E57&amp;""))-1)&amp;"병원"))&gt;0,ISNUMBER(MATCH(TRIM(RIGHT(SUBSTITUTE(TRIM(E57&amp;"")," ",REPT(" ",60)),60)),코드표!$F$2:$F$101,0))),IF(RIGHT(LEFT(TRIM(E57&amp;""),FIND(" ",TRIM(E57&amp;""))-1),2)="병원",LEFT(TRIM(E57&amp;""),FIND(" ",TRIM(E57&amp;""))-1),LEFT(TRIM(E57&amp;""),FIND(" ",TRIM(E57&amp;""))-1)&amp;"병원")&amp;"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",TRIM(F57&amp;""))),COUNTIF(코드표!$A$2:$A$21,IF(RIGHT(LEFT(TRIM(F57&amp;""),FIND(" ",TRIM(F57&amp;""))-1),2)="병원",LEFT(TRIM(F57&amp;""),FIND(" ",TRIM(F57&amp;""))-1),LEFT(TRIM(F57&amp;""),FIND(" ",TRIM(F57&amp;""))-1)&amp;"병원"))&gt;0,ISNUMBER(MATCH(TRIM(RIGHT(SUBSTITUTE(TRIM(F57&amp;"")," ",REPT(" ",60)),60)),코드표!$F$2:$F$101,0))),IF(RIGHT(LEFT(TRIM(F57&amp;""),FIND(" ",TRIM(F57&amp;""))-1),2)="병원",LEFT(TRIM(F57&amp;""),FIND(" ",TRIM(F57&amp;""))-1),LEFT(TRIM(F57&amp;""),FIND(" ",TRIM(F57&amp;""))-1)&amp;"병원")&amp;"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",TRIM(G57&amp;""))),COUNTIF(코드표!$A$2:$A$21,IF(RIGHT(LEFT(TRIM(G57&amp;""),FIND(" ",TRIM(G57&amp;""))-1),2)="병원",LEFT(TRIM(G57&amp;""),FIND(" ",TRIM(G57&amp;""))-1),LEFT(TRIM(G57&amp;""),FIND(" ",TRIM(G57&amp;""))-1)&amp;"병원"))&gt;0,ISNUMBER(MATCH(TRIM(RIGHT(SUBSTITUTE(TRIM(G57&amp;"")," ",REPT(" ",60)),60)),코드표!$F$2:$F$101,0))),IF(RIGHT(LEFT(TRIM(G57&amp;""),FIND(" ",TRIM(G57&amp;""))-1),2)="병원",LEFT(TRIM(G57&amp;""),FIND(" ",TRIM(G57&amp;""))-1),LEFT(TRIM(G57&amp;""),FIND(" ",TRIM(G57&amp;""))-1)&amp;"병원")&amp;"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",TRIM(H57&amp;""))),COUNTIF(코드표!$A$2:$A$21,IF(RIGHT(LEFT(TRIM(H57&amp;""),FIND(" ",TRIM(H57&amp;""))-1),2)="병원",LEFT(TRIM(H57&amp;""),FIND(" ",TRIM(H57&amp;""))-1),LEFT(TRIM(H57&amp;""),FIND(" ",TRIM(H57&amp;""))-1)&amp;"병원"))&gt;0,ISNUMBER(MATCH(TRIM(RIGHT(SUBSTITUTE(TRIM(H57&amp;"")," ",REPT(" ",60)),60)),코드표!$F$2:$F$101,0))),IF(RIGHT(LEFT(TRIM(H57&amp;""),FIND(" ",TRIM(H57&amp;""))-1),2)="병원",LEFT(TRIM(H57&amp;""),FIND(" ",TRIM(H57&amp;""))-1),LEFT(TRIM(H57&amp;""),FIND(" ",TRIM(H57&amp;""))-1)&amp;"병원")&amp;"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",TRIM(I57&amp;""))),COUNTIF(코드표!$A$2:$A$21,IF(RIGHT(LEFT(TRIM(I57&amp;""),FIND(" ",TRIM(I57&amp;""))-1),2)="병원",LEFT(TRIM(I57&amp;""),FIND(" ",TRIM(I57&amp;""))-1),LEFT(TRIM(I57&amp;""),FIND(" ",TRIM(I57&amp;""))-1)&amp;"병원"))&gt;0,ISNUMBER(MATCH(TRIM(RIGHT(SUBSTITUTE(TRIM(I57&amp;"")," ",REPT(" ",60)),60)),코드표!$F$2:$F$101,0))),IF(RIGHT(LEFT(TRIM(I57&amp;""),FIND(" ",TRIM(I57&amp;""))-1),2)="병원",LEFT(TRIM(I57&amp;""),FIND(" ",TRIM(I57&amp;""))-1),LEFT(TRIM(I57&amp;""),FIND(" ",TRIM(I57&amp;""))-1)&amp;"병원")&amp;"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",TRIM(J57&amp;""))),COUNTIF(코드표!$A$2:$A$21,IF(RIGHT(LEFT(TRIM(J57&amp;""),FIND(" ",TRIM(J57&amp;""))-1),2)="병원",LEFT(TRIM(J57&amp;""),FIND(" ",TRIM(J57&amp;""))-1),LEFT(TRIM(J57&amp;""),FIND(" ",TRIM(J57&amp;""))-1)&amp;"병원"))&gt;0,ISNUMBER(MATCH(TRIM(RIGHT(SUBSTITUTE(TRIM(J57&amp;"")," ",REPT(" ",60)),60)),코드표!$F$2:$F$101,0))),IF(RIGHT(LEFT(TRIM(J57&amp;""),FIND(" ",TRIM(J57&amp;""))-1),2)="병원",LEFT(TRIM(J57&amp;""),FIND(" ",TRIM(J57&amp;""))-1),LEFT(TRIM(J57&amp;""),FIND(" ",TRIM(J57&amp;""))-1)&amp;"병원")&amp;"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",TRIM(E58&amp;""))),COUNTIF(코드표!$A$2:$A$21,IF(RIGHT(LEFT(TRIM(E58&amp;""),FIND(" ",TRIM(E58&amp;""))-1),2)="병원",LEFT(TRIM(E58&amp;""),FIND(" ",TRIM(E58&amp;""))-1),LEFT(TRIM(E58&amp;""),FIND(" ",TRIM(E58&amp;""))-1)&amp;"병원"))&gt;0,ISNUMBER(MATCH(TRIM(RIGHT(SUBSTITUTE(TRIM(E58&amp;"")," ",REPT(" ",60)),60)),코드표!$F$2:$F$101,0))),IF(RIGHT(LEFT(TRIM(E58&amp;""),FIND(" ",TRIM(E58&amp;""))-1),2)="병원",LEFT(TRIM(E58&amp;""),FIND(" ",TRIM(E58&amp;""))-1),LEFT(TRIM(E58&amp;""),FIND(" ",TRIM(E58&amp;""))-1)&amp;"병원")&amp;"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",TRIM(F58&amp;""))),COUNTIF(코드표!$A$2:$A$21,IF(RIGHT(LEFT(TRIM(F58&amp;""),FIND(" ",TRIM(F58&amp;""))-1),2)="병원",LEFT(TRIM(F58&amp;""),FIND(" ",TRIM(F58&amp;""))-1),LEFT(TRIM(F58&amp;""),FIND(" ",TRIM(F58&amp;""))-1)&amp;"병원"))&gt;0,ISNUMBER(MATCH(TRIM(RIGHT(SUBSTITUTE(TRIM(F58&amp;"")," ",REPT(" ",60)),60)),코드표!$F$2:$F$101,0))),IF(RIGHT(LEFT(TRIM(F58&amp;""),FIND(" ",TRIM(F58&amp;""))-1),2)="병원",LEFT(TRIM(F58&amp;""),FIND(" ",TRIM(F58&amp;""))-1),LEFT(TRIM(F58&amp;""),FIND(" ",TRIM(F58&amp;""))-1)&amp;"병원")&amp;"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",TRIM(G58&amp;""))),COUNTIF(코드표!$A$2:$A$21,IF(RIGHT(LEFT(TRIM(G58&amp;""),FIND(" ",TRIM(G58&amp;""))-1),2)="병원",LEFT(TRIM(G58&amp;""),FIND(" ",TRIM(G58&amp;""))-1),LEFT(TRIM(G58&amp;""),FIND(" ",TRIM(G58&amp;""))-1)&amp;"병원"))&gt;0,ISNUMBER(MATCH(TRIM(RIGHT(SUBSTITUTE(TRIM(G58&amp;"")," ",REPT(" ",60)),60)),코드표!$F$2:$F$101,0))),IF(RIGHT(LEFT(TRIM(G58&amp;""),FIND(" ",TRIM(G58&amp;""))-1),2)="병원",LEFT(TRIM(G58&amp;""),FIND(" ",TRIM(G58&amp;""))-1),LEFT(TRIM(G58&amp;""),FIND(" ",TRIM(G58&amp;""))-1)&amp;"병원")&amp;"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",TRIM(H58&amp;""))),COUNTIF(코드표!$A$2:$A$21,IF(RIGHT(LEFT(TRIM(H58&amp;""),FIND(" ",TRIM(H58&amp;""))-1),2)="병원",LEFT(TRIM(H58&amp;""),FIND(" ",TRIM(H58&amp;""))-1),LEFT(TRIM(H58&amp;""),FIND(" ",TRIM(H58&amp;""))-1)&amp;"병원"))&gt;0,ISNUMBER(MATCH(TRIM(RIGHT(SUBSTITUTE(TRIM(H58&amp;"")," ",REPT(" ",60)),60)),코드표!$F$2:$F$101,0))),IF(RIGHT(LEFT(TRIM(H58&amp;""),FIND(" ",TRIM(H58&amp;""))-1),2)="병원",LEFT(TRIM(H58&amp;""),FIND(" ",TRIM(H58&amp;""))-1),LEFT(TRIM(H58&amp;""),FIND(" ",TRIM(H58&amp;""))-1)&amp;"병원")&amp;"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",TRIM(I58&amp;""))),COUNTIF(코드표!$A$2:$A$21,IF(RIGHT(LEFT(TRIM(I58&amp;""),FIND(" ",TRIM(I58&amp;""))-1),2)="병원",LEFT(TRIM(I58&amp;""),FIND(" ",TRIM(I58&amp;""))-1),LEFT(TRIM(I58&amp;""),FIND(" ",TRIM(I58&amp;""))-1)&amp;"병원"))&gt;0,ISNUMBER(MATCH(TRIM(RIGHT(SUBSTITUTE(TRIM(I58&amp;"")," ",REPT(" ",60)),60)),코드표!$F$2:$F$101,0))),IF(RIGHT(LEFT(TRIM(I58&amp;""),FIND(" ",TRIM(I58&amp;""))-1),2)="병원",LEFT(TRIM(I58&amp;""),FIND(" ",TRIM(I58&amp;""))-1),LEFT(TRIM(I58&amp;""),FIND(" ",TRIM(I58&amp;""))-1)&amp;"병원")&amp;"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",TRIM(J58&amp;""))),COUNTIF(코드표!$A$2:$A$21,IF(RIGHT(LEFT(TRIM(J58&amp;""),FIND(" ",TRIM(J58&amp;""))-1),2)="병원",LEFT(TRIM(J58&amp;""),FIND(" ",TRIM(J58&amp;""))-1),LEFT(TRIM(J58&amp;""),FIND(" ",TRIM(J58&amp;""))-1)&amp;"병원"))&gt;0,ISNUMBER(MATCH(TRIM(RIGHT(SUBSTITUTE(TRIM(J58&amp;"")," ",REPT(" ",60)),60)),코드표!$F$2:$F$101,0))),IF(RIGHT(LEFT(TRIM(J58&amp;""),FIND(" ",TRIM(J58&amp;""))-1),2)="병원",LEFT(TRIM(J58&amp;""),FIND(" ",TRIM(J58&amp;""))-1),LEFT(TRIM(J58&amp;""),FIND(" ",TRIM(J58&amp;""))-1)&amp;"병원")&amp;"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",TRIM(E59&amp;""))),COUNTIF(코드표!$A$2:$A$21,IF(RIGHT(LEFT(TRIM(E59&amp;""),FIND(" ",TRIM(E59&amp;""))-1),2)="병원",LEFT(TRIM(E59&amp;""),FIND(" ",TRIM(E59&amp;""))-1),LEFT(TRIM(E59&amp;""),FIND(" ",TRIM(E59&amp;""))-1)&amp;"병원"))&gt;0,ISNUMBER(MATCH(TRIM(RIGHT(SUBSTITUTE(TRIM(E59&amp;"")," ",REPT(" ",60)),60)),코드표!$F$2:$F$101,0))),IF(RIGHT(LEFT(TRIM(E59&amp;""),FIND(" ",TRIM(E59&amp;""))-1),2)="병원",LEFT(TRIM(E59&amp;""),FIND(" ",TRIM(E59&amp;""))-1),LEFT(TRIM(E59&amp;""),FIND(" ",TRIM(E59&amp;""))-1)&amp;"병원")&amp;"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",TRIM(F59&amp;""))),COUNTIF(코드표!$A$2:$A$21,IF(RIGHT(LEFT(TRIM(F59&amp;""),FIND(" ",TRIM(F59&amp;""))-1),2)="병원",LEFT(TRIM(F59&amp;""),FIND(" ",TRIM(F59&amp;""))-1),LEFT(TRIM(F59&amp;""),FIND(" ",TRIM(F59&amp;""))-1)&amp;"병원"))&gt;0,ISNUMBER(MATCH(TRIM(RIGHT(SUBSTITUTE(TRIM(F59&amp;"")," ",REPT(" ",60)),60)),코드표!$F$2:$F$101,0))),IF(RIGHT(LEFT(TRIM(F59&amp;""),FIND(" ",TRIM(F59&amp;""))-1),2)="병원",LEFT(TRIM(F59&amp;""),FIND(" ",TRIM(F59&amp;""))-1),LEFT(TRIM(F59&amp;""),FIND(" ",TRIM(F59&amp;""))-1)&amp;"병원")&amp;"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",TRIM(G59&amp;""))),COUNTIF(코드표!$A$2:$A$21,IF(RIGHT(LEFT(TRIM(G59&amp;""),FIND(" ",TRIM(G59&amp;""))-1),2)="병원",LEFT(TRIM(G59&amp;""),FIND(" ",TRIM(G59&amp;""))-1),LEFT(TRIM(G59&amp;""),FIND(" ",TRIM(G59&amp;""))-1)&amp;"병원"))&gt;0,ISNUMBER(MATCH(TRIM(RIGHT(SUBSTITUTE(TRIM(G59&amp;"")," ",REPT(" ",60)),60)),코드표!$F$2:$F$101,0))),IF(RIGHT(LEFT(TRIM(G59&amp;""),FIND(" ",TRIM(G59&amp;""))-1),2)="병원",LEFT(TRIM(G59&amp;""),FIND(" ",TRIM(G59&amp;""))-1),LEFT(TRIM(G59&amp;""),FIND(" ",TRIM(G59&amp;""))-1)&amp;"병원")&amp;"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",TRIM(H59&amp;""))),COUNTIF(코드표!$A$2:$A$21,IF(RIGHT(LEFT(TRIM(H59&amp;""),FIND(" ",TRIM(H59&amp;""))-1),2)="병원",LEFT(TRIM(H59&amp;""),FIND(" ",TRIM(H59&amp;""))-1),LEFT(TRIM(H59&amp;""),FIND(" ",TRIM(H59&amp;""))-1)&amp;"병원"))&gt;0,ISNUMBER(MATCH(TRIM(RIGHT(SUBSTITUTE(TRIM(H59&amp;"")," ",REPT(" ",60)),60)),코드표!$F$2:$F$101,0))),IF(RIGHT(LEFT(TRIM(H59&amp;""),FIND(" ",TRIM(H59&amp;""))-1),2)="병원",LEFT(TRIM(H59&amp;""),FIND(" ",TRIM(H59&amp;""))-1),LEFT(TRIM(H59&amp;""),FIND(" ",TRIM(H59&amp;""))-1)&amp;"병원")&amp;"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",TRIM(I59&amp;""))),COUNTIF(코드표!$A$2:$A$21,IF(RIGHT(LEFT(TRIM(I59&amp;""),FIND(" ",TRIM(I59&amp;""))-1),2)="병원",LEFT(TRIM(I59&amp;""),FIND(" ",TRIM(I59&amp;""))-1),LEFT(TRIM(I59&amp;""),FIND(" ",TRIM(I59&amp;""))-1)&amp;"병원"))&gt;0,ISNUMBER(MATCH(TRIM(RIGHT(SUBSTITUTE(TRIM(I59&amp;"")," ",REPT(" ",60)),60)),코드표!$F$2:$F$101,0))),IF(RIGHT(LEFT(TRIM(I59&amp;""),FIND(" ",TRIM(I59&amp;""))-1),2)="병원",LEFT(TRIM(I59&amp;""),FIND(" ",TRIM(I59&amp;""))-1),LEFT(TRIM(I59&amp;""),FIND(" ",TRIM(I59&amp;""))-1)&amp;"병원")&amp;"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",TRIM(J59&amp;""))),COUNTIF(코드표!$A$2:$A$21,IF(RIGHT(LEFT(TRIM(J59&amp;""),FIND(" ",TRIM(J59&amp;""))-1),2)="병원",LEFT(TRIM(J59&amp;""),FIND(" ",TRIM(J59&amp;""))-1),LEFT(TRIM(J59&amp;""),FIND(" ",TRIM(J59&amp;""))-1)&amp;"병원"))&gt;0,ISNUMBER(MATCH(TRIM(RIGHT(SUBSTITUTE(TRIM(J59&amp;"")," ",REPT(" ",60)),60)),코드표!$F$2:$F$101,0))),IF(RIGHT(LEFT(TRIM(J59&amp;""),FIND(" ",TRIM(J59&amp;""))-1),2)="병원",LEFT(TRIM(J59&amp;""),FIND(" ",TRIM(J59&amp;""))-1),LEFT(TRIM(J59&amp;""),FIND(" ",TRIM(J59&amp;""))-1)&amp;"병원")&amp;"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",TRIM(E60&amp;""))),COUNTIF(코드표!$A$2:$A$21,IF(RIGHT(LEFT(TRIM(E60&amp;""),FIND(" ",TRIM(E60&amp;""))-1),2)="병원",LEFT(TRIM(E60&amp;""),FIND(" ",TRIM(E60&amp;""))-1),LEFT(TRIM(E60&amp;""),FIND(" ",TRIM(E60&amp;""))-1)&amp;"병원"))&gt;0,ISNUMBER(MATCH(TRIM(RIGHT(SUBSTITUTE(TRIM(E60&amp;"")," ",REPT(" ",60)),60)),코드표!$F$2:$F$101,0))),IF(RIGHT(LEFT(TRIM(E60&amp;""),FIND(" ",TRIM(E60&amp;""))-1),2)="병원",LEFT(TRIM(E60&amp;""),FIND(" ",TRIM(E60&amp;""))-1),LEFT(TRIM(E60&amp;""),FIND(" ",TRIM(E60&amp;""))-1)&amp;"병원")&amp;"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",TRIM(F60&amp;""))),COUNTIF(코드표!$A$2:$A$21,IF(RIGHT(LEFT(TRIM(F60&amp;""),FIND(" ",TRIM(F60&amp;""))-1),2)="병원",LEFT(TRIM(F60&amp;""),FIND(" ",TRIM(F60&amp;""))-1),LEFT(TRIM(F60&amp;""),FIND(" ",TRIM(F60&amp;""))-1)&amp;"병원"))&gt;0,ISNUMBER(MATCH(TRIM(RIGHT(SUBSTITUTE(TRIM(F60&amp;"")," ",REPT(" ",60)),60)),코드표!$F$2:$F$101,0))),IF(RIGHT(LEFT(TRIM(F60&amp;""),FIND(" ",TRIM(F60&amp;""))-1),2)="병원",LEFT(TRIM(F60&amp;""),FIND(" ",TRIM(F60&amp;""))-1),LEFT(TRIM(F60&amp;""),FIND(" ",TRIM(F60&amp;""))-1)&amp;"병원")&amp;"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",TRIM(G60&amp;""))),COUNTIF(코드표!$A$2:$A$21,IF(RIGHT(LEFT(TRIM(G60&amp;""),FIND(" ",TRIM(G60&amp;""))-1),2)="병원",LEFT(TRIM(G60&amp;""),FIND(" ",TRIM(G60&amp;""))-1),LEFT(TRIM(G60&amp;""),FIND(" ",TRIM(G60&amp;""))-1)&amp;"병원"))&gt;0,ISNUMBER(MATCH(TRIM(RIGHT(SUBSTITUTE(TRIM(G60&amp;"")," ",REPT(" ",60)),60)),코드표!$F$2:$F$101,0))),IF(RIGHT(LEFT(TRIM(G60&amp;""),FIND(" ",TRIM(G60&amp;""))-1),2)="병원",LEFT(TRIM(G60&amp;""),FIND(" ",TRIM(G60&amp;""))-1),LEFT(TRIM(G60&amp;""),FIND(" ",TRIM(G60&amp;""))-1)&amp;"병원")&amp;"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",TRIM(H60&amp;""))),COUNTIF(코드표!$A$2:$A$21,IF(RIGHT(LEFT(TRIM(H60&amp;""),FIND(" ",TRIM(H60&amp;""))-1),2)="병원",LEFT(TRIM(H60&amp;""),FIND(" ",TRIM(H60&amp;""))-1),LEFT(TRIM(H60&amp;""),FIND(" ",TRIM(H60&amp;""))-1)&amp;"병원"))&gt;0,ISNUMBER(MATCH(TRIM(RIGHT(SUBSTITUTE(TRIM(H60&amp;"")," ",REPT(" ",60)),60)),코드표!$F$2:$F$101,0))),IF(RIGHT(LEFT(TRIM(H60&amp;""),FIND(" ",TRIM(H60&amp;""))-1),2)="병원",LEFT(TRIM(H60&amp;""),FIND(" ",TRIM(H60&amp;""))-1),LEFT(TRIM(H60&amp;""),FIND(" ",TRIM(H60&amp;""))-1)&amp;"병원")&amp;"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",TRIM(I60&amp;""))),COUNTIF(코드표!$A$2:$A$21,IF(RIGHT(LEFT(TRIM(I60&amp;""),FIND(" ",TRIM(I60&amp;""))-1),2)="병원",LEFT(TRIM(I60&amp;""),FIND(" ",TRIM(I60&amp;""))-1),LEFT(TRIM(I60&amp;""),FIND(" ",TRIM(I60&amp;""))-1)&amp;"병원"))&gt;0,ISNUMBER(MATCH(TRIM(RIGHT(SUBSTITUTE(TRIM(I60&amp;"")," ",REPT(" ",60)),60)),코드표!$F$2:$F$101,0))),IF(RIGHT(LEFT(TRIM(I60&amp;""),FIND(" ",TRIM(I60&amp;""))-1),2)="병원",LEFT(TRIM(I60&amp;""),FIND(" ",TRIM(I60&amp;""))-1),LEFT(TRIM(I60&amp;""),FIND(" ",TRIM(I60&amp;""))-1)&amp;"병원")&amp;"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",TRIM(J60&amp;""))),COUNTIF(코드표!$A$2:$A$21,IF(RIGHT(LEFT(TRIM(J60&amp;""),FIND(" ",TRIM(J60&amp;""))-1),2)="병원",LEFT(TRIM(J60&amp;""),FIND(" ",TRIM(J60&amp;""))-1),LEFT(TRIM(J60&amp;""),FIND(" ",TRIM(J60&amp;""))-1)&amp;"병원"))&gt;0,ISNUMBER(MATCH(TRIM(RIGHT(SUBSTITUTE(TRIM(J60&amp;"")," ",REPT(" ",60)),60)),코드표!$F$2:$F$101,0))),IF(RIGHT(LEFT(TRIM(J60&amp;""),FIND(" ",TRIM(J60&amp;""))-1),2)="병원",LEFT(TRIM(J60&amp;""),FIND(" ",TRIM(J60&amp;""))-1),LEFT(TRIM(J60&amp;""),FIND(" ",TRIM(J60&amp;""))-1)&amp;"병원")&amp;"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",TRIM(E61&amp;""))),COUNTIF(코드표!$A$2:$A$21,IF(RIGHT(LEFT(TRIM(E61&amp;""),FIND(" ",TRIM(E61&amp;""))-1),2)="병원",LEFT(TRIM(E61&amp;""),FIND(" ",TRIM(E61&amp;""))-1),LEFT(TRIM(E61&amp;""),FIND(" ",TRIM(E61&amp;""))-1)&amp;"병원"))&gt;0,ISNUMBER(MATCH(TRIM(RIGHT(SUBSTITUTE(TRIM(E61&amp;"")," ",REPT(" ",60)),60)),코드표!$F$2:$F$101,0))),IF(RIGHT(LEFT(TRIM(E61&amp;""),FIND(" ",TRIM(E61&amp;""))-1),2)="병원",LEFT(TRIM(E61&amp;""),FIND(" ",TRIM(E61&amp;""))-1),LEFT(TRIM(E61&amp;""),FIND(" ",TRIM(E61&amp;""))-1)&amp;"병원")&amp;"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",TRIM(F61&amp;""))),COUNTIF(코드표!$A$2:$A$21,IF(RIGHT(LEFT(TRIM(F61&amp;""),FIND(" ",TRIM(F61&amp;""))-1),2)="병원",LEFT(TRIM(F61&amp;""),FIND(" ",TRIM(F61&amp;""))-1),LEFT(TRIM(F61&amp;""),FIND(" ",TRIM(F61&amp;""))-1)&amp;"병원"))&gt;0,ISNUMBER(MATCH(TRIM(RIGHT(SUBSTITUTE(TRIM(F61&amp;"")," ",REPT(" ",60)),60)),코드표!$F$2:$F$101,0))),IF(RIGHT(LEFT(TRIM(F61&amp;""),FIND(" ",TRIM(F61&amp;""))-1),2)="병원",LEFT(TRIM(F61&amp;""),FIND(" ",TRIM(F61&amp;""))-1),LEFT(TRIM(F61&amp;""),FIND(" ",TRIM(F61&amp;""))-1)&amp;"병원")&amp;"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",TRIM(G61&amp;""))),COUNTIF(코드표!$A$2:$A$21,IF(RIGHT(LEFT(TRIM(G61&amp;""),FIND(" ",TRIM(G61&amp;""))-1),2)="병원",LEFT(TRIM(G61&amp;""),FIND(" ",TRIM(G61&amp;""))-1),LEFT(TRIM(G61&amp;""),FIND(" ",TRIM(G61&amp;""))-1)&amp;"병원"))&gt;0,ISNUMBER(MATCH(TRIM(RIGHT(SUBSTITUTE(TRIM(G61&amp;"")," ",REPT(" ",60)),60)),코드표!$F$2:$F$101,0))),IF(RIGHT(LEFT(TRIM(G61&amp;""),FIND(" ",TRIM(G61&amp;""))-1),2)="병원",LEFT(TRIM(G61&amp;""),FIND(" ",TRIM(G61&amp;""))-1),LEFT(TRIM(G61&amp;""),FIND(" ",TRIM(G61&amp;""))-1)&amp;"병원")&amp;"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",TRIM(H61&amp;""))),COUNTIF(코드표!$A$2:$A$21,IF(RIGHT(LEFT(TRIM(H61&amp;""),FIND(" ",TRIM(H61&amp;""))-1),2)="병원",LEFT(TRIM(H61&amp;""),FIND(" ",TRIM(H61&amp;""))-1),LEFT(TRIM(H61&amp;""),FIND(" ",TRIM(H61&amp;""))-1)&amp;"병원"))&gt;0,ISNUMBER(MATCH(TRIM(RIGHT(SUBSTITUTE(TRIM(H61&amp;"")," ",REPT(" ",60)),60)),코드표!$F$2:$F$101,0))),IF(RIGHT(LEFT(TRIM(H61&amp;""),FIND(" ",TRIM(H61&amp;""))-1),2)="병원",LEFT(TRIM(H61&amp;""),FIND(" ",TRIM(H61&amp;""))-1),LEFT(TRIM(H61&amp;""),FIND(" ",TRIM(H61&amp;""))-1)&amp;"병원")&amp;"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",TRIM(I61&amp;""))),COUNTIF(코드표!$A$2:$A$21,IF(RIGHT(LEFT(TRIM(I61&amp;""),FIND(" ",TRIM(I61&amp;""))-1),2)="병원",LEFT(TRIM(I61&amp;""),FIND(" ",TRIM(I61&amp;""))-1),LEFT(TRIM(I61&amp;""),FIND(" ",TRIM(I61&amp;""))-1)&amp;"병원"))&gt;0,ISNUMBER(MATCH(TRIM(RIGHT(SUBSTITUTE(TRIM(I61&amp;"")," ",REPT(" ",60)),60)),코드표!$F$2:$F$101,0))),IF(RIGHT(LEFT(TRIM(I61&amp;""),FIND(" ",TRIM(I61&amp;""))-1),2)="병원",LEFT(TRIM(I61&amp;""),FIND(" ",TRIM(I61&amp;""))-1),LEFT(TRIM(I61&amp;""),FIND(" ",TRIM(I61&amp;""))-1)&amp;"병원")&amp;"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",TRIM(J61&amp;""))),COUNTIF(코드표!$A$2:$A$21,IF(RIGHT(LEFT(TRIM(J61&amp;""),FIND(" ",TRIM(J61&amp;""))-1),2)="병원",LEFT(TRIM(J61&amp;""),FIND(" ",TRIM(J61&amp;""))-1),LEFT(TRIM(J61&amp;""),FIND(" ",TRIM(J61&amp;""))-1)&amp;"병원"))&gt;0,ISNUMBER(MATCH(TRIM(RIGHT(SUBSTITUTE(TRIM(J61&amp;"")," ",REPT(" ",60)),60)),코드표!$F$2:$F$101,0))),IF(RIGHT(LEFT(TRIM(J61&amp;""),FIND(" ",TRIM(J61&amp;""))-1),2)="병원",LEFT(TRIM(J61&amp;""),FIND(" ",TRIM(J61&amp;""))-1),LEFT(TRIM(J61&amp;""),FIND(" ",TRIM(J61&amp;""))-1)&amp;"병원")&amp;"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",TRIM(E62&amp;""))),COUNTIF(코드표!$A$2:$A$21,IF(RIGHT(LEFT(TRIM(E62&amp;""),FIND(" ",TRIM(E62&amp;""))-1),2)="병원",LEFT(TRIM(E62&amp;""),FIND(" ",TRIM(E62&amp;""))-1),LEFT(TRIM(E62&amp;""),FIND(" ",TRIM(E62&amp;""))-1)&amp;"병원"))&gt;0,ISNUMBER(MATCH(TRIM(RIGHT(SUBSTITUTE(TRIM(E62&amp;"")," ",REPT(" ",60)),60)),코드표!$F$2:$F$101,0))),IF(RIGHT(LEFT(TRIM(E62&amp;""),FIND(" ",TRIM(E62&amp;""))-1),2)="병원",LEFT(TRIM(E62&amp;""),FIND(" ",TRIM(E62&amp;""))-1),LEFT(TRIM(E62&amp;""),FIND(" ",TRIM(E62&amp;""))-1)&amp;"병원")&amp;"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",TRIM(F62&amp;""))),COUNTIF(코드표!$A$2:$A$21,IF(RIGHT(LEFT(TRIM(F62&amp;""),FIND(" ",TRIM(F62&amp;""))-1),2)="병원",LEFT(TRIM(F62&amp;""),FIND(" ",TRIM(F62&amp;""))-1),LEFT(TRIM(F62&amp;""),FIND(" ",TRIM(F62&amp;""))-1)&amp;"병원"))&gt;0,ISNUMBER(MATCH(TRIM(RIGHT(SUBSTITUTE(TRIM(F62&amp;"")," ",REPT(" ",60)),60)),코드표!$F$2:$F$101,0))),IF(RIGHT(LEFT(TRIM(F62&amp;""),FIND(" ",TRIM(F62&amp;""))-1),2)="병원",LEFT(TRIM(F62&amp;""),FIND(" ",TRIM(F62&amp;""))-1),LEFT(TRIM(F62&amp;""),FIND(" ",TRIM(F62&amp;""))-1)&amp;"병원")&amp;"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",TRIM(G62&amp;""))),COUNTIF(코드표!$A$2:$A$21,IF(RIGHT(LEFT(TRIM(G62&amp;""),FIND(" ",TRIM(G62&amp;""))-1),2)="병원",LEFT(TRIM(G62&amp;""),FIND(" ",TRIM(G62&amp;""))-1),LEFT(TRIM(G62&amp;""),FIND(" ",TRIM(G62&amp;""))-1)&amp;"병원"))&gt;0,ISNUMBER(MATCH(TRIM(RIGHT(SUBSTITUTE(TRIM(G62&amp;"")," ",REPT(" ",60)),60)),코드표!$F$2:$F$101,0))),IF(RIGHT(LEFT(TRIM(G62&amp;""),FIND(" ",TRIM(G62&amp;""))-1),2)="병원",LEFT(TRIM(G62&amp;""),FIND(" ",TRIM(G62&amp;""))-1),LEFT(TRIM(G62&amp;""),FIND(" ",TRIM(G62&amp;""))-1)&amp;"병원")&amp;"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",TRIM(H62&amp;""))),COUNTIF(코드표!$A$2:$A$21,IF(RIGHT(LEFT(TRIM(H62&amp;""),FIND(" ",TRIM(H62&amp;""))-1),2)="병원",LEFT(TRIM(H62&amp;""),FIND(" ",TRIM(H62&amp;""))-1),LEFT(TRIM(H62&amp;""),FIND(" ",TRIM(H62&amp;""))-1)&amp;"병원"))&gt;0,ISNUMBER(MATCH(TRIM(RIGHT(SUBSTITUTE(TRIM(H62&amp;"")," ",REPT(" ",60)),60)),코드표!$F$2:$F$101,0))),IF(RIGHT(LEFT(TRIM(H62&amp;""),FIND(" ",TRIM(H62&amp;""))-1),2)="병원",LEFT(TRIM(H62&amp;""),FIND(" ",TRIM(H62&amp;""))-1),LEFT(TRIM(H62&amp;""),FIND(" ",TRIM(H62&amp;""))-1)&amp;"병원")&amp;"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",TRIM(I62&amp;""))),COUNTIF(코드표!$A$2:$A$21,IF(RIGHT(LEFT(TRIM(I62&amp;""),FIND(" ",TRIM(I62&amp;""))-1),2)="병원",LEFT(TRIM(I62&amp;""),FIND(" ",TRIM(I62&amp;""))-1),LEFT(TRIM(I62&amp;""),FIND(" ",TRIM(I62&amp;""))-1)&amp;"병원"))&gt;0,ISNUMBER(MATCH(TRIM(RIGHT(SUBSTITUTE(TRIM(I62&amp;"")," ",REPT(" ",60)),60)),코드표!$F$2:$F$101,0))),IF(RIGHT(LEFT(TRIM(I62&amp;""),FIND(" ",TRIM(I62&amp;""))-1),2)="병원",LEFT(TRIM(I62&amp;""),FIND(" ",TRIM(I62&amp;""))-1),LEFT(TRIM(I62&amp;""),FIND(" ",TRIM(I62&amp;""))-1)&amp;"병원")&amp;"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",TRIM(J62&amp;""))),COUNTIF(코드표!$A$2:$A$21,IF(RIGHT(LEFT(TRIM(J62&amp;""),FIND(" ",TRIM(J62&amp;""))-1),2)="병원",LEFT(TRIM(J62&amp;""),FIND(" ",TRIM(J62&amp;""))-1),LEFT(TRIM(J62&amp;""),FIND(" ",TRIM(J62&amp;""))-1)&amp;"병원"))&gt;0,ISNUMBER(MATCH(TRIM(RIGHT(SUBSTITUTE(TRIM(J62&amp;"")," ",REPT(" ",60)),60)),코드표!$F$2:$F$101,0))),IF(RIGHT(LEFT(TRIM(J62&amp;""),FIND(" ",TRIM(J62&amp;""))-1),2)="병원",LEFT(TRIM(J62&amp;""),FIND(" ",TRIM(J62&amp;""))-1),LEFT(TRIM(J62&amp;""),FIND(" ",TRIM(J62&amp;""))-1)&amp;"병원")&amp;"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",TRIM(E63&amp;""))),COUNTIF(코드표!$A$2:$A$21,IF(RIGHT(LEFT(TRIM(E63&amp;""),FIND(" ",TRIM(E63&amp;""))-1),2)="병원",LEFT(TRIM(E63&amp;""),FIND(" ",TRIM(E63&amp;""))-1),LEFT(TRIM(E63&amp;""),FIND(" ",TRIM(E63&amp;""))-1)&amp;"병원"))&gt;0,ISNUMBER(MATCH(TRIM(RIGHT(SUBSTITUTE(TRIM(E63&amp;"")," ",REPT(" ",60)),60)),코드표!$F$2:$F$101,0))),IF(RIGHT(LEFT(TRIM(E63&amp;""),FIND(" ",TRIM(E63&amp;""))-1),2)="병원",LEFT(TRIM(E63&amp;""),FIND(" ",TRIM(E63&amp;""))-1),LEFT(TRIM(E63&amp;""),FIND(" ",TRIM(E63&amp;""))-1)&amp;"병원")&amp;" "&amp;INDEX(코드표!$G$2:$G$101,MATCH(TRIM(RIGHT(SUBSTITUTE(TRIM(E63&amp;"")," ",REPT(" ",60)),60)),코드표!$F$2:$F$101,0)),"⚠"&amp;TRIM(E63&amp;""))),"⚠"&amp;TRIM(E63&amp;""))</f>
        <v/>
      </c>
      <c r="N63" s="10">
        <f>IFERROR(IF(TRIM(F63&amp;"")="","",IF(AND(ISNUMBER(FIND(" ",TRIM(F63&amp;""))),COUNTIF(코드표!$A$2:$A$21,IF(RIGHT(LEFT(TRIM(F63&amp;""),FIND(" ",TRIM(F63&amp;""))-1),2)="병원",LEFT(TRIM(F63&amp;""),FIND(" ",TRIM(F63&amp;""))-1),LEFT(TRIM(F63&amp;""),FIND(" ",TRIM(F63&amp;""))-1)&amp;"병원"))&gt;0,ISNUMBER(MATCH(TRIM(RIGHT(SUBSTITUTE(TRIM(F63&amp;"")," ",REPT(" ",60)),60)),코드표!$F$2:$F$101,0))),IF(RIGHT(LEFT(TRIM(F63&amp;""),FIND(" ",TRIM(F63&amp;""))-1),2)="병원",LEFT(TRIM(F63&amp;""),FIND(" ",TRIM(F63&amp;""))-1),LEFT(TRIM(F63&amp;""),FIND(" ",TRIM(F63&amp;""))-1)&amp;"병원")&amp;" "&amp;INDEX(코드표!$G$2:$G$101,MATCH(TRIM(RIGHT(SUBSTITUTE(TRIM(F63&amp;"")," ",REPT(" ",60)),60)),코드표!$F$2:$F$101,0)),"⚠"&amp;TRIM(F63&amp;""))),"⚠"&amp;TRIM(F63&amp;""))</f>
        <v/>
      </c>
      <c r="O63" s="10">
        <f>IFERROR(IF(TRIM(G63&amp;"")="","",IF(AND(ISNUMBER(FIND(" ",TRIM(G63&amp;""))),COUNTIF(코드표!$A$2:$A$21,IF(RIGHT(LEFT(TRIM(G63&amp;""),FIND(" ",TRIM(G63&amp;""))-1),2)="병원",LEFT(TRIM(G63&amp;""),FIND(" ",TRIM(G63&amp;""))-1),LEFT(TRIM(G63&amp;""),FIND(" ",TRIM(G63&amp;""))-1)&amp;"병원"))&gt;0,ISNUMBER(MATCH(TRIM(RIGHT(SUBSTITUTE(TRIM(G63&amp;"")," ",REPT(" ",60)),60)),코드표!$F$2:$F$101,0))),IF(RIGHT(LEFT(TRIM(G63&amp;""),FIND(" ",TRIM(G63&amp;""))-1),2)="병원",LEFT(TRIM(G63&amp;""),FIND(" ",TRIM(G63&amp;""))-1),LEFT(TRIM(G63&amp;""),FIND(" ",TRIM(G63&amp;""))-1)&amp;"병원")&amp;" "&amp;INDEX(코드표!$G$2:$G$101,MATCH(TRIM(RIGHT(SUBSTITUTE(TRIM(G63&amp;"")," ",REPT(" ",60)),60)),코드표!$F$2:$F$101,0)),"⚠"&amp;TRIM(G63&amp;""))),"⚠"&amp;TRIM(G63&amp;""))</f>
        <v/>
      </c>
      <c r="P63" s="10">
        <f>IFERROR(IF(TRIM(H63&amp;"")="","",IF(AND(ISNUMBER(FIND(" ",TRIM(H63&amp;""))),COUNTIF(코드표!$A$2:$A$21,IF(RIGHT(LEFT(TRIM(H63&amp;""),FIND(" ",TRIM(H63&amp;""))-1),2)="병원",LEFT(TRIM(H63&amp;""),FIND(" ",TRIM(H63&amp;""))-1),LEFT(TRIM(H63&amp;""),FIND(" ",TRIM(H63&amp;""))-1)&amp;"병원"))&gt;0,ISNUMBER(MATCH(TRIM(RIGHT(SUBSTITUTE(TRIM(H63&amp;"")," ",REPT(" ",60)),60)),코드표!$F$2:$F$101,0))),IF(RIGHT(LEFT(TRIM(H63&amp;""),FIND(" ",TRIM(H63&amp;""))-1),2)="병원",LEFT(TRIM(H63&amp;""),FIND(" ",TRIM(H63&amp;""))-1),LEFT(TRIM(H63&amp;""),FIND(" ",TRIM(H63&amp;""))-1)&amp;"병원")&amp;" "&amp;INDEX(코드표!$G$2:$G$101,MATCH(TRIM(RIGHT(SUBSTITUTE(TRIM(H63&amp;"")," ",REPT(" ",60)),60)),코드표!$F$2:$F$101,0)),"⚠"&amp;TRIM(H63&amp;""))),"⚠"&amp;TRIM(H63&amp;""))</f>
        <v/>
      </c>
      <c r="Q63" s="10">
        <f>IFERROR(IF(TRIM(I63&amp;"")="","",IF(AND(ISNUMBER(FIND(" ",TRIM(I63&amp;""))),COUNTIF(코드표!$A$2:$A$21,IF(RIGHT(LEFT(TRIM(I63&amp;""),FIND(" ",TRIM(I63&amp;""))-1),2)="병원",LEFT(TRIM(I63&amp;""),FIND(" ",TRIM(I63&amp;""))-1),LEFT(TRIM(I63&amp;""),FIND(" ",TRIM(I63&amp;""))-1)&amp;"병원"))&gt;0,ISNUMBER(MATCH(TRIM(RIGHT(SUBSTITUTE(TRIM(I63&amp;"")," ",REPT(" ",60)),60)),코드표!$F$2:$F$101,0))),IF(RIGHT(LEFT(TRIM(I63&amp;""),FIND(" ",TRIM(I63&amp;""))-1),2)="병원",LEFT(TRIM(I63&amp;""),FIND(" ",TRIM(I63&amp;""))-1),LEFT(TRIM(I63&amp;""),FIND(" ",TRIM(I63&amp;""))-1)&amp;"병원")&amp;" "&amp;INDEX(코드표!$G$2:$G$101,MATCH(TRIM(RIGHT(SUBSTITUTE(TRIM(I63&amp;"")," ",REPT(" ",60)),60)),코드표!$F$2:$F$101,0)),"⚠"&amp;TRIM(I63&amp;""))),"⚠"&amp;TRIM(I63&amp;""))</f>
        <v/>
      </c>
      <c r="R63" s="10">
        <f>IFERROR(IF(TRIM(J63&amp;"")="","",IF(AND(ISNUMBER(FIND(" ",TRIM(J63&amp;""))),COUNTIF(코드표!$A$2:$A$21,IF(RIGHT(LEFT(TRIM(J63&amp;""),FIND(" ",TRIM(J63&amp;""))-1),2)="병원",LEFT(TRIM(J63&amp;""),FIND(" ",TRIM(J63&amp;""))-1),LEFT(TRIM(J63&amp;""),FIND(" ",TRIM(J63&amp;""))-1)&amp;"병원"))&gt;0,ISNUMBER(MATCH(TRIM(RIGHT(SUBSTITUTE(TRIM(J63&amp;"")," ",REPT(" ",60)),60)),코드표!$F$2:$F$101,0))),IF(RIGHT(LEFT(TRIM(J63&amp;""),FIND(" ",TRIM(J63&amp;""))-1),2)="병원",LEFT(TRIM(J63&amp;""),FIND(" ",TRIM(J63&amp;""))-1),LEFT(TRIM(J63&amp;""),FIND(" ",TRIM(J63&amp;""))-1)&amp;"병원")&amp;" "&amp;INDEX(코드표!$G$2:$G$101,MATCH(TRIM(RIGHT(SUBSTITUTE(TRIM(J63&amp;"")," ",REPT(" ",60)),60)),코드표!$F$2:$F$101,0)),"⚠"&amp;TRIM(J63&amp;""))),"⚠"&amp;TRIM(J63&amp;""))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",TRIM(E64&amp;""))),COUNTIF(코드표!$A$2:$A$21,IF(RIGHT(LEFT(TRIM(E64&amp;""),FIND(" ",TRIM(E64&amp;""))-1),2)="병원",LEFT(TRIM(E64&amp;""),FIND(" ",TRIM(E64&amp;""))-1),LEFT(TRIM(E64&amp;""),FIND(" ",TRIM(E64&amp;""))-1)&amp;"병원"))&gt;0,ISNUMBER(MATCH(TRIM(RIGHT(SUBSTITUTE(TRIM(E64&amp;"")," ",REPT(" ",60)),60)),코드표!$F$2:$F$101,0))),IF(RIGHT(LEFT(TRIM(E64&amp;""),FIND(" ",TRIM(E64&amp;""))-1),2)="병원",LEFT(TRIM(E64&amp;""),FIND(" ",TRIM(E64&amp;""))-1),LEFT(TRIM(E64&amp;""),FIND(" ",TRIM(E64&amp;""))-1)&amp;"병원")&amp;" "&amp;INDEX(코드표!$G$2:$G$101,MATCH(TRIM(RIGHT(SUBSTITUTE(TRIM(E64&amp;"")," ",REPT(" ",60)),60)),코드표!$F$2:$F$101,0)),"⚠"&amp;TRIM(E64&amp;""))),"⚠"&amp;TRIM(E64&amp;""))</f>
        <v/>
      </c>
      <c r="N64" s="10">
        <f>IFERROR(IF(TRIM(F64&amp;"")="","",IF(AND(ISNUMBER(FIND(" ",TRIM(F64&amp;""))),COUNTIF(코드표!$A$2:$A$21,IF(RIGHT(LEFT(TRIM(F64&amp;""),FIND(" ",TRIM(F64&amp;""))-1),2)="병원",LEFT(TRIM(F64&amp;""),FIND(" ",TRIM(F64&amp;""))-1),LEFT(TRIM(F64&amp;""),FIND(" ",TRIM(F64&amp;""))-1)&amp;"병원"))&gt;0,ISNUMBER(MATCH(TRIM(RIGHT(SUBSTITUTE(TRIM(F64&amp;"")," ",REPT(" ",60)),60)),코드표!$F$2:$F$101,0))),IF(RIGHT(LEFT(TRIM(F64&amp;""),FIND(" ",TRIM(F64&amp;""))-1),2)="병원",LEFT(TRIM(F64&amp;""),FIND(" ",TRIM(F64&amp;""))-1),LEFT(TRIM(F64&amp;""),FIND(" ",TRIM(F64&amp;""))-1)&amp;"병원")&amp;" "&amp;INDEX(코드표!$G$2:$G$101,MATCH(TRIM(RIGHT(SUBSTITUTE(TRIM(F64&amp;"")," ",REPT(" ",60)),60)),코드표!$F$2:$F$101,0)),"⚠"&amp;TRIM(F64&amp;""))),"⚠"&amp;TRIM(F64&amp;""))</f>
        <v/>
      </c>
      <c r="O64" s="10">
        <f>IFERROR(IF(TRIM(G64&amp;"")="","",IF(AND(ISNUMBER(FIND(" ",TRIM(G64&amp;""))),COUNTIF(코드표!$A$2:$A$21,IF(RIGHT(LEFT(TRIM(G64&amp;""),FIND(" ",TRIM(G64&amp;""))-1),2)="병원",LEFT(TRIM(G64&amp;""),FIND(" ",TRIM(G64&amp;""))-1),LEFT(TRIM(G64&amp;""),FIND(" ",TRIM(G64&amp;""))-1)&amp;"병원"))&gt;0,ISNUMBER(MATCH(TRIM(RIGHT(SUBSTITUTE(TRIM(G64&amp;"")," ",REPT(" ",60)),60)),코드표!$F$2:$F$101,0))),IF(RIGHT(LEFT(TRIM(G64&amp;""),FIND(" ",TRIM(G64&amp;""))-1),2)="병원",LEFT(TRIM(G64&amp;""),FIND(" ",TRIM(G64&amp;""))-1),LEFT(TRIM(G64&amp;""),FIND(" ",TRIM(G64&amp;""))-1)&amp;"병원")&amp;" "&amp;INDEX(코드표!$G$2:$G$101,MATCH(TRIM(RIGHT(SUBSTITUTE(TRIM(G64&amp;"")," ",REPT(" ",60)),60)),코드표!$F$2:$F$101,0)),"⚠"&amp;TRIM(G64&amp;""))),"⚠"&amp;TRIM(G64&amp;""))</f>
        <v/>
      </c>
      <c r="P64" s="10">
        <f>IFERROR(IF(TRIM(H64&amp;"")="","",IF(AND(ISNUMBER(FIND(" ",TRIM(H64&amp;""))),COUNTIF(코드표!$A$2:$A$21,IF(RIGHT(LEFT(TRIM(H64&amp;""),FIND(" ",TRIM(H64&amp;""))-1),2)="병원",LEFT(TRIM(H64&amp;""),FIND(" ",TRIM(H64&amp;""))-1),LEFT(TRIM(H64&amp;""),FIND(" ",TRIM(H64&amp;""))-1)&amp;"병원"))&gt;0,ISNUMBER(MATCH(TRIM(RIGHT(SUBSTITUTE(TRIM(H64&amp;"")," ",REPT(" ",60)),60)),코드표!$F$2:$F$101,0))),IF(RIGHT(LEFT(TRIM(H64&amp;""),FIND(" ",TRIM(H64&amp;""))-1),2)="병원",LEFT(TRIM(H64&amp;""),FIND(" ",TRIM(H64&amp;""))-1),LEFT(TRIM(H64&amp;""),FIND(" ",TRIM(H64&amp;""))-1)&amp;"병원")&amp;" "&amp;INDEX(코드표!$G$2:$G$101,MATCH(TRIM(RIGHT(SUBSTITUTE(TRIM(H64&amp;"")," ",REPT(" ",60)),60)),코드표!$F$2:$F$101,0)),"⚠"&amp;TRIM(H64&amp;""))),"⚠"&amp;TRIM(H64&amp;""))</f>
        <v/>
      </c>
      <c r="Q64" s="10">
        <f>IFERROR(IF(TRIM(I64&amp;"")="","",IF(AND(ISNUMBER(FIND(" ",TRIM(I64&amp;""))),COUNTIF(코드표!$A$2:$A$21,IF(RIGHT(LEFT(TRIM(I64&amp;""),FIND(" ",TRIM(I64&amp;""))-1),2)="병원",LEFT(TRIM(I64&amp;""),FIND(" ",TRIM(I64&amp;""))-1),LEFT(TRIM(I64&amp;""),FIND(" ",TRIM(I64&amp;""))-1)&amp;"병원"))&gt;0,ISNUMBER(MATCH(TRIM(RIGHT(SUBSTITUTE(TRIM(I64&amp;"")," ",REPT(" ",60)),60)),코드표!$F$2:$F$101,0))),IF(RIGHT(LEFT(TRIM(I64&amp;""),FIND(" ",TRIM(I64&amp;""))-1),2)="병원",LEFT(TRIM(I64&amp;""),FIND(" ",TRIM(I64&amp;""))-1),LEFT(TRIM(I64&amp;""),FIND(" ",TRIM(I64&amp;""))-1)&amp;"병원")&amp;" "&amp;INDEX(코드표!$G$2:$G$101,MATCH(TRIM(RIGHT(SUBSTITUTE(TRIM(I64&amp;"")," ",REPT(" ",60)),60)),코드표!$F$2:$F$101,0)),"⚠"&amp;TRIM(I64&amp;""))),"⚠"&amp;TRIM(I64&amp;""))</f>
        <v/>
      </c>
      <c r="R64" s="10">
        <f>IFERROR(IF(TRIM(J64&amp;"")="","",IF(AND(ISNUMBER(FIND(" ",TRIM(J64&amp;""))),COUNTIF(코드표!$A$2:$A$21,IF(RIGHT(LEFT(TRIM(J64&amp;""),FIND(" ",TRIM(J64&amp;""))-1),2)="병원",LEFT(TRIM(J64&amp;""),FIND(" ",TRIM(J64&amp;""))-1),LEFT(TRIM(J64&amp;""),FIND(" ",TRIM(J64&amp;""))-1)&amp;"병원"))&gt;0,ISNUMBER(MATCH(TRIM(RIGHT(SUBSTITUTE(TRIM(J64&amp;"")," ",REPT(" ",60)),60)),코드표!$F$2:$F$101,0))),IF(RIGHT(LEFT(TRIM(J64&amp;""),FIND(" ",TRIM(J64&amp;""))-1),2)="병원",LEFT(TRIM(J64&amp;""),FIND(" ",TRIM(J64&amp;""))-1),LEFT(TRIM(J64&amp;""),FIND(" ",TRIM(J64&amp;""))-1)&amp;"병원")&amp;" "&amp;INDEX(코드표!$G$2:$G$101,MATCH(TRIM(RIGHT(SUBSTITUTE(TRIM(J64&amp;"")," ",REPT(" ",60)),60)),코드표!$F$2:$F$101,0)),"⚠"&amp;TRIM(J64&amp;""))),"⚠"&amp;TRIM(J64&amp;""))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",TRIM(E65&amp;""))),COUNTIF(코드표!$A$2:$A$21,IF(RIGHT(LEFT(TRIM(E65&amp;""),FIND(" ",TRIM(E65&amp;""))-1),2)="병원",LEFT(TRIM(E65&amp;""),FIND(" ",TRIM(E65&amp;""))-1),LEFT(TRIM(E65&amp;""),FIND(" ",TRIM(E65&amp;""))-1)&amp;"병원"))&gt;0,ISNUMBER(MATCH(TRIM(RIGHT(SUBSTITUTE(TRIM(E65&amp;"")," ",REPT(" ",60)),60)),코드표!$F$2:$F$101,0))),IF(RIGHT(LEFT(TRIM(E65&amp;""),FIND(" ",TRIM(E65&amp;""))-1),2)="병원",LEFT(TRIM(E65&amp;""),FIND(" ",TRIM(E65&amp;""))-1),LEFT(TRIM(E65&amp;""),FIND(" ",TRIM(E65&amp;""))-1)&amp;"병원")&amp;" "&amp;INDEX(코드표!$G$2:$G$101,MATCH(TRIM(RIGHT(SUBSTITUTE(TRIM(E65&amp;"")," ",REPT(" ",60)),60)),코드표!$F$2:$F$101,0)),"⚠"&amp;TRIM(E65&amp;""))),"⚠"&amp;TRIM(E65&amp;""))</f>
        <v/>
      </c>
      <c r="N65" s="10">
        <f>IFERROR(IF(TRIM(F65&amp;"")="","",IF(AND(ISNUMBER(FIND(" ",TRIM(F65&amp;""))),COUNTIF(코드표!$A$2:$A$21,IF(RIGHT(LEFT(TRIM(F65&amp;""),FIND(" ",TRIM(F65&amp;""))-1),2)="병원",LEFT(TRIM(F65&amp;""),FIND(" ",TRIM(F65&amp;""))-1),LEFT(TRIM(F65&amp;""),FIND(" ",TRIM(F65&amp;""))-1)&amp;"병원"))&gt;0,ISNUMBER(MATCH(TRIM(RIGHT(SUBSTITUTE(TRIM(F65&amp;"")," ",REPT(" ",60)),60)),코드표!$F$2:$F$101,0))),IF(RIGHT(LEFT(TRIM(F65&amp;""),FIND(" ",TRIM(F65&amp;""))-1),2)="병원",LEFT(TRIM(F65&amp;""),FIND(" ",TRIM(F65&amp;""))-1),LEFT(TRIM(F65&amp;""),FIND(" ",TRIM(F65&amp;""))-1)&amp;"병원")&amp;" "&amp;INDEX(코드표!$G$2:$G$101,MATCH(TRIM(RIGHT(SUBSTITUTE(TRIM(F65&amp;"")," ",REPT(" ",60)),60)),코드표!$F$2:$F$101,0)),"⚠"&amp;TRIM(F65&amp;""))),"⚠"&amp;TRIM(F65&amp;""))</f>
        <v/>
      </c>
      <c r="O65" s="10">
        <f>IFERROR(IF(TRIM(G65&amp;"")="","",IF(AND(ISNUMBER(FIND(" ",TRIM(G65&amp;""))),COUNTIF(코드표!$A$2:$A$21,IF(RIGHT(LEFT(TRIM(G65&amp;""),FIND(" ",TRIM(G65&amp;""))-1),2)="병원",LEFT(TRIM(G65&amp;""),FIND(" ",TRIM(G65&amp;""))-1),LEFT(TRIM(G65&amp;""),FIND(" ",TRIM(G65&amp;""))-1)&amp;"병원"))&gt;0,ISNUMBER(MATCH(TRIM(RIGHT(SUBSTITUTE(TRIM(G65&amp;"")," ",REPT(" ",60)),60)),코드표!$F$2:$F$101,0))),IF(RIGHT(LEFT(TRIM(G65&amp;""),FIND(" ",TRIM(G65&amp;""))-1),2)="병원",LEFT(TRIM(G65&amp;""),FIND(" ",TRIM(G65&amp;""))-1),LEFT(TRIM(G65&amp;""),FIND(" ",TRIM(G65&amp;""))-1)&amp;"병원")&amp;" "&amp;INDEX(코드표!$G$2:$G$101,MATCH(TRIM(RIGHT(SUBSTITUTE(TRIM(G65&amp;"")," ",REPT(" ",60)),60)),코드표!$F$2:$F$101,0)),"⚠"&amp;TRIM(G65&amp;""))),"⚠"&amp;TRIM(G65&amp;""))</f>
        <v/>
      </c>
      <c r="P65" s="10">
        <f>IFERROR(IF(TRIM(H65&amp;"")="","",IF(AND(ISNUMBER(FIND(" ",TRIM(H65&amp;""))),COUNTIF(코드표!$A$2:$A$21,IF(RIGHT(LEFT(TRIM(H65&amp;""),FIND(" ",TRIM(H65&amp;""))-1),2)="병원",LEFT(TRIM(H65&amp;""),FIND(" ",TRIM(H65&amp;""))-1),LEFT(TRIM(H65&amp;""),FIND(" ",TRIM(H65&amp;""))-1)&amp;"병원"))&gt;0,ISNUMBER(MATCH(TRIM(RIGHT(SUBSTITUTE(TRIM(H65&amp;"")," ",REPT(" ",60)),60)),코드표!$F$2:$F$101,0))),IF(RIGHT(LEFT(TRIM(H65&amp;""),FIND(" ",TRIM(H65&amp;""))-1),2)="병원",LEFT(TRIM(H65&amp;""),FIND(" ",TRIM(H65&amp;""))-1),LEFT(TRIM(H65&amp;""),FIND(" ",TRIM(H65&amp;""))-1)&amp;"병원")&amp;" "&amp;INDEX(코드표!$G$2:$G$101,MATCH(TRIM(RIGHT(SUBSTITUTE(TRIM(H65&amp;"")," ",REPT(" ",60)),60)),코드표!$F$2:$F$101,0)),"⚠"&amp;TRIM(H65&amp;""))),"⚠"&amp;TRIM(H65&amp;""))</f>
        <v/>
      </c>
      <c r="Q65" s="10">
        <f>IFERROR(IF(TRIM(I65&amp;"")="","",IF(AND(ISNUMBER(FIND(" ",TRIM(I65&amp;""))),COUNTIF(코드표!$A$2:$A$21,IF(RIGHT(LEFT(TRIM(I65&amp;""),FIND(" ",TRIM(I65&amp;""))-1),2)="병원",LEFT(TRIM(I65&amp;""),FIND(" ",TRIM(I65&amp;""))-1),LEFT(TRIM(I65&amp;""),FIND(" ",TRIM(I65&amp;""))-1)&amp;"병원"))&gt;0,ISNUMBER(MATCH(TRIM(RIGHT(SUBSTITUTE(TRIM(I65&amp;"")," ",REPT(" ",60)),60)),코드표!$F$2:$F$101,0))),IF(RIGHT(LEFT(TRIM(I65&amp;""),FIND(" ",TRIM(I65&amp;""))-1),2)="병원",LEFT(TRIM(I65&amp;""),FIND(" ",TRIM(I65&amp;""))-1),LEFT(TRIM(I65&amp;""),FIND(" ",TRIM(I65&amp;""))-1)&amp;"병원")&amp;" "&amp;INDEX(코드표!$G$2:$G$101,MATCH(TRIM(RIGHT(SUBSTITUTE(TRIM(I65&amp;"")," ",REPT(" ",60)),60)),코드표!$F$2:$F$101,0)),"⚠"&amp;TRIM(I65&amp;""))),"⚠"&amp;TRIM(I65&amp;""))</f>
        <v/>
      </c>
      <c r="R65" s="10">
        <f>IFERROR(IF(TRIM(J65&amp;"")="","",IF(AND(ISNUMBER(FIND(" ",TRIM(J65&amp;""))),COUNTIF(코드표!$A$2:$A$21,IF(RIGHT(LEFT(TRIM(J65&amp;""),FIND(" ",TRIM(J65&amp;""))-1),2)="병원",LEFT(TRIM(J65&amp;""),FIND(" ",TRIM(J65&amp;""))-1),LEFT(TRIM(J65&amp;""),FIND(" ",TRIM(J65&amp;""))-1)&amp;"병원"))&gt;0,ISNUMBER(MATCH(TRIM(RIGHT(SUBSTITUTE(TRIM(J65&amp;"")," ",REPT(" ",60)),60)),코드표!$F$2:$F$101,0))),IF(RIGHT(LEFT(TRIM(J65&amp;""),FIND(" ",TRIM(J65&amp;""))-1),2)="병원",LEFT(TRIM(J65&amp;""),FIND(" ",TRIM(J65&amp;""))-1),LEFT(TRIM(J65&amp;""),FIND(" ",TRIM(J65&amp;""))-1)&amp;"병원")&amp;" "&amp;INDEX(코드표!$G$2:$G$101,MATCH(TRIM(RIGHT(SUBSTITUTE(TRIM(J65&amp;"")," ",REPT(" ",60)),60)),코드표!$F$2:$F$101,0)),"⚠"&amp;TRIM(J65&amp;""))),"⚠"&amp;TRIM(J65&amp;""))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",TRIM(E66&amp;""))),COUNTIF(코드표!$A$2:$A$21,IF(RIGHT(LEFT(TRIM(E66&amp;""),FIND(" ",TRIM(E66&amp;""))-1),2)="병원",LEFT(TRIM(E66&amp;""),FIND(" ",TRIM(E66&amp;""))-1),LEFT(TRIM(E66&amp;""),FIND(" ",TRIM(E66&amp;""))-1)&amp;"병원"))&gt;0,ISNUMBER(MATCH(TRIM(RIGHT(SUBSTITUTE(TRIM(E66&amp;"")," ",REPT(" ",60)),60)),코드표!$F$2:$F$101,0))),IF(RIGHT(LEFT(TRIM(E66&amp;""),FIND(" ",TRIM(E66&amp;""))-1),2)="병원",LEFT(TRIM(E66&amp;""),FIND(" ",TRIM(E66&amp;""))-1),LEFT(TRIM(E66&amp;""),FIND(" ",TRIM(E66&amp;""))-1)&amp;"병원")&amp;" "&amp;INDEX(코드표!$G$2:$G$101,MATCH(TRIM(RIGHT(SUBSTITUTE(TRIM(E66&amp;"")," ",REPT(" ",60)),60)),코드표!$F$2:$F$101,0)),"⚠"&amp;TRIM(E66&amp;""))),"⚠"&amp;TRIM(E66&amp;""))</f>
        <v/>
      </c>
      <c r="N66" s="10">
        <f>IFERROR(IF(TRIM(F66&amp;"")="","",IF(AND(ISNUMBER(FIND(" ",TRIM(F66&amp;""))),COUNTIF(코드표!$A$2:$A$21,IF(RIGHT(LEFT(TRIM(F66&amp;""),FIND(" ",TRIM(F66&amp;""))-1),2)="병원",LEFT(TRIM(F66&amp;""),FIND(" ",TRIM(F66&amp;""))-1),LEFT(TRIM(F66&amp;""),FIND(" ",TRIM(F66&amp;""))-1)&amp;"병원"))&gt;0,ISNUMBER(MATCH(TRIM(RIGHT(SUBSTITUTE(TRIM(F66&amp;"")," ",REPT(" ",60)),60)),코드표!$F$2:$F$101,0))),IF(RIGHT(LEFT(TRIM(F66&amp;""),FIND(" ",TRIM(F66&amp;""))-1),2)="병원",LEFT(TRIM(F66&amp;""),FIND(" ",TRIM(F66&amp;""))-1),LEFT(TRIM(F66&amp;""),FIND(" ",TRIM(F66&amp;""))-1)&amp;"병원")&amp;" "&amp;INDEX(코드표!$G$2:$G$101,MATCH(TRIM(RIGHT(SUBSTITUTE(TRIM(F66&amp;"")," ",REPT(" ",60)),60)),코드표!$F$2:$F$101,0)),"⚠"&amp;TRIM(F66&amp;""))),"⚠"&amp;TRIM(F66&amp;""))</f>
        <v/>
      </c>
      <c r="O66" s="10">
        <f>IFERROR(IF(TRIM(G66&amp;"")="","",IF(AND(ISNUMBER(FIND(" ",TRIM(G66&amp;""))),COUNTIF(코드표!$A$2:$A$21,IF(RIGHT(LEFT(TRIM(G66&amp;""),FIND(" ",TRIM(G66&amp;""))-1),2)="병원",LEFT(TRIM(G66&amp;""),FIND(" ",TRIM(G66&amp;""))-1),LEFT(TRIM(G66&amp;""),FIND(" ",TRIM(G66&amp;""))-1)&amp;"병원"))&gt;0,ISNUMBER(MATCH(TRIM(RIGHT(SUBSTITUTE(TRIM(G66&amp;"")," ",REPT(" ",60)),60)),코드표!$F$2:$F$101,0))),IF(RIGHT(LEFT(TRIM(G66&amp;""),FIND(" ",TRIM(G66&amp;""))-1),2)="병원",LEFT(TRIM(G66&amp;""),FIND(" ",TRIM(G66&amp;""))-1),LEFT(TRIM(G66&amp;""),FIND(" ",TRIM(G66&amp;""))-1)&amp;"병원")&amp;" "&amp;INDEX(코드표!$G$2:$G$101,MATCH(TRIM(RIGHT(SUBSTITUTE(TRIM(G66&amp;"")," ",REPT(" ",60)),60)),코드표!$F$2:$F$101,0)),"⚠"&amp;TRIM(G66&amp;""))),"⚠"&amp;TRIM(G66&amp;""))</f>
        <v/>
      </c>
      <c r="P66" s="10">
        <f>IFERROR(IF(TRIM(H66&amp;"")="","",IF(AND(ISNUMBER(FIND(" ",TRIM(H66&amp;""))),COUNTIF(코드표!$A$2:$A$21,IF(RIGHT(LEFT(TRIM(H66&amp;""),FIND(" ",TRIM(H66&amp;""))-1),2)="병원",LEFT(TRIM(H66&amp;""),FIND(" ",TRIM(H66&amp;""))-1),LEFT(TRIM(H66&amp;""),FIND(" ",TRIM(H66&amp;""))-1)&amp;"병원"))&gt;0,ISNUMBER(MATCH(TRIM(RIGHT(SUBSTITUTE(TRIM(H66&amp;"")," ",REPT(" ",60)),60)),코드표!$F$2:$F$101,0))),IF(RIGHT(LEFT(TRIM(H66&amp;""),FIND(" ",TRIM(H66&amp;""))-1),2)="병원",LEFT(TRIM(H66&amp;""),FIND(" ",TRIM(H66&amp;""))-1),LEFT(TRIM(H66&amp;""),FIND(" ",TRIM(H66&amp;""))-1)&amp;"병원")&amp;" "&amp;INDEX(코드표!$G$2:$G$101,MATCH(TRIM(RIGHT(SUBSTITUTE(TRIM(H66&amp;"")," ",REPT(" ",60)),60)),코드표!$F$2:$F$101,0)),"⚠"&amp;TRIM(H66&amp;""))),"⚠"&amp;TRIM(H66&amp;""))</f>
        <v/>
      </c>
      <c r="Q66" s="10">
        <f>IFERROR(IF(TRIM(I66&amp;"")="","",IF(AND(ISNUMBER(FIND(" ",TRIM(I66&amp;""))),COUNTIF(코드표!$A$2:$A$21,IF(RIGHT(LEFT(TRIM(I66&amp;""),FIND(" ",TRIM(I66&amp;""))-1),2)="병원",LEFT(TRIM(I66&amp;""),FIND(" ",TRIM(I66&amp;""))-1),LEFT(TRIM(I66&amp;""),FIND(" ",TRIM(I66&amp;""))-1)&amp;"병원"))&gt;0,ISNUMBER(MATCH(TRIM(RIGHT(SUBSTITUTE(TRIM(I66&amp;"")," ",REPT(" ",60)),60)),코드표!$F$2:$F$101,0))),IF(RIGHT(LEFT(TRIM(I66&amp;""),FIND(" ",TRIM(I66&amp;""))-1),2)="병원",LEFT(TRIM(I66&amp;""),FIND(" ",TRIM(I66&amp;""))-1),LEFT(TRIM(I66&amp;""),FIND(" ",TRIM(I66&amp;""))-1)&amp;"병원")&amp;" "&amp;INDEX(코드표!$G$2:$G$101,MATCH(TRIM(RIGHT(SUBSTITUTE(TRIM(I66&amp;"")," ",REPT(" ",60)),60)),코드표!$F$2:$F$101,0)),"⚠"&amp;TRIM(I66&amp;""))),"⚠"&amp;TRIM(I66&amp;""))</f>
        <v/>
      </c>
      <c r="R66" s="10">
        <f>IFERROR(IF(TRIM(J66&amp;"")="","",IF(AND(ISNUMBER(FIND(" ",TRIM(J66&amp;""))),COUNTIF(코드표!$A$2:$A$21,IF(RIGHT(LEFT(TRIM(J66&amp;""),FIND(" ",TRIM(J66&amp;""))-1),2)="병원",LEFT(TRIM(J66&amp;""),FIND(" ",TRIM(J66&amp;""))-1),LEFT(TRIM(J66&amp;""),FIND(" ",TRIM(J66&amp;""))-1)&amp;"병원"))&gt;0,ISNUMBER(MATCH(TRIM(RIGHT(SUBSTITUTE(TRIM(J66&amp;"")," ",REPT(" ",60)),60)),코드표!$F$2:$F$101,0))),IF(RIGHT(LEFT(TRIM(J66&amp;""),FIND(" ",TRIM(J66&amp;""))-1),2)="병원",LEFT(TRIM(J66&amp;""),FIND(" ",TRIM(J66&amp;""))-1),LEFT(TRIM(J66&amp;""),FIND(" ",TRIM(J66&amp;""))-1)&amp;"병원")&amp;" "&amp;INDEX(코드표!$G$2:$G$101,MATCH(TRIM(RIGHT(SUBSTITUTE(TRIM(J66&amp;"")," ",REPT(" ",60)),60)),코드표!$F$2:$F$101,0)),"⚠"&amp;TRIM(J66&amp;""))),"⚠"&amp;TRIM(J66&amp;""))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",TRIM(E67&amp;""))),COUNTIF(코드표!$A$2:$A$21,IF(RIGHT(LEFT(TRIM(E67&amp;""),FIND(" ",TRIM(E67&amp;""))-1),2)="병원",LEFT(TRIM(E67&amp;""),FIND(" ",TRIM(E67&amp;""))-1),LEFT(TRIM(E67&amp;""),FIND(" ",TRIM(E67&amp;""))-1)&amp;"병원"))&gt;0,ISNUMBER(MATCH(TRIM(RIGHT(SUBSTITUTE(TRIM(E67&amp;"")," ",REPT(" ",60)),60)),코드표!$F$2:$F$101,0))),IF(RIGHT(LEFT(TRIM(E67&amp;""),FIND(" ",TRIM(E67&amp;""))-1),2)="병원",LEFT(TRIM(E67&amp;""),FIND(" ",TRIM(E67&amp;""))-1),LEFT(TRIM(E67&amp;""),FIND(" ",TRIM(E67&amp;""))-1)&amp;"병원")&amp;" "&amp;INDEX(코드표!$G$2:$G$101,MATCH(TRIM(RIGHT(SUBSTITUTE(TRIM(E67&amp;"")," ",REPT(" ",60)),60)),코드표!$F$2:$F$101,0)),"⚠"&amp;TRIM(E67&amp;""))),"⚠"&amp;TRIM(E67&amp;""))</f>
        <v/>
      </c>
      <c r="N67" s="10">
        <f>IFERROR(IF(TRIM(F67&amp;"")="","",IF(AND(ISNUMBER(FIND(" ",TRIM(F67&amp;""))),COUNTIF(코드표!$A$2:$A$21,IF(RIGHT(LEFT(TRIM(F67&amp;""),FIND(" ",TRIM(F67&amp;""))-1),2)="병원",LEFT(TRIM(F67&amp;""),FIND(" ",TRIM(F67&amp;""))-1),LEFT(TRIM(F67&amp;""),FIND(" ",TRIM(F67&amp;""))-1)&amp;"병원"))&gt;0,ISNUMBER(MATCH(TRIM(RIGHT(SUBSTITUTE(TRIM(F67&amp;"")," ",REPT(" ",60)),60)),코드표!$F$2:$F$101,0))),IF(RIGHT(LEFT(TRIM(F67&amp;""),FIND(" ",TRIM(F67&amp;""))-1),2)="병원",LEFT(TRIM(F67&amp;""),FIND(" ",TRIM(F67&amp;""))-1),LEFT(TRIM(F67&amp;""),FIND(" ",TRIM(F67&amp;""))-1)&amp;"병원")&amp;" "&amp;INDEX(코드표!$G$2:$G$101,MATCH(TRIM(RIGHT(SUBSTITUTE(TRIM(F67&amp;"")," ",REPT(" ",60)),60)),코드표!$F$2:$F$101,0)),"⚠"&amp;TRIM(F67&amp;""))),"⚠"&amp;TRIM(F67&amp;""))</f>
        <v/>
      </c>
      <c r="O67" s="10">
        <f>IFERROR(IF(TRIM(G67&amp;"")="","",IF(AND(ISNUMBER(FIND(" ",TRIM(G67&amp;""))),COUNTIF(코드표!$A$2:$A$21,IF(RIGHT(LEFT(TRIM(G67&amp;""),FIND(" ",TRIM(G67&amp;""))-1),2)="병원",LEFT(TRIM(G67&amp;""),FIND(" ",TRIM(G67&amp;""))-1),LEFT(TRIM(G67&amp;""),FIND(" ",TRIM(G67&amp;""))-1)&amp;"병원"))&gt;0,ISNUMBER(MATCH(TRIM(RIGHT(SUBSTITUTE(TRIM(G67&amp;"")," ",REPT(" ",60)),60)),코드표!$F$2:$F$101,0))),IF(RIGHT(LEFT(TRIM(G67&amp;""),FIND(" ",TRIM(G67&amp;""))-1),2)="병원",LEFT(TRIM(G67&amp;""),FIND(" ",TRIM(G67&amp;""))-1),LEFT(TRIM(G67&amp;""),FIND(" ",TRIM(G67&amp;""))-1)&amp;"병원")&amp;" "&amp;INDEX(코드표!$G$2:$G$101,MATCH(TRIM(RIGHT(SUBSTITUTE(TRIM(G67&amp;"")," ",REPT(" ",60)),60)),코드표!$F$2:$F$101,0)),"⚠"&amp;TRIM(G67&amp;""))),"⚠"&amp;TRIM(G67&amp;""))</f>
        <v/>
      </c>
      <c r="P67" s="10">
        <f>IFERROR(IF(TRIM(H67&amp;"")="","",IF(AND(ISNUMBER(FIND(" ",TRIM(H67&amp;""))),COUNTIF(코드표!$A$2:$A$21,IF(RIGHT(LEFT(TRIM(H67&amp;""),FIND(" ",TRIM(H67&amp;""))-1),2)="병원",LEFT(TRIM(H67&amp;""),FIND(" ",TRIM(H67&amp;""))-1),LEFT(TRIM(H67&amp;""),FIND(" ",TRIM(H67&amp;""))-1)&amp;"병원"))&gt;0,ISNUMBER(MATCH(TRIM(RIGHT(SUBSTITUTE(TRIM(H67&amp;"")," ",REPT(" ",60)),60)),코드표!$F$2:$F$101,0))),IF(RIGHT(LEFT(TRIM(H67&amp;""),FIND(" ",TRIM(H67&amp;""))-1),2)="병원",LEFT(TRIM(H67&amp;""),FIND(" ",TRIM(H67&amp;""))-1),LEFT(TRIM(H67&amp;""),FIND(" ",TRIM(H67&amp;""))-1)&amp;"병원")&amp;" "&amp;INDEX(코드표!$G$2:$G$101,MATCH(TRIM(RIGHT(SUBSTITUTE(TRIM(H67&amp;"")," ",REPT(" ",60)),60)),코드표!$F$2:$F$101,0)),"⚠"&amp;TRIM(H67&amp;""))),"⚠"&amp;TRIM(H67&amp;""))</f>
        <v/>
      </c>
      <c r="Q67" s="10">
        <f>IFERROR(IF(TRIM(I67&amp;"")="","",IF(AND(ISNUMBER(FIND(" ",TRIM(I67&amp;""))),COUNTIF(코드표!$A$2:$A$21,IF(RIGHT(LEFT(TRIM(I67&amp;""),FIND(" ",TRIM(I67&amp;""))-1),2)="병원",LEFT(TRIM(I67&amp;""),FIND(" ",TRIM(I67&amp;""))-1),LEFT(TRIM(I67&amp;""),FIND(" ",TRIM(I67&amp;""))-1)&amp;"병원"))&gt;0,ISNUMBER(MATCH(TRIM(RIGHT(SUBSTITUTE(TRIM(I67&amp;"")," ",REPT(" ",60)),60)),코드표!$F$2:$F$101,0))),IF(RIGHT(LEFT(TRIM(I67&amp;""),FIND(" ",TRIM(I67&amp;""))-1),2)="병원",LEFT(TRIM(I67&amp;""),FIND(" ",TRIM(I67&amp;""))-1),LEFT(TRIM(I67&amp;""),FIND(" ",TRIM(I67&amp;""))-1)&amp;"병원")&amp;" "&amp;INDEX(코드표!$G$2:$G$101,MATCH(TRIM(RIGHT(SUBSTITUTE(TRIM(I67&amp;"")," ",REPT(" ",60)),60)),코드표!$F$2:$F$101,0)),"⚠"&amp;TRIM(I67&amp;""))),"⚠"&amp;TRIM(I67&amp;""))</f>
        <v/>
      </c>
      <c r="R67" s="10">
        <f>IFERROR(IF(TRIM(J67&amp;"")="","",IF(AND(ISNUMBER(FIND(" ",TRIM(J67&amp;""))),COUNTIF(코드표!$A$2:$A$21,IF(RIGHT(LEFT(TRIM(J67&amp;""),FIND(" ",TRIM(J67&amp;""))-1),2)="병원",LEFT(TRIM(J67&amp;""),FIND(" ",TRIM(J67&amp;""))-1),LEFT(TRIM(J67&amp;""),FIND(" ",TRIM(J67&amp;""))-1)&amp;"병원"))&gt;0,ISNUMBER(MATCH(TRIM(RIGHT(SUBSTITUTE(TRIM(J67&amp;"")," ",REPT(" ",60)),60)),코드표!$F$2:$F$101,0))),IF(RIGHT(LEFT(TRIM(J67&amp;""),FIND(" ",TRIM(J67&amp;""))-1),2)="병원",LEFT(TRIM(J67&amp;""),FIND(" ",TRIM(J67&amp;""))-1),LEFT(TRIM(J67&amp;""),FIND(" ",TRIM(J67&amp;""))-1)&amp;"병원")&amp;" "&amp;INDEX(코드표!$G$2:$G$101,MATCH(TRIM(RIGHT(SUBSTITUTE(TRIM(J67&amp;"")," ",REPT(" ",60)),60)),코드표!$F$2:$F$101,0)),"⚠"&amp;TRIM(J67&amp;""))),"⚠"&amp;TRIM(J67&amp;""))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",TRIM(E68&amp;""))),COUNTIF(코드표!$A$2:$A$21,IF(RIGHT(LEFT(TRIM(E68&amp;""),FIND(" ",TRIM(E68&amp;""))-1),2)="병원",LEFT(TRIM(E68&amp;""),FIND(" ",TRIM(E68&amp;""))-1),LEFT(TRIM(E68&amp;""),FIND(" ",TRIM(E68&amp;""))-1)&amp;"병원"))&gt;0,ISNUMBER(MATCH(TRIM(RIGHT(SUBSTITUTE(TRIM(E68&amp;"")," ",REPT(" ",60)),60)),코드표!$F$2:$F$101,0))),IF(RIGHT(LEFT(TRIM(E68&amp;""),FIND(" ",TRIM(E68&amp;""))-1),2)="병원",LEFT(TRIM(E68&amp;""),FIND(" ",TRIM(E68&amp;""))-1),LEFT(TRIM(E68&amp;""),FIND(" ",TRIM(E68&amp;""))-1)&amp;"병원")&amp;" "&amp;INDEX(코드표!$G$2:$G$101,MATCH(TRIM(RIGHT(SUBSTITUTE(TRIM(E68&amp;"")," ",REPT(" ",60)),60)),코드표!$F$2:$F$101,0)),"⚠"&amp;TRIM(E68&amp;""))),"⚠"&amp;TRIM(E68&amp;""))</f>
        <v/>
      </c>
      <c r="N68" s="10">
        <f>IFERROR(IF(TRIM(F68&amp;"")="","",IF(AND(ISNUMBER(FIND(" ",TRIM(F68&amp;""))),COUNTIF(코드표!$A$2:$A$21,IF(RIGHT(LEFT(TRIM(F68&amp;""),FIND(" ",TRIM(F68&amp;""))-1),2)="병원",LEFT(TRIM(F68&amp;""),FIND(" ",TRIM(F68&amp;""))-1),LEFT(TRIM(F68&amp;""),FIND(" ",TRIM(F68&amp;""))-1)&amp;"병원"))&gt;0,ISNUMBER(MATCH(TRIM(RIGHT(SUBSTITUTE(TRIM(F68&amp;"")," ",REPT(" ",60)),60)),코드표!$F$2:$F$101,0))),IF(RIGHT(LEFT(TRIM(F68&amp;""),FIND(" ",TRIM(F68&amp;""))-1),2)="병원",LEFT(TRIM(F68&amp;""),FIND(" ",TRIM(F68&amp;""))-1),LEFT(TRIM(F68&amp;""),FIND(" ",TRIM(F68&amp;""))-1)&amp;"병원")&amp;" "&amp;INDEX(코드표!$G$2:$G$101,MATCH(TRIM(RIGHT(SUBSTITUTE(TRIM(F68&amp;"")," ",REPT(" ",60)),60)),코드표!$F$2:$F$101,0)),"⚠"&amp;TRIM(F68&amp;""))),"⚠"&amp;TRIM(F68&amp;""))</f>
        <v/>
      </c>
      <c r="O68" s="10">
        <f>IFERROR(IF(TRIM(G68&amp;"")="","",IF(AND(ISNUMBER(FIND(" ",TRIM(G68&amp;""))),COUNTIF(코드표!$A$2:$A$21,IF(RIGHT(LEFT(TRIM(G68&amp;""),FIND(" ",TRIM(G68&amp;""))-1),2)="병원",LEFT(TRIM(G68&amp;""),FIND(" ",TRIM(G68&amp;""))-1),LEFT(TRIM(G68&amp;""),FIND(" ",TRIM(G68&amp;""))-1)&amp;"병원"))&gt;0,ISNUMBER(MATCH(TRIM(RIGHT(SUBSTITUTE(TRIM(G68&amp;"")," ",REPT(" ",60)),60)),코드표!$F$2:$F$101,0))),IF(RIGHT(LEFT(TRIM(G68&amp;""),FIND(" ",TRIM(G68&amp;""))-1),2)="병원",LEFT(TRIM(G68&amp;""),FIND(" ",TRIM(G68&amp;""))-1),LEFT(TRIM(G68&amp;""),FIND(" ",TRIM(G68&amp;""))-1)&amp;"병원")&amp;" "&amp;INDEX(코드표!$G$2:$G$101,MATCH(TRIM(RIGHT(SUBSTITUTE(TRIM(G68&amp;"")," ",REPT(" ",60)),60)),코드표!$F$2:$F$101,0)),"⚠"&amp;TRIM(G68&amp;""))),"⚠"&amp;TRIM(G68&amp;""))</f>
        <v/>
      </c>
      <c r="P68" s="10">
        <f>IFERROR(IF(TRIM(H68&amp;"")="","",IF(AND(ISNUMBER(FIND(" ",TRIM(H68&amp;""))),COUNTIF(코드표!$A$2:$A$21,IF(RIGHT(LEFT(TRIM(H68&amp;""),FIND(" ",TRIM(H68&amp;""))-1),2)="병원",LEFT(TRIM(H68&amp;""),FIND(" ",TRIM(H68&amp;""))-1),LEFT(TRIM(H68&amp;""),FIND(" ",TRIM(H68&amp;""))-1)&amp;"병원"))&gt;0,ISNUMBER(MATCH(TRIM(RIGHT(SUBSTITUTE(TRIM(H68&amp;"")," ",REPT(" ",60)),60)),코드표!$F$2:$F$101,0))),IF(RIGHT(LEFT(TRIM(H68&amp;""),FIND(" ",TRIM(H68&amp;""))-1),2)="병원",LEFT(TRIM(H68&amp;""),FIND(" ",TRIM(H68&amp;""))-1),LEFT(TRIM(H68&amp;""),FIND(" ",TRIM(H68&amp;""))-1)&amp;"병원")&amp;" "&amp;INDEX(코드표!$G$2:$G$101,MATCH(TRIM(RIGHT(SUBSTITUTE(TRIM(H68&amp;"")," ",REPT(" ",60)),60)),코드표!$F$2:$F$101,0)),"⚠"&amp;TRIM(H68&amp;""))),"⚠"&amp;TRIM(H68&amp;""))</f>
        <v/>
      </c>
      <c r="Q68" s="10">
        <f>IFERROR(IF(TRIM(I68&amp;"")="","",IF(AND(ISNUMBER(FIND(" ",TRIM(I68&amp;""))),COUNTIF(코드표!$A$2:$A$21,IF(RIGHT(LEFT(TRIM(I68&amp;""),FIND(" ",TRIM(I68&amp;""))-1),2)="병원",LEFT(TRIM(I68&amp;""),FIND(" ",TRIM(I68&amp;""))-1),LEFT(TRIM(I68&amp;""),FIND(" ",TRIM(I68&amp;""))-1)&amp;"병원"))&gt;0,ISNUMBER(MATCH(TRIM(RIGHT(SUBSTITUTE(TRIM(I68&amp;"")," ",REPT(" ",60)),60)),코드표!$F$2:$F$101,0))),IF(RIGHT(LEFT(TRIM(I68&amp;""),FIND(" ",TRIM(I68&amp;""))-1),2)="병원",LEFT(TRIM(I68&amp;""),FIND(" ",TRIM(I68&amp;""))-1),LEFT(TRIM(I68&amp;""),FIND(" ",TRIM(I68&amp;""))-1)&amp;"병원")&amp;" "&amp;INDEX(코드표!$G$2:$G$101,MATCH(TRIM(RIGHT(SUBSTITUTE(TRIM(I68&amp;"")," ",REPT(" ",60)),60)),코드표!$F$2:$F$101,0)),"⚠"&amp;TRIM(I68&amp;""))),"⚠"&amp;TRIM(I68&amp;""))</f>
        <v/>
      </c>
      <c r="R68" s="10">
        <f>IFERROR(IF(TRIM(J68&amp;"")="","",IF(AND(ISNUMBER(FIND(" ",TRIM(J68&amp;""))),COUNTIF(코드표!$A$2:$A$21,IF(RIGHT(LEFT(TRIM(J68&amp;""),FIND(" ",TRIM(J68&amp;""))-1),2)="병원",LEFT(TRIM(J68&amp;""),FIND(" ",TRIM(J68&amp;""))-1),LEFT(TRIM(J68&amp;""),FIND(" ",TRIM(J68&amp;""))-1)&amp;"병원"))&gt;0,ISNUMBER(MATCH(TRIM(RIGHT(SUBSTITUTE(TRIM(J68&amp;"")," ",REPT(" ",60)),60)),코드표!$F$2:$F$101,0))),IF(RIGHT(LEFT(TRIM(J68&amp;""),FIND(" ",TRIM(J68&amp;""))-1),2)="병원",LEFT(TRIM(J68&amp;""),FIND(" ",TRIM(J68&amp;""))-1),LEFT(TRIM(J68&amp;""),FIND(" ",TRIM(J68&amp;""))-1)&amp;"병원")&amp;" "&amp;INDEX(코드표!$G$2:$G$101,MATCH(TRIM(RIGHT(SUBSTITUTE(TRIM(J68&amp;"")," ",REPT(" ",60)),60)),코드표!$F$2:$F$101,0)),"⚠"&amp;TRIM(J68&amp;""))),"⚠"&amp;TRIM(J68&amp;""))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",TRIM(E69&amp;""))),COUNTIF(코드표!$A$2:$A$21,IF(RIGHT(LEFT(TRIM(E69&amp;""),FIND(" ",TRIM(E69&amp;""))-1),2)="병원",LEFT(TRIM(E69&amp;""),FIND(" ",TRIM(E69&amp;""))-1),LEFT(TRIM(E69&amp;""),FIND(" ",TRIM(E69&amp;""))-1)&amp;"병원"))&gt;0,ISNUMBER(MATCH(TRIM(RIGHT(SUBSTITUTE(TRIM(E69&amp;"")," ",REPT(" ",60)),60)),코드표!$F$2:$F$101,0))),IF(RIGHT(LEFT(TRIM(E69&amp;""),FIND(" ",TRIM(E69&amp;""))-1),2)="병원",LEFT(TRIM(E69&amp;""),FIND(" ",TRIM(E69&amp;""))-1),LEFT(TRIM(E69&amp;""),FIND(" ",TRIM(E69&amp;""))-1)&amp;"병원")&amp;" "&amp;INDEX(코드표!$G$2:$G$101,MATCH(TRIM(RIGHT(SUBSTITUTE(TRIM(E69&amp;"")," ",REPT(" ",60)),60)),코드표!$F$2:$F$101,0)),"⚠"&amp;TRIM(E69&amp;""))),"⚠"&amp;TRIM(E69&amp;""))</f>
        <v/>
      </c>
      <c r="N69" s="10">
        <f>IFERROR(IF(TRIM(F69&amp;"")="","",IF(AND(ISNUMBER(FIND(" ",TRIM(F69&amp;""))),COUNTIF(코드표!$A$2:$A$21,IF(RIGHT(LEFT(TRIM(F69&amp;""),FIND(" ",TRIM(F69&amp;""))-1),2)="병원",LEFT(TRIM(F69&amp;""),FIND(" ",TRIM(F69&amp;""))-1),LEFT(TRIM(F69&amp;""),FIND(" ",TRIM(F69&amp;""))-1)&amp;"병원"))&gt;0,ISNUMBER(MATCH(TRIM(RIGHT(SUBSTITUTE(TRIM(F69&amp;"")," ",REPT(" ",60)),60)),코드표!$F$2:$F$101,0))),IF(RIGHT(LEFT(TRIM(F69&amp;""),FIND(" ",TRIM(F69&amp;""))-1),2)="병원",LEFT(TRIM(F69&amp;""),FIND(" ",TRIM(F69&amp;""))-1),LEFT(TRIM(F69&amp;""),FIND(" ",TRIM(F69&amp;""))-1)&amp;"병원")&amp;" "&amp;INDEX(코드표!$G$2:$G$101,MATCH(TRIM(RIGHT(SUBSTITUTE(TRIM(F69&amp;"")," ",REPT(" ",60)),60)),코드표!$F$2:$F$101,0)),"⚠"&amp;TRIM(F69&amp;""))),"⚠"&amp;TRIM(F69&amp;""))</f>
        <v/>
      </c>
      <c r="O69" s="10">
        <f>IFERROR(IF(TRIM(G69&amp;"")="","",IF(AND(ISNUMBER(FIND(" ",TRIM(G69&amp;""))),COUNTIF(코드표!$A$2:$A$21,IF(RIGHT(LEFT(TRIM(G69&amp;""),FIND(" ",TRIM(G69&amp;""))-1),2)="병원",LEFT(TRIM(G69&amp;""),FIND(" ",TRIM(G69&amp;""))-1),LEFT(TRIM(G69&amp;""),FIND(" ",TRIM(G69&amp;""))-1)&amp;"병원"))&gt;0,ISNUMBER(MATCH(TRIM(RIGHT(SUBSTITUTE(TRIM(G69&amp;"")," ",REPT(" ",60)),60)),코드표!$F$2:$F$101,0))),IF(RIGHT(LEFT(TRIM(G69&amp;""),FIND(" ",TRIM(G69&amp;""))-1),2)="병원",LEFT(TRIM(G69&amp;""),FIND(" ",TRIM(G69&amp;""))-1),LEFT(TRIM(G69&amp;""),FIND(" ",TRIM(G69&amp;""))-1)&amp;"병원")&amp;" "&amp;INDEX(코드표!$G$2:$G$101,MATCH(TRIM(RIGHT(SUBSTITUTE(TRIM(G69&amp;"")," ",REPT(" ",60)),60)),코드표!$F$2:$F$101,0)),"⚠"&amp;TRIM(G69&amp;""))),"⚠"&amp;TRIM(G69&amp;""))</f>
        <v/>
      </c>
      <c r="P69" s="10">
        <f>IFERROR(IF(TRIM(H69&amp;"")="","",IF(AND(ISNUMBER(FIND(" ",TRIM(H69&amp;""))),COUNTIF(코드표!$A$2:$A$21,IF(RIGHT(LEFT(TRIM(H69&amp;""),FIND(" ",TRIM(H69&amp;""))-1),2)="병원",LEFT(TRIM(H69&amp;""),FIND(" ",TRIM(H69&amp;""))-1),LEFT(TRIM(H69&amp;""),FIND(" ",TRIM(H69&amp;""))-1)&amp;"병원"))&gt;0,ISNUMBER(MATCH(TRIM(RIGHT(SUBSTITUTE(TRIM(H69&amp;"")," ",REPT(" ",60)),60)),코드표!$F$2:$F$101,0))),IF(RIGHT(LEFT(TRIM(H69&amp;""),FIND(" ",TRIM(H69&amp;""))-1),2)="병원",LEFT(TRIM(H69&amp;""),FIND(" ",TRIM(H69&amp;""))-1),LEFT(TRIM(H69&amp;""),FIND(" ",TRIM(H69&amp;""))-1)&amp;"병원")&amp;" "&amp;INDEX(코드표!$G$2:$G$101,MATCH(TRIM(RIGHT(SUBSTITUTE(TRIM(H69&amp;"")," ",REPT(" ",60)),60)),코드표!$F$2:$F$101,0)),"⚠"&amp;TRIM(H69&amp;""))),"⚠"&amp;TRIM(H69&amp;""))</f>
        <v/>
      </c>
      <c r="Q69" s="10">
        <f>IFERROR(IF(TRIM(I69&amp;"")="","",IF(AND(ISNUMBER(FIND(" ",TRIM(I69&amp;""))),COUNTIF(코드표!$A$2:$A$21,IF(RIGHT(LEFT(TRIM(I69&amp;""),FIND(" ",TRIM(I69&amp;""))-1),2)="병원",LEFT(TRIM(I69&amp;""),FIND(" ",TRIM(I69&amp;""))-1),LEFT(TRIM(I69&amp;""),FIND(" ",TRIM(I69&amp;""))-1)&amp;"병원"))&gt;0,ISNUMBER(MATCH(TRIM(RIGHT(SUBSTITUTE(TRIM(I69&amp;"")," ",REPT(" ",60)),60)),코드표!$F$2:$F$101,0))),IF(RIGHT(LEFT(TRIM(I69&amp;""),FIND(" ",TRIM(I69&amp;""))-1),2)="병원",LEFT(TRIM(I69&amp;""),FIND(" ",TRIM(I69&amp;""))-1),LEFT(TRIM(I69&amp;""),FIND(" ",TRIM(I69&amp;""))-1)&amp;"병원")&amp;" "&amp;INDEX(코드표!$G$2:$G$101,MATCH(TRIM(RIGHT(SUBSTITUTE(TRIM(I69&amp;"")," ",REPT(" ",60)),60)),코드표!$F$2:$F$101,0)),"⚠"&amp;TRIM(I69&amp;""))),"⚠"&amp;TRIM(I69&amp;""))</f>
        <v/>
      </c>
      <c r="R69" s="10">
        <f>IFERROR(IF(TRIM(J69&amp;"")="","",IF(AND(ISNUMBER(FIND(" ",TRIM(J69&amp;""))),COUNTIF(코드표!$A$2:$A$21,IF(RIGHT(LEFT(TRIM(J69&amp;""),FIND(" ",TRIM(J69&amp;""))-1),2)="병원",LEFT(TRIM(J69&amp;""),FIND(" ",TRIM(J69&amp;""))-1),LEFT(TRIM(J69&amp;""),FIND(" ",TRIM(J69&amp;""))-1)&amp;"병원"))&gt;0,ISNUMBER(MATCH(TRIM(RIGHT(SUBSTITUTE(TRIM(J69&amp;"")," ",REPT(" ",60)),60)),코드표!$F$2:$F$101,0))),IF(RIGHT(LEFT(TRIM(J69&amp;""),FIND(" ",TRIM(J69&amp;""))-1),2)="병원",LEFT(TRIM(J69&amp;""),FIND(" ",TRIM(J69&amp;""))-1),LEFT(TRIM(J69&amp;""),FIND(" ",TRIM(J69&amp;""))-1)&amp;"병원")&amp;" "&amp;INDEX(코드표!$G$2:$G$101,MATCH(TRIM(RIGHT(SUBSTITUTE(TRIM(J69&amp;"")," ",REPT(" ",60)),60)),코드표!$F$2:$F$101,0)),"⚠"&amp;TRIM(J69&amp;""))),"⚠"&amp;TRIM(J69&amp;""))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",TRIM(E70&amp;""))),COUNTIF(코드표!$A$2:$A$21,IF(RIGHT(LEFT(TRIM(E70&amp;""),FIND(" ",TRIM(E70&amp;""))-1),2)="병원",LEFT(TRIM(E70&amp;""),FIND(" ",TRIM(E70&amp;""))-1),LEFT(TRIM(E70&amp;""),FIND(" ",TRIM(E70&amp;""))-1)&amp;"병원"))&gt;0,ISNUMBER(MATCH(TRIM(RIGHT(SUBSTITUTE(TRIM(E70&amp;"")," ",REPT(" ",60)),60)),코드표!$F$2:$F$101,0))),IF(RIGHT(LEFT(TRIM(E70&amp;""),FIND(" ",TRIM(E70&amp;""))-1),2)="병원",LEFT(TRIM(E70&amp;""),FIND(" ",TRIM(E70&amp;""))-1),LEFT(TRIM(E70&amp;""),FIND(" ",TRIM(E70&amp;""))-1)&amp;"병원")&amp;" "&amp;INDEX(코드표!$G$2:$G$101,MATCH(TRIM(RIGHT(SUBSTITUTE(TRIM(E70&amp;"")," ",REPT(" ",60)),60)),코드표!$F$2:$F$101,0)),"⚠"&amp;TRIM(E70&amp;""))),"⚠"&amp;TRIM(E70&amp;""))</f>
        <v/>
      </c>
      <c r="N70" s="10">
        <f>IFERROR(IF(TRIM(F70&amp;"")="","",IF(AND(ISNUMBER(FIND(" ",TRIM(F70&amp;""))),COUNTIF(코드표!$A$2:$A$21,IF(RIGHT(LEFT(TRIM(F70&amp;""),FIND(" ",TRIM(F70&amp;""))-1),2)="병원",LEFT(TRIM(F70&amp;""),FIND(" ",TRIM(F70&amp;""))-1),LEFT(TRIM(F70&amp;""),FIND(" ",TRIM(F70&amp;""))-1)&amp;"병원"))&gt;0,ISNUMBER(MATCH(TRIM(RIGHT(SUBSTITUTE(TRIM(F70&amp;"")," ",REPT(" ",60)),60)),코드표!$F$2:$F$101,0))),IF(RIGHT(LEFT(TRIM(F70&amp;""),FIND(" ",TRIM(F70&amp;""))-1),2)="병원",LEFT(TRIM(F70&amp;""),FIND(" ",TRIM(F70&amp;""))-1),LEFT(TRIM(F70&amp;""),FIND(" ",TRIM(F70&amp;""))-1)&amp;"병원")&amp;" "&amp;INDEX(코드표!$G$2:$G$101,MATCH(TRIM(RIGHT(SUBSTITUTE(TRIM(F70&amp;"")," ",REPT(" ",60)),60)),코드표!$F$2:$F$101,0)),"⚠"&amp;TRIM(F70&amp;""))),"⚠"&amp;TRIM(F70&amp;""))</f>
        <v/>
      </c>
      <c r="O70" s="10">
        <f>IFERROR(IF(TRIM(G70&amp;"")="","",IF(AND(ISNUMBER(FIND(" ",TRIM(G70&amp;""))),COUNTIF(코드표!$A$2:$A$21,IF(RIGHT(LEFT(TRIM(G70&amp;""),FIND(" ",TRIM(G70&amp;""))-1),2)="병원",LEFT(TRIM(G70&amp;""),FIND(" ",TRIM(G70&amp;""))-1),LEFT(TRIM(G70&amp;""),FIND(" ",TRIM(G70&amp;""))-1)&amp;"병원"))&gt;0,ISNUMBER(MATCH(TRIM(RIGHT(SUBSTITUTE(TRIM(G70&amp;"")," ",REPT(" ",60)),60)),코드표!$F$2:$F$101,0))),IF(RIGHT(LEFT(TRIM(G70&amp;""),FIND(" ",TRIM(G70&amp;""))-1),2)="병원",LEFT(TRIM(G70&amp;""),FIND(" ",TRIM(G70&amp;""))-1),LEFT(TRIM(G70&amp;""),FIND(" ",TRIM(G70&amp;""))-1)&amp;"병원")&amp;" "&amp;INDEX(코드표!$G$2:$G$101,MATCH(TRIM(RIGHT(SUBSTITUTE(TRIM(G70&amp;"")," ",REPT(" ",60)),60)),코드표!$F$2:$F$101,0)),"⚠"&amp;TRIM(G70&amp;""))),"⚠"&amp;TRIM(G70&amp;""))</f>
        <v/>
      </c>
      <c r="P70" s="10">
        <f>IFERROR(IF(TRIM(H70&amp;"")="","",IF(AND(ISNUMBER(FIND(" ",TRIM(H70&amp;""))),COUNTIF(코드표!$A$2:$A$21,IF(RIGHT(LEFT(TRIM(H70&amp;""),FIND(" ",TRIM(H70&amp;""))-1),2)="병원",LEFT(TRIM(H70&amp;""),FIND(" ",TRIM(H70&amp;""))-1),LEFT(TRIM(H70&amp;""),FIND(" ",TRIM(H70&amp;""))-1)&amp;"병원"))&gt;0,ISNUMBER(MATCH(TRIM(RIGHT(SUBSTITUTE(TRIM(H70&amp;"")," ",REPT(" ",60)),60)),코드표!$F$2:$F$101,0))),IF(RIGHT(LEFT(TRIM(H70&amp;""),FIND(" ",TRIM(H70&amp;""))-1),2)="병원",LEFT(TRIM(H70&amp;""),FIND(" ",TRIM(H70&amp;""))-1),LEFT(TRIM(H70&amp;""),FIND(" ",TRIM(H70&amp;""))-1)&amp;"병원")&amp;" "&amp;INDEX(코드표!$G$2:$G$101,MATCH(TRIM(RIGHT(SUBSTITUTE(TRIM(H70&amp;"")," ",REPT(" ",60)),60)),코드표!$F$2:$F$101,0)),"⚠"&amp;TRIM(H70&amp;""))),"⚠"&amp;TRIM(H70&amp;""))</f>
        <v/>
      </c>
      <c r="Q70" s="10">
        <f>IFERROR(IF(TRIM(I70&amp;"")="","",IF(AND(ISNUMBER(FIND(" ",TRIM(I70&amp;""))),COUNTIF(코드표!$A$2:$A$21,IF(RIGHT(LEFT(TRIM(I70&amp;""),FIND(" ",TRIM(I70&amp;""))-1),2)="병원",LEFT(TRIM(I70&amp;""),FIND(" ",TRIM(I70&amp;""))-1),LEFT(TRIM(I70&amp;""),FIND(" ",TRIM(I70&amp;""))-1)&amp;"병원"))&gt;0,ISNUMBER(MATCH(TRIM(RIGHT(SUBSTITUTE(TRIM(I70&amp;"")," ",REPT(" ",60)),60)),코드표!$F$2:$F$101,0))),IF(RIGHT(LEFT(TRIM(I70&amp;""),FIND(" ",TRIM(I70&amp;""))-1),2)="병원",LEFT(TRIM(I70&amp;""),FIND(" ",TRIM(I70&amp;""))-1),LEFT(TRIM(I70&amp;""),FIND(" ",TRIM(I70&amp;""))-1)&amp;"병원")&amp;" "&amp;INDEX(코드표!$G$2:$G$101,MATCH(TRIM(RIGHT(SUBSTITUTE(TRIM(I70&amp;"")," ",REPT(" ",60)),60)),코드표!$F$2:$F$101,0)),"⚠"&amp;TRIM(I70&amp;""))),"⚠"&amp;TRIM(I70&amp;""))</f>
        <v/>
      </c>
      <c r="R70" s="10">
        <f>IFERROR(IF(TRIM(J70&amp;"")="","",IF(AND(ISNUMBER(FIND(" ",TRIM(J70&amp;""))),COUNTIF(코드표!$A$2:$A$21,IF(RIGHT(LEFT(TRIM(J70&amp;""),FIND(" ",TRIM(J70&amp;""))-1),2)="병원",LEFT(TRIM(J70&amp;""),FIND(" ",TRIM(J70&amp;""))-1),LEFT(TRIM(J70&amp;""),FIND(" ",TRIM(J70&amp;""))-1)&amp;"병원"))&gt;0,ISNUMBER(MATCH(TRIM(RIGHT(SUBSTITUTE(TRIM(J70&amp;"")," ",REPT(" ",60)),60)),코드표!$F$2:$F$101,0))),IF(RIGHT(LEFT(TRIM(J70&amp;""),FIND(" ",TRIM(J70&amp;""))-1),2)="병원",LEFT(TRIM(J70&amp;""),FIND(" ",TRIM(J70&amp;""))-1),LEFT(TRIM(J70&amp;""),FIND(" ",TRIM(J70&amp;""))-1)&amp;"병원")&amp;" "&amp;INDEX(코드표!$G$2:$G$101,MATCH(TRIM(RIGHT(SUBSTITUTE(TRIM(J70&amp;"")," ",REPT(" ",60)),60)),코드표!$F$2:$F$101,0)),"⚠"&amp;TRIM(J70&amp;""))),"⚠"&amp;TRIM(J70&amp;""))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",TRIM(E71&amp;""))),COUNTIF(코드표!$A$2:$A$21,IF(RIGHT(LEFT(TRIM(E71&amp;""),FIND(" ",TRIM(E71&amp;""))-1),2)="병원",LEFT(TRIM(E71&amp;""),FIND(" ",TRIM(E71&amp;""))-1),LEFT(TRIM(E71&amp;""),FIND(" ",TRIM(E71&amp;""))-1)&amp;"병원"))&gt;0,ISNUMBER(MATCH(TRIM(RIGHT(SUBSTITUTE(TRIM(E71&amp;"")," ",REPT(" ",60)),60)),코드표!$F$2:$F$101,0))),IF(RIGHT(LEFT(TRIM(E71&amp;""),FIND(" ",TRIM(E71&amp;""))-1),2)="병원",LEFT(TRIM(E71&amp;""),FIND(" ",TRIM(E71&amp;""))-1),LEFT(TRIM(E71&amp;""),FIND(" ",TRIM(E71&amp;""))-1)&amp;"병원")&amp;" "&amp;INDEX(코드표!$G$2:$G$101,MATCH(TRIM(RIGHT(SUBSTITUTE(TRIM(E71&amp;"")," ",REPT(" ",60)),60)),코드표!$F$2:$F$101,0)),"⚠"&amp;TRIM(E71&amp;""))),"⚠"&amp;TRIM(E71&amp;""))</f>
        <v/>
      </c>
      <c r="N71" s="10">
        <f>IFERROR(IF(TRIM(F71&amp;"")="","",IF(AND(ISNUMBER(FIND(" ",TRIM(F71&amp;""))),COUNTIF(코드표!$A$2:$A$21,IF(RIGHT(LEFT(TRIM(F71&amp;""),FIND(" ",TRIM(F71&amp;""))-1),2)="병원",LEFT(TRIM(F71&amp;""),FIND(" ",TRIM(F71&amp;""))-1),LEFT(TRIM(F71&amp;""),FIND(" ",TRIM(F71&amp;""))-1)&amp;"병원"))&gt;0,ISNUMBER(MATCH(TRIM(RIGHT(SUBSTITUTE(TRIM(F71&amp;"")," ",REPT(" ",60)),60)),코드표!$F$2:$F$101,0))),IF(RIGHT(LEFT(TRIM(F71&amp;""),FIND(" ",TRIM(F71&amp;""))-1),2)="병원",LEFT(TRIM(F71&amp;""),FIND(" ",TRIM(F71&amp;""))-1),LEFT(TRIM(F71&amp;""),FIND(" ",TRIM(F71&amp;""))-1)&amp;"병원")&amp;" "&amp;INDEX(코드표!$G$2:$G$101,MATCH(TRIM(RIGHT(SUBSTITUTE(TRIM(F71&amp;"")," ",REPT(" ",60)),60)),코드표!$F$2:$F$101,0)),"⚠"&amp;TRIM(F71&amp;""))),"⚠"&amp;TRIM(F71&amp;""))</f>
        <v/>
      </c>
      <c r="O71" s="10">
        <f>IFERROR(IF(TRIM(G71&amp;"")="","",IF(AND(ISNUMBER(FIND(" ",TRIM(G71&amp;""))),COUNTIF(코드표!$A$2:$A$21,IF(RIGHT(LEFT(TRIM(G71&amp;""),FIND(" ",TRIM(G71&amp;""))-1),2)="병원",LEFT(TRIM(G71&amp;""),FIND(" ",TRIM(G71&amp;""))-1),LEFT(TRIM(G71&amp;""),FIND(" ",TRIM(G71&amp;""))-1)&amp;"병원"))&gt;0,ISNUMBER(MATCH(TRIM(RIGHT(SUBSTITUTE(TRIM(G71&amp;"")," ",REPT(" ",60)),60)),코드표!$F$2:$F$101,0))),IF(RIGHT(LEFT(TRIM(G71&amp;""),FIND(" ",TRIM(G71&amp;""))-1),2)="병원",LEFT(TRIM(G71&amp;""),FIND(" ",TRIM(G71&amp;""))-1),LEFT(TRIM(G71&amp;""),FIND(" ",TRIM(G71&amp;""))-1)&amp;"병원")&amp;" "&amp;INDEX(코드표!$G$2:$G$101,MATCH(TRIM(RIGHT(SUBSTITUTE(TRIM(G71&amp;"")," ",REPT(" ",60)),60)),코드표!$F$2:$F$101,0)),"⚠"&amp;TRIM(G71&amp;""))),"⚠"&amp;TRIM(G71&amp;""))</f>
        <v/>
      </c>
      <c r="P71" s="10">
        <f>IFERROR(IF(TRIM(H71&amp;"")="","",IF(AND(ISNUMBER(FIND(" ",TRIM(H71&amp;""))),COUNTIF(코드표!$A$2:$A$21,IF(RIGHT(LEFT(TRIM(H71&amp;""),FIND(" ",TRIM(H71&amp;""))-1),2)="병원",LEFT(TRIM(H71&amp;""),FIND(" ",TRIM(H71&amp;""))-1),LEFT(TRIM(H71&amp;""),FIND(" ",TRIM(H71&amp;""))-1)&amp;"병원"))&gt;0,ISNUMBER(MATCH(TRIM(RIGHT(SUBSTITUTE(TRIM(H71&amp;"")," ",REPT(" ",60)),60)),코드표!$F$2:$F$101,0))),IF(RIGHT(LEFT(TRIM(H71&amp;""),FIND(" ",TRIM(H71&amp;""))-1),2)="병원",LEFT(TRIM(H71&amp;""),FIND(" ",TRIM(H71&amp;""))-1),LEFT(TRIM(H71&amp;""),FIND(" ",TRIM(H71&amp;""))-1)&amp;"병원")&amp;" "&amp;INDEX(코드표!$G$2:$G$101,MATCH(TRIM(RIGHT(SUBSTITUTE(TRIM(H71&amp;"")," ",REPT(" ",60)),60)),코드표!$F$2:$F$101,0)),"⚠"&amp;TRIM(H71&amp;""))),"⚠"&amp;TRIM(H71&amp;""))</f>
        <v/>
      </c>
      <c r="Q71" s="10">
        <f>IFERROR(IF(TRIM(I71&amp;"")="","",IF(AND(ISNUMBER(FIND(" ",TRIM(I71&amp;""))),COUNTIF(코드표!$A$2:$A$21,IF(RIGHT(LEFT(TRIM(I71&amp;""),FIND(" ",TRIM(I71&amp;""))-1),2)="병원",LEFT(TRIM(I71&amp;""),FIND(" ",TRIM(I71&amp;""))-1),LEFT(TRIM(I71&amp;""),FIND(" ",TRIM(I71&amp;""))-1)&amp;"병원"))&gt;0,ISNUMBER(MATCH(TRIM(RIGHT(SUBSTITUTE(TRIM(I71&amp;"")," ",REPT(" ",60)),60)),코드표!$F$2:$F$101,0))),IF(RIGHT(LEFT(TRIM(I71&amp;""),FIND(" ",TRIM(I71&amp;""))-1),2)="병원",LEFT(TRIM(I71&amp;""),FIND(" ",TRIM(I71&amp;""))-1),LEFT(TRIM(I71&amp;""),FIND(" ",TRIM(I71&amp;""))-1)&amp;"병원")&amp;" "&amp;INDEX(코드표!$G$2:$G$101,MATCH(TRIM(RIGHT(SUBSTITUTE(TRIM(I71&amp;"")," ",REPT(" ",60)),60)),코드표!$F$2:$F$101,0)),"⚠"&amp;TRIM(I71&amp;""))),"⚠"&amp;TRIM(I71&amp;""))</f>
        <v/>
      </c>
      <c r="R71" s="10">
        <f>IFERROR(IF(TRIM(J71&amp;"")="","",IF(AND(ISNUMBER(FIND(" ",TRIM(J71&amp;""))),COUNTIF(코드표!$A$2:$A$21,IF(RIGHT(LEFT(TRIM(J71&amp;""),FIND(" ",TRIM(J71&amp;""))-1),2)="병원",LEFT(TRIM(J71&amp;""),FIND(" ",TRIM(J71&amp;""))-1),LEFT(TRIM(J71&amp;""),FIND(" ",TRIM(J71&amp;""))-1)&amp;"병원"))&gt;0,ISNUMBER(MATCH(TRIM(RIGHT(SUBSTITUTE(TRIM(J71&amp;"")," ",REPT(" ",60)),60)),코드표!$F$2:$F$101,0))),IF(RIGHT(LEFT(TRIM(J71&amp;""),FIND(" ",TRIM(J71&amp;""))-1),2)="병원",LEFT(TRIM(J71&amp;""),FIND(" ",TRIM(J71&amp;""))-1),LEFT(TRIM(J71&amp;""),FIND(" ",TRIM(J71&amp;""))-1)&amp;"병원")&amp;" "&amp;INDEX(코드표!$G$2:$G$101,MATCH(TRIM(RIGHT(SUBSTITUTE(TRIM(J71&amp;"")," ",REPT(" ",60)),60)),코드표!$F$2:$F$101,0)),"⚠"&amp;TRIM(J71&amp;""))),"⚠"&amp;TRIM(J71&amp;""))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",TRIM(E72&amp;""))),COUNTIF(코드표!$A$2:$A$21,IF(RIGHT(LEFT(TRIM(E72&amp;""),FIND(" ",TRIM(E72&amp;""))-1),2)="병원",LEFT(TRIM(E72&amp;""),FIND(" ",TRIM(E72&amp;""))-1),LEFT(TRIM(E72&amp;""),FIND(" ",TRIM(E72&amp;""))-1)&amp;"병원"))&gt;0,ISNUMBER(MATCH(TRIM(RIGHT(SUBSTITUTE(TRIM(E72&amp;"")," ",REPT(" ",60)),60)),코드표!$F$2:$F$101,0))),IF(RIGHT(LEFT(TRIM(E72&amp;""),FIND(" ",TRIM(E72&amp;""))-1),2)="병원",LEFT(TRIM(E72&amp;""),FIND(" ",TRIM(E72&amp;""))-1),LEFT(TRIM(E72&amp;""),FIND(" ",TRIM(E72&amp;""))-1)&amp;"병원")&amp;" "&amp;INDEX(코드표!$G$2:$G$101,MATCH(TRIM(RIGHT(SUBSTITUTE(TRIM(E72&amp;"")," ",REPT(" ",60)),60)),코드표!$F$2:$F$101,0)),"⚠"&amp;TRIM(E72&amp;""))),"⚠"&amp;TRIM(E72&amp;""))</f>
        <v/>
      </c>
      <c r="N72" s="10">
        <f>IFERROR(IF(TRIM(F72&amp;"")="","",IF(AND(ISNUMBER(FIND(" ",TRIM(F72&amp;""))),COUNTIF(코드표!$A$2:$A$21,IF(RIGHT(LEFT(TRIM(F72&amp;""),FIND(" ",TRIM(F72&amp;""))-1),2)="병원",LEFT(TRIM(F72&amp;""),FIND(" ",TRIM(F72&amp;""))-1),LEFT(TRIM(F72&amp;""),FIND(" ",TRIM(F72&amp;""))-1)&amp;"병원"))&gt;0,ISNUMBER(MATCH(TRIM(RIGHT(SUBSTITUTE(TRIM(F72&amp;"")," ",REPT(" ",60)),60)),코드표!$F$2:$F$101,0))),IF(RIGHT(LEFT(TRIM(F72&amp;""),FIND(" ",TRIM(F72&amp;""))-1),2)="병원",LEFT(TRIM(F72&amp;""),FIND(" ",TRIM(F72&amp;""))-1),LEFT(TRIM(F72&amp;""),FIND(" ",TRIM(F72&amp;""))-1)&amp;"병원")&amp;" "&amp;INDEX(코드표!$G$2:$G$101,MATCH(TRIM(RIGHT(SUBSTITUTE(TRIM(F72&amp;"")," ",REPT(" ",60)),60)),코드표!$F$2:$F$101,0)),"⚠"&amp;TRIM(F72&amp;""))),"⚠"&amp;TRIM(F72&amp;""))</f>
        <v/>
      </c>
      <c r="O72" s="10">
        <f>IFERROR(IF(TRIM(G72&amp;"")="","",IF(AND(ISNUMBER(FIND(" ",TRIM(G72&amp;""))),COUNTIF(코드표!$A$2:$A$21,IF(RIGHT(LEFT(TRIM(G72&amp;""),FIND(" ",TRIM(G72&amp;""))-1),2)="병원",LEFT(TRIM(G72&amp;""),FIND(" ",TRIM(G72&amp;""))-1),LEFT(TRIM(G72&amp;""),FIND(" ",TRIM(G72&amp;""))-1)&amp;"병원"))&gt;0,ISNUMBER(MATCH(TRIM(RIGHT(SUBSTITUTE(TRIM(G72&amp;"")," ",REPT(" ",60)),60)),코드표!$F$2:$F$101,0))),IF(RIGHT(LEFT(TRIM(G72&amp;""),FIND(" ",TRIM(G72&amp;""))-1),2)="병원",LEFT(TRIM(G72&amp;""),FIND(" ",TRIM(G72&amp;""))-1),LEFT(TRIM(G72&amp;""),FIND(" ",TRIM(G72&amp;""))-1)&amp;"병원")&amp;" "&amp;INDEX(코드표!$G$2:$G$101,MATCH(TRIM(RIGHT(SUBSTITUTE(TRIM(G72&amp;"")," ",REPT(" ",60)),60)),코드표!$F$2:$F$101,0)),"⚠"&amp;TRIM(G72&amp;""))),"⚠"&amp;TRIM(G72&amp;""))</f>
        <v/>
      </c>
      <c r="P72" s="10">
        <f>IFERROR(IF(TRIM(H72&amp;"")="","",IF(AND(ISNUMBER(FIND(" ",TRIM(H72&amp;""))),COUNTIF(코드표!$A$2:$A$21,IF(RIGHT(LEFT(TRIM(H72&amp;""),FIND(" ",TRIM(H72&amp;""))-1),2)="병원",LEFT(TRIM(H72&amp;""),FIND(" ",TRIM(H72&amp;""))-1),LEFT(TRIM(H72&amp;""),FIND(" ",TRIM(H72&amp;""))-1)&amp;"병원"))&gt;0,ISNUMBER(MATCH(TRIM(RIGHT(SUBSTITUTE(TRIM(H72&amp;"")," ",REPT(" ",60)),60)),코드표!$F$2:$F$101,0))),IF(RIGHT(LEFT(TRIM(H72&amp;""),FIND(" ",TRIM(H72&amp;""))-1),2)="병원",LEFT(TRIM(H72&amp;""),FIND(" ",TRIM(H72&amp;""))-1),LEFT(TRIM(H72&amp;""),FIND(" ",TRIM(H72&amp;""))-1)&amp;"병원")&amp;" "&amp;INDEX(코드표!$G$2:$G$101,MATCH(TRIM(RIGHT(SUBSTITUTE(TRIM(H72&amp;"")," ",REPT(" ",60)),60)),코드표!$F$2:$F$101,0)),"⚠"&amp;TRIM(H72&amp;""))),"⚠"&amp;TRIM(H72&amp;""))</f>
        <v/>
      </c>
      <c r="Q72" s="10">
        <f>IFERROR(IF(TRIM(I72&amp;"")="","",IF(AND(ISNUMBER(FIND(" ",TRIM(I72&amp;""))),COUNTIF(코드표!$A$2:$A$21,IF(RIGHT(LEFT(TRIM(I72&amp;""),FIND(" ",TRIM(I72&amp;""))-1),2)="병원",LEFT(TRIM(I72&amp;""),FIND(" ",TRIM(I72&amp;""))-1),LEFT(TRIM(I72&amp;""),FIND(" ",TRIM(I72&amp;""))-1)&amp;"병원"))&gt;0,ISNUMBER(MATCH(TRIM(RIGHT(SUBSTITUTE(TRIM(I72&amp;"")," ",REPT(" ",60)),60)),코드표!$F$2:$F$101,0))),IF(RIGHT(LEFT(TRIM(I72&amp;""),FIND(" ",TRIM(I72&amp;""))-1),2)="병원",LEFT(TRIM(I72&amp;""),FIND(" ",TRIM(I72&amp;""))-1),LEFT(TRIM(I72&amp;""),FIND(" ",TRIM(I72&amp;""))-1)&amp;"병원")&amp;" "&amp;INDEX(코드표!$G$2:$G$101,MATCH(TRIM(RIGHT(SUBSTITUTE(TRIM(I72&amp;"")," ",REPT(" ",60)),60)),코드표!$F$2:$F$101,0)),"⚠"&amp;TRIM(I72&amp;""))),"⚠"&amp;TRIM(I72&amp;""))</f>
        <v/>
      </c>
      <c r="R72" s="10">
        <f>IFERROR(IF(TRIM(J72&amp;"")="","",IF(AND(ISNUMBER(FIND(" ",TRIM(J72&amp;""))),COUNTIF(코드표!$A$2:$A$21,IF(RIGHT(LEFT(TRIM(J72&amp;""),FIND(" ",TRIM(J72&amp;""))-1),2)="병원",LEFT(TRIM(J72&amp;""),FIND(" ",TRIM(J72&amp;""))-1),LEFT(TRIM(J72&amp;""),FIND(" ",TRIM(J72&amp;""))-1)&amp;"병원"))&gt;0,ISNUMBER(MATCH(TRIM(RIGHT(SUBSTITUTE(TRIM(J72&amp;"")," ",REPT(" ",60)),60)),코드표!$F$2:$F$101,0))),IF(RIGHT(LEFT(TRIM(J72&amp;""),FIND(" ",TRIM(J72&amp;""))-1),2)="병원",LEFT(TRIM(J72&amp;""),FIND(" ",TRIM(J72&amp;""))-1),LEFT(TRIM(J72&amp;""),FIND(" ",TRIM(J72&amp;""))-1)&amp;"병원")&amp;" "&amp;INDEX(코드표!$G$2:$G$101,MATCH(TRIM(RIGHT(SUBSTITUTE(TRIM(J72&amp;"")," ",REPT(" ",60)),60)),코드표!$F$2:$F$101,0)),"⚠"&amp;TRIM(J72&amp;""))),"⚠"&amp;TRIM(J72&amp;""))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",TRIM(E73&amp;""))),COUNTIF(코드표!$A$2:$A$21,IF(RIGHT(LEFT(TRIM(E73&amp;""),FIND(" ",TRIM(E73&amp;""))-1),2)="병원",LEFT(TRIM(E73&amp;""),FIND(" ",TRIM(E73&amp;""))-1),LEFT(TRIM(E73&amp;""),FIND(" ",TRIM(E73&amp;""))-1)&amp;"병원"))&gt;0,ISNUMBER(MATCH(TRIM(RIGHT(SUBSTITUTE(TRIM(E73&amp;"")," ",REPT(" ",60)),60)),코드표!$F$2:$F$101,0))),IF(RIGHT(LEFT(TRIM(E73&amp;""),FIND(" ",TRIM(E73&amp;""))-1),2)="병원",LEFT(TRIM(E73&amp;""),FIND(" ",TRIM(E73&amp;""))-1),LEFT(TRIM(E73&amp;""),FIND(" ",TRIM(E73&amp;""))-1)&amp;"병원")&amp;" "&amp;INDEX(코드표!$G$2:$G$101,MATCH(TRIM(RIGHT(SUBSTITUTE(TRIM(E73&amp;"")," ",REPT(" ",60)),60)),코드표!$F$2:$F$101,0)),"⚠"&amp;TRIM(E73&amp;""))),"⚠"&amp;TRIM(E73&amp;""))</f>
        <v/>
      </c>
      <c r="N73" s="10">
        <f>IFERROR(IF(TRIM(F73&amp;"")="","",IF(AND(ISNUMBER(FIND(" ",TRIM(F73&amp;""))),COUNTIF(코드표!$A$2:$A$21,IF(RIGHT(LEFT(TRIM(F73&amp;""),FIND(" ",TRIM(F73&amp;""))-1),2)="병원",LEFT(TRIM(F73&amp;""),FIND(" ",TRIM(F73&amp;""))-1),LEFT(TRIM(F73&amp;""),FIND(" ",TRIM(F73&amp;""))-1)&amp;"병원"))&gt;0,ISNUMBER(MATCH(TRIM(RIGHT(SUBSTITUTE(TRIM(F73&amp;"")," ",REPT(" ",60)),60)),코드표!$F$2:$F$101,0))),IF(RIGHT(LEFT(TRIM(F73&amp;""),FIND(" ",TRIM(F73&amp;""))-1),2)="병원",LEFT(TRIM(F73&amp;""),FIND(" ",TRIM(F73&amp;""))-1),LEFT(TRIM(F73&amp;""),FIND(" ",TRIM(F73&amp;""))-1)&amp;"병원")&amp;" "&amp;INDEX(코드표!$G$2:$G$101,MATCH(TRIM(RIGHT(SUBSTITUTE(TRIM(F73&amp;"")," ",REPT(" ",60)),60)),코드표!$F$2:$F$101,0)),"⚠"&amp;TRIM(F73&amp;""))),"⚠"&amp;TRIM(F73&amp;""))</f>
        <v/>
      </c>
      <c r="O73" s="10">
        <f>IFERROR(IF(TRIM(G73&amp;"")="","",IF(AND(ISNUMBER(FIND(" ",TRIM(G73&amp;""))),COUNTIF(코드표!$A$2:$A$21,IF(RIGHT(LEFT(TRIM(G73&amp;""),FIND(" ",TRIM(G73&amp;""))-1),2)="병원",LEFT(TRIM(G73&amp;""),FIND(" ",TRIM(G73&amp;""))-1),LEFT(TRIM(G73&amp;""),FIND(" ",TRIM(G73&amp;""))-1)&amp;"병원"))&gt;0,ISNUMBER(MATCH(TRIM(RIGHT(SUBSTITUTE(TRIM(G73&amp;"")," ",REPT(" ",60)),60)),코드표!$F$2:$F$101,0))),IF(RIGHT(LEFT(TRIM(G73&amp;""),FIND(" ",TRIM(G73&amp;""))-1),2)="병원",LEFT(TRIM(G73&amp;""),FIND(" ",TRIM(G73&amp;""))-1),LEFT(TRIM(G73&amp;""),FIND(" ",TRIM(G73&amp;""))-1)&amp;"병원")&amp;" "&amp;INDEX(코드표!$G$2:$G$101,MATCH(TRIM(RIGHT(SUBSTITUTE(TRIM(G73&amp;"")," ",REPT(" ",60)),60)),코드표!$F$2:$F$101,0)),"⚠"&amp;TRIM(G73&amp;""))),"⚠"&amp;TRIM(G73&amp;""))</f>
        <v/>
      </c>
      <c r="P73" s="10">
        <f>IFERROR(IF(TRIM(H73&amp;"")="","",IF(AND(ISNUMBER(FIND(" ",TRIM(H73&amp;""))),COUNTIF(코드표!$A$2:$A$21,IF(RIGHT(LEFT(TRIM(H73&amp;""),FIND(" ",TRIM(H73&amp;""))-1),2)="병원",LEFT(TRIM(H73&amp;""),FIND(" ",TRIM(H73&amp;""))-1),LEFT(TRIM(H73&amp;""),FIND(" ",TRIM(H73&amp;""))-1)&amp;"병원"))&gt;0,ISNUMBER(MATCH(TRIM(RIGHT(SUBSTITUTE(TRIM(H73&amp;"")," ",REPT(" ",60)),60)),코드표!$F$2:$F$101,0))),IF(RIGHT(LEFT(TRIM(H73&amp;""),FIND(" ",TRIM(H73&amp;""))-1),2)="병원",LEFT(TRIM(H73&amp;""),FIND(" ",TRIM(H73&amp;""))-1),LEFT(TRIM(H73&amp;""),FIND(" ",TRIM(H73&amp;""))-1)&amp;"병원")&amp;" "&amp;INDEX(코드표!$G$2:$G$101,MATCH(TRIM(RIGHT(SUBSTITUTE(TRIM(H73&amp;"")," ",REPT(" ",60)),60)),코드표!$F$2:$F$101,0)),"⚠"&amp;TRIM(H73&amp;""))),"⚠"&amp;TRIM(H73&amp;""))</f>
        <v/>
      </c>
      <c r="Q73" s="10">
        <f>IFERROR(IF(TRIM(I73&amp;"")="","",IF(AND(ISNUMBER(FIND(" ",TRIM(I73&amp;""))),COUNTIF(코드표!$A$2:$A$21,IF(RIGHT(LEFT(TRIM(I73&amp;""),FIND(" ",TRIM(I73&amp;""))-1),2)="병원",LEFT(TRIM(I73&amp;""),FIND(" ",TRIM(I73&amp;""))-1),LEFT(TRIM(I73&amp;""),FIND(" ",TRIM(I73&amp;""))-1)&amp;"병원"))&gt;0,ISNUMBER(MATCH(TRIM(RIGHT(SUBSTITUTE(TRIM(I73&amp;"")," ",REPT(" ",60)),60)),코드표!$F$2:$F$101,0))),IF(RIGHT(LEFT(TRIM(I73&amp;""),FIND(" ",TRIM(I73&amp;""))-1),2)="병원",LEFT(TRIM(I73&amp;""),FIND(" ",TRIM(I73&amp;""))-1),LEFT(TRIM(I73&amp;""),FIND(" ",TRIM(I73&amp;""))-1)&amp;"병원")&amp;" "&amp;INDEX(코드표!$G$2:$G$101,MATCH(TRIM(RIGHT(SUBSTITUTE(TRIM(I73&amp;"")," ",REPT(" ",60)),60)),코드표!$F$2:$F$101,0)),"⚠"&amp;TRIM(I73&amp;""))),"⚠"&amp;TRIM(I73&amp;""))</f>
        <v/>
      </c>
      <c r="R73" s="10">
        <f>IFERROR(IF(TRIM(J73&amp;"")="","",IF(AND(ISNUMBER(FIND(" ",TRIM(J73&amp;""))),COUNTIF(코드표!$A$2:$A$21,IF(RIGHT(LEFT(TRIM(J73&amp;""),FIND(" ",TRIM(J73&amp;""))-1),2)="병원",LEFT(TRIM(J73&amp;""),FIND(" ",TRIM(J73&amp;""))-1),LEFT(TRIM(J73&amp;""),FIND(" ",TRIM(J73&amp;""))-1)&amp;"병원"))&gt;0,ISNUMBER(MATCH(TRIM(RIGHT(SUBSTITUTE(TRIM(J73&amp;"")," ",REPT(" ",60)),60)),코드표!$F$2:$F$101,0))),IF(RIGHT(LEFT(TRIM(J73&amp;""),FIND(" ",TRIM(J73&amp;""))-1),2)="병원",LEFT(TRIM(J73&amp;""),FIND(" ",TRIM(J73&amp;""))-1),LEFT(TRIM(J73&amp;""),FIND(" ",TRIM(J73&amp;""))-1)&amp;"병원")&amp;" "&amp;INDEX(코드표!$G$2:$G$101,MATCH(TRIM(RIGHT(SUBSTITUTE(TRIM(J73&amp;"")," ",REPT(" ",60)),60)),코드표!$F$2:$F$101,0)),"⚠"&amp;TRIM(J73&amp;""))),"⚠"&amp;TRIM(J73&amp;""))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",TRIM(E74&amp;""))),COUNTIF(코드표!$A$2:$A$21,IF(RIGHT(LEFT(TRIM(E74&amp;""),FIND(" ",TRIM(E74&amp;""))-1),2)="병원",LEFT(TRIM(E74&amp;""),FIND(" ",TRIM(E74&amp;""))-1),LEFT(TRIM(E74&amp;""),FIND(" ",TRIM(E74&amp;""))-1)&amp;"병원"))&gt;0,ISNUMBER(MATCH(TRIM(RIGHT(SUBSTITUTE(TRIM(E74&amp;"")," ",REPT(" ",60)),60)),코드표!$F$2:$F$101,0))),IF(RIGHT(LEFT(TRIM(E74&amp;""),FIND(" ",TRIM(E74&amp;""))-1),2)="병원",LEFT(TRIM(E74&amp;""),FIND(" ",TRIM(E74&amp;""))-1),LEFT(TRIM(E74&amp;""),FIND(" ",TRIM(E74&amp;""))-1)&amp;"병원")&amp;" "&amp;INDEX(코드표!$G$2:$G$101,MATCH(TRIM(RIGHT(SUBSTITUTE(TRIM(E74&amp;"")," ",REPT(" ",60)),60)),코드표!$F$2:$F$101,0)),"⚠"&amp;TRIM(E74&amp;""))),"⚠"&amp;TRIM(E74&amp;""))</f>
        <v/>
      </c>
      <c r="N74" s="10">
        <f>IFERROR(IF(TRIM(F74&amp;"")="","",IF(AND(ISNUMBER(FIND(" ",TRIM(F74&amp;""))),COUNTIF(코드표!$A$2:$A$21,IF(RIGHT(LEFT(TRIM(F74&amp;""),FIND(" ",TRIM(F74&amp;""))-1),2)="병원",LEFT(TRIM(F74&amp;""),FIND(" ",TRIM(F74&amp;""))-1),LEFT(TRIM(F74&amp;""),FIND(" ",TRIM(F74&amp;""))-1)&amp;"병원"))&gt;0,ISNUMBER(MATCH(TRIM(RIGHT(SUBSTITUTE(TRIM(F74&amp;"")," ",REPT(" ",60)),60)),코드표!$F$2:$F$101,0))),IF(RIGHT(LEFT(TRIM(F74&amp;""),FIND(" ",TRIM(F74&amp;""))-1),2)="병원",LEFT(TRIM(F74&amp;""),FIND(" ",TRIM(F74&amp;""))-1),LEFT(TRIM(F74&amp;""),FIND(" ",TRIM(F74&amp;""))-1)&amp;"병원")&amp;" "&amp;INDEX(코드표!$G$2:$G$101,MATCH(TRIM(RIGHT(SUBSTITUTE(TRIM(F74&amp;"")," ",REPT(" ",60)),60)),코드표!$F$2:$F$101,0)),"⚠"&amp;TRIM(F74&amp;""))),"⚠"&amp;TRIM(F74&amp;""))</f>
        <v/>
      </c>
      <c r="O74" s="10">
        <f>IFERROR(IF(TRIM(G74&amp;"")="","",IF(AND(ISNUMBER(FIND(" ",TRIM(G74&amp;""))),COUNTIF(코드표!$A$2:$A$21,IF(RIGHT(LEFT(TRIM(G74&amp;""),FIND(" ",TRIM(G74&amp;""))-1),2)="병원",LEFT(TRIM(G74&amp;""),FIND(" ",TRIM(G74&amp;""))-1),LEFT(TRIM(G74&amp;""),FIND(" ",TRIM(G74&amp;""))-1)&amp;"병원"))&gt;0,ISNUMBER(MATCH(TRIM(RIGHT(SUBSTITUTE(TRIM(G74&amp;"")," ",REPT(" ",60)),60)),코드표!$F$2:$F$101,0))),IF(RIGHT(LEFT(TRIM(G74&amp;""),FIND(" ",TRIM(G74&amp;""))-1),2)="병원",LEFT(TRIM(G74&amp;""),FIND(" ",TRIM(G74&amp;""))-1),LEFT(TRIM(G74&amp;""),FIND(" ",TRIM(G74&amp;""))-1)&amp;"병원")&amp;" "&amp;INDEX(코드표!$G$2:$G$101,MATCH(TRIM(RIGHT(SUBSTITUTE(TRIM(G74&amp;"")," ",REPT(" ",60)),60)),코드표!$F$2:$F$101,0)),"⚠"&amp;TRIM(G74&amp;""))),"⚠"&amp;TRIM(G74&amp;""))</f>
        <v/>
      </c>
      <c r="P74" s="10">
        <f>IFERROR(IF(TRIM(H74&amp;"")="","",IF(AND(ISNUMBER(FIND(" ",TRIM(H74&amp;""))),COUNTIF(코드표!$A$2:$A$21,IF(RIGHT(LEFT(TRIM(H74&amp;""),FIND(" ",TRIM(H74&amp;""))-1),2)="병원",LEFT(TRIM(H74&amp;""),FIND(" ",TRIM(H74&amp;""))-1),LEFT(TRIM(H74&amp;""),FIND(" ",TRIM(H74&amp;""))-1)&amp;"병원"))&gt;0,ISNUMBER(MATCH(TRIM(RIGHT(SUBSTITUTE(TRIM(H74&amp;"")," ",REPT(" ",60)),60)),코드표!$F$2:$F$101,0))),IF(RIGHT(LEFT(TRIM(H74&amp;""),FIND(" ",TRIM(H74&amp;""))-1),2)="병원",LEFT(TRIM(H74&amp;""),FIND(" ",TRIM(H74&amp;""))-1),LEFT(TRIM(H74&amp;""),FIND(" ",TRIM(H74&amp;""))-1)&amp;"병원")&amp;" "&amp;INDEX(코드표!$G$2:$G$101,MATCH(TRIM(RIGHT(SUBSTITUTE(TRIM(H74&amp;"")," ",REPT(" ",60)),60)),코드표!$F$2:$F$101,0)),"⚠"&amp;TRIM(H74&amp;""))),"⚠"&amp;TRIM(H74&amp;""))</f>
        <v/>
      </c>
      <c r="Q74" s="10">
        <f>IFERROR(IF(TRIM(I74&amp;"")="","",IF(AND(ISNUMBER(FIND(" ",TRIM(I74&amp;""))),COUNTIF(코드표!$A$2:$A$21,IF(RIGHT(LEFT(TRIM(I74&amp;""),FIND(" ",TRIM(I74&amp;""))-1),2)="병원",LEFT(TRIM(I74&amp;""),FIND(" ",TRIM(I74&amp;""))-1),LEFT(TRIM(I74&amp;""),FIND(" ",TRIM(I74&amp;""))-1)&amp;"병원"))&gt;0,ISNUMBER(MATCH(TRIM(RIGHT(SUBSTITUTE(TRIM(I74&amp;"")," ",REPT(" ",60)),60)),코드표!$F$2:$F$101,0))),IF(RIGHT(LEFT(TRIM(I74&amp;""),FIND(" ",TRIM(I74&amp;""))-1),2)="병원",LEFT(TRIM(I74&amp;""),FIND(" ",TRIM(I74&amp;""))-1),LEFT(TRIM(I74&amp;""),FIND(" ",TRIM(I74&amp;""))-1)&amp;"병원")&amp;" "&amp;INDEX(코드표!$G$2:$G$101,MATCH(TRIM(RIGHT(SUBSTITUTE(TRIM(I74&amp;"")," ",REPT(" ",60)),60)),코드표!$F$2:$F$101,0)),"⚠"&amp;TRIM(I74&amp;""))),"⚠"&amp;TRIM(I74&amp;""))</f>
        <v/>
      </c>
      <c r="R74" s="10">
        <f>IFERROR(IF(TRIM(J74&amp;"")="","",IF(AND(ISNUMBER(FIND(" ",TRIM(J74&amp;""))),COUNTIF(코드표!$A$2:$A$21,IF(RIGHT(LEFT(TRIM(J74&amp;""),FIND(" ",TRIM(J74&amp;""))-1),2)="병원",LEFT(TRIM(J74&amp;""),FIND(" ",TRIM(J74&amp;""))-1),LEFT(TRIM(J74&amp;""),FIND(" ",TRIM(J74&amp;""))-1)&amp;"병원"))&gt;0,ISNUMBER(MATCH(TRIM(RIGHT(SUBSTITUTE(TRIM(J74&amp;"")," ",REPT(" ",60)),60)),코드표!$F$2:$F$101,0))),IF(RIGHT(LEFT(TRIM(J74&amp;""),FIND(" ",TRIM(J74&amp;""))-1),2)="병원",LEFT(TRIM(J74&amp;""),FIND(" ",TRIM(J74&amp;""))-1),LEFT(TRIM(J74&amp;""),FIND(" ",TRIM(J74&amp;""))-1)&amp;"병원")&amp;" "&amp;INDEX(코드표!$G$2:$G$101,MATCH(TRIM(RIGHT(SUBSTITUTE(TRIM(J74&amp;"")," ",REPT(" ",60)),60)),코드표!$F$2:$F$101,0)),"⚠"&amp;TRIM(J74&amp;""))),"⚠"&amp;TRIM(J74&amp;""))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",TRIM(E75&amp;""))),COUNTIF(코드표!$A$2:$A$21,IF(RIGHT(LEFT(TRIM(E75&amp;""),FIND(" ",TRIM(E75&amp;""))-1),2)="병원",LEFT(TRIM(E75&amp;""),FIND(" ",TRIM(E75&amp;""))-1),LEFT(TRIM(E75&amp;""),FIND(" ",TRIM(E75&amp;""))-1)&amp;"병원"))&gt;0,ISNUMBER(MATCH(TRIM(RIGHT(SUBSTITUTE(TRIM(E75&amp;"")," ",REPT(" ",60)),60)),코드표!$F$2:$F$101,0))),IF(RIGHT(LEFT(TRIM(E75&amp;""),FIND(" ",TRIM(E75&amp;""))-1),2)="병원",LEFT(TRIM(E75&amp;""),FIND(" ",TRIM(E75&amp;""))-1),LEFT(TRIM(E75&amp;""),FIND(" ",TRIM(E75&amp;""))-1)&amp;"병원")&amp;" "&amp;INDEX(코드표!$G$2:$G$101,MATCH(TRIM(RIGHT(SUBSTITUTE(TRIM(E75&amp;"")," ",REPT(" ",60)),60)),코드표!$F$2:$F$101,0)),"⚠"&amp;TRIM(E75&amp;""))),"⚠"&amp;TRIM(E75&amp;""))</f>
        <v/>
      </c>
      <c r="N75" s="10">
        <f>IFERROR(IF(TRIM(F75&amp;"")="","",IF(AND(ISNUMBER(FIND(" ",TRIM(F75&amp;""))),COUNTIF(코드표!$A$2:$A$21,IF(RIGHT(LEFT(TRIM(F75&amp;""),FIND(" ",TRIM(F75&amp;""))-1),2)="병원",LEFT(TRIM(F75&amp;""),FIND(" ",TRIM(F75&amp;""))-1),LEFT(TRIM(F75&amp;""),FIND(" ",TRIM(F75&amp;""))-1)&amp;"병원"))&gt;0,ISNUMBER(MATCH(TRIM(RIGHT(SUBSTITUTE(TRIM(F75&amp;"")," ",REPT(" ",60)),60)),코드표!$F$2:$F$101,0))),IF(RIGHT(LEFT(TRIM(F75&amp;""),FIND(" ",TRIM(F75&amp;""))-1),2)="병원",LEFT(TRIM(F75&amp;""),FIND(" ",TRIM(F75&amp;""))-1),LEFT(TRIM(F75&amp;""),FIND(" ",TRIM(F75&amp;""))-1)&amp;"병원")&amp;" "&amp;INDEX(코드표!$G$2:$G$101,MATCH(TRIM(RIGHT(SUBSTITUTE(TRIM(F75&amp;"")," ",REPT(" ",60)),60)),코드표!$F$2:$F$101,0)),"⚠"&amp;TRIM(F75&amp;""))),"⚠"&amp;TRIM(F75&amp;""))</f>
        <v/>
      </c>
      <c r="O75" s="10">
        <f>IFERROR(IF(TRIM(G75&amp;"")="","",IF(AND(ISNUMBER(FIND(" ",TRIM(G75&amp;""))),COUNTIF(코드표!$A$2:$A$21,IF(RIGHT(LEFT(TRIM(G75&amp;""),FIND(" ",TRIM(G75&amp;""))-1),2)="병원",LEFT(TRIM(G75&amp;""),FIND(" ",TRIM(G75&amp;""))-1),LEFT(TRIM(G75&amp;""),FIND(" ",TRIM(G75&amp;""))-1)&amp;"병원"))&gt;0,ISNUMBER(MATCH(TRIM(RIGHT(SUBSTITUTE(TRIM(G75&amp;"")," ",REPT(" ",60)),60)),코드표!$F$2:$F$101,0))),IF(RIGHT(LEFT(TRIM(G75&amp;""),FIND(" ",TRIM(G75&amp;""))-1),2)="병원",LEFT(TRIM(G75&amp;""),FIND(" ",TRIM(G75&amp;""))-1),LEFT(TRIM(G75&amp;""),FIND(" ",TRIM(G75&amp;""))-1)&amp;"병원")&amp;" "&amp;INDEX(코드표!$G$2:$G$101,MATCH(TRIM(RIGHT(SUBSTITUTE(TRIM(G75&amp;"")," ",REPT(" ",60)),60)),코드표!$F$2:$F$101,0)),"⚠"&amp;TRIM(G75&amp;""))),"⚠"&amp;TRIM(G75&amp;""))</f>
        <v/>
      </c>
      <c r="P75" s="10">
        <f>IFERROR(IF(TRIM(H75&amp;"")="","",IF(AND(ISNUMBER(FIND(" ",TRIM(H75&amp;""))),COUNTIF(코드표!$A$2:$A$21,IF(RIGHT(LEFT(TRIM(H75&amp;""),FIND(" ",TRIM(H75&amp;""))-1),2)="병원",LEFT(TRIM(H75&amp;""),FIND(" ",TRIM(H75&amp;""))-1),LEFT(TRIM(H75&amp;""),FIND(" ",TRIM(H75&amp;""))-1)&amp;"병원"))&gt;0,ISNUMBER(MATCH(TRIM(RIGHT(SUBSTITUTE(TRIM(H75&amp;"")," ",REPT(" ",60)),60)),코드표!$F$2:$F$101,0))),IF(RIGHT(LEFT(TRIM(H75&amp;""),FIND(" ",TRIM(H75&amp;""))-1),2)="병원",LEFT(TRIM(H75&amp;""),FIND(" ",TRIM(H75&amp;""))-1),LEFT(TRIM(H75&amp;""),FIND(" ",TRIM(H75&amp;""))-1)&amp;"병원")&amp;" "&amp;INDEX(코드표!$G$2:$G$101,MATCH(TRIM(RIGHT(SUBSTITUTE(TRIM(H75&amp;"")," ",REPT(" ",60)),60)),코드표!$F$2:$F$101,0)),"⚠"&amp;TRIM(H75&amp;""))),"⚠"&amp;TRIM(H75&amp;""))</f>
        <v/>
      </c>
      <c r="Q75" s="10">
        <f>IFERROR(IF(TRIM(I75&amp;"")="","",IF(AND(ISNUMBER(FIND(" ",TRIM(I75&amp;""))),COUNTIF(코드표!$A$2:$A$21,IF(RIGHT(LEFT(TRIM(I75&amp;""),FIND(" ",TRIM(I75&amp;""))-1),2)="병원",LEFT(TRIM(I75&amp;""),FIND(" ",TRIM(I75&amp;""))-1),LEFT(TRIM(I75&amp;""),FIND(" ",TRIM(I75&amp;""))-1)&amp;"병원"))&gt;0,ISNUMBER(MATCH(TRIM(RIGHT(SUBSTITUTE(TRIM(I75&amp;"")," ",REPT(" ",60)),60)),코드표!$F$2:$F$101,0))),IF(RIGHT(LEFT(TRIM(I75&amp;""),FIND(" ",TRIM(I75&amp;""))-1),2)="병원",LEFT(TRIM(I75&amp;""),FIND(" ",TRIM(I75&amp;""))-1),LEFT(TRIM(I75&amp;""),FIND(" ",TRIM(I75&amp;""))-1)&amp;"병원")&amp;" "&amp;INDEX(코드표!$G$2:$G$101,MATCH(TRIM(RIGHT(SUBSTITUTE(TRIM(I75&amp;"")," ",REPT(" ",60)),60)),코드표!$F$2:$F$101,0)),"⚠"&amp;TRIM(I75&amp;""))),"⚠"&amp;TRIM(I75&amp;""))</f>
        <v/>
      </c>
      <c r="R75" s="10">
        <f>IFERROR(IF(TRIM(J75&amp;"")="","",IF(AND(ISNUMBER(FIND(" ",TRIM(J75&amp;""))),COUNTIF(코드표!$A$2:$A$21,IF(RIGHT(LEFT(TRIM(J75&amp;""),FIND(" ",TRIM(J75&amp;""))-1),2)="병원",LEFT(TRIM(J75&amp;""),FIND(" ",TRIM(J75&amp;""))-1),LEFT(TRIM(J75&amp;""),FIND(" ",TRIM(J75&amp;""))-1)&amp;"병원"))&gt;0,ISNUMBER(MATCH(TRIM(RIGHT(SUBSTITUTE(TRIM(J75&amp;"")," ",REPT(" ",60)),60)),코드표!$F$2:$F$101,0))),IF(RIGHT(LEFT(TRIM(J75&amp;""),FIND(" ",TRIM(J75&amp;""))-1),2)="병원",LEFT(TRIM(J75&amp;""),FIND(" ",TRIM(J75&amp;""))-1),LEFT(TRIM(J75&amp;""),FIND(" ",TRIM(J75&amp;""))-1)&amp;"병원")&amp;" "&amp;INDEX(코드표!$G$2:$G$101,MATCH(TRIM(RIGHT(SUBSTITUTE(TRIM(J75&amp;"")," ",REPT(" ",60)),60)),코드표!$F$2:$F$101,0)),"⚠"&amp;TRIM(J75&amp;""))),"⚠"&amp;TRIM(J75&amp;""))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",TRIM(E76&amp;""))),COUNTIF(코드표!$A$2:$A$21,IF(RIGHT(LEFT(TRIM(E76&amp;""),FIND(" ",TRIM(E76&amp;""))-1),2)="병원",LEFT(TRIM(E76&amp;""),FIND(" ",TRIM(E76&amp;""))-1),LEFT(TRIM(E76&amp;""),FIND(" ",TRIM(E76&amp;""))-1)&amp;"병원"))&gt;0,ISNUMBER(MATCH(TRIM(RIGHT(SUBSTITUTE(TRIM(E76&amp;"")," ",REPT(" ",60)),60)),코드표!$F$2:$F$101,0))),IF(RIGHT(LEFT(TRIM(E76&amp;""),FIND(" ",TRIM(E76&amp;""))-1),2)="병원",LEFT(TRIM(E76&amp;""),FIND(" ",TRIM(E76&amp;""))-1),LEFT(TRIM(E76&amp;""),FIND(" ",TRIM(E76&amp;""))-1)&amp;"병원")&amp;" "&amp;INDEX(코드표!$G$2:$G$101,MATCH(TRIM(RIGHT(SUBSTITUTE(TRIM(E76&amp;"")," ",REPT(" ",60)),60)),코드표!$F$2:$F$101,0)),"⚠"&amp;TRIM(E76&amp;""))),"⚠"&amp;TRIM(E76&amp;""))</f>
        <v/>
      </c>
      <c r="N76" s="10">
        <f>IFERROR(IF(TRIM(F76&amp;"")="","",IF(AND(ISNUMBER(FIND(" ",TRIM(F76&amp;""))),COUNTIF(코드표!$A$2:$A$21,IF(RIGHT(LEFT(TRIM(F76&amp;""),FIND(" ",TRIM(F76&amp;""))-1),2)="병원",LEFT(TRIM(F76&amp;""),FIND(" ",TRIM(F76&amp;""))-1),LEFT(TRIM(F76&amp;""),FIND(" ",TRIM(F76&amp;""))-1)&amp;"병원"))&gt;0,ISNUMBER(MATCH(TRIM(RIGHT(SUBSTITUTE(TRIM(F76&amp;"")," ",REPT(" ",60)),60)),코드표!$F$2:$F$101,0))),IF(RIGHT(LEFT(TRIM(F76&amp;""),FIND(" ",TRIM(F76&amp;""))-1),2)="병원",LEFT(TRIM(F76&amp;""),FIND(" ",TRIM(F76&amp;""))-1),LEFT(TRIM(F76&amp;""),FIND(" ",TRIM(F76&amp;""))-1)&amp;"병원")&amp;" "&amp;INDEX(코드표!$G$2:$G$101,MATCH(TRIM(RIGHT(SUBSTITUTE(TRIM(F76&amp;"")," ",REPT(" ",60)),60)),코드표!$F$2:$F$101,0)),"⚠"&amp;TRIM(F76&amp;""))),"⚠"&amp;TRIM(F76&amp;""))</f>
        <v/>
      </c>
      <c r="O76" s="10">
        <f>IFERROR(IF(TRIM(G76&amp;"")="","",IF(AND(ISNUMBER(FIND(" ",TRIM(G76&amp;""))),COUNTIF(코드표!$A$2:$A$21,IF(RIGHT(LEFT(TRIM(G76&amp;""),FIND(" ",TRIM(G76&amp;""))-1),2)="병원",LEFT(TRIM(G76&amp;""),FIND(" ",TRIM(G76&amp;""))-1),LEFT(TRIM(G76&amp;""),FIND(" ",TRIM(G76&amp;""))-1)&amp;"병원"))&gt;0,ISNUMBER(MATCH(TRIM(RIGHT(SUBSTITUTE(TRIM(G76&amp;"")," ",REPT(" ",60)),60)),코드표!$F$2:$F$101,0))),IF(RIGHT(LEFT(TRIM(G76&amp;""),FIND(" ",TRIM(G76&amp;""))-1),2)="병원",LEFT(TRIM(G76&amp;""),FIND(" ",TRIM(G76&amp;""))-1),LEFT(TRIM(G76&amp;""),FIND(" ",TRIM(G76&amp;""))-1)&amp;"병원")&amp;" "&amp;INDEX(코드표!$G$2:$G$101,MATCH(TRIM(RIGHT(SUBSTITUTE(TRIM(G76&amp;"")," ",REPT(" ",60)),60)),코드표!$F$2:$F$101,0)),"⚠"&amp;TRIM(G76&amp;""))),"⚠"&amp;TRIM(G76&amp;""))</f>
        <v/>
      </c>
      <c r="P76" s="10">
        <f>IFERROR(IF(TRIM(H76&amp;"")="","",IF(AND(ISNUMBER(FIND(" ",TRIM(H76&amp;""))),COUNTIF(코드표!$A$2:$A$21,IF(RIGHT(LEFT(TRIM(H76&amp;""),FIND(" ",TRIM(H76&amp;""))-1),2)="병원",LEFT(TRIM(H76&amp;""),FIND(" ",TRIM(H76&amp;""))-1),LEFT(TRIM(H76&amp;""),FIND(" ",TRIM(H76&amp;""))-1)&amp;"병원"))&gt;0,ISNUMBER(MATCH(TRIM(RIGHT(SUBSTITUTE(TRIM(H76&amp;"")," ",REPT(" ",60)),60)),코드표!$F$2:$F$101,0))),IF(RIGHT(LEFT(TRIM(H76&amp;""),FIND(" ",TRIM(H76&amp;""))-1),2)="병원",LEFT(TRIM(H76&amp;""),FIND(" ",TRIM(H76&amp;""))-1),LEFT(TRIM(H76&amp;""),FIND(" ",TRIM(H76&amp;""))-1)&amp;"병원")&amp;" "&amp;INDEX(코드표!$G$2:$G$101,MATCH(TRIM(RIGHT(SUBSTITUTE(TRIM(H76&amp;"")," ",REPT(" ",60)),60)),코드표!$F$2:$F$101,0)),"⚠"&amp;TRIM(H76&amp;""))),"⚠"&amp;TRIM(H76&amp;""))</f>
        <v/>
      </c>
      <c r="Q76" s="10">
        <f>IFERROR(IF(TRIM(I76&amp;"")="","",IF(AND(ISNUMBER(FIND(" ",TRIM(I76&amp;""))),COUNTIF(코드표!$A$2:$A$21,IF(RIGHT(LEFT(TRIM(I76&amp;""),FIND(" ",TRIM(I76&amp;""))-1),2)="병원",LEFT(TRIM(I76&amp;""),FIND(" ",TRIM(I76&amp;""))-1),LEFT(TRIM(I76&amp;""),FIND(" ",TRIM(I76&amp;""))-1)&amp;"병원"))&gt;0,ISNUMBER(MATCH(TRIM(RIGHT(SUBSTITUTE(TRIM(I76&amp;"")," ",REPT(" ",60)),60)),코드표!$F$2:$F$101,0))),IF(RIGHT(LEFT(TRIM(I76&amp;""),FIND(" ",TRIM(I76&amp;""))-1),2)="병원",LEFT(TRIM(I76&amp;""),FIND(" ",TRIM(I76&amp;""))-1),LEFT(TRIM(I76&amp;""),FIND(" ",TRIM(I76&amp;""))-1)&amp;"병원")&amp;" "&amp;INDEX(코드표!$G$2:$G$101,MATCH(TRIM(RIGHT(SUBSTITUTE(TRIM(I76&amp;"")," ",REPT(" ",60)),60)),코드표!$F$2:$F$101,0)),"⚠"&amp;TRIM(I76&amp;""))),"⚠"&amp;TRIM(I76&amp;""))</f>
        <v/>
      </c>
      <c r="R76" s="10">
        <f>IFERROR(IF(TRIM(J76&amp;"")="","",IF(AND(ISNUMBER(FIND(" ",TRIM(J76&amp;""))),COUNTIF(코드표!$A$2:$A$21,IF(RIGHT(LEFT(TRIM(J76&amp;""),FIND(" ",TRIM(J76&amp;""))-1),2)="병원",LEFT(TRIM(J76&amp;""),FIND(" ",TRIM(J76&amp;""))-1),LEFT(TRIM(J76&amp;""),FIND(" ",TRIM(J76&amp;""))-1)&amp;"병원"))&gt;0,ISNUMBER(MATCH(TRIM(RIGHT(SUBSTITUTE(TRIM(J76&amp;"")," ",REPT(" ",60)),60)),코드표!$F$2:$F$101,0))),IF(RIGHT(LEFT(TRIM(J76&amp;""),FIND(" ",TRIM(J76&amp;""))-1),2)="병원",LEFT(TRIM(J76&amp;""),FIND(" ",TRIM(J76&amp;""))-1),LEFT(TRIM(J76&amp;""),FIND(" ",TRIM(J76&amp;""))-1)&amp;"병원")&amp;" "&amp;INDEX(코드표!$G$2:$G$101,MATCH(TRIM(RIGHT(SUBSTITUTE(TRIM(J76&amp;"")," ",REPT(" ",60)),60)),코드표!$F$2:$F$101,0)),"⚠"&amp;TRIM(J76&amp;""))),"⚠"&amp;TRIM(J76&amp;""))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",TRIM(E77&amp;""))),COUNTIF(코드표!$A$2:$A$21,IF(RIGHT(LEFT(TRIM(E77&amp;""),FIND(" ",TRIM(E77&amp;""))-1),2)="병원",LEFT(TRIM(E77&amp;""),FIND(" ",TRIM(E77&amp;""))-1),LEFT(TRIM(E77&amp;""),FIND(" ",TRIM(E77&amp;""))-1)&amp;"병원"))&gt;0,ISNUMBER(MATCH(TRIM(RIGHT(SUBSTITUTE(TRIM(E77&amp;"")," ",REPT(" ",60)),60)),코드표!$F$2:$F$101,0))),IF(RIGHT(LEFT(TRIM(E77&amp;""),FIND(" ",TRIM(E77&amp;""))-1),2)="병원",LEFT(TRIM(E77&amp;""),FIND(" ",TRIM(E77&amp;""))-1),LEFT(TRIM(E77&amp;""),FIND(" ",TRIM(E77&amp;""))-1)&amp;"병원")&amp;" "&amp;INDEX(코드표!$G$2:$G$101,MATCH(TRIM(RIGHT(SUBSTITUTE(TRIM(E77&amp;"")," ",REPT(" ",60)),60)),코드표!$F$2:$F$101,0)),"⚠"&amp;TRIM(E77&amp;""))),"⚠"&amp;TRIM(E77&amp;""))</f>
        <v/>
      </c>
      <c r="N77" s="10">
        <f>IFERROR(IF(TRIM(F77&amp;"")="","",IF(AND(ISNUMBER(FIND(" ",TRIM(F77&amp;""))),COUNTIF(코드표!$A$2:$A$21,IF(RIGHT(LEFT(TRIM(F77&amp;""),FIND(" ",TRIM(F77&amp;""))-1),2)="병원",LEFT(TRIM(F77&amp;""),FIND(" ",TRIM(F77&amp;""))-1),LEFT(TRIM(F77&amp;""),FIND(" ",TRIM(F77&amp;""))-1)&amp;"병원"))&gt;0,ISNUMBER(MATCH(TRIM(RIGHT(SUBSTITUTE(TRIM(F77&amp;"")," ",REPT(" ",60)),60)),코드표!$F$2:$F$101,0))),IF(RIGHT(LEFT(TRIM(F77&amp;""),FIND(" ",TRIM(F77&amp;""))-1),2)="병원",LEFT(TRIM(F77&amp;""),FIND(" ",TRIM(F77&amp;""))-1),LEFT(TRIM(F77&amp;""),FIND(" ",TRIM(F77&amp;""))-1)&amp;"병원")&amp;" "&amp;INDEX(코드표!$G$2:$G$101,MATCH(TRIM(RIGHT(SUBSTITUTE(TRIM(F77&amp;"")," ",REPT(" ",60)),60)),코드표!$F$2:$F$101,0)),"⚠"&amp;TRIM(F77&amp;""))),"⚠"&amp;TRIM(F77&amp;""))</f>
        <v/>
      </c>
      <c r="O77" s="10">
        <f>IFERROR(IF(TRIM(G77&amp;"")="","",IF(AND(ISNUMBER(FIND(" ",TRIM(G77&amp;""))),COUNTIF(코드표!$A$2:$A$21,IF(RIGHT(LEFT(TRIM(G77&amp;""),FIND(" ",TRIM(G77&amp;""))-1),2)="병원",LEFT(TRIM(G77&amp;""),FIND(" ",TRIM(G77&amp;""))-1),LEFT(TRIM(G77&amp;""),FIND(" ",TRIM(G77&amp;""))-1)&amp;"병원"))&gt;0,ISNUMBER(MATCH(TRIM(RIGHT(SUBSTITUTE(TRIM(G77&amp;"")," ",REPT(" ",60)),60)),코드표!$F$2:$F$101,0))),IF(RIGHT(LEFT(TRIM(G77&amp;""),FIND(" ",TRIM(G77&amp;""))-1),2)="병원",LEFT(TRIM(G77&amp;""),FIND(" ",TRIM(G77&amp;""))-1),LEFT(TRIM(G77&amp;""),FIND(" ",TRIM(G77&amp;""))-1)&amp;"병원")&amp;" "&amp;INDEX(코드표!$G$2:$G$101,MATCH(TRIM(RIGHT(SUBSTITUTE(TRIM(G77&amp;"")," ",REPT(" ",60)),60)),코드표!$F$2:$F$101,0)),"⚠"&amp;TRIM(G77&amp;""))),"⚠"&amp;TRIM(G77&amp;""))</f>
        <v/>
      </c>
      <c r="P77" s="10">
        <f>IFERROR(IF(TRIM(H77&amp;"")="","",IF(AND(ISNUMBER(FIND(" ",TRIM(H77&amp;""))),COUNTIF(코드표!$A$2:$A$21,IF(RIGHT(LEFT(TRIM(H77&amp;""),FIND(" ",TRIM(H77&amp;""))-1),2)="병원",LEFT(TRIM(H77&amp;""),FIND(" ",TRIM(H77&amp;""))-1),LEFT(TRIM(H77&amp;""),FIND(" ",TRIM(H77&amp;""))-1)&amp;"병원"))&gt;0,ISNUMBER(MATCH(TRIM(RIGHT(SUBSTITUTE(TRIM(H77&amp;"")," ",REPT(" ",60)),60)),코드표!$F$2:$F$101,0))),IF(RIGHT(LEFT(TRIM(H77&amp;""),FIND(" ",TRIM(H77&amp;""))-1),2)="병원",LEFT(TRIM(H77&amp;""),FIND(" ",TRIM(H77&amp;""))-1),LEFT(TRIM(H77&amp;""),FIND(" ",TRIM(H77&amp;""))-1)&amp;"병원")&amp;" "&amp;INDEX(코드표!$G$2:$G$101,MATCH(TRIM(RIGHT(SUBSTITUTE(TRIM(H77&amp;"")," ",REPT(" ",60)),60)),코드표!$F$2:$F$101,0)),"⚠"&amp;TRIM(H77&amp;""))),"⚠"&amp;TRIM(H77&amp;""))</f>
        <v/>
      </c>
      <c r="Q77" s="10">
        <f>IFERROR(IF(TRIM(I77&amp;"")="","",IF(AND(ISNUMBER(FIND(" ",TRIM(I77&amp;""))),COUNTIF(코드표!$A$2:$A$21,IF(RIGHT(LEFT(TRIM(I77&amp;""),FIND(" ",TRIM(I77&amp;""))-1),2)="병원",LEFT(TRIM(I77&amp;""),FIND(" ",TRIM(I77&amp;""))-1),LEFT(TRIM(I77&amp;""),FIND(" ",TRIM(I77&amp;""))-1)&amp;"병원"))&gt;0,ISNUMBER(MATCH(TRIM(RIGHT(SUBSTITUTE(TRIM(I77&amp;"")," ",REPT(" ",60)),60)),코드표!$F$2:$F$101,0))),IF(RIGHT(LEFT(TRIM(I77&amp;""),FIND(" ",TRIM(I77&amp;""))-1),2)="병원",LEFT(TRIM(I77&amp;""),FIND(" ",TRIM(I77&amp;""))-1),LEFT(TRIM(I77&amp;""),FIND(" ",TRIM(I77&amp;""))-1)&amp;"병원")&amp;" "&amp;INDEX(코드표!$G$2:$G$101,MATCH(TRIM(RIGHT(SUBSTITUTE(TRIM(I77&amp;"")," ",REPT(" ",60)),60)),코드표!$F$2:$F$101,0)),"⚠"&amp;TRIM(I77&amp;""))),"⚠"&amp;TRIM(I77&amp;""))</f>
        <v/>
      </c>
      <c r="R77" s="10">
        <f>IFERROR(IF(TRIM(J77&amp;"")="","",IF(AND(ISNUMBER(FIND(" ",TRIM(J77&amp;""))),COUNTIF(코드표!$A$2:$A$21,IF(RIGHT(LEFT(TRIM(J77&amp;""),FIND(" ",TRIM(J77&amp;""))-1),2)="병원",LEFT(TRIM(J77&amp;""),FIND(" ",TRIM(J77&amp;""))-1),LEFT(TRIM(J77&amp;""),FIND(" ",TRIM(J77&amp;""))-1)&amp;"병원"))&gt;0,ISNUMBER(MATCH(TRIM(RIGHT(SUBSTITUTE(TRIM(J77&amp;"")," ",REPT(" ",60)),60)),코드표!$F$2:$F$101,0))),IF(RIGHT(LEFT(TRIM(J77&amp;""),FIND(" ",TRIM(J77&amp;""))-1),2)="병원",LEFT(TRIM(J77&amp;""),FIND(" ",TRIM(J77&amp;""))-1),LEFT(TRIM(J77&amp;""),FIND(" ",TRIM(J77&amp;""))-1)&amp;"병원")&amp;" "&amp;INDEX(코드표!$G$2:$G$101,MATCH(TRIM(RIGHT(SUBSTITUTE(TRIM(J77&amp;"")," ",REPT(" ",60)),60)),코드표!$F$2:$F$101,0)),"⚠"&amp;TRIM(J77&amp;""))),"⚠"&amp;TRIM(J77&amp;""))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",TRIM(E78&amp;""))),COUNTIF(코드표!$A$2:$A$21,IF(RIGHT(LEFT(TRIM(E78&amp;""),FIND(" ",TRIM(E78&amp;""))-1),2)="병원",LEFT(TRIM(E78&amp;""),FIND(" ",TRIM(E78&amp;""))-1),LEFT(TRIM(E78&amp;""),FIND(" ",TRIM(E78&amp;""))-1)&amp;"병원"))&gt;0,ISNUMBER(MATCH(TRIM(RIGHT(SUBSTITUTE(TRIM(E78&amp;"")," ",REPT(" ",60)),60)),코드표!$F$2:$F$101,0))),IF(RIGHT(LEFT(TRIM(E78&amp;""),FIND(" ",TRIM(E78&amp;""))-1),2)="병원",LEFT(TRIM(E78&amp;""),FIND(" ",TRIM(E78&amp;""))-1),LEFT(TRIM(E78&amp;""),FIND(" ",TRIM(E78&amp;""))-1)&amp;"병원")&amp;" "&amp;INDEX(코드표!$G$2:$G$101,MATCH(TRIM(RIGHT(SUBSTITUTE(TRIM(E78&amp;"")," ",REPT(" ",60)),60)),코드표!$F$2:$F$101,0)),"⚠"&amp;TRIM(E78&amp;""))),"⚠"&amp;TRIM(E78&amp;""))</f>
        <v/>
      </c>
      <c r="N78" s="10">
        <f>IFERROR(IF(TRIM(F78&amp;"")="","",IF(AND(ISNUMBER(FIND(" ",TRIM(F78&amp;""))),COUNTIF(코드표!$A$2:$A$21,IF(RIGHT(LEFT(TRIM(F78&amp;""),FIND(" ",TRIM(F78&amp;""))-1),2)="병원",LEFT(TRIM(F78&amp;""),FIND(" ",TRIM(F78&amp;""))-1),LEFT(TRIM(F78&amp;""),FIND(" ",TRIM(F78&amp;""))-1)&amp;"병원"))&gt;0,ISNUMBER(MATCH(TRIM(RIGHT(SUBSTITUTE(TRIM(F78&amp;"")," ",REPT(" ",60)),60)),코드표!$F$2:$F$101,0))),IF(RIGHT(LEFT(TRIM(F78&amp;""),FIND(" ",TRIM(F78&amp;""))-1),2)="병원",LEFT(TRIM(F78&amp;""),FIND(" ",TRIM(F78&amp;""))-1),LEFT(TRIM(F78&amp;""),FIND(" ",TRIM(F78&amp;""))-1)&amp;"병원")&amp;" "&amp;INDEX(코드표!$G$2:$G$101,MATCH(TRIM(RIGHT(SUBSTITUTE(TRIM(F78&amp;"")," ",REPT(" ",60)),60)),코드표!$F$2:$F$101,0)),"⚠"&amp;TRIM(F78&amp;""))),"⚠"&amp;TRIM(F78&amp;""))</f>
        <v/>
      </c>
      <c r="O78" s="10">
        <f>IFERROR(IF(TRIM(G78&amp;"")="","",IF(AND(ISNUMBER(FIND(" ",TRIM(G78&amp;""))),COUNTIF(코드표!$A$2:$A$21,IF(RIGHT(LEFT(TRIM(G78&amp;""),FIND(" ",TRIM(G78&amp;""))-1),2)="병원",LEFT(TRIM(G78&amp;""),FIND(" ",TRIM(G78&amp;""))-1),LEFT(TRIM(G78&amp;""),FIND(" ",TRIM(G78&amp;""))-1)&amp;"병원"))&gt;0,ISNUMBER(MATCH(TRIM(RIGHT(SUBSTITUTE(TRIM(G78&amp;"")," ",REPT(" ",60)),60)),코드표!$F$2:$F$101,0))),IF(RIGHT(LEFT(TRIM(G78&amp;""),FIND(" ",TRIM(G78&amp;""))-1),2)="병원",LEFT(TRIM(G78&amp;""),FIND(" ",TRIM(G78&amp;""))-1),LEFT(TRIM(G78&amp;""),FIND(" ",TRIM(G78&amp;""))-1)&amp;"병원")&amp;" "&amp;INDEX(코드표!$G$2:$G$101,MATCH(TRIM(RIGHT(SUBSTITUTE(TRIM(G78&amp;"")," ",REPT(" ",60)),60)),코드표!$F$2:$F$101,0)),"⚠"&amp;TRIM(G78&amp;""))),"⚠"&amp;TRIM(G78&amp;""))</f>
        <v/>
      </c>
      <c r="P78" s="10">
        <f>IFERROR(IF(TRIM(H78&amp;"")="","",IF(AND(ISNUMBER(FIND(" ",TRIM(H78&amp;""))),COUNTIF(코드표!$A$2:$A$21,IF(RIGHT(LEFT(TRIM(H78&amp;""),FIND(" ",TRIM(H78&amp;""))-1),2)="병원",LEFT(TRIM(H78&amp;""),FIND(" ",TRIM(H78&amp;""))-1),LEFT(TRIM(H78&amp;""),FIND(" ",TRIM(H78&amp;""))-1)&amp;"병원"))&gt;0,ISNUMBER(MATCH(TRIM(RIGHT(SUBSTITUTE(TRIM(H78&amp;"")," ",REPT(" ",60)),60)),코드표!$F$2:$F$101,0))),IF(RIGHT(LEFT(TRIM(H78&amp;""),FIND(" ",TRIM(H78&amp;""))-1),2)="병원",LEFT(TRIM(H78&amp;""),FIND(" ",TRIM(H78&amp;""))-1),LEFT(TRIM(H78&amp;""),FIND(" ",TRIM(H78&amp;""))-1)&amp;"병원")&amp;" "&amp;INDEX(코드표!$G$2:$G$101,MATCH(TRIM(RIGHT(SUBSTITUTE(TRIM(H78&amp;"")," ",REPT(" ",60)),60)),코드표!$F$2:$F$101,0)),"⚠"&amp;TRIM(H78&amp;""))),"⚠"&amp;TRIM(H78&amp;""))</f>
        <v/>
      </c>
      <c r="Q78" s="10">
        <f>IFERROR(IF(TRIM(I78&amp;"")="","",IF(AND(ISNUMBER(FIND(" ",TRIM(I78&amp;""))),COUNTIF(코드표!$A$2:$A$21,IF(RIGHT(LEFT(TRIM(I78&amp;""),FIND(" ",TRIM(I78&amp;""))-1),2)="병원",LEFT(TRIM(I78&amp;""),FIND(" ",TRIM(I78&amp;""))-1),LEFT(TRIM(I78&amp;""),FIND(" ",TRIM(I78&amp;""))-1)&amp;"병원"))&gt;0,ISNUMBER(MATCH(TRIM(RIGHT(SUBSTITUTE(TRIM(I78&amp;"")," ",REPT(" ",60)),60)),코드표!$F$2:$F$101,0))),IF(RIGHT(LEFT(TRIM(I78&amp;""),FIND(" ",TRIM(I78&amp;""))-1),2)="병원",LEFT(TRIM(I78&amp;""),FIND(" ",TRIM(I78&amp;""))-1),LEFT(TRIM(I78&amp;""),FIND(" ",TRIM(I78&amp;""))-1)&amp;"병원")&amp;" "&amp;INDEX(코드표!$G$2:$G$101,MATCH(TRIM(RIGHT(SUBSTITUTE(TRIM(I78&amp;"")," ",REPT(" ",60)),60)),코드표!$F$2:$F$101,0)),"⚠"&amp;TRIM(I78&amp;""))),"⚠"&amp;TRIM(I78&amp;""))</f>
        <v/>
      </c>
      <c r="R78" s="10">
        <f>IFERROR(IF(TRIM(J78&amp;"")="","",IF(AND(ISNUMBER(FIND(" ",TRIM(J78&amp;""))),COUNTIF(코드표!$A$2:$A$21,IF(RIGHT(LEFT(TRIM(J78&amp;""),FIND(" ",TRIM(J78&amp;""))-1),2)="병원",LEFT(TRIM(J78&amp;""),FIND(" ",TRIM(J78&amp;""))-1),LEFT(TRIM(J78&amp;""),FIND(" ",TRIM(J78&amp;""))-1)&amp;"병원"))&gt;0,ISNUMBER(MATCH(TRIM(RIGHT(SUBSTITUTE(TRIM(J78&amp;"")," ",REPT(" ",60)),60)),코드표!$F$2:$F$101,0))),IF(RIGHT(LEFT(TRIM(J78&amp;""),FIND(" ",TRIM(J78&amp;""))-1),2)="병원",LEFT(TRIM(J78&amp;""),FIND(" ",TRIM(J78&amp;""))-1),LEFT(TRIM(J78&amp;""),FIND(" ",TRIM(J78&amp;""))-1)&amp;"병원")&amp;" "&amp;INDEX(코드표!$G$2:$G$101,MATCH(TRIM(RIGHT(SUBSTITUTE(TRIM(J78&amp;"")," ",REPT(" ",60)),60)),코드표!$F$2:$F$101,0)),"⚠"&amp;TRIM(J78&amp;""))),"⚠"&amp;TRIM(J78&amp;""))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",TRIM(E79&amp;""))),COUNTIF(코드표!$A$2:$A$21,IF(RIGHT(LEFT(TRIM(E79&amp;""),FIND(" ",TRIM(E79&amp;""))-1),2)="병원",LEFT(TRIM(E79&amp;""),FIND(" ",TRIM(E79&amp;""))-1),LEFT(TRIM(E79&amp;""),FIND(" ",TRIM(E79&amp;""))-1)&amp;"병원"))&gt;0,ISNUMBER(MATCH(TRIM(RIGHT(SUBSTITUTE(TRIM(E79&amp;"")," ",REPT(" ",60)),60)),코드표!$F$2:$F$101,0))),IF(RIGHT(LEFT(TRIM(E79&amp;""),FIND(" ",TRIM(E79&amp;""))-1),2)="병원",LEFT(TRIM(E79&amp;""),FIND(" ",TRIM(E79&amp;""))-1),LEFT(TRIM(E79&amp;""),FIND(" ",TRIM(E79&amp;""))-1)&amp;"병원")&amp;" "&amp;INDEX(코드표!$G$2:$G$101,MATCH(TRIM(RIGHT(SUBSTITUTE(TRIM(E79&amp;"")," ",REPT(" ",60)),60)),코드표!$F$2:$F$101,0)),"⚠"&amp;TRIM(E79&amp;""))),"⚠"&amp;TRIM(E79&amp;""))</f>
        <v/>
      </c>
      <c r="N79" s="10">
        <f>IFERROR(IF(TRIM(F79&amp;"")="","",IF(AND(ISNUMBER(FIND(" ",TRIM(F79&amp;""))),COUNTIF(코드표!$A$2:$A$21,IF(RIGHT(LEFT(TRIM(F79&amp;""),FIND(" ",TRIM(F79&amp;""))-1),2)="병원",LEFT(TRIM(F79&amp;""),FIND(" ",TRIM(F79&amp;""))-1),LEFT(TRIM(F79&amp;""),FIND(" ",TRIM(F79&amp;""))-1)&amp;"병원"))&gt;0,ISNUMBER(MATCH(TRIM(RIGHT(SUBSTITUTE(TRIM(F79&amp;"")," ",REPT(" ",60)),60)),코드표!$F$2:$F$101,0))),IF(RIGHT(LEFT(TRIM(F79&amp;""),FIND(" ",TRIM(F79&amp;""))-1),2)="병원",LEFT(TRIM(F79&amp;""),FIND(" ",TRIM(F79&amp;""))-1),LEFT(TRIM(F79&amp;""),FIND(" ",TRIM(F79&amp;""))-1)&amp;"병원")&amp;" "&amp;INDEX(코드표!$G$2:$G$101,MATCH(TRIM(RIGHT(SUBSTITUTE(TRIM(F79&amp;"")," ",REPT(" ",60)),60)),코드표!$F$2:$F$101,0)),"⚠"&amp;TRIM(F79&amp;""))),"⚠"&amp;TRIM(F79&amp;""))</f>
        <v/>
      </c>
      <c r="O79" s="10">
        <f>IFERROR(IF(TRIM(G79&amp;"")="","",IF(AND(ISNUMBER(FIND(" ",TRIM(G79&amp;""))),COUNTIF(코드표!$A$2:$A$21,IF(RIGHT(LEFT(TRIM(G79&amp;""),FIND(" ",TRIM(G79&amp;""))-1),2)="병원",LEFT(TRIM(G79&amp;""),FIND(" ",TRIM(G79&amp;""))-1),LEFT(TRIM(G79&amp;""),FIND(" ",TRIM(G79&amp;""))-1)&amp;"병원"))&gt;0,ISNUMBER(MATCH(TRIM(RIGHT(SUBSTITUTE(TRIM(G79&amp;"")," ",REPT(" ",60)),60)),코드표!$F$2:$F$101,0))),IF(RIGHT(LEFT(TRIM(G79&amp;""),FIND(" ",TRIM(G79&amp;""))-1),2)="병원",LEFT(TRIM(G79&amp;""),FIND(" ",TRIM(G79&amp;""))-1),LEFT(TRIM(G79&amp;""),FIND(" ",TRIM(G79&amp;""))-1)&amp;"병원")&amp;" "&amp;INDEX(코드표!$G$2:$G$101,MATCH(TRIM(RIGHT(SUBSTITUTE(TRIM(G79&amp;"")," ",REPT(" ",60)),60)),코드표!$F$2:$F$101,0)),"⚠"&amp;TRIM(G79&amp;""))),"⚠"&amp;TRIM(G79&amp;""))</f>
        <v/>
      </c>
      <c r="P79" s="10">
        <f>IFERROR(IF(TRIM(H79&amp;"")="","",IF(AND(ISNUMBER(FIND(" ",TRIM(H79&amp;""))),COUNTIF(코드표!$A$2:$A$21,IF(RIGHT(LEFT(TRIM(H79&amp;""),FIND(" ",TRIM(H79&amp;""))-1),2)="병원",LEFT(TRIM(H79&amp;""),FIND(" ",TRIM(H79&amp;""))-1),LEFT(TRIM(H79&amp;""),FIND(" ",TRIM(H79&amp;""))-1)&amp;"병원"))&gt;0,ISNUMBER(MATCH(TRIM(RIGHT(SUBSTITUTE(TRIM(H79&amp;"")," ",REPT(" ",60)),60)),코드표!$F$2:$F$101,0))),IF(RIGHT(LEFT(TRIM(H79&amp;""),FIND(" ",TRIM(H79&amp;""))-1),2)="병원",LEFT(TRIM(H79&amp;""),FIND(" ",TRIM(H79&amp;""))-1),LEFT(TRIM(H79&amp;""),FIND(" ",TRIM(H79&amp;""))-1)&amp;"병원")&amp;" "&amp;INDEX(코드표!$G$2:$G$101,MATCH(TRIM(RIGHT(SUBSTITUTE(TRIM(H79&amp;"")," ",REPT(" ",60)),60)),코드표!$F$2:$F$101,0)),"⚠"&amp;TRIM(H79&amp;""))),"⚠"&amp;TRIM(H79&amp;""))</f>
        <v/>
      </c>
      <c r="Q79" s="10">
        <f>IFERROR(IF(TRIM(I79&amp;"")="","",IF(AND(ISNUMBER(FIND(" ",TRIM(I79&amp;""))),COUNTIF(코드표!$A$2:$A$21,IF(RIGHT(LEFT(TRIM(I79&amp;""),FIND(" ",TRIM(I79&amp;""))-1),2)="병원",LEFT(TRIM(I79&amp;""),FIND(" ",TRIM(I79&amp;""))-1),LEFT(TRIM(I79&amp;""),FIND(" ",TRIM(I79&amp;""))-1)&amp;"병원"))&gt;0,ISNUMBER(MATCH(TRIM(RIGHT(SUBSTITUTE(TRIM(I79&amp;"")," ",REPT(" ",60)),60)),코드표!$F$2:$F$101,0))),IF(RIGHT(LEFT(TRIM(I79&amp;""),FIND(" ",TRIM(I79&amp;""))-1),2)="병원",LEFT(TRIM(I79&amp;""),FIND(" ",TRIM(I79&amp;""))-1),LEFT(TRIM(I79&amp;""),FIND(" ",TRIM(I79&amp;""))-1)&amp;"병원")&amp;" "&amp;INDEX(코드표!$G$2:$G$101,MATCH(TRIM(RIGHT(SUBSTITUTE(TRIM(I79&amp;"")," ",REPT(" ",60)),60)),코드표!$F$2:$F$101,0)),"⚠"&amp;TRIM(I79&amp;""))),"⚠"&amp;TRIM(I79&amp;""))</f>
        <v/>
      </c>
      <c r="R79" s="10">
        <f>IFERROR(IF(TRIM(J79&amp;"")="","",IF(AND(ISNUMBER(FIND(" ",TRIM(J79&amp;""))),COUNTIF(코드표!$A$2:$A$21,IF(RIGHT(LEFT(TRIM(J79&amp;""),FIND(" ",TRIM(J79&amp;""))-1),2)="병원",LEFT(TRIM(J79&amp;""),FIND(" ",TRIM(J79&amp;""))-1),LEFT(TRIM(J79&amp;""),FIND(" ",TRIM(J79&amp;""))-1)&amp;"병원"))&gt;0,ISNUMBER(MATCH(TRIM(RIGHT(SUBSTITUTE(TRIM(J79&amp;"")," ",REPT(" ",60)),60)),코드표!$F$2:$F$101,0))),IF(RIGHT(LEFT(TRIM(J79&amp;""),FIND(" ",TRIM(J79&amp;""))-1),2)="병원",LEFT(TRIM(J79&amp;""),FIND(" ",TRIM(J79&amp;""))-1),LEFT(TRIM(J79&amp;""),FIND(" ",TRIM(J79&amp;""))-1)&amp;"병원")&amp;" "&amp;INDEX(코드표!$G$2:$G$101,MATCH(TRIM(RIGHT(SUBSTITUTE(TRIM(J79&amp;"")," ",REPT(" ",60)),60)),코드표!$F$2:$F$101,0)),"⚠"&amp;TRIM(J79&amp;""))),"⚠"&amp;TRIM(J79&amp;""))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",TRIM(E80&amp;""))),COUNTIF(코드표!$A$2:$A$21,IF(RIGHT(LEFT(TRIM(E80&amp;""),FIND(" ",TRIM(E80&amp;""))-1),2)="병원",LEFT(TRIM(E80&amp;""),FIND(" ",TRIM(E80&amp;""))-1),LEFT(TRIM(E80&amp;""),FIND(" ",TRIM(E80&amp;""))-1)&amp;"병원"))&gt;0,ISNUMBER(MATCH(TRIM(RIGHT(SUBSTITUTE(TRIM(E80&amp;"")," ",REPT(" ",60)),60)),코드표!$F$2:$F$101,0))),IF(RIGHT(LEFT(TRIM(E80&amp;""),FIND(" ",TRIM(E80&amp;""))-1),2)="병원",LEFT(TRIM(E80&amp;""),FIND(" ",TRIM(E80&amp;""))-1),LEFT(TRIM(E80&amp;""),FIND(" ",TRIM(E80&amp;""))-1)&amp;"병원")&amp;" "&amp;INDEX(코드표!$G$2:$G$101,MATCH(TRIM(RIGHT(SUBSTITUTE(TRIM(E80&amp;"")," ",REPT(" ",60)),60)),코드표!$F$2:$F$101,0)),"⚠"&amp;TRIM(E80&amp;""))),"⚠"&amp;TRIM(E80&amp;""))</f>
        <v/>
      </c>
      <c r="N80" s="10">
        <f>IFERROR(IF(TRIM(F80&amp;"")="","",IF(AND(ISNUMBER(FIND(" ",TRIM(F80&amp;""))),COUNTIF(코드표!$A$2:$A$21,IF(RIGHT(LEFT(TRIM(F80&amp;""),FIND(" ",TRIM(F80&amp;""))-1),2)="병원",LEFT(TRIM(F80&amp;""),FIND(" ",TRIM(F80&amp;""))-1),LEFT(TRIM(F80&amp;""),FIND(" ",TRIM(F80&amp;""))-1)&amp;"병원"))&gt;0,ISNUMBER(MATCH(TRIM(RIGHT(SUBSTITUTE(TRIM(F80&amp;"")," ",REPT(" ",60)),60)),코드표!$F$2:$F$101,0))),IF(RIGHT(LEFT(TRIM(F80&amp;""),FIND(" ",TRIM(F80&amp;""))-1),2)="병원",LEFT(TRIM(F80&amp;""),FIND(" ",TRIM(F80&amp;""))-1),LEFT(TRIM(F80&amp;""),FIND(" ",TRIM(F80&amp;""))-1)&amp;"병원")&amp;" "&amp;INDEX(코드표!$G$2:$G$101,MATCH(TRIM(RIGHT(SUBSTITUTE(TRIM(F80&amp;"")," ",REPT(" ",60)),60)),코드표!$F$2:$F$101,0)),"⚠"&amp;TRIM(F80&amp;""))),"⚠"&amp;TRIM(F80&amp;""))</f>
        <v/>
      </c>
      <c r="O80" s="10">
        <f>IFERROR(IF(TRIM(G80&amp;"")="","",IF(AND(ISNUMBER(FIND(" ",TRIM(G80&amp;""))),COUNTIF(코드표!$A$2:$A$21,IF(RIGHT(LEFT(TRIM(G80&amp;""),FIND(" ",TRIM(G80&amp;""))-1),2)="병원",LEFT(TRIM(G80&amp;""),FIND(" ",TRIM(G80&amp;""))-1),LEFT(TRIM(G80&amp;""),FIND(" ",TRIM(G80&amp;""))-1)&amp;"병원"))&gt;0,ISNUMBER(MATCH(TRIM(RIGHT(SUBSTITUTE(TRIM(G80&amp;"")," ",REPT(" ",60)),60)),코드표!$F$2:$F$101,0))),IF(RIGHT(LEFT(TRIM(G80&amp;""),FIND(" ",TRIM(G80&amp;""))-1),2)="병원",LEFT(TRIM(G80&amp;""),FIND(" ",TRIM(G80&amp;""))-1),LEFT(TRIM(G80&amp;""),FIND(" ",TRIM(G80&amp;""))-1)&amp;"병원")&amp;" "&amp;INDEX(코드표!$G$2:$G$101,MATCH(TRIM(RIGHT(SUBSTITUTE(TRIM(G80&amp;"")," ",REPT(" ",60)),60)),코드표!$F$2:$F$101,0)),"⚠"&amp;TRIM(G80&amp;""))),"⚠"&amp;TRIM(G80&amp;""))</f>
        <v/>
      </c>
      <c r="P80" s="10">
        <f>IFERROR(IF(TRIM(H80&amp;"")="","",IF(AND(ISNUMBER(FIND(" ",TRIM(H80&amp;""))),COUNTIF(코드표!$A$2:$A$21,IF(RIGHT(LEFT(TRIM(H80&amp;""),FIND(" ",TRIM(H80&amp;""))-1),2)="병원",LEFT(TRIM(H80&amp;""),FIND(" ",TRIM(H80&amp;""))-1),LEFT(TRIM(H80&amp;""),FIND(" ",TRIM(H80&amp;""))-1)&amp;"병원"))&gt;0,ISNUMBER(MATCH(TRIM(RIGHT(SUBSTITUTE(TRIM(H80&amp;"")," ",REPT(" ",60)),60)),코드표!$F$2:$F$101,0))),IF(RIGHT(LEFT(TRIM(H80&amp;""),FIND(" ",TRIM(H80&amp;""))-1),2)="병원",LEFT(TRIM(H80&amp;""),FIND(" ",TRIM(H80&amp;""))-1),LEFT(TRIM(H80&amp;""),FIND(" ",TRIM(H80&amp;""))-1)&amp;"병원")&amp;" "&amp;INDEX(코드표!$G$2:$G$101,MATCH(TRIM(RIGHT(SUBSTITUTE(TRIM(H80&amp;"")," ",REPT(" ",60)),60)),코드표!$F$2:$F$101,0)),"⚠"&amp;TRIM(H80&amp;""))),"⚠"&amp;TRIM(H80&amp;""))</f>
        <v/>
      </c>
      <c r="Q80" s="10">
        <f>IFERROR(IF(TRIM(I80&amp;"")="","",IF(AND(ISNUMBER(FIND(" ",TRIM(I80&amp;""))),COUNTIF(코드표!$A$2:$A$21,IF(RIGHT(LEFT(TRIM(I80&amp;""),FIND(" ",TRIM(I80&amp;""))-1),2)="병원",LEFT(TRIM(I80&amp;""),FIND(" ",TRIM(I80&amp;""))-1),LEFT(TRIM(I80&amp;""),FIND(" ",TRIM(I80&amp;""))-1)&amp;"병원"))&gt;0,ISNUMBER(MATCH(TRIM(RIGHT(SUBSTITUTE(TRIM(I80&amp;"")," ",REPT(" ",60)),60)),코드표!$F$2:$F$101,0))),IF(RIGHT(LEFT(TRIM(I80&amp;""),FIND(" ",TRIM(I80&amp;""))-1),2)="병원",LEFT(TRIM(I80&amp;""),FIND(" ",TRIM(I80&amp;""))-1),LEFT(TRIM(I80&amp;""),FIND(" ",TRIM(I80&amp;""))-1)&amp;"병원")&amp;" "&amp;INDEX(코드표!$G$2:$G$101,MATCH(TRIM(RIGHT(SUBSTITUTE(TRIM(I80&amp;"")," ",REPT(" ",60)),60)),코드표!$F$2:$F$101,0)),"⚠"&amp;TRIM(I80&amp;""))),"⚠"&amp;TRIM(I80&amp;""))</f>
        <v/>
      </c>
      <c r="R80" s="10">
        <f>IFERROR(IF(TRIM(J80&amp;"")="","",IF(AND(ISNUMBER(FIND(" ",TRIM(J80&amp;""))),COUNTIF(코드표!$A$2:$A$21,IF(RIGHT(LEFT(TRIM(J80&amp;""),FIND(" ",TRIM(J80&amp;""))-1),2)="병원",LEFT(TRIM(J80&amp;""),FIND(" ",TRIM(J80&amp;""))-1),LEFT(TRIM(J80&amp;""),FIND(" ",TRIM(J80&amp;""))-1)&amp;"병원"))&gt;0,ISNUMBER(MATCH(TRIM(RIGHT(SUBSTITUTE(TRIM(J80&amp;"")," ",REPT(" ",60)),60)),코드표!$F$2:$F$101,0))),IF(RIGHT(LEFT(TRIM(J80&amp;""),FIND(" ",TRIM(J80&amp;""))-1),2)="병원",LEFT(TRIM(J80&amp;""),FIND(" ",TRIM(J80&amp;""))-1),LEFT(TRIM(J80&amp;""),FIND(" ",TRIM(J80&amp;""))-1)&amp;"병원")&amp;" "&amp;INDEX(코드표!$G$2:$G$101,MATCH(TRIM(RIGHT(SUBSTITUTE(TRIM(J80&amp;"")," ",REPT(" ",60)),60)),코드표!$F$2:$F$101,0)),"⚠"&amp;TRIM(J80&amp;""))),"⚠"&amp;TRIM(J80&amp;""))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",TRIM(E81&amp;""))),COUNTIF(코드표!$A$2:$A$21,IF(RIGHT(LEFT(TRIM(E81&amp;""),FIND(" ",TRIM(E81&amp;""))-1),2)="병원",LEFT(TRIM(E81&amp;""),FIND(" ",TRIM(E81&amp;""))-1),LEFT(TRIM(E81&amp;""),FIND(" ",TRIM(E81&amp;""))-1)&amp;"병원"))&gt;0,ISNUMBER(MATCH(TRIM(RIGHT(SUBSTITUTE(TRIM(E81&amp;"")," ",REPT(" ",60)),60)),코드표!$F$2:$F$101,0))),IF(RIGHT(LEFT(TRIM(E81&amp;""),FIND(" ",TRIM(E81&amp;""))-1),2)="병원",LEFT(TRIM(E81&amp;""),FIND(" ",TRIM(E81&amp;""))-1),LEFT(TRIM(E81&amp;""),FIND(" ",TRIM(E81&amp;""))-1)&amp;"병원")&amp;" "&amp;INDEX(코드표!$G$2:$G$101,MATCH(TRIM(RIGHT(SUBSTITUTE(TRIM(E81&amp;"")," ",REPT(" ",60)),60)),코드표!$F$2:$F$101,0)),"⚠"&amp;TRIM(E81&amp;""))),"⚠"&amp;TRIM(E81&amp;""))</f>
        <v/>
      </c>
      <c r="N81" s="10">
        <f>IFERROR(IF(TRIM(F81&amp;"")="","",IF(AND(ISNUMBER(FIND(" ",TRIM(F81&amp;""))),COUNTIF(코드표!$A$2:$A$21,IF(RIGHT(LEFT(TRIM(F81&amp;""),FIND(" ",TRIM(F81&amp;""))-1),2)="병원",LEFT(TRIM(F81&amp;""),FIND(" ",TRIM(F81&amp;""))-1),LEFT(TRIM(F81&amp;""),FIND(" ",TRIM(F81&amp;""))-1)&amp;"병원"))&gt;0,ISNUMBER(MATCH(TRIM(RIGHT(SUBSTITUTE(TRIM(F81&amp;"")," ",REPT(" ",60)),60)),코드표!$F$2:$F$101,0))),IF(RIGHT(LEFT(TRIM(F81&amp;""),FIND(" ",TRIM(F81&amp;""))-1),2)="병원",LEFT(TRIM(F81&amp;""),FIND(" ",TRIM(F81&amp;""))-1),LEFT(TRIM(F81&amp;""),FIND(" ",TRIM(F81&amp;""))-1)&amp;"병원")&amp;" "&amp;INDEX(코드표!$G$2:$G$101,MATCH(TRIM(RIGHT(SUBSTITUTE(TRIM(F81&amp;"")," ",REPT(" ",60)),60)),코드표!$F$2:$F$101,0)),"⚠"&amp;TRIM(F81&amp;""))),"⚠"&amp;TRIM(F81&amp;""))</f>
        <v/>
      </c>
      <c r="O81" s="10">
        <f>IFERROR(IF(TRIM(G81&amp;"")="","",IF(AND(ISNUMBER(FIND(" ",TRIM(G81&amp;""))),COUNTIF(코드표!$A$2:$A$21,IF(RIGHT(LEFT(TRIM(G81&amp;""),FIND(" ",TRIM(G81&amp;""))-1),2)="병원",LEFT(TRIM(G81&amp;""),FIND(" ",TRIM(G81&amp;""))-1),LEFT(TRIM(G81&amp;""),FIND(" ",TRIM(G81&amp;""))-1)&amp;"병원"))&gt;0,ISNUMBER(MATCH(TRIM(RIGHT(SUBSTITUTE(TRIM(G81&amp;"")," ",REPT(" ",60)),60)),코드표!$F$2:$F$101,0))),IF(RIGHT(LEFT(TRIM(G81&amp;""),FIND(" ",TRIM(G81&amp;""))-1),2)="병원",LEFT(TRIM(G81&amp;""),FIND(" ",TRIM(G81&amp;""))-1),LEFT(TRIM(G81&amp;""),FIND(" ",TRIM(G81&amp;""))-1)&amp;"병원")&amp;" "&amp;INDEX(코드표!$G$2:$G$101,MATCH(TRIM(RIGHT(SUBSTITUTE(TRIM(G81&amp;"")," ",REPT(" ",60)),60)),코드표!$F$2:$F$101,0)),"⚠"&amp;TRIM(G81&amp;""))),"⚠"&amp;TRIM(G81&amp;""))</f>
        <v/>
      </c>
      <c r="P81" s="10">
        <f>IFERROR(IF(TRIM(H81&amp;"")="","",IF(AND(ISNUMBER(FIND(" ",TRIM(H81&amp;""))),COUNTIF(코드표!$A$2:$A$21,IF(RIGHT(LEFT(TRIM(H81&amp;""),FIND(" ",TRIM(H81&amp;""))-1),2)="병원",LEFT(TRIM(H81&amp;""),FIND(" ",TRIM(H81&amp;""))-1),LEFT(TRIM(H81&amp;""),FIND(" ",TRIM(H81&amp;""))-1)&amp;"병원"))&gt;0,ISNUMBER(MATCH(TRIM(RIGHT(SUBSTITUTE(TRIM(H81&amp;"")," ",REPT(" ",60)),60)),코드표!$F$2:$F$101,0))),IF(RIGHT(LEFT(TRIM(H81&amp;""),FIND(" ",TRIM(H81&amp;""))-1),2)="병원",LEFT(TRIM(H81&amp;""),FIND(" ",TRIM(H81&amp;""))-1),LEFT(TRIM(H81&amp;""),FIND(" ",TRIM(H81&amp;""))-1)&amp;"병원")&amp;" "&amp;INDEX(코드표!$G$2:$G$101,MATCH(TRIM(RIGHT(SUBSTITUTE(TRIM(H81&amp;"")," ",REPT(" ",60)),60)),코드표!$F$2:$F$101,0)),"⚠"&amp;TRIM(H81&amp;""))),"⚠"&amp;TRIM(H81&amp;""))</f>
        <v/>
      </c>
      <c r="Q81" s="10">
        <f>IFERROR(IF(TRIM(I81&amp;"")="","",IF(AND(ISNUMBER(FIND(" ",TRIM(I81&amp;""))),COUNTIF(코드표!$A$2:$A$21,IF(RIGHT(LEFT(TRIM(I81&amp;""),FIND(" ",TRIM(I81&amp;""))-1),2)="병원",LEFT(TRIM(I81&amp;""),FIND(" ",TRIM(I81&amp;""))-1),LEFT(TRIM(I81&amp;""),FIND(" ",TRIM(I81&amp;""))-1)&amp;"병원"))&gt;0,ISNUMBER(MATCH(TRIM(RIGHT(SUBSTITUTE(TRIM(I81&amp;"")," ",REPT(" ",60)),60)),코드표!$F$2:$F$101,0))),IF(RIGHT(LEFT(TRIM(I81&amp;""),FIND(" ",TRIM(I81&amp;""))-1),2)="병원",LEFT(TRIM(I81&amp;""),FIND(" ",TRIM(I81&amp;""))-1),LEFT(TRIM(I81&amp;""),FIND(" ",TRIM(I81&amp;""))-1)&amp;"병원")&amp;" "&amp;INDEX(코드표!$G$2:$G$101,MATCH(TRIM(RIGHT(SUBSTITUTE(TRIM(I81&amp;"")," ",REPT(" ",60)),60)),코드표!$F$2:$F$101,0)),"⚠"&amp;TRIM(I81&amp;""))),"⚠"&amp;TRIM(I81&amp;""))</f>
        <v/>
      </c>
      <c r="R81" s="10">
        <f>IFERROR(IF(TRIM(J81&amp;"")="","",IF(AND(ISNUMBER(FIND(" ",TRIM(J81&amp;""))),COUNTIF(코드표!$A$2:$A$21,IF(RIGHT(LEFT(TRIM(J81&amp;""),FIND(" ",TRIM(J81&amp;""))-1),2)="병원",LEFT(TRIM(J81&amp;""),FIND(" ",TRIM(J81&amp;""))-1),LEFT(TRIM(J81&amp;""),FIND(" ",TRIM(J81&amp;""))-1)&amp;"병원"))&gt;0,ISNUMBER(MATCH(TRIM(RIGHT(SUBSTITUTE(TRIM(J81&amp;"")," ",REPT(" ",60)),60)),코드표!$F$2:$F$101,0))),IF(RIGHT(LEFT(TRIM(J81&amp;""),FIND(" ",TRIM(J81&amp;""))-1),2)="병원",LEFT(TRIM(J81&amp;""),FIND(" ",TRIM(J81&amp;""))-1),LEFT(TRIM(J81&amp;""),FIND(" ",TRIM(J81&amp;""))-1)&amp;"병원")&amp;" "&amp;INDEX(코드표!$G$2:$G$101,MATCH(TRIM(RIGHT(SUBSTITUTE(TRIM(J81&amp;"")," ",REPT(" ",60)),60)),코드표!$F$2:$F$101,0)),"⚠"&amp;TRIM(J81&amp;""))),"⚠"&amp;TRIM(J81&amp;""))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",TRIM(E82&amp;""))),COUNTIF(코드표!$A$2:$A$21,IF(RIGHT(LEFT(TRIM(E82&amp;""),FIND(" ",TRIM(E82&amp;""))-1),2)="병원",LEFT(TRIM(E82&amp;""),FIND(" ",TRIM(E82&amp;""))-1),LEFT(TRIM(E82&amp;""),FIND(" ",TRIM(E82&amp;""))-1)&amp;"병원"))&gt;0,ISNUMBER(MATCH(TRIM(RIGHT(SUBSTITUTE(TRIM(E82&amp;"")," ",REPT(" ",60)),60)),코드표!$F$2:$F$101,0))),IF(RIGHT(LEFT(TRIM(E82&amp;""),FIND(" ",TRIM(E82&amp;""))-1),2)="병원",LEFT(TRIM(E82&amp;""),FIND(" ",TRIM(E82&amp;""))-1),LEFT(TRIM(E82&amp;""),FIND(" ",TRIM(E82&amp;""))-1)&amp;"병원")&amp;" "&amp;INDEX(코드표!$G$2:$G$101,MATCH(TRIM(RIGHT(SUBSTITUTE(TRIM(E82&amp;"")," ",REPT(" ",60)),60)),코드표!$F$2:$F$101,0)),"⚠"&amp;TRIM(E82&amp;""))),"⚠"&amp;TRIM(E82&amp;""))</f>
        <v/>
      </c>
      <c r="N82" s="10">
        <f>IFERROR(IF(TRIM(F82&amp;"")="","",IF(AND(ISNUMBER(FIND(" ",TRIM(F82&amp;""))),COUNTIF(코드표!$A$2:$A$21,IF(RIGHT(LEFT(TRIM(F82&amp;""),FIND(" ",TRIM(F82&amp;""))-1),2)="병원",LEFT(TRIM(F82&amp;""),FIND(" ",TRIM(F82&amp;""))-1),LEFT(TRIM(F82&amp;""),FIND(" ",TRIM(F82&amp;""))-1)&amp;"병원"))&gt;0,ISNUMBER(MATCH(TRIM(RIGHT(SUBSTITUTE(TRIM(F82&amp;"")," ",REPT(" ",60)),60)),코드표!$F$2:$F$101,0))),IF(RIGHT(LEFT(TRIM(F82&amp;""),FIND(" ",TRIM(F82&amp;""))-1),2)="병원",LEFT(TRIM(F82&amp;""),FIND(" ",TRIM(F82&amp;""))-1),LEFT(TRIM(F82&amp;""),FIND(" ",TRIM(F82&amp;""))-1)&amp;"병원")&amp;" "&amp;INDEX(코드표!$G$2:$G$101,MATCH(TRIM(RIGHT(SUBSTITUTE(TRIM(F82&amp;"")," ",REPT(" ",60)),60)),코드표!$F$2:$F$101,0)),"⚠"&amp;TRIM(F82&amp;""))),"⚠"&amp;TRIM(F82&amp;""))</f>
        <v/>
      </c>
      <c r="O82" s="10">
        <f>IFERROR(IF(TRIM(G82&amp;"")="","",IF(AND(ISNUMBER(FIND(" ",TRIM(G82&amp;""))),COUNTIF(코드표!$A$2:$A$21,IF(RIGHT(LEFT(TRIM(G82&amp;""),FIND(" ",TRIM(G82&amp;""))-1),2)="병원",LEFT(TRIM(G82&amp;""),FIND(" ",TRIM(G82&amp;""))-1),LEFT(TRIM(G82&amp;""),FIND(" ",TRIM(G82&amp;""))-1)&amp;"병원"))&gt;0,ISNUMBER(MATCH(TRIM(RIGHT(SUBSTITUTE(TRIM(G82&amp;"")," ",REPT(" ",60)),60)),코드표!$F$2:$F$101,0))),IF(RIGHT(LEFT(TRIM(G82&amp;""),FIND(" ",TRIM(G82&amp;""))-1),2)="병원",LEFT(TRIM(G82&amp;""),FIND(" ",TRIM(G82&amp;""))-1),LEFT(TRIM(G82&amp;""),FIND(" ",TRIM(G82&amp;""))-1)&amp;"병원")&amp;" "&amp;INDEX(코드표!$G$2:$G$101,MATCH(TRIM(RIGHT(SUBSTITUTE(TRIM(G82&amp;"")," ",REPT(" ",60)),60)),코드표!$F$2:$F$101,0)),"⚠"&amp;TRIM(G82&amp;""))),"⚠"&amp;TRIM(G82&amp;""))</f>
        <v/>
      </c>
      <c r="P82" s="10">
        <f>IFERROR(IF(TRIM(H82&amp;"")="","",IF(AND(ISNUMBER(FIND(" ",TRIM(H82&amp;""))),COUNTIF(코드표!$A$2:$A$21,IF(RIGHT(LEFT(TRIM(H82&amp;""),FIND(" ",TRIM(H82&amp;""))-1),2)="병원",LEFT(TRIM(H82&amp;""),FIND(" ",TRIM(H82&amp;""))-1),LEFT(TRIM(H82&amp;""),FIND(" ",TRIM(H82&amp;""))-1)&amp;"병원"))&gt;0,ISNUMBER(MATCH(TRIM(RIGHT(SUBSTITUTE(TRIM(H82&amp;"")," ",REPT(" ",60)),60)),코드표!$F$2:$F$101,0))),IF(RIGHT(LEFT(TRIM(H82&amp;""),FIND(" ",TRIM(H82&amp;""))-1),2)="병원",LEFT(TRIM(H82&amp;""),FIND(" ",TRIM(H82&amp;""))-1),LEFT(TRIM(H82&amp;""),FIND(" ",TRIM(H82&amp;""))-1)&amp;"병원")&amp;" "&amp;INDEX(코드표!$G$2:$G$101,MATCH(TRIM(RIGHT(SUBSTITUTE(TRIM(H82&amp;"")," ",REPT(" ",60)),60)),코드표!$F$2:$F$101,0)),"⚠"&amp;TRIM(H82&amp;""))),"⚠"&amp;TRIM(H82&amp;""))</f>
        <v/>
      </c>
      <c r="Q82" s="10">
        <f>IFERROR(IF(TRIM(I82&amp;"")="","",IF(AND(ISNUMBER(FIND(" ",TRIM(I82&amp;""))),COUNTIF(코드표!$A$2:$A$21,IF(RIGHT(LEFT(TRIM(I82&amp;""),FIND(" ",TRIM(I82&amp;""))-1),2)="병원",LEFT(TRIM(I82&amp;""),FIND(" ",TRIM(I82&amp;""))-1),LEFT(TRIM(I82&amp;""),FIND(" ",TRIM(I82&amp;""))-1)&amp;"병원"))&gt;0,ISNUMBER(MATCH(TRIM(RIGHT(SUBSTITUTE(TRIM(I82&amp;"")," ",REPT(" ",60)),60)),코드표!$F$2:$F$101,0))),IF(RIGHT(LEFT(TRIM(I82&amp;""),FIND(" ",TRIM(I82&amp;""))-1),2)="병원",LEFT(TRIM(I82&amp;""),FIND(" ",TRIM(I82&amp;""))-1),LEFT(TRIM(I82&amp;""),FIND(" ",TRIM(I82&amp;""))-1)&amp;"병원")&amp;" "&amp;INDEX(코드표!$G$2:$G$101,MATCH(TRIM(RIGHT(SUBSTITUTE(TRIM(I82&amp;"")," ",REPT(" ",60)),60)),코드표!$F$2:$F$101,0)),"⚠"&amp;TRIM(I82&amp;""))),"⚠"&amp;TRIM(I82&amp;""))</f>
        <v/>
      </c>
      <c r="R82" s="10">
        <f>IFERROR(IF(TRIM(J82&amp;"")="","",IF(AND(ISNUMBER(FIND(" ",TRIM(J82&amp;""))),COUNTIF(코드표!$A$2:$A$21,IF(RIGHT(LEFT(TRIM(J82&amp;""),FIND(" ",TRIM(J82&amp;""))-1),2)="병원",LEFT(TRIM(J82&amp;""),FIND(" ",TRIM(J82&amp;""))-1),LEFT(TRIM(J82&amp;""),FIND(" ",TRIM(J82&amp;""))-1)&amp;"병원"))&gt;0,ISNUMBER(MATCH(TRIM(RIGHT(SUBSTITUTE(TRIM(J82&amp;"")," ",REPT(" ",60)),60)),코드표!$F$2:$F$101,0))),IF(RIGHT(LEFT(TRIM(J82&amp;""),FIND(" ",TRIM(J82&amp;""))-1),2)="병원",LEFT(TRIM(J82&amp;""),FIND(" ",TRIM(J82&amp;""))-1),LEFT(TRIM(J82&amp;""),FIND(" ",TRIM(J82&amp;""))-1)&amp;"병원")&amp;" "&amp;INDEX(코드표!$G$2:$G$101,MATCH(TRIM(RIGHT(SUBSTITUTE(TRIM(J82&amp;"")," ",REPT(" ",60)),60)),코드표!$F$2:$F$101,0)),"⚠"&amp;TRIM(J82&amp;""))),"⚠"&amp;TRIM(J82&amp;""))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",TRIM(E83&amp;""))),COUNTIF(코드표!$A$2:$A$21,IF(RIGHT(LEFT(TRIM(E83&amp;""),FIND(" ",TRIM(E83&amp;""))-1),2)="병원",LEFT(TRIM(E83&amp;""),FIND(" ",TRIM(E83&amp;""))-1),LEFT(TRIM(E83&amp;""),FIND(" ",TRIM(E83&amp;""))-1)&amp;"병원"))&gt;0,ISNUMBER(MATCH(TRIM(RIGHT(SUBSTITUTE(TRIM(E83&amp;"")," ",REPT(" ",60)),60)),코드표!$F$2:$F$101,0))),IF(RIGHT(LEFT(TRIM(E83&amp;""),FIND(" ",TRIM(E83&amp;""))-1),2)="병원",LEFT(TRIM(E83&amp;""),FIND(" ",TRIM(E83&amp;""))-1),LEFT(TRIM(E83&amp;""),FIND(" ",TRIM(E83&amp;""))-1)&amp;"병원")&amp;" "&amp;INDEX(코드표!$G$2:$G$101,MATCH(TRIM(RIGHT(SUBSTITUTE(TRIM(E83&amp;"")," ",REPT(" ",60)),60)),코드표!$F$2:$F$101,0)),"⚠"&amp;TRIM(E83&amp;""))),"⚠"&amp;TRIM(E83&amp;""))</f>
        <v/>
      </c>
      <c r="N83" s="10">
        <f>IFERROR(IF(TRIM(F83&amp;"")="","",IF(AND(ISNUMBER(FIND(" ",TRIM(F83&amp;""))),COUNTIF(코드표!$A$2:$A$21,IF(RIGHT(LEFT(TRIM(F83&amp;""),FIND(" ",TRIM(F83&amp;""))-1),2)="병원",LEFT(TRIM(F83&amp;""),FIND(" ",TRIM(F83&amp;""))-1),LEFT(TRIM(F83&amp;""),FIND(" ",TRIM(F83&amp;""))-1)&amp;"병원"))&gt;0,ISNUMBER(MATCH(TRIM(RIGHT(SUBSTITUTE(TRIM(F83&amp;"")," ",REPT(" ",60)),60)),코드표!$F$2:$F$101,0))),IF(RIGHT(LEFT(TRIM(F83&amp;""),FIND(" ",TRIM(F83&amp;""))-1),2)="병원",LEFT(TRIM(F83&amp;""),FIND(" ",TRIM(F83&amp;""))-1),LEFT(TRIM(F83&amp;""),FIND(" ",TRIM(F83&amp;""))-1)&amp;"병원")&amp;" "&amp;INDEX(코드표!$G$2:$G$101,MATCH(TRIM(RIGHT(SUBSTITUTE(TRIM(F83&amp;"")," ",REPT(" ",60)),60)),코드표!$F$2:$F$101,0)),"⚠"&amp;TRIM(F83&amp;""))),"⚠"&amp;TRIM(F83&amp;""))</f>
        <v/>
      </c>
      <c r="O83" s="10">
        <f>IFERROR(IF(TRIM(G83&amp;"")="","",IF(AND(ISNUMBER(FIND(" ",TRIM(G83&amp;""))),COUNTIF(코드표!$A$2:$A$21,IF(RIGHT(LEFT(TRIM(G83&amp;""),FIND(" ",TRIM(G83&amp;""))-1),2)="병원",LEFT(TRIM(G83&amp;""),FIND(" ",TRIM(G83&amp;""))-1),LEFT(TRIM(G83&amp;""),FIND(" ",TRIM(G83&amp;""))-1)&amp;"병원"))&gt;0,ISNUMBER(MATCH(TRIM(RIGHT(SUBSTITUTE(TRIM(G83&amp;"")," ",REPT(" ",60)),60)),코드표!$F$2:$F$101,0))),IF(RIGHT(LEFT(TRIM(G83&amp;""),FIND(" ",TRIM(G83&amp;""))-1),2)="병원",LEFT(TRIM(G83&amp;""),FIND(" ",TRIM(G83&amp;""))-1),LEFT(TRIM(G83&amp;""),FIND(" ",TRIM(G83&amp;""))-1)&amp;"병원")&amp;" "&amp;INDEX(코드표!$G$2:$G$101,MATCH(TRIM(RIGHT(SUBSTITUTE(TRIM(G83&amp;"")," ",REPT(" ",60)),60)),코드표!$F$2:$F$101,0)),"⚠"&amp;TRIM(G83&amp;""))),"⚠"&amp;TRIM(G83&amp;""))</f>
        <v/>
      </c>
      <c r="P83" s="10">
        <f>IFERROR(IF(TRIM(H83&amp;"")="","",IF(AND(ISNUMBER(FIND(" ",TRIM(H83&amp;""))),COUNTIF(코드표!$A$2:$A$21,IF(RIGHT(LEFT(TRIM(H83&amp;""),FIND(" ",TRIM(H83&amp;""))-1),2)="병원",LEFT(TRIM(H83&amp;""),FIND(" ",TRIM(H83&amp;""))-1),LEFT(TRIM(H83&amp;""),FIND(" ",TRIM(H83&amp;""))-1)&amp;"병원"))&gt;0,ISNUMBER(MATCH(TRIM(RIGHT(SUBSTITUTE(TRIM(H83&amp;"")," ",REPT(" ",60)),60)),코드표!$F$2:$F$101,0))),IF(RIGHT(LEFT(TRIM(H83&amp;""),FIND(" ",TRIM(H83&amp;""))-1),2)="병원",LEFT(TRIM(H83&amp;""),FIND(" ",TRIM(H83&amp;""))-1),LEFT(TRIM(H83&amp;""),FIND(" ",TRIM(H83&amp;""))-1)&amp;"병원")&amp;" "&amp;INDEX(코드표!$G$2:$G$101,MATCH(TRIM(RIGHT(SUBSTITUTE(TRIM(H83&amp;"")," ",REPT(" ",60)),60)),코드표!$F$2:$F$101,0)),"⚠"&amp;TRIM(H83&amp;""))),"⚠"&amp;TRIM(H83&amp;""))</f>
        <v/>
      </c>
      <c r="Q83" s="10">
        <f>IFERROR(IF(TRIM(I83&amp;"")="","",IF(AND(ISNUMBER(FIND(" ",TRIM(I83&amp;""))),COUNTIF(코드표!$A$2:$A$21,IF(RIGHT(LEFT(TRIM(I83&amp;""),FIND(" ",TRIM(I83&amp;""))-1),2)="병원",LEFT(TRIM(I83&amp;""),FIND(" ",TRIM(I83&amp;""))-1),LEFT(TRIM(I83&amp;""),FIND(" ",TRIM(I83&amp;""))-1)&amp;"병원"))&gt;0,ISNUMBER(MATCH(TRIM(RIGHT(SUBSTITUTE(TRIM(I83&amp;"")," ",REPT(" ",60)),60)),코드표!$F$2:$F$101,0))),IF(RIGHT(LEFT(TRIM(I83&amp;""),FIND(" ",TRIM(I83&amp;""))-1),2)="병원",LEFT(TRIM(I83&amp;""),FIND(" ",TRIM(I83&amp;""))-1),LEFT(TRIM(I83&amp;""),FIND(" ",TRIM(I83&amp;""))-1)&amp;"병원")&amp;" "&amp;INDEX(코드표!$G$2:$G$101,MATCH(TRIM(RIGHT(SUBSTITUTE(TRIM(I83&amp;"")," ",REPT(" ",60)),60)),코드표!$F$2:$F$101,0)),"⚠"&amp;TRIM(I83&amp;""))),"⚠"&amp;TRIM(I83&amp;""))</f>
        <v/>
      </c>
      <c r="R83" s="10">
        <f>IFERROR(IF(TRIM(J83&amp;"")="","",IF(AND(ISNUMBER(FIND(" ",TRIM(J83&amp;""))),COUNTIF(코드표!$A$2:$A$21,IF(RIGHT(LEFT(TRIM(J83&amp;""),FIND(" ",TRIM(J83&amp;""))-1),2)="병원",LEFT(TRIM(J83&amp;""),FIND(" ",TRIM(J83&amp;""))-1),LEFT(TRIM(J83&amp;""),FIND(" ",TRIM(J83&amp;""))-1)&amp;"병원"))&gt;0,ISNUMBER(MATCH(TRIM(RIGHT(SUBSTITUTE(TRIM(J83&amp;"")," ",REPT(" ",60)),60)),코드표!$F$2:$F$101,0))),IF(RIGHT(LEFT(TRIM(J83&amp;""),FIND(" ",TRIM(J83&amp;""))-1),2)="병원",LEFT(TRIM(J83&amp;""),FIND(" ",TRIM(J83&amp;""))-1),LEFT(TRIM(J83&amp;""),FIND(" ",TRIM(J83&amp;""))-1)&amp;"병원")&amp;" "&amp;INDEX(코드표!$G$2:$G$101,MATCH(TRIM(RIGHT(SUBSTITUTE(TRIM(J83&amp;"")," ",REPT(" ",60)),60)),코드표!$F$2:$F$101,0)),"⚠"&amp;TRIM(J83&amp;""))),"⚠"&amp;TRIM(J83&amp;""))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",TRIM(E84&amp;""))),COUNTIF(코드표!$A$2:$A$21,IF(RIGHT(LEFT(TRIM(E84&amp;""),FIND(" ",TRIM(E84&amp;""))-1),2)="병원",LEFT(TRIM(E84&amp;""),FIND(" ",TRIM(E84&amp;""))-1),LEFT(TRIM(E84&amp;""),FIND(" ",TRIM(E84&amp;""))-1)&amp;"병원"))&gt;0,ISNUMBER(MATCH(TRIM(RIGHT(SUBSTITUTE(TRIM(E84&amp;"")," ",REPT(" ",60)),60)),코드표!$F$2:$F$101,0))),IF(RIGHT(LEFT(TRIM(E84&amp;""),FIND(" ",TRIM(E84&amp;""))-1),2)="병원",LEFT(TRIM(E84&amp;""),FIND(" ",TRIM(E84&amp;""))-1),LEFT(TRIM(E84&amp;""),FIND(" ",TRIM(E84&amp;""))-1)&amp;"병원")&amp;" "&amp;INDEX(코드표!$G$2:$G$101,MATCH(TRIM(RIGHT(SUBSTITUTE(TRIM(E84&amp;"")," ",REPT(" ",60)),60)),코드표!$F$2:$F$101,0)),"⚠"&amp;TRIM(E84&amp;""))),"⚠"&amp;TRIM(E84&amp;""))</f>
        <v/>
      </c>
      <c r="N84" s="10">
        <f>IFERROR(IF(TRIM(F84&amp;"")="","",IF(AND(ISNUMBER(FIND(" ",TRIM(F84&amp;""))),COUNTIF(코드표!$A$2:$A$21,IF(RIGHT(LEFT(TRIM(F84&amp;""),FIND(" ",TRIM(F84&amp;""))-1),2)="병원",LEFT(TRIM(F84&amp;""),FIND(" ",TRIM(F84&amp;""))-1),LEFT(TRIM(F84&amp;""),FIND(" ",TRIM(F84&amp;""))-1)&amp;"병원"))&gt;0,ISNUMBER(MATCH(TRIM(RIGHT(SUBSTITUTE(TRIM(F84&amp;"")," ",REPT(" ",60)),60)),코드표!$F$2:$F$101,0))),IF(RIGHT(LEFT(TRIM(F84&amp;""),FIND(" ",TRIM(F84&amp;""))-1),2)="병원",LEFT(TRIM(F84&amp;""),FIND(" ",TRIM(F84&amp;""))-1),LEFT(TRIM(F84&amp;""),FIND(" ",TRIM(F84&amp;""))-1)&amp;"병원")&amp;" "&amp;INDEX(코드표!$G$2:$G$101,MATCH(TRIM(RIGHT(SUBSTITUTE(TRIM(F84&amp;"")," ",REPT(" ",60)),60)),코드표!$F$2:$F$101,0)),"⚠"&amp;TRIM(F84&amp;""))),"⚠"&amp;TRIM(F84&amp;""))</f>
        <v/>
      </c>
      <c r="O84" s="10">
        <f>IFERROR(IF(TRIM(G84&amp;"")="","",IF(AND(ISNUMBER(FIND(" ",TRIM(G84&amp;""))),COUNTIF(코드표!$A$2:$A$21,IF(RIGHT(LEFT(TRIM(G84&amp;""),FIND(" ",TRIM(G84&amp;""))-1),2)="병원",LEFT(TRIM(G84&amp;""),FIND(" ",TRIM(G84&amp;""))-1),LEFT(TRIM(G84&amp;""),FIND(" ",TRIM(G84&amp;""))-1)&amp;"병원"))&gt;0,ISNUMBER(MATCH(TRIM(RIGHT(SUBSTITUTE(TRIM(G84&amp;"")," ",REPT(" ",60)),60)),코드표!$F$2:$F$101,0))),IF(RIGHT(LEFT(TRIM(G84&amp;""),FIND(" ",TRIM(G84&amp;""))-1),2)="병원",LEFT(TRIM(G84&amp;""),FIND(" ",TRIM(G84&amp;""))-1),LEFT(TRIM(G84&amp;""),FIND(" ",TRIM(G84&amp;""))-1)&amp;"병원")&amp;" "&amp;INDEX(코드표!$G$2:$G$101,MATCH(TRIM(RIGHT(SUBSTITUTE(TRIM(G84&amp;"")," ",REPT(" ",60)),60)),코드표!$F$2:$F$101,0)),"⚠"&amp;TRIM(G84&amp;""))),"⚠"&amp;TRIM(G84&amp;""))</f>
        <v/>
      </c>
      <c r="P84" s="10">
        <f>IFERROR(IF(TRIM(H84&amp;"")="","",IF(AND(ISNUMBER(FIND(" ",TRIM(H84&amp;""))),COUNTIF(코드표!$A$2:$A$21,IF(RIGHT(LEFT(TRIM(H84&amp;""),FIND(" ",TRIM(H84&amp;""))-1),2)="병원",LEFT(TRIM(H84&amp;""),FIND(" ",TRIM(H84&amp;""))-1),LEFT(TRIM(H84&amp;""),FIND(" ",TRIM(H84&amp;""))-1)&amp;"병원"))&gt;0,ISNUMBER(MATCH(TRIM(RIGHT(SUBSTITUTE(TRIM(H84&amp;"")," ",REPT(" ",60)),60)),코드표!$F$2:$F$101,0))),IF(RIGHT(LEFT(TRIM(H84&amp;""),FIND(" ",TRIM(H84&amp;""))-1),2)="병원",LEFT(TRIM(H84&amp;""),FIND(" ",TRIM(H84&amp;""))-1),LEFT(TRIM(H84&amp;""),FIND(" ",TRIM(H84&amp;""))-1)&amp;"병원")&amp;" "&amp;INDEX(코드표!$G$2:$G$101,MATCH(TRIM(RIGHT(SUBSTITUTE(TRIM(H84&amp;"")," ",REPT(" ",60)),60)),코드표!$F$2:$F$101,0)),"⚠"&amp;TRIM(H84&amp;""))),"⚠"&amp;TRIM(H84&amp;""))</f>
        <v/>
      </c>
      <c r="Q84" s="10">
        <f>IFERROR(IF(TRIM(I84&amp;"")="","",IF(AND(ISNUMBER(FIND(" ",TRIM(I84&amp;""))),COUNTIF(코드표!$A$2:$A$21,IF(RIGHT(LEFT(TRIM(I84&amp;""),FIND(" ",TRIM(I84&amp;""))-1),2)="병원",LEFT(TRIM(I84&amp;""),FIND(" ",TRIM(I84&amp;""))-1),LEFT(TRIM(I84&amp;""),FIND(" ",TRIM(I84&amp;""))-1)&amp;"병원"))&gt;0,ISNUMBER(MATCH(TRIM(RIGHT(SUBSTITUTE(TRIM(I84&amp;"")," ",REPT(" ",60)),60)),코드표!$F$2:$F$101,0))),IF(RIGHT(LEFT(TRIM(I84&amp;""),FIND(" ",TRIM(I84&amp;""))-1),2)="병원",LEFT(TRIM(I84&amp;""),FIND(" ",TRIM(I84&amp;""))-1),LEFT(TRIM(I84&amp;""),FIND(" ",TRIM(I84&amp;""))-1)&amp;"병원")&amp;" "&amp;INDEX(코드표!$G$2:$G$101,MATCH(TRIM(RIGHT(SUBSTITUTE(TRIM(I84&amp;"")," ",REPT(" ",60)),60)),코드표!$F$2:$F$101,0)),"⚠"&amp;TRIM(I84&amp;""))),"⚠"&amp;TRIM(I84&amp;""))</f>
        <v/>
      </c>
      <c r="R84" s="10">
        <f>IFERROR(IF(TRIM(J84&amp;"")="","",IF(AND(ISNUMBER(FIND(" ",TRIM(J84&amp;""))),COUNTIF(코드표!$A$2:$A$21,IF(RIGHT(LEFT(TRIM(J84&amp;""),FIND(" ",TRIM(J84&amp;""))-1),2)="병원",LEFT(TRIM(J84&amp;""),FIND(" ",TRIM(J84&amp;""))-1),LEFT(TRIM(J84&amp;""),FIND(" ",TRIM(J84&amp;""))-1)&amp;"병원"))&gt;0,ISNUMBER(MATCH(TRIM(RIGHT(SUBSTITUTE(TRIM(J84&amp;"")," ",REPT(" ",60)),60)),코드표!$F$2:$F$101,0))),IF(RIGHT(LEFT(TRIM(J84&amp;""),FIND(" ",TRIM(J84&amp;""))-1),2)="병원",LEFT(TRIM(J84&amp;""),FIND(" ",TRIM(J84&amp;""))-1),LEFT(TRIM(J84&amp;""),FIND(" ",TRIM(J84&amp;""))-1)&amp;"병원")&amp;" "&amp;INDEX(코드표!$G$2:$G$101,MATCH(TRIM(RIGHT(SUBSTITUTE(TRIM(J84&amp;"")," ",REPT(" ",60)),60)),코드표!$F$2:$F$101,0)),"⚠"&amp;TRIM(J84&amp;""))),"⚠"&amp;TRIM(J84&amp;""))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",TRIM(E85&amp;""))),COUNTIF(코드표!$A$2:$A$21,IF(RIGHT(LEFT(TRIM(E85&amp;""),FIND(" ",TRIM(E85&amp;""))-1),2)="병원",LEFT(TRIM(E85&amp;""),FIND(" ",TRIM(E85&amp;""))-1),LEFT(TRIM(E85&amp;""),FIND(" ",TRIM(E85&amp;""))-1)&amp;"병원"))&gt;0,ISNUMBER(MATCH(TRIM(RIGHT(SUBSTITUTE(TRIM(E85&amp;"")," ",REPT(" ",60)),60)),코드표!$F$2:$F$101,0))),IF(RIGHT(LEFT(TRIM(E85&amp;""),FIND(" ",TRIM(E85&amp;""))-1),2)="병원",LEFT(TRIM(E85&amp;""),FIND(" ",TRIM(E85&amp;""))-1),LEFT(TRIM(E85&amp;""),FIND(" ",TRIM(E85&amp;""))-1)&amp;"병원")&amp;" "&amp;INDEX(코드표!$G$2:$G$101,MATCH(TRIM(RIGHT(SUBSTITUTE(TRIM(E85&amp;"")," ",REPT(" ",60)),60)),코드표!$F$2:$F$101,0)),"⚠"&amp;TRIM(E85&amp;""))),"⚠"&amp;TRIM(E85&amp;""))</f>
        <v/>
      </c>
      <c r="N85" s="10">
        <f>IFERROR(IF(TRIM(F85&amp;"")="","",IF(AND(ISNUMBER(FIND(" ",TRIM(F85&amp;""))),COUNTIF(코드표!$A$2:$A$21,IF(RIGHT(LEFT(TRIM(F85&amp;""),FIND(" ",TRIM(F85&amp;""))-1),2)="병원",LEFT(TRIM(F85&amp;""),FIND(" ",TRIM(F85&amp;""))-1),LEFT(TRIM(F85&amp;""),FIND(" ",TRIM(F85&amp;""))-1)&amp;"병원"))&gt;0,ISNUMBER(MATCH(TRIM(RIGHT(SUBSTITUTE(TRIM(F85&amp;"")," ",REPT(" ",60)),60)),코드표!$F$2:$F$101,0))),IF(RIGHT(LEFT(TRIM(F85&amp;""),FIND(" ",TRIM(F85&amp;""))-1),2)="병원",LEFT(TRIM(F85&amp;""),FIND(" ",TRIM(F85&amp;""))-1),LEFT(TRIM(F85&amp;""),FIND(" ",TRIM(F85&amp;""))-1)&amp;"병원")&amp;" "&amp;INDEX(코드표!$G$2:$G$101,MATCH(TRIM(RIGHT(SUBSTITUTE(TRIM(F85&amp;"")," ",REPT(" ",60)),60)),코드표!$F$2:$F$101,0)),"⚠"&amp;TRIM(F85&amp;""))),"⚠"&amp;TRIM(F85&amp;""))</f>
        <v/>
      </c>
      <c r="O85" s="10">
        <f>IFERROR(IF(TRIM(G85&amp;"")="","",IF(AND(ISNUMBER(FIND(" ",TRIM(G85&amp;""))),COUNTIF(코드표!$A$2:$A$21,IF(RIGHT(LEFT(TRIM(G85&amp;""),FIND(" ",TRIM(G85&amp;""))-1),2)="병원",LEFT(TRIM(G85&amp;""),FIND(" ",TRIM(G85&amp;""))-1),LEFT(TRIM(G85&amp;""),FIND(" ",TRIM(G85&amp;""))-1)&amp;"병원"))&gt;0,ISNUMBER(MATCH(TRIM(RIGHT(SUBSTITUTE(TRIM(G85&amp;"")," ",REPT(" ",60)),60)),코드표!$F$2:$F$101,0))),IF(RIGHT(LEFT(TRIM(G85&amp;""),FIND(" ",TRIM(G85&amp;""))-1),2)="병원",LEFT(TRIM(G85&amp;""),FIND(" ",TRIM(G85&amp;""))-1),LEFT(TRIM(G85&amp;""),FIND(" ",TRIM(G85&amp;""))-1)&amp;"병원")&amp;" "&amp;INDEX(코드표!$G$2:$G$101,MATCH(TRIM(RIGHT(SUBSTITUTE(TRIM(G85&amp;"")," ",REPT(" ",60)),60)),코드표!$F$2:$F$101,0)),"⚠"&amp;TRIM(G85&amp;""))),"⚠"&amp;TRIM(G85&amp;""))</f>
        <v/>
      </c>
      <c r="P85" s="10">
        <f>IFERROR(IF(TRIM(H85&amp;"")="","",IF(AND(ISNUMBER(FIND(" ",TRIM(H85&amp;""))),COUNTIF(코드표!$A$2:$A$21,IF(RIGHT(LEFT(TRIM(H85&amp;""),FIND(" ",TRIM(H85&amp;""))-1),2)="병원",LEFT(TRIM(H85&amp;""),FIND(" ",TRIM(H85&amp;""))-1),LEFT(TRIM(H85&amp;""),FIND(" ",TRIM(H85&amp;""))-1)&amp;"병원"))&gt;0,ISNUMBER(MATCH(TRIM(RIGHT(SUBSTITUTE(TRIM(H85&amp;"")," ",REPT(" ",60)),60)),코드표!$F$2:$F$101,0))),IF(RIGHT(LEFT(TRIM(H85&amp;""),FIND(" ",TRIM(H85&amp;""))-1),2)="병원",LEFT(TRIM(H85&amp;""),FIND(" ",TRIM(H85&amp;""))-1),LEFT(TRIM(H85&amp;""),FIND(" ",TRIM(H85&amp;""))-1)&amp;"병원")&amp;" "&amp;INDEX(코드표!$G$2:$G$101,MATCH(TRIM(RIGHT(SUBSTITUTE(TRIM(H85&amp;"")," ",REPT(" ",60)),60)),코드표!$F$2:$F$101,0)),"⚠"&amp;TRIM(H85&amp;""))),"⚠"&amp;TRIM(H85&amp;""))</f>
        <v/>
      </c>
      <c r="Q85" s="10">
        <f>IFERROR(IF(TRIM(I85&amp;"")="","",IF(AND(ISNUMBER(FIND(" ",TRIM(I85&amp;""))),COUNTIF(코드표!$A$2:$A$21,IF(RIGHT(LEFT(TRIM(I85&amp;""),FIND(" ",TRIM(I85&amp;""))-1),2)="병원",LEFT(TRIM(I85&amp;""),FIND(" ",TRIM(I85&amp;""))-1),LEFT(TRIM(I85&amp;""),FIND(" ",TRIM(I85&amp;""))-1)&amp;"병원"))&gt;0,ISNUMBER(MATCH(TRIM(RIGHT(SUBSTITUTE(TRIM(I85&amp;"")," ",REPT(" ",60)),60)),코드표!$F$2:$F$101,0))),IF(RIGHT(LEFT(TRIM(I85&amp;""),FIND(" ",TRIM(I85&amp;""))-1),2)="병원",LEFT(TRIM(I85&amp;""),FIND(" ",TRIM(I85&amp;""))-1),LEFT(TRIM(I85&amp;""),FIND(" ",TRIM(I85&amp;""))-1)&amp;"병원")&amp;" "&amp;INDEX(코드표!$G$2:$G$101,MATCH(TRIM(RIGHT(SUBSTITUTE(TRIM(I85&amp;"")," ",REPT(" ",60)),60)),코드표!$F$2:$F$101,0)),"⚠"&amp;TRIM(I85&amp;""))),"⚠"&amp;TRIM(I85&amp;""))</f>
        <v/>
      </c>
      <c r="R85" s="10">
        <f>IFERROR(IF(TRIM(J85&amp;"")="","",IF(AND(ISNUMBER(FIND(" ",TRIM(J85&amp;""))),COUNTIF(코드표!$A$2:$A$21,IF(RIGHT(LEFT(TRIM(J85&amp;""),FIND(" ",TRIM(J85&amp;""))-1),2)="병원",LEFT(TRIM(J85&amp;""),FIND(" ",TRIM(J85&amp;""))-1),LEFT(TRIM(J85&amp;""),FIND(" ",TRIM(J85&amp;""))-1)&amp;"병원"))&gt;0,ISNUMBER(MATCH(TRIM(RIGHT(SUBSTITUTE(TRIM(J85&amp;"")," ",REPT(" ",60)),60)),코드표!$F$2:$F$101,0))),IF(RIGHT(LEFT(TRIM(J85&amp;""),FIND(" ",TRIM(J85&amp;""))-1),2)="병원",LEFT(TRIM(J85&amp;""),FIND(" ",TRIM(J85&amp;""))-1),LEFT(TRIM(J85&amp;""),FIND(" ",TRIM(J85&amp;""))-1)&amp;"병원")&amp;" "&amp;INDEX(코드표!$G$2:$G$101,MATCH(TRIM(RIGHT(SUBSTITUTE(TRIM(J85&amp;"")," ",REPT(" ",60)),60)),코드표!$F$2:$F$101,0)),"⚠"&amp;TRIM(J85&amp;""))),"⚠"&amp;TRIM(J85&amp;""))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",TRIM(E86&amp;""))),COUNTIF(코드표!$A$2:$A$21,IF(RIGHT(LEFT(TRIM(E86&amp;""),FIND(" ",TRIM(E86&amp;""))-1),2)="병원",LEFT(TRIM(E86&amp;""),FIND(" ",TRIM(E86&amp;""))-1),LEFT(TRIM(E86&amp;""),FIND(" ",TRIM(E86&amp;""))-1)&amp;"병원"))&gt;0,ISNUMBER(MATCH(TRIM(RIGHT(SUBSTITUTE(TRIM(E86&amp;"")," ",REPT(" ",60)),60)),코드표!$F$2:$F$101,0))),IF(RIGHT(LEFT(TRIM(E86&amp;""),FIND(" ",TRIM(E86&amp;""))-1),2)="병원",LEFT(TRIM(E86&amp;""),FIND(" ",TRIM(E86&amp;""))-1),LEFT(TRIM(E86&amp;""),FIND(" ",TRIM(E86&amp;""))-1)&amp;"병원")&amp;" "&amp;INDEX(코드표!$G$2:$G$101,MATCH(TRIM(RIGHT(SUBSTITUTE(TRIM(E86&amp;"")," ",REPT(" ",60)),60)),코드표!$F$2:$F$101,0)),"⚠"&amp;TRIM(E86&amp;""))),"⚠"&amp;TRIM(E86&amp;""))</f>
        <v/>
      </c>
      <c r="N86" s="10">
        <f>IFERROR(IF(TRIM(F86&amp;"")="","",IF(AND(ISNUMBER(FIND(" ",TRIM(F86&amp;""))),COUNTIF(코드표!$A$2:$A$21,IF(RIGHT(LEFT(TRIM(F86&amp;""),FIND(" ",TRIM(F86&amp;""))-1),2)="병원",LEFT(TRIM(F86&amp;""),FIND(" ",TRIM(F86&amp;""))-1),LEFT(TRIM(F86&amp;""),FIND(" ",TRIM(F86&amp;""))-1)&amp;"병원"))&gt;0,ISNUMBER(MATCH(TRIM(RIGHT(SUBSTITUTE(TRIM(F86&amp;"")," ",REPT(" ",60)),60)),코드표!$F$2:$F$101,0))),IF(RIGHT(LEFT(TRIM(F86&amp;""),FIND(" ",TRIM(F86&amp;""))-1),2)="병원",LEFT(TRIM(F86&amp;""),FIND(" ",TRIM(F86&amp;""))-1),LEFT(TRIM(F86&amp;""),FIND(" ",TRIM(F86&amp;""))-1)&amp;"병원")&amp;" "&amp;INDEX(코드표!$G$2:$G$101,MATCH(TRIM(RIGHT(SUBSTITUTE(TRIM(F86&amp;"")," ",REPT(" ",60)),60)),코드표!$F$2:$F$101,0)),"⚠"&amp;TRIM(F86&amp;""))),"⚠"&amp;TRIM(F86&amp;""))</f>
        <v/>
      </c>
      <c r="O86" s="10">
        <f>IFERROR(IF(TRIM(G86&amp;"")="","",IF(AND(ISNUMBER(FIND(" ",TRIM(G86&amp;""))),COUNTIF(코드표!$A$2:$A$21,IF(RIGHT(LEFT(TRIM(G86&amp;""),FIND(" ",TRIM(G86&amp;""))-1),2)="병원",LEFT(TRIM(G86&amp;""),FIND(" ",TRIM(G86&amp;""))-1),LEFT(TRIM(G86&amp;""),FIND(" ",TRIM(G86&amp;""))-1)&amp;"병원"))&gt;0,ISNUMBER(MATCH(TRIM(RIGHT(SUBSTITUTE(TRIM(G86&amp;"")," ",REPT(" ",60)),60)),코드표!$F$2:$F$101,0))),IF(RIGHT(LEFT(TRIM(G86&amp;""),FIND(" ",TRIM(G86&amp;""))-1),2)="병원",LEFT(TRIM(G86&amp;""),FIND(" ",TRIM(G86&amp;""))-1),LEFT(TRIM(G86&amp;""),FIND(" ",TRIM(G86&amp;""))-1)&amp;"병원")&amp;" "&amp;INDEX(코드표!$G$2:$G$101,MATCH(TRIM(RIGHT(SUBSTITUTE(TRIM(G86&amp;"")," ",REPT(" ",60)),60)),코드표!$F$2:$F$101,0)),"⚠"&amp;TRIM(G86&amp;""))),"⚠"&amp;TRIM(G86&amp;""))</f>
        <v/>
      </c>
      <c r="P86" s="10">
        <f>IFERROR(IF(TRIM(H86&amp;"")="","",IF(AND(ISNUMBER(FIND(" ",TRIM(H86&amp;""))),COUNTIF(코드표!$A$2:$A$21,IF(RIGHT(LEFT(TRIM(H86&amp;""),FIND(" ",TRIM(H86&amp;""))-1),2)="병원",LEFT(TRIM(H86&amp;""),FIND(" ",TRIM(H86&amp;""))-1),LEFT(TRIM(H86&amp;""),FIND(" ",TRIM(H86&amp;""))-1)&amp;"병원"))&gt;0,ISNUMBER(MATCH(TRIM(RIGHT(SUBSTITUTE(TRIM(H86&amp;"")," ",REPT(" ",60)),60)),코드표!$F$2:$F$101,0))),IF(RIGHT(LEFT(TRIM(H86&amp;""),FIND(" ",TRIM(H86&amp;""))-1),2)="병원",LEFT(TRIM(H86&amp;""),FIND(" ",TRIM(H86&amp;""))-1),LEFT(TRIM(H86&amp;""),FIND(" ",TRIM(H86&amp;""))-1)&amp;"병원")&amp;" "&amp;INDEX(코드표!$G$2:$G$101,MATCH(TRIM(RIGHT(SUBSTITUTE(TRIM(H86&amp;"")," ",REPT(" ",60)),60)),코드표!$F$2:$F$101,0)),"⚠"&amp;TRIM(H86&amp;""))),"⚠"&amp;TRIM(H86&amp;""))</f>
        <v/>
      </c>
      <c r="Q86" s="10">
        <f>IFERROR(IF(TRIM(I86&amp;"")="","",IF(AND(ISNUMBER(FIND(" ",TRIM(I86&amp;""))),COUNTIF(코드표!$A$2:$A$21,IF(RIGHT(LEFT(TRIM(I86&amp;""),FIND(" ",TRIM(I86&amp;""))-1),2)="병원",LEFT(TRIM(I86&amp;""),FIND(" ",TRIM(I86&amp;""))-1),LEFT(TRIM(I86&amp;""),FIND(" ",TRIM(I86&amp;""))-1)&amp;"병원"))&gt;0,ISNUMBER(MATCH(TRIM(RIGHT(SUBSTITUTE(TRIM(I86&amp;"")," ",REPT(" ",60)),60)),코드표!$F$2:$F$101,0))),IF(RIGHT(LEFT(TRIM(I86&amp;""),FIND(" ",TRIM(I86&amp;""))-1),2)="병원",LEFT(TRIM(I86&amp;""),FIND(" ",TRIM(I86&amp;""))-1),LEFT(TRIM(I86&amp;""),FIND(" ",TRIM(I86&amp;""))-1)&amp;"병원")&amp;" "&amp;INDEX(코드표!$G$2:$G$101,MATCH(TRIM(RIGHT(SUBSTITUTE(TRIM(I86&amp;"")," ",REPT(" ",60)),60)),코드표!$F$2:$F$101,0)),"⚠"&amp;TRIM(I86&amp;""))),"⚠"&amp;TRIM(I86&amp;""))</f>
        <v/>
      </c>
      <c r="R86" s="10">
        <f>IFERROR(IF(TRIM(J86&amp;"")="","",IF(AND(ISNUMBER(FIND(" ",TRIM(J86&amp;""))),COUNTIF(코드표!$A$2:$A$21,IF(RIGHT(LEFT(TRIM(J86&amp;""),FIND(" ",TRIM(J86&amp;""))-1),2)="병원",LEFT(TRIM(J86&amp;""),FIND(" ",TRIM(J86&amp;""))-1),LEFT(TRIM(J86&amp;""),FIND(" ",TRIM(J86&amp;""))-1)&amp;"병원"))&gt;0,ISNUMBER(MATCH(TRIM(RIGHT(SUBSTITUTE(TRIM(J86&amp;"")," ",REPT(" ",60)),60)),코드표!$F$2:$F$101,0))),IF(RIGHT(LEFT(TRIM(J86&amp;""),FIND(" ",TRIM(J86&amp;""))-1),2)="병원",LEFT(TRIM(J86&amp;""),FIND(" ",TRIM(J86&amp;""))-1),LEFT(TRIM(J86&amp;""),FIND(" ",TRIM(J86&amp;""))-1)&amp;"병원")&amp;" "&amp;INDEX(코드표!$G$2:$G$101,MATCH(TRIM(RIGHT(SUBSTITUTE(TRIM(J86&amp;"")," ",REPT(" ",60)),60)),코드표!$F$2:$F$101,0)),"⚠"&amp;TRIM(J86&amp;""))),"⚠"&amp;TRIM(J86&amp;""))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",TRIM(E87&amp;""))),COUNTIF(코드표!$A$2:$A$21,IF(RIGHT(LEFT(TRIM(E87&amp;""),FIND(" ",TRIM(E87&amp;""))-1),2)="병원",LEFT(TRIM(E87&amp;""),FIND(" ",TRIM(E87&amp;""))-1),LEFT(TRIM(E87&amp;""),FIND(" ",TRIM(E87&amp;""))-1)&amp;"병원"))&gt;0,ISNUMBER(MATCH(TRIM(RIGHT(SUBSTITUTE(TRIM(E87&amp;"")," ",REPT(" ",60)),60)),코드표!$F$2:$F$101,0))),IF(RIGHT(LEFT(TRIM(E87&amp;""),FIND(" ",TRIM(E87&amp;""))-1),2)="병원",LEFT(TRIM(E87&amp;""),FIND(" ",TRIM(E87&amp;""))-1),LEFT(TRIM(E87&amp;""),FIND(" ",TRIM(E87&amp;""))-1)&amp;"병원")&amp;" "&amp;INDEX(코드표!$G$2:$G$101,MATCH(TRIM(RIGHT(SUBSTITUTE(TRIM(E87&amp;"")," ",REPT(" ",60)),60)),코드표!$F$2:$F$101,0)),"⚠"&amp;TRIM(E87&amp;""))),"⚠"&amp;TRIM(E87&amp;""))</f>
        <v/>
      </c>
      <c r="N87" s="10">
        <f>IFERROR(IF(TRIM(F87&amp;"")="","",IF(AND(ISNUMBER(FIND(" ",TRIM(F87&amp;""))),COUNTIF(코드표!$A$2:$A$21,IF(RIGHT(LEFT(TRIM(F87&amp;""),FIND(" ",TRIM(F87&amp;""))-1),2)="병원",LEFT(TRIM(F87&amp;""),FIND(" ",TRIM(F87&amp;""))-1),LEFT(TRIM(F87&amp;""),FIND(" ",TRIM(F87&amp;""))-1)&amp;"병원"))&gt;0,ISNUMBER(MATCH(TRIM(RIGHT(SUBSTITUTE(TRIM(F87&amp;"")," ",REPT(" ",60)),60)),코드표!$F$2:$F$101,0))),IF(RIGHT(LEFT(TRIM(F87&amp;""),FIND(" ",TRIM(F87&amp;""))-1),2)="병원",LEFT(TRIM(F87&amp;""),FIND(" ",TRIM(F87&amp;""))-1),LEFT(TRIM(F87&amp;""),FIND(" ",TRIM(F87&amp;""))-1)&amp;"병원")&amp;" "&amp;INDEX(코드표!$G$2:$G$101,MATCH(TRIM(RIGHT(SUBSTITUTE(TRIM(F87&amp;"")," ",REPT(" ",60)),60)),코드표!$F$2:$F$101,0)),"⚠"&amp;TRIM(F87&amp;""))),"⚠"&amp;TRIM(F87&amp;""))</f>
        <v/>
      </c>
      <c r="O87" s="10">
        <f>IFERROR(IF(TRIM(G87&amp;"")="","",IF(AND(ISNUMBER(FIND(" ",TRIM(G87&amp;""))),COUNTIF(코드표!$A$2:$A$21,IF(RIGHT(LEFT(TRIM(G87&amp;""),FIND(" ",TRIM(G87&amp;""))-1),2)="병원",LEFT(TRIM(G87&amp;""),FIND(" ",TRIM(G87&amp;""))-1),LEFT(TRIM(G87&amp;""),FIND(" ",TRIM(G87&amp;""))-1)&amp;"병원"))&gt;0,ISNUMBER(MATCH(TRIM(RIGHT(SUBSTITUTE(TRIM(G87&amp;"")," ",REPT(" ",60)),60)),코드표!$F$2:$F$101,0))),IF(RIGHT(LEFT(TRIM(G87&amp;""),FIND(" ",TRIM(G87&amp;""))-1),2)="병원",LEFT(TRIM(G87&amp;""),FIND(" ",TRIM(G87&amp;""))-1),LEFT(TRIM(G87&amp;""),FIND(" ",TRIM(G87&amp;""))-1)&amp;"병원")&amp;" "&amp;INDEX(코드표!$G$2:$G$101,MATCH(TRIM(RIGHT(SUBSTITUTE(TRIM(G87&amp;"")," ",REPT(" ",60)),60)),코드표!$F$2:$F$101,0)),"⚠"&amp;TRIM(G87&amp;""))),"⚠"&amp;TRIM(G87&amp;""))</f>
        <v/>
      </c>
      <c r="P87" s="10">
        <f>IFERROR(IF(TRIM(H87&amp;"")="","",IF(AND(ISNUMBER(FIND(" ",TRIM(H87&amp;""))),COUNTIF(코드표!$A$2:$A$21,IF(RIGHT(LEFT(TRIM(H87&amp;""),FIND(" ",TRIM(H87&amp;""))-1),2)="병원",LEFT(TRIM(H87&amp;""),FIND(" ",TRIM(H87&amp;""))-1),LEFT(TRIM(H87&amp;""),FIND(" ",TRIM(H87&amp;""))-1)&amp;"병원"))&gt;0,ISNUMBER(MATCH(TRIM(RIGHT(SUBSTITUTE(TRIM(H87&amp;"")," ",REPT(" ",60)),60)),코드표!$F$2:$F$101,0))),IF(RIGHT(LEFT(TRIM(H87&amp;""),FIND(" ",TRIM(H87&amp;""))-1),2)="병원",LEFT(TRIM(H87&amp;""),FIND(" ",TRIM(H87&amp;""))-1),LEFT(TRIM(H87&amp;""),FIND(" ",TRIM(H87&amp;""))-1)&amp;"병원")&amp;" "&amp;INDEX(코드표!$G$2:$G$101,MATCH(TRIM(RIGHT(SUBSTITUTE(TRIM(H87&amp;"")," ",REPT(" ",60)),60)),코드표!$F$2:$F$101,0)),"⚠"&amp;TRIM(H87&amp;""))),"⚠"&amp;TRIM(H87&amp;""))</f>
        <v/>
      </c>
      <c r="Q87" s="10">
        <f>IFERROR(IF(TRIM(I87&amp;"")="","",IF(AND(ISNUMBER(FIND(" ",TRIM(I87&amp;""))),COUNTIF(코드표!$A$2:$A$21,IF(RIGHT(LEFT(TRIM(I87&amp;""),FIND(" ",TRIM(I87&amp;""))-1),2)="병원",LEFT(TRIM(I87&amp;""),FIND(" ",TRIM(I87&amp;""))-1),LEFT(TRIM(I87&amp;""),FIND(" ",TRIM(I87&amp;""))-1)&amp;"병원"))&gt;0,ISNUMBER(MATCH(TRIM(RIGHT(SUBSTITUTE(TRIM(I87&amp;"")," ",REPT(" ",60)),60)),코드표!$F$2:$F$101,0))),IF(RIGHT(LEFT(TRIM(I87&amp;""),FIND(" ",TRIM(I87&amp;""))-1),2)="병원",LEFT(TRIM(I87&amp;""),FIND(" ",TRIM(I87&amp;""))-1),LEFT(TRIM(I87&amp;""),FIND(" ",TRIM(I87&amp;""))-1)&amp;"병원")&amp;" "&amp;INDEX(코드표!$G$2:$G$101,MATCH(TRIM(RIGHT(SUBSTITUTE(TRIM(I87&amp;"")," ",REPT(" ",60)),60)),코드표!$F$2:$F$101,0)),"⚠"&amp;TRIM(I87&amp;""))),"⚠"&amp;TRIM(I87&amp;""))</f>
        <v/>
      </c>
      <c r="R87" s="10">
        <f>IFERROR(IF(TRIM(J87&amp;"")="","",IF(AND(ISNUMBER(FIND(" ",TRIM(J87&amp;""))),COUNTIF(코드표!$A$2:$A$21,IF(RIGHT(LEFT(TRIM(J87&amp;""),FIND(" ",TRIM(J87&amp;""))-1),2)="병원",LEFT(TRIM(J87&amp;""),FIND(" ",TRIM(J87&amp;""))-1),LEFT(TRIM(J87&amp;""),FIND(" ",TRIM(J87&amp;""))-1)&amp;"병원"))&gt;0,ISNUMBER(MATCH(TRIM(RIGHT(SUBSTITUTE(TRIM(J87&amp;"")," ",REPT(" ",60)),60)),코드표!$F$2:$F$101,0))),IF(RIGHT(LEFT(TRIM(J87&amp;""),FIND(" ",TRIM(J87&amp;""))-1),2)="병원",LEFT(TRIM(J87&amp;""),FIND(" ",TRIM(J87&amp;""))-1),LEFT(TRIM(J87&amp;""),FIND(" ",TRIM(J87&amp;""))-1)&amp;"병원")&amp;" "&amp;INDEX(코드표!$G$2:$G$101,MATCH(TRIM(RIGHT(SUBSTITUTE(TRIM(J87&amp;"")," ",REPT(" ",60)),60)),코드표!$F$2:$F$101,0)),"⚠"&amp;TRIM(J87&amp;""))),"⚠"&amp;TRIM(J87&amp;""))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",TRIM(E88&amp;""))),COUNTIF(코드표!$A$2:$A$21,IF(RIGHT(LEFT(TRIM(E88&amp;""),FIND(" ",TRIM(E88&amp;""))-1),2)="병원",LEFT(TRIM(E88&amp;""),FIND(" ",TRIM(E88&amp;""))-1),LEFT(TRIM(E88&amp;""),FIND(" ",TRIM(E88&amp;""))-1)&amp;"병원"))&gt;0,ISNUMBER(MATCH(TRIM(RIGHT(SUBSTITUTE(TRIM(E88&amp;"")," ",REPT(" ",60)),60)),코드표!$F$2:$F$101,0))),IF(RIGHT(LEFT(TRIM(E88&amp;""),FIND(" ",TRIM(E88&amp;""))-1),2)="병원",LEFT(TRIM(E88&amp;""),FIND(" ",TRIM(E88&amp;""))-1),LEFT(TRIM(E88&amp;""),FIND(" ",TRIM(E88&amp;""))-1)&amp;"병원")&amp;" "&amp;INDEX(코드표!$G$2:$G$101,MATCH(TRIM(RIGHT(SUBSTITUTE(TRIM(E88&amp;"")," ",REPT(" ",60)),60)),코드표!$F$2:$F$101,0)),"⚠"&amp;TRIM(E88&amp;""))),"⚠"&amp;TRIM(E88&amp;""))</f>
        <v/>
      </c>
      <c r="N88" s="10">
        <f>IFERROR(IF(TRIM(F88&amp;"")="","",IF(AND(ISNUMBER(FIND(" ",TRIM(F88&amp;""))),COUNTIF(코드표!$A$2:$A$21,IF(RIGHT(LEFT(TRIM(F88&amp;""),FIND(" ",TRIM(F88&amp;""))-1),2)="병원",LEFT(TRIM(F88&amp;""),FIND(" ",TRIM(F88&amp;""))-1),LEFT(TRIM(F88&amp;""),FIND(" ",TRIM(F88&amp;""))-1)&amp;"병원"))&gt;0,ISNUMBER(MATCH(TRIM(RIGHT(SUBSTITUTE(TRIM(F88&amp;"")," ",REPT(" ",60)),60)),코드표!$F$2:$F$101,0))),IF(RIGHT(LEFT(TRIM(F88&amp;""),FIND(" ",TRIM(F88&amp;""))-1),2)="병원",LEFT(TRIM(F88&amp;""),FIND(" ",TRIM(F88&amp;""))-1),LEFT(TRIM(F88&amp;""),FIND(" ",TRIM(F88&amp;""))-1)&amp;"병원")&amp;" "&amp;INDEX(코드표!$G$2:$G$101,MATCH(TRIM(RIGHT(SUBSTITUTE(TRIM(F88&amp;"")," ",REPT(" ",60)),60)),코드표!$F$2:$F$101,0)),"⚠"&amp;TRIM(F88&amp;""))),"⚠"&amp;TRIM(F88&amp;""))</f>
        <v/>
      </c>
      <c r="O88" s="10">
        <f>IFERROR(IF(TRIM(G88&amp;"")="","",IF(AND(ISNUMBER(FIND(" ",TRIM(G88&amp;""))),COUNTIF(코드표!$A$2:$A$21,IF(RIGHT(LEFT(TRIM(G88&amp;""),FIND(" ",TRIM(G88&amp;""))-1),2)="병원",LEFT(TRIM(G88&amp;""),FIND(" ",TRIM(G88&amp;""))-1),LEFT(TRIM(G88&amp;""),FIND(" ",TRIM(G88&amp;""))-1)&amp;"병원"))&gt;0,ISNUMBER(MATCH(TRIM(RIGHT(SUBSTITUTE(TRIM(G88&amp;"")," ",REPT(" ",60)),60)),코드표!$F$2:$F$101,0))),IF(RIGHT(LEFT(TRIM(G88&amp;""),FIND(" ",TRIM(G88&amp;""))-1),2)="병원",LEFT(TRIM(G88&amp;""),FIND(" ",TRIM(G88&amp;""))-1),LEFT(TRIM(G88&amp;""),FIND(" ",TRIM(G88&amp;""))-1)&amp;"병원")&amp;" "&amp;INDEX(코드표!$G$2:$G$101,MATCH(TRIM(RIGHT(SUBSTITUTE(TRIM(G88&amp;"")," ",REPT(" ",60)),60)),코드표!$F$2:$F$101,0)),"⚠"&amp;TRIM(G88&amp;""))),"⚠"&amp;TRIM(G88&amp;""))</f>
        <v/>
      </c>
      <c r="P88" s="10">
        <f>IFERROR(IF(TRIM(H88&amp;"")="","",IF(AND(ISNUMBER(FIND(" ",TRIM(H88&amp;""))),COUNTIF(코드표!$A$2:$A$21,IF(RIGHT(LEFT(TRIM(H88&amp;""),FIND(" ",TRIM(H88&amp;""))-1),2)="병원",LEFT(TRIM(H88&amp;""),FIND(" ",TRIM(H88&amp;""))-1),LEFT(TRIM(H88&amp;""),FIND(" ",TRIM(H88&amp;""))-1)&amp;"병원"))&gt;0,ISNUMBER(MATCH(TRIM(RIGHT(SUBSTITUTE(TRIM(H88&amp;"")," ",REPT(" ",60)),60)),코드표!$F$2:$F$101,0))),IF(RIGHT(LEFT(TRIM(H88&amp;""),FIND(" ",TRIM(H88&amp;""))-1),2)="병원",LEFT(TRIM(H88&amp;""),FIND(" ",TRIM(H88&amp;""))-1),LEFT(TRIM(H88&amp;""),FIND(" ",TRIM(H88&amp;""))-1)&amp;"병원")&amp;" "&amp;INDEX(코드표!$G$2:$G$101,MATCH(TRIM(RIGHT(SUBSTITUTE(TRIM(H88&amp;"")," ",REPT(" ",60)),60)),코드표!$F$2:$F$101,0)),"⚠"&amp;TRIM(H88&amp;""))),"⚠"&amp;TRIM(H88&amp;""))</f>
        <v/>
      </c>
      <c r="Q88" s="10">
        <f>IFERROR(IF(TRIM(I88&amp;"")="","",IF(AND(ISNUMBER(FIND(" ",TRIM(I88&amp;""))),COUNTIF(코드표!$A$2:$A$21,IF(RIGHT(LEFT(TRIM(I88&amp;""),FIND(" ",TRIM(I88&amp;""))-1),2)="병원",LEFT(TRIM(I88&amp;""),FIND(" ",TRIM(I88&amp;""))-1),LEFT(TRIM(I88&amp;""),FIND(" ",TRIM(I88&amp;""))-1)&amp;"병원"))&gt;0,ISNUMBER(MATCH(TRIM(RIGHT(SUBSTITUTE(TRIM(I88&amp;"")," ",REPT(" ",60)),60)),코드표!$F$2:$F$101,0))),IF(RIGHT(LEFT(TRIM(I88&amp;""),FIND(" ",TRIM(I88&amp;""))-1),2)="병원",LEFT(TRIM(I88&amp;""),FIND(" ",TRIM(I88&amp;""))-1),LEFT(TRIM(I88&amp;""),FIND(" ",TRIM(I88&amp;""))-1)&amp;"병원")&amp;" "&amp;INDEX(코드표!$G$2:$G$101,MATCH(TRIM(RIGHT(SUBSTITUTE(TRIM(I88&amp;"")," ",REPT(" ",60)),60)),코드표!$F$2:$F$101,0)),"⚠"&amp;TRIM(I88&amp;""))),"⚠"&amp;TRIM(I88&amp;""))</f>
        <v/>
      </c>
      <c r="R88" s="10">
        <f>IFERROR(IF(TRIM(J88&amp;"")="","",IF(AND(ISNUMBER(FIND(" ",TRIM(J88&amp;""))),COUNTIF(코드표!$A$2:$A$21,IF(RIGHT(LEFT(TRIM(J88&amp;""),FIND(" ",TRIM(J88&amp;""))-1),2)="병원",LEFT(TRIM(J88&amp;""),FIND(" ",TRIM(J88&amp;""))-1),LEFT(TRIM(J88&amp;""),FIND(" ",TRIM(J88&amp;""))-1)&amp;"병원"))&gt;0,ISNUMBER(MATCH(TRIM(RIGHT(SUBSTITUTE(TRIM(J88&amp;"")," ",REPT(" ",60)),60)),코드표!$F$2:$F$101,0))),IF(RIGHT(LEFT(TRIM(J88&amp;""),FIND(" ",TRIM(J88&amp;""))-1),2)="병원",LEFT(TRIM(J88&amp;""),FIND(" ",TRIM(J88&amp;""))-1),LEFT(TRIM(J88&amp;""),FIND(" ",TRIM(J88&amp;""))-1)&amp;"병원")&amp;" "&amp;INDEX(코드표!$G$2:$G$101,MATCH(TRIM(RIGHT(SUBSTITUTE(TRIM(J88&amp;"")," ",REPT(" ",60)),60)),코드표!$F$2:$F$101,0)),"⚠"&amp;TRIM(J88&amp;""))),"⚠"&amp;TRIM(J88&amp;""))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",TRIM(E89&amp;""))),COUNTIF(코드표!$A$2:$A$21,IF(RIGHT(LEFT(TRIM(E89&amp;""),FIND(" ",TRIM(E89&amp;""))-1),2)="병원",LEFT(TRIM(E89&amp;""),FIND(" ",TRIM(E89&amp;""))-1),LEFT(TRIM(E89&amp;""),FIND(" ",TRIM(E89&amp;""))-1)&amp;"병원"))&gt;0,ISNUMBER(MATCH(TRIM(RIGHT(SUBSTITUTE(TRIM(E89&amp;"")," ",REPT(" ",60)),60)),코드표!$F$2:$F$101,0))),IF(RIGHT(LEFT(TRIM(E89&amp;""),FIND(" ",TRIM(E89&amp;""))-1),2)="병원",LEFT(TRIM(E89&amp;""),FIND(" ",TRIM(E89&amp;""))-1),LEFT(TRIM(E89&amp;""),FIND(" ",TRIM(E89&amp;""))-1)&amp;"병원")&amp;" "&amp;INDEX(코드표!$G$2:$G$101,MATCH(TRIM(RIGHT(SUBSTITUTE(TRIM(E89&amp;"")," ",REPT(" ",60)),60)),코드표!$F$2:$F$101,0)),"⚠"&amp;TRIM(E89&amp;""))),"⚠"&amp;TRIM(E89&amp;""))</f>
        <v/>
      </c>
      <c r="N89" s="10">
        <f>IFERROR(IF(TRIM(F89&amp;"")="","",IF(AND(ISNUMBER(FIND(" ",TRIM(F89&amp;""))),COUNTIF(코드표!$A$2:$A$21,IF(RIGHT(LEFT(TRIM(F89&amp;""),FIND(" ",TRIM(F89&amp;""))-1),2)="병원",LEFT(TRIM(F89&amp;""),FIND(" ",TRIM(F89&amp;""))-1),LEFT(TRIM(F89&amp;""),FIND(" ",TRIM(F89&amp;""))-1)&amp;"병원"))&gt;0,ISNUMBER(MATCH(TRIM(RIGHT(SUBSTITUTE(TRIM(F89&amp;"")," ",REPT(" ",60)),60)),코드표!$F$2:$F$101,0))),IF(RIGHT(LEFT(TRIM(F89&amp;""),FIND(" ",TRIM(F89&amp;""))-1),2)="병원",LEFT(TRIM(F89&amp;""),FIND(" ",TRIM(F89&amp;""))-1),LEFT(TRIM(F89&amp;""),FIND(" ",TRIM(F89&amp;""))-1)&amp;"병원")&amp;" "&amp;INDEX(코드표!$G$2:$G$101,MATCH(TRIM(RIGHT(SUBSTITUTE(TRIM(F89&amp;"")," ",REPT(" ",60)),60)),코드표!$F$2:$F$101,0)),"⚠"&amp;TRIM(F89&amp;""))),"⚠"&amp;TRIM(F89&amp;""))</f>
        <v/>
      </c>
      <c r="O89" s="10">
        <f>IFERROR(IF(TRIM(G89&amp;"")="","",IF(AND(ISNUMBER(FIND(" ",TRIM(G89&amp;""))),COUNTIF(코드표!$A$2:$A$21,IF(RIGHT(LEFT(TRIM(G89&amp;""),FIND(" ",TRIM(G89&amp;""))-1),2)="병원",LEFT(TRIM(G89&amp;""),FIND(" ",TRIM(G89&amp;""))-1),LEFT(TRIM(G89&amp;""),FIND(" ",TRIM(G89&amp;""))-1)&amp;"병원"))&gt;0,ISNUMBER(MATCH(TRIM(RIGHT(SUBSTITUTE(TRIM(G89&amp;"")," ",REPT(" ",60)),60)),코드표!$F$2:$F$101,0))),IF(RIGHT(LEFT(TRIM(G89&amp;""),FIND(" ",TRIM(G89&amp;""))-1),2)="병원",LEFT(TRIM(G89&amp;""),FIND(" ",TRIM(G89&amp;""))-1),LEFT(TRIM(G89&amp;""),FIND(" ",TRIM(G89&amp;""))-1)&amp;"병원")&amp;" "&amp;INDEX(코드표!$G$2:$G$101,MATCH(TRIM(RIGHT(SUBSTITUTE(TRIM(G89&amp;"")," ",REPT(" ",60)),60)),코드표!$F$2:$F$101,0)),"⚠"&amp;TRIM(G89&amp;""))),"⚠"&amp;TRIM(G89&amp;""))</f>
        <v/>
      </c>
      <c r="P89" s="10">
        <f>IFERROR(IF(TRIM(H89&amp;"")="","",IF(AND(ISNUMBER(FIND(" ",TRIM(H89&amp;""))),COUNTIF(코드표!$A$2:$A$21,IF(RIGHT(LEFT(TRIM(H89&amp;""),FIND(" ",TRIM(H89&amp;""))-1),2)="병원",LEFT(TRIM(H89&amp;""),FIND(" ",TRIM(H89&amp;""))-1),LEFT(TRIM(H89&amp;""),FIND(" ",TRIM(H89&amp;""))-1)&amp;"병원"))&gt;0,ISNUMBER(MATCH(TRIM(RIGHT(SUBSTITUTE(TRIM(H89&amp;"")," ",REPT(" ",60)),60)),코드표!$F$2:$F$101,0))),IF(RIGHT(LEFT(TRIM(H89&amp;""),FIND(" ",TRIM(H89&amp;""))-1),2)="병원",LEFT(TRIM(H89&amp;""),FIND(" ",TRIM(H89&amp;""))-1),LEFT(TRIM(H89&amp;""),FIND(" ",TRIM(H89&amp;""))-1)&amp;"병원")&amp;" "&amp;INDEX(코드표!$G$2:$G$101,MATCH(TRIM(RIGHT(SUBSTITUTE(TRIM(H89&amp;"")," ",REPT(" ",60)),60)),코드표!$F$2:$F$101,0)),"⚠"&amp;TRIM(H89&amp;""))),"⚠"&amp;TRIM(H89&amp;""))</f>
        <v/>
      </c>
      <c r="Q89" s="10">
        <f>IFERROR(IF(TRIM(I89&amp;"")="","",IF(AND(ISNUMBER(FIND(" ",TRIM(I89&amp;""))),COUNTIF(코드표!$A$2:$A$21,IF(RIGHT(LEFT(TRIM(I89&amp;""),FIND(" ",TRIM(I89&amp;""))-1),2)="병원",LEFT(TRIM(I89&amp;""),FIND(" ",TRIM(I89&amp;""))-1),LEFT(TRIM(I89&amp;""),FIND(" ",TRIM(I89&amp;""))-1)&amp;"병원"))&gt;0,ISNUMBER(MATCH(TRIM(RIGHT(SUBSTITUTE(TRIM(I89&amp;"")," ",REPT(" ",60)),60)),코드표!$F$2:$F$101,0))),IF(RIGHT(LEFT(TRIM(I89&amp;""),FIND(" ",TRIM(I89&amp;""))-1),2)="병원",LEFT(TRIM(I89&amp;""),FIND(" ",TRIM(I89&amp;""))-1),LEFT(TRIM(I89&amp;""),FIND(" ",TRIM(I89&amp;""))-1)&amp;"병원")&amp;" "&amp;INDEX(코드표!$G$2:$G$101,MATCH(TRIM(RIGHT(SUBSTITUTE(TRIM(I89&amp;"")," ",REPT(" ",60)),60)),코드표!$F$2:$F$101,0)),"⚠"&amp;TRIM(I89&amp;""))),"⚠"&amp;TRIM(I89&amp;""))</f>
        <v/>
      </c>
      <c r="R89" s="10">
        <f>IFERROR(IF(TRIM(J89&amp;"")="","",IF(AND(ISNUMBER(FIND(" ",TRIM(J89&amp;""))),COUNTIF(코드표!$A$2:$A$21,IF(RIGHT(LEFT(TRIM(J89&amp;""),FIND(" ",TRIM(J89&amp;""))-1),2)="병원",LEFT(TRIM(J89&amp;""),FIND(" ",TRIM(J89&amp;""))-1),LEFT(TRIM(J89&amp;""),FIND(" ",TRIM(J89&amp;""))-1)&amp;"병원"))&gt;0,ISNUMBER(MATCH(TRIM(RIGHT(SUBSTITUTE(TRIM(J89&amp;"")," ",REPT(" ",60)),60)),코드표!$F$2:$F$101,0))),IF(RIGHT(LEFT(TRIM(J89&amp;""),FIND(" ",TRIM(J89&amp;""))-1),2)="병원",LEFT(TRIM(J89&amp;""),FIND(" ",TRIM(J89&amp;""))-1),LEFT(TRIM(J89&amp;""),FIND(" ",TRIM(J89&amp;""))-1)&amp;"병원")&amp;" "&amp;INDEX(코드표!$G$2:$G$101,MATCH(TRIM(RIGHT(SUBSTITUTE(TRIM(J89&amp;"")," ",REPT(" ",60)),60)),코드표!$F$2:$F$101,0)),"⚠"&amp;TRIM(J89&amp;""))),"⚠"&amp;TRIM(J89&amp;""))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",TRIM(E90&amp;""))),COUNTIF(코드표!$A$2:$A$21,IF(RIGHT(LEFT(TRIM(E90&amp;""),FIND(" ",TRIM(E90&amp;""))-1),2)="병원",LEFT(TRIM(E90&amp;""),FIND(" ",TRIM(E90&amp;""))-1),LEFT(TRIM(E90&amp;""),FIND(" ",TRIM(E90&amp;""))-1)&amp;"병원"))&gt;0,ISNUMBER(MATCH(TRIM(RIGHT(SUBSTITUTE(TRIM(E90&amp;"")," ",REPT(" ",60)),60)),코드표!$F$2:$F$101,0))),IF(RIGHT(LEFT(TRIM(E90&amp;""),FIND(" ",TRIM(E90&amp;""))-1),2)="병원",LEFT(TRIM(E90&amp;""),FIND(" ",TRIM(E90&amp;""))-1),LEFT(TRIM(E90&amp;""),FIND(" ",TRIM(E90&amp;""))-1)&amp;"병원")&amp;" "&amp;INDEX(코드표!$G$2:$G$101,MATCH(TRIM(RIGHT(SUBSTITUTE(TRIM(E90&amp;"")," ",REPT(" ",60)),60)),코드표!$F$2:$F$101,0)),"⚠"&amp;TRIM(E90&amp;""))),"⚠"&amp;TRIM(E90&amp;""))</f>
        <v/>
      </c>
      <c r="N90" s="10">
        <f>IFERROR(IF(TRIM(F90&amp;"")="","",IF(AND(ISNUMBER(FIND(" ",TRIM(F90&amp;""))),COUNTIF(코드표!$A$2:$A$21,IF(RIGHT(LEFT(TRIM(F90&amp;""),FIND(" ",TRIM(F90&amp;""))-1),2)="병원",LEFT(TRIM(F90&amp;""),FIND(" ",TRIM(F90&amp;""))-1),LEFT(TRIM(F90&amp;""),FIND(" ",TRIM(F90&amp;""))-1)&amp;"병원"))&gt;0,ISNUMBER(MATCH(TRIM(RIGHT(SUBSTITUTE(TRIM(F90&amp;"")," ",REPT(" ",60)),60)),코드표!$F$2:$F$101,0))),IF(RIGHT(LEFT(TRIM(F90&amp;""),FIND(" ",TRIM(F90&amp;""))-1),2)="병원",LEFT(TRIM(F90&amp;""),FIND(" ",TRIM(F90&amp;""))-1),LEFT(TRIM(F90&amp;""),FIND(" ",TRIM(F90&amp;""))-1)&amp;"병원")&amp;" "&amp;INDEX(코드표!$G$2:$G$101,MATCH(TRIM(RIGHT(SUBSTITUTE(TRIM(F90&amp;"")," ",REPT(" ",60)),60)),코드표!$F$2:$F$101,0)),"⚠"&amp;TRIM(F90&amp;""))),"⚠"&amp;TRIM(F90&amp;""))</f>
        <v/>
      </c>
      <c r="O90" s="10">
        <f>IFERROR(IF(TRIM(G90&amp;"")="","",IF(AND(ISNUMBER(FIND(" ",TRIM(G90&amp;""))),COUNTIF(코드표!$A$2:$A$21,IF(RIGHT(LEFT(TRIM(G90&amp;""),FIND(" ",TRIM(G90&amp;""))-1),2)="병원",LEFT(TRIM(G90&amp;""),FIND(" ",TRIM(G90&amp;""))-1),LEFT(TRIM(G90&amp;""),FIND(" ",TRIM(G90&amp;""))-1)&amp;"병원"))&gt;0,ISNUMBER(MATCH(TRIM(RIGHT(SUBSTITUTE(TRIM(G90&amp;"")," ",REPT(" ",60)),60)),코드표!$F$2:$F$101,0))),IF(RIGHT(LEFT(TRIM(G90&amp;""),FIND(" ",TRIM(G90&amp;""))-1),2)="병원",LEFT(TRIM(G90&amp;""),FIND(" ",TRIM(G90&amp;""))-1),LEFT(TRIM(G90&amp;""),FIND(" ",TRIM(G90&amp;""))-1)&amp;"병원")&amp;" "&amp;INDEX(코드표!$G$2:$G$101,MATCH(TRIM(RIGHT(SUBSTITUTE(TRIM(G90&amp;"")," ",REPT(" ",60)),60)),코드표!$F$2:$F$101,0)),"⚠"&amp;TRIM(G90&amp;""))),"⚠"&amp;TRIM(G90&amp;""))</f>
        <v/>
      </c>
      <c r="P90" s="10">
        <f>IFERROR(IF(TRIM(H90&amp;"")="","",IF(AND(ISNUMBER(FIND(" ",TRIM(H90&amp;""))),COUNTIF(코드표!$A$2:$A$21,IF(RIGHT(LEFT(TRIM(H90&amp;""),FIND(" ",TRIM(H90&amp;""))-1),2)="병원",LEFT(TRIM(H90&amp;""),FIND(" ",TRIM(H90&amp;""))-1),LEFT(TRIM(H90&amp;""),FIND(" ",TRIM(H90&amp;""))-1)&amp;"병원"))&gt;0,ISNUMBER(MATCH(TRIM(RIGHT(SUBSTITUTE(TRIM(H90&amp;"")," ",REPT(" ",60)),60)),코드표!$F$2:$F$101,0))),IF(RIGHT(LEFT(TRIM(H90&amp;""),FIND(" ",TRIM(H90&amp;""))-1),2)="병원",LEFT(TRIM(H90&amp;""),FIND(" ",TRIM(H90&amp;""))-1),LEFT(TRIM(H90&amp;""),FIND(" ",TRIM(H90&amp;""))-1)&amp;"병원")&amp;" "&amp;INDEX(코드표!$G$2:$G$101,MATCH(TRIM(RIGHT(SUBSTITUTE(TRIM(H90&amp;"")," ",REPT(" ",60)),60)),코드표!$F$2:$F$101,0)),"⚠"&amp;TRIM(H90&amp;""))),"⚠"&amp;TRIM(H90&amp;""))</f>
        <v/>
      </c>
      <c r="Q90" s="10">
        <f>IFERROR(IF(TRIM(I90&amp;"")="","",IF(AND(ISNUMBER(FIND(" ",TRIM(I90&amp;""))),COUNTIF(코드표!$A$2:$A$21,IF(RIGHT(LEFT(TRIM(I90&amp;""),FIND(" ",TRIM(I90&amp;""))-1),2)="병원",LEFT(TRIM(I90&amp;""),FIND(" ",TRIM(I90&amp;""))-1),LEFT(TRIM(I90&amp;""),FIND(" ",TRIM(I90&amp;""))-1)&amp;"병원"))&gt;0,ISNUMBER(MATCH(TRIM(RIGHT(SUBSTITUTE(TRIM(I90&amp;"")," ",REPT(" ",60)),60)),코드표!$F$2:$F$101,0))),IF(RIGHT(LEFT(TRIM(I90&amp;""),FIND(" ",TRIM(I90&amp;""))-1),2)="병원",LEFT(TRIM(I90&amp;""),FIND(" ",TRIM(I90&amp;""))-1),LEFT(TRIM(I90&amp;""),FIND(" ",TRIM(I90&amp;""))-1)&amp;"병원")&amp;" "&amp;INDEX(코드표!$G$2:$G$101,MATCH(TRIM(RIGHT(SUBSTITUTE(TRIM(I90&amp;"")," ",REPT(" ",60)),60)),코드표!$F$2:$F$101,0)),"⚠"&amp;TRIM(I90&amp;""))),"⚠"&amp;TRIM(I90&amp;""))</f>
        <v/>
      </c>
      <c r="R90" s="10">
        <f>IFERROR(IF(TRIM(J90&amp;"")="","",IF(AND(ISNUMBER(FIND(" ",TRIM(J90&amp;""))),COUNTIF(코드표!$A$2:$A$21,IF(RIGHT(LEFT(TRIM(J90&amp;""),FIND(" ",TRIM(J90&amp;""))-1),2)="병원",LEFT(TRIM(J90&amp;""),FIND(" ",TRIM(J90&amp;""))-1),LEFT(TRIM(J90&amp;""),FIND(" ",TRIM(J90&amp;""))-1)&amp;"병원"))&gt;0,ISNUMBER(MATCH(TRIM(RIGHT(SUBSTITUTE(TRIM(J90&amp;"")," ",REPT(" ",60)),60)),코드표!$F$2:$F$101,0))),IF(RIGHT(LEFT(TRIM(J90&amp;""),FIND(" ",TRIM(J90&amp;""))-1),2)="병원",LEFT(TRIM(J90&amp;""),FIND(" ",TRIM(J90&amp;""))-1),LEFT(TRIM(J90&amp;""),FIND(" ",TRIM(J90&amp;""))-1)&amp;"병원")&amp;" "&amp;INDEX(코드표!$G$2:$G$101,MATCH(TRIM(RIGHT(SUBSTITUTE(TRIM(J90&amp;"")," ",REPT(" ",60)),60)),코드표!$F$2:$F$101,0)),"⚠"&amp;TRIM(J90&amp;""))),"⚠"&amp;TRIM(J90&amp;""))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",TRIM(E91&amp;""))),COUNTIF(코드표!$A$2:$A$21,IF(RIGHT(LEFT(TRIM(E91&amp;""),FIND(" ",TRIM(E91&amp;""))-1),2)="병원",LEFT(TRIM(E91&amp;""),FIND(" ",TRIM(E91&amp;""))-1),LEFT(TRIM(E91&amp;""),FIND(" ",TRIM(E91&amp;""))-1)&amp;"병원"))&gt;0,ISNUMBER(MATCH(TRIM(RIGHT(SUBSTITUTE(TRIM(E91&amp;"")," ",REPT(" ",60)),60)),코드표!$F$2:$F$101,0))),IF(RIGHT(LEFT(TRIM(E91&amp;""),FIND(" ",TRIM(E91&amp;""))-1),2)="병원",LEFT(TRIM(E91&amp;""),FIND(" ",TRIM(E91&amp;""))-1),LEFT(TRIM(E91&amp;""),FIND(" ",TRIM(E91&amp;""))-1)&amp;"병원")&amp;" "&amp;INDEX(코드표!$G$2:$G$101,MATCH(TRIM(RIGHT(SUBSTITUTE(TRIM(E91&amp;"")," ",REPT(" ",60)),60)),코드표!$F$2:$F$101,0)),"⚠"&amp;TRIM(E91&amp;""))),"⚠"&amp;TRIM(E91&amp;""))</f>
        <v/>
      </c>
      <c r="N91" s="10">
        <f>IFERROR(IF(TRIM(F91&amp;"")="","",IF(AND(ISNUMBER(FIND(" ",TRIM(F91&amp;""))),COUNTIF(코드표!$A$2:$A$21,IF(RIGHT(LEFT(TRIM(F91&amp;""),FIND(" ",TRIM(F91&amp;""))-1),2)="병원",LEFT(TRIM(F91&amp;""),FIND(" ",TRIM(F91&amp;""))-1),LEFT(TRIM(F91&amp;""),FIND(" ",TRIM(F91&amp;""))-1)&amp;"병원"))&gt;0,ISNUMBER(MATCH(TRIM(RIGHT(SUBSTITUTE(TRIM(F91&amp;"")," ",REPT(" ",60)),60)),코드표!$F$2:$F$101,0))),IF(RIGHT(LEFT(TRIM(F91&amp;""),FIND(" ",TRIM(F91&amp;""))-1),2)="병원",LEFT(TRIM(F91&amp;""),FIND(" ",TRIM(F91&amp;""))-1),LEFT(TRIM(F91&amp;""),FIND(" ",TRIM(F91&amp;""))-1)&amp;"병원")&amp;" "&amp;INDEX(코드표!$G$2:$G$101,MATCH(TRIM(RIGHT(SUBSTITUTE(TRIM(F91&amp;"")," ",REPT(" ",60)),60)),코드표!$F$2:$F$101,0)),"⚠"&amp;TRIM(F91&amp;""))),"⚠"&amp;TRIM(F91&amp;""))</f>
        <v/>
      </c>
      <c r="O91" s="10">
        <f>IFERROR(IF(TRIM(G91&amp;"")="","",IF(AND(ISNUMBER(FIND(" ",TRIM(G91&amp;""))),COUNTIF(코드표!$A$2:$A$21,IF(RIGHT(LEFT(TRIM(G91&amp;""),FIND(" ",TRIM(G91&amp;""))-1),2)="병원",LEFT(TRIM(G91&amp;""),FIND(" ",TRIM(G91&amp;""))-1),LEFT(TRIM(G91&amp;""),FIND(" ",TRIM(G91&amp;""))-1)&amp;"병원"))&gt;0,ISNUMBER(MATCH(TRIM(RIGHT(SUBSTITUTE(TRIM(G91&amp;"")," ",REPT(" ",60)),60)),코드표!$F$2:$F$101,0))),IF(RIGHT(LEFT(TRIM(G91&amp;""),FIND(" ",TRIM(G91&amp;""))-1),2)="병원",LEFT(TRIM(G91&amp;""),FIND(" ",TRIM(G91&amp;""))-1),LEFT(TRIM(G91&amp;""),FIND(" ",TRIM(G91&amp;""))-1)&amp;"병원")&amp;" "&amp;INDEX(코드표!$G$2:$G$101,MATCH(TRIM(RIGHT(SUBSTITUTE(TRIM(G91&amp;"")," ",REPT(" ",60)),60)),코드표!$F$2:$F$101,0)),"⚠"&amp;TRIM(G91&amp;""))),"⚠"&amp;TRIM(G91&amp;""))</f>
        <v/>
      </c>
      <c r="P91" s="10">
        <f>IFERROR(IF(TRIM(H91&amp;"")="","",IF(AND(ISNUMBER(FIND(" ",TRIM(H91&amp;""))),COUNTIF(코드표!$A$2:$A$21,IF(RIGHT(LEFT(TRIM(H91&amp;""),FIND(" ",TRIM(H91&amp;""))-1),2)="병원",LEFT(TRIM(H91&amp;""),FIND(" ",TRIM(H91&amp;""))-1),LEFT(TRIM(H91&amp;""),FIND(" ",TRIM(H91&amp;""))-1)&amp;"병원"))&gt;0,ISNUMBER(MATCH(TRIM(RIGHT(SUBSTITUTE(TRIM(H91&amp;"")," ",REPT(" ",60)),60)),코드표!$F$2:$F$101,0))),IF(RIGHT(LEFT(TRIM(H91&amp;""),FIND(" ",TRIM(H91&amp;""))-1),2)="병원",LEFT(TRIM(H91&amp;""),FIND(" ",TRIM(H91&amp;""))-1),LEFT(TRIM(H91&amp;""),FIND(" ",TRIM(H91&amp;""))-1)&amp;"병원")&amp;" "&amp;INDEX(코드표!$G$2:$G$101,MATCH(TRIM(RIGHT(SUBSTITUTE(TRIM(H91&amp;"")," ",REPT(" ",60)),60)),코드표!$F$2:$F$101,0)),"⚠"&amp;TRIM(H91&amp;""))),"⚠"&amp;TRIM(H91&amp;""))</f>
        <v/>
      </c>
      <c r="Q91" s="10">
        <f>IFERROR(IF(TRIM(I91&amp;"")="","",IF(AND(ISNUMBER(FIND(" ",TRIM(I91&amp;""))),COUNTIF(코드표!$A$2:$A$21,IF(RIGHT(LEFT(TRIM(I91&amp;""),FIND(" ",TRIM(I91&amp;""))-1),2)="병원",LEFT(TRIM(I91&amp;""),FIND(" ",TRIM(I91&amp;""))-1),LEFT(TRIM(I91&amp;""),FIND(" ",TRIM(I91&amp;""))-1)&amp;"병원"))&gt;0,ISNUMBER(MATCH(TRIM(RIGHT(SUBSTITUTE(TRIM(I91&amp;"")," ",REPT(" ",60)),60)),코드표!$F$2:$F$101,0))),IF(RIGHT(LEFT(TRIM(I91&amp;""),FIND(" ",TRIM(I91&amp;""))-1),2)="병원",LEFT(TRIM(I91&amp;""),FIND(" ",TRIM(I91&amp;""))-1),LEFT(TRIM(I91&amp;""),FIND(" ",TRIM(I91&amp;""))-1)&amp;"병원")&amp;" "&amp;INDEX(코드표!$G$2:$G$101,MATCH(TRIM(RIGHT(SUBSTITUTE(TRIM(I91&amp;"")," ",REPT(" ",60)),60)),코드표!$F$2:$F$101,0)),"⚠"&amp;TRIM(I91&amp;""))),"⚠"&amp;TRIM(I91&amp;""))</f>
        <v/>
      </c>
      <c r="R91" s="10">
        <f>IFERROR(IF(TRIM(J91&amp;"")="","",IF(AND(ISNUMBER(FIND(" ",TRIM(J91&amp;""))),COUNTIF(코드표!$A$2:$A$21,IF(RIGHT(LEFT(TRIM(J91&amp;""),FIND(" ",TRIM(J91&amp;""))-1),2)="병원",LEFT(TRIM(J91&amp;""),FIND(" ",TRIM(J91&amp;""))-1),LEFT(TRIM(J91&amp;""),FIND(" ",TRIM(J91&amp;""))-1)&amp;"병원"))&gt;0,ISNUMBER(MATCH(TRIM(RIGHT(SUBSTITUTE(TRIM(J91&amp;"")," ",REPT(" ",60)),60)),코드표!$F$2:$F$101,0))),IF(RIGHT(LEFT(TRIM(J91&amp;""),FIND(" ",TRIM(J91&amp;""))-1),2)="병원",LEFT(TRIM(J91&amp;""),FIND(" ",TRIM(J91&amp;""))-1),LEFT(TRIM(J91&amp;""),FIND(" ",TRIM(J91&amp;""))-1)&amp;"병원")&amp;" "&amp;INDEX(코드표!$G$2:$G$101,MATCH(TRIM(RIGHT(SUBSTITUTE(TRIM(J91&amp;"")," ",REPT(" ",60)),60)),코드표!$F$2:$F$101,0)),"⚠"&amp;TRIM(J91&amp;""))),"⚠"&amp;TRIM(J91&amp;""))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",TRIM(E92&amp;""))),COUNTIF(코드표!$A$2:$A$21,IF(RIGHT(LEFT(TRIM(E92&amp;""),FIND(" ",TRIM(E92&amp;""))-1),2)="병원",LEFT(TRIM(E92&amp;""),FIND(" ",TRIM(E92&amp;""))-1),LEFT(TRIM(E92&amp;""),FIND(" ",TRIM(E92&amp;""))-1)&amp;"병원"))&gt;0,ISNUMBER(MATCH(TRIM(RIGHT(SUBSTITUTE(TRIM(E92&amp;"")," ",REPT(" ",60)),60)),코드표!$F$2:$F$101,0))),IF(RIGHT(LEFT(TRIM(E92&amp;""),FIND(" ",TRIM(E92&amp;""))-1),2)="병원",LEFT(TRIM(E92&amp;""),FIND(" ",TRIM(E92&amp;""))-1),LEFT(TRIM(E92&amp;""),FIND(" ",TRIM(E92&amp;""))-1)&amp;"병원")&amp;" "&amp;INDEX(코드표!$G$2:$G$101,MATCH(TRIM(RIGHT(SUBSTITUTE(TRIM(E92&amp;"")," ",REPT(" ",60)),60)),코드표!$F$2:$F$101,0)),"⚠"&amp;TRIM(E92&amp;""))),"⚠"&amp;TRIM(E92&amp;""))</f>
        <v/>
      </c>
      <c r="N92" s="10">
        <f>IFERROR(IF(TRIM(F92&amp;"")="","",IF(AND(ISNUMBER(FIND(" ",TRIM(F92&amp;""))),COUNTIF(코드표!$A$2:$A$21,IF(RIGHT(LEFT(TRIM(F92&amp;""),FIND(" ",TRIM(F92&amp;""))-1),2)="병원",LEFT(TRIM(F92&amp;""),FIND(" ",TRIM(F92&amp;""))-1),LEFT(TRIM(F92&amp;""),FIND(" ",TRIM(F92&amp;""))-1)&amp;"병원"))&gt;0,ISNUMBER(MATCH(TRIM(RIGHT(SUBSTITUTE(TRIM(F92&amp;"")," ",REPT(" ",60)),60)),코드표!$F$2:$F$101,0))),IF(RIGHT(LEFT(TRIM(F92&amp;""),FIND(" ",TRIM(F92&amp;""))-1),2)="병원",LEFT(TRIM(F92&amp;""),FIND(" ",TRIM(F92&amp;""))-1),LEFT(TRIM(F92&amp;""),FIND(" ",TRIM(F92&amp;""))-1)&amp;"병원")&amp;" "&amp;INDEX(코드표!$G$2:$G$101,MATCH(TRIM(RIGHT(SUBSTITUTE(TRIM(F92&amp;"")," ",REPT(" ",60)),60)),코드표!$F$2:$F$101,0)),"⚠"&amp;TRIM(F92&amp;""))),"⚠"&amp;TRIM(F92&amp;""))</f>
        <v/>
      </c>
      <c r="O92" s="10">
        <f>IFERROR(IF(TRIM(G92&amp;"")="","",IF(AND(ISNUMBER(FIND(" ",TRIM(G92&amp;""))),COUNTIF(코드표!$A$2:$A$21,IF(RIGHT(LEFT(TRIM(G92&amp;""),FIND(" ",TRIM(G92&amp;""))-1),2)="병원",LEFT(TRIM(G92&amp;""),FIND(" ",TRIM(G92&amp;""))-1),LEFT(TRIM(G92&amp;""),FIND(" ",TRIM(G92&amp;""))-1)&amp;"병원"))&gt;0,ISNUMBER(MATCH(TRIM(RIGHT(SUBSTITUTE(TRIM(G92&amp;"")," ",REPT(" ",60)),60)),코드표!$F$2:$F$101,0))),IF(RIGHT(LEFT(TRIM(G92&amp;""),FIND(" ",TRIM(G92&amp;""))-1),2)="병원",LEFT(TRIM(G92&amp;""),FIND(" ",TRIM(G92&amp;""))-1),LEFT(TRIM(G92&amp;""),FIND(" ",TRIM(G92&amp;""))-1)&amp;"병원")&amp;" "&amp;INDEX(코드표!$G$2:$G$101,MATCH(TRIM(RIGHT(SUBSTITUTE(TRIM(G92&amp;"")," ",REPT(" ",60)),60)),코드표!$F$2:$F$101,0)),"⚠"&amp;TRIM(G92&amp;""))),"⚠"&amp;TRIM(G92&amp;""))</f>
        <v/>
      </c>
      <c r="P92" s="10">
        <f>IFERROR(IF(TRIM(H92&amp;"")="","",IF(AND(ISNUMBER(FIND(" ",TRIM(H92&amp;""))),COUNTIF(코드표!$A$2:$A$21,IF(RIGHT(LEFT(TRIM(H92&amp;""),FIND(" ",TRIM(H92&amp;""))-1),2)="병원",LEFT(TRIM(H92&amp;""),FIND(" ",TRIM(H92&amp;""))-1),LEFT(TRIM(H92&amp;""),FIND(" ",TRIM(H92&amp;""))-1)&amp;"병원"))&gt;0,ISNUMBER(MATCH(TRIM(RIGHT(SUBSTITUTE(TRIM(H92&amp;"")," ",REPT(" ",60)),60)),코드표!$F$2:$F$101,0))),IF(RIGHT(LEFT(TRIM(H92&amp;""),FIND(" ",TRIM(H92&amp;""))-1),2)="병원",LEFT(TRIM(H92&amp;""),FIND(" ",TRIM(H92&amp;""))-1),LEFT(TRIM(H92&amp;""),FIND(" ",TRIM(H92&amp;""))-1)&amp;"병원")&amp;" "&amp;INDEX(코드표!$G$2:$G$101,MATCH(TRIM(RIGHT(SUBSTITUTE(TRIM(H92&amp;"")," ",REPT(" ",60)),60)),코드표!$F$2:$F$101,0)),"⚠"&amp;TRIM(H92&amp;""))),"⚠"&amp;TRIM(H92&amp;""))</f>
        <v/>
      </c>
      <c r="Q92" s="10">
        <f>IFERROR(IF(TRIM(I92&amp;"")="","",IF(AND(ISNUMBER(FIND(" ",TRIM(I92&amp;""))),COUNTIF(코드표!$A$2:$A$21,IF(RIGHT(LEFT(TRIM(I92&amp;""),FIND(" ",TRIM(I92&amp;""))-1),2)="병원",LEFT(TRIM(I92&amp;""),FIND(" ",TRIM(I92&amp;""))-1),LEFT(TRIM(I92&amp;""),FIND(" ",TRIM(I92&amp;""))-1)&amp;"병원"))&gt;0,ISNUMBER(MATCH(TRIM(RIGHT(SUBSTITUTE(TRIM(I92&amp;"")," ",REPT(" ",60)),60)),코드표!$F$2:$F$101,0))),IF(RIGHT(LEFT(TRIM(I92&amp;""),FIND(" ",TRIM(I92&amp;""))-1),2)="병원",LEFT(TRIM(I92&amp;""),FIND(" ",TRIM(I92&amp;""))-1),LEFT(TRIM(I92&amp;""),FIND(" ",TRIM(I92&amp;""))-1)&amp;"병원")&amp;" "&amp;INDEX(코드표!$G$2:$G$101,MATCH(TRIM(RIGHT(SUBSTITUTE(TRIM(I92&amp;"")," ",REPT(" ",60)),60)),코드표!$F$2:$F$101,0)),"⚠"&amp;TRIM(I92&amp;""))),"⚠"&amp;TRIM(I92&amp;""))</f>
        <v/>
      </c>
      <c r="R92" s="10">
        <f>IFERROR(IF(TRIM(J92&amp;"")="","",IF(AND(ISNUMBER(FIND(" ",TRIM(J92&amp;""))),COUNTIF(코드표!$A$2:$A$21,IF(RIGHT(LEFT(TRIM(J92&amp;""),FIND(" ",TRIM(J92&amp;""))-1),2)="병원",LEFT(TRIM(J92&amp;""),FIND(" ",TRIM(J92&amp;""))-1),LEFT(TRIM(J92&amp;""),FIND(" ",TRIM(J92&amp;""))-1)&amp;"병원"))&gt;0,ISNUMBER(MATCH(TRIM(RIGHT(SUBSTITUTE(TRIM(J92&amp;"")," ",REPT(" ",60)),60)),코드표!$F$2:$F$101,0))),IF(RIGHT(LEFT(TRIM(J92&amp;""),FIND(" ",TRIM(J92&amp;""))-1),2)="병원",LEFT(TRIM(J92&amp;""),FIND(" ",TRIM(J92&amp;""))-1),LEFT(TRIM(J92&amp;""),FIND(" ",TRIM(J92&amp;""))-1)&amp;"병원")&amp;" "&amp;INDEX(코드표!$G$2:$G$101,MATCH(TRIM(RIGHT(SUBSTITUTE(TRIM(J92&amp;"")," ",REPT(" ",60)),60)),코드표!$F$2:$F$101,0)),"⚠"&amp;TRIM(J92&amp;""))),"⚠"&amp;TRIM(J92&amp;""))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",TRIM(E93&amp;""))),COUNTIF(코드표!$A$2:$A$21,IF(RIGHT(LEFT(TRIM(E93&amp;""),FIND(" ",TRIM(E93&amp;""))-1),2)="병원",LEFT(TRIM(E93&amp;""),FIND(" ",TRIM(E93&amp;""))-1),LEFT(TRIM(E93&amp;""),FIND(" ",TRIM(E93&amp;""))-1)&amp;"병원"))&gt;0,ISNUMBER(MATCH(TRIM(RIGHT(SUBSTITUTE(TRIM(E93&amp;"")," ",REPT(" ",60)),60)),코드표!$F$2:$F$101,0))),IF(RIGHT(LEFT(TRIM(E93&amp;""),FIND(" ",TRIM(E93&amp;""))-1),2)="병원",LEFT(TRIM(E93&amp;""),FIND(" ",TRIM(E93&amp;""))-1),LEFT(TRIM(E93&amp;""),FIND(" ",TRIM(E93&amp;""))-1)&amp;"병원")&amp;" "&amp;INDEX(코드표!$G$2:$G$101,MATCH(TRIM(RIGHT(SUBSTITUTE(TRIM(E93&amp;"")," ",REPT(" ",60)),60)),코드표!$F$2:$F$101,0)),"⚠"&amp;TRIM(E93&amp;""))),"⚠"&amp;TRIM(E93&amp;""))</f>
        <v/>
      </c>
      <c r="N93" s="10">
        <f>IFERROR(IF(TRIM(F93&amp;"")="","",IF(AND(ISNUMBER(FIND(" ",TRIM(F93&amp;""))),COUNTIF(코드표!$A$2:$A$21,IF(RIGHT(LEFT(TRIM(F93&amp;""),FIND(" ",TRIM(F93&amp;""))-1),2)="병원",LEFT(TRIM(F93&amp;""),FIND(" ",TRIM(F93&amp;""))-1),LEFT(TRIM(F93&amp;""),FIND(" ",TRIM(F93&amp;""))-1)&amp;"병원"))&gt;0,ISNUMBER(MATCH(TRIM(RIGHT(SUBSTITUTE(TRIM(F93&amp;"")," ",REPT(" ",60)),60)),코드표!$F$2:$F$101,0))),IF(RIGHT(LEFT(TRIM(F93&amp;""),FIND(" ",TRIM(F93&amp;""))-1),2)="병원",LEFT(TRIM(F93&amp;""),FIND(" ",TRIM(F93&amp;""))-1),LEFT(TRIM(F93&amp;""),FIND(" ",TRIM(F93&amp;""))-1)&amp;"병원")&amp;" "&amp;INDEX(코드표!$G$2:$G$101,MATCH(TRIM(RIGHT(SUBSTITUTE(TRIM(F93&amp;"")," ",REPT(" ",60)),60)),코드표!$F$2:$F$101,0)),"⚠"&amp;TRIM(F93&amp;""))),"⚠"&amp;TRIM(F93&amp;""))</f>
        <v/>
      </c>
      <c r="O93" s="10">
        <f>IFERROR(IF(TRIM(G93&amp;"")="","",IF(AND(ISNUMBER(FIND(" ",TRIM(G93&amp;""))),COUNTIF(코드표!$A$2:$A$21,IF(RIGHT(LEFT(TRIM(G93&amp;""),FIND(" ",TRIM(G93&amp;""))-1),2)="병원",LEFT(TRIM(G93&amp;""),FIND(" ",TRIM(G93&amp;""))-1),LEFT(TRIM(G93&amp;""),FIND(" ",TRIM(G93&amp;""))-1)&amp;"병원"))&gt;0,ISNUMBER(MATCH(TRIM(RIGHT(SUBSTITUTE(TRIM(G93&amp;"")," ",REPT(" ",60)),60)),코드표!$F$2:$F$101,0))),IF(RIGHT(LEFT(TRIM(G93&amp;""),FIND(" ",TRIM(G93&amp;""))-1),2)="병원",LEFT(TRIM(G93&amp;""),FIND(" ",TRIM(G93&amp;""))-1),LEFT(TRIM(G93&amp;""),FIND(" ",TRIM(G93&amp;""))-1)&amp;"병원")&amp;" "&amp;INDEX(코드표!$G$2:$G$101,MATCH(TRIM(RIGHT(SUBSTITUTE(TRIM(G93&amp;"")," ",REPT(" ",60)),60)),코드표!$F$2:$F$101,0)),"⚠"&amp;TRIM(G93&amp;""))),"⚠"&amp;TRIM(G93&amp;""))</f>
        <v/>
      </c>
      <c r="P93" s="10">
        <f>IFERROR(IF(TRIM(H93&amp;"")="","",IF(AND(ISNUMBER(FIND(" ",TRIM(H93&amp;""))),COUNTIF(코드표!$A$2:$A$21,IF(RIGHT(LEFT(TRIM(H93&amp;""),FIND(" ",TRIM(H93&amp;""))-1),2)="병원",LEFT(TRIM(H93&amp;""),FIND(" ",TRIM(H93&amp;""))-1),LEFT(TRIM(H93&amp;""),FIND(" ",TRIM(H93&amp;""))-1)&amp;"병원"))&gt;0,ISNUMBER(MATCH(TRIM(RIGHT(SUBSTITUTE(TRIM(H93&amp;"")," ",REPT(" ",60)),60)),코드표!$F$2:$F$101,0))),IF(RIGHT(LEFT(TRIM(H93&amp;""),FIND(" ",TRIM(H93&amp;""))-1),2)="병원",LEFT(TRIM(H93&amp;""),FIND(" ",TRIM(H93&amp;""))-1),LEFT(TRIM(H93&amp;""),FIND(" ",TRIM(H93&amp;""))-1)&amp;"병원")&amp;" "&amp;INDEX(코드표!$G$2:$G$101,MATCH(TRIM(RIGHT(SUBSTITUTE(TRIM(H93&amp;"")," ",REPT(" ",60)),60)),코드표!$F$2:$F$101,0)),"⚠"&amp;TRIM(H93&amp;""))),"⚠"&amp;TRIM(H93&amp;""))</f>
        <v/>
      </c>
      <c r="Q93" s="10">
        <f>IFERROR(IF(TRIM(I93&amp;"")="","",IF(AND(ISNUMBER(FIND(" ",TRIM(I93&amp;""))),COUNTIF(코드표!$A$2:$A$21,IF(RIGHT(LEFT(TRIM(I93&amp;""),FIND(" ",TRIM(I93&amp;""))-1),2)="병원",LEFT(TRIM(I93&amp;""),FIND(" ",TRIM(I93&amp;""))-1),LEFT(TRIM(I93&amp;""),FIND(" ",TRIM(I93&amp;""))-1)&amp;"병원"))&gt;0,ISNUMBER(MATCH(TRIM(RIGHT(SUBSTITUTE(TRIM(I93&amp;"")," ",REPT(" ",60)),60)),코드표!$F$2:$F$101,0))),IF(RIGHT(LEFT(TRIM(I93&amp;""),FIND(" ",TRIM(I93&amp;""))-1),2)="병원",LEFT(TRIM(I93&amp;""),FIND(" ",TRIM(I93&amp;""))-1),LEFT(TRIM(I93&amp;""),FIND(" ",TRIM(I93&amp;""))-1)&amp;"병원")&amp;" "&amp;INDEX(코드표!$G$2:$G$101,MATCH(TRIM(RIGHT(SUBSTITUTE(TRIM(I93&amp;"")," ",REPT(" ",60)),60)),코드표!$F$2:$F$101,0)),"⚠"&amp;TRIM(I93&amp;""))),"⚠"&amp;TRIM(I93&amp;""))</f>
        <v/>
      </c>
      <c r="R93" s="10">
        <f>IFERROR(IF(TRIM(J93&amp;"")="","",IF(AND(ISNUMBER(FIND(" ",TRIM(J93&amp;""))),COUNTIF(코드표!$A$2:$A$21,IF(RIGHT(LEFT(TRIM(J93&amp;""),FIND(" ",TRIM(J93&amp;""))-1),2)="병원",LEFT(TRIM(J93&amp;""),FIND(" ",TRIM(J93&amp;""))-1),LEFT(TRIM(J93&amp;""),FIND(" ",TRIM(J93&amp;""))-1)&amp;"병원"))&gt;0,ISNUMBER(MATCH(TRIM(RIGHT(SUBSTITUTE(TRIM(J93&amp;"")," ",REPT(" ",60)),60)),코드표!$F$2:$F$101,0))),IF(RIGHT(LEFT(TRIM(J93&amp;""),FIND(" ",TRIM(J93&amp;""))-1),2)="병원",LEFT(TRIM(J93&amp;""),FIND(" ",TRIM(J93&amp;""))-1),LEFT(TRIM(J93&amp;""),FIND(" ",TRIM(J93&amp;""))-1)&amp;"병원")&amp;" "&amp;INDEX(코드표!$G$2:$G$101,MATCH(TRIM(RIGHT(SUBSTITUTE(TRIM(J93&amp;"")," ",REPT(" ",60)),60)),코드표!$F$2:$F$101,0)),"⚠"&amp;TRIM(J93&amp;""))),"⚠"&amp;TRIM(J93&amp;""))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",TRIM(E94&amp;""))),COUNTIF(코드표!$A$2:$A$21,IF(RIGHT(LEFT(TRIM(E94&amp;""),FIND(" ",TRIM(E94&amp;""))-1),2)="병원",LEFT(TRIM(E94&amp;""),FIND(" ",TRIM(E94&amp;""))-1),LEFT(TRIM(E94&amp;""),FIND(" ",TRIM(E94&amp;""))-1)&amp;"병원"))&gt;0,ISNUMBER(MATCH(TRIM(RIGHT(SUBSTITUTE(TRIM(E94&amp;"")," ",REPT(" ",60)),60)),코드표!$F$2:$F$101,0))),IF(RIGHT(LEFT(TRIM(E94&amp;""),FIND(" ",TRIM(E94&amp;""))-1),2)="병원",LEFT(TRIM(E94&amp;""),FIND(" ",TRIM(E94&amp;""))-1),LEFT(TRIM(E94&amp;""),FIND(" ",TRIM(E94&amp;""))-1)&amp;"병원")&amp;" "&amp;INDEX(코드표!$G$2:$G$101,MATCH(TRIM(RIGHT(SUBSTITUTE(TRIM(E94&amp;"")," ",REPT(" ",60)),60)),코드표!$F$2:$F$101,0)),"⚠"&amp;TRIM(E94&amp;""))),"⚠"&amp;TRIM(E94&amp;""))</f>
        <v/>
      </c>
      <c r="N94" s="10">
        <f>IFERROR(IF(TRIM(F94&amp;"")="","",IF(AND(ISNUMBER(FIND(" ",TRIM(F94&amp;""))),COUNTIF(코드표!$A$2:$A$21,IF(RIGHT(LEFT(TRIM(F94&amp;""),FIND(" ",TRIM(F94&amp;""))-1),2)="병원",LEFT(TRIM(F94&amp;""),FIND(" ",TRIM(F94&amp;""))-1),LEFT(TRIM(F94&amp;""),FIND(" ",TRIM(F94&amp;""))-1)&amp;"병원"))&gt;0,ISNUMBER(MATCH(TRIM(RIGHT(SUBSTITUTE(TRIM(F94&amp;"")," ",REPT(" ",60)),60)),코드표!$F$2:$F$101,0))),IF(RIGHT(LEFT(TRIM(F94&amp;""),FIND(" ",TRIM(F94&amp;""))-1),2)="병원",LEFT(TRIM(F94&amp;""),FIND(" ",TRIM(F94&amp;""))-1),LEFT(TRIM(F94&amp;""),FIND(" ",TRIM(F94&amp;""))-1)&amp;"병원")&amp;" "&amp;INDEX(코드표!$G$2:$G$101,MATCH(TRIM(RIGHT(SUBSTITUTE(TRIM(F94&amp;"")," ",REPT(" ",60)),60)),코드표!$F$2:$F$101,0)),"⚠"&amp;TRIM(F94&amp;""))),"⚠"&amp;TRIM(F94&amp;""))</f>
        <v/>
      </c>
      <c r="O94" s="10">
        <f>IFERROR(IF(TRIM(G94&amp;"")="","",IF(AND(ISNUMBER(FIND(" ",TRIM(G94&amp;""))),COUNTIF(코드표!$A$2:$A$21,IF(RIGHT(LEFT(TRIM(G94&amp;""),FIND(" ",TRIM(G94&amp;""))-1),2)="병원",LEFT(TRIM(G94&amp;""),FIND(" ",TRIM(G94&amp;""))-1),LEFT(TRIM(G94&amp;""),FIND(" ",TRIM(G94&amp;""))-1)&amp;"병원"))&gt;0,ISNUMBER(MATCH(TRIM(RIGHT(SUBSTITUTE(TRIM(G94&amp;"")," ",REPT(" ",60)),60)),코드표!$F$2:$F$101,0))),IF(RIGHT(LEFT(TRIM(G94&amp;""),FIND(" ",TRIM(G94&amp;""))-1),2)="병원",LEFT(TRIM(G94&amp;""),FIND(" ",TRIM(G94&amp;""))-1),LEFT(TRIM(G94&amp;""),FIND(" ",TRIM(G94&amp;""))-1)&amp;"병원")&amp;" "&amp;INDEX(코드표!$G$2:$G$101,MATCH(TRIM(RIGHT(SUBSTITUTE(TRIM(G94&amp;"")," ",REPT(" ",60)),60)),코드표!$F$2:$F$101,0)),"⚠"&amp;TRIM(G94&amp;""))),"⚠"&amp;TRIM(G94&amp;""))</f>
        <v/>
      </c>
      <c r="P94" s="10">
        <f>IFERROR(IF(TRIM(H94&amp;"")="","",IF(AND(ISNUMBER(FIND(" ",TRIM(H94&amp;""))),COUNTIF(코드표!$A$2:$A$21,IF(RIGHT(LEFT(TRIM(H94&amp;""),FIND(" ",TRIM(H94&amp;""))-1),2)="병원",LEFT(TRIM(H94&amp;""),FIND(" ",TRIM(H94&amp;""))-1),LEFT(TRIM(H94&amp;""),FIND(" ",TRIM(H94&amp;""))-1)&amp;"병원"))&gt;0,ISNUMBER(MATCH(TRIM(RIGHT(SUBSTITUTE(TRIM(H94&amp;"")," ",REPT(" ",60)),60)),코드표!$F$2:$F$101,0))),IF(RIGHT(LEFT(TRIM(H94&amp;""),FIND(" ",TRIM(H94&amp;""))-1),2)="병원",LEFT(TRIM(H94&amp;""),FIND(" ",TRIM(H94&amp;""))-1),LEFT(TRIM(H94&amp;""),FIND(" ",TRIM(H94&amp;""))-1)&amp;"병원")&amp;" "&amp;INDEX(코드표!$G$2:$G$101,MATCH(TRIM(RIGHT(SUBSTITUTE(TRIM(H94&amp;"")," ",REPT(" ",60)),60)),코드표!$F$2:$F$101,0)),"⚠"&amp;TRIM(H94&amp;""))),"⚠"&amp;TRIM(H94&amp;""))</f>
        <v/>
      </c>
      <c r="Q94" s="10">
        <f>IFERROR(IF(TRIM(I94&amp;"")="","",IF(AND(ISNUMBER(FIND(" ",TRIM(I94&amp;""))),COUNTIF(코드표!$A$2:$A$21,IF(RIGHT(LEFT(TRIM(I94&amp;""),FIND(" ",TRIM(I94&amp;""))-1),2)="병원",LEFT(TRIM(I94&amp;""),FIND(" ",TRIM(I94&amp;""))-1),LEFT(TRIM(I94&amp;""),FIND(" ",TRIM(I94&amp;""))-1)&amp;"병원"))&gt;0,ISNUMBER(MATCH(TRIM(RIGHT(SUBSTITUTE(TRIM(I94&amp;"")," ",REPT(" ",60)),60)),코드표!$F$2:$F$101,0))),IF(RIGHT(LEFT(TRIM(I94&amp;""),FIND(" ",TRIM(I94&amp;""))-1),2)="병원",LEFT(TRIM(I94&amp;""),FIND(" ",TRIM(I94&amp;""))-1),LEFT(TRIM(I94&amp;""),FIND(" ",TRIM(I94&amp;""))-1)&amp;"병원")&amp;" "&amp;INDEX(코드표!$G$2:$G$101,MATCH(TRIM(RIGHT(SUBSTITUTE(TRIM(I94&amp;"")," ",REPT(" ",60)),60)),코드표!$F$2:$F$101,0)),"⚠"&amp;TRIM(I94&amp;""))),"⚠"&amp;TRIM(I94&amp;""))</f>
        <v/>
      </c>
      <c r="R94" s="10">
        <f>IFERROR(IF(TRIM(J94&amp;"")="","",IF(AND(ISNUMBER(FIND(" ",TRIM(J94&amp;""))),COUNTIF(코드표!$A$2:$A$21,IF(RIGHT(LEFT(TRIM(J94&amp;""),FIND(" ",TRIM(J94&amp;""))-1),2)="병원",LEFT(TRIM(J94&amp;""),FIND(" ",TRIM(J94&amp;""))-1),LEFT(TRIM(J94&amp;""),FIND(" ",TRIM(J94&amp;""))-1)&amp;"병원"))&gt;0,ISNUMBER(MATCH(TRIM(RIGHT(SUBSTITUTE(TRIM(J94&amp;"")," ",REPT(" ",60)),60)),코드표!$F$2:$F$101,0))),IF(RIGHT(LEFT(TRIM(J94&amp;""),FIND(" ",TRIM(J94&amp;""))-1),2)="병원",LEFT(TRIM(J94&amp;""),FIND(" ",TRIM(J94&amp;""))-1),LEFT(TRIM(J94&amp;""),FIND(" ",TRIM(J94&amp;""))-1)&amp;"병원")&amp;" "&amp;INDEX(코드표!$G$2:$G$101,MATCH(TRIM(RIGHT(SUBSTITUTE(TRIM(J94&amp;"")," ",REPT(" ",60)),60)),코드표!$F$2:$F$101,0)),"⚠"&amp;TRIM(J94&amp;""))),"⚠"&amp;TRIM(J94&amp;""))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",TRIM(E95&amp;""))),COUNTIF(코드표!$A$2:$A$21,IF(RIGHT(LEFT(TRIM(E95&amp;""),FIND(" ",TRIM(E95&amp;""))-1),2)="병원",LEFT(TRIM(E95&amp;""),FIND(" ",TRIM(E95&amp;""))-1),LEFT(TRIM(E95&amp;""),FIND(" ",TRIM(E95&amp;""))-1)&amp;"병원"))&gt;0,ISNUMBER(MATCH(TRIM(RIGHT(SUBSTITUTE(TRIM(E95&amp;"")," ",REPT(" ",60)),60)),코드표!$F$2:$F$101,0))),IF(RIGHT(LEFT(TRIM(E95&amp;""),FIND(" ",TRIM(E95&amp;""))-1),2)="병원",LEFT(TRIM(E95&amp;""),FIND(" ",TRIM(E95&amp;""))-1),LEFT(TRIM(E95&amp;""),FIND(" ",TRIM(E95&amp;""))-1)&amp;"병원")&amp;" "&amp;INDEX(코드표!$G$2:$G$101,MATCH(TRIM(RIGHT(SUBSTITUTE(TRIM(E95&amp;"")," ",REPT(" ",60)),60)),코드표!$F$2:$F$101,0)),"⚠"&amp;TRIM(E95&amp;""))),"⚠"&amp;TRIM(E95&amp;""))</f>
        <v/>
      </c>
      <c r="N95" s="10">
        <f>IFERROR(IF(TRIM(F95&amp;"")="","",IF(AND(ISNUMBER(FIND(" ",TRIM(F95&amp;""))),COUNTIF(코드표!$A$2:$A$21,IF(RIGHT(LEFT(TRIM(F95&amp;""),FIND(" ",TRIM(F95&amp;""))-1),2)="병원",LEFT(TRIM(F95&amp;""),FIND(" ",TRIM(F95&amp;""))-1),LEFT(TRIM(F95&amp;""),FIND(" ",TRIM(F95&amp;""))-1)&amp;"병원"))&gt;0,ISNUMBER(MATCH(TRIM(RIGHT(SUBSTITUTE(TRIM(F95&amp;"")," ",REPT(" ",60)),60)),코드표!$F$2:$F$101,0))),IF(RIGHT(LEFT(TRIM(F95&amp;""),FIND(" ",TRIM(F95&amp;""))-1),2)="병원",LEFT(TRIM(F95&amp;""),FIND(" ",TRIM(F95&amp;""))-1),LEFT(TRIM(F95&amp;""),FIND(" ",TRIM(F95&amp;""))-1)&amp;"병원")&amp;" "&amp;INDEX(코드표!$G$2:$G$101,MATCH(TRIM(RIGHT(SUBSTITUTE(TRIM(F95&amp;"")," ",REPT(" ",60)),60)),코드표!$F$2:$F$101,0)),"⚠"&amp;TRIM(F95&amp;""))),"⚠"&amp;TRIM(F95&amp;""))</f>
        <v/>
      </c>
      <c r="O95" s="10">
        <f>IFERROR(IF(TRIM(G95&amp;"")="","",IF(AND(ISNUMBER(FIND(" ",TRIM(G95&amp;""))),COUNTIF(코드표!$A$2:$A$21,IF(RIGHT(LEFT(TRIM(G95&amp;""),FIND(" ",TRIM(G95&amp;""))-1),2)="병원",LEFT(TRIM(G95&amp;""),FIND(" ",TRIM(G95&amp;""))-1),LEFT(TRIM(G95&amp;""),FIND(" ",TRIM(G95&amp;""))-1)&amp;"병원"))&gt;0,ISNUMBER(MATCH(TRIM(RIGHT(SUBSTITUTE(TRIM(G95&amp;"")," ",REPT(" ",60)),60)),코드표!$F$2:$F$101,0))),IF(RIGHT(LEFT(TRIM(G95&amp;""),FIND(" ",TRIM(G95&amp;""))-1),2)="병원",LEFT(TRIM(G95&amp;""),FIND(" ",TRIM(G95&amp;""))-1),LEFT(TRIM(G95&amp;""),FIND(" ",TRIM(G95&amp;""))-1)&amp;"병원")&amp;" "&amp;INDEX(코드표!$G$2:$G$101,MATCH(TRIM(RIGHT(SUBSTITUTE(TRIM(G95&amp;"")," ",REPT(" ",60)),60)),코드표!$F$2:$F$101,0)),"⚠"&amp;TRIM(G95&amp;""))),"⚠"&amp;TRIM(G95&amp;""))</f>
        <v/>
      </c>
      <c r="P95" s="10">
        <f>IFERROR(IF(TRIM(H95&amp;"")="","",IF(AND(ISNUMBER(FIND(" ",TRIM(H95&amp;""))),COUNTIF(코드표!$A$2:$A$21,IF(RIGHT(LEFT(TRIM(H95&amp;""),FIND(" ",TRIM(H95&amp;""))-1),2)="병원",LEFT(TRIM(H95&amp;""),FIND(" ",TRIM(H95&amp;""))-1),LEFT(TRIM(H95&amp;""),FIND(" ",TRIM(H95&amp;""))-1)&amp;"병원"))&gt;0,ISNUMBER(MATCH(TRIM(RIGHT(SUBSTITUTE(TRIM(H95&amp;"")," ",REPT(" ",60)),60)),코드표!$F$2:$F$101,0))),IF(RIGHT(LEFT(TRIM(H95&amp;""),FIND(" ",TRIM(H95&amp;""))-1),2)="병원",LEFT(TRIM(H95&amp;""),FIND(" ",TRIM(H95&amp;""))-1),LEFT(TRIM(H95&amp;""),FIND(" ",TRIM(H95&amp;""))-1)&amp;"병원")&amp;" "&amp;INDEX(코드표!$G$2:$G$101,MATCH(TRIM(RIGHT(SUBSTITUTE(TRIM(H95&amp;"")," ",REPT(" ",60)),60)),코드표!$F$2:$F$101,0)),"⚠"&amp;TRIM(H95&amp;""))),"⚠"&amp;TRIM(H95&amp;""))</f>
        <v/>
      </c>
      <c r="Q95" s="10">
        <f>IFERROR(IF(TRIM(I95&amp;"")="","",IF(AND(ISNUMBER(FIND(" ",TRIM(I95&amp;""))),COUNTIF(코드표!$A$2:$A$21,IF(RIGHT(LEFT(TRIM(I95&amp;""),FIND(" ",TRIM(I95&amp;""))-1),2)="병원",LEFT(TRIM(I95&amp;""),FIND(" ",TRIM(I95&amp;""))-1),LEFT(TRIM(I95&amp;""),FIND(" ",TRIM(I95&amp;""))-1)&amp;"병원"))&gt;0,ISNUMBER(MATCH(TRIM(RIGHT(SUBSTITUTE(TRIM(I95&amp;"")," ",REPT(" ",60)),60)),코드표!$F$2:$F$101,0))),IF(RIGHT(LEFT(TRIM(I95&amp;""),FIND(" ",TRIM(I95&amp;""))-1),2)="병원",LEFT(TRIM(I95&amp;""),FIND(" ",TRIM(I95&amp;""))-1),LEFT(TRIM(I95&amp;""),FIND(" ",TRIM(I95&amp;""))-1)&amp;"병원")&amp;" "&amp;INDEX(코드표!$G$2:$G$101,MATCH(TRIM(RIGHT(SUBSTITUTE(TRIM(I95&amp;"")," ",REPT(" ",60)),60)),코드표!$F$2:$F$101,0)),"⚠"&amp;TRIM(I95&amp;""))),"⚠"&amp;TRIM(I95&amp;""))</f>
        <v/>
      </c>
      <c r="R95" s="10">
        <f>IFERROR(IF(TRIM(J95&amp;"")="","",IF(AND(ISNUMBER(FIND(" ",TRIM(J95&amp;""))),COUNTIF(코드표!$A$2:$A$21,IF(RIGHT(LEFT(TRIM(J95&amp;""),FIND(" ",TRIM(J95&amp;""))-1),2)="병원",LEFT(TRIM(J95&amp;""),FIND(" ",TRIM(J95&amp;""))-1),LEFT(TRIM(J95&amp;""),FIND(" ",TRIM(J95&amp;""))-1)&amp;"병원"))&gt;0,ISNUMBER(MATCH(TRIM(RIGHT(SUBSTITUTE(TRIM(J95&amp;"")," ",REPT(" ",60)),60)),코드표!$F$2:$F$101,0))),IF(RIGHT(LEFT(TRIM(J95&amp;""),FIND(" ",TRIM(J95&amp;""))-1),2)="병원",LEFT(TRIM(J95&amp;""),FIND(" ",TRIM(J95&amp;""))-1),LEFT(TRIM(J95&amp;""),FIND(" ",TRIM(J95&amp;""))-1)&amp;"병원")&amp;" "&amp;INDEX(코드표!$G$2:$G$101,MATCH(TRIM(RIGHT(SUBSTITUTE(TRIM(J95&amp;"")," ",REPT(" ",60)),60)),코드표!$F$2:$F$101,0)),"⚠"&amp;TRIM(J95&amp;""))),"⚠"&amp;TRIM(J95&amp;""))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",TRIM(E96&amp;""))),COUNTIF(코드표!$A$2:$A$21,IF(RIGHT(LEFT(TRIM(E96&amp;""),FIND(" ",TRIM(E96&amp;""))-1),2)="병원",LEFT(TRIM(E96&amp;""),FIND(" ",TRIM(E96&amp;""))-1),LEFT(TRIM(E96&amp;""),FIND(" ",TRIM(E96&amp;""))-1)&amp;"병원"))&gt;0,ISNUMBER(MATCH(TRIM(RIGHT(SUBSTITUTE(TRIM(E96&amp;"")," ",REPT(" ",60)),60)),코드표!$F$2:$F$101,0))),IF(RIGHT(LEFT(TRIM(E96&amp;""),FIND(" ",TRIM(E96&amp;""))-1),2)="병원",LEFT(TRIM(E96&amp;""),FIND(" ",TRIM(E96&amp;""))-1),LEFT(TRIM(E96&amp;""),FIND(" ",TRIM(E96&amp;""))-1)&amp;"병원")&amp;" "&amp;INDEX(코드표!$G$2:$G$101,MATCH(TRIM(RIGHT(SUBSTITUTE(TRIM(E96&amp;"")," ",REPT(" ",60)),60)),코드표!$F$2:$F$101,0)),"⚠"&amp;TRIM(E96&amp;""))),"⚠"&amp;TRIM(E96&amp;""))</f>
        <v/>
      </c>
      <c r="N96" s="10">
        <f>IFERROR(IF(TRIM(F96&amp;"")="","",IF(AND(ISNUMBER(FIND(" ",TRIM(F96&amp;""))),COUNTIF(코드표!$A$2:$A$21,IF(RIGHT(LEFT(TRIM(F96&amp;""),FIND(" ",TRIM(F96&amp;""))-1),2)="병원",LEFT(TRIM(F96&amp;""),FIND(" ",TRIM(F96&amp;""))-1),LEFT(TRIM(F96&amp;""),FIND(" ",TRIM(F96&amp;""))-1)&amp;"병원"))&gt;0,ISNUMBER(MATCH(TRIM(RIGHT(SUBSTITUTE(TRIM(F96&amp;"")," ",REPT(" ",60)),60)),코드표!$F$2:$F$101,0))),IF(RIGHT(LEFT(TRIM(F96&amp;""),FIND(" ",TRIM(F96&amp;""))-1),2)="병원",LEFT(TRIM(F96&amp;""),FIND(" ",TRIM(F96&amp;""))-1),LEFT(TRIM(F96&amp;""),FIND(" ",TRIM(F96&amp;""))-1)&amp;"병원")&amp;" "&amp;INDEX(코드표!$G$2:$G$101,MATCH(TRIM(RIGHT(SUBSTITUTE(TRIM(F96&amp;"")," ",REPT(" ",60)),60)),코드표!$F$2:$F$101,0)),"⚠"&amp;TRIM(F96&amp;""))),"⚠"&amp;TRIM(F96&amp;""))</f>
        <v/>
      </c>
      <c r="O96" s="10">
        <f>IFERROR(IF(TRIM(G96&amp;"")="","",IF(AND(ISNUMBER(FIND(" ",TRIM(G96&amp;""))),COUNTIF(코드표!$A$2:$A$21,IF(RIGHT(LEFT(TRIM(G96&amp;""),FIND(" ",TRIM(G96&amp;""))-1),2)="병원",LEFT(TRIM(G96&amp;""),FIND(" ",TRIM(G96&amp;""))-1),LEFT(TRIM(G96&amp;""),FIND(" ",TRIM(G96&amp;""))-1)&amp;"병원"))&gt;0,ISNUMBER(MATCH(TRIM(RIGHT(SUBSTITUTE(TRIM(G96&amp;"")," ",REPT(" ",60)),60)),코드표!$F$2:$F$101,0))),IF(RIGHT(LEFT(TRIM(G96&amp;""),FIND(" ",TRIM(G96&amp;""))-1),2)="병원",LEFT(TRIM(G96&amp;""),FIND(" ",TRIM(G96&amp;""))-1),LEFT(TRIM(G96&amp;""),FIND(" ",TRIM(G96&amp;""))-1)&amp;"병원")&amp;" "&amp;INDEX(코드표!$G$2:$G$101,MATCH(TRIM(RIGHT(SUBSTITUTE(TRIM(G96&amp;"")," ",REPT(" ",60)),60)),코드표!$F$2:$F$101,0)),"⚠"&amp;TRIM(G96&amp;""))),"⚠"&amp;TRIM(G96&amp;""))</f>
        <v/>
      </c>
      <c r="P96" s="10">
        <f>IFERROR(IF(TRIM(H96&amp;"")="","",IF(AND(ISNUMBER(FIND(" ",TRIM(H96&amp;""))),COUNTIF(코드표!$A$2:$A$21,IF(RIGHT(LEFT(TRIM(H96&amp;""),FIND(" ",TRIM(H96&amp;""))-1),2)="병원",LEFT(TRIM(H96&amp;""),FIND(" ",TRIM(H96&amp;""))-1),LEFT(TRIM(H96&amp;""),FIND(" ",TRIM(H96&amp;""))-1)&amp;"병원"))&gt;0,ISNUMBER(MATCH(TRIM(RIGHT(SUBSTITUTE(TRIM(H96&amp;"")," ",REPT(" ",60)),60)),코드표!$F$2:$F$101,0))),IF(RIGHT(LEFT(TRIM(H96&amp;""),FIND(" ",TRIM(H96&amp;""))-1),2)="병원",LEFT(TRIM(H96&amp;""),FIND(" ",TRIM(H96&amp;""))-1),LEFT(TRIM(H96&amp;""),FIND(" ",TRIM(H96&amp;""))-1)&amp;"병원")&amp;" "&amp;INDEX(코드표!$G$2:$G$101,MATCH(TRIM(RIGHT(SUBSTITUTE(TRIM(H96&amp;"")," ",REPT(" ",60)),60)),코드표!$F$2:$F$101,0)),"⚠"&amp;TRIM(H96&amp;""))),"⚠"&amp;TRIM(H96&amp;""))</f>
        <v/>
      </c>
      <c r="Q96" s="10">
        <f>IFERROR(IF(TRIM(I96&amp;"")="","",IF(AND(ISNUMBER(FIND(" ",TRIM(I96&amp;""))),COUNTIF(코드표!$A$2:$A$21,IF(RIGHT(LEFT(TRIM(I96&amp;""),FIND(" ",TRIM(I96&amp;""))-1),2)="병원",LEFT(TRIM(I96&amp;""),FIND(" ",TRIM(I96&amp;""))-1),LEFT(TRIM(I96&amp;""),FIND(" ",TRIM(I96&amp;""))-1)&amp;"병원"))&gt;0,ISNUMBER(MATCH(TRIM(RIGHT(SUBSTITUTE(TRIM(I96&amp;"")," ",REPT(" ",60)),60)),코드표!$F$2:$F$101,0))),IF(RIGHT(LEFT(TRIM(I96&amp;""),FIND(" ",TRIM(I96&amp;""))-1),2)="병원",LEFT(TRIM(I96&amp;""),FIND(" ",TRIM(I96&amp;""))-1),LEFT(TRIM(I96&amp;""),FIND(" ",TRIM(I96&amp;""))-1)&amp;"병원")&amp;" "&amp;INDEX(코드표!$G$2:$G$101,MATCH(TRIM(RIGHT(SUBSTITUTE(TRIM(I96&amp;"")," ",REPT(" ",60)),60)),코드표!$F$2:$F$101,0)),"⚠"&amp;TRIM(I96&amp;""))),"⚠"&amp;TRIM(I96&amp;""))</f>
        <v/>
      </c>
      <c r="R96" s="10">
        <f>IFERROR(IF(TRIM(J96&amp;"")="","",IF(AND(ISNUMBER(FIND(" ",TRIM(J96&amp;""))),COUNTIF(코드표!$A$2:$A$21,IF(RIGHT(LEFT(TRIM(J96&amp;""),FIND(" ",TRIM(J96&amp;""))-1),2)="병원",LEFT(TRIM(J96&amp;""),FIND(" ",TRIM(J96&amp;""))-1),LEFT(TRIM(J96&amp;""),FIND(" ",TRIM(J96&amp;""))-1)&amp;"병원"))&gt;0,ISNUMBER(MATCH(TRIM(RIGHT(SUBSTITUTE(TRIM(J96&amp;"")," ",REPT(" ",60)),60)),코드표!$F$2:$F$101,0))),IF(RIGHT(LEFT(TRIM(J96&amp;""),FIND(" ",TRIM(J96&amp;""))-1),2)="병원",LEFT(TRIM(J96&amp;""),FIND(" ",TRIM(J96&amp;""))-1),LEFT(TRIM(J96&amp;""),FIND(" ",TRIM(J96&amp;""))-1)&amp;"병원")&amp;" "&amp;INDEX(코드표!$G$2:$G$101,MATCH(TRIM(RIGHT(SUBSTITUTE(TRIM(J96&amp;"")," ",REPT(" ",60)),60)),코드표!$F$2:$F$101,0)),"⚠"&amp;TRIM(J96&amp;""))),"⚠"&amp;TRIM(J96&amp;""))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",TRIM(E97&amp;""))),COUNTIF(코드표!$A$2:$A$21,IF(RIGHT(LEFT(TRIM(E97&amp;""),FIND(" ",TRIM(E97&amp;""))-1),2)="병원",LEFT(TRIM(E97&amp;""),FIND(" ",TRIM(E97&amp;""))-1),LEFT(TRIM(E97&amp;""),FIND(" ",TRIM(E97&amp;""))-1)&amp;"병원"))&gt;0,ISNUMBER(MATCH(TRIM(RIGHT(SUBSTITUTE(TRIM(E97&amp;"")," ",REPT(" ",60)),60)),코드표!$F$2:$F$101,0))),IF(RIGHT(LEFT(TRIM(E97&amp;""),FIND(" ",TRIM(E97&amp;""))-1),2)="병원",LEFT(TRIM(E97&amp;""),FIND(" ",TRIM(E97&amp;""))-1),LEFT(TRIM(E97&amp;""),FIND(" ",TRIM(E97&amp;""))-1)&amp;"병원")&amp;" "&amp;INDEX(코드표!$G$2:$G$101,MATCH(TRIM(RIGHT(SUBSTITUTE(TRIM(E97&amp;"")," ",REPT(" ",60)),60)),코드표!$F$2:$F$101,0)),"⚠"&amp;TRIM(E97&amp;""))),"⚠"&amp;TRIM(E97&amp;""))</f>
        <v/>
      </c>
      <c r="N97" s="10">
        <f>IFERROR(IF(TRIM(F97&amp;"")="","",IF(AND(ISNUMBER(FIND(" ",TRIM(F97&amp;""))),COUNTIF(코드표!$A$2:$A$21,IF(RIGHT(LEFT(TRIM(F97&amp;""),FIND(" ",TRIM(F97&amp;""))-1),2)="병원",LEFT(TRIM(F97&amp;""),FIND(" ",TRIM(F97&amp;""))-1),LEFT(TRIM(F97&amp;""),FIND(" ",TRIM(F97&amp;""))-1)&amp;"병원"))&gt;0,ISNUMBER(MATCH(TRIM(RIGHT(SUBSTITUTE(TRIM(F97&amp;"")," ",REPT(" ",60)),60)),코드표!$F$2:$F$101,0))),IF(RIGHT(LEFT(TRIM(F97&amp;""),FIND(" ",TRIM(F97&amp;""))-1),2)="병원",LEFT(TRIM(F97&amp;""),FIND(" ",TRIM(F97&amp;""))-1),LEFT(TRIM(F97&amp;""),FIND(" ",TRIM(F97&amp;""))-1)&amp;"병원")&amp;" "&amp;INDEX(코드표!$G$2:$G$101,MATCH(TRIM(RIGHT(SUBSTITUTE(TRIM(F97&amp;"")," ",REPT(" ",60)),60)),코드표!$F$2:$F$101,0)),"⚠"&amp;TRIM(F97&amp;""))),"⚠"&amp;TRIM(F97&amp;""))</f>
        <v/>
      </c>
      <c r="O97" s="10">
        <f>IFERROR(IF(TRIM(G97&amp;"")="","",IF(AND(ISNUMBER(FIND(" ",TRIM(G97&amp;""))),COUNTIF(코드표!$A$2:$A$21,IF(RIGHT(LEFT(TRIM(G97&amp;""),FIND(" ",TRIM(G97&amp;""))-1),2)="병원",LEFT(TRIM(G97&amp;""),FIND(" ",TRIM(G97&amp;""))-1),LEFT(TRIM(G97&amp;""),FIND(" ",TRIM(G97&amp;""))-1)&amp;"병원"))&gt;0,ISNUMBER(MATCH(TRIM(RIGHT(SUBSTITUTE(TRIM(G97&amp;"")," ",REPT(" ",60)),60)),코드표!$F$2:$F$101,0))),IF(RIGHT(LEFT(TRIM(G97&amp;""),FIND(" ",TRIM(G97&amp;""))-1),2)="병원",LEFT(TRIM(G97&amp;""),FIND(" ",TRIM(G97&amp;""))-1),LEFT(TRIM(G97&amp;""),FIND(" ",TRIM(G97&amp;""))-1)&amp;"병원")&amp;" "&amp;INDEX(코드표!$G$2:$G$101,MATCH(TRIM(RIGHT(SUBSTITUTE(TRIM(G97&amp;"")," ",REPT(" ",60)),60)),코드표!$F$2:$F$101,0)),"⚠"&amp;TRIM(G97&amp;""))),"⚠"&amp;TRIM(G97&amp;""))</f>
        <v/>
      </c>
      <c r="P97" s="10">
        <f>IFERROR(IF(TRIM(H97&amp;"")="","",IF(AND(ISNUMBER(FIND(" ",TRIM(H97&amp;""))),COUNTIF(코드표!$A$2:$A$21,IF(RIGHT(LEFT(TRIM(H97&amp;""),FIND(" ",TRIM(H97&amp;""))-1),2)="병원",LEFT(TRIM(H97&amp;""),FIND(" ",TRIM(H97&amp;""))-1),LEFT(TRIM(H97&amp;""),FIND(" ",TRIM(H97&amp;""))-1)&amp;"병원"))&gt;0,ISNUMBER(MATCH(TRIM(RIGHT(SUBSTITUTE(TRIM(H97&amp;"")," ",REPT(" ",60)),60)),코드표!$F$2:$F$101,0))),IF(RIGHT(LEFT(TRIM(H97&amp;""),FIND(" ",TRIM(H97&amp;""))-1),2)="병원",LEFT(TRIM(H97&amp;""),FIND(" ",TRIM(H97&amp;""))-1),LEFT(TRIM(H97&amp;""),FIND(" ",TRIM(H97&amp;""))-1)&amp;"병원")&amp;" "&amp;INDEX(코드표!$G$2:$G$101,MATCH(TRIM(RIGHT(SUBSTITUTE(TRIM(H97&amp;"")," ",REPT(" ",60)),60)),코드표!$F$2:$F$101,0)),"⚠"&amp;TRIM(H97&amp;""))),"⚠"&amp;TRIM(H97&amp;""))</f>
        <v/>
      </c>
      <c r="Q97" s="10">
        <f>IFERROR(IF(TRIM(I97&amp;"")="","",IF(AND(ISNUMBER(FIND(" ",TRIM(I97&amp;""))),COUNTIF(코드표!$A$2:$A$21,IF(RIGHT(LEFT(TRIM(I97&amp;""),FIND(" ",TRIM(I97&amp;""))-1),2)="병원",LEFT(TRIM(I97&amp;""),FIND(" ",TRIM(I97&amp;""))-1),LEFT(TRIM(I97&amp;""),FIND(" ",TRIM(I97&amp;""))-1)&amp;"병원"))&gt;0,ISNUMBER(MATCH(TRIM(RIGHT(SUBSTITUTE(TRIM(I97&amp;"")," ",REPT(" ",60)),60)),코드표!$F$2:$F$101,0))),IF(RIGHT(LEFT(TRIM(I97&amp;""),FIND(" ",TRIM(I97&amp;""))-1),2)="병원",LEFT(TRIM(I97&amp;""),FIND(" ",TRIM(I97&amp;""))-1),LEFT(TRIM(I97&amp;""),FIND(" ",TRIM(I97&amp;""))-1)&amp;"병원")&amp;" "&amp;INDEX(코드표!$G$2:$G$101,MATCH(TRIM(RIGHT(SUBSTITUTE(TRIM(I97&amp;"")," ",REPT(" ",60)),60)),코드표!$F$2:$F$101,0)),"⚠"&amp;TRIM(I97&amp;""))),"⚠"&amp;TRIM(I97&amp;""))</f>
        <v/>
      </c>
      <c r="R97" s="10">
        <f>IFERROR(IF(TRIM(J97&amp;"")="","",IF(AND(ISNUMBER(FIND(" ",TRIM(J97&amp;""))),COUNTIF(코드표!$A$2:$A$21,IF(RIGHT(LEFT(TRIM(J97&amp;""),FIND(" ",TRIM(J97&amp;""))-1),2)="병원",LEFT(TRIM(J97&amp;""),FIND(" ",TRIM(J97&amp;""))-1),LEFT(TRIM(J97&amp;""),FIND(" ",TRIM(J97&amp;""))-1)&amp;"병원"))&gt;0,ISNUMBER(MATCH(TRIM(RIGHT(SUBSTITUTE(TRIM(J97&amp;"")," ",REPT(" ",60)),60)),코드표!$F$2:$F$101,0))),IF(RIGHT(LEFT(TRIM(J97&amp;""),FIND(" ",TRIM(J97&amp;""))-1),2)="병원",LEFT(TRIM(J97&amp;""),FIND(" ",TRIM(J97&amp;""))-1),LEFT(TRIM(J97&amp;""),FIND(" ",TRIM(J97&amp;""))-1)&amp;"병원")&amp;" "&amp;INDEX(코드표!$G$2:$G$101,MATCH(TRIM(RIGHT(SUBSTITUTE(TRIM(J97&amp;"")," ",REPT(" ",60)),60)),코드표!$F$2:$F$101,0)),"⚠"&amp;TRIM(J97&amp;""))),"⚠"&amp;TRIM(J97&amp;""))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",TRIM(E98&amp;""))),COUNTIF(코드표!$A$2:$A$21,IF(RIGHT(LEFT(TRIM(E98&amp;""),FIND(" ",TRIM(E98&amp;""))-1),2)="병원",LEFT(TRIM(E98&amp;""),FIND(" ",TRIM(E98&amp;""))-1),LEFT(TRIM(E98&amp;""),FIND(" ",TRIM(E98&amp;""))-1)&amp;"병원"))&gt;0,ISNUMBER(MATCH(TRIM(RIGHT(SUBSTITUTE(TRIM(E98&amp;"")," ",REPT(" ",60)),60)),코드표!$F$2:$F$101,0))),IF(RIGHT(LEFT(TRIM(E98&amp;""),FIND(" ",TRIM(E98&amp;""))-1),2)="병원",LEFT(TRIM(E98&amp;""),FIND(" ",TRIM(E98&amp;""))-1),LEFT(TRIM(E98&amp;""),FIND(" ",TRIM(E98&amp;""))-1)&amp;"병원")&amp;" "&amp;INDEX(코드표!$G$2:$G$101,MATCH(TRIM(RIGHT(SUBSTITUTE(TRIM(E98&amp;"")," ",REPT(" ",60)),60)),코드표!$F$2:$F$101,0)),"⚠"&amp;TRIM(E98&amp;""))),"⚠"&amp;TRIM(E98&amp;""))</f>
        <v/>
      </c>
      <c r="N98" s="10">
        <f>IFERROR(IF(TRIM(F98&amp;"")="","",IF(AND(ISNUMBER(FIND(" ",TRIM(F98&amp;""))),COUNTIF(코드표!$A$2:$A$21,IF(RIGHT(LEFT(TRIM(F98&amp;""),FIND(" ",TRIM(F98&amp;""))-1),2)="병원",LEFT(TRIM(F98&amp;""),FIND(" ",TRIM(F98&amp;""))-1),LEFT(TRIM(F98&amp;""),FIND(" ",TRIM(F98&amp;""))-1)&amp;"병원"))&gt;0,ISNUMBER(MATCH(TRIM(RIGHT(SUBSTITUTE(TRIM(F98&amp;"")," ",REPT(" ",60)),60)),코드표!$F$2:$F$101,0))),IF(RIGHT(LEFT(TRIM(F98&amp;""),FIND(" ",TRIM(F98&amp;""))-1),2)="병원",LEFT(TRIM(F98&amp;""),FIND(" ",TRIM(F98&amp;""))-1),LEFT(TRIM(F98&amp;""),FIND(" ",TRIM(F98&amp;""))-1)&amp;"병원")&amp;" "&amp;INDEX(코드표!$G$2:$G$101,MATCH(TRIM(RIGHT(SUBSTITUTE(TRIM(F98&amp;"")," ",REPT(" ",60)),60)),코드표!$F$2:$F$101,0)),"⚠"&amp;TRIM(F98&amp;""))),"⚠"&amp;TRIM(F98&amp;""))</f>
        <v/>
      </c>
      <c r="O98" s="10">
        <f>IFERROR(IF(TRIM(G98&amp;"")="","",IF(AND(ISNUMBER(FIND(" ",TRIM(G98&amp;""))),COUNTIF(코드표!$A$2:$A$21,IF(RIGHT(LEFT(TRIM(G98&amp;""),FIND(" ",TRIM(G98&amp;""))-1),2)="병원",LEFT(TRIM(G98&amp;""),FIND(" ",TRIM(G98&amp;""))-1),LEFT(TRIM(G98&amp;""),FIND(" ",TRIM(G98&amp;""))-1)&amp;"병원"))&gt;0,ISNUMBER(MATCH(TRIM(RIGHT(SUBSTITUTE(TRIM(G98&amp;"")," ",REPT(" ",60)),60)),코드표!$F$2:$F$101,0))),IF(RIGHT(LEFT(TRIM(G98&amp;""),FIND(" ",TRIM(G98&amp;""))-1),2)="병원",LEFT(TRIM(G98&amp;""),FIND(" ",TRIM(G98&amp;""))-1),LEFT(TRIM(G98&amp;""),FIND(" ",TRIM(G98&amp;""))-1)&amp;"병원")&amp;" "&amp;INDEX(코드표!$G$2:$G$101,MATCH(TRIM(RIGHT(SUBSTITUTE(TRIM(G98&amp;"")," ",REPT(" ",60)),60)),코드표!$F$2:$F$101,0)),"⚠"&amp;TRIM(G98&amp;""))),"⚠"&amp;TRIM(G98&amp;""))</f>
        <v/>
      </c>
      <c r="P98" s="10">
        <f>IFERROR(IF(TRIM(H98&amp;"")="","",IF(AND(ISNUMBER(FIND(" ",TRIM(H98&amp;""))),COUNTIF(코드표!$A$2:$A$21,IF(RIGHT(LEFT(TRIM(H98&amp;""),FIND(" ",TRIM(H98&amp;""))-1),2)="병원",LEFT(TRIM(H98&amp;""),FIND(" ",TRIM(H98&amp;""))-1),LEFT(TRIM(H98&amp;""),FIND(" ",TRIM(H98&amp;""))-1)&amp;"병원"))&gt;0,ISNUMBER(MATCH(TRIM(RIGHT(SUBSTITUTE(TRIM(H98&amp;"")," ",REPT(" ",60)),60)),코드표!$F$2:$F$101,0))),IF(RIGHT(LEFT(TRIM(H98&amp;""),FIND(" ",TRIM(H98&amp;""))-1),2)="병원",LEFT(TRIM(H98&amp;""),FIND(" ",TRIM(H98&amp;""))-1),LEFT(TRIM(H98&amp;""),FIND(" ",TRIM(H98&amp;""))-1)&amp;"병원")&amp;" "&amp;INDEX(코드표!$G$2:$G$101,MATCH(TRIM(RIGHT(SUBSTITUTE(TRIM(H98&amp;"")," ",REPT(" ",60)),60)),코드표!$F$2:$F$101,0)),"⚠"&amp;TRIM(H98&amp;""))),"⚠"&amp;TRIM(H98&amp;""))</f>
        <v/>
      </c>
      <c r="Q98" s="10">
        <f>IFERROR(IF(TRIM(I98&amp;"")="","",IF(AND(ISNUMBER(FIND(" ",TRIM(I98&amp;""))),COUNTIF(코드표!$A$2:$A$21,IF(RIGHT(LEFT(TRIM(I98&amp;""),FIND(" ",TRIM(I98&amp;""))-1),2)="병원",LEFT(TRIM(I98&amp;""),FIND(" ",TRIM(I98&amp;""))-1),LEFT(TRIM(I98&amp;""),FIND(" ",TRIM(I98&amp;""))-1)&amp;"병원"))&gt;0,ISNUMBER(MATCH(TRIM(RIGHT(SUBSTITUTE(TRIM(I98&amp;"")," ",REPT(" ",60)),60)),코드표!$F$2:$F$101,0))),IF(RIGHT(LEFT(TRIM(I98&amp;""),FIND(" ",TRIM(I98&amp;""))-1),2)="병원",LEFT(TRIM(I98&amp;""),FIND(" ",TRIM(I98&amp;""))-1),LEFT(TRIM(I98&amp;""),FIND(" ",TRIM(I98&amp;""))-1)&amp;"병원")&amp;" "&amp;INDEX(코드표!$G$2:$G$101,MATCH(TRIM(RIGHT(SUBSTITUTE(TRIM(I98&amp;"")," ",REPT(" ",60)),60)),코드표!$F$2:$F$101,0)),"⚠"&amp;TRIM(I98&amp;""))),"⚠"&amp;TRIM(I98&amp;""))</f>
        <v/>
      </c>
      <c r="R98" s="10">
        <f>IFERROR(IF(TRIM(J98&amp;"")="","",IF(AND(ISNUMBER(FIND(" ",TRIM(J98&amp;""))),COUNTIF(코드표!$A$2:$A$21,IF(RIGHT(LEFT(TRIM(J98&amp;""),FIND(" ",TRIM(J98&amp;""))-1),2)="병원",LEFT(TRIM(J98&amp;""),FIND(" ",TRIM(J98&amp;""))-1),LEFT(TRIM(J98&amp;""),FIND(" ",TRIM(J98&amp;""))-1)&amp;"병원"))&gt;0,ISNUMBER(MATCH(TRIM(RIGHT(SUBSTITUTE(TRIM(J98&amp;"")," ",REPT(" ",60)),60)),코드표!$F$2:$F$101,0))),IF(RIGHT(LEFT(TRIM(J98&amp;""),FIND(" ",TRIM(J98&amp;""))-1),2)="병원",LEFT(TRIM(J98&amp;""),FIND(" ",TRIM(J98&amp;""))-1),LEFT(TRIM(J98&amp;""),FIND(" ",TRIM(J98&amp;""))-1)&amp;"병원")&amp;" "&amp;INDEX(코드표!$G$2:$G$101,MATCH(TRIM(RIGHT(SUBSTITUTE(TRIM(J98&amp;"")," ",REPT(" ",60)),60)),코드표!$F$2:$F$101,0)),"⚠"&amp;TRIM(J98&amp;""))),"⚠"&amp;TRIM(J98&amp;""))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",TRIM(E99&amp;""))),COUNTIF(코드표!$A$2:$A$21,IF(RIGHT(LEFT(TRIM(E99&amp;""),FIND(" ",TRIM(E99&amp;""))-1),2)="병원",LEFT(TRIM(E99&amp;""),FIND(" ",TRIM(E99&amp;""))-1),LEFT(TRIM(E99&amp;""),FIND(" ",TRIM(E99&amp;""))-1)&amp;"병원"))&gt;0,ISNUMBER(MATCH(TRIM(RIGHT(SUBSTITUTE(TRIM(E99&amp;"")," ",REPT(" ",60)),60)),코드표!$F$2:$F$101,0))),IF(RIGHT(LEFT(TRIM(E99&amp;""),FIND(" ",TRIM(E99&amp;""))-1),2)="병원",LEFT(TRIM(E99&amp;""),FIND(" ",TRIM(E99&amp;""))-1),LEFT(TRIM(E99&amp;""),FIND(" ",TRIM(E99&amp;""))-1)&amp;"병원")&amp;" "&amp;INDEX(코드표!$G$2:$G$101,MATCH(TRIM(RIGHT(SUBSTITUTE(TRIM(E99&amp;"")," ",REPT(" ",60)),60)),코드표!$F$2:$F$101,0)),"⚠"&amp;TRIM(E99&amp;""))),"⚠"&amp;TRIM(E99&amp;""))</f>
        <v/>
      </c>
      <c r="N99" s="10">
        <f>IFERROR(IF(TRIM(F99&amp;"")="","",IF(AND(ISNUMBER(FIND(" ",TRIM(F99&amp;""))),COUNTIF(코드표!$A$2:$A$21,IF(RIGHT(LEFT(TRIM(F99&amp;""),FIND(" ",TRIM(F99&amp;""))-1),2)="병원",LEFT(TRIM(F99&amp;""),FIND(" ",TRIM(F99&amp;""))-1),LEFT(TRIM(F99&amp;""),FIND(" ",TRIM(F99&amp;""))-1)&amp;"병원"))&gt;0,ISNUMBER(MATCH(TRIM(RIGHT(SUBSTITUTE(TRIM(F99&amp;"")," ",REPT(" ",60)),60)),코드표!$F$2:$F$101,0))),IF(RIGHT(LEFT(TRIM(F99&amp;""),FIND(" ",TRIM(F99&amp;""))-1),2)="병원",LEFT(TRIM(F99&amp;""),FIND(" ",TRIM(F99&amp;""))-1),LEFT(TRIM(F99&amp;""),FIND(" ",TRIM(F99&amp;""))-1)&amp;"병원")&amp;" "&amp;INDEX(코드표!$G$2:$G$101,MATCH(TRIM(RIGHT(SUBSTITUTE(TRIM(F99&amp;"")," ",REPT(" ",60)),60)),코드표!$F$2:$F$101,0)),"⚠"&amp;TRIM(F99&amp;""))),"⚠"&amp;TRIM(F99&amp;""))</f>
        <v/>
      </c>
      <c r="O99" s="10">
        <f>IFERROR(IF(TRIM(G99&amp;"")="","",IF(AND(ISNUMBER(FIND(" ",TRIM(G99&amp;""))),COUNTIF(코드표!$A$2:$A$21,IF(RIGHT(LEFT(TRIM(G99&amp;""),FIND(" ",TRIM(G99&amp;""))-1),2)="병원",LEFT(TRIM(G99&amp;""),FIND(" ",TRIM(G99&amp;""))-1),LEFT(TRIM(G99&amp;""),FIND(" ",TRIM(G99&amp;""))-1)&amp;"병원"))&gt;0,ISNUMBER(MATCH(TRIM(RIGHT(SUBSTITUTE(TRIM(G99&amp;"")," ",REPT(" ",60)),60)),코드표!$F$2:$F$101,0))),IF(RIGHT(LEFT(TRIM(G99&amp;""),FIND(" ",TRIM(G99&amp;""))-1),2)="병원",LEFT(TRIM(G99&amp;""),FIND(" ",TRIM(G99&amp;""))-1),LEFT(TRIM(G99&amp;""),FIND(" ",TRIM(G99&amp;""))-1)&amp;"병원")&amp;" "&amp;INDEX(코드표!$G$2:$G$101,MATCH(TRIM(RIGHT(SUBSTITUTE(TRIM(G99&amp;"")," ",REPT(" ",60)),60)),코드표!$F$2:$F$101,0)),"⚠"&amp;TRIM(G99&amp;""))),"⚠"&amp;TRIM(G99&amp;""))</f>
        <v/>
      </c>
      <c r="P99" s="10">
        <f>IFERROR(IF(TRIM(H99&amp;"")="","",IF(AND(ISNUMBER(FIND(" ",TRIM(H99&amp;""))),COUNTIF(코드표!$A$2:$A$21,IF(RIGHT(LEFT(TRIM(H99&amp;""),FIND(" ",TRIM(H99&amp;""))-1),2)="병원",LEFT(TRIM(H99&amp;""),FIND(" ",TRIM(H99&amp;""))-1),LEFT(TRIM(H99&amp;""),FIND(" ",TRIM(H99&amp;""))-1)&amp;"병원"))&gt;0,ISNUMBER(MATCH(TRIM(RIGHT(SUBSTITUTE(TRIM(H99&amp;"")," ",REPT(" ",60)),60)),코드표!$F$2:$F$101,0))),IF(RIGHT(LEFT(TRIM(H99&amp;""),FIND(" ",TRIM(H99&amp;""))-1),2)="병원",LEFT(TRIM(H99&amp;""),FIND(" ",TRIM(H99&amp;""))-1),LEFT(TRIM(H99&amp;""),FIND(" ",TRIM(H99&amp;""))-1)&amp;"병원")&amp;" "&amp;INDEX(코드표!$G$2:$G$101,MATCH(TRIM(RIGHT(SUBSTITUTE(TRIM(H99&amp;"")," ",REPT(" ",60)),60)),코드표!$F$2:$F$101,0)),"⚠"&amp;TRIM(H99&amp;""))),"⚠"&amp;TRIM(H99&amp;""))</f>
        <v/>
      </c>
      <c r="Q99" s="10">
        <f>IFERROR(IF(TRIM(I99&amp;"")="","",IF(AND(ISNUMBER(FIND(" ",TRIM(I99&amp;""))),COUNTIF(코드표!$A$2:$A$21,IF(RIGHT(LEFT(TRIM(I99&amp;""),FIND(" ",TRIM(I99&amp;""))-1),2)="병원",LEFT(TRIM(I99&amp;""),FIND(" ",TRIM(I99&amp;""))-1),LEFT(TRIM(I99&amp;""),FIND(" ",TRIM(I99&amp;""))-1)&amp;"병원"))&gt;0,ISNUMBER(MATCH(TRIM(RIGHT(SUBSTITUTE(TRIM(I99&amp;"")," ",REPT(" ",60)),60)),코드표!$F$2:$F$101,0))),IF(RIGHT(LEFT(TRIM(I99&amp;""),FIND(" ",TRIM(I99&amp;""))-1),2)="병원",LEFT(TRIM(I99&amp;""),FIND(" ",TRIM(I99&amp;""))-1),LEFT(TRIM(I99&amp;""),FIND(" ",TRIM(I99&amp;""))-1)&amp;"병원")&amp;" "&amp;INDEX(코드표!$G$2:$G$101,MATCH(TRIM(RIGHT(SUBSTITUTE(TRIM(I99&amp;"")," ",REPT(" ",60)),60)),코드표!$F$2:$F$101,0)),"⚠"&amp;TRIM(I99&amp;""))),"⚠"&amp;TRIM(I99&amp;""))</f>
        <v/>
      </c>
      <c r="R99" s="10">
        <f>IFERROR(IF(TRIM(J99&amp;"")="","",IF(AND(ISNUMBER(FIND(" ",TRIM(J99&amp;""))),COUNTIF(코드표!$A$2:$A$21,IF(RIGHT(LEFT(TRIM(J99&amp;""),FIND(" ",TRIM(J99&amp;""))-1),2)="병원",LEFT(TRIM(J99&amp;""),FIND(" ",TRIM(J99&amp;""))-1),LEFT(TRIM(J99&amp;""),FIND(" ",TRIM(J99&amp;""))-1)&amp;"병원"))&gt;0,ISNUMBER(MATCH(TRIM(RIGHT(SUBSTITUTE(TRIM(J99&amp;"")," ",REPT(" ",60)),60)),코드표!$F$2:$F$101,0))),IF(RIGHT(LEFT(TRIM(J99&amp;""),FIND(" ",TRIM(J99&amp;""))-1),2)="병원",LEFT(TRIM(J99&amp;""),FIND(" ",TRIM(J99&amp;""))-1),LEFT(TRIM(J99&amp;""),FIND(" ",TRIM(J99&amp;""))-1)&amp;"병원")&amp;" "&amp;INDEX(코드표!$G$2:$G$101,MATCH(TRIM(RIGHT(SUBSTITUTE(TRIM(J99&amp;"")," ",REPT(" ",60)),60)),코드표!$F$2:$F$101,0)),"⚠"&amp;TRIM(J99&amp;""))),"⚠"&amp;TRIM(J99&amp;""))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",TRIM(E100&amp;""))),COUNTIF(코드표!$A$2:$A$21,IF(RIGHT(LEFT(TRIM(E100&amp;""),FIND(" ",TRIM(E100&amp;""))-1),2)="병원",LEFT(TRIM(E100&amp;""),FIND(" ",TRIM(E100&amp;""))-1),LEFT(TRIM(E100&amp;""),FIND(" ",TRIM(E100&amp;""))-1)&amp;"병원"))&gt;0,ISNUMBER(MATCH(TRIM(RIGHT(SUBSTITUTE(TRIM(E100&amp;"")," ",REPT(" ",60)),60)),코드표!$F$2:$F$101,0))),IF(RIGHT(LEFT(TRIM(E100&amp;""),FIND(" ",TRIM(E100&amp;""))-1),2)="병원",LEFT(TRIM(E100&amp;""),FIND(" ",TRIM(E100&amp;""))-1),LEFT(TRIM(E100&amp;""),FIND(" ",TRIM(E100&amp;""))-1)&amp;"병원")&amp;" "&amp;INDEX(코드표!$G$2:$G$101,MATCH(TRIM(RIGHT(SUBSTITUTE(TRIM(E100&amp;"")," ",REPT(" ",60)),60)),코드표!$F$2:$F$101,0)),"⚠"&amp;TRIM(E100&amp;""))),"⚠"&amp;TRIM(E100&amp;""))</f>
        <v/>
      </c>
      <c r="N100" s="10">
        <f>IFERROR(IF(TRIM(F100&amp;"")="","",IF(AND(ISNUMBER(FIND(" ",TRIM(F100&amp;""))),COUNTIF(코드표!$A$2:$A$21,IF(RIGHT(LEFT(TRIM(F100&amp;""),FIND(" ",TRIM(F100&amp;""))-1),2)="병원",LEFT(TRIM(F100&amp;""),FIND(" ",TRIM(F100&amp;""))-1),LEFT(TRIM(F100&amp;""),FIND(" ",TRIM(F100&amp;""))-1)&amp;"병원"))&gt;0,ISNUMBER(MATCH(TRIM(RIGHT(SUBSTITUTE(TRIM(F100&amp;"")," ",REPT(" ",60)),60)),코드표!$F$2:$F$101,0))),IF(RIGHT(LEFT(TRIM(F100&amp;""),FIND(" ",TRIM(F100&amp;""))-1),2)="병원",LEFT(TRIM(F100&amp;""),FIND(" ",TRIM(F100&amp;""))-1),LEFT(TRIM(F100&amp;""),FIND(" ",TRIM(F100&amp;""))-1)&amp;"병원")&amp;" "&amp;INDEX(코드표!$G$2:$G$101,MATCH(TRIM(RIGHT(SUBSTITUTE(TRIM(F100&amp;"")," ",REPT(" ",60)),60)),코드표!$F$2:$F$101,0)),"⚠"&amp;TRIM(F100&amp;""))),"⚠"&amp;TRIM(F100&amp;""))</f>
        <v/>
      </c>
      <c r="O100" s="10">
        <f>IFERROR(IF(TRIM(G100&amp;"")="","",IF(AND(ISNUMBER(FIND(" ",TRIM(G100&amp;""))),COUNTIF(코드표!$A$2:$A$21,IF(RIGHT(LEFT(TRIM(G100&amp;""),FIND(" ",TRIM(G100&amp;""))-1),2)="병원",LEFT(TRIM(G100&amp;""),FIND(" ",TRIM(G100&amp;""))-1),LEFT(TRIM(G100&amp;""),FIND(" ",TRIM(G100&amp;""))-1)&amp;"병원"))&gt;0,ISNUMBER(MATCH(TRIM(RIGHT(SUBSTITUTE(TRIM(G100&amp;"")," ",REPT(" ",60)),60)),코드표!$F$2:$F$101,0))),IF(RIGHT(LEFT(TRIM(G100&amp;""),FIND(" ",TRIM(G100&amp;""))-1),2)="병원",LEFT(TRIM(G100&amp;""),FIND(" ",TRIM(G100&amp;""))-1),LEFT(TRIM(G100&amp;""),FIND(" ",TRIM(G100&amp;""))-1)&amp;"병원")&amp;" "&amp;INDEX(코드표!$G$2:$G$101,MATCH(TRIM(RIGHT(SUBSTITUTE(TRIM(G100&amp;"")," ",REPT(" ",60)),60)),코드표!$F$2:$F$101,0)),"⚠"&amp;TRIM(G100&amp;""))),"⚠"&amp;TRIM(G100&amp;""))</f>
        <v/>
      </c>
      <c r="P100" s="10">
        <f>IFERROR(IF(TRIM(H100&amp;"")="","",IF(AND(ISNUMBER(FIND(" ",TRIM(H100&amp;""))),COUNTIF(코드표!$A$2:$A$21,IF(RIGHT(LEFT(TRIM(H100&amp;""),FIND(" ",TRIM(H100&amp;""))-1),2)="병원",LEFT(TRIM(H100&amp;""),FIND(" ",TRIM(H100&amp;""))-1),LEFT(TRIM(H100&amp;""),FIND(" ",TRIM(H100&amp;""))-1)&amp;"병원"))&gt;0,ISNUMBER(MATCH(TRIM(RIGHT(SUBSTITUTE(TRIM(H100&amp;"")," ",REPT(" ",60)),60)),코드표!$F$2:$F$101,0))),IF(RIGHT(LEFT(TRIM(H100&amp;""),FIND(" ",TRIM(H100&amp;""))-1),2)="병원",LEFT(TRIM(H100&amp;""),FIND(" ",TRIM(H100&amp;""))-1),LEFT(TRIM(H100&amp;""),FIND(" ",TRIM(H100&amp;""))-1)&amp;"병원")&amp;" "&amp;INDEX(코드표!$G$2:$G$101,MATCH(TRIM(RIGHT(SUBSTITUTE(TRIM(H100&amp;"")," ",REPT(" ",60)),60)),코드표!$F$2:$F$101,0)),"⚠"&amp;TRIM(H100&amp;""))),"⚠"&amp;TRIM(H100&amp;""))</f>
        <v/>
      </c>
      <c r="Q100" s="10">
        <f>IFERROR(IF(TRIM(I100&amp;"")="","",IF(AND(ISNUMBER(FIND(" ",TRIM(I100&amp;""))),COUNTIF(코드표!$A$2:$A$21,IF(RIGHT(LEFT(TRIM(I100&amp;""),FIND(" ",TRIM(I100&amp;""))-1),2)="병원",LEFT(TRIM(I100&amp;""),FIND(" ",TRIM(I100&amp;""))-1),LEFT(TRIM(I100&amp;""),FIND(" ",TRIM(I100&amp;""))-1)&amp;"병원"))&gt;0,ISNUMBER(MATCH(TRIM(RIGHT(SUBSTITUTE(TRIM(I100&amp;"")," ",REPT(" ",60)),60)),코드표!$F$2:$F$101,0))),IF(RIGHT(LEFT(TRIM(I100&amp;""),FIND(" ",TRIM(I100&amp;""))-1),2)="병원",LEFT(TRIM(I100&amp;""),FIND(" ",TRIM(I100&amp;""))-1),LEFT(TRIM(I100&amp;""),FIND(" ",TRIM(I100&amp;""))-1)&amp;"병원")&amp;" "&amp;INDEX(코드표!$G$2:$G$101,MATCH(TRIM(RIGHT(SUBSTITUTE(TRIM(I100&amp;"")," ",REPT(" ",60)),60)),코드표!$F$2:$F$101,0)),"⚠"&amp;TRIM(I100&amp;""))),"⚠"&amp;TRIM(I100&amp;""))</f>
        <v/>
      </c>
      <c r="R100" s="10">
        <f>IFERROR(IF(TRIM(J100&amp;"")="","",IF(AND(ISNUMBER(FIND(" ",TRIM(J100&amp;""))),COUNTIF(코드표!$A$2:$A$21,IF(RIGHT(LEFT(TRIM(J100&amp;""),FIND(" ",TRIM(J100&amp;""))-1),2)="병원",LEFT(TRIM(J100&amp;""),FIND(" ",TRIM(J100&amp;""))-1),LEFT(TRIM(J100&amp;""),FIND(" ",TRIM(J100&amp;""))-1)&amp;"병원"))&gt;0,ISNUMBER(MATCH(TRIM(RIGHT(SUBSTITUTE(TRIM(J100&amp;"")," ",REPT(" ",60)),60)),코드표!$F$2:$F$101,0))),IF(RIGHT(LEFT(TRIM(J100&amp;""),FIND(" ",TRIM(J100&amp;""))-1),2)="병원",LEFT(TRIM(J100&amp;""),FIND(" ",TRIM(J100&amp;""))-1),LEFT(TRIM(J100&amp;""),FIND(" ",TRIM(J100&amp;""))-1)&amp;"병원")&amp;" "&amp;INDEX(코드표!$G$2:$G$101,MATCH(TRIM(RIGHT(SUBSTITUTE(TRIM(J100&amp;"")," ",REPT(" ",60)),60)),코드표!$F$2:$F$101,0)),"⚠"&amp;TRIM(J100&amp;""))),"⚠"&amp;TRIM(J100&amp;""))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",TRIM(E101&amp;""))),COUNTIF(코드표!$A$2:$A$21,IF(RIGHT(LEFT(TRIM(E101&amp;""),FIND(" ",TRIM(E101&amp;""))-1),2)="병원",LEFT(TRIM(E101&amp;""),FIND(" ",TRIM(E101&amp;""))-1),LEFT(TRIM(E101&amp;""),FIND(" ",TRIM(E101&amp;""))-1)&amp;"병원"))&gt;0,ISNUMBER(MATCH(TRIM(RIGHT(SUBSTITUTE(TRIM(E101&amp;"")," ",REPT(" ",60)),60)),코드표!$F$2:$F$101,0))),IF(RIGHT(LEFT(TRIM(E101&amp;""),FIND(" ",TRIM(E101&amp;""))-1),2)="병원",LEFT(TRIM(E101&amp;""),FIND(" ",TRIM(E101&amp;""))-1),LEFT(TRIM(E101&amp;""),FIND(" ",TRIM(E101&amp;""))-1)&amp;"병원")&amp;" "&amp;INDEX(코드표!$G$2:$G$101,MATCH(TRIM(RIGHT(SUBSTITUTE(TRIM(E101&amp;"")," ",REPT(" ",60)),60)),코드표!$F$2:$F$101,0)),"⚠"&amp;TRIM(E101&amp;""))),"⚠"&amp;TRIM(E101&amp;""))</f>
        <v/>
      </c>
      <c r="N101" s="10">
        <f>IFERROR(IF(TRIM(F101&amp;"")="","",IF(AND(ISNUMBER(FIND(" ",TRIM(F101&amp;""))),COUNTIF(코드표!$A$2:$A$21,IF(RIGHT(LEFT(TRIM(F101&amp;""),FIND(" ",TRIM(F101&amp;""))-1),2)="병원",LEFT(TRIM(F101&amp;""),FIND(" ",TRIM(F101&amp;""))-1),LEFT(TRIM(F101&amp;""),FIND(" ",TRIM(F101&amp;""))-1)&amp;"병원"))&gt;0,ISNUMBER(MATCH(TRIM(RIGHT(SUBSTITUTE(TRIM(F101&amp;"")," ",REPT(" ",60)),60)),코드표!$F$2:$F$101,0))),IF(RIGHT(LEFT(TRIM(F101&amp;""),FIND(" ",TRIM(F101&amp;""))-1),2)="병원",LEFT(TRIM(F101&amp;""),FIND(" ",TRIM(F101&amp;""))-1),LEFT(TRIM(F101&amp;""),FIND(" ",TRIM(F101&amp;""))-1)&amp;"병원")&amp;" "&amp;INDEX(코드표!$G$2:$G$101,MATCH(TRIM(RIGHT(SUBSTITUTE(TRIM(F101&amp;"")," ",REPT(" ",60)),60)),코드표!$F$2:$F$101,0)),"⚠"&amp;TRIM(F101&amp;""))),"⚠"&amp;TRIM(F101&amp;""))</f>
        <v/>
      </c>
      <c r="O101" s="10">
        <f>IFERROR(IF(TRIM(G101&amp;"")="","",IF(AND(ISNUMBER(FIND(" ",TRIM(G101&amp;""))),COUNTIF(코드표!$A$2:$A$21,IF(RIGHT(LEFT(TRIM(G101&amp;""),FIND(" ",TRIM(G101&amp;""))-1),2)="병원",LEFT(TRIM(G101&amp;""),FIND(" ",TRIM(G101&amp;""))-1),LEFT(TRIM(G101&amp;""),FIND(" ",TRIM(G101&amp;""))-1)&amp;"병원"))&gt;0,ISNUMBER(MATCH(TRIM(RIGHT(SUBSTITUTE(TRIM(G101&amp;"")," ",REPT(" ",60)),60)),코드표!$F$2:$F$101,0))),IF(RIGHT(LEFT(TRIM(G101&amp;""),FIND(" ",TRIM(G101&amp;""))-1),2)="병원",LEFT(TRIM(G101&amp;""),FIND(" ",TRIM(G101&amp;""))-1),LEFT(TRIM(G101&amp;""),FIND(" ",TRIM(G101&amp;""))-1)&amp;"병원")&amp;" "&amp;INDEX(코드표!$G$2:$G$101,MATCH(TRIM(RIGHT(SUBSTITUTE(TRIM(G101&amp;"")," ",REPT(" ",60)),60)),코드표!$F$2:$F$101,0)),"⚠"&amp;TRIM(G101&amp;""))),"⚠"&amp;TRIM(G101&amp;""))</f>
        <v/>
      </c>
      <c r="P101" s="10">
        <f>IFERROR(IF(TRIM(H101&amp;"")="","",IF(AND(ISNUMBER(FIND(" ",TRIM(H101&amp;""))),COUNTIF(코드표!$A$2:$A$21,IF(RIGHT(LEFT(TRIM(H101&amp;""),FIND(" ",TRIM(H101&amp;""))-1),2)="병원",LEFT(TRIM(H101&amp;""),FIND(" ",TRIM(H101&amp;""))-1),LEFT(TRIM(H101&amp;""),FIND(" ",TRIM(H101&amp;""))-1)&amp;"병원"))&gt;0,ISNUMBER(MATCH(TRIM(RIGHT(SUBSTITUTE(TRIM(H101&amp;"")," ",REPT(" ",60)),60)),코드표!$F$2:$F$101,0))),IF(RIGHT(LEFT(TRIM(H101&amp;""),FIND(" ",TRIM(H101&amp;""))-1),2)="병원",LEFT(TRIM(H101&amp;""),FIND(" ",TRIM(H101&amp;""))-1),LEFT(TRIM(H101&amp;""),FIND(" ",TRIM(H101&amp;""))-1)&amp;"병원")&amp;" "&amp;INDEX(코드표!$G$2:$G$101,MATCH(TRIM(RIGHT(SUBSTITUTE(TRIM(H101&amp;"")," ",REPT(" ",60)),60)),코드표!$F$2:$F$101,0)),"⚠"&amp;TRIM(H101&amp;""))),"⚠"&amp;TRIM(H101&amp;""))</f>
        <v/>
      </c>
      <c r="Q101" s="10">
        <f>IFERROR(IF(TRIM(I101&amp;"")="","",IF(AND(ISNUMBER(FIND(" ",TRIM(I101&amp;""))),COUNTIF(코드표!$A$2:$A$21,IF(RIGHT(LEFT(TRIM(I101&amp;""),FIND(" ",TRIM(I101&amp;""))-1),2)="병원",LEFT(TRIM(I101&amp;""),FIND(" ",TRIM(I101&amp;""))-1),LEFT(TRIM(I101&amp;""),FIND(" ",TRIM(I101&amp;""))-1)&amp;"병원"))&gt;0,ISNUMBER(MATCH(TRIM(RIGHT(SUBSTITUTE(TRIM(I101&amp;"")," ",REPT(" ",60)),60)),코드표!$F$2:$F$101,0))),IF(RIGHT(LEFT(TRIM(I101&amp;""),FIND(" ",TRIM(I101&amp;""))-1),2)="병원",LEFT(TRIM(I101&amp;""),FIND(" ",TRIM(I101&amp;""))-1),LEFT(TRIM(I101&amp;""),FIND(" ",TRIM(I101&amp;""))-1)&amp;"병원")&amp;" "&amp;INDEX(코드표!$G$2:$G$101,MATCH(TRIM(RIGHT(SUBSTITUTE(TRIM(I101&amp;"")," ",REPT(" ",60)),60)),코드표!$F$2:$F$101,0)),"⚠"&amp;TRIM(I101&amp;""))),"⚠"&amp;TRIM(I101&amp;""))</f>
        <v/>
      </c>
      <c r="R101" s="10">
        <f>IFERROR(IF(TRIM(J101&amp;"")="","",IF(AND(ISNUMBER(FIND(" ",TRIM(J101&amp;""))),COUNTIF(코드표!$A$2:$A$21,IF(RIGHT(LEFT(TRIM(J101&amp;""),FIND(" ",TRIM(J101&amp;""))-1),2)="병원",LEFT(TRIM(J101&amp;""),FIND(" ",TRIM(J101&amp;""))-1),LEFT(TRIM(J101&amp;""),FIND(" ",TRIM(J101&amp;""))-1)&amp;"병원"))&gt;0,ISNUMBER(MATCH(TRIM(RIGHT(SUBSTITUTE(TRIM(J101&amp;"")," ",REPT(" ",60)),60)),코드표!$F$2:$F$101,0))),IF(RIGHT(LEFT(TRIM(J101&amp;""),FIND(" ",TRIM(J101&amp;""))-1),2)="병원",LEFT(TRIM(J101&amp;""),FIND(" ",TRIM(J101&amp;""))-1),LEFT(TRIM(J101&amp;""),FIND(" ",TRIM(J101&amp;""))-1)&amp;"병원")&amp;" "&amp;INDEX(코드표!$G$2:$G$101,MATCH(TRIM(RIGHT(SUBSTITUTE(TRIM(J101&amp;"")," ",REPT(" ",60)),60)),코드표!$F$2:$F$101,0)),"⚠"&amp;TRIM(J101&amp;""))),"⚠"&amp;TRIM(J101&amp;""))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",TRIM(E102&amp;""))),COUNTIF(코드표!$A$2:$A$21,IF(RIGHT(LEFT(TRIM(E102&amp;""),FIND(" ",TRIM(E102&amp;""))-1),2)="병원",LEFT(TRIM(E102&amp;""),FIND(" ",TRIM(E102&amp;""))-1),LEFT(TRIM(E102&amp;""),FIND(" ",TRIM(E102&amp;""))-1)&amp;"병원"))&gt;0,ISNUMBER(MATCH(TRIM(RIGHT(SUBSTITUTE(TRIM(E102&amp;"")," ",REPT(" ",60)),60)),코드표!$F$2:$F$101,0))),IF(RIGHT(LEFT(TRIM(E102&amp;""),FIND(" ",TRIM(E102&amp;""))-1),2)="병원",LEFT(TRIM(E102&amp;""),FIND(" ",TRIM(E102&amp;""))-1),LEFT(TRIM(E102&amp;""),FIND(" ",TRIM(E102&amp;""))-1)&amp;"병원")&amp;" "&amp;INDEX(코드표!$G$2:$G$101,MATCH(TRIM(RIGHT(SUBSTITUTE(TRIM(E102&amp;"")," ",REPT(" ",60)),60)),코드표!$F$2:$F$101,0)),"⚠"&amp;TRIM(E102&amp;""))),"⚠"&amp;TRIM(E102&amp;""))</f>
        <v/>
      </c>
      <c r="N102" s="10">
        <f>IFERROR(IF(TRIM(F102&amp;"")="","",IF(AND(ISNUMBER(FIND(" ",TRIM(F102&amp;""))),COUNTIF(코드표!$A$2:$A$21,IF(RIGHT(LEFT(TRIM(F102&amp;""),FIND(" ",TRIM(F102&amp;""))-1),2)="병원",LEFT(TRIM(F102&amp;""),FIND(" ",TRIM(F102&amp;""))-1),LEFT(TRIM(F102&amp;""),FIND(" ",TRIM(F102&amp;""))-1)&amp;"병원"))&gt;0,ISNUMBER(MATCH(TRIM(RIGHT(SUBSTITUTE(TRIM(F102&amp;"")," ",REPT(" ",60)),60)),코드표!$F$2:$F$101,0))),IF(RIGHT(LEFT(TRIM(F102&amp;""),FIND(" ",TRIM(F102&amp;""))-1),2)="병원",LEFT(TRIM(F102&amp;""),FIND(" ",TRIM(F102&amp;""))-1),LEFT(TRIM(F102&amp;""),FIND(" ",TRIM(F102&amp;""))-1)&amp;"병원")&amp;" "&amp;INDEX(코드표!$G$2:$G$101,MATCH(TRIM(RIGHT(SUBSTITUTE(TRIM(F102&amp;"")," ",REPT(" ",60)),60)),코드표!$F$2:$F$101,0)),"⚠"&amp;TRIM(F102&amp;""))),"⚠"&amp;TRIM(F102&amp;""))</f>
        <v/>
      </c>
      <c r="O102" s="10">
        <f>IFERROR(IF(TRIM(G102&amp;"")="","",IF(AND(ISNUMBER(FIND(" ",TRIM(G102&amp;""))),COUNTIF(코드표!$A$2:$A$21,IF(RIGHT(LEFT(TRIM(G102&amp;""),FIND(" ",TRIM(G102&amp;""))-1),2)="병원",LEFT(TRIM(G102&amp;""),FIND(" ",TRIM(G102&amp;""))-1),LEFT(TRIM(G102&amp;""),FIND(" ",TRIM(G102&amp;""))-1)&amp;"병원"))&gt;0,ISNUMBER(MATCH(TRIM(RIGHT(SUBSTITUTE(TRIM(G102&amp;"")," ",REPT(" ",60)),60)),코드표!$F$2:$F$101,0))),IF(RIGHT(LEFT(TRIM(G102&amp;""),FIND(" ",TRIM(G102&amp;""))-1),2)="병원",LEFT(TRIM(G102&amp;""),FIND(" ",TRIM(G102&amp;""))-1),LEFT(TRIM(G102&amp;""),FIND(" ",TRIM(G102&amp;""))-1)&amp;"병원")&amp;" "&amp;INDEX(코드표!$G$2:$G$101,MATCH(TRIM(RIGHT(SUBSTITUTE(TRIM(G102&amp;"")," ",REPT(" ",60)),60)),코드표!$F$2:$F$101,0)),"⚠"&amp;TRIM(G102&amp;""))),"⚠"&amp;TRIM(G102&amp;""))</f>
        <v/>
      </c>
      <c r="P102" s="10">
        <f>IFERROR(IF(TRIM(H102&amp;"")="","",IF(AND(ISNUMBER(FIND(" ",TRIM(H102&amp;""))),COUNTIF(코드표!$A$2:$A$21,IF(RIGHT(LEFT(TRIM(H102&amp;""),FIND(" ",TRIM(H102&amp;""))-1),2)="병원",LEFT(TRIM(H102&amp;""),FIND(" ",TRIM(H102&amp;""))-1),LEFT(TRIM(H102&amp;""),FIND(" ",TRIM(H102&amp;""))-1)&amp;"병원"))&gt;0,ISNUMBER(MATCH(TRIM(RIGHT(SUBSTITUTE(TRIM(H102&amp;"")," ",REPT(" ",60)),60)),코드표!$F$2:$F$101,0))),IF(RIGHT(LEFT(TRIM(H102&amp;""),FIND(" ",TRIM(H102&amp;""))-1),2)="병원",LEFT(TRIM(H102&amp;""),FIND(" ",TRIM(H102&amp;""))-1),LEFT(TRIM(H102&amp;""),FIND(" ",TRIM(H102&amp;""))-1)&amp;"병원")&amp;" "&amp;INDEX(코드표!$G$2:$G$101,MATCH(TRIM(RIGHT(SUBSTITUTE(TRIM(H102&amp;"")," ",REPT(" ",60)),60)),코드표!$F$2:$F$101,0)),"⚠"&amp;TRIM(H102&amp;""))),"⚠"&amp;TRIM(H102&amp;""))</f>
        <v/>
      </c>
      <c r="Q102" s="10">
        <f>IFERROR(IF(TRIM(I102&amp;"")="","",IF(AND(ISNUMBER(FIND(" ",TRIM(I102&amp;""))),COUNTIF(코드표!$A$2:$A$21,IF(RIGHT(LEFT(TRIM(I102&amp;""),FIND(" ",TRIM(I102&amp;""))-1),2)="병원",LEFT(TRIM(I102&amp;""),FIND(" ",TRIM(I102&amp;""))-1),LEFT(TRIM(I102&amp;""),FIND(" ",TRIM(I102&amp;""))-1)&amp;"병원"))&gt;0,ISNUMBER(MATCH(TRIM(RIGHT(SUBSTITUTE(TRIM(I102&amp;"")," ",REPT(" ",60)),60)),코드표!$F$2:$F$101,0))),IF(RIGHT(LEFT(TRIM(I102&amp;""),FIND(" ",TRIM(I102&amp;""))-1),2)="병원",LEFT(TRIM(I102&amp;""),FIND(" ",TRIM(I102&amp;""))-1),LEFT(TRIM(I102&amp;""),FIND(" ",TRIM(I102&amp;""))-1)&amp;"병원")&amp;" "&amp;INDEX(코드표!$G$2:$G$101,MATCH(TRIM(RIGHT(SUBSTITUTE(TRIM(I102&amp;"")," ",REPT(" ",60)),60)),코드표!$F$2:$F$101,0)),"⚠"&amp;TRIM(I102&amp;""))),"⚠"&amp;TRIM(I102&amp;""))</f>
        <v/>
      </c>
      <c r="R102" s="10">
        <f>IFERROR(IF(TRIM(J102&amp;"")="","",IF(AND(ISNUMBER(FIND(" ",TRIM(J102&amp;""))),COUNTIF(코드표!$A$2:$A$21,IF(RIGHT(LEFT(TRIM(J102&amp;""),FIND(" ",TRIM(J102&amp;""))-1),2)="병원",LEFT(TRIM(J102&amp;""),FIND(" ",TRIM(J102&amp;""))-1),LEFT(TRIM(J102&amp;""),FIND(" ",TRIM(J102&amp;""))-1)&amp;"병원"))&gt;0,ISNUMBER(MATCH(TRIM(RIGHT(SUBSTITUTE(TRIM(J102&amp;"")," ",REPT(" ",60)),60)),코드표!$F$2:$F$101,0))),IF(RIGHT(LEFT(TRIM(J102&amp;""),FIND(" ",TRIM(J102&amp;""))-1),2)="병원",LEFT(TRIM(J102&amp;""),FIND(" ",TRIM(J102&amp;""))-1),LEFT(TRIM(J102&amp;""),FIND(" ",TRIM(J102&amp;""))-1)&amp;"병원")&amp;" "&amp;INDEX(코드표!$G$2:$G$101,MATCH(TRIM(RIGHT(SUBSTITUTE(TRIM(J102&amp;"")," ",REPT(" ",60)),60)),코드표!$F$2:$F$101,0)),"⚠"&amp;TRIM(J102&amp;""))),"⚠"&amp;TRIM(J102&amp;""))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",TRIM(E103&amp;""))),COUNTIF(코드표!$A$2:$A$21,IF(RIGHT(LEFT(TRIM(E103&amp;""),FIND(" ",TRIM(E103&amp;""))-1),2)="병원",LEFT(TRIM(E103&amp;""),FIND(" ",TRIM(E103&amp;""))-1),LEFT(TRIM(E103&amp;""),FIND(" ",TRIM(E103&amp;""))-1)&amp;"병원"))&gt;0,ISNUMBER(MATCH(TRIM(RIGHT(SUBSTITUTE(TRIM(E103&amp;"")," ",REPT(" ",60)),60)),코드표!$F$2:$F$101,0))),IF(RIGHT(LEFT(TRIM(E103&amp;""),FIND(" ",TRIM(E103&amp;""))-1),2)="병원",LEFT(TRIM(E103&amp;""),FIND(" ",TRIM(E103&amp;""))-1),LEFT(TRIM(E103&amp;""),FIND(" ",TRIM(E103&amp;""))-1)&amp;"병원")&amp;" "&amp;INDEX(코드표!$G$2:$G$101,MATCH(TRIM(RIGHT(SUBSTITUTE(TRIM(E103&amp;"")," ",REPT(" ",60)),60)),코드표!$F$2:$F$101,0)),"⚠"&amp;TRIM(E103&amp;""))),"⚠"&amp;TRIM(E103&amp;""))</f>
        <v/>
      </c>
      <c r="N103" s="10">
        <f>IFERROR(IF(TRIM(F103&amp;"")="","",IF(AND(ISNUMBER(FIND(" ",TRIM(F103&amp;""))),COUNTIF(코드표!$A$2:$A$21,IF(RIGHT(LEFT(TRIM(F103&amp;""),FIND(" ",TRIM(F103&amp;""))-1),2)="병원",LEFT(TRIM(F103&amp;""),FIND(" ",TRIM(F103&amp;""))-1),LEFT(TRIM(F103&amp;""),FIND(" ",TRIM(F103&amp;""))-1)&amp;"병원"))&gt;0,ISNUMBER(MATCH(TRIM(RIGHT(SUBSTITUTE(TRIM(F103&amp;"")," ",REPT(" ",60)),60)),코드표!$F$2:$F$101,0))),IF(RIGHT(LEFT(TRIM(F103&amp;""),FIND(" ",TRIM(F103&amp;""))-1),2)="병원",LEFT(TRIM(F103&amp;""),FIND(" ",TRIM(F103&amp;""))-1),LEFT(TRIM(F103&amp;""),FIND(" ",TRIM(F103&amp;""))-1)&amp;"병원")&amp;" "&amp;INDEX(코드표!$G$2:$G$101,MATCH(TRIM(RIGHT(SUBSTITUTE(TRIM(F103&amp;"")," ",REPT(" ",60)),60)),코드표!$F$2:$F$101,0)),"⚠"&amp;TRIM(F103&amp;""))),"⚠"&amp;TRIM(F103&amp;""))</f>
        <v/>
      </c>
      <c r="O103" s="10">
        <f>IFERROR(IF(TRIM(G103&amp;"")="","",IF(AND(ISNUMBER(FIND(" ",TRIM(G103&amp;""))),COUNTIF(코드표!$A$2:$A$21,IF(RIGHT(LEFT(TRIM(G103&amp;""),FIND(" ",TRIM(G103&amp;""))-1),2)="병원",LEFT(TRIM(G103&amp;""),FIND(" ",TRIM(G103&amp;""))-1),LEFT(TRIM(G103&amp;""),FIND(" ",TRIM(G103&amp;""))-1)&amp;"병원"))&gt;0,ISNUMBER(MATCH(TRIM(RIGHT(SUBSTITUTE(TRIM(G103&amp;"")," ",REPT(" ",60)),60)),코드표!$F$2:$F$101,0))),IF(RIGHT(LEFT(TRIM(G103&amp;""),FIND(" ",TRIM(G103&amp;""))-1),2)="병원",LEFT(TRIM(G103&amp;""),FIND(" ",TRIM(G103&amp;""))-1),LEFT(TRIM(G103&amp;""),FIND(" ",TRIM(G103&amp;""))-1)&amp;"병원")&amp;" "&amp;INDEX(코드표!$G$2:$G$101,MATCH(TRIM(RIGHT(SUBSTITUTE(TRIM(G103&amp;"")," ",REPT(" ",60)),60)),코드표!$F$2:$F$101,0)),"⚠"&amp;TRIM(G103&amp;""))),"⚠"&amp;TRIM(G103&amp;""))</f>
        <v/>
      </c>
      <c r="P103" s="10">
        <f>IFERROR(IF(TRIM(H103&amp;"")="","",IF(AND(ISNUMBER(FIND(" ",TRIM(H103&amp;""))),COUNTIF(코드표!$A$2:$A$21,IF(RIGHT(LEFT(TRIM(H103&amp;""),FIND(" ",TRIM(H103&amp;""))-1),2)="병원",LEFT(TRIM(H103&amp;""),FIND(" ",TRIM(H103&amp;""))-1),LEFT(TRIM(H103&amp;""),FIND(" ",TRIM(H103&amp;""))-1)&amp;"병원"))&gt;0,ISNUMBER(MATCH(TRIM(RIGHT(SUBSTITUTE(TRIM(H103&amp;"")," ",REPT(" ",60)),60)),코드표!$F$2:$F$101,0))),IF(RIGHT(LEFT(TRIM(H103&amp;""),FIND(" ",TRIM(H103&amp;""))-1),2)="병원",LEFT(TRIM(H103&amp;""),FIND(" ",TRIM(H103&amp;""))-1),LEFT(TRIM(H103&amp;""),FIND(" ",TRIM(H103&amp;""))-1)&amp;"병원")&amp;" "&amp;INDEX(코드표!$G$2:$G$101,MATCH(TRIM(RIGHT(SUBSTITUTE(TRIM(H103&amp;"")," ",REPT(" ",60)),60)),코드표!$F$2:$F$101,0)),"⚠"&amp;TRIM(H103&amp;""))),"⚠"&amp;TRIM(H103&amp;""))</f>
        <v/>
      </c>
      <c r="Q103" s="10">
        <f>IFERROR(IF(TRIM(I103&amp;"")="","",IF(AND(ISNUMBER(FIND(" ",TRIM(I103&amp;""))),COUNTIF(코드표!$A$2:$A$21,IF(RIGHT(LEFT(TRIM(I103&amp;""),FIND(" ",TRIM(I103&amp;""))-1),2)="병원",LEFT(TRIM(I103&amp;""),FIND(" ",TRIM(I103&amp;""))-1),LEFT(TRIM(I103&amp;""),FIND(" ",TRIM(I103&amp;""))-1)&amp;"병원"))&gt;0,ISNUMBER(MATCH(TRIM(RIGHT(SUBSTITUTE(TRIM(I103&amp;"")," ",REPT(" ",60)),60)),코드표!$F$2:$F$101,0))),IF(RIGHT(LEFT(TRIM(I103&amp;""),FIND(" ",TRIM(I103&amp;""))-1),2)="병원",LEFT(TRIM(I103&amp;""),FIND(" ",TRIM(I103&amp;""))-1),LEFT(TRIM(I103&amp;""),FIND(" ",TRIM(I103&amp;""))-1)&amp;"병원")&amp;" "&amp;INDEX(코드표!$G$2:$G$101,MATCH(TRIM(RIGHT(SUBSTITUTE(TRIM(I103&amp;"")," ",REPT(" ",60)),60)),코드표!$F$2:$F$101,0)),"⚠"&amp;TRIM(I103&amp;""))),"⚠"&amp;TRIM(I103&amp;""))</f>
        <v/>
      </c>
      <c r="R103" s="10">
        <f>IFERROR(IF(TRIM(J103&amp;"")="","",IF(AND(ISNUMBER(FIND(" ",TRIM(J103&amp;""))),COUNTIF(코드표!$A$2:$A$21,IF(RIGHT(LEFT(TRIM(J103&amp;""),FIND(" ",TRIM(J103&amp;""))-1),2)="병원",LEFT(TRIM(J103&amp;""),FIND(" ",TRIM(J103&amp;""))-1),LEFT(TRIM(J103&amp;""),FIND(" ",TRIM(J103&amp;""))-1)&amp;"병원"))&gt;0,ISNUMBER(MATCH(TRIM(RIGHT(SUBSTITUTE(TRIM(J103&amp;"")," ",REPT(" ",60)),60)),코드표!$F$2:$F$101,0))),IF(RIGHT(LEFT(TRIM(J103&amp;""),FIND(" ",TRIM(J103&amp;""))-1),2)="병원",LEFT(TRIM(J103&amp;""),FIND(" ",TRIM(J103&amp;""))-1),LEFT(TRIM(J103&amp;""),FIND(" ",TRIM(J103&amp;""))-1)&amp;"병원")&amp;" "&amp;INDEX(코드표!$G$2:$G$101,MATCH(TRIM(RIGHT(SUBSTITUTE(TRIM(J103&amp;"")," ",REPT(" ",60)),60)),코드표!$F$2:$F$101,0)),"⚠"&amp;TRIM(J103&amp;""))),"⚠"&amp;TRIM(J103&amp;""))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",TRIM(E104&amp;""))),COUNTIF(코드표!$A$2:$A$21,IF(RIGHT(LEFT(TRIM(E104&amp;""),FIND(" ",TRIM(E104&amp;""))-1),2)="병원",LEFT(TRIM(E104&amp;""),FIND(" ",TRIM(E104&amp;""))-1),LEFT(TRIM(E104&amp;""),FIND(" ",TRIM(E104&amp;""))-1)&amp;"병원"))&gt;0,ISNUMBER(MATCH(TRIM(RIGHT(SUBSTITUTE(TRIM(E104&amp;"")," ",REPT(" ",60)),60)),코드표!$F$2:$F$101,0))),IF(RIGHT(LEFT(TRIM(E104&amp;""),FIND(" ",TRIM(E104&amp;""))-1),2)="병원",LEFT(TRIM(E104&amp;""),FIND(" ",TRIM(E104&amp;""))-1),LEFT(TRIM(E104&amp;""),FIND(" ",TRIM(E104&amp;""))-1)&amp;"병원")&amp;" "&amp;INDEX(코드표!$G$2:$G$101,MATCH(TRIM(RIGHT(SUBSTITUTE(TRIM(E104&amp;"")," ",REPT(" ",60)),60)),코드표!$F$2:$F$101,0)),"⚠"&amp;TRIM(E104&amp;""))),"⚠"&amp;TRIM(E104&amp;""))</f>
        <v/>
      </c>
      <c r="N104" s="10">
        <f>IFERROR(IF(TRIM(F104&amp;"")="","",IF(AND(ISNUMBER(FIND(" ",TRIM(F104&amp;""))),COUNTIF(코드표!$A$2:$A$21,IF(RIGHT(LEFT(TRIM(F104&amp;""),FIND(" ",TRIM(F104&amp;""))-1),2)="병원",LEFT(TRIM(F104&amp;""),FIND(" ",TRIM(F104&amp;""))-1),LEFT(TRIM(F104&amp;""),FIND(" ",TRIM(F104&amp;""))-1)&amp;"병원"))&gt;0,ISNUMBER(MATCH(TRIM(RIGHT(SUBSTITUTE(TRIM(F104&amp;"")," ",REPT(" ",60)),60)),코드표!$F$2:$F$101,0))),IF(RIGHT(LEFT(TRIM(F104&amp;""),FIND(" ",TRIM(F104&amp;""))-1),2)="병원",LEFT(TRIM(F104&amp;""),FIND(" ",TRIM(F104&amp;""))-1),LEFT(TRIM(F104&amp;""),FIND(" ",TRIM(F104&amp;""))-1)&amp;"병원")&amp;" "&amp;INDEX(코드표!$G$2:$G$101,MATCH(TRIM(RIGHT(SUBSTITUTE(TRIM(F104&amp;"")," ",REPT(" ",60)),60)),코드표!$F$2:$F$101,0)),"⚠"&amp;TRIM(F104&amp;""))),"⚠"&amp;TRIM(F104&amp;""))</f>
        <v/>
      </c>
      <c r="O104" s="10">
        <f>IFERROR(IF(TRIM(G104&amp;"")="","",IF(AND(ISNUMBER(FIND(" ",TRIM(G104&amp;""))),COUNTIF(코드표!$A$2:$A$21,IF(RIGHT(LEFT(TRIM(G104&amp;""),FIND(" ",TRIM(G104&amp;""))-1),2)="병원",LEFT(TRIM(G104&amp;""),FIND(" ",TRIM(G104&amp;""))-1),LEFT(TRIM(G104&amp;""),FIND(" ",TRIM(G104&amp;""))-1)&amp;"병원"))&gt;0,ISNUMBER(MATCH(TRIM(RIGHT(SUBSTITUTE(TRIM(G104&amp;"")," ",REPT(" ",60)),60)),코드표!$F$2:$F$101,0))),IF(RIGHT(LEFT(TRIM(G104&amp;""),FIND(" ",TRIM(G104&amp;""))-1),2)="병원",LEFT(TRIM(G104&amp;""),FIND(" ",TRIM(G104&amp;""))-1),LEFT(TRIM(G104&amp;""),FIND(" ",TRIM(G104&amp;""))-1)&amp;"병원")&amp;" "&amp;INDEX(코드표!$G$2:$G$101,MATCH(TRIM(RIGHT(SUBSTITUTE(TRIM(G104&amp;"")," ",REPT(" ",60)),60)),코드표!$F$2:$F$101,0)),"⚠"&amp;TRIM(G104&amp;""))),"⚠"&amp;TRIM(G104&amp;""))</f>
        <v/>
      </c>
      <c r="P104" s="10">
        <f>IFERROR(IF(TRIM(H104&amp;"")="","",IF(AND(ISNUMBER(FIND(" ",TRIM(H104&amp;""))),COUNTIF(코드표!$A$2:$A$21,IF(RIGHT(LEFT(TRIM(H104&amp;""),FIND(" ",TRIM(H104&amp;""))-1),2)="병원",LEFT(TRIM(H104&amp;""),FIND(" ",TRIM(H104&amp;""))-1),LEFT(TRIM(H104&amp;""),FIND(" ",TRIM(H104&amp;""))-1)&amp;"병원"))&gt;0,ISNUMBER(MATCH(TRIM(RIGHT(SUBSTITUTE(TRIM(H104&amp;"")," ",REPT(" ",60)),60)),코드표!$F$2:$F$101,0))),IF(RIGHT(LEFT(TRIM(H104&amp;""),FIND(" ",TRIM(H104&amp;""))-1),2)="병원",LEFT(TRIM(H104&amp;""),FIND(" ",TRIM(H104&amp;""))-1),LEFT(TRIM(H104&amp;""),FIND(" ",TRIM(H104&amp;""))-1)&amp;"병원")&amp;" "&amp;INDEX(코드표!$G$2:$G$101,MATCH(TRIM(RIGHT(SUBSTITUTE(TRIM(H104&amp;"")," ",REPT(" ",60)),60)),코드표!$F$2:$F$101,0)),"⚠"&amp;TRIM(H104&amp;""))),"⚠"&amp;TRIM(H104&amp;""))</f>
        <v/>
      </c>
      <c r="Q104" s="10">
        <f>IFERROR(IF(TRIM(I104&amp;"")="","",IF(AND(ISNUMBER(FIND(" ",TRIM(I104&amp;""))),COUNTIF(코드표!$A$2:$A$21,IF(RIGHT(LEFT(TRIM(I104&amp;""),FIND(" ",TRIM(I104&amp;""))-1),2)="병원",LEFT(TRIM(I104&amp;""),FIND(" ",TRIM(I104&amp;""))-1),LEFT(TRIM(I104&amp;""),FIND(" ",TRIM(I104&amp;""))-1)&amp;"병원"))&gt;0,ISNUMBER(MATCH(TRIM(RIGHT(SUBSTITUTE(TRIM(I104&amp;"")," ",REPT(" ",60)),60)),코드표!$F$2:$F$101,0))),IF(RIGHT(LEFT(TRIM(I104&amp;""),FIND(" ",TRIM(I104&amp;""))-1),2)="병원",LEFT(TRIM(I104&amp;""),FIND(" ",TRIM(I104&amp;""))-1),LEFT(TRIM(I104&amp;""),FIND(" ",TRIM(I104&amp;""))-1)&amp;"병원")&amp;" "&amp;INDEX(코드표!$G$2:$G$101,MATCH(TRIM(RIGHT(SUBSTITUTE(TRIM(I104&amp;"")," ",REPT(" ",60)),60)),코드표!$F$2:$F$101,0)),"⚠"&amp;TRIM(I104&amp;""))),"⚠"&amp;TRIM(I104&amp;""))</f>
        <v/>
      </c>
      <c r="R104" s="10">
        <f>IFERROR(IF(TRIM(J104&amp;"")="","",IF(AND(ISNUMBER(FIND(" ",TRIM(J104&amp;""))),COUNTIF(코드표!$A$2:$A$21,IF(RIGHT(LEFT(TRIM(J104&amp;""),FIND(" ",TRIM(J104&amp;""))-1),2)="병원",LEFT(TRIM(J104&amp;""),FIND(" ",TRIM(J104&amp;""))-1),LEFT(TRIM(J104&amp;""),FIND(" ",TRIM(J104&amp;""))-1)&amp;"병원"))&gt;0,ISNUMBER(MATCH(TRIM(RIGHT(SUBSTITUTE(TRIM(J104&amp;"")," ",REPT(" ",60)),60)),코드표!$F$2:$F$101,0))),IF(RIGHT(LEFT(TRIM(J104&amp;""),FIND(" ",TRIM(J104&amp;""))-1),2)="병원",LEFT(TRIM(J104&amp;""),FIND(" ",TRIM(J104&amp;""))-1),LEFT(TRIM(J104&amp;""),FIND(" ",TRIM(J104&amp;""))-1)&amp;"병원")&amp;" "&amp;INDEX(코드표!$G$2:$G$101,MATCH(TRIM(RIGHT(SUBSTITUTE(TRIM(J104&amp;"")," ",REPT(" ",60)),60)),코드표!$F$2:$F$101,0)),"⚠"&amp;TRIM(J104&amp;""))),"⚠"&amp;TRIM(J104&amp;""))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",TRIM(E105&amp;""))),COUNTIF(코드표!$A$2:$A$21,IF(RIGHT(LEFT(TRIM(E105&amp;""),FIND(" ",TRIM(E105&amp;""))-1),2)="병원",LEFT(TRIM(E105&amp;""),FIND(" ",TRIM(E105&amp;""))-1),LEFT(TRIM(E105&amp;""),FIND(" ",TRIM(E105&amp;""))-1)&amp;"병원"))&gt;0,ISNUMBER(MATCH(TRIM(RIGHT(SUBSTITUTE(TRIM(E105&amp;"")," ",REPT(" ",60)),60)),코드표!$F$2:$F$101,0))),IF(RIGHT(LEFT(TRIM(E105&amp;""),FIND(" ",TRIM(E105&amp;""))-1),2)="병원",LEFT(TRIM(E105&amp;""),FIND(" ",TRIM(E105&amp;""))-1),LEFT(TRIM(E105&amp;""),FIND(" ",TRIM(E105&amp;""))-1)&amp;"병원")&amp;" "&amp;INDEX(코드표!$G$2:$G$101,MATCH(TRIM(RIGHT(SUBSTITUTE(TRIM(E105&amp;"")," ",REPT(" ",60)),60)),코드표!$F$2:$F$101,0)),"⚠"&amp;TRIM(E105&amp;""))),"⚠"&amp;TRIM(E105&amp;""))</f>
        <v/>
      </c>
      <c r="N105" s="10">
        <f>IFERROR(IF(TRIM(F105&amp;"")="","",IF(AND(ISNUMBER(FIND(" ",TRIM(F105&amp;""))),COUNTIF(코드표!$A$2:$A$21,IF(RIGHT(LEFT(TRIM(F105&amp;""),FIND(" ",TRIM(F105&amp;""))-1),2)="병원",LEFT(TRIM(F105&amp;""),FIND(" ",TRIM(F105&amp;""))-1),LEFT(TRIM(F105&amp;""),FIND(" ",TRIM(F105&amp;""))-1)&amp;"병원"))&gt;0,ISNUMBER(MATCH(TRIM(RIGHT(SUBSTITUTE(TRIM(F105&amp;"")," ",REPT(" ",60)),60)),코드표!$F$2:$F$101,0))),IF(RIGHT(LEFT(TRIM(F105&amp;""),FIND(" ",TRIM(F105&amp;""))-1),2)="병원",LEFT(TRIM(F105&amp;""),FIND(" ",TRIM(F105&amp;""))-1),LEFT(TRIM(F105&amp;""),FIND(" ",TRIM(F105&amp;""))-1)&amp;"병원")&amp;" "&amp;INDEX(코드표!$G$2:$G$101,MATCH(TRIM(RIGHT(SUBSTITUTE(TRIM(F105&amp;"")," ",REPT(" ",60)),60)),코드표!$F$2:$F$101,0)),"⚠"&amp;TRIM(F105&amp;""))),"⚠"&amp;TRIM(F105&amp;""))</f>
        <v/>
      </c>
      <c r="O105" s="10">
        <f>IFERROR(IF(TRIM(G105&amp;"")="","",IF(AND(ISNUMBER(FIND(" ",TRIM(G105&amp;""))),COUNTIF(코드표!$A$2:$A$21,IF(RIGHT(LEFT(TRIM(G105&amp;""),FIND(" ",TRIM(G105&amp;""))-1),2)="병원",LEFT(TRIM(G105&amp;""),FIND(" ",TRIM(G105&amp;""))-1),LEFT(TRIM(G105&amp;""),FIND(" ",TRIM(G105&amp;""))-1)&amp;"병원"))&gt;0,ISNUMBER(MATCH(TRIM(RIGHT(SUBSTITUTE(TRIM(G105&amp;"")," ",REPT(" ",60)),60)),코드표!$F$2:$F$101,0))),IF(RIGHT(LEFT(TRIM(G105&amp;""),FIND(" ",TRIM(G105&amp;""))-1),2)="병원",LEFT(TRIM(G105&amp;""),FIND(" ",TRIM(G105&amp;""))-1),LEFT(TRIM(G105&amp;""),FIND(" ",TRIM(G105&amp;""))-1)&amp;"병원")&amp;" "&amp;INDEX(코드표!$G$2:$G$101,MATCH(TRIM(RIGHT(SUBSTITUTE(TRIM(G105&amp;"")," ",REPT(" ",60)),60)),코드표!$F$2:$F$101,0)),"⚠"&amp;TRIM(G105&amp;""))),"⚠"&amp;TRIM(G105&amp;""))</f>
        <v/>
      </c>
      <c r="P105" s="10">
        <f>IFERROR(IF(TRIM(H105&amp;"")="","",IF(AND(ISNUMBER(FIND(" ",TRIM(H105&amp;""))),COUNTIF(코드표!$A$2:$A$21,IF(RIGHT(LEFT(TRIM(H105&amp;""),FIND(" ",TRIM(H105&amp;""))-1),2)="병원",LEFT(TRIM(H105&amp;""),FIND(" ",TRIM(H105&amp;""))-1),LEFT(TRIM(H105&amp;""),FIND(" ",TRIM(H105&amp;""))-1)&amp;"병원"))&gt;0,ISNUMBER(MATCH(TRIM(RIGHT(SUBSTITUTE(TRIM(H105&amp;"")," ",REPT(" ",60)),60)),코드표!$F$2:$F$101,0))),IF(RIGHT(LEFT(TRIM(H105&amp;""),FIND(" ",TRIM(H105&amp;""))-1),2)="병원",LEFT(TRIM(H105&amp;""),FIND(" ",TRIM(H105&amp;""))-1),LEFT(TRIM(H105&amp;""),FIND(" ",TRIM(H105&amp;""))-1)&amp;"병원")&amp;" "&amp;INDEX(코드표!$G$2:$G$101,MATCH(TRIM(RIGHT(SUBSTITUTE(TRIM(H105&amp;"")," ",REPT(" ",60)),60)),코드표!$F$2:$F$101,0)),"⚠"&amp;TRIM(H105&amp;""))),"⚠"&amp;TRIM(H105&amp;""))</f>
        <v/>
      </c>
      <c r="Q105" s="10">
        <f>IFERROR(IF(TRIM(I105&amp;"")="","",IF(AND(ISNUMBER(FIND(" ",TRIM(I105&amp;""))),COUNTIF(코드표!$A$2:$A$21,IF(RIGHT(LEFT(TRIM(I105&amp;""),FIND(" ",TRIM(I105&amp;""))-1),2)="병원",LEFT(TRIM(I105&amp;""),FIND(" ",TRIM(I105&amp;""))-1),LEFT(TRIM(I105&amp;""),FIND(" ",TRIM(I105&amp;""))-1)&amp;"병원"))&gt;0,ISNUMBER(MATCH(TRIM(RIGHT(SUBSTITUTE(TRIM(I105&amp;"")," ",REPT(" ",60)),60)),코드표!$F$2:$F$101,0))),IF(RIGHT(LEFT(TRIM(I105&amp;""),FIND(" ",TRIM(I105&amp;""))-1),2)="병원",LEFT(TRIM(I105&amp;""),FIND(" ",TRIM(I105&amp;""))-1),LEFT(TRIM(I105&amp;""),FIND(" ",TRIM(I105&amp;""))-1)&amp;"병원")&amp;" "&amp;INDEX(코드표!$G$2:$G$101,MATCH(TRIM(RIGHT(SUBSTITUTE(TRIM(I105&amp;"")," ",REPT(" ",60)),60)),코드표!$F$2:$F$101,0)),"⚠"&amp;TRIM(I105&amp;""))),"⚠"&amp;TRIM(I105&amp;""))</f>
        <v/>
      </c>
      <c r="R105" s="10">
        <f>IFERROR(IF(TRIM(J105&amp;"")="","",IF(AND(ISNUMBER(FIND(" ",TRIM(J105&amp;""))),COUNTIF(코드표!$A$2:$A$21,IF(RIGHT(LEFT(TRIM(J105&amp;""),FIND(" ",TRIM(J105&amp;""))-1),2)="병원",LEFT(TRIM(J105&amp;""),FIND(" ",TRIM(J105&amp;""))-1),LEFT(TRIM(J105&amp;""),FIND(" ",TRIM(J105&amp;""))-1)&amp;"병원"))&gt;0,ISNUMBER(MATCH(TRIM(RIGHT(SUBSTITUTE(TRIM(J105&amp;"")," ",REPT(" ",60)),60)),코드표!$F$2:$F$101,0))),IF(RIGHT(LEFT(TRIM(J105&amp;""),FIND(" ",TRIM(J105&amp;""))-1),2)="병원",LEFT(TRIM(J105&amp;""),FIND(" ",TRIM(J105&amp;""))-1),LEFT(TRIM(J105&amp;""),FIND(" ",TRIM(J105&amp;""))-1)&amp;"병원")&amp;" "&amp;INDEX(코드표!$G$2:$G$101,MATCH(TRIM(RIGHT(SUBSTITUTE(TRIM(J105&amp;"")," ",REPT(" ",60)),60)),코드표!$F$2:$F$101,0)),"⚠"&amp;TRIM(J105&amp;""))),"⚠"&amp;TRIM(J105&amp;""))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",TRIM(E106&amp;""))),COUNTIF(코드표!$A$2:$A$21,IF(RIGHT(LEFT(TRIM(E106&amp;""),FIND(" ",TRIM(E106&amp;""))-1),2)="병원",LEFT(TRIM(E106&amp;""),FIND(" ",TRIM(E106&amp;""))-1),LEFT(TRIM(E106&amp;""),FIND(" ",TRIM(E106&amp;""))-1)&amp;"병원"))&gt;0,ISNUMBER(MATCH(TRIM(RIGHT(SUBSTITUTE(TRIM(E106&amp;"")," ",REPT(" ",60)),60)),코드표!$F$2:$F$101,0))),IF(RIGHT(LEFT(TRIM(E106&amp;""),FIND(" ",TRIM(E106&amp;""))-1),2)="병원",LEFT(TRIM(E106&amp;""),FIND(" ",TRIM(E106&amp;""))-1),LEFT(TRIM(E106&amp;""),FIND(" ",TRIM(E106&amp;""))-1)&amp;"병원")&amp;" "&amp;INDEX(코드표!$G$2:$G$101,MATCH(TRIM(RIGHT(SUBSTITUTE(TRIM(E106&amp;"")," ",REPT(" ",60)),60)),코드표!$F$2:$F$101,0)),"⚠"&amp;TRIM(E106&amp;""))),"⚠"&amp;TRIM(E106&amp;""))</f>
        <v/>
      </c>
      <c r="N106" s="10">
        <f>IFERROR(IF(TRIM(F106&amp;"")="","",IF(AND(ISNUMBER(FIND(" ",TRIM(F106&amp;""))),COUNTIF(코드표!$A$2:$A$21,IF(RIGHT(LEFT(TRIM(F106&amp;""),FIND(" ",TRIM(F106&amp;""))-1),2)="병원",LEFT(TRIM(F106&amp;""),FIND(" ",TRIM(F106&amp;""))-1),LEFT(TRIM(F106&amp;""),FIND(" ",TRIM(F106&amp;""))-1)&amp;"병원"))&gt;0,ISNUMBER(MATCH(TRIM(RIGHT(SUBSTITUTE(TRIM(F106&amp;"")," ",REPT(" ",60)),60)),코드표!$F$2:$F$101,0))),IF(RIGHT(LEFT(TRIM(F106&amp;""),FIND(" ",TRIM(F106&amp;""))-1),2)="병원",LEFT(TRIM(F106&amp;""),FIND(" ",TRIM(F106&amp;""))-1),LEFT(TRIM(F106&amp;""),FIND(" ",TRIM(F106&amp;""))-1)&amp;"병원")&amp;" "&amp;INDEX(코드표!$G$2:$G$101,MATCH(TRIM(RIGHT(SUBSTITUTE(TRIM(F106&amp;"")," ",REPT(" ",60)),60)),코드표!$F$2:$F$101,0)),"⚠"&amp;TRIM(F106&amp;""))),"⚠"&amp;TRIM(F106&amp;""))</f>
        <v/>
      </c>
      <c r="O106" s="10">
        <f>IFERROR(IF(TRIM(G106&amp;"")="","",IF(AND(ISNUMBER(FIND(" ",TRIM(G106&amp;""))),COUNTIF(코드표!$A$2:$A$21,IF(RIGHT(LEFT(TRIM(G106&amp;""),FIND(" ",TRIM(G106&amp;""))-1),2)="병원",LEFT(TRIM(G106&amp;""),FIND(" ",TRIM(G106&amp;""))-1),LEFT(TRIM(G106&amp;""),FIND(" ",TRIM(G106&amp;""))-1)&amp;"병원"))&gt;0,ISNUMBER(MATCH(TRIM(RIGHT(SUBSTITUTE(TRIM(G106&amp;"")," ",REPT(" ",60)),60)),코드표!$F$2:$F$101,0))),IF(RIGHT(LEFT(TRIM(G106&amp;""),FIND(" ",TRIM(G106&amp;""))-1),2)="병원",LEFT(TRIM(G106&amp;""),FIND(" ",TRIM(G106&amp;""))-1),LEFT(TRIM(G106&amp;""),FIND(" ",TRIM(G106&amp;""))-1)&amp;"병원")&amp;" "&amp;INDEX(코드표!$G$2:$G$101,MATCH(TRIM(RIGHT(SUBSTITUTE(TRIM(G106&amp;"")," ",REPT(" ",60)),60)),코드표!$F$2:$F$101,0)),"⚠"&amp;TRIM(G106&amp;""))),"⚠"&amp;TRIM(G106&amp;""))</f>
        <v/>
      </c>
      <c r="P106" s="10">
        <f>IFERROR(IF(TRIM(H106&amp;"")="","",IF(AND(ISNUMBER(FIND(" ",TRIM(H106&amp;""))),COUNTIF(코드표!$A$2:$A$21,IF(RIGHT(LEFT(TRIM(H106&amp;""),FIND(" ",TRIM(H106&amp;""))-1),2)="병원",LEFT(TRIM(H106&amp;""),FIND(" ",TRIM(H106&amp;""))-1),LEFT(TRIM(H106&amp;""),FIND(" ",TRIM(H106&amp;""))-1)&amp;"병원"))&gt;0,ISNUMBER(MATCH(TRIM(RIGHT(SUBSTITUTE(TRIM(H106&amp;"")," ",REPT(" ",60)),60)),코드표!$F$2:$F$101,0))),IF(RIGHT(LEFT(TRIM(H106&amp;""),FIND(" ",TRIM(H106&amp;""))-1),2)="병원",LEFT(TRIM(H106&amp;""),FIND(" ",TRIM(H106&amp;""))-1),LEFT(TRIM(H106&amp;""),FIND(" ",TRIM(H106&amp;""))-1)&amp;"병원")&amp;" "&amp;INDEX(코드표!$G$2:$G$101,MATCH(TRIM(RIGHT(SUBSTITUTE(TRIM(H106&amp;"")," ",REPT(" ",60)),60)),코드표!$F$2:$F$101,0)),"⚠"&amp;TRIM(H106&amp;""))),"⚠"&amp;TRIM(H106&amp;""))</f>
        <v/>
      </c>
      <c r="Q106" s="10">
        <f>IFERROR(IF(TRIM(I106&amp;"")="","",IF(AND(ISNUMBER(FIND(" ",TRIM(I106&amp;""))),COUNTIF(코드표!$A$2:$A$21,IF(RIGHT(LEFT(TRIM(I106&amp;""),FIND(" ",TRIM(I106&amp;""))-1),2)="병원",LEFT(TRIM(I106&amp;""),FIND(" ",TRIM(I106&amp;""))-1),LEFT(TRIM(I106&amp;""),FIND(" ",TRIM(I106&amp;""))-1)&amp;"병원"))&gt;0,ISNUMBER(MATCH(TRIM(RIGHT(SUBSTITUTE(TRIM(I106&amp;"")," ",REPT(" ",60)),60)),코드표!$F$2:$F$101,0))),IF(RIGHT(LEFT(TRIM(I106&amp;""),FIND(" ",TRIM(I106&amp;""))-1),2)="병원",LEFT(TRIM(I106&amp;""),FIND(" ",TRIM(I106&amp;""))-1),LEFT(TRIM(I106&amp;""),FIND(" ",TRIM(I106&amp;""))-1)&amp;"병원")&amp;" "&amp;INDEX(코드표!$G$2:$G$101,MATCH(TRIM(RIGHT(SUBSTITUTE(TRIM(I106&amp;"")," ",REPT(" ",60)),60)),코드표!$F$2:$F$101,0)),"⚠"&amp;TRIM(I106&amp;""))),"⚠"&amp;TRIM(I106&amp;""))</f>
        <v/>
      </c>
      <c r="R106" s="10">
        <f>IFERROR(IF(TRIM(J106&amp;"")="","",IF(AND(ISNUMBER(FIND(" ",TRIM(J106&amp;""))),COUNTIF(코드표!$A$2:$A$21,IF(RIGHT(LEFT(TRIM(J106&amp;""),FIND(" ",TRIM(J106&amp;""))-1),2)="병원",LEFT(TRIM(J106&amp;""),FIND(" ",TRIM(J106&amp;""))-1),LEFT(TRIM(J106&amp;""),FIND(" ",TRIM(J106&amp;""))-1)&amp;"병원"))&gt;0,ISNUMBER(MATCH(TRIM(RIGHT(SUBSTITUTE(TRIM(J106&amp;"")," ",REPT(" ",60)),60)),코드표!$F$2:$F$101,0))),IF(RIGHT(LEFT(TRIM(J106&amp;""),FIND(" ",TRIM(J106&amp;""))-1),2)="병원",LEFT(TRIM(J106&amp;""),FIND(" ",TRIM(J106&amp;""))-1),LEFT(TRIM(J106&amp;""),FIND(" ",TRIM(J106&amp;""))-1)&amp;"병원")&amp;" "&amp;INDEX(코드표!$G$2:$G$101,MATCH(TRIM(RIGHT(SUBSTITUTE(TRIM(J106&amp;"")," ",REPT(" ",60)),60)),코드표!$F$2:$F$101,0)),"⚠"&amp;TRIM(J106&amp;""))),"⚠"&amp;TRIM(J106&amp;""))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",TRIM(E107&amp;""))),COUNTIF(코드표!$A$2:$A$21,IF(RIGHT(LEFT(TRIM(E107&amp;""),FIND(" ",TRIM(E107&amp;""))-1),2)="병원",LEFT(TRIM(E107&amp;""),FIND(" ",TRIM(E107&amp;""))-1),LEFT(TRIM(E107&amp;""),FIND(" ",TRIM(E107&amp;""))-1)&amp;"병원"))&gt;0,ISNUMBER(MATCH(TRIM(RIGHT(SUBSTITUTE(TRIM(E107&amp;"")," ",REPT(" ",60)),60)),코드표!$F$2:$F$101,0))),IF(RIGHT(LEFT(TRIM(E107&amp;""),FIND(" ",TRIM(E107&amp;""))-1),2)="병원",LEFT(TRIM(E107&amp;""),FIND(" ",TRIM(E107&amp;""))-1),LEFT(TRIM(E107&amp;""),FIND(" ",TRIM(E107&amp;""))-1)&amp;"병원")&amp;" "&amp;INDEX(코드표!$G$2:$G$101,MATCH(TRIM(RIGHT(SUBSTITUTE(TRIM(E107&amp;"")," ",REPT(" ",60)),60)),코드표!$F$2:$F$101,0)),"⚠"&amp;TRIM(E107&amp;""))),"⚠"&amp;TRIM(E107&amp;""))</f>
        <v/>
      </c>
      <c r="N107" s="10">
        <f>IFERROR(IF(TRIM(F107&amp;"")="","",IF(AND(ISNUMBER(FIND(" ",TRIM(F107&amp;""))),COUNTIF(코드표!$A$2:$A$21,IF(RIGHT(LEFT(TRIM(F107&amp;""),FIND(" ",TRIM(F107&amp;""))-1),2)="병원",LEFT(TRIM(F107&amp;""),FIND(" ",TRIM(F107&amp;""))-1),LEFT(TRIM(F107&amp;""),FIND(" ",TRIM(F107&amp;""))-1)&amp;"병원"))&gt;0,ISNUMBER(MATCH(TRIM(RIGHT(SUBSTITUTE(TRIM(F107&amp;"")," ",REPT(" ",60)),60)),코드표!$F$2:$F$101,0))),IF(RIGHT(LEFT(TRIM(F107&amp;""),FIND(" ",TRIM(F107&amp;""))-1),2)="병원",LEFT(TRIM(F107&amp;""),FIND(" ",TRIM(F107&amp;""))-1),LEFT(TRIM(F107&amp;""),FIND(" ",TRIM(F107&amp;""))-1)&amp;"병원")&amp;" "&amp;INDEX(코드표!$G$2:$G$101,MATCH(TRIM(RIGHT(SUBSTITUTE(TRIM(F107&amp;"")," ",REPT(" ",60)),60)),코드표!$F$2:$F$101,0)),"⚠"&amp;TRIM(F107&amp;""))),"⚠"&amp;TRIM(F107&amp;""))</f>
        <v/>
      </c>
      <c r="O107" s="10">
        <f>IFERROR(IF(TRIM(G107&amp;"")="","",IF(AND(ISNUMBER(FIND(" ",TRIM(G107&amp;""))),COUNTIF(코드표!$A$2:$A$21,IF(RIGHT(LEFT(TRIM(G107&amp;""),FIND(" ",TRIM(G107&amp;""))-1),2)="병원",LEFT(TRIM(G107&amp;""),FIND(" ",TRIM(G107&amp;""))-1),LEFT(TRIM(G107&amp;""),FIND(" ",TRIM(G107&amp;""))-1)&amp;"병원"))&gt;0,ISNUMBER(MATCH(TRIM(RIGHT(SUBSTITUTE(TRIM(G107&amp;"")," ",REPT(" ",60)),60)),코드표!$F$2:$F$101,0))),IF(RIGHT(LEFT(TRIM(G107&amp;""),FIND(" ",TRIM(G107&amp;""))-1),2)="병원",LEFT(TRIM(G107&amp;""),FIND(" ",TRIM(G107&amp;""))-1),LEFT(TRIM(G107&amp;""),FIND(" ",TRIM(G107&amp;""))-1)&amp;"병원")&amp;" "&amp;INDEX(코드표!$G$2:$G$101,MATCH(TRIM(RIGHT(SUBSTITUTE(TRIM(G107&amp;"")," ",REPT(" ",60)),60)),코드표!$F$2:$F$101,0)),"⚠"&amp;TRIM(G107&amp;""))),"⚠"&amp;TRIM(G107&amp;""))</f>
        <v/>
      </c>
      <c r="P107" s="10">
        <f>IFERROR(IF(TRIM(H107&amp;"")="","",IF(AND(ISNUMBER(FIND(" ",TRIM(H107&amp;""))),COUNTIF(코드표!$A$2:$A$21,IF(RIGHT(LEFT(TRIM(H107&amp;""),FIND(" ",TRIM(H107&amp;""))-1),2)="병원",LEFT(TRIM(H107&amp;""),FIND(" ",TRIM(H107&amp;""))-1),LEFT(TRIM(H107&amp;""),FIND(" ",TRIM(H107&amp;""))-1)&amp;"병원"))&gt;0,ISNUMBER(MATCH(TRIM(RIGHT(SUBSTITUTE(TRIM(H107&amp;"")," ",REPT(" ",60)),60)),코드표!$F$2:$F$101,0))),IF(RIGHT(LEFT(TRIM(H107&amp;""),FIND(" ",TRIM(H107&amp;""))-1),2)="병원",LEFT(TRIM(H107&amp;""),FIND(" ",TRIM(H107&amp;""))-1),LEFT(TRIM(H107&amp;""),FIND(" ",TRIM(H107&amp;""))-1)&amp;"병원")&amp;" "&amp;INDEX(코드표!$G$2:$G$101,MATCH(TRIM(RIGHT(SUBSTITUTE(TRIM(H107&amp;"")," ",REPT(" ",60)),60)),코드표!$F$2:$F$101,0)),"⚠"&amp;TRIM(H107&amp;""))),"⚠"&amp;TRIM(H107&amp;""))</f>
        <v/>
      </c>
      <c r="Q107" s="10">
        <f>IFERROR(IF(TRIM(I107&amp;"")="","",IF(AND(ISNUMBER(FIND(" ",TRIM(I107&amp;""))),COUNTIF(코드표!$A$2:$A$21,IF(RIGHT(LEFT(TRIM(I107&amp;""),FIND(" ",TRIM(I107&amp;""))-1),2)="병원",LEFT(TRIM(I107&amp;""),FIND(" ",TRIM(I107&amp;""))-1),LEFT(TRIM(I107&amp;""),FIND(" ",TRIM(I107&amp;""))-1)&amp;"병원"))&gt;0,ISNUMBER(MATCH(TRIM(RIGHT(SUBSTITUTE(TRIM(I107&amp;"")," ",REPT(" ",60)),60)),코드표!$F$2:$F$101,0))),IF(RIGHT(LEFT(TRIM(I107&amp;""),FIND(" ",TRIM(I107&amp;""))-1),2)="병원",LEFT(TRIM(I107&amp;""),FIND(" ",TRIM(I107&amp;""))-1),LEFT(TRIM(I107&amp;""),FIND(" ",TRIM(I107&amp;""))-1)&amp;"병원")&amp;" "&amp;INDEX(코드표!$G$2:$G$101,MATCH(TRIM(RIGHT(SUBSTITUTE(TRIM(I107&amp;"")," ",REPT(" ",60)),60)),코드표!$F$2:$F$101,0)),"⚠"&amp;TRIM(I107&amp;""))),"⚠"&amp;TRIM(I107&amp;""))</f>
        <v/>
      </c>
      <c r="R107" s="10">
        <f>IFERROR(IF(TRIM(J107&amp;"")="","",IF(AND(ISNUMBER(FIND(" ",TRIM(J107&amp;""))),COUNTIF(코드표!$A$2:$A$21,IF(RIGHT(LEFT(TRIM(J107&amp;""),FIND(" ",TRIM(J107&amp;""))-1),2)="병원",LEFT(TRIM(J107&amp;""),FIND(" ",TRIM(J107&amp;""))-1),LEFT(TRIM(J107&amp;""),FIND(" ",TRIM(J107&amp;""))-1)&amp;"병원"))&gt;0,ISNUMBER(MATCH(TRIM(RIGHT(SUBSTITUTE(TRIM(J107&amp;"")," ",REPT(" ",60)),60)),코드표!$F$2:$F$101,0))),IF(RIGHT(LEFT(TRIM(J107&amp;""),FIND(" ",TRIM(J107&amp;""))-1),2)="병원",LEFT(TRIM(J107&amp;""),FIND(" ",TRIM(J107&amp;""))-1),LEFT(TRIM(J107&amp;""),FIND(" ",TRIM(J107&amp;""))-1)&amp;"병원")&amp;" "&amp;INDEX(코드표!$G$2:$G$101,MATCH(TRIM(RIGHT(SUBSTITUTE(TRIM(J107&amp;"")," ",REPT(" ",60)),60)),코드표!$F$2:$F$101,0)),"⚠"&amp;TRIM(J107&amp;""))),"⚠"&amp;TRIM(J107&amp;""))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",TRIM(E108&amp;""))),COUNTIF(코드표!$A$2:$A$21,IF(RIGHT(LEFT(TRIM(E108&amp;""),FIND(" ",TRIM(E108&amp;""))-1),2)="병원",LEFT(TRIM(E108&amp;""),FIND(" ",TRIM(E108&amp;""))-1),LEFT(TRIM(E108&amp;""),FIND(" ",TRIM(E108&amp;""))-1)&amp;"병원"))&gt;0,ISNUMBER(MATCH(TRIM(RIGHT(SUBSTITUTE(TRIM(E108&amp;"")," ",REPT(" ",60)),60)),코드표!$F$2:$F$101,0))),IF(RIGHT(LEFT(TRIM(E108&amp;""),FIND(" ",TRIM(E108&amp;""))-1),2)="병원",LEFT(TRIM(E108&amp;""),FIND(" ",TRIM(E108&amp;""))-1),LEFT(TRIM(E108&amp;""),FIND(" ",TRIM(E108&amp;""))-1)&amp;"병원")&amp;" "&amp;INDEX(코드표!$G$2:$G$101,MATCH(TRIM(RIGHT(SUBSTITUTE(TRIM(E108&amp;"")," ",REPT(" ",60)),60)),코드표!$F$2:$F$101,0)),"⚠"&amp;TRIM(E108&amp;""))),"⚠"&amp;TRIM(E108&amp;""))</f>
        <v/>
      </c>
      <c r="N108" s="10">
        <f>IFERROR(IF(TRIM(F108&amp;"")="","",IF(AND(ISNUMBER(FIND(" ",TRIM(F108&amp;""))),COUNTIF(코드표!$A$2:$A$21,IF(RIGHT(LEFT(TRIM(F108&amp;""),FIND(" ",TRIM(F108&amp;""))-1),2)="병원",LEFT(TRIM(F108&amp;""),FIND(" ",TRIM(F108&amp;""))-1),LEFT(TRIM(F108&amp;""),FIND(" ",TRIM(F108&amp;""))-1)&amp;"병원"))&gt;0,ISNUMBER(MATCH(TRIM(RIGHT(SUBSTITUTE(TRIM(F108&amp;"")," ",REPT(" ",60)),60)),코드표!$F$2:$F$101,0))),IF(RIGHT(LEFT(TRIM(F108&amp;""),FIND(" ",TRIM(F108&amp;""))-1),2)="병원",LEFT(TRIM(F108&amp;""),FIND(" ",TRIM(F108&amp;""))-1),LEFT(TRIM(F108&amp;""),FIND(" ",TRIM(F108&amp;""))-1)&amp;"병원")&amp;" "&amp;INDEX(코드표!$G$2:$G$101,MATCH(TRIM(RIGHT(SUBSTITUTE(TRIM(F108&amp;"")," ",REPT(" ",60)),60)),코드표!$F$2:$F$101,0)),"⚠"&amp;TRIM(F108&amp;""))),"⚠"&amp;TRIM(F108&amp;""))</f>
        <v/>
      </c>
      <c r="O108" s="10">
        <f>IFERROR(IF(TRIM(G108&amp;"")="","",IF(AND(ISNUMBER(FIND(" ",TRIM(G108&amp;""))),COUNTIF(코드표!$A$2:$A$21,IF(RIGHT(LEFT(TRIM(G108&amp;""),FIND(" ",TRIM(G108&amp;""))-1),2)="병원",LEFT(TRIM(G108&amp;""),FIND(" ",TRIM(G108&amp;""))-1),LEFT(TRIM(G108&amp;""),FIND(" ",TRIM(G108&amp;""))-1)&amp;"병원"))&gt;0,ISNUMBER(MATCH(TRIM(RIGHT(SUBSTITUTE(TRIM(G108&amp;"")," ",REPT(" ",60)),60)),코드표!$F$2:$F$101,0))),IF(RIGHT(LEFT(TRIM(G108&amp;""),FIND(" ",TRIM(G108&amp;""))-1),2)="병원",LEFT(TRIM(G108&amp;""),FIND(" ",TRIM(G108&amp;""))-1),LEFT(TRIM(G108&amp;""),FIND(" ",TRIM(G108&amp;""))-1)&amp;"병원")&amp;" "&amp;INDEX(코드표!$G$2:$G$101,MATCH(TRIM(RIGHT(SUBSTITUTE(TRIM(G108&amp;"")," ",REPT(" ",60)),60)),코드표!$F$2:$F$101,0)),"⚠"&amp;TRIM(G108&amp;""))),"⚠"&amp;TRIM(G108&amp;""))</f>
        <v/>
      </c>
      <c r="P108" s="10">
        <f>IFERROR(IF(TRIM(H108&amp;"")="","",IF(AND(ISNUMBER(FIND(" ",TRIM(H108&amp;""))),COUNTIF(코드표!$A$2:$A$21,IF(RIGHT(LEFT(TRIM(H108&amp;""),FIND(" ",TRIM(H108&amp;""))-1),2)="병원",LEFT(TRIM(H108&amp;""),FIND(" ",TRIM(H108&amp;""))-1),LEFT(TRIM(H108&amp;""),FIND(" ",TRIM(H108&amp;""))-1)&amp;"병원"))&gt;0,ISNUMBER(MATCH(TRIM(RIGHT(SUBSTITUTE(TRIM(H108&amp;"")," ",REPT(" ",60)),60)),코드표!$F$2:$F$101,0))),IF(RIGHT(LEFT(TRIM(H108&amp;""),FIND(" ",TRIM(H108&amp;""))-1),2)="병원",LEFT(TRIM(H108&amp;""),FIND(" ",TRIM(H108&amp;""))-1),LEFT(TRIM(H108&amp;""),FIND(" ",TRIM(H108&amp;""))-1)&amp;"병원")&amp;" "&amp;INDEX(코드표!$G$2:$G$101,MATCH(TRIM(RIGHT(SUBSTITUTE(TRIM(H108&amp;"")," ",REPT(" ",60)),60)),코드표!$F$2:$F$101,0)),"⚠"&amp;TRIM(H108&amp;""))),"⚠"&amp;TRIM(H108&amp;""))</f>
        <v/>
      </c>
      <c r="Q108" s="10">
        <f>IFERROR(IF(TRIM(I108&amp;"")="","",IF(AND(ISNUMBER(FIND(" ",TRIM(I108&amp;""))),COUNTIF(코드표!$A$2:$A$21,IF(RIGHT(LEFT(TRIM(I108&amp;""),FIND(" ",TRIM(I108&amp;""))-1),2)="병원",LEFT(TRIM(I108&amp;""),FIND(" ",TRIM(I108&amp;""))-1),LEFT(TRIM(I108&amp;""),FIND(" ",TRIM(I108&amp;""))-1)&amp;"병원"))&gt;0,ISNUMBER(MATCH(TRIM(RIGHT(SUBSTITUTE(TRIM(I108&amp;"")," ",REPT(" ",60)),60)),코드표!$F$2:$F$101,0))),IF(RIGHT(LEFT(TRIM(I108&amp;""),FIND(" ",TRIM(I108&amp;""))-1),2)="병원",LEFT(TRIM(I108&amp;""),FIND(" ",TRIM(I108&amp;""))-1),LEFT(TRIM(I108&amp;""),FIND(" ",TRIM(I108&amp;""))-1)&amp;"병원")&amp;" "&amp;INDEX(코드표!$G$2:$G$101,MATCH(TRIM(RIGHT(SUBSTITUTE(TRIM(I108&amp;"")," ",REPT(" ",60)),60)),코드표!$F$2:$F$101,0)),"⚠"&amp;TRIM(I108&amp;""))),"⚠"&amp;TRIM(I108&amp;""))</f>
        <v/>
      </c>
      <c r="R108" s="10">
        <f>IFERROR(IF(TRIM(J108&amp;"")="","",IF(AND(ISNUMBER(FIND(" ",TRIM(J108&amp;""))),COUNTIF(코드표!$A$2:$A$21,IF(RIGHT(LEFT(TRIM(J108&amp;""),FIND(" ",TRIM(J108&amp;""))-1),2)="병원",LEFT(TRIM(J108&amp;""),FIND(" ",TRIM(J108&amp;""))-1),LEFT(TRIM(J108&amp;""),FIND(" ",TRIM(J108&amp;""))-1)&amp;"병원"))&gt;0,ISNUMBER(MATCH(TRIM(RIGHT(SUBSTITUTE(TRIM(J108&amp;"")," ",REPT(" ",60)),60)),코드표!$F$2:$F$101,0))),IF(RIGHT(LEFT(TRIM(J108&amp;""),FIND(" ",TRIM(J108&amp;""))-1),2)="병원",LEFT(TRIM(J108&amp;""),FIND(" ",TRIM(J108&amp;""))-1),LEFT(TRIM(J108&amp;""),FIND(" ",TRIM(J108&amp;""))-1)&amp;"병원")&amp;" "&amp;INDEX(코드표!$G$2:$G$101,MATCH(TRIM(RIGHT(SUBSTITUTE(TRIM(J108&amp;"")," ",REPT(" ",60)),60)),코드표!$F$2:$F$101,0)),"⚠"&amp;TRIM(J108&amp;""))),"⚠"&amp;TRIM(J108&amp;""))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",TRIM(E109&amp;""))),COUNTIF(코드표!$A$2:$A$21,IF(RIGHT(LEFT(TRIM(E109&amp;""),FIND(" ",TRIM(E109&amp;""))-1),2)="병원",LEFT(TRIM(E109&amp;""),FIND(" ",TRIM(E109&amp;""))-1),LEFT(TRIM(E109&amp;""),FIND(" ",TRIM(E109&amp;""))-1)&amp;"병원"))&gt;0,ISNUMBER(MATCH(TRIM(RIGHT(SUBSTITUTE(TRIM(E109&amp;"")," ",REPT(" ",60)),60)),코드표!$F$2:$F$101,0))),IF(RIGHT(LEFT(TRIM(E109&amp;""),FIND(" ",TRIM(E109&amp;""))-1),2)="병원",LEFT(TRIM(E109&amp;""),FIND(" ",TRIM(E109&amp;""))-1),LEFT(TRIM(E109&amp;""),FIND(" ",TRIM(E109&amp;""))-1)&amp;"병원")&amp;" "&amp;INDEX(코드표!$G$2:$G$101,MATCH(TRIM(RIGHT(SUBSTITUTE(TRIM(E109&amp;"")," ",REPT(" ",60)),60)),코드표!$F$2:$F$101,0)),"⚠"&amp;TRIM(E109&amp;""))),"⚠"&amp;TRIM(E109&amp;""))</f>
        <v/>
      </c>
      <c r="N109" s="10">
        <f>IFERROR(IF(TRIM(F109&amp;"")="","",IF(AND(ISNUMBER(FIND(" ",TRIM(F109&amp;""))),COUNTIF(코드표!$A$2:$A$21,IF(RIGHT(LEFT(TRIM(F109&amp;""),FIND(" ",TRIM(F109&amp;""))-1),2)="병원",LEFT(TRIM(F109&amp;""),FIND(" ",TRIM(F109&amp;""))-1),LEFT(TRIM(F109&amp;""),FIND(" ",TRIM(F109&amp;""))-1)&amp;"병원"))&gt;0,ISNUMBER(MATCH(TRIM(RIGHT(SUBSTITUTE(TRIM(F109&amp;"")," ",REPT(" ",60)),60)),코드표!$F$2:$F$101,0))),IF(RIGHT(LEFT(TRIM(F109&amp;""),FIND(" ",TRIM(F109&amp;""))-1),2)="병원",LEFT(TRIM(F109&amp;""),FIND(" ",TRIM(F109&amp;""))-1),LEFT(TRIM(F109&amp;""),FIND(" ",TRIM(F109&amp;""))-1)&amp;"병원")&amp;" "&amp;INDEX(코드표!$G$2:$G$101,MATCH(TRIM(RIGHT(SUBSTITUTE(TRIM(F109&amp;"")," ",REPT(" ",60)),60)),코드표!$F$2:$F$101,0)),"⚠"&amp;TRIM(F109&amp;""))),"⚠"&amp;TRIM(F109&amp;""))</f>
        <v/>
      </c>
      <c r="O109" s="10">
        <f>IFERROR(IF(TRIM(G109&amp;"")="","",IF(AND(ISNUMBER(FIND(" ",TRIM(G109&amp;""))),COUNTIF(코드표!$A$2:$A$21,IF(RIGHT(LEFT(TRIM(G109&amp;""),FIND(" ",TRIM(G109&amp;""))-1),2)="병원",LEFT(TRIM(G109&amp;""),FIND(" ",TRIM(G109&amp;""))-1),LEFT(TRIM(G109&amp;""),FIND(" ",TRIM(G109&amp;""))-1)&amp;"병원"))&gt;0,ISNUMBER(MATCH(TRIM(RIGHT(SUBSTITUTE(TRIM(G109&amp;"")," ",REPT(" ",60)),60)),코드표!$F$2:$F$101,0))),IF(RIGHT(LEFT(TRIM(G109&amp;""),FIND(" ",TRIM(G109&amp;""))-1),2)="병원",LEFT(TRIM(G109&amp;""),FIND(" ",TRIM(G109&amp;""))-1),LEFT(TRIM(G109&amp;""),FIND(" ",TRIM(G109&amp;""))-1)&amp;"병원")&amp;" "&amp;INDEX(코드표!$G$2:$G$101,MATCH(TRIM(RIGHT(SUBSTITUTE(TRIM(G109&amp;"")," ",REPT(" ",60)),60)),코드표!$F$2:$F$101,0)),"⚠"&amp;TRIM(G109&amp;""))),"⚠"&amp;TRIM(G109&amp;""))</f>
        <v/>
      </c>
      <c r="P109" s="10">
        <f>IFERROR(IF(TRIM(H109&amp;"")="","",IF(AND(ISNUMBER(FIND(" ",TRIM(H109&amp;""))),COUNTIF(코드표!$A$2:$A$21,IF(RIGHT(LEFT(TRIM(H109&amp;""),FIND(" ",TRIM(H109&amp;""))-1),2)="병원",LEFT(TRIM(H109&amp;""),FIND(" ",TRIM(H109&amp;""))-1),LEFT(TRIM(H109&amp;""),FIND(" ",TRIM(H109&amp;""))-1)&amp;"병원"))&gt;0,ISNUMBER(MATCH(TRIM(RIGHT(SUBSTITUTE(TRIM(H109&amp;"")," ",REPT(" ",60)),60)),코드표!$F$2:$F$101,0))),IF(RIGHT(LEFT(TRIM(H109&amp;""),FIND(" ",TRIM(H109&amp;""))-1),2)="병원",LEFT(TRIM(H109&amp;""),FIND(" ",TRIM(H109&amp;""))-1),LEFT(TRIM(H109&amp;""),FIND(" ",TRIM(H109&amp;""))-1)&amp;"병원")&amp;" "&amp;INDEX(코드표!$G$2:$G$101,MATCH(TRIM(RIGHT(SUBSTITUTE(TRIM(H109&amp;"")," ",REPT(" ",60)),60)),코드표!$F$2:$F$101,0)),"⚠"&amp;TRIM(H109&amp;""))),"⚠"&amp;TRIM(H109&amp;""))</f>
        <v/>
      </c>
      <c r="Q109" s="10">
        <f>IFERROR(IF(TRIM(I109&amp;"")="","",IF(AND(ISNUMBER(FIND(" ",TRIM(I109&amp;""))),COUNTIF(코드표!$A$2:$A$21,IF(RIGHT(LEFT(TRIM(I109&amp;""),FIND(" ",TRIM(I109&amp;""))-1),2)="병원",LEFT(TRIM(I109&amp;""),FIND(" ",TRIM(I109&amp;""))-1),LEFT(TRIM(I109&amp;""),FIND(" ",TRIM(I109&amp;""))-1)&amp;"병원"))&gt;0,ISNUMBER(MATCH(TRIM(RIGHT(SUBSTITUTE(TRIM(I109&amp;"")," ",REPT(" ",60)),60)),코드표!$F$2:$F$101,0))),IF(RIGHT(LEFT(TRIM(I109&amp;""),FIND(" ",TRIM(I109&amp;""))-1),2)="병원",LEFT(TRIM(I109&amp;""),FIND(" ",TRIM(I109&amp;""))-1),LEFT(TRIM(I109&amp;""),FIND(" ",TRIM(I109&amp;""))-1)&amp;"병원")&amp;" "&amp;INDEX(코드표!$G$2:$G$101,MATCH(TRIM(RIGHT(SUBSTITUTE(TRIM(I109&amp;"")," ",REPT(" ",60)),60)),코드표!$F$2:$F$101,0)),"⚠"&amp;TRIM(I109&amp;""))),"⚠"&amp;TRIM(I109&amp;""))</f>
        <v/>
      </c>
      <c r="R109" s="10">
        <f>IFERROR(IF(TRIM(J109&amp;"")="","",IF(AND(ISNUMBER(FIND(" ",TRIM(J109&amp;""))),COUNTIF(코드표!$A$2:$A$21,IF(RIGHT(LEFT(TRIM(J109&amp;""),FIND(" ",TRIM(J109&amp;""))-1),2)="병원",LEFT(TRIM(J109&amp;""),FIND(" ",TRIM(J109&amp;""))-1),LEFT(TRIM(J109&amp;""),FIND(" ",TRIM(J109&amp;""))-1)&amp;"병원"))&gt;0,ISNUMBER(MATCH(TRIM(RIGHT(SUBSTITUTE(TRIM(J109&amp;"")," ",REPT(" ",60)),60)),코드표!$F$2:$F$101,0))),IF(RIGHT(LEFT(TRIM(J109&amp;""),FIND(" ",TRIM(J109&amp;""))-1),2)="병원",LEFT(TRIM(J109&amp;""),FIND(" ",TRIM(J109&amp;""))-1),LEFT(TRIM(J109&amp;""),FIND(" ",TRIM(J109&amp;""))-1)&amp;"병원")&amp;" "&amp;INDEX(코드표!$G$2:$G$101,MATCH(TRIM(RIGHT(SUBSTITUTE(TRIM(J109&amp;"")," ",REPT(" ",60)),60)),코드표!$F$2:$F$101,0)),"⚠"&amp;TRIM(J109&amp;""))),"⚠"&amp;TRIM(J109&amp;""))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",TRIM(E110&amp;""))),COUNTIF(코드표!$A$2:$A$21,IF(RIGHT(LEFT(TRIM(E110&amp;""),FIND(" ",TRIM(E110&amp;""))-1),2)="병원",LEFT(TRIM(E110&amp;""),FIND(" ",TRIM(E110&amp;""))-1),LEFT(TRIM(E110&amp;""),FIND(" ",TRIM(E110&amp;""))-1)&amp;"병원"))&gt;0,ISNUMBER(MATCH(TRIM(RIGHT(SUBSTITUTE(TRIM(E110&amp;"")," ",REPT(" ",60)),60)),코드표!$F$2:$F$101,0))),IF(RIGHT(LEFT(TRIM(E110&amp;""),FIND(" ",TRIM(E110&amp;""))-1),2)="병원",LEFT(TRIM(E110&amp;""),FIND(" ",TRIM(E110&amp;""))-1),LEFT(TRIM(E110&amp;""),FIND(" ",TRIM(E110&amp;""))-1)&amp;"병원")&amp;" "&amp;INDEX(코드표!$G$2:$G$101,MATCH(TRIM(RIGHT(SUBSTITUTE(TRIM(E110&amp;"")," ",REPT(" ",60)),60)),코드표!$F$2:$F$101,0)),"⚠"&amp;TRIM(E110&amp;""))),"⚠"&amp;TRIM(E110&amp;""))</f>
        <v/>
      </c>
      <c r="N110" s="10">
        <f>IFERROR(IF(TRIM(F110&amp;"")="","",IF(AND(ISNUMBER(FIND(" ",TRIM(F110&amp;""))),COUNTIF(코드표!$A$2:$A$21,IF(RIGHT(LEFT(TRIM(F110&amp;""),FIND(" ",TRIM(F110&amp;""))-1),2)="병원",LEFT(TRIM(F110&amp;""),FIND(" ",TRIM(F110&amp;""))-1),LEFT(TRIM(F110&amp;""),FIND(" ",TRIM(F110&amp;""))-1)&amp;"병원"))&gt;0,ISNUMBER(MATCH(TRIM(RIGHT(SUBSTITUTE(TRIM(F110&amp;"")," ",REPT(" ",60)),60)),코드표!$F$2:$F$101,0))),IF(RIGHT(LEFT(TRIM(F110&amp;""),FIND(" ",TRIM(F110&amp;""))-1),2)="병원",LEFT(TRIM(F110&amp;""),FIND(" ",TRIM(F110&amp;""))-1),LEFT(TRIM(F110&amp;""),FIND(" ",TRIM(F110&amp;""))-1)&amp;"병원")&amp;" "&amp;INDEX(코드표!$G$2:$G$101,MATCH(TRIM(RIGHT(SUBSTITUTE(TRIM(F110&amp;"")," ",REPT(" ",60)),60)),코드표!$F$2:$F$101,0)),"⚠"&amp;TRIM(F110&amp;""))),"⚠"&amp;TRIM(F110&amp;""))</f>
        <v/>
      </c>
      <c r="O110" s="10">
        <f>IFERROR(IF(TRIM(G110&amp;"")="","",IF(AND(ISNUMBER(FIND(" ",TRIM(G110&amp;""))),COUNTIF(코드표!$A$2:$A$21,IF(RIGHT(LEFT(TRIM(G110&amp;""),FIND(" ",TRIM(G110&amp;""))-1),2)="병원",LEFT(TRIM(G110&amp;""),FIND(" ",TRIM(G110&amp;""))-1),LEFT(TRIM(G110&amp;""),FIND(" ",TRIM(G110&amp;""))-1)&amp;"병원"))&gt;0,ISNUMBER(MATCH(TRIM(RIGHT(SUBSTITUTE(TRIM(G110&amp;"")," ",REPT(" ",60)),60)),코드표!$F$2:$F$101,0))),IF(RIGHT(LEFT(TRIM(G110&amp;""),FIND(" ",TRIM(G110&amp;""))-1),2)="병원",LEFT(TRIM(G110&amp;""),FIND(" ",TRIM(G110&amp;""))-1),LEFT(TRIM(G110&amp;""),FIND(" ",TRIM(G110&amp;""))-1)&amp;"병원")&amp;" "&amp;INDEX(코드표!$G$2:$G$101,MATCH(TRIM(RIGHT(SUBSTITUTE(TRIM(G110&amp;"")," ",REPT(" ",60)),60)),코드표!$F$2:$F$101,0)),"⚠"&amp;TRIM(G110&amp;""))),"⚠"&amp;TRIM(G110&amp;""))</f>
        <v/>
      </c>
      <c r="P110" s="10">
        <f>IFERROR(IF(TRIM(H110&amp;"")="","",IF(AND(ISNUMBER(FIND(" ",TRIM(H110&amp;""))),COUNTIF(코드표!$A$2:$A$21,IF(RIGHT(LEFT(TRIM(H110&amp;""),FIND(" ",TRIM(H110&amp;""))-1),2)="병원",LEFT(TRIM(H110&amp;""),FIND(" ",TRIM(H110&amp;""))-1),LEFT(TRIM(H110&amp;""),FIND(" ",TRIM(H110&amp;""))-1)&amp;"병원"))&gt;0,ISNUMBER(MATCH(TRIM(RIGHT(SUBSTITUTE(TRIM(H110&amp;"")," ",REPT(" ",60)),60)),코드표!$F$2:$F$101,0))),IF(RIGHT(LEFT(TRIM(H110&amp;""),FIND(" ",TRIM(H110&amp;""))-1),2)="병원",LEFT(TRIM(H110&amp;""),FIND(" ",TRIM(H110&amp;""))-1),LEFT(TRIM(H110&amp;""),FIND(" ",TRIM(H110&amp;""))-1)&amp;"병원")&amp;" "&amp;INDEX(코드표!$G$2:$G$101,MATCH(TRIM(RIGHT(SUBSTITUTE(TRIM(H110&amp;"")," ",REPT(" ",60)),60)),코드표!$F$2:$F$101,0)),"⚠"&amp;TRIM(H110&amp;""))),"⚠"&amp;TRIM(H110&amp;""))</f>
        <v/>
      </c>
      <c r="Q110" s="10">
        <f>IFERROR(IF(TRIM(I110&amp;"")="","",IF(AND(ISNUMBER(FIND(" ",TRIM(I110&amp;""))),COUNTIF(코드표!$A$2:$A$21,IF(RIGHT(LEFT(TRIM(I110&amp;""),FIND(" ",TRIM(I110&amp;""))-1),2)="병원",LEFT(TRIM(I110&amp;""),FIND(" ",TRIM(I110&amp;""))-1),LEFT(TRIM(I110&amp;""),FIND(" ",TRIM(I110&amp;""))-1)&amp;"병원"))&gt;0,ISNUMBER(MATCH(TRIM(RIGHT(SUBSTITUTE(TRIM(I110&amp;"")," ",REPT(" ",60)),60)),코드표!$F$2:$F$101,0))),IF(RIGHT(LEFT(TRIM(I110&amp;""),FIND(" ",TRIM(I110&amp;""))-1),2)="병원",LEFT(TRIM(I110&amp;""),FIND(" ",TRIM(I110&amp;""))-1),LEFT(TRIM(I110&amp;""),FIND(" ",TRIM(I110&amp;""))-1)&amp;"병원")&amp;" "&amp;INDEX(코드표!$G$2:$G$101,MATCH(TRIM(RIGHT(SUBSTITUTE(TRIM(I110&amp;"")," ",REPT(" ",60)),60)),코드표!$F$2:$F$101,0)),"⚠"&amp;TRIM(I110&amp;""))),"⚠"&amp;TRIM(I110&amp;""))</f>
        <v/>
      </c>
      <c r="R110" s="10">
        <f>IFERROR(IF(TRIM(J110&amp;"")="","",IF(AND(ISNUMBER(FIND(" ",TRIM(J110&amp;""))),COUNTIF(코드표!$A$2:$A$21,IF(RIGHT(LEFT(TRIM(J110&amp;""),FIND(" ",TRIM(J110&amp;""))-1),2)="병원",LEFT(TRIM(J110&amp;""),FIND(" ",TRIM(J110&amp;""))-1),LEFT(TRIM(J110&amp;""),FIND(" ",TRIM(J110&amp;""))-1)&amp;"병원"))&gt;0,ISNUMBER(MATCH(TRIM(RIGHT(SUBSTITUTE(TRIM(J110&amp;"")," ",REPT(" ",60)),60)),코드표!$F$2:$F$101,0))),IF(RIGHT(LEFT(TRIM(J110&amp;""),FIND(" ",TRIM(J110&amp;""))-1),2)="병원",LEFT(TRIM(J110&amp;""),FIND(" ",TRIM(J110&amp;""))-1),LEFT(TRIM(J110&amp;""),FIND(" ",TRIM(J110&amp;""))-1)&amp;"병원")&amp;" "&amp;INDEX(코드표!$G$2:$G$101,MATCH(TRIM(RIGHT(SUBSTITUTE(TRIM(J110&amp;"")," ",REPT(" ",60)),60)),코드표!$F$2:$F$101,0)),"⚠"&amp;TRIM(J110&amp;""))),"⚠"&amp;TRIM(J110&amp;""))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",TRIM(E111&amp;""))),COUNTIF(코드표!$A$2:$A$21,IF(RIGHT(LEFT(TRIM(E111&amp;""),FIND(" ",TRIM(E111&amp;""))-1),2)="병원",LEFT(TRIM(E111&amp;""),FIND(" ",TRIM(E111&amp;""))-1),LEFT(TRIM(E111&amp;""),FIND(" ",TRIM(E111&amp;""))-1)&amp;"병원"))&gt;0,ISNUMBER(MATCH(TRIM(RIGHT(SUBSTITUTE(TRIM(E111&amp;"")," ",REPT(" ",60)),60)),코드표!$F$2:$F$101,0))),IF(RIGHT(LEFT(TRIM(E111&amp;""),FIND(" ",TRIM(E111&amp;""))-1),2)="병원",LEFT(TRIM(E111&amp;""),FIND(" ",TRIM(E111&amp;""))-1),LEFT(TRIM(E111&amp;""),FIND(" ",TRIM(E111&amp;""))-1)&amp;"병원")&amp;" "&amp;INDEX(코드표!$G$2:$G$101,MATCH(TRIM(RIGHT(SUBSTITUTE(TRIM(E111&amp;"")," ",REPT(" ",60)),60)),코드표!$F$2:$F$101,0)),"⚠"&amp;TRIM(E111&amp;""))),"⚠"&amp;TRIM(E111&amp;""))</f>
        <v/>
      </c>
      <c r="N111" s="10">
        <f>IFERROR(IF(TRIM(F111&amp;"")="","",IF(AND(ISNUMBER(FIND(" ",TRIM(F111&amp;""))),COUNTIF(코드표!$A$2:$A$21,IF(RIGHT(LEFT(TRIM(F111&amp;""),FIND(" ",TRIM(F111&amp;""))-1),2)="병원",LEFT(TRIM(F111&amp;""),FIND(" ",TRIM(F111&amp;""))-1),LEFT(TRIM(F111&amp;""),FIND(" ",TRIM(F111&amp;""))-1)&amp;"병원"))&gt;0,ISNUMBER(MATCH(TRIM(RIGHT(SUBSTITUTE(TRIM(F111&amp;"")," ",REPT(" ",60)),60)),코드표!$F$2:$F$101,0))),IF(RIGHT(LEFT(TRIM(F111&amp;""),FIND(" ",TRIM(F111&amp;""))-1),2)="병원",LEFT(TRIM(F111&amp;""),FIND(" ",TRIM(F111&amp;""))-1),LEFT(TRIM(F111&amp;""),FIND(" ",TRIM(F111&amp;""))-1)&amp;"병원")&amp;" "&amp;INDEX(코드표!$G$2:$G$101,MATCH(TRIM(RIGHT(SUBSTITUTE(TRIM(F111&amp;"")," ",REPT(" ",60)),60)),코드표!$F$2:$F$101,0)),"⚠"&amp;TRIM(F111&amp;""))),"⚠"&amp;TRIM(F111&amp;""))</f>
        <v/>
      </c>
      <c r="O111" s="10">
        <f>IFERROR(IF(TRIM(G111&amp;"")="","",IF(AND(ISNUMBER(FIND(" ",TRIM(G111&amp;""))),COUNTIF(코드표!$A$2:$A$21,IF(RIGHT(LEFT(TRIM(G111&amp;""),FIND(" ",TRIM(G111&amp;""))-1),2)="병원",LEFT(TRIM(G111&amp;""),FIND(" ",TRIM(G111&amp;""))-1),LEFT(TRIM(G111&amp;""),FIND(" ",TRIM(G111&amp;""))-1)&amp;"병원"))&gt;0,ISNUMBER(MATCH(TRIM(RIGHT(SUBSTITUTE(TRIM(G111&amp;"")," ",REPT(" ",60)),60)),코드표!$F$2:$F$101,0))),IF(RIGHT(LEFT(TRIM(G111&amp;""),FIND(" ",TRIM(G111&amp;""))-1),2)="병원",LEFT(TRIM(G111&amp;""),FIND(" ",TRIM(G111&amp;""))-1),LEFT(TRIM(G111&amp;""),FIND(" ",TRIM(G111&amp;""))-1)&amp;"병원")&amp;" "&amp;INDEX(코드표!$G$2:$G$101,MATCH(TRIM(RIGHT(SUBSTITUTE(TRIM(G111&amp;"")," ",REPT(" ",60)),60)),코드표!$F$2:$F$101,0)),"⚠"&amp;TRIM(G111&amp;""))),"⚠"&amp;TRIM(G111&amp;""))</f>
        <v/>
      </c>
      <c r="P111" s="10">
        <f>IFERROR(IF(TRIM(H111&amp;"")="","",IF(AND(ISNUMBER(FIND(" ",TRIM(H111&amp;""))),COUNTIF(코드표!$A$2:$A$21,IF(RIGHT(LEFT(TRIM(H111&amp;""),FIND(" ",TRIM(H111&amp;""))-1),2)="병원",LEFT(TRIM(H111&amp;""),FIND(" ",TRIM(H111&amp;""))-1),LEFT(TRIM(H111&amp;""),FIND(" ",TRIM(H111&amp;""))-1)&amp;"병원"))&gt;0,ISNUMBER(MATCH(TRIM(RIGHT(SUBSTITUTE(TRIM(H111&amp;"")," ",REPT(" ",60)),60)),코드표!$F$2:$F$101,0))),IF(RIGHT(LEFT(TRIM(H111&amp;""),FIND(" ",TRIM(H111&amp;""))-1),2)="병원",LEFT(TRIM(H111&amp;""),FIND(" ",TRIM(H111&amp;""))-1),LEFT(TRIM(H111&amp;""),FIND(" ",TRIM(H111&amp;""))-1)&amp;"병원")&amp;" "&amp;INDEX(코드표!$G$2:$G$101,MATCH(TRIM(RIGHT(SUBSTITUTE(TRIM(H111&amp;"")," ",REPT(" ",60)),60)),코드표!$F$2:$F$101,0)),"⚠"&amp;TRIM(H111&amp;""))),"⚠"&amp;TRIM(H111&amp;""))</f>
        <v/>
      </c>
      <c r="Q111" s="10">
        <f>IFERROR(IF(TRIM(I111&amp;"")="","",IF(AND(ISNUMBER(FIND(" ",TRIM(I111&amp;""))),COUNTIF(코드표!$A$2:$A$21,IF(RIGHT(LEFT(TRIM(I111&amp;""),FIND(" ",TRIM(I111&amp;""))-1),2)="병원",LEFT(TRIM(I111&amp;""),FIND(" ",TRIM(I111&amp;""))-1),LEFT(TRIM(I111&amp;""),FIND(" ",TRIM(I111&amp;""))-1)&amp;"병원"))&gt;0,ISNUMBER(MATCH(TRIM(RIGHT(SUBSTITUTE(TRIM(I111&amp;"")," ",REPT(" ",60)),60)),코드표!$F$2:$F$101,0))),IF(RIGHT(LEFT(TRIM(I111&amp;""),FIND(" ",TRIM(I111&amp;""))-1),2)="병원",LEFT(TRIM(I111&amp;""),FIND(" ",TRIM(I111&amp;""))-1),LEFT(TRIM(I111&amp;""),FIND(" ",TRIM(I111&amp;""))-1)&amp;"병원")&amp;" "&amp;INDEX(코드표!$G$2:$G$101,MATCH(TRIM(RIGHT(SUBSTITUTE(TRIM(I111&amp;"")," ",REPT(" ",60)),60)),코드표!$F$2:$F$101,0)),"⚠"&amp;TRIM(I111&amp;""))),"⚠"&amp;TRIM(I111&amp;""))</f>
        <v/>
      </c>
      <c r="R111" s="10">
        <f>IFERROR(IF(TRIM(J111&amp;"")="","",IF(AND(ISNUMBER(FIND(" ",TRIM(J111&amp;""))),COUNTIF(코드표!$A$2:$A$21,IF(RIGHT(LEFT(TRIM(J111&amp;""),FIND(" ",TRIM(J111&amp;""))-1),2)="병원",LEFT(TRIM(J111&amp;""),FIND(" ",TRIM(J111&amp;""))-1),LEFT(TRIM(J111&amp;""),FIND(" ",TRIM(J111&amp;""))-1)&amp;"병원"))&gt;0,ISNUMBER(MATCH(TRIM(RIGHT(SUBSTITUTE(TRIM(J111&amp;"")," ",REPT(" ",60)),60)),코드표!$F$2:$F$101,0))),IF(RIGHT(LEFT(TRIM(J111&amp;""),FIND(" ",TRIM(J111&amp;""))-1),2)="병원",LEFT(TRIM(J111&amp;""),FIND(" ",TRIM(J111&amp;""))-1),LEFT(TRIM(J111&amp;""),FIND(" ",TRIM(J111&amp;""))-1)&amp;"병원")&amp;" "&amp;INDEX(코드표!$G$2:$G$101,MATCH(TRIM(RIGHT(SUBSTITUTE(TRIM(J111&amp;"")," ",REPT(" ",60)),60)),코드표!$F$2:$F$101,0)),"⚠"&amp;TRIM(J111&amp;""))),"⚠"&amp;TRIM(J111&amp;""))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",TRIM(E112&amp;""))),COUNTIF(코드표!$A$2:$A$21,IF(RIGHT(LEFT(TRIM(E112&amp;""),FIND(" ",TRIM(E112&amp;""))-1),2)="병원",LEFT(TRIM(E112&amp;""),FIND(" ",TRIM(E112&amp;""))-1),LEFT(TRIM(E112&amp;""),FIND(" ",TRIM(E112&amp;""))-1)&amp;"병원"))&gt;0,ISNUMBER(MATCH(TRIM(RIGHT(SUBSTITUTE(TRIM(E112&amp;"")," ",REPT(" ",60)),60)),코드표!$F$2:$F$101,0))),IF(RIGHT(LEFT(TRIM(E112&amp;""),FIND(" ",TRIM(E112&amp;""))-1),2)="병원",LEFT(TRIM(E112&amp;""),FIND(" ",TRIM(E112&amp;""))-1),LEFT(TRIM(E112&amp;""),FIND(" ",TRIM(E112&amp;""))-1)&amp;"병원")&amp;" "&amp;INDEX(코드표!$G$2:$G$101,MATCH(TRIM(RIGHT(SUBSTITUTE(TRIM(E112&amp;"")," ",REPT(" ",60)),60)),코드표!$F$2:$F$101,0)),"⚠"&amp;TRIM(E112&amp;""))),"⚠"&amp;TRIM(E112&amp;""))</f>
        <v/>
      </c>
      <c r="N112" s="10">
        <f>IFERROR(IF(TRIM(F112&amp;"")="","",IF(AND(ISNUMBER(FIND(" ",TRIM(F112&amp;""))),COUNTIF(코드표!$A$2:$A$21,IF(RIGHT(LEFT(TRIM(F112&amp;""),FIND(" ",TRIM(F112&amp;""))-1),2)="병원",LEFT(TRIM(F112&amp;""),FIND(" ",TRIM(F112&amp;""))-1),LEFT(TRIM(F112&amp;""),FIND(" ",TRIM(F112&amp;""))-1)&amp;"병원"))&gt;0,ISNUMBER(MATCH(TRIM(RIGHT(SUBSTITUTE(TRIM(F112&amp;"")," ",REPT(" ",60)),60)),코드표!$F$2:$F$101,0))),IF(RIGHT(LEFT(TRIM(F112&amp;""),FIND(" ",TRIM(F112&amp;""))-1),2)="병원",LEFT(TRIM(F112&amp;""),FIND(" ",TRIM(F112&amp;""))-1),LEFT(TRIM(F112&amp;""),FIND(" ",TRIM(F112&amp;""))-1)&amp;"병원")&amp;" "&amp;INDEX(코드표!$G$2:$G$101,MATCH(TRIM(RIGHT(SUBSTITUTE(TRIM(F112&amp;"")," ",REPT(" ",60)),60)),코드표!$F$2:$F$101,0)),"⚠"&amp;TRIM(F112&amp;""))),"⚠"&amp;TRIM(F112&amp;""))</f>
        <v/>
      </c>
      <c r="O112" s="10">
        <f>IFERROR(IF(TRIM(G112&amp;"")="","",IF(AND(ISNUMBER(FIND(" ",TRIM(G112&amp;""))),COUNTIF(코드표!$A$2:$A$21,IF(RIGHT(LEFT(TRIM(G112&amp;""),FIND(" ",TRIM(G112&amp;""))-1),2)="병원",LEFT(TRIM(G112&amp;""),FIND(" ",TRIM(G112&amp;""))-1),LEFT(TRIM(G112&amp;""),FIND(" ",TRIM(G112&amp;""))-1)&amp;"병원"))&gt;0,ISNUMBER(MATCH(TRIM(RIGHT(SUBSTITUTE(TRIM(G112&amp;"")," ",REPT(" ",60)),60)),코드표!$F$2:$F$101,0))),IF(RIGHT(LEFT(TRIM(G112&amp;""),FIND(" ",TRIM(G112&amp;""))-1),2)="병원",LEFT(TRIM(G112&amp;""),FIND(" ",TRIM(G112&amp;""))-1),LEFT(TRIM(G112&amp;""),FIND(" ",TRIM(G112&amp;""))-1)&amp;"병원")&amp;" "&amp;INDEX(코드표!$G$2:$G$101,MATCH(TRIM(RIGHT(SUBSTITUTE(TRIM(G112&amp;"")," ",REPT(" ",60)),60)),코드표!$F$2:$F$101,0)),"⚠"&amp;TRIM(G112&amp;""))),"⚠"&amp;TRIM(G112&amp;""))</f>
        <v/>
      </c>
      <c r="P112" s="10">
        <f>IFERROR(IF(TRIM(H112&amp;"")="","",IF(AND(ISNUMBER(FIND(" ",TRIM(H112&amp;""))),COUNTIF(코드표!$A$2:$A$21,IF(RIGHT(LEFT(TRIM(H112&amp;""),FIND(" ",TRIM(H112&amp;""))-1),2)="병원",LEFT(TRIM(H112&amp;""),FIND(" ",TRIM(H112&amp;""))-1),LEFT(TRIM(H112&amp;""),FIND(" ",TRIM(H112&amp;""))-1)&amp;"병원"))&gt;0,ISNUMBER(MATCH(TRIM(RIGHT(SUBSTITUTE(TRIM(H112&amp;"")," ",REPT(" ",60)),60)),코드표!$F$2:$F$101,0))),IF(RIGHT(LEFT(TRIM(H112&amp;""),FIND(" ",TRIM(H112&amp;""))-1),2)="병원",LEFT(TRIM(H112&amp;""),FIND(" ",TRIM(H112&amp;""))-1),LEFT(TRIM(H112&amp;""),FIND(" ",TRIM(H112&amp;""))-1)&amp;"병원")&amp;" "&amp;INDEX(코드표!$G$2:$G$101,MATCH(TRIM(RIGHT(SUBSTITUTE(TRIM(H112&amp;"")," ",REPT(" ",60)),60)),코드표!$F$2:$F$101,0)),"⚠"&amp;TRIM(H112&amp;""))),"⚠"&amp;TRIM(H112&amp;""))</f>
        <v/>
      </c>
      <c r="Q112" s="10">
        <f>IFERROR(IF(TRIM(I112&amp;"")="","",IF(AND(ISNUMBER(FIND(" ",TRIM(I112&amp;""))),COUNTIF(코드표!$A$2:$A$21,IF(RIGHT(LEFT(TRIM(I112&amp;""),FIND(" ",TRIM(I112&amp;""))-1),2)="병원",LEFT(TRIM(I112&amp;""),FIND(" ",TRIM(I112&amp;""))-1),LEFT(TRIM(I112&amp;""),FIND(" ",TRIM(I112&amp;""))-1)&amp;"병원"))&gt;0,ISNUMBER(MATCH(TRIM(RIGHT(SUBSTITUTE(TRIM(I112&amp;"")," ",REPT(" ",60)),60)),코드표!$F$2:$F$101,0))),IF(RIGHT(LEFT(TRIM(I112&amp;""),FIND(" ",TRIM(I112&amp;""))-1),2)="병원",LEFT(TRIM(I112&amp;""),FIND(" ",TRIM(I112&amp;""))-1),LEFT(TRIM(I112&amp;""),FIND(" ",TRIM(I112&amp;""))-1)&amp;"병원")&amp;" "&amp;INDEX(코드표!$G$2:$G$101,MATCH(TRIM(RIGHT(SUBSTITUTE(TRIM(I112&amp;"")," ",REPT(" ",60)),60)),코드표!$F$2:$F$101,0)),"⚠"&amp;TRIM(I112&amp;""))),"⚠"&amp;TRIM(I112&amp;""))</f>
        <v/>
      </c>
      <c r="R112" s="10">
        <f>IFERROR(IF(TRIM(J112&amp;"")="","",IF(AND(ISNUMBER(FIND(" ",TRIM(J112&amp;""))),COUNTIF(코드표!$A$2:$A$21,IF(RIGHT(LEFT(TRIM(J112&amp;""),FIND(" ",TRIM(J112&amp;""))-1),2)="병원",LEFT(TRIM(J112&amp;""),FIND(" ",TRIM(J112&amp;""))-1),LEFT(TRIM(J112&amp;""),FIND(" ",TRIM(J112&amp;""))-1)&amp;"병원"))&gt;0,ISNUMBER(MATCH(TRIM(RIGHT(SUBSTITUTE(TRIM(J112&amp;"")," ",REPT(" ",60)),60)),코드표!$F$2:$F$101,0))),IF(RIGHT(LEFT(TRIM(J112&amp;""),FIND(" ",TRIM(J112&amp;""))-1),2)="병원",LEFT(TRIM(J112&amp;""),FIND(" ",TRIM(J112&amp;""))-1),LEFT(TRIM(J112&amp;""),FIND(" ",TRIM(J112&amp;""))-1)&amp;"병원")&amp;" "&amp;INDEX(코드표!$G$2:$G$101,MATCH(TRIM(RIGHT(SUBSTITUTE(TRIM(J112&amp;"")," ",REPT(" ",60)),60)),코드표!$F$2:$F$101,0)),"⚠"&amp;TRIM(J112&amp;""))),"⚠"&amp;TRIM(J112&amp;""))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",TRIM(E113&amp;""))),COUNTIF(코드표!$A$2:$A$21,IF(RIGHT(LEFT(TRIM(E113&amp;""),FIND(" ",TRIM(E113&amp;""))-1),2)="병원",LEFT(TRIM(E113&amp;""),FIND(" ",TRIM(E113&amp;""))-1),LEFT(TRIM(E113&amp;""),FIND(" ",TRIM(E113&amp;""))-1)&amp;"병원"))&gt;0,ISNUMBER(MATCH(TRIM(RIGHT(SUBSTITUTE(TRIM(E113&amp;"")," ",REPT(" ",60)),60)),코드표!$F$2:$F$101,0))),IF(RIGHT(LEFT(TRIM(E113&amp;""),FIND(" ",TRIM(E113&amp;""))-1),2)="병원",LEFT(TRIM(E113&amp;""),FIND(" ",TRIM(E113&amp;""))-1),LEFT(TRIM(E113&amp;""),FIND(" ",TRIM(E113&amp;""))-1)&amp;"병원")&amp;" "&amp;INDEX(코드표!$G$2:$G$101,MATCH(TRIM(RIGHT(SUBSTITUTE(TRIM(E113&amp;"")," ",REPT(" ",60)),60)),코드표!$F$2:$F$101,0)),"⚠"&amp;TRIM(E113&amp;""))),"⚠"&amp;TRIM(E113&amp;""))</f>
        <v/>
      </c>
      <c r="N113" s="10">
        <f>IFERROR(IF(TRIM(F113&amp;"")="","",IF(AND(ISNUMBER(FIND(" ",TRIM(F113&amp;""))),COUNTIF(코드표!$A$2:$A$21,IF(RIGHT(LEFT(TRIM(F113&amp;""),FIND(" ",TRIM(F113&amp;""))-1),2)="병원",LEFT(TRIM(F113&amp;""),FIND(" ",TRIM(F113&amp;""))-1),LEFT(TRIM(F113&amp;""),FIND(" ",TRIM(F113&amp;""))-1)&amp;"병원"))&gt;0,ISNUMBER(MATCH(TRIM(RIGHT(SUBSTITUTE(TRIM(F113&amp;"")," ",REPT(" ",60)),60)),코드표!$F$2:$F$101,0))),IF(RIGHT(LEFT(TRIM(F113&amp;""),FIND(" ",TRIM(F113&amp;""))-1),2)="병원",LEFT(TRIM(F113&amp;""),FIND(" ",TRIM(F113&amp;""))-1),LEFT(TRIM(F113&amp;""),FIND(" ",TRIM(F113&amp;""))-1)&amp;"병원")&amp;" "&amp;INDEX(코드표!$G$2:$G$101,MATCH(TRIM(RIGHT(SUBSTITUTE(TRIM(F113&amp;"")," ",REPT(" ",60)),60)),코드표!$F$2:$F$101,0)),"⚠"&amp;TRIM(F113&amp;""))),"⚠"&amp;TRIM(F113&amp;""))</f>
        <v/>
      </c>
      <c r="O113" s="10">
        <f>IFERROR(IF(TRIM(G113&amp;"")="","",IF(AND(ISNUMBER(FIND(" ",TRIM(G113&amp;""))),COUNTIF(코드표!$A$2:$A$21,IF(RIGHT(LEFT(TRIM(G113&amp;""),FIND(" ",TRIM(G113&amp;""))-1),2)="병원",LEFT(TRIM(G113&amp;""),FIND(" ",TRIM(G113&amp;""))-1),LEFT(TRIM(G113&amp;""),FIND(" ",TRIM(G113&amp;""))-1)&amp;"병원"))&gt;0,ISNUMBER(MATCH(TRIM(RIGHT(SUBSTITUTE(TRIM(G113&amp;"")," ",REPT(" ",60)),60)),코드표!$F$2:$F$101,0))),IF(RIGHT(LEFT(TRIM(G113&amp;""),FIND(" ",TRIM(G113&amp;""))-1),2)="병원",LEFT(TRIM(G113&amp;""),FIND(" ",TRIM(G113&amp;""))-1),LEFT(TRIM(G113&amp;""),FIND(" ",TRIM(G113&amp;""))-1)&amp;"병원")&amp;" "&amp;INDEX(코드표!$G$2:$G$101,MATCH(TRIM(RIGHT(SUBSTITUTE(TRIM(G113&amp;"")," ",REPT(" ",60)),60)),코드표!$F$2:$F$101,0)),"⚠"&amp;TRIM(G113&amp;""))),"⚠"&amp;TRIM(G113&amp;""))</f>
        <v/>
      </c>
      <c r="P113" s="10">
        <f>IFERROR(IF(TRIM(H113&amp;"")="","",IF(AND(ISNUMBER(FIND(" ",TRIM(H113&amp;""))),COUNTIF(코드표!$A$2:$A$21,IF(RIGHT(LEFT(TRIM(H113&amp;""),FIND(" ",TRIM(H113&amp;""))-1),2)="병원",LEFT(TRIM(H113&amp;""),FIND(" ",TRIM(H113&amp;""))-1),LEFT(TRIM(H113&amp;""),FIND(" ",TRIM(H113&amp;""))-1)&amp;"병원"))&gt;0,ISNUMBER(MATCH(TRIM(RIGHT(SUBSTITUTE(TRIM(H113&amp;"")," ",REPT(" ",60)),60)),코드표!$F$2:$F$101,0))),IF(RIGHT(LEFT(TRIM(H113&amp;""),FIND(" ",TRIM(H113&amp;""))-1),2)="병원",LEFT(TRIM(H113&amp;""),FIND(" ",TRIM(H113&amp;""))-1),LEFT(TRIM(H113&amp;""),FIND(" ",TRIM(H113&amp;""))-1)&amp;"병원")&amp;" "&amp;INDEX(코드표!$G$2:$G$101,MATCH(TRIM(RIGHT(SUBSTITUTE(TRIM(H113&amp;"")," ",REPT(" ",60)),60)),코드표!$F$2:$F$101,0)),"⚠"&amp;TRIM(H113&amp;""))),"⚠"&amp;TRIM(H113&amp;""))</f>
        <v/>
      </c>
      <c r="Q113" s="10">
        <f>IFERROR(IF(TRIM(I113&amp;"")="","",IF(AND(ISNUMBER(FIND(" ",TRIM(I113&amp;""))),COUNTIF(코드표!$A$2:$A$21,IF(RIGHT(LEFT(TRIM(I113&amp;""),FIND(" ",TRIM(I113&amp;""))-1),2)="병원",LEFT(TRIM(I113&amp;""),FIND(" ",TRIM(I113&amp;""))-1),LEFT(TRIM(I113&amp;""),FIND(" ",TRIM(I113&amp;""))-1)&amp;"병원"))&gt;0,ISNUMBER(MATCH(TRIM(RIGHT(SUBSTITUTE(TRIM(I113&amp;"")," ",REPT(" ",60)),60)),코드표!$F$2:$F$101,0))),IF(RIGHT(LEFT(TRIM(I113&amp;""),FIND(" ",TRIM(I113&amp;""))-1),2)="병원",LEFT(TRIM(I113&amp;""),FIND(" ",TRIM(I113&amp;""))-1),LEFT(TRIM(I113&amp;""),FIND(" ",TRIM(I113&amp;""))-1)&amp;"병원")&amp;" "&amp;INDEX(코드표!$G$2:$G$101,MATCH(TRIM(RIGHT(SUBSTITUTE(TRIM(I113&amp;"")," ",REPT(" ",60)),60)),코드표!$F$2:$F$101,0)),"⚠"&amp;TRIM(I113&amp;""))),"⚠"&amp;TRIM(I113&amp;""))</f>
        <v/>
      </c>
      <c r="R113" s="10">
        <f>IFERROR(IF(TRIM(J113&amp;"")="","",IF(AND(ISNUMBER(FIND(" ",TRIM(J113&amp;""))),COUNTIF(코드표!$A$2:$A$21,IF(RIGHT(LEFT(TRIM(J113&amp;""),FIND(" ",TRIM(J113&amp;""))-1),2)="병원",LEFT(TRIM(J113&amp;""),FIND(" ",TRIM(J113&amp;""))-1),LEFT(TRIM(J113&amp;""),FIND(" ",TRIM(J113&amp;""))-1)&amp;"병원"))&gt;0,ISNUMBER(MATCH(TRIM(RIGHT(SUBSTITUTE(TRIM(J113&amp;"")," ",REPT(" ",60)),60)),코드표!$F$2:$F$101,0))),IF(RIGHT(LEFT(TRIM(J113&amp;""),FIND(" ",TRIM(J113&amp;""))-1),2)="병원",LEFT(TRIM(J113&amp;""),FIND(" ",TRIM(J113&amp;""))-1),LEFT(TRIM(J113&amp;""),FIND(" ",TRIM(J113&amp;""))-1)&amp;"병원")&amp;" "&amp;INDEX(코드표!$G$2:$G$101,MATCH(TRIM(RIGHT(SUBSTITUTE(TRIM(J113&amp;"")," ",REPT(" ",60)),60)),코드표!$F$2:$F$101,0)),"⚠"&amp;TRIM(J113&amp;""))),"⚠"&amp;TRIM(J113&amp;""))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",TRIM(E114&amp;""))),COUNTIF(코드표!$A$2:$A$21,IF(RIGHT(LEFT(TRIM(E114&amp;""),FIND(" ",TRIM(E114&amp;""))-1),2)="병원",LEFT(TRIM(E114&amp;""),FIND(" ",TRIM(E114&amp;""))-1),LEFT(TRIM(E114&amp;""),FIND(" ",TRIM(E114&amp;""))-1)&amp;"병원"))&gt;0,ISNUMBER(MATCH(TRIM(RIGHT(SUBSTITUTE(TRIM(E114&amp;"")," ",REPT(" ",60)),60)),코드표!$F$2:$F$101,0))),IF(RIGHT(LEFT(TRIM(E114&amp;""),FIND(" ",TRIM(E114&amp;""))-1),2)="병원",LEFT(TRIM(E114&amp;""),FIND(" ",TRIM(E114&amp;""))-1),LEFT(TRIM(E114&amp;""),FIND(" ",TRIM(E114&amp;""))-1)&amp;"병원")&amp;" "&amp;INDEX(코드표!$G$2:$G$101,MATCH(TRIM(RIGHT(SUBSTITUTE(TRIM(E114&amp;"")," ",REPT(" ",60)),60)),코드표!$F$2:$F$101,0)),"⚠"&amp;TRIM(E114&amp;""))),"⚠"&amp;TRIM(E114&amp;""))</f>
        <v/>
      </c>
      <c r="N114" s="10">
        <f>IFERROR(IF(TRIM(F114&amp;"")="","",IF(AND(ISNUMBER(FIND(" ",TRIM(F114&amp;""))),COUNTIF(코드표!$A$2:$A$21,IF(RIGHT(LEFT(TRIM(F114&amp;""),FIND(" ",TRIM(F114&amp;""))-1),2)="병원",LEFT(TRIM(F114&amp;""),FIND(" ",TRIM(F114&amp;""))-1),LEFT(TRIM(F114&amp;""),FIND(" ",TRIM(F114&amp;""))-1)&amp;"병원"))&gt;0,ISNUMBER(MATCH(TRIM(RIGHT(SUBSTITUTE(TRIM(F114&amp;"")," ",REPT(" ",60)),60)),코드표!$F$2:$F$101,0))),IF(RIGHT(LEFT(TRIM(F114&amp;""),FIND(" ",TRIM(F114&amp;""))-1),2)="병원",LEFT(TRIM(F114&amp;""),FIND(" ",TRIM(F114&amp;""))-1),LEFT(TRIM(F114&amp;""),FIND(" ",TRIM(F114&amp;""))-1)&amp;"병원")&amp;" "&amp;INDEX(코드표!$G$2:$G$101,MATCH(TRIM(RIGHT(SUBSTITUTE(TRIM(F114&amp;"")," ",REPT(" ",60)),60)),코드표!$F$2:$F$101,0)),"⚠"&amp;TRIM(F114&amp;""))),"⚠"&amp;TRIM(F114&amp;""))</f>
        <v/>
      </c>
      <c r="O114" s="10">
        <f>IFERROR(IF(TRIM(G114&amp;"")="","",IF(AND(ISNUMBER(FIND(" ",TRIM(G114&amp;""))),COUNTIF(코드표!$A$2:$A$21,IF(RIGHT(LEFT(TRIM(G114&amp;""),FIND(" ",TRIM(G114&amp;""))-1),2)="병원",LEFT(TRIM(G114&amp;""),FIND(" ",TRIM(G114&amp;""))-1),LEFT(TRIM(G114&amp;""),FIND(" ",TRIM(G114&amp;""))-1)&amp;"병원"))&gt;0,ISNUMBER(MATCH(TRIM(RIGHT(SUBSTITUTE(TRIM(G114&amp;"")," ",REPT(" ",60)),60)),코드표!$F$2:$F$101,0))),IF(RIGHT(LEFT(TRIM(G114&amp;""),FIND(" ",TRIM(G114&amp;""))-1),2)="병원",LEFT(TRIM(G114&amp;""),FIND(" ",TRIM(G114&amp;""))-1),LEFT(TRIM(G114&amp;""),FIND(" ",TRIM(G114&amp;""))-1)&amp;"병원")&amp;" "&amp;INDEX(코드표!$G$2:$G$101,MATCH(TRIM(RIGHT(SUBSTITUTE(TRIM(G114&amp;"")," ",REPT(" ",60)),60)),코드표!$F$2:$F$101,0)),"⚠"&amp;TRIM(G114&amp;""))),"⚠"&amp;TRIM(G114&amp;""))</f>
        <v/>
      </c>
      <c r="P114" s="10">
        <f>IFERROR(IF(TRIM(H114&amp;"")="","",IF(AND(ISNUMBER(FIND(" ",TRIM(H114&amp;""))),COUNTIF(코드표!$A$2:$A$21,IF(RIGHT(LEFT(TRIM(H114&amp;""),FIND(" ",TRIM(H114&amp;""))-1),2)="병원",LEFT(TRIM(H114&amp;""),FIND(" ",TRIM(H114&amp;""))-1),LEFT(TRIM(H114&amp;""),FIND(" ",TRIM(H114&amp;""))-1)&amp;"병원"))&gt;0,ISNUMBER(MATCH(TRIM(RIGHT(SUBSTITUTE(TRIM(H114&amp;"")," ",REPT(" ",60)),60)),코드표!$F$2:$F$101,0))),IF(RIGHT(LEFT(TRIM(H114&amp;""),FIND(" ",TRIM(H114&amp;""))-1),2)="병원",LEFT(TRIM(H114&amp;""),FIND(" ",TRIM(H114&amp;""))-1),LEFT(TRIM(H114&amp;""),FIND(" ",TRIM(H114&amp;""))-1)&amp;"병원")&amp;" "&amp;INDEX(코드표!$G$2:$G$101,MATCH(TRIM(RIGHT(SUBSTITUTE(TRIM(H114&amp;"")," ",REPT(" ",60)),60)),코드표!$F$2:$F$101,0)),"⚠"&amp;TRIM(H114&amp;""))),"⚠"&amp;TRIM(H114&amp;""))</f>
        <v/>
      </c>
      <c r="Q114" s="10">
        <f>IFERROR(IF(TRIM(I114&amp;"")="","",IF(AND(ISNUMBER(FIND(" ",TRIM(I114&amp;""))),COUNTIF(코드표!$A$2:$A$21,IF(RIGHT(LEFT(TRIM(I114&amp;""),FIND(" ",TRIM(I114&amp;""))-1),2)="병원",LEFT(TRIM(I114&amp;""),FIND(" ",TRIM(I114&amp;""))-1),LEFT(TRIM(I114&amp;""),FIND(" ",TRIM(I114&amp;""))-1)&amp;"병원"))&gt;0,ISNUMBER(MATCH(TRIM(RIGHT(SUBSTITUTE(TRIM(I114&amp;"")," ",REPT(" ",60)),60)),코드표!$F$2:$F$101,0))),IF(RIGHT(LEFT(TRIM(I114&amp;""),FIND(" ",TRIM(I114&amp;""))-1),2)="병원",LEFT(TRIM(I114&amp;""),FIND(" ",TRIM(I114&amp;""))-1),LEFT(TRIM(I114&amp;""),FIND(" ",TRIM(I114&amp;""))-1)&amp;"병원")&amp;" "&amp;INDEX(코드표!$G$2:$G$101,MATCH(TRIM(RIGHT(SUBSTITUTE(TRIM(I114&amp;"")," ",REPT(" ",60)),60)),코드표!$F$2:$F$101,0)),"⚠"&amp;TRIM(I114&amp;""))),"⚠"&amp;TRIM(I114&amp;""))</f>
        <v/>
      </c>
      <c r="R114" s="10">
        <f>IFERROR(IF(TRIM(J114&amp;"")="","",IF(AND(ISNUMBER(FIND(" ",TRIM(J114&amp;""))),COUNTIF(코드표!$A$2:$A$21,IF(RIGHT(LEFT(TRIM(J114&amp;""),FIND(" ",TRIM(J114&amp;""))-1),2)="병원",LEFT(TRIM(J114&amp;""),FIND(" ",TRIM(J114&amp;""))-1),LEFT(TRIM(J114&amp;""),FIND(" ",TRIM(J114&amp;""))-1)&amp;"병원"))&gt;0,ISNUMBER(MATCH(TRIM(RIGHT(SUBSTITUTE(TRIM(J114&amp;"")," ",REPT(" ",60)),60)),코드표!$F$2:$F$101,0))),IF(RIGHT(LEFT(TRIM(J114&amp;""),FIND(" ",TRIM(J114&amp;""))-1),2)="병원",LEFT(TRIM(J114&amp;""),FIND(" ",TRIM(J114&amp;""))-1),LEFT(TRIM(J114&amp;""),FIND(" ",TRIM(J114&amp;""))-1)&amp;"병원")&amp;" "&amp;INDEX(코드표!$G$2:$G$101,MATCH(TRIM(RIGHT(SUBSTITUTE(TRIM(J114&amp;"")," ",REPT(" ",60)),60)),코드표!$F$2:$F$101,0)),"⚠"&amp;TRIM(J114&amp;""))),"⚠"&amp;TRIM(J114&amp;""))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",TRIM(E115&amp;""))),COUNTIF(코드표!$A$2:$A$21,IF(RIGHT(LEFT(TRIM(E115&amp;""),FIND(" ",TRIM(E115&amp;""))-1),2)="병원",LEFT(TRIM(E115&amp;""),FIND(" ",TRIM(E115&amp;""))-1),LEFT(TRIM(E115&amp;""),FIND(" ",TRIM(E115&amp;""))-1)&amp;"병원"))&gt;0,ISNUMBER(MATCH(TRIM(RIGHT(SUBSTITUTE(TRIM(E115&amp;"")," ",REPT(" ",60)),60)),코드표!$F$2:$F$101,0))),IF(RIGHT(LEFT(TRIM(E115&amp;""),FIND(" ",TRIM(E115&amp;""))-1),2)="병원",LEFT(TRIM(E115&amp;""),FIND(" ",TRIM(E115&amp;""))-1),LEFT(TRIM(E115&amp;""),FIND(" ",TRIM(E115&amp;""))-1)&amp;"병원")&amp;" "&amp;INDEX(코드표!$G$2:$G$101,MATCH(TRIM(RIGHT(SUBSTITUTE(TRIM(E115&amp;"")," ",REPT(" ",60)),60)),코드표!$F$2:$F$101,0)),"⚠"&amp;TRIM(E115&amp;""))),"⚠"&amp;TRIM(E115&amp;""))</f>
        <v/>
      </c>
      <c r="N115" s="10">
        <f>IFERROR(IF(TRIM(F115&amp;"")="","",IF(AND(ISNUMBER(FIND(" ",TRIM(F115&amp;""))),COUNTIF(코드표!$A$2:$A$21,IF(RIGHT(LEFT(TRIM(F115&amp;""),FIND(" ",TRIM(F115&amp;""))-1),2)="병원",LEFT(TRIM(F115&amp;""),FIND(" ",TRIM(F115&amp;""))-1),LEFT(TRIM(F115&amp;""),FIND(" ",TRIM(F115&amp;""))-1)&amp;"병원"))&gt;0,ISNUMBER(MATCH(TRIM(RIGHT(SUBSTITUTE(TRIM(F115&amp;"")," ",REPT(" ",60)),60)),코드표!$F$2:$F$101,0))),IF(RIGHT(LEFT(TRIM(F115&amp;""),FIND(" ",TRIM(F115&amp;""))-1),2)="병원",LEFT(TRIM(F115&amp;""),FIND(" ",TRIM(F115&amp;""))-1),LEFT(TRIM(F115&amp;""),FIND(" ",TRIM(F115&amp;""))-1)&amp;"병원")&amp;" "&amp;INDEX(코드표!$G$2:$G$101,MATCH(TRIM(RIGHT(SUBSTITUTE(TRIM(F115&amp;"")," ",REPT(" ",60)),60)),코드표!$F$2:$F$101,0)),"⚠"&amp;TRIM(F115&amp;""))),"⚠"&amp;TRIM(F115&amp;""))</f>
        <v/>
      </c>
      <c r="O115" s="10">
        <f>IFERROR(IF(TRIM(G115&amp;"")="","",IF(AND(ISNUMBER(FIND(" ",TRIM(G115&amp;""))),COUNTIF(코드표!$A$2:$A$21,IF(RIGHT(LEFT(TRIM(G115&amp;""),FIND(" ",TRIM(G115&amp;""))-1),2)="병원",LEFT(TRIM(G115&amp;""),FIND(" ",TRIM(G115&amp;""))-1),LEFT(TRIM(G115&amp;""),FIND(" ",TRIM(G115&amp;""))-1)&amp;"병원"))&gt;0,ISNUMBER(MATCH(TRIM(RIGHT(SUBSTITUTE(TRIM(G115&amp;"")," ",REPT(" ",60)),60)),코드표!$F$2:$F$101,0))),IF(RIGHT(LEFT(TRIM(G115&amp;""),FIND(" ",TRIM(G115&amp;""))-1),2)="병원",LEFT(TRIM(G115&amp;""),FIND(" ",TRIM(G115&amp;""))-1),LEFT(TRIM(G115&amp;""),FIND(" ",TRIM(G115&amp;""))-1)&amp;"병원")&amp;" "&amp;INDEX(코드표!$G$2:$G$101,MATCH(TRIM(RIGHT(SUBSTITUTE(TRIM(G115&amp;"")," ",REPT(" ",60)),60)),코드표!$F$2:$F$101,0)),"⚠"&amp;TRIM(G115&amp;""))),"⚠"&amp;TRIM(G115&amp;""))</f>
        <v/>
      </c>
      <c r="P115" s="10">
        <f>IFERROR(IF(TRIM(H115&amp;"")="","",IF(AND(ISNUMBER(FIND(" ",TRIM(H115&amp;""))),COUNTIF(코드표!$A$2:$A$21,IF(RIGHT(LEFT(TRIM(H115&amp;""),FIND(" ",TRIM(H115&amp;""))-1),2)="병원",LEFT(TRIM(H115&amp;""),FIND(" ",TRIM(H115&amp;""))-1),LEFT(TRIM(H115&amp;""),FIND(" ",TRIM(H115&amp;""))-1)&amp;"병원"))&gt;0,ISNUMBER(MATCH(TRIM(RIGHT(SUBSTITUTE(TRIM(H115&amp;"")," ",REPT(" ",60)),60)),코드표!$F$2:$F$101,0))),IF(RIGHT(LEFT(TRIM(H115&amp;""),FIND(" ",TRIM(H115&amp;""))-1),2)="병원",LEFT(TRIM(H115&amp;""),FIND(" ",TRIM(H115&amp;""))-1),LEFT(TRIM(H115&amp;""),FIND(" ",TRIM(H115&amp;""))-1)&amp;"병원")&amp;" "&amp;INDEX(코드표!$G$2:$G$101,MATCH(TRIM(RIGHT(SUBSTITUTE(TRIM(H115&amp;"")," ",REPT(" ",60)),60)),코드표!$F$2:$F$101,0)),"⚠"&amp;TRIM(H115&amp;""))),"⚠"&amp;TRIM(H115&amp;""))</f>
        <v/>
      </c>
      <c r="Q115" s="10">
        <f>IFERROR(IF(TRIM(I115&amp;"")="","",IF(AND(ISNUMBER(FIND(" ",TRIM(I115&amp;""))),COUNTIF(코드표!$A$2:$A$21,IF(RIGHT(LEFT(TRIM(I115&amp;""),FIND(" ",TRIM(I115&amp;""))-1),2)="병원",LEFT(TRIM(I115&amp;""),FIND(" ",TRIM(I115&amp;""))-1),LEFT(TRIM(I115&amp;""),FIND(" ",TRIM(I115&amp;""))-1)&amp;"병원"))&gt;0,ISNUMBER(MATCH(TRIM(RIGHT(SUBSTITUTE(TRIM(I115&amp;"")," ",REPT(" ",60)),60)),코드표!$F$2:$F$101,0))),IF(RIGHT(LEFT(TRIM(I115&amp;""),FIND(" ",TRIM(I115&amp;""))-1),2)="병원",LEFT(TRIM(I115&amp;""),FIND(" ",TRIM(I115&amp;""))-1),LEFT(TRIM(I115&amp;""),FIND(" ",TRIM(I115&amp;""))-1)&amp;"병원")&amp;" "&amp;INDEX(코드표!$G$2:$G$101,MATCH(TRIM(RIGHT(SUBSTITUTE(TRIM(I115&amp;"")," ",REPT(" ",60)),60)),코드표!$F$2:$F$101,0)),"⚠"&amp;TRIM(I115&amp;""))),"⚠"&amp;TRIM(I115&amp;""))</f>
        <v/>
      </c>
      <c r="R115" s="10">
        <f>IFERROR(IF(TRIM(J115&amp;"")="","",IF(AND(ISNUMBER(FIND(" ",TRIM(J115&amp;""))),COUNTIF(코드표!$A$2:$A$21,IF(RIGHT(LEFT(TRIM(J115&amp;""),FIND(" ",TRIM(J115&amp;""))-1),2)="병원",LEFT(TRIM(J115&amp;""),FIND(" ",TRIM(J115&amp;""))-1),LEFT(TRIM(J115&amp;""),FIND(" ",TRIM(J115&amp;""))-1)&amp;"병원"))&gt;0,ISNUMBER(MATCH(TRIM(RIGHT(SUBSTITUTE(TRIM(J115&amp;"")," ",REPT(" ",60)),60)),코드표!$F$2:$F$101,0))),IF(RIGHT(LEFT(TRIM(J115&amp;""),FIND(" ",TRIM(J115&amp;""))-1),2)="병원",LEFT(TRIM(J115&amp;""),FIND(" ",TRIM(J115&amp;""))-1),LEFT(TRIM(J115&amp;""),FIND(" ",TRIM(J115&amp;""))-1)&amp;"병원")&amp;" "&amp;INDEX(코드표!$G$2:$G$101,MATCH(TRIM(RIGHT(SUBSTITUTE(TRIM(J115&amp;"")," ",REPT(" ",60)),60)),코드표!$F$2:$F$101,0)),"⚠"&amp;TRIM(J115&amp;""))),"⚠"&amp;TRIM(J115&amp;""))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",TRIM(E116&amp;""))),COUNTIF(코드표!$A$2:$A$21,IF(RIGHT(LEFT(TRIM(E116&amp;""),FIND(" ",TRIM(E116&amp;""))-1),2)="병원",LEFT(TRIM(E116&amp;""),FIND(" ",TRIM(E116&amp;""))-1),LEFT(TRIM(E116&amp;""),FIND(" ",TRIM(E116&amp;""))-1)&amp;"병원"))&gt;0,ISNUMBER(MATCH(TRIM(RIGHT(SUBSTITUTE(TRIM(E116&amp;"")," ",REPT(" ",60)),60)),코드표!$F$2:$F$101,0))),IF(RIGHT(LEFT(TRIM(E116&amp;""),FIND(" ",TRIM(E116&amp;""))-1),2)="병원",LEFT(TRIM(E116&amp;""),FIND(" ",TRIM(E116&amp;""))-1),LEFT(TRIM(E116&amp;""),FIND(" ",TRIM(E116&amp;""))-1)&amp;"병원")&amp;" "&amp;INDEX(코드표!$G$2:$G$101,MATCH(TRIM(RIGHT(SUBSTITUTE(TRIM(E116&amp;"")," ",REPT(" ",60)),60)),코드표!$F$2:$F$101,0)),"⚠"&amp;TRIM(E116&amp;""))),"⚠"&amp;TRIM(E116&amp;""))</f>
        <v/>
      </c>
      <c r="N116" s="10">
        <f>IFERROR(IF(TRIM(F116&amp;"")="","",IF(AND(ISNUMBER(FIND(" ",TRIM(F116&amp;""))),COUNTIF(코드표!$A$2:$A$21,IF(RIGHT(LEFT(TRIM(F116&amp;""),FIND(" ",TRIM(F116&amp;""))-1),2)="병원",LEFT(TRIM(F116&amp;""),FIND(" ",TRIM(F116&amp;""))-1),LEFT(TRIM(F116&amp;""),FIND(" ",TRIM(F116&amp;""))-1)&amp;"병원"))&gt;0,ISNUMBER(MATCH(TRIM(RIGHT(SUBSTITUTE(TRIM(F116&amp;"")," ",REPT(" ",60)),60)),코드표!$F$2:$F$101,0))),IF(RIGHT(LEFT(TRIM(F116&amp;""),FIND(" ",TRIM(F116&amp;""))-1),2)="병원",LEFT(TRIM(F116&amp;""),FIND(" ",TRIM(F116&amp;""))-1),LEFT(TRIM(F116&amp;""),FIND(" ",TRIM(F116&amp;""))-1)&amp;"병원")&amp;" "&amp;INDEX(코드표!$G$2:$G$101,MATCH(TRIM(RIGHT(SUBSTITUTE(TRIM(F116&amp;"")," ",REPT(" ",60)),60)),코드표!$F$2:$F$101,0)),"⚠"&amp;TRIM(F116&amp;""))),"⚠"&amp;TRIM(F116&amp;""))</f>
        <v/>
      </c>
      <c r="O116" s="10">
        <f>IFERROR(IF(TRIM(G116&amp;"")="","",IF(AND(ISNUMBER(FIND(" ",TRIM(G116&amp;""))),COUNTIF(코드표!$A$2:$A$21,IF(RIGHT(LEFT(TRIM(G116&amp;""),FIND(" ",TRIM(G116&amp;""))-1),2)="병원",LEFT(TRIM(G116&amp;""),FIND(" ",TRIM(G116&amp;""))-1),LEFT(TRIM(G116&amp;""),FIND(" ",TRIM(G116&amp;""))-1)&amp;"병원"))&gt;0,ISNUMBER(MATCH(TRIM(RIGHT(SUBSTITUTE(TRIM(G116&amp;"")," ",REPT(" ",60)),60)),코드표!$F$2:$F$101,0))),IF(RIGHT(LEFT(TRIM(G116&amp;""),FIND(" ",TRIM(G116&amp;""))-1),2)="병원",LEFT(TRIM(G116&amp;""),FIND(" ",TRIM(G116&amp;""))-1),LEFT(TRIM(G116&amp;""),FIND(" ",TRIM(G116&amp;""))-1)&amp;"병원")&amp;" "&amp;INDEX(코드표!$G$2:$G$101,MATCH(TRIM(RIGHT(SUBSTITUTE(TRIM(G116&amp;"")," ",REPT(" ",60)),60)),코드표!$F$2:$F$101,0)),"⚠"&amp;TRIM(G116&amp;""))),"⚠"&amp;TRIM(G116&amp;""))</f>
        <v/>
      </c>
      <c r="P116" s="10">
        <f>IFERROR(IF(TRIM(H116&amp;"")="","",IF(AND(ISNUMBER(FIND(" ",TRIM(H116&amp;""))),COUNTIF(코드표!$A$2:$A$21,IF(RIGHT(LEFT(TRIM(H116&amp;""),FIND(" ",TRIM(H116&amp;""))-1),2)="병원",LEFT(TRIM(H116&amp;""),FIND(" ",TRIM(H116&amp;""))-1),LEFT(TRIM(H116&amp;""),FIND(" ",TRIM(H116&amp;""))-1)&amp;"병원"))&gt;0,ISNUMBER(MATCH(TRIM(RIGHT(SUBSTITUTE(TRIM(H116&amp;"")," ",REPT(" ",60)),60)),코드표!$F$2:$F$101,0))),IF(RIGHT(LEFT(TRIM(H116&amp;""),FIND(" ",TRIM(H116&amp;""))-1),2)="병원",LEFT(TRIM(H116&amp;""),FIND(" ",TRIM(H116&amp;""))-1),LEFT(TRIM(H116&amp;""),FIND(" ",TRIM(H116&amp;""))-1)&amp;"병원")&amp;" "&amp;INDEX(코드표!$G$2:$G$101,MATCH(TRIM(RIGHT(SUBSTITUTE(TRIM(H116&amp;"")," ",REPT(" ",60)),60)),코드표!$F$2:$F$101,0)),"⚠"&amp;TRIM(H116&amp;""))),"⚠"&amp;TRIM(H116&amp;""))</f>
        <v/>
      </c>
      <c r="Q116" s="10">
        <f>IFERROR(IF(TRIM(I116&amp;"")="","",IF(AND(ISNUMBER(FIND(" ",TRIM(I116&amp;""))),COUNTIF(코드표!$A$2:$A$21,IF(RIGHT(LEFT(TRIM(I116&amp;""),FIND(" ",TRIM(I116&amp;""))-1),2)="병원",LEFT(TRIM(I116&amp;""),FIND(" ",TRIM(I116&amp;""))-1),LEFT(TRIM(I116&amp;""),FIND(" ",TRIM(I116&amp;""))-1)&amp;"병원"))&gt;0,ISNUMBER(MATCH(TRIM(RIGHT(SUBSTITUTE(TRIM(I116&amp;"")," ",REPT(" ",60)),60)),코드표!$F$2:$F$101,0))),IF(RIGHT(LEFT(TRIM(I116&amp;""),FIND(" ",TRIM(I116&amp;""))-1),2)="병원",LEFT(TRIM(I116&amp;""),FIND(" ",TRIM(I116&amp;""))-1),LEFT(TRIM(I116&amp;""),FIND(" ",TRIM(I116&amp;""))-1)&amp;"병원")&amp;" "&amp;INDEX(코드표!$G$2:$G$101,MATCH(TRIM(RIGHT(SUBSTITUTE(TRIM(I116&amp;"")," ",REPT(" ",60)),60)),코드표!$F$2:$F$101,0)),"⚠"&amp;TRIM(I116&amp;""))),"⚠"&amp;TRIM(I116&amp;""))</f>
        <v/>
      </c>
      <c r="R116" s="10">
        <f>IFERROR(IF(TRIM(J116&amp;"")="","",IF(AND(ISNUMBER(FIND(" ",TRIM(J116&amp;""))),COUNTIF(코드표!$A$2:$A$21,IF(RIGHT(LEFT(TRIM(J116&amp;""),FIND(" ",TRIM(J116&amp;""))-1),2)="병원",LEFT(TRIM(J116&amp;""),FIND(" ",TRIM(J116&amp;""))-1),LEFT(TRIM(J116&amp;""),FIND(" ",TRIM(J116&amp;""))-1)&amp;"병원"))&gt;0,ISNUMBER(MATCH(TRIM(RIGHT(SUBSTITUTE(TRIM(J116&amp;"")," ",REPT(" ",60)),60)),코드표!$F$2:$F$101,0))),IF(RIGHT(LEFT(TRIM(J116&amp;""),FIND(" ",TRIM(J116&amp;""))-1),2)="병원",LEFT(TRIM(J116&amp;""),FIND(" ",TRIM(J116&amp;""))-1),LEFT(TRIM(J116&amp;""),FIND(" ",TRIM(J116&amp;""))-1)&amp;"병원")&amp;" "&amp;INDEX(코드표!$G$2:$G$101,MATCH(TRIM(RIGHT(SUBSTITUTE(TRIM(J116&amp;"")," ",REPT(" ",60)),60)),코드표!$F$2:$F$101,0)),"⚠"&amp;TRIM(J116&amp;""))),"⚠"&amp;TRIM(J116&amp;""))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",TRIM(E117&amp;""))),COUNTIF(코드표!$A$2:$A$21,IF(RIGHT(LEFT(TRIM(E117&amp;""),FIND(" ",TRIM(E117&amp;""))-1),2)="병원",LEFT(TRIM(E117&amp;""),FIND(" ",TRIM(E117&amp;""))-1),LEFT(TRIM(E117&amp;""),FIND(" ",TRIM(E117&amp;""))-1)&amp;"병원"))&gt;0,ISNUMBER(MATCH(TRIM(RIGHT(SUBSTITUTE(TRIM(E117&amp;"")," ",REPT(" ",60)),60)),코드표!$F$2:$F$101,0))),IF(RIGHT(LEFT(TRIM(E117&amp;""),FIND(" ",TRIM(E117&amp;""))-1),2)="병원",LEFT(TRIM(E117&amp;""),FIND(" ",TRIM(E117&amp;""))-1),LEFT(TRIM(E117&amp;""),FIND(" ",TRIM(E117&amp;""))-1)&amp;"병원")&amp;" "&amp;INDEX(코드표!$G$2:$G$101,MATCH(TRIM(RIGHT(SUBSTITUTE(TRIM(E117&amp;"")," ",REPT(" ",60)),60)),코드표!$F$2:$F$101,0)),"⚠"&amp;TRIM(E117&amp;""))),"⚠"&amp;TRIM(E117&amp;""))</f>
        <v/>
      </c>
      <c r="N117" s="10">
        <f>IFERROR(IF(TRIM(F117&amp;"")="","",IF(AND(ISNUMBER(FIND(" ",TRIM(F117&amp;""))),COUNTIF(코드표!$A$2:$A$21,IF(RIGHT(LEFT(TRIM(F117&amp;""),FIND(" ",TRIM(F117&amp;""))-1),2)="병원",LEFT(TRIM(F117&amp;""),FIND(" ",TRIM(F117&amp;""))-1),LEFT(TRIM(F117&amp;""),FIND(" ",TRIM(F117&amp;""))-1)&amp;"병원"))&gt;0,ISNUMBER(MATCH(TRIM(RIGHT(SUBSTITUTE(TRIM(F117&amp;"")," ",REPT(" ",60)),60)),코드표!$F$2:$F$101,0))),IF(RIGHT(LEFT(TRIM(F117&amp;""),FIND(" ",TRIM(F117&amp;""))-1),2)="병원",LEFT(TRIM(F117&amp;""),FIND(" ",TRIM(F117&amp;""))-1),LEFT(TRIM(F117&amp;""),FIND(" ",TRIM(F117&amp;""))-1)&amp;"병원")&amp;" "&amp;INDEX(코드표!$G$2:$G$101,MATCH(TRIM(RIGHT(SUBSTITUTE(TRIM(F117&amp;"")," ",REPT(" ",60)),60)),코드표!$F$2:$F$101,0)),"⚠"&amp;TRIM(F117&amp;""))),"⚠"&amp;TRIM(F117&amp;""))</f>
        <v/>
      </c>
      <c r="O117" s="10">
        <f>IFERROR(IF(TRIM(G117&amp;"")="","",IF(AND(ISNUMBER(FIND(" ",TRIM(G117&amp;""))),COUNTIF(코드표!$A$2:$A$21,IF(RIGHT(LEFT(TRIM(G117&amp;""),FIND(" ",TRIM(G117&amp;""))-1),2)="병원",LEFT(TRIM(G117&amp;""),FIND(" ",TRIM(G117&amp;""))-1),LEFT(TRIM(G117&amp;""),FIND(" ",TRIM(G117&amp;""))-1)&amp;"병원"))&gt;0,ISNUMBER(MATCH(TRIM(RIGHT(SUBSTITUTE(TRIM(G117&amp;"")," ",REPT(" ",60)),60)),코드표!$F$2:$F$101,0))),IF(RIGHT(LEFT(TRIM(G117&amp;""),FIND(" ",TRIM(G117&amp;""))-1),2)="병원",LEFT(TRIM(G117&amp;""),FIND(" ",TRIM(G117&amp;""))-1),LEFT(TRIM(G117&amp;""),FIND(" ",TRIM(G117&amp;""))-1)&amp;"병원")&amp;" "&amp;INDEX(코드표!$G$2:$G$101,MATCH(TRIM(RIGHT(SUBSTITUTE(TRIM(G117&amp;"")," ",REPT(" ",60)),60)),코드표!$F$2:$F$101,0)),"⚠"&amp;TRIM(G117&amp;""))),"⚠"&amp;TRIM(G117&amp;""))</f>
        <v/>
      </c>
      <c r="P117" s="10">
        <f>IFERROR(IF(TRIM(H117&amp;"")="","",IF(AND(ISNUMBER(FIND(" ",TRIM(H117&amp;""))),COUNTIF(코드표!$A$2:$A$21,IF(RIGHT(LEFT(TRIM(H117&amp;""),FIND(" ",TRIM(H117&amp;""))-1),2)="병원",LEFT(TRIM(H117&amp;""),FIND(" ",TRIM(H117&amp;""))-1),LEFT(TRIM(H117&amp;""),FIND(" ",TRIM(H117&amp;""))-1)&amp;"병원"))&gt;0,ISNUMBER(MATCH(TRIM(RIGHT(SUBSTITUTE(TRIM(H117&amp;"")," ",REPT(" ",60)),60)),코드표!$F$2:$F$101,0))),IF(RIGHT(LEFT(TRIM(H117&amp;""),FIND(" ",TRIM(H117&amp;""))-1),2)="병원",LEFT(TRIM(H117&amp;""),FIND(" ",TRIM(H117&amp;""))-1),LEFT(TRIM(H117&amp;""),FIND(" ",TRIM(H117&amp;""))-1)&amp;"병원")&amp;" "&amp;INDEX(코드표!$G$2:$G$101,MATCH(TRIM(RIGHT(SUBSTITUTE(TRIM(H117&amp;"")," ",REPT(" ",60)),60)),코드표!$F$2:$F$101,0)),"⚠"&amp;TRIM(H117&amp;""))),"⚠"&amp;TRIM(H117&amp;""))</f>
        <v/>
      </c>
      <c r="Q117" s="10">
        <f>IFERROR(IF(TRIM(I117&amp;"")="","",IF(AND(ISNUMBER(FIND(" ",TRIM(I117&amp;""))),COUNTIF(코드표!$A$2:$A$21,IF(RIGHT(LEFT(TRIM(I117&amp;""),FIND(" ",TRIM(I117&amp;""))-1),2)="병원",LEFT(TRIM(I117&amp;""),FIND(" ",TRIM(I117&amp;""))-1),LEFT(TRIM(I117&amp;""),FIND(" ",TRIM(I117&amp;""))-1)&amp;"병원"))&gt;0,ISNUMBER(MATCH(TRIM(RIGHT(SUBSTITUTE(TRIM(I117&amp;"")," ",REPT(" ",60)),60)),코드표!$F$2:$F$101,0))),IF(RIGHT(LEFT(TRIM(I117&amp;""),FIND(" ",TRIM(I117&amp;""))-1),2)="병원",LEFT(TRIM(I117&amp;""),FIND(" ",TRIM(I117&amp;""))-1),LEFT(TRIM(I117&amp;""),FIND(" ",TRIM(I117&amp;""))-1)&amp;"병원")&amp;" "&amp;INDEX(코드표!$G$2:$G$101,MATCH(TRIM(RIGHT(SUBSTITUTE(TRIM(I117&amp;"")," ",REPT(" ",60)),60)),코드표!$F$2:$F$101,0)),"⚠"&amp;TRIM(I117&amp;""))),"⚠"&amp;TRIM(I117&amp;""))</f>
        <v/>
      </c>
      <c r="R117" s="10">
        <f>IFERROR(IF(TRIM(J117&amp;"")="","",IF(AND(ISNUMBER(FIND(" ",TRIM(J117&amp;""))),COUNTIF(코드표!$A$2:$A$21,IF(RIGHT(LEFT(TRIM(J117&amp;""),FIND(" ",TRIM(J117&amp;""))-1),2)="병원",LEFT(TRIM(J117&amp;""),FIND(" ",TRIM(J117&amp;""))-1),LEFT(TRIM(J117&amp;""),FIND(" ",TRIM(J117&amp;""))-1)&amp;"병원"))&gt;0,ISNUMBER(MATCH(TRIM(RIGHT(SUBSTITUTE(TRIM(J117&amp;"")," ",REPT(" ",60)),60)),코드표!$F$2:$F$101,0))),IF(RIGHT(LEFT(TRIM(J117&amp;""),FIND(" ",TRIM(J117&amp;""))-1),2)="병원",LEFT(TRIM(J117&amp;""),FIND(" ",TRIM(J117&amp;""))-1),LEFT(TRIM(J117&amp;""),FIND(" ",TRIM(J117&amp;""))-1)&amp;"병원")&amp;" "&amp;INDEX(코드표!$G$2:$G$101,MATCH(TRIM(RIGHT(SUBSTITUTE(TRIM(J117&amp;"")," ",REPT(" ",60)),60)),코드표!$F$2:$F$101,0)),"⚠"&amp;TRIM(J117&amp;""))),"⚠"&amp;TRIM(J117&amp;""))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",TRIM(E118&amp;""))),COUNTIF(코드표!$A$2:$A$21,IF(RIGHT(LEFT(TRIM(E118&amp;""),FIND(" ",TRIM(E118&amp;""))-1),2)="병원",LEFT(TRIM(E118&amp;""),FIND(" ",TRIM(E118&amp;""))-1),LEFT(TRIM(E118&amp;""),FIND(" ",TRIM(E118&amp;""))-1)&amp;"병원"))&gt;0,ISNUMBER(MATCH(TRIM(RIGHT(SUBSTITUTE(TRIM(E118&amp;"")," ",REPT(" ",60)),60)),코드표!$F$2:$F$101,0))),IF(RIGHT(LEFT(TRIM(E118&amp;""),FIND(" ",TRIM(E118&amp;""))-1),2)="병원",LEFT(TRIM(E118&amp;""),FIND(" ",TRIM(E118&amp;""))-1),LEFT(TRIM(E118&amp;""),FIND(" ",TRIM(E118&amp;""))-1)&amp;"병원")&amp;" "&amp;INDEX(코드표!$G$2:$G$101,MATCH(TRIM(RIGHT(SUBSTITUTE(TRIM(E118&amp;"")," ",REPT(" ",60)),60)),코드표!$F$2:$F$101,0)),"⚠"&amp;TRIM(E118&amp;""))),"⚠"&amp;TRIM(E118&amp;""))</f>
        <v/>
      </c>
      <c r="N118" s="10">
        <f>IFERROR(IF(TRIM(F118&amp;"")="","",IF(AND(ISNUMBER(FIND(" ",TRIM(F118&amp;""))),COUNTIF(코드표!$A$2:$A$21,IF(RIGHT(LEFT(TRIM(F118&amp;""),FIND(" ",TRIM(F118&amp;""))-1),2)="병원",LEFT(TRIM(F118&amp;""),FIND(" ",TRIM(F118&amp;""))-1),LEFT(TRIM(F118&amp;""),FIND(" ",TRIM(F118&amp;""))-1)&amp;"병원"))&gt;0,ISNUMBER(MATCH(TRIM(RIGHT(SUBSTITUTE(TRIM(F118&amp;"")," ",REPT(" ",60)),60)),코드표!$F$2:$F$101,0))),IF(RIGHT(LEFT(TRIM(F118&amp;""),FIND(" ",TRIM(F118&amp;""))-1),2)="병원",LEFT(TRIM(F118&amp;""),FIND(" ",TRIM(F118&amp;""))-1),LEFT(TRIM(F118&amp;""),FIND(" ",TRIM(F118&amp;""))-1)&amp;"병원")&amp;" "&amp;INDEX(코드표!$G$2:$G$101,MATCH(TRIM(RIGHT(SUBSTITUTE(TRIM(F118&amp;"")," ",REPT(" ",60)),60)),코드표!$F$2:$F$101,0)),"⚠"&amp;TRIM(F118&amp;""))),"⚠"&amp;TRIM(F118&amp;""))</f>
        <v/>
      </c>
      <c r="O118" s="10">
        <f>IFERROR(IF(TRIM(G118&amp;"")="","",IF(AND(ISNUMBER(FIND(" ",TRIM(G118&amp;""))),COUNTIF(코드표!$A$2:$A$21,IF(RIGHT(LEFT(TRIM(G118&amp;""),FIND(" ",TRIM(G118&amp;""))-1),2)="병원",LEFT(TRIM(G118&amp;""),FIND(" ",TRIM(G118&amp;""))-1),LEFT(TRIM(G118&amp;""),FIND(" ",TRIM(G118&amp;""))-1)&amp;"병원"))&gt;0,ISNUMBER(MATCH(TRIM(RIGHT(SUBSTITUTE(TRIM(G118&amp;"")," ",REPT(" ",60)),60)),코드표!$F$2:$F$101,0))),IF(RIGHT(LEFT(TRIM(G118&amp;""),FIND(" ",TRIM(G118&amp;""))-1),2)="병원",LEFT(TRIM(G118&amp;""),FIND(" ",TRIM(G118&amp;""))-1),LEFT(TRIM(G118&amp;""),FIND(" ",TRIM(G118&amp;""))-1)&amp;"병원")&amp;" "&amp;INDEX(코드표!$G$2:$G$101,MATCH(TRIM(RIGHT(SUBSTITUTE(TRIM(G118&amp;"")," ",REPT(" ",60)),60)),코드표!$F$2:$F$101,0)),"⚠"&amp;TRIM(G118&amp;""))),"⚠"&amp;TRIM(G118&amp;""))</f>
        <v/>
      </c>
      <c r="P118" s="10">
        <f>IFERROR(IF(TRIM(H118&amp;"")="","",IF(AND(ISNUMBER(FIND(" ",TRIM(H118&amp;""))),COUNTIF(코드표!$A$2:$A$21,IF(RIGHT(LEFT(TRIM(H118&amp;""),FIND(" ",TRIM(H118&amp;""))-1),2)="병원",LEFT(TRIM(H118&amp;""),FIND(" ",TRIM(H118&amp;""))-1),LEFT(TRIM(H118&amp;""),FIND(" ",TRIM(H118&amp;""))-1)&amp;"병원"))&gt;0,ISNUMBER(MATCH(TRIM(RIGHT(SUBSTITUTE(TRIM(H118&amp;"")," ",REPT(" ",60)),60)),코드표!$F$2:$F$101,0))),IF(RIGHT(LEFT(TRIM(H118&amp;""),FIND(" ",TRIM(H118&amp;""))-1),2)="병원",LEFT(TRIM(H118&amp;""),FIND(" ",TRIM(H118&amp;""))-1),LEFT(TRIM(H118&amp;""),FIND(" ",TRIM(H118&amp;""))-1)&amp;"병원")&amp;" "&amp;INDEX(코드표!$G$2:$G$101,MATCH(TRIM(RIGHT(SUBSTITUTE(TRIM(H118&amp;"")," ",REPT(" ",60)),60)),코드표!$F$2:$F$101,0)),"⚠"&amp;TRIM(H118&amp;""))),"⚠"&amp;TRIM(H118&amp;""))</f>
        <v/>
      </c>
      <c r="Q118" s="10">
        <f>IFERROR(IF(TRIM(I118&amp;"")="","",IF(AND(ISNUMBER(FIND(" ",TRIM(I118&amp;""))),COUNTIF(코드표!$A$2:$A$21,IF(RIGHT(LEFT(TRIM(I118&amp;""),FIND(" ",TRIM(I118&amp;""))-1),2)="병원",LEFT(TRIM(I118&amp;""),FIND(" ",TRIM(I118&amp;""))-1),LEFT(TRIM(I118&amp;""),FIND(" ",TRIM(I118&amp;""))-1)&amp;"병원"))&gt;0,ISNUMBER(MATCH(TRIM(RIGHT(SUBSTITUTE(TRIM(I118&amp;"")," ",REPT(" ",60)),60)),코드표!$F$2:$F$101,0))),IF(RIGHT(LEFT(TRIM(I118&amp;""),FIND(" ",TRIM(I118&amp;""))-1),2)="병원",LEFT(TRIM(I118&amp;""),FIND(" ",TRIM(I118&amp;""))-1),LEFT(TRIM(I118&amp;""),FIND(" ",TRIM(I118&amp;""))-1)&amp;"병원")&amp;" "&amp;INDEX(코드표!$G$2:$G$101,MATCH(TRIM(RIGHT(SUBSTITUTE(TRIM(I118&amp;"")," ",REPT(" ",60)),60)),코드표!$F$2:$F$101,0)),"⚠"&amp;TRIM(I118&amp;""))),"⚠"&amp;TRIM(I118&amp;""))</f>
        <v/>
      </c>
      <c r="R118" s="10">
        <f>IFERROR(IF(TRIM(J118&amp;"")="","",IF(AND(ISNUMBER(FIND(" ",TRIM(J118&amp;""))),COUNTIF(코드표!$A$2:$A$21,IF(RIGHT(LEFT(TRIM(J118&amp;""),FIND(" ",TRIM(J118&amp;""))-1),2)="병원",LEFT(TRIM(J118&amp;""),FIND(" ",TRIM(J118&amp;""))-1),LEFT(TRIM(J118&amp;""),FIND(" ",TRIM(J118&amp;""))-1)&amp;"병원"))&gt;0,ISNUMBER(MATCH(TRIM(RIGHT(SUBSTITUTE(TRIM(J118&amp;"")," ",REPT(" ",60)),60)),코드표!$F$2:$F$101,0))),IF(RIGHT(LEFT(TRIM(J118&amp;""),FIND(" ",TRIM(J118&amp;""))-1),2)="병원",LEFT(TRIM(J118&amp;""),FIND(" ",TRIM(J118&amp;""))-1),LEFT(TRIM(J118&amp;""),FIND(" ",TRIM(J118&amp;""))-1)&amp;"병원")&amp;" "&amp;INDEX(코드표!$G$2:$G$101,MATCH(TRIM(RIGHT(SUBSTITUTE(TRIM(J118&amp;"")," ",REPT(" ",60)),60)),코드표!$F$2:$F$101,0)),"⚠"&amp;TRIM(J118&amp;""))),"⚠"&amp;TRIM(J118&amp;""))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",TRIM(E119&amp;""))),COUNTIF(코드표!$A$2:$A$21,IF(RIGHT(LEFT(TRIM(E119&amp;""),FIND(" ",TRIM(E119&amp;""))-1),2)="병원",LEFT(TRIM(E119&amp;""),FIND(" ",TRIM(E119&amp;""))-1),LEFT(TRIM(E119&amp;""),FIND(" ",TRIM(E119&amp;""))-1)&amp;"병원"))&gt;0,ISNUMBER(MATCH(TRIM(RIGHT(SUBSTITUTE(TRIM(E119&amp;"")," ",REPT(" ",60)),60)),코드표!$F$2:$F$101,0))),IF(RIGHT(LEFT(TRIM(E119&amp;""),FIND(" ",TRIM(E119&amp;""))-1),2)="병원",LEFT(TRIM(E119&amp;""),FIND(" ",TRIM(E119&amp;""))-1),LEFT(TRIM(E119&amp;""),FIND(" ",TRIM(E119&amp;""))-1)&amp;"병원")&amp;" "&amp;INDEX(코드표!$G$2:$G$101,MATCH(TRIM(RIGHT(SUBSTITUTE(TRIM(E119&amp;"")," ",REPT(" ",60)),60)),코드표!$F$2:$F$101,0)),"⚠"&amp;TRIM(E119&amp;""))),"⚠"&amp;TRIM(E119&amp;""))</f>
        <v/>
      </c>
      <c r="N119" s="10">
        <f>IFERROR(IF(TRIM(F119&amp;"")="","",IF(AND(ISNUMBER(FIND(" ",TRIM(F119&amp;""))),COUNTIF(코드표!$A$2:$A$21,IF(RIGHT(LEFT(TRIM(F119&amp;""),FIND(" ",TRIM(F119&amp;""))-1),2)="병원",LEFT(TRIM(F119&amp;""),FIND(" ",TRIM(F119&amp;""))-1),LEFT(TRIM(F119&amp;""),FIND(" ",TRIM(F119&amp;""))-1)&amp;"병원"))&gt;0,ISNUMBER(MATCH(TRIM(RIGHT(SUBSTITUTE(TRIM(F119&amp;"")," ",REPT(" ",60)),60)),코드표!$F$2:$F$101,0))),IF(RIGHT(LEFT(TRIM(F119&amp;""),FIND(" ",TRIM(F119&amp;""))-1),2)="병원",LEFT(TRIM(F119&amp;""),FIND(" ",TRIM(F119&amp;""))-1),LEFT(TRIM(F119&amp;""),FIND(" ",TRIM(F119&amp;""))-1)&amp;"병원")&amp;" "&amp;INDEX(코드표!$G$2:$G$101,MATCH(TRIM(RIGHT(SUBSTITUTE(TRIM(F119&amp;"")," ",REPT(" ",60)),60)),코드표!$F$2:$F$101,0)),"⚠"&amp;TRIM(F119&amp;""))),"⚠"&amp;TRIM(F119&amp;""))</f>
        <v/>
      </c>
      <c r="O119" s="10">
        <f>IFERROR(IF(TRIM(G119&amp;"")="","",IF(AND(ISNUMBER(FIND(" ",TRIM(G119&amp;""))),COUNTIF(코드표!$A$2:$A$21,IF(RIGHT(LEFT(TRIM(G119&amp;""),FIND(" ",TRIM(G119&amp;""))-1),2)="병원",LEFT(TRIM(G119&amp;""),FIND(" ",TRIM(G119&amp;""))-1),LEFT(TRIM(G119&amp;""),FIND(" ",TRIM(G119&amp;""))-1)&amp;"병원"))&gt;0,ISNUMBER(MATCH(TRIM(RIGHT(SUBSTITUTE(TRIM(G119&amp;"")," ",REPT(" ",60)),60)),코드표!$F$2:$F$101,0))),IF(RIGHT(LEFT(TRIM(G119&amp;""),FIND(" ",TRIM(G119&amp;""))-1),2)="병원",LEFT(TRIM(G119&amp;""),FIND(" ",TRIM(G119&amp;""))-1),LEFT(TRIM(G119&amp;""),FIND(" ",TRIM(G119&amp;""))-1)&amp;"병원")&amp;" "&amp;INDEX(코드표!$G$2:$G$101,MATCH(TRIM(RIGHT(SUBSTITUTE(TRIM(G119&amp;"")," ",REPT(" ",60)),60)),코드표!$F$2:$F$101,0)),"⚠"&amp;TRIM(G119&amp;""))),"⚠"&amp;TRIM(G119&amp;""))</f>
        <v/>
      </c>
      <c r="P119" s="10">
        <f>IFERROR(IF(TRIM(H119&amp;"")="","",IF(AND(ISNUMBER(FIND(" ",TRIM(H119&amp;""))),COUNTIF(코드표!$A$2:$A$21,IF(RIGHT(LEFT(TRIM(H119&amp;""),FIND(" ",TRIM(H119&amp;""))-1),2)="병원",LEFT(TRIM(H119&amp;""),FIND(" ",TRIM(H119&amp;""))-1),LEFT(TRIM(H119&amp;""),FIND(" ",TRIM(H119&amp;""))-1)&amp;"병원"))&gt;0,ISNUMBER(MATCH(TRIM(RIGHT(SUBSTITUTE(TRIM(H119&amp;"")," ",REPT(" ",60)),60)),코드표!$F$2:$F$101,0))),IF(RIGHT(LEFT(TRIM(H119&amp;""),FIND(" ",TRIM(H119&amp;""))-1),2)="병원",LEFT(TRIM(H119&amp;""),FIND(" ",TRIM(H119&amp;""))-1),LEFT(TRIM(H119&amp;""),FIND(" ",TRIM(H119&amp;""))-1)&amp;"병원")&amp;" "&amp;INDEX(코드표!$G$2:$G$101,MATCH(TRIM(RIGHT(SUBSTITUTE(TRIM(H119&amp;"")," ",REPT(" ",60)),60)),코드표!$F$2:$F$101,0)),"⚠"&amp;TRIM(H119&amp;""))),"⚠"&amp;TRIM(H119&amp;""))</f>
        <v/>
      </c>
      <c r="Q119" s="10">
        <f>IFERROR(IF(TRIM(I119&amp;"")="","",IF(AND(ISNUMBER(FIND(" ",TRIM(I119&amp;""))),COUNTIF(코드표!$A$2:$A$21,IF(RIGHT(LEFT(TRIM(I119&amp;""),FIND(" ",TRIM(I119&amp;""))-1),2)="병원",LEFT(TRIM(I119&amp;""),FIND(" ",TRIM(I119&amp;""))-1),LEFT(TRIM(I119&amp;""),FIND(" ",TRIM(I119&amp;""))-1)&amp;"병원"))&gt;0,ISNUMBER(MATCH(TRIM(RIGHT(SUBSTITUTE(TRIM(I119&amp;"")," ",REPT(" ",60)),60)),코드표!$F$2:$F$101,0))),IF(RIGHT(LEFT(TRIM(I119&amp;""),FIND(" ",TRIM(I119&amp;""))-1),2)="병원",LEFT(TRIM(I119&amp;""),FIND(" ",TRIM(I119&amp;""))-1),LEFT(TRIM(I119&amp;""),FIND(" ",TRIM(I119&amp;""))-1)&amp;"병원")&amp;" "&amp;INDEX(코드표!$G$2:$G$101,MATCH(TRIM(RIGHT(SUBSTITUTE(TRIM(I119&amp;"")," ",REPT(" ",60)),60)),코드표!$F$2:$F$101,0)),"⚠"&amp;TRIM(I119&amp;""))),"⚠"&amp;TRIM(I119&amp;""))</f>
        <v/>
      </c>
      <c r="R119" s="10">
        <f>IFERROR(IF(TRIM(J119&amp;"")="","",IF(AND(ISNUMBER(FIND(" ",TRIM(J119&amp;""))),COUNTIF(코드표!$A$2:$A$21,IF(RIGHT(LEFT(TRIM(J119&amp;""),FIND(" ",TRIM(J119&amp;""))-1),2)="병원",LEFT(TRIM(J119&amp;""),FIND(" ",TRIM(J119&amp;""))-1),LEFT(TRIM(J119&amp;""),FIND(" ",TRIM(J119&amp;""))-1)&amp;"병원"))&gt;0,ISNUMBER(MATCH(TRIM(RIGHT(SUBSTITUTE(TRIM(J119&amp;"")," ",REPT(" ",60)),60)),코드표!$F$2:$F$101,0))),IF(RIGHT(LEFT(TRIM(J119&amp;""),FIND(" ",TRIM(J119&amp;""))-1),2)="병원",LEFT(TRIM(J119&amp;""),FIND(" ",TRIM(J119&amp;""))-1),LEFT(TRIM(J119&amp;""),FIND(" ",TRIM(J119&amp;""))-1)&amp;"병원")&amp;" "&amp;INDEX(코드표!$G$2:$G$101,MATCH(TRIM(RIGHT(SUBSTITUTE(TRIM(J119&amp;"")," ",REPT(" ",60)),60)),코드표!$F$2:$F$101,0)),"⚠"&amp;TRIM(J119&amp;""))),"⚠"&amp;TRIM(J119&amp;""))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",TRIM(E120&amp;""))),COUNTIF(코드표!$A$2:$A$21,IF(RIGHT(LEFT(TRIM(E120&amp;""),FIND(" ",TRIM(E120&amp;""))-1),2)="병원",LEFT(TRIM(E120&amp;""),FIND(" ",TRIM(E120&amp;""))-1),LEFT(TRIM(E120&amp;""),FIND(" ",TRIM(E120&amp;""))-1)&amp;"병원"))&gt;0,ISNUMBER(MATCH(TRIM(RIGHT(SUBSTITUTE(TRIM(E120&amp;"")," ",REPT(" ",60)),60)),코드표!$F$2:$F$101,0))),IF(RIGHT(LEFT(TRIM(E120&amp;""),FIND(" ",TRIM(E120&amp;""))-1),2)="병원",LEFT(TRIM(E120&amp;""),FIND(" ",TRIM(E120&amp;""))-1),LEFT(TRIM(E120&amp;""),FIND(" ",TRIM(E120&amp;""))-1)&amp;"병원")&amp;" "&amp;INDEX(코드표!$G$2:$G$101,MATCH(TRIM(RIGHT(SUBSTITUTE(TRIM(E120&amp;"")," ",REPT(" ",60)),60)),코드표!$F$2:$F$101,0)),"⚠"&amp;TRIM(E120&amp;""))),"⚠"&amp;TRIM(E120&amp;""))</f>
        <v/>
      </c>
      <c r="N120" s="10">
        <f>IFERROR(IF(TRIM(F120&amp;"")="","",IF(AND(ISNUMBER(FIND(" ",TRIM(F120&amp;""))),COUNTIF(코드표!$A$2:$A$21,IF(RIGHT(LEFT(TRIM(F120&amp;""),FIND(" ",TRIM(F120&amp;""))-1),2)="병원",LEFT(TRIM(F120&amp;""),FIND(" ",TRIM(F120&amp;""))-1),LEFT(TRIM(F120&amp;""),FIND(" ",TRIM(F120&amp;""))-1)&amp;"병원"))&gt;0,ISNUMBER(MATCH(TRIM(RIGHT(SUBSTITUTE(TRIM(F120&amp;"")," ",REPT(" ",60)),60)),코드표!$F$2:$F$101,0))),IF(RIGHT(LEFT(TRIM(F120&amp;""),FIND(" ",TRIM(F120&amp;""))-1),2)="병원",LEFT(TRIM(F120&amp;""),FIND(" ",TRIM(F120&amp;""))-1),LEFT(TRIM(F120&amp;""),FIND(" ",TRIM(F120&amp;""))-1)&amp;"병원")&amp;" "&amp;INDEX(코드표!$G$2:$G$101,MATCH(TRIM(RIGHT(SUBSTITUTE(TRIM(F120&amp;"")," ",REPT(" ",60)),60)),코드표!$F$2:$F$101,0)),"⚠"&amp;TRIM(F120&amp;""))),"⚠"&amp;TRIM(F120&amp;""))</f>
        <v/>
      </c>
      <c r="O120" s="10">
        <f>IFERROR(IF(TRIM(G120&amp;"")="","",IF(AND(ISNUMBER(FIND(" ",TRIM(G120&amp;""))),COUNTIF(코드표!$A$2:$A$21,IF(RIGHT(LEFT(TRIM(G120&amp;""),FIND(" ",TRIM(G120&amp;""))-1),2)="병원",LEFT(TRIM(G120&amp;""),FIND(" ",TRIM(G120&amp;""))-1),LEFT(TRIM(G120&amp;""),FIND(" ",TRIM(G120&amp;""))-1)&amp;"병원"))&gt;0,ISNUMBER(MATCH(TRIM(RIGHT(SUBSTITUTE(TRIM(G120&amp;"")," ",REPT(" ",60)),60)),코드표!$F$2:$F$101,0))),IF(RIGHT(LEFT(TRIM(G120&amp;""),FIND(" ",TRIM(G120&amp;""))-1),2)="병원",LEFT(TRIM(G120&amp;""),FIND(" ",TRIM(G120&amp;""))-1),LEFT(TRIM(G120&amp;""),FIND(" ",TRIM(G120&amp;""))-1)&amp;"병원")&amp;" "&amp;INDEX(코드표!$G$2:$G$101,MATCH(TRIM(RIGHT(SUBSTITUTE(TRIM(G120&amp;"")," ",REPT(" ",60)),60)),코드표!$F$2:$F$101,0)),"⚠"&amp;TRIM(G120&amp;""))),"⚠"&amp;TRIM(G120&amp;""))</f>
        <v/>
      </c>
      <c r="P120" s="10">
        <f>IFERROR(IF(TRIM(H120&amp;"")="","",IF(AND(ISNUMBER(FIND(" ",TRIM(H120&amp;""))),COUNTIF(코드표!$A$2:$A$21,IF(RIGHT(LEFT(TRIM(H120&amp;""),FIND(" ",TRIM(H120&amp;""))-1),2)="병원",LEFT(TRIM(H120&amp;""),FIND(" ",TRIM(H120&amp;""))-1),LEFT(TRIM(H120&amp;""),FIND(" ",TRIM(H120&amp;""))-1)&amp;"병원"))&gt;0,ISNUMBER(MATCH(TRIM(RIGHT(SUBSTITUTE(TRIM(H120&amp;"")," ",REPT(" ",60)),60)),코드표!$F$2:$F$101,0))),IF(RIGHT(LEFT(TRIM(H120&amp;""),FIND(" ",TRIM(H120&amp;""))-1),2)="병원",LEFT(TRIM(H120&amp;""),FIND(" ",TRIM(H120&amp;""))-1),LEFT(TRIM(H120&amp;""),FIND(" ",TRIM(H120&amp;""))-1)&amp;"병원")&amp;" "&amp;INDEX(코드표!$G$2:$G$101,MATCH(TRIM(RIGHT(SUBSTITUTE(TRIM(H120&amp;"")," ",REPT(" ",60)),60)),코드표!$F$2:$F$101,0)),"⚠"&amp;TRIM(H120&amp;""))),"⚠"&amp;TRIM(H120&amp;""))</f>
        <v/>
      </c>
      <c r="Q120" s="10">
        <f>IFERROR(IF(TRIM(I120&amp;"")="","",IF(AND(ISNUMBER(FIND(" ",TRIM(I120&amp;""))),COUNTIF(코드표!$A$2:$A$21,IF(RIGHT(LEFT(TRIM(I120&amp;""),FIND(" ",TRIM(I120&amp;""))-1),2)="병원",LEFT(TRIM(I120&amp;""),FIND(" ",TRIM(I120&amp;""))-1),LEFT(TRIM(I120&amp;""),FIND(" ",TRIM(I120&amp;""))-1)&amp;"병원"))&gt;0,ISNUMBER(MATCH(TRIM(RIGHT(SUBSTITUTE(TRIM(I120&amp;"")," ",REPT(" ",60)),60)),코드표!$F$2:$F$101,0))),IF(RIGHT(LEFT(TRIM(I120&amp;""),FIND(" ",TRIM(I120&amp;""))-1),2)="병원",LEFT(TRIM(I120&amp;""),FIND(" ",TRIM(I120&amp;""))-1),LEFT(TRIM(I120&amp;""),FIND(" ",TRIM(I120&amp;""))-1)&amp;"병원")&amp;" "&amp;INDEX(코드표!$G$2:$G$101,MATCH(TRIM(RIGHT(SUBSTITUTE(TRIM(I120&amp;"")," ",REPT(" ",60)),60)),코드표!$F$2:$F$101,0)),"⚠"&amp;TRIM(I120&amp;""))),"⚠"&amp;TRIM(I120&amp;""))</f>
        <v/>
      </c>
      <c r="R120" s="10">
        <f>IFERROR(IF(TRIM(J120&amp;"")="","",IF(AND(ISNUMBER(FIND(" ",TRIM(J120&amp;""))),COUNTIF(코드표!$A$2:$A$21,IF(RIGHT(LEFT(TRIM(J120&amp;""),FIND(" ",TRIM(J120&amp;""))-1),2)="병원",LEFT(TRIM(J120&amp;""),FIND(" ",TRIM(J120&amp;""))-1),LEFT(TRIM(J120&amp;""),FIND(" ",TRIM(J120&amp;""))-1)&amp;"병원"))&gt;0,ISNUMBER(MATCH(TRIM(RIGHT(SUBSTITUTE(TRIM(J120&amp;"")," ",REPT(" ",60)),60)),코드표!$F$2:$F$101,0))),IF(RIGHT(LEFT(TRIM(J120&amp;""),FIND(" ",TRIM(J120&amp;""))-1),2)="병원",LEFT(TRIM(J120&amp;""),FIND(" ",TRIM(J120&amp;""))-1),LEFT(TRIM(J120&amp;""),FIND(" ",TRIM(J120&amp;""))-1)&amp;"병원")&amp;" "&amp;INDEX(코드표!$G$2:$G$101,MATCH(TRIM(RIGHT(SUBSTITUTE(TRIM(J120&amp;"")," ",REPT(" ",60)),60)),코드표!$F$2:$F$101,0)),"⚠"&amp;TRIM(J120&amp;""))),"⚠"&amp;TRIM(J120&amp;""))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",TRIM(E121&amp;""))),COUNTIF(코드표!$A$2:$A$21,IF(RIGHT(LEFT(TRIM(E121&amp;""),FIND(" ",TRIM(E121&amp;""))-1),2)="병원",LEFT(TRIM(E121&amp;""),FIND(" ",TRIM(E121&amp;""))-1),LEFT(TRIM(E121&amp;""),FIND(" ",TRIM(E121&amp;""))-1)&amp;"병원"))&gt;0,ISNUMBER(MATCH(TRIM(RIGHT(SUBSTITUTE(TRIM(E121&amp;"")," ",REPT(" ",60)),60)),코드표!$F$2:$F$101,0))),IF(RIGHT(LEFT(TRIM(E121&amp;""),FIND(" ",TRIM(E121&amp;""))-1),2)="병원",LEFT(TRIM(E121&amp;""),FIND(" ",TRIM(E121&amp;""))-1),LEFT(TRIM(E121&amp;""),FIND(" ",TRIM(E121&amp;""))-1)&amp;"병원")&amp;" "&amp;INDEX(코드표!$G$2:$G$101,MATCH(TRIM(RIGHT(SUBSTITUTE(TRIM(E121&amp;"")," ",REPT(" ",60)),60)),코드표!$F$2:$F$101,0)),"⚠"&amp;TRIM(E121&amp;""))),"⚠"&amp;TRIM(E121&amp;""))</f>
        <v/>
      </c>
      <c r="N121" s="10">
        <f>IFERROR(IF(TRIM(F121&amp;"")="","",IF(AND(ISNUMBER(FIND(" ",TRIM(F121&amp;""))),COUNTIF(코드표!$A$2:$A$21,IF(RIGHT(LEFT(TRIM(F121&amp;""),FIND(" ",TRIM(F121&amp;""))-1),2)="병원",LEFT(TRIM(F121&amp;""),FIND(" ",TRIM(F121&amp;""))-1),LEFT(TRIM(F121&amp;""),FIND(" ",TRIM(F121&amp;""))-1)&amp;"병원"))&gt;0,ISNUMBER(MATCH(TRIM(RIGHT(SUBSTITUTE(TRIM(F121&amp;"")," ",REPT(" ",60)),60)),코드표!$F$2:$F$101,0))),IF(RIGHT(LEFT(TRIM(F121&amp;""),FIND(" ",TRIM(F121&amp;""))-1),2)="병원",LEFT(TRIM(F121&amp;""),FIND(" ",TRIM(F121&amp;""))-1),LEFT(TRIM(F121&amp;""),FIND(" ",TRIM(F121&amp;""))-1)&amp;"병원")&amp;" "&amp;INDEX(코드표!$G$2:$G$101,MATCH(TRIM(RIGHT(SUBSTITUTE(TRIM(F121&amp;"")," ",REPT(" ",60)),60)),코드표!$F$2:$F$101,0)),"⚠"&amp;TRIM(F121&amp;""))),"⚠"&amp;TRIM(F121&amp;""))</f>
        <v/>
      </c>
      <c r="O121" s="10">
        <f>IFERROR(IF(TRIM(G121&amp;"")="","",IF(AND(ISNUMBER(FIND(" ",TRIM(G121&amp;""))),COUNTIF(코드표!$A$2:$A$21,IF(RIGHT(LEFT(TRIM(G121&amp;""),FIND(" ",TRIM(G121&amp;""))-1),2)="병원",LEFT(TRIM(G121&amp;""),FIND(" ",TRIM(G121&amp;""))-1),LEFT(TRIM(G121&amp;""),FIND(" ",TRIM(G121&amp;""))-1)&amp;"병원"))&gt;0,ISNUMBER(MATCH(TRIM(RIGHT(SUBSTITUTE(TRIM(G121&amp;"")," ",REPT(" ",60)),60)),코드표!$F$2:$F$101,0))),IF(RIGHT(LEFT(TRIM(G121&amp;""),FIND(" ",TRIM(G121&amp;""))-1),2)="병원",LEFT(TRIM(G121&amp;""),FIND(" ",TRIM(G121&amp;""))-1),LEFT(TRIM(G121&amp;""),FIND(" ",TRIM(G121&amp;""))-1)&amp;"병원")&amp;" "&amp;INDEX(코드표!$G$2:$G$101,MATCH(TRIM(RIGHT(SUBSTITUTE(TRIM(G121&amp;"")," ",REPT(" ",60)),60)),코드표!$F$2:$F$101,0)),"⚠"&amp;TRIM(G121&amp;""))),"⚠"&amp;TRIM(G121&amp;""))</f>
        <v/>
      </c>
      <c r="P121" s="10">
        <f>IFERROR(IF(TRIM(H121&amp;"")="","",IF(AND(ISNUMBER(FIND(" ",TRIM(H121&amp;""))),COUNTIF(코드표!$A$2:$A$21,IF(RIGHT(LEFT(TRIM(H121&amp;""),FIND(" ",TRIM(H121&amp;""))-1),2)="병원",LEFT(TRIM(H121&amp;""),FIND(" ",TRIM(H121&amp;""))-1),LEFT(TRIM(H121&amp;""),FIND(" ",TRIM(H121&amp;""))-1)&amp;"병원"))&gt;0,ISNUMBER(MATCH(TRIM(RIGHT(SUBSTITUTE(TRIM(H121&amp;"")," ",REPT(" ",60)),60)),코드표!$F$2:$F$101,0))),IF(RIGHT(LEFT(TRIM(H121&amp;""),FIND(" ",TRIM(H121&amp;""))-1),2)="병원",LEFT(TRIM(H121&amp;""),FIND(" ",TRIM(H121&amp;""))-1),LEFT(TRIM(H121&amp;""),FIND(" ",TRIM(H121&amp;""))-1)&amp;"병원")&amp;" "&amp;INDEX(코드표!$G$2:$G$101,MATCH(TRIM(RIGHT(SUBSTITUTE(TRIM(H121&amp;"")," ",REPT(" ",60)),60)),코드표!$F$2:$F$101,0)),"⚠"&amp;TRIM(H121&amp;""))),"⚠"&amp;TRIM(H121&amp;""))</f>
        <v/>
      </c>
      <c r="Q121" s="10">
        <f>IFERROR(IF(TRIM(I121&amp;"")="","",IF(AND(ISNUMBER(FIND(" ",TRIM(I121&amp;""))),COUNTIF(코드표!$A$2:$A$21,IF(RIGHT(LEFT(TRIM(I121&amp;""),FIND(" ",TRIM(I121&amp;""))-1),2)="병원",LEFT(TRIM(I121&amp;""),FIND(" ",TRIM(I121&amp;""))-1),LEFT(TRIM(I121&amp;""),FIND(" ",TRIM(I121&amp;""))-1)&amp;"병원"))&gt;0,ISNUMBER(MATCH(TRIM(RIGHT(SUBSTITUTE(TRIM(I121&amp;"")," ",REPT(" ",60)),60)),코드표!$F$2:$F$101,0))),IF(RIGHT(LEFT(TRIM(I121&amp;""),FIND(" ",TRIM(I121&amp;""))-1),2)="병원",LEFT(TRIM(I121&amp;""),FIND(" ",TRIM(I121&amp;""))-1),LEFT(TRIM(I121&amp;""),FIND(" ",TRIM(I121&amp;""))-1)&amp;"병원")&amp;" "&amp;INDEX(코드표!$G$2:$G$101,MATCH(TRIM(RIGHT(SUBSTITUTE(TRIM(I121&amp;"")," ",REPT(" ",60)),60)),코드표!$F$2:$F$101,0)),"⚠"&amp;TRIM(I121&amp;""))),"⚠"&amp;TRIM(I121&amp;""))</f>
        <v/>
      </c>
      <c r="R121" s="10">
        <f>IFERROR(IF(TRIM(J121&amp;"")="","",IF(AND(ISNUMBER(FIND(" ",TRIM(J121&amp;""))),COUNTIF(코드표!$A$2:$A$21,IF(RIGHT(LEFT(TRIM(J121&amp;""),FIND(" ",TRIM(J121&amp;""))-1),2)="병원",LEFT(TRIM(J121&amp;""),FIND(" ",TRIM(J121&amp;""))-1),LEFT(TRIM(J121&amp;""),FIND(" ",TRIM(J121&amp;""))-1)&amp;"병원"))&gt;0,ISNUMBER(MATCH(TRIM(RIGHT(SUBSTITUTE(TRIM(J121&amp;"")," ",REPT(" ",60)),60)),코드표!$F$2:$F$101,0))),IF(RIGHT(LEFT(TRIM(J121&amp;""),FIND(" ",TRIM(J121&amp;""))-1),2)="병원",LEFT(TRIM(J121&amp;""),FIND(" ",TRIM(J121&amp;""))-1),LEFT(TRIM(J121&amp;""),FIND(" ",TRIM(J121&amp;""))-1)&amp;"병원")&amp;" "&amp;INDEX(코드표!$G$2:$G$101,MATCH(TRIM(RIGHT(SUBSTITUTE(TRIM(J121&amp;"")," ",REPT(" ",60)),60)),코드표!$F$2:$F$101,0)),"⚠"&amp;TRIM(J121&amp;""))),"⚠"&amp;TRIM(J121&amp;""))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",TRIM(E122&amp;""))),COUNTIF(코드표!$A$2:$A$21,IF(RIGHT(LEFT(TRIM(E122&amp;""),FIND(" ",TRIM(E122&amp;""))-1),2)="병원",LEFT(TRIM(E122&amp;""),FIND(" ",TRIM(E122&amp;""))-1),LEFT(TRIM(E122&amp;""),FIND(" ",TRIM(E122&amp;""))-1)&amp;"병원"))&gt;0,ISNUMBER(MATCH(TRIM(RIGHT(SUBSTITUTE(TRIM(E122&amp;"")," ",REPT(" ",60)),60)),코드표!$F$2:$F$101,0))),IF(RIGHT(LEFT(TRIM(E122&amp;""),FIND(" ",TRIM(E122&amp;""))-1),2)="병원",LEFT(TRIM(E122&amp;""),FIND(" ",TRIM(E122&amp;""))-1),LEFT(TRIM(E122&amp;""),FIND(" ",TRIM(E122&amp;""))-1)&amp;"병원")&amp;" "&amp;INDEX(코드표!$G$2:$G$101,MATCH(TRIM(RIGHT(SUBSTITUTE(TRIM(E122&amp;"")," ",REPT(" ",60)),60)),코드표!$F$2:$F$101,0)),"⚠"&amp;TRIM(E122&amp;""))),"⚠"&amp;TRIM(E122&amp;""))</f>
        <v/>
      </c>
      <c r="N122" s="10">
        <f>IFERROR(IF(TRIM(F122&amp;"")="","",IF(AND(ISNUMBER(FIND(" ",TRIM(F122&amp;""))),COUNTIF(코드표!$A$2:$A$21,IF(RIGHT(LEFT(TRIM(F122&amp;""),FIND(" ",TRIM(F122&amp;""))-1),2)="병원",LEFT(TRIM(F122&amp;""),FIND(" ",TRIM(F122&amp;""))-1),LEFT(TRIM(F122&amp;""),FIND(" ",TRIM(F122&amp;""))-1)&amp;"병원"))&gt;0,ISNUMBER(MATCH(TRIM(RIGHT(SUBSTITUTE(TRIM(F122&amp;"")," ",REPT(" ",60)),60)),코드표!$F$2:$F$101,0))),IF(RIGHT(LEFT(TRIM(F122&amp;""),FIND(" ",TRIM(F122&amp;""))-1),2)="병원",LEFT(TRIM(F122&amp;""),FIND(" ",TRIM(F122&amp;""))-1),LEFT(TRIM(F122&amp;""),FIND(" ",TRIM(F122&amp;""))-1)&amp;"병원")&amp;" "&amp;INDEX(코드표!$G$2:$G$101,MATCH(TRIM(RIGHT(SUBSTITUTE(TRIM(F122&amp;"")," ",REPT(" ",60)),60)),코드표!$F$2:$F$101,0)),"⚠"&amp;TRIM(F122&amp;""))),"⚠"&amp;TRIM(F122&amp;""))</f>
        <v/>
      </c>
      <c r="O122" s="10">
        <f>IFERROR(IF(TRIM(G122&amp;"")="","",IF(AND(ISNUMBER(FIND(" ",TRIM(G122&amp;""))),COUNTIF(코드표!$A$2:$A$21,IF(RIGHT(LEFT(TRIM(G122&amp;""),FIND(" ",TRIM(G122&amp;""))-1),2)="병원",LEFT(TRIM(G122&amp;""),FIND(" ",TRIM(G122&amp;""))-1),LEFT(TRIM(G122&amp;""),FIND(" ",TRIM(G122&amp;""))-1)&amp;"병원"))&gt;0,ISNUMBER(MATCH(TRIM(RIGHT(SUBSTITUTE(TRIM(G122&amp;"")," ",REPT(" ",60)),60)),코드표!$F$2:$F$101,0))),IF(RIGHT(LEFT(TRIM(G122&amp;""),FIND(" ",TRIM(G122&amp;""))-1),2)="병원",LEFT(TRIM(G122&amp;""),FIND(" ",TRIM(G122&amp;""))-1),LEFT(TRIM(G122&amp;""),FIND(" ",TRIM(G122&amp;""))-1)&amp;"병원")&amp;" "&amp;INDEX(코드표!$G$2:$G$101,MATCH(TRIM(RIGHT(SUBSTITUTE(TRIM(G122&amp;"")," ",REPT(" ",60)),60)),코드표!$F$2:$F$101,0)),"⚠"&amp;TRIM(G122&amp;""))),"⚠"&amp;TRIM(G122&amp;""))</f>
        <v/>
      </c>
      <c r="P122" s="10">
        <f>IFERROR(IF(TRIM(H122&amp;"")="","",IF(AND(ISNUMBER(FIND(" ",TRIM(H122&amp;""))),COUNTIF(코드표!$A$2:$A$21,IF(RIGHT(LEFT(TRIM(H122&amp;""),FIND(" ",TRIM(H122&amp;""))-1),2)="병원",LEFT(TRIM(H122&amp;""),FIND(" ",TRIM(H122&amp;""))-1),LEFT(TRIM(H122&amp;""),FIND(" ",TRIM(H122&amp;""))-1)&amp;"병원"))&gt;0,ISNUMBER(MATCH(TRIM(RIGHT(SUBSTITUTE(TRIM(H122&amp;"")," ",REPT(" ",60)),60)),코드표!$F$2:$F$101,0))),IF(RIGHT(LEFT(TRIM(H122&amp;""),FIND(" ",TRIM(H122&amp;""))-1),2)="병원",LEFT(TRIM(H122&amp;""),FIND(" ",TRIM(H122&amp;""))-1),LEFT(TRIM(H122&amp;""),FIND(" ",TRIM(H122&amp;""))-1)&amp;"병원")&amp;" "&amp;INDEX(코드표!$G$2:$G$101,MATCH(TRIM(RIGHT(SUBSTITUTE(TRIM(H122&amp;"")," ",REPT(" ",60)),60)),코드표!$F$2:$F$101,0)),"⚠"&amp;TRIM(H122&amp;""))),"⚠"&amp;TRIM(H122&amp;""))</f>
        <v/>
      </c>
      <c r="Q122" s="10">
        <f>IFERROR(IF(TRIM(I122&amp;"")="","",IF(AND(ISNUMBER(FIND(" ",TRIM(I122&amp;""))),COUNTIF(코드표!$A$2:$A$21,IF(RIGHT(LEFT(TRIM(I122&amp;""),FIND(" ",TRIM(I122&amp;""))-1),2)="병원",LEFT(TRIM(I122&amp;""),FIND(" ",TRIM(I122&amp;""))-1),LEFT(TRIM(I122&amp;""),FIND(" ",TRIM(I122&amp;""))-1)&amp;"병원"))&gt;0,ISNUMBER(MATCH(TRIM(RIGHT(SUBSTITUTE(TRIM(I122&amp;"")," ",REPT(" ",60)),60)),코드표!$F$2:$F$101,0))),IF(RIGHT(LEFT(TRIM(I122&amp;""),FIND(" ",TRIM(I122&amp;""))-1),2)="병원",LEFT(TRIM(I122&amp;""),FIND(" ",TRIM(I122&amp;""))-1),LEFT(TRIM(I122&amp;""),FIND(" ",TRIM(I122&amp;""))-1)&amp;"병원")&amp;" "&amp;INDEX(코드표!$G$2:$G$101,MATCH(TRIM(RIGHT(SUBSTITUTE(TRIM(I122&amp;"")," ",REPT(" ",60)),60)),코드표!$F$2:$F$101,0)),"⚠"&amp;TRIM(I122&amp;""))),"⚠"&amp;TRIM(I122&amp;""))</f>
        <v/>
      </c>
      <c r="R122" s="10">
        <f>IFERROR(IF(TRIM(J122&amp;"")="","",IF(AND(ISNUMBER(FIND(" ",TRIM(J122&amp;""))),COUNTIF(코드표!$A$2:$A$21,IF(RIGHT(LEFT(TRIM(J122&amp;""),FIND(" ",TRIM(J122&amp;""))-1),2)="병원",LEFT(TRIM(J122&amp;""),FIND(" ",TRIM(J122&amp;""))-1),LEFT(TRIM(J122&amp;""),FIND(" ",TRIM(J122&amp;""))-1)&amp;"병원"))&gt;0,ISNUMBER(MATCH(TRIM(RIGHT(SUBSTITUTE(TRIM(J122&amp;"")," ",REPT(" ",60)),60)),코드표!$F$2:$F$101,0))),IF(RIGHT(LEFT(TRIM(J122&amp;""),FIND(" ",TRIM(J122&amp;""))-1),2)="병원",LEFT(TRIM(J122&amp;""),FIND(" ",TRIM(J122&amp;""))-1),LEFT(TRIM(J122&amp;""),FIND(" ",TRIM(J122&amp;""))-1)&amp;"병원")&amp;" "&amp;INDEX(코드표!$G$2:$G$101,MATCH(TRIM(RIGHT(SUBSTITUTE(TRIM(J122&amp;"")," ",REPT(" ",60)),60)),코드표!$F$2:$F$101,0)),"⚠"&amp;TRIM(J122&amp;""))),"⚠"&amp;TRIM(J122&amp;""))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",TRIM(E123&amp;""))),COUNTIF(코드표!$A$2:$A$21,IF(RIGHT(LEFT(TRIM(E123&amp;""),FIND(" ",TRIM(E123&amp;""))-1),2)="병원",LEFT(TRIM(E123&amp;""),FIND(" ",TRIM(E123&amp;""))-1),LEFT(TRIM(E123&amp;""),FIND(" ",TRIM(E123&amp;""))-1)&amp;"병원"))&gt;0,ISNUMBER(MATCH(TRIM(RIGHT(SUBSTITUTE(TRIM(E123&amp;"")," ",REPT(" ",60)),60)),코드표!$F$2:$F$101,0))),IF(RIGHT(LEFT(TRIM(E123&amp;""),FIND(" ",TRIM(E123&amp;""))-1),2)="병원",LEFT(TRIM(E123&amp;""),FIND(" ",TRIM(E123&amp;""))-1),LEFT(TRIM(E123&amp;""),FIND(" ",TRIM(E123&amp;""))-1)&amp;"병원")&amp;" "&amp;INDEX(코드표!$G$2:$G$101,MATCH(TRIM(RIGHT(SUBSTITUTE(TRIM(E123&amp;"")," ",REPT(" ",60)),60)),코드표!$F$2:$F$101,0)),"⚠"&amp;TRIM(E123&amp;""))),"⚠"&amp;TRIM(E123&amp;""))</f>
        <v/>
      </c>
      <c r="N123" s="10">
        <f>IFERROR(IF(TRIM(F123&amp;"")="","",IF(AND(ISNUMBER(FIND(" ",TRIM(F123&amp;""))),COUNTIF(코드표!$A$2:$A$21,IF(RIGHT(LEFT(TRIM(F123&amp;""),FIND(" ",TRIM(F123&amp;""))-1),2)="병원",LEFT(TRIM(F123&amp;""),FIND(" ",TRIM(F123&amp;""))-1),LEFT(TRIM(F123&amp;""),FIND(" ",TRIM(F123&amp;""))-1)&amp;"병원"))&gt;0,ISNUMBER(MATCH(TRIM(RIGHT(SUBSTITUTE(TRIM(F123&amp;"")," ",REPT(" ",60)),60)),코드표!$F$2:$F$101,0))),IF(RIGHT(LEFT(TRIM(F123&amp;""),FIND(" ",TRIM(F123&amp;""))-1),2)="병원",LEFT(TRIM(F123&amp;""),FIND(" ",TRIM(F123&amp;""))-1),LEFT(TRIM(F123&amp;""),FIND(" ",TRIM(F123&amp;""))-1)&amp;"병원")&amp;" "&amp;INDEX(코드표!$G$2:$G$101,MATCH(TRIM(RIGHT(SUBSTITUTE(TRIM(F123&amp;"")," ",REPT(" ",60)),60)),코드표!$F$2:$F$101,0)),"⚠"&amp;TRIM(F123&amp;""))),"⚠"&amp;TRIM(F123&amp;""))</f>
        <v/>
      </c>
      <c r="O123" s="10">
        <f>IFERROR(IF(TRIM(G123&amp;"")="","",IF(AND(ISNUMBER(FIND(" ",TRIM(G123&amp;""))),COUNTIF(코드표!$A$2:$A$21,IF(RIGHT(LEFT(TRIM(G123&amp;""),FIND(" ",TRIM(G123&amp;""))-1),2)="병원",LEFT(TRIM(G123&amp;""),FIND(" ",TRIM(G123&amp;""))-1),LEFT(TRIM(G123&amp;""),FIND(" ",TRIM(G123&amp;""))-1)&amp;"병원"))&gt;0,ISNUMBER(MATCH(TRIM(RIGHT(SUBSTITUTE(TRIM(G123&amp;"")," ",REPT(" ",60)),60)),코드표!$F$2:$F$101,0))),IF(RIGHT(LEFT(TRIM(G123&amp;""),FIND(" ",TRIM(G123&amp;""))-1),2)="병원",LEFT(TRIM(G123&amp;""),FIND(" ",TRIM(G123&amp;""))-1),LEFT(TRIM(G123&amp;""),FIND(" ",TRIM(G123&amp;""))-1)&amp;"병원")&amp;" "&amp;INDEX(코드표!$G$2:$G$101,MATCH(TRIM(RIGHT(SUBSTITUTE(TRIM(G123&amp;"")," ",REPT(" ",60)),60)),코드표!$F$2:$F$101,0)),"⚠"&amp;TRIM(G123&amp;""))),"⚠"&amp;TRIM(G123&amp;""))</f>
        <v/>
      </c>
      <c r="P123" s="10">
        <f>IFERROR(IF(TRIM(H123&amp;"")="","",IF(AND(ISNUMBER(FIND(" ",TRIM(H123&amp;""))),COUNTIF(코드표!$A$2:$A$21,IF(RIGHT(LEFT(TRIM(H123&amp;""),FIND(" ",TRIM(H123&amp;""))-1),2)="병원",LEFT(TRIM(H123&amp;""),FIND(" ",TRIM(H123&amp;""))-1),LEFT(TRIM(H123&amp;""),FIND(" ",TRIM(H123&amp;""))-1)&amp;"병원"))&gt;0,ISNUMBER(MATCH(TRIM(RIGHT(SUBSTITUTE(TRIM(H123&amp;"")," ",REPT(" ",60)),60)),코드표!$F$2:$F$101,0))),IF(RIGHT(LEFT(TRIM(H123&amp;""),FIND(" ",TRIM(H123&amp;""))-1),2)="병원",LEFT(TRIM(H123&amp;""),FIND(" ",TRIM(H123&amp;""))-1),LEFT(TRIM(H123&amp;""),FIND(" ",TRIM(H123&amp;""))-1)&amp;"병원")&amp;" "&amp;INDEX(코드표!$G$2:$G$101,MATCH(TRIM(RIGHT(SUBSTITUTE(TRIM(H123&amp;"")," ",REPT(" ",60)),60)),코드표!$F$2:$F$101,0)),"⚠"&amp;TRIM(H123&amp;""))),"⚠"&amp;TRIM(H123&amp;""))</f>
        <v/>
      </c>
      <c r="Q123" s="10">
        <f>IFERROR(IF(TRIM(I123&amp;"")="","",IF(AND(ISNUMBER(FIND(" ",TRIM(I123&amp;""))),COUNTIF(코드표!$A$2:$A$21,IF(RIGHT(LEFT(TRIM(I123&amp;""),FIND(" ",TRIM(I123&amp;""))-1),2)="병원",LEFT(TRIM(I123&amp;""),FIND(" ",TRIM(I123&amp;""))-1),LEFT(TRIM(I123&amp;""),FIND(" ",TRIM(I123&amp;""))-1)&amp;"병원"))&gt;0,ISNUMBER(MATCH(TRIM(RIGHT(SUBSTITUTE(TRIM(I123&amp;"")," ",REPT(" ",60)),60)),코드표!$F$2:$F$101,0))),IF(RIGHT(LEFT(TRIM(I123&amp;""),FIND(" ",TRIM(I123&amp;""))-1),2)="병원",LEFT(TRIM(I123&amp;""),FIND(" ",TRIM(I123&amp;""))-1),LEFT(TRIM(I123&amp;""),FIND(" ",TRIM(I123&amp;""))-1)&amp;"병원")&amp;" "&amp;INDEX(코드표!$G$2:$G$101,MATCH(TRIM(RIGHT(SUBSTITUTE(TRIM(I123&amp;"")," ",REPT(" ",60)),60)),코드표!$F$2:$F$101,0)),"⚠"&amp;TRIM(I123&amp;""))),"⚠"&amp;TRIM(I123&amp;""))</f>
        <v/>
      </c>
      <c r="R123" s="10">
        <f>IFERROR(IF(TRIM(J123&amp;"")="","",IF(AND(ISNUMBER(FIND(" ",TRIM(J123&amp;""))),COUNTIF(코드표!$A$2:$A$21,IF(RIGHT(LEFT(TRIM(J123&amp;""),FIND(" ",TRIM(J123&amp;""))-1),2)="병원",LEFT(TRIM(J123&amp;""),FIND(" ",TRIM(J123&amp;""))-1),LEFT(TRIM(J123&amp;""),FIND(" ",TRIM(J123&amp;""))-1)&amp;"병원"))&gt;0,ISNUMBER(MATCH(TRIM(RIGHT(SUBSTITUTE(TRIM(J123&amp;"")," ",REPT(" ",60)),60)),코드표!$F$2:$F$101,0))),IF(RIGHT(LEFT(TRIM(J123&amp;""),FIND(" ",TRIM(J123&amp;""))-1),2)="병원",LEFT(TRIM(J123&amp;""),FIND(" ",TRIM(J123&amp;""))-1),LEFT(TRIM(J123&amp;""),FIND(" ",TRIM(J123&amp;""))-1)&amp;"병원")&amp;" "&amp;INDEX(코드표!$G$2:$G$101,MATCH(TRIM(RIGHT(SUBSTITUTE(TRIM(J123&amp;"")," ",REPT(" ",60)),60)),코드표!$F$2:$F$101,0)),"⚠"&amp;TRIM(J123&amp;""))),"⚠"&amp;TRIM(J123&amp;""))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",TRIM(E124&amp;""))),COUNTIF(코드표!$A$2:$A$21,IF(RIGHT(LEFT(TRIM(E124&amp;""),FIND(" ",TRIM(E124&amp;""))-1),2)="병원",LEFT(TRIM(E124&amp;""),FIND(" ",TRIM(E124&amp;""))-1),LEFT(TRIM(E124&amp;""),FIND(" ",TRIM(E124&amp;""))-1)&amp;"병원"))&gt;0,ISNUMBER(MATCH(TRIM(RIGHT(SUBSTITUTE(TRIM(E124&amp;"")," ",REPT(" ",60)),60)),코드표!$F$2:$F$101,0))),IF(RIGHT(LEFT(TRIM(E124&amp;""),FIND(" ",TRIM(E124&amp;""))-1),2)="병원",LEFT(TRIM(E124&amp;""),FIND(" ",TRIM(E124&amp;""))-1),LEFT(TRIM(E124&amp;""),FIND(" ",TRIM(E124&amp;""))-1)&amp;"병원")&amp;" "&amp;INDEX(코드표!$G$2:$G$101,MATCH(TRIM(RIGHT(SUBSTITUTE(TRIM(E124&amp;"")," ",REPT(" ",60)),60)),코드표!$F$2:$F$101,0)),"⚠"&amp;TRIM(E124&amp;""))),"⚠"&amp;TRIM(E124&amp;""))</f>
        <v/>
      </c>
      <c r="N124" s="10">
        <f>IFERROR(IF(TRIM(F124&amp;"")="","",IF(AND(ISNUMBER(FIND(" ",TRIM(F124&amp;""))),COUNTIF(코드표!$A$2:$A$21,IF(RIGHT(LEFT(TRIM(F124&amp;""),FIND(" ",TRIM(F124&amp;""))-1),2)="병원",LEFT(TRIM(F124&amp;""),FIND(" ",TRIM(F124&amp;""))-1),LEFT(TRIM(F124&amp;""),FIND(" ",TRIM(F124&amp;""))-1)&amp;"병원"))&gt;0,ISNUMBER(MATCH(TRIM(RIGHT(SUBSTITUTE(TRIM(F124&amp;"")," ",REPT(" ",60)),60)),코드표!$F$2:$F$101,0))),IF(RIGHT(LEFT(TRIM(F124&amp;""),FIND(" ",TRIM(F124&amp;""))-1),2)="병원",LEFT(TRIM(F124&amp;""),FIND(" ",TRIM(F124&amp;""))-1),LEFT(TRIM(F124&amp;""),FIND(" ",TRIM(F124&amp;""))-1)&amp;"병원")&amp;" "&amp;INDEX(코드표!$G$2:$G$101,MATCH(TRIM(RIGHT(SUBSTITUTE(TRIM(F124&amp;"")," ",REPT(" ",60)),60)),코드표!$F$2:$F$101,0)),"⚠"&amp;TRIM(F124&amp;""))),"⚠"&amp;TRIM(F124&amp;""))</f>
        <v/>
      </c>
      <c r="O124" s="10">
        <f>IFERROR(IF(TRIM(G124&amp;"")="","",IF(AND(ISNUMBER(FIND(" ",TRIM(G124&amp;""))),COUNTIF(코드표!$A$2:$A$21,IF(RIGHT(LEFT(TRIM(G124&amp;""),FIND(" ",TRIM(G124&amp;""))-1),2)="병원",LEFT(TRIM(G124&amp;""),FIND(" ",TRIM(G124&amp;""))-1),LEFT(TRIM(G124&amp;""),FIND(" ",TRIM(G124&amp;""))-1)&amp;"병원"))&gt;0,ISNUMBER(MATCH(TRIM(RIGHT(SUBSTITUTE(TRIM(G124&amp;"")," ",REPT(" ",60)),60)),코드표!$F$2:$F$101,0))),IF(RIGHT(LEFT(TRIM(G124&amp;""),FIND(" ",TRIM(G124&amp;""))-1),2)="병원",LEFT(TRIM(G124&amp;""),FIND(" ",TRIM(G124&amp;""))-1),LEFT(TRIM(G124&amp;""),FIND(" ",TRIM(G124&amp;""))-1)&amp;"병원")&amp;" "&amp;INDEX(코드표!$G$2:$G$101,MATCH(TRIM(RIGHT(SUBSTITUTE(TRIM(G124&amp;"")," ",REPT(" ",60)),60)),코드표!$F$2:$F$101,0)),"⚠"&amp;TRIM(G124&amp;""))),"⚠"&amp;TRIM(G124&amp;""))</f>
        <v/>
      </c>
      <c r="P124" s="10">
        <f>IFERROR(IF(TRIM(H124&amp;"")="","",IF(AND(ISNUMBER(FIND(" ",TRIM(H124&amp;""))),COUNTIF(코드표!$A$2:$A$21,IF(RIGHT(LEFT(TRIM(H124&amp;""),FIND(" ",TRIM(H124&amp;""))-1),2)="병원",LEFT(TRIM(H124&amp;""),FIND(" ",TRIM(H124&amp;""))-1),LEFT(TRIM(H124&amp;""),FIND(" ",TRIM(H124&amp;""))-1)&amp;"병원"))&gt;0,ISNUMBER(MATCH(TRIM(RIGHT(SUBSTITUTE(TRIM(H124&amp;"")," ",REPT(" ",60)),60)),코드표!$F$2:$F$101,0))),IF(RIGHT(LEFT(TRIM(H124&amp;""),FIND(" ",TRIM(H124&amp;""))-1),2)="병원",LEFT(TRIM(H124&amp;""),FIND(" ",TRIM(H124&amp;""))-1),LEFT(TRIM(H124&amp;""),FIND(" ",TRIM(H124&amp;""))-1)&amp;"병원")&amp;" "&amp;INDEX(코드표!$G$2:$G$101,MATCH(TRIM(RIGHT(SUBSTITUTE(TRIM(H124&amp;"")," ",REPT(" ",60)),60)),코드표!$F$2:$F$101,0)),"⚠"&amp;TRIM(H124&amp;""))),"⚠"&amp;TRIM(H124&amp;""))</f>
        <v/>
      </c>
      <c r="Q124" s="10">
        <f>IFERROR(IF(TRIM(I124&amp;"")="","",IF(AND(ISNUMBER(FIND(" ",TRIM(I124&amp;""))),COUNTIF(코드표!$A$2:$A$21,IF(RIGHT(LEFT(TRIM(I124&amp;""),FIND(" ",TRIM(I124&amp;""))-1),2)="병원",LEFT(TRIM(I124&amp;""),FIND(" ",TRIM(I124&amp;""))-1),LEFT(TRIM(I124&amp;""),FIND(" ",TRIM(I124&amp;""))-1)&amp;"병원"))&gt;0,ISNUMBER(MATCH(TRIM(RIGHT(SUBSTITUTE(TRIM(I124&amp;"")," ",REPT(" ",60)),60)),코드표!$F$2:$F$101,0))),IF(RIGHT(LEFT(TRIM(I124&amp;""),FIND(" ",TRIM(I124&amp;""))-1),2)="병원",LEFT(TRIM(I124&amp;""),FIND(" ",TRIM(I124&amp;""))-1),LEFT(TRIM(I124&amp;""),FIND(" ",TRIM(I124&amp;""))-1)&amp;"병원")&amp;" "&amp;INDEX(코드표!$G$2:$G$101,MATCH(TRIM(RIGHT(SUBSTITUTE(TRIM(I124&amp;"")," ",REPT(" ",60)),60)),코드표!$F$2:$F$101,0)),"⚠"&amp;TRIM(I124&amp;""))),"⚠"&amp;TRIM(I124&amp;""))</f>
        <v/>
      </c>
      <c r="R124" s="10">
        <f>IFERROR(IF(TRIM(J124&amp;"")="","",IF(AND(ISNUMBER(FIND(" ",TRIM(J124&amp;""))),COUNTIF(코드표!$A$2:$A$21,IF(RIGHT(LEFT(TRIM(J124&amp;""),FIND(" ",TRIM(J124&amp;""))-1),2)="병원",LEFT(TRIM(J124&amp;""),FIND(" ",TRIM(J124&amp;""))-1),LEFT(TRIM(J124&amp;""),FIND(" ",TRIM(J124&amp;""))-1)&amp;"병원"))&gt;0,ISNUMBER(MATCH(TRIM(RIGHT(SUBSTITUTE(TRIM(J124&amp;"")," ",REPT(" ",60)),60)),코드표!$F$2:$F$101,0))),IF(RIGHT(LEFT(TRIM(J124&amp;""),FIND(" ",TRIM(J124&amp;""))-1),2)="병원",LEFT(TRIM(J124&amp;""),FIND(" ",TRIM(J124&amp;""))-1),LEFT(TRIM(J124&amp;""),FIND(" ",TRIM(J124&amp;""))-1)&amp;"병원")&amp;" "&amp;INDEX(코드표!$G$2:$G$101,MATCH(TRIM(RIGHT(SUBSTITUTE(TRIM(J124&amp;"")," ",REPT(" ",60)),60)),코드표!$F$2:$F$101,0)),"⚠"&amp;TRIM(J124&amp;""))),"⚠"&amp;TRIM(J124&amp;""))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",TRIM(E125&amp;""))),COUNTIF(코드표!$A$2:$A$21,IF(RIGHT(LEFT(TRIM(E125&amp;""),FIND(" ",TRIM(E125&amp;""))-1),2)="병원",LEFT(TRIM(E125&amp;""),FIND(" ",TRIM(E125&amp;""))-1),LEFT(TRIM(E125&amp;""),FIND(" ",TRIM(E125&amp;""))-1)&amp;"병원"))&gt;0,ISNUMBER(MATCH(TRIM(RIGHT(SUBSTITUTE(TRIM(E125&amp;"")," ",REPT(" ",60)),60)),코드표!$F$2:$F$101,0))),IF(RIGHT(LEFT(TRIM(E125&amp;""),FIND(" ",TRIM(E125&amp;""))-1),2)="병원",LEFT(TRIM(E125&amp;""),FIND(" ",TRIM(E125&amp;""))-1),LEFT(TRIM(E125&amp;""),FIND(" ",TRIM(E125&amp;""))-1)&amp;"병원")&amp;" "&amp;INDEX(코드표!$G$2:$G$101,MATCH(TRIM(RIGHT(SUBSTITUTE(TRIM(E125&amp;"")," ",REPT(" ",60)),60)),코드표!$F$2:$F$101,0)),"⚠"&amp;TRIM(E125&amp;""))),"⚠"&amp;TRIM(E125&amp;""))</f>
        <v/>
      </c>
      <c r="N125" s="10">
        <f>IFERROR(IF(TRIM(F125&amp;"")="","",IF(AND(ISNUMBER(FIND(" ",TRIM(F125&amp;""))),COUNTIF(코드표!$A$2:$A$21,IF(RIGHT(LEFT(TRIM(F125&amp;""),FIND(" ",TRIM(F125&amp;""))-1),2)="병원",LEFT(TRIM(F125&amp;""),FIND(" ",TRIM(F125&amp;""))-1),LEFT(TRIM(F125&amp;""),FIND(" ",TRIM(F125&amp;""))-1)&amp;"병원"))&gt;0,ISNUMBER(MATCH(TRIM(RIGHT(SUBSTITUTE(TRIM(F125&amp;"")," ",REPT(" ",60)),60)),코드표!$F$2:$F$101,0))),IF(RIGHT(LEFT(TRIM(F125&amp;""),FIND(" ",TRIM(F125&amp;""))-1),2)="병원",LEFT(TRIM(F125&amp;""),FIND(" ",TRIM(F125&amp;""))-1),LEFT(TRIM(F125&amp;""),FIND(" ",TRIM(F125&amp;""))-1)&amp;"병원")&amp;" "&amp;INDEX(코드표!$G$2:$G$101,MATCH(TRIM(RIGHT(SUBSTITUTE(TRIM(F125&amp;"")," ",REPT(" ",60)),60)),코드표!$F$2:$F$101,0)),"⚠"&amp;TRIM(F125&amp;""))),"⚠"&amp;TRIM(F125&amp;""))</f>
        <v/>
      </c>
      <c r="O125" s="10">
        <f>IFERROR(IF(TRIM(G125&amp;"")="","",IF(AND(ISNUMBER(FIND(" ",TRIM(G125&amp;""))),COUNTIF(코드표!$A$2:$A$21,IF(RIGHT(LEFT(TRIM(G125&amp;""),FIND(" ",TRIM(G125&amp;""))-1),2)="병원",LEFT(TRIM(G125&amp;""),FIND(" ",TRIM(G125&amp;""))-1),LEFT(TRIM(G125&amp;""),FIND(" ",TRIM(G125&amp;""))-1)&amp;"병원"))&gt;0,ISNUMBER(MATCH(TRIM(RIGHT(SUBSTITUTE(TRIM(G125&amp;"")," ",REPT(" ",60)),60)),코드표!$F$2:$F$101,0))),IF(RIGHT(LEFT(TRIM(G125&amp;""),FIND(" ",TRIM(G125&amp;""))-1),2)="병원",LEFT(TRIM(G125&amp;""),FIND(" ",TRIM(G125&amp;""))-1),LEFT(TRIM(G125&amp;""),FIND(" ",TRIM(G125&amp;""))-1)&amp;"병원")&amp;" "&amp;INDEX(코드표!$G$2:$G$101,MATCH(TRIM(RIGHT(SUBSTITUTE(TRIM(G125&amp;"")," ",REPT(" ",60)),60)),코드표!$F$2:$F$101,0)),"⚠"&amp;TRIM(G125&amp;""))),"⚠"&amp;TRIM(G125&amp;""))</f>
        <v/>
      </c>
      <c r="P125" s="10">
        <f>IFERROR(IF(TRIM(H125&amp;"")="","",IF(AND(ISNUMBER(FIND(" ",TRIM(H125&amp;""))),COUNTIF(코드표!$A$2:$A$21,IF(RIGHT(LEFT(TRIM(H125&amp;""),FIND(" ",TRIM(H125&amp;""))-1),2)="병원",LEFT(TRIM(H125&amp;""),FIND(" ",TRIM(H125&amp;""))-1),LEFT(TRIM(H125&amp;""),FIND(" ",TRIM(H125&amp;""))-1)&amp;"병원"))&gt;0,ISNUMBER(MATCH(TRIM(RIGHT(SUBSTITUTE(TRIM(H125&amp;"")," ",REPT(" ",60)),60)),코드표!$F$2:$F$101,0))),IF(RIGHT(LEFT(TRIM(H125&amp;""),FIND(" ",TRIM(H125&amp;""))-1),2)="병원",LEFT(TRIM(H125&amp;""),FIND(" ",TRIM(H125&amp;""))-1),LEFT(TRIM(H125&amp;""),FIND(" ",TRIM(H125&amp;""))-1)&amp;"병원")&amp;" "&amp;INDEX(코드표!$G$2:$G$101,MATCH(TRIM(RIGHT(SUBSTITUTE(TRIM(H125&amp;"")," ",REPT(" ",60)),60)),코드표!$F$2:$F$101,0)),"⚠"&amp;TRIM(H125&amp;""))),"⚠"&amp;TRIM(H125&amp;""))</f>
        <v/>
      </c>
      <c r="Q125" s="10">
        <f>IFERROR(IF(TRIM(I125&amp;"")="","",IF(AND(ISNUMBER(FIND(" ",TRIM(I125&amp;""))),COUNTIF(코드표!$A$2:$A$21,IF(RIGHT(LEFT(TRIM(I125&amp;""),FIND(" ",TRIM(I125&amp;""))-1),2)="병원",LEFT(TRIM(I125&amp;""),FIND(" ",TRIM(I125&amp;""))-1),LEFT(TRIM(I125&amp;""),FIND(" ",TRIM(I125&amp;""))-1)&amp;"병원"))&gt;0,ISNUMBER(MATCH(TRIM(RIGHT(SUBSTITUTE(TRIM(I125&amp;"")," ",REPT(" ",60)),60)),코드표!$F$2:$F$101,0))),IF(RIGHT(LEFT(TRIM(I125&amp;""),FIND(" ",TRIM(I125&amp;""))-1),2)="병원",LEFT(TRIM(I125&amp;""),FIND(" ",TRIM(I125&amp;""))-1),LEFT(TRIM(I125&amp;""),FIND(" ",TRIM(I125&amp;""))-1)&amp;"병원")&amp;" "&amp;INDEX(코드표!$G$2:$G$101,MATCH(TRIM(RIGHT(SUBSTITUTE(TRIM(I125&amp;"")," ",REPT(" ",60)),60)),코드표!$F$2:$F$101,0)),"⚠"&amp;TRIM(I125&amp;""))),"⚠"&amp;TRIM(I125&amp;""))</f>
        <v/>
      </c>
      <c r="R125" s="10">
        <f>IFERROR(IF(TRIM(J125&amp;"")="","",IF(AND(ISNUMBER(FIND(" ",TRIM(J125&amp;""))),COUNTIF(코드표!$A$2:$A$21,IF(RIGHT(LEFT(TRIM(J125&amp;""),FIND(" ",TRIM(J125&amp;""))-1),2)="병원",LEFT(TRIM(J125&amp;""),FIND(" ",TRIM(J125&amp;""))-1),LEFT(TRIM(J125&amp;""),FIND(" ",TRIM(J125&amp;""))-1)&amp;"병원"))&gt;0,ISNUMBER(MATCH(TRIM(RIGHT(SUBSTITUTE(TRIM(J125&amp;"")," ",REPT(" ",60)),60)),코드표!$F$2:$F$101,0))),IF(RIGHT(LEFT(TRIM(J125&amp;""),FIND(" ",TRIM(J125&amp;""))-1),2)="병원",LEFT(TRIM(J125&amp;""),FIND(" ",TRIM(J125&amp;""))-1),LEFT(TRIM(J125&amp;""),FIND(" ",TRIM(J125&amp;""))-1)&amp;"병원")&amp;" "&amp;INDEX(코드표!$G$2:$G$101,MATCH(TRIM(RIGHT(SUBSTITUTE(TRIM(J125&amp;"")," ",REPT(" ",60)),60)),코드표!$F$2:$F$101,0)),"⚠"&amp;TRIM(J125&amp;""))),"⚠"&amp;TRIM(J125&amp;""))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",TRIM(E126&amp;""))),COUNTIF(코드표!$A$2:$A$21,IF(RIGHT(LEFT(TRIM(E126&amp;""),FIND(" ",TRIM(E126&amp;""))-1),2)="병원",LEFT(TRIM(E126&amp;""),FIND(" ",TRIM(E126&amp;""))-1),LEFT(TRIM(E126&amp;""),FIND(" ",TRIM(E126&amp;""))-1)&amp;"병원"))&gt;0,ISNUMBER(MATCH(TRIM(RIGHT(SUBSTITUTE(TRIM(E126&amp;"")," ",REPT(" ",60)),60)),코드표!$F$2:$F$101,0))),IF(RIGHT(LEFT(TRIM(E126&amp;""),FIND(" ",TRIM(E126&amp;""))-1),2)="병원",LEFT(TRIM(E126&amp;""),FIND(" ",TRIM(E126&amp;""))-1),LEFT(TRIM(E126&amp;""),FIND(" ",TRIM(E126&amp;""))-1)&amp;"병원")&amp;" "&amp;INDEX(코드표!$G$2:$G$101,MATCH(TRIM(RIGHT(SUBSTITUTE(TRIM(E126&amp;"")," ",REPT(" ",60)),60)),코드표!$F$2:$F$101,0)),"⚠"&amp;TRIM(E126&amp;""))),"⚠"&amp;TRIM(E126&amp;""))</f>
        <v/>
      </c>
      <c r="N126" s="10">
        <f>IFERROR(IF(TRIM(F126&amp;"")="","",IF(AND(ISNUMBER(FIND(" ",TRIM(F126&amp;""))),COUNTIF(코드표!$A$2:$A$21,IF(RIGHT(LEFT(TRIM(F126&amp;""),FIND(" ",TRIM(F126&amp;""))-1),2)="병원",LEFT(TRIM(F126&amp;""),FIND(" ",TRIM(F126&amp;""))-1),LEFT(TRIM(F126&amp;""),FIND(" ",TRIM(F126&amp;""))-1)&amp;"병원"))&gt;0,ISNUMBER(MATCH(TRIM(RIGHT(SUBSTITUTE(TRIM(F126&amp;"")," ",REPT(" ",60)),60)),코드표!$F$2:$F$101,0))),IF(RIGHT(LEFT(TRIM(F126&amp;""),FIND(" ",TRIM(F126&amp;""))-1),2)="병원",LEFT(TRIM(F126&amp;""),FIND(" ",TRIM(F126&amp;""))-1),LEFT(TRIM(F126&amp;""),FIND(" ",TRIM(F126&amp;""))-1)&amp;"병원")&amp;" "&amp;INDEX(코드표!$G$2:$G$101,MATCH(TRIM(RIGHT(SUBSTITUTE(TRIM(F126&amp;"")," ",REPT(" ",60)),60)),코드표!$F$2:$F$101,0)),"⚠"&amp;TRIM(F126&amp;""))),"⚠"&amp;TRIM(F126&amp;""))</f>
        <v/>
      </c>
      <c r="O126" s="10">
        <f>IFERROR(IF(TRIM(G126&amp;"")="","",IF(AND(ISNUMBER(FIND(" ",TRIM(G126&amp;""))),COUNTIF(코드표!$A$2:$A$21,IF(RIGHT(LEFT(TRIM(G126&amp;""),FIND(" ",TRIM(G126&amp;""))-1),2)="병원",LEFT(TRIM(G126&amp;""),FIND(" ",TRIM(G126&amp;""))-1),LEFT(TRIM(G126&amp;""),FIND(" ",TRIM(G126&amp;""))-1)&amp;"병원"))&gt;0,ISNUMBER(MATCH(TRIM(RIGHT(SUBSTITUTE(TRIM(G126&amp;"")," ",REPT(" ",60)),60)),코드표!$F$2:$F$101,0))),IF(RIGHT(LEFT(TRIM(G126&amp;""),FIND(" ",TRIM(G126&amp;""))-1),2)="병원",LEFT(TRIM(G126&amp;""),FIND(" ",TRIM(G126&amp;""))-1),LEFT(TRIM(G126&amp;""),FIND(" ",TRIM(G126&amp;""))-1)&amp;"병원")&amp;" "&amp;INDEX(코드표!$G$2:$G$101,MATCH(TRIM(RIGHT(SUBSTITUTE(TRIM(G126&amp;"")," ",REPT(" ",60)),60)),코드표!$F$2:$F$101,0)),"⚠"&amp;TRIM(G126&amp;""))),"⚠"&amp;TRIM(G126&amp;""))</f>
        <v/>
      </c>
      <c r="P126" s="10">
        <f>IFERROR(IF(TRIM(H126&amp;"")="","",IF(AND(ISNUMBER(FIND(" ",TRIM(H126&amp;""))),COUNTIF(코드표!$A$2:$A$21,IF(RIGHT(LEFT(TRIM(H126&amp;""),FIND(" ",TRIM(H126&amp;""))-1),2)="병원",LEFT(TRIM(H126&amp;""),FIND(" ",TRIM(H126&amp;""))-1),LEFT(TRIM(H126&amp;""),FIND(" ",TRIM(H126&amp;""))-1)&amp;"병원"))&gt;0,ISNUMBER(MATCH(TRIM(RIGHT(SUBSTITUTE(TRIM(H126&amp;"")," ",REPT(" ",60)),60)),코드표!$F$2:$F$101,0))),IF(RIGHT(LEFT(TRIM(H126&amp;""),FIND(" ",TRIM(H126&amp;""))-1),2)="병원",LEFT(TRIM(H126&amp;""),FIND(" ",TRIM(H126&amp;""))-1),LEFT(TRIM(H126&amp;""),FIND(" ",TRIM(H126&amp;""))-1)&amp;"병원")&amp;" "&amp;INDEX(코드표!$G$2:$G$101,MATCH(TRIM(RIGHT(SUBSTITUTE(TRIM(H126&amp;"")," ",REPT(" ",60)),60)),코드표!$F$2:$F$101,0)),"⚠"&amp;TRIM(H126&amp;""))),"⚠"&amp;TRIM(H126&amp;""))</f>
        <v/>
      </c>
      <c r="Q126" s="10">
        <f>IFERROR(IF(TRIM(I126&amp;"")="","",IF(AND(ISNUMBER(FIND(" ",TRIM(I126&amp;""))),COUNTIF(코드표!$A$2:$A$21,IF(RIGHT(LEFT(TRIM(I126&amp;""),FIND(" ",TRIM(I126&amp;""))-1),2)="병원",LEFT(TRIM(I126&amp;""),FIND(" ",TRIM(I126&amp;""))-1),LEFT(TRIM(I126&amp;""),FIND(" ",TRIM(I126&amp;""))-1)&amp;"병원"))&gt;0,ISNUMBER(MATCH(TRIM(RIGHT(SUBSTITUTE(TRIM(I126&amp;"")," ",REPT(" ",60)),60)),코드표!$F$2:$F$101,0))),IF(RIGHT(LEFT(TRIM(I126&amp;""),FIND(" ",TRIM(I126&amp;""))-1),2)="병원",LEFT(TRIM(I126&amp;""),FIND(" ",TRIM(I126&amp;""))-1),LEFT(TRIM(I126&amp;""),FIND(" ",TRIM(I126&amp;""))-1)&amp;"병원")&amp;" "&amp;INDEX(코드표!$G$2:$G$101,MATCH(TRIM(RIGHT(SUBSTITUTE(TRIM(I126&amp;"")," ",REPT(" ",60)),60)),코드표!$F$2:$F$101,0)),"⚠"&amp;TRIM(I126&amp;""))),"⚠"&amp;TRIM(I126&amp;""))</f>
        <v/>
      </c>
      <c r="R126" s="10">
        <f>IFERROR(IF(TRIM(J126&amp;"")="","",IF(AND(ISNUMBER(FIND(" ",TRIM(J126&amp;""))),COUNTIF(코드표!$A$2:$A$21,IF(RIGHT(LEFT(TRIM(J126&amp;""),FIND(" ",TRIM(J126&amp;""))-1),2)="병원",LEFT(TRIM(J126&amp;""),FIND(" ",TRIM(J126&amp;""))-1),LEFT(TRIM(J126&amp;""),FIND(" ",TRIM(J126&amp;""))-1)&amp;"병원"))&gt;0,ISNUMBER(MATCH(TRIM(RIGHT(SUBSTITUTE(TRIM(J126&amp;"")," ",REPT(" ",60)),60)),코드표!$F$2:$F$101,0))),IF(RIGHT(LEFT(TRIM(J126&amp;""),FIND(" ",TRIM(J126&amp;""))-1),2)="병원",LEFT(TRIM(J126&amp;""),FIND(" ",TRIM(J126&amp;""))-1),LEFT(TRIM(J126&amp;""),FIND(" ",TRIM(J126&amp;""))-1)&amp;"병원")&amp;" "&amp;INDEX(코드표!$G$2:$G$101,MATCH(TRIM(RIGHT(SUBSTITUTE(TRIM(J126&amp;"")," ",REPT(" ",60)),60)),코드표!$F$2:$F$101,0)),"⚠"&amp;TRIM(J126&amp;""))),"⚠"&amp;TRIM(J126&amp;""))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",TRIM(E127&amp;""))),COUNTIF(코드표!$A$2:$A$21,IF(RIGHT(LEFT(TRIM(E127&amp;""),FIND(" ",TRIM(E127&amp;""))-1),2)="병원",LEFT(TRIM(E127&amp;""),FIND(" ",TRIM(E127&amp;""))-1),LEFT(TRIM(E127&amp;""),FIND(" ",TRIM(E127&amp;""))-1)&amp;"병원"))&gt;0,ISNUMBER(MATCH(TRIM(RIGHT(SUBSTITUTE(TRIM(E127&amp;"")," ",REPT(" ",60)),60)),코드표!$F$2:$F$101,0))),IF(RIGHT(LEFT(TRIM(E127&amp;""),FIND(" ",TRIM(E127&amp;""))-1),2)="병원",LEFT(TRIM(E127&amp;""),FIND(" ",TRIM(E127&amp;""))-1),LEFT(TRIM(E127&amp;""),FIND(" ",TRIM(E127&amp;""))-1)&amp;"병원")&amp;" "&amp;INDEX(코드표!$G$2:$G$101,MATCH(TRIM(RIGHT(SUBSTITUTE(TRIM(E127&amp;"")," ",REPT(" ",60)),60)),코드표!$F$2:$F$101,0)),"⚠"&amp;TRIM(E127&amp;""))),"⚠"&amp;TRIM(E127&amp;""))</f>
        <v/>
      </c>
      <c r="N127" s="10">
        <f>IFERROR(IF(TRIM(F127&amp;"")="","",IF(AND(ISNUMBER(FIND(" ",TRIM(F127&amp;""))),COUNTIF(코드표!$A$2:$A$21,IF(RIGHT(LEFT(TRIM(F127&amp;""),FIND(" ",TRIM(F127&amp;""))-1),2)="병원",LEFT(TRIM(F127&amp;""),FIND(" ",TRIM(F127&amp;""))-1),LEFT(TRIM(F127&amp;""),FIND(" ",TRIM(F127&amp;""))-1)&amp;"병원"))&gt;0,ISNUMBER(MATCH(TRIM(RIGHT(SUBSTITUTE(TRIM(F127&amp;"")," ",REPT(" ",60)),60)),코드표!$F$2:$F$101,0))),IF(RIGHT(LEFT(TRIM(F127&amp;""),FIND(" ",TRIM(F127&amp;""))-1),2)="병원",LEFT(TRIM(F127&amp;""),FIND(" ",TRIM(F127&amp;""))-1),LEFT(TRIM(F127&amp;""),FIND(" ",TRIM(F127&amp;""))-1)&amp;"병원")&amp;" "&amp;INDEX(코드표!$G$2:$G$101,MATCH(TRIM(RIGHT(SUBSTITUTE(TRIM(F127&amp;"")," ",REPT(" ",60)),60)),코드표!$F$2:$F$101,0)),"⚠"&amp;TRIM(F127&amp;""))),"⚠"&amp;TRIM(F127&amp;""))</f>
        <v/>
      </c>
      <c r="O127" s="10">
        <f>IFERROR(IF(TRIM(G127&amp;"")="","",IF(AND(ISNUMBER(FIND(" ",TRIM(G127&amp;""))),COUNTIF(코드표!$A$2:$A$21,IF(RIGHT(LEFT(TRIM(G127&amp;""),FIND(" ",TRIM(G127&amp;""))-1),2)="병원",LEFT(TRIM(G127&amp;""),FIND(" ",TRIM(G127&amp;""))-1),LEFT(TRIM(G127&amp;""),FIND(" ",TRIM(G127&amp;""))-1)&amp;"병원"))&gt;0,ISNUMBER(MATCH(TRIM(RIGHT(SUBSTITUTE(TRIM(G127&amp;"")," ",REPT(" ",60)),60)),코드표!$F$2:$F$101,0))),IF(RIGHT(LEFT(TRIM(G127&amp;""),FIND(" ",TRIM(G127&amp;""))-1),2)="병원",LEFT(TRIM(G127&amp;""),FIND(" ",TRIM(G127&amp;""))-1),LEFT(TRIM(G127&amp;""),FIND(" ",TRIM(G127&amp;""))-1)&amp;"병원")&amp;" "&amp;INDEX(코드표!$G$2:$G$101,MATCH(TRIM(RIGHT(SUBSTITUTE(TRIM(G127&amp;"")," ",REPT(" ",60)),60)),코드표!$F$2:$F$101,0)),"⚠"&amp;TRIM(G127&amp;""))),"⚠"&amp;TRIM(G127&amp;""))</f>
        <v/>
      </c>
      <c r="P127" s="10">
        <f>IFERROR(IF(TRIM(H127&amp;"")="","",IF(AND(ISNUMBER(FIND(" ",TRIM(H127&amp;""))),COUNTIF(코드표!$A$2:$A$21,IF(RIGHT(LEFT(TRIM(H127&amp;""),FIND(" ",TRIM(H127&amp;""))-1),2)="병원",LEFT(TRIM(H127&amp;""),FIND(" ",TRIM(H127&amp;""))-1),LEFT(TRIM(H127&amp;""),FIND(" ",TRIM(H127&amp;""))-1)&amp;"병원"))&gt;0,ISNUMBER(MATCH(TRIM(RIGHT(SUBSTITUTE(TRIM(H127&amp;"")," ",REPT(" ",60)),60)),코드표!$F$2:$F$101,0))),IF(RIGHT(LEFT(TRIM(H127&amp;""),FIND(" ",TRIM(H127&amp;""))-1),2)="병원",LEFT(TRIM(H127&amp;""),FIND(" ",TRIM(H127&amp;""))-1),LEFT(TRIM(H127&amp;""),FIND(" ",TRIM(H127&amp;""))-1)&amp;"병원")&amp;" "&amp;INDEX(코드표!$G$2:$G$101,MATCH(TRIM(RIGHT(SUBSTITUTE(TRIM(H127&amp;"")," ",REPT(" ",60)),60)),코드표!$F$2:$F$101,0)),"⚠"&amp;TRIM(H127&amp;""))),"⚠"&amp;TRIM(H127&amp;""))</f>
        <v/>
      </c>
      <c r="Q127" s="10">
        <f>IFERROR(IF(TRIM(I127&amp;"")="","",IF(AND(ISNUMBER(FIND(" ",TRIM(I127&amp;""))),COUNTIF(코드표!$A$2:$A$21,IF(RIGHT(LEFT(TRIM(I127&amp;""),FIND(" ",TRIM(I127&amp;""))-1),2)="병원",LEFT(TRIM(I127&amp;""),FIND(" ",TRIM(I127&amp;""))-1),LEFT(TRIM(I127&amp;""),FIND(" ",TRIM(I127&amp;""))-1)&amp;"병원"))&gt;0,ISNUMBER(MATCH(TRIM(RIGHT(SUBSTITUTE(TRIM(I127&amp;"")," ",REPT(" ",60)),60)),코드표!$F$2:$F$101,0))),IF(RIGHT(LEFT(TRIM(I127&amp;""),FIND(" ",TRIM(I127&amp;""))-1),2)="병원",LEFT(TRIM(I127&amp;""),FIND(" ",TRIM(I127&amp;""))-1),LEFT(TRIM(I127&amp;""),FIND(" ",TRIM(I127&amp;""))-1)&amp;"병원")&amp;" "&amp;INDEX(코드표!$G$2:$G$101,MATCH(TRIM(RIGHT(SUBSTITUTE(TRIM(I127&amp;"")," ",REPT(" ",60)),60)),코드표!$F$2:$F$101,0)),"⚠"&amp;TRIM(I127&amp;""))),"⚠"&amp;TRIM(I127&amp;""))</f>
        <v/>
      </c>
      <c r="R127" s="10">
        <f>IFERROR(IF(TRIM(J127&amp;"")="","",IF(AND(ISNUMBER(FIND(" ",TRIM(J127&amp;""))),COUNTIF(코드표!$A$2:$A$21,IF(RIGHT(LEFT(TRIM(J127&amp;""),FIND(" ",TRIM(J127&amp;""))-1),2)="병원",LEFT(TRIM(J127&amp;""),FIND(" ",TRIM(J127&amp;""))-1),LEFT(TRIM(J127&amp;""),FIND(" ",TRIM(J127&amp;""))-1)&amp;"병원"))&gt;0,ISNUMBER(MATCH(TRIM(RIGHT(SUBSTITUTE(TRIM(J127&amp;"")," ",REPT(" ",60)),60)),코드표!$F$2:$F$101,0))),IF(RIGHT(LEFT(TRIM(J127&amp;""),FIND(" ",TRIM(J127&amp;""))-1),2)="병원",LEFT(TRIM(J127&amp;""),FIND(" ",TRIM(J127&amp;""))-1),LEFT(TRIM(J127&amp;""),FIND(" ",TRIM(J127&amp;""))-1)&amp;"병원")&amp;" "&amp;INDEX(코드표!$G$2:$G$101,MATCH(TRIM(RIGHT(SUBSTITUTE(TRIM(J127&amp;"")," ",REPT(" ",60)),60)),코드표!$F$2:$F$101,0)),"⚠"&amp;TRIM(J127&amp;""))),"⚠"&amp;TRIM(J127&amp;""))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",TRIM(E128&amp;""))),COUNTIF(코드표!$A$2:$A$21,IF(RIGHT(LEFT(TRIM(E128&amp;""),FIND(" ",TRIM(E128&amp;""))-1),2)="병원",LEFT(TRIM(E128&amp;""),FIND(" ",TRIM(E128&amp;""))-1),LEFT(TRIM(E128&amp;""),FIND(" ",TRIM(E128&amp;""))-1)&amp;"병원"))&gt;0,ISNUMBER(MATCH(TRIM(RIGHT(SUBSTITUTE(TRIM(E128&amp;"")," ",REPT(" ",60)),60)),코드표!$F$2:$F$101,0))),IF(RIGHT(LEFT(TRIM(E128&amp;""),FIND(" ",TRIM(E128&amp;""))-1),2)="병원",LEFT(TRIM(E128&amp;""),FIND(" ",TRIM(E128&amp;""))-1),LEFT(TRIM(E128&amp;""),FIND(" ",TRIM(E128&amp;""))-1)&amp;"병원")&amp;" "&amp;INDEX(코드표!$G$2:$G$101,MATCH(TRIM(RIGHT(SUBSTITUTE(TRIM(E128&amp;"")," ",REPT(" ",60)),60)),코드표!$F$2:$F$101,0)),"⚠"&amp;TRIM(E128&amp;""))),"⚠"&amp;TRIM(E128&amp;""))</f>
        <v/>
      </c>
      <c r="N128" s="10">
        <f>IFERROR(IF(TRIM(F128&amp;"")="","",IF(AND(ISNUMBER(FIND(" ",TRIM(F128&amp;""))),COUNTIF(코드표!$A$2:$A$21,IF(RIGHT(LEFT(TRIM(F128&amp;""),FIND(" ",TRIM(F128&amp;""))-1),2)="병원",LEFT(TRIM(F128&amp;""),FIND(" ",TRIM(F128&amp;""))-1),LEFT(TRIM(F128&amp;""),FIND(" ",TRIM(F128&amp;""))-1)&amp;"병원"))&gt;0,ISNUMBER(MATCH(TRIM(RIGHT(SUBSTITUTE(TRIM(F128&amp;"")," ",REPT(" ",60)),60)),코드표!$F$2:$F$101,0))),IF(RIGHT(LEFT(TRIM(F128&amp;""),FIND(" ",TRIM(F128&amp;""))-1),2)="병원",LEFT(TRIM(F128&amp;""),FIND(" ",TRIM(F128&amp;""))-1),LEFT(TRIM(F128&amp;""),FIND(" ",TRIM(F128&amp;""))-1)&amp;"병원")&amp;" "&amp;INDEX(코드표!$G$2:$G$101,MATCH(TRIM(RIGHT(SUBSTITUTE(TRIM(F128&amp;"")," ",REPT(" ",60)),60)),코드표!$F$2:$F$101,0)),"⚠"&amp;TRIM(F128&amp;""))),"⚠"&amp;TRIM(F128&amp;""))</f>
        <v/>
      </c>
      <c r="O128" s="10">
        <f>IFERROR(IF(TRIM(G128&amp;"")="","",IF(AND(ISNUMBER(FIND(" ",TRIM(G128&amp;""))),COUNTIF(코드표!$A$2:$A$21,IF(RIGHT(LEFT(TRIM(G128&amp;""),FIND(" ",TRIM(G128&amp;""))-1),2)="병원",LEFT(TRIM(G128&amp;""),FIND(" ",TRIM(G128&amp;""))-1),LEFT(TRIM(G128&amp;""),FIND(" ",TRIM(G128&amp;""))-1)&amp;"병원"))&gt;0,ISNUMBER(MATCH(TRIM(RIGHT(SUBSTITUTE(TRIM(G128&amp;"")," ",REPT(" ",60)),60)),코드표!$F$2:$F$101,0))),IF(RIGHT(LEFT(TRIM(G128&amp;""),FIND(" ",TRIM(G128&amp;""))-1),2)="병원",LEFT(TRIM(G128&amp;""),FIND(" ",TRIM(G128&amp;""))-1),LEFT(TRIM(G128&amp;""),FIND(" ",TRIM(G128&amp;""))-1)&amp;"병원")&amp;" "&amp;INDEX(코드표!$G$2:$G$101,MATCH(TRIM(RIGHT(SUBSTITUTE(TRIM(G128&amp;"")," ",REPT(" ",60)),60)),코드표!$F$2:$F$101,0)),"⚠"&amp;TRIM(G128&amp;""))),"⚠"&amp;TRIM(G128&amp;""))</f>
        <v/>
      </c>
      <c r="P128" s="10">
        <f>IFERROR(IF(TRIM(H128&amp;"")="","",IF(AND(ISNUMBER(FIND(" ",TRIM(H128&amp;""))),COUNTIF(코드표!$A$2:$A$21,IF(RIGHT(LEFT(TRIM(H128&amp;""),FIND(" ",TRIM(H128&amp;""))-1),2)="병원",LEFT(TRIM(H128&amp;""),FIND(" ",TRIM(H128&amp;""))-1),LEFT(TRIM(H128&amp;""),FIND(" ",TRIM(H128&amp;""))-1)&amp;"병원"))&gt;0,ISNUMBER(MATCH(TRIM(RIGHT(SUBSTITUTE(TRIM(H128&amp;"")," ",REPT(" ",60)),60)),코드표!$F$2:$F$101,0))),IF(RIGHT(LEFT(TRIM(H128&amp;""),FIND(" ",TRIM(H128&amp;""))-1),2)="병원",LEFT(TRIM(H128&amp;""),FIND(" ",TRIM(H128&amp;""))-1),LEFT(TRIM(H128&amp;""),FIND(" ",TRIM(H128&amp;""))-1)&amp;"병원")&amp;" "&amp;INDEX(코드표!$G$2:$G$101,MATCH(TRIM(RIGHT(SUBSTITUTE(TRIM(H128&amp;"")," ",REPT(" ",60)),60)),코드표!$F$2:$F$101,0)),"⚠"&amp;TRIM(H128&amp;""))),"⚠"&amp;TRIM(H128&amp;""))</f>
        <v/>
      </c>
      <c r="Q128" s="10">
        <f>IFERROR(IF(TRIM(I128&amp;"")="","",IF(AND(ISNUMBER(FIND(" ",TRIM(I128&amp;""))),COUNTIF(코드표!$A$2:$A$21,IF(RIGHT(LEFT(TRIM(I128&amp;""),FIND(" ",TRIM(I128&amp;""))-1),2)="병원",LEFT(TRIM(I128&amp;""),FIND(" ",TRIM(I128&amp;""))-1),LEFT(TRIM(I128&amp;""),FIND(" ",TRIM(I128&amp;""))-1)&amp;"병원"))&gt;0,ISNUMBER(MATCH(TRIM(RIGHT(SUBSTITUTE(TRIM(I128&amp;"")," ",REPT(" ",60)),60)),코드표!$F$2:$F$101,0))),IF(RIGHT(LEFT(TRIM(I128&amp;""),FIND(" ",TRIM(I128&amp;""))-1),2)="병원",LEFT(TRIM(I128&amp;""),FIND(" ",TRIM(I128&amp;""))-1),LEFT(TRIM(I128&amp;""),FIND(" ",TRIM(I128&amp;""))-1)&amp;"병원")&amp;" "&amp;INDEX(코드표!$G$2:$G$101,MATCH(TRIM(RIGHT(SUBSTITUTE(TRIM(I128&amp;"")," ",REPT(" ",60)),60)),코드표!$F$2:$F$101,0)),"⚠"&amp;TRIM(I128&amp;""))),"⚠"&amp;TRIM(I128&amp;""))</f>
        <v/>
      </c>
      <c r="R128" s="10">
        <f>IFERROR(IF(TRIM(J128&amp;"")="","",IF(AND(ISNUMBER(FIND(" ",TRIM(J128&amp;""))),COUNTIF(코드표!$A$2:$A$21,IF(RIGHT(LEFT(TRIM(J128&amp;""),FIND(" ",TRIM(J128&amp;""))-1),2)="병원",LEFT(TRIM(J128&amp;""),FIND(" ",TRIM(J128&amp;""))-1),LEFT(TRIM(J128&amp;""),FIND(" ",TRIM(J128&amp;""))-1)&amp;"병원"))&gt;0,ISNUMBER(MATCH(TRIM(RIGHT(SUBSTITUTE(TRIM(J128&amp;"")," ",REPT(" ",60)),60)),코드표!$F$2:$F$101,0))),IF(RIGHT(LEFT(TRIM(J128&amp;""),FIND(" ",TRIM(J128&amp;""))-1),2)="병원",LEFT(TRIM(J128&amp;""),FIND(" ",TRIM(J128&amp;""))-1),LEFT(TRIM(J128&amp;""),FIND(" ",TRIM(J128&amp;""))-1)&amp;"병원")&amp;" "&amp;INDEX(코드표!$G$2:$G$101,MATCH(TRIM(RIGHT(SUBSTITUTE(TRIM(J128&amp;"")," ",REPT(" ",60)),60)),코드표!$F$2:$F$101,0)),"⚠"&amp;TRIM(J128&amp;""))),"⚠"&amp;TRIM(J128&amp;""))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",TRIM(E129&amp;""))),COUNTIF(코드표!$A$2:$A$21,IF(RIGHT(LEFT(TRIM(E129&amp;""),FIND(" ",TRIM(E129&amp;""))-1),2)="병원",LEFT(TRIM(E129&amp;""),FIND(" ",TRIM(E129&amp;""))-1),LEFT(TRIM(E129&amp;""),FIND(" ",TRIM(E129&amp;""))-1)&amp;"병원"))&gt;0,ISNUMBER(MATCH(TRIM(RIGHT(SUBSTITUTE(TRIM(E129&amp;"")," ",REPT(" ",60)),60)),코드표!$F$2:$F$101,0))),IF(RIGHT(LEFT(TRIM(E129&amp;""),FIND(" ",TRIM(E129&amp;""))-1),2)="병원",LEFT(TRIM(E129&amp;""),FIND(" ",TRIM(E129&amp;""))-1),LEFT(TRIM(E129&amp;""),FIND(" ",TRIM(E129&amp;""))-1)&amp;"병원")&amp;" "&amp;INDEX(코드표!$G$2:$G$101,MATCH(TRIM(RIGHT(SUBSTITUTE(TRIM(E129&amp;"")," ",REPT(" ",60)),60)),코드표!$F$2:$F$101,0)),"⚠"&amp;TRIM(E129&amp;""))),"⚠"&amp;TRIM(E129&amp;""))</f>
        <v/>
      </c>
      <c r="N129" s="10">
        <f>IFERROR(IF(TRIM(F129&amp;"")="","",IF(AND(ISNUMBER(FIND(" ",TRIM(F129&amp;""))),COUNTIF(코드표!$A$2:$A$21,IF(RIGHT(LEFT(TRIM(F129&amp;""),FIND(" ",TRIM(F129&amp;""))-1),2)="병원",LEFT(TRIM(F129&amp;""),FIND(" ",TRIM(F129&amp;""))-1),LEFT(TRIM(F129&amp;""),FIND(" ",TRIM(F129&amp;""))-1)&amp;"병원"))&gt;0,ISNUMBER(MATCH(TRIM(RIGHT(SUBSTITUTE(TRIM(F129&amp;"")," ",REPT(" ",60)),60)),코드표!$F$2:$F$101,0))),IF(RIGHT(LEFT(TRIM(F129&amp;""),FIND(" ",TRIM(F129&amp;""))-1),2)="병원",LEFT(TRIM(F129&amp;""),FIND(" ",TRIM(F129&amp;""))-1),LEFT(TRIM(F129&amp;""),FIND(" ",TRIM(F129&amp;""))-1)&amp;"병원")&amp;" "&amp;INDEX(코드표!$G$2:$G$101,MATCH(TRIM(RIGHT(SUBSTITUTE(TRIM(F129&amp;"")," ",REPT(" ",60)),60)),코드표!$F$2:$F$101,0)),"⚠"&amp;TRIM(F129&amp;""))),"⚠"&amp;TRIM(F129&amp;""))</f>
        <v/>
      </c>
      <c r="O129" s="10">
        <f>IFERROR(IF(TRIM(G129&amp;"")="","",IF(AND(ISNUMBER(FIND(" ",TRIM(G129&amp;""))),COUNTIF(코드표!$A$2:$A$21,IF(RIGHT(LEFT(TRIM(G129&amp;""),FIND(" ",TRIM(G129&amp;""))-1),2)="병원",LEFT(TRIM(G129&amp;""),FIND(" ",TRIM(G129&amp;""))-1),LEFT(TRIM(G129&amp;""),FIND(" ",TRIM(G129&amp;""))-1)&amp;"병원"))&gt;0,ISNUMBER(MATCH(TRIM(RIGHT(SUBSTITUTE(TRIM(G129&amp;"")," ",REPT(" ",60)),60)),코드표!$F$2:$F$101,0))),IF(RIGHT(LEFT(TRIM(G129&amp;""),FIND(" ",TRIM(G129&amp;""))-1),2)="병원",LEFT(TRIM(G129&amp;""),FIND(" ",TRIM(G129&amp;""))-1),LEFT(TRIM(G129&amp;""),FIND(" ",TRIM(G129&amp;""))-1)&amp;"병원")&amp;" "&amp;INDEX(코드표!$G$2:$G$101,MATCH(TRIM(RIGHT(SUBSTITUTE(TRIM(G129&amp;"")," ",REPT(" ",60)),60)),코드표!$F$2:$F$101,0)),"⚠"&amp;TRIM(G129&amp;""))),"⚠"&amp;TRIM(G129&amp;""))</f>
        <v/>
      </c>
      <c r="P129" s="10">
        <f>IFERROR(IF(TRIM(H129&amp;"")="","",IF(AND(ISNUMBER(FIND(" ",TRIM(H129&amp;""))),COUNTIF(코드표!$A$2:$A$21,IF(RIGHT(LEFT(TRIM(H129&amp;""),FIND(" ",TRIM(H129&amp;""))-1),2)="병원",LEFT(TRIM(H129&amp;""),FIND(" ",TRIM(H129&amp;""))-1),LEFT(TRIM(H129&amp;""),FIND(" ",TRIM(H129&amp;""))-1)&amp;"병원"))&gt;0,ISNUMBER(MATCH(TRIM(RIGHT(SUBSTITUTE(TRIM(H129&amp;"")," ",REPT(" ",60)),60)),코드표!$F$2:$F$101,0))),IF(RIGHT(LEFT(TRIM(H129&amp;""),FIND(" ",TRIM(H129&amp;""))-1),2)="병원",LEFT(TRIM(H129&amp;""),FIND(" ",TRIM(H129&amp;""))-1),LEFT(TRIM(H129&amp;""),FIND(" ",TRIM(H129&amp;""))-1)&amp;"병원")&amp;" "&amp;INDEX(코드표!$G$2:$G$101,MATCH(TRIM(RIGHT(SUBSTITUTE(TRIM(H129&amp;"")," ",REPT(" ",60)),60)),코드표!$F$2:$F$101,0)),"⚠"&amp;TRIM(H129&amp;""))),"⚠"&amp;TRIM(H129&amp;""))</f>
        <v/>
      </c>
      <c r="Q129" s="10">
        <f>IFERROR(IF(TRIM(I129&amp;"")="","",IF(AND(ISNUMBER(FIND(" ",TRIM(I129&amp;""))),COUNTIF(코드표!$A$2:$A$21,IF(RIGHT(LEFT(TRIM(I129&amp;""),FIND(" ",TRIM(I129&amp;""))-1),2)="병원",LEFT(TRIM(I129&amp;""),FIND(" ",TRIM(I129&amp;""))-1),LEFT(TRIM(I129&amp;""),FIND(" ",TRIM(I129&amp;""))-1)&amp;"병원"))&gt;0,ISNUMBER(MATCH(TRIM(RIGHT(SUBSTITUTE(TRIM(I129&amp;"")," ",REPT(" ",60)),60)),코드표!$F$2:$F$101,0))),IF(RIGHT(LEFT(TRIM(I129&amp;""),FIND(" ",TRIM(I129&amp;""))-1),2)="병원",LEFT(TRIM(I129&amp;""),FIND(" ",TRIM(I129&amp;""))-1),LEFT(TRIM(I129&amp;""),FIND(" ",TRIM(I129&amp;""))-1)&amp;"병원")&amp;" "&amp;INDEX(코드표!$G$2:$G$101,MATCH(TRIM(RIGHT(SUBSTITUTE(TRIM(I129&amp;"")," ",REPT(" ",60)),60)),코드표!$F$2:$F$101,0)),"⚠"&amp;TRIM(I129&amp;""))),"⚠"&amp;TRIM(I129&amp;""))</f>
        <v/>
      </c>
      <c r="R129" s="10">
        <f>IFERROR(IF(TRIM(J129&amp;"")="","",IF(AND(ISNUMBER(FIND(" ",TRIM(J129&amp;""))),COUNTIF(코드표!$A$2:$A$21,IF(RIGHT(LEFT(TRIM(J129&amp;""),FIND(" ",TRIM(J129&amp;""))-1),2)="병원",LEFT(TRIM(J129&amp;""),FIND(" ",TRIM(J129&amp;""))-1),LEFT(TRIM(J129&amp;""),FIND(" ",TRIM(J129&amp;""))-1)&amp;"병원"))&gt;0,ISNUMBER(MATCH(TRIM(RIGHT(SUBSTITUTE(TRIM(J129&amp;"")," ",REPT(" ",60)),60)),코드표!$F$2:$F$101,0))),IF(RIGHT(LEFT(TRIM(J129&amp;""),FIND(" ",TRIM(J129&amp;""))-1),2)="병원",LEFT(TRIM(J129&amp;""),FIND(" ",TRIM(J129&amp;""))-1),LEFT(TRIM(J129&amp;""),FIND(" ",TRIM(J129&amp;""))-1)&amp;"병원")&amp;" "&amp;INDEX(코드표!$G$2:$G$101,MATCH(TRIM(RIGHT(SUBSTITUTE(TRIM(J129&amp;"")," ",REPT(" ",60)),60)),코드표!$F$2:$F$101,0)),"⚠"&amp;TRIM(J129&amp;""))),"⚠"&amp;TRIM(J129&amp;""))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",TRIM(E130&amp;""))),COUNTIF(코드표!$A$2:$A$21,IF(RIGHT(LEFT(TRIM(E130&amp;""),FIND(" ",TRIM(E130&amp;""))-1),2)="병원",LEFT(TRIM(E130&amp;""),FIND(" ",TRIM(E130&amp;""))-1),LEFT(TRIM(E130&amp;""),FIND(" ",TRIM(E130&amp;""))-1)&amp;"병원"))&gt;0,ISNUMBER(MATCH(TRIM(RIGHT(SUBSTITUTE(TRIM(E130&amp;"")," ",REPT(" ",60)),60)),코드표!$F$2:$F$101,0))),IF(RIGHT(LEFT(TRIM(E130&amp;""),FIND(" ",TRIM(E130&amp;""))-1),2)="병원",LEFT(TRIM(E130&amp;""),FIND(" ",TRIM(E130&amp;""))-1),LEFT(TRIM(E130&amp;""),FIND(" ",TRIM(E130&amp;""))-1)&amp;"병원")&amp;" "&amp;INDEX(코드표!$G$2:$G$101,MATCH(TRIM(RIGHT(SUBSTITUTE(TRIM(E130&amp;"")," ",REPT(" ",60)),60)),코드표!$F$2:$F$101,0)),"⚠"&amp;TRIM(E130&amp;""))),"⚠"&amp;TRIM(E130&amp;""))</f>
        <v/>
      </c>
      <c r="N130" s="10">
        <f>IFERROR(IF(TRIM(F130&amp;"")="","",IF(AND(ISNUMBER(FIND(" ",TRIM(F130&amp;""))),COUNTIF(코드표!$A$2:$A$21,IF(RIGHT(LEFT(TRIM(F130&amp;""),FIND(" ",TRIM(F130&amp;""))-1),2)="병원",LEFT(TRIM(F130&amp;""),FIND(" ",TRIM(F130&amp;""))-1),LEFT(TRIM(F130&amp;""),FIND(" ",TRIM(F130&amp;""))-1)&amp;"병원"))&gt;0,ISNUMBER(MATCH(TRIM(RIGHT(SUBSTITUTE(TRIM(F130&amp;"")," ",REPT(" ",60)),60)),코드표!$F$2:$F$101,0))),IF(RIGHT(LEFT(TRIM(F130&amp;""),FIND(" ",TRIM(F130&amp;""))-1),2)="병원",LEFT(TRIM(F130&amp;""),FIND(" ",TRIM(F130&amp;""))-1),LEFT(TRIM(F130&amp;""),FIND(" ",TRIM(F130&amp;""))-1)&amp;"병원")&amp;" "&amp;INDEX(코드표!$G$2:$G$101,MATCH(TRIM(RIGHT(SUBSTITUTE(TRIM(F130&amp;"")," ",REPT(" ",60)),60)),코드표!$F$2:$F$101,0)),"⚠"&amp;TRIM(F130&amp;""))),"⚠"&amp;TRIM(F130&amp;""))</f>
        <v/>
      </c>
      <c r="O130" s="10">
        <f>IFERROR(IF(TRIM(G130&amp;"")="","",IF(AND(ISNUMBER(FIND(" ",TRIM(G130&amp;""))),COUNTIF(코드표!$A$2:$A$21,IF(RIGHT(LEFT(TRIM(G130&amp;""),FIND(" ",TRIM(G130&amp;""))-1),2)="병원",LEFT(TRIM(G130&amp;""),FIND(" ",TRIM(G130&amp;""))-1),LEFT(TRIM(G130&amp;""),FIND(" ",TRIM(G130&amp;""))-1)&amp;"병원"))&gt;0,ISNUMBER(MATCH(TRIM(RIGHT(SUBSTITUTE(TRIM(G130&amp;"")," ",REPT(" ",60)),60)),코드표!$F$2:$F$101,0))),IF(RIGHT(LEFT(TRIM(G130&amp;""),FIND(" ",TRIM(G130&amp;""))-1),2)="병원",LEFT(TRIM(G130&amp;""),FIND(" ",TRIM(G130&amp;""))-1),LEFT(TRIM(G130&amp;""),FIND(" ",TRIM(G130&amp;""))-1)&amp;"병원")&amp;" "&amp;INDEX(코드표!$G$2:$G$101,MATCH(TRIM(RIGHT(SUBSTITUTE(TRIM(G130&amp;"")," ",REPT(" ",60)),60)),코드표!$F$2:$F$101,0)),"⚠"&amp;TRIM(G130&amp;""))),"⚠"&amp;TRIM(G130&amp;""))</f>
        <v/>
      </c>
      <c r="P130" s="10">
        <f>IFERROR(IF(TRIM(H130&amp;"")="","",IF(AND(ISNUMBER(FIND(" ",TRIM(H130&amp;""))),COUNTIF(코드표!$A$2:$A$21,IF(RIGHT(LEFT(TRIM(H130&amp;""),FIND(" ",TRIM(H130&amp;""))-1),2)="병원",LEFT(TRIM(H130&amp;""),FIND(" ",TRIM(H130&amp;""))-1),LEFT(TRIM(H130&amp;""),FIND(" ",TRIM(H130&amp;""))-1)&amp;"병원"))&gt;0,ISNUMBER(MATCH(TRIM(RIGHT(SUBSTITUTE(TRIM(H130&amp;"")," ",REPT(" ",60)),60)),코드표!$F$2:$F$101,0))),IF(RIGHT(LEFT(TRIM(H130&amp;""),FIND(" ",TRIM(H130&amp;""))-1),2)="병원",LEFT(TRIM(H130&amp;""),FIND(" ",TRIM(H130&amp;""))-1),LEFT(TRIM(H130&amp;""),FIND(" ",TRIM(H130&amp;""))-1)&amp;"병원")&amp;" "&amp;INDEX(코드표!$G$2:$G$101,MATCH(TRIM(RIGHT(SUBSTITUTE(TRIM(H130&amp;"")," ",REPT(" ",60)),60)),코드표!$F$2:$F$101,0)),"⚠"&amp;TRIM(H130&amp;""))),"⚠"&amp;TRIM(H130&amp;""))</f>
        <v/>
      </c>
      <c r="Q130" s="10">
        <f>IFERROR(IF(TRIM(I130&amp;"")="","",IF(AND(ISNUMBER(FIND(" ",TRIM(I130&amp;""))),COUNTIF(코드표!$A$2:$A$21,IF(RIGHT(LEFT(TRIM(I130&amp;""),FIND(" ",TRIM(I130&amp;""))-1),2)="병원",LEFT(TRIM(I130&amp;""),FIND(" ",TRIM(I130&amp;""))-1),LEFT(TRIM(I130&amp;""),FIND(" ",TRIM(I130&amp;""))-1)&amp;"병원"))&gt;0,ISNUMBER(MATCH(TRIM(RIGHT(SUBSTITUTE(TRIM(I130&amp;"")," ",REPT(" ",60)),60)),코드표!$F$2:$F$101,0))),IF(RIGHT(LEFT(TRIM(I130&amp;""),FIND(" ",TRIM(I130&amp;""))-1),2)="병원",LEFT(TRIM(I130&amp;""),FIND(" ",TRIM(I130&amp;""))-1),LEFT(TRIM(I130&amp;""),FIND(" ",TRIM(I130&amp;""))-1)&amp;"병원")&amp;" "&amp;INDEX(코드표!$G$2:$G$101,MATCH(TRIM(RIGHT(SUBSTITUTE(TRIM(I130&amp;"")," ",REPT(" ",60)),60)),코드표!$F$2:$F$101,0)),"⚠"&amp;TRIM(I130&amp;""))),"⚠"&amp;TRIM(I130&amp;""))</f>
        <v/>
      </c>
      <c r="R130" s="10">
        <f>IFERROR(IF(TRIM(J130&amp;"")="","",IF(AND(ISNUMBER(FIND(" ",TRIM(J130&amp;""))),COUNTIF(코드표!$A$2:$A$21,IF(RIGHT(LEFT(TRIM(J130&amp;""),FIND(" ",TRIM(J130&amp;""))-1),2)="병원",LEFT(TRIM(J130&amp;""),FIND(" ",TRIM(J130&amp;""))-1),LEFT(TRIM(J130&amp;""),FIND(" ",TRIM(J130&amp;""))-1)&amp;"병원"))&gt;0,ISNUMBER(MATCH(TRIM(RIGHT(SUBSTITUTE(TRIM(J130&amp;"")," ",REPT(" ",60)),60)),코드표!$F$2:$F$101,0))),IF(RIGHT(LEFT(TRIM(J130&amp;""),FIND(" ",TRIM(J130&amp;""))-1),2)="병원",LEFT(TRIM(J130&amp;""),FIND(" ",TRIM(J130&amp;""))-1),LEFT(TRIM(J130&amp;""),FIND(" ",TRIM(J130&amp;""))-1)&amp;"병원")&amp;" "&amp;INDEX(코드표!$G$2:$G$101,MATCH(TRIM(RIGHT(SUBSTITUTE(TRIM(J130&amp;"")," ",REPT(" ",60)),60)),코드표!$F$2:$F$101,0)),"⚠"&amp;TRIM(J130&amp;""))),"⚠"&amp;TRIM(J130&amp;""))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",TRIM(E131&amp;""))),COUNTIF(코드표!$A$2:$A$21,IF(RIGHT(LEFT(TRIM(E131&amp;""),FIND(" ",TRIM(E131&amp;""))-1),2)="병원",LEFT(TRIM(E131&amp;""),FIND(" ",TRIM(E131&amp;""))-1),LEFT(TRIM(E131&amp;""),FIND(" ",TRIM(E131&amp;""))-1)&amp;"병원"))&gt;0,ISNUMBER(MATCH(TRIM(RIGHT(SUBSTITUTE(TRIM(E131&amp;"")," ",REPT(" ",60)),60)),코드표!$F$2:$F$101,0))),IF(RIGHT(LEFT(TRIM(E131&amp;""),FIND(" ",TRIM(E131&amp;""))-1),2)="병원",LEFT(TRIM(E131&amp;""),FIND(" ",TRIM(E131&amp;""))-1),LEFT(TRIM(E131&amp;""),FIND(" ",TRIM(E131&amp;""))-1)&amp;"병원")&amp;" "&amp;INDEX(코드표!$G$2:$G$101,MATCH(TRIM(RIGHT(SUBSTITUTE(TRIM(E131&amp;"")," ",REPT(" ",60)),60)),코드표!$F$2:$F$101,0)),"⚠"&amp;TRIM(E131&amp;""))),"⚠"&amp;TRIM(E131&amp;""))</f>
        <v/>
      </c>
      <c r="N131" s="10">
        <f>IFERROR(IF(TRIM(F131&amp;"")="","",IF(AND(ISNUMBER(FIND(" ",TRIM(F131&amp;""))),COUNTIF(코드표!$A$2:$A$21,IF(RIGHT(LEFT(TRIM(F131&amp;""),FIND(" ",TRIM(F131&amp;""))-1),2)="병원",LEFT(TRIM(F131&amp;""),FIND(" ",TRIM(F131&amp;""))-1),LEFT(TRIM(F131&amp;""),FIND(" ",TRIM(F131&amp;""))-1)&amp;"병원"))&gt;0,ISNUMBER(MATCH(TRIM(RIGHT(SUBSTITUTE(TRIM(F131&amp;"")," ",REPT(" ",60)),60)),코드표!$F$2:$F$101,0))),IF(RIGHT(LEFT(TRIM(F131&amp;""),FIND(" ",TRIM(F131&amp;""))-1),2)="병원",LEFT(TRIM(F131&amp;""),FIND(" ",TRIM(F131&amp;""))-1),LEFT(TRIM(F131&amp;""),FIND(" ",TRIM(F131&amp;""))-1)&amp;"병원")&amp;" "&amp;INDEX(코드표!$G$2:$G$101,MATCH(TRIM(RIGHT(SUBSTITUTE(TRIM(F131&amp;"")," ",REPT(" ",60)),60)),코드표!$F$2:$F$101,0)),"⚠"&amp;TRIM(F131&amp;""))),"⚠"&amp;TRIM(F131&amp;""))</f>
        <v/>
      </c>
      <c r="O131" s="10">
        <f>IFERROR(IF(TRIM(G131&amp;"")="","",IF(AND(ISNUMBER(FIND(" ",TRIM(G131&amp;""))),COUNTIF(코드표!$A$2:$A$21,IF(RIGHT(LEFT(TRIM(G131&amp;""),FIND(" ",TRIM(G131&amp;""))-1),2)="병원",LEFT(TRIM(G131&amp;""),FIND(" ",TRIM(G131&amp;""))-1),LEFT(TRIM(G131&amp;""),FIND(" ",TRIM(G131&amp;""))-1)&amp;"병원"))&gt;0,ISNUMBER(MATCH(TRIM(RIGHT(SUBSTITUTE(TRIM(G131&amp;"")," ",REPT(" ",60)),60)),코드표!$F$2:$F$101,0))),IF(RIGHT(LEFT(TRIM(G131&amp;""),FIND(" ",TRIM(G131&amp;""))-1),2)="병원",LEFT(TRIM(G131&amp;""),FIND(" ",TRIM(G131&amp;""))-1),LEFT(TRIM(G131&amp;""),FIND(" ",TRIM(G131&amp;""))-1)&amp;"병원")&amp;" "&amp;INDEX(코드표!$G$2:$G$101,MATCH(TRIM(RIGHT(SUBSTITUTE(TRIM(G131&amp;"")," ",REPT(" ",60)),60)),코드표!$F$2:$F$101,0)),"⚠"&amp;TRIM(G131&amp;""))),"⚠"&amp;TRIM(G131&amp;""))</f>
        <v/>
      </c>
      <c r="P131" s="10">
        <f>IFERROR(IF(TRIM(H131&amp;"")="","",IF(AND(ISNUMBER(FIND(" ",TRIM(H131&amp;""))),COUNTIF(코드표!$A$2:$A$21,IF(RIGHT(LEFT(TRIM(H131&amp;""),FIND(" ",TRIM(H131&amp;""))-1),2)="병원",LEFT(TRIM(H131&amp;""),FIND(" ",TRIM(H131&amp;""))-1),LEFT(TRIM(H131&amp;""),FIND(" ",TRIM(H131&amp;""))-1)&amp;"병원"))&gt;0,ISNUMBER(MATCH(TRIM(RIGHT(SUBSTITUTE(TRIM(H131&amp;"")," ",REPT(" ",60)),60)),코드표!$F$2:$F$101,0))),IF(RIGHT(LEFT(TRIM(H131&amp;""),FIND(" ",TRIM(H131&amp;""))-1),2)="병원",LEFT(TRIM(H131&amp;""),FIND(" ",TRIM(H131&amp;""))-1),LEFT(TRIM(H131&amp;""),FIND(" ",TRIM(H131&amp;""))-1)&amp;"병원")&amp;" "&amp;INDEX(코드표!$G$2:$G$101,MATCH(TRIM(RIGHT(SUBSTITUTE(TRIM(H131&amp;"")," ",REPT(" ",60)),60)),코드표!$F$2:$F$101,0)),"⚠"&amp;TRIM(H131&amp;""))),"⚠"&amp;TRIM(H131&amp;""))</f>
        <v/>
      </c>
      <c r="Q131" s="10">
        <f>IFERROR(IF(TRIM(I131&amp;"")="","",IF(AND(ISNUMBER(FIND(" ",TRIM(I131&amp;""))),COUNTIF(코드표!$A$2:$A$21,IF(RIGHT(LEFT(TRIM(I131&amp;""),FIND(" ",TRIM(I131&amp;""))-1),2)="병원",LEFT(TRIM(I131&amp;""),FIND(" ",TRIM(I131&amp;""))-1),LEFT(TRIM(I131&amp;""),FIND(" ",TRIM(I131&amp;""))-1)&amp;"병원"))&gt;0,ISNUMBER(MATCH(TRIM(RIGHT(SUBSTITUTE(TRIM(I131&amp;"")," ",REPT(" ",60)),60)),코드표!$F$2:$F$101,0))),IF(RIGHT(LEFT(TRIM(I131&amp;""),FIND(" ",TRIM(I131&amp;""))-1),2)="병원",LEFT(TRIM(I131&amp;""),FIND(" ",TRIM(I131&amp;""))-1),LEFT(TRIM(I131&amp;""),FIND(" ",TRIM(I131&amp;""))-1)&amp;"병원")&amp;" "&amp;INDEX(코드표!$G$2:$G$101,MATCH(TRIM(RIGHT(SUBSTITUTE(TRIM(I131&amp;"")," ",REPT(" ",60)),60)),코드표!$F$2:$F$101,0)),"⚠"&amp;TRIM(I131&amp;""))),"⚠"&amp;TRIM(I131&amp;""))</f>
        <v/>
      </c>
      <c r="R131" s="10">
        <f>IFERROR(IF(TRIM(J131&amp;"")="","",IF(AND(ISNUMBER(FIND(" ",TRIM(J131&amp;""))),COUNTIF(코드표!$A$2:$A$21,IF(RIGHT(LEFT(TRIM(J131&amp;""),FIND(" ",TRIM(J131&amp;""))-1),2)="병원",LEFT(TRIM(J131&amp;""),FIND(" ",TRIM(J131&amp;""))-1),LEFT(TRIM(J131&amp;""),FIND(" ",TRIM(J131&amp;""))-1)&amp;"병원"))&gt;0,ISNUMBER(MATCH(TRIM(RIGHT(SUBSTITUTE(TRIM(J131&amp;"")," ",REPT(" ",60)),60)),코드표!$F$2:$F$101,0))),IF(RIGHT(LEFT(TRIM(J131&amp;""),FIND(" ",TRIM(J131&amp;""))-1),2)="병원",LEFT(TRIM(J131&amp;""),FIND(" ",TRIM(J131&amp;""))-1),LEFT(TRIM(J131&amp;""),FIND(" ",TRIM(J131&amp;""))-1)&amp;"병원")&amp;" "&amp;INDEX(코드표!$G$2:$G$101,MATCH(TRIM(RIGHT(SUBSTITUTE(TRIM(J131&amp;"")," ",REPT(" ",60)),60)),코드표!$F$2:$F$101,0)),"⚠"&amp;TRIM(J131&amp;""))),"⚠"&amp;TRIM(J131&amp;""))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",TRIM(E132&amp;""))),COUNTIF(코드표!$A$2:$A$21,IF(RIGHT(LEFT(TRIM(E132&amp;""),FIND(" ",TRIM(E132&amp;""))-1),2)="병원",LEFT(TRIM(E132&amp;""),FIND(" ",TRIM(E132&amp;""))-1),LEFT(TRIM(E132&amp;""),FIND(" ",TRIM(E132&amp;""))-1)&amp;"병원"))&gt;0,ISNUMBER(MATCH(TRIM(RIGHT(SUBSTITUTE(TRIM(E132&amp;"")," ",REPT(" ",60)),60)),코드표!$F$2:$F$101,0))),IF(RIGHT(LEFT(TRIM(E132&amp;""),FIND(" ",TRIM(E132&amp;""))-1),2)="병원",LEFT(TRIM(E132&amp;""),FIND(" ",TRIM(E132&amp;""))-1),LEFT(TRIM(E132&amp;""),FIND(" ",TRIM(E132&amp;""))-1)&amp;"병원")&amp;" "&amp;INDEX(코드표!$G$2:$G$101,MATCH(TRIM(RIGHT(SUBSTITUTE(TRIM(E132&amp;"")," ",REPT(" ",60)),60)),코드표!$F$2:$F$101,0)),"⚠"&amp;TRIM(E132&amp;""))),"⚠"&amp;TRIM(E132&amp;""))</f>
        <v/>
      </c>
      <c r="N132" s="10">
        <f>IFERROR(IF(TRIM(F132&amp;"")="","",IF(AND(ISNUMBER(FIND(" ",TRIM(F132&amp;""))),COUNTIF(코드표!$A$2:$A$21,IF(RIGHT(LEFT(TRIM(F132&amp;""),FIND(" ",TRIM(F132&amp;""))-1),2)="병원",LEFT(TRIM(F132&amp;""),FIND(" ",TRIM(F132&amp;""))-1),LEFT(TRIM(F132&amp;""),FIND(" ",TRIM(F132&amp;""))-1)&amp;"병원"))&gt;0,ISNUMBER(MATCH(TRIM(RIGHT(SUBSTITUTE(TRIM(F132&amp;"")," ",REPT(" ",60)),60)),코드표!$F$2:$F$101,0))),IF(RIGHT(LEFT(TRIM(F132&amp;""),FIND(" ",TRIM(F132&amp;""))-1),2)="병원",LEFT(TRIM(F132&amp;""),FIND(" ",TRIM(F132&amp;""))-1),LEFT(TRIM(F132&amp;""),FIND(" ",TRIM(F132&amp;""))-1)&amp;"병원")&amp;" "&amp;INDEX(코드표!$G$2:$G$101,MATCH(TRIM(RIGHT(SUBSTITUTE(TRIM(F132&amp;"")," ",REPT(" ",60)),60)),코드표!$F$2:$F$101,0)),"⚠"&amp;TRIM(F132&amp;""))),"⚠"&amp;TRIM(F132&amp;""))</f>
        <v/>
      </c>
      <c r="O132" s="10">
        <f>IFERROR(IF(TRIM(G132&amp;"")="","",IF(AND(ISNUMBER(FIND(" ",TRIM(G132&amp;""))),COUNTIF(코드표!$A$2:$A$21,IF(RIGHT(LEFT(TRIM(G132&amp;""),FIND(" ",TRIM(G132&amp;""))-1),2)="병원",LEFT(TRIM(G132&amp;""),FIND(" ",TRIM(G132&amp;""))-1),LEFT(TRIM(G132&amp;""),FIND(" ",TRIM(G132&amp;""))-1)&amp;"병원"))&gt;0,ISNUMBER(MATCH(TRIM(RIGHT(SUBSTITUTE(TRIM(G132&amp;"")," ",REPT(" ",60)),60)),코드표!$F$2:$F$101,0))),IF(RIGHT(LEFT(TRIM(G132&amp;""),FIND(" ",TRIM(G132&amp;""))-1),2)="병원",LEFT(TRIM(G132&amp;""),FIND(" ",TRIM(G132&amp;""))-1),LEFT(TRIM(G132&amp;""),FIND(" ",TRIM(G132&amp;""))-1)&amp;"병원")&amp;" "&amp;INDEX(코드표!$G$2:$G$101,MATCH(TRIM(RIGHT(SUBSTITUTE(TRIM(G132&amp;"")," ",REPT(" ",60)),60)),코드표!$F$2:$F$101,0)),"⚠"&amp;TRIM(G132&amp;""))),"⚠"&amp;TRIM(G132&amp;""))</f>
        <v/>
      </c>
      <c r="P132" s="10">
        <f>IFERROR(IF(TRIM(H132&amp;"")="","",IF(AND(ISNUMBER(FIND(" ",TRIM(H132&amp;""))),COUNTIF(코드표!$A$2:$A$21,IF(RIGHT(LEFT(TRIM(H132&amp;""),FIND(" ",TRIM(H132&amp;""))-1),2)="병원",LEFT(TRIM(H132&amp;""),FIND(" ",TRIM(H132&amp;""))-1),LEFT(TRIM(H132&amp;""),FIND(" ",TRIM(H132&amp;""))-1)&amp;"병원"))&gt;0,ISNUMBER(MATCH(TRIM(RIGHT(SUBSTITUTE(TRIM(H132&amp;"")," ",REPT(" ",60)),60)),코드표!$F$2:$F$101,0))),IF(RIGHT(LEFT(TRIM(H132&amp;""),FIND(" ",TRIM(H132&amp;""))-1),2)="병원",LEFT(TRIM(H132&amp;""),FIND(" ",TRIM(H132&amp;""))-1),LEFT(TRIM(H132&amp;""),FIND(" ",TRIM(H132&amp;""))-1)&amp;"병원")&amp;" "&amp;INDEX(코드표!$G$2:$G$101,MATCH(TRIM(RIGHT(SUBSTITUTE(TRIM(H132&amp;"")," ",REPT(" ",60)),60)),코드표!$F$2:$F$101,0)),"⚠"&amp;TRIM(H132&amp;""))),"⚠"&amp;TRIM(H132&amp;""))</f>
        <v/>
      </c>
      <c r="Q132" s="10">
        <f>IFERROR(IF(TRIM(I132&amp;"")="","",IF(AND(ISNUMBER(FIND(" ",TRIM(I132&amp;""))),COUNTIF(코드표!$A$2:$A$21,IF(RIGHT(LEFT(TRIM(I132&amp;""),FIND(" ",TRIM(I132&amp;""))-1),2)="병원",LEFT(TRIM(I132&amp;""),FIND(" ",TRIM(I132&amp;""))-1),LEFT(TRIM(I132&amp;""),FIND(" ",TRIM(I132&amp;""))-1)&amp;"병원"))&gt;0,ISNUMBER(MATCH(TRIM(RIGHT(SUBSTITUTE(TRIM(I132&amp;"")," ",REPT(" ",60)),60)),코드표!$F$2:$F$101,0))),IF(RIGHT(LEFT(TRIM(I132&amp;""),FIND(" ",TRIM(I132&amp;""))-1),2)="병원",LEFT(TRIM(I132&amp;""),FIND(" ",TRIM(I132&amp;""))-1),LEFT(TRIM(I132&amp;""),FIND(" ",TRIM(I132&amp;""))-1)&amp;"병원")&amp;" "&amp;INDEX(코드표!$G$2:$G$101,MATCH(TRIM(RIGHT(SUBSTITUTE(TRIM(I132&amp;"")," ",REPT(" ",60)),60)),코드표!$F$2:$F$101,0)),"⚠"&amp;TRIM(I132&amp;""))),"⚠"&amp;TRIM(I132&amp;""))</f>
        <v/>
      </c>
      <c r="R132" s="10">
        <f>IFERROR(IF(TRIM(J132&amp;"")="","",IF(AND(ISNUMBER(FIND(" ",TRIM(J132&amp;""))),COUNTIF(코드표!$A$2:$A$21,IF(RIGHT(LEFT(TRIM(J132&amp;""),FIND(" ",TRIM(J132&amp;""))-1),2)="병원",LEFT(TRIM(J132&amp;""),FIND(" ",TRIM(J132&amp;""))-1),LEFT(TRIM(J132&amp;""),FIND(" ",TRIM(J132&amp;""))-1)&amp;"병원"))&gt;0,ISNUMBER(MATCH(TRIM(RIGHT(SUBSTITUTE(TRIM(J132&amp;"")," ",REPT(" ",60)),60)),코드표!$F$2:$F$101,0))),IF(RIGHT(LEFT(TRIM(J132&amp;""),FIND(" ",TRIM(J132&amp;""))-1),2)="병원",LEFT(TRIM(J132&amp;""),FIND(" ",TRIM(J132&amp;""))-1),LEFT(TRIM(J132&amp;""),FIND(" ",TRIM(J132&amp;""))-1)&amp;"병원")&amp;" "&amp;INDEX(코드표!$G$2:$G$101,MATCH(TRIM(RIGHT(SUBSTITUTE(TRIM(J132&amp;"")," ",REPT(" ",60)),60)),코드표!$F$2:$F$101,0)),"⚠"&amp;TRIM(J132&amp;""))),"⚠"&amp;TRIM(J132&amp;""))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",TRIM(E133&amp;""))),COUNTIF(코드표!$A$2:$A$21,IF(RIGHT(LEFT(TRIM(E133&amp;""),FIND(" ",TRIM(E133&amp;""))-1),2)="병원",LEFT(TRIM(E133&amp;""),FIND(" ",TRIM(E133&amp;""))-1),LEFT(TRIM(E133&amp;""),FIND(" ",TRIM(E133&amp;""))-1)&amp;"병원"))&gt;0,ISNUMBER(MATCH(TRIM(RIGHT(SUBSTITUTE(TRIM(E133&amp;"")," ",REPT(" ",60)),60)),코드표!$F$2:$F$101,0))),IF(RIGHT(LEFT(TRIM(E133&amp;""),FIND(" ",TRIM(E133&amp;""))-1),2)="병원",LEFT(TRIM(E133&amp;""),FIND(" ",TRIM(E133&amp;""))-1),LEFT(TRIM(E133&amp;""),FIND(" ",TRIM(E133&amp;""))-1)&amp;"병원")&amp;" "&amp;INDEX(코드표!$G$2:$G$101,MATCH(TRIM(RIGHT(SUBSTITUTE(TRIM(E133&amp;"")," ",REPT(" ",60)),60)),코드표!$F$2:$F$101,0)),"⚠"&amp;TRIM(E133&amp;""))),"⚠"&amp;TRIM(E133&amp;""))</f>
        <v/>
      </c>
      <c r="N133" s="10">
        <f>IFERROR(IF(TRIM(F133&amp;"")="","",IF(AND(ISNUMBER(FIND(" ",TRIM(F133&amp;""))),COUNTIF(코드표!$A$2:$A$21,IF(RIGHT(LEFT(TRIM(F133&amp;""),FIND(" ",TRIM(F133&amp;""))-1),2)="병원",LEFT(TRIM(F133&amp;""),FIND(" ",TRIM(F133&amp;""))-1),LEFT(TRIM(F133&amp;""),FIND(" ",TRIM(F133&amp;""))-1)&amp;"병원"))&gt;0,ISNUMBER(MATCH(TRIM(RIGHT(SUBSTITUTE(TRIM(F133&amp;"")," ",REPT(" ",60)),60)),코드표!$F$2:$F$101,0))),IF(RIGHT(LEFT(TRIM(F133&amp;""),FIND(" ",TRIM(F133&amp;""))-1),2)="병원",LEFT(TRIM(F133&amp;""),FIND(" ",TRIM(F133&amp;""))-1),LEFT(TRIM(F133&amp;""),FIND(" ",TRIM(F133&amp;""))-1)&amp;"병원")&amp;" "&amp;INDEX(코드표!$G$2:$G$101,MATCH(TRIM(RIGHT(SUBSTITUTE(TRIM(F133&amp;"")," ",REPT(" ",60)),60)),코드표!$F$2:$F$101,0)),"⚠"&amp;TRIM(F133&amp;""))),"⚠"&amp;TRIM(F133&amp;""))</f>
        <v/>
      </c>
      <c r="O133" s="10">
        <f>IFERROR(IF(TRIM(G133&amp;"")="","",IF(AND(ISNUMBER(FIND(" ",TRIM(G133&amp;""))),COUNTIF(코드표!$A$2:$A$21,IF(RIGHT(LEFT(TRIM(G133&amp;""),FIND(" ",TRIM(G133&amp;""))-1),2)="병원",LEFT(TRIM(G133&amp;""),FIND(" ",TRIM(G133&amp;""))-1),LEFT(TRIM(G133&amp;""),FIND(" ",TRIM(G133&amp;""))-1)&amp;"병원"))&gt;0,ISNUMBER(MATCH(TRIM(RIGHT(SUBSTITUTE(TRIM(G133&amp;"")," ",REPT(" ",60)),60)),코드표!$F$2:$F$101,0))),IF(RIGHT(LEFT(TRIM(G133&amp;""),FIND(" ",TRIM(G133&amp;""))-1),2)="병원",LEFT(TRIM(G133&amp;""),FIND(" ",TRIM(G133&amp;""))-1),LEFT(TRIM(G133&amp;""),FIND(" ",TRIM(G133&amp;""))-1)&amp;"병원")&amp;" "&amp;INDEX(코드표!$G$2:$G$101,MATCH(TRIM(RIGHT(SUBSTITUTE(TRIM(G133&amp;"")," ",REPT(" ",60)),60)),코드표!$F$2:$F$101,0)),"⚠"&amp;TRIM(G133&amp;""))),"⚠"&amp;TRIM(G133&amp;""))</f>
        <v/>
      </c>
      <c r="P133" s="10">
        <f>IFERROR(IF(TRIM(H133&amp;"")="","",IF(AND(ISNUMBER(FIND(" ",TRIM(H133&amp;""))),COUNTIF(코드표!$A$2:$A$21,IF(RIGHT(LEFT(TRIM(H133&amp;""),FIND(" ",TRIM(H133&amp;""))-1),2)="병원",LEFT(TRIM(H133&amp;""),FIND(" ",TRIM(H133&amp;""))-1),LEFT(TRIM(H133&amp;""),FIND(" ",TRIM(H133&amp;""))-1)&amp;"병원"))&gt;0,ISNUMBER(MATCH(TRIM(RIGHT(SUBSTITUTE(TRIM(H133&amp;"")," ",REPT(" ",60)),60)),코드표!$F$2:$F$101,0))),IF(RIGHT(LEFT(TRIM(H133&amp;""),FIND(" ",TRIM(H133&amp;""))-1),2)="병원",LEFT(TRIM(H133&amp;""),FIND(" ",TRIM(H133&amp;""))-1),LEFT(TRIM(H133&amp;""),FIND(" ",TRIM(H133&amp;""))-1)&amp;"병원")&amp;" "&amp;INDEX(코드표!$G$2:$G$101,MATCH(TRIM(RIGHT(SUBSTITUTE(TRIM(H133&amp;"")," ",REPT(" ",60)),60)),코드표!$F$2:$F$101,0)),"⚠"&amp;TRIM(H133&amp;""))),"⚠"&amp;TRIM(H133&amp;""))</f>
        <v/>
      </c>
      <c r="Q133" s="10">
        <f>IFERROR(IF(TRIM(I133&amp;"")="","",IF(AND(ISNUMBER(FIND(" ",TRIM(I133&amp;""))),COUNTIF(코드표!$A$2:$A$21,IF(RIGHT(LEFT(TRIM(I133&amp;""),FIND(" ",TRIM(I133&amp;""))-1),2)="병원",LEFT(TRIM(I133&amp;""),FIND(" ",TRIM(I133&amp;""))-1),LEFT(TRIM(I133&amp;""),FIND(" ",TRIM(I133&amp;""))-1)&amp;"병원"))&gt;0,ISNUMBER(MATCH(TRIM(RIGHT(SUBSTITUTE(TRIM(I133&amp;"")," ",REPT(" ",60)),60)),코드표!$F$2:$F$101,0))),IF(RIGHT(LEFT(TRIM(I133&amp;""),FIND(" ",TRIM(I133&amp;""))-1),2)="병원",LEFT(TRIM(I133&amp;""),FIND(" ",TRIM(I133&amp;""))-1),LEFT(TRIM(I133&amp;""),FIND(" ",TRIM(I133&amp;""))-1)&amp;"병원")&amp;" "&amp;INDEX(코드표!$G$2:$G$101,MATCH(TRIM(RIGHT(SUBSTITUTE(TRIM(I133&amp;"")," ",REPT(" ",60)),60)),코드표!$F$2:$F$101,0)),"⚠"&amp;TRIM(I133&amp;""))),"⚠"&amp;TRIM(I133&amp;""))</f>
        <v/>
      </c>
      <c r="R133" s="10">
        <f>IFERROR(IF(TRIM(J133&amp;"")="","",IF(AND(ISNUMBER(FIND(" ",TRIM(J133&amp;""))),COUNTIF(코드표!$A$2:$A$21,IF(RIGHT(LEFT(TRIM(J133&amp;""),FIND(" ",TRIM(J133&amp;""))-1),2)="병원",LEFT(TRIM(J133&amp;""),FIND(" ",TRIM(J133&amp;""))-1),LEFT(TRIM(J133&amp;""),FIND(" ",TRIM(J133&amp;""))-1)&amp;"병원"))&gt;0,ISNUMBER(MATCH(TRIM(RIGHT(SUBSTITUTE(TRIM(J133&amp;"")," ",REPT(" ",60)),60)),코드표!$F$2:$F$101,0))),IF(RIGHT(LEFT(TRIM(J133&amp;""),FIND(" ",TRIM(J133&amp;""))-1),2)="병원",LEFT(TRIM(J133&amp;""),FIND(" ",TRIM(J133&amp;""))-1),LEFT(TRIM(J133&amp;""),FIND(" ",TRIM(J133&amp;""))-1)&amp;"병원")&amp;" "&amp;INDEX(코드표!$G$2:$G$101,MATCH(TRIM(RIGHT(SUBSTITUTE(TRIM(J133&amp;"")," ",REPT(" ",60)),60)),코드표!$F$2:$F$101,0)),"⚠"&amp;TRIM(J133&amp;""))),"⚠"&amp;TRIM(J133&amp;""))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",TRIM(E134&amp;""))),COUNTIF(코드표!$A$2:$A$21,IF(RIGHT(LEFT(TRIM(E134&amp;""),FIND(" ",TRIM(E134&amp;""))-1),2)="병원",LEFT(TRIM(E134&amp;""),FIND(" ",TRIM(E134&amp;""))-1),LEFT(TRIM(E134&amp;""),FIND(" ",TRIM(E134&amp;""))-1)&amp;"병원"))&gt;0,ISNUMBER(MATCH(TRIM(RIGHT(SUBSTITUTE(TRIM(E134&amp;"")," ",REPT(" ",60)),60)),코드표!$F$2:$F$101,0))),IF(RIGHT(LEFT(TRIM(E134&amp;""),FIND(" ",TRIM(E134&amp;""))-1),2)="병원",LEFT(TRIM(E134&amp;""),FIND(" ",TRIM(E134&amp;""))-1),LEFT(TRIM(E134&amp;""),FIND(" ",TRIM(E134&amp;""))-1)&amp;"병원")&amp;" "&amp;INDEX(코드표!$G$2:$G$101,MATCH(TRIM(RIGHT(SUBSTITUTE(TRIM(E134&amp;"")," ",REPT(" ",60)),60)),코드표!$F$2:$F$101,0)),"⚠"&amp;TRIM(E134&amp;""))),"⚠"&amp;TRIM(E134&amp;""))</f>
        <v/>
      </c>
      <c r="N134" s="10">
        <f>IFERROR(IF(TRIM(F134&amp;"")="","",IF(AND(ISNUMBER(FIND(" ",TRIM(F134&amp;""))),COUNTIF(코드표!$A$2:$A$21,IF(RIGHT(LEFT(TRIM(F134&amp;""),FIND(" ",TRIM(F134&amp;""))-1),2)="병원",LEFT(TRIM(F134&amp;""),FIND(" ",TRIM(F134&amp;""))-1),LEFT(TRIM(F134&amp;""),FIND(" ",TRIM(F134&amp;""))-1)&amp;"병원"))&gt;0,ISNUMBER(MATCH(TRIM(RIGHT(SUBSTITUTE(TRIM(F134&amp;"")," ",REPT(" ",60)),60)),코드표!$F$2:$F$101,0))),IF(RIGHT(LEFT(TRIM(F134&amp;""),FIND(" ",TRIM(F134&amp;""))-1),2)="병원",LEFT(TRIM(F134&amp;""),FIND(" ",TRIM(F134&amp;""))-1),LEFT(TRIM(F134&amp;""),FIND(" ",TRIM(F134&amp;""))-1)&amp;"병원")&amp;" "&amp;INDEX(코드표!$G$2:$G$101,MATCH(TRIM(RIGHT(SUBSTITUTE(TRIM(F134&amp;"")," ",REPT(" ",60)),60)),코드표!$F$2:$F$101,0)),"⚠"&amp;TRIM(F134&amp;""))),"⚠"&amp;TRIM(F134&amp;""))</f>
        <v/>
      </c>
      <c r="O134" s="10">
        <f>IFERROR(IF(TRIM(G134&amp;"")="","",IF(AND(ISNUMBER(FIND(" ",TRIM(G134&amp;""))),COUNTIF(코드표!$A$2:$A$21,IF(RIGHT(LEFT(TRIM(G134&amp;""),FIND(" ",TRIM(G134&amp;""))-1),2)="병원",LEFT(TRIM(G134&amp;""),FIND(" ",TRIM(G134&amp;""))-1),LEFT(TRIM(G134&amp;""),FIND(" ",TRIM(G134&amp;""))-1)&amp;"병원"))&gt;0,ISNUMBER(MATCH(TRIM(RIGHT(SUBSTITUTE(TRIM(G134&amp;"")," ",REPT(" ",60)),60)),코드표!$F$2:$F$101,0))),IF(RIGHT(LEFT(TRIM(G134&amp;""),FIND(" ",TRIM(G134&amp;""))-1),2)="병원",LEFT(TRIM(G134&amp;""),FIND(" ",TRIM(G134&amp;""))-1),LEFT(TRIM(G134&amp;""),FIND(" ",TRIM(G134&amp;""))-1)&amp;"병원")&amp;" "&amp;INDEX(코드표!$G$2:$G$101,MATCH(TRIM(RIGHT(SUBSTITUTE(TRIM(G134&amp;"")," ",REPT(" ",60)),60)),코드표!$F$2:$F$101,0)),"⚠"&amp;TRIM(G134&amp;""))),"⚠"&amp;TRIM(G134&amp;""))</f>
        <v/>
      </c>
      <c r="P134" s="10">
        <f>IFERROR(IF(TRIM(H134&amp;"")="","",IF(AND(ISNUMBER(FIND(" ",TRIM(H134&amp;""))),COUNTIF(코드표!$A$2:$A$21,IF(RIGHT(LEFT(TRIM(H134&amp;""),FIND(" ",TRIM(H134&amp;""))-1),2)="병원",LEFT(TRIM(H134&amp;""),FIND(" ",TRIM(H134&amp;""))-1),LEFT(TRIM(H134&amp;""),FIND(" ",TRIM(H134&amp;""))-1)&amp;"병원"))&gt;0,ISNUMBER(MATCH(TRIM(RIGHT(SUBSTITUTE(TRIM(H134&amp;"")," ",REPT(" ",60)),60)),코드표!$F$2:$F$101,0))),IF(RIGHT(LEFT(TRIM(H134&amp;""),FIND(" ",TRIM(H134&amp;""))-1),2)="병원",LEFT(TRIM(H134&amp;""),FIND(" ",TRIM(H134&amp;""))-1),LEFT(TRIM(H134&amp;""),FIND(" ",TRIM(H134&amp;""))-1)&amp;"병원")&amp;" "&amp;INDEX(코드표!$G$2:$G$101,MATCH(TRIM(RIGHT(SUBSTITUTE(TRIM(H134&amp;"")," ",REPT(" ",60)),60)),코드표!$F$2:$F$101,0)),"⚠"&amp;TRIM(H134&amp;""))),"⚠"&amp;TRIM(H134&amp;""))</f>
        <v/>
      </c>
      <c r="Q134" s="10">
        <f>IFERROR(IF(TRIM(I134&amp;"")="","",IF(AND(ISNUMBER(FIND(" ",TRIM(I134&amp;""))),COUNTIF(코드표!$A$2:$A$21,IF(RIGHT(LEFT(TRIM(I134&amp;""),FIND(" ",TRIM(I134&amp;""))-1),2)="병원",LEFT(TRIM(I134&amp;""),FIND(" ",TRIM(I134&amp;""))-1),LEFT(TRIM(I134&amp;""),FIND(" ",TRIM(I134&amp;""))-1)&amp;"병원"))&gt;0,ISNUMBER(MATCH(TRIM(RIGHT(SUBSTITUTE(TRIM(I134&amp;"")," ",REPT(" ",60)),60)),코드표!$F$2:$F$101,0))),IF(RIGHT(LEFT(TRIM(I134&amp;""),FIND(" ",TRIM(I134&amp;""))-1),2)="병원",LEFT(TRIM(I134&amp;""),FIND(" ",TRIM(I134&amp;""))-1),LEFT(TRIM(I134&amp;""),FIND(" ",TRIM(I134&amp;""))-1)&amp;"병원")&amp;" "&amp;INDEX(코드표!$G$2:$G$101,MATCH(TRIM(RIGHT(SUBSTITUTE(TRIM(I134&amp;"")," ",REPT(" ",60)),60)),코드표!$F$2:$F$101,0)),"⚠"&amp;TRIM(I134&amp;""))),"⚠"&amp;TRIM(I134&amp;""))</f>
        <v/>
      </c>
      <c r="R134" s="10">
        <f>IFERROR(IF(TRIM(J134&amp;"")="","",IF(AND(ISNUMBER(FIND(" ",TRIM(J134&amp;""))),COUNTIF(코드표!$A$2:$A$21,IF(RIGHT(LEFT(TRIM(J134&amp;""),FIND(" ",TRIM(J134&amp;""))-1),2)="병원",LEFT(TRIM(J134&amp;""),FIND(" ",TRIM(J134&amp;""))-1),LEFT(TRIM(J134&amp;""),FIND(" ",TRIM(J134&amp;""))-1)&amp;"병원"))&gt;0,ISNUMBER(MATCH(TRIM(RIGHT(SUBSTITUTE(TRIM(J134&amp;"")," ",REPT(" ",60)),60)),코드표!$F$2:$F$101,0))),IF(RIGHT(LEFT(TRIM(J134&amp;""),FIND(" ",TRIM(J134&amp;""))-1),2)="병원",LEFT(TRIM(J134&amp;""),FIND(" ",TRIM(J134&amp;""))-1),LEFT(TRIM(J134&amp;""),FIND(" ",TRIM(J134&amp;""))-1)&amp;"병원")&amp;" "&amp;INDEX(코드표!$G$2:$G$101,MATCH(TRIM(RIGHT(SUBSTITUTE(TRIM(J134&amp;"")," ",REPT(" ",60)),60)),코드표!$F$2:$F$101,0)),"⚠"&amp;TRIM(J134&amp;""))),"⚠"&amp;TRIM(J134&amp;""))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",TRIM(E135&amp;""))),COUNTIF(코드표!$A$2:$A$21,IF(RIGHT(LEFT(TRIM(E135&amp;""),FIND(" ",TRIM(E135&amp;""))-1),2)="병원",LEFT(TRIM(E135&amp;""),FIND(" ",TRIM(E135&amp;""))-1),LEFT(TRIM(E135&amp;""),FIND(" ",TRIM(E135&amp;""))-1)&amp;"병원"))&gt;0,ISNUMBER(MATCH(TRIM(RIGHT(SUBSTITUTE(TRIM(E135&amp;"")," ",REPT(" ",60)),60)),코드표!$F$2:$F$101,0))),IF(RIGHT(LEFT(TRIM(E135&amp;""),FIND(" ",TRIM(E135&amp;""))-1),2)="병원",LEFT(TRIM(E135&amp;""),FIND(" ",TRIM(E135&amp;""))-1),LEFT(TRIM(E135&amp;""),FIND(" ",TRIM(E135&amp;""))-1)&amp;"병원")&amp;" "&amp;INDEX(코드표!$G$2:$G$101,MATCH(TRIM(RIGHT(SUBSTITUTE(TRIM(E135&amp;"")," ",REPT(" ",60)),60)),코드표!$F$2:$F$101,0)),"⚠"&amp;TRIM(E135&amp;""))),"⚠"&amp;TRIM(E135&amp;""))</f>
        <v/>
      </c>
      <c r="N135" s="10">
        <f>IFERROR(IF(TRIM(F135&amp;"")="","",IF(AND(ISNUMBER(FIND(" ",TRIM(F135&amp;""))),COUNTIF(코드표!$A$2:$A$21,IF(RIGHT(LEFT(TRIM(F135&amp;""),FIND(" ",TRIM(F135&amp;""))-1),2)="병원",LEFT(TRIM(F135&amp;""),FIND(" ",TRIM(F135&amp;""))-1),LEFT(TRIM(F135&amp;""),FIND(" ",TRIM(F135&amp;""))-1)&amp;"병원"))&gt;0,ISNUMBER(MATCH(TRIM(RIGHT(SUBSTITUTE(TRIM(F135&amp;"")," ",REPT(" ",60)),60)),코드표!$F$2:$F$101,0))),IF(RIGHT(LEFT(TRIM(F135&amp;""),FIND(" ",TRIM(F135&amp;""))-1),2)="병원",LEFT(TRIM(F135&amp;""),FIND(" ",TRIM(F135&amp;""))-1),LEFT(TRIM(F135&amp;""),FIND(" ",TRIM(F135&amp;""))-1)&amp;"병원")&amp;" "&amp;INDEX(코드표!$G$2:$G$101,MATCH(TRIM(RIGHT(SUBSTITUTE(TRIM(F135&amp;"")," ",REPT(" ",60)),60)),코드표!$F$2:$F$101,0)),"⚠"&amp;TRIM(F135&amp;""))),"⚠"&amp;TRIM(F135&amp;""))</f>
        <v/>
      </c>
      <c r="O135" s="10">
        <f>IFERROR(IF(TRIM(G135&amp;"")="","",IF(AND(ISNUMBER(FIND(" ",TRIM(G135&amp;""))),COUNTIF(코드표!$A$2:$A$21,IF(RIGHT(LEFT(TRIM(G135&amp;""),FIND(" ",TRIM(G135&amp;""))-1),2)="병원",LEFT(TRIM(G135&amp;""),FIND(" ",TRIM(G135&amp;""))-1),LEFT(TRIM(G135&amp;""),FIND(" ",TRIM(G135&amp;""))-1)&amp;"병원"))&gt;0,ISNUMBER(MATCH(TRIM(RIGHT(SUBSTITUTE(TRIM(G135&amp;"")," ",REPT(" ",60)),60)),코드표!$F$2:$F$101,0))),IF(RIGHT(LEFT(TRIM(G135&amp;""),FIND(" ",TRIM(G135&amp;""))-1),2)="병원",LEFT(TRIM(G135&amp;""),FIND(" ",TRIM(G135&amp;""))-1),LEFT(TRIM(G135&amp;""),FIND(" ",TRIM(G135&amp;""))-1)&amp;"병원")&amp;" "&amp;INDEX(코드표!$G$2:$G$101,MATCH(TRIM(RIGHT(SUBSTITUTE(TRIM(G135&amp;"")," ",REPT(" ",60)),60)),코드표!$F$2:$F$101,0)),"⚠"&amp;TRIM(G135&amp;""))),"⚠"&amp;TRIM(G135&amp;""))</f>
        <v/>
      </c>
      <c r="P135" s="10">
        <f>IFERROR(IF(TRIM(H135&amp;"")="","",IF(AND(ISNUMBER(FIND(" ",TRIM(H135&amp;""))),COUNTIF(코드표!$A$2:$A$21,IF(RIGHT(LEFT(TRIM(H135&amp;""),FIND(" ",TRIM(H135&amp;""))-1),2)="병원",LEFT(TRIM(H135&amp;""),FIND(" ",TRIM(H135&amp;""))-1),LEFT(TRIM(H135&amp;""),FIND(" ",TRIM(H135&amp;""))-1)&amp;"병원"))&gt;0,ISNUMBER(MATCH(TRIM(RIGHT(SUBSTITUTE(TRIM(H135&amp;"")," ",REPT(" ",60)),60)),코드표!$F$2:$F$101,0))),IF(RIGHT(LEFT(TRIM(H135&amp;""),FIND(" ",TRIM(H135&amp;""))-1),2)="병원",LEFT(TRIM(H135&amp;""),FIND(" ",TRIM(H135&amp;""))-1),LEFT(TRIM(H135&amp;""),FIND(" ",TRIM(H135&amp;""))-1)&amp;"병원")&amp;" "&amp;INDEX(코드표!$G$2:$G$101,MATCH(TRIM(RIGHT(SUBSTITUTE(TRIM(H135&amp;"")," ",REPT(" ",60)),60)),코드표!$F$2:$F$101,0)),"⚠"&amp;TRIM(H135&amp;""))),"⚠"&amp;TRIM(H135&amp;""))</f>
        <v/>
      </c>
      <c r="Q135" s="10">
        <f>IFERROR(IF(TRIM(I135&amp;"")="","",IF(AND(ISNUMBER(FIND(" ",TRIM(I135&amp;""))),COUNTIF(코드표!$A$2:$A$21,IF(RIGHT(LEFT(TRIM(I135&amp;""),FIND(" ",TRIM(I135&amp;""))-1),2)="병원",LEFT(TRIM(I135&amp;""),FIND(" ",TRIM(I135&amp;""))-1),LEFT(TRIM(I135&amp;""),FIND(" ",TRIM(I135&amp;""))-1)&amp;"병원"))&gt;0,ISNUMBER(MATCH(TRIM(RIGHT(SUBSTITUTE(TRIM(I135&amp;"")," ",REPT(" ",60)),60)),코드표!$F$2:$F$101,0))),IF(RIGHT(LEFT(TRIM(I135&amp;""),FIND(" ",TRIM(I135&amp;""))-1),2)="병원",LEFT(TRIM(I135&amp;""),FIND(" ",TRIM(I135&amp;""))-1),LEFT(TRIM(I135&amp;""),FIND(" ",TRIM(I135&amp;""))-1)&amp;"병원")&amp;" "&amp;INDEX(코드표!$G$2:$G$101,MATCH(TRIM(RIGHT(SUBSTITUTE(TRIM(I135&amp;"")," ",REPT(" ",60)),60)),코드표!$F$2:$F$101,0)),"⚠"&amp;TRIM(I135&amp;""))),"⚠"&amp;TRIM(I135&amp;""))</f>
        <v/>
      </c>
      <c r="R135" s="10">
        <f>IFERROR(IF(TRIM(J135&amp;"")="","",IF(AND(ISNUMBER(FIND(" ",TRIM(J135&amp;""))),COUNTIF(코드표!$A$2:$A$21,IF(RIGHT(LEFT(TRIM(J135&amp;""),FIND(" ",TRIM(J135&amp;""))-1),2)="병원",LEFT(TRIM(J135&amp;""),FIND(" ",TRIM(J135&amp;""))-1),LEFT(TRIM(J135&amp;""),FIND(" ",TRIM(J135&amp;""))-1)&amp;"병원"))&gt;0,ISNUMBER(MATCH(TRIM(RIGHT(SUBSTITUTE(TRIM(J135&amp;"")," ",REPT(" ",60)),60)),코드표!$F$2:$F$101,0))),IF(RIGHT(LEFT(TRIM(J135&amp;""),FIND(" ",TRIM(J135&amp;""))-1),2)="병원",LEFT(TRIM(J135&amp;""),FIND(" ",TRIM(J135&amp;""))-1),LEFT(TRIM(J135&amp;""),FIND(" ",TRIM(J135&amp;""))-1)&amp;"병원")&amp;" "&amp;INDEX(코드표!$G$2:$G$101,MATCH(TRIM(RIGHT(SUBSTITUTE(TRIM(J135&amp;"")," ",REPT(" ",60)),60)),코드표!$F$2:$F$101,0)),"⚠"&amp;TRIM(J135&amp;""))),"⚠"&amp;TRIM(J135&amp;""))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",TRIM(E136&amp;""))),COUNTIF(코드표!$A$2:$A$21,IF(RIGHT(LEFT(TRIM(E136&amp;""),FIND(" ",TRIM(E136&amp;""))-1),2)="병원",LEFT(TRIM(E136&amp;""),FIND(" ",TRIM(E136&amp;""))-1),LEFT(TRIM(E136&amp;""),FIND(" ",TRIM(E136&amp;""))-1)&amp;"병원"))&gt;0,ISNUMBER(MATCH(TRIM(RIGHT(SUBSTITUTE(TRIM(E136&amp;"")," ",REPT(" ",60)),60)),코드표!$F$2:$F$101,0))),IF(RIGHT(LEFT(TRIM(E136&amp;""),FIND(" ",TRIM(E136&amp;""))-1),2)="병원",LEFT(TRIM(E136&amp;""),FIND(" ",TRIM(E136&amp;""))-1),LEFT(TRIM(E136&amp;""),FIND(" ",TRIM(E136&amp;""))-1)&amp;"병원")&amp;" "&amp;INDEX(코드표!$G$2:$G$101,MATCH(TRIM(RIGHT(SUBSTITUTE(TRIM(E136&amp;"")," ",REPT(" ",60)),60)),코드표!$F$2:$F$101,0)),"⚠"&amp;TRIM(E136&amp;""))),"⚠"&amp;TRIM(E136&amp;""))</f>
        <v/>
      </c>
      <c r="N136" s="10">
        <f>IFERROR(IF(TRIM(F136&amp;"")="","",IF(AND(ISNUMBER(FIND(" ",TRIM(F136&amp;""))),COUNTIF(코드표!$A$2:$A$21,IF(RIGHT(LEFT(TRIM(F136&amp;""),FIND(" ",TRIM(F136&amp;""))-1),2)="병원",LEFT(TRIM(F136&amp;""),FIND(" ",TRIM(F136&amp;""))-1),LEFT(TRIM(F136&amp;""),FIND(" ",TRIM(F136&amp;""))-1)&amp;"병원"))&gt;0,ISNUMBER(MATCH(TRIM(RIGHT(SUBSTITUTE(TRIM(F136&amp;"")," ",REPT(" ",60)),60)),코드표!$F$2:$F$101,0))),IF(RIGHT(LEFT(TRIM(F136&amp;""),FIND(" ",TRIM(F136&amp;""))-1),2)="병원",LEFT(TRIM(F136&amp;""),FIND(" ",TRIM(F136&amp;""))-1),LEFT(TRIM(F136&amp;""),FIND(" ",TRIM(F136&amp;""))-1)&amp;"병원")&amp;" "&amp;INDEX(코드표!$G$2:$G$101,MATCH(TRIM(RIGHT(SUBSTITUTE(TRIM(F136&amp;"")," ",REPT(" ",60)),60)),코드표!$F$2:$F$101,0)),"⚠"&amp;TRIM(F136&amp;""))),"⚠"&amp;TRIM(F136&amp;""))</f>
        <v/>
      </c>
      <c r="O136" s="10">
        <f>IFERROR(IF(TRIM(G136&amp;"")="","",IF(AND(ISNUMBER(FIND(" ",TRIM(G136&amp;""))),COUNTIF(코드표!$A$2:$A$21,IF(RIGHT(LEFT(TRIM(G136&amp;""),FIND(" ",TRIM(G136&amp;""))-1),2)="병원",LEFT(TRIM(G136&amp;""),FIND(" ",TRIM(G136&amp;""))-1),LEFT(TRIM(G136&amp;""),FIND(" ",TRIM(G136&amp;""))-1)&amp;"병원"))&gt;0,ISNUMBER(MATCH(TRIM(RIGHT(SUBSTITUTE(TRIM(G136&amp;"")," ",REPT(" ",60)),60)),코드표!$F$2:$F$101,0))),IF(RIGHT(LEFT(TRIM(G136&amp;""),FIND(" ",TRIM(G136&amp;""))-1),2)="병원",LEFT(TRIM(G136&amp;""),FIND(" ",TRIM(G136&amp;""))-1),LEFT(TRIM(G136&amp;""),FIND(" ",TRIM(G136&amp;""))-1)&amp;"병원")&amp;" "&amp;INDEX(코드표!$G$2:$G$101,MATCH(TRIM(RIGHT(SUBSTITUTE(TRIM(G136&amp;"")," ",REPT(" ",60)),60)),코드표!$F$2:$F$101,0)),"⚠"&amp;TRIM(G136&amp;""))),"⚠"&amp;TRIM(G136&amp;""))</f>
        <v/>
      </c>
      <c r="P136" s="10">
        <f>IFERROR(IF(TRIM(H136&amp;"")="","",IF(AND(ISNUMBER(FIND(" ",TRIM(H136&amp;""))),COUNTIF(코드표!$A$2:$A$21,IF(RIGHT(LEFT(TRIM(H136&amp;""),FIND(" ",TRIM(H136&amp;""))-1),2)="병원",LEFT(TRIM(H136&amp;""),FIND(" ",TRIM(H136&amp;""))-1),LEFT(TRIM(H136&amp;""),FIND(" ",TRIM(H136&amp;""))-1)&amp;"병원"))&gt;0,ISNUMBER(MATCH(TRIM(RIGHT(SUBSTITUTE(TRIM(H136&amp;"")," ",REPT(" ",60)),60)),코드표!$F$2:$F$101,0))),IF(RIGHT(LEFT(TRIM(H136&amp;""),FIND(" ",TRIM(H136&amp;""))-1),2)="병원",LEFT(TRIM(H136&amp;""),FIND(" ",TRIM(H136&amp;""))-1),LEFT(TRIM(H136&amp;""),FIND(" ",TRIM(H136&amp;""))-1)&amp;"병원")&amp;" "&amp;INDEX(코드표!$G$2:$G$101,MATCH(TRIM(RIGHT(SUBSTITUTE(TRIM(H136&amp;"")," ",REPT(" ",60)),60)),코드표!$F$2:$F$101,0)),"⚠"&amp;TRIM(H136&amp;""))),"⚠"&amp;TRIM(H136&amp;""))</f>
        <v/>
      </c>
      <c r="Q136" s="10">
        <f>IFERROR(IF(TRIM(I136&amp;"")="","",IF(AND(ISNUMBER(FIND(" ",TRIM(I136&amp;""))),COUNTIF(코드표!$A$2:$A$21,IF(RIGHT(LEFT(TRIM(I136&amp;""),FIND(" ",TRIM(I136&amp;""))-1),2)="병원",LEFT(TRIM(I136&amp;""),FIND(" ",TRIM(I136&amp;""))-1),LEFT(TRIM(I136&amp;""),FIND(" ",TRIM(I136&amp;""))-1)&amp;"병원"))&gt;0,ISNUMBER(MATCH(TRIM(RIGHT(SUBSTITUTE(TRIM(I136&amp;"")," ",REPT(" ",60)),60)),코드표!$F$2:$F$101,0))),IF(RIGHT(LEFT(TRIM(I136&amp;""),FIND(" ",TRIM(I136&amp;""))-1),2)="병원",LEFT(TRIM(I136&amp;""),FIND(" ",TRIM(I136&amp;""))-1),LEFT(TRIM(I136&amp;""),FIND(" ",TRIM(I136&amp;""))-1)&amp;"병원")&amp;" "&amp;INDEX(코드표!$G$2:$G$101,MATCH(TRIM(RIGHT(SUBSTITUTE(TRIM(I136&amp;"")," ",REPT(" ",60)),60)),코드표!$F$2:$F$101,0)),"⚠"&amp;TRIM(I136&amp;""))),"⚠"&amp;TRIM(I136&amp;""))</f>
        <v/>
      </c>
      <c r="R136" s="10">
        <f>IFERROR(IF(TRIM(J136&amp;"")="","",IF(AND(ISNUMBER(FIND(" ",TRIM(J136&amp;""))),COUNTIF(코드표!$A$2:$A$21,IF(RIGHT(LEFT(TRIM(J136&amp;""),FIND(" ",TRIM(J136&amp;""))-1),2)="병원",LEFT(TRIM(J136&amp;""),FIND(" ",TRIM(J136&amp;""))-1),LEFT(TRIM(J136&amp;""),FIND(" ",TRIM(J136&amp;""))-1)&amp;"병원"))&gt;0,ISNUMBER(MATCH(TRIM(RIGHT(SUBSTITUTE(TRIM(J136&amp;"")," ",REPT(" ",60)),60)),코드표!$F$2:$F$101,0))),IF(RIGHT(LEFT(TRIM(J136&amp;""),FIND(" ",TRIM(J136&amp;""))-1),2)="병원",LEFT(TRIM(J136&amp;""),FIND(" ",TRIM(J136&amp;""))-1),LEFT(TRIM(J136&amp;""),FIND(" ",TRIM(J136&amp;""))-1)&amp;"병원")&amp;" "&amp;INDEX(코드표!$G$2:$G$101,MATCH(TRIM(RIGHT(SUBSTITUTE(TRIM(J136&amp;"")," ",REPT(" ",60)),60)),코드표!$F$2:$F$101,0)),"⚠"&amp;TRIM(J136&amp;""))),"⚠"&amp;TRIM(J136&amp;""))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",TRIM(E137&amp;""))),COUNTIF(코드표!$A$2:$A$21,IF(RIGHT(LEFT(TRIM(E137&amp;""),FIND(" ",TRIM(E137&amp;""))-1),2)="병원",LEFT(TRIM(E137&amp;""),FIND(" ",TRIM(E137&amp;""))-1),LEFT(TRIM(E137&amp;""),FIND(" ",TRIM(E137&amp;""))-1)&amp;"병원"))&gt;0,ISNUMBER(MATCH(TRIM(RIGHT(SUBSTITUTE(TRIM(E137&amp;"")," ",REPT(" ",60)),60)),코드표!$F$2:$F$101,0))),IF(RIGHT(LEFT(TRIM(E137&amp;""),FIND(" ",TRIM(E137&amp;""))-1),2)="병원",LEFT(TRIM(E137&amp;""),FIND(" ",TRIM(E137&amp;""))-1),LEFT(TRIM(E137&amp;""),FIND(" ",TRIM(E137&amp;""))-1)&amp;"병원")&amp;" "&amp;INDEX(코드표!$G$2:$G$101,MATCH(TRIM(RIGHT(SUBSTITUTE(TRIM(E137&amp;"")," ",REPT(" ",60)),60)),코드표!$F$2:$F$101,0)),"⚠"&amp;TRIM(E137&amp;""))),"⚠"&amp;TRIM(E137&amp;""))</f>
        <v/>
      </c>
      <c r="N137" s="10">
        <f>IFERROR(IF(TRIM(F137&amp;"")="","",IF(AND(ISNUMBER(FIND(" ",TRIM(F137&amp;""))),COUNTIF(코드표!$A$2:$A$21,IF(RIGHT(LEFT(TRIM(F137&amp;""),FIND(" ",TRIM(F137&amp;""))-1),2)="병원",LEFT(TRIM(F137&amp;""),FIND(" ",TRIM(F137&amp;""))-1),LEFT(TRIM(F137&amp;""),FIND(" ",TRIM(F137&amp;""))-1)&amp;"병원"))&gt;0,ISNUMBER(MATCH(TRIM(RIGHT(SUBSTITUTE(TRIM(F137&amp;"")," ",REPT(" ",60)),60)),코드표!$F$2:$F$101,0))),IF(RIGHT(LEFT(TRIM(F137&amp;""),FIND(" ",TRIM(F137&amp;""))-1),2)="병원",LEFT(TRIM(F137&amp;""),FIND(" ",TRIM(F137&amp;""))-1),LEFT(TRIM(F137&amp;""),FIND(" ",TRIM(F137&amp;""))-1)&amp;"병원")&amp;" "&amp;INDEX(코드표!$G$2:$G$101,MATCH(TRIM(RIGHT(SUBSTITUTE(TRIM(F137&amp;"")," ",REPT(" ",60)),60)),코드표!$F$2:$F$101,0)),"⚠"&amp;TRIM(F137&amp;""))),"⚠"&amp;TRIM(F137&amp;""))</f>
        <v/>
      </c>
      <c r="O137" s="10">
        <f>IFERROR(IF(TRIM(G137&amp;"")="","",IF(AND(ISNUMBER(FIND(" ",TRIM(G137&amp;""))),COUNTIF(코드표!$A$2:$A$21,IF(RIGHT(LEFT(TRIM(G137&amp;""),FIND(" ",TRIM(G137&amp;""))-1),2)="병원",LEFT(TRIM(G137&amp;""),FIND(" ",TRIM(G137&amp;""))-1),LEFT(TRIM(G137&amp;""),FIND(" ",TRIM(G137&amp;""))-1)&amp;"병원"))&gt;0,ISNUMBER(MATCH(TRIM(RIGHT(SUBSTITUTE(TRIM(G137&amp;"")," ",REPT(" ",60)),60)),코드표!$F$2:$F$101,0))),IF(RIGHT(LEFT(TRIM(G137&amp;""),FIND(" ",TRIM(G137&amp;""))-1),2)="병원",LEFT(TRIM(G137&amp;""),FIND(" ",TRIM(G137&amp;""))-1),LEFT(TRIM(G137&amp;""),FIND(" ",TRIM(G137&amp;""))-1)&amp;"병원")&amp;" "&amp;INDEX(코드표!$G$2:$G$101,MATCH(TRIM(RIGHT(SUBSTITUTE(TRIM(G137&amp;"")," ",REPT(" ",60)),60)),코드표!$F$2:$F$101,0)),"⚠"&amp;TRIM(G137&amp;""))),"⚠"&amp;TRIM(G137&amp;""))</f>
        <v/>
      </c>
      <c r="P137" s="10">
        <f>IFERROR(IF(TRIM(H137&amp;"")="","",IF(AND(ISNUMBER(FIND(" ",TRIM(H137&amp;""))),COUNTIF(코드표!$A$2:$A$21,IF(RIGHT(LEFT(TRIM(H137&amp;""),FIND(" ",TRIM(H137&amp;""))-1),2)="병원",LEFT(TRIM(H137&amp;""),FIND(" ",TRIM(H137&amp;""))-1),LEFT(TRIM(H137&amp;""),FIND(" ",TRIM(H137&amp;""))-1)&amp;"병원"))&gt;0,ISNUMBER(MATCH(TRIM(RIGHT(SUBSTITUTE(TRIM(H137&amp;"")," ",REPT(" ",60)),60)),코드표!$F$2:$F$101,0))),IF(RIGHT(LEFT(TRIM(H137&amp;""),FIND(" ",TRIM(H137&amp;""))-1),2)="병원",LEFT(TRIM(H137&amp;""),FIND(" ",TRIM(H137&amp;""))-1),LEFT(TRIM(H137&amp;""),FIND(" ",TRIM(H137&amp;""))-1)&amp;"병원")&amp;" "&amp;INDEX(코드표!$G$2:$G$101,MATCH(TRIM(RIGHT(SUBSTITUTE(TRIM(H137&amp;"")," ",REPT(" ",60)),60)),코드표!$F$2:$F$101,0)),"⚠"&amp;TRIM(H137&amp;""))),"⚠"&amp;TRIM(H137&amp;""))</f>
        <v/>
      </c>
      <c r="Q137" s="10">
        <f>IFERROR(IF(TRIM(I137&amp;"")="","",IF(AND(ISNUMBER(FIND(" ",TRIM(I137&amp;""))),COUNTIF(코드표!$A$2:$A$21,IF(RIGHT(LEFT(TRIM(I137&amp;""),FIND(" ",TRIM(I137&amp;""))-1),2)="병원",LEFT(TRIM(I137&amp;""),FIND(" ",TRIM(I137&amp;""))-1),LEFT(TRIM(I137&amp;""),FIND(" ",TRIM(I137&amp;""))-1)&amp;"병원"))&gt;0,ISNUMBER(MATCH(TRIM(RIGHT(SUBSTITUTE(TRIM(I137&amp;"")," ",REPT(" ",60)),60)),코드표!$F$2:$F$101,0))),IF(RIGHT(LEFT(TRIM(I137&amp;""),FIND(" ",TRIM(I137&amp;""))-1),2)="병원",LEFT(TRIM(I137&amp;""),FIND(" ",TRIM(I137&amp;""))-1),LEFT(TRIM(I137&amp;""),FIND(" ",TRIM(I137&amp;""))-1)&amp;"병원")&amp;" "&amp;INDEX(코드표!$G$2:$G$101,MATCH(TRIM(RIGHT(SUBSTITUTE(TRIM(I137&amp;"")," ",REPT(" ",60)),60)),코드표!$F$2:$F$101,0)),"⚠"&amp;TRIM(I137&amp;""))),"⚠"&amp;TRIM(I137&amp;""))</f>
        <v/>
      </c>
      <c r="R137" s="10">
        <f>IFERROR(IF(TRIM(J137&amp;"")="","",IF(AND(ISNUMBER(FIND(" ",TRIM(J137&amp;""))),COUNTIF(코드표!$A$2:$A$21,IF(RIGHT(LEFT(TRIM(J137&amp;""),FIND(" ",TRIM(J137&amp;""))-1),2)="병원",LEFT(TRIM(J137&amp;""),FIND(" ",TRIM(J137&amp;""))-1),LEFT(TRIM(J137&amp;""),FIND(" ",TRIM(J137&amp;""))-1)&amp;"병원"))&gt;0,ISNUMBER(MATCH(TRIM(RIGHT(SUBSTITUTE(TRIM(J137&amp;"")," ",REPT(" ",60)),60)),코드표!$F$2:$F$101,0))),IF(RIGHT(LEFT(TRIM(J137&amp;""),FIND(" ",TRIM(J137&amp;""))-1),2)="병원",LEFT(TRIM(J137&amp;""),FIND(" ",TRIM(J137&amp;""))-1),LEFT(TRIM(J137&amp;""),FIND(" ",TRIM(J137&amp;""))-1)&amp;"병원")&amp;" "&amp;INDEX(코드표!$G$2:$G$101,MATCH(TRIM(RIGHT(SUBSTITUTE(TRIM(J137&amp;"")," ",REPT(" ",60)),60)),코드표!$F$2:$F$101,0)),"⚠"&amp;TRIM(J137&amp;""))),"⚠"&amp;TRIM(J137&amp;""))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",TRIM(E138&amp;""))),COUNTIF(코드표!$A$2:$A$21,IF(RIGHT(LEFT(TRIM(E138&amp;""),FIND(" ",TRIM(E138&amp;""))-1),2)="병원",LEFT(TRIM(E138&amp;""),FIND(" ",TRIM(E138&amp;""))-1),LEFT(TRIM(E138&amp;""),FIND(" ",TRIM(E138&amp;""))-1)&amp;"병원"))&gt;0,ISNUMBER(MATCH(TRIM(RIGHT(SUBSTITUTE(TRIM(E138&amp;"")," ",REPT(" ",60)),60)),코드표!$F$2:$F$101,0))),IF(RIGHT(LEFT(TRIM(E138&amp;""),FIND(" ",TRIM(E138&amp;""))-1),2)="병원",LEFT(TRIM(E138&amp;""),FIND(" ",TRIM(E138&amp;""))-1),LEFT(TRIM(E138&amp;""),FIND(" ",TRIM(E138&amp;""))-1)&amp;"병원")&amp;" "&amp;INDEX(코드표!$G$2:$G$101,MATCH(TRIM(RIGHT(SUBSTITUTE(TRIM(E138&amp;"")," ",REPT(" ",60)),60)),코드표!$F$2:$F$101,0)),"⚠"&amp;TRIM(E138&amp;""))),"⚠"&amp;TRIM(E138&amp;""))</f>
        <v/>
      </c>
      <c r="N138" s="10">
        <f>IFERROR(IF(TRIM(F138&amp;"")="","",IF(AND(ISNUMBER(FIND(" ",TRIM(F138&amp;""))),COUNTIF(코드표!$A$2:$A$21,IF(RIGHT(LEFT(TRIM(F138&amp;""),FIND(" ",TRIM(F138&amp;""))-1),2)="병원",LEFT(TRIM(F138&amp;""),FIND(" ",TRIM(F138&amp;""))-1),LEFT(TRIM(F138&amp;""),FIND(" ",TRIM(F138&amp;""))-1)&amp;"병원"))&gt;0,ISNUMBER(MATCH(TRIM(RIGHT(SUBSTITUTE(TRIM(F138&amp;"")," ",REPT(" ",60)),60)),코드표!$F$2:$F$101,0))),IF(RIGHT(LEFT(TRIM(F138&amp;""),FIND(" ",TRIM(F138&amp;""))-1),2)="병원",LEFT(TRIM(F138&amp;""),FIND(" ",TRIM(F138&amp;""))-1),LEFT(TRIM(F138&amp;""),FIND(" ",TRIM(F138&amp;""))-1)&amp;"병원")&amp;" "&amp;INDEX(코드표!$G$2:$G$101,MATCH(TRIM(RIGHT(SUBSTITUTE(TRIM(F138&amp;"")," ",REPT(" ",60)),60)),코드표!$F$2:$F$101,0)),"⚠"&amp;TRIM(F138&amp;""))),"⚠"&amp;TRIM(F138&amp;""))</f>
        <v/>
      </c>
      <c r="O138" s="10">
        <f>IFERROR(IF(TRIM(G138&amp;"")="","",IF(AND(ISNUMBER(FIND(" ",TRIM(G138&amp;""))),COUNTIF(코드표!$A$2:$A$21,IF(RIGHT(LEFT(TRIM(G138&amp;""),FIND(" ",TRIM(G138&amp;""))-1),2)="병원",LEFT(TRIM(G138&amp;""),FIND(" ",TRIM(G138&amp;""))-1),LEFT(TRIM(G138&amp;""),FIND(" ",TRIM(G138&amp;""))-1)&amp;"병원"))&gt;0,ISNUMBER(MATCH(TRIM(RIGHT(SUBSTITUTE(TRIM(G138&amp;"")," ",REPT(" ",60)),60)),코드표!$F$2:$F$101,0))),IF(RIGHT(LEFT(TRIM(G138&amp;""),FIND(" ",TRIM(G138&amp;""))-1),2)="병원",LEFT(TRIM(G138&amp;""),FIND(" ",TRIM(G138&amp;""))-1),LEFT(TRIM(G138&amp;""),FIND(" ",TRIM(G138&amp;""))-1)&amp;"병원")&amp;" "&amp;INDEX(코드표!$G$2:$G$101,MATCH(TRIM(RIGHT(SUBSTITUTE(TRIM(G138&amp;"")," ",REPT(" ",60)),60)),코드표!$F$2:$F$101,0)),"⚠"&amp;TRIM(G138&amp;""))),"⚠"&amp;TRIM(G138&amp;""))</f>
        <v/>
      </c>
      <c r="P138" s="10">
        <f>IFERROR(IF(TRIM(H138&amp;"")="","",IF(AND(ISNUMBER(FIND(" ",TRIM(H138&amp;""))),COUNTIF(코드표!$A$2:$A$21,IF(RIGHT(LEFT(TRIM(H138&amp;""),FIND(" ",TRIM(H138&amp;""))-1),2)="병원",LEFT(TRIM(H138&amp;""),FIND(" ",TRIM(H138&amp;""))-1),LEFT(TRIM(H138&amp;""),FIND(" ",TRIM(H138&amp;""))-1)&amp;"병원"))&gt;0,ISNUMBER(MATCH(TRIM(RIGHT(SUBSTITUTE(TRIM(H138&amp;"")," ",REPT(" ",60)),60)),코드표!$F$2:$F$101,0))),IF(RIGHT(LEFT(TRIM(H138&amp;""),FIND(" ",TRIM(H138&amp;""))-1),2)="병원",LEFT(TRIM(H138&amp;""),FIND(" ",TRIM(H138&amp;""))-1),LEFT(TRIM(H138&amp;""),FIND(" ",TRIM(H138&amp;""))-1)&amp;"병원")&amp;" "&amp;INDEX(코드표!$G$2:$G$101,MATCH(TRIM(RIGHT(SUBSTITUTE(TRIM(H138&amp;"")," ",REPT(" ",60)),60)),코드표!$F$2:$F$101,0)),"⚠"&amp;TRIM(H138&amp;""))),"⚠"&amp;TRIM(H138&amp;""))</f>
        <v/>
      </c>
      <c r="Q138" s="10">
        <f>IFERROR(IF(TRIM(I138&amp;"")="","",IF(AND(ISNUMBER(FIND(" ",TRIM(I138&amp;""))),COUNTIF(코드표!$A$2:$A$21,IF(RIGHT(LEFT(TRIM(I138&amp;""),FIND(" ",TRIM(I138&amp;""))-1),2)="병원",LEFT(TRIM(I138&amp;""),FIND(" ",TRIM(I138&amp;""))-1),LEFT(TRIM(I138&amp;""),FIND(" ",TRIM(I138&amp;""))-1)&amp;"병원"))&gt;0,ISNUMBER(MATCH(TRIM(RIGHT(SUBSTITUTE(TRIM(I138&amp;"")," ",REPT(" ",60)),60)),코드표!$F$2:$F$101,0))),IF(RIGHT(LEFT(TRIM(I138&amp;""),FIND(" ",TRIM(I138&amp;""))-1),2)="병원",LEFT(TRIM(I138&amp;""),FIND(" ",TRIM(I138&amp;""))-1),LEFT(TRIM(I138&amp;""),FIND(" ",TRIM(I138&amp;""))-1)&amp;"병원")&amp;" "&amp;INDEX(코드표!$G$2:$G$101,MATCH(TRIM(RIGHT(SUBSTITUTE(TRIM(I138&amp;"")," ",REPT(" ",60)),60)),코드표!$F$2:$F$101,0)),"⚠"&amp;TRIM(I138&amp;""))),"⚠"&amp;TRIM(I138&amp;""))</f>
        <v/>
      </c>
      <c r="R138" s="10">
        <f>IFERROR(IF(TRIM(J138&amp;"")="","",IF(AND(ISNUMBER(FIND(" ",TRIM(J138&amp;""))),COUNTIF(코드표!$A$2:$A$21,IF(RIGHT(LEFT(TRIM(J138&amp;""),FIND(" ",TRIM(J138&amp;""))-1),2)="병원",LEFT(TRIM(J138&amp;""),FIND(" ",TRIM(J138&amp;""))-1),LEFT(TRIM(J138&amp;""),FIND(" ",TRIM(J138&amp;""))-1)&amp;"병원"))&gt;0,ISNUMBER(MATCH(TRIM(RIGHT(SUBSTITUTE(TRIM(J138&amp;"")," ",REPT(" ",60)),60)),코드표!$F$2:$F$101,0))),IF(RIGHT(LEFT(TRIM(J138&amp;""),FIND(" ",TRIM(J138&amp;""))-1),2)="병원",LEFT(TRIM(J138&amp;""),FIND(" ",TRIM(J138&amp;""))-1),LEFT(TRIM(J138&amp;""),FIND(" ",TRIM(J138&amp;""))-1)&amp;"병원")&amp;" "&amp;INDEX(코드표!$G$2:$G$101,MATCH(TRIM(RIGHT(SUBSTITUTE(TRIM(J138&amp;"")," ",REPT(" ",60)),60)),코드표!$F$2:$F$101,0)),"⚠"&amp;TRIM(J138&amp;""))),"⚠"&amp;TRIM(J138&amp;""))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",TRIM(E139&amp;""))),COUNTIF(코드표!$A$2:$A$21,IF(RIGHT(LEFT(TRIM(E139&amp;""),FIND(" ",TRIM(E139&amp;""))-1),2)="병원",LEFT(TRIM(E139&amp;""),FIND(" ",TRIM(E139&amp;""))-1),LEFT(TRIM(E139&amp;""),FIND(" ",TRIM(E139&amp;""))-1)&amp;"병원"))&gt;0,ISNUMBER(MATCH(TRIM(RIGHT(SUBSTITUTE(TRIM(E139&amp;"")," ",REPT(" ",60)),60)),코드표!$F$2:$F$101,0))),IF(RIGHT(LEFT(TRIM(E139&amp;""),FIND(" ",TRIM(E139&amp;""))-1),2)="병원",LEFT(TRIM(E139&amp;""),FIND(" ",TRIM(E139&amp;""))-1),LEFT(TRIM(E139&amp;""),FIND(" ",TRIM(E139&amp;""))-1)&amp;"병원")&amp;" "&amp;INDEX(코드표!$G$2:$G$101,MATCH(TRIM(RIGHT(SUBSTITUTE(TRIM(E139&amp;"")," ",REPT(" ",60)),60)),코드표!$F$2:$F$101,0)),"⚠"&amp;TRIM(E139&amp;""))),"⚠"&amp;TRIM(E139&amp;""))</f>
        <v/>
      </c>
      <c r="N139" s="10">
        <f>IFERROR(IF(TRIM(F139&amp;"")="","",IF(AND(ISNUMBER(FIND(" ",TRIM(F139&amp;""))),COUNTIF(코드표!$A$2:$A$21,IF(RIGHT(LEFT(TRIM(F139&amp;""),FIND(" ",TRIM(F139&amp;""))-1),2)="병원",LEFT(TRIM(F139&amp;""),FIND(" ",TRIM(F139&amp;""))-1),LEFT(TRIM(F139&amp;""),FIND(" ",TRIM(F139&amp;""))-1)&amp;"병원"))&gt;0,ISNUMBER(MATCH(TRIM(RIGHT(SUBSTITUTE(TRIM(F139&amp;"")," ",REPT(" ",60)),60)),코드표!$F$2:$F$101,0))),IF(RIGHT(LEFT(TRIM(F139&amp;""),FIND(" ",TRIM(F139&amp;""))-1),2)="병원",LEFT(TRIM(F139&amp;""),FIND(" ",TRIM(F139&amp;""))-1),LEFT(TRIM(F139&amp;""),FIND(" ",TRIM(F139&amp;""))-1)&amp;"병원")&amp;" "&amp;INDEX(코드표!$G$2:$G$101,MATCH(TRIM(RIGHT(SUBSTITUTE(TRIM(F139&amp;"")," ",REPT(" ",60)),60)),코드표!$F$2:$F$101,0)),"⚠"&amp;TRIM(F139&amp;""))),"⚠"&amp;TRIM(F139&amp;""))</f>
        <v/>
      </c>
      <c r="O139" s="10">
        <f>IFERROR(IF(TRIM(G139&amp;"")="","",IF(AND(ISNUMBER(FIND(" ",TRIM(G139&amp;""))),COUNTIF(코드표!$A$2:$A$21,IF(RIGHT(LEFT(TRIM(G139&amp;""),FIND(" ",TRIM(G139&amp;""))-1),2)="병원",LEFT(TRIM(G139&amp;""),FIND(" ",TRIM(G139&amp;""))-1),LEFT(TRIM(G139&amp;""),FIND(" ",TRIM(G139&amp;""))-1)&amp;"병원"))&gt;0,ISNUMBER(MATCH(TRIM(RIGHT(SUBSTITUTE(TRIM(G139&amp;"")," ",REPT(" ",60)),60)),코드표!$F$2:$F$101,0))),IF(RIGHT(LEFT(TRIM(G139&amp;""),FIND(" ",TRIM(G139&amp;""))-1),2)="병원",LEFT(TRIM(G139&amp;""),FIND(" ",TRIM(G139&amp;""))-1),LEFT(TRIM(G139&amp;""),FIND(" ",TRIM(G139&amp;""))-1)&amp;"병원")&amp;" "&amp;INDEX(코드표!$G$2:$G$101,MATCH(TRIM(RIGHT(SUBSTITUTE(TRIM(G139&amp;"")," ",REPT(" ",60)),60)),코드표!$F$2:$F$101,0)),"⚠"&amp;TRIM(G139&amp;""))),"⚠"&amp;TRIM(G139&amp;""))</f>
        <v/>
      </c>
      <c r="P139" s="10">
        <f>IFERROR(IF(TRIM(H139&amp;"")="","",IF(AND(ISNUMBER(FIND(" ",TRIM(H139&amp;""))),COUNTIF(코드표!$A$2:$A$21,IF(RIGHT(LEFT(TRIM(H139&amp;""),FIND(" ",TRIM(H139&amp;""))-1),2)="병원",LEFT(TRIM(H139&amp;""),FIND(" ",TRIM(H139&amp;""))-1),LEFT(TRIM(H139&amp;""),FIND(" ",TRIM(H139&amp;""))-1)&amp;"병원"))&gt;0,ISNUMBER(MATCH(TRIM(RIGHT(SUBSTITUTE(TRIM(H139&amp;"")," ",REPT(" ",60)),60)),코드표!$F$2:$F$101,0))),IF(RIGHT(LEFT(TRIM(H139&amp;""),FIND(" ",TRIM(H139&amp;""))-1),2)="병원",LEFT(TRIM(H139&amp;""),FIND(" ",TRIM(H139&amp;""))-1),LEFT(TRIM(H139&amp;""),FIND(" ",TRIM(H139&amp;""))-1)&amp;"병원")&amp;" "&amp;INDEX(코드표!$G$2:$G$101,MATCH(TRIM(RIGHT(SUBSTITUTE(TRIM(H139&amp;"")," ",REPT(" ",60)),60)),코드표!$F$2:$F$101,0)),"⚠"&amp;TRIM(H139&amp;""))),"⚠"&amp;TRIM(H139&amp;""))</f>
        <v/>
      </c>
      <c r="Q139" s="10">
        <f>IFERROR(IF(TRIM(I139&amp;"")="","",IF(AND(ISNUMBER(FIND(" ",TRIM(I139&amp;""))),COUNTIF(코드표!$A$2:$A$21,IF(RIGHT(LEFT(TRIM(I139&amp;""),FIND(" ",TRIM(I139&amp;""))-1),2)="병원",LEFT(TRIM(I139&amp;""),FIND(" ",TRIM(I139&amp;""))-1),LEFT(TRIM(I139&amp;""),FIND(" ",TRIM(I139&amp;""))-1)&amp;"병원"))&gt;0,ISNUMBER(MATCH(TRIM(RIGHT(SUBSTITUTE(TRIM(I139&amp;"")," ",REPT(" ",60)),60)),코드표!$F$2:$F$101,0))),IF(RIGHT(LEFT(TRIM(I139&amp;""),FIND(" ",TRIM(I139&amp;""))-1),2)="병원",LEFT(TRIM(I139&amp;""),FIND(" ",TRIM(I139&amp;""))-1),LEFT(TRIM(I139&amp;""),FIND(" ",TRIM(I139&amp;""))-1)&amp;"병원")&amp;" "&amp;INDEX(코드표!$G$2:$G$101,MATCH(TRIM(RIGHT(SUBSTITUTE(TRIM(I139&amp;"")," ",REPT(" ",60)),60)),코드표!$F$2:$F$101,0)),"⚠"&amp;TRIM(I139&amp;""))),"⚠"&amp;TRIM(I139&amp;""))</f>
        <v/>
      </c>
      <c r="R139" s="10">
        <f>IFERROR(IF(TRIM(J139&amp;"")="","",IF(AND(ISNUMBER(FIND(" ",TRIM(J139&amp;""))),COUNTIF(코드표!$A$2:$A$21,IF(RIGHT(LEFT(TRIM(J139&amp;""),FIND(" ",TRIM(J139&amp;""))-1),2)="병원",LEFT(TRIM(J139&amp;""),FIND(" ",TRIM(J139&amp;""))-1),LEFT(TRIM(J139&amp;""),FIND(" ",TRIM(J139&amp;""))-1)&amp;"병원"))&gt;0,ISNUMBER(MATCH(TRIM(RIGHT(SUBSTITUTE(TRIM(J139&amp;"")," ",REPT(" ",60)),60)),코드표!$F$2:$F$101,0))),IF(RIGHT(LEFT(TRIM(J139&amp;""),FIND(" ",TRIM(J139&amp;""))-1),2)="병원",LEFT(TRIM(J139&amp;""),FIND(" ",TRIM(J139&amp;""))-1),LEFT(TRIM(J139&amp;""),FIND(" ",TRIM(J139&amp;""))-1)&amp;"병원")&amp;" "&amp;INDEX(코드표!$G$2:$G$101,MATCH(TRIM(RIGHT(SUBSTITUTE(TRIM(J139&amp;"")," ",REPT(" ",60)),60)),코드표!$F$2:$F$101,0)),"⚠"&amp;TRIM(J139&amp;""))),"⚠"&amp;TRIM(J139&amp;""))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",TRIM(E140&amp;""))),COUNTIF(코드표!$A$2:$A$21,IF(RIGHT(LEFT(TRIM(E140&amp;""),FIND(" ",TRIM(E140&amp;""))-1),2)="병원",LEFT(TRIM(E140&amp;""),FIND(" ",TRIM(E140&amp;""))-1),LEFT(TRIM(E140&amp;""),FIND(" ",TRIM(E140&amp;""))-1)&amp;"병원"))&gt;0,ISNUMBER(MATCH(TRIM(RIGHT(SUBSTITUTE(TRIM(E140&amp;"")," ",REPT(" ",60)),60)),코드표!$F$2:$F$101,0))),IF(RIGHT(LEFT(TRIM(E140&amp;""),FIND(" ",TRIM(E140&amp;""))-1),2)="병원",LEFT(TRIM(E140&amp;""),FIND(" ",TRIM(E140&amp;""))-1),LEFT(TRIM(E140&amp;""),FIND(" ",TRIM(E140&amp;""))-1)&amp;"병원")&amp;" "&amp;INDEX(코드표!$G$2:$G$101,MATCH(TRIM(RIGHT(SUBSTITUTE(TRIM(E140&amp;"")," ",REPT(" ",60)),60)),코드표!$F$2:$F$101,0)),"⚠"&amp;TRIM(E140&amp;""))),"⚠"&amp;TRIM(E140&amp;""))</f>
        <v/>
      </c>
      <c r="N140" s="10">
        <f>IFERROR(IF(TRIM(F140&amp;"")="","",IF(AND(ISNUMBER(FIND(" ",TRIM(F140&amp;""))),COUNTIF(코드표!$A$2:$A$21,IF(RIGHT(LEFT(TRIM(F140&amp;""),FIND(" ",TRIM(F140&amp;""))-1),2)="병원",LEFT(TRIM(F140&amp;""),FIND(" ",TRIM(F140&amp;""))-1),LEFT(TRIM(F140&amp;""),FIND(" ",TRIM(F140&amp;""))-1)&amp;"병원"))&gt;0,ISNUMBER(MATCH(TRIM(RIGHT(SUBSTITUTE(TRIM(F140&amp;"")," ",REPT(" ",60)),60)),코드표!$F$2:$F$101,0))),IF(RIGHT(LEFT(TRIM(F140&amp;""),FIND(" ",TRIM(F140&amp;""))-1),2)="병원",LEFT(TRIM(F140&amp;""),FIND(" ",TRIM(F140&amp;""))-1),LEFT(TRIM(F140&amp;""),FIND(" ",TRIM(F140&amp;""))-1)&amp;"병원")&amp;" "&amp;INDEX(코드표!$G$2:$G$101,MATCH(TRIM(RIGHT(SUBSTITUTE(TRIM(F140&amp;"")," ",REPT(" ",60)),60)),코드표!$F$2:$F$101,0)),"⚠"&amp;TRIM(F140&amp;""))),"⚠"&amp;TRIM(F140&amp;""))</f>
        <v/>
      </c>
      <c r="O140" s="10">
        <f>IFERROR(IF(TRIM(G140&amp;"")="","",IF(AND(ISNUMBER(FIND(" ",TRIM(G140&amp;""))),COUNTIF(코드표!$A$2:$A$21,IF(RIGHT(LEFT(TRIM(G140&amp;""),FIND(" ",TRIM(G140&amp;""))-1),2)="병원",LEFT(TRIM(G140&amp;""),FIND(" ",TRIM(G140&amp;""))-1),LEFT(TRIM(G140&amp;""),FIND(" ",TRIM(G140&amp;""))-1)&amp;"병원"))&gt;0,ISNUMBER(MATCH(TRIM(RIGHT(SUBSTITUTE(TRIM(G140&amp;"")," ",REPT(" ",60)),60)),코드표!$F$2:$F$101,0))),IF(RIGHT(LEFT(TRIM(G140&amp;""),FIND(" ",TRIM(G140&amp;""))-1),2)="병원",LEFT(TRIM(G140&amp;""),FIND(" ",TRIM(G140&amp;""))-1),LEFT(TRIM(G140&amp;""),FIND(" ",TRIM(G140&amp;""))-1)&amp;"병원")&amp;" "&amp;INDEX(코드표!$G$2:$G$101,MATCH(TRIM(RIGHT(SUBSTITUTE(TRIM(G140&amp;"")," ",REPT(" ",60)),60)),코드표!$F$2:$F$101,0)),"⚠"&amp;TRIM(G140&amp;""))),"⚠"&amp;TRIM(G140&amp;""))</f>
        <v/>
      </c>
      <c r="P140" s="10">
        <f>IFERROR(IF(TRIM(H140&amp;"")="","",IF(AND(ISNUMBER(FIND(" ",TRIM(H140&amp;""))),COUNTIF(코드표!$A$2:$A$21,IF(RIGHT(LEFT(TRIM(H140&amp;""),FIND(" ",TRIM(H140&amp;""))-1),2)="병원",LEFT(TRIM(H140&amp;""),FIND(" ",TRIM(H140&amp;""))-1),LEFT(TRIM(H140&amp;""),FIND(" ",TRIM(H140&amp;""))-1)&amp;"병원"))&gt;0,ISNUMBER(MATCH(TRIM(RIGHT(SUBSTITUTE(TRIM(H140&amp;"")," ",REPT(" ",60)),60)),코드표!$F$2:$F$101,0))),IF(RIGHT(LEFT(TRIM(H140&amp;""),FIND(" ",TRIM(H140&amp;""))-1),2)="병원",LEFT(TRIM(H140&amp;""),FIND(" ",TRIM(H140&amp;""))-1),LEFT(TRIM(H140&amp;""),FIND(" ",TRIM(H140&amp;""))-1)&amp;"병원")&amp;" "&amp;INDEX(코드표!$G$2:$G$101,MATCH(TRIM(RIGHT(SUBSTITUTE(TRIM(H140&amp;"")," ",REPT(" ",60)),60)),코드표!$F$2:$F$101,0)),"⚠"&amp;TRIM(H140&amp;""))),"⚠"&amp;TRIM(H140&amp;""))</f>
        <v/>
      </c>
      <c r="Q140" s="10">
        <f>IFERROR(IF(TRIM(I140&amp;"")="","",IF(AND(ISNUMBER(FIND(" ",TRIM(I140&amp;""))),COUNTIF(코드표!$A$2:$A$21,IF(RIGHT(LEFT(TRIM(I140&amp;""),FIND(" ",TRIM(I140&amp;""))-1),2)="병원",LEFT(TRIM(I140&amp;""),FIND(" ",TRIM(I140&amp;""))-1),LEFT(TRIM(I140&amp;""),FIND(" ",TRIM(I140&amp;""))-1)&amp;"병원"))&gt;0,ISNUMBER(MATCH(TRIM(RIGHT(SUBSTITUTE(TRIM(I140&amp;"")," ",REPT(" ",60)),60)),코드표!$F$2:$F$101,0))),IF(RIGHT(LEFT(TRIM(I140&amp;""),FIND(" ",TRIM(I140&amp;""))-1),2)="병원",LEFT(TRIM(I140&amp;""),FIND(" ",TRIM(I140&amp;""))-1),LEFT(TRIM(I140&amp;""),FIND(" ",TRIM(I140&amp;""))-1)&amp;"병원")&amp;" "&amp;INDEX(코드표!$G$2:$G$101,MATCH(TRIM(RIGHT(SUBSTITUTE(TRIM(I140&amp;"")," ",REPT(" ",60)),60)),코드표!$F$2:$F$101,0)),"⚠"&amp;TRIM(I140&amp;""))),"⚠"&amp;TRIM(I140&amp;""))</f>
        <v/>
      </c>
      <c r="R140" s="10">
        <f>IFERROR(IF(TRIM(J140&amp;"")="","",IF(AND(ISNUMBER(FIND(" ",TRIM(J140&amp;""))),COUNTIF(코드표!$A$2:$A$21,IF(RIGHT(LEFT(TRIM(J140&amp;""),FIND(" ",TRIM(J140&amp;""))-1),2)="병원",LEFT(TRIM(J140&amp;""),FIND(" ",TRIM(J140&amp;""))-1),LEFT(TRIM(J140&amp;""),FIND(" ",TRIM(J140&amp;""))-1)&amp;"병원"))&gt;0,ISNUMBER(MATCH(TRIM(RIGHT(SUBSTITUTE(TRIM(J140&amp;"")," ",REPT(" ",60)),60)),코드표!$F$2:$F$101,0))),IF(RIGHT(LEFT(TRIM(J140&amp;""),FIND(" ",TRIM(J140&amp;""))-1),2)="병원",LEFT(TRIM(J140&amp;""),FIND(" ",TRIM(J140&amp;""))-1),LEFT(TRIM(J140&amp;""),FIND(" ",TRIM(J140&amp;""))-1)&amp;"병원")&amp;" "&amp;INDEX(코드표!$G$2:$G$101,MATCH(TRIM(RIGHT(SUBSTITUTE(TRIM(J140&amp;"")," ",REPT(" ",60)),60)),코드표!$F$2:$F$101,0)),"⚠"&amp;TRIM(J140&amp;""))),"⚠"&amp;TRIM(J140&amp;""))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",TRIM(E141&amp;""))),COUNTIF(코드표!$A$2:$A$21,IF(RIGHT(LEFT(TRIM(E141&amp;""),FIND(" ",TRIM(E141&amp;""))-1),2)="병원",LEFT(TRIM(E141&amp;""),FIND(" ",TRIM(E141&amp;""))-1),LEFT(TRIM(E141&amp;""),FIND(" ",TRIM(E141&amp;""))-1)&amp;"병원"))&gt;0,ISNUMBER(MATCH(TRIM(RIGHT(SUBSTITUTE(TRIM(E141&amp;"")," ",REPT(" ",60)),60)),코드표!$F$2:$F$101,0))),IF(RIGHT(LEFT(TRIM(E141&amp;""),FIND(" ",TRIM(E141&amp;""))-1),2)="병원",LEFT(TRIM(E141&amp;""),FIND(" ",TRIM(E141&amp;""))-1),LEFT(TRIM(E141&amp;""),FIND(" ",TRIM(E141&amp;""))-1)&amp;"병원")&amp;" "&amp;INDEX(코드표!$G$2:$G$101,MATCH(TRIM(RIGHT(SUBSTITUTE(TRIM(E141&amp;"")," ",REPT(" ",60)),60)),코드표!$F$2:$F$101,0)),"⚠"&amp;TRIM(E141&amp;""))),"⚠"&amp;TRIM(E141&amp;""))</f>
        <v/>
      </c>
      <c r="N141" s="10">
        <f>IFERROR(IF(TRIM(F141&amp;"")="","",IF(AND(ISNUMBER(FIND(" ",TRIM(F141&amp;""))),COUNTIF(코드표!$A$2:$A$21,IF(RIGHT(LEFT(TRIM(F141&amp;""),FIND(" ",TRIM(F141&amp;""))-1),2)="병원",LEFT(TRIM(F141&amp;""),FIND(" ",TRIM(F141&amp;""))-1),LEFT(TRIM(F141&amp;""),FIND(" ",TRIM(F141&amp;""))-1)&amp;"병원"))&gt;0,ISNUMBER(MATCH(TRIM(RIGHT(SUBSTITUTE(TRIM(F141&amp;"")," ",REPT(" ",60)),60)),코드표!$F$2:$F$101,0))),IF(RIGHT(LEFT(TRIM(F141&amp;""),FIND(" ",TRIM(F141&amp;""))-1),2)="병원",LEFT(TRIM(F141&amp;""),FIND(" ",TRIM(F141&amp;""))-1),LEFT(TRIM(F141&amp;""),FIND(" ",TRIM(F141&amp;""))-1)&amp;"병원")&amp;" "&amp;INDEX(코드표!$G$2:$G$101,MATCH(TRIM(RIGHT(SUBSTITUTE(TRIM(F141&amp;"")," ",REPT(" ",60)),60)),코드표!$F$2:$F$101,0)),"⚠"&amp;TRIM(F141&amp;""))),"⚠"&amp;TRIM(F141&amp;""))</f>
        <v/>
      </c>
      <c r="O141" s="10">
        <f>IFERROR(IF(TRIM(G141&amp;"")="","",IF(AND(ISNUMBER(FIND(" ",TRIM(G141&amp;""))),COUNTIF(코드표!$A$2:$A$21,IF(RIGHT(LEFT(TRIM(G141&amp;""),FIND(" ",TRIM(G141&amp;""))-1),2)="병원",LEFT(TRIM(G141&amp;""),FIND(" ",TRIM(G141&amp;""))-1),LEFT(TRIM(G141&amp;""),FIND(" ",TRIM(G141&amp;""))-1)&amp;"병원"))&gt;0,ISNUMBER(MATCH(TRIM(RIGHT(SUBSTITUTE(TRIM(G141&amp;"")," ",REPT(" ",60)),60)),코드표!$F$2:$F$101,0))),IF(RIGHT(LEFT(TRIM(G141&amp;""),FIND(" ",TRIM(G141&amp;""))-1),2)="병원",LEFT(TRIM(G141&amp;""),FIND(" ",TRIM(G141&amp;""))-1),LEFT(TRIM(G141&amp;""),FIND(" ",TRIM(G141&amp;""))-1)&amp;"병원")&amp;" "&amp;INDEX(코드표!$G$2:$G$101,MATCH(TRIM(RIGHT(SUBSTITUTE(TRIM(G141&amp;"")," ",REPT(" ",60)),60)),코드표!$F$2:$F$101,0)),"⚠"&amp;TRIM(G141&amp;""))),"⚠"&amp;TRIM(G141&amp;""))</f>
        <v/>
      </c>
      <c r="P141" s="10">
        <f>IFERROR(IF(TRIM(H141&amp;"")="","",IF(AND(ISNUMBER(FIND(" ",TRIM(H141&amp;""))),COUNTIF(코드표!$A$2:$A$21,IF(RIGHT(LEFT(TRIM(H141&amp;""),FIND(" ",TRIM(H141&amp;""))-1),2)="병원",LEFT(TRIM(H141&amp;""),FIND(" ",TRIM(H141&amp;""))-1),LEFT(TRIM(H141&amp;""),FIND(" ",TRIM(H141&amp;""))-1)&amp;"병원"))&gt;0,ISNUMBER(MATCH(TRIM(RIGHT(SUBSTITUTE(TRIM(H141&amp;"")," ",REPT(" ",60)),60)),코드표!$F$2:$F$101,0))),IF(RIGHT(LEFT(TRIM(H141&amp;""),FIND(" ",TRIM(H141&amp;""))-1),2)="병원",LEFT(TRIM(H141&amp;""),FIND(" ",TRIM(H141&amp;""))-1),LEFT(TRIM(H141&amp;""),FIND(" ",TRIM(H141&amp;""))-1)&amp;"병원")&amp;" "&amp;INDEX(코드표!$G$2:$G$101,MATCH(TRIM(RIGHT(SUBSTITUTE(TRIM(H141&amp;"")," ",REPT(" ",60)),60)),코드표!$F$2:$F$101,0)),"⚠"&amp;TRIM(H141&amp;""))),"⚠"&amp;TRIM(H141&amp;""))</f>
        <v/>
      </c>
      <c r="Q141" s="10">
        <f>IFERROR(IF(TRIM(I141&amp;"")="","",IF(AND(ISNUMBER(FIND(" ",TRIM(I141&amp;""))),COUNTIF(코드표!$A$2:$A$21,IF(RIGHT(LEFT(TRIM(I141&amp;""),FIND(" ",TRIM(I141&amp;""))-1),2)="병원",LEFT(TRIM(I141&amp;""),FIND(" ",TRIM(I141&amp;""))-1),LEFT(TRIM(I141&amp;""),FIND(" ",TRIM(I141&amp;""))-1)&amp;"병원"))&gt;0,ISNUMBER(MATCH(TRIM(RIGHT(SUBSTITUTE(TRIM(I141&amp;"")," ",REPT(" ",60)),60)),코드표!$F$2:$F$101,0))),IF(RIGHT(LEFT(TRIM(I141&amp;""),FIND(" ",TRIM(I141&amp;""))-1),2)="병원",LEFT(TRIM(I141&amp;""),FIND(" ",TRIM(I141&amp;""))-1),LEFT(TRIM(I141&amp;""),FIND(" ",TRIM(I141&amp;""))-1)&amp;"병원")&amp;" "&amp;INDEX(코드표!$G$2:$G$101,MATCH(TRIM(RIGHT(SUBSTITUTE(TRIM(I141&amp;"")," ",REPT(" ",60)),60)),코드표!$F$2:$F$101,0)),"⚠"&amp;TRIM(I141&amp;""))),"⚠"&amp;TRIM(I141&amp;""))</f>
        <v/>
      </c>
      <c r="R141" s="10">
        <f>IFERROR(IF(TRIM(J141&amp;"")="","",IF(AND(ISNUMBER(FIND(" ",TRIM(J141&amp;""))),COUNTIF(코드표!$A$2:$A$21,IF(RIGHT(LEFT(TRIM(J141&amp;""),FIND(" ",TRIM(J141&amp;""))-1),2)="병원",LEFT(TRIM(J141&amp;""),FIND(" ",TRIM(J141&amp;""))-1),LEFT(TRIM(J141&amp;""),FIND(" ",TRIM(J141&amp;""))-1)&amp;"병원"))&gt;0,ISNUMBER(MATCH(TRIM(RIGHT(SUBSTITUTE(TRIM(J141&amp;"")," ",REPT(" ",60)),60)),코드표!$F$2:$F$101,0))),IF(RIGHT(LEFT(TRIM(J141&amp;""),FIND(" ",TRIM(J141&amp;""))-1),2)="병원",LEFT(TRIM(J141&amp;""),FIND(" ",TRIM(J141&amp;""))-1),LEFT(TRIM(J141&amp;""),FIND(" ",TRIM(J141&amp;""))-1)&amp;"병원")&amp;" "&amp;INDEX(코드표!$G$2:$G$101,MATCH(TRIM(RIGHT(SUBSTITUTE(TRIM(J141&amp;"")," ",REPT(" ",60)),60)),코드표!$F$2:$F$101,0)),"⚠"&amp;TRIM(J141&amp;""))),"⚠"&amp;TRIM(J141&amp;""))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",TRIM(E142&amp;""))),COUNTIF(코드표!$A$2:$A$21,IF(RIGHT(LEFT(TRIM(E142&amp;""),FIND(" ",TRIM(E142&amp;""))-1),2)="병원",LEFT(TRIM(E142&amp;""),FIND(" ",TRIM(E142&amp;""))-1),LEFT(TRIM(E142&amp;""),FIND(" ",TRIM(E142&amp;""))-1)&amp;"병원"))&gt;0,ISNUMBER(MATCH(TRIM(RIGHT(SUBSTITUTE(TRIM(E142&amp;"")," ",REPT(" ",60)),60)),코드표!$F$2:$F$101,0))),IF(RIGHT(LEFT(TRIM(E142&amp;""),FIND(" ",TRIM(E142&amp;""))-1),2)="병원",LEFT(TRIM(E142&amp;""),FIND(" ",TRIM(E142&amp;""))-1),LEFT(TRIM(E142&amp;""),FIND(" ",TRIM(E142&amp;""))-1)&amp;"병원")&amp;" "&amp;INDEX(코드표!$G$2:$G$101,MATCH(TRIM(RIGHT(SUBSTITUTE(TRIM(E142&amp;"")," ",REPT(" ",60)),60)),코드표!$F$2:$F$101,0)),"⚠"&amp;TRIM(E142&amp;""))),"⚠"&amp;TRIM(E142&amp;""))</f>
        <v/>
      </c>
      <c r="N142" s="10">
        <f>IFERROR(IF(TRIM(F142&amp;"")="","",IF(AND(ISNUMBER(FIND(" ",TRIM(F142&amp;""))),COUNTIF(코드표!$A$2:$A$21,IF(RIGHT(LEFT(TRIM(F142&amp;""),FIND(" ",TRIM(F142&amp;""))-1),2)="병원",LEFT(TRIM(F142&amp;""),FIND(" ",TRIM(F142&amp;""))-1),LEFT(TRIM(F142&amp;""),FIND(" ",TRIM(F142&amp;""))-1)&amp;"병원"))&gt;0,ISNUMBER(MATCH(TRIM(RIGHT(SUBSTITUTE(TRIM(F142&amp;"")," ",REPT(" ",60)),60)),코드표!$F$2:$F$101,0))),IF(RIGHT(LEFT(TRIM(F142&amp;""),FIND(" ",TRIM(F142&amp;""))-1),2)="병원",LEFT(TRIM(F142&amp;""),FIND(" ",TRIM(F142&amp;""))-1),LEFT(TRIM(F142&amp;""),FIND(" ",TRIM(F142&amp;""))-1)&amp;"병원")&amp;" "&amp;INDEX(코드표!$G$2:$G$101,MATCH(TRIM(RIGHT(SUBSTITUTE(TRIM(F142&amp;"")," ",REPT(" ",60)),60)),코드표!$F$2:$F$101,0)),"⚠"&amp;TRIM(F142&amp;""))),"⚠"&amp;TRIM(F142&amp;""))</f>
        <v/>
      </c>
      <c r="O142" s="10">
        <f>IFERROR(IF(TRIM(G142&amp;"")="","",IF(AND(ISNUMBER(FIND(" ",TRIM(G142&amp;""))),COUNTIF(코드표!$A$2:$A$21,IF(RIGHT(LEFT(TRIM(G142&amp;""),FIND(" ",TRIM(G142&amp;""))-1),2)="병원",LEFT(TRIM(G142&amp;""),FIND(" ",TRIM(G142&amp;""))-1),LEFT(TRIM(G142&amp;""),FIND(" ",TRIM(G142&amp;""))-1)&amp;"병원"))&gt;0,ISNUMBER(MATCH(TRIM(RIGHT(SUBSTITUTE(TRIM(G142&amp;"")," ",REPT(" ",60)),60)),코드표!$F$2:$F$101,0))),IF(RIGHT(LEFT(TRIM(G142&amp;""),FIND(" ",TRIM(G142&amp;""))-1),2)="병원",LEFT(TRIM(G142&amp;""),FIND(" ",TRIM(G142&amp;""))-1),LEFT(TRIM(G142&amp;""),FIND(" ",TRIM(G142&amp;""))-1)&amp;"병원")&amp;" "&amp;INDEX(코드표!$G$2:$G$101,MATCH(TRIM(RIGHT(SUBSTITUTE(TRIM(G142&amp;"")," ",REPT(" ",60)),60)),코드표!$F$2:$F$101,0)),"⚠"&amp;TRIM(G142&amp;""))),"⚠"&amp;TRIM(G142&amp;""))</f>
        <v/>
      </c>
      <c r="P142" s="10">
        <f>IFERROR(IF(TRIM(H142&amp;"")="","",IF(AND(ISNUMBER(FIND(" ",TRIM(H142&amp;""))),COUNTIF(코드표!$A$2:$A$21,IF(RIGHT(LEFT(TRIM(H142&amp;""),FIND(" ",TRIM(H142&amp;""))-1),2)="병원",LEFT(TRIM(H142&amp;""),FIND(" ",TRIM(H142&amp;""))-1),LEFT(TRIM(H142&amp;""),FIND(" ",TRIM(H142&amp;""))-1)&amp;"병원"))&gt;0,ISNUMBER(MATCH(TRIM(RIGHT(SUBSTITUTE(TRIM(H142&amp;"")," ",REPT(" ",60)),60)),코드표!$F$2:$F$101,0))),IF(RIGHT(LEFT(TRIM(H142&amp;""),FIND(" ",TRIM(H142&amp;""))-1),2)="병원",LEFT(TRIM(H142&amp;""),FIND(" ",TRIM(H142&amp;""))-1),LEFT(TRIM(H142&amp;""),FIND(" ",TRIM(H142&amp;""))-1)&amp;"병원")&amp;" "&amp;INDEX(코드표!$G$2:$G$101,MATCH(TRIM(RIGHT(SUBSTITUTE(TRIM(H142&amp;"")," ",REPT(" ",60)),60)),코드표!$F$2:$F$101,0)),"⚠"&amp;TRIM(H142&amp;""))),"⚠"&amp;TRIM(H142&amp;""))</f>
        <v/>
      </c>
      <c r="Q142" s="10">
        <f>IFERROR(IF(TRIM(I142&amp;"")="","",IF(AND(ISNUMBER(FIND(" ",TRIM(I142&amp;""))),COUNTIF(코드표!$A$2:$A$21,IF(RIGHT(LEFT(TRIM(I142&amp;""),FIND(" ",TRIM(I142&amp;""))-1),2)="병원",LEFT(TRIM(I142&amp;""),FIND(" ",TRIM(I142&amp;""))-1),LEFT(TRIM(I142&amp;""),FIND(" ",TRIM(I142&amp;""))-1)&amp;"병원"))&gt;0,ISNUMBER(MATCH(TRIM(RIGHT(SUBSTITUTE(TRIM(I142&amp;"")," ",REPT(" ",60)),60)),코드표!$F$2:$F$101,0))),IF(RIGHT(LEFT(TRIM(I142&amp;""),FIND(" ",TRIM(I142&amp;""))-1),2)="병원",LEFT(TRIM(I142&amp;""),FIND(" ",TRIM(I142&amp;""))-1),LEFT(TRIM(I142&amp;""),FIND(" ",TRIM(I142&amp;""))-1)&amp;"병원")&amp;" "&amp;INDEX(코드표!$G$2:$G$101,MATCH(TRIM(RIGHT(SUBSTITUTE(TRIM(I142&amp;"")," ",REPT(" ",60)),60)),코드표!$F$2:$F$101,0)),"⚠"&amp;TRIM(I142&amp;""))),"⚠"&amp;TRIM(I142&amp;""))</f>
        <v/>
      </c>
      <c r="R142" s="10">
        <f>IFERROR(IF(TRIM(J142&amp;"")="","",IF(AND(ISNUMBER(FIND(" ",TRIM(J142&amp;""))),COUNTIF(코드표!$A$2:$A$21,IF(RIGHT(LEFT(TRIM(J142&amp;""),FIND(" ",TRIM(J142&amp;""))-1),2)="병원",LEFT(TRIM(J142&amp;""),FIND(" ",TRIM(J142&amp;""))-1),LEFT(TRIM(J142&amp;""),FIND(" ",TRIM(J142&amp;""))-1)&amp;"병원"))&gt;0,ISNUMBER(MATCH(TRIM(RIGHT(SUBSTITUTE(TRIM(J142&amp;"")," ",REPT(" ",60)),60)),코드표!$F$2:$F$101,0))),IF(RIGHT(LEFT(TRIM(J142&amp;""),FIND(" ",TRIM(J142&amp;""))-1),2)="병원",LEFT(TRIM(J142&amp;""),FIND(" ",TRIM(J142&amp;""))-1),LEFT(TRIM(J142&amp;""),FIND(" ",TRIM(J142&amp;""))-1)&amp;"병원")&amp;" "&amp;INDEX(코드표!$G$2:$G$101,MATCH(TRIM(RIGHT(SUBSTITUTE(TRIM(J142&amp;"")," ",REPT(" ",60)),60)),코드표!$F$2:$F$101,0)),"⚠"&amp;TRIM(J142&amp;""))),"⚠"&amp;TRIM(J142&amp;""))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",TRIM(E143&amp;""))),COUNTIF(코드표!$A$2:$A$21,IF(RIGHT(LEFT(TRIM(E143&amp;""),FIND(" ",TRIM(E143&amp;""))-1),2)="병원",LEFT(TRIM(E143&amp;""),FIND(" ",TRIM(E143&amp;""))-1),LEFT(TRIM(E143&amp;""),FIND(" ",TRIM(E143&amp;""))-1)&amp;"병원"))&gt;0,ISNUMBER(MATCH(TRIM(RIGHT(SUBSTITUTE(TRIM(E143&amp;"")," ",REPT(" ",60)),60)),코드표!$F$2:$F$101,0))),IF(RIGHT(LEFT(TRIM(E143&amp;""),FIND(" ",TRIM(E143&amp;""))-1),2)="병원",LEFT(TRIM(E143&amp;""),FIND(" ",TRIM(E143&amp;""))-1),LEFT(TRIM(E143&amp;""),FIND(" ",TRIM(E143&amp;""))-1)&amp;"병원")&amp;" "&amp;INDEX(코드표!$G$2:$G$101,MATCH(TRIM(RIGHT(SUBSTITUTE(TRIM(E143&amp;"")," ",REPT(" ",60)),60)),코드표!$F$2:$F$101,0)),"⚠"&amp;TRIM(E143&amp;""))),"⚠"&amp;TRIM(E143&amp;""))</f>
        <v/>
      </c>
      <c r="N143" s="10">
        <f>IFERROR(IF(TRIM(F143&amp;"")="","",IF(AND(ISNUMBER(FIND(" ",TRIM(F143&amp;""))),COUNTIF(코드표!$A$2:$A$21,IF(RIGHT(LEFT(TRIM(F143&amp;""),FIND(" ",TRIM(F143&amp;""))-1),2)="병원",LEFT(TRIM(F143&amp;""),FIND(" ",TRIM(F143&amp;""))-1),LEFT(TRIM(F143&amp;""),FIND(" ",TRIM(F143&amp;""))-1)&amp;"병원"))&gt;0,ISNUMBER(MATCH(TRIM(RIGHT(SUBSTITUTE(TRIM(F143&amp;"")," ",REPT(" ",60)),60)),코드표!$F$2:$F$101,0))),IF(RIGHT(LEFT(TRIM(F143&amp;""),FIND(" ",TRIM(F143&amp;""))-1),2)="병원",LEFT(TRIM(F143&amp;""),FIND(" ",TRIM(F143&amp;""))-1),LEFT(TRIM(F143&amp;""),FIND(" ",TRIM(F143&amp;""))-1)&amp;"병원")&amp;" "&amp;INDEX(코드표!$G$2:$G$101,MATCH(TRIM(RIGHT(SUBSTITUTE(TRIM(F143&amp;"")," ",REPT(" ",60)),60)),코드표!$F$2:$F$101,0)),"⚠"&amp;TRIM(F143&amp;""))),"⚠"&amp;TRIM(F143&amp;""))</f>
        <v/>
      </c>
      <c r="O143" s="10">
        <f>IFERROR(IF(TRIM(G143&amp;"")="","",IF(AND(ISNUMBER(FIND(" ",TRIM(G143&amp;""))),COUNTIF(코드표!$A$2:$A$21,IF(RIGHT(LEFT(TRIM(G143&amp;""),FIND(" ",TRIM(G143&amp;""))-1),2)="병원",LEFT(TRIM(G143&amp;""),FIND(" ",TRIM(G143&amp;""))-1),LEFT(TRIM(G143&amp;""),FIND(" ",TRIM(G143&amp;""))-1)&amp;"병원"))&gt;0,ISNUMBER(MATCH(TRIM(RIGHT(SUBSTITUTE(TRIM(G143&amp;"")," ",REPT(" ",60)),60)),코드표!$F$2:$F$101,0))),IF(RIGHT(LEFT(TRIM(G143&amp;""),FIND(" ",TRIM(G143&amp;""))-1),2)="병원",LEFT(TRIM(G143&amp;""),FIND(" ",TRIM(G143&amp;""))-1),LEFT(TRIM(G143&amp;""),FIND(" ",TRIM(G143&amp;""))-1)&amp;"병원")&amp;" "&amp;INDEX(코드표!$G$2:$G$101,MATCH(TRIM(RIGHT(SUBSTITUTE(TRIM(G143&amp;"")," ",REPT(" ",60)),60)),코드표!$F$2:$F$101,0)),"⚠"&amp;TRIM(G143&amp;""))),"⚠"&amp;TRIM(G143&amp;""))</f>
        <v/>
      </c>
      <c r="P143" s="10">
        <f>IFERROR(IF(TRIM(H143&amp;"")="","",IF(AND(ISNUMBER(FIND(" ",TRIM(H143&amp;""))),COUNTIF(코드표!$A$2:$A$21,IF(RIGHT(LEFT(TRIM(H143&amp;""),FIND(" ",TRIM(H143&amp;""))-1),2)="병원",LEFT(TRIM(H143&amp;""),FIND(" ",TRIM(H143&amp;""))-1),LEFT(TRIM(H143&amp;""),FIND(" ",TRIM(H143&amp;""))-1)&amp;"병원"))&gt;0,ISNUMBER(MATCH(TRIM(RIGHT(SUBSTITUTE(TRIM(H143&amp;"")," ",REPT(" ",60)),60)),코드표!$F$2:$F$101,0))),IF(RIGHT(LEFT(TRIM(H143&amp;""),FIND(" ",TRIM(H143&amp;""))-1),2)="병원",LEFT(TRIM(H143&amp;""),FIND(" ",TRIM(H143&amp;""))-1),LEFT(TRIM(H143&amp;""),FIND(" ",TRIM(H143&amp;""))-1)&amp;"병원")&amp;" "&amp;INDEX(코드표!$G$2:$G$101,MATCH(TRIM(RIGHT(SUBSTITUTE(TRIM(H143&amp;"")," ",REPT(" ",60)),60)),코드표!$F$2:$F$101,0)),"⚠"&amp;TRIM(H143&amp;""))),"⚠"&amp;TRIM(H143&amp;""))</f>
        <v/>
      </c>
      <c r="Q143" s="10">
        <f>IFERROR(IF(TRIM(I143&amp;"")="","",IF(AND(ISNUMBER(FIND(" ",TRIM(I143&amp;""))),COUNTIF(코드표!$A$2:$A$21,IF(RIGHT(LEFT(TRIM(I143&amp;""),FIND(" ",TRIM(I143&amp;""))-1),2)="병원",LEFT(TRIM(I143&amp;""),FIND(" ",TRIM(I143&amp;""))-1),LEFT(TRIM(I143&amp;""),FIND(" ",TRIM(I143&amp;""))-1)&amp;"병원"))&gt;0,ISNUMBER(MATCH(TRIM(RIGHT(SUBSTITUTE(TRIM(I143&amp;"")," ",REPT(" ",60)),60)),코드표!$F$2:$F$101,0))),IF(RIGHT(LEFT(TRIM(I143&amp;""),FIND(" ",TRIM(I143&amp;""))-1),2)="병원",LEFT(TRIM(I143&amp;""),FIND(" ",TRIM(I143&amp;""))-1),LEFT(TRIM(I143&amp;""),FIND(" ",TRIM(I143&amp;""))-1)&amp;"병원")&amp;" "&amp;INDEX(코드표!$G$2:$G$101,MATCH(TRIM(RIGHT(SUBSTITUTE(TRIM(I143&amp;"")," ",REPT(" ",60)),60)),코드표!$F$2:$F$101,0)),"⚠"&amp;TRIM(I143&amp;""))),"⚠"&amp;TRIM(I143&amp;""))</f>
        <v/>
      </c>
      <c r="R143" s="10">
        <f>IFERROR(IF(TRIM(J143&amp;"")="","",IF(AND(ISNUMBER(FIND(" ",TRIM(J143&amp;""))),COUNTIF(코드표!$A$2:$A$21,IF(RIGHT(LEFT(TRIM(J143&amp;""),FIND(" ",TRIM(J143&amp;""))-1),2)="병원",LEFT(TRIM(J143&amp;""),FIND(" ",TRIM(J143&amp;""))-1),LEFT(TRIM(J143&amp;""),FIND(" ",TRIM(J143&amp;""))-1)&amp;"병원"))&gt;0,ISNUMBER(MATCH(TRIM(RIGHT(SUBSTITUTE(TRIM(J143&amp;"")," ",REPT(" ",60)),60)),코드표!$F$2:$F$101,0))),IF(RIGHT(LEFT(TRIM(J143&amp;""),FIND(" ",TRIM(J143&amp;""))-1),2)="병원",LEFT(TRIM(J143&amp;""),FIND(" ",TRIM(J143&amp;""))-1),LEFT(TRIM(J143&amp;""),FIND(" ",TRIM(J143&amp;""))-1)&amp;"병원")&amp;" "&amp;INDEX(코드표!$G$2:$G$101,MATCH(TRIM(RIGHT(SUBSTITUTE(TRIM(J143&amp;"")," ",REPT(" ",60)),60)),코드표!$F$2:$F$101,0)),"⚠"&amp;TRIM(J143&amp;""))),"⚠"&amp;TRIM(J143&amp;""))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",TRIM(E144&amp;""))),COUNTIF(코드표!$A$2:$A$21,IF(RIGHT(LEFT(TRIM(E144&amp;""),FIND(" ",TRIM(E144&amp;""))-1),2)="병원",LEFT(TRIM(E144&amp;""),FIND(" ",TRIM(E144&amp;""))-1),LEFT(TRIM(E144&amp;""),FIND(" ",TRIM(E144&amp;""))-1)&amp;"병원"))&gt;0,ISNUMBER(MATCH(TRIM(RIGHT(SUBSTITUTE(TRIM(E144&amp;"")," ",REPT(" ",60)),60)),코드표!$F$2:$F$101,0))),IF(RIGHT(LEFT(TRIM(E144&amp;""),FIND(" ",TRIM(E144&amp;""))-1),2)="병원",LEFT(TRIM(E144&amp;""),FIND(" ",TRIM(E144&amp;""))-1),LEFT(TRIM(E144&amp;""),FIND(" ",TRIM(E144&amp;""))-1)&amp;"병원")&amp;" "&amp;INDEX(코드표!$G$2:$G$101,MATCH(TRIM(RIGHT(SUBSTITUTE(TRIM(E144&amp;"")," ",REPT(" ",60)),60)),코드표!$F$2:$F$101,0)),"⚠"&amp;TRIM(E144&amp;""))),"⚠"&amp;TRIM(E144&amp;""))</f>
        <v/>
      </c>
      <c r="N144" s="10">
        <f>IFERROR(IF(TRIM(F144&amp;"")="","",IF(AND(ISNUMBER(FIND(" ",TRIM(F144&amp;""))),COUNTIF(코드표!$A$2:$A$21,IF(RIGHT(LEFT(TRIM(F144&amp;""),FIND(" ",TRIM(F144&amp;""))-1),2)="병원",LEFT(TRIM(F144&amp;""),FIND(" ",TRIM(F144&amp;""))-1),LEFT(TRIM(F144&amp;""),FIND(" ",TRIM(F144&amp;""))-1)&amp;"병원"))&gt;0,ISNUMBER(MATCH(TRIM(RIGHT(SUBSTITUTE(TRIM(F144&amp;"")," ",REPT(" ",60)),60)),코드표!$F$2:$F$101,0))),IF(RIGHT(LEFT(TRIM(F144&amp;""),FIND(" ",TRIM(F144&amp;""))-1),2)="병원",LEFT(TRIM(F144&amp;""),FIND(" ",TRIM(F144&amp;""))-1),LEFT(TRIM(F144&amp;""),FIND(" ",TRIM(F144&amp;""))-1)&amp;"병원")&amp;" "&amp;INDEX(코드표!$G$2:$G$101,MATCH(TRIM(RIGHT(SUBSTITUTE(TRIM(F144&amp;"")," ",REPT(" ",60)),60)),코드표!$F$2:$F$101,0)),"⚠"&amp;TRIM(F144&amp;""))),"⚠"&amp;TRIM(F144&amp;""))</f>
        <v/>
      </c>
      <c r="O144" s="10">
        <f>IFERROR(IF(TRIM(G144&amp;"")="","",IF(AND(ISNUMBER(FIND(" ",TRIM(G144&amp;""))),COUNTIF(코드표!$A$2:$A$21,IF(RIGHT(LEFT(TRIM(G144&amp;""),FIND(" ",TRIM(G144&amp;""))-1),2)="병원",LEFT(TRIM(G144&amp;""),FIND(" ",TRIM(G144&amp;""))-1),LEFT(TRIM(G144&amp;""),FIND(" ",TRIM(G144&amp;""))-1)&amp;"병원"))&gt;0,ISNUMBER(MATCH(TRIM(RIGHT(SUBSTITUTE(TRIM(G144&amp;"")," ",REPT(" ",60)),60)),코드표!$F$2:$F$101,0))),IF(RIGHT(LEFT(TRIM(G144&amp;""),FIND(" ",TRIM(G144&amp;""))-1),2)="병원",LEFT(TRIM(G144&amp;""),FIND(" ",TRIM(G144&amp;""))-1),LEFT(TRIM(G144&amp;""),FIND(" ",TRIM(G144&amp;""))-1)&amp;"병원")&amp;" "&amp;INDEX(코드표!$G$2:$G$101,MATCH(TRIM(RIGHT(SUBSTITUTE(TRIM(G144&amp;"")," ",REPT(" ",60)),60)),코드표!$F$2:$F$101,0)),"⚠"&amp;TRIM(G144&amp;""))),"⚠"&amp;TRIM(G144&amp;""))</f>
        <v/>
      </c>
      <c r="P144" s="10">
        <f>IFERROR(IF(TRIM(H144&amp;"")="","",IF(AND(ISNUMBER(FIND(" ",TRIM(H144&amp;""))),COUNTIF(코드표!$A$2:$A$21,IF(RIGHT(LEFT(TRIM(H144&amp;""),FIND(" ",TRIM(H144&amp;""))-1),2)="병원",LEFT(TRIM(H144&amp;""),FIND(" ",TRIM(H144&amp;""))-1),LEFT(TRIM(H144&amp;""),FIND(" ",TRIM(H144&amp;""))-1)&amp;"병원"))&gt;0,ISNUMBER(MATCH(TRIM(RIGHT(SUBSTITUTE(TRIM(H144&amp;"")," ",REPT(" ",60)),60)),코드표!$F$2:$F$101,0))),IF(RIGHT(LEFT(TRIM(H144&amp;""),FIND(" ",TRIM(H144&amp;""))-1),2)="병원",LEFT(TRIM(H144&amp;""),FIND(" ",TRIM(H144&amp;""))-1),LEFT(TRIM(H144&amp;""),FIND(" ",TRIM(H144&amp;""))-1)&amp;"병원")&amp;" "&amp;INDEX(코드표!$G$2:$G$101,MATCH(TRIM(RIGHT(SUBSTITUTE(TRIM(H144&amp;"")," ",REPT(" ",60)),60)),코드표!$F$2:$F$101,0)),"⚠"&amp;TRIM(H144&amp;""))),"⚠"&amp;TRIM(H144&amp;""))</f>
        <v/>
      </c>
      <c r="Q144" s="10">
        <f>IFERROR(IF(TRIM(I144&amp;"")="","",IF(AND(ISNUMBER(FIND(" ",TRIM(I144&amp;""))),COUNTIF(코드표!$A$2:$A$21,IF(RIGHT(LEFT(TRIM(I144&amp;""),FIND(" ",TRIM(I144&amp;""))-1),2)="병원",LEFT(TRIM(I144&amp;""),FIND(" ",TRIM(I144&amp;""))-1),LEFT(TRIM(I144&amp;""),FIND(" ",TRIM(I144&amp;""))-1)&amp;"병원"))&gt;0,ISNUMBER(MATCH(TRIM(RIGHT(SUBSTITUTE(TRIM(I144&amp;"")," ",REPT(" ",60)),60)),코드표!$F$2:$F$101,0))),IF(RIGHT(LEFT(TRIM(I144&amp;""),FIND(" ",TRIM(I144&amp;""))-1),2)="병원",LEFT(TRIM(I144&amp;""),FIND(" ",TRIM(I144&amp;""))-1),LEFT(TRIM(I144&amp;""),FIND(" ",TRIM(I144&amp;""))-1)&amp;"병원")&amp;" "&amp;INDEX(코드표!$G$2:$G$101,MATCH(TRIM(RIGHT(SUBSTITUTE(TRIM(I144&amp;"")," ",REPT(" ",60)),60)),코드표!$F$2:$F$101,0)),"⚠"&amp;TRIM(I144&amp;""))),"⚠"&amp;TRIM(I144&amp;""))</f>
        <v/>
      </c>
      <c r="R144" s="10">
        <f>IFERROR(IF(TRIM(J144&amp;"")="","",IF(AND(ISNUMBER(FIND(" ",TRIM(J144&amp;""))),COUNTIF(코드표!$A$2:$A$21,IF(RIGHT(LEFT(TRIM(J144&amp;""),FIND(" ",TRIM(J144&amp;""))-1),2)="병원",LEFT(TRIM(J144&amp;""),FIND(" ",TRIM(J144&amp;""))-1),LEFT(TRIM(J144&amp;""),FIND(" ",TRIM(J144&amp;""))-1)&amp;"병원"))&gt;0,ISNUMBER(MATCH(TRIM(RIGHT(SUBSTITUTE(TRIM(J144&amp;"")," ",REPT(" ",60)),60)),코드표!$F$2:$F$101,0))),IF(RIGHT(LEFT(TRIM(J144&amp;""),FIND(" ",TRIM(J144&amp;""))-1),2)="병원",LEFT(TRIM(J144&amp;""),FIND(" ",TRIM(J144&amp;""))-1),LEFT(TRIM(J144&amp;""),FIND(" ",TRIM(J144&amp;""))-1)&amp;"병원")&amp;" "&amp;INDEX(코드표!$G$2:$G$101,MATCH(TRIM(RIGHT(SUBSTITUTE(TRIM(J144&amp;"")," ",REPT(" ",60)),60)),코드표!$F$2:$F$101,0)),"⚠"&amp;TRIM(J144&amp;""))),"⚠"&amp;TRIM(J144&amp;""))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",TRIM(E145&amp;""))),COUNTIF(코드표!$A$2:$A$21,IF(RIGHT(LEFT(TRIM(E145&amp;""),FIND(" ",TRIM(E145&amp;""))-1),2)="병원",LEFT(TRIM(E145&amp;""),FIND(" ",TRIM(E145&amp;""))-1),LEFT(TRIM(E145&amp;""),FIND(" ",TRIM(E145&amp;""))-1)&amp;"병원"))&gt;0,ISNUMBER(MATCH(TRIM(RIGHT(SUBSTITUTE(TRIM(E145&amp;"")," ",REPT(" ",60)),60)),코드표!$F$2:$F$101,0))),IF(RIGHT(LEFT(TRIM(E145&amp;""),FIND(" ",TRIM(E145&amp;""))-1),2)="병원",LEFT(TRIM(E145&amp;""),FIND(" ",TRIM(E145&amp;""))-1),LEFT(TRIM(E145&amp;""),FIND(" ",TRIM(E145&amp;""))-1)&amp;"병원")&amp;" "&amp;INDEX(코드표!$G$2:$G$101,MATCH(TRIM(RIGHT(SUBSTITUTE(TRIM(E145&amp;"")," ",REPT(" ",60)),60)),코드표!$F$2:$F$101,0)),"⚠"&amp;TRIM(E145&amp;""))),"⚠"&amp;TRIM(E145&amp;""))</f>
        <v/>
      </c>
      <c r="N145" s="10">
        <f>IFERROR(IF(TRIM(F145&amp;"")="","",IF(AND(ISNUMBER(FIND(" ",TRIM(F145&amp;""))),COUNTIF(코드표!$A$2:$A$21,IF(RIGHT(LEFT(TRIM(F145&amp;""),FIND(" ",TRIM(F145&amp;""))-1),2)="병원",LEFT(TRIM(F145&amp;""),FIND(" ",TRIM(F145&amp;""))-1),LEFT(TRIM(F145&amp;""),FIND(" ",TRIM(F145&amp;""))-1)&amp;"병원"))&gt;0,ISNUMBER(MATCH(TRIM(RIGHT(SUBSTITUTE(TRIM(F145&amp;"")," ",REPT(" ",60)),60)),코드표!$F$2:$F$101,0))),IF(RIGHT(LEFT(TRIM(F145&amp;""),FIND(" ",TRIM(F145&amp;""))-1),2)="병원",LEFT(TRIM(F145&amp;""),FIND(" ",TRIM(F145&amp;""))-1),LEFT(TRIM(F145&amp;""),FIND(" ",TRIM(F145&amp;""))-1)&amp;"병원")&amp;" "&amp;INDEX(코드표!$G$2:$G$101,MATCH(TRIM(RIGHT(SUBSTITUTE(TRIM(F145&amp;"")," ",REPT(" ",60)),60)),코드표!$F$2:$F$101,0)),"⚠"&amp;TRIM(F145&amp;""))),"⚠"&amp;TRIM(F145&amp;""))</f>
        <v/>
      </c>
      <c r="O145" s="10">
        <f>IFERROR(IF(TRIM(G145&amp;"")="","",IF(AND(ISNUMBER(FIND(" ",TRIM(G145&amp;""))),COUNTIF(코드표!$A$2:$A$21,IF(RIGHT(LEFT(TRIM(G145&amp;""),FIND(" ",TRIM(G145&amp;""))-1),2)="병원",LEFT(TRIM(G145&amp;""),FIND(" ",TRIM(G145&amp;""))-1),LEFT(TRIM(G145&amp;""),FIND(" ",TRIM(G145&amp;""))-1)&amp;"병원"))&gt;0,ISNUMBER(MATCH(TRIM(RIGHT(SUBSTITUTE(TRIM(G145&amp;"")," ",REPT(" ",60)),60)),코드표!$F$2:$F$101,0))),IF(RIGHT(LEFT(TRIM(G145&amp;""),FIND(" ",TRIM(G145&amp;""))-1),2)="병원",LEFT(TRIM(G145&amp;""),FIND(" ",TRIM(G145&amp;""))-1),LEFT(TRIM(G145&amp;""),FIND(" ",TRIM(G145&amp;""))-1)&amp;"병원")&amp;" "&amp;INDEX(코드표!$G$2:$G$101,MATCH(TRIM(RIGHT(SUBSTITUTE(TRIM(G145&amp;"")," ",REPT(" ",60)),60)),코드표!$F$2:$F$101,0)),"⚠"&amp;TRIM(G145&amp;""))),"⚠"&amp;TRIM(G145&amp;""))</f>
        <v/>
      </c>
      <c r="P145" s="10">
        <f>IFERROR(IF(TRIM(H145&amp;"")="","",IF(AND(ISNUMBER(FIND(" ",TRIM(H145&amp;""))),COUNTIF(코드표!$A$2:$A$21,IF(RIGHT(LEFT(TRIM(H145&amp;""),FIND(" ",TRIM(H145&amp;""))-1),2)="병원",LEFT(TRIM(H145&amp;""),FIND(" ",TRIM(H145&amp;""))-1),LEFT(TRIM(H145&amp;""),FIND(" ",TRIM(H145&amp;""))-1)&amp;"병원"))&gt;0,ISNUMBER(MATCH(TRIM(RIGHT(SUBSTITUTE(TRIM(H145&amp;"")," ",REPT(" ",60)),60)),코드표!$F$2:$F$101,0))),IF(RIGHT(LEFT(TRIM(H145&amp;""),FIND(" ",TRIM(H145&amp;""))-1),2)="병원",LEFT(TRIM(H145&amp;""),FIND(" ",TRIM(H145&amp;""))-1),LEFT(TRIM(H145&amp;""),FIND(" ",TRIM(H145&amp;""))-1)&amp;"병원")&amp;" "&amp;INDEX(코드표!$G$2:$G$101,MATCH(TRIM(RIGHT(SUBSTITUTE(TRIM(H145&amp;"")," ",REPT(" ",60)),60)),코드표!$F$2:$F$101,0)),"⚠"&amp;TRIM(H145&amp;""))),"⚠"&amp;TRIM(H145&amp;""))</f>
        <v/>
      </c>
      <c r="Q145" s="10">
        <f>IFERROR(IF(TRIM(I145&amp;"")="","",IF(AND(ISNUMBER(FIND(" ",TRIM(I145&amp;""))),COUNTIF(코드표!$A$2:$A$21,IF(RIGHT(LEFT(TRIM(I145&amp;""),FIND(" ",TRIM(I145&amp;""))-1),2)="병원",LEFT(TRIM(I145&amp;""),FIND(" ",TRIM(I145&amp;""))-1),LEFT(TRIM(I145&amp;""),FIND(" ",TRIM(I145&amp;""))-1)&amp;"병원"))&gt;0,ISNUMBER(MATCH(TRIM(RIGHT(SUBSTITUTE(TRIM(I145&amp;"")," ",REPT(" ",60)),60)),코드표!$F$2:$F$101,0))),IF(RIGHT(LEFT(TRIM(I145&amp;""),FIND(" ",TRIM(I145&amp;""))-1),2)="병원",LEFT(TRIM(I145&amp;""),FIND(" ",TRIM(I145&amp;""))-1),LEFT(TRIM(I145&amp;""),FIND(" ",TRIM(I145&amp;""))-1)&amp;"병원")&amp;" "&amp;INDEX(코드표!$G$2:$G$101,MATCH(TRIM(RIGHT(SUBSTITUTE(TRIM(I145&amp;"")," ",REPT(" ",60)),60)),코드표!$F$2:$F$101,0)),"⚠"&amp;TRIM(I145&amp;""))),"⚠"&amp;TRIM(I145&amp;""))</f>
        <v/>
      </c>
      <c r="R145" s="10">
        <f>IFERROR(IF(TRIM(J145&amp;"")="","",IF(AND(ISNUMBER(FIND(" ",TRIM(J145&amp;""))),COUNTIF(코드표!$A$2:$A$21,IF(RIGHT(LEFT(TRIM(J145&amp;""),FIND(" ",TRIM(J145&amp;""))-1),2)="병원",LEFT(TRIM(J145&amp;""),FIND(" ",TRIM(J145&amp;""))-1),LEFT(TRIM(J145&amp;""),FIND(" ",TRIM(J145&amp;""))-1)&amp;"병원"))&gt;0,ISNUMBER(MATCH(TRIM(RIGHT(SUBSTITUTE(TRIM(J145&amp;"")," ",REPT(" ",60)),60)),코드표!$F$2:$F$101,0))),IF(RIGHT(LEFT(TRIM(J145&amp;""),FIND(" ",TRIM(J145&amp;""))-1),2)="병원",LEFT(TRIM(J145&amp;""),FIND(" ",TRIM(J145&amp;""))-1),LEFT(TRIM(J145&amp;""),FIND(" ",TRIM(J145&amp;""))-1)&amp;"병원")&amp;" "&amp;INDEX(코드표!$G$2:$G$101,MATCH(TRIM(RIGHT(SUBSTITUTE(TRIM(J145&amp;"")," ",REPT(" ",60)),60)),코드표!$F$2:$F$101,0)),"⚠"&amp;TRIM(J145&amp;""))),"⚠"&amp;TRIM(J145&amp;""))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",TRIM(E146&amp;""))),COUNTIF(코드표!$A$2:$A$21,IF(RIGHT(LEFT(TRIM(E146&amp;""),FIND(" ",TRIM(E146&amp;""))-1),2)="병원",LEFT(TRIM(E146&amp;""),FIND(" ",TRIM(E146&amp;""))-1),LEFT(TRIM(E146&amp;""),FIND(" ",TRIM(E146&amp;""))-1)&amp;"병원"))&gt;0,ISNUMBER(MATCH(TRIM(RIGHT(SUBSTITUTE(TRIM(E146&amp;"")," ",REPT(" ",60)),60)),코드표!$F$2:$F$101,0))),IF(RIGHT(LEFT(TRIM(E146&amp;""),FIND(" ",TRIM(E146&amp;""))-1),2)="병원",LEFT(TRIM(E146&amp;""),FIND(" ",TRIM(E146&amp;""))-1),LEFT(TRIM(E146&amp;""),FIND(" ",TRIM(E146&amp;""))-1)&amp;"병원")&amp;" "&amp;INDEX(코드표!$G$2:$G$101,MATCH(TRIM(RIGHT(SUBSTITUTE(TRIM(E146&amp;"")," ",REPT(" ",60)),60)),코드표!$F$2:$F$101,0)),"⚠"&amp;TRIM(E146&amp;""))),"⚠"&amp;TRIM(E146&amp;""))</f>
        <v/>
      </c>
      <c r="N146" s="10">
        <f>IFERROR(IF(TRIM(F146&amp;"")="","",IF(AND(ISNUMBER(FIND(" ",TRIM(F146&amp;""))),COUNTIF(코드표!$A$2:$A$21,IF(RIGHT(LEFT(TRIM(F146&amp;""),FIND(" ",TRIM(F146&amp;""))-1),2)="병원",LEFT(TRIM(F146&amp;""),FIND(" ",TRIM(F146&amp;""))-1),LEFT(TRIM(F146&amp;""),FIND(" ",TRIM(F146&amp;""))-1)&amp;"병원"))&gt;0,ISNUMBER(MATCH(TRIM(RIGHT(SUBSTITUTE(TRIM(F146&amp;"")," ",REPT(" ",60)),60)),코드표!$F$2:$F$101,0))),IF(RIGHT(LEFT(TRIM(F146&amp;""),FIND(" ",TRIM(F146&amp;""))-1),2)="병원",LEFT(TRIM(F146&amp;""),FIND(" ",TRIM(F146&amp;""))-1),LEFT(TRIM(F146&amp;""),FIND(" ",TRIM(F146&amp;""))-1)&amp;"병원")&amp;" "&amp;INDEX(코드표!$G$2:$G$101,MATCH(TRIM(RIGHT(SUBSTITUTE(TRIM(F146&amp;"")," ",REPT(" ",60)),60)),코드표!$F$2:$F$101,0)),"⚠"&amp;TRIM(F146&amp;""))),"⚠"&amp;TRIM(F146&amp;""))</f>
        <v/>
      </c>
      <c r="O146" s="10">
        <f>IFERROR(IF(TRIM(G146&amp;"")="","",IF(AND(ISNUMBER(FIND(" ",TRIM(G146&amp;""))),COUNTIF(코드표!$A$2:$A$21,IF(RIGHT(LEFT(TRIM(G146&amp;""),FIND(" ",TRIM(G146&amp;""))-1),2)="병원",LEFT(TRIM(G146&amp;""),FIND(" ",TRIM(G146&amp;""))-1),LEFT(TRIM(G146&amp;""),FIND(" ",TRIM(G146&amp;""))-1)&amp;"병원"))&gt;0,ISNUMBER(MATCH(TRIM(RIGHT(SUBSTITUTE(TRIM(G146&amp;"")," ",REPT(" ",60)),60)),코드표!$F$2:$F$101,0))),IF(RIGHT(LEFT(TRIM(G146&amp;""),FIND(" ",TRIM(G146&amp;""))-1),2)="병원",LEFT(TRIM(G146&amp;""),FIND(" ",TRIM(G146&amp;""))-1),LEFT(TRIM(G146&amp;""),FIND(" ",TRIM(G146&amp;""))-1)&amp;"병원")&amp;" "&amp;INDEX(코드표!$G$2:$G$101,MATCH(TRIM(RIGHT(SUBSTITUTE(TRIM(G146&amp;"")," ",REPT(" ",60)),60)),코드표!$F$2:$F$101,0)),"⚠"&amp;TRIM(G146&amp;""))),"⚠"&amp;TRIM(G146&amp;""))</f>
        <v/>
      </c>
      <c r="P146" s="10">
        <f>IFERROR(IF(TRIM(H146&amp;"")="","",IF(AND(ISNUMBER(FIND(" ",TRIM(H146&amp;""))),COUNTIF(코드표!$A$2:$A$21,IF(RIGHT(LEFT(TRIM(H146&amp;""),FIND(" ",TRIM(H146&amp;""))-1),2)="병원",LEFT(TRIM(H146&amp;""),FIND(" ",TRIM(H146&amp;""))-1),LEFT(TRIM(H146&amp;""),FIND(" ",TRIM(H146&amp;""))-1)&amp;"병원"))&gt;0,ISNUMBER(MATCH(TRIM(RIGHT(SUBSTITUTE(TRIM(H146&amp;"")," ",REPT(" ",60)),60)),코드표!$F$2:$F$101,0))),IF(RIGHT(LEFT(TRIM(H146&amp;""),FIND(" ",TRIM(H146&amp;""))-1),2)="병원",LEFT(TRIM(H146&amp;""),FIND(" ",TRIM(H146&amp;""))-1),LEFT(TRIM(H146&amp;""),FIND(" ",TRIM(H146&amp;""))-1)&amp;"병원")&amp;" "&amp;INDEX(코드표!$G$2:$G$101,MATCH(TRIM(RIGHT(SUBSTITUTE(TRIM(H146&amp;"")," ",REPT(" ",60)),60)),코드표!$F$2:$F$101,0)),"⚠"&amp;TRIM(H146&amp;""))),"⚠"&amp;TRIM(H146&amp;""))</f>
        <v/>
      </c>
      <c r="Q146" s="10">
        <f>IFERROR(IF(TRIM(I146&amp;"")="","",IF(AND(ISNUMBER(FIND(" ",TRIM(I146&amp;""))),COUNTIF(코드표!$A$2:$A$21,IF(RIGHT(LEFT(TRIM(I146&amp;""),FIND(" ",TRIM(I146&amp;""))-1),2)="병원",LEFT(TRIM(I146&amp;""),FIND(" ",TRIM(I146&amp;""))-1),LEFT(TRIM(I146&amp;""),FIND(" ",TRIM(I146&amp;""))-1)&amp;"병원"))&gt;0,ISNUMBER(MATCH(TRIM(RIGHT(SUBSTITUTE(TRIM(I146&amp;"")," ",REPT(" ",60)),60)),코드표!$F$2:$F$101,0))),IF(RIGHT(LEFT(TRIM(I146&amp;""),FIND(" ",TRIM(I146&amp;""))-1),2)="병원",LEFT(TRIM(I146&amp;""),FIND(" ",TRIM(I146&amp;""))-1),LEFT(TRIM(I146&amp;""),FIND(" ",TRIM(I146&amp;""))-1)&amp;"병원")&amp;" "&amp;INDEX(코드표!$G$2:$G$101,MATCH(TRIM(RIGHT(SUBSTITUTE(TRIM(I146&amp;"")," ",REPT(" ",60)),60)),코드표!$F$2:$F$101,0)),"⚠"&amp;TRIM(I146&amp;""))),"⚠"&amp;TRIM(I146&amp;""))</f>
        <v/>
      </c>
      <c r="R146" s="10">
        <f>IFERROR(IF(TRIM(J146&amp;"")="","",IF(AND(ISNUMBER(FIND(" ",TRIM(J146&amp;""))),COUNTIF(코드표!$A$2:$A$21,IF(RIGHT(LEFT(TRIM(J146&amp;""),FIND(" ",TRIM(J146&amp;""))-1),2)="병원",LEFT(TRIM(J146&amp;""),FIND(" ",TRIM(J146&amp;""))-1),LEFT(TRIM(J146&amp;""),FIND(" ",TRIM(J146&amp;""))-1)&amp;"병원"))&gt;0,ISNUMBER(MATCH(TRIM(RIGHT(SUBSTITUTE(TRIM(J146&amp;"")," ",REPT(" ",60)),60)),코드표!$F$2:$F$101,0))),IF(RIGHT(LEFT(TRIM(J146&amp;""),FIND(" ",TRIM(J146&amp;""))-1),2)="병원",LEFT(TRIM(J146&amp;""),FIND(" ",TRIM(J146&amp;""))-1),LEFT(TRIM(J146&amp;""),FIND(" ",TRIM(J146&amp;""))-1)&amp;"병원")&amp;" "&amp;INDEX(코드표!$G$2:$G$101,MATCH(TRIM(RIGHT(SUBSTITUTE(TRIM(J146&amp;"")," ",REPT(" ",60)),60)),코드표!$F$2:$F$101,0)),"⚠"&amp;TRIM(J146&amp;""))),"⚠"&amp;TRIM(J146&amp;""))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",TRIM(E147&amp;""))),COUNTIF(코드표!$A$2:$A$21,IF(RIGHT(LEFT(TRIM(E147&amp;""),FIND(" ",TRIM(E147&amp;""))-1),2)="병원",LEFT(TRIM(E147&amp;""),FIND(" ",TRIM(E147&amp;""))-1),LEFT(TRIM(E147&amp;""),FIND(" ",TRIM(E147&amp;""))-1)&amp;"병원"))&gt;0,ISNUMBER(MATCH(TRIM(RIGHT(SUBSTITUTE(TRIM(E147&amp;"")," ",REPT(" ",60)),60)),코드표!$F$2:$F$101,0))),IF(RIGHT(LEFT(TRIM(E147&amp;""),FIND(" ",TRIM(E147&amp;""))-1),2)="병원",LEFT(TRIM(E147&amp;""),FIND(" ",TRIM(E147&amp;""))-1),LEFT(TRIM(E147&amp;""),FIND(" ",TRIM(E147&amp;""))-1)&amp;"병원")&amp;" "&amp;INDEX(코드표!$G$2:$G$101,MATCH(TRIM(RIGHT(SUBSTITUTE(TRIM(E147&amp;"")," ",REPT(" ",60)),60)),코드표!$F$2:$F$101,0)),"⚠"&amp;TRIM(E147&amp;""))),"⚠"&amp;TRIM(E147&amp;""))</f>
        <v/>
      </c>
      <c r="N147" s="10">
        <f>IFERROR(IF(TRIM(F147&amp;"")="","",IF(AND(ISNUMBER(FIND(" ",TRIM(F147&amp;""))),COUNTIF(코드표!$A$2:$A$21,IF(RIGHT(LEFT(TRIM(F147&amp;""),FIND(" ",TRIM(F147&amp;""))-1),2)="병원",LEFT(TRIM(F147&amp;""),FIND(" ",TRIM(F147&amp;""))-1),LEFT(TRIM(F147&amp;""),FIND(" ",TRIM(F147&amp;""))-1)&amp;"병원"))&gt;0,ISNUMBER(MATCH(TRIM(RIGHT(SUBSTITUTE(TRIM(F147&amp;"")," ",REPT(" ",60)),60)),코드표!$F$2:$F$101,0))),IF(RIGHT(LEFT(TRIM(F147&amp;""),FIND(" ",TRIM(F147&amp;""))-1),2)="병원",LEFT(TRIM(F147&amp;""),FIND(" ",TRIM(F147&amp;""))-1),LEFT(TRIM(F147&amp;""),FIND(" ",TRIM(F147&amp;""))-1)&amp;"병원")&amp;" "&amp;INDEX(코드표!$G$2:$G$101,MATCH(TRIM(RIGHT(SUBSTITUTE(TRIM(F147&amp;"")," ",REPT(" ",60)),60)),코드표!$F$2:$F$101,0)),"⚠"&amp;TRIM(F147&amp;""))),"⚠"&amp;TRIM(F147&amp;""))</f>
        <v/>
      </c>
      <c r="O147" s="10">
        <f>IFERROR(IF(TRIM(G147&amp;"")="","",IF(AND(ISNUMBER(FIND(" ",TRIM(G147&amp;""))),COUNTIF(코드표!$A$2:$A$21,IF(RIGHT(LEFT(TRIM(G147&amp;""),FIND(" ",TRIM(G147&amp;""))-1),2)="병원",LEFT(TRIM(G147&amp;""),FIND(" ",TRIM(G147&amp;""))-1),LEFT(TRIM(G147&amp;""),FIND(" ",TRIM(G147&amp;""))-1)&amp;"병원"))&gt;0,ISNUMBER(MATCH(TRIM(RIGHT(SUBSTITUTE(TRIM(G147&amp;"")," ",REPT(" ",60)),60)),코드표!$F$2:$F$101,0))),IF(RIGHT(LEFT(TRIM(G147&amp;""),FIND(" ",TRIM(G147&amp;""))-1),2)="병원",LEFT(TRIM(G147&amp;""),FIND(" ",TRIM(G147&amp;""))-1),LEFT(TRIM(G147&amp;""),FIND(" ",TRIM(G147&amp;""))-1)&amp;"병원")&amp;" "&amp;INDEX(코드표!$G$2:$G$101,MATCH(TRIM(RIGHT(SUBSTITUTE(TRIM(G147&amp;"")," ",REPT(" ",60)),60)),코드표!$F$2:$F$101,0)),"⚠"&amp;TRIM(G147&amp;""))),"⚠"&amp;TRIM(G147&amp;""))</f>
        <v/>
      </c>
      <c r="P147" s="10">
        <f>IFERROR(IF(TRIM(H147&amp;"")="","",IF(AND(ISNUMBER(FIND(" ",TRIM(H147&amp;""))),COUNTIF(코드표!$A$2:$A$21,IF(RIGHT(LEFT(TRIM(H147&amp;""),FIND(" ",TRIM(H147&amp;""))-1),2)="병원",LEFT(TRIM(H147&amp;""),FIND(" ",TRIM(H147&amp;""))-1),LEFT(TRIM(H147&amp;""),FIND(" ",TRIM(H147&amp;""))-1)&amp;"병원"))&gt;0,ISNUMBER(MATCH(TRIM(RIGHT(SUBSTITUTE(TRIM(H147&amp;"")," ",REPT(" ",60)),60)),코드표!$F$2:$F$101,0))),IF(RIGHT(LEFT(TRIM(H147&amp;""),FIND(" ",TRIM(H147&amp;""))-1),2)="병원",LEFT(TRIM(H147&amp;""),FIND(" ",TRIM(H147&amp;""))-1),LEFT(TRIM(H147&amp;""),FIND(" ",TRIM(H147&amp;""))-1)&amp;"병원")&amp;" "&amp;INDEX(코드표!$G$2:$G$101,MATCH(TRIM(RIGHT(SUBSTITUTE(TRIM(H147&amp;"")," ",REPT(" ",60)),60)),코드표!$F$2:$F$101,0)),"⚠"&amp;TRIM(H147&amp;""))),"⚠"&amp;TRIM(H147&amp;""))</f>
        <v/>
      </c>
      <c r="Q147" s="10">
        <f>IFERROR(IF(TRIM(I147&amp;"")="","",IF(AND(ISNUMBER(FIND(" ",TRIM(I147&amp;""))),COUNTIF(코드표!$A$2:$A$21,IF(RIGHT(LEFT(TRIM(I147&amp;""),FIND(" ",TRIM(I147&amp;""))-1),2)="병원",LEFT(TRIM(I147&amp;""),FIND(" ",TRIM(I147&amp;""))-1),LEFT(TRIM(I147&amp;""),FIND(" ",TRIM(I147&amp;""))-1)&amp;"병원"))&gt;0,ISNUMBER(MATCH(TRIM(RIGHT(SUBSTITUTE(TRIM(I147&amp;"")," ",REPT(" ",60)),60)),코드표!$F$2:$F$101,0))),IF(RIGHT(LEFT(TRIM(I147&amp;""),FIND(" ",TRIM(I147&amp;""))-1),2)="병원",LEFT(TRIM(I147&amp;""),FIND(" ",TRIM(I147&amp;""))-1),LEFT(TRIM(I147&amp;""),FIND(" ",TRIM(I147&amp;""))-1)&amp;"병원")&amp;" "&amp;INDEX(코드표!$G$2:$G$101,MATCH(TRIM(RIGHT(SUBSTITUTE(TRIM(I147&amp;"")," ",REPT(" ",60)),60)),코드표!$F$2:$F$101,0)),"⚠"&amp;TRIM(I147&amp;""))),"⚠"&amp;TRIM(I147&amp;""))</f>
        <v/>
      </c>
      <c r="R147" s="10">
        <f>IFERROR(IF(TRIM(J147&amp;"")="","",IF(AND(ISNUMBER(FIND(" ",TRIM(J147&amp;""))),COUNTIF(코드표!$A$2:$A$21,IF(RIGHT(LEFT(TRIM(J147&amp;""),FIND(" ",TRIM(J147&amp;""))-1),2)="병원",LEFT(TRIM(J147&amp;""),FIND(" ",TRIM(J147&amp;""))-1),LEFT(TRIM(J147&amp;""),FIND(" ",TRIM(J147&amp;""))-1)&amp;"병원"))&gt;0,ISNUMBER(MATCH(TRIM(RIGHT(SUBSTITUTE(TRIM(J147&amp;"")," ",REPT(" ",60)),60)),코드표!$F$2:$F$101,0))),IF(RIGHT(LEFT(TRIM(J147&amp;""),FIND(" ",TRIM(J147&amp;""))-1),2)="병원",LEFT(TRIM(J147&amp;""),FIND(" ",TRIM(J147&amp;""))-1),LEFT(TRIM(J147&amp;""),FIND(" ",TRIM(J147&amp;""))-1)&amp;"병원")&amp;" "&amp;INDEX(코드표!$G$2:$G$101,MATCH(TRIM(RIGHT(SUBSTITUTE(TRIM(J147&amp;"")," ",REPT(" ",60)),60)),코드표!$F$2:$F$101,0)),"⚠"&amp;TRIM(J147&amp;""))),"⚠"&amp;TRIM(J147&amp;""))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",TRIM(E148&amp;""))),COUNTIF(코드표!$A$2:$A$21,IF(RIGHT(LEFT(TRIM(E148&amp;""),FIND(" ",TRIM(E148&amp;""))-1),2)="병원",LEFT(TRIM(E148&amp;""),FIND(" ",TRIM(E148&amp;""))-1),LEFT(TRIM(E148&amp;""),FIND(" ",TRIM(E148&amp;""))-1)&amp;"병원"))&gt;0,ISNUMBER(MATCH(TRIM(RIGHT(SUBSTITUTE(TRIM(E148&amp;"")," ",REPT(" ",60)),60)),코드표!$F$2:$F$101,0))),IF(RIGHT(LEFT(TRIM(E148&amp;""),FIND(" ",TRIM(E148&amp;""))-1),2)="병원",LEFT(TRIM(E148&amp;""),FIND(" ",TRIM(E148&amp;""))-1),LEFT(TRIM(E148&amp;""),FIND(" ",TRIM(E148&amp;""))-1)&amp;"병원")&amp;" "&amp;INDEX(코드표!$G$2:$G$101,MATCH(TRIM(RIGHT(SUBSTITUTE(TRIM(E148&amp;"")," ",REPT(" ",60)),60)),코드표!$F$2:$F$101,0)),"⚠"&amp;TRIM(E148&amp;""))),"⚠"&amp;TRIM(E148&amp;""))</f>
        <v/>
      </c>
      <c r="N148" s="10">
        <f>IFERROR(IF(TRIM(F148&amp;"")="","",IF(AND(ISNUMBER(FIND(" ",TRIM(F148&amp;""))),COUNTIF(코드표!$A$2:$A$21,IF(RIGHT(LEFT(TRIM(F148&amp;""),FIND(" ",TRIM(F148&amp;""))-1),2)="병원",LEFT(TRIM(F148&amp;""),FIND(" ",TRIM(F148&amp;""))-1),LEFT(TRIM(F148&amp;""),FIND(" ",TRIM(F148&amp;""))-1)&amp;"병원"))&gt;0,ISNUMBER(MATCH(TRIM(RIGHT(SUBSTITUTE(TRIM(F148&amp;"")," ",REPT(" ",60)),60)),코드표!$F$2:$F$101,0))),IF(RIGHT(LEFT(TRIM(F148&amp;""),FIND(" ",TRIM(F148&amp;""))-1),2)="병원",LEFT(TRIM(F148&amp;""),FIND(" ",TRIM(F148&amp;""))-1),LEFT(TRIM(F148&amp;""),FIND(" ",TRIM(F148&amp;""))-1)&amp;"병원")&amp;" "&amp;INDEX(코드표!$G$2:$G$101,MATCH(TRIM(RIGHT(SUBSTITUTE(TRIM(F148&amp;"")," ",REPT(" ",60)),60)),코드표!$F$2:$F$101,0)),"⚠"&amp;TRIM(F148&amp;""))),"⚠"&amp;TRIM(F148&amp;""))</f>
        <v/>
      </c>
      <c r="O148" s="10">
        <f>IFERROR(IF(TRIM(G148&amp;"")="","",IF(AND(ISNUMBER(FIND(" ",TRIM(G148&amp;""))),COUNTIF(코드표!$A$2:$A$21,IF(RIGHT(LEFT(TRIM(G148&amp;""),FIND(" ",TRIM(G148&amp;""))-1),2)="병원",LEFT(TRIM(G148&amp;""),FIND(" ",TRIM(G148&amp;""))-1),LEFT(TRIM(G148&amp;""),FIND(" ",TRIM(G148&amp;""))-1)&amp;"병원"))&gt;0,ISNUMBER(MATCH(TRIM(RIGHT(SUBSTITUTE(TRIM(G148&amp;"")," ",REPT(" ",60)),60)),코드표!$F$2:$F$101,0))),IF(RIGHT(LEFT(TRIM(G148&amp;""),FIND(" ",TRIM(G148&amp;""))-1),2)="병원",LEFT(TRIM(G148&amp;""),FIND(" ",TRIM(G148&amp;""))-1),LEFT(TRIM(G148&amp;""),FIND(" ",TRIM(G148&amp;""))-1)&amp;"병원")&amp;" "&amp;INDEX(코드표!$G$2:$G$101,MATCH(TRIM(RIGHT(SUBSTITUTE(TRIM(G148&amp;"")," ",REPT(" ",60)),60)),코드표!$F$2:$F$101,0)),"⚠"&amp;TRIM(G148&amp;""))),"⚠"&amp;TRIM(G148&amp;""))</f>
        <v/>
      </c>
      <c r="P148" s="10">
        <f>IFERROR(IF(TRIM(H148&amp;"")="","",IF(AND(ISNUMBER(FIND(" ",TRIM(H148&amp;""))),COUNTIF(코드표!$A$2:$A$21,IF(RIGHT(LEFT(TRIM(H148&amp;""),FIND(" ",TRIM(H148&amp;""))-1),2)="병원",LEFT(TRIM(H148&amp;""),FIND(" ",TRIM(H148&amp;""))-1),LEFT(TRIM(H148&amp;""),FIND(" ",TRIM(H148&amp;""))-1)&amp;"병원"))&gt;0,ISNUMBER(MATCH(TRIM(RIGHT(SUBSTITUTE(TRIM(H148&amp;"")," ",REPT(" ",60)),60)),코드표!$F$2:$F$101,0))),IF(RIGHT(LEFT(TRIM(H148&amp;""),FIND(" ",TRIM(H148&amp;""))-1),2)="병원",LEFT(TRIM(H148&amp;""),FIND(" ",TRIM(H148&amp;""))-1),LEFT(TRIM(H148&amp;""),FIND(" ",TRIM(H148&amp;""))-1)&amp;"병원")&amp;" "&amp;INDEX(코드표!$G$2:$G$101,MATCH(TRIM(RIGHT(SUBSTITUTE(TRIM(H148&amp;"")," ",REPT(" ",60)),60)),코드표!$F$2:$F$101,0)),"⚠"&amp;TRIM(H148&amp;""))),"⚠"&amp;TRIM(H148&amp;""))</f>
        <v/>
      </c>
      <c r="Q148" s="10">
        <f>IFERROR(IF(TRIM(I148&amp;"")="","",IF(AND(ISNUMBER(FIND(" ",TRIM(I148&amp;""))),COUNTIF(코드표!$A$2:$A$21,IF(RIGHT(LEFT(TRIM(I148&amp;""),FIND(" ",TRIM(I148&amp;""))-1),2)="병원",LEFT(TRIM(I148&amp;""),FIND(" ",TRIM(I148&amp;""))-1),LEFT(TRIM(I148&amp;""),FIND(" ",TRIM(I148&amp;""))-1)&amp;"병원"))&gt;0,ISNUMBER(MATCH(TRIM(RIGHT(SUBSTITUTE(TRIM(I148&amp;"")," ",REPT(" ",60)),60)),코드표!$F$2:$F$101,0))),IF(RIGHT(LEFT(TRIM(I148&amp;""),FIND(" ",TRIM(I148&amp;""))-1),2)="병원",LEFT(TRIM(I148&amp;""),FIND(" ",TRIM(I148&amp;""))-1),LEFT(TRIM(I148&amp;""),FIND(" ",TRIM(I148&amp;""))-1)&amp;"병원")&amp;" "&amp;INDEX(코드표!$G$2:$G$101,MATCH(TRIM(RIGHT(SUBSTITUTE(TRIM(I148&amp;"")," ",REPT(" ",60)),60)),코드표!$F$2:$F$101,0)),"⚠"&amp;TRIM(I148&amp;""))),"⚠"&amp;TRIM(I148&amp;""))</f>
        <v/>
      </c>
      <c r="R148" s="10">
        <f>IFERROR(IF(TRIM(J148&amp;"")="","",IF(AND(ISNUMBER(FIND(" ",TRIM(J148&amp;""))),COUNTIF(코드표!$A$2:$A$21,IF(RIGHT(LEFT(TRIM(J148&amp;""),FIND(" ",TRIM(J148&amp;""))-1),2)="병원",LEFT(TRIM(J148&amp;""),FIND(" ",TRIM(J148&amp;""))-1),LEFT(TRIM(J148&amp;""),FIND(" ",TRIM(J148&amp;""))-1)&amp;"병원"))&gt;0,ISNUMBER(MATCH(TRIM(RIGHT(SUBSTITUTE(TRIM(J148&amp;"")," ",REPT(" ",60)),60)),코드표!$F$2:$F$101,0))),IF(RIGHT(LEFT(TRIM(J148&amp;""),FIND(" ",TRIM(J148&amp;""))-1),2)="병원",LEFT(TRIM(J148&amp;""),FIND(" ",TRIM(J148&amp;""))-1),LEFT(TRIM(J148&amp;""),FIND(" ",TRIM(J148&amp;""))-1)&amp;"병원")&amp;" "&amp;INDEX(코드표!$G$2:$G$101,MATCH(TRIM(RIGHT(SUBSTITUTE(TRIM(J148&amp;"")," ",REPT(" ",60)),60)),코드표!$F$2:$F$101,0)),"⚠"&amp;TRIM(J148&amp;""))),"⚠"&amp;TRIM(J148&amp;""))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",TRIM(E149&amp;""))),COUNTIF(코드표!$A$2:$A$21,IF(RIGHT(LEFT(TRIM(E149&amp;""),FIND(" ",TRIM(E149&amp;""))-1),2)="병원",LEFT(TRIM(E149&amp;""),FIND(" ",TRIM(E149&amp;""))-1),LEFT(TRIM(E149&amp;""),FIND(" ",TRIM(E149&amp;""))-1)&amp;"병원"))&gt;0,ISNUMBER(MATCH(TRIM(RIGHT(SUBSTITUTE(TRIM(E149&amp;"")," ",REPT(" ",60)),60)),코드표!$F$2:$F$101,0))),IF(RIGHT(LEFT(TRIM(E149&amp;""),FIND(" ",TRIM(E149&amp;""))-1),2)="병원",LEFT(TRIM(E149&amp;""),FIND(" ",TRIM(E149&amp;""))-1),LEFT(TRIM(E149&amp;""),FIND(" ",TRIM(E149&amp;""))-1)&amp;"병원")&amp;" "&amp;INDEX(코드표!$G$2:$G$101,MATCH(TRIM(RIGHT(SUBSTITUTE(TRIM(E149&amp;"")," ",REPT(" ",60)),60)),코드표!$F$2:$F$101,0)),"⚠"&amp;TRIM(E149&amp;""))),"⚠"&amp;TRIM(E149&amp;""))</f>
        <v/>
      </c>
      <c r="N149" s="10">
        <f>IFERROR(IF(TRIM(F149&amp;"")="","",IF(AND(ISNUMBER(FIND(" ",TRIM(F149&amp;""))),COUNTIF(코드표!$A$2:$A$21,IF(RIGHT(LEFT(TRIM(F149&amp;""),FIND(" ",TRIM(F149&amp;""))-1),2)="병원",LEFT(TRIM(F149&amp;""),FIND(" ",TRIM(F149&amp;""))-1),LEFT(TRIM(F149&amp;""),FIND(" ",TRIM(F149&amp;""))-1)&amp;"병원"))&gt;0,ISNUMBER(MATCH(TRIM(RIGHT(SUBSTITUTE(TRIM(F149&amp;"")," ",REPT(" ",60)),60)),코드표!$F$2:$F$101,0))),IF(RIGHT(LEFT(TRIM(F149&amp;""),FIND(" ",TRIM(F149&amp;""))-1),2)="병원",LEFT(TRIM(F149&amp;""),FIND(" ",TRIM(F149&amp;""))-1),LEFT(TRIM(F149&amp;""),FIND(" ",TRIM(F149&amp;""))-1)&amp;"병원")&amp;" "&amp;INDEX(코드표!$G$2:$G$101,MATCH(TRIM(RIGHT(SUBSTITUTE(TRIM(F149&amp;"")," ",REPT(" ",60)),60)),코드표!$F$2:$F$101,0)),"⚠"&amp;TRIM(F149&amp;""))),"⚠"&amp;TRIM(F149&amp;""))</f>
        <v/>
      </c>
      <c r="O149" s="10">
        <f>IFERROR(IF(TRIM(G149&amp;"")="","",IF(AND(ISNUMBER(FIND(" ",TRIM(G149&amp;""))),COUNTIF(코드표!$A$2:$A$21,IF(RIGHT(LEFT(TRIM(G149&amp;""),FIND(" ",TRIM(G149&amp;""))-1),2)="병원",LEFT(TRIM(G149&amp;""),FIND(" ",TRIM(G149&amp;""))-1),LEFT(TRIM(G149&amp;""),FIND(" ",TRIM(G149&amp;""))-1)&amp;"병원"))&gt;0,ISNUMBER(MATCH(TRIM(RIGHT(SUBSTITUTE(TRIM(G149&amp;"")," ",REPT(" ",60)),60)),코드표!$F$2:$F$101,0))),IF(RIGHT(LEFT(TRIM(G149&amp;""),FIND(" ",TRIM(G149&amp;""))-1),2)="병원",LEFT(TRIM(G149&amp;""),FIND(" ",TRIM(G149&amp;""))-1),LEFT(TRIM(G149&amp;""),FIND(" ",TRIM(G149&amp;""))-1)&amp;"병원")&amp;" "&amp;INDEX(코드표!$G$2:$G$101,MATCH(TRIM(RIGHT(SUBSTITUTE(TRIM(G149&amp;"")," ",REPT(" ",60)),60)),코드표!$F$2:$F$101,0)),"⚠"&amp;TRIM(G149&amp;""))),"⚠"&amp;TRIM(G149&amp;""))</f>
        <v/>
      </c>
      <c r="P149" s="10">
        <f>IFERROR(IF(TRIM(H149&amp;"")="","",IF(AND(ISNUMBER(FIND(" ",TRIM(H149&amp;""))),COUNTIF(코드표!$A$2:$A$21,IF(RIGHT(LEFT(TRIM(H149&amp;""),FIND(" ",TRIM(H149&amp;""))-1),2)="병원",LEFT(TRIM(H149&amp;""),FIND(" ",TRIM(H149&amp;""))-1),LEFT(TRIM(H149&amp;""),FIND(" ",TRIM(H149&amp;""))-1)&amp;"병원"))&gt;0,ISNUMBER(MATCH(TRIM(RIGHT(SUBSTITUTE(TRIM(H149&amp;"")," ",REPT(" ",60)),60)),코드표!$F$2:$F$101,0))),IF(RIGHT(LEFT(TRIM(H149&amp;""),FIND(" ",TRIM(H149&amp;""))-1),2)="병원",LEFT(TRIM(H149&amp;""),FIND(" ",TRIM(H149&amp;""))-1),LEFT(TRIM(H149&amp;""),FIND(" ",TRIM(H149&amp;""))-1)&amp;"병원")&amp;" "&amp;INDEX(코드표!$G$2:$G$101,MATCH(TRIM(RIGHT(SUBSTITUTE(TRIM(H149&amp;"")," ",REPT(" ",60)),60)),코드표!$F$2:$F$101,0)),"⚠"&amp;TRIM(H149&amp;""))),"⚠"&amp;TRIM(H149&amp;""))</f>
        <v/>
      </c>
      <c r="Q149" s="10">
        <f>IFERROR(IF(TRIM(I149&amp;"")="","",IF(AND(ISNUMBER(FIND(" ",TRIM(I149&amp;""))),COUNTIF(코드표!$A$2:$A$21,IF(RIGHT(LEFT(TRIM(I149&amp;""),FIND(" ",TRIM(I149&amp;""))-1),2)="병원",LEFT(TRIM(I149&amp;""),FIND(" ",TRIM(I149&amp;""))-1),LEFT(TRIM(I149&amp;""),FIND(" ",TRIM(I149&amp;""))-1)&amp;"병원"))&gt;0,ISNUMBER(MATCH(TRIM(RIGHT(SUBSTITUTE(TRIM(I149&amp;"")," ",REPT(" ",60)),60)),코드표!$F$2:$F$101,0))),IF(RIGHT(LEFT(TRIM(I149&amp;""),FIND(" ",TRIM(I149&amp;""))-1),2)="병원",LEFT(TRIM(I149&amp;""),FIND(" ",TRIM(I149&amp;""))-1),LEFT(TRIM(I149&amp;""),FIND(" ",TRIM(I149&amp;""))-1)&amp;"병원")&amp;" "&amp;INDEX(코드표!$G$2:$G$101,MATCH(TRIM(RIGHT(SUBSTITUTE(TRIM(I149&amp;"")," ",REPT(" ",60)),60)),코드표!$F$2:$F$101,0)),"⚠"&amp;TRIM(I149&amp;""))),"⚠"&amp;TRIM(I149&amp;""))</f>
        <v/>
      </c>
      <c r="R149" s="10">
        <f>IFERROR(IF(TRIM(J149&amp;"")="","",IF(AND(ISNUMBER(FIND(" ",TRIM(J149&amp;""))),COUNTIF(코드표!$A$2:$A$21,IF(RIGHT(LEFT(TRIM(J149&amp;""),FIND(" ",TRIM(J149&amp;""))-1),2)="병원",LEFT(TRIM(J149&amp;""),FIND(" ",TRIM(J149&amp;""))-1),LEFT(TRIM(J149&amp;""),FIND(" ",TRIM(J149&amp;""))-1)&amp;"병원"))&gt;0,ISNUMBER(MATCH(TRIM(RIGHT(SUBSTITUTE(TRIM(J149&amp;"")," ",REPT(" ",60)),60)),코드표!$F$2:$F$101,0))),IF(RIGHT(LEFT(TRIM(J149&amp;""),FIND(" ",TRIM(J149&amp;""))-1),2)="병원",LEFT(TRIM(J149&amp;""),FIND(" ",TRIM(J149&amp;""))-1),LEFT(TRIM(J149&amp;""),FIND(" ",TRIM(J149&amp;""))-1)&amp;"병원")&amp;" "&amp;INDEX(코드표!$G$2:$G$101,MATCH(TRIM(RIGHT(SUBSTITUTE(TRIM(J149&amp;"")," ",REPT(" ",60)),60)),코드표!$F$2:$F$101,0)),"⚠"&amp;TRIM(J149&amp;""))),"⚠"&amp;TRIM(J149&amp;""))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",TRIM(E150&amp;""))),COUNTIF(코드표!$A$2:$A$21,IF(RIGHT(LEFT(TRIM(E150&amp;""),FIND(" ",TRIM(E150&amp;""))-1),2)="병원",LEFT(TRIM(E150&amp;""),FIND(" ",TRIM(E150&amp;""))-1),LEFT(TRIM(E150&amp;""),FIND(" ",TRIM(E150&amp;""))-1)&amp;"병원"))&gt;0,ISNUMBER(MATCH(TRIM(RIGHT(SUBSTITUTE(TRIM(E150&amp;"")," ",REPT(" ",60)),60)),코드표!$F$2:$F$101,0))),IF(RIGHT(LEFT(TRIM(E150&amp;""),FIND(" ",TRIM(E150&amp;""))-1),2)="병원",LEFT(TRIM(E150&amp;""),FIND(" ",TRIM(E150&amp;""))-1),LEFT(TRIM(E150&amp;""),FIND(" ",TRIM(E150&amp;""))-1)&amp;"병원")&amp;" "&amp;INDEX(코드표!$G$2:$G$101,MATCH(TRIM(RIGHT(SUBSTITUTE(TRIM(E150&amp;"")," ",REPT(" ",60)),60)),코드표!$F$2:$F$101,0)),"⚠"&amp;TRIM(E150&amp;""))),"⚠"&amp;TRIM(E150&amp;""))</f>
        <v/>
      </c>
      <c r="N150" s="10">
        <f>IFERROR(IF(TRIM(F150&amp;"")="","",IF(AND(ISNUMBER(FIND(" ",TRIM(F150&amp;""))),COUNTIF(코드표!$A$2:$A$21,IF(RIGHT(LEFT(TRIM(F150&amp;""),FIND(" ",TRIM(F150&amp;""))-1),2)="병원",LEFT(TRIM(F150&amp;""),FIND(" ",TRIM(F150&amp;""))-1),LEFT(TRIM(F150&amp;""),FIND(" ",TRIM(F150&amp;""))-1)&amp;"병원"))&gt;0,ISNUMBER(MATCH(TRIM(RIGHT(SUBSTITUTE(TRIM(F150&amp;"")," ",REPT(" ",60)),60)),코드표!$F$2:$F$101,0))),IF(RIGHT(LEFT(TRIM(F150&amp;""),FIND(" ",TRIM(F150&amp;""))-1),2)="병원",LEFT(TRIM(F150&amp;""),FIND(" ",TRIM(F150&amp;""))-1),LEFT(TRIM(F150&amp;""),FIND(" ",TRIM(F150&amp;""))-1)&amp;"병원")&amp;" "&amp;INDEX(코드표!$G$2:$G$101,MATCH(TRIM(RIGHT(SUBSTITUTE(TRIM(F150&amp;"")," ",REPT(" ",60)),60)),코드표!$F$2:$F$101,0)),"⚠"&amp;TRIM(F150&amp;""))),"⚠"&amp;TRIM(F150&amp;""))</f>
        <v/>
      </c>
      <c r="O150" s="10">
        <f>IFERROR(IF(TRIM(G150&amp;"")="","",IF(AND(ISNUMBER(FIND(" ",TRIM(G150&amp;""))),COUNTIF(코드표!$A$2:$A$21,IF(RIGHT(LEFT(TRIM(G150&amp;""),FIND(" ",TRIM(G150&amp;""))-1),2)="병원",LEFT(TRIM(G150&amp;""),FIND(" ",TRIM(G150&amp;""))-1),LEFT(TRIM(G150&amp;""),FIND(" ",TRIM(G150&amp;""))-1)&amp;"병원"))&gt;0,ISNUMBER(MATCH(TRIM(RIGHT(SUBSTITUTE(TRIM(G150&amp;"")," ",REPT(" ",60)),60)),코드표!$F$2:$F$101,0))),IF(RIGHT(LEFT(TRIM(G150&amp;""),FIND(" ",TRIM(G150&amp;""))-1),2)="병원",LEFT(TRIM(G150&amp;""),FIND(" ",TRIM(G150&amp;""))-1),LEFT(TRIM(G150&amp;""),FIND(" ",TRIM(G150&amp;""))-1)&amp;"병원")&amp;" "&amp;INDEX(코드표!$G$2:$G$101,MATCH(TRIM(RIGHT(SUBSTITUTE(TRIM(G150&amp;"")," ",REPT(" ",60)),60)),코드표!$F$2:$F$101,0)),"⚠"&amp;TRIM(G150&amp;""))),"⚠"&amp;TRIM(G150&amp;""))</f>
        <v/>
      </c>
      <c r="P150" s="10">
        <f>IFERROR(IF(TRIM(H150&amp;"")="","",IF(AND(ISNUMBER(FIND(" ",TRIM(H150&amp;""))),COUNTIF(코드표!$A$2:$A$21,IF(RIGHT(LEFT(TRIM(H150&amp;""),FIND(" ",TRIM(H150&amp;""))-1),2)="병원",LEFT(TRIM(H150&amp;""),FIND(" ",TRIM(H150&amp;""))-1),LEFT(TRIM(H150&amp;""),FIND(" ",TRIM(H150&amp;""))-1)&amp;"병원"))&gt;0,ISNUMBER(MATCH(TRIM(RIGHT(SUBSTITUTE(TRIM(H150&amp;"")," ",REPT(" ",60)),60)),코드표!$F$2:$F$101,0))),IF(RIGHT(LEFT(TRIM(H150&amp;""),FIND(" ",TRIM(H150&amp;""))-1),2)="병원",LEFT(TRIM(H150&amp;""),FIND(" ",TRIM(H150&amp;""))-1),LEFT(TRIM(H150&amp;""),FIND(" ",TRIM(H150&amp;""))-1)&amp;"병원")&amp;" "&amp;INDEX(코드표!$G$2:$G$101,MATCH(TRIM(RIGHT(SUBSTITUTE(TRIM(H150&amp;"")," ",REPT(" ",60)),60)),코드표!$F$2:$F$101,0)),"⚠"&amp;TRIM(H150&amp;""))),"⚠"&amp;TRIM(H150&amp;""))</f>
        <v/>
      </c>
      <c r="Q150" s="10">
        <f>IFERROR(IF(TRIM(I150&amp;"")="","",IF(AND(ISNUMBER(FIND(" ",TRIM(I150&amp;""))),COUNTIF(코드표!$A$2:$A$21,IF(RIGHT(LEFT(TRIM(I150&amp;""),FIND(" ",TRIM(I150&amp;""))-1),2)="병원",LEFT(TRIM(I150&amp;""),FIND(" ",TRIM(I150&amp;""))-1),LEFT(TRIM(I150&amp;""),FIND(" ",TRIM(I150&amp;""))-1)&amp;"병원"))&gt;0,ISNUMBER(MATCH(TRIM(RIGHT(SUBSTITUTE(TRIM(I150&amp;"")," ",REPT(" ",60)),60)),코드표!$F$2:$F$101,0))),IF(RIGHT(LEFT(TRIM(I150&amp;""),FIND(" ",TRIM(I150&amp;""))-1),2)="병원",LEFT(TRIM(I150&amp;""),FIND(" ",TRIM(I150&amp;""))-1),LEFT(TRIM(I150&amp;""),FIND(" ",TRIM(I150&amp;""))-1)&amp;"병원")&amp;" "&amp;INDEX(코드표!$G$2:$G$101,MATCH(TRIM(RIGHT(SUBSTITUTE(TRIM(I150&amp;"")," ",REPT(" ",60)),60)),코드표!$F$2:$F$101,0)),"⚠"&amp;TRIM(I150&amp;""))),"⚠"&amp;TRIM(I150&amp;""))</f>
        <v/>
      </c>
      <c r="R150" s="10">
        <f>IFERROR(IF(TRIM(J150&amp;"")="","",IF(AND(ISNUMBER(FIND(" ",TRIM(J150&amp;""))),COUNTIF(코드표!$A$2:$A$21,IF(RIGHT(LEFT(TRIM(J150&amp;""),FIND(" ",TRIM(J150&amp;""))-1),2)="병원",LEFT(TRIM(J150&amp;""),FIND(" ",TRIM(J150&amp;""))-1),LEFT(TRIM(J150&amp;""),FIND(" ",TRIM(J150&amp;""))-1)&amp;"병원"))&gt;0,ISNUMBER(MATCH(TRIM(RIGHT(SUBSTITUTE(TRIM(J150&amp;"")," ",REPT(" ",60)),60)),코드표!$F$2:$F$101,0))),IF(RIGHT(LEFT(TRIM(J150&amp;""),FIND(" ",TRIM(J150&amp;""))-1),2)="병원",LEFT(TRIM(J150&amp;""),FIND(" ",TRIM(J150&amp;""))-1),LEFT(TRIM(J150&amp;""),FIND(" ",TRIM(J150&amp;""))-1)&amp;"병원")&amp;" "&amp;INDEX(코드표!$G$2:$G$101,MATCH(TRIM(RIGHT(SUBSTITUTE(TRIM(J150&amp;"")," ",REPT(" ",60)),60)),코드표!$F$2:$F$101,0)),"⚠"&amp;TRIM(J150&amp;""))),"⚠"&amp;TRIM(J150&amp;""))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",TRIM(E151&amp;""))),COUNTIF(코드표!$A$2:$A$21,IF(RIGHT(LEFT(TRIM(E151&amp;""),FIND(" ",TRIM(E151&amp;""))-1),2)="병원",LEFT(TRIM(E151&amp;""),FIND(" ",TRIM(E151&amp;""))-1),LEFT(TRIM(E151&amp;""),FIND(" ",TRIM(E151&amp;""))-1)&amp;"병원"))&gt;0,ISNUMBER(MATCH(TRIM(RIGHT(SUBSTITUTE(TRIM(E151&amp;"")," ",REPT(" ",60)),60)),코드표!$F$2:$F$101,0))),IF(RIGHT(LEFT(TRIM(E151&amp;""),FIND(" ",TRIM(E151&amp;""))-1),2)="병원",LEFT(TRIM(E151&amp;""),FIND(" ",TRIM(E151&amp;""))-1),LEFT(TRIM(E151&amp;""),FIND(" ",TRIM(E151&amp;""))-1)&amp;"병원")&amp;" "&amp;INDEX(코드표!$G$2:$G$101,MATCH(TRIM(RIGHT(SUBSTITUTE(TRIM(E151&amp;"")," ",REPT(" ",60)),60)),코드표!$F$2:$F$101,0)),"⚠"&amp;TRIM(E151&amp;""))),"⚠"&amp;TRIM(E151&amp;""))</f>
        <v/>
      </c>
      <c r="N151" s="10">
        <f>IFERROR(IF(TRIM(F151&amp;"")="","",IF(AND(ISNUMBER(FIND(" ",TRIM(F151&amp;""))),COUNTIF(코드표!$A$2:$A$21,IF(RIGHT(LEFT(TRIM(F151&amp;""),FIND(" ",TRIM(F151&amp;""))-1),2)="병원",LEFT(TRIM(F151&amp;""),FIND(" ",TRIM(F151&amp;""))-1),LEFT(TRIM(F151&amp;""),FIND(" ",TRIM(F151&amp;""))-1)&amp;"병원"))&gt;0,ISNUMBER(MATCH(TRIM(RIGHT(SUBSTITUTE(TRIM(F151&amp;"")," ",REPT(" ",60)),60)),코드표!$F$2:$F$101,0))),IF(RIGHT(LEFT(TRIM(F151&amp;""),FIND(" ",TRIM(F151&amp;""))-1),2)="병원",LEFT(TRIM(F151&amp;""),FIND(" ",TRIM(F151&amp;""))-1),LEFT(TRIM(F151&amp;""),FIND(" ",TRIM(F151&amp;""))-1)&amp;"병원")&amp;" "&amp;INDEX(코드표!$G$2:$G$101,MATCH(TRIM(RIGHT(SUBSTITUTE(TRIM(F151&amp;"")," ",REPT(" ",60)),60)),코드표!$F$2:$F$101,0)),"⚠"&amp;TRIM(F151&amp;""))),"⚠"&amp;TRIM(F151&amp;""))</f>
        <v/>
      </c>
      <c r="O151" s="10">
        <f>IFERROR(IF(TRIM(G151&amp;"")="","",IF(AND(ISNUMBER(FIND(" ",TRIM(G151&amp;""))),COUNTIF(코드표!$A$2:$A$21,IF(RIGHT(LEFT(TRIM(G151&amp;""),FIND(" ",TRIM(G151&amp;""))-1),2)="병원",LEFT(TRIM(G151&amp;""),FIND(" ",TRIM(G151&amp;""))-1),LEFT(TRIM(G151&amp;""),FIND(" ",TRIM(G151&amp;""))-1)&amp;"병원"))&gt;0,ISNUMBER(MATCH(TRIM(RIGHT(SUBSTITUTE(TRIM(G151&amp;"")," ",REPT(" ",60)),60)),코드표!$F$2:$F$101,0))),IF(RIGHT(LEFT(TRIM(G151&amp;""),FIND(" ",TRIM(G151&amp;""))-1),2)="병원",LEFT(TRIM(G151&amp;""),FIND(" ",TRIM(G151&amp;""))-1),LEFT(TRIM(G151&amp;""),FIND(" ",TRIM(G151&amp;""))-1)&amp;"병원")&amp;" "&amp;INDEX(코드표!$G$2:$G$101,MATCH(TRIM(RIGHT(SUBSTITUTE(TRIM(G151&amp;"")," ",REPT(" ",60)),60)),코드표!$F$2:$F$101,0)),"⚠"&amp;TRIM(G151&amp;""))),"⚠"&amp;TRIM(G151&amp;""))</f>
        <v/>
      </c>
      <c r="P151" s="10">
        <f>IFERROR(IF(TRIM(H151&amp;"")="","",IF(AND(ISNUMBER(FIND(" ",TRIM(H151&amp;""))),COUNTIF(코드표!$A$2:$A$21,IF(RIGHT(LEFT(TRIM(H151&amp;""),FIND(" ",TRIM(H151&amp;""))-1),2)="병원",LEFT(TRIM(H151&amp;""),FIND(" ",TRIM(H151&amp;""))-1),LEFT(TRIM(H151&amp;""),FIND(" ",TRIM(H151&amp;""))-1)&amp;"병원"))&gt;0,ISNUMBER(MATCH(TRIM(RIGHT(SUBSTITUTE(TRIM(H151&amp;"")," ",REPT(" ",60)),60)),코드표!$F$2:$F$101,0))),IF(RIGHT(LEFT(TRIM(H151&amp;""),FIND(" ",TRIM(H151&amp;""))-1),2)="병원",LEFT(TRIM(H151&amp;""),FIND(" ",TRIM(H151&amp;""))-1),LEFT(TRIM(H151&amp;""),FIND(" ",TRIM(H151&amp;""))-1)&amp;"병원")&amp;" "&amp;INDEX(코드표!$G$2:$G$101,MATCH(TRIM(RIGHT(SUBSTITUTE(TRIM(H151&amp;"")," ",REPT(" ",60)),60)),코드표!$F$2:$F$101,0)),"⚠"&amp;TRIM(H151&amp;""))),"⚠"&amp;TRIM(H151&amp;""))</f>
        <v/>
      </c>
      <c r="Q151" s="10">
        <f>IFERROR(IF(TRIM(I151&amp;"")="","",IF(AND(ISNUMBER(FIND(" ",TRIM(I151&amp;""))),COUNTIF(코드표!$A$2:$A$21,IF(RIGHT(LEFT(TRIM(I151&amp;""),FIND(" ",TRIM(I151&amp;""))-1),2)="병원",LEFT(TRIM(I151&amp;""),FIND(" ",TRIM(I151&amp;""))-1),LEFT(TRIM(I151&amp;""),FIND(" ",TRIM(I151&amp;""))-1)&amp;"병원"))&gt;0,ISNUMBER(MATCH(TRIM(RIGHT(SUBSTITUTE(TRIM(I151&amp;"")," ",REPT(" ",60)),60)),코드표!$F$2:$F$101,0))),IF(RIGHT(LEFT(TRIM(I151&amp;""),FIND(" ",TRIM(I151&amp;""))-1),2)="병원",LEFT(TRIM(I151&amp;""),FIND(" ",TRIM(I151&amp;""))-1),LEFT(TRIM(I151&amp;""),FIND(" ",TRIM(I151&amp;""))-1)&amp;"병원")&amp;" "&amp;INDEX(코드표!$G$2:$G$101,MATCH(TRIM(RIGHT(SUBSTITUTE(TRIM(I151&amp;"")," ",REPT(" ",60)),60)),코드표!$F$2:$F$101,0)),"⚠"&amp;TRIM(I151&amp;""))),"⚠"&amp;TRIM(I151&amp;""))</f>
        <v/>
      </c>
      <c r="R151" s="10">
        <f>IFERROR(IF(TRIM(J151&amp;"")="","",IF(AND(ISNUMBER(FIND(" ",TRIM(J151&amp;""))),COUNTIF(코드표!$A$2:$A$21,IF(RIGHT(LEFT(TRIM(J151&amp;""),FIND(" ",TRIM(J151&amp;""))-1),2)="병원",LEFT(TRIM(J151&amp;""),FIND(" ",TRIM(J151&amp;""))-1),LEFT(TRIM(J151&amp;""),FIND(" ",TRIM(J151&amp;""))-1)&amp;"병원"))&gt;0,ISNUMBER(MATCH(TRIM(RIGHT(SUBSTITUTE(TRIM(J151&amp;"")," ",REPT(" ",60)),60)),코드표!$F$2:$F$101,0))),IF(RIGHT(LEFT(TRIM(J151&amp;""),FIND(" ",TRIM(J151&amp;""))-1),2)="병원",LEFT(TRIM(J151&amp;""),FIND(" ",TRIM(J151&amp;""))-1),LEFT(TRIM(J151&amp;""),FIND(" ",TRIM(J151&amp;""))-1)&amp;"병원")&amp;" "&amp;INDEX(코드표!$G$2:$G$101,MATCH(TRIM(RIGHT(SUBSTITUTE(TRIM(J151&amp;"")," ",REPT(" ",60)),60)),코드표!$F$2:$F$101,0)),"⚠"&amp;TRIM(J151&amp;""))),"⚠"&amp;TRIM(J151&amp;""))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",TRIM(E152&amp;""))),COUNTIF(코드표!$A$2:$A$21,IF(RIGHT(LEFT(TRIM(E152&amp;""),FIND(" ",TRIM(E152&amp;""))-1),2)="병원",LEFT(TRIM(E152&amp;""),FIND(" ",TRIM(E152&amp;""))-1),LEFT(TRIM(E152&amp;""),FIND(" ",TRIM(E152&amp;""))-1)&amp;"병원"))&gt;0,ISNUMBER(MATCH(TRIM(RIGHT(SUBSTITUTE(TRIM(E152&amp;"")," ",REPT(" ",60)),60)),코드표!$F$2:$F$101,0))),IF(RIGHT(LEFT(TRIM(E152&amp;""),FIND(" ",TRIM(E152&amp;""))-1),2)="병원",LEFT(TRIM(E152&amp;""),FIND(" ",TRIM(E152&amp;""))-1),LEFT(TRIM(E152&amp;""),FIND(" ",TRIM(E152&amp;""))-1)&amp;"병원")&amp;" "&amp;INDEX(코드표!$G$2:$G$101,MATCH(TRIM(RIGHT(SUBSTITUTE(TRIM(E152&amp;"")," ",REPT(" ",60)),60)),코드표!$F$2:$F$101,0)),"⚠"&amp;TRIM(E152&amp;""))),"⚠"&amp;TRIM(E152&amp;""))</f>
        <v/>
      </c>
      <c r="N152" s="10">
        <f>IFERROR(IF(TRIM(F152&amp;"")="","",IF(AND(ISNUMBER(FIND(" ",TRIM(F152&amp;""))),COUNTIF(코드표!$A$2:$A$21,IF(RIGHT(LEFT(TRIM(F152&amp;""),FIND(" ",TRIM(F152&amp;""))-1),2)="병원",LEFT(TRIM(F152&amp;""),FIND(" ",TRIM(F152&amp;""))-1),LEFT(TRIM(F152&amp;""),FIND(" ",TRIM(F152&amp;""))-1)&amp;"병원"))&gt;0,ISNUMBER(MATCH(TRIM(RIGHT(SUBSTITUTE(TRIM(F152&amp;"")," ",REPT(" ",60)),60)),코드표!$F$2:$F$101,0))),IF(RIGHT(LEFT(TRIM(F152&amp;""),FIND(" ",TRIM(F152&amp;""))-1),2)="병원",LEFT(TRIM(F152&amp;""),FIND(" ",TRIM(F152&amp;""))-1),LEFT(TRIM(F152&amp;""),FIND(" ",TRIM(F152&amp;""))-1)&amp;"병원")&amp;" "&amp;INDEX(코드표!$G$2:$G$101,MATCH(TRIM(RIGHT(SUBSTITUTE(TRIM(F152&amp;"")," ",REPT(" ",60)),60)),코드표!$F$2:$F$101,0)),"⚠"&amp;TRIM(F152&amp;""))),"⚠"&amp;TRIM(F152&amp;""))</f>
        <v/>
      </c>
      <c r="O152" s="10">
        <f>IFERROR(IF(TRIM(G152&amp;"")="","",IF(AND(ISNUMBER(FIND(" ",TRIM(G152&amp;""))),COUNTIF(코드표!$A$2:$A$21,IF(RIGHT(LEFT(TRIM(G152&amp;""),FIND(" ",TRIM(G152&amp;""))-1),2)="병원",LEFT(TRIM(G152&amp;""),FIND(" ",TRIM(G152&amp;""))-1),LEFT(TRIM(G152&amp;""),FIND(" ",TRIM(G152&amp;""))-1)&amp;"병원"))&gt;0,ISNUMBER(MATCH(TRIM(RIGHT(SUBSTITUTE(TRIM(G152&amp;"")," ",REPT(" ",60)),60)),코드표!$F$2:$F$101,0))),IF(RIGHT(LEFT(TRIM(G152&amp;""),FIND(" ",TRIM(G152&amp;""))-1),2)="병원",LEFT(TRIM(G152&amp;""),FIND(" ",TRIM(G152&amp;""))-1),LEFT(TRIM(G152&amp;""),FIND(" ",TRIM(G152&amp;""))-1)&amp;"병원")&amp;" "&amp;INDEX(코드표!$G$2:$G$101,MATCH(TRIM(RIGHT(SUBSTITUTE(TRIM(G152&amp;"")," ",REPT(" ",60)),60)),코드표!$F$2:$F$101,0)),"⚠"&amp;TRIM(G152&amp;""))),"⚠"&amp;TRIM(G152&amp;""))</f>
        <v/>
      </c>
      <c r="P152" s="10">
        <f>IFERROR(IF(TRIM(H152&amp;"")="","",IF(AND(ISNUMBER(FIND(" ",TRIM(H152&amp;""))),COUNTIF(코드표!$A$2:$A$21,IF(RIGHT(LEFT(TRIM(H152&amp;""),FIND(" ",TRIM(H152&amp;""))-1),2)="병원",LEFT(TRIM(H152&amp;""),FIND(" ",TRIM(H152&amp;""))-1),LEFT(TRIM(H152&amp;""),FIND(" ",TRIM(H152&amp;""))-1)&amp;"병원"))&gt;0,ISNUMBER(MATCH(TRIM(RIGHT(SUBSTITUTE(TRIM(H152&amp;"")," ",REPT(" ",60)),60)),코드표!$F$2:$F$101,0))),IF(RIGHT(LEFT(TRIM(H152&amp;""),FIND(" ",TRIM(H152&amp;""))-1),2)="병원",LEFT(TRIM(H152&amp;""),FIND(" ",TRIM(H152&amp;""))-1),LEFT(TRIM(H152&amp;""),FIND(" ",TRIM(H152&amp;""))-1)&amp;"병원")&amp;" "&amp;INDEX(코드표!$G$2:$G$101,MATCH(TRIM(RIGHT(SUBSTITUTE(TRIM(H152&amp;"")," ",REPT(" ",60)),60)),코드표!$F$2:$F$101,0)),"⚠"&amp;TRIM(H152&amp;""))),"⚠"&amp;TRIM(H152&amp;""))</f>
        <v/>
      </c>
      <c r="Q152" s="10">
        <f>IFERROR(IF(TRIM(I152&amp;"")="","",IF(AND(ISNUMBER(FIND(" ",TRIM(I152&amp;""))),COUNTIF(코드표!$A$2:$A$21,IF(RIGHT(LEFT(TRIM(I152&amp;""),FIND(" ",TRIM(I152&amp;""))-1),2)="병원",LEFT(TRIM(I152&amp;""),FIND(" ",TRIM(I152&amp;""))-1),LEFT(TRIM(I152&amp;""),FIND(" ",TRIM(I152&amp;""))-1)&amp;"병원"))&gt;0,ISNUMBER(MATCH(TRIM(RIGHT(SUBSTITUTE(TRIM(I152&amp;"")," ",REPT(" ",60)),60)),코드표!$F$2:$F$101,0))),IF(RIGHT(LEFT(TRIM(I152&amp;""),FIND(" ",TRIM(I152&amp;""))-1),2)="병원",LEFT(TRIM(I152&amp;""),FIND(" ",TRIM(I152&amp;""))-1),LEFT(TRIM(I152&amp;""),FIND(" ",TRIM(I152&amp;""))-1)&amp;"병원")&amp;" "&amp;INDEX(코드표!$G$2:$G$101,MATCH(TRIM(RIGHT(SUBSTITUTE(TRIM(I152&amp;"")," ",REPT(" ",60)),60)),코드표!$F$2:$F$101,0)),"⚠"&amp;TRIM(I152&amp;""))),"⚠"&amp;TRIM(I152&amp;""))</f>
        <v/>
      </c>
      <c r="R152" s="10">
        <f>IFERROR(IF(TRIM(J152&amp;"")="","",IF(AND(ISNUMBER(FIND(" ",TRIM(J152&amp;""))),COUNTIF(코드표!$A$2:$A$21,IF(RIGHT(LEFT(TRIM(J152&amp;""),FIND(" ",TRIM(J152&amp;""))-1),2)="병원",LEFT(TRIM(J152&amp;""),FIND(" ",TRIM(J152&amp;""))-1),LEFT(TRIM(J152&amp;""),FIND(" ",TRIM(J152&amp;""))-1)&amp;"병원"))&gt;0,ISNUMBER(MATCH(TRIM(RIGHT(SUBSTITUTE(TRIM(J152&amp;"")," ",REPT(" ",60)),60)),코드표!$F$2:$F$101,0))),IF(RIGHT(LEFT(TRIM(J152&amp;""),FIND(" ",TRIM(J152&amp;""))-1),2)="병원",LEFT(TRIM(J152&amp;""),FIND(" ",TRIM(J152&amp;""))-1),LEFT(TRIM(J152&amp;""),FIND(" ",TRIM(J152&amp;""))-1)&amp;"병원")&amp;" "&amp;INDEX(코드표!$G$2:$G$101,MATCH(TRIM(RIGHT(SUBSTITUTE(TRIM(J152&amp;"")," ",REPT(" ",60)),60)),코드표!$F$2:$F$101,0)),"⚠"&amp;TRIM(J152&amp;""))),"⚠"&amp;TRIM(J152&amp;""))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",TRIM(E153&amp;""))),COUNTIF(코드표!$A$2:$A$21,IF(RIGHT(LEFT(TRIM(E153&amp;""),FIND(" ",TRIM(E153&amp;""))-1),2)="병원",LEFT(TRIM(E153&amp;""),FIND(" ",TRIM(E153&amp;""))-1),LEFT(TRIM(E153&amp;""),FIND(" ",TRIM(E153&amp;""))-1)&amp;"병원"))&gt;0,ISNUMBER(MATCH(TRIM(RIGHT(SUBSTITUTE(TRIM(E153&amp;"")," ",REPT(" ",60)),60)),코드표!$F$2:$F$101,0))),IF(RIGHT(LEFT(TRIM(E153&amp;""),FIND(" ",TRIM(E153&amp;""))-1),2)="병원",LEFT(TRIM(E153&amp;""),FIND(" ",TRIM(E153&amp;""))-1),LEFT(TRIM(E153&amp;""),FIND(" ",TRIM(E153&amp;""))-1)&amp;"병원")&amp;" "&amp;INDEX(코드표!$G$2:$G$101,MATCH(TRIM(RIGHT(SUBSTITUTE(TRIM(E153&amp;"")," ",REPT(" ",60)),60)),코드표!$F$2:$F$101,0)),"⚠"&amp;TRIM(E153&amp;""))),"⚠"&amp;TRIM(E153&amp;""))</f>
        <v/>
      </c>
      <c r="N153" s="10">
        <f>IFERROR(IF(TRIM(F153&amp;"")="","",IF(AND(ISNUMBER(FIND(" ",TRIM(F153&amp;""))),COUNTIF(코드표!$A$2:$A$21,IF(RIGHT(LEFT(TRIM(F153&amp;""),FIND(" ",TRIM(F153&amp;""))-1),2)="병원",LEFT(TRIM(F153&amp;""),FIND(" ",TRIM(F153&amp;""))-1),LEFT(TRIM(F153&amp;""),FIND(" ",TRIM(F153&amp;""))-1)&amp;"병원"))&gt;0,ISNUMBER(MATCH(TRIM(RIGHT(SUBSTITUTE(TRIM(F153&amp;"")," ",REPT(" ",60)),60)),코드표!$F$2:$F$101,0))),IF(RIGHT(LEFT(TRIM(F153&amp;""),FIND(" ",TRIM(F153&amp;""))-1),2)="병원",LEFT(TRIM(F153&amp;""),FIND(" ",TRIM(F153&amp;""))-1),LEFT(TRIM(F153&amp;""),FIND(" ",TRIM(F153&amp;""))-1)&amp;"병원")&amp;" "&amp;INDEX(코드표!$G$2:$G$101,MATCH(TRIM(RIGHT(SUBSTITUTE(TRIM(F153&amp;"")," ",REPT(" ",60)),60)),코드표!$F$2:$F$101,0)),"⚠"&amp;TRIM(F153&amp;""))),"⚠"&amp;TRIM(F153&amp;""))</f>
        <v/>
      </c>
      <c r="O153" s="10">
        <f>IFERROR(IF(TRIM(G153&amp;"")="","",IF(AND(ISNUMBER(FIND(" ",TRIM(G153&amp;""))),COUNTIF(코드표!$A$2:$A$21,IF(RIGHT(LEFT(TRIM(G153&amp;""),FIND(" ",TRIM(G153&amp;""))-1),2)="병원",LEFT(TRIM(G153&amp;""),FIND(" ",TRIM(G153&amp;""))-1),LEFT(TRIM(G153&amp;""),FIND(" ",TRIM(G153&amp;""))-1)&amp;"병원"))&gt;0,ISNUMBER(MATCH(TRIM(RIGHT(SUBSTITUTE(TRIM(G153&amp;"")," ",REPT(" ",60)),60)),코드표!$F$2:$F$101,0))),IF(RIGHT(LEFT(TRIM(G153&amp;""),FIND(" ",TRIM(G153&amp;""))-1),2)="병원",LEFT(TRIM(G153&amp;""),FIND(" ",TRIM(G153&amp;""))-1),LEFT(TRIM(G153&amp;""),FIND(" ",TRIM(G153&amp;""))-1)&amp;"병원")&amp;" "&amp;INDEX(코드표!$G$2:$G$101,MATCH(TRIM(RIGHT(SUBSTITUTE(TRIM(G153&amp;"")," ",REPT(" ",60)),60)),코드표!$F$2:$F$101,0)),"⚠"&amp;TRIM(G153&amp;""))),"⚠"&amp;TRIM(G153&amp;""))</f>
        <v/>
      </c>
      <c r="P153" s="10">
        <f>IFERROR(IF(TRIM(H153&amp;"")="","",IF(AND(ISNUMBER(FIND(" ",TRIM(H153&amp;""))),COUNTIF(코드표!$A$2:$A$21,IF(RIGHT(LEFT(TRIM(H153&amp;""),FIND(" ",TRIM(H153&amp;""))-1),2)="병원",LEFT(TRIM(H153&amp;""),FIND(" ",TRIM(H153&amp;""))-1),LEFT(TRIM(H153&amp;""),FIND(" ",TRIM(H153&amp;""))-1)&amp;"병원"))&gt;0,ISNUMBER(MATCH(TRIM(RIGHT(SUBSTITUTE(TRIM(H153&amp;"")," ",REPT(" ",60)),60)),코드표!$F$2:$F$101,0))),IF(RIGHT(LEFT(TRIM(H153&amp;""),FIND(" ",TRIM(H153&amp;""))-1),2)="병원",LEFT(TRIM(H153&amp;""),FIND(" ",TRIM(H153&amp;""))-1),LEFT(TRIM(H153&amp;""),FIND(" ",TRIM(H153&amp;""))-1)&amp;"병원")&amp;" "&amp;INDEX(코드표!$G$2:$G$101,MATCH(TRIM(RIGHT(SUBSTITUTE(TRIM(H153&amp;"")," ",REPT(" ",60)),60)),코드표!$F$2:$F$101,0)),"⚠"&amp;TRIM(H153&amp;""))),"⚠"&amp;TRIM(H153&amp;""))</f>
        <v/>
      </c>
      <c r="Q153" s="10">
        <f>IFERROR(IF(TRIM(I153&amp;"")="","",IF(AND(ISNUMBER(FIND(" ",TRIM(I153&amp;""))),COUNTIF(코드표!$A$2:$A$21,IF(RIGHT(LEFT(TRIM(I153&amp;""),FIND(" ",TRIM(I153&amp;""))-1),2)="병원",LEFT(TRIM(I153&amp;""),FIND(" ",TRIM(I153&amp;""))-1),LEFT(TRIM(I153&amp;""),FIND(" ",TRIM(I153&amp;""))-1)&amp;"병원"))&gt;0,ISNUMBER(MATCH(TRIM(RIGHT(SUBSTITUTE(TRIM(I153&amp;"")," ",REPT(" ",60)),60)),코드표!$F$2:$F$101,0))),IF(RIGHT(LEFT(TRIM(I153&amp;""),FIND(" ",TRIM(I153&amp;""))-1),2)="병원",LEFT(TRIM(I153&amp;""),FIND(" ",TRIM(I153&amp;""))-1),LEFT(TRIM(I153&amp;""),FIND(" ",TRIM(I153&amp;""))-1)&amp;"병원")&amp;" "&amp;INDEX(코드표!$G$2:$G$101,MATCH(TRIM(RIGHT(SUBSTITUTE(TRIM(I153&amp;"")," ",REPT(" ",60)),60)),코드표!$F$2:$F$101,0)),"⚠"&amp;TRIM(I153&amp;""))),"⚠"&amp;TRIM(I153&amp;""))</f>
        <v/>
      </c>
      <c r="R153" s="10">
        <f>IFERROR(IF(TRIM(J153&amp;"")="","",IF(AND(ISNUMBER(FIND(" ",TRIM(J153&amp;""))),COUNTIF(코드표!$A$2:$A$21,IF(RIGHT(LEFT(TRIM(J153&amp;""),FIND(" ",TRIM(J153&amp;""))-1),2)="병원",LEFT(TRIM(J153&amp;""),FIND(" ",TRIM(J153&amp;""))-1),LEFT(TRIM(J153&amp;""),FIND(" ",TRIM(J153&amp;""))-1)&amp;"병원"))&gt;0,ISNUMBER(MATCH(TRIM(RIGHT(SUBSTITUTE(TRIM(J153&amp;"")," ",REPT(" ",60)),60)),코드표!$F$2:$F$101,0))),IF(RIGHT(LEFT(TRIM(J153&amp;""),FIND(" ",TRIM(J153&amp;""))-1),2)="병원",LEFT(TRIM(J153&amp;""),FIND(" ",TRIM(J153&amp;""))-1),LEFT(TRIM(J153&amp;""),FIND(" ",TRIM(J153&amp;""))-1)&amp;"병원")&amp;" "&amp;INDEX(코드표!$G$2:$G$101,MATCH(TRIM(RIGHT(SUBSTITUTE(TRIM(J153&amp;"")," ",REPT(" ",60)),60)),코드표!$F$2:$F$101,0)),"⚠"&amp;TRIM(J153&amp;""))),"⚠"&amp;TRIM(J153&amp;""))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",TRIM(E154&amp;""))),COUNTIF(코드표!$A$2:$A$21,IF(RIGHT(LEFT(TRIM(E154&amp;""),FIND(" ",TRIM(E154&amp;""))-1),2)="병원",LEFT(TRIM(E154&amp;""),FIND(" ",TRIM(E154&amp;""))-1),LEFT(TRIM(E154&amp;""),FIND(" ",TRIM(E154&amp;""))-1)&amp;"병원"))&gt;0,ISNUMBER(MATCH(TRIM(RIGHT(SUBSTITUTE(TRIM(E154&amp;"")," ",REPT(" ",60)),60)),코드표!$F$2:$F$101,0))),IF(RIGHT(LEFT(TRIM(E154&amp;""),FIND(" ",TRIM(E154&amp;""))-1),2)="병원",LEFT(TRIM(E154&amp;""),FIND(" ",TRIM(E154&amp;""))-1),LEFT(TRIM(E154&amp;""),FIND(" ",TRIM(E154&amp;""))-1)&amp;"병원")&amp;" "&amp;INDEX(코드표!$G$2:$G$101,MATCH(TRIM(RIGHT(SUBSTITUTE(TRIM(E154&amp;"")," ",REPT(" ",60)),60)),코드표!$F$2:$F$101,0)),"⚠"&amp;TRIM(E154&amp;""))),"⚠"&amp;TRIM(E154&amp;""))</f>
        <v/>
      </c>
      <c r="N154" s="10">
        <f>IFERROR(IF(TRIM(F154&amp;"")="","",IF(AND(ISNUMBER(FIND(" ",TRIM(F154&amp;""))),COUNTIF(코드표!$A$2:$A$21,IF(RIGHT(LEFT(TRIM(F154&amp;""),FIND(" ",TRIM(F154&amp;""))-1),2)="병원",LEFT(TRIM(F154&amp;""),FIND(" ",TRIM(F154&amp;""))-1),LEFT(TRIM(F154&amp;""),FIND(" ",TRIM(F154&amp;""))-1)&amp;"병원"))&gt;0,ISNUMBER(MATCH(TRIM(RIGHT(SUBSTITUTE(TRIM(F154&amp;"")," ",REPT(" ",60)),60)),코드표!$F$2:$F$101,0))),IF(RIGHT(LEFT(TRIM(F154&amp;""),FIND(" ",TRIM(F154&amp;""))-1),2)="병원",LEFT(TRIM(F154&amp;""),FIND(" ",TRIM(F154&amp;""))-1),LEFT(TRIM(F154&amp;""),FIND(" ",TRIM(F154&amp;""))-1)&amp;"병원")&amp;" "&amp;INDEX(코드표!$G$2:$G$101,MATCH(TRIM(RIGHT(SUBSTITUTE(TRIM(F154&amp;"")," ",REPT(" ",60)),60)),코드표!$F$2:$F$101,0)),"⚠"&amp;TRIM(F154&amp;""))),"⚠"&amp;TRIM(F154&amp;""))</f>
        <v/>
      </c>
      <c r="O154" s="10">
        <f>IFERROR(IF(TRIM(G154&amp;"")="","",IF(AND(ISNUMBER(FIND(" ",TRIM(G154&amp;""))),COUNTIF(코드표!$A$2:$A$21,IF(RIGHT(LEFT(TRIM(G154&amp;""),FIND(" ",TRIM(G154&amp;""))-1),2)="병원",LEFT(TRIM(G154&amp;""),FIND(" ",TRIM(G154&amp;""))-1),LEFT(TRIM(G154&amp;""),FIND(" ",TRIM(G154&amp;""))-1)&amp;"병원"))&gt;0,ISNUMBER(MATCH(TRIM(RIGHT(SUBSTITUTE(TRIM(G154&amp;"")," ",REPT(" ",60)),60)),코드표!$F$2:$F$101,0))),IF(RIGHT(LEFT(TRIM(G154&amp;""),FIND(" ",TRIM(G154&amp;""))-1),2)="병원",LEFT(TRIM(G154&amp;""),FIND(" ",TRIM(G154&amp;""))-1),LEFT(TRIM(G154&amp;""),FIND(" ",TRIM(G154&amp;""))-1)&amp;"병원")&amp;" "&amp;INDEX(코드표!$G$2:$G$101,MATCH(TRIM(RIGHT(SUBSTITUTE(TRIM(G154&amp;"")," ",REPT(" ",60)),60)),코드표!$F$2:$F$101,0)),"⚠"&amp;TRIM(G154&amp;""))),"⚠"&amp;TRIM(G154&amp;""))</f>
        <v/>
      </c>
      <c r="P154" s="10">
        <f>IFERROR(IF(TRIM(H154&amp;"")="","",IF(AND(ISNUMBER(FIND(" ",TRIM(H154&amp;""))),COUNTIF(코드표!$A$2:$A$21,IF(RIGHT(LEFT(TRIM(H154&amp;""),FIND(" ",TRIM(H154&amp;""))-1),2)="병원",LEFT(TRIM(H154&amp;""),FIND(" ",TRIM(H154&amp;""))-1),LEFT(TRIM(H154&amp;""),FIND(" ",TRIM(H154&amp;""))-1)&amp;"병원"))&gt;0,ISNUMBER(MATCH(TRIM(RIGHT(SUBSTITUTE(TRIM(H154&amp;"")," ",REPT(" ",60)),60)),코드표!$F$2:$F$101,0))),IF(RIGHT(LEFT(TRIM(H154&amp;""),FIND(" ",TRIM(H154&amp;""))-1),2)="병원",LEFT(TRIM(H154&amp;""),FIND(" ",TRIM(H154&amp;""))-1),LEFT(TRIM(H154&amp;""),FIND(" ",TRIM(H154&amp;""))-1)&amp;"병원")&amp;" "&amp;INDEX(코드표!$G$2:$G$101,MATCH(TRIM(RIGHT(SUBSTITUTE(TRIM(H154&amp;"")," ",REPT(" ",60)),60)),코드표!$F$2:$F$101,0)),"⚠"&amp;TRIM(H154&amp;""))),"⚠"&amp;TRIM(H154&amp;""))</f>
        <v/>
      </c>
      <c r="Q154" s="10">
        <f>IFERROR(IF(TRIM(I154&amp;"")="","",IF(AND(ISNUMBER(FIND(" ",TRIM(I154&amp;""))),COUNTIF(코드표!$A$2:$A$21,IF(RIGHT(LEFT(TRIM(I154&amp;""),FIND(" ",TRIM(I154&amp;""))-1),2)="병원",LEFT(TRIM(I154&amp;""),FIND(" ",TRIM(I154&amp;""))-1),LEFT(TRIM(I154&amp;""),FIND(" ",TRIM(I154&amp;""))-1)&amp;"병원"))&gt;0,ISNUMBER(MATCH(TRIM(RIGHT(SUBSTITUTE(TRIM(I154&amp;"")," ",REPT(" ",60)),60)),코드표!$F$2:$F$101,0))),IF(RIGHT(LEFT(TRIM(I154&amp;""),FIND(" ",TRIM(I154&amp;""))-1),2)="병원",LEFT(TRIM(I154&amp;""),FIND(" ",TRIM(I154&amp;""))-1),LEFT(TRIM(I154&amp;""),FIND(" ",TRIM(I154&amp;""))-1)&amp;"병원")&amp;" "&amp;INDEX(코드표!$G$2:$G$101,MATCH(TRIM(RIGHT(SUBSTITUTE(TRIM(I154&amp;"")," ",REPT(" ",60)),60)),코드표!$F$2:$F$101,0)),"⚠"&amp;TRIM(I154&amp;""))),"⚠"&amp;TRIM(I154&amp;""))</f>
        <v/>
      </c>
      <c r="R154" s="10">
        <f>IFERROR(IF(TRIM(J154&amp;"")="","",IF(AND(ISNUMBER(FIND(" ",TRIM(J154&amp;""))),COUNTIF(코드표!$A$2:$A$21,IF(RIGHT(LEFT(TRIM(J154&amp;""),FIND(" ",TRIM(J154&amp;""))-1),2)="병원",LEFT(TRIM(J154&amp;""),FIND(" ",TRIM(J154&amp;""))-1),LEFT(TRIM(J154&amp;""),FIND(" ",TRIM(J154&amp;""))-1)&amp;"병원"))&gt;0,ISNUMBER(MATCH(TRIM(RIGHT(SUBSTITUTE(TRIM(J154&amp;"")," ",REPT(" ",60)),60)),코드표!$F$2:$F$101,0))),IF(RIGHT(LEFT(TRIM(J154&amp;""),FIND(" ",TRIM(J154&amp;""))-1),2)="병원",LEFT(TRIM(J154&amp;""),FIND(" ",TRIM(J154&amp;""))-1),LEFT(TRIM(J154&amp;""),FIND(" ",TRIM(J154&amp;""))-1)&amp;"병원")&amp;" "&amp;INDEX(코드표!$G$2:$G$101,MATCH(TRIM(RIGHT(SUBSTITUTE(TRIM(J154&amp;"")," ",REPT(" ",60)),60)),코드표!$F$2:$F$101,0)),"⚠"&amp;TRIM(J154&amp;""))),"⚠"&amp;TRIM(J154&amp;""))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",TRIM(E155&amp;""))),COUNTIF(코드표!$A$2:$A$21,IF(RIGHT(LEFT(TRIM(E155&amp;""),FIND(" ",TRIM(E155&amp;""))-1),2)="병원",LEFT(TRIM(E155&amp;""),FIND(" ",TRIM(E155&amp;""))-1),LEFT(TRIM(E155&amp;""),FIND(" ",TRIM(E155&amp;""))-1)&amp;"병원"))&gt;0,ISNUMBER(MATCH(TRIM(RIGHT(SUBSTITUTE(TRIM(E155&amp;"")," ",REPT(" ",60)),60)),코드표!$F$2:$F$101,0))),IF(RIGHT(LEFT(TRIM(E155&amp;""),FIND(" ",TRIM(E155&amp;""))-1),2)="병원",LEFT(TRIM(E155&amp;""),FIND(" ",TRIM(E155&amp;""))-1),LEFT(TRIM(E155&amp;""),FIND(" ",TRIM(E155&amp;""))-1)&amp;"병원")&amp;" "&amp;INDEX(코드표!$G$2:$G$101,MATCH(TRIM(RIGHT(SUBSTITUTE(TRIM(E155&amp;"")," ",REPT(" ",60)),60)),코드표!$F$2:$F$101,0)),"⚠"&amp;TRIM(E155&amp;""))),"⚠"&amp;TRIM(E155&amp;""))</f>
        <v/>
      </c>
      <c r="N155" s="10">
        <f>IFERROR(IF(TRIM(F155&amp;"")="","",IF(AND(ISNUMBER(FIND(" ",TRIM(F155&amp;""))),COUNTIF(코드표!$A$2:$A$21,IF(RIGHT(LEFT(TRIM(F155&amp;""),FIND(" ",TRIM(F155&amp;""))-1),2)="병원",LEFT(TRIM(F155&amp;""),FIND(" ",TRIM(F155&amp;""))-1),LEFT(TRIM(F155&amp;""),FIND(" ",TRIM(F155&amp;""))-1)&amp;"병원"))&gt;0,ISNUMBER(MATCH(TRIM(RIGHT(SUBSTITUTE(TRIM(F155&amp;"")," ",REPT(" ",60)),60)),코드표!$F$2:$F$101,0))),IF(RIGHT(LEFT(TRIM(F155&amp;""),FIND(" ",TRIM(F155&amp;""))-1),2)="병원",LEFT(TRIM(F155&amp;""),FIND(" ",TRIM(F155&amp;""))-1),LEFT(TRIM(F155&amp;""),FIND(" ",TRIM(F155&amp;""))-1)&amp;"병원")&amp;" "&amp;INDEX(코드표!$G$2:$G$101,MATCH(TRIM(RIGHT(SUBSTITUTE(TRIM(F155&amp;"")," ",REPT(" ",60)),60)),코드표!$F$2:$F$101,0)),"⚠"&amp;TRIM(F155&amp;""))),"⚠"&amp;TRIM(F155&amp;""))</f>
        <v/>
      </c>
      <c r="O155" s="10">
        <f>IFERROR(IF(TRIM(G155&amp;"")="","",IF(AND(ISNUMBER(FIND(" ",TRIM(G155&amp;""))),COUNTIF(코드표!$A$2:$A$21,IF(RIGHT(LEFT(TRIM(G155&amp;""),FIND(" ",TRIM(G155&amp;""))-1),2)="병원",LEFT(TRIM(G155&amp;""),FIND(" ",TRIM(G155&amp;""))-1),LEFT(TRIM(G155&amp;""),FIND(" ",TRIM(G155&amp;""))-1)&amp;"병원"))&gt;0,ISNUMBER(MATCH(TRIM(RIGHT(SUBSTITUTE(TRIM(G155&amp;"")," ",REPT(" ",60)),60)),코드표!$F$2:$F$101,0))),IF(RIGHT(LEFT(TRIM(G155&amp;""),FIND(" ",TRIM(G155&amp;""))-1),2)="병원",LEFT(TRIM(G155&amp;""),FIND(" ",TRIM(G155&amp;""))-1),LEFT(TRIM(G155&amp;""),FIND(" ",TRIM(G155&amp;""))-1)&amp;"병원")&amp;" "&amp;INDEX(코드표!$G$2:$G$101,MATCH(TRIM(RIGHT(SUBSTITUTE(TRIM(G155&amp;"")," ",REPT(" ",60)),60)),코드표!$F$2:$F$101,0)),"⚠"&amp;TRIM(G155&amp;""))),"⚠"&amp;TRIM(G155&amp;""))</f>
        <v/>
      </c>
      <c r="P155" s="10">
        <f>IFERROR(IF(TRIM(H155&amp;"")="","",IF(AND(ISNUMBER(FIND(" ",TRIM(H155&amp;""))),COUNTIF(코드표!$A$2:$A$21,IF(RIGHT(LEFT(TRIM(H155&amp;""),FIND(" ",TRIM(H155&amp;""))-1),2)="병원",LEFT(TRIM(H155&amp;""),FIND(" ",TRIM(H155&amp;""))-1),LEFT(TRIM(H155&amp;""),FIND(" ",TRIM(H155&amp;""))-1)&amp;"병원"))&gt;0,ISNUMBER(MATCH(TRIM(RIGHT(SUBSTITUTE(TRIM(H155&amp;"")," ",REPT(" ",60)),60)),코드표!$F$2:$F$101,0))),IF(RIGHT(LEFT(TRIM(H155&amp;""),FIND(" ",TRIM(H155&amp;""))-1),2)="병원",LEFT(TRIM(H155&amp;""),FIND(" ",TRIM(H155&amp;""))-1),LEFT(TRIM(H155&amp;""),FIND(" ",TRIM(H155&amp;""))-1)&amp;"병원")&amp;" "&amp;INDEX(코드표!$G$2:$G$101,MATCH(TRIM(RIGHT(SUBSTITUTE(TRIM(H155&amp;"")," ",REPT(" ",60)),60)),코드표!$F$2:$F$101,0)),"⚠"&amp;TRIM(H155&amp;""))),"⚠"&amp;TRIM(H155&amp;""))</f>
        <v/>
      </c>
      <c r="Q155" s="10">
        <f>IFERROR(IF(TRIM(I155&amp;"")="","",IF(AND(ISNUMBER(FIND(" ",TRIM(I155&amp;""))),COUNTIF(코드표!$A$2:$A$21,IF(RIGHT(LEFT(TRIM(I155&amp;""),FIND(" ",TRIM(I155&amp;""))-1),2)="병원",LEFT(TRIM(I155&amp;""),FIND(" ",TRIM(I155&amp;""))-1),LEFT(TRIM(I155&amp;""),FIND(" ",TRIM(I155&amp;""))-1)&amp;"병원"))&gt;0,ISNUMBER(MATCH(TRIM(RIGHT(SUBSTITUTE(TRIM(I155&amp;"")," ",REPT(" ",60)),60)),코드표!$F$2:$F$101,0))),IF(RIGHT(LEFT(TRIM(I155&amp;""),FIND(" ",TRIM(I155&amp;""))-1),2)="병원",LEFT(TRIM(I155&amp;""),FIND(" ",TRIM(I155&amp;""))-1),LEFT(TRIM(I155&amp;""),FIND(" ",TRIM(I155&amp;""))-1)&amp;"병원")&amp;" "&amp;INDEX(코드표!$G$2:$G$101,MATCH(TRIM(RIGHT(SUBSTITUTE(TRIM(I155&amp;"")," ",REPT(" ",60)),60)),코드표!$F$2:$F$101,0)),"⚠"&amp;TRIM(I155&amp;""))),"⚠"&amp;TRIM(I155&amp;""))</f>
        <v/>
      </c>
      <c r="R155" s="10">
        <f>IFERROR(IF(TRIM(J155&amp;"")="","",IF(AND(ISNUMBER(FIND(" ",TRIM(J155&amp;""))),COUNTIF(코드표!$A$2:$A$21,IF(RIGHT(LEFT(TRIM(J155&amp;""),FIND(" ",TRIM(J155&amp;""))-1),2)="병원",LEFT(TRIM(J155&amp;""),FIND(" ",TRIM(J155&amp;""))-1),LEFT(TRIM(J155&amp;""),FIND(" ",TRIM(J155&amp;""))-1)&amp;"병원"))&gt;0,ISNUMBER(MATCH(TRIM(RIGHT(SUBSTITUTE(TRIM(J155&amp;"")," ",REPT(" ",60)),60)),코드표!$F$2:$F$101,0))),IF(RIGHT(LEFT(TRIM(J155&amp;""),FIND(" ",TRIM(J155&amp;""))-1),2)="병원",LEFT(TRIM(J155&amp;""),FIND(" ",TRIM(J155&amp;""))-1),LEFT(TRIM(J155&amp;""),FIND(" ",TRIM(J155&amp;""))-1)&amp;"병원")&amp;" "&amp;INDEX(코드표!$G$2:$G$101,MATCH(TRIM(RIGHT(SUBSTITUTE(TRIM(J155&amp;"")," ",REPT(" ",60)),60)),코드표!$F$2:$F$101,0)),"⚠"&amp;TRIM(J155&amp;""))),"⚠"&amp;TRIM(J155&amp;""))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",TRIM(E156&amp;""))),COUNTIF(코드표!$A$2:$A$21,IF(RIGHT(LEFT(TRIM(E156&amp;""),FIND(" ",TRIM(E156&amp;""))-1),2)="병원",LEFT(TRIM(E156&amp;""),FIND(" ",TRIM(E156&amp;""))-1),LEFT(TRIM(E156&amp;""),FIND(" ",TRIM(E156&amp;""))-1)&amp;"병원"))&gt;0,ISNUMBER(MATCH(TRIM(RIGHT(SUBSTITUTE(TRIM(E156&amp;"")," ",REPT(" ",60)),60)),코드표!$F$2:$F$101,0))),IF(RIGHT(LEFT(TRIM(E156&amp;""),FIND(" ",TRIM(E156&amp;""))-1),2)="병원",LEFT(TRIM(E156&amp;""),FIND(" ",TRIM(E156&amp;""))-1),LEFT(TRIM(E156&amp;""),FIND(" ",TRIM(E156&amp;""))-1)&amp;"병원")&amp;" "&amp;INDEX(코드표!$G$2:$G$101,MATCH(TRIM(RIGHT(SUBSTITUTE(TRIM(E156&amp;"")," ",REPT(" ",60)),60)),코드표!$F$2:$F$101,0)),"⚠"&amp;TRIM(E156&amp;""))),"⚠"&amp;TRIM(E156&amp;""))</f>
        <v/>
      </c>
      <c r="N156" s="10">
        <f>IFERROR(IF(TRIM(F156&amp;"")="","",IF(AND(ISNUMBER(FIND(" ",TRIM(F156&amp;""))),COUNTIF(코드표!$A$2:$A$21,IF(RIGHT(LEFT(TRIM(F156&amp;""),FIND(" ",TRIM(F156&amp;""))-1),2)="병원",LEFT(TRIM(F156&amp;""),FIND(" ",TRIM(F156&amp;""))-1),LEFT(TRIM(F156&amp;""),FIND(" ",TRIM(F156&amp;""))-1)&amp;"병원"))&gt;0,ISNUMBER(MATCH(TRIM(RIGHT(SUBSTITUTE(TRIM(F156&amp;"")," ",REPT(" ",60)),60)),코드표!$F$2:$F$101,0))),IF(RIGHT(LEFT(TRIM(F156&amp;""),FIND(" ",TRIM(F156&amp;""))-1),2)="병원",LEFT(TRIM(F156&amp;""),FIND(" ",TRIM(F156&amp;""))-1),LEFT(TRIM(F156&amp;""),FIND(" ",TRIM(F156&amp;""))-1)&amp;"병원")&amp;" "&amp;INDEX(코드표!$G$2:$G$101,MATCH(TRIM(RIGHT(SUBSTITUTE(TRIM(F156&amp;"")," ",REPT(" ",60)),60)),코드표!$F$2:$F$101,0)),"⚠"&amp;TRIM(F156&amp;""))),"⚠"&amp;TRIM(F156&amp;""))</f>
        <v/>
      </c>
      <c r="O156" s="10">
        <f>IFERROR(IF(TRIM(G156&amp;"")="","",IF(AND(ISNUMBER(FIND(" ",TRIM(G156&amp;""))),COUNTIF(코드표!$A$2:$A$21,IF(RIGHT(LEFT(TRIM(G156&amp;""),FIND(" ",TRIM(G156&amp;""))-1),2)="병원",LEFT(TRIM(G156&amp;""),FIND(" ",TRIM(G156&amp;""))-1),LEFT(TRIM(G156&amp;""),FIND(" ",TRIM(G156&amp;""))-1)&amp;"병원"))&gt;0,ISNUMBER(MATCH(TRIM(RIGHT(SUBSTITUTE(TRIM(G156&amp;"")," ",REPT(" ",60)),60)),코드표!$F$2:$F$101,0))),IF(RIGHT(LEFT(TRIM(G156&amp;""),FIND(" ",TRIM(G156&amp;""))-1),2)="병원",LEFT(TRIM(G156&amp;""),FIND(" ",TRIM(G156&amp;""))-1),LEFT(TRIM(G156&amp;""),FIND(" ",TRIM(G156&amp;""))-1)&amp;"병원")&amp;" "&amp;INDEX(코드표!$G$2:$G$101,MATCH(TRIM(RIGHT(SUBSTITUTE(TRIM(G156&amp;"")," ",REPT(" ",60)),60)),코드표!$F$2:$F$101,0)),"⚠"&amp;TRIM(G156&amp;""))),"⚠"&amp;TRIM(G156&amp;""))</f>
        <v/>
      </c>
      <c r="P156" s="10">
        <f>IFERROR(IF(TRIM(H156&amp;"")="","",IF(AND(ISNUMBER(FIND(" ",TRIM(H156&amp;""))),COUNTIF(코드표!$A$2:$A$21,IF(RIGHT(LEFT(TRIM(H156&amp;""),FIND(" ",TRIM(H156&amp;""))-1),2)="병원",LEFT(TRIM(H156&amp;""),FIND(" ",TRIM(H156&amp;""))-1),LEFT(TRIM(H156&amp;""),FIND(" ",TRIM(H156&amp;""))-1)&amp;"병원"))&gt;0,ISNUMBER(MATCH(TRIM(RIGHT(SUBSTITUTE(TRIM(H156&amp;"")," ",REPT(" ",60)),60)),코드표!$F$2:$F$101,0))),IF(RIGHT(LEFT(TRIM(H156&amp;""),FIND(" ",TRIM(H156&amp;""))-1),2)="병원",LEFT(TRIM(H156&amp;""),FIND(" ",TRIM(H156&amp;""))-1),LEFT(TRIM(H156&amp;""),FIND(" ",TRIM(H156&amp;""))-1)&amp;"병원")&amp;" "&amp;INDEX(코드표!$G$2:$G$101,MATCH(TRIM(RIGHT(SUBSTITUTE(TRIM(H156&amp;"")," ",REPT(" ",60)),60)),코드표!$F$2:$F$101,0)),"⚠"&amp;TRIM(H156&amp;""))),"⚠"&amp;TRIM(H156&amp;""))</f>
        <v/>
      </c>
      <c r="Q156" s="10">
        <f>IFERROR(IF(TRIM(I156&amp;"")="","",IF(AND(ISNUMBER(FIND(" ",TRIM(I156&amp;""))),COUNTIF(코드표!$A$2:$A$21,IF(RIGHT(LEFT(TRIM(I156&amp;""),FIND(" ",TRIM(I156&amp;""))-1),2)="병원",LEFT(TRIM(I156&amp;""),FIND(" ",TRIM(I156&amp;""))-1),LEFT(TRIM(I156&amp;""),FIND(" ",TRIM(I156&amp;""))-1)&amp;"병원"))&gt;0,ISNUMBER(MATCH(TRIM(RIGHT(SUBSTITUTE(TRIM(I156&amp;"")," ",REPT(" ",60)),60)),코드표!$F$2:$F$101,0))),IF(RIGHT(LEFT(TRIM(I156&amp;""),FIND(" ",TRIM(I156&amp;""))-1),2)="병원",LEFT(TRIM(I156&amp;""),FIND(" ",TRIM(I156&amp;""))-1),LEFT(TRIM(I156&amp;""),FIND(" ",TRIM(I156&amp;""))-1)&amp;"병원")&amp;" "&amp;INDEX(코드표!$G$2:$G$101,MATCH(TRIM(RIGHT(SUBSTITUTE(TRIM(I156&amp;"")," ",REPT(" ",60)),60)),코드표!$F$2:$F$101,0)),"⚠"&amp;TRIM(I156&amp;""))),"⚠"&amp;TRIM(I156&amp;""))</f>
        <v/>
      </c>
      <c r="R156" s="10">
        <f>IFERROR(IF(TRIM(J156&amp;"")="","",IF(AND(ISNUMBER(FIND(" ",TRIM(J156&amp;""))),COUNTIF(코드표!$A$2:$A$21,IF(RIGHT(LEFT(TRIM(J156&amp;""),FIND(" ",TRIM(J156&amp;""))-1),2)="병원",LEFT(TRIM(J156&amp;""),FIND(" ",TRIM(J156&amp;""))-1),LEFT(TRIM(J156&amp;""),FIND(" ",TRIM(J156&amp;""))-1)&amp;"병원"))&gt;0,ISNUMBER(MATCH(TRIM(RIGHT(SUBSTITUTE(TRIM(J156&amp;"")," ",REPT(" ",60)),60)),코드표!$F$2:$F$101,0))),IF(RIGHT(LEFT(TRIM(J156&amp;""),FIND(" ",TRIM(J156&amp;""))-1),2)="병원",LEFT(TRIM(J156&amp;""),FIND(" ",TRIM(J156&amp;""))-1),LEFT(TRIM(J156&amp;""),FIND(" ",TRIM(J156&amp;""))-1)&amp;"병원")&amp;" "&amp;INDEX(코드표!$G$2:$G$101,MATCH(TRIM(RIGHT(SUBSTITUTE(TRIM(J156&amp;"")," ",REPT(" ",60)),60)),코드표!$F$2:$F$101,0)),"⚠"&amp;TRIM(J156&amp;""))),"⚠"&amp;TRIM(J156&amp;""))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",TRIM(E157&amp;""))),COUNTIF(코드표!$A$2:$A$21,IF(RIGHT(LEFT(TRIM(E157&amp;""),FIND(" ",TRIM(E157&amp;""))-1),2)="병원",LEFT(TRIM(E157&amp;""),FIND(" ",TRIM(E157&amp;""))-1),LEFT(TRIM(E157&amp;""),FIND(" ",TRIM(E157&amp;""))-1)&amp;"병원"))&gt;0,ISNUMBER(MATCH(TRIM(RIGHT(SUBSTITUTE(TRIM(E157&amp;"")," ",REPT(" ",60)),60)),코드표!$F$2:$F$101,0))),IF(RIGHT(LEFT(TRIM(E157&amp;""),FIND(" ",TRIM(E157&amp;""))-1),2)="병원",LEFT(TRIM(E157&amp;""),FIND(" ",TRIM(E157&amp;""))-1),LEFT(TRIM(E157&amp;""),FIND(" ",TRIM(E157&amp;""))-1)&amp;"병원")&amp;" "&amp;INDEX(코드표!$G$2:$G$101,MATCH(TRIM(RIGHT(SUBSTITUTE(TRIM(E157&amp;"")," ",REPT(" ",60)),60)),코드표!$F$2:$F$101,0)),"⚠"&amp;TRIM(E157&amp;""))),"⚠"&amp;TRIM(E157&amp;""))</f>
        <v/>
      </c>
      <c r="N157" s="10">
        <f>IFERROR(IF(TRIM(F157&amp;"")="","",IF(AND(ISNUMBER(FIND(" ",TRIM(F157&amp;""))),COUNTIF(코드표!$A$2:$A$21,IF(RIGHT(LEFT(TRIM(F157&amp;""),FIND(" ",TRIM(F157&amp;""))-1),2)="병원",LEFT(TRIM(F157&amp;""),FIND(" ",TRIM(F157&amp;""))-1),LEFT(TRIM(F157&amp;""),FIND(" ",TRIM(F157&amp;""))-1)&amp;"병원"))&gt;0,ISNUMBER(MATCH(TRIM(RIGHT(SUBSTITUTE(TRIM(F157&amp;"")," ",REPT(" ",60)),60)),코드표!$F$2:$F$101,0))),IF(RIGHT(LEFT(TRIM(F157&amp;""),FIND(" ",TRIM(F157&amp;""))-1),2)="병원",LEFT(TRIM(F157&amp;""),FIND(" ",TRIM(F157&amp;""))-1),LEFT(TRIM(F157&amp;""),FIND(" ",TRIM(F157&amp;""))-1)&amp;"병원")&amp;" "&amp;INDEX(코드표!$G$2:$G$101,MATCH(TRIM(RIGHT(SUBSTITUTE(TRIM(F157&amp;"")," ",REPT(" ",60)),60)),코드표!$F$2:$F$101,0)),"⚠"&amp;TRIM(F157&amp;""))),"⚠"&amp;TRIM(F157&amp;""))</f>
        <v/>
      </c>
      <c r="O157" s="10">
        <f>IFERROR(IF(TRIM(G157&amp;"")="","",IF(AND(ISNUMBER(FIND(" ",TRIM(G157&amp;""))),COUNTIF(코드표!$A$2:$A$21,IF(RIGHT(LEFT(TRIM(G157&amp;""),FIND(" ",TRIM(G157&amp;""))-1),2)="병원",LEFT(TRIM(G157&amp;""),FIND(" ",TRIM(G157&amp;""))-1),LEFT(TRIM(G157&amp;""),FIND(" ",TRIM(G157&amp;""))-1)&amp;"병원"))&gt;0,ISNUMBER(MATCH(TRIM(RIGHT(SUBSTITUTE(TRIM(G157&amp;"")," ",REPT(" ",60)),60)),코드표!$F$2:$F$101,0))),IF(RIGHT(LEFT(TRIM(G157&amp;""),FIND(" ",TRIM(G157&amp;""))-1),2)="병원",LEFT(TRIM(G157&amp;""),FIND(" ",TRIM(G157&amp;""))-1),LEFT(TRIM(G157&amp;""),FIND(" ",TRIM(G157&amp;""))-1)&amp;"병원")&amp;" "&amp;INDEX(코드표!$G$2:$G$101,MATCH(TRIM(RIGHT(SUBSTITUTE(TRIM(G157&amp;"")," ",REPT(" ",60)),60)),코드표!$F$2:$F$101,0)),"⚠"&amp;TRIM(G157&amp;""))),"⚠"&amp;TRIM(G157&amp;""))</f>
        <v/>
      </c>
      <c r="P157" s="10">
        <f>IFERROR(IF(TRIM(H157&amp;"")="","",IF(AND(ISNUMBER(FIND(" ",TRIM(H157&amp;""))),COUNTIF(코드표!$A$2:$A$21,IF(RIGHT(LEFT(TRIM(H157&amp;""),FIND(" ",TRIM(H157&amp;""))-1),2)="병원",LEFT(TRIM(H157&amp;""),FIND(" ",TRIM(H157&amp;""))-1),LEFT(TRIM(H157&amp;""),FIND(" ",TRIM(H157&amp;""))-1)&amp;"병원"))&gt;0,ISNUMBER(MATCH(TRIM(RIGHT(SUBSTITUTE(TRIM(H157&amp;"")," ",REPT(" ",60)),60)),코드표!$F$2:$F$101,0))),IF(RIGHT(LEFT(TRIM(H157&amp;""),FIND(" ",TRIM(H157&amp;""))-1),2)="병원",LEFT(TRIM(H157&amp;""),FIND(" ",TRIM(H157&amp;""))-1),LEFT(TRIM(H157&amp;""),FIND(" ",TRIM(H157&amp;""))-1)&amp;"병원")&amp;" "&amp;INDEX(코드표!$G$2:$G$101,MATCH(TRIM(RIGHT(SUBSTITUTE(TRIM(H157&amp;"")," ",REPT(" ",60)),60)),코드표!$F$2:$F$101,0)),"⚠"&amp;TRIM(H157&amp;""))),"⚠"&amp;TRIM(H157&amp;""))</f>
        <v/>
      </c>
      <c r="Q157" s="10">
        <f>IFERROR(IF(TRIM(I157&amp;"")="","",IF(AND(ISNUMBER(FIND(" ",TRIM(I157&amp;""))),COUNTIF(코드표!$A$2:$A$21,IF(RIGHT(LEFT(TRIM(I157&amp;""),FIND(" ",TRIM(I157&amp;""))-1),2)="병원",LEFT(TRIM(I157&amp;""),FIND(" ",TRIM(I157&amp;""))-1),LEFT(TRIM(I157&amp;""),FIND(" ",TRIM(I157&amp;""))-1)&amp;"병원"))&gt;0,ISNUMBER(MATCH(TRIM(RIGHT(SUBSTITUTE(TRIM(I157&amp;"")," ",REPT(" ",60)),60)),코드표!$F$2:$F$101,0))),IF(RIGHT(LEFT(TRIM(I157&amp;""),FIND(" ",TRIM(I157&amp;""))-1),2)="병원",LEFT(TRIM(I157&amp;""),FIND(" ",TRIM(I157&amp;""))-1),LEFT(TRIM(I157&amp;""),FIND(" ",TRIM(I157&amp;""))-1)&amp;"병원")&amp;" "&amp;INDEX(코드표!$G$2:$G$101,MATCH(TRIM(RIGHT(SUBSTITUTE(TRIM(I157&amp;"")," ",REPT(" ",60)),60)),코드표!$F$2:$F$101,0)),"⚠"&amp;TRIM(I157&amp;""))),"⚠"&amp;TRIM(I157&amp;""))</f>
        <v/>
      </c>
      <c r="R157" s="10">
        <f>IFERROR(IF(TRIM(J157&amp;"")="","",IF(AND(ISNUMBER(FIND(" ",TRIM(J157&amp;""))),COUNTIF(코드표!$A$2:$A$21,IF(RIGHT(LEFT(TRIM(J157&amp;""),FIND(" ",TRIM(J157&amp;""))-1),2)="병원",LEFT(TRIM(J157&amp;""),FIND(" ",TRIM(J157&amp;""))-1),LEFT(TRIM(J157&amp;""),FIND(" ",TRIM(J157&amp;""))-1)&amp;"병원"))&gt;0,ISNUMBER(MATCH(TRIM(RIGHT(SUBSTITUTE(TRIM(J157&amp;"")," ",REPT(" ",60)),60)),코드표!$F$2:$F$101,0))),IF(RIGHT(LEFT(TRIM(J157&amp;""),FIND(" ",TRIM(J157&amp;""))-1),2)="병원",LEFT(TRIM(J157&amp;""),FIND(" ",TRIM(J157&amp;""))-1),LEFT(TRIM(J157&amp;""),FIND(" ",TRIM(J157&amp;""))-1)&amp;"병원")&amp;" "&amp;INDEX(코드표!$G$2:$G$101,MATCH(TRIM(RIGHT(SUBSTITUTE(TRIM(J157&amp;"")," ",REPT(" ",60)),60)),코드표!$F$2:$F$101,0)),"⚠"&amp;TRIM(J157&amp;""))),"⚠"&amp;TRIM(J157&amp;""))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",TRIM(E158&amp;""))),COUNTIF(코드표!$A$2:$A$21,IF(RIGHT(LEFT(TRIM(E158&amp;""),FIND(" ",TRIM(E158&amp;""))-1),2)="병원",LEFT(TRIM(E158&amp;""),FIND(" ",TRIM(E158&amp;""))-1),LEFT(TRIM(E158&amp;""),FIND(" ",TRIM(E158&amp;""))-1)&amp;"병원"))&gt;0,ISNUMBER(MATCH(TRIM(RIGHT(SUBSTITUTE(TRIM(E158&amp;"")," ",REPT(" ",60)),60)),코드표!$F$2:$F$101,0))),IF(RIGHT(LEFT(TRIM(E158&amp;""),FIND(" ",TRIM(E158&amp;""))-1),2)="병원",LEFT(TRIM(E158&amp;""),FIND(" ",TRIM(E158&amp;""))-1),LEFT(TRIM(E158&amp;""),FIND(" ",TRIM(E158&amp;""))-1)&amp;"병원")&amp;" "&amp;INDEX(코드표!$G$2:$G$101,MATCH(TRIM(RIGHT(SUBSTITUTE(TRIM(E158&amp;"")," ",REPT(" ",60)),60)),코드표!$F$2:$F$101,0)),"⚠"&amp;TRIM(E158&amp;""))),"⚠"&amp;TRIM(E158&amp;""))</f>
        <v/>
      </c>
      <c r="N158" s="10">
        <f>IFERROR(IF(TRIM(F158&amp;"")="","",IF(AND(ISNUMBER(FIND(" ",TRIM(F158&amp;""))),COUNTIF(코드표!$A$2:$A$21,IF(RIGHT(LEFT(TRIM(F158&amp;""),FIND(" ",TRIM(F158&amp;""))-1),2)="병원",LEFT(TRIM(F158&amp;""),FIND(" ",TRIM(F158&amp;""))-1),LEFT(TRIM(F158&amp;""),FIND(" ",TRIM(F158&amp;""))-1)&amp;"병원"))&gt;0,ISNUMBER(MATCH(TRIM(RIGHT(SUBSTITUTE(TRIM(F158&amp;"")," ",REPT(" ",60)),60)),코드표!$F$2:$F$101,0))),IF(RIGHT(LEFT(TRIM(F158&amp;""),FIND(" ",TRIM(F158&amp;""))-1),2)="병원",LEFT(TRIM(F158&amp;""),FIND(" ",TRIM(F158&amp;""))-1),LEFT(TRIM(F158&amp;""),FIND(" ",TRIM(F158&amp;""))-1)&amp;"병원")&amp;" "&amp;INDEX(코드표!$G$2:$G$101,MATCH(TRIM(RIGHT(SUBSTITUTE(TRIM(F158&amp;"")," ",REPT(" ",60)),60)),코드표!$F$2:$F$101,0)),"⚠"&amp;TRIM(F158&amp;""))),"⚠"&amp;TRIM(F158&amp;""))</f>
        <v/>
      </c>
      <c r="O158" s="10">
        <f>IFERROR(IF(TRIM(G158&amp;"")="","",IF(AND(ISNUMBER(FIND(" ",TRIM(G158&amp;""))),COUNTIF(코드표!$A$2:$A$21,IF(RIGHT(LEFT(TRIM(G158&amp;""),FIND(" ",TRIM(G158&amp;""))-1),2)="병원",LEFT(TRIM(G158&amp;""),FIND(" ",TRIM(G158&amp;""))-1),LEFT(TRIM(G158&amp;""),FIND(" ",TRIM(G158&amp;""))-1)&amp;"병원"))&gt;0,ISNUMBER(MATCH(TRIM(RIGHT(SUBSTITUTE(TRIM(G158&amp;"")," ",REPT(" ",60)),60)),코드표!$F$2:$F$101,0))),IF(RIGHT(LEFT(TRIM(G158&amp;""),FIND(" ",TRIM(G158&amp;""))-1),2)="병원",LEFT(TRIM(G158&amp;""),FIND(" ",TRIM(G158&amp;""))-1),LEFT(TRIM(G158&amp;""),FIND(" ",TRIM(G158&amp;""))-1)&amp;"병원")&amp;" "&amp;INDEX(코드표!$G$2:$G$101,MATCH(TRIM(RIGHT(SUBSTITUTE(TRIM(G158&amp;"")," ",REPT(" ",60)),60)),코드표!$F$2:$F$101,0)),"⚠"&amp;TRIM(G158&amp;""))),"⚠"&amp;TRIM(G158&amp;""))</f>
        <v/>
      </c>
      <c r="P158" s="10">
        <f>IFERROR(IF(TRIM(H158&amp;"")="","",IF(AND(ISNUMBER(FIND(" ",TRIM(H158&amp;""))),COUNTIF(코드표!$A$2:$A$21,IF(RIGHT(LEFT(TRIM(H158&amp;""),FIND(" ",TRIM(H158&amp;""))-1),2)="병원",LEFT(TRIM(H158&amp;""),FIND(" ",TRIM(H158&amp;""))-1),LEFT(TRIM(H158&amp;""),FIND(" ",TRIM(H158&amp;""))-1)&amp;"병원"))&gt;0,ISNUMBER(MATCH(TRIM(RIGHT(SUBSTITUTE(TRIM(H158&amp;"")," ",REPT(" ",60)),60)),코드표!$F$2:$F$101,0))),IF(RIGHT(LEFT(TRIM(H158&amp;""),FIND(" ",TRIM(H158&amp;""))-1),2)="병원",LEFT(TRIM(H158&amp;""),FIND(" ",TRIM(H158&amp;""))-1),LEFT(TRIM(H158&amp;""),FIND(" ",TRIM(H158&amp;""))-1)&amp;"병원")&amp;" "&amp;INDEX(코드표!$G$2:$G$101,MATCH(TRIM(RIGHT(SUBSTITUTE(TRIM(H158&amp;"")," ",REPT(" ",60)),60)),코드표!$F$2:$F$101,0)),"⚠"&amp;TRIM(H158&amp;""))),"⚠"&amp;TRIM(H158&amp;""))</f>
        <v/>
      </c>
      <c r="Q158" s="10">
        <f>IFERROR(IF(TRIM(I158&amp;"")="","",IF(AND(ISNUMBER(FIND(" ",TRIM(I158&amp;""))),COUNTIF(코드표!$A$2:$A$21,IF(RIGHT(LEFT(TRIM(I158&amp;""),FIND(" ",TRIM(I158&amp;""))-1),2)="병원",LEFT(TRIM(I158&amp;""),FIND(" ",TRIM(I158&amp;""))-1),LEFT(TRIM(I158&amp;""),FIND(" ",TRIM(I158&amp;""))-1)&amp;"병원"))&gt;0,ISNUMBER(MATCH(TRIM(RIGHT(SUBSTITUTE(TRIM(I158&amp;"")," ",REPT(" ",60)),60)),코드표!$F$2:$F$101,0))),IF(RIGHT(LEFT(TRIM(I158&amp;""),FIND(" ",TRIM(I158&amp;""))-1),2)="병원",LEFT(TRIM(I158&amp;""),FIND(" ",TRIM(I158&amp;""))-1),LEFT(TRIM(I158&amp;""),FIND(" ",TRIM(I158&amp;""))-1)&amp;"병원")&amp;" "&amp;INDEX(코드표!$G$2:$G$101,MATCH(TRIM(RIGHT(SUBSTITUTE(TRIM(I158&amp;"")," ",REPT(" ",60)),60)),코드표!$F$2:$F$101,0)),"⚠"&amp;TRIM(I158&amp;""))),"⚠"&amp;TRIM(I158&amp;""))</f>
        <v/>
      </c>
      <c r="R158" s="10">
        <f>IFERROR(IF(TRIM(J158&amp;"")="","",IF(AND(ISNUMBER(FIND(" ",TRIM(J158&amp;""))),COUNTIF(코드표!$A$2:$A$21,IF(RIGHT(LEFT(TRIM(J158&amp;""),FIND(" ",TRIM(J158&amp;""))-1),2)="병원",LEFT(TRIM(J158&amp;""),FIND(" ",TRIM(J158&amp;""))-1),LEFT(TRIM(J158&amp;""),FIND(" ",TRIM(J158&amp;""))-1)&amp;"병원"))&gt;0,ISNUMBER(MATCH(TRIM(RIGHT(SUBSTITUTE(TRIM(J158&amp;"")," ",REPT(" ",60)),60)),코드표!$F$2:$F$101,0))),IF(RIGHT(LEFT(TRIM(J158&amp;""),FIND(" ",TRIM(J158&amp;""))-1),2)="병원",LEFT(TRIM(J158&amp;""),FIND(" ",TRIM(J158&amp;""))-1),LEFT(TRIM(J158&amp;""),FIND(" ",TRIM(J158&amp;""))-1)&amp;"병원")&amp;" "&amp;INDEX(코드표!$G$2:$G$101,MATCH(TRIM(RIGHT(SUBSTITUTE(TRIM(J158&amp;"")," ",REPT(" ",60)),60)),코드표!$F$2:$F$101,0)),"⚠"&amp;TRIM(J158&amp;""))),"⚠"&amp;TRIM(J158&amp;""))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",TRIM(E159&amp;""))),COUNTIF(코드표!$A$2:$A$21,IF(RIGHT(LEFT(TRIM(E159&amp;""),FIND(" ",TRIM(E159&amp;""))-1),2)="병원",LEFT(TRIM(E159&amp;""),FIND(" ",TRIM(E159&amp;""))-1),LEFT(TRIM(E159&amp;""),FIND(" ",TRIM(E159&amp;""))-1)&amp;"병원"))&gt;0,ISNUMBER(MATCH(TRIM(RIGHT(SUBSTITUTE(TRIM(E159&amp;"")," ",REPT(" ",60)),60)),코드표!$F$2:$F$101,0))),IF(RIGHT(LEFT(TRIM(E159&amp;""),FIND(" ",TRIM(E159&amp;""))-1),2)="병원",LEFT(TRIM(E159&amp;""),FIND(" ",TRIM(E159&amp;""))-1),LEFT(TRIM(E159&amp;""),FIND(" ",TRIM(E159&amp;""))-1)&amp;"병원")&amp;" "&amp;INDEX(코드표!$G$2:$G$101,MATCH(TRIM(RIGHT(SUBSTITUTE(TRIM(E159&amp;"")," ",REPT(" ",60)),60)),코드표!$F$2:$F$101,0)),"⚠"&amp;TRIM(E159&amp;""))),"⚠"&amp;TRIM(E159&amp;""))</f>
        <v/>
      </c>
      <c r="N159" s="10">
        <f>IFERROR(IF(TRIM(F159&amp;"")="","",IF(AND(ISNUMBER(FIND(" ",TRIM(F159&amp;""))),COUNTIF(코드표!$A$2:$A$21,IF(RIGHT(LEFT(TRIM(F159&amp;""),FIND(" ",TRIM(F159&amp;""))-1),2)="병원",LEFT(TRIM(F159&amp;""),FIND(" ",TRIM(F159&amp;""))-1),LEFT(TRIM(F159&amp;""),FIND(" ",TRIM(F159&amp;""))-1)&amp;"병원"))&gt;0,ISNUMBER(MATCH(TRIM(RIGHT(SUBSTITUTE(TRIM(F159&amp;"")," ",REPT(" ",60)),60)),코드표!$F$2:$F$101,0))),IF(RIGHT(LEFT(TRIM(F159&amp;""),FIND(" ",TRIM(F159&amp;""))-1),2)="병원",LEFT(TRIM(F159&amp;""),FIND(" ",TRIM(F159&amp;""))-1),LEFT(TRIM(F159&amp;""),FIND(" ",TRIM(F159&amp;""))-1)&amp;"병원")&amp;" "&amp;INDEX(코드표!$G$2:$G$101,MATCH(TRIM(RIGHT(SUBSTITUTE(TRIM(F159&amp;"")," ",REPT(" ",60)),60)),코드표!$F$2:$F$101,0)),"⚠"&amp;TRIM(F159&amp;""))),"⚠"&amp;TRIM(F159&amp;""))</f>
        <v/>
      </c>
      <c r="O159" s="10">
        <f>IFERROR(IF(TRIM(G159&amp;"")="","",IF(AND(ISNUMBER(FIND(" ",TRIM(G159&amp;""))),COUNTIF(코드표!$A$2:$A$21,IF(RIGHT(LEFT(TRIM(G159&amp;""),FIND(" ",TRIM(G159&amp;""))-1),2)="병원",LEFT(TRIM(G159&amp;""),FIND(" ",TRIM(G159&amp;""))-1),LEFT(TRIM(G159&amp;""),FIND(" ",TRIM(G159&amp;""))-1)&amp;"병원"))&gt;0,ISNUMBER(MATCH(TRIM(RIGHT(SUBSTITUTE(TRIM(G159&amp;"")," ",REPT(" ",60)),60)),코드표!$F$2:$F$101,0))),IF(RIGHT(LEFT(TRIM(G159&amp;""),FIND(" ",TRIM(G159&amp;""))-1),2)="병원",LEFT(TRIM(G159&amp;""),FIND(" ",TRIM(G159&amp;""))-1),LEFT(TRIM(G159&amp;""),FIND(" ",TRIM(G159&amp;""))-1)&amp;"병원")&amp;" "&amp;INDEX(코드표!$G$2:$G$101,MATCH(TRIM(RIGHT(SUBSTITUTE(TRIM(G159&amp;"")," ",REPT(" ",60)),60)),코드표!$F$2:$F$101,0)),"⚠"&amp;TRIM(G159&amp;""))),"⚠"&amp;TRIM(G159&amp;""))</f>
        <v/>
      </c>
      <c r="P159" s="10">
        <f>IFERROR(IF(TRIM(H159&amp;"")="","",IF(AND(ISNUMBER(FIND(" ",TRIM(H159&amp;""))),COUNTIF(코드표!$A$2:$A$21,IF(RIGHT(LEFT(TRIM(H159&amp;""),FIND(" ",TRIM(H159&amp;""))-1),2)="병원",LEFT(TRIM(H159&amp;""),FIND(" ",TRIM(H159&amp;""))-1),LEFT(TRIM(H159&amp;""),FIND(" ",TRIM(H159&amp;""))-1)&amp;"병원"))&gt;0,ISNUMBER(MATCH(TRIM(RIGHT(SUBSTITUTE(TRIM(H159&amp;"")," ",REPT(" ",60)),60)),코드표!$F$2:$F$101,0))),IF(RIGHT(LEFT(TRIM(H159&amp;""),FIND(" ",TRIM(H159&amp;""))-1),2)="병원",LEFT(TRIM(H159&amp;""),FIND(" ",TRIM(H159&amp;""))-1),LEFT(TRIM(H159&amp;""),FIND(" ",TRIM(H159&amp;""))-1)&amp;"병원")&amp;" "&amp;INDEX(코드표!$G$2:$G$101,MATCH(TRIM(RIGHT(SUBSTITUTE(TRIM(H159&amp;"")," ",REPT(" ",60)),60)),코드표!$F$2:$F$101,0)),"⚠"&amp;TRIM(H159&amp;""))),"⚠"&amp;TRIM(H159&amp;""))</f>
        <v/>
      </c>
      <c r="Q159" s="10">
        <f>IFERROR(IF(TRIM(I159&amp;"")="","",IF(AND(ISNUMBER(FIND(" ",TRIM(I159&amp;""))),COUNTIF(코드표!$A$2:$A$21,IF(RIGHT(LEFT(TRIM(I159&amp;""),FIND(" ",TRIM(I159&amp;""))-1),2)="병원",LEFT(TRIM(I159&amp;""),FIND(" ",TRIM(I159&amp;""))-1),LEFT(TRIM(I159&amp;""),FIND(" ",TRIM(I159&amp;""))-1)&amp;"병원"))&gt;0,ISNUMBER(MATCH(TRIM(RIGHT(SUBSTITUTE(TRIM(I159&amp;"")," ",REPT(" ",60)),60)),코드표!$F$2:$F$101,0))),IF(RIGHT(LEFT(TRIM(I159&amp;""),FIND(" ",TRIM(I159&amp;""))-1),2)="병원",LEFT(TRIM(I159&amp;""),FIND(" ",TRIM(I159&amp;""))-1),LEFT(TRIM(I159&amp;""),FIND(" ",TRIM(I159&amp;""))-1)&amp;"병원")&amp;" "&amp;INDEX(코드표!$G$2:$G$101,MATCH(TRIM(RIGHT(SUBSTITUTE(TRIM(I159&amp;"")," ",REPT(" ",60)),60)),코드표!$F$2:$F$101,0)),"⚠"&amp;TRIM(I159&amp;""))),"⚠"&amp;TRIM(I159&amp;""))</f>
        <v/>
      </c>
      <c r="R159" s="10">
        <f>IFERROR(IF(TRIM(J159&amp;"")="","",IF(AND(ISNUMBER(FIND(" ",TRIM(J159&amp;""))),COUNTIF(코드표!$A$2:$A$21,IF(RIGHT(LEFT(TRIM(J159&amp;""),FIND(" ",TRIM(J159&amp;""))-1),2)="병원",LEFT(TRIM(J159&amp;""),FIND(" ",TRIM(J159&amp;""))-1),LEFT(TRIM(J159&amp;""),FIND(" ",TRIM(J159&amp;""))-1)&amp;"병원"))&gt;0,ISNUMBER(MATCH(TRIM(RIGHT(SUBSTITUTE(TRIM(J159&amp;"")," ",REPT(" ",60)),60)),코드표!$F$2:$F$101,0))),IF(RIGHT(LEFT(TRIM(J159&amp;""),FIND(" ",TRIM(J159&amp;""))-1),2)="병원",LEFT(TRIM(J159&amp;""),FIND(" ",TRIM(J159&amp;""))-1),LEFT(TRIM(J159&amp;""),FIND(" ",TRIM(J159&amp;""))-1)&amp;"병원")&amp;" "&amp;INDEX(코드표!$G$2:$G$101,MATCH(TRIM(RIGHT(SUBSTITUTE(TRIM(J159&amp;"")," ",REPT(" ",60)),60)),코드표!$F$2:$F$101,0)),"⚠"&amp;TRIM(J159&amp;""))),"⚠"&amp;TRIM(J159&amp;""))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",TRIM(E160&amp;""))),COUNTIF(코드표!$A$2:$A$21,IF(RIGHT(LEFT(TRIM(E160&amp;""),FIND(" ",TRIM(E160&amp;""))-1),2)="병원",LEFT(TRIM(E160&amp;""),FIND(" ",TRIM(E160&amp;""))-1),LEFT(TRIM(E160&amp;""),FIND(" ",TRIM(E160&amp;""))-1)&amp;"병원"))&gt;0,ISNUMBER(MATCH(TRIM(RIGHT(SUBSTITUTE(TRIM(E160&amp;"")," ",REPT(" ",60)),60)),코드표!$F$2:$F$101,0))),IF(RIGHT(LEFT(TRIM(E160&amp;""),FIND(" ",TRIM(E160&amp;""))-1),2)="병원",LEFT(TRIM(E160&amp;""),FIND(" ",TRIM(E160&amp;""))-1),LEFT(TRIM(E160&amp;""),FIND(" ",TRIM(E160&amp;""))-1)&amp;"병원")&amp;" "&amp;INDEX(코드표!$G$2:$G$101,MATCH(TRIM(RIGHT(SUBSTITUTE(TRIM(E160&amp;"")," ",REPT(" ",60)),60)),코드표!$F$2:$F$101,0)),"⚠"&amp;TRIM(E160&amp;""))),"⚠"&amp;TRIM(E160&amp;""))</f>
        <v/>
      </c>
      <c r="N160" s="10">
        <f>IFERROR(IF(TRIM(F160&amp;"")="","",IF(AND(ISNUMBER(FIND(" ",TRIM(F160&amp;""))),COUNTIF(코드표!$A$2:$A$21,IF(RIGHT(LEFT(TRIM(F160&amp;""),FIND(" ",TRIM(F160&amp;""))-1),2)="병원",LEFT(TRIM(F160&amp;""),FIND(" ",TRIM(F160&amp;""))-1),LEFT(TRIM(F160&amp;""),FIND(" ",TRIM(F160&amp;""))-1)&amp;"병원"))&gt;0,ISNUMBER(MATCH(TRIM(RIGHT(SUBSTITUTE(TRIM(F160&amp;"")," ",REPT(" ",60)),60)),코드표!$F$2:$F$101,0))),IF(RIGHT(LEFT(TRIM(F160&amp;""),FIND(" ",TRIM(F160&amp;""))-1),2)="병원",LEFT(TRIM(F160&amp;""),FIND(" ",TRIM(F160&amp;""))-1),LEFT(TRIM(F160&amp;""),FIND(" ",TRIM(F160&amp;""))-1)&amp;"병원")&amp;" "&amp;INDEX(코드표!$G$2:$G$101,MATCH(TRIM(RIGHT(SUBSTITUTE(TRIM(F160&amp;"")," ",REPT(" ",60)),60)),코드표!$F$2:$F$101,0)),"⚠"&amp;TRIM(F160&amp;""))),"⚠"&amp;TRIM(F160&amp;""))</f>
        <v/>
      </c>
      <c r="O160" s="10">
        <f>IFERROR(IF(TRIM(G160&amp;"")="","",IF(AND(ISNUMBER(FIND(" ",TRIM(G160&amp;""))),COUNTIF(코드표!$A$2:$A$21,IF(RIGHT(LEFT(TRIM(G160&amp;""),FIND(" ",TRIM(G160&amp;""))-1),2)="병원",LEFT(TRIM(G160&amp;""),FIND(" ",TRIM(G160&amp;""))-1),LEFT(TRIM(G160&amp;""),FIND(" ",TRIM(G160&amp;""))-1)&amp;"병원"))&gt;0,ISNUMBER(MATCH(TRIM(RIGHT(SUBSTITUTE(TRIM(G160&amp;"")," ",REPT(" ",60)),60)),코드표!$F$2:$F$101,0))),IF(RIGHT(LEFT(TRIM(G160&amp;""),FIND(" ",TRIM(G160&amp;""))-1),2)="병원",LEFT(TRIM(G160&amp;""),FIND(" ",TRIM(G160&amp;""))-1),LEFT(TRIM(G160&amp;""),FIND(" ",TRIM(G160&amp;""))-1)&amp;"병원")&amp;" "&amp;INDEX(코드표!$G$2:$G$101,MATCH(TRIM(RIGHT(SUBSTITUTE(TRIM(G160&amp;"")," ",REPT(" ",60)),60)),코드표!$F$2:$F$101,0)),"⚠"&amp;TRIM(G160&amp;""))),"⚠"&amp;TRIM(G160&amp;""))</f>
        <v/>
      </c>
      <c r="P160" s="10">
        <f>IFERROR(IF(TRIM(H160&amp;"")="","",IF(AND(ISNUMBER(FIND(" ",TRIM(H160&amp;""))),COUNTIF(코드표!$A$2:$A$21,IF(RIGHT(LEFT(TRIM(H160&amp;""),FIND(" ",TRIM(H160&amp;""))-1),2)="병원",LEFT(TRIM(H160&amp;""),FIND(" ",TRIM(H160&amp;""))-1),LEFT(TRIM(H160&amp;""),FIND(" ",TRIM(H160&amp;""))-1)&amp;"병원"))&gt;0,ISNUMBER(MATCH(TRIM(RIGHT(SUBSTITUTE(TRIM(H160&amp;"")," ",REPT(" ",60)),60)),코드표!$F$2:$F$101,0))),IF(RIGHT(LEFT(TRIM(H160&amp;""),FIND(" ",TRIM(H160&amp;""))-1),2)="병원",LEFT(TRIM(H160&amp;""),FIND(" ",TRIM(H160&amp;""))-1),LEFT(TRIM(H160&amp;""),FIND(" ",TRIM(H160&amp;""))-1)&amp;"병원")&amp;" "&amp;INDEX(코드표!$G$2:$G$101,MATCH(TRIM(RIGHT(SUBSTITUTE(TRIM(H160&amp;"")," ",REPT(" ",60)),60)),코드표!$F$2:$F$101,0)),"⚠"&amp;TRIM(H160&amp;""))),"⚠"&amp;TRIM(H160&amp;""))</f>
        <v/>
      </c>
      <c r="Q160" s="10">
        <f>IFERROR(IF(TRIM(I160&amp;"")="","",IF(AND(ISNUMBER(FIND(" ",TRIM(I160&amp;""))),COUNTIF(코드표!$A$2:$A$21,IF(RIGHT(LEFT(TRIM(I160&amp;""),FIND(" ",TRIM(I160&amp;""))-1),2)="병원",LEFT(TRIM(I160&amp;""),FIND(" ",TRIM(I160&amp;""))-1),LEFT(TRIM(I160&amp;""),FIND(" ",TRIM(I160&amp;""))-1)&amp;"병원"))&gt;0,ISNUMBER(MATCH(TRIM(RIGHT(SUBSTITUTE(TRIM(I160&amp;"")," ",REPT(" ",60)),60)),코드표!$F$2:$F$101,0))),IF(RIGHT(LEFT(TRIM(I160&amp;""),FIND(" ",TRIM(I160&amp;""))-1),2)="병원",LEFT(TRIM(I160&amp;""),FIND(" ",TRIM(I160&amp;""))-1),LEFT(TRIM(I160&amp;""),FIND(" ",TRIM(I160&amp;""))-1)&amp;"병원")&amp;" "&amp;INDEX(코드표!$G$2:$G$101,MATCH(TRIM(RIGHT(SUBSTITUTE(TRIM(I160&amp;"")," ",REPT(" ",60)),60)),코드표!$F$2:$F$101,0)),"⚠"&amp;TRIM(I160&amp;""))),"⚠"&amp;TRIM(I160&amp;""))</f>
        <v/>
      </c>
      <c r="R160" s="10">
        <f>IFERROR(IF(TRIM(J160&amp;"")="","",IF(AND(ISNUMBER(FIND(" ",TRIM(J160&amp;""))),COUNTIF(코드표!$A$2:$A$21,IF(RIGHT(LEFT(TRIM(J160&amp;""),FIND(" ",TRIM(J160&amp;""))-1),2)="병원",LEFT(TRIM(J160&amp;""),FIND(" ",TRIM(J160&amp;""))-1),LEFT(TRIM(J160&amp;""),FIND(" ",TRIM(J160&amp;""))-1)&amp;"병원"))&gt;0,ISNUMBER(MATCH(TRIM(RIGHT(SUBSTITUTE(TRIM(J160&amp;"")," ",REPT(" ",60)),60)),코드표!$F$2:$F$101,0))),IF(RIGHT(LEFT(TRIM(J160&amp;""),FIND(" ",TRIM(J160&amp;""))-1),2)="병원",LEFT(TRIM(J160&amp;""),FIND(" ",TRIM(J160&amp;""))-1),LEFT(TRIM(J160&amp;""),FIND(" ",TRIM(J160&amp;""))-1)&amp;"병원")&amp;" "&amp;INDEX(코드표!$G$2:$G$101,MATCH(TRIM(RIGHT(SUBSTITUTE(TRIM(J160&amp;"")," ",REPT(" ",60)),60)),코드표!$F$2:$F$101,0)),"⚠"&amp;TRIM(J160&amp;""))),"⚠"&amp;TRIM(J160&amp;""))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",TRIM(E161&amp;""))),COUNTIF(코드표!$A$2:$A$21,IF(RIGHT(LEFT(TRIM(E161&amp;""),FIND(" ",TRIM(E161&amp;""))-1),2)="병원",LEFT(TRIM(E161&amp;""),FIND(" ",TRIM(E161&amp;""))-1),LEFT(TRIM(E161&amp;""),FIND(" ",TRIM(E161&amp;""))-1)&amp;"병원"))&gt;0,ISNUMBER(MATCH(TRIM(RIGHT(SUBSTITUTE(TRIM(E161&amp;"")," ",REPT(" ",60)),60)),코드표!$F$2:$F$101,0))),IF(RIGHT(LEFT(TRIM(E161&amp;""),FIND(" ",TRIM(E161&amp;""))-1),2)="병원",LEFT(TRIM(E161&amp;""),FIND(" ",TRIM(E161&amp;""))-1),LEFT(TRIM(E161&amp;""),FIND(" ",TRIM(E161&amp;""))-1)&amp;"병원")&amp;" "&amp;INDEX(코드표!$G$2:$G$101,MATCH(TRIM(RIGHT(SUBSTITUTE(TRIM(E161&amp;"")," ",REPT(" ",60)),60)),코드표!$F$2:$F$101,0)),"⚠"&amp;TRIM(E161&amp;""))),"⚠"&amp;TRIM(E161&amp;""))</f>
        <v/>
      </c>
      <c r="N161" s="10">
        <f>IFERROR(IF(TRIM(F161&amp;"")="","",IF(AND(ISNUMBER(FIND(" ",TRIM(F161&amp;""))),COUNTIF(코드표!$A$2:$A$21,IF(RIGHT(LEFT(TRIM(F161&amp;""),FIND(" ",TRIM(F161&amp;""))-1),2)="병원",LEFT(TRIM(F161&amp;""),FIND(" ",TRIM(F161&amp;""))-1),LEFT(TRIM(F161&amp;""),FIND(" ",TRIM(F161&amp;""))-1)&amp;"병원"))&gt;0,ISNUMBER(MATCH(TRIM(RIGHT(SUBSTITUTE(TRIM(F161&amp;"")," ",REPT(" ",60)),60)),코드표!$F$2:$F$101,0))),IF(RIGHT(LEFT(TRIM(F161&amp;""),FIND(" ",TRIM(F161&amp;""))-1),2)="병원",LEFT(TRIM(F161&amp;""),FIND(" ",TRIM(F161&amp;""))-1),LEFT(TRIM(F161&amp;""),FIND(" ",TRIM(F161&amp;""))-1)&amp;"병원")&amp;" "&amp;INDEX(코드표!$G$2:$G$101,MATCH(TRIM(RIGHT(SUBSTITUTE(TRIM(F161&amp;"")," ",REPT(" ",60)),60)),코드표!$F$2:$F$101,0)),"⚠"&amp;TRIM(F161&amp;""))),"⚠"&amp;TRIM(F161&amp;""))</f>
        <v/>
      </c>
      <c r="O161" s="10">
        <f>IFERROR(IF(TRIM(G161&amp;"")="","",IF(AND(ISNUMBER(FIND(" ",TRIM(G161&amp;""))),COUNTIF(코드표!$A$2:$A$21,IF(RIGHT(LEFT(TRIM(G161&amp;""),FIND(" ",TRIM(G161&amp;""))-1),2)="병원",LEFT(TRIM(G161&amp;""),FIND(" ",TRIM(G161&amp;""))-1),LEFT(TRIM(G161&amp;""),FIND(" ",TRIM(G161&amp;""))-1)&amp;"병원"))&gt;0,ISNUMBER(MATCH(TRIM(RIGHT(SUBSTITUTE(TRIM(G161&amp;"")," ",REPT(" ",60)),60)),코드표!$F$2:$F$101,0))),IF(RIGHT(LEFT(TRIM(G161&amp;""),FIND(" ",TRIM(G161&amp;""))-1),2)="병원",LEFT(TRIM(G161&amp;""),FIND(" ",TRIM(G161&amp;""))-1),LEFT(TRIM(G161&amp;""),FIND(" ",TRIM(G161&amp;""))-1)&amp;"병원")&amp;" "&amp;INDEX(코드표!$G$2:$G$101,MATCH(TRIM(RIGHT(SUBSTITUTE(TRIM(G161&amp;"")," ",REPT(" ",60)),60)),코드표!$F$2:$F$101,0)),"⚠"&amp;TRIM(G161&amp;""))),"⚠"&amp;TRIM(G161&amp;""))</f>
        <v/>
      </c>
      <c r="P161" s="10">
        <f>IFERROR(IF(TRIM(H161&amp;"")="","",IF(AND(ISNUMBER(FIND(" ",TRIM(H161&amp;""))),COUNTIF(코드표!$A$2:$A$21,IF(RIGHT(LEFT(TRIM(H161&amp;""),FIND(" ",TRIM(H161&amp;""))-1),2)="병원",LEFT(TRIM(H161&amp;""),FIND(" ",TRIM(H161&amp;""))-1),LEFT(TRIM(H161&amp;""),FIND(" ",TRIM(H161&amp;""))-1)&amp;"병원"))&gt;0,ISNUMBER(MATCH(TRIM(RIGHT(SUBSTITUTE(TRIM(H161&amp;"")," ",REPT(" ",60)),60)),코드표!$F$2:$F$101,0))),IF(RIGHT(LEFT(TRIM(H161&amp;""),FIND(" ",TRIM(H161&amp;""))-1),2)="병원",LEFT(TRIM(H161&amp;""),FIND(" ",TRIM(H161&amp;""))-1),LEFT(TRIM(H161&amp;""),FIND(" ",TRIM(H161&amp;""))-1)&amp;"병원")&amp;" "&amp;INDEX(코드표!$G$2:$G$101,MATCH(TRIM(RIGHT(SUBSTITUTE(TRIM(H161&amp;"")," ",REPT(" ",60)),60)),코드표!$F$2:$F$101,0)),"⚠"&amp;TRIM(H161&amp;""))),"⚠"&amp;TRIM(H161&amp;""))</f>
        <v/>
      </c>
      <c r="Q161" s="10">
        <f>IFERROR(IF(TRIM(I161&amp;"")="","",IF(AND(ISNUMBER(FIND(" ",TRIM(I161&amp;""))),COUNTIF(코드표!$A$2:$A$21,IF(RIGHT(LEFT(TRIM(I161&amp;""),FIND(" ",TRIM(I161&amp;""))-1),2)="병원",LEFT(TRIM(I161&amp;""),FIND(" ",TRIM(I161&amp;""))-1),LEFT(TRIM(I161&amp;""),FIND(" ",TRIM(I161&amp;""))-1)&amp;"병원"))&gt;0,ISNUMBER(MATCH(TRIM(RIGHT(SUBSTITUTE(TRIM(I161&amp;"")," ",REPT(" ",60)),60)),코드표!$F$2:$F$101,0))),IF(RIGHT(LEFT(TRIM(I161&amp;""),FIND(" ",TRIM(I161&amp;""))-1),2)="병원",LEFT(TRIM(I161&amp;""),FIND(" ",TRIM(I161&amp;""))-1),LEFT(TRIM(I161&amp;""),FIND(" ",TRIM(I161&amp;""))-1)&amp;"병원")&amp;" "&amp;INDEX(코드표!$G$2:$G$101,MATCH(TRIM(RIGHT(SUBSTITUTE(TRIM(I161&amp;"")," ",REPT(" ",60)),60)),코드표!$F$2:$F$101,0)),"⚠"&amp;TRIM(I161&amp;""))),"⚠"&amp;TRIM(I161&amp;""))</f>
        <v/>
      </c>
      <c r="R161" s="10">
        <f>IFERROR(IF(TRIM(J161&amp;"")="","",IF(AND(ISNUMBER(FIND(" ",TRIM(J161&amp;""))),COUNTIF(코드표!$A$2:$A$21,IF(RIGHT(LEFT(TRIM(J161&amp;""),FIND(" ",TRIM(J161&amp;""))-1),2)="병원",LEFT(TRIM(J161&amp;""),FIND(" ",TRIM(J161&amp;""))-1),LEFT(TRIM(J161&amp;""),FIND(" ",TRIM(J161&amp;""))-1)&amp;"병원"))&gt;0,ISNUMBER(MATCH(TRIM(RIGHT(SUBSTITUTE(TRIM(J161&amp;"")," ",REPT(" ",60)),60)),코드표!$F$2:$F$101,0))),IF(RIGHT(LEFT(TRIM(J161&amp;""),FIND(" ",TRIM(J161&amp;""))-1),2)="병원",LEFT(TRIM(J161&amp;""),FIND(" ",TRIM(J161&amp;""))-1),LEFT(TRIM(J161&amp;""),FIND(" ",TRIM(J161&amp;""))-1)&amp;"병원")&amp;" "&amp;INDEX(코드표!$G$2:$G$101,MATCH(TRIM(RIGHT(SUBSTITUTE(TRIM(J161&amp;"")," ",REPT(" ",60)),60)),코드표!$F$2:$F$101,0)),"⚠"&amp;TRIM(J161&amp;""))),"⚠"&amp;TRIM(J161&amp;""))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",TRIM(E162&amp;""))),COUNTIF(코드표!$A$2:$A$21,IF(RIGHT(LEFT(TRIM(E162&amp;""),FIND(" ",TRIM(E162&amp;""))-1),2)="병원",LEFT(TRIM(E162&amp;""),FIND(" ",TRIM(E162&amp;""))-1),LEFT(TRIM(E162&amp;""),FIND(" ",TRIM(E162&amp;""))-1)&amp;"병원"))&gt;0,ISNUMBER(MATCH(TRIM(RIGHT(SUBSTITUTE(TRIM(E162&amp;"")," ",REPT(" ",60)),60)),코드표!$F$2:$F$101,0))),IF(RIGHT(LEFT(TRIM(E162&amp;""),FIND(" ",TRIM(E162&amp;""))-1),2)="병원",LEFT(TRIM(E162&amp;""),FIND(" ",TRIM(E162&amp;""))-1),LEFT(TRIM(E162&amp;""),FIND(" ",TRIM(E162&amp;""))-1)&amp;"병원")&amp;" "&amp;INDEX(코드표!$G$2:$G$101,MATCH(TRIM(RIGHT(SUBSTITUTE(TRIM(E162&amp;"")," ",REPT(" ",60)),60)),코드표!$F$2:$F$101,0)),"⚠"&amp;TRIM(E162&amp;""))),"⚠"&amp;TRIM(E162&amp;""))</f>
        <v/>
      </c>
      <c r="N162" s="10">
        <f>IFERROR(IF(TRIM(F162&amp;"")="","",IF(AND(ISNUMBER(FIND(" ",TRIM(F162&amp;""))),COUNTIF(코드표!$A$2:$A$21,IF(RIGHT(LEFT(TRIM(F162&amp;""),FIND(" ",TRIM(F162&amp;""))-1),2)="병원",LEFT(TRIM(F162&amp;""),FIND(" ",TRIM(F162&amp;""))-1),LEFT(TRIM(F162&amp;""),FIND(" ",TRIM(F162&amp;""))-1)&amp;"병원"))&gt;0,ISNUMBER(MATCH(TRIM(RIGHT(SUBSTITUTE(TRIM(F162&amp;"")," ",REPT(" ",60)),60)),코드표!$F$2:$F$101,0))),IF(RIGHT(LEFT(TRIM(F162&amp;""),FIND(" ",TRIM(F162&amp;""))-1),2)="병원",LEFT(TRIM(F162&amp;""),FIND(" ",TRIM(F162&amp;""))-1),LEFT(TRIM(F162&amp;""),FIND(" ",TRIM(F162&amp;""))-1)&amp;"병원")&amp;" "&amp;INDEX(코드표!$G$2:$G$101,MATCH(TRIM(RIGHT(SUBSTITUTE(TRIM(F162&amp;"")," ",REPT(" ",60)),60)),코드표!$F$2:$F$101,0)),"⚠"&amp;TRIM(F162&amp;""))),"⚠"&amp;TRIM(F162&amp;""))</f>
        <v/>
      </c>
      <c r="O162" s="10">
        <f>IFERROR(IF(TRIM(G162&amp;"")="","",IF(AND(ISNUMBER(FIND(" ",TRIM(G162&amp;""))),COUNTIF(코드표!$A$2:$A$21,IF(RIGHT(LEFT(TRIM(G162&amp;""),FIND(" ",TRIM(G162&amp;""))-1),2)="병원",LEFT(TRIM(G162&amp;""),FIND(" ",TRIM(G162&amp;""))-1),LEFT(TRIM(G162&amp;""),FIND(" ",TRIM(G162&amp;""))-1)&amp;"병원"))&gt;0,ISNUMBER(MATCH(TRIM(RIGHT(SUBSTITUTE(TRIM(G162&amp;"")," ",REPT(" ",60)),60)),코드표!$F$2:$F$101,0))),IF(RIGHT(LEFT(TRIM(G162&amp;""),FIND(" ",TRIM(G162&amp;""))-1),2)="병원",LEFT(TRIM(G162&amp;""),FIND(" ",TRIM(G162&amp;""))-1),LEFT(TRIM(G162&amp;""),FIND(" ",TRIM(G162&amp;""))-1)&amp;"병원")&amp;" "&amp;INDEX(코드표!$G$2:$G$101,MATCH(TRIM(RIGHT(SUBSTITUTE(TRIM(G162&amp;"")," ",REPT(" ",60)),60)),코드표!$F$2:$F$101,0)),"⚠"&amp;TRIM(G162&amp;""))),"⚠"&amp;TRIM(G162&amp;""))</f>
        <v/>
      </c>
      <c r="P162" s="10">
        <f>IFERROR(IF(TRIM(H162&amp;"")="","",IF(AND(ISNUMBER(FIND(" ",TRIM(H162&amp;""))),COUNTIF(코드표!$A$2:$A$21,IF(RIGHT(LEFT(TRIM(H162&amp;""),FIND(" ",TRIM(H162&amp;""))-1),2)="병원",LEFT(TRIM(H162&amp;""),FIND(" ",TRIM(H162&amp;""))-1),LEFT(TRIM(H162&amp;""),FIND(" ",TRIM(H162&amp;""))-1)&amp;"병원"))&gt;0,ISNUMBER(MATCH(TRIM(RIGHT(SUBSTITUTE(TRIM(H162&amp;"")," ",REPT(" ",60)),60)),코드표!$F$2:$F$101,0))),IF(RIGHT(LEFT(TRIM(H162&amp;""),FIND(" ",TRIM(H162&amp;""))-1),2)="병원",LEFT(TRIM(H162&amp;""),FIND(" ",TRIM(H162&amp;""))-1),LEFT(TRIM(H162&amp;""),FIND(" ",TRIM(H162&amp;""))-1)&amp;"병원")&amp;" "&amp;INDEX(코드표!$G$2:$G$101,MATCH(TRIM(RIGHT(SUBSTITUTE(TRIM(H162&amp;"")," ",REPT(" ",60)),60)),코드표!$F$2:$F$101,0)),"⚠"&amp;TRIM(H162&amp;""))),"⚠"&amp;TRIM(H162&amp;""))</f>
        <v/>
      </c>
      <c r="Q162" s="10">
        <f>IFERROR(IF(TRIM(I162&amp;"")="","",IF(AND(ISNUMBER(FIND(" ",TRIM(I162&amp;""))),COUNTIF(코드표!$A$2:$A$21,IF(RIGHT(LEFT(TRIM(I162&amp;""),FIND(" ",TRIM(I162&amp;""))-1),2)="병원",LEFT(TRIM(I162&amp;""),FIND(" ",TRIM(I162&amp;""))-1),LEFT(TRIM(I162&amp;""),FIND(" ",TRIM(I162&amp;""))-1)&amp;"병원"))&gt;0,ISNUMBER(MATCH(TRIM(RIGHT(SUBSTITUTE(TRIM(I162&amp;"")," ",REPT(" ",60)),60)),코드표!$F$2:$F$101,0))),IF(RIGHT(LEFT(TRIM(I162&amp;""),FIND(" ",TRIM(I162&amp;""))-1),2)="병원",LEFT(TRIM(I162&amp;""),FIND(" ",TRIM(I162&amp;""))-1),LEFT(TRIM(I162&amp;""),FIND(" ",TRIM(I162&amp;""))-1)&amp;"병원")&amp;" "&amp;INDEX(코드표!$G$2:$G$101,MATCH(TRIM(RIGHT(SUBSTITUTE(TRIM(I162&amp;"")," ",REPT(" ",60)),60)),코드표!$F$2:$F$101,0)),"⚠"&amp;TRIM(I162&amp;""))),"⚠"&amp;TRIM(I162&amp;""))</f>
        <v/>
      </c>
      <c r="R162" s="10">
        <f>IFERROR(IF(TRIM(J162&amp;"")="","",IF(AND(ISNUMBER(FIND(" ",TRIM(J162&amp;""))),COUNTIF(코드표!$A$2:$A$21,IF(RIGHT(LEFT(TRIM(J162&amp;""),FIND(" ",TRIM(J162&amp;""))-1),2)="병원",LEFT(TRIM(J162&amp;""),FIND(" ",TRIM(J162&amp;""))-1),LEFT(TRIM(J162&amp;""),FIND(" ",TRIM(J162&amp;""))-1)&amp;"병원"))&gt;0,ISNUMBER(MATCH(TRIM(RIGHT(SUBSTITUTE(TRIM(J162&amp;"")," ",REPT(" ",60)),60)),코드표!$F$2:$F$101,0))),IF(RIGHT(LEFT(TRIM(J162&amp;""),FIND(" ",TRIM(J162&amp;""))-1),2)="병원",LEFT(TRIM(J162&amp;""),FIND(" ",TRIM(J162&amp;""))-1),LEFT(TRIM(J162&amp;""),FIND(" ",TRIM(J162&amp;""))-1)&amp;"병원")&amp;" "&amp;INDEX(코드표!$G$2:$G$101,MATCH(TRIM(RIGHT(SUBSTITUTE(TRIM(J162&amp;"")," ",REPT(" ",60)),60)),코드표!$F$2:$F$101,0)),"⚠"&amp;TRIM(J162&amp;""))),"⚠"&amp;TRIM(J162&amp;""))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",TRIM(E163&amp;""))),COUNTIF(코드표!$A$2:$A$21,IF(RIGHT(LEFT(TRIM(E163&amp;""),FIND(" ",TRIM(E163&amp;""))-1),2)="병원",LEFT(TRIM(E163&amp;""),FIND(" ",TRIM(E163&amp;""))-1),LEFT(TRIM(E163&amp;""),FIND(" ",TRIM(E163&amp;""))-1)&amp;"병원"))&gt;0,ISNUMBER(MATCH(TRIM(RIGHT(SUBSTITUTE(TRIM(E163&amp;"")," ",REPT(" ",60)),60)),코드표!$F$2:$F$101,0))),IF(RIGHT(LEFT(TRIM(E163&amp;""),FIND(" ",TRIM(E163&amp;""))-1),2)="병원",LEFT(TRIM(E163&amp;""),FIND(" ",TRIM(E163&amp;""))-1),LEFT(TRIM(E163&amp;""),FIND(" ",TRIM(E163&amp;""))-1)&amp;"병원")&amp;" "&amp;INDEX(코드표!$G$2:$G$101,MATCH(TRIM(RIGHT(SUBSTITUTE(TRIM(E163&amp;"")," ",REPT(" ",60)),60)),코드표!$F$2:$F$101,0)),"⚠"&amp;TRIM(E163&amp;""))),"⚠"&amp;TRIM(E163&amp;""))</f>
        <v/>
      </c>
      <c r="N163" s="10">
        <f>IFERROR(IF(TRIM(F163&amp;"")="","",IF(AND(ISNUMBER(FIND(" ",TRIM(F163&amp;""))),COUNTIF(코드표!$A$2:$A$21,IF(RIGHT(LEFT(TRIM(F163&amp;""),FIND(" ",TRIM(F163&amp;""))-1),2)="병원",LEFT(TRIM(F163&amp;""),FIND(" ",TRIM(F163&amp;""))-1),LEFT(TRIM(F163&amp;""),FIND(" ",TRIM(F163&amp;""))-1)&amp;"병원"))&gt;0,ISNUMBER(MATCH(TRIM(RIGHT(SUBSTITUTE(TRIM(F163&amp;"")," ",REPT(" ",60)),60)),코드표!$F$2:$F$101,0))),IF(RIGHT(LEFT(TRIM(F163&amp;""),FIND(" ",TRIM(F163&amp;""))-1),2)="병원",LEFT(TRIM(F163&amp;""),FIND(" ",TRIM(F163&amp;""))-1),LEFT(TRIM(F163&amp;""),FIND(" ",TRIM(F163&amp;""))-1)&amp;"병원")&amp;" "&amp;INDEX(코드표!$G$2:$G$101,MATCH(TRIM(RIGHT(SUBSTITUTE(TRIM(F163&amp;"")," ",REPT(" ",60)),60)),코드표!$F$2:$F$101,0)),"⚠"&amp;TRIM(F163&amp;""))),"⚠"&amp;TRIM(F163&amp;""))</f>
        <v/>
      </c>
      <c r="O163" s="10">
        <f>IFERROR(IF(TRIM(G163&amp;"")="","",IF(AND(ISNUMBER(FIND(" ",TRIM(G163&amp;""))),COUNTIF(코드표!$A$2:$A$21,IF(RIGHT(LEFT(TRIM(G163&amp;""),FIND(" ",TRIM(G163&amp;""))-1),2)="병원",LEFT(TRIM(G163&amp;""),FIND(" ",TRIM(G163&amp;""))-1),LEFT(TRIM(G163&amp;""),FIND(" ",TRIM(G163&amp;""))-1)&amp;"병원"))&gt;0,ISNUMBER(MATCH(TRIM(RIGHT(SUBSTITUTE(TRIM(G163&amp;"")," ",REPT(" ",60)),60)),코드표!$F$2:$F$101,0))),IF(RIGHT(LEFT(TRIM(G163&amp;""),FIND(" ",TRIM(G163&amp;""))-1),2)="병원",LEFT(TRIM(G163&amp;""),FIND(" ",TRIM(G163&amp;""))-1),LEFT(TRIM(G163&amp;""),FIND(" ",TRIM(G163&amp;""))-1)&amp;"병원")&amp;" "&amp;INDEX(코드표!$G$2:$G$101,MATCH(TRIM(RIGHT(SUBSTITUTE(TRIM(G163&amp;"")," ",REPT(" ",60)),60)),코드표!$F$2:$F$101,0)),"⚠"&amp;TRIM(G163&amp;""))),"⚠"&amp;TRIM(G163&amp;""))</f>
        <v/>
      </c>
      <c r="P163" s="10">
        <f>IFERROR(IF(TRIM(H163&amp;"")="","",IF(AND(ISNUMBER(FIND(" ",TRIM(H163&amp;""))),COUNTIF(코드표!$A$2:$A$21,IF(RIGHT(LEFT(TRIM(H163&amp;""),FIND(" ",TRIM(H163&amp;""))-1),2)="병원",LEFT(TRIM(H163&amp;""),FIND(" ",TRIM(H163&amp;""))-1),LEFT(TRIM(H163&amp;""),FIND(" ",TRIM(H163&amp;""))-1)&amp;"병원"))&gt;0,ISNUMBER(MATCH(TRIM(RIGHT(SUBSTITUTE(TRIM(H163&amp;"")," ",REPT(" ",60)),60)),코드표!$F$2:$F$101,0))),IF(RIGHT(LEFT(TRIM(H163&amp;""),FIND(" ",TRIM(H163&amp;""))-1),2)="병원",LEFT(TRIM(H163&amp;""),FIND(" ",TRIM(H163&amp;""))-1),LEFT(TRIM(H163&amp;""),FIND(" ",TRIM(H163&amp;""))-1)&amp;"병원")&amp;" "&amp;INDEX(코드표!$G$2:$G$101,MATCH(TRIM(RIGHT(SUBSTITUTE(TRIM(H163&amp;"")," ",REPT(" ",60)),60)),코드표!$F$2:$F$101,0)),"⚠"&amp;TRIM(H163&amp;""))),"⚠"&amp;TRIM(H163&amp;""))</f>
        <v/>
      </c>
      <c r="Q163" s="10">
        <f>IFERROR(IF(TRIM(I163&amp;"")="","",IF(AND(ISNUMBER(FIND(" ",TRIM(I163&amp;""))),COUNTIF(코드표!$A$2:$A$21,IF(RIGHT(LEFT(TRIM(I163&amp;""),FIND(" ",TRIM(I163&amp;""))-1),2)="병원",LEFT(TRIM(I163&amp;""),FIND(" ",TRIM(I163&amp;""))-1),LEFT(TRIM(I163&amp;""),FIND(" ",TRIM(I163&amp;""))-1)&amp;"병원"))&gt;0,ISNUMBER(MATCH(TRIM(RIGHT(SUBSTITUTE(TRIM(I163&amp;"")," ",REPT(" ",60)),60)),코드표!$F$2:$F$101,0))),IF(RIGHT(LEFT(TRIM(I163&amp;""),FIND(" ",TRIM(I163&amp;""))-1),2)="병원",LEFT(TRIM(I163&amp;""),FIND(" ",TRIM(I163&amp;""))-1),LEFT(TRIM(I163&amp;""),FIND(" ",TRIM(I163&amp;""))-1)&amp;"병원")&amp;" "&amp;INDEX(코드표!$G$2:$G$101,MATCH(TRIM(RIGHT(SUBSTITUTE(TRIM(I163&amp;"")," ",REPT(" ",60)),60)),코드표!$F$2:$F$101,0)),"⚠"&amp;TRIM(I163&amp;""))),"⚠"&amp;TRIM(I163&amp;""))</f>
        <v/>
      </c>
      <c r="R163" s="10">
        <f>IFERROR(IF(TRIM(J163&amp;"")="","",IF(AND(ISNUMBER(FIND(" ",TRIM(J163&amp;""))),COUNTIF(코드표!$A$2:$A$21,IF(RIGHT(LEFT(TRIM(J163&amp;""),FIND(" ",TRIM(J163&amp;""))-1),2)="병원",LEFT(TRIM(J163&amp;""),FIND(" ",TRIM(J163&amp;""))-1),LEFT(TRIM(J163&amp;""),FIND(" ",TRIM(J163&amp;""))-1)&amp;"병원"))&gt;0,ISNUMBER(MATCH(TRIM(RIGHT(SUBSTITUTE(TRIM(J163&amp;"")," ",REPT(" ",60)),60)),코드표!$F$2:$F$101,0))),IF(RIGHT(LEFT(TRIM(J163&amp;""),FIND(" ",TRIM(J163&amp;""))-1),2)="병원",LEFT(TRIM(J163&amp;""),FIND(" ",TRIM(J163&amp;""))-1),LEFT(TRIM(J163&amp;""),FIND(" ",TRIM(J163&amp;""))-1)&amp;"병원")&amp;" "&amp;INDEX(코드표!$G$2:$G$101,MATCH(TRIM(RIGHT(SUBSTITUTE(TRIM(J163&amp;"")," ",REPT(" ",60)),60)),코드표!$F$2:$F$101,0)),"⚠"&amp;TRIM(J163&amp;""))),"⚠"&amp;TRIM(J163&amp;""))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",TRIM(E164&amp;""))),COUNTIF(코드표!$A$2:$A$21,IF(RIGHT(LEFT(TRIM(E164&amp;""),FIND(" ",TRIM(E164&amp;""))-1),2)="병원",LEFT(TRIM(E164&amp;""),FIND(" ",TRIM(E164&amp;""))-1),LEFT(TRIM(E164&amp;""),FIND(" ",TRIM(E164&amp;""))-1)&amp;"병원"))&gt;0,ISNUMBER(MATCH(TRIM(RIGHT(SUBSTITUTE(TRIM(E164&amp;"")," ",REPT(" ",60)),60)),코드표!$F$2:$F$101,0))),IF(RIGHT(LEFT(TRIM(E164&amp;""),FIND(" ",TRIM(E164&amp;""))-1),2)="병원",LEFT(TRIM(E164&amp;""),FIND(" ",TRIM(E164&amp;""))-1),LEFT(TRIM(E164&amp;""),FIND(" ",TRIM(E164&amp;""))-1)&amp;"병원")&amp;" "&amp;INDEX(코드표!$G$2:$G$101,MATCH(TRIM(RIGHT(SUBSTITUTE(TRIM(E164&amp;"")," ",REPT(" ",60)),60)),코드표!$F$2:$F$101,0)),"⚠"&amp;TRIM(E164&amp;""))),"⚠"&amp;TRIM(E164&amp;""))</f>
        <v/>
      </c>
      <c r="N164" s="10">
        <f>IFERROR(IF(TRIM(F164&amp;"")="","",IF(AND(ISNUMBER(FIND(" ",TRIM(F164&amp;""))),COUNTIF(코드표!$A$2:$A$21,IF(RIGHT(LEFT(TRIM(F164&amp;""),FIND(" ",TRIM(F164&amp;""))-1),2)="병원",LEFT(TRIM(F164&amp;""),FIND(" ",TRIM(F164&amp;""))-1),LEFT(TRIM(F164&amp;""),FIND(" ",TRIM(F164&amp;""))-1)&amp;"병원"))&gt;0,ISNUMBER(MATCH(TRIM(RIGHT(SUBSTITUTE(TRIM(F164&amp;"")," ",REPT(" ",60)),60)),코드표!$F$2:$F$101,0))),IF(RIGHT(LEFT(TRIM(F164&amp;""),FIND(" ",TRIM(F164&amp;""))-1),2)="병원",LEFT(TRIM(F164&amp;""),FIND(" ",TRIM(F164&amp;""))-1),LEFT(TRIM(F164&amp;""),FIND(" ",TRIM(F164&amp;""))-1)&amp;"병원")&amp;" "&amp;INDEX(코드표!$G$2:$G$101,MATCH(TRIM(RIGHT(SUBSTITUTE(TRIM(F164&amp;"")," ",REPT(" ",60)),60)),코드표!$F$2:$F$101,0)),"⚠"&amp;TRIM(F164&amp;""))),"⚠"&amp;TRIM(F164&amp;""))</f>
        <v/>
      </c>
      <c r="O164" s="10">
        <f>IFERROR(IF(TRIM(G164&amp;"")="","",IF(AND(ISNUMBER(FIND(" ",TRIM(G164&amp;""))),COUNTIF(코드표!$A$2:$A$21,IF(RIGHT(LEFT(TRIM(G164&amp;""),FIND(" ",TRIM(G164&amp;""))-1),2)="병원",LEFT(TRIM(G164&amp;""),FIND(" ",TRIM(G164&amp;""))-1),LEFT(TRIM(G164&amp;""),FIND(" ",TRIM(G164&amp;""))-1)&amp;"병원"))&gt;0,ISNUMBER(MATCH(TRIM(RIGHT(SUBSTITUTE(TRIM(G164&amp;"")," ",REPT(" ",60)),60)),코드표!$F$2:$F$101,0))),IF(RIGHT(LEFT(TRIM(G164&amp;""),FIND(" ",TRIM(G164&amp;""))-1),2)="병원",LEFT(TRIM(G164&amp;""),FIND(" ",TRIM(G164&amp;""))-1),LEFT(TRIM(G164&amp;""),FIND(" ",TRIM(G164&amp;""))-1)&amp;"병원")&amp;" "&amp;INDEX(코드표!$G$2:$G$101,MATCH(TRIM(RIGHT(SUBSTITUTE(TRIM(G164&amp;"")," ",REPT(" ",60)),60)),코드표!$F$2:$F$101,0)),"⚠"&amp;TRIM(G164&amp;""))),"⚠"&amp;TRIM(G164&amp;""))</f>
        <v/>
      </c>
      <c r="P164" s="10">
        <f>IFERROR(IF(TRIM(H164&amp;"")="","",IF(AND(ISNUMBER(FIND(" ",TRIM(H164&amp;""))),COUNTIF(코드표!$A$2:$A$21,IF(RIGHT(LEFT(TRIM(H164&amp;""),FIND(" ",TRIM(H164&amp;""))-1),2)="병원",LEFT(TRIM(H164&amp;""),FIND(" ",TRIM(H164&amp;""))-1),LEFT(TRIM(H164&amp;""),FIND(" ",TRIM(H164&amp;""))-1)&amp;"병원"))&gt;0,ISNUMBER(MATCH(TRIM(RIGHT(SUBSTITUTE(TRIM(H164&amp;"")," ",REPT(" ",60)),60)),코드표!$F$2:$F$101,0))),IF(RIGHT(LEFT(TRIM(H164&amp;""),FIND(" ",TRIM(H164&amp;""))-1),2)="병원",LEFT(TRIM(H164&amp;""),FIND(" ",TRIM(H164&amp;""))-1),LEFT(TRIM(H164&amp;""),FIND(" ",TRIM(H164&amp;""))-1)&amp;"병원")&amp;" "&amp;INDEX(코드표!$G$2:$G$101,MATCH(TRIM(RIGHT(SUBSTITUTE(TRIM(H164&amp;"")," ",REPT(" ",60)),60)),코드표!$F$2:$F$101,0)),"⚠"&amp;TRIM(H164&amp;""))),"⚠"&amp;TRIM(H164&amp;""))</f>
        <v/>
      </c>
      <c r="Q164" s="10">
        <f>IFERROR(IF(TRIM(I164&amp;"")="","",IF(AND(ISNUMBER(FIND(" ",TRIM(I164&amp;""))),COUNTIF(코드표!$A$2:$A$21,IF(RIGHT(LEFT(TRIM(I164&amp;""),FIND(" ",TRIM(I164&amp;""))-1),2)="병원",LEFT(TRIM(I164&amp;""),FIND(" ",TRIM(I164&amp;""))-1),LEFT(TRIM(I164&amp;""),FIND(" ",TRIM(I164&amp;""))-1)&amp;"병원"))&gt;0,ISNUMBER(MATCH(TRIM(RIGHT(SUBSTITUTE(TRIM(I164&amp;"")," ",REPT(" ",60)),60)),코드표!$F$2:$F$101,0))),IF(RIGHT(LEFT(TRIM(I164&amp;""),FIND(" ",TRIM(I164&amp;""))-1),2)="병원",LEFT(TRIM(I164&amp;""),FIND(" ",TRIM(I164&amp;""))-1),LEFT(TRIM(I164&amp;""),FIND(" ",TRIM(I164&amp;""))-1)&amp;"병원")&amp;" "&amp;INDEX(코드표!$G$2:$G$101,MATCH(TRIM(RIGHT(SUBSTITUTE(TRIM(I164&amp;"")," ",REPT(" ",60)),60)),코드표!$F$2:$F$101,0)),"⚠"&amp;TRIM(I164&amp;""))),"⚠"&amp;TRIM(I164&amp;""))</f>
        <v/>
      </c>
      <c r="R164" s="10">
        <f>IFERROR(IF(TRIM(J164&amp;"")="","",IF(AND(ISNUMBER(FIND(" ",TRIM(J164&amp;""))),COUNTIF(코드표!$A$2:$A$21,IF(RIGHT(LEFT(TRIM(J164&amp;""),FIND(" ",TRIM(J164&amp;""))-1),2)="병원",LEFT(TRIM(J164&amp;""),FIND(" ",TRIM(J164&amp;""))-1),LEFT(TRIM(J164&amp;""),FIND(" ",TRIM(J164&amp;""))-1)&amp;"병원"))&gt;0,ISNUMBER(MATCH(TRIM(RIGHT(SUBSTITUTE(TRIM(J164&amp;"")," ",REPT(" ",60)),60)),코드표!$F$2:$F$101,0))),IF(RIGHT(LEFT(TRIM(J164&amp;""),FIND(" ",TRIM(J164&amp;""))-1),2)="병원",LEFT(TRIM(J164&amp;""),FIND(" ",TRIM(J164&amp;""))-1),LEFT(TRIM(J164&amp;""),FIND(" ",TRIM(J164&amp;""))-1)&amp;"병원")&amp;" "&amp;INDEX(코드표!$G$2:$G$101,MATCH(TRIM(RIGHT(SUBSTITUTE(TRIM(J164&amp;"")," ",REPT(" ",60)),60)),코드표!$F$2:$F$101,0)),"⚠"&amp;TRIM(J164&amp;""))),"⚠"&amp;TRIM(J164&amp;""))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",TRIM(E165&amp;""))),COUNTIF(코드표!$A$2:$A$21,IF(RIGHT(LEFT(TRIM(E165&amp;""),FIND(" ",TRIM(E165&amp;""))-1),2)="병원",LEFT(TRIM(E165&amp;""),FIND(" ",TRIM(E165&amp;""))-1),LEFT(TRIM(E165&amp;""),FIND(" ",TRIM(E165&amp;""))-1)&amp;"병원"))&gt;0,ISNUMBER(MATCH(TRIM(RIGHT(SUBSTITUTE(TRIM(E165&amp;"")," ",REPT(" ",60)),60)),코드표!$F$2:$F$101,0))),IF(RIGHT(LEFT(TRIM(E165&amp;""),FIND(" ",TRIM(E165&amp;""))-1),2)="병원",LEFT(TRIM(E165&amp;""),FIND(" ",TRIM(E165&amp;""))-1),LEFT(TRIM(E165&amp;""),FIND(" ",TRIM(E165&amp;""))-1)&amp;"병원")&amp;" "&amp;INDEX(코드표!$G$2:$G$101,MATCH(TRIM(RIGHT(SUBSTITUTE(TRIM(E165&amp;"")," ",REPT(" ",60)),60)),코드표!$F$2:$F$101,0)),"⚠"&amp;TRIM(E165&amp;""))),"⚠"&amp;TRIM(E165&amp;""))</f>
        <v/>
      </c>
      <c r="N165" s="10">
        <f>IFERROR(IF(TRIM(F165&amp;"")="","",IF(AND(ISNUMBER(FIND(" ",TRIM(F165&amp;""))),COUNTIF(코드표!$A$2:$A$21,IF(RIGHT(LEFT(TRIM(F165&amp;""),FIND(" ",TRIM(F165&amp;""))-1),2)="병원",LEFT(TRIM(F165&amp;""),FIND(" ",TRIM(F165&amp;""))-1),LEFT(TRIM(F165&amp;""),FIND(" ",TRIM(F165&amp;""))-1)&amp;"병원"))&gt;0,ISNUMBER(MATCH(TRIM(RIGHT(SUBSTITUTE(TRIM(F165&amp;"")," ",REPT(" ",60)),60)),코드표!$F$2:$F$101,0))),IF(RIGHT(LEFT(TRIM(F165&amp;""),FIND(" ",TRIM(F165&amp;""))-1),2)="병원",LEFT(TRIM(F165&amp;""),FIND(" ",TRIM(F165&amp;""))-1),LEFT(TRIM(F165&amp;""),FIND(" ",TRIM(F165&amp;""))-1)&amp;"병원")&amp;" "&amp;INDEX(코드표!$G$2:$G$101,MATCH(TRIM(RIGHT(SUBSTITUTE(TRIM(F165&amp;"")," ",REPT(" ",60)),60)),코드표!$F$2:$F$101,0)),"⚠"&amp;TRIM(F165&amp;""))),"⚠"&amp;TRIM(F165&amp;""))</f>
        <v/>
      </c>
      <c r="O165" s="10">
        <f>IFERROR(IF(TRIM(G165&amp;"")="","",IF(AND(ISNUMBER(FIND(" ",TRIM(G165&amp;""))),COUNTIF(코드표!$A$2:$A$21,IF(RIGHT(LEFT(TRIM(G165&amp;""),FIND(" ",TRIM(G165&amp;""))-1),2)="병원",LEFT(TRIM(G165&amp;""),FIND(" ",TRIM(G165&amp;""))-1),LEFT(TRIM(G165&amp;""),FIND(" ",TRIM(G165&amp;""))-1)&amp;"병원"))&gt;0,ISNUMBER(MATCH(TRIM(RIGHT(SUBSTITUTE(TRIM(G165&amp;"")," ",REPT(" ",60)),60)),코드표!$F$2:$F$101,0))),IF(RIGHT(LEFT(TRIM(G165&amp;""),FIND(" ",TRIM(G165&amp;""))-1),2)="병원",LEFT(TRIM(G165&amp;""),FIND(" ",TRIM(G165&amp;""))-1),LEFT(TRIM(G165&amp;""),FIND(" ",TRIM(G165&amp;""))-1)&amp;"병원")&amp;" "&amp;INDEX(코드표!$G$2:$G$101,MATCH(TRIM(RIGHT(SUBSTITUTE(TRIM(G165&amp;"")," ",REPT(" ",60)),60)),코드표!$F$2:$F$101,0)),"⚠"&amp;TRIM(G165&amp;""))),"⚠"&amp;TRIM(G165&amp;""))</f>
        <v/>
      </c>
      <c r="P165" s="10">
        <f>IFERROR(IF(TRIM(H165&amp;"")="","",IF(AND(ISNUMBER(FIND(" ",TRIM(H165&amp;""))),COUNTIF(코드표!$A$2:$A$21,IF(RIGHT(LEFT(TRIM(H165&amp;""),FIND(" ",TRIM(H165&amp;""))-1),2)="병원",LEFT(TRIM(H165&amp;""),FIND(" ",TRIM(H165&amp;""))-1),LEFT(TRIM(H165&amp;""),FIND(" ",TRIM(H165&amp;""))-1)&amp;"병원"))&gt;0,ISNUMBER(MATCH(TRIM(RIGHT(SUBSTITUTE(TRIM(H165&amp;"")," ",REPT(" ",60)),60)),코드표!$F$2:$F$101,0))),IF(RIGHT(LEFT(TRIM(H165&amp;""),FIND(" ",TRIM(H165&amp;""))-1),2)="병원",LEFT(TRIM(H165&amp;""),FIND(" ",TRIM(H165&amp;""))-1),LEFT(TRIM(H165&amp;""),FIND(" ",TRIM(H165&amp;""))-1)&amp;"병원")&amp;" "&amp;INDEX(코드표!$G$2:$G$101,MATCH(TRIM(RIGHT(SUBSTITUTE(TRIM(H165&amp;"")," ",REPT(" ",60)),60)),코드표!$F$2:$F$101,0)),"⚠"&amp;TRIM(H165&amp;""))),"⚠"&amp;TRIM(H165&amp;""))</f>
        <v/>
      </c>
      <c r="Q165" s="10">
        <f>IFERROR(IF(TRIM(I165&amp;"")="","",IF(AND(ISNUMBER(FIND(" ",TRIM(I165&amp;""))),COUNTIF(코드표!$A$2:$A$21,IF(RIGHT(LEFT(TRIM(I165&amp;""),FIND(" ",TRIM(I165&amp;""))-1),2)="병원",LEFT(TRIM(I165&amp;""),FIND(" ",TRIM(I165&amp;""))-1),LEFT(TRIM(I165&amp;""),FIND(" ",TRIM(I165&amp;""))-1)&amp;"병원"))&gt;0,ISNUMBER(MATCH(TRIM(RIGHT(SUBSTITUTE(TRIM(I165&amp;"")," ",REPT(" ",60)),60)),코드표!$F$2:$F$101,0))),IF(RIGHT(LEFT(TRIM(I165&amp;""),FIND(" ",TRIM(I165&amp;""))-1),2)="병원",LEFT(TRIM(I165&amp;""),FIND(" ",TRIM(I165&amp;""))-1),LEFT(TRIM(I165&amp;""),FIND(" ",TRIM(I165&amp;""))-1)&amp;"병원")&amp;" "&amp;INDEX(코드표!$G$2:$G$101,MATCH(TRIM(RIGHT(SUBSTITUTE(TRIM(I165&amp;"")," ",REPT(" ",60)),60)),코드표!$F$2:$F$101,0)),"⚠"&amp;TRIM(I165&amp;""))),"⚠"&amp;TRIM(I165&amp;""))</f>
        <v/>
      </c>
      <c r="R165" s="10">
        <f>IFERROR(IF(TRIM(J165&amp;"")="","",IF(AND(ISNUMBER(FIND(" ",TRIM(J165&amp;""))),COUNTIF(코드표!$A$2:$A$21,IF(RIGHT(LEFT(TRIM(J165&amp;""),FIND(" ",TRIM(J165&amp;""))-1),2)="병원",LEFT(TRIM(J165&amp;""),FIND(" ",TRIM(J165&amp;""))-1),LEFT(TRIM(J165&amp;""),FIND(" ",TRIM(J165&amp;""))-1)&amp;"병원"))&gt;0,ISNUMBER(MATCH(TRIM(RIGHT(SUBSTITUTE(TRIM(J165&amp;"")," ",REPT(" ",60)),60)),코드표!$F$2:$F$101,0))),IF(RIGHT(LEFT(TRIM(J165&amp;""),FIND(" ",TRIM(J165&amp;""))-1),2)="병원",LEFT(TRIM(J165&amp;""),FIND(" ",TRIM(J165&amp;""))-1),LEFT(TRIM(J165&amp;""),FIND(" ",TRIM(J165&amp;""))-1)&amp;"병원")&amp;" "&amp;INDEX(코드표!$G$2:$G$101,MATCH(TRIM(RIGHT(SUBSTITUTE(TRIM(J165&amp;"")," ",REPT(" ",60)),60)),코드표!$F$2:$F$101,0)),"⚠"&amp;TRIM(J165&amp;""))),"⚠"&amp;TRIM(J165&amp;""))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",TRIM(E166&amp;""))),COUNTIF(코드표!$A$2:$A$21,IF(RIGHT(LEFT(TRIM(E166&amp;""),FIND(" ",TRIM(E166&amp;""))-1),2)="병원",LEFT(TRIM(E166&amp;""),FIND(" ",TRIM(E166&amp;""))-1),LEFT(TRIM(E166&amp;""),FIND(" ",TRIM(E166&amp;""))-1)&amp;"병원"))&gt;0,ISNUMBER(MATCH(TRIM(RIGHT(SUBSTITUTE(TRIM(E166&amp;"")," ",REPT(" ",60)),60)),코드표!$F$2:$F$101,0))),IF(RIGHT(LEFT(TRIM(E166&amp;""),FIND(" ",TRIM(E166&amp;""))-1),2)="병원",LEFT(TRIM(E166&amp;""),FIND(" ",TRIM(E166&amp;""))-1),LEFT(TRIM(E166&amp;""),FIND(" ",TRIM(E166&amp;""))-1)&amp;"병원")&amp;" "&amp;INDEX(코드표!$G$2:$G$101,MATCH(TRIM(RIGHT(SUBSTITUTE(TRIM(E166&amp;"")," ",REPT(" ",60)),60)),코드표!$F$2:$F$101,0)),"⚠"&amp;TRIM(E166&amp;""))),"⚠"&amp;TRIM(E166&amp;""))</f>
        <v/>
      </c>
      <c r="N166" s="10">
        <f>IFERROR(IF(TRIM(F166&amp;"")="","",IF(AND(ISNUMBER(FIND(" ",TRIM(F166&amp;""))),COUNTIF(코드표!$A$2:$A$21,IF(RIGHT(LEFT(TRIM(F166&amp;""),FIND(" ",TRIM(F166&amp;""))-1),2)="병원",LEFT(TRIM(F166&amp;""),FIND(" ",TRIM(F166&amp;""))-1),LEFT(TRIM(F166&amp;""),FIND(" ",TRIM(F166&amp;""))-1)&amp;"병원"))&gt;0,ISNUMBER(MATCH(TRIM(RIGHT(SUBSTITUTE(TRIM(F166&amp;"")," ",REPT(" ",60)),60)),코드표!$F$2:$F$101,0))),IF(RIGHT(LEFT(TRIM(F166&amp;""),FIND(" ",TRIM(F166&amp;""))-1),2)="병원",LEFT(TRIM(F166&amp;""),FIND(" ",TRIM(F166&amp;""))-1),LEFT(TRIM(F166&amp;""),FIND(" ",TRIM(F166&amp;""))-1)&amp;"병원")&amp;" "&amp;INDEX(코드표!$G$2:$G$101,MATCH(TRIM(RIGHT(SUBSTITUTE(TRIM(F166&amp;"")," ",REPT(" ",60)),60)),코드표!$F$2:$F$101,0)),"⚠"&amp;TRIM(F166&amp;""))),"⚠"&amp;TRIM(F166&amp;""))</f>
        <v/>
      </c>
      <c r="O166" s="10">
        <f>IFERROR(IF(TRIM(G166&amp;"")="","",IF(AND(ISNUMBER(FIND(" ",TRIM(G166&amp;""))),COUNTIF(코드표!$A$2:$A$21,IF(RIGHT(LEFT(TRIM(G166&amp;""),FIND(" ",TRIM(G166&amp;""))-1),2)="병원",LEFT(TRIM(G166&amp;""),FIND(" ",TRIM(G166&amp;""))-1),LEFT(TRIM(G166&amp;""),FIND(" ",TRIM(G166&amp;""))-1)&amp;"병원"))&gt;0,ISNUMBER(MATCH(TRIM(RIGHT(SUBSTITUTE(TRIM(G166&amp;"")," ",REPT(" ",60)),60)),코드표!$F$2:$F$101,0))),IF(RIGHT(LEFT(TRIM(G166&amp;""),FIND(" ",TRIM(G166&amp;""))-1),2)="병원",LEFT(TRIM(G166&amp;""),FIND(" ",TRIM(G166&amp;""))-1),LEFT(TRIM(G166&amp;""),FIND(" ",TRIM(G166&amp;""))-1)&amp;"병원")&amp;" "&amp;INDEX(코드표!$G$2:$G$101,MATCH(TRIM(RIGHT(SUBSTITUTE(TRIM(G166&amp;"")," ",REPT(" ",60)),60)),코드표!$F$2:$F$101,0)),"⚠"&amp;TRIM(G166&amp;""))),"⚠"&amp;TRIM(G166&amp;""))</f>
        <v/>
      </c>
      <c r="P166" s="10">
        <f>IFERROR(IF(TRIM(H166&amp;"")="","",IF(AND(ISNUMBER(FIND(" ",TRIM(H166&amp;""))),COUNTIF(코드표!$A$2:$A$21,IF(RIGHT(LEFT(TRIM(H166&amp;""),FIND(" ",TRIM(H166&amp;""))-1),2)="병원",LEFT(TRIM(H166&amp;""),FIND(" ",TRIM(H166&amp;""))-1),LEFT(TRIM(H166&amp;""),FIND(" ",TRIM(H166&amp;""))-1)&amp;"병원"))&gt;0,ISNUMBER(MATCH(TRIM(RIGHT(SUBSTITUTE(TRIM(H166&amp;"")," ",REPT(" ",60)),60)),코드표!$F$2:$F$101,0))),IF(RIGHT(LEFT(TRIM(H166&amp;""),FIND(" ",TRIM(H166&amp;""))-1),2)="병원",LEFT(TRIM(H166&amp;""),FIND(" ",TRIM(H166&amp;""))-1),LEFT(TRIM(H166&amp;""),FIND(" ",TRIM(H166&amp;""))-1)&amp;"병원")&amp;" "&amp;INDEX(코드표!$G$2:$G$101,MATCH(TRIM(RIGHT(SUBSTITUTE(TRIM(H166&amp;"")," ",REPT(" ",60)),60)),코드표!$F$2:$F$101,0)),"⚠"&amp;TRIM(H166&amp;""))),"⚠"&amp;TRIM(H166&amp;""))</f>
        <v/>
      </c>
      <c r="Q166" s="10">
        <f>IFERROR(IF(TRIM(I166&amp;"")="","",IF(AND(ISNUMBER(FIND(" ",TRIM(I166&amp;""))),COUNTIF(코드표!$A$2:$A$21,IF(RIGHT(LEFT(TRIM(I166&amp;""),FIND(" ",TRIM(I166&amp;""))-1),2)="병원",LEFT(TRIM(I166&amp;""),FIND(" ",TRIM(I166&amp;""))-1),LEFT(TRIM(I166&amp;""),FIND(" ",TRIM(I166&amp;""))-1)&amp;"병원"))&gt;0,ISNUMBER(MATCH(TRIM(RIGHT(SUBSTITUTE(TRIM(I166&amp;"")," ",REPT(" ",60)),60)),코드표!$F$2:$F$101,0))),IF(RIGHT(LEFT(TRIM(I166&amp;""),FIND(" ",TRIM(I166&amp;""))-1),2)="병원",LEFT(TRIM(I166&amp;""),FIND(" ",TRIM(I166&amp;""))-1),LEFT(TRIM(I166&amp;""),FIND(" ",TRIM(I166&amp;""))-1)&amp;"병원")&amp;" "&amp;INDEX(코드표!$G$2:$G$101,MATCH(TRIM(RIGHT(SUBSTITUTE(TRIM(I166&amp;"")," ",REPT(" ",60)),60)),코드표!$F$2:$F$101,0)),"⚠"&amp;TRIM(I166&amp;""))),"⚠"&amp;TRIM(I166&amp;""))</f>
        <v/>
      </c>
      <c r="R166" s="10">
        <f>IFERROR(IF(TRIM(J166&amp;"")="","",IF(AND(ISNUMBER(FIND(" ",TRIM(J166&amp;""))),COUNTIF(코드표!$A$2:$A$21,IF(RIGHT(LEFT(TRIM(J166&amp;""),FIND(" ",TRIM(J166&amp;""))-1),2)="병원",LEFT(TRIM(J166&amp;""),FIND(" ",TRIM(J166&amp;""))-1),LEFT(TRIM(J166&amp;""),FIND(" ",TRIM(J166&amp;""))-1)&amp;"병원"))&gt;0,ISNUMBER(MATCH(TRIM(RIGHT(SUBSTITUTE(TRIM(J166&amp;"")," ",REPT(" ",60)),60)),코드표!$F$2:$F$101,0))),IF(RIGHT(LEFT(TRIM(J166&amp;""),FIND(" ",TRIM(J166&amp;""))-1),2)="병원",LEFT(TRIM(J166&amp;""),FIND(" ",TRIM(J166&amp;""))-1),LEFT(TRIM(J166&amp;""),FIND(" ",TRIM(J166&amp;""))-1)&amp;"병원")&amp;" "&amp;INDEX(코드표!$G$2:$G$101,MATCH(TRIM(RIGHT(SUBSTITUTE(TRIM(J166&amp;"")," ",REPT(" ",60)),60)),코드표!$F$2:$F$101,0)),"⚠"&amp;TRIM(J166&amp;""))),"⚠"&amp;TRIM(J166&amp;""))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",TRIM(E167&amp;""))),COUNTIF(코드표!$A$2:$A$21,IF(RIGHT(LEFT(TRIM(E167&amp;""),FIND(" ",TRIM(E167&amp;""))-1),2)="병원",LEFT(TRIM(E167&amp;""),FIND(" ",TRIM(E167&amp;""))-1),LEFT(TRIM(E167&amp;""),FIND(" ",TRIM(E167&amp;""))-1)&amp;"병원"))&gt;0,ISNUMBER(MATCH(TRIM(RIGHT(SUBSTITUTE(TRIM(E167&amp;"")," ",REPT(" ",60)),60)),코드표!$F$2:$F$101,0))),IF(RIGHT(LEFT(TRIM(E167&amp;""),FIND(" ",TRIM(E167&amp;""))-1),2)="병원",LEFT(TRIM(E167&amp;""),FIND(" ",TRIM(E167&amp;""))-1),LEFT(TRIM(E167&amp;""),FIND(" ",TRIM(E167&amp;""))-1)&amp;"병원")&amp;" "&amp;INDEX(코드표!$G$2:$G$101,MATCH(TRIM(RIGHT(SUBSTITUTE(TRIM(E167&amp;"")," ",REPT(" ",60)),60)),코드표!$F$2:$F$101,0)),"⚠"&amp;TRIM(E167&amp;""))),"⚠"&amp;TRIM(E167&amp;""))</f>
        <v/>
      </c>
      <c r="N167" s="10">
        <f>IFERROR(IF(TRIM(F167&amp;"")="","",IF(AND(ISNUMBER(FIND(" ",TRIM(F167&amp;""))),COUNTIF(코드표!$A$2:$A$21,IF(RIGHT(LEFT(TRIM(F167&amp;""),FIND(" ",TRIM(F167&amp;""))-1),2)="병원",LEFT(TRIM(F167&amp;""),FIND(" ",TRIM(F167&amp;""))-1),LEFT(TRIM(F167&amp;""),FIND(" ",TRIM(F167&amp;""))-1)&amp;"병원"))&gt;0,ISNUMBER(MATCH(TRIM(RIGHT(SUBSTITUTE(TRIM(F167&amp;"")," ",REPT(" ",60)),60)),코드표!$F$2:$F$101,0))),IF(RIGHT(LEFT(TRIM(F167&amp;""),FIND(" ",TRIM(F167&amp;""))-1),2)="병원",LEFT(TRIM(F167&amp;""),FIND(" ",TRIM(F167&amp;""))-1),LEFT(TRIM(F167&amp;""),FIND(" ",TRIM(F167&amp;""))-1)&amp;"병원")&amp;" "&amp;INDEX(코드표!$G$2:$G$101,MATCH(TRIM(RIGHT(SUBSTITUTE(TRIM(F167&amp;"")," ",REPT(" ",60)),60)),코드표!$F$2:$F$101,0)),"⚠"&amp;TRIM(F167&amp;""))),"⚠"&amp;TRIM(F167&amp;""))</f>
        <v/>
      </c>
      <c r="O167" s="10">
        <f>IFERROR(IF(TRIM(G167&amp;"")="","",IF(AND(ISNUMBER(FIND(" ",TRIM(G167&amp;""))),COUNTIF(코드표!$A$2:$A$21,IF(RIGHT(LEFT(TRIM(G167&amp;""),FIND(" ",TRIM(G167&amp;""))-1),2)="병원",LEFT(TRIM(G167&amp;""),FIND(" ",TRIM(G167&amp;""))-1),LEFT(TRIM(G167&amp;""),FIND(" ",TRIM(G167&amp;""))-1)&amp;"병원"))&gt;0,ISNUMBER(MATCH(TRIM(RIGHT(SUBSTITUTE(TRIM(G167&amp;"")," ",REPT(" ",60)),60)),코드표!$F$2:$F$101,0))),IF(RIGHT(LEFT(TRIM(G167&amp;""),FIND(" ",TRIM(G167&amp;""))-1),2)="병원",LEFT(TRIM(G167&amp;""),FIND(" ",TRIM(G167&amp;""))-1),LEFT(TRIM(G167&amp;""),FIND(" ",TRIM(G167&amp;""))-1)&amp;"병원")&amp;" "&amp;INDEX(코드표!$G$2:$G$101,MATCH(TRIM(RIGHT(SUBSTITUTE(TRIM(G167&amp;"")," ",REPT(" ",60)),60)),코드표!$F$2:$F$101,0)),"⚠"&amp;TRIM(G167&amp;""))),"⚠"&amp;TRIM(G167&amp;""))</f>
        <v/>
      </c>
      <c r="P167" s="10">
        <f>IFERROR(IF(TRIM(H167&amp;"")="","",IF(AND(ISNUMBER(FIND(" ",TRIM(H167&amp;""))),COUNTIF(코드표!$A$2:$A$21,IF(RIGHT(LEFT(TRIM(H167&amp;""),FIND(" ",TRIM(H167&amp;""))-1),2)="병원",LEFT(TRIM(H167&amp;""),FIND(" ",TRIM(H167&amp;""))-1),LEFT(TRIM(H167&amp;""),FIND(" ",TRIM(H167&amp;""))-1)&amp;"병원"))&gt;0,ISNUMBER(MATCH(TRIM(RIGHT(SUBSTITUTE(TRIM(H167&amp;"")," ",REPT(" ",60)),60)),코드표!$F$2:$F$101,0))),IF(RIGHT(LEFT(TRIM(H167&amp;""),FIND(" ",TRIM(H167&amp;""))-1),2)="병원",LEFT(TRIM(H167&amp;""),FIND(" ",TRIM(H167&amp;""))-1),LEFT(TRIM(H167&amp;""),FIND(" ",TRIM(H167&amp;""))-1)&amp;"병원")&amp;" "&amp;INDEX(코드표!$G$2:$G$101,MATCH(TRIM(RIGHT(SUBSTITUTE(TRIM(H167&amp;"")," ",REPT(" ",60)),60)),코드표!$F$2:$F$101,0)),"⚠"&amp;TRIM(H167&amp;""))),"⚠"&amp;TRIM(H167&amp;""))</f>
        <v/>
      </c>
      <c r="Q167" s="10">
        <f>IFERROR(IF(TRIM(I167&amp;"")="","",IF(AND(ISNUMBER(FIND(" ",TRIM(I167&amp;""))),COUNTIF(코드표!$A$2:$A$21,IF(RIGHT(LEFT(TRIM(I167&amp;""),FIND(" ",TRIM(I167&amp;""))-1),2)="병원",LEFT(TRIM(I167&amp;""),FIND(" ",TRIM(I167&amp;""))-1),LEFT(TRIM(I167&amp;""),FIND(" ",TRIM(I167&amp;""))-1)&amp;"병원"))&gt;0,ISNUMBER(MATCH(TRIM(RIGHT(SUBSTITUTE(TRIM(I167&amp;"")," ",REPT(" ",60)),60)),코드표!$F$2:$F$101,0))),IF(RIGHT(LEFT(TRIM(I167&amp;""),FIND(" ",TRIM(I167&amp;""))-1),2)="병원",LEFT(TRIM(I167&amp;""),FIND(" ",TRIM(I167&amp;""))-1),LEFT(TRIM(I167&amp;""),FIND(" ",TRIM(I167&amp;""))-1)&amp;"병원")&amp;" "&amp;INDEX(코드표!$G$2:$G$101,MATCH(TRIM(RIGHT(SUBSTITUTE(TRIM(I167&amp;"")," ",REPT(" ",60)),60)),코드표!$F$2:$F$101,0)),"⚠"&amp;TRIM(I167&amp;""))),"⚠"&amp;TRIM(I167&amp;""))</f>
        <v/>
      </c>
      <c r="R167" s="10">
        <f>IFERROR(IF(TRIM(J167&amp;"")="","",IF(AND(ISNUMBER(FIND(" ",TRIM(J167&amp;""))),COUNTIF(코드표!$A$2:$A$21,IF(RIGHT(LEFT(TRIM(J167&amp;""),FIND(" ",TRIM(J167&amp;""))-1),2)="병원",LEFT(TRIM(J167&amp;""),FIND(" ",TRIM(J167&amp;""))-1),LEFT(TRIM(J167&amp;""),FIND(" ",TRIM(J167&amp;""))-1)&amp;"병원"))&gt;0,ISNUMBER(MATCH(TRIM(RIGHT(SUBSTITUTE(TRIM(J167&amp;"")," ",REPT(" ",60)),60)),코드표!$F$2:$F$101,0))),IF(RIGHT(LEFT(TRIM(J167&amp;""),FIND(" ",TRIM(J167&amp;""))-1),2)="병원",LEFT(TRIM(J167&amp;""),FIND(" ",TRIM(J167&amp;""))-1),LEFT(TRIM(J167&amp;""),FIND(" ",TRIM(J167&amp;""))-1)&amp;"병원")&amp;" "&amp;INDEX(코드표!$G$2:$G$101,MATCH(TRIM(RIGHT(SUBSTITUTE(TRIM(J167&amp;"")," ",REPT(" ",60)),60)),코드표!$F$2:$F$101,0)),"⚠"&amp;TRIM(J167&amp;""))),"⚠"&amp;TRIM(J167&amp;""))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",TRIM(E168&amp;""))),COUNTIF(코드표!$A$2:$A$21,IF(RIGHT(LEFT(TRIM(E168&amp;""),FIND(" ",TRIM(E168&amp;""))-1),2)="병원",LEFT(TRIM(E168&amp;""),FIND(" ",TRIM(E168&amp;""))-1),LEFT(TRIM(E168&amp;""),FIND(" ",TRIM(E168&amp;""))-1)&amp;"병원"))&gt;0,ISNUMBER(MATCH(TRIM(RIGHT(SUBSTITUTE(TRIM(E168&amp;"")," ",REPT(" ",60)),60)),코드표!$F$2:$F$101,0))),IF(RIGHT(LEFT(TRIM(E168&amp;""),FIND(" ",TRIM(E168&amp;""))-1),2)="병원",LEFT(TRIM(E168&amp;""),FIND(" ",TRIM(E168&amp;""))-1),LEFT(TRIM(E168&amp;""),FIND(" ",TRIM(E168&amp;""))-1)&amp;"병원")&amp;" "&amp;INDEX(코드표!$G$2:$G$101,MATCH(TRIM(RIGHT(SUBSTITUTE(TRIM(E168&amp;"")," ",REPT(" ",60)),60)),코드표!$F$2:$F$101,0)),"⚠"&amp;TRIM(E168&amp;""))),"⚠"&amp;TRIM(E168&amp;""))</f>
        <v/>
      </c>
      <c r="N168" s="10">
        <f>IFERROR(IF(TRIM(F168&amp;"")="","",IF(AND(ISNUMBER(FIND(" ",TRIM(F168&amp;""))),COUNTIF(코드표!$A$2:$A$21,IF(RIGHT(LEFT(TRIM(F168&amp;""),FIND(" ",TRIM(F168&amp;""))-1),2)="병원",LEFT(TRIM(F168&amp;""),FIND(" ",TRIM(F168&amp;""))-1),LEFT(TRIM(F168&amp;""),FIND(" ",TRIM(F168&amp;""))-1)&amp;"병원"))&gt;0,ISNUMBER(MATCH(TRIM(RIGHT(SUBSTITUTE(TRIM(F168&amp;"")," ",REPT(" ",60)),60)),코드표!$F$2:$F$101,0))),IF(RIGHT(LEFT(TRIM(F168&amp;""),FIND(" ",TRIM(F168&amp;""))-1),2)="병원",LEFT(TRIM(F168&amp;""),FIND(" ",TRIM(F168&amp;""))-1),LEFT(TRIM(F168&amp;""),FIND(" ",TRIM(F168&amp;""))-1)&amp;"병원")&amp;" "&amp;INDEX(코드표!$G$2:$G$101,MATCH(TRIM(RIGHT(SUBSTITUTE(TRIM(F168&amp;"")," ",REPT(" ",60)),60)),코드표!$F$2:$F$101,0)),"⚠"&amp;TRIM(F168&amp;""))),"⚠"&amp;TRIM(F168&amp;""))</f>
        <v/>
      </c>
      <c r="O168" s="10">
        <f>IFERROR(IF(TRIM(G168&amp;"")="","",IF(AND(ISNUMBER(FIND(" ",TRIM(G168&amp;""))),COUNTIF(코드표!$A$2:$A$21,IF(RIGHT(LEFT(TRIM(G168&amp;""),FIND(" ",TRIM(G168&amp;""))-1),2)="병원",LEFT(TRIM(G168&amp;""),FIND(" ",TRIM(G168&amp;""))-1),LEFT(TRIM(G168&amp;""),FIND(" ",TRIM(G168&amp;""))-1)&amp;"병원"))&gt;0,ISNUMBER(MATCH(TRIM(RIGHT(SUBSTITUTE(TRIM(G168&amp;"")," ",REPT(" ",60)),60)),코드표!$F$2:$F$101,0))),IF(RIGHT(LEFT(TRIM(G168&amp;""),FIND(" ",TRIM(G168&amp;""))-1),2)="병원",LEFT(TRIM(G168&amp;""),FIND(" ",TRIM(G168&amp;""))-1),LEFT(TRIM(G168&amp;""),FIND(" ",TRIM(G168&amp;""))-1)&amp;"병원")&amp;" "&amp;INDEX(코드표!$G$2:$G$101,MATCH(TRIM(RIGHT(SUBSTITUTE(TRIM(G168&amp;"")," ",REPT(" ",60)),60)),코드표!$F$2:$F$101,0)),"⚠"&amp;TRIM(G168&amp;""))),"⚠"&amp;TRIM(G168&amp;""))</f>
        <v/>
      </c>
      <c r="P168" s="10">
        <f>IFERROR(IF(TRIM(H168&amp;"")="","",IF(AND(ISNUMBER(FIND(" ",TRIM(H168&amp;""))),COUNTIF(코드표!$A$2:$A$21,IF(RIGHT(LEFT(TRIM(H168&amp;""),FIND(" ",TRIM(H168&amp;""))-1),2)="병원",LEFT(TRIM(H168&amp;""),FIND(" ",TRIM(H168&amp;""))-1),LEFT(TRIM(H168&amp;""),FIND(" ",TRIM(H168&amp;""))-1)&amp;"병원"))&gt;0,ISNUMBER(MATCH(TRIM(RIGHT(SUBSTITUTE(TRIM(H168&amp;"")," ",REPT(" ",60)),60)),코드표!$F$2:$F$101,0))),IF(RIGHT(LEFT(TRIM(H168&amp;""),FIND(" ",TRIM(H168&amp;""))-1),2)="병원",LEFT(TRIM(H168&amp;""),FIND(" ",TRIM(H168&amp;""))-1),LEFT(TRIM(H168&amp;""),FIND(" ",TRIM(H168&amp;""))-1)&amp;"병원")&amp;" "&amp;INDEX(코드표!$G$2:$G$101,MATCH(TRIM(RIGHT(SUBSTITUTE(TRIM(H168&amp;"")," ",REPT(" ",60)),60)),코드표!$F$2:$F$101,0)),"⚠"&amp;TRIM(H168&amp;""))),"⚠"&amp;TRIM(H168&amp;""))</f>
        <v/>
      </c>
      <c r="Q168" s="10">
        <f>IFERROR(IF(TRIM(I168&amp;"")="","",IF(AND(ISNUMBER(FIND(" ",TRIM(I168&amp;""))),COUNTIF(코드표!$A$2:$A$21,IF(RIGHT(LEFT(TRIM(I168&amp;""),FIND(" ",TRIM(I168&amp;""))-1),2)="병원",LEFT(TRIM(I168&amp;""),FIND(" ",TRIM(I168&amp;""))-1),LEFT(TRIM(I168&amp;""),FIND(" ",TRIM(I168&amp;""))-1)&amp;"병원"))&gt;0,ISNUMBER(MATCH(TRIM(RIGHT(SUBSTITUTE(TRIM(I168&amp;"")," ",REPT(" ",60)),60)),코드표!$F$2:$F$101,0))),IF(RIGHT(LEFT(TRIM(I168&amp;""),FIND(" ",TRIM(I168&amp;""))-1),2)="병원",LEFT(TRIM(I168&amp;""),FIND(" ",TRIM(I168&amp;""))-1),LEFT(TRIM(I168&amp;""),FIND(" ",TRIM(I168&amp;""))-1)&amp;"병원")&amp;" "&amp;INDEX(코드표!$G$2:$G$101,MATCH(TRIM(RIGHT(SUBSTITUTE(TRIM(I168&amp;"")," ",REPT(" ",60)),60)),코드표!$F$2:$F$101,0)),"⚠"&amp;TRIM(I168&amp;""))),"⚠"&amp;TRIM(I168&amp;""))</f>
        <v/>
      </c>
      <c r="R168" s="10">
        <f>IFERROR(IF(TRIM(J168&amp;"")="","",IF(AND(ISNUMBER(FIND(" ",TRIM(J168&amp;""))),COUNTIF(코드표!$A$2:$A$21,IF(RIGHT(LEFT(TRIM(J168&amp;""),FIND(" ",TRIM(J168&amp;""))-1),2)="병원",LEFT(TRIM(J168&amp;""),FIND(" ",TRIM(J168&amp;""))-1),LEFT(TRIM(J168&amp;""),FIND(" ",TRIM(J168&amp;""))-1)&amp;"병원"))&gt;0,ISNUMBER(MATCH(TRIM(RIGHT(SUBSTITUTE(TRIM(J168&amp;"")," ",REPT(" ",60)),60)),코드표!$F$2:$F$101,0))),IF(RIGHT(LEFT(TRIM(J168&amp;""),FIND(" ",TRIM(J168&amp;""))-1),2)="병원",LEFT(TRIM(J168&amp;""),FIND(" ",TRIM(J168&amp;""))-1),LEFT(TRIM(J168&amp;""),FIND(" ",TRIM(J168&amp;""))-1)&amp;"병원")&amp;" "&amp;INDEX(코드표!$G$2:$G$101,MATCH(TRIM(RIGHT(SUBSTITUTE(TRIM(J168&amp;"")," ",REPT(" ",60)),60)),코드표!$F$2:$F$101,0)),"⚠"&amp;TRIM(J168&amp;""))),"⚠"&amp;TRIM(J168&amp;""))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",TRIM(E169&amp;""))),COUNTIF(코드표!$A$2:$A$21,IF(RIGHT(LEFT(TRIM(E169&amp;""),FIND(" ",TRIM(E169&amp;""))-1),2)="병원",LEFT(TRIM(E169&amp;""),FIND(" ",TRIM(E169&amp;""))-1),LEFT(TRIM(E169&amp;""),FIND(" ",TRIM(E169&amp;""))-1)&amp;"병원"))&gt;0,ISNUMBER(MATCH(TRIM(RIGHT(SUBSTITUTE(TRIM(E169&amp;"")," ",REPT(" ",60)),60)),코드표!$F$2:$F$101,0))),IF(RIGHT(LEFT(TRIM(E169&amp;""),FIND(" ",TRIM(E169&amp;""))-1),2)="병원",LEFT(TRIM(E169&amp;""),FIND(" ",TRIM(E169&amp;""))-1),LEFT(TRIM(E169&amp;""),FIND(" ",TRIM(E169&amp;""))-1)&amp;"병원")&amp;" "&amp;INDEX(코드표!$G$2:$G$101,MATCH(TRIM(RIGHT(SUBSTITUTE(TRIM(E169&amp;"")," ",REPT(" ",60)),60)),코드표!$F$2:$F$101,0)),"⚠"&amp;TRIM(E169&amp;""))),"⚠"&amp;TRIM(E169&amp;""))</f>
        <v/>
      </c>
      <c r="N169" s="10">
        <f>IFERROR(IF(TRIM(F169&amp;"")="","",IF(AND(ISNUMBER(FIND(" ",TRIM(F169&amp;""))),COUNTIF(코드표!$A$2:$A$21,IF(RIGHT(LEFT(TRIM(F169&amp;""),FIND(" ",TRIM(F169&amp;""))-1),2)="병원",LEFT(TRIM(F169&amp;""),FIND(" ",TRIM(F169&amp;""))-1),LEFT(TRIM(F169&amp;""),FIND(" ",TRIM(F169&amp;""))-1)&amp;"병원"))&gt;0,ISNUMBER(MATCH(TRIM(RIGHT(SUBSTITUTE(TRIM(F169&amp;"")," ",REPT(" ",60)),60)),코드표!$F$2:$F$101,0))),IF(RIGHT(LEFT(TRIM(F169&amp;""),FIND(" ",TRIM(F169&amp;""))-1),2)="병원",LEFT(TRIM(F169&amp;""),FIND(" ",TRIM(F169&amp;""))-1),LEFT(TRIM(F169&amp;""),FIND(" ",TRIM(F169&amp;""))-1)&amp;"병원")&amp;" "&amp;INDEX(코드표!$G$2:$G$101,MATCH(TRIM(RIGHT(SUBSTITUTE(TRIM(F169&amp;"")," ",REPT(" ",60)),60)),코드표!$F$2:$F$101,0)),"⚠"&amp;TRIM(F169&amp;""))),"⚠"&amp;TRIM(F169&amp;""))</f>
        <v/>
      </c>
      <c r="O169" s="10">
        <f>IFERROR(IF(TRIM(G169&amp;"")="","",IF(AND(ISNUMBER(FIND(" ",TRIM(G169&amp;""))),COUNTIF(코드표!$A$2:$A$21,IF(RIGHT(LEFT(TRIM(G169&amp;""),FIND(" ",TRIM(G169&amp;""))-1),2)="병원",LEFT(TRIM(G169&amp;""),FIND(" ",TRIM(G169&amp;""))-1),LEFT(TRIM(G169&amp;""),FIND(" ",TRIM(G169&amp;""))-1)&amp;"병원"))&gt;0,ISNUMBER(MATCH(TRIM(RIGHT(SUBSTITUTE(TRIM(G169&amp;"")," ",REPT(" ",60)),60)),코드표!$F$2:$F$101,0))),IF(RIGHT(LEFT(TRIM(G169&amp;""),FIND(" ",TRIM(G169&amp;""))-1),2)="병원",LEFT(TRIM(G169&amp;""),FIND(" ",TRIM(G169&amp;""))-1),LEFT(TRIM(G169&amp;""),FIND(" ",TRIM(G169&amp;""))-1)&amp;"병원")&amp;" "&amp;INDEX(코드표!$G$2:$G$101,MATCH(TRIM(RIGHT(SUBSTITUTE(TRIM(G169&amp;"")," ",REPT(" ",60)),60)),코드표!$F$2:$F$101,0)),"⚠"&amp;TRIM(G169&amp;""))),"⚠"&amp;TRIM(G169&amp;""))</f>
        <v/>
      </c>
      <c r="P169" s="10">
        <f>IFERROR(IF(TRIM(H169&amp;"")="","",IF(AND(ISNUMBER(FIND(" ",TRIM(H169&amp;""))),COUNTIF(코드표!$A$2:$A$21,IF(RIGHT(LEFT(TRIM(H169&amp;""),FIND(" ",TRIM(H169&amp;""))-1),2)="병원",LEFT(TRIM(H169&amp;""),FIND(" ",TRIM(H169&amp;""))-1),LEFT(TRIM(H169&amp;""),FIND(" ",TRIM(H169&amp;""))-1)&amp;"병원"))&gt;0,ISNUMBER(MATCH(TRIM(RIGHT(SUBSTITUTE(TRIM(H169&amp;"")," ",REPT(" ",60)),60)),코드표!$F$2:$F$101,0))),IF(RIGHT(LEFT(TRIM(H169&amp;""),FIND(" ",TRIM(H169&amp;""))-1),2)="병원",LEFT(TRIM(H169&amp;""),FIND(" ",TRIM(H169&amp;""))-1),LEFT(TRIM(H169&amp;""),FIND(" ",TRIM(H169&amp;""))-1)&amp;"병원")&amp;" "&amp;INDEX(코드표!$G$2:$G$101,MATCH(TRIM(RIGHT(SUBSTITUTE(TRIM(H169&amp;"")," ",REPT(" ",60)),60)),코드표!$F$2:$F$101,0)),"⚠"&amp;TRIM(H169&amp;""))),"⚠"&amp;TRIM(H169&amp;""))</f>
        <v/>
      </c>
      <c r="Q169" s="10">
        <f>IFERROR(IF(TRIM(I169&amp;"")="","",IF(AND(ISNUMBER(FIND(" ",TRIM(I169&amp;""))),COUNTIF(코드표!$A$2:$A$21,IF(RIGHT(LEFT(TRIM(I169&amp;""),FIND(" ",TRIM(I169&amp;""))-1),2)="병원",LEFT(TRIM(I169&amp;""),FIND(" ",TRIM(I169&amp;""))-1),LEFT(TRIM(I169&amp;""),FIND(" ",TRIM(I169&amp;""))-1)&amp;"병원"))&gt;0,ISNUMBER(MATCH(TRIM(RIGHT(SUBSTITUTE(TRIM(I169&amp;"")," ",REPT(" ",60)),60)),코드표!$F$2:$F$101,0))),IF(RIGHT(LEFT(TRIM(I169&amp;""),FIND(" ",TRIM(I169&amp;""))-1),2)="병원",LEFT(TRIM(I169&amp;""),FIND(" ",TRIM(I169&amp;""))-1),LEFT(TRIM(I169&amp;""),FIND(" ",TRIM(I169&amp;""))-1)&amp;"병원")&amp;" "&amp;INDEX(코드표!$G$2:$G$101,MATCH(TRIM(RIGHT(SUBSTITUTE(TRIM(I169&amp;"")," ",REPT(" ",60)),60)),코드표!$F$2:$F$101,0)),"⚠"&amp;TRIM(I169&amp;""))),"⚠"&amp;TRIM(I169&amp;""))</f>
        <v/>
      </c>
      <c r="R169" s="10">
        <f>IFERROR(IF(TRIM(J169&amp;"")="","",IF(AND(ISNUMBER(FIND(" ",TRIM(J169&amp;""))),COUNTIF(코드표!$A$2:$A$21,IF(RIGHT(LEFT(TRIM(J169&amp;""),FIND(" ",TRIM(J169&amp;""))-1),2)="병원",LEFT(TRIM(J169&amp;""),FIND(" ",TRIM(J169&amp;""))-1),LEFT(TRIM(J169&amp;""),FIND(" ",TRIM(J169&amp;""))-1)&amp;"병원"))&gt;0,ISNUMBER(MATCH(TRIM(RIGHT(SUBSTITUTE(TRIM(J169&amp;"")," ",REPT(" ",60)),60)),코드표!$F$2:$F$101,0))),IF(RIGHT(LEFT(TRIM(J169&amp;""),FIND(" ",TRIM(J169&amp;""))-1),2)="병원",LEFT(TRIM(J169&amp;""),FIND(" ",TRIM(J169&amp;""))-1),LEFT(TRIM(J169&amp;""),FIND(" ",TRIM(J169&amp;""))-1)&amp;"병원")&amp;" "&amp;INDEX(코드표!$G$2:$G$101,MATCH(TRIM(RIGHT(SUBSTITUTE(TRIM(J169&amp;"")," ",REPT(" ",60)),60)),코드표!$F$2:$F$101,0)),"⚠"&amp;TRIM(J169&amp;""))),"⚠"&amp;TRIM(J169&amp;""))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",TRIM(E170&amp;""))),COUNTIF(코드표!$A$2:$A$21,IF(RIGHT(LEFT(TRIM(E170&amp;""),FIND(" ",TRIM(E170&amp;""))-1),2)="병원",LEFT(TRIM(E170&amp;""),FIND(" ",TRIM(E170&amp;""))-1),LEFT(TRIM(E170&amp;""),FIND(" ",TRIM(E170&amp;""))-1)&amp;"병원"))&gt;0,ISNUMBER(MATCH(TRIM(RIGHT(SUBSTITUTE(TRIM(E170&amp;"")," ",REPT(" ",60)),60)),코드표!$F$2:$F$101,0))),IF(RIGHT(LEFT(TRIM(E170&amp;""),FIND(" ",TRIM(E170&amp;""))-1),2)="병원",LEFT(TRIM(E170&amp;""),FIND(" ",TRIM(E170&amp;""))-1),LEFT(TRIM(E170&amp;""),FIND(" ",TRIM(E170&amp;""))-1)&amp;"병원")&amp;" "&amp;INDEX(코드표!$G$2:$G$101,MATCH(TRIM(RIGHT(SUBSTITUTE(TRIM(E170&amp;"")," ",REPT(" ",60)),60)),코드표!$F$2:$F$101,0)),"⚠"&amp;TRIM(E170&amp;""))),"⚠"&amp;TRIM(E170&amp;""))</f>
        <v/>
      </c>
      <c r="N170" s="10">
        <f>IFERROR(IF(TRIM(F170&amp;"")="","",IF(AND(ISNUMBER(FIND(" ",TRIM(F170&amp;""))),COUNTIF(코드표!$A$2:$A$21,IF(RIGHT(LEFT(TRIM(F170&amp;""),FIND(" ",TRIM(F170&amp;""))-1),2)="병원",LEFT(TRIM(F170&amp;""),FIND(" ",TRIM(F170&amp;""))-1),LEFT(TRIM(F170&amp;""),FIND(" ",TRIM(F170&amp;""))-1)&amp;"병원"))&gt;0,ISNUMBER(MATCH(TRIM(RIGHT(SUBSTITUTE(TRIM(F170&amp;"")," ",REPT(" ",60)),60)),코드표!$F$2:$F$101,0))),IF(RIGHT(LEFT(TRIM(F170&amp;""),FIND(" ",TRIM(F170&amp;""))-1),2)="병원",LEFT(TRIM(F170&amp;""),FIND(" ",TRIM(F170&amp;""))-1),LEFT(TRIM(F170&amp;""),FIND(" ",TRIM(F170&amp;""))-1)&amp;"병원")&amp;" "&amp;INDEX(코드표!$G$2:$G$101,MATCH(TRIM(RIGHT(SUBSTITUTE(TRIM(F170&amp;"")," ",REPT(" ",60)),60)),코드표!$F$2:$F$101,0)),"⚠"&amp;TRIM(F170&amp;""))),"⚠"&amp;TRIM(F170&amp;""))</f>
        <v/>
      </c>
      <c r="O170" s="10">
        <f>IFERROR(IF(TRIM(G170&amp;"")="","",IF(AND(ISNUMBER(FIND(" ",TRIM(G170&amp;""))),COUNTIF(코드표!$A$2:$A$21,IF(RIGHT(LEFT(TRIM(G170&amp;""),FIND(" ",TRIM(G170&amp;""))-1),2)="병원",LEFT(TRIM(G170&amp;""),FIND(" ",TRIM(G170&amp;""))-1),LEFT(TRIM(G170&amp;""),FIND(" ",TRIM(G170&amp;""))-1)&amp;"병원"))&gt;0,ISNUMBER(MATCH(TRIM(RIGHT(SUBSTITUTE(TRIM(G170&amp;"")," ",REPT(" ",60)),60)),코드표!$F$2:$F$101,0))),IF(RIGHT(LEFT(TRIM(G170&amp;""),FIND(" ",TRIM(G170&amp;""))-1),2)="병원",LEFT(TRIM(G170&amp;""),FIND(" ",TRIM(G170&amp;""))-1),LEFT(TRIM(G170&amp;""),FIND(" ",TRIM(G170&amp;""))-1)&amp;"병원")&amp;" "&amp;INDEX(코드표!$G$2:$G$101,MATCH(TRIM(RIGHT(SUBSTITUTE(TRIM(G170&amp;"")," ",REPT(" ",60)),60)),코드표!$F$2:$F$101,0)),"⚠"&amp;TRIM(G170&amp;""))),"⚠"&amp;TRIM(G170&amp;""))</f>
        <v/>
      </c>
      <c r="P170" s="10">
        <f>IFERROR(IF(TRIM(H170&amp;"")="","",IF(AND(ISNUMBER(FIND(" ",TRIM(H170&amp;""))),COUNTIF(코드표!$A$2:$A$21,IF(RIGHT(LEFT(TRIM(H170&amp;""),FIND(" ",TRIM(H170&amp;""))-1),2)="병원",LEFT(TRIM(H170&amp;""),FIND(" ",TRIM(H170&amp;""))-1),LEFT(TRIM(H170&amp;""),FIND(" ",TRIM(H170&amp;""))-1)&amp;"병원"))&gt;0,ISNUMBER(MATCH(TRIM(RIGHT(SUBSTITUTE(TRIM(H170&amp;"")," ",REPT(" ",60)),60)),코드표!$F$2:$F$101,0))),IF(RIGHT(LEFT(TRIM(H170&amp;""),FIND(" ",TRIM(H170&amp;""))-1),2)="병원",LEFT(TRIM(H170&amp;""),FIND(" ",TRIM(H170&amp;""))-1),LEFT(TRIM(H170&amp;""),FIND(" ",TRIM(H170&amp;""))-1)&amp;"병원")&amp;" "&amp;INDEX(코드표!$G$2:$G$101,MATCH(TRIM(RIGHT(SUBSTITUTE(TRIM(H170&amp;"")," ",REPT(" ",60)),60)),코드표!$F$2:$F$101,0)),"⚠"&amp;TRIM(H170&amp;""))),"⚠"&amp;TRIM(H170&amp;""))</f>
        <v/>
      </c>
      <c r="Q170" s="10">
        <f>IFERROR(IF(TRIM(I170&amp;"")="","",IF(AND(ISNUMBER(FIND(" ",TRIM(I170&amp;""))),COUNTIF(코드표!$A$2:$A$21,IF(RIGHT(LEFT(TRIM(I170&amp;""),FIND(" ",TRIM(I170&amp;""))-1),2)="병원",LEFT(TRIM(I170&amp;""),FIND(" ",TRIM(I170&amp;""))-1),LEFT(TRIM(I170&amp;""),FIND(" ",TRIM(I170&amp;""))-1)&amp;"병원"))&gt;0,ISNUMBER(MATCH(TRIM(RIGHT(SUBSTITUTE(TRIM(I170&amp;"")," ",REPT(" ",60)),60)),코드표!$F$2:$F$101,0))),IF(RIGHT(LEFT(TRIM(I170&amp;""),FIND(" ",TRIM(I170&amp;""))-1),2)="병원",LEFT(TRIM(I170&amp;""),FIND(" ",TRIM(I170&amp;""))-1),LEFT(TRIM(I170&amp;""),FIND(" ",TRIM(I170&amp;""))-1)&amp;"병원")&amp;" "&amp;INDEX(코드표!$G$2:$G$101,MATCH(TRIM(RIGHT(SUBSTITUTE(TRIM(I170&amp;"")," ",REPT(" ",60)),60)),코드표!$F$2:$F$101,0)),"⚠"&amp;TRIM(I170&amp;""))),"⚠"&amp;TRIM(I170&amp;""))</f>
        <v/>
      </c>
      <c r="R170" s="10">
        <f>IFERROR(IF(TRIM(J170&amp;"")="","",IF(AND(ISNUMBER(FIND(" ",TRIM(J170&amp;""))),COUNTIF(코드표!$A$2:$A$21,IF(RIGHT(LEFT(TRIM(J170&amp;""),FIND(" ",TRIM(J170&amp;""))-1),2)="병원",LEFT(TRIM(J170&amp;""),FIND(" ",TRIM(J170&amp;""))-1),LEFT(TRIM(J170&amp;""),FIND(" ",TRIM(J170&amp;""))-1)&amp;"병원"))&gt;0,ISNUMBER(MATCH(TRIM(RIGHT(SUBSTITUTE(TRIM(J170&amp;"")," ",REPT(" ",60)),60)),코드표!$F$2:$F$101,0))),IF(RIGHT(LEFT(TRIM(J170&amp;""),FIND(" ",TRIM(J170&amp;""))-1),2)="병원",LEFT(TRIM(J170&amp;""),FIND(" ",TRIM(J170&amp;""))-1),LEFT(TRIM(J170&amp;""),FIND(" ",TRIM(J170&amp;""))-1)&amp;"병원")&amp;" "&amp;INDEX(코드표!$G$2:$G$101,MATCH(TRIM(RIGHT(SUBSTITUTE(TRIM(J170&amp;"")," ",REPT(" ",60)),60)),코드표!$F$2:$F$101,0)),"⚠"&amp;TRIM(J170&amp;""))),"⚠"&amp;TRIM(J170&amp;""))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",TRIM(E171&amp;""))),COUNTIF(코드표!$A$2:$A$21,IF(RIGHT(LEFT(TRIM(E171&amp;""),FIND(" ",TRIM(E171&amp;""))-1),2)="병원",LEFT(TRIM(E171&amp;""),FIND(" ",TRIM(E171&amp;""))-1),LEFT(TRIM(E171&amp;""),FIND(" ",TRIM(E171&amp;""))-1)&amp;"병원"))&gt;0,ISNUMBER(MATCH(TRIM(RIGHT(SUBSTITUTE(TRIM(E171&amp;"")," ",REPT(" ",60)),60)),코드표!$F$2:$F$101,0))),IF(RIGHT(LEFT(TRIM(E171&amp;""),FIND(" ",TRIM(E171&amp;""))-1),2)="병원",LEFT(TRIM(E171&amp;""),FIND(" ",TRIM(E171&amp;""))-1),LEFT(TRIM(E171&amp;""),FIND(" ",TRIM(E171&amp;""))-1)&amp;"병원")&amp;" "&amp;INDEX(코드표!$G$2:$G$101,MATCH(TRIM(RIGHT(SUBSTITUTE(TRIM(E171&amp;"")," ",REPT(" ",60)),60)),코드표!$F$2:$F$101,0)),"⚠"&amp;TRIM(E171&amp;""))),"⚠"&amp;TRIM(E171&amp;""))</f>
        <v/>
      </c>
      <c r="N171" s="10">
        <f>IFERROR(IF(TRIM(F171&amp;"")="","",IF(AND(ISNUMBER(FIND(" ",TRIM(F171&amp;""))),COUNTIF(코드표!$A$2:$A$21,IF(RIGHT(LEFT(TRIM(F171&amp;""),FIND(" ",TRIM(F171&amp;""))-1),2)="병원",LEFT(TRIM(F171&amp;""),FIND(" ",TRIM(F171&amp;""))-1),LEFT(TRIM(F171&amp;""),FIND(" ",TRIM(F171&amp;""))-1)&amp;"병원"))&gt;0,ISNUMBER(MATCH(TRIM(RIGHT(SUBSTITUTE(TRIM(F171&amp;"")," ",REPT(" ",60)),60)),코드표!$F$2:$F$101,0))),IF(RIGHT(LEFT(TRIM(F171&amp;""),FIND(" ",TRIM(F171&amp;""))-1),2)="병원",LEFT(TRIM(F171&amp;""),FIND(" ",TRIM(F171&amp;""))-1),LEFT(TRIM(F171&amp;""),FIND(" ",TRIM(F171&amp;""))-1)&amp;"병원")&amp;" "&amp;INDEX(코드표!$G$2:$G$101,MATCH(TRIM(RIGHT(SUBSTITUTE(TRIM(F171&amp;"")," ",REPT(" ",60)),60)),코드표!$F$2:$F$101,0)),"⚠"&amp;TRIM(F171&amp;""))),"⚠"&amp;TRIM(F171&amp;""))</f>
        <v/>
      </c>
      <c r="O171" s="10">
        <f>IFERROR(IF(TRIM(G171&amp;"")="","",IF(AND(ISNUMBER(FIND(" ",TRIM(G171&amp;""))),COUNTIF(코드표!$A$2:$A$21,IF(RIGHT(LEFT(TRIM(G171&amp;""),FIND(" ",TRIM(G171&amp;""))-1),2)="병원",LEFT(TRIM(G171&amp;""),FIND(" ",TRIM(G171&amp;""))-1),LEFT(TRIM(G171&amp;""),FIND(" ",TRIM(G171&amp;""))-1)&amp;"병원"))&gt;0,ISNUMBER(MATCH(TRIM(RIGHT(SUBSTITUTE(TRIM(G171&amp;"")," ",REPT(" ",60)),60)),코드표!$F$2:$F$101,0))),IF(RIGHT(LEFT(TRIM(G171&amp;""),FIND(" ",TRIM(G171&amp;""))-1),2)="병원",LEFT(TRIM(G171&amp;""),FIND(" ",TRIM(G171&amp;""))-1),LEFT(TRIM(G171&amp;""),FIND(" ",TRIM(G171&amp;""))-1)&amp;"병원")&amp;" "&amp;INDEX(코드표!$G$2:$G$101,MATCH(TRIM(RIGHT(SUBSTITUTE(TRIM(G171&amp;"")," ",REPT(" ",60)),60)),코드표!$F$2:$F$101,0)),"⚠"&amp;TRIM(G171&amp;""))),"⚠"&amp;TRIM(G171&amp;""))</f>
        <v/>
      </c>
      <c r="P171" s="10">
        <f>IFERROR(IF(TRIM(H171&amp;"")="","",IF(AND(ISNUMBER(FIND(" ",TRIM(H171&amp;""))),COUNTIF(코드표!$A$2:$A$21,IF(RIGHT(LEFT(TRIM(H171&amp;""),FIND(" ",TRIM(H171&amp;""))-1),2)="병원",LEFT(TRIM(H171&amp;""),FIND(" ",TRIM(H171&amp;""))-1),LEFT(TRIM(H171&amp;""),FIND(" ",TRIM(H171&amp;""))-1)&amp;"병원"))&gt;0,ISNUMBER(MATCH(TRIM(RIGHT(SUBSTITUTE(TRIM(H171&amp;"")," ",REPT(" ",60)),60)),코드표!$F$2:$F$101,0))),IF(RIGHT(LEFT(TRIM(H171&amp;""),FIND(" ",TRIM(H171&amp;""))-1),2)="병원",LEFT(TRIM(H171&amp;""),FIND(" ",TRIM(H171&amp;""))-1),LEFT(TRIM(H171&amp;""),FIND(" ",TRIM(H171&amp;""))-1)&amp;"병원")&amp;" "&amp;INDEX(코드표!$G$2:$G$101,MATCH(TRIM(RIGHT(SUBSTITUTE(TRIM(H171&amp;"")," ",REPT(" ",60)),60)),코드표!$F$2:$F$101,0)),"⚠"&amp;TRIM(H171&amp;""))),"⚠"&amp;TRIM(H171&amp;""))</f>
        <v/>
      </c>
      <c r="Q171" s="10">
        <f>IFERROR(IF(TRIM(I171&amp;"")="","",IF(AND(ISNUMBER(FIND(" ",TRIM(I171&amp;""))),COUNTIF(코드표!$A$2:$A$21,IF(RIGHT(LEFT(TRIM(I171&amp;""),FIND(" ",TRIM(I171&amp;""))-1),2)="병원",LEFT(TRIM(I171&amp;""),FIND(" ",TRIM(I171&amp;""))-1),LEFT(TRIM(I171&amp;""),FIND(" ",TRIM(I171&amp;""))-1)&amp;"병원"))&gt;0,ISNUMBER(MATCH(TRIM(RIGHT(SUBSTITUTE(TRIM(I171&amp;"")," ",REPT(" ",60)),60)),코드표!$F$2:$F$101,0))),IF(RIGHT(LEFT(TRIM(I171&amp;""),FIND(" ",TRIM(I171&amp;""))-1),2)="병원",LEFT(TRIM(I171&amp;""),FIND(" ",TRIM(I171&amp;""))-1),LEFT(TRIM(I171&amp;""),FIND(" ",TRIM(I171&amp;""))-1)&amp;"병원")&amp;" "&amp;INDEX(코드표!$G$2:$G$101,MATCH(TRIM(RIGHT(SUBSTITUTE(TRIM(I171&amp;"")," ",REPT(" ",60)),60)),코드표!$F$2:$F$101,0)),"⚠"&amp;TRIM(I171&amp;""))),"⚠"&amp;TRIM(I171&amp;""))</f>
        <v/>
      </c>
      <c r="R171" s="10">
        <f>IFERROR(IF(TRIM(J171&amp;"")="","",IF(AND(ISNUMBER(FIND(" ",TRIM(J171&amp;""))),COUNTIF(코드표!$A$2:$A$21,IF(RIGHT(LEFT(TRIM(J171&amp;""),FIND(" ",TRIM(J171&amp;""))-1),2)="병원",LEFT(TRIM(J171&amp;""),FIND(" ",TRIM(J171&amp;""))-1),LEFT(TRIM(J171&amp;""),FIND(" ",TRIM(J171&amp;""))-1)&amp;"병원"))&gt;0,ISNUMBER(MATCH(TRIM(RIGHT(SUBSTITUTE(TRIM(J171&amp;"")," ",REPT(" ",60)),60)),코드표!$F$2:$F$101,0))),IF(RIGHT(LEFT(TRIM(J171&amp;""),FIND(" ",TRIM(J171&amp;""))-1),2)="병원",LEFT(TRIM(J171&amp;""),FIND(" ",TRIM(J171&amp;""))-1),LEFT(TRIM(J171&amp;""),FIND(" ",TRIM(J171&amp;""))-1)&amp;"병원")&amp;" "&amp;INDEX(코드표!$G$2:$G$101,MATCH(TRIM(RIGHT(SUBSTITUTE(TRIM(J171&amp;"")," ",REPT(" ",60)),60)),코드표!$F$2:$F$101,0)),"⚠"&amp;TRIM(J171&amp;""))),"⚠"&amp;TRIM(J171&amp;""))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",TRIM(E172&amp;""))),COUNTIF(코드표!$A$2:$A$21,IF(RIGHT(LEFT(TRIM(E172&amp;""),FIND(" ",TRIM(E172&amp;""))-1),2)="병원",LEFT(TRIM(E172&amp;""),FIND(" ",TRIM(E172&amp;""))-1),LEFT(TRIM(E172&amp;""),FIND(" ",TRIM(E172&amp;""))-1)&amp;"병원"))&gt;0,ISNUMBER(MATCH(TRIM(RIGHT(SUBSTITUTE(TRIM(E172&amp;"")," ",REPT(" ",60)),60)),코드표!$F$2:$F$101,0))),IF(RIGHT(LEFT(TRIM(E172&amp;""),FIND(" ",TRIM(E172&amp;""))-1),2)="병원",LEFT(TRIM(E172&amp;""),FIND(" ",TRIM(E172&amp;""))-1),LEFT(TRIM(E172&amp;""),FIND(" ",TRIM(E172&amp;""))-1)&amp;"병원")&amp;" "&amp;INDEX(코드표!$G$2:$G$101,MATCH(TRIM(RIGHT(SUBSTITUTE(TRIM(E172&amp;"")," ",REPT(" ",60)),60)),코드표!$F$2:$F$101,0)),"⚠"&amp;TRIM(E172&amp;""))),"⚠"&amp;TRIM(E172&amp;""))</f>
        <v/>
      </c>
      <c r="N172" s="10">
        <f>IFERROR(IF(TRIM(F172&amp;"")="","",IF(AND(ISNUMBER(FIND(" ",TRIM(F172&amp;""))),COUNTIF(코드표!$A$2:$A$21,IF(RIGHT(LEFT(TRIM(F172&amp;""),FIND(" ",TRIM(F172&amp;""))-1),2)="병원",LEFT(TRIM(F172&amp;""),FIND(" ",TRIM(F172&amp;""))-1),LEFT(TRIM(F172&amp;""),FIND(" ",TRIM(F172&amp;""))-1)&amp;"병원"))&gt;0,ISNUMBER(MATCH(TRIM(RIGHT(SUBSTITUTE(TRIM(F172&amp;"")," ",REPT(" ",60)),60)),코드표!$F$2:$F$101,0))),IF(RIGHT(LEFT(TRIM(F172&amp;""),FIND(" ",TRIM(F172&amp;""))-1),2)="병원",LEFT(TRIM(F172&amp;""),FIND(" ",TRIM(F172&amp;""))-1),LEFT(TRIM(F172&amp;""),FIND(" ",TRIM(F172&amp;""))-1)&amp;"병원")&amp;" "&amp;INDEX(코드표!$G$2:$G$101,MATCH(TRIM(RIGHT(SUBSTITUTE(TRIM(F172&amp;"")," ",REPT(" ",60)),60)),코드표!$F$2:$F$101,0)),"⚠"&amp;TRIM(F172&amp;""))),"⚠"&amp;TRIM(F172&amp;""))</f>
        <v/>
      </c>
      <c r="O172" s="10">
        <f>IFERROR(IF(TRIM(G172&amp;"")="","",IF(AND(ISNUMBER(FIND(" ",TRIM(G172&amp;""))),COUNTIF(코드표!$A$2:$A$21,IF(RIGHT(LEFT(TRIM(G172&amp;""),FIND(" ",TRIM(G172&amp;""))-1),2)="병원",LEFT(TRIM(G172&amp;""),FIND(" ",TRIM(G172&amp;""))-1),LEFT(TRIM(G172&amp;""),FIND(" ",TRIM(G172&amp;""))-1)&amp;"병원"))&gt;0,ISNUMBER(MATCH(TRIM(RIGHT(SUBSTITUTE(TRIM(G172&amp;"")," ",REPT(" ",60)),60)),코드표!$F$2:$F$101,0))),IF(RIGHT(LEFT(TRIM(G172&amp;""),FIND(" ",TRIM(G172&amp;""))-1),2)="병원",LEFT(TRIM(G172&amp;""),FIND(" ",TRIM(G172&amp;""))-1),LEFT(TRIM(G172&amp;""),FIND(" ",TRIM(G172&amp;""))-1)&amp;"병원")&amp;" "&amp;INDEX(코드표!$G$2:$G$101,MATCH(TRIM(RIGHT(SUBSTITUTE(TRIM(G172&amp;"")," ",REPT(" ",60)),60)),코드표!$F$2:$F$101,0)),"⚠"&amp;TRIM(G172&amp;""))),"⚠"&amp;TRIM(G172&amp;""))</f>
        <v/>
      </c>
      <c r="P172" s="10">
        <f>IFERROR(IF(TRIM(H172&amp;"")="","",IF(AND(ISNUMBER(FIND(" ",TRIM(H172&amp;""))),COUNTIF(코드표!$A$2:$A$21,IF(RIGHT(LEFT(TRIM(H172&amp;""),FIND(" ",TRIM(H172&amp;""))-1),2)="병원",LEFT(TRIM(H172&amp;""),FIND(" ",TRIM(H172&amp;""))-1),LEFT(TRIM(H172&amp;""),FIND(" ",TRIM(H172&amp;""))-1)&amp;"병원"))&gt;0,ISNUMBER(MATCH(TRIM(RIGHT(SUBSTITUTE(TRIM(H172&amp;"")," ",REPT(" ",60)),60)),코드표!$F$2:$F$101,0))),IF(RIGHT(LEFT(TRIM(H172&amp;""),FIND(" ",TRIM(H172&amp;""))-1),2)="병원",LEFT(TRIM(H172&amp;""),FIND(" ",TRIM(H172&amp;""))-1),LEFT(TRIM(H172&amp;""),FIND(" ",TRIM(H172&amp;""))-1)&amp;"병원")&amp;" "&amp;INDEX(코드표!$G$2:$G$101,MATCH(TRIM(RIGHT(SUBSTITUTE(TRIM(H172&amp;"")," ",REPT(" ",60)),60)),코드표!$F$2:$F$101,0)),"⚠"&amp;TRIM(H172&amp;""))),"⚠"&amp;TRIM(H172&amp;""))</f>
        <v/>
      </c>
      <c r="Q172" s="10">
        <f>IFERROR(IF(TRIM(I172&amp;"")="","",IF(AND(ISNUMBER(FIND(" ",TRIM(I172&amp;""))),COUNTIF(코드표!$A$2:$A$21,IF(RIGHT(LEFT(TRIM(I172&amp;""),FIND(" ",TRIM(I172&amp;""))-1),2)="병원",LEFT(TRIM(I172&amp;""),FIND(" ",TRIM(I172&amp;""))-1),LEFT(TRIM(I172&amp;""),FIND(" ",TRIM(I172&amp;""))-1)&amp;"병원"))&gt;0,ISNUMBER(MATCH(TRIM(RIGHT(SUBSTITUTE(TRIM(I172&amp;"")," ",REPT(" ",60)),60)),코드표!$F$2:$F$101,0))),IF(RIGHT(LEFT(TRIM(I172&amp;""),FIND(" ",TRIM(I172&amp;""))-1),2)="병원",LEFT(TRIM(I172&amp;""),FIND(" ",TRIM(I172&amp;""))-1),LEFT(TRIM(I172&amp;""),FIND(" ",TRIM(I172&amp;""))-1)&amp;"병원")&amp;" "&amp;INDEX(코드표!$G$2:$G$101,MATCH(TRIM(RIGHT(SUBSTITUTE(TRIM(I172&amp;"")," ",REPT(" ",60)),60)),코드표!$F$2:$F$101,0)),"⚠"&amp;TRIM(I172&amp;""))),"⚠"&amp;TRIM(I172&amp;""))</f>
        <v/>
      </c>
      <c r="R172" s="10">
        <f>IFERROR(IF(TRIM(J172&amp;"")="","",IF(AND(ISNUMBER(FIND(" ",TRIM(J172&amp;""))),COUNTIF(코드표!$A$2:$A$21,IF(RIGHT(LEFT(TRIM(J172&amp;""),FIND(" ",TRIM(J172&amp;""))-1),2)="병원",LEFT(TRIM(J172&amp;""),FIND(" ",TRIM(J172&amp;""))-1),LEFT(TRIM(J172&amp;""),FIND(" ",TRIM(J172&amp;""))-1)&amp;"병원"))&gt;0,ISNUMBER(MATCH(TRIM(RIGHT(SUBSTITUTE(TRIM(J172&amp;"")," ",REPT(" ",60)),60)),코드표!$F$2:$F$101,0))),IF(RIGHT(LEFT(TRIM(J172&amp;""),FIND(" ",TRIM(J172&amp;""))-1),2)="병원",LEFT(TRIM(J172&amp;""),FIND(" ",TRIM(J172&amp;""))-1),LEFT(TRIM(J172&amp;""),FIND(" ",TRIM(J172&amp;""))-1)&amp;"병원")&amp;" "&amp;INDEX(코드표!$G$2:$G$101,MATCH(TRIM(RIGHT(SUBSTITUTE(TRIM(J172&amp;"")," ",REPT(" ",60)),60)),코드표!$F$2:$F$101,0)),"⚠"&amp;TRIM(J172&amp;""))),"⚠"&amp;TRIM(J172&amp;""))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",TRIM(E173&amp;""))),COUNTIF(코드표!$A$2:$A$21,IF(RIGHT(LEFT(TRIM(E173&amp;""),FIND(" ",TRIM(E173&amp;""))-1),2)="병원",LEFT(TRIM(E173&amp;""),FIND(" ",TRIM(E173&amp;""))-1),LEFT(TRIM(E173&amp;""),FIND(" ",TRIM(E173&amp;""))-1)&amp;"병원"))&gt;0,ISNUMBER(MATCH(TRIM(RIGHT(SUBSTITUTE(TRIM(E173&amp;"")," ",REPT(" ",60)),60)),코드표!$F$2:$F$101,0))),IF(RIGHT(LEFT(TRIM(E173&amp;""),FIND(" ",TRIM(E173&amp;""))-1),2)="병원",LEFT(TRIM(E173&amp;""),FIND(" ",TRIM(E173&amp;""))-1),LEFT(TRIM(E173&amp;""),FIND(" ",TRIM(E173&amp;""))-1)&amp;"병원")&amp;" "&amp;INDEX(코드표!$G$2:$G$101,MATCH(TRIM(RIGHT(SUBSTITUTE(TRIM(E173&amp;"")," ",REPT(" ",60)),60)),코드표!$F$2:$F$101,0)),"⚠"&amp;TRIM(E173&amp;""))),"⚠"&amp;TRIM(E173&amp;""))</f>
        <v/>
      </c>
      <c r="N173" s="10">
        <f>IFERROR(IF(TRIM(F173&amp;"")="","",IF(AND(ISNUMBER(FIND(" ",TRIM(F173&amp;""))),COUNTIF(코드표!$A$2:$A$21,IF(RIGHT(LEFT(TRIM(F173&amp;""),FIND(" ",TRIM(F173&amp;""))-1),2)="병원",LEFT(TRIM(F173&amp;""),FIND(" ",TRIM(F173&amp;""))-1),LEFT(TRIM(F173&amp;""),FIND(" ",TRIM(F173&amp;""))-1)&amp;"병원"))&gt;0,ISNUMBER(MATCH(TRIM(RIGHT(SUBSTITUTE(TRIM(F173&amp;"")," ",REPT(" ",60)),60)),코드표!$F$2:$F$101,0))),IF(RIGHT(LEFT(TRIM(F173&amp;""),FIND(" ",TRIM(F173&amp;""))-1),2)="병원",LEFT(TRIM(F173&amp;""),FIND(" ",TRIM(F173&amp;""))-1),LEFT(TRIM(F173&amp;""),FIND(" ",TRIM(F173&amp;""))-1)&amp;"병원")&amp;" "&amp;INDEX(코드표!$G$2:$G$101,MATCH(TRIM(RIGHT(SUBSTITUTE(TRIM(F173&amp;"")," ",REPT(" ",60)),60)),코드표!$F$2:$F$101,0)),"⚠"&amp;TRIM(F173&amp;""))),"⚠"&amp;TRIM(F173&amp;""))</f>
        <v/>
      </c>
      <c r="O173" s="10">
        <f>IFERROR(IF(TRIM(G173&amp;"")="","",IF(AND(ISNUMBER(FIND(" ",TRIM(G173&amp;""))),COUNTIF(코드표!$A$2:$A$21,IF(RIGHT(LEFT(TRIM(G173&amp;""),FIND(" ",TRIM(G173&amp;""))-1),2)="병원",LEFT(TRIM(G173&amp;""),FIND(" ",TRIM(G173&amp;""))-1),LEFT(TRIM(G173&amp;""),FIND(" ",TRIM(G173&amp;""))-1)&amp;"병원"))&gt;0,ISNUMBER(MATCH(TRIM(RIGHT(SUBSTITUTE(TRIM(G173&amp;"")," ",REPT(" ",60)),60)),코드표!$F$2:$F$101,0))),IF(RIGHT(LEFT(TRIM(G173&amp;""),FIND(" ",TRIM(G173&amp;""))-1),2)="병원",LEFT(TRIM(G173&amp;""),FIND(" ",TRIM(G173&amp;""))-1),LEFT(TRIM(G173&amp;""),FIND(" ",TRIM(G173&amp;""))-1)&amp;"병원")&amp;" "&amp;INDEX(코드표!$G$2:$G$101,MATCH(TRIM(RIGHT(SUBSTITUTE(TRIM(G173&amp;"")," ",REPT(" ",60)),60)),코드표!$F$2:$F$101,0)),"⚠"&amp;TRIM(G173&amp;""))),"⚠"&amp;TRIM(G173&amp;""))</f>
        <v/>
      </c>
      <c r="P173" s="10">
        <f>IFERROR(IF(TRIM(H173&amp;"")="","",IF(AND(ISNUMBER(FIND(" ",TRIM(H173&amp;""))),COUNTIF(코드표!$A$2:$A$21,IF(RIGHT(LEFT(TRIM(H173&amp;""),FIND(" ",TRIM(H173&amp;""))-1),2)="병원",LEFT(TRIM(H173&amp;""),FIND(" ",TRIM(H173&amp;""))-1),LEFT(TRIM(H173&amp;""),FIND(" ",TRIM(H173&amp;""))-1)&amp;"병원"))&gt;0,ISNUMBER(MATCH(TRIM(RIGHT(SUBSTITUTE(TRIM(H173&amp;"")," ",REPT(" ",60)),60)),코드표!$F$2:$F$101,0))),IF(RIGHT(LEFT(TRIM(H173&amp;""),FIND(" ",TRIM(H173&amp;""))-1),2)="병원",LEFT(TRIM(H173&amp;""),FIND(" ",TRIM(H173&amp;""))-1),LEFT(TRIM(H173&amp;""),FIND(" ",TRIM(H173&amp;""))-1)&amp;"병원")&amp;" "&amp;INDEX(코드표!$G$2:$G$101,MATCH(TRIM(RIGHT(SUBSTITUTE(TRIM(H173&amp;"")," ",REPT(" ",60)),60)),코드표!$F$2:$F$101,0)),"⚠"&amp;TRIM(H173&amp;""))),"⚠"&amp;TRIM(H173&amp;""))</f>
        <v/>
      </c>
      <c r="Q173" s="10">
        <f>IFERROR(IF(TRIM(I173&amp;"")="","",IF(AND(ISNUMBER(FIND(" ",TRIM(I173&amp;""))),COUNTIF(코드표!$A$2:$A$21,IF(RIGHT(LEFT(TRIM(I173&amp;""),FIND(" ",TRIM(I173&amp;""))-1),2)="병원",LEFT(TRIM(I173&amp;""),FIND(" ",TRIM(I173&amp;""))-1),LEFT(TRIM(I173&amp;""),FIND(" ",TRIM(I173&amp;""))-1)&amp;"병원"))&gt;0,ISNUMBER(MATCH(TRIM(RIGHT(SUBSTITUTE(TRIM(I173&amp;"")," ",REPT(" ",60)),60)),코드표!$F$2:$F$101,0))),IF(RIGHT(LEFT(TRIM(I173&amp;""),FIND(" ",TRIM(I173&amp;""))-1),2)="병원",LEFT(TRIM(I173&amp;""),FIND(" ",TRIM(I173&amp;""))-1),LEFT(TRIM(I173&amp;""),FIND(" ",TRIM(I173&amp;""))-1)&amp;"병원")&amp;" "&amp;INDEX(코드표!$G$2:$G$101,MATCH(TRIM(RIGHT(SUBSTITUTE(TRIM(I173&amp;"")," ",REPT(" ",60)),60)),코드표!$F$2:$F$101,0)),"⚠"&amp;TRIM(I173&amp;""))),"⚠"&amp;TRIM(I173&amp;""))</f>
        <v/>
      </c>
      <c r="R173" s="10">
        <f>IFERROR(IF(TRIM(J173&amp;"")="","",IF(AND(ISNUMBER(FIND(" ",TRIM(J173&amp;""))),COUNTIF(코드표!$A$2:$A$21,IF(RIGHT(LEFT(TRIM(J173&amp;""),FIND(" ",TRIM(J173&amp;""))-1),2)="병원",LEFT(TRIM(J173&amp;""),FIND(" ",TRIM(J173&amp;""))-1),LEFT(TRIM(J173&amp;""),FIND(" ",TRIM(J173&amp;""))-1)&amp;"병원"))&gt;0,ISNUMBER(MATCH(TRIM(RIGHT(SUBSTITUTE(TRIM(J173&amp;"")," ",REPT(" ",60)),60)),코드표!$F$2:$F$101,0))),IF(RIGHT(LEFT(TRIM(J173&amp;""),FIND(" ",TRIM(J173&amp;""))-1),2)="병원",LEFT(TRIM(J173&amp;""),FIND(" ",TRIM(J173&amp;""))-1),LEFT(TRIM(J173&amp;""),FIND(" ",TRIM(J173&amp;""))-1)&amp;"병원")&amp;" "&amp;INDEX(코드표!$G$2:$G$101,MATCH(TRIM(RIGHT(SUBSTITUTE(TRIM(J173&amp;"")," ",REPT(" ",60)),60)),코드표!$F$2:$F$101,0)),"⚠"&amp;TRIM(J173&amp;""))),"⚠"&amp;TRIM(J173&amp;""))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",TRIM(E174&amp;""))),COUNTIF(코드표!$A$2:$A$21,IF(RIGHT(LEFT(TRIM(E174&amp;""),FIND(" ",TRIM(E174&amp;""))-1),2)="병원",LEFT(TRIM(E174&amp;""),FIND(" ",TRIM(E174&amp;""))-1),LEFT(TRIM(E174&amp;""),FIND(" ",TRIM(E174&amp;""))-1)&amp;"병원"))&gt;0,ISNUMBER(MATCH(TRIM(RIGHT(SUBSTITUTE(TRIM(E174&amp;"")," ",REPT(" ",60)),60)),코드표!$F$2:$F$101,0))),IF(RIGHT(LEFT(TRIM(E174&amp;""),FIND(" ",TRIM(E174&amp;""))-1),2)="병원",LEFT(TRIM(E174&amp;""),FIND(" ",TRIM(E174&amp;""))-1),LEFT(TRIM(E174&amp;""),FIND(" ",TRIM(E174&amp;""))-1)&amp;"병원")&amp;" "&amp;INDEX(코드표!$G$2:$G$101,MATCH(TRIM(RIGHT(SUBSTITUTE(TRIM(E174&amp;"")," ",REPT(" ",60)),60)),코드표!$F$2:$F$101,0)),"⚠"&amp;TRIM(E174&amp;""))),"⚠"&amp;TRIM(E174&amp;""))</f>
        <v/>
      </c>
      <c r="N174" s="10">
        <f>IFERROR(IF(TRIM(F174&amp;"")="","",IF(AND(ISNUMBER(FIND(" ",TRIM(F174&amp;""))),COUNTIF(코드표!$A$2:$A$21,IF(RIGHT(LEFT(TRIM(F174&amp;""),FIND(" ",TRIM(F174&amp;""))-1),2)="병원",LEFT(TRIM(F174&amp;""),FIND(" ",TRIM(F174&amp;""))-1),LEFT(TRIM(F174&amp;""),FIND(" ",TRIM(F174&amp;""))-1)&amp;"병원"))&gt;0,ISNUMBER(MATCH(TRIM(RIGHT(SUBSTITUTE(TRIM(F174&amp;"")," ",REPT(" ",60)),60)),코드표!$F$2:$F$101,0))),IF(RIGHT(LEFT(TRIM(F174&amp;""),FIND(" ",TRIM(F174&amp;""))-1),2)="병원",LEFT(TRIM(F174&amp;""),FIND(" ",TRIM(F174&amp;""))-1),LEFT(TRIM(F174&amp;""),FIND(" ",TRIM(F174&amp;""))-1)&amp;"병원")&amp;" "&amp;INDEX(코드표!$G$2:$G$101,MATCH(TRIM(RIGHT(SUBSTITUTE(TRIM(F174&amp;"")," ",REPT(" ",60)),60)),코드표!$F$2:$F$101,0)),"⚠"&amp;TRIM(F174&amp;""))),"⚠"&amp;TRIM(F174&amp;""))</f>
        <v/>
      </c>
      <c r="O174" s="10">
        <f>IFERROR(IF(TRIM(G174&amp;"")="","",IF(AND(ISNUMBER(FIND(" ",TRIM(G174&amp;""))),COUNTIF(코드표!$A$2:$A$21,IF(RIGHT(LEFT(TRIM(G174&amp;""),FIND(" ",TRIM(G174&amp;""))-1),2)="병원",LEFT(TRIM(G174&amp;""),FIND(" ",TRIM(G174&amp;""))-1),LEFT(TRIM(G174&amp;""),FIND(" ",TRIM(G174&amp;""))-1)&amp;"병원"))&gt;0,ISNUMBER(MATCH(TRIM(RIGHT(SUBSTITUTE(TRIM(G174&amp;"")," ",REPT(" ",60)),60)),코드표!$F$2:$F$101,0))),IF(RIGHT(LEFT(TRIM(G174&amp;""),FIND(" ",TRIM(G174&amp;""))-1),2)="병원",LEFT(TRIM(G174&amp;""),FIND(" ",TRIM(G174&amp;""))-1),LEFT(TRIM(G174&amp;""),FIND(" ",TRIM(G174&amp;""))-1)&amp;"병원")&amp;" "&amp;INDEX(코드표!$G$2:$G$101,MATCH(TRIM(RIGHT(SUBSTITUTE(TRIM(G174&amp;"")," ",REPT(" ",60)),60)),코드표!$F$2:$F$101,0)),"⚠"&amp;TRIM(G174&amp;""))),"⚠"&amp;TRIM(G174&amp;""))</f>
        <v/>
      </c>
      <c r="P174" s="10">
        <f>IFERROR(IF(TRIM(H174&amp;"")="","",IF(AND(ISNUMBER(FIND(" ",TRIM(H174&amp;""))),COUNTIF(코드표!$A$2:$A$21,IF(RIGHT(LEFT(TRIM(H174&amp;""),FIND(" ",TRIM(H174&amp;""))-1),2)="병원",LEFT(TRIM(H174&amp;""),FIND(" ",TRIM(H174&amp;""))-1),LEFT(TRIM(H174&amp;""),FIND(" ",TRIM(H174&amp;""))-1)&amp;"병원"))&gt;0,ISNUMBER(MATCH(TRIM(RIGHT(SUBSTITUTE(TRIM(H174&amp;"")," ",REPT(" ",60)),60)),코드표!$F$2:$F$101,0))),IF(RIGHT(LEFT(TRIM(H174&amp;""),FIND(" ",TRIM(H174&amp;""))-1),2)="병원",LEFT(TRIM(H174&amp;""),FIND(" ",TRIM(H174&amp;""))-1),LEFT(TRIM(H174&amp;""),FIND(" ",TRIM(H174&amp;""))-1)&amp;"병원")&amp;" "&amp;INDEX(코드표!$G$2:$G$101,MATCH(TRIM(RIGHT(SUBSTITUTE(TRIM(H174&amp;"")," ",REPT(" ",60)),60)),코드표!$F$2:$F$101,0)),"⚠"&amp;TRIM(H174&amp;""))),"⚠"&amp;TRIM(H174&amp;""))</f>
        <v/>
      </c>
      <c r="Q174" s="10">
        <f>IFERROR(IF(TRIM(I174&amp;"")="","",IF(AND(ISNUMBER(FIND(" ",TRIM(I174&amp;""))),COUNTIF(코드표!$A$2:$A$21,IF(RIGHT(LEFT(TRIM(I174&amp;""),FIND(" ",TRIM(I174&amp;""))-1),2)="병원",LEFT(TRIM(I174&amp;""),FIND(" ",TRIM(I174&amp;""))-1),LEFT(TRIM(I174&amp;""),FIND(" ",TRIM(I174&amp;""))-1)&amp;"병원"))&gt;0,ISNUMBER(MATCH(TRIM(RIGHT(SUBSTITUTE(TRIM(I174&amp;"")," ",REPT(" ",60)),60)),코드표!$F$2:$F$101,0))),IF(RIGHT(LEFT(TRIM(I174&amp;""),FIND(" ",TRIM(I174&amp;""))-1),2)="병원",LEFT(TRIM(I174&amp;""),FIND(" ",TRIM(I174&amp;""))-1),LEFT(TRIM(I174&amp;""),FIND(" ",TRIM(I174&amp;""))-1)&amp;"병원")&amp;" "&amp;INDEX(코드표!$G$2:$G$101,MATCH(TRIM(RIGHT(SUBSTITUTE(TRIM(I174&amp;"")," ",REPT(" ",60)),60)),코드표!$F$2:$F$101,0)),"⚠"&amp;TRIM(I174&amp;""))),"⚠"&amp;TRIM(I174&amp;""))</f>
        <v/>
      </c>
      <c r="R174" s="10">
        <f>IFERROR(IF(TRIM(J174&amp;"")="","",IF(AND(ISNUMBER(FIND(" ",TRIM(J174&amp;""))),COUNTIF(코드표!$A$2:$A$21,IF(RIGHT(LEFT(TRIM(J174&amp;""),FIND(" ",TRIM(J174&amp;""))-1),2)="병원",LEFT(TRIM(J174&amp;""),FIND(" ",TRIM(J174&amp;""))-1),LEFT(TRIM(J174&amp;""),FIND(" ",TRIM(J174&amp;""))-1)&amp;"병원"))&gt;0,ISNUMBER(MATCH(TRIM(RIGHT(SUBSTITUTE(TRIM(J174&amp;"")," ",REPT(" ",60)),60)),코드표!$F$2:$F$101,0))),IF(RIGHT(LEFT(TRIM(J174&amp;""),FIND(" ",TRIM(J174&amp;""))-1),2)="병원",LEFT(TRIM(J174&amp;""),FIND(" ",TRIM(J174&amp;""))-1),LEFT(TRIM(J174&amp;""),FIND(" ",TRIM(J174&amp;""))-1)&amp;"병원")&amp;" "&amp;INDEX(코드표!$G$2:$G$101,MATCH(TRIM(RIGHT(SUBSTITUTE(TRIM(J174&amp;"")," ",REPT(" ",60)),60)),코드표!$F$2:$F$101,0)),"⚠"&amp;TRIM(J174&amp;""))),"⚠"&amp;TRIM(J174&amp;""))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",TRIM(E175&amp;""))),COUNTIF(코드표!$A$2:$A$21,IF(RIGHT(LEFT(TRIM(E175&amp;""),FIND(" ",TRIM(E175&amp;""))-1),2)="병원",LEFT(TRIM(E175&amp;""),FIND(" ",TRIM(E175&amp;""))-1),LEFT(TRIM(E175&amp;""),FIND(" ",TRIM(E175&amp;""))-1)&amp;"병원"))&gt;0,ISNUMBER(MATCH(TRIM(RIGHT(SUBSTITUTE(TRIM(E175&amp;"")," ",REPT(" ",60)),60)),코드표!$F$2:$F$101,0))),IF(RIGHT(LEFT(TRIM(E175&amp;""),FIND(" ",TRIM(E175&amp;""))-1),2)="병원",LEFT(TRIM(E175&amp;""),FIND(" ",TRIM(E175&amp;""))-1),LEFT(TRIM(E175&amp;""),FIND(" ",TRIM(E175&amp;""))-1)&amp;"병원")&amp;" "&amp;INDEX(코드표!$G$2:$G$101,MATCH(TRIM(RIGHT(SUBSTITUTE(TRIM(E175&amp;"")," ",REPT(" ",60)),60)),코드표!$F$2:$F$101,0)),"⚠"&amp;TRIM(E175&amp;""))),"⚠"&amp;TRIM(E175&amp;""))</f>
        <v/>
      </c>
      <c r="N175" s="10">
        <f>IFERROR(IF(TRIM(F175&amp;"")="","",IF(AND(ISNUMBER(FIND(" ",TRIM(F175&amp;""))),COUNTIF(코드표!$A$2:$A$21,IF(RIGHT(LEFT(TRIM(F175&amp;""),FIND(" ",TRIM(F175&amp;""))-1),2)="병원",LEFT(TRIM(F175&amp;""),FIND(" ",TRIM(F175&amp;""))-1),LEFT(TRIM(F175&amp;""),FIND(" ",TRIM(F175&amp;""))-1)&amp;"병원"))&gt;0,ISNUMBER(MATCH(TRIM(RIGHT(SUBSTITUTE(TRIM(F175&amp;"")," ",REPT(" ",60)),60)),코드표!$F$2:$F$101,0))),IF(RIGHT(LEFT(TRIM(F175&amp;""),FIND(" ",TRIM(F175&amp;""))-1),2)="병원",LEFT(TRIM(F175&amp;""),FIND(" ",TRIM(F175&amp;""))-1),LEFT(TRIM(F175&amp;""),FIND(" ",TRIM(F175&amp;""))-1)&amp;"병원")&amp;" "&amp;INDEX(코드표!$G$2:$G$101,MATCH(TRIM(RIGHT(SUBSTITUTE(TRIM(F175&amp;"")," ",REPT(" ",60)),60)),코드표!$F$2:$F$101,0)),"⚠"&amp;TRIM(F175&amp;""))),"⚠"&amp;TRIM(F175&amp;""))</f>
        <v/>
      </c>
      <c r="O175" s="10">
        <f>IFERROR(IF(TRIM(G175&amp;"")="","",IF(AND(ISNUMBER(FIND(" ",TRIM(G175&amp;""))),COUNTIF(코드표!$A$2:$A$21,IF(RIGHT(LEFT(TRIM(G175&amp;""),FIND(" ",TRIM(G175&amp;""))-1),2)="병원",LEFT(TRIM(G175&amp;""),FIND(" ",TRIM(G175&amp;""))-1),LEFT(TRIM(G175&amp;""),FIND(" ",TRIM(G175&amp;""))-1)&amp;"병원"))&gt;0,ISNUMBER(MATCH(TRIM(RIGHT(SUBSTITUTE(TRIM(G175&amp;"")," ",REPT(" ",60)),60)),코드표!$F$2:$F$101,0))),IF(RIGHT(LEFT(TRIM(G175&amp;""),FIND(" ",TRIM(G175&amp;""))-1),2)="병원",LEFT(TRIM(G175&amp;""),FIND(" ",TRIM(G175&amp;""))-1),LEFT(TRIM(G175&amp;""),FIND(" ",TRIM(G175&amp;""))-1)&amp;"병원")&amp;" "&amp;INDEX(코드표!$G$2:$G$101,MATCH(TRIM(RIGHT(SUBSTITUTE(TRIM(G175&amp;"")," ",REPT(" ",60)),60)),코드표!$F$2:$F$101,0)),"⚠"&amp;TRIM(G175&amp;""))),"⚠"&amp;TRIM(G175&amp;""))</f>
        <v/>
      </c>
      <c r="P175" s="10">
        <f>IFERROR(IF(TRIM(H175&amp;"")="","",IF(AND(ISNUMBER(FIND(" ",TRIM(H175&amp;""))),COUNTIF(코드표!$A$2:$A$21,IF(RIGHT(LEFT(TRIM(H175&amp;""),FIND(" ",TRIM(H175&amp;""))-1),2)="병원",LEFT(TRIM(H175&amp;""),FIND(" ",TRIM(H175&amp;""))-1),LEFT(TRIM(H175&amp;""),FIND(" ",TRIM(H175&amp;""))-1)&amp;"병원"))&gt;0,ISNUMBER(MATCH(TRIM(RIGHT(SUBSTITUTE(TRIM(H175&amp;"")," ",REPT(" ",60)),60)),코드표!$F$2:$F$101,0))),IF(RIGHT(LEFT(TRIM(H175&amp;""),FIND(" ",TRIM(H175&amp;""))-1),2)="병원",LEFT(TRIM(H175&amp;""),FIND(" ",TRIM(H175&amp;""))-1),LEFT(TRIM(H175&amp;""),FIND(" ",TRIM(H175&amp;""))-1)&amp;"병원")&amp;" "&amp;INDEX(코드표!$G$2:$G$101,MATCH(TRIM(RIGHT(SUBSTITUTE(TRIM(H175&amp;"")," ",REPT(" ",60)),60)),코드표!$F$2:$F$101,0)),"⚠"&amp;TRIM(H175&amp;""))),"⚠"&amp;TRIM(H175&amp;""))</f>
        <v/>
      </c>
      <c r="Q175" s="10">
        <f>IFERROR(IF(TRIM(I175&amp;"")="","",IF(AND(ISNUMBER(FIND(" ",TRIM(I175&amp;""))),COUNTIF(코드표!$A$2:$A$21,IF(RIGHT(LEFT(TRIM(I175&amp;""),FIND(" ",TRIM(I175&amp;""))-1),2)="병원",LEFT(TRIM(I175&amp;""),FIND(" ",TRIM(I175&amp;""))-1),LEFT(TRIM(I175&amp;""),FIND(" ",TRIM(I175&amp;""))-1)&amp;"병원"))&gt;0,ISNUMBER(MATCH(TRIM(RIGHT(SUBSTITUTE(TRIM(I175&amp;"")," ",REPT(" ",60)),60)),코드표!$F$2:$F$101,0))),IF(RIGHT(LEFT(TRIM(I175&amp;""),FIND(" ",TRIM(I175&amp;""))-1),2)="병원",LEFT(TRIM(I175&amp;""),FIND(" ",TRIM(I175&amp;""))-1),LEFT(TRIM(I175&amp;""),FIND(" ",TRIM(I175&amp;""))-1)&amp;"병원")&amp;" "&amp;INDEX(코드표!$G$2:$G$101,MATCH(TRIM(RIGHT(SUBSTITUTE(TRIM(I175&amp;"")," ",REPT(" ",60)),60)),코드표!$F$2:$F$101,0)),"⚠"&amp;TRIM(I175&amp;""))),"⚠"&amp;TRIM(I175&amp;""))</f>
        <v/>
      </c>
      <c r="R175" s="10">
        <f>IFERROR(IF(TRIM(J175&amp;"")="","",IF(AND(ISNUMBER(FIND(" ",TRIM(J175&amp;""))),COUNTIF(코드표!$A$2:$A$21,IF(RIGHT(LEFT(TRIM(J175&amp;""),FIND(" ",TRIM(J175&amp;""))-1),2)="병원",LEFT(TRIM(J175&amp;""),FIND(" ",TRIM(J175&amp;""))-1),LEFT(TRIM(J175&amp;""),FIND(" ",TRIM(J175&amp;""))-1)&amp;"병원"))&gt;0,ISNUMBER(MATCH(TRIM(RIGHT(SUBSTITUTE(TRIM(J175&amp;"")," ",REPT(" ",60)),60)),코드표!$F$2:$F$101,0))),IF(RIGHT(LEFT(TRIM(J175&amp;""),FIND(" ",TRIM(J175&amp;""))-1),2)="병원",LEFT(TRIM(J175&amp;""),FIND(" ",TRIM(J175&amp;""))-1),LEFT(TRIM(J175&amp;""),FIND(" ",TRIM(J175&amp;""))-1)&amp;"병원")&amp;" "&amp;INDEX(코드표!$G$2:$G$101,MATCH(TRIM(RIGHT(SUBSTITUTE(TRIM(J175&amp;"")," ",REPT(" ",60)),60)),코드표!$F$2:$F$101,0)),"⚠"&amp;TRIM(J175&amp;""))),"⚠"&amp;TRIM(J175&amp;""))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",TRIM(E176&amp;""))),COUNTIF(코드표!$A$2:$A$21,IF(RIGHT(LEFT(TRIM(E176&amp;""),FIND(" ",TRIM(E176&amp;""))-1),2)="병원",LEFT(TRIM(E176&amp;""),FIND(" ",TRIM(E176&amp;""))-1),LEFT(TRIM(E176&amp;""),FIND(" ",TRIM(E176&amp;""))-1)&amp;"병원"))&gt;0,ISNUMBER(MATCH(TRIM(RIGHT(SUBSTITUTE(TRIM(E176&amp;"")," ",REPT(" ",60)),60)),코드표!$F$2:$F$101,0))),IF(RIGHT(LEFT(TRIM(E176&amp;""),FIND(" ",TRIM(E176&amp;""))-1),2)="병원",LEFT(TRIM(E176&amp;""),FIND(" ",TRIM(E176&amp;""))-1),LEFT(TRIM(E176&amp;""),FIND(" ",TRIM(E176&amp;""))-1)&amp;"병원")&amp;" "&amp;INDEX(코드표!$G$2:$G$101,MATCH(TRIM(RIGHT(SUBSTITUTE(TRIM(E176&amp;"")," ",REPT(" ",60)),60)),코드표!$F$2:$F$101,0)),"⚠"&amp;TRIM(E176&amp;""))),"⚠"&amp;TRIM(E176&amp;""))</f>
        <v/>
      </c>
      <c r="N176" s="10">
        <f>IFERROR(IF(TRIM(F176&amp;"")="","",IF(AND(ISNUMBER(FIND(" ",TRIM(F176&amp;""))),COUNTIF(코드표!$A$2:$A$21,IF(RIGHT(LEFT(TRIM(F176&amp;""),FIND(" ",TRIM(F176&amp;""))-1),2)="병원",LEFT(TRIM(F176&amp;""),FIND(" ",TRIM(F176&amp;""))-1),LEFT(TRIM(F176&amp;""),FIND(" ",TRIM(F176&amp;""))-1)&amp;"병원"))&gt;0,ISNUMBER(MATCH(TRIM(RIGHT(SUBSTITUTE(TRIM(F176&amp;"")," ",REPT(" ",60)),60)),코드표!$F$2:$F$101,0))),IF(RIGHT(LEFT(TRIM(F176&amp;""),FIND(" ",TRIM(F176&amp;""))-1),2)="병원",LEFT(TRIM(F176&amp;""),FIND(" ",TRIM(F176&amp;""))-1),LEFT(TRIM(F176&amp;""),FIND(" ",TRIM(F176&amp;""))-1)&amp;"병원")&amp;" "&amp;INDEX(코드표!$G$2:$G$101,MATCH(TRIM(RIGHT(SUBSTITUTE(TRIM(F176&amp;"")," ",REPT(" ",60)),60)),코드표!$F$2:$F$101,0)),"⚠"&amp;TRIM(F176&amp;""))),"⚠"&amp;TRIM(F176&amp;""))</f>
        <v/>
      </c>
      <c r="O176" s="10">
        <f>IFERROR(IF(TRIM(G176&amp;"")="","",IF(AND(ISNUMBER(FIND(" ",TRIM(G176&amp;""))),COUNTIF(코드표!$A$2:$A$21,IF(RIGHT(LEFT(TRIM(G176&amp;""),FIND(" ",TRIM(G176&amp;""))-1),2)="병원",LEFT(TRIM(G176&amp;""),FIND(" ",TRIM(G176&amp;""))-1),LEFT(TRIM(G176&amp;""),FIND(" ",TRIM(G176&amp;""))-1)&amp;"병원"))&gt;0,ISNUMBER(MATCH(TRIM(RIGHT(SUBSTITUTE(TRIM(G176&amp;"")," ",REPT(" ",60)),60)),코드표!$F$2:$F$101,0))),IF(RIGHT(LEFT(TRIM(G176&amp;""),FIND(" ",TRIM(G176&amp;""))-1),2)="병원",LEFT(TRIM(G176&amp;""),FIND(" ",TRIM(G176&amp;""))-1),LEFT(TRIM(G176&amp;""),FIND(" ",TRIM(G176&amp;""))-1)&amp;"병원")&amp;" "&amp;INDEX(코드표!$G$2:$G$101,MATCH(TRIM(RIGHT(SUBSTITUTE(TRIM(G176&amp;"")," ",REPT(" ",60)),60)),코드표!$F$2:$F$101,0)),"⚠"&amp;TRIM(G176&amp;""))),"⚠"&amp;TRIM(G176&amp;""))</f>
        <v/>
      </c>
      <c r="P176" s="10">
        <f>IFERROR(IF(TRIM(H176&amp;"")="","",IF(AND(ISNUMBER(FIND(" ",TRIM(H176&amp;""))),COUNTIF(코드표!$A$2:$A$21,IF(RIGHT(LEFT(TRIM(H176&amp;""),FIND(" ",TRIM(H176&amp;""))-1),2)="병원",LEFT(TRIM(H176&amp;""),FIND(" ",TRIM(H176&amp;""))-1),LEFT(TRIM(H176&amp;""),FIND(" ",TRIM(H176&amp;""))-1)&amp;"병원"))&gt;0,ISNUMBER(MATCH(TRIM(RIGHT(SUBSTITUTE(TRIM(H176&amp;"")," ",REPT(" ",60)),60)),코드표!$F$2:$F$101,0))),IF(RIGHT(LEFT(TRIM(H176&amp;""),FIND(" ",TRIM(H176&amp;""))-1),2)="병원",LEFT(TRIM(H176&amp;""),FIND(" ",TRIM(H176&amp;""))-1),LEFT(TRIM(H176&amp;""),FIND(" ",TRIM(H176&amp;""))-1)&amp;"병원")&amp;" "&amp;INDEX(코드표!$G$2:$G$101,MATCH(TRIM(RIGHT(SUBSTITUTE(TRIM(H176&amp;"")," ",REPT(" ",60)),60)),코드표!$F$2:$F$101,0)),"⚠"&amp;TRIM(H176&amp;""))),"⚠"&amp;TRIM(H176&amp;""))</f>
        <v/>
      </c>
      <c r="Q176" s="10">
        <f>IFERROR(IF(TRIM(I176&amp;"")="","",IF(AND(ISNUMBER(FIND(" ",TRIM(I176&amp;""))),COUNTIF(코드표!$A$2:$A$21,IF(RIGHT(LEFT(TRIM(I176&amp;""),FIND(" ",TRIM(I176&amp;""))-1),2)="병원",LEFT(TRIM(I176&amp;""),FIND(" ",TRIM(I176&amp;""))-1),LEFT(TRIM(I176&amp;""),FIND(" ",TRIM(I176&amp;""))-1)&amp;"병원"))&gt;0,ISNUMBER(MATCH(TRIM(RIGHT(SUBSTITUTE(TRIM(I176&amp;"")," ",REPT(" ",60)),60)),코드표!$F$2:$F$101,0))),IF(RIGHT(LEFT(TRIM(I176&amp;""),FIND(" ",TRIM(I176&amp;""))-1),2)="병원",LEFT(TRIM(I176&amp;""),FIND(" ",TRIM(I176&amp;""))-1),LEFT(TRIM(I176&amp;""),FIND(" ",TRIM(I176&amp;""))-1)&amp;"병원")&amp;" "&amp;INDEX(코드표!$G$2:$G$101,MATCH(TRIM(RIGHT(SUBSTITUTE(TRIM(I176&amp;"")," ",REPT(" ",60)),60)),코드표!$F$2:$F$101,0)),"⚠"&amp;TRIM(I176&amp;""))),"⚠"&amp;TRIM(I176&amp;""))</f>
        <v/>
      </c>
      <c r="R176" s="10">
        <f>IFERROR(IF(TRIM(J176&amp;"")="","",IF(AND(ISNUMBER(FIND(" ",TRIM(J176&amp;""))),COUNTIF(코드표!$A$2:$A$21,IF(RIGHT(LEFT(TRIM(J176&amp;""),FIND(" ",TRIM(J176&amp;""))-1),2)="병원",LEFT(TRIM(J176&amp;""),FIND(" ",TRIM(J176&amp;""))-1),LEFT(TRIM(J176&amp;""),FIND(" ",TRIM(J176&amp;""))-1)&amp;"병원"))&gt;0,ISNUMBER(MATCH(TRIM(RIGHT(SUBSTITUTE(TRIM(J176&amp;"")," ",REPT(" ",60)),60)),코드표!$F$2:$F$101,0))),IF(RIGHT(LEFT(TRIM(J176&amp;""),FIND(" ",TRIM(J176&amp;""))-1),2)="병원",LEFT(TRIM(J176&amp;""),FIND(" ",TRIM(J176&amp;""))-1),LEFT(TRIM(J176&amp;""),FIND(" ",TRIM(J176&amp;""))-1)&amp;"병원")&amp;" "&amp;INDEX(코드표!$G$2:$G$101,MATCH(TRIM(RIGHT(SUBSTITUTE(TRIM(J176&amp;"")," ",REPT(" ",60)),60)),코드표!$F$2:$F$101,0)),"⚠"&amp;TRIM(J176&amp;""))),"⚠"&amp;TRIM(J176&amp;""))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",TRIM(E177&amp;""))),COUNTIF(코드표!$A$2:$A$21,IF(RIGHT(LEFT(TRIM(E177&amp;""),FIND(" ",TRIM(E177&amp;""))-1),2)="병원",LEFT(TRIM(E177&amp;""),FIND(" ",TRIM(E177&amp;""))-1),LEFT(TRIM(E177&amp;""),FIND(" ",TRIM(E177&amp;""))-1)&amp;"병원"))&gt;0,ISNUMBER(MATCH(TRIM(RIGHT(SUBSTITUTE(TRIM(E177&amp;"")," ",REPT(" ",60)),60)),코드표!$F$2:$F$101,0))),IF(RIGHT(LEFT(TRIM(E177&amp;""),FIND(" ",TRIM(E177&amp;""))-1),2)="병원",LEFT(TRIM(E177&amp;""),FIND(" ",TRIM(E177&amp;""))-1),LEFT(TRIM(E177&amp;""),FIND(" ",TRIM(E177&amp;""))-1)&amp;"병원")&amp;" "&amp;INDEX(코드표!$G$2:$G$101,MATCH(TRIM(RIGHT(SUBSTITUTE(TRIM(E177&amp;"")," ",REPT(" ",60)),60)),코드표!$F$2:$F$101,0)),"⚠"&amp;TRIM(E177&amp;""))),"⚠"&amp;TRIM(E177&amp;""))</f>
        <v/>
      </c>
      <c r="N177" s="10">
        <f>IFERROR(IF(TRIM(F177&amp;"")="","",IF(AND(ISNUMBER(FIND(" ",TRIM(F177&amp;""))),COUNTIF(코드표!$A$2:$A$21,IF(RIGHT(LEFT(TRIM(F177&amp;""),FIND(" ",TRIM(F177&amp;""))-1),2)="병원",LEFT(TRIM(F177&amp;""),FIND(" ",TRIM(F177&amp;""))-1),LEFT(TRIM(F177&amp;""),FIND(" ",TRIM(F177&amp;""))-1)&amp;"병원"))&gt;0,ISNUMBER(MATCH(TRIM(RIGHT(SUBSTITUTE(TRIM(F177&amp;"")," ",REPT(" ",60)),60)),코드표!$F$2:$F$101,0))),IF(RIGHT(LEFT(TRIM(F177&amp;""),FIND(" ",TRIM(F177&amp;""))-1),2)="병원",LEFT(TRIM(F177&amp;""),FIND(" ",TRIM(F177&amp;""))-1),LEFT(TRIM(F177&amp;""),FIND(" ",TRIM(F177&amp;""))-1)&amp;"병원")&amp;" "&amp;INDEX(코드표!$G$2:$G$101,MATCH(TRIM(RIGHT(SUBSTITUTE(TRIM(F177&amp;"")," ",REPT(" ",60)),60)),코드표!$F$2:$F$101,0)),"⚠"&amp;TRIM(F177&amp;""))),"⚠"&amp;TRIM(F177&amp;""))</f>
        <v/>
      </c>
      <c r="O177" s="10">
        <f>IFERROR(IF(TRIM(G177&amp;"")="","",IF(AND(ISNUMBER(FIND(" ",TRIM(G177&amp;""))),COUNTIF(코드표!$A$2:$A$21,IF(RIGHT(LEFT(TRIM(G177&amp;""),FIND(" ",TRIM(G177&amp;""))-1),2)="병원",LEFT(TRIM(G177&amp;""),FIND(" ",TRIM(G177&amp;""))-1),LEFT(TRIM(G177&amp;""),FIND(" ",TRIM(G177&amp;""))-1)&amp;"병원"))&gt;0,ISNUMBER(MATCH(TRIM(RIGHT(SUBSTITUTE(TRIM(G177&amp;"")," ",REPT(" ",60)),60)),코드표!$F$2:$F$101,0))),IF(RIGHT(LEFT(TRIM(G177&amp;""),FIND(" ",TRIM(G177&amp;""))-1),2)="병원",LEFT(TRIM(G177&amp;""),FIND(" ",TRIM(G177&amp;""))-1),LEFT(TRIM(G177&amp;""),FIND(" ",TRIM(G177&amp;""))-1)&amp;"병원")&amp;" "&amp;INDEX(코드표!$G$2:$G$101,MATCH(TRIM(RIGHT(SUBSTITUTE(TRIM(G177&amp;"")," ",REPT(" ",60)),60)),코드표!$F$2:$F$101,0)),"⚠"&amp;TRIM(G177&amp;""))),"⚠"&amp;TRIM(G177&amp;""))</f>
        <v/>
      </c>
      <c r="P177" s="10">
        <f>IFERROR(IF(TRIM(H177&amp;"")="","",IF(AND(ISNUMBER(FIND(" ",TRIM(H177&amp;""))),COUNTIF(코드표!$A$2:$A$21,IF(RIGHT(LEFT(TRIM(H177&amp;""),FIND(" ",TRIM(H177&amp;""))-1),2)="병원",LEFT(TRIM(H177&amp;""),FIND(" ",TRIM(H177&amp;""))-1),LEFT(TRIM(H177&amp;""),FIND(" ",TRIM(H177&amp;""))-1)&amp;"병원"))&gt;0,ISNUMBER(MATCH(TRIM(RIGHT(SUBSTITUTE(TRIM(H177&amp;"")," ",REPT(" ",60)),60)),코드표!$F$2:$F$101,0))),IF(RIGHT(LEFT(TRIM(H177&amp;""),FIND(" ",TRIM(H177&amp;""))-1),2)="병원",LEFT(TRIM(H177&amp;""),FIND(" ",TRIM(H177&amp;""))-1),LEFT(TRIM(H177&amp;""),FIND(" ",TRIM(H177&amp;""))-1)&amp;"병원")&amp;" "&amp;INDEX(코드표!$G$2:$G$101,MATCH(TRIM(RIGHT(SUBSTITUTE(TRIM(H177&amp;"")," ",REPT(" ",60)),60)),코드표!$F$2:$F$101,0)),"⚠"&amp;TRIM(H177&amp;""))),"⚠"&amp;TRIM(H177&amp;""))</f>
        <v/>
      </c>
      <c r="Q177" s="10">
        <f>IFERROR(IF(TRIM(I177&amp;"")="","",IF(AND(ISNUMBER(FIND(" ",TRIM(I177&amp;""))),COUNTIF(코드표!$A$2:$A$21,IF(RIGHT(LEFT(TRIM(I177&amp;""),FIND(" ",TRIM(I177&amp;""))-1),2)="병원",LEFT(TRIM(I177&amp;""),FIND(" ",TRIM(I177&amp;""))-1),LEFT(TRIM(I177&amp;""),FIND(" ",TRIM(I177&amp;""))-1)&amp;"병원"))&gt;0,ISNUMBER(MATCH(TRIM(RIGHT(SUBSTITUTE(TRIM(I177&amp;"")," ",REPT(" ",60)),60)),코드표!$F$2:$F$101,0))),IF(RIGHT(LEFT(TRIM(I177&amp;""),FIND(" ",TRIM(I177&amp;""))-1),2)="병원",LEFT(TRIM(I177&amp;""),FIND(" ",TRIM(I177&amp;""))-1),LEFT(TRIM(I177&amp;""),FIND(" ",TRIM(I177&amp;""))-1)&amp;"병원")&amp;" "&amp;INDEX(코드표!$G$2:$G$101,MATCH(TRIM(RIGHT(SUBSTITUTE(TRIM(I177&amp;"")," ",REPT(" ",60)),60)),코드표!$F$2:$F$101,0)),"⚠"&amp;TRIM(I177&amp;""))),"⚠"&amp;TRIM(I177&amp;""))</f>
        <v/>
      </c>
      <c r="R177" s="10">
        <f>IFERROR(IF(TRIM(J177&amp;"")="","",IF(AND(ISNUMBER(FIND(" ",TRIM(J177&amp;""))),COUNTIF(코드표!$A$2:$A$21,IF(RIGHT(LEFT(TRIM(J177&amp;""),FIND(" ",TRIM(J177&amp;""))-1),2)="병원",LEFT(TRIM(J177&amp;""),FIND(" ",TRIM(J177&amp;""))-1),LEFT(TRIM(J177&amp;""),FIND(" ",TRIM(J177&amp;""))-1)&amp;"병원"))&gt;0,ISNUMBER(MATCH(TRIM(RIGHT(SUBSTITUTE(TRIM(J177&amp;"")," ",REPT(" ",60)),60)),코드표!$F$2:$F$101,0))),IF(RIGHT(LEFT(TRIM(J177&amp;""),FIND(" ",TRIM(J177&amp;""))-1),2)="병원",LEFT(TRIM(J177&amp;""),FIND(" ",TRIM(J177&amp;""))-1),LEFT(TRIM(J177&amp;""),FIND(" ",TRIM(J177&amp;""))-1)&amp;"병원")&amp;" "&amp;INDEX(코드표!$G$2:$G$101,MATCH(TRIM(RIGHT(SUBSTITUTE(TRIM(J177&amp;"")," ",REPT(" ",60)),60)),코드표!$F$2:$F$101,0)),"⚠"&amp;TRIM(J177&amp;""))),"⚠"&amp;TRIM(J177&amp;""))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",TRIM(E178&amp;""))),COUNTIF(코드표!$A$2:$A$21,IF(RIGHT(LEFT(TRIM(E178&amp;""),FIND(" ",TRIM(E178&amp;""))-1),2)="병원",LEFT(TRIM(E178&amp;""),FIND(" ",TRIM(E178&amp;""))-1),LEFT(TRIM(E178&amp;""),FIND(" ",TRIM(E178&amp;""))-1)&amp;"병원"))&gt;0,ISNUMBER(MATCH(TRIM(RIGHT(SUBSTITUTE(TRIM(E178&amp;"")," ",REPT(" ",60)),60)),코드표!$F$2:$F$101,0))),IF(RIGHT(LEFT(TRIM(E178&amp;""),FIND(" ",TRIM(E178&amp;""))-1),2)="병원",LEFT(TRIM(E178&amp;""),FIND(" ",TRIM(E178&amp;""))-1),LEFT(TRIM(E178&amp;""),FIND(" ",TRIM(E178&amp;""))-1)&amp;"병원")&amp;" "&amp;INDEX(코드표!$G$2:$G$101,MATCH(TRIM(RIGHT(SUBSTITUTE(TRIM(E178&amp;"")," ",REPT(" ",60)),60)),코드표!$F$2:$F$101,0)),"⚠"&amp;TRIM(E178&amp;""))),"⚠"&amp;TRIM(E178&amp;""))</f>
        <v/>
      </c>
      <c r="N178" s="10">
        <f>IFERROR(IF(TRIM(F178&amp;"")="","",IF(AND(ISNUMBER(FIND(" ",TRIM(F178&amp;""))),COUNTIF(코드표!$A$2:$A$21,IF(RIGHT(LEFT(TRIM(F178&amp;""),FIND(" ",TRIM(F178&amp;""))-1),2)="병원",LEFT(TRIM(F178&amp;""),FIND(" ",TRIM(F178&amp;""))-1),LEFT(TRIM(F178&amp;""),FIND(" ",TRIM(F178&amp;""))-1)&amp;"병원"))&gt;0,ISNUMBER(MATCH(TRIM(RIGHT(SUBSTITUTE(TRIM(F178&amp;"")," ",REPT(" ",60)),60)),코드표!$F$2:$F$101,0))),IF(RIGHT(LEFT(TRIM(F178&amp;""),FIND(" ",TRIM(F178&amp;""))-1),2)="병원",LEFT(TRIM(F178&amp;""),FIND(" ",TRIM(F178&amp;""))-1),LEFT(TRIM(F178&amp;""),FIND(" ",TRIM(F178&amp;""))-1)&amp;"병원")&amp;" "&amp;INDEX(코드표!$G$2:$G$101,MATCH(TRIM(RIGHT(SUBSTITUTE(TRIM(F178&amp;"")," ",REPT(" ",60)),60)),코드표!$F$2:$F$101,0)),"⚠"&amp;TRIM(F178&amp;""))),"⚠"&amp;TRIM(F178&amp;""))</f>
        <v/>
      </c>
      <c r="O178" s="10">
        <f>IFERROR(IF(TRIM(G178&amp;"")="","",IF(AND(ISNUMBER(FIND(" ",TRIM(G178&amp;""))),COUNTIF(코드표!$A$2:$A$21,IF(RIGHT(LEFT(TRIM(G178&amp;""),FIND(" ",TRIM(G178&amp;""))-1),2)="병원",LEFT(TRIM(G178&amp;""),FIND(" ",TRIM(G178&amp;""))-1),LEFT(TRIM(G178&amp;""),FIND(" ",TRIM(G178&amp;""))-1)&amp;"병원"))&gt;0,ISNUMBER(MATCH(TRIM(RIGHT(SUBSTITUTE(TRIM(G178&amp;"")," ",REPT(" ",60)),60)),코드표!$F$2:$F$101,0))),IF(RIGHT(LEFT(TRIM(G178&amp;""),FIND(" ",TRIM(G178&amp;""))-1),2)="병원",LEFT(TRIM(G178&amp;""),FIND(" ",TRIM(G178&amp;""))-1),LEFT(TRIM(G178&amp;""),FIND(" ",TRIM(G178&amp;""))-1)&amp;"병원")&amp;" "&amp;INDEX(코드표!$G$2:$G$101,MATCH(TRIM(RIGHT(SUBSTITUTE(TRIM(G178&amp;"")," ",REPT(" ",60)),60)),코드표!$F$2:$F$101,0)),"⚠"&amp;TRIM(G178&amp;""))),"⚠"&amp;TRIM(G178&amp;""))</f>
        <v/>
      </c>
      <c r="P178" s="10">
        <f>IFERROR(IF(TRIM(H178&amp;"")="","",IF(AND(ISNUMBER(FIND(" ",TRIM(H178&amp;""))),COUNTIF(코드표!$A$2:$A$21,IF(RIGHT(LEFT(TRIM(H178&amp;""),FIND(" ",TRIM(H178&amp;""))-1),2)="병원",LEFT(TRIM(H178&amp;""),FIND(" ",TRIM(H178&amp;""))-1),LEFT(TRIM(H178&amp;""),FIND(" ",TRIM(H178&amp;""))-1)&amp;"병원"))&gt;0,ISNUMBER(MATCH(TRIM(RIGHT(SUBSTITUTE(TRIM(H178&amp;"")," ",REPT(" ",60)),60)),코드표!$F$2:$F$101,0))),IF(RIGHT(LEFT(TRIM(H178&amp;""),FIND(" ",TRIM(H178&amp;""))-1),2)="병원",LEFT(TRIM(H178&amp;""),FIND(" ",TRIM(H178&amp;""))-1),LEFT(TRIM(H178&amp;""),FIND(" ",TRIM(H178&amp;""))-1)&amp;"병원")&amp;" "&amp;INDEX(코드표!$G$2:$G$101,MATCH(TRIM(RIGHT(SUBSTITUTE(TRIM(H178&amp;"")," ",REPT(" ",60)),60)),코드표!$F$2:$F$101,0)),"⚠"&amp;TRIM(H178&amp;""))),"⚠"&amp;TRIM(H178&amp;""))</f>
        <v/>
      </c>
      <c r="Q178" s="10">
        <f>IFERROR(IF(TRIM(I178&amp;"")="","",IF(AND(ISNUMBER(FIND(" ",TRIM(I178&amp;""))),COUNTIF(코드표!$A$2:$A$21,IF(RIGHT(LEFT(TRIM(I178&amp;""),FIND(" ",TRIM(I178&amp;""))-1),2)="병원",LEFT(TRIM(I178&amp;""),FIND(" ",TRIM(I178&amp;""))-1),LEFT(TRIM(I178&amp;""),FIND(" ",TRIM(I178&amp;""))-1)&amp;"병원"))&gt;0,ISNUMBER(MATCH(TRIM(RIGHT(SUBSTITUTE(TRIM(I178&amp;"")," ",REPT(" ",60)),60)),코드표!$F$2:$F$101,0))),IF(RIGHT(LEFT(TRIM(I178&amp;""),FIND(" ",TRIM(I178&amp;""))-1),2)="병원",LEFT(TRIM(I178&amp;""),FIND(" ",TRIM(I178&amp;""))-1),LEFT(TRIM(I178&amp;""),FIND(" ",TRIM(I178&amp;""))-1)&amp;"병원")&amp;" "&amp;INDEX(코드표!$G$2:$G$101,MATCH(TRIM(RIGHT(SUBSTITUTE(TRIM(I178&amp;"")," ",REPT(" ",60)),60)),코드표!$F$2:$F$101,0)),"⚠"&amp;TRIM(I178&amp;""))),"⚠"&amp;TRIM(I178&amp;""))</f>
        <v/>
      </c>
      <c r="R178" s="10">
        <f>IFERROR(IF(TRIM(J178&amp;"")="","",IF(AND(ISNUMBER(FIND(" ",TRIM(J178&amp;""))),COUNTIF(코드표!$A$2:$A$21,IF(RIGHT(LEFT(TRIM(J178&amp;""),FIND(" ",TRIM(J178&amp;""))-1),2)="병원",LEFT(TRIM(J178&amp;""),FIND(" ",TRIM(J178&amp;""))-1),LEFT(TRIM(J178&amp;""),FIND(" ",TRIM(J178&amp;""))-1)&amp;"병원"))&gt;0,ISNUMBER(MATCH(TRIM(RIGHT(SUBSTITUTE(TRIM(J178&amp;"")," ",REPT(" ",60)),60)),코드표!$F$2:$F$101,0))),IF(RIGHT(LEFT(TRIM(J178&amp;""),FIND(" ",TRIM(J178&amp;""))-1),2)="병원",LEFT(TRIM(J178&amp;""),FIND(" ",TRIM(J178&amp;""))-1),LEFT(TRIM(J178&amp;""),FIND(" ",TRIM(J178&amp;""))-1)&amp;"병원")&amp;" "&amp;INDEX(코드표!$G$2:$G$101,MATCH(TRIM(RIGHT(SUBSTITUTE(TRIM(J178&amp;"")," ",REPT(" ",60)),60)),코드표!$F$2:$F$101,0)),"⚠"&amp;TRIM(J178&amp;""))),"⚠"&amp;TRIM(J178&amp;""))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",TRIM(E179&amp;""))),COUNTIF(코드표!$A$2:$A$21,IF(RIGHT(LEFT(TRIM(E179&amp;""),FIND(" ",TRIM(E179&amp;""))-1),2)="병원",LEFT(TRIM(E179&amp;""),FIND(" ",TRIM(E179&amp;""))-1),LEFT(TRIM(E179&amp;""),FIND(" ",TRIM(E179&amp;""))-1)&amp;"병원"))&gt;0,ISNUMBER(MATCH(TRIM(RIGHT(SUBSTITUTE(TRIM(E179&amp;"")," ",REPT(" ",60)),60)),코드표!$F$2:$F$101,0))),IF(RIGHT(LEFT(TRIM(E179&amp;""),FIND(" ",TRIM(E179&amp;""))-1),2)="병원",LEFT(TRIM(E179&amp;""),FIND(" ",TRIM(E179&amp;""))-1),LEFT(TRIM(E179&amp;""),FIND(" ",TRIM(E179&amp;""))-1)&amp;"병원")&amp;" "&amp;INDEX(코드표!$G$2:$G$101,MATCH(TRIM(RIGHT(SUBSTITUTE(TRIM(E179&amp;"")," ",REPT(" ",60)),60)),코드표!$F$2:$F$101,0)),"⚠"&amp;TRIM(E179&amp;""))),"⚠"&amp;TRIM(E179&amp;""))</f>
        <v/>
      </c>
      <c r="N179" s="10">
        <f>IFERROR(IF(TRIM(F179&amp;"")="","",IF(AND(ISNUMBER(FIND(" ",TRIM(F179&amp;""))),COUNTIF(코드표!$A$2:$A$21,IF(RIGHT(LEFT(TRIM(F179&amp;""),FIND(" ",TRIM(F179&amp;""))-1),2)="병원",LEFT(TRIM(F179&amp;""),FIND(" ",TRIM(F179&amp;""))-1),LEFT(TRIM(F179&amp;""),FIND(" ",TRIM(F179&amp;""))-1)&amp;"병원"))&gt;0,ISNUMBER(MATCH(TRIM(RIGHT(SUBSTITUTE(TRIM(F179&amp;"")," ",REPT(" ",60)),60)),코드표!$F$2:$F$101,0))),IF(RIGHT(LEFT(TRIM(F179&amp;""),FIND(" ",TRIM(F179&amp;""))-1),2)="병원",LEFT(TRIM(F179&amp;""),FIND(" ",TRIM(F179&amp;""))-1),LEFT(TRIM(F179&amp;""),FIND(" ",TRIM(F179&amp;""))-1)&amp;"병원")&amp;" "&amp;INDEX(코드표!$G$2:$G$101,MATCH(TRIM(RIGHT(SUBSTITUTE(TRIM(F179&amp;"")," ",REPT(" ",60)),60)),코드표!$F$2:$F$101,0)),"⚠"&amp;TRIM(F179&amp;""))),"⚠"&amp;TRIM(F179&amp;""))</f>
        <v/>
      </c>
      <c r="O179" s="10">
        <f>IFERROR(IF(TRIM(G179&amp;"")="","",IF(AND(ISNUMBER(FIND(" ",TRIM(G179&amp;""))),COUNTIF(코드표!$A$2:$A$21,IF(RIGHT(LEFT(TRIM(G179&amp;""),FIND(" ",TRIM(G179&amp;""))-1),2)="병원",LEFT(TRIM(G179&amp;""),FIND(" ",TRIM(G179&amp;""))-1),LEFT(TRIM(G179&amp;""),FIND(" ",TRIM(G179&amp;""))-1)&amp;"병원"))&gt;0,ISNUMBER(MATCH(TRIM(RIGHT(SUBSTITUTE(TRIM(G179&amp;"")," ",REPT(" ",60)),60)),코드표!$F$2:$F$101,0))),IF(RIGHT(LEFT(TRIM(G179&amp;""),FIND(" ",TRIM(G179&amp;""))-1),2)="병원",LEFT(TRIM(G179&amp;""),FIND(" ",TRIM(G179&amp;""))-1),LEFT(TRIM(G179&amp;""),FIND(" ",TRIM(G179&amp;""))-1)&amp;"병원")&amp;" "&amp;INDEX(코드표!$G$2:$G$101,MATCH(TRIM(RIGHT(SUBSTITUTE(TRIM(G179&amp;"")," ",REPT(" ",60)),60)),코드표!$F$2:$F$101,0)),"⚠"&amp;TRIM(G179&amp;""))),"⚠"&amp;TRIM(G179&amp;""))</f>
        <v/>
      </c>
      <c r="P179" s="10">
        <f>IFERROR(IF(TRIM(H179&amp;"")="","",IF(AND(ISNUMBER(FIND(" ",TRIM(H179&amp;""))),COUNTIF(코드표!$A$2:$A$21,IF(RIGHT(LEFT(TRIM(H179&amp;""),FIND(" ",TRIM(H179&amp;""))-1),2)="병원",LEFT(TRIM(H179&amp;""),FIND(" ",TRIM(H179&amp;""))-1),LEFT(TRIM(H179&amp;""),FIND(" ",TRIM(H179&amp;""))-1)&amp;"병원"))&gt;0,ISNUMBER(MATCH(TRIM(RIGHT(SUBSTITUTE(TRIM(H179&amp;"")," ",REPT(" ",60)),60)),코드표!$F$2:$F$101,0))),IF(RIGHT(LEFT(TRIM(H179&amp;""),FIND(" ",TRIM(H179&amp;""))-1),2)="병원",LEFT(TRIM(H179&amp;""),FIND(" ",TRIM(H179&amp;""))-1),LEFT(TRIM(H179&amp;""),FIND(" ",TRIM(H179&amp;""))-1)&amp;"병원")&amp;" "&amp;INDEX(코드표!$G$2:$G$101,MATCH(TRIM(RIGHT(SUBSTITUTE(TRIM(H179&amp;"")," ",REPT(" ",60)),60)),코드표!$F$2:$F$101,0)),"⚠"&amp;TRIM(H179&amp;""))),"⚠"&amp;TRIM(H179&amp;""))</f>
        <v/>
      </c>
      <c r="Q179" s="10">
        <f>IFERROR(IF(TRIM(I179&amp;"")="","",IF(AND(ISNUMBER(FIND(" ",TRIM(I179&amp;""))),COUNTIF(코드표!$A$2:$A$21,IF(RIGHT(LEFT(TRIM(I179&amp;""),FIND(" ",TRIM(I179&amp;""))-1),2)="병원",LEFT(TRIM(I179&amp;""),FIND(" ",TRIM(I179&amp;""))-1),LEFT(TRIM(I179&amp;""),FIND(" ",TRIM(I179&amp;""))-1)&amp;"병원"))&gt;0,ISNUMBER(MATCH(TRIM(RIGHT(SUBSTITUTE(TRIM(I179&amp;"")," ",REPT(" ",60)),60)),코드표!$F$2:$F$101,0))),IF(RIGHT(LEFT(TRIM(I179&amp;""),FIND(" ",TRIM(I179&amp;""))-1),2)="병원",LEFT(TRIM(I179&amp;""),FIND(" ",TRIM(I179&amp;""))-1),LEFT(TRIM(I179&amp;""),FIND(" ",TRIM(I179&amp;""))-1)&amp;"병원")&amp;" "&amp;INDEX(코드표!$G$2:$G$101,MATCH(TRIM(RIGHT(SUBSTITUTE(TRIM(I179&amp;"")," ",REPT(" ",60)),60)),코드표!$F$2:$F$101,0)),"⚠"&amp;TRIM(I179&amp;""))),"⚠"&amp;TRIM(I179&amp;""))</f>
        <v/>
      </c>
      <c r="R179" s="10">
        <f>IFERROR(IF(TRIM(J179&amp;"")="","",IF(AND(ISNUMBER(FIND(" ",TRIM(J179&amp;""))),COUNTIF(코드표!$A$2:$A$21,IF(RIGHT(LEFT(TRIM(J179&amp;""),FIND(" ",TRIM(J179&amp;""))-1),2)="병원",LEFT(TRIM(J179&amp;""),FIND(" ",TRIM(J179&amp;""))-1),LEFT(TRIM(J179&amp;""),FIND(" ",TRIM(J179&amp;""))-1)&amp;"병원"))&gt;0,ISNUMBER(MATCH(TRIM(RIGHT(SUBSTITUTE(TRIM(J179&amp;"")," ",REPT(" ",60)),60)),코드표!$F$2:$F$101,0))),IF(RIGHT(LEFT(TRIM(J179&amp;""),FIND(" ",TRIM(J179&amp;""))-1),2)="병원",LEFT(TRIM(J179&amp;""),FIND(" ",TRIM(J179&amp;""))-1),LEFT(TRIM(J179&amp;""),FIND(" ",TRIM(J179&amp;""))-1)&amp;"병원")&amp;" "&amp;INDEX(코드표!$G$2:$G$101,MATCH(TRIM(RIGHT(SUBSTITUTE(TRIM(J179&amp;"")," ",REPT(" ",60)),60)),코드표!$F$2:$F$101,0)),"⚠"&amp;TRIM(J179&amp;""))),"⚠"&amp;TRIM(J179&amp;""))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",TRIM(E180&amp;""))),COUNTIF(코드표!$A$2:$A$21,IF(RIGHT(LEFT(TRIM(E180&amp;""),FIND(" ",TRIM(E180&amp;""))-1),2)="병원",LEFT(TRIM(E180&amp;""),FIND(" ",TRIM(E180&amp;""))-1),LEFT(TRIM(E180&amp;""),FIND(" ",TRIM(E180&amp;""))-1)&amp;"병원"))&gt;0,ISNUMBER(MATCH(TRIM(RIGHT(SUBSTITUTE(TRIM(E180&amp;"")," ",REPT(" ",60)),60)),코드표!$F$2:$F$101,0))),IF(RIGHT(LEFT(TRIM(E180&amp;""),FIND(" ",TRIM(E180&amp;""))-1),2)="병원",LEFT(TRIM(E180&amp;""),FIND(" ",TRIM(E180&amp;""))-1),LEFT(TRIM(E180&amp;""),FIND(" ",TRIM(E180&amp;""))-1)&amp;"병원")&amp;" "&amp;INDEX(코드표!$G$2:$G$101,MATCH(TRIM(RIGHT(SUBSTITUTE(TRIM(E180&amp;"")," ",REPT(" ",60)),60)),코드표!$F$2:$F$101,0)),"⚠"&amp;TRIM(E180&amp;""))),"⚠"&amp;TRIM(E180&amp;""))</f>
        <v/>
      </c>
      <c r="N180" s="10">
        <f>IFERROR(IF(TRIM(F180&amp;"")="","",IF(AND(ISNUMBER(FIND(" ",TRIM(F180&amp;""))),COUNTIF(코드표!$A$2:$A$21,IF(RIGHT(LEFT(TRIM(F180&amp;""),FIND(" ",TRIM(F180&amp;""))-1),2)="병원",LEFT(TRIM(F180&amp;""),FIND(" ",TRIM(F180&amp;""))-1),LEFT(TRIM(F180&amp;""),FIND(" ",TRIM(F180&amp;""))-1)&amp;"병원"))&gt;0,ISNUMBER(MATCH(TRIM(RIGHT(SUBSTITUTE(TRIM(F180&amp;"")," ",REPT(" ",60)),60)),코드표!$F$2:$F$101,0))),IF(RIGHT(LEFT(TRIM(F180&amp;""),FIND(" ",TRIM(F180&amp;""))-1),2)="병원",LEFT(TRIM(F180&amp;""),FIND(" ",TRIM(F180&amp;""))-1),LEFT(TRIM(F180&amp;""),FIND(" ",TRIM(F180&amp;""))-1)&amp;"병원")&amp;" "&amp;INDEX(코드표!$G$2:$G$101,MATCH(TRIM(RIGHT(SUBSTITUTE(TRIM(F180&amp;"")," ",REPT(" ",60)),60)),코드표!$F$2:$F$101,0)),"⚠"&amp;TRIM(F180&amp;""))),"⚠"&amp;TRIM(F180&amp;""))</f>
        <v/>
      </c>
      <c r="O180" s="10">
        <f>IFERROR(IF(TRIM(G180&amp;"")="","",IF(AND(ISNUMBER(FIND(" ",TRIM(G180&amp;""))),COUNTIF(코드표!$A$2:$A$21,IF(RIGHT(LEFT(TRIM(G180&amp;""),FIND(" ",TRIM(G180&amp;""))-1),2)="병원",LEFT(TRIM(G180&amp;""),FIND(" ",TRIM(G180&amp;""))-1),LEFT(TRIM(G180&amp;""),FIND(" ",TRIM(G180&amp;""))-1)&amp;"병원"))&gt;0,ISNUMBER(MATCH(TRIM(RIGHT(SUBSTITUTE(TRIM(G180&amp;"")," ",REPT(" ",60)),60)),코드표!$F$2:$F$101,0))),IF(RIGHT(LEFT(TRIM(G180&amp;""),FIND(" ",TRIM(G180&amp;""))-1),2)="병원",LEFT(TRIM(G180&amp;""),FIND(" ",TRIM(G180&amp;""))-1),LEFT(TRIM(G180&amp;""),FIND(" ",TRIM(G180&amp;""))-1)&amp;"병원")&amp;" "&amp;INDEX(코드표!$G$2:$G$101,MATCH(TRIM(RIGHT(SUBSTITUTE(TRIM(G180&amp;"")," ",REPT(" ",60)),60)),코드표!$F$2:$F$101,0)),"⚠"&amp;TRIM(G180&amp;""))),"⚠"&amp;TRIM(G180&amp;""))</f>
        <v/>
      </c>
      <c r="P180" s="10">
        <f>IFERROR(IF(TRIM(H180&amp;"")="","",IF(AND(ISNUMBER(FIND(" ",TRIM(H180&amp;""))),COUNTIF(코드표!$A$2:$A$21,IF(RIGHT(LEFT(TRIM(H180&amp;""),FIND(" ",TRIM(H180&amp;""))-1),2)="병원",LEFT(TRIM(H180&amp;""),FIND(" ",TRIM(H180&amp;""))-1),LEFT(TRIM(H180&amp;""),FIND(" ",TRIM(H180&amp;""))-1)&amp;"병원"))&gt;0,ISNUMBER(MATCH(TRIM(RIGHT(SUBSTITUTE(TRIM(H180&amp;"")," ",REPT(" ",60)),60)),코드표!$F$2:$F$101,0))),IF(RIGHT(LEFT(TRIM(H180&amp;""),FIND(" ",TRIM(H180&amp;""))-1),2)="병원",LEFT(TRIM(H180&amp;""),FIND(" ",TRIM(H180&amp;""))-1),LEFT(TRIM(H180&amp;""),FIND(" ",TRIM(H180&amp;""))-1)&amp;"병원")&amp;" "&amp;INDEX(코드표!$G$2:$G$101,MATCH(TRIM(RIGHT(SUBSTITUTE(TRIM(H180&amp;"")," ",REPT(" ",60)),60)),코드표!$F$2:$F$101,0)),"⚠"&amp;TRIM(H180&amp;""))),"⚠"&amp;TRIM(H180&amp;""))</f>
        <v/>
      </c>
      <c r="Q180" s="10">
        <f>IFERROR(IF(TRIM(I180&amp;"")="","",IF(AND(ISNUMBER(FIND(" ",TRIM(I180&amp;""))),COUNTIF(코드표!$A$2:$A$21,IF(RIGHT(LEFT(TRIM(I180&amp;""),FIND(" ",TRIM(I180&amp;""))-1),2)="병원",LEFT(TRIM(I180&amp;""),FIND(" ",TRIM(I180&amp;""))-1),LEFT(TRIM(I180&amp;""),FIND(" ",TRIM(I180&amp;""))-1)&amp;"병원"))&gt;0,ISNUMBER(MATCH(TRIM(RIGHT(SUBSTITUTE(TRIM(I180&amp;"")," ",REPT(" ",60)),60)),코드표!$F$2:$F$101,0))),IF(RIGHT(LEFT(TRIM(I180&amp;""),FIND(" ",TRIM(I180&amp;""))-1),2)="병원",LEFT(TRIM(I180&amp;""),FIND(" ",TRIM(I180&amp;""))-1),LEFT(TRIM(I180&amp;""),FIND(" ",TRIM(I180&amp;""))-1)&amp;"병원")&amp;" "&amp;INDEX(코드표!$G$2:$G$101,MATCH(TRIM(RIGHT(SUBSTITUTE(TRIM(I180&amp;"")," ",REPT(" ",60)),60)),코드표!$F$2:$F$101,0)),"⚠"&amp;TRIM(I180&amp;""))),"⚠"&amp;TRIM(I180&amp;""))</f>
        <v/>
      </c>
      <c r="R180" s="10">
        <f>IFERROR(IF(TRIM(J180&amp;"")="","",IF(AND(ISNUMBER(FIND(" ",TRIM(J180&amp;""))),COUNTIF(코드표!$A$2:$A$21,IF(RIGHT(LEFT(TRIM(J180&amp;""),FIND(" ",TRIM(J180&amp;""))-1),2)="병원",LEFT(TRIM(J180&amp;""),FIND(" ",TRIM(J180&amp;""))-1),LEFT(TRIM(J180&amp;""),FIND(" ",TRIM(J180&amp;""))-1)&amp;"병원"))&gt;0,ISNUMBER(MATCH(TRIM(RIGHT(SUBSTITUTE(TRIM(J180&amp;"")," ",REPT(" ",60)),60)),코드표!$F$2:$F$101,0))),IF(RIGHT(LEFT(TRIM(J180&amp;""),FIND(" ",TRIM(J180&amp;""))-1),2)="병원",LEFT(TRIM(J180&amp;""),FIND(" ",TRIM(J180&amp;""))-1),LEFT(TRIM(J180&amp;""),FIND(" ",TRIM(J180&amp;""))-1)&amp;"병원")&amp;" "&amp;INDEX(코드표!$G$2:$G$101,MATCH(TRIM(RIGHT(SUBSTITUTE(TRIM(J180&amp;"")," ",REPT(" ",60)),60)),코드표!$F$2:$F$101,0)),"⚠"&amp;TRIM(J180&amp;""))),"⚠"&amp;TRIM(J180&amp;""))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",TRIM(E181&amp;""))),COUNTIF(코드표!$A$2:$A$21,IF(RIGHT(LEFT(TRIM(E181&amp;""),FIND(" ",TRIM(E181&amp;""))-1),2)="병원",LEFT(TRIM(E181&amp;""),FIND(" ",TRIM(E181&amp;""))-1),LEFT(TRIM(E181&amp;""),FIND(" ",TRIM(E181&amp;""))-1)&amp;"병원"))&gt;0,ISNUMBER(MATCH(TRIM(RIGHT(SUBSTITUTE(TRIM(E181&amp;"")," ",REPT(" ",60)),60)),코드표!$F$2:$F$101,0))),IF(RIGHT(LEFT(TRIM(E181&amp;""),FIND(" ",TRIM(E181&amp;""))-1),2)="병원",LEFT(TRIM(E181&amp;""),FIND(" ",TRIM(E181&amp;""))-1),LEFT(TRIM(E181&amp;""),FIND(" ",TRIM(E181&amp;""))-1)&amp;"병원")&amp;" "&amp;INDEX(코드표!$G$2:$G$101,MATCH(TRIM(RIGHT(SUBSTITUTE(TRIM(E181&amp;"")," ",REPT(" ",60)),60)),코드표!$F$2:$F$101,0)),"⚠"&amp;TRIM(E181&amp;""))),"⚠"&amp;TRIM(E181&amp;""))</f>
        <v/>
      </c>
      <c r="N181" s="10">
        <f>IFERROR(IF(TRIM(F181&amp;"")="","",IF(AND(ISNUMBER(FIND(" ",TRIM(F181&amp;""))),COUNTIF(코드표!$A$2:$A$21,IF(RIGHT(LEFT(TRIM(F181&amp;""),FIND(" ",TRIM(F181&amp;""))-1),2)="병원",LEFT(TRIM(F181&amp;""),FIND(" ",TRIM(F181&amp;""))-1),LEFT(TRIM(F181&amp;""),FIND(" ",TRIM(F181&amp;""))-1)&amp;"병원"))&gt;0,ISNUMBER(MATCH(TRIM(RIGHT(SUBSTITUTE(TRIM(F181&amp;"")," ",REPT(" ",60)),60)),코드표!$F$2:$F$101,0))),IF(RIGHT(LEFT(TRIM(F181&amp;""),FIND(" ",TRIM(F181&amp;""))-1),2)="병원",LEFT(TRIM(F181&amp;""),FIND(" ",TRIM(F181&amp;""))-1),LEFT(TRIM(F181&amp;""),FIND(" ",TRIM(F181&amp;""))-1)&amp;"병원")&amp;" "&amp;INDEX(코드표!$G$2:$G$101,MATCH(TRIM(RIGHT(SUBSTITUTE(TRIM(F181&amp;"")," ",REPT(" ",60)),60)),코드표!$F$2:$F$101,0)),"⚠"&amp;TRIM(F181&amp;""))),"⚠"&amp;TRIM(F181&amp;""))</f>
        <v/>
      </c>
      <c r="O181" s="10">
        <f>IFERROR(IF(TRIM(G181&amp;"")="","",IF(AND(ISNUMBER(FIND(" ",TRIM(G181&amp;""))),COUNTIF(코드표!$A$2:$A$21,IF(RIGHT(LEFT(TRIM(G181&amp;""),FIND(" ",TRIM(G181&amp;""))-1),2)="병원",LEFT(TRIM(G181&amp;""),FIND(" ",TRIM(G181&amp;""))-1),LEFT(TRIM(G181&amp;""),FIND(" ",TRIM(G181&amp;""))-1)&amp;"병원"))&gt;0,ISNUMBER(MATCH(TRIM(RIGHT(SUBSTITUTE(TRIM(G181&amp;"")," ",REPT(" ",60)),60)),코드표!$F$2:$F$101,0))),IF(RIGHT(LEFT(TRIM(G181&amp;""),FIND(" ",TRIM(G181&amp;""))-1),2)="병원",LEFT(TRIM(G181&amp;""),FIND(" ",TRIM(G181&amp;""))-1),LEFT(TRIM(G181&amp;""),FIND(" ",TRIM(G181&amp;""))-1)&amp;"병원")&amp;" "&amp;INDEX(코드표!$G$2:$G$101,MATCH(TRIM(RIGHT(SUBSTITUTE(TRIM(G181&amp;"")," ",REPT(" ",60)),60)),코드표!$F$2:$F$101,0)),"⚠"&amp;TRIM(G181&amp;""))),"⚠"&amp;TRIM(G181&amp;""))</f>
        <v/>
      </c>
      <c r="P181" s="10">
        <f>IFERROR(IF(TRIM(H181&amp;"")="","",IF(AND(ISNUMBER(FIND(" ",TRIM(H181&amp;""))),COUNTIF(코드표!$A$2:$A$21,IF(RIGHT(LEFT(TRIM(H181&amp;""),FIND(" ",TRIM(H181&amp;""))-1),2)="병원",LEFT(TRIM(H181&amp;""),FIND(" ",TRIM(H181&amp;""))-1),LEFT(TRIM(H181&amp;""),FIND(" ",TRIM(H181&amp;""))-1)&amp;"병원"))&gt;0,ISNUMBER(MATCH(TRIM(RIGHT(SUBSTITUTE(TRIM(H181&amp;"")," ",REPT(" ",60)),60)),코드표!$F$2:$F$101,0))),IF(RIGHT(LEFT(TRIM(H181&amp;""),FIND(" ",TRIM(H181&amp;""))-1),2)="병원",LEFT(TRIM(H181&amp;""),FIND(" ",TRIM(H181&amp;""))-1),LEFT(TRIM(H181&amp;""),FIND(" ",TRIM(H181&amp;""))-1)&amp;"병원")&amp;" "&amp;INDEX(코드표!$G$2:$G$101,MATCH(TRIM(RIGHT(SUBSTITUTE(TRIM(H181&amp;"")," ",REPT(" ",60)),60)),코드표!$F$2:$F$101,0)),"⚠"&amp;TRIM(H181&amp;""))),"⚠"&amp;TRIM(H181&amp;""))</f>
        <v/>
      </c>
      <c r="Q181" s="10">
        <f>IFERROR(IF(TRIM(I181&amp;"")="","",IF(AND(ISNUMBER(FIND(" ",TRIM(I181&amp;""))),COUNTIF(코드표!$A$2:$A$21,IF(RIGHT(LEFT(TRIM(I181&amp;""),FIND(" ",TRIM(I181&amp;""))-1),2)="병원",LEFT(TRIM(I181&amp;""),FIND(" ",TRIM(I181&amp;""))-1),LEFT(TRIM(I181&amp;""),FIND(" ",TRIM(I181&amp;""))-1)&amp;"병원"))&gt;0,ISNUMBER(MATCH(TRIM(RIGHT(SUBSTITUTE(TRIM(I181&amp;"")," ",REPT(" ",60)),60)),코드표!$F$2:$F$101,0))),IF(RIGHT(LEFT(TRIM(I181&amp;""),FIND(" ",TRIM(I181&amp;""))-1),2)="병원",LEFT(TRIM(I181&amp;""),FIND(" ",TRIM(I181&amp;""))-1),LEFT(TRIM(I181&amp;""),FIND(" ",TRIM(I181&amp;""))-1)&amp;"병원")&amp;" "&amp;INDEX(코드표!$G$2:$G$101,MATCH(TRIM(RIGHT(SUBSTITUTE(TRIM(I181&amp;"")," ",REPT(" ",60)),60)),코드표!$F$2:$F$101,0)),"⚠"&amp;TRIM(I181&amp;""))),"⚠"&amp;TRIM(I181&amp;""))</f>
        <v/>
      </c>
      <c r="R181" s="10">
        <f>IFERROR(IF(TRIM(J181&amp;"")="","",IF(AND(ISNUMBER(FIND(" ",TRIM(J181&amp;""))),COUNTIF(코드표!$A$2:$A$21,IF(RIGHT(LEFT(TRIM(J181&amp;""),FIND(" ",TRIM(J181&amp;""))-1),2)="병원",LEFT(TRIM(J181&amp;""),FIND(" ",TRIM(J181&amp;""))-1),LEFT(TRIM(J181&amp;""),FIND(" ",TRIM(J181&amp;""))-1)&amp;"병원"))&gt;0,ISNUMBER(MATCH(TRIM(RIGHT(SUBSTITUTE(TRIM(J181&amp;"")," ",REPT(" ",60)),60)),코드표!$F$2:$F$101,0))),IF(RIGHT(LEFT(TRIM(J181&amp;""),FIND(" ",TRIM(J181&amp;""))-1),2)="병원",LEFT(TRIM(J181&amp;""),FIND(" ",TRIM(J181&amp;""))-1),LEFT(TRIM(J181&amp;""),FIND(" ",TRIM(J181&amp;""))-1)&amp;"병원")&amp;" "&amp;INDEX(코드표!$G$2:$G$101,MATCH(TRIM(RIGHT(SUBSTITUTE(TRIM(J181&amp;"")," ",REPT(" ",60)),60)),코드표!$F$2:$F$101,0)),"⚠"&amp;TRIM(J181&amp;""))),"⚠"&amp;TRIM(J181&amp;""))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",TRIM(E182&amp;""))),COUNTIF(코드표!$A$2:$A$21,IF(RIGHT(LEFT(TRIM(E182&amp;""),FIND(" ",TRIM(E182&amp;""))-1),2)="병원",LEFT(TRIM(E182&amp;""),FIND(" ",TRIM(E182&amp;""))-1),LEFT(TRIM(E182&amp;""),FIND(" ",TRIM(E182&amp;""))-1)&amp;"병원"))&gt;0,ISNUMBER(MATCH(TRIM(RIGHT(SUBSTITUTE(TRIM(E182&amp;"")," ",REPT(" ",60)),60)),코드표!$F$2:$F$101,0))),IF(RIGHT(LEFT(TRIM(E182&amp;""),FIND(" ",TRIM(E182&amp;""))-1),2)="병원",LEFT(TRIM(E182&amp;""),FIND(" ",TRIM(E182&amp;""))-1),LEFT(TRIM(E182&amp;""),FIND(" ",TRIM(E182&amp;""))-1)&amp;"병원")&amp;" "&amp;INDEX(코드표!$G$2:$G$101,MATCH(TRIM(RIGHT(SUBSTITUTE(TRIM(E182&amp;"")," ",REPT(" ",60)),60)),코드표!$F$2:$F$101,0)),"⚠"&amp;TRIM(E182&amp;""))),"⚠"&amp;TRIM(E182&amp;""))</f>
        <v/>
      </c>
      <c r="N182" s="10">
        <f>IFERROR(IF(TRIM(F182&amp;"")="","",IF(AND(ISNUMBER(FIND(" ",TRIM(F182&amp;""))),COUNTIF(코드표!$A$2:$A$21,IF(RIGHT(LEFT(TRIM(F182&amp;""),FIND(" ",TRIM(F182&amp;""))-1),2)="병원",LEFT(TRIM(F182&amp;""),FIND(" ",TRIM(F182&amp;""))-1),LEFT(TRIM(F182&amp;""),FIND(" ",TRIM(F182&amp;""))-1)&amp;"병원"))&gt;0,ISNUMBER(MATCH(TRIM(RIGHT(SUBSTITUTE(TRIM(F182&amp;"")," ",REPT(" ",60)),60)),코드표!$F$2:$F$101,0))),IF(RIGHT(LEFT(TRIM(F182&amp;""),FIND(" ",TRIM(F182&amp;""))-1),2)="병원",LEFT(TRIM(F182&amp;""),FIND(" ",TRIM(F182&amp;""))-1),LEFT(TRIM(F182&amp;""),FIND(" ",TRIM(F182&amp;""))-1)&amp;"병원")&amp;" "&amp;INDEX(코드표!$G$2:$G$101,MATCH(TRIM(RIGHT(SUBSTITUTE(TRIM(F182&amp;"")," ",REPT(" ",60)),60)),코드표!$F$2:$F$101,0)),"⚠"&amp;TRIM(F182&amp;""))),"⚠"&amp;TRIM(F182&amp;""))</f>
        <v/>
      </c>
      <c r="O182" s="10">
        <f>IFERROR(IF(TRIM(G182&amp;"")="","",IF(AND(ISNUMBER(FIND(" ",TRIM(G182&amp;""))),COUNTIF(코드표!$A$2:$A$21,IF(RIGHT(LEFT(TRIM(G182&amp;""),FIND(" ",TRIM(G182&amp;""))-1),2)="병원",LEFT(TRIM(G182&amp;""),FIND(" ",TRIM(G182&amp;""))-1),LEFT(TRIM(G182&amp;""),FIND(" ",TRIM(G182&amp;""))-1)&amp;"병원"))&gt;0,ISNUMBER(MATCH(TRIM(RIGHT(SUBSTITUTE(TRIM(G182&amp;"")," ",REPT(" ",60)),60)),코드표!$F$2:$F$101,0))),IF(RIGHT(LEFT(TRIM(G182&amp;""),FIND(" ",TRIM(G182&amp;""))-1),2)="병원",LEFT(TRIM(G182&amp;""),FIND(" ",TRIM(G182&amp;""))-1),LEFT(TRIM(G182&amp;""),FIND(" ",TRIM(G182&amp;""))-1)&amp;"병원")&amp;" "&amp;INDEX(코드표!$G$2:$G$101,MATCH(TRIM(RIGHT(SUBSTITUTE(TRIM(G182&amp;"")," ",REPT(" ",60)),60)),코드표!$F$2:$F$101,0)),"⚠"&amp;TRIM(G182&amp;""))),"⚠"&amp;TRIM(G182&amp;""))</f>
        <v/>
      </c>
      <c r="P182" s="10">
        <f>IFERROR(IF(TRIM(H182&amp;"")="","",IF(AND(ISNUMBER(FIND(" ",TRIM(H182&amp;""))),COUNTIF(코드표!$A$2:$A$21,IF(RIGHT(LEFT(TRIM(H182&amp;""),FIND(" ",TRIM(H182&amp;""))-1),2)="병원",LEFT(TRIM(H182&amp;""),FIND(" ",TRIM(H182&amp;""))-1),LEFT(TRIM(H182&amp;""),FIND(" ",TRIM(H182&amp;""))-1)&amp;"병원"))&gt;0,ISNUMBER(MATCH(TRIM(RIGHT(SUBSTITUTE(TRIM(H182&amp;"")," ",REPT(" ",60)),60)),코드표!$F$2:$F$101,0))),IF(RIGHT(LEFT(TRIM(H182&amp;""),FIND(" ",TRIM(H182&amp;""))-1),2)="병원",LEFT(TRIM(H182&amp;""),FIND(" ",TRIM(H182&amp;""))-1),LEFT(TRIM(H182&amp;""),FIND(" ",TRIM(H182&amp;""))-1)&amp;"병원")&amp;" "&amp;INDEX(코드표!$G$2:$G$101,MATCH(TRIM(RIGHT(SUBSTITUTE(TRIM(H182&amp;"")," ",REPT(" ",60)),60)),코드표!$F$2:$F$101,0)),"⚠"&amp;TRIM(H182&amp;""))),"⚠"&amp;TRIM(H182&amp;""))</f>
        <v/>
      </c>
      <c r="Q182" s="10">
        <f>IFERROR(IF(TRIM(I182&amp;"")="","",IF(AND(ISNUMBER(FIND(" ",TRIM(I182&amp;""))),COUNTIF(코드표!$A$2:$A$21,IF(RIGHT(LEFT(TRIM(I182&amp;""),FIND(" ",TRIM(I182&amp;""))-1),2)="병원",LEFT(TRIM(I182&amp;""),FIND(" ",TRIM(I182&amp;""))-1),LEFT(TRIM(I182&amp;""),FIND(" ",TRIM(I182&amp;""))-1)&amp;"병원"))&gt;0,ISNUMBER(MATCH(TRIM(RIGHT(SUBSTITUTE(TRIM(I182&amp;"")," ",REPT(" ",60)),60)),코드표!$F$2:$F$101,0))),IF(RIGHT(LEFT(TRIM(I182&amp;""),FIND(" ",TRIM(I182&amp;""))-1),2)="병원",LEFT(TRIM(I182&amp;""),FIND(" ",TRIM(I182&amp;""))-1),LEFT(TRIM(I182&amp;""),FIND(" ",TRIM(I182&amp;""))-1)&amp;"병원")&amp;" "&amp;INDEX(코드표!$G$2:$G$101,MATCH(TRIM(RIGHT(SUBSTITUTE(TRIM(I182&amp;"")," ",REPT(" ",60)),60)),코드표!$F$2:$F$101,0)),"⚠"&amp;TRIM(I182&amp;""))),"⚠"&amp;TRIM(I182&amp;""))</f>
        <v/>
      </c>
      <c r="R182" s="10">
        <f>IFERROR(IF(TRIM(J182&amp;"")="","",IF(AND(ISNUMBER(FIND(" ",TRIM(J182&amp;""))),COUNTIF(코드표!$A$2:$A$21,IF(RIGHT(LEFT(TRIM(J182&amp;""),FIND(" ",TRIM(J182&amp;""))-1),2)="병원",LEFT(TRIM(J182&amp;""),FIND(" ",TRIM(J182&amp;""))-1),LEFT(TRIM(J182&amp;""),FIND(" ",TRIM(J182&amp;""))-1)&amp;"병원"))&gt;0,ISNUMBER(MATCH(TRIM(RIGHT(SUBSTITUTE(TRIM(J182&amp;"")," ",REPT(" ",60)),60)),코드표!$F$2:$F$101,0))),IF(RIGHT(LEFT(TRIM(J182&amp;""),FIND(" ",TRIM(J182&amp;""))-1),2)="병원",LEFT(TRIM(J182&amp;""),FIND(" ",TRIM(J182&amp;""))-1),LEFT(TRIM(J182&amp;""),FIND(" ",TRIM(J182&amp;""))-1)&amp;"병원")&amp;" "&amp;INDEX(코드표!$G$2:$G$101,MATCH(TRIM(RIGHT(SUBSTITUTE(TRIM(J182&amp;"")," ",REPT(" ",60)),60)),코드표!$F$2:$F$101,0)),"⚠"&amp;TRIM(J182&amp;""))),"⚠"&amp;TRIM(J182&amp;""))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",TRIM(E183&amp;""))),COUNTIF(코드표!$A$2:$A$21,IF(RIGHT(LEFT(TRIM(E183&amp;""),FIND(" ",TRIM(E183&amp;""))-1),2)="병원",LEFT(TRIM(E183&amp;""),FIND(" ",TRIM(E183&amp;""))-1),LEFT(TRIM(E183&amp;""),FIND(" ",TRIM(E183&amp;""))-1)&amp;"병원"))&gt;0,ISNUMBER(MATCH(TRIM(RIGHT(SUBSTITUTE(TRIM(E183&amp;"")," ",REPT(" ",60)),60)),코드표!$F$2:$F$101,0))),IF(RIGHT(LEFT(TRIM(E183&amp;""),FIND(" ",TRIM(E183&amp;""))-1),2)="병원",LEFT(TRIM(E183&amp;""),FIND(" ",TRIM(E183&amp;""))-1),LEFT(TRIM(E183&amp;""),FIND(" ",TRIM(E183&amp;""))-1)&amp;"병원")&amp;" "&amp;INDEX(코드표!$G$2:$G$101,MATCH(TRIM(RIGHT(SUBSTITUTE(TRIM(E183&amp;"")," ",REPT(" ",60)),60)),코드표!$F$2:$F$101,0)),"⚠"&amp;TRIM(E183&amp;""))),"⚠"&amp;TRIM(E183&amp;""))</f>
        <v/>
      </c>
      <c r="N183" s="10">
        <f>IFERROR(IF(TRIM(F183&amp;"")="","",IF(AND(ISNUMBER(FIND(" ",TRIM(F183&amp;""))),COUNTIF(코드표!$A$2:$A$21,IF(RIGHT(LEFT(TRIM(F183&amp;""),FIND(" ",TRIM(F183&amp;""))-1),2)="병원",LEFT(TRIM(F183&amp;""),FIND(" ",TRIM(F183&amp;""))-1),LEFT(TRIM(F183&amp;""),FIND(" ",TRIM(F183&amp;""))-1)&amp;"병원"))&gt;0,ISNUMBER(MATCH(TRIM(RIGHT(SUBSTITUTE(TRIM(F183&amp;"")," ",REPT(" ",60)),60)),코드표!$F$2:$F$101,0))),IF(RIGHT(LEFT(TRIM(F183&amp;""),FIND(" ",TRIM(F183&amp;""))-1),2)="병원",LEFT(TRIM(F183&amp;""),FIND(" ",TRIM(F183&amp;""))-1),LEFT(TRIM(F183&amp;""),FIND(" ",TRIM(F183&amp;""))-1)&amp;"병원")&amp;" "&amp;INDEX(코드표!$G$2:$G$101,MATCH(TRIM(RIGHT(SUBSTITUTE(TRIM(F183&amp;"")," ",REPT(" ",60)),60)),코드표!$F$2:$F$101,0)),"⚠"&amp;TRIM(F183&amp;""))),"⚠"&amp;TRIM(F183&amp;""))</f>
        <v/>
      </c>
      <c r="O183" s="10">
        <f>IFERROR(IF(TRIM(G183&amp;"")="","",IF(AND(ISNUMBER(FIND(" ",TRIM(G183&amp;""))),COUNTIF(코드표!$A$2:$A$21,IF(RIGHT(LEFT(TRIM(G183&amp;""),FIND(" ",TRIM(G183&amp;""))-1),2)="병원",LEFT(TRIM(G183&amp;""),FIND(" ",TRIM(G183&amp;""))-1),LEFT(TRIM(G183&amp;""),FIND(" ",TRIM(G183&amp;""))-1)&amp;"병원"))&gt;0,ISNUMBER(MATCH(TRIM(RIGHT(SUBSTITUTE(TRIM(G183&amp;"")," ",REPT(" ",60)),60)),코드표!$F$2:$F$101,0))),IF(RIGHT(LEFT(TRIM(G183&amp;""),FIND(" ",TRIM(G183&amp;""))-1),2)="병원",LEFT(TRIM(G183&amp;""),FIND(" ",TRIM(G183&amp;""))-1),LEFT(TRIM(G183&amp;""),FIND(" ",TRIM(G183&amp;""))-1)&amp;"병원")&amp;" "&amp;INDEX(코드표!$G$2:$G$101,MATCH(TRIM(RIGHT(SUBSTITUTE(TRIM(G183&amp;"")," ",REPT(" ",60)),60)),코드표!$F$2:$F$101,0)),"⚠"&amp;TRIM(G183&amp;""))),"⚠"&amp;TRIM(G183&amp;""))</f>
        <v/>
      </c>
      <c r="P183" s="10">
        <f>IFERROR(IF(TRIM(H183&amp;"")="","",IF(AND(ISNUMBER(FIND(" ",TRIM(H183&amp;""))),COUNTIF(코드표!$A$2:$A$21,IF(RIGHT(LEFT(TRIM(H183&amp;""),FIND(" ",TRIM(H183&amp;""))-1),2)="병원",LEFT(TRIM(H183&amp;""),FIND(" ",TRIM(H183&amp;""))-1),LEFT(TRIM(H183&amp;""),FIND(" ",TRIM(H183&amp;""))-1)&amp;"병원"))&gt;0,ISNUMBER(MATCH(TRIM(RIGHT(SUBSTITUTE(TRIM(H183&amp;"")," ",REPT(" ",60)),60)),코드표!$F$2:$F$101,0))),IF(RIGHT(LEFT(TRIM(H183&amp;""),FIND(" ",TRIM(H183&amp;""))-1),2)="병원",LEFT(TRIM(H183&amp;""),FIND(" ",TRIM(H183&amp;""))-1),LEFT(TRIM(H183&amp;""),FIND(" ",TRIM(H183&amp;""))-1)&amp;"병원")&amp;" "&amp;INDEX(코드표!$G$2:$G$101,MATCH(TRIM(RIGHT(SUBSTITUTE(TRIM(H183&amp;"")," ",REPT(" ",60)),60)),코드표!$F$2:$F$101,0)),"⚠"&amp;TRIM(H183&amp;""))),"⚠"&amp;TRIM(H183&amp;""))</f>
        <v/>
      </c>
      <c r="Q183" s="10">
        <f>IFERROR(IF(TRIM(I183&amp;"")="","",IF(AND(ISNUMBER(FIND(" ",TRIM(I183&amp;""))),COUNTIF(코드표!$A$2:$A$21,IF(RIGHT(LEFT(TRIM(I183&amp;""),FIND(" ",TRIM(I183&amp;""))-1),2)="병원",LEFT(TRIM(I183&amp;""),FIND(" ",TRIM(I183&amp;""))-1),LEFT(TRIM(I183&amp;""),FIND(" ",TRIM(I183&amp;""))-1)&amp;"병원"))&gt;0,ISNUMBER(MATCH(TRIM(RIGHT(SUBSTITUTE(TRIM(I183&amp;"")," ",REPT(" ",60)),60)),코드표!$F$2:$F$101,0))),IF(RIGHT(LEFT(TRIM(I183&amp;""),FIND(" ",TRIM(I183&amp;""))-1),2)="병원",LEFT(TRIM(I183&amp;""),FIND(" ",TRIM(I183&amp;""))-1),LEFT(TRIM(I183&amp;""),FIND(" ",TRIM(I183&amp;""))-1)&amp;"병원")&amp;" "&amp;INDEX(코드표!$G$2:$G$101,MATCH(TRIM(RIGHT(SUBSTITUTE(TRIM(I183&amp;"")," ",REPT(" ",60)),60)),코드표!$F$2:$F$101,0)),"⚠"&amp;TRIM(I183&amp;""))),"⚠"&amp;TRIM(I183&amp;""))</f>
        <v/>
      </c>
      <c r="R183" s="10">
        <f>IFERROR(IF(TRIM(J183&amp;"")="","",IF(AND(ISNUMBER(FIND(" ",TRIM(J183&amp;""))),COUNTIF(코드표!$A$2:$A$21,IF(RIGHT(LEFT(TRIM(J183&amp;""),FIND(" ",TRIM(J183&amp;""))-1),2)="병원",LEFT(TRIM(J183&amp;""),FIND(" ",TRIM(J183&amp;""))-1),LEFT(TRIM(J183&amp;""),FIND(" ",TRIM(J183&amp;""))-1)&amp;"병원"))&gt;0,ISNUMBER(MATCH(TRIM(RIGHT(SUBSTITUTE(TRIM(J183&amp;"")," ",REPT(" ",60)),60)),코드표!$F$2:$F$101,0))),IF(RIGHT(LEFT(TRIM(J183&amp;""),FIND(" ",TRIM(J183&amp;""))-1),2)="병원",LEFT(TRIM(J183&amp;""),FIND(" ",TRIM(J183&amp;""))-1),LEFT(TRIM(J183&amp;""),FIND(" ",TRIM(J183&amp;""))-1)&amp;"병원")&amp;" "&amp;INDEX(코드표!$G$2:$G$101,MATCH(TRIM(RIGHT(SUBSTITUTE(TRIM(J183&amp;"")," ",REPT(" ",60)),60)),코드표!$F$2:$F$101,0)),"⚠"&amp;TRIM(J183&amp;""))),"⚠"&amp;TRIM(J183&amp;""))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",TRIM(E184&amp;""))),COUNTIF(코드표!$A$2:$A$21,IF(RIGHT(LEFT(TRIM(E184&amp;""),FIND(" ",TRIM(E184&amp;""))-1),2)="병원",LEFT(TRIM(E184&amp;""),FIND(" ",TRIM(E184&amp;""))-1),LEFT(TRIM(E184&amp;""),FIND(" ",TRIM(E184&amp;""))-1)&amp;"병원"))&gt;0,ISNUMBER(MATCH(TRIM(RIGHT(SUBSTITUTE(TRIM(E184&amp;"")," ",REPT(" ",60)),60)),코드표!$F$2:$F$101,0))),IF(RIGHT(LEFT(TRIM(E184&amp;""),FIND(" ",TRIM(E184&amp;""))-1),2)="병원",LEFT(TRIM(E184&amp;""),FIND(" ",TRIM(E184&amp;""))-1),LEFT(TRIM(E184&amp;""),FIND(" ",TRIM(E184&amp;""))-1)&amp;"병원")&amp;" "&amp;INDEX(코드표!$G$2:$G$101,MATCH(TRIM(RIGHT(SUBSTITUTE(TRIM(E184&amp;"")," ",REPT(" ",60)),60)),코드표!$F$2:$F$101,0)),"⚠"&amp;TRIM(E184&amp;""))),"⚠"&amp;TRIM(E184&amp;""))</f>
        <v/>
      </c>
      <c r="N184" s="10">
        <f>IFERROR(IF(TRIM(F184&amp;"")="","",IF(AND(ISNUMBER(FIND(" ",TRIM(F184&amp;""))),COUNTIF(코드표!$A$2:$A$21,IF(RIGHT(LEFT(TRIM(F184&amp;""),FIND(" ",TRIM(F184&amp;""))-1),2)="병원",LEFT(TRIM(F184&amp;""),FIND(" ",TRIM(F184&amp;""))-1),LEFT(TRIM(F184&amp;""),FIND(" ",TRIM(F184&amp;""))-1)&amp;"병원"))&gt;0,ISNUMBER(MATCH(TRIM(RIGHT(SUBSTITUTE(TRIM(F184&amp;"")," ",REPT(" ",60)),60)),코드표!$F$2:$F$101,0))),IF(RIGHT(LEFT(TRIM(F184&amp;""),FIND(" ",TRIM(F184&amp;""))-1),2)="병원",LEFT(TRIM(F184&amp;""),FIND(" ",TRIM(F184&amp;""))-1),LEFT(TRIM(F184&amp;""),FIND(" ",TRIM(F184&amp;""))-1)&amp;"병원")&amp;" "&amp;INDEX(코드표!$G$2:$G$101,MATCH(TRIM(RIGHT(SUBSTITUTE(TRIM(F184&amp;"")," ",REPT(" ",60)),60)),코드표!$F$2:$F$101,0)),"⚠"&amp;TRIM(F184&amp;""))),"⚠"&amp;TRIM(F184&amp;""))</f>
        <v/>
      </c>
      <c r="O184" s="10">
        <f>IFERROR(IF(TRIM(G184&amp;"")="","",IF(AND(ISNUMBER(FIND(" ",TRIM(G184&amp;""))),COUNTIF(코드표!$A$2:$A$21,IF(RIGHT(LEFT(TRIM(G184&amp;""),FIND(" ",TRIM(G184&amp;""))-1),2)="병원",LEFT(TRIM(G184&amp;""),FIND(" ",TRIM(G184&amp;""))-1),LEFT(TRIM(G184&amp;""),FIND(" ",TRIM(G184&amp;""))-1)&amp;"병원"))&gt;0,ISNUMBER(MATCH(TRIM(RIGHT(SUBSTITUTE(TRIM(G184&amp;"")," ",REPT(" ",60)),60)),코드표!$F$2:$F$101,0))),IF(RIGHT(LEFT(TRIM(G184&amp;""),FIND(" ",TRIM(G184&amp;""))-1),2)="병원",LEFT(TRIM(G184&amp;""),FIND(" ",TRIM(G184&amp;""))-1),LEFT(TRIM(G184&amp;""),FIND(" ",TRIM(G184&amp;""))-1)&amp;"병원")&amp;" "&amp;INDEX(코드표!$G$2:$G$101,MATCH(TRIM(RIGHT(SUBSTITUTE(TRIM(G184&amp;"")," ",REPT(" ",60)),60)),코드표!$F$2:$F$101,0)),"⚠"&amp;TRIM(G184&amp;""))),"⚠"&amp;TRIM(G184&amp;""))</f>
        <v/>
      </c>
      <c r="P184" s="10">
        <f>IFERROR(IF(TRIM(H184&amp;"")="","",IF(AND(ISNUMBER(FIND(" ",TRIM(H184&amp;""))),COUNTIF(코드표!$A$2:$A$21,IF(RIGHT(LEFT(TRIM(H184&amp;""),FIND(" ",TRIM(H184&amp;""))-1),2)="병원",LEFT(TRIM(H184&amp;""),FIND(" ",TRIM(H184&amp;""))-1),LEFT(TRIM(H184&amp;""),FIND(" ",TRIM(H184&amp;""))-1)&amp;"병원"))&gt;0,ISNUMBER(MATCH(TRIM(RIGHT(SUBSTITUTE(TRIM(H184&amp;"")," ",REPT(" ",60)),60)),코드표!$F$2:$F$101,0))),IF(RIGHT(LEFT(TRIM(H184&amp;""),FIND(" ",TRIM(H184&amp;""))-1),2)="병원",LEFT(TRIM(H184&amp;""),FIND(" ",TRIM(H184&amp;""))-1),LEFT(TRIM(H184&amp;""),FIND(" ",TRIM(H184&amp;""))-1)&amp;"병원")&amp;" "&amp;INDEX(코드표!$G$2:$G$101,MATCH(TRIM(RIGHT(SUBSTITUTE(TRIM(H184&amp;"")," ",REPT(" ",60)),60)),코드표!$F$2:$F$101,0)),"⚠"&amp;TRIM(H184&amp;""))),"⚠"&amp;TRIM(H184&amp;""))</f>
        <v/>
      </c>
      <c r="Q184" s="10">
        <f>IFERROR(IF(TRIM(I184&amp;"")="","",IF(AND(ISNUMBER(FIND(" ",TRIM(I184&amp;""))),COUNTIF(코드표!$A$2:$A$21,IF(RIGHT(LEFT(TRIM(I184&amp;""),FIND(" ",TRIM(I184&amp;""))-1),2)="병원",LEFT(TRIM(I184&amp;""),FIND(" ",TRIM(I184&amp;""))-1),LEFT(TRIM(I184&amp;""),FIND(" ",TRIM(I184&amp;""))-1)&amp;"병원"))&gt;0,ISNUMBER(MATCH(TRIM(RIGHT(SUBSTITUTE(TRIM(I184&amp;"")," ",REPT(" ",60)),60)),코드표!$F$2:$F$101,0))),IF(RIGHT(LEFT(TRIM(I184&amp;""),FIND(" ",TRIM(I184&amp;""))-1),2)="병원",LEFT(TRIM(I184&amp;""),FIND(" ",TRIM(I184&amp;""))-1),LEFT(TRIM(I184&amp;""),FIND(" ",TRIM(I184&amp;""))-1)&amp;"병원")&amp;" "&amp;INDEX(코드표!$G$2:$G$101,MATCH(TRIM(RIGHT(SUBSTITUTE(TRIM(I184&amp;"")," ",REPT(" ",60)),60)),코드표!$F$2:$F$101,0)),"⚠"&amp;TRIM(I184&amp;""))),"⚠"&amp;TRIM(I184&amp;""))</f>
        <v/>
      </c>
      <c r="R184" s="10">
        <f>IFERROR(IF(TRIM(J184&amp;"")="","",IF(AND(ISNUMBER(FIND(" ",TRIM(J184&amp;""))),COUNTIF(코드표!$A$2:$A$21,IF(RIGHT(LEFT(TRIM(J184&amp;""),FIND(" ",TRIM(J184&amp;""))-1),2)="병원",LEFT(TRIM(J184&amp;""),FIND(" ",TRIM(J184&amp;""))-1),LEFT(TRIM(J184&amp;""),FIND(" ",TRIM(J184&amp;""))-1)&amp;"병원"))&gt;0,ISNUMBER(MATCH(TRIM(RIGHT(SUBSTITUTE(TRIM(J184&amp;"")," ",REPT(" ",60)),60)),코드표!$F$2:$F$101,0))),IF(RIGHT(LEFT(TRIM(J184&amp;""),FIND(" ",TRIM(J184&amp;""))-1),2)="병원",LEFT(TRIM(J184&amp;""),FIND(" ",TRIM(J184&amp;""))-1),LEFT(TRIM(J184&amp;""),FIND(" ",TRIM(J184&amp;""))-1)&amp;"병원")&amp;" "&amp;INDEX(코드표!$G$2:$G$101,MATCH(TRIM(RIGHT(SUBSTITUTE(TRIM(J184&amp;"")," ",REPT(" ",60)),60)),코드표!$F$2:$F$101,0)),"⚠"&amp;TRIM(J184&amp;""))),"⚠"&amp;TRIM(J184&amp;""))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",TRIM(E185&amp;""))),COUNTIF(코드표!$A$2:$A$21,IF(RIGHT(LEFT(TRIM(E185&amp;""),FIND(" ",TRIM(E185&amp;""))-1),2)="병원",LEFT(TRIM(E185&amp;""),FIND(" ",TRIM(E185&amp;""))-1),LEFT(TRIM(E185&amp;""),FIND(" ",TRIM(E185&amp;""))-1)&amp;"병원"))&gt;0,ISNUMBER(MATCH(TRIM(RIGHT(SUBSTITUTE(TRIM(E185&amp;"")," ",REPT(" ",60)),60)),코드표!$F$2:$F$101,0))),IF(RIGHT(LEFT(TRIM(E185&amp;""),FIND(" ",TRIM(E185&amp;""))-1),2)="병원",LEFT(TRIM(E185&amp;""),FIND(" ",TRIM(E185&amp;""))-1),LEFT(TRIM(E185&amp;""),FIND(" ",TRIM(E185&amp;""))-1)&amp;"병원")&amp;" "&amp;INDEX(코드표!$G$2:$G$101,MATCH(TRIM(RIGHT(SUBSTITUTE(TRIM(E185&amp;"")," ",REPT(" ",60)),60)),코드표!$F$2:$F$101,0)),"⚠"&amp;TRIM(E185&amp;""))),"⚠"&amp;TRIM(E185&amp;""))</f>
        <v/>
      </c>
      <c r="N185" s="10">
        <f>IFERROR(IF(TRIM(F185&amp;"")="","",IF(AND(ISNUMBER(FIND(" ",TRIM(F185&amp;""))),COUNTIF(코드표!$A$2:$A$21,IF(RIGHT(LEFT(TRIM(F185&amp;""),FIND(" ",TRIM(F185&amp;""))-1),2)="병원",LEFT(TRIM(F185&amp;""),FIND(" ",TRIM(F185&amp;""))-1),LEFT(TRIM(F185&amp;""),FIND(" ",TRIM(F185&amp;""))-1)&amp;"병원"))&gt;0,ISNUMBER(MATCH(TRIM(RIGHT(SUBSTITUTE(TRIM(F185&amp;"")," ",REPT(" ",60)),60)),코드표!$F$2:$F$101,0))),IF(RIGHT(LEFT(TRIM(F185&amp;""),FIND(" ",TRIM(F185&amp;""))-1),2)="병원",LEFT(TRIM(F185&amp;""),FIND(" ",TRIM(F185&amp;""))-1),LEFT(TRIM(F185&amp;""),FIND(" ",TRIM(F185&amp;""))-1)&amp;"병원")&amp;" "&amp;INDEX(코드표!$G$2:$G$101,MATCH(TRIM(RIGHT(SUBSTITUTE(TRIM(F185&amp;"")," ",REPT(" ",60)),60)),코드표!$F$2:$F$101,0)),"⚠"&amp;TRIM(F185&amp;""))),"⚠"&amp;TRIM(F185&amp;""))</f>
        <v/>
      </c>
      <c r="O185" s="10">
        <f>IFERROR(IF(TRIM(G185&amp;"")="","",IF(AND(ISNUMBER(FIND(" ",TRIM(G185&amp;""))),COUNTIF(코드표!$A$2:$A$21,IF(RIGHT(LEFT(TRIM(G185&amp;""),FIND(" ",TRIM(G185&amp;""))-1),2)="병원",LEFT(TRIM(G185&amp;""),FIND(" ",TRIM(G185&amp;""))-1),LEFT(TRIM(G185&amp;""),FIND(" ",TRIM(G185&amp;""))-1)&amp;"병원"))&gt;0,ISNUMBER(MATCH(TRIM(RIGHT(SUBSTITUTE(TRIM(G185&amp;"")," ",REPT(" ",60)),60)),코드표!$F$2:$F$101,0))),IF(RIGHT(LEFT(TRIM(G185&amp;""),FIND(" ",TRIM(G185&amp;""))-1),2)="병원",LEFT(TRIM(G185&amp;""),FIND(" ",TRIM(G185&amp;""))-1),LEFT(TRIM(G185&amp;""),FIND(" ",TRIM(G185&amp;""))-1)&amp;"병원")&amp;" "&amp;INDEX(코드표!$G$2:$G$101,MATCH(TRIM(RIGHT(SUBSTITUTE(TRIM(G185&amp;"")," ",REPT(" ",60)),60)),코드표!$F$2:$F$101,0)),"⚠"&amp;TRIM(G185&amp;""))),"⚠"&amp;TRIM(G185&amp;""))</f>
        <v/>
      </c>
      <c r="P185" s="10">
        <f>IFERROR(IF(TRIM(H185&amp;"")="","",IF(AND(ISNUMBER(FIND(" ",TRIM(H185&amp;""))),COUNTIF(코드표!$A$2:$A$21,IF(RIGHT(LEFT(TRIM(H185&amp;""),FIND(" ",TRIM(H185&amp;""))-1),2)="병원",LEFT(TRIM(H185&amp;""),FIND(" ",TRIM(H185&amp;""))-1),LEFT(TRIM(H185&amp;""),FIND(" ",TRIM(H185&amp;""))-1)&amp;"병원"))&gt;0,ISNUMBER(MATCH(TRIM(RIGHT(SUBSTITUTE(TRIM(H185&amp;"")," ",REPT(" ",60)),60)),코드표!$F$2:$F$101,0))),IF(RIGHT(LEFT(TRIM(H185&amp;""),FIND(" ",TRIM(H185&amp;""))-1),2)="병원",LEFT(TRIM(H185&amp;""),FIND(" ",TRIM(H185&amp;""))-1),LEFT(TRIM(H185&amp;""),FIND(" ",TRIM(H185&amp;""))-1)&amp;"병원")&amp;" "&amp;INDEX(코드표!$G$2:$G$101,MATCH(TRIM(RIGHT(SUBSTITUTE(TRIM(H185&amp;"")," ",REPT(" ",60)),60)),코드표!$F$2:$F$101,0)),"⚠"&amp;TRIM(H185&amp;""))),"⚠"&amp;TRIM(H185&amp;""))</f>
        <v/>
      </c>
      <c r="Q185" s="10">
        <f>IFERROR(IF(TRIM(I185&amp;"")="","",IF(AND(ISNUMBER(FIND(" ",TRIM(I185&amp;""))),COUNTIF(코드표!$A$2:$A$21,IF(RIGHT(LEFT(TRIM(I185&amp;""),FIND(" ",TRIM(I185&amp;""))-1),2)="병원",LEFT(TRIM(I185&amp;""),FIND(" ",TRIM(I185&amp;""))-1),LEFT(TRIM(I185&amp;""),FIND(" ",TRIM(I185&amp;""))-1)&amp;"병원"))&gt;0,ISNUMBER(MATCH(TRIM(RIGHT(SUBSTITUTE(TRIM(I185&amp;"")," ",REPT(" ",60)),60)),코드표!$F$2:$F$101,0))),IF(RIGHT(LEFT(TRIM(I185&amp;""),FIND(" ",TRIM(I185&amp;""))-1),2)="병원",LEFT(TRIM(I185&amp;""),FIND(" ",TRIM(I185&amp;""))-1),LEFT(TRIM(I185&amp;""),FIND(" ",TRIM(I185&amp;""))-1)&amp;"병원")&amp;" "&amp;INDEX(코드표!$G$2:$G$101,MATCH(TRIM(RIGHT(SUBSTITUTE(TRIM(I185&amp;"")," ",REPT(" ",60)),60)),코드표!$F$2:$F$101,0)),"⚠"&amp;TRIM(I185&amp;""))),"⚠"&amp;TRIM(I185&amp;""))</f>
        <v/>
      </c>
      <c r="R185" s="10">
        <f>IFERROR(IF(TRIM(J185&amp;"")="","",IF(AND(ISNUMBER(FIND(" ",TRIM(J185&amp;""))),COUNTIF(코드표!$A$2:$A$21,IF(RIGHT(LEFT(TRIM(J185&amp;""),FIND(" ",TRIM(J185&amp;""))-1),2)="병원",LEFT(TRIM(J185&amp;""),FIND(" ",TRIM(J185&amp;""))-1),LEFT(TRIM(J185&amp;""),FIND(" ",TRIM(J185&amp;""))-1)&amp;"병원"))&gt;0,ISNUMBER(MATCH(TRIM(RIGHT(SUBSTITUTE(TRIM(J185&amp;"")," ",REPT(" ",60)),60)),코드표!$F$2:$F$101,0))),IF(RIGHT(LEFT(TRIM(J185&amp;""),FIND(" ",TRIM(J185&amp;""))-1),2)="병원",LEFT(TRIM(J185&amp;""),FIND(" ",TRIM(J185&amp;""))-1),LEFT(TRIM(J185&amp;""),FIND(" ",TRIM(J185&amp;""))-1)&amp;"병원")&amp;" "&amp;INDEX(코드표!$G$2:$G$101,MATCH(TRIM(RIGHT(SUBSTITUTE(TRIM(J185&amp;"")," ",REPT(" ",60)),60)),코드표!$F$2:$F$101,0)),"⚠"&amp;TRIM(J185&amp;""))),"⚠"&amp;TRIM(J185&amp;""))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",TRIM(E186&amp;""))),COUNTIF(코드표!$A$2:$A$21,IF(RIGHT(LEFT(TRIM(E186&amp;""),FIND(" ",TRIM(E186&amp;""))-1),2)="병원",LEFT(TRIM(E186&amp;""),FIND(" ",TRIM(E186&amp;""))-1),LEFT(TRIM(E186&amp;""),FIND(" ",TRIM(E186&amp;""))-1)&amp;"병원"))&gt;0,ISNUMBER(MATCH(TRIM(RIGHT(SUBSTITUTE(TRIM(E186&amp;"")," ",REPT(" ",60)),60)),코드표!$F$2:$F$101,0))),IF(RIGHT(LEFT(TRIM(E186&amp;""),FIND(" ",TRIM(E186&amp;""))-1),2)="병원",LEFT(TRIM(E186&amp;""),FIND(" ",TRIM(E186&amp;""))-1),LEFT(TRIM(E186&amp;""),FIND(" ",TRIM(E186&amp;""))-1)&amp;"병원")&amp;" "&amp;INDEX(코드표!$G$2:$G$101,MATCH(TRIM(RIGHT(SUBSTITUTE(TRIM(E186&amp;"")," ",REPT(" ",60)),60)),코드표!$F$2:$F$101,0)),"⚠"&amp;TRIM(E186&amp;""))),"⚠"&amp;TRIM(E186&amp;""))</f>
        <v/>
      </c>
      <c r="N186" s="10">
        <f>IFERROR(IF(TRIM(F186&amp;"")="","",IF(AND(ISNUMBER(FIND(" ",TRIM(F186&amp;""))),COUNTIF(코드표!$A$2:$A$21,IF(RIGHT(LEFT(TRIM(F186&amp;""),FIND(" ",TRIM(F186&amp;""))-1),2)="병원",LEFT(TRIM(F186&amp;""),FIND(" ",TRIM(F186&amp;""))-1),LEFT(TRIM(F186&amp;""),FIND(" ",TRIM(F186&amp;""))-1)&amp;"병원"))&gt;0,ISNUMBER(MATCH(TRIM(RIGHT(SUBSTITUTE(TRIM(F186&amp;"")," ",REPT(" ",60)),60)),코드표!$F$2:$F$101,0))),IF(RIGHT(LEFT(TRIM(F186&amp;""),FIND(" ",TRIM(F186&amp;""))-1),2)="병원",LEFT(TRIM(F186&amp;""),FIND(" ",TRIM(F186&amp;""))-1),LEFT(TRIM(F186&amp;""),FIND(" ",TRIM(F186&amp;""))-1)&amp;"병원")&amp;" "&amp;INDEX(코드표!$G$2:$G$101,MATCH(TRIM(RIGHT(SUBSTITUTE(TRIM(F186&amp;"")," ",REPT(" ",60)),60)),코드표!$F$2:$F$101,0)),"⚠"&amp;TRIM(F186&amp;""))),"⚠"&amp;TRIM(F186&amp;""))</f>
        <v/>
      </c>
      <c r="O186" s="10">
        <f>IFERROR(IF(TRIM(G186&amp;"")="","",IF(AND(ISNUMBER(FIND(" ",TRIM(G186&amp;""))),COUNTIF(코드표!$A$2:$A$21,IF(RIGHT(LEFT(TRIM(G186&amp;""),FIND(" ",TRIM(G186&amp;""))-1),2)="병원",LEFT(TRIM(G186&amp;""),FIND(" ",TRIM(G186&amp;""))-1),LEFT(TRIM(G186&amp;""),FIND(" ",TRIM(G186&amp;""))-1)&amp;"병원"))&gt;0,ISNUMBER(MATCH(TRIM(RIGHT(SUBSTITUTE(TRIM(G186&amp;"")," ",REPT(" ",60)),60)),코드표!$F$2:$F$101,0))),IF(RIGHT(LEFT(TRIM(G186&amp;""),FIND(" ",TRIM(G186&amp;""))-1),2)="병원",LEFT(TRIM(G186&amp;""),FIND(" ",TRIM(G186&amp;""))-1),LEFT(TRIM(G186&amp;""),FIND(" ",TRIM(G186&amp;""))-1)&amp;"병원")&amp;" "&amp;INDEX(코드표!$G$2:$G$101,MATCH(TRIM(RIGHT(SUBSTITUTE(TRIM(G186&amp;"")," ",REPT(" ",60)),60)),코드표!$F$2:$F$101,0)),"⚠"&amp;TRIM(G186&amp;""))),"⚠"&amp;TRIM(G186&amp;""))</f>
        <v/>
      </c>
      <c r="P186" s="10">
        <f>IFERROR(IF(TRIM(H186&amp;"")="","",IF(AND(ISNUMBER(FIND(" ",TRIM(H186&amp;""))),COUNTIF(코드표!$A$2:$A$21,IF(RIGHT(LEFT(TRIM(H186&amp;""),FIND(" ",TRIM(H186&amp;""))-1),2)="병원",LEFT(TRIM(H186&amp;""),FIND(" ",TRIM(H186&amp;""))-1),LEFT(TRIM(H186&amp;""),FIND(" ",TRIM(H186&amp;""))-1)&amp;"병원"))&gt;0,ISNUMBER(MATCH(TRIM(RIGHT(SUBSTITUTE(TRIM(H186&amp;"")," ",REPT(" ",60)),60)),코드표!$F$2:$F$101,0))),IF(RIGHT(LEFT(TRIM(H186&amp;""),FIND(" ",TRIM(H186&amp;""))-1),2)="병원",LEFT(TRIM(H186&amp;""),FIND(" ",TRIM(H186&amp;""))-1),LEFT(TRIM(H186&amp;""),FIND(" ",TRIM(H186&amp;""))-1)&amp;"병원")&amp;" "&amp;INDEX(코드표!$G$2:$G$101,MATCH(TRIM(RIGHT(SUBSTITUTE(TRIM(H186&amp;"")," ",REPT(" ",60)),60)),코드표!$F$2:$F$101,0)),"⚠"&amp;TRIM(H186&amp;""))),"⚠"&amp;TRIM(H186&amp;""))</f>
        <v/>
      </c>
      <c r="Q186" s="10">
        <f>IFERROR(IF(TRIM(I186&amp;"")="","",IF(AND(ISNUMBER(FIND(" ",TRIM(I186&amp;""))),COUNTIF(코드표!$A$2:$A$21,IF(RIGHT(LEFT(TRIM(I186&amp;""),FIND(" ",TRIM(I186&amp;""))-1),2)="병원",LEFT(TRIM(I186&amp;""),FIND(" ",TRIM(I186&amp;""))-1),LEFT(TRIM(I186&amp;""),FIND(" ",TRIM(I186&amp;""))-1)&amp;"병원"))&gt;0,ISNUMBER(MATCH(TRIM(RIGHT(SUBSTITUTE(TRIM(I186&amp;"")," ",REPT(" ",60)),60)),코드표!$F$2:$F$101,0))),IF(RIGHT(LEFT(TRIM(I186&amp;""),FIND(" ",TRIM(I186&amp;""))-1),2)="병원",LEFT(TRIM(I186&amp;""),FIND(" ",TRIM(I186&amp;""))-1),LEFT(TRIM(I186&amp;""),FIND(" ",TRIM(I186&amp;""))-1)&amp;"병원")&amp;" "&amp;INDEX(코드표!$G$2:$G$101,MATCH(TRIM(RIGHT(SUBSTITUTE(TRIM(I186&amp;"")," ",REPT(" ",60)),60)),코드표!$F$2:$F$101,0)),"⚠"&amp;TRIM(I186&amp;""))),"⚠"&amp;TRIM(I186&amp;""))</f>
        <v/>
      </c>
      <c r="R186" s="10">
        <f>IFERROR(IF(TRIM(J186&amp;"")="","",IF(AND(ISNUMBER(FIND(" ",TRIM(J186&amp;""))),COUNTIF(코드표!$A$2:$A$21,IF(RIGHT(LEFT(TRIM(J186&amp;""),FIND(" ",TRIM(J186&amp;""))-1),2)="병원",LEFT(TRIM(J186&amp;""),FIND(" ",TRIM(J186&amp;""))-1),LEFT(TRIM(J186&amp;""),FIND(" ",TRIM(J186&amp;""))-1)&amp;"병원"))&gt;0,ISNUMBER(MATCH(TRIM(RIGHT(SUBSTITUTE(TRIM(J186&amp;"")," ",REPT(" ",60)),60)),코드표!$F$2:$F$101,0))),IF(RIGHT(LEFT(TRIM(J186&amp;""),FIND(" ",TRIM(J186&amp;""))-1),2)="병원",LEFT(TRIM(J186&amp;""),FIND(" ",TRIM(J186&amp;""))-1),LEFT(TRIM(J186&amp;""),FIND(" ",TRIM(J186&amp;""))-1)&amp;"병원")&amp;" "&amp;INDEX(코드표!$G$2:$G$101,MATCH(TRIM(RIGHT(SUBSTITUTE(TRIM(J186&amp;"")," ",REPT(" ",60)),60)),코드표!$F$2:$F$101,0)),"⚠"&amp;TRIM(J186&amp;""))),"⚠"&amp;TRIM(J186&amp;""))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",TRIM(E187&amp;""))),COUNTIF(코드표!$A$2:$A$21,IF(RIGHT(LEFT(TRIM(E187&amp;""),FIND(" ",TRIM(E187&amp;""))-1),2)="병원",LEFT(TRIM(E187&amp;""),FIND(" ",TRIM(E187&amp;""))-1),LEFT(TRIM(E187&amp;""),FIND(" ",TRIM(E187&amp;""))-1)&amp;"병원"))&gt;0,ISNUMBER(MATCH(TRIM(RIGHT(SUBSTITUTE(TRIM(E187&amp;"")," ",REPT(" ",60)),60)),코드표!$F$2:$F$101,0))),IF(RIGHT(LEFT(TRIM(E187&amp;""),FIND(" ",TRIM(E187&amp;""))-1),2)="병원",LEFT(TRIM(E187&amp;""),FIND(" ",TRIM(E187&amp;""))-1),LEFT(TRIM(E187&amp;""),FIND(" ",TRIM(E187&amp;""))-1)&amp;"병원")&amp;" "&amp;INDEX(코드표!$G$2:$G$101,MATCH(TRIM(RIGHT(SUBSTITUTE(TRIM(E187&amp;"")," ",REPT(" ",60)),60)),코드표!$F$2:$F$101,0)),"⚠"&amp;TRIM(E187&amp;""))),"⚠"&amp;TRIM(E187&amp;""))</f>
        <v/>
      </c>
      <c r="N187" s="10">
        <f>IFERROR(IF(TRIM(F187&amp;"")="","",IF(AND(ISNUMBER(FIND(" ",TRIM(F187&amp;""))),COUNTIF(코드표!$A$2:$A$21,IF(RIGHT(LEFT(TRIM(F187&amp;""),FIND(" ",TRIM(F187&amp;""))-1),2)="병원",LEFT(TRIM(F187&amp;""),FIND(" ",TRIM(F187&amp;""))-1),LEFT(TRIM(F187&amp;""),FIND(" ",TRIM(F187&amp;""))-1)&amp;"병원"))&gt;0,ISNUMBER(MATCH(TRIM(RIGHT(SUBSTITUTE(TRIM(F187&amp;"")," ",REPT(" ",60)),60)),코드표!$F$2:$F$101,0))),IF(RIGHT(LEFT(TRIM(F187&amp;""),FIND(" ",TRIM(F187&amp;""))-1),2)="병원",LEFT(TRIM(F187&amp;""),FIND(" ",TRIM(F187&amp;""))-1),LEFT(TRIM(F187&amp;""),FIND(" ",TRIM(F187&amp;""))-1)&amp;"병원")&amp;" "&amp;INDEX(코드표!$G$2:$G$101,MATCH(TRIM(RIGHT(SUBSTITUTE(TRIM(F187&amp;"")," ",REPT(" ",60)),60)),코드표!$F$2:$F$101,0)),"⚠"&amp;TRIM(F187&amp;""))),"⚠"&amp;TRIM(F187&amp;""))</f>
        <v/>
      </c>
      <c r="O187" s="10">
        <f>IFERROR(IF(TRIM(G187&amp;"")="","",IF(AND(ISNUMBER(FIND(" ",TRIM(G187&amp;""))),COUNTIF(코드표!$A$2:$A$21,IF(RIGHT(LEFT(TRIM(G187&amp;""),FIND(" ",TRIM(G187&amp;""))-1),2)="병원",LEFT(TRIM(G187&amp;""),FIND(" ",TRIM(G187&amp;""))-1),LEFT(TRIM(G187&amp;""),FIND(" ",TRIM(G187&amp;""))-1)&amp;"병원"))&gt;0,ISNUMBER(MATCH(TRIM(RIGHT(SUBSTITUTE(TRIM(G187&amp;"")," ",REPT(" ",60)),60)),코드표!$F$2:$F$101,0))),IF(RIGHT(LEFT(TRIM(G187&amp;""),FIND(" ",TRIM(G187&amp;""))-1),2)="병원",LEFT(TRIM(G187&amp;""),FIND(" ",TRIM(G187&amp;""))-1),LEFT(TRIM(G187&amp;""),FIND(" ",TRIM(G187&amp;""))-1)&amp;"병원")&amp;" "&amp;INDEX(코드표!$G$2:$G$101,MATCH(TRIM(RIGHT(SUBSTITUTE(TRIM(G187&amp;"")," ",REPT(" ",60)),60)),코드표!$F$2:$F$101,0)),"⚠"&amp;TRIM(G187&amp;""))),"⚠"&amp;TRIM(G187&amp;""))</f>
        <v/>
      </c>
      <c r="P187" s="10">
        <f>IFERROR(IF(TRIM(H187&amp;"")="","",IF(AND(ISNUMBER(FIND(" ",TRIM(H187&amp;""))),COUNTIF(코드표!$A$2:$A$21,IF(RIGHT(LEFT(TRIM(H187&amp;""),FIND(" ",TRIM(H187&amp;""))-1),2)="병원",LEFT(TRIM(H187&amp;""),FIND(" ",TRIM(H187&amp;""))-1),LEFT(TRIM(H187&amp;""),FIND(" ",TRIM(H187&amp;""))-1)&amp;"병원"))&gt;0,ISNUMBER(MATCH(TRIM(RIGHT(SUBSTITUTE(TRIM(H187&amp;"")," ",REPT(" ",60)),60)),코드표!$F$2:$F$101,0))),IF(RIGHT(LEFT(TRIM(H187&amp;""),FIND(" ",TRIM(H187&amp;""))-1),2)="병원",LEFT(TRIM(H187&amp;""),FIND(" ",TRIM(H187&amp;""))-1),LEFT(TRIM(H187&amp;""),FIND(" ",TRIM(H187&amp;""))-1)&amp;"병원")&amp;" "&amp;INDEX(코드표!$G$2:$G$101,MATCH(TRIM(RIGHT(SUBSTITUTE(TRIM(H187&amp;"")," ",REPT(" ",60)),60)),코드표!$F$2:$F$101,0)),"⚠"&amp;TRIM(H187&amp;""))),"⚠"&amp;TRIM(H187&amp;""))</f>
        <v/>
      </c>
      <c r="Q187" s="10">
        <f>IFERROR(IF(TRIM(I187&amp;"")="","",IF(AND(ISNUMBER(FIND(" ",TRIM(I187&amp;""))),COUNTIF(코드표!$A$2:$A$21,IF(RIGHT(LEFT(TRIM(I187&amp;""),FIND(" ",TRIM(I187&amp;""))-1),2)="병원",LEFT(TRIM(I187&amp;""),FIND(" ",TRIM(I187&amp;""))-1),LEFT(TRIM(I187&amp;""),FIND(" ",TRIM(I187&amp;""))-1)&amp;"병원"))&gt;0,ISNUMBER(MATCH(TRIM(RIGHT(SUBSTITUTE(TRIM(I187&amp;"")," ",REPT(" ",60)),60)),코드표!$F$2:$F$101,0))),IF(RIGHT(LEFT(TRIM(I187&amp;""),FIND(" ",TRIM(I187&amp;""))-1),2)="병원",LEFT(TRIM(I187&amp;""),FIND(" ",TRIM(I187&amp;""))-1),LEFT(TRIM(I187&amp;""),FIND(" ",TRIM(I187&amp;""))-1)&amp;"병원")&amp;" "&amp;INDEX(코드표!$G$2:$G$101,MATCH(TRIM(RIGHT(SUBSTITUTE(TRIM(I187&amp;"")," ",REPT(" ",60)),60)),코드표!$F$2:$F$101,0)),"⚠"&amp;TRIM(I187&amp;""))),"⚠"&amp;TRIM(I187&amp;""))</f>
        <v/>
      </c>
      <c r="R187" s="10">
        <f>IFERROR(IF(TRIM(J187&amp;"")="","",IF(AND(ISNUMBER(FIND(" ",TRIM(J187&amp;""))),COUNTIF(코드표!$A$2:$A$21,IF(RIGHT(LEFT(TRIM(J187&amp;""),FIND(" ",TRIM(J187&amp;""))-1),2)="병원",LEFT(TRIM(J187&amp;""),FIND(" ",TRIM(J187&amp;""))-1),LEFT(TRIM(J187&amp;""),FIND(" ",TRIM(J187&amp;""))-1)&amp;"병원"))&gt;0,ISNUMBER(MATCH(TRIM(RIGHT(SUBSTITUTE(TRIM(J187&amp;"")," ",REPT(" ",60)),60)),코드표!$F$2:$F$101,0))),IF(RIGHT(LEFT(TRIM(J187&amp;""),FIND(" ",TRIM(J187&amp;""))-1),2)="병원",LEFT(TRIM(J187&amp;""),FIND(" ",TRIM(J187&amp;""))-1),LEFT(TRIM(J187&amp;""),FIND(" ",TRIM(J187&amp;""))-1)&amp;"병원")&amp;" "&amp;INDEX(코드표!$G$2:$G$101,MATCH(TRIM(RIGHT(SUBSTITUTE(TRIM(J187&amp;"")," ",REPT(" ",60)),60)),코드표!$F$2:$F$101,0)),"⚠"&amp;TRIM(J187&amp;""))),"⚠"&amp;TRIM(J187&amp;""))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",TRIM(E188&amp;""))),COUNTIF(코드표!$A$2:$A$21,IF(RIGHT(LEFT(TRIM(E188&amp;""),FIND(" ",TRIM(E188&amp;""))-1),2)="병원",LEFT(TRIM(E188&amp;""),FIND(" ",TRIM(E188&amp;""))-1),LEFT(TRIM(E188&amp;""),FIND(" ",TRIM(E188&amp;""))-1)&amp;"병원"))&gt;0,ISNUMBER(MATCH(TRIM(RIGHT(SUBSTITUTE(TRIM(E188&amp;"")," ",REPT(" ",60)),60)),코드표!$F$2:$F$101,0))),IF(RIGHT(LEFT(TRIM(E188&amp;""),FIND(" ",TRIM(E188&amp;""))-1),2)="병원",LEFT(TRIM(E188&amp;""),FIND(" ",TRIM(E188&amp;""))-1),LEFT(TRIM(E188&amp;""),FIND(" ",TRIM(E188&amp;""))-1)&amp;"병원")&amp;" "&amp;INDEX(코드표!$G$2:$G$101,MATCH(TRIM(RIGHT(SUBSTITUTE(TRIM(E188&amp;"")," ",REPT(" ",60)),60)),코드표!$F$2:$F$101,0)),"⚠"&amp;TRIM(E188&amp;""))),"⚠"&amp;TRIM(E188&amp;""))</f>
        <v/>
      </c>
      <c r="N188" s="10">
        <f>IFERROR(IF(TRIM(F188&amp;"")="","",IF(AND(ISNUMBER(FIND(" ",TRIM(F188&amp;""))),COUNTIF(코드표!$A$2:$A$21,IF(RIGHT(LEFT(TRIM(F188&amp;""),FIND(" ",TRIM(F188&amp;""))-1),2)="병원",LEFT(TRIM(F188&amp;""),FIND(" ",TRIM(F188&amp;""))-1),LEFT(TRIM(F188&amp;""),FIND(" ",TRIM(F188&amp;""))-1)&amp;"병원"))&gt;0,ISNUMBER(MATCH(TRIM(RIGHT(SUBSTITUTE(TRIM(F188&amp;"")," ",REPT(" ",60)),60)),코드표!$F$2:$F$101,0))),IF(RIGHT(LEFT(TRIM(F188&amp;""),FIND(" ",TRIM(F188&amp;""))-1),2)="병원",LEFT(TRIM(F188&amp;""),FIND(" ",TRIM(F188&amp;""))-1),LEFT(TRIM(F188&amp;""),FIND(" ",TRIM(F188&amp;""))-1)&amp;"병원")&amp;" "&amp;INDEX(코드표!$G$2:$G$101,MATCH(TRIM(RIGHT(SUBSTITUTE(TRIM(F188&amp;"")," ",REPT(" ",60)),60)),코드표!$F$2:$F$101,0)),"⚠"&amp;TRIM(F188&amp;""))),"⚠"&amp;TRIM(F188&amp;""))</f>
        <v/>
      </c>
      <c r="O188" s="10">
        <f>IFERROR(IF(TRIM(G188&amp;"")="","",IF(AND(ISNUMBER(FIND(" ",TRIM(G188&amp;""))),COUNTIF(코드표!$A$2:$A$21,IF(RIGHT(LEFT(TRIM(G188&amp;""),FIND(" ",TRIM(G188&amp;""))-1),2)="병원",LEFT(TRIM(G188&amp;""),FIND(" ",TRIM(G188&amp;""))-1),LEFT(TRIM(G188&amp;""),FIND(" ",TRIM(G188&amp;""))-1)&amp;"병원"))&gt;0,ISNUMBER(MATCH(TRIM(RIGHT(SUBSTITUTE(TRIM(G188&amp;"")," ",REPT(" ",60)),60)),코드표!$F$2:$F$101,0))),IF(RIGHT(LEFT(TRIM(G188&amp;""),FIND(" ",TRIM(G188&amp;""))-1),2)="병원",LEFT(TRIM(G188&amp;""),FIND(" ",TRIM(G188&amp;""))-1),LEFT(TRIM(G188&amp;""),FIND(" ",TRIM(G188&amp;""))-1)&amp;"병원")&amp;" "&amp;INDEX(코드표!$G$2:$G$101,MATCH(TRIM(RIGHT(SUBSTITUTE(TRIM(G188&amp;"")," ",REPT(" ",60)),60)),코드표!$F$2:$F$101,0)),"⚠"&amp;TRIM(G188&amp;""))),"⚠"&amp;TRIM(G188&amp;""))</f>
        <v/>
      </c>
      <c r="P188" s="10">
        <f>IFERROR(IF(TRIM(H188&amp;"")="","",IF(AND(ISNUMBER(FIND(" ",TRIM(H188&amp;""))),COUNTIF(코드표!$A$2:$A$21,IF(RIGHT(LEFT(TRIM(H188&amp;""),FIND(" ",TRIM(H188&amp;""))-1),2)="병원",LEFT(TRIM(H188&amp;""),FIND(" ",TRIM(H188&amp;""))-1),LEFT(TRIM(H188&amp;""),FIND(" ",TRIM(H188&amp;""))-1)&amp;"병원"))&gt;0,ISNUMBER(MATCH(TRIM(RIGHT(SUBSTITUTE(TRIM(H188&amp;"")," ",REPT(" ",60)),60)),코드표!$F$2:$F$101,0))),IF(RIGHT(LEFT(TRIM(H188&amp;""),FIND(" ",TRIM(H188&amp;""))-1),2)="병원",LEFT(TRIM(H188&amp;""),FIND(" ",TRIM(H188&amp;""))-1),LEFT(TRIM(H188&amp;""),FIND(" ",TRIM(H188&amp;""))-1)&amp;"병원")&amp;" "&amp;INDEX(코드표!$G$2:$G$101,MATCH(TRIM(RIGHT(SUBSTITUTE(TRIM(H188&amp;"")," ",REPT(" ",60)),60)),코드표!$F$2:$F$101,0)),"⚠"&amp;TRIM(H188&amp;""))),"⚠"&amp;TRIM(H188&amp;""))</f>
        <v/>
      </c>
      <c r="Q188" s="10">
        <f>IFERROR(IF(TRIM(I188&amp;"")="","",IF(AND(ISNUMBER(FIND(" ",TRIM(I188&amp;""))),COUNTIF(코드표!$A$2:$A$21,IF(RIGHT(LEFT(TRIM(I188&amp;""),FIND(" ",TRIM(I188&amp;""))-1),2)="병원",LEFT(TRIM(I188&amp;""),FIND(" ",TRIM(I188&amp;""))-1),LEFT(TRIM(I188&amp;""),FIND(" ",TRIM(I188&amp;""))-1)&amp;"병원"))&gt;0,ISNUMBER(MATCH(TRIM(RIGHT(SUBSTITUTE(TRIM(I188&amp;"")," ",REPT(" ",60)),60)),코드표!$F$2:$F$101,0))),IF(RIGHT(LEFT(TRIM(I188&amp;""),FIND(" ",TRIM(I188&amp;""))-1),2)="병원",LEFT(TRIM(I188&amp;""),FIND(" ",TRIM(I188&amp;""))-1),LEFT(TRIM(I188&amp;""),FIND(" ",TRIM(I188&amp;""))-1)&amp;"병원")&amp;" "&amp;INDEX(코드표!$G$2:$G$101,MATCH(TRIM(RIGHT(SUBSTITUTE(TRIM(I188&amp;"")," ",REPT(" ",60)),60)),코드표!$F$2:$F$101,0)),"⚠"&amp;TRIM(I188&amp;""))),"⚠"&amp;TRIM(I188&amp;""))</f>
        <v/>
      </c>
      <c r="R188" s="10">
        <f>IFERROR(IF(TRIM(J188&amp;"")="","",IF(AND(ISNUMBER(FIND(" ",TRIM(J188&amp;""))),COUNTIF(코드표!$A$2:$A$21,IF(RIGHT(LEFT(TRIM(J188&amp;""),FIND(" ",TRIM(J188&amp;""))-1),2)="병원",LEFT(TRIM(J188&amp;""),FIND(" ",TRIM(J188&amp;""))-1),LEFT(TRIM(J188&amp;""),FIND(" ",TRIM(J188&amp;""))-1)&amp;"병원"))&gt;0,ISNUMBER(MATCH(TRIM(RIGHT(SUBSTITUTE(TRIM(J188&amp;"")," ",REPT(" ",60)),60)),코드표!$F$2:$F$101,0))),IF(RIGHT(LEFT(TRIM(J188&amp;""),FIND(" ",TRIM(J188&amp;""))-1),2)="병원",LEFT(TRIM(J188&amp;""),FIND(" ",TRIM(J188&amp;""))-1),LEFT(TRIM(J188&amp;""),FIND(" ",TRIM(J188&amp;""))-1)&amp;"병원")&amp;" "&amp;INDEX(코드표!$G$2:$G$101,MATCH(TRIM(RIGHT(SUBSTITUTE(TRIM(J188&amp;"")," ",REPT(" ",60)),60)),코드표!$F$2:$F$101,0)),"⚠"&amp;TRIM(J188&amp;""))),"⚠"&amp;TRIM(J188&amp;""))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",TRIM(E189&amp;""))),COUNTIF(코드표!$A$2:$A$21,IF(RIGHT(LEFT(TRIM(E189&amp;""),FIND(" ",TRIM(E189&amp;""))-1),2)="병원",LEFT(TRIM(E189&amp;""),FIND(" ",TRIM(E189&amp;""))-1),LEFT(TRIM(E189&amp;""),FIND(" ",TRIM(E189&amp;""))-1)&amp;"병원"))&gt;0,ISNUMBER(MATCH(TRIM(RIGHT(SUBSTITUTE(TRIM(E189&amp;"")," ",REPT(" ",60)),60)),코드표!$F$2:$F$101,0))),IF(RIGHT(LEFT(TRIM(E189&amp;""),FIND(" ",TRIM(E189&amp;""))-1),2)="병원",LEFT(TRIM(E189&amp;""),FIND(" ",TRIM(E189&amp;""))-1),LEFT(TRIM(E189&amp;""),FIND(" ",TRIM(E189&amp;""))-1)&amp;"병원")&amp;" "&amp;INDEX(코드표!$G$2:$G$101,MATCH(TRIM(RIGHT(SUBSTITUTE(TRIM(E189&amp;"")," ",REPT(" ",60)),60)),코드표!$F$2:$F$101,0)),"⚠"&amp;TRIM(E189&amp;""))),"⚠"&amp;TRIM(E189&amp;""))</f>
        <v/>
      </c>
      <c r="N189" s="10">
        <f>IFERROR(IF(TRIM(F189&amp;"")="","",IF(AND(ISNUMBER(FIND(" ",TRIM(F189&amp;""))),COUNTIF(코드표!$A$2:$A$21,IF(RIGHT(LEFT(TRIM(F189&amp;""),FIND(" ",TRIM(F189&amp;""))-1),2)="병원",LEFT(TRIM(F189&amp;""),FIND(" ",TRIM(F189&amp;""))-1),LEFT(TRIM(F189&amp;""),FIND(" ",TRIM(F189&amp;""))-1)&amp;"병원"))&gt;0,ISNUMBER(MATCH(TRIM(RIGHT(SUBSTITUTE(TRIM(F189&amp;"")," ",REPT(" ",60)),60)),코드표!$F$2:$F$101,0))),IF(RIGHT(LEFT(TRIM(F189&amp;""),FIND(" ",TRIM(F189&amp;""))-1),2)="병원",LEFT(TRIM(F189&amp;""),FIND(" ",TRIM(F189&amp;""))-1),LEFT(TRIM(F189&amp;""),FIND(" ",TRIM(F189&amp;""))-1)&amp;"병원")&amp;" "&amp;INDEX(코드표!$G$2:$G$101,MATCH(TRIM(RIGHT(SUBSTITUTE(TRIM(F189&amp;"")," ",REPT(" ",60)),60)),코드표!$F$2:$F$101,0)),"⚠"&amp;TRIM(F189&amp;""))),"⚠"&amp;TRIM(F189&amp;""))</f>
        <v/>
      </c>
      <c r="O189" s="10">
        <f>IFERROR(IF(TRIM(G189&amp;"")="","",IF(AND(ISNUMBER(FIND(" ",TRIM(G189&amp;""))),COUNTIF(코드표!$A$2:$A$21,IF(RIGHT(LEFT(TRIM(G189&amp;""),FIND(" ",TRIM(G189&amp;""))-1),2)="병원",LEFT(TRIM(G189&amp;""),FIND(" ",TRIM(G189&amp;""))-1),LEFT(TRIM(G189&amp;""),FIND(" ",TRIM(G189&amp;""))-1)&amp;"병원"))&gt;0,ISNUMBER(MATCH(TRIM(RIGHT(SUBSTITUTE(TRIM(G189&amp;"")," ",REPT(" ",60)),60)),코드표!$F$2:$F$101,0))),IF(RIGHT(LEFT(TRIM(G189&amp;""),FIND(" ",TRIM(G189&amp;""))-1),2)="병원",LEFT(TRIM(G189&amp;""),FIND(" ",TRIM(G189&amp;""))-1),LEFT(TRIM(G189&amp;""),FIND(" ",TRIM(G189&amp;""))-1)&amp;"병원")&amp;" "&amp;INDEX(코드표!$G$2:$G$101,MATCH(TRIM(RIGHT(SUBSTITUTE(TRIM(G189&amp;"")," ",REPT(" ",60)),60)),코드표!$F$2:$F$101,0)),"⚠"&amp;TRIM(G189&amp;""))),"⚠"&amp;TRIM(G189&amp;""))</f>
        <v/>
      </c>
      <c r="P189" s="10">
        <f>IFERROR(IF(TRIM(H189&amp;"")="","",IF(AND(ISNUMBER(FIND(" ",TRIM(H189&amp;""))),COUNTIF(코드표!$A$2:$A$21,IF(RIGHT(LEFT(TRIM(H189&amp;""),FIND(" ",TRIM(H189&amp;""))-1),2)="병원",LEFT(TRIM(H189&amp;""),FIND(" ",TRIM(H189&amp;""))-1),LEFT(TRIM(H189&amp;""),FIND(" ",TRIM(H189&amp;""))-1)&amp;"병원"))&gt;0,ISNUMBER(MATCH(TRIM(RIGHT(SUBSTITUTE(TRIM(H189&amp;"")," ",REPT(" ",60)),60)),코드표!$F$2:$F$101,0))),IF(RIGHT(LEFT(TRIM(H189&amp;""),FIND(" ",TRIM(H189&amp;""))-1),2)="병원",LEFT(TRIM(H189&amp;""),FIND(" ",TRIM(H189&amp;""))-1),LEFT(TRIM(H189&amp;""),FIND(" ",TRIM(H189&amp;""))-1)&amp;"병원")&amp;" "&amp;INDEX(코드표!$G$2:$G$101,MATCH(TRIM(RIGHT(SUBSTITUTE(TRIM(H189&amp;"")," ",REPT(" ",60)),60)),코드표!$F$2:$F$101,0)),"⚠"&amp;TRIM(H189&amp;""))),"⚠"&amp;TRIM(H189&amp;""))</f>
        <v/>
      </c>
      <c r="Q189" s="10">
        <f>IFERROR(IF(TRIM(I189&amp;"")="","",IF(AND(ISNUMBER(FIND(" ",TRIM(I189&amp;""))),COUNTIF(코드표!$A$2:$A$21,IF(RIGHT(LEFT(TRIM(I189&amp;""),FIND(" ",TRIM(I189&amp;""))-1),2)="병원",LEFT(TRIM(I189&amp;""),FIND(" ",TRIM(I189&amp;""))-1),LEFT(TRIM(I189&amp;""),FIND(" ",TRIM(I189&amp;""))-1)&amp;"병원"))&gt;0,ISNUMBER(MATCH(TRIM(RIGHT(SUBSTITUTE(TRIM(I189&amp;"")," ",REPT(" ",60)),60)),코드표!$F$2:$F$101,0))),IF(RIGHT(LEFT(TRIM(I189&amp;""),FIND(" ",TRIM(I189&amp;""))-1),2)="병원",LEFT(TRIM(I189&amp;""),FIND(" ",TRIM(I189&amp;""))-1),LEFT(TRIM(I189&amp;""),FIND(" ",TRIM(I189&amp;""))-1)&amp;"병원")&amp;" "&amp;INDEX(코드표!$G$2:$G$101,MATCH(TRIM(RIGHT(SUBSTITUTE(TRIM(I189&amp;"")," ",REPT(" ",60)),60)),코드표!$F$2:$F$101,0)),"⚠"&amp;TRIM(I189&amp;""))),"⚠"&amp;TRIM(I189&amp;""))</f>
        <v/>
      </c>
      <c r="R189" s="10">
        <f>IFERROR(IF(TRIM(J189&amp;"")="","",IF(AND(ISNUMBER(FIND(" ",TRIM(J189&amp;""))),COUNTIF(코드표!$A$2:$A$21,IF(RIGHT(LEFT(TRIM(J189&amp;""),FIND(" ",TRIM(J189&amp;""))-1),2)="병원",LEFT(TRIM(J189&amp;""),FIND(" ",TRIM(J189&amp;""))-1),LEFT(TRIM(J189&amp;""),FIND(" ",TRIM(J189&amp;""))-1)&amp;"병원"))&gt;0,ISNUMBER(MATCH(TRIM(RIGHT(SUBSTITUTE(TRIM(J189&amp;"")," ",REPT(" ",60)),60)),코드표!$F$2:$F$101,0))),IF(RIGHT(LEFT(TRIM(J189&amp;""),FIND(" ",TRIM(J189&amp;""))-1),2)="병원",LEFT(TRIM(J189&amp;""),FIND(" ",TRIM(J189&amp;""))-1),LEFT(TRIM(J189&amp;""),FIND(" ",TRIM(J189&amp;""))-1)&amp;"병원")&amp;" "&amp;INDEX(코드표!$G$2:$G$101,MATCH(TRIM(RIGHT(SUBSTITUTE(TRIM(J189&amp;"")," ",REPT(" ",60)),60)),코드표!$F$2:$F$101,0)),"⚠"&amp;TRIM(J189&amp;""))),"⚠"&amp;TRIM(J189&amp;""))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",TRIM(E190&amp;""))),COUNTIF(코드표!$A$2:$A$21,IF(RIGHT(LEFT(TRIM(E190&amp;""),FIND(" ",TRIM(E190&amp;""))-1),2)="병원",LEFT(TRIM(E190&amp;""),FIND(" ",TRIM(E190&amp;""))-1),LEFT(TRIM(E190&amp;""),FIND(" ",TRIM(E190&amp;""))-1)&amp;"병원"))&gt;0,ISNUMBER(MATCH(TRIM(RIGHT(SUBSTITUTE(TRIM(E190&amp;"")," ",REPT(" ",60)),60)),코드표!$F$2:$F$101,0))),IF(RIGHT(LEFT(TRIM(E190&amp;""),FIND(" ",TRIM(E190&amp;""))-1),2)="병원",LEFT(TRIM(E190&amp;""),FIND(" ",TRIM(E190&amp;""))-1),LEFT(TRIM(E190&amp;""),FIND(" ",TRIM(E190&amp;""))-1)&amp;"병원")&amp;" "&amp;INDEX(코드표!$G$2:$G$101,MATCH(TRIM(RIGHT(SUBSTITUTE(TRIM(E190&amp;"")," ",REPT(" ",60)),60)),코드표!$F$2:$F$101,0)),"⚠"&amp;TRIM(E190&amp;""))),"⚠"&amp;TRIM(E190&amp;""))</f>
        <v/>
      </c>
      <c r="N190" s="10">
        <f>IFERROR(IF(TRIM(F190&amp;"")="","",IF(AND(ISNUMBER(FIND(" ",TRIM(F190&amp;""))),COUNTIF(코드표!$A$2:$A$21,IF(RIGHT(LEFT(TRIM(F190&amp;""),FIND(" ",TRIM(F190&amp;""))-1),2)="병원",LEFT(TRIM(F190&amp;""),FIND(" ",TRIM(F190&amp;""))-1),LEFT(TRIM(F190&amp;""),FIND(" ",TRIM(F190&amp;""))-1)&amp;"병원"))&gt;0,ISNUMBER(MATCH(TRIM(RIGHT(SUBSTITUTE(TRIM(F190&amp;"")," ",REPT(" ",60)),60)),코드표!$F$2:$F$101,0))),IF(RIGHT(LEFT(TRIM(F190&amp;""),FIND(" ",TRIM(F190&amp;""))-1),2)="병원",LEFT(TRIM(F190&amp;""),FIND(" ",TRIM(F190&amp;""))-1),LEFT(TRIM(F190&amp;""),FIND(" ",TRIM(F190&amp;""))-1)&amp;"병원")&amp;" "&amp;INDEX(코드표!$G$2:$G$101,MATCH(TRIM(RIGHT(SUBSTITUTE(TRIM(F190&amp;"")," ",REPT(" ",60)),60)),코드표!$F$2:$F$101,0)),"⚠"&amp;TRIM(F190&amp;""))),"⚠"&amp;TRIM(F190&amp;""))</f>
        <v/>
      </c>
      <c r="O190" s="10">
        <f>IFERROR(IF(TRIM(G190&amp;"")="","",IF(AND(ISNUMBER(FIND(" ",TRIM(G190&amp;""))),COUNTIF(코드표!$A$2:$A$21,IF(RIGHT(LEFT(TRIM(G190&amp;""),FIND(" ",TRIM(G190&amp;""))-1),2)="병원",LEFT(TRIM(G190&amp;""),FIND(" ",TRIM(G190&amp;""))-1),LEFT(TRIM(G190&amp;""),FIND(" ",TRIM(G190&amp;""))-1)&amp;"병원"))&gt;0,ISNUMBER(MATCH(TRIM(RIGHT(SUBSTITUTE(TRIM(G190&amp;"")," ",REPT(" ",60)),60)),코드표!$F$2:$F$101,0))),IF(RIGHT(LEFT(TRIM(G190&amp;""),FIND(" ",TRIM(G190&amp;""))-1),2)="병원",LEFT(TRIM(G190&amp;""),FIND(" ",TRIM(G190&amp;""))-1),LEFT(TRIM(G190&amp;""),FIND(" ",TRIM(G190&amp;""))-1)&amp;"병원")&amp;" "&amp;INDEX(코드표!$G$2:$G$101,MATCH(TRIM(RIGHT(SUBSTITUTE(TRIM(G190&amp;"")," ",REPT(" ",60)),60)),코드표!$F$2:$F$101,0)),"⚠"&amp;TRIM(G190&amp;""))),"⚠"&amp;TRIM(G190&amp;""))</f>
        <v/>
      </c>
      <c r="P190" s="10">
        <f>IFERROR(IF(TRIM(H190&amp;"")="","",IF(AND(ISNUMBER(FIND(" ",TRIM(H190&amp;""))),COUNTIF(코드표!$A$2:$A$21,IF(RIGHT(LEFT(TRIM(H190&amp;""),FIND(" ",TRIM(H190&amp;""))-1),2)="병원",LEFT(TRIM(H190&amp;""),FIND(" ",TRIM(H190&amp;""))-1),LEFT(TRIM(H190&amp;""),FIND(" ",TRIM(H190&amp;""))-1)&amp;"병원"))&gt;0,ISNUMBER(MATCH(TRIM(RIGHT(SUBSTITUTE(TRIM(H190&amp;"")," ",REPT(" ",60)),60)),코드표!$F$2:$F$101,0))),IF(RIGHT(LEFT(TRIM(H190&amp;""),FIND(" ",TRIM(H190&amp;""))-1),2)="병원",LEFT(TRIM(H190&amp;""),FIND(" ",TRIM(H190&amp;""))-1),LEFT(TRIM(H190&amp;""),FIND(" ",TRIM(H190&amp;""))-1)&amp;"병원")&amp;" "&amp;INDEX(코드표!$G$2:$G$101,MATCH(TRIM(RIGHT(SUBSTITUTE(TRIM(H190&amp;"")," ",REPT(" ",60)),60)),코드표!$F$2:$F$101,0)),"⚠"&amp;TRIM(H190&amp;""))),"⚠"&amp;TRIM(H190&amp;""))</f>
        <v/>
      </c>
      <c r="Q190" s="10">
        <f>IFERROR(IF(TRIM(I190&amp;"")="","",IF(AND(ISNUMBER(FIND(" ",TRIM(I190&amp;""))),COUNTIF(코드표!$A$2:$A$21,IF(RIGHT(LEFT(TRIM(I190&amp;""),FIND(" ",TRIM(I190&amp;""))-1),2)="병원",LEFT(TRIM(I190&amp;""),FIND(" ",TRIM(I190&amp;""))-1),LEFT(TRIM(I190&amp;""),FIND(" ",TRIM(I190&amp;""))-1)&amp;"병원"))&gt;0,ISNUMBER(MATCH(TRIM(RIGHT(SUBSTITUTE(TRIM(I190&amp;"")," ",REPT(" ",60)),60)),코드표!$F$2:$F$101,0))),IF(RIGHT(LEFT(TRIM(I190&amp;""),FIND(" ",TRIM(I190&amp;""))-1),2)="병원",LEFT(TRIM(I190&amp;""),FIND(" ",TRIM(I190&amp;""))-1),LEFT(TRIM(I190&amp;""),FIND(" ",TRIM(I190&amp;""))-1)&amp;"병원")&amp;" "&amp;INDEX(코드표!$G$2:$G$101,MATCH(TRIM(RIGHT(SUBSTITUTE(TRIM(I190&amp;"")," ",REPT(" ",60)),60)),코드표!$F$2:$F$101,0)),"⚠"&amp;TRIM(I190&amp;""))),"⚠"&amp;TRIM(I190&amp;""))</f>
        <v/>
      </c>
      <c r="R190" s="10">
        <f>IFERROR(IF(TRIM(J190&amp;"")="","",IF(AND(ISNUMBER(FIND(" ",TRIM(J190&amp;""))),COUNTIF(코드표!$A$2:$A$21,IF(RIGHT(LEFT(TRIM(J190&amp;""),FIND(" ",TRIM(J190&amp;""))-1),2)="병원",LEFT(TRIM(J190&amp;""),FIND(" ",TRIM(J190&amp;""))-1),LEFT(TRIM(J190&amp;""),FIND(" ",TRIM(J190&amp;""))-1)&amp;"병원"))&gt;0,ISNUMBER(MATCH(TRIM(RIGHT(SUBSTITUTE(TRIM(J190&amp;"")," ",REPT(" ",60)),60)),코드표!$F$2:$F$101,0))),IF(RIGHT(LEFT(TRIM(J190&amp;""),FIND(" ",TRIM(J190&amp;""))-1),2)="병원",LEFT(TRIM(J190&amp;""),FIND(" ",TRIM(J190&amp;""))-1),LEFT(TRIM(J190&amp;""),FIND(" ",TRIM(J190&amp;""))-1)&amp;"병원")&amp;" "&amp;INDEX(코드표!$G$2:$G$101,MATCH(TRIM(RIGHT(SUBSTITUTE(TRIM(J190&amp;"")," ",REPT(" ",60)),60)),코드표!$F$2:$F$101,0)),"⚠"&amp;TRIM(J190&amp;""))),"⚠"&amp;TRIM(J190&amp;""))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",TRIM(E191&amp;""))),COUNTIF(코드표!$A$2:$A$21,IF(RIGHT(LEFT(TRIM(E191&amp;""),FIND(" ",TRIM(E191&amp;""))-1),2)="병원",LEFT(TRIM(E191&amp;""),FIND(" ",TRIM(E191&amp;""))-1),LEFT(TRIM(E191&amp;""),FIND(" ",TRIM(E191&amp;""))-1)&amp;"병원"))&gt;0,ISNUMBER(MATCH(TRIM(RIGHT(SUBSTITUTE(TRIM(E191&amp;"")," ",REPT(" ",60)),60)),코드표!$F$2:$F$101,0))),IF(RIGHT(LEFT(TRIM(E191&amp;""),FIND(" ",TRIM(E191&amp;""))-1),2)="병원",LEFT(TRIM(E191&amp;""),FIND(" ",TRIM(E191&amp;""))-1),LEFT(TRIM(E191&amp;""),FIND(" ",TRIM(E191&amp;""))-1)&amp;"병원")&amp;" "&amp;INDEX(코드표!$G$2:$G$101,MATCH(TRIM(RIGHT(SUBSTITUTE(TRIM(E191&amp;"")," ",REPT(" ",60)),60)),코드표!$F$2:$F$101,0)),"⚠"&amp;TRIM(E191&amp;""))),"⚠"&amp;TRIM(E191&amp;""))</f>
        <v/>
      </c>
      <c r="N191" s="10">
        <f>IFERROR(IF(TRIM(F191&amp;"")="","",IF(AND(ISNUMBER(FIND(" ",TRIM(F191&amp;""))),COUNTIF(코드표!$A$2:$A$21,IF(RIGHT(LEFT(TRIM(F191&amp;""),FIND(" ",TRIM(F191&amp;""))-1),2)="병원",LEFT(TRIM(F191&amp;""),FIND(" ",TRIM(F191&amp;""))-1),LEFT(TRIM(F191&amp;""),FIND(" ",TRIM(F191&amp;""))-1)&amp;"병원"))&gt;0,ISNUMBER(MATCH(TRIM(RIGHT(SUBSTITUTE(TRIM(F191&amp;"")," ",REPT(" ",60)),60)),코드표!$F$2:$F$101,0))),IF(RIGHT(LEFT(TRIM(F191&amp;""),FIND(" ",TRIM(F191&amp;""))-1),2)="병원",LEFT(TRIM(F191&amp;""),FIND(" ",TRIM(F191&amp;""))-1),LEFT(TRIM(F191&amp;""),FIND(" ",TRIM(F191&amp;""))-1)&amp;"병원")&amp;" "&amp;INDEX(코드표!$G$2:$G$101,MATCH(TRIM(RIGHT(SUBSTITUTE(TRIM(F191&amp;"")," ",REPT(" ",60)),60)),코드표!$F$2:$F$101,0)),"⚠"&amp;TRIM(F191&amp;""))),"⚠"&amp;TRIM(F191&amp;""))</f>
        <v/>
      </c>
      <c r="O191" s="10">
        <f>IFERROR(IF(TRIM(G191&amp;"")="","",IF(AND(ISNUMBER(FIND(" ",TRIM(G191&amp;""))),COUNTIF(코드표!$A$2:$A$21,IF(RIGHT(LEFT(TRIM(G191&amp;""),FIND(" ",TRIM(G191&amp;""))-1),2)="병원",LEFT(TRIM(G191&amp;""),FIND(" ",TRIM(G191&amp;""))-1),LEFT(TRIM(G191&amp;""),FIND(" ",TRIM(G191&amp;""))-1)&amp;"병원"))&gt;0,ISNUMBER(MATCH(TRIM(RIGHT(SUBSTITUTE(TRIM(G191&amp;"")," ",REPT(" ",60)),60)),코드표!$F$2:$F$101,0))),IF(RIGHT(LEFT(TRIM(G191&amp;""),FIND(" ",TRIM(G191&amp;""))-1),2)="병원",LEFT(TRIM(G191&amp;""),FIND(" ",TRIM(G191&amp;""))-1),LEFT(TRIM(G191&amp;""),FIND(" ",TRIM(G191&amp;""))-1)&amp;"병원")&amp;" "&amp;INDEX(코드표!$G$2:$G$101,MATCH(TRIM(RIGHT(SUBSTITUTE(TRIM(G191&amp;"")," ",REPT(" ",60)),60)),코드표!$F$2:$F$101,0)),"⚠"&amp;TRIM(G191&amp;""))),"⚠"&amp;TRIM(G191&amp;""))</f>
        <v/>
      </c>
      <c r="P191" s="10">
        <f>IFERROR(IF(TRIM(H191&amp;"")="","",IF(AND(ISNUMBER(FIND(" ",TRIM(H191&amp;""))),COUNTIF(코드표!$A$2:$A$21,IF(RIGHT(LEFT(TRIM(H191&amp;""),FIND(" ",TRIM(H191&amp;""))-1),2)="병원",LEFT(TRIM(H191&amp;""),FIND(" ",TRIM(H191&amp;""))-1),LEFT(TRIM(H191&amp;""),FIND(" ",TRIM(H191&amp;""))-1)&amp;"병원"))&gt;0,ISNUMBER(MATCH(TRIM(RIGHT(SUBSTITUTE(TRIM(H191&amp;"")," ",REPT(" ",60)),60)),코드표!$F$2:$F$101,0))),IF(RIGHT(LEFT(TRIM(H191&amp;""),FIND(" ",TRIM(H191&amp;""))-1),2)="병원",LEFT(TRIM(H191&amp;""),FIND(" ",TRIM(H191&amp;""))-1),LEFT(TRIM(H191&amp;""),FIND(" ",TRIM(H191&amp;""))-1)&amp;"병원")&amp;" "&amp;INDEX(코드표!$G$2:$G$101,MATCH(TRIM(RIGHT(SUBSTITUTE(TRIM(H191&amp;"")," ",REPT(" ",60)),60)),코드표!$F$2:$F$101,0)),"⚠"&amp;TRIM(H191&amp;""))),"⚠"&amp;TRIM(H191&amp;""))</f>
        <v/>
      </c>
      <c r="Q191" s="10">
        <f>IFERROR(IF(TRIM(I191&amp;"")="","",IF(AND(ISNUMBER(FIND(" ",TRIM(I191&amp;""))),COUNTIF(코드표!$A$2:$A$21,IF(RIGHT(LEFT(TRIM(I191&amp;""),FIND(" ",TRIM(I191&amp;""))-1),2)="병원",LEFT(TRIM(I191&amp;""),FIND(" ",TRIM(I191&amp;""))-1),LEFT(TRIM(I191&amp;""),FIND(" ",TRIM(I191&amp;""))-1)&amp;"병원"))&gt;0,ISNUMBER(MATCH(TRIM(RIGHT(SUBSTITUTE(TRIM(I191&amp;"")," ",REPT(" ",60)),60)),코드표!$F$2:$F$101,0))),IF(RIGHT(LEFT(TRIM(I191&amp;""),FIND(" ",TRIM(I191&amp;""))-1),2)="병원",LEFT(TRIM(I191&amp;""),FIND(" ",TRIM(I191&amp;""))-1),LEFT(TRIM(I191&amp;""),FIND(" ",TRIM(I191&amp;""))-1)&amp;"병원")&amp;" "&amp;INDEX(코드표!$G$2:$G$101,MATCH(TRIM(RIGHT(SUBSTITUTE(TRIM(I191&amp;"")," ",REPT(" ",60)),60)),코드표!$F$2:$F$101,0)),"⚠"&amp;TRIM(I191&amp;""))),"⚠"&amp;TRIM(I191&amp;""))</f>
        <v/>
      </c>
      <c r="R191" s="10">
        <f>IFERROR(IF(TRIM(J191&amp;"")="","",IF(AND(ISNUMBER(FIND(" ",TRIM(J191&amp;""))),COUNTIF(코드표!$A$2:$A$21,IF(RIGHT(LEFT(TRIM(J191&amp;""),FIND(" ",TRIM(J191&amp;""))-1),2)="병원",LEFT(TRIM(J191&amp;""),FIND(" ",TRIM(J191&amp;""))-1),LEFT(TRIM(J191&amp;""),FIND(" ",TRIM(J191&amp;""))-1)&amp;"병원"))&gt;0,ISNUMBER(MATCH(TRIM(RIGHT(SUBSTITUTE(TRIM(J191&amp;"")," ",REPT(" ",60)),60)),코드표!$F$2:$F$101,0))),IF(RIGHT(LEFT(TRIM(J191&amp;""),FIND(" ",TRIM(J191&amp;""))-1),2)="병원",LEFT(TRIM(J191&amp;""),FIND(" ",TRIM(J191&amp;""))-1),LEFT(TRIM(J191&amp;""),FIND(" ",TRIM(J191&amp;""))-1)&amp;"병원")&amp;" "&amp;INDEX(코드표!$G$2:$G$101,MATCH(TRIM(RIGHT(SUBSTITUTE(TRIM(J191&amp;"")," ",REPT(" ",60)),60)),코드표!$F$2:$F$101,0)),"⚠"&amp;TRIM(J191&amp;""))),"⚠"&amp;TRIM(J191&amp;""))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",TRIM(E192&amp;""))),COUNTIF(코드표!$A$2:$A$21,IF(RIGHT(LEFT(TRIM(E192&amp;""),FIND(" ",TRIM(E192&amp;""))-1),2)="병원",LEFT(TRIM(E192&amp;""),FIND(" ",TRIM(E192&amp;""))-1),LEFT(TRIM(E192&amp;""),FIND(" ",TRIM(E192&amp;""))-1)&amp;"병원"))&gt;0,ISNUMBER(MATCH(TRIM(RIGHT(SUBSTITUTE(TRIM(E192&amp;"")," ",REPT(" ",60)),60)),코드표!$F$2:$F$101,0))),IF(RIGHT(LEFT(TRIM(E192&amp;""),FIND(" ",TRIM(E192&amp;""))-1),2)="병원",LEFT(TRIM(E192&amp;""),FIND(" ",TRIM(E192&amp;""))-1),LEFT(TRIM(E192&amp;""),FIND(" ",TRIM(E192&amp;""))-1)&amp;"병원")&amp;" "&amp;INDEX(코드표!$G$2:$G$101,MATCH(TRIM(RIGHT(SUBSTITUTE(TRIM(E192&amp;"")," ",REPT(" ",60)),60)),코드표!$F$2:$F$101,0)),"⚠"&amp;TRIM(E192&amp;""))),"⚠"&amp;TRIM(E192&amp;""))</f>
        <v/>
      </c>
      <c r="N192" s="10">
        <f>IFERROR(IF(TRIM(F192&amp;"")="","",IF(AND(ISNUMBER(FIND(" ",TRIM(F192&amp;""))),COUNTIF(코드표!$A$2:$A$21,IF(RIGHT(LEFT(TRIM(F192&amp;""),FIND(" ",TRIM(F192&amp;""))-1),2)="병원",LEFT(TRIM(F192&amp;""),FIND(" ",TRIM(F192&amp;""))-1),LEFT(TRIM(F192&amp;""),FIND(" ",TRIM(F192&amp;""))-1)&amp;"병원"))&gt;0,ISNUMBER(MATCH(TRIM(RIGHT(SUBSTITUTE(TRIM(F192&amp;"")," ",REPT(" ",60)),60)),코드표!$F$2:$F$101,0))),IF(RIGHT(LEFT(TRIM(F192&amp;""),FIND(" ",TRIM(F192&amp;""))-1),2)="병원",LEFT(TRIM(F192&amp;""),FIND(" ",TRIM(F192&amp;""))-1),LEFT(TRIM(F192&amp;""),FIND(" ",TRIM(F192&amp;""))-1)&amp;"병원")&amp;" "&amp;INDEX(코드표!$G$2:$G$101,MATCH(TRIM(RIGHT(SUBSTITUTE(TRIM(F192&amp;"")," ",REPT(" ",60)),60)),코드표!$F$2:$F$101,0)),"⚠"&amp;TRIM(F192&amp;""))),"⚠"&amp;TRIM(F192&amp;""))</f>
        <v/>
      </c>
      <c r="O192" s="10">
        <f>IFERROR(IF(TRIM(G192&amp;"")="","",IF(AND(ISNUMBER(FIND(" ",TRIM(G192&amp;""))),COUNTIF(코드표!$A$2:$A$21,IF(RIGHT(LEFT(TRIM(G192&amp;""),FIND(" ",TRIM(G192&amp;""))-1),2)="병원",LEFT(TRIM(G192&amp;""),FIND(" ",TRIM(G192&amp;""))-1),LEFT(TRIM(G192&amp;""),FIND(" ",TRIM(G192&amp;""))-1)&amp;"병원"))&gt;0,ISNUMBER(MATCH(TRIM(RIGHT(SUBSTITUTE(TRIM(G192&amp;"")," ",REPT(" ",60)),60)),코드표!$F$2:$F$101,0))),IF(RIGHT(LEFT(TRIM(G192&amp;""),FIND(" ",TRIM(G192&amp;""))-1),2)="병원",LEFT(TRIM(G192&amp;""),FIND(" ",TRIM(G192&amp;""))-1),LEFT(TRIM(G192&amp;""),FIND(" ",TRIM(G192&amp;""))-1)&amp;"병원")&amp;" "&amp;INDEX(코드표!$G$2:$G$101,MATCH(TRIM(RIGHT(SUBSTITUTE(TRIM(G192&amp;"")," ",REPT(" ",60)),60)),코드표!$F$2:$F$101,0)),"⚠"&amp;TRIM(G192&amp;""))),"⚠"&amp;TRIM(G192&amp;""))</f>
        <v/>
      </c>
      <c r="P192" s="10">
        <f>IFERROR(IF(TRIM(H192&amp;"")="","",IF(AND(ISNUMBER(FIND(" ",TRIM(H192&amp;""))),COUNTIF(코드표!$A$2:$A$21,IF(RIGHT(LEFT(TRIM(H192&amp;""),FIND(" ",TRIM(H192&amp;""))-1),2)="병원",LEFT(TRIM(H192&amp;""),FIND(" ",TRIM(H192&amp;""))-1),LEFT(TRIM(H192&amp;""),FIND(" ",TRIM(H192&amp;""))-1)&amp;"병원"))&gt;0,ISNUMBER(MATCH(TRIM(RIGHT(SUBSTITUTE(TRIM(H192&amp;"")," ",REPT(" ",60)),60)),코드표!$F$2:$F$101,0))),IF(RIGHT(LEFT(TRIM(H192&amp;""),FIND(" ",TRIM(H192&amp;""))-1),2)="병원",LEFT(TRIM(H192&amp;""),FIND(" ",TRIM(H192&amp;""))-1),LEFT(TRIM(H192&amp;""),FIND(" ",TRIM(H192&amp;""))-1)&amp;"병원")&amp;" "&amp;INDEX(코드표!$G$2:$G$101,MATCH(TRIM(RIGHT(SUBSTITUTE(TRIM(H192&amp;"")," ",REPT(" ",60)),60)),코드표!$F$2:$F$101,0)),"⚠"&amp;TRIM(H192&amp;""))),"⚠"&amp;TRIM(H192&amp;""))</f>
        <v/>
      </c>
      <c r="Q192" s="10">
        <f>IFERROR(IF(TRIM(I192&amp;"")="","",IF(AND(ISNUMBER(FIND(" ",TRIM(I192&amp;""))),COUNTIF(코드표!$A$2:$A$21,IF(RIGHT(LEFT(TRIM(I192&amp;""),FIND(" ",TRIM(I192&amp;""))-1),2)="병원",LEFT(TRIM(I192&amp;""),FIND(" ",TRIM(I192&amp;""))-1),LEFT(TRIM(I192&amp;""),FIND(" ",TRIM(I192&amp;""))-1)&amp;"병원"))&gt;0,ISNUMBER(MATCH(TRIM(RIGHT(SUBSTITUTE(TRIM(I192&amp;"")," ",REPT(" ",60)),60)),코드표!$F$2:$F$101,0))),IF(RIGHT(LEFT(TRIM(I192&amp;""),FIND(" ",TRIM(I192&amp;""))-1),2)="병원",LEFT(TRIM(I192&amp;""),FIND(" ",TRIM(I192&amp;""))-1),LEFT(TRIM(I192&amp;""),FIND(" ",TRIM(I192&amp;""))-1)&amp;"병원")&amp;" "&amp;INDEX(코드표!$G$2:$G$101,MATCH(TRIM(RIGHT(SUBSTITUTE(TRIM(I192&amp;"")," ",REPT(" ",60)),60)),코드표!$F$2:$F$101,0)),"⚠"&amp;TRIM(I192&amp;""))),"⚠"&amp;TRIM(I192&amp;""))</f>
        <v/>
      </c>
      <c r="R192" s="10">
        <f>IFERROR(IF(TRIM(J192&amp;"")="","",IF(AND(ISNUMBER(FIND(" ",TRIM(J192&amp;""))),COUNTIF(코드표!$A$2:$A$21,IF(RIGHT(LEFT(TRIM(J192&amp;""),FIND(" ",TRIM(J192&amp;""))-1),2)="병원",LEFT(TRIM(J192&amp;""),FIND(" ",TRIM(J192&amp;""))-1),LEFT(TRIM(J192&amp;""),FIND(" ",TRIM(J192&amp;""))-1)&amp;"병원"))&gt;0,ISNUMBER(MATCH(TRIM(RIGHT(SUBSTITUTE(TRIM(J192&amp;"")," ",REPT(" ",60)),60)),코드표!$F$2:$F$101,0))),IF(RIGHT(LEFT(TRIM(J192&amp;""),FIND(" ",TRIM(J192&amp;""))-1),2)="병원",LEFT(TRIM(J192&amp;""),FIND(" ",TRIM(J192&amp;""))-1),LEFT(TRIM(J192&amp;""),FIND(" ",TRIM(J192&amp;""))-1)&amp;"병원")&amp;" "&amp;INDEX(코드표!$G$2:$G$101,MATCH(TRIM(RIGHT(SUBSTITUTE(TRIM(J192&amp;"")," ",REPT(" ",60)),60)),코드표!$F$2:$F$101,0)),"⚠"&amp;TRIM(J192&amp;""))),"⚠"&amp;TRIM(J192&amp;""))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",TRIM(E193&amp;""))),COUNTIF(코드표!$A$2:$A$21,IF(RIGHT(LEFT(TRIM(E193&amp;""),FIND(" ",TRIM(E193&amp;""))-1),2)="병원",LEFT(TRIM(E193&amp;""),FIND(" ",TRIM(E193&amp;""))-1),LEFT(TRIM(E193&amp;""),FIND(" ",TRIM(E193&amp;""))-1)&amp;"병원"))&gt;0,ISNUMBER(MATCH(TRIM(RIGHT(SUBSTITUTE(TRIM(E193&amp;"")," ",REPT(" ",60)),60)),코드표!$F$2:$F$101,0))),IF(RIGHT(LEFT(TRIM(E193&amp;""),FIND(" ",TRIM(E193&amp;""))-1),2)="병원",LEFT(TRIM(E193&amp;""),FIND(" ",TRIM(E193&amp;""))-1),LEFT(TRIM(E193&amp;""),FIND(" ",TRIM(E193&amp;""))-1)&amp;"병원")&amp;" "&amp;INDEX(코드표!$G$2:$G$101,MATCH(TRIM(RIGHT(SUBSTITUTE(TRIM(E193&amp;"")," ",REPT(" ",60)),60)),코드표!$F$2:$F$101,0)),"⚠"&amp;TRIM(E193&amp;""))),"⚠"&amp;TRIM(E193&amp;""))</f>
        <v/>
      </c>
      <c r="N193" s="10">
        <f>IFERROR(IF(TRIM(F193&amp;"")="","",IF(AND(ISNUMBER(FIND(" ",TRIM(F193&amp;""))),COUNTIF(코드표!$A$2:$A$21,IF(RIGHT(LEFT(TRIM(F193&amp;""),FIND(" ",TRIM(F193&amp;""))-1),2)="병원",LEFT(TRIM(F193&amp;""),FIND(" ",TRIM(F193&amp;""))-1),LEFT(TRIM(F193&amp;""),FIND(" ",TRIM(F193&amp;""))-1)&amp;"병원"))&gt;0,ISNUMBER(MATCH(TRIM(RIGHT(SUBSTITUTE(TRIM(F193&amp;"")," ",REPT(" ",60)),60)),코드표!$F$2:$F$101,0))),IF(RIGHT(LEFT(TRIM(F193&amp;""),FIND(" ",TRIM(F193&amp;""))-1),2)="병원",LEFT(TRIM(F193&amp;""),FIND(" ",TRIM(F193&amp;""))-1),LEFT(TRIM(F193&amp;""),FIND(" ",TRIM(F193&amp;""))-1)&amp;"병원")&amp;" "&amp;INDEX(코드표!$G$2:$G$101,MATCH(TRIM(RIGHT(SUBSTITUTE(TRIM(F193&amp;"")," ",REPT(" ",60)),60)),코드표!$F$2:$F$101,0)),"⚠"&amp;TRIM(F193&amp;""))),"⚠"&amp;TRIM(F193&amp;""))</f>
        <v/>
      </c>
      <c r="O193" s="10">
        <f>IFERROR(IF(TRIM(G193&amp;"")="","",IF(AND(ISNUMBER(FIND(" ",TRIM(G193&amp;""))),COUNTIF(코드표!$A$2:$A$21,IF(RIGHT(LEFT(TRIM(G193&amp;""),FIND(" ",TRIM(G193&amp;""))-1),2)="병원",LEFT(TRIM(G193&amp;""),FIND(" ",TRIM(G193&amp;""))-1),LEFT(TRIM(G193&amp;""),FIND(" ",TRIM(G193&amp;""))-1)&amp;"병원"))&gt;0,ISNUMBER(MATCH(TRIM(RIGHT(SUBSTITUTE(TRIM(G193&amp;"")," ",REPT(" ",60)),60)),코드표!$F$2:$F$101,0))),IF(RIGHT(LEFT(TRIM(G193&amp;""),FIND(" ",TRIM(G193&amp;""))-1),2)="병원",LEFT(TRIM(G193&amp;""),FIND(" ",TRIM(G193&amp;""))-1),LEFT(TRIM(G193&amp;""),FIND(" ",TRIM(G193&amp;""))-1)&amp;"병원")&amp;" "&amp;INDEX(코드표!$G$2:$G$101,MATCH(TRIM(RIGHT(SUBSTITUTE(TRIM(G193&amp;"")," ",REPT(" ",60)),60)),코드표!$F$2:$F$101,0)),"⚠"&amp;TRIM(G193&amp;""))),"⚠"&amp;TRIM(G193&amp;""))</f>
        <v/>
      </c>
      <c r="P193" s="10">
        <f>IFERROR(IF(TRIM(H193&amp;"")="","",IF(AND(ISNUMBER(FIND(" ",TRIM(H193&amp;""))),COUNTIF(코드표!$A$2:$A$21,IF(RIGHT(LEFT(TRIM(H193&amp;""),FIND(" ",TRIM(H193&amp;""))-1),2)="병원",LEFT(TRIM(H193&amp;""),FIND(" ",TRIM(H193&amp;""))-1),LEFT(TRIM(H193&amp;""),FIND(" ",TRIM(H193&amp;""))-1)&amp;"병원"))&gt;0,ISNUMBER(MATCH(TRIM(RIGHT(SUBSTITUTE(TRIM(H193&amp;"")," ",REPT(" ",60)),60)),코드표!$F$2:$F$101,0))),IF(RIGHT(LEFT(TRIM(H193&amp;""),FIND(" ",TRIM(H193&amp;""))-1),2)="병원",LEFT(TRIM(H193&amp;""),FIND(" ",TRIM(H193&amp;""))-1),LEFT(TRIM(H193&amp;""),FIND(" ",TRIM(H193&amp;""))-1)&amp;"병원")&amp;" "&amp;INDEX(코드표!$G$2:$G$101,MATCH(TRIM(RIGHT(SUBSTITUTE(TRIM(H193&amp;"")," ",REPT(" ",60)),60)),코드표!$F$2:$F$101,0)),"⚠"&amp;TRIM(H193&amp;""))),"⚠"&amp;TRIM(H193&amp;""))</f>
        <v/>
      </c>
      <c r="Q193" s="10">
        <f>IFERROR(IF(TRIM(I193&amp;"")="","",IF(AND(ISNUMBER(FIND(" ",TRIM(I193&amp;""))),COUNTIF(코드표!$A$2:$A$21,IF(RIGHT(LEFT(TRIM(I193&amp;""),FIND(" ",TRIM(I193&amp;""))-1),2)="병원",LEFT(TRIM(I193&amp;""),FIND(" ",TRIM(I193&amp;""))-1),LEFT(TRIM(I193&amp;""),FIND(" ",TRIM(I193&amp;""))-1)&amp;"병원"))&gt;0,ISNUMBER(MATCH(TRIM(RIGHT(SUBSTITUTE(TRIM(I193&amp;"")," ",REPT(" ",60)),60)),코드표!$F$2:$F$101,0))),IF(RIGHT(LEFT(TRIM(I193&amp;""),FIND(" ",TRIM(I193&amp;""))-1),2)="병원",LEFT(TRIM(I193&amp;""),FIND(" ",TRIM(I193&amp;""))-1),LEFT(TRIM(I193&amp;""),FIND(" ",TRIM(I193&amp;""))-1)&amp;"병원")&amp;" "&amp;INDEX(코드표!$G$2:$G$101,MATCH(TRIM(RIGHT(SUBSTITUTE(TRIM(I193&amp;"")," ",REPT(" ",60)),60)),코드표!$F$2:$F$101,0)),"⚠"&amp;TRIM(I193&amp;""))),"⚠"&amp;TRIM(I193&amp;""))</f>
        <v/>
      </c>
      <c r="R193" s="10">
        <f>IFERROR(IF(TRIM(J193&amp;"")="","",IF(AND(ISNUMBER(FIND(" ",TRIM(J193&amp;""))),COUNTIF(코드표!$A$2:$A$21,IF(RIGHT(LEFT(TRIM(J193&amp;""),FIND(" ",TRIM(J193&amp;""))-1),2)="병원",LEFT(TRIM(J193&amp;""),FIND(" ",TRIM(J193&amp;""))-1),LEFT(TRIM(J193&amp;""),FIND(" ",TRIM(J193&amp;""))-1)&amp;"병원"))&gt;0,ISNUMBER(MATCH(TRIM(RIGHT(SUBSTITUTE(TRIM(J193&amp;"")," ",REPT(" ",60)),60)),코드표!$F$2:$F$101,0))),IF(RIGHT(LEFT(TRIM(J193&amp;""),FIND(" ",TRIM(J193&amp;""))-1),2)="병원",LEFT(TRIM(J193&amp;""),FIND(" ",TRIM(J193&amp;""))-1),LEFT(TRIM(J193&amp;""),FIND(" ",TRIM(J193&amp;""))-1)&amp;"병원")&amp;" "&amp;INDEX(코드표!$G$2:$G$101,MATCH(TRIM(RIGHT(SUBSTITUTE(TRIM(J193&amp;"")," ",REPT(" ",60)),60)),코드표!$F$2:$F$101,0)),"⚠"&amp;TRIM(J193&amp;""))),"⚠"&amp;TRIM(J193&amp;""))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",TRIM(E194&amp;""))),COUNTIF(코드표!$A$2:$A$21,IF(RIGHT(LEFT(TRIM(E194&amp;""),FIND(" ",TRIM(E194&amp;""))-1),2)="병원",LEFT(TRIM(E194&amp;""),FIND(" ",TRIM(E194&amp;""))-1),LEFT(TRIM(E194&amp;""),FIND(" ",TRIM(E194&amp;""))-1)&amp;"병원"))&gt;0,ISNUMBER(MATCH(TRIM(RIGHT(SUBSTITUTE(TRIM(E194&amp;"")," ",REPT(" ",60)),60)),코드표!$F$2:$F$101,0))),IF(RIGHT(LEFT(TRIM(E194&amp;""),FIND(" ",TRIM(E194&amp;""))-1),2)="병원",LEFT(TRIM(E194&amp;""),FIND(" ",TRIM(E194&amp;""))-1),LEFT(TRIM(E194&amp;""),FIND(" ",TRIM(E194&amp;""))-1)&amp;"병원")&amp;" "&amp;INDEX(코드표!$G$2:$G$101,MATCH(TRIM(RIGHT(SUBSTITUTE(TRIM(E194&amp;"")," ",REPT(" ",60)),60)),코드표!$F$2:$F$101,0)),"⚠"&amp;TRIM(E194&amp;""))),"⚠"&amp;TRIM(E194&amp;""))</f>
        <v/>
      </c>
      <c r="N194" s="10">
        <f>IFERROR(IF(TRIM(F194&amp;"")="","",IF(AND(ISNUMBER(FIND(" ",TRIM(F194&amp;""))),COUNTIF(코드표!$A$2:$A$21,IF(RIGHT(LEFT(TRIM(F194&amp;""),FIND(" ",TRIM(F194&amp;""))-1),2)="병원",LEFT(TRIM(F194&amp;""),FIND(" ",TRIM(F194&amp;""))-1),LEFT(TRIM(F194&amp;""),FIND(" ",TRIM(F194&amp;""))-1)&amp;"병원"))&gt;0,ISNUMBER(MATCH(TRIM(RIGHT(SUBSTITUTE(TRIM(F194&amp;"")," ",REPT(" ",60)),60)),코드표!$F$2:$F$101,0))),IF(RIGHT(LEFT(TRIM(F194&amp;""),FIND(" ",TRIM(F194&amp;""))-1),2)="병원",LEFT(TRIM(F194&amp;""),FIND(" ",TRIM(F194&amp;""))-1),LEFT(TRIM(F194&amp;""),FIND(" ",TRIM(F194&amp;""))-1)&amp;"병원")&amp;" "&amp;INDEX(코드표!$G$2:$G$101,MATCH(TRIM(RIGHT(SUBSTITUTE(TRIM(F194&amp;"")," ",REPT(" ",60)),60)),코드표!$F$2:$F$101,0)),"⚠"&amp;TRIM(F194&amp;""))),"⚠"&amp;TRIM(F194&amp;""))</f>
        <v/>
      </c>
      <c r="O194" s="10">
        <f>IFERROR(IF(TRIM(G194&amp;"")="","",IF(AND(ISNUMBER(FIND(" ",TRIM(G194&amp;""))),COUNTIF(코드표!$A$2:$A$21,IF(RIGHT(LEFT(TRIM(G194&amp;""),FIND(" ",TRIM(G194&amp;""))-1),2)="병원",LEFT(TRIM(G194&amp;""),FIND(" ",TRIM(G194&amp;""))-1),LEFT(TRIM(G194&amp;""),FIND(" ",TRIM(G194&amp;""))-1)&amp;"병원"))&gt;0,ISNUMBER(MATCH(TRIM(RIGHT(SUBSTITUTE(TRIM(G194&amp;"")," ",REPT(" ",60)),60)),코드표!$F$2:$F$101,0))),IF(RIGHT(LEFT(TRIM(G194&amp;""),FIND(" ",TRIM(G194&amp;""))-1),2)="병원",LEFT(TRIM(G194&amp;""),FIND(" ",TRIM(G194&amp;""))-1),LEFT(TRIM(G194&amp;""),FIND(" ",TRIM(G194&amp;""))-1)&amp;"병원")&amp;" "&amp;INDEX(코드표!$G$2:$G$101,MATCH(TRIM(RIGHT(SUBSTITUTE(TRIM(G194&amp;"")," ",REPT(" ",60)),60)),코드표!$F$2:$F$101,0)),"⚠"&amp;TRIM(G194&amp;""))),"⚠"&amp;TRIM(G194&amp;""))</f>
        <v/>
      </c>
      <c r="P194" s="10">
        <f>IFERROR(IF(TRIM(H194&amp;"")="","",IF(AND(ISNUMBER(FIND(" ",TRIM(H194&amp;""))),COUNTIF(코드표!$A$2:$A$21,IF(RIGHT(LEFT(TRIM(H194&amp;""),FIND(" ",TRIM(H194&amp;""))-1),2)="병원",LEFT(TRIM(H194&amp;""),FIND(" ",TRIM(H194&amp;""))-1),LEFT(TRIM(H194&amp;""),FIND(" ",TRIM(H194&amp;""))-1)&amp;"병원"))&gt;0,ISNUMBER(MATCH(TRIM(RIGHT(SUBSTITUTE(TRIM(H194&amp;"")," ",REPT(" ",60)),60)),코드표!$F$2:$F$101,0))),IF(RIGHT(LEFT(TRIM(H194&amp;""),FIND(" ",TRIM(H194&amp;""))-1),2)="병원",LEFT(TRIM(H194&amp;""),FIND(" ",TRIM(H194&amp;""))-1),LEFT(TRIM(H194&amp;""),FIND(" ",TRIM(H194&amp;""))-1)&amp;"병원")&amp;" "&amp;INDEX(코드표!$G$2:$G$101,MATCH(TRIM(RIGHT(SUBSTITUTE(TRIM(H194&amp;"")," ",REPT(" ",60)),60)),코드표!$F$2:$F$101,0)),"⚠"&amp;TRIM(H194&amp;""))),"⚠"&amp;TRIM(H194&amp;""))</f>
        <v/>
      </c>
      <c r="Q194" s="10">
        <f>IFERROR(IF(TRIM(I194&amp;"")="","",IF(AND(ISNUMBER(FIND(" ",TRIM(I194&amp;""))),COUNTIF(코드표!$A$2:$A$21,IF(RIGHT(LEFT(TRIM(I194&amp;""),FIND(" ",TRIM(I194&amp;""))-1),2)="병원",LEFT(TRIM(I194&amp;""),FIND(" ",TRIM(I194&amp;""))-1),LEFT(TRIM(I194&amp;""),FIND(" ",TRIM(I194&amp;""))-1)&amp;"병원"))&gt;0,ISNUMBER(MATCH(TRIM(RIGHT(SUBSTITUTE(TRIM(I194&amp;"")," ",REPT(" ",60)),60)),코드표!$F$2:$F$101,0))),IF(RIGHT(LEFT(TRIM(I194&amp;""),FIND(" ",TRIM(I194&amp;""))-1),2)="병원",LEFT(TRIM(I194&amp;""),FIND(" ",TRIM(I194&amp;""))-1),LEFT(TRIM(I194&amp;""),FIND(" ",TRIM(I194&amp;""))-1)&amp;"병원")&amp;" "&amp;INDEX(코드표!$G$2:$G$101,MATCH(TRIM(RIGHT(SUBSTITUTE(TRIM(I194&amp;"")," ",REPT(" ",60)),60)),코드표!$F$2:$F$101,0)),"⚠"&amp;TRIM(I194&amp;""))),"⚠"&amp;TRIM(I194&amp;""))</f>
        <v/>
      </c>
      <c r="R194" s="10">
        <f>IFERROR(IF(TRIM(J194&amp;"")="","",IF(AND(ISNUMBER(FIND(" ",TRIM(J194&amp;""))),COUNTIF(코드표!$A$2:$A$21,IF(RIGHT(LEFT(TRIM(J194&amp;""),FIND(" ",TRIM(J194&amp;""))-1),2)="병원",LEFT(TRIM(J194&amp;""),FIND(" ",TRIM(J194&amp;""))-1),LEFT(TRIM(J194&amp;""),FIND(" ",TRIM(J194&amp;""))-1)&amp;"병원"))&gt;0,ISNUMBER(MATCH(TRIM(RIGHT(SUBSTITUTE(TRIM(J194&amp;"")," ",REPT(" ",60)),60)),코드표!$F$2:$F$101,0))),IF(RIGHT(LEFT(TRIM(J194&amp;""),FIND(" ",TRIM(J194&amp;""))-1),2)="병원",LEFT(TRIM(J194&amp;""),FIND(" ",TRIM(J194&amp;""))-1),LEFT(TRIM(J194&amp;""),FIND(" ",TRIM(J194&amp;""))-1)&amp;"병원")&amp;" "&amp;INDEX(코드표!$G$2:$G$101,MATCH(TRIM(RIGHT(SUBSTITUTE(TRIM(J194&amp;"")," ",REPT(" ",60)),60)),코드표!$F$2:$F$101,0)),"⚠"&amp;TRIM(J194&amp;""))),"⚠"&amp;TRIM(J194&amp;""))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",TRIM(E195&amp;""))),COUNTIF(코드표!$A$2:$A$21,IF(RIGHT(LEFT(TRIM(E195&amp;""),FIND(" ",TRIM(E195&amp;""))-1),2)="병원",LEFT(TRIM(E195&amp;""),FIND(" ",TRIM(E195&amp;""))-1),LEFT(TRIM(E195&amp;""),FIND(" ",TRIM(E195&amp;""))-1)&amp;"병원"))&gt;0,ISNUMBER(MATCH(TRIM(RIGHT(SUBSTITUTE(TRIM(E195&amp;"")," ",REPT(" ",60)),60)),코드표!$F$2:$F$101,0))),IF(RIGHT(LEFT(TRIM(E195&amp;""),FIND(" ",TRIM(E195&amp;""))-1),2)="병원",LEFT(TRIM(E195&amp;""),FIND(" ",TRIM(E195&amp;""))-1),LEFT(TRIM(E195&amp;""),FIND(" ",TRIM(E195&amp;""))-1)&amp;"병원")&amp;" "&amp;INDEX(코드표!$G$2:$G$101,MATCH(TRIM(RIGHT(SUBSTITUTE(TRIM(E195&amp;"")," ",REPT(" ",60)),60)),코드표!$F$2:$F$101,0)),"⚠"&amp;TRIM(E195&amp;""))),"⚠"&amp;TRIM(E195&amp;""))</f>
        <v/>
      </c>
      <c r="N195" s="10">
        <f>IFERROR(IF(TRIM(F195&amp;"")="","",IF(AND(ISNUMBER(FIND(" ",TRIM(F195&amp;""))),COUNTIF(코드표!$A$2:$A$21,IF(RIGHT(LEFT(TRIM(F195&amp;""),FIND(" ",TRIM(F195&amp;""))-1),2)="병원",LEFT(TRIM(F195&amp;""),FIND(" ",TRIM(F195&amp;""))-1),LEFT(TRIM(F195&amp;""),FIND(" ",TRIM(F195&amp;""))-1)&amp;"병원"))&gt;0,ISNUMBER(MATCH(TRIM(RIGHT(SUBSTITUTE(TRIM(F195&amp;"")," ",REPT(" ",60)),60)),코드표!$F$2:$F$101,0))),IF(RIGHT(LEFT(TRIM(F195&amp;""),FIND(" ",TRIM(F195&amp;""))-1),2)="병원",LEFT(TRIM(F195&amp;""),FIND(" ",TRIM(F195&amp;""))-1),LEFT(TRIM(F195&amp;""),FIND(" ",TRIM(F195&amp;""))-1)&amp;"병원")&amp;" "&amp;INDEX(코드표!$G$2:$G$101,MATCH(TRIM(RIGHT(SUBSTITUTE(TRIM(F195&amp;"")," ",REPT(" ",60)),60)),코드표!$F$2:$F$101,0)),"⚠"&amp;TRIM(F195&amp;""))),"⚠"&amp;TRIM(F195&amp;""))</f>
        <v/>
      </c>
      <c r="O195" s="10">
        <f>IFERROR(IF(TRIM(G195&amp;"")="","",IF(AND(ISNUMBER(FIND(" ",TRIM(G195&amp;""))),COUNTIF(코드표!$A$2:$A$21,IF(RIGHT(LEFT(TRIM(G195&amp;""),FIND(" ",TRIM(G195&amp;""))-1),2)="병원",LEFT(TRIM(G195&amp;""),FIND(" ",TRIM(G195&amp;""))-1),LEFT(TRIM(G195&amp;""),FIND(" ",TRIM(G195&amp;""))-1)&amp;"병원"))&gt;0,ISNUMBER(MATCH(TRIM(RIGHT(SUBSTITUTE(TRIM(G195&amp;"")," ",REPT(" ",60)),60)),코드표!$F$2:$F$101,0))),IF(RIGHT(LEFT(TRIM(G195&amp;""),FIND(" ",TRIM(G195&amp;""))-1),2)="병원",LEFT(TRIM(G195&amp;""),FIND(" ",TRIM(G195&amp;""))-1),LEFT(TRIM(G195&amp;""),FIND(" ",TRIM(G195&amp;""))-1)&amp;"병원")&amp;" "&amp;INDEX(코드표!$G$2:$G$101,MATCH(TRIM(RIGHT(SUBSTITUTE(TRIM(G195&amp;"")," ",REPT(" ",60)),60)),코드표!$F$2:$F$101,0)),"⚠"&amp;TRIM(G195&amp;""))),"⚠"&amp;TRIM(G195&amp;""))</f>
        <v/>
      </c>
      <c r="P195" s="10">
        <f>IFERROR(IF(TRIM(H195&amp;"")="","",IF(AND(ISNUMBER(FIND(" ",TRIM(H195&amp;""))),COUNTIF(코드표!$A$2:$A$21,IF(RIGHT(LEFT(TRIM(H195&amp;""),FIND(" ",TRIM(H195&amp;""))-1),2)="병원",LEFT(TRIM(H195&amp;""),FIND(" ",TRIM(H195&amp;""))-1),LEFT(TRIM(H195&amp;""),FIND(" ",TRIM(H195&amp;""))-1)&amp;"병원"))&gt;0,ISNUMBER(MATCH(TRIM(RIGHT(SUBSTITUTE(TRIM(H195&amp;"")," ",REPT(" ",60)),60)),코드표!$F$2:$F$101,0))),IF(RIGHT(LEFT(TRIM(H195&amp;""),FIND(" ",TRIM(H195&amp;""))-1),2)="병원",LEFT(TRIM(H195&amp;""),FIND(" ",TRIM(H195&amp;""))-1),LEFT(TRIM(H195&amp;""),FIND(" ",TRIM(H195&amp;""))-1)&amp;"병원")&amp;" "&amp;INDEX(코드표!$G$2:$G$101,MATCH(TRIM(RIGHT(SUBSTITUTE(TRIM(H195&amp;"")," ",REPT(" ",60)),60)),코드표!$F$2:$F$101,0)),"⚠"&amp;TRIM(H195&amp;""))),"⚠"&amp;TRIM(H195&amp;""))</f>
        <v/>
      </c>
      <c r="Q195" s="10">
        <f>IFERROR(IF(TRIM(I195&amp;"")="","",IF(AND(ISNUMBER(FIND(" ",TRIM(I195&amp;""))),COUNTIF(코드표!$A$2:$A$21,IF(RIGHT(LEFT(TRIM(I195&amp;""),FIND(" ",TRIM(I195&amp;""))-1),2)="병원",LEFT(TRIM(I195&amp;""),FIND(" ",TRIM(I195&amp;""))-1),LEFT(TRIM(I195&amp;""),FIND(" ",TRIM(I195&amp;""))-1)&amp;"병원"))&gt;0,ISNUMBER(MATCH(TRIM(RIGHT(SUBSTITUTE(TRIM(I195&amp;"")," ",REPT(" ",60)),60)),코드표!$F$2:$F$101,0))),IF(RIGHT(LEFT(TRIM(I195&amp;""),FIND(" ",TRIM(I195&amp;""))-1),2)="병원",LEFT(TRIM(I195&amp;""),FIND(" ",TRIM(I195&amp;""))-1),LEFT(TRIM(I195&amp;""),FIND(" ",TRIM(I195&amp;""))-1)&amp;"병원")&amp;" "&amp;INDEX(코드표!$G$2:$G$101,MATCH(TRIM(RIGHT(SUBSTITUTE(TRIM(I195&amp;"")," ",REPT(" ",60)),60)),코드표!$F$2:$F$101,0)),"⚠"&amp;TRIM(I195&amp;""))),"⚠"&amp;TRIM(I195&amp;""))</f>
        <v/>
      </c>
      <c r="R195" s="10">
        <f>IFERROR(IF(TRIM(J195&amp;"")="","",IF(AND(ISNUMBER(FIND(" ",TRIM(J195&amp;""))),COUNTIF(코드표!$A$2:$A$21,IF(RIGHT(LEFT(TRIM(J195&amp;""),FIND(" ",TRIM(J195&amp;""))-1),2)="병원",LEFT(TRIM(J195&amp;""),FIND(" ",TRIM(J195&amp;""))-1),LEFT(TRIM(J195&amp;""),FIND(" ",TRIM(J195&amp;""))-1)&amp;"병원"))&gt;0,ISNUMBER(MATCH(TRIM(RIGHT(SUBSTITUTE(TRIM(J195&amp;"")," ",REPT(" ",60)),60)),코드표!$F$2:$F$101,0))),IF(RIGHT(LEFT(TRIM(J195&amp;""),FIND(" ",TRIM(J195&amp;""))-1),2)="병원",LEFT(TRIM(J195&amp;""),FIND(" ",TRIM(J195&amp;""))-1),LEFT(TRIM(J195&amp;""),FIND(" ",TRIM(J195&amp;""))-1)&amp;"병원")&amp;" "&amp;INDEX(코드표!$G$2:$G$101,MATCH(TRIM(RIGHT(SUBSTITUTE(TRIM(J195&amp;"")," ",REPT(" ",60)),60)),코드표!$F$2:$F$101,0)),"⚠"&amp;TRIM(J195&amp;""))),"⚠"&amp;TRIM(J195&amp;""))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",TRIM(E196&amp;""))),COUNTIF(코드표!$A$2:$A$21,IF(RIGHT(LEFT(TRIM(E196&amp;""),FIND(" ",TRIM(E196&amp;""))-1),2)="병원",LEFT(TRIM(E196&amp;""),FIND(" ",TRIM(E196&amp;""))-1),LEFT(TRIM(E196&amp;""),FIND(" ",TRIM(E196&amp;""))-1)&amp;"병원"))&gt;0,ISNUMBER(MATCH(TRIM(RIGHT(SUBSTITUTE(TRIM(E196&amp;"")," ",REPT(" ",60)),60)),코드표!$F$2:$F$101,0))),IF(RIGHT(LEFT(TRIM(E196&amp;""),FIND(" ",TRIM(E196&amp;""))-1),2)="병원",LEFT(TRIM(E196&amp;""),FIND(" ",TRIM(E196&amp;""))-1),LEFT(TRIM(E196&amp;""),FIND(" ",TRIM(E196&amp;""))-1)&amp;"병원")&amp;" "&amp;INDEX(코드표!$G$2:$G$101,MATCH(TRIM(RIGHT(SUBSTITUTE(TRIM(E196&amp;"")," ",REPT(" ",60)),60)),코드표!$F$2:$F$101,0)),"⚠"&amp;TRIM(E196&amp;""))),"⚠"&amp;TRIM(E196&amp;""))</f>
        <v/>
      </c>
      <c r="N196" s="10">
        <f>IFERROR(IF(TRIM(F196&amp;"")="","",IF(AND(ISNUMBER(FIND(" ",TRIM(F196&amp;""))),COUNTIF(코드표!$A$2:$A$21,IF(RIGHT(LEFT(TRIM(F196&amp;""),FIND(" ",TRIM(F196&amp;""))-1),2)="병원",LEFT(TRIM(F196&amp;""),FIND(" ",TRIM(F196&amp;""))-1),LEFT(TRIM(F196&amp;""),FIND(" ",TRIM(F196&amp;""))-1)&amp;"병원"))&gt;0,ISNUMBER(MATCH(TRIM(RIGHT(SUBSTITUTE(TRIM(F196&amp;"")," ",REPT(" ",60)),60)),코드표!$F$2:$F$101,0))),IF(RIGHT(LEFT(TRIM(F196&amp;""),FIND(" ",TRIM(F196&amp;""))-1),2)="병원",LEFT(TRIM(F196&amp;""),FIND(" ",TRIM(F196&amp;""))-1),LEFT(TRIM(F196&amp;""),FIND(" ",TRIM(F196&amp;""))-1)&amp;"병원")&amp;" "&amp;INDEX(코드표!$G$2:$G$101,MATCH(TRIM(RIGHT(SUBSTITUTE(TRIM(F196&amp;"")," ",REPT(" ",60)),60)),코드표!$F$2:$F$101,0)),"⚠"&amp;TRIM(F196&amp;""))),"⚠"&amp;TRIM(F196&amp;""))</f>
        <v/>
      </c>
      <c r="O196" s="10">
        <f>IFERROR(IF(TRIM(G196&amp;"")="","",IF(AND(ISNUMBER(FIND(" ",TRIM(G196&amp;""))),COUNTIF(코드표!$A$2:$A$21,IF(RIGHT(LEFT(TRIM(G196&amp;""),FIND(" ",TRIM(G196&amp;""))-1),2)="병원",LEFT(TRIM(G196&amp;""),FIND(" ",TRIM(G196&amp;""))-1),LEFT(TRIM(G196&amp;""),FIND(" ",TRIM(G196&amp;""))-1)&amp;"병원"))&gt;0,ISNUMBER(MATCH(TRIM(RIGHT(SUBSTITUTE(TRIM(G196&amp;"")," ",REPT(" ",60)),60)),코드표!$F$2:$F$101,0))),IF(RIGHT(LEFT(TRIM(G196&amp;""),FIND(" ",TRIM(G196&amp;""))-1),2)="병원",LEFT(TRIM(G196&amp;""),FIND(" ",TRIM(G196&amp;""))-1),LEFT(TRIM(G196&amp;""),FIND(" ",TRIM(G196&amp;""))-1)&amp;"병원")&amp;" "&amp;INDEX(코드표!$G$2:$G$101,MATCH(TRIM(RIGHT(SUBSTITUTE(TRIM(G196&amp;"")," ",REPT(" ",60)),60)),코드표!$F$2:$F$101,0)),"⚠"&amp;TRIM(G196&amp;""))),"⚠"&amp;TRIM(G196&amp;""))</f>
        <v/>
      </c>
      <c r="P196" s="10">
        <f>IFERROR(IF(TRIM(H196&amp;"")="","",IF(AND(ISNUMBER(FIND(" ",TRIM(H196&amp;""))),COUNTIF(코드표!$A$2:$A$21,IF(RIGHT(LEFT(TRIM(H196&amp;""),FIND(" ",TRIM(H196&amp;""))-1),2)="병원",LEFT(TRIM(H196&amp;""),FIND(" ",TRIM(H196&amp;""))-1),LEFT(TRIM(H196&amp;""),FIND(" ",TRIM(H196&amp;""))-1)&amp;"병원"))&gt;0,ISNUMBER(MATCH(TRIM(RIGHT(SUBSTITUTE(TRIM(H196&amp;"")," ",REPT(" ",60)),60)),코드표!$F$2:$F$101,0))),IF(RIGHT(LEFT(TRIM(H196&amp;""),FIND(" ",TRIM(H196&amp;""))-1),2)="병원",LEFT(TRIM(H196&amp;""),FIND(" ",TRIM(H196&amp;""))-1),LEFT(TRIM(H196&amp;""),FIND(" ",TRIM(H196&amp;""))-1)&amp;"병원")&amp;" "&amp;INDEX(코드표!$G$2:$G$101,MATCH(TRIM(RIGHT(SUBSTITUTE(TRIM(H196&amp;"")," ",REPT(" ",60)),60)),코드표!$F$2:$F$101,0)),"⚠"&amp;TRIM(H196&amp;""))),"⚠"&amp;TRIM(H196&amp;""))</f>
        <v/>
      </c>
      <c r="Q196" s="10">
        <f>IFERROR(IF(TRIM(I196&amp;"")="","",IF(AND(ISNUMBER(FIND(" ",TRIM(I196&amp;""))),COUNTIF(코드표!$A$2:$A$21,IF(RIGHT(LEFT(TRIM(I196&amp;""),FIND(" ",TRIM(I196&amp;""))-1),2)="병원",LEFT(TRIM(I196&amp;""),FIND(" ",TRIM(I196&amp;""))-1),LEFT(TRIM(I196&amp;""),FIND(" ",TRIM(I196&amp;""))-1)&amp;"병원"))&gt;0,ISNUMBER(MATCH(TRIM(RIGHT(SUBSTITUTE(TRIM(I196&amp;"")," ",REPT(" ",60)),60)),코드표!$F$2:$F$101,0))),IF(RIGHT(LEFT(TRIM(I196&amp;""),FIND(" ",TRIM(I196&amp;""))-1),2)="병원",LEFT(TRIM(I196&amp;""),FIND(" ",TRIM(I196&amp;""))-1),LEFT(TRIM(I196&amp;""),FIND(" ",TRIM(I196&amp;""))-1)&amp;"병원")&amp;" "&amp;INDEX(코드표!$G$2:$G$101,MATCH(TRIM(RIGHT(SUBSTITUTE(TRIM(I196&amp;"")," ",REPT(" ",60)),60)),코드표!$F$2:$F$101,0)),"⚠"&amp;TRIM(I196&amp;""))),"⚠"&amp;TRIM(I196&amp;""))</f>
        <v/>
      </c>
      <c r="R196" s="10">
        <f>IFERROR(IF(TRIM(J196&amp;"")="","",IF(AND(ISNUMBER(FIND(" ",TRIM(J196&amp;""))),COUNTIF(코드표!$A$2:$A$21,IF(RIGHT(LEFT(TRIM(J196&amp;""),FIND(" ",TRIM(J196&amp;""))-1),2)="병원",LEFT(TRIM(J196&amp;""),FIND(" ",TRIM(J196&amp;""))-1),LEFT(TRIM(J196&amp;""),FIND(" ",TRIM(J196&amp;""))-1)&amp;"병원"))&gt;0,ISNUMBER(MATCH(TRIM(RIGHT(SUBSTITUTE(TRIM(J196&amp;"")," ",REPT(" ",60)),60)),코드표!$F$2:$F$101,0))),IF(RIGHT(LEFT(TRIM(J196&amp;""),FIND(" ",TRIM(J196&amp;""))-1),2)="병원",LEFT(TRIM(J196&amp;""),FIND(" ",TRIM(J196&amp;""))-1),LEFT(TRIM(J196&amp;""),FIND(" ",TRIM(J196&amp;""))-1)&amp;"병원")&amp;" "&amp;INDEX(코드표!$G$2:$G$101,MATCH(TRIM(RIGHT(SUBSTITUTE(TRIM(J196&amp;"")," ",REPT(" ",60)),60)),코드표!$F$2:$F$101,0)),"⚠"&amp;TRIM(J196&amp;""))),"⚠"&amp;TRIM(J196&amp;""))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",TRIM(E197&amp;""))),COUNTIF(코드표!$A$2:$A$21,IF(RIGHT(LEFT(TRIM(E197&amp;""),FIND(" ",TRIM(E197&amp;""))-1),2)="병원",LEFT(TRIM(E197&amp;""),FIND(" ",TRIM(E197&amp;""))-1),LEFT(TRIM(E197&amp;""),FIND(" ",TRIM(E197&amp;""))-1)&amp;"병원"))&gt;0,ISNUMBER(MATCH(TRIM(RIGHT(SUBSTITUTE(TRIM(E197&amp;"")," ",REPT(" ",60)),60)),코드표!$F$2:$F$101,0))),IF(RIGHT(LEFT(TRIM(E197&amp;""),FIND(" ",TRIM(E197&amp;""))-1),2)="병원",LEFT(TRIM(E197&amp;""),FIND(" ",TRIM(E197&amp;""))-1),LEFT(TRIM(E197&amp;""),FIND(" ",TRIM(E197&amp;""))-1)&amp;"병원")&amp;" "&amp;INDEX(코드표!$G$2:$G$101,MATCH(TRIM(RIGHT(SUBSTITUTE(TRIM(E197&amp;"")," ",REPT(" ",60)),60)),코드표!$F$2:$F$101,0)),"⚠"&amp;TRIM(E197&amp;""))),"⚠"&amp;TRIM(E197&amp;""))</f>
        <v/>
      </c>
      <c r="N197" s="10">
        <f>IFERROR(IF(TRIM(F197&amp;"")="","",IF(AND(ISNUMBER(FIND(" ",TRIM(F197&amp;""))),COUNTIF(코드표!$A$2:$A$21,IF(RIGHT(LEFT(TRIM(F197&amp;""),FIND(" ",TRIM(F197&amp;""))-1),2)="병원",LEFT(TRIM(F197&amp;""),FIND(" ",TRIM(F197&amp;""))-1),LEFT(TRIM(F197&amp;""),FIND(" ",TRIM(F197&amp;""))-1)&amp;"병원"))&gt;0,ISNUMBER(MATCH(TRIM(RIGHT(SUBSTITUTE(TRIM(F197&amp;"")," ",REPT(" ",60)),60)),코드표!$F$2:$F$101,0))),IF(RIGHT(LEFT(TRIM(F197&amp;""),FIND(" ",TRIM(F197&amp;""))-1),2)="병원",LEFT(TRIM(F197&amp;""),FIND(" ",TRIM(F197&amp;""))-1),LEFT(TRIM(F197&amp;""),FIND(" ",TRIM(F197&amp;""))-1)&amp;"병원")&amp;" "&amp;INDEX(코드표!$G$2:$G$101,MATCH(TRIM(RIGHT(SUBSTITUTE(TRIM(F197&amp;"")," ",REPT(" ",60)),60)),코드표!$F$2:$F$101,0)),"⚠"&amp;TRIM(F197&amp;""))),"⚠"&amp;TRIM(F197&amp;""))</f>
        <v/>
      </c>
      <c r="O197" s="10">
        <f>IFERROR(IF(TRIM(G197&amp;"")="","",IF(AND(ISNUMBER(FIND(" ",TRIM(G197&amp;""))),COUNTIF(코드표!$A$2:$A$21,IF(RIGHT(LEFT(TRIM(G197&amp;""),FIND(" ",TRIM(G197&amp;""))-1),2)="병원",LEFT(TRIM(G197&amp;""),FIND(" ",TRIM(G197&amp;""))-1),LEFT(TRIM(G197&amp;""),FIND(" ",TRIM(G197&amp;""))-1)&amp;"병원"))&gt;0,ISNUMBER(MATCH(TRIM(RIGHT(SUBSTITUTE(TRIM(G197&amp;"")," ",REPT(" ",60)),60)),코드표!$F$2:$F$101,0))),IF(RIGHT(LEFT(TRIM(G197&amp;""),FIND(" ",TRIM(G197&amp;""))-1),2)="병원",LEFT(TRIM(G197&amp;""),FIND(" ",TRIM(G197&amp;""))-1),LEFT(TRIM(G197&amp;""),FIND(" ",TRIM(G197&amp;""))-1)&amp;"병원")&amp;" "&amp;INDEX(코드표!$G$2:$G$101,MATCH(TRIM(RIGHT(SUBSTITUTE(TRIM(G197&amp;"")," ",REPT(" ",60)),60)),코드표!$F$2:$F$101,0)),"⚠"&amp;TRIM(G197&amp;""))),"⚠"&amp;TRIM(G197&amp;""))</f>
        <v/>
      </c>
      <c r="P197" s="10">
        <f>IFERROR(IF(TRIM(H197&amp;"")="","",IF(AND(ISNUMBER(FIND(" ",TRIM(H197&amp;""))),COUNTIF(코드표!$A$2:$A$21,IF(RIGHT(LEFT(TRIM(H197&amp;""),FIND(" ",TRIM(H197&amp;""))-1),2)="병원",LEFT(TRIM(H197&amp;""),FIND(" ",TRIM(H197&amp;""))-1),LEFT(TRIM(H197&amp;""),FIND(" ",TRIM(H197&amp;""))-1)&amp;"병원"))&gt;0,ISNUMBER(MATCH(TRIM(RIGHT(SUBSTITUTE(TRIM(H197&amp;"")," ",REPT(" ",60)),60)),코드표!$F$2:$F$101,0))),IF(RIGHT(LEFT(TRIM(H197&amp;""),FIND(" ",TRIM(H197&amp;""))-1),2)="병원",LEFT(TRIM(H197&amp;""),FIND(" ",TRIM(H197&amp;""))-1),LEFT(TRIM(H197&amp;""),FIND(" ",TRIM(H197&amp;""))-1)&amp;"병원")&amp;" "&amp;INDEX(코드표!$G$2:$G$101,MATCH(TRIM(RIGHT(SUBSTITUTE(TRIM(H197&amp;"")," ",REPT(" ",60)),60)),코드표!$F$2:$F$101,0)),"⚠"&amp;TRIM(H197&amp;""))),"⚠"&amp;TRIM(H197&amp;""))</f>
        <v/>
      </c>
      <c r="Q197" s="10">
        <f>IFERROR(IF(TRIM(I197&amp;"")="","",IF(AND(ISNUMBER(FIND(" ",TRIM(I197&amp;""))),COUNTIF(코드표!$A$2:$A$21,IF(RIGHT(LEFT(TRIM(I197&amp;""),FIND(" ",TRIM(I197&amp;""))-1),2)="병원",LEFT(TRIM(I197&amp;""),FIND(" ",TRIM(I197&amp;""))-1),LEFT(TRIM(I197&amp;""),FIND(" ",TRIM(I197&amp;""))-1)&amp;"병원"))&gt;0,ISNUMBER(MATCH(TRIM(RIGHT(SUBSTITUTE(TRIM(I197&amp;"")," ",REPT(" ",60)),60)),코드표!$F$2:$F$101,0))),IF(RIGHT(LEFT(TRIM(I197&amp;""),FIND(" ",TRIM(I197&amp;""))-1),2)="병원",LEFT(TRIM(I197&amp;""),FIND(" ",TRIM(I197&amp;""))-1),LEFT(TRIM(I197&amp;""),FIND(" ",TRIM(I197&amp;""))-1)&amp;"병원")&amp;" "&amp;INDEX(코드표!$G$2:$G$101,MATCH(TRIM(RIGHT(SUBSTITUTE(TRIM(I197&amp;"")," ",REPT(" ",60)),60)),코드표!$F$2:$F$101,0)),"⚠"&amp;TRIM(I197&amp;""))),"⚠"&amp;TRIM(I197&amp;""))</f>
        <v/>
      </c>
      <c r="R197" s="10">
        <f>IFERROR(IF(TRIM(J197&amp;"")="","",IF(AND(ISNUMBER(FIND(" ",TRIM(J197&amp;""))),COUNTIF(코드표!$A$2:$A$21,IF(RIGHT(LEFT(TRIM(J197&amp;""),FIND(" ",TRIM(J197&amp;""))-1),2)="병원",LEFT(TRIM(J197&amp;""),FIND(" ",TRIM(J197&amp;""))-1),LEFT(TRIM(J197&amp;""),FIND(" ",TRIM(J197&amp;""))-1)&amp;"병원"))&gt;0,ISNUMBER(MATCH(TRIM(RIGHT(SUBSTITUTE(TRIM(J197&amp;"")," ",REPT(" ",60)),60)),코드표!$F$2:$F$101,0))),IF(RIGHT(LEFT(TRIM(J197&amp;""),FIND(" ",TRIM(J197&amp;""))-1),2)="병원",LEFT(TRIM(J197&amp;""),FIND(" ",TRIM(J197&amp;""))-1),LEFT(TRIM(J197&amp;""),FIND(" ",TRIM(J197&amp;""))-1)&amp;"병원")&amp;" "&amp;INDEX(코드표!$G$2:$G$101,MATCH(TRIM(RIGHT(SUBSTITUTE(TRIM(J197&amp;"")," ",REPT(" ",60)),60)),코드표!$F$2:$F$101,0)),"⚠"&amp;TRIM(J197&amp;""))),"⚠"&amp;TRIM(J197&amp;""))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",TRIM(E198&amp;""))),COUNTIF(코드표!$A$2:$A$21,IF(RIGHT(LEFT(TRIM(E198&amp;""),FIND(" ",TRIM(E198&amp;""))-1),2)="병원",LEFT(TRIM(E198&amp;""),FIND(" ",TRIM(E198&amp;""))-1),LEFT(TRIM(E198&amp;""),FIND(" ",TRIM(E198&amp;""))-1)&amp;"병원"))&gt;0,ISNUMBER(MATCH(TRIM(RIGHT(SUBSTITUTE(TRIM(E198&amp;"")," ",REPT(" ",60)),60)),코드표!$F$2:$F$101,0))),IF(RIGHT(LEFT(TRIM(E198&amp;""),FIND(" ",TRIM(E198&amp;""))-1),2)="병원",LEFT(TRIM(E198&amp;""),FIND(" ",TRIM(E198&amp;""))-1),LEFT(TRIM(E198&amp;""),FIND(" ",TRIM(E198&amp;""))-1)&amp;"병원")&amp;" "&amp;INDEX(코드표!$G$2:$G$101,MATCH(TRIM(RIGHT(SUBSTITUTE(TRIM(E198&amp;"")," ",REPT(" ",60)),60)),코드표!$F$2:$F$101,0)),"⚠"&amp;TRIM(E198&amp;""))),"⚠"&amp;TRIM(E198&amp;""))</f>
        <v/>
      </c>
      <c r="N198" s="10">
        <f>IFERROR(IF(TRIM(F198&amp;"")="","",IF(AND(ISNUMBER(FIND(" ",TRIM(F198&amp;""))),COUNTIF(코드표!$A$2:$A$21,IF(RIGHT(LEFT(TRIM(F198&amp;""),FIND(" ",TRIM(F198&amp;""))-1),2)="병원",LEFT(TRIM(F198&amp;""),FIND(" ",TRIM(F198&amp;""))-1),LEFT(TRIM(F198&amp;""),FIND(" ",TRIM(F198&amp;""))-1)&amp;"병원"))&gt;0,ISNUMBER(MATCH(TRIM(RIGHT(SUBSTITUTE(TRIM(F198&amp;"")," ",REPT(" ",60)),60)),코드표!$F$2:$F$101,0))),IF(RIGHT(LEFT(TRIM(F198&amp;""),FIND(" ",TRIM(F198&amp;""))-1),2)="병원",LEFT(TRIM(F198&amp;""),FIND(" ",TRIM(F198&amp;""))-1),LEFT(TRIM(F198&amp;""),FIND(" ",TRIM(F198&amp;""))-1)&amp;"병원")&amp;" "&amp;INDEX(코드표!$G$2:$G$101,MATCH(TRIM(RIGHT(SUBSTITUTE(TRIM(F198&amp;"")," ",REPT(" ",60)),60)),코드표!$F$2:$F$101,0)),"⚠"&amp;TRIM(F198&amp;""))),"⚠"&amp;TRIM(F198&amp;""))</f>
        <v/>
      </c>
      <c r="O198" s="10">
        <f>IFERROR(IF(TRIM(G198&amp;"")="","",IF(AND(ISNUMBER(FIND(" ",TRIM(G198&amp;""))),COUNTIF(코드표!$A$2:$A$21,IF(RIGHT(LEFT(TRIM(G198&amp;""),FIND(" ",TRIM(G198&amp;""))-1),2)="병원",LEFT(TRIM(G198&amp;""),FIND(" ",TRIM(G198&amp;""))-1),LEFT(TRIM(G198&amp;""),FIND(" ",TRIM(G198&amp;""))-1)&amp;"병원"))&gt;0,ISNUMBER(MATCH(TRIM(RIGHT(SUBSTITUTE(TRIM(G198&amp;"")," ",REPT(" ",60)),60)),코드표!$F$2:$F$101,0))),IF(RIGHT(LEFT(TRIM(G198&amp;""),FIND(" ",TRIM(G198&amp;""))-1),2)="병원",LEFT(TRIM(G198&amp;""),FIND(" ",TRIM(G198&amp;""))-1),LEFT(TRIM(G198&amp;""),FIND(" ",TRIM(G198&amp;""))-1)&amp;"병원")&amp;" "&amp;INDEX(코드표!$G$2:$G$101,MATCH(TRIM(RIGHT(SUBSTITUTE(TRIM(G198&amp;"")," ",REPT(" ",60)),60)),코드표!$F$2:$F$101,0)),"⚠"&amp;TRIM(G198&amp;""))),"⚠"&amp;TRIM(G198&amp;""))</f>
        <v/>
      </c>
      <c r="P198" s="10">
        <f>IFERROR(IF(TRIM(H198&amp;"")="","",IF(AND(ISNUMBER(FIND(" ",TRIM(H198&amp;""))),COUNTIF(코드표!$A$2:$A$21,IF(RIGHT(LEFT(TRIM(H198&amp;""),FIND(" ",TRIM(H198&amp;""))-1),2)="병원",LEFT(TRIM(H198&amp;""),FIND(" ",TRIM(H198&amp;""))-1),LEFT(TRIM(H198&amp;""),FIND(" ",TRIM(H198&amp;""))-1)&amp;"병원"))&gt;0,ISNUMBER(MATCH(TRIM(RIGHT(SUBSTITUTE(TRIM(H198&amp;"")," ",REPT(" ",60)),60)),코드표!$F$2:$F$101,0))),IF(RIGHT(LEFT(TRIM(H198&amp;""),FIND(" ",TRIM(H198&amp;""))-1),2)="병원",LEFT(TRIM(H198&amp;""),FIND(" ",TRIM(H198&amp;""))-1),LEFT(TRIM(H198&amp;""),FIND(" ",TRIM(H198&amp;""))-1)&amp;"병원")&amp;" "&amp;INDEX(코드표!$G$2:$G$101,MATCH(TRIM(RIGHT(SUBSTITUTE(TRIM(H198&amp;"")," ",REPT(" ",60)),60)),코드표!$F$2:$F$101,0)),"⚠"&amp;TRIM(H198&amp;""))),"⚠"&amp;TRIM(H198&amp;""))</f>
        <v/>
      </c>
      <c r="Q198" s="10">
        <f>IFERROR(IF(TRIM(I198&amp;"")="","",IF(AND(ISNUMBER(FIND(" ",TRIM(I198&amp;""))),COUNTIF(코드표!$A$2:$A$21,IF(RIGHT(LEFT(TRIM(I198&amp;""),FIND(" ",TRIM(I198&amp;""))-1),2)="병원",LEFT(TRIM(I198&amp;""),FIND(" ",TRIM(I198&amp;""))-1),LEFT(TRIM(I198&amp;""),FIND(" ",TRIM(I198&amp;""))-1)&amp;"병원"))&gt;0,ISNUMBER(MATCH(TRIM(RIGHT(SUBSTITUTE(TRIM(I198&amp;"")," ",REPT(" ",60)),60)),코드표!$F$2:$F$101,0))),IF(RIGHT(LEFT(TRIM(I198&amp;""),FIND(" ",TRIM(I198&amp;""))-1),2)="병원",LEFT(TRIM(I198&amp;""),FIND(" ",TRIM(I198&amp;""))-1),LEFT(TRIM(I198&amp;""),FIND(" ",TRIM(I198&amp;""))-1)&amp;"병원")&amp;" "&amp;INDEX(코드표!$G$2:$G$101,MATCH(TRIM(RIGHT(SUBSTITUTE(TRIM(I198&amp;"")," ",REPT(" ",60)),60)),코드표!$F$2:$F$101,0)),"⚠"&amp;TRIM(I198&amp;""))),"⚠"&amp;TRIM(I198&amp;""))</f>
        <v/>
      </c>
      <c r="R198" s="10">
        <f>IFERROR(IF(TRIM(J198&amp;"")="","",IF(AND(ISNUMBER(FIND(" ",TRIM(J198&amp;""))),COUNTIF(코드표!$A$2:$A$21,IF(RIGHT(LEFT(TRIM(J198&amp;""),FIND(" ",TRIM(J198&amp;""))-1),2)="병원",LEFT(TRIM(J198&amp;""),FIND(" ",TRIM(J198&amp;""))-1),LEFT(TRIM(J198&amp;""),FIND(" ",TRIM(J198&amp;""))-1)&amp;"병원"))&gt;0,ISNUMBER(MATCH(TRIM(RIGHT(SUBSTITUTE(TRIM(J198&amp;"")," ",REPT(" ",60)),60)),코드표!$F$2:$F$101,0))),IF(RIGHT(LEFT(TRIM(J198&amp;""),FIND(" ",TRIM(J198&amp;""))-1),2)="병원",LEFT(TRIM(J198&amp;""),FIND(" ",TRIM(J198&amp;""))-1),LEFT(TRIM(J198&amp;""),FIND(" ",TRIM(J198&amp;""))-1)&amp;"병원")&amp;" "&amp;INDEX(코드표!$G$2:$G$101,MATCH(TRIM(RIGHT(SUBSTITUTE(TRIM(J198&amp;"")," ",REPT(" ",60)),60)),코드표!$F$2:$F$101,0)),"⚠"&amp;TRIM(J198&amp;""))),"⚠"&amp;TRIM(J198&amp;""))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",TRIM(E199&amp;""))),COUNTIF(코드표!$A$2:$A$21,IF(RIGHT(LEFT(TRIM(E199&amp;""),FIND(" ",TRIM(E199&amp;""))-1),2)="병원",LEFT(TRIM(E199&amp;""),FIND(" ",TRIM(E199&amp;""))-1),LEFT(TRIM(E199&amp;""),FIND(" ",TRIM(E199&amp;""))-1)&amp;"병원"))&gt;0,ISNUMBER(MATCH(TRIM(RIGHT(SUBSTITUTE(TRIM(E199&amp;"")," ",REPT(" ",60)),60)),코드표!$F$2:$F$101,0))),IF(RIGHT(LEFT(TRIM(E199&amp;""),FIND(" ",TRIM(E199&amp;""))-1),2)="병원",LEFT(TRIM(E199&amp;""),FIND(" ",TRIM(E199&amp;""))-1),LEFT(TRIM(E199&amp;""),FIND(" ",TRIM(E199&amp;""))-1)&amp;"병원")&amp;" "&amp;INDEX(코드표!$G$2:$G$101,MATCH(TRIM(RIGHT(SUBSTITUTE(TRIM(E199&amp;"")," ",REPT(" ",60)),60)),코드표!$F$2:$F$101,0)),"⚠"&amp;TRIM(E199&amp;""))),"⚠"&amp;TRIM(E199&amp;""))</f>
        <v/>
      </c>
      <c r="N199" s="10">
        <f>IFERROR(IF(TRIM(F199&amp;"")="","",IF(AND(ISNUMBER(FIND(" ",TRIM(F199&amp;""))),COUNTIF(코드표!$A$2:$A$21,IF(RIGHT(LEFT(TRIM(F199&amp;""),FIND(" ",TRIM(F199&amp;""))-1),2)="병원",LEFT(TRIM(F199&amp;""),FIND(" ",TRIM(F199&amp;""))-1),LEFT(TRIM(F199&amp;""),FIND(" ",TRIM(F199&amp;""))-1)&amp;"병원"))&gt;0,ISNUMBER(MATCH(TRIM(RIGHT(SUBSTITUTE(TRIM(F199&amp;"")," ",REPT(" ",60)),60)),코드표!$F$2:$F$101,0))),IF(RIGHT(LEFT(TRIM(F199&amp;""),FIND(" ",TRIM(F199&amp;""))-1),2)="병원",LEFT(TRIM(F199&amp;""),FIND(" ",TRIM(F199&amp;""))-1),LEFT(TRIM(F199&amp;""),FIND(" ",TRIM(F199&amp;""))-1)&amp;"병원")&amp;" "&amp;INDEX(코드표!$G$2:$G$101,MATCH(TRIM(RIGHT(SUBSTITUTE(TRIM(F199&amp;"")," ",REPT(" ",60)),60)),코드표!$F$2:$F$101,0)),"⚠"&amp;TRIM(F199&amp;""))),"⚠"&amp;TRIM(F199&amp;""))</f>
        <v/>
      </c>
      <c r="O199" s="10">
        <f>IFERROR(IF(TRIM(G199&amp;"")="","",IF(AND(ISNUMBER(FIND(" ",TRIM(G199&amp;""))),COUNTIF(코드표!$A$2:$A$21,IF(RIGHT(LEFT(TRIM(G199&amp;""),FIND(" ",TRIM(G199&amp;""))-1),2)="병원",LEFT(TRIM(G199&amp;""),FIND(" ",TRIM(G199&amp;""))-1),LEFT(TRIM(G199&amp;""),FIND(" ",TRIM(G199&amp;""))-1)&amp;"병원"))&gt;0,ISNUMBER(MATCH(TRIM(RIGHT(SUBSTITUTE(TRIM(G199&amp;"")," ",REPT(" ",60)),60)),코드표!$F$2:$F$101,0))),IF(RIGHT(LEFT(TRIM(G199&amp;""),FIND(" ",TRIM(G199&amp;""))-1),2)="병원",LEFT(TRIM(G199&amp;""),FIND(" ",TRIM(G199&amp;""))-1),LEFT(TRIM(G199&amp;""),FIND(" ",TRIM(G199&amp;""))-1)&amp;"병원")&amp;" "&amp;INDEX(코드표!$G$2:$G$101,MATCH(TRIM(RIGHT(SUBSTITUTE(TRIM(G199&amp;"")," ",REPT(" ",60)),60)),코드표!$F$2:$F$101,0)),"⚠"&amp;TRIM(G199&amp;""))),"⚠"&amp;TRIM(G199&amp;""))</f>
        <v/>
      </c>
      <c r="P199" s="10">
        <f>IFERROR(IF(TRIM(H199&amp;"")="","",IF(AND(ISNUMBER(FIND(" ",TRIM(H199&amp;""))),COUNTIF(코드표!$A$2:$A$21,IF(RIGHT(LEFT(TRIM(H199&amp;""),FIND(" ",TRIM(H199&amp;""))-1),2)="병원",LEFT(TRIM(H199&amp;""),FIND(" ",TRIM(H199&amp;""))-1),LEFT(TRIM(H199&amp;""),FIND(" ",TRIM(H199&amp;""))-1)&amp;"병원"))&gt;0,ISNUMBER(MATCH(TRIM(RIGHT(SUBSTITUTE(TRIM(H199&amp;"")," ",REPT(" ",60)),60)),코드표!$F$2:$F$101,0))),IF(RIGHT(LEFT(TRIM(H199&amp;""),FIND(" ",TRIM(H199&amp;""))-1),2)="병원",LEFT(TRIM(H199&amp;""),FIND(" ",TRIM(H199&amp;""))-1),LEFT(TRIM(H199&amp;""),FIND(" ",TRIM(H199&amp;""))-1)&amp;"병원")&amp;" "&amp;INDEX(코드표!$G$2:$G$101,MATCH(TRIM(RIGHT(SUBSTITUTE(TRIM(H199&amp;"")," ",REPT(" ",60)),60)),코드표!$F$2:$F$101,0)),"⚠"&amp;TRIM(H199&amp;""))),"⚠"&amp;TRIM(H199&amp;""))</f>
        <v/>
      </c>
      <c r="Q199" s="10">
        <f>IFERROR(IF(TRIM(I199&amp;"")="","",IF(AND(ISNUMBER(FIND(" ",TRIM(I199&amp;""))),COUNTIF(코드표!$A$2:$A$21,IF(RIGHT(LEFT(TRIM(I199&amp;""),FIND(" ",TRIM(I199&amp;""))-1),2)="병원",LEFT(TRIM(I199&amp;""),FIND(" ",TRIM(I199&amp;""))-1),LEFT(TRIM(I199&amp;""),FIND(" ",TRIM(I199&amp;""))-1)&amp;"병원"))&gt;0,ISNUMBER(MATCH(TRIM(RIGHT(SUBSTITUTE(TRIM(I199&amp;"")," ",REPT(" ",60)),60)),코드표!$F$2:$F$101,0))),IF(RIGHT(LEFT(TRIM(I199&amp;""),FIND(" ",TRIM(I199&amp;""))-1),2)="병원",LEFT(TRIM(I199&amp;""),FIND(" ",TRIM(I199&amp;""))-1),LEFT(TRIM(I199&amp;""),FIND(" ",TRIM(I199&amp;""))-1)&amp;"병원")&amp;" "&amp;INDEX(코드표!$G$2:$G$101,MATCH(TRIM(RIGHT(SUBSTITUTE(TRIM(I199&amp;"")," ",REPT(" ",60)),60)),코드표!$F$2:$F$101,0)),"⚠"&amp;TRIM(I199&amp;""))),"⚠"&amp;TRIM(I199&amp;""))</f>
        <v/>
      </c>
      <c r="R199" s="10">
        <f>IFERROR(IF(TRIM(J199&amp;"")="","",IF(AND(ISNUMBER(FIND(" ",TRIM(J199&amp;""))),COUNTIF(코드표!$A$2:$A$21,IF(RIGHT(LEFT(TRIM(J199&amp;""),FIND(" ",TRIM(J199&amp;""))-1),2)="병원",LEFT(TRIM(J199&amp;""),FIND(" ",TRIM(J199&amp;""))-1),LEFT(TRIM(J199&amp;""),FIND(" ",TRIM(J199&amp;""))-1)&amp;"병원"))&gt;0,ISNUMBER(MATCH(TRIM(RIGHT(SUBSTITUTE(TRIM(J199&amp;"")," ",REPT(" ",60)),60)),코드표!$F$2:$F$101,0))),IF(RIGHT(LEFT(TRIM(J199&amp;""),FIND(" ",TRIM(J199&amp;""))-1),2)="병원",LEFT(TRIM(J199&amp;""),FIND(" ",TRIM(J199&amp;""))-1),LEFT(TRIM(J199&amp;""),FIND(" ",TRIM(J199&amp;""))-1)&amp;"병원")&amp;" "&amp;INDEX(코드표!$G$2:$G$101,MATCH(TRIM(RIGHT(SUBSTITUTE(TRIM(J199&amp;"")," ",REPT(" ",60)),60)),코드표!$F$2:$F$101,0)),"⚠"&amp;TRIM(J199&amp;""))),"⚠"&amp;TRIM(J199&amp;""))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",TRIM(E200&amp;""))),COUNTIF(코드표!$A$2:$A$21,IF(RIGHT(LEFT(TRIM(E200&amp;""),FIND(" ",TRIM(E200&amp;""))-1),2)="병원",LEFT(TRIM(E200&amp;""),FIND(" ",TRIM(E200&amp;""))-1),LEFT(TRIM(E200&amp;""),FIND(" ",TRIM(E200&amp;""))-1)&amp;"병원"))&gt;0,ISNUMBER(MATCH(TRIM(RIGHT(SUBSTITUTE(TRIM(E200&amp;"")," ",REPT(" ",60)),60)),코드표!$F$2:$F$101,0))),IF(RIGHT(LEFT(TRIM(E200&amp;""),FIND(" ",TRIM(E200&amp;""))-1),2)="병원",LEFT(TRIM(E200&amp;""),FIND(" ",TRIM(E200&amp;""))-1),LEFT(TRIM(E200&amp;""),FIND(" ",TRIM(E200&amp;""))-1)&amp;"병원")&amp;" "&amp;INDEX(코드표!$G$2:$G$101,MATCH(TRIM(RIGHT(SUBSTITUTE(TRIM(E200&amp;"")," ",REPT(" ",60)),60)),코드표!$F$2:$F$101,0)),"⚠"&amp;TRIM(E200&amp;""))),"⚠"&amp;TRIM(E200&amp;""))</f>
        <v/>
      </c>
      <c r="N200" s="10">
        <f>IFERROR(IF(TRIM(F200&amp;"")="","",IF(AND(ISNUMBER(FIND(" ",TRIM(F200&amp;""))),COUNTIF(코드표!$A$2:$A$21,IF(RIGHT(LEFT(TRIM(F200&amp;""),FIND(" ",TRIM(F200&amp;""))-1),2)="병원",LEFT(TRIM(F200&amp;""),FIND(" ",TRIM(F200&amp;""))-1),LEFT(TRIM(F200&amp;""),FIND(" ",TRIM(F200&amp;""))-1)&amp;"병원"))&gt;0,ISNUMBER(MATCH(TRIM(RIGHT(SUBSTITUTE(TRIM(F200&amp;"")," ",REPT(" ",60)),60)),코드표!$F$2:$F$101,0))),IF(RIGHT(LEFT(TRIM(F200&amp;""),FIND(" ",TRIM(F200&amp;""))-1),2)="병원",LEFT(TRIM(F200&amp;""),FIND(" ",TRIM(F200&amp;""))-1),LEFT(TRIM(F200&amp;""),FIND(" ",TRIM(F200&amp;""))-1)&amp;"병원")&amp;" "&amp;INDEX(코드표!$G$2:$G$101,MATCH(TRIM(RIGHT(SUBSTITUTE(TRIM(F200&amp;"")," ",REPT(" ",60)),60)),코드표!$F$2:$F$101,0)),"⚠"&amp;TRIM(F200&amp;""))),"⚠"&amp;TRIM(F200&amp;""))</f>
        <v/>
      </c>
      <c r="O200" s="10">
        <f>IFERROR(IF(TRIM(G200&amp;"")="","",IF(AND(ISNUMBER(FIND(" ",TRIM(G200&amp;""))),COUNTIF(코드표!$A$2:$A$21,IF(RIGHT(LEFT(TRIM(G200&amp;""),FIND(" ",TRIM(G200&amp;""))-1),2)="병원",LEFT(TRIM(G200&amp;""),FIND(" ",TRIM(G200&amp;""))-1),LEFT(TRIM(G200&amp;""),FIND(" ",TRIM(G200&amp;""))-1)&amp;"병원"))&gt;0,ISNUMBER(MATCH(TRIM(RIGHT(SUBSTITUTE(TRIM(G200&amp;"")," ",REPT(" ",60)),60)),코드표!$F$2:$F$101,0))),IF(RIGHT(LEFT(TRIM(G200&amp;""),FIND(" ",TRIM(G200&amp;""))-1),2)="병원",LEFT(TRIM(G200&amp;""),FIND(" ",TRIM(G200&amp;""))-1),LEFT(TRIM(G200&amp;""),FIND(" ",TRIM(G200&amp;""))-1)&amp;"병원")&amp;" "&amp;INDEX(코드표!$G$2:$G$101,MATCH(TRIM(RIGHT(SUBSTITUTE(TRIM(G200&amp;"")," ",REPT(" ",60)),60)),코드표!$F$2:$F$101,0)),"⚠"&amp;TRIM(G200&amp;""))),"⚠"&amp;TRIM(G200&amp;""))</f>
        <v/>
      </c>
      <c r="P200" s="10">
        <f>IFERROR(IF(TRIM(H200&amp;"")="","",IF(AND(ISNUMBER(FIND(" ",TRIM(H200&amp;""))),COUNTIF(코드표!$A$2:$A$21,IF(RIGHT(LEFT(TRIM(H200&amp;""),FIND(" ",TRIM(H200&amp;""))-1),2)="병원",LEFT(TRIM(H200&amp;""),FIND(" ",TRIM(H200&amp;""))-1),LEFT(TRIM(H200&amp;""),FIND(" ",TRIM(H200&amp;""))-1)&amp;"병원"))&gt;0,ISNUMBER(MATCH(TRIM(RIGHT(SUBSTITUTE(TRIM(H200&amp;"")," ",REPT(" ",60)),60)),코드표!$F$2:$F$101,0))),IF(RIGHT(LEFT(TRIM(H200&amp;""),FIND(" ",TRIM(H200&amp;""))-1),2)="병원",LEFT(TRIM(H200&amp;""),FIND(" ",TRIM(H200&amp;""))-1),LEFT(TRIM(H200&amp;""),FIND(" ",TRIM(H200&amp;""))-1)&amp;"병원")&amp;" "&amp;INDEX(코드표!$G$2:$G$101,MATCH(TRIM(RIGHT(SUBSTITUTE(TRIM(H200&amp;"")," ",REPT(" ",60)),60)),코드표!$F$2:$F$101,0)),"⚠"&amp;TRIM(H200&amp;""))),"⚠"&amp;TRIM(H200&amp;""))</f>
        <v/>
      </c>
      <c r="Q200" s="10">
        <f>IFERROR(IF(TRIM(I200&amp;"")="","",IF(AND(ISNUMBER(FIND(" ",TRIM(I200&amp;""))),COUNTIF(코드표!$A$2:$A$21,IF(RIGHT(LEFT(TRIM(I200&amp;""),FIND(" ",TRIM(I200&amp;""))-1),2)="병원",LEFT(TRIM(I200&amp;""),FIND(" ",TRIM(I200&amp;""))-1),LEFT(TRIM(I200&amp;""),FIND(" ",TRIM(I200&amp;""))-1)&amp;"병원"))&gt;0,ISNUMBER(MATCH(TRIM(RIGHT(SUBSTITUTE(TRIM(I200&amp;"")," ",REPT(" ",60)),60)),코드표!$F$2:$F$101,0))),IF(RIGHT(LEFT(TRIM(I200&amp;""),FIND(" ",TRIM(I200&amp;""))-1),2)="병원",LEFT(TRIM(I200&amp;""),FIND(" ",TRIM(I200&amp;""))-1),LEFT(TRIM(I200&amp;""),FIND(" ",TRIM(I200&amp;""))-1)&amp;"병원")&amp;" "&amp;INDEX(코드표!$G$2:$G$101,MATCH(TRIM(RIGHT(SUBSTITUTE(TRIM(I200&amp;"")," ",REPT(" ",60)),60)),코드표!$F$2:$F$101,0)),"⚠"&amp;TRIM(I200&amp;""))),"⚠"&amp;TRIM(I200&amp;""))</f>
        <v/>
      </c>
      <c r="R200" s="10">
        <f>IFERROR(IF(TRIM(J200&amp;"")="","",IF(AND(ISNUMBER(FIND(" ",TRIM(J200&amp;""))),COUNTIF(코드표!$A$2:$A$21,IF(RIGHT(LEFT(TRIM(J200&amp;""),FIND(" ",TRIM(J200&amp;""))-1),2)="병원",LEFT(TRIM(J200&amp;""),FIND(" ",TRIM(J200&amp;""))-1),LEFT(TRIM(J200&amp;""),FIND(" ",TRIM(J200&amp;""))-1)&amp;"병원"))&gt;0,ISNUMBER(MATCH(TRIM(RIGHT(SUBSTITUTE(TRIM(J200&amp;"")," ",REPT(" ",60)),60)),코드표!$F$2:$F$101,0))),IF(RIGHT(LEFT(TRIM(J200&amp;""),FIND(" ",TRIM(J200&amp;""))-1),2)="병원",LEFT(TRIM(J200&amp;""),FIND(" ",TRIM(J200&amp;""))-1),LEFT(TRIM(J200&amp;""),FIND(" ",TRIM(J200&amp;""))-1)&amp;"병원")&amp;" "&amp;INDEX(코드표!$G$2:$G$101,MATCH(TRIM(RIGHT(SUBSTITUTE(TRIM(J200&amp;"")," ",REPT(" ",60)),60)),코드표!$F$2:$F$101,0)),"⚠"&amp;TRIM(J200&amp;""))),"⚠"&amp;TRIM(J200&amp;""))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",TRIM(E201&amp;""))),COUNTIF(코드표!$A$2:$A$21,IF(RIGHT(LEFT(TRIM(E201&amp;""),FIND(" ",TRIM(E201&amp;""))-1),2)="병원",LEFT(TRIM(E201&amp;""),FIND(" ",TRIM(E201&amp;""))-1),LEFT(TRIM(E201&amp;""),FIND(" ",TRIM(E201&amp;""))-1)&amp;"병원"))&gt;0,ISNUMBER(MATCH(TRIM(RIGHT(SUBSTITUTE(TRIM(E201&amp;"")," ",REPT(" ",60)),60)),코드표!$F$2:$F$101,0))),IF(RIGHT(LEFT(TRIM(E201&amp;""),FIND(" ",TRIM(E201&amp;""))-1),2)="병원",LEFT(TRIM(E201&amp;""),FIND(" ",TRIM(E201&amp;""))-1),LEFT(TRIM(E201&amp;""),FIND(" ",TRIM(E201&amp;""))-1)&amp;"병원")&amp;" "&amp;INDEX(코드표!$G$2:$G$101,MATCH(TRIM(RIGHT(SUBSTITUTE(TRIM(E201&amp;"")," ",REPT(" ",60)),60)),코드표!$F$2:$F$101,0)),"⚠"&amp;TRIM(E201&amp;""))),"⚠"&amp;TRIM(E201&amp;""))</f>
        <v/>
      </c>
      <c r="N201" s="10">
        <f>IFERROR(IF(TRIM(F201&amp;"")="","",IF(AND(ISNUMBER(FIND(" ",TRIM(F201&amp;""))),COUNTIF(코드표!$A$2:$A$21,IF(RIGHT(LEFT(TRIM(F201&amp;""),FIND(" ",TRIM(F201&amp;""))-1),2)="병원",LEFT(TRIM(F201&amp;""),FIND(" ",TRIM(F201&amp;""))-1),LEFT(TRIM(F201&amp;""),FIND(" ",TRIM(F201&amp;""))-1)&amp;"병원"))&gt;0,ISNUMBER(MATCH(TRIM(RIGHT(SUBSTITUTE(TRIM(F201&amp;"")," ",REPT(" ",60)),60)),코드표!$F$2:$F$101,0))),IF(RIGHT(LEFT(TRIM(F201&amp;""),FIND(" ",TRIM(F201&amp;""))-1),2)="병원",LEFT(TRIM(F201&amp;""),FIND(" ",TRIM(F201&amp;""))-1),LEFT(TRIM(F201&amp;""),FIND(" ",TRIM(F201&amp;""))-1)&amp;"병원")&amp;" "&amp;INDEX(코드표!$G$2:$G$101,MATCH(TRIM(RIGHT(SUBSTITUTE(TRIM(F201&amp;"")," ",REPT(" ",60)),60)),코드표!$F$2:$F$101,0)),"⚠"&amp;TRIM(F201&amp;""))),"⚠"&amp;TRIM(F201&amp;""))</f>
        <v/>
      </c>
      <c r="O201" s="10">
        <f>IFERROR(IF(TRIM(G201&amp;"")="","",IF(AND(ISNUMBER(FIND(" ",TRIM(G201&amp;""))),COUNTIF(코드표!$A$2:$A$21,IF(RIGHT(LEFT(TRIM(G201&amp;""),FIND(" ",TRIM(G201&amp;""))-1),2)="병원",LEFT(TRIM(G201&amp;""),FIND(" ",TRIM(G201&amp;""))-1),LEFT(TRIM(G201&amp;""),FIND(" ",TRIM(G201&amp;""))-1)&amp;"병원"))&gt;0,ISNUMBER(MATCH(TRIM(RIGHT(SUBSTITUTE(TRIM(G201&amp;"")," ",REPT(" ",60)),60)),코드표!$F$2:$F$101,0))),IF(RIGHT(LEFT(TRIM(G201&amp;""),FIND(" ",TRIM(G201&amp;""))-1),2)="병원",LEFT(TRIM(G201&amp;""),FIND(" ",TRIM(G201&amp;""))-1),LEFT(TRIM(G201&amp;""),FIND(" ",TRIM(G201&amp;""))-1)&amp;"병원")&amp;" "&amp;INDEX(코드표!$G$2:$G$101,MATCH(TRIM(RIGHT(SUBSTITUTE(TRIM(G201&amp;"")," ",REPT(" ",60)),60)),코드표!$F$2:$F$101,0)),"⚠"&amp;TRIM(G201&amp;""))),"⚠"&amp;TRIM(G201&amp;""))</f>
        <v/>
      </c>
      <c r="P201" s="10">
        <f>IFERROR(IF(TRIM(H201&amp;"")="","",IF(AND(ISNUMBER(FIND(" ",TRIM(H201&amp;""))),COUNTIF(코드표!$A$2:$A$21,IF(RIGHT(LEFT(TRIM(H201&amp;""),FIND(" ",TRIM(H201&amp;""))-1),2)="병원",LEFT(TRIM(H201&amp;""),FIND(" ",TRIM(H201&amp;""))-1),LEFT(TRIM(H201&amp;""),FIND(" ",TRIM(H201&amp;""))-1)&amp;"병원"))&gt;0,ISNUMBER(MATCH(TRIM(RIGHT(SUBSTITUTE(TRIM(H201&amp;"")," ",REPT(" ",60)),60)),코드표!$F$2:$F$101,0))),IF(RIGHT(LEFT(TRIM(H201&amp;""),FIND(" ",TRIM(H201&amp;""))-1),2)="병원",LEFT(TRIM(H201&amp;""),FIND(" ",TRIM(H201&amp;""))-1),LEFT(TRIM(H201&amp;""),FIND(" ",TRIM(H201&amp;""))-1)&amp;"병원")&amp;" "&amp;INDEX(코드표!$G$2:$G$101,MATCH(TRIM(RIGHT(SUBSTITUTE(TRIM(H201&amp;"")," ",REPT(" ",60)),60)),코드표!$F$2:$F$101,0)),"⚠"&amp;TRIM(H201&amp;""))),"⚠"&amp;TRIM(H201&amp;""))</f>
        <v/>
      </c>
      <c r="Q201" s="10">
        <f>IFERROR(IF(TRIM(I201&amp;"")="","",IF(AND(ISNUMBER(FIND(" ",TRIM(I201&amp;""))),COUNTIF(코드표!$A$2:$A$21,IF(RIGHT(LEFT(TRIM(I201&amp;""),FIND(" ",TRIM(I201&amp;""))-1),2)="병원",LEFT(TRIM(I201&amp;""),FIND(" ",TRIM(I201&amp;""))-1),LEFT(TRIM(I201&amp;""),FIND(" ",TRIM(I201&amp;""))-1)&amp;"병원"))&gt;0,ISNUMBER(MATCH(TRIM(RIGHT(SUBSTITUTE(TRIM(I201&amp;"")," ",REPT(" ",60)),60)),코드표!$F$2:$F$101,0))),IF(RIGHT(LEFT(TRIM(I201&amp;""),FIND(" ",TRIM(I201&amp;""))-1),2)="병원",LEFT(TRIM(I201&amp;""),FIND(" ",TRIM(I201&amp;""))-1),LEFT(TRIM(I201&amp;""),FIND(" ",TRIM(I201&amp;""))-1)&amp;"병원")&amp;" "&amp;INDEX(코드표!$G$2:$G$101,MATCH(TRIM(RIGHT(SUBSTITUTE(TRIM(I201&amp;"")," ",REPT(" ",60)),60)),코드표!$F$2:$F$101,0)),"⚠"&amp;TRIM(I201&amp;""))),"⚠"&amp;TRIM(I201&amp;""))</f>
        <v/>
      </c>
      <c r="R201" s="10">
        <f>IFERROR(IF(TRIM(J201&amp;"")="","",IF(AND(ISNUMBER(FIND(" ",TRIM(J201&amp;""))),COUNTIF(코드표!$A$2:$A$21,IF(RIGHT(LEFT(TRIM(J201&amp;""),FIND(" ",TRIM(J201&amp;""))-1),2)="병원",LEFT(TRIM(J201&amp;""),FIND(" ",TRIM(J201&amp;""))-1),LEFT(TRIM(J201&amp;""),FIND(" ",TRIM(J201&amp;""))-1)&amp;"병원"))&gt;0,ISNUMBER(MATCH(TRIM(RIGHT(SUBSTITUTE(TRIM(J201&amp;"")," ",REPT(" ",60)),60)),코드표!$F$2:$F$101,0))),IF(RIGHT(LEFT(TRIM(J201&amp;""),FIND(" ",TRIM(J201&amp;""))-1),2)="병원",LEFT(TRIM(J201&amp;""),FIND(" ",TRIM(J201&amp;""))-1),LEFT(TRIM(J201&amp;""),FIND(" ",TRIM(J201&amp;""))-1)&amp;"병원")&amp;" "&amp;INDEX(코드표!$G$2:$G$101,MATCH(TRIM(RIGHT(SUBSTITUTE(TRIM(J201&amp;"")," ",REPT(" ",60)),60)),코드표!$F$2:$F$101,0)),"⚠"&amp;TRIM(J201&amp;""))),"⚠"&amp;TRIM(J201&amp;""))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",TRIM(E202&amp;""))),COUNTIF(코드표!$A$2:$A$21,IF(RIGHT(LEFT(TRIM(E202&amp;""),FIND(" ",TRIM(E202&amp;""))-1),2)="병원",LEFT(TRIM(E202&amp;""),FIND(" ",TRIM(E202&amp;""))-1),LEFT(TRIM(E202&amp;""),FIND(" ",TRIM(E202&amp;""))-1)&amp;"병원"))&gt;0,ISNUMBER(MATCH(TRIM(RIGHT(SUBSTITUTE(TRIM(E202&amp;"")," ",REPT(" ",60)),60)),코드표!$F$2:$F$101,0))),IF(RIGHT(LEFT(TRIM(E202&amp;""),FIND(" ",TRIM(E202&amp;""))-1),2)="병원",LEFT(TRIM(E202&amp;""),FIND(" ",TRIM(E202&amp;""))-1),LEFT(TRIM(E202&amp;""),FIND(" ",TRIM(E202&amp;""))-1)&amp;"병원")&amp;" "&amp;INDEX(코드표!$G$2:$G$101,MATCH(TRIM(RIGHT(SUBSTITUTE(TRIM(E202&amp;"")," ",REPT(" ",60)),60)),코드표!$F$2:$F$101,0)),"⚠"&amp;TRIM(E202&amp;""))),"⚠"&amp;TRIM(E202&amp;""))</f>
        <v/>
      </c>
      <c r="N202" s="10">
        <f>IFERROR(IF(TRIM(F202&amp;"")="","",IF(AND(ISNUMBER(FIND(" ",TRIM(F202&amp;""))),COUNTIF(코드표!$A$2:$A$21,IF(RIGHT(LEFT(TRIM(F202&amp;""),FIND(" ",TRIM(F202&amp;""))-1),2)="병원",LEFT(TRIM(F202&amp;""),FIND(" ",TRIM(F202&amp;""))-1),LEFT(TRIM(F202&amp;""),FIND(" ",TRIM(F202&amp;""))-1)&amp;"병원"))&gt;0,ISNUMBER(MATCH(TRIM(RIGHT(SUBSTITUTE(TRIM(F202&amp;"")," ",REPT(" ",60)),60)),코드표!$F$2:$F$101,0))),IF(RIGHT(LEFT(TRIM(F202&amp;""),FIND(" ",TRIM(F202&amp;""))-1),2)="병원",LEFT(TRIM(F202&amp;""),FIND(" ",TRIM(F202&amp;""))-1),LEFT(TRIM(F202&amp;""),FIND(" ",TRIM(F202&amp;""))-1)&amp;"병원")&amp;" "&amp;INDEX(코드표!$G$2:$G$101,MATCH(TRIM(RIGHT(SUBSTITUTE(TRIM(F202&amp;"")," ",REPT(" ",60)),60)),코드표!$F$2:$F$101,0)),"⚠"&amp;TRIM(F202&amp;""))),"⚠"&amp;TRIM(F202&amp;""))</f>
        <v/>
      </c>
      <c r="O202" s="10">
        <f>IFERROR(IF(TRIM(G202&amp;"")="","",IF(AND(ISNUMBER(FIND(" ",TRIM(G202&amp;""))),COUNTIF(코드표!$A$2:$A$21,IF(RIGHT(LEFT(TRIM(G202&amp;""),FIND(" ",TRIM(G202&amp;""))-1),2)="병원",LEFT(TRIM(G202&amp;""),FIND(" ",TRIM(G202&amp;""))-1),LEFT(TRIM(G202&amp;""),FIND(" ",TRIM(G202&amp;""))-1)&amp;"병원"))&gt;0,ISNUMBER(MATCH(TRIM(RIGHT(SUBSTITUTE(TRIM(G202&amp;"")," ",REPT(" ",60)),60)),코드표!$F$2:$F$101,0))),IF(RIGHT(LEFT(TRIM(G202&amp;""),FIND(" ",TRIM(G202&amp;""))-1),2)="병원",LEFT(TRIM(G202&amp;""),FIND(" ",TRIM(G202&amp;""))-1),LEFT(TRIM(G202&amp;""),FIND(" ",TRIM(G202&amp;""))-1)&amp;"병원")&amp;" "&amp;INDEX(코드표!$G$2:$G$101,MATCH(TRIM(RIGHT(SUBSTITUTE(TRIM(G202&amp;"")," ",REPT(" ",60)),60)),코드표!$F$2:$F$101,0)),"⚠"&amp;TRIM(G202&amp;""))),"⚠"&amp;TRIM(G202&amp;""))</f>
        <v/>
      </c>
      <c r="P202" s="10">
        <f>IFERROR(IF(TRIM(H202&amp;"")="","",IF(AND(ISNUMBER(FIND(" ",TRIM(H202&amp;""))),COUNTIF(코드표!$A$2:$A$21,IF(RIGHT(LEFT(TRIM(H202&amp;""),FIND(" ",TRIM(H202&amp;""))-1),2)="병원",LEFT(TRIM(H202&amp;""),FIND(" ",TRIM(H202&amp;""))-1),LEFT(TRIM(H202&amp;""),FIND(" ",TRIM(H202&amp;""))-1)&amp;"병원"))&gt;0,ISNUMBER(MATCH(TRIM(RIGHT(SUBSTITUTE(TRIM(H202&amp;"")," ",REPT(" ",60)),60)),코드표!$F$2:$F$101,0))),IF(RIGHT(LEFT(TRIM(H202&amp;""),FIND(" ",TRIM(H202&amp;""))-1),2)="병원",LEFT(TRIM(H202&amp;""),FIND(" ",TRIM(H202&amp;""))-1),LEFT(TRIM(H202&amp;""),FIND(" ",TRIM(H202&amp;""))-1)&amp;"병원")&amp;" "&amp;INDEX(코드표!$G$2:$G$101,MATCH(TRIM(RIGHT(SUBSTITUTE(TRIM(H202&amp;"")," ",REPT(" ",60)),60)),코드표!$F$2:$F$101,0)),"⚠"&amp;TRIM(H202&amp;""))),"⚠"&amp;TRIM(H202&amp;""))</f>
        <v/>
      </c>
      <c r="Q202" s="10">
        <f>IFERROR(IF(TRIM(I202&amp;"")="","",IF(AND(ISNUMBER(FIND(" ",TRIM(I202&amp;""))),COUNTIF(코드표!$A$2:$A$21,IF(RIGHT(LEFT(TRIM(I202&amp;""),FIND(" ",TRIM(I202&amp;""))-1),2)="병원",LEFT(TRIM(I202&amp;""),FIND(" ",TRIM(I202&amp;""))-1),LEFT(TRIM(I202&amp;""),FIND(" ",TRIM(I202&amp;""))-1)&amp;"병원"))&gt;0,ISNUMBER(MATCH(TRIM(RIGHT(SUBSTITUTE(TRIM(I202&amp;"")," ",REPT(" ",60)),60)),코드표!$F$2:$F$101,0))),IF(RIGHT(LEFT(TRIM(I202&amp;""),FIND(" ",TRIM(I202&amp;""))-1),2)="병원",LEFT(TRIM(I202&amp;""),FIND(" ",TRIM(I202&amp;""))-1),LEFT(TRIM(I202&amp;""),FIND(" ",TRIM(I202&amp;""))-1)&amp;"병원")&amp;" "&amp;INDEX(코드표!$G$2:$G$101,MATCH(TRIM(RIGHT(SUBSTITUTE(TRIM(I202&amp;"")," ",REPT(" ",60)),60)),코드표!$F$2:$F$101,0)),"⚠"&amp;TRIM(I202&amp;""))),"⚠"&amp;TRIM(I202&amp;""))</f>
        <v/>
      </c>
      <c r="R202" s="10">
        <f>IFERROR(IF(TRIM(J202&amp;"")="","",IF(AND(ISNUMBER(FIND(" ",TRIM(J202&amp;""))),COUNTIF(코드표!$A$2:$A$21,IF(RIGHT(LEFT(TRIM(J202&amp;""),FIND(" ",TRIM(J202&amp;""))-1),2)="병원",LEFT(TRIM(J202&amp;""),FIND(" ",TRIM(J202&amp;""))-1),LEFT(TRIM(J202&amp;""),FIND(" ",TRIM(J202&amp;""))-1)&amp;"병원"))&gt;0,ISNUMBER(MATCH(TRIM(RIGHT(SUBSTITUTE(TRIM(J202&amp;"")," ",REPT(" ",60)),60)),코드표!$F$2:$F$101,0))),IF(RIGHT(LEFT(TRIM(J202&amp;""),FIND(" ",TRIM(J202&amp;""))-1),2)="병원",LEFT(TRIM(J202&amp;""),FIND(" ",TRIM(J202&amp;""))-1),LEFT(TRIM(J202&amp;""),FIND(" ",TRIM(J202&amp;""))-1)&amp;"병원")&amp;" "&amp;INDEX(코드표!$G$2:$G$101,MATCH(TRIM(RIGHT(SUBSTITUTE(TRIM(J202&amp;"")," ",REPT(" ",60)),60)),코드표!$F$2:$F$101,0)),"⚠"&amp;TRIM(J202&amp;""))),"⚠"&amp;TRIM(J202&amp;""))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</sheetData>
  <mergeCells count="1">
    <mergeCell ref="B1:K1"/>
  </mergeCells>
  <conditionalFormatting sqref="E3:J202">
    <cfRule type="expression" priority="1" dxfId="0">
      <formula>LEFT(M3,1)="⚠"</formula>
    </cfRule>
  </conditionalFormatting>
  <conditionalFormatting sqref="M3:R202">
    <cfRule type="expression" priority="2" dxfId="1">
      <formula>LEFT(M3,1)="⚠"</formula>
    </cfRule>
  </conditionalFormatting>
  <dataValidations count="1">
    <dataValidation sqref="E3:J2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",TRIM(E3))),COUNTIF(코드표!$A$2:$A$21,IF(RIGHT(LEFT(TRIM(E3),FIND(" ",TRIM(E3))-1),2)="병원",LEFT(TRIM(E3),FIND(" ",TRIM(E3))-1),LEFT(TRIM(E3),FIND(" ",TRIM(E3))-1)&amp;"병원"))&gt;0,ISNUMBER(MATCH(TRIM(RIGHT(SUBSTITUTE(TRIM(E3)," ",REPT(" ",60)),60)),코드표!$F$2:$F$101,0)))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4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</cols>
  <sheetData>
    <row r="1" ht="3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12" t="inlineStr">
        <is>
          <t>파견종류</t>
        </is>
      </c>
      <c r="Q1" s="12" t="inlineStr">
        <is>
          <t>파견병원</t>
        </is>
      </c>
      <c r="R1" s="12" t="inlineStr">
        <is>
          <t>파견진료과</t>
        </is>
      </c>
      <c r="S1" s="12" t="inlineStr">
        <is>
          <t>파견시작일</t>
        </is>
      </c>
      <c r="T1" s="12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</row>
    <row r="2">
      <c r="A2" s="10">
        <f>IF(B2="","",ROW()-1)</f>
        <v/>
      </c>
      <c r="B2" s="13" t="inlineStr">
        <is>
          <t>2261212</t>
        </is>
      </c>
      <c r="C2" s="10">
        <f>IF($AB2="","",IF(INDEX(기본자료!$C$2:$C$501,$AB2)="","",INDEX(기본자료!$C$2:$C$501,$AB2)))</f>
        <v/>
      </c>
      <c r="D2" s="10">
        <f>IF($AB2="","",IF(INDEX(기본자료!$J$2:$J$501,$AB2)="","",INDEX(기본자료!$J$2:$J$501,$AB2)))</f>
        <v/>
      </c>
      <c r="E2" s="11">
        <f>IF($AB2="","",IF(INDEX(기본자료!$K$2:$K$501,$AB2)="","",IF(NOT(ISNUMBER(INDEX(기본자료!$K$2:$K$501,$AB2))),INDEX(기본자료!$K$2:$K$501,$AB2),IF(INDEX(기본자료!$K$2:$K$501,$AB2)&lt;1000000,INDEX(기본자료!$K$2:$K$501,$AB2),IF(AND(INDEX(기본자료!$K$2:$K$501,$AB2)&gt;=10000101,INT(MOD(INDEX(기본자료!$K$2:$K$501,$AB2),10000)/100)&gt;=1,INT(MOD(INDEX(기본자료!$K$2:$K$501,$AB2),10000)/100)&lt;=12,MOD(INDEX(기본자료!$K$2:$K$501,$AB2),100)&gt;=1,MOD(INDEX(기본자료!$K$2:$K$501,$AB2),100)&lt;=31),DATE(INT(INDEX(기본자료!$K$2:$K$501,$AB2)/10000),INT(MOD(INDEX(기본자료!$K$2:$K$501,$AB2),10000)/100),MOD(INDEX(기본자료!$K$2:$K$501,$AB2),100)),INDEX(기본자료!$K$2:$K$501,$AB2)&amp;"")))))</f>
        <v/>
      </c>
      <c r="F2" s="10">
        <f>IF($AB2="","",IF(INDEX(기본자료!$D$2:$D$501,$AB2)="","",INDEX(기본자료!$D$2:$D$501,$AB2)))</f>
        <v/>
      </c>
      <c r="G2" s="10">
        <f>IF($AB2="","",IF(INDEX(기본자료!$E$2:$E$501,$AB2)="","",INDEX(기본자료!$E$2:$E$501,$AB2)))</f>
        <v/>
      </c>
      <c r="H2" s="10">
        <f>IF($AB2="","",IF(INDEX(기본자료!$F$2:$F$501,$AB2)="","",INDEX(기본자료!$F$2:$F$501,$AB2)))</f>
        <v/>
      </c>
      <c r="I2" s="11">
        <f>IF($AB2="","",IF(INDEX(기본자료!$G$2:$G$501,$AB2)="","",IF(NOT(ISNUMBER(INDEX(기본자료!$G$2:$G$501,$AB2))),INDEX(기본자료!$G$2:$G$501,$AB2),IF(INDEX(기본자료!$G$2:$G$501,$AB2)&lt;1000000,INDEX(기본자료!$G$2:$G$501,$AB2),IF(AND(INDEX(기본자료!$G$2:$G$501,$AB2)&gt;=10000101,INT(MOD(INDEX(기본자료!$G$2:$G$501,$AB2),10000)/100)&gt;=1,INT(MOD(INDEX(기본자료!$G$2:$G$501,$AB2),10000)/100)&lt;=12,MOD(INDEX(기본자료!$G$2:$G$501,$AB2),100)&gt;=1,MOD(INDEX(기본자료!$G$2:$G$501,$AB2),100)&lt;=31),DATE(INT(INDEX(기본자료!$G$2:$G$501,$AB2)/10000),INT(MOD(INDEX(기본자료!$G$2:$G$501,$AB2),10000)/100),MOD(INDEX(기본자료!$G$2:$G$501,$AB2),100)),INDEX(기본자료!$G$2:$G$501,$AB2)&amp;"")))))</f>
        <v/>
      </c>
      <c r="J2" s="10">
        <f>IF($AB2="","",IF(INDEX(기본자료!$H$2:$H$501,$AB2)="","",INDEX(기본자료!$H$2:$H$501,$AB2)))</f>
        <v/>
      </c>
      <c r="K2" s="10">
        <f>IF($AB2="","",IF(INDEX(기본자료!$I$2:$I$501,$AB2)="","",INDEX(기본자료!$I$2:$I$501,$AB2)))</f>
        <v/>
      </c>
      <c r="L2" s="10">
        <f>IF($AB2="","",IF(INDEX(기본자료!$A$2:$A$501,$AB2)="","",INDEX(기본자료!$A$2:$A$501,$AB2)))</f>
        <v/>
      </c>
      <c r="M2" s="14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4" t="inlineStr">
        <is>
          <t>일반파견(단독)</t>
        </is>
      </c>
      <c r="Q2" s="14" t="inlineStr">
        <is>
          <t>제주병원</t>
        </is>
      </c>
      <c r="R2" s="14" t="inlineStr">
        <is>
          <t>내과</t>
        </is>
      </c>
      <c r="S2" s="15" t="n">
        <v>46266</v>
      </c>
      <c r="T2" s="15" t="n">
        <v>46326</v>
      </c>
      <c r="U2" s="10">
        <f>IF(OR($B2="",$S2=""),"",IF(TODAY()&lt;$S2,"파견예정",IF(AND($T2&lt;&gt;"",TODAY()&gt;$T2),"파견종료","파견중")))</f>
        <v/>
      </c>
      <c r="V2" s="16">
        <f>IF(OR($S2="",$T2=""),"",$T2-$S2+1)</f>
        <v/>
      </c>
      <c r="W2" s="16">
        <f>IF(AND($U2="파견중",$T2&lt;&gt;""),$T2-TODAY(),"")</f>
        <v/>
      </c>
      <c r="X2" s="16">
        <f>IF(OR($B2="",$S2=""),"",MAX(0,MIN(IF($T2="",EOMONTH(요약!$B$3,0),$T2),EOMONTH(요약!$B$3,0))-MAX($S2,요약!$B$3)+1))</f>
        <v/>
      </c>
      <c r="Y2" s="10">
        <f>IF($B2="","",IF($AE2="","",IF(OR($S2="",$P2="",N($X2)&lt;=0),$AE2,IF($P2="다기관파견",$AE2,IF($AE2="구리병원",IF(AND($Q2&lt;&gt;"",N($X2)&gt;=요약!$E$3),$Q2,$AE2),IF(AND($P2="일반파견(단독)",$Q2&lt;&gt;""),$Q2,$AE2))))))</f>
        <v/>
      </c>
      <c r="Z2" s="17">
        <f>IF($B2="","",IF($AB2="","기본자료에 없는 사번",IF(COUNTIF($B$2:$B$201,$B2)&gt;1,"중복 사번",IF($M2="","입사장소 입력",IF(AND($P2&lt;&gt;"",$S2=""),"파견시작일 입력",IF(AND($S2&lt;&gt;"",$P2=""),"파견종류 입력",IF(AND($P2&lt;&gt;"",$P2&lt;&gt;"다기관파견",$Q2=""),"파견병원 입력",IF(IF($AC2="",0,N(INDEX(인턴근무계획!$T$3:$T$202,$AC2)))&gt;0,"인턴계획 입력오류 확인",IF(AND($AC2&lt;&gt;"",$U2&lt;&gt;"파견중",$N2&lt;&gt;$AE2),"인턴 타지역 근무: 파견 여부 확인","정상")))))))))</f>
        <v/>
      </c>
      <c r="AA2" s="5" t="inlineStr">
        <is>
          <t>예시 데이터</t>
        </is>
      </c>
      <c r="AB2" s="10">
        <f>IF($B2="","",IFERROR(MATCH($B2,기본자료!$B$2:$B$501,0),IFERROR(MATCH($B2&amp;"",기본자료!$B$2:$B$501,0),IFERROR(MATCH(VALUE($B2),기본자료!$B$2:$B$501,0),""))))</f>
        <v/>
      </c>
      <c r="AC2" s="10">
        <f>IF($B2="","",IFERROR(MATCH($B2,인턴근무계획!$D$3:$D$202,0),IFERROR(MATCH($B2&amp;"",인턴근무계획!$D$3:$D$202,0),IFERROR(MATCH(VALUE($B2),인턴근무계획!$D$3:$D$202,0),""))))</f>
        <v/>
      </c>
      <c r="AD2" s="10">
        <f>IF(OR($AC2="",인턴현황!$G$3=""),"",INDEX(인턴근무계획!$M$3:$R$202,$AC2,인턴현황!$G$3)&amp;"")</f>
        <v/>
      </c>
      <c r="AE2" s="10">
        <f>IF($B2="","",IF($M2&lt;&gt;"",$M2,IF($H2="","",IF(RIGHT($H2,2)="병원",$H2,$H2&amp;"병원"))))</f>
        <v/>
      </c>
    </row>
    <row r="3">
      <c r="A3" s="10">
        <f>IF(B3="","",ROW()-1)</f>
        <v/>
      </c>
      <c r="B3" s="13" t="inlineStr">
        <is>
          <t>2261213</t>
        </is>
      </c>
      <c r="C3" s="10">
        <f>IF($AB3="","",IF(INDEX(기본자료!$C$2:$C$501,$AB3)="","",INDEX(기본자료!$C$2:$C$501,$AB3)))</f>
        <v/>
      </c>
      <c r="D3" s="10">
        <f>IF($AB3="","",IF(INDEX(기본자료!$J$2:$J$501,$AB3)="","",INDEX(기본자료!$J$2:$J$501,$AB3)))</f>
        <v/>
      </c>
      <c r="E3" s="11">
        <f>IF($AB3="","",IF(INDEX(기본자료!$K$2:$K$501,$AB3)="","",IF(NOT(ISNUMBER(INDEX(기본자료!$K$2:$K$501,$AB3))),INDEX(기본자료!$K$2:$K$501,$AB3),IF(INDEX(기본자료!$K$2:$K$501,$AB3)&lt;1000000,INDEX(기본자료!$K$2:$K$501,$AB3),IF(AND(INDEX(기본자료!$K$2:$K$501,$AB3)&gt;=10000101,INT(MOD(INDEX(기본자료!$K$2:$K$501,$AB3),10000)/100)&gt;=1,INT(MOD(INDEX(기본자료!$K$2:$K$501,$AB3),10000)/100)&lt;=12,MOD(INDEX(기본자료!$K$2:$K$501,$AB3),100)&gt;=1,MOD(INDEX(기본자료!$K$2:$K$501,$AB3),100)&lt;=31),DATE(INT(INDEX(기본자료!$K$2:$K$501,$AB3)/10000),INT(MOD(INDEX(기본자료!$K$2:$K$501,$AB3),10000)/100),MOD(INDEX(기본자료!$K$2:$K$501,$AB3),100)),INDEX(기본자료!$K$2:$K$501,$AB3)&amp;"")))))</f>
        <v/>
      </c>
      <c r="F3" s="10">
        <f>IF($AB3="","",IF(INDEX(기본자료!$D$2:$D$501,$AB3)="","",INDEX(기본자료!$D$2:$D$501,$AB3)))</f>
        <v/>
      </c>
      <c r="G3" s="10">
        <f>IF($AB3="","",IF(INDEX(기본자료!$E$2:$E$501,$AB3)="","",INDEX(기본자료!$E$2:$E$501,$AB3)))</f>
        <v/>
      </c>
      <c r="H3" s="10">
        <f>IF($AB3="","",IF(INDEX(기본자료!$F$2:$F$501,$AB3)="","",INDEX(기본자료!$F$2:$F$501,$AB3)))</f>
        <v/>
      </c>
      <c r="I3" s="11">
        <f>IF($AB3="","",IF(INDEX(기본자료!$G$2:$G$501,$AB3)="","",IF(NOT(ISNUMBER(INDEX(기본자료!$G$2:$G$501,$AB3))),INDEX(기본자료!$G$2:$G$501,$AB3),IF(INDEX(기본자료!$G$2:$G$501,$AB3)&lt;1000000,INDEX(기본자료!$G$2:$G$501,$AB3),IF(AND(INDEX(기본자료!$G$2:$G$501,$AB3)&gt;=10000101,INT(MOD(INDEX(기본자료!$G$2:$G$501,$AB3),10000)/100)&gt;=1,INT(MOD(INDEX(기본자료!$G$2:$G$501,$AB3),10000)/100)&lt;=12,MOD(INDEX(기본자료!$G$2:$G$501,$AB3),100)&gt;=1,MOD(INDEX(기본자료!$G$2:$G$501,$AB3),100)&lt;=31),DATE(INT(INDEX(기본자료!$G$2:$G$501,$AB3)/10000),INT(MOD(INDEX(기본자료!$G$2:$G$501,$AB3),10000)/100),MOD(INDEX(기본자료!$G$2:$G$501,$AB3),100)),INDEX(기본자료!$G$2:$G$501,$AB3)&amp;"")))))</f>
        <v/>
      </c>
      <c r="J3" s="10">
        <f>IF($AB3="","",IF(INDEX(기본자료!$H$2:$H$501,$AB3)="","",INDEX(기본자료!$H$2:$H$501,$AB3)))</f>
        <v/>
      </c>
      <c r="K3" s="10">
        <f>IF($AB3="","",IF(INDEX(기본자료!$I$2:$I$501,$AB3)="","",INDEX(기본자료!$I$2:$I$501,$AB3)))</f>
        <v/>
      </c>
      <c r="L3" s="10">
        <f>IF($AB3="","",IF(INDEX(기본자료!$A$2:$A$501,$AB3)="","",INDEX(기본자료!$A$2:$A$501,$AB3)))</f>
        <v/>
      </c>
      <c r="M3" s="14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4" t="inlineStr">
        <is>
          <t>모자파견</t>
        </is>
      </c>
      <c r="Q3" s="14" t="inlineStr">
        <is>
          <t>인천병원</t>
        </is>
      </c>
      <c r="R3" s="14" t="inlineStr">
        <is>
          <t>외과</t>
        </is>
      </c>
      <c r="S3" s="15" t="n">
        <v>46174</v>
      </c>
      <c r="T3" s="15" t="n">
        <v>46387</v>
      </c>
      <c r="U3" s="10">
        <f>IF(OR($B3="",$S3=""),"",IF(TODAY()&lt;$S3,"파견예정",IF(AND($T3&lt;&gt;"",TODAY()&gt;$T3),"파견종료","파견중")))</f>
        <v/>
      </c>
      <c r="V3" s="16">
        <f>IF(OR($S3="",$T3=""),"",$T3-$S3+1)</f>
        <v/>
      </c>
      <c r="W3" s="16">
        <f>IF(AND($U3="파견중",$T3&lt;&gt;""),$T3-TODAY(),"")</f>
        <v/>
      </c>
      <c r="X3" s="16">
        <f>IF(OR($B3="",$S3=""),"",MAX(0,MIN(IF($T3="",EOMONTH(요약!$B$3,0),$T3),EOMONTH(요약!$B$3,0))-MAX($S3,요약!$B$3)+1))</f>
        <v/>
      </c>
      <c r="Y3" s="10">
        <f>IF($B3="","",IF($AE3="","",IF(OR($S3="",$P3="",N($X3)&lt;=0),$AE3,IF($P3="다기관파견",$AE3,IF($AE3="구리병원",IF(AND($Q3&lt;&gt;"",N($X3)&gt;=요약!$E$3),$Q3,$AE3),IF(AND($P3="일반파견(단독)",$Q3&lt;&gt;""),$Q3,$AE3))))))</f>
        <v/>
      </c>
      <c r="Z3" s="17">
        <f>IF($B3="","",IF($AB3="","기본자료에 없는 사번",IF(COUNTIF($B$2:$B$201,$B3)&gt;1,"중복 사번",IF($M3="","입사장소 입력",IF(AND($P3&lt;&gt;"",$S3=""),"파견시작일 입력",IF(AND($S3&lt;&gt;"",$P3=""),"파견종류 입력",IF(AND($P3&lt;&gt;"",$P3&lt;&gt;"다기관파견",$Q3=""),"파견병원 입력",IF(IF($AC3="",0,N(INDEX(인턴근무계획!$T$3:$T$202,$AC3)))&gt;0,"인턴계획 입력오류 확인",IF(AND($AC3&lt;&gt;"",$U3&lt;&gt;"파견중",$N3&lt;&gt;$AE3),"인턴 타지역 근무: 파견 여부 확인","정상")))))))))</f>
        <v/>
      </c>
      <c r="AA3" s="5" t="inlineStr">
        <is>
          <t>예시 데이터</t>
        </is>
      </c>
      <c r="AB3" s="10">
        <f>IF($B3="","",IFERROR(MATCH($B3,기본자료!$B$2:$B$501,0),IFERROR(MATCH($B3&amp;"",기본자료!$B$2:$B$501,0),IFERROR(MATCH(VALUE($B3),기본자료!$B$2:$B$501,0),""))))</f>
        <v/>
      </c>
      <c r="AC3" s="10">
        <f>IF($B3="","",IFERROR(MATCH($B3,인턴근무계획!$D$3:$D$202,0),IFERROR(MATCH($B3&amp;"",인턴근무계획!$D$3:$D$202,0),IFERROR(MATCH(VALUE($B3),인턴근무계획!$D$3:$D$202,0),""))))</f>
        <v/>
      </c>
      <c r="AD3" s="10">
        <f>IF(OR($AC3="",인턴현황!$G$3=""),"",INDEX(인턴근무계획!$M$3:$R$202,$AC3,인턴현황!$G$3)&amp;"")</f>
        <v/>
      </c>
      <c r="AE3" s="10">
        <f>IF($B3="","",IF($M3&lt;&gt;"",$M3,IF($H3="","",IF(RIGHT($H3,2)="병원",$H3,$H3&amp;"병원"))))</f>
        <v/>
      </c>
    </row>
    <row r="4">
      <c r="A4" s="10">
        <f>IF(B4="","",ROW()-1)</f>
        <v/>
      </c>
      <c r="B4" s="13" t="inlineStr">
        <is>
          <t>2261214</t>
        </is>
      </c>
      <c r="C4" s="10">
        <f>IF($AB4="","",IF(INDEX(기본자료!$C$2:$C$501,$AB4)="","",INDEX(기본자료!$C$2:$C$501,$AB4)))</f>
        <v/>
      </c>
      <c r="D4" s="10">
        <f>IF($AB4="","",IF(INDEX(기본자료!$J$2:$J$501,$AB4)="","",INDEX(기본자료!$J$2:$J$501,$AB4)))</f>
        <v/>
      </c>
      <c r="E4" s="11">
        <f>IF($AB4="","",IF(INDEX(기본자료!$K$2:$K$501,$AB4)="","",IF(NOT(ISNUMBER(INDEX(기본자료!$K$2:$K$501,$AB4))),INDEX(기본자료!$K$2:$K$501,$AB4),IF(INDEX(기본자료!$K$2:$K$501,$AB4)&lt;1000000,INDEX(기본자료!$K$2:$K$501,$AB4),IF(AND(INDEX(기본자료!$K$2:$K$501,$AB4)&gt;=10000101,INT(MOD(INDEX(기본자료!$K$2:$K$501,$AB4),10000)/100)&gt;=1,INT(MOD(INDEX(기본자료!$K$2:$K$501,$AB4),10000)/100)&lt;=12,MOD(INDEX(기본자료!$K$2:$K$501,$AB4),100)&gt;=1,MOD(INDEX(기본자료!$K$2:$K$501,$AB4),100)&lt;=31),DATE(INT(INDEX(기본자료!$K$2:$K$501,$AB4)/10000),INT(MOD(INDEX(기본자료!$K$2:$K$501,$AB4),10000)/100),MOD(INDEX(기본자료!$K$2:$K$501,$AB4),100)),INDEX(기본자료!$K$2:$K$501,$AB4)&amp;"")))))</f>
        <v/>
      </c>
      <c r="F4" s="10">
        <f>IF($AB4="","",IF(INDEX(기본자료!$D$2:$D$501,$AB4)="","",INDEX(기본자료!$D$2:$D$501,$AB4)))</f>
        <v/>
      </c>
      <c r="G4" s="10">
        <f>IF($AB4="","",IF(INDEX(기본자료!$E$2:$E$501,$AB4)="","",INDEX(기본자료!$E$2:$E$501,$AB4)))</f>
        <v/>
      </c>
      <c r="H4" s="10">
        <f>IF($AB4="","",IF(INDEX(기본자료!$F$2:$F$501,$AB4)="","",INDEX(기본자료!$F$2:$F$501,$AB4)))</f>
        <v/>
      </c>
      <c r="I4" s="11">
        <f>IF($AB4="","",IF(INDEX(기본자료!$G$2:$G$501,$AB4)="","",IF(NOT(ISNUMBER(INDEX(기본자료!$G$2:$G$501,$AB4))),INDEX(기본자료!$G$2:$G$501,$AB4),IF(INDEX(기본자료!$G$2:$G$501,$AB4)&lt;1000000,INDEX(기본자료!$G$2:$G$501,$AB4),IF(AND(INDEX(기본자료!$G$2:$G$501,$AB4)&gt;=10000101,INT(MOD(INDEX(기본자료!$G$2:$G$501,$AB4),10000)/100)&gt;=1,INT(MOD(INDEX(기본자료!$G$2:$G$501,$AB4),10000)/100)&lt;=12,MOD(INDEX(기본자료!$G$2:$G$501,$AB4),100)&gt;=1,MOD(INDEX(기본자료!$G$2:$G$501,$AB4),100)&lt;=31),DATE(INT(INDEX(기본자료!$G$2:$G$501,$AB4)/10000),INT(MOD(INDEX(기본자료!$G$2:$G$501,$AB4),10000)/100),MOD(INDEX(기본자료!$G$2:$G$501,$AB4),100)),INDEX(기본자료!$G$2:$G$501,$AB4)&amp;"")))))</f>
        <v/>
      </c>
      <c r="J4" s="10">
        <f>IF($AB4="","",IF(INDEX(기본자료!$H$2:$H$501,$AB4)="","",INDEX(기본자료!$H$2:$H$501,$AB4)))</f>
        <v/>
      </c>
      <c r="K4" s="10">
        <f>IF($AB4="","",IF(INDEX(기본자료!$I$2:$I$501,$AB4)="","",INDEX(기본자료!$I$2:$I$501,$AB4)))</f>
        <v/>
      </c>
      <c r="L4" s="10">
        <f>IF($AB4="","",IF(INDEX(기본자료!$A$2:$A$501,$AB4)="","",INDEX(기본자료!$A$2:$A$501,$AB4)))</f>
        <v/>
      </c>
      <c r="M4" s="14" t="inlineStr">
        <is>
          <t>구리병원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4" t="n"/>
      <c r="Q4" s="14" t="n"/>
      <c r="R4" s="14" t="n"/>
      <c r="S4" s="15" t="n"/>
      <c r="T4" s="15" t="n"/>
      <c r="U4" s="10">
        <f>IF(OR($B4="",$S4=""),"",IF(TODAY()&lt;$S4,"파견예정",IF(AND($T4&lt;&gt;"",TODAY()&gt;$T4),"파견종료","파견중")))</f>
        <v/>
      </c>
      <c r="V4" s="16">
        <f>IF(OR($S4="",$T4=""),"",$T4-$S4+1)</f>
        <v/>
      </c>
      <c r="W4" s="16">
        <f>IF(AND($U4="파견중",$T4&lt;&gt;""),$T4-TODAY(),"")</f>
        <v/>
      </c>
      <c r="X4" s="16">
        <f>IF(OR($B4="",$S4=""),"",MAX(0,MIN(IF($T4="",EOMONTH(요약!$B$3,0),$T4),EOMONTH(요약!$B$3,0))-MAX($S4,요약!$B$3)+1))</f>
        <v/>
      </c>
      <c r="Y4" s="10">
        <f>IF($B4="","",IF($AE4="","",IF(OR($S4="",$P4="",N($X4)&lt;=0),$AE4,IF($P4="다기관파견",$AE4,IF($AE4="구리병원",IF(AND($Q4&lt;&gt;"",N($X4)&gt;=요약!$E$3),$Q4,$AE4),IF(AND($P4="일반파견(단독)",$Q4&lt;&gt;""),$Q4,$AE4))))))</f>
        <v/>
      </c>
      <c r="Z4" s="17">
        <f>IF($B4="","",IF($AB4="","기본자료에 없는 사번",IF(COUNTIF($B$2:$B$201,$B4)&gt;1,"중복 사번",IF($M4="","입사장소 입력",IF(AND($P4&lt;&gt;"",$S4=""),"파견시작일 입력",IF(AND($S4&lt;&gt;"",$P4=""),"파견종류 입력",IF(AND($P4&lt;&gt;"",$P4&lt;&gt;"다기관파견",$Q4=""),"파견병원 입력",IF(IF($AC4="",0,N(INDEX(인턴근무계획!$T$3:$T$202,$AC4)))&gt;0,"인턴계획 입력오류 확인",IF(AND($AC4&lt;&gt;"",$U4&lt;&gt;"파견중",$N4&lt;&gt;$AE4),"인턴 타지역 근무: 파견 여부 확인","정상")))))))))</f>
        <v/>
      </c>
      <c r="AA4" s="5" t="inlineStr">
        <is>
          <t>예시 데이터</t>
        </is>
      </c>
      <c r="AB4" s="10">
        <f>IF($B4="","",IFERROR(MATCH($B4,기본자료!$B$2:$B$501,0),IFERROR(MATCH($B4&amp;"",기본자료!$B$2:$B$501,0),IFERROR(MATCH(VALUE($B4),기본자료!$B$2:$B$501,0),""))))</f>
        <v/>
      </c>
      <c r="AC4" s="10">
        <f>IF($B4="","",IFERROR(MATCH($B4,인턴근무계획!$D$3:$D$202,0),IFERROR(MATCH($B4&amp;"",인턴근무계획!$D$3:$D$202,0),IFERROR(MATCH(VALUE($B4),인턴근무계획!$D$3:$D$202,0),""))))</f>
        <v/>
      </c>
      <c r="AD4" s="10">
        <f>IF(OR($AC4="",인턴현황!$G$3=""),"",INDEX(인턴근무계획!$M$3:$R$202,$AC4,인턴현황!$G$3)&amp;"")</f>
        <v/>
      </c>
      <c r="AE4" s="10">
        <f>IF($B4="","",IF($M4&lt;&gt;"",$M4,IF($H4="","",IF(RIGHT($H4,2)="병원",$H4,$H4&amp;"병원"))))</f>
        <v/>
      </c>
    </row>
    <row r="5">
      <c r="A5" s="10">
        <f>IF(B5="","",ROW()-1)</f>
        <v/>
      </c>
      <c r="B5" s="13" t="inlineStr">
        <is>
          <t>2261215</t>
        </is>
      </c>
      <c r="C5" s="10">
        <f>IF($AB5="","",IF(INDEX(기본자료!$C$2:$C$501,$AB5)="","",INDEX(기본자료!$C$2:$C$501,$AB5)))</f>
        <v/>
      </c>
      <c r="D5" s="10">
        <f>IF($AB5="","",IF(INDEX(기본자료!$J$2:$J$501,$AB5)="","",INDEX(기본자료!$J$2:$J$501,$AB5)))</f>
        <v/>
      </c>
      <c r="E5" s="11">
        <f>IF($AB5="","",IF(INDEX(기본자료!$K$2:$K$501,$AB5)="","",IF(NOT(ISNUMBER(INDEX(기본자료!$K$2:$K$501,$AB5))),INDEX(기본자료!$K$2:$K$501,$AB5),IF(INDEX(기본자료!$K$2:$K$501,$AB5)&lt;1000000,INDEX(기본자료!$K$2:$K$501,$AB5),IF(AND(INDEX(기본자료!$K$2:$K$501,$AB5)&gt;=10000101,INT(MOD(INDEX(기본자료!$K$2:$K$501,$AB5),10000)/100)&gt;=1,INT(MOD(INDEX(기본자료!$K$2:$K$501,$AB5),10000)/100)&lt;=12,MOD(INDEX(기본자료!$K$2:$K$501,$AB5),100)&gt;=1,MOD(INDEX(기본자료!$K$2:$K$501,$AB5),100)&lt;=31),DATE(INT(INDEX(기본자료!$K$2:$K$501,$AB5)/10000),INT(MOD(INDEX(기본자료!$K$2:$K$501,$AB5),10000)/100),MOD(INDEX(기본자료!$K$2:$K$501,$AB5),100)),INDEX(기본자료!$K$2:$K$501,$AB5)&amp;"")))))</f>
        <v/>
      </c>
      <c r="F5" s="10">
        <f>IF($AB5="","",IF(INDEX(기본자료!$D$2:$D$501,$AB5)="","",INDEX(기본자료!$D$2:$D$501,$AB5)))</f>
        <v/>
      </c>
      <c r="G5" s="10">
        <f>IF($AB5="","",IF(INDEX(기본자료!$E$2:$E$501,$AB5)="","",INDEX(기본자료!$E$2:$E$501,$AB5)))</f>
        <v/>
      </c>
      <c r="H5" s="10">
        <f>IF($AB5="","",IF(INDEX(기본자료!$F$2:$F$501,$AB5)="","",INDEX(기본자료!$F$2:$F$501,$AB5)))</f>
        <v/>
      </c>
      <c r="I5" s="11">
        <f>IF($AB5="","",IF(INDEX(기본자료!$G$2:$G$501,$AB5)="","",IF(NOT(ISNUMBER(INDEX(기본자료!$G$2:$G$501,$AB5))),INDEX(기본자료!$G$2:$G$501,$AB5),IF(INDEX(기본자료!$G$2:$G$501,$AB5)&lt;1000000,INDEX(기본자료!$G$2:$G$501,$AB5),IF(AND(INDEX(기본자료!$G$2:$G$501,$AB5)&gt;=10000101,INT(MOD(INDEX(기본자료!$G$2:$G$501,$AB5),10000)/100)&gt;=1,INT(MOD(INDEX(기본자료!$G$2:$G$501,$AB5),10000)/100)&lt;=12,MOD(INDEX(기본자료!$G$2:$G$501,$AB5),100)&gt;=1,MOD(INDEX(기본자료!$G$2:$G$501,$AB5),100)&lt;=31),DATE(INT(INDEX(기본자료!$G$2:$G$501,$AB5)/10000),INT(MOD(INDEX(기본자료!$G$2:$G$501,$AB5),10000)/100),MOD(INDEX(기본자료!$G$2:$G$501,$AB5),100)),INDEX(기본자료!$G$2:$G$501,$AB5)&amp;"")))))</f>
        <v/>
      </c>
      <c r="J5" s="10">
        <f>IF($AB5="","",IF(INDEX(기본자료!$H$2:$H$501,$AB5)="","",INDEX(기본자료!$H$2:$H$501,$AB5)))</f>
        <v/>
      </c>
      <c r="K5" s="10">
        <f>IF($AB5="","",IF(INDEX(기본자료!$I$2:$I$501,$AB5)="","",INDEX(기본자료!$I$2:$I$501,$AB5)))</f>
        <v/>
      </c>
      <c r="L5" s="10">
        <f>IF($AB5="","",IF(INDEX(기본자료!$A$2:$A$501,$AB5)="","",INDEX(기본자료!$A$2:$A$501,$AB5)))</f>
        <v/>
      </c>
      <c r="M5" s="14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4" t="inlineStr">
        <is>
          <t>다기관파견</t>
        </is>
      </c>
      <c r="Q5" s="14" t="n"/>
      <c r="R5" s="14" t="n"/>
      <c r="S5" s="15" t="n">
        <v>46027</v>
      </c>
      <c r="T5" s="15" t="n">
        <v>46112</v>
      </c>
      <c r="U5" s="10">
        <f>IF(OR($B5="",$S5=""),"",IF(TODAY()&lt;$S5,"파견예정",IF(AND($T5&lt;&gt;"",TODAY()&gt;$T5),"파견종료","파견중")))</f>
        <v/>
      </c>
      <c r="V5" s="16">
        <f>IF(OR($S5="",$T5=""),"",$T5-$S5+1)</f>
        <v/>
      </c>
      <c r="W5" s="16">
        <f>IF(AND($U5="파견중",$T5&lt;&gt;""),$T5-TODAY(),"")</f>
        <v/>
      </c>
      <c r="X5" s="16">
        <f>IF(OR($B5="",$S5=""),"",MAX(0,MIN(IF($T5="",EOMONTH(요약!$B$3,0),$T5),EOMONTH(요약!$B$3,0))-MAX($S5,요약!$B$3)+1))</f>
        <v/>
      </c>
      <c r="Y5" s="10">
        <f>IF($B5="","",IF($AE5="","",IF(OR($S5="",$P5="",N($X5)&lt;=0),$AE5,IF($P5="다기관파견",$AE5,IF($AE5="구리병원",IF(AND($Q5&lt;&gt;"",N($X5)&gt;=요약!$E$3),$Q5,$AE5),IF(AND($P5="일반파견(단독)",$Q5&lt;&gt;""),$Q5,$AE5))))))</f>
        <v/>
      </c>
      <c r="Z5" s="17">
        <f>IF($B5="","",IF($AB5="","기본자료에 없는 사번",IF(COUNTIF($B$2:$B$201,$B5)&gt;1,"중복 사번",IF($M5="","입사장소 입력",IF(AND($P5&lt;&gt;"",$S5=""),"파견시작일 입력",IF(AND($S5&lt;&gt;"",$P5=""),"파견종류 입력",IF(AND($P5&lt;&gt;"",$P5&lt;&gt;"다기관파견",$Q5=""),"파견병원 입력",IF(IF($AC5="",0,N(INDEX(인턴근무계획!$T$3:$T$202,$AC5)))&gt;0,"인턴계획 입력오류 확인",IF(AND($AC5&lt;&gt;"",$U5&lt;&gt;"파견중",$N5&lt;&gt;$AE5),"인턴 타지역 근무: 파견 여부 확인","정상")))))))))</f>
        <v/>
      </c>
      <c r="AA5" s="5" t="inlineStr">
        <is>
          <t>예시 데이터(종료됨)</t>
        </is>
      </c>
      <c r="AB5" s="10">
        <f>IF($B5="","",IFERROR(MATCH($B5,기본자료!$B$2:$B$501,0),IFERROR(MATCH($B5&amp;"",기본자료!$B$2:$B$501,0),IFERROR(MATCH(VALUE($B5),기본자료!$B$2:$B$501,0),""))))</f>
        <v/>
      </c>
      <c r="AC5" s="10">
        <f>IF($B5="","",IFERROR(MATCH($B5,인턴근무계획!$D$3:$D$202,0),IFERROR(MATCH($B5&amp;"",인턴근무계획!$D$3:$D$202,0),IFERROR(MATCH(VALUE($B5),인턴근무계획!$D$3:$D$202,0),""))))</f>
        <v/>
      </c>
      <c r="AD5" s="10">
        <f>IF(OR($AC5="",인턴현황!$G$3=""),"",INDEX(인턴근무계획!$M$3:$R$202,$AC5,인턴현황!$G$3)&amp;"")</f>
        <v/>
      </c>
      <c r="AE5" s="10">
        <f>IF($B5="","",IF($M5&lt;&gt;"",$M5,IF($H5="","",IF(RIGHT($H5,2)="병원",$H5,$H5&amp;"병원"))))</f>
        <v/>
      </c>
    </row>
    <row r="6">
      <c r="A6" s="10">
        <f>IF(B6="","",ROW()-1)</f>
        <v/>
      </c>
      <c r="B6" s="13" t="inlineStr">
        <is>
          <t>2261216</t>
        </is>
      </c>
      <c r="C6" s="10">
        <f>IF($AB6="","",IF(INDEX(기본자료!$C$2:$C$501,$AB6)="","",INDEX(기본자료!$C$2:$C$501,$AB6)))</f>
        <v/>
      </c>
      <c r="D6" s="10">
        <f>IF($AB6="","",IF(INDEX(기본자료!$J$2:$J$501,$AB6)="","",INDEX(기본자료!$J$2:$J$501,$AB6)))</f>
        <v/>
      </c>
      <c r="E6" s="11">
        <f>IF($AB6="","",IF(INDEX(기본자료!$K$2:$K$501,$AB6)="","",IF(NOT(ISNUMBER(INDEX(기본자료!$K$2:$K$501,$AB6))),INDEX(기본자료!$K$2:$K$501,$AB6),IF(INDEX(기본자료!$K$2:$K$501,$AB6)&lt;1000000,INDEX(기본자료!$K$2:$K$501,$AB6),IF(AND(INDEX(기본자료!$K$2:$K$501,$AB6)&gt;=10000101,INT(MOD(INDEX(기본자료!$K$2:$K$501,$AB6),10000)/100)&gt;=1,INT(MOD(INDEX(기본자료!$K$2:$K$501,$AB6),10000)/100)&lt;=12,MOD(INDEX(기본자료!$K$2:$K$501,$AB6),100)&gt;=1,MOD(INDEX(기본자료!$K$2:$K$501,$AB6),100)&lt;=31),DATE(INT(INDEX(기본자료!$K$2:$K$501,$AB6)/10000),INT(MOD(INDEX(기본자료!$K$2:$K$501,$AB6),10000)/100),MOD(INDEX(기본자료!$K$2:$K$501,$AB6),100)),INDEX(기본자료!$K$2:$K$501,$AB6)&amp;"")))))</f>
        <v/>
      </c>
      <c r="F6" s="10">
        <f>IF($AB6="","",IF(INDEX(기본자료!$D$2:$D$501,$AB6)="","",INDEX(기본자료!$D$2:$D$501,$AB6)))</f>
        <v/>
      </c>
      <c r="G6" s="10">
        <f>IF($AB6="","",IF(INDEX(기본자료!$E$2:$E$501,$AB6)="","",INDEX(기본자료!$E$2:$E$501,$AB6)))</f>
        <v/>
      </c>
      <c r="H6" s="10">
        <f>IF($AB6="","",IF(INDEX(기본자료!$F$2:$F$501,$AB6)="","",INDEX(기본자료!$F$2:$F$501,$AB6)))</f>
        <v/>
      </c>
      <c r="I6" s="11">
        <f>IF($AB6="","",IF(INDEX(기본자료!$G$2:$G$501,$AB6)="","",IF(NOT(ISNUMBER(INDEX(기본자료!$G$2:$G$501,$AB6))),INDEX(기본자료!$G$2:$G$501,$AB6),IF(INDEX(기본자료!$G$2:$G$501,$AB6)&lt;1000000,INDEX(기본자료!$G$2:$G$501,$AB6),IF(AND(INDEX(기본자료!$G$2:$G$501,$AB6)&gt;=10000101,INT(MOD(INDEX(기본자료!$G$2:$G$501,$AB6),10000)/100)&gt;=1,INT(MOD(INDEX(기본자료!$G$2:$G$501,$AB6),10000)/100)&lt;=12,MOD(INDEX(기본자료!$G$2:$G$501,$AB6),100)&gt;=1,MOD(INDEX(기본자료!$G$2:$G$501,$AB6),100)&lt;=31),DATE(INT(INDEX(기본자료!$G$2:$G$501,$AB6)/10000),INT(MOD(INDEX(기본자료!$G$2:$G$501,$AB6),10000)/100),MOD(INDEX(기본자료!$G$2:$G$501,$AB6),100)),INDEX(기본자료!$G$2:$G$501,$AB6)&amp;"")))))</f>
        <v/>
      </c>
      <c r="J6" s="10">
        <f>IF($AB6="","",IF(INDEX(기본자료!$H$2:$H$501,$AB6)="","",INDEX(기본자료!$H$2:$H$501,$AB6)))</f>
        <v/>
      </c>
      <c r="K6" s="10">
        <f>IF($AB6="","",IF(INDEX(기본자료!$I$2:$I$501,$AB6)="","",INDEX(기본자료!$I$2:$I$501,$AB6)))</f>
        <v/>
      </c>
      <c r="L6" s="10">
        <f>IF($AB6="","",IF(INDEX(기본자료!$A$2:$A$501,$AB6)="","",INDEX(기본자료!$A$2:$A$501,$AB6)))</f>
        <v/>
      </c>
      <c r="M6" s="14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4" t="inlineStr">
        <is>
          <t>일반파견(단독)</t>
        </is>
      </c>
      <c r="Q6" s="14" t="inlineStr">
        <is>
          <t>서울병원</t>
        </is>
      </c>
      <c r="R6" s="14" t="inlineStr">
        <is>
          <t>마취통증의학과</t>
        </is>
      </c>
      <c r="S6" s="15" t="n">
        <v>46313</v>
      </c>
      <c r="T6" s="15" t="n">
        <v>46387</v>
      </c>
      <c r="U6" s="10">
        <f>IF(OR($B6="",$S6=""),"",IF(TODAY()&lt;$S6,"파견예정",IF(AND($T6&lt;&gt;"",TODAY()&gt;$T6),"파견종료","파견중")))</f>
        <v/>
      </c>
      <c r="V6" s="16">
        <f>IF(OR($S6="",$T6=""),"",$T6-$S6+1)</f>
        <v/>
      </c>
      <c r="W6" s="16">
        <f>IF(AND($U6="파견중",$T6&lt;&gt;""),$T6-TODAY(),"")</f>
        <v/>
      </c>
      <c r="X6" s="16">
        <f>IF(OR($B6="",$S6=""),"",MAX(0,MIN(IF($T6="",EOMONTH(요약!$B$3,0),$T6),EOMONTH(요약!$B$3,0))-MAX($S6,요약!$B$3)+1))</f>
        <v/>
      </c>
      <c r="Y6" s="10">
        <f>IF($B6="","",IF($AE6="","",IF(OR($S6="",$P6="",N($X6)&lt;=0),$AE6,IF($P6="다기관파견",$AE6,IF($AE6="구리병원",IF(AND($Q6&lt;&gt;"",N($X6)&gt;=요약!$E$3),$Q6,$AE6),IF(AND($P6="일반파견(단독)",$Q6&lt;&gt;""),$Q6,$AE6))))))</f>
        <v/>
      </c>
      <c r="Z6" s="17">
        <f>IF($B6="","",IF($AB6="","기본자료에 없는 사번",IF(COUNTIF($B$2:$B$201,$B6)&gt;1,"중복 사번",IF($M6="","입사장소 입력",IF(AND($P6&lt;&gt;"",$S6=""),"파견시작일 입력",IF(AND($S6&lt;&gt;"",$P6=""),"파견종류 입력",IF(AND($P6&lt;&gt;"",$P6&lt;&gt;"다기관파견",$Q6=""),"파견병원 입력",IF(IF($AC6="",0,N(INDEX(인턴근무계획!$T$3:$T$202,$AC6)))&gt;0,"인턴계획 입력오류 확인",IF(AND($AC6&lt;&gt;"",$U6&lt;&gt;"파견중",$N6&lt;&gt;$AE6),"인턴 타지역 근무: 파견 여부 확인","정상")))))))))</f>
        <v/>
      </c>
      <c r="AA6" s="5" t="inlineStr">
        <is>
          <t>예시 데이터(구리 15일 규칙)</t>
        </is>
      </c>
      <c r="AB6" s="10">
        <f>IF($B6="","",IFERROR(MATCH($B6,기본자료!$B$2:$B$501,0),IFERROR(MATCH($B6&amp;"",기본자료!$B$2:$B$501,0),IFERROR(MATCH(VALUE($B6),기본자료!$B$2:$B$501,0),""))))</f>
        <v/>
      </c>
      <c r="AC6" s="10">
        <f>IF($B6="","",IFERROR(MATCH($B6,인턴근무계획!$D$3:$D$202,0),IFERROR(MATCH($B6&amp;"",인턴근무계획!$D$3:$D$202,0),IFERROR(MATCH(VALUE($B6),인턴근무계획!$D$3:$D$202,0),""))))</f>
        <v/>
      </c>
      <c r="AD6" s="10">
        <f>IF(OR($AC6="",인턴현황!$G$3=""),"",INDEX(인턴근무계획!$M$3:$R$202,$AC6,인턴현황!$G$3)&amp;"")</f>
        <v/>
      </c>
      <c r="AE6" s="10">
        <f>IF($B6="","",IF($M6&lt;&gt;"",$M6,IF($H6="","",IF(RIGHT($H6,2)="병원",$H6,$H6&amp;"병원"))))</f>
        <v/>
      </c>
    </row>
    <row r="7">
      <c r="A7" s="10">
        <f>IF(B7="","",ROW()-1)</f>
        <v/>
      </c>
      <c r="B7" s="13" t="inlineStr">
        <is>
          <t>222222</t>
        </is>
      </c>
      <c r="C7" s="10">
        <f>IF($AB7="","",IF(INDEX(기본자료!$C$2:$C$501,$AB7)="","",INDEX(기본자료!$C$2:$C$501,$AB7)))</f>
        <v/>
      </c>
      <c r="D7" s="10">
        <f>IF($AB7="","",IF(INDEX(기본자료!$J$2:$J$501,$AB7)="","",INDEX(기본자료!$J$2:$J$501,$AB7)))</f>
        <v/>
      </c>
      <c r="E7" s="11">
        <f>IF($AB7="","",IF(INDEX(기본자료!$K$2:$K$501,$AB7)="","",IF(NOT(ISNUMBER(INDEX(기본자료!$K$2:$K$501,$AB7))),INDEX(기본자료!$K$2:$K$501,$AB7),IF(INDEX(기본자료!$K$2:$K$501,$AB7)&lt;1000000,INDEX(기본자료!$K$2:$K$501,$AB7),IF(AND(INDEX(기본자료!$K$2:$K$501,$AB7)&gt;=10000101,INT(MOD(INDEX(기본자료!$K$2:$K$501,$AB7),10000)/100)&gt;=1,INT(MOD(INDEX(기본자료!$K$2:$K$501,$AB7),10000)/100)&lt;=12,MOD(INDEX(기본자료!$K$2:$K$501,$AB7),100)&gt;=1,MOD(INDEX(기본자료!$K$2:$K$501,$AB7),100)&lt;=31),DATE(INT(INDEX(기본자료!$K$2:$K$501,$AB7)/10000),INT(MOD(INDEX(기본자료!$K$2:$K$501,$AB7),10000)/100),MOD(INDEX(기본자료!$K$2:$K$501,$AB7),100)),INDEX(기본자료!$K$2:$K$501,$AB7)&amp;"")))))</f>
        <v/>
      </c>
      <c r="F7" s="10">
        <f>IF($AB7="","",IF(INDEX(기본자료!$D$2:$D$501,$AB7)="","",INDEX(기본자료!$D$2:$D$501,$AB7)))</f>
        <v/>
      </c>
      <c r="G7" s="10">
        <f>IF($AB7="","",IF(INDEX(기본자료!$E$2:$E$501,$AB7)="","",INDEX(기본자료!$E$2:$E$501,$AB7)))</f>
        <v/>
      </c>
      <c r="H7" s="10">
        <f>IF($AB7="","",IF(INDEX(기본자료!$F$2:$F$501,$AB7)="","",INDEX(기본자료!$F$2:$F$501,$AB7)))</f>
        <v/>
      </c>
      <c r="I7" s="11">
        <f>IF($AB7="","",IF(INDEX(기본자료!$G$2:$G$501,$AB7)="","",IF(NOT(ISNUMBER(INDEX(기본자료!$G$2:$G$501,$AB7))),INDEX(기본자료!$G$2:$G$501,$AB7),IF(INDEX(기본자료!$G$2:$G$501,$AB7)&lt;1000000,INDEX(기본자료!$G$2:$G$501,$AB7),IF(AND(INDEX(기본자료!$G$2:$G$501,$AB7)&gt;=10000101,INT(MOD(INDEX(기본자료!$G$2:$G$501,$AB7),10000)/100)&gt;=1,INT(MOD(INDEX(기본자료!$G$2:$G$501,$AB7),10000)/100)&lt;=12,MOD(INDEX(기본자료!$G$2:$G$501,$AB7),100)&gt;=1,MOD(INDEX(기본자료!$G$2:$G$501,$AB7),100)&lt;=31),DATE(INT(INDEX(기본자료!$G$2:$G$501,$AB7)/10000),INT(MOD(INDEX(기본자료!$G$2:$G$501,$AB7),10000)/100),MOD(INDEX(기본자료!$G$2:$G$501,$AB7),100)),INDEX(기본자료!$G$2:$G$501,$AB7)&amp;"")))))</f>
        <v/>
      </c>
      <c r="J7" s="10">
        <f>IF($AB7="","",IF(INDEX(기본자료!$H$2:$H$501,$AB7)="","",INDEX(기본자료!$H$2:$H$501,$AB7)))</f>
        <v/>
      </c>
      <c r="K7" s="10">
        <f>IF($AB7="","",IF(INDEX(기본자료!$I$2:$I$501,$AB7)="","",INDEX(기본자료!$I$2:$I$501,$AB7)))</f>
        <v/>
      </c>
      <c r="L7" s="10">
        <f>IF($AB7="","",IF(INDEX(기본자료!$A$2:$A$501,$AB7)="","",INDEX(기본자료!$A$2:$A$501,$AB7)))</f>
        <v/>
      </c>
      <c r="M7" s="14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4" t="n"/>
      <c r="Q7" s="14" t="n"/>
      <c r="R7" s="14" t="n"/>
      <c r="S7" s="15" t="n"/>
      <c r="T7" s="15" t="n"/>
      <c r="U7" s="10">
        <f>IF(OR($B7="",$S7=""),"",IF(TODAY()&lt;$S7,"파견예정",IF(AND($T7&lt;&gt;"",TODAY()&gt;$T7),"파견종료","파견중")))</f>
        <v/>
      </c>
      <c r="V7" s="16">
        <f>IF(OR($S7="",$T7=""),"",$T7-$S7+1)</f>
        <v/>
      </c>
      <c r="W7" s="16">
        <f>IF(AND($U7="파견중",$T7&lt;&gt;""),$T7-TODAY(),"")</f>
        <v/>
      </c>
      <c r="X7" s="16">
        <f>IF(OR($B7="",$S7=""),"",MAX(0,MIN(IF($T7="",EOMONTH(요약!$B$3,0),$T7),EOMONTH(요약!$B$3,0))-MAX($S7,요약!$B$3)+1))</f>
        <v/>
      </c>
      <c r="Y7" s="10">
        <f>IF($B7="","",IF($AE7="","",IF(OR($S7="",$P7="",N($X7)&lt;=0),$AE7,IF($P7="다기관파견",$AE7,IF($AE7="구리병원",IF(AND($Q7&lt;&gt;"",N($X7)&gt;=요약!$E$3),$Q7,$AE7),IF(AND($P7="일반파견(단독)",$Q7&lt;&gt;""),$Q7,$AE7))))))</f>
        <v/>
      </c>
      <c r="Z7" s="17">
        <f>IF($B7="","",IF($AB7="","기본자료에 없는 사번",IF(COUNTIF($B$2:$B$201,$B7)&gt;1,"중복 사번",IF($M7="","입사장소 입력",IF(AND($P7&lt;&gt;"",$S7=""),"파견시작일 입력",IF(AND($S7&lt;&gt;"",$P7=""),"파견종류 입력",IF(AND($P7&lt;&gt;"",$P7&lt;&gt;"다기관파견",$Q7=""),"파견병원 입력",IF(IF($AC7="",0,N(INDEX(인턴근무계획!$T$3:$T$202,$AC7)))&gt;0,"인턴계획 입력오류 확인",IF(AND($AC7&lt;&gt;"",$U7&lt;&gt;"파견중",$N7&lt;&gt;$AE7),"인턴 타지역 근무: 파견 여부 확인","정상")))))))))</f>
        <v/>
      </c>
      <c r="AA7" s="5" t="inlineStr">
        <is>
          <t>예시 데이터(인턴)</t>
        </is>
      </c>
      <c r="AB7" s="10">
        <f>IF($B7="","",IFERROR(MATCH($B7,기본자료!$B$2:$B$501,0),IFERROR(MATCH($B7&amp;"",기본자료!$B$2:$B$501,0),IFERROR(MATCH(VALUE($B7),기본자료!$B$2:$B$501,0),""))))</f>
        <v/>
      </c>
      <c r="AC7" s="10">
        <f>IF($B7="","",IFERROR(MATCH($B7,인턴근무계획!$D$3:$D$202,0),IFERROR(MATCH($B7&amp;"",인턴근무계획!$D$3:$D$202,0),IFERROR(MATCH(VALUE($B7),인턴근무계획!$D$3:$D$202,0),""))))</f>
        <v/>
      </c>
      <c r="AD7" s="10">
        <f>IF(OR($AC7="",인턴현황!$G$3=""),"",INDEX(인턴근무계획!$M$3:$R$202,$AC7,인턴현황!$G$3)&amp;"")</f>
        <v/>
      </c>
      <c r="AE7" s="10">
        <f>IF($B7="","",IF($M7&lt;&gt;"",$M7,IF($H7="","",IF(RIGHT($H7,2)="병원",$H7,$H7&amp;"병원"))))</f>
        <v/>
      </c>
    </row>
    <row r="8">
      <c r="A8" s="10">
        <f>IF(B8="","",ROW()-1)</f>
        <v/>
      </c>
      <c r="B8" s="13" t="inlineStr">
        <is>
          <t>222223</t>
        </is>
      </c>
      <c r="C8" s="10">
        <f>IF($AB8="","",IF(INDEX(기본자료!$C$2:$C$501,$AB8)="","",INDEX(기본자료!$C$2:$C$501,$AB8)))</f>
        <v/>
      </c>
      <c r="D8" s="10">
        <f>IF($AB8="","",IF(INDEX(기본자료!$J$2:$J$501,$AB8)="","",INDEX(기본자료!$J$2:$J$501,$AB8)))</f>
        <v/>
      </c>
      <c r="E8" s="11">
        <f>IF($AB8="","",IF(INDEX(기본자료!$K$2:$K$501,$AB8)="","",IF(NOT(ISNUMBER(INDEX(기본자료!$K$2:$K$501,$AB8))),INDEX(기본자료!$K$2:$K$501,$AB8),IF(INDEX(기본자료!$K$2:$K$501,$AB8)&lt;1000000,INDEX(기본자료!$K$2:$K$501,$AB8),IF(AND(INDEX(기본자료!$K$2:$K$501,$AB8)&gt;=10000101,INT(MOD(INDEX(기본자료!$K$2:$K$501,$AB8),10000)/100)&gt;=1,INT(MOD(INDEX(기본자료!$K$2:$K$501,$AB8),10000)/100)&lt;=12,MOD(INDEX(기본자료!$K$2:$K$501,$AB8),100)&gt;=1,MOD(INDEX(기본자료!$K$2:$K$501,$AB8),100)&lt;=31),DATE(INT(INDEX(기본자료!$K$2:$K$501,$AB8)/10000),INT(MOD(INDEX(기본자료!$K$2:$K$501,$AB8),10000)/100),MOD(INDEX(기본자료!$K$2:$K$501,$AB8),100)),INDEX(기본자료!$K$2:$K$501,$AB8)&amp;"")))))</f>
        <v/>
      </c>
      <c r="F8" s="10">
        <f>IF($AB8="","",IF(INDEX(기본자료!$D$2:$D$501,$AB8)="","",INDEX(기본자료!$D$2:$D$501,$AB8)))</f>
        <v/>
      </c>
      <c r="G8" s="10">
        <f>IF($AB8="","",IF(INDEX(기본자료!$E$2:$E$501,$AB8)="","",INDEX(기본자료!$E$2:$E$501,$AB8)))</f>
        <v/>
      </c>
      <c r="H8" s="10">
        <f>IF($AB8="","",IF(INDEX(기본자료!$F$2:$F$501,$AB8)="","",INDEX(기본자료!$F$2:$F$501,$AB8)))</f>
        <v/>
      </c>
      <c r="I8" s="11">
        <f>IF($AB8="","",IF(INDEX(기본자료!$G$2:$G$501,$AB8)="","",IF(NOT(ISNUMBER(INDEX(기본자료!$G$2:$G$501,$AB8))),INDEX(기본자료!$G$2:$G$501,$AB8),IF(INDEX(기본자료!$G$2:$G$501,$AB8)&lt;1000000,INDEX(기본자료!$G$2:$G$501,$AB8),IF(AND(INDEX(기본자료!$G$2:$G$501,$AB8)&gt;=10000101,INT(MOD(INDEX(기본자료!$G$2:$G$501,$AB8),10000)/100)&gt;=1,INT(MOD(INDEX(기본자료!$G$2:$G$501,$AB8),10000)/100)&lt;=12,MOD(INDEX(기본자료!$G$2:$G$501,$AB8),100)&gt;=1,MOD(INDEX(기본자료!$G$2:$G$501,$AB8),100)&lt;=31),DATE(INT(INDEX(기본자료!$G$2:$G$501,$AB8)/10000),INT(MOD(INDEX(기본자료!$G$2:$G$501,$AB8),10000)/100),MOD(INDEX(기본자료!$G$2:$G$501,$AB8),100)),INDEX(기본자료!$G$2:$G$501,$AB8)&amp;"")))))</f>
        <v/>
      </c>
      <c r="J8" s="10">
        <f>IF($AB8="","",IF(INDEX(기본자료!$H$2:$H$501,$AB8)="","",INDEX(기본자료!$H$2:$H$501,$AB8)))</f>
        <v/>
      </c>
      <c r="K8" s="10">
        <f>IF($AB8="","",IF(INDEX(기본자료!$I$2:$I$501,$AB8)="","",INDEX(기본자료!$I$2:$I$501,$AB8)))</f>
        <v/>
      </c>
      <c r="L8" s="10">
        <f>IF($AB8="","",IF(INDEX(기본자료!$A$2:$A$501,$AB8)="","",INDEX(기본자료!$A$2:$A$501,$AB8)))</f>
        <v/>
      </c>
      <c r="M8" s="14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4" t="n"/>
      <c r="Q8" s="14" t="n"/>
      <c r="R8" s="14" t="n"/>
      <c r="S8" s="15" t="n"/>
      <c r="T8" s="15" t="n"/>
      <c r="U8" s="10">
        <f>IF(OR($B8="",$S8=""),"",IF(TODAY()&lt;$S8,"파견예정",IF(AND($T8&lt;&gt;"",TODAY()&gt;$T8),"파견종료","파견중")))</f>
        <v/>
      </c>
      <c r="V8" s="16">
        <f>IF(OR($S8="",$T8=""),"",$T8-$S8+1)</f>
        <v/>
      </c>
      <c r="W8" s="16">
        <f>IF(AND($U8="파견중",$T8&lt;&gt;""),$T8-TODAY(),"")</f>
        <v/>
      </c>
      <c r="X8" s="16">
        <f>IF(OR($B8="",$S8=""),"",MAX(0,MIN(IF($T8="",EOMONTH(요약!$B$3,0),$T8),EOMONTH(요약!$B$3,0))-MAX($S8,요약!$B$3)+1))</f>
        <v/>
      </c>
      <c r="Y8" s="10">
        <f>IF($B8="","",IF($AE8="","",IF(OR($S8="",$P8="",N($X8)&lt;=0),$AE8,IF($P8="다기관파견",$AE8,IF($AE8="구리병원",IF(AND($Q8&lt;&gt;"",N($X8)&gt;=요약!$E$3),$Q8,$AE8),IF(AND($P8="일반파견(단독)",$Q8&lt;&gt;""),$Q8,$AE8))))))</f>
        <v/>
      </c>
      <c r="Z8" s="17">
        <f>IF($B8="","",IF($AB8="","기본자료에 없는 사번",IF(COUNTIF($B$2:$B$201,$B8)&gt;1,"중복 사번",IF($M8="","입사장소 입력",IF(AND($P8&lt;&gt;"",$S8=""),"파견시작일 입력",IF(AND($S8&lt;&gt;"",$P8=""),"파견종류 입력",IF(AND($P8&lt;&gt;"",$P8&lt;&gt;"다기관파견",$Q8=""),"파견병원 입력",IF(IF($AC8="",0,N(INDEX(인턴근무계획!$T$3:$T$202,$AC8)))&gt;0,"인턴계획 입력오류 확인",IF(AND($AC8&lt;&gt;"",$U8&lt;&gt;"파견중",$N8&lt;&gt;$AE8),"인턴 타지역 근무: 파견 여부 확인","정상")))))))))</f>
        <v/>
      </c>
      <c r="AA8" s="5" t="inlineStr">
        <is>
          <t>예시 데이터(인턴)</t>
        </is>
      </c>
      <c r="AB8" s="10">
        <f>IF($B8="","",IFERROR(MATCH($B8,기본자료!$B$2:$B$501,0),IFERROR(MATCH($B8&amp;"",기본자료!$B$2:$B$501,0),IFERROR(MATCH(VALUE($B8),기본자료!$B$2:$B$501,0),""))))</f>
        <v/>
      </c>
      <c r="AC8" s="10">
        <f>IF($B8="","",IFERROR(MATCH($B8,인턴근무계획!$D$3:$D$202,0),IFERROR(MATCH($B8&amp;"",인턴근무계획!$D$3:$D$202,0),IFERROR(MATCH(VALUE($B8),인턴근무계획!$D$3:$D$202,0),""))))</f>
        <v/>
      </c>
      <c r="AD8" s="10">
        <f>IF(OR($AC8="",인턴현황!$G$3=""),"",INDEX(인턴근무계획!$M$3:$R$202,$AC8,인턴현황!$G$3)&amp;"")</f>
        <v/>
      </c>
      <c r="AE8" s="10">
        <f>IF($B8="","",IF($M8&lt;&gt;"",$M8,IF($H8="","",IF(RIGHT($H8,2)="병원",$H8,$H8&amp;"병원"))))</f>
        <v/>
      </c>
    </row>
    <row r="9">
      <c r="A9" s="10">
        <f>IF(B9="","",ROW()-1)</f>
        <v/>
      </c>
      <c r="B9" s="13" t="inlineStr">
        <is>
          <t>222224</t>
        </is>
      </c>
      <c r="C9" s="10">
        <f>IF($AB9="","",IF(INDEX(기본자료!$C$2:$C$501,$AB9)="","",INDEX(기본자료!$C$2:$C$501,$AB9)))</f>
        <v/>
      </c>
      <c r="D9" s="10">
        <f>IF($AB9="","",IF(INDEX(기본자료!$J$2:$J$501,$AB9)="","",INDEX(기본자료!$J$2:$J$501,$AB9)))</f>
        <v/>
      </c>
      <c r="E9" s="11">
        <f>IF($AB9="","",IF(INDEX(기본자료!$K$2:$K$501,$AB9)="","",IF(NOT(ISNUMBER(INDEX(기본자료!$K$2:$K$501,$AB9))),INDEX(기본자료!$K$2:$K$501,$AB9),IF(INDEX(기본자료!$K$2:$K$501,$AB9)&lt;1000000,INDEX(기본자료!$K$2:$K$501,$AB9),IF(AND(INDEX(기본자료!$K$2:$K$501,$AB9)&gt;=10000101,INT(MOD(INDEX(기본자료!$K$2:$K$501,$AB9),10000)/100)&gt;=1,INT(MOD(INDEX(기본자료!$K$2:$K$501,$AB9),10000)/100)&lt;=12,MOD(INDEX(기본자료!$K$2:$K$501,$AB9),100)&gt;=1,MOD(INDEX(기본자료!$K$2:$K$501,$AB9),100)&lt;=31),DATE(INT(INDEX(기본자료!$K$2:$K$501,$AB9)/10000),INT(MOD(INDEX(기본자료!$K$2:$K$501,$AB9),10000)/100),MOD(INDEX(기본자료!$K$2:$K$501,$AB9),100)),INDEX(기본자료!$K$2:$K$501,$AB9)&amp;"")))))</f>
        <v/>
      </c>
      <c r="F9" s="10">
        <f>IF($AB9="","",IF(INDEX(기본자료!$D$2:$D$501,$AB9)="","",INDEX(기본자료!$D$2:$D$501,$AB9)))</f>
        <v/>
      </c>
      <c r="G9" s="10">
        <f>IF($AB9="","",IF(INDEX(기본자료!$E$2:$E$501,$AB9)="","",INDEX(기본자료!$E$2:$E$501,$AB9)))</f>
        <v/>
      </c>
      <c r="H9" s="10">
        <f>IF($AB9="","",IF(INDEX(기본자료!$F$2:$F$501,$AB9)="","",INDEX(기본자료!$F$2:$F$501,$AB9)))</f>
        <v/>
      </c>
      <c r="I9" s="11">
        <f>IF($AB9="","",IF(INDEX(기본자료!$G$2:$G$501,$AB9)="","",IF(NOT(ISNUMBER(INDEX(기본자료!$G$2:$G$501,$AB9))),INDEX(기본자료!$G$2:$G$501,$AB9),IF(INDEX(기본자료!$G$2:$G$501,$AB9)&lt;1000000,INDEX(기본자료!$G$2:$G$501,$AB9),IF(AND(INDEX(기본자료!$G$2:$G$501,$AB9)&gt;=10000101,INT(MOD(INDEX(기본자료!$G$2:$G$501,$AB9),10000)/100)&gt;=1,INT(MOD(INDEX(기본자료!$G$2:$G$501,$AB9),10000)/100)&lt;=12,MOD(INDEX(기본자료!$G$2:$G$501,$AB9),100)&gt;=1,MOD(INDEX(기본자료!$G$2:$G$501,$AB9),100)&lt;=31),DATE(INT(INDEX(기본자료!$G$2:$G$501,$AB9)/10000),INT(MOD(INDEX(기본자료!$G$2:$G$501,$AB9),10000)/100),MOD(INDEX(기본자료!$G$2:$G$501,$AB9),100)),INDEX(기본자료!$G$2:$G$501,$AB9)&amp;"")))))</f>
        <v/>
      </c>
      <c r="J9" s="10">
        <f>IF($AB9="","",IF(INDEX(기본자료!$H$2:$H$501,$AB9)="","",INDEX(기본자료!$H$2:$H$501,$AB9)))</f>
        <v/>
      </c>
      <c r="K9" s="10">
        <f>IF($AB9="","",IF(INDEX(기본자료!$I$2:$I$501,$AB9)="","",INDEX(기본자료!$I$2:$I$501,$AB9)))</f>
        <v/>
      </c>
      <c r="L9" s="10">
        <f>IF($AB9="","",IF(INDEX(기본자료!$A$2:$A$501,$AB9)="","",INDEX(기본자료!$A$2:$A$501,$AB9)))</f>
        <v/>
      </c>
      <c r="M9" s="14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4" t="inlineStr">
        <is>
          <t>모자파견</t>
        </is>
      </c>
      <c r="Q9" s="14" t="inlineStr">
        <is>
          <t>서울병원</t>
        </is>
      </c>
      <c r="R9" s="14" t="inlineStr">
        <is>
          <t>응급의학과</t>
        </is>
      </c>
      <c r="S9" s="15" t="n">
        <v>46327</v>
      </c>
      <c r="T9" s="15" t="n">
        <v>46356</v>
      </c>
      <c r="U9" s="10">
        <f>IF(OR($B9="",$S9=""),"",IF(TODAY()&lt;$S9,"파견예정",IF(AND($T9&lt;&gt;"",TODAY()&gt;$T9),"파견종료","파견중")))</f>
        <v/>
      </c>
      <c r="V9" s="16">
        <f>IF(OR($S9="",$T9=""),"",$T9-$S9+1)</f>
        <v/>
      </c>
      <c r="W9" s="16">
        <f>IF(AND($U9="파견중",$T9&lt;&gt;""),$T9-TODAY(),"")</f>
        <v/>
      </c>
      <c r="X9" s="16">
        <f>IF(OR($B9="",$S9=""),"",MAX(0,MIN(IF($T9="",EOMONTH(요약!$B$3,0),$T9),EOMONTH(요약!$B$3,0))-MAX($S9,요약!$B$3)+1))</f>
        <v/>
      </c>
      <c r="Y9" s="10">
        <f>IF($B9="","",IF($AE9="","",IF(OR($S9="",$P9="",N($X9)&lt;=0),$AE9,IF($P9="다기관파견",$AE9,IF($AE9="구리병원",IF(AND($Q9&lt;&gt;"",N($X9)&gt;=요약!$E$3),$Q9,$AE9),IF(AND($P9="일반파견(단독)",$Q9&lt;&gt;""),$Q9,$AE9))))))</f>
        <v/>
      </c>
      <c r="Z9" s="17">
        <f>IF($B9="","",IF($AB9="","기본자료에 없는 사번",IF(COUNTIF($B$2:$B$201,$B9)&gt;1,"중복 사번",IF($M9="","입사장소 입력",IF(AND($P9&lt;&gt;"",$S9=""),"파견시작일 입력",IF(AND($S9&lt;&gt;"",$P9=""),"파견종류 입력",IF(AND($P9&lt;&gt;"",$P9&lt;&gt;"다기관파견",$Q9=""),"파견병원 입력",IF(IF($AC9="",0,N(INDEX(인턴근무계획!$T$3:$T$202,$AC9)))&gt;0,"인턴계획 입력오류 확인",IF(AND($AC9&lt;&gt;"",$U9&lt;&gt;"파견중",$N9&lt;&gt;$AE9),"인턴 타지역 근무: 파견 여부 확인","정상")))))))))</f>
        <v/>
      </c>
      <c r="AA9" s="5" t="inlineStr">
        <is>
          <t>예시 데이터(인턴)</t>
        </is>
      </c>
      <c r="AB9" s="10">
        <f>IF($B9="","",IFERROR(MATCH($B9,기본자료!$B$2:$B$501,0),IFERROR(MATCH($B9&amp;"",기본자료!$B$2:$B$501,0),IFERROR(MATCH(VALUE($B9),기본자료!$B$2:$B$501,0),""))))</f>
        <v/>
      </c>
      <c r="AC9" s="10">
        <f>IF($B9="","",IFERROR(MATCH($B9,인턴근무계획!$D$3:$D$202,0),IFERROR(MATCH($B9&amp;"",인턴근무계획!$D$3:$D$202,0),IFERROR(MATCH(VALUE($B9),인턴근무계획!$D$3:$D$202,0),""))))</f>
        <v/>
      </c>
      <c r="AD9" s="10">
        <f>IF(OR($AC9="",인턴현황!$G$3=""),"",INDEX(인턴근무계획!$M$3:$R$202,$AC9,인턴현황!$G$3)&amp;"")</f>
        <v/>
      </c>
      <c r="AE9" s="10">
        <f>IF($B9="","",IF($M9&lt;&gt;"",$M9,IF($H9="","",IF(RIGHT($H9,2)="병원",$H9,$H9&amp;"병원"))))</f>
        <v/>
      </c>
    </row>
    <row r="10">
      <c r="A10" s="10">
        <f>IF(B10="","",ROW()-1)</f>
        <v/>
      </c>
      <c r="B10" s="13" t="n"/>
      <c r="C10" s="10">
        <f>IF($AB10="","",IF(INDEX(기본자료!$C$2:$C$501,$AB10)="","",INDEX(기본자료!$C$2:$C$501,$AB10)))</f>
        <v/>
      </c>
      <c r="D10" s="10">
        <f>IF($AB10="","",IF(INDEX(기본자료!$J$2:$J$501,$AB10)="","",INDEX(기본자료!$J$2:$J$501,$AB10)))</f>
        <v/>
      </c>
      <c r="E10" s="11">
        <f>IF($AB10="","",IF(INDEX(기본자료!$K$2:$K$501,$AB10)="","",IF(NOT(ISNUMBER(INDEX(기본자료!$K$2:$K$501,$AB10))),INDEX(기본자료!$K$2:$K$501,$AB10),IF(INDEX(기본자료!$K$2:$K$501,$AB10)&lt;1000000,INDEX(기본자료!$K$2:$K$501,$AB10),IF(AND(INDEX(기본자료!$K$2:$K$501,$AB10)&gt;=10000101,INT(MOD(INDEX(기본자료!$K$2:$K$501,$AB10),10000)/100)&gt;=1,INT(MOD(INDEX(기본자료!$K$2:$K$501,$AB10),10000)/100)&lt;=12,MOD(INDEX(기본자료!$K$2:$K$501,$AB10),100)&gt;=1,MOD(INDEX(기본자료!$K$2:$K$501,$AB10),100)&lt;=31),DATE(INT(INDEX(기본자료!$K$2:$K$501,$AB10)/10000),INT(MOD(INDEX(기본자료!$K$2:$K$501,$AB10),10000)/100),MOD(INDEX(기본자료!$K$2:$K$501,$AB10),100)),INDEX(기본자료!$K$2:$K$501,$AB10)&amp;"")))))</f>
        <v/>
      </c>
      <c r="F10" s="10">
        <f>IF($AB10="","",IF(INDEX(기본자료!$D$2:$D$501,$AB10)="","",INDEX(기본자료!$D$2:$D$501,$AB10)))</f>
        <v/>
      </c>
      <c r="G10" s="10">
        <f>IF($AB10="","",IF(INDEX(기본자료!$E$2:$E$501,$AB10)="","",INDEX(기본자료!$E$2:$E$501,$AB10)))</f>
        <v/>
      </c>
      <c r="H10" s="10">
        <f>IF($AB10="","",IF(INDEX(기본자료!$F$2:$F$501,$AB10)="","",INDEX(기본자료!$F$2:$F$501,$AB10)))</f>
        <v/>
      </c>
      <c r="I10" s="11">
        <f>IF($AB10="","",IF(INDEX(기본자료!$G$2:$G$501,$AB10)="","",IF(NOT(ISNUMBER(INDEX(기본자료!$G$2:$G$501,$AB10))),INDEX(기본자료!$G$2:$G$501,$AB10),IF(INDEX(기본자료!$G$2:$G$501,$AB10)&lt;1000000,INDEX(기본자료!$G$2:$G$501,$AB10),IF(AND(INDEX(기본자료!$G$2:$G$501,$AB10)&gt;=10000101,INT(MOD(INDEX(기본자료!$G$2:$G$501,$AB10),10000)/100)&gt;=1,INT(MOD(INDEX(기본자료!$G$2:$G$501,$AB10),10000)/100)&lt;=12,MOD(INDEX(기본자료!$G$2:$G$501,$AB10),100)&gt;=1,MOD(INDEX(기본자료!$G$2:$G$501,$AB10),100)&lt;=31),DATE(INT(INDEX(기본자료!$G$2:$G$501,$AB10)/10000),INT(MOD(INDEX(기본자료!$G$2:$G$501,$AB10),10000)/100),MOD(INDEX(기본자료!$G$2:$G$501,$AB10),100)),INDEX(기본자료!$G$2:$G$501,$AB10)&amp;"")))))</f>
        <v/>
      </c>
      <c r="J10" s="10">
        <f>IF($AB10="","",IF(INDEX(기본자료!$H$2:$H$501,$AB10)="","",INDEX(기본자료!$H$2:$H$501,$AB10)))</f>
        <v/>
      </c>
      <c r="K10" s="10">
        <f>IF($AB10="","",IF(INDEX(기본자료!$I$2:$I$501,$AB10)="","",INDEX(기본자료!$I$2:$I$501,$AB10)))</f>
        <v/>
      </c>
      <c r="L10" s="10">
        <f>IF($AB10="","",IF(INDEX(기본자료!$A$2:$A$501,$AB10)="","",INDEX(기본자료!$A$2:$A$501,$AB10)))</f>
        <v/>
      </c>
      <c r="M10" s="14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4" t="n"/>
      <c r="Q10" s="14" t="n"/>
      <c r="R10" s="14" t="n"/>
      <c r="S10" s="15" t="n"/>
      <c r="T10" s="15" t="n"/>
      <c r="U10" s="10">
        <f>IF(OR($B10="",$S10=""),"",IF(TODAY()&lt;$S10,"파견예정",IF(AND($T10&lt;&gt;"",TODAY()&gt;$T10),"파견종료","파견중")))</f>
        <v/>
      </c>
      <c r="V10" s="16">
        <f>IF(OR($S10="",$T10=""),"",$T10-$S10+1)</f>
        <v/>
      </c>
      <c r="W10" s="16">
        <f>IF(AND($U10="파견중",$T10&lt;&gt;""),$T10-TODAY(),"")</f>
        <v/>
      </c>
      <c r="X10" s="16">
        <f>IF(OR($B10="",$S10=""),"",MAX(0,MIN(IF($T10="",EOMONTH(요약!$B$3,0),$T10),EOMONTH(요약!$B$3,0))-MAX($S10,요약!$B$3)+1))</f>
        <v/>
      </c>
      <c r="Y10" s="10">
        <f>IF($B10="","",IF($AE10="","",IF(OR($S10="",$P10="",N($X10)&lt;=0),$AE10,IF($P10="다기관파견",$AE10,IF($AE10="구리병원",IF(AND($Q10&lt;&gt;"",N($X10)&gt;=요약!$E$3),$Q10,$AE10),IF(AND($P10="일반파견(단독)",$Q10&lt;&gt;""),$Q10,$AE10))))))</f>
        <v/>
      </c>
      <c r="Z10" s="17">
        <f>IF($B10="","",IF($AB10="","기본자료에 없는 사번",IF(COUNTIF($B$2:$B$201,$B10)&gt;1,"중복 사번",IF($M10="","입사장소 입력",IF(AND($P10&lt;&gt;"",$S10=""),"파견시작일 입력",IF(AND($S10&lt;&gt;"",$P10=""),"파견종류 입력",IF(AND($P10&lt;&gt;"",$P10&lt;&gt;"다기관파견",$Q10=""),"파견병원 입력",IF(IF($AC10="",0,N(INDEX(인턴근무계획!$T$3:$T$202,$AC10)))&gt;0,"인턴계획 입력오류 확인",IF(AND($AC10&lt;&gt;"",$U10&lt;&gt;"파견중",$N10&lt;&gt;$AE10),"인턴 타지역 근무: 파견 여부 확인","정상")))))))))</f>
        <v/>
      </c>
      <c r="AA10" s="5" t="n"/>
      <c r="AB10" s="10">
        <f>IF($B10="","",IFERROR(MATCH($B10,기본자료!$B$2:$B$501,0),IFERROR(MATCH($B10&amp;"",기본자료!$B$2:$B$501,0),IFERROR(MATCH(VALUE($B10),기본자료!$B$2:$B$501,0),""))))</f>
        <v/>
      </c>
      <c r="AC10" s="10">
        <f>IF($B10="","",IFERROR(MATCH($B10,인턴근무계획!$D$3:$D$202,0),IFERROR(MATCH($B10&amp;"",인턴근무계획!$D$3:$D$202,0),IFERROR(MATCH(VALUE($B10),인턴근무계획!$D$3:$D$202,0),""))))</f>
        <v/>
      </c>
      <c r="AD10" s="10">
        <f>IF(OR($AC10="",인턴현황!$G$3=""),"",INDEX(인턴근무계획!$M$3:$R$202,$AC10,인턴현황!$G$3)&amp;"")</f>
        <v/>
      </c>
      <c r="AE10" s="10">
        <f>IF($B10="","",IF($M10&lt;&gt;"",$M10,IF($H10="","",IF(RIGHT($H10,2)="병원",$H10,$H10&amp;"병원"))))</f>
        <v/>
      </c>
    </row>
    <row r="11">
      <c r="A11" s="10">
        <f>IF(B11="","",ROW()-1)</f>
        <v/>
      </c>
      <c r="B11" s="13" t="n"/>
      <c r="C11" s="10">
        <f>IF($AB11="","",IF(INDEX(기본자료!$C$2:$C$501,$AB11)="","",INDEX(기본자료!$C$2:$C$501,$AB11)))</f>
        <v/>
      </c>
      <c r="D11" s="10">
        <f>IF($AB11="","",IF(INDEX(기본자료!$J$2:$J$501,$AB11)="","",INDEX(기본자료!$J$2:$J$501,$AB11)))</f>
        <v/>
      </c>
      <c r="E11" s="11">
        <f>IF($AB11="","",IF(INDEX(기본자료!$K$2:$K$501,$AB11)="","",IF(NOT(ISNUMBER(INDEX(기본자료!$K$2:$K$501,$AB11))),INDEX(기본자료!$K$2:$K$501,$AB11),IF(INDEX(기본자료!$K$2:$K$501,$AB11)&lt;1000000,INDEX(기본자료!$K$2:$K$501,$AB11),IF(AND(INDEX(기본자료!$K$2:$K$501,$AB11)&gt;=10000101,INT(MOD(INDEX(기본자료!$K$2:$K$501,$AB11),10000)/100)&gt;=1,INT(MOD(INDEX(기본자료!$K$2:$K$501,$AB11),10000)/100)&lt;=12,MOD(INDEX(기본자료!$K$2:$K$501,$AB11),100)&gt;=1,MOD(INDEX(기본자료!$K$2:$K$501,$AB11),100)&lt;=31),DATE(INT(INDEX(기본자료!$K$2:$K$501,$AB11)/10000),INT(MOD(INDEX(기본자료!$K$2:$K$501,$AB11),10000)/100),MOD(INDEX(기본자료!$K$2:$K$501,$AB11),100)),INDEX(기본자료!$K$2:$K$501,$AB11)&amp;"")))))</f>
        <v/>
      </c>
      <c r="F11" s="10">
        <f>IF($AB11="","",IF(INDEX(기본자료!$D$2:$D$501,$AB11)="","",INDEX(기본자료!$D$2:$D$501,$AB11)))</f>
        <v/>
      </c>
      <c r="G11" s="10">
        <f>IF($AB11="","",IF(INDEX(기본자료!$E$2:$E$501,$AB11)="","",INDEX(기본자료!$E$2:$E$501,$AB11)))</f>
        <v/>
      </c>
      <c r="H11" s="10">
        <f>IF($AB11="","",IF(INDEX(기본자료!$F$2:$F$501,$AB11)="","",INDEX(기본자료!$F$2:$F$501,$AB11)))</f>
        <v/>
      </c>
      <c r="I11" s="11">
        <f>IF($AB11="","",IF(INDEX(기본자료!$G$2:$G$501,$AB11)="","",IF(NOT(ISNUMBER(INDEX(기본자료!$G$2:$G$501,$AB11))),INDEX(기본자료!$G$2:$G$501,$AB11),IF(INDEX(기본자료!$G$2:$G$501,$AB11)&lt;1000000,INDEX(기본자료!$G$2:$G$501,$AB11),IF(AND(INDEX(기본자료!$G$2:$G$501,$AB11)&gt;=10000101,INT(MOD(INDEX(기본자료!$G$2:$G$501,$AB11),10000)/100)&gt;=1,INT(MOD(INDEX(기본자료!$G$2:$G$501,$AB11),10000)/100)&lt;=12,MOD(INDEX(기본자료!$G$2:$G$501,$AB11),100)&gt;=1,MOD(INDEX(기본자료!$G$2:$G$501,$AB11),100)&lt;=31),DATE(INT(INDEX(기본자료!$G$2:$G$501,$AB11)/10000),INT(MOD(INDEX(기본자료!$G$2:$G$501,$AB11),10000)/100),MOD(INDEX(기본자료!$G$2:$G$501,$AB11),100)),INDEX(기본자료!$G$2:$G$501,$AB11)&amp;"")))))</f>
        <v/>
      </c>
      <c r="J11" s="10">
        <f>IF($AB11="","",IF(INDEX(기본자료!$H$2:$H$501,$AB11)="","",INDEX(기본자료!$H$2:$H$501,$AB11)))</f>
        <v/>
      </c>
      <c r="K11" s="10">
        <f>IF($AB11="","",IF(INDEX(기본자료!$I$2:$I$501,$AB11)="","",INDEX(기본자료!$I$2:$I$501,$AB11)))</f>
        <v/>
      </c>
      <c r="L11" s="10">
        <f>IF($AB11="","",IF(INDEX(기본자료!$A$2:$A$501,$AB11)="","",INDEX(기본자료!$A$2:$A$501,$AB11)))</f>
        <v/>
      </c>
      <c r="M11" s="14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4" t="n"/>
      <c r="Q11" s="14" t="n"/>
      <c r="R11" s="14" t="n"/>
      <c r="S11" s="15" t="n"/>
      <c r="T11" s="15" t="n"/>
      <c r="U11" s="10">
        <f>IF(OR($B11="",$S11=""),"",IF(TODAY()&lt;$S11,"파견예정",IF(AND($T11&lt;&gt;"",TODAY()&gt;$T11),"파견종료","파견중")))</f>
        <v/>
      </c>
      <c r="V11" s="16">
        <f>IF(OR($S11="",$T11=""),"",$T11-$S11+1)</f>
        <v/>
      </c>
      <c r="W11" s="16">
        <f>IF(AND($U11="파견중",$T11&lt;&gt;""),$T11-TODAY(),"")</f>
        <v/>
      </c>
      <c r="X11" s="16">
        <f>IF(OR($B11="",$S11=""),"",MAX(0,MIN(IF($T11="",EOMONTH(요약!$B$3,0),$T11),EOMONTH(요약!$B$3,0))-MAX($S11,요약!$B$3)+1))</f>
        <v/>
      </c>
      <c r="Y11" s="10">
        <f>IF($B11="","",IF($AE11="","",IF(OR($S11="",$P11="",N($X11)&lt;=0),$AE11,IF($P11="다기관파견",$AE11,IF($AE11="구리병원",IF(AND($Q11&lt;&gt;"",N($X11)&gt;=요약!$E$3),$Q11,$AE11),IF(AND($P11="일반파견(단독)",$Q11&lt;&gt;""),$Q11,$AE11))))))</f>
        <v/>
      </c>
      <c r="Z11" s="17">
        <f>IF($B11="","",IF($AB11="","기본자료에 없는 사번",IF(COUNTIF($B$2:$B$201,$B11)&gt;1,"중복 사번",IF($M11="","입사장소 입력",IF(AND($P11&lt;&gt;"",$S11=""),"파견시작일 입력",IF(AND($S11&lt;&gt;"",$P11=""),"파견종류 입력",IF(AND($P11&lt;&gt;"",$P11&lt;&gt;"다기관파견",$Q11=""),"파견병원 입력",IF(IF($AC11="",0,N(INDEX(인턴근무계획!$T$3:$T$202,$AC11)))&gt;0,"인턴계획 입력오류 확인",IF(AND($AC11&lt;&gt;"",$U11&lt;&gt;"파견중",$N11&lt;&gt;$AE11),"인턴 타지역 근무: 파견 여부 확인","정상")))))))))</f>
        <v/>
      </c>
      <c r="AA11" s="5" t="n"/>
      <c r="AB11" s="10">
        <f>IF($B11="","",IFERROR(MATCH($B11,기본자료!$B$2:$B$501,0),IFERROR(MATCH($B11&amp;"",기본자료!$B$2:$B$501,0),IFERROR(MATCH(VALUE($B11),기본자료!$B$2:$B$501,0),""))))</f>
        <v/>
      </c>
      <c r="AC11" s="10">
        <f>IF($B11="","",IFERROR(MATCH($B11,인턴근무계획!$D$3:$D$202,0),IFERROR(MATCH($B11&amp;"",인턴근무계획!$D$3:$D$202,0),IFERROR(MATCH(VALUE($B11),인턴근무계획!$D$3:$D$202,0),""))))</f>
        <v/>
      </c>
      <c r="AD11" s="10">
        <f>IF(OR($AC11="",인턴현황!$G$3=""),"",INDEX(인턴근무계획!$M$3:$R$202,$AC11,인턴현황!$G$3)&amp;"")</f>
        <v/>
      </c>
      <c r="AE11" s="10">
        <f>IF($B11="","",IF($M11&lt;&gt;"",$M11,IF($H11="","",IF(RIGHT($H11,2)="병원",$H11,$H11&amp;"병원"))))</f>
        <v/>
      </c>
    </row>
    <row r="12">
      <c r="A12" s="10">
        <f>IF(B12="","",ROW()-1)</f>
        <v/>
      </c>
      <c r="B12" s="13" t="n"/>
      <c r="C12" s="10">
        <f>IF($AB12="","",IF(INDEX(기본자료!$C$2:$C$501,$AB12)="","",INDEX(기본자료!$C$2:$C$501,$AB12)))</f>
        <v/>
      </c>
      <c r="D12" s="10">
        <f>IF($AB12="","",IF(INDEX(기본자료!$J$2:$J$501,$AB12)="","",INDEX(기본자료!$J$2:$J$501,$AB12)))</f>
        <v/>
      </c>
      <c r="E12" s="11">
        <f>IF($AB12="","",IF(INDEX(기본자료!$K$2:$K$501,$AB12)="","",IF(NOT(ISNUMBER(INDEX(기본자료!$K$2:$K$501,$AB12))),INDEX(기본자료!$K$2:$K$501,$AB12),IF(INDEX(기본자료!$K$2:$K$501,$AB12)&lt;1000000,INDEX(기본자료!$K$2:$K$501,$AB12),IF(AND(INDEX(기본자료!$K$2:$K$501,$AB12)&gt;=10000101,INT(MOD(INDEX(기본자료!$K$2:$K$501,$AB12),10000)/100)&gt;=1,INT(MOD(INDEX(기본자료!$K$2:$K$501,$AB12),10000)/100)&lt;=12,MOD(INDEX(기본자료!$K$2:$K$501,$AB12),100)&gt;=1,MOD(INDEX(기본자료!$K$2:$K$501,$AB12),100)&lt;=31),DATE(INT(INDEX(기본자료!$K$2:$K$501,$AB12)/10000),INT(MOD(INDEX(기본자료!$K$2:$K$501,$AB12),10000)/100),MOD(INDEX(기본자료!$K$2:$K$501,$AB12),100)),INDEX(기본자료!$K$2:$K$501,$AB12)&amp;"")))))</f>
        <v/>
      </c>
      <c r="F12" s="10">
        <f>IF($AB12="","",IF(INDEX(기본자료!$D$2:$D$501,$AB12)="","",INDEX(기본자료!$D$2:$D$501,$AB12)))</f>
        <v/>
      </c>
      <c r="G12" s="10">
        <f>IF($AB12="","",IF(INDEX(기본자료!$E$2:$E$501,$AB12)="","",INDEX(기본자료!$E$2:$E$501,$AB12)))</f>
        <v/>
      </c>
      <c r="H12" s="10">
        <f>IF($AB12="","",IF(INDEX(기본자료!$F$2:$F$501,$AB12)="","",INDEX(기본자료!$F$2:$F$501,$AB12)))</f>
        <v/>
      </c>
      <c r="I12" s="11">
        <f>IF($AB12="","",IF(INDEX(기본자료!$G$2:$G$501,$AB12)="","",IF(NOT(ISNUMBER(INDEX(기본자료!$G$2:$G$501,$AB12))),INDEX(기본자료!$G$2:$G$501,$AB12),IF(INDEX(기본자료!$G$2:$G$501,$AB12)&lt;1000000,INDEX(기본자료!$G$2:$G$501,$AB12),IF(AND(INDEX(기본자료!$G$2:$G$501,$AB12)&gt;=10000101,INT(MOD(INDEX(기본자료!$G$2:$G$501,$AB12),10000)/100)&gt;=1,INT(MOD(INDEX(기본자료!$G$2:$G$501,$AB12),10000)/100)&lt;=12,MOD(INDEX(기본자료!$G$2:$G$501,$AB12),100)&gt;=1,MOD(INDEX(기본자료!$G$2:$G$501,$AB12),100)&lt;=31),DATE(INT(INDEX(기본자료!$G$2:$G$501,$AB12)/10000),INT(MOD(INDEX(기본자료!$G$2:$G$501,$AB12),10000)/100),MOD(INDEX(기본자료!$G$2:$G$501,$AB12),100)),INDEX(기본자료!$G$2:$G$501,$AB12)&amp;"")))))</f>
        <v/>
      </c>
      <c r="J12" s="10">
        <f>IF($AB12="","",IF(INDEX(기본자료!$H$2:$H$501,$AB12)="","",INDEX(기본자료!$H$2:$H$501,$AB12)))</f>
        <v/>
      </c>
      <c r="K12" s="10">
        <f>IF($AB12="","",IF(INDEX(기본자료!$I$2:$I$501,$AB12)="","",INDEX(기본자료!$I$2:$I$501,$AB12)))</f>
        <v/>
      </c>
      <c r="L12" s="10">
        <f>IF($AB12="","",IF(INDEX(기본자료!$A$2:$A$501,$AB12)="","",INDEX(기본자료!$A$2:$A$501,$AB12)))</f>
        <v/>
      </c>
      <c r="M12" s="14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4" t="n"/>
      <c r="Q12" s="14" t="n"/>
      <c r="R12" s="14" t="n"/>
      <c r="S12" s="15" t="n"/>
      <c r="T12" s="15" t="n"/>
      <c r="U12" s="10">
        <f>IF(OR($B12="",$S12=""),"",IF(TODAY()&lt;$S12,"파견예정",IF(AND($T12&lt;&gt;"",TODAY()&gt;$T12),"파견종료","파견중")))</f>
        <v/>
      </c>
      <c r="V12" s="16">
        <f>IF(OR($S12="",$T12=""),"",$T12-$S12+1)</f>
        <v/>
      </c>
      <c r="W12" s="16">
        <f>IF(AND($U12="파견중",$T12&lt;&gt;""),$T12-TODAY(),"")</f>
        <v/>
      </c>
      <c r="X12" s="16">
        <f>IF(OR($B12="",$S12=""),"",MAX(0,MIN(IF($T12="",EOMONTH(요약!$B$3,0),$T12),EOMONTH(요약!$B$3,0))-MAX($S12,요약!$B$3)+1))</f>
        <v/>
      </c>
      <c r="Y12" s="10">
        <f>IF($B12="","",IF($AE12="","",IF(OR($S12="",$P12="",N($X12)&lt;=0),$AE12,IF($P12="다기관파견",$AE12,IF($AE12="구리병원",IF(AND($Q12&lt;&gt;"",N($X12)&gt;=요약!$E$3),$Q12,$AE12),IF(AND($P12="일반파견(단독)",$Q12&lt;&gt;""),$Q12,$AE12))))))</f>
        <v/>
      </c>
      <c r="Z12" s="17">
        <f>IF($B12="","",IF($AB12="","기본자료에 없는 사번",IF(COUNTIF($B$2:$B$201,$B12)&gt;1,"중복 사번",IF($M12="","입사장소 입력",IF(AND($P12&lt;&gt;"",$S12=""),"파견시작일 입력",IF(AND($S12&lt;&gt;"",$P12=""),"파견종류 입력",IF(AND($P12&lt;&gt;"",$P12&lt;&gt;"다기관파견",$Q12=""),"파견병원 입력",IF(IF($AC12="",0,N(INDEX(인턴근무계획!$T$3:$T$202,$AC12)))&gt;0,"인턴계획 입력오류 확인",IF(AND($AC12&lt;&gt;"",$U12&lt;&gt;"파견중",$N12&lt;&gt;$AE12),"인턴 타지역 근무: 파견 여부 확인","정상")))))))))</f>
        <v/>
      </c>
      <c r="AA12" s="5" t="n"/>
      <c r="AB12" s="10">
        <f>IF($B12="","",IFERROR(MATCH($B12,기본자료!$B$2:$B$501,0),IFERROR(MATCH($B12&amp;"",기본자료!$B$2:$B$501,0),IFERROR(MATCH(VALUE($B12),기본자료!$B$2:$B$501,0),""))))</f>
        <v/>
      </c>
      <c r="AC12" s="10">
        <f>IF($B12="","",IFERROR(MATCH($B12,인턴근무계획!$D$3:$D$202,0),IFERROR(MATCH($B12&amp;"",인턴근무계획!$D$3:$D$202,0),IFERROR(MATCH(VALUE($B12),인턴근무계획!$D$3:$D$202,0),""))))</f>
        <v/>
      </c>
      <c r="AD12" s="10">
        <f>IF(OR($AC12="",인턴현황!$G$3=""),"",INDEX(인턴근무계획!$M$3:$R$202,$AC12,인턴현황!$G$3)&amp;"")</f>
        <v/>
      </c>
      <c r="AE12" s="10">
        <f>IF($B12="","",IF($M12&lt;&gt;"",$M12,IF($H12="","",IF(RIGHT($H12,2)="병원",$H12,$H12&amp;"병원"))))</f>
        <v/>
      </c>
    </row>
    <row r="13">
      <c r="A13" s="10">
        <f>IF(B13="","",ROW()-1)</f>
        <v/>
      </c>
      <c r="B13" s="13" t="n"/>
      <c r="C13" s="10">
        <f>IF($AB13="","",IF(INDEX(기본자료!$C$2:$C$501,$AB13)="","",INDEX(기본자료!$C$2:$C$501,$AB13)))</f>
        <v/>
      </c>
      <c r="D13" s="10">
        <f>IF($AB13="","",IF(INDEX(기본자료!$J$2:$J$501,$AB13)="","",INDEX(기본자료!$J$2:$J$501,$AB13)))</f>
        <v/>
      </c>
      <c r="E13" s="11">
        <f>IF($AB13="","",IF(INDEX(기본자료!$K$2:$K$501,$AB13)="","",IF(NOT(ISNUMBER(INDEX(기본자료!$K$2:$K$501,$AB13))),INDEX(기본자료!$K$2:$K$501,$AB13),IF(INDEX(기본자료!$K$2:$K$501,$AB13)&lt;1000000,INDEX(기본자료!$K$2:$K$501,$AB13),IF(AND(INDEX(기본자료!$K$2:$K$501,$AB13)&gt;=10000101,INT(MOD(INDEX(기본자료!$K$2:$K$501,$AB13),10000)/100)&gt;=1,INT(MOD(INDEX(기본자료!$K$2:$K$501,$AB13),10000)/100)&lt;=12,MOD(INDEX(기본자료!$K$2:$K$501,$AB13),100)&gt;=1,MOD(INDEX(기본자료!$K$2:$K$501,$AB13),100)&lt;=31),DATE(INT(INDEX(기본자료!$K$2:$K$501,$AB13)/10000),INT(MOD(INDEX(기본자료!$K$2:$K$501,$AB13),10000)/100),MOD(INDEX(기본자료!$K$2:$K$501,$AB13),100)),INDEX(기본자료!$K$2:$K$501,$AB13)&amp;"")))))</f>
        <v/>
      </c>
      <c r="F13" s="10">
        <f>IF($AB13="","",IF(INDEX(기본자료!$D$2:$D$501,$AB13)="","",INDEX(기본자료!$D$2:$D$501,$AB13)))</f>
        <v/>
      </c>
      <c r="G13" s="10">
        <f>IF($AB13="","",IF(INDEX(기본자료!$E$2:$E$501,$AB13)="","",INDEX(기본자료!$E$2:$E$501,$AB13)))</f>
        <v/>
      </c>
      <c r="H13" s="10">
        <f>IF($AB13="","",IF(INDEX(기본자료!$F$2:$F$501,$AB13)="","",INDEX(기본자료!$F$2:$F$501,$AB13)))</f>
        <v/>
      </c>
      <c r="I13" s="11">
        <f>IF($AB13="","",IF(INDEX(기본자료!$G$2:$G$501,$AB13)="","",IF(NOT(ISNUMBER(INDEX(기본자료!$G$2:$G$501,$AB13))),INDEX(기본자료!$G$2:$G$501,$AB13),IF(INDEX(기본자료!$G$2:$G$501,$AB13)&lt;1000000,INDEX(기본자료!$G$2:$G$501,$AB13),IF(AND(INDEX(기본자료!$G$2:$G$501,$AB13)&gt;=10000101,INT(MOD(INDEX(기본자료!$G$2:$G$501,$AB13),10000)/100)&gt;=1,INT(MOD(INDEX(기본자료!$G$2:$G$501,$AB13),10000)/100)&lt;=12,MOD(INDEX(기본자료!$G$2:$G$501,$AB13),100)&gt;=1,MOD(INDEX(기본자료!$G$2:$G$501,$AB13),100)&lt;=31),DATE(INT(INDEX(기본자료!$G$2:$G$501,$AB13)/10000),INT(MOD(INDEX(기본자료!$G$2:$G$501,$AB13),10000)/100),MOD(INDEX(기본자료!$G$2:$G$501,$AB13),100)),INDEX(기본자료!$G$2:$G$501,$AB13)&amp;"")))))</f>
        <v/>
      </c>
      <c r="J13" s="10">
        <f>IF($AB13="","",IF(INDEX(기본자료!$H$2:$H$501,$AB13)="","",INDEX(기본자료!$H$2:$H$501,$AB13)))</f>
        <v/>
      </c>
      <c r="K13" s="10">
        <f>IF($AB13="","",IF(INDEX(기본자료!$I$2:$I$501,$AB13)="","",INDEX(기본자료!$I$2:$I$501,$AB13)))</f>
        <v/>
      </c>
      <c r="L13" s="10">
        <f>IF($AB13="","",IF(INDEX(기본자료!$A$2:$A$501,$AB13)="","",INDEX(기본자료!$A$2:$A$501,$AB13)))</f>
        <v/>
      </c>
      <c r="M13" s="14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4" t="n"/>
      <c r="Q13" s="14" t="n"/>
      <c r="R13" s="14" t="n"/>
      <c r="S13" s="15" t="n"/>
      <c r="T13" s="15" t="n"/>
      <c r="U13" s="10">
        <f>IF(OR($B13="",$S13=""),"",IF(TODAY()&lt;$S13,"파견예정",IF(AND($T13&lt;&gt;"",TODAY()&gt;$T13),"파견종료","파견중")))</f>
        <v/>
      </c>
      <c r="V13" s="16">
        <f>IF(OR($S13="",$T13=""),"",$T13-$S13+1)</f>
        <v/>
      </c>
      <c r="W13" s="16">
        <f>IF(AND($U13="파견중",$T13&lt;&gt;""),$T13-TODAY(),"")</f>
        <v/>
      </c>
      <c r="X13" s="16">
        <f>IF(OR($B13="",$S13=""),"",MAX(0,MIN(IF($T13="",EOMONTH(요약!$B$3,0),$T13),EOMONTH(요약!$B$3,0))-MAX($S13,요약!$B$3)+1))</f>
        <v/>
      </c>
      <c r="Y13" s="10">
        <f>IF($B13="","",IF($AE13="","",IF(OR($S13="",$P13="",N($X13)&lt;=0),$AE13,IF($P13="다기관파견",$AE13,IF($AE13="구리병원",IF(AND($Q13&lt;&gt;"",N($X13)&gt;=요약!$E$3),$Q13,$AE13),IF(AND($P13="일반파견(단독)",$Q13&lt;&gt;""),$Q13,$AE13))))))</f>
        <v/>
      </c>
      <c r="Z13" s="17">
        <f>IF($B13="","",IF($AB13="","기본자료에 없는 사번",IF(COUNTIF($B$2:$B$201,$B13)&gt;1,"중복 사번",IF($M13="","입사장소 입력",IF(AND($P13&lt;&gt;"",$S13=""),"파견시작일 입력",IF(AND($S13&lt;&gt;"",$P13=""),"파견종류 입력",IF(AND($P13&lt;&gt;"",$P13&lt;&gt;"다기관파견",$Q13=""),"파견병원 입력",IF(IF($AC13="",0,N(INDEX(인턴근무계획!$T$3:$T$202,$AC13)))&gt;0,"인턴계획 입력오류 확인",IF(AND($AC13&lt;&gt;"",$U13&lt;&gt;"파견중",$N13&lt;&gt;$AE13),"인턴 타지역 근무: 파견 여부 확인","정상")))))))))</f>
        <v/>
      </c>
      <c r="AA13" s="5" t="n"/>
      <c r="AB13" s="10">
        <f>IF($B13="","",IFERROR(MATCH($B13,기본자료!$B$2:$B$501,0),IFERROR(MATCH($B13&amp;"",기본자료!$B$2:$B$501,0),IFERROR(MATCH(VALUE($B13),기본자료!$B$2:$B$501,0),""))))</f>
        <v/>
      </c>
      <c r="AC13" s="10">
        <f>IF($B13="","",IFERROR(MATCH($B13,인턴근무계획!$D$3:$D$202,0),IFERROR(MATCH($B13&amp;"",인턴근무계획!$D$3:$D$202,0),IFERROR(MATCH(VALUE($B13),인턴근무계획!$D$3:$D$202,0),""))))</f>
        <v/>
      </c>
      <c r="AD13" s="10">
        <f>IF(OR($AC13="",인턴현황!$G$3=""),"",INDEX(인턴근무계획!$M$3:$R$202,$AC13,인턴현황!$G$3)&amp;"")</f>
        <v/>
      </c>
      <c r="AE13" s="10">
        <f>IF($B13="","",IF($M13&lt;&gt;"",$M13,IF($H13="","",IF(RIGHT($H13,2)="병원",$H13,$H13&amp;"병원"))))</f>
        <v/>
      </c>
    </row>
    <row r="14">
      <c r="A14" s="10">
        <f>IF(B14="","",ROW()-1)</f>
        <v/>
      </c>
      <c r="B14" s="13" t="n"/>
      <c r="C14" s="10">
        <f>IF($AB14="","",IF(INDEX(기본자료!$C$2:$C$501,$AB14)="","",INDEX(기본자료!$C$2:$C$501,$AB14)))</f>
        <v/>
      </c>
      <c r="D14" s="10">
        <f>IF($AB14="","",IF(INDEX(기본자료!$J$2:$J$501,$AB14)="","",INDEX(기본자료!$J$2:$J$501,$AB14)))</f>
        <v/>
      </c>
      <c r="E14" s="11">
        <f>IF($AB14="","",IF(INDEX(기본자료!$K$2:$K$501,$AB14)="","",IF(NOT(ISNUMBER(INDEX(기본자료!$K$2:$K$501,$AB14))),INDEX(기본자료!$K$2:$K$501,$AB14),IF(INDEX(기본자료!$K$2:$K$501,$AB14)&lt;1000000,INDEX(기본자료!$K$2:$K$501,$AB14),IF(AND(INDEX(기본자료!$K$2:$K$501,$AB14)&gt;=10000101,INT(MOD(INDEX(기본자료!$K$2:$K$501,$AB14),10000)/100)&gt;=1,INT(MOD(INDEX(기본자료!$K$2:$K$501,$AB14),10000)/100)&lt;=12,MOD(INDEX(기본자료!$K$2:$K$501,$AB14),100)&gt;=1,MOD(INDEX(기본자료!$K$2:$K$501,$AB14),100)&lt;=31),DATE(INT(INDEX(기본자료!$K$2:$K$501,$AB14)/10000),INT(MOD(INDEX(기본자료!$K$2:$K$501,$AB14),10000)/100),MOD(INDEX(기본자료!$K$2:$K$501,$AB14),100)),INDEX(기본자료!$K$2:$K$501,$AB14)&amp;"")))))</f>
        <v/>
      </c>
      <c r="F14" s="10">
        <f>IF($AB14="","",IF(INDEX(기본자료!$D$2:$D$501,$AB14)="","",INDEX(기본자료!$D$2:$D$501,$AB14)))</f>
        <v/>
      </c>
      <c r="G14" s="10">
        <f>IF($AB14="","",IF(INDEX(기본자료!$E$2:$E$501,$AB14)="","",INDEX(기본자료!$E$2:$E$501,$AB14)))</f>
        <v/>
      </c>
      <c r="H14" s="10">
        <f>IF($AB14="","",IF(INDEX(기본자료!$F$2:$F$501,$AB14)="","",INDEX(기본자료!$F$2:$F$501,$AB14)))</f>
        <v/>
      </c>
      <c r="I14" s="11">
        <f>IF($AB14="","",IF(INDEX(기본자료!$G$2:$G$501,$AB14)="","",IF(NOT(ISNUMBER(INDEX(기본자료!$G$2:$G$501,$AB14))),INDEX(기본자료!$G$2:$G$501,$AB14),IF(INDEX(기본자료!$G$2:$G$501,$AB14)&lt;1000000,INDEX(기본자료!$G$2:$G$501,$AB14),IF(AND(INDEX(기본자료!$G$2:$G$501,$AB14)&gt;=10000101,INT(MOD(INDEX(기본자료!$G$2:$G$501,$AB14),10000)/100)&gt;=1,INT(MOD(INDEX(기본자료!$G$2:$G$501,$AB14),10000)/100)&lt;=12,MOD(INDEX(기본자료!$G$2:$G$501,$AB14),100)&gt;=1,MOD(INDEX(기본자료!$G$2:$G$501,$AB14),100)&lt;=31),DATE(INT(INDEX(기본자료!$G$2:$G$501,$AB14)/10000),INT(MOD(INDEX(기본자료!$G$2:$G$501,$AB14),10000)/100),MOD(INDEX(기본자료!$G$2:$G$501,$AB14),100)),INDEX(기본자료!$G$2:$G$501,$AB14)&amp;"")))))</f>
        <v/>
      </c>
      <c r="J14" s="10">
        <f>IF($AB14="","",IF(INDEX(기본자료!$H$2:$H$501,$AB14)="","",INDEX(기본자료!$H$2:$H$501,$AB14)))</f>
        <v/>
      </c>
      <c r="K14" s="10">
        <f>IF($AB14="","",IF(INDEX(기본자료!$I$2:$I$501,$AB14)="","",INDEX(기본자료!$I$2:$I$501,$AB14)))</f>
        <v/>
      </c>
      <c r="L14" s="10">
        <f>IF($AB14="","",IF(INDEX(기본자료!$A$2:$A$501,$AB14)="","",INDEX(기본자료!$A$2:$A$501,$AB14)))</f>
        <v/>
      </c>
      <c r="M14" s="14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4" t="n"/>
      <c r="Q14" s="14" t="n"/>
      <c r="R14" s="14" t="n"/>
      <c r="S14" s="15" t="n"/>
      <c r="T14" s="15" t="n"/>
      <c r="U14" s="10">
        <f>IF(OR($B14="",$S14=""),"",IF(TODAY()&lt;$S14,"파견예정",IF(AND($T14&lt;&gt;"",TODAY()&gt;$T14),"파견종료","파견중")))</f>
        <v/>
      </c>
      <c r="V14" s="16">
        <f>IF(OR($S14="",$T14=""),"",$T14-$S14+1)</f>
        <v/>
      </c>
      <c r="W14" s="16">
        <f>IF(AND($U14="파견중",$T14&lt;&gt;""),$T14-TODAY(),"")</f>
        <v/>
      </c>
      <c r="X14" s="16">
        <f>IF(OR($B14="",$S14=""),"",MAX(0,MIN(IF($T14="",EOMONTH(요약!$B$3,0),$T14),EOMONTH(요약!$B$3,0))-MAX($S14,요약!$B$3)+1))</f>
        <v/>
      </c>
      <c r="Y14" s="10">
        <f>IF($B14="","",IF($AE14="","",IF(OR($S14="",$P14="",N($X14)&lt;=0),$AE14,IF($P14="다기관파견",$AE14,IF($AE14="구리병원",IF(AND($Q14&lt;&gt;"",N($X14)&gt;=요약!$E$3),$Q14,$AE14),IF(AND($P14="일반파견(단독)",$Q14&lt;&gt;""),$Q14,$AE14))))))</f>
        <v/>
      </c>
      <c r="Z14" s="17">
        <f>IF($B14="","",IF($AB14="","기본자료에 없는 사번",IF(COUNTIF($B$2:$B$201,$B14)&gt;1,"중복 사번",IF($M14="","입사장소 입력",IF(AND($P14&lt;&gt;"",$S14=""),"파견시작일 입력",IF(AND($S14&lt;&gt;"",$P14=""),"파견종류 입력",IF(AND($P14&lt;&gt;"",$P14&lt;&gt;"다기관파견",$Q14=""),"파견병원 입력",IF(IF($AC14="",0,N(INDEX(인턴근무계획!$T$3:$T$202,$AC14)))&gt;0,"인턴계획 입력오류 확인",IF(AND($AC14&lt;&gt;"",$U14&lt;&gt;"파견중",$N14&lt;&gt;$AE14),"인턴 타지역 근무: 파견 여부 확인","정상")))))))))</f>
        <v/>
      </c>
      <c r="AA14" s="5" t="n"/>
      <c r="AB14" s="10">
        <f>IF($B14="","",IFERROR(MATCH($B14,기본자료!$B$2:$B$501,0),IFERROR(MATCH($B14&amp;"",기본자료!$B$2:$B$501,0),IFERROR(MATCH(VALUE($B14),기본자료!$B$2:$B$501,0),""))))</f>
        <v/>
      </c>
      <c r="AC14" s="10">
        <f>IF($B14="","",IFERROR(MATCH($B14,인턴근무계획!$D$3:$D$202,0),IFERROR(MATCH($B14&amp;"",인턴근무계획!$D$3:$D$202,0),IFERROR(MATCH(VALUE($B14),인턴근무계획!$D$3:$D$202,0),""))))</f>
        <v/>
      </c>
      <c r="AD14" s="10">
        <f>IF(OR($AC14="",인턴현황!$G$3=""),"",INDEX(인턴근무계획!$M$3:$R$202,$AC14,인턴현황!$G$3)&amp;"")</f>
        <v/>
      </c>
      <c r="AE14" s="10">
        <f>IF($B14="","",IF($M14&lt;&gt;"",$M14,IF($H14="","",IF(RIGHT($H14,2)="병원",$H14,$H14&amp;"병원"))))</f>
        <v/>
      </c>
    </row>
    <row r="15">
      <c r="A15" s="10">
        <f>IF(B15="","",ROW()-1)</f>
        <v/>
      </c>
      <c r="B15" s="13" t="n"/>
      <c r="C15" s="10">
        <f>IF($AB15="","",IF(INDEX(기본자료!$C$2:$C$501,$AB15)="","",INDEX(기본자료!$C$2:$C$501,$AB15)))</f>
        <v/>
      </c>
      <c r="D15" s="10">
        <f>IF($AB15="","",IF(INDEX(기본자료!$J$2:$J$501,$AB15)="","",INDEX(기본자료!$J$2:$J$501,$AB15)))</f>
        <v/>
      </c>
      <c r="E15" s="11">
        <f>IF($AB15="","",IF(INDEX(기본자료!$K$2:$K$501,$AB15)="","",IF(NOT(ISNUMBER(INDEX(기본자료!$K$2:$K$501,$AB15))),INDEX(기본자료!$K$2:$K$501,$AB15),IF(INDEX(기본자료!$K$2:$K$501,$AB15)&lt;1000000,INDEX(기본자료!$K$2:$K$501,$AB15),IF(AND(INDEX(기본자료!$K$2:$K$501,$AB15)&gt;=10000101,INT(MOD(INDEX(기본자료!$K$2:$K$501,$AB15),10000)/100)&gt;=1,INT(MOD(INDEX(기본자료!$K$2:$K$501,$AB15),10000)/100)&lt;=12,MOD(INDEX(기본자료!$K$2:$K$501,$AB15),100)&gt;=1,MOD(INDEX(기본자료!$K$2:$K$501,$AB15),100)&lt;=31),DATE(INT(INDEX(기본자료!$K$2:$K$501,$AB15)/10000),INT(MOD(INDEX(기본자료!$K$2:$K$501,$AB15),10000)/100),MOD(INDEX(기본자료!$K$2:$K$501,$AB15),100)),INDEX(기본자료!$K$2:$K$501,$AB15)&amp;"")))))</f>
        <v/>
      </c>
      <c r="F15" s="10">
        <f>IF($AB15="","",IF(INDEX(기본자료!$D$2:$D$501,$AB15)="","",INDEX(기본자료!$D$2:$D$501,$AB15)))</f>
        <v/>
      </c>
      <c r="G15" s="10">
        <f>IF($AB15="","",IF(INDEX(기본자료!$E$2:$E$501,$AB15)="","",INDEX(기본자료!$E$2:$E$501,$AB15)))</f>
        <v/>
      </c>
      <c r="H15" s="10">
        <f>IF($AB15="","",IF(INDEX(기본자료!$F$2:$F$501,$AB15)="","",INDEX(기본자료!$F$2:$F$501,$AB15)))</f>
        <v/>
      </c>
      <c r="I15" s="11">
        <f>IF($AB15="","",IF(INDEX(기본자료!$G$2:$G$501,$AB15)="","",IF(NOT(ISNUMBER(INDEX(기본자료!$G$2:$G$501,$AB15))),INDEX(기본자료!$G$2:$G$501,$AB15),IF(INDEX(기본자료!$G$2:$G$501,$AB15)&lt;1000000,INDEX(기본자료!$G$2:$G$501,$AB15),IF(AND(INDEX(기본자료!$G$2:$G$501,$AB15)&gt;=10000101,INT(MOD(INDEX(기본자료!$G$2:$G$501,$AB15),10000)/100)&gt;=1,INT(MOD(INDEX(기본자료!$G$2:$G$501,$AB15),10000)/100)&lt;=12,MOD(INDEX(기본자료!$G$2:$G$501,$AB15),100)&gt;=1,MOD(INDEX(기본자료!$G$2:$G$501,$AB15),100)&lt;=31),DATE(INT(INDEX(기본자료!$G$2:$G$501,$AB15)/10000),INT(MOD(INDEX(기본자료!$G$2:$G$501,$AB15),10000)/100),MOD(INDEX(기본자료!$G$2:$G$501,$AB15),100)),INDEX(기본자료!$G$2:$G$501,$AB15)&amp;"")))))</f>
        <v/>
      </c>
      <c r="J15" s="10">
        <f>IF($AB15="","",IF(INDEX(기본자료!$H$2:$H$501,$AB15)="","",INDEX(기본자료!$H$2:$H$501,$AB15)))</f>
        <v/>
      </c>
      <c r="K15" s="10">
        <f>IF($AB15="","",IF(INDEX(기본자료!$I$2:$I$501,$AB15)="","",INDEX(기본자료!$I$2:$I$501,$AB15)))</f>
        <v/>
      </c>
      <c r="L15" s="10">
        <f>IF($AB15="","",IF(INDEX(기본자료!$A$2:$A$501,$AB15)="","",INDEX(기본자료!$A$2:$A$501,$AB15)))</f>
        <v/>
      </c>
      <c r="M15" s="14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4" t="n"/>
      <c r="Q15" s="14" t="n"/>
      <c r="R15" s="14" t="n"/>
      <c r="S15" s="15" t="n"/>
      <c r="T15" s="15" t="n"/>
      <c r="U15" s="10">
        <f>IF(OR($B15="",$S15=""),"",IF(TODAY()&lt;$S15,"파견예정",IF(AND($T15&lt;&gt;"",TODAY()&gt;$T15),"파견종료","파견중")))</f>
        <v/>
      </c>
      <c r="V15" s="16">
        <f>IF(OR($S15="",$T15=""),"",$T15-$S15+1)</f>
        <v/>
      </c>
      <c r="W15" s="16">
        <f>IF(AND($U15="파견중",$T15&lt;&gt;""),$T15-TODAY(),"")</f>
        <v/>
      </c>
      <c r="X15" s="16">
        <f>IF(OR($B15="",$S15=""),"",MAX(0,MIN(IF($T15="",EOMONTH(요약!$B$3,0),$T15),EOMONTH(요약!$B$3,0))-MAX($S15,요약!$B$3)+1))</f>
        <v/>
      </c>
      <c r="Y15" s="10">
        <f>IF($B15="","",IF($AE15="","",IF(OR($S15="",$P15="",N($X15)&lt;=0),$AE15,IF($P15="다기관파견",$AE15,IF($AE15="구리병원",IF(AND($Q15&lt;&gt;"",N($X15)&gt;=요약!$E$3),$Q15,$AE15),IF(AND($P15="일반파견(단독)",$Q15&lt;&gt;""),$Q15,$AE15))))))</f>
        <v/>
      </c>
      <c r="Z15" s="17">
        <f>IF($B15="","",IF($AB15="","기본자료에 없는 사번",IF(COUNTIF($B$2:$B$201,$B15)&gt;1,"중복 사번",IF($M15="","입사장소 입력",IF(AND($P15&lt;&gt;"",$S15=""),"파견시작일 입력",IF(AND($S15&lt;&gt;"",$P15=""),"파견종류 입력",IF(AND($P15&lt;&gt;"",$P15&lt;&gt;"다기관파견",$Q15=""),"파견병원 입력",IF(IF($AC15="",0,N(INDEX(인턴근무계획!$T$3:$T$202,$AC15)))&gt;0,"인턴계획 입력오류 확인",IF(AND($AC15&lt;&gt;"",$U15&lt;&gt;"파견중",$N15&lt;&gt;$AE15),"인턴 타지역 근무: 파견 여부 확인","정상")))))))))</f>
        <v/>
      </c>
      <c r="AA15" s="5" t="n"/>
      <c r="AB15" s="10">
        <f>IF($B15="","",IFERROR(MATCH($B15,기본자료!$B$2:$B$501,0),IFERROR(MATCH($B15&amp;"",기본자료!$B$2:$B$501,0),IFERROR(MATCH(VALUE($B15),기본자료!$B$2:$B$501,0),""))))</f>
        <v/>
      </c>
      <c r="AC15" s="10">
        <f>IF($B15="","",IFERROR(MATCH($B15,인턴근무계획!$D$3:$D$202,0),IFERROR(MATCH($B15&amp;"",인턴근무계획!$D$3:$D$202,0),IFERROR(MATCH(VALUE($B15),인턴근무계획!$D$3:$D$202,0),""))))</f>
        <v/>
      </c>
      <c r="AD15" s="10">
        <f>IF(OR($AC15="",인턴현황!$G$3=""),"",INDEX(인턴근무계획!$M$3:$R$202,$AC15,인턴현황!$G$3)&amp;"")</f>
        <v/>
      </c>
      <c r="AE15" s="10">
        <f>IF($B15="","",IF($M15&lt;&gt;"",$M15,IF($H15="","",IF(RIGHT($H15,2)="병원",$H15,$H15&amp;"병원"))))</f>
        <v/>
      </c>
    </row>
    <row r="16">
      <c r="A16" s="10">
        <f>IF(B16="","",ROW()-1)</f>
        <v/>
      </c>
      <c r="B16" s="13" t="n"/>
      <c r="C16" s="10">
        <f>IF($AB16="","",IF(INDEX(기본자료!$C$2:$C$501,$AB16)="","",INDEX(기본자료!$C$2:$C$501,$AB16)))</f>
        <v/>
      </c>
      <c r="D16" s="10">
        <f>IF($AB16="","",IF(INDEX(기본자료!$J$2:$J$501,$AB16)="","",INDEX(기본자료!$J$2:$J$501,$AB16)))</f>
        <v/>
      </c>
      <c r="E16" s="11">
        <f>IF($AB16="","",IF(INDEX(기본자료!$K$2:$K$501,$AB16)="","",IF(NOT(ISNUMBER(INDEX(기본자료!$K$2:$K$501,$AB16))),INDEX(기본자료!$K$2:$K$501,$AB16),IF(INDEX(기본자료!$K$2:$K$501,$AB16)&lt;1000000,INDEX(기본자료!$K$2:$K$501,$AB16),IF(AND(INDEX(기본자료!$K$2:$K$501,$AB16)&gt;=10000101,INT(MOD(INDEX(기본자료!$K$2:$K$501,$AB16),10000)/100)&gt;=1,INT(MOD(INDEX(기본자료!$K$2:$K$501,$AB16),10000)/100)&lt;=12,MOD(INDEX(기본자료!$K$2:$K$501,$AB16),100)&gt;=1,MOD(INDEX(기본자료!$K$2:$K$501,$AB16),100)&lt;=31),DATE(INT(INDEX(기본자료!$K$2:$K$501,$AB16)/10000),INT(MOD(INDEX(기본자료!$K$2:$K$501,$AB16),10000)/100),MOD(INDEX(기본자료!$K$2:$K$501,$AB16),100)),INDEX(기본자료!$K$2:$K$501,$AB16)&amp;"")))))</f>
        <v/>
      </c>
      <c r="F16" s="10">
        <f>IF($AB16="","",IF(INDEX(기본자료!$D$2:$D$501,$AB16)="","",INDEX(기본자료!$D$2:$D$501,$AB16)))</f>
        <v/>
      </c>
      <c r="G16" s="10">
        <f>IF($AB16="","",IF(INDEX(기본자료!$E$2:$E$501,$AB16)="","",INDEX(기본자료!$E$2:$E$501,$AB16)))</f>
        <v/>
      </c>
      <c r="H16" s="10">
        <f>IF($AB16="","",IF(INDEX(기본자료!$F$2:$F$501,$AB16)="","",INDEX(기본자료!$F$2:$F$501,$AB16)))</f>
        <v/>
      </c>
      <c r="I16" s="11">
        <f>IF($AB16="","",IF(INDEX(기본자료!$G$2:$G$501,$AB16)="","",IF(NOT(ISNUMBER(INDEX(기본자료!$G$2:$G$501,$AB16))),INDEX(기본자료!$G$2:$G$501,$AB16),IF(INDEX(기본자료!$G$2:$G$501,$AB16)&lt;1000000,INDEX(기본자료!$G$2:$G$501,$AB16),IF(AND(INDEX(기본자료!$G$2:$G$501,$AB16)&gt;=10000101,INT(MOD(INDEX(기본자료!$G$2:$G$501,$AB16),10000)/100)&gt;=1,INT(MOD(INDEX(기본자료!$G$2:$G$501,$AB16),10000)/100)&lt;=12,MOD(INDEX(기본자료!$G$2:$G$501,$AB16),100)&gt;=1,MOD(INDEX(기본자료!$G$2:$G$501,$AB16),100)&lt;=31),DATE(INT(INDEX(기본자료!$G$2:$G$501,$AB16)/10000),INT(MOD(INDEX(기본자료!$G$2:$G$501,$AB16),10000)/100),MOD(INDEX(기본자료!$G$2:$G$501,$AB16),100)),INDEX(기본자료!$G$2:$G$501,$AB16)&amp;"")))))</f>
        <v/>
      </c>
      <c r="J16" s="10">
        <f>IF($AB16="","",IF(INDEX(기본자료!$H$2:$H$501,$AB16)="","",INDEX(기본자료!$H$2:$H$501,$AB16)))</f>
        <v/>
      </c>
      <c r="K16" s="10">
        <f>IF($AB16="","",IF(INDEX(기본자료!$I$2:$I$501,$AB16)="","",INDEX(기본자료!$I$2:$I$501,$AB16)))</f>
        <v/>
      </c>
      <c r="L16" s="10">
        <f>IF($AB16="","",IF(INDEX(기본자료!$A$2:$A$501,$AB16)="","",INDEX(기본자료!$A$2:$A$501,$AB16)))</f>
        <v/>
      </c>
      <c r="M16" s="14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4" t="n"/>
      <c r="Q16" s="14" t="n"/>
      <c r="R16" s="14" t="n"/>
      <c r="S16" s="15" t="n"/>
      <c r="T16" s="15" t="n"/>
      <c r="U16" s="10">
        <f>IF(OR($B16="",$S16=""),"",IF(TODAY()&lt;$S16,"파견예정",IF(AND($T16&lt;&gt;"",TODAY()&gt;$T16),"파견종료","파견중")))</f>
        <v/>
      </c>
      <c r="V16" s="16">
        <f>IF(OR($S16="",$T16=""),"",$T16-$S16+1)</f>
        <v/>
      </c>
      <c r="W16" s="16">
        <f>IF(AND($U16="파견중",$T16&lt;&gt;""),$T16-TODAY(),"")</f>
        <v/>
      </c>
      <c r="X16" s="16">
        <f>IF(OR($B16="",$S16=""),"",MAX(0,MIN(IF($T16="",EOMONTH(요약!$B$3,0),$T16),EOMONTH(요약!$B$3,0))-MAX($S16,요약!$B$3)+1))</f>
        <v/>
      </c>
      <c r="Y16" s="10">
        <f>IF($B16="","",IF($AE16="","",IF(OR($S16="",$P16="",N($X16)&lt;=0),$AE16,IF($P16="다기관파견",$AE16,IF($AE16="구리병원",IF(AND($Q16&lt;&gt;"",N($X16)&gt;=요약!$E$3),$Q16,$AE16),IF(AND($P16="일반파견(단독)",$Q16&lt;&gt;""),$Q16,$AE16))))))</f>
        <v/>
      </c>
      <c r="Z16" s="17">
        <f>IF($B16="","",IF($AB16="","기본자료에 없는 사번",IF(COUNTIF($B$2:$B$201,$B16)&gt;1,"중복 사번",IF($M16="","입사장소 입력",IF(AND($P16&lt;&gt;"",$S16=""),"파견시작일 입력",IF(AND($S16&lt;&gt;"",$P16=""),"파견종류 입력",IF(AND($P16&lt;&gt;"",$P16&lt;&gt;"다기관파견",$Q16=""),"파견병원 입력",IF(IF($AC16="",0,N(INDEX(인턴근무계획!$T$3:$T$202,$AC16)))&gt;0,"인턴계획 입력오류 확인",IF(AND($AC16&lt;&gt;"",$U16&lt;&gt;"파견중",$N16&lt;&gt;$AE16),"인턴 타지역 근무: 파견 여부 확인","정상")))))))))</f>
        <v/>
      </c>
      <c r="AA16" s="5" t="n"/>
      <c r="AB16" s="10">
        <f>IF($B16="","",IFERROR(MATCH($B16,기본자료!$B$2:$B$501,0),IFERROR(MATCH($B16&amp;"",기본자료!$B$2:$B$501,0),IFERROR(MATCH(VALUE($B16),기본자료!$B$2:$B$501,0),""))))</f>
        <v/>
      </c>
      <c r="AC16" s="10">
        <f>IF($B16="","",IFERROR(MATCH($B16,인턴근무계획!$D$3:$D$202,0),IFERROR(MATCH($B16&amp;"",인턴근무계획!$D$3:$D$202,0),IFERROR(MATCH(VALUE($B16),인턴근무계획!$D$3:$D$202,0),""))))</f>
        <v/>
      </c>
      <c r="AD16" s="10">
        <f>IF(OR($AC16="",인턴현황!$G$3=""),"",INDEX(인턴근무계획!$M$3:$R$202,$AC16,인턴현황!$G$3)&amp;"")</f>
        <v/>
      </c>
      <c r="AE16" s="10">
        <f>IF($B16="","",IF($M16&lt;&gt;"",$M16,IF($H16="","",IF(RIGHT($H16,2)="병원",$H16,$H16&amp;"병원"))))</f>
        <v/>
      </c>
    </row>
    <row r="17">
      <c r="A17" s="10">
        <f>IF(B17="","",ROW()-1)</f>
        <v/>
      </c>
      <c r="B17" s="13" t="n"/>
      <c r="C17" s="10">
        <f>IF($AB17="","",IF(INDEX(기본자료!$C$2:$C$501,$AB17)="","",INDEX(기본자료!$C$2:$C$501,$AB17)))</f>
        <v/>
      </c>
      <c r="D17" s="10">
        <f>IF($AB17="","",IF(INDEX(기본자료!$J$2:$J$501,$AB17)="","",INDEX(기본자료!$J$2:$J$501,$AB17)))</f>
        <v/>
      </c>
      <c r="E17" s="11">
        <f>IF($AB17="","",IF(INDEX(기본자료!$K$2:$K$501,$AB17)="","",IF(NOT(ISNUMBER(INDEX(기본자료!$K$2:$K$501,$AB17))),INDEX(기본자료!$K$2:$K$501,$AB17),IF(INDEX(기본자료!$K$2:$K$501,$AB17)&lt;1000000,INDEX(기본자료!$K$2:$K$501,$AB17),IF(AND(INDEX(기본자료!$K$2:$K$501,$AB17)&gt;=10000101,INT(MOD(INDEX(기본자료!$K$2:$K$501,$AB17),10000)/100)&gt;=1,INT(MOD(INDEX(기본자료!$K$2:$K$501,$AB17),10000)/100)&lt;=12,MOD(INDEX(기본자료!$K$2:$K$501,$AB17),100)&gt;=1,MOD(INDEX(기본자료!$K$2:$K$501,$AB17),100)&lt;=31),DATE(INT(INDEX(기본자료!$K$2:$K$501,$AB17)/10000),INT(MOD(INDEX(기본자료!$K$2:$K$501,$AB17),10000)/100),MOD(INDEX(기본자료!$K$2:$K$501,$AB17),100)),INDEX(기본자료!$K$2:$K$501,$AB17)&amp;"")))))</f>
        <v/>
      </c>
      <c r="F17" s="10">
        <f>IF($AB17="","",IF(INDEX(기본자료!$D$2:$D$501,$AB17)="","",INDEX(기본자료!$D$2:$D$501,$AB17)))</f>
        <v/>
      </c>
      <c r="G17" s="10">
        <f>IF($AB17="","",IF(INDEX(기본자료!$E$2:$E$501,$AB17)="","",INDEX(기본자료!$E$2:$E$501,$AB17)))</f>
        <v/>
      </c>
      <c r="H17" s="10">
        <f>IF($AB17="","",IF(INDEX(기본자료!$F$2:$F$501,$AB17)="","",INDEX(기본자료!$F$2:$F$501,$AB17)))</f>
        <v/>
      </c>
      <c r="I17" s="11">
        <f>IF($AB17="","",IF(INDEX(기본자료!$G$2:$G$501,$AB17)="","",IF(NOT(ISNUMBER(INDEX(기본자료!$G$2:$G$501,$AB17))),INDEX(기본자료!$G$2:$G$501,$AB17),IF(INDEX(기본자료!$G$2:$G$501,$AB17)&lt;1000000,INDEX(기본자료!$G$2:$G$501,$AB17),IF(AND(INDEX(기본자료!$G$2:$G$501,$AB17)&gt;=10000101,INT(MOD(INDEX(기본자료!$G$2:$G$501,$AB17),10000)/100)&gt;=1,INT(MOD(INDEX(기본자료!$G$2:$G$501,$AB17),10000)/100)&lt;=12,MOD(INDEX(기본자료!$G$2:$G$501,$AB17),100)&gt;=1,MOD(INDEX(기본자료!$G$2:$G$501,$AB17),100)&lt;=31),DATE(INT(INDEX(기본자료!$G$2:$G$501,$AB17)/10000),INT(MOD(INDEX(기본자료!$G$2:$G$501,$AB17),10000)/100),MOD(INDEX(기본자료!$G$2:$G$501,$AB17),100)),INDEX(기본자료!$G$2:$G$501,$AB17)&amp;"")))))</f>
        <v/>
      </c>
      <c r="J17" s="10">
        <f>IF($AB17="","",IF(INDEX(기본자료!$H$2:$H$501,$AB17)="","",INDEX(기본자료!$H$2:$H$501,$AB17)))</f>
        <v/>
      </c>
      <c r="K17" s="10">
        <f>IF($AB17="","",IF(INDEX(기본자료!$I$2:$I$501,$AB17)="","",INDEX(기본자료!$I$2:$I$501,$AB17)))</f>
        <v/>
      </c>
      <c r="L17" s="10">
        <f>IF($AB17="","",IF(INDEX(기본자료!$A$2:$A$501,$AB17)="","",INDEX(기본자료!$A$2:$A$501,$AB17)))</f>
        <v/>
      </c>
      <c r="M17" s="14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4" t="n"/>
      <c r="Q17" s="14" t="n"/>
      <c r="R17" s="14" t="n"/>
      <c r="S17" s="15" t="n"/>
      <c r="T17" s="15" t="n"/>
      <c r="U17" s="10">
        <f>IF(OR($B17="",$S17=""),"",IF(TODAY()&lt;$S17,"파견예정",IF(AND($T17&lt;&gt;"",TODAY()&gt;$T17),"파견종료","파견중")))</f>
        <v/>
      </c>
      <c r="V17" s="16">
        <f>IF(OR($S17="",$T17=""),"",$T17-$S17+1)</f>
        <v/>
      </c>
      <c r="W17" s="16">
        <f>IF(AND($U17="파견중",$T17&lt;&gt;""),$T17-TODAY(),"")</f>
        <v/>
      </c>
      <c r="X17" s="16">
        <f>IF(OR($B17="",$S17=""),"",MAX(0,MIN(IF($T17="",EOMONTH(요약!$B$3,0),$T17),EOMONTH(요약!$B$3,0))-MAX($S17,요약!$B$3)+1))</f>
        <v/>
      </c>
      <c r="Y17" s="10">
        <f>IF($B17="","",IF($AE17="","",IF(OR($S17="",$P17="",N($X17)&lt;=0),$AE17,IF($P17="다기관파견",$AE17,IF($AE17="구리병원",IF(AND($Q17&lt;&gt;"",N($X17)&gt;=요약!$E$3),$Q17,$AE17),IF(AND($P17="일반파견(단독)",$Q17&lt;&gt;""),$Q17,$AE17))))))</f>
        <v/>
      </c>
      <c r="Z17" s="17">
        <f>IF($B17="","",IF($AB17="","기본자료에 없는 사번",IF(COUNTIF($B$2:$B$201,$B17)&gt;1,"중복 사번",IF($M17="","입사장소 입력",IF(AND($P17&lt;&gt;"",$S17=""),"파견시작일 입력",IF(AND($S17&lt;&gt;"",$P17=""),"파견종류 입력",IF(AND($P17&lt;&gt;"",$P17&lt;&gt;"다기관파견",$Q17=""),"파견병원 입력",IF(IF($AC17="",0,N(INDEX(인턴근무계획!$T$3:$T$202,$AC17)))&gt;0,"인턴계획 입력오류 확인",IF(AND($AC17&lt;&gt;"",$U17&lt;&gt;"파견중",$N17&lt;&gt;$AE17),"인턴 타지역 근무: 파견 여부 확인","정상")))))))))</f>
        <v/>
      </c>
      <c r="AA17" s="5" t="n"/>
      <c r="AB17" s="10">
        <f>IF($B17="","",IFERROR(MATCH($B17,기본자료!$B$2:$B$501,0),IFERROR(MATCH($B17&amp;"",기본자료!$B$2:$B$501,0),IFERROR(MATCH(VALUE($B17),기본자료!$B$2:$B$501,0),""))))</f>
        <v/>
      </c>
      <c r="AC17" s="10">
        <f>IF($B17="","",IFERROR(MATCH($B17,인턴근무계획!$D$3:$D$202,0),IFERROR(MATCH($B17&amp;"",인턴근무계획!$D$3:$D$202,0),IFERROR(MATCH(VALUE($B17),인턴근무계획!$D$3:$D$202,0),""))))</f>
        <v/>
      </c>
      <c r="AD17" s="10">
        <f>IF(OR($AC17="",인턴현황!$G$3=""),"",INDEX(인턴근무계획!$M$3:$R$202,$AC17,인턴현황!$G$3)&amp;"")</f>
        <v/>
      </c>
      <c r="AE17" s="10">
        <f>IF($B17="","",IF($M17&lt;&gt;"",$M17,IF($H17="","",IF(RIGHT($H17,2)="병원",$H17,$H17&amp;"병원"))))</f>
        <v/>
      </c>
    </row>
    <row r="18">
      <c r="A18" s="10">
        <f>IF(B18="","",ROW()-1)</f>
        <v/>
      </c>
      <c r="B18" s="13" t="n"/>
      <c r="C18" s="10">
        <f>IF($AB18="","",IF(INDEX(기본자료!$C$2:$C$501,$AB18)="","",INDEX(기본자료!$C$2:$C$501,$AB18)))</f>
        <v/>
      </c>
      <c r="D18" s="10">
        <f>IF($AB18="","",IF(INDEX(기본자료!$J$2:$J$501,$AB18)="","",INDEX(기본자료!$J$2:$J$501,$AB18)))</f>
        <v/>
      </c>
      <c r="E18" s="11">
        <f>IF($AB18="","",IF(INDEX(기본자료!$K$2:$K$501,$AB18)="","",IF(NOT(ISNUMBER(INDEX(기본자료!$K$2:$K$501,$AB18))),INDEX(기본자료!$K$2:$K$501,$AB18),IF(INDEX(기본자료!$K$2:$K$501,$AB18)&lt;1000000,INDEX(기본자료!$K$2:$K$501,$AB18),IF(AND(INDEX(기본자료!$K$2:$K$501,$AB18)&gt;=10000101,INT(MOD(INDEX(기본자료!$K$2:$K$501,$AB18),10000)/100)&gt;=1,INT(MOD(INDEX(기본자료!$K$2:$K$501,$AB18),10000)/100)&lt;=12,MOD(INDEX(기본자료!$K$2:$K$501,$AB18),100)&gt;=1,MOD(INDEX(기본자료!$K$2:$K$501,$AB18),100)&lt;=31),DATE(INT(INDEX(기본자료!$K$2:$K$501,$AB18)/10000),INT(MOD(INDEX(기본자료!$K$2:$K$501,$AB18),10000)/100),MOD(INDEX(기본자료!$K$2:$K$501,$AB18),100)),INDEX(기본자료!$K$2:$K$501,$AB18)&amp;"")))))</f>
        <v/>
      </c>
      <c r="F18" s="10">
        <f>IF($AB18="","",IF(INDEX(기본자료!$D$2:$D$501,$AB18)="","",INDEX(기본자료!$D$2:$D$501,$AB18)))</f>
        <v/>
      </c>
      <c r="G18" s="10">
        <f>IF($AB18="","",IF(INDEX(기본자료!$E$2:$E$501,$AB18)="","",INDEX(기본자료!$E$2:$E$501,$AB18)))</f>
        <v/>
      </c>
      <c r="H18" s="10">
        <f>IF($AB18="","",IF(INDEX(기본자료!$F$2:$F$501,$AB18)="","",INDEX(기본자료!$F$2:$F$501,$AB18)))</f>
        <v/>
      </c>
      <c r="I18" s="11">
        <f>IF($AB18="","",IF(INDEX(기본자료!$G$2:$G$501,$AB18)="","",IF(NOT(ISNUMBER(INDEX(기본자료!$G$2:$G$501,$AB18))),INDEX(기본자료!$G$2:$G$501,$AB18),IF(INDEX(기본자료!$G$2:$G$501,$AB18)&lt;1000000,INDEX(기본자료!$G$2:$G$501,$AB18),IF(AND(INDEX(기본자료!$G$2:$G$501,$AB18)&gt;=10000101,INT(MOD(INDEX(기본자료!$G$2:$G$501,$AB18),10000)/100)&gt;=1,INT(MOD(INDEX(기본자료!$G$2:$G$501,$AB18),10000)/100)&lt;=12,MOD(INDEX(기본자료!$G$2:$G$501,$AB18),100)&gt;=1,MOD(INDEX(기본자료!$G$2:$G$501,$AB18),100)&lt;=31),DATE(INT(INDEX(기본자료!$G$2:$G$501,$AB18)/10000),INT(MOD(INDEX(기본자료!$G$2:$G$501,$AB18),10000)/100),MOD(INDEX(기본자료!$G$2:$G$501,$AB18),100)),INDEX(기본자료!$G$2:$G$501,$AB18)&amp;"")))))</f>
        <v/>
      </c>
      <c r="J18" s="10">
        <f>IF($AB18="","",IF(INDEX(기본자료!$H$2:$H$501,$AB18)="","",INDEX(기본자료!$H$2:$H$501,$AB18)))</f>
        <v/>
      </c>
      <c r="K18" s="10">
        <f>IF($AB18="","",IF(INDEX(기본자료!$I$2:$I$501,$AB18)="","",INDEX(기본자료!$I$2:$I$501,$AB18)))</f>
        <v/>
      </c>
      <c r="L18" s="10">
        <f>IF($AB18="","",IF(INDEX(기본자료!$A$2:$A$501,$AB18)="","",INDEX(기본자료!$A$2:$A$501,$AB18)))</f>
        <v/>
      </c>
      <c r="M18" s="14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4" t="n"/>
      <c r="Q18" s="14" t="n"/>
      <c r="R18" s="14" t="n"/>
      <c r="S18" s="15" t="n"/>
      <c r="T18" s="15" t="n"/>
      <c r="U18" s="10">
        <f>IF(OR($B18="",$S18=""),"",IF(TODAY()&lt;$S18,"파견예정",IF(AND($T18&lt;&gt;"",TODAY()&gt;$T18),"파견종료","파견중")))</f>
        <v/>
      </c>
      <c r="V18" s="16">
        <f>IF(OR($S18="",$T18=""),"",$T18-$S18+1)</f>
        <v/>
      </c>
      <c r="W18" s="16">
        <f>IF(AND($U18="파견중",$T18&lt;&gt;""),$T18-TODAY(),"")</f>
        <v/>
      </c>
      <c r="X18" s="16">
        <f>IF(OR($B18="",$S18=""),"",MAX(0,MIN(IF($T18="",EOMONTH(요약!$B$3,0),$T18),EOMONTH(요약!$B$3,0))-MAX($S18,요약!$B$3)+1))</f>
        <v/>
      </c>
      <c r="Y18" s="10">
        <f>IF($B18="","",IF($AE18="","",IF(OR($S18="",$P18="",N($X18)&lt;=0),$AE18,IF($P18="다기관파견",$AE18,IF($AE18="구리병원",IF(AND($Q18&lt;&gt;"",N($X18)&gt;=요약!$E$3),$Q18,$AE18),IF(AND($P18="일반파견(단독)",$Q18&lt;&gt;""),$Q18,$AE18))))))</f>
        <v/>
      </c>
      <c r="Z18" s="17">
        <f>IF($B18="","",IF($AB18="","기본자료에 없는 사번",IF(COUNTIF($B$2:$B$201,$B18)&gt;1,"중복 사번",IF($M18="","입사장소 입력",IF(AND($P18&lt;&gt;"",$S18=""),"파견시작일 입력",IF(AND($S18&lt;&gt;"",$P18=""),"파견종류 입력",IF(AND($P18&lt;&gt;"",$P18&lt;&gt;"다기관파견",$Q18=""),"파견병원 입력",IF(IF($AC18="",0,N(INDEX(인턴근무계획!$T$3:$T$202,$AC18)))&gt;0,"인턴계획 입력오류 확인",IF(AND($AC18&lt;&gt;"",$U18&lt;&gt;"파견중",$N18&lt;&gt;$AE18),"인턴 타지역 근무: 파견 여부 확인","정상")))))))))</f>
        <v/>
      </c>
      <c r="AA18" s="5" t="n"/>
      <c r="AB18" s="10">
        <f>IF($B18="","",IFERROR(MATCH($B18,기본자료!$B$2:$B$501,0),IFERROR(MATCH($B18&amp;"",기본자료!$B$2:$B$501,0),IFERROR(MATCH(VALUE($B18),기본자료!$B$2:$B$501,0),""))))</f>
        <v/>
      </c>
      <c r="AC18" s="10">
        <f>IF($B18="","",IFERROR(MATCH($B18,인턴근무계획!$D$3:$D$202,0),IFERROR(MATCH($B18&amp;"",인턴근무계획!$D$3:$D$202,0),IFERROR(MATCH(VALUE($B18),인턴근무계획!$D$3:$D$202,0),""))))</f>
        <v/>
      </c>
      <c r="AD18" s="10">
        <f>IF(OR($AC18="",인턴현황!$G$3=""),"",INDEX(인턴근무계획!$M$3:$R$202,$AC18,인턴현황!$G$3)&amp;"")</f>
        <v/>
      </c>
      <c r="AE18" s="10">
        <f>IF($B18="","",IF($M18&lt;&gt;"",$M18,IF($H18="","",IF(RIGHT($H18,2)="병원",$H18,$H18&amp;"병원"))))</f>
        <v/>
      </c>
    </row>
    <row r="19">
      <c r="A19" s="10">
        <f>IF(B19="","",ROW()-1)</f>
        <v/>
      </c>
      <c r="B19" s="13" t="n"/>
      <c r="C19" s="10">
        <f>IF($AB19="","",IF(INDEX(기본자료!$C$2:$C$501,$AB19)="","",INDEX(기본자료!$C$2:$C$501,$AB19)))</f>
        <v/>
      </c>
      <c r="D19" s="10">
        <f>IF($AB19="","",IF(INDEX(기본자료!$J$2:$J$501,$AB19)="","",INDEX(기본자료!$J$2:$J$501,$AB19)))</f>
        <v/>
      </c>
      <c r="E19" s="11">
        <f>IF($AB19="","",IF(INDEX(기본자료!$K$2:$K$501,$AB19)="","",IF(NOT(ISNUMBER(INDEX(기본자료!$K$2:$K$501,$AB19))),INDEX(기본자료!$K$2:$K$501,$AB19),IF(INDEX(기본자료!$K$2:$K$501,$AB19)&lt;1000000,INDEX(기본자료!$K$2:$K$501,$AB19),IF(AND(INDEX(기본자료!$K$2:$K$501,$AB19)&gt;=10000101,INT(MOD(INDEX(기본자료!$K$2:$K$501,$AB19),10000)/100)&gt;=1,INT(MOD(INDEX(기본자료!$K$2:$K$501,$AB19),10000)/100)&lt;=12,MOD(INDEX(기본자료!$K$2:$K$501,$AB19),100)&gt;=1,MOD(INDEX(기본자료!$K$2:$K$501,$AB19),100)&lt;=31),DATE(INT(INDEX(기본자료!$K$2:$K$501,$AB19)/10000),INT(MOD(INDEX(기본자료!$K$2:$K$501,$AB19),10000)/100),MOD(INDEX(기본자료!$K$2:$K$501,$AB19),100)),INDEX(기본자료!$K$2:$K$501,$AB19)&amp;"")))))</f>
        <v/>
      </c>
      <c r="F19" s="10">
        <f>IF($AB19="","",IF(INDEX(기본자료!$D$2:$D$501,$AB19)="","",INDEX(기본자료!$D$2:$D$501,$AB19)))</f>
        <v/>
      </c>
      <c r="G19" s="10">
        <f>IF($AB19="","",IF(INDEX(기본자료!$E$2:$E$501,$AB19)="","",INDEX(기본자료!$E$2:$E$501,$AB19)))</f>
        <v/>
      </c>
      <c r="H19" s="10">
        <f>IF($AB19="","",IF(INDEX(기본자료!$F$2:$F$501,$AB19)="","",INDEX(기본자료!$F$2:$F$501,$AB19)))</f>
        <v/>
      </c>
      <c r="I19" s="11">
        <f>IF($AB19="","",IF(INDEX(기본자료!$G$2:$G$501,$AB19)="","",IF(NOT(ISNUMBER(INDEX(기본자료!$G$2:$G$501,$AB19))),INDEX(기본자료!$G$2:$G$501,$AB19),IF(INDEX(기본자료!$G$2:$G$501,$AB19)&lt;1000000,INDEX(기본자료!$G$2:$G$501,$AB19),IF(AND(INDEX(기본자료!$G$2:$G$501,$AB19)&gt;=10000101,INT(MOD(INDEX(기본자료!$G$2:$G$501,$AB19),10000)/100)&gt;=1,INT(MOD(INDEX(기본자료!$G$2:$G$501,$AB19),10000)/100)&lt;=12,MOD(INDEX(기본자료!$G$2:$G$501,$AB19),100)&gt;=1,MOD(INDEX(기본자료!$G$2:$G$501,$AB19),100)&lt;=31),DATE(INT(INDEX(기본자료!$G$2:$G$501,$AB19)/10000),INT(MOD(INDEX(기본자료!$G$2:$G$501,$AB19),10000)/100),MOD(INDEX(기본자료!$G$2:$G$501,$AB19),100)),INDEX(기본자료!$G$2:$G$501,$AB19)&amp;"")))))</f>
        <v/>
      </c>
      <c r="J19" s="10">
        <f>IF($AB19="","",IF(INDEX(기본자료!$H$2:$H$501,$AB19)="","",INDEX(기본자료!$H$2:$H$501,$AB19)))</f>
        <v/>
      </c>
      <c r="K19" s="10">
        <f>IF($AB19="","",IF(INDEX(기본자료!$I$2:$I$501,$AB19)="","",INDEX(기본자료!$I$2:$I$501,$AB19)))</f>
        <v/>
      </c>
      <c r="L19" s="10">
        <f>IF($AB19="","",IF(INDEX(기본자료!$A$2:$A$501,$AB19)="","",INDEX(기본자료!$A$2:$A$501,$AB19)))</f>
        <v/>
      </c>
      <c r="M19" s="14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4" t="n"/>
      <c r="Q19" s="14" t="n"/>
      <c r="R19" s="14" t="n"/>
      <c r="S19" s="15" t="n"/>
      <c r="T19" s="15" t="n"/>
      <c r="U19" s="10">
        <f>IF(OR($B19="",$S19=""),"",IF(TODAY()&lt;$S19,"파견예정",IF(AND($T19&lt;&gt;"",TODAY()&gt;$T19),"파견종료","파견중")))</f>
        <v/>
      </c>
      <c r="V19" s="16">
        <f>IF(OR($S19="",$T19=""),"",$T19-$S19+1)</f>
        <v/>
      </c>
      <c r="W19" s="16">
        <f>IF(AND($U19="파견중",$T19&lt;&gt;""),$T19-TODAY(),"")</f>
        <v/>
      </c>
      <c r="X19" s="16">
        <f>IF(OR($B19="",$S19=""),"",MAX(0,MIN(IF($T19="",EOMONTH(요약!$B$3,0),$T19),EOMONTH(요약!$B$3,0))-MAX($S19,요약!$B$3)+1))</f>
        <v/>
      </c>
      <c r="Y19" s="10">
        <f>IF($B19="","",IF($AE19="","",IF(OR($S19="",$P19="",N($X19)&lt;=0),$AE19,IF($P19="다기관파견",$AE19,IF($AE19="구리병원",IF(AND($Q19&lt;&gt;"",N($X19)&gt;=요약!$E$3),$Q19,$AE19),IF(AND($P19="일반파견(단독)",$Q19&lt;&gt;""),$Q19,$AE19))))))</f>
        <v/>
      </c>
      <c r="Z19" s="17">
        <f>IF($B19="","",IF($AB19="","기본자료에 없는 사번",IF(COUNTIF($B$2:$B$201,$B19)&gt;1,"중복 사번",IF($M19="","입사장소 입력",IF(AND($P19&lt;&gt;"",$S19=""),"파견시작일 입력",IF(AND($S19&lt;&gt;"",$P19=""),"파견종류 입력",IF(AND($P19&lt;&gt;"",$P19&lt;&gt;"다기관파견",$Q19=""),"파견병원 입력",IF(IF($AC19="",0,N(INDEX(인턴근무계획!$T$3:$T$202,$AC19)))&gt;0,"인턴계획 입력오류 확인",IF(AND($AC19&lt;&gt;"",$U19&lt;&gt;"파견중",$N19&lt;&gt;$AE19),"인턴 타지역 근무: 파견 여부 확인","정상")))))))))</f>
        <v/>
      </c>
      <c r="AA19" s="5" t="n"/>
      <c r="AB19" s="10">
        <f>IF($B19="","",IFERROR(MATCH($B19,기본자료!$B$2:$B$501,0),IFERROR(MATCH($B19&amp;"",기본자료!$B$2:$B$501,0),IFERROR(MATCH(VALUE($B19),기본자료!$B$2:$B$501,0),""))))</f>
        <v/>
      </c>
      <c r="AC19" s="10">
        <f>IF($B19="","",IFERROR(MATCH($B19,인턴근무계획!$D$3:$D$202,0),IFERROR(MATCH($B19&amp;"",인턴근무계획!$D$3:$D$202,0),IFERROR(MATCH(VALUE($B19),인턴근무계획!$D$3:$D$202,0),""))))</f>
        <v/>
      </c>
      <c r="AD19" s="10">
        <f>IF(OR($AC19="",인턴현황!$G$3=""),"",INDEX(인턴근무계획!$M$3:$R$202,$AC19,인턴현황!$G$3)&amp;"")</f>
        <v/>
      </c>
      <c r="AE19" s="10">
        <f>IF($B19="","",IF($M19&lt;&gt;"",$M19,IF($H19="","",IF(RIGHT($H19,2)="병원",$H19,$H19&amp;"병원"))))</f>
        <v/>
      </c>
    </row>
    <row r="20">
      <c r="A20" s="10">
        <f>IF(B20="","",ROW()-1)</f>
        <v/>
      </c>
      <c r="B20" s="13" t="n"/>
      <c r="C20" s="10">
        <f>IF($AB20="","",IF(INDEX(기본자료!$C$2:$C$501,$AB20)="","",INDEX(기본자료!$C$2:$C$501,$AB20)))</f>
        <v/>
      </c>
      <c r="D20" s="10">
        <f>IF($AB20="","",IF(INDEX(기본자료!$J$2:$J$501,$AB20)="","",INDEX(기본자료!$J$2:$J$501,$AB20)))</f>
        <v/>
      </c>
      <c r="E20" s="11">
        <f>IF($AB20="","",IF(INDEX(기본자료!$K$2:$K$501,$AB20)="","",IF(NOT(ISNUMBER(INDEX(기본자료!$K$2:$K$501,$AB20))),INDEX(기본자료!$K$2:$K$501,$AB20),IF(INDEX(기본자료!$K$2:$K$501,$AB20)&lt;1000000,INDEX(기본자료!$K$2:$K$501,$AB20),IF(AND(INDEX(기본자료!$K$2:$K$501,$AB20)&gt;=10000101,INT(MOD(INDEX(기본자료!$K$2:$K$501,$AB20),10000)/100)&gt;=1,INT(MOD(INDEX(기본자료!$K$2:$K$501,$AB20),10000)/100)&lt;=12,MOD(INDEX(기본자료!$K$2:$K$501,$AB20),100)&gt;=1,MOD(INDEX(기본자료!$K$2:$K$501,$AB20),100)&lt;=31),DATE(INT(INDEX(기본자료!$K$2:$K$501,$AB20)/10000),INT(MOD(INDEX(기본자료!$K$2:$K$501,$AB20),10000)/100),MOD(INDEX(기본자료!$K$2:$K$501,$AB20),100)),INDEX(기본자료!$K$2:$K$501,$AB20)&amp;"")))))</f>
        <v/>
      </c>
      <c r="F20" s="10">
        <f>IF($AB20="","",IF(INDEX(기본자료!$D$2:$D$501,$AB20)="","",INDEX(기본자료!$D$2:$D$501,$AB20)))</f>
        <v/>
      </c>
      <c r="G20" s="10">
        <f>IF($AB20="","",IF(INDEX(기본자료!$E$2:$E$501,$AB20)="","",INDEX(기본자료!$E$2:$E$501,$AB20)))</f>
        <v/>
      </c>
      <c r="H20" s="10">
        <f>IF($AB20="","",IF(INDEX(기본자료!$F$2:$F$501,$AB20)="","",INDEX(기본자료!$F$2:$F$501,$AB20)))</f>
        <v/>
      </c>
      <c r="I20" s="11">
        <f>IF($AB20="","",IF(INDEX(기본자료!$G$2:$G$501,$AB20)="","",IF(NOT(ISNUMBER(INDEX(기본자료!$G$2:$G$501,$AB20))),INDEX(기본자료!$G$2:$G$501,$AB20),IF(INDEX(기본자료!$G$2:$G$501,$AB20)&lt;1000000,INDEX(기본자료!$G$2:$G$501,$AB20),IF(AND(INDEX(기본자료!$G$2:$G$501,$AB20)&gt;=10000101,INT(MOD(INDEX(기본자료!$G$2:$G$501,$AB20),10000)/100)&gt;=1,INT(MOD(INDEX(기본자료!$G$2:$G$501,$AB20),10000)/100)&lt;=12,MOD(INDEX(기본자료!$G$2:$G$501,$AB20),100)&gt;=1,MOD(INDEX(기본자료!$G$2:$G$501,$AB20),100)&lt;=31),DATE(INT(INDEX(기본자료!$G$2:$G$501,$AB20)/10000),INT(MOD(INDEX(기본자료!$G$2:$G$501,$AB20),10000)/100),MOD(INDEX(기본자료!$G$2:$G$501,$AB20),100)),INDEX(기본자료!$G$2:$G$501,$AB20)&amp;"")))))</f>
        <v/>
      </c>
      <c r="J20" s="10">
        <f>IF($AB20="","",IF(INDEX(기본자료!$H$2:$H$501,$AB20)="","",INDEX(기본자료!$H$2:$H$501,$AB20)))</f>
        <v/>
      </c>
      <c r="K20" s="10">
        <f>IF($AB20="","",IF(INDEX(기본자료!$I$2:$I$501,$AB20)="","",INDEX(기본자료!$I$2:$I$501,$AB20)))</f>
        <v/>
      </c>
      <c r="L20" s="10">
        <f>IF($AB20="","",IF(INDEX(기본자료!$A$2:$A$501,$AB20)="","",INDEX(기본자료!$A$2:$A$501,$AB20)))</f>
        <v/>
      </c>
      <c r="M20" s="14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4" t="n"/>
      <c r="Q20" s="14" t="n"/>
      <c r="R20" s="14" t="n"/>
      <c r="S20" s="15" t="n"/>
      <c r="T20" s="15" t="n"/>
      <c r="U20" s="10">
        <f>IF(OR($B20="",$S20=""),"",IF(TODAY()&lt;$S20,"파견예정",IF(AND($T20&lt;&gt;"",TODAY()&gt;$T20),"파견종료","파견중")))</f>
        <v/>
      </c>
      <c r="V20" s="16">
        <f>IF(OR($S20="",$T20=""),"",$T20-$S20+1)</f>
        <v/>
      </c>
      <c r="W20" s="16">
        <f>IF(AND($U20="파견중",$T20&lt;&gt;""),$T20-TODAY(),"")</f>
        <v/>
      </c>
      <c r="X20" s="16">
        <f>IF(OR($B20="",$S20=""),"",MAX(0,MIN(IF($T20="",EOMONTH(요약!$B$3,0),$T20),EOMONTH(요약!$B$3,0))-MAX($S20,요약!$B$3)+1))</f>
        <v/>
      </c>
      <c r="Y20" s="10">
        <f>IF($B20="","",IF($AE20="","",IF(OR($S20="",$P20="",N($X20)&lt;=0),$AE20,IF($P20="다기관파견",$AE20,IF($AE20="구리병원",IF(AND($Q20&lt;&gt;"",N($X20)&gt;=요약!$E$3),$Q20,$AE20),IF(AND($P20="일반파견(단독)",$Q20&lt;&gt;""),$Q20,$AE20))))))</f>
        <v/>
      </c>
      <c r="Z20" s="17">
        <f>IF($B20="","",IF($AB20="","기본자료에 없는 사번",IF(COUNTIF($B$2:$B$201,$B20)&gt;1,"중복 사번",IF($M20="","입사장소 입력",IF(AND($P20&lt;&gt;"",$S20=""),"파견시작일 입력",IF(AND($S20&lt;&gt;"",$P20=""),"파견종류 입력",IF(AND($P20&lt;&gt;"",$P20&lt;&gt;"다기관파견",$Q20=""),"파견병원 입력",IF(IF($AC20="",0,N(INDEX(인턴근무계획!$T$3:$T$202,$AC20)))&gt;0,"인턴계획 입력오류 확인",IF(AND($AC20&lt;&gt;"",$U20&lt;&gt;"파견중",$N20&lt;&gt;$AE20),"인턴 타지역 근무: 파견 여부 확인","정상")))))))))</f>
        <v/>
      </c>
      <c r="AA20" s="5" t="n"/>
      <c r="AB20" s="10">
        <f>IF($B20="","",IFERROR(MATCH($B20,기본자료!$B$2:$B$501,0),IFERROR(MATCH($B20&amp;"",기본자료!$B$2:$B$501,0),IFERROR(MATCH(VALUE($B20),기본자료!$B$2:$B$501,0),""))))</f>
        <v/>
      </c>
      <c r="AC20" s="10">
        <f>IF($B20="","",IFERROR(MATCH($B20,인턴근무계획!$D$3:$D$202,0),IFERROR(MATCH($B20&amp;"",인턴근무계획!$D$3:$D$202,0),IFERROR(MATCH(VALUE($B20),인턴근무계획!$D$3:$D$202,0),""))))</f>
        <v/>
      </c>
      <c r="AD20" s="10">
        <f>IF(OR($AC20="",인턴현황!$G$3=""),"",INDEX(인턴근무계획!$M$3:$R$202,$AC20,인턴현황!$G$3)&amp;"")</f>
        <v/>
      </c>
      <c r="AE20" s="10">
        <f>IF($B20="","",IF($M20&lt;&gt;"",$M20,IF($H20="","",IF(RIGHT($H20,2)="병원",$H20,$H20&amp;"병원"))))</f>
        <v/>
      </c>
    </row>
    <row r="21">
      <c r="A21" s="10">
        <f>IF(B21="","",ROW()-1)</f>
        <v/>
      </c>
      <c r="B21" s="13" t="n"/>
      <c r="C21" s="10">
        <f>IF($AB21="","",IF(INDEX(기본자료!$C$2:$C$501,$AB21)="","",INDEX(기본자료!$C$2:$C$501,$AB21)))</f>
        <v/>
      </c>
      <c r="D21" s="10">
        <f>IF($AB21="","",IF(INDEX(기본자료!$J$2:$J$501,$AB21)="","",INDEX(기본자료!$J$2:$J$501,$AB21)))</f>
        <v/>
      </c>
      <c r="E21" s="11">
        <f>IF($AB21="","",IF(INDEX(기본자료!$K$2:$K$501,$AB21)="","",IF(NOT(ISNUMBER(INDEX(기본자료!$K$2:$K$501,$AB21))),INDEX(기본자료!$K$2:$K$501,$AB21),IF(INDEX(기본자료!$K$2:$K$501,$AB21)&lt;1000000,INDEX(기본자료!$K$2:$K$501,$AB21),IF(AND(INDEX(기본자료!$K$2:$K$501,$AB21)&gt;=10000101,INT(MOD(INDEX(기본자료!$K$2:$K$501,$AB21),10000)/100)&gt;=1,INT(MOD(INDEX(기본자료!$K$2:$K$501,$AB21),10000)/100)&lt;=12,MOD(INDEX(기본자료!$K$2:$K$501,$AB21),100)&gt;=1,MOD(INDEX(기본자료!$K$2:$K$501,$AB21),100)&lt;=31),DATE(INT(INDEX(기본자료!$K$2:$K$501,$AB21)/10000),INT(MOD(INDEX(기본자료!$K$2:$K$501,$AB21),10000)/100),MOD(INDEX(기본자료!$K$2:$K$501,$AB21),100)),INDEX(기본자료!$K$2:$K$501,$AB21)&amp;"")))))</f>
        <v/>
      </c>
      <c r="F21" s="10">
        <f>IF($AB21="","",IF(INDEX(기본자료!$D$2:$D$501,$AB21)="","",INDEX(기본자료!$D$2:$D$501,$AB21)))</f>
        <v/>
      </c>
      <c r="G21" s="10">
        <f>IF($AB21="","",IF(INDEX(기본자료!$E$2:$E$501,$AB21)="","",INDEX(기본자료!$E$2:$E$501,$AB21)))</f>
        <v/>
      </c>
      <c r="H21" s="10">
        <f>IF($AB21="","",IF(INDEX(기본자료!$F$2:$F$501,$AB21)="","",INDEX(기본자료!$F$2:$F$501,$AB21)))</f>
        <v/>
      </c>
      <c r="I21" s="11">
        <f>IF($AB21="","",IF(INDEX(기본자료!$G$2:$G$501,$AB21)="","",IF(NOT(ISNUMBER(INDEX(기본자료!$G$2:$G$501,$AB21))),INDEX(기본자료!$G$2:$G$501,$AB21),IF(INDEX(기본자료!$G$2:$G$501,$AB21)&lt;1000000,INDEX(기본자료!$G$2:$G$501,$AB21),IF(AND(INDEX(기본자료!$G$2:$G$501,$AB21)&gt;=10000101,INT(MOD(INDEX(기본자료!$G$2:$G$501,$AB21),10000)/100)&gt;=1,INT(MOD(INDEX(기본자료!$G$2:$G$501,$AB21),10000)/100)&lt;=12,MOD(INDEX(기본자료!$G$2:$G$501,$AB21),100)&gt;=1,MOD(INDEX(기본자료!$G$2:$G$501,$AB21),100)&lt;=31),DATE(INT(INDEX(기본자료!$G$2:$G$501,$AB21)/10000),INT(MOD(INDEX(기본자료!$G$2:$G$501,$AB21),10000)/100),MOD(INDEX(기본자료!$G$2:$G$501,$AB21),100)),INDEX(기본자료!$G$2:$G$501,$AB21)&amp;"")))))</f>
        <v/>
      </c>
      <c r="J21" s="10">
        <f>IF($AB21="","",IF(INDEX(기본자료!$H$2:$H$501,$AB21)="","",INDEX(기본자료!$H$2:$H$501,$AB21)))</f>
        <v/>
      </c>
      <c r="K21" s="10">
        <f>IF($AB21="","",IF(INDEX(기본자료!$I$2:$I$501,$AB21)="","",INDEX(기본자료!$I$2:$I$501,$AB21)))</f>
        <v/>
      </c>
      <c r="L21" s="10">
        <f>IF($AB21="","",IF(INDEX(기본자료!$A$2:$A$501,$AB21)="","",INDEX(기본자료!$A$2:$A$501,$AB21)))</f>
        <v/>
      </c>
      <c r="M21" s="14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4" t="n"/>
      <c r="Q21" s="14" t="n"/>
      <c r="R21" s="14" t="n"/>
      <c r="S21" s="15" t="n"/>
      <c r="T21" s="15" t="n"/>
      <c r="U21" s="10">
        <f>IF(OR($B21="",$S21=""),"",IF(TODAY()&lt;$S21,"파견예정",IF(AND($T21&lt;&gt;"",TODAY()&gt;$T21),"파견종료","파견중")))</f>
        <v/>
      </c>
      <c r="V21" s="16">
        <f>IF(OR($S21="",$T21=""),"",$T21-$S21+1)</f>
        <v/>
      </c>
      <c r="W21" s="16">
        <f>IF(AND($U21="파견중",$T21&lt;&gt;""),$T21-TODAY(),"")</f>
        <v/>
      </c>
      <c r="X21" s="16">
        <f>IF(OR($B21="",$S21=""),"",MAX(0,MIN(IF($T21="",EOMONTH(요약!$B$3,0),$T21),EOMONTH(요약!$B$3,0))-MAX($S21,요약!$B$3)+1))</f>
        <v/>
      </c>
      <c r="Y21" s="10">
        <f>IF($B21="","",IF($AE21="","",IF(OR($S21="",$P21="",N($X21)&lt;=0),$AE21,IF($P21="다기관파견",$AE21,IF($AE21="구리병원",IF(AND($Q21&lt;&gt;"",N($X21)&gt;=요약!$E$3),$Q21,$AE21),IF(AND($P21="일반파견(단독)",$Q21&lt;&gt;""),$Q21,$AE21))))))</f>
        <v/>
      </c>
      <c r="Z21" s="17">
        <f>IF($B21="","",IF($AB21="","기본자료에 없는 사번",IF(COUNTIF($B$2:$B$201,$B21)&gt;1,"중복 사번",IF($M21="","입사장소 입력",IF(AND($P21&lt;&gt;"",$S21=""),"파견시작일 입력",IF(AND($S21&lt;&gt;"",$P21=""),"파견종류 입력",IF(AND($P21&lt;&gt;"",$P21&lt;&gt;"다기관파견",$Q21=""),"파견병원 입력",IF(IF($AC21="",0,N(INDEX(인턴근무계획!$T$3:$T$202,$AC21)))&gt;0,"인턴계획 입력오류 확인",IF(AND($AC21&lt;&gt;"",$U21&lt;&gt;"파견중",$N21&lt;&gt;$AE21),"인턴 타지역 근무: 파견 여부 확인","정상")))))))))</f>
        <v/>
      </c>
      <c r="AA21" s="5" t="n"/>
      <c r="AB21" s="10">
        <f>IF($B21="","",IFERROR(MATCH($B21,기본자료!$B$2:$B$501,0),IFERROR(MATCH($B21&amp;"",기본자료!$B$2:$B$501,0),IFERROR(MATCH(VALUE($B21),기본자료!$B$2:$B$501,0),""))))</f>
        <v/>
      </c>
      <c r="AC21" s="10">
        <f>IF($B21="","",IFERROR(MATCH($B21,인턴근무계획!$D$3:$D$202,0),IFERROR(MATCH($B21&amp;"",인턴근무계획!$D$3:$D$202,0),IFERROR(MATCH(VALUE($B21),인턴근무계획!$D$3:$D$202,0),""))))</f>
        <v/>
      </c>
      <c r="AD21" s="10">
        <f>IF(OR($AC21="",인턴현황!$G$3=""),"",INDEX(인턴근무계획!$M$3:$R$202,$AC21,인턴현황!$G$3)&amp;"")</f>
        <v/>
      </c>
      <c r="AE21" s="10">
        <f>IF($B21="","",IF($M21&lt;&gt;"",$M21,IF($H21="","",IF(RIGHT($H21,2)="병원",$H21,$H21&amp;"병원"))))</f>
        <v/>
      </c>
    </row>
    <row r="22">
      <c r="A22" s="10">
        <f>IF(B22="","",ROW()-1)</f>
        <v/>
      </c>
      <c r="B22" s="13" t="n"/>
      <c r="C22" s="10">
        <f>IF($AB22="","",IF(INDEX(기본자료!$C$2:$C$501,$AB22)="","",INDEX(기본자료!$C$2:$C$501,$AB22)))</f>
        <v/>
      </c>
      <c r="D22" s="10">
        <f>IF($AB22="","",IF(INDEX(기본자료!$J$2:$J$501,$AB22)="","",INDEX(기본자료!$J$2:$J$501,$AB22)))</f>
        <v/>
      </c>
      <c r="E22" s="11">
        <f>IF($AB22="","",IF(INDEX(기본자료!$K$2:$K$501,$AB22)="","",IF(NOT(ISNUMBER(INDEX(기본자료!$K$2:$K$501,$AB22))),INDEX(기본자료!$K$2:$K$501,$AB22),IF(INDEX(기본자료!$K$2:$K$501,$AB22)&lt;1000000,INDEX(기본자료!$K$2:$K$501,$AB22),IF(AND(INDEX(기본자료!$K$2:$K$501,$AB22)&gt;=10000101,INT(MOD(INDEX(기본자료!$K$2:$K$501,$AB22),10000)/100)&gt;=1,INT(MOD(INDEX(기본자료!$K$2:$K$501,$AB22),10000)/100)&lt;=12,MOD(INDEX(기본자료!$K$2:$K$501,$AB22),100)&gt;=1,MOD(INDEX(기본자료!$K$2:$K$501,$AB22),100)&lt;=31),DATE(INT(INDEX(기본자료!$K$2:$K$501,$AB22)/10000),INT(MOD(INDEX(기본자료!$K$2:$K$501,$AB22),10000)/100),MOD(INDEX(기본자료!$K$2:$K$501,$AB22),100)),INDEX(기본자료!$K$2:$K$501,$AB22)&amp;"")))))</f>
        <v/>
      </c>
      <c r="F22" s="10">
        <f>IF($AB22="","",IF(INDEX(기본자료!$D$2:$D$501,$AB22)="","",INDEX(기본자료!$D$2:$D$501,$AB22)))</f>
        <v/>
      </c>
      <c r="G22" s="10">
        <f>IF($AB22="","",IF(INDEX(기본자료!$E$2:$E$501,$AB22)="","",INDEX(기본자료!$E$2:$E$501,$AB22)))</f>
        <v/>
      </c>
      <c r="H22" s="10">
        <f>IF($AB22="","",IF(INDEX(기본자료!$F$2:$F$501,$AB22)="","",INDEX(기본자료!$F$2:$F$501,$AB22)))</f>
        <v/>
      </c>
      <c r="I22" s="11">
        <f>IF($AB22="","",IF(INDEX(기본자료!$G$2:$G$501,$AB22)="","",IF(NOT(ISNUMBER(INDEX(기본자료!$G$2:$G$501,$AB22))),INDEX(기본자료!$G$2:$G$501,$AB22),IF(INDEX(기본자료!$G$2:$G$501,$AB22)&lt;1000000,INDEX(기본자료!$G$2:$G$501,$AB22),IF(AND(INDEX(기본자료!$G$2:$G$501,$AB22)&gt;=10000101,INT(MOD(INDEX(기본자료!$G$2:$G$501,$AB22),10000)/100)&gt;=1,INT(MOD(INDEX(기본자료!$G$2:$G$501,$AB22),10000)/100)&lt;=12,MOD(INDEX(기본자료!$G$2:$G$501,$AB22),100)&gt;=1,MOD(INDEX(기본자료!$G$2:$G$501,$AB22),100)&lt;=31),DATE(INT(INDEX(기본자료!$G$2:$G$501,$AB22)/10000),INT(MOD(INDEX(기본자료!$G$2:$G$501,$AB22),10000)/100),MOD(INDEX(기본자료!$G$2:$G$501,$AB22),100)),INDEX(기본자료!$G$2:$G$501,$AB22)&amp;"")))))</f>
        <v/>
      </c>
      <c r="J22" s="10">
        <f>IF($AB22="","",IF(INDEX(기본자료!$H$2:$H$501,$AB22)="","",INDEX(기본자료!$H$2:$H$501,$AB22)))</f>
        <v/>
      </c>
      <c r="K22" s="10">
        <f>IF($AB22="","",IF(INDEX(기본자료!$I$2:$I$501,$AB22)="","",INDEX(기본자료!$I$2:$I$501,$AB22)))</f>
        <v/>
      </c>
      <c r="L22" s="10">
        <f>IF($AB22="","",IF(INDEX(기본자료!$A$2:$A$501,$AB22)="","",INDEX(기본자료!$A$2:$A$501,$AB22)))</f>
        <v/>
      </c>
      <c r="M22" s="14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4" t="n"/>
      <c r="Q22" s="14" t="n"/>
      <c r="R22" s="14" t="n"/>
      <c r="S22" s="15" t="n"/>
      <c r="T22" s="15" t="n"/>
      <c r="U22" s="10">
        <f>IF(OR($B22="",$S22=""),"",IF(TODAY()&lt;$S22,"파견예정",IF(AND($T22&lt;&gt;"",TODAY()&gt;$T22),"파견종료","파견중")))</f>
        <v/>
      </c>
      <c r="V22" s="16">
        <f>IF(OR($S22="",$T22=""),"",$T22-$S22+1)</f>
        <v/>
      </c>
      <c r="W22" s="16">
        <f>IF(AND($U22="파견중",$T22&lt;&gt;""),$T22-TODAY(),"")</f>
        <v/>
      </c>
      <c r="X22" s="16">
        <f>IF(OR($B22="",$S22=""),"",MAX(0,MIN(IF($T22="",EOMONTH(요약!$B$3,0),$T22),EOMONTH(요약!$B$3,0))-MAX($S22,요약!$B$3)+1))</f>
        <v/>
      </c>
      <c r="Y22" s="10">
        <f>IF($B22="","",IF($AE22="","",IF(OR($S22="",$P22="",N($X22)&lt;=0),$AE22,IF($P22="다기관파견",$AE22,IF($AE22="구리병원",IF(AND($Q22&lt;&gt;"",N($X22)&gt;=요약!$E$3),$Q22,$AE22),IF(AND($P22="일반파견(단독)",$Q22&lt;&gt;""),$Q22,$AE22))))))</f>
        <v/>
      </c>
      <c r="Z22" s="17">
        <f>IF($B22="","",IF($AB22="","기본자료에 없는 사번",IF(COUNTIF($B$2:$B$201,$B22)&gt;1,"중복 사번",IF($M22="","입사장소 입력",IF(AND($P22&lt;&gt;"",$S22=""),"파견시작일 입력",IF(AND($S22&lt;&gt;"",$P22=""),"파견종류 입력",IF(AND($P22&lt;&gt;"",$P22&lt;&gt;"다기관파견",$Q22=""),"파견병원 입력",IF(IF($AC22="",0,N(INDEX(인턴근무계획!$T$3:$T$202,$AC22)))&gt;0,"인턴계획 입력오류 확인",IF(AND($AC22&lt;&gt;"",$U22&lt;&gt;"파견중",$N22&lt;&gt;$AE22),"인턴 타지역 근무: 파견 여부 확인","정상")))))))))</f>
        <v/>
      </c>
      <c r="AA22" s="5" t="n"/>
      <c r="AB22" s="10">
        <f>IF($B22="","",IFERROR(MATCH($B22,기본자료!$B$2:$B$501,0),IFERROR(MATCH($B22&amp;"",기본자료!$B$2:$B$501,0),IFERROR(MATCH(VALUE($B22),기본자료!$B$2:$B$501,0),""))))</f>
        <v/>
      </c>
      <c r="AC22" s="10">
        <f>IF($B22="","",IFERROR(MATCH($B22,인턴근무계획!$D$3:$D$202,0),IFERROR(MATCH($B22&amp;"",인턴근무계획!$D$3:$D$202,0),IFERROR(MATCH(VALUE($B22),인턴근무계획!$D$3:$D$202,0),""))))</f>
        <v/>
      </c>
      <c r="AD22" s="10">
        <f>IF(OR($AC22="",인턴현황!$G$3=""),"",INDEX(인턴근무계획!$M$3:$R$202,$AC22,인턴현황!$G$3)&amp;"")</f>
        <v/>
      </c>
      <c r="AE22" s="10">
        <f>IF($B22="","",IF($M22&lt;&gt;"",$M22,IF($H22="","",IF(RIGHT($H22,2)="병원",$H22,$H22&amp;"병원"))))</f>
        <v/>
      </c>
    </row>
    <row r="23">
      <c r="A23" s="10">
        <f>IF(B23="","",ROW()-1)</f>
        <v/>
      </c>
      <c r="B23" s="13" t="n"/>
      <c r="C23" s="10">
        <f>IF($AB23="","",IF(INDEX(기본자료!$C$2:$C$501,$AB23)="","",INDEX(기본자료!$C$2:$C$501,$AB23)))</f>
        <v/>
      </c>
      <c r="D23" s="10">
        <f>IF($AB23="","",IF(INDEX(기본자료!$J$2:$J$501,$AB23)="","",INDEX(기본자료!$J$2:$J$501,$AB23)))</f>
        <v/>
      </c>
      <c r="E23" s="11">
        <f>IF($AB23="","",IF(INDEX(기본자료!$K$2:$K$501,$AB23)="","",IF(NOT(ISNUMBER(INDEX(기본자료!$K$2:$K$501,$AB23))),INDEX(기본자료!$K$2:$K$501,$AB23),IF(INDEX(기본자료!$K$2:$K$501,$AB23)&lt;1000000,INDEX(기본자료!$K$2:$K$501,$AB23),IF(AND(INDEX(기본자료!$K$2:$K$501,$AB23)&gt;=10000101,INT(MOD(INDEX(기본자료!$K$2:$K$501,$AB23),10000)/100)&gt;=1,INT(MOD(INDEX(기본자료!$K$2:$K$501,$AB23),10000)/100)&lt;=12,MOD(INDEX(기본자료!$K$2:$K$501,$AB23),100)&gt;=1,MOD(INDEX(기본자료!$K$2:$K$501,$AB23),100)&lt;=31),DATE(INT(INDEX(기본자료!$K$2:$K$501,$AB23)/10000),INT(MOD(INDEX(기본자료!$K$2:$K$501,$AB23),10000)/100),MOD(INDEX(기본자료!$K$2:$K$501,$AB23),100)),INDEX(기본자료!$K$2:$K$501,$AB23)&amp;"")))))</f>
        <v/>
      </c>
      <c r="F23" s="10">
        <f>IF($AB23="","",IF(INDEX(기본자료!$D$2:$D$501,$AB23)="","",INDEX(기본자료!$D$2:$D$501,$AB23)))</f>
        <v/>
      </c>
      <c r="G23" s="10">
        <f>IF($AB23="","",IF(INDEX(기본자료!$E$2:$E$501,$AB23)="","",INDEX(기본자료!$E$2:$E$501,$AB23)))</f>
        <v/>
      </c>
      <c r="H23" s="10">
        <f>IF($AB23="","",IF(INDEX(기본자료!$F$2:$F$501,$AB23)="","",INDEX(기본자료!$F$2:$F$501,$AB23)))</f>
        <v/>
      </c>
      <c r="I23" s="11">
        <f>IF($AB23="","",IF(INDEX(기본자료!$G$2:$G$501,$AB23)="","",IF(NOT(ISNUMBER(INDEX(기본자료!$G$2:$G$501,$AB23))),INDEX(기본자료!$G$2:$G$501,$AB23),IF(INDEX(기본자료!$G$2:$G$501,$AB23)&lt;1000000,INDEX(기본자료!$G$2:$G$501,$AB23),IF(AND(INDEX(기본자료!$G$2:$G$501,$AB23)&gt;=10000101,INT(MOD(INDEX(기본자료!$G$2:$G$501,$AB23),10000)/100)&gt;=1,INT(MOD(INDEX(기본자료!$G$2:$G$501,$AB23),10000)/100)&lt;=12,MOD(INDEX(기본자료!$G$2:$G$501,$AB23),100)&gt;=1,MOD(INDEX(기본자료!$G$2:$G$501,$AB23),100)&lt;=31),DATE(INT(INDEX(기본자료!$G$2:$G$501,$AB23)/10000),INT(MOD(INDEX(기본자료!$G$2:$G$501,$AB23),10000)/100),MOD(INDEX(기본자료!$G$2:$G$501,$AB23),100)),INDEX(기본자료!$G$2:$G$501,$AB23)&amp;"")))))</f>
        <v/>
      </c>
      <c r="J23" s="10">
        <f>IF($AB23="","",IF(INDEX(기본자료!$H$2:$H$501,$AB23)="","",INDEX(기본자료!$H$2:$H$501,$AB23)))</f>
        <v/>
      </c>
      <c r="K23" s="10">
        <f>IF($AB23="","",IF(INDEX(기본자료!$I$2:$I$501,$AB23)="","",INDEX(기본자료!$I$2:$I$501,$AB23)))</f>
        <v/>
      </c>
      <c r="L23" s="10">
        <f>IF($AB23="","",IF(INDEX(기본자료!$A$2:$A$501,$AB23)="","",INDEX(기본자료!$A$2:$A$501,$AB23)))</f>
        <v/>
      </c>
      <c r="M23" s="14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4" t="n"/>
      <c r="Q23" s="14" t="n"/>
      <c r="R23" s="14" t="n"/>
      <c r="S23" s="15" t="n"/>
      <c r="T23" s="15" t="n"/>
      <c r="U23" s="10">
        <f>IF(OR($B23="",$S23=""),"",IF(TODAY()&lt;$S23,"파견예정",IF(AND($T23&lt;&gt;"",TODAY()&gt;$T23),"파견종료","파견중")))</f>
        <v/>
      </c>
      <c r="V23" s="16">
        <f>IF(OR($S23="",$T23=""),"",$T23-$S23+1)</f>
        <v/>
      </c>
      <c r="W23" s="16">
        <f>IF(AND($U23="파견중",$T23&lt;&gt;""),$T23-TODAY(),"")</f>
        <v/>
      </c>
      <c r="X23" s="16">
        <f>IF(OR($B23="",$S23=""),"",MAX(0,MIN(IF($T23="",EOMONTH(요약!$B$3,0),$T23),EOMONTH(요약!$B$3,0))-MAX($S23,요약!$B$3)+1))</f>
        <v/>
      </c>
      <c r="Y23" s="10">
        <f>IF($B23="","",IF($AE23="","",IF(OR($S23="",$P23="",N($X23)&lt;=0),$AE23,IF($P23="다기관파견",$AE23,IF($AE23="구리병원",IF(AND($Q23&lt;&gt;"",N($X23)&gt;=요약!$E$3),$Q23,$AE23),IF(AND($P23="일반파견(단독)",$Q23&lt;&gt;""),$Q23,$AE23))))))</f>
        <v/>
      </c>
      <c r="Z23" s="17">
        <f>IF($B23="","",IF($AB23="","기본자료에 없는 사번",IF(COUNTIF($B$2:$B$201,$B23)&gt;1,"중복 사번",IF($M23="","입사장소 입력",IF(AND($P23&lt;&gt;"",$S23=""),"파견시작일 입력",IF(AND($S23&lt;&gt;"",$P23=""),"파견종류 입력",IF(AND($P23&lt;&gt;"",$P23&lt;&gt;"다기관파견",$Q23=""),"파견병원 입력",IF(IF($AC23="",0,N(INDEX(인턴근무계획!$T$3:$T$202,$AC23)))&gt;0,"인턴계획 입력오류 확인",IF(AND($AC23&lt;&gt;"",$U23&lt;&gt;"파견중",$N23&lt;&gt;$AE23),"인턴 타지역 근무: 파견 여부 확인","정상")))))))))</f>
        <v/>
      </c>
      <c r="AA23" s="5" t="n"/>
      <c r="AB23" s="10">
        <f>IF($B23="","",IFERROR(MATCH($B23,기본자료!$B$2:$B$501,0),IFERROR(MATCH($B23&amp;"",기본자료!$B$2:$B$501,0),IFERROR(MATCH(VALUE($B23),기본자료!$B$2:$B$501,0),""))))</f>
        <v/>
      </c>
      <c r="AC23" s="10">
        <f>IF($B23="","",IFERROR(MATCH($B23,인턴근무계획!$D$3:$D$202,0),IFERROR(MATCH($B23&amp;"",인턴근무계획!$D$3:$D$202,0),IFERROR(MATCH(VALUE($B23),인턴근무계획!$D$3:$D$202,0),""))))</f>
        <v/>
      </c>
      <c r="AD23" s="10">
        <f>IF(OR($AC23="",인턴현황!$G$3=""),"",INDEX(인턴근무계획!$M$3:$R$202,$AC23,인턴현황!$G$3)&amp;"")</f>
        <v/>
      </c>
      <c r="AE23" s="10">
        <f>IF($B23="","",IF($M23&lt;&gt;"",$M23,IF($H23="","",IF(RIGHT($H23,2)="병원",$H23,$H23&amp;"병원"))))</f>
        <v/>
      </c>
    </row>
    <row r="24">
      <c r="A24" s="10">
        <f>IF(B24="","",ROW()-1)</f>
        <v/>
      </c>
      <c r="B24" s="13" t="n"/>
      <c r="C24" s="10">
        <f>IF($AB24="","",IF(INDEX(기본자료!$C$2:$C$501,$AB24)="","",INDEX(기본자료!$C$2:$C$501,$AB24)))</f>
        <v/>
      </c>
      <c r="D24" s="10">
        <f>IF($AB24="","",IF(INDEX(기본자료!$J$2:$J$501,$AB24)="","",INDEX(기본자료!$J$2:$J$501,$AB24)))</f>
        <v/>
      </c>
      <c r="E24" s="11">
        <f>IF($AB24="","",IF(INDEX(기본자료!$K$2:$K$501,$AB24)="","",IF(NOT(ISNUMBER(INDEX(기본자료!$K$2:$K$501,$AB24))),INDEX(기본자료!$K$2:$K$501,$AB24),IF(INDEX(기본자료!$K$2:$K$501,$AB24)&lt;1000000,INDEX(기본자료!$K$2:$K$501,$AB24),IF(AND(INDEX(기본자료!$K$2:$K$501,$AB24)&gt;=10000101,INT(MOD(INDEX(기본자료!$K$2:$K$501,$AB24),10000)/100)&gt;=1,INT(MOD(INDEX(기본자료!$K$2:$K$501,$AB24),10000)/100)&lt;=12,MOD(INDEX(기본자료!$K$2:$K$501,$AB24),100)&gt;=1,MOD(INDEX(기본자료!$K$2:$K$501,$AB24),100)&lt;=31),DATE(INT(INDEX(기본자료!$K$2:$K$501,$AB24)/10000),INT(MOD(INDEX(기본자료!$K$2:$K$501,$AB24),10000)/100),MOD(INDEX(기본자료!$K$2:$K$501,$AB24),100)),INDEX(기본자료!$K$2:$K$501,$AB24)&amp;"")))))</f>
        <v/>
      </c>
      <c r="F24" s="10">
        <f>IF($AB24="","",IF(INDEX(기본자료!$D$2:$D$501,$AB24)="","",INDEX(기본자료!$D$2:$D$501,$AB24)))</f>
        <v/>
      </c>
      <c r="G24" s="10">
        <f>IF($AB24="","",IF(INDEX(기본자료!$E$2:$E$501,$AB24)="","",INDEX(기본자료!$E$2:$E$501,$AB24)))</f>
        <v/>
      </c>
      <c r="H24" s="10">
        <f>IF($AB24="","",IF(INDEX(기본자료!$F$2:$F$501,$AB24)="","",INDEX(기본자료!$F$2:$F$501,$AB24)))</f>
        <v/>
      </c>
      <c r="I24" s="11">
        <f>IF($AB24="","",IF(INDEX(기본자료!$G$2:$G$501,$AB24)="","",IF(NOT(ISNUMBER(INDEX(기본자료!$G$2:$G$501,$AB24))),INDEX(기본자료!$G$2:$G$501,$AB24),IF(INDEX(기본자료!$G$2:$G$501,$AB24)&lt;1000000,INDEX(기본자료!$G$2:$G$501,$AB24),IF(AND(INDEX(기본자료!$G$2:$G$501,$AB24)&gt;=10000101,INT(MOD(INDEX(기본자료!$G$2:$G$501,$AB24),10000)/100)&gt;=1,INT(MOD(INDEX(기본자료!$G$2:$G$501,$AB24),10000)/100)&lt;=12,MOD(INDEX(기본자료!$G$2:$G$501,$AB24),100)&gt;=1,MOD(INDEX(기본자료!$G$2:$G$501,$AB24),100)&lt;=31),DATE(INT(INDEX(기본자료!$G$2:$G$501,$AB24)/10000),INT(MOD(INDEX(기본자료!$G$2:$G$501,$AB24),10000)/100),MOD(INDEX(기본자료!$G$2:$G$501,$AB24),100)),INDEX(기본자료!$G$2:$G$501,$AB24)&amp;"")))))</f>
        <v/>
      </c>
      <c r="J24" s="10">
        <f>IF($AB24="","",IF(INDEX(기본자료!$H$2:$H$501,$AB24)="","",INDEX(기본자료!$H$2:$H$501,$AB24)))</f>
        <v/>
      </c>
      <c r="K24" s="10">
        <f>IF($AB24="","",IF(INDEX(기본자료!$I$2:$I$501,$AB24)="","",INDEX(기본자료!$I$2:$I$501,$AB24)))</f>
        <v/>
      </c>
      <c r="L24" s="10">
        <f>IF($AB24="","",IF(INDEX(기본자료!$A$2:$A$501,$AB24)="","",INDEX(기본자료!$A$2:$A$501,$AB24)))</f>
        <v/>
      </c>
      <c r="M24" s="14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4" t="n"/>
      <c r="Q24" s="14" t="n"/>
      <c r="R24" s="14" t="n"/>
      <c r="S24" s="15" t="n"/>
      <c r="T24" s="15" t="n"/>
      <c r="U24" s="10">
        <f>IF(OR($B24="",$S24=""),"",IF(TODAY()&lt;$S24,"파견예정",IF(AND($T24&lt;&gt;"",TODAY()&gt;$T24),"파견종료","파견중")))</f>
        <v/>
      </c>
      <c r="V24" s="16">
        <f>IF(OR($S24="",$T24=""),"",$T24-$S24+1)</f>
        <v/>
      </c>
      <c r="W24" s="16">
        <f>IF(AND($U24="파견중",$T24&lt;&gt;""),$T24-TODAY(),"")</f>
        <v/>
      </c>
      <c r="X24" s="16">
        <f>IF(OR($B24="",$S24=""),"",MAX(0,MIN(IF($T24="",EOMONTH(요약!$B$3,0),$T24),EOMONTH(요약!$B$3,0))-MAX($S24,요약!$B$3)+1))</f>
        <v/>
      </c>
      <c r="Y24" s="10">
        <f>IF($B24="","",IF($AE24="","",IF(OR($S24="",$P24="",N($X24)&lt;=0),$AE24,IF($P24="다기관파견",$AE24,IF($AE24="구리병원",IF(AND($Q24&lt;&gt;"",N($X24)&gt;=요약!$E$3),$Q24,$AE24),IF(AND($P24="일반파견(단독)",$Q24&lt;&gt;""),$Q24,$AE24))))))</f>
        <v/>
      </c>
      <c r="Z24" s="17">
        <f>IF($B24="","",IF($AB24="","기본자료에 없는 사번",IF(COUNTIF($B$2:$B$201,$B24)&gt;1,"중복 사번",IF($M24="","입사장소 입력",IF(AND($P24&lt;&gt;"",$S24=""),"파견시작일 입력",IF(AND($S24&lt;&gt;"",$P24=""),"파견종류 입력",IF(AND($P24&lt;&gt;"",$P24&lt;&gt;"다기관파견",$Q24=""),"파견병원 입력",IF(IF($AC24="",0,N(INDEX(인턴근무계획!$T$3:$T$202,$AC24)))&gt;0,"인턴계획 입력오류 확인",IF(AND($AC24&lt;&gt;"",$U24&lt;&gt;"파견중",$N24&lt;&gt;$AE24),"인턴 타지역 근무: 파견 여부 확인","정상")))))))))</f>
        <v/>
      </c>
      <c r="AA24" s="5" t="n"/>
      <c r="AB24" s="10">
        <f>IF($B24="","",IFERROR(MATCH($B24,기본자료!$B$2:$B$501,0),IFERROR(MATCH($B24&amp;"",기본자료!$B$2:$B$501,0),IFERROR(MATCH(VALUE($B24),기본자료!$B$2:$B$501,0),""))))</f>
        <v/>
      </c>
      <c r="AC24" s="10">
        <f>IF($B24="","",IFERROR(MATCH($B24,인턴근무계획!$D$3:$D$202,0),IFERROR(MATCH($B24&amp;"",인턴근무계획!$D$3:$D$202,0),IFERROR(MATCH(VALUE($B24),인턴근무계획!$D$3:$D$202,0),""))))</f>
        <v/>
      </c>
      <c r="AD24" s="10">
        <f>IF(OR($AC24="",인턴현황!$G$3=""),"",INDEX(인턴근무계획!$M$3:$R$202,$AC24,인턴현황!$G$3)&amp;"")</f>
        <v/>
      </c>
      <c r="AE24" s="10">
        <f>IF($B24="","",IF($M24&lt;&gt;"",$M24,IF($H24="","",IF(RIGHT($H24,2)="병원",$H24,$H24&amp;"병원"))))</f>
        <v/>
      </c>
    </row>
    <row r="25">
      <c r="A25" s="10">
        <f>IF(B25="","",ROW()-1)</f>
        <v/>
      </c>
      <c r="B25" s="13" t="n"/>
      <c r="C25" s="10">
        <f>IF($AB25="","",IF(INDEX(기본자료!$C$2:$C$501,$AB25)="","",INDEX(기본자료!$C$2:$C$501,$AB25)))</f>
        <v/>
      </c>
      <c r="D25" s="10">
        <f>IF($AB25="","",IF(INDEX(기본자료!$J$2:$J$501,$AB25)="","",INDEX(기본자료!$J$2:$J$501,$AB25)))</f>
        <v/>
      </c>
      <c r="E25" s="11">
        <f>IF($AB25="","",IF(INDEX(기본자료!$K$2:$K$501,$AB25)="","",IF(NOT(ISNUMBER(INDEX(기본자료!$K$2:$K$501,$AB25))),INDEX(기본자료!$K$2:$K$501,$AB25),IF(INDEX(기본자료!$K$2:$K$501,$AB25)&lt;1000000,INDEX(기본자료!$K$2:$K$501,$AB25),IF(AND(INDEX(기본자료!$K$2:$K$501,$AB25)&gt;=10000101,INT(MOD(INDEX(기본자료!$K$2:$K$501,$AB25),10000)/100)&gt;=1,INT(MOD(INDEX(기본자료!$K$2:$K$501,$AB25),10000)/100)&lt;=12,MOD(INDEX(기본자료!$K$2:$K$501,$AB25),100)&gt;=1,MOD(INDEX(기본자료!$K$2:$K$501,$AB25),100)&lt;=31),DATE(INT(INDEX(기본자료!$K$2:$K$501,$AB25)/10000),INT(MOD(INDEX(기본자료!$K$2:$K$501,$AB25),10000)/100),MOD(INDEX(기본자료!$K$2:$K$501,$AB25),100)),INDEX(기본자료!$K$2:$K$501,$AB25)&amp;"")))))</f>
        <v/>
      </c>
      <c r="F25" s="10">
        <f>IF($AB25="","",IF(INDEX(기본자료!$D$2:$D$501,$AB25)="","",INDEX(기본자료!$D$2:$D$501,$AB25)))</f>
        <v/>
      </c>
      <c r="G25" s="10">
        <f>IF($AB25="","",IF(INDEX(기본자료!$E$2:$E$501,$AB25)="","",INDEX(기본자료!$E$2:$E$501,$AB25)))</f>
        <v/>
      </c>
      <c r="H25" s="10">
        <f>IF($AB25="","",IF(INDEX(기본자료!$F$2:$F$501,$AB25)="","",INDEX(기본자료!$F$2:$F$501,$AB25)))</f>
        <v/>
      </c>
      <c r="I25" s="11">
        <f>IF($AB25="","",IF(INDEX(기본자료!$G$2:$G$501,$AB25)="","",IF(NOT(ISNUMBER(INDEX(기본자료!$G$2:$G$501,$AB25))),INDEX(기본자료!$G$2:$G$501,$AB25),IF(INDEX(기본자료!$G$2:$G$501,$AB25)&lt;1000000,INDEX(기본자료!$G$2:$G$501,$AB25),IF(AND(INDEX(기본자료!$G$2:$G$501,$AB25)&gt;=10000101,INT(MOD(INDEX(기본자료!$G$2:$G$501,$AB25),10000)/100)&gt;=1,INT(MOD(INDEX(기본자료!$G$2:$G$501,$AB25),10000)/100)&lt;=12,MOD(INDEX(기본자료!$G$2:$G$501,$AB25),100)&gt;=1,MOD(INDEX(기본자료!$G$2:$G$501,$AB25),100)&lt;=31),DATE(INT(INDEX(기본자료!$G$2:$G$501,$AB25)/10000),INT(MOD(INDEX(기본자료!$G$2:$G$501,$AB25),10000)/100),MOD(INDEX(기본자료!$G$2:$G$501,$AB25),100)),INDEX(기본자료!$G$2:$G$501,$AB25)&amp;"")))))</f>
        <v/>
      </c>
      <c r="J25" s="10">
        <f>IF($AB25="","",IF(INDEX(기본자료!$H$2:$H$501,$AB25)="","",INDEX(기본자료!$H$2:$H$501,$AB25)))</f>
        <v/>
      </c>
      <c r="K25" s="10">
        <f>IF($AB25="","",IF(INDEX(기본자료!$I$2:$I$501,$AB25)="","",INDEX(기본자료!$I$2:$I$501,$AB25)))</f>
        <v/>
      </c>
      <c r="L25" s="10">
        <f>IF($AB25="","",IF(INDEX(기본자료!$A$2:$A$501,$AB25)="","",INDEX(기본자료!$A$2:$A$501,$AB25)))</f>
        <v/>
      </c>
      <c r="M25" s="14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4" t="n"/>
      <c r="Q25" s="14" t="n"/>
      <c r="R25" s="14" t="n"/>
      <c r="S25" s="15" t="n"/>
      <c r="T25" s="15" t="n"/>
      <c r="U25" s="10">
        <f>IF(OR($B25="",$S25=""),"",IF(TODAY()&lt;$S25,"파견예정",IF(AND($T25&lt;&gt;"",TODAY()&gt;$T25),"파견종료","파견중")))</f>
        <v/>
      </c>
      <c r="V25" s="16">
        <f>IF(OR($S25="",$T25=""),"",$T25-$S25+1)</f>
        <v/>
      </c>
      <c r="W25" s="16">
        <f>IF(AND($U25="파견중",$T25&lt;&gt;""),$T25-TODAY(),"")</f>
        <v/>
      </c>
      <c r="X25" s="16">
        <f>IF(OR($B25="",$S25=""),"",MAX(0,MIN(IF($T25="",EOMONTH(요약!$B$3,0),$T25),EOMONTH(요약!$B$3,0))-MAX($S25,요약!$B$3)+1))</f>
        <v/>
      </c>
      <c r="Y25" s="10">
        <f>IF($B25="","",IF($AE25="","",IF(OR($S25="",$P25="",N($X25)&lt;=0),$AE25,IF($P25="다기관파견",$AE25,IF($AE25="구리병원",IF(AND($Q25&lt;&gt;"",N($X25)&gt;=요약!$E$3),$Q25,$AE25),IF(AND($P25="일반파견(단독)",$Q25&lt;&gt;""),$Q25,$AE25))))))</f>
        <v/>
      </c>
      <c r="Z25" s="17">
        <f>IF($B25="","",IF($AB25="","기본자료에 없는 사번",IF(COUNTIF($B$2:$B$201,$B25)&gt;1,"중복 사번",IF($M25="","입사장소 입력",IF(AND($P25&lt;&gt;"",$S25=""),"파견시작일 입력",IF(AND($S25&lt;&gt;"",$P25=""),"파견종류 입력",IF(AND($P25&lt;&gt;"",$P25&lt;&gt;"다기관파견",$Q25=""),"파견병원 입력",IF(IF($AC25="",0,N(INDEX(인턴근무계획!$T$3:$T$202,$AC25)))&gt;0,"인턴계획 입력오류 확인",IF(AND($AC25&lt;&gt;"",$U25&lt;&gt;"파견중",$N25&lt;&gt;$AE25),"인턴 타지역 근무: 파견 여부 확인","정상")))))))))</f>
        <v/>
      </c>
      <c r="AA25" s="5" t="n"/>
      <c r="AB25" s="10">
        <f>IF($B25="","",IFERROR(MATCH($B25,기본자료!$B$2:$B$501,0),IFERROR(MATCH($B25&amp;"",기본자료!$B$2:$B$501,0),IFERROR(MATCH(VALUE($B25),기본자료!$B$2:$B$501,0),""))))</f>
        <v/>
      </c>
      <c r="AC25" s="10">
        <f>IF($B25="","",IFERROR(MATCH($B25,인턴근무계획!$D$3:$D$202,0),IFERROR(MATCH($B25&amp;"",인턴근무계획!$D$3:$D$202,0),IFERROR(MATCH(VALUE($B25),인턴근무계획!$D$3:$D$202,0),""))))</f>
        <v/>
      </c>
      <c r="AD25" s="10">
        <f>IF(OR($AC25="",인턴현황!$G$3=""),"",INDEX(인턴근무계획!$M$3:$R$202,$AC25,인턴현황!$G$3)&amp;"")</f>
        <v/>
      </c>
      <c r="AE25" s="10">
        <f>IF($B25="","",IF($M25&lt;&gt;"",$M25,IF($H25="","",IF(RIGHT($H25,2)="병원",$H25,$H25&amp;"병원"))))</f>
        <v/>
      </c>
    </row>
    <row r="26">
      <c r="A26" s="10">
        <f>IF(B26="","",ROW()-1)</f>
        <v/>
      </c>
      <c r="B26" s="13" t="n"/>
      <c r="C26" s="10">
        <f>IF($AB26="","",IF(INDEX(기본자료!$C$2:$C$501,$AB26)="","",INDEX(기본자료!$C$2:$C$501,$AB26)))</f>
        <v/>
      </c>
      <c r="D26" s="10">
        <f>IF($AB26="","",IF(INDEX(기본자료!$J$2:$J$501,$AB26)="","",INDEX(기본자료!$J$2:$J$501,$AB26)))</f>
        <v/>
      </c>
      <c r="E26" s="11">
        <f>IF($AB26="","",IF(INDEX(기본자료!$K$2:$K$501,$AB26)="","",IF(NOT(ISNUMBER(INDEX(기본자료!$K$2:$K$501,$AB26))),INDEX(기본자료!$K$2:$K$501,$AB26),IF(INDEX(기본자료!$K$2:$K$501,$AB26)&lt;1000000,INDEX(기본자료!$K$2:$K$501,$AB26),IF(AND(INDEX(기본자료!$K$2:$K$501,$AB26)&gt;=10000101,INT(MOD(INDEX(기본자료!$K$2:$K$501,$AB26),10000)/100)&gt;=1,INT(MOD(INDEX(기본자료!$K$2:$K$501,$AB26),10000)/100)&lt;=12,MOD(INDEX(기본자료!$K$2:$K$501,$AB26),100)&gt;=1,MOD(INDEX(기본자료!$K$2:$K$501,$AB26),100)&lt;=31),DATE(INT(INDEX(기본자료!$K$2:$K$501,$AB26)/10000),INT(MOD(INDEX(기본자료!$K$2:$K$501,$AB26),10000)/100),MOD(INDEX(기본자료!$K$2:$K$501,$AB26),100)),INDEX(기본자료!$K$2:$K$501,$AB26)&amp;"")))))</f>
        <v/>
      </c>
      <c r="F26" s="10">
        <f>IF($AB26="","",IF(INDEX(기본자료!$D$2:$D$501,$AB26)="","",INDEX(기본자료!$D$2:$D$501,$AB26)))</f>
        <v/>
      </c>
      <c r="G26" s="10">
        <f>IF($AB26="","",IF(INDEX(기본자료!$E$2:$E$501,$AB26)="","",INDEX(기본자료!$E$2:$E$501,$AB26)))</f>
        <v/>
      </c>
      <c r="H26" s="10">
        <f>IF($AB26="","",IF(INDEX(기본자료!$F$2:$F$501,$AB26)="","",INDEX(기본자료!$F$2:$F$501,$AB26)))</f>
        <v/>
      </c>
      <c r="I26" s="11">
        <f>IF($AB26="","",IF(INDEX(기본자료!$G$2:$G$501,$AB26)="","",IF(NOT(ISNUMBER(INDEX(기본자료!$G$2:$G$501,$AB26))),INDEX(기본자료!$G$2:$G$501,$AB26),IF(INDEX(기본자료!$G$2:$G$501,$AB26)&lt;1000000,INDEX(기본자료!$G$2:$G$501,$AB26),IF(AND(INDEX(기본자료!$G$2:$G$501,$AB26)&gt;=10000101,INT(MOD(INDEX(기본자료!$G$2:$G$501,$AB26),10000)/100)&gt;=1,INT(MOD(INDEX(기본자료!$G$2:$G$501,$AB26),10000)/100)&lt;=12,MOD(INDEX(기본자료!$G$2:$G$501,$AB26),100)&gt;=1,MOD(INDEX(기본자료!$G$2:$G$501,$AB26),100)&lt;=31),DATE(INT(INDEX(기본자료!$G$2:$G$501,$AB26)/10000),INT(MOD(INDEX(기본자료!$G$2:$G$501,$AB26),10000)/100),MOD(INDEX(기본자료!$G$2:$G$501,$AB26),100)),INDEX(기본자료!$G$2:$G$501,$AB26)&amp;"")))))</f>
        <v/>
      </c>
      <c r="J26" s="10">
        <f>IF($AB26="","",IF(INDEX(기본자료!$H$2:$H$501,$AB26)="","",INDEX(기본자료!$H$2:$H$501,$AB26)))</f>
        <v/>
      </c>
      <c r="K26" s="10">
        <f>IF($AB26="","",IF(INDEX(기본자료!$I$2:$I$501,$AB26)="","",INDEX(기본자료!$I$2:$I$501,$AB26)))</f>
        <v/>
      </c>
      <c r="L26" s="10">
        <f>IF($AB26="","",IF(INDEX(기본자료!$A$2:$A$501,$AB26)="","",INDEX(기본자료!$A$2:$A$501,$AB26)))</f>
        <v/>
      </c>
      <c r="M26" s="14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4" t="n"/>
      <c r="Q26" s="14" t="n"/>
      <c r="R26" s="14" t="n"/>
      <c r="S26" s="15" t="n"/>
      <c r="T26" s="15" t="n"/>
      <c r="U26" s="10">
        <f>IF(OR($B26="",$S26=""),"",IF(TODAY()&lt;$S26,"파견예정",IF(AND($T26&lt;&gt;"",TODAY()&gt;$T26),"파견종료","파견중")))</f>
        <v/>
      </c>
      <c r="V26" s="16">
        <f>IF(OR($S26="",$T26=""),"",$T26-$S26+1)</f>
        <v/>
      </c>
      <c r="W26" s="16">
        <f>IF(AND($U26="파견중",$T26&lt;&gt;""),$T26-TODAY(),"")</f>
        <v/>
      </c>
      <c r="X26" s="16">
        <f>IF(OR($B26="",$S26=""),"",MAX(0,MIN(IF($T26="",EOMONTH(요약!$B$3,0),$T26),EOMONTH(요약!$B$3,0))-MAX($S26,요약!$B$3)+1))</f>
        <v/>
      </c>
      <c r="Y26" s="10">
        <f>IF($B26="","",IF($AE26="","",IF(OR($S26="",$P26="",N($X26)&lt;=0),$AE26,IF($P26="다기관파견",$AE26,IF($AE26="구리병원",IF(AND($Q26&lt;&gt;"",N($X26)&gt;=요약!$E$3),$Q26,$AE26),IF(AND($P26="일반파견(단독)",$Q26&lt;&gt;""),$Q26,$AE26))))))</f>
        <v/>
      </c>
      <c r="Z26" s="17">
        <f>IF($B26="","",IF($AB26="","기본자료에 없는 사번",IF(COUNTIF($B$2:$B$201,$B26)&gt;1,"중복 사번",IF($M26="","입사장소 입력",IF(AND($P26&lt;&gt;"",$S26=""),"파견시작일 입력",IF(AND($S26&lt;&gt;"",$P26=""),"파견종류 입력",IF(AND($P26&lt;&gt;"",$P26&lt;&gt;"다기관파견",$Q26=""),"파견병원 입력",IF(IF($AC26="",0,N(INDEX(인턴근무계획!$T$3:$T$202,$AC26)))&gt;0,"인턴계획 입력오류 확인",IF(AND($AC26&lt;&gt;"",$U26&lt;&gt;"파견중",$N26&lt;&gt;$AE26),"인턴 타지역 근무: 파견 여부 확인","정상")))))))))</f>
        <v/>
      </c>
      <c r="AA26" s="5" t="n"/>
      <c r="AB26" s="10">
        <f>IF($B26="","",IFERROR(MATCH($B26,기본자료!$B$2:$B$501,0),IFERROR(MATCH($B26&amp;"",기본자료!$B$2:$B$501,0),IFERROR(MATCH(VALUE($B26),기본자료!$B$2:$B$501,0),""))))</f>
        <v/>
      </c>
      <c r="AC26" s="10">
        <f>IF($B26="","",IFERROR(MATCH($B26,인턴근무계획!$D$3:$D$202,0),IFERROR(MATCH($B26&amp;"",인턴근무계획!$D$3:$D$202,0),IFERROR(MATCH(VALUE($B26),인턴근무계획!$D$3:$D$202,0),""))))</f>
        <v/>
      </c>
      <c r="AD26" s="10">
        <f>IF(OR($AC26="",인턴현황!$G$3=""),"",INDEX(인턴근무계획!$M$3:$R$202,$AC26,인턴현황!$G$3)&amp;"")</f>
        <v/>
      </c>
      <c r="AE26" s="10">
        <f>IF($B26="","",IF($M26&lt;&gt;"",$M26,IF($H26="","",IF(RIGHT($H26,2)="병원",$H26,$H26&amp;"병원"))))</f>
        <v/>
      </c>
    </row>
    <row r="27">
      <c r="A27" s="10">
        <f>IF(B27="","",ROW()-1)</f>
        <v/>
      </c>
      <c r="B27" s="13" t="n"/>
      <c r="C27" s="10">
        <f>IF($AB27="","",IF(INDEX(기본자료!$C$2:$C$501,$AB27)="","",INDEX(기본자료!$C$2:$C$501,$AB27)))</f>
        <v/>
      </c>
      <c r="D27" s="10">
        <f>IF($AB27="","",IF(INDEX(기본자료!$J$2:$J$501,$AB27)="","",INDEX(기본자료!$J$2:$J$501,$AB27)))</f>
        <v/>
      </c>
      <c r="E27" s="11">
        <f>IF($AB27="","",IF(INDEX(기본자료!$K$2:$K$501,$AB27)="","",IF(NOT(ISNUMBER(INDEX(기본자료!$K$2:$K$501,$AB27))),INDEX(기본자료!$K$2:$K$501,$AB27),IF(INDEX(기본자료!$K$2:$K$501,$AB27)&lt;1000000,INDEX(기본자료!$K$2:$K$501,$AB27),IF(AND(INDEX(기본자료!$K$2:$K$501,$AB27)&gt;=10000101,INT(MOD(INDEX(기본자료!$K$2:$K$501,$AB27),10000)/100)&gt;=1,INT(MOD(INDEX(기본자료!$K$2:$K$501,$AB27),10000)/100)&lt;=12,MOD(INDEX(기본자료!$K$2:$K$501,$AB27),100)&gt;=1,MOD(INDEX(기본자료!$K$2:$K$501,$AB27),100)&lt;=31),DATE(INT(INDEX(기본자료!$K$2:$K$501,$AB27)/10000),INT(MOD(INDEX(기본자료!$K$2:$K$501,$AB27),10000)/100),MOD(INDEX(기본자료!$K$2:$K$501,$AB27),100)),INDEX(기본자료!$K$2:$K$501,$AB27)&amp;"")))))</f>
        <v/>
      </c>
      <c r="F27" s="10">
        <f>IF($AB27="","",IF(INDEX(기본자료!$D$2:$D$501,$AB27)="","",INDEX(기본자료!$D$2:$D$501,$AB27)))</f>
        <v/>
      </c>
      <c r="G27" s="10">
        <f>IF($AB27="","",IF(INDEX(기본자료!$E$2:$E$501,$AB27)="","",INDEX(기본자료!$E$2:$E$501,$AB27)))</f>
        <v/>
      </c>
      <c r="H27" s="10">
        <f>IF($AB27="","",IF(INDEX(기본자료!$F$2:$F$501,$AB27)="","",INDEX(기본자료!$F$2:$F$501,$AB27)))</f>
        <v/>
      </c>
      <c r="I27" s="11">
        <f>IF($AB27="","",IF(INDEX(기본자료!$G$2:$G$501,$AB27)="","",IF(NOT(ISNUMBER(INDEX(기본자료!$G$2:$G$501,$AB27))),INDEX(기본자료!$G$2:$G$501,$AB27),IF(INDEX(기본자료!$G$2:$G$501,$AB27)&lt;1000000,INDEX(기본자료!$G$2:$G$501,$AB27),IF(AND(INDEX(기본자료!$G$2:$G$501,$AB27)&gt;=10000101,INT(MOD(INDEX(기본자료!$G$2:$G$501,$AB27),10000)/100)&gt;=1,INT(MOD(INDEX(기본자료!$G$2:$G$501,$AB27),10000)/100)&lt;=12,MOD(INDEX(기본자료!$G$2:$G$501,$AB27),100)&gt;=1,MOD(INDEX(기본자료!$G$2:$G$501,$AB27),100)&lt;=31),DATE(INT(INDEX(기본자료!$G$2:$G$501,$AB27)/10000),INT(MOD(INDEX(기본자료!$G$2:$G$501,$AB27),10000)/100),MOD(INDEX(기본자료!$G$2:$G$501,$AB27),100)),INDEX(기본자료!$G$2:$G$501,$AB27)&amp;"")))))</f>
        <v/>
      </c>
      <c r="J27" s="10">
        <f>IF($AB27="","",IF(INDEX(기본자료!$H$2:$H$501,$AB27)="","",INDEX(기본자료!$H$2:$H$501,$AB27)))</f>
        <v/>
      </c>
      <c r="K27" s="10">
        <f>IF($AB27="","",IF(INDEX(기본자료!$I$2:$I$501,$AB27)="","",INDEX(기본자료!$I$2:$I$501,$AB27)))</f>
        <v/>
      </c>
      <c r="L27" s="10">
        <f>IF($AB27="","",IF(INDEX(기본자료!$A$2:$A$501,$AB27)="","",INDEX(기본자료!$A$2:$A$501,$AB27)))</f>
        <v/>
      </c>
      <c r="M27" s="14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4" t="n"/>
      <c r="Q27" s="14" t="n"/>
      <c r="R27" s="14" t="n"/>
      <c r="S27" s="15" t="n"/>
      <c r="T27" s="15" t="n"/>
      <c r="U27" s="10">
        <f>IF(OR($B27="",$S27=""),"",IF(TODAY()&lt;$S27,"파견예정",IF(AND($T27&lt;&gt;"",TODAY()&gt;$T27),"파견종료","파견중")))</f>
        <v/>
      </c>
      <c r="V27" s="16">
        <f>IF(OR($S27="",$T27=""),"",$T27-$S27+1)</f>
        <v/>
      </c>
      <c r="W27" s="16">
        <f>IF(AND($U27="파견중",$T27&lt;&gt;""),$T27-TODAY(),"")</f>
        <v/>
      </c>
      <c r="X27" s="16">
        <f>IF(OR($B27="",$S27=""),"",MAX(0,MIN(IF($T27="",EOMONTH(요약!$B$3,0),$T27),EOMONTH(요약!$B$3,0))-MAX($S27,요약!$B$3)+1))</f>
        <v/>
      </c>
      <c r="Y27" s="10">
        <f>IF($B27="","",IF($AE27="","",IF(OR($S27="",$P27="",N($X27)&lt;=0),$AE27,IF($P27="다기관파견",$AE27,IF($AE27="구리병원",IF(AND($Q27&lt;&gt;"",N($X27)&gt;=요약!$E$3),$Q27,$AE27),IF(AND($P27="일반파견(단독)",$Q27&lt;&gt;""),$Q27,$AE27))))))</f>
        <v/>
      </c>
      <c r="Z27" s="17">
        <f>IF($B27="","",IF($AB27="","기본자료에 없는 사번",IF(COUNTIF($B$2:$B$201,$B27)&gt;1,"중복 사번",IF($M27="","입사장소 입력",IF(AND($P27&lt;&gt;"",$S27=""),"파견시작일 입력",IF(AND($S27&lt;&gt;"",$P27=""),"파견종류 입력",IF(AND($P27&lt;&gt;"",$P27&lt;&gt;"다기관파견",$Q27=""),"파견병원 입력",IF(IF($AC27="",0,N(INDEX(인턴근무계획!$T$3:$T$202,$AC27)))&gt;0,"인턴계획 입력오류 확인",IF(AND($AC27&lt;&gt;"",$U27&lt;&gt;"파견중",$N27&lt;&gt;$AE27),"인턴 타지역 근무: 파견 여부 확인","정상")))))))))</f>
        <v/>
      </c>
      <c r="AA27" s="5" t="n"/>
      <c r="AB27" s="10">
        <f>IF($B27="","",IFERROR(MATCH($B27,기본자료!$B$2:$B$501,0),IFERROR(MATCH($B27&amp;"",기본자료!$B$2:$B$501,0),IFERROR(MATCH(VALUE($B27),기본자료!$B$2:$B$501,0),""))))</f>
        <v/>
      </c>
      <c r="AC27" s="10">
        <f>IF($B27="","",IFERROR(MATCH($B27,인턴근무계획!$D$3:$D$202,0),IFERROR(MATCH($B27&amp;"",인턴근무계획!$D$3:$D$202,0),IFERROR(MATCH(VALUE($B27),인턴근무계획!$D$3:$D$202,0),""))))</f>
        <v/>
      </c>
      <c r="AD27" s="10">
        <f>IF(OR($AC27="",인턴현황!$G$3=""),"",INDEX(인턴근무계획!$M$3:$R$202,$AC27,인턴현황!$G$3)&amp;"")</f>
        <v/>
      </c>
      <c r="AE27" s="10">
        <f>IF($B27="","",IF($M27&lt;&gt;"",$M27,IF($H27="","",IF(RIGHT($H27,2)="병원",$H27,$H27&amp;"병원"))))</f>
        <v/>
      </c>
    </row>
    <row r="28">
      <c r="A28" s="10">
        <f>IF(B28="","",ROW()-1)</f>
        <v/>
      </c>
      <c r="B28" s="13" t="n"/>
      <c r="C28" s="10">
        <f>IF($AB28="","",IF(INDEX(기본자료!$C$2:$C$501,$AB28)="","",INDEX(기본자료!$C$2:$C$501,$AB28)))</f>
        <v/>
      </c>
      <c r="D28" s="10">
        <f>IF($AB28="","",IF(INDEX(기본자료!$J$2:$J$501,$AB28)="","",INDEX(기본자료!$J$2:$J$501,$AB28)))</f>
        <v/>
      </c>
      <c r="E28" s="11">
        <f>IF($AB28="","",IF(INDEX(기본자료!$K$2:$K$501,$AB28)="","",IF(NOT(ISNUMBER(INDEX(기본자료!$K$2:$K$501,$AB28))),INDEX(기본자료!$K$2:$K$501,$AB28),IF(INDEX(기본자료!$K$2:$K$501,$AB28)&lt;1000000,INDEX(기본자료!$K$2:$K$501,$AB28),IF(AND(INDEX(기본자료!$K$2:$K$501,$AB28)&gt;=10000101,INT(MOD(INDEX(기본자료!$K$2:$K$501,$AB28),10000)/100)&gt;=1,INT(MOD(INDEX(기본자료!$K$2:$K$501,$AB28),10000)/100)&lt;=12,MOD(INDEX(기본자료!$K$2:$K$501,$AB28),100)&gt;=1,MOD(INDEX(기본자료!$K$2:$K$501,$AB28),100)&lt;=31),DATE(INT(INDEX(기본자료!$K$2:$K$501,$AB28)/10000),INT(MOD(INDEX(기본자료!$K$2:$K$501,$AB28),10000)/100),MOD(INDEX(기본자료!$K$2:$K$501,$AB28),100)),INDEX(기본자료!$K$2:$K$501,$AB28)&amp;"")))))</f>
        <v/>
      </c>
      <c r="F28" s="10">
        <f>IF($AB28="","",IF(INDEX(기본자료!$D$2:$D$501,$AB28)="","",INDEX(기본자료!$D$2:$D$501,$AB28)))</f>
        <v/>
      </c>
      <c r="G28" s="10">
        <f>IF($AB28="","",IF(INDEX(기본자료!$E$2:$E$501,$AB28)="","",INDEX(기본자료!$E$2:$E$501,$AB28)))</f>
        <v/>
      </c>
      <c r="H28" s="10">
        <f>IF($AB28="","",IF(INDEX(기본자료!$F$2:$F$501,$AB28)="","",INDEX(기본자료!$F$2:$F$501,$AB28)))</f>
        <v/>
      </c>
      <c r="I28" s="11">
        <f>IF($AB28="","",IF(INDEX(기본자료!$G$2:$G$501,$AB28)="","",IF(NOT(ISNUMBER(INDEX(기본자료!$G$2:$G$501,$AB28))),INDEX(기본자료!$G$2:$G$501,$AB28),IF(INDEX(기본자료!$G$2:$G$501,$AB28)&lt;1000000,INDEX(기본자료!$G$2:$G$501,$AB28),IF(AND(INDEX(기본자료!$G$2:$G$501,$AB28)&gt;=10000101,INT(MOD(INDEX(기본자료!$G$2:$G$501,$AB28),10000)/100)&gt;=1,INT(MOD(INDEX(기본자료!$G$2:$G$501,$AB28),10000)/100)&lt;=12,MOD(INDEX(기본자료!$G$2:$G$501,$AB28),100)&gt;=1,MOD(INDEX(기본자료!$G$2:$G$501,$AB28),100)&lt;=31),DATE(INT(INDEX(기본자료!$G$2:$G$501,$AB28)/10000),INT(MOD(INDEX(기본자료!$G$2:$G$501,$AB28),10000)/100),MOD(INDEX(기본자료!$G$2:$G$501,$AB28),100)),INDEX(기본자료!$G$2:$G$501,$AB28)&amp;"")))))</f>
        <v/>
      </c>
      <c r="J28" s="10">
        <f>IF($AB28="","",IF(INDEX(기본자료!$H$2:$H$501,$AB28)="","",INDEX(기본자료!$H$2:$H$501,$AB28)))</f>
        <v/>
      </c>
      <c r="K28" s="10">
        <f>IF($AB28="","",IF(INDEX(기본자료!$I$2:$I$501,$AB28)="","",INDEX(기본자료!$I$2:$I$501,$AB28)))</f>
        <v/>
      </c>
      <c r="L28" s="10">
        <f>IF($AB28="","",IF(INDEX(기본자료!$A$2:$A$501,$AB28)="","",INDEX(기본자료!$A$2:$A$501,$AB28)))</f>
        <v/>
      </c>
      <c r="M28" s="14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4" t="n"/>
      <c r="Q28" s="14" t="n"/>
      <c r="R28" s="14" t="n"/>
      <c r="S28" s="15" t="n"/>
      <c r="T28" s="15" t="n"/>
      <c r="U28" s="10">
        <f>IF(OR($B28="",$S28=""),"",IF(TODAY()&lt;$S28,"파견예정",IF(AND($T28&lt;&gt;"",TODAY()&gt;$T28),"파견종료","파견중")))</f>
        <v/>
      </c>
      <c r="V28" s="16">
        <f>IF(OR($S28="",$T28=""),"",$T28-$S28+1)</f>
        <v/>
      </c>
      <c r="W28" s="16">
        <f>IF(AND($U28="파견중",$T28&lt;&gt;""),$T28-TODAY(),"")</f>
        <v/>
      </c>
      <c r="X28" s="16">
        <f>IF(OR($B28="",$S28=""),"",MAX(0,MIN(IF($T28="",EOMONTH(요약!$B$3,0),$T28),EOMONTH(요약!$B$3,0))-MAX($S28,요약!$B$3)+1))</f>
        <v/>
      </c>
      <c r="Y28" s="10">
        <f>IF($B28="","",IF($AE28="","",IF(OR($S28="",$P28="",N($X28)&lt;=0),$AE28,IF($P28="다기관파견",$AE28,IF($AE28="구리병원",IF(AND($Q28&lt;&gt;"",N($X28)&gt;=요약!$E$3),$Q28,$AE28),IF(AND($P28="일반파견(단독)",$Q28&lt;&gt;""),$Q28,$AE28))))))</f>
        <v/>
      </c>
      <c r="Z28" s="17">
        <f>IF($B28="","",IF($AB28="","기본자료에 없는 사번",IF(COUNTIF($B$2:$B$201,$B28)&gt;1,"중복 사번",IF($M28="","입사장소 입력",IF(AND($P28&lt;&gt;"",$S28=""),"파견시작일 입력",IF(AND($S28&lt;&gt;"",$P28=""),"파견종류 입력",IF(AND($P28&lt;&gt;"",$P28&lt;&gt;"다기관파견",$Q28=""),"파견병원 입력",IF(IF($AC28="",0,N(INDEX(인턴근무계획!$T$3:$T$202,$AC28)))&gt;0,"인턴계획 입력오류 확인",IF(AND($AC28&lt;&gt;"",$U28&lt;&gt;"파견중",$N28&lt;&gt;$AE28),"인턴 타지역 근무: 파견 여부 확인","정상")))))))))</f>
        <v/>
      </c>
      <c r="AA28" s="5" t="n"/>
      <c r="AB28" s="10">
        <f>IF($B28="","",IFERROR(MATCH($B28,기본자료!$B$2:$B$501,0),IFERROR(MATCH($B28&amp;"",기본자료!$B$2:$B$501,0),IFERROR(MATCH(VALUE($B28),기본자료!$B$2:$B$501,0),""))))</f>
        <v/>
      </c>
      <c r="AC28" s="10">
        <f>IF($B28="","",IFERROR(MATCH($B28,인턴근무계획!$D$3:$D$202,0),IFERROR(MATCH($B28&amp;"",인턴근무계획!$D$3:$D$202,0),IFERROR(MATCH(VALUE($B28),인턴근무계획!$D$3:$D$202,0),""))))</f>
        <v/>
      </c>
      <c r="AD28" s="10">
        <f>IF(OR($AC28="",인턴현황!$G$3=""),"",INDEX(인턴근무계획!$M$3:$R$202,$AC28,인턴현황!$G$3)&amp;"")</f>
        <v/>
      </c>
      <c r="AE28" s="10">
        <f>IF($B28="","",IF($M28&lt;&gt;"",$M28,IF($H28="","",IF(RIGHT($H28,2)="병원",$H28,$H28&amp;"병원"))))</f>
        <v/>
      </c>
    </row>
    <row r="29">
      <c r="A29" s="10">
        <f>IF(B29="","",ROW()-1)</f>
        <v/>
      </c>
      <c r="B29" s="13" t="n"/>
      <c r="C29" s="10">
        <f>IF($AB29="","",IF(INDEX(기본자료!$C$2:$C$501,$AB29)="","",INDEX(기본자료!$C$2:$C$501,$AB29)))</f>
        <v/>
      </c>
      <c r="D29" s="10">
        <f>IF($AB29="","",IF(INDEX(기본자료!$J$2:$J$501,$AB29)="","",INDEX(기본자료!$J$2:$J$501,$AB29)))</f>
        <v/>
      </c>
      <c r="E29" s="11">
        <f>IF($AB29="","",IF(INDEX(기본자료!$K$2:$K$501,$AB29)="","",IF(NOT(ISNUMBER(INDEX(기본자료!$K$2:$K$501,$AB29))),INDEX(기본자료!$K$2:$K$501,$AB29),IF(INDEX(기본자료!$K$2:$K$501,$AB29)&lt;1000000,INDEX(기본자료!$K$2:$K$501,$AB29),IF(AND(INDEX(기본자료!$K$2:$K$501,$AB29)&gt;=10000101,INT(MOD(INDEX(기본자료!$K$2:$K$501,$AB29),10000)/100)&gt;=1,INT(MOD(INDEX(기본자료!$K$2:$K$501,$AB29),10000)/100)&lt;=12,MOD(INDEX(기본자료!$K$2:$K$501,$AB29),100)&gt;=1,MOD(INDEX(기본자료!$K$2:$K$501,$AB29),100)&lt;=31),DATE(INT(INDEX(기본자료!$K$2:$K$501,$AB29)/10000),INT(MOD(INDEX(기본자료!$K$2:$K$501,$AB29),10000)/100),MOD(INDEX(기본자료!$K$2:$K$501,$AB29),100)),INDEX(기본자료!$K$2:$K$501,$AB29)&amp;"")))))</f>
        <v/>
      </c>
      <c r="F29" s="10">
        <f>IF($AB29="","",IF(INDEX(기본자료!$D$2:$D$501,$AB29)="","",INDEX(기본자료!$D$2:$D$501,$AB29)))</f>
        <v/>
      </c>
      <c r="G29" s="10">
        <f>IF($AB29="","",IF(INDEX(기본자료!$E$2:$E$501,$AB29)="","",INDEX(기본자료!$E$2:$E$501,$AB29)))</f>
        <v/>
      </c>
      <c r="H29" s="10">
        <f>IF($AB29="","",IF(INDEX(기본자료!$F$2:$F$501,$AB29)="","",INDEX(기본자료!$F$2:$F$501,$AB29)))</f>
        <v/>
      </c>
      <c r="I29" s="11">
        <f>IF($AB29="","",IF(INDEX(기본자료!$G$2:$G$501,$AB29)="","",IF(NOT(ISNUMBER(INDEX(기본자료!$G$2:$G$501,$AB29))),INDEX(기본자료!$G$2:$G$501,$AB29),IF(INDEX(기본자료!$G$2:$G$501,$AB29)&lt;1000000,INDEX(기본자료!$G$2:$G$501,$AB29),IF(AND(INDEX(기본자료!$G$2:$G$501,$AB29)&gt;=10000101,INT(MOD(INDEX(기본자료!$G$2:$G$501,$AB29),10000)/100)&gt;=1,INT(MOD(INDEX(기본자료!$G$2:$G$501,$AB29),10000)/100)&lt;=12,MOD(INDEX(기본자료!$G$2:$G$501,$AB29),100)&gt;=1,MOD(INDEX(기본자료!$G$2:$G$501,$AB29),100)&lt;=31),DATE(INT(INDEX(기본자료!$G$2:$G$501,$AB29)/10000),INT(MOD(INDEX(기본자료!$G$2:$G$501,$AB29),10000)/100),MOD(INDEX(기본자료!$G$2:$G$501,$AB29),100)),INDEX(기본자료!$G$2:$G$501,$AB29)&amp;"")))))</f>
        <v/>
      </c>
      <c r="J29" s="10">
        <f>IF($AB29="","",IF(INDEX(기본자료!$H$2:$H$501,$AB29)="","",INDEX(기본자료!$H$2:$H$501,$AB29)))</f>
        <v/>
      </c>
      <c r="K29" s="10">
        <f>IF($AB29="","",IF(INDEX(기본자료!$I$2:$I$501,$AB29)="","",INDEX(기본자료!$I$2:$I$501,$AB29)))</f>
        <v/>
      </c>
      <c r="L29" s="10">
        <f>IF($AB29="","",IF(INDEX(기본자료!$A$2:$A$501,$AB29)="","",INDEX(기본자료!$A$2:$A$501,$AB29)))</f>
        <v/>
      </c>
      <c r="M29" s="14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4" t="n"/>
      <c r="Q29" s="14" t="n"/>
      <c r="R29" s="14" t="n"/>
      <c r="S29" s="15" t="n"/>
      <c r="T29" s="15" t="n"/>
      <c r="U29" s="10">
        <f>IF(OR($B29="",$S29=""),"",IF(TODAY()&lt;$S29,"파견예정",IF(AND($T29&lt;&gt;"",TODAY()&gt;$T29),"파견종료","파견중")))</f>
        <v/>
      </c>
      <c r="V29" s="16">
        <f>IF(OR($S29="",$T29=""),"",$T29-$S29+1)</f>
        <v/>
      </c>
      <c r="W29" s="16">
        <f>IF(AND($U29="파견중",$T29&lt;&gt;""),$T29-TODAY(),"")</f>
        <v/>
      </c>
      <c r="X29" s="16">
        <f>IF(OR($B29="",$S29=""),"",MAX(0,MIN(IF($T29="",EOMONTH(요약!$B$3,0),$T29),EOMONTH(요약!$B$3,0))-MAX($S29,요약!$B$3)+1))</f>
        <v/>
      </c>
      <c r="Y29" s="10">
        <f>IF($B29="","",IF($AE29="","",IF(OR($S29="",$P29="",N($X29)&lt;=0),$AE29,IF($P29="다기관파견",$AE29,IF($AE29="구리병원",IF(AND($Q29&lt;&gt;"",N($X29)&gt;=요약!$E$3),$Q29,$AE29),IF(AND($P29="일반파견(단독)",$Q29&lt;&gt;""),$Q29,$AE29))))))</f>
        <v/>
      </c>
      <c r="Z29" s="17">
        <f>IF($B29="","",IF($AB29="","기본자료에 없는 사번",IF(COUNTIF($B$2:$B$201,$B29)&gt;1,"중복 사번",IF($M29="","입사장소 입력",IF(AND($P29&lt;&gt;"",$S29=""),"파견시작일 입력",IF(AND($S29&lt;&gt;"",$P29=""),"파견종류 입력",IF(AND($P29&lt;&gt;"",$P29&lt;&gt;"다기관파견",$Q29=""),"파견병원 입력",IF(IF($AC29="",0,N(INDEX(인턴근무계획!$T$3:$T$202,$AC29)))&gt;0,"인턴계획 입력오류 확인",IF(AND($AC29&lt;&gt;"",$U29&lt;&gt;"파견중",$N29&lt;&gt;$AE29),"인턴 타지역 근무: 파견 여부 확인","정상")))))))))</f>
        <v/>
      </c>
      <c r="AA29" s="5" t="n"/>
      <c r="AB29" s="10">
        <f>IF($B29="","",IFERROR(MATCH($B29,기본자료!$B$2:$B$501,0),IFERROR(MATCH($B29&amp;"",기본자료!$B$2:$B$501,0),IFERROR(MATCH(VALUE($B29),기본자료!$B$2:$B$501,0),""))))</f>
        <v/>
      </c>
      <c r="AC29" s="10">
        <f>IF($B29="","",IFERROR(MATCH($B29,인턴근무계획!$D$3:$D$202,0),IFERROR(MATCH($B29&amp;"",인턴근무계획!$D$3:$D$202,0),IFERROR(MATCH(VALUE($B29),인턴근무계획!$D$3:$D$202,0),""))))</f>
        <v/>
      </c>
      <c r="AD29" s="10">
        <f>IF(OR($AC29="",인턴현황!$G$3=""),"",INDEX(인턴근무계획!$M$3:$R$202,$AC29,인턴현황!$G$3)&amp;"")</f>
        <v/>
      </c>
      <c r="AE29" s="10">
        <f>IF($B29="","",IF($M29&lt;&gt;"",$M29,IF($H29="","",IF(RIGHT($H29,2)="병원",$H29,$H29&amp;"병원"))))</f>
        <v/>
      </c>
    </row>
    <row r="30">
      <c r="A30" s="10">
        <f>IF(B30="","",ROW()-1)</f>
        <v/>
      </c>
      <c r="B30" s="13" t="n"/>
      <c r="C30" s="10">
        <f>IF($AB30="","",IF(INDEX(기본자료!$C$2:$C$501,$AB30)="","",INDEX(기본자료!$C$2:$C$501,$AB30)))</f>
        <v/>
      </c>
      <c r="D30" s="10">
        <f>IF($AB30="","",IF(INDEX(기본자료!$J$2:$J$501,$AB30)="","",INDEX(기본자료!$J$2:$J$501,$AB30)))</f>
        <v/>
      </c>
      <c r="E30" s="11">
        <f>IF($AB30="","",IF(INDEX(기본자료!$K$2:$K$501,$AB30)="","",IF(NOT(ISNUMBER(INDEX(기본자료!$K$2:$K$501,$AB30))),INDEX(기본자료!$K$2:$K$501,$AB30),IF(INDEX(기본자료!$K$2:$K$501,$AB30)&lt;1000000,INDEX(기본자료!$K$2:$K$501,$AB30),IF(AND(INDEX(기본자료!$K$2:$K$501,$AB30)&gt;=10000101,INT(MOD(INDEX(기본자료!$K$2:$K$501,$AB30),10000)/100)&gt;=1,INT(MOD(INDEX(기본자료!$K$2:$K$501,$AB30),10000)/100)&lt;=12,MOD(INDEX(기본자료!$K$2:$K$501,$AB30),100)&gt;=1,MOD(INDEX(기본자료!$K$2:$K$501,$AB30),100)&lt;=31),DATE(INT(INDEX(기본자료!$K$2:$K$501,$AB30)/10000),INT(MOD(INDEX(기본자료!$K$2:$K$501,$AB30),10000)/100),MOD(INDEX(기본자료!$K$2:$K$501,$AB30),100)),INDEX(기본자료!$K$2:$K$501,$AB30)&amp;"")))))</f>
        <v/>
      </c>
      <c r="F30" s="10">
        <f>IF($AB30="","",IF(INDEX(기본자료!$D$2:$D$501,$AB30)="","",INDEX(기본자료!$D$2:$D$501,$AB30)))</f>
        <v/>
      </c>
      <c r="G30" s="10">
        <f>IF($AB30="","",IF(INDEX(기본자료!$E$2:$E$501,$AB30)="","",INDEX(기본자료!$E$2:$E$501,$AB30)))</f>
        <v/>
      </c>
      <c r="H30" s="10">
        <f>IF($AB30="","",IF(INDEX(기본자료!$F$2:$F$501,$AB30)="","",INDEX(기본자료!$F$2:$F$501,$AB30)))</f>
        <v/>
      </c>
      <c r="I30" s="11">
        <f>IF($AB30="","",IF(INDEX(기본자료!$G$2:$G$501,$AB30)="","",IF(NOT(ISNUMBER(INDEX(기본자료!$G$2:$G$501,$AB30))),INDEX(기본자료!$G$2:$G$501,$AB30),IF(INDEX(기본자료!$G$2:$G$501,$AB30)&lt;1000000,INDEX(기본자료!$G$2:$G$501,$AB30),IF(AND(INDEX(기본자료!$G$2:$G$501,$AB30)&gt;=10000101,INT(MOD(INDEX(기본자료!$G$2:$G$501,$AB30),10000)/100)&gt;=1,INT(MOD(INDEX(기본자료!$G$2:$G$501,$AB30),10000)/100)&lt;=12,MOD(INDEX(기본자료!$G$2:$G$501,$AB30),100)&gt;=1,MOD(INDEX(기본자료!$G$2:$G$501,$AB30),100)&lt;=31),DATE(INT(INDEX(기본자료!$G$2:$G$501,$AB30)/10000),INT(MOD(INDEX(기본자료!$G$2:$G$501,$AB30),10000)/100),MOD(INDEX(기본자료!$G$2:$G$501,$AB30),100)),INDEX(기본자료!$G$2:$G$501,$AB30)&amp;"")))))</f>
        <v/>
      </c>
      <c r="J30" s="10">
        <f>IF($AB30="","",IF(INDEX(기본자료!$H$2:$H$501,$AB30)="","",INDEX(기본자료!$H$2:$H$501,$AB30)))</f>
        <v/>
      </c>
      <c r="K30" s="10">
        <f>IF($AB30="","",IF(INDEX(기본자료!$I$2:$I$501,$AB30)="","",INDEX(기본자료!$I$2:$I$501,$AB30)))</f>
        <v/>
      </c>
      <c r="L30" s="10">
        <f>IF($AB30="","",IF(INDEX(기본자료!$A$2:$A$501,$AB30)="","",INDEX(기본자료!$A$2:$A$501,$AB30)))</f>
        <v/>
      </c>
      <c r="M30" s="14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4" t="n"/>
      <c r="Q30" s="14" t="n"/>
      <c r="R30" s="14" t="n"/>
      <c r="S30" s="15" t="n"/>
      <c r="T30" s="15" t="n"/>
      <c r="U30" s="10">
        <f>IF(OR($B30="",$S30=""),"",IF(TODAY()&lt;$S30,"파견예정",IF(AND($T30&lt;&gt;"",TODAY()&gt;$T30),"파견종료","파견중")))</f>
        <v/>
      </c>
      <c r="V30" s="16">
        <f>IF(OR($S30="",$T30=""),"",$T30-$S30+1)</f>
        <v/>
      </c>
      <c r="W30" s="16">
        <f>IF(AND($U30="파견중",$T30&lt;&gt;""),$T30-TODAY(),"")</f>
        <v/>
      </c>
      <c r="X30" s="16">
        <f>IF(OR($B30="",$S30=""),"",MAX(0,MIN(IF($T30="",EOMONTH(요약!$B$3,0),$T30),EOMONTH(요약!$B$3,0))-MAX($S30,요약!$B$3)+1))</f>
        <v/>
      </c>
      <c r="Y30" s="10">
        <f>IF($B30="","",IF($AE30="","",IF(OR($S30="",$P30="",N($X30)&lt;=0),$AE30,IF($P30="다기관파견",$AE30,IF($AE30="구리병원",IF(AND($Q30&lt;&gt;"",N($X30)&gt;=요약!$E$3),$Q30,$AE30),IF(AND($P30="일반파견(단독)",$Q30&lt;&gt;""),$Q30,$AE30))))))</f>
        <v/>
      </c>
      <c r="Z30" s="17">
        <f>IF($B30="","",IF($AB30="","기본자료에 없는 사번",IF(COUNTIF($B$2:$B$201,$B30)&gt;1,"중복 사번",IF($M30="","입사장소 입력",IF(AND($P30&lt;&gt;"",$S30=""),"파견시작일 입력",IF(AND($S30&lt;&gt;"",$P30=""),"파견종류 입력",IF(AND($P30&lt;&gt;"",$P30&lt;&gt;"다기관파견",$Q30=""),"파견병원 입력",IF(IF($AC30="",0,N(INDEX(인턴근무계획!$T$3:$T$202,$AC30)))&gt;0,"인턴계획 입력오류 확인",IF(AND($AC30&lt;&gt;"",$U30&lt;&gt;"파견중",$N30&lt;&gt;$AE30),"인턴 타지역 근무: 파견 여부 확인","정상")))))))))</f>
        <v/>
      </c>
      <c r="AA30" s="5" t="n"/>
      <c r="AB30" s="10">
        <f>IF($B30="","",IFERROR(MATCH($B30,기본자료!$B$2:$B$501,0),IFERROR(MATCH($B30&amp;"",기본자료!$B$2:$B$501,0),IFERROR(MATCH(VALUE($B30),기본자료!$B$2:$B$501,0),""))))</f>
        <v/>
      </c>
      <c r="AC30" s="10">
        <f>IF($B30="","",IFERROR(MATCH($B30,인턴근무계획!$D$3:$D$202,0),IFERROR(MATCH($B30&amp;"",인턴근무계획!$D$3:$D$202,0),IFERROR(MATCH(VALUE($B30),인턴근무계획!$D$3:$D$202,0),""))))</f>
        <v/>
      </c>
      <c r="AD30" s="10">
        <f>IF(OR($AC30="",인턴현황!$G$3=""),"",INDEX(인턴근무계획!$M$3:$R$202,$AC30,인턴현황!$G$3)&amp;"")</f>
        <v/>
      </c>
      <c r="AE30" s="10">
        <f>IF($B30="","",IF($M30&lt;&gt;"",$M30,IF($H30="","",IF(RIGHT($H30,2)="병원",$H30,$H30&amp;"병원"))))</f>
        <v/>
      </c>
    </row>
    <row r="31">
      <c r="A31" s="10">
        <f>IF(B31="","",ROW()-1)</f>
        <v/>
      </c>
      <c r="B31" s="13" t="n"/>
      <c r="C31" s="10">
        <f>IF($AB31="","",IF(INDEX(기본자료!$C$2:$C$501,$AB31)="","",INDEX(기본자료!$C$2:$C$501,$AB31)))</f>
        <v/>
      </c>
      <c r="D31" s="10">
        <f>IF($AB31="","",IF(INDEX(기본자료!$J$2:$J$501,$AB31)="","",INDEX(기본자료!$J$2:$J$501,$AB31)))</f>
        <v/>
      </c>
      <c r="E31" s="11">
        <f>IF($AB31="","",IF(INDEX(기본자료!$K$2:$K$501,$AB31)="","",IF(NOT(ISNUMBER(INDEX(기본자료!$K$2:$K$501,$AB31))),INDEX(기본자료!$K$2:$K$501,$AB31),IF(INDEX(기본자료!$K$2:$K$501,$AB31)&lt;1000000,INDEX(기본자료!$K$2:$K$501,$AB31),IF(AND(INDEX(기본자료!$K$2:$K$501,$AB31)&gt;=10000101,INT(MOD(INDEX(기본자료!$K$2:$K$501,$AB31),10000)/100)&gt;=1,INT(MOD(INDEX(기본자료!$K$2:$K$501,$AB31),10000)/100)&lt;=12,MOD(INDEX(기본자료!$K$2:$K$501,$AB31),100)&gt;=1,MOD(INDEX(기본자료!$K$2:$K$501,$AB31),100)&lt;=31),DATE(INT(INDEX(기본자료!$K$2:$K$501,$AB31)/10000),INT(MOD(INDEX(기본자료!$K$2:$K$501,$AB31),10000)/100),MOD(INDEX(기본자료!$K$2:$K$501,$AB31),100)),INDEX(기본자료!$K$2:$K$501,$AB31)&amp;"")))))</f>
        <v/>
      </c>
      <c r="F31" s="10">
        <f>IF($AB31="","",IF(INDEX(기본자료!$D$2:$D$501,$AB31)="","",INDEX(기본자료!$D$2:$D$501,$AB31)))</f>
        <v/>
      </c>
      <c r="G31" s="10">
        <f>IF($AB31="","",IF(INDEX(기본자료!$E$2:$E$501,$AB31)="","",INDEX(기본자료!$E$2:$E$501,$AB31)))</f>
        <v/>
      </c>
      <c r="H31" s="10">
        <f>IF($AB31="","",IF(INDEX(기본자료!$F$2:$F$501,$AB31)="","",INDEX(기본자료!$F$2:$F$501,$AB31)))</f>
        <v/>
      </c>
      <c r="I31" s="11">
        <f>IF($AB31="","",IF(INDEX(기본자료!$G$2:$G$501,$AB31)="","",IF(NOT(ISNUMBER(INDEX(기본자료!$G$2:$G$501,$AB31))),INDEX(기본자료!$G$2:$G$501,$AB31),IF(INDEX(기본자료!$G$2:$G$501,$AB31)&lt;1000000,INDEX(기본자료!$G$2:$G$501,$AB31),IF(AND(INDEX(기본자료!$G$2:$G$501,$AB31)&gt;=10000101,INT(MOD(INDEX(기본자료!$G$2:$G$501,$AB31),10000)/100)&gt;=1,INT(MOD(INDEX(기본자료!$G$2:$G$501,$AB31),10000)/100)&lt;=12,MOD(INDEX(기본자료!$G$2:$G$501,$AB31),100)&gt;=1,MOD(INDEX(기본자료!$G$2:$G$501,$AB31),100)&lt;=31),DATE(INT(INDEX(기본자료!$G$2:$G$501,$AB31)/10000),INT(MOD(INDEX(기본자료!$G$2:$G$501,$AB31),10000)/100),MOD(INDEX(기본자료!$G$2:$G$501,$AB31),100)),INDEX(기본자료!$G$2:$G$501,$AB31)&amp;"")))))</f>
        <v/>
      </c>
      <c r="J31" s="10">
        <f>IF($AB31="","",IF(INDEX(기본자료!$H$2:$H$501,$AB31)="","",INDEX(기본자료!$H$2:$H$501,$AB31)))</f>
        <v/>
      </c>
      <c r="K31" s="10">
        <f>IF($AB31="","",IF(INDEX(기본자료!$I$2:$I$501,$AB31)="","",INDEX(기본자료!$I$2:$I$501,$AB31)))</f>
        <v/>
      </c>
      <c r="L31" s="10">
        <f>IF($AB31="","",IF(INDEX(기본자료!$A$2:$A$501,$AB31)="","",INDEX(기본자료!$A$2:$A$501,$AB31)))</f>
        <v/>
      </c>
      <c r="M31" s="14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4" t="n"/>
      <c r="Q31" s="14" t="n"/>
      <c r="R31" s="14" t="n"/>
      <c r="S31" s="15" t="n"/>
      <c r="T31" s="15" t="n"/>
      <c r="U31" s="10">
        <f>IF(OR($B31="",$S31=""),"",IF(TODAY()&lt;$S31,"파견예정",IF(AND($T31&lt;&gt;"",TODAY()&gt;$T31),"파견종료","파견중")))</f>
        <v/>
      </c>
      <c r="V31" s="16">
        <f>IF(OR($S31="",$T31=""),"",$T31-$S31+1)</f>
        <v/>
      </c>
      <c r="W31" s="16">
        <f>IF(AND($U31="파견중",$T31&lt;&gt;""),$T31-TODAY(),"")</f>
        <v/>
      </c>
      <c r="X31" s="16">
        <f>IF(OR($B31="",$S31=""),"",MAX(0,MIN(IF($T31="",EOMONTH(요약!$B$3,0),$T31),EOMONTH(요약!$B$3,0))-MAX($S31,요약!$B$3)+1))</f>
        <v/>
      </c>
      <c r="Y31" s="10">
        <f>IF($B31="","",IF($AE31="","",IF(OR($S31="",$P31="",N($X31)&lt;=0),$AE31,IF($P31="다기관파견",$AE31,IF($AE31="구리병원",IF(AND($Q31&lt;&gt;"",N($X31)&gt;=요약!$E$3),$Q31,$AE31),IF(AND($P31="일반파견(단독)",$Q31&lt;&gt;""),$Q31,$AE31))))))</f>
        <v/>
      </c>
      <c r="Z31" s="17">
        <f>IF($B31="","",IF($AB31="","기본자료에 없는 사번",IF(COUNTIF($B$2:$B$201,$B31)&gt;1,"중복 사번",IF($M31="","입사장소 입력",IF(AND($P31&lt;&gt;"",$S31=""),"파견시작일 입력",IF(AND($S31&lt;&gt;"",$P31=""),"파견종류 입력",IF(AND($P31&lt;&gt;"",$P31&lt;&gt;"다기관파견",$Q31=""),"파견병원 입력",IF(IF($AC31="",0,N(INDEX(인턴근무계획!$T$3:$T$202,$AC31)))&gt;0,"인턴계획 입력오류 확인",IF(AND($AC31&lt;&gt;"",$U31&lt;&gt;"파견중",$N31&lt;&gt;$AE31),"인턴 타지역 근무: 파견 여부 확인","정상")))))))))</f>
        <v/>
      </c>
      <c r="AA31" s="5" t="n"/>
      <c r="AB31" s="10">
        <f>IF($B31="","",IFERROR(MATCH($B31,기본자료!$B$2:$B$501,0),IFERROR(MATCH($B31&amp;"",기본자료!$B$2:$B$501,0),IFERROR(MATCH(VALUE($B31),기본자료!$B$2:$B$501,0),""))))</f>
        <v/>
      </c>
      <c r="AC31" s="10">
        <f>IF($B31="","",IFERROR(MATCH($B31,인턴근무계획!$D$3:$D$202,0),IFERROR(MATCH($B31&amp;"",인턴근무계획!$D$3:$D$202,0),IFERROR(MATCH(VALUE($B31),인턴근무계획!$D$3:$D$202,0),""))))</f>
        <v/>
      </c>
      <c r="AD31" s="10">
        <f>IF(OR($AC31="",인턴현황!$G$3=""),"",INDEX(인턴근무계획!$M$3:$R$202,$AC31,인턴현황!$G$3)&amp;"")</f>
        <v/>
      </c>
      <c r="AE31" s="10">
        <f>IF($B31="","",IF($M31&lt;&gt;"",$M31,IF($H31="","",IF(RIGHT($H31,2)="병원",$H31,$H31&amp;"병원"))))</f>
        <v/>
      </c>
    </row>
    <row r="32">
      <c r="A32" s="10">
        <f>IF(B32="","",ROW()-1)</f>
        <v/>
      </c>
      <c r="B32" s="13" t="n"/>
      <c r="C32" s="10">
        <f>IF($AB32="","",IF(INDEX(기본자료!$C$2:$C$501,$AB32)="","",INDEX(기본자료!$C$2:$C$501,$AB32)))</f>
        <v/>
      </c>
      <c r="D32" s="10">
        <f>IF($AB32="","",IF(INDEX(기본자료!$J$2:$J$501,$AB32)="","",INDEX(기본자료!$J$2:$J$501,$AB32)))</f>
        <v/>
      </c>
      <c r="E32" s="11">
        <f>IF($AB32="","",IF(INDEX(기본자료!$K$2:$K$501,$AB32)="","",IF(NOT(ISNUMBER(INDEX(기본자료!$K$2:$K$501,$AB32))),INDEX(기본자료!$K$2:$K$501,$AB32),IF(INDEX(기본자료!$K$2:$K$501,$AB32)&lt;1000000,INDEX(기본자료!$K$2:$K$501,$AB32),IF(AND(INDEX(기본자료!$K$2:$K$501,$AB32)&gt;=10000101,INT(MOD(INDEX(기본자료!$K$2:$K$501,$AB32),10000)/100)&gt;=1,INT(MOD(INDEX(기본자료!$K$2:$K$501,$AB32),10000)/100)&lt;=12,MOD(INDEX(기본자료!$K$2:$K$501,$AB32),100)&gt;=1,MOD(INDEX(기본자료!$K$2:$K$501,$AB32),100)&lt;=31),DATE(INT(INDEX(기본자료!$K$2:$K$501,$AB32)/10000),INT(MOD(INDEX(기본자료!$K$2:$K$501,$AB32),10000)/100),MOD(INDEX(기본자료!$K$2:$K$501,$AB32),100)),INDEX(기본자료!$K$2:$K$501,$AB32)&amp;"")))))</f>
        <v/>
      </c>
      <c r="F32" s="10">
        <f>IF($AB32="","",IF(INDEX(기본자료!$D$2:$D$501,$AB32)="","",INDEX(기본자료!$D$2:$D$501,$AB32)))</f>
        <v/>
      </c>
      <c r="G32" s="10">
        <f>IF($AB32="","",IF(INDEX(기본자료!$E$2:$E$501,$AB32)="","",INDEX(기본자료!$E$2:$E$501,$AB32)))</f>
        <v/>
      </c>
      <c r="H32" s="10">
        <f>IF($AB32="","",IF(INDEX(기본자료!$F$2:$F$501,$AB32)="","",INDEX(기본자료!$F$2:$F$501,$AB32)))</f>
        <v/>
      </c>
      <c r="I32" s="11">
        <f>IF($AB32="","",IF(INDEX(기본자료!$G$2:$G$501,$AB32)="","",IF(NOT(ISNUMBER(INDEX(기본자료!$G$2:$G$501,$AB32))),INDEX(기본자료!$G$2:$G$501,$AB32),IF(INDEX(기본자료!$G$2:$G$501,$AB32)&lt;1000000,INDEX(기본자료!$G$2:$G$501,$AB32),IF(AND(INDEX(기본자료!$G$2:$G$501,$AB32)&gt;=10000101,INT(MOD(INDEX(기본자료!$G$2:$G$501,$AB32),10000)/100)&gt;=1,INT(MOD(INDEX(기본자료!$G$2:$G$501,$AB32),10000)/100)&lt;=12,MOD(INDEX(기본자료!$G$2:$G$501,$AB32),100)&gt;=1,MOD(INDEX(기본자료!$G$2:$G$501,$AB32),100)&lt;=31),DATE(INT(INDEX(기본자료!$G$2:$G$501,$AB32)/10000),INT(MOD(INDEX(기본자료!$G$2:$G$501,$AB32),10000)/100),MOD(INDEX(기본자료!$G$2:$G$501,$AB32),100)),INDEX(기본자료!$G$2:$G$501,$AB32)&amp;"")))))</f>
        <v/>
      </c>
      <c r="J32" s="10">
        <f>IF($AB32="","",IF(INDEX(기본자료!$H$2:$H$501,$AB32)="","",INDEX(기본자료!$H$2:$H$501,$AB32)))</f>
        <v/>
      </c>
      <c r="K32" s="10">
        <f>IF($AB32="","",IF(INDEX(기본자료!$I$2:$I$501,$AB32)="","",INDEX(기본자료!$I$2:$I$501,$AB32)))</f>
        <v/>
      </c>
      <c r="L32" s="10">
        <f>IF($AB32="","",IF(INDEX(기본자료!$A$2:$A$501,$AB32)="","",INDEX(기본자료!$A$2:$A$501,$AB32)))</f>
        <v/>
      </c>
      <c r="M32" s="14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4" t="n"/>
      <c r="Q32" s="14" t="n"/>
      <c r="R32" s="14" t="n"/>
      <c r="S32" s="15" t="n"/>
      <c r="T32" s="15" t="n"/>
      <c r="U32" s="10">
        <f>IF(OR($B32="",$S32=""),"",IF(TODAY()&lt;$S32,"파견예정",IF(AND($T32&lt;&gt;"",TODAY()&gt;$T32),"파견종료","파견중")))</f>
        <v/>
      </c>
      <c r="V32" s="16">
        <f>IF(OR($S32="",$T32=""),"",$T32-$S32+1)</f>
        <v/>
      </c>
      <c r="W32" s="16">
        <f>IF(AND($U32="파견중",$T32&lt;&gt;""),$T32-TODAY(),"")</f>
        <v/>
      </c>
      <c r="X32" s="16">
        <f>IF(OR($B32="",$S32=""),"",MAX(0,MIN(IF($T32="",EOMONTH(요약!$B$3,0),$T32),EOMONTH(요약!$B$3,0))-MAX($S32,요약!$B$3)+1))</f>
        <v/>
      </c>
      <c r="Y32" s="10">
        <f>IF($B32="","",IF($AE32="","",IF(OR($S32="",$P32="",N($X32)&lt;=0),$AE32,IF($P32="다기관파견",$AE32,IF($AE32="구리병원",IF(AND($Q32&lt;&gt;"",N($X32)&gt;=요약!$E$3),$Q32,$AE32),IF(AND($P32="일반파견(단독)",$Q32&lt;&gt;""),$Q32,$AE32))))))</f>
        <v/>
      </c>
      <c r="Z32" s="17">
        <f>IF($B32="","",IF($AB32="","기본자료에 없는 사번",IF(COUNTIF($B$2:$B$201,$B32)&gt;1,"중복 사번",IF($M32="","입사장소 입력",IF(AND($P32&lt;&gt;"",$S32=""),"파견시작일 입력",IF(AND($S32&lt;&gt;"",$P32=""),"파견종류 입력",IF(AND($P32&lt;&gt;"",$P32&lt;&gt;"다기관파견",$Q32=""),"파견병원 입력",IF(IF($AC32="",0,N(INDEX(인턴근무계획!$T$3:$T$202,$AC32)))&gt;0,"인턴계획 입력오류 확인",IF(AND($AC32&lt;&gt;"",$U32&lt;&gt;"파견중",$N32&lt;&gt;$AE32),"인턴 타지역 근무: 파견 여부 확인","정상")))))))))</f>
        <v/>
      </c>
      <c r="AA32" s="5" t="n"/>
      <c r="AB32" s="10">
        <f>IF($B32="","",IFERROR(MATCH($B32,기본자료!$B$2:$B$501,0),IFERROR(MATCH($B32&amp;"",기본자료!$B$2:$B$501,0),IFERROR(MATCH(VALUE($B32),기본자료!$B$2:$B$501,0),""))))</f>
        <v/>
      </c>
      <c r="AC32" s="10">
        <f>IF($B32="","",IFERROR(MATCH($B32,인턴근무계획!$D$3:$D$202,0),IFERROR(MATCH($B32&amp;"",인턴근무계획!$D$3:$D$202,0),IFERROR(MATCH(VALUE($B32),인턴근무계획!$D$3:$D$202,0),""))))</f>
        <v/>
      </c>
      <c r="AD32" s="10">
        <f>IF(OR($AC32="",인턴현황!$G$3=""),"",INDEX(인턴근무계획!$M$3:$R$202,$AC32,인턴현황!$G$3)&amp;"")</f>
        <v/>
      </c>
      <c r="AE32" s="10">
        <f>IF($B32="","",IF($M32&lt;&gt;"",$M32,IF($H32="","",IF(RIGHT($H32,2)="병원",$H32,$H32&amp;"병원"))))</f>
        <v/>
      </c>
    </row>
    <row r="33">
      <c r="A33" s="10">
        <f>IF(B33="","",ROW()-1)</f>
        <v/>
      </c>
      <c r="B33" s="13" t="n"/>
      <c r="C33" s="10">
        <f>IF($AB33="","",IF(INDEX(기본자료!$C$2:$C$501,$AB33)="","",INDEX(기본자료!$C$2:$C$501,$AB33)))</f>
        <v/>
      </c>
      <c r="D33" s="10">
        <f>IF($AB33="","",IF(INDEX(기본자료!$J$2:$J$501,$AB33)="","",INDEX(기본자료!$J$2:$J$501,$AB33)))</f>
        <v/>
      </c>
      <c r="E33" s="11">
        <f>IF($AB33="","",IF(INDEX(기본자료!$K$2:$K$501,$AB33)="","",IF(NOT(ISNUMBER(INDEX(기본자료!$K$2:$K$501,$AB33))),INDEX(기본자료!$K$2:$K$501,$AB33),IF(INDEX(기본자료!$K$2:$K$501,$AB33)&lt;1000000,INDEX(기본자료!$K$2:$K$501,$AB33),IF(AND(INDEX(기본자료!$K$2:$K$501,$AB33)&gt;=10000101,INT(MOD(INDEX(기본자료!$K$2:$K$501,$AB33),10000)/100)&gt;=1,INT(MOD(INDEX(기본자료!$K$2:$K$501,$AB33),10000)/100)&lt;=12,MOD(INDEX(기본자료!$K$2:$K$501,$AB33),100)&gt;=1,MOD(INDEX(기본자료!$K$2:$K$501,$AB33),100)&lt;=31),DATE(INT(INDEX(기본자료!$K$2:$K$501,$AB33)/10000),INT(MOD(INDEX(기본자료!$K$2:$K$501,$AB33),10000)/100),MOD(INDEX(기본자료!$K$2:$K$501,$AB33),100)),INDEX(기본자료!$K$2:$K$501,$AB33)&amp;"")))))</f>
        <v/>
      </c>
      <c r="F33" s="10">
        <f>IF($AB33="","",IF(INDEX(기본자료!$D$2:$D$501,$AB33)="","",INDEX(기본자료!$D$2:$D$501,$AB33)))</f>
        <v/>
      </c>
      <c r="G33" s="10">
        <f>IF($AB33="","",IF(INDEX(기본자료!$E$2:$E$501,$AB33)="","",INDEX(기본자료!$E$2:$E$501,$AB33)))</f>
        <v/>
      </c>
      <c r="H33" s="10">
        <f>IF($AB33="","",IF(INDEX(기본자료!$F$2:$F$501,$AB33)="","",INDEX(기본자료!$F$2:$F$501,$AB33)))</f>
        <v/>
      </c>
      <c r="I33" s="11">
        <f>IF($AB33="","",IF(INDEX(기본자료!$G$2:$G$501,$AB33)="","",IF(NOT(ISNUMBER(INDEX(기본자료!$G$2:$G$501,$AB33))),INDEX(기본자료!$G$2:$G$501,$AB33),IF(INDEX(기본자료!$G$2:$G$501,$AB33)&lt;1000000,INDEX(기본자료!$G$2:$G$501,$AB33),IF(AND(INDEX(기본자료!$G$2:$G$501,$AB33)&gt;=10000101,INT(MOD(INDEX(기본자료!$G$2:$G$501,$AB33),10000)/100)&gt;=1,INT(MOD(INDEX(기본자료!$G$2:$G$501,$AB33),10000)/100)&lt;=12,MOD(INDEX(기본자료!$G$2:$G$501,$AB33),100)&gt;=1,MOD(INDEX(기본자료!$G$2:$G$501,$AB33),100)&lt;=31),DATE(INT(INDEX(기본자료!$G$2:$G$501,$AB33)/10000),INT(MOD(INDEX(기본자료!$G$2:$G$501,$AB33),10000)/100),MOD(INDEX(기본자료!$G$2:$G$501,$AB33),100)),INDEX(기본자료!$G$2:$G$501,$AB33)&amp;"")))))</f>
        <v/>
      </c>
      <c r="J33" s="10">
        <f>IF($AB33="","",IF(INDEX(기본자료!$H$2:$H$501,$AB33)="","",INDEX(기본자료!$H$2:$H$501,$AB33)))</f>
        <v/>
      </c>
      <c r="K33" s="10">
        <f>IF($AB33="","",IF(INDEX(기본자료!$I$2:$I$501,$AB33)="","",INDEX(기본자료!$I$2:$I$501,$AB33)))</f>
        <v/>
      </c>
      <c r="L33" s="10">
        <f>IF($AB33="","",IF(INDEX(기본자료!$A$2:$A$501,$AB33)="","",INDEX(기본자료!$A$2:$A$501,$AB33)))</f>
        <v/>
      </c>
      <c r="M33" s="14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4" t="n"/>
      <c r="Q33" s="14" t="n"/>
      <c r="R33" s="14" t="n"/>
      <c r="S33" s="15" t="n"/>
      <c r="T33" s="15" t="n"/>
      <c r="U33" s="10">
        <f>IF(OR($B33="",$S33=""),"",IF(TODAY()&lt;$S33,"파견예정",IF(AND($T33&lt;&gt;"",TODAY()&gt;$T33),"파견종료","파견중")))</f>
        <v/>
      </c>
      <c r="V33" s="16">
        <f>IF(OR($S33="",$T33=""),"",$T33-$S33+1)</f>
        <v/>
      </c>
      <c r="W33" s="16">
        <f>IF(AND($U33="파견중",$T33&lt;&gt;""),$T33-TODAY(),"")</f>
        <v/>
      </c>
      <c r="X33" s="16">
        <f>IF(OR($B33="",$S33=""),"",MAX(0,MIN(IF($T33="",EOMONTH(요약!$B$3,0),$T33),EOMONTH(요약!$B$3,0))-MAX($S33,요약!$B$3)+1))</f>
        <v/>
      </c>
      <c r="Y33" s="10">
        <f>IF($B33="","",IF($AE33="","",IF(OR($S33="",$P33="",N($X33)&lt;=0),$AE33,IF($P33="다기관파견",$AE33,IF($AE33="구리병원",IF(AND($Q33&lt;&gt;"",N($X33)&gt;=요약!$E$3),$Q33,$AE33),IF(AND($P33="일반파견(단독)",$Q33&lt;&gt;""),$Q33,$AE33))))))</f>
        <v/>
      </c>
      <c r="Z33" s="17">
        <f>IF($B33="","",IF($AB33="","기본자료에 없는 사번",IF(COUNTIF($B$2:$B$201,$B33)&gt;1,"중복 사번",IF($M33="","입사장소 입력",IF(AND($P33&lt;&gt;"",$S33=""),"파견시작일 입력",IF(AND($S33&lt;&gt;"",$P33=""),"파견종류 입력",IF(AND($P33&lt;&gt;"",$P33&lt;&gt;"다기관파견",$Q33=""),"파견병원 입력",IF(IF($AC33="",0,N(INDEX(인턴근무계획!$T$3:$T$202,$AC33)))&gt;0,"인턴계획 입력오류 확인",IF(AND($AC33&lt;&gt;"",$U33&lt;&gt;"파견중",$N33&lt;&gt;$AE33),"인턴 타지역 근무: 파견 여부 확인","정상")))))))))</f>
        <v/>
      </c>
      <c r="AA33" s="5" t="n"/>
      <c r="AB33" s="10">
        <f>IF($B33="","",IFERROR(MATCH($B33,기본자료!$B$2:$B$501,0),IFERROR(MATCH($B33&amp;"",기본자료!$B$2:$B$501,0),IFERROR(MATCH(VALUE($B33),기본자료!$B$2:$B$501,0),""))))</f>
        <v/>
      </c>
      <c r="AC33" s="10">
        <f>IF($B33="","",IFERROR(MATCH($B33,인턴근무계획!$D$3:$D$202,0),IFERROR(MATCH($B33&amp;"",인턴근무계획!$D$3:$D$202,0),IFERROR(MATCH(VALUE($B33),인턴근무계획!$D$3:$D$202,0),""))))</f>
        <v/>
      </c>
      <c r="AD33" s="10">
        <f>IF(OR($AC33="",인턴현황!$G$3=""),"",INDEX(인턴근무계획!$M$3:$R$202,$AC33,인턴현황!$G$3)&amp;"")</f>
        <v/>
      </c>
      <c r="AE33" s="10">
        <f>IF($B33="","",IF($M33&lt;&gt;"",$M33,IF($H33="","",IF(RIGHT($H33,2)="병원",$H33,$H33&amp;"병원"))))</f>
        <v/>
      </c>
    </row>
    <row r="34">
      <c r="A34" s="10">
        <f>IF(B34="","",ROW()-1)</f>
        <v/>
      </c>
      <c r="B34" s="13" t="n"/>
      <c r="C34" s="10">
        <f>IF($AB34="","",IF(INDEX(기본자료!$C$2:$C$501,$AB34)="","",INDEX(기본자료!$C$2:$C$501,$AB34)))</f>
        <v/>
      </c>
      <c r="D34" s="10">
        <f>IF($AB34="","",IF(INDEX(기본자료!$J$2:$J$501,$AB34)="","",INDEX(기본자료!$J$2:$J$501,$AB34)))</f>
        <v/>
      </c>
      <c r="E34" s="11">
        <f>IF($AB34="","",IF(INDEX(기본자료!$K$2:$K$501,$AB34)="","",IF(NOT(ISNUMBER(INDEX(기본자료!$K$2:$K$501,$AB34))),INDEX(기본자료!$K$2:$K$501,$AB34),IF(INDEX(기본자료!$K$2:$K$501,$AB34)&lt;1000000,INDEX(기본자료!$K$2:$K$501,$AB34),IF(AND(INDEX(기본자료!$K$2:$K$501,$AB34)&gt;=10000101,INT(MOD(INDEX(기본자료!$K$2:$K$501,$AB34),10000)/100)&gt;=1,INT(MOD(INDEX(기본자료!$K$2:$K$501,$AB34),10000)/100)&lt;=12,MOD(INDEX(기본자료!$K$2:$K$501,$AB34),100)&gt;=1,MOD(INDEX(기본자료!$K$2:$K$501,$AB34),100)&lt;=31),DATE(INT(INDEX(기본자료!$K$2:$K$501,$AB34)/10000),INT(MOD(INDEX(기본자료!$K$2:$K$501,$AB34),10000)/100),MOD(INDEX(기본자료!$K$2:$K$501,$AB34),100)),INDEX(기본자료!$K$2:$K$501,$AB34)&amp;"")))))</f>
        <v/>
      </c>
      <c r="F34" s="10">
        <f>IF($AB34="","",IF(INDEX(기본자료!$D$2:$D$501,$AB34)="","",INDEX(기본자료!$D$2:$D$501,$AB34)))</f>
        <v/>
      </c>
      <c r="G34" s="10">
        <f>IF($AB34="","",IF(INDEX(기본자료!$E$2:$E$501,$AB34)="","",INDEX(기본자료!$E$2:$E$501,$AB34)))</f>
        <v/>
      </c>
      <c r="H34" s="10">
        <f>IF($AB34="","",IF(INDEX(기본자료!$F$2:$F$501,$AB34)="","",INDEX(기본자료!$F$2:$F$501,$AB34)))</f>
        <v/>
      </c>
      <c r="I34" s="11">
        <f>IF($AB34="","",IF(INDEX(기본자료!$G$2:$G$501,$AB34)="","",IF(NOT(ISNUMBER(INDEX(기본자료!$G$2:$G$501,$AB34))),INDEX(기본자료!$G$2:$G$501,$AB34),IF(INDEX(기본자료!$G$2:$G$501,$AB34)&lt;1000000,INDEX(기본자료!$G$2:$G$501,$AB34),IF(AND(INDEX(기본자료!$G$2:$G$501,$AB34)&gt;=10000101,INT(MOD(INDEX(기본자료!$G$2:$G$501,$AB34),10000)/100)&gt;=1,INT(MOD(INDEX(기본자료!$G$2:$G$501,$AB34),10000)/100)&lt;=12,MOD(INDEX(기본자료!$G$2:$G$501,$AB34),100)&gt;=1,MOD(INDEX(기본자료!$G$2:$G$501,$AB34),100)&lt;=31),DATE(INT(INDEX(기본자료!$G$2:$G$501,$AB34)/10000),INT(MOD(INDEX(기본자료!$G$2:$G$501,$AB34),10000)/100),MOD(INDEX(기본자료!$G$2:$G$501,$AB34),100)),INDEX(기본자료!$G$2:$G$501,$AB34)&amp;"")))))</f>
        <v/>
      </c>
      <c r="J34" s="10">
        <f>IF($AB34="","",IF(INDEX(기본자료!$H$2:$H$501,$AB34)="","",INDEX(기본자료!$H$2:$H$501,$AB34)))</f>
        <v/>
      </c>
      <c r="K34" s="10">
        <f>IF($AB34="","",IF(INDEX(기본자료!$I$2:$I$501,$AB34)="","",INDEX(기본자료!$I$2:$I$501,$AB34)))</f>
        <v/>
      </c>
      <c r="L34" s="10">
        <f>IF($AB34="","",IF(INDEX(기본자료!$A$2:$A$501,$AB34)="","",INDEX(기본자료!$A$2:$A$501,$AB34)))</f>
        <v/>
      </c>
      <c r="M34" s="14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4" t="n"/>
      <c r="Q34" s="14" t="n"/>
      <c r="R34" s="14" t="n"/>
      <c r="S34" s="15" t="n"/>
      <c r="T34" s="15" t="n"/>
      <c r="U34" s="10">
        <f>IF(OR($B34="",$S34=""),"",IF(TODAY()&lt;$S34,"파견예정",IF(AND($T34&lt;&gt;"",TODAY()&gt;$T34),"파견종료","파견중")))</f>
        <v/>
      </c>
      <c r="V34" s="16">
        <f>IF(OR($S34="",$T34=""),"",$T34-$S34+1)</f>
        <v/>
      </c>
      <c r="W34" s="16">
        <f>IF(AND($U34="파견중",$T34&lt;&gt;""),$T34-TODAY(),"")</f>
        <v/>
      </c>
      <c r="X34" s="16">
        <f>IF(OR($B34="",$S34=""),"",MAX(0,MIN(IF($T34="",EOMONTH(요약!$B$3,0),$T34),EOMONTH(요약!$B$3,0))-MAX($S34,요약!$B$3)+1))</f>
        <v/>
      </c>
      <c r="Y34" s="10">
        <f>IF($B34="","",IF($AE34="","",IF(OR($S34="",$P34="",N($X34)&lt;=0),$AE34,IF($P34="다기관파견",$AE34,IF($AE34="구리병원",IF(AND($Q34&lt;&gt;"",N($X34)&gt;=요약!$E$3),$Q34,$AE34),IF(AND($P34="일반파견(단독)",$Q34&lt;&gt;""),$Q34,$AE34))))))</f>
        <v/>
      </c>
      <c r="Z34" s="17">
        <f>IF($B34="","",IF($AB34="","기본자료에 없는 사번",IF(COUNTIF($B$2:$B$201,$B34)&gt;1,"중복 사번",IF($M34="","입사장소 입력",IF(AND($P34&lt;&gt;"",$S34=""),"파견시작일 입력",IF(AND($S34&lt;&gt;"",$P34=""),"파견종류 입력",IF(AND($P34&lt;&gt;"",$P34&lt;&gt;"다기관파견",$Q34=""),"파견병원 입력",IF(IF($AC34="",0,N(INDEX(인턴근무계획!$T$3:$T$202,$AC34)))&gt;0,"인턴계획 입력오류 확인",IF(AND($AC34&lt;&gt;"",$U34&lt;&gt;"파견중",$N34&lt;&gt;$AE34),"인턴 타지역 근무: 파견 여부 확인","정상")))))))))</f>
        <v/>
      </c>
      <c r="AA34" s="5" t="n"/>
      <c r="AB34" s="10">
        <f>IF($B34="","",IFERROR(MATCH($B34,기본자료!$B$2:$B$501,0),IFERROR(MATCH($B34&amp;"",기본자료!$B$2:$B$501,0),IFERROR(MATCH(VALUE($B34),기본자료!$B$2:$B$501,0),""))))</f>
        <v/>
      </c>
      <c r="AC34" s="10">
        <f>IF($B34="","",IFERROR(MATCH($B34,인턴근무계획!$D$3:$D$202,0),IFERROR(MATCH($B34&amp;"",인턴근무계획!$D$3:$D$202,0),IFERROR(MATCH(VALUE($B34),인턴근무계획!$D$3:$D$202,0),""))))</f>
        <v/>
      </c>
      <c r="AD34" s="10">
        <f>IF(OR($AC34="",인턴현황!$G$3=""),"",INDEX(인턴근무계획!$M$3:$R$202,$AC34,인턴현황!$G$3)&amp;"")</f>
        <v/>
      </c>
      <c r="AE34" s="10">
        <f>IF($B34="","",IF($M34&lt;&gt;"",$M34,IF($H34="","",IF(RIGHT($H34,2)="병원",$H34,$H34&amp;"병원"))))</f>
        <v/>
      </c>
    </row>
    <row r="35">
      <c r="A35" s="10">
        <f>IF(B35="","",ROW()-1)</f>
        <v/>
      </c>
      <c r="B35" s="13" t="n"/>
      <c r="C35" s="10">
        <f>IF($AB35="","",IF(INDEX(기본자료!$C$2:$C$501,$AB35)="","",INDEX(기본자료!$C$2:$C$501,$AB35)))</f>
        <v/>
      </c>
      <c r="D35" s="10">
        <f>IF($AB35="","",IF(INDEX(기본자료!$J$2:$J$501,$AB35)="","",INDEX(기본자료!$J$2:$J$501,$AB35)))</f>
        <v/>
      </c>
      <c r="E35" s="11">
        <f>IF($AB35="","",IF(INDEX(기본자료!$K$2:$K$501,$AB35)="","",IF(NOT(ISNUMBER(INDEX(기본자료!$K$2:$K$501,$AB35))),INDEX(기본자료!$K$2:$K$501,$AB35),IF(INDEX(기본자료!$K$2:$K$501,$AB35)&lt;1000000,INDEX(기본자료!$K$2:$K$501,$AB35),IF(AND(INDEX(기본자료!$K$2:$K$501,$AB35)&gt;=10000101,INT(MOD(INDEX(기본자료!$K$2:$K$501,$AB35),10000)/100)&gt;=1,INT(MOD(INDEX(기본자료!$K$2:$K$501,$AB35),10000)/100)&lt;=12,MOD(INDEX(기본자료!$K$2:$K$501,$AB35),100)&gt;=1,MOD(INDEX(기본자료!$K$2:$K$501,$AB35),100)&lt;=31),DATE(INT(INDEX(기본자료!$K$2:$K$501,$AB35)/10000),INT(MOD(INDEX(기본자료!$K$2:$K$501,$AB35),10000)/100),MOD(INDEX(기본자료!$K$2:$K$501,$AB35),100)),INDEX(기본자료!$K$2:$K$501,$AB35)&amp;"")))))</f>
        <v/>
      </c>
      <c r="F35" s="10">
        <f>IF($AB35="","",IF(INDEX(기본자료!$D$2:$D$501,$AB35)="","",INDEX(기본자료!$D$2:$D$501,$AB35)))</f>
        <v/>
      </c>
      <c r="G35" s="10">
        <f>IF($AB35="","",IF(INDEX(기본자료!$E$2:$E$501,$AB35)="","",INDEX(기본자료!$E$2:$E$501,$AB35)))</f>
        <v/>
      </c>
      <c r="H35" s="10">
        <f>IF($AB35="","",IF(INDEX(기본자료!$F$2:$F$501,$AB35)="","",INDEX(기본자료!$F$2:$F$501,$AB35)))</f>
        <v/>
      </c>
      <c r="I35" s="11">
        <f>IF($AB35="","",IF(INDEX(기본자료!$G$2:$G$501,$AB35)="","",IF(NOT(ISNUMBER(INDEX(기본자료!$G$2:$G$501,$AB35))),INDEX(기본자료!$G$2:$G$501,$AB35),IF(INDEX(기본자료!$G$2:$G$501,$AB35)&lt;1000000,INDEX(기본자료!$G$2:$G$501,$AB35),IF(AND(INDEX(기본자료!$G$2:$G$501,$AB35)&gt;=10000101,INT(MOD(INDEX(기본자료!$G$2:$G$501,$AB35),10000)/100)&gt;=1,INT(MOD(INDEX(기본자료!$G$2:$G$501,$AB35),10000)/100)&lt;=12,MOD(INDEX(기본자료!$G$2:$G$501,$AB35),100)&gt;=1,MOD(INDEX(기본자료!$G$2:$G$501,$AB35),100)&lt;=31),DATE(INT(INDEX(기본자료!$G$2:$G$501,$AB35)/10000),INT(MOD(INDEX(기본자료!$G$2:$G$501,$AB35),10000)/100),MOD(INDEX(기본자료!$G$2:$G$501,$AB35),100)),INDEX(기본자료!$G$2:$G$501,$AB35)&amp;"")))))</f>
        <v/>
      </c>
      <c r="J35" s="10">
        <f>IF($AB35="","",IF(INDEX(기본자료!$H$2:$H$501,$AB35)="","",INDEX(기본자료!$H$2:$H$501,$AB35)))</f>
        <v/>
      </c>
      <c r="K35" s="10">
        <f>IF($AB35="","",IF(INDEX(기본자료!$I$2:$I$501,$AB35)="","",INDEX(기본자료!$I$2:$I$501,$AB35)))</f>
        <v/>
      </c>
      <c r="L35" s="10">
        <f>IF($AB35="","",IF(INDEX(기본자료!$A$2:$A$501,$AB35)="","",INDEX(기본자료!$A$2:$A$501,$AB35)))</f>
        <v/>
      </c>
      <c r="M35" s="14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4" t="n"/>
      <c r="Q35" s="14" t="n"/>
      <c r="R35" s="14" t="n"/>
      <c r="S35" s="15" t="n"/>
      <c r="T35" s="15" t="n"/>
      <c r="U35" s="10">
        <f>IF(OR($B35="",$S35=""),"",IF(TODAY()&lt;$S35,"파견예정",IF(AND($T35&lt;&gt;"",TODAY()&gt;$T35),"파견종료","파견중")))</f>
        <v/>
      </c>
      <c r="V35" s="16">
        <f>IF(OR($S35="",$T35=""),"",$T35-$S35+1)</f>
        <v/>
      </c>
      <c r="W35" s="16">
        <f>IF(AND($U35="파견중",$T35&lt;&gt;""),$T35-TODAY(),"")</f>
        <v/>
      </c>
      <c r="X35" s="16">
        <f>IF(OR($B35="",$S35=""),"",MAX(0,MIN(IF($T35="",EOMONTH(요약!$B$3,0),$T35),EOMONTH(요약!$B$3,0))-MAX($S35,요약!$B$3)+1))</f>
        <v/>
      </c>
      <c r="Y35" s="10">
        <f>IF($B35="","",IF($AE35="","",IF(OR($S35="",$P35="",N($X35)&lt;=0),$AE35,IF($P35="다기관파견",$AE35,IF($AE35="구리병원",IF(AND($Q35&lt;&gt;"",N($X35)&gt;=요약!$E$3),$Q35,$AE35),IF(AND($P35="일반파견(단독)",$Q35&lt;&gt;""),$Q35,$AE35))))))</f>
        <v/>
      </c>
      <c r="Z35" s="17">
        <f>IF($B35="","",IF($AB35="","기본자료에 없는 사번",IF(COUNTIF($B$2:$B$201,$B35)&gt;1,"중복 사번",IF($M35="","입사장소 입력",IF(AND($P35&lt;&gt;"",$S35=""),"파견시작일 입력",IF(AND($S35&lt;&gt;"",$P35=""),"파견종류 입력",IF(AND($P35&lt;&gt;"",$P35&lt;&gt;"다기관파견",$Q35=""),"파견병원 입력",IF(IF($AC35="",0,N(INDEX(인턴근무계획!$T$3:$T$202,$AC35)))&gt;0,"인턴계획 입력오류 확인",IF(AND($AC35&lt;&gt;"",$U35&lt;&gt;"파견중",$N35&lt;&gt;$AE35),"인턴 타지역 근무: 파견 여부 확인","정상")))))))))</f>
        <v/>
      </c>
      <c r="AA35" s="5" t="n"/>
      <c r="AB35" s="10">
        <f>IF($B35="","",IFERROR(MATCH($B35,기본자료!$B$2:$B$501,0),IFERROR(MATCH($B35&amp;"",기본자료!$B$2:$B$501,0),IFERROR(MATCH(VALUE($B35),기본자료!$B$2:$B$501,0),""))))</f>
        <v/>
      </c>
      <c r="AC35" s="10">
        <f>IF($B35="","",IFERROR(MATCH($B35,인턴근무계획!$D$3:$D$202,0),IFERROR(MATCH($B35&amp;"",인턴근무계획!$D$3:$D$202,0),IFERROR(MATCH(VALUE($B35),인턴근무계획!$D$3:$D$202,0),""))))</f>
        <v/>
      </c>
      <c r="AD35" s="10">
        <f>IF(OR($AC35="",인턴현황!$G$3=""),"",INDEX(인턴근무계획!$M$3:$R$202,$AC35,인턴현황!$G$3)&amp;"")</f>
        <v/>
      </c>
      <c r="AE35" s="10">
        <f>IF($B35="","",IF($M35&lt;&gt;"",$M35,IF($H35="","",IF(RIGHT($H35,2)="병원",$H35,$H35&amp;"병원"))))</f>
        <v/>
      </c>
    </row>
    <row r="36">
      <c r="A36" s="10">
        <f>IF(B36="","",ROW()-1)</f>
        <v/>
      </c>
      <c r="B36" s="13" t="n"/>
      <c r="C36" s="10">
        <f>IF($AB36="","",IF(INDEX(기본자료!$C$2:$C$501,$AB36)="","",INDEX(기본자료!$C$2:$C$501,$AB36)))</f>
        <v/>
      </c>
      <c r="D36" s="10">
        <f>IF($AB36="","",IF(INDEX(기본자료!$J$2:$J$501,$AB36)="","",INDEX(기본자료!$J$2:$J$501,$AB36)))</f>
        <v/>
      </c>
      <c r="E36" s="11">
        <f>IF($AB36="","",IF(INDEX(기본자료!$K$2:$K$501,$AB36)="","",IF(NOT(ISNUMBER(INDEX(기본자료!$K$2:$K$501,$AB36))),INDEX(기본자료!$K$2:$K$501,$AB36),IF(INDEX(기본자료!$K$2:$K$501,$AB36)&lt;1000000,INDEX(기본자료!$K$2:$K$501,$AB36),IF(AND(INDEX(기본자료!$K$2:$K$501,$AB36)&gt;=10000101,INT(MOD(INDEX(기본자료!$K$2:$K$501,$AB36),10000)/100)&gt;=1,INT(MOD(INDEX(기본자료!$K$2:$K$501,$AB36),10000)/100)&lt;=12,MOD(INDEX(기본자료!$K$2:$K$501,$AB36),100)&gt;=1,MOD(INDEX(기본자료!$K$2:$K$501,$AB36),100)&lt;=31),DATE(INT(INDEX(기본자료!$K$2:$K$501,$AB36)/10000),INT(MOD(INDEX(기본자료!$K$2:$K$501,$AB36),10000)/100),MOD(INDEX(기본자료!$K$2:$K$501,$AB36),100)),INDEX(기본자료!$K$2:$K$501,$AB36)&amp;"")))))</f>
        <v/>
      </c>
      <c r="F36" s="10">
        <f>IF($AB36="","",IF(INDEX(기본자료!$D$2:$D$501,$AB36)="","",INDEX(기본자료!$D$2:$D$501,$AB36)))</f>
        <v/>
      </c>
      <c r="G36" s="10">
        <f>IF($AB36="","",IF(INDEX(기본자료!$E$2:$E$501,$AB36)="","",INDEX(기본자료!$E$2:$E$501,$AB36)))</f>
        <v/>
      </c>
      <c r="H36" s="10">
        <f>IF($AB36="","",IF(INDEX(기본자료!$F$2:$F$501,$AB36)="","",INDEX(기본자료!$F$2:$F$501,$AB36)))</f>
        <v/>
      </c>
      <c r="I36" s="11">
        <f>IF($AB36="","",IF(INDEX(기본자료!$G$2:$G$501,$AB36)="","",IF(NOT(ISNUMBER(INDEX(기본자료!$G$2:$G$501,$AB36))),INDEX(기본자료!$G$2:$G$501,$AB36),IF(INDEX(기본자료!$G$2:$G$501,$AB36)&lt;1000000,INDEX(기본자료!$G$2:$G$501,$AB36),IF(AND(INDEX(기본자료!$G$2:$G$501,$AB36)&gt;=10000101,INT(MOD(INDEX(기본자료!$G$2:$G$501,$AB36),10000)/100)&gt;=1,INT(MOD(INDEX(기본자료!$G$2:$G$501,$AB36),10000)/100)&lt;=12,MOD(INDEX(기본자료!$G$2:$G$501,$AB36),100)&gt;=1,MOD(INDEX(기본자료!$G$2:$G$501,$AB36),100)&lt;=31),DATE(INT(INDEX(기본자료!$G$2:$G$501,$AB36)/10000),INT(MOD(INDEX(기본자료!$G$2:$G$501,$AB36),10000)/100),MOD(INDEX(기본자료!$G$2:$G$501,$AB36),100)),INDEX(기본자료!$G$2:$G$501,$AB36)&amp;"")))))</f>
        <v/>
      </c>
      <c r="J36" s="10">
        <f>IF($AB36="","",IF(INDEX(기본자료!$H$2:$H$501,$AB36)="","",INDEX(기본자료!$H$2:$H$501,$AB36)))</f>
        <v/>
      </c>
      <c r="K36" s="10">
        <f>IF($AB36="","",IF(INDEX(기본자료!$I$2:$I$501,$AB36)="","",INDEX(기본자료!$I$2:$I$501,$AB36)))</f>
        <v/>
      </c>
      <c r="L36" s="10">
        <f>IF($AB36="","",IF(INDEX(기본자료!$A$2:$A$501,$AB36)="","",INDEX(기본자료!$A$2:$A$501,$AB36)))</f>
        <v/>
      </c>
      <c r="M36" s="14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4" t="n"/>
      <c r="Q36" s="14" t="n"/>
      <c r="R36" s="14" t="n"/>
      <c r="S36" s="15" t="n"/>
      <c r="T36" s="15" t="n"/>
      <c r="U36" s="10">
        <f>IF(OR($B36="",$S36=""),"",IF(TODAY()&lt;$S36,"파견예정",IF(AND($T36&lt;&gt;"",TODAY()&gt;$T36),"파견종료","파견중")))</f>
        <v/>
      </c>
      <c r="V36" s="16">
        <f>IF(OR($S36="",$T36=""),"",$T36-$S36+1)</f>
        <v/>
      </c>
      <c r="W36" s="16">
        <f>IF(AND($U36="파견중",$T36&lt;&gt;""),$T36-TODAY(),"")</f>
        <v/>
      </c>
      <c r="X36" s="16">
        <f>IF(OR($B36="",$S36=""),"",MAX(0,MIN(IF($T36="",EOMONTH(요약!$B$3,0),$T36),EOMONTH(요약!$B$3,0))-MAX($S36,요약!$B$3)+1))</f>
        <v/>
      </c>
      <c r="Y36" s="10">
        <f>IF($B36="","",IF($AE36="","",IF(OR($S36="",$P36="",N($X36)&lt;=0),$AE36,IF($P36="다기관파견",$AE36,IF($AE36="구리병원",IF(AND($Q36&lt;&gt;"",N($X36)&gt;=요약!$E$3),$Q36,$AE36),IF(AND($P36="일반파견(단독)",$Q36&lt;&gt;""),$Q36,$AE36))))))</f>
        <v/>
      </c>
      <c r="Z36" s="17">
        <f>IF($B36="","",IF($AB36="","기본자료에 없는 사번",IF(COUNTIF($B$2:$B$201,$B36)&gt;1,"중복 사번",IF($M36="","입사장소 입력",IF(AND($P36&lt;&gt;"",$S36=""),"파견시작일 입력",IF(AND($S36&lt;&gt;"",$P36=""),"파견종류 입력",IF(AND($P36&lt;&gt;"",$P36&lt;&gt;"다기관파견",$Q36=""),"파견병원 입력",IF(IF($AC36="",0,N(INDEX(인턴근무계획!$T$3:$T$202,$AC36)))&gt;0,"인턴계획 입력오류 확인",IF(AND($AC36&lt;&gt;"",$U36&lt;&gt;"파견중",$N36&lt;&gt;$AE36),"인턴 타지역 근무: 파견 여부 확인","정상")))))))))</f>
        <v/>
      </c>
      <c r="AA36" s="5" t="n"/>
      <c r="AB36" s="10">
        <f>IF($B36="","",IFERROR(MATCH($B36,기본자료!$B$2:$B$501,0),IFERROR(MATCH($B36&amp;"",기본자료!$B$2:$B$501,0),IFERROR(MATCH(VALUE($B36),기본자료!$B$2:$B$501,0),""))))</f>
        <v/>
      </c>
      <c r="AC36" s="10">
        <f>IF($B36="","",IFERROR(MATCH($B36,인턴근무계획!$D$3:$D$202,0),IFERROR(MATCH($B36&amp;"",인턴근무계획!$D$3:$D$202,0),IFERROR(MATCH(VALUE($B36),인턴근무계획!$D$3:$D$202,0),""))))</f>
        <v/>
      </c>
      <c r="AD36" s="10">
        <f>IF(OR($AC36="",인턴현황!$G$3=""),"",INDEX(인턴근무계획!$M$3:$R$202,$AC36,인턴현황!$G$3)&amp;"")</f>
        <v/>
      </c>
      <c r="AE36" s="10">
        <f>IF($B36="","",IF($M36&lt;&gt;"",$M36,IF($H36="","",IF(RIGHT($H36,2)="병원",$H36,$H36&amp;"병원"))))</f>
        <v/>
      </c>
    </row>
    <row r="37">
      <c r="A37" s="10">
        <f>IF(B37="","",ROW()-1)</f>
        <v/>
      </c>
      <c r="B37" s="13" t="n"/>
      <c r="C37" s="10">
        <f>IF($AB37="","",IF(INDEX(기본자료!$C$2:$C$501,$AB37)="","",INDEX(기본자료!$C$2:$C$501,$AB37)))</f>
        <v/>
      </c>
      <c r="D37" s="10">
        <f>IF($AB37="","",IF(INDEX(기본자료!$J$2:$J$501,$AB37)="","",INDEX(기본자료!$J$2:$J$501,$AB37)))</f>
        <v/>
      </c>
      <c r="E37" s="11">
        <f>IF($AB37="","",IF(INDEX(기본자료!$K$2:$K$501,$AB37)="","",IF(NOT(ISNUMBER(INDEX(기본자료!$K$2:$K$501,$AB37))),INDEX(기본자료!$K$2:$K$501,$AB37),IF(INDEX(기본자료!$K$2:$K$501,$AB37)&lt;1000000,INDEX(기본자료!$K$2:$K$501,$AB37),IF(AND(INDEX(기본자료!$K$2:$K$501,$AB37)&gt;=10000101,INT(MOD(INDEX(기본자료!$K$2:$K$501,$AB37),10000)/100)&gt;=1,INT(MOD(INDEX(기본자료!$K$2:$K$501,$AB37),10000)/100)&lt;=12,MOD(INDEX(기본자료!$K$2:$K$501,$AB37),100)&gt;=1,MOD(INDEX(기본자료!$K$2:$K$501,$AB37),100)&lt;=31),DATE(INT(INDEX(기본자료!$K$2:$K$501,$AB37)/10000),INT(MOD(INDEX(기본자료!$K$2:$K$501,$AB37),10000)/100),MOD(INDEX(기본자료!$K$2:$K$501,$AB37),100)),INDEX(기본자료!$K$2:$K$501,$AB37)&amp;"")))))</f>
        <v/>
      </c>
      <c r="F37" s="10">
        <f>IF($AB37="","",IF(INDEX(기본자료!$D$2:$D$501,$AB37)="","",INDEX(기본자료!$D$2:$D$501,$AB37)))</f>
        <v/>
      </c>
      <c r="G37" s="10">
        <f>IF($AB37="","",IF(INDEX(기본자료!$E$2:$E$501,$AB37)="","",INDEX(기본자료!$E$2:$E$501,$AB37)))</f>
        <v/>
      </c>
      <c r="H37" s="10">
        <f>IF($AB37="","",IF(INDEX(기본자료!$F$2:$F$501,$AB37)="","",INDEX(기본자료!$F$2:$F$501,$AB37)))</f>
        <v/>
      </c>
      <c r="I37" s="11">
        <f>IF($AB37="","",IF(INDEX(기본자료!$G$2:$G$501,$AB37)="","",IF(NOT(ISNUMBER(INDEX(기본자료!$G$2:$G$501,$AB37))),INDEX(기본자료!$G$2:$G$501,$AB37),IF(INDEX(기본자료!$G$2:$G$501,$AB37)&lt;1000000,INDEX(기본자료!$G$2:$G$501,$AB37),IF(AND(INDEX(기본자료!$G$2:$G$501,$AB37)&gt;=10000101,INT(MOD(INDEX(기본자료!$G$2:$G$501,$AB37),10000)/100)&gt;=1,INT(MOD(INDEX(기본자료!$G$2:$G$501,$AB37),10000)/100)&lt;=12,MOD(INDEX(기본자료!$G$2:$G$501,$AB37),100)&gt;=1,MOD(INDEX(기본자료!$G$2:$G$501,$AB37),100)&lt;=31),DATE(INT(INDEX(기본자료!$G$2:$G$501,$AB37)/10000),INT(MOD(INDEX(기본자료!$G$2:$G$501,$AB37),10000)/100),MOD(INDEX(기본자료!$G$2:$G$501,$AB37),100)),INDEX(기본자료!$G$2:$G$501,$AB37)&amp;"")))))</f>
        <v/>
      </c>
      <c r="J37" s="10">
        <f>IF($AB37="","",IF(INDEX(기본자료!$H$2:$H$501,$AB37)="","",INDEX(기본자료!$H$2:$H$501,$AB37)))</f>
        <v/>
      </c>
      <c r="K37" s="10">
        <f>IF($AB37="","",IF(INDEX(기본자료!$I$2:$I$501,$AB37)="","",INDEX(기본자료!$I$2:$I$501,$AB37)))</f>
        <v/>
      </c>
      <c r="L37" s="10">
        <f>IF($AB37="","",IF(INDEX(기본자료!$A$2:$A$501,$AB37)="","",INDEX(기본자료!$A$2:$A$501,$AB37)))</f>
        <v/>
      </c>
      <c r="M37" s="14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4" t="n"/>
      <c r="Q37" s="14" t="n"/>
      <c r="R37" s="14" t="n"/>
      <c r="S37" s="15" t="n"/>
      <c r="T37" s="15" t="n"/>
      <c r="U37" s="10">
        <f>IF(OR($B37="",$S37=""),"",IF(TODAY()&lt;$S37,"파견예정",IF(AND($T37&lt;&gt;"",TODAY()&gt;$T37),"파견종료","파견중")))</f>
        <v/>
      </c>
      <c r="V37" s="16">
        <f>IF(OR($S37="",$T37=""),"",$T37-$S37+1)</f>
        <v/>
      </c>
      <c r="W37" s="16">
        <f>IF(AND($U37="파견중",$T37&lt;&gt;""),$T37-TODAY(),"")</f>
        <v/>
      </c>
      <c r="X37" s="16">
        <f>IF(OR($B37="",$S37=""),"",MAX(0,MIN(IF($T37="",EOMONTH(요약!$B$3,0),$T37),EOMONTH(요약!$B$3,0))-MAX($S37,요약!$B$3)+1))</f>
        <v/>
      </c>
      <c r="Y37" s="10">
        <f>IF($B37="","",IF($AE37="","",IF(OR($S37="",$P37="",N($X37)&lt;=0),$AE37,IF($P37="다기관파견",$AE37,IF($AE37="구리병원",IF(AND($Q37&lt;&gt;"",N($X37)&gt;=요약!$E$3),$Q37,$AE37),IF(AND($P37="일반파견(단독)",$Q37&lt;&gt;""),$Q37,$AE37))))))</f>
        <v/>
      </c>
      <c r="Z37" s="17">
        <f>IF($B37="","",IF($AB37="","기본자료에 없는 사번",IF(COUNTIF($B$2:$B$201,$B37)&gt;1,"중복 사번",IF($M37="","입사장소 입력",IF(AND($P37&lt;&gt;"",$S37=""),"파견시작일 입력",IF(AND($S37&lt;&gt;"",$P37=""),"파견종류 입력",IF(AND($P37&lt;&gt;"",$P37&lt;&gt;"다기관파견",$Q37=""),"파견병원 입력",IF(IF($AC37="",0,N(INDEX(인턴근무계획!$T$3:$T$202,$AC37)))&gt;0,"인턴계획 입력오류 확인",IF(AND($AC37&lt;&gt;"",$U37&lt;&gt;"파견중",$N37&lt;&gt;$AE37),"인턴 타지역 근무: 파견 여부 확인","정상")))))))))</f>
        <v/>
      </c>
      <c r="AA37" s="5" t="n"/>
      <c r="AB37" s="10">
        <f>IF($B37="","",IFERROR(MATCH($B37,기본자료!$B$2:$B$501,0),IFERROR(MATCH($B37&amp;"",기본자료!$B$2:$B$501,0),IFERROR(MATCH(VALUE($B37),기본자료!$B$2:$B$501,0),""))))</f>
        <v/>
      </c>
      <c r="AC37" s="10">
        <f>IF($B37="","",IFERROR(MATCH($B37,인턴근무계획!$D$3:$D$202,0),IFERROR(MATCH($B37&amp;"",인턴근무계획!$D$3:$D$202,0),IFERROR(MATCH(VALUE($B37),인턴근무계획!$D$3:$D$202,0),""))))</f>
        <v/>
      </c>
      <c r="AD37" s="10">
        <f>IF(OR($AC37="",인턴현황!$G$3=""),"",INDEX(인턴근무계획!$M$3:$R$202,$AC37,인턴현황!$G$3)&amp;"")</f>
        <v/>
      </c>
      <c r="AE37" s="10">
        <f>IF($B37="","",IF($M37&lt;&gt;"",$M37,IF($H37="","",IF(RIGHT($H37,2)="병원",$H37,$H37&amp;"병원"))))</f>
        <v/>
      </c>
    </row>
    <row r="38">
      <c r="A38" s="10">
        <f>IF(B38="","",ROW()-1)</f>
        <v/>
      </c>
      <c r="B38" s="13" t="n"/>
      <c r="C38" s="10">
        <f>IF($AB38="","",IF(INDEX(기본자료!$C$2:$C$501,$AB38)="","",INDEX(기본자료!$C$2:$C$501,$AB38)))</f>
        <v/>
      </c>
      <c r="D38" s="10">
        <f>IF($AB38="","",IF(INDEX(기본자료!$J$2:$J$501,$AB38)="","",INDEX(기본자료!$J$2:$J$501,$AB38)))</f>
        <v/>
      </c>
      <c r="E38" s="11">
        <f>IF($AB38="","",IF(INDEX(기본자료!$K$2:$K$501,$AB38)="","",IF(NOT(ISNUMBER(INDEX(기본자료!$K$2:$K$501,$AB38))),INDEX(기본자료!$K$2:$K$501,$AB38),IF(INDEX(기본자료!$K$2:$K$501,$AB38)&lt;1000000,INDEX(기본자료!$K$2:$K$501,$AB38),IF(AND(INDEX(기본자료!$K$2:$K$501,$AB38)&gt;=10000101,INT(MOD(INDEX(기본자료!$K$2:$K$501,$AB38),10000)/100)&gt;=1,INT(MOD(INDEX(기본자료!$K$2:$K$501,$AB38),10000)/100)&lt;=12,MOD(INDEX(기본자료!$K$2:$K$501,$AB38),100)&gt;=1,MOD(INDEX(기본자료!$K$2:$K$501,$AB38),100)&lt;=31),DATE(INT(INDEX(기본자료!$K$2:$K$501,$AB38)/10000),INT(MOD(INDEX(기본자료!$K$2:$K$501,$AB38),10000)/100),MOD(INDEX(기본자료!$K$2:$K$501,$AB38),100)),INDEX(기본자료!$K$2:$K$501,$AB38)&amp;"")))))</f>
        <v/>
      </c>
      <c r="F38" s="10">
        <f>IF($AB38="","",IF(INDEX(기본자료!$D$2:$D$501,$AB38)="","",INDEX(기본자료!$D$2:$D$501,$AB38)))</f>
        <v/>
      </c>
      <c r="G38" s="10">
        <f>IF($AB38="","",IF(INDEX(기본자료!$E$2:$E$501,$AB38)="","",INDEX(기본자료!$E$2:$E$501,$AB38)))</f>
        <v/>
      </c>
      <c r="H38" s="10">
        <f>IF($AB38="","",IF(INDEX(기본자료!$F$2:$F$501,$AB38)="","",INDEX(기본자료!$F$2:$F$501,$AB38)))</f>
        <v/>
      </c>
      <c r="I38" s="11">
        <f>IF($AB38="","",IF(INDEX(기본자료!$G$2:$G$501,$AB38)="","",IF(NOT(ISNUMBER(INDEX(기본자료!$G$2:$G$501,$AB38))),INDEX(기본자료!$G$2:$G$501,$AB38),IF(INDEX(기본자료!$G$2:$G$501,$AB38)&lt;1000000,INDEX(기본자료!$G$2:$G$501,$AB38),IF(AND(INDEX(기본자료!$G$2:$G$501,$AB38)&gt;=10000101,INT(MOD(INDEX(기본자료!$G$2:$G$501,$AB38),10000)/100)&gt;=1,INT(MOD(INDEX(기본자료!$G$2:$G$501,$AB38),10000)/100)&lt;=12,MOD(INDEX(기본자료!$G$2:$G$501,$AB38),100)&gt;=1,MOD(INDEX(기본자료!$G$2:$G$501,$AB38),100)&lt;=31),DATE(INT(INDEX(기본자료!$G$2:$G$501,$AB38)/10000),INT(MOD(INDEX(기본자료!$G$2:$G$501,$AB38),10000)/100),MOD(INDEX(기본자료!$G$2:$G$501,$AB38),100)),INDEX(기본자료!$G$2:$G$501,$AB38)&amp;"")))))</f>
        <v/>
      </c>
      <c r="J38" s="10">
        <f>IF($AB38="","",IF(INDEX(기본자료!$H$2:$H$501,$AB38)="","",INDEX(기본자료!$H$2:$H$501,$AB38)))</f>
        <v/>
      </c>
      <c r="K38" s="10">
        <f>IF($AB38="","",IF(INDEX(기본자료!$I$2:$I$501,$AB38)="","",INDEX(기본자료!$I$2:$I$501,$AB38)))</f>
        <v/>
      </c>
      <c r="L38" s="10">
        <f>IF($AB38="","",IF(INDEX(기본자료!$A$2:$A$501,$AB38)="","",INDEX(기본자료!$A$2:$A$501,$AB38)))</f>
        <v/>
      </c>
      <c r="M38" s="14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4" t="n"/>
      <c r="Q38" s="14" t="n"/>
      <c r="R38" s="14" t="n"/>
      <c r="S38" s="15" t="n"/>
      <c r="T38" s="15" t="n"/>
      <c r="U38" s="10">
        <f>IF(OR($B38="",$S38=""),"",IF(TODAY()&lt;$S38,"파견예정",IF(AND($T38&lt;&gt;"",TODAY()&gt;$T38),"파견종료","파견중")))</f>
        <v/>
      </c>
      <c r="V38" s="16">
        <f>IF(OR($S38="",$T38=""),"",$T38-$S38+1)</f>
        <v/>
      </c>
      <c r="W38" s="16">
        <f>IF(AND($U38="파견중",$T38&lt;&gt;""),$T38-TODAY(),"")</f>
        <v/>
      </c>
      <c r="X38" s="16">
        <f>IF(OR($B38="",$S38=""),"",MAX(0,MIN(IF($T38="",EOMONTH(요약!$B$3,0),$T38),EOMONTH(요약!$B$3,0))-MAX($S38,요약!$B$3)+1))</f>
        <v/>
      </c>
      <c r="Y38" s="10">
        <f>IF($B38="","",IF($AE38="","",IF(OR($S38="",$P38="",N($X38)&lt;=0),$AE38,IF($P38="다기관파견",$AE38,IF($AE38="구리병원",IF(AND($Q38&lt;&gt;"",N($X38)&gt;=요약!$E$3),$Q38,$AE38),IF(AND($P38="일반파견(단독)",$Q38&lt;&gt;""),$Q38,$AE38))))))</f>
        <v/>
      </c>
      <c r="Z38" s="17">
        <f>IF($B38="","",IF($AB38="","기본자료에 없는 사번",IF(COUNTIF($B$2:$B$201,$B38)&gt;1,"중복 사번",IF($M38="","입사장소 입력",IF(AND($P38&lt;&gt;"",$S38=""),"파견시작일 입력",IF(AND($S38&lt;&gt;"",$P38=""),"파견종류 입력",IF(AND($P38&lt;&gt;"",$P38&lt;&gt;"다기관파견",$Q38=""),"파견병원 입력",IF(IF($AC38="",0,N(INDEX(인턴근무계획!$T$3:$T$202,$AC38)))&gt;0,"인턴계획 입력오류 확인",IF(AND($AC38&lt;&gt;"",$U38&lt;&gt;"파견중",$N38&lt;&gt;$AE38),"인턴 타지역 근무: 파견 여부 확인","정상")))))))))</f>
        <v/>
      </c>
      <c r="AA38" s="5" t="n"/>
      <c r="AB38" s="10">
        <f>IF($B38="","",IFERROR(MATCH($B38,기본자료!$B$2:$B$501,0),IFERROR(MATCH($B38&amp;"",기본자료!$B$2:$B$501,0),IFERROR(MATCH(VALUE($B38),기본자료!$B$2:$B$501,0),""))))</f>
        <v/>
      </c>
      <c r="AC38" s="10">
        <f>IF($B38="","",IFERROR(MATCH($B38,인턴근무계획!$D$3:$D$202,0),IFERROR(MATCH($B38&amp;"",인턴근무계획!$D$3:$D$202,0),IFERROR(MATCH(VALUE($B38),인턴근무계획!$D$3:$D$202,0),""))))</f>
        <v/>
      </c>
      <c r="AD38" s="10">
        <f>IF(OR($AC38="",인턴현황!$G$3=""),"",INDEX(인턴근무계획!$M$3:$R$202,$AC38,인턴현황!$G$3)&amp;"")</f>
        <v/>
      </c>
      <c r="AE38" s="10">
        <f>IF($B38="","",IF($M38&lt;&gt;"",$M38,IF($H38="","",IF(RIGHT($H38,2)="병원",$H38,$H38&amp;"병원"))))</f>
        <v/>
      </c>
    </row>
    <row r="39">
      <c r="A39" s="10">
        <f>IF(B39="","",ROW()-1)</f>
        <v/>
      </c>
      <c r="B39" s="13" t="n"/>
      <c r="C39" s="10">
        <f>IF($AB39="","",IF(INDEX(기본자료!$C$2:$C$501,$AB39)="","",INDEX(기본자료!$C$2:$C$501,$AB39)))</f>
        <v/>
      </c>
      <c r="D39" s="10">
        <f>IF($AB39="","",IF(INDEX(기본자료!$J$2:$J$501,$AB39)="","",INDEX(기본자료!$J$2:$J$501,$AB39)))</f>
        <v/>
      </c>
      <c r="E39" s="11">
        <f>IF($AB39="","",IF(INDEX(기본자료!$K$2:$K$501,$AB39)="","",IF(NOT(ISNUMBER(INDEX(기본자료!$K$2:$K$501,$AB39))),INDEX(기본자료!$K$2:$K$501,$AB39),IF(INDEX(기본자료!$K$2:$K$501,$AB39)&lt;1000000,INDEX(기본자료!$K$2:$K$501,$AB39),IF(AND(INDEX(기본자료!$K$2:$K$501,$AB39)&gt;=10000101,INT(MOD(INDEX(기본자료!$K$2:$K$501,$AB39),10000)/100)&gt;=1,INT(MOD(INDEX(기본자료!$K$2:$K$501,$AB39),10000)/100)&lt;=12,MOD(INDEX(기본자료!$K$2:$K$501,$AB39),100)&gt;=1,MOD(INDEX(기본자료!$K$2:$K$501,$AB39),100)&lt;=31),DATE(INT(INDEX(기본자료!$K$2:$K$501,$AB39)/10000),INT(MOD(INDEX(기본자료!$K$2:$K$501,$AB39),10000)/100),MOD(INDEX(기본자료!$K$2:$K$501,$AB39),100)),INDEX(기본자료!$K$2:$K$501,$AB39)&amp;"")))))</f>
        <v/>
      </c>
      <c r="F39" s="10">
        <f>IF($AB39="","",IF(INDEX(기본자료!$D$2:$D$501,$AB39)="","",INDEX(기본자료!$D$2:$D$501,$AB39)))</f>
        <v/>
      </c>
      <c r="G39" s="10">
        <f>IF($AB39="","",IF(INDEX(기본자료!$E$2:$E$501,$AB39)="","",INDEX(기본자료!$E$2:$E$501,$AB39)))</f>
        <v/>
      </c>
      <c r="H39" s="10">
        <f>IF($AB39="","",IF(INDEX(기본자료!$F$2:$F$501,$AB39)="","",INDEX(기본자료!$F$2:$F$501,$AB39)))</f>
        <v/>
      </c>
      <c r="I39" s="11">
        <f>IF($AB39="","",IF(INDEX(기본자료!$G$2:$G$501,$AB39)="","",IF(NOT(ISNUMBER(INDEX(기본자료!$G$2:$G$501,$AB39))),INDEX(기본자료!$G$2:$G$501,$AB39),IF(INDEX(기본자료!$G$2:$G$501,$AB39)&lt;1000000,INDEX(기본자료!$G$2:$G$501,$AB39),IF(AND(INDEX(기본자료!$G$2:$G$501,$AB39)&gt;=10000101,INT(MOD(INDEX(기본자료!$G$2:$G$501,$AB39),10000)/100)&gt;=1,INT(MOD(INDEX(기본자료!$G$2:$G$501,$AB39),10000)/100)&lt;=12,MOD(INDEX(기본자료!$G$2:$G$501,$AB39),100)&gt;=1,MOD(INDEX(기본자료!$G$2:$G$501,$AB39),100)&lt;=31),DATE(INT(INDEX(기본자료!$G$2:$G$501,$AB39)/10000),INT(MOD(INDEX(기본자료!$G$2:$G$501,$AB39),10000)/100),MOD(INDEX(기본자료!$G$2:$G$501,$AB39),100)),INDEX(기본자료!$G$2:$G$501,$AB39)&amp;"")))))</f>
        <v/>
      </c>
      <c r="J39" s="10">
        <f>IF($AB39="","",IF(INDEX(기본자료!$H$2:$H$501,$AB39)="","",INDEX(기본자료!$H$2:$H$501,$AB39)))</f>
        <v/>
      </c>
      <c r="K39" s="10">
        <f>IF($AB39="","",IF(INDEX(기본자료!$I$2:$I$501,$AB39)="","",INDEX(기본자료!$I$2:$I$501,$AB39)))</f>
        <v/>
      </c>
      <c r="L39" s="10">
        <f>IF($AB39="","",IF(INDEX(기본자료!$A$2:$A$501,$AB39)="","",INDEX(기본자료!$A$2:$A$501,$AB39)))</f>
        <v/>
      </c>
      <c r="M39" s="14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4" t="n"/>
      <c r="Q39" s="14" t="n"/>
      <c r="R39" s="14" t="n"/>
      <c r="S39" s="15" t="n"/>
      <c r="T39" s="15" t="n"/>
      <c r="U39" s="10">
        <f>IF(OR($B39="",$S39=""),"",IF(TODAY()&lt;$S39,"파견예정",IF(AND($T39&lt;&gt;"",TODAY()&gt;$T39),"파견종료","파견중")))</f>
        <v/>
      </c>
      <c r="V39" s="16">
        <f>IF(OR($S39="",$T39=""),"",$T39-$S39+1)</f>
        <v/>
      </c>
      <c r="W39" s="16">
        <f>IF(AND($U39="파견중",$T39&lt;&gt;""),$T39-TODAY(),"")</f>
        <v/>
      </c>
      <c r="X39" s="16">
        <f>IF(OR($B39="",$S39=""),"",MAX(0,MIN(IF($T39="",EOMONTH(요약!$B$3,0),$T39),EOMONTH(요약!$B$3,0))-MAX($S39,요약!$B$3)+1))</f>
        <v/>
      </c>
      <c r="Y39" s="10">
        <f>IF($B39="","",IF($AE39="","",IF(OR($S39="",$P39="",N($X39)&lt;=0),$AE39,IF($P39="다기관파견",$AE39,IF($AE39="구리병원",IF(AND($Q39&lt;&gt;"",N($X39)&gt;=요약!$E$3),$Q39,$AE39),IF(AND($P39="일반파견(단독)",$Q39&lt;&gt;""),$Q39,$AE39))))))</f>
        <v/>
      </c>
      <c r="Z39" s="17">
        <f>IF($B39="","",IF($AB39="","기본자료에 없는 사번",IF(COUNTIF($B$2:$B$201,$B39)&gt;1,"중복 사번",IF($M39="","입사장소 입력",IF(AND($P39&lt;&gt;"",$S39=""),"파견시작일 입력",IF(AND($S39&lt;&gt;"",$P39=""),"파견종류 입력",IF(AND($P39&lt;&gt;"",$P39&lt;&gt;"다기관파견",$Q39=""),"파견병원 입력",IF(IF($AC39="",0,N(INDEX(인턴근무계획!$T$3:$T$202,$AC39)))&gt;0,"인턴계획 입력오류 확인",IF(AND($AC39&lt;&gt;"",$U39&lt;&gt;"파견중",$N39&lt;&gt;$AE39),"인턴 타지역 근무: 파견 여부 확인","정상")))))))))</f>
        <v/>
      </c>
      <c r="AA39" s="5" t="n"/>
      <c r="AB39" s="10">
        <f>IF($B39="","",IFERROR(MATCH($B39,기본자료!$B$2:$B$501,0),IFERROR(MATCH($B39&amp;"",기본자료!$B$2:$B$501,0),IFERROR(MATCH(VALUE($B39),기본자료!$B$2:$B$501,0),""))))</f>
        <v/>
      </c>
      <c r="AC39" s="10">
        <f>IF($B39="","",IFERROR(MATCH($B39,인턴근무계획!$D$3:$D$202,0),IFERROR(MATCH($B39&amp;"",인턴근무계획!$D$3:$D$202,0),IFERROR(MATCH(VALUE($B39),인턴근무계획!$D$3:$D$202,0),""))))</f>
        <v/>
      </c>
      <c r="AD39" s="10">
        <f>IF(OR($AC39="",인턴현황!$G$3=""),"",INDEX(인턴근무계획!$M$3:$R$202,$AC39,인턴현황!$G$3)&amp;"")</f>
        <v/>
      </c>
      <c r="AE39" s="10">
        <f>IF($B39="","",IF($M39&lt;&gt;"",$M39,IF($H39="","",IF(RIGHT($H39,2)="병원",$H39,$H39&amp;"병원"))))</f>
        <v/>
      </c>
    </row>
    <row r="40">
      <c r="A40" s="10">
        <f>IF(B40="","",ROW()-1)</f>
        <v/>
      </c>
      <c r="B40" s="13" t="n"/>
      <c r="C40" s="10">
        <f>IF($AB40="","",IF(INDEX(기본자료!$C$2:$C$501,$AB40)="","",INDEX(기본자료!$C$2:$C$501,$AB40)))</f>
        <v/>
      </c>
      <c r="D40" s="10">
        <f>IF($AB40="","",IF(INDEX(기본자료!$J$2:$J$501,$AB40)="","",INDEX(기본자료!$J$2:$J$501,$AB40)))</f>
        <v/>
      </c>
      <c r="E40" s="11">
        <f>IF($AB40="","",IF(INDEX(기본자료!$K$2:$K$501,$AB40)="","",IF(NOT(ISNUMBER(INDEX(기본자료!$K$2:$K$501,$AB40))),INDEX(기본자료!$K$2:$K$501,$AB40),IF(INDEX(기본자료!$K$2:$K$501,$AB40)&lt;1000000,INDEX(기본자료!$K$2:$K$501,$AB40),IF(AND(INDEX(기본자료!$K$2:$K$501,$AB40)&gt;=10000101,INT(MOD(INDEX(기본자료!$K$2:$K$501,$AB40),10000)/100)&gt;=1,INT(MOD(INDEX(기본자료!$K$2:$K$501,$AB40),10000)/100)&lt;=12,MOD(INDEX(기본자료!$K$2:$K$501,$AB40),100)&gt;=1,MOD(INDEX(기본자료!$K$2:$K$501,$AB40),100)&lt;=31),DATE(INT(INDEX(기본자료!$K$2:$K$501,$AB40)/10000),INT(MOD(INDEX(기본자료!$K$2:$K$501,$AB40),10000)/100),MOD(INDEX(기본자료!$K$2:$K$501,$AB40),100)),INDEX(기본자료!$K$2:$K$501,$AB40)&amp;"")))))</f>
        <v/>
      </c>
      <c r="F40" s="10">
        <f>IF($AB40="","",IF(INDEX(기본자료!$D$2:$D$501,$AB40)="","",INDEX(기본자료!$D$2:$D$501,$AB40)))</f>
        <v/>
      </c>
      <c r="G40" s="10">
        <f>IF($AB40="","",IF(INDEX(기본자료!$E$2:$E$501,$AB40)="","",INDEX(기본자료!$E$2:$E$501,$AB40)))</f>
        <v/>
      </c>
      <c r="H40" s="10">
        <f>IF($AB40="","",IF(INDEX(기본자료!$F$2:$F$501,$AB40)="","",INDEX(기본자료!$F$2:$F$501,$AB40)))</f>
        <v/>
      </c>
      <c r="I40" s="11">
        <f>IF($AB40="","",IF(INDEX(기본자료!$G$2:$G$501,$AB40)="","",IF(NOT(ISNUMBER(INDEX(기본자료!$G$2:$G$501,$AB40))),INDEX(기본자료!$G$2:$G$501,$AB40),IF(INDEX(기본자료!$G$2:$G$501,$AB40)&lt;1000000,INDEX(기본자료!$G$2:$G$501,$AB40),IF(AND(INDEX(기본자료!$G$2:$G$501,$AB40)&gt;=10000101,INT(MOD(INDEX(기본자료!$G$2:$G$501,$AB40),10000)/100)&gt;=1,INT(MOD(INDEX(기본자료!$G$2:$G$501,$AB40),10000)/100)&lt;=12,MOD(INDEX(기본자료!$G$2:$G$501,$AB40),100)&gt;=1,MOD(INDEX(기본자료!$G$2:$G$501,$AB40),100)&lt;=31),DATE(INT(INDEX(기본자료!$G$2:$G$501,$AB40)/10000),INT(MOD(INDEX(기본자료!$G$2:$G$501,$AB40),10000)/100),MOD(INDEX(기본자료!$G$2:$G$501,$AB40),100)),INDEX(기본자료!$G$2:$G$501,$AB40)&amp;"")))))</f>
        <v/>
      </c>
      <c r="J40" s="10">
        <f>IF($AB40="","",IF(INDEX(기본자료!$H$2:$H$501,$AB40)="","",INDEX(기본자료!$H$2:$H$501,$AB40)))</f>
        <v/>
      </c>
      <c r="K40" s="10">
        <f>IF($AB40="","",IF(INDEX(기본자료!$I$2:$I$501,$AB40)="","",INDEX(기본자료!$I$2:$I$501,$AB40)))</f>
        <v/>
      </c>
      <c r="L40" s="10">
        <f>IF($AB40="","",IF(INDEX(기본자료!$A$2:$A$501,$AB40)="","",INDEX(기본자료!$A$2:$A$501,$AB40)))</f>
        <v/>
      </c>
      <c r="M40" s="14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4" t="n"/>
      <c r="Q40" s="14" t="n"/>
      <c r="R40" s="14" t="n"/>
      <c r="S40" s="15" t="n"/>
      <c r="T40" s="15" t="n"/>
      <c r="U40" s="10">
        <f>IF(OR($B40="",$S40=""),"",IF(TODAY()&lt;$S40,"파견예정",IF(AND($T40&lt;&gt;"",TODAY()&gt;$T40),"파견종료","파견중")))</f>
        <v/>
      </c>
      <c r="V40" s="16">
        <f>IF(OR($S40="",$T40=""),"",$T40-$S40+1)</f>
        <v/>
      </c>
      <c r="W40" s="16">
        <f>IF(AND($U40="파견중",$T40&lt;&gt;""),$T40-TODAY(),"")</f>
        <v/>
      </c>
      <c r="X40" s="16">
        <f>IF(OR($B40="",$S40=""),"",MAX(0,MIN(IF($T40="",EOMONTH(요약!$B$3,0),$T40),EOMONTH(요약!$B$3,0))-MAX($S40,요약!$B$3)+1))</f>
        <v/>
      </c>
      <c r="Y40" s="10">
        <f>IF($B40="","",IF($AE40="","",IF(OR($S40="",$P40="",N($X40)&lt;=0),$AE40,IF($P40="다기관파견",$AE40,IF($AE40="구리병원",IF(AND($Q40&lt;&gt;"",N($X40)&gt;=요약!$E$3),$Q40,$AE40),IF(AND($P40="일반파견(단독)",$Q40&lt;&gt;""),$Q40,$AE40))))))</f>
        <v/>
      </c>
      <c r="Z40" s="17">
        <f>IF($B40="","",IF($AB40="","기본자료에 없는 사번",IF(COUNTIF($B$2:$B$201,$B40)&gt;1,"중복 사번",IF($M40="","입사장소 입력",IF(AND($P40&lt;&gt;"",$S40=""),"파견시작일 입력",IF(AND($S40&lt;&gt;"",$P40=""),"파견종류 입력",IF(AND($P40&lt;&gt;"",$P40&lt;&gt;"다기관파견",$Q40=""),"파견병원 입력",IF(IF($AC40="",0,N(INDEX(인턴근무계획!$T$3:$T$202,$AC40)))&gt;0,"인턴계획 입력오류 확인",IF(AND($AC40&lt;&gt;"",$U40&lt;&gt;"파견중",$N40&lt;&gt;$AE40),"인턴 타지역 근무: 파견 여부 확인","정상")))))))))</f>
        <v/>
      </c>
      <c r="AA40" s="5" t="n"/>
      <c r="AB40" s="10">
        <f>IF($B40="","",IFERROR(MATCH($B40,기본자료!$B$2:$B$501,0),IFERROR(MATCH($B40&amp;"",기본자료!$B$2:$B$501,0),IFERROR(MATCH(VALUE($B40),기본자료!$B$2:$B$501,0),""))))</f>
        <v/>
      </c>
      <c r="AC40" s="10">
        <f>IF($B40="","",IFERROR(MATCH($B40,인턴근무계획!$D$3:$D$202,0),IFERROR(MATCH($B40&amp;"",인턴근무계획!$D$3:$D$202,0),IFERROR(MATCH(VALUE($B40),인턴근무계획!$D$3:$D$202,0),""))))</f>
        <v/>
      </c>
      <c r="AD40" s="10">
        <f>IF(OR($AC40="",인턴현황!$G$3=""),"",INDEX(인턴근무계획!$M$3:$R$202,$AC40,인턴현황!$G$3)&amp;"")</f>
        <v/>
      </c>
      <c r="AE40" s="10">
        <f>IF($B40="","",IF($M40&lt;&gt;"",$M40,IF($H40="","",IF(RIGHT($H40,2)="병원",$H40,$H40&amp;"병원"))))</f>
        <v/>
      </c>
    </row>
    <row r="41">
      <c r="A41" s="10">
        <f>IF(B41="","",ROW()-1)</f>
        <v/>
      </c>
      <c r="B41" s="13" t="n"/>
      <c r="C41" s="10">
        <f>IF($AB41="","",IF(INDEX(기본자료!$C$2:$C$501,$AB41)="","",INDEX(기본자료!$C$2:$C$501,$AB41)))</f>
        <v/>
      </c>
      <c r="D41" s="10">
        <f>IF($AB41="","",IF(INDEX(기본자료!$J$2:$J$501,$AB41)="","",INDEX(기본자료!$J$2:$J$501,$AB41)))</f>
        <v/>
      </c>
      <c r="E41" s="11">
        <f>IF($AB41="","",IF(INDEX(기본자료!$K$2:$K$501,$AB41)="","",IF(NOT(ISNUMBER(INDEX(기본자료!$K$2:$K$501,$AB41))),INDEX(기본자료!$K$2:$K$501,$AB41),IF(INDEX(기본자료!$K$2:$K$501,$AB41)&lt;1000000,INDEX(기본자료!$K$2:$K$501,$AB41),IF(AND(INDEX(기본자료!$K$2:$K$501,$AB41)&gt;=10000101,INT(MOD(INDEX(기본자료!$K$2:$K$501,$AB41),10000)/100)&gt;=1,INT(MOD(INDEX(기본자료!$K$2:$K$501,$AB41),10000)/100)&lt;=12,MOD(INDEX(기본자료!$K$2:$K$501,$AB41),100)&gt;=1,MOD(INDEX(기본자료!$K$2:$K$501,$AB41),100)&lt;=31),DATE(INT(INDEX(기본자료!$K$2:$K$501,$AB41)/10000),INT(MOD(INDEX(기본자료!$K$2:$K$501,$AB41),10000)/100),MOD(INDEX(기본자료!$K$2:$K$501,$AB41),100)),INDEX(기본자료!$K$2:$K$501,$AB41)&amp;"")))))</f>
        <v/>
      </c>
      <c r="F41" s="10">
        <f>IF($AB41="","",IF(INDEX(기본자료!$D$2:$D$501,$AB41)="","",INDEX(기본자료!$D$2:$D$501,$AB41)))</f>
        <v/>
      </c>
      <c r="G41" s="10">
        <f>IF($AB41="","",IF(INDEX(기본자료!$E$2:$E$501,$AB41)="","",INDEX(기본자료!$E$2:$E$501,$AB41)))</f>
        <v/>
      </c>
      <c r="H41" s="10">
        <f>IF($AB41="","",IF(INDEX(기본자료!$F$2:$F$501,$AB41)="","",INDEX(기본자료!$F$2:$F$501,$AB41)))</f>
        <v/>
      </c>
      <c r="I41" s="11">
        <f>IF($AB41="","",IF(INDEX(기본자료!$G$2:$G$501,$AB41)="","",IF(NOT(ISNUMBER(INDEX(기본자료!$G$2:$G$501,$AB41))),INDEX(기본자료!$G$2:$G$501,$AB41),IF(INDEX(기본자료!$G$2:$G$501,$AB41)&lt;1000000,INDEX(기본자료!$G$2:$G$501,$AB41),IF(AND(INDEX(기본자료!$G$2:$G$501,$AB41)&gt;=10000101,INT(MOD(INDEX(기본자료!$G$2:$G$501,$AB41),10000)/100)&gt;=1,INT(MOD(INDEX(기본자료!$G$2:$G$501,$AB41),10000)/100)&lt;=12,MOD(INDEX(기본자료!$G$2:$G$501,$AB41),100)&gt;=1,MOD(INDEX(기본자료!$G$2:$G$501,$AB41),100)&lt;=31),DATE(INT(INDEX(기본자료!$G$2:$G$501,$AB41)/10000),INT(MOD(INDEX(기본자료!$G$2:$G$501,$AB41),10000)/100),MOD(INDEX(기본자료!$G$2:$G$501,$AB41),100)),INDEX(기본자료!$G$2:$G$501,$AB41)&amp;"")))))</f>
        <v/>
      </c>
      <c r="J41" s="10">
        <f>IF($AB41="","",IF(INDEX(기본자료!$H$2:$H$501,$AB41)="","",INDEX(기본자료!$H$2:$H$501,$AB41)))</f>
        <v/>
      </c>
      <c r="K41" s="10">
        <f>IF($AB41="","",IF(INDEX(기본자료!$I$2:$I$501,$AB41)="","",INDEX(기본자료!$I$2:$I$501,$AB41)))</f>
        <v/>
      </c>
      <c r="L41" s="10">
        <f>IF($AB41="","",IF(INDEX(기본자료!$A$2:$A$501,$AB41)="","",INDEX(기본자료!$A$2:$A$501,$AB41)))</f>
        <v/>
      </c>
      <c r="M41" s="14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4" t="n"/>
      <c r="Q41" s="14" t="n"/>
      <c r="R41" s="14" t="n"/>
      <c r="S41" s="15" t="n"/>
      <c r="T41" s="15" t="n"/>
      <c r="U41" s="10">
        <f>IF(OR($B41="",$S41=""),"",IF(TODAY()&lt;$S41,"파견예정",IF(AND($T41&lt;&gt;"",TODAY()&gt;$T41),"파견종료","파견중")))</f>
        <v/>
      </c>
      <c r="V41" s="16">
        <f>IF(OR($S41="",$T41=""),"",$T41-$S41+1)</f>
        <v/>
      </c>
      <c r="W41" s="16">
        <f>IF(AND($U41="파견중",$T41&lt;&gt;""),$T41-TODAY(),"")</f>
        <v/>
      </c>
      <c r="X41" s="16">
        <f>IF(OR($B41="",$S41=""),"",MAX(0,MIN(IF($T41="",EOMONTH(요약!$B$3,0),$T41),EOMONTH(요약!$B$3,0))-MAX($S41,요약!$B$3)+1))</f>
        <v/>
      </c>
      <c r="Y41" s="10">
        <f>IF($B41="","",IF($AE41="","",IF(OR($S41="",$P41="",N($X41)&lt;=0),$AE41,IF($P41="다기관파견",$AE41,IF($AE41="구리병원",IF(AND($Q41&lt;&gt;"",N($X41)&gt;=요약!$E$3),$Q41,$AE41),IF(AND($P41="일반파견(단독)",$Q41&lt;&gt;""),$Q41,$AE41))))))</f>
        <v/>
      </c>
      <c r="Z41" s="17">
        <f>IF($B41="","",IF($AB41="","기본자료에 없는 사번",IF(COUNTIF($B$2:$B$201,$B41)&gt;1,"중복 사번",IF($M41="","입사장소 입력",IF(AND($P41&lt;&gt;"",$S41=""),"파견시작일 입력",IF(AND($S41&lt;&gt;"",$P41=""),"파견종류 입력",IF(AND($P41&lt;&gt;"",$P41&lt;&gt;"다기관파견",$Q41=""),"파견병원 입력",IF(IF($AC41="",0,N(INDEX(인턴근무계획!$T$3:$T$202,$AC41)))&gt;0,"인턴계획 입력오류 확인",IF(AND($AC41&lt;&gt;"",$U41&lt;&gt;"파견중",$N41&lt;&gt;$AE41),"인턴 타지역 근무: 파견 여부 확인","정상")))))))))</f>
        <v/>
      </c>
      <c r="AA41" s="5" t="n"/>
      <c r="AB41" s="10">
        <f>IF($B41="","",IFERROR(MATCH($B41,기본자료!$B$2:$B$501,0),IFERROR(MATCH($B41&amp;"",기본자료!$B$2:$B$501,0),IFERROR(MATCH(VALUE($B41),기본자료!$B$2:$B$501,0),""))))</f>
        <v/>
      </c>
      <c r="AC41" s="10">
        <f>IF($B41="","",IFERROR(MATCH($B41,인턴근무계획!$D$3:$D$202,0),IFERROR(MATCH($B41&amp;"",인턴근무계획!$D$3:$D$202,0),IFERROR(MATCH(VALUE($B41),인턴근무계획!$D$3:$D$202,0),""))))</f>
        <v/>
      </c>
      <c r="AD41" s="10">
        <f>IF(OR($AC41="",인턴현황!$G$3=""),"",INDEX(인턴근무계획!$M$3:$R$202,$AC41,인턴현황!$G$3)&amp;"")</f>
        <v/>
      </c>
      <c r="AE41" s="10">
        <f>IF($B41="","",IF($M41&lt;&gt;"",$M41,IF($H41="","",IF(RIGHT($H41,2)="병원",$H41,$H41&amp;"병원"))))</f>
        <v/>
      </c>
    </row>
    <row r="42">
      <c r="A42" s="10">
        <f>IF(B42="","",ROW()-1)</f>
        <v/>
      </c>
      <c r="B42" s="13" t="n"/>
      <c r="C42" s="10">
        <f>IF($AB42="","",IF(INDEX(기본자료!$C$2:$C$501,$AB42)="","",INDEX(기본자료!$C$2:$C$501,$AB42)))</f>
        <v/>
      </c>
      <c r="D42" s="10">
        <f>IF($AB42="","",IF(INDEX(기본자료!$J$2:$J$501,$AB42)="","",INDEX(기본자료!$J$2:$J$501,$AB42)))</f>
        <v/>
      </c>
      <c r="E42" s="11">
        <f>IF($AB42="","",IF(INDEX(기본자료!$K$2:$K$501,$AB42)="","",IF(NOT(ISNUMBER(INDEX(기본자료!$K$2:$K$501,$AB42))),INDEX(기본자료!$K$2:$K$501,$AB42),IF(INDEX(기본자료!$K$2:$K$501,$AB42)&lt;1000000,INDEX(기본자료!$K$2:$K$501,$AB42),IF(AND(INDEX(기본자료!$K$2:$K$501,$AB42)&gt;=10000101,INT(MOD(INDEX(기본자료!$K$2:$K$501,$AB42),10000)/100)&gt;=1,INT(MOD(INDEX(기본자료!$K$2:$K$501,$AB42),10000)/100)&lt;=12,MOD(INDEX(기본자료!$K$2:$K$501,$AB42),100)&gt;=1,MOD(INDEX(기본자료!$K$2:$K$501,$AB42),100)&lt;=31),DATE(INT(INDEX(기본자료!$K$2:$K$501,$AB42)/10000),INT(MOD(INDEX(기본자료!$K$2:$K$501,$AB42),10000)/100),MOD(INDEX(기본자료!$K$2:$K$501,$AB42),100)),INDEX(기본자료!$K$2:$K$501,$AB42)&amp;"")))))</f>
        <v/>
      </c>
      <c r="F42" s="10">
        <f>IF($AB42="","",IF(INDEX(기본자료!$D$2:$D$501,$AB42)="","",INDEX(기본자료!$D$2:$D$501,$AB42)))</f>
        <v/>
      </c>
      <c r="G42" s="10">
        <f>IF($AB42="","",IF(INDEX(기본자료!$E$2:$E$501,$AB42)="","",INDEX(기본자료!$E$2:$E$501,$AB42)))</f>
        <v/>
      </c>
      <c r="H42" s="10">
        <f>IF($AB42="","",IF(INDEX(기본자료!$F$2:$F$501,$AB42)="","",INDEX(기본자료!$F$2:$F$501,$AB42)))</f>
        <v/>
      </c>
      <c r="I42" s="11">
        <f>IF($AB42="","",IF(INDEX(기본자료!$G$2:$G$501,$AB42)="","",IF(NOT(ISNUMBER(INDEX(기본자료!$G$2:$G$501,$AB42))),INDEX(기본자료!$G$2:$G$501,$AB42),IF(INDEX(기본자료!$G$2:$G$501,$AB42)&lt;1000000,INDEX(기본자료!$G$2:$G$501,$AB42),IF(AND(INDEX(기본자료!$G$2:$G$501,$AB42)&gt;=10000101,INT(MOD(INDEX(기본자료!$G$2:$G$501,$AB42),10000)/100)&gt;=1,INT(MOD(INDEX(기본자료!$G$2:$G$501,$AB42),10000)/100)&lt;=12,MOD(INDEX(기본자료!$G$2:$G$501,$AB42),100)&gt;=1,MOD(INDEX(기본자료!$G$2:$G$501,$AB42),100)&lt;=31),DATE(INT(INDEX(기본자료!$G$2:$G$501,$AB42)/10000),INT(MOD(INDEX(기본자료!$G$2:$G$501,$AB42),10000)/100),MOD(INDEX(기본자료!$G$2:$G$501,$AB42),100)),INDEX(기본자료!$G$2:$G$501,$AB42)&amp;"")))))</f>
        <v/>
      </c>
      <c r="J42" s="10">
        <f>IF($AB42="","",IF(INDEX(기본자료!$H$2:$H$501,$AB42)="","",INDEX(기본자료!$H$2:$H$501,$AB42)))</f>
        <v/>
      </c>
      <c r="K42" s="10">
        <f>IF($AB42="","",IF(INDEX(기본자료!$I$2:$I$501,$AB42)="","",INDEX(기본자료!$I$2:$I$501,$AB42)))</f>
        <v/>
      </c>
      <c r="L42" s="10">
        <f>IF($AB42="","",IF(INDEX(기본자료!$A$2:$A$501,$AB42)="","",INDEX(기본자료!$A$2:$A$501,$AB42)))</f>
        <v/>
      </c>
      <c r="M42" s="14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4" t="n"/>
      <c r="Q42" s="14" t="n"/>
      <c r="R42" s="14" t="n"/>
      <c r="S42" s="15" t="n"/>
      <c r="T42" s="15" t="n"/>
      <c r="U42" s="10">
        <f>IF(OR($B42="",$S42=""),"",IF(TODAY()&lt;$S42,"파견예정",IF(AND($T42&lt;&gt;"",TODAY()&gt;$T42),"파견종료","파견중")))</f>
        <v/>
      </c>
      <c r="V42" s="16">
        <f>IF(OR($S42="",$T42=""),"",$T42-$S42+1)</f>
        <v/>
      </c>
      <c r="W42" s="16">
        <f>IF(AND($U42="파견중",$T42&lt;&gt;""),$T42-TODAY(),"")</f>
        <v/>
      </c>
      <c r="X42" s="16">
        <f>IF(OR($B42="",$S42=""),"",MAX(0,MIN(IF($T42="",EOMONTH(요약!$B$3,0),$T42),EOMONTH(요약!$B$3,0))-MAX($S42,요약!$B$3)+1))</f>
        <v/>
      </c>
      <c r="Y42" s="10">
        <f>IF($B42="","",IF($AE42="","",IF(OR($S42="",$P42="",N($X42)&lt;=0),$AE42,IF($P42="다기관파견",$AE42,IF($AE42="구리병원",IF(AND($Q42&lt;&gt;"",N($X42)&gt;=요약!$E$3),$Q42,$AE42),IF(AND($P42="일반파견(단독)",$Q42&lt;&gt;""),$Q42,$AE42))))))</f>
        <v/>
      </c>
      <c r="Z42" s="17">
        <f>IF($B42="","",IF($AB42="","기본자료에 없는 사번",IF(COUNTIF($B$2:$B$201,$B42)&gt;1,"중복 사번",IF($M42="","입사장소 입력",IF(AND($P42&lt;&gt;"",$S42=""),"파견시작일 입력",IF(AND($S42&lt;&gt;"",$P42=""),"파견종류 입력",IF(AND($P42&lt;&gt;"",$P42&lt;&gt;"다기관파견",$Q42=""),"파견병원 입력",IF(IF($AC42="",0,N(INDEX(인턴근무계획!$T$3:$T$202,$AC42)))&gt;0,"인턴계획 입력오류 확인",IF(AND($AC42&lt;&gt;"",$U42&lt;&gt;"파견중",$N42&lt;&gt;$AE42),"인턴 타지역 근무: 파견 여부 확인","정상")))))))))</f>
        <v/>
      </c>
      <c r="AA42" s="5" t="n"/>
      <c r="AB42" s="10">
        <f>IF($B42="","",IFERROR(MATCH($B42,기본자료!$B$2:$B$501,0),IFERROR(MATCH($B42&amp;"",기본자료!$B$2:$B$501,0),IFERROR(MATCH(VALUE($B42),기본자료!$B$2:$B$501,0),""))))</f>
        <v/>
      </c>
      <c r="AC42" s="10">
        <f>IF($B42="","",IFERROR(MATCH($B42,인턴근무계획!$D$3:$D$202,0),IFERROR(MATCH($B42&amp;"",인턴근무계획!$D$3:$D$202,0),IFERROR(MATCH(VALUE($B42),인턴근무계획!$D$3:$D$202,0),""))))</f>
        <v/>
      </c>
      <c r="AD42" s="10">
        <f>IF(OR($AC42="",인턴현황!$G$3=""),"",INDEX(인턴근무계획!$M$3:$R$202,$AC42,인턴현황!$G$3)&amp;"")</f>
        <v/>
      </c>
      <c r="AE42" s="10">
        <f>IF($B42="","",IF($M42&lt;&gt;"",$M42,IF($H42="","",IF(RIGHT($H42,2)="병원",$H42,$H42&amp;"병원"))))</f>
        <v/>
      </c>
    </row>
    <row r="43">
      <c r="A43" s="10">
        <f>IF(B43="","",ROW()-1)</f>
        <v/>
      </c>
      <c r="B43" s="13" t="n"/>
      <c r="C43" s="10">
        <f>IF($AB43="","",IF(INDEX(기본자료!$C$2:$C$501,$AB43)="","",INDEX(기본자료!$C$2:$C$501,$AB43)))</f>
        <v/>
      </c>
      <c r="D43" s="10">
        <f>IF($AB43="","",IF(INDEX(기본자료!$J$2:$J$501,$AB43)="","",INDEX(기본자료!$J$2:$J$501,$AB43)))</f>
        <v/>
      </c>
      <c r="E43" s="11">
        <f>IF($AB43="","",IF(INDEX(기본자료!$K$2:$K$501,$AB43)="","",IF(NOT(ISNUMBER(INDEX(기본자료!$K$2:$K$501,$AB43))),INDEX(기본자료!$K$2:$K$501,$AB43),IF(INDEX(기본자료!$K$2:$K$501,$AB43)&lt;1000000,INDEX(기본자료!$K$2:$K$501,$AB43),IF(AND(INDEX(기본자료!$K$2:$K$501,$AB43)&gt;=10000101,INT(MOD(INDEX(기본자료!$K$2:$K$501,$AB43),10000)/100)&gt;=1,INT(MOD(INDEX(기본자료!$K$2:$K$501,$AB43),10000)/100)&lt;=12,MOD(INDEX(기본자료!$K$2:$K$501,$AB43),100)&gt;=1,MOD(INDEX(기본자료!$K$2:$K$501,$AB43),100)&lt;=31),DATE(INT(INDEX(기본자료!$K$2:$K$501,$AB43)/10000),INT(MOD(INDEX(기본자료!$K$2:$K$501,$AB43),10000)/100),MOD(INDEX(기본자료!$K$2:$K$501,$AB43),100)),INDEX(기본자료!$K$2:$K$501,$AB43)&amp;"")))))</f>
        <v/>
      </c>
      <c r="F43" s="10">
        <f>IF($AB43="","",IF(INDEX(기본자료!$D$2:$D$501,$AB43)="","",INDEX(기본자료!$D$2:$D$501,$AB43)))</f>
        <v/>
      </c>
      <c r="G43" s="10">
        <f>IF($AB43="","",IF(INDEX(기본자료!$E$2:$E$501,$AB43)="","",INDEX(기본자료!$E$2:$E$501,$AB43)))</f>
        <v/>
      </c>
      <c r="H43" s="10">
        <f>IF($AB43="","",IF(INDEX(기본자료!$F$2:$F$501,$AB43)="","",INDEX(기본자료!$F$2:$F$501,$AB43)))</f>
        <v/>
      </c>
      <c r="I43" s="11">
        <f>IF($AB43="","",IF(INDEX(기본자료!$G$2:$G$501,$AB43)="","",IF(NOT(ISNUMBER(INDEX(기본자료!$G$2:$G$501,$AB43))),INDEX(기본자료!$G$2:$G$501,$AB43),IF(INDEX(기본자료!$G$2:$G$501,$AB43)&lt;1000000,INDEX(기본자료!$G$2:$G$501,$AB43),IF(AND(INDEX(기본자료!$G$2:$G$501,$AB43)&gt;=10000101,INT(MOD(INDEX(기본자료!$G$2:$G$501,$AB43),10000)/100)&gt;=1,INT(MOD(INDEX(기본자료!$G$2:$G$501,$AB43),10000)/100)&lt;=12,MOD(INDEX(기본자료!$G$2:$G$501,$AB43),100)&gt;=1,MOD(INDEX(기본자료!$G$2:$G$501,$AB43),100)&lt;=31),DATE(INT(INDEX(기본자료!$G$2:$G$501,$AB43)/10000),INT(MOD(INDEX(기본자료!$G$2:$G$501,$AB43),10000)/100),MOD(INDEX(기본자료!$G$2:$G$501,$AB43),100)),INDEX(기본자료!$G$2:$G$501,$AB43)&amp;"")))))</f>
        <v/>
      </c>
      <c r="J43" s="10">
        <f>IF($AB43="","",IF(INDEX(기본자료!$H$2:$H$501,$AB43)="","",INDEX(기본자료!$H$2:$H$501,$AB43)))</f>
        <v/>
      </c>
      <c r="K43" s="10">
        <f>IF($AB43="","",IF(INDEX(기본자료!$I$2:$I$501,$AB43)="","",INDEX(기본자료!$I$2:$I$501,$AB43)))</f>
        <v/>
      </c>
      <c r="L43" s="10">
        <f>IF($AB43="","",IF(INDEX(기본자료!$A$2:$A$501,$AB43)="","",INDEX(기본자료!$A$2:$A$501,$AB43)))</f>
        <v/>
      </c>
      <c r="M43" s="14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4" t="n"/>
      <c r="Q43" s="14" t="n"/>
      <c r="R43" s="14" t="n"/>
      <c r="S43" s="15" t="n"/>
      <c r="T43" s="15" t="n"/>
      <c r="U43" s="10">
        <f>IF(OR($B43="",$S43=""),"",IF(TODAY()&lt;$S43,"파견예정",IF(AND($T43&lt;&gt;"",TODAY()&gt;$T43),"파견종료","파견중")))</f>
        <v/>
      </c>
      <c r="V43" s="16">
        <f>IF(OR($S43="",$T43=""),"",$T43-$S43+1)</f>
        <v/>
      </c>
      <c r="W43" s="16">
        <f>IF(AND($U43="파견중",$T43&lt;&gt;""),$T43-TODAY(),"")</f>
        <v/>
      </c>
      <c r="X43" s="16">
        <f>IF(OR($B43="",$S43=""),"",MAX(0,MIN(IF($T43="",EOMONTH(요약!$B$3,0),$T43),EOMONTH(요약!$B$3,0))-MAX($S43,요약!$B$3)+1))</f>
        <v/>
      </c>
      <c r="Y43" s="10">
        <f>IF($B43="","",IF($AE43="","",IF(OR($S43="",$P43="",N($X43)&lt;=0),$AE43,IF($P43="다기관파견",$AE43,IF($AE43="구리병원",IF(AND($Q43&lt;&gt;"",N($X43)&gt;=요약!$E$3),$Q43,$AE43),IF(AND($P43="일반파견(단독)",$Q43&lt;&gt;""),$Q43,$AE43))))))</f>
        <v/>
      </c>
      <c r="Z43" s="17">
        <f>IF($B43="","",IF($AB43="","기본자료에 없는 사번",IF(COUNTIF($B$2:$B$201,$B43)&gt;1,"중복 사번",IF($M43="","입사장소 입력",IF(AND($P43&lt;&gt;"",$S43=""),"파견시작일 입력",IF(AND($S43&lt;&gt;"",$P43=""),"파견종류 입력",IF(AND($P43&lt;&gt;"",$P43&lt;&gt;"다기관파견",$Q43=""),"파견병원 입력",IF(IF($AC43="",0,N(INDEX(인턴근무계획!$T$3:$T$202,$AC43)))&gt;0,"인턴계획 입력오류 확인",IF(AND($AC43&lt;&gt;"",$U43&lt;&gt;"파견중",$N43&lt;&gt;$AE43),"인턴 타지역 근무: 파견 여부 확인","정상")))))))))</f>
        <v/>
      </c>
      <c r="AA43" s="5" t="n"/>
      <c r="AB43" s="10">
        <f>IF($B43="","",IFERROR(MATCH($B43,기본자료!$B$2:$B$501,0),IFERROR(MATCH($B43&amp;"",기본자료!$B$2:$B$501,0),IFERROR(MATCH(VALUE($B43),기본자료!$B$2:$B$501,0),""))))</f>
        <v/>
      </c>
      <c r="AC43" s="10">
        <f>IF($B43="","",IFERROR(MATCH($B43,인턴근무계획!$D$3:$D$202,0),IFERROR(MATCH($B43&amp;"",인턴근무계획!$D$3:$D$202,0),IFERROR(MATCH(VALUE($B43),인턴근무계획!$D$3:$D$202,0),""))))</f>
        <v/>
      </c>
      <c r="AD43" s="10">
        <f>IF(OR($AC43="",인턴현황!$G$3=""),"",INDEX(인턴근무계획!$M$3:$R$202,$AC43,인턴현황!$G$3)&amp;"")</f>
        <v/>
      </c>
      <c r="AE43" s="10">
        <f>IF($B43="","",IF($M43&lt;&gt;"",$M43,IF($H43="","",IF(RIGHT($H43,2)="병원",$H43,$H43&amp;"병원"))))</f>
        <v/>
      </c>
    </row>
    <row r="44">
      <c r="A44" s="10">
        <f>IF(B44="","",ROW()-1)</f>
        <v/>
      </c>
      <c r="B44" s="13" t="n"/>
      <c r="C44" s="10">
        <f>IF($AB44="","",IF(INDEX(기본자료!$C$2:$C$501,$AB44)="","",INDEX(기본자료!$C$2:$C$501,$AB44)))</f>
        <v/>
      </c>
      <c r="D44" s="10">
        <f>IF($AB44="","",IF(INDEX(기본자료!$J$2:$J$501,$AB44)="","",INDEX(기본자료!$J$2:$J$501,$AB44)))</f>
        <v/>
      </c>
      <c r="E44" s="11">
        <f>IF($AB44="","",IF(INDEX(기본자료!$K$2:$K$501,$AB44)="","",IF(NOT(ISNUMBER(INDEX(기본자료!$K$2:$K$501,$AB44))),INDEX(기본자료!$K$2:$K$501,$AB44),IF(INDEX(기본자료!$K$2:$K$501,$AB44)&lt;1000000,INDEX(기본자료!$K$2:$K$501,$AB44),IF(AND(INDEX(기본자료!$K$2:$K$501,$AB44)&gt;=10000101,INT(MOD(INDEX(기본자료!$K$2:$K$501,$AB44),10000)/100)&gt;=1,INT(MOD(INDEX(기본자료!$K$2:$K$501,$AB44),10000)/100)&lt;=12,MOD(INDEX(기본자료!$K$2:$K$501,$AB44),100)&gt;=1,MOD(INDEX(기본자료!$K$2:$K$501,$AB44),100)&lt;=31),DATE(INT(INDEX(기본자료!$K$2:$K$501,$AB44)/10000),INT(MOD(INDEX(기본자료!$K$2:$K$501,$AB44),10000)/100),MOD(INDEX(기본자료!$K$2:$K$501,$AB44),100)),INDEX(기본자료!$K$2:$K$501,$AB44)&amp;"")))))</f>
        <v/>
      </c>
      <c r="F44" s="10">
        <f>IF($AB44="","",IF(INDEX(기본자료!$D$2:$D$501,$AB44)="","",INDEX(기본자료!$D$2:$D$501,$AB44)))</f>
        <v/>
      </c>
      <c r="G44" s="10">
        <f>IF($AB44="","",IF(INDEX(기본자료!$E$2:$E$501,$AB44)="","",INDEX(기본자료!$E$2:$E$501,$AB44)))</f>
        <v/>
      </c>
      <c r="H44" s="10">
        <f>IF($AB44="","",IF(INDEX(기본자료!$F$2:$F$501,$AB44)="","",INDEX(기본자료!$F$2:$F$501,$AB44)))</f>
        <v/>
      </c>
      <c r="I44" s="11">
        <f>IF($AB44="","",IF(INDEX(기본자료!$G$2:$G$501,$AB44)="","",IF(NOT(ISNUMBER(INDEX(기본자료!$G$2:$G$501,$AB44))),INDEX(기본자료!$G$2:$G$501,$AB44),IF(INDEX(기본자료!$G$2:$G$501,$AB44)&lt;1000000,INDEX(기본자료!$G$2:$G$501,$AB44),IF(AND(INDEX(기본자료!$G$2:$G$501,$AB44)&gt;=10000101,INT(MOD(INDEX(기본자료!$G$2:$G$501,$AB44),10000)/100)&gt;=1,INT(MOD(INDEX(기본자료!$G$2:$G$501,$AB44),10000)/100)&lt;=12,MOD(INDEX(기본자료!$G$2:$G$501,$AB44),100)&gt;=1,MOD(INDEX(기본자료!$G$2:$G$501,$AB44),100)&lt;=31),DATE(INT(INDEX(기본자료!$G$2:$G$501,$AB44)/10000),INT(MOD(INDEX(기본자료!$G$2:$G$501,$AB44),10000)/100),MOD(INDEX(기본자료!$G$2:$G$501,$AB44),100)),INDEX(기본자료!$G$2:$G$501,$AB44)&amp;"")))))</f>
        <v/>
      </c>
      <c r="J44" s="10">
        <f>IF($AB44="","",IF(INDEX(기본자료!$H$2:$H$501,$AB44)="","",INDEX(기본자료!$H$2:$H$501,$AB44)))</f>
        <v/>
      </c>
      <c r="K44" s="10">
        <f>IF($AB44="","",IF(INDEX(기본자료!$I$2:$I$501,$AB44)="","",INDEX(기본자료!$I$2:$I$501,$AB44)))</f>
        <v/>
      </c>
      <c r="L44" s="10">
        <f>IF($AB44="","",IF(INDEX(기본자료!$A$2:$A$501,$AB44)="","",INDEX(기본자료!$A$2:$A$501,$AB44)))</f>
        <v/>
      </c>
      <c r="M44" s="14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4" t="n"/>
      <c r="Q44" s="14" t="n"/>
      <c r="R44" s="14" t="n"/>
      <c r="S44" s="15" t="n"/>
      <c r="T44" s="15" t="n"/>
      <c r="U44" s="10">
        <f>IF(OR($B44="",$S44=""),"",IF(TODAY()&lt;$S44,"파견예정",IF(AND($T44&lt;&gt;"",TODAY()&gt;$T44),"파견종료","파견중")))</f>
        <v/>
      </c>
      <c r="V44" s="16">
        <f>IF(OR($S44="",$T44=""),"",$T44-$S44+1)</f>
        <v/>
      </c>
      <c r="W44" s="16">
        <f>IF(AND($U44="파견중",$T44&lt;&gt;""),$T44-TODAY(),"")</f>
        <v/>
      </c>
      <c r="X44" s="16">
        <f>IF(OR($B44="",$S44=""),"",MAX(0,MIN(IF($T44="",EOMONTH(요약!$B$3,0),$T44),EOMONTH(요약!$B$3,0))-MAX($S44,요약!$B$3)+1))</f>
        <v/>
      </c>
      <c r="Y44" s="10">
        <f>IF($B44="","",IF($AE44="","",IF(OR($S44="",$P44="",N($X44)&lt;=0),$AE44,IF($P44="다기관파견",$AE44,IF($AE44="구리병원",IF(AND($Q44&lt;&gt;"",N($X44)&gt;=요약!$E$3),$Q44,$AE44),IF(AND($P44="일반파견(단독)",$Q44&lt;&gt;""),$Q44,$AE44))))))</f>
        <v/>
      </c>
      <c r="Z44" s="17">
        <f>IF($B44="","",IF($AB44="","기본자료에 없는 사번",IF(COUNTIF($B$2:$B$201,$B44)&gt;1,"중복 사번",IF($M44="","입사장소 입력",IF(AND($P44&lt;&gt;"",$S44=""),"파견시작일 입력",IF(AND($S44&lt;&gt;"",$P44=""),"파견종류 입력",IF(AND($P44&lt;&gt;"",$P44&lt;&gt;"다기관파견",$Q44=""),"파견병원 입력",IF(IF($AC44="",0,N(INDEX(인턴근무계획!$T$3:$T$202,$AC44)))&gt;0,"인턴계획 입력오류 확인",IF(AND($AC44&lt;&gt;"",$U44&lt;&gt;"파견중",$N44&lt;&gt;$AE44),"인턴 타지역 근무: 파견 여부 확인","정상")))))))))</f>
        <v/>
      </c>
      <c r="AA44" s="5" t="n"/>
      <c r="AB44" s="10">
        <f>IF($B44="","",IFERROR(MATCH($B44,기본자료!$B$2:$B$501,0),IFERROR(MATCH($B44&amp;"",기본자료!$B$2:$B$501,0),IFERROR(MATCH(VALUE($B44),기본자료!$B$2:$B$501,0),""))))</f>
        <v/>
      </c>
      <c r="AC44" s="10">
        <f>IF($B44="","",IFERROR(MATCH($B44,인턴근무계획!$D$3:$D$202,0),IFERROR(MATCH($B44&amp;"",인턴근무계획!$D$3:$D$202,0),IFERROR(MATCH(VALUE($B44),인턴근무계획!$D$3:$D$202,0),""))))</f>
        <v/>
      </c>
      <c r="AD44" s="10">
        <f>IF(OR($AC44="",인턴현황!$G$3=""),"",INDEX(인턴근무계획!$M$3:$R$202,$AC44,인턴현황!$G$3)&amp;"")</f>
        <v/>
      </c>
      <c r="AE44" s="10">
        <f>IF($B44="","",IF($M44&lt;&gt;"",$M44,IF($H44="","",IF(RIGHT($H44,2)="병원",$H44,$H44&amp;"병원"))))</f>
        <v/>
      </c>
    </row>
    <row r="45">
      <c r="A45" s="10">
        <f>IF(B45="","",ROW()-1)</f>
        <v/>
      </c>
      <c r="B45" s="13" t="n"/>
      <c r="C45" s="10">
        <f>IF($AB45="","",IF(INDEX(기본자료!$C$2:$C$501,$AB45)="","",INDEX(기본자료!$C$2:$C$501,$AB45)))</f>
        <v/>
      </c>
      <c r="D45" s="10">
        <f>IF($AB45="","",IF(INDEX(기본자료!$J$2:$J$501,$AB45)="","",INDEX(기본자료!$J$2:$J$501,$AB45)))</f>
        <v/>
      </c>
      <c r="E45" s="11">
        <f>IF($AB45="","",IF(INDEX(기본자료!$K$2:$K$501,$AB45)="","",IF(NOT(ISNUMBER(INDEX(기본자료!$K$2:$K$501,$AB45))),INDEX(기본자료!$K$2:$K$501,$AB45),IF(INDEX(기본자료!$K$2:$K$501,$AB45)&lt;1000000,INDEX(기본자료!$K$2:$K$501,$AB45),IF(AND(INDEX(기본자료!$K$2:$K$501,$AB45)&gt;=10000101,INT(MOD(INDEX(기본자료!$K$2:$K$501,$AB45),10000)/100)&gt;=1,INT(MOD(INDEX(기본자료!$K$2:$K$501,$AB45),10000)/100)&lt;=12,MOD(INDEX(기본자료!$K$2:$K$501,$AB45),100)&gt;=1,MOD(INDEX(기본자료!$K$2:$K$501,$AB45),100)&lt;=31),DATE(INT(INDEX(기본자료!$K$2:$K$501,$AB45)/10000),INT(MOD(INDEX(기본자료!$K$2:$K$501,$AB45),10000)/100),MOD(INDEX(기본자료!$K$2:$K$501,$AB45),100)),INDEX(기본자료!$K$2:$K$501,$AB45)&amp;"")))))</f>
        <v/>
      </c>
      <c r="F45" s="10">
        <f>IF($AB45="","",IF(INDEX(기본자료!$D$2:$D$501,$AB45)="","",INDEX(기본자료!$D$2:$D$501,$AB45)))</f>
        <v/>
      </c>
      <c r="G45" s="10">
        <f>IF($AB45="","",IF(INDEX(기본자료!$E$2:$E$501,$AB45)="","",INDEX(기본자료!$E$2:$E$501,$AB45)))</f>
        <v/>
      </c>
      <c r="H45" s="10">
        <f>IF($AB45="","",IF(INDEX(기본자료!$F$2:$F$501,$AB45)="","",INDEX(기본자료!$F$2:$F$501,$AB45)))</f>
        <v/>
      </c>
      <c r="I45" s="11">
        <f>IF($AB45="","",IF(INDEX(기본자료!$G$2:$G$501,$AB45)="","",IF(NOT(ISNUMBER(INDEX(기본자료!$G$2:$G$501,$AB45))),INDEX(기본자료!$G$2:$G$501,$AB45),IF(INDEX(기본자료!$G$2:$G$501,$AB45)&lt;1000000,INDEX(기본자료!$G$2:$G$501,$AB45),IF(AND(INDEX(기본자료!$G$2:$G$501,$AB45)&gt;=10000101,INT(MOD(INDEX(기본자료!$G$2:$G$501,$AB45),10000)/100)&gt;=1,INT(MOD(INDEX(기본자료!$G$2:$G$501,$AB45),10000)/100)&lt;=12,MOD(INDEX(기본자료!$G$2:$G$501,$AB45),100)&gt;=1,MOD(INDEX(기본자료!$G$2:$G$501,$AB45),100)&lt;=31),DATE(INT(INDEX(기본자료!$G$2:$G$501,$AB45)/10000),INT(MOD(INDEX(기본자료!$G$2:$G$501,$AB45),10000)/100),MOD(INDEX(기본자료!$G$2:$G$501,$AB45),100)),INDEX(기본자료!$G$2:$G$501,$AB45)&amp;"")))))</f>
        <v/>
      </c>
      <c r="J45" s="10">
        <f>IF($AB45="","",IF(INDEX(기본자료!$H$2:$H$501,$AB45)="","",INDEX(기본자료!$H$2:$H$501,$AB45)))</f>
        <v/>
      </c>
      <c r="K45" s="10">
        <f>IF($AB45="","",IF(INDEX(기본자료!$I$2:$I$501,$AB45)="","",INDEX(기본자료!$I$2:$I$501,$AB45)))</f>
        <v/>
      </c>
      <c r="L45" s="10">
        <f>IF($AB45="","",IF(INDEX(기본자료!$A$2:$A$501,$AB45)="","",INDEX(기본자료!$A$2:$A$501,$AB45)))</f>
        <v/>
      </c>
      <c r="M45" s="14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4" t="n"/>
      <c r="Q45" s="14" t="n"/>
      <c r="R45" s="14" t="n"/>
      <c r="S45" s="15" t="n"/>
      <c r="T45" s="15" t="n"/>
      <c r="U45" s="10">
        <f>IF(OR($B45="",$S45=""),"",IF(TODAY()&lt;$S45,"파견예정",IF(AND($T45&lt;&gt;"",TODAY()&gt;$T45),"파견종료","파견중")))</f>
        <v/>
      </c>
      <c r="V45" s="16">
        <f>IF(OR($S45="",$T45=""),"",$T45-$S45+1)</f>
        <v/>
      </c>
      <c r="W45" s="16">
        <f>IF(AND($U45="파견중",$T45&lt;&gt;""),$T45-TODAY(),"")</f>
        <v/>
      </c>
      <c r="X45" s="16">
        <f>IF(OR($B45="",$S45=""),"",MAX(0,MIN(IF($T45="",EOMONTH(요약!$B$3,0),$T45),EOMONTH(요약!$B$3,0))-MAX($S45,요약!$B$3)+1))</f>
        <v/>
      </c>
      <c r="Y45" s="10">
        <f>IF($B45="","",IF($AE45="","",IF(OR($S45="",$P45="",N($X45)&lt;=0),$AE45,IF($P45="다기관파견",$AE45,IF($AE45="구리병원",IF(AND($Q45&lt;&gt;"",N($X45)&gt;=요약!$E$3),$Q45,$AE45),IF(AND($P45="일반파견(단독)",$Q45&lt;&gt;""),$Q45,$AE45))))))</f>
        <v/>
      </c>
      <c r="Z45" s="17">
        <f>IF($B45="","",IF($AB45="","기본자료에 없는 사번",IF(COUNTIF($B$2:$B$201,$B45)&gt;1,"중복 사번",IF($M45="","입사장소 입력",IF(AND($P45&lt;&gt;"",$S45=""),"파견시작일 입력",IF(AND($S45&lt;&gt;"",$P45=""),"파견종류 입력",IF(AND($P45&lt;&gt;"",$P45&lt;&gt;"다기관파견",$Q45=""),"파견병원 입력",IF(IF($AC45="",0,N(INDEX(인턴근무계획!$T$3:$T$202,$AC45)))&gt;0,"인턴계획 입력오류 확인",IF(AND($AC45&lt;&gt;"",$U45&lt;&gt;"파견중",$N45&lt;&gt;$AE45),"인턴 타지역 근무: 파견 여부 확인","정상")))))))))</f>
        <v/>
      </c>
      <c r="AA45" s="5" t="n"/>
      <c r="AB45" s="10">
        <f>IF($B45="","",IFERROR(MATCH($B45,기본자료!$B$2:$B$501,0),IFERROR(MATCH($B45&amp;"",기본자료!$B$2:$B$501,0),IFERROR(MATCH(VALUE($B45),기본자료!$B$2:$B$501,0),""))))</f>
        <v/>
      </c>
      <c r="AC45" s="10">
        <f>IF($B45="","",IFERROR(MATCH($B45,인턴근무계획!$D$3:$D$202,0),IFERROR(MATCH($B45&amp;"",인턴근무계획!$D$3:$D$202,0),IFERROR(MATCH(VALUE($B45),인턴근무계획!$D$3:$D$202,0),""))))</f>
        <v/>
      </c>
      <c r="AD45" s="10">
        <f>IF(OR($AC45="",인턴현황!$G$3=""),"",INDEX(인턴근무계획!$M$3:$R$202,$AC45,인턴현황!$G$3)&amp;"")</f>
        <v/>
      </c>
      <c r="AE45" s="10">
        <f>IF($B45="","",IF($M45&lt;&gt;"",$M45,IF($H45="","",IF(RIGHT($H45,2)="병원",$H45,$H45&amp;"병원"))))</f>
        <v/>
      </c>
    </row>
    <row r="46">
      <c r="A46" s="10">
        <f>IF(B46="","",ROW()-1)</f>
        <v/>
      </c>
      <c r="B46" s="13" t="n"/>
      <c r="C46" s="10">
        <f>IF($AB46="","",IF(INDEX(기본자료!$C$2:$C$501,$AB46)="","",INDEX(기본자료!$C$2:$C$501,$AB46)))</f>
        <v/>
      </c>
      <c r="D46" s="10">
        <f>IF($AB46="","",IF(INDEX(기본자료!$J$2:$J$501,$AB46)="","",INDEX(기본자료!$J$2:$J$501,$AB46)))</f>
        <v/>
      </c>
      <c r="E46" s="11">
        <f>IF($AB46="","",IF(INDEX(기본자료!$K$2:$K$501,$AB46)="","",IF(NOT(ISNUMBER(INDEX(기본자료!$K$2:$K$501,$AB46))),INDEX(기본자료!$K$2:$K$501,$AB46),IF(INDEX(기본자료!$K$2:$K$501,$AB46)&lt;1000000,INDEX(기본자료!$K$2:$K$501,$AB46),IF(AND(INDEX(기본자료!$K$2:$K$501,$AB46)&gt;=10000101,INT(MOD(INDEX(기본자료!$K$2:$K$501,$AB46),10000)/100)&gt;=1,INT(MOD(INDEX(기본자료!$K$2:$K$501,$AB46),10000)/100)&lt;=12,MOD(INDEX(기본자료!$K$2:$K$501,$AB46),100)&gt;=1,MOD(INDEX(기본자료!$K$2:$K$501,$AB46),100)&lt;=31),DATE(INT(INDEX(기본자료!$K$2:$K$501,$AB46)/10000),INT(MOD(INDEX(기본자료!$K$2:$K$501,$AB46),10000)/100),MOD(INDEX(기본자료!$K$2:$K$501,$AB46),100)),INDEX(기본자료!$K$2:$K$501,$AB46)&amp;"")))))</f>
        <v/>
      </c>
      <c r="F46" s="10">
        <f>IF($AB46="","",IF(INDEX(기본자료!$D$2:$D$501,$AB46)="","",INDEX(기본자료!$D$2:$D$501,$AB46)))</f>
        <v/>
      </c>
      <c r="G46" s="10">
        <f>IF($AB46="","",IF(INDEX(기본자료!$E$2:$E$501,$AB46)="","",INDEX(기본자료!$E$2:$E$501,$AB46)))</f>
        <v/>
      </c>
      <c r="H46" s="10">
        <f>IF($AB46="","",IF(INDEX(기본자료!$F$2:$F$501,$AB46)="","",INDEX(기본자료!$F$2:$F$501,$AB46)))</f>
        <v/>
      </c>
      <c r="I46" s="11">
        <f>IF($AB46="","",IF(INDEX(기본자료!$G$2:$G$501,$AB46)="","",IF(NOT(ISNUMBER(INDEX(기본자료!$G$2:$G$501,$AB46))),INDEX(기본자료!$G$2:$G$501,$AB46),IF(INDEX(기본자료!$G$2:$G$501,$AB46)&lt;1000000,INDEX(기본자료!$G$2:$G$501,$AB46),IF(AND(INDEX(기본자료!$G$2:$G$501,$AB46)&gt;=10000101,INT(MOD(INDEX(기본자료!$G$2:$G$501,$AB46),10000)/100)&gt;=1,INT(MOD(INDEX(기본자료!$G$2:$G$501,$AB46),10000)/100)&lt;=12,MOD(INDEX(기본자료!$G$2:$G$501,$AB46),100)&gt;=1,MOD(INDEX(기본자료!$G$2:$G$501,$AB46),100)&lt;=31),DATE(INT(INDEX(기본자료!$G$2:$G$501,$AB46)/10000),INT(MOD(INDEX(기본자료!$G$2:$G$501,$AB46),10000)/100),MOD(INDEX(기본자료!$G$2:$G$501,$AB46),100)),INDEX(기본자료!$G$2:$G$501,$AB46)&amp;"")))))</f>
        <v/>
      </c>
      <c r="J46" s="10">
        <f>IF($AB46="","",IF(INDEX(기본자료!$H$2:$H$501,$AB46)="","",INDEX(기본자료!$H$2:$H$501,$AB46)))</f>
        <v/>
      </c>
      <c r="K46" s="10">
        <f>IF($AB46="","",IF(INDEX(기본자료!$I$2:$I$501,$AB46)="","",INDEX(기본자료!$I$2:$I$501,$AB46)))</f>
        <v/>
      </c>
      <c r="L46" s="10">
        <f>IF($AB46="","",IF(INDEX(기본자료!$A$2:$A$501,$AB46)="","",INDEX(기본자료!$A$2:$A$501,$AB46)))</f>
        <v/>
      </c>
      <c r="M46" s="14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4" t="n"/>
      <c r="Q46" s="14" t="n"/>
      <c r="R46" s="14" t="n"/>
      <c r="S46" s="15" t="n"/>
      <c r="T46" s="15" t="n"/>
      <c r="U46" s="10">
        <f>IF(OR($B46="",$S46=""),"",IF(TODAY()&lt;$S46,"파견예정",IF(AND($T46&lt;&gt;"",TODAY()&gt;$T46),"파견종료","파견중")))</f>
        <v/>
      </c>
      <c r="V46" s="16">
        <f>IF(OR($S46="",$T46=""),"",$T46-$S46+1)</f>
        <v/>
      </c>
      <c r="W46" s="16">
        <f>IF(AND($U46="파견중",$T46&lt;&gt;""),$T46-TODAY(),"")</f>
        <v/>
      </c>
      <c r="X46" s="16">
        <f>IF(OR($B46="",$S46=""),"",MAX(0,MIN(IF($T46="",EOMONTH(요약!$B$3,0),$T46),EOMONTH(요약!$B$3,0))-MAX($S46,요약!$B$3)+1))</f>
        <v/>
      </c>
      <c r="Y46" s="10">
        <f>IF($B46="","",IF($AE46="","",IF(OR($S46="",$P46="",N($X46)&lt;=0),$AE46,IF($P46="다기관파견",$AE46,IF($AE46="구리병원",IF(AND($Q46&lt;&gt;"",N($X46)&gt;=요약!$E$3),$Q46,$AE46),IF(AND($P46="일반파견(단독)",$Q46&lt;&gt;""),$Q46,$AE46))))))</f>
        <v/>
      </c>
      <c r="Z46" s="17">
        <f>IF($B46="","",IF($AB46="","기본자료에 없는 사번",IF(COUNTIF($B$2:$B$201,$B46)&gt;1,"중복 사번",IF($M46="","입사장소 입력",IF(AND($P46&lt;&gt;"",$S46=""),"파견시작일 입력",IF(AND($S46&lt;&gt;"",$P46=""),"파견종류 입력",IF(AND($P46&lt;&gt;"",$P46&lt;&gt;"다기관파견",$Q46=""),"파견병원 입력",IF(IF($AC46="",0,N(INDEX(인턴근무계획!$T$3:$T$202,$AC46)))&gt;0,"인턴계획 입력오류 확인",IF(AND($AC46&lt;&gt;"",$U46&lt;&gt;"파견중",$N46&lt;&gt;$AE46),"인턴 타지역 근무: 파견 여부 확인","정상")))))))))</f>
        <v/>
      </c>
      <c r="AA46" s="5" t="n"/>
      <c r="AB46" s="10">
        <f>IF($B46="","",IFERROR(MATCH($B46,기본자료!$B$2:$B$501,0),IFERROR(MATCH($B46&amp;"",기본자료!$B$2:$B$501,0),IFERROR(MATCH(VALUE($B46),기본자료!$B$2:$B$501,0),""))))</f>
        <v/>
      </c>
      <c r="AC46" s="10">
        <f>IF($B46="","",IFERROR(MATCH($B46,인턴근무계획!$D$3:$D$202,0),IFERROR(MATCH($B46&amp;"",인턴근무계획!$D$3:$D$202,0),IFERROR(MATCH(VALUE($B46),인턴근무계획!$D$3:$D$202,0),""))))</f>
        <v/>
      </c>
      <c r="AD46" s="10">
        <f>IF(OR($AC46="",인턴현황!$G$3=""),"",INDEX(인턴근무계획!$M$3:$R$202,$AC46,인턴현황!$G$3)&amp;"")</f>
        <v/>
      </c>
      <c r="AE46" s="10">
        <f>IF($B46="","",IF($M46&lt;&gt;"",$M46,IF($H46="","",IF(RIGHT($H46,2)="병원",$H46,$H46&amp;"병원"))))</f>
        <v/>
      </c>
    </row>
    <row r="47">
      <c r="A47" s="10">
        <f>IF(B47="","",ROW()-1)</f>
        <v/>
      </c>
      <c r="B47" s="13" t="n"/>
      <c r="C47" s="10">
        <f>IF($AB47="","",IF(INDEX(기본자료!$C$2:$C$501,$AB47)="","",INDEX(기본자료!$C$2:$C$501,$AB47)))</f>
        <v/>
      </c>
      <c r="D47" s="10">
        <f>IF($AB47="","",IF(INDEX(기본자료!$J$2:$J$501,$AB47)="","",INDEX(기본자료!$J$2:$J$501,$AB47)))</f>
        <v/>
      </c>
      <c r="E47" s="11">
        <f>IF($AB47="","",IF(INDEX(기본자료!$K$2:$K$501,$AB47)="","",IF(NOT(ISNUMBER(INDEX(기본자료!$K$2:$K$501,$AB47))),INDEX(기본자료!$K$2:$K$501,$AB47),IF(INDEX(기본자료!$K$2:$K$501,$AB47)&lt;1000000,INDEX(기본자료!$K$2:$K$501,$AB47),IF(AND(INDEX(기본자료!$K$2:$K$501,$AB47)&gt;=10000101,INT(MOD(INDEX(기본자료!$K$2:$K$501,$AB47),10000)/100)&gt;=1,INT(MOD(INDEX(기본자료!$K$2:$K$501,$AB47),10000)/100)&lt;=12,MOD(INDEX(기본자료!$K$2:$K$501,$AB47),100)&gt;=1,MOD(INDEX(기본자료!$K$2:$K$501,$AB47),100)&lt;=31),DATE(INT(INDEX(기본자료!$K$2:$K$501,$AB47)/10000),INT(MOD(INDEX(기본자료!$K$2:$K$501,$AB47),10000)/100),MOD(INDEX(기본자료!$K$2:$K$501,$AB47),100)),INDEX(기본자료!$K$2:$K$501,$AB47)&amp;"")))))</f>
        <v/>
      </c>
      <c r="F47" s="10">
        <f>IF($AB47="","",IF(INDEX(기본자료!$D$2:$D$501,$AB47)="","",INDEX(기본자료!$D$2:$D$501,$AB47)))</f>
        <v/>
      </c>
      <c r="G47" s="10">
        <f>IF($AB47="","",IF(INDEX(기본자료!$E$2:$E$501,$AB47)="","",INDEX(기본자료!$E$2:$E$501,$AB47)))</f>
        <v/>
      </c>
      <c r="H47" s="10">
        <f>IF($AB47="","",IF(INDEX(기본자료!$F$2:$F$501,$AB47)="","",INDEX(기본자료!$F$2:$F$501,$AB47)))</f>
        <v/>
      </c>
      <c r="I47" s="11">
        <f>IF($AB47="","",IF(INDEX(기본자료!$G$2:$G$501,$AB47)="","",IF(NOT(ISNUMBER(INDEX(기본자료!$G$2:$G$501,$AB47))),INDEX(기본자료!$G$2:$G$501,$AB47),IF(INDEX(기본자료!$G$2:$G$501,$AB47)&lt;1000000,INDEX(기본자료!$G$2:$G$501,$AB47),IF(AND(INDEX(기본자료!$G$2:$G$501,$AB47)&gt;=10000101,INT(MOD(INDEX(기본자료!$G$2:$G$501,$AB47),10000)/100)&gt;=1,INT(MOD(INDEX(기본자료!$G$2:$G$501,$AB47),10000)/100)&lt;=12,MOD(INDEX(기본자료!$G$2:$G$501,$AB47),100)&gt;=1,MOD(INDEX(기본자료!$G$2:$G$501,$AB47),100)&lt;=31),DATE(INT(INDEX(기본자료!$G$2:$G$501,$AB47)/10000),INT(MOD(INDEX(기본자료!$G$2:$G$501,$AB47),10000)/100),MOD(INDEX(기본자료!$G$2:$G$501,$AB47),100)),INDEX(기본자료!$G$2:$G$501,$AB47)&amp;"")))))</f>
        <v/>
      </c>
      <c r="J47" s="10">
        <f>IF($AB47="","",IF(INDEX(기본자료!$H$2:$H$501,$AB47)="","",INDEX(기본자료!$H$2:$H$501,$AB47)))</f>
        <v/>
      </c>
      <c r="K47" s="10">
        <f>IF($AB47="","",IF(INDEX(기본자료!$I$2:$I$501,$AB47)="","",INDEX(기본자료!$I$2:$I$501,$AB47)))</f>
        <v/>
      </c>
      <c r="L47" s="10">
        <f>IF($AB47="","",IF(INDEX(기본자료!$A$2:$A$501,$AB47)="","",INDEX(기본자료!$A$2:$A$501,$AB47)))</f>
        <v/>
      </c>
      <c r="M47" s="14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4" t="n"/>
      <c r="Q47" s="14" t="n"/>
      <c r="R47" s="14" t="n"/>
      <c r="S47" s="15" t="n"/>
      <c r="T47" s="15" t="n"/>
      <c r="U47" s="10">
        <f>IF(OR($B47="",$S47=""),"",IF(TODAY()&lt;$S47,"파견예정",IF(AND($T47&lt;&gt;"",TODAY()&gt;$T47),"파견종료","파견중")))</f>
        <v/>
      </c>
      <c r="V47" s="16">
        <f>IF(OR($S47="",$T47=""),"",$T47-$S47+1)</f>
        <v/>
      </c>
      <c r="W47" s="16">
        <f>IF(AND($U47="파견중",$T47&lt;&gt;""),$T47-TODAY(),"")</f>
        <v/>
      </c>
      <c r="X47" s="16">
        <f>IF(OR($B47="",$S47=""),"",MAX(0,MIN(IF($T47="",EOMONTH(요약!$B$3,0),$T47),EOMONTH(요약!$B$3,0))-MAX($S47,요약!$B$3)+1))</f>
        <v/>
      </c>
      <c r="Y47" s="10">
        <f>IF($B47="","",IF($AE47="","",IF(OR($S47="",$P47="",N($X47)&lt;=0),$AE47,IF($P47="다기관파견",$AE47,IF($AE47="구리병원",IF(AND($Q47&lt;&gt;"",N($X47)&gt;=요약!$E$3),$Q47,$AE47),IF(AND($P47="일반파견(단독)",$Q47&lt;&gt;""),$Q47,$AE47))))))</f>
        <v/>
      </c>
      <c r="Z47" s="17">
        <f>IF($B47="","",IF($AB47="","기본자료에 없는 사번",IF(COUNTIF($B$2:$B$201,$B47)&gt;1,"중복 사번",IF($M47="","입사장소 입력",IF(AND($P47&lt;&gt;"",$S47=""),"파견시작일 입력",IF(AND($S47&lt;&gt;"",$P47=""),"파견종류 입력",IF(AND($P47&lt;&gt;"",$P47&lt;&gt;"다기관파견",$Q47=""),"파견병원 입력",IF(IF($AC47="",0,N(INDEX(인턴근무계획!$T$3:$T$202,$AC47)))&gt;0,"인턴계획 입력오류 확인",IF(AND($AC47&lt;&gt;"",$U47&lt;&gt;"파견중",$N47&lt;&gt;$AE47),"인턴 타지역 근무: 파견 여부 확인","정상")))))))))</f>
        <v/>
      </c>
      <c r="AA47" s="5" t="n"/>
      <c r="AB47" s="10">
        <f>IF($B47="","",IFERROR(MATCH($B47,기본자료!$B$2:$B$501,0),IFERROR(MATCH($B47&amp;"",기본자료!$B$2:$B$501,0),IFERROR(MATCH(VALUE($B47),기본자료!$B$2:$B$501,0),""))))</f>
        <v/>
      </c>
      <c r="AC47" s="10">
        <f>IF($B47="","",IFERROR(MATCH($B47,인턴근무계획!$D$3:$D$202,0),IFERROR(MATCH($B47&amp;"",인턴근무계획!$D$3:$D$202,0),IFERROR(MATCH(VALUE($B47),인턴근무계획!$D$3:$D$202,0),""))))</f>
        <v/>
      </c>
      <c r="AD47" s="10">
        <f>IF(OR($AC47="",인턴현황!$G$3=""),"",INDEX(인턴근무계획!$M$3:$R$202,$AC47,인턴현황!$G$3)&amp;"")</f>
        <v/>
      </c>
      <c r="AE47" s="10">
        <f>IF($B47="","",IF($M47&lt;&gt;"",$M47,IF($H47="","",IF(RIGHT($H47,2)="병원",$H47,$H47&amp;"병원"))))</f>
        <v/>
      </c>
    </row>
    <row r="48">
      <c r="A48" s="10">
        <f>IF(B48="","",ROW()-1)</f>
        <v/>
      </c>
      <c r="B48" s="13" t="n"/>
      <c r="C48" s="10">
        <f>IF($AB48="","",IF(INDEX(기본자료!$C$2:$C$501,$AB48)="","",INDEX(기본자료!$C$2:$C$501,$AB48)))</f>
        <v/>
      </c>
      <c r="D48" s="10">
        <f>IF($AB48="","",IF(INDEX(기본자료!$J$2:$J$501,$AB48)="","",INDEX(기본자료!$J$2:$J$501,$AB48)))</f>
        <v/>
      </c>
      <c r="E48" s="11">
        <f>IF($AB48="","",IF(INDEX(기본자료!$K$2:$K$501,$AB48)="","",IF(NOT(ISNUMBER(INDEX(기본자료!$K$2:$K$501,$AB48))),INDEX(기본자료!$K$2:$K$501,$AB48),IF(INDEX(기본자료!$K$2:$K$501,$AB48)&lt;1000000,INDEX(기본자료!$K$2:$K$501,$AB48),IF(AND(INDEX(기본자료!$K$2:$K$501,$AB48)&gt;=10000101,INT(MOD(INDEX(기본자료!$K$2:$K$501,$AB48),10000)/100)&gt;=1,INT(MOD(INDEX(기본자료!$K$2:$K$501,$AB48),10000)/100)&lt;=12,MOD(INDEX(기본자료!$K$2:$K$501,$AB48),100)&gt;=1,MOD(INDEX(기본자료!$K$2:$K$501,$AB48),100)&lt;=31),DATE(INT(INDEX(기본자료!$K$2:$K$501,$AB48)/10000),INT(MOD(INDEX(기본자료!$K$2:$K$501,$AB48),10000)/100),MOD(INDEX(기본자료!$K$2:$K$501,$AB48),100)),INDEX(기본자료!$K$2:$K$501,$AB48)&amp;"")))))</f>
        <v/>
      </c>
      <c r="F48" s="10">
        <f>IF($AB48="","",IF(INDEX(기본자료!$D$2:$D$501,$AB48)="","",INDEX(기본자료!$D$2:$D$501,$AB48)))</f>
        <v/>
      </c>
      <c r="G48" s="10">
        <f>IF($AB48="","",IF(INDEX(기본자료!$E$2:$E$501,$AB48)="","",INDEX(기본자료!$E$2:$E$501,$AB48)))</f>
        <v/>
      </c>
      <c r="H48" s="10">
        <f>IF($AB48="","",IF(INDEX(기본자료!$F$2:$F$501,$AB48)="","",INDEX(기본자료!$F$2:$F$501,$AB48)))</f>
        <v/>
      </c>
      <c r="I48" s="11">
        <f>IF($AB48="","",IF(INDEX(기본자료!$G$2:$G$501,$AB48)="","",IF(NOT(ISNUMBER(INDEX(기본자료!$G$2:$G$501,$AB48))),INDEX(기본자료!$G$2:$G$501,$AB48),IF(INDEX(기본자료!$G$2:$G$501,$AB48)&lt;1000000,INDEX(기본자료!$G$2:$G$501,$AB48),IF(AND(INDEX(기본자료!$G$2:$G$501,$AB48)&gt;=10000101,INT(MOD(INDEX(기본자료!$G$2:$G$501,$AB48),10000)/100)&gt;=1,INT(MOD(INDEX(기본자료!$G$2:$G$501,$AB48),10000)/100)&lt;=12,MOD(INDEX(기본자료!$G$2:$G$501,$AB48),100)&gt;=1,MOD(INDEX(기본자료!$G$2:$G$501,$AB48),100)&lt;=31),DATE(INT(INDEX(기본자료!$G$2:$G$501,$AB48)/10000),INT(MOD(INDEX(기본자료!$G$2:$G$501,$AB48),10000)/100),MOD(INDEX(기본자료!$G$2:$G$501,$AB48),100)),INDEX(기본자료!$G$2:$G$501,$AB48)&amp;"")))))</f>
        <v/>
      </c>
      <c r="J48" s="10">
        <f>IF($AB48="","",IF(INDEX(기본자료!$H$2:$H$501,$AB48)="","",INDEX(기본자료!$H$2:$H$501,$AB48)))</f>
        <v/>
      </c>
      <c r="K48" s="10">
        <f>IF($AB48="","",IF(INDEX(기본자료!$I$2:$I$501,$AB48)="","",INDEX(기본자료!$I$2:$I$501,$AB48)))</f>
        <v/>
      </c>
      <c r="L48" s="10">
        <f>IF($AB48="","",IF(INDEX(기본자료!$A$2:$A$501,$AB48)="","",INDEX(기본자료!$A$2:$A$501,$AB48)))</f>
        <v/>
      </c>
      <c r="M48" s="14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4" t="n"/>
      <c r="Q48" s="14" t="n"/>
      <c r="R48" s="14" t="n"/>
      <c r="S48" s="15" t="n"/>
      <c r="T48" s="15" t="n"/>
      <c r="U48" s="10">
        <f>IF(OR($B48="",$S48=""),"",IF(TODAY()&lt;$S48,"파견예정",IF(AND($T48&lt;&gt;"",TODAY()&gt;$T48),"파견종료","파견중")))</f>
        <v/>
      </c>
      <c r="V48" s="16">
        <f>IF(OR($S48="",$T48=""),"",$T48-$S48+1)</f>
        <v/>
      </c>
      <c r="W48" s="16">
        <f>IF(AND($U48="파견중",$T48&lt;&gt;""),$T48-TODAY(),"")</f>
        <v/>
      </c>
      <c r="X48" s="16">
        <f>IF(OR($B48="",$S48=""),"",MAX(0,MIN(IF($T48="",EOMONTH(요약!$B$3,0),$T48),EOMONTH(요약!$B$3,0))-MAX($S48,요약!$B$3)+1))</f>
        <v/>
      </c>
      <c r="Y48" s="10">
        <f>IF($B48="","",IF($AE48="","",IF(OR($S48="",$P48="",N($X48)&lt;=0),$AE48,IF($P48="다기관파견",$AE48,IF($AE48="구리병원",IF(AND($Q48&lt;&gt;"",N($X48)&gt;=요약!$E$3),$Q48,$AE48),IF(AND($P48="일반파견(단독)",$Q48&lt;&gt;""),$Q48,$AE48))))))</f>
        <v/>
      </c>
      <c r="Z48" s="17">
        <f>IF($B48="","",IF($AB48="","기본자료에 없는 사번",IF(COUNTIF($B$2:$B$201,$B48)&gt;1,"중복 사번",IF($M48="","입사장소 입력",IF(AND($P48&lt;&gt;"",$S48=""),"파견시작일 입력",IF(AND($S48&lt;&gt;"",$P48=""),"파견종류 입력",IF(AND($P48&lt;&gt;"",$P48&lt;&gt;"다기관파견",$Q48=""),"파견병원 입력",IF(IF($AC48="",0,N(INDEX(인턴근무계획!$T$3:$T$202,$AC48)))&gt;0,"인턴계획 입력오류 확인",IF(AND($AC48&lt;&gt;"",$U48&lt;&gt;"파견중",$N48&lt;&gt;$AE48),"인턴 타지역 근무: 파견 여부 확인","정상")))))))))</f>
        <v/>
      </c>
      <c r="AA48" s="5" t="n"/>
      <c r="AB48" s="10">
        <f>IF($B48="","",IFERROR(MATCH($B48,기본자료!$B$2:$B$501,0),IFERROR(MATCH($B48&amp;"",기본자료!$B$2:$B$501,0),IFERROR(MATCH(VALUE($B48),기본자료!$B$2:$B$501,0),""))))</f>
        <v/>
      </c>
      <c r="AC48" s="10">
        <f>IF($B48="","",IFERROR(MATCH($B48,인턴근무계획!$D$3:$D$202,0),IFERROR(MATCH($B48&amp;"",인턴근무계획!$D$3:$D$202,0),IFERROR(MATCH(VALUE($B48),인턴근무계획!$D$3:$D$202,0),""))))</f>
        <v/>
      </c>
      <c r="AD48" s="10">
        <f>IF(OR($AC48="",인턴현황!$G$3=""),"",INDEX(인턴근무계획!$M$3:$R$202,$AC48,인턴현황!$G$3)&amp;"")</f>
        <v/>
      </c>
      <c r="AE48" s="10">
        <f>IF($B48="","",IF($M48&lt;&gt;"",$M48,IF($H48="","",IF(RIGHT($H48,2)="병원",$H48,$H48&amp;"병원"))))</f>
        <v/>
      </c>
    </row>
    <row r="49">
      <c r="A49" s="10">
        <f>IF(B49="","",ROW()-1)</f>
        <v/>
      </c>
      <c r="B49" s="13" t="n"/>
      <c r="C49" s="10">
        <f>IF($AB49="","",IF(INDEX(기본자료!$C$2:$C$501,$AB49)="","",INDEX(기본자료!$C$2:$C$501,$AB49)))</f>
        <v/>
      </c>
      <c r="D49" s="10">
        <f>IF($AB49="","",IF(INDEX(기본자료!$J$2:$J$501,$AB49)="","",INDEX(기본자료!$J$2:$J$501,$AB49)))</f>
        <v/>
      </c>
      <c r="E49" s="11">
        <f>IF($AB49="","",IF(INDEX(기본자료!$K$2:$K$501,$AB49)="","",IF(NOT(ISNUMBER(INDEX(기본자료!$K$2:$K$501,$AB49))),INDEX(기본자료!$K$2:$K$501,$AB49),IF(INDEX(기본자료!$K$2:$K$501,$AB49)&lt;1000000,INDEX(기본자료!$K$2:$K$501,$AB49),IF(AND(INDEX(기본자료!$K$2:$K$501,$AB49)&gt;=10000101,INT(MOD(INDEX(기본자료!$K$2:$K$501,$AB49),10000)/100)&gt;=1,INT(MOD(INDEX(기본자료!$K$2:$K$501,$AB49),10000)/100)&lt;=12,MOD(INDEX(기본자료!$K$2:$K$501,$AB49),100)&gt;=1,MOD(INDEX(기본자료!$K$2:$K$501,$AB49),100)&lt;=31),DATE(INT(INDEX(기본자료!$K$2:$K$501,$AB49)/10000),INT(MOD(INDEX(기본자료!$K$2:$K$501,$AB49),10000)/100),MOD(INDEX(기본자료!$K$2:$K$501,$AB49),100)),INDEX(기본자료!$K$2:$K$501,$AB49)&amp;"")))))</f>
        <v/>
      </c>
      <c r="F49" s="10">
        <f>IF($AB49="","",IF(INDEX(기본자료!$D$2:$D$501,$AB49)="","",INDEX(기본자료!$D$2:$D$501,$AB49)))</f>
        <v/>
      </c>
      <c r="G49" s="10">
        <f>IF($AB49="","",IF(INDEX(기본자료!$E$2:$E$501,$AB49)="","",INDEX(기본자료!$E$2:$E$501,$AB49)))</f>
        <v/>
      </c>
      <c r="H49" s="10">
        <f>IF($AB49="","",IF(INDEX(기본자료!$F$2:$F$501,$AB49)="","",INDEX(기본자료!$F$2:$F$501,$AB49)))</f>
        <v/>
      </c>
      <c r="I49" s="11">
        <f>IF($AB49="","",IF(INDEX(기본자료!$G$2:$G$501,$AB49)="","",IF(NOT(ISNUMBER(INDEX(기본자료!$G$2:$G$501,$AB49))),INDEX(기본자료!$G$2:$G$501,$AB49),IF(INDEX(기본자료!$G$2:$G$501,$AB49)&lt;1000000,INDEX(기본자료!$G$2:$G$501,$AB49),IF(AND(INDEX(기본자료!$G$2:$G$501,$AB49)&gt;=10000101,INT(MOD(INDEX(기본자료!$G$2:$G$501,$AB49),10000)/100)&gt;=1,INT(MOD(INDEX(기본자료!$G$2:$G$501,$AB49),10000)/100)&lt;=12,MOD(INDEX(기본자료!$G$2:$G$501,$AB49),100)&gt;=1,MOD(INDEX(기본자료!$G$2:$G$501,$AB49),100)&lt;=31),DATE(INT(INDEX(기본자료!$G$2:$G$501,$AB49)/10000),INT(MOD(INDEX(기본자료!$G$2:$G$501,$AB49),10000)/100),MOD(INDEX(기본자료!$G$2:$G$501,$AB49),100)),INDEX(기본자료!$G$2:$G$501,$AB49)&amp;"")))))</f>
        <v/>
      </c>
      <c r="J49" s="10">
        <f>IF($AB49="","",IF(INDEX(기본자료!$H$2:$H$501,$AB49)="","",INDEX(기본자료!$H$2:$H$501,$AB49)))</f>
        <v/>
      </c>
      <c r="K49" s="10">
        <f>IF($AB49="","",IF(INDEX(기본자료!$I$2:$I$501,$AB49)="","",INDEX(기본자료!$I$2:$I$501,$AB49)))</f>
        <v/>
      </c>
      <c r="L49" s="10">
        <f>IF($AB49="","",IF(INDEX(기본자료!$A$2:$A$501,$AB49)="","",INDEX(기본자료!$A$2:$A$501,$AB49)))</f>
        <v/>
      </c>
      <c r="M49" s="14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4" t="n"/>
      <c r="Q49" s="14" t="n"/>
      <c r="R49" s="14" t="n"/>
      <c r="S49" s="15" t="n"/>
      <c r="T49" s="15" t="n"/>
      <c r="U49" s="10">
        <f>IF(OR($B49="",$S49=""),"",IF(TODAY()&lt;$S49,"파견예정",IF(AND($T49&lt;&gt;"",TODAY()&gt;$T49),"파견종료","파견중")))</f>
        <v/>
      </c>
      <c r="V49" s="16">
        <f>IF(OR($S49="",$T49=""),"",$T49-$S49+1)</f>
        <v/>
      </c>
      <c r="W49" s="16">
        <f>IF(AND($U49="파견중",$T49&lt;&gt;""),$T49-TODAY(),"")</f>
        <v/>
      </c>
      <c r="X49" s="16">
        <f>IF(OR($B49="",$S49=""),"",MAX(0,MIN(IF($T49="",EOMONTH(요약!$B$3,0),$T49),EOMONTH(요약!$B$3,0))-MAX($S49,요약!$B$3)+1))</f>
        <v/>
      </c>
      <c r="Y49" s="10">
        <f>IF($B49="","",IF($AE49="","",IF(OR($S49="",$P49="",N($X49)&lt;=0),$AE49,IF($P49="다기관파견",$AE49,IF($AE49="구리병원",IF(AND($Q49&lt;&gt;"",N($X49)&gt;=요약!$E$3),$Q49,$AE49),IF(AND($P49="일반파견(단독)",$Q49&lt;&gt;""),$Q49,$AE49))))))</f>
        <v/>
      </c>
      <c r="Z49" s="17">
        <f>IF($B49="","",IF($AB49="","기본자료에 없는 사번",IF(COUNTIF($B$2:$B$201,$B49)&gt;1,"중복 사번",IF($M49="","입사장소 입력",IF(AND($P49&lt;&gt;"",$S49=""),"파견시작일 입력",IF(AND($S49&lt;&gt;"",$P49=""),"파견종류 입력",IF(AND($P49&lt;&gt;"",$P49&lt;&gt;"다기관파견",$Q49=""),"파견병원 입력",IF(IF($AC49="",0,N(INDEX(인턴근무계획!$T$3:$T$202,$AC49)))&gt;0,"인턴계획 입력오류 확인",IF(AND($AC49&lt;&gt;"",$U49&lt;&gt;"파견중",$N49&lt;&gt;$AE49),"인턴 타지역 근무: 파견 여부 확인","정상")))))))))</f>
        <v/>
      </c>
      <c r="AA49" s="5" t="n"/>
      <c r="AB49" s="10">
        <f>IF($B49="","",IFERROR(MATCH($B49,기본자료!$B$2:$B$501,0),IFERROR(MATCH($B49&amp;"",기본자료!$B$2:$B$501,0),IFERROR(MATCH(VALUE($B49),기본자료!$B$2:$B$501,0),""))))</f>
        <v/>
      </c>
      <c r="AC49" s="10">
        <f>IF($B49="","",IFERROR(MATCH($B49,인턴근무계획!$D$3:$D$202,0),IFERROR(MATCH($B49&amp;"",인턴근무계획!$D$3:$D$202,0),IFERROR(MATCH(VALUE($B49),인턴근무계획!$D$3:$D$202,0),""))))</f>
        <v/>
      </c>
      <c r="AD49" s="10">
        <f>IF(OR($AC49="",인턴현황!$G$3=""),"",INDEX(인턴근무계획!$M$3:$R$202,$AC49,인턴현황!$G$3)&amp;"")</f>
        <v/>
      </c>
      <c r="AE49" s="10">
        <f>IF($B49="","",IF($M49&lt;&gt;"",$M49,IF($H49="","",IF(RIGHT($H49,2)="병원",$H49,$H49&amp;"병원"))))</f>
        <v/>
      </c>
    </row>
    <row r="50">
      <c r="A50" s="10">
        <f>IF(B50="","",ROW()-1)</f>
        <v/>
      </c>
      <c r="B50" s="13" t="n"/>
      <c r="C50" s="10">
        <f>IF($AB50="","",IF(INDEX(기본자료!$C$2:$C$501,$AB50)="","",INDEX(기본자료!$C$2:$C$501,$AB50)))</f>
        <v/>
      </c>
      <c r="D50" s="10">
        <f>IF($AB50="","",IF(INDEX(기본자료!$J$2:$J$501,$AB50)="","",INDEX(기본자료!$J$2:$J$501,$AB50)))</f>
        <v/>
      </c>
      <c r="E50" s="11">
        <f>IF($AB50="","",IF(INDEX(기본자료!$K$2:$K$501,$AB50)="","",IF(NOT(ISNUMBER(INDEX(기본자료!$K$2:$K$501,$AB50))),INDEX(기본자료!$K$2:$K$501,$AB50),IF(INDEX(기본자료!$K$2:$K$501,$AB50)&lt;1000000,INDEX(기본자료!$K$2:$K$501,$AB50),IF(AND(INDEX(기본자료!$K$2:$K$501,$AB50)&gt;=10000101,INT(MOD(INDEX(기본자료!$K$2:$K$501,$AB50),10000)/100)&gt;=1,INT(MOD(INDEX(기본자료!$K$2:$K$501,$AB50),10000)/100)&lt;=12,MOD(INDEX(기본자료!$K$2:$K$501,$AB50),100)&gt;=1,MOD(INDEX(기본자료!$K$2:$K$501,$AB50),100)&lt;=31),DATE(INT(INDEX(기본자료!$K$2:$K$501,$AB50)/10000),INT(MOD(INDEX(기본자료!$K$2:$K$501,$AB50),10000)/100),MOD(INDEX(기본자료!$K$2:$K$501,$AB50),100)),INDEX(기본자료!$K$2:$K$501,$AB50)&amp;"")))))</f>
        <v/>
      </c>
      <c r="F50" s="10">
        <f>IF($AB50="","",IF(INDEX(기본자료!$D$2:$D$501,$AB50)="","",INDEX(기본자료!$D$2:$D$501,$AB50)))</f>
        <v/>
      </c>
      <c r="G50" s="10">
        <f>IF($AB50="","",IF(INDEX(기본자료!$E$2:$E$501,$AB50)="","",INDEX(기본자료!$E$2:$E$501,$AB50)))</f>
        <v/>
      </c>
      <c r="H50" s="10">
        <f>IF($AB50="","",IF(INDEX(기본자료!$F$2:$F$501,$AB50)="","",INDEX(기본자료!$F$2:$F$501,$AB50)))</f>
        <v/>
      </c>
      <c r="I50" s="11">
        <f>IF($AB50="","",IF(INDEX(기본자료!$G$2:$G$501,$AB50)="","",IF(NOT(ISNUMBER(INDEX(기본자료!$G$2:$G$501,$AB50))),INDEX(기본자료!$G$2:$G$501,$AB50),IF(INDEX(기본자료!$G$2:$G$501,$AB50)&lt;1000000,INDEX(기본자료!$G$2:$G$501,$AB50),IF(AND(INDEX(기본자료!$G$2:$G$501,$AB50)&gt;=10000101,INT(MOD(INDEX(기본자료!$G$2:$G$501,$AB50),10000)/100)&gt;=1,INT(MOD(INDEX(기본자료!$G$2:$G$501,$AB50),10000)/100)&lt;=12,MOD(INDEX(기본자료!$G$2:$G$501,$AB50),100)&gt;=1,MOD(INDEX(기본자료!$G$2:$G$501,$AB50),100)&lt;=31),DATE(INT(INDEX(기본자료!$G$2:$G$501,$AB50)/10000),INT(MOD(INDEX(기본자료!$G$2:$G$501,$AB50),10000)/100),MOD(INDEX(기본자료!$G$2:$G$501,$AB50),100)),INDEX(기본자료!$G$2:$G$501,$AB50)&amp;"")))))</f>
        <v/>
      </c>
      <c r="J50" s="10">
        <f>IF($AB50="","",IF(INDEX(기본자료!$H$2:$H$501,$AB50)="","",INDEX(기본자료!$H$2:$H$501,$AB50)))</f>
        <v/>
      </c>
      <c r="K50" s="10">
        <f>IF($AB50="","",IF(INDEX(기본자료!$I$2:$I$501,$AB50)="","",INDEX(기본자료!$I$2:$I$501,$AB50)))</f>
        <v/>
      </c>
      <c r="L50" s="10">
        <f>IF($AB50="","",IF(INDEX(기본자료!$A$2:$A$501,$AB50)="","",INDEX(기본자료!$A$2:$A$501,$AB50)))</f>
        <v/>
      </c>
      <c r="M50" s="14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4" t="n"/>
      <c r="Q50" s="14" t="n"/>
      <c r="R50" s="14" t="n"/>
      <c r="S50" s="15" t="n"/>
      <c r="T50" s="15" t="n"/>
      <c r="U50" s="10">
        <f>IF(OR($B50="",$S50=""),"",IF(TODAY()&lt;$S50,"파견예정",IF(AND($T50&lt;&gt;"",TODAY()&gt;$T50),"파견종료","파견중")))</f>
        <v/>
      </c>
      <c r="V50" s="16">
        <f>IF(OR($S50="",$T50=""),"",$T50-$S50+1)</f>
        <v/>
      </c>
      <c r="W50" s="16">
        <f>IF(AND($U50="파견중",$T50&lt;&gt;""),$T50-TODAY(),"")</f>
        <v/>
      </c>
      <c r="X50" s="16">
        <f>IF(OR($B50="",$S50=""),"",MAX(0,MIN(IF($T50="",EOMONTH(요약!$B$3,0),$T50),EOMONTH(요약!$B$3,0))-MAX($S50,요약!$B$3)+1))</f>
        <v/>
      </c>
      <c r="Y50" s="10">
        <f>IF($B50="","",IF($AE50="","",IF(OR($S50="",$P50="",N($X50)&lt;=0),$AE50,IF($P50="다기관파견",$AE50,IF($AE50="구리병원",IF(AND($Q50&lt;&gt;"",N($X50)&gt;=요약!$E$3),$Q50,$AE50),IF(AND($P50="일반파견(단독)",$Q50&lt;&gt;""),$Q50,$AE50))))))</f>
        <v/>
      </c>
      <c r="Z50" s="17">
        <f>IF($B50="","",IF($AB50="","기본자료에 없는 사번",IF(COUNTIF($B$2:$B$201,$B50)&gt;1,"중복 사번",IF($M50="","입사장소 입력",IF(AND($P50&lt;&gt;"",$S50=""),"파견시작일 입력",IF(AND($S50&lt;&gt;"",$P50=""),"파견종류 입력",IF(AND($P50&lt;&gt;"",$P50&lt;&gt;"다기관파견",$Q50=""),"파견병원 입력",IF(IF($AC50="",0,N(INDEX(인턴근무계획!$T$3:$T$202,$AC50)))&gt;0,"인턴계획 입력오류 확인",IF(AND($AC50&lt;&gt;"",$U50&lt;&gt;"파견중",$N50&lt;&gt;$AE50),"인턴 타지역 근무: 파견 여부 확인","정상")))))))))</f>
        <v/>
      </c>
      <c r="AA50" s="5" t="n"/>
      <c r="AB50" s="10">
        <f>IF($B50="","",IFERROR(MATCH($B50,기본자료!$B$2:$B$501,0),IFERROR(MATCH($B50&amp;"",기본자료!$B$2:$B$501,0),IFERROR(MATCH(VALUE($B50),기본자료!$B$2:$B$501,0),""))))</f>
        <v/>
      </c>
      <c r="AC50" s="10">
        <f>IF($B50="","",IFERROR(MATCH($B50,인턴근무계획!$D$3:$D$202,0),IFERROR(MATCH($B50&amp;"",인턴근무계획!$D$3:$D$202,0),IFERROR(MATCH(VALUE($B50),인턴근무계획!$D$3:$D$202,0),""))))</f>
        <v/>
      </c>
      <c r="AD50" s="10">
        <f>IF(OR($AC50="",인턴현황!$G$3=""),"",INDEX(인턴근무계획!$M$3:$R$202,$AC50,인턴현황!$G$3)&amp;"")</f>
        <v/>
      </c>
      <c r="AE50" s="10">
        <f>IF($B50="","",IF($M50&lt;&gt;"",$M50,IF($H50="","",IF(RIGHT($H50,2)="병원",$H50,$H50&amp;"병원"))))</f>
        <v/>
      </c>
    </row>
    <row r="51">
      <c r="A51" s="10">
        <f>IF(B51="","",ROW()-1)</f>
        <v/>
      </c>
      <c r="B51" s="13" t="n"/>
      <c r="C51" s="10">
        <f>IF($AB51="","",IF(INDEX(기본자료!$C$2:$C$501,$AB51)="","",INDEX(기본자료!$C$2:$C$501,$AB51)))</f>
        <v/>
      </c>
      <c r="D51" s="10">
        <f>IF($AB51="","",IF(INDEX(기본자료!$J$2:$J$501,$AB51)="","",INDEX(기본자료!$J$2:$J$501,$AB51)))</f>
        <v/>
      </c>
      <c r="E51" s="11">
        <f>IF($AB51="","",IF(INDEX(기본자료!$K$2:$K$501,$AB51)="","",IF(NOT(ISNUMBER(INDEX(기본자료!$K$2:$K$501,$AB51))),INDEX(기본자료!$K$2:$K$501,$AB51),IF(INDEX(기본자료!$K$2:$K$501,$AB51)&lt;1000000,INDEX(기본자료!$K$2:$K$501,$AB51),IF(AND(INDEX(기본자료!$K$2:$K$501,$AB51)&gt;=10000101,INT(MOD(INDEX(기본자료!$K$2:$K$501,$AB51),10000)/100)&gt;=1,INT(MOD(INDEX(기본자료!$K$2:$K$501,$AB51),10000)/100)&lt;=12,MOD(INDEX(기본자료!$K$2:$K$501,$AB51),100)&gt;=1,MOD(INDEX(기본자료!$K$2:$K$501,$AB51),100)&lt;=31),DATE(INT(INDEX(기본자료!$K$2:$K$501,$AB51)/10000),INT(MOD(INDEX(기본자료!$K$2:$K$501,$AB51),10000)/100),MOD(INDEX(기본자료!$K$2:$K$501,$AB51),100)),INDEX(기본자료!$K$2:$K$501,$AB51)&amp;"")))))</f>
        <v/>
      </c>
      <c r="F51" s="10">
        <f>IF($AB51="","",IF(INDEX(기본자료!$D$2:$D$501,$AB51)="","",INDEX(기본자료!$D$2:$D$501,$AB51)))</f>
        <v/>
      </c>
      <c r="G51" s="10">
        <f>IF($AB51="","",IF(INDEX(기본자료!$E$2:$E$501,$AB51)="","",INDEX(기본자료!$E$2:$E$501,$AB51)))</f>
        <v/>
      </c>
      <c r="H51" s="10">
        <f>IF($AB51="","",IF(INDEX(기본자료!$F$2:$F$501,$AB51)="","",INDEX(기본자료!$F$2:$F$501,$AB51)))</f>
        <v/>
      </c>
      <c r="I51" s="11">
        <f>IF($AB51="","",IF(INDEX(기본자료!$G$2:$G$501,$AB51)="","",IF(NOT(ISNUMBER(INDEX(기본자료!$G$2:$G$501,$AB51))),INDEX(기본자료!$G$2:$G$501,$AB51),IF(INDEX(기본자료!$G$2:$G$501,$AB51)&lt;1000000,INDEX(기본자료!$G$2:$G$501,$AB51),IF(AND(INDEX(기본자료!$G$2:$G$501,$AB51)&gt;=10000101,INT(MOD(INDEX(기본자료!$G$2:$G$501,$AB51),10000)/100)&gt;=1,INT(MOD(INDEX(기본자료!$G$2:$G$501,$AB51),10000)/100)&lt;=12,MOD(INDEX(기본자료!$G$2:$G$501,$AB51),100)&gt;=1,MOD(INDEX(기본자료!$G$2:$G$501,$AB51),100)&lt;=31),DATE(INT(INDEX(기본자료!$G$2:$G$501,$AB51)/10000),INT(MOD(INDEX(기본자료!$G$2:$G$501,$AB51),10000)/100),MOD(INDEX(기본자료!$G$2:$G$501,$AB51),100)),INDEX(기본자료!$G$2:$G$501,$AB51)&amp;"")))))</f>
        <v/>
      </c>
      <c r="J51" s="10">
        <f>IF($AB51="","",IF(INDEX(기본자료!$H$2:$H$501,$AB51)="","",INDEX(기본자료!$H$2:$H$501,$AB51)))</f>
        <v/>
      </c>
      <c r="K51" s="10">
        <f>IF($AB51="","",IF(INDEX(기본자료!$I$2:$I$501,$AB51)="","",INDEX(기본자료!$I$2:$I$501,$AB51)))</f>
        <v/>
      </c>
      <c r="L51" s="10">
        <f>IF($AB51="","",IF(INDEX(기본자료!$A$2:$A$501,$AB51)="","",INDEX(기본자료!$A$2:$A$501,$AB51)))</f>
        <v/>
      </c>
      <c r="M51" s="14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4" t="n"/>
      <c r="Q51" s="14" t="n"/>
      <c r="R51" s="14" t="n"/>
      <c r="S51" s="15" t="n"/>
      <c r="T51" s="15" t="n"/>
      <c r="U51" s="10">
        <f>IF(OR($B51="",$S51=""),"",IF(TODAY()&lt;$S51,"파견예정",IF(AND($T51&lt;&gt;"",TODAY()&gt;$T51),"파견종료","파견중")))</f>
        <v/>
      </c>
      <c r="V51" s="16">
        <f>IF(OR($S51="",$T51=""),"",$T51-$S51+1)</f>
        <v/>
      </c>
      <c r="W51" s="16">
        <f>IF(AND($U51="파견중",$T51&lt;&gt;""),$T51-TODAY(),"")</f>
        <v/>
      </c>
      <c r="X51" s="16">
        <f>IF(OR($B51="",$S51=""),"",MAX(0,MIN(IF($T51="",EOMONTH(요약!$B$3,0),$T51),EOMONTH(요약!$B$3,0))-MAX($S51,요약!$B$3)+1))</f>
        <v/>
      </c>
      <c r="Y51" s="10">
        <f>IF($B51="","",IF($AE51="","",IF(OR($S51="",$P51="",N($X51)&lt;=0),$AE51,IF($P51="다기관파견",$AE51,IF($AE51="구리병원",IF(AND($Q51&lt;&gt;"",N($X51)&gt;=요약!$E$3),$Q51,$AE51),IF(AND($P51="일반파견(단독)",$Q51&lt;&gt;""),$Q51,$AE51))))))</f>
        <v/>
      </c>
      <c r="Z51" s="17">
        <f>IF($B51="","",IF($AB51="","기본자료에 없는 사번",IF(COUNTIF($B$2:$B$201,$B51)&gt;1,"중복 사번",IF($M51="","입사장소 입력",IF(AND($P51&lt;&gt;"",$S51=""),"파견시작일 입력",IF(AND($S51&lt;&gt;"",$P51=""),"파견종류 입력",IF(AND($P51&lt;&gt;"",$P51&lt;&gt;"다기관파견",$Q51=""),"파견병원 입력",IF(IF($AC51="",0,N(INDEX(인턴근무계획!$T$3:$T$202,$AC51)))&gt;0,"인턴계획 입력오류 확인",IF(AND($AC51&lt;&gt;"",$U51&lt;&gt;"파견중",$N51&lt;&gt;$AE51),"인턴 타지역 근무: 파견 여부 확인","정상")))))))))</f>
        <v/>
      </c>
      <c r="AA51" s="5" t="n"/>
      <c r="AB51" s="10">
        <f>IF($B51="","",IFERROR(MATCH($B51,기본자료!$B$2:$B$501,0),IFERROR(MATCH($B51&amp;"",기본자료!$B$2:$B$501,0),IFERROR(MATCH(VALUE($B51),기본자료!$B$2:$B$501,0),""))))</f>
        <v/>
      </c>
      <c r="AC51" s="10">
        <f>IF($B51="","",IFERROR(MATCH($B51,인턴근무계획!$D$3:$D$202,0),IFERROR(MATCH($B51&amp;"",인턴근무계획!$D$3:$D$202,0),IFERROR(MATCH(VALUE($B51),인턴근무계획!$D$3:$D$202,0),""))))</f>
        <v/>
      </c>
      <c r="AD51" s="10">
        <f>IF(OR($AC51="",인턴현황!$G$3=""),"",INDEX(인턴근무계획!$M$3:$R$202,$AC51,인턴현황!$G$3)&amp;"")</f>
        <v/>
      </c>
      <c r="AE51" s="10">
        <f>IF($B51="","",IF($M51&lt;&gt;"",$M51,IF($H51="","",IF(RIGHT($H51,2)="병원",$H51,$H51&amp;"병원"))))</f>
        <v/>
      </c>
    </row>
    <row r="52">
      <c r="A52" s="10">
        <f>IF(B52="","",ROW()-1)</f>
        <v/>
      </c>
      <c r="B52" s="13" t="n"/>
      <c r="C52" s="10">
        <f>IF($AB52="","",IF(INDEX(기본자료!$C$2:$C$501,$AB52)="","",INDEX(기본자료!$C$2:$C$501,$AB52)))</f>
        <v/>
      </c>
      <c r="D52" s="10">
        <f>IF($AB52="","",IF(INDEX(기본자료!$J$2:$J$501,$AB52)="","",INDEX(기본자료!$J$2:$J$501,$AB52)))</f>
        <v/>
      </c>
      <c r="E52" s="11">
        <f>IF($AB52="","",IF(INDEX(기본자료!$K$2:$K$501,$AB52)="","",IF(NOT(ISNUMBER(INDEX(기본자료!$K$2:$K$501,$AB52))),INDEX(기본자료!$K$2:$K$501,$AB52),IF(INDEX(기본자료!$K$2:$K$501,$AB52)&lt;1000000,INDEX(기본자료!$K$2:$K$501,$AB52),IF(AND(INDEX(기본자료!$K$2:$K$501,$AB52)&gt;=10000101,INT(MOD(INDEX(기본자료!$K$2:$K$501,$AB52),10000)/100)&gt;=1,INT(MOD(INDEX(기본자료!$K$2:$K$501,$AB52),10000)/100)&lt;=12,MOD(INDEX(기본자료!$K$2:$K$501,$AB52),100)&gt;=1,MOD(INDEX(기본자료!$K$2:$K$501,$AB52),100)&lt;=31),DATE(INT(INDEX(기본자료!$K$2:$K$501,$AB52)/10000),INT(MOD(INDEX(기본자료!$K$2:$K$501,$AB52),10000)/100),MOD(INDEX(기본자료!$K$2:$K$501,$AB52),100)),INDEX(기본자료!$K$2:$K$501,$AB52)&amp;"")))))</f>
        <v/>
      </c>
      <c r="F52" s="10">
        <f>IF($AB52="","",IF(INDEX(기본자료!$D$2:$D$501,$AB52)="","",INDEX(기본자료!$D$2:$D$501,$AB52)))</f>
        <v/>
      </c>
      <c r="G52" s="10">
        <f>IF($AB52="","",IF(INDEX(기본자료!$E$2:$E$501,$AB52)="","",INDEX(기본자료!$E$2:$E$501,$AB52)))</f>
        <v/>
      </c>
      <c r="H52" s="10">
        <f>IF($AB52="","",IF(INDEX(기본자료!$F$2:$F$501,$AB52)="","",INDEX(기본자료!$F$2:$F$501,$AB52)))</f>
        <v/>
      </c>
      <c r="I52" s="11">
        <f>IF($AB52="","",IF(INDEX(기본자료!$G$2:$G$501,$AB52)="","",IF(NOT(ISNUMBER(INDEX(기본자료!$G$2:$G$501,$AB52))),INDEX(기본자료!$G$2:$G$501,$AB52),IF(INDEX(기본자료!$G$2:$G$501,$AB52)&lt;1000000,INDEX(기본자료!$G$2:$G$501,$AB52),IF(AND(INDEX(기본자료!$G$2:$G$501,$AB52)&gt;=10000101,INT(MOD(INDEX(기본자료!$G$2:$G$501,$AB52),10000)/100)&gt;=1,INT(MOD(INDEX(기본자료!$G$2:$G$501,$AB52),10000)/100)&lt;=12,MOD(INDEX(기본자료!$G$2:$G$501,$AB52),100)&gt;=1,MOD(INDEX(기본자료!$G$2:$G$501,$AB52),100)&lt;=31),DATE(INT(INDEX(기본자료!$G$2:$G$501,$AB52)/10000),INT(MOD(INDEX(기본자료!$G$2:$G$501,$AB52),10000)/100),MOD(INDEX(기본자료!$G$2:$G$501,$AB52),100)),INDEX(기본자료!$G$2:$G$501,$AB52)&amp;"")))))</f>
        <v/>
      </c>
      <c r="J52" s="10">
        <f>IF($AB52="","",IF(INDEX(기본자료!$H$2:$H$501,$AB52)="","",INDEX(기본자료!$H$2:$H$501,$AB52)))</f>
        <v/>
      </c>
      <c r="K52" s="10">
        <f>IF($AB52="","",IF(INDEX(기본자료!$I$2:$I$501,$AB52)="","",INDEX(기본자료!$I$2:$I$501,$AB52)))</f>
        <v/>
      </c>
      <c r="L52" s="10">
        <f>IF($AB52="","",IF(INDEX(기본자료!$A$2:$A$501,$AB52)="","",INDEX(기본자료!$A$2:$A$501,$AB52)))</f>
        <v/>
      </c>
      <c r="M52" s="14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4" t="n"/>
      <c r="Q52" s="14" t="n"/>
      <c r="R52" s="14" t="n"/>
      <c r="S52" s="15" t="n"/>
      <c r="T52" s="15" t="n"/>
      <c r="U52" s="10">
        <f>IF(OR($B52="",$S52=""),"",IF(TODAY()&lt;$S52,"파견예정",IF(AND($T52&lt;&gt;"",TODAY()&gt;$T52),"파견종료","파견중")))</f>
        <v/>
      </c>
      <c r="V52" s="16">
        <f>IF(OR($S52="",$T52=""),"",$T52-$S52+1)</f>
        <v/>
      </c>
      <c r="W52" s="16">
        <f>IF(AND($U52="파견중",$T52&lt;&gt;""),$T52-TODAY(),"")</f>
        <v/>
      </c>
      <c r="X52" s="16">
        <f>IF(OR($B52="",$S52=""),"",MAX(0,MIN(IF($T52="",EOMONTH(요약!$B$3,0),$T52),EOMONTH(요약!$B$3,0))-MAX($S52,요약!$B$3)+1))</f>
        <v/>
      </c>
      <c r="Y52" s="10">
        <f>IF($B52="","",IF($AE52="","",IF(OR($S52="",$P52="",N($X52)&lt;=0),$AE52,IF($P52="다기관파견",$AE52,IF($AE52="구리병원",IF(AND($Q52&lt;&gt;"",N($X52)&gt;=요약!$E$3),$Q52,$AE52),IF(AND($P52="일반파견(단독)",$Q52&lt;&gt;""),$Q52,$AE52))))))</f>
        <v/>
      </c>
      <c r="Z52" s="17">
        <f>IF($B52="","",IF($AB52="","기본자료에 없는 사번",IF(COUNTIF($B$2:$B$201,$B52)&gt;1,"중복 사번",IF($M52="","입사장소 입력",IF(AND($P52&lt;&gt;"",$S52=""),"파견시작일 입력",IF(AND($S52&lt;&gt;"",$P52=""),"파견종류 입력",IF(AND($P52&lt;&gt;"",$P52&lt;&gt;"다기관파견",$Q52=""),"파견병원 입력",IF(IF($AC52="",0,N(INDEX(인턴근무계획!$T$3:$T$202,$AC52)))&gt;0,"인턴계획 입력오류 확인",IF(AND($AC52&lt;&gt;"",$U52&lt;&gt;"파견중",$N52&lt;&gt;$AE52),"인턴 타지역 근무: 파견 여부 확인","정상")))))))))</f>
        <v/>
      </c>
      <c r="AA52" s="5" t="n"/>
      <c r="AB52" s="10">
        <f>IF($B52="","",IFERROR(MATCH($B52,기본자료!$B$2:$B$501,0),IFERROR(MATCH($B52&amp;"",기본자료!$B$2:$B$501,0),IFERROR(MATCH(VALUE($B52),기본자료!$B$2:$B$501,0),""))))</f>
        <v/>
      </c>
      <c r="AC52" s="10">
        <f>IF($B52="","",IFERROR(MATCH($B52,인턴근무계획!$D$3:$D$202,0),IFERROR(MATCH($B52&amp;"",인턴근무계획!$D$3:$D$202,0),IFERROR(MATCH(VALUE($B52),인턴근무계획!$D$3:$D$202,0),""))))</f>
        <v/>
      </c>
      <c r="AD52" s="10">
        <f>IF(OR($AC52="",인턴현황!$G$3=""),"",INDEX(인턴근무계획!$M$3:$R$202,$AC52,인턴현황!$G$3)&amp;"")</f>
        <v/>
      </c>
      <c r="AE52" s="10">
        <f>IF($B52="","",IF($M52&lt;&gt;"",$M52,IF($H52="","",IF(RIGHT($H52,2)="병원",$H52,$H52&amp;"병원"))))</f>
        <v/>
      </c>
    </row>
    <row r="53">
      <c r="A53" s="10">
        <f>IF(B53="","",ROW()-1)</f>
        <v/>
      </c>
      <c r="B53" s="13" t="n"/>
      <c r="C53" s="10">
        <f>IF($AB53="","",IF(INDEX(기본자료!$C$2:$C$501,$AB53)="","",INDEX(기본자료!$C$2:$C$501,$AB53)))</f>
        <v/>
      </c>
      <c r="D53" s="10">
        <f>IF($AB53="","",IF(INDEX(기본자료!$J$2:$J$501,$AB53)="","",INDEX(기본자료!$J$2:$J$501,$AB53)))</f>
        <v/>
      </c>
      <c r="E53" s="11">
        <f>IF($AB53="","",IF(INDEX(기본자료!$K$2:$K$501,$AB53)="","",IF(NOT(ISNUMBER(INDEX(기본자료!$K$2:$K$501,$AB53))),INDEX(기본자료!$K$2:$K$501,$AB53),IF(INDEX(기본자료!$K$2:$K$501,$AB53)&lt;1000000,INDEX(기본자료!$K$2:$K$501,$AB53),IF(AND(INDEX(기본자료!$K$2:$K$501,$AB53)&gt;=10000101,INT(MOD(INDEX(기본자료!$K$2:$K$501,$AB53),10000)/100)&gt;=1,INT(MOD(INDEX(기본자료!$K$2:$K$501,$AB53),10000)/100)&lt;=12,MOD(INDEX(기본자료!$K$2:$K$501,$AB53),100)&gt;=1,MOD(INDEX(기본자료!$K$2:$K$501,$AB53),100)&lt;=31),DATE(INT(INDEX(기본자료!$K$2:$K$501,$AB53)/10000),INT(MOD(INDEX(기본자료!$K$2:$K$501,$AB53),10000)/100),MOD(INDEX(기본자료!$K$2:$K$501,$AB53),100)),INDEX(기본자료!$K$2:$K$501,$AB53)&amp;"")))))</f>
        <v/>
      </c>
      <c r="F53" s="10">
        <f>IF($AB53="","",IF(INDEX(기본자료!$D$2:$D$501,$AB53)="","",INDEX(기본자료!$D$2:$D$501,$AB53)))</f>
        <v/>
      </c>
      <c r="G53" s="10">
        <f>IF($AB53="","",IF(INDEX(기본자료!$E$2:$E$501,$AB53)="","",INDEX(기본자료!$E$2:$E$501,$AB53)))</f>
        <v/>
      </c>
      <c r="H53" s="10">
        <f>IF($AB53="","",IF(INDEX(기본자료!$F$2:$F$501,$AB53)="","",INDEX(기본자료!$F$2:$F$501,$AB53)))</f>
        <v/>
      </c>
      <c r="I53" s="11">
        <f>IF($AB53="","",IF(INDEX(기본자료!$G$2:$G$501,$AB53)="","",IF(NOT(ISNUMBER(INDEX(기본자료!$G$2:$G$501,$AB53))),INDEX(기본자료!$G$2:$G$501,$AB53),IF(INDEX(기본자료!$G$2:$G$501,$AB53)&lt;1000000,INDEX(기본자료!$G$2:$G$501,$AB53),IF(AND(INDEX(기본자료!$G$2:$G$501,$AB53)&gt;=10000101,INT(MOD(INDEX(기본자료!$G$2:$G$501,$AB53),10000)/100)&gt;=1,INT(MOD(INDEX(기본자료!$G$2:$G$501,$AB53),10000)/100)&lt;=12,MOD(INDEX(기본자료!$G$2:$G$501,$AB53),100)&gt;=1,MOD(INDEX(기본자료!$G$2:$G$501,$AB53),100)&lt;=31),DATE(INT(INDEX(기본자료!$G$2:$G$501,$AB53)/10000),INT(MOD(INDEX(기본자료!$G$2:$G$501,$AB53),10000)/100),MOD(INDEX(기본자료!$G$2:$G$501,$AB53),100)),INDEX(기본자료!$G$2:$G$501,$AB53)&amp;"")))))</f>
        <v/>
      </c>
      <c r="J53" s="10">
        <f>IF($AB53="","",IF(INDEX(기본자료!$H$2:$H$501,$AB53)="","",INDEX(기본자료!$H$2:$H$501,$AB53)))</f>
        <v/>
      </c>
      <c r="K53" s="10">
        <f>IF($AB53="","",IF(INDEX(기본자료!$I$2:$I$501,$AB53)="","",INDEX(기본자료!$I$2:$I$501,$AB53)))</f>
        <v/>
      </c>
      <c r="L53" s="10">
        <f>IF($AB53="","",IF(INDEX(기본자료!$A$2:$A$501,$AB53)="","",INDEX(기본자료!$A$2:$A$501,$AB53)))</f>
        <v/>
      </c>
      <c r="M53" s="14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4" t="n"/>
      <c r="Q53" s="14" t="n"/>
      <c r="R53" s="14" t="n"/>
      <c r="S53" s="15" t="n"/>
      <c r="T53" s="15" t="n"/>
      <c r="U53" s="10">
        <f>IF(OR($B53="",$S53=""),"",IF(TODAY()&lt;$S53,"파견예정",IF(AND($T53&lt;&gt;"",TODAY()&gt;$T53),"파견종료","파견중")))</f>
        <v/>
      </c>
      <c r="V53" s="16">
        <f>IF(OR($S53="",$T53=""),"",$T53-$S53+1)</f>
        <v/>
      </c>
      <c r="W53" s="16">
        <f>IF(AND($U53="파견중",$T53&lt;&gt;""),$T53-TODAY(),"")</f>
        <v/>
      </c>
      <c r="X53" s="16">
        <f>IF(OR($B53="",$S53=""),"",MAX(0,MIN(IF($T53="",EOMONTH(요약!$B$3,0),$T53),EOMONTH(요약!$B$3,0))-MAX($S53,요약!$B$3)+1))</f>
        <v/>
      </c>
      <c r="Y53" s="10">
        <f>IF($B53="","",IF($AE53="","",IF(OR($S53="",$P53="",N($X53)&lt;=0),$AE53,IF($P53="다기관파견",$AE53,IF($AE53="구리병원",IF(AND($Q53&lt;&gt;"",N($X53)&gt;=요약!$E$3),$Q53,$AE53),IF(AND($P53="일반파견(단독)",$Q53&lt;&gt;""),$Q53,$AE53))))))</f>
        <v/>
      </c>
      <c r="Z53" s="17">
        <f>IF($B53="","",IF($AB53="","기본자료에 없는 사번",IF(COUNTIF($B$2:$B$201,$B53)&gt;1,"중복 사번",IF($M53="","입사장소 입력",IF(AND($P53&lt;&gt;"",$S53=""),"파견시작일 입력",IF(AND($S53&lt;&gt;"",$P53=""),"파견종류 입력",IF(AND($P53&lt;&gt;"",$P53&lt;&gt;"다기관파견",$Q53=""),"파견병원 입력",IF(IF($AC53="",0,N(INDEX(인턴근무계획!$T$3:$T$202,$AC53)))&gt;0,"인턴계획 입력오류 확인",IF(AND($AC53&lt;&gt;"",$U53&lt;&gt;"파견중",$N53&lt;&gt;$AE53),"인턴 타지역 근무: 파견 여부 확인","정상")))))))))</f>
        <v/>
      </c>
      <c r="AA53" s="5" t="n"/>
      <c r="AB53" s="10">
        <f>IF($B53="","",IFERROR(MATCH($B53,기본자료!$B$2:$B$501,0),IFERROR(MATCH($B53&amp;"",기본자료!$B$2:$B$501,0),IFERROR(MATCH(VALUE($B53),기본자료!$B$2:$B$501,0),""))))</f>
        <v/>
      </c>
      <c r="AC53" s="10">
        <f>IF($B53="","",IFERROR(MATCH($B53,인턴근무계획!$D$3:$D$202,0),IFERROR(MATCH($B53&amp;"",인턴근무계획!$D$3:$D$202,0),IFERROR(MATCH(VALUE($B53),인턴근무계획!$D$3:$D$202,0),""))))</f>
        <v/>
      </c>
      <c r="AD53" s="10">
        <f>IF(OR($AC53="",인턴현황!$G$3=""),"",INDEX(인턴근무계획!$M$3:$R$202,$AC53,인턴현황!$G$3)&amp;"")</f>
        <v/>
      </c>
      <c r="AE53" s="10">
        <f>IF($B53="","",IF($M53&lt;&gt;"",$M53,IF($H53="","",IF(RIGHT($H53,2)="병원",$H53,$H53&amp;"병원"))))</f>
        <v/>
      </c>
    </row>
    <row r="54">
      <c r="A54" s="10">
        <f>IF(B54="","",ROW()-1)</f>
        <v/>
      </c>
      <c r="B54" s="13" t="n"/>
      <c r="C54" s="10">
        <f>IF($AB54="","",IF(INDEX(기본자료!$C$2:$C$501,$AB54)="","",INDEX(기본자료!$C$2:$C$501,$AB54)))</f>
        <v/>
      </c>
      <c r="D54" s="10">
        <f>IF($AB54="","",IF(INDEX(기본자료!$J$2:$J$501,$AB54)="","",INDEX(기본자료!$J$2:$J$501,$AB54)))</f>
        <v/>
      </c>
      <c r="E54" s="11">
        <f>IF($AB54="","",IF(INDEX(기본자료!$K$2:$K$501,$AB54)="","",IF(NOT(ISNUMBER(INDEX(기본자료!$K$2:$K$501,$AB54))),INDEX(기본자료!$K$2:$K$501,$AB54),IF(INDEX(기본자료!$K$2:$K$501,$AB54)&lt;1000000,INDEX(기본자료!$K$2:$K$501,$AB54),IF(AND(INDEX(기본자료!$K$2:$K$501,$AB54)&gt;=10000101,INT(MOD(INDEX(기본자료!$K$2:$K$501,$AB54),10000)/100)&gt;=1,INT(MOD(INDEX(기본자료!$K$2:$K$501,$AB54),10000)/100)&lt;=12,MOD(INDEX(기본자료!$K$2:$K$501,$AB54),100)&gt;=1,MOD(INDEX(기본자료!$K$2:$K$501,$AB54),100)&lt;=31),DATE(INT(INDEX(기본자료!$K$2:$K$501,$AB54)/10000),INT(MOD(INDEX(기본자료!$K$2:$K$501,$AB54),10000)/100),MOD(INDEX(기본자료!$K$2:$K$501,$AB54),100)),INDEX(기본자료!$K$2:$K$501,$AB54)&amp;"")))))</f>
        <v/>
      </c>
      <c r="F54" s="10">
        <f>IF($AB54="","",IF(INDEX(기본자료!$D$2:$D$501,$AB54)="","",INDEX(기본자료!$D$2:$D$501,$AB54)))</f>
        <v/>
      </c>
      <c r="G54" s="10">
        <f>IF($AB54="","",IF(INDEX(기본자료!$E$2:$E$501,$AB54)="","",INDEX(기본자료!$E$2:$E$501,$AB54)))</f>
        <v/>
      </c>
      <c r="H54" s="10">
        <f>IF($AB54="","",IF(INDEX(기본자료!$F$2:$F$501,$AB54)="","",INDEX(기본자료!$F$2:$F$501,$AB54)))</f>
        <v/>
      </c>
      <c r="I54" s="11">
        <f>IF($AB54="","",IF(INDEX(기본자료!$G$2:$G$501,$AB54)="","",IF(NOT(ISNUMBER(INDEX(기본자료!$G$2:$G$501,$AB54))),INDEX(기본자료!$G$2:$G$501,$AB54),IF(INDEX(기본자료!$G$2:$G$501,$AB54)&lt;1000000,INDEX(기본자료!$G$2:$G$501,$AB54),IF(AND(INDEX(기본자료!$G$2:$G$501,$AB54)&gt;=10000101,INT(MOD(INDEX(기본자료!$G$2:$G$501,$AB54),10000)/100)&gt;=1,INT(MOD(INDEX(기본자료!$G$2:$G$501,$AB54),10000)/100)&lt;=12,MOD(INDEX(기본자료!$G$2:$G$501,$AB54),100)&gt;=1,MOD(INDEX(기본자료!$G$2:$G$501,$AB54),100)&lt;=31),DATE(INT(INDEX(기본자료!$G$2:$G$501,$AB54)/10000),INT(MOD(INDEX(기본자료!$G$2:$G$501,$AB54),10000)/100),MOD(INDEX(기본자료!$G$2:$G$501,$AB54),100)),INDEX(기본자료!$G$2:$G$501,$AB54)&amp;"")))))</f>
        <v/>
      </c>
      <c r="J54" s="10">
        <f>IF($AB54="","",IF(INDEX(기본자료!$H$2:$H$501,$AB54)="","",INDEX(기본자료!$H$2:$H$501,$AB54)))</f>
        <v/>
      </c>
      <c r="K54" s="10">
        <f>IF($AB54="","",IF(INDEX(기본자료!$I$2:$I$501,$AB54)="","",INDEX(기본자료!$I$2:$I$501,$AB54)))</f>
        <v/>
      </c>
      <c r="L54" s="10">
        <f>IF($AB54="","",IF(INDEX(기본자료!$A$2:$A$501,$AB54)="","",INDEX(기본자료!$A$2:$A$501,$AB54)))</f>
        <v/>
      </c>
      <c r="M54" s="14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4" t="n"/>
      <c r="Q54" s="14" t="n"/>
      <c r="R54" s="14" t="n"/>
      <c r="S54" s="15" t="n"/>
      <c r="T54" s="15" t="n"/>
      <c r="U54" s="10">
        <f>IF(OR($B54="",$S54=""),"",IF(TODAY()&lt;$S54,"파견예정",IF(AND($T54&lt;&gt;"",TODAY()&gt;$T54),"파견종료","파견중")))</f>
        <v/>
      </c>
      <c r="V54" s="16">
        <f>IF(OR($S54="",$T54=""),"",$T54-$S54+1)</f>
        <v/>
      </c>
      <c r="W54" s="16">
        <f>IF(AND($U54="파견중",$T54&lt;&gt;""),$T54-TODAY(),"")</f>
        <v/>
      </c>
      <c r="X54" s="16">
        <f>IF(OR($B54="",$S54=""),"",MAX(0,MIN(IF($T54="",EOMONTH(요약!$B$3,0),$T54),EOMONTH(요약!$B$3,0))-MAX($S54,요약!$B$3)+1))</f>
        <v/>
      </c>
      <c r="Y54" s="10">
        <f>IF($B54="","",IF($AE54="","",IF(OR($S54="",$P54="",N($X54)&lt;=0),$AE54,IF($P54="다기관파견",$AE54,IF($AE54="구리병원",IF(AND($Q54&lt;&gt;"",N($X54)&gt;=요약!$E$3),$Q54,$AE54),IF(AND($P54="일반파견(단독)",$Q54&lt;&gt;""),$Q54,$AE54))))))</f>
        <v/>
      </c>
      <c r="Z54" s="17">
        <f>IF($B54="","",IF($AB54="","기본자료에 없는 사번",IF(COUNTIF($B$2:$B$201,$B54)&gt;1,"중복 사번",IF($M54="","입사장소 입력",IF(AND($P54&lt;&gt;"",$S54=""),"파견시작일 입력",IF(AND($S54&lt;&gt;"",$P54=""),"파견종류 입력",IF(AND($P54&lt;&gt;"",$P54&lt;&gt;"다기관파견",$Q54=""),"파견병원 입력",IF(IF($AC54="",0,N(INDEX(인턴근무계획!$T$3:$T$202,$AC54)))&gt;0,"인턴계획 입력오류 확인",IF(AND($AC54&lt;&gt;"",$U54&lt;&gt;"파견중",$N54&lt;&gt;$AE54),"인턴 타지역 근무: 파견 여부 확인","정상")))))))))</f>
        <v/>
      </c>
      <c r="AA54" s="5" t="n"/>
      <c r="AB54" s="10">
        <f>IF($B54="","",IFERROR(MATCH($B54,기본자료!$B$2:$B$501,0),IFERROR(MATCH($B54&amp;"",기본자료!$B$2:$B$501,0),IFERROR(MATCH(VALUE($B54),기본자료!$B$2:$B$501,0),""))))</f>
        <v/>
      </c>
      <c r="AC54" s="10">
        <f>IF($B54="","",IFERROR(MATCH($B54,인턴근무계획!$D$3:$D$202,0),IFERROR(MATCH($B54&amp;"",인턴근무계획!$D$3:$D$202,0),IFERROR(MATCH(VALUE($B54),인턴근무계획!$D$3:$D$202,0),""))))</f>
        <v/>
      </c>
      <c r="AD54" s="10">
        <f>IF(OR($AC54="",인턴현황!$G$3=""),"",INDEX(인턴근무계획!$M$3:$R$202,$AC54,인턴현황!$G$3)&amp;"")</f>
        <v/>
      </c>
      <c r="AE54" s="10">
        <f>IF($B54="","",IF($M54&lt;&gt;"",$M54,IF($H54="","",IF(RIGHT($H54,2)="병원",$H54,$H54&amp;"병원"))))</f>
        <v/>
      </c>
    </row>
    <row r="55">
      <c r="A55" s="10">
        <f>IF(B55="","",ROW()-1)</f>
        <v/>
      </c>
      <c r="B55" s="13" t="n"/>
      <c r="C55" s="10">
        <f>IF($AB55="","",IF(INDEX(기본자료!$C$2:$C$501,$AB55)="","",INDEX(기본자료!$C$2:$C$501,$AB55)))</f>
        <v/>
      </c>
      <c r="D55" s="10">
        <f>IF($AB55="","",IF(INDEX(기본자료!$J$2:$J$501,$AB55)="","",INDEX(기본자료!$J$2:$J$501,$AB55)))</f>
        <v/>
      </c>
      <c r="E55" s="11">
        <f>IF($AB55="","",IF(INDEX(기본자료!$K$2:$K$501,$AB55)="","",IF(NOT(ISNUMBER(INDEX(기본자료!$K$2:$K$501,$AB55))),INDEX(기본자료!$K$2:$K$501,$AB55),IF(INDEX(기본자료!$K$2:$K$501,$AB55)&lt;1000000,INDEX(기본자료!$K$2:$K$501,$AB55),IF(AND(INDEX(기본자료!$K$2:$K$501,$AB55)&gt;=10000101,INT(MOD(INDEX(기본자료!$K$2:$K$501,$AB55),10000)/100)&gt;=1,INT(MOD(INDEX(기본자료!$K$2:$K$501,$AB55),10000)/100)&lt;=12,MOD(INDEX(기본자료!$K$2:$K$501,$AB55),100)&gt;=1,MOD(INDEX(기본자료!$K$2:$K$501,$AB55),100)&lt;=31),DATE(INT(INDEX(기본자료!$K$2:$K$501,$AB55)/10000),INT(MOD(INDEX(기본자료!$K$2:$K$501,$AB55),10000)/100),MOD(INDEX(기본자료!$K$2:$K$501,$AB55),100)),INDEX(기본자료!$K$2:$K$501,$AB55)&amp;"")))))</f>
        <v/>
      </c>
      <c r="F55" s="10">
        <f>IF($AB55="","",IF(INDEX(기본자료!$D$2:$D$501,$AB55)="","",INDEX(기본자료!$D$2:$D$501,$AB55)))</f>
        <v/>
      </c>
      <c r="G55" s="10">
        <f>IF($AB55="","",IF(INDEX(기본자료!$E$2:$E$501,$AB55)="","",INDEX(기본자료!$E$2:$E$501,$AB55)))</f>
        <v/>
      </c>
      <c r="H55" s="10">
        <f>IF($AB55="","",IF(INDEX(기본자료!$F$2:$F$501,$AB55)="","",INDEX(기본자료!$F$2:$F$501,$AB55)))</f>
        <v/>
      </c>
      <c r="I55" s="11">
        <f>IF($AB55="","",IF(INDEX(기본자료!$G$2:$G$501,$AB55)="","",IF(NOT(ISNUMBER(INDEX(기본자료!$G$2:$G$501,$AB55))),INDEX(기본자료!$G$2:$G$501,$AB55),IF(INDEX(기본자료!$G$2:$G$501,$AB55)&lt;1000000,INDEX(기본자료!$G$2:$G$501,$AB55),IF(AND(INDEX(기본자료!$G$2:$G$501,$AB55)&gt;=10000101,INT(MOD(INDEX(기본자료!$G$2:$G$501,$AB55),10000)/100)&gt;=1,INT(MOD(INDEX(기본자료!$G$2:$G$501,$AB55),10000)/100)&lt;=12,MOD(INDEX(기본자료!$G$2:$G$501,$AB55),100)&gt;=1,MOD(INDEX(기본자료!$G$2:$G$501,$AB55),100)&lt;=31),DATE(INT(INDEX(기본자료!$G$2:$G$501,$AB55)/10000),INT(MOD(INDEX(기본자료!$G$2:$G$501,$AB55),10000)/100),MOD(INDEX(기본자료!$G$2:$G$501,$AB55),100)),INDEX(기본자료!$G$2:$G$501,$AB55)&amp;"")))))</f>
        <v/>
      </c>
      <c r="J55" s="10">
        <f>IF($AB55="","",IF(INDEX(기본자료!$H$2:$H$501,$AB55)="","",INDEX(기본자료!$H$2:$H$501,$AB55)))</f>
        <v/>
      </c>
      <c r="K55" s="10">
        <f>IF($AB55="","",IF(INDEX(기본자료!$I$2:$I$501,$AB55)="","",INDEX(기본자료!$I$2:$I$501,$AB55)))</f>
        <v/>
      </c>
      <c r="L55" s="10">
        <f>IF($AB55="","",IF(INDEX(기본자료!$A$2:$A$501,$AB55)="","",INDEX(기본자료!$A$2:$A$501,$AB55)))</f>
        <v/>
      </c>
      <c r="M55" s="14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4" t="n"/>
      <c r="Q55" s="14" t="n"/>
      <c r="R55" s="14" t="n"/>
      <c r="S55" s="15" t="n"/>
      <c r="T55" s="15" t="n"/>
      <c r="U55" s="10">
        <f>IF(OR($B55="",$S55=""),"",IF(TODAY()&lt;$S55,"파견예정",IF(AND($T55&lt;&gt;"",TODAY()&gt;$T55),"파견종료","파견중")))</f>
        <v/>
      </c>
      <c r="V55" s="16">
        <f>IF(OR($S55="",$T55=""),"",$T55-$S55+1)</f>
        <v/>
      </c>
      <c r="W55" s="16">
        <f>IF(AND($U55="파견중",$T55&lt;&gt;""),$T55-TODAY(),"")</f>
        <v/>
      </c>
      <c r="X55" s="16">
        <f>IF(OR($B55="",$S55=""),"",MAX(0,MIN(IF($T55="",EOMONTH(요약!$B$3,0),$T55),EOMONTH(요약!$B$3,0))-MAX($S55,요약!$B$3)+1))</f>
        <v/>
      </c>
      <c r="Y55" s="10">
        <f>IF($B55="","",IF($AE55="","",IF(OR($S55="",$P55="",N($X55)&lt;=0),$AE55,IF($P55="다기관파견",$AE55,IF($AE55="구리병원",IF(AND($Q55&lt;&gt;"",N($X55)&gt;=요약!$E$3),$Q55,$AE55),IF(AND($P55="일반파견(단독)",$Q55&lt;&gt;""),$Q55,$AE55))))))</f>
        <v/>
      </c>
      <c r="Z55" s="17">
        <f>IF($B55="","",IF($AB55="","기본자료에 없는 사번",IF(COUNTIF($B$2:$B$201,$B55)&gt;1,"중복 사번",IF($M55="","입사장소 입력",IF(AND($P55&lt;&gt;"",$S55=""),"파견시작일 입력",IF(AND($S55&lt;&gt;"",$P55=""),"파견종류 입력",IF(AND($P55&lt;&gt;"",$P55&lt;&gt;"다기관파견",$Q55=""),"파견병원 입력",IF(IF($AC55="",0,N(INDEX(인턴근무계획!$T$3:$T$202,$AC55)))&gt;0,"인턴계획 입력오류 확인",IF(AND($AC55&lt;&gt;"",$U55&lt;&gt;"파견중",$N55&lt;&gt;$AE55),"인턴 타지역 근무: 파견 여부 확인","정상")))))))))</f>
        <v/>
      </c>
      <c r="AA55" s="5" t="n"/>
      <c r="AB55" s="10">
        <f>IF($B55="","",IFERROR(MATCH($B55,기본자료!$B$2:$B$501,0),IFERROR(MATCH($B55&amp;"",기본자료!$B$2:$B$501,0),IFERROR(MATCH(VALUE($B55),기본자료!$B$2:$B$501,0),""))))</f>
        <v/>
      </c>
      <c r="AC55" s="10">
        <f>IF($B55="","",IFERROR(MATCH($B55,인턴근무계획!$D$3:$D$202,0),IFERROR(MATCH($B55&amp;"",인턴근무계획!$D$3:$D$202,0),IFERROR(MATCH(VALUE($B55),인턴근무계획!$D$3:$D$202,0),""))))</f>
        <v/>
      </c>
      <c r="AD55" s="10">
        <f>IF(OR($AC55="",인턴현황!$G$3=""),"",INDEX(인턴근무계획!$M$3:$R$202,$AC55,인턴현황!$G$3)&amp;"")</f>
        <v/>
      </c>
      <c r="AE55" s="10">
        <f>IF($B55="","",IF($M55&lt;&gt;"",$M55,IF($H55="","",IF(RIGHT($H55,2)="병원",$H55,$H55&amp;"병원"))))</f>
        <v/>
      </c>
    </row>
    <row r="56">
      <c r="A56" s="10">
        <f>IF(B56="","",ROW()-1)</f>
        <v/>
      </c>
      <c r="B56" s="13" t="n"/>
      <c r="C56" s="10">
        <f>IF($AB56="","",IF(INDEX(기본자료!$C$2:$C$501,$AB56)="","",INDEX(기본자료!$C$2:$C$501,$AB56)))</f>
        <v/>
      </c>
      <c r="D56" s="10">
        <f>IF($AB56="","",IF(INDEX(기본자료!$J$2:$J$501,$AB56)="","",INDEX(기본자료!$J$2:$J$501,$AB56)))</f>
        <v/>
      </c>
      <c r="E56" s="11">
        <f>IF($AB56="","",IF(INDEX(기본자료!$K$2:$K$501,$AB56)="","",IF(NOT(ISNUMBER(INDEX(기본자료!$K$2:$K$501,$AB56))),INDEX(기본자료!$K$2:$K$501,$AB56),IF(INDEX(기본자료!$K$2:$K$501,$AB56)&lt;1000000,INDEX(기본자료!$K$2:$K$501,$AB56),IF(AND(INDEX(기본자료!$K$2:$K$501,$AB56)&gt;=10000101,INT(MOD(INDEX(기본자료!$K$2:$K$501,$AB56),10000)/100)&gt;=1,INT(MOD(INDEX(기본자료!$K$2:$K$501,$AB56),10000)/100)&lt;=12,MOD(INDEX(기본자료!$K$2:$K$501,$AB56),100)&gt;=1,MOD(INDEX(기본자료!$K$2:$K$501,$AB56),100)&lt;=31),DATE(INT(INDEX(기본자료!$K$2:$K$501,$AB56)/10000),INT(MOD(INDEX(기본자료!$K$2:$K$501,$AB56),10000)/100),MOD(INDEX(기본자료!$K$2:$K$501,$AB56),100)),INDEX(기본자료!$K$2:$K$501,$AB56)&amp;"")))))</f>
        <v/>
      </c>
      <c r="F56" s="10">
        <f>IF($AB56="","",IF(INDEX(기본자료!$D$2:$D$501,$AB56)="","",INDEX(기본자료!$D$2:$D$501,$AB56)))</f>
        <v/>
      </c>
      <c r="G56" s="10">
        <f>IF($AB56="","",IF(INDEX(기본자료!$E$2:$E$501,$AB56)="","",INDEX(기본자료!$E$2:$E$501,$AB56)))</f>
        <v/>
      </c>
      <c r="H56" s="10">
        <f>IF($AB56="","",IF(INDEX(기본자료!$F$2:$F$501,$AB56)="","",INDEX(기본자료!$F$2:$F$501,$AB56)))</f>
        <v/>
      </c>
      <c r="I56" s="11">
        <f>IF($AB56="","",IF(INDEX(기본자료!$G$2:$G$501,$AB56)="","",IF(NOT(ISNUMBER(INDEX(기본자료!$G$2:$G$501,$AB56))),INDEX(기본자료!$G$2:$G$501,$AB56),IF(INDEX(기본자료!$G$2:$G$501,$AB56)&lt;1000000,INDEX(기본자료!$G$2:$G$501,$AB56),IF(AND(INDEX(기본자료!$G$2:$G$501,$AB56)&gt;=10000101,INT(MOD(INDEX(기본자료!$G$2:$G$501,$AB56),10000)/100)&gt;=1,INT(MOD(INDEX(기본자료!$G$2:$G$501,$AB56),10000)/100)&lt;=12,MOD(INDEX(기본자료!$G$2:$G$501,$AB56),100)&gt;=1,MOD(INDEX(기본자료!$G$2:$G$501,$AB56),100)&lt;=31),DATE(INT(INDEX(기본자료!$G$2:$G$501,$AB56)/10000),INT(MOD(INDEX(기본자료!$G$2:$G$501,$AB56),10000)/100),MOD(INDEX(기본자료!$G$2:$G$501,$AB56),100)),INDEX(기본자료!$G$2:$G$501,$AB56)&amp;"")))))</f>
        <v/>
      </c>
      <c r="J56" s="10">
        <f>IF($AB56="","",IF(INDEX(기본자료!$H$2:$H$501,$AB56)="","",INDEX(기본자료!$H$2:$H$501,$AB56)))</f>
        <v/>
      </c>
      <c r="K56" s="10">
        <f>IF($AB56="","",IF(INDEX(기본자료!$I$2:$I$501,$AB56)="","",INDEX(기본자료!$I$2:$I$501,$AB56)))</f>
        <v/>
      </c>
      <c r="L56" s="10">
        <f>IF($AB56="","",IF(INDEX(기본자료!$A$2:$A$501,$AB56)="","",INDEX(기본자료!$A$2:$A$501,$AB56)))</f>
        <v/>
      </c>
      <c r="M56" s="14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4" t="n"/>
      <c r="Q56" s="14" t="n"/>
      <c r="R56" s="14" t="n"/>
      <c r="S56" s="15" t="n"/>
      <c r="T56" s="15" t="n"/>
      <c r="U56" s="10">
        <f>IF(OR($B56="",$S56=""),"",IF(TODAY()&lt;$S56,"파견예정",IF(AND($T56&lt;&gt;"",TODAY()&gt;$T56),"파견종료","파견중")))</f>
        <v/>
      </c>
      <c r="V56" s="16">
        <f>IF(OR($S56="",$T56=""),"",$T56-$S56+1)</f>
        <v/>
      </c>
      <c r="W56" s="16">
        <f>IF(AND($U56="파견중",$T56&lt;&gt;""),$T56-TODAY(),"")</f>
        <v/>
      </c>
      <c r="X56" s="16">
        <f>IF(OR($B56="",$S56=""),"",MAX(0,MIN(IF($T56="",EOMONTH(요약!$B$3,0),$T56),EOMONTH(요약!$B$3,0))-MAX($S56,요약!$B$3)+1))</f>
        <v/>
      </c>
      <c r="Y56" s="10">
        <f>IF($B56="","",IF($AE56="","",IF(OR($S56="",$P56="",N($X56)&lt;=0),$AE56,IF($P56="다기관파견",$AE56,IF($AE56="구리병원",IF(AND($Q56&lt;&gt;"",N($X56)&gt;=요약!$E$3),$Q56,$AE56),IF(AND($P56="일반파견(단독)",$Q56&lt;&gt;""),$Q56,$AE56))))))</f>
        <v/>
      </c>
      <c r="Z56" s="17">
        <f>IF($B56="","",IF($AB56="","기본자료에 없는 사번",IF(COUNTIF($B$2:$B$201,$B56)&gt;1,"중복 사번",IF($M56="","입사장소 입력",IF(AND($P56&lt;&gt;"",$S56=""),"파견시작일 입력",IF(AND($S56&lt;&gt;"",$P56=""),"파견종류 입력",IF(AND($P56&lt;&gt;"",$P56&lt;&gt;"다기관파견",$Q56=""),"파견병원 입력",IF(IF($AC56="",0,N(INDEX(인턴근무계획!$T$3:$T$202,$AC56)))&gt;0,"인턴계획 입력오류 확인",IF(AND($AC56&lt;&gt;"",$U56&lt;&gt;"파견중",$N56&lt;&gt;$AE56),"인턴 타지역 근무: 파견 여부 확인","정상")))))))))</f>
        <v/>
      </c>
      <c r="AA56" s="5" t="n"/>
      <c r="AB56" s="10">
        <f>IF($B56="","",IFERROR(MATCH($B56,기본자료!$B$2:$B$501,0),IFERROR(MATCH($B56&amp;"",기본자료!$B$2:$B$501,0),IFERROR(MATCH(VALUE($B56),기본자료!$B$2:$B$501,0),""))))</f>
        <v/>
      </c>
      <c r="AC56" s="10">
        <f>IF($B56="","",IFERROR(MATCH($B56,인턴근무계획!$D$3:$D$202,0),IFERROR(MATCH($B56&amp;"",인턴근무계획!$D$3:$D$202,0),IFERROR(MATCH(VALUE($B56),인턴근무계획!$D$3:$D$202,0),""))))</f>
        <v/>
      </c>
      <c r="AD56" s="10">
        <f>IF(OR($AC56="",인턴현황!$G$3=""),"",INDEX(인턴근무계획!$M$3:$R$202,$AC56,인턴현황!$G$3)&amp;"")</f>
        <v/>
      </c>
      <c r="AE56" s="10">
        <f>IF($B56="","",IF($M56&lt;&gt;"",$M56,IF($H56="","",IF(RIGHT($H56,2)="병원",$H56,$H56&amp;"병원"))))</f>
        <v/>
      </c>
    </row>
    <row r="57">
      <c r="A57" s="10">
        <f>IF(B57="","",ROW()-1)</f>
        <v/>
      </c>
      <c r="B57" s="13" t="n"/>
      <c r="C57" s="10">
        <f>IF($AB57="","",IF(INDEX(기본자료!$C$2:$C$501,$AB57)="","",INDEX(기본자료!$C$2:$C$501,$AB57)))</f>
        <v/>
      </c>
      <c r="D57" s="10">
        <f>IF($AB57="","",IF(INDEX(기본자료!$J$2:$J$501,$AB57)="","",INDEX(기본자료!$J$2:$J$501,$AB57)))</f>
        <v/>
      </c>
      <c r="E57" s="11">
        <f>IF($AB57="","",IF(INDEX(기본자료!$K$2:$K$501,$AB57)="","",IF(NOT(ISNUMBER(INDEX(기본자료!$K$2:$K$501,$AB57))),INDEX(기본자료!$K$2:$K$501,$AB57),IF(INDEX(기본자료!$K$2:$K$501,$AB57)&lt;1000000,INDEX(기본자료!$K$2:$K$501,$AB57),IF(AND(INDEX(기본자료!$K$2:$K$501,$AB57)&gt;=10000101,INT(MOD(INDEX(기본자료!$K$2:$K$501,$AB57),10000)/100)&gt;=1,INT(MOD(INDEX(기본자료!$K$2:$K$501,$AB57),10000)/100)&lt;=12,MOD(INDEX(기본자료!$K$2:$K$501,$AB57),100)&gt;=1,MOD(INDEX(기본자료!$K$2:$K$501,$AB57),100)&lt;=31),DATE(INT(INDEX(기본자료!$K$2:$K$501,$AB57)/10000),INT(MOD(INDEX(기본자료!$K$2:$K$501,$AB57),10000)/100),MOD(INDEX(기본자료!$K$2:$K$501,$AB57),100)),INDEX(기본자료!$K$2:$K$501,$AB57)&amp;"")))))</f>
        <v/>
      </c>
      <c r="F57" s="10">
        <f>IF($AB57="","",IF(INDEX(기본자료!$D$2:$D$501,$AB57)="","",INDEX(기본자료!$D$2:$D$501,$AB57)))</f>
        <v/>
      </c>
      <c r="G57" s="10">
        <f>IF($AB57="","",IF(INDEX(기본자료!$E$2:$E$501,$AB57)="","",INDEX(기본자료!$E$2:$E$501,$AB57)))</f>
        <v/>
      </c>
      <c r="H57" s="10">
        <f>IF($AB57="","",IF(INDEX(기본자료!$F$2:$F$501,$AB57)="","",INDEX(기본자료!$F$2:$F$501,$AB57)))</f>
        <v/>
      </c>
      <c r="I57" s="11">
        <f>IF($AB57="","",IF(INDEX(기본자료!$G$2:$G$501,$AB57)="","",IF(NOT(ISNUMBER(INDEX(기본자료!$G$2:$G$501,$AB57))),INDEX(기본자료!$G$2:$G$501,$AB57),IF(INDEX(기본자료!$G$2:$G$501,$AB57)&lt;1000000,INDEX(기본자료!$G$2:$G$501,$AB57),IF(AND(INDEX(기본자료!$G$2:$G$501,$AB57)&gt;=10000101,INT(MOD(INDEX(기본자료!$G$2:$G$501,$AB57),10000)/100)&gt;=1,INT(MOD(INDEX(기본자료!$G$2:$G$501,$AB57),10000)/100)&lt;=12,MOD(INDEX(기본자료!$G$2:$G$501,$AB57),100)&gt;=1,MOD(INDEX(기본자료!$G$2:$G$501,$AB57),100)&lt;=31),DATE(INT(INDEX(기본자료!$G$2:$G$501,$AB57)/10000),INT(MOD(INDEX(기본자료!$G$2:$G$501,$AB57),10000)/100),MOD(INDEX(기본자료!$G$2:$G$501,$AB57),100)),INDEX(기본자료!$G$2:$G$501,$AB57)&amp;"")))))</f>
        <v/>
      </c>
      <c r="J57" s="10">
        <f>IF($AB57="","",IF(INDEX(기본자료!$H$2:$H$501,$AB57)="","",INDEX(기본자료!$H$2:$H$501,$AB57)))</f>
        <v/>
      </c>
      <c r="K57" s="10">
        <f>IF($AB57="","",IF(INDEX(기본자료!$I$2:$I$501,$AB57)="","",INDEX(기본자료!$I$2:$I$501,$AB57)))</f>
        <v/>
      </c>
      <c r="L57" s="10">
        <f>IF($AB57="","",IF(INDEX(기본자료!$A$2:$A$501,$AB57)="","",INDEX(기본자료!$A$2:$A$501,$AB57)))</f>
        <v/>
      </c>
      <c r="M57" s="14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4" t="n"/>
      <c r="Q57" s="14" t="n"/>
      <c r="R57" s="14" t="n"/>
      <c r="S57" s="15" t="n"/>
      <c r="T57" s="15" t="n"/>
      <c r="U57" s="10">
        <f>IF(OR($B57="",$S57=""),"",IF(TODAY()&lt;$S57,"파견예정",IF(AND($T57&lt;&gt;"",TODAY()&gt;$T57),"파견종료","파견중")))</f>
        <v/>
      </c>
      <c r="V57" s="16">
        <f>IF(OR($S57="",$T57=""),"",$T57-$S57+1)</f>
        <v/>
      </c>
      <c r="W57" s="16">
        <f>IF(AND($U57="파견중",$T57&lt;&gt;""),$T57-TODAY(),"")</f>
        <v/>
      </c>
      <c r="X57" s="16">
        <f>IF(OR($B57="",$S57=""),"",MAX(0,MIN(IF($T57="",EOMONTH(요약!$B$3,0),$T57),EOMONTH(요약!$B$3,0))-MAX($S57,요약!$B$3)+1))</f>
        <v/>
      </c>
      <c r="Y57" s="10">
        <f>IF($B57="","",IF($AE57="","",IF(OR($S57="",$P57="",N($X57)&lt;=0),$AE57,IF($P57="다기관파견",$AE57,IF($AE57="구리병원",IF(AND($Q57&lt;&gt;"",N($X57)&gt;=요약!$E$3),$Q57,$AE57),IF(AND($P57="일반파견(단독)",$Q57&lt;&gt;""),$Q57,$AE57))))))</f>
        <v/>
      </c>
      <c r="Z57" s="17">
        <f>IF($B57="","",IF($AB57="","기본자료에 없는 사번",IF(COUNTIF($B$2:$B$201,$B57)&gt;1,"중복 사번",IF($M57="","입사장소 입력",IF(AND($P57&lt;&gt;"",$S57=""),"파견시작일 입력",IF(AND($S57&lt;&gt;"",$P57=""),"파견종류 입력",IF(AND($P57&lt;&gt;"",$P57&lt;&gt;"다기관파견",$Q57=""),"파견병원 입력",IF(IF($AC57="",0,N(INDEX(인턴근무계획!$T$3:$T$202,$AC57)))&gt;0,"인턴계획 입력오류 확인",IF(AND($AC57&lt;&gt;"",$U57&lt;&gt;"파견중",$N57&lt;&gt;$AE57),"인턴 타지역 근무: 파견 여부 확인","정상")))))))))</f>
        <v/>
      </c>
      <c r="AA57" s="5" t="n"/>
      <c r="AB57" s="10">
        <f>IF($B57="","",IFERROR(MATCH($B57,기본자료!$B$2:$B$501,0),IFERROR(MATCH($B57&amp;"",기본자료!$B$2:$B$501,0),IFERROR(MATCH(VALUE($B57),기본자료!$B$2:$B$501,0),""))))</f>
        <v/>
      </c>
      <c r="AC57" s="10">
        <f>IF($B57="","",IFERROR(MATCH($B57,인턴근무계획!$D$3:$D$202,0),IFERROR(MATCH($B57&amp;"",인턴근무계획!$D$3:$D$202,0),IFERROR(MATCH(VALUE($B57),인턴근무계획!$D$3:$D$202,0),""))))</f>
        <v/>
      </c>
      <c r="AD57" s="10">
        <f>IF(OR($AC57="",인턴현황!$G$3=""),"",INDEX(인턴근무계획!$M$3:$R$202,$AC57,인턴현황!$G$3)&amp;"")</f>
        <v/>
      </c>
      <c r="AE57" s="10">
        <f>IF($B57="","",IF($M57&lt;&gt;"",$M57,IF($H57="","",IF(RIGHT($H57,2)="병원",$H57,$H57&amp;"병원"))))</f>
        <v/>
      </c>
    </row>
    <row r="58">
      <c r="A58" s="10">
        <f>IF(B58="","",ROW()-1)</f>
        <v/>
      </c>
      <c r="B58" s="13" t="n"/>
      <c r="C58" s="10">
        <f>IF($AB58="","",IF(INDEX(기본자료!$C$2:$C$501,$AB58)="","",INDEX(기본자료!$C$2:$C$501,$AB58)))</f>
        <v/>
      </c>
      <c r="D58" s="10">
        <f>IF($AB58="","",IF(INDEX(기본자료!$J$2:$J$501,$AB58)="","",INDEX(기본자료!$J$2:$J$501,$AB58)))</f>
        <v/>
      </c>
      <c r="E58" s="11">
        <f>IF($AB58="","",IF(INDEX(기본자료!$K$2:$K$501,$AB58)="","",IF(NOT(ISNUMBER(INDEX(기본자료!$K$2:$K$501,$AB58))),INDEX(기본자료!$K$2:$K$501,$AB58),IF(INDEX(기본자료!$K$2:$K$501,$AB58)&lt;1000000,INDEX(기본자료!$K$2:$K$501,$AB58),IF(AND(INDEX(기본자료!$K$2:$K$501,$AB58)&gt;=10000101,INT(MOD(INDEX(기본자료!$K$2:$K$501,$AB58),10000)/100)&gt;=1,INT(MOD(INDEX(기본자료!$K$2:$K$501,$AB58),10000)/100)&lt;=12,MOD(INDEX(기본자료!$K$2:$K$501,$AB58),100)&gt;=1,MOD(INDEX(기본자료!$K$2:$K$501,$AB58),100)&lt;=31),DATE(INT(INDEX(기본자료!$K$2:$K$501,$AB58)/10000),INT(MOD(INDEX(기본자료!$K$2:$K$501,$AB58),10000)/100),MOD(INDEX(기본자료!$K$2:$K$501,$AB58),100)),INDEX(기본자료!$K$2:$K$501,$AB58)&amp;"")))))</f>
        <v/>
      </c>
      <c r="F58" s="10">
        <f>IF($AB58="","",IF(INDEX(기본자료!$D$2:$D$501,$AB58)="","",INDEX(기본자료!$D$2:$D$501,$AB58)))</f>
        <v/>
      </c>
      <c r="G58" s="10">
        <f>IF($AB58="","",IF(INDEX(기본자료!$E$2:$E$501,$AB58)="","",INDEX(기본자료!$E$2:$E$501,$AB58)))</f>
        <v/>
      </c>
      <c r="H58" s="10">
        <f>IF($AB58="","",IF(INDEX(기본자료!$F$2:$F$501,$AB58)="","",INDEX(기본자료!$F$2:$F$501,$AB58)))</f>
        <v/>
      </c>
      <c r="I58" s="11">
        <f>IF($AB58="","",IF(INDEX(기본자료!$G$2:$G$501,$AB58)="","",IF(NOT(ISNUMBER(INDEX(기본자료!$G$2:$G$501,$AB58))),INDEX(기본자료!$G$2:$G$501,$AB58),IF(INDEX(기본자료!$G$2:$G$501,$AB58)&lt;1000000,INDEX(기본자료!$G$2:$G$501,$AB58),IF(AND(INDEX(기본자료!$G$2:$G$501,$AB58)&gt;=10000101,INT(MOD(INDEX(기본자료!$G$2:$G$501,$AB58),10000)/100)&gt;=1,INT(MOD(INDEX(기본자료!$G$2:$G$501,$AB58),10000)/100)&lt;=12,MOD(INDEX(기본자료!$G$2:$G$501,$AB58),100)&gt;=1,MOD(INDEX(기본자료!$G$2:$G$501,$AB58),100)&lt;=31),DATE(INT(INDEX(기본자료!$G$2:$G$501,$AB58)/10000),INT(MOD(INDEX(기본자료!$G$2:$G$501,$AB58),10000)/100),MOD(INDEX(기본자료!$G$2:$G$501,$AB58),100)),INDEX(기본자료!$G$2:$G$501,$AB58)&amp;"")))))</f>
        <v/>
      </c>
      <c r="J58" s="10">
        <f>IF($AB58="","",IF(INDEX(기본자료!$H$2:$H$501,$AB58)="","",INDEX(기본자료!$H$2:$H$501,$AB58)))</f>
        <v/>
      </c>
      <c r="K58" s="10">
        <f>IF($AB58="","",IF(INDEX(기본자료!$I$2:$I$501,$AB58)="","",INDEX(기본자료!$I$2:$I$501,$AB58)))</f>
        <v/>
      </c>
      <c r="L58" s="10">
        <f>IF($AB58="","",IF(INDEX(기본자료!$A$2:$A$501,$AB58)="","",INDEX(기본자료!$A$2:$A$501,$AB58)))</f>
        <v/>
      </c>
      <c r="M58" s="14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4" t="n"/>
      <c r="Q58" s="14" t="n"/>
      <c r="R58" s="14" t="n"/>
      <c r="S58" s="15" t="n"/>
      <c r="T58" s="15" t="n"/>
      <c r="U58" s="10">
        <f>IF(OR($B58="",$S58=""),"",IF(TODAY()&lt;$S58,"파견예정",IF(AND($T58&lt;&gt;"",TODAY()&gt;$T58),"파견종료","파견중")))</f>
        <v/>
      </c>
      <c r="V58" s="16">
        <f>IF(OR($S58="",$T58=""),"",$T58-$S58+1)</f>
        <v/>
      </c>
      <c r="W58" s="16">
        <f>IF(AND($U58="파견중",$T58&lt;&gt;""),$T58-TODAY(),"")</f>
        <v/>
      </c>
      <c r="X58" s="16">
        <f>IF(OR($B58="",$S58=""),"",MAX(0,MIN(IF($T58="",EOMONTH(요약!$B$3,0),$T58),EOMONTH(요약!$B$3,0))-MAX($S58,요약!$B$3)+1))</f>
        <v/>
      </c>
      <c r="Y58" s="10">
        <f>IF($B58="","",IF($AE58="","",IF(OR($S58="",$P58="",N($X58)&lt;=0),$AE58,IF($P58="다기관파견",$AE58,IF($AE58="구리병원",IF(AND($Q58&lt;&gt;"",N($X58)&gt;=요약!$E$3),$Q58,$AE58),IF(AND($P58="일반파견(단독)",$Q58&lt;&gt;""),$Q58,$AE58))))))</f>
        <v/>
      </c>
      <c r="Z58" s="17">
        <f>IF($B58="","",IF($AB58="","기본자료에 없는 사번",IF(COUNTIF($B$2:$B$201,$B58)&gt;1,"중복 사번",IF($M58="","입사장소 입력",IF(AND($P58&lt;&gt;"",$S58=""),"파견시작일 입력",IF(AND($S58&lt;&gt;"",$P58=""),"파견종류 입력",IF(AND($P58&lt;&gt;"",$P58&lt;&gt;"다기관파견",$Q58=""),"파견병원 입력",IF(IF($AC58="",0,N(INDEX(인턴근무계획!$T$3:$T$202,$AC58)))&gt;0,"인턴계획 입력오류 확인",IF(AND($AC58&lt;&gt;"",$U58&lt;&gt;"파견중",$N58&lt;&gt;$AE58),"인턴 타지역 근무: 파견 여부 확인","정상")))))))))</f>
        <v/>
      </c>
      <c r="AA58" s="5" t="n"/>
      <c r="AB58" s="10">
        <f>IF($B58="","",IFERROR(MATCH($B58,기본자료!$B$2:$B$501,0),IFERROR(MATCH($B58&amp;"",기본자료!$B$2:$B$501,0),IFERROR(MATCH(VALUE($B58),기본자료!$B$2:$B$501,0),""))))</f>
        <v/>
      </c>
      <c r="AC58" s="10">
        <f>IF($B58="","",IFERROR(MATCH($B58,인턴근무계획!$D$3:$D$202,0),IFERROR(MATCH($B58&amp;"",인턴근무계획!$D$3:$D$202,0),IFERROR(MATCH(VALUE($B58),인턴근무계획!$D$3:$D$202,0),""))))</f>
        <v/>
      </c>
      <c r="AD58" s="10">
        <f>IF(OR($AC58="",인턴현황!$G$3=""),"",INDEX(인턴근무계획!$M$3:$R$202,$AC58,인턴현황!$G$3)&amp;"")</f>
        <v/>
      </c>
      <c r="AE58" s="10">
        <f>IF($B58="","",IF($M58&lt;&gt;"",$M58,IF($H58="","",IF(RIGHT($H58,2)="병원",$H58,$H58&amp;"병원"))))</f>
        <v/>
      </c>
    </row>
    <row r="59">
      <c r="A59" s="10">
        <f>IF(B59="","",ROW()-1)</f>
        <v/>
      </c>
      <c r="B59" s="13" t="n"/>
      <c r="C59" s="10">
        <f>IF($AB59="","",IF(INDEX(기본자료!$C$2:$C$501,$AB59)="","",INDEX(기본자료!$C$2:$C$501,$AB59)))</f>
        <v/>
      </c>
      <c r="D59" s="10">
        <f>IF($AB59="","",IF(INDEX(기본자료!$J$2:$J$501,$AB59)="","",INDEX(기본자료!$J$2:$J$501,$AB59)))</f>
        <v/>
      </c>
      <c r="E59" s="11">
        <f>IF($AB59="","",IF(INDEX(기본자료!$K$2:$K$501,$AB59)="","",IF(NOT(ISNUMBER(INDEX(기본자료!$K$2:$K$501,$AB59))),INDEX(기본자료!$K$2:$K$501,$AB59),IF(INDEX(기본자료!$K$2:$K$501,$AB59)&lt;1000000,INDEX(기본자료!$K$2:$K$501,$AB59),IF(AND(INDEX(기본자료!$K$2:$K$501,$AB59)&gt;=10000101,INT(MOD(INDEX(기본자료!$K$2:$K$501,$AB59),10000)/100)&gt;=1,INT(MOD(INDEX(기본자료!$K$2:$K$501,$AB59),10000)/100)&lt;=12,MOD(INDEX(기본자료!$K$2:$K$501,$AB59),100)&gt;=1,MOD(INDEX(기본자료!$K$2:$K$501,$AB59),100)&lt;=31),DATE(INT(INDEX(기본자료!$K$2:$K$501,$AB59)/10000),INT(MOD(INDEX(기본자료!$K$2:$K$501,$AB59),10000)/100),MOD(INDEX(기본자료!$K$2:$K$501,$AB59),100)),INDEX(기본자료!$K$2:$K$501,$AB59)&amp;"")))))</f>
        <v/>
      </c>
      <c r="F59" s="10">
        <f>IF($AB59="","",IF(INDEX(기본자료!$D$2:$D$501,$AB59)="","",INDEX(기본자료!$D$2:$D$501,$AB59)))</f>
        <v/>
      </c>
      <c r="G59" s="10">
        <f>IF($AB59="","",IF(INDEX(기본자료!$E$2:$E$501,$AB59)="","",INDEX(기본자료!$E$2:$E$501,$AB59)))</f>
        <v/>
      </c>
      <c r="H59" s="10">
        <f>IF($AB59="","",IF(INDEX(기본자료!$F$2:$F$501,$AB59)="","",INDEX(기본자료!$F$2:$F$501,$AB59)))</f>
        <v/>
      </c>
      <c r="I59" s="11">
        <f>IF($AB59="","",IF(INDEX(기본자료!$G$2:$G$501,$AB59)="","",IF(NOT(ISNUMBER(INDEX(기본자료!$G$2:$G$501,$AB59))),INDEX(기본자료!$G$2:$G$501,$AB59),IF(INDEX(기본자료!$G$2:$G$501,$AB59)&lt;1000000,INDEX(기본자료!$G$2:$G$501,$AB59),IF(AND(INDEX(기본자료!$G$2:$G$501,$AB59)&gt;=10000101,INT(MOD(INDEX(기본자료!$G$2:$G$501,$AB59),10000)/100)&gt;=1,INT(MOD(INDEX(기본자료!$G$2:$G$501,$AB59),10000)/100)&lt;=12,MOD(INDEX(기본자료!$G$2:$G$501,$AB59),100)&gt;=1,MOD(INDEX(기본자료!$G$2:$G$501,$AB59),100)&lt;=31),DATE(INT(INDEX(기본자료!$G$2:$G$501,$AB59)/10000),INT(MOD(INDEX(기본자료!$G$2:$G$501,$AB59),10000)/100),MOD(INDEX(기본자료!$G$2:$G$501,$AB59),100)),INDEX(기본자료!$G$2:$G$501,$AB59)&amp;"")))))</f>
        <v/>
      </c>
      <c r="J59" s="10">
        <f>IF($AB59="","",IF(INDEX(기본자료!$H$2:$H$501,$AB59)="","",INDEX(기본자료!$H$2:$H$501,$AB59)))</f>
        <v/>
      </c>
      <c r="K59" s="10">
        <f>IF($AB59="","",IF(INDEX(기본자료!$I$2:$I$501,$AB59)="","",INDEX(기본자료!$I$2:$I$501,$AB59)))</f>
        <v/>
      </c>
      <c r="L59" s="10">
        <f>IF($AB59="","",IF(INDEX(기본자료!$A$2:$A$501,$AB59)="","",INDEX(기본자료!$A$2:$A$501,$AB59)))</f>
        <v/>
      </c>
      <c r="M59" s="14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4" t="n"/>
      <c r="Q59" s="14" t="n"/>
      <c r="R59" s="14" t="n"/>
      <c r="S59" s="15" t="n"/>
      <c r="T59" s="15" t="n"/>
      <c r="U59" s="10">
        <f>IF(OR($B59="",$S59=""),"",IF(TODAY()&lt;$S59,"파견예정",IF(AND($T59&lt;&gt;"",TODAY()&gt;$T59),"파견종료","파견중")))</f>
        <v/>
      </c>
      <c r="V59" s="16">
        <f>IF(OR($S59="",$T59=""),"",$T59-$S59+1)</f>
        <v/>
      </c>
      <c r="W59" s="16">
        <f>IF(AND($U59="파견중",$T59&lt;&gt;""),$T59-TODAY(),"")</f>
        <v/>
      </c>
      <c r="X59" s="16">
        <f>IF(OR($B59="",$S59=""),"",MAX(0,MIN(IF($T59="",EOMONTH(요약!$B$3,0),$T59),EOMONTH(요약!$B$3,0))-MAX($S59,요약!$B$3)+1))</f>
        <v/>
      </c>
      <c r="Y59" s="10">
        <f>IF($B59="","",IF($AE59="","",IF(OR($S59="",$P59="",N($X59)&lt;=0),$AE59,IF($P59="다기관파견",$AE59,IF($AE59="구리병원",IF(AND($Q59&lt;&gt;"",N($X59)&gt;=요약!$E$3),$Q59,$AE59),IF(AND($P59="일반파견(단독)",$Q59&lt;&gt;""),$Q59,$AE59))))))</f>
        <v/>
      </c>
      <c r="Z59" s="17">
        <f>IF($B59="","",IF($AB59="","기본자료에 없는 사번",IF(COUNTIF($B$2:$B$201,$B59)&gt;1,"중복 사번",IF($M59="","입사장소 입력",IF(AND($P59&lt;&gt;"",$S59=""),"파견시작일 입력",IF(AND($S59&lt;&gt;"",$P59=""),"파견종류 입력",IF(AND($P59&lt;&gt;"",$P59&lt;&gt;"다기관파견",$Q59=""),"파견병원 입력",IF(IF($AC59="",0,N(INDEX(인턴근무계획!$T$3:$T$202,$AC59)))&gt;0,"인턴계획 입력오류 확인",IF(AND($AC59&lt;&gt;"",$U59&lt;&gt;"파견중",$N59&lt;&gt;$AE59),"인턴 타지역 근무: 파견 여부 확인","정상")))))))))</f>
        <v/>
      </c>
      <c r="AA59" s="5" t="n"/>
      <c r="AB59" s="10">
        <f>IF($B59="","",IFERROR(MATCH($B59,기본자료!$B$2:$B$501,0),IFERROR(MATCH($B59&amp;"",기본자료!$B$2:$B$501,0),IFERROR(MATCH(VALUE($B59),기본자료!$B$2:$B$501,0),""))))</f>
        <v/>
      </c>
      <c r="AC59" s="10">
        <f>IF($B59="","",IFERROR(MATCH($B59,인턴근무계획!$D$3:$D$202,0),IFERROR(MATCH($B59&amp;"",인턴근무계획!$D$3:$D$202,0),IFERROR(MATCH(VALUE($B59),인턴근무계획!$D$3:$D$202,0),""))))</f>
        <v/>
      </c>
      <c r="AD59" s="10">
        <f>IF(OR($AC59="",인턴현황!$G$3=""),"",INDEX(인턴근무계획!$M$3:$R$202,$AC59,인턴현황!$G$3)&amp;"")</f>
        <v/>
      </c>
      <c r="AE59" s="10">
        <f>IF($B59="","",IF($M59&lt;&gt;"",$M59,IF($H59="","",IF(RIGHT($H59,2)="병원",$H59,$H59&amp;"병원"))))</f>
        <v/>
      </c>
    </row>
    <row r="60">
      <c r="A60" s="10">
        <f>IF(B60="","",ROW()-1)</f>
        <v/>
      </c>
      <c r="B60" s="13" t="n"/>
      <c r="C60" s="10">
        <f>IF($AB60="","",IF(INDEX(기본자료!$C$2:$C$501,$AB60)="","",INDEX(기본자료!$C$2:$C$501,$AB60)))</f>
        <v/>
      </c>
      <c r="D60" s="10">
        <f>IF($AB60="","",IF(INDEX(기본자료!$J$2:$J$501,$AB60)="","",INDEX(기본자료!$J$2:$J$501,$AB60)))</f>
        <v/>
      </c>
      <c r="E60" s="11">
        <f>IF($AB60="","",IF(INDEX(기본자료!$K$2:$K$501,$AB60)="","",IF(NOT(ISNUMBER(INDEX(기본자료!$K$2:$K$501,$AB60))),INDEX(기본자료!$K$2:$K$501,$AB60),IF(INDEX(기본자료!$K$2:$K$501,$AB60)&lt;1000000,INDEX(기본자료!$K$2:$K$501,$AB60),IF(AND(INDEX(기본자료!$K$2:$K$501,$AB60)&gt;=10000101,INT(MOD(INDEX(기본자료!$K$2:$K$501,$AB60),10000)/100)&gt;=1,INT(MOD(INDEX(기본자료!$K$2:$K$501,$AB60),10000)/100)&lt;=12,MOD(INDEX(기본자료!$K$2:$K$501,$AB60),100)&gt;=1,MOD(INDEX(기본자료!$K$2:$K$501,$AB60),100)&lt;=31),DATE(INT(INDEX(기본자료!$K$2:$K$501,$AB60)/10000),INT(MOD(INDEX(기본자료!$K$2:$K$501,$AB60),10000)/100),MOD(INDEX(기본자료!$K$2:$K$501,$AB60),100)),INDEX(기본자료!$K$2:$K$501,$AB60)&amp;"")))))</f>
        <v/>
      </c>
      <c r="F60" s="10">
        <f>IF($AB60="","",IF(INDEX(기본자료!$D$2:$D$501,$AB60)="","",INDEX(기본자료!$D$2:$D$501,$AB60)))</f>
        <v/>
      </c>
      <c r="G60" s="10">
        <f>IF($AB60="","",IF(INDEX(기본자료!$E$2:$E$501,$AB60)="","",INDEX(기본자료!$E$2:$E$501,$AB60)))</f>
        <v/>
      </c>
      <c r="H60" s="10">
        <f>IF($AB60="","",IF(INDEX(기본자료!$F$2:$F$501,$AB60)="","",INDEX(기본자료!$F$2:$F$501,$AB60)))</f>
        <v/>
      </c>
      <c r="I60" s="11">
        <f>IF($AB60="","",IF(INDEX(기본자료!$G$2:$G$501,$AB60)="","",IF(NOT(ISNUMBER(INDEX(기본자료!$G$2:$G$501,$AB60))),INDEX(기본자료!$G$2:$G$501,$AB60),IF(INDEX(기본자료!$G$2:$G$501,$AB60)&lt;1000000,INDEX(기본자료!$G$2:$G$501,$AB60),IF(AND(INDEX(기본자료!$G$2:$G$501,$AB60)&gt;=10000101,INT(MOD(INDEX(기본자료!$G$2:$G$501,$AB60),10000)/100)&gt;=1,INT(MOD(INDEX(기본자료!$G$2:$G$501,$AB60),10000)/100)&lt;=12,MOD(INDEX(기본자료!$G$2:$G$501,$AB60),100)&gt;=1,MOD(INDEX(기본자료!$G$2:$G$501,$AB60),100)&lt;=31),DATE(INT(INDEX(기본자료!$G$2:$G$501,$AB60)/10000),INT(MOD(INDEX(기본자료!$G$2:$G$501,$AB60),10000)/100),MOD(INDEX(기본자료!$G$2:$G$501,$AB60),100)),INDEX(기본자료!$G$2:$G$501,$AB60)&amp;"")))))</f>
        <v/>
      </c>
      <c r="J60" s="10">
        <f>IF($AB60="","",IF(INDEX(기본자료!$H$2:$H$501,$AB60)="","",INDEX(기본자료!$H$2:$H$501,$AB60)))</f>
        <v/>
      </c>
      <c r="K60" s="10">
        <f>IF($AB60="","",IF(INDEX(기본자료!$I$2:$I$501,$AB60)="","",INDEX(기본자료!$I$2:$I$501,$AB60)))</f>
        <v/>
      </c>
      <c r="L60" s="10">
        <f>IF($AB60="","",IF(INDEX(기본자료!$A$2:$A$501,$AB60)="","",INDEX(기본자료!$A$2:$A$501,$AB60)))</f>
        <v/>
      </c>
      <c r="M60" s="14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4" t="n"/>
      <c r="Q60" s="14" t="n"/>
      <c r="R60" s="14" t="n"/>
      <c r="S60" s="15" t="n"/>
      <c r="T60" s="15" t="n"/>
      <c r="U60" s="10">
        <f>IF(OR($B60="",$S60=""),"",IF(TODAY()&lt;$S60,"파견예정",IF(AND($T60&lt;&gt;"",TODAY()&gt;$T60),"파견종료","파견중")))</f>
        <v/>
      </c>
      <c r="V60" s="16">
        <f>IF(OR($S60="",$T60=""),"",$T60-$S60+1)</f>
        <v/>
      </c>
      <c r="W60" s="16">
        <f>IF(AND($U60="파견중",$T60&lt;&gt;""),$T60-TODAY(),"")</f>
        <v/>
      </c>
      <c r="X60" s="16">
        <f>IF(OR($B60="",$S60=""),"",MAX(0,MIN(IF($T60="",EOMONTH(요약!$B$3,0),$T60),EOMONTH(요약!$B$3,0))-MAX($S60,요약!$B$3)+1))</f>
        <v/>
      </c>
      <c r="Y60" s="10">
        <f>IF($B60="","",IF($AE60="","",IF(OR($S60="",$P60="",N($X60)&lt;=0),$AE60,IF($P60="다기관파견",$AE60,IF($AE60="구리병원",IF(AND($Q60&lt;&gt;"",N($X60)&gt;=요약!$E$3),$Q60,$AE60),IF(AND($P60="일반파견(단독)",$Q60&lt;&gt;""),$Q60,$AE60))))))</f>
        <v/>
      </c>
      <c r="Z60" s="17">
        <f>IF($B60="","",IF($AB60="","기본자료에 없는 사번",IF(COUNTIF($B$2:$B$201,$B60)&gt;1,"중복 사번",IF($M60="","입사장소 입력",IF(AND($P60&lt;&gt;"",$S60=""),"파견시작일 입력",IF(AND($S60&lt;&gt;"",$P60=""),"파견종류 입력",IF(AND($P60&lt;&gt;"",$P60&lt;&gt;"다기관파견",$Q60=""),"파견병원 입력",IF(IF($AC60="",0,N(INDEX(인턴근무계획!$T$3:$T$202,$AC60)))&gt;0,"인턴계획 입력오류 확인",IF(AND($AC60&lt;&gt;"",$U60&lt;&gt;"파견중",$N60&lt;&gt;$AE60),"인턴 타지역 근무: 파견 여부 확인","정상")))))))))</f>
        <v/>
      </c>
      <c r="AA60" s="5" t="n"/>
      <c r="AB60" s="10">
        <f>IF($B60="","",IFERROR(MATCH($B60,기본자료!$B$2:$B$501,0),IFERROR(MATCH($B60&amp;"",기본자료!$B$2:$B$501,0),IFERROR(MATCH(VALUE($B60),기본자료!$B$2:$B$501,0),""))))</f>
        <v/>
      </c>
      <c r="AC60" s="10">
        <f>IF($B60="","",IFERROR(MATCH($B60,인턴근무계획!$D$3:$D$202,0),IFERROR(MATCH($B60&amp;"",인턴근무계획!$D$3:$D$202,0),IFERROR(MATCH(VALUE($B60),인턴근무계획!$D$3:$D$202,0),""))))</f>
        <v/>
      </c>
      <c r="AD60" s="10">
        <f>IF(OR($AC60="",인턴현황!$G$3=""),"",INDEX(인턴근무계획!$M$3:$R$202,$AC60,인턴현황!$G$3)&amp;"")</f>
        <v/>
      </c>
      <c r="AE60" s="10">
        <f>IF($B60="","",IF($M60&lt;&gt;"",$M60,IF($H60="","",IF(RIGHT($H60,2)="병원",$H60,$H60&amp;"병원"))))</f>
        <v/>
      </c>
    </row>
    <row r="61">
      <c r="A61" s="10">
        <f>IF(B61="","",ROW()-1)</f>
        <v/>
      </c>
      <c r="B61" s="13" t="n"/>
      <c r="C61" s="10">
        <f>IF($AB61="","",IF(INDEX(기본자료!$C$2:$C$501,$AB61)="","",INDEX(기본자료!$C$2:$C$501,$AB61)))</f>
        <v/>
      </c>
      <c r="D61" s="10">
        <f>IF($AB61="","",IF(INDEX(기본자료!$J$2:$J$501,$AB61)="","",INDEX(기본자료!$J$2:$J$501,$AB61)))</f>
        <v/>
      </c>
      <c r="E61" s="11">
        <f>IF($AB61="","",IF(INDEX(기본자료!$K$2:$K$501,$AB61)="","",IF(NOT(ISNUMBER(INDEX(기본자료!$K$2:$K$501,$AB61))),INDEX(기본자료!$K$2:$K$501,$AB61),IF(INDEX(기본자료!$K$2:$K$501,$AB61)&lt;1000000,INDEX(기본자료!$K$2:$K$501,$AB61),IF(AND(INDEX(기본자료!$K$2:$K$501,$AB61)&gt;=10000101,INT(MOD(INDEX(기본자료!$K$2:$K$501,$AB61),10000)/100)&gt;=1,INT(MOD(INDEX(기본자료!$K$2:$K$501,$AB61),10000)/100)&lt;=12,MOD(INDEX(기본자료!$K$2:$K$501,$AB61),100)&gt;=1,MOD(INDEX(기본자료!$K$2:$K$501,$AB61),100)&lt;=31),DATE(INT(INDEX(기본자료!$K$2:$K$501,$AB61)/10000),INT(MOD(INDEX(기본자료!$K$2:$K$501,$AB61),10000)/100),MOD(INDEX(기본자료!$K$2:$K$501,$AB61),100)),INDEX(기본자료!$K$2:$K$501,$AB61)&amp;"")))))</f>
        <v/>
      </c>
      <c r="F61" s="10">
        <f>IF($AB61="","",IF(INDEX(기본자료!$D$2:$D$501,$AB61)="","",INDEX(기본자료!$D$2:$D$501,$AB61)))</f>
        <v/>
      </c>
      <c r="G61" s="10">
        <f>IF($AB61="","",IF(INDEX(기본자료!$E$2:$E$501,$AB61)="","",INDEX(기본자료!$E$2:$E$501,$AB61)))</f>
        <v/>
      </c>
      <c r="H61" s="10">
        <f>IF($AB61="","",IF(INDEX(기본자료!$F$2:$F$501,$AB61)="","",INDEX(기본자료!$F$2:$F$501,$AB61)))</f>
        <v/>
      </c>
      <c r="I61" s="11">
        <f>IF($AB61="","",IF(INDEX(기본자료!$G$2:$G$501,$AB61)="","",IF(NOT(ISNUMBER(INDEX(기본자료!$G$2:$G$501,$AB61))),INDEX(기본자료!$G$2:$G$501,$AB61),IF(INDEX(기본자료!$G$2:$G$501,$AB61)&lt;1000000,INDEX(기본자료!$G$2:$G$501,$AB61),IF(AND(INDEX(기본자료!$G$2:$G$501,$AB61)&gt;=10000101,INT(MOD(INDEX(기본자료!$G$2:$G$501,$AB61),10000)/100)&gt;=1,INT(MOD(INDEX(기본자료!$G$2:$G$501,$AB61),10000)/100)&lt;=12,MOD(INDEX(기본자료!$G$2:$G$501,$AB61),100)&gt;=1,MOD(INDEX(기본자료!$G$2:$G$501,$AB61),100)&lt;=31),DATE(INT(INDEX(기본자료!$G$2:$G$501,$AB61)/10000),INT(MOD(INDEX(기본자료!$G$2:$G$501,$AB61),10000)/100),MOD(INDEX(기본자료!$G$2:$G$501,$AB61),100)),INDEX(기본자료!$G$2:$G$501,$AB61)&amp;"")))))</f>
        <v/>
      </c>
      <c r="J61" s="10">
        <f>IF($AB61="","",IF(INDEX(기본자료!$H$2:$H$501,$AB61)="","",INDEX(기본자료!$H$2:$H$501,$AB61)))</f>
        <v/>
      </c>
      <c r="K61" s="10">
        <f>IF($AB61="","",IF(INDEX(기본자료!$I$2:$I$501,$AB61)="","",INDEX(기본자료!$I$2:$I$501,$AB61)))</f>
        <v/>
      </c>
      <c r="L61" s="10">
        <f>IF($AB61="","",IF(INDEX(기본자료!$A$2:$A$501,$AB61)="","",INDEX(기본자료!$A$2:$A$501,$AB61)))</f>
        <v/>
      </c>
      <c r="M61" s="14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4" t="n"/>
      <c r="Q61" s="14" t="n"/>
      <c r="R61" s="14" t="n"/>
      <c r="S61" s="15" t="n"/>
      <c r="T61" s="15" t="n"/>
      <c r="U61" s="10">
        <f>IF(OR($B61="",$S61=""),"",IF(TODAY()&lt;$S61,"파견예정",IF(AND($T61&lt;&gt;"",TODAY()&gt;$T61),"파견종료","파견중")))</f>
        <v/>
      </c>
      <c r="V61" s="16">
        <f>IF(OR($S61="",$T61=""),"",$T61-$S61+1)</f>
        <v/>
      </c>
      <c r="W61" s="16">
        <f>IF(AND($U61="파견중",$T61&lt;&gt;""),$T61-TODAY(),"")</f>
        <v/>
      </c>
      <c r="X61" s="16">
        <f>IF(OR($B61="",$S61=""),"",MAX(0,MIN(IF($T61="",EOMONTH(요약!$B$3,0),$T61),EOMONTH(요약!$B$3,0))-MAX($S61,요약!$B$3)+1))</f>
        <v/>
      </c>
      <c r="Y61" s="10">
        <f>IF($B61="","",IF($AE61="","",IF(OR($S61="",$P61="",N($X61)&lt;=0),$AE61,IF($P61="다기관파견",$AE61,IF($AE61="구리병원",IF(AND($Q61&lt;&gt;"",N($X61)&gt;=요약!$E$3),$Q61,$AE61),IF(AND($P61="일반파견(단독)",$Q61&lt;&gt;""),$Q61,$AE61))))))</f>
        <v/>
      </c>
      <c r="Z61" s="17">
        <f>IF($B61="","",IF($AB61="","기본자료에 없는 사번",IF(COUNTIF($B$2:$B$201,$B61)&gt;1,"중복 사번",IF($M61="","입사장소 입력",IF(AND($P61&lt;&gt;"",$S61=""),"파견시작일 입력",IF(AND($S61&lt;&gt;"",$P61=""),"파견종류 입력",IF(AND($P61&lt;&gt;"",$P61&lt;&gt;"다기관파견",$Q61=""),"파견병원 입력",IF(IF($AC61="",0,N(INDEX(인턴근무계획!$T$3:$T$202,$AC61)))&gt;0,"인턴계획 입력오류 확인",IF(AND($AC61&lt;&gt;"",$U61&lt;&gt;"파견중",$N61&lt;&gt;$AE61),"인턴 타지역 근무: 파견 여부 확인","정상")))))))))</f>
        <v/>
      </c>
      <c r="AA61" s="5" t="n"/>
      <c r="AB61" s="10">
        <f>IF($B61="","",IFERROR(MATCH($B61,기본자료!$B$2:$B$501,0),IFERROR(MATCH($B61&amp;"",기본자료!$B$2:$B$501,0),IFERROR(MATCH(VALUE($B61),기본자료!$B$2:$B$501,0),""))))</f>
        <v/>
      </c>
      <c r="AC61" s="10">
        <f>IF($B61="","",IFERROR(MATCH($B61,인턴근무계획!$D$3:$D$202,0),IFERROR(MATCH($B61&amp;"",인턴근무계획!$D$3:$D$202,0),IFERROR(MATCH(VALUE($B61),인턴근무계획!$D$3:$D$202,0),""))))</f>
        <v/>
      </c>
      <c r="AD61" s="10">
        <f>IF(OR($AC61="",인턴현황!$G$3=""),"",INDEX(인턴근무계획!$M$3:$R$202,$AC61,인턴현황!$G$3)&amp;"")</f>
        <v/>
      </c>
      <c r="AE61" s="10">
        <f>IF($B61="","",IF($M61&lt;&gt;"",$M61,IF($H61="","",IF(RIGHT($H61,2)="병원",$H61,$H61&amp;"병원"))))</f>
        <v/>
      </c>
    </row>
    <row r="62">
      <c r="A62" s="10">
        <f>IF(B62="","",ROW()-1)</f>
        <v/>
      </c>
      <c r="B62" s="13" t="n"/>
      <c r="C62" s="10">
        <f>IF($AB62="","",IF(INDEX(기본자료!$C$2:$C$501,$AB62)="","",INDEX(기본자료!$C$2:$C$501,$AB62)))</f>
        <v/>
      </c>
      <c r="D62" s="10">
        <f>IF($AB62="","",IF(INDEX(기본자료!$J$2:$J$501,$AB62)="","",INDEX(기본자료!$J$2:$J$501,$AB62)))</f>
        <v/>
      </c>
      <c r="E62" s="11">
        <f>IF($AB62="","",IF(INDEX(기본자료!$K$2:$K$501,$AB62)="","",IF(NOT(ISNUMBER(INDEX(기본자료!$K$2:$K$501,$AB62))),INDEX(기본자료!$K$2:$K$501,$AB62),IF(INDEX(기본자료!$K$2:$K$501,$AB62)&lt;1000000,INDEX(기본자료!$K$2:$K$501,$AB62),IF(AND(INDEX(기본자료!$K$2:$K$501,$AB62)&gt;=10000101,INT(MOD(INDEX(기본자료!$K$2:$K$501,$AB62),10000)/100)&gt;=1,INT(MOD(INDEX(기본자료!$K$2:$K$501,$AB62),10000)/100)&lt;=12,MOD(INDEX(기본자료!$K$2:$K$501,$AB62),100)&gt;=1,MOD(INDEX(기본자료!$K$2:$K$501,$AB62),100)&lt;=31),DATE(INT(INDEX(기본자료!$K$2:$K$501,$AB62)/10000),INT(MOD(INDEX(기본자료!$K$2:$K$501,$AB62),10000)/100),MOD(INDEX(기본자료!$K$2:$K$501,$AB62),100)),INDEX(기본자료!$K$2:$K$501,$AB62)&amp;"")))))</f>
        <v/>
      </c>
      <c r="F62" s="10">
        <f>IF($AB62="","",IF(INDEX(기본자료!$D$2:$D$501,$AB62)="","",INDEX(기본자료!$D$2:$D$501,$AB62)))</f>
        <v/>
      </c>
      <c r="G62" s="10">
        <f>IF($AB62="","",IF(INDEX(기본자료!$E$2:$E$501,$AB62)="","",INDEX(기본자료!$E$2:$E$501,$AB62)))</f>
        <v/>
      </c>
      <c r="H62" s="10">
        <f>IF($AB62="","",IF(INDEX(기본자료!$F$2:$F$501,$AB62)="","",INDEX(기본자료!$F$2:$F$501,$AB62)))</f>
        <v/>
      </c>
      <c r="I62" s="11">
        <f>IF($AB62="","",IF(INDEX(기본자료!$G$2:$G$501,$AB62)="","",IF(NOT(ISNUMBER(INDEX(기본자료!$G$2:$G$501,$AB62))),INDEX(기본자료!$G$2:$G$501,$AB62),IF(INDEX(기본자료!$G$2:$G$501,$AB62)&lt;1000000,INDEX(기본자료!$G$2:$G$501,$AB62),IF(AND(INDEX(기본자료!$G$2:$G$501,$AB62)&gt;=10000101,INT(MOD(INDEX(기본자료!$G$2:$G$501,$AB62),10000)/100)&gt;=1,INT(MOD(INDEX(기본자료!$G$2:$G$501,$AB62),10000)/100)&lt;=12,MOD(INDEX(기본자료!$G$2:$G$501,$AB62),100)&gt;=1,MOD(INDEX(기본자료!$G$2:$G$501,$AB62),100)&lt;=31),DATE(INT(INDEX(기본자료!$G$2:$G$501,$AB62)/10000),INT(MOD(INDEX(기본자료!$G$2:$G$501,$AB62),10000)/100),MOD(INDEX(기본자료!$G$2:$G$501,$AB62),100)),INDEX(기본자료!$G$2:$G$501,$AB62)&amp;"")))))</f>
        <v/>
      </c>
      <c r="J62" s="10">
        <f>IF($AB62="","",IF(INDEX(기본자료!$H$2:$H$501,$AB62)="","",INDEX(기본자료!$H$2:$H$501,$AB62)))</f>
        <v/>
      </c>
      <c r="K62" s="10">
        <f>IF($AB62="","",IF(INDEX(기본자료!$I$2:$I$501,$AB62)="","",INDEX(기본자료!$I$2:$I$501,$AB62)))</f>
        <v/>
      </c>
      <c r="L62" s="10">
        <f>IF($AB62="","",IF(INDEX(기본자료!$A$2:$A$501,$AB62)="","",INDEX(기본자료!$A$2:$A$501,$AB62)))</f>
        <v/>
      </c>
      <c r="M62" s="14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4" t="n"/>
      <c r="Q62" s="14" t="n"/>
      <c r="R62" s="14" t="n"/>
      <c r="S62" s="15" t="n"/>
      <c r="T62" s="15" t="n"/>
      <c r="U62" s="10">
        <f>IF(OR($B62="",$S62=""),"",IF(TODAY()&lt;$S62,"파견예정",IF(AND($T62&lt;&gt;"",TODAY()&gt;$T62),"파견종료","파견중")))</f>
        <v/>
      </c>
      <c r="V62" s="16">
        <f>IF(OR($S62="",$T62=""),"",$T62-$S62+1)</f>
        <v/>
      </c>
      <c r="W62" s="16">
        <f>IF(AND($U62="파견중",$T62&lt;&gt;""),$T62-TODAY(),"")</f>
        <v/>
      </c>
      <c r="X62" s="16">
        <f>IF(OR($B62="",$S62=""),"",MAX(0,MIN(IF($T62="",EOMONTH(요약!$B$3,0),$T62),EOMONTH(요약!$B$3,0))-MAX($S62,요약!$B$3)+1))</f>
        <v/>
      </c>
      <c r="Y62" s="10">
        <f>IF($B62="","",IF($AE62="","",IF(OR($S62="",$P62="",N($X62)&lt;=0),$AE62,IF($P62="다기관파견",$AE62,IF($AE62="구리병원",IF(AND($Q62&lt;&gt;"",N($X62)&gt;=요약!$E$3),$Q62,$AE62),IF(AND($P62="일반파견(단독)",$Q62&lt;&gt;""),$Q62,$AE62))))))</f>
        <v/>
      </c>
      <c r="Z62" s="17">
        <f>IF($B62="","",IF($AB62="","기본자료에 없는 사번",IF(COUNTIF($B$2:$B$201,$B62)&gt;1,"중복 사번",IF($M62="","입사장소 입력",IF(AND($P62&lt;&gt;"",$S62=""),"파견시작일 입력",IF(AND($S62&lt;&gt;"",$P62=""),"파견종류 입력",IF(AND($P62&lt;&gt;"",$P62&lt;&gt;"다기관파견",$Q62=""),"파견병원 입력",IF(IF($AC62="",0,N(INDEX(인턴근무계획!$T$3:$T$202,$AC62)))&gt;0,"인턴계획 입력오류 확인",IF(AND($AC62&lt;&gt;"",$U62&lt;&gt;"파견중",$N62&lt;&gt;$AE62),"인턴 타지역 근무: 파견 여부 확인","정상")))))))))</f>
        <v/>
      </c>
      <c r="AA62" s="5" t="n"/>
      <c r="AB62" s="10">
        <f>IF($B62="","",IFERROR(MATCH($B62,기본자료!$B$2:$B$501,0),IFERROR(MATCH($B62&amp;"",기본자료!$B$2:$B$501,0),IFERROR(MATCH(VALUE($B62),기본자료!$B$2:$B$501,0),""))))</f>
        <v/>
      </c>
      <c r="AC62" s="10">
        <f>IF($B62="","",IFERROR(MATCH($B62,인턴근무계획!$D$3:$D$202,0),IFERROR(MATCH($B62&amp;"",인턴근무계획!$D$3:$D$202,0),IFERROR(MATCH(VALUE($B62),인턴근무계획!$D$3:$D$202,0),""))))</f>
        <v/>
      </c>
      <c r="AD62" s="10">
        <f>IF(OR($AC62="",인턴현황!$G$3=""),"",INDEX(인턴근무계획!$M$3:$R$202,$AC62,인턴현황!$G$3)&amp;"")</f>
        <v/>
      </c>
      <c r="AE62" s="10">
        <f>IF($B62="","",IF($M62&lt;&gt;"",$M62,IF($H62="","",IF(RIGHT($H62,2)="병원",$H62,$H62&amp;"병원"))))</f>
        <v/>
      </c>
    </row>
    <row r="63">
      <c r="A63" s="10">
        <f>IF(B63="","",ROW()-1)</f>
        <v/>
      </c>
      <c r="B63" s="13" t="n"/>
      <c r="C63" s="10">
        <f>IF($AB63="","",IF(INDEX(기본자료!$C$2:$C$501,$AB63)="","",INDEX(기본자료!$C$2:$C$501,$AB63)))</f>
        <v/>
      </c>
      <c r="D63" s="10">
        <f>IF($AB63="","",IF(INDEX(기본자료!$J$2:$J$501,$AB63)="","",INDEX(기본자료!$J$2:$J$501,$AB63)))</f>
        <v/>
      </c>
      <c r="E63" s="11">
        <f>IF($AB63="","",IF(INDEX(기본자료!$K$2:$K$501,$AB63)="","",IF(NOT(ISNUMBER(INDEX(기본자료!$K$2:$K$501,$AB63))),INDEX(기본자료!$K$2:$K$501,$AB63),IF(INDEX(기본자료!$K$2:$K$501,$AB63)&lt;1000000,INDEX(기본자료!$K$2:$K$501,$AB63),IF(AND(INDEX(기본자료!$K$2:$K$501,$AB63)&gt;=10000101,INT(MOD(INDEX(기본자료!$K$2:$K$501,$AB63),10000)/100)&gt;=1,INT(MOD(INDEX(기본자료!$K$2:$K$501,$AB63),10000)/100)&lt;=12,MOD(INDEX(기본자료!$K$2:$K$501,$AB63),100)&gt;=1,MOD(INDEX(기본자료!$K$2:$K$501,$AB63),100)&lt;=31),DATE(INT(INDEX(기본자료!$K$2:$K$501,$AB63)/10000),INT(MOD(INDEX(기본자료!$K$2:$K$501,$AB63),10000)/100),MOD(INDEX(기본자료!$K$2:$K$501,$AB63),100)),INDEX(기본자료!$K$2:$K$501,$AB63)&amp;"")))))</f>
        <v/>
      </c>
      <c r="F63" s="10">
        <f>IF($AB63="","",IF(INDEX(기본자료!$D$2:$D$501,$AB63)="","",INDEX(기본자료!$D$2:$D$501,$AB63)))</f>
        <v/>
      </c>
      <c r="G63" s="10">
        <f>IF($AB63="","",IF(INDEX(기본자료!$E$2:$E$501,$AB63)="","",INDEX(기본자료!$E$2:$E$501,$AB63)))</f>
        <v/>
      </c>
      <c r="H63" s="10">
        <f>IF($AB63="","",IF(INDEX(기본자료!$F$2:$F$501,$AB63)="","",INDEX(기본자료!$F$2:$F$501,$AB63)))</f>
        <v/>
      </c>
      <c r="I63" s="11">
        <f>IF($AB63="","",IF(INDEX(기본자료!$G$2:$G$501,$AB63)="","",IF(NOT(ISNUMBER(INDEX(기본자료!$G$2:$G$501,$AB63))),INDEX(기본자료!$G$2:$G$501,$AB63),IF(INDEX(기본자료!$G$2:$G$501,$AB63)&lt;1000000,INDEX(기본자료!$G$2:$G$501,$AB63),IF(AND(INDEX(기본자료!$G$2:$G$501,$AB63)&gt;=10000101,INT(MOD(INDEX(기본자료!$G$2:$G$501,$AB63),10000)/100)&gt;=1,INT(MOD(INDEX(기본자료!$G$2:$G$501,$AB63),10000)/100)&lt;=12,MOD(INDEX(기본자료!$G$2:$G$501,$AB63),100)&gt;=1,MOD(INDEX(기본자료!$G$2:$G$501,$AB63),100)&lt;=31),DATE(INT(INDEX(기본자료!$G$2:$G$501,$AB63)/10000),INT(MOD(INDEX(기본자료!$G$2:$G$501,$AB63),10000)/100),MOD(INDEX(기본자료!$G$2:$G$501,$AB63),100)),INDEX(기본자료!$G$2:$G$501,$AB63)&amp;"")))))</f>
        <v/>
      </c>
      <c r="J63" s="10">
        <f>IF($AB63="","",IF(INDEX(기본자료!$H$2:$H$501,$AB63)="","",INDEX(기본자료!$H$2:$H$501,$AB63)))</f>
        <v/>
      </c>
      <c r="K63" s="10">
        <f>IF($AB63="","",IF(INDEX(기본자료!$I$2:$I$501,$AB63)="","",INDEX(기본자료!$I$2:$I$501,$AB63)))</f>
        <v/>
      </c>
      <c r="L63" s="10">
        <f>IF($AB63="","",IF(INDEX(기본자료!$A$2:$A$501,$AB63)="","",INDEX(기본자료!$A$2:$A$501,$AB63)))</f>
        <v/>
      </c>
      <c r="M63" s="14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4" t="n"/>
      <c r="Q63" s="14" t="n"/>
      <c r="R63" s="14" t="n"/>
      <c r="S63" s="15" t="n"/>
      <c r="T63" s="15" t="n"/>
      <c r="U63" s="10">
        <f>IF(OR($B63="",$S63=""),"",IF(TODAY()&lt;$S63,"파견예정",IF(AND($T63&lt;&gt;"",TODAY()&gt;$T63),"파견종료","파견중")))</f>
        <v/>
      </c>
      <c r="V63" s="16">
        <f>IF(OR($S63="",$T63=""),"",$T63-$S63+1)</f>
        <v/>
      </c>
      <c r="W63" s="16">
        <f>IF(AND($U63="파견중",$T63&lt;&gt;""),$T63-TODAY(),"")</f>
        <v/>
      </c>
      <c r="X63" s="16">
        <f>IF(OR($B63="",$S63=""),"",MAX(0,MIN(IF($T63="",EOMONTH(요약!$B$3,0),$T63),EOMONTH(요약!$B$3,0))-MAX($S63,요약!$B$3)+1))</f>
        <v/>
      </c>
      <c r="Y63" s="10">
        <f>IF($B63="","",IF($AE63="","",IF(OR($S63="",$P63="",N($X63)&lt;=0),$AE63,IF($P63="다기관파견",$AE63,IF($AE63="구리병원",IF(AND($Q63&lt;&gt;"",N($X63)&gt;=요약!$E$3),$Q63,$AE63),IF(AND($P63="일반파견(단독)",$Q63&lt;&gt;""),$Q63,$AE63))))))</f>
        <v/>
      </c>
      <c r="Z63" s="17">
        <f>IF($B63="","",IF($AB63="","기본자료에 없는 사번",IF(COUNTIF($B$2:$B$201,$B63)&gt;1,"중복 사번",IF($M63="","입사장소 입력",IF(AND($P63&lt;&gt;"",$S63=""),"파견시작일 입력",IF(AND($S63&lt;&gt;"",$P63=""),"파견종류 입력",IF(AND($P63&lt;&gt;"",$P63&lt;&gt;"다기관파견",$Q63=""),"파견병원 입력",IF(IF($AC63="",0,N(INDEX(인턴근무계획!$T$3:$T$202,$AC63)))&gt;0,"인턴계획 입력오류 확인",IF(AND($AC63&lt;&gt;"",$U63&lt;&gt;"파견중",$N63&lt;&gt;$AE63),"인턴 타지역 근무: 파견 여부 확인","정상")))))))))</f>
        <v/>
      </c>
      <c r="AA63" s="5" t="n"/>
      <c r="AB63" s="10">
        <f>IF($B63="","",IFERROR(MATCH($B63,기본자료!$B$2:$B$501,0),IFERROR(MATCH($B63&amp;"",기본자료!$B$2:$B$501,0),IFERROR(MATCH(VALUE($B63),기본자료!$B$2:$B$501,0),""))))</f>
        <v/>
      </c>
      <c r="AC63" s="10">
        <f>IF($B63="","",IFERROR(MATCH($B63,인턴근무계획!$D$3:$D$202,0),IFERROR(MATCH($B63&amp;"",인턴근무계획!$D$3:$D$202,0),IFERROR(MATCH(VALUE($B63),인턴근무계획!$D$3:$D$202,0),""))))</f>
        <v/>
      </c>
      <c r="AD63" s="10">
        <f>IF(OR($AC63="",인턴현황!$G$3=""),"",INDEX(인턴근무계획!$M$3:$R$202,$AC63,인턴현황!$G$3)&amp;"")</f>
        <v/>
      </c>
      <c r="AE63" s="10">
        <f>IF($B63="","",IF($M63&lt;&gt;"",$M63,IF($H63="","",IF(RIGHT($H63,2)="병원",$H63,$H63&amp;"병원"))))</f>
        <v/>
      </c>
    </row>
    <row r="64">
      <c r="A64" s="10">
        <f>IF(B64="","",ROW()-1)</f>
        <v/>
      </c>
      <c r="B64" s="13" t="n"/>
      <c r="C64" s="10">
        <f>IF($AB64="","",IF(INDEX(기본자료!$C$2:$C$501,$AB64)="","",INDEX(기본자료!$C$2:$C$501,$AB64)))</f>
        <v/>
      </c>
      <c r="D64" s="10">
        <f>IF($AB64="","",IF(INDEX(기본자료!$J$2:$J$501,$AB64)="","",INDEX(기본자료!$J$2:$J$501,$AB64)))</f>
        <v/>
      </c>
      <c r="E64" s="11">
        <f>IF($AB64="","",IF(INDEX(기본자료!$K$2:$K$501,$AB64)="","",IF(NOT(ISNUMBER(INDEX(기본자료!$K$2:$K$501,$AB64))),INDEX(기본자료!$K$2:$K$501,$AB64),IF(INDEX(기본자료!$K$2:$K$501,$AB64)&lt;1000000,INDEX(기본자료!$K$2:$K$501,$AB64),IF(AND(INDEX(기본자료!$K$2:$K$501,$AB64)&gt;=10000101,INT(MOD(INDEX(기본자료!$K$2:$K$501,$AB64),10000)/100)&gt;=1,INT(MOD(INDEX(기본자료!$K$2:$K$501,$AB64),10000)/100)&lt;=12,MOD(INDEX(기본자료!$K$2:$K$501,$AB64),100)&gt;=1,MOD(INDEX(기본자료!$K$2:$K$501,$AB64),100)&lt;=31),DATE(INT(INDEX(기본자료!$K$2:$K$501,$AB64)/10000),INT(MOD(INDEX(기본자료!$K$2:$K$501,$AB64),10000)/100),MOD(INDEX(기본자료!$K$2:$K$501,$AB64),100)),INDEX(기본자료!$K$2:$K$501,$AB64)&amp;"")))))</f>
        <v/>
      </c>
      <c r="F64" s="10">
        <f>IF($AB64="","",IF(INDEX(기본자료!$D$2:$D$501,$AB64)="","",INDEX(기본자료!$D$2:$D$501,$AB64)))</f>
        <v/>
      </c>
      <c r="G64" s="10">
        <f>IF($AB64="","",IF(INDEX(기본자료!$E$2:$E$501,$AB64)="","",INDEX(기본자료!$E$2:$E$501,$AB64)))</f>
        <v/>
      </c>
      <c r="H64" s="10">
        <f>IF($AB64="","",IF(INDEX(기본자료!$F$2:$F$501,$AB64)="","",INDEX(기본자료!$F$2:$F$501,$AB64)))</f>
        <v/>
      </c>
      <c r="I64" s="11">
        <f>IF($AB64="","",IF(INDEX(기본자료!$G$2:$G$501,$AB64)="","",IF(NOT(ISNUMBER(INDEX(기본자료!$G$2:$G$501,$AB64))),INDEX(기본자료!$G$2:$G$501,$AB64),IF(INDEX(기본자료!$G$2:$G$501,$AB64)&lt;1000000,INDEX(기본자료!$G$2:$G$501,$AB64),IF(AND(INDEX(기본자료!$G$2:$G$501,$AB64)&gt;=10000101,INT(MOD(INDEX(기본자료!$G$2:$G$501,$AB64),10000)/100)&gt;=1,INT(MOD(INDEX(기본자료!$G$2:$G$501,$AB64),10000)/100)&lt;=12,MOD(INDEX(기본자료!$G$2:$G$501,$AB64),100)&gt;=1,MOD(INDEX(기본자료!$G$2:$G$501,$AB64),100)&lt;=31),DATE(INT(INDEX(기본자료!$G$2:$G$501,$AB64)/10000),INT(MOD(INDEX(기본자료!$G$2:$G$501,$AB64),10000)/100),MOD(INDEX(기본자료!$G$2:$G$501,$AB64),100)),INDEX(기본자료!$G$2:$G$501,$AB64)&amp;"")))))</f>
        <v/>
      </c>
      <c r="J64" s="10">
        <f>IF($AB64="","",IF(INDEX(기본자료!$H$2:$H$501,$AB64)="","",INDEX(기본자료!$H$2:$H$501,$AB64)))</f>
        <v/>
      </c>
      <c r="K64" s="10">
        <f>IF($AB64="","",IF(INDEX(기본자료!$I$2:$I$501,$AB64)="","",INDEX(기본자료!$I$2:$I$501,$AB64)))</f>
        <v/>
      </c>
      <c r="L64" s="10">
        <f>IF($AB64="","",IF(INDEX(기본자료!$A$2:$A$501,$AB64)="","",INDEX(기본자료!$A$2:$A$501,$AB64)))</f>
        <v/>
      </c>
      <c r="M64" s="14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4" t="n"/>
      <c r="Q64" s="14" t="n"/>
      <c r="R64" s="14" t="n"/>
      <c r="S64" s="15" t="n"/>
      <c r="T64" s="15" t="n"/>
      <c r="U64" s="10">
        <f>IF(OR($B64="",$S64=""),"",IF(TODAY()&lt;$S64,"파견예정",IF(AND($T64&lt;&gt;"",TODAY()&gt;$T64),"파견종료","파견중")))</f>
        <v/>
      </c>
      <c r="V64" s="16">
        <f>IF(OR($S64="",$T64=""),"",$T64-$S64+1)</f>
        <v/>
      </c>
      <c r="W64" s="16">
        <f>IF(AND($U64="파견중",$T64&lt;&gt;""),$T64-TODAY(),"")</f>
        <v/>
      </c>
      <c r="X64" s="16">
        <f>IF(OR($B64="",$S64=""),"",MAX(0,MIN(IF($T64="",EOMONTH(요약!$B$3,0),$T64),EOMONTH(요약!$B$3,0))-MAX($S64,요약!$B$3)+1))</f>
        <v/>
      </c>
      <c r="Y64" s="10">
        <f>IF($B64="","",IF($AE64="","",IF(OR($S64="",$P64="",N($X64)&lt;=0),$AE64,IF($P64="다기관파견",$AE64,IF($AE64="구리병원",IF(AND($Q64&lt;&gt;"",N($X64)&gt;=요약!$E$3),$Q64,$AE64),IF(AND($P64="일반파견(단독)",$Q64&lt;&gt;""),$Q64,$AE64))))))</f>
        <v/>
      </c>
      <c r="Z64" s="17">
        <f>IF($B64="","",IF($AB64="","기본자료에 없는 사번",IF(COUNTIF($B$2:$B$201,$B64)&gt;1,"중복 사번",IF($M64="","입사장소 입력",IF(AND($P64&lt;&gt;"",$S64=""),"파견시작일 입력",IF(AND($S64&lt;&gt;"",$P64=""),"파견종류 입력",IF(AND($P64&lt;&gt;"",$P64&lt;&gt;"다기관파견",$Q64=""),"파견병원 입력",IF(IF($AC64="",0,N(INDEX(인턴근무계획!$T$3:$T$202,$AC64)))&gt;0,"인턴계획 입력오류 확인",IF(AND($AC64&lt;&gt;"",$U64&lt;&gt;"파견중",$N64&lt;&gt;$AE64),"인턴 타지역 근무: 파견 여부 확인","정상")))))))))</f>
        <v/>
      </c>
      <c r="AA64" s="5" t="n"/>
      <c r="AB64" s="10">
        <f>IF($B64="","",IFERROR(MATCH($B64,기본자료!$B$2:$B$501,0),IFERROR(MATCH($B64&amp;"",기본자료!$B$2:$B$501,0),IFERROR(MATCH(VALUE($B64),기본자료!$B$2:$B$501,0),""))))</f>
        <v/>
      </c>
      <c r="AC64" s="10">
        <f>IF($B64="","",IFERROR(MATCH($B64,인턴근무계획!$D$3:$D$202,0),IFERROR(MATCH($B64&amp;"",인턴근무계획!$D$3:$D$202,0),IFERROR(MATCH(VALUE($B64),인턴근무계획!$D$3:$D$202,0),""))))</f>
        <v/>
      </c>
      <c r="AD64" s="10">
        <f>IF(OR($AC64="",인턴현황!$G$3=""),"",INDEX(인턴근무계획!$M$3:$R$202,$AC64,인턴현황!$G$3)&amp;"")</f>
        <v/>
      </c>
      <c r="AE64" s="10">
        <f>IF($B64="","",IF($M64&lt;&gt;"",$M64,IF($H64="","",IF(RIGHT($H64,2)="병원",$H64,$H64&amp;"병원"))))</f>
        <v/>
      </c>
    </row>
    <row r="65">
      <c r="A65" s="10">
        <f>IF(B65="","",ROW()-1)</f>
        <v/>
      </c>
      <c r="B65" s="13" t="n"/>
      <c r="C65" s="10">
        <f>IF($AB65="","",IF(INDEX(기본자료!$C$2:$C$501,$AB65)="","",INDEX(기본자료!$C$2:$C$501,$AB65)))</f>
        <v/>
      </c>
      <c r="D65" s="10">
        <f>IF($AB65="","",IF(INDEX(기본자료!$J$2:$J$501,$AB65)="","",INDEX(기본자료!$J$2:$J$501,$AB65)))</f>
        <v/>
      </c>
      <c r="E65" s="11">
        <f>IF($AB65="","",IF(INDEX(기본자료!$K$2:$K$501,$AB65)="","",IF(NOT(ISNUMBER(INDEX(기본자료!$K$2:$K$501,$AB65))),INDEX(기본자료!$K$2:$K$501,$AB65),IF(INDEX(기본자료!$K$2:$K$501,$AB65)&lt;1000000,INDEX(기본자료!$K$2:$K$501,$AB65),IF(AND(INDEX(기본자료!$K$2:$K$501,$AB65)&gt;=10000101,INT(MOD(INDEX(기본자료!$K$2:$K$501,$AB65),10000)/100)&gt;=1,INT(MOD(INDEX(기본자료!$K$2:$K$501,$AB65),10000)/100)&lt;=12,MOD(INDEX(기본자료!$K$2:$K$501,$AB65),100)&gt;=1,MOD(INDEX(기본자료!$K$2:$K$501,$AB65),100)&lt;=31),DATE(INT(INDEX(기본자료!$K$2:$K$501,$AB65)/10000),INT(MOD(INDEX(기본자료!$K$2:$K$501,$AB65),10000)/100),MOD(INDEX(기본자료!$K$2:$K$501,$AB65),100)),INDEX(기본자료!$K$2:$K$501,$AB65)&amp;"")))))</f>
        <v/>
      </c>
      <c r="F65" s="10">
        <f>IF($AB65="","",IF(INDEX(기본자료!$D$2:$D$501,$AB65)="","",INDEX(기본자료!$D$2:$D$501,$AB65)))</f>
        <v/>
      </c>
      <c r="G65" s="10">
        <f>IF($AB65="","",IF(INDEX(기본자료!$E$2:$E$501,$AB65)="","",INDEX(기본자료!$E$2:$E$501,$AB65)))</f>
        <v/>
      </c>
      <c r="H65" s="10">
        <f>IF($AB65="","",IF(INDEX(기본자료!$F$2:$F$501,$AB65)="","",INDEX(기본자료!$F$2:$F$501,$AB65)))</f>
        <v/>
      </c>
      <c r="I65" s="11">
        <f>IF($AB65="","",IF(INDEX(기본자료!$G$2:$G$501,$AB65)="","",IF(NOT(ISNUMBER(INDEX(기본자료!$G$2:$G$501,$AB65))),INDEX(기본자료!$G$2:$G$501,$AB65),IF(INDEX(기본자료!$G$2:$G$501,$AB65)&lt;1000000,INDEX(기본자료!$G$2:$G$501,$AB65),IF(AND(INDEX(기본자료!$G$2:$G$501,$AB65)&gt;=10000101,INT(MOD(INDEX(기본자료!$G$2:$G$501,$AB65),10000)/100)&gt;=1,INT(MOD(INDEX(기본자료!$G$2:$G$501,$AB65),10000)/100)&lt;=12,MOD(INDEX(기본자료!$G$2:$G$501,$AB65),100)&gt;=1,MOD(INDEX(기본자료!$G$2:$G$501,$AB65),100)&lt;=31),DATE(INT(INDEX(기본자료!$G$2:$G$501,$AB65)/10000),INT(MOD(INDEX(기본자료!$G$2:$G$501,$AB65),10000)/100),MOD(INDEX(기본자료!$G$2:$G$501,$AB65),100)),INDEX(기본자료!$G$2:$G$501,$AB65)&amp;"")))))</f>
        <v/>
      </c>
      <c r="J65" s="10">
        <f>IF($AB65="","",IF(INDEX(기본자료!$H$2:$H$501,$AB65)="","",INDEX(기본자료!$H$2:$H$501,$AB65)))</f>
        <v/>
      </c>
      <c r="K65" s="10">
        <f>IF($AB65="","",IF(INDEX(기본자료!$I$2:$I$501,$AB65)="","",INDEX(기본자료!$I$2:$I$501,$AB65)))</f>
        <v/>
      </c>
      <c r="L65" s="10">
        <f>IF($AB65="","",IF(INDEX(기본자료!$A$2:$A$501,$AB65)="","",INDEX(기본자료!$A$2:$A$501,$AB65)))</f>
        <v/>
      </c>
      <c r="M65" s="14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4" t="n"/>
      <c r="Q65" s="14" t="n"/>
      <c r="R65" s="14" t="n"/>
      <c r="S65" s="15" t="n"/>
      <c r="T65" s="15" t="n"/>
      <c r="U65" s="10">
        <f>IF(OR($B65="",$S65=""),"",IF(TODAY()&lt;$S65,"파견예정",IF(AND($T65&lt;&gt;"",TODAY()&gt;$T65),"파견종료","파견중")))</f>
        <v/>
      </c>
      <c r="V65" s="16">
        <f>IF(OR($S65="",$T65=""),"",$T65-$S65+1)</f>
        <v/>
      </c>
      <c r="W65" s="16">
        <f>IF(AND($U65="파견중",$T65&lt;&gt;""),$T65-TODAY(),"")</f>
        <v/>
      </c>
      <c r="X65" s="16">
        <f>IF(OR($B65="",$S65=""),"",MAX(0,MIN(IF($T65="",EOMONTH(요약!$B$3,0),$T65),EOMONTH(요약!$B$3,0))-MAX($S65,요약!$B$3)+1))</f>
        <v/>
      </c>
      <c r="Y65" s="10">
        <f>IF($B65="","",IF($AE65="","",IF(OR($S65="",$P65="",N($X65)&lt;=0),$AE65,IF($P65="다기관파견",$AE65,IF($AE65="구리병원",IF(AND($Q65&lt;&gt;"",N($X65)&gt;=요약!$E$3),$Q65,$AE65),IF(AND($P65="일반파견(단독)",$Q65&lt;&gt;""),$Q65,$AE65))))))</f>
        <v/>
      </c>
      <c r="Z65" s="17">
        <f>IF($B65="","",IF($AB65="","기본자료에 없는 사번",IF(COUNTIF($B$2:$B$201,$B65)&gt;1,"중복 사번",IF($M65="","입사장소 입력",IF(AND($P65&lt;&gt;"",$S65=""),"파견시작일 입력",IF(AND($S65&lt;&gt;"",$P65=""),"파견종류 입력",IF(AND($P65&lt;&gt;"",$P65&lt;&gt;"다기관파견",$Q65=""),"파견병원 입력",IF(IF($AC65="",0,N(INDEX(인턴근무계획!$T$3:$T$202,$AC65)))&gt;0,"인턴계획 입력오류 확인",IF(AND($AC65&lt;&gt;"",$U65&lt;&gt;"파견중",$N65&lt;&gt;$AE65),"인턴 타지역 근무: 파견 여부 확인","정상")))))))))</f>
        <v/>
      </c>
      <c r="AA65" s="5" t="n"/>
      <c r="AB65" s="10">
        <f>IF($B65="","",IFERROR(MATCH($B65,기본자료!$B$2:$B$501,0),IFERROR(MATCH($B65&amp;"",기본자료!$B$2:$B$501,0),IFERROR(MATCH(VALUE($B65),기본자료!$B$2:$B$501,0),""))))</f>
        <v/>
      </c>
      <c r="AC65" s="10">
        <f>IF($B65="","",IFERROR(MATCH($B65,인턴근무계획!$D$3:$D$202,0),IFERROR(MATCH($B65&amp;"",인턴근무계획!$D$3:$D$202,0),IFERROR(MATCH(VALUE($B65),인턴근무계획!$D$3:$D$202,0),""))))</f>
        <v/>
      </c>
      <c r="AD65" s="10">
        <f>IF(OR($AC65="",인턴현황!$G$3=""),"",INDEX(인턴근무계획!$M$3:$R$202,$AC65,인턴현황!$G$3)&amp;"")</f>
        <v/>
      </c>
      <c r="AE65" s="10">
        <f>IF($B65="","",IF($M65&lt;&gt;"",$M65,IF($H65="","",IF(RIGHT($H65,2)="병원",$H65,$H65&amp;"병원"))))</f>
        <v/>
      </c>
    </row>
    <row r="66">
      <c r="A66" s="10">
        <f>IF(B66="","",ROW()-1)</f>
        <v/>
      </c>
      <c r="B66" s="13" t="n"/>
      <c r="C66" s="10">
        <f>IF($AB66="","",IF(INDEX(기본자료!$C$2:$C$501,$AB66)="","",INDEX(기본자료!$C$2:$C$501,$AB66)))</f>
        <v/>
      </c>
      <c r="D66" s="10">
        <f>IF($AB66="","",IF(INDEX(기본자료!$J$2:$J$501,$AB66)="","",INDEX(기본자료!$J$2:$J$501,$AB66)))</f>
        <v/>
      </c>
      <c r="E66" s="11">
        <f>IF($AB66="","",IF(INDEX(기본자료!$K$2:$K$501,$AB66)="","",IF(NOT(ISNUMBER(INDEX(기본자료!$K$2:$K$501,$AB66))),INDEX(기본자료!$K$2:$K$501,$AB66),IF(INDEX(기본자료!$K$2:$K$501,$AB66)&lt;1000000,INDEX(기본자료!$K$2:$K$501,$AB66),IF(AND(INDEX(기본자료!$K$2:$K$501,$AB66)&gt;=10000101,INT(MOD(INDEX(기본자료!$K$2:$K$501,$AB66),10000)/100)&gt;=1,INT(MOD(INDEX(기본자료!$K$2:$K$501,$AB66),10000)/100)&lt;=12,MOD(INDEX(기본자료!$K$2:$K$501,$AB66),100)&gt;=1,MOD(INDEX(기본자료!$K$2:$K$501,$AB66),100)&lt;=31),DATE(INT(INDEX(기본자료!$K$2:$K$501,$AB66)/10000),INT(MOD(INDEX(기본자료!$K$2:$K$501,$AB66),10000)/100),MOD(INDEX(기본자료!$K$2:$K$501,$AB66),100)),INDEX(기본자료!$K$2:$K$501,$AB66)&amp;"")))))</f>
        <v/>
      </c>
      <c r="F66" s="10">
        <f>IF($AB66="","",IF(INDEX(기본자료!$D$2:$D$501,$AB66)="","",INDEX(기본자료!$D$2:$D$501,$AB66)))</f>
        <v/>
      </c>
      <c r="G66" s="10">
        <f>IF($AB66="","",IF(INDEX(기본자료!$E$2:$E$501,$AB66)="","",INDEX(기본자료!$E$2:$E$501,$AB66)))</f>
        <v/>
      </c>
      <c r="H66" s="10">
        <f>IF($AB66="","",IF(INDEX(기본자료!$F$2:$F$501,$AB66)="","",INDEX(기본자료!$F$2:$F$501,$AB66)))</f>
        <v/>
      </c>
      <c r="I66" s="11">
        <f>IF($AB66="","",IF(INDEX(기본자료!$G$2:$G$501,$AB66)="","",IF(NOT(ISNUMBER(INDEX(기본자료!$G$2:$G$501,$AB66))),INDEX(기본자료!$G$2:$G$501,$AB66),IF(INDEX(기본자료!$G$2:$G$501,$AB66)&lt;1000000,INDEX(기본자료!$G$2:$G$501,$AB66),IF(AND(INDEX(기본자료!$G$2:$G$501,$AB66)&gt;=10000101,INT(MOD(INDEX(기본자료!$G$2:$G$501,$AB66),10000)/100)&gt;=1,INT(MOD(INDEX(기본자료!$G$2:$G$501,$AB66),10000)/100)&lt;=12,MOD(INDEX(기본자료!$G$2:$G$501,$AB66),100)&gt;=1,MOD(INDEX(기본자료!$G$2:$G$501,$AB66),100)&lt;=31),DATE(INT(INDEX(기본자료!$G$2:$G$501,$AB66)/10000),INT(MOD(INDEX(기본자료!$G$2:$G$501,$AB66),10000)/100),MOD(INDEX(기본자료!$G$2:$G$501,$AB66),100)),INDEX(기본자료!$G$2:$G$501,$AB66)&amp;"")))))</f>
        <v/>
      </c>
      <c r="J66" s="10">
        <f>IF($AB66="","",IF(INDEX(기본자료!$H$2:$H$501,$AB66)="","",INDEX(기본자료!$H$2:$H$501,$AB66)))</f>
        <v/>
      </c>
      <c r="K66" s="10">
        <f>IF($AB66="","",IF(INDEX(기본자료!$I$2:$I$501,$AB66)="","",INDEX(기본자료!$I$2:$I$501,$AB66)))</f>
        <v/>
      </c>
      <c r="L66" s="10">
        <f>IF($AB66="","",IF(INDEX(기본자료!$A$2:$A$501,$AB66)="","",INDEX(기본자료!$A$2:$A$501,$AB66)))</f>
        <v/>
      </c>
      <c r="M66" s="14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4" t="n"/>
      <c r="Q66" s="14" t="n"/>
      <c r="R66" s="14" t="n"/>
      <c r="S66" s="15" t="n"/>
      <c r="T66" s="15" t="n"/>
      <c r="U66" s="10">
        <f>IF(OR($B66="",$S66=""),"",IF(TODAY()&lt;$S66,"파견예정",IF(AND($T66&lt;&gt;"",TODAY()&gt;$T66),"파견종료","파견중")))</f>
        <v/>
      </c>
      <c r="V66" s="16">
        <f>IF(OR($S66="",$T66=""),"",$T66-$S66+1)</f>
        <v/>
      </c>
      <c r="W66" s="16">
        <f>IF(AND($U66="파견중",$T66&lt;&gt;""),$T66-TODAY(),"")</f>
        <v/>
      </c>
      <c r="X66" s="16">
        <f>IF(OR($B66="",$S66=""),"",MAX(0,MIN(IF($T66="",EOMONTH(요약!$B$3,0),$T66),EOMONTH(요약!$B$3,0))-MAX($S66,요약!$B$3)+1))</f>
        <v/>
      </c>
      <c r="Y66" s="10">
        <f>IF($B66="","",IF($AE66="","",IF(OR($S66="",$P66="",N($X66)&lt;=0),$AE66,IF($P66="다기관파견",$AE66,IF($AE66="구리병원",IF(AND($Q66&lt;&gt;"",N($X66)&gt;=요약!$E$3),$Q66,$AE66),IF(AND($P66="일반파견(단독)",$Q66&lt;&gt;""),$Q66,$AE66))))))</f>
        <v/>
      </c>
      <c r="Z66" s="17">
        <f>IF($B66="","",IF($AB66="","기본자료에 없는 사번",IF(COUNTIF($B$2:$B$201,$B66)&gt;1,"중복 사번",IF($M66="","입사장소 입력",IF(AND($P66&lt;&gt;"",$S66=""),"파견시작일 입력",IF(AND($S66&lt;&gt;"",$P66=""),"파견종류 입력",IF(AND($P66&lt;&gt;"",$P66&lt;&gt;"다기관파견",$Q66=""),"파견병원 입력",IF(IF($AC66="",0,N(INDEX(인턴근무계획!$T$3:$T$202,$AC66)))&gt;0,"인턴계획 입력오류 확인",IF(AND($AC66&lt;&gt;"",$U66&lt;&gt;"파견중",$N66&lt;&gt;$AE66),"인턴 타지역 근무: 파견 여부 확인","정상")))))))))</f>
        <v/>
      </c>
      <c r="AA66" s="5" t="n"/>
      <c r="AB66" s="10">
        <f>IF($B66="","",IFERROR(MATCH($B66,기본자료!$B$2:$B$501,0),IFERROR(MATCH($B66&amp;"",기본자료!$B$2:$B$501,0),IFERROR(MATCH(VALUE($B66),기본자료!$B$2:$B$501,0),""))))</f>
        <v/>
      </c>
      <c r="AC66" s="10">
        <f>IF($B66="","",IFERROR(MATCH($B66,인턴근무계획!$D$3:$D$202,0),IFERROR(MATCH($B66&amp;"",인턴근무계획!$D$3:$D$202,0),IFERROR(MATCH(VALUE($B66),인턴근무계획!$D$3:$D$202,0),""))))</f>
        <v/>
      </c>
      <c r="AD66" s="10">
        <f>IF(OR($AC66="",인턴현황!$G$3=""),"",INDEX(인턴근무계획!$M$3:$R$202,$AC66,인턴현황!$G$3)&amp;"")</f>
        <v/>
      </c>
      <c r="AE66" s="10">
        <f>IF($B66="","",IF($M66&lt;&gt;"",$M66,IF($H66="","",IF(RIGHT($H66,2)="병원",$H66,$H66&amp;"병원"))))</f>
        <v/>
      </c>
    </row>
    <row r="67">
      <c r="A67" s="10">
        <f>IF(B67="","",ROW()-1)</f>
        <v/>
      </c>
      <c r="B67" s="13" t="n"/>
      <c r="C67" s="10">
        <f>IF($AB67="","",IF(INDEX(기본자료!$C$2:$C$501,$AB67)="","",INDEX(기본자료!$C$2:$C$501,$AB67)))</f>
        <v/>
      </c>
      <c r="D67" s="10">
        <f>IF($AB67="","",IF(INDEX(기본자료!$J$2:$J$501,$AB67)="","",INDEX(기본자료!$J$2:$J$501,$AB67)))</f>
        <v/>
      </c>
      <c r="E67" s="11">
        <f>IF($AB67="","",IF(INDEX(기본자료!$K$2:$K$501,$AB67)="","",IF(NOT(ISNUMBER(INDEX(기본자료!$K$2:$K$501,$AB67))),INDEX(기본자료!$K$2:$K$501,$AB67),IF(INDEX(기본자료!$K$2:$K$501,$AB67)&lt;1000000,INDEX(기본자료!$K$2:$K$501,$AB67),IF(AND(INDEX(기본자료!$K$2:$K$501,$AB67)&gt;=10000101,INT(MOD(INDEX(기본자료!$K$2:$K$501,$AB67),10000)/100)&gt;=1,INT(MOD(INDEX(기본자료!$K$2:$K$501,$AB67),10000)/100)&lt;=12,MOD(INDEX(기본자료!$K$2:$K$501,$AB67),100)&gt;=1,MOD(INDEX(기본자료!$K$2:$K$501,$AB67),100)&lt;=31),DATE(INT(INDEX(기본자료!$K$2:$K$501,$AB67)/10000),INT(MOD(INDEX(기본자료!$K$2:$K$501,$AB67),10000)/100),MOD(INDEX(기본자료!$K$2:$K$501,$AB67),100)),INDEX(기본자료!$K$2:$K$501,$AB67)&amp;"")))))</f>
        <v/>
      </c>
      <c r="F67" s="10">
        <f>IF($AB67="","",IF(INDEX(기본자료!$D$2:$D$501,$AB67)="","",INDEX(기본자료!$D$2:$D$501,$AB67)))</f>
        <v/>
      </c>
      <c r="G67" s="10">
        <f>IF($AB67="","",IF(INDEX(기본자료!$E$2:$E$501,$AB67)="","",INDEX(기본자료!$E$2:$E$501,$AB67)))</f>
        <v/>
      </c>
      <c r="H67" s="10">
        <f>IF($AB67="","",IF(INDEX(기본자료!$F$2:$F$501,$AB67)="","",INDEX(기본자료!$F$2:$F$501,$AB67)))</f>
        <v/>
      </c>
      <c r="I67" s="11">
        <f>IF($AB67="","",IF(INDEX(기본자료!$G$2:$G$501,$AB67)="","",IF(NOT(ISNUMBER(INDEX(기본자료!$G$2:$G$501,$AB67))),INDEX(기본자료!$G$2:$G$501,$AB67),IF(INDEX(기본자료!$G$2:$G$501,$AB67)&lt;1000000,INDEX(기본자료!$G$2:$G$501,$AB67),IF(AND(INDEX(기본자료!$G$2:$G$501,$AB67)&gt;=10000101,INT(MOD(INDEX(기본자료!$G$2:$G$501,$AB67),10000)/100)&gt;=1,INT(MOD(INDEX(기본자료!$G$2:$G$501,$AB67),10000)/100)&lt;=12,MOD(INDEX(기본자료!$G$2:$G$501,$AB67),100)&gt;=1,MOD(INDEX(기본자료!$G$2:$G$501,$AB67),100)&lt;=31),DATE(INT(INDEX(기본자료!$G$2:$G$501,$AB67)/10000),INT(MOD(INDEX(기본자료!$G$2:$G$501,$AB67),10000)/100),MOD(INDEX(기본자료!$G$2:$G$501,$AB67),100)),INDEX(기본자료!$G$2:$G$501,$AB67)&amp;"")))))</f>
        <v/>
      </c>
      <c r="J67" s="10">
        <f>IF($AB67="","",IF(INDEX(기본자료!$H$2:$H$501,$AB67)="","",INDEX(기본자료!$H$2:$H$501,$AB67)))</f>
        <v/>
      </c>
      <c r="K67" s="10">
        <f>IF($AB67="","",IF(INDEX(기본자료!$I$2:$I$501,$AB67)="","",INDEX(기본자료!$I$2:$I$501,$AB67)))</f>
        <v/>
      </c>
      <c r="L67" s="10">
        <f>IF($AB67="","",IF(INDEX(기본자료!$A$2:$A$501,$AB67)="","",INDEX(기본자료!$A$2:$A$501,$AB67)))</f>
        <v/>
      </c>
      <c r="M67" s="14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4" t="n"/>
      <c r="Q67" s="14" t="n"/>
      <c r="R67" s="14" t="n"/>
      <c r="S67" s="15" t="n"/>
      <c r="T67" s="15" t="n"/>
      <c r="U67" s="10">
        <f>IF(OR($B67="",$S67=""),"",IF(TODAY()&lt;$S67,"파견예정",IF(AND($T67&lt;&gt;"",TODAY()&gt;$T67),"파견종료","파견중")))</f>
        <v/>
      </c>
      <c r="V67" s="16">
        <f>IF(OR($S67="",$T67=""),"",$T67-$S67+1)</f>
        <v/>
      </c>
      <c r="W67" s="16">
        <f>IF(AND($U67="파견중",$T67&lt;&gt;""),$T67-TODAY(),"")</f>
        <v/>
      </c>
      <c r="X67" s="16">
        <f>IF(OR($B67="",$S67=""),"",MAX(0,MIN(IF($T67="",EOMONTH(요약!$B$3,0),$T67),EOMONTH(요약!$B$3,0))-MAX($S67,요약!$B$3)+1))</f>
        <v/>
      </c>
      <c r="Y67" s="10">
        <f>IF($B67="","",IF($AE67="","",IF(OR($S67="",$P67="",N($X67)&lt;=0),$AE67,IF($P67="다기관파견",$AE67,IF($AE67="구리병원",IF(AND($Q67&lt;&gt;"",N($X67)&gt;=요약!$E$3),$Q67,$AE67),IF(AND($P67="일반파견(단독)",$Q67&lt;&gt;""),$Q67,$AE67))))))</f>
        <v/>
      </c>
      <c r="Z67" s="17">
        <f>IF($B67="","",IF($AB67="","기본자료에 없는 사번",IF(COUNTIF($B$2:$B$201,$B67)&gt;1,"중복 사번",IF($M67="","입사장소 입력",IF(AND($P67&lt;&gt;"",$S67=""),"파견시작일 입력",IF(AND($S67&lt;&gt;"",$P67=""),"파견종류 입력",IF(AND($P67&lt;&gt;"",$P67&lt;&gt;"다기관파견",$Q67=""),"파견병원 입력",IF(IF($AC67="",0,N(INDEX(인턴근무계획!$T$3:$T$202,$AC67)))&gt;0,"인턴계획 입력오류 확인",IF(AND($AC67&lt;&gt;"",$U67&lt;&gt;"파견중",$N67&lt;&gt;$AE67),"인턴 타지역 근무: 파견 여부 확인","정상")))))))))</f>
        <v/>
      </c>
      <c r="AA67" s="5" t="n"/>
      <c r="AB67" s="10">
        <f>IF($B67="","",IFERROR(MATCH($B67,기본자료!$B$2:$B$501,0),IFERROR(MATCH($B67&amp;"",기본자료!$B$2:$B$501,0),IFERROR(MATCH(VALUE($B67),기본자료!$B$2:$B$501,0),""))))</f>
        <v/>
      </c>
      <c r="AC67" s="10">
        <f>IF($B67="","",IFERROR(MATCH($B67,인턴근무계획!$D$3:$D$202,0),IFERROR(MATCH($B67&amp;"",인턴근무계획!$D$3:$D$202,0),IFERROR(MATCH(VALUE($B67),인턴근무계획!$D$3:$D$202,0),""))))</f>
        <v/>
      </c>
      <c r="AD67" s="10">
        <f>IF(OR($AC67="",인턴현황!$G$3=""),"",INDEX(인턴근무계획!$M$3:$R$202,$AC67,인턴현황!$G$3)&amp;"")</f>
        <v/>
      </c>
      <c r="AE67" s="10">
        <f>IF($B67="","",IF($M67&lt;&gt;"",$M67,IF($H67="","",IF(RIGHT($H67,2)="병원",$H67,$H67&amp;"병원"))))</f>
        <v/>
      </c>
    </row>
    <row r="68">
      <c r="A68" s="10">
        <f>IF(B68="","",ROW()-1)</f>
        <v/>
      </c>
      <c r="B68" s="13" t="n"/>
      <c r="C68" s="10">
        <f>IF($AB68="","",IF(INDEX(기본자료!$C$2:$C$501,$AB68)="","",INDEX(기본자료!$C$2:$C$501,$AB68)))</f>
        <v/>
      </c>
      <c r="D68" s="10">
        <f>IF($AB68="","",IF(INDEX(기본자료!$J$2:$J$501,$AB68)="","",INDEX(기본자료!$J$2:$J$501,$AB68)))</f>
        <v/>
      </c>
      <c r="E68" s="11">
        <f>IF($AB68="","",IF(INDEX(기본자료!$K$2:$K$501,$AB68)="","",IF(NOT(ISNUMBER(INDEX(기본자료!$K$2:$K$501,$AB68))),INDEX(기본자료!$K$2:$K$501,$AB68),IF(INDEX(기본자료!$K$2:$K$501,$AB68)&lt;1000000,INDEX(기본자료!$K$2:$K$501,$AB68),IF(AND(INDEX(기본자료!$K$2:$K$501,$AB68)&gt;=10000101,INT(MOD(INDEX(기본자료!$K$2:$K$501,$AB68),10000)/100)&gt;=1,INT(MOD(INDEX(기본자료!$K$2:$K$501,$AB68),10000)/100)&lt;=12,MOD(INDEX(기본자료!$K$2:$K$501,$AB68),100)&gt;=1,MOD(INDEX(기본자료!$K$2:$K$501,$AB68),100)&lt;=31),DATE(INT(INDEX(기본자료!$K$2:$K$501,$AB68)/10000),INT(MOD(INDEX(기본자료!$K$2:$K$501,$AB68),10000)/100),MOD(INDEX(기본자료!$K$2:$K$501,$AB68),100)),INDEX(기본자료!$K$2:$K$501,$AB68)&amp;"")))))</f>
        <v/>
      </c>
      <c r="F68" s="10">
        <f>IF($AB68="","",IF(INDEX(기본자료!$D$2:$D$501,$AB68)="","",INDEX(기본자료!$D$2:$D$501,$AB68)))</f>
        <v/>
      </c>
      <c r="G68" s="10">
        <f>IF($AB68="","",IF(INDEX(기본자료!$E$2:$E$501,$AB68)="","",INDEX(기본자료!$E$2:$E$501,$AB68)))</f>
        <v/>
      </c>
      <c r="H68" s="10">
        <f>IF($AB68="","",IF(INDEX(기본자료!$F$2:$F$501,$AB68)="","",INDEX(기본자료!$F$2:$F$501,$AB68)))</f>
        <v/>
      </c>
      <c r="I68" s="11">
        <f>IF($AB68="","",IF(INDEX(기본자료!$G$2:$G$501,$AB68)="","",IF(NOT(ISNUMBER(INDEX(기본자료!$G$2:$G$501,$AB68))),INDEX(기본자료!$G$2:$G$501,$AB68),IF(INDEX(기본자료!$G$2:$G$501,$AB68)&lt;1000000,INDEX(기본자료!$G$2:$G$501,$AB68),IF(AND(INDEX(기본자료!$G$2:$G$501,$AB68)&gt;=10000101,INT(MOD(INDEX(기본자료!$G$2:$G$501,$AB68),10000)/100)&gt;=1,INT(MOD(INDEX(기본자료!$G$2:$G$501,$AB68),10000)/100)&lt;=12,MOD(INDEX(기본자료!$G$2:$G$501,$AB68),100)&gt;=1,MOD(INDEX(기본자료!$G$2:$G$501,$AB68),100)&lt;=31),DATE(INT(INDEX(기본자료!$G$2:$G$501,$AB68)/10000),INT(MOD(INDEX(기본자료!$G$2:$G$501,$AB68),10000)/100),MOD(INDEX(기본자료!$G$2:$G$501,$AB68),100)),INDEX(기본자료!$G$2:$G$501,$AB68)&amp;"")))))</f>
        <v/>
      </c>
      <c r="J68" s="10">
        <f>IF($AB68="","",IF(INDEX(기본자료!$H$2:$H$501,$AB68)="","",INDEX(기본자료!$H$2:$H$501,$AB68)))</f>
        <v/>
      </c>
      <c r="K68" s="10">
        <f>IF($AB68="","",IF(INDEX(기본자료!$I$2:$I$501,$AB68)="","",INDEX(기본자료!$I$2:$I$501,$AB68)))</f>
        <v/>
      </c>
      <c r="L68" s="10">
        <f>IF($AB68="","",IF(INDEX(기본자료!$A$2:$A$501,$AB68)="","",INDEX(기본자료!$A$2:$A$501,$AB68)))</f>
        <v/>
      </c>
      <c r="M68" s="14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4" t="n"/>
      <c r="Q68" s="14" t="n"/>
      <c r="R68" s="14" t="n"/>
      <c r="S68" s="15" t="n"/>
      <c r="T68" s="15" t="n"/>
      <c r="U68" s="10">
        <f>IF(OR($B68="",$S68=""),"",IF(TODAY()&lt;$S68,"파견예정",IF(AND($T68&lt;&gt;"",TODAY()&gt;$T68),"파견종료","파견중")))</f>
        <v/>
      </c>
      <c r="V68" s="16">
        <f>IF(OR($S68="",$T68=""),"",$T68-$S68+1)</f>
        <v/>
      </c>
      <c r="W68" s="16">
        <f>IF(AND($U68="파견중",$T68&lt;&gt;""),$T68-TODAY(),"")</f>
        <v/>
      </c>
      <c r="X68" s="16">
        <f>IF(OR($B68="",$S68=""),"",MAX(0,MIN(IF($T68="",EOMONTH(요약!$B$3,0),$T68),EOMONTH(요약!$B$3,0))-MAX($S68,요약!$B$3)+1))</f>
        <v/>
      </c>
      <c r="Y68" s="10">
        <f>IF($B68="","",IF($AE68="","",IF(OR($S68="",$P68="",N($X68)&lt;=0),$AE68,IF($P68="다기관파견",$AE68,IF($AE68="구리병원",IF(AND($Q68&lt;&gt;"",N($X68)&gt;=요약!$E$3),$Q68,$AE68),IF(AND($P68="일반파견(단독)",$Q68&lt;&gt;""),$Q68,$AE68))))))</f>
        <v/>
      </c>
      <c r="Z68" s="17">
        <f>IF($B68="","",IF($AB68="","기본자료에 없는 사번",IF(COUNTIF($B$2:$B$201,$B68)&gt;1,"중복 사번",IF($M68="","입사장소 입력",IF(AND($P68&lt;&gt;"",$S68=""),"파견시작일 입력",IF(AND($S68&lt;&gt;"",$P68=""),"파견종류 입력",IF(AND($P68&lt;&gt;"",$P68&lt;&gt;"다기관파견",$Q68=""),"파견병원 입력",IF(IF($AC68="",0,N(INDEX(인턴근무계획!$T$3:$T$202,$AC68)))&gt;0,"인턴계획 입력오류 확인",IF(AND($AC68&lt;&gt;"",$U68&lt;&gt;"파견중",$N68&lt;&gt;$AE68),"인턴 타지역 근무: 파견 여부 확인","정상")))))))))</f>
        <v/>
      </c>
      <c r="AA68" s="5" t="n"/>
      <c r="AB68" s="10">
        <f>IF($B68="","",IFERROR(MATCH($B68,기본자료!$B$2:$B$501,0),IFERROR(MATCH($B68&amp;"",기본자료!$B$2:$B$501,0),IFERROR(MATCH(VALUE($B68),기본자료!$B$2:$B$501,0),""))))</f>
        <v/>
      </c>
      <c r="AC68" s="10">
        <f>IF($B68="","",IFERROR(MATCH($B68,인턴근무계획!$D$3:$D$202,0),IFERROR(MATCH($B68&amp;"",인턴근무계획!$D$3:$D$202,0),IFERROR(MATCH(VALUE($B68),인턴근무계획!$D$3:$D$202,0),""))))</f>
        <v/>
      </c>
      <c r="AD68" s="10">
        <f>IF(OR($AC68="",인턴현황!$G$3=""),"",INDEX(인턴근무계획!$M$3:$R$202,$AC68,인턴현황!$G$3)&amp;"")</f>
        <v/>
      </c>
      <c r="AE68" s="10">
        <f>IF($B68="","",IF($M68&lt;&gt;"",$M68,IF($H68="","",IF(RIGHT($H68,2)="병원",$H68,$H68&amp;"병원"))))</f>
        <v/>
      </c>
    </row>
    <row r="69">
      <c r="A69" s="10">
        <f>IF(B69="","",ROW()-1)</f>
        <v/>
      </c>
      <c r="B69" s="13" t="n"/>
      <c r="C69" s="10">
        <f>IF($AB69="","",IF(INDEX(기본자료!$C$2:$C$501,$AB69)="","",INDEX(기본자료!$C$2:$C$501,$AB69)))</f>
        <v/>
      </c>
      <c r="D69" s="10">
        <f>IF($AB69="","",IF(INDEX(기본자료!$J$2:$J$501,$AB69)="","",INDEX(기본자료!$J$2:$J$501,$AB69)))</f>
        <v/>
      </c>
      <c r="E69" s="11">
        <f>IF($AB69="","",IF(INDEX(기본자료!$K$2:$K$501,$AB69)="","",IF(NOT(ISNUMBER(INDEX(기본자료!$K$2:$K$501,$AB69))),INDEX(기본자료!$K$2:$K$501,$AB69),IF(INDEX(기본자료!$K$2:$K$501,$AB69)&lt;1000000,INDEX(기본자료!$K$2:$K$501,$AB69),IF(AND(INDEX(기본자료!$K$2:$K$501,$AB69)&gt;=10000101,INT(MOD(INDEX(기본자료!$K$2:$K$501,$AB69),10000)/100)&gt;=1,INT(MOD(INDEX(기본자료!$K$2:$K$501,$AB69),10000)/100)&lt;=12,MOD(INDEX(기본자료!$K$2:$K$501,$AB69),100)&gt;=1,MOD(INDEX(기본자료!$K$2:$K$501,$AB69),100)&lt;=31),DATE(INT(INDEX(기본자료!$K$2:$K$501,$AB69)/10000),INT(MOD(INDEX(기본자료!$K$2:$K$501,$AB69),10000)/100),MOD(INDEX(기본자료!$K$2:$K$501,$AB69),100)),INDEX(기본자료!$K$2:$K$501,$AB69)&amp;"")))))</f>
        <v/>
      </c>
      <c r="F69" s="10">
        <f>IF($AB69="","",IF(INDEX(기본자료!$D$2:$D$501,$AB69)="","",INDEX(기본자료!$D$2:$D$501,$AB69)))</f>
        <v/>
      </c>
      <c r="G69" s="10">
        <f>IF($AB69="","",IF(INDEX(기본자료!$E$2:$E$501,$AB69)="","",INDEX(기본자료!$E$2:$E$501,$AB69)))</f>
        <v/>
      </c>
      <c r="H69" s="10">
        <f>IF($AB69="","",IF(INDEX(기본자료!$F$2:$F$501,$AB69)="","",INDEX(기본자료!$F$2:$F$501,$AB69)))</f>
        <v/>
      </c>
      <c r="I69" s="11">
        <f>IF($AB69="","",IF(INDEX(기본자료!$G$2:$G$501,$AB69)="","",IF(NOT(ISNUMBER(INDEX(기본자료!$G$2:$G$501,$AB69))),INDEX(기본자료!$G$2:$G$501,$AB69),IF(INDEX(기본자료!$G$2:$G$501,$AB69)&lt;1000000,INDEX(기본자료!$G$2:$G$501,$AB69),IF(AND(INDEX(기본자료!$G$2:$G$501,$AB69)&gt;=10000101,INT(MOD(INDEX(기본자료!$G$2:$G$501,$AB69),10000)/100)&gt;=1,INT(MOD(INDEX(기본자료!$G$2:$G$501,$AB69),10000)/100)&lt;=12,MOD(INDEX(기본자료!$G$2:$G$501,$AB69),100)&gt;=1,MOD(INDEX(기본자료!$G$2:$G$501,$AB69),100)&lt;=31),DATE(INT(INDEX(기본자료!$G$2:$G$501,$AB69)/10000),INT(MOD(INDEX(기본자료!$G$2:$G$501,$AB69),10000)/100),MOD(INDEX(기본자료!$G$2:$G$501,$AB69),100)),INDEX(기본자료!$G$2:$G$501,$AB69)&amp;"")))))</f>
        <v/>
      </c>
      <c r="J69" s="10">
        <f>IF($AB69="","",IF(INDEX(기본자료!$H$2:$H$501,$AB69)="","",INDEX(기본자료!$H$2:$H$501,$AB69)))</f>
        <v/>
      </c>
      <c r="K69" s="10">
        <f>IF($AB69="","",IF(INDEX(기본자료!$I$2:$I$501,$AB69)="","",INDEX(기본자료!$I$2:$I$501,$AB69)))</f>
        <v/>
      </c>
      <c r="L69" s="10">
        <f>IF($AB69="","",IF(INDEX(기본자료!$A$2:$A$501,$AB69)="","",INDEX(기본자료!$A$2:$A$501,$AB69)))</f>
        <v/>
      </c>
      <c r="M69" s="14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4" t="n"/>
      <c r="Q69" s="14" t="n"/>
      <c r="R69" s="14" t="n"/>
      <c r="S69" s="15" t="n"/>
      <c r="T69" s="15" t="n"/>
      <c r="U69" s="10">
        <f>IF(OR($B69="",$S69=""),"",IF(TODAY()&lt;$S69,"파견예정",IF(AND($T69&lt;&gt;"",TODAY()&gt;$T69),"파견종료","파견중")))</f>
        <v/>
      </c>
      <c r="V69" s="16">
        <f>IF(OR($S69="",$T69=""),"",$T69-$S69+1)</f>
        <v/>
      </c>
      <c r="W69" s="16">
        <f>IF(AND($U69="파견중",$T69&lt;&gt;""),$T69-TODAY(),"")</f>
        <v/>
      </c>
      <c r="X69" s="16">
        <f>IF(OR($B69="",$S69=""),"",MAX(0,MIN(IF($T69="",EOMONTH(요약!$B$3,0),$T69),EOMONTH(요약!$B$3,0))-MAX($S69,요약!$B$3)+1))</f>
        <v/>
      </c>
      <c r="Y69" s="10">
        <f>IF($B69="","",IF($AE69="","",IF(OR($S69="",$P69="",N($X69)&lt;=0),$AE69,IF($P69="다기관파견",$AE69,IF($AE69="구리병원",IF(AND($Q69&lt;&gt;"",N($X69)&gt;=요약!$E$3),$Q69,$AE69),IF(AND($P69="일반파견(단독)",$Q69&lt;&gt;""),$Q69,$AE69))))))</f>
        <v/>
      </c>
      <c r="Z69" s="17">
        <f>IF($B69="","",IF($AB69="","기본자료에 없는 사번",IF(COUNTIF($B$2:$B$201,$B69)&gt;1,"중복 사번",IF($M69="","입사장소 입력",IF(AND($P69&lt;&gt;"",$S69=""),"파견시작일 입력",IF(AND($S69&lt;&gt;"",$P69=""),"파견종류 입력",IF(AND($P69&lt;&gt;"",$P69&lt;&gt;"다기관파견",$Q69=""),"파견병원 입력",IF(IF($AC69="",0,N(INDEX(인턴근무계획!$T$3:$T$202,$AC69)))&gt;0,"인턴계획 입력오류 확인",IF(AND($AC69&lt;&gt;"",$U69&lt;&gt;"파견중",$N69&lt;&gt;$AE69),"인턴 타지역 근무: 파견 여부 확인","정상")))))))))</f>
        <v/>
      </c>
      <c r="AA69" s="5" t="n"/>
      <c r="AB69" s="10">
        <f>IF($B69="","",IFERROR(MATCH($B69,기본자료!$B$2:$B$501,0),IFERROR(MATCH($B69&amp;"",기본자료!$B$2:$B$501,0),IFERROR(MATCH(VALUE($B69),기본자료!$B$2:$B$501,0),""))))</f>
        <v/>
      </c>
      <c r="AC69" s="10">
        <f>IF($B69="","",IFERROR(MATCH($B69,인턴근무계획!$D$3:$D$202,0),IFERROR(MATCH($B69&amp;"",인턴근무계획!$D$3:$D$202,0),IFERROR(MATCH(VALUE($B69),인턴근무계획!$D$3:$D$202,0),""))))</f>
        <v/>
      </c>
      <c r="AD69" s="10">
        <f>IF(OR($AC69="",인턴현황!$G$3=""),"",INDEX(인턴근무계획!$M$3:$R$202,$AC69,인턴현황!$G$3)&amp;"")</f>
        <v/>
      </c>
      <c r="AE69" s="10">
        <f>IF($B69="","",IF($M69&lt;&gt;"",$M69,IF($H69="","",IF(RIGHT($H69,2)="병원",$H69,$H69&amp;"병원"))))</f>
        <v/>
      </c>
    </row>
    <row r="70">
      <c r="A70" s="10">
        <f>IF(B70="","",ROW()-1)</f>
        <v/>
      </c>
      <c r="B70" s="13" t="n"/>
      <c r="C70" s="10">
        <f>IF($AB70="","",IF(INDEX(기본자료!$C$2:$C$501,$AB70)="","",INDEX(기본자료!$C$2:$C$501,$AB70)))</f>
        <v/>
      </c>
      <c r="D70" s="10">
        <f>IF($AB70="","",IF(INDEX(기본자료!$J$2:$J$501,$AB70)="","",INDEX(기본자료!$J$2:$J$501,$AB70)))</f>
        <v/>
      </c>
      <c r="E70" s="11">
        <f>IF($AB70="","",IF(INDEX(기본자료!$K$2:$K$501,$AB70)="","",IF(NOT(ISNUMBER(INDEX(기본자료!$K$2:$K$501,$AB70))),INDEX(기본자료!$K$2:$K$501,$AB70),IF(INDEX(기본자료!$K$2:$K$501,$AB70)&lt;1000000,INDEX(기본자료!$K$2:$K$501,$AB70),IF(AND(INDEX(기본자료!$K$2:$K$501,$AB70)&gt;=10000101,INT(MOD(INDEX(기본자료!$K$2:$K$501,$AB70),10000)/100)&gt;=1,INT(MOD(INDEX(기본자료!$K$2:$K$501,$AB70),10000)/100)&lt;=12,MOD(INDEX(기본자료!$K$2:$K$501,$AB70),100)&gt;=1,MOD(INDEX(기본자료!$K$2:$K$501,$AB70),100)&lt;=31),DATE(INT(INDEX(기본자료!$K$2:$K$501,$AB70)/10000),INT(MOD(INDEX(기본자료!$K$2:$K$501,$AB70),10000)/100),MOD(INDEX(기본자료!$K$2:$K$501,$AB70),100)),INDEX(기본자료!$K$2:$K$501,$AB70)&amp;"")))))</f>
        <v/>
      </c>
      <c r="F70" s="10">
        <f>IF($AB70="","",IF(INDEX(기본자료!$D$2:$D$501,$AB70)="","",INDEX(기본자료!$D$2:$D$501,$AB70)))</f>
        <v/>
      </c>
      <c r="G70" s="10">
        <f>IF($AB70="","",IF(INDEX(기본자료!$E$2:$E$501,$AB70)="","",INDEX(기본자료!$E$2:$E$501,$AB70)))</f>
        <v/>
      </c>
      <c r="H70" s="10">
        <f>IF($AB70="","",IF(INDEX(기본자료!$F$2:$F$501,$AB70)="","",INDEX(기본자료!$F$2:$F$501,$AB70)))</f>
        <v/>
      </c>
      <c r="I70" s="11">
        <f>IF($AB70="","",IF(INDEX(기본자료!$G$2:$G$501,$AB70)="","",IF(NOT(ISNUMBER(INDEX(기본자료!$G$2:$G$501,$AB70))),INDEX(기본자료!$G$2:$G$501,$AB70),IF(INDEX(기본자료!$G$2:$G$501,$AB70)&lt;1000000,INDEX(기본자료!$G$2:$G$501,$AB70),IF(AND(INDEX(기본자료!$G$2:$G$501,$AB70)&gt;=10000101,INT(MOD(INDEX(기본자료!$G$2:$G$501,$AB70),10000)/100)&gt;=1,INT(MOD(INDEX(기본자료!$G$2:$G$501,$AB70),10000)/100)&lt;=12,MOD(INDEX(기본자료!$G$2:$G$501,$AB70),100)&gt;=1,MOD(INDEX(기본자료!$G$2:$G$501,$AB70),100)&lt;=31),DATE(INT(INDEX(기본자료!$G$2:$G$501,$AB70)/10000),INT(MOD(INDEX(기본자료!$G$2:$G$501,$AB70),10000)/100),MOD(INDEX(기본자료!$G$2:$G$501,$AB70),100)),INDEX(기본자료!$G$2:$G$501,$AB70)&amp;"")))))</f>
        <v/>
      </c>
      <c r="J70" s="10">
        <f>IF($AB70="","",IF(INDEX(기본자료!$H$2:$H$501,$AB70)="","",INDEX(기본자료!$H$2:$H$501,$AB70)))</f>
        <v/>
      </c>
      <c r="K70" s="10">
        <f>IF($AB70="","",IF(INDEX(기본자료!$I$2:$I$501,$AB70)="","",INDEX(기본자료!$I$2:$I$501,$AB70)))</f>
        <v/>
      </c>
      <c r="L70" s="10">
        <f>IF($AB70="","",IF(INDEX(기본자료!$A$2:$A$501,$AB70)="","",INDEX(기본자료!$A$2:$A$501,$AB70)))</f>
        <v/>
      </c>
      <c r="M70" s="14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4" t="n"/>
      <c r="Q70" s="14" t="n"/>
      <c r="R70" s="14" t="n"/>
      <c r="S70" s="15" t="n"/>
      <c r="T70" s="15" t="n"/>
      <c r="U70" s="10">
        <f>IF(OR($B70="",$S70=""),"",IF(TODAY()&lt;$S70,"파견예정",IF(AND($T70&lt;&gt;"",TODAY()&gt;$T70),"파견종료","파견중")))</f>
        <v/>
      </c>
      <c r="V70" s="16">
        <f>IF(OR($S70="",$T70=""),"",$T70-$S70+1)</f>
        <v/>
      </c>
      <c r="W70" s="16">
        <f>IF(AND($U70="파견중",$T70&lt;&gt;""),$T70-TODAY(),"")</f>
        <v/>
      </c>
      <c r="X70" s="16">
        <f>IF(OR($B70="",$S70=""),"",MAX(0,MIN(IF($T70="",EOMONTH(요약!$B$3,0),$T70),EOMONTH(요약!$B$3,0))-MAX($S70,요약!$B$3)+1))</f>
        <v/>
      </c>
      <c r="Y70" s="10">
        <f>IF($B70="","",IF($AE70="","",IF(OR($S70="",$P70="",N($X70)&lt;=0),$AE70,IF($P70="다기관파견",$AE70,IF($AE70="구리병원",IF(AND($Q70&lt;&gt;"",N($X70)&gt;=요약!$E$3),$Q70,$AE70),IF(AND($P70="일반파견(단독)",$Q70&lt;&gt;""),$Q70,$AE70))))))</f>
        <v/>
      </c>
      <c r="Z70" s="17">
        <f>IF($B70="","",IF($AB70="","기본자료에 없는 사번",IF(COUNTIF($B$2:$B$201,$B70)&gt;1,"중복 사번",IF($M70="","입사장소 입력",IF(AND($P70&lt;&gt;"",$S70=""),"파견시작일 입력",IF(AND($S70&lt;&gt;"",$P70=""),"파견종류 입력",IF(AND($P70&lt;&gt;"",$P70&lt;&gt;"다기관파견",$Q70=""),"파견병원 입력",IF(IF($AC70="",0,N(INDEX(인턴근무계획!$T$3:$T$202,$AC70)))&gt;0,"인턴계획 입력오류 확인",IF(AND($AC70&lt;&gt;"",$U70&lt;&gt;"파견중",$N70&lt;&gt;$AE70),"인턴 타지역 근무: 파견 여부 확인","정상")))))))))</f>
        <v/>
      </c>
      <c r="AA70" s="5" t="n"/>
      <c r="AB70" s="10">
        <f>IF($B70="","",IFERROR(MATCH($B70,기본자료!$B$2:$B$501,0),IFERROR(MATCH($B70&amp;"",기본자료!$B$2:$B$501,0),IFERROR(MATCH(VALUE($B70),기본자료!$B$2:$B$501,0),""))))</f>
        <v/>
      </c>
      <c r="AC70" s="10">
        <f>IF($B70="","",IFERROR(MATCH($B70,인턴근무계획!$D$3:$D$202,0),IFERROR(MATCH($B70&amp;"",인턴근무계획!$D$3:$D$202,0),IFERROR(MATCH(VALUE($B70),인턴근무계획!$D$3:$D$202,0),""))))</f>
        <v/>
      </c>
      <c r="AD70" s="10">
        <f>IF(OR($AC70="",인턴현황!$G$3=""),"",INDEX(인턴근무계획!$M$3:$R$202,$AC70,인턴현황!$G$3)&amp;"")</f>
        <v/>
      </c>
      <c r="AE70" s="10">
        <f>IF($B70="","",IF($M70&lt;&gt;"",$M70,IF($H70="","",IF(RIGHT($H70,2)="병원",$H70,$H70&amp;"병원"))))</f>
        <v/>
      </c>
    </row>
    <row r="71">
      <c r="A71" s="10">
        <f>IF(B71="","",ROW()-1)</f>
        <v/>
      </c>
      <c r="B71" s="13" t="n"/>
      <c r="C71" s="10">
        <f>IF($AB71="","",IF(INDEX(기본자료!$C$2:$C$501,$AB71)="","",INDEX(기본자료!$C$2:$C$501,$AB71)))</f>
        <v/>
      </c>
      <c r="D71" s="10">
        <f>IF($AB71="","",IF(INDEX(기본자료!$J$2:$J$501,$AB71)="","",INDEX(기본자료!$J$2:$J$501,$AB71)))</f>
        <v/>
      </c>
      <c r="E71" s="11">
        <f>IF($AB71="","",IF(INDEX(기본자료!$K$2:$K$501,$AB71)="","",IF(NOT(ISNUMBER(INDEX(기본자료!$K$2:$K$501,$AB71))),INDEX(기본자료!$K$2:$K$501,$AB71),IF(INDEX(기본자료!$K$2:$K$501,$AB71)&lt;1000000,INDEX(기본자료!$K$2:$K$501,$AB71),IF(AND(INDEX(기본자료!$K$2:$K$501,$AB71)&gt;=10000101,INT(MOD(INDEX(기본자료!$K$2:$K$501,$AB71),10000)/100)&gt;=1,INT(MOD(INDEX(기본자료!$K$2:$K$501,$AB71),10000)/100)&lt;=12,MOD(INDEX(기본자료!$K$2:$K$501,$AB71),100)&gt;=1,MOD(INDEX(기본자료!$K$2:$K$501,$AB71),100)&lt;=31),DATE(INT(INDEX(기본자료!$K$2:$K$501,$AB71)/10000),INT(MOD(INDEX(기본자료!$K$2:$K$501,$AB71),10000)/100),MOD(INDEX(기본자료!$K$2:$K$501,$AB71),100)),INDEX(기본자료!$K$2:$K$501,$AB71)&amp;"")))))</f>
        <v/>
      </c>
      <c r="F71" s="10">
        <f>IF($AB71="","",IF(INDEX(기본자료!$D$2:$D$501,$AB71)="","",INDEX(기본자료!$D$2:$D$501,$AB71)))</f>
        <v/>
      </c>
      <c r="G71" s="10">
        <f>IF($AB71="","",IF(INDEX(기본자료!$E$2:$E$501,$AB71)="","",INDEX(기본자료!$E$2:$E$501,$AB71)))</f>
        <v/>
      </c>
      <c r="H71" s="10">
        <f>IF($AB71="","",IF(INDEX(기본자료!$F$2:$F$501,$AB71)="","",INDEX(기본자료!$F$2:$F$501,$AB71)))</f>
        <v/>
      </c>
      <c r="I71" s="11">
        <f>IF($AB71="","",IF(INDEX(기본자료!$G$2:$G$501,$AB71)="","",IF(NOT(ISNUMBER(INDEX(기본자료!$G$2:$G$501,$AB71))),INDEX(기본자료!$G$2:$G$501,$AB71),IF(INDEX(기본자료!$G$2:$G$501,$AB71)&lt;1000000,INDEX(기본자료!$G$2:$G$501,$AB71),IF(AND(INDEX(기본자료!$G$2:$G$501,$AB71)&gt;=10000101,INT(MOD(INDEX(기본자료!$G$2:$G$501,$AB71),10000)/100)&gt;=1,INT(MOD(INDEX(기본자료!$G$2:$G$501,$AB71),10000)/100)&lt;=12,MOD(INDEX(기본자료!$G$2:$G$501,$AB71),100)&gt;=1,MOD(INDEX(기본자료!$G$2:$G$501,$AB71),100)&lt;=31),DATE(INT(INDEX(기본자료!$G$2:$G$501,$AB71)/10000),INT(MOD(INDEX(기본자료!$G$2:$G$501,$AB71),10000)/100),MOD(INDEX(기본자료!$G$2:$G$501,$AB71),100)),INDEX(기본자료!$G$2:$G$501,$AB71)&amp;"")))))</f>
        <v/>
      </c>
      <c r="J71" s="10">
        <f>IF($AB71="","",IF(INDEX(기본자료!$H$2:$H$501,$AB71)="","",INDEX(기본자료!$H$2:$H$501,$AB71)))</f>
        <v/>
      </c>
      <c r="K71" s="10">
        <f>IF($AB71="","",IF(INDEX(기본자료!$I$2:$I$501,$AB71)="","",INDEX(기본자료!$I$2:$I$501,$AB71)))</f>
        <v/>
      </c>
      <c r="L71" s="10">
        <f>IF($AB71="","",IF(INDEX(기본자료!$A$2:$A$501,$AB71)="","",INDEX(기본자료!$A$2:$A$501,$AB71)))</f>
        <v/>
      </c>
      <c r="M71" s="14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4" t="n"/>
      <c r="Q71" s="14" t="n"/>
      <c r="R71" s="14" t="n"/>
      <c r="S71" s="15" t="n"/>
      <c r="T71" s="15" t="n"/>
      <c r="U71" s="10">
        <f>IF(OR($B71="",$S71=""),"",IF(TODAY()&lt;$S71,"파견예정",IF(AND($T71&lt;&gt;"",TODAY()&gt;$T71),"파견종료","파견중")))</f>
        <v/>
      </c>
      <c r="V71" s="16">
        <f>IF(OR($S71="",$T71=""),"",$T71-$S71+1)</f>
        <v/>
      </c>
      <c r="W71" s="16">
        <f>IF(AND($U71="파견중",$T71&lt;&gt;""),$T71-TODAY(),"")</f>
        <v/>
      </c>
      <c r="X71" s="16">
        <f>IF(OR($B71="",$S71=""),"",MAX(0,MIN(IF($T71="",EOMONTH(요약!$B$3,0),$T71),EOMONTH(요약!$B$3,0))-MAX($S71,요약!$B$3)+1))</f>
        <v/>
      </c>
      <c r="Y71" s="10">
        <f>IF($B71="","",IF($AE71="","",IF(OR($S71="",$P71="",N($X71)&lt;=0),$AE71,IF($P71="다기관파견",$AE71,IF($AE71="구리병원",IF(AND($Q71&lt;&gt;"",N($X71)&gt;=요약!$E$3),$Q71,$AE71),IF(AND($P71="일반파견(단독)",$Q71&lt;&gt;""),$Q71,$AE71))))))</f>
        <v/>
      </c>
      <c r="Z71" s="17">
        <f>IF($B71="","",IF($AB71="","기본자료에 없는 사번",IF(COUNTIF($B$2:$B$201,$B71)&gt;1,"중복 사번",IF($M71="","입사장소 입력",IF(AND($P71&lt;&gt;"",$S71=""),"파견시작일 입력",IF(AND($S71&lt;&gt;"",$P71=""),"파견종류 입력",IF(AND($P71&lt;&gt;"",$P71&lt;&gt;"다기관파견",$Q71=""),"파견병원 입력",IF(IF($AC71="",0,N(INDEX(인턴근무계획!$T$3:$T$202,$AC71)))&gt;0,"인턴계획 입력오류 확인",IF(AND($AC71&lt;&gt;"",$U71&lt;&gt;"파견중",$N71&lt;&gt;$AE71),"인턴 타지역 근무: 파견 여부 확인","정상")))))))))</f>
        <v/>
      </c>
      <c r="AA71" s="5" t="n"/>
      <c r="AB71" s="10">
        <f>IF($B71="","",IFERROR(MATCH($B71,기본자료!$B$2:$B$501,0),IFERROR(MATCH($B71&amp;"",기본자료!$B$2:$B$501,0),IFERROR(MATCH(VALUE($B71),기본자료!$B$2:$B$501,0),""))))</f>
        <v/>
      </c>
      <c r="AC71" s="10">
        <f>IF($B71="","",IFERROR(MATCH($B71,인턴근무계획!$D$3:$D$202,0),IFERROR(MATCH($B71&amp;"",인턴근무계획!$D$3:$D$202,0),IFERROR(MATCH(VALUE($B71),인턴근무계획!$D$3:$D$202,0),""))))</f>
        <v/>
      </c>
      <c r="AD71" s="10">
        <f>IF(OR($AC71="",인턴현황!$G$3=""),"",INDEX(인턴근무계획!$M$3:$R$202,$AC71,인턴현황!$G$3)&amp;"")</f>
        <v/>
      </c>
      <c r="AE71" s="10">
        <f>IF($B71="","",IF($M71&lt;&gt;"",$M71,IF($H71="","",IF(RIGHT($H71,2)="병원",$H71,$H71&amp;"병원"))))</f>
        <v/>
      </c>
    </row>
    <row r="72">
      <c r="A72" s="10">
        <f>IF(B72="","",ROW()-1)</f>
        <v/>
      </c>
      <c r="B72" s="13" t="n"/>
      <c r="C72" s="10">
        <f>IF($AB72="","",IF(INDEX(기본자료!$C$2:$C$501,$AB72)="","",INDEX(기본자료!$C$2:$C$501,$AB72)))</f>
        <v/>
      </c>
      <c r="D72" s="10">
        <f>IF($AB72="","",IF(INDEX(기본자료!$J$2:$J$501,$AB72)="","",INDEX(기본자료!$J$2:$J$501,$AB72)))</f>
        <v/>
      </c>
      <c r="E72" s="11">
        <f>IF($AB72="","",IF(INDEX(기본자료!$K$2:$K$501,$AB72)="","",IF(NOT(ISNUMBER(INDEX(기본자료!$K$2:$K$501,$AB72))),INDEX(기본자료!$K$2:$K$501,$AB72),IF(INDEX(기본자료!$K$2:$K$501,$AB72)&lt;1000000,INDEX(기본자료!$K$2:$K$501,$AB72),IF(AND(INDEX(기본자료!$K$2:$K$501,$AB72)&gt;=10000101,INT(MOD(INDEX(기본자료!$K$2:$K$501,$AB72),10000)/100)&gt;=1,INT(MOD(INDEX(기본자료!$K$2:$K$501,$AB72),10000)/100)&lt;=12,MOD(INDEX(기본자료!$K$2:$K$501,$AB72),100)&gt;=1,MOD(INDEX(기본자료!$K$2:$K$501,$AB72),100)&lt;=31),DATE(INT(INDEX(기본자료!$K$2:$K$501,$AB72)/10000),INT(MOD(INDEX(기본자료!$K$2:$K$501,$AB72),10000)/100),MOD(INDEX(기본자료!$K$2:$K$501,$AB72),100)),INDEX(기본자료!$K$2:$K$501,$AB72)&amp;"")))))</f>
        <v/>
      </c>
      <c r="F72" s="10">
        <f>IF($AB72="","",IF(INDEX(기본자료!$D$2:$D$501,$AB72)="","",INDEX(기본자료!$D$2:$D$501,$AB72)))</f>
        <v/>
      </c>
      <c r="G72" s="10">
        <f>IF($AB72="","",IF(INDEX(기본자료!$E$2:$E$501,$AB72)="","",INDEX(기본자료!$E$2:$E$501,$AB72)))</f>
        <v/>
      </c>
      <c r="H72" s="10">
        <f>IF($AB72="","",IF(INDEX(기본자료!$F$2:$F$501,$AB72)="","",INDEX(기본자료!$F$2:$F$501,$AB72)))</f>
        <v/>
      </c>
      <c r="I72" s="11">
        <f>IF($AB72="","",IF(INDEX(기본자료!$G$2:$G$501,$AB72)="","",IF(NOT(ISNUMBER(INDEX(기본자료!$G$2:$G$501,$AB72))),INDEX(기본자료!$G$2:$G$501,$AB72),IF(INDEX(기본자료!$G$2:$G$501,$AB72)&lt;1000000,INDEX(기본자료!$G$2:$G$501,$AB72),IF(AND(INDEX(기본자료!$G$2:$G$501,$AB72)&gt;=10000101,INT(MOD(INDEX(기본자료!$G$2:$G$501,$AB72),10000)/100)&gt;=1,INT(MOD(INDEX(기본자료!$G$2:$G$501,$AB72),10000)/100)&lt;=12,MOD(INDEX(기본자료!$G$2:$G$501,$AB72),100)&gt;=1,MOD(INDEX(기본자료!$G$2:$G$501,$AB72),100)&lt;=31),DATE(INT(INDEX(기본자료!$G$2:$G$501,$AB72)/10000),INT(MOD(INDEX(기본자료!$G$2:$G$501,$AB72),10000)/100),MOD(INDEX(기본자료!$G$2:$G$501,$AB72),100)),INDEX(기본자료!$G$2:$G$501,$AB72)&amp;"")))))</f>
        <v/>
      </c>
      <c r="J72" s="10">
        <f>IF($AB72="","",IF(INDEX(기본자료!$H$2:$H$501,$AB72)="","",INDEX(기본자료!$H$2:$H$501,$AB72)))</f>
        <v/>
      </c>
      <c r="K72" s="10">
        <f>IF($AB72="","",IF(INDEX(기본자료!$I$2:$I$501,$AB72)="","",INDEX(기본자료!$I$2:$I$501,$AB72)))</f>
        <v/>
      </c>
      <c r="L72" s="10">
        <f>IF($AB72="","",IF(INDEX(기본자료!$A$2:$A$501,$AB72)="","",INDEX(기본자료!$A$2:$A$501,$AB72)))</f>
        <v/>
      </c>
      <c r="M72" s="14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4" t="n"/>
      <c r="Q72" s="14" t="n"/>
      <c r="R72" s="14" t="n"/>
      <c r="S72" s="15" t="n"/>
      <c r="T72" s="15" t="n"/>
      <c r="U72" s="10">
        <f>IF(OR($B72="",$S72=""),"",IF(TODAY()&lt;$S72,"파견예정",IF(AND($T72&lt;&gt;"",TODAY()&gt;$T72),"파견종료","파견중")))</f>
        <v/>
      </c>
      <c r="V72" s="16">
        <f>IF(OR($S72="",$T72=""),"",$T72-$S72+1)</f>
        <v/>
      </c>
      <c r="W72" s="16">
        <f>IF(AND($U72="파견중",$T72&lt;&gt;""),$T72-TODAY(),"")</f>
        <v/>
      </c>
      <c r="X72" s="16">
        <f>IF(OR($B72="",$S72=""),"",MAX(0,MIN(IF($T72="",EOMONTH(요약!$B$3,0),$T72),EOMONTH(요약!$B$3,0))-MAX($S72,요약!$B$3)+1))</f>
        <v/>
      </c>
      <c r="Y72" s="10">
        <f>IF($B72="","",IF($AE72="","",IF(OR($S72="",$P72="",N($X72)&lt;=0),$AE72,IF($P72="다기관파견",$AE72,IF($AE72="구리병원",IF(AND($Q72&lt;&gt;"",N($X72)&gt;=요약!$E$3),$Q72,$AE72),IF(AND($P72="일반파견(단독)",$Q72&lt;&gt;""),$Q72,$AE72))))))</f>
        <v/>
      </c>
      <c r="Z72" s="17">
        <f>IF($B72="","",IF($AB72="","기본자료에 없는 사번",IF(COUNTIF($B$2:$B$201,$B72)&gt;1,"중복 사번",IF($M72="","입사장소 입력",IF(AND($P72&lt;&gt;"",$S72=""),"파견시작일 입력",IF(AND($S72&lt;&gt;"",$P72=""),"파견종류 입력",IF(AND($P72&lt;&gt;"",$P72&lt;&gt;"다기관파견",$Q72=""),"파견병원 입력",IF(IF($AC72="",0,N(INDEX(인턴근무계획!$T$3:$T$202,$AC72)))&gt;0,"인턴계획 입력오류 확인",IF(AND($AC72&lt;&gt;"",$U72&lt;&gt;"파견중",$N72&lt;&gt;$AE72),"인턴 타지역 근무: 파견 여부 확인","정상")))))))))</f>
        <v/>
      </c>
      <c r="AA72" s="5" t="n"/>
      <c r="AB72" s="10">
        <f>IF($B72="","",IFERROR(MATCH($B72,기본자료!$B$2:$B$501,0),IFERROR(MATCH($B72&amp;"",기본자료!$B$2:$B$501,0),IFERROR(MATCH(VALUE($B72),기본자료!$B$2:$B$501,0),""))))</f>
        <v/>
      </c>
      <c r="AC72" s="10">
        <f>IF($B72="","",IFERROR(MATCH($B72,인턴근무계획!$D$3:$D$202,0),IFERROR(MATCH($B72&amp;"",인턴근무계획!$D$3:$D$202,0),IFERROR(MATCH(VALUE($B72),인턴근무계획!$D$3:$D$202,0),""))))</f>
        <v/>
      </c>
      <c r="AD72" s="10">
        <f>IF(OR($AC72="",인턴현황!$G$3=""),"",INDEX(인턴근무계획!$M$3:$R$202,$AC72,인턴현황!$G$3)&amp;"")</f>
        <v/>
      </c>
      <c r="AE72" s="10">
        <f>IF($B72="","",IF($M72&lt;&gt;"",$M72,IF($H72="","",IF(RIGHT($H72,2)="병원",$H72,$H72&amp;"병원"))))</f>
        <v/>
      </c>
    </row>
    <row r="73">
      <c r="A73" s="10">
        <f>IF(B73="","",ROW()-1)</f>
        <v/>
      </c>
      <c r="B73" s="13" t="n"/>
      <c r="C73" s="10">
        <f>IF($AB73="","",IF(INDEX(기본자료!$C$2:$C$501,$AB73)="","",INDEX(기본자료!$C$2:$C$501,$AB73)))</f>
        <v/>
      </c>
      <c r="D73" s="10">
        <f>IF($AB73="","",IF(INDEX(기본자료!$J$2:$J$501,$AB73)="","",INDEX(기본자료!$J$2:$J$501,$AB73)))</f>
        <v/>
      </c>
      <c r="E73" s="11">
        <f>IF($AB73="","",IF(INDEX(기본자료!$K$2:$K$501,$AB73)="","",IF(NOT(ISNUMBER(INDEX(기본자료!$K$2:$K$501,$AB73))),INDEX(기본자료!$K$2:$K$501,$AB73),IF(INDEX(기본자료!$K$2:$K$501,$AB73)&lt;1000000,INDEX(기본자료!$K$2:$K$501,$AB73),IF(AND(INDEX(기본자료!$K$2:$K$501,$AB73)&gt;=10000101,INT(MOD(INDEX(기본자료!$K$2:$K$501,$AB73),10000)/100)&gt;=1,INT(MOD(INDEX(기본자료!$K$2:$K$501,$AB73),10000)/100)&lt;=12,MOD(INDEX(기본자료!$K$2:$K$501,$AB73),100)&gt;=1,MOD(INDEX(기본자료!$K$2:$K$501,$AB73),100)&lt;=31),DATE(INT(INDEX(기본자료!$K$2:$K$501,$AB73)/10000),INT(MOD(INDEX(기본자료!$K$2:$K$501,$AB73),10000)/100),MOD(INDEX(기본자료!$K$2:$K$501,$AB73),100)),INDEX(기본자료!$K$2:$K$501,$AB73)&amp;"")))))</f>
        <v/>
      </c>
      <c r="F73" s="10">
        <f>IF($AB73="","",IF(INDEX(기본자료!$D$2:$D$501,$AB73)="","",INDEX(기본자료!$D$2:$D$501,$AB73)))</f>
        <v/>
      </c>
      <c r="G73" s="10">
        <f>IF($AB73="","",IF(INDEX(기본자료!$E$2:$E$501,$AB73)="","",INDEX(기본자료!$E$2:$E$501,$AB73)))</f>
        <v/>
      </c>
      <c r="H73" s="10">
        <f>IF($AB73="","",IF(INDEX(기본자료!$F$2:$F$501,$AB73)="","",INDEX(기본자료!$F$2:$F$501,$AB73)))</f>
        <v/>
      </c>
      <c r="I73" s="11">
        <f>IF($AB73="","",IF(INDEX(기본자료!$G$2:$G$501,$AB73)="","",IF(NOT(ISNUMBER(INDEX(기본자료!$G$2:$G$501,$AB73))),INDEX(기본자료!$G$2:$G$501,$AB73),IF(INDEX(기본자료!$G$2:$G$501,$AB73)&lt;1000000,INDEX(기본자료!$G$2:$G$501,$AB73),IF(AND(INDEX(기본자료!$G$2:$G$501,$AB73)&gt;=10000101,INT(MOD(INDEX(기본자료!$G$2:$G$501,$AB73),10000)/100)&gt;=1,INT(MOD(INDEX(기본자료!$G$2:$G$501,$AB73),10000)/100)&lt;=12,MOD(INDEX(기본자료!$G$2:$G$501,$AB73),100)&gt;=1,MOD(INDEX(기본자료!$G$2:$G$501,$AB73),100)&lt;=31),DATE(INT(INDEX(기본자료!$G$2:$G$501,$AB73)/10000),INT(MOD(INDEX(기본자료!$G$2:$G$501,$AB73),10000)/100),MOD(INDEX(기본자료!$G$2:$G$501,$AB73),100)),INDEX(기본자료!$G$2:$G$501,$AB73)&amp;"")))))</f>
        <v/>
      </c>
      <c r="J73" s="10">
        <f>IF($AB73="","",IF(INDEX(기본자료!$H$2:$H$501,$AB73)="","",INDEX(기본자료!$H$2:$H$501,$AB73)))</f>
        <v/>
      </c>
      <c r="K73" s="10">
        <f>IF($AB73="","",IF(INDEX(기본자료!$I$2:$I$501,$AB73)="","",INDEX(기본자료!$I$2:$I$501,$AB73)))</f>
        <v/>
      </c>
      <c r="L73" s="10">
        <f>IF($AB73="","",IF(INDEX(기본자료!$A$2:$A$501,$AB73)="","",INDEX(기본자료!$A$2:$A$501,$AB73)))</f>
        <v/>
      </c>
      <c r="M73" s="14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4" t="n"/>
      <c r="Q73" s="14" t="n"/>
      <c r="R73" s="14" t="n"/>
      <c r="S73" s="15" t="n"/>
      <c r="T73" s="15" t="n"/>
      <c r="U73" s="10">
        <f>IF(OR($B73="",$S73=""),"",IF(TODAY()&lt;$S73,"파견예정",IF(AND($T73&lt;&gt;"",TODAY()&gt;$T73),"파견종료","파견중")))</f>
        <v/>
      </c>
      <c r="V73" s="16">
        <f>IF(OR($S73="",$T73=""),"",$T73-$S73+1)</f>
        <v/>
      </c>
      <c r="W73" s="16">
        <f>IF(AND($U73="파견중",$T73&lt;&gt;""),$T73-TODAY(),"")</f>
        <v/>
      </c>
      <c r="X73" s="16">
        <f>IF(OR($B73="",$S73=""),"",MAX(0,MIN(IF($T73="",EOMONTH(요약!$B$3,0),$T73),EOMONTH(요약!$B$3,0))-MAX($S73,요약!$B$3)+1))</f>
        <v/>
      </c>
      <c r="Y73" s="10">
        <f>IF($B73="","",IF($AE73="","",IF(OR($S73="",$P73="",N($X73)&lt;=0),$AE73,IF($P73="다기관파견",$AE73,IF($AE73="구리병원",IF(AND($Q73&lt;&gt;"",N($X73)&gt;=요약!$E$3),$Q73,$AE73),IF(AND($P73="일반파견(단독)",$Q73&lt;&gt;""),$Q73,$AE73))))))</f>
        <v/>
      </c>
      <c r="Z73" s="17">
        <f>IF($B73="","",IF($AB73="","기본자료에 없는 사번",IF(COUNTIF($B$2:$B$201,$B73)&gt;1,"중복 사번",IF($M73="","입사장소 입력",IF(AND($P73&lt;&gt;"",$S73=""),"파견시작일 입력",IF(AND($S73&lt;&gt;"",$P73=""),"파견종류 입력",IF(AND($P73&lt;&gt;"",$P73&lt;&gt;"다기관파견",$Q73=""),"파견병원 입력",IF(IF($AC73="",0,N(INDEX(인턴근무계획!$T$3:$T$202,$AC73)))&gt;0,"인턴계획 입력오류 확인",IF(AND($AC73&lt;&gt;"",$U73&lt;&gt;"파견중",$N73&lt;&gt;$AE73),"인턴 타지역 근무: 파견 여부 확인","정상")))))))))</f>
        <v/>
      </c>
      <c r="AA73" s="5" t="n"/>
      <c r="AB73" s="10">
        <f>IF($B73="","",IFERROR(MATCH($B73,기본자료!$B$2:$B$501,0),IFERROR(MATCH($B73&amp;"",기본자료!$B$2:$B$501,0),IFERROR(MATCH(VALUE($B73),기본자료!$B$2:$B$501,0),""))))</f>
        <v/>
      </c>
      <c r="AC73" s="10">
        <f>IF($B73="","",IFERROR(MATCH($B73,인턴근무계획!$D$3:$D$202,0),IFERROR(MATCH($B73&amp;"",인턴근무계획!$D$3:$D$202,0),IFERROR(MATCH(VALUE($B73),인턴근무계획!$D$3:$D$202,0),""))))</f>
        <v/>
      </c>
      <c r="AD73" s="10">
        <f>IF(OR($AC73="",인턴현황!$G$3=""),"",INDEX(인턴근무계획!$M$3:$R$202,$AC73,인턴현황!$G$3)&amp;"")</f>
        <v/>
      </c>
      <c r="AE73" s="10">
        <f>IF($B73="","",IF($M73&lt;&gt;"",$M73,IF($H73="","",IF(RIGHT($H73,2)="병원",$H73,$H73&amp;"병원"))))</f>
        <v/>
      </c>
    </row>
    <row r="74">
      <c r="A74" s="10">
        <f>IF(B74="","",ROW()-1)</f>
        <v/>
      </c>
      <c r="B74" s="13" t="n"/>
      <c r="C74" s="10">
        <f>IF($AB74="","",IF(INDEX(기본자료!$C$2:$C$501,$AB74)="","",INDEX(기본자료!$C$2:$C$501,$AB74)))</f>
        <v/>
      </c>
      <c r="D74" s="10">
        <f>IF($AB74="","",IF(INDEX(기본자료!$J$2:$J$501,$AB74)="","",INDEX(기본자료!$J$2:$J$501,$AB74)))</f>
        <v/>
      </c>
      <c r="E74" s="11">
        <f>IF($AB74="","",IF(INDEX(기본자료!$K$2:$K$501,$AB74)="","",IF(NOT(ISNUMBER(INDEX(기본자료!$K$2:$K$501,$AB74))),INDEX(기본자료!$K$2:$K$501,$AB74),IF(INDEX(기본자료!$K$2:$K$501,$AB74)&lt;1000000,INDEX(기본자료!$K$2:$K$501,$AB74),IF(AND(INDEX(기본자료!$K$2:$K$501,$AB74)&gt;=10000101,INT(MOD(INDEX(기본자료!$K$2:$K$501,$AB74),10000)/100)&gt;=1,INT(MOD(INDEX(기본자료!$K$2:$K$501,$AB74),10000)/100)&lt;=12,MOD(INDEX(기본자료!$K$2:$K$501,$AB74),100)&gt;=1,MOD(INDEX(기본자료!$K$2:$K$501,$AB74),100)&lt;=31),DATE(INT(INDEX(기본자료!$K$2:$K$501,$AB74)/10000),INT(MOD(INDEX(기본자료!$K$2:$K$501,$AB74),10000)/100),MOD(INDEX(기본자료!$K$2:$K$501,$AB74),100)),INDEX(기본자료!$K$2:$K$501,$AB74)&amp;"")))))</f>
        <v/>
      </c>
      <c r="F74" s="10">
        <f>IF($AB74="","",IF(INDEX(기본자료!$D$2:$D$501,$AB74)="","",INDEX(기본자료!$D$2:$D$501,$AB74)))</f>
        <v/>
      </c>
      <c r="G74" s="10">
        <f>IF($AB74="","",IF(INDEX(기본자료!$E$2:$E$501,$AB74)="","",INDEX(기본자료!$E$2:$E$501,$AB74)))</f>
        <v/>
      </c>
      <c r="H74" s="10">
        <f>IF($AB74="","",IF(INDEX(기본자료!$F$2:$F$501,$AB74)="","",INDEX(기본자료!$F$2:$F$501,$AB74)))</f>
        <v/>
      </c>
      <c r="I74" s="11">
        <f>IF($AB74="","",IF(INDEX(기본자료!$G$2:$G$501,$AB74)="","",IF(NOT(ISNUMBER(INDEX(기본자료!$G$2:$G$501,$AB74))),INDEX(기본자료!$G$2:$G$501,$AB74),IF(INDEX(기본자료!$G$2:$G$501,$AB74)&lt;1000000,INDEX(기본자료!$G$2:$G$501,$AB74),IF(AND(INDEX(기본자료!$G$2:$G$501,$AB74)&gt;=10000101,INT(MOD(INDEX(기본자료!$G$2:$G$501,$AB74),10000)/100)&gt;=1,INT(MOD(INDEX(기본자료!$G$2:$G$501,$AB74),10000)/100)&lt;=12,MOD(INDEX(기본자료!$G$2:$G$501,$AB74),100)&gt;=1,MOD(INDEX(기본자료!$G$2:$G$501,$AB74),100)&lt;=31),DATE(INT(INDEX(기본자료!$G$2:$G$501,$AB74)/10000),INT(MOD(INDEX(기본자료!$G$2:$G$501,$AB74),10000)/100),MOD(INDEX(기본자료!$G$2:$G$501,$AB74),100)),INDEX(기본자료!$G$2:$G$501,$AB74)&amp;"")))))</f>
        <v/>
      </c>
      <c r="J74" s="10">
        <f>IF($AB74="","",IF(INDEX(기본자료!$H$2:$H$501,$AB74)="","",INDEX(기본자료!$H$2:$H$501,$AB74)))</f>
        <v/>
      </c>
      <c r="K74" s="10">
        <f>IF($AB74="","",IF(INDEX(기본자료!$I$2:$I$501,$AB74)="","",INDEX(기본자료!$I$2:$I$501,$AB74)))</f>
        <v/>
      </c>
      <c r="L74" s="10">
        <f>IF($AB74="","",IF(INDEX(기본자료!$A$2:$A$501,$AB74)="","",INDEX(기본자료!$A$2:$A$501,$AB74)))</f>
        <v/>
      </c>
      <c r="M74" s="14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4" t="n"/>
      <c r="Q74" s="14" t="n"/>
      <c r="R74" s="14" t="n"/>
      <c r="S74" s="15" t="n"/>
      <c r="T74" s="15" t="n"/>
      <c r="U74" s="10">
        <f>IF(OR($B74="",$S74=""),"",IF(TODAY()&lt;$S74,"파견예정",IF(AND($T74&lt;&gt;"",TODAY()&gt;$T74),"파견종료","파견중")))</f>
        <v/>
      </c>
      <c r="V74" s="16">
        <f>IF(OR($S74="",$T74=""),"",$T74-$S74+1)</f>
        <v/>
      </c>
      <c r="W74" s="16">
        <f>IF(AND($U74="파견중",$T74&lt;&gt;""),$T74-TODAY(),"")</f>
        <v/>
      </c>
      <c r="X74" s="16">
        <f>IF(OR($B74="",$S74=""),"",MAX(0,MIN(IF($T74="",EOMONTH(요약!$B$3,0),$T74),EOMONTH(요약!$B$3,0))-MAX($S74,요약!$B$3)+1))</f>
        <v/>
      </c>
      <c r="Y74" s="10">
        <f>IF($B74="","",IF($AE74="","",IF(OR($S74="",$P74="",N($X74)&lt;=0),$AE74,IF($P74="다기관파견",$AE74,IF($AE74="구리병원",IF(AND($Q74&lt;&gt;"",N($X74)&gt;=요약!$E$3),$Q74,$AE74),IF(AND($P74="일반파견(단독)",$Q74&lt;&gt;""),$Q74,$AE74))))))</f>
        <v/>
      </c>
      <c r="Z74" s="17">
        <f>IF($B74="","",IF($AB74="","기본자료에 없는 사번",IF(COUNTIF($B$2:$B$201,$B74)&gt;1,"중복 사번",IF($M74="","입사장소 입력",IF(AND($P74&lt;&gt;"",$S74=""),"파견시작일 입력",IF(AND($S74&lt;&gt;"",$P74=""),"파견종류 입력",IF(AND($P74&lt;&gt;"",$P74&lt;&gt;"다기관파견",$Q74=""),"파견병원 입력",IF(IF($AC74="",0,N(INDEX(인턴근무계획!$T$3:$T$202,$AC74)))&gt;0,"인턴계획 입력오류 확인",IF(AND($AC74&lt;&gt;"",$U74&lt;&gt;"파견중",$N74&lt;&gt;$AE74),"인턴 타지역 근무: 파견 여부 확인","정상")))))))))</f>
        <v/>
      </c>
      <c r="AA74" s="5" t="n"/>
      <c r="AB74" s="10">
        <f>IF($B74="","",IFERROR(MATCH($B74,기본자료!$B$2:$B$501,0),IFERROR(MATCH($B74&amp;"",기본자료!$B$2:$B$501,0),IFERROR(MATCH(VALUE($B74),기본자료!$B$2:$B$501,0),""))))</f>
        <v/>
      </c>
      <c r="AC74" s="10">
        <f>IF($B74="","",IFERROR(MATCH($B74,인턴근무계획!$D$3:$D$202,0),IFERROR(MATCH($B74&amp;"",인턴근무계획!$D$3:$D$202,0),IFERROR(MATCH(VALUE($B74),인턴근무계획!$D$3:$D$202,0),""))))</f>
        <v/>
      </c>
      <c r="AD74" s="10">
        <f>IF(OR($AC74="",인턴현황!$G$3=""),"",INDEX(인턴근무계획!$M$3:$R$202,$AC74,인턴현황!$G$3)&amp;"")</f>
        <v/>
      </c>
      <c r="AE74" s="10">
        <f>IF($B74="","",IF($M74&lt;&gt;"",$M74,IF($H74="","",IF(RIGHT($H74,2)="병원",$H74,$H74&amp;"병원"))))</f>
        <v/>
      </c>
    </row>
    <row r="75">
      <c r="A75" s="10">
        <f>IF(B75="","",ROW()-1)</f>
        <v/>
      </c>
      <c r="B75" s="13" t="n"/>
      <c r="C75" s="10">
        <f>IF($AB75="","",IF(INDEX(기본자료!$C$2:$C$501,$AB75)="","",INDEX(기본자료!$C$2:$C$501,$AB75)))</f>
        <v/>
      </c>
      <c r="D75" s="10">
        <f>IF($AB75="","",IF(INDEX(기본자료!$J$2:$J$501,$AB75)="","",INDEX(기본자료!$J$2:$J$501,$AB75)))</f>
        <v/>
      </c>
      <c r="E75" s="11">
        <f>IF($AB75="","",IF(INDEX(기본자료!$K$2:$K$501,$AB75)="","",IF(NOT(ISNUMBER(INDEX(기본자료!$K$2:$K$501,$AB75))),INDEX(기본자료!$K$2:$K$501,$AB75),IF(INDEX(기본자료!$K$2:$K$501,$AB75)&lt;1000000,INDEX(기본자료!$K$2:$K$501,$AB75),IF(AND(INDEX(기본자료!$K$2:$K$501,$AB75)&gt;=10000101,INT(MOD(INDEX(기본자료!$K$2:$K$501,$AB75),10000)/100)&gt;=1,INT(MOD(INDEX(기본자료!$K$2:$K$501,$AB75),10000)/100)&lt;=12,MOD(INDEX(기본자료!$K$2:$K$501,$AB75),100)&gt;=1,MOD(INDEX(기본자료!$K$2:$K$501,$AB75),100)&lt;=31),DATE(INT(INDEX(기본자료!$K$2:$K$501,$AB75)/10000),INT(MOD(INDEX(기본자료!$K$2:$K$501,$AB75),10000)/100),MOD(INDEX(기본자료!$K$2:$K$501,$AB75),100)),INDEX(기본자료!$K$2:$K$501,$AB75)&amp;"")))))</f>
        <v/>
      </c>
      <c r="F75" s="10">
        <f>IF($AB75="","",IF(INDEX(기본자료!$D$2:$D$501,$AB75)="","",INDEX(기본자료!$D$2:$D$501,$AB75)))</f>
        <v/>
      </c>
      <c r="G75" s="10">
        <f>IF($AB75="","",IF(INDEX(기본자료!$E$2:$E$501,$AB75)="","",INDEX(기본자료!$E$2:$E$501,$AB75)))</f>
        <v/>
      </c>
      <c r="H75" s="10">
        <f>IF($AB75="","",IF(INDEX(기본자료!$F$2:$F$501,$AB75)="","",INDEX(기본자료!$F$2:$F$501,$AB75)))</f>
        <v/>
      </c>
      <c r="I75" s="11">
        <f>IF($AB75="","",IF(INDEX(기본자료!$G$2:$G$501,$AB75)="","",IF(NOT(ISNUMBER(INDEX(기본자료!$G$2:$G$501,$AB75))),INDEX(기본자료!$G$2:$G$501,$AB75),IF(INDEX(기본자료!$G$2:$G$501,$AB75)&lt;1000000,INDEX(기본자료!$G$2:$G$501,$AB75),IF(AND(INDEX(기본자료!$G$2:$G$501,$AB75)&gt;=10000101,INT(MOD(INDEX(기본자료!$G$2:$G$501,$AB75),10000)/100)&gt;=1,INT(MOD(INDEX(기본자료!$G$2:$G$501,$AB75),10000)/100)&lt;=12,MOD(INDEX(기본자료!$G$2:$G$501,$AB75),100)&gt;=1,MOD(INDEX(기본자료!$G$2:$G$501,$AB75),100)&lt;=31),DATE(INT(INDEX(기본자료!$G$2:$G$501,$AB75)/10000),INT(MOD(INDEX(기본자료!$G$2:$G$501,$AB75),10000)/100),MOD(INDEX(기본자료!$G$2:$G$501,$AB75),100)),INDEX(기본자료!$G$2:$G$501,$AB75)&amp;"")))))</f>
        <v/>
      </c>
      <c r="J75" s="10">
        <f>IF($AB75="","",IF(INDEX(기본자료!$H$2:$H$501,$AB75)="","",INDEX(기본자료!$H$2:$H$501,$AB75)))</f>
        <v/>
      </c>
      <c r="K75" s="10">
        <f>IF($AB75="","",IF(INDEX(기본자료!$I$2:$I$501,$AB75)="","",INDEX(기본자료!$I$2:$I$501,$AB75)))</f>
        <v/>
      </c>
      <c r="L75" s="10">
        <f>IF($AB75="","",IF(INDEX(기본자료!$A$2:$A$501,$AB75)="","",INDEX(기본자료!$A$2:$A$501,$AB75)))</f>
        <v/>
      </c>
      <c r="M75" s="14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4" t="n"/>
      <c r="Q75" s="14" t="n"/>
      <c r="R75" s="14" t="n"/>
      <c r="S75" s="15" t="n"/>
      <c r="T75" s="15" t="n"/>
      <c r="U75" s="10">
        <f>IF(OR($B75="",$S75=""),"",IF(TODAY()&lt;$S75,"파견예정",IF(AND($T75&lt;&gt;"",TODAY()&gt;$T75),"파견종료","파견중")))</f>
        <v/>
      </c>
      <c r="V75" s="16">
        <f>IF(OR($S75="",$T75=""),"",$T75-$S75+1)</f>
        <v/>
      </c>
      <c r="W75" s="16">
        <f>IF(AND($U75="파견중",$T75&lt;&gt;""),$T75-TODAY(),"")</f>
        <v/>
      </c>
      <c r="X75" s="16">
        <f>IF(OR($B75="",$S75=""),"",MAX(0,MIN(IF($T75="",EOMONTH(요약!$B$3,0),$T75),EOMONTH(요약!$B$3,0))-MAX($S75,요약!$B$3)+1))</f>
        <v/>
      </c>
      <c r="Y75" s="10">
        <f>IF($B75="","",IF($AE75="","",IF(OR($S75="",$P75="",N($X75)&lt;=0),$AE75,IF($P75="다기관파견",$AE75,IF($AE75="구리병원",IF(AND($Q75&lt;&gt;"",N($X75)&gt;=요약!$E$3),$Q75,$AE75),IF(AND($P75="일반파견(단독)",$Q75&lt;&gt;""),$Q75,$AE75))))))</f>
        <v/>
      </c>
      <c r="Z75" s="17">
        <f>IF($B75="","",IF($AB75="","기본자료에 없는 사번",IF(COUNTIF($B$2:$B$201,$B75)&gt;1,"중복 사번",IF($M75="","입사장소 입력",IF(AND($P75&lt;&gt;"",$S75=""),"파견시작일 입력",IF(AND($S75&lt;&gt;"",$P75=""),"파견종류 입력",IF(AND($P75&lt;&gt;"",$P75&lt;&gt;"다기관파견",$Q75=""),"파견병원 입력",IF(IF($AC75="",0,N(INDEX(인턴근무계획!$T$3:$T$202,$AC75)))&gt;0,"인턴계획 입력오류 확인",IF(AND($AC75&lt;&gt;"",$U75&lt;&gt;"파견중",$N75&lt;&gt;$AE75),"인턴 타지역 근무: 파견 여부 확인","정상")))))))))</f>
        <v/>
      </c>
      <c r="AA75" s="5" t="n"/>
      <c r="AB75" s="10">
        <f>IF($B75="","",IFERROR(MATCH($B75,기본자료!$B$2:$B$501,0),IFERROR(MATCH($B75&amp;"",기본자료!$B$2:$B$501,0),IFERROR(MATCH(VALUE($B75),기본자료!$B$2:$B$501,0),""))))</f>
        <v/>
      </c>
      <c r="AC75" s="10">
        <f>IF($B75="","",IFERROR(MATCH($B75,인턴근무계획!$D$3:$D$202,0),IFERROR(MATCH($B75&amp;"",인턴근무계획!$D$3:$D$202,0),IFERROR(MATCH(VALUE($B75),인턴근무계획!$D$3:$D$202,0),""))))</f>
        <v/>
      </c>
      <c r="AD75" s="10">
        <f>IF(OR($AC75="",인턴현황!$G$3=""),"",INDEX(인턴근무계획!$M$3:$R$202,$AC75,인턴현황!$G$3)&amp;"")</f>
        <v/>
      </c>
      <c r="AE75" s="10">
        <f>IF($B75="","",IF($M75&lt;&gt;"",$M75,IF($H75="","",IF(RIGHT($H75,2)="병원",$H75,$H75&amp;"병원"))))</f>
        <v/>
      </c>
    </row>
    <row r="76">
      <c r="A76" s="10">
        <f>IF(B76="","",ROW()-1)</f>
        <v/>
      </c>
      <c r="B76" s="13" t="n"/>
      <c r="C76" s="10">
        <f>IF($AB76="","",IF(INDEX(기본자료!$C$2:$C$501,$AB76)="","",INDEX(기본자료!$C$2:$C$501,$AB76)))</f>
        <v/>
      </c>
      <c r="D76" s="10">
        <f>IF($AB76="","",IF(INDEX(기본자료!$J$2:$J$501,$AB76)="","",INDEX(기본자료!$J$2:$J$501,$AB76)))</f>
        <v/>
      </c>
      <c r="E76" s="11">
        <f>IF($AB76="","",IF(INDEX(기본자료!$K$2:$K$501,$AB76)="","",IF(NOT(ISNUMBER(INDEX(기본자료!$K$2:$K$501,$AB76))),INDEX(기본자료!$K$2:$K$501,$AB76),IF(INDEX(기본자료!$K$2:$K$501,$AB76)&lt;1000000,INDEX(기본자료!$K$2:$K$501,$AB76),IF(AND(INDEX(기본자료!$K$2:$K$501,$AB76)&gt;=10000101,INT(MOD(INDEX(기본자료!$K$2:$K$501,$AB76),10000)/100)&gt;=1,INT(MOD(INDEX(기본자료!$K$2:$K$501,$AB76),10000)/100)&lt;=12,MOD(INDEX(기본자료!$K$2:$K$501,$AB76),100)&gt;=1,MOD(INDEX(기본자료!$K$2:$K$501,$AB76),100)&lt;=31),DATE(INT(INDEX(기본자료!$K$2:$K$501,$AB76)/10000),INT(MOD(INDEX(기본자료!$K$2:$K$501,$AB76),10000)/100),MOD(INDEX(기본자료!$K$2:$K$501,$AB76),100)),INDEX(기본자료!$K$2:$K$501,$AB76)&amp;"")))))</f>
        <v/>
      </c>
      <c r="F76" s="10">
        <f>IF($AB76="","",IF(INDEX(기본자료!$D$2:$D$501,$AB76)="","",INDEX(기본자료!$D$2:$D$501,$AB76)))</f>
        <v/>
      </c>
      <c r="G76" s="10">
        <f>IF($AB76="","",IF(INDEX(기본자료!$E$2:$E$501,$AB76)="","",INDEX(기본자료!$E$2:$E$501,$AB76)))</f>
        <v/>
      </c>
      <c r="H76" s="10">
        <f>IF($AB76="","",IF(INDEX(기본자료!$F$2:$F$501,$AB76)="","",INDEX(기본자료!$F$2:$F$501,$AB76)))</f>
        <v/>
      </c>
      <c r="I76" s="11">
        <f>IF($AB76="","",IF(INDEX(기본자료!$G$2:$G$501,$AB76)="","",IF(NOT(ISNUMBER(INDEX(기본자료!$G$2:$G$501,$AB76))),INDEX(기본자료!$G$2:$G$501,$AB76),IF(INDEX(기본자료!$G$2:$G$501,$AB76)&lt;1000000,INDEX(기본자료!$G$2:$G$501,$AB76),IF(AND(INDEX(기본자료!$G$2:$G$501,$AB76)&gt;=10000101,INT(MOD(INDEX(기본자료!$G$2:$G$501,$AB76),10000)/100)&gt;=1,INT(MOD(INDEX(기본자료!$G$2:$G$501,$AB76),10000)/100)&lt;=12,MOD(INDEX(기본자료!$G$2:$G$501,$AB76),100)&gt;=1,MOD(INDEX(기본자료!$G$2:$G$501,$AB76),100)&lt;=31),DATE(INT(INDEX(기본자료!$G$2:$G$501,$AB76)/10000),INT(MOD(INDEX(기본자료!$G$2:$G$501,$AB76),10000)/100),MOD(INDEX(기본자료!$G$2:$G$501,$AB76),100)),INDEX(기본자료!$G$2:$G$501,$AB76)&amp;"")))))</f>
        <v/>
      </c>
      <c r="J76" s="10">
        <f>IF($AB76="","",IF(INDEX(기본자료!$H$2:$H$501,$AB76)="","",INDEX(기본자료!$H$2:$H$501,$AB76)))</f>
        <v/>
      </c>
      <c r="K76" s="10">
        <f>IF($AB76="","",IF(INDEX(기본자료!$I$2:$I$501,$AB76)="","",INDEX(기본자료!$I$2:$I$501,$AB76)))</f>
        <v/>
      </c>
      <c r="L76" s="10">
        <f>IF($AB76="","",IF(INDEX(기본자료!$A$2:$A$501,$AB76)="","",INDEX(기본자료!$A$2:$A$501,$AB76)))</f>
        <v/>
      </c>
      <c r="M76" s="14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4" t="n"/>
      <c r="Q76" s="14" t="n"/>
      <c r="R76" s="14" t="n"/>
      <c r="S76" s="15" t="n"/>
      <c r="T76" s="15" t="n"/>
      <c r="U76" s="10">
        <f>IF(OR($B76="",$S76=""),"",IF(TODAY()&lt;$S76,"파견예정",IF(AND($T76&lt;&gt;"",TODAY()&gt;$T76),"파견종료","파견중")))</f>
        <v/>
      </c>
      <c r="V76" s="16">
        <f>IF(OR($S76="",$T76=""),"",$T76-$S76+1)</f>
        <v/>
      </c>
      <c r="W76" s="16">
        <f>IF(AND($U76="파견중",$T76&lt;&gt;""),$T76-TODAY(),"")</f>
        <v/>
      </c>
      <c r="X76" s="16">
        <f>IF(OR($B76="",$S76=""),"",MAX(0,MIN(IF($T76="",EOMONTH(요약!$B$3,0),$T76),EOMONTH(요약!$B$3,0))-MAX($S76,요약!$B$3)+1))</f>
        <v/>
      </c>
      <c r="Y76" s="10">
        <f>IF($B76="","",IF($AE76="","",IF(OR($S76="",$P76="",N($X76)&lt;=0),$AE76,IF($P76="다기관파견",$AE76,IF($AE76="구리병원",IF(AND($Q76&lt;&gt;"",N($X76)&gt;=요약!$E$3),$Q76,$AE76),IF(AND($P76="일반파견(단독)",$Q76&lt;&gt;""),$Q76,$AE76))))))</f>
        <v/>
      </c>
      <c r="Z76" s="17">
        <f>IF($B76="","",IF($AB76="","기본자료에 없는 사번",IF(COUNTIF($B$2:$B$201,$B76)&gt;1,"중복 사번",IF($M76="","입사장소 입력",IF(AND($P76&lt;&gt;"",$S76=""),"파견시작일 입력",IF(AND($S76&lt;&gt;"",$P76=""),"파견종류 입력",IF(AND($P76&lt;&gt;"",$P76&lt;&gt;"다기관파견",$Q76=""),"파견병원 입력",IF(IF($AC76="",0,N(INDEX(인턴근무계획!$T$3:$T$202,$AC76)))&gt;0,"인턴계획 입력오류 확인",IF(AND($AC76&lt;&gt;"",$U76&lt;&gt;"파견중",$N76&lt;&gt;$AE76),"인턴 타지역 근무: 파견 여부 확인","정상")))))))))</f>
        <v/>
      </c>
      <c r="AA76" s="5" t="n"/>
      <c r="AB76" s="10">
        <f>IF($B76="","",IFERROR(MATCH($B76,기본자료!$B$2:$B$501,0),IFERROR(MATCH($B76&amp;"",기본자료!$B$2:$B$501,0),IFERROR(MATCH(VALUE($B76),기본자료!$B$2:$B$501,0),""))))</f>
        <v/>
      </c>
      <c r="AC76" s="10">
        <f>IF($B76="","",IFERROR(MATCH($B76,인턴근무계획!$D$3:$D$202,0),IFERROR(MATCH($B76&amp;"",인턴근무계획!$D$3:$D$202,0),IFERROR(MATCH(VALUE($B76),인턴근무계획!$D$3:$D$202,0),""))))</f>
        <v/>
      </c>
      <c r="AD76" s="10">
        <f>IF(OR($AC76="",인턴현황!$G$3=""),"",INDEX(인턴근무계획!$M$3:$R$202,$AC76,인턴현황!$G$3)&amp;"")</f>
        <v/>
      </c>
      <c r="AE76" s="10">
        <f>IF($B76="","",IF($M76&lt;&gt;"",$M76,IF($H76="","",IF(RIGHT($H76,2)="병원",$H76,$H76&amp;"병원"))))</f>
        <v/>
      </c>
    </row>
    <row r="77">
      <c r="A77" s="10">
        <f>IF(B77="","",ROW()-1)</f>
        <v/>
      </c>
      <c r="B77" s="13" t="n"/>
      <c r="C77" s="10">
        <f>IF($AB77="","",IF(INDEX(기본자료!$C$2:$C$501,$AB77)="","",INDEX(기본자료!$C$2:$C$501,$AB77)))</f>
        <v/>
      </c>
      <c r="D77" s="10">
        <f>IF($AB77="","",IF(INDEX(기본자료!$J$2:$J$501,$AB77)="","",INDEX(기본자료!$J$2:$J$501,$AB77)))</f>
        <v/>
      </c>
      <c r="E77" s="11">
        <f>IF($AB77="","",IF(INDEX(기본자료!$K$2:$K$501,$AB77)="","",IF(NOT(ISNUMBER(INDEX(기본자료!$K$2:$K$501,$AB77))),INDEX(기본자료!$K$2:$K$501,$AB77),IF(INDEX(기본자료!$K$2:$K$501,$AB77)&lt;1000000,INDEX(기본자료!$K$2:$K$501,$AB77),IF(AND(INDEX(기본자료!$K$2:$K$501,$AB77)&gt;=10000101,INT(MOD(INDEX(기본자료!$K$2:$K$501,$AB77),10000)/100)&gt;=1,INT(MOD(INDEX(기본자료!$K$2:$K$501,$AB77),10000)/100)&lt;=12,MOD(INDEX(기본자료!$K$2:$K$501,$AB77),100)&gt;=1,MOD(INDEX(기본자료!$K$2:$K$501,$AB77),100)&lt;=31),DATE(INT(INDEX(기본자료!$K$2:$K$501,$AB77)/10000),INT(MOD(INDEX(기본자료!$K$2:$K$501,$AB77),10000)/100),MOD(INDEX(기본자료!$K$2:$K$501,$AB77),100)),INDEX(기본자료!$K$2:$K$501,$AB77)&amp;"")))))</f>
        <v/>
      </c>
      <c r="F77" s="10">
        <f>IF($AB77="","",IF(INDEX(기본자료!$D$2:$D$501,$AB77)="","",INDEX(기본자료!$D$2:$D$501,$AB77)))</f>
        <v/>
      </c>
      <c r="G77" s="10">
        <f>IF($AB77="","",IF(INDEX(기본자료!$E$2:$E$501,$AB77)="","",INDEX(기본자료!$E$2:$E$501,$AB77)))</f>
        <v/>
      </c>
      <c r="H77" s="10">
        <f>IF($AB77="","",IF(INDEX(기본자료!$F$2:$F$501,$AB77)="","",INDEX(기본자료!$F$2:$F$501,$AB77)))</f>
        <v/>
      </c>
      <c r="I77" s="11">
        <f>IF($AB77="","",IF(INDEX(기본자료!$G$2:$G$501,$AB77)="","",IF(NOT(ISNUMBER(INDEX(기본자료!$G$2:$G$501,$AB77))),INDEX(기본자료!$G$2:$G$501,$AB77),IF(INDEX(기본자료!$G$2:$G$501,$AB77)&lt;1000000,INDEX(기본자료!$G$2:$G$501,$AB77),IF(AND(INDEX(기본자료!$G$2:$G$501,$AB77)&gt;=10000101,INT(MOD(INDEX(기본자료!$G$2:$G$501,$AB77),10000)/100)&gt;=1,INT(MOD(INDEX(기본자료!$G$2:$G$501,$AB77),10000)/100)&lt;=12,MOD(INDEX(기본자료!$G$2:$G$501,$AB77),100)&gt;=1,MOD(INDEX(기본자료!$G$2:$G$501,$AB77),100)&lt;=31),DATE(INT(INDEX(기본자료!$G$2:$G$501,$AB77)/10000),INT(MOD(INDEX(기본자료!$G$2:$G$501,$AB77),10000)/100),MOD(INDEX(기본자료!$G$2:$G$501,$AB77),100)),INDEX(기본자료!$G$2:$G$501,$AB77)&amp;"")))))</f>
        <v/>
      </c>
      <c r="J77" s="10">
        <f>IF($AB77="","",IF(INDEX(기본자료!$H$2:$H$501,$AB77)="","",INDEX(기본자료!$H$2:$H$501,$AB77)))</f>
        <v/>
      </c>
      <c r="K77" s="10">
        <f>IF($AB77="","",IF(INDEX(기본자료!$I$2:$I$501,$AB77)="","",INDEX(기본자료!$I$2:$I$501,$AB77)))</f>
        <v/>
      </c>
      <c r="L77" s="10">
        <f>IF($AB77="","",IF(INDEX(기본자료!$A$2:$A$501,$AB77)="","",INDEX(기본자료!$A$2:$A$501,$AB77)))</f>
        <v/>
      </c>
      <c r="M77" s="14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4" t="n"/>
      <c r="Q77" s="14" t="n"/>
      <c r="R77" s="14" t="n"/>
      <c r="S77" s="15" t="n"/>
      <c r="T77" s="15" t="n"/>
      <c r="U77" s="10">
        <f>IF(OR($B77="",$S77=""),"",IF(TODAY()&lt;$S77,"파견예정",IF(AND($T77&lt;&gt;"",TODAY()&gt;$T77),"파견종료","파견중")))</f>
        <v/>
      </c>
      <c r="V77" s="16">
        <f>IF(OR($S77="",$T77=""),"",$T77-$S77+1)</f>
        <v/>
      </c>
      <c r="W77" s="16">
        <f>IF(AND($U77="파견중",$T77&lt;&gt;""),$T77-TODAY(),"")</f>
        <v/>
      </c>
      <c r="X77" s="16">
        <f>IF(OR($B77="",$S77=""),"",MAX(0,MIN(IF($T77="",EOMONTH(요약!$B$3,0),$T77),EOMONTH(요약!$B$3,0))-MAX($S77,요약!$B$3)+1))</f>
        <v/>
      </c>
      <c r="Y77" s="10">
        <f>IF($B77="","",IF($AE77="","",IF(OR($S77="",$P77="",N($X77)&lt;=0),$AE77,IF($P77="다기관파견",$AE77,IF($AE77="구리병원",IF(AND($Q77&lt;&gt;"",N($X77)&gt;=요약!$E$3),$Q77,$AE77),IF(AND($P77="일반파견(단독)",$Q77&lt;&gt;""),$Q77,$AE77))))))</f>
        <v/>
      </c>
      <c r="Z77" s="17">
        <f>IF($B77="","",IF($AB77="","기본자료에 없는 사번",IF(COUNTIF($B$2:$B$201,$B77)&gt;1,"중복 사번",IF($M77="","입사장소 입력",IF(AND($P77&lt;&gt;"",$S77=""),"파견시작일 입력",IF(AND($S77&lt;&gt;"",$P77=""),"파견종류 입력",IF(AND($P77&lt;&gt;"",$P77&lt;&gt;"다기관파견",$Q77=""),"파견병원 입력",IF(IF($AC77="",0,N(INDEX(인턴근무계획!$T$3:$T$202,$AC77)))&gt;0,"인턴계획 입력오류 확인",IF(AND($AC77&lt;&gt;"",$U77&lt;&gt;"파견중",$N77&lt;&gt;$AE77),"인턴 타지역 근무: 파견 여부 확인","정상")))))))))</f>
        <v/>
      </c>
      <c r="AA77" s="5" t="n"/>
      <c r="AB77" s="10">
        <f>IF($B77="","",IFERROR(MATCH($B77,기본자료!$B$2:$B$501,0),IFERROR(MATCH($B77&amp;"",기본자료!$B$2:$B$501,0),IFERROR(MATCH(VALUE($B77),기본자료!$B$2:$B$501,0),""))))</f>
        <v/>
      </c>
      <c r="AC77" s="10">
        <f>IF($B77="","",IFERROR(MATCH($B77,인턴근무계획!$D$3:$D$202,0),IFERROR(MATCH($B77&amp;"",인턴근무계획!$D$3:$D$202,0),IFERROR(MATCH(VALUE($B77),인턴근무계획!$D$3:$D$202,0),""))))</f>
        <v/>
      </c>
      <c r="AD77" s="10">
        <f>IF(OR($AC77="",인턴현황!$G$3=""),"",INDEX(인턴근무계획!$M$3:$R$202,$AC77,인턴현황!$G$3)&amp;"")</f>
        <v/>
      </c>
      <c r="AE77" s="10">
        <f>IF($B77="","",IF($M77&lt;&gt;"",$M77,IF($H77="","",IF(RIGHT($H77,2)="병원",$H77,$H77&amp;"병원"))))</f>
        <v/>
      </c>
    </row>
    <row r="78">
      <c r="A78" s="10">
        <f>IF(B78="","",ROW()-1)</f>
        <v/>
      </c>
      <c r="B78" s="13" t="n"/>
      <c r="C78" s="10">
        <f>IF($AB78="","",IF(INDEX(기본자료!$C$2:$C$501,$AB78)="","",INDEX(기본자료!$C$2:$C$501,$AB78)))</f>
        <v/>
      </c>
      <c r="D78" s="10">
        <f>IF($AB78="","",IF(INDEX(기본자료!$J$2:$J$501,$AB78)="","",INDEX(기본자료!$J$2:$J$501,$AB78)))</f>
        <v/>
      </c>
      <c r="E78" s="11">
        <f>IF($AB78="","",IF(INDEX(기본자료!$K$2:$K$501,$AB78)="","",IF(NOT(ISNUMBER(INDEX(기본자료!$K$2:$K$501,$AB78))),INDEX(기본자료!$K$2:$K$501,$AB78),IF(INDEX(기본자료!$K$2:$K$501,$AB78)&lt;1000000,INDEX(기본자료!$K$2:$K$501,$AB78),IF(AND(INDEX(기본자료!$K$2:$K$501,$AB78)&gt;=10000101,INT(MOD(INDEX(기본자료!$K$2:$K$501,$AB78),10000)/100)&gt;=1,INT(MOD(INDEX(기본자료!$K$2:$K$501,$AB78),10000)/100)&lt;=12,MOD(INDEX(기본자료!$K$2:$K$501,$AB78),100)&gt;=1,MOD(INDEX(기본자료!$K$2:$K$501,$AB78),100)&lt;=31),DATE(INT(INDEX(기본자료!$K$2:$K$501,$AB78)/10000),INT(MOD(INDEX(기본자료!$K$2:$K$501,$AB78),10000)/100),MOD(INDEX(기본자료!$K$2:$K$501,$AB78),100)),INDEX(기본자료!$K$2:$K$501,$AB78)&amp;"")))))</f>
        <v/>
      </c>
      <c r="F78" s="10">
        <f>IF($AB78="","",IF(INDEX(기본자료!$D$2:$D$501,$AB78)="","",INDEX(기본자료!$D$2:$D$501,$AB78)))</f>
        <v/>
      </c>
      <c r="G78" s="10">
        <f>IF($AB78="","",IF(INDEX(기본자료!$E$2:$E$501,$AB78)="","",INDEX(기본자료!$E$2:$E$501,$AB78)))</f>
        <v/>
      </c>
      <c r="H78" s="10">
        <f>IF($AB78="","",IF(INDEX(기본자료!$F$2:$F$501,$AB78)="","",INDEX(기본자료!$F$2:$F$501,$AB78)))</f>
        <v/>
      </c>
      <c r="I78" s="11">
        <f>IF($AB78="","",IF(INDEX(기본자료!$G$2:$G$501,$AB78)="","",IF(NOT(ISNUMBER(INDEX(기본자료!$G$2:$G$501,$AB78))),INDEX(기본자료!$G$2:$G$501,$AB78),IF(INDEX(기본자료!$G$2:$G$501,$AB78)&lt;1000000,INDEX(기본자료!$G$2:$G$501,$AB78),IF(AND(INDEX(기본자료!$G$2:$G$501,$AB78)&gt;=10000101,INT(MOD(INDEX(기본자료!$G$2:$G$501,$AB78),10000)/100)&gt;=1,INT(MOD(INDEX(기본자료!$G$2:$G$501,$AB78),10000)/100)&lt;=12,MOD(INDEX(기본자료!$G$2:$G$501,$AB78),100)&gt;=1,MOD(INDEX(기본자료!$G$2:$G$501,$AB78),100)&lt;=31),DATE(INT(INDEX(기본자료!$G$2:$G$501,$AB78)/10000),INT(MOD(INDEX(기본자료!$G$2:$G$501,$AB78),10000)/100),MOD(INDEX(기본자료!$G$2:$G$501,$AB78),100)),INDEX(기본자료!$G$2:$G$501,$AB78)&amp;"")))))</f>
        <v/>
      </c>
      <c r="J78" s="10">
        <f>IF($AB78="","",IF(INDEX(기본자료!$H$2:$H$501,$AB78)="","",INDEX(기본자료!$H$2:$H$501,$AB78)))</f>
        <v/>
      </c>
      <c r="K78" s="10">
        <f>IF($AB78="","",IF(INDEX(기본자료!$I$2:$I$501,$AB78)="","",INDEX(기본자료!$I$2:$I$501,$AB78)))</f>
        <v/>
      </c>
      <c r="L78" s="10">
        <f>IF($AB78="","",IF(INDEX(기본자료!$A$2:$A$501,$AB78)="","",INDEX(기본자료!$A$2:$A$501,$AB78)))</f>
        <v/>
      </c>
      <c r="M78" s="14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4" t="n"/>
      <c r="Q78" s="14" t="n"/>
      <c r="R78" s="14" t="n"/>
      <c r="S78" s="15" t="n"/>
      <c r="T78" s="15" t="n"/>
      <c r="U78" s="10">
        <f>IF(OR($B78="",$S78=""),"",IF(TODAY()&lt;$S78,"파견예정",IF(AND($T78&lt;&gt;"",TODAY()&gt;$T78),"파견종료","파견중")))</f>
        <v/>
      </c>
      <c r="V78" s="16">
        <f>IF(OR($S78="",$T78=""),"",$T78-$S78+1)</f>
        <v/>
      </c>
      <c r="W78" s="16">
        <f>IF(AND($U78="파견중",$T78&lt;&gt;""),$T78-TODAY(),"")</f>
        <v/>
      </c>
      <c r="X78" s="16">
        <f>IF(OR($B78="",$S78=""),"",MAX(0,MIN(IF($T78="",EOMONTH(요약!$B$3,0),$T78),EOMONTH(요약!$B$3,0))-MAX($S78,요약!$B$3)+1))</f>
        <v/>
      </c>
      <c r="Y78" s="10">
        <f>IF($B78="","",IF($AE78="","",IF(OR($S78="",$P78="",N($X78)&lt;=0),$AE78,IF($P78="다기관파견",$AE78,IF($AE78="구리병원",IF(AND($Q78&lt;&gt;"",N($X78)&gt;=요약!$E$3),$Q78,$AE78),IF(AND($P78="일반파견(단독)",$Q78&lt;&gt;""),$Q78,$AE78))))))</f>
        <v/>
      </c>
      <c r="Z78" s="17">
        <f>IF($B78="","",IF($AB78="","기본자료에 없는 사번",IF(COUNTIF($B$2:$B$201,$B78)&gt;1,"중복 사번",IF($M78="","입사장소 입력",IF(AND($P78&lt;&gt;"",$S78=""),"파견시작일 입력",IF(AND($S78&lt;&gt;"",$P78=""),"파견종류 입력",IF(AND($P78&lt;&gt;"",$P78&lt;&gt;"다기관파견",$Q78=""),"파견병원 입력",IF(IF($AC78="",0,N(INDEX(인턴근무계획!$T$3:$T$202,$AC78)))&gt;0,"인턴계획 입력오류 확인",IF(AND($AC78&lt;&gt;"",$U78&lt;&gt;"파견중",$N78&lt;&gt;$AE78),"인턴 타지역 근무: 파견 여부 확인","정상")))))))))</f>
        <v/>
      </c>
      <c r="AA78" s="5" t="n"/>
      <c r="AB78" s="10">
        <f>IF($B78="","",IFERROR(MATCH($B78,기본자료!$B$2:$B$501,0),IFERROR(MATCH($B78&amp;"",기본자료!$B$2:$B$501,0),IFERROR(MATCH(VALUE($B78),기본자료!$B$2:$B$501,0),""))))</f>
        <v/>
      </c>
      <c r="AC78" s="10">
        <f>IF($B78="","",IFERROR(MATCH($B78,인턴근무계획!$D$3:$D$202,0),IFERROR(MATCH($B78&amp;"",인턴근무계획!$D$3:$D$202,0),IFERROR(MATCH(VALUE($B78),인턴근무계획!$D$3:$D$202,0),""))))</f>
        <v/>
      </c>
      <c r="AD78" s="10">
        <f>IF(OR($AC78="",인턴현황!$G$3=""),"",INDEX(인턴근무계획!$M$3:$R$202,$AC78,인턴현황!$G$3)&amp;"")</f>
        <v/>
      </c>
      <c r="AE78" s="10">
        <f>IF($B78="","",IF($M78&lt;&gt;"",$M78,IF($H78="","",IF(RIGHT($H78,2)="병원",$H78,$H78&amp;"병원"))))</f>
        <v/>
      </c>
    </row>
    <row r="79">
      <c r="A79" s="10">
        <f>IF(B79="","",ROW()-1)</f>
        <v/>
      </c>
      <c r="B79" s="13" t="n"/>
      <c r="C79" s="10">
        <f>IF($AB79="","",IF(INDEX(기본자료!$C$2:$C$501,$AB79)="","",INDEX(기본자료!$C$2:$C$501,$AB79)))</f>
        <v/>
      </c>
      <c r="D79" s="10">
        <f>IF($AB79="","",IF(INDEX(기본자료!$J$2:$J$501,$AB79)="","",INDEX(기본자료!$J$2:$J$501,$AB79)))</f>
        <v/>
      </c>
      <c r="E79" s="11">
        <f>IF($AB79="","",IF(INDEX(기본자료!$K$2:$K$501,$AB79)="","",IF(NOT(ISNUMBER(INDEX(기본자료!$K$2:$K$501,$AB79))),INDEX(기본자료!$K$2:$K$501,$AB79),IF(INDEX(기본자료!$K$2:$K$501,$AB79)&lt;1000000,INDEX(기본자료!$K$2:$K$501,$AB79),IF(AND(INDEX(기본자료!$K$2:$K$501,$AB79)&gt;=10000101,INT(MOD(INDEX(기본자료!$K$2:$K$501,$AB79),10000)/100)&gt;=1,INT(MOD(INDEX(기본자료!$K$2:$K$501,$AB79),10000)/100)&lt;=12,MOD(INDEX(기본자료!$K$2:$K$501,$AB79),100)&gt;=1,MOD(INDEX(기본자료!$K$2:$K$501,$AB79),100)&lt;=31),DATE(INT(INDEX(기본자료!$K$2:$K$501,$AB79)/10000),INT(MOD(INDEX(기본자료!$K$2:$K$501,$AB79),10000)/100),MOD(INDEX(기본자료!$K$2:$K$501,$AB79),100)),INDEX(기본자료!$K$2:$K$501,$AB79)&amp;"")))))</f>
        <v/>
      </c>
      <c r="F79" s="10">
        <f>IF($AB79="","",IF(INDEX(기본자료!$D$2:$D$501,$AB79)="","",INDEX(기본자료!$D$2:$D$501,$AB79)))</f>
        <v/>
      </c>
      <c r="G79" s="10">
        <f>IF($AB79="","",IF(INDEX(기본자료!$E$2:$E$501,$AB79)="","",INDEX(기본자료!$E$2:$E$501,$AB79)))</f>
        <v/>
      </c>
      <c r="H79" s="10">
        <f>IF($AB79="","",IF(INDEX(기본자료!$F$2:$F$501,$AB79)="","",INDEX(기본자료!$F$2:$F$501,$AB79)))</f>
        <v/>
      </c>
      <c r="I79" s="11">
        <f>IF($AB79="","",IF(INDEX(기본자료!$G$2:$G$501,$AB79)="","",IF(NOT(ISNUMBER(INDEX(기본자료!$G$2:$G$501,$AB79))),INDEX(기본자료!$G$2:$G$501,$AB79),IF(INDEX(기본자료!$G$2:$G$501,$AB79)&lt;1000000,INDEX(기본자료!$G$2:$G$501,$AB79),IF(AND(INDEX(기본자료!$G$2:$G$501,$AB79)&gt;=10000101,INT(MOD(INDEX(기본자료!$G$2:$G$501,$AB79),10000)/100)&gt;=1,INT(MOD(INDEX(기본자료!$G$2:$G$501,$AB79),10000)/100)&lt;=12,MOD(INDEX(기본자료!$G$2:$G$501,$AB79),100)&gt;=1,MOD(INDEX(기본자료!$G$2:$G$501,$AB79),100)&lt;=31),DATE(INT(INDEX(기본자료!$G$2:$G$501,$AB79)/10000),INT(MOD(INDEX(기본자료!$G$2:$G$501,$AB79),10000)/100),MOD(INDEX(기본자료!$G$2:$G$501,$AB79),100)),INDEX(기본자료!$G$2:$G$501,$AB79)&amp;"")))))</f>
        <v/>
      </c>
      <c r="J79" s="10">
        <f>IF($AB79="","",IF(INDEX(기본자료!$H$2:$H$501,$AB79)="","",INDEX(기본자료!$H$2:$H$501,$AB79)))</f>
        <v/>
      </c>
      <c r="K79" s="10">
        <f>IF($AB79="","",IF(INDEX(기본자료!$I$2:$I$501,$AB79)="","",INDEX(기본자료!$I$2:$I$501,$AB79)))</f>
        <v/>
      </c>
      <c r="L79" s="10">
        <f>IF($AB79="","",IF(INDEX(기본자료!$A$2:$A$501,$AB79)="","",INDEX(기본자료!$A$2:$A$501,$AB79)))</f>
        <v/>
      </c>
      <c r="M79" s="14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4" t="n"/>
      <c r="Q79" s="14" t="n"/>
      <c r="R79" s="14" t="n"/>
      <c r="S79" s="15" t="n"/>
      <c r="T79" s="15" t="n"/>
      <c r="U79" s="10">
        <f>IF(OR($B79="",$S79=""),"",IF(TODAY()&lt;$S79,"파견예정",IF(AND($T79&lt;&gt;"",TODAY()&gt;$T79),"파견종료","파견중")))</f>
        <v/>
      </c>
      <c r="V79" s="16">
        <f>IF(OR($S79="",$T79=""),"",$T79-$S79+1)</f>
        <v/>
      </c>
      <c r="W79" s="16">
        <f>IF(AND($U79="파견중",$T79&lt;&gt;""),$T79-TODAY(),"")</f>
        <v/>
      </c>
      <c r="X79" s="16">
        <f>IF(OR($B79="",$S79=""),"",MAX(0,MIN(IF($T79="",EOMONTH(요약!$B$3,0),$T79),EOMONTH(요약!$B$3,0))-MAX($S79,요약!$B$3)+1))</f>
        <v/>
      </c>
      <c r="Y79" s="10">
        <f>IF($B79="","",IF($AE79="","",IF(OR($S79="",$P79="",N($X79)&lt;=0),$AE79,IF($P79="다기관파견",$AE79,IF($AE79="구리병원",IF(AND($Q79&lt;&gt;"",N($X79)&gt;=요약!$E$3),$Q79,$AE79),IF(AND($P79="일반파견(단독)",$Q79&lt;&gt;""),$Q79,$AE79))))))</f>
        <v/>
      </c>
      <c r="Z79" s="17">
        <f>IF($B79="","",IF($AB79="","기본자료에 없는 사번",IF(COUNTIF($B$2:$B$201,$B79)&gt;1,"중복 사번",IF($M79="","입사장소 입력",IF(AND($P79&lt;&gt;"",$S79=""),"파견시작일 입력",IF(AND($S79&lt;&gt;"",$P79=""),"파견종류 입력",IF(AND($P79&lt;&gt;"",$P79&lt;&gt;"다기관파견",$Q79=""),"파견병원 입력",IF(IF($AC79="",0,N(INDEX(인턴근무계획!$T$3:$T$202,$AC79)))&gt;0,"인턴계획 입력오류 확인",IF(AND($AC79&lt;&gt;"",$U79&lt;&gt;"파견중",$N79&lt;&gt;$AE79),"인턴 타지역 근무: 파견 여부 확인","정상")))))))))</f>
        <v/>
      </c>
      <c r="AA79" s="5" t="n"/>
      <c r="AB79" s="10">
        <f>IF($B79="","",IFERROR(MATCH($B79,기본자료!$B$2:$B$501,0),IFERROR(MATCH($B79&amp;"",기본자료!$B$2:$B$501,0),IFERROR(MATCH(VALUE($B79),기본자료!$B$2:$B$501,0),""))))</f>
        <v/>
      </c>
      <c r="AC79" s="10">
        <f>IF($B79="","",IFERROR(MATCH($B79,인턴근무계획!$D$3:$D$202,0),IFERROR(MATCH($B79&amp;"",인턴근무계획!$D$3:$D$202,0),IFERROR(MATCH(VALUE($B79),인턴근무계획!$D$3:$D$202,0),""))))</f>
        <v/>
      </c>
      <c r="AD79" s="10">
        <f>IF(OR($AC79="",인턴현황!$G$3=""),"",INDEX(인턴근무계획!$M$3:$R$202,$AC79,인턴현황!$G$3)&amp;"")</f>
        <v/>
      </c>
      <c r="AE79" s="10">
        <f>IF($B79="","",IF($M79&lt;&gt;"",$M79,IF($H79="","",IF(RIGHT($H79,2)="병원",$H79,$H79&amp;"병원"))))</f>
        <v/>
      </c>
    </row>
    <row r="80">
      <c r="A80" s="10">
        <f>IF(B80="","",ROW()-1)</f>
        <v/>
      </c>
      <c r="B80" s="13" t="n"/>
      <c r="C80" s="10">
        <f>IF($AB80="","",IF(INDEX(기본자료!$C$2:$C$501,$AB80)="","",INDEX(기본자료!$C$2:$C$501,$AB80)))</f>
        <v/>
      </c>
      <c r="D80" s="10">
        <f>IF($AB80="","",IF(INDEX(기본자료!$J$2:$J$501,$AB80)="","",INDEX(기본자료!$J$2:$J$501,$AB80)))</f>
        <v/>
      </c>
      <c r="E80" s="11">
        <f>IF($AB80="","",IF(INDEX(기본자료!$K$2:$K$501,$AB80)="","",IF(NOT(ISNUMBER(INDEX(기본자료!$K$2:$K$501,$AB80))),INDEX(기본자료!$K$2:$K$501,$AB80),IF(INDEX(기본자료!$K$2:$K$501,$AB80)&lt;1000000,INDEX(기본자료!$K$2:$K$501,$AB80),IF(AND(INDEX(기본자료!$K$2:$K$501,$AB80)&gt;=10000101,INT(MOD(INDEX(기본자료!$K$2:$K$501,$AB80),10000)/100)&gt;=1,INT(MOD(INDEX(기본자료!$K$2:$K$501,$AB80),10000)/100)&lt;=12,MOD(INDEX(기본자료!$K$2:$K$501,$AB80),100)&gt;=1,MOD(INDEX(기본자료!$K$2:$K$501,$AB80),100)&lt;=31),DATE(INT(INDEX(기본자료!$K$2:$K$501,$AB80)/10000),INT(MOD(INDEX(기본자료!$K$2:$K$501,$AB80),10000)/100),MOD(INDEX(기본자료!$K$2:$K$501,$AB80),100)),INDEX(기본자료!$K$2:$K$501,$AB80)&amp;"")))))</f>
        <v/>
      </c>
      <c r="F80" s="10">
        <f>IF($AB80="","",IF(INDEX(기본자료!$D$2:$D$501,$AB80)="","",INDEX(기본자료!$D$2:$D$501,$AB80)))</f>
        <v/>
      </c>
      <c r="G80" s="10">
        <f>IF($AB80="","",IF(INDEX(기본자료!$E$2:$E$501,$AB80)="","",INDEX(기본자료!$E$2:$E$501,$AB80)))</f>
        <v/>
      </c>
      <c r="H80" s="10">
        <f>IF($AB80="","",IF(INDEX(기본자료!$F$2:$F$501,$AB80)="","",INDEX(기본자료!$F$2:$F$501,$AB80)))</f>
        <v/>
      </c>
      <c r="I80" s="11">
        <f>IF($AB80="","",IF(INDEX(기본자료!$G$2:$G$501,$AB80)="","",IF(NOT(ISNUMBER(INDEX(기본자료!$G$2:$G$501,$AB80))),INDEX(기본자료!$G$2:$G$501,$AB80),IF(INDEX(기본자료!$G$2:$G$501,$AB80)&lt;1000000,INDEX(기본자료!$G$2:$G$501,$AB80),IF(AND(INDEX(기본자료!$G$2:$G$501,$AB80)&gt;=10000101,INT(MOD(INDEX(기본자료!$G$2:$G$501,$AB80),10000)/100)&gt;=1,INT(MOD(INDEX(기본자료!$G$2:$G$501,$AB80),10000)/100)&lt;=12,MOD(INDEX(기본자료!$G$2:$G$501,$AB80),100)&gt;=1,MOD(INDEX(기본자료!$G$2:$G$501,$AB80),100)&lt;=31),DATE(INT(INDEX(기본자료!$G$2:$G$501,$AB80)/10000),INT(MOD(INDEX(기본자료!$G$2:$G$501,$AB80),10000)/100),MOD(INDEX(기본자료!$G$2:$G$501,$AB80),100)),INDEX(기본자료!$G$2:$G$501,$AB80)&amp;"")))))</f>
        <v/>
      </c>
      <c r="J80" s="10">
        <f>IF($AB80="","",IF(INDEX(기본자료!$H$2:$H$501,$AB80)="","",INDEX(기본자료!$H$2:$H$501,$AB80)))</f>
        <v/>
      </c>
      <c r="K80" s="10">
        <f>IF($AB80="","",IF(INDEX(기본자료!$I$2:$I$501,$AB80)="","",INDEX(기본자료!$I$2:$I$501,$AB80)))</f>
        <v/>
      </c>
      <c r="L80" s="10">
        <f>IF($AB80="","",IF(INDEX(기본자료!$A$2:$A$501,$AB80)="","",INDEX(기본자료!$A$2:$A$501,$AB80)))</f>
        <v/>
      </c>
      <c r="M80" s="14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4" t="n"/>
      <c r="Q80" s="14" t="n"/>
      <c r="R80" s="14" t="n"/>
      <c r="S80" s="15" t="n"/>
      <c r="T80" s="15" t="n"/>
      <c r="U80" s="10">
        <f>IF(OR($B80="",$S80=""),"",IF(TODAY()&lt;$S80,"파견예정",IF(AND($T80&lt;&gt;"",TODAY()&gt;$T80),"파견종료","파견중")))</f>
        <v/>
      </c>
      <c r="V80" s="16">
        <f>IF(OR($S80="",$T80=""),"",$T80-$S80+1)</f>
        <v/>
      </c>
      <c r="W80" s="16">
        <f>IF(AND($U80="파견중",$T80&lt;&gt;""),$T80-TODAY(),"")</f>
        <v/>
      </c>
      <c r="X80" s="16">
        <f>IF(OR($B80="",$S80=""),"",MAX(0,MIN(IF($T80="",EOMONTH(요약!$B$3,0),$T80),EOMONTH(요약!$B$3,0))-MAX($S80,요약!$B$3)+1))</f>
        <v/>
      </c>
      <c r="Y80" s="10">
        <f>IF($B80="","",IF($AE80="","",IF(OR($S80="",$P80="",N($X80)&lt;=0),$AE80,IF($P80="다기관파견",$AE80,IF($AE80="구리병원",IF(AND($Q80&lt;&gt;"",N($X80)&gt;=요약!$E$3),$Q80,$AE80),IF(AND($P80="일반파견(단독)",$Q80&lt;&gt;""),$Q80,$AE80))))))</f>
        <v/>
      </c>
      <c r="Z80" s="17">
        <f>IF($B80="","",IF($AB80="","기본자료에 없는 사번",IF(COUNTIF($B$2:$B$201,$B80)&gt;1,"중복 사번",IF($M80="","입사장소 입력",IF(AND($P80&lt;&gt;"",$S80=""),"파견시작일 입력",IF(AND($S80&lt;&gt;"",$P80=""),"파견종류 입력",IF(AND($P80&lt;&gt;"",$P80&lt;&gt;"다기관파견",$Q80=""),"파견병원 입력",IF(IF($AC80="",0,N(INDEX(인턴근무계획!$T$3:$T$202,$AC80)))&gt;0,"인턴계획 입력오류 확인",IF(AND($AC80&lt;&gt;"",$U80&lt;&gt;"파견중",$N80&lt;&gt;$AE80),"인턴 타지역 근무: 파견 여부 확인","정상")))))))))</f>
        <v/>
      </c>
      <c r="AA80" s="5" t="n"/>
      <c r="AB80" s="10">
        <f>IF($B80="","",IFERROR(MATCH($B80,기본자료!$B$2:$B$501,0),IFERROR(MATCH($B80&amp;"",기본자료!$B$2:$B$501,0),IFERROR(MATCH(VALUE($B80),기본자료!$B$2:$B$501,0),""))))</f>
        <v/>
      </c>
      <c r="AC80" s="10">
        <f>IF($B80="","",IFERROR(MATCH($B80,인턴근무계획!$D$3:$D$202,0),IFERROR(MATCH($B80&amp;"",인턴근무계획!$D$3:$D$202,0),IFERROR(MATCH(VALUE($B80),인턴근무계획!$D$3:$D$202,0),""))))</f>
        <v/>
      </c>
      <c r="AD80" s="10">
        <f>IF(OR($AC80="",인턴현황!$G$3=""),"",INDEX(인턴근무계획!$M$3:$R$202,$AC80,인턴현황!$G$3)&amp;"")</f>
        <v/>
      </c>
      <c r="AE80" s="10">
        <f>IF($B80="","",IF($M80&lt;&gt;"",$M80,IF($H80="","",IF(RIGHT($H80,2)="병원",$H80,$H80&amp;"병원"))))</f>
        <v/>
      </c>
    </row>
    <row r="81">
      <c r="A81" s="10">
        <f>IF(B81="","",ROW()-1)</f>
        <v/>
      </c>
      <c r="B81" s="13" t="n"/>
      <c r="C81" s="10">
        <f>IF($AB81="","",IF(INDEX(기본자료!$C$2:$C$501,$AB81)="","",INDEX(기본자료!$C$2:$C$501,$AB81)))</f>
        <v/>
      </c>
      <c r="D81" s="10">
        <f>IF($AB81="","",IF(INDEX(기본자료!$J$2:$J$501,$AB81)="","",INDEX(기본자료!$J$2:$J$501,$AB81)))</f>
        <v/>
      </c>
      <c r="E81" s="11">
        <f>IF($AB81="","",IF(INDEX(기본자료!$K$2:$K$501,$AB81)="","",IF(NOT(ISNUMBER(INDEX(기본자료!$K$2:$K$501,$AB81))),INDEX(기본자료!$K$2:$K$501,$AB81),IF(INDEX(기본자료!$K$2:$K$501,$AB81)&lt;1000000,INDEX(기본자료!$K$2:$K$501,$AB81),IF(AND(INDEX(기본자료!$K$2:$K$501,$AB81)&gt;=10000101,INT(MOD(INDEX(기본자료!$K$2:$K$501,$AB81),10000)/100)&gt;=1,INT(MOD(INDEX(기본자료!$K$2:$K$501,$AB81),10000)/100)&lt;=12,MOD(INDEX(기본자료!$K$2:$K$501,$AB81),100)&gt;=1,MOD(INDEX(기본자료!$K$2:$K$501,$AB81),100)&lt;=31),DATE(INT(INDEX(기본자료!$K$2:$K$501,$AB81)/10000),INT(MOD(INDEX(기본자료!$K$2:$K$501,$AB81),10000)/100),MOD(INDEX(기본자료!$K$2:$K$501,$AB81),100)),INDEX(기본자료!$K$2:$K$501,$AB81)&amp;"")))))</f>
        <v/>
      </c>
      <c r="F81" s="10">
        <f>IF($AB81="","",IF(INDEX(기본자료!$D$2:$D$501,$AB81)="","",INDEX(기본자료!$D$2:$D$501,$AB81)))</f>
        <v/>
      </c>
      <c r="G81" s="10">
        <f>IF($AB81="","",IF(INDEX(기본자료!$E$2:$E$501,$AB81)="","",INDEX(기본자료!$E$2:$E$501,$AB81)))</f>
        <v/>
      </c>
      <c r="H81" s="10">
        <f>IF($AB81="","",IF(INDEX(기본자료!$F$2:$F$501,$AB81)="","",INDEX(기본자료!$F$2:$F$501,$AB81)))</f>
        <v/>
      </c>
      <c r="I81" s="11">
        <f>IF($AB81="","",IF(INDEX(기본자료!$G$2:$G$501,$AB81)="","",IF(NOT(ISNUMBER(INDEX(기본자료!$G$2:$G$501,$AB81))),INDEX(기본자료!$G$2:$G$501,$AB81),IF(INDEX(기본자료!$G$2:$G$501,$AB81)&lt;1000000,INDEX(기본자료!$G$2:$G$501,$AB81),IF(AND(INDEX(기본자료!$G$2:$G$501,$AB81)&gt;=10000101,INT(MOD(INDEX(기본자료!$G$2:$G$501,$AB81),10000)/100)&gt;=1,INT(MOD(INDEX(기본자료!$G$2:$G$501,$AB81),10000)/100)&lt;=12,MOD(INDEX(기본자료!$G$2:$G$501,$AB81),100)&gt;=1,MOD(INDEX(기본자료!$G$2:$G$501,$AB81),100)&lt;=31),DATE(INT(INDEX(기본자료!$G$2:$G$501,$AB81)/10000),INT(MOD(INDEX(기본자료!$G$2:$G$501,$AB81),10000)/100),MOD(INDEX(기본자료!$G$2:$G$501,$AB81),100)),INDEX(기본자료!$G$2:$G$501,$AB81)&amp;"")))))</f>
        <v/>
      </c>
      <c r="J81" s="10">
        <f>IF($AB81="","",IF(INDEX(기본자료!$H$2:$H$501,$AB81)="","",INDEX(기본자료!$H$2:$H$501,$AB81)))</f>
        <v/>
      </c>
      <c r="K81" s="10">
        <f>IF($AB81="","",IF(INDEX(기본자료!$I$2:$I$501,$AB81)="","",INDEX(기본자료!$I$2:$I$501,$AB81)))</f>
        <v/>
      </c>
      <c r="L81" s="10">
        <f>IF($AB81="","",IF(INDEX(기본자료!$A$2:$A$501,$AB81)="","",INDEX(기본자료!$A$2:$A$501,$AB81)))</f>
        <v/>
      </c>
      <c r="M81" s="14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4" t="n"/>
      <c r="Q81" s="14" t="n"/>
      <c r="R81" s="14" t="n"/>
      <c r="S81" s="15" t="n"/>
      <c r="T81" s="15" t="n"/>
      <c r="U81" s="10">
        <f>IF(OR($B81="",$S81=""),"",IF(TODAY()&lt;$S81,"파견예정",IF(AND($T81&lt;&gt;"",TODAY()&gt;$T81),"파견종료","파견중")))</f>
        <v/>
      </c>
      <c r="V81" s="16">
        <f>IF(OR($S81="",$T81=""),"",$T81-$S81+1)</f>
        <v/>
      </c>
      <c r="W81" s="16">
        <f>IF(AND($U81="파견중",$T81&lt;&gt;""),$T81-TODAY(),"")</f>
        <v/>
      </c>
      <c r="X81" s="16">
        <f>IF(OR($B81="",$S81=""),"",MAX(0,MIN(IF($T81="",EOMONTH(요약!$B$3,0),$T81),EOMONTH(요약!$B$3,0))-MAX($S81,요약!$B$3)+1))</f>
        <v/>
      </c>
      <c r="Y81" s="10">
        <f>IF($B81="","",IF($AE81="","",IF(OR($S81="",$P81="",N($X81)&lt;=0),$AE81,IF($P81="다기관파견",$AE81,IF($AE81="구리병원",IF(AND($Q81&lt;&gt;"",N($X81)&gt;=요약!$E$3),$Q81,$AE81),IF(AND($P81="일반파견(단독)",$Q81&lt;&gt;""),$Q81,$AE81))))))</f>
        <v/>
      </c>
      <c r="Z81" s="17">
        <f>IF($B81="","",IF($AB81="","기본자료에 없는 사번",IF(COUNTIF($B$2:$B$201,$B81)&gt;1,"중복 사번",IF($M81="","입사장소 입력",IF(AND($P81&lt;&gt;"",$S81=""),"파견시작일 입력",IF(AND($S81&lt;&gt;"",$P81=""),"파견종류 입력",IF(AND($P81&lt;&gt;"",$P81&lt;&gt;"다기관파견",$Q81=""),"파견병원 입력",IF(IF($AC81="",0,N(INDEX(인턴근무계획!$T$3:$T$202,$AC81)))&gt;0,"인턴계획 입력오류 확인",IF(AND($AC81&lt;&gt;"",$U81&lt;&gt;"파견중",$N81&lt;&gt;$AE81),"인턴 타지역 근무: 파견 여부 확인","정상")))))))))</f>
        <v/>
      </c>
      <c r="AA81" s="5" t="n"/>
      <c r="AB81" s="10">
        <f>IF($B81="","",IFERROR(MATCH($B81,기본자료!$B$2:$B$501,0),IFERROR(MATCH($B81&amp;"",기본자료!$B$2:$B$501,0),IFERROR(MATCH(VALUE($B81),기본자료!$B$2:$B$501,0),""))))</f>
        <v/>
      </c>
      <c r="AC81" s="10">
        <f>IF($B81="","",IFERROR(MATCH($B81,인턴근무계획!$D$3:$D$202,0),IFERROR(MATCH($B81&amp;"",인턴근무계획!$D$3:$D$202,0),IFERROR(MATCH(VALUE($B81),인턴근무계획!$D$3:$D$202,0),""))))</f>
        <v/>
      </c>
      <c r="AD81" s="10">
        <f>IF(OR($AC81="",인턴현황!$G$3=""),"",INDEX(인턴근무계획!$M$3:$R$202,$AC81,인턴현황!$G$3)&amp;"")</f>
        <v/>
      </c>
      <c r="AE81" s="10">
        <f>IF($B81="","",IF($M81&lt;&gt;"",$M81,IF($H81="","",IF(RIGHT($H81,2)="병원",$H81,$H81&amp;"병원"))))</f>
        <v/>
      </c>
    </row>
    <row r="82">
      <c r="A82" s="10">
        <f>IF(B82="","",ROW()-1)</f>
        <v/>
      </c>
      <c r="B82" s="13" t="n"/>
      <c r="C82" s="10">
        <f>IF($AB82="","",IF(INDEX(기본자료!$C$2:$C$501,$AB82)="","",INDEX(기본자료!$C$2:$C$501,$AB82)))</f>
        <v/>
      </c>
      <c r="D82" s="10">
        <f>IF($AB82="","",IF(INDEX(기본자료!$J$2:$J$501,$AB82)="","",INDEX(기본자료!$J$2:$J$501,$AB82)))</f>
        <v/>
      </c>
      <c r="E82" s="11">
        <f>IF($AB82="","",IF(INDEX(기본자료!$K$2:$K$501,$AB82)="","",IF(NOT(ISNUMBER(INDEX(기본자료!$K$2:$K$501,$AB82))),INDEX(기본자료!$K$2:$K$501,$AB82),IF(INDEX(기본자료!$K$2:$K$501,$AB82)&lt;1000000,INDEX(기본자료!$K$2:$K$501,$AB82),IF(AND(INDEX(기본자료!$K$2:$K$501,$AB82)&gt;=10000101,INT(MOD(INDEX(기본자료!$K$2:$K$501,$AB82),10000)/100)&gt;=1,INT(MOD(INDEX(기본자료!$K$2:$K$501,$AB82),10000)/100)&lt;=12,MOD(INDEX(기본자료!$K$2:$K$501,$AB82),100)&gt;=1,MOD(INDEX(기본자료!$K$2:$K$501,$AB82),100)&lt;=31),DATE(INT(INDEX(기본자료!$K$2:$K$501,$AB82)/10000),INT(MOD(INDEX(기본자료!$K$2:$K$501,$AB82),10000)/100),MOD(INDEX(기본자료!$K$2:$K$501,$AB82),100)),INDEX(기본자료!$K$2:$K$501,$AB82)&amp;"")))))</f>
        <v/>
      </c>
      <c r="F82" s="10">
        <f>IF($AB82="","",IF(INDEX(기본자료!$D$2:$D$501,$AB82)="","",INDEX(기본자료!$D$2:$D$501,$AB82)))</f>
        <v/>
      </c>
      <c r="G82" s="10">
        <f>IF($AB82="","",IF(INDEX(기본자료!$E$2:$E$501,$AB82)="","",INDEX(기본자료!$E$2:$E$501,$AB82)))</f>
        <v/>
      </c>
      <c r="H82" s="10">
        <f>IF($AB82="","",IF(INDEX(기본자료!$F$2:$F$501,$AB82)="","",INDEX(기본자료!$F$2:$F$501,$AB82)))</f>
        <v/>
      </c>
      <c r="I82" s="11">
        <f>IF($AB82="","",IF(INDEX(기본자료!$G$2:$G$501,$AB82)="","",IF(NOT(ISNUMBER(INDEX(기본자료!$G$2:$G$501,$AB82))),INDEX(기본자료!$G$2:$G$501,$AB82),IF(INDEX(기본자료!$G$2:$G$501,$AB82)&lt;1000000,INDEX(기본자료!$G$2:$G$501,$AB82),IF(AND(INDEX(기본자료!$G$2:$G$501,$AB82)&gt;=10000101,INT(MOD(INDEX(기본자료!$G$2:$G$501,$AB82),10000)/100)&gt;=1,INT(MOD(INDEX(기본자료!$G$2:$G$501,$AB82),10000)/100)&lt;=12,MOD(INDEX(기본자료!$G$2:$G$501,$AB82),100)&gt;=1,MOD(INDEX(기본자료!$G$2:$G$501,$AB82),100)&lt;=31),DATE(INT(INDEX(기본자료!$G$2:$G$501,$AB82)/10000),INT(MOD(INDEX(기본자료!$G$2:$G$501,$AB82),10000)/100),MOD(INDEX(기본자료!$G$2:$G$501,$AB82),100)),INDEX(기본자료!$G$2:$G$501,$AB82)&amp;"")))))</f>
        <v/>
      </c>
      <c r="J82" s="10">
        <f>IF($AB82="","",IF(INDEX(기본자료!$H$2:$H$501,$AB82)="","",INDEX(기본자료!$H$2:$H$501,$AB82)))</f>
        <v/>
      </c>
      <c r="K82" s="10">
        <f>IF($AB82="","",IF(INDEX(기본자료!$I$2:$I$501,$AB82)="","",INDEX(기본자료!$I$2:$I$501,$AB82)))</f>
        <v/>
      </c>
      <c r="L82" s="10">
        <f>IF($AB82="","",IF(INDEX(기본자료!$A$2:$A$501,$AB82)="","",INDEX(기본자료!$A$2:$A$501,$AB82)))</f>
        <v/>
      </c>
      <c r="M82" s="14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4" t="n"/>
      <c r="Q82" s="14" t="n"/>
      <c r="R82" s="14" t="n"/>
      <c r="S82" s="15" t="n"/>
      <c r="T82" s="15" t="n"/>
      <c r="U82" s="10">
        <f>IF(OR($B82="",$S82=""),"",IF(TODAY()&lt;$S82,"파견예정",IF(AND($T82&lt;&gt;"",TODAY()&gt;$T82),"파견종료","파견중")))</f>
        <v/>
      </c>
      <c r="V82" s="16">
        <f>IF(OR($S82="",$T82=""),"",$T82-$S82+1)</f>
        <v/>
      </c>
      <c r="W82" s="16">
        <f>IF(AND($U82="파견중",$T82&lt;&gt;""),$T82-TODAY(),"")</f>
        <v/>
      </c>
      <c r="X82" s="16">
        <f>IF(OR($B82="",$S82=""),"",MAX(0,MIN(IF($T82="",EOMONTH(요약!$B$3,0),$T82),EOMONTH(요약!$B$3,0))-MAX($S82,요약!$B$3)+1))</f>
        <v/>
      </c>
      <c r="Y82" s="10">
        <f>IF($B82="","",IF($AE82="","",IF(OR($S82="",$P82="",N($X82)&lt;=0),$AE82,IF($P82="다기관파견",$AE82,IF($AE82="구리병원",IF(AND($Q82&lt;&gt;"",N($X82)&gt;=요약!$E$3),$Q82,$AE82),IF(AND($P82="일반파견(단독)",$Q82&lt;&gt;""),$Q82,$AE82))))))</f>
        <v/>
      </c>
      <c r="Z82" s="17">
        <f>IF($B82="","",IF($AB82="","기본자료에 없는 사번",IF(COUNTIF($B$2:$B$201,$B82)&gt;1,"중복 사번",IF($M82="","입사장소 입력",IF(AND($P82&lt;&gt;"",$S82=""),"파견시작일 입력",IF(AND($S82&lt;&gt;"",$P82=""),"파견종류 입력",IF(AND($P82&lt;&gt;"",$P82&lt;&gt;"다기관파견",$Q82=""),"파견병원 입력",IF(IF($AC82="",0,N(INDEX(인턴근무계획!$T$3:$T$202,$AC82)))&gt;0,"인턴계획 입력오류 확인",IF(AND($AC82&lt;&gt;"",$U82&lt;&gt;"파견중",$N82&lt;&gt;$AE82),"인턴 타지역 근무: 파견 여부 확인","정상")))))))))</f>
        <v/>
      </c>
      <c r="AA82" s="5" t="n"/>
      <c r="AB82" s="10">
        <f>IF($B82="","",IFERROR(MATCH($B82,기본자료!$B$2:$B$501,0),IFERROR(MATCH($B82&amp;"",기본자료!$B$2:$B$501,0),IFERROR(MATCH(VALUE($B82),기본자료!$B$2:$B$501,0),""))))</f>
        <v/>
      </c>
      <c r="AC82" s="10">
        <f>IF($B82="","",IFERROR(MATCH($B82,인턴근무계획!$D$3:$D$202,0),IFERROR(MATCH($B82&amp;"",인턴근무계획!$D$3:$D$202,0),IFERROR(MATCH(VALUE($B82),인턴근무계획!$D$3:$D$202,0),""))))</f>
        <v/>
      </c>
      <c r="AD82" s="10">
        <f>IF(OR($AC82="",인턴현황!$G$3=""),"",INDEX(인턴근무계획!$M$3:$R$202,$AC82,인턴현황!$G$3)&amp;"")</f>
        <v/>
      </c>
      <c r="AE82" s="10">
        <f>IF($B82="","",IF($M82&lt;&gt;"",$M82,IF($H82="","",IF(RIGHT($H82,2)="병원",$H82,$H82&amp;"병원"))))</f>
        <v/>
      </c>
    </row>
    <row r="83">
      <c r="A83" s="10">
        <f>IF(B83="","",ROW()-1)</f>
        <v/>
      </c>
      <c r="B83" s="13" t="n"/>
      <c r="C83" s="10">
        <f>IF($AB83="","",IF(INDEX(기본자료!$C$2:$C$501,$AB83)="","",INDEX(기본자료!$C$2:$C$501,$AB83)))</f>
        <v/>
      </c>
      <c r="D83" s="10">
        <f>IF($AB83="","",IF(INDEX(기본자료!$J$2:$J$501,$AB83)="","",INDEX(기본자료!$J$2:$J$501,$AB83)))</f>
        <v/>
      </c>
      <c r="E83" s="11">
        <f>IF($AB83="","",IF(INDEX(기본자료!$K$2:$K$501,$AB83)="","",IF(NOT(ISNUMBER(INDEX(기본자료!$K$2:$K$501,$AB83))),INDEX(기본자료!$K$2:$K$501,$AB83),IF(INDEX(기본자료!$K$2:$K$501,$AB83)&lt;1000000,INDEX(기본자료!$K$2:$K$501,$AB83),IF(AND(INDEX(기본자료!$K$2:$K$501,$AB83)&gt;=10000101,INT(MOD(INDEX(기본자료!$K$2:$K$501,$AB83),10000)/100)&gt;=1,INT(MOD(INDEX(기본자료!$K$2:$K$501,$AB83),10000)/100)&lt;=12,MOD(INDEX(기본자료!$K$2:$K$501,$AB83),100)&gt;=1,MOD(INDEX(기본자료!$K$2:$K$501,$AB83),100)&lt;=31),DATE(INT(INDEX(기본자료!$K$2:$K$501,$AB83)/10000),INT(MOD(INDEX(기본자료!$K$2:$K$501,$AB83),10000)/100),MOD(INDEX(기본자료!$K$2:$K$501,$AB83),100)),INDEX(기본자료!$K$2:$K$501,$AB83)&amp;"")))))</f>
        <v/>
      </c>
      <c r="F83" s="10">
        <f>IF($AB83="","",IF(INDEX(기본자료!$D$2:$D$501,$AB83)="","",INDEX(기본자료!$D$2:$D$501,$AB83)))</f>
        <v/>
      </c>
      <c r="G83" s="10">
        <f>IF($AB83="","",IF(INDEX(기본자료!$E$2:$E$501,$AB83)="","",INDEX(기본자료!$E$2:$E$501,$AB83)))</f>
        <v/>
      </c>
      <c r="H83" s="10">
        <f>IF($AB83="","",IF(INDEX(기본자료!$F$2:$F$501,$AB83)="","",INDEX(기본자료!$F$2:$F$501,$AB83)))</f>
        <v/>
      </c>
      <c r="I83" s="11">
        <f>IF($AB83="","",IF(INDEX(기본자료!$G$2:$G$501,$AB83)="","",IF(NOT(ISNUMBER(INDEX(기본자료!$G$2:$G$501,$AB83))),INDEX(기본자료!$G$2:$G$501,$AB83),IF(INDEX(기본자료!$G$2:$G$501,$AB83)&lt;1000000,INDEX(기본자료!$G$2:$G$501,$AB83),IF(AND(INDEX(기본자료!$G$2:$G$501,$AB83)&gt;=10000101,INT(MOD(INDEX(기본자료!$G$2:$G$501,$AB83),10000)/100)&gt;=1,INT(MOD(INDEX(기본자료!$G$2:$G$501,$AB83),10000)/100)&lt;=12,MOD(INDEX(기본자료!$G$2:$G$501,$AB83),100)&gt;=1,MOD(INDEX(기본자료!$G$2:$G$501,$AB83),100)&lt;=31),DATE(INT(INDEX(기본자료!$G$2:$G$501,$AB83)/10000),INT(MOD(INDEX(기본자료!$G$2:$G$501,$AB83),10000)/100),MOD(INDEX(기본자료!$G$2:$G$501,$AB83),100)),INDEX(기본자료!$G$2:$G$501,$AB83)&amp;"")))))</f>
        <v/>
      </c>
      <c r="J83" s="10">
        <f>IF($AB83="","",IF(INDEX(기본자료!$H$2:$H$501,$AB83)="","",INDEX(기본자료!$H$2:$H$501,$AB83)))</f>
        <v/>
      </c>
      <c r="K83" s="10">
        <f>IF($AB83="","",IF(INDEX(기본자료!$I$2:$I$501,$AB83)="","",INDEX(기본자료!$I$2:$I$501,$AB83)))</f>
        <v/>
      </c>
      <c r="L83" s="10">
        <f>IF($AB83="","",IF(INDEX(기본자료!$A$2:$A$501,$AB83)="","",INDEX(기본자료!$A$2:$A$501,$AB83)))</f>
        <v/>
      </c>
      <c r="M83" s="14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4" t="n"/>
      <c r="Q83" s="14" t="n"/>
      <c r="R83" s="14" t="n"/>
      <c r="S83" s="15" t="n"/>
      <c r="T83" s="15" t="n"/>
      <c r="U83" s="10">
        <f>IF(OR($B83="",$S83=""),"",IF(TODAY()&lt;$S83,"파견예정",IF(AND($T83&lt;&gt;"",TODAY()&gt;$T83),"파견종료","파견중")))</f>
        <v/>
      </c>
      <c r="V83" s="16">
        <f>IF(OR($S83="",$T83=""),"",$T83-$S83+1)</f>
        <v/>
      </c>
      <c r="W83" s="16">
        <f>IF(AND($U83="파견중",$T83&lt;&gt;""),$T83-TODAY(),"")</f>
        <v/>
      </c>
      <c r="X83" s="16">
        <f>IF(OR($B83="",$S83=""),"",MAX(0,MIN(IF($T83="",EOMONTH(요약!$B$3,0),$T83),EOMONTH(요약!$B$3,0))-MAX($S83,요약!$B$3)+1))</f>
        <v/>
      </c>
      <c r="Y83" s="10">
        <f>IF($B83="","",IF($AE83="","",IF(OR($S83="",$P83="",N($X83)&lt;=0),$AE83,IF($P83="다기관파견",$AE83,IF($AE83="구리병원",IF(AND($Q83&lt;&gt;"",N($X83)&gt;=요약!$E$3),$Q83,$AE83),IF(AND($P83="일반파견(단독)",$Q83&lt;&gt;""),$Q83,$AE83))))))</f>
        <v/>
      </c>
      <c r="Z83" s="17">
        <f>IF($B83="","",IF($AB83="","기본자료에 없는 사번",IF(COUNTIF($B$2:$B$201,$B83)&gt;1,"중복 사번",IF($M83="","입사장소 입력",IF(AND($P83&lt;&gt;"",$S83=""),"파견시작일 입력",IF(AND($S83&lt;&gt;"",$P83=""),"파견종류 입력",IF(AND($P83&lt;&gt;"",$P83&lt;&gt;"다기관파견",$Q83=""),"파견병원 입력",IF(IF($AC83="",0,N(INDEX(인턴근무계획!$T$3:$T$202,$AC83)))&gt;0,"인턴계획 입력오류 확인",IF(AND($AC83&lt;&gt;"",$U83&lt;&gt;"파견중",$N83&lt;&gt;$AE83),"인턴 타지역 근무: 파견 여부 확인","정상")))))))))</f>
        <v/>
      </c>
      <c r="AA83" s="5" t="n"/>
      <c r="AB83" s="10">
        <f>IF($B83="","",IFERROR(MATCH($B83,기본자료!$B$2:$B$501,0),IFERROR(MATCH($B83&amp;"",기본자료!$B$2:$B$501,0),IFERROR(MATCH(VALUE($B83),기본자료!$B$2:$B$501,0),""))))</f>
        <v/>
      </c>
      <c r="AC83" s="10">
        <f>IF($B83="","",IFERROR(MATCH($B83,인턴근무계획!$D$3:$D$202,0),IFERROR(MATCH($B83&amp;"",인턴근무계획!$D$3:$D$202,0),IFERROR(MATCH(VALUE($B83),인턴근무계획!$D$3:$D$202,0),""))))</f>
        <v/>
      </c>
      <c r="AD83" s="10">
        <f>IF(OR($AC83="",인턴현황!$G$3=""),"",INDEX(인턴근무계획!$M$3:$R$202,$AC83,인턴현황!$G$3)&amp;"")</f>
        <v/>
      </c>
      <c r="AE83" s="10">
        <f>IF($B83="","",IF($M83&lt;&gt;"",$M83,IF($H83="","",IF(RIGHT($H83,2)="병원",$H83,$H83&amp;"병원"))))</f>
        <v/>
      </c>
    </row>
    <row r="84">
      <c r="A84" s="10">
        <f>IF(B84="","",ROW()-1)</f>
        <v/>
      </c>
      <c r="B84" s="13" t="n"/>
      <c r="C84" s="10">
        <f>IF($AB84="","",IF(INDEX(기본자료!$C$2:$C$501,$AB84)="","",INDEX(기본자료!$C$2:$C$501,$AB84)))</f>
        <v/>
      </c>
      <c r="D84" s="10">
        <f>IF($AB84="","",IF(INDEX(기본자료!$J$2:$J$501,$AB84)="","",INDEX(기본자료!$J$2:$J$501,$AB84)))</f>
        <v/>
      </c>
      <c r="E84" s="11">
        <f>IF($AB84="","",IF(INDEX(기본자료!$K$2:$K$501,$AB84)="","",IF(NOT(ISNUMBER(INDEX(기본자료!$K$2:$K$501,$AB84))),INDEX(기본자료!$K$2:$K$501,$AB84),IF(INDEX(기본자료!$K$2:$K$501,$AB84)&lt;1000000,INDEX(기본자료!$K$2:$K$501,$AB84),IF(AND(INDEX(기본자료!$K$2:$K$501,$AB84)&gt;=10000101,INT(MOD(INDEX(기본자료!$K$2:$K$501,$AB84),10000)/100)&gt;=1,INT(MOD(INDEX(기본자료!$K$2:$K$501,$AB84),10000)/100)&lt;=12,MOD(INDEX(기본자료!$K$2:$K$501,$AB84),100)&gt;=1,MOD(INDEX(기본자료!$K$2:$K$501,$AB84),100)&lt;=31),DATE(INT(INDEX(기본자료!$K$2:$K$501,$AB84)/10000),INT(MOD(INDEX(기본자료!$K$2:$K$501,$AB84),10000)/100),MOD(INDEX(기본자료!$K$2:$K$501,$AB84),100)),INDEX(기본자료!$K$2:$K$501,$AB84)&amp;"")))))</f>
        <v/>
      </c>
      <c r="F84" s="10">
        <f>IF($AB84="","",IF(INDEX(기본자료!$D$2:$D$501,$AB84)="","",INDEX(기본자료!$D$2:$D$501,$AB84)))</f>
        <v/>
      </c>
      <c r="G84" s="10">
        <f>IF($AB84="","",IF(INDEX(기본자료!$E$2:$E$501,$AB84)="","",INDEX(기본자료!$E$2:$E$501,$AB84)))</f>
        <v/>
      </c>
      <c r="H84" s="10">
        <f>IF($AB84="","",IF(INDEX(기본자료!$F$2:$F$501,$AB84)="","",INDEX(기본자료!$F$2:$F$501,$AB84)))</f>
        <v/>
      </c>
      <c r="I84" s="11">
        <f>IF($AB84="","",IF(INDEX(기본자료!$G$2:$G$501,$AB84)="","",IF(NOT(ISNUMBER(INDEX(기본자료!$G$2:$G$501,$AB84))),INDEX(기본자료!$G$2:$G$501,$AB84),IF(INDEX(기본자료!$G$2:$G$501,$AB84)&lt;1000000,INDEX(기본자료!$G$2:$G$501,$AB84),IF(AND(INDEX(기본자료!$G$2:$G$501,$AB84)&gt;=10000101,INT(MOD(INDEX(기본자료!$G$2:$G$501,$AB84),10000)/100)&gt;=1,INT(MOD(INDEX(기본자료!$G$2:$G$501,$AB84),10000)/100)&lt;=12,MOD(INDEX(기본자료!$G$2:$G$501,$AB84),100)&gt;=1,MOD(INDEX(기본자료!$G$2:$G$501,$AB84),100)&lt;=31),DATE(INT(INDEX(기본자료!$G$2:$G$501,$AB84)/10000),INT(MOD(INDEX(기본자료!$G$2:$G$501,$AB84),10000)/100),MOD(INDEX(기본자료!$G$2:$G$501,$AB84),100)),INDEX(기본자료!$G$2:$G$501,$AB84)&amp;"")))))</f>
        <v/>
      </c>
      <c r="J84" s="10">
        <f>IF($AB84="","",IF(INDEX(기본자료!$H$2:$H$501,$AB84)="","",INDEX(기본자료!$H$2:$H$501,$AB84)))</f>
        <v/>
      </c>
      <c r="K84" s="10">
        <f>IF($AB84="","",IF(INDEX(기본자료!$I$2:$I$501,$AB84)="","",INDEX(기본자료!$I$2:$I$501,$AB84)))</f>
        <v/>
      </c>
      <c r="L84" s="10">
        <f>IF($AB84="","",IF(INDEX(기본자료!$A$2:$A$501,$AB84)="","",INDEX(기본자료!$A$2:$A$501,$AB84)))</f>
        <v/>
      </c>
      <c r="M84" s="14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4" t="n"/>
      <c r="Q84" s="14" t="n"/>
      <c r="R84" s="14" t="n"/>
      <c r="S84" s="15" t="n"/>
      <c r="T84" s="15" t="n"/>
      <c r="U84" s="10">
        <f>IF(OR($B84="",$S84=""),"",IF(TODAY()&lt;$S84,"파견예정",IF(AND($T84&lt;&gt;"",TODAY()&gt;$T84),"파견종료","파견중")))</f>
        <v/>
      </c>
      <c r="V84" s="16">
        <f>IF(OR($S84="",$T84=""),"",$T84-$S84+1)</f>
        <v/>
      </c>
      <c r="W84" s="16">
        <f>IF(AND($U84="파견중",$T84&lt;&gt;""),$T84-TODAY(),"")</f>
        <v/>
      </c>
      <c r="X84" s="16">
        <f>IF(OR($B84="",$S84=""),"",MAX(0,MIN(IF($T84="",EOMONTH(요약!$B$3,0),$T84),EOMONTH(요약!$B$3,0))-MAX($S84,요약!$B$3)+1))</f>
        <v/>
      </c>
      <c r="Y84" s="10">
        <f>IF($B84="","",IF($AE84="","",IF(OR($S84="",$P84="",N($X84)&lt;=0),$AE84,IF($P84="다기관파견",$AE84,IF($AE84="구리병원",IF(AND($Q84&lt;&gt;"",N($X84)&gt;=요약!$E$3),$Q84,$AE84),IF(AND($P84="일반파견(단독)",$Q84&lt;&gt;""),$Q84,$AE84))))))</f>
        <v/>
      </c>
      <c r="Z84" s="17">
        <f>IF($B84="","",IF($AB84="","기본자료에 없는 사번",IF(COUNTIF($B$2:$B$201,$B84)&gt;1,"중복 사번",IF($M84="","입사장소 입력",IF(AND($P84&lt;&gt;"",$S84=""),"파견시작일 입력",IF(AND($S84&lt;&gt;"",$P84=""),"파견종류 입력",IF(AND($P84&lt;&gt;"",$P84&lt;&gt;"다기관파견",$Q84=""),"파견병원 입력",IF(IF($AC84="",0,N(INDEX(인턴근무계획!$T$3:$T$202,$AC84)))&gt;0,"인턴계획 입력오류 확인",IF(AND($AC84&lt;&gt;"",$U84&lt;&gt;"파견중",$N84&lt;&gt;$AE84),"인턴 타지역 근무: 파견 여부 확인","정상")))))))))</f>
        <v/>
      </c>
      <c r="AA84" s="5" t="n"/>
      <c r="AB84" s="10">
        <f>IF($B84="","",IFERROR(MATCH($B84,기본자료!$B$2:$B$501,0),IFERROR(MATCH($B84&amp;"",기본자료!$B$2:$B$501,0),IFERROR(MATCH(VALUE($B84),기본자료!$B$2:$B$501,0),""))))</f>
        <v/>
      </c>
      <c r="AC84" s="10">
        <f>IF($B84="","",IFERROR(MATCH($B84,인턴근무계획!$D$3:$D$202,0),IFERROR(MATCH($B84&amp;"",인턴근무계획!$D$3:$D$202,0),IFERROR(MATCH(VALUE($B84),인턴근무계획!$D$3:$D$202,0),""))))</f>
        <v/>
      </c>
      <c r="AD84" s="10">
        <f>IF(OR($AC84="",인턴현황!$G$3=""),"",INDEX(인턴근무계획!$M$3:$R$202,$AC84,인턴현황!$G$3)&amp;"")</f>
        <v/>
      </c>
      <c r="AE84" s="10">
        <f>IF($B84="","",IF($M84&lt;&gt;"",$M84,IF($H84="","",IF(RIGHT($H84,2)="병원",$H84,$H84&amp;"병원"))))</f>
        <v/>
      </c>
    </row>
    <row r="85">
      <c r="A85" s="10">
        <f>IF(B85="","",ROW()-1)</f>
        <v/>
      </c>
      <c r="B85" s="13" t="n"/>
      <c r="C85" s="10">
        <f>IF($AB85="","",IF(INDEX(기본자료!$C$2:$C$501,$AB85)="","",INDEX(기본자료!$C$2:$C$501,$AB85)))</f>
        <v/>
      </c>
      <c r="D85" s="10">
        <f>IF($AB85="","",IF(INDEX(기본자료!$J$2:$J$501,$AB85)="","",INDEX(기본자료!$J$2:$J$501,$AB85)))</f>
        <v/>
      </c>
      <c r="E85" s="11">
        <f>IF($AB85="","",IF(INDEX(기본자료!$K$2:$K$501,$AB85)="","",IF(NOT(ISNUMBER(INDEX(기본자료!$K$2:$K$501,$AB85))),INDEX(기본자료!$K$2:$K$501,$AB85),IF(INDEX(기본자료!$K$2:$K$501,$AB85)&lt;1000000,INDEX(기본자료!$K$2:$K$501,$AB85),IF(AND(INDEX(기본자료!$K$2:$K$501,$AB85)&gt;=10000101,INT(MOD(INDEX(기본자료!$K$2:$K$501,$AB85),10000)/100)&gt;=1,INT(MOD(INDEX(기본자료!$K$2:$K$501,$AB85),10000)/100)&lt;=12,MOD(INDEX(기본자료!$K$2:$K$501,$AB85),100)&gt;=1,MOD(INDEX(기본자료!$K$2:$K$501,$AB85),100)&lt;=31),DATE(INT(INDEX(기본자료!$K$2:$K$501,$AB85)/10000),INT(MOD(INDEX(기본자료!$K$2:$K$501,$AB85),10000)/100),MOD(INDEX(기본자료!$K$2:$K$501,$AB85),100)),INDEX(기본자료!$K$2:$K$501,$AB85)&amp;"")))))</f>
        <v/>
      </c>
      <c r="F85" s="10">
        <f>IF($AB85="","",IF(INDEX(기본자료!$D$2:$D$501,$AB85)="","",INDEX(기본자료!$D$2:$D$501,$AB85)))</f>
        <v/>
      </c>
      <c r="G85" s="10">
        <f>IF($AB85="","",IF(INDEX(기본자료!$E$2:$E$501,$AB85)="","",INDEX(기본자료!$E$2:$E$501,$AB85)))</f>
        <v/>
      </c>
      <c r="H85" s="10">
        <f>IF($AB85="","",IF(INDEX(기본자료!$F$2:$F$501,$AB85)="","",INDEX(기본자료!$F$2:$F$501,$AB85)))</f>
        <v/>
      </c>
      <c r="I85" s="11">
        <f>IF($AB85="","",IF(INDEX(기본자료!$G$2:$G$501,$AB85)="","",IF(NOT(ISNUMBER(INDEX(기본자료!$G$2:$G$501,$AB85))),INDEX(기본자료!$G$2:$G$501,$AB85),IF(INDEX(기본자료!$G$2:$G$501,$AB85)&lt;1000000,INDEX(기본자료!$G$2:$G$501,$AB85),IF(AND(INDEX(기본자료!$G$2:$G$501,$AB85)&gt;=10000101,INT(MOD(INDEX(기본자료!$G$2:$G$501,$AB85),10000)/100)&gt;=1,INT(MOD(INDEX(기본자료!$G$2:$G$501,$AB85),10000)/100)&lt;=12,MOD(INDEX(기본자료!$G$2:$G$501,$AB85),100)&gt;=1,MOD(INDEX(기본자료!$G$2:$G$501,$AB85),100)&lt;=31),DATE(INT(INDEX(기본자료!$G$2:$G$501,$AB85)/10000),INT(MOD(INDEX(기본자료!$G$2:$G$501,$AB85),10000)/100),MOD(INDEX(기본자료!$G$2:$G$501,$AB85),100)),INDEX(기본자료!$G$2:$G$501,$AB85)&amp;"")))))</f>
        <v/>
      </c>
      <c r="J85" s="10">
        <f>IF($AB85="","",IF(INDEX(기본자료!$H$2:$H$501,$AB85)="","",INDEX(기본자료!$H$2:$H$501,$AB85)))</f>
        <v/>
      </c>
      <c r="K85" s="10">
        <f>IF($AB85="","",IF(INDEX(기본자료!$I$2:$I$501,$AB85)="","",INDEX(기본자료!$I$2:$I$501,$AB85)))</f>
        <v/>
      </c>
      <c r="L85" s="10">
        <f>IF($AB85="","",IF(INDEX(기본자료!$A$2:$A$501,$AB85)="","",INDEX(기본자료!$A$2:$A$501,$AB85)))</f>
        <v/>
      </c>
      <c r="M85" s="14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4" t="n"/>
      <c r="Q85" s="14" t="n"/>
      <c r="R85" s="14" t="n"/>
      <c r="S85" s="15" t="n"/>
      <c r="T85" s="15" t="n"/>
      <c r="U85" s="10">
        <f>IF(OR($B85="",$S85=""),"",IF(TODAY()&lt;$S85,"파견예정",IF(AND($T85&lt;&gt;"",TODAY()&gt;$T85),"파견종료","파견중")))</f>
        <v/>
      </c>
      <c r="V85" s="16">
        <f>IF(OR($S85="",$T85=""),"",$T85-$S85+1)</f>
        <v/>
      </c>
      <c r="W85" s="16">
        <f>IF(AND($U85="파견중",$T85&lt;&gt;""),$T85-TODAY(),"")</f>
        <v/>
      </c>
      <c r="X85" s="16">
        <f>IF(OR($B85="",$S85=""),"",MAX(0,MIN(IF($T85="",EOMONTH(요약!$B$3,0),$T85),EOMONTH(요약!$B$3,0))-MAX($S85,요약!$B$3)+1))</f>
        <v/>
      </c>
      <c r="Y85" s="10">
        <f>IF($B85="","",IF($AE85="","",IF(OR($S85="",$P85="",N($X85)&lt;=0),$AE85,IF($P85="다기관파견",$AE85,IF($AE85="구리병원",IF(AND($Q85&lt;&gt;"",N($X85)&gt;=요약!$E$3),$Q85,$AE85),IF(AND($P85="일반파견(단독)",$Q85&lt;&gt;""),$Q85,$AE85))))))</f>
        <v/>
      </c>
      <c r="Z85" s="17">
        <f>IF($B85="","",IF($AB85="","기본자료에 없는 사번",IF(COUNTIF($B$2:$B$201,$B85)&gt;1,"중복 사번",IF($M85="","입사장소 입력",IF(AND($P85&lt;&gt;"",$S85=""),"파견시작일 입력",IF(AND($S85&lt;&gt;"",$P85=""),"파견종류 입력",IF(AND($P85&lt;&gt;"",$P85&lt;&gt;"다기관파견",$Q85=""),"파견병원 입력",IF(IF($AC85="",0,N(INDEX(인턴근무계획!$T$3:$T$202,$AC85)))&gt;0,"인턴계획 입력오류 확인",IF(AND($AC85&lt;&gt;"",$U85&lt;&gt;"파견중",$N85&lt;&gt;$AE85),"인턴 타지역 근무: 파견 여부 확인","정상")))))))))</f>
        <v/>
      </c>
      <c r="AA85" s="5" t="n"/>
      <c r="AB85" s="10">
        <f>IF($B85="","",IFERROR(MATCH($B85,기본자료!$B$2:$B$501,0),IFERROR(MATCH($B85&amp;"",기본자료!$B$2:$B$501,0),IFERROR(MATCH(VALUE($B85),기본자료!$B$2:$B$501,0),""))))</f>
        <v/>
      </c>
      <c r="AC85" s="10">
        <f>IF($B85="","",IFERROR(MATCH($B85,인턴근무계획!$D$3:$D$202,0),IFERROR(MATCH($B85&amp;"",인턴근무계획!$D$3:$D$202,0),IFERROR(MATCH(VALUE($B85),인턴근무계획!$D$3:$D$202,0),""))))</f>
        <v/>
      </c>
      <c r="AD85" s="10">
        <f>IF(OR($AC85="",인턴현황!$G$3=""),"",INDEX(인턴근무계획!$M$3:$R$202,$AC85,인턴현황!$G$3)&amp;"")</f>
        <v/>
      </c>
      <c r="AE85" s="10">
        <f>IF($B85="","",IF($M85&lt;&gt;"",$M85,IF($H85="","",IF(RIGHT($H85,2)="병원",$H85,$H85&amp;"병원"))))</f>
        <v/>
      </c>
    </row>
    <row r="86">
      <c r="A86" s="10">
        <f>IF(B86="","",ROW()-1)</f>
        <v/>
      </c>
      <c r="B86" s="13" t="n"/>
      <c r="C86" s="10">
        <f>IF($AB86="","",IF(INDEX(기본자료!$C$2:$C$501,$AB86)="","",INDEX(기본자료!$C$2:$C$501,$AB86)))</f>
        <v/>
      </c>
      <c r="D86" s="10">
        <f>IF($AB86="","",IF(INDEX(기본자료!$J$2:$J$501,$AB86)="","",INDEX(기본자료!$J$2:$J$501,$AB86)))</f>
        <v/>
      </c>
      <c r="E86" s="11">
        <f>IF($AB86="","",IF(INDEX(기본자료!$K$2:$K$501,$AB86)="","",IF(NOT(ISNUMBER(INDEX(기본자료!$K$2:$K$501,$AB86))),INDEX(기본자료!$K$2:$K$501,$AB86),IF(INDEX(기본자료!$K$2:$K$501,$AB86)&lt;1000000,INDEX(기본자료!$K$2:$K$501,$AB86),IF(AND(INDEX(기본자료!$K$2:$K$501,$AB86)&gt;=10000101,INT(MOD(INDEX(기본자료!$K$2:$K$501,$AB86),10000)/100)&gt;=1,INT(MOD(INDEX(기본자료!$K$2:$K$501,$AB86),10000)/100)&lt;=12,MOD(INDEX(기본자료!$K$2:$K$501,$AB86),100)&gt;=1,MOD(INDEX(기본자료!$K$2:$K$501,$AB86),100)&lt;=31),DATE(INT(INDEX(기본자료!$K$2:$K$501,$AB86)/10000),INT(MOD(INDEX(기본자료!$K$2:$K$501,$AB86),10000)/100),MOD(INDEX(기본자료!$K$2:$K$501,$AB86),100)),INDEX(기본자료!$K$2:$K$501,$AB86)&amp;"")))))</f>
        <v/>
      </c>
      <c r="F86" s="10">
        <f>IF($AB86="","",IF(INDEX(기본자료!$D$2:$D$501,$AB86)="","",INDEX(기본자료!$D$2:$D$501,$AB86)))</f>
        <v/>
      </c>
      <c r="G86" s="10">
        <f>IF($AB86="","",IF(INDEX(기본자료!$E$2:$E$501,$AB86)="","",INDEX(기본자료!$E$2:$E$501,$AB86)))</f>
        <v/>
      </c>
      <c r="H86" s="10">
        <f>IF($AB86="","",IF(INDEX(기본자료!$F$2:$F$501,$AB86)="","",INDEX(기본자료!$F$2:$F$501,$AB86)))</f>
        <v/>
      </c>
      <c r="I86" s="11">
        <f>IF($AB86="","",IF(INDEX(기본자료!$G$2:$G$501,$AB86)="","",IF(NOT(ISNUMBER(INDEX(기본자료!$G$2:$G$501,$AB86))),INDEX(기본자료!$G$2:$G$501,$AB86),IF(INDEX(기본자료!$G$2:$G$501,$AB86)&lt;1000000,INDEX(기본자료!$G$2:$G$501,$AB86),IF(AND(INDEX(기본자료!$G$2:$G$501,$AB86)&gt;=10000101,INT(MOD(INDEX(기본자료!$G$2:$G$501,$AB86),10000)/100)&gt;=1,INT(MOD(INDEX(기본자료!$G$2:$G$501,$AB86),10000)/100)&lt;=12,MOD(INDEX(기본자료!$G$2:$G$501,$AB86),100)&gt;=1,MOD(INDEX(기본자료!$G$2:$G$501,$AB86),100)&lt;=31),DATE(INT(INDEX(기본자료!$G$2:$G$501,$AB86)/10000),INT(MOD(INDEX(기본자료!$G$2:$G$501,$AB86),10000)/100),MOD(INDEX(기본자료!$G$2:$G$501,$AB86),100)),INDEX(기본자료!$G$2:$G$501,$AB86)&amp;"")))))</f>
        <v/>
      </c>
      <c r="J86" s="10">
        <f>IF($AB86="","",IF(INDEX(기본자료!$H$2:$H$501,$AB86)="","",INDEX(기본자료!$H$2:$H$501,$AB86)))</f>
        <v/>
      </c>
      <c r="K86" s="10">
        <f>IF($AB86="","",IF(INDEX(기본자료!$I$2:$I$501,$AB86)="","",INDEX(기본자료!$I$2:$I$501,$AB86)))</f>
        <v/>
      </c>
      <c r="L86" s="10">
        <f>IF($AB86="","",IF(INDEX(기본자료!$A$2:$A$501,$AB86)="","",INDEX(기본자료!$A$2:$A$501,$AB86)))</f>
        <v/>
      </c>
      <c r="M86" s="14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4" t="n"/>
      <c r="Q86" s="14" t="n"/>
      <c r="R86" s="14" t="n"/>
      <c r="S86" s="15" t="n"/>
      <c r="T86" s="15" t="n"/>
      <c r="U86" s="10">
        <f>IF(OR($B86="",$S86=""),"",IF(TODAY()&lt;$S86,"파견예정",IF(AND($T86&lt;&gt;"",TODAY()&gt;$T86),"파견종료","파견중")))</f>
        <v/>
      </c>
      <c r="V86" s="16">
        <f>IF(OR($S86="",$T86=""),"",$T86-$S86+1)</f>
        <v/>
      </c>
      <c r="W86" s="16">
        <f>IF(AND($U86="파견중",$T86&lt;&gt;""),$T86-TODAY(),"")</f>
        <v/>
      </c>
      <c r="X86" s="16">
        <f>IF(OR($B86="",$S86=""),"",MAX(0,MIN(IF($T86="",EOMONTH(요약!$B$3,0),$T86),EOMONTH(요약!$B$3,0))-MAX($S86,요약!$B$3)+1))</f>
        <v/>
      </c>
      <c r="Y86" s="10">
        <f>IF($B86="","",IF($AE86="","",IF(OR($S86="",$P86="",N($X86)&lt;=0),$AE86,IF($P86="다기관파견",$AE86,IF($AE86="구리병원",IF(AND($Q86&lt;&gt;"",N($X86)&gt;=요약!$E$3),$Q86,$AE86),IF(AND($P86="일반파견(단독)",$Q86&lt;&gt;""),$Q86,$AE86))))))</f>
        <v/>
      </c>
      <c r="Z86" s="17">
        <f>IF($B86="","",IF($AB86="","기본자료에 없는 사번",IF(COUNTIF($B$2:$B$201,$B86)&gt;1,"중복 사번",IF($M86="","입사장소 입력",IF(AND($P86&lt;&gt;"",$S86=""),"파견시작일 입력",IF(AND($S86&lt;&gt;"",$P86=""),"파견종류 입력",IF(AND($P86&lt;&gt;"",$P86&lt;&gt;"다기관파견",$Q86=""),"파견병원 입력",IF(IF($AC86="",0,N(INDEX(인턴근무계획!$T$3:$T$202,$AC86)))&gt;0,"인턴계획 입력오류 확인",IF(AND($AC86&lt;&gt;"",$U86&lt;&gt;"파견중",$N86&lt;&gt;$AE86),"인턴 타지역 근무: 파견 여부 확인","정상")))))))))</f>
        <v/>
      </c>
      <c r="AA86" s="5" t="n"/>
      <c r="AB86" s="10">
        <f>IF($B86="","",IFERROR(MATCH($B86,기본자료!$B$2:$B$501,0),IFERROR(MATCH($B86&amp;"",기본자료!$B$2:$B$501,0),IFERROR(MATCH(VALUE($B86),기본자료!$B$2:$B$501,0),""))))</f>
        <v/>
      </c>
      <c r="AC86" s="10">
        <f>IF($B86="","",IFERROR(MATCH($B86,인턴근무계획!$D$3:$D$202,0),IFERROR(MATCH($B86&amp;"",인턴근무계획!$D$3:$D$202,0),IFERROR(MATCH(VALUE($B86),인턴근무계획!$D$3:$D$202,0),""))))</f>
        <v/>
      </c>
      <c r="AD86" s="10">
        <f>IF(OR($AC86="",인턴현황!$G$3=""),"",INDEX(인턴근무계획!$M$3:$R$202,$AC86,인턴현황!$G$3)&amp;"")</f>
        <v/>
      </c>
      <c r="AE86" s="10">
        <f>IF($B86="","",IF($M86&lt;&gt;"",$M86,IF($H86="","",IF(RIGHT($H86,2)="병원",$H86,$H86&amp;"병원"))))</f>
        <v/>
      </c>
    </row>
    <row r="87">
      <c r="A87" s="10">
        <f>IF(B87="","",ROW()-1)</f>
        <v/>
      </c>
      <c r="B87" s="13" t="n"/>
      <c r="C87" s="10">
        <f>IF($AB87="","",IF(INDEX(기본자료!$C$2:$C$501,$AB87)="","",INDEX(기본자료!$C$2:$C$501,$AB87)))</f>
        <v/>
      </c>
      <c r="D87" s="10">
        <f>IF($AB87="","",IF(INDEX(기본자료!$J$2:$J$501,$AB87)="","",INDEX(기본자료!$J$2:$J$501,$AB87)))</f>
        <v/>
      </c>
      <c r="E87" s="11">
        <f>IF($AB87="","",IF(INDEX(기본자료!$K$2:$K$501,$AB87)="","",IF(NOT(ISNUMBER(INDEX(기본자료!$K$2:$K$501,$AB87))),INDEX(기본자료!$K$2:$K$501,$AB87),IF(INDEX(기본자료!$K$2:$K$501,$AB87)&lt;1000000,INDEX(기본자료!$K$2:$K$501,$AB87),IF(AND(INDEX(기본자료!$K$2:$K$501,$AB87)&gt;=10000101,INT(MOD(INDEX(기본자료!$K$2:$K$501,$AB87),10000)/100)&gt;=1,INT(MOD(INDEX(기본자료!$K$2:$K$501,$AB87),10000)/100)&lt;=12,MOD(INDEX(기본자료!$K$2:$K$501,$AB87),100)&gt;=1,MOD(INDEX(기본자료!$K$2:$K$501,$AB87),100)&lt;=31),DATE(INT(INDEX(기본자료!$K$2:$K$501,$AB87)/10000),INT(MOD(INDEX(기본자료!$K$2:$K$501,$AB87),10000)/100),MOD(INDEX(기본자료!$K$2:$K$501,$AB87),100)),INDEX(기본자료!$K$2:$K$501,$AB87)&amp;"")))))</f>
        <v/>
      </c>
      <c r="F87" s="10">
        <f>IF($AB87="","",IF(INDEX(기본자료!$D$2:$D$501,$AB87)="","",INDEX(기본자료!$D$2:$D$501,$AB87)))</f>
        <v/>
      </c>
      <c r="G87" s="10">
        <f>IF($AB87="","",IF(INDEX(기본자료!$E$2:$E$501,$AB87)="","",INDEX(기본자료!$E$2:$E$501,$AB87)))</f>
        <v/>
      </c>
      <c r="H87" s="10">
        <f>IF($AB87="","",IF(INDEX(기본자료!$F$2:$F$501,$AB87)="","",INDEX(기본자료!$F$2:$F$501,$AB87)))</f>
        <v/>
      </c>
      <c r="I87" s="11">
        <f>IF($AB87="","",IF(INDEX(기본자료!$G$2:$G$501,$AB87)="","",IF(NOT(ISNUMBER(INDEX(기본자료!$G$2:$G$501,$AB87))),INDEX(기본자료!$G$2:$G$501,$AB87),IF(INDEX(기본자료!$G$2:$G$501,$AB87)&lt;1000000,INDEX(기본자료!$G$2:$G$501,$AB87),IF(AND(INDEX(기본자료!$G$2:$G$501,$AB87)&gt;=10000101,INT(MOD(INDEX(기본자료!$G$2:$G$501,$AB87),10000)/100)&gt;=1,INT(MOD(INDEX(기본자료!$G$2:$G$501,$AB87),10000)/100)&lt;=12,MOD(INDEX(기본자료!$G$2:$G$501,$AB87),100)&gt;=1,MOD(INDEX(기본자료!$G$2:$G$501,$AB87),100)&lt;=31),DATE(INT(INDEX(기본자료!$G$2:$G$501,$AB87)/10000),INT(MOD(INDEX(기본자료!$G$2:$G$501,$AB87),10000)/100),MOD(INDEX(기본자료!$G$2:$G$501,$AB87),100)),INDEX(기본자료!$G$2:$G$501,$AB87)&amp;"")))))</f>
        <v/>
      </c>
      <c r="J87" s="10">
        <f>IF($AB87="","",IF(INDEX(기본자료!$H$2:$H$501,$AB87)="","",INDEX(기본자료!$H$2:$H$501,$AB87)))</f>
        <v/>
      </c>
      <c r="K87" s="10">
        <f>IF($AB87="","",IF(INDEX(기본자료!$I$2:$I$501,$AB87)="","",INDEX(기본자료!$I$2:$I$501,$AB87)))</f>
        <v/>
      </c>
      <c r="L87" s="10">
        <f>IF($AB87="","",IF(INDEX(기본자료!$A$2:$A$501,$AB87)="","",INDEX(기본자료!$A$2:$A$501,$AB87)))</f>
        <v/>
      </c>
      <c r="M87" s="14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4" t="n"/>
      <c r="Q87" s="14" t="n"/>
      <c r="R87" s="14" t="n"/>
      <c r="S87" s="15" t="n"/>
      <c r="T87" s="15" t="n"/>
      <c r="U87" s="10">
        <f>IF(OR($B87="",$S87=""),"",IF(TODAY()&lt;$S87,"파견예정",IF(AND($T87&lt;&gt;"",TODAY()&gt;$T87),"파견종료","파견중")))</f>
        <v/>
      </c>
      <c r="V87" s="16">
        <f>IF(OR($S87="",$T87=""),"",$T87-$S87+1)</f>
        <v/>
      </c>
      <c r="W87" s="16">
        <f>IF(AND($U87="파견중",$T87&lt;&gt;""),$T87-TODAY(),"")</f>
        <v/>
      </c>
      <c r="X87" s="16">
        <f>IF(OR($B87="",$S87=""),"",MAX(0,MIN(IF($T87="",EOMONTH(요약!$B$3,0),$T87),EOMONTH(요약!$B$3,0))-MAX($S87,요약!$B$3)+1))</f>
        <v/>
      </c>
      <c r="Y87" s="10">
        <f>IF($B87="","",IF($AE87="","",IF(OR($S87="",$P87="",N($X87)&lt;=0),$AE87,IF($P87="다기관파견",$AE87,IF($AE87="구리병원",IF(AND($Q87&lt;&gt;"",N($X87)&gt;=요약!$E$3),$Q87,$AE87),IF(AND($P87="일반파견(단독)",$Q87&lt;&gt;""),$Q87,$AE87))))))</f>
        <v/>
      </c>
      <c r="Z87" s="17">
        <f>IF($B87="","",IF($AB87="","기본자료에 없는 사번",IF(COUNTIF($B$2:$B$201,$B87)&gt;1,"중복 사번",IF($M87="","입사장소 입력",IF(AND($P87&lt;&gt;"",$S87=""),"파견시작일 입력",IF(AND($S87&lt;&gt;"",$P87=""),"파견종류 입력",IF(AND($P87&lt;&gt;"",$P87&lt;&gt;"다기관파견",$Q87=""),"파견병원 입력",IF(IF($AC87="",0,N(INDEX(인턴근무계획!$T$3:$T$202,$AC87)))&gt;0,"인턴계획 입력오류 확인",IF(AND($AC87&lt;&gt;"",$U87&lt;&gt;"파견중",$N87&lt;&gt;$AE87),"인턴 타지역 근무: 파견 여부 확인","정상")))))))))</f>
        <v/>
      </c>
      <c r="AA87" s="5" t="n"/>
      <c r="AB87" s="10">
        <f>IF($B87="","",IFERROR(MATCH($B87,기본자료!$B$2:$B$501,0),IFERROR(MATCH($B87&amp;"",기본자료!$B$2:$B$501,0),IFERROR(MATCH(VALUE($B87),기본자료!$B$2:$B$501,0),""))))</f>
        <v/>
      </c>
      <c r="AC87" s="10">
        <f>IF($B87="","",IFERROR(MATCH($B87,인턴근무계획!$D$3:$D$202,0),IFERROR(MATCH($B87&amp;"",인턴근무계획!$D$3:$D$202,0),IFERROR(MATCH(VALUE($B87),인턴근무계획!$D$3:$D$202,0),""))))</f>
        <v/>
      </c>
      <c r="AD87" s="10">
        <f>IF(OR($AC87="",인턴현황!$G$3=""),"",INDEX(인턴근무계획!$M$3:$R$202,$AC87,인턴현황!$G$3)&amp;"")</f>
        <v/>
      </c>
      <c r="AE87" s="10">
        <f>IF($B87="","",IF($M87&lt;&gt;"",$M87,IF($H87="","",IF(RIGHT($H87,2)="병원",$H87,$H87&amp;"병원"))))</f>
        <v/>
      </c>
    </row>
    <row r="88">
      <c r="A88" s="10">
        <f>IF(B88="","",ROW()-1)</f>
        <v/>
      </c>
      <c r="B88" s="13" t="n"/>
      <c r="C88" s="10">
        <f>IF($AB88="","",IF(INDEX(기본자료!$C$2:$C$501,$AB88)="","",INDEX(기본자료!$C$2:$C$501,$AB88)))</f>
        <v/>
      </c>
      <c r="D88" s="10">
        <f>IF($AB88="","",IF(INDEX(기본자료!$J$2:$J$501,$AB88)="","",INDEX(기본자료!$J$2:$J$501,$AB88)))</f>
        <v/>
      </c>
      <c r="E88" s="11">
        <f>IF($AB88="","",IF(INDEX(기본자료!$K$2:$K$501,$AB88)="","",IF(NOT(ISNUMBER(INDEX(기본자료!$K$2:$K$501,$AB88))),INDEX(기본자료!$K$2:$K$501,$AB88),IF(INDEX(기본자료!$K$2:$K$501,$AB88)&lt;1000000,INDEX(기본자료!$K$2:$K$501,$AB88),IF(AND(INDEX(기본자료!$K$2:$K$501,$AB88)&gt;=10000101,INT(MOD(INDEX(기본자료!$K$2:$K$501,$AB88),10000)/100)&gt;=1,INT(MOD(INDEX(기본자료!$K$2:$K$501,$AB88),10000)/100)&lt;=12,MOD(INDEX(기본자료!$K$2:$K$501,$AB88),100)&gt;=1,MOD(INDEX(기본자료!$K$2:$K$501,$AB88),100)&lt;=31),DATE(INT(INDEX(기본자료!$K$2:$K$501,$AB88)/10000),INT(MOD(INDEX(기본자료!$K$2:$K$501,$AB88),10000)/100),MOD(INDEX(기본자료!$K$2:$K$501,$AB88),100)),INDEX(기본자료!$K$2:$K$501,$AB88)&amp;"")))))</f>
        <v/>
      </c>
      <c r="F88" s="10">
        <f>IF($AB88="","",IF(INDEX(기본자료!$D$2:$D$501,$AB88)="","",INDEX(기본자료!$D$2:$D$501,$AB88)))</f>
        <v/>
      </c>
      <c r="G88" s="10">
        <f>IF($AB88="","",IF(INDEX(기본자료!$E$2:$E$501,$AB88)="","",INDEX(기본자료!$E$2:$E$501,$AB88)))</f>
        <v/>
      </c>
      <c r="H88" s="10">
        <f>IF($AB88="","",IF(INDEX(기본자료!$F$2:$F$501,$AB88)="","",INDEX(기본자료!$F$2:$F$501,$AB88)))</f>
        <v/>
      </c>
      <c r="I88" s="11">
        <f>IF($AB88="","",IF(INDEX(기본자료!$G$2:$G$501,$AB88)="","",IF(NOT(ISNUMBER(INDEX(기본자료!$G$2:$G$501,$AB88))),INDEX(기본자료!$G$2:$G$501,$AB88),IF(INDEX(기본자료!$G$2:$G$501,$AB88)&lt;1000000,INDEX(기본자료!$G$2:$G$501,$AB88),IF(AND(INDEX(기본자료!$G$2:$G$501,$AB88)&gt;=10000101,INT(MOD(INDEX(기본자료!$G$2:$G$501,$AB88),10000)/100)&gt;=1,INT(MOD(INDEX(기본자료!$G$2:$G$501,$AB88),10000)/100)&lt;=12,MOD(INDEX(기본자료!$G$2:$G$501,$AB88),100)&gt;=1,MOD(INDEX(기본자료!$G$2:$G$501,$AB88),100)&lt;=31),DATE(INT(INDEX(기본자료!$G$2:$G$501,$AB88)/10000),INT(MOD(INDEX(기본자료!$G$2:$G$501,$AB88),10000)/100),MOD(INDEX(기본자료!$G$2:$G$501,$AB88),100)),INDEX(기본자료!$G$2:$G$501,$AB88)&amp;"")))))</f>
        <v/>
      </c>
      <c r="J88" s="10">
        <f>IF($AB88="","",IF(INDEX(기본자료!$H$2:$H$501,$AB88)="","",INDEX(기본자료!$H$2:$H$501,$AB88)))</f>
        <v/>
      </c>
      <c r="K88" s="10">
        <f>IF($AB88="","",IF(INDEX(기본자료!$I$2:$I$501,$AB88)="","",INDEX(기본자료!$I$2:$I$501,$AB88)))</f>
        <v/>
      </c>
      <c r="L88" s="10">
        <f>IF($AB88="","",IF(INDEX(기본자료!$A$2:$A$501,$AB88)="","",INDEX(기본자료!$A$2:$A$501,$AB88)))</f>
        <v/>
      </c>
      <c r="M88" s="14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4" t="n"/>
      <c r="Q88" s="14" t="n"/>
      <c r="R88" s="14" t="n"/>
      <c r="S88" s="15" t="n"/>
      <c r="T88" s="15" t="n"/>
      <c r="U88" s="10">
        <f>IF(OR($B88="",$S88=""),"",IF(TODAY()&lt;$S88,"파견예정",IF(AND($T88&lt;&gt;"",TODAY()&gt;$T88),"파견종료","파견중")))</f>
        <v/>
      </c>
      <c r="V88" s="16">
        <f>IF(OR($S88="",$T88=""),"",$T88-$S88+1)</f>
        <v/>
      </c>
      <c r="W88" s="16">
        <f>IF(AND($U88="파견중",$T88&lt;&gt;""),$T88-TODAY(),"")</f>
        <v/>
      </c>
      <c r="X88" s="16">
        <f>IF(OR($B88="",$S88=""),"",MAX(0,MIN(IF($T88="",EOMONTH(요약!$B$3,0),$T88),EOMONTH(요약!$B$3,0))-MAX($S88,요약!$B$3)+1))</f>
        <v/>
      </c>
      <c r="Y88" s="10">
        <f>IF($B88="","",IF($AE88="","",IF(OR($S88="",$P88="",N($X88)&lt;=0),$AE88,IF($P88="다기관파견",$AE88,IF($AE88="구리병원",IF(AND($Q88&lt;&gt;"",N($X88)&gt;=요약!$E$3),$Q88,$AE88),IF(AND($P88="일반파견(단독)",$Q88&lt;&gt;""),$Q88,$AE88))))))</f>
        <v/>
      </c>
      <c r="Z88" s="17">
        <f>IF($B88="","",IF($AB88="","기본자료에 없는 사번",IF(COUNTIF($B$2:$B$201,$B88)&gt;1,"중복 사번",IF($M88="","입사장소 입력",IF(AND($P88&lt;&gt;"",$S88=""),"파견시작일 입력",IF(AND($S88&lt;&gt;"",$P88=""),"파견종류 입력",IF(AND($P88&lt;&gt;"",$P88&lt;&gt;"다기관파견",$Q88=""),"파견병원 입력",IF(IF($AC88="",0,N(INDEX(인턴근무계획!$T$3:$T$202,$AC88)))&gt;0,"인턴계획 입력오류 확인",IF(AND($AC88&lt;&gt;"",$U88&lt;&gt;"파견중",$N88&lt;&gt;$AE88),"인턴 타지역 근무: 파견 여부 확인","정상")))))))))</f>
        <v/>
      </c>
      <c r="AA88" s="5" t="n"/>
      <c r="AB88" s="10">
        <f>IF($B88="","",IFERROR(MATCH($B88,기본자료!$B$2:$B$501,0),IFERROR(MATCH($B88&amp;"",기본자료!$B$2:$B$501,0),IFERROR(MATCH(VALUE($B88),기본자료!$B$2:$B$501,0),""))))</f>
        <v/>
      </c>
      <c r="AC88" s="10">
        <f>IF($B88="","",IFERROR(MATCH($B88,인턴근무계획!$D$3:$D$202,0),IFERROR(MATCH($B88&amp;"",인턴근무계획!$D$3:$D$202,0),IFERROR(MATCH(VALUE($B88),인턴근무계획!$D$3:$D$202,0),""))))</f>
        <v/>
      </c>
      <c r="AD88" s="10">
        <f>IF(OR($AC88="",인턴현황!$G$3=""),"",INDEX(인턴근무계획!$M$3:$R$202,$AC88,인턴현황!$G$3)&amp;"")</f>
        <v/>
      </c>
      <c r="AE88" s="10">
        <f>IF($B88="","",IF($M88&lt;&gt;"",$M88,IF($H88="","",IF(RIGHT($H88,2)="병원",$H88,$H88&amp;"병원"))))</f>
        <v/>
      </c>
    </row>
    <row r="89">
      <c r="A89" s="10">
        <f>IF(B89="","",ROW()-1)</f>
        <v/>
      </c>
      <c r="B89" s="13" t="n"/>
      <c r="C89" s="10">
        <f>IF($AB89="","",IF(INDEX(기본자료!$C$2:$C$501,$AB89)="","",INDEX(기본자료!$C$2:$C$501,$AB89)))</f>
        <v/>
      </c>
      <c r="D89" s="10">
        <f>IF($AB89="","",IF(INDEX(기본자료!$J$2:$J$501,$AB89)="","",INDEX(기본자료!$J$2:$J$501,$AB89)))</f>
        <v/>
      </c>
      <c r="E89" s="11">
        <f>IF($AB89="","",IF(INDEX(기본자료!$K$2:$K$501,$AB89)="","",IF(NOT(ISNUMBER(INDEX(기본자료!$K$2:$K$501,$AB89))),INDEX(기본자료!$K$2:$K$501,$AB89),IF(INDEX(기본자료!$K$2:$K$501,$AB89)&lt;1000000,INDEX(기본자료!$K$2:$K$501,$AB89),IF(AND(INDEX(기본자료!$K$2:$K$501,$AB89)&gt;=10000101,INT(MOD(INDEX(기본자료!$K$2:$K$501,$AB89),10000)/100)&gt;=1,INT(MOD(INDEX(기본자료!$K$2:$K$501,$AB89),10000)/100)&lt;=12,MOD(INDEX(기본자료!$K$2:$K$501,$AB89),100)&gt;=1,MOD(INDEX(기본자료!$K$2:$K$501,$AB89),100)&lt;=31),DATE(INT(INDEX(기본자료!$K$2:$K$501,$AB89)/10000),INT(MOD(INDEX(기본자료!$K$2:$K$501,$AB89),10000)/100),MOD(INDEX(기본자료!$K$2:$K$501,$AB89),100)),INDEX(기본자료!$K$2:$K$501,$AB89)&amp;"")))))</f>
        <v/>
      </c>
      <c r="F89" s="10">
        <f>IF($AB89="","",IF(INDEX(기본자료!$D$2:$D$501,$AB89)="","",INDEX(기본자료!$D$2:$D$501,$AB89)))</f>
        <v/>
      </c>
      <c r="G89" s="10">
        <f>IF($AB89="","",IF(INDEX(기본자료!$E$2:$E$501,$AB89)="","",INDEX(기본자료!$E$2:$E$501,$AB89)))</f>
        <v/>
      </c>
      <c r="H89" s="10">
        <f>IF($AB89="","",IF(INDEX(기본자료!$F$2:$F$501,$AB89)="","",INDEX(기본자료!$F$2:$F$501,$AB89)))</f>
        <v/>
      </c>
      <c r="I89" s="11">
        <f>IF($AB89="","",IF(INDEX(기본자료!$G$2:$G$501,$AB89)="","",IF(NOT(ISNUMBER(INDEX(기본자료!$G$2:$G$501,$AB89))),INDEX(기본자료!$G$2:$G$501,$AB89),IF(INDEX(기본자료!$G$2:$G$501,$AB89)&lt;1000000,INDEX(기본자료!$G$2:$G$501,$AB89),IF(AND(INDEX(기본자료!$G$2:$G$501,$AB89)&gt;=10000101,INT(MOD(INDEX(기본자료!$G$2:$G$501,$AB89),10000)/100)&gt;=1,INT(MOD(INDEX(기본자료!$G$2:$G$501,$AB89),10000)/100)&lt;=12,MOD(INDEX(기본자료!$G$2:$G$501,$AB89),100)&gt;=1,MOD(INDEX(기본자료!$G$2:$G$501,$AB89),100)&lt;=31),DATE(INT(INDEX(기본자료!$G$2:$G$501,$AB89)/10000),INT(MOD(INDEX(기본자료!$G$2:$G$501,$AB89),10000)/100),MOD(INDEX(기본자료!$G$2:$G$501,$AB89),100)),INDEX(기본자료!$G$2:$G$501,$AB89)&amp;"")))))</f>
        <v/>
      </c>
      <c r="J89" s="10">
        <f>IF($AB89="","",IF(INDEX(기본자료!$H$2:$H$501,$AB89)="","",INDEX(기본자료!$H$2:$H$501,$AB89)))</f>
        <v/>
      </c>
      <c r="K89" s="10">
        <f>IF($AB89="","",IF(INDEX(기본자료!$I$2:$I$501,$AB89)="","",INDEX(기본자료!$I$2:$I$501,$AB89)))</f>
        <v/>
      </c>
      <c r="L89" s="10">
        <f>IF($AB89="","",IF(INDEX(기본자료!$A$2:$A$501,$AB89)="","",INDEX(기본자료!$A$2:$A$501,$AB89)))</f>
        <v/>
      </c>
      <c r="M89" s="14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4" t="n"/>
      <c r="Q89" s="14" t="n"/>
      <c r="R89" s="14" t="n"/>
      <c r="S89" s="15" t="n"/>
      <c r="T89" s="15" t="n"/>
      <c r="U89" s="10">
        <f>IF(OR($B89="",$S89=""),"",IF(TODAY()&lt;$S89,"파견예정",IF(AND($T89&lt;&gt;"",TODAY()&gt;$T89),"파견종료","파견중")))</f>
        <v/>
      </c>
      <c r="V89" s="16">
        <f>IF(OR($S89="",$T89=""),"",$T89-$S89+1)</f>
        <v/>
      </c>
      <c r="W89" s="16">
        <f>IF(AND($U89="파견중",$T89&lt;&gt;""),$T89-TODAY(),"")</f>
        <v/>
      </c>
      <c r="X89" s="16">
        <f>IF(OR($B89="",$S89=""),"",MAX(0,MIN(IF($T89="",EOMONTH(요약!$B$3,0),$T89),EOMONTH(요약!$B$3,0))-MAX($S89,요약!$B$3)+1))</f>
        <v/>
      </c>
      <c r="Y89" s="10">
        <f>IF($B89="","",IF($AE89="","",IF(OR($S89="",$P89="",N($X89)&lt;=0),$AE89,IF($P89="다기관파견",$AE89,IF($AE89="구리병원",IF(AND($Q89&lt;&gt;"",N($X89)&gt;=요약!$E$3),$Q89,$AE89),IF(AND($P89="일반파견(단독)",$Q89&lt;&gt;""),$Q89,$AE89))))))</f>
        <v/>
      </c>
      <c r="Z89" s="17">
        <f>IF($B89="","",IF($AB89="","기본자료에 없는 사번",IF(COUNTIF($B$2:$B$201,$B89)&gt;1,"중복 사번",IF($M89="","입사장소 입력",IF(AND($P89&lt;&gt;"",$S89=""),"파견시작일 입력",IF(AND($S89&lt;&gt;"",$P89=""),"파견종류 입력",IF(AND($P89&lt;&gt;"",$P89&lt;&gt;"다기관파견",$Q89=""),"파견병원 입력",IF(IF($AC89="",0,N(INDEX(인턴근무계획!$T$3:$T$202,$AC89)))&gt;0,"인턴계획 입력오류 확인",IF(AND($AC89&lt;&gt;"",$U89&lt;&gt;"파견중",$N89&lt;&gt;$AE89),"인턴 타지역 근무: 파견 여부 확인","정상")))))))))</f>
        <v/>
      </c>
      <c r="AA89" s="5" t="n"/>
      <c r="AB89" s="10">
        <f>IF($B89="","",IFERROR(MATCH($B89,기본자료!$B$2:$B$501,0),IFERROR(MATCH($B89&amp;"",기본자료!$B$2:$B$501,0),IFERROR(MATCH(VALUE($B89),기본자료!$B$2:$B$501,0),""))))</f>
        <v/>
      </c>
      <c r="AC89" s="10">
        <f>IF($B89="","",IFERROR(MATCH($B89,인턴근무계획!$D$3:$D$202,0),IFERROR(MATCH($B89&amp;"",인턴근무계획!$D$3:$D$202,0),IFERROR(MATCH(VALUE($B89),인턴근무계획!$D$3:$D$202,0),""))))</f>
        <v/>
      </c>
      <c r="AD89" s="10">
        <f>IF(OR($AC89="",인턴현황!$G$3=""),"",INDEX(인턴근무계획!$M$3:$R$202,$AC89,인턴현황!$G$3)&amp;"")</f>
        <v/>
      </c>
      <c r="AE89" s="10">
        <f>IF($B89="","",IF($M89&lt;&gt;"",$M89,IF($H89="","",IF(RIGHT($H89,2)="병원",$H89,$H89&amp;"병원"))))</f>
        <v/>
      </c>
    </row>
    <row r="90">
      <c r="A90" s="10">
        <f>IF(B90="","",ROW()-1)</f>
        <v/>
      </c>
      <c r="B90" s="13" t="n"/>
      <c r="C90" s="10">
        <f>IF($AB90="","",IF(INDEX(기본자료!$C$2:$C$501,$AB90)="","",INDEX(기본자료!$C$2:$C$501,$AB90)))</f>
        <v/>
      </c>
      <c r="D90" s="10">
        <f>IF($AB90="","",IF(INDEX(기본자료!$J$2:$J$501,$AB90)="","",INDEX(기본자료!$J$2:$J$501,$AB90)))</f>
        <v/>
      </c>
      <c r="E90" s="11">
        <f>IF($AB90="","",IF(INDEX(기본자료!$K$2:$K$501,$AB90)="","",IF(NOT(ISNUMBER(INDEX(기본자료!$K$2:$K$501,$AB90))),INDEX(기본자료!$K$2:$K$501,$AB90),IF(INDEX(기본자료!$K$2:$K$501,$AB90)&lt;1000000,INDEX(기본자료!$K$2:$K$501,$AB90),IF(AND(INDEX(기본자료!$K$2:$K$501,$AB90)&gt;=10000101,INT(MOD(INDEX(기본자료!$K$2:$K$501,$AB90),10000)/100)&gt;=1,INT(MOD(INDEX(기본자료!$K$2:$K$501,$AB90),10000)/100)&lt;=12,MOD(INDEX(기본자료!$K$2:$K$501,$AB90),100)&gt;=1,MOD(INDEX(기본자료!$K$2:$K$501,$AB90),100)&lt;=31),DATE(INT(INDEX(기본자료!$K$2:$K$501,$AB90)/10000),INT(MOD(INDEX(기본자료!$K$2:$K$501,$AB90),10000)/100),MOD(INDEX(기본자료!$K$2:$K$501,$AB90),100)),INDEX(기본자료!$K$2:$K$501,$AB90)&amp;"")))))</f>
        <v/>
      </c>
      <c r="F90" s="10">
        <f>IF($AB90="","",IF(INDEX(기본자료!$D$2:$D$501,$AB90)="","",INDEX(기본자료!$D$2:$D$501,$AB90)))</f>
        <v/>
      </c>
      <c r="G90" s="10">
        <f>IF($AB90="","",IF(INDEX(기본자료!$E$2:$E$501,$AB90)="","",INDEX(기본자료!$E$2:$E$501,$AB90)))</f>
        <v/>
      </c>
      <c r="H90" s="10">
        <f>IF($AB90="","",IF(INDEX(기본자료!$F$2:$F$501,$AB90)="","",INDEX(기본자료!$F$2:$F$501,$AB90)))</f>
        <v/>
      </c>
      <c r="I90" s="11">
        <f>IF($AB90="","",IF(INDEX(기본자료!$G$2:$G$501,$AB90)="","",IF(NOT(ISNUMBER(INDEX(기본자료!$G$2:$G$501,$AB90))),INDEX(기본자료!$G$2:$G$501,$AB90),IF(INDEX(기본자료!$G$2:$G$501,$AB90)&lt;1000000,INDEX(기본자료!$G$2:$G$501,$AB90),IF(AND(INDEX(기본자료!$G$2:$G$501,$AB90)&gt;=10000101,INT(MOD(INDEX(기본자료!$G$2:$G$501,$AB90),10000)/100)&gt;=1,INT(MOD(INDEX(기본자료!$G$2:$G$501,$AB90),10000)/100)&lt;=12,MOD(INDEX(기본자료!$G$2:$G$501,$AB90),100)&gt;=1,MOD(INDEX(기본자료!$G$2:$G$501,$AB90),100)&lt;=31),DATE(INT(INDEX(기본자료!$G$2:$G$501,$AB90)/10000),INT(MOD(INDEX(기본자료!$G$2:$G$501,$AB90),10000)/100),MOD(INDEX(기본자료!$G$2:$G$501,$AB90),100)),INDEX(기본자료!$G$2:$G$501,$AB90)&amp;"")))))</f>
        <v/>
      </c>
      <c r="J90" s="10">
        <f>IF($AB90="","",IF(INDEX(기본자료!$H$2:$H$501,$AB90)="","",INDEX(기본자료!$H$2:$H$501,$AB90)))</f>
        <v/>
      </c>
      <c r="K90" s="10">
        <f>IF($AB90="","",IF(INDEX(기본자료!$I$2:$I$501,$AB90)="","",INDEX(기본자료!$I$2:$I$501,$AB90)))</f>
        <v/>
      </c>
      <c r="L90" s="10">
        <f>IF($AB90="","",IF(INDEX(기본자료!$A$2:$A$501,$AB90)="","",INDEX(기본자료!$A$2:$A$501,$AB90)))</f>
        <v/>
      </c>
      <c r="M90" s="14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4" t="n"/>
      <c r="Q90" s="14" t="n"/>
      <c r="R90" s="14" t="n"/>
      <c r="S90" s="15" t="n"/>
      <c r="T90" s="15" t="n"/>
      <c r="U90" s="10">
        <f>IF(OR($B90="",$S90=""),"",IF(TODAY()&lt;$S90,"파견예정",IF(AND($T90&lt;&gt;"",TODAY()&gt;$T90),"파견종료","파견중")))</f>
        <v/>
      </c>
      <c r="V90" s="16">
        <f>IF(OR($S90="",$T90=""),"",$T90-$S90+1)</f>
        <v/>
      </c>
      <c r="W90" s="16">
        <f>IF(AND($U90="파견중",$T90&lt;&gt;""),$T90-TODAY(),"")</f>
        <v/>
      </c>
      <c r="X90" s="16">
        <f>IF(OR($B90="",$S90=""),"",MAX(0,MIN(IF($T90="",EOMONTH(요약!$B$3,0),$T90),EOMONTH(요약!$B$3,0))-MAX($S90,요약!$B$3)+1))</f>
        <v/>
      </c>
      <c r="Y90" s="10">
        <f>IF($B90="","",IF($AE90="","",IF(OR($S90="",$P90="",N($X90)&lt;=0),$AE90,IF($P90="다기관파견",$AE90,IF($AE90="구리병원",IF(AND($Q90&lt;&gt;"",N($X90)&gt;=요약!$E$3),$Q90,$AE90),IF(AND($P90="일반파견(단독)",$Q90&lt;&gt;""),$Q90,$AE90))))))</f>
        <v/>
      </c>
      <c r="Z90" s="17">
        <f>IF($B90="","",IF($AB90="","기본자료에 없는 사번",IF(COUNTIF($B$2:$B$201,$B90)&gt;1,"중복 사번",IF($M90="","입사장소 입력",IF(AND($P90&lt;&gt;"",$S90=""),"파견시작일 입력",IF(AND($S90&lt;&gt;"",$P90=""),"파견종류 입력",IF(AND($P90&lt;&gt;"",$P90&lt;&gt;"다기관파견",$Q90=""),"파견병원 입력",IF(IF($AC90="",0,N(INDEX(인턴근무계획!$T$3:$T$202,$AC90)))&gt;0,"인턴계획 입력오류 확인",IF(AND($AC90&lt;&gt;"",$U90&lt;&gt;"파견중",$N90&lt;&gt;$AE90),"인턴 타지역 근무: 파견 여부 확인","정상")))))))))</f>
        <v/>
      </c>
      <c r="AA90" s="5" t="n"/>
      <c r="AB90" s="10">
        <f>IF($B90="","",IFERROR(MATCH($B90,기본자료!$B$2:$B$501,0),IFERROR(MATCH($B90&amp;"",기본자료!$B$2:$B$501,0),IFERROR(MATCH(VALUE($B90),기본자료!$B$2:$B$501,0),""))))</f>
        <v/>
      </c>
      <c r="AC90" s="10">
        <f>IF($B90="","",IFERROR(MATCH($B90,인턴근무계획!$D$3:$D$202,0),IFERROR(MATCH($B90&amp;"",인턴근무계획!$D$3:$D$202,0),IFERROR(MATCH(VALUE($B90),인턴근무계획!$D$3:$D$202,0),""))))</f>
        <v/>
      </c>
      <c r="AD90" s="10">
        <f>IF(OR($AC90="",인턴현황!$G$3=""),"",INDEX(인턴근무계획!$M$3:$R$202,$AC90,인턴현황!$G$3)&amp;"")</f>
        <v/>
      </c>
      <c r="AE90" s="10">
        <f>IF($B90="","",IF($M90&lt;&gt;"",$M90,IF($H90="","",IF(RIGHT($H90,2)="병원",$H90,$H90&amp;"병원"))))</f>
        <v/>
      </c>
    </row>
    <row r="91">
      <c r="A91" s="10">
        <f>IF(B91="","",ROW()-1)</f>
        <v/>
      </c>
      <c r="B91" s="13" t="n"/>
      <c r="C91" s="10">
        <f>IF($AB91="","",IF(INDEX(기본자료!$C$2:$C$501,$AB91)="","",INDEX(기본자료!$C$2:$C$501,$AB91)))</f>
        <v/>
      </c>
      <c r="D91" s="10">
        <f>IF($AB91="","",IF(INDEX(기본자료!$J$2:$J$501,$AB91)="","",INDEX(기본자료!$J$2:$J$501,$AB91)))</f>
        <v/>
      </c>
      <c r="E91" s="11">
        <f>IF($AB91="","",IF(INDEX(기본자료!$K$2:$K$501,$AB91)="","",IF(NOT(ISNUMBER(INDEX(기본자료!$K$2:$K$501,$AB91))),INDEX(기본자료!$K$2:$K$501,$AB91),IF(INDEX(기본자료!$K$2:$K$501,$AB91)&lt;1000000,INDEX(기본자료!$K$2:$K$501,$AB91),IF(AND(INDEX(기본자료!$K$2:$K$501,$AB91)&gt;=10000101,INT(MOD(INDEX(기본자료!$K$2:$K$501,$AB91),10000)/100)&gt;=1,INT(MOD(INDEX(기본자료!$K$2:$K$501,$AB91),10000)/100)&lt;=12,MOD(INDEX(기본자료!$K$2:$K$501,$AB91),100)&gt;=1,MOD(INDEX(기본자료!$K$2:$K$501,$AB91),100)&lt;=31),DATE(INT(INDEX(기본자료!$K$2:$K$501,$AB91)/10000),INT(MOD(INDEX(기본자료!$K$2:$K$501,$AB91),10000)/100),MOD(INDEX(기본자료!$K$2:$K$501,$AB91),100)),INDEX(기본자료!$K$2:$K$501,$AB91)&amp;"")))))</f>
        <v/>
      </c>
      <c r="F91" s="10">
        <f>IF($AB91="","",IF(INDEX(기본자료!$D$2:$D$501,$AB91)="","",INDEX(기본자료!$D$2:$D$501,$AB91)))</f>
        <v/>
      </c>
      <c r="G91" s="10">
        <f>IF($AB91="","",IF(INDEX(기본자료!$E$2:$E$501,$AB91)="","",INDEX(기본자료!$E$2:$E$501,$AB91)))</f>
        <v/>
      </c>
      <c r="H91" s="10">
        <f>IF($AB91="","",IF(INDEX(기본자료!$F$2:$F$501,$AB91)="","",INDEX(기본자료!$F$2:$F$501,$AB91)))</f>
        <v/>
      </c>
      <c r="I91" s="11">
        <f>IF($AB91="","",IF(INDEX(기본자료!$G$2:$G$501,$AB91)="","",IF(NOT(ISNUMBER(INDEX(기본자료!$G$2:$G$501,$AB91))),INDEX(기본자료!$G$2:$G$501,$AB91),IF(INDEX(기본자료!$G$2:$G$501,$AB91)&lt;1000000,INDEX(기본자료!$G$2:$G$501,$AB91),IF(AND(INDEX(기본자료!$G$2:$G$501,$AB91)&gt;=10000101,INT(MOD(INDEX(기본자료!$G$2:$G$501,$AB91),10000)/100)&gt;=1,INT(MOD(INDEX(기본자료!$G$2:$G$501,$AB91),10000)/100)&lt;=12,MOD(INDEX(기본자료!$G$2:$G$501,$AB91),100)&gt;=1,MOD(INDEX(기본자료!$G$2:$G$501,$AB91),100)&lt;=31),DATE(INT(INDEX(기본자료!$G$2:$G$501,$AB91)/10000),INT(MOD(INDEX(기본자료!$G$2:$G$501,$AB91),10000)/100),MOD(INDEX(기본자료!$G$2:$G$501,$AB91),100)),INDEX(기본자료!$G$2:$G$501,$AB91)&amp;"")))))</f>
        <v/>
      </c>
      <c r="J91" s="10">
        <f>IF($AB91="","",IF(INDEX(기본자료!$H$2:$H$501,$AB91)="","",INDEX(기본자료!$H$2:$H$501,$AB91)))</f>
        <v/>
      </c>
      <c r="K91" s="10">
        <f>IF($AB91="","",IF(INDEX(기본자료!$I$2:$I$501,$AB91)="","",INDEX(기본자료!$I$2:$I$501,$AB91)))</f>
        <v/>
      </c>
      <c r="L91" s="10">
        <f>IF($AB91="","",IF(INDEX(기본자료!$A$2:$A$501,$AB91)="","",INDEX(기본자료!$A$2:$A$501,$AB91)))</f>
        <v/>
      </c>
      <c r="M91" s="14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4" t="n"/>
      <c r="Q91" s="14" t="n"/>
      <c r="R91" s="14" t="n"/>
      <c r="S91" s="15" t="n"/>
      <c r="T91" s="15" t="n"/>
      <c r="U91" s="10">
        <f>IF(OR($B91="",$S91=""),"",IF(TODAY()&lt;$S91,"파견예정",IF(AND($T91&lt;&gt;"",TODAY()&gt;$T91),"파견종료","파견중")))</f>
        <v/>
      </c>
      <c r="V91" s="16">
        <f>IF(OR($S91="",$T91=""),"",$T91-$S91+1)</f>
        <v/>
      </c>
      <c r="W91" s="16">
        <f>IF(AND($U91="파견중",$T91&lt;&gt;""),$T91-TODAY(),"")</f>
        <v/>
      </c>
      <c r="X91" s="16">
        <f>IF(OR($B91="",$S91=""),"",MAX(0,MIN(IF($T91="",EOMONTH(요약!$B$3,0),$T91),EOMONTH(요약!$B$3,0))-MAX($S91,요약!$B$3)+1))</f>
        <v/>
      </c>
      <c r="Y91" s="10">
        <f>IF($B91="","",IF($AE91="","",IF(OR($S91="",$P91="",N($X91)&lt;=0),$AE91,IF($P91="다기관파견",$AE91,IF($AE91="구리병원",IF(AND($Q91&lt;&gt;"",N($X91)&gt;=요약!$E$3),$Q91,$AE91),IF(AND($P91="일반파견(단독)",$Q91&lt;&gt;""),$Q91,$AE91))))))</f>
        <v/>
      </c>
      <c r="Z91" s="17">
        <f>IF($B91="","",IF($AB91="","기본자료에 없는 사번",IF(COUNTIF($B$2:$B$201,$B91)&gt;1,"중복 사번",IF($M91="","입사장소 입력",IF(AND($P91&lt;&gt;"",$S91=""),"파견시작일 입력",IF(AND($S91&lt;&gt;"",$P91=""),"파견종류 입력",IF(AND($P91&lt;&gt;"",$P91&lt;&gt;"다기관파견",$Q91=""),"파견병원 입력",IF(IF($AC91="",0,N(INDEX(인턴근무계획!$T$3:$T$202,$AC91)))&gt;0,"인턴계획 입력오류 확인",IF(AND($AC91&lt;&gt;"",$U91&lt;&gt;"파견중",$N91&lt;&gt;$AE91),"인턴 타지역 근무: 파견 여부 확인","정상")))))))))</f>
        <v/>
      </c>
      <c r="AA91" s="5" t="n"/>
      <c r="AB91" s="10">
        <f>IF($B91="","",IFERROR(MATCH($B91,기본자료!$B$2:$B$501,0),IFERROR(MATCH($B91&amp;"",기본자료!$B$2:$B$501,0),IFERROR(MATCH(VALUE($B91),기본자료!$B$2:$B$501,0),""))))</f>
        <v/>
      </c>
      <c r="AC91" s="10">
        <f>IF($B91="","",IFERROR(MATCH($B91,인턴근무계획!$D$3:$D$202,0),IFERROR(MATCH($B91&amp;"",인턴근무계획!$D$3:$D$202,0),IFERROR(MATCH(VALUE($B91),인턴근무계획!$D$3:$D$202,0),""))))</f>
        <v/>
      </c>
      <c r="AD91" s="10">
        <f>IF(OR($AC91="",인턴현황!$G$3=""),"",INDEX(인턴근무계획!$M$3:$R$202,$AC91,인턴현황!$G$3)&amp;"")</f>
        <v/>
      </c>
      <c r="AE91" s="10">
        <f>IF($B91="","",IF($M91&lt;&gt;"",$M91,IF($H91="","",IF(RIGHT($H91,2)="병원",$H91,$H91&amp;"병원"))))</f>
        <v/>
      </c>
    </row>
    <row r="92">
      <c r="A92" s="10">
        <f>IF(B92="","",ROW()-1)</f>
        <v/>
      </c>
      <c r="B92" s="13" t="n"/>
      <c r="C92" s="10">
        <f>IF($AB92="","",IF(INDEX(기본자료!$C$2:$C$501,$AB92)="","",INDEX(기본자료!$C$2:$C$501,$AB92)))</f>
        <v/>
      </c>
      <c r="D92" s="10">
        <f>IF($AB92="","",IF(INDEX(기본자료!$J$2:$J$501,$AB92)="","",INDEX(기본자료!$J$2:$J$501,$AB92)))</f>
        <v/>
      </c>
      <c r="E92" s="11">
        <f>IF($AB92="","",IF(INDEX(기본자료!$K$2:$K$501,$AB92)="","",IF(NOT(ISNUMBER(INDEX(기본자료!$K$2:$K$501,$AB92))),INDEX(기본자료!$K$2:$K$501,$AB92),IF(INDEX(기본자료!$K$2:$K$501,$AB92)&lt;1000000,INDEX(기본자료!$K$2:$K$501,$AB92),IF(AND(INDEX(기본자료!$K$2:$K$501,$AB92)&gt;=10000101,INT(MOD(INDEX(기본자료!$K$2:$K$501,$AB92),10000)/100)&gt;=1,INT(MOD(INDEX(기본자료!$K$2:$K$501,$AB92),10000)/100)&lt;=12,MOD(INDEX(기본자료!$K$2:$K$501,$AB92),100)&gt;=1,MOD(INDEX(기본자료!$K$2:$K$501,$AB92),100)&lt;=31),DATE(INT(INDEX(기본자료!$K$2:$K$501,$AB92)/10000),INT(MOD(INDEX(기본자료!$K$2:$K$501,$AB92),10000)/100),MOD(INDEX(기본자료!$K$2:$K$501,$AB92),100)),INDEX(기본자료!$K$2:$K$501,$AB92)&amp;"")))))</f>
        <v/>
      </c>
      <c r="F92" s="10">
        <f>IF($AB92="","",IF(INDEX(기본자료!$D$2:$D$501,$AB92)="","",INDEX(기본자료!$D$2:$D$501,$AB92)))</f>
        <v/>
      </c>
      <c r="G92" s="10">
        <f>IF($AB92="","",IF(INDEX(기본자료!$E$2:$E$501,$AB92)="","",INDEX(기본자료!$E$2:$E$501,$AB92)))</f>
        <v/>
      </c>
      <c r="H92" s="10">
        <f>IF($AB92="","",IF(INDEX(기본자료!$F$2:$F$501,$AB92)="","",INDEX(기본자료!$F$2:$F$501,$AB92)))</f>
        <v/>
      </c>
      <c r="I92" s="11">
        <f>IF($AB92="","",IF(INDEX(기본자료!$G$2:$G$501,$AB92)="","",IF(NOT(ISNUMBER(INDEX(기본자료!$G$2:$G$501,$AB92))),INDEX(기본자료!$G$2:$G$501,$AB92),IF(INDEX(기본자료!$G$2:$G$501,$AB92)&lt;1000000,INDEX(기본자료!$G$2:$G$501,$AB92),IF(AND(INDEX(기본자료!$G$2:$G$501,$AB92)&gt;=10000101,INT(MOD(INDEX(기본자료!$G$2:$G$501,$AB92),10000)/100)&gt;=1,INT(MOD(INDEX(기본자료!$G$2:$G$501,$AB92),10000)/100)&lt;=12,MOD(INDEX(기본자료!$G$2:$G$501,$AB92),100)&gt;=1,MOD(INDEX(기본자료!$G$2:$G$501,$AB92),100)&lt;=31),DATE(INT(INDEX(기본자료!$G$2:$G$501,$AB92)/10000),INT(MOD(INDEX(기본자료!$G$2:$G$501,$AB92),10000)/100),MOD(INDEX(기본자료!$G$2:$G$501,$AB92),100)),INDEX(기본자료!$G$2:$G$501,$AB92)&amp;"")))))</f>
        <v/>
      </c>
      <c r="J92" s="10">
        <f>IF($AB92="","",IF(INDEX(기본자료!$H$2:$H$501,$AB92)="","",INDEX(기본자료!$H$2:$H$501,$AB92)))</f>
        <v/>
      </c>
      <c r="K92" s="10">
        <f>IF($AB92="","",IF(INDEX(기본자료!$I$2:$I$501,$AB92)="","",INDEX(기본자료!$I$2:$I$501,$AB92)))</f>
        <v/>
      </c>
      <c r="L92" s="10">
        <f>IF($AB92="","",IF(INDEX(기본자료!$A$2:$A$501,$AB92)="","",INDEX(기본자료!$A$2:$A$501,$AB92)))</f>
        <v/>
      </c>
      <c r="M92" s="14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4" t="n"/>
      <c r="Q92" s="14" t="n"/>
      <c r="R92" s="14" t="n"/>
      <c r="S92" s="15" t="n"/>
      <c r="T92" s="15" t="n"/>
      <c r="U92" s="10">
        <f>IF(OR($B92="",$S92=""),"",IF(TODAY()&lt;$S92,"파견예정",IF(AND($T92&lt;&gt;"",TODAY()&gt;$T92),"파견종료","파견중")))</f>
        <v/>
      </c>
      <c r="V92" s="16">
        <f>IF(OR($S92="",$T92=""),"",$T92-$S92+1)</f>
        <v/>
      </c>
      <c r="W92" s="16">
        <f>IF(AND($U92="파견중",$T92&lt;&gt;""),$T92-TODAY(),"")</f>
        <v/>
      </c>
      <c r="X92" s="16">
        <f>IF(OR($B92="",$S92=""),"",MAX(0,MIN(IF($T92="",EOMONTH(요약!$B$3,0),$T92),EOMONTH(요약!$B$3,0))-MAX($S92,요약!$B$3)+1))</f>
        <v/>
      </c>
      <c r="Y92" s="10">
        <f>IF($B92="","",IF($AE92="","",IF(OR($S92="",$P92="",N($X92)&lt;=0),$AE92,IF($P92="다기관파견",$AE92,IF($AE92="구리병원",IF(AND($Q92&lt;&gt;"",N($X92)&gt;=요약!$E$3),$Q92,$AE92),IF(AND($P92="일반파견(단독)",$Q92&lt;&gt;""),$Q92,$AE92))))))</f>
        <v/>
      </c>
      <c r="Z92" s="17">
        <f>IF($B92="","",IF($AB92="","기본자료에 없는 사번",IF(COUNTIF($B$2:$B$201,$B92)&gt;1,"중복 사번",IF($M92="","입사장소 입력",IF(AND($P92&lt;&gt;"",$S92=""),"파견시작일 입력",IF(AND($S92&lt;&gt;"",$P92=""),"파견종류 입력",IF(AND($P92&lt;&gt;"",$P92&lt;&gt;"다기관파견",$Q92=""),"파견병원 입력",IF(IF($AC92="",0,N(INDEX(인턴근무계획!$T$3:$T$202,$AC92)))&gt;0,"인턴계획 입력오류 확인",IF(AND($AC92&lt;&gt;"",$U92&lt;&gt;"파견중",$N92&lt;&gt;$AE92),"인턴 타지역 근무: 파견 여부 확인","정상")))))))))</f>
        <v/>
      </c>
      <c r="AA92" s="5" t="n"/>
      <c r="AB92" s="10">
        <f>IF($B92="","",IFERROR(MATCH($B92,기본자료!$B$2:$B$501,0),IFERROR(MATCH($B92&amp;"",기본자료!$B$2:$B$501,0),IFERROR(MATCH(VALUE($B92),기본자료!$B$2:$B$501,0),""))))</f>
        <v/>
      </c>
      <c r="AC92" s="10">
        <f>IF($B92="","",IFERROR(MATCH($B92,인턴근무계획!$D$3:$D$202,0),IFERROR(MATCH($B92&amp;"",인턴근무계획!$D$3:$D$202,0),IFERROR(MATCH(VALUE($B92),인턴근무계획!$D$3:$D$202,0),""))))</f>
        <v/>
      </c>
      <c r="AD92" s="10">
        <f>IF(OR($AC92="",인턴현황!$G$3=""),"",INDEX(인턴근무계획!$M$3:$R$202,$AC92,인턴현황!$G$3)&amp;"")</f>
        <v/>
      </c>
      <c r="AE92" s="10">
        <f>IF($B92="","",IF($M92&lt;&gt;"",$M92,IF($H92="","",IF(RIGHT($H92,2)="병원",$H92,$H92&amp;"병원"))))</f>
        <v/>
      </c>
    </row>
    <row r="93">
      <c r="A93" s="10">
        <f>IF(B93="","",ROW()-1)</f>
        <v/>
      </c>
      <c r="B93" s="13" t="n"/>
      <c r="C93" s="10">
        <f>IF($AB93="","",IF(INDEX(기본자료!$C$2:$C$501,$AB93)="","",INDEX(기본자료!$C$2:$C$501,$AB93)))</f>
        <v/>
      </c>
      <c r="D93" s="10">
        <f>IF($AB93="","",IF(INDEX(기본자료!$J$2:$J$501,$AB93)="","",INDEX(기본자료!$J$2:$J$501,$AB93)))</f>
        <v/>
      </c>
      <c r="E93" s="11">
        <f>IF($AB93="","",IF(INDEX(기본자료!$K$2:$K$501,$AB93)="","",IF(NOT(ISNUMBER(INDEX(기본자료!$K$2:$K$501,$AB93))),INDEX(기본자료!$K$2:$K$501,$AB93),IF(INDEX(기본자료!$K$2:$K$501,$AB93)&lt;1000000,INDEX(기본자료!$K$2:$K$501,$AB93),IF(AND(INDEX(기본자료!$K$2:$K$501,$AB93)&gt;=10000101,INT(MOD(INDEX(기본자료!$K$2:$K$501,$AB93),10000)/100)&gt;=1,INT(MOD(INDEX(기본자료!$K$2:$K$501,$AB93),10000)/100)&lt;=12,MOD(INDEX(기본자료!$K$2:$K$501,$AB93),100)&gt;=1,MOD(INDEX(기본자료!$K$2:$K$501,$AB93),100)&lt;=31),DATE(INT(INDEX(기본자료!$K$2:$K$501,$AB93)/10000),INT(MOD(INDEX(기본자료!$K$2:$K$501,$AB93),10000)/100),MOD(INDEX(기본자료!$K$2:$K$501,$AB93),100)),INDEX(기본자료!$K$2:$K$501,$AB93)&amp;"")))))</f>
        <v/>
      </c>
      <c r="F93" s="10">
        <f>IF($AB93="","",IF(INDEX(기본자료!$D$2:$D$501,$AB93)="","",INDEX(기본자료!$D$2:$D$501,$AB93)))</f>
        <v/>
      </c>
      <c r="G93" s="10">
        <f>IF($AB93="","",IF(INDEX(기본자료!$E$2:$E$501,$AB93)="","",INDEX(기본자료!$E$2:$E$501,$AB93)))</f>
        <v/>
      </c>
      <c r="H93" s="10">
        <f>IF($AB93="","",IF(INDEX(기본자료!$F$2:$F$501,$AB93)="","",INDEX(기본자료!$F$2:$F$501,$AB93)))</f>
        <v/>
      </c>
      <c r="I93" s="11">
        <f>IF($AB93="","",IF(INDEX(기본자료!$G$2:$G$501,$AB93)="","",IF(NOT(ISNUMBER(INDEX(기본자료!$G$2:$G$501,$AB93))),INDEX(기본자료!$G$2:$G$501,$AB93),IF(INDEX(기본자료!$G$2:$G$501,$AB93)&lt;1000000,INDEX(기본자료!$G$2:$G$501,$AB93),IF(AND(INDEX(기본자료!$G$2:$G$501,$AB93)&gt;=10000101,INT(MOD(INDEX(기본자료!$G$2:$G$501,$AB93),10000)/100)&gt;=1,INT(MOD(INDEX(기본자료!$G$2:$G$501,$AB93),10000)/100)&lt;=12,MOD(INDEX(기본자료!$G$2:$G$501,$AB93),100)&gt;=1,MOD(INDEX(기본자료!$G$2:$G$501,$AB93),100)&lt;=31),DATE(INT(INDEX(기본자료!$G$2:$G$501,$AB93)/10000),INT(MOD(INDEX(기본자료!$G$2:$G$501,$AB93),10000)/100),MOD(INDEX(기본자료!$G$2:$G$501,$AB93),100)),INDEX(기본자료!$G$2:$G$501,$AB93)&amp;"")))))</f>
        <v/>
      </c>
      <c r="J93" s="10">
        <f>IF($AB93="","",IF(INDEX(기본자료!$H$2:$H$501,$AB93)="","",INDEX(기본자료!$H$2:$H$501,$AB93)))</f>
        <v/>
      </c>
      <c r="K93" s="10">
        <f>IF($AB93="","",IF(INDEX(기본자료!$I$2:$I$501,$AB93)="","",INDEX(기본자료!$I$2:$I$501,$AB93)))</f>
        <v/>
      </c>
      <c r="L93" s="10">
        <f>IF($AB93="","",IF(INDEX(기본자료!$A$2:$A$501,$AB93)="","",INDEX(기본자료!$A$2:$A$501,$AB93)))</f>
        <v/>
      </c>
      <c r="M93" s="14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4" t="n"/>
      <c r="Q93" s="14" t="n"/>
      <c r="R93" s="14" t="n"/>
      <c r="S93" s="15" t="n"/>
      <c r="T93" s="15" t="n"/>
      <c r="U93" s="10">
        <f>IF(OR($B93="",$S93=""),"",IF(TODAY()&lt;$S93,"파견예정",IF(AND($T93&lt;&gt;"",TODAY()&gt;$T93),"파견종료","파견중")))</f>
        <v/>
      </c>
      <c r="V93" s="16">
        <f>IF(OR($S93="",$T93=""),"",$T93-$S93+1)</f>
        <v/>
      </c>
      <c r="W93" s="16">
        <f>IF(AND($U93="파견중",$T93&lt;&gt;""),$T93-TODAY(),"")</f>
        <v/>
      </c>
      <c r="X93" s="16">
        <f>IF(OR($B93="",$S93=""),"",MAX(0,MIN(IF($T93="",EOMONTH(요약!$B$3,0),$T93),EOMONTH(요약!$B$3,0))-MAX($S93,요약!$B$3)+1))</f>
        <v/>
      </c>
      <c r="Y93" s="10">
        <f>IF($B93="","",IF($AE93="","",IF(OR($S93="",$P93="",N($X93)&lt;=0),$AE93,IF($P93="다기관파견",$AE93,IF($AE93="구리병원",IF(AND($Q93&lt;&gt;"",N($X93)&gt;=요약!$E$3),$Q93,$AE93),IF(AND($P93="일반파견(단독)",$Q93&lt;&gt;""),$Q93,$AE93))))))</f>
        <v/>
      </c>
      <c r="Z93" s="17">
        <f>IF($B93="","",IF($AB93="","기본자료에 없는 사번",IF(COUNTIF($B$2:$B$201,$B93)&gt;1,"중복 사번",IF($M93="","입사장소 입력",IF(AND($P93&lt;&gt;"",$S93=""),"파견시작일 입력",IF(AND($S93&lt;&gt;"",$P93=""),"파견종류 입력",IF(AND($P93&lt;&gt;"",$P93&lt;&gt;"다기관파견",$Q93=""),"파견병원 입력",IF(IF($AC93="",0,N(INDEX(인턴근무계획!$T$3:$T$202,$AC93)))&gt;0,"인턴계획 입력오류 확인",IF(AND($AC93&lt;&gt;"",$U93&lt;&gt;"파견중",$N93&lt;&gt;$AE93),"인턴 타지역 근무: 파견 여부 확인","정상")))))))))</f>
        <v/>
      </c>
      <c r="AA93" s="5" t="n"/>
      <c r="AB93" s="10">
        <f>IF($B93="","",IFERROR(MATCH($B93,기본자료!$B$2:$B$501,0),IFERROR(MATCH($B93&amp;"",기본자료!$B$2:$B$501,0),IFERROR(MATCH(VALUE($B93),기본자료!$B$2:$B$501,0),""))))</f>
        <v/>
      </c>
      <c r="AC93" s="10">
        <f>IF($B93="","",IFERROR(MATCH($B93,인턴근무계획!$D$3:$D$202,0),IFERROR(MATCH($B93&amp;"",인턴근무계획!$D$3:$D$202,0),IFERROR(MATCH(VALUE($B93),인턴근무계획!$D$3:$D$202,0),""))))</f>
        <v/>
      </c>
      <c r="AD93" s="10">
        <f>IF(OR($AC93="",인턴현황!$G$3=""),"",INDEX(인턴근무계획!$M$3:$R$202,$AC93,인턴현황!$G$3)&amp;"")</f>
        <v/>
      </c>
      <c r="AE93" s="10">
        <f>IF($B93="","",IF($M93&lt;&gt;"",$M93,IF($H93="","",IF(RIGHT($H93,2)="병원",$H93,$H93&amp;"병원"))))</f>
        <v/>
      </c>
    </row>
    <row r="94">
      <c r="A94" s="10">
        <f>IF(B94="","",ROW()-1)</f>
        <v/>
      </c>
      <c r="B94" s="13" t="n"/>
      <c r="C94" s="10">
        <f>IF($AB94="","",IF(INDEX(기본자료!$C$2:$C$501,$AB94)="","",INDEX(기본자료!$C$2:$C$501,$AB94)))</f>
        <v/>
      </c>
      <c r="D94" s="10">
        <f>IF($AB94="","",IF(INDEX(기본자료!$J$2:$J$501,$AB94)="","",INDEX(기본자료!$J$2:$J$501,$AB94)))</f>
        <v/>
      </c>
      <c r="E94" s="11">
        <f>IF($AB94="","",IF(INDEX(기본자료!$K$2:$K$501,$AB94)="","",IF(NOT(ISNUMBER(INDEX(기본자료!$K$2:$K$501,$AB94))),INDEX(기본자료!$K$2:$K$501,$AB94),IF(INDEX(기본자료!$K$2:$K$501,$AB94)&lt;1000000,INDEX(기본자료!$K$2:$K$501,$AB94),IF(AND(INDEX(기본자료!$K$2:$K$501,$AB94)&gt;=10000101,INT(MOD(INDEX(기본자료!$K$2:$K$501,$AB94),10000)/100)&gt;=1,INT(MOD(INDEX(기본자료!$K$2:$K$501,$AB94),10000)/100)&lt;=12,MOD(INDEX(기본자료!$K$2:$K$501,$AB94),100)&gt;=1,MOD(INDEX(기본자료!$K$2:$K$501,$AB94),100)&lt;=31),DATE(INT(INDEX(기본자료!$K$2:$K$501,$AB94)/10000),INT(MOD(INDEX(기본자료!$K$2:$K$501,$AB94),10000)/100),MOD(INDEX(기본자료!$K$2:$K$501,$AB94),100)),INDEX(기본자료!$K$2:$K$501,$AB94)&amp;"")))))</f>
        <v/>
      </c>
      <c r="F94" s="10">
        <f>IF($AB94="","",IF(INDEX(기본자료!$D$2:$D$501,$AB94)="","",INDEX(기본자료!$D$2:$D$501,$AB94)))</f>
        <v/>
      </c>
      <c r="G94" s="10">
        <f>IF($AB94="","",IF(INDEX(기본자료!$E$2:$E$501,$AB94)="","",INDEX(기본자료!$E$2:$E$501,$AB94)))</f>
        <v/>
      </c>
      <c r="H94" s="10">
        <f>IF($AB94="","",IF(INDEX(기본자료!$F$2:$F$501,$AB94)="","",INDEX(기본자료!$F$2:$F$501,$AB94)))</f>
        <v/>
      </c>
      <c r="I94" s="11">
        <f>IF($AB94="","",IF(INDEX(기본자료!$G$2:$G$501,$AB94)="","",IF(NOT(ISNUMBER(INDEX(기본자료!$G$2:$G$501,$AB94))),INDEX(기본자료!$G$2:$G$501,$AB94),IF(INDEX(기본자료!$G$2:$G$501,$AB94)&lt;1000000,INDEX(기본자료!$G$2:$G$501,$AB94),IF(AND(INDEX(기본자료!$G$2:$G$501,$AB94)&gt;=10000101,INT(MOD(INDEX(기본자료!$G$2:$G$501,$AB94),10000)/100)&gt;=1,INT(MOD(INDEX(기본자료!$G$2:$G$501,$AB94),10000)/100)&lt;=12,MOD(INDEX(기본자료!$G$2:$G$501,$AB94),100)&gt;=1,MOD(INDEX(기본자료!$G$2:$G$501,$AB94),100)&lt;=31),DATE(INT(INDEX(기본자료!$G$2:$G$501,$AB94)/10000),INT(MOD(INDEX(기본자료!$G$2:$G$501,$AB94),10000)/100),MOD(INDEX(기본자료!$G$2:$G$501,$AB94),100)),INDEX(기본자료!$G$2:$G$501,$AB94)&amp;"")))))</f>
        <v/>
      </c>
      <c r="J94" s="10">
        <f>IF($AB94="","",IF(INDEX(기본자료!$H$2:$H$501,$AB94)="","",INDEX(기본자료!$H$2:$H$501,$AB94)))</f>
        <v/>
      </c>
      <c r="K94" s="10">
        <f>IF($AB94="","",IF(INDEX(기본자료!$I$2:$I$501,$AB94)="","",INDEX(기본자료!$I$2:$I$501,$AB94)))</f>
        <v/>
      </c>
      <c r="L94" s="10">
        <f>IF($AB94="","",IF(INDEX(기본자료!$A$2:$A$501,$AB94)="","",INDEX(기본자료!$A$2:$A$501,$AB94)))</f>
        <v/>
      </c>
      <c r="M94" s="14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4" t="n"/>
      <c r="Q94" s="14" t="n"/>
      <c r="R94" s="14" t="n"/>
      <c r="S94" s="15" t="n"/>
      <c r="T94" s="15" t="n"/>
      <c r="U94" s="10">
        <f>IF(OR($B94="",$S94=""),"",IF(TODAY()&lt;$S94,"파견예정",IF(AND($T94&lt;&gt;"",TODAY()&gt;$T94),"파견종료","파견중")))</f>
        <v/>
      </c>
      <c r="V94" s="16">
        <f>IF(OR($S94="",$T94=""),"",$T94-$S94+1)</f>
        <v/>
      </c>
      <c r="W94" s="16">
        <f>IF(AND($U94="파견중",$T94&lt;&gt;""),$T94-TODAY(),"")</f>
        <v/>
      </c>
      <c r="X94" s="16">
        <f>IF(OR($B94="",$S94=""),"",MAX(0,MIN(IF($T94="",EOMONTH(요약!$B$3,0),$T94),EOMONTH(요약!$B$3,0))-MAX($S94,요약!$B$3)+1))</f>
        <v/>
      </c>
      <c r="Y94" s="10">
        <f>IF($B94="","",IF($AE94="","",IF(OR($S94="",$P94="",N($X94)&lt;=0),$AE94,IF($P94="다기관파견",$AE94,IF($AE94="구리병원",IF(AND($Q94&lt;&gt;"",N($X94)&gt;=요약!$E$3),$Q94,$AE94),IF(AND($P94="일반파견(단독)",$Q94&lt;&gt;""),$Q94,$AE94))))))</f>
        <v/>
      </c>
      <c r="Z94" s="17">
        <f>IF($B94="","",IF($AB94="","기본자료에 없는 사번",IF(COUNTIF($B$2:$B$201,$B94)&gt;1,"중복 사번",IF($M94="","입사장소 입력",IF(AND($P94&lt;&gt;"",$S94=""),"파견시작일 입력",IF(AND($S94&lt;&gt;"",$P94=""),"파견종류 입력",IF(AND($P94&lt;&gt;"",$P94&lt;&gt;"다기관파견",$Q94=""),"파견병원 입력",IF(IF($AC94="",0,N(INDEX(인턴근무계획!$T$3:$T$202,$AC94)))&gt;0,"인턴계획 입력오류 확인",IF(AND($AC94&lt;&gt;"",$U94&lt;&gt;"파견중",$N94&lt;&gt;$AE94),"인턴 타지역 근무: 파견 여부 확인","정상")))))))))</f>
        <v/>
      </c>
      <c r="AA94" s="5" t="n"/>
      <c r="AB94" s="10">
        <f>IF($B94="","",IFERROR(MATCH($B94,기본자료!$B$2:$B$501,0),IFERROR(MATCH($B94&amp;"",기본자료!$B$2:$B$501,0),IFERROR(MATCH(VALUE($B94),기본자료!$B$2:$B$501,0),""))))</f>
        <v/>
      </c>
      <c r="AC94" s="10">
        <f>IF($B94="","",IFERROR(MATCH($B94,인턴근무계획!$D$3:$D$202,0),IFERROR(MATCH($B94&amp;"",인턴근무계획!$D$3:$D$202,0),IFERROR(MATCH(VALUE($B94),인턴근무계획!$D$3:$D$202,0),""))))</f>
        <v/>
      </c>
      <c r="AD94" s="10">
        <f>IF(OR($AC94="",인턴현황!$G$3=""),"",INDEX(인턴근무계획!$M$3:$R$202,$AC94,인턴현황!$G$3)&amp;"")</f>
        <v/>
      </c>
      <c r="AE94" s="10">
        <f>IF($B94="","",IF($M94&lt;&gt;"",$M94,IF($H94="","",IF(RIGHT($H94,2)="병원",$H94,$H94&amp;"병원"))))</f>
        <v/>
      </c>
    </row>
    <row r="95">
      <c r="A95" s="10">
        <f>IF(B95="","",ROW()-1)</f>
        <v/>
      </c>
      <c r="B95" s="13" t="n"/>
      <c r="C95" s="10">
        <f>IF($AB95="","",IF(INDEX(기본자료!$C$2:$C$501,$AB95)="","",INDEX(기본자료!$C$2:$C$501,$AB95)))</f>
        <v/>
      </c>
      <c r="D95" s="10">
        <f>IF($AB95="","",IF(INDEX(기본자료!$J$2:$J$501,$AB95)="","",INDEX(기본자료!$J$2:$J$501,$AB95)))</f>
        <v/>
      </c>
      <c r="E95" s="11">
        <f>IF($AB95="","",IF(INDEX(기본자료!$K$2:$K$501,$AB95)="","",IF(NOT(ISNUMBER(INDEX(기본자료!$K$2:$K$501,$AB95))),INDEX(기본자료!$K$2:$K$501,$AB95),IF(INDEX(기본자료!$K$2:$K$501,$AB95)&lt;1000000,INDEX(기본자료!$K$2:$K$501,$AB95),IF(AND(INDEX(기본자료!$K$2:$K$501,$AB95)&gt;=10000101,INT(MOD(INDEX(기본자료!$K$2:$K$501,$AB95),10000)/100)&gt;=1,INT(MOD(INDEX(기본자료!$K$2:$K$501,$AB95),10000)/100)&lt;=12,MOD(INDEX(기본자료!$K$2:$K$501,$AB95),100)&gt;=1,MOD(INDEX(기본자료!$K$2:$K$501,$AB95),100)&lt;=31),DATE(INT(INDEX(기본자료!$K$2:$K$501,$AB95)/10000),INT(MOD(INDEX(기본자료!$K$2:$K$501,$AB95),10000)/100),MOD(INDEX(기본자료!$K$2:$K$501,$AB95),100)),INDEX(기본자료!$K$2:$K$501,$AB95)&amp;"")))))</f>
        <v/>
      </c>
      <c r="F95" s="10">
        <f>IF($AB95="","",IF(INDEX(기본자료!$D$2:$D$501,$AB95)="","",INDEX(기본자료!$D$2:$D$501,$AB95)))</f>
        <v/>
      </c>
      <c r="G95" s="10">
        <f>IF($AB95="","",IF(INDEX(기본자료!$E$2:$E$501,$AB95)="","",INDEX(기본자료!$E$2:$E$501,$AB95)))</f>
        <v/>
      </c>
      <c r="H95" s="10">
        <f>IF($AB95="","",IF(INDEX(기본자료!$F$2:$F$501,$AB95)="","",INDEX(기본자료!$F$2:$F$501,$AB95)))</f>
        <v/>
      </c>
      <c r="I95" s="11">
        <f>IF($AB95="","",IF(INDEX(기본자료!$G$2:$G$501,$AB95)="","",IF(NOT(ISNUMBER(INDEX(기본자료!$G$2:$G$501,$AB95))),INDEX(기본자료!$G$2:$G$501,$AB95),IF(INDEX(기본자료!$G$2:$G$501,$AB95)&lt;1000000,INDEX(기본자료!$G$2:$G$501,$AB95),IF(AND(INDEX(기본자료!$G$2:$G$501,$AB95)&gt;=10000101,INT(MOD(INDEX(기본자료!$G$2:$G$501,$AB95),10000)/100)&gt;=1,INT(MOD(INDEX(기본자료!$G$2:$G$501,$AB95),10000)/100)&lt;=12,MOD(INDEX(기본자료!$G$2:$G$501,$AB95),100)&gt;=1,MOD(INDEX(기본자료!$G$2:$G$501,$AB95),100)&lt;=31),DATE(INT(INDEX(기본자료!$G$2:$G$501,$AB95)/10000),INT(MOD(INDEX(기본자료!$G$2:$G$501,$AB95),10000)/100),MOD(INDEX(기본자료!$G$2:$G$501,$AB95),100)),INDEX(기본자료!$G$2:$G$501,$AB95)&amp;"")))))</f>
        <v/>
      </c>
      <c r="J95" s="10">
        <f>IF($AB95="","",IF(INDEX(기본자료!$H$2:$H$501,$AB95)="","",INDEX(기본자료!$H$2:$H$501,$AB95)))</f>
        <v/>
      </c>
      <c r="K95" s="10">
        <f>IF($AB95="","",IF(INDEX(기본자료!$I$2:$I$501,$AB95)="","",INDEX(기본자료!$I$2:$I$501,$AB95)))</f>
        <v/>
      </c>
      <c r="L95" s="10">
        <f>IF($AB95="","",IF(INDEX(기본자료!$A$2:$A$501,$AB95)="","",INDEX(기본자료!$A$2:$A$501,$AB95)))</f>
        <v/>
      </c>
      <c r="M95" s="14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4" t="n"/>
      <c r="Q95" s="14" t="n"/>
      <c r="R95" s="14" t="n"/>
      <c r="S95" s="15" t="n"/>
      <c r="T95" s="15" t="n"/>
      <c r="U95" s="10">
        <f>IF(OR($B95="",$S95=""),"",IF(TODAY()&lt;$S95,"파견예정",IF(AND($T95&lt;&gt;"",TODAY()&gt;$T95),"파견종료","파견중")))</f>
        <v/>
      </c>
      <c r="V95" s="16">
        <f>IF(OR($S95="",$T95=""),"",$T95-$S95+1)</f>
        <v/>
      </c>
      <c r="W95" s="16">
        <f>IF(AND($U95="파견중",$T95&lt;&gt;""),$T95-TODAY(),"")</f>
        <v/>
      </c>
      <c r="X95" s="16">
        <f>IF(OR($B95="",$S95=""),"",MAX(0,MIN(IF($T95="",EOMONTH(요약!$B$3,0),$T95),EOMONTH(요약!$B$3,0))-MAX($S95,요약!$B$3)+1))</f>
        <v/>
      </c>
      <c r="Y95" s="10">
        <f>IF($B95="","",IF($AE95="","",IF(OR($S95="",$P95="",N($X95)&lt;=0),$AE95,IF($P95="다기관파견",$AE95,IF($AE95="구리병원",IF(AND($Q95&lt;&gt;"",N($X95)&gt;=요약!$E$3),$Q95,$AE95),IF(AND($P95="일반파견(단독)",$Q95&lt;&gt;""),$Q95,$AE95))))))</f>
        <v/>
      </c>
      <c r="Z95" s="17">
        <f>IF($B95="","",IF($AB95="","기본자료에 없는 사번",IF(COUNTIF($B$2:$B$201,$B95)&gt;1,"중복 사번",IF($M95="","입사장소 입력",IF(AND($P95&lt;&gt;"",$S95=""),"파견시작일 입력",IF(AND($S95&lt;&gt;"",$P95=""),"파견종류 입력",IF(AND($P95&lt;&gt;"",$P95&lt;&gt;"다기관파견",$Q95=""),"파견병원 입력",IF(IF($AC95="",0,N(INDEX(인턴근무계획!$T$3:$T$202,$AC95)))&gt;0,"인턴계획 입력오류 확인",IF(AND($AC95&lt;&gt;"",$U95&lt;&gt;"파견중",$N95&lt;&gt;$AE95),"인턴 타지역 근무: 파견 여부 확인","정상")))))))))</f>
        <v/>
      </c>
      <c r="AA95" s="5" t="n"/>
      <c r="AB95" s="10">
        <f>IF($B95="","",IFERROR(MATCH($B95,기본자료!$B$2:$B$501,0),IFERROR(MATCH($B95&amp;"",기본자료!$B$2:$B$501,0),IFERROR(MATCH(VALUE($B95),기본자료!$B$2:$B$501,0),""))))</f>
        <v/>
      </c>
      <c r="AC95" s="10">
        <f>IF($B95="","",IFERROR(MATCH($B95,인턴근무계획!$D$3:$D$202,0),IFERROR(MATCH($B95&amp;"",인턴근무계획!$D$3:$D$202,0),IFERROR(MATCH(VALUE($B95),인턴근무계획!$D$3:$D$202,0),""))))</f>
        <v/>
      </c>
      <c r="AD95" s="10">
        <f>IF(OR($AC95="",인턴현황!$G$3=""),"",INDEX(인턴근무계획!$M$3:$R$202,$AC95,인턴현황!$G$3)&amp;"")</f>
        <v/>
      </c>
      <c r="AE95" s="10">
        <f>IF($B95="","",IF($M95&lt;&gt;"",$M95,IF($H95="","",IF(RIGHT($H95,2)="병원",$H95,$H95&amp;"병원"))))</f>
        <v/>
      </c>
    </row>
    <row r="96">
      <c r="A96" s="10">
        <f>IF(B96="","",ROW()-1)</f>
        <v/>
      </c>
      <c r="B96" s="13" t="n"/>
      <c r="C96" s="10">
        <f>IF($AB96="","",IF(INDEX(기본자료!$C$2:$C$501,$AB96)="","",INDEX(기본자료!$C$2:$C$501,$AB96)))</f>
        <v/>
      </c>
      <c r="D96" s="10">
        <f>IF($AB96="","",IF(INDEX(기본자료!$J$2:$J$501,$AB96)="","",INDEX(기본자료!$J$2:$J$501,$AB96)))</f>
        <v/>
      </c>
      <c r="E96" s="11">
        <f>IF($AB96="","",IF(INDEX(기본자료!$K$2:$K$501,$AB96)="","",IF(NOT(ISNUMBER(INDEX(기본자료!$K$2:$K$501,$AB96))),INDEX(기본자료!$K$2:$K$501,$AB96),IF(INDEX(기본자료!$K$2:$K$501,$AB96)&lt;1000000,INDEX(기본자료!$K$2:$K$501,$AB96),IF(AND(INDEX(기본자료!$K$2:$K$501,$AB96)&gt;=10000101,INT(MOD(INDEX(기본자료!$K$2:$K$501,$AB96),10000)/100)&gt;=1,INT(MOD(INDEX(기본자료!$K$2:$K$501,$AB96),10000)/100)&lt;=12,MOD(INDEX(기본자료!$K$2:$K$501,$AB96),100)&gt;=1,MOD(INDEX(기본자료!$K$2:$K$501,$AB96),100)&lt;=31),DATE(INT(INDEX(기본자료!$K$2:$K$501,$AB96)/10000),INT(MOD(INDEX(기본자료!$K$2:$K$501,$AB96),10000)/100),MOD(INDEX(기본자료!$K$2:$K$501,$AB96),100)),INDEX(기본자료!$K$2:$K$501,$AB96)&amp;"")))))</f>
        <v/>
      </c>
      <c r="F96" s="10">
        <f>IF($AB96="","",IF(INDEX(기본자료!$D$2:$D$501,$AB96)="","",INDEX(기본자료!$D$2:$D$501,$AB96)))</f>
        <v/>
      </c>
      <c r="G96" s="10">
        <f>IF($AB96="","",IF(INDEX(기본자료!$E$2:$E$501,$AB96)="","",INDEX(기본자료!$E$2:$E$501,$AB96)))</f>
        <v/>
      </c>
      <c r="H96" s="10">
        <f>IF($AB96="","",IF(INDEX(기본자료!$F$2:$F$501,$AB96)="","",INDEX(기본자료!$F$2:$F$501,$AB96)))</f>
        <v/>
      </c>
      <c r="I96" s="11">
        <f>IF($AB96="","",IF(INDEX(기본자료!$G$2:$G$501,$AB96)="","",IF(NOT(ISNUMBER(INDEX(기본자료!$G$2:$G$501,$AB96))),INDEX(기본자료!$G$2:$G$501,$AB96),IF(INDEX(기본자료!$G$2:$G$501,$AB96)&lt;1000000,INDEX(기본자료!$G$2:$G$501,$AB96),IF(AND(INDEX(기본자료!$G$2:$G$501,$AB96)&gt;=10000101,INT(MOD(INDEX(기본자료!$G$2:$G$501,$AB96),10000)/100)&gt;=1,INT(MOD(INDEX(기본자료!$G$2:$G$501,$AB96),10000)/100)&lt;=12,MOD(INDEX(기본자료!$G$2:$G$501,$AB96),100)&gt;=1,MOD(INDEX(기본자료!$G$2:$G$501,$AB96),100)&lt;=31),DATE(INT(INDEX(기본자료!$G$2:$G$501,$AB96)/10000),INT(MOD(INDEX(기본자료!$G$2:$G$501,$AB96),10000)/100),MOD(INDEX(기본자료!$G$2:$G$501,$AB96),100)),INDEX(기본자료!$G$2:$G$501,$AB96)&amp;"")))))</f>
        <v/>
      </c>
      <c r="J96" s="10">
        <f>IF($AB96="","",IF(INDEX(기본자료!$H$2:$H$501,$AB96)="","",INDEX(기본자료!$H$2:$H$501,$AB96)))</f>
        <v/>
      </c>
      <c r="K96" s="10">
        <f>IF($AB96="","",IF(INDEX(기본자료!$I$2:$I$501,$AB96)="","",INDEX(기본자료!$I$2:$I$501,$AB96)))</f>
        <v/>
      </c>
      <c r="L96" s="10">
        <f>IF($AB96="","",IF(INDEX(기본자료!$A$2:$A$501,$AB96)="","",INDEX(기본자료!$A$2:$A$501,$AB96)))</f>
        <v/>
      </c>
      <c r="M96" s="14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4" t="n"/>
      <c r="Q96" s="14" t="n"/>
      <c r="R96" s="14" t="n"/>
      <c r="S96" s="15" t="n"/>
      <c r="T96" s="15" t="n"/>
      <c r="U96" s="10">
        <f>IF(OR($B96="",$S96=""),"",IF(TODAY()&lt;$S96,"파견예정",IF(AND($T96&lt;&gt;"",TODAY()&gt;$T96),"파견종료","파견중")))</f>
        <v/>
      </c>
      <c r="V96" s="16">
        <f>IF(OR($S96="",$T96=""),"",$T96-$S96+1)</f>
        <v/>
      </c>
      <c r="W96" s="16">
        <f>IF(AND($U96="파견중",$T96&lt;&gt;""),$T96-TODAY(),"")</f>
        <v/>
      </c>
      <c r="X96" s="16">
        <f>IF(OR($B96="",$S96=""),"",MAX(0,MIN(IF($T96="",EOMONTH(요약!$B$3,0),$T96),EOMONTH(요약!$B$3,0))-MAX($S96,요약!$B$3)+1))</f>
        <v/>
      </c>
      <c r="Y96" s="10">
        <f>IF($B96="","",IF($AE96="","",IF(OR($S96="",$P96="",N($X96)&lt;=0),$AE96,IF($P96="다기관파견",$AE96,IF($AE96="구리병원",IF(AND($Q96&lt;&gt;"",N($X96)&gt;=요약!$E$3),$Q96,$AE96),IF(AND($P96="일반파견(단독)",$Q96&lt;&gt;""),$Q96,$AE96))))))</f>
        <v/>
      </c>
      <c r="Z96" s="17">
        <f>IF($B96="","",IF($AB96="","기본자료에 없는 사번",IF(COUNTIF($B$2:$B$201,$B96)&gt;1,"중복 사번",IF($M96="","입사장소 입력",IF(AND($P96&lt;&gt;"",$S96=""),"파견시작일 입력",IF(AND($S96&lt;&gt;"",$P96=""),"파견종류 입력",IF(AND($P96&lt;&gt;"",$P96&lt;&gt;"다기관파견",$Q96=""),"파견병원 입력",IF(IF($AC96="",0,N(INDEX(인턴근무계획!$T$3:$T$202,$AC96)))&gt;0,"인턴계획 입력오류 확인",IF(AND($AC96&lt;&gt;"",$U96&lt;&gt;"파견중",$N96&lt;&gt;$AE96),"인턴 타지역 근무: 파견 여부 확인","정상")))))))))</f>
        <v/>
      </c>
      <c r="AA96" s="5" t="n"/>
      <c r="AB96" s="10">
        <f>IF($B96="","",IFERROR(MATCH($B96,기본자료!$B$2:$B$501,0),IFERROR(MATCH($B96&amp;"",기본자료!$B$2:$B$501,0),IFERROR(MATCH(VALUE($B96),기본자료!$B$2:$B$501,0),""))))</f>
        <v/>
      </c>
      <c r="AC96" s="10">
        <f>IF($B96="","",IFERROR(MATCH($B96,인턴근무계획!$D$3:$D$202,0),IFERROR(MATCH($B96&amp;"",인턴근무계획!$D$3:$D$202,0),IFERROR(MATCH(VALUE($B96),인턴근무계획!$D$3:$D$202,0),""))))</f>
        <v/>
      </c>
      <c r="AD96" s="10">
        <f>IF(OR($AC96="",인턴현황!$G$3=""),"",INDEX(인턴근무계획!$M$3:$R$202,$AC96,인턴현황!$G$3)&amp;"")</f>
        <v/>
      </c>
      <c r="AE96" s="10">
        <f>IF($B96="","",IF($M96&lt;&gt;"",$M96,IF($H96="","",IF(RIGHT($H96,2)="병원",$H96,$H96&amp;"병원"))))</f>
        <v/>
      </c>
    </row>
    <row r="97">
      <c r="A97" s="10">
        <f>IF(B97="","",ROW()-1)</f>
        <v/>
      </c>
      <c r="B97" s="13" t="n"/>
      <c r="C97" s="10">
        <f>IF($AB97="","",IF(INDEX(기본자료!$C$2:$C$501,$AB97)="","",INDEX(기본자료!$C$2:$C$501,$AB97)))</f>
        <v/>
      </c>
      <c r="D97" s="10">
        <f>IF($AB97="","",IF(INDEX(기본자료!$J$2:$J$501,$AB97)="","",INDEX(기본자료!$J$2:$J$501,$AB97)))</f>
        <v/>
      </c>
      <c r="E97" s="11">
        <f>IF($AB97="","",IF(INDEX(기본자료!$K$2:$K$501,$AB97)="","",IF(NOT(ISNUMBER(INDEX(기본자료!$K$2:$K$501,$AB97))),INDEX(기본자료!$K$2:$K$501,$AB97),IF(INDEX(기본자료!$K$2:$K$501,$AB97)&lt;1000000,INDEX(기본자료!$K$2:$K$501,$AB97),IF(AND(INDEX(기본자료!$K$2:$K$501,$AB97)&gt;=10000101,INT(MOD(INDEX(기본자료!$K$2:$K$501,$AB97),10000)/100)&gt;=1,INT(MOD(INDEX(기본자료!$K$2:$K$501,$AB97),10000)/100)&lt;=12,MOD(INDEX(기본자료!$K$2:$K$501,$AB97),100)&gt;=1,MOD(INDEX(기본자료!$K$2:$K$501,$AB97),100)&lt;=31),DATE(INT(INDEX(기본자료!$K$2:$K$501,$AB97)/10000),INT(MOD(INDEX(기본자료!$K$2:$K$501,$AB97),10000)/100),MOD(INDEX(기본자료!$K$2:$K$501,$AB97),100)),INDEX(기본자료!$K$2:$K$501,$AB97)&amp;"")))))</f>
        <v/>
      </c>
      <c r="F97" s="10">
        <f>IF($AB97="","",IF(INDEX(기본자료!$D$2:$D$501,$AB97)="","",INDEX(기본자료!$D$2:$D$501,$AB97)))</f>
        <v/>
      </c>
      <c r="G97" s="10">
        <f>IF($AB97="","",IF(INDEX(기본자료!$E$2:$E$501,$AB97)="","",INDEX(기본자료!$E$2:$E$501,$AB97)))</f>
        <v/>
      </c>
      <c r="H97" s="10">
        <f>IF($AB97="","",IF(INDEX(기본자료!$F$2:$F$501,$AB97)="","",INDEX(기본자료!$F$2:$F$501,$AB97)))</f>
        <v/>
      </c>
      <c r="I97" s="11">
        <f>IF($AB97="","",IF(INDEX(기본자료!$G$2:$G$501,$AB97)="","",IF(NOT(ISNUMBER(INDEX(기본자료!$G$2:$G$501,$AB97))),INDEX(기본자료!$G$2:$G$501,$AB97),IF(INDEX(기본자료!$G$2:$G$501,$AB97)&lt;1000000,INDEX(기본자료!$G$2:$G$501,$AB97),IF(AND(INDEX(기본자료!$G$2:$G$501,$AB97)&gt;=10000101,INT(MOD(INDEX(기본자료!$G$2:$G$501,$AB97),10000)/100)&gt;=1,INT(MOD(INDEX(기본자료!$G$2:$G$501,$AB97),10000)/100)&lt;=12,MOD(INDEX(기본자료!$G$2:$G$501,$AB97),100)&gt;=1,MOD(INDEX(기본자료!$G$2:$G$501,$AB97),100)&lt;=31),DATE(INT(INDEX(기본자료!$G$2:$G$501,$AB97)/10000),INT(MOD(INDEX(기본자료!$G$2:$G$501,$AB97),10000)/100),MOD(INDEX(기본자료!$G$2:$G$501,$AB97),100)),INDEX(기본자료!$G$2:$G$501,$AB97)&amp;"")))))</f>
        <v/>
      </c>
      <c r="J97" s="10">
        <f>IF($AB97="","",IF(INDEX(기본자료!$H$2:$H$501,$AB97)="","",INDEX(기본자료!$H$2:$H$501,$AB97)))</f>
        <v/>
      </c>
      <c r="K97" s="10">
        <f>IF($AB97="","",IF(INDEX(기본자료!$I$2:$I$501,$AB97)="","",INDEX(기본자료!$I$2:$I$501,$AB97)))</f>
        <v/>
      </c>
      <c r="L97" s="10">
        <f>IF($AB97="","",IF(INDEX(기본자료!$A$2:$A$501,$AB97)="","",INDEX(기본자료!$A$2:$A$501,$AB97)))</f>
        <v/>
      </c>
      <c r="M97" s="14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4" t="n"/>
      <c r="Q97" s="14" t="n"/>
      <c r="R97" s="14" t="n"/>
      <c r="S97" s="15" t="n"/>
      <c r="T97" s="15" t="n"/>
      <c r="U97" s="10">
        <f>IF(OR($B97="",$S97=""),"",IF(TODAY()&lt;$S97,"파견예정",IF(AND($T97&lt;&gt;"",TODAY()&gt;$T97),"파견종료","파견중")))</f>
        <v/>
      </c>
      <c r="V97" s="16">
        <f>IF(OR($S97="",$T97=""),"",$T97-$S97+1)</f>
        <v/>
      </c>
      <c r="W97" s="16">
        <f>IF(AND($U97="파견중",$T97&lt;&gt;""),$T97-TODAY(),"")</f>
        <v/>
      </c>
      <c r="X97" s="16">
        <f>IF(OR($B97="",$S97=""),"",MAX(0,MIN(IF($T97="",EOMONTH(요약!$B$3,0),$T97),EOMONTH(요약!$B$3,0))-MAX($S97,요약!$B$3)+1))</f>
        <v/>
      </c>
      <c r="Y97" s="10">
        <f>IF($B97="","",IF($AE97="","",IF(OR($S97="",$P97="",N($X97)&lt;=0),$AE97,IF($P97="다기관파견",$AE97,IF($AE97="구리병원",IF(AND($Q97&lt;&gt;"",N($X97)&gt;=요약!$E$3),$Q97,$AE97),IF(AND($P97="일반파견(단독)",$Q97&lt;&gt;""),$Q97,$AE97))))))</f>
        <v/>
      </c>
      <c r="Z97" s="17">
        <f>IF($B97="","",IF($AB97="","기본자료에 없는 사번",IF(COUNTIF($B$2:$B$201,$B97)&gt;1,"중복 사번",IF($M97="","입사장소 입력",IF(AND($P97&lt;&gt;"",$S97=""),"파견시작일 입력",IF(AND($S97&lt;&gt;"",$P97=""),"파견종류 입력",IF(AND($P97&lt;&gt;"",$P97&lt;&gt;"다기관파견",$Q97=""),"파견병원 입력",IF(IF($AC97="",0,N(INDEX(인턴근무계획!$T$3:$T$202,$AC97)))&gt;0,"인턴계획 입력오류 확인",IF(AND($AC97&lt;&gt;"",$U97&lt;&gt;"파견중",$N97&lt;&gt;$AE97),"인턴 타지역 근무: 파견 여부 확인","정상")))))))))</f>
        <v/>
      </c>
      <c r="AA97" s="5" t="n"/>
      <c r="AB97" s="10">
        <f>IF($B97="","",IFERROR(MATCH($B97,기본자료!$B$2:$B$501,0),IFERROR(MATCH($B97&amp;"",기본자료!$B$2:$B$501,0),IFERROR(MATCH(VALUE($B97),기본자료!$B$2:$B$501,0),""))))</f>
        <v/>
      </c>
      <c r="AC97" s="10">
        <f>IF($B97="","",IFERROR(MATCH($B97,인턴근무계획!$D$3:$D$202,0),IFERROR(MATCH($B97&amp;"",인턴근무계획!$D$3:$D$202,0),IFERROR(MATCH(VALUE($B97),인턴근무계획!$D$3:$D$202,0),""))))</f>
        <v/>
      </c>
      <c r="AD97" s="10">
        <f>IF(OR($AC97="",인턴현황!$G$3=""),"",INDEX(인턴근무계획!$M$3:$R$202,$AC97,인턴현황!$G$3)&amp;"")</f>
        <v/>
      </c>
      <c r="AE97" s="10">
        <f>IF($B97="","",IF($M97&lt;&gt;"",$M97,IF($H97="","",IF(RIGHT($H97,2)="병원",$H97,$H97&amp;"병원"))))</f>
        <v/>
      </c>
    </row>
    <row r="98">
      <c r="A98" s="10">
        <f>IF(B98="","",ROW()-1)</f>
        <v/>
      </c>
      <c r="B98" s="13" t="n"/>
      <c r="C98" s="10">
        <f>IF($AB98="","",IF(INDEX(기본자료!$C$2:$C$501,$AB98)="","",INDEX(기본자료!$C$2:$C$501,$AB98)))</f>
        <v/>
      </c>
      <c r="D98" s="10">
        <f>IF($AB98="","",IF(INDEX(기본자료!$J$2:$J$501,$AB98)="","",INDEX(기본자료!$J$2:$J$501,$AB98)))</f>
        <v/>
      </c>
      <c r="E98" s="11">
        <f>IF($AB98="","",IF(INDEX(기본자료!$K$2:$K$501,$AB98)="","",IF(NOT(ISNUMBER(INDEX(기본자료!$K$2:$K$501,$AB98))),INDEX(기본자료!$K$2:$K$501,$AB98),IF(INDEX(기본자료!$K$2:$K$501,$AB98)&lt;1000000,INDEX(기본자료!$K$2:$K$501,$AB98),IF(AND(INDEX(기본자료!$K$2:$K$501,$AB98)&gt;=10000101,INT(MOD(INDEX(기본자료!$K$2:$K$501,$AB98),10000)/100)&gt;=1,INT(MOD(INDEX(기본자료!$K$2:$K$501,$AB98),10000)/100)&lt;=12,MOD(INDEX(기본자료!$K$2:$K$501,$AB98),100)&gt;=1,MOD(INDEX(기본자료!$K$2:$K$501,$AB98),100)&lt;=31),DATE(INT(INDEX(기본자료!$K$2:$K$501,$AB98)/10000),INT(MOD(INDEX(기본자료!$K$2:$K$501,$AB98),10000)/100),MOD(INDEX(기본자료!$K$2:$K$501,$AB98),100)),INDEX(기본자료!$K$2:$K$501,$AB98)&amp;"")))))</f>
        <v/>
      </c>
      <c r="F98" s="10">
        <f>IF($AB98="","",IF(INDEX(기본자료!$D$2:$D$501,$AB98)="","",INDEX(기본자료!$D$2:$D$501,$AB98)))</f>
        <v/>
      </c>
      <c r="G98" s="10">
        <f>IF($AB98="","",IF(INDEX(기본자료!$E$2:$E$501,$AB98)="","",INDEX(기본자료!$E$2:$E$501,$AB98)))</f>
        <v/>
      </c>
      <c r="H98" s="10">
        <f>IF($AB98="","",IF(INDEX(기본자료!$F$2:$F$501,$AB98)="","",INDEX(기본자료!$F$2:$F$501,$AB98)))</f>
        <v/>
      </c>
      <c r="I98" s="11">
        <f>IF($AB98="","",IF(INDEX(기본자료!$G$2:$G$501,$AB98)="","",IF(NOT(ISNUMBER(INDEX(기본자료!$G$2:$G$501,$AB98))),INDEX(기본자료!$G$2:$G$501,$AB98),IF(INDEX(기본자료!$G$2:$G$501,$AB98)&lt;1000000,INDEX(기본자료!$G$2:$G$501,$AB98),IF(AND(INDEX(기본자료!$G$2:$G$501,$AB98)&gt;=10000101,INT(MOD(INDEX(기본자료!$G$2:$G$501,$AB98),10000)/100)&gt;=1,INT(MOD(INDEX(기본자료!$G$2:$G$501,$AB98),10000)/100)&lt;=12,MOD(INDEX(기본자료!$G$2:$G$501,$AB98),100)&gt;=1,MOD(INDEX(기본자료!$G$2:$G$501,$AB98),100)&lt;=31),DATE(INT(INDEX(기본자료!$G$2:$G$501,$AB98)/10000),INT(MOD(INDEX(기본자료!$G$2:$G$501,$AB98),10000)/100),MOD(INDEX(기본자료!$G$2:$G$501,$AB98),100)),INDEX(기본자료!$G$2:$G$501,$AB98)&amp;"")))))</f>
        <v/>
      </c>
      <c r="J98" s="10">
        <f>IF($AB98="","",IF(INDEX(기본자료!$H$2:$H$501,$AB98)="","",INDEX(기본자료!$H$2:$H$501,$AB98)))</f>
        <v/>
      </c>
      <c r="K98" s="10">
        <f>IF($AB98="","",IF(INDEX(기본자료!$I$2:$I$501,$AB98)="","",INDEX(기본자료!$I$2:$I$501,$AB98)))</f>
        <v/>
      </c>
      <c r="L98" s="10">
        <f>IF($AB98="","",IF(INDEX(기본자료!$A$2:$A$501,$AB98)="","",INDEX(기본자료!$A$2:$A$501,$AB98)))</f>
        <v/>
      </c>
      <c r="M98" s="14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4" t="n"/>
      <c r="Q98" s="14" t="n"/>
      <c r="R98" s="14" t="n"/>
      <c r="S98" s="15" t="n"/>
      <c r="T98" s="15" t="n"/>
      <c r="U98" s="10">
        <f>IF(OR($B98="",$S98=""),"",IF(TODAY()&lt;$S98,"파견예정",IF(AND($T98&lt;&gt;"",TODAY()&gt;$T98),"파견종료","파견중")))</f>
        <v/>
      </c>
      <c r="V98" s="16">
        <f>IF(OR($S98="",$T98=""),"",$T98-$S98+1)</f>
        <v/>
      </c>
      <c r="W98" s="16">
        <f>IF(AND($U98="파견중",$T98&lt;&gt;""),$T98-TODAY(),"")</f>
        <v/>
      </c>
      <c r="X98" s="16">
        <f>IF(OR($B98="",$S98=""),"",MAX(0,MIN(IF($T98="",EOMONTH(요약!$B$3,0),$T98),EOMONTH(요약!$B$3,0))-MAX($S98,요약!$B$3)+1))</f>
        <v/>
      </c>
      <c r="Y98" s="10">
        <f>IF($B98="","",IF($AE98="","",IF(OR($S98="",$P98="",N($X98)&lt;=0),$AE98,IF($P98="다기관파견",$AE98,IF($AE98="구리병원",IF(AND($Q98&lt;&gt;"",N($X98)&gt;=요약!$E$3),$Q98,$AE98),IF(AND($P98="일반파견(단독)",$Q98&lt;&gt;""),$Q98,$AE98))))))</f>
        <v/>
      </c>
      <c r="Z98" s="17">
        <f>IF($B98="","",IF($AB98="","기본자료에 없는 사번",IF(COUNTIF($B$2:$B$201,$B98)&gt;1,"중복 사번",IF($M98="","입사장소 입력",IF(AND($P98&lt;&gt;"",$S98=""),"파견시작일 입력",IF(AND($S98&lt;&gt;"",$P98=""),"파견종류 입력",IF(AND($P98&lt;&gt;"",$P98&lt;&gt;"다기관파견",$Q98=""),"파견병원 입력",IF(IF($AC98="",0,N(INDEX(인턴근무계획!$T$3:$T$202,$AC98)))&gt;0,"인턴계획 입력오류 확인",IF(AND($AC98&lt;&gt;"",$U98&lt;&gt;"파견중",$N98&lt;&gt;$AE98),"인턴 타지역 근무: 파견 여부 확인","정상")))))))))</f>
        <v/>
      </c>
      <c r="AA98" s="5" t="n"/>
      <c r="AB98" s="10">
        <f>IF($B98="","",IFERROR(MATCH($B98,기본자료!$B$2:$B$501,0),IFERROR(MATCH($B98&amp;"",기본자료!$B$2:$B$501,0),IFERROR(MATCH(VALUE($B98),기본자료!$B$2:$B$501,0),""))))</f>
        <v/>
      </c>
      <c r="AC98" s="10">
        <f>IF($B98="","",IFERROR(MATCH($B98,인턴근무계획!$D$3:$D$202,0),IFERROR(MATCH($B98&amp;"",인턴근무계획!$D$3:$D$202,0),IFERROR(MATCH(VALUE($B98),인턴근무계획!$D$3:$D$202,0),""))))</f>
        <v/>
      </c>
      <c r="AD98" s="10">
        <f>IF(OR($AC98="",인턴현황!$G$3=""),"",INDEX(인턴근무계획!$M$3:$R$202,$AC98,인턴현황!$G$3)&amp;"")</f>
        <v/>
      </c>
      <c r="AE98" s="10">
        <f>IF($B98="","",IF($M98&lt;&gt;"",$M98,IF($H98="","",IF(RIGHT($H98,2)="병원",$H98,$H98&amp;"병원"))))</f>
        <v/>
      </c>
    </row>
    <row r="99">
      <c r="A99" s="10">
        <f>IF(B99="","",ROW()-1)</f>
        <v/>
      </c>
      <c r="B99" s="13" t="n"/>
      <c r="C99" s="10">
        <f>IF($AB99="","",IF(INDEX(기본자료!$C$2:$C$501,$AB99)="","",INDEX(기본자료!$C$2:$C$501,$AB99)))</f>
        <v/>
      </c>
      <c r="D99" s="10">
        <f>IF($AB99="","",IF(INDEX(기본자료!$J$2:$J$501,$AB99)="","",INDEX(기본자료!$J$2:$J$501,$AB99)))</f>
        <v/>
      </c>
      <c r="E99" s="11">
        <f>IF($AB99="","",IF(INDEX(기본자료!$K$2:$K$501,$AB99)="","",IF(NOT(ISNUMBER(INDEX(기본자료!$K$2:$K$501,$AB99))),INDEX(기본자료!$K$2:$K$501,$AB99),IF(INDEX(기본자료!$K$2:$K$501,$AB99)&lt;1000000,INDEX(기본자료!$K$2:$K$501,$AB99),IF(AND(INDEX(기본자료!$K$2:$K$501,$AB99)&gt;=10000101,INT(MOD(INDEX(기본자료!$K$2:$K$501,$AB99),10000)/100)&gt;=1,INT(MOD(INDEX(기본자료!$K$2:$K$501,$AB99),10000)/100)&lt;=12,MOD(INDEX(기본자료!$K$2:$K$501,$AB99),100)&gt;=1,MOD(INDEX(기본자료!$K$2:$K$501,$AB99),100)&lt;=31),DATE(INT(INDEX(기본자료!$K$2:$K$501,$AB99)/10000),INT(MOD(INDEX(기본자료!$K$2:$K$501,$AB99),10000)/100),MOD(INDEX(기본자료!$K$2:$K$501,$AB99),100)),INDEX(기본자료!$K$2:$K$501,$AB99)&amp;"")))))</f>
        <v/>
      </c>
      <c r="F99" s="10">
        <f>IF($AB99="","",IF(INDEX(기본자료!$D$2:$D$501,$AB99)="","",INDEX(기본자료!$D$2:$D$501,$AB99)))</f>
        <v/>
      </c>
      <c r="G99" s="10">
        <f>IF($AB99="","",IF(INDEX(기본자료!$E$2:$E$501,$AB99)="","",INDEX(기본자료!$E$2:$E$501,$AB99)))</f>
        <v/>
      </c>
      <c r="H99" s="10">
        <f>IF($AB99="","",IF(INDEX(기본자료!$F$2:$F$501,$AB99)="","",INDEX(기본자료!$F$2:$F$501,$AB99)))</f>
        <v/>
      </c>
      <c r="I99" s="11">
        <f>IF($AB99="","",IF(INDEX(기본자료!$G$2:$G$501,$AB99)="","",IF(NOT(ISNUMBER(INDEX(기본자료!$G$2:$G$501,$AB99))),INDEX(기본자료!$G$2:$G$501,$AB99),IF(INDEX(기본자료!$G$2:$G$501,$AB99)&lt;1000000,INDEX(기본자료!$G$2:$G$501,$AB99),IF(AND(INDEX(기본자료!$G$2:$G$501,$AB99)&gt;=10000101,INT(MOD(INDEX(기본자료!$G$2:$G$501,$AB99),10000)/100)&gt;=1,INT(MOD(INDEX(기본자료!$G$2:$G$501,$AB99),10000)/100)&lt;=12,MOD(INDEX(기본자료!$G$2:$G$501,$AB99),100)&gt;=1,MOD(INDEX(기본자료!$G$2:$G$501,$AB99),100)&lt;=31),DATE(INT(INDEX(기본자료!$G$2:$G$501,$AB99)/10000),INT(MOD(INDEX(기본자료!$G$2:$G$501,$AB99),10000)/100),MOD(INDEX(기본자료!$G$2:$G$501,$AB99),100)),INDEX(기본자료!$G$2:$G$501,$AB99)&amp;"")))))</f>
        <v/>
      </c>
      <c r="J99" s="10">
        <f>IF($AB99="","",IF(INDEX(기본자료!$H$2:$H$501,$AB99)="","",INDEX(기본자료!$H$2:$H$501,$AB99)))</f>
        <v/>
      </c>
      <c r="K99" s="10">
        <f>IF($AB99="","",IF(INDEX(기본자료!$I$2:$I$501,$AB99)="","",INDEX(기본자료!$I$2:$I$501,$AB99)))</f>
        <v/>
      </c>
      <c r="L99" s="10">
        <f>IF($AB99="","",IF(INDEX(기본자료!$A$2:$A$501,$AB99)="","",INDEX(기본자료!$A$2:$A$501,$AB99)))</f>
        <v/>
      </c>
      <c r="M99" s="14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4" t="n"/>
      <c r="Q99" s="14" t="n"/>
      <c r="R99" s="14" t="n"/>
      <c r="S99" s="15" t="n"/>
      <c r="T99" s="15" t="n"/>
      <c r="U99" s="10">
        <f>IF(OR($B99="",$S99=""),"",IF(TODAY()&lt;$S99,"파견예정",IF(AND($T99&lt;&gt;"",TODAY()&gt;$T99),"파견종료","파견중")))</f>
        <v/>
      </c>
      <c r="V99" s="16">
        <f>IF(OR($S99="",$T99=""),"",$T99-$S99+1)</f>
        <v/>
      </c>
      <c r="W99" s="16">
        <f>IF(AND($U99="파견중",$T99&lt;&gt;""),$T99-TODAY(),"")</f>
        <v/>
      </c>
      <c r="X99" s="16">
        <f>IF(OR($B99="",$S99=""),"",MAX(0,MIN(IF($T99="",EOMONTH(요약!$B$3,0),$T99),EOMONTH(요약!$B$3,0))-MAX($S99,요약!$B$3)+1))</f>
        <v/>
      </c>
      <c r="Y99" s="10">
        <f>IF($B99="","",IF($AE99="","",IF(OR($S99="",$P99="",N($X99)&lt;=0),$AE99,IF($P99="다기관파견",$AE99,IF($AE99="구리병원",IF(AND($Q99&lt;&gt;"",N($X99)&gt;=요약!$E$3),$Q99,$AE99),IF(AND($P99="일반파견(단독)",$Q99&lt;&gt;""),$Q99,$AE99))))))</f>
        <v/>
      </c>
      <c r="Z99" s="17">
        <f>IF($B99="","",IF($AB99="","기본자료에 없는 사번",IF(COUNTIF($B$2:$B$201,$B99)&gt;1,"중복 사번",IF($M99="","입사장소 입력",IF(AND($P99&lt;&gt;"",$S99=""),"파견시작일 입력",IF(AND($S99&lt;&gt;"",$P99=""),"파견종류 입력",IF(AND($P99&lt;&gt;"",$P99&lt;&gt;"다기관파견",$Q99=""),"파견병원 입력",IF(IF($AC99="",0,N(INDEX(인턴근무계획!$T$3:$T$202,$AC99)))&gt;0,"인턴계획 입력오류 확인",IF(AND($AC99&lt;&gt;"",$U99&lt;&gt;"파견중",$N99&lt;&gt;$AE99),"인턴 타지역 근무: 파견 여부 확인","정상")))))))))</f>
        <v/>
      </c>
      <c r="AA99" s="5" t="n"/>
      <c r="AB99" s="10">
        <f>IF($B99="","",IFERROR(MATCH($B99,기본자료!$B$2:$B$501,0),IFERROR(MATCH($B99&amp;"",기본자료!$B$2:$B$501,0),IFERROR(MATCH(VALUE($B99),기본자료!$B$2:$B$501,0),""))))</f>
        <v/>
      </c>
      <c r="AC99" s="10">
        <f>IF($B99="","",IFERROR(MATCH($B99,인턴근무계획!$D$3:$D$202,0),IFERROR(MATCH($B99&amp;"",인턴근무계획!$D$3:$D$202,0),IFERROR(MATCH(VALUE($B99),인턴근무계획!$D$3:$D$202,0),""))))</f>
        <v/>
      </c>
      <c r="AD99" s="10">
        <f>IF(OR($AC99="",인턴현황!$G$3=""),"",INDEX(인턴근무계획!$M$3:$R$202,$AC99,인턴현황!$G$3)&amp;"")</f>
        <v/>
      </c>
      <c r="AE99" s="10">
        <f>IF($B99="","",IF($M99&lt;&gt;"",$M99,IF($H99="","",IF(RIGHT($H99,2)="병원",$H99,$H99&amp;"병원"))))</f>
        <v/>
      </c>
    </row>
    <row r="100">
      <c r="A100" s="10">
        <f>IF(B100="","",ROW()-1)</f>
        <v/>
      </c>
      <c r="B100" s="13" t="n"/>
      <c r="C100" s="10">
        <f>IF($AB100="","",IF(INDEX(기본자료!$C$2:$C$501,$AB100)="","",INDEX(기본자료!$C$2:$C$501,$AB100)))</f>
        <v/>
      </c>
      <c r="D100" s="10">
        <f>IF($AB100="","",IF(INDEX(기본자료!$J$2:$J$501,$AB100)="","",INDEX(기본자료!$J$2:$J$501,$AB100)))</f>
        <v/>
      </c>
      <c r="E100" s="11">
        <f>IF($AB100="","",IF(INDEX(기본자료!$K$2:$K$501,$AB100)="","",IF(NOT(ISNUMBER(INDEX(기본자료!$K$2:$K$501,$AB100))),INDEX(기본자료!$K$2:$K$501,$AB100),IF(INDEX(기본자료!$K$2:$K$501,$AB100)&lt;1000000,INDEX(기본자료!$K$2:$K$501,$AB100),IF(AND(INDEX(기본자료!$K$2:$K$501,$AB100)&gt;=10000101,INT(MOD(INDEX(기본자료!$K$2:$K$501,$AB100),10000)/100)&gt;=1,INT(MOD(INDEX(기본자료!$K$2:$K$501,$AB100),10000)/100)&lt;=12,MOD(INDEX(기본자료!$K$2:$K$501,$AB100),100)&gt;=1,MOD(INDEX(기본자료!$K$2:$K$501,$AB100),100)&lt;=31),DATE(INT(INDEX(기본자료!$K$2:$K$501,$AB100)/10000),INT(MOD(INDEX(기본자료!$K$2:$K$501,$AB100),10000)/100),MOD(INDEX(기본자료!$K$2:$K$501,$AB100),100)),INDEX(기본자료!$K$2:$K$501,$AB100)&amp;"")))))</f>
        <v/>
      </c>
      <c r="F100" s="10">
        <f>IF($AB100="","",IF(INDEX(기본자료!$D$2:$D$501,$AB100)="","",INDEX(기본자료!$D$2:$D$501,$AB100)))</f>
        <v/>
      </c>
      <c r="G100" s="10">
        <f>IF($AB100="","",IF(INDEX(기본자료!$E$2:$E$501,$AB100)="","",INDEX(기본자료!$E$2:$E$501,$AB100)))</f>
        <v/>
      </c>
      <c r="H100" s="10">
        <f>IF($AB100="","",IF(INDEX(기본자료!$F$2:$F$501,$AB100)="","",INDEX(기본자료!$F$2:$F$501,$AB100)))</f>
        <v/>
      </c>
      <c r="I100" s="11">
        <f>IF($AB100="","",IF(INDEX(기본자료!$G$2:$G$501,$AB100)="","",IF(NOT(ISNUMBER(INDEX(기본자료!$G$2:$G$501,$AB100))),INDEX(기본자료!$G$2:$G$501,$AB100),IF(INDEX(기본자료!$G$2:$G$501,$AB100)&lt;1000000,INDEX(기본자료!$G$2:$G$501,$AB100),IF(AND(INDEX(기본자료!$G$2:$G$501,$AB100)&gt;=10000101,INT(MOD(INDEX(기본자료!$G$2:$G$501,$AB100),10000)/100)&gt;=1,INT(MOD(INDEX(기본자료!$G$2:$G$501,$AB100),10000)/100)&lt;=12,MOD(INDEX(기본자료!$G$2:$G$501,$AB100),100)&gt;=1,MOD(INDEX(기본자료!$G$2:$G$501,$AB100),100)&lt;=31),DATE(INT(INDEX(기본자료!$G$2:$G$501,$AB100)/10000),INT(MOD(INDEX(기본자료!$G$2:$G$501,$AB100),10000)/100),MOD(INDEX(기본자료!$G$2:$G$501,$AB100),100)),INDEX(기본자료!$G$2:$G$501,$AB100)&amp;"")))))</f>
        <v/>
      </c>
      <c r="J100" s="10">
        <f>IF($AB100="","",IF(INDEX(기본자료!$H$2:$H$501,$AB100)="","",INDEX(기본자료!$H$2:$H$501,$AB100)))</f>
        <v/>
      </c>
      <c r="K100" s="10">
        <f>IF($AB100="","",IF(INDEX(기본자료!$I$2:$I$501,$AB100)="","",INDEX(기본자료!$I$2:$I$501,$AB100)))</f>
        <v/>
      </c>
      <c r="L100" s="10">
        <f>IF($AB100="","",IF(INDEX(기본자료!$A$2:$A$501,$AB100)="","",INDEX(기본자료!$A$2:$A$501,$AB100)))</f>
        <v/>
      </c>
      <c r="M100" s="14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4" t="n"/>
      <c r="Q100" s="14" t="n"/>
      <c r="R100" s="14" t="n"/>
      <c r="S100" s="15" t="n"/>
      <c r="T100" s="15" t="n"/>
      <c r="U100" s="10">
        <f>IF(OR($B100="",$S100=""),"",IF(TODAY()&lt;$S100,"파견예정",IF(AND($T100&lt;&gt;"",TODAY()&gt;$T100),"파견종료","파견중")))</f>
        <v/>
      </c>
      <c r="V100" s="16">
        <f>IF(OR($S100="",$T100=""),"",$T100-$S100+1)</f>
        <v/>
      </c>
      <c r="W100" s="16">
        <f>IF(AND($U100="파견중",$T100&lt;&gt;""),$T100-TODAY(),"")</f>
        <v/>
      </c>
      <c r="X100" s="16">
        <f>IF(OR($B100="",$S100=""),"",MAX(0,MIN(IF($T100="",EOMONTH(요약!$B$3,0),$T100),EOMONTH(요약!$B$3,0))-MAX($S100,요약!$B$3)+1))</f>
        <v/>
      </c>
      <c r="Y100" s="10">
        <f>IF($B100="","",IF($AE100="","",IF(OR($S100="",$P100="",N($X100)&lt;=0),$AE100,IF($P100="다기관파견",$AE100,IF($AE100="구리병원",IF(AND($Q100&lt;&gt;"",N($X100)&gt;=요약!$E$3),$Q100,$AE100),IF(AND($P100="일반파견(단독)",$Q100&lt;&gt;""),$Q100,$AE100))))))</f>
        <v/>
      </c>
      <c r="Z100" s="17">
        <f>IF($B100="","",IF($AB100="","기본자료에 없는 사번",IF(COUNTIF($B$2:$B$201,$B100)&gt;1,"중복 사번",IF($M100="","입사장소 입력",IF(AND($P100&lt;&gt;"",$S100=""),"파견시작일 입력",IF(AND($S100&lt;&gt;"",$P100=""),"파견종류 입력",IF(AND($P100&lt;&gt;"",$P100&lt;&gt;"다기관파견",$Q100=""),"파견병원 입력",IF(IF($AC100="",0,N(INDEX(인턴근무계획!$T$3:$T$202,$AC100)))&gt;0,"인턴계획 입력오류 확인",IF(AND($AC100&lt;&gt;"",$U100&lt;&gt;"파견중",$N100&lt;&gt;$AE100),"인턴 타지역 근무: 파견 여부 확인","정상")))))))))</f>
        <v/>
      </c>
      <c r="AA100" s="5" t="n"/>
      <c r="AB100" s="10">
        <f>IF($B100="","",IFERROR(MATCH($B100,기본자료!$B$2:$B$501,0),IFERROR(MATCH($B100&amp;"",기본자료!$B$2:$B$501,0),IFERROR(MATCH(VALUE($B100),기본자료!$B$2:$B$501,0),""))))</f>
        <v/>
      </c>
      <c r="AC100" s="10">
        <f>IF($B100="","",IFERROR(MATCH($B100,인턴근무계획!$D$3:$D$202,0),IFERROR(MATCH($B100&amp;"",인턴근무계획!$D$3:$D$202,0),IFERROR(MATCH(VALUE($B100),인턴근무계획!$D$3:$D$202,0),""))))</f>
        <v/>
      </c>
      <c r="AD100" s="10">
        <f>IF(OR($AC100="",인턴현황!$G$3=""),"",INDEX(인턴근무계획!$M$3:$R$202,$AC100,인턴현황!$G$3)&amp;"")</f>
        <v/>
      </c>
      <c r="AE100" s="10">
        <f>IF($B100="","",IF($M100&lt;&gt;"",$M100,IF($H100="","",IF(RIGHT($H100,2)="병원",$H100,$H100&amp;"병원"))))</f>
        <v/>
      </c>
    </row>
    <row r="101">
      <c r="A101" s="10">
        <f>IF(B101="","",ROW()-1)</f>
        <v/>
      </c>
      <c r="B101" s="13" t="n"/>
      <c r="C101" s="10">
        <f>IF($AB101="","",IF(INDEX(기본자료!$C$2:$C$501,$AB101)="","",INDEX(기본자료!$C$2:$C$501,$AB101)))</f>
        <v/>
      </c>
      <c r="D101" s="10">
        <f>IF($AB101="","",IF(INDEX(기본자료!$J$2:$J$501,$AB101)="","",INDEX(기본자료!$J$2:$J$501,$AB101)))</f>
        <v/>
      </c>
      <c r="E101" s="11">
        <f>IF($AB101="","",IF(INDEX(기본자료!$K$2:$K$501,$AB101)="","",IF(NOT(ISNUMBER(INDEX(기본자료!$K$2:$K$501,$AB101))),INDEX(기본자료!$K$2:$K$501,$AB101),IF(INDEX(기본자료!$K$2:$K$501,$AB101)&lt;1000000,INDEX(기본자료!$K$2:$K$501,$AB101),IF(AND(INDEX(기본자료!$K$2:$K$501,$AB101)&gt;=10000101,INT(MOD(INDEX(기본자료!$K$2:$K$501,$AB101),10000)/100)&gt;=1,INT(MOD(INDEX(기본자료!$K$2:$K$501,$AB101),10000)/100)&lt;=12,MOD(INDEX(기본자료!$K$2:$K$501,$AB101),100)&gt;=1,MOD(INDEX(기본자료!$K$2:$K$501,$AB101),100)&lt;=31),DATE(INT(INDEX(기본자료!$K$2:$K$501,$AB101)/10000),INT(MOD(INDEX(기본자료!$K$2:$K$501,$AB101),10000)/100),MOD(INDEX(기본자료!$K$2:$K$501,$AB101),100)),INDEX(기본자료!$K$2:$K$501,$AB101)&amp;"")))))</f>
        <v/>
      </c>
      <c r="F101" s="10">
        <f>IF($AB101="","",IF(INDEX(기본자료!$D$2:$D$501,$AB101)="","",INDEX(기본자료!$D$2:$D$501,$AB101)))</f>
        <v/>
      </c>
      <c r="G101" s="10">
        <f>IF($AB101="","",IF(INDEX(기본자료!$E$2:$E$501,$AB101)="","",INDEX(기본자료!$E$2:$E$501,$AB101)))</f>
        <v/>
      </c>
      <c r="H101" s="10">
        <f>IF($AB101="","",IF(INDEX(기본자료!$F$2:$F$501,$AB101)="","",INDEX(기본자료!$F$2:$F$501,$AB101)))</f>
        <v/>
      </c>
      <c r="I101" s="11">
        <f>IF($AB101="","",IF(INDEX(기본자료!$G$2:$G$501,$AB101)="","",IF(NOT(ISNUMBER(INDEX(기본자료!$G$2:$G$501,$AB101))),INDEX(기본자료!$G$2:$G$501,$AB101),IF(INDEX(기본자료!$G$2:$G$501,$AB101)&lt;1000000,INDEX(기본자료!$G$2:$G$501,$AB101),IF(AND(INDEX(기본자료!$G$2:$G$501,$AB101)&gt;=10000101,INT(MOD(INDEX(기본자료!$G$2:$G$501,$AB101),10000)/100)&gt;=1,INT(MOD(INDEX(기본자료!$G$2:$G$501,$AB101),10000)/100)&lt;=12,MOD(INDEX(기본자료!$G$2:$G$501,$AB101),100)&gt;=1,MOD(INDEX(기본자료!$G$2:$G$501,$AB101),100)&lt;=31),DATE(INT(INDEX(기본자료!$G$2:$G$501,$AB101)/10000),INT(MOD(INDEX(기본자료!$G$2:$G$501,$AB101),10000)/100),MOD(INDEX(기본자료!$G$2:$G$501,$AB101),100)),INDEX(기본자료!$G$2:$G$501,$AB101)&amp;"")))))</f>
        <v/>
      </c>
      <c r="J101" s="10">
        <f>IF($AB101="","",IF(INDEX(기본자료!$H$2:$H$501,$AB101)="","",INDEX(기본자료!$H$2:$H$501,$AB101)))</f>
        <v/>
      </c>
      <c r="K101" s="10">
        <f>IF($AB101="","",IF(INDEX(기본자료!$I$2:$I$501,$AB101)="","",INDEX(기본자료!$I$2:$I$501,$AB101)))</f>
        <v/>
      </c>
      <c r="L101" s="10">
        <f>IF($AB101="","",IF(INDEX(기본자료!$A$2:$A$501,$AB101)="","",INDEX(기본자료!$A$2:$A$501,$AB101)))</f>
        <v/>
      </c>
      <c r="M101" s="14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4" t="n"/>
      <c r="Q101" s="14" t="n"/>
      <c r="R101" s="14" t="n"/>
      <c r="S101" s="15" t="n"/>
      <c r="T101" s="15" t="n"/>
      <c r="U101" s="10">
        <f>IF(OR($B101="",$S101=""),"",IF(TODAY()&lt;$S101,"파견예정",IF(AND($T101&lt;&gt;"",TODAY()&gt;$T101),"파견종료","파견중")))</f>
        <v/>
      </c>
      <c r="V101" s="16">
        <f>IF(OR($S101="",$T101=""),"",$T101-$S101+1)</f>
        <v/>
      </c>
      <c r="W101" s="16">
        <f>IF(AND($U101="파견중",$T101&lt;&gt;""),$T101-TODAY(),"")</f>
        <v/>
      </c>
      <c r="X101" s="16">
        <f>IF(OR($B101="",$S101=""),"",MAX(0,MIN(IF($T101="",EOMONTH(요약!$B$3,0),$T101),EOMONTH(요약!$B$3,0))-MAX($S101,요약!$B$3)+1))</f>
        <v/>
      </c>
      <c r="Y101" s="10">
        <f>IF($B101="","",IF($AE101="","",IF(OR($S101="",$P101="",N($X101)&lt;=0),$AE101,IF($P101="다기관파견",$AE101,IF($AE101="구리병원",IF(AND($Q101&lt;&gt;"",N($X101)&gt;=요약!$E$3),$Q101,$AE101),IF(AND($P101="일반파견(단독)",$Q101&lt;&gt;""),$Q101,$AE101))))))</f>
        <v/>
      </c>
      <c r="Z101" s="17">
        <f>IF($B101="","",IF($AB101="","기본자료에 없는 사번",IF(COUNTIF($B$2:$B$201,$B101)&gt;1,"중복 사번",IF($M101="","입사장소 입력",IF(AND($P101&lt;&gt;"",$S101=""),"파견시작일 입력",IF(AND($S101&lt;&gt;"",$P101=""),"파견종류 입력",IF(AND($P101&lt;&gt;"",$P101&lt;&gt;"다기관파견",$Q101=""),"파견병원 입력",IF(IF($AC101="",0,N(INDEX(인턴근무계획!$T$3:$T$202,$AC101)))&gt;0,"인턴계획 입력오류 확인",IF(AND($AC101&lt;&gt;"",$U101&lt;&gt;"파견중",$N101&lt;&gt;$AE101),"인턴 타지역 근무: 파견 여부 확인","정상")))))))))</f>
        <v/>
      </c>
      <c r="AA101" s="5" t="n"/>
      <c r="AB101" s="10">
        <f>IF($B101="","",IFERROR(MATCH($B101,기본자료!$B$2:$B$501,0),IFERROR(MATCH($B101&amp;"",기본자료!$B$2:$B$501,0),IFERROR(MATCH(VALUE($B101),기본자료!$B$2:$B$501,0),""))))</f>
        <v/>
      </c>
      <c r="AC101" s="10">
        <f>IF($B101="","",IFERROR(MATCH($B101,인턴근무계획!$D$3:$D$202,0),IFERROR(MATCH($B101&amp;"",인턴근무계획!$D$3:$D$202,0),IFERROR(MATCH(VALUE($B101),인턴근무계획!$D$3:$D$202,0),""))))</f>
        <v/>
      </c>
      <c r="AD101" s="10">
        <f>IF(OR($AC101="",인턴현황!$G$3=""),"",INDEX(인턴근무계획!$M$3:$R$202,$AC101,인턴현황!$G$3)&amp;"")</f>
        <v/>
      </c>
      <c r="AE101" s="10">
        <f>IF($B101="","",IF($M101&lt;&gt;"",$M101,IF($H101="","",IF(RIGHT($H101,2)="병원",$H101,$H101&amp;"병원"))))</f>
        <v/>
      </c>
    </row>
    <row r="102">
      <c r="A102" s="10">
        <f>IF(B102="","",ROW()-1)</f>
        <v/>
      </c>
      <c r="B102" s="13" t="n"/>
      <c r="C102" s="10">
        <f>IF($AB102="","",IF(INDEX(기본자료!$C$2:$C$501,$AB102)="","",INDEX(기본자료!$C$2:$C$501,$AB102)))</f>
        <v/>
      </c>
      <c r="D102" s="10">
        <f>IF($AB102="","",IF(INDEX(기본자료!$J$2:$J$501,$AB102)="","",INDEX(기본자료!$J$2:$J$501,$AB102)))</f>
        <v/>
      </c>
      <c r="E102" s="11">
        <f>IF($AB102="","",IF(INDEX(기본자료!$K$2:$K$501,$AB102)="","",IF(NOT(ISNUMBER(INDEX(기본자료!$K$2:$K$501,$AB102))),INDEX(기본자료!$K$2:$K$501,$AB102),IF(INDEX(기본자료!$K$2:$K$501,$AB102)&lt;1000000,INDEX(기본자료!$K$2:$K$501,$AB102),IF(AND(INDEX(기본자료!$K$2:$K$501,$AB102)&gt;=10000101,INT(MOD(INDEX(기본자료!$K$2:$K$501,$AB102),10000)/100)&gt;=1,INT(MOD(INDEX(기본자료!$K$2:$K$501,$AB102),10000)/100)&lt;=12,MOD(INDEX(기본자료!$K$2:$K$501,$AB102),100)&gt;=1,MOD(INDEX(기본자료!$K$2:$K$501,$AB102),100)&lt;=31),DATE(INT(INDEX(기본자료!$K$2:$K$501,$AB102)/10000),INT(MOD(INDEX(기본자료!$K$2:$K$501,$AB102),10000)/100),MOD(INDEX(기본자료!$K$2:$K$501,$AB102),100)),INDEX(기본자료!$K$2:$K$501,$AB102)&amp;"")))))</f>
        <v/>
      </c>
      <c r="F102" s="10">
        <f>IF($AB102="","",IF(INDEX(기본자료!$D$2:$D$501,$AB102)="","",INDEX(기본자료!$D$2:$D$501,$AB102)))</f>
        <v/>
      </c>
      <c r="G102" s="10">
        <f>IF($AB102="","",IF(INDEX(기본자료!$E$2:$E$501,$AB102)="","",INDEX(기본자료!$E$2:$E$501,$AB102)))</f>
        <v/>
      </c>
      <c r="H102" s="10">
        <f>IF($AB102="","",IF(INDEX(기본자료!$F$2:$F$501,$AB102)="","",INDEX(기본자료!$F$2:$F$501,$AB102)))</f>
        <v/>
      </c>
      <c r="I102" s="11">
        <f>IF($AB102="","",IF(INDEX(기본자료!$G$2:$G$501,$AB102)="","",IF(NOT(ISNUMBER(INDEX(기본자료!$G$2:$G$501,$AB102))),INDEX(기본자료!$G$2:$G$501,$AB102),IF(INDEX(기본자료!$G$2:$G$501,$AB102)&lt;1000000,INDEX(기본자료!$G$2:$G$501,$AB102),IF(AND(INDEX(기본자료!$G$2:$G$501,$AB102)&gt;=10000101,INT(MOD(INDEX(기본자료!$G$2:$G$501,$AB102),10000)/100)&gt;=1,INT(MOD(INDEX(기본자료!$G$2:$G$501,$AB102),10000)/100)&lt;=12,MOD(INDEX(기본자료!$G$2:$G$501,$AB102),100)&gt;=1,MOD(INDEX(기본자료!$G$2:$G$501,$AB102),100)&lt;=31),DATE(INT(INDEX(기본자료!$G$2:$G$501,$AB102)/10000),INT(MOD(INDEX(기본자료!$G$2:$G$501,$AB102),10000)/100),MOD(INDEX(기본자료!$G$2:$G$501,$AB102),100)),INDEX(기본자료!$G$2:$G$501,$AB102)&amp;"")))))</f>
        <v/>
      </c>
      <c r="J102" s="10">
        <f>IF($AB102="","",IF(INDEX(기본자료!$H$2:$H$501,$AB102)="","",INDEX(기본자료!$H$2:$H$501,$AB102)))</f>
        <v/>
      </c>
      <c r="K102" s="10">
        <f>IF($AB102="","",IF(INDEX(기본자료!$I$2:$I$501,$AB102)="","",INDEX(기본자료!$I$2:$I$501,$AB102)))</f>
        <v/>
      </c>
      <c r="L102" s="10">
        <f>IF($AB102="","",IF(INDEX(기본자료!$A$2:$A$501,$AB102)="","",INDEX(기본자료!$A$2:$A$501,$AB102)))</f>
        <v/>
      </c>
      <c r="M102" s="14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4" t="n"/>
      <c r="Q102" s="14" t="n"/>
      <c r="R102" s="14" t="n"/>
      <c r="S102" s="15" t="n"/>
      <c r="T102" s="15" t="n"/>
      <c r="U102" s="10">
        <f>IF(OR($B102="",$S102=""),"",IF(TODAY()&lt;$S102,"파견예정",IF(AND($T102&lt;&gt;"",TODAY()&gt;$T102),"파견종료","파견중")))</f>
        <v/>
      </c>
      <c r="V102" s="16">
        <f>IF(OR($S102="",$T102=""),"",$T102-$S102+1)</f>
        <v/>
      </c>
      <c r="W102" s="16">
        <f>IF(AND($U102="파견중",$T102&lt;&gt;""),$T102-TODAY(),"")</f>
        <v/>
      </c>
      <c r="X102" s="16">
        <f>IF(OR($B102="",$S102=""),"",MAX(0,MIN(IF($T102="",EOMONTH(요약!$B$3,0),$T102),EOMONTH(요약!$B$3,0))-MAX($S102,요약!$B$3)+1))</f>
        <v/>
      </c>
      <c r="Y102" s="10">
        <f>IF($B102="","",IF($AE102="","",IF(OR($S102="",$P102="",N($X102)&lt;=0),$AE102,IF($P102="다기관파견",$AE102,IF($AE102="구리병원",IF(AND($Q102&lt;&gt;"",N($X102)&gt;=요약!$E$3),$Q102,$AE102),IF(AND($P102="일반파견(단독)",$Q102&lt;&gt;""),$Q102,$AE102))))))</f>
        <v/>
      </c>
      <c r="Z102" s="17">
        <f>IF($B102="","",IF($AB102="","기본자료에 없는 사번",IF(COUNTIF($B$2:$B$201,$B102)&gt;1,"중복 사번",IF($M102="","입사장소 입력",IF(AND($P102&lt;&gt;"",$S102=""),"파견시작일 입력",IF(AND($S102&lt;&gt;"",$P102=""),"파견종류 입력",IF(AND($P102&lt;&gt;"",$P102&lt;&gt;"다기관파견",$Q102=""),"파견병원 입력",IF(IF($AC102="",0,N(INDEX(인턴근무계획!$T$3:$T$202,$AC102)))&gt;0,"인턴계획 입력오류 확인",IF(AND($AC102&lt;&gt;"",$U102&lt;&gt;"파견중",$N102&lt;&gt;$AE102),"인턴 타지역 근무: 파견 여부 확인","정상")))))))))</f>
        <v/>
      </c>
      <c r="AA102" s="5" t="n"/>
      <c r="AB102" s="10">
        <f>IF($B102="","",IFERROR(MATCH($B102,기본자료!$B$2:$B$501,0),IFERROR(MATCH($B102&amp;"",기본자료!$B$2:$B$501,0),IFERROR(MATCH(VALUE($B102),기본자료!$B$2:$B$501,0),""))))</f>
        <v/>
      </c>
      <c r="AC102" s="10">
        <f>IF($B102="","",IFERROR(MATCH($B102,인턴근무계획!$D$3:$D$202,0),IFERROR(MATCH($B102&amp;"",인턴근무계획!$D$3:$D$202,0),IFERROR(MATCH(VALUE($B102),인턴근무계획!$D$3:$D$202,0),""))))</f>
        <v/>
      </c>
      <c r="AD102" s="10">
        <f>IF(OR($AC102="",인턴현황!$G$3=""),"",INDEX(인턴근무계획!$M$3:$R$202,$AC102,인턴현황!$G$3)&amp;"")</f>
        <v/>
      </c>
      <c r="AE102" s="10">
        <f>IF($B102="","",IF($M102&lt;&gt;"",$M102,IF($H102="","",IF(RIGHT($H102,2)="병원",$H102,$H102&amp;"병원"))))</f>
        <v/>
      </c>
    </row>
    <row r="103">
      <c r="A103" s="10">
        <f>IF(B103="","",ROW()-1)</f>
        <v/>
      </c>
      <c r="B103" s="13" t="n"/>
      <c r="C103" s="10">
        <f>IF($AB103="","",IF(INDEX(기본자료!$C$2:$C$501,$AB103)="","",INDEX(기본자료!$C$2:$C$501,$AB103)))</f>
        <v/>
      </c>
      <c r="D103" s="10">
        <f>IF($AB103="","",IF(INDEX(기본자료!$J$2:$J$501,$AB103)="","",INDEX(기본자료!$J$2:$J$501,$AB103)))</f>
        <v/>
      </c>
      <c r="E103" s="11">
        <f>IF($AB103="","",IF(INDEX(기본자료!$K$2:$K$501,$AB103)="","",IF(NOT(ISNUMBER(INDEX(기본자료!$K$2:$K$501,$AB103))),INDEX(기본자료!$K$2:$K$501,$AB103),IF(INDEX(기본자료!$K$2:$K$501,$AB103)&lt;1000000,INDEX(기본자료!$K$2:$K$501,$AB103),IF(AND(INDEX(기본자료!$K$2:$K$501,$AB103)&gt;=10000101,INT(MOD(INDEX(기본자료!$K$2:$K$501,$AB103),10000)/100)&gt;=1,INT(MOD(INDEX(기본자료!$K$2:$K$501,$AB103),10000)/100)&lt;=12,MOD(INDEX(기본자료!$K$2:$K$501,$AB103),100)&gt;=1,MOD(INDEX(기본자료!$K$2:$K$501,$AB103),100)&lt;=31),DATE(INT(INDEX(기본자료!$K$2:$K$501,$AB103)/10000),INT(MOD(INDEX(기본자료!$K$2:$K$501,$AB103),10000)/100),MOD(INDEX(기본자료!$K$2:$K$501,$AB103),100)),INDEX(기본자료!$K$2:$K$501,$AB103)&amp;"")))))</f>
        <v/>
      </c>
      <c r="F103" s="10">
        <f>IF($AB103="","",IF(INDEX(기본자료!$D$2:$D$501,$AB103)="","",INDEX(기본자료!$D$2:$D$501,$AB103)))</f>
        <v/>
      </c>
      <c r="G103" s="10">
        <f>IF($AB103="","",IF(INDEX(기본자료!$E$2:$E$501,$AB103)="","",INDEX(기본자료!$E$2:$E$501,$AB103)))</f>
        <v/>
      </c>
      <c r="H103" s="10">
        <f>IF($AB103="","",IF(INDEX(기본자료!$F$2:$F$501,$AB103)="","",INDEX(기본자료!$F$2:$F$501,$AB103)))</f>
        <v/>
      </c>
      <c r="I103" s="11">
        <f>IF($AB103="","",IF(INDEX(기본자료!$G$2:$G$501,$AB103)="","",IF(NOT(ISNUMBER(INDEX(기본자료!$G$2:$G$501,$AB103))),INDEX(기본자료!$G$2:$G$501,$AB103),IF(INDEX(기본자료!$G$2:$G$501,$AB103)&lt;1000000,INDEX(기본자료!$G$2:$G$501,$AB103),IF(AND(INDEX(기본자료!$G$2:$G$501,$AB103)&gt;=10000101,INT(MOD(INDEX(기본자료!$G$2:$G$501,$AB103),10000)/100)&gt;=1,INT(MOD(INDEX(기본자료!$G$2:$G$501,$AB103),10000)/100)&lt;=12,MOD(INDEX(기본자료!$G$2:$G$501,$AB103),100)&gt;=1,MOD(INDEX(기본자료!$G$2:$G$501,$AB103),100)&lt;=31),DATE(INT(INDEX(기본자료!$G$2:$G$501,$AB103)/10000),INT(MOD(INDEX(기본자료!$G$2:$G$501,$AB103),10000)/100),MOD(INDEX(기본자료!$G$2:$G$501,$AB103),100)),INDEX(기본자료!$G$2:$G$501,$AB103)&amp;"")))))</f>
        <v/>
      </c>
      <c r="J103" s="10">
        <f>IF($AB103="","",IF(INDEX(기본자료!$H$2:$H$501,$AB103)="","",INDEX(기본자료!$H$2:$H$501,$AB103)))</f>
        <v/>
      </c>
      <c r="K103" s="10">
        <f>IF($AB103="","",IF(INDEX(기본자료!$I$2:$I$501,$AB103)="","",INDEX(기본자료!$I$2:$I$501,$AB103)))</f>
        <v/>
      </c>
      <c r="L103" s="10">
        <f>IF($AB103="","",IF(INDEX(기본자료!$A$2:$A$501,$AB103)="","",INDEX(기본자료!$A$2:$A$501,$AB103)))</f>
        <v/>
      </c>
      <c r="M103" s="14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4" t="n"/>
      <c r="Q103" s="14" t="n"/>
      <c r="R103" s="14" t="n"/>
      <c r="S103" s="15" t="n"/>
      <c r="T103" s="15" t="n"/>
      <c r="U103" s="10">
        <f>IF(OR($B103="",$S103=""),"",IF(TODAY()&lt;$S103,"파견예정",IF(AND($T103&lt;&gt;"",TODAY()&gt;$T103),"파견종료","파견중")))</f>
        <v/>
      </c>
      <c r="V103" s="16">
        <f>IF(OR($S103="",$T103=""),"",$T103-$S103+1)</f>
        <v/>
      </c>
      <c r="W103" s="16">
        <f>IF(AND($U103="파견중",$T103&lt;&gt;""),$T103-TODAY(),"")</f>
        <v/>
      </c>
      <c r="X103" s="16">
        <f>IF(OR($B103="",$S103=""),"",MAX(0,MIN(IF($T103="",EOMONTH(요약!$B$3,0),$T103),EOMONTH(요약!$B$3,0))-MAX($S103,요약!$B$3)+1))</f>
        <v/>
      </c>
      <c r="Y103" s="10">
        <f>IF($B103="","",IF($AE103="","",IF(OR($S103="",$P103="",N($X103)&lt;=0),$AE103,IF($P103="다기관파견",$AE103,IF($AE103="구리병원",IF(AND($Q103&lt;&gt;"",N($X103)&gt;=요약!$E$3),$Q103,$AE103),IF(AND($P103="일반파견(단독)",$Q103&lt;&gt;""),$Q103,$AE103))))))</f>
        <v/>
      </c>
      <c r="Z103" s="17">
        <f>IF($B103="","",IF($AB103="","기본자료에 없는 사번",IF(COUNTIF($B$2:$B$201,$B103)&gt;1,"중복 사번",IF($M103="","입사장소 입력",IF(AND($P103&lt;&gt;"",$S103=""),"파견시작일 입력",IF(AND($S103&lt;&gt;"",$P103=""),"파견종류 입력",IF(AND($P103&lt;&gt;"",$P103&lt;&gt;"다기관파견",$Q103=""),"파견병원 입력",IF(IF($AC103="",0,N(INDEX(인턴근무계획!$T$3:$T$202,$AC103)))&gt;0,"인턴계획 입력오류 확인",IF(AND($AC103&lt;&gt;"",$U103&lt;&gt;"파견중",$N103&lt;&gt;$AE103),"인턴 타지역 근무: 파견 여부 확인","정상")))))))))</f>
        <v/>
      </c>
      <c r="AA103" s="5" t="n"/>
      <c r="AB103" s="10">
        <f>IF($B103="","",IFERROR(MATCH($B103,기본자료!$B$2:$B$501,0),IFERROR(MATCH($B103&amp;"",기본자료!$B$2:$B$501,0),IFERROR(MATCH(VALUE($B103),기본자료!$B$2:$B$501,0),""))))</f>
        <v/>
      </c>
      <c r="AC103" s="10">
        <f>IF($B103="","",IFERROR(MATCH($B103,인턴근무계획!$D$3:$D$202,0),IFERROR(MATCH($B103&amp;"",인턴근무계획!$D$3:$D$202,0),IFERROR(MATCH(VALUE($B103),인턴근무계획!$D$3:$D$202,0),""))))</f>
        <v/>
      </c>
      <c r="AD103" s="10">
        <f>IF(OR($AC103="",인턴현황!$G$3=""),"",INDEX(인턴근무계획!$M$3:$R$202,$AC103,인턴현황!$G$3)&amp;"")</f>
        <v/>
      </c>
      <c r="AE103" s="10">
        <f>IF($B103="","",IF($M103&lt;&gt;"",$M103,IF($H103="","",IF(RIGHT($H103,2)="병원",$H103,$H103&amp;"병원"))))</f>
        <v/>
      </c>
    </row>
    <row r="104">
      <c r="A104" s="10">
        <f>IF(B104="","",ROW()-1)</f>
        <v/>
      </c>
      <c r="B104" s="13" t="n"/>
      <c r="C104" s="10">
        <f>IF($AB104="","",IF(INDEX(기본자료!$C$2:$C$501,$AB104)="","",INDEX(기본자료!$C$2:$C$501,$AB104)))</f>
        <v/>
      </c>
      <c r="D104" s="10">
        <f>IF($AB104="","",IF(INDEX(기본자료!$J$2:$J$501,$AB104)="","",INDEX(기본자료!$J$2:$J$501,$AB104)))</f>
        <v/>
      </c>
      <c r="E104" s="11">
        <f>IF($AB104="","",IF(INDEX(기본자료!$K$2:$K$501,$AB104)="","",IF(NOT(ISNUMBER(INDEX(기본자료!$K$2:$K$501,$AB104))),INDEX(기본자료!$K$2:$K$501,$AB104),IF(INDEX(기본자료!$K$2:$K$501,$AB104)&lt;1000000,INDEX(기본자료!$K$2:$K$501,$AB104),IF(AND(INDEX(기본자료!$K$2:$K$501,$AB104)&gt;=10000101,INT(MOD(INDEX(기본자료!$K$2:$K$501,$AB104),10000)/100)&gt;=1,INT(MOD(INDEX(기본자료!$K$2:$K$501,$AB104),10000)/100)&lt;=12,MOD(INDEX(기본자료!$K$2:$K$501,$AB104),100)&gt;=1,MOD(INDEX(기본자료!$K$2:$K$501,$AB104),100)&lt;=31),DATE(INT(INDEX(기본자료!$K$2:$K$501,$AB104)/10000),INT(MOD(INDEX(기본자료!$K$2:$K$501,$AB104),10000)/100),MOD(INDEX(기본자료!$K$2:$K$501,$AB104),100)),INDEX(기본자료!$K$2:$K$501,$AB104)&amp;"")))))</f>
        <v/>
      </c>
      <c r="F104" s="10">
        <f>IF($AB104="","",IF(INDEX(기본자료!$D$2:$D$501,$AB104)="","",INDEX(기본자료!$D$2:$D$501,$AB104)))</f>
        <v/>
      </c>
      <c r="G104" s="10">
        <f>IF($AB104="","",IF(INDEX(기본자료!$E$2:$E$501,$AB104)="","",INDEX(기본자료!$E$2:$E$501,$AB104)))</f>
        <v/>
      </c>
      <c r="H104" s="10">
        <f>IF($AB104="","",IF(INDEX(기본자료!$F$2:$F$501,$AB104)="","",INDEX(기본자료!$F$2:$F$501,$AB104)))</f>
        <v/>
      </c>
      <c r="I104" s="11">
        <f>IF($AB104="","",IF(INDEX(기본자료!$G$2:$G$501,$AB104)="","",IF(NOT(ISNUMBER(INDEX(기본자료!$G$2:$G$501,$AB104))),INDEX(기본자료!$G$2:$G$501,$AB104),IF(INDEX(기본자료!$G$2:$G$501,$AB104)&lt;1000000,INDEX(기본자료!$G$2:$G$501,$AB104),IF(AND(INDEX(기본자료!$G$2:$G$501,$AB104)&gt;=10000101,INT(MOD(INDEX(기본자료!$G$2:$G$501,$AB104),10000)/100)&gt;=1,INT(MOD(INDEX(기본자료!$G$2:$G$501,$AB104),10000)/100)&lt;=12,MOD(INDEX(기본자료!$G$2:$G$501,$AB104),100)&gt;=1,MOD(INDEX(기본자료!$G$2:$G$501,$AB104),100)&lt;=31),DATE(INT(INDEX(기본자료!$G$2:$G$501,$AB104)/10000),INT(MOD(INDEX(기본자료!$G$2:$G$501,$AB104),10000)/100),MOD(INDEX(기본자료!$G$2:$G$501,$AB104),100)),INDEX(기본자료!$G$2:$G$501,$AB104)&amp;"")))))</f>
        <v/>
      </c>
      <c r="J104" s="10">
        <f>IF($AB104="","",IF(INDEX(기본자료!$H$2:$H$501,$AB104)="","",INDEX(기본자료!$H$2:$H$501,$AB104)))</f>
        <v/>
      </c>
      <c r="K104" s="10">
        <f>IF($AB104="","",IF(INDEX(기본자료!$I$2:$I$501,$AB104)="","",INDEX(기본자료!$I$2:$I$501,$AB104)))</f>
        <v/>
      </c>
      <c r="L104" s="10">
        <f>IF($AB104="","",IF(INDEX(기본자료!$A$2:$A$501,$AB104)="","",INDEX(기본자료!$A$2:$A$501,$AB104)))</f>
        <v/>
      </c>
      <c r="M104" s="14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4" t="n"/>
      <c r="Q104" s="14" t="n"/>
      <c r="R104" s="14" t="n"/>
      <c r="S104" s="15" t="n"/>
      <c r="T104" s="15" t="n"/>
      <c r="U104" s="10">
        <f>IF(OR($B104="",$S104=""),"",IF(TODAY()&lt;$S104,"파견예정",IF(AND($T104&lt;&gt;"",TODAY()&gt;$T104),"파견종료","파견중")))</f>
        <v/>
      </c>
      <c r="V104" s="16">
        <f>IF(OR($S104="",$T104=""),"",$T104-$S104+1)</f>
        <v/>
      </c>
      <c r="W104" s="16">
        <f>IF(AND($U104="파견중",$T104&lt;&gt;""),$T104-TODAY(),"")</f>
        <v/>
      </c>
      <c r="X104" s="16">
        <f>IF(OR($B104="",$S104=""),"",MAX(0,MIN(IF($T104="",EOMONTH(요약!$B$3,0),$T104),EOMONTH(요약!$B$3,0))-MAX($S104,요약!$B$3)+1))</f>
        <v/>
      </c>
      <c r="Y104" s="10">
        <f>IF($B104="","",IF($AE104="","",IF(OR($S104="",$P104="",N($X104)&lt;=0),$AE104,IF($P104="다기관파견",$AE104,IF($AE104="구리병원",IF(AND($Q104&lt;&gt;"",N($X104)&gt;=요약!$E$3),$Q104,$AE104),IF(AND($P104="일반파견(단독)",$Q104&lt;&gt;""),$Q104,$AE104))))))</f>
        <v/>
      </c>
      <c r="Z104" s="17">
        <f>IF($B104="","",IF($AB104="","기본자료에 없는 사번",IF(COUNTIF($B$2:$B$201,$B104)&gt;1,"중복 사번",IF($M104="","입사장소 입력",IF(AND($P104&lt;&gt;"",$S104=""),"파견시작일 입력",IF(AND($S104&lt;&gt;"",$P104=""),"파견종류 입력",IF(AND($P104&lt;&gt;"",$P104&lt;&gt;"다기관파견",$Q104=""),"파견병원 입력",IF(IF($AC104="",0,N(INDEX(인턴근무계획!$T$3:$T$202,$AC104)))&gt;0,"인턴계획 입력오류 확인",IF(AND($AC104&lt;&gt;"",$U104&lt;&gt;"파견중",$N104&lt;&gt;$AE104),"인턴 타지역 근무: 파견 여부 확인","정상")))))))))</f>
        <v/>
      </c>
      <c r="AA104" s="5" t="n"/>
      <c r="AB104" s="10">
        <f>IF($B104="","",IFERROR(MATCH($B104,기본자료!$B$2:$B$501,0),IFERROR(MATCH($B104&amp;"",기본자료!$B$2:$B$501,0),IFERROR(MATCH(VALUE($B104),기본자료!$B$2:$B$501,0),""))))</f>
        <v/>
      </c>
      <c r="AC104" s="10">
        <f>IF($B104="","",IFERROR(MATCH($B104,인턴근무계획!$D$3:$D$202,0),IFERROR(MATCH($B104&amp;"",인턴근무계획!$D$3:$D$202,0),IFERROR(MATCH(VALUE($B104),인턴근무계획!$D$3:$D$202,0),""))))</f>
        <v/>
      </c>
      <c r="AD104" s="10">
        <f>IF(OR($AC104="",인턴현황!$G$3=""),"",INDEX(인턴근무계획!$M$3:$R$202,$AC104,인턴현황!$G$3)&amp;"")</f>
        <v/>
      </c>
      <c r="AE104" s="10">
        <f>IF($B104="","",IF($M104&lt;&gt;"",$M104,IF($H104="","",IF(RIGHT($H104,2)="병원",$H104,$H104&amp;"병원"))))</f>
        <v/>
      </c>
    </row>
    <row r="105">
      <c r="A105" s="10">
        <f>IF(B105="","",ROW()-1)</f>
        <v/>
      </c>
      <c r="B105" s="13" t="n"/>
      <c r="C105" s="10">
        <f>IF($AB105="","",IF(INDEX(기본자료!$C$2:$C$501,$AB105)="","",INDEX(기본자료!$C$2:$C$501,$AB105)))</f>
        <v/>
      </c>
      <c r="D105" s="10">
        <f>IF($AB105="","",IF(INDEX(기본자료!$J$2:$J$501,$AB105)="","",INDEX(기본자료!$J$2:$J$501,$AB105)))</f>
        <v/>
      </c>
      <c r="E105" s="11">
        <f>IF($AB105="","",IF(INDEX(기본자료!$K$2:$K$501,$AB105)="","",IF(NOT(ISNUMBER(INDEX(기본자료!$K$2:$K$501,$AB105))),INDEX(기본자료!$K$2:$K$501,$AB105),IF(INDEX(기본자료!$K$2:$K$501,$AB105)&lt;1000000,INDEX(기본자료!$K$2:$K$501,$AB105),IF(AND(INDEX(기본자료!$K$2:$K$501,$AB105)&gt;=10000101,INT(MOD(INDEX(기본자료!$K$2:$K$501,$AB105),10000)/100)&gt;=1,INT(MOD(INDEX(기본자료!$K$2:$K$501,$AB105),10000)/100)&lt;=12,MOD(INDEX(기본자료!$K$2:$K$501,$AB105),100)&gt;=1,MOD(INDEX(기본자료!$K$2:$K$501,$AB105),100)&lt;=31),DATE(INT(INDEX(기본자료!$K$2:$K$501,$AB105)/10000),INT(MOD(INDEX(기본자료!$K$2:$K$501,$AB105),10000)/100),MOD(INDEX(기본자료!$K$2:$K$501,$AB105),100)),INDEX(기본자료!$K$2:$K$501,$AB105)&amp;"")))))</f>
        <v/>
      </c>
      <c r="F105" s="10">
        <f>IF($AB105="","",IF(INDEX(기본자료!$D$2:$D$501,$AB105)="","",INDEX(기본자료!$D$2:$D$501,$AB105)))</f>
        <v/>
      </c>
      <c r="G105" s="10">
        <f>IF($AB105="","",IF(INDEX(기본자료!$E$2:$E$501,$AB105)="","",INDEX(기본자료!$E$2:$E$501,$AB105)))</f>
        <v/>
      </c>
      <c r="H105" s="10">
        <f>IF($AB105="","",IF(INDEX(기본자료!$F$2:$F$501,$AB105)="","",INDEX(기본자료!$F$2:$F$501,$AB105)))</f>
        <v/>
      </c>
      <c r="I105" s="11">
        <f>IF($AB105="","",IF(INDEX(기본자료!$G$2:$G$501,$AB105)="","",IF(NOT(ISNUMBER(INDEX(기본자료!$G$2:$G$501,$AB105))),INDEX(기본자료!$G$2:$G$501,$AB105),IF(INDEX(기본자료!$G$2:$G$501,$AB105)&lt;1000000,INDEX(기본자료!$G$2:$G$501,$AB105),IF(AND(INDEX(기본자료!$G$2:$G$501,$AB105)&gt;=10000101,INT(MOD(INDEX(기본자료!$G$2:$G$501,$AB105),10000)/100)&gt;=1,INT(MOD(INDEX(기본자료!$G$2:$G$501,$AB105),10000)/100)&lt;=12,MOD(INDEX(기본자료!$G$2:$G$501,$AB105),100)&gt;=1,MOD(INDEX(기본자료!$G$2:$G$501,$AB105),100)&lt;=31),DATE(INT(INDEX(기본자료!$G$2:$G$501,$AB105)/10000),INT(MOD(INDEX(기본자료!$G$2:$G$501,$AB105),10000)/100),MOD(INDEX(기본자료!$G$2:$G$501,$AB105),100)),INDEX(기본자료!$G$2:$G$501,$AB105)&amp;"")))))</f>
        <v/>
      </c>
      <c r="J105" s="10">
        <f>IF($AB105="","",IF(INDEX(기본자료!$H$2:$H$501,$AB105)="","",INDEX(기본자료!$H$2:$H$501,$AB105)))</f>
        <v/>
      </c>
      <c r="K105" s="10">
        <f>IF($AB105="","",IF(INDEX(기본자료!$I$2:$I$501,$AB105)="","",INDEX(기본자료!$I$2:$I$501,$AB105)))</f>
        <v/>
      </c>
      <c r="L105" s="10">
        <f>IF($AB105="","",IF(INDEX(기본자료!$A$2:$A$501,$AB105)="","",INDEX(기본자료!$A$2:$A$501,$AB105)))</f>
        <v/>
      </c>
      <c r="M105" s="14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4" t="n"/>
      <c r="Q105" s="14" t="n"/>
      <c r="R105" s="14" t="n"/>
      <c r="S105" s="15" t="n"/>
      <c r="T105" s="15" t="n"/>
      <c r="U105" s="10">
        <f>IF(OR($B105="",$S105=""),"",IF(TODAY()&lt;$S105,"파견예정",IF(AND($T105&lt;&gt;"",TODAY()&gt;$T105),"파견종료","파견중")))</f>
        <v/>
      </c>
      <c r="V105" s="16">
        <f>IF(OR($S105="",$T105=""),"",$T105-$S105+1)</f>
        <v/>
      </c>
      <c r="W105" s="16">
        <f>IF(AND($U105="파견중",$T105&lt;&gt;""),$T105-TODAY(),"")</f>
        <v/>
      </c>
      <c r="X105" s="16">
        <f>IF(OR($B105="",$S105=""),"",MAX(0,MIN(IF($T105="",EOMONTH(요약!$B$3,0),$T105),EOMONTH(요약!$B$3,0))-MAX($S105,요약!$B$3)+1))</f>
        <v/>
      </c>
      <c r="Y105" s="10">
        <f>IF($B105="","",IF($AE105="","",IF(OR($S105="",$P105="",N($X105)&lt;=0),$AE105,IF($P105="다기관파견",$AE105,IF($AE105="구리병원",IF(AND($Q105&lt;&gt;"",N($X105)&gt;=요약!$E$3),$Q105,$AE105),IF(AND($P105="일반파견(단독)",$Q105&lt;&gt;""),$Q105,$AE105))))))</f>
        <v/>
      </c>
      <c r="Z105" s="17">
        <f>IF($B105="","",IF($AB105="","기본자료에 없는 사번",IF(COUNTIF($B$2:$B$201,$B105)&gt;1,"중복 사번",IF($M105="","입사장소 입력",IF(AND($P105&lt;&gt;"",$S105=""),"파견시작일 입력",IF(AND($S105&lt;&gt;"",$P105=""),"파견종류 입력",IF(AND($P105&lt;&gt;"",$P105&lt;&gt;"다기관파견",$Q105=""),"파견병원 입력",IF(IF($AC105="",0,N(INDEX(인턴근무계획!$T$3:$T$202,$AC105)))&gt;0,"인턴계획 입력오류 확인",IF(AND($AC105&lt;&gt;"",$U105&lt;&gt;"파견중",$N105&lt;&gt;$AE105),"인턴 타지역 근무: 파견 여부 확인","정상")))))))))</f>
        <v/>
      </c>
      <c r="AA105" s="5" t="n"/>
      <c r="AB105" s="10">
        <f>IF($B105="","",IFERROR(MATCH($B105,기본자료!$B$2:$B$501,0),IFERROR(MATCH($B105&amp;"",기본자료!$B$2:$B$501,0),IFERROR(MATCH(VALUE($B105),기본자료!$B$2:$B$501,0),""))))</f>
        <v/>
      </c>
      <c r="AC105" s="10">
        <f>IF($B105="","",IFERROR(MATCH($B105,인턴근무계획!$D$3:$D$202,0),IFERROR(MATCH($B105&amp;"",인턴근무계획!$D$3:$D$202,0),IFERROR(MATCH(VALUE($B105),인턴근무계획!$D$3:$D$202,0),""))))</f>
        <v/>
      </c>
      <c r="AD105" s="10">
        <f>IF(OR($AC105="",인턴현황!$G$3=""),"",INDEX(인턴근무계획!$M$3:$R$202,$AC105,인턴현황!$G$3)&amp;"")</f>
        <v/>
      </c>
      <c r="AE105" s="10">
        <f>IF($B105="","",IF($M105&lt;&gt;"",$M105,IF($H105="","",IF(RIGHT($H105,2)="병원",$H105,$H105&amp;"병원"))))</f>
        <v/>
      </c>
    </row>
    <row r="106">
      <c r="A106" s="10">
        <f>IF(B106="","",ROW()-1)</f>
        <v/>
      </c>
      <c r="B106" s="13" t="n"/>
      <c r="C106" s="10">
        <f>IF($AB106="","",IF(INDEX(기본자료!$C$2:$C$501,$AB106)="","",INDEX(기본자료!$C$2:$C$501,$AB106)))</f>
        <v/>
      </c>
      <c r="D106" s="10">
        <f>IF($AB106="","",IF(INDEX(기본자료!$J$2:$J$501,$AB106)="","",INDEX(기본자료!$J$2:$J$501,$AB106)))</f>
        <v/>
      </c>
      <c r="E106" s="11">
        <f>IF($AB106="","",IF(INDEX(기본자료!$K$2:$K$501,$AB106)="","",IF(NOT(ISNUMBER(INDEX(기본자료!$K$2:$K$501,$AB106))),INDEX(기본자료!$K$2:$K$501,$AB106),IF(INDEX(기본자료!$K$2:$K$501,$AB106)&lt;1000000,INDEX(기본자료!$K$2:$K$501,$AB106),IF(AND(INDEX(기본자료!$K$2:$K$501,$AB106)&gt;=10000101,INT(MOD(INDEX(기본자료!$K$2:$K$501,$AB106),10000)/100)&gt;=1,INT(MOD(INDEX(기본자료!$K$2:$K$501,$AB106),10000)/100)&lt;=12,MOD(INDEX(기본자료!$K$2:$K$501,$AB106),100)&gt;=1,MOD(INDEX(기본자료!$K$2:$K$501,$AB106),100)&lt;=31),DATE(INT(INDEX(기본자료!$K$2:$K$501,$AB106)/10000),INT(MOD(INDEX(기본자료!$K$2:$K$501,$AB106),10000)/100),MOD(INDEX(기본자료!$K$2:$K$501,$AB106),100)),INDEX(기본자료!$K$2:$K$501,$AB106)&amp;"")))))</f>
        <v/>
      </c>
      <c r="F106" s="10">
        <f>IF($AB106="","",IF(INDEX(기본자료!$D$2:$D$501,$AB106)="","",INDEX(기본자료!$D$2:$D$501,$AB106)))</f>
        <v/>
      </c>
      <c r="G106" s="10">
        <f>IF($AB106="","",IF(INDEX(기본자료!$E$2:$E$501,$AB106)="","",INDEX(기본자료!$E$2:$E$501,$AB106)))</f>
        <v/>
      </c>
      <c r="H106" s="10">
        <f>IF($AB106="","",IF(INDEX(기본자료!$F$2:$F$501,$AB106)="","",INDEX(기본자료!$F$2:$F$501,$AB106)))</f>
        <v/>
      </c>
      <c r="I106" s="11">
        <f>IF($AB106="","",IF(INDEX(기본자료!$G$2:$G$501,$AB106)="","",IF(NOT(ISNUMBER(INDEX(기본자료!$G$2:$G$501,$AB106))),INDEX(기본자료!$G$2:$G$501,$AB106),IF(INDEX(기본자료!$G$2:$G$501,$AB106)&lt;1000000,INDEX(기본자료!$G$2:$G$501,$AB106),IF(AND(INDEX(기본자료!$G$2:$G$501,$AB106)&gt;=10000101,INT(MOD(INDEX(기본자료!$G$2:$G$501,$AB106),10000)/100)&gt;=1,INT(MOD(INDEX(기본자료!$G$2:$G$501,$AB106),10000)/100)&lt;=12,MOD(INDEX(기본자료!$G$2:$G$501,$AB106),100)&gt;=1,MOD(INDEX(기본자료!$G$2:$G$501,$AB106),100)&lt;=31),DATE(INT(INDEX(기본자료!$G$2:$G$501,$AB106)/10000),INT(MOD(INDEX(기본자료!$G$2:$G$501,$AB106),10000)/100),MOD(INDEX(기본자료!$G$2:$G$501,$AB106),100)),INDEX(기본자료!$G$2:$G$501,$AB106)&amp;"")))))</f>
        <v/>
      </c>
      <c r="J106" s="10">
        <f>IF($AB106="","",IF(INDEX(기본자료!$H$2:$H$501,$AB106)="","",INDEX(기본자료!$H$2:$H$501,$AB106)))</f>
        <v/>
      </c>
      <c r="K106" s="10">
        <f>IF($AB106="","",IF(INDEX(기본자료!$I$2:$I$501,$AB106)="","",INDEX(기본자료!$I$2:$I$501,$AB106)))</f>
        <v/>
      </c>
      <c r="L106" s="10">
        <f>IF($AB106="","",IF(INDEX(기본자료!$A$2:$A$501,$AB106)="","",INDEX(기본자료!$A$2:$A$501,$AB106)))</f>
        <v/>
      </c>
      <c r="M106" s="14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4" t="n"/>
      <c r="Q106" s="14" t="n"/>
      <c r="R106" s="14" t="n"/>
      <c r="S106" s="15" t="n"/>
      <c r="T106" s="15" t="n"/>
      <c r="U106" s="10">
        <f>IF(OR($B106="",$S106=""),"",IF(TODAY()&lt;$S106,"파견예정",IF(AND($T106&lt;&gt;"",TODAY()&gt;$T106),"파견종료","파견중")))</f>
        <v/>
      </c>
      <c r="V106" s="16">
        <f>IF(OR($S106="",$T106=""),"",$T106-$S106+1)</f>
        <v/>
      </c>
      <c r="W106" s="16">
        <f>IF(AND($U106="파견중",$T106&lt;&gt;""),$T106-TODAY(),"")</f>
        <v/>
      </c>
      <c r="X106" s="16">
        <f>IF(OR($B106="",$S106=""),"",MAX(0,MIN(IF($T106="",EOMONTH(요약!$B$3,0),$T106),EOMONTH(요약!$B$3,0))-MAX($S106,요약!$B$3)+1))</f>
        <v/>
      </c>
      <c r="Y106" s="10">
        <f>IF($B106="","",IF($AE106="","",IF(OR($S106="",$P106="",N($X106)&lt;=0),$AE106,IF($P106="다기관파견",$AE106,IF($AE106="구리병원",IF(AND($Q106&lt;&gt;"",N($X106)&gt;=요약!$E$3),$Q106,$AE106),IF(AND($P106="일반파견(단독)",$Q106&lt;&gt;""),$Q106,$AE106))))))</f>
        <v/>
      </c>
      <c r="Z106" s="17">
        <f>IF($B106="","",IF($AB106="","기본자료에 없는 사번",IF(COUNTIF($B$2:$B$201,$B106)&gt;1,"중복 사번",IF($M106="","입사장소 입력",IF(AND($P106&lt;&gt;"",$S106=""),"파견시작일 입력",IF(AND($S106&lt;&gt;"",$P106=""),"파견종류 입력",IF(AND($P106&lt;&gt;"",$P106&lt;&gt;"다기관파견",$Q106=""),"파견병원 입력",IF(IF($AC106="",0,N(INDEX(인턴근무계획!$T$3:$T$202,$AC106)))&gt;0,"인턴계획 입력오류 확인",IF(AND($AC106&lt;&gt;"",$U106&lt;&gt;"파견중",$N106&lt;&gt;$AE106),"인턴 타지역 근무: 파견 여부 확인","정상")))))))))</f>
        <v/>
      </c>
      <c r="AA106" s="5" t="n"/>
      <c r="AB106" s="10">
        <f>IF($B106="","",IFERROR(MATCH($B106,기본자료!$B$2:$B$501,0),IFERROR(MATCH($B106&amp;"",기본자료!$B$2:$B$501,0),IFERROR(MATCH(VALUE($B106),기본자료!$B$2:$B$501,0),""))))</f>
        <v/>
      </c>
      <c r="AC106" s="10">
        <f>IF($B106="","",IFERROR(MATCH($B106,인턴근무계획!$D$3:$D$202,0),IFERROR(MATCH($B106&amp;"",인턴근무계획!$D$3:$D$202,0),IFERROR(MATCH(VALUE($B106),인턴근무계획!$D$3:$D$202,0),""))))</f>
        <v/>
      </c>
      <c r="AD106" s="10">
        <f>IF(OR($AC106="",인턴현황!$G$3=""),"",INDEX(인턴근무계획!$M$3:$R$202,$AC106,인턴현황!$G$3)&amp;"")</f>
        <v/>
      </c>
      <c r="AE106" s="10">
        <f>IF($B106="","",IF($M106&lt;&gt;"",$M106,IF($H106="","",IF(RIGHT($H106,2)="병원",$H106,$H106&amp;"병원"))))</f>
        <v/>
      </c>
    </row>
    <row r="107">
      <c r="A107" s="10">
        <f>IF(B107="","",ROW()-1)</f>
        <v/>
      </c>
      <c r="B107" s="13" t="n"/>
      <c r="C107" s="10">
        <f>IF($AB107="","",IF(INDEX(기본자료!$C$2:$C$501,$AB107)="","",INDEX(기본자료!$C$2:$C$501,$AB107)))</f>
        <v/>
      </c>
      <c r="D107" s="10">
        <f>IF($AB107="","",IF(INDEX(기본자료!$J$2:$J$501,$AB107)="","",INDEX(기본자료!$J$2:$J$501,$AB107)))</f>
        <v/>
      </c>
      <c r="E107" s="11">
        <f>IF($AB107="","",IF(INDEX(기본자료!$K$2:$K$501,$AB107)="","",IF(NOT(ISNUMBER(INDEX(기본자료!$K$2:$K$501,$AB107))),INDEX(기본자료!$K$2:$K$501,$AB107),IF(INDEX(기본자료!$K$2:$K$501,$AB107)&lt;1000000,INDEX(기본자료!$K$2:$K$501,$AB107),IF(AND(INDEX(기본자료!$K$2:$K$501,$AB107)&gt;=10000101,INT(MOD(INDEX(기본자료!$K$2:$K$501,$AB107),10000)/100)&gt;=1,INT(MOD(INDEX(기본자료!$K$2:$K$501,$AB107),10000)/100)&lt;=12,MOD(INDEX(기본자료!$K$2:$K$501,$AB107),100)&gt;=1,MOD(INDEX(기본자료!$K$2:$K$501,$AB107),100)&lt;=31),DATE(INT(INDEX(기본자료!$K$2:$K$501,$AB107)/10000),INT(MOD(INDEX(기본자료!$K$2:$K$501,$AB107),10000)/100),MOD(INDEX(기본자료!$K$2:$K$501,$AB107),100)),INDEX(기본자료!$K$2:$K$501,$AB107)&amp;"")))))</f>
        <v/>
      </c>
      <c r="F107" s="10">
        <f>IF($AB107="","",IF(INDEX(기본자료!$D$2:$D$501,$AB107)="","",INDEX(기본자료!$D$2:$D$501,$AB107)))</f>
        <v/>
      </c>
      <c r="G107" s="10">
        <f>IF($AB107="","",IF(INDEX(기본자료!$E$2:$E$501,$AB107)="","",INDEX(기본자료!$E$2:$E$501,$AB107)))</f>
        <v/>
      </c>
      <c r="H107" s="10">
        <f>IF($AB107="","",IF(INDEX(기본자료!$F$2:$F$501,$AB107)="","",INDEX(기본자료!$F$2:$F$501,$AB107)))</f>
        <v/>
      </c>
      <c r="I107" s="11">
        <f>IF($AB107="","",IF(INDEX(기본자료!$G$2:$G$501,$AB107)="","",IF(NOT(ISNUMBER(INDEX(기본자료!$G$2:$G$501,$AB107))),INDEX(기본자료!$G$2:$G$501,$AB107),IF(INDEX(기본자료!$G$2:$G$501,$AB107)&lt;1000000,INDEX(기본자료!$G$2:$G$501,$AB107),IF(AND(INDEX(기본자료!$G$2:$G$501,$AB107)&gt;=10000101,INT(MOD(INDEX(기본자료!$G$2:$G$501,$AB107),10000)/100)&gt;=1,INT(MOD(INDEX(기본자료!$G$2:$G$501,$AB107),10000)/100)&lt;=12,MOD(INDEX(기본자료!$G$2:$G$501,$AB107),100)&gt;=1,MOD(INDEX(기본자료!$G$2:$G$501,$AB107),100)&lt;=31),DATE(INT(INDEX(기본자료!$G$2:$G$501,$AB107)/10000),INT(MOD(INDEX(기본자료!$G$2:$G$501,$AB107),10000)/100),MOD(INDEX(기본자료!$G$2:$G$501,$AB107),100)),INDEX(기본자료!$G$2:$G$501,$AB107)&amp;"")))))</f>
        <v/>
      </c>
      <c r="J107" s="10">
        <f>IF($AB107="","",IF(INDEX(기본자료!$H$2:$H$501,$AB107)="","",INDEX(기본자료!$H$2:$H$501,$AB107)))</f>
        <v/>
      </c>
      <c r="K107" s="10">
        <f>IF($AB107="","",IF(INDEX(기본자료!$I$2:$I$501,$AB107)="","",INDEX(기본자료!$I$2:$I$501,$AB107)))</f>
        <v/>
      </c>
      <c r="L107" s="10">
        <f>IF($AB107="","",IF(INDEX(기본자료!$A$2:$A$501,$AB107)="","",INDEX(기본자료!$A$2:$A$501,$AB107)))</f>
        <v/>
      </c>
      <c r="M107" s="14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4" t="n"/>
      <c r="Q107" s="14" t="n"/>
      <c r="R107" s="14" t="n"/>
      <c r="S107" s="15" t="n"/>
      <c r="T107" s="15" t="n"/>
      <c r="U107" s="10">
        <f>IF(OR($B107="",$S107=""),"",IF(TODAY()&lt;$S107,"파견예정",IF(AND($T107&lt;&gt;"",TODAY()&gt;$T107),"파견종료","파견중")))</f>
        <v/>
      </c>
      <c r="V107" s="16">
        <f>IF(OR($S107="",$T107=""),"",$T107-$S107+1)</f>
        <v/>
      </c>
      <c r="W107" s="16">
        <f>IF(AND($U107="파견중",$T107&lt;&gt;""),$T107-TODAY(),"")</f>
        <v/>
      </c>
      <c r="X107" s="16">
        <f>IF(OR($B107="",$S107=""),"",MAX(0,MIN(IF($T107="",EOMONTH(요약!$B$3,0),$T107),EOMONTH(요약!$B$3,0))-MAX($S107,요약!$B$3)+1))</f>
        <v/>
      </c>
      <c r="Y107" s="10">
        <f>IF($B107="","",IF($AE107="","",IF(OR($S107="",$P107="",N($X107)&lt;=0),$AE107,IF($P107="다기관파견",$AE107,IF($AE107="구리병원",IF(AND($Q107&lt;&gt;"",N($X107)&gt;=요약!$E$3),$Q107,$AE107),IF(AND($P107="일반파견(단독)",$Q107&lt;&gt;""),$Q107,$AE107))))))</f>
        <v/>
      </c>
      <c r="Z107" s="17">
        <f>IF($B107="","",IF($AB107="","기본자료에 없는 사번",IF(COUNTIF($B$2:$B$201,$B107)&gt;1,"중복 사번",IF($M107="","입사장소 입력",IF(AND($P107&lt;&gt;"",$S107=""),"파견시작일 입력",IF(AND($S107&lt;&gt;"",$P107=""),"파견종류 입력",IF(AND($P107&lt;&gt;"",$P107&lt;&gt;"다기관파견",$Q107=""),"파견병원 입력",IF(IF($AC107="",0,N(INDEX(인턴근무계획!$T$3:$T$202,$AC107)))&gt;0,"인턴계획 입력오류 확인",IF(AND($AC107&lt;&gt;"",$U107&lt;&gt;"파견중",$N107&lt;&gt;$AE107),"인턴 타지역 근무: 파견 여부 확인","정상")))))))))</f>
        <v/>
      </c>
      <c r="AA107" s="5" t="n"/>
      <c r="AB107" s="10">
        <f>IF($B107="","",IFERROR(MATCH($B107,기본자료!$B$2:$B$501,0),IFERROR(MATCH($B107&amp;"",기본자료!$B$2:$B$501,0),IFERROR(MATCH(VALUE($B107),기본자료!$B$2:$B$501,0),""))))</f>
        <v/>
      </c>
      <c r="AC107" s="10">
        <f>IF($B107="","",IFERROR(MATCH($B107,인턴근무계획!$D$3:$D$202,0),IFERROR(MATCH($B107&amp;"",인턴근무계획!$D$3:$D$202,0),IFERROR(MATCH(VALUE($B107),인턴근무계획!$D$3:$D$202,0),""))))</f>
        <v/>
      </c>
      <c r="AD107" s="10">
        <f>IF(OR($AC107="",인턴현황!$G$3=""),"",INDEX(인턴근무계획!$M$3:$R$202,$AC107,인턴현황!$G$3)&amp;"")</f>
        <v/>
      </c>
      <c r="AE107" s="10">
        <f>IF($B107="","",IF($M107&lt;&gt;"",$M107,IF($H107="","",IF(RIGHT($H107,2)="병원",$H107,$H107&amp;"병원"))))</f>
        <v/>
      </c>
    </row>
    <row r="108">
      <c r="A108" s="10">
        <f>IF(B108="","",ROW()-1)</f>
        <v/>
      </c>
      <c r="B108" s="13" t="n"/>
      <c r="C108" s="10">
        <f>IF($AB108="","",IF(INDEX(기본자료!$C$2:$C$501,$AB108)="","",INDEX(기본자료!$C$2:$C$501,$AB108)))</f>
        <v/>
      </c>
      <c r="D108" s="10">
        <f>IF($AB108="","",IF(INDEX(기본자료!$J$2:$J$501,$AB108)="","",INDEX(기본자료!$J$2:$J$501,$AB108)))</f>
        <v/>
      </c>
      <c r="E108" s="11">
        <f>IF($AB108="","",IF(INDEX(기본자료!$K$2:$K$501,$AB108)="","",IF(NOT(ISNUMBER(INDEX(기본자료!$K$2:$K$501,$AB108))),INDEX(기본자료!$K$2:$K$501,$AB108),IF(INDEX(기본자료!$K$2:$K$501,$AB108)&lt;1000000,INDEX(기본자료!$K$2:$K$501,$AB108),IF(AND(INDEX(기본자료!$K$2:$K$501,$AB108)&gt;=10000101,INT(MOD(INDEX(기본자료!$K$2:$K$501,$AB108),10000)/100)&gt;=1,INT(MOD(INDEX(기본자료!$K$2:$K$501,$AB108),10000)/100)&lt;=12,MOD(INDEX(기본자료!$K$2:$K$501,$AB108),100)&gt;=1,MOD(INDEX(기본자료!$K$2:$K$501,$AB108),100)&lt;=31),DATE(INT(INDEX(기본자료!$K$2:$K$501,$AB108)/10000),INT(MOD(INDEX(기본자료!$K$2:$K$501,$AB108),10000)/100),MOD(INDEX(기본자료!$K$2:$K$501,$AB108),100)),INDEX(기본자료!$K$2:$K$501,$AB108)&amp;"")))))</f>
        <v/>
      </c>
      <c r="F108" s="10">
        <f>IF($AB108="","",IF(INDEX(기본자료!$D$2:$D$501,$AB108)="","",INDEX(기본자료!$D$2:$D$501,$AB108)))</f>
        <v/>
      </c>
      <c r="G108" s="10">
        <f>IF($AB108="","",IF(INDEX(기본자료!$E$2:$E$501,$AB108)="","",INDEX(기본자료!$E$2:$E$501,$AB108)))</f>
        <v/>
      </c>
      <c r="H108" s="10">
        <f>IF($AB108="","",IF(INDEX(기본자료!$F$2:$F$501,$AB108)="","",INDEX(기본자료!$F$2:$F$501,$AB108)))</f>
        <v/>
      </c>
      <c r="I108" s="11">
        <f>IF($AB108="","",IF(INDEX(기본자료!$G$2:$G$501,$AB108)="","",IF(NOT(ISNUMBER(INDEX(기본자료!$G$2:$G$501,$AB108))),INDEX(기본자료!$G$2:$G$501,$AB108),IF(INDEX(기본자료!$G$2:$G$501,$AB108)&lt;1000000,INDEX(기본자료!$G$2:$G$501,$AB108),IF(AND(INDEX(기본자료!$G$2:$G$501,$AB108)&gt;=10000101,INT(MOD(INDEX(기본자료!$G$2:$G$501,$AB108),10000)/100)&gt;=1,INT(MOD(INDEX(기본자료!$G$2:$G$501,$AB108),10000)/100)&lt;=12,MOD(INDEX(기본자료!$G$2:$G$501,$AB108),100)&gt;=1,MOD(INDEX(기본자료!$G$2:$G$501,$AB108),100)&lt;=31),DATE(INT(INDEX(기본자료!$G$2:$G$501,$AB108)/10000),INT(MOD(INDEX(기본자료!$G$2:$G$501,$AB108),10000)/100),MOD(INDEX(기본자료!$G$2:$G$501,$AB108),100)),INDEX(기본자료!$G$2:$G$501,$AB108)&amp;"")))))</f>
        <v/>
      </c>
      <c r="J108" s="10">
        <f>IF($AB108="","",IF(INDEX(기본자료!$H$2:$H$501,$AB108)="","",INDEX(기본자료!$H$2:$H$501,$AB108)))</f>
        <v/>
      </c>
      <c r="K108" s="10">
        <f>IF($AB108="","",IF(INDEX(기본자료!$I$2:$I$501,$AB108)="","",INDEX(기본자료!$I$2:$I$501,$AB108)))</f>
        <v/>
      </c>
      <c r="L108" s="10">
        <f>IF($AB108="","",IF(INDEX(기본자료!$A$2:$A$501,$AB108)="","",INDEX(기본자료!$A$2:$A$501,$AB108)))</f>
        <v/>
      </c>
      <c r="M108" s="14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4" t="n"/>
      <c r="Q108" s="14" t="n"/>
      <c r="R108" s="14" t="n"/>
      <c r="S108" s="15" t="n"/>
      <c r="T108" s="15" t="n"/>
      <c r="U108" s="10">
        <f>IF(OR($B108="",$S108=""),"",IF(TODAY()&lt;$S108,"파견예정",IF(AND($T108&lt;&gt;"",TODAY()&gt;$T108),"파견종료","파견중")))</f>
        <v/>
      </c>
      <c r="V108" s="16">
        <f>IF(OR($S108="",$T108=""),"",$T108-$S108+1)</f>
        <v/>
      </c>
      <c r="W108" s="16">
        <f>IF(AND($U108="파견중",$T108&lt;&gt;""),$T108-TODAY(),"")</f>
        <v/>
      </c>
      <c r="X108" s="16">
        <f>IF(OR($B108="",$S108=""),"",MAX(0,MIN(IF($T108="",EOMONTH(요약!$B$3,0),$T108),EOMONTH(요약!$B$3,0))-MAX($S108,요약!$B$3)+1))</f>
        <v/>
      </c>
      <c r="Y108" s="10">
        <f>IF($B108="","",IF($AE108="","",IF(OR($S108="",$P108="",N($X108)&lt;=0),$AE108,IF($P108="다기관파견",$AE108,IF($AE108="구리병원",IF(AND($Q108&lt;&gt;"",N($X108)&gt;=요약!$E$3),$Q108,$AE108),IF(AND($P108="일반파견(단독)",$Q108&lt;&gt;""),$Q108,$AE108))))))</f>
        <v/>
      </c>
      <c r="Z108" s="17">
        <f>IF($B108="","",IF($AB108="","기본자료에 없는 사번",IF(COUNTIF($B$2:$B$201,$B108)&gt;1,"중복 사번",IF($M108="","입사장소 입력",IF(AND($P108&lt;&gt;"",$S108=""),"파견시작일 입력",IF(AND($S108&lt;&gt;"",$P108=""),"파견종류 입력",IF(AND($P108&lt;&gt;"",$P108&lt;&gt;"다기관파견",$Q108=""),"파견병원 입력",IF(IF($AC108="",0,N(INDEX(인턴근무계획!$T$3:$T$202,$AC108)))&gt;0,"인턴계획 입력오류 확인",IF(AND($AC108&lt;&gt;"",$U108&lt;&gt;"파견중",$N108&lt;&gt;$AE108),"인턴 타지역 근무: 파견 여부 확인","정상")))))))))</f>
        <v/>
      </c>
      <c r="AA108" s="5" t="n"/>
      <c r="AB108" s="10">
        <f>IF($B108="","",IFERROR(MATCH($B108,기본자료!$B$2:$B$501,0),IFERROR(MATCH($B108&amp;"",기본자료!$B$2:$B$501,0),IFERROR(MATCH(VALUE($B108),기본자료!$B$2:$B$501,0),""))))</f>
        <v/>
      </c>
      <c r="AC108" s="10">
        <f>IF($B108="","",IFERROR(MATCH($B108,인턴근무계획!$D$3:$D$202,0),IFERROR(MATCH($B108&amp;"",인턴근무계획!$D$3:$D$202,0),IFERROR(MATCH(VALUE($B108),인턴근무계획!$D$3:$D$202,0),""))))</f>
        <v/>
      </c>
      <c r="AD108" s="10">
        <f>IF(OR($AC108="",인턴현황!$G$3=""),"",INDEX(인턴근무계획!$M$3:$R$202,$AC108,인턴현황!$G$3)&amp;"")</f>
        <v/>
      </c>
      <c r="AE108" s="10">
        <f>IF($B108="","",IF($M108&lt;&gt;"",$M108,IF($H108="","",IF(RIGHT($H108,2)="병원",$H108,$H108&amp;"병원"))))</f>
        <v/>
      </c>
    </row>
    <row r="109">
      <c r="A109" s="10">
        <f>IF(B109="","",ROW()-1)</f>
        <v/>
      </c>
      <c r="B109" s="13" t="n"/>
      <c r="C109" s="10">
        <f>IF($AB109="","",IF(INDEX(기본자료!$C$2:$C$501,$AB109)="","",INDEX(기본자료!$C$2:$C$501,$AB109)))</f>
        <v/>
      </c>
      <c r="D109" s="10">
        <f>IF($AB109="","",IF(INDEX(기본자료!$J$2:$J$501,$AB109)="","",INDEX(기본자료!$J$2:$J$501,$AB109)))</f>
        <v/>
      </c>
      <c r="E109" s="11">
        <f>IF($AB109="","",IF(INDEX(기본자료!$K$2:$K$501,$AB109)="","",IF(NOT(ISNUMBER(INDEX(기본자료!$K$2:$K$501,$AB109))),INDEX(기본자료!$K$2:$K$501,$AB109),IF(INDEX(기본자료!$K$2:$K$501,$AB109)&lt;1000000,INDEX(기본자료!$K$2:$K$501,$AB109),IF(AND(INDEX(기본자료!$K$2:$K$501,$AB109)&gt;=10000101,INT(MOD(INDEX(기본자료!$K$2:$K$501,$AB109),10000)/100)&gt;=1,INT(MOD(INDEX(기본자료!$K$2:$K$501,$AB109),10000)/100)&lt;=12,MOD(INDEX(기본자료!$K$2:$K$501,$AB109),100)&gt;=1,MOD(INDEX(기본자료!$K$2:$K$501,$AB109),100)&lt;=31),DATE(INT(INDEX(기본자료!$K$2:$K$501,$AB109)/10000),INT(MOD(INDEX(기본자료!$K$2:$K$501,$AB109),10000)/100),MOD(INDEX(기본자료!$K$2:$K$501,$AB109),100)),INDEX(기본자료!$K$2:$K$501,$AB109)&amp;"")))))</f>
        <v/>
      </c>
      <c r="F109" s="10">
        <f>IF($AB109="","",IF(INDEX(기본자료!$D$2:$D$501,$AB109)="","",INDEX(기본자료!$D$2:$D$501,$AB109)))</f>
        <v/>
      </c>
      <c r="G109" s="10">
        <f>IF($AB109="","",IF(INDEX(기본자료!$E$2:$E$501,$AB109)="","",INDEX(기본자료!$E$2:$E$501,$AB109)))</f>
        <v/>
      </c>
      <c r="H109" s="10">
        <f>IF($AB109="","",IF(INDEX(기본자료!$F$2:$F$501,$AB109)="","",INDEX(기본자료!$F$2:$F$501,$AB109)))</f>
        <v/>
      </c>
      <c r="I109" s="11">
        <f>IF($AB109="","",IF(INDEX(기본자료!$G$2:$G$501,$AB109)="","",IF(NOT(ISNUMBER(INDEX(기본자료!$G$2:$G$501,$AB109))),INDEX(기본자료!$G$2:$G$501,$AB109),IF(INDEX(기본자료!$G$2:$G$501,$AB109)&lt;1000000,INDEX(기본자료!$G$2:$G$501,$AB109),IF(AND(INDEX(기본자료!$G$2:$G$501,$AB109)&gt;=10000101,INT(MOD(INDEX(기본자료!$G$2:$G$501,$AB109),10000)/100)&gt;=1,INT(MOD(INDEX(기본자료!$G$2:$G$501,$AB109),10000)/100)&lt;=12,MOD(INDEX(기본자료!$G$2:$G$501,$AB109),100)&gt;=1,MOD(INDEX(기본자료!$G$2:$G$501,$AB109),100)&lt;=31),DATE(INT(INDEX(기본자료!$G$2:$G$501,$AB109)/10000),INT(MOD(INDEX(기본자료!$G$2:$G$501,$AB109),10000)/100),MOD(INDEX(기본자료!$G$2:$G$501,$AB109),100)),INDEX(기본자료!$G$2:$G$501,$AB109)&amp;"")))))</f>
        <v/>
      </c>
      <c r="J109" s="10">
        <f>IF($AB109="","",IF(INDEX(기본자료!$H$2:$H$501,$AB109)="","",INDEX(기본자료!$H$2:$H$501,$AB109)))</f>
        <v/>
      </c>
      <c r="K109" s="10">
        <f>IF($AB109="","",IF(INDEX(기본자료!$I$2:$I$501,$AB109)="","",INDEX(기본자료!$I$2:$I$501,$AB109)))</f>
        <v/>
      </c>
      <c r="L109" s="10">
        <f>IF($AB109="","",IF(INDEX(기본자료!$A$2:$A$501,$AB109)="","",INDEX(기본자료!$A$2:$A$501,$AB109)))</f>
        <v/>
      </c>
      <c r="M109" s="14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4" t="n"/>
      <c r="Q109" s="14" t="n"/>
      <c r="R109" s="14" t="n"/>
      <c r="S109" s="15" t="n"/>
      <c r="T109" s="15" t="n"/>
      <c r="U109" s="10">
        <f>IF(OR($B109="",$S109=""),"",IF(TODAY()&lt;$S109,"파견예정",IF(AND($T109&lt;&gt;"",TODAY()&gt;$T109),"파견종료","파견중")))</f>
        <v/>
      </c>
      <c r="V109" s="16">
        <f>IF(OR($S109="",$T109=""),"",$T109-$S109+1)</f>
        <v/>
      </c>
      <c r="W109" s="16">
        <f>IF(AND($U109="파견중",$T109&lt;&gt;""),$T109-TODAY(),"")</f>
        <v/>
      </c>
      <c r="X109" s="16">
        <f>IF(OR($B109="",$S109=""),"",MAX(0,MIN(IF($T109="",EOMONTH(요약!$B$3,0),$T109),EOMONTH(요약!$B$3,0))-MAX($S109,요약!$B$3)+1))</f>
        <v/>
      </c>
      <c r="Y109" s="10">
        <f>IF($B109="","",IF($AE109="","",IF(OR($S109="",$P109="",N($X109)&lt;=0),$AE109,IF($P109="다기관파견",$AE109,IF($AE109="구리병원",IF(AND($Q109&lt;&gt;"",N($X109)&gt;=요약!$E$3),$Q109,$AE109),IF(AND($P109="일반파견(단독)",$Q109&lt;&gt;""),$Q109,$AE109))))))</f>
        <v/>
      </c>
      <c r="Z109" s="17">
        <f>IF($B109="","",IF($AB109="","기본자료에 없는 사번",IF(COUNTIF($B$2:$B$201,$B109)&gt;1,"중복 사번",IF($M109="","입사장소 입력",IF(AND($P109&lt;&gt;"",$S109=""),"파견시작일 입력",IF(AND($S109&lt;&gt;"",$P109=""),"파견종류 입력",IF(AND($P109&lt;&gt;"",$P109&lt;&gt;"다기관파견",$Q109=""),"파견병원 입력",IF(IF($AC109="",0,N(INDEX(인턴근무계획!$T$3:$T$202,$AC109)))&gt;0,"인턴계획 입력오류 확인",IF(AND($AC109&lt;&gt;"",$U109&lt;&gt;"파견중",$N109&lt;&gt;$AE109),"인턴 타지역 근무: 파견 여부 확인","정상")))))))))</f>
        <v/>
      </c>
      <c r="AA109" s="5" t="n"/>
      <c r="AB109" s="10">
        <f>IF($B109="","",IFERROR(MATCH($B109,기본자료!$B$2:$B$501,0),IFERROR(MATCH($B109&amp;"",기본자료!$B$2:$B$501,0),IFERROR(MATCH(VALUE($B109),기본자료!$B$2:$B$501,0),""))))</f>
        <v/>
      </c>
      <c r="AC109" s="10">
        <f>IF($B109="","",IFERROR(MATCH($B109,인턴근무계획!$D$3:$D$202,0),IFERROR(MATCH($B109&amp;"",인턴근무계획!$D$3:$D$202,0),IFERROR(MATCH(VALUE($B109),인턴근무계획!$D$3:$D$202,0),""))))</f>
        <v/>
      </c>
      <c r="AD109" s="10">
        <f>IF(OR($AC109="",인턴현황!$G$3=""),"",INDEX(인턴근무계획!$M$3:$R$202,$AC109,인턴현황!$G$3)&amp;"")</f>
        <v/>
      </c>
      <c r="AE109" s="10">
        <f>IF($B109="","",IF($M109&lt;&gt;"",$M109,IF($H109="","",IF(RIGHT($H109,2)="병원",$H109,$H109&amp;"병원"))))</f>
        <v/>
      </c>
    </row>
    <row r="110">
      <c r="A110" s="10">
        <f>IF(B110="","",ROW()-1)</f>
        <v/>
      </c>
      <c r="B110" s="13" t="n"/>
      <c r="C110" s="10">
        <f>IF($AB110="","",IF(INDEX(기본자료!$C$2:$C$501,$AB110)="","",INDEX(기본자료!$C$2:$C$501,$AB110)))</f>
        <v/>
      </c>
      <c r="D110" s="10">
        <f>IF($AB110="","",IF(INDEX(기본자료!$J$2:$J$501,$AB110)="","",INDEX(기본자료!$J$2:$J$501,$AB110)))</f>
        <v/>
      </c>
      <c r="E110" s="11">
        <f>IF($AB110="","",IF(INDEX(기본자료!$K$2:$K$501,$AB110)="","",IF(NOT(ISNUMBER(INDEX(기본자료!$K$2:$K$501,$AB110))),INDEX(기본자료!$K$2:$K$501,$AB110),IF(INDEX(기본자료!$K$2:$K$501,$AB110)&lt;1000000,INDEX(기본자료!$K$2:$K$501,$AB110),IF(AND(INDEX(기본자료!$K$2:$K$501,$AB110)&gt;=10000101,INT(MOD(INDEX(기본자료!$K$2:$K$501,$AB110),10000)/100)&gt;=1,INT(MOD(INDEX(기본자료!$K$2:$K$501,$AB110),10000)/100)&lt;=12,MOD(INDEX(기본자료!$K$2:$K$501,$AB110),100)&gt;=1,MOD(INDEX(기본자료!$K$2:$K$501,$AB110),100)&lt;=31),DATE(INT(INDEX(기본자료!$K$2:$K$501,$AB110)/10000),INT(MOD(INDEX(기본자료!$K$2:$K$501,$AB110),10000)/100),MOD(INDEX(기본자료!$K$2:$K$501,$AB110),100)),INDEX(기본자료!$K$2:$K$501,$AB110)&amp;"")))))</f>
        <v/>
      </c>
      <c r="F110" s="10">
        <f>IF($AB110="","",IF(INDEX(기본자료!$D$2:$D$501,$AB110)="","",INDEX(기본자료!$D$2:$D$501,$AB110)))</f>
        <v/>
      </c>
      <c r="G110" s="10">
        <f>IF($AB110="","",IF(INDEX(기본자료!$E$2:$E$501,$AB110)="","",INDEX(기본자료!$E$2:$E$501,$AB110)))</f>
        <v/>
      </c>
      <c r="H110" s="10">
        <f>IF($AB110="","",IF(INDEX(기본자료!$F$2:$F$501,$AB110)="","",INDEX(기본자료!$F$2:$F$501,$AB110)))</f>
        <v/>
      </c>
      <c r="I110" s="11">
        <f>IF($AB110="","",IF(INDEX(기본자료!$G$2:$G$501,$AB110)="","",IF(NOT(ISNUMBER(INDEX(기본자료!$G$2:$G$501,$AB110))),INDEX(기본자료!$G$2:$G$501,$AB110),IF(INDEX(기본자료!$G$2:$G$501,$AB110)&lt;1000000,INDEX(기본자료!$G$2:$G$501,$AB110),IF(AND(INDEX(기본자료!$G$2:$G$501,$AB110)&gt;=10000101,INT(MOD(INDEX(기본자료!$G$2:$G$501,$AB110),10000)/100)&gt;=1,INT(MOD(INDEX(기본자료!$G$2:$G$501,$AB110),10000)/100)&lt;=12,MOD(INDEX(기본자료!$G$2:$G$501,$AB110),100)&gt;=1,MOD(INDEX(기본자료!$G$2:$G$501,$AB110),100)&lt;=31),DATE(INT(INDEX(기본자료!$G$2:$G$501,$AB110)/10000),INT(MOD(INDEX(기본자료!$G$2:$G$501,$AB110),10000)/100),MOD(INDEX(기본자료!$G$2:$G$501,$AB110),100)),INDEX(기본자료!$G$2:$G$501,$AB110)&amp;"")))))</f>
        <v/>
      </c>
      <c r="J110" s="10">
        <f>IF($AB110="","",IF(INDEX(기본자료!$H$2:$H$501,$AB110)="","",INDEX(기본자료!$H$2:$H$501,$AB110)))</f>
        <v/>
      </c>
      <c r="K110" s="10">
        <f>IF($AB110="","",IF(INDEX(기본자료!$I$2:$I$501,$AB110)="","",INDEX(기본자료!$I$2:$I$501,$AB110)))</f>
        <v/>
      </c>
      <c r="L110" s="10">
        <f>IF($AB110="","",IF(INDEX(기본자료!$A$2:$A$501,$AB110)="","",INDEX(기본자료!$A$2:$A$501,$AB110)))</f>
        <v/>
      </c>
      <c r="M110" s="14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4" t="n"/>
      <c r="Q110" s="14" t="n"/>
      <c r="R110" s="14" t="n"/>
      <c r="S110" s="15" t="n"/>
      <c r="T110" s="15" t="n"/>
      <c r="U110" s="10">
        <f>IF(OR($B110="",$S110=""),"",IF(TODAY()&lt;$S110,"파견예정",IF(AND($T110&lt;&gt;"",TODAY()&gt;$T110),"파견종료","파견중")))</f>
        <v/>
      </c>
      <c r="V110" s="16">
        <f>IF(OR($S110="",$T110=""),"",$T110-$S110+1)</f>
        <v/>
      </c>
      <c r="W110" s="16">
        <f>IF(AND($U110="파견중",$T110&lt;&gt;""),$T110-TODAY(),"")</f>
        <v/>
      </c>
      <c r="X110" s="16">
        <f>IF(OR($B110="",$S110=""),"",MAX(0,MIN(IF($T110="",EOMONTH(요약!$B$3,0),$T110),EOMONTH(요약!$B$3,0))-MAX($S110,요약!$B$3)+1))</f>
        <v/>
      </c>
      <c r="Y110" s="10">
        <f>IF($B110="","",IF($AE110="","",IF(OR($S110="",$P110="",N($X110)&lt;=0),$AE110,IF($P110="다기관파견",$AE110,IF($AE110="구리병원",IF(AND($Q110&lt;&gt;"",N($X110)&gt;=요약!$E$3),$Q110,$AE110),IF(AND($P110="일반파견(단독)",$Q110&lt;&gt;""),$Q110,$AE110))))))</f>
        <v/>
      </c>
      <c r="Z110" s="17">
        <f>IF($B110="","",IF($AB110="","기본자료에 없는 사번",IF(COUNTIF($B$2:$B$201,$B110)&gt;1,"중복 사번",IF($M110="","입사장소 입력",IF(AND($P110&lt;&gt;"",$S110=""),"파견시작일 입력",IF(AND($S110&lt;&gt;"",$P110=""),"파견종류 입력",IF(AND($P110&lt;&gt;"",$P110&lt;&gt;"다기관파견",$Q110=""),"파견병원 입력",IF(IF($AC110="",0,N(INDEX(인턴근무계획!$T$3:$T$202,$AC110)))&gt;0,"인턴계획 입력오류 확인",IF(AND($AC110&lt;&gt;"",$U110&lt;&gt;"파견중",$N110&lt;&gt;$AE110),"인턴 타지역 근무: 파견 여부 확인","정상")))))))))</f>
        <v/>
      </c>
      <c r="AA110" s="5" t="n"/>
      <c r="AB110" s="10">
        <f>IF($B110="","",IFERROR(MATCH($B110,기본자료!$B$2:$B$501,0),IFERROR(MATCH($B110&amp;"",기본자료!$B$2:$B$501,0),IFERROR(MATCH(VALUE($B110),기본자료!$B$2:$B$501,0),""))))</f>
        <v/>
      </c>
      <c r="AC110" s="10">
        <f>IF($B110="","",IFERROR(MATCH($B110,인턴근무계획!$D$3:$D$202,0),IFERROR(MATCH($B110&amp;"",인턴근무계획!$D$3:$D$202,0),IFERROR(MATCH(VALUE($B110),인턴근무계획!$D$3:$D$202,0),""))))</f>
        <v/>
      </c>
      <c r="AD110" s="10">
        <f>IF(OR($AC110="",인턴현황!$G$3=""),"",INDEX(인턴근무계획!$M$3:$R$202,$AC110,인턴현황!$G$3)&amp;"")</f>
        <v/>
      </c>
      <c r="AE110" s="10">
        <f>IF($B110="","",IF($M110&lt;&gt;"",$M110,IF($H110="","",IF(RIGHT($H110,2)="병원",$H110,$H110&amp;"병원"))))</f>
        <v/>
      </c>
    </row>
    <row r="111">
      <c r="A111" s="10">
        <f>IF(B111="","",ROW()-1)</f>
        <v/>
      </c>
      <c r="B111" s="13" t="n"/>
      <c r="C111" s="10">
        <f>IF($AB111="","",IF(INDEX(기본자료!$C$2:$C$501,$AB111)="","",INDEX(기본자료!$C$2:$C$501,$AB111)))</f>
        <v/>
      </c>
      <c r="D111" s="10">
        <f>IF($AB111="","",IF(INDEX(기본자료!$J$2:$J$501,$AB111)="","",INDEX(기본자료!$J$2:$J$501,$AB111)))</f>
        <v/>
      </c>
      <c r="E111" s="11">
        <f>IF($AB111="","",IF(INDEX(기본자료!$K$2:$K$501,$AB111)="","",IF(NOT(ISNUMBER(INDEX(기본자료!$K$2:$K$501,$AB111))),INDEX(기본자료!$K$2:$K$501,$AB111),IF(INDEX(기본자료!$K$2:$K$501,$AB111)&lt;1000000,INDEX(기본자료!$K$2:$K$501,$AB111),IF(AND(INDEX(기본자료!$K$2:$K$501,$AB111)&gt;=10000101,INT(MOD(INDEX(기본자료!$K$2:$K$501,$AB111),10000)/100)&gt;=1,INT(MOD(INDEX(기본자료!$K$2:$K$501,$AB111),10000)/100)&lt;=12,MOD(INDEX(기본자료!$K$2:$K$501,$AB111),100)&gt;=1,MOD(INDEX(기본자료!$K$2:$K$501,$AB111),100)&lt;=31),DATE(INT(INDEX(기본자료!$K$2:$K$501,$AB111)/10000),INT(MOD(INDEX(기본자료!$K$2:$K$501,$AB111),10000)/100),MOD(INDEX(기본자료!$K$2:$K$501,$AB111),100)),INDEX(기본자료!$K$2:$K$501,$AB111)&amp;"")))))</f>
        <v/>
      </c>
      <c r="F111" s="10">
        <f>IF($AB111="","",IF(INDEX(기본자료!$D$2:$D$501,$AB111)="","",INDEX(기본자료!$D$2:$D$501,$AB111)))</f>
        <v/>
      </c>
      <c r="G111" s="10">
        <f>IF($AB111="","",IF(INDEX(기본자료!$E$2:$E$501,$AB111)="","",INDEX(기본자료!$E$2:$E$501,$AB111)))</f>
        <v/>
      </c>
      <c r="H111" s="10">
        <f>IF($AB111="","",IF(INDEX(기본자료!$F$2:$F$501,$AB111)="","",INDEX(기본자료!$F$2:$F$501,$AB111)))</f>
        <v/>
      </c>
      <c r="I111" s="11">
        <f>IF($AB111="","",IF(INDEX(기본자료!$G$2:$G$501,$AB111)="","",IF(NOT(ISNUMBER(INDEX(기본자료!$G$2:$G$501,$AB111))),INDEX(기본자료!$G$2:$G$501,$AB111),IF(INDEX(기본자료!$G$2:$G$501,$AB111)&lt;1000000,INDEX(기본자료!$G$2:$G$501,$AB111),IF(AND(INDEX(기본자료!$G$2:$G$501,$AB111)&gt;=10000101,INT(MOD(INDEX(기본자료!$G$2:$G$501,$AB111),10000)/100)&gt;=1,INT(MOD(INDEX(기본자료!$G$2:$G$501,$AB111),10000)/100)&lt;=12,MOD(INDEX(기본자료!$G$2:$G$501,$AB111),100)&gt;=1,MOD(INDEX(기본자료!$G$2:$G$501,$AB111),100)&lt;=31),DATE(INT(INDEX(기본자료!$G$2:$G$501,$AB111)/10000),INT(MOD(INDEX(기본자료!$G$2:$G$501,$AB111),10000)/100),MOD(INDEX(기본자료!$G$2:$G$501,$AB111),100)),INDEX(기본자료!$G$2:$G$501,$AB111)&amp;"")))))</f>
        <v/>
      </c>
      <c r="J111" s="10">
        <f>IF($AB111="","",IF(INDEX(기본자료!$H$2:$H$501,$AB111)="","",INDEX(기본자료!$H$2:$H$501,$AB111)))</f>
        <v/>
      </c>
      <c r="K111" s="10">
        <f>IF($AB111="","",IF(INDEX(기본자료!$I$2:$I$501,$AB111)="","",INDEX(기본자료!$I$2:$I$501,$AB111)))</f>
        <v/>
      </c>
      <c r="L111" s="10">
        <f>IF($AB111="","",IF(INDEX(기본자료!$A$2:$A$501,$AB111)="","",INDEX(기본자료!$A$2:$A$501,$AB111)))</f>
        <v/>
      </c>
      <c r="M111" s="14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4" t="n"/>
      <c r="Q111" s="14" t="n"/>
      <c r="R111" s="14" t="n"/>
      <c r="S111" s="15" t="n"/>
      <c r="T111" s="15" t="n"/>
      <c r="U111" s="10">
        <f>IF(OR($B111="",$S111=""),"",IF(TODAY()&lt;$S111,"파견예정",IF(AND($T111&lt;&gt;"",TODAY()&gt;$T111),"파견종료","파견중")))</f>
        <v/>
      </c>
      <c r="V111" s="16">
        <f>IF(OR($S111="",$T111=""),"",$T111-$S111+1)</f>
        <v/>
      </c>
      <c r="W111" s="16">
        <f>IF(AND($U111="파견중",$T111&lt;&gt;""),$T111-TODAY(),"")</f>
        <v/>
      </c>
      <c r="X111" s="16">
        <f>IF(OR($B111="",$S111=""),"",MAX(0,MIN(IF($T111="",EOMONTH(요약!$B$3,0),$T111),EOMONTH(요약!$B$3,0))-MAX($S111,요약!$B$3)+1))</f>
        <v/>
      </c>
      <c r="Y111" s="10">
        <f>IF($B111="","",IF($AE111="","",IF(OR($S111="",$P111="",N($X111)&lt;=0),$AE111,IF($P111="다기관파견",$AE111,IF($AE111="구리병원",IF(AND($Q111&lt;&gt;"",N($X111)&gt;=요약!$E$3),$Q111,$AE111),IF(AND($P111="일반파견(단독)",$Q111&lt;&gt;""),$Q111,$AE111))))))</f>
        <v/>
      </c>
      <c r="Z111" s="17">
        <f>IF($B111="","",IF($AB111="","기본자료에 없는 사번",IF(COUNTIF($B$2:$B$201,$B111)&gt;1,"중복 사번",IF($M111="","입사장소 입력",IF(AND($P111&lt;&gt;"",$S111=""),"파견시작일 입력",IF(AND($S111&lt;&gt;"",$P111=""),"파견종류 입력",IF(AND($P111&lt;&gt;"",$P111&lt;&gt;"다기관파견",$Q111=""),"파견병원 입력",IF(IF($AC111="",0,N(INDEX(인턴근무계획!$T$3:$T$202,$AC111)))&gt;0,"인턴계획 입력오류 확인",IF(AND($AC111&lt;&gt;"",$U111&lt;&gt;"파견중",$N111&lt;&gt;$AE111),"인턴 타지역 근무: 파견 여부 확인","정상")))))))))</f>
        <v/>
      </c>
      <c r="AA111" s="5" t="n"/>
      <c r="AB111" s="10">
        <f>IF($B111="","",IFERROR(MATCH($B111,기본자료!$B$2:$B$501,0),IFERROR(MATCH($B111&amp;"",기본자료!$B$2:$B$501,0),IFERROR(MATCH(VALUE($B111),기본자료!$B$2:$B$501,0),""))))</f>
        <v/>
      </c>
      <c r="AC111" s="10">
        <f>IF($B111="","",IFERROR(MATCH($B111,인턴근무계획!$D$3:$D$202,0),IFERROR(MATCH($B111&amp;"",인턴근무계획!$D$3:$D$202,0),IFERROR(MATCH(VALUE($B111),인턴근무계획!$D$3:$D$202,0),""))))</f>
        <v/>
      </c>
      <c r="AD111" s="10">
        <f>IF(OR($AC111="",인턴현황!$G$3=""),"",INDEX(인턴근무계획!$M$3:$R$202,$AC111,인턴현황!$G$3)&amp;"")</f>
        <v/>
      </c>
      <c r="AE111" s="10">
        <f>IF($B111="","",IF($M111&lt;&gt;"",$M111,IF($H111="","",IF(RIGHT($H111,2)="병원",$H111,$H111&amp;"병원"))))</f>
        <v/>
      </c>
    </row>
    <row r="112">
      <c r="A112" s="10">
        <f>IF(B112="","",ROW()-1)</f>
        <v/>
      </c>
      <c r="B112" s="13" t="n"/>
      <c r="C112" s="10">
        <f>IF($AB112="","",IF(INDEX(기본자료!$C$2:$C$501,$AB112)="","",INDEX(기본자료!$C$2:$C$501,$AB112)))</f>
        <v/>
      </c>
      <c r="D112" s="10">
        <f>IF($AB112="","",IF(INDEX(기본자료!$J$2:$J$501,$AB112)="","",INDEX(기본자료!$J$2:$J$501,$AB112)))</f>
        <v/>
      </c>
      <c r="E112" s="11">
        <f>IF($AB112="","",IF(INDEX(기본자료!$K$2:$K$501,$AB112)="","",IF(NOT(ISNUMBER(INDEX(기본자료!$K$2:$K$501,$AB112))),INDEX(기본자료!$K$2:$K$501,$AB112),IF(INDEX(기본자료!$K$2:$K$501,$AB112)&lt;1000000,INDEX(기본자료!$K$2:$K$501,$AB112),IF(AND(INDEX(기본자료!$K$2:$K$501,$AB112)&gt;=10000101,INT(MOD(INDEX(기본자료!$K$2:$K$501,$AB112),10000)/100)&gt;=1,INT(MOD(INDEX(기본자료!$K$2:$K$501,$AB112),10000)/100)&lt;=12,MOD(INDEX(기본자료!$K$2:$K$501,$AB112),100)&gt;=1,MOD(INDEX(기본자료!$K$2:$K$501,$AB112),100)&lt;=31),DATE(INT(INDEX(기본자료!$K$2:$K$501,$AB112)/10000),INT(MOD(INDEX(기본자료!$K$2:$K$501,$AB112),10000)/100),MOD(INDEX(기본자료!$K$2:$K$501,$AB112),100)),INDEX(기본자료!$K$2:$K$501,$AB112)&amp;"")))))</f>
        <v/>
      </c>
      <c r="F112" s="10">
        <f>IF($AB112="","",IF(INDEX(기본자료!$D$2:$D$501,$AB112)="","",INDEX(기본자료!$D$2:$D$501,$AB112)))</f>
        <v/>
      </c>
      <c r="G112" s="10">
        <f>IF($AB112="","",IF(INDEX(기본자료!$E$2:$E$501,$AB112)="","",INDEX(기본자료!$E$2:$E$501,$AB112)))</f>
        <v/>
      </c>
      <c r="H112" s="10">
        <f>IF($AB112="","",IF(INDEX(기본자료!$F$2:$F$501,$AB112)="","",INDEX(기본자료!$F$2:$F$501,$AB112)))</f>
        <v/>
      </c>
      <c r="I112" s="11">
        <f>IF($AB112="","",IF(INDEX(기본자료!$G$2:$G$501,$AB112)="","",IF(NOT(ISNUMBER(INDEX(기본자료!$G$2:$G$501,$AB112))),INDEX(기본자료!$G$2:$G$501,$AB112),IF(INDEX(기본자료!$G$2:$G$501,$AB112)&lt;1000000,INDEX(기본자료!$G$2:$G$501,$AB112),IF(AND(INDEX(기본자료!$G$2:$G$501,$AB112)&gt;=10000101,INT(MOD(INDEX(기본자료!$G$2:$G$501,$AB112),10000)/100)&gt;=1,INT(MOD(INDEX(기본자료!$G$2:$G$501,$AB112),10000)/100)&lt;=12,MOD(INDEX(기본자료!$G$2:$G$501,$AB112),100)&gt;=1,MOD(INDEX(기본자료!$G$2:$G$501,$AB112),100)&lt;=31),DATE(INT(INDEX(기본자료!$G$2:$G$501,$AB112)/10000),INT(MOD(INDEX(기본자료!$G$2:$G$501,$AB112),10000)/100),MOD(INDEX(기본자료!$G$2:$G$501,$AB112),100)),INDEX(기본자료!$G$2:$G$501,$AB112)&amp;"")))))</f>
        <v/>
      </c>
      <c r="J112" s="10">
        <f>IF($AB112="","",IF(INDEX(기본자료!$H$2:$H$501,$AB112)="","",INDEX(기본자료!$H$2:$H$501,$AB112)))</f>
        <v/>
      </c>
      <c r="K112" s="10">
        <f>IF($AB112="","",IF(INDEX(기본자료!$I$2:$I$501,$AB112)="","",INDEX(기본자료!$I$2:$I$501,$AB112)))</f>
        <v/>
      </c>
      <c r="L112" s="10">
        <f>IF($AB112="","",IF(INDEX(기본자료!$A$2:$A$501,$AB112)="","",INDEX(기본자료!$A$2:$A$501,$AB112)))</f>
        <v/>
      </c>
      <c r="M112" s="14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4" t="n"/>
      <c r="Q112" s="14" t="n"/>
      <c r="R112" s="14" t="n"/>
      <c r="S112" s="15" t="n"/>
      <c r="T112" s="15" t="n"/>
      <c r="U112" s="10">
        <f>IF(OR($B112="",$S112=""),"",IF(TODAY()&lt;$S112,"파견예정",IF(AND($T112&lt;&gt;"",TODAY()&gt;$T112),"파견종료","파견중")))</f>
        <v/>
      </c>
      <c r="V112" s="16">
        <f>IF(OR($S112="",$T112=""),"",$T112-$S112+1)</f>
        <v/>
      </c>
      <c r="W112" s="16">
        <f>IF(AND($U112="파견중",$T112&lt;&gt;""),$T112-TODAY(),"")</f>
        <v/>
      </c>
      <c r="X112" s="16">
        <f>IF(OR($B112="",$S112=""),"",MAX(0,MIN(IF($T112="",EOMONTH(요약!$B$3,0),$T112),EOMONTH(요약!$B$3,0))-MAX($S112,요약!$B$3)+1))</f>
        <v/>
      </c>
      <c r="Y112" s="10">
        <f>IF($B112="","",IF($AE112="","",IF(OR($S112="",$P112="",N($X112)&lt;=0),$AE112,IF($P112="다기관파견",$AE112,IF($AE112="구리병원",IF(AND($Q112&lt;&gt;"",N($X112)&gt;=요약!$E$3),$Q112,$AE112),IF(AND($P112="일반파견(단독)",$Q112&lt;&gt;""),$Q112,$AE112))))))</f>
        <v/>
      </c>
      <c r="Z112" s="17">
        <f>IF($B112="","",IF($AB112="","기본자료에 없는 사번",IF(COUNTIF($B$2:$B$201,$B112)&gt;1,"중복 사번",IF($M112="","입사장소 입력",IF(AND($P112&lt;&gt;"",$S112=""),"파견시작일 입력",IF(AND($S112&lt;&gt;"",$P112=""),"파견종류 입력",IF(AND($P112&lt;&gt;"",$P112&lt;&gt;"다기관파견",$Q112=""),"파견병원 입력",IF(IF($AC112="",0,N(INDEX(인턴근무계획!$T$3:$T$202,$AC112)))&gt;0,"인턴계획 입력오류 확인",IF(AND($AC112&lt;&gt;"",$U112&lt;&gt;"파견중",$N112&lt;&gt;$AE112),"인턴 타지역 근무: 파견 여부 확인","정상")))))))))</f>
        <v/>
      </c>
      <c r="AA112" s="5" t="n"/>
      <c r="AB112" s="10">
        <f>IF($B112="","",IFERROR(MATCH($B112,기본자료!$B$2:$B$501,0),IFERROR(MATCH($B112&amp;"",기본자료!$B$2:$B$501,0),IFERROR(MATCH(VALUE($B112),기본자료!$B$2:$B$501,0),""))))</f>
        <v/>
      </c>
      <c r="AC112" s="10">
        <f>IF($B112="","",IFERROR(MATCH($B112,인턴근무계획!$D$3:$D$202,0),IFERROR(MATCH($B112&amp;"",인턴근무계획!$D$3:$D$202,0),IFERROR(MATCH(VALUE($B112),인턴근무계획!$D$3:$D$202,0),""))))</f>
        <v/>
      </c>
      <c r="AD112" s="10">
        <f>IF(OR($AC112="",인턴현황!$G$3=""),"",INDEX(인턴근무계획!$M$3:$R$202,$AC112,인턴현황!$G$3)&amp;"")</f>
        <v/>
      </c>
      <c r="AE112" s="10">
        <f>IF($B112="","",IF($M112&lt;&gt;"",$M112,IF($H112="","",IF(RIGHT($H112,2)="병원",$H112,$H112&amp;"병원"))))</f>
        <v/>
      </c>
    </row>
    <row r="113">
      <c r="A113" s="10">
        <f>IF(B113="","",ROW()-1)</f>
        <v/>
      </c>
      <c r="B113" s="13" t="n"/>
      <c r="C113" s="10">
        <f>IF($AB113="","",IF(INDEX(기본자료!$C$2:$C$501,$AB113)="","",INDEX(기본자료!$C$2:$C$501,$AB113)))</f>
        <v/>
      </c>
      <c r="D113" s="10">
        <f>IF($AB113="","",IF(INDEX(기본자료!$J$2:$J$501,$AB113)="","",INDEX(기본자료!$J$2:$J$501,$AB113)))</f>
        <v/>
      </c>
      <c r="E113" s="11">
        <f>IF($AB113="","",IF(INDEX(기본자료!$K$2:$K$501,$AB113)="","",IF(NOT(ISNUMBER(INDEX(기본자료!$K$2:$K$501,$AB113))),INDEX(기본자료!$K$2:$K$501,$AB113),IF(INDEX(기본자료!$K$2:$K$501,$AB113)&lt;1000000,INDEX(기본자료!$K$2:$K$501,$AB113),IF(AND(INDEX(기본자료!$K$2:$K$501,$AB113)&gt;=10000101,INT(MOD(INDEX(기본자료!$K$2:$K$501,$AB113),10000)/100)&gt;=1,INT(MOD(INDEX(기본자료!$K$2:$K$501,$AB113),10000)/100)&lt;=12,MOD(INDEX(기본자료!$K$2:$K$501,$AB113),100)&gt;=1,MOD(INDEX(기본자료!$K$2:$K$501,$AB113),100)&lt;=31),DATE(INT(INDEX(기본자료!$K$2:$K$501,$AB113)/10000),INT(MOD(INDEX(기본자료!$K$2:$K$501,$AB113),10000)/100),MOD(INDEX(기본자료!$K$2:$K$501,$AB113),100)),INDEX(기본자료!$K$2:$K$501,$AB113)&amp;"")))))</f>
        <v/>
      </c>
      <c r="F113" s="10">
        <f>IF($AB113="","",IF(INDEX(기본자료!$D$2:$D$501,$AB113)="","",INDEX(기본자료!$D$2:$D$501,$AB113)))</f>
        <v/>
      </c>
      <c r="G113" s="10">
        <f>IF($AB113="","",IF(INDEX(기본자료!$E$2:$E$501,$AB113)="","",INDEX(기본자료!$E$2:$E$501,$AB113)))</f>
        <v/>
      </c>
      <c r="H113" s="10">
        <f>IF($AB113="","",IF(INDEX(기본자료!$F$2:$F$501,$AB113)="","",INDEX(기본자료!$F$2:$F$501,$AB113)))</f>
        <v/>
      </c>
      <c r="I113" s="11">
        <f>IF($AB113="","",IF(INDEX(기본자료!$G$2:$G$501,$AB113)="","",IF(NOT(ISNUMBER(INDEX(기본자료!$G$2:$G$501,$AB113))),INDEX(기본자료!$G$2:$G$501,$AB113),IF(INDEX(기본자료!$G$2:$G$501,$AB113)&lt;1000000,INDEX(기본자료!$G$2:$G$501,$AB113),IF(AND(INDEX(기본자료!$G$2:$G$501,$AB113)&gt;=10000101,INT(MOD(INDEX(기본자료!$G$2:$G$501,$AB113),10000)/100)&gt;=1,INT(MOD(INDEX(기본자료!$G$2:$G$501,$AB113),10000)/100)&lt;=12,MOD(INDEX(기본자료!$G$2:$G$501,$AB113),100)&gt;=1,MOD(INDEX(기본자료!$G$2:$G$501,$AB113),100)&lt;=31),DATE(INT(INDEX(기본자료!$G$2:$G$501,$AB113)/10000),INT(MOD(INDEX(기본자료!$G$2:$G$501,$AB113),10000)/100),MOD(INDEX(기본자료!$G$2:$G$501,$AB113),100)),INDEX(기본자료!$G$2:$G$501,$AB113)&amp;"")))))</f>
        <v/>
      </c>
      <c r="J113" s="10">
        <f>IF($AB113="","",IF(INDEX(기본자료!$H$2:$H$501,$AB113)="","",INDEX(기본자료!$H$2:$H$501,$AB113)))</f>
        <v/>
      </c>
      <c r="K113" s="10">
        <f>IF($AB113="","",IF(INDEX(기본자료!$I$2:$I$501,$AB113)="","",INDEX(기본자료!$I$2:$I$501,$AB113)))</f>
        <v/>
      </c>
      <c r="L113" s="10">
        <f>IF($AB113="","",IF(INDEX(기본자료!$A$2:$A$501,$AB113)="","",INDEX(기본자료!$A$2:$A$501,$AB113)))</f>
        <v/>
      </c>
      <c r="M113" s="14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4" t="n"/>
      <c r="Q113" s="14" t="n"/>
      <c r="R113" s="14" t="n"/>
      <c r="S113" s="15" t="n"/>
      <c r="T113" s="15" t="n"/>
      <c r="U113" s="10">
        <f>IF(OR($B113="",$S113=""),"",IF(TODAY()&lt;$S113,"파견예정",IF(AND($T113&lt;&gt;"",TODAY()&gt;$T113),"파견종료","파견중")))</f>
        <v/>
      </c>
      <c r="V113" s="16">
        <f>IF(OR($S113="",$T113=""),"",$T113-$S113+1)</f>
        <v/>
      </c>
      <c r="W113" s="16">
        <f>IF(AND($U113="파견중",$T113&lt;&gt;""),$T113-TODAY(),"")</f>
        <v/>
      </c>
      <c r="X113" s="16">
        <f>IF(OR($B113="",$S113=""),"",MAX(0,MIN(IF($T113="",EOMONTH(요약!$B$3,0),$T113),EOMONTH(요약!$B$3,0))-MAX($S113,요약!$B$3)+1))</f>
        <v/>
      </c>
      <c r="Y113" s="10">
        <f>IF($B113="","",IF($AE113="","",IF(OR($S113="",$P113="",N($X113)&lt;=0),$AE113,IF($P113="다기관파견",$AE113,IF($AE113="구리병원",IF(AND($Q113&lt;&gt;"",N($X113)&gt;=요약!$E$3),$Q113,$AE113),IF(AND($P113="일반파견(단독)",$Q113&lt;&gt;""),$Q113,$AE113))))))</f>
        <v/>
      </c>
      <c r="Z113" s="17">
        <f>IF($B113="","",IF($AB113="","기본자료에 없는 사번",IF(COUNTIF($B$2:$B$201,$B113)&gt;1,"중복 사번",IF($M113="","입사장소 입력",IF(AND($P113&lt;&gt;"",$S113=""),"파견시작일 입력",IF(AND($S113&lt;&gt;"",$P113=""),"파견종류 입력",IF(AND($P113&lt;&gt;"",$P113&lt;&gt;"다기관파견",$Q113=""),"파견병원 입력",IF(IF($AC113="",0,N(INDEX(인턴근무계획!$T$3:$T$202,$AC113)))&gt;0,"인턴계획 입력오류 확인",IF(AND($AC113&lt;&gt;"",$U113&lt;&gt;"파견중",$N113&lt;&gt;$AE113),"인턴 타지역 근무: 파견 여부 확인","정상")))))))))</f>
        <v/>
      </c>
      <c r="AA113" s="5" t="n"/>
      <c r="AB113" s="10">
        <f>IF($B113="","",IFERROR(MATCH($B113,기본자료!$B$2:$B$501,0),IFERROR(MATCH($B113&amp;"",기본자료!$B$2:$B$501,0),IFERROR(MATCH(VALUE($B113),기본자료!$B$2:$B$501,0),""))))</f>
        <v/>
      </c>
      <c r="AC113" s="10">
        <f>IF($B113="","",IFERROR(MATCH($B113,인턴근무계획!$D$3:$D$202,0),IFERROR(MATCH($B113&amp;"",인턴근무계획!$D$3:$D$202,0),IFERROR(MATCH(VALUE($B113),인턴근무계획!$D$3:$D$202,0),""))))</f>
        <v/>
      </c>
      <c r="AD113" s="10">
        <f>IF(OR($AC113="",인턴현황!$G$3=""),"",INDEX(인턴근무계획!$M$3:$R$202,$AC113,인턴현황!$G$3)&amp;"")</f>
        <v/>
      </c>
      <c r="AE113" s="10">
        <f>IF($B113="","",IF($M113&lt;&gt;"",$M113,IF($H113="","",IF(RIGHT($H113,2)="병원",$H113,$H113&amp;"병원"))))</f>
        <v/>
      </c>
    </row>
    <row r="114">
      <c r="A114" s="10">
        <f>IF(B114="","",ROW()-1)</f>
        <v/>
      </c>
      <c r="B114" s="13" t="n"/>
      <c r="C114" s="10">
        <f>IF($AB114="","",IF(INDEX(기본자료!$C$2:$C$501,$AB114)="","",INDEX(기본자료!$C$2:$C$501,$AB114)))</f>
        <v/>
      </c>
      <c r="D114" s="10">
        <f>IF($AB114="","",IF(INDEX(기본자료!$J$2:$J$501,$AB114)="","",INDEX(기본자료!$J$2:$J$501,$AB114)))</f>
        <v/>
      </c>
      <c r="E114" s="11">
        <f>IF($AB114="","",IF(INDEX(기본자료!$K$2:$K$501,$AB114)="","",IF(NOT(ISNUMBER(INDEX(기본자료!$K$2:$K$501,$AB114))),INDEX(기본자료!$K$2:$K$501,$AB114),IF(INDEX(기본자료!$K$2:$K$501,$AB114)&lt;1000000,INDEX(기본자료!$K$2:$K$501,$AB114),IF(AND(INDEX(기본자료!$K$2:$K$501,$AB114)&gt;=10000101,INT(MOD(INDEX(기본자료!$K$2:$K$501,$AB114),10000)/100)&gt;=1,INT(MOD(INDEX(기본자료!$K$2:$K$501,$AB114),10000)/100)&lt;=12,MOD(INDEX(기본자료!$K$2:$K$501,$AB114),100)&gt;=1,MOD(INDEX(기본자료!$K$2:$K$501,$AB114),100)&lt;=31),DATE(INT(INDEX(기본자료!$K$2:$K$501,$AB114)/10000),INT(MOD(INDEX(기본자료!$K$2:$K$501,$AB114),10000)/100),MOD(INDEX(기본자료!$K$2:$K$501,$AB114),100)),INDEX(기본자료!$K$2:$K$501,$AB114)&amp;"")))))</f>
        <v/>
      </c>
      <c r="F114" s="10">
        <f>IF($AB114="","",IF(INDEX(기본자료!$D$2:$D$501,$AB114)="","",INDEX(기본자료!$D$2:$D$501,$AB114)))</f>
        <v/>
      </c>
      <c r="G114" s="10">
        <f>IF($AB114="","",IF(INDEX(기본자료!$E$2:$E$501,$AB114)="","",INDEX(기본자료!$E$2:$E$501,$AB114)))</f>
        <v/>
      </c>
      <c r="H114" s="10">
        <f>IF($AB114="","",IF(INDEX(기본자료!$F$2:$F$501,$AB114)="","",INDEX(기본자료!$F$2:$F$501,$AB114)))</f>
        <v/>
      </c>
      <c r="I114" s="11">
        <f>IF($AB114="","",IF(INDEX(기본자료!$G$2:$G$501,$AB114)="","",IF(NOT(ISNUMBER(INDEX(기본자료!$G$2:$G$501,$AB114))),INDEX(기본자료!$G$2:$G$501,$AB114),IF(INDEX(기본자료!$G$2:$G$501,$AB114)&lt;1000000,INDEX(기본자료!$G$2:$G$501,$AB114),IF(AND(INDEX(기본자료!$G$2:$G$501,$AB114)&gt;=10000101,INT(MOD(INDEX(기본자료!$G$2:$G$501,$AB114),10000)/100)&gt;=1,INT(MOD(INDEX(기본자료!$G$2:$G$501,$AB114),10000)/100)&lt;=12,MOD(INDEX(기본자료!$G$2:$G$501,$AB114),100)&gt;=1,MOD(INDEX(기본자료!$G$2:$G$501,$AB114),100)&lt;=31),DATE(INT(INDEX(기본자료!$G$2:$G$501,$AB114)/10000),INT(MOD(INDEX(기본자료!$G$2:$G$501,$AB114),10000)/100),MOD(INDEX(기본자료!$G$2:$G$501,$AB114),100)),INDEX(기본자료!$G$2:$G$501,$AB114)&amp;"")))))</f>
        <v/>
      </c>
      <c r="J114" s="10">
        <f>IF($AB114="","",IF(INDEX(기본자료!$H$2:$H$501,$AB114)="","",INDEX(기본자료!$H$2:$H$501,$AB114)))</f>
        <v/>
      </c>
      <c r="K114" s="10">
        <f>IF($AB114="","",IF(INDEX(기본자료!$I$2:$I$501,$AB114)="","",INDEX(기본자료!$I$2:$I$501,$AB114)))</f>
        <v/>
      </c>
      <c r="L114" s="10">
        <f>IF($AB114="","",IF(INDEX(기본자료!$A$2:$A$501,$AB114)="","",INDEX(기본자료!$A$2:$A$501,$AB114)))</f>
        <v/>
      </c>
      <c r="M114" s="14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4" t="n"/>
      <c r="Q114" s="14" t="n"/>
      <c r="R114" s="14" t="n"/>
      <c r="S114" s="15" t="n"/>
      <c r="T114" s="15" t="n"/>
      <c r="U114" s="10">
        <f>IF(OR($B114="",$S114=""),"",IF(TODAY()&lt;$S114,"파견예정",IF(AND($T114&lt;&gt;"",TODAY()&gt;$T114),"파견종료","파견중")))</f>
        <v/>
      </c>
      <c r="V114" s="16">
        <f>IF(OR($S114="",$T114=""),"",$T114-$S114+1)</f>
        <v/>
      </c>
      <c r="W114" s="16">
        <f>IF(AND($U114="파견중",$T114&lt;&gt;""),$T114-TODAY(),"")</f>
        <v/>
      </c>
      <c r="X114" s="16">
        <f>IF(OR($B114="",$S114=""),"",MAX(0,MIN(IF($T114="",EOMONTH(요약!$B$3,0),$T114),EOMONTH(요약!$B$3,0))-MAX($S114,요약!$B$3)+1))</f>
        <v/>
      </c>
      <c r="Y114" s="10">
        <f>IF($B114="","",IF($AE114="","",IF(OR($S114="",$P114="",N($X114)&lt;=0),$AE114,IF($P114="다기관파견",$AE114,IF($AE114="구리병원",IF(AND($Q114&lt;&gt;"",N($X114)&gt;=요약!$E$3),$Q114,$AE114),IF(AND($P114="일반파견(단독)",$Q114&lt;&gt;""),$Q114,$AE114))))))</f>
        <v/>
      </c>
      <c r="Z114" s="17">
        <f>IF($B114="","",IF($AB114="","기본자료에 없는 사번",IF(COUNTIF($B$2:$B$201,$B114)&gt;1,"중복 사번",IF($M114="","입사장소 입력",IF(AND($P114&lt;&gt;"",$S114=""),"파견시작일 입력",IF(AND($S114&lt;&gt;"",$P114=""),"파견종류 입력",IF(AND($P114&lt;&gt;"",$P114&lt;&gt;"다기관파견",$Q114=""),"파견병원 입력",IF(IF($AC114="",0,N(INDEX(인턴근무계획!$T$3:$T$202,$AC114)))&gt;0,"인턴계획 입력오류 확인",IF(AND($AC114&lt;&gt;"",$U114&lt;&gt;"파견중",$N114&lt;&gt;$AE114),"인턴 타지역 근무: 파견 여부 확인","정상")))))))))</f>
        <v/>
      </c>
      <c r="AA114" s="5" t="n"/>
      <c r="AB114" s="10">
        <f>IF($B114="","",IFERROR(MATCH($B114,기본자료!$B$2:$B$501,0),IFERROR(MATCH($B114&amp;"",기본자료!$B$2:$B$501,0),IFERROR(MATCH(VALUE($B114),기본자료!$B$2:$B$501,0),""))))</f>
        <v/>
      </c>
      <c r="AC114" s="10">
        <f>IF($B114="","",IFERROR(MATCH($B114,인턴근무계획!$D$3:$D$202,0),IFERROR(MATCH($B114&amp;"",인턴근무계획!$D$3:$D$202,0),IFERROR(MATCH(VALUE($B114),인턴근무계획!$D$3:$D$202,0),""))))</f>
        <v/>
      </c>
      <c r="AD114" s="10">
        <f>IF(OR($AC114="",인턴현황!$G$3=""),"",INDEX(인턴근무계획!$M$3:$R$202,$AC114,인턴현황!$G$3)&amp;"")</f>
        <v/>
      </c>
      <c r="AE114" s="10">
        <f>IF($B114="","",IF($M114&lt;&gt;"",$M114,IF($H114="","",IF(RIGHT($H114,2)="병원",$H114,$H114&amp;"병원"))))</f>
        <v/>
      </c>
    </row>
    <row r="115">
      <c r="A115" s="10">
        <f>IF(B115="","",ROW()-1)</f>
        <v/>
      </c>
      <c r="B115" s="13" t="n"/>
      <c r="C115" s="10">
        <f>IF($AB115="","",IF(INDEX(기본자료!$C$2:$C$501,$AB115)="","",INDEX(기본자료!$C$2:$C$501,$AB115)))</f>
        <v/>
      </c>
      <c r="D115" s="10">
        <f>IF($AB115="","",IF(INDEX(기본자료!$J$2:$J$501,$AB115)="","",INDEX(기본자료!$J$2:$J$501,$AB115)))</f>
        <v/>
      </c>
      <c r="E115" s="11">
        <f>IF($AB115="","",IF(INDEX(기본자료!$K$2:$K$501,$AB115)="","",IF(NOT(ISNUMBER(INDEX(기본자료!$K$2:$K$501,$AB115))),INDEX(기본자료!$K$2:$K$501,$AB115),IF(INDEX(기본자료!$K$2:$K$501,$AB115)&lt;1000000,INDEX(기본자료!$K$2:$K$501,$AB115),IF(AND(INDEX(기본자료!$K$2:$K$501,$AB115)&gt;=10000101,INT(MOD(INDEX(기본자료!$K$2:$K$501,$AB115),10000)/100)&gt;=1,INT(MOD(INDEX(기본자료!$K$2:$K$501,$AB115),10000)/100)&lt;=12,MOD(INDEX(기본자료!$K$2:$K$501,$AB115),100)&gt;=1,MOD(INDEX(기본자료!$K$2:$K$501,$AB115),100)&lt;=31),DATE(INT(INDEX(기본자료!$K$2:$K$501,$AB115)/10000),INT(MOD(INDEX(기본자료!$K$2:$K$501,$AB115),10000)/100),MOD(INDEX(기본자료!$K$2:$K$501,$AB115),100)),INDEX(기본자료!$K$2:$K$501,$AB115)&amp;"")))))</f>
        <v/>
      </c>
      <c r="F115" s="10">
        <f>IF($AB115="","",IF(INDEX(기본자료!$D$2:$D$501,$AB115)="","",INDEX(기본자료!$D$2:$D$501,$AB115)))</f>
        <v/>
      </c>
      <c r="G115" s="10">
        <f>IF($AB115="","",IF(INDEX(기본자료!$E$2:$E$501,$AB115)="","",INDEX(기본자료!$E$2:$E$501,$AB115)))</f>
        <v/>
      </c>
      <c r="H115" s="10">
        <f>IF($AB115="","",IF(INDEX(기본자료!$F$2:$F$501,$AB115)="","",INDEX(기본자료!$F$2:$F$501,$AB115)))</f>
        <v/>
      </c>
      <c r="I115" s="11">
        <f>IF($AB115="","",IF(INDEX(기본자료!$G$2:$G$501,$AB115)="","",IF(NOT(ISNUMBER(INDEX(기본자료!$G$2:$G$501,$AB115))),INDEX(기본자료!$G$2:$G$501,$AB115),IF(INDEX(기본자료!$G$2:$G$501,$AB115)&lt;1000000,INDEX(기본자료!$G$2:$G$501,$AB115),IF(AND(INDEX(기본자료!$G$2:$G$501,$AB115)&gt;=10000101,INT(MOD(INDEX(기본자료!$G$2:$G$501,$AB115),10000)/100)&gt;=1,INT(MOD(INDEX(기본자료!$G$2:$G$501,$AB115),10000)/100)&lt;=12,MOD(INDEX(기본자료!$G$2:$G$501,$AB115),100)&gt;=1,MOD(INDEX(기본자료!$G$2:$G$501,$AB115),100)&lt;=31),DATE(INT(INDEX(기본자료!$G$2:$G$501,$AB115)/10000),INT(MOD(INDEX(기본자료!$G$2:$G$501,$AB115),10000)/100),MOD(INDEX(기본자료!$G$2:$G$501,$AB115),100)),INDEX(기본자료!$G$2:$G$501,$AB115)&amp;"")))))</f>
        <v/>
      </c>
      <c r="J115" s="10">
        <f>IF($AB115="","",IF(INDEX(기본자료!$H$2:$H$501,$AB115)="","",INDEX(기본자료!$H$2:$H$501,$AB115)))</f>
        <v/>
      </c>
      <c r="K115" s="10">
        <f>IF($AB115="","",IF(INDEX(기본자료!$I$2:$I$501,$AB115)="","",INDEX(기본자료!$I$2:$I$501,$AB115)))</f>
        <v/>
      </c>
      <c r="L115" s="10">
        <f>IF($AB115="","",IF(INDEX(기본자료!$A$2:$A$501,$AB115)="","",INDEX(기본자료!$A$2:$A$501,$AB115)))</f>
        <v/>
      </c>
      <c r="M115" s="14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4" t="n"/>
      <c r="Q115" s="14" t="n"/>
      <c r="R115" s="14" t="n"/>
      <c r="S115" s="15" t="n"/>
      <c r="T115" s="15" t="n"/>
      <c r="U115" s="10">
        <f>IF(OR($B115="",$S115=""),"",IF(TODAY()&lt;$S115,"파견예정",IF(AND($T115&lt;&gt;"",TODAY()&gt;$T115),"파견종료","파견중")))</f>
        <v/>
      </c>
      <c r="V115" s="16">
        <f>IF(OR($S115="",$T115=""),"",$T115-$S115+1)</f>
        <v/>
      </c>
      <c r="W115" s="16">
        <f>IF(AND($U115="파견중",$T115&lt;&gt;""),$T115-TODAY(),"")</f>
        <v/>
      </c>
      <c r="X115" s="16">
        <f>IF(OR($B115="",$S115=""),"",MAX(0,MIN(IF($T115="",EOMONTH(요약!$B$3,0),$T115),EOMONTH(요약!$B$3,0))-MAX($S115,요약!$B$3)+1))</f>
        <v/>
      </c>
      <c r="Y115" s="10">
        <f>IF($B115="","",IF($AE115="","",IF(OR($S115="",$P115="",N($X115)&lt;=0),$AE115,IF($P115="다기관파견",$AE115,IF($AE115="구리병원",IF(AND($Q115&lt;&gt;"",N($X115)&gt;=요약!$E$3),$Q115,$AE115),IF(AND($P115="일반파견(단독)",$Q115&lt;&gt;""),$Q115,$AE115))))))</f>
        <v/>
      </c>
      <c r="Z115" s="17">
        <f>IF($B115="","",IF($AB115="","기본자료에 없는 사번",IF(COUNTIF($B$2:$B$201,$B115)&gt;1,"중복 사번",IF($M115="","입사장소 입력",IF(AND($P115&lt;&gt;"",$S115=""),"파견시작일 입력",IF(AND($S115&lt;&gt;"",$P115=""),"파견종류 입력",IF(AND($P115&lt;&gt;"",$P115&lt;&gt;"다기관파견",$Q115=""),"파견병원 입력",IF(IF($AC115="",0,N(INDEX(인턴근무계획!$T$3:$T$202,$AC115)))&gt;0,"인턴계획 입력오류 확인",IF(AND($AC115&lt;&gt;"",$U115&lt;&gt;"파견중",$N115&lt;&gt;$AE115),"인턴 타지역 근무: 파견 여부 확인","정상")))))))))</f>
        <v/>
      </c>
      <c r="AA115" s="5" t="n"/>
      <c r="AB115" s="10">
        <f>IF($B115="","",IFERROR(MATCH($B115,기본자료!$B$2:$B$501,0),IFERROR(MATCH($B115&amp;"",기본자료!$B$2:$B$501,0),IFERROR(MATCH(VALUE($B115),기본자료!$B$2:$B$501,0),""))))</f>
        <v/>
      </c>
      <c r="AC115" s="10">
        <f>IF($B115="","",IFERROR(MATCH($B115,인턴근무계획!$D$3:$D$202,0),IFERROR(MATCH($B115&amp;"",인턴근무계획!$D$3:$D$202,0),IFERROR(MATCH(VALUE($B115),인턴근무계획!$D$3:$D$202,0),""))))</f>
        <v/>
      </c>
      <c r="AD115" s="10">
        <f>IF(OR($AC115="",인턴현황!$G$3=""),"",INDEX(인턴근무계획!$M$3:$R$202,$AC115,인턴현황!$G$3)&amp;"")</f>
        <v/>
      </c>
      <c r="AE115" s="10">
        <f>IF($B115="","",IF($M115&lt;&gt;"",$M115,IF($H115="","",IF(RIGHT($H115,2)="병원",$H115,$H115&amp;"병원"))))</f>
        <v/>
      </c>
    </row>
    <row r="116">
      <c r="A116" s="10">
        <f>IF(B116="","",ROW()-1)</f>
        <v/>
      </c>
      <c r="B116" s="13" t="n"/>
      <c r="C116" s="10">
        <f>IF($AB116="","",IF(INDEX(기본자료!$C$2:$C$501,$AB116)="","",INDEX(기본자료!$C$2:$C$501,$AB116)))</f>
        <v/>
      </c>
      <c r="D116" s="10">
        <f>IF($AB116="","",IF(INDEX(기본자료!$J$2:$J$501,$AB116)="","",INDEX(기본자료!$J$2:$J$501,$AB116)))</f>
        <v/>
      </c>
      <c r="E116" s="11">
        <f>IF($AB116="","",IF(INDEX(기본자료!$K$2:$K$501,$AB116)="","",IF(NOT(ISNUMBER(INDEX(기본자료!$K$2:$K$501,$AB116))),INDEX(기본자료!$K$2:$K$501,$AB116),IF(INDEX(기본자료!$K$2:$K$501,$AB116)&lt;1000000,INDEX(기본자료!$K$2:$K$501,$AB116),IF(AND(INDEX(기본자료!$K$2:$K$501,$AB116)&gt;=10000101,INT(MOD(INDEX(기본자료!$K$2:$K$501,$AB116),10000)/100)&gt;=1,INT(MOD(INDEX(기본자료!$K$2:$K$501,$AB116),10000)/100)&lt;=12,MOD(INDEX(기본자료!$K$2:$K$501,$AB116),100)&gt;=1,MOD(INDEX(기본자료!$K$2:$K$501,$AB116),100)&lt;=31),DATE(INT(INDEX(기본자료!$K$2:$K$501,$AB116)/10000),INT(MOD(INDEX(기본자료!$K$2:$K$501,$AB116),10000)/100),MOD(INDEX(기본자료!$K$2:$K$501,$AB116),100)),INDEX(기본자료!$K$2:$K$501,$AB116)&amp;"")))))</f>
        <v/>
      </c>
      <c r="F116" s="10">
        <f>IF($AB116="","",IF(INDEX(기본자료!$D$2:$D$501,$AB116)="","",INDEX(기본자료!$D$2:$D$501,$AB116)))</f>
        <v/>
      </c>
      <c r="G116" s="10">
        <f>IF($AB116="","",IF(INDEX(기본자료!$E$2:$E$501,$AB116)="","",INDEX(기본자료!$E$2:$E$501,$AB116)))</f>
        <v/>
      </c>
      <c r="H116" s="10">
        <f>IF($AB116="","",IF(INDEX(기본자료!$F$2:$F$501,$AB116)="","",INDEX(기본자료!$F$2:$F$501,$AB116)))</f>
        <v/>
      </c>
      <c r="I116" s="11">
        <f>IF($AB116="","",IF(INDEX(기본자료!$G$2:$G$501,$AB116)="","",IF(NOT(ISNUMBER(INDEX(기본자료!$G$2:$G$501,$AB116))),INDEX(기본자료!$G$2:$G$501,$AB116),IF(INDEX(기본자료!$G$2:$G$501,$AB116)&lt;1000000,INDEX(기본자료!$G$2:$G$501,$AB116),IF(AND(INDEX(기본자료!$G$2:$G$501,$AB116)&gt;=10000101,INT(MOD(INDEX(기본자료!$G$2:$G$501,$AB116),10000)/100)&gt;=1,INT(MOD(INDEX(기본자료!$G$2:$G$501,$AB116),10000)/100)&lt;=12,MOD(INDEX(기본자료!$G$2:$G$501,$AB116),100)&gt;=1,MOD(INDEX(기본자료!$G$2:$G$501,$AB116),100)&lt;=31),DATE(INT(INDEX(기본자료!$G$2:$G$501,$AB116)/10000),INT(MOD(INDEX(기본자료!$G$2:$G$501,$AB116),10000)/100),MOD(INDEX(기본자료!$G$2:$G$501,$AB116),100)),INDEX(기본자료!$G$2:$G$501,$AB116)&amp;"")))))</f>
        <v/>
      </c>
      <c r="J116" s="10">
        <f>IF($AB116="","",IF(INDEX(기본자료!$H$2:$H$501,$AB116)="","",INDEX(기본자료!$H$2:$H$501,$AB116)))</f>
        <v/>
      </c>
      <c r="K116" s="10">
        <f>IF($AB116="","",IF(INDEX(기본자료!$I$2:$I$501,$AB116)="","",INDEX(기본자료!$I$2:$I$501,$AB116)))</f>
        <v/>
      </c>
      <c r="L116" s="10">
        <f>IF($AB116="","",IF(INDEX(기본자료!$A$2:$A$501,$AB116)="","",INDEX(기본자료!$A$2:$A$501,$AB116)))</f>
        <v/>
      </c>
      <c r="M116" s="14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4" t="n"/>
      <c r="Q116" s="14" t="n"/>
      <c r="R116" s="14" t="n"/>
      <c r="S116" s="15" t="n"/>
      <c r="T116" s="15" t="n"/>
      <c r="U116" s="10">
        <f>IF(OR($B116="",$S116=""),"",IF(TODAY()&lt;$S116,"파견예정",IF(AND($T116&lt;&gt;"",TODAY()&gt;$T116),"파견종료","파견중")))</f>
        <v/>
      </c>
      <c r="V116" s="16">
        <f>IF(OR($S116="",$T116=""),"",$T116-$S116+1)</f>
        <v/>
      </c>
      <c r="W116" s="16">
        <f>IF(AND($U116="파견중",$T116&lt;&gt;""),$T116-TODAY(),"")</f>
        <v/>
      </c>
      <c r="X116" s="16">
        <f>IF(OR($B116="",$S116=""),"",MAX(0,MIN(IF($T116="",EOMONTH(요약!$B$3,0),$T116),EOMONTH(요약!$B$3,0))-MAX($S116,요약!$B$3)+1))</f>
        <v/>
      </c>
      <c r="Y116" s="10">
        <f>IF($B116="","",IF($AE116="","",IF(OR($S116="",$P116="",N($X116)&lt;=0),$AE116,IF($P116="다기관파견",$AE116,IF($AE116="구리병원",IF(AND($Q116&lt;&gt;"",N($X116)&gt;=요약!$E$3),$Q116,$AE116),IF(AND($P116="일반파견(단독)",$Q116&lt;&gt;""),$Q116,$AE116))))))</f>
        <v/>
      </c>
      <c r="Z116" s="17">
        <f>IF($B116="","",IF($AB116="","기본자료에 없는 사번",IF(COUNTIF($B$2:$B$201,$B116)&gt;1,"중복 사번",IF($M116="","입사장소 입력",IF(AND($P116&lt;&gt;"",$S116=""),"파견시작일 입력",IF(AND($S116&lt;&gt;"",$P116=""),"파견종류 입력",IF(AND($P116&lt;&gt;"",$P116&lt;&gt;"다기관파견",$Q116=""),"파견병원 입력",IF(IF($AC116="",0,N(INDEX(인턴근무계획!$T$3:$T$202,$AC116)))&gt;0,"인턴계획 입력오류 확인",IF(AND($AC116&lt;&gt;"",$U116&lt;&gt;"파견중",$N116&lt;&gt;$AE116),"인턴 타지역 근무: 파견 여부 확인","정상")))))))))</f>
        <v/>
      </c>
      <c r="AA116" s="5" t="n"/>
      <c r="AB116" s="10">
        <f>IF($B116="","",IFERROR(MATCH($B116,기본자료!$B$2:$B$501,0),IFERROR(MATCH($B116&amp;"",기본자료!$B$2:$B$501,0),IFERROR(MATCH(VALUE($B116),기본자료!$B$2:$B$501,0),""))))</f>
        <v/>
      </c>
      <c r="AC116" s="10">
        <f>IF($B116="","",IFERROR(MATCH($B116,인턴근무계획!$D$3:$D$202,0),IFERROR(MATCH($B116&amp;"",인턴근무계획!$D$3:$D$202,0),IFERROR(MATCH(VALUE($B116),인턴근무계획!$D$3:$D$202,0),""))))</f>
        <v/>
      </c>
      <c r="AD116" s="10">
        <f>IF(OR($AC116="",인턴현황!$G$3=""),"",INDEX(인턴근무계획!$M$3:$R$202,$AC116,인턴현황!$G$3)&amp;"")</f>
        <v/>
      </c>
      <c r="AE116" s="10">
        <f>IF($B116="","",IF($M116&lt;&gt;"",$M116,IF($H116="","",IF(RIGHT($H116,2)="병원",$H116,$H116&amp;"병원"))))</f>
        <v/>
      </c>
    </row>
    <row r="117">
      <c r="A117" s="10">
        <f>IF(B117="","",ROW()-1)</f>
        <v/>
      </c>
      <c r="B117" s="13" t="n"/>
      <c r="C117" s="10">
        <f>IF($AB117="","",IF(INDEX(기본자료!$C$2:$C$501,$AB117)="","",INDEX(기본자료!$C$2:$C$501,$AB117)))</f>
        <v/>
      </c>
      <c r="D117" s="10">
        <f>IF($AB117="","",IF(INDEX(기본자료!$J$2:$J$501,$AB117)="","",INDEX(기본자료!$J$2:$J$501,$AB117)))</f>
        <v/>
      </c>
      <c r="E117" s="11">
        <f>IF($AB117="","",IF(INDEX(기본자료!$K$2:$K$501,$AB117)="","",IF(NOT(ISNUMBER(INDEX(기본자료!$K$2:$K$501,$AB117))),INDEX(기본자료!$K$2:$K$501,$AB117),IF(INDEX(기본자료!$K$2:$K$501,$AB117)&lt;1000000,INDEX(기본자료!$K$2:$K$501,$AB117),IF(AND(INDEX(기본자료!$K$2:$K$501,$AB117)&gt;=10000101,INT(MOD(INDEX(기본자료!$K$2:$K$501,$AB117),10000)/100)&gt;=1,INT(MOD(INDEX(기본자료!$K$2:$K$501,$AB117),10000)/100)&lt;=12,MOD(INDEX(기본자료!$K$2:$K$501,$AB117),100)&gt;=1,MOD(INDEX(기본자료!$K$2:$K$501,$AB117),100)&lt;=31),DATE(INT(INDEX(기본자료!$K$2:$K$501,$AB117)/10000),INT(MOD(INDEX(기본자료!$K$2:$K$501,$AB117),10000)/100),MOD(INDEX(기본자료!$K$2:$K$501,$AB117),100)),INDEX(기본자료!$K$2:$K$501,$AB117)&amp;"")))))</f>
        <v/>
      </c>
      <c r="F117" s="10">
        <f>IF($AB117="","",IF(INDEX(기본자료!$D$2:$D$501,$AB117)="","",INDEX(기본자료!$D$2:$D$501,$AB117)))</f>
        <v/>
      </c>
      <c r="G117" s="10">
        <f>IF($AB117="","",IF(INDEX(기본자료!$E$2:$E$501,$AB117)="","",INDEX(기본자료!$E$2:$E$501,$AB117)))</f>
        <v/>
      </c>
      <c r="H117" s="10">
        <f>IF($AB117="","",IF(INDEX(기본자료!$F$2:$F$501,$AB117)="","",INDEX(기본자료!$F$2:$F$501,$AB117)))</f>
        <v/>
      </c>
      <c r="I117" s="11">
        <f>IF($AB117="","",IF(INDEX(기본자료!$G$2:$G$501,$AB117)="","",IF(NOT(ISNUMBER(INDEX(기본자료!$G$2:$G$501,$AB117))),INDEX(기본자료!$G$2:$G$501,$AB117),IF(INDEX(기본자료!$G$2:$G$501,$AB117)&lt;1000000,INDEX(기본자료!$G$2:$G$501,$AB117),IF(AND(INDEX(기본자료!$G$2:$G$501,$AB117)&gt;=10000101,INT(MOD(INDEX(기본자료!$G$2:$G$501,$AB117),10000)/100)&gt;=1,INT(MOD(INDEX(기본자료!$G$2:$G$501,$AB117),10000)/100)&lt;=12,MOD(INDEX(기본자료!$G$2:$G$501,$AB117),100)&gt;=1,MOD(INDEX(기본자료!$G$2:$G$501,$AB117),100)&lt;=31),DATE(INT(INDEX(기본자료!$G$2:$G$501,$AB117)/10000),INT(MOD(INDEX(기본자료!$G$2:$G$501,$AB117),10000)/100),MOD(INDEX(기본자료!$G$2:$G$501,$AB117),100)),INDEX(기본자료!$G$2:$G$501,$AB117)&amp;"")))))</f>
        <v/>
      </c>
      <c r="J117" s="10">
        <f>IF($AB117="","",IF(INDEX(기본자료!$H$2:$H$501,$AB117)="","",INDEX(기본자료!$H$2:$H$501,$AB117)))</f>
        <v/>
      </c>
      <c r="K117" s="10">
        <f>IF($AB117="","",IF(INDEX(기본자료!$I$2:$I$501,$AB117)="","",INDEX(기본자료!$I$2:$I$501,$AB117)))</f>
        <v/>
      </c>
      <c r="L117" s="10">
        <f>IF($AB117="","",IF(INDEX(기본자료!$A$2:$A$501,$AB117)="","",INDEX(기본자료!$A$2:$A$501,$AB117)))</f>
        <v/>
      </c>
      <c r="M117" s="14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4" t="n"/>
      <c r="Q117" s="14" t="n"/>
      <c r="R117" s="14" t="n"/>
      <c r="S117" s="15" t="n"/>
      <c r="T117" s="15" t="n"/>
      <c r="U117" s="10">
        <f>IF(OR($B117="",$S117=""),"",IF(TODAY()&lt;$S117,"파견예정",IF(AND($T117&lt;&gt;"",TODAY()&gt;$T117),"파견종료","파견중")))</f>
        <v/>
      </c>
      <c r="V117" s="16">
        <f>IF(OR($S117="",$T117=""),"",$T117-$S117+1)</f>
        <v/>
      </c>
      <c r="W117" s="16">
        <f>IF(AND($U117="파견중",$T117&lt;&gt;""),$T117-TODAY(),"")</f>
        <v/>
      </c>
      <c r="X117" s="16">
        <f>IF(OR($B117="",$S117=""),"",MAX(0,MIN(IF($T117="",EOMONTH(요약!$B$3,0),$T117),EOMONTH(요약!$B$3,0))-MAX($S117,요약!$B$3)+1))</f>
        <v/>
      </c>
      <c r="Y117" s="10">
        <f>IF($B117="","",IF($AE117="","",IF(OR($S117="",$P117="",N($X117)&lt;=0),$AE117,IF($P117="다기관파견",$AE117,IF($AE117="구리병원",IF(AND($Q117&lt;&gt;"",N($X117)&gt;=요약!$E$3),$Q117,$AE117),IF(AND($P117="일반파견(단독)",$Q117&lt;&gt;""),$Q117,$AE117))))))</f>
        <v/>
      </c>
      <c r="Z117" s="17">
        <f>IF($B117="","",IF($AB117="","기본자료에 없는 사번",IF(COUNTIF($B$2:$B$201,$B117)&gt;1,"중복 사번",IF($M117="","입사장소 입력",IF(AND($P117&lt;&gt;"",$S117=""),"파견시작일 입력",IF(AND($S117&lt;&gt;"",$P117=""),"파견종류 입력",IF(AND($P117&lt;&gt;"",$P117&lt;&gt;"다기관파견",$Q117=""),"파견병원 입력",IF(IF($AC117="",0,N(INDEX(인턴근무계획!$T$3:$T$202,$AC117)))&gt;0,"인턴계획 입력오류 확인",IF(AND($AC117&lt;&gt;"",$U117&lt;&gt;"파견중",$N117&lt;&gt;$AE117),"인턴 타지역 근무: 파견 여부 확인","정상")))))))))</f>
        <v/>
      </c>
      <c r="AA117" s="5" t="n"/>
      <c r="AB117" s="10">
        <f>IF($B117="","",IFERROR(MATCH($B117,기본자료!$B$2:$B$501,0),IFERROR(MATCH($B117&amp;"",기본자료!$B$2:$B$501,0),IFERROR(MATCH(VALUE($B117),기본자료!$B$2:$B$501,0),""))))</f>
        <v/>
      </c>
      <c r="AC117" s="10">
        <f>IF($B117="","",IFERROR(MATCH($B117,인턴근무계획!$D$3:$D$202,0),IFERROR(MATCH($B117&amp;"",인턴근무계획!$D$3:$D$202,0),IFERROR(MATCH(VALUE($B117),인턴근무계획!$D$3:$D$202,0),""))))</f>
        <v/>
      </c>
      <c r="AD117" s="10">
        <f>IF(OR($AC117="",인턴현황!$G$3=""),"",INDEX(인턴근무계획!$M$3:$R$202,$AC117,인턴현황!$G$3)&amp;"")</f>
        <v/>
      </c>
      <c r="AE117" s="10">
        <f>IF($B117="","",IF($M117&lt;&gt;"",$M117,IF($H117="","",IF(RIGHT($H117,2)="병원",$H117,$H117&amp;"병원"))))</f>
        <v/>
      </c>
    </row>
    <row r="118">
      <c r="A118" s="10">
        <f>IF(B118="","",ROW()-1)</f>
        <v/>
      </c>
      <c r="B118" s="13" t="n"/>
      <c r="C118" s="10">
        <f>IF($AB118="","",IF(INDEX(기본자료!$C$2:$C$501,$AB118)="","",INDEX(기본자료!$C$2:$C$501,$AB118)))</f>
        <v/>
      </c>
      <c r="D118" s="10">
        <f>IF($AB118="","",IF(INDEX(기본자료!$J$2:$J$501,$AB118)="","",INDEX(기본자료!$J$2:$J$501,$AB118)))</f>
        <v/>
      </c>
      <c r="E118" s="11">
        <f>IF($AB118="","",IF(INDEX(기본자료!$K$2:$K$501,$AB118)="","",IF(NOT(ISNUMBER(INDEX(기본자료!$K$2:$K$501,$AB118))),INDEX(기본자료!$K$2:$K$501,$AB118),IF(INDEX(기본자료!$K$2:$K$501,$AB118)&lt;1000000,INDEX(기본자료!$K$2:$K$501,$AB118),IF(AND(INDEX(기본자료!$K$2:$K$501,$AB118)&gt;=10000101,INT(MOD(INDEX(기본자료!$K$2:$K$501,$AB118),10000)/100)&gt;=1,INT(MOD(INDEX(기본자료!$K$2:$K$501,$AB118),10000)/100)&lt;=12,MOD(INDEX(기본자료!$K$2:$K$501,$AB118),100)&gt;=1,MOD(INDEX(기본자료!$K$2:$K$501,$AB118),100)&lt;=31),DATE(INT(INDEX(기본자료!$K$2:$K$501,$AB118)/10000),INT(MOD(INDEX(기본자료!$K$2:$K$501,$AB118),10000)/100),MOD(INDEX(기본자료!$K$2:$K$501,$AB118),100)),INDEX(기본자료!$K$2:$K$501,$AB118)&amp;"")))))</f>
        <v/>
      </c>
      <c r="F118" s="10">
        <f>IF($AB118="","",IF(INDEX(기본자료!$D$2:$D$501,$AB118)="","",INDEX(기본자료!$D$2:$D$501,$AB118)))</f>
        <v/>
      </c>
      <c r="G118" s="10">
        <f>IF($AB118="","",IF(INDEX(기본자료!$E$2:$E$501,$AB118)="","",INDEX(기본자료!$E$2:$E$501,$AB118)))</f>
        <v/>
      </c>
      <c r="H118" s="10">
        <f>IF($AB118="","",IF(INDEX(기본자료!$F$2:$F$501,$AB118)="","",INDEX(기본자료!$F$2:$F$501,$AB118)))</f>
        <v/>
      </c>
      <c r="I118" s="11">
        <f>IF($AB118="","",IF(INDEX(기본자료!$G$2:$G$501,$AB118)="","",IF(NOT(ISNUMBER(INDEX(기본자료!$G$2:$G$501,$AB118))),INDEX(기본자료!$G$2:$G$501,$AB118),IF(INDEX(기본자료!$G$2:$G$501,$AB118)&lt;1000000,INDEX(기본자료!$G$2:$G$501,$AB118),IF(AND(INDEX(기본자료!$G$2:$G$501,$AB118)&gt;=10000101,INT(MOD(INDEX(기본자료!$G$2:$G$501,$AB118),10000)/100)&gt;=1,INT(MOD(INDEX(기본자료!$G$2:$G$501,$AB118),10000)/100)&lt;=12,MOD(INDEX(기본자료!$G$2:$G$501,$AB118),100)&gt;=1,MOD(INDEX(기본자료!$G$2:$G$501,$AB118),100)&lt;=31),DATE(INT(INDEX(기본자료!$G$2:$G$501,$AB118)/10000),INT(MOD(INDEX(기본자료!$G$2:$G$501,$AB118),10000)/100),MOD(INDEX(기본자료!$G$2:$G$501,$AB118),100)),INDEX(기본자료!$G$2:$G$501,$AB118)&amp;"")))))</f>
        <v/>
      </c>
      <c r="J118" s="10">
        <f>IF($AB118="","",IF(INDEX(기본자료!$H$2:$H$501,$AB118)="","",INDEX(기본자료!$H$2:$H$501,$AB118)))</f>
        <v/>
      </c>
      <c r="K118" s="10">
        <f>IF($AB118="","",IF(INDEX(기본자료!$I$2:$I$501,$AB118)="","",INDEX(기본자료!$I$2:$I$501,$AB118)))</f>
        <v/>
      </c>
      <c r="L118" s="10">
        <f>IF($AB118="","",IF(INDEX(기본자료!$A$2:$A$501,$AB118)="","",INDEX(기본자료!$A$2:$A$501,$AB118)))</f>
        <v/>
      </c>
      <c r="M118" s="14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4" t="n"/>
      <c r="Q118" s="14" t="n"/>
      <c r="R118" s="14" t="n"/>
      <c r="S118" s="15" t="n"/>
      <c r="T118" s="15" t="n"/>
      <c r="U118" s="10">
        <f>IF(OR($B118="",$S118=""),"",IF(TODAY()&lt;$S118,"파견예정",IF(AND($T118&lt;&gt;"",TODAY()&gt;$T118),"파견종료","파견중")))</f>
        <v/>
      </c>
      <c r="V118" s="16">
        <f>IF(OR($S118="",$T118=""),"",$T118-$S118+1)</f>
        <v/>
      </c>
      <c r="W118" s="16">
        <f>IF(AND($U118="파견중",$T118&lt;&gt;""),$T118-TODAY(),"")</f>
        <v/>
      </c>
      <c r="X118" s="16">
        <f>IF(OR($B118="",$S118=""),"",MAX(0,MIN(IF($T118="",EOMONTH(요약!$B$3,0),$T118),EOMONTH(요약!$B$3,0))-MAX($S118,요약!$B$3)+1))</f>
        <v/>
      </c>
      <c r="Y118" s="10">
        <f>IF($B118="","",IF($AE118="","",IF(OR($S118="",$P118="",N($X118)&lt;=0),$AE118,IF($P118="다기관파견",$AE118,IF($AE118="구리병원",IF(AND($Q118&lt;&gt;"",N($X118)&gt;=요약!$E$3),$Q118,$AE118),IF(AND($P118="일반파견(단독)",$Q118&lt;&gt;""),$Q118,$AE118))))))</f>
        <v/>
      </c>
      <c r="Z118" s="17">
        <f>IF($B118="","",IF($AB118="","기본자료에 없는 사번",IF(COUNTIF($B$2:$B$201,$B118)&gt;1,"중복 사번",IF($M118="","입사장소 입력",IF(AND($P118&lt;&gt;"",$S118=""),"파견시작일 입력",IF(AND($S118&lt;&gt;"",$P118=""),"파견종류 입력",IF(AND($P118&lt;&gt;"",$P118&lt;&gt;"다기관파견",$Q118=""),"파견병원 입력",IF(IF($AC118="",0,N(INDEX(인턴근무계획!$T$3:$T$202,$AC118)))&gt;0,"인턴계획 입력오류 확인",IF(AND($AC118&lt;&gt;"",$U118&lt;&gt;"파견중",$N118&lt;&gt;$AE118),"인턴 타지역 근무: 파견 여부 확인","정상")))))))))</f>
        <v/>
      </c>
      <c r="AA118" s="5" t="n"/>
      <c r="AB118" s="10">
        <f>IF($B118="","",IFERROR(MATCH($B118,기본자료!$B$2:$B$501,0),IFERROR(MATCH($B118&amp;"",기본자료!$B$2:$B$501,0),IFERROR(MATCH(VALUE($B118),기본자료!$B$2:$B$501,0),""))))</f>
        <v/>
      </c>
      <c r="AC118" s="10">
        <f>IF($B118="","",IFERROR(MATCH($B118,인턴근무계획!$D$3:$D$202,0),IFERROR(MATCH($B118&amp;"",인턴근무계획!$D$3:$D$202,0),IFERROR(MATCH(VALUE($B118),인턴근무계획!$D$3:$D$202,0),""))))</f>
        <v/>
      </c>
      <c r="AD118" s="10">
        <f>IF(OR($AC118="",인턴현황!$G$3=""),"",INDEX(인턴근무계획!$M$3:$R$202,$AC118,인턴현황!$G$3)&amp;"")</f>
        <v/>
      </c>
      <c r="AE118" s="10">
        <f>IF($B118="","",IF($M118&lt;&gt;"",$M118,IF($H118="","",IF(RIGHT($H118,2)="병원",$H118,$H118&amp;"병원"))))</f>
        <v/>
      </c>
    </row>
    <row r="119">
      <c r="A119" s="10">
        <f>IF(B119="","",ROW()-1)</f>
        <v/>
      </c>
      <c r="B119" s="13" t="n"/>
      <c r="C119" s="10">
        <f>IF($AB119="","",IF(INDEX(기본자료!$C$2:$C$501,$AB119)="","",INDEX(기본자료!$C$2:$C$501,$AB119)))</f>
        <v/>
      </c>
      <c r="D119" s="10">
        <f>IF($AB119="","",IF(INDEX(기본자료!$J$2:$J$501,$AB119)="","",INDEX(기본자료!$J$2:$J$501,$AB119)))</f>
        <v/>
      </c>
      <c r="E119" s="11">
        <f>IF($AB119="","",IF(INDEX(기본자료!$K$2:$K$501,$AB119)="","",IF(NOT(ISNUMBER(INDEX(기본자료!$K$2:$K$501,$AB119))),INDEX(기본자료!$K$2:$K$501,$AB119),IF(INDEX(기본자료!$K$2:$K$501,$AB119)&lt;1000000,INDEX(기본자료!$K$2:$K$501,$AB119),IF(AND(INDEX(기본자료!$K$2:$K$501,$AB119)&gt;=10000101,INT(MOD(INDEX(기본자료!$K$2:$K$501,$AB119),10000)/100)&gt;=1,INT(MOD(INDEX(기본자료!$K$2:$K$501,$AB119),10000)/100)&lt;=12,MOD(INDEX(기본자료!$K$2:$K$501,$AB119),100)&gt;=1,MOD(INDEX(기본자료!$K$2:$K$501,$AB119),100)&lt;=31),DATE(INT(INDEX(기본자료!$K$2:$K$501,$AB119)/10000),INT(MOD(INDEX(기본자료!$K$2:$K$501,$AB119),10000)/100),MOD(INDEX(기본자료!$K$2:$K$501,$AB119),100)),INDEX(기본자료!$K$2:$K$501,$AB119)&amp;"")))))</f>
        <v/>
      </c>
      <c r="F119" s="10">
        <f>IF($AB119="","",IF(INDEX(기본자료!$D$2:$D$501,$AB119)="","",INDEX(기본자료!$D$2:$D$501,$AB119)))</f>
        <v/>
      </c>
      <c r="G119" s="10">
        <f>IF($AB119="","",IF(INDEX(기본자료!$E$2:$E$501,$AB119)="","",INDEX(기본자료!$E$2:$E$501,$AB119)))</f>
        <v/>
      </c>
      <c r="H119" s="10">
        <f>IF($AB119="","",IF(INDEX(기본자료!$F$2:$F$501,$AB119)="","",INDEX(기본자료!$F$2:$F$501,$AB119)))</f>
        <v/>
      </c>
      <c r="I119" s="11">
        <f>IF($AB119="","",IF(INDEX(기본자료!$G$2:$G$501,$AB119)="","",IF(NOT(ISNUMBER(INDEX(기본자료!$G$2:$G$501,$AB119))),INDEX(기본자료!$G$2:$G$501,$AB119),IF(INDEX(기본자료!$G$2:$G$501,$AB119)&lt;1000000,INDEX(기본자료!$G$2:$G$501,$AB119),IF(AND(INDEX(기본자료!$G$2:$G$501,$AB119)&gt;=10000101,INT(MOD(INDEX(기본자료!$G$2:$G$501,$AB119),10000)/100)&gt;=1,INT(MOD(INDEX(기본자료!$G$2:$G$501,$AB119),10000)/100)&lt;=12,MOD(INDEX(기본자료!$G$2:$G$501,$AB119),100)&gt;=1,MOD(INDEX(기본자료!$G$2:$G$501,$AB119),100)&lt;=31),DATE(INT(INDEX(기본자료!$G$2:$G$501,$AB119)/10000),INT(MOD(INDEX(기본자료!$G$2:$G$501,$AB119),10000)/100),MOD(INDEX(기본자료!$G$2:$G$501,$AB119),100)),INDEX(기본자료!$G$2:$G$501,$AB119)&amp;"")))))</f>
        <v/>
      </c>
      <c r="J119" s="10">
        <f>IF($AB119="","",IF(INDEX(기본자료!$H$2:$H$501,$AB119)="","",INDEX(기본자료!$H$2:$H$501,$AB119)))</f>
        <v/>
      </c>
      <c r="K119" s="10">
        <f>IF($AB119="","",IF(INDEX(기본자료!$I$2:$I$501,$AB119)="","",INDEX(기본자료!$I$2:$I$501,$AB119)))</f>
        <v/>
      </c>
      <c r="L119" s="10">
        <f>IF($AB119="","",IF(INDEX(기본자료!$A$2:$A$501,$AB119)="","",INDEX(기본자료!$A$2:$A$501,$AB119)))</f>
        <v/>
      </c>
      <c r="M119" s="14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4" t="n"/>
      <c r="Q119" s="14" t="n"/>
      <c r="R119" s="14" t="n"/>
      <c r="S119" s="15" t="n"/>
      <c r="T119" s="15" t="n"/>
      <c r="U119" s="10">
        <f>IF(OR($B119="",$S119=""),"",IF(TODAY()&lt;$S119,"파견예정",IF(AND($T119&lt;&gt;"",TODAY()&gt;$T119),"파견종료","파견중")))</f>
        <v/>
      </c>
      <c r="V119" s="16">
        <f>IF(OR($S119="",$T119=""),"",$T119-$S119+1)</f>
        <v/>
      </c>
      <c r="W119" s="16">
        <f>IF(AND($U119="파견중",$T119&lt;&gt;""),$T119-TODAY(),"")</f>
        <v/>
      </c>
      <c r="X119" s="16">
        <f>IF(OR($B119="",$S119=""),"",MAX(0,MIN(IF($T119="",EOMONTH(요약!$B$3,0),$T119),EOMONTH(요약!$B$3,0))-MAX($S119,요약!$B$3)+1))</f>
        <v/>
      </c>
      <c r="Y119" s="10">
        <f>IF($B119="","",IF($AE119="","",IF(OR($S119="",$P119="",N($X119)&lt;=0),$AE119,IF($P119="다기관파견",$AE119,IF($AE119="구리병원",IF(AND($Q119&lt;&gt;"",N($X119)&gt;=요약!$E$3),$Q119,$AE119),IF(AND($P119="일반파견(단독)",$Q119&lt;&gt;""),$Q119,$AE119))))))</f>
        <v/>
      </c>
      <c r="Z119" s="17">
        <f>IF($B119="","",IF($AB119="","기본자료에 없는 사번",IF(COUNTIF($B$2:$B$201,$B119)&gt;1,"중복 사번",IF($M119="","입사장소 입력",IF(AND($P119&lt;&gt;"",$S119=""),"파견시작일 입력",IF(AND($S119&lt;&gt;"",$P119=""),"파견종류 입력",IF(AND($P119&lt;&gt;"",$P119&lt;&gt;"다기관파견",$Q119=""),"파견병원 입력",IF(IF($AC119="",0,N(INDEX(인턴근무계획!$T$3:$T$202,$AC119)))&gt;0,"인턴계획 입력오류 확인",IF(AND($AC119&lt;&gt;"",$U119&lt;&gt;"파견중",$N119&lt;&gt;$AE119),"인턴 타지역 근무: 파견 여부 확인","정상")))))))))</f>
        <v/>
      </c>
      <c r="AA119" s="5" t="n"/>
      <c r="AB119" s="10">
        <f>IF($B119="","",IFERROR(MATCH($B119,기본자료!$B$2:$B$501,0),IFERROR(MATCH($B119&amp;"",기본자료!$B$2:$B$501,0),IFERROR(MATCH(VALUE($B119),기본자료!$B$2:$B$501,0),""))))</f>
        <v/>
      </c>
      <c r="AC119" s="10">
        <f>IF($B119="","",IFERROR(MATCH($B119,인턴근무계획!$D$3:$D$202,0),IFERROR(MATCH($B119&amp;"",인턴근무계획!$D$3:$D$202,0),IFERROR(MATCH(VALUE($B119),인턴근무계획!$D$3:$D$202,0),""))))</f>
        <v/>
      </c>
      <c r="AD119" s="10">
        <f>IF(OR($AC119="",인턴현황!$G$3=""),"",INDEX(인턴근무계획!$M$3:$R$202,$AC119,인턴현황!$G$3)&amp;"")</f>
        <v/>
      </c>
      <c r="AE119" s="10">
        <f>IF($B119="","",IF($M119&lt;&gt;"",$M119,IF($H119="","",IF(RIGHT($H119,2)="병원",$H119,$H119&amp;"병원"))))</f>
        <v/>
      </c>
    </row>
    <row r="120">
      <c r="A120" s="10">
        <f>IF(B120="","",ROW()-1)</f>
        <v/>
      </c>
      <c r="B120" s="13" t="n"/>
      <c r="C120" s="10">
        <f>IF($AB120="","",IF(INDEX(기본자료!$C$2:$C$501,$AB120)="","",INDEX(기본자료!$C$2:$C$501,$AB120)))</f>
        <v/>
      </c>
      <c r="D120" s="10">
        <f>IF($AB120="","",IF(INDEX(기본자료!$J$2:$J$501,$AB120)="","",INDEX(기본자료!$J$2:$J$501,$AB120)))</f>
        <v/>
      </c>
      <c r="E120" s="11">
        <f>IF($AB120="","",IF(INDEX(기본자료!$K$2:$K$501,$AB120)="","",IF(NOT(ISNUMBER(INDEX(기본자료!$K$2:$K$501,$AB120))),INDEX(기본자료!$K$2:$K$501,$AB120),IF(INDEX(기본자료!$K$2:$K$501,$AB120)&lt;1000000,INDEX(기본자료!$K$2:$K$501,$AB120),IF(AND(INDEX(기본자료!$K$2:$K$501,$AB120)&gt;=10000101,INT(MOD(INDEX(기본자료!$K$2:$K$501,$AB120),10000)/100)&gt;=1,INT(MOD(INDEX(기본자료!$K$2:$K$501,$AB120),10000)/100)&lt;=12,MOD(INDEX(기본자료!$K$2:$K$501,$AB120),100)&gt;=1,MOD(INDEX(기본자료!$K$2:$K$501,$AB120),100)&lt;=31),DATE(INT(INDEX(기본자료!$K$2:$K$501,$AB120)/10000),INT(MOD(INDEX(기본자료!$K$2:$K$501,$AB120),10000)/100),MOD(INDEX(기본자료!$K$2:$K$501,$AB120),100)),INDEX(기본자료!$K$2:$K$501,$AB120)&amp;"")))))</f>
        <v/>
      </c>
      <c r="F120" s="10">
        <f>IF($AB120="","",IF(INDEX(기본자료!$D$2:$D$501,$AB120)="","",INDEX(기본자료!$D$2:$D$501,$AB120)))</f>
        <v/>
      </c>
      <c r="G120" s="10">
        <f>IF($AB120="","",IF(INDEX(기본자료!$E$2:$E$501,$AB120)="","",INDEX(기본자료!$E$2:$E$501,$AB120)))</f>
        <v/>
      </c>
      <c r="H120" s="10">
        <f>IF($AB120="","",IF(INDEX(기본자료!$F$2:$F$501,$AB120)="","",INDEX(기본자료!$F$2:$F$501,$AB120)))</f>
        <v/>
      </c>
      <c r="I120" s="11">
        <f>IF($AB120="","",IF(INDEX(기본자료!$G$2:$G$501,$AB120)="","",IF(NOT(ISNUMBER(INDEX(기본자료!$G$2:$G$501,$AB120))),INDEX(기본자료!$G$2:$G$501,$AB120),IF(INDEX(기본자료!$G$2:$G$501,$AB120)&lt;1000000,INDEX(기본자료!$G$2:$G$501,$AB120),IF(AND(INDEX(기본자료!$G$2:$G$501,$AB120)&gt;=10000101,INT(MOD(INDEX(기본자료!$G$2:$G$501,$AB120),10000)/100)&gt;=1,INT(MOD(INDEX(기본자료!$G$2:$G$501,$AB120),10000)/100)&lt;=12,MOD(INDEX(기본자료!$G$2:$G$501,$AB120),100)&gt;=1,MOD(INDEX(기본자료!$G$2:$G$501,$AB120),100)&lt;=31),DATE(INT(INDEX(기본자료!$G$2:$G$501,$AB120)/10000),INT(MOD(INDEX(기본자료!$G$2:$G$501,$AB120),10000)/100),MOD(INDEX(기본자료!$G$2:$G$501,$AB120),100)),INDEX(기본자료!$G$2:$G$501,$AB120)&amp;"")))))</f>
        <v/>
      </c>
      <c r="J120" s="10">
        <f>IF($AB120="","",IF(INDEX(기본자료!$H$2:$H$501,$AB120)="","",INDEX(기본자료!$H$2:$H$501,$AB120)))</f>
        <v/>
      </c>
      <c r="K120" s="10">
        <f>IF($AB120="","",IF(INDEX(기본자료!$I$2:$I$501,$AB120)="","",INDEX(기본자료!$I$2:$I$501,$AB120)))</f>
        <v/>
      </c>
      <c r="L120" s="10">
        <f>IF($AB120="","",IF(INDEX(기본자료!$A$2:$A$501,$AB120)="","",INDEX(기본자료!$A$2:$A$501,$AB120)))</f>
        <v/>
      </c>
      <c r="M120" s="14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4" t="n"/>
      <c r="Q120" s="14" t="n"/>
      <c r="R120" s="14" t="n"/>
      <c r="S120" s="15" t="n"/>
      <c r="T120" s="15" t="n"/>
      <c r="U120" s="10">
        <f>IF(OR($B120="",$S120=""),"",IF(TODAY()&lt;$S120,"파견예정",IF(AND($T120&lt;&gt;"",TODAY()&gt;$T120),"파견종료","파견중")))</f>
        <v/>
      </c>
      <c r="V120" s="16">
        <f>IF(OR($S120="",$T120=""),"",$T120-$S120+1)</f>
        <v/>
      </c>
      <c r="W120" s="16">
        <f>IF(AND($U120="파견중",$T120&lt;&gt;""),$T120-TODAY(),"")</f>
        <v/>
      </c>
      <c r="X120" s="16">
        <f>IF(OR($B120="",$S120=""),"",MAX(0,MIN(IF($T120="",EOMONTH(요약!$B$3,0),$T120),EOMONTH(요약!$B$3,0))-MAX($S120,요약!$B$3)+1))</f>
        <v/>
      </c>
      <c r="Y120" s="10">
        <f>IF($B120="","",IF($AE120="","",IF(OR($S120="",$P120="",N($X120)&lt;=0),$AE120,IF($P120="다기관파견",$AE120,IF($AE120="구리병원",IF(AND($Q120&lt;&gt;"",N($X120)&gt;=요약!$E$3),$Q120,$AE120),IF(AND($P120="일반파견(단독)",$Q120&lt;&gt;""),$Q120,$AE120))))))</f>
        <v/>
      </c>
      <c r="Z120" s="17">
        <f>IF($B120="","",IF($AB120="","기본자료에 없는 사번",IF(COUNTIF($B$2:$B$201,$B120)&gt;1,"중복 사번",IF($M120="","입사장소 입력",IF(AND($P120&lt;&gt;"",$S120=""),"파견시작일 입력",IF(AND($S120&lt;&gt;"",$P120=""),"파견종류 입력",IF(AND($P120&lt;&gt;"",$P120&lt;&gt;"다기관파견",$Q120=""),"파견병원 입력",IF(IF($AC120="",0,N(INDEX(인턴근무계획!$T$3:$T$202,$AC120)))&gt;0,"인턴계획 입력오류 확인",IF(AND($AC120&lt;&gt;"",$U120&lt;&gt;"파견중",$N120&lt;&gt;$AE120),"인턴 타지역 근무: 파견 여부 확인","정상")))))))))</f>
        <v/>
      </c>
      <c r="AA120" s="5" t="n"/>
      <c r="AB120" s="10">
        <f>IF($B120="","",IFERROR(MATCH($B120,기본자료!$B$2:$B$501,0),IFERROR(MATCH($B120&amp;"",기본자료!$B$2:$B$501,0),IFERROR(MATCH(VALUE($B120),기본자료!$B$2:$B$501,0),""))))</f>
        <v/>
      </c>
      <c r="AC120" s="10">
        <f>IF($B120="","",IFERROR(MATCH($B120,인턴근무계획!$D$3:$D$202,0),IFERROR(MATCH($B120&amp;"",인턴근무계획!$D$3:$D$202,0),IFERROR(MATCH(VALUE($B120),인턴근무계획!$D$3:$D$202,0),""))))</f>
        <v/>
      </c>
      <c r="AD120" s="10">
        <f>IF(OR($AC120="",인턴현황!$G$3=""),"",INDEX(인턴근무계획!$M$3:$R$202,$AC120,인턴현황!$G$3)&amp;"")</f>
        <v/>
      </c>
      <c r="AE120" s="10">
        <f>IF($B120="","",IF($M120&lt;&gt;"",$M120,IF($H120="","",IF(RIGHT($H120,2)="병원",$H120,$H120&amp;"병원"))))</f>
        <v/>
      </c>
    </row>
    <row r="121">
      <c r="A121" s="10">
        <f>IF(B121="","",ROW()-1)</f>
        <v/>
      </c>
      <c r="B121" s="13" t="n"/>
      <c r="C121" s="10">
        <f>IF($AB121="","",IF(INDEX(기본자료!$C$2:$C$501,$AB121)="","",INDEX(기본자료!$C$2:$C$501,$AB121)))</f>
        <v/>
      </c>
      <c r="D121" s="10">
        <f>IF($AB121="","",IF(INDEX(기본자료!$J$2:$J$501,$AB121)="","",INDEX(기본자료!$J$2:$J$501,$AB121)))</f>
        <v/>
      </c>
      <c r="E121" s="11">
        <f>IF($AB121="","",IF(INDEX(기본자료!$K$2:$K$501,$AB121)="","",IF(NOT(ISNUMBER(INDEX(기본자료!$K$2:$K$501,$AB121))),INDEX(기본자료!$K$2:$K$501,$AB121),IF(INDEX(기본자료!$K$2:$K$501,$AB121)&lt;1000000,INDEX(기본자료!$K$2:$K$501,$AB121),IF(AND(INDEX(기본자료!$K$2:$K$501,$AB121)&gt;=10000101,INT(MOD(INDEX(기본자료!$K$2:$K$501,$AB121),10000)/100)&gt;=1,INT(MOD(INDEX(기본자료!$K$2:$K$501,$AB121),10000)/100)&lt;=12,MOD(INDEX(기본자료!$K$2:$K$501,$AB121),100)&gt;=1,MOD(INDEX(기본자료!$K$2:$K$501,$AB121),100)&lt;=31),DATE(INT(INDEX(기본자료!$K$2:$K$501,$AB121)/10000),INT(MOD(INDEX(기본자료!$K$2:$K$501,$AB121),10000)/100),MOD(INDEX(기본자료!$K$2:$K$501,$AB121),100)),INDEX(기본자료!$K$2:$K$501,$AB121)&amp;"")))))</f>
        <v/>
      </c>
      <c r="F121" s="10">
        <f>IF($AB121="","",IF(INDEX(기본자료!$D$2:$D$501,$AB121)="","",INDEX(기본자료!$D$2:$D$501,$AB121)))</f>
        <v/>
      </c>
      <c r="G121" s="10">
        <f>IF($AB121="","",IF(INDEX(기본자료!$E$2:$E$501,$AB121)="","",INDEX(기본자료!$E$2:$E$501,$AB121)))</f>
        <v/>
      </c>
      <c r="H121" s="10">
        <f>IF($AB121="","",IF(INDEX(기본자료!$F$2:$F$501,$AB121)="","",INDEX(기본자료!$F$2:$F$501,$AB121)))</f>
        <v/>
      </c>
      <c r="I121" s="11">
        <f>IF($AB121="","",IF(INDEX(기본자료!$G$2:$G$501,$AB121)="","",IF(NOT(ISNUMBER(INDEX(기본자료!$G$2:$G$501,$AB121))),INDEX(기본자료!$G$2:$G$501,$AB121),IF(INDEX(기본자료!$G$2:$G$501,$AB121)&lt;1000000,INDEX(기본자료!$G$2:$G$501,$AB121),IF(AND(INDEX(기본자료!$G$2:$G$501,$AB121)&gt;=10000101,INT(MOD(INDEX(기본자료!$G$2:$G$501,$AB121),10000)/100)&gt;=1,INT(MOD(INDEX(기본자료!$G$2:$G$501,$AB121),10000)/100)&lt;=12,MOD(INDEX(기본자료!$G$2:$G$501,$AB121),100)&gt;=1,MOD(INDEX(기본자료!$G$2:$G$501,$AB121),100)&lt;=31),DATE(INT(INDEX(기본자료!$G$2:$G$501,$AB121)/10000),INT(MOD(INDEX(기본자료!$G$2:$G$501,$AB121),10000)/100),MOD(INDEX(기본자료!$G$2:$G$501,$AB121),100)),INDEX(기본자료!$G$2:$G$501,$AB121)&amp;"")))))</f>
        <v/>
      </c>
      <c r="J121" s="10">
        <f>IF($AB121="","",IF(INDEX(기본자료!$H$2:$H$501,$AB121)="","",INDEX(기본자료!$H$2:$H$501,$AB121)))</f>
        <v/>
      </c>
      <c r="K121" s="10">
        <f>IF($AB121="","",IF(INDEX(기본자료!$I$2:$I$501,$AB121)="","",INDEX(기본자료!$I$2:$I$501,$AB121)))</f>
        <v/>
      </c>
      <c r="L121" s="10">
        <f>IF($AB121="","",IF(INDEX(기본자료!$A$2:$A$501,$AB121)="","",INDEX(기본자료!$A$2:$A$501,$AB121)))</f>
        <v/>
      </c>
      <c r="M121" s="14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4" t="n"/>
      <c r="Q121" s="14" t="n"/>
      <c r="R121" s="14" t="n"/>
      <c r="S121" s="15" t="n"/>
      <c r="T121" s="15" t="n"/>
      <c r="U121" s="10">
        <f>IF(OR($B121="",$S121=""),"",IF(TODAY()&lt;$S121,"파견예정",IF(AND($T121&lt;&gt;"",TODAY()&gt;$T121),"파견종료","파견중")))</f>
        <v/>
      </c>
      <c r="V121" s="16">
        <f>IF(OR($S121="",$T121=""),"",$T121-$S121+1)</f>
        <v/>
      </c>
      <c r="W121" s="16">
        <f>IF(AND($U121="파견중",$T121&lt;&gt;""),$T121-TODAY(),"")</f>
        <v/>
      </c>
      <c r="X121" s="16">
        <f>IF(OR($B121="",$S121=""),"",MAX(0,MIN(IF($T121="",EOMONTH(요약!$B$3,0),$T121),EOMONTH(요약!$B$3,0))-MAX($S121,요약!$B$3)+1))</f>
        <v/>
      </c>
      <c r="Y121" s="10">
        <f>IF($B121="","",IF($AE121="","",IF(OR($S121="",$P121="",N($X121)&lt;=0),$AE121,IF($P121="다기관파견",$AE121,IF($AE121="구리병원",IF(AND($Q121&lt;&gt;"",N($X121)&gt;=요약!$E$3),$Q121,$AE121),IF(AND($P121="일반파견(단독)",$Q121&lt;&gt;""),$Q121,$AE121))))))</f>
        <v/>
      </c>
      <c r="Z121" s="17">
        <f>IF($B121="","",IF($AB121="","기본자료에 없는 사번",IF(COUNTIF($B$2:$B$201,$B121)&gt;1,"중복 사번",IF($M121="","입사장소 입력",IF(AND($P121&lt;&gt;"",$S121=""),"파견시작일 입력",IF(AND($S121&lt;&gt;"",$P121=""),"파견종류 입력",IF(AND($P121&lt;&gt;"",$P121&lt;&gt;"다기관파견",$Q121=""),"파견병원 입력",IF(IF($AC121="",0,N(INDEX(인턴근무계획!$T$3:$T$202,$AC121)))&gt;0,"인턴계획 입력오류 확인",IF(AND($AC121&lt;&gt;"",$U121&lt;&gt;"파견중",$N121&lt;&gt;$AE121),"인턴 타지역 근무: 파견 여부 확인","정상")))))))))</f>
        <v/>
      </c>
      <c r="AA121" s="5" t="n"/>
      <c r="AB121" s="10">
        <f>IF($B121="","",IFERROR(MATCH($B121,기본자료!$B$2:$B$501,0),IFERROR(MATCH($B121&amp;"",기본자료!$B$2:$B$501,0),IFERROR(MATCH(VALUE($B121),기본자료!$B$2:$B$501,0),""))))</f>
        <v/>
      </c>
      <c r="AC121" s="10">
        <f>IF($B121="","",IFERROR(MATCH($B121,인턴근무계획!$D$3:$D$202,0),IFERROR(MATCH($B121&amp;"",인턴근무계획!$D$3:$D$202,0),IFERROR(MATCH(VALUE($B121),인턴근무계획!$D$3:$D$202,0),""))))</f>
        <v/>
      </c>
      <c r="AD121" s="10">
        <f>IF(OR($AC121="",인턴현황!$G$3=""),"",INDEX(인턴근무계획!$M$3:$R$202,$AC121,인턴현황!$G$3)&amp;"")</f>
        <v/>
      </c>
      <c r="AE121" s="10">
        <f>IF($B121="","",IF($M121&lt;&gt;"",$M121,IF($H121="","",IF(RIGHT($H121,2)="병원",$H121,$H121&amp;"병원"))))</f>
        <v/>
      </c>
    </row>
    <row r="122">
      <c r="A122" s="10">
        <f>IF(B122="","",ROW()-1)</f>
        <v/>
      </c>
      <c r="B122" s="13" t="n"/>
      <c r="C122" s="10">
        <f>IF($AB122="","",IF(INDEX(기본자료!$C$2:$C$501,$AB122)="","",INDEX(기본자료!$C$2:$C$501,$AB122)))</f>
        <v/>
      </c>
      <c r="D122" s="10">
        <f>IF($AB122="","",IF(INDEX(기본자료!$J$2:$J$501,$AB122)="","",INDEX(기본자료!$J$2:$J$501,$AB122)))</f>
        <v/>
      </c>
      <c r="E122" s="11">
        <f>IF($AB122="","",IF(INDEX(기본자료!$K$2:$K$501,$AB122)="","",IF(NOT(ISNUMBER(INDEX(기본자료!$K$2:$K$501,$AB122))),INDEX(기본자료!$K$2:$K$501,$AB122),IF(INDEX(기본자료!$K$2:$K$501,$AB122)&lt;1000000,INDEX(기본자료!$K$2:$K$501,$AB122),IF(AND(INDEX(기본자료!$K$2:$K$501,$AB122)&gt;=10000101,INT(MOD(INDEX(기본자료!$K$2:$K$501,$AB122),10000)/100)&gt;=1,INT(MOD(INDEX(기본자료!$K$2:$K$501,$AB122),10000)/100)&lt;=12,MOD(INDEX(기본자료!$K$2:$K$501,$AB122),100)&gt;=1,MOD(INDEX(기본자료!$K$2:$K$501,$AB122),100)&lt;=31),DATE(INT(INDEX(기본자료!$K$2:$K$501,$AB122)/10000),INT(MOD(INDEX(기본자료!$K$2:$K$501,$AB122),10000)/100),MOD(INDEX(기본자료!$K$2:$K$501,$AB122),100)),INDEX(기본자료!$K$2:$K$501,$AB122)&amp;"")))))</f>
        <v/>
      </c>
      <c r="F122" s="10">
        <f>IF($AB122="","",IF(INDEX(기본자료!$D$2:$D$501,$AB122)="","",INDEX(기본자료!$D$2:$D$501,$AB122)))</f>
        <v/>
      </c>
      <c r="G122" s="10">
        <f>IF($AB122="","",IF(INDEX(기본자료!$E$2:$E$501,$AB122)="","",INDEX(기본자료!$E$2:$E$501,$AB122)))</f>
        <v/>
      </c>
      <c r="H122" s="10">
        <f>IF($AB122="","",IF(INDEX(기본자료!$F$2:$F$501,$AB122)="","",INDEX(기본자료!$F$2:$F$501,$AB122)))</f>
        <v/>
      </c>
      <c r="I122" s="11">
        <f>IF($AB122="","",IF(INDEX(기본자료!$G$2:$G$501,$AB122)="","",IF(NOT(ISNUMBER(INDEX(기본자료!$G$2:$G$501,$AB122))),INDEX(기본자료!$G$2:$G$501,$AB122),IF(INDEX(기본자료!$G$2:$G$501,$AB122)&lt;1000000,INDEX(기본자료!$G$2:$G$501,$AB122),IF(AND(INDEX(기본자료!$G$2:$G$501,$AB122)&gt;=10000101,INT(MOD(INDEX(기본자료!$G$2:$G$501,$AB122),10000)/100)&gt;=1,INT(MOD(INDEX(기본자료!$G$2:$G$501,$AB122),10000)/100)&lt;=12,MOD(INDEX(기본자료!$G$2:$G$501,$AB122),100)&gt;=1,MOD(INDEX(기본자료!$G$2:$G$501,$AB122),100)&lt;=31),DATE(INT(INDEX(기본자료!$G$2:$G$501,$AB122)/10000),INT(MOD(INDEX(기본자료!$G$2:$G$501,$AB122),10000)/100),MOD(INDEX(기본자료!$G$2:$G$501,$AB122),100)),INDEX(기본자료!$G$2:$G$501,$AB122)&amp;"")))))</f>
        <v/>
      </c>
      <c r="J122" s="10">
        <f>IF($AB122="","",IF(INDEX(기본자료!$H$2:$H$501,$AB122)="","",INDEX(기본자료!$H$2:$H$501,$AB122)))</f>
        <v/>
      </c>
      <c r="K122" s="10">
        <f>IF($AB122="","",IF(INDEX(기본자료!$I$2:$I$501,$AB122)="","",INDEX(기본자료!$I$2:$I$501,$AB122)))</f>
        <v/>
      </c>
      <c r="L122" s="10">
        <f>IF($AB122="","",IF(INDEX(기본자료!$A$2:$A$501,$AB122)="","",INDEX(기본자료!$A$2:$A$501,$AB122)))</f>
        <v/>
      </c>
      <c r="M122" s="14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4" t="n"/>
      <c r="Q122" s="14" t="n"/>
      <c r="R122" s="14" t="n"/>
      <c r="S122" s="15" t="n"/>
      <c r="T122" s="15" t="n"/>
      <c r="U122" s="10">
        <f>IF(OR($B122="",$S122=""),"",IF(TODAY()&lt;$S122,"파견예정",IF(AND($T122&lt;&gt;"",TODAY()&gt;$T122),"파견종료","파견중")))</f>
        <v/>
      </c>
      <c r="V122" s="16">
        <f>IF(OR($S122="",$T122=""),"",$T122-$S122+1)</f>
        <v/>
      </c>
      <c r="W122" s="16">
        <f>IF(AND($U122="파견중",$T122&lt;&gt;""),$T122-TODAY(),"")</f>
        <v/>
      </c>
      <c r="X122" s="16">
        <f>IF(OR($B122="",$S122=""),"",MAX(0,MIN(IF($T122="",EOMONTH(요약!$B$3,0),$T122),EOMONTH(요약!$B$3,0))-MAX($S122,요약!$B$3)+1))</f>
        <v/>
      </c>
      <c r="Y122" s="10">
        <f>IF($B122="","",IF($AE122="","",IF(OR($S122="",$P122="",N($X122)&lt;=0),$AE122,IF($P122="다기관파견",$AE122,IF($AE122="구리병원",IF(AND($Q122&lt;&gt;"",N($X122)&gt;=요약!$E$3),$Q122,$AE122),IF(AND($P122="일반파견(단독)",$Q122&lt;&gt;""),$Q122,$AE122))))))</f>
        <v/>
      </c>
      <c r="Z122" s="17">
        <f>IF($B122="","",IF($AB122="","기본자료에 없는 사번",IF(COUNTIF($B$2:$B$201,$B122)&gt;1,"중복 사번",IF($M122="","입사장소 입력",IF(AND($P122&lt;&gt;"",$S122=""),"파견시작일 입력",IF(AND($S122&lt;&gt;"",$P122=""),"파견종류 입력",IF(AND($P122&lt;&gt;"",$P122&lt;&gt;"다기관파견",$Q122=""),"파견병원 입력",IF(IF($AC122="",0,N(INDEX(인턴근무계획!$T$3:$T$202,$AC122)))&gt;0,"인턴계획 입력오류 확인",IF(AND($AC122&lt;&gt;"",$U122&lt;&gt;"파견중",$N122&lt;&gt;$AE122),"인턴 타지역 근무: 파견 여부 확인","정상")))))))))</f>
        <v/>
      </c>
      <c r="AA122" s="5" t="n"/>
      <c r="AB122" s="10">
        <f>IF($B122="","",IFERROR(MATCH($B122,기본자료!$B$2:$B$501,0),IFERROR(MATCH($B122&amp;"",기본자료!$B$2:$B$501,0),IFERROR(MATCH(VALUE($B122),기본자료!$B$2:$B$501,0),""))))</f>
        <v/>
      </c>
      <c r="AC122" s="10">
        <f>IF($B122="","",IFERROR(MATCH($B122,인턴근무계획!$D$3:$D$202,0),IFERROR(MATCH($B122&amp;"",인턴근무계획!$D$3:$D$202,0),IFERROR(MATCH(VALUE($B122),인턴근무계획!$D$3:$D$202,0),""))))</f>
        <v/>
      </c>
      <c r="AD122" s="10">
        <f>IF(OR($AC122="",인턴현황!$G$3=""),"",INDEX(인턴근무계획!$M$3:$R$202,$AC122,인턴현황!$G$3)&amp;"")</f>
        <v/>
      </c>
      <c r="AE122" s="10">
        <f>IF($B122="","",IF($M122&lt;&gt;"",$M122,IF($H122="","",IF(RIGHT($H122,2)="병원",$H122,$H122&amp;"병원"))))</f>
        <v/>
      </c>
    </row>
    <row r="123">
      <c r="A123" s="10">
        <f>IF(B123="","",ROW()-1)</f>
        <v/>
      </c>
      <c r="B123" s="13" t="n"/>
      <c r="C123" s="10">
        <f>IF($AB123="","",IF(INDEX(기본자료!$C$2:$C$501,$AB123)="","",INDEX(기본자료!$C$2:$C$501,$AB123)))</f>
        <v/>
      </c>
      <c r="D123" s="10">
        <f>IF($AB123="","",IF(INDEX(기본자료!$J$2:$J$501,$AB123)="","",INDEX(기본자료!$J$2:$J$501,$AB123)))</f>
        <v/>
      </c>
      <c r="E123" s="11">
        <f>IF($AB123="","",IF(INDEX(기본자료!$K$2:$K$501,$AB123)="","",IF(NOT(ISNUMBER(INDEX(기본자료!$K$2:$K$501,$AB123))),INDEX(기본자료!$K$2:$K$501,$AB123),IF(INDEX(기본자료!$K$2:$K$501,$AB123)&lt;1000000,INDEX(기본자료!$K$2:$K$501,$AB123),IF(AND(INDEX(기본자료!$K$2:$K$501,$AB123)&gt;=10000101,INT(MOD(INDEX(기본자료!$K$2:$K$501,$AB123),10000)/100)&gt;=1,INT(MOD(INDEX(기본자료!$K$2:$K$501,$AB123),10000)/100)&lt;=12,MOD(INDEX(기본자료!$K$2:$K$501,$AB123),100)&gt;=1,MOD(INDEX(기본자료!$K$2:$K$501,$AB123),100)&lt;=31),DATE(INT(INDEX(기본자료!$K$2:$K$501,$AB123)/10000),INT(MOD(INDEX(기본자료!$K$2:$K$501,$AB123),10000)/100),MOD(INDEX(기본자료!$K$2:$K$501,$AB123),100)),INDEX(기본자료!$K$2:$K$501,$AB123)&amp;"")))))</f>
        <v/>
      </c>
      <c r="F123" s="10">
        <f>IF($AB123="","",IF(INDEX(기본자료!$D$2:$D$501,$AB123)="","",INDEX(기본자료!$D$2:$D$501,$AB123)))</f>
        <v/>
      </c>
      <c r="G123" s="10">
        <f>IF($AB123="","",IF(INDEX(기본자료!$E$2:$E$501,$AB123)="","",INDEX(기본자료!$E$2:$E$501,$AB123)))</f>
        <v/>
      </c>
      <c r="H123" s="10">
        <f>IF($AB123="","",IF(INDEX(기본자료!$F$2:$F$501,$AB123)="","",INDEX(기본자료!$F$2:$F$501,$AB123)))</f>
        <v/>
      </c>
      <c r="I123" s="11">
        <f>IF($AB123="","",IF(INDEX(기본자료!$G$2:$G$501,$AB123)="","",IF(NOT(ISNUMBER(INDEX(기본자료!$G$2:$G$501,$AB123))),INDEX(기본자료!$G$2:$G$501,$AB123),IF(INDEX(기본자료!$G$2:$G$501,$AB123)&lt;1000000,INDEX(기본자료!$G$2:$G$501,$AB123),IF(AND(INDEX(기본자료!$G$2:$G$501,$AB123)&gt;=10000101,INT(MOD(INDEX(기본자료!$G$2:$G$501,$AB123),10000)/100)&gt;=1,INT(MOD(INDEX(기본자료!$G$2:$G$501,$AB123),10000)/100)&lt;=12,MOD(INDEX(기본자료!$G$2:$G$501,$AB123),100)&gt;=1,MOD(INDEX(기본자료!$G$2:$G$501,$AB123),100)&lt;=31),DATE(INT(INDEX(기본자료!$G$2:$G$501,$AB123)/10000),INT(MOD(INDEX(기본자료!$G$2:$G$501,$AB123),10000)/100),MOD(INDEX(기본자료!$G$2:$G$501,$AB123),100)),INDEX(기본자료!$G$2:$G$501,$AB123)&amp;"")))))</f>
        <v/>
      </c>
      <c r="J123" s="10">
        <f>IF($AB123="","",IF(INDEX(기본자료!$H$2:$H$501,$AB123)="","",INDEX(기본자료!$H$2:$H$501,$AB123)))</f>
        <v/>
      </c>
      <c r="K123" s="10">
        <f>IF($AB123="","",IF(INDEX(기본자료!$I$2:$I$501,$AB123)="","",INDEX(기본자료!$I$2:$I$501,$AB123)))</f>
        <v/>
      </c>
      <c r="L123" s="10">
        <f>IF($AB123="","",IF(INDEX(기본자료!$A$2:$A$501,$AB123)="","",INDEX(기본자료!$A$2:$A$501,$AB123)))</f>
        <v/>
      </c>
      <c r="M123" s="14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4" t="n"/>
      <c r="Q123" s="14" t="n"/>
      <c r="R123" s="14" t="n"/>
      <c r="S123" s="15" t="n"/>
      <c r="T123" s="15" t="n"/>
      <c r="U123" s="10">
        <f>IF(OR($B123="",$S123=""),"",IF(TODAY()&lt;$S123,"파견예정",IF(AND($T123&lt;&gt;"",TODAY()&gt;$T123),"파견종료","파견중")))</f>
        <v/>
      </c>
      <c r="V123" s="16">
        <f>IF(OR($S123="",$T123=""),"",$T123-$S123+1)</f>
        <v/>
      </c>
      <c r="W123" s="16">
        <f>IF(AND($U123="파견중",$T123&lt;&gt;""),$T123-TODAY(),"")</f>
        <v/>
      </c>
      <c r="X123" s="16">
        <f>IF(OR($B123="",$S123=""),"",MAX(0,MIN(IF($T123="",EOMONTH(요약!$B$3,0),$T123),EOMONTH(요약!$B$3,0))-MAX($S123,요약!$B$3)+1))</f>
        <v/>
      </c>
      <c r="Y123" s="10">
        <f>IF($B123="","",IF($AE123="","",IF(OR($S123="",$P123="",N($X123)&lt;=0),$AE123,IF($P123="다기관파견",$AE123,IF($AE123="구리병원",IF(AND($Q123&lt;&gt;"",N($X123)&gt;=요약!$E$3),$Q123,$AE123),IF(AND($P123="일반파견(단독)",$Q123&lt;&gt;""),$Q123,$AE123))))))</f>
        <v/>
      </c>
      <c r="Z123" s="17">
        <f>IF($B123="","",IF($AB123="","기본자료에 없는 사번",IF(COUNTIF($B$2:$B$201,$B123)&gt;1,"중복 사번",IF($M123="","입사장소 입력",IF(AND($P123&lt;&gt;"",$S123=""),"파견시작일 입력",IF(AND($S123&lt;&gt;"",$P123=""),"파견종류 입력",IF(AND($P123&lt;&gt;"",$P123&lt;&gt;"다기관파견",$Q123=""),"파견병원 입력",IF(IF($AC123="",0,N(INDEX(인턴근무계획!$T$3:$T$202,$AC123)))&gt;0,"인턴계획 입력오류 확인",IF(AND($AC123&lt;&gt;"",$U123&lt;&gt;"파견중",$N123&lt;&gt;$AE123),"인턴 타지역 근무: 파견 여부 확인","정상")))))))))</f>
        <v/>
      </c>
      <c r="AA123" s="5" t="n"/>
      <c r="AB123" s="10">
        <f>IF($B123="","",IFERROR(MATCH($B123,기본자료!$B$2:$B$501,0),IFERROR(MATCH($B123&amp;"",기본자료!$B$2:$B$501,0),IFERROR(MATCH(VALUE($B123),기본자료!$B$2:$B$501,0),""))))</f>
        <v/>
      </c>
      <c r="AC123" s="10">
        <f>IF($B123="","",IFERROR(MATCH($B123,인턴근무계획!$D$3:$D$202,0),IFERROR(MATCH($B123&amp;"",인턴근무계획!$D$3:$D$202,0),IFERROR(MATCH(VALUE($B123),인턴근무계획!$D$3:$D$202,0),""))))</f>
        <v/>
      </c>
      <c r="AD123" s="10">
        <f>IF(OR($AC123="",인턴현황!$G$3=""),"",INDEX(인턴근무계획!$M$3:$R$202,$AC123,인턴현황!$G$3)&amp;"")</f>
        <v/>
      </c>
      <c r="AE123" s="10">
        <f>IF($B123="","",IF($M123&lt;&gt;"",$M123,IF($H123="","",IF(RIGHT($H123,2)="병원",$H123,$H123&amp;"병원"))))</f>
        <v/>
      </c>
    </row>
    <row r="124">
      <c r="A124" s="10">
        <f>IF(B124="","",ROW()-1)</f>
        <v/>
      </c>
      <c r="B124" s="13" t="n"/>
      <c r="C124" s="10">
        <f>IF($AB124="","",IF(INDEX(기본자료!$C$2:$C$501,$AB124)="","",INDEX(기본자료!$C$2:$C$501,$AB124)))</f>
        <v/>
      </c>
      <c r="D124" s="10">
        <f>IF($AB124="","",IF(INDEX(기본자료!$J$2:$J$501,$AB124)="","",INDEX(기본자료!$J$2:$J$501,$AB124)))</f>
        <v/>
      </c>
      <c r="E124" s="11">
        <f>IF($AB124="","",IF(INDEX(기본자료!$K$2:$K$501,$AB124)="","",IF(NOT(ISNUMBER(INDEX(기본자료!$K$2:$K$501,$AB124))),INDEX(기본자료!$K$2:$K$501,$AB124),IF(INDEX(기본자료!$K$2:$K$501,$AB124)&lt;1000000,INDEX(기본자료!$K$2:$K$501,$AB124),IF(AND(INDEX(기본자료!$K$2:$K$501,$AB124)&gt;=10000101,INT(MOD(INDEX(기본자료!$K$2:$K$501,$AB124),10000)/100)&gt;=1,INT(MOD(INDEX(기본자료!$K$2:$K$501,$AB124),10000)/100)&lt;=12,MOD(INDEX(기본자료!$K$2:$K$501,$AB124),100)&gt;=1,MOD(INDEX(기본자료!$K$2:$K$501,$AB124),100)&lt;=31),DATE(INT(INDEX(기본자료!$K$2:$K$501,$AB124)/10000),INT(MOD(INDEX(기본자료!$K$2:$K$501,$AB124),10000)/100),MOD(INDEX(기본자료!$K$2:$K$501,$AB124),100)),INDEX(기본자료!$K$2:$K$501,$AB124)&amp;"")))))</f>
        <v/>
      </c>
      <c r="F124" s="10">
        <f>IF($AB124="","",IF(INDEX(기본자료!$D$2:$D$501,$AB124)="","",INDEX(기본자료!$D$2:$D$501,$AB124)))</f>
        <v/>
      </c>
      <c r="G124" s="10">
        <f>IF($AB124="","",IF(INDEX(기본자료!$E$2:$E$501,$AB124)="","",INDEX(기본자료!$E$2:$E$501,$AB124)))</f>
        <v/>
      </c>
      <c r="H124" s="10">
        <f>IF($AB124="","",IF(INDEX(기본자료!$F$2:$F$501,$AB124)="","",INDEX(기본자료!$F$2:$F$501,$AB124)))</f>
        <v/>
      </c>
      <c r="I124" s="11">
        <f>IF($AB124="","",IF(INDEX(기본자료!$G$2:$G$501,$AB124)="","",IF(NOT(ISNUMBER(INDEX(기본자료!$G$2:$G$501,$AB124))),INDEX(기본자료!$G$2:$G$501,$AB124),IF(INDEX(기본자료!$G$2:$G$501,$AB124)&lt;1000000,INDEX(기본자료!$G$2:$G$501,$AB124),IF(AND(INDEX(기본자료!$G$2:$G$501,$AB124)&gt;=10000101,INT(MOD(INDEX(기본자료!$G$2:$G$501,$AB124),10000)/100)&gt;=1,INT(MOD(INDEX(기본자료!$G$2:$G$501,$AB124),10000)/100)&lt;=12,MOD(INDEX(기본자료!$G$2:$G$501,$AB124),100)&gt;=1,MOD(INDEX(기본자료!$G$2:$G$501,$AB124),100)&lt;=31),DATE(INT(INDEX(기본자료!$G$2:$G$501,$AB124)/10000),INT(MOD(INDEX(기본자료!$G$2:$G$501,$AB124),10000)/100),MOD(INDEX(기본자료!$G$2:$G$501,$AB124),100)),INDEX(기본자료!$G$2:$G$501,$AB124)&amp;"")))))</f>
        <v/>
      </c>
      <c r="J124" s="10">
        <f>IF($AB124="","",IF(INDEX(기본자료!$H$2:$H$501,$AB124)="","",INDEX(기본자료!$H$2:$H$501,$AB124)))</f>
        <v/>
      </c>
      <c r="K124" s="10">
        <f>IF($AB124="","",IF(INDEX(기본자료!$I$2:$I$501,$AB124)="","",INDEX(기본자료!$I$2:$I$501,$AB124)))</f>
        <v/>
      </c>
      <c r="L124" s="10">
        <f>IF($AB124="","",IF(INDEX(기본자료!$A$2:$A$501,$AB124)="","",INDEX(기본자료!$A$2:$A$501,$AB124)))</f>
        <v/>
      </c>
      <c r="M124" s="14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4" t="n"/>
      <c r="Q124" s="14" t="n"/>
      <c r="R124" s="14" t="n"/>
      <c r="S124" s="15" t="n"/>
      <c r="T124" s="15" t="n"/>
      <c r="U124" s="10">
        <f>IF(OR($B124="",$S124=""),"",IF(TODAY()&lt;$S124,"파견예정",IF(AND($T124&lt;&gt;"",TODAY()&gt;$T124),"파견종료","파견중")))</f>
        <v/>
      </c>
      <c r="V124" s="16">
        <f>IF(OR($S124="",$T124=""),"",$T124-$S124+1)</f>
        <v/>
      </c>
      <c r="W124" s="16">
        <f>IF(AND($U124="파견중",$T124&lt;&gt;""),$T124-TODAY(),"")</f>
        <v/>
      </c>
      <c r="X124" s="16">
        <f>IF(OR($B124="",$S124=""),"",MAX(0,MIN(IF($T124="",EOMONTH(요약!$B$3,0),$T124),EOMONTH(요약!$B$3,0))-MAX($S124,요약!$B$3)+1))</f>
        <v/>
      </c>
      <c r="Y124" s="10">
        <f>IF($B124="","",IF($AE124="","",IF(OR($S124="",$P124="",N($X124)&lt;=0),$AE124,IF($P124="다기관파견",$AE124,IF($AE124="구리병원",IF(AND($Q124&lt;&gt;"",N($X124)&gt;=요약!$E$3),$Q124,$AE124),IF(AND($P124="일반파견(단독)",$Q124&lt;&gt;""),$Q124,$AE124))))))</f>
        <v/>
      </c>
      <c r="Z124" s="17">
        <f>IF($B124="","",IF($AB124="","기본자료에 없는 사번",IF(COUNTIF($B$2:$B$201,$B124)&gt;1,"중복 사번",IF($M124="","입사장소 입력",IF(AND($P124&lt;&gt;"",$S124=""),"파견시작일 입력",IF(AND($S124&lt;&gt;"",$P124=""),"파견종류 입력",IF(AND($P124&lt;&gt;"",$P124&lt;&gt;"다기관파견",$Q124=""),"파견병원 입력",IF(IF($AC124="",0,N(INDEX(인턴근무계획!$T$3:$T$202,$AC124)))&gt;0,"인턴계획 입력오류 확인",IF(AND($AC124&lt;&gt;"",$U124&lt;&gt;"파견중",$N124&lt;&gt;$AE124),"인턴 타지역 근무: 파견 여부 확인","정상")))))))))</f>
        <v/>
      </c>
      <c r="AA124" s="5" t="n"/>
      <c r="AB124" s="10">
        <f>IF($B124="","",IFERROR(MATCH($B124,기본자료!$B$2:$B$501,0),IFERROR(MATCH($B124&amp;"",기본자료!$B$2:$B$501,0),IFERROR(MATCH(VALUE($B124),기본자료!$B$2:$B$501,0),""))))</f>
        <v/>
      </c>
      <c r="AC124" s="10">
        <f>IF($B124="","",IFERROR(MATCH($B124,인턴근무계획!$D$3:$D$202,0),IFERROR(MATCH($B124&amp;"",인턴근무계획!$D$3:$D$202,0),IFERROR(MATCH(VALUE($B124),인턴근무계획!$D$3:$D$202,0),""))))</f>
        <v/>
      </c>
      <c r="AD124" s="10">
        <f>IF(OR($AC124="",인턴현황!$G$3=""),"",INDEX(인턴근무계획!$M$3:$R$202,$AC124,인턴현황!$G$3)&amp;"")</f>
        <v/>
      </c>
      <c r="AE124" s="10">
        <f>IF($B124="","",IF($M124&lt;&gt;"",$M124,IF($H124="","",IF(RIGHT($H124,2)="병원",$H124,$H124&amp;"병원"))))</f>
        <v/>
      </c>
    </row>
    <row r="125">
      <c r="A125" s="10">
        <f>IF(B125="","",ROW()-1)</f>
        <v/>
      </c>
      <c r="B125" s="13" t="n"/>
      <c r="C125" s="10">
        <f>IF($AB125="","",IF(INDEX(기본자료!$C$2:$C$501,$AB125)="","",INDEX(기본자료!$C$2:$C$501,$AB125)))</f>
        <v/>
      </c>
      <c r="D125" s="10">
        <f>IF($AB125="","",IF(INDEX(기본자료!$J$2:$J$501,$AB125)="","",INDEX(기본자료!$J$2:$J$501,$AB125)))</f>
        <v/>
      </c>
      <c r="E125" s="11">
        <f>IF($AB125="","",IF(INDEX(기본자료!$K$2:$K$501,$AB125)="","",IF(NOT(ISNUMBER(INDEX(기본자료!$K$2:$K$501,$AB125))),INDEX(기본자료!$K$2:$K$501,$AB125),IF(INDEX(기본자료!$K$2:$K$501,$AB125)&lt;1000000,INDEX(기본자료!$K$2:$K$501,$AB125),IF(AND(INDEX(기본자료!$K$2:$K$501,$AB125)&gt;=10000101,INT(MOD(INDEX(기본자료!$K$2:$K$501,$AB125),10000)/100)&gt;=1,INT(MOD(INDEX(기본자료!$K$2:$K$501,$AB125),10000)/100)&lt;=12,MOD(INDEX(기본자료!$K$2:$K$501,$AB125),100)&gt;=1,MOD(INDEX(기본자료!$K$2:$K$501,$AB125),100)&lt;=31),DATE(INT(INDEX(기본자료!$K$2:$K$501,$AB125)/10000),INT(MOD(INDEX(기본자료!$K$2:$K$501,$AB125),10000)/100),MOD(INDEX(기본자료!$K$2:$K$501,$AB125),100)),INDEX(기본자료!$K$2:$K$501,$AB125)&amp;"")))))</f>
        <v/>
      </c>
      <c r="F125" s="10">
        <f>IF($AB125="","",IF(INDEX(기본자료!$D$2:$D$501,$AB125)="","",INDEX(기본자료!$D$2:$D$501,$AB125)))</f>
        <v/>
      </c>
      <c r="G125" s="10">
        <f>IF($AB125="","",IF(INDEX(기본자료!$E$2:$E$501,$AB125)="","",INDEX(기본자료!$E$2:$E$501,$AB125)))</f>
        <v/>
      </c>
      <c r="H125" s="10">
        <f>IF($AB125="","",IF(INDEX(기본자료!$F$2:$F$501,$AB125)="","",INDEX(기본자료!$F$2:$F$501,$AB125)))</f>
        <v/>
      </c>
      <c r="I125" s="11">
        <f>IF($AB125="","",IF(INDEX(기본자료!$G$2:$G$501,$AB125)="","",IF(NOT(ISNUMBER(INDEX(기본자료!$G$2:$G$501,$AB125))),INDEX(기본자료!$G$2:$G$501,$AB125),IF(INDEX(기본자료!$G$2:$G$501,$AB125)&lt;1000000,INDEX(기본자료!$G$2:$G$501,$AB125),IF(AND(INDEX(기본자료!$G$2:$G$501,$AB125)&gt;=10000101,INT(MOD(INDEX(기본자료!$G$2:$G$501,$AB125),10000)/100)&gt;=1,INT(MOD(INDEX(기본자료!$G$2:$G$501,$AB125),10000)/100)&lt;=12,MOD(INDEX(기본자료!$G$2:$G$501,$AB125),100)&gt;=1,MOD(INDEX(기본자료!$G$2:$G$501,$AB125),100)&lt;=31),DATE(INT(INDEX(기본자료!$G$2:$G$501,$AB125)/10000),INT(MOD(INDEX(기본자료!$G$2:$G$501,$AB125),10000)/100),MOD(INDEX(기본자료!$G$2:$G$501,$AB125),100)),INDEX(기본자료!$G$2:$G$501,$AB125)&amp;"")))))</f>
        <v/>
      </c>
      <c r="J125" s="10">
        <f>IF($AB125="","",IF(INDEX(기본자료!$H$2:$H$501,$AB125)="","",INDEX(기본자료!$H$2:$H$501,$AB125)))</f>
        <v/>
      </c>
      <c r="K125" s="10">
        <f>IF($AB125="","",IF(INDEX(기본자료!$I$2:$I$501,$AB125)="","",INDEX(기본자료!$I$2:$I$501,$AB125)))</f>
        <v/>
      </c>
      <c r="L125" s="10">
        <f>IF($AB125="","",IF(INDEX(기본자료!$A$2:$A$501,$AB125)="","",INDEX(기본자료!$A$2:$A$501,$AB125)))</f>
        <v/>
      </c>
      <c r="M125" s="14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4" t="n"/>
      <c r="Q125" s="14" t="n"/>
      <c r="R125" s="14" t="n"/>
      <c r="S125" s="15" t="n"/>
      <c r="T125" s="15" t="n"/>
      <c r="U125" s="10">
        <f>IF(OR($B125="",$S125=""),"",IF(TODAY()&lt;$S125,"파견예정",IF(AND($T125&lt;&gt;"",TODAY()&gt;$T125),"파견종료","파견중")))</f>
        <v/>
      </c>
      <c r="V125" s="16">
        <f>IF(OR($S125="",$T125=""),"",$T125-$S125+1)</f>
        <v/>
      </c>
      <c r="W125" s="16">
        <f>IF(AND($U125="파견중",$T125&lt;&gt;""),$T125-TODAY(),"")</f>
        <v/>
      </c>
      <c r="X125" s="16">
        <f>IF(OR($B125="",$S125=""),"",MAX(0,MIN(IF($T125="",EOMONTH(요약!$B$3,0),$T125),EOMONTH(요약!$B$3,0))-MAX($S125,요약!$B$3)+1))</f>
        <v/>
      </c>
      <c r="Y125" s="10">
        <f>IF($B125="","",IF($AE125="","",IF(OR($S125="",$P125="",N($X125)&lt;=0),$AE125,IF($P125="다기관파견",$AE125,IF($AE125="구리병원",IF(AND($Q125&lt;&gt;"",N($X125)&gt;=요약!$E$3),$Q125,$AE125),IF(AND($P125="일반파견(단독)",$Q125&lt;&gt;""),$Q125,$AE125))))))</f>
        <v/>
      </c>
      <c r="Z125" s="17">
        <f>IF($B125="","",IF($AB125="","기본자료에 없는 사번",IF(COUNTIF($B$2:$B$201,$B125)&gt;1,"중복 사번",IF($M125="","입사장소 입력",IF(AND($P125&lt;&gt;"",$S125=""),"파견시작일 입력",IF(AND($S125&lt;&gt;"",$P125=""),"파견종류 입력",IF(AND($P125&lt;&gt;"",$P125&lt;&gt;"다기관파견",$Q125=""),"파견병원 입력",IF(IF($AC125="",0,N(INDEX(인턴근무계획!$T$3:$T$202,$AC125)))&gt;0,"인턴계획 입력오류 확인",IF(AND($AC125&lt;&gt;"",$U125&lt;&gt;"파견중",$N125&lt;&gt;$AE125),"인턴 타지역 근무: 파견 여부 확인","정상")))))))))</f>
        <v/>
      </c>
      <c r="AA125" s="5" t="n"/>
      <c r="AB125" s="10">
        <f>IF($B125="","",IFERROR(MATCH($B125,기본자료!$B$2:$B$501,0),IFERROR(MATCH($B125&amp;"",기본자료!$B$2:$B$501,0),IFERROR(MATCH(VALUE($B125),기본자료!$B$2:$B$501,0),""))))</f>
        <v/>
      </c>
      <c r="AC125" s="10">
        <f>IF($B125="","",IFERROR(MATCH($B125,인턴근무계획!$D$3:$D$202,0),IFERROR(MATCH($B125&amp;"",인턴근무계획!$D$3:$D$202,0),IFERROR(MATCH(VALUE($B125),인턴근무계획!$D$3:$D$202,0),""))))</f>
        <v/>
      </c>
      <c r="AD125" s="10">
        <f>IF(OR($AC125="",인턴현황!$G$3=""),"",INDEX(인턴근무계획!$M$3:$R$202,$AC125,인턴현황!$G$3)&amp;"")</f>
        <v/>
      </c>
      <c r="AE125" s="10">
        <f>IF($B125="","",IF($M125&lt;&gt;"",$M125,IF($H125="","",IF(RIGHT($H125,2)="병원",$H125,$H125&amp;"병원"))))</f>
        <v/>
      </c>
    </row>
    <row r="126">
      <c r="A126" s="10">
        <f>IF(B126="","",ROW()-1)</f>
        <v/>
      </c>
      <c r="B126" s="13" t="n"/>
      <c r="C126" s="10">
        <f>IF($AB126="","",IF(INDEX(기본자료!$C$2:$C$501,$AB126)="","",INDEX(기본자료!$C$2:$C$501,$AB126)))</f>
        <v/>
      </c>
      <c r="D126" s="10">
        <f>IF($AB126="","",IF(INDEX(기본자료!$J$2:$J$501,$AB126)="","",INDEX(기본자료!$J$2:$J$501,$AB126)))</f>
        <v/>
      </c>
      <c r="E126" s="11">
        <f>IF($AB126="","",IF(INDEX(기본자료!$K$2:$K$501,$AB126)="","",IF(NOT(ISNUMBER(INDEX(기본자료!$K$2:$K$501,$AB126))),INDEX(기본자료!$K$2:$K$501,$AB126),IF(INDEX(기본자료!$K$2:$K$501,$AB126)&lt;1000000,INDEX(기본자료!$K$2:$K$501,$AB126),IF(AND(INDEX(기본자료!$K$2:$K$501,$AB126)&gt;=10000101,INT(MOD(INDEX(기본자료!$K$2:$K$501,$AB126),10000)/100)&gt;=1,INT(MOD(INDEX(기본자료!$K$2:$K$501,$AB126),10000)/100)&lt;=12,MOD(INDEX(기본자료!$K$2:$K$501,$AB126),100)&gt;=1,MOD(INDEX(기본자료!$K$2:$K$501,$AB126),100)&lt;=31),DATE(INT(INDEX(기본자료!$K$2:$K$501,$AB126)/10000),INT(MOD(INDEX(기본자료!$K$2:$K$501,$AB126),10000)/100),MOD(INDEX(기본자료!$K$2:$K$501,$AB126),100)),INDEX(기본자료!$K$2:$K$501,$AB126)&amp;"")))))</f>
        <v/>
      </c>
      <c r="F126" s="10">
        <f>IF($AB126="","",IF(INDEX(기본자료!$D$2:$D$501,$AB126)="","",INDEX(기본자료!$D$2:$D$501,$AB126)))</f>
        <v/>
      </c>
      <c r="G126" s="10">
        <f>IF($AB126="","",IF(INDEX(기본자료!$E$2:$E$501,$AB126)="","",INDEX(기본자료!$E$2:$E$501,$AB126)))</f>
        <v/>
      </c>
      <c r="H126" s="10">
        <f>IF($AB126="","",IF(INDEX(기본자료!$F$2:$F$501,$AB126)="","",INDEX(기본자료!$F$2:$F$501,$AB126)))</f>
        <v/>
      </c>
      <c r="I126" s="11">
        <f>IF($AB126="","",IF(INDEX(기본자료!$G$2:$G$501,$AB126)="","",IF(NOT(ISNUMBER(INDEX(기본자료!$G$2:$G$501,$AB126))),INDEX(기본자료!$G$2:$G$501,$AB126),IF(INDEX(기본자료!$G$2:$G$501,$AB126)&lt;1000000,INDEX(기본자료!$G$2:$G$501,$AB126),IF(AND(INDEX(기본자료!$G$2:$G$501,$AB126)&gt;=10000101,INT(MOD(INDEX(기본자료!$G$2:$G$501,$AB126),10000)/100)&gt;=1,INT(MOD(INDEX(기본자료!$G$2:$G$501,$AB126),10000)/100)&lt;=12,MOD(INDEX(기본자료!$G$2:$G$501,$AB126),100)&gt;=1,MOD(INDEX(기본자료!$G$2:$G$501,$AB126),100)&lt;=31),DATE(INT(INDEX(기본자료!$G$2:$G$501,$AB126)/10000),INT(MOD(INDEX(기본자료!$G$2:$G$501,$AB126),10000)/100),MOD(INDEX(기본자료!$G$2:$G$501,$AB126),100)),INDEX(기본자료!$G$2:$G$501,$AB126)&amp;"")))))</f>
        <v/>
      </c>
      <c r="J126" s="10">
        <f>IF($AB126="","",IF(INDEX(기본자료!$H$2:$H$501,$AB126)="","",INDEX(기본자료!$H$2:$H$501,$AB126)))</f>
        <v/>
      </c>
      <c r="K126" s="10">
        <f>IF($AB126="","",IF(INDEX(기본자료!$I$2:$I$501,$AB126)="","",INDEX(기본자료!$I$2:$I$501,$AB126)))</f>
        <v/>
      </c>
      <c r="L126" s="10">
        <f>IF($AB126="","",IF(INDEX(기본자료!$A$2:$A$501,$AB126)="","",INDEX(기본자료!$A$2:$A$501,$AB126)))</f>
        <v/>
      </c>
      <c r="M126" s="14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4" t="n"/>
      <c r="Q126" s="14" t="n"/>
      <c r="R126" s="14" t="n"/>
      <c r="S126" s="15" t="n"/>
      <c r="T126" s="15" t="n"/>
      <c r="U126" s="10">
        <f>IF(OR($B126="",$S126=""),"",IF(TODAY()&lt;$S126,"파견예정",IF(AND($T126&lt;&gt;"",TODAY()&gt;$T126),"파견종료","파견중")))</f>
        <v/>
      </c>
      <c r="V126" s="16">
        <f>IF(OR($S126="",$T126=""),"",$T126-$S126+1)</f>
        <v/>
      </c>
      <c r="W126" s="16">
        <f>IF(AND($U126="파견중",$T126&lt;&gt;""),$T126-TODAY(),"")</f>
        <v/>
      </c>
      <c r="X126" s="16">
        <f>IF(OR($B126="",$S126=""),"",MAX(0,MIN(IF($T126="",EOMONTH(요약!$B$3,0),$T126),EOMONTH(요약!$B$3,0))-MAX($S126,요약!$B$3)+1))</f>
        <v/>
      </c>
      <c r="Y126" s="10">
        <f>IF($B126="","",IF($AE126="","",IF(OR($S126="",$P126="",N($X126)&lt;=0),$AE126,IF($P126="다기관파견",$AE126,IF($AE126="구리병원",IF(AND($Q126&lt;&gt;"",N($X126)&gt;=요약!$E$3),$Q126,$AE126),IF(AND($P126="일반파견(단독)",$Q126&lt;&gt;""),$Q126,$AE126))))))</f>
        <v/>
      </c>
      <c r="Z126" s="17">
        <f>IF($B126="","",IF($AB126="","기본자료에 없는 사번",IF(COUNTIF($B$2:$B$201,$B126)&gt;1,"중복 사번",IF($M126="","입사장소 입력",IF(AND($P126&lt;&gt;"",$S126=""),"파견시작일 입력",IF(AND($S126&lt;&gt;"",$P126=""),"파견종류 입력",IF(AND($P126&lt;&gt;"",$P126&lt;&gt;"다기관파견",$Q126=""),"파견병원 입력",IF(IF($AC126="",0,N(INDEX(인턴근무계획!$T$3:$T$202,$AC126)))&gt;0,"인턴계획 입력오류 확인",IF(AND($AC126&lt;&gt;"",$U126&lt;&gt;"파견중",$N126&lt;&gt;$AE126),"인턴 타지역 근무: 파견 여부 확인","정상")))))))))</f>
        <v/>
      </c>
      <c r="AA126" s="5" t="n"/>
      <c r="AB126" s="10">
        <f>IF($B126="","",IFERROR(MATCH($B126,기본자료!$B$2:$B$501,0),IFERROR(MATCH($B126&amp;"",기본자료!$B$2:$B$501,0),IFERROR(MATCH(VALUE($B126),기본자료!$B$2:$B$501,0),""))))</f>
        <v/>
      </c>
      <c r="AC126" s="10">
        <f>IF($B126="","",IFERROR(MATCH($B126,인턴근무계획!$D$3:$D$202,0),IFERROR(MATCH($B126&amp;"",인턴근무계획!$D$3:$D$202,0),IFERROR(MATCH(VALUE($B126),인턴근무계획!$D$3:$D$202,0),""))))</f>
        <v/>
      </c>
      <c r="AD126" s="10">
        <f>IF(OR($AC126="",인턴현황!$G$3=""),"",INDEX(인턴근무계획!$M$3:$R$202,$AC126,인턴현황!$G$3)&amp;"")</f>
        <v/>
      </c>
      <c r="AE126" s="10">
        <f>IF($B126="","",IF($M126&lt;&gt;"",$M126,IF($H126="","",IF(RIGHT($H126,2)="병원",$H126,$H126&amp;"병원"))))</f>
        <v/>
      </c>
    </row>
    <row r="127">
      <c r="A127" s="10">
        <f>IF(B127="","",ROW()-1)</f>
        <v/>
      </c>
      <c r="B127" s="13" t="n"/>
      <c r="C127" s="10">
        <f>IF($AB127="","",IF(INDEX(기본자료!$C$2:$C$501,$AB127)="","",INDEX(기본자료!$C$2:$C$501,$AB127)))</f>
        <v/>
      </c>
      <c r="D127" s="10">
        <f>IF($AB127="","",IF(INDEX(기본자료!$J$2:$J$501,$AB127)="","",INDEX(기본자료!$J$2:$J$501,$AB127)))</f>
        <v/>
      </c>
      <c r="E127" s="11">
        <f>IF($AB127="","",IF(INDEX(기본자료!$K$2:$K$501,$AB127)="","",IF(NOT(ISNUMBER(INDEX(기본자료!$K$2:$K$501,$AB127))),INDEX(기본자료!$K$2:$K$501,$AB127),IF(INDEX(기본자료!$K$2:$K$501,$AB127)&lt;1000000,INDEX(기본자료!$K$2:$K$501,$AB127),IF(AND(INDEX(기본자료!$K$2:$K$501,$AB127)&gt;=10000101,INT(MOD(INDEX(기본자료!$K$2:$K$501,$AB127),10000)/100)&gt;=1,INT(MOD(INDEX(기본자료!$K$2:$K$501,$AB127),10000)/100)&lt;=12,MOD(INDEX(기본자료!$K$2:$K$501,$AB127),100)&gt;=1,MOD(INDEX(기본자료!$K$2:$K$501,$AB127),100)&lt;=31),DATE(INT(INDEX(기본자료!$K$2:$K$501,$AB127)/10000),INT(MOD(INDEX(기본자료!$K$2:$K$501,$AB127),10000)/100),MOD(INDEX(기본자료!$K$2:$K$501,$AB127),100)),INDEX(기본자료!$K$2:$K$501,$AB127)&amp;"")))))</f>
        <v/>
      </c>
      <c r="F127" s="10">
        <f>IF($AB127="","",IF(INDEX(기본자료!$D$2:$D$501,$AB127)="","",INDEX(기본자료!$D$2:$D$501,$AB127)))</f>
        <v/>
      </c>
      <c r="G127" s="10">
        <f>IF($AB127="","",IF(INDEX(기본자료!$E$2:$E$501,$AB127)="","",INDEX(기본자료!$E$2:$E$501,$AB127)))</f>
        <v/>
      </c>
      <c r="H127" s="10">
        <f>IF($AB127="","",IF(INDEX(기본자료!$F$2:$F$501,$AB127)="","",INDEX(기본자료!$F$2:$F$501,$AB127)))</f>
        <v/>
      </c>
      <c r="I127" s="11">
        <f>IF($AB127="","",IF(INDEX(기본자료!$G$2:$G$501,$AB127)="","",IF(NOT(ISNUMBER(INDEX(기본자료!$G$2:$G$501,$AB127))),INDEX(기본자료!$G$2:$G$501,$AB127),IF(INDEX(기본자료!$G$2:$G$501,$AB127)&lt;1000000,INDEX(기본자료!$G$2:$G$501,$AB127),IF(AND(INDEX(기본자료!$G$2:$G$501,$AB127)&gt;=10000101,INT(MOD(INDEX(기본자료!$G$2:$G$501,$AB127),10000)/100)&gt;=1,INT(MOD(INDEX(기본자료!$G$2:$G$501,$AB127),10000)/100)&lt;=12,MOD(INDEX(기본자료!$G$2:$G$501,$AB127),100)&gt;=1,MOD(INDEX(기본자료!$G$2:$G$501,$AB127),100)&lt;=31),DATE(INT(INDEX(기본자료!$G$2:$G$501,$AB127)/10000),INT(MOD(INDEX(기본자료!$G$2:$G$501,$AB127),10000)/100),MOD(INDEX(기본자료!$G$2:$G$501,$AB127),100)),INDEX(기본자료!$G$2:$G$501,$AB127)&amp;"")))))</f>
        <v/>
      </c>
      <c r="J127" s="10">
        <f>IF($AB127="","",IF(INDEX(기본자료!$H$2:$H$501,$AB127)="","",INDEX(기본자료!$H$2:$H$501,$AB127)))</f>
        <v/>
      </c>
      <c r="K127" s="10">
        <f>IF($AB127="","",IF(INDEX(기본자료!$I$2:$I$501,$AB127)="","",INDEX(기본자료!$I$2:$I$501,$AB127)))</f>
        <v/>
      </c>
      <c r="L127" s="10">
        <f>IF($AB127="","",IF(INDEX(기본자료!$A$2:$A$501,$AB127)="","",INDEX(기본자료!$A$2:$A$501,$AB127)))</f>
        <v/>
      </c>
      <c r="M127" s="14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4" t="n"/>
      <c r="Q127" s="14" t="n"/>
      <c r="R127" s="14" t="n"/>
      <c r="S127" s="15" t="n"/>
      <c r="T127" s="15" t="n"/>
      <c r="U127" s="10">
        <f>IF(OR($B127="",$S127=""),"",IF(TODAY()&lt;$S127,"파견예정",IF(AND($T127&lt;&gt;"",TODAY()&gt;$T127),"파견종료","파견중")))</f>
        <v/>
      </c>
      <c r="V127" s="16">
        <f>IF(OR($S127="",$T127=""),"",$T127-$S127+1)</f>
        <v/>
      </c>
      <c r="W127" s="16">
        <f>IF(AND($U127="파견중",$T127&lt;&gt;""),$T127-TODAY(),"")</f>
        <v/>
      </c>
      <c r="X127" s="16">
        <f>IF(OR($B127="",$S127=""),"",MAX(0,MIN(IF($T127="",EOMONTH(요약!$B$3,0),$T127),EOMONTH(요약!$B$3,0))-MAX($S127,요약!$B$3)+1))</f>
        <v/>
      </c>
      <c r="Y127" s="10">
        <f>IF($B127="","",IF($AE127="","",IF(OR($S127="",$P127="",N($X127)&lt;=0),$AE127,IF($P127="다기관파견",$AE127,IF($AE127="구리병원",IF(AND($Q127&lt;&gt;"",N($X127)&gt;=요약!$E$3),$Q127,$AE127),IF(AND($P127="일반파견(단독)",$Q127&lt;&gt;""),$Q127,$AE127))))))</f>
        <v/>
      </c>
      <c r="Z127" s="17">
        <f>IF($B127="","",IF($AB127="","기본자료에 없는 사번",IF(COUNTIF($B$2:$B$201,$B127)&gt;1,"중복 사번",IF($M127="","입사장소 입력",IF(AND($P127&lt;&gt;"",$S127=""),"파견시작일 입력",IF(AND($S127&lt;&gt;"",$P127=""),"파견종류 입력",IF(AND($P127&lt;&gt;"",$P127&lt;&gt;"다기관파견",$Q127=""),"파견병원 입력",IF(IF($AC127="",0,N(INDEX(인턴근무계획!$T$3:$T$202,$AC127)))&gt;0,"인턴계획 입력오류 확인",IF(AND($AC127&lt;&gt;"",$U127&lt;&gt;"파견중",$N127&lt;&gt;$AE127),"인턴 타지역 근무: 파견 여부 확인","정상")))))))))</f>
        <v/>
      </c>
      <c r="AA127" s="5" t="n"/>
      <c r="AB127" s="10">
        <f>IF($B127="","",IFERROR(MATCH($B127,기본자료!$B$2:$B$501,0),IFERROR(MATCH($B127&amp;"",기본자료!$B$2:$B$501,0),IFERROR(MATCH(VALUE($B127),기본자료!$B$2:$B$501,0),""))))</f>
        <v/>
      </c>
      <c r="AC127" s="10">
        <f>IF($B127="","",IFERROR(MATCH($B127,인턴근무계획!$D$3:$D$202,0),IFERROR(MATCH($B127&amp;"",인턴근무계획!$D$3:$D$202,0),IFERROR(MATCH(VALUE($B127),인턴근무계획!$D$3:$D$202,0),""))))</f>
        <v/>
      </c>
      <c r="AD127" s="10">
        <f>IF(OR($AC127="",인턴현황!$G$3=""),"",INDEX(인턴근무계획!$M$3:$R$202,$AC127,인턴현황!$G$3)&amp;"")</f>
        <v/>
      </c>
      <c r="AE127" s="10">
        <f>IF($B127="","",IF($M127&lt;&gt;"",$M127,IF($H127="","",IF(RIGHT($H127,2)="병원",$H127,$H127&amp;"병원"))))</f>
        <v/>
      </c>
    </row>
    <row r="128">
      <c r="A128" s="10">
        <f>IF(B128="","",ROW()-1)</f>
        <v/>
      </c>
      <c r="B128" s="13" t="n"/>
      <c r="C128" s="10">
        <f>IF($AB128="","",IF(INDEX(기본자료!$C$2:$C$501,$AB128)="","",INDEX(기본자료!$C$2:$C$501,$AB128)))</f>
        <v/>
      </c>
      <c r="D128" s="10">
        <f>IF($AB128="","",IF(INDEX(기본자료!$J$2:$J$501,$AB128)="","",INDEX(기본자료!$J$2:$J$501,$AB128)))</f>
        <v/>
      </c>
      <c r="E128" s="11">
        <f>IF($AB128="","",IF(INDEX(기본자료!$K$2:$K$501,$AB128)="","",IF(NOT(ISNUMBER(INDEX(기본자료!$K$2:$K$501,$AB128))),INDEX(기본자료!$K$2:$K$501,$AB128),IF(INDEX(기본자료!$K$2:$K$501,$AB128)&lt;1000000,INDEX(기본자료!$K$2:$K$501,$AB128),IF(AND(INDEX(기본자료!$K$2:$K$501,$AB128)&gt;=10000101,INT(MOD(INDEX(기본자료!$K$2:$K$501,$AB128),10000)/100)&gt;=1,INT(MOD(INDEX(기본자료!$K$2:$K$501,$AB128),10000)/100)&lt;=12,MOD(INDEX(기본자료!$K$2:$K$501,$AB128),100)&gt;=1,MOD(INDEX(기본자료!$K$2:$K$501,$AB128),100)&lt;=31),DATE(INT(INDEX(기본자료!$K$2:$K$501,$AB128)/10000),INT(MOD(INDEX(기본자료!$K$2:$K$501,$AB128),10000)/100),MOD(INDEX(기본자료!$K$2:$K$501,$AB128),100)),INDEX(기본자료!$K$2:$K$501,$AB128)&amp;"")))))</f>
        <v/>
      </c>
      <c r="F128" s="10">
        <f>IF($AB128="","",IF(INDEX(기본자료!$D$2:$D$501,$AB128)="","",INDEX(기본자료!$D$2:$D$501,$AB128)))</f>
        <v/>
      </c>
      <c r="G128" s="10">
        <f>IF($AB128="","",IF(INDEX(기본자료!$E$2:$E$501,$AB128)="","",INDEX(기본자료!$E$2:$E$501,$AB128)))</f>
        <v/>
      </c>
      <c r="H128" s="10">
        <f>IF($AB128="","",IF(INDEX(기본자료!$F$2:$F$501,$AB128)="","",INDEX(기본자료!$F$2:$F$501,$AB128)))</f>
        <v/>
      </c>
      <c r="I128" s="11">
        <f>IF($AB128="","",IF(INDEX(기본자료!$G$2:$G$501,$AB128)="","",IF(NOT(ISNUMBER(INDEX(기본자료!$G$2:$G$501,$AB128))),INDEX(기본자료!$G$2:$G$501,$AB128),IF(INDEX(기본자료!$G$2:$G$501,$AB128)&lt;1000000,INDEX(기본자료!$G$2:$G$501,$AB128),IF(AND(INDEX(기본자료!$G$2:$G$501,$AB128)&gt;=10000101,INT(MOD(INDEX(기본자료!$G$2:$G$501,$AB128),10000)/100)&gt;=1,INT(MOD(INDEX(기본자료!$G$2:$G$501,$AB128),10000)/100)&lt;=12,MOD(INDEX(기본자료!$G$2:$G$501,$AB128),100)&gt;=1,MOD(INDEX(기본자료!$G$2:$G$501,$AB128),100)&lt;=31),DATE(INT(INDEX(기본자료!$G$2:$G$501,$AB128)/10000),INT(MOD(INDEX(기본자료!$G$2:$G$501,$AB128),10000)/100),MOD(INDEX(기본자료!$G$2:$G$501,$AB128),100)),INDEX(기본자료!$G$2:$G$501,$AB128)&amp;"")))))</f>
        <v/>
      </c>
      <c r="J128" s="10">
        <f>IF($AB128="","",IF(INDEX(기본자료!$H$2:$H$501,$AB128)="","",INDEX(기본자료!$H$2:$H$501,$AB128)))</f>
        <v/>
      </c>
      <c r="K128" s="10">
        <f>IF($AB128="","",IF(INDEX(기본자료!$I$2:$I$501,$AB128)="","",INDEX(기본자료!$I$2:$I$501,$AB128)))</f>
        <v/>
      </c>
      <c r="L128" s="10">
        <f>IF($AB128="","",IF(INDEX(기본자료!$A$2:$A$501,$AB128)="","",INDEX(기본자료!$A$2:$A$501,$AB128)))</f>
        <v/>
      </c>
      <c r="M128" s="14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4" t="n"/>
      <c r="Q128" s="14" t="n"/>
      <c r="R128" s="14" t="n"/>
      <c r="S128" s="15" t="n"/>
      <c r="T128" s="15" t="n"/>
      <c r="U128" s="10">
        <f>IF(OR($B128="",$S128=""),"",IF(TODAY()&lt;$S128,"파견예정",IF(AND($T128&lt;&gt;"",TODAY()&gt;$T128),"파견종료","파견중")))</f>
        <v/>
      </c>
      <c r="V128" s="16">
        <f>IF(OR($S128="",$T128=""),"",$T128-$S128+1)</f>
        <v/>
      </c>
      <c r="W128" s="16">
        <f>IF(AND($U128="파견중",$T128&lt;&gt;""),$T128-TODAY(),"")</f>
        <v/>
      </c>
      <c r="X128" s="16">
        <f>IF(OR($B128="",$S128=""),"",MAX(0,MIN(IF($T128="",EOMONTH(요약!$B$3,0),$T128),EOMONTH(요약!$B$3,0))-MAX($S128,요약!$B$3)+1))</f>
        <v/>
      </c>
      <c r="Y128" s="10">
        <f>IF($B128="","",IF($AE128="","",IF(OR($S128="",$P128="",N($X128)&lt;=0),$AE128,IF($P128="다기관파견",$AE128,IF($AE128="구리병원",IF(AND($Q128&lt;&gt;"",N($X128)&gt;=요약!$E$3),$Q128,$AE128),IF(AND($P128="일반파견(단독)",$Q128&lt;&gt;""),$Q128,$AE128))))))</f>
        <v/>
      </c>
      <c r="Z128" s="17">
        <f>IF($B128="","",IF($AB128="","기본자료에 없는 사번",IF(COUNTIF($B$2:$B$201,$B128)&gt;1,"중복 사번",IF($M128="","입사장소 입력",IF(AND($P128&lt;&gt;"",$S128=""),"파견시작일 입력",IF(AND($S128&lt;&gt;"",$P128=""),"파견종류 입력",IF(AND($P128&lt;&gt;"",$P128&lt;&gt;"다기관파견",$Q128=""),"파견병원 입력",IF(IF($AC128="",0,N(INDEX(인턴근무계획!$T$3:$T$202,$AC128)))&gt;0,"인턴계획 입력오류 확인",IF(AND($AC128&lt;&gt;"",$U128&lt;&gt;"파견중",$N128&lt;&gt;$AE128),"인턴 타지역 근무: 파견 여부 확인","정상")))))))))</f>
        <v/>
      </c>
      <c r="AA128" s="5" t="n"/>
      <c r="AB128" s="10">
        <f>IF($B128="","",IFERROR(MATCH($B128,기본자료!$B$2:$B$501,0),IFERROR(MATCH($B128&amp;"",기본자료!$B$2:$B$501,0),IFERROR(MATCH(VALUE($B128),기본자료!$B$2:$B$501,0),""))))</f>
        <v/>
      </c>
      <c r="AC128" s="10">
        <f>IF($B128="","",IFERROR(MATCH($B128,인턴근무계획!$D$3:$D$202,0),IFERROR(MATCH($B128&amp;"",인턴근무계획!$D$3:$D$202,0),IFERROR(MATCH(VALUE($B128),인턴근무계획!$D$3:$D$202,0),""))))</f>
        <v/>
      </c>
      <c r="AD128" s="10">
        <f>IF(OR($AC128="",인턴현황!$G$3=""),"",INDEX(인턴근무계획!$M$3:$R$202,$AC128,인턴현황!$G$3)&amp;"")</f>
        <v/>
      </c>
      <c r="AE128" s="10">
        <f>IF($B128="","",IF($M128&lt;&gt;"",$M128,IF($H128="","",IF(RIGHT($H128,2)="병원",$H128,$H128&amp;"병원"))))</f>
        <v/>
      </c>
    </row>
    <row r="129">
      <c r="A129" s="10">
        <f>IF(B129="","",ROW()-1)</f>
        <v/>
      </c>
      <c r="B129" s="13" t="n"/>
      <c r="C129" s="10">
        <f>IF($AB129="","",IF(INDEX(기본자료!$C$2:$C$501,$AB129)="","",INDEX(기본자료!$C$2:$C$501,$AB129)))</f>
        <v/>
      </c>
      <c r="D129" s="10">
        <f>IF($AB129="","",IF(INDEX(기본자료!$J$2:$J$501,$AB129)="","",INDEX(기본자료!$J$2:$J$501,$AB129)))</f>
        <v/>
      </c>
      <c r="E129" s="11">
        <f>IF($AB129="","",IF(INDEX(기본자료!$K$2:$K$501,$AB129)="","",IF(NOT(ISNUMBER(INDEX(기본자료!$K$2:$K$501,$AB129))),INDEX(기본자료!$K$2:$K$501,$AB129),IF(INDEX(기본자료!$K$2:$K$501,$AB129)&lt;1000000,INDEX(기본자료!$K$2:$K$501,$AB129),IF(AND(INDEX(기본자료!$K$2:$K$501,$AB129)&gt;=10000101,INT(MOD(INDEX(기본자료!$K$2:$K$501,$AB129),10000)/100)&gt;=1,INT(MOD(INDEX(기본자료!$K$2:$K$501,$AB129),10000)/100)&lt;=12,MOD(INDEX(기본자료!$K$2:$K$501,$AB129),100)&gt;=1,MOD(INDEX(기본자료!$K$2:$K$501,$AB129),100)&lt;=31),DATE(INT(INDEX(기본자료!$K$2:$K$501,$AB129)/10000),INT(MOD(INDEX(기본자료!$K$2:$K$501,$AB129),10000)/100),MOD(INDEX(기본자료!$K$2:$K$501,$AB129),100)),INDEX(기본자료!$K$2:$K$501,$AB129)&amp;"")))))</f>
        <v/>
      </c>
      <c r="F129" s="10">
        <f>IF($AB129="","",IF(INDEX(기본자료!$D$2:$D$501,$AB129)="","",INDEX(기본자료!$D$2:$D$501,$AB129)))</f>
        <v/>
      </c>
      <c r="G129" s="10">
        <f>IF($AB129="","",IF(INDEX(기본자료!$E$2:$E$501,$AB129)="","",INDEX(기본자료!$E$2:$E$501,$AB129)))</f>
        <v/>
      </c>
      <c r="H129" s="10">
        <f>IF($AB129="","",IF(INDEX(기본자료!$F$2:$F$501,$AB129)="","",INDEX(기본자료!$F$2:$F$501,$AB129)))</f>
        <v/>
      </c>
      <c r="I129" s="11">
        <f>IF($AB129="","",IF(INDEX(기본자료!$G$2:$G$501,$AB129)="","",IF(NOT(ISNUMBER(INDEX(기본자료!$G$2:$G$501,$AB129))),INDEX(기본자료!$G$2:$G$501,$AB129),IF(INDEX(기본자료!$G$2:$G$501,$AB129)&lt;1000000,INDEX(기본자료!$G$2:$G$501,$AB129),IF(AND(INDEX(기본자료!$G$2:$G$501,$AB129)&gt;=10000101,INT(MOD(INDEX(기본자료!$G$2:$G$501,$AB129),10000)/100)&gt;=1,INT(MOD(INDEX(기본자료!$G$2:$G$501,$AB129),10000)/100)&lt;=12,MOD(INDEX(기본자료!$G$2:$G$501,$AB129),100)&gt;=1,MOD(INDEX(기본자료!$G$2:$G$501,$AB129),100)&lt;=31),DATE(INT(INDEX(기본자료!$G$2:$G$501,$AB129)/10000),INT(MOD(INDEX(기본자료!$G$2:$G$501,$AB129),10000)/100),MOD(INDEX(기본자료!$G$2:$G$501,$AB129),100)),INDEX(기본자료!$G$2:$G$501,$AB129)&amp;"")))))</f>
        <v/>
      </c>
      <c r="J129" s="10">
        <f>IF($AB129="","",IF(INDEX(기본자료!$H$2:$H$501,$AB129)="","",INDEX(기본자료!$H$2:$H$501,$AB129)))</f>
        <v/>
      </c>
      <c r="K129" s="10">
        <f>IF($AB129="","",IF(INDEX(기본자료!$I$2:$I$501,$AB129)="","",INDEX(기본자료!$I$2:$I$501,$AB129)))</f>
        <v/>
      </c>
      <c r="L129" s="10">
        <f>IF($AB129="","",IF(INDEX(기본자료!$A$2:$A$501,$AB129)="","",INDEX(기본자료!$A$2:$A$501,$AB129)))</f>
        <v/>
      </c>
      <c r="M129" s="14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4" t="n"/>
      <c r="Q129" s="14" t="n"/>
      <c r="R129" s="14" t="n"/>
      <c r="S129" s="15" t="n"/>
      <c r="T129" s="15" t="n"/>
      <c r="U129" s="10">
        <f>IF(OR($B129="",$S129=""),"",IF(TODAY()&lt;$S129,"파견예정",IF(AND($T129&lt;&gt;"",TODAY()&gt;$T129),"파견종료","파견중")))</f>
        <v/>
      </c>
      <c r="V129" s="16">
        <f>IF(OR($S129="",$T129=""),"",$T129-$S129+1)</f>
        <v/>
      </c>
      <c r="W129" s="16">
        <f>IF(AND($U129="파견중",$T129&lt;&gt;""),$T129-TODAY(),"")</f>
        <v/>
      </c>
      <c r="X129" s="16">
        <f>IF(OR($B129="",$S129=""),"",MAX(0,MIN(IF($T129="",EOMONTH(요약!$B$3,0),$T129),EOMONTH(요약!$B$3,0))-MAX($S129,요약!$B$3)+1))</f>
        <v/>
      </c>
      <c r="Y129" s="10">
        <f>IF($B129="","",IF($AE129="","",IF(OR($S129="",$P129="",N($X129)&lt;=0),$AE129,IF($P129="다기관파견",$AE129,IF($AE129="구리병원",IF(AND($Q129&lt;&gt;"",N($X129)&gt;=요약!$E$3),$Q129,$AE129),IF(AND($P129="일반파견(단독)",$Q129&lt;&gt;""),$Q129,$AE129))))))</f>
        <v/>
      </c>
      <c r="Z129" s="17">
        <f>IF($B129="","",IF($AB129="","기본자료에 없는 사번",IF(COUNTIF($B$2:$B$201,$B129)&gt;1,"중복 사번",IF($M129="","입사장소 입력",IF(AND($P129&lt;&gt;"",$S129=""),"파견시작일 입력",IF(AND($S129&lt;&gt;"",$P129=""),"파견종류 입력",IF(AND($P129&lt;&gt;"",$P129&lt;&gt;"다기관파견",$Q129=""),"파견병원 입력",IF(IF($AC129="",0,N(INDEX(인턴근무계획!$T$3:$T$202,$AC129)))&gt;0,"인턴계획 입력오류 확인",IF(AND($AC129&lt;&gt;"",$U129&lt;&gt;"파견중",$N129&lt;&gt;$AE129),"인턴 타지역 근무: 파견 여부 확인","정상")))))))))</f>
        <v/>
      </c>
      <c r="AA129" s="5" t="n"/>
      <c r="AB129" s="10">
        <f>IF($B129="","",IFERROR(MATCH($B129,기본자료!$B$2:$B$501,0),IFERROR(MATCH($B129&amp;"",기본자료!$B$2:$B$501,0),IFERROR(MATCH(VALUE($B129),기본자료!$B$2:$B$501,0),""))))</f>
        <v/>
      </c>
      <c r="AC129" s="10">
        <f>IF($B129="","",IFERROR(MATCH($B129,인턴근무계획!$D$3:$D$202,0),IFERROR(MATCH($B129&amp;"",인턴근무계획!$D$3:$D$202,0),IFERROR(MATCH(VALUE($B129),인턴근무계획!$D$3:$D$202,0),""))))</f>
        <v/>
      </c>
      <c r="AD129" s="10">
        <f>IF(OR($AC129="",인턴현황!$G$3=""),"",INDEX(인턴근무계획!$M$3:$R$202,$AC129,인턴현황!$G$3)&amp;"")</f>
        <v/>
      </c>
      <c r="AE129" s="10">
        <f>IF($B129="","",IF($M129&lt;&gt;"",$M129,IF($H129="","",IF(RIGHT($H129,2)="병원",$H129,$H129&amp;"병원"))))</f>
        <v/>
      </c>
    </row>
    <row r="130">
      <c r="A130" s="10">
        <f>IF(B130="","",ROW()-1)</f>
        <v/>
      </c>
      <c r="B130" s="13" t="n"/>
      <c r="C130" s="10">
        <f>IF($AB130="","",IF(INDEX(기본자료!$C$2:$C$501,$AB130)="","",INDEX(기본자료!$C$2:$C$501,$AB130)))</f>
        <v/>
      </c>
      <c r="D130" s="10">
        <f>IF($AB130="","",IF(INDEX(기본자료!$J$2:$J$501,$AB130)="","",INDEX(기본자료!$J$2:$J$501,$AB130)))</f>
        <v/>
      </c>
      <c r="E130" s="11">
        <f>IF($AB130="","",IF(INDEX(기본자료!$K$2:$K$501,$AB130)="","",IF(NOT(ISNUMBER(INDEX(기본자료!$K$2:$K$501,$AB130))),INDEX(기본자료!$K$2:$K$501,$AB130),IF(INDEX(기본자료!$K$2:$K$501,$AB130)&lt;1000000,INDEX(기본자료!$K$2:$K$501,$AB130),IF(AND(INDEX(기본자료!$K$2:$K$501,$AB130)&gt;=10000101,INT(MOD(INDEX(기본자료!$K$2:$K$501,$AB130),10000)/100)&gt;=1,INT(MOD(INDEX(기본자료!$K$2:$K$501,$AB130),10000)/100)&lt;=12,MOD(INDEX(기본자료!$K$2:$K$501,$AB130),100)&gt;=1,MOD(INDEX(기본자료!$K$2:$K$501,$AB130),100)&lt;=31),DATE(INT(INDEX(기본자료!$K$2:$K$501,$AB130)/10000),INT(MOD(INDEX(기본자료!$K$2:$K$501,$AB130),10000)/100),MOD(INDEX(기본자료!$K$2:$K$501,$AB130),100)),INDEX(기본자료!$K$2:$K$501,$AB130)&amp;"")))))</f>
        <v/>
      </c>
      <c r="F130" s="10">
        <f>IF($AB130="","",IF(INDEX(기본자료!$D$2:$D$501,$AB130)="","",INDEX(기본자료!$D$2:$D$501,$AB130)))</f>
        <v/>
      </c>
      <c r="G130" s="10">
        <f>IF($AB130="","",IF(INDEX(기본자료!$E$2:$E$501,$AB130)="","",INDEX(기본자료!$E$2:$E$501,$AB130)))</f>
        <v/>
      </c>
      <c r="H130" s="10">
        <f>IF($AB130="","",IF(INDEX(기본자료!$F$2:$F$501,$AB130)="","",INDEX(기본자료!$F$2:$F$501,$AB130)))</f>
        <v/>
      </c>
      <c r="I130" s="11">
        <f>IF($AB130="","",IF(INDEX(기본자료!$G$2:$G$501,$AB130)="","",IF(NOT(ISNUMBER(INDEX(기본자료!$G$2:$G$501,$AB130))),INDEX(기본자료!$G$2:$G$501,$AB130),IF(INDEX(기본자료!$G$2:$G$501,$AB130)&lt;1000000,INDEX(기본자료!$G$2:$G$501,$AB130),IF(AND(INDEX(기본자료!$G$2:$G$501,$AB130)&gt;=10000101,INT(MOD(INDEX(기본자료!$G$2:$G$501,$AB130),10000)/100)&gt;=1,INT(MOD(INDEX(기본자료!$G$2:$G$501,$AB130),10000)/100)&lt;=12,MOD(INDEX(기본자료!$G$2:$G$501,$AB130),100)&gt;=1,MOD(INDEX(기본자료!$G$2:$G$501,$AB130),100)&lt;=31),DATE(INT(INDEX(기본자료!$G$2:$G$501,$AB130)/10000),INT(MOD(INDEX(기본자료!$G$2:$G$501,$AB130),10000)/100),MOD(INDEX(기본자료!$G$2:$G$501,$AB130),100)),INDEX(기본자료!$G$2:$G$501,$AB130)&amp;"")))))</f>
        <v/>
      </c>
      <c r="J130" s="10">
        <f>IF($AB130="","",IF(INDEX(기본자료!$H$2:$H$501,$AB130)="","",INDEX(기본자료!$H$2:$H$501,$AB130)))</f>
        <v/>
      </c>
      <c r="K130" s="10">
        <f>IF($AB130="","",IF(INDEX(기본자료!$I$2:$I$501,$AB130)="","",INDEX(기본자료!$I$2:$I$501,$AB130)))</f>
        <v/>
      </c>
      <c r="L130" s="10">
        <f>IF($AB130="","",IF(INDEX(기본자료!$A$2:$A$501,$AB130)="","",INDEX(기본자료!$A$2:$A$501,$AB130)))</f>
        <v/>
      </c>
      <c r="M130" s="14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4" t="n"/>
      <c r="Q130" s="14" t="n"/>
      <c r="R130" s="14" t="n"/>
      <c r="S130" s="15" t="n"/>
      <c r="T130" s="15" t="n"/>
      <c r="U130" s="10">
        <f>IF(OR($B130="",$S130=""),"",IF(TODAY()&lt;$S130,"파견예정",IF(AND($T130&lt;&gt;"",TODAY()&gt;$T130),"파견종료","파견중")))</f>
        <v/>
      </c>
      <c r="V130" s="16">
        <f>IF(OR($S130="",$T130=""),"",$T130-$S130+1)</f>
        <v/>
      </c>
      <c r="W130" s="16">
        <f>IF(AND($U130="파견중",$T130&lt;&gt;""),$T130-TODAY(),"")</f>
        <v/>
      </c>
      <c r="X130" s="16">
        <f>IF(OR($B130="",$S130=""),"",MAX(0,MIN(IF($T130="",EOMONTH(요약!$B$3,0),$T130),EOMONTH(요약!$B$3,0))-MAX($S130,요약!$B$3)+1))</f>
        <v/>
      </c>
      <c r="Y130" s="10">
        <f>IF($B130="","",IF($AE130="","",IF(OR($S130="",$P130="",N($X130)&lt;=0),$AE130,IF($P130="다기관파견",$AE130,IF($AE130="구리병원",IF(AND($Q130&lt;&gt;"",N($X130)&gt;=요약!$E$3),$Q130,$AE130),IF(AND($P130="일반파견(단독)",$Q130&lt;&gt;""),$Q130,$AE130))))))</f>
        <v/>
      </c>
      <c r="Z130" s="17">
        <f>IF($B130="","",IF($AB130="","기본자료에 없는 사번",IF(COUNTIF($B$2:$B$201,$B130)&gt;1,"중복 사번",IF($M130="","입사장소 입력",IF(AND($P130&lt;&gt;"",$S130=""),"파견시작일 입력",IF(AND($S130&lt;&gt;"",$P130=""),"파견종류 입력",IF(AND($P130&lt;&gt;"",$P130&lt;&gt;"다기관파견",$Q130=""),"파견병원 입력",IF(IF($AC130="",0,N(INDEX(인턴근무계획!$T$3:$T$202,$AC130)))&gt;0,"인턴계획 입력오류 확인",IF(AND($AC130&lt;&gt;"",$U130&lt;&gt;"파견중",$N130&lt;&gt;$AE130),"인턴 타지역 근무: 파견 여부 확인","정상")))))))))</f>
        <v/>
      </c>
      <c r="AA130" s="5" t="n"/>
      <c r="AB130" s="10">
        <f>IF($B130="","",IFERROR(MATCH($B130,기본자료!$B$2:$B$501,0),IFERROR(MATCH($B130&amp;"",기본자료!$B$2:$B$501,0),IFERROR(MATCH(VALUE($B130),기본자료!$B$2:$B$501,0),""))))</f>
        <v/>
      </c>
      <c r="AC130" s="10">
        <f>IF($B130="","",IFERROR(MATCH($B130,인턴근무계획!$D$3:$D$202,0),IFERROR(MATCH($B130&amp;"",인턴근무계획!$D$3:$D$202,0),IFERROR(MATCH(VALUE($B130),인턴근무계획!$D$3:$D$202,0),""))))</f>
        <v/>
      </c>
      <c r="AD130" s="10">
        <f>IF(OR($AC130="",인턴현황!$G$3=""),"",INDEX(인턴근무계획!$M$3:$R$202,$AC130,인턴현황!$G$3)&amp;"")</f>
        <v/>
      </c>
      <c r="AE130" s="10">
        <f>IF($B130="","",IF($M130&lt;&gt;"",$M130,IF($H130="","",IF(RIGHT($H130,2)="병원",$H130,$H130&amp;"병원"))))</f>
        <v/>
      </c>
    </row>
    <row r="131">
      <c r="A131" s="10">
        <f>IF(B131="","",ROW()-1)</f>
        <v/>
      </c>
      <c r="B131" s="13" t="n"/>
      <c r="C131" s="10">
        <f>IF($AB131="","",IF(INDEX(기본자료!$C$2:$C$501,$AB131)="","",INDEX(기본자료!$C$2:$C$501,$AB131)))</f>
        <v/>
      </c>
      <c r="D131" s="10">
        <f>IF($AB131="","",IF(INDEX(기본자료!$J$2:$J$501,$AB131)="","",INDEX(기본자료!$J$2:$J$501,$AB131)))</f>
        <v/>
      </c>
      <c r="E131" s="11">
        <f>IF($AB131="","",IF(INDEX(기본자료!$K$2:$K$501,$AB131)="","",IF(NOT(ISNUMBER(INDEX(기본자료!$K$2:$K$501,$AB131))),INDEX(기본자료!$K$2:$K$501,$AB131),IF(INDEX(기본자료!$K$2:$K$501,$AB131)&lt;1000000,INDEX(기본자료!$K$2:$K$501,$AB131),IF(AND(INDEX(기본자료!$K$2:$K$501,$AB131)&gt;=10000101,INT(MOD(INDEX(기본자료!$K$2:$K$501,$AB131),10000)/100)&gt;=1,INT(MOD(INDEX(기본자료!$K$2:$K$501,$AB131),10000)/100)&lt;=12,MOD(INDEX(기본자료!$K$2:$K$501,$AB131),100)&gt;=1,MOD(INDEX(기본자료!$K$2:$K$501,$AB131),100)&lt;=31),DATE(INT(INDEX(기본자료!$K$2:$K$501,$AB131)/10000),INT(MOD(INDEX(기본자료!$K$2:$K$501,$AB131),10000)/100),MOD(INDEX(기본자료!$K$2:$K$501,$AB131),100)),INDEX(기본자료!$K$2:$K$501,$AB131)&amp;"")))))</f>
        <v/>
      </c>
      <c r="F131" s="10">
        <f>IF($AB131="","",IF(INDEX(기본자료!$D$2:$D$501,$AB131)="","",INDEX(기본자료!$D$2:$D$501,$AB131)))</f>
        <v/>
      </c>
      <c r="G131" s="10">
        <f>IF($AB131="","",IF(INDEX(기본자료!$E$2:$E$501,$AB131)="","",INDEX(기본자료!$E$2:$E$501,$AB131)))</f>
        <v/>
      </c>
      <c r="H131" s="10">
        <f>IF($AB131="","",IF(INDEX(기본자료!$F$2:$F$501,$AB131)="","",INDEX(기본자료!$F$2:$F$501,$AB131)))</f>
        <v/>
      </c>
      <c r="I131" s="11">
        <f>IF($AB131="","",IF(INDEX(기본자료!$G$2:$G$501,$AB131)="","",IF(NOT(ISNUMBER(INDEX(기본자료!$G$2:$G$501,$AB131))),INDEX(기본자료!$G$2:$G$501,$AB131),IF(INDEX(기본자료!$G$2:$G$501,$AB131)&lt;1000000,INDEX(기본자료!$G$2:$G$501,$AB131),IF(AND(INDEX(기본자료!$G$2:$G$501,$AB131)&gt;=10000101,INT(MOD(INDEX(기본자료!$G$2:$G$501,$AB131),10000)/100)&gt;=1,INT(MOD(INDEX(기본자료!$G$2:$G$501,$AB131),10000)/100)&lt;=12,MOD(INDEX(기본자료!$G$2:$G$501,$AB131),100)&gt;=1,MOD(INDEX(기본자료!$G$2:$G$501,$AB131),100)&lt;=31),DATE(INT(INDEX(기본자료!$G$2:$G$501,$AB131)/10000),INT(MOD(INDEX(기본자료!$G$2:$G$501,$AB131),10000)/100),MOD(INDEX(기본자료!$G$2:$G$501,$AB131),100)),INDEX(기본자료!$G$2:$G$501,$AB131)&amp;"")))))</f>
        <v/>
      </c>
      <c r="J131" s="10">
        <f>IF($AB131="","",IF(INDEX(기본자료!$H$2:$H$501,$AB131)="","",INDEX(기본자료!$H$2:$H$501,$AB131)))</f>
        <v/>
      </c>
      <c r="K131" s="10">
        <f>IF($AB131="","",IF(INDEX(기본자료!$I$2:$I$501,$AB131)="","",INDEX(기본자료!$I$2:$I$501,$AB131)))</f>
        <v/>
      </c>
      <c r="L131" s="10">
        <f>IF($AB131="","",IF(INDEX(기본자료!$A$2:$A$501,$AB131)="","",INDEX(기본자료!$A$2:$A$501,$AB131)))</f>
        <v/>
      </c>
      <c r="M131" s="14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4" t="n"/>
      <c r="Q131" s="14" t="n"/>
      <c r="R131" s="14" t="n"/>
      <c r="S131" s="15" t="n"/>
      <c r="T131" s="15" t="n"/>
      <c r="U131" s="10">
        <f>IF(OR($B131="",$S131=""),"",IF(TODAY()&lt;$S131,"파견예정",IF(AND($T131&lt;&gt;"",TODAY()&gt;$T131),"파견종료","파견중")))</f>
        <v/>
      </c>
      <c r="V131" s="16">
        <f>IF(OR($S131="",$T131=""),"",$T131-$S131+1)</f>
        <v/>
      </c>
      <c r="W131" s="16">
        <f>IF(AND($U131="파견중",$T131&lt;&gt;""),$T131-TODAY(),"")</f>
        <v/>
      </c>
      <c r="X131" s="16">
        <f>IF(OR($B131="",$S131=""),"",MAX(0,MIN(IF($T131="",EOMONTH(요약!$B$3,0),$T131),EOMONTH(요약!$B$3,0))-MAX($S131,요약!$B$3)+1))</f>
        <v/>
      </c>
      <c r="Y131" s="10">
        <f>IF($B131="","",IF($AE131="","",IF(OR($S131="",$P131="",N($X131)&lt;=0),$AE131,IF($P131="다기관파견",$AE131,IF($AE131="구리병원",IF(AND($Q131&lt;&gt;"",N($X131)&gt;=요약!$E$3),$Q131,$AE131),IF(AND($P131="일반파견(단독)",$Q131&lt;&gt;""),$Q131,$AE131))))))</f>
        <v/>
      </c>
      <c r="Z131" s="17">
        <f>IF($B131="","",IF($AB131="","기본자료에 없는 사번",IF(COUNTIF($B$2:$B$201,$B131)&gt;1,"중복 사번",IF($M131="","입사장소 입력",IF(AND($P131&lt;&gt;"",$S131=""),"파견시작일 입력",IF(AND($S131&lt;&gt;"",$P131=""),"파견종류 입력",IF(AND($P131&lt;&gt;"",$P131&lt;&gt;"다기관파견",$Q131=""),"파견병원 입력",IF(IF($AC131="",0,N(INDEX(인턴근무계획!$T$3:$T$202,$AC131)))&gt;0,"인턴계획 입력오류 확인",IF(AND($AC131&lt;&gt;"",$U131&lt;&gt;"파견중",$N131&lt;&gt;$AE131),"인턴 타지역 근무: 파견 여부 확인","정상")))))))))</f>
        <v/>
      </c>
      <c r="AA131" s="5" t="n"/>
      <c r="AB131" s="10">
        <f>IF($B131="","",IFERROR(MATCH($B131,기본자료!$B$2:$B$501,0),IFERROR(MATCH($B131&amp;"",기본자료!$B$2:$B$501,0),IFERROR(MATCH(VALUE($B131),기본자료!$B$2:$B$501,0),""))))</f>
        <v/>
      </c>
      <c r="AC131" s="10">
        <f>IF($B131="","",IFERROR(MATCH($B131,인턴근무계획!$D$3:$D$202,0),IFERROR(MATCH($B131&amp;"",인턴근무계획!$D$3:$D$202,0),IFERROR(MATCH(VALUE($B131),인턴근무계획!$D$3:$D$202,0),""))))</f>
        <v/>
      </c>
      <c r="AD131" s="10">
        <f>IF(OR($AC131="",인턴현황!$G$3=""),"",INDEX(인턴근무계획!$M$3:$R$202,$AC131,인턴현황!$G$3)&amp;"")</f>
        <v/>
      </c>
      <c r="AE131" s="10">
        <f>IF($B131="","",IF($M131&lt;&gt;"",$M131,IF($H131="","",IF(RIGHT($H131,2)="병원",$H131,$H131&amp;"병원"))))</f>
        <v/>
      </c>
    </row>
    <row r="132">
      <c r="A132" s="10">
        <f>IF(B132="","",ROW()-1)</f>
        <v/>
      </c>
      <c r="B132" s="13" t="n"/>
      <c r="C132" s="10">
        <f>IF($AB132="","",IF(INDEX(기본자료!$C$2:$C$501,$AB132)="","",INDEX(기본자료!$C$2:$C$501,$AB132)))</f>
        <v/>
      </c>
      <c r="D132" s="10">
        <f>IF($AB132="","",IF(INDEX(기본자료!$J$2:$J$501,$AB132)="","",INDEX(기본자료!$J$2:$J$501,$AB132)))</f>
        <v/>
      </c>
      <c r="E132" s="11">
        <f>IF($AB132="","",IF(INDEX(기본자료!$K$2:$K$501,$AB132)="","",IF(NOT(ISNUMBER(INDEX(기본자료!$K$2:$K$501,$AB132))),INDEX(기본자료!$K$2:$K$501,$AB132),IF(INDEX(기본자료!$K$2:$K$501,$AB132)&lt;1000000,INDEX(기본자료!$K$2:$K$501,$AB132),IF(AND(INDEX(기본자료!$K$2:$K$501,$AB132)&gt;=10000101,INT(MOD(INDEX(기본자료!$K$2:$K$501,$AB132),10000)/100)&gt;=1,INT(MOD(INDEX(기본자료!$K$2:$K$501,$AB132),10000)/100)&lt;=12,MOD(INDEX(기본자료!$K$2:$K$501,$AB132),100)&gt;=1,MOD(INDEX(기본자료!$K$2:$K$501,$AB132),100)&lt;=31),DATE(INT(INDEX(기본자료!$K$2:$K$501,$AB132)/10000),INT(MOD(INDEX(기본자료!$K$2:$K$501,$AB132),10000)/100),MOD(INDEX(기본자료!$K$2:$K$501,$AB132),100)),INDEX(기본자료!$K$2:$K$501,$AB132)&amp;"")))))</f>
        <v/>
      </c>
      <c r="F132" s="10">
        <f>IF($AB132="","",IF(INDEX(기본자료!$D$2:$D$501,$AB132)="","",INDEX(기본자료!$D$2:$D$501,$AB132)))</f>
        <v/>
      </c>
      <c r="G132" s="10">
        <f>IF($AB132="","",IF(INDEX(기본자료!$E$2:$E$501,$AB132)="","",INDEX(기본자료!$E$2:$E$501,$AB132)))</f>
        <v/>
      </c>
      <c r="H132" s="10">
        <f>IF($AB132="","",IF(INDEX(기본자료!$F$2:$F$501,$AB132)="","",INDEX(기본자료!$F$2:$F$501,$AB132)))</f>
        <v/>
      </c>
      <c r="I132" s="11">
        <f>IF($AB132="","",IF(INDEX(기본자료!$G$2:$G$501,$AB132)="","",IF(NOT(ISNUMBER(INDEX(기본자료!$G$2:$G$501,$AB132))),INDEX(기본자료!$G$2:$G$501,$AB132),IF(INDEX(기본자료!$G$2:$G$501,$AB132)&lt;1000000,INDEX(기본자료!$G$2:$G$501,$AB132),IF(AND(INDEX(기본자료!$G$2:$G$501,$AB132)&gt;=10000101,INT(MOD(INDEX(기본자료!$G$2:$G$501,$AB132),10000)/100)&gt;=1,INT(MOD(INDEX(기본자료!$G$2:$G$501,$AB132),10000)/100)&lt;=12,MOD(INDEX(기본자료!$G$2:$G$501,$AB132),100)&gt;=1,MOD(INDEX(기본자료!$G$2:$G$501,$AB132),100)&lt;=31),DATE(INT(INDEX(기본자료!$G$2:$G$501,$AB132)/10000),INT(MOD(INDEX(기본자료!$G$2:$G$501,$AB132),10000)/100),MOD(INDEX(기본자료!$G$2:$G$501,$AB132),100)),INDEX(기본자료!$G$2:$G$501,$AB132)&amp;"")))))</f>
        <v/>
      </c>
      <c r="J132" s="10">
        <f>IF($AB132="","",IF(INDEX(기본자료!$H$2:$H$501,$AB132)="","",INDEX(기본자료!$H$2:$H$501,$AB132)))</f>
        <v/>
      </c>
      <c r="K132" s="10">
        <f>IF($AB132="","",IF(INDEX(기본자료!$I$2:$I$501,$AB132)="","",INDEX(기본자료!$I$2:$I$501,$AB132)))</f>
        <v/>
      </c>
      <c r="L132" s="10">
        <f>IF($AB132="","",IF(INDEX(기본자료!$A$2:$A$501,$AB132)="","",INDEX(기본자료!$A$2:$A$501,$AB132)))</f>
        <v/>
      </c>
      <c r="M132" s="14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4" t="n"/>
      <c r="Q132" s="14" t="n"/>
      <c r="R132" s="14" t="n"/>
      <c r="S132" s="15" t="n"/>
      <c r="T132" s="15" t="n"/>
      <c r="U132" s="10">
        <f>IF(OR($B132="",$S132=""),"",IF(TODAY()&lt;$S132,"파견예정",IF(AND($T132&lt;&gt;"",TODAY()&gt;$T132),"파견종료","파견중")))</f>
        <v/>
      </c>
      <c r="V132" s="16">
        <f>IF(OR($S132="",$T132=""),"",$T132-$S132+1)</f>
        <v/>
      </c>
      <c r="W132" s="16">
        <f>IF(AND($U132="파견중",$T132&lt;&gt;""),$T132-TODAY(),"")</f>
        <v/>
      </c>
      <c r="X132" s="16">
        <f>IF(OR($B132="",$S132=""),"",MAX(0,MIN(IF($T132="",EOMONTH(요약!$B$3,0),$T132),EOMONTH(요약!$B$3,0))-MAX($S132,요약!$B$3)+1))</f>
        <v/>
      </c>
      <c r="Y132" s="10">
        <f>IF($B132="","",IF($AE132="","",IF(OR($S132="",$P132="",N($X132)&lt;=0),$AE132,IF($P132="다기관파견",$AE132,IF($AE132="구리병원",IF(AND($Q132&lt;&gt;"",N($X132)&gt;=요약!$E$3),$Q132,$AE132),IF(AND($P132="일반파견(단독)",$Q132&lt;&gt;""),$Q132,$AE132))))))</f>
        <v/>
      </c>
      <c r="Z132" s="17">
        <f>IF($B132="","",IF($AB132="","기본자료에 없는 사번",IF(COUNTIF($B$2:$B$201,$B132)&gt;1,"중복 사번",IF($M132="","입사장소 입력",IF(AND($P132&lt;&gt;"",$S132=""),"파견시작일 입력",IF(AND($S132&lt;&gt;"",$P132=""),"파견종류 입력",IF(AND($P132&lt;&gt;"",$P132&lt;&gt;"다기관파견",$Q132=""),"파견병원 입력",IF(IF($AC132="",0,N(INDEX(인턴근무계획!$T$3:$T$202,$AC132)))&gt;0,"인턴계획 입력오류 확인",IF(AND($AC132&lt;&gt;"",$U132&lt;&gt;"파견중",$N132&lt;&gt;$AE132),"인턴 타지역 근무: 파견 여부 확인","정상")))))))))</f>
        <v/>
      </c>
      <c r="AA132" s="5" t="n"/>
      <c r="AB132" s="10">
        <f>IF($B132="","",IFERROR(MATCH($B132,기본자료!$B$2:$B$501,0),IFERROR(MATCH($B132&amp;"",기본자료!$B$2:$B$501,0),IFERROR(MATCH(VALUE($B132),기본자료!$B$2:$B$501,0),""))))</f>
        <v/>
      </c>
      <c r="AC132" s="10">
        <f>IF($B132="","",IFERROR(MATCH($B132,인턴근무계획!$D$3:$D$202,0),IFERROR(MATCH($B132&amp;"",인턴근무계획!$D$3:$D$202,0),IFERROR(MATCH(VALUE($B132),인턴근무계획!$D$3:$D$202,0),""))))</f>
        <v/>
      </c>
      <c r="AD132" s="10">
        <f>IF(OR($AC132="",인턴현황!$G$3=""),"",INDEX(인턴근무계획!$M$3:$R$202,$AC132,인턴현황!$G$3)&amp;"")</f>
        <v/>
      </c>
      <c r="AE132" s="10">
        <f>IF($B132="","",IF($M132&lt;&gt;"",$M132,IF($H132="","",IF(RIGHT($H132,2)="병원",$H132,$H132&amp;"병원"))))</f>
        <v/>
      </c>
    </row>
    <row r="133">
      <c r="A133" s="10">
        <f>IF(B133="","",ROW()-1)</f>
        <v/>
      </c>
      <c r="B133" s="13" t="n"/>
      <c r="C133" s="10">
        <f>IF($AB133="","",IF(INDEX(기본자료!$C$2:$C$501,$AB133)="","",INDEX(기본자료!$C$2:$C$501,$AB133)))</f>
        <v/>
      </c>
      <c r="D133" s="10">
        <f>IF($AB133="","",IF(INDEX(기본자료!$J$2:$J$501,$AB133)="","",INDEX(기본자료!$J$2:$J$501,$AB133)))</f>
        <v/>
      </c>
      <c r="E133" s="11">
        <f>IF($AB133="","",IF(INDEX(기본자료!$K$2:$K$501,$AB133)="","",IF(NOT(ISNUMBER(INDEX(기본자료!$K$2:$K$501,$AB133))),INDEX(기본자료!$K$2:$K$501,$AB133),IF(INDEX(기본자료!$K$2:$K$501,$AB133)&lt;1000000,INDEX(기본자료!$K$2:$K$501,$AB133),IF(AND(INDEX(기본자료!$K$2:$K$501,$AB133)&gt;=10000101,INT(MOD(INDEX(기본자료!$K$2:$K$501,$AB133),10000)/100)&gt;=1,INT(MOD(INDEX(기본자료!$K$2:$K$501,$AB133),10000)/100)&lt;=12,MOD(INDEX(기본자료!$K$2:$K$501,$AB133),100)&gt;=1,MOD(INDEX(기본자료!$K$2:$K$501,$AB133),100)&lt;=31),DATE(INT(INDEX(기본자료!$K$2:$K$501,$AB133)/10000),INT(MOD(INDEX(기본자료!$K$2:$K$501,$AB133),10000)/100),MOD(INDEX(기본자료!$K$2:$K$501,$AB133),100)),INDEX(기본자료!$K$2:$K$501,$AB133)&amp;"")))))</f>
        <v/>
      </c>
      <c r="F133" s="10">
        <f>IF($AB133="","",IF(INDEX(기본자료!$D$2:$D$501,$AB133)="","",INDEX(기본자료!$D$2:$D$501,$AB133)))</f>
        <v/>
      </c>
      <c r="G133" s="10">
        <f>IF($AB133="","",IF(INDEX(기본자료!$E$2:$E$501,$AB133)="","",INDEX(기본자료!$E$2:$E$501,$AB133)))</f>
        <v/>
      </c>
      <c r="H133" s="10">
        <f>IF($AB133="","",IF(INDEX(기본자료!$F$2:$F$501,$AB133)="","",INDEX(기본자료!$F$2:$F$501,$AB133)))</f>
        <v/>
      </c>
      <c r="I133" s="11">
        <f>IF($AB133="","",IF(INDEX(기본자료!$G$2:$G$501,$AB133)="","",IF(NOT(ISNUMBER(INDEX(기본자료!$G$2:$G$501,$AB133))),INDEX(기본자료!$G$2:$G$501,$AB133),IF(INDEX(기본자료!$G$2:$G$501,$AB133)&lt;1000000,INDEX(기본자료!$G$2:$G$501,$AB133),IF(AND(INDEX(기본자료!$G$2:$G$501,$AB133)&gt;=10000101,INT(MOD(INDEX(기본자료!$G$2:$G$501,$AB133),10000)/100)&gt;=1,INT(MOD(INDEX(기본자료!$G$2:$G$501,$AB133),10000)/100)&lt;=12,MOD(INDEX(기본자료!$G$2:$G$501,$AB133),100)&gt;=1,MOD(INDEX(기본자료!$G$2:$G$501,$AB133),100)&lt;=31),DATE(INT(INDEX(기본자료!$G$2:$G$501,$AB133)/10000),INT(MOD(INDEX(기본자료!$G$2:$G$501,$AB133),10000)/100),MOD(INDEX(기본자료!$G$2:$G$501,$AB133),100)),INDEX(기본자료!$G$2:$G$501,$AB133)&amp;"")))))</f>
        <v/>
      </c>
      <c r="J133" s="10">
        <f>IF($AB133="","",IF(INDEX(기본자료!$H$2:$H$501,$AB133)="","",INDEX(기본자료!$H$2:$H$501,$AB133)))</f>
        <v/>
      </c>
      <c r="K133" s="10">
        <f>IF($AB133="","",IF(INDEX(기본자료!$I$2:$I$501,$AB133)="","",INDEX(기본자료!$I$2:$I$501,$AB133)))</f>
        <v/>
      </c>
      <c r="L133" s="10">
        <f>IF($AB133="","",IF(INDEX(기본자료!$A$2:$A$501,$AB133)="","",INDEX(기본자료!$A$2:$A$501,$AB133)))</f>
        <v/>
      </c>
      <c r="M133" s="14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4" t="n"/>
      <c r="Q133" s="14" t="n"/>
      <c r="R133" s="14" t="n"/>
      <c r="S133" s="15" t="n"/>
      <c r="T133" s="15" t="n"/>
      <c r="U133" s="10">
        <f>IF(OR($B133="",$S133=""),"",IF(TODAY()&lt;$S133,"파견예정",IF(AND($T133&lt;&gt;"",TODAY()&gt;$T133),"파견종료","파견중")))</f>
        <v/>
      </c>
      <c r="V133" s="16">
        <f>IF(OR($S133="",$T133=""),"",$T133-$S133+1)</f>
        <v/>
      </c>
      <c r="W133" s="16">
        <f>IF(AND($U133="파견중",$T133&lt;&gt;""),$T133-TODAY(),"")</f>
        <v/>
      </c>
      <c r="X133" s="16">
        <f>IF(OR($B133="",$S133=""),"",MAX(0,MIN(IF($T133="",EOMONTH(요약!$B$3,0),$T133),EOMONTH(요약!$B$3,0))-MAX($S133,요약!$B$3)+1))</f>
        <v/>
      </c>
      <c r="Y133" s="10">
        <f>IF($B133="","",IF($AE133="","",IF(OR($S133="",$P133="",N($X133)&lt;=0),$AE133,IF($P133="다기관파견",$AE133,IF($AE133="구리병원",IF(AND($Q133&lt;&gt;"",N($X133)&gt;=요약!$E$3),$Q133,$AE133),IF(AND($P133="일반파견(단독)",$Q133&lt;&gt;""),$Q133,$AE133))))))</f>
        <v/>
      </c>
      <c r="Z133" s="17">
        <f>IF($B133="","",IF($AB133="","기본자료에 없는 사번",IF(COUNTIF($B$2:$B$201,$B133)&gt;1,"중복 사번",IF($M133="","입사장소 입력",IF(AND($P133&lt;&gt;"",$S133=""),"파견시작일 입력",IF(AND($S133&lt;&gt;"",$P133=""),"파견종류 입력",IF(AND($P133&lt;&gt;"",$P133&lt;&gt;"다기관파견",$Q133=""),"파견병원 입력",IF(IF($AC133="",0,N(INDEX(인턴근무계획!$T$3:$T$202,$AC133)))&gt;0,"인턴계획 입력오류 확인",IF(AND($AC133&lt;&gt;"",$U133&lt;&gt;"파견중",$N133&lt;&gt;$AE133),"인턴 타지역 근무: 파견 여부 확인","정상")))))))))</f>
        <v/>
      </c>
      <c r="AA133" s="5" t="n"/>
      <c r="AB133" s="10">
        <f>IF($B133="","",IFERROR(MATCH($B133,기본자료!$B$2:$B$501,0),IFERROR(MATCH($B133&amp;"",기본자료!$B$2:$B$501,0),IFERROR(MATCH(VALUE($B133),기본자료!$B$2:$B$501,0),""))))</f>
        <v/>
      </c>
      <c r="AC133" s="10">
        <f>IF($B133="","",IFERROR(MATCH($B133,인턴근무계획!$D$3:$D$202,0),IFERROR(MATCH($B133&amp;"",인턴근무계획!$D$3:$D$202,0),IFERROR(MATCH(VALUE($B133),인턴근무계획!$D$3:$D$202,0),""))))</f>
        <v/>
      </c>
      <c r="AD133" s="10">
        <f>IF(OR($AC133="",인턴현황!$G$3=""),"",INDEX(인턴근무계획!$M$3:$R$202,$AC133,인턴현황!$G$3)&amp;"")</f>
        <v/>
      </c>
      <c r="AE133" s="10">
        <f>IF($B133="","",IF($M133&lt;&gt;"",$M133,IF($H133="","",IF(RIGHT($H133,2)="병원",$H133,$H133&amp;"병원"))))</f>
        <v/>
      </c>
    </row>
    <row r="134">
      <c r="A134" s="10">
        <f>IF(B134="","",ROW()-1)</f>
        <v/>
      </c>
      <c r="B134" s="13" t="n"/>
      <c r="C134" s="10">
        <f>IF($AB134="","",IF(INDEX(기본자료!$C$2:$C$501,$AB134)="","",INDEX(기본자료!$C$2:$C$501,$AB134)))</f>
        <v/>
      </c>
      <c r="D134" s="10">
        <f>IF($AB134="","",IF(INDEX(기본자료!$J$2:$J$501,$AB134)="","",INDEX(기본자료!$J$2:$J$501,$AB134)))</f>
        <v/>
      </c>
      <c r="E134" s="11">
        <f>IF($AB134="","",IF(INDEX(기본자료!$K$2:$K$501,$AB134)="","",IF(NOT(ISNUMBER(INDEX(기본자료!$K$2:$K$501,$AB134))),INDEX(기본자료!$K$2:$K$501,$AB134),IF(INDEX(기본자료!$K$2:$K$501,$AB134)&lt;1000000,INDEX(기본자료!$K$2:$K$501,$AB134),IF(AND(INDEX(기본자료!$K$2:$K$501,$AB134)&gt;=10000101,INT(MOD(INDEX(기본자료!$K$2:$K$501,$AB134),10000)/100)&gt;=1,INT(MOD(INDEX(기본자료!$K$2:$K$501,$AB134),10000)/100)&lt;=12,MOD(INDEX(기본자료!$K$2:$K$501,$AB134),100)&gt;=1,MOD(INDEX(기본자료!$K$2:$K$501,$AB134),100)&lt;=31),DATE(INT(INDEX(기본자료!$K$2:$K$501,$AB134)/10000),INT(MOD(INDEX(기본자료!$K$2:$K$501,$AB134),10000)/100),MOD(INDEX(기본자료!$K$2:$K$501,$AB134),100)),INDEX(기본자료!$K$2:$K$501,$AB134)&amp;"")))))</f>
        <v/>
      </c>
      <c r="F134" s="10">
        <f>IF($AB134="","",IF(INDEX(기본자료!$D$2:$D$501,$AB134)="","",INDEX(기본자료!$D$2:$D$501,$AB134)))</f>
        <v/>
      </c>
      <c r="G134" s="10">
        <f>IF($AB134="","",IF(INDEX(기본자료!$E$2:$E$501,$AB134)="","",INDEX(기본자료!$E$2:$E$501,$AB134)))</f>
        <v/>
      </c>
      <c r="H134" s="10">
        <f>IF($AB134="","",IF(INDEX(기본자료!$F$2:$F$501,$AB134)="","",INDEX(기본자료!$F$2:$F$501,$AB134)))</f>
        <v/>
      </c>
      <c r="I134" s="11">
        <f>IF($AB134="","",IF(INDEX(기본자료!$G$2:$G$501,$AB134)="","",IF(NOT(ISNUMBER(INDEX(기본자료!$G$2:$G$501,$AB134))),INDEX(기본자료!$G$2:$G$501,$AB134),IF(INDEX(기본자료!$G$2:$G$501,$AB134)&lt;1000000,INDEX(기본자료!$G$2:$G$501,$AB134),IF(AND(INDEX(기본자료!$G$2:$G$501,$AB134)&gt;=10000101,INT(MOD(INDEX(기본자료!$G$2:$G$501,$AB134),10000)/100)&gt;=1,INT(MOD(INDEX(기본자료!$G$2:$G$501,$AB134),10000)/100)&lt;=12,MOD(INDEX(기본자료!$G$2:$G$501,$AB134),100)&gt;=1,MOD(INDEX(기본자료!$G$2:$G$501,$AB134),100)&lt;=31),DATE(INT(INDEX(기본자료!$G$2:$G$501,$AB134)/10000),INT(MOD(INDEX(기본자료!$G$2:$G$501,$AB134),10000)/100),MOD(INDEX(기본자료!$G$2:$G$501,$AB134),100)),INDEX(기본자료!$G$2:$G$501,$AB134)&amp;"")))))</f>
        <v/>
      </c>
      <c r="J134" s="10">
        <f>IF($AB134="","",IF(INDEX(기본자료!$H$2:$H$501,$AB134)="","",INDEX(기본자료!$H$2:$H$501,$AB134)))</f>
        <v/>
      </c>
      <c r="K134" s="10">
        <f>IF($AB134="","",IF(INDEX(기본자료!$I$2:$I$501,$AB134)="","",INDEX(기본자료!$I$2:$I$501,$AB134)))</f>
        <v/>
      </c>
      <c r="L134" s="10">
        <f>IF($AB134="","",IF(INDEX(기본자료!$A$2:$A$501,$AB134)="","",INDEX(기본자료!$A$2:$A$501,$AB134)))</f>
        <v/>
      </c>
      <c r="M134" s="14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4" t="n"/>
      <c r="Q134" s="14" t="n"/>
      <c r="R134" s="14" t="n"/>
      <c r="S134" s="15" t="n"/>
      <c r="T134" s="15" t="n"/>
      <c r="U134" s="10">
        <f>IF(OR($B134="",$S134=""),"",IF(TODAY()&lt;$S134,"파견예정",IF(AND($T134&lt;&gt;"",TODAY()&gt;$T134),"파견종료","파견중")))</f>
        <v/>
      </c>
      <c r="V134" s="16">
        <f>IF(OR($S134="",$T134=""),"",$T134-$S134+1)</f>
        <v/>
      </c>
      <c r="W134" s="16">
        <f>IF(AND($U134="파견중",$T134&lt;&gt;""),$T134-TODAY(),"")</f>
        <v/>
      </c>
      <c r="X134" s="16">
        <f>IF(OR($B134="",$S134=""),"",MAX(0,MIN(IF($T134="",EOMONTH(요약!$B$3,0),$T134),EOMONTH(요약!$B$3,0))-MAX($S134,요약!$B$3)+1))</f>
        <v/>
      </c>
      <c r="Y134" s="10">
        <f>IF($B134="","",IF($AE134="","",IF(OR($S134="",$P134="",N($X134)&lt;=0),$AE134,IF($P134="다기관파견",$AE134,IF($AE134="구리병원",IF(AND($Q134&lt;&gt;"",N($X134)&gt;=요약!$E$3),$Q134,$AE134),IF(AND($P134="일반파견(단독)",$Q134&lt;&gt;""),$Q134,$AE134))))))</f>
        <v/>
      </c>
      <c r="Z134" s="17">
        <f>IF($B134="","",IF($AB134="","기본자료에 없는 사번",IF(COUNTIF($B$2:$B$201,$B134)&gt;1,"중복 사번",IF($M134="","입사장소 입력",IF(AND($P134&lt;&gt;"",$S134=""),"파견시작일 입력",IF(AND($S134&lt;&gt;"",$P134=""),"파견종류 입력",IF(AND($P134&lt;&gt;"",$P134&lt;&gt;"다기관파견",$Q134=""),"파견병원 입력",IF(IF($AC134="",0,N(INDEX(인턴근무계획!$T$3:$T$202,$AC134)))&gt;0,"인턴계획 입력오류 확인",IF(AND($AC134&lt;&gt;"",$U134&lt;&gt;"파견중",$N134&lt;&gt;$AE134),"인턴 타지역 근무: 파견 여부 확인","정상")))))))))</f>
        <v/>
      </c>
      <c r="AA134" s="5" t="n"/>
      <c r="AB134" s="10">
        <f>IF($B134="","",IFERROR(MATCH($B134,기본자료!$B$2:$B$501,0),IFERROR(MATCH($B134&amp;"",기본자료!$B$2:$B$501,0),IFERROR(MATCH(VALUE($B134),기본자료!$B$2:$B$501,0),""))))</f>
        <v/>
      </c>
      <c r="AC134" s="10">
        <f>IF($B134="","",IFERROR(MATCH($B134,인턴근무계획!$D$3:$D$202,0),IFERROR(MATCH($B134&amp;"",인턴근무계획!$D$3:$D$202,0),IFERROR(MATCH(VALUE($B134),인턴근무계획!$D$3:$D$202,0),""))))</f>
        <v/>
      </c>
      <c r="AD134" s="10">
        <f>IF(OR($AC134="",인턴현황!$G$3=""),"",INDEX(인턴근무계획!$M$3:$R$202,$AC134,인턴현황!$G$3)&amp;"")</f>
        <v/>
      </c>
      <c r="AE134" s="10">
        <f>IF($B134="","",IF($M134&lt;&gt;"",$M134,IF($H134="","",IF(RIGHT($H134,2)="병원",$H134,$H134&amp;"병원"))))</f>
        <v/>
      </c>
    </row>
    <row r="135">
      <c r="A135" s="10">
        <f>IF(B135="","",ROW()-1)</f>
        <v/>
      </c>
      <c r="B135" s="13" t="n"/>
      <c r="C135" s="10">
        <f>IF($AB135="","",IF(INDEX(기본자료!$C$2:$C$501,$AB135)="","",INDEX(기본자료!$C$2:$C$501,$AB135)))</f>
        <v/>
      </c>
      <c r="D135" s="10">
        <f>IF($AB135="","",IF(INDEX(기본자료!$J$2:$J$501,$AB135)="","",INDEX(기본자료!$J$2:$J$501,$AB135)))</f>
        <v/>
      </c>
      <c r="E135" s="11">
        <f>IF($AB135="","",IF(INDEX(기본자료!$K$2:$K$501,$AB135)="","",IF(NOT(ISNUMBER(INDEX(기본자료!$K$2:$K$501,$AB135))),INDEX(기본자료!$K$2:$K$501,$AB135),IF(INDEX(기본자료!$K$2:$K$501,$AB135)&lt;1000000,INDEX(기본자료!$K$2:$K$501,$AB135),IF(AND(INDEX(기본자료!$K$2:$K$501,$AB135)&gt;=10000101,INT(MOD(INDEX(기본자료!$K$2:$K$501,$AB135),10000)/100)&gt;=1,INT(MOD(INDEX(기본자료!$K$2:$K$501,$AB135),10000)/100)&lt;=12,MOD(INDEX(기본자료!$K$2:$K$501,$AB135),100)&gt;=1,MOD(INDEX(기본자료!$K$2:$K$501,$AB135),100)&lt;=31),DATE(INT(INDEX(기본자료!$K$2:$K$501,$AB135)/10000),INT(MOD(INDEX(기본자료!$K$2:$K$501,$AB135),10000)/100),MOD(INDEX(기본자료!$K$2:$K$501,$AB135),100)),INDEX(기본자료!$K$2:$K$501,$AB135)&amp;"")))))</f>
        <v/>
      </c>
      <c r="F135" s="10">
        <f>IF($AB135="","",IF(INDEX(기본자료!$D$2:$D$501,$AB135)="","",INDEX(기본자료!$D$2:$D$501,$AB135)))</f>
        <v/>
      </c>
      <c r="G135" s="10">
        <f>IF($AB135="","",IF(INDEX(기본자료!$E$2:$E$501,$AB135)="","",INDEX(기본자료!$E$2:$E$501,$AB135)))</f>
        <v/>
      </c>
      <c r="H135" s="10">
        <f>IF($AB135="","",IF(INDEX(기본자료!$F$2:$F$501,$AB135)="","",INDEX(기본자료!$F$2:$F$501,$AB135)))</f>
        <v/>
      </c>
      <c r="I135" s="11">
        <f>IF($AB135="","",IF(INDEX(기본자료!$G$2:$G$501,$AB135)="","",IF(NOT(ISNUMBER(INDEX(기본자료!$G$2:$G$501,$AB135))),INDEX(기본자료!$G$2:$G$501,$AB135),IF(INDEX(기본자료!$G$2:$G$501,$AB135)&lt;1000000,INDEX(기본자료!$G$2:$G$501,$AB135),IF(AND(INDEX(기본자료!$G$2:$G$501,$AB135)&gt;=10000101,INT(MOD(INDEX(기본자료!$G$2:$G$501,$AB135),10000)/100)&gt;=1,INT(MOD(INDEX(기본자료!$G$2:$G$501,$AB135),10000)/100)&lt;=12,MOD(INDEX(기본자료!$G$2:$G$501,$AB135),100)&gt;=1,MOD(INDEX(기본자료!$G$2:$G$501,$AB135),100)&lt;=31),DATE(INT(INDEX(기본자료!$G$2:$G$501,$AB135)/10000),INT(MOD(INDEX(기본자료!$G$2:$G$501,$AB135),10000)/100),MOD(INDEX(기본자료!$G$2:$G$501,$AB135),100)),INDEX(기본자료!$G$2:$G$501,$AB135)&amp;"")))))</f>
        <v/>
      </c>
      <c r="J135" s="10">
        <f>IF($AB135="","",IF(INDEX(기본자료!$H$2:$H$501,$AB135)="","",INDEX(기본자료!$H$2:$H$501,$AB135)))</f>
        <v/>
      </c>
      <c r="K135" s="10">
        <f>IF($AB135="","",IF(INDEX(기본자료!$I$2:$I$501,$AB135)="","",INDEX(기본자료!$I$2:$I$501,$AB135)))</f>
        <v/>
      </c>
      <c r="L135" s="10">
        <f>IF($AB135="","",IF(INDEX(기본자료!$A$2:$A$501,$AB135)="","",INDEX(기본자료!$A$2:$A$501,$AB135)))</f>
        <v/>
      </c>
      <c r="M135" s="14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4" t="n"/>
      <c r="Q135" s="14" t="n"/>
      <c r="R135" s="14" t="n"/>
      <c r="S135" s="15" t="n"/>
      <c r="T135" s="15" t="n"/>
      <c r="U135" s="10">
        <f>IF(OR($B135="",$S135=""),"",IF(TODAY()&lt;$S135,"파견예정",IF(AND($T135&lt;&gt;"",TODAY()&gt;$T135),"파견종료","파견중")))</f>
        <v/>
      </c>
      <c r="V135" s="16">
        <f>IF(OR($S135="",$T135=""),"",$T135-$S135+1)</f>
        <v/>
      </c>
      <c r="W135" s="16">
        <f>IF(AND($U135="파견중",$T135&lt;&gt;""),$T135-TODAY(),"")</f>
        <v/>
      </c>
      <c r="X135" s="16">
        <f>IF(OR($B135="",$S135=""),"",MAX(0,MIN(IF($T135="",EOMONTH(요약!$B$3,0),$T135),EOMONTH(요약!$B$3,0))-MAX($S135,요약!$B$3)+1))</f>
        <v/>
      </c>
      <c r="Y135" s="10">
        <f>IF($B135="","",IF($AE135="","",IF(OR($S135="",$P135="",N($X135)&lt;=0),$AE135,IF($P135="다기관파견",$AE135,IF($AE135="구리병원",IF(AND($Q135&lt;&gt;"",N($X135)&gt;=요약!$E$3),$Q135,$AE135),IF(AND($P135="일반파견(단독)",$Q135&lt;&gt;""),$Q135,$AE135))))))</f>
        <v/>
      </c>
      <c r="Z135" s="17">
        <f>IF($B135="","",IF($AB135="","기본자료에 없는 사번",IF(COUNTIF($B$2:$B$201,$B135)&gt;1,"중복 사번",IF($M135="","입사장소 입력",IF(AND($P135&lt;&gt;"",$S135=""),"파견시작일 입력",IF(AND($S135&lt;&gt;"",$P135=""),"파견종류 입력",IF(AND($P135&lt;&gt;"",$P135&lt;&gt;"다기관파견",$Q135=""),"파견병원 입력",IF(IF($AC135="",0,N(INDEX(인턴근무계획!$T$3:$T$202,$AC135)))&gt;0,"인턴계획 입력오류 확인",IF(AND($AC135&lt;&gt;"",$U135&lt;&gt;"파견중",$N135&lt;&gt;$AE135),"인턴 타지역 근무: 파견 여부 확인","정상")))))))))</f>
        <v/>
      </c>
      <c r="AA135" s="5" t="n"/>
      <c r="AB135" s="10">
        <f>IF($B135="","",IFERROR(MATCH($B135,기본자료!$B$2:$B$501,0),IFERROR(MATCH($B135&amp;"",기본자료!$B$2:$B$501,0),IFERROR(MATCH(VALUE($B135),기본자료!$B$2:$B$501,0),""))))</f>
        <v/>
      </c>
      <c r="AC135" s="10">
        <f>IF($B135="","",IFERROR(MATCH($B135,인턴근무계획!$D$3:$D$202,0),IFERROR(MATCH($B135&amp;"",인턴근무계획!$D$3:$D$202,0),IFERROR(MATCH(VALUE($B135),인턴근무계획!$D$3:$D$202,0),""))))</f>
        <v/>
      </c>
      <c r="AD135" s="10">
        <f>IF(OR($AC135="",인턴현황!$G$3=""),"",INDEX(인턴근무계획!$M$3:$R$202,$AC135,인턴현황!$G$3)&amp;"")</f>
        <v/>
      </c>
      <c r="AE135" s="10">
        <f>IF($B135="","",IF($M135&lt;&gt;"",$M135,IF($H135="","",IF(RIGHT($H135,2)="병원",$H135,$H135&amp;"병원"))))</f>
        <v/>
      </c>
    </row>
    <row r="136">
      <c r="A136" s="10">
        <f>IF(B136="","",ROW()-1)</f>
        <v/>
      </c>
      <c r="B136" s="13" t="n"/>
      <c r="C136" s="10">
        <f>IF($AB136="","",IF(INDEX(기본자료!$C$2:$C$501,$AB136)="","",INDEX(기본자료!$C$2:$C$501,$AB136)))</f>
        <v/>
      </c>
      <c r="D136" s="10">
        <f>IF($AB136="","",IF(INDEX(기본자료!$J$2:$J$501,$AB136)="","",INDEX(기본자료!$J$2:$J$501,$AB136)))</f>
        <v/>
      </c>
      <c r="E136" s="11">
        <f>IF($AB136="","",IF(INDEX(기본자료!$K$2:$K$501,$AB136)="","",IF(NOT(ISNUMBER(INDEX(기본자료!$K$2:$K$501,$AB136))),INDEX(기본자료!$K$2:$K$501,$AB136),IF(INDEX(기본자료!$K$2:$K$501,$AB136)&lt;1000000,INDEX(기본자료!$K$2:$K$501,$AB136),IF(AND(INDEX(기본자료!$K$2:$K$501,$AB136)&gt;=10000101,INT(MOD(INDEX(기본자료!$K$2:$K$501,$AB136),10000)/100)&gt;=1,INT(MOD(INDEX(기본자료!$K$2:$K$501,$AB136),10000)/100)&lt;=12,MOD(INDEX(기본자료!$K$2:$K$501,$AB136),100)&gt;=1,MOD(INDEX(기본자료!$K$2:$K$501,$AB136),100)&lt;=31),DATE(INT(INDEX(기본자료!$K$2:$K$501,$AB136)/10000),INT(MOD(INDEX(기본자료!$K$2:$K$501,$AB136),10000)/100),MOD(INDEX(기본자료!$K$2:$K$501,$AB136),100)),INDEX(기본자료!$K$2:$K$501,$AB136)&amp;"")))))</f>
        <v/>
      </c>
      <c r="F136" s="10">
        <f>IF($AB136="","",IF(INDEX(기본자료!$D$2:$D$501,$AB136)="","",INDEX(기본자료!$D$2:$D$501,$AB136)))</f>
        <v/>
      </c>
      <c r="G136" s="10">
        <f>IF($AB136="","",IF(INDEX(기본자료!$E$2:$E$501,$AB136)="","",INDEX(기본자료!$E$2:$E$501,$AB136)))</f>
        <v/>
      </c>
      <c r="H136" s="10">
        <f>IF($AB136="","",IF(INDEX(기본자료!$F$2:$F$501,$AB136)="","",INDEX(기본자료!$F$2:$F$501,$AB136)))</f>
        <v/>
      </c>
      <c r="I136" s="11">
        <f>IF($AB136="","",IF(INDEX(기본자료!$G$2:$G$501,$AB136)="","",IF(NOT(ISNUMBER(INDEX(기본자료!$G$2:$G$501,$AB136))),INDEX(기본자료!$G$2:$G$501,$AB136),IF(INDEX(기본자료!$G$2:$G$501,$AB136)&lt;1000000,INDEX(기본자료!$G$2:$G$501,$AB136),IF(AND(INDEX(기본자료!$G$2:$G$501,$AB136)&gt;=10000101,INT(MOD(INDEX(기본자료!$G$2:$G$501,$AB136),10000)/100)&gt;=1,INT(MOD(INDEX(기본자료!$G$2:$G$501,$AB136),10000)/100)&lt;=12,MOD(INDEX(기본자료!$G$2:$G$501,$AB136),100)&gt;=1,MOD(INDEX(기본자료!$G$2:$G$501,$AB136),100)&lt;=31),DATE(INT(INDEX(기본자료!$G$2:$G$501,$AB136)/10000),INT(MOD(INDEX(기본자료!$G$2:$G$501,$AB136),10000)/100),MOD(INDEX(기본자료!$G$2:$G$501,$AB136),100)),INDEX(기본자료!$G$2:$G$501,$AB136)&amp;"")))))</f>
        <v/>
      </c>
      <c r="J136" s="10">
        <f>IF($AB136="","",IF(INDEX(기본자료!$H$2:$H$501,$AB136)="","",INDEX(기본자료!$H$2:$H$501,$AB136)))</f>
        <v/>
      </c>
      <c r="K136" s="10">
        <f>IF($AB136="","",IF(INDEX(기본자료!$I$2:$I$501,$AB136)="","",INDEX(기본자료!$I$2:$I$501,$AB136)))</f>
        <v/>
      </c>
      <c r="L136" s="10">
        <f>IF($AB136="","",IF(INDEX(기본자료!$A$2:$A$501,$AB136)="","",INDEX(기본자료!$A$2:$A$501,$AB136)))</f>
        <v/>
      </c>
      <c r="M136" s="14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4" t="n"/>
      <c r="Q136" s="14" t="n"/>
      <c r="R136" s="14" t="n"/>
      <c r="S136" s="15" t="n"/>
      <c r="T136" s="15" t="n"/>
      <c r="U136" s="10">
        <f>IF(OR($B136="",$S136=""),"",IF(TODAY()&lt;$S136,"파견예정",IF(AND($T136&lt;&gt;"",TODAY()&gt;$T136),"파견종료","파견중")))</f>
        <v/>
      </c>
      <c r="V136" s="16">
        <f>IF(OR($S136="",$T136=""),"",$T136-$S136+1)</f>
        <v/>
      </c>
      <c r="W136" s="16">
        <f>IF(AND($U136="파견중",$T136&lt;&gt;""),$T136-TODAY(),"")</f>
        <v/>
      </c>
      <c r="X136" s="16">
        <f>IF(OR($B136="",$S136=""),"",MAX(0,MIN(IF($T136="",EOMONTH(요약!$B$3,0),$T136),EOMONTH(요약!$B$3,0))-MAX($S136,요약!$B$3)+1))</f>
        <v/>
      </c>
      <c r="Y136" s="10">
        <f>IF($B136="","",IF($AE136="","",IF(OR($S136="",$P136="",N($X136)&lt;=0),$AE136,IF($P136="다기관파견",$AE136,IF($AE136="구리병원",IF(AND($Q136&lt;&gt;"",N($X136)&gt;=요약!$E$3),$Q136,$AE136),IF(AND($P136="일반파견(단독)",$Q136&lt;&gt;""),$Q136,$AE136))))))</f>
        <v/>
      </c>
      <c r="Z136" s="17">
        <f>IF($B136="","",IF($AB136="","기본자료에 없는 사번",IF(COUNTIF($B$2:$B$201,$B136)&gt;1,"중복 사번",IF($M136="","입사장소 입력",IF(AND($P136&lt;&gt;"",$S136=""),"파견시작일 입력",IF(AND($S136&lt;&gt;"",$P136=""),"파견종류 입력",IF(AND($P136&lt;&gt;"",$P136&lt;&gt;"다기관파견",$Q136=""),"파견병원 입력",IF(IF($AC136="",0,N(INDEX(인턴근무계획!$T$3:$T$202,$AC136)))&gt;0,"인턴계획 입력오류 확인",IF(AND($AC136&lt;&gt;"",$U136&lt;&gt;"파견중",$N136&lt;&gt;$AE136),"인턴 타지역 근무: 파견 여부 확인","정상")))))))))</f>
        <v/>
      </c>
      <c r="AA136" s="5" t="n"/>
      <c r="AB136" s="10">
        <f>IF($B136="","",IFERROR(MATCH($B136,기본자료!$B$2:$B$501,0),IFERROR(MATCH($B136&amp;"",기본자료!$B$2:$B$501,0),IFERROR(MATCH(VALUE($B136),기본자료!$B$2:$B$501,0),""))))</f>
        <v/>
      </c>
      <c r="AC136" s="10">
        <f>IF($B136="","",IFERROR(MATCH($B136,인턴근무계획!$D$3:$D$202,0),IFERROR(MATCH($B136&amp;"",인턴근무계획!$D$3:$D$202,0),IFERROR(MATCH(VALUE($B136),인턴근무계획!$D$3:$D$202,0),""))))</f>
        <v/>
      </c>
      <c r="AD136" s="10">
        <f>IF(OR($AC136="",인턴현황!$G$3=""),"",INDEX(인턴근무계획!$M$3:$R$202,$AC136,인턴현황!$G$3)&amp;"")</f>
        <v/>
      </c>
      <c r="AE136" s="10">
        <f>IF($B136="","",IF($M136&lt;&gt;"",$M136,IF($H136="","",IF(RIGHT($H136,2)="병원",$H136,$H136&amp;"병원"))))</f>
        <v/>
      </c>
    </row>
    <row r="137">
      <c r="A137" s="10">
        <f>IF(B137="","",ROW()-1)</f>
        <v/>
      </c>
      <c r="B137" s="13" t="n"/>
      <c r="C137" s="10">
        <f>IF($AB137="","",IF(INDEX(기본자료!$C$2:$C$501,$AB137)="","",INDEX(기본자료!$C$2:$C$501,$AB137)))</f>
        <v/>
      </c>
      <c r="D137" s="10">
        <f>IF($AB137="","",IF(INDEX(기본자료!$J$2:$J$501,$AB137)="","",INDEX(기본자료!$J$2:$J$501,$AB137)))</f>
        <v/>
      </c>
      <c r="E137" s="11">
        <f>IF($AB137="","",IF(INDEX(기본자료!$K$2:$K$501,$AB137)="","",IF(NOT(ISNUMBER(INDEX(기본자료!$K$2:$K$501,$AB137))),INDEX(기본자료!$K$2:$K$501,$AB137),IF(INDEX(기본자료!$K$2:$K$501,$AB137)&lt;1000000,INDEX(기본자료!$K$2:$K$501,$AB137),IF(AND(INDEX(기본자료!$K$2:$K$501,$AB137)&gt;=10000101,INT(MOD(INDEX(기본자료!$K$2:$K$501,$AB137),10000)/100)&gt;=1,INT(MOD(INDEX(기본자료!$K$2:$K$501,$AB137),10000)/100)&lt;=12,MOD(INDEX(기본자료!$K$2:$K$501,$AB137),100)&gt;=1,MOD(INDEX(기본자료!$K$2:$K$501,$AB137),100)&lt;=31),DATE(INT(INDEX(기본자료!$K$2:$K$501,$AB137)/10000),INT(MOD(INDEX(기본자료!$K$2:$K$501,$AB137),10000)/100),MOD(INDEX(기본자료!$K$2:$K$501,$AB137),100)),INDEX(기본자료!$K$2:$K$501,$AB137)&amp;"")))))</f>
        <v/>
      </c>
      <c r="F137" s="10">
        <f>IF($AB137="","",IF(INDEX(기본자료!$D$2:$D$501,$AB137)="","",INDEX(기본자료!$D$2:$D$501,$AB137)))</f>
        <v/>
      </c>
      <c r="G137" s="10">
        <f>IF($AB137="","",IF(INDEX(기본자료!$E$2:$E$501,$AB137)="","",INDEX(기본자료!$E$2:$E$501,$AB137)))</f>
        <v/>
      </c>
      <c r="H137" s="10">
        <f>IF($AB137="","",IF(INDEX(기본자료!$F$2:$F$501,$AB137)="","",INDEX(기본자료!$F$2:$F$501,$AB137)))</f>
        <v/>
      </c>
      <c r="I137" s="11">
        <f>IF($AB137="","",IF(INDEX(기본자료!$G$2:$G$501,$AB137)="","",IF(NOT(ISNUMBER(INDEX(기본자료!$G$2:$G$501,$AB137))),INDEX(기본자료!$G$2:$G$501,$AB137),IF(INDEX(기본자료!$G$2:$G$501,$AB137)&lt;1000000,INDEX(기본자료!$G$2:$G$501,$AB137),IF(AND(INDEX(기본자료!$G$2:$G$501,$AB137)&gt;=10000101,INT(MOD(INDEX(기본자료!$G$2:$G$501,$AB137),10000)/100)&gt;=1,INT(MOD(INDEX(기본자료!$G$2:$G$501,$AB137),10000)/100)&lt;=12,MOD(INDEX(기본자료!$G$2:$G$501,$AB137),100)&gt;=1,MOD(INDEX(기본자료!$G$2:$G$501,$AB137),100)&lt;=31),DATE(INT(INDEX(기본자료!$G$2:$G$501,$AB137)/10000),INT(MOD(INDEX(기본자료!$G$2:$G$501,$AB137),10000)/100),MOD(INDEX(기본자료!$G$2:$G$501,$AB137),100)),INDEX(기본자료!$G$2:$G$501,$AB137)&amp;"")))))</f>
        <v/>
      </c>
      <c r="J137" s="10">
        <f>IF($AB137="","",IF(INDEX(기본자료!$H$2:$H$501,$AB137)="","",INDEX(기본자료!$H$2:$H$501,$AB137)))</f>
        <v/>
      </c>
      <c r="K137" s="10">
        <f>IF($AB137="","",IF(INDEX(기본자료!$I$2:$I$501,$AB137)="","",INDEX(기본자료!$I$2:$I$501,$AB137)))</f>
        <v/>
      </c>
      <c r="L137" s="10">
        <f>IF($AB137="","",IF(INDEX(기본자료!$A$2:$A$501,$AB137)="","",INDEX(기본자료!$A$2:$A$501,$AB137)))</f>
        <v/>
      </c>
      <c r="M137" s="14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4" t="n"/>
      <c r="Q137" s="14" t="n"/>
      <c r="R137" s="14" t="n"/>
      <c r="S137" s="15" t="n"/>
      <c r="T137" s="15" t="n"/>
      <c r="U137" s="10">
        <f>IF(OR($B137="",$S137=""),"",IF(TODAY()&lt;$S137,"파견예정",IF(AND($T137&lt;&gt;"",TODAY()&gt;$T137),"파견종료","파견중")))</f>
        <v/>
      </c>
      <c r="V137" s="16">
        <f>IF(OR($S137="",$T137=""),"",$T137-$S137+1)</f>
        <v/>
      </c>
      <c r="W137" s="16">
        <f>IF(AND($U137="파견중",$T137&lt;&gt;""),$T137-TODAY(),"")</f>
        <v/>
      </c>
      <c r="X137" s="16">
        <f>IF(OR($B137="",$S137=""),"",MAX(0,MIN(IF($T137="",EOMONTH(요약!$B$3,0),$T137),EOMONTH(요약!$B$3,0))-MAX($S137,요약!$B$3)+1))</f>
        <v/>
      </c>
      <c r="Y137" s="10">
        <f>IF($B137="","",IF($AE137="","",IF(OR($S137="",$P137="",N($X137)&lt;=0),$AE137,IF($P137="다기관파견",$AE137,IF($AE137="구리병원",IF(AND($Q137&lt;&gt;"",N($X137)&gt;=요약!$E$3),$Q137,$AE137),IF(AND($P137="일반파견(단독)",$Q137&lt;&gt;""),$Q137,$AE137))))))</f>
        <v/>
      </c>
      <c r="Z137" s="17">
        <f>IF($B137="","",IF($AB137="","기본자료에 없는 사번",IF(COUNTIF($B$2:$B$201,$B137)&gt;1,"중복 사번",IF($M137="","입사장소 입력",IF(AND($P137&lt;&gt;"",$S137=""),"파견시작일 입력",IF(AND($S137&lt;&gt;"",$P137=""),"파견종류 입력",IF(AND($P137&lt;&gt;"",$P137&lt;&gt;"다기관파견",$Q137=""),"파견병원 입력",IF(IF($AC137="",0,N(INDEX(인턴근무계획!$T$3:$T$202,$AC137)))&gt;0,"인턴계획 입력오류 확인",IF(AND($AC137&lt;&gt;"",$U137&lt;&gt;"파견중",$N137&lt;&gt;$AE137),"인턴 타지역 근무: 파견 여부 확인","정상")))))))))</f>
        <v/>
      </c>
      <c r="AA137" s="5" t="n"/>
      <c r="AB137" s="10">
        <f>IF($B137="","",IFERROR(MATCH($B137,기본자료!$B$2:$B$501,0),IFERROR(MATCH($B137&amp;"",기본자료!$B$2:$B$501,0),IFERROR(MATCH(VALUE($B137),기본자료!$B$2:$B$501,0),""))))</f>
        <v/>
      </c>
      <c r="AC137" s="10">
        <f>IF($B137="","",IFERROR(MATCH($B137,인턴근무계획!$D$3:$D$202,0),IFERROR(MATCH($B137&amp;"",인턴근무계획!$D$3:$D$202,0),IFERROR(MATCH(VALUE($B137),인턴근무계획!$D$3:$D$202,0),""))))</f>
        <v/>
      </c>
      <c r="AD137" s="10">
        <f>IF(OR($AC137="",인턴현황!$G$3=""),"",INDEX(인턴근무계획!$M$3:$R$202,$AC137,인턴현황!$G$3)&amp;"")</f>
        <v/>
      </c>
      <c r="AE137" s="10">
        <f>IF($B137="","",IF($M137&lt;&gt;"",$M137,IF($H137="","",IF(RIGHT($H137,2)="병원",$H137,$H137&amp;"병원"))))</f>
        <v/>
      </c>
    </row>
    <row r="138">
      <c r="A138" s="10">
        <f>IF(B138="","",ROW()-1)</f>
        <v/>
      </c>
      <c r="B138" s="13" t="n"/>
      <c r="C138" s="10">
        <f>IF($AB138="","",IF(INDEX(기본자료!$C$2:$C$501,$AB138)="","",INDEX(기본자료!$C$2:$C$501,$AB138)))</f>
        <v/>
      </c>
      <c r="D138" s="10">
        <f>IF($AB138="","",IF(INDEX(기본자료!$J$2:$J$501,$AB138)="","",INDEX(기본자료!$J$2:$J$501,$AB138)))</f>
        <v/>
      </c>
      <c r="E138" s="11">
        <f>IF($AB138="","",IF(INDEX(기본자료!$K$2:$K$501,$AB138)="","",IF(NOT(ISNUMBER(INDEX(기본자료!$K$2:$K$501,$AB138))),INDEX(기본자료!$K$2:$K$501,$AB138),IF(INDEX(기본자료!$K$2:$K$501,$AB138)&lt;1000000,INDEX(기본자료!$K$2:$K$501,$AB138),IF(AND(INDEX(기본자료!$K$2:$K$501,$AB138)&gt;=10000101,INT(MOD(INDEX(기본자료!$K$2:$K$501,$AB138),10000)/100)&gt;=1,INT(MOD(INDEX(기본자료!$K$2:$K$501,$AB138),10000)/100)&lt;=12,MOD(INDEX(기본자료!$K$2:$K$501,$AB138),100)&gt;=1,MOD(INDEX(기본자료!$K$2:$K$501,$AB138),100)&lt;=31),DATE(INT(INDEX(기본자료!$K$2:$K$501,$AB138)/10000),INT(MOD(INDEX(기본자료!$K$2:$K$501,$AB138),10000)/100),MOD(INDEX(기본자료!$K$2:$K$501,$AB138),100)),INDEX(기본자료!$K$2:$K$501,$AB138)&amp;"")))))</f>
        <v/>
      </c>
      <c r="F138" s="10">
        <f>IF($AB138="","",IF(INDEX(기본자료!$D$2:$D$501,$AB138)="","",INDEX(기본자료!$D$2:$D$501,$AB138)))</f>
        <v/>
      </c>
      <c r="G138" s="10">
        <f>IF($AB138="","",IF(INDEX(기본자료!$E$2:$E$501,$AB138)="","",INDEX(기본자료!$E$2:$E$501,$AB138)))</f>
        <v/>
      </c>
      <c r="H138" s="10">
        <f>IF($AB138="","",IF(INDEX(기본자료!$F$2:$F$501,$AB138)="","",INDEX(기본자료!$F$2:$F$501,$AB138)))</f>
        <v/>
      </c>
      <c r="I138" s="11">
        <f>IF($AB138="","",IF(INDEX(기본자료!$G$2:$G$501,$AB138)="","",IF(NOT(ISNUMBER(INDEX(기본자료!$G$2:$G$501,$AB138))),INDEX(기본자료!$G$2:$G$501,$AB138),IF(INDEX(기본자료!$G$2:$G$501,$AB138)&lt;1000000,INDEX(기본자료!$G$2:$G$501,$AB138),IF(AND(INDEX(기본자료!$G$2:$G$501,$AB138)&gt;=10000101,INT(MOD(INDEX(기본자료!$G$2:$G$501,$AB138),10000)/100)&gt;=1,INT(MOD(INDEX(기본자료!$G$2:$G$501,$AB138),10000)/100)&lt;=12,MOD(INDEX(기본자료!$G$2:$G$501,$AB138),100)&gt;=1,MOD(INDEX(기본자료!$G$2:$G$501,$AB138),100)&lt;=31),DATE(INT(INDEX(기본자료!$G$2:$G$501,$AB138)/10000),INT(MOD(INDEX(기본자료!$G$2:$G$501,$AB138),10000)/100),MOD(INDEX(기본자료!$G$2:$G$501,$AB138),100)),INDEX(기본자료!$G$2:$G$501,$AB138)&amp;"")))))</f>
        <v/>
      </c>
      <c r="J138" s="10">
        <f>IF($AB138="","",IF(INDEX(기본자료!$H$2:$H$501,$AB138)="","",INDEX(기본자료!$H$2:$H$501,$AB138)))</f>
        <v/>
      </c>
      <c r="K138" s="10">
        <f>IF($AB138="","",IF(INDEX(기본자료!$I$2:$I$501,$AB138)="","",INDEX(기본자료!$I$2:$I$501,$AB138)))</f>
        <v/>
      </c>
      <c r="L138" s="10">
        <f>IF($AB138="","",IF(INDEX(기본자료!$A$2:$A$501,$AB138)="","",INDEX(기본자료!$A$2:$A$501,$AB138)))</f>
        <v/>
      </c>
      <c r="M138" s="14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4" t="n"/>
      <c r="Q138" s="14" t="n"/>
      <c r="R138" s="14" t="n"/>
      <c r="S138" s="15" t="n"/>
      <c r="T138" s="15" t="n"/>
      <c r="U138" s="10">
        <f>IF(OR($B138="",$S138=""),"",IF(TODAY()&lt;$S138,"파견예정",IF(AND($T138&lt;&gt;"",TODAY()&gt;$T138),"파견종료","파견중")))</f>
        <v/>
      </c>
      <c r="V138" s="16">
        <f>IF(OR($S138="",$T138=""),"",$T138-$S138+1)</f>
        <v/>
      </c>
      <c r="W138" s="16">
        <f>IF(AND($U138="파견중",$T138&lt;&gt;""),$T138-TODAY(),"")</f>
        <v/>
      </c>
      <c r="X138" s="16">
        <f>IF(OR($B138="",$S138=""),"",MAX(0,MIN(IF($T138="",EOMONTH(요약!$B$3,0),$T138),EOMONTH(요약!$B$3,0))-MAX($S138,요약!$B$3)+1))</f>
        <v/>
      </c>
      <c r="Y138" s="10">
        <f>IF($B138="","",IF($AE138="","",IF(OR($S138="",$P138="",N($X138)&lt;=0),$AE138,IF($P138="다기관파견",$AE138,IF($AE138="구리병원",IF(AND($Q138&lt;&gt;"",N($X138)&gt;=요약!$E$3),$Q138,$AE138),IF(AND($P138="일반파견(단독)",$Q138&lt;&gt;""),$Q138,$AE138))))))</f>
        <v/>
      </c>
      <c r="Z138" s="17">
        <f>IF($B138="","",IF($AB138="","기본자료에 없는 사번",IF(COUNTIF($B$2:$B$201,$B138)&gt;1,"중복 사번",IF($M138="","입사장소 입력",IF(AND($P138&lt;&gt;"",$S138=""),"파견시작일 입력",IF(AND($S138&lt;&gt;"",$P138=""),"파견종류 입력",IF(AND($P138&lt;&gt;"",$P138&lt;&gt;"다기관파견",$Q138=""),"파견병원 입력",IF(IF($AC138="",0,N(INDEX(인턴근무계획!$T$3:$T$202,$AC138)))&gt;0,"인턴계획 입력오류 확인",IF(AND($AC138&lt;&gt;"",$U138&lt;&gt;"파견중",$N138&lt;&gt;$AE138),"인턴 타지역 근무: 파견 여부 확인","정상")))))))))</f>
        <v/>
      </c>
      <c r="AA138" s="5" t="n"/>
      <c r="AB138" s="10">
        <f>IF($B138="","",IFERROR(MATCH($B138,기본자료!$B$2:$B$501,0),IFERROR(MATCH($B138&amp;"",기본자료!$B$2:$B$501,0),IFERROR(MATCH(VALUE($B138),기본자료!$B$2:$B$501,0),""))))</f>
        <v/>
      </c>
      <c r="AC138" s="10">
        <f>IF($B138="","",IFERROR(MATCH($B138,인턴근무계획!$D$3:$D$202,0),IFERROR(MATCH($B138&amp;"",인턴근무계획!$D$3:$D$202,0),IFERROR(MATCH(VALUE($B138),인턴근무계획!$D$3:$D$202,0),""))))</f>
        <v/>
      </c>
      <c r="AD138" s="10">
        <f>IF(OR($AC138="",인턴현황!$G$3=""),"",INDEX(인턴근무계획!$M$3:$R$202,$AC138,인턴현황!$G$3)&amp;"")</f>
        <v/>
      </c>
      <c r="AE138" s="10">
        <f>IF($B138="","",IF($M138&lt;&gt;"",$M138,IF($H138="","",IF(RIGHT($H138,2)="병원",$H138,$H138&amp;"병원"))))</f>
        <v/>
      </c>
    </row>
    <row r="139">
      <c r="A139" s="10">
        <f>IF(B139="","",ROW()-1)</f>
        <v/>
      </c>
      <c r="B139" s="13" t="n"/>
      <c r="C139" s="10">
        <f>IF($AB139="","",IF(INDEX(기본자료!$C$2:$C$501,$AB139)="","",INDEX(기본자료!$C$2:$C$501,$AB139)))</f>
        <v/>
      </c>
      <c r="D139" s="10">
        <f>IF($AB139="","",IF(INDEX(기본자료!$J$2:$J$501,$AB139)="","",INDEX(기본자료!$J$2:$J$501,$AB139)))</f>
        <v/>
      </c>
      <c r="E139" s="11">
        <f>IF($AB139="","",IF(INDEX(기본자료!$K$2:$K$501,$AB139)="","",IF(NOT(ISNUMBER(INDEX(기본자료!$K$2:$K$501,$AB139))),INDEX(기본자료!$K$2:$K$501,$AB139),IF(INDEX(기본자료!$K$2:$K$501,$AB139)&lt;1000000,INDEX(기본자료!$K$2:$K$501,$AB139),IF(AND(INDEX(기본자료!$K$2:$K$501,$AB139)&gt;=10000101,INT(MOD(INDEX(기본자료!$K$2:$K$501,$AB139),10000)/100)&gt;=1,INT(MOD(INDEX(기본자료!$K$2:$K$501,$AB139),10000)/100)&lt;=12,MOD(INDEX(기본자료!$K$2:$K$501,$AB139),100)&gt;=1,MOD(INDEX(기본자료!$K$2:$K$501,$AB139),100)&lt;=31),DATE(INT(INDEX(기본자료!$K$2:$K$501,$AB139)/10000),INT(MOD(INDEX(기본자료!$K$2:$K$501,$AB139),10000)/100),MOD(INDEX(기본자료!$K$2:$K$501,$AB139),100)),INDEX(기본자료!$K$2:$K$501,$AB139)&amp;"")))))</f>
        <v/>
      </c>
      <c r="F139" s="10">
        <f>IF($AB139="","",IF(INDEX(기본자료!$D$2:$D$501,$AB139)="","",INDEX(기본자료!$D$2:$D$501,$AB139)))</f>
        <v/>
      </c>
      <c r="G139" s="10">
        <f>IF($AB139="","",IF(INDEX(기본자료!$E$2:$E$501,$AB139)="","",INDEX(기본자료!$E$2:$E$501,$AB139)))</f>
        <v/>
      </c>
      <c r="H139" s="10">
        <f>IF($AB139="","",IF(INDEX(기본자료!$F$2:$F$501,$AB139)="","",INDEX(기본자료!$F$2:$F$501,$AB139)))</f>
        <v/>
      </c>
      <c r="I139" s="11">
        <f>IF($AB139="","",IF(INDEX(기본자료!$G$2:$G$501,$AB139)="","",IF(NOT(ISNUMBER(INDEX(기본자료!$G$2:$G$501,$AB139))),INDEX(기본자료!$G$2:$G$501,$AB139),IF(INDEX(기본자료!$G$2:$G$501,$AB139)&lt;1000000,INDEX(기본자료!$G$2:$G$501,$AB139),IF(AND(INDEX(기본자료!$G$2:$G$501,$AB139)&gt;=10000101,INT(MOD(INDEX(기본자료!$G$2:$G$501,$AB139),10000)/100)&gt;=1,INT(MOD(INDEX(기본자료!$G$2:$G$501,$AB139),10000)/100)&lt;=12,MOD(INDEX(기본자료!$G$2:$G$501,$AB139),100)&gt;=1,MOD(INDEX(기본자료!$G$2:$G$501,$AB139),100)&lt;=31),DATE(INT(INDEX(기본자료!$G$2:$G$501,$AB139)/10000),INT(MOD(INDEX(기본자료!$G$2:$G$501,$AB139),10000)/100),MOD(INDEX(기본자료!$G$2:$G$501,$AB139),100)),INDEX(기본자료!$G$2:$G$501,$AB139)&amp;"")))))</f>
        <v/>
      </c>
      <c r="J139" s="10">
        <f>IF($AB139="","",IF(INDEX(기본자료!$H$2:$H$501,$AB139)="","",INDEX(기본자료!$H$2:$H$501,$AB139)))</f>
        <v/>
      </c>
      <c r="K139" s="10">
        <f>IF($AB139="","",IF(INDEX(기본자료!$I$2:$I$501,$AB139)="","",INDEX(기본자료!$I$2:$I$501,$AB139)))</f>
        <v/>
      </c>
      <c r="L139" s="10">
        <f>IF($AB139="","",IF(INDEX(기본자료!$A$2:$A$501,$AB139)="","",INDEX(기본자료!$A$2:$A$501,$AB139)))</f>
        <v/>
      </c>
      <c r="M139" s="14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4" t="n"/>
      <c r="Q139" s="14" t="n"/>
      <c r="R139" s="14" t="n"/>
      <c r="S139" s="15" t="n"/>
      <c r="T139" s="15" t="n"/>
      <c r="U139" s="10">
        <f>IF(OR($B139="",$S139=""),"",IF(TODAY()&lt;$S139,"파견예정",IF(AND($T139&lt;&gt;"",TODAY()&gt;$T139),"파견종료","파견중")))</f>
        <v/>
      </c>
      <c r="V139" s="16">
        <f>IF(OR($S139="",$T139=""),"",$T139-$S139+1)</f>
        <v/>
      </c>
      <c r="W139" s="16">
        <f>IF(AND($U139="파견중",$T139&lt;&gt;""),$T139-TODAY(),"")</f>
        <v/>
      </c>
      <c r="X139" s="16">
        <f>IF(OR($B139="",$S139=""),"",MAX(0,MIN(IF($T139="",EOMONTH(요약!$B$3,0),$T139),EOMONTH(요약!$B$3,0))-MAX($S139,요약!$B$3)+1))</f>
        <v/>
      </c>
      <c r="Y139" s="10">
        <f>IF($B139="","",IF($AE139="","",IF(OR($S139="",$P139="",N($X139)&lt;=0),$AE139,IF($P139="다기관파견",$AE139,IF($AE139="구리병원",IF(AND($Q139&lt;&gt;"",N($X139)&gt;=요약!$E$3),$Q139,$AE139),IF(AND($P139="일반파견(단독)",$Q139&lt;&gt;""),$Q139,$AE139))))))</f>
        <v/>
      </c>
      <c r="Z139" s="17">
        <f>IF($B139="","",IF($AB139="","기본자료에 없는 사번",IF(COUNTIF($B$2:$B$201,$B139)&gt;1,"중복 사번",IF($M139="","입사장소 입력",IF(AND($P139&lt;&gt;"",$S139=""),"파견시작일 입력",IF(AND($S139&lt;&gt;"",$P139=""),"파견종류 입력",IF(AND($P139&lt;&gt;"",$P139&lt;&gt;"다기관파견",$Q139=""),"파견병원 입력",IF(IF($AC139="",0,N(INDEX(인턴근무계획!$T$3:$T$202,$AC139)))&gt;0,"인턴계획 입력오류 확인",IF(AND($AC139&lt;&gt;"",$U139&lt;&gt;"파견중",$N139&lt;&gt;$AE139),"인턴 타지역 근무: 파견 여부 확인","정상")))))))))</f>
        <v/>
      </c>
      <c r="AA139" s="5" t="n"/>
      <c r="AB139" s="10">
        <f>IF($B139="","",IFERROR(MATCH($B139,기본자료!$B$2:$B$501,0),IFERROR(MATCH($B139&amp;"",기본자료!$B$2:$B$501,0),IFERROR(MATCH(VALUE($B139),기본자료!$B$2:$B$501,0),""))))</f>
        <v/>
      </c>
      <c r="AC139" s="10">
        <f>IF($B139="","",IFERROR(MATCH($B139,인턴근무계획!$D$3:$D$202,0),IFERROR(MATCH($B139&amp;"",인턴근무계획!$D$3:$D$202,0),IFERROR(MATCH(VALUE($B139),인턴근무계획!$D$3:$D$202,0),""))))</f>
        <v/>
      </c>
      <c r="AD139" s="10">
        <f>IF(OR($AC139="",인턴현황!$G$3=""),"",INDEX(인턴근무계획!$M$3:$R$202,$AC139,인턴현황!$G$3)&amp;"")</f>
        <v/>
      </c>
      <c r="AE139" s="10">
        <f>IF($B139="","",IF($M139&lt;&gt;"",$M139,IF($H139="","",IF(RIGHT($H139,2)="병원",$H139,$H139&amp;"병원"))))</f>
        <v/>
      </c>
    </row>
    <row r="140">
      <c r="A140" s="10">
        <f>IF(B140="","",ROW()-1)</f>
        <v/>
      </c>
      <c r="B140" s="13" t="n"/>
      <c r="C140" s="10">
        <f>IF($AB140="","",IF(INDEX(기본자료!$C$2:$C$501,$AB140)="","",INDEX(기본자료!$C$2:$C$501,$AB140)))</f>
        <v/>
      </c>
      <c r="D140" s="10">
        <f>IF($AB140="","",IF(INDEX(기본자료!$J$2:$J$501,$AB140)="","",INDEX(기본자료!$J$2:$J$501,$AB140)))</f>
        <v/>
      </c>
      <c r="E140" s="11">
        <f>IF($AB140="","",IF(INDEX(기본자료!$K$2:$K$501,$AB140)="","",IF(NOT(ISNUMBER(INDEX(기본자료!$K$2:$K$501,$AB140))),INDEX(기본자료!$K$2:$K$501,$AB140),IF(INDEX(기본자료!$K$2:$K$501,$AB140)&lt;1000000,INDEX(기본자료!$K$2:$K$501,$AB140),IF(AND(INDEX(기본자료!$K$2:$K$501,$AB140)&gt;=10000101,INT(MOD(INDEX(기본자료!$K$2:$K$501,$AB140),10000)/100)&gt;=1,INT(MOD(INDEX(기본자료!$K$2:$K$501,$AB140),10000)/100)&lt;=12,MOD(INDEX(기본자료!$K$2:$K$501,$AB140),100)&gt;=1,MOD(INDEX(기본자료!$K$2:$K$501,$AB140),100)&lt;=31),DATE(INT(INDEX(기본자료!$K$2:$K$501,$AB140)/10000),INT(MOD(INDEX(기본자료!$K$2:$K$501,$AB140),10000)/100),MOD(INDEX(기본자료!$K$2:$K$501,$AB140),100)),INDEX(기본자료!$K$2:$K$501,$AB140)&amp;"")))))</f>
        <v/>
      </c>
      <c r="F140" s="10">
        <f>IF($AB140="","",IF(INDEX(기본자료!$D$2:$D$501,$AB140)="","",INDEX(기본자료!$D$2:$D$501,$AB140)))</f>
        <v/>
      </c>
      <c r="G140" s="10">
        <f>IF($AB140="","",IF(INDEX(기본자료!$E$2:$E$501,$AB140)="","",INDEX(기본자료!$E$2:$E$501,$AB140)))</f>
        <v/>
      </c>
      <c r="H140" s="10">
        <f>IF($AB140="","",IF(INDEX(기본자료!$F$2:$F$501,$AB140)="","",INDEX(기본자료!$F$2:$F$501,$AB140)))</f>
        <v/>
      </c>
      <c r="I140" s="11">
        <f>IF($AB140="","",IF(INDEX(기본자료!$G$2:$G$501,$AB140)="","",IF(NOT(ISNUMBER(INDEX(기본자료!$G$2:$G$501,$AB140))),INDEX(기본자료!$G$2:$G$501,$AB140),IF(INDEX(기본자료!$G$2:$G$501,$AB140)&lt;1000000,INDEX(기본자료!$G$2:$G$501,$AB140),IF(AND(INDEX(기본자료!$G$2:$G$501,$AB140)&gt;=10000101,INT(MOD(INDEX(기본자료!$G$2:$G$501,$AB140),10000)/100)&gt;=1,INT(MOD(INDEX(기본자료!$G$2:$G$501,$AB140),10000)/100)&lt;=12,MOD(INDEX(기본자료!$G$2:$G$501,$AB140),100)&gt;=1,MOD(INDEX(기본자료!$G$2:$G$501,$AB140),100)&lt;=31),DATE(INT(INDEX(기본자료!$G$2:$G$501,$AB140)/10000),INT(MOD(INDEX(기본자료!$G$2:$G$501,$AB140),10000)/100),MOD(INDEX(기본자료!$G$2:$G$501,$AB140),100)),INDEX(기본자료!$G$2:$G$501,$AB140)&amp;"")))))</f>
        <v/>
      </c>
      <c r="J140" s="10">
        <f>IF($AB140="","",IF(INDEX(기본자료!$H$2:$H$501,$AB140)="","",INDEX(기본자료!$H$2:$H$501,$AB140)))</f>
        <v/>
      </c>
      <c r="K140" s="10">
        <f>IF($AB140="","",IF(INDEX(기본자료!$I$2:$I$501,$AB140)="","",INDEX(기본자료!$I$2:$I$501,$AB140)))</f>
        <v/>
      </c>
      <c r="L140" s="10">
        <f>IF($AB140="","",IF(INDEX(기본자료!$A$2:$A$501,$AB140)="","",INDEX(기본자료!$A$2:$A$501,$AB140)))</f>
        <v/>
      </c>
      <c r="M140" s="14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4" t="n"/>
      <c r="Q140" s="14" t="n"/>
      <c r="R140" s="14" t="n"/>
      <c r="S140" s="15" t="n"/>
      <c r="T140" s="15" t="n"/>
      <c r="U140" s="10">
        <f>IF(OR($B140="",$S140=""),"",IF(TODAY()&lt;$S140,"파견예정",IF(AND($T140&lt;&gt;"",TODAY()&gt;$T140),"파견종료","파견중")))</f>
        <v/>
      </c>
      <c r="V140" s="16">
        <f>IF(OR($S140="",$T140=""),"",$T140-$S140+1)</f>
        <v/>
      </c>
      <c r="W140" s="16">
        <f>IF(AND($U140="파견중",$T140&lt;&gt;""),$T140-TODAY(),"")</f>
        <v/>
      </c>
      <c r="X140" s="16">
        <f>IF(OR($B140="",$S140=""),"",MAX(0,MIN(IF($T140="",EOMONTH(요약!$B$3,0),$T140),EOMONTH(요약!$B$3,0))-MAX($S140,요약!$B$3)+1))</f>
        <v/>
      </c>
      <c r="Y140" s="10">
        <f>IF($B140="","",IF($AE140="","",IF(OR($S140="",$P140="",N($X140)&lt;=0),$AE140,IF($P140="다기관파견",$AE140,IF($AE140="구리병원",IF(AND($Q140&lt;&gt;"",N($X140)&gt;=요약!$E$3),$Q140,$AE140),IF(AND($P140="일반파견(단독)",$Q140&lt;&gt;""),$Q140,$AE140))))))</f>
        <v/>
      </c>
      <c r="Z140" s="17">
        <f>IF($B140="","",IF($AB140="","기본자료에 없는 사번",IF(COUNTIF($B$2:$B$201,$B140)&gt;1,"중복 사번",IF($M140="","입사장소 입력",IF(AND($P140&lt;&gt;"",$S140=""),"파견시작일 입력",IF(AND($S140&lt;&gt;"",$P140=""),"파견종류 입력",IF(AND($P140&lt;&gt;"",$P140&lt;&gt;"다기관파견",$Q140=""),"파견병원 입력",IF(IF($AC140="",0,N(INDEX(인턴근무계획!$T$3:$T$202,$AC140)))&gt;0,"인턴계획 입력오류 확인",IF(AND($AC140&lt;&gt;"",$U140&lt;&gt;"파견중",$N140&lt;&gt;$AE140),"인턴 타지역 근무: 파견 여부 확인","정상")))))))))</f>
        <v/>
      </c>
      <c r="AA140" s="5" t="n"/>
      <c r="AB140" s="10">
        <f>IF($B140="","",IFERROR(MATCH($B140,기본자료!$B$2:$B$501,0),IFERROR(MATCH($B140&amp;"",기본자료!$B$2:$B$501,0),IFERROR(MATCH(VALUE($B140),기본자료!$B$2:$B$501,0),""))))</f>
        <v/>
      </c>
      <c r="AC140" s="10">
        <f>IF($B140="","",IFERROR(MATCH($B140,인턴근무계획!$D$3:$D$202,0),IFERROR(MATCH($B140&amp;"",인턴근무계획!$D$3:$D$202,0),IFERROR(MATCH(VALUE($B140),인턴근무계획!$D$3:$D$202,0),""))))</f>
        <v/>
      </c>
      <c r="AD140" s="10">
        <f>IF(OR($AC140="",인턴현황!$G$3=""),"",INDEX(인턴근무계획!$M$3:$R$202,$AC140,인턴현황!$G$3)&amp;"")</f>
        <v/>
      </c>
      <c r="AE140" s="10">
        <f>IF($B140="","",IF($M140&lt;&gt;"",$M140,IF($H140="","",IF(RIGHT($H140,2)="병원",$H140,$H140&amp;"병원"))))</f>
        <v/>
      </c>
    </row>
    <row r="141">
      <c r="A141" s="10">
        <f>IF(B141="","",ROW()-1)</f>
        <v/>
      </c>
      <c r="B141" s="13" t="n"/>
      <c r="C141" s="10">
        <f>IF($AB141="","",IF(INDEX(기본자료!$C$2:$C$501,$AB141)="","",INDEX(기본자료!$C$2:$C$501,$AB141)))</f>
        <v/>
      </c>
      <c r="D141" s="10">
        <f>IF($AB141="","",IF(INDEX(기본자료!$J$2:$J$501,$AB141)="","",INDEX(기본자료!$J$2:$J$501,$AB141)))</f>
        <v/>
      </c>
      <c r="E141" s="11">
        <f>IF($AB141="","",IF(INDEX(기본자료!$K$2:$K$501,$AB141)="","",IF(NOT(ISNUMBER(INDEX(기본자료!$K$2:$K$501,$AB141))),INDEX(기본자료!$K$2:$K$501,$AB141),IF(INDEX(기본자료!$K$2:$K$501,$AB141)&lt;1000000,INDEX(기본자료!$K$2:$K$501,$AB141),IF(AND(INDEX(기본자료!$K$2:$K$501,$AB141)&gt;=10000101,INT(MOD(INDEX(기본자료!$K$2:$K$501,$AB141),10000)/100)&gt;=1,INT(MOD(INDEX(기본자료!$K$2:$K$501,$AB141),10000)/100)&lt;=12,MOD(INDEX(기본자료!$K$2:$K$501,$AB141),100)&gt;=1,MOD(INDEX(기본자료!$K$2:$K$501,$AB141),100)&lt;=31),DATE(INT(INDEX(기본자료!$K$2:$K$501,$AB141)/10000),INT(MOD(INDEX(기본자료!$K$2:$K$501,$AB141),10000)/100),MOD(INDEX(기본자료!$K$2:$K$501,$AB141),100)),INDEX(기본자료!$K$2:$K$501,$AB141)&amp;"")))))</f>
        <v/>
      </c>
      <c r="F141" s="10">
        <f>IF($AB141="","",IF(INDEX(기본자료!$D$2:$D$501,$AB141)="","",INDEX(기본자료!$D$2:$D$501,$AB141)))</f>
        <v/>
      </c>
      <c r="G141" s="10">
        <f>IF($AB141="","",IF(INDEX(기본자료!$E$2:$E$501,$AB141)="","",INDEX(기본자료!$E$2:$E$501,$AB141)))</f>
        <v/>
      </c>
      <c r="H141" s="10">
        <f>IF($AB141="","",IF(INDEX(기본자료!$F$2:$F$501,$AB141)="","",INDEX(기본자료!$F$2:$F$501,$AB141)))</f>
        <v/>
      </c>
      <c r="I141" s="11">
        <f>IF($AB141="","",IF(INDEX(기본자료!$G$2:$G$501,$AB141)="","",IF(NOT(ISNUMBER(INDEX(기본자료!$G$2:$G$501,$AB141))),INDEX(기본자료!$G$2:$G$501,$AB141),IF(INDEX(기본자료!$G$2:$G$501,$AB141)&lt;1000000,INDEX(기본자료!$G$2:$G$501,$AB141),IF(AND(INDEX(기본자료!$G$2:$G$501,$AB141)&gt;=10000101,INT(MOD(INDEX(기본자료!$G$2:$G$501,$AB141),10000)/100)&gt;=1,INT(MOD(INDEX(기본자료!$G$2:$G$501,$AB141),10000)/100)&lt;=12,MOD(INDEX(기본자료!$G$2:$G$501,$AB141),100)&gt;=1,MOD(INDEX(기본자료!$G$2:$G$501,$AB141),100)&lt;=31),DATE(INT(INDEX(기본자료!$G$2:$G$501,$AB141)/10000),INT(MOD(INDEX(기본자료!$G$2:$G$501,$AB141),10000)/100),MOD(INDEX(기본자료!$G$2:$G$501,$AB141),100)),INDEX(기본자료!$G$2:$G$501,$AB141)&amp;"")))))</f>
        <v/>
      </c>
      <c r="J141" s="10">
        <f>IF($AB141="","",IF(INDEX(기본자료!$H$2:$H$501,$AB141)="","",INDEX(기본자료!$H$2:$H$501,$AB141)))</f>
        <v/>
      </c>
      <c r="K141" s="10">
        <f>IF($AB141="","",IF(INDEX(기본자료!$I$2:$I$501,$AB141)="","",INDEX(기본자료!$I$2:$I$501,$AB141)))</f>
        <v/>
      </c>
      <c r="L141" s="10">
        <f>IF($AB141="","",IF(INDEX(기본자료!$A$2:$A$501,$AB141)="","",INDEX(기본자료!$A$2:$A$501,$AB141)))</f>
        <v/>
      </c>
      <c r="M141" s="14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4" t="n"/>
      <c r="Q141" s="14" t="n"/>
      <c r="R141" s="14" t="n"/>
      <c r="S141" s="15" t="n"/>
      <c r="T141" s="15" t="n"/>
      <c r="U141" s="10">
        <f>IF(OR($B141="",$S141=""),"",IF(TODAY()&lt;$S141,"파견예정",IF(AND($T141&lt;&gt;"",TODAY()&gt;$T141),"파견종료","파견중")))</f>
        <v/>
      </c>
      <c r="V141" s="16">
        <f>IF(OR($S141="",$T141=""),"",$T141-$S141+1)</f>
        <v/>
      </c>
      <c r="W141" s="16">
        <f>IF(AND($U141="파견중",$T141&lt;&gt;""),$T141-TODAY(),"")</f>
        <v/>
      </c>
      <c r="X141" s="16">
        <f>IF(OR($B141="",$S141=""),"",MAX(0,MIN(IF($T141="",EOMONTH(요약!$B$3,0),$T141),EOMONTH(요약!$B$3,0))-MAX($S141,요약!$B$3)+1))</f>
        <v/>
      </c>
      <c r="Y141" s="10">
        <f>IF($B141="","",IF($AE141="","",IF(OR($S141="",$P141="",N($X141)&lt;=0),$AE141,IF($P141="다기관파견",$AE141,IF($AE141="구리병원",IF(AND($Q141&lt;&gt;"",N($X141)&gt;=요약!$E$3),$Q141,$AE141),IF(AND($P141="일반파견(단독)",$Q141&lt;&gt;""),$Q141,$AE141))))))</f>
        <v/>
      </c>
      <c r="Z141" s="17">
        <f>IF($B141="","",IF($AB141="","기본자료에 없는 사번",IF(COUNTIF($B$2:$B$201,$B141)&gt;1,"중복 사번",IF($M141="","입사장소 입력",IF(AND($P141&lt;&gt;"",$S141=""),"파견시작일 입력",IF(AND($S141&lt;&gt;"",$P141=""),"파견종류 입력",IF(AND($P141&lt;&gt;"",$P141&lt;&gt;"다기관파견",$Q141=""),"파견병원 입력",IF(IF($AC141="",0,N(INDEX(인턴근무계획!$T$3:$T$202,$AC141)))&gt;0,"인턴계획 입력오류 확인",IF(AND($AC141&lt;&gt;"",$U141&lt;&gt;"파견중",$N141&lt;&gt;$AE141),"인턴 타지역 근무: 파견 여부 확인","정상")))))))))</f>
        <v/>
      </c>
      <c r="AA141" s="5" t="n"/>
      <c r="AB141" s="10">
        <f>IF($B141="","",IFERROR(MATCH($B141,기본자료!$B$2:$B$501,0),IFERROR(MATCH($B141&amp;"",기본자료!$B$2:$B$501,0),IFERROR(MATCH(VALUE($B141),기본자료!$B$2:$B$501,0),""))))</f>
        <v/>
      </c>
      <c r="AC141" s="10">
        <f>IF($B141="","",IFERROR(MATCH($B141,인턴근무계획!$D$3:$D$202,0),IFERROR(MATCH($B141&amp;"",인턴근무계획!$D$3:$D$202,0),IFERROR(MATCH(VALUE($B141),인턴근무계획!$D$3:$D$202,0),""))))</f>
        <v/>
      </c>
      <c r="AD141" s="10">
        <f>IF(OR($AC141="",인턴현황!$G$3=""),"",INDEX(인턴근무계획!$M$3:$R$202,$AC141,인턴현황!$G$3)&amp;"")</f>
        <v/>
      </c>
      <c r="AE141" s="10">
        <f>IF($B141="","",IF($M141&lt;&gt;"",$M141,IF($H141="","",IF(RIGHT($H141,2)="병원",$H141,$H141&amp;"병원"))))</f>
        <v/>
      </c>
    </row>
    <row r="142">
      <c r="A142" s="10">
        <f>IF(B142="","",ROW()-1)</f>
        <v/>
      </c>
      <c r="B142" s="13" t="n"/>
      <c r="C142" s="10">
        <f>IF($AB142="","",IF(INDEX(기본자료!$C$2:$C$501,$AB142)="","",INDEX(기본자료!$C$2:$C$501,$AB142)))</f>
        <v/>
      </c>
      <c r="D142" s="10">
        <f>IF($AB142="","",IF(INDEX(기본자료!$J$2:$J$501,$AB142)="","",INDEX(기본자료!$J$2:$J$501,$AB142)))</f>
        <v/>
      </c>
      <c r="E142" s="11">
        <f>IF($AB142="","",IF(INDEX(기본자료!$K$2:$K$501,$AB142)="","",IF(NOT(ISNUMBER(INDEX(기본자료!$K$2:$K$501,$AB142))),INDEX(기본자료!$K$2:$K$501,$AB142),IF(INDEX(기본자료!$K$2:$K$501,$AB142)&lt;1000000,INDEX(기본자료!$K$2:$K$501,$AB142),IF(AND(INDEX(기본자료!$K$2:$K$501,$AB142)&gt;=10000101,INT(MOD(INDEX(기본자료!$K$2:$K$501,$AB142),10000)/100)&gt;=1,INT(MOD(INDEX(기본자료!$K$2:$K$501,$AB142),10000)/100)&lt;=12,MOD(INDEX(기본자료!$K$2:$K$501,$AB142),100)&gt;=1,MOD(INDEX(기본자료!$K$2:$K$501,$AB142),100)&lt;=31),DATE(INT(INDEX(기본자료!$K$2:$K$501,$AB142)/10000),INT(MOD(INDEX(기본자료!$K$2:$K$501,$AB142),10000)/100),MOD(INDEX(기본자료!$K$2:$K$501,$AB142),100)),INDEX(기본자료!$K$2:$K$501,$AB142)&amp;"")))))</f>
        <v/>
      </c>
      <c r="F142" s="10">
        <f>IF($AB142="","",IF(INDEX(기본자료!$D$2:$D$501,$AB142)="","",INDEX(기본자료!$D$2:$D$501,$AB142)))</f>
        <v/>
      </c>
      <c r="G142" s="10">
        <f>IF($AB142="","",IF(INDEX(기본자료!$E$2:$E$501,$AB142)="","",INDEX(기본자료!$E$2:$E$501,$AB142)))</f>
        <v/>
      </c>
      <c r="H142" s="10">
        <f>IF($AB142="","",IF(INDEX(기본자료!$F$2:$F$501,$AB142)="","",INDEX(기본자료!$F$2:$F$501,$AB142)))</f>
        <v/>
      </c>
      <c r="I142" s="11">
        <f>IF($AB142="","",IF(INDEX(기본자료!$G$2:$G$501,$AB142)="","",IF(NOT(ISNUMBER(INDEX(기본자료!$G$2:$G$501,$AB142))),INDEX(기본자료!$G$2:$G$501,$AB142),IF(INDEX(기본자료!$G$2:$G$501,$AB142)&lt;1000000,INDEX(기본자료!$G$2:$G$501,$AB142),IF(AND(INDEX(기본자료!$G$2:$G$501,$AB142)&gt;=10000101,INT(MOD(INDEX(기본자료!$G$2:$G$501,$AB142),10000)/100)&gt;=1,INT(MOD(INDEX(기본자료!$G$2:$G$501,$AB142),10000)/100)&lt;=12,MOD(INDEX(기본자료!$G$2:$G$501,$AB142),100)&gt;=1,MOD(INDEX(기본자료!$G$2:$G$501,$AB142),100)&lt;=31),DATE(INT(INDEX(기본자료!$G$2:$G$501,$AB142)/10000),INT(MOD(INDEX(기본자료!$G$2:$G$501,$AB142),10000)/100),MOD(INDEX(기본자료!$G$2:$G$501,$AB142),100)),INDEX(기본자료!$G$2:$G$501,$AB142)&amp;"")))))</f>
        <v/>
      </c>
      <c r="J142" s="10">
        <f>IF($AB142="","",IF(INDEX(기본자료!$H$2:$H$501,$AB142)="","",INDEX(기본자료!$H$2:$H$501,$AB142)))</f>
        <v/>
      </c>
      <c r="K142" s="10">
        <f>IF($AB142="","",IF(INDEX(기본자료!$I$2:$I$501,$AB142)="","",INDEX(기본자료!$I$2:$I$501,$AB142)))</f>
        <v/>
      </c>
      <c r="L142" s="10">
        <f>IF($AB142="","",IF(INDEX(기본자료!$A$2:$A$501,$AB142)="","",INDEX(기본자료!$A$2:$A$501,$AB142)))</f>
        <v/>
      </c>
      <c r="M142" s="14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4" t="n"/>
      <c r="Q142" s="14" t="n"/>
      <c r="R142" s="14" t="n"/>
      <c r="S142" s="15" t="n"/>
      <c r="T142" s="15" t="n"/>
      <c r="U142" s="10">
        <f>IF(OR($B142="",$S142=""),"",IF(TODAY()&lt;$S142,"파견예정",IF(AND($T142&lt;&gt;"",TODAY()&gt;$T142),"파견종료","파견중")))</f>
        <v/>
      </c>
      <c r="V142" s="16">
        <f>IF(OR($S142="",$T142=""),"",$T142-$S142+1)</f>
        <v/>
      </c>
      <c r="W142" s="16">
        <f>IF(AND($U142="파견중",$T142&lt;&gt;""),$T142-TODAY(),"")</f>
        <v/>
      </c>
      <c r="X142" s="16">
        <f>IF(OR($B142="",$S142=""),"",MAX(0,MIN(IF($T142="",EOMONTH(요약!$B$3,0),$T142),EOMONTH(요약!$B$3,0))-MAX($S142,요약!$B$3)+1))</f>
        <v/>
      </c>
      <c r="Y142" s="10">
        <f>IF($B142="","",IF($AE142="","",IF(OR($S142="",$P142="",N($X142)&lt;=0),$AE142,IF($P142="다기관파견",$AE142,IF($AE142="구리병원",IF(AND($Q142&lt;&gt;"",N($X142)&gt;=요약!$E$3),$Q142,$AE142),IF(AND($P142="일반파견(단독)",$Q142&lt;&gt;""),$Q142,$AE142))))))</f>
        <v/>
      </c>
      <c r="Z142" s="17">
        <f>IF($B142="","",IF($AB142="","기본자료에 없는 사번",IF(COUNTIF($B$2:$B$201,$B142)&gt;1,"중복 사번",IF($M142="","입사장소 입력",IF(AND($P142&lt;&gt;"",$S142=""),"파견시작일 입력",IF(AND($S142&lt;&gt;"",$P142=""),"파견종류 입력",IF(AND($P142&lt;&gt;"",$P142&lt;&gt;"다기관파견",$Q142=""),"파견병원 입력",IF(IF($AC142="",0,N(INDEX(인턴근무계획!$T$3:$T$202,$AC142)))&gt;0,"인턴계획 입력오류 확인",IF(AND($AC142&lt;&gt;"",$U142&lt;&gt;"파견중",$N142&lt;&gt;$AE142),"인턴 타지역 근무: 파견 여부 확인","정상")))))))))</f>
        <v/>
      </c>
      <c r="AA142" s="5" t="n"/>
      <c r="AB142" s="10">
        <f>IF($B142="","",IFERROR(MATCH($B142,기본자료!$B$2:$B$501,0),IFERROR(MATCH($B142&amp;"",기본자료!$B$2:$B$501,0),IFERROR(MATCH(VALUE($B142),기본자료!$B$2:$B$501,0),""))))</f>
        <v/>
      </c>
      <c r="AC142" s="10">
        <f>IF($B142="","",IFERROR(MATCH($B142,인턴근무계획!$D$3:$D$202,0),IFERROR(MATCH($B142&amp;"",인턴근무계획!$D$3:$D$202,0),IFERROR(MATCH(VALUE($B142),인턴근무계획!$D$3:$D$202,0),""))))</f>
        <v/>
      </c>
      <c r="AD142" s="10">
        <f>IF(OR($AC142="",인턴현황!$G$3=""),"",INDEX(인턴근무계획!$M$3:$R$202,$AC142,인턴현황!$G$3)&amp;"")</f>
        <v/>
      </c>
      <c r="AE142" s="10">
        <f>IF($B142="","",IF($M142&lt;&gt;"",$M142,IF($H142="","",IF(RIGHT($H142,2)="병원",$H142,$H142&amp;"병원"))))</f>
        <v/>
      </c>
    </row>
    <row r="143">
      <c r="A143" s="10">
        <f>IF(B143="","",ROW()-1)</f>
        <v/>
      </c>
      <c r="B143" s="13" t="n"/>
      <c r="C143" s="10">
        <f>IF($AB143="","",IF(INDEX(기본자료!$C$2:$C$501,$AB143)="","",INDEX(기본자료!$C$2:$C$501,$AB143)))</f>
        <v/>
      </c>
      <c r="D143" s="10">
        <f>IF($AB143="","",IF(INDEX(기본자료!$J$2:$J$501,$AB143)="","",INDEX(기본자료!$J$2:$J$501,$AB143)))</f>
        <v/>
      </c>
      <c r="E143" s="11">
        <f>IF($AB143="","",IF(INDEX(기본자료!$K$2:$K$501,$AB143)="","",IF(NOT(ISNUMBER(INDEX(기본자료!$K$2:$K$501,$AB143))),INDEX(기본자료!$K$2:$K$501,$AB143),IF(INDEX(기본자료!$K$2:$K$501,$AB143)&lt;1000000,INDEX(기본자료!$K$2:$K$501,$AB143),IF(AND(INDEX(기본자료!$K$2:$K$501,$AB143)&gt;=10000101,INT(MOD(INDEX(기본자료!$K$2:$K$501,$AB143),10000)/100)&gt;=1,INT(MOD(INDEX(기본자료!$K$2:$K$501,$AB143),10000)/100)&lt;=12,MOD(INDEX(기본자료!$K$2:$K$501,$AB143),100)&gt;=1,MOD(INDEX(기본자료!$K$2:$K$501,$AB143),100)&lt;=31),DATE(INT(INDEX(기본자료!$K$2:$K$501,$AB143)/10000),INT(MOD(INDEX(기본자료!$K$2:$K$501,$AB143),10000)/100),MOD(INDEX(기본자료!$K$2:$K$501,$AB143),100)),INDEX(기본자료!$K$2:$K$501,$AB143)&amp;"")))))</f>
        <v/>
      </c>
      <c r="F143" s="10">
        <f>IF($AB143="","",IF(INDEX(기본자료!$D$2:$D$501,$AB143)="","",INDEX(기본자료!$D$2:$D$501,$AB143)))</f>
        <v/>
      </c>
      <c r="G143" s="10">
        <f>IF($AB143="","",IF(INDEX(기본자료!$E$2:$E$501,$AB143)="","",INDEX(기본자료!$E$2:$E$501,$AB143)))</f>
        <v/>
      </c>
      <c r="H143" s="10">
        <f>IF($AB143="","",IF(INDEX(기본자료!$F$2:$F$501,$AB143)="","",INDEX(기본자료!$F$2:$F$501,$AB143)))</f>
        <v/>
      </c>
      <c r="I143" s="11">
        <f>IF($AB143="","",IF(INDEX(기본자료!$G$2:$G$501,$AB143)="","",IF(NOT(ISNUMBER(INDEX(기본자료!$G$2:$G$501,$AB143))),INDEX(기본자료!$G$2:$G$501,$AB143),IF(INDEX(기본자료!$G$2:$G$501,$AB143)&lt;1000000,INDEX(기본자료!$G$2:$G$501,$AB143),IF(AND(INDEX(기본자료!$G$2:$G$501,$AB143)&gt;=10000101,INT(MOD(INDEX(기본자료!$G$2:$G$501,$AB143),10000)/100)&gt;=1,INT(MOD(INDEX(기본자료!$G$2:$G$501,$AB143),10000)/100)&lt;=12,MOD(INDEX(기본자료!$G$2:$G$501,$AB143),100)&gt;=1,MOD(INDEX(기본자료!$G$2:$G$501,$AB143),100)&lt;=31),DATE(INT(INDEX(기본자료!$G$2:$G$501,$AB143)/10000),INT(MOD(INDEX(기본자료!$G$2:$G$501,$AB143),10000)/100),MOD(INDEX(기본자료!$G$2:$G$501,$AB143),100)),INDEX(기본자료!$G$2:$G$501,$AB143)&amp;"")))))</f>
        <v/>
      </c>
      <c r="J143" s="10">
        <f>IF($AB143="","",IF(INDEX(기본자료!$H$2:$H$501,$AB143)="","",INDEX(기본자료!$H$2:$H$501,$AB143)))</f>
        <v/>
      </c>
      <c r="K143" s="10">
        <f>IF($AB143="","",IF(INDEX(기본자료!$I$2:$I$501,$AB143)="","",INDEX(기본자료!$I$2:$I$501,$AB143)))</f>
        <v/>
      </c>
      <c r="L143" s="10">
        <f>IF($AB143="","",IF(INDEX(기본자료!$A$2:$A$501,$AB143)="","",INDEX(기본자료!$A$2:$A$501,$AB143)))</f>
        <v/>
      </c>
      <c r="M143" s="14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4" t="n"/>
      <c r="Q143" s="14" t="n"/>
      <c r="R143" s="14" t="n"/>
      <c r="S143" s="15" t="n"/>
      <c r="T143" s="15" t="n"/>
      <c r="U143" s="10">
        <f>IF(OR($B143="",$S143=""),"",IF(TODAY()&lt;$S143,"파견예정",IF(AND($T143&lt;&gt;"",TODAY()&gt;$T143),"파견종료","파견중")))</f>
        <v/>
      </c>
      <c r="V143" s="16">
        <f>IF(OR($S143="",$T143=""),"",$T143-$S143+1)</f>
        <v/>
      </c>
      <c r="W143" s="16">
        <f>IF(AND($U143="파견중",$T143&lt;&gt;""),$T143-TODAY(),"")</f>
        <v/>
      </c>
      <c r="X143" s="16">
        <f>IF(OR($B143="",$S143=""),"",MAX(0,MIN(IF($T143="",EOMONTH(요약!$B$3,0),$T143),EOMONTH(요약!$B$3,0))-MAX($S143,요약!$B$3)+1))</f>
        <v/>
      </c>
      <c r="Y143" s="10">
        <f>IF($B143="","",IF($AE143="","",IF(OR($S143="",$P143="",N($X143)&lt;=0),$AE143,IF($P143="다기관파견",$AE143,IF($AE143="구리병원",IF(AND($Q143&lt;&gt;"",N($X143)&gt;=요약!$E$3),$Q143,$AE143),IF(AND($P143="일반파견(단독)",$Q143&lt;&gt;""),$Q143,$AE143))))))</f>
        <v/>
      </c>
      <c r="Z143" s="17">
        <f>IF($B143="","",IF($AB143="","기본자료에 없는 사번",IF(COUNTIF($B$2:$B$201,$B143)&gt;1,"중복 사번",IF($M143="","입사장소 입력",IF(AND($P143&lt;&gt;"",$S143=""),"파견시작일 입력",IF(AND($S143&lt;&gt;"",$P143=""),"파견종류 입력",IF(AND($P143&lt;&gt;"",$P143&lt;&gt;"다기관파견",$Q143=""),"파견병원 입력",IF(IF($AC143="",0,N(INDEX(인턴근무계획!$T$3:$T$202,$AC143)))&gt;0,"인턴계획 입력오류 확인",IF(AND($AC143&lt;&gt;"",$U143&lt;&gt;"파견중",$N143&lt;&gt;$AE143),"인턴 타지역 근무: 파견 여부 확인","정상")))))))))</f>
        <v/>
      </c>
      <c r="AA143" s="5" t="n"/>
      <c r="AB143" s="10">
        <f>IF($B143="","",IFERROR(MATCH($B143,기본자료!$B$2:$B$501,0),IFERROR(MATCH($B143&amp;"",기본자료!$B$2:$B$501,0),IFERROR(MATCH(VALUE($B143),기본자료!$B$2:$B$501,0),""))))</f>
        <v/>
      </c>
      <c r="AC143" s="10">
        <f>IF($B143="","",IFERROR(MATCH($B143,인턴근무계획!$D$3:$D$202,0),IFERROR(MATCH($B143&amp;"",인턴근무계획!$D$3:$D$202,0),IFERROR(MATCH(VALUE($B143),인턴근무계획!$D$3:$D$202,0),""))))</f>
        <v/>
      </c>
      <c r="AD143" s="10">
        <f>IF(OR($AC143="",인턴현황!$G$3=""),"",INDEX(인턴근무계획!$M$3:$R$202,$AC143,인턴현황!$G$3)&amp;"")</f>
        <v/>
      </c>
      <c r="AE143" s="10">
        <f>IF($B143="","",IF($M143&lt;&gt;"",$M143,IF($H143="","",IF(RIGHT($H143,2)="병원",$H143,$H143&amp;"병원"))))</f>
        <v/>
      </c>
    </row>
    <row r="144">
      <c r="A144" s="10">
        <f>IF(B144="","",ROW()-1)</f>
        <v/>
      </c>
      <c r="B144" s="13" t="n"/>
      <c r="C144" s="10">
        <f>IF($AB144="","",IF(INDEX(기본자료!$C$2:$C$501,$AB144)="","",INDEX(기본자료!$C$2:$C$501,$AB144)))</f>
        <v/>
      </c>
      <c r="D144" s="10">
        <f>IF($AB144="","",IF(INDEX(기본자료!$J$2:$J$501,$AB144)="","",INDEX(기본자료!$J$2:$J$501,$AB144)))</f>
        <v/>
      </c>
      <c r="E144" s="11">
        <f>IF($AB144="","",IF(INDEX(기본자료!$K$2:$K$501,$AB144)="","",IF(NOT(ISNUMBER(INDEX(기본자료!$K$2:$K$501,$AB144))),INDEX(기본자료!$K$2:$K$501,$AB144),IF(INDEX(기본자료!$K$2:$K$501,$AB144)&lt;1000000,INDEX(기본자료!$K$2:$K$501,$AB144),IF(AND(INDEX(기본자료!$K$2:$K$501,$AB144)&gt;=10000101,INT(MOD(INDEX(기본자료!$K$2:$K$501,$AB144),10000)/100)&gt;=1,INT(MOD(INDEX(기본자료!$K$2:$K$501,$AB144),10000)/100)&lt;=12,MOD(INDEX(기본자료!$K$2:$K$501,$AB144),100)&gt;=1,MOD(INDEX(기본자료!$K$2:$K$501,$AB144),100)&lt;=31),DATE(INT(INDEX(기본자료!$K$2:$K$501,$AB144)/10000),INT(MOD(INDEX(기본자료!$K$2:$K$501,$AB144),10000)/100),MOD(INDEX(기본자료!$K$2:$K$501,$AB144),100)),INDEX(기본자료!$K$2:$K$501,$AB144)&amp;"")))))</f>
        <v/>
      </c>
      <c r="F144" s="10">
        <f>IF($AB144="","",IF(INDEX(기본자료!$D$2:$D$501,$AB144)="","",INDEX(기본자료!$D$2:$D$501,$AB144)))</f>
        <v/>
      </c>
      <c r="G144" s="10">
        <f>IF($AB144="","",IF(INDEX(기본자료!$E$2:$E$501,$AB144)="","",INDEX(기본자료!$E$2:$E$501,$AB144)))</f>
        <v/>
      </c>
      <c r="H144" s="10">
        <f>IF($AB144="","",IF(INDEX(기본자료!$F$2:$F$501,$AB144)="","",INDEX(기본자료!$F$2:$F$501,$AB144)))</f>
        <v/>
      </c>
      <c r="I144" s="11">
        <f>IF($AB144="","",IF(INDEX(기본자료!$G$2:$G$501,$AB144)="","",IF(NOT(ISNUMBER(INDEX(기본자료!$G$2:$G$501,$AB144))),INDEX(기본자료!$G$2:$G$501,$AB144),IF(INDEX(기본자료!$G$2:$G$501,$AB144)&lt;1000000,INDEX(기본자료!$G$2:$G$501,$AB144),IF(AND(INDEX(기본자료!$G$2:$G$501,$AB144)&gt;=10000101,INT(MOD(INDEX(기본자료!$G$2:$G$501,$AB144),10000)/100)&gt;=1,INT(MOD(INDEX(기본자료!$G$2:$G$501,$AB144),10000)/100)&lt;=12,MOD(INDEX(기본자료!$G$2:$G$501,$AB144),100)&gt;=1,MOD(INDEX(기본자료!$G$2:$G$501,$AB144),100)&lt;=31),DATE(INT(INDEX(기본자료!$G$2:$G$501,$AB144)/10000),INT(MOD(INDEX(기본자료!$G$2:$G$501,$AB144),10000)/100),MOD(INDEX(기본자료!$G$2:$G$501,$AB144),100)),INDEX(기본자료!$G$2:$G$501,$AB144)&amp;"")))))</f>
        <v/>
      </c>
      <c r="J144" s="10">
        <f>IF($AB144="","",IF(INDEX(기본자료!$H$2:$H$501,$AB144)="","",INDEX(기본자료!$H$2:$H$501,$AB144)))</f>
        <v/>
      </c>
      <c r="K144" s="10">
        <f>IF($AB144="","",IF(INDEX(기본자료!$I$2:$I$501,$AB144)="","",INDEX(기본자료!$I$2:$I$501,$AB144)))</f>
        <v/>
      </c>
      <c r="L144" s="10">
        <f>IF($AB144="","",IF(INDEX(기본자료!$A$2:$A$501,$AB144)="","",INDEX(기본자료!$A$2:$A$501,$AB144)))</f>
        <v/>
      </c>
      <c r="M144" s="14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4" t="n"/>
      <c r="Q144" s="14" t="n"/>
      <c r="R144" s="14" t="n"/>
      <c r="S144" s="15" t="n"/>
      <c r="T144" s="15" t="n"/>
      <c r="U144" s="10">
        <f>IF(OR($B144="",$S144=""),"",IF(TODAY()&lt;$S144,"파견예정",IF(AND($T144&lt;&gt;"",TODAY()&gt;$T144),"파견종료","파견중")))</f>
        <v/>
      </c>
      <c r="V144" s="16">
        <f>IF(OR($S144="",$T144=""),"",$T144-$S144+1)</f>
        <v/>
      </c>
      <c r="W144" s="16">
        <f>IF(AND($U144="파견중",$T144&lt;&gt;""),$T144-TODAY(),"")</f>
        <v/>
      </c>
      <c r="X144" s="16">
        <f>IF(OR($B144="",$S144=""),"",MAX(0,MIN(IF($T144="",EOMONTH(요약!$B$3,0),$T144),EOMONTH(요약!$B$3,0))-MAX($S144,요약!$B$3)+1))</f>
        <v/>
      </c>
      <c r="Y144" s="10">
        <f>IF($B144="","",IF($AE144="","",IF(OR($S144="",$P144="",N($X144)&lt;=0),$AE144,IF($P144="다기관파견",$AE144,IF($AE144="구리병원",IF(AND($Q144&lt;&gt;"",N($X144)&gt;=요약!$E$3),$Q144,$AE144),IF(AND($P144="일반파견(단독)",$Q144&lt;&gt;""),$Q144,$AE144))))))</f>
        <v/>
      </c>
      <c r="Z144" s="17">
        <f>IF($B144="","",IF($AB144="","기본자료에 없는 사번",IF(COUNTIF($B$2:$B$201,$B144)&gt;1,"중복 사번",IF($M144="","입사장소 입력",IF(AND($P144&lt;&gt;"",$S144=""),"파견시작일 입력",IF(AND($S144&lt;&gt;"",$P144=""),"파견종류 입력",IF(AND($P144&lt;&gt;"",$P144&lt;&gt;"다기관파견",$Q144=""),"파견병원 입력",IF(IF($AC144="",0,N(INDEX(인턴근무계획!$T$3:$T$202,$AC144)))&gt;0,"인턴계획 입력오류 확인",IF(AND($AC144&lt;&gt;"",$U144&lt;&gt;"파견중",$N144&lt;&gt;$AE144),"인턴 타지역 근무: 파견 여부 확인","정상")))))))))</f>
        <v/>
      </c>
      <c r="AA144" s="5" t="n"/>
      <c r="AB144" s="10">
        <f>IF($B144="","",IFERROR(MATCH($B144,기본자료!$B$2:$B$501,0),IFERROR(MATCH($B144&amp;"",기본자료!$B$2:$B$501,0),IFERROR(MATCH(VALUE($B144),기본자료!$B$2:$B$501,0),""))))</f>
        <v/>
      </c>
      <c r="AC144" s="10">
        <f>IF($B144="","",IFERROR(MATCH($B144,인턴근무계획!$D$3:$D$202,0),IFERROR(MATCH($B144&amp;"",인턴근무계획!$D$3:$D$202,0),IFERROR(MATCH(VALUE($B144),인턴근무계획!$D$3:$D$202,0),""))))</f>
        <v/>
      </c>
      <c r="AD144" s="10">
        <f>IF(OR($AC144="",인턴현황!$G$3=""),"",INDEX(인턴근무계획!$M$3:$R$202,$AC144,인턴현황!$G$3)&amp;"")</f>
        <v/>
      </c>
      <c r="AE144" s="10">
        <f>IF($B144="","",IF($M144&lt;&gt;"",$M144,IF($H144="","",IF(RIGHT($H144,2)="병원",$H144,$H144&amp;"병원"))))</f>
        <v/>
      </c>
    </row>
    <row r="145">
      <c r="A145" s="10">
        <f>IF(B145="","",ROW()-1)</f>
        <v/>
      </c>
      <c r="B145" s="13" t="n"/>
      <c r="C145" s="10">
        <f>IF($AB145="","",IF(INDEX(기본자료!$C$2:$C$501,$AB145)="","",INDEX(기본자료!$C$2:$C$501,$AB145)))</f>
        <v/>
      </c>
      <c r="D145" s="10">
        <f>IF($AB145="","",IF(INDEX(기본자료!$J$2:$J$501,$AB145)="","",INDEX(기본자료!$J$2:$J$501,$AB145)))</f>
        <v/>
      </c>
      <c r="E145" s="11">
        <f>IF($AB145="","",IF(INDEX(기본자료!$K$2:$K$501,$AB145)="","",IF(NOT(ISNUMBER(INDEX(기본자료!$K$2:$K$501,$AB145))),INDEX(기본자료!$K$2:$K$501,$AB145),IF(INDEX(기본자료!$K$2:$K$501,$AB145)&lt;1000000,INDEX(기본자료!$K$2:$K$501,$AB145),IF(AND(INDEX(기본자료!$K$2:$K$501,$AB145)&gt;=10000101,INT(MOD(INDEX(기본자료!$K$2:$K$501,$AB145),10000)/100)&gt;=1,INT(MOD(INDEX(기본자료!$K$2:$K$501,$AB145),10000)/100)&lt;=12,MOD(INDEX(기본자료!$K$2:$K$501,$AB145),100)&gt;=1,MOD(INDEX(기본자료!$K$2:$K$501,$AB145),100)&lt;=31),DATE(INT(INDEX(기본자료!$K$2:$K$501,$AB145)/10000),INT(MOD(INDEX(기본자료!$K$2:$K$501,$AB145),10000)/100),MOD(INDEX(기본자료!$K$2:$K$501,$AB145),100)),INDEX(기본자료!$K$2:$K$501,$AB145)&amp;"")))))</f>
        <v/>
      </c>
      <c r="F145" s="10">
        <f>IF($AB145="","",IF(INDEX(기본자료!$D$2:$D$501,$AB145)="","",INDEX(기본자료!$D$2:$D$501,$AB145)))</f>
        <v/>
      </c>
      <c r="G145" s="10">
        <f>IF($AB145="","",IF(INDEX(기본자료!$E$2:$E$501,$AB145)="","",INDEX(기본자료!$E$2:$E$501,$AB145)))</f>
        <v/>
      </c>
      <c r="H145" s="10">
        <f>IF($AB145="","",IF(INDEX(기본자료!$F$2:$F$501,$AB145)="","",INDEX(기본자료!$F$2:$F$501,$AB145)))</f>
        <v/>
      </c>
      <c r="I145" s="11">
        <f>IF($AB145="","",IF(INDEX(기본자료!$G$2:$G$501,$AB145)="","",IF(NOT(ISNUMBER(INDEX(기본자료!$G$2:$G$501,$AB145))),INDEX(기본자료!$G$2:$G$501,$AB145),IF(INDEX(기본자료!$G$2:$G$501,$AB145)&lt;1000000,INDEX(기본자료!$G$2:$G$501,$AB145),IF(AND(INDEX(기본자료!$G$2:$G$501,$AB145)&gt;=10000101,INT(MOD(INDEX(기본자료!$G$2:$G$501,$AB145),10000)/100)&gt;=1,INT(MOD(INDEX(기본자료!$G$2:$G$501,$AB145),10000)/100)&lt;=12,MOD(INDEX(기본자료!$G$2:$G$501,$AB145),100)&gt;=1,MOD(INDEX(기본자료!$G$2:$G$501,$AB145),100)&lt;=31),DATE(INT(INDEX(기본자료!$G$2:$G$501,$AB145)/10000),INT(MOD(INDEX(기본자료!$G$2:$G$501,$AB145),10000)/100),MOD(INDEX(기본자료!$G$2:$G$501,$AB145),100)),INDEX(기본자료!$G$2:$G$501,$AB145)&amp;"")))))</f>
        <v/>
      </c>
      <c r="J145" s="10">
        <f>IF($AB145="","",IF(INDEX(기본자료!$H$2:$H$501,$AB145)="","",INDEX(기본자료!$H$2:$H$501,$AB145)))</f>
        <v/>
      </c>
      <c r="K145" s="10">
        <f>IF($AB145="","",IF(INDEX(기본자료!$I$2:$I$501,$AB145)="","",INDEX(기본자료!$I$2:$I$501,$AB145)))</f>
        <v/>
      </c>
      <c r="L145" s="10">
        <f>IF($AB145="","",IF(INDEX(기본자료!$A$2:$A$501,$AB145)="","",INDEX(기본자료!$A$2:$A$501,$AB145)))</f>
        <v/>
      </c>
      <c r="M145" s="14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4" t="n"/>
      <c r="Q145" s="14" t="n"/>
      <c r="R145" s="14" t="n"/>
      <c r="S145" s="15" t="n"/>
      <c r="T145" s="15" t="n"/>
      <c r="U145" s="10">
        <f>IF(OR($B145="",$S145=""),"",IF(TODAY()&lt;$S145,"파견예정",IF(AND($T145&lt;&gt;"",TODAY()&gt;$T145),"파견종료","파견중")))</f>
        <v/>
      </c>
      <c r="V145" s="16">
        <f>IF(OR($S145="",$T145=""),"",$T145-$S145+1)</f>
        <v/>
      </c>
      <c r="W145" s="16">
        <f>IF(AND($U145="파견중",$T145&lt;&gt;""),$T145-TODAY(),"")</f>
        <v/>
      </c>
      <c r="X145" s="16">
        <f>IF(OR($B145="",$S145=""),"",MAX(0,MIN(IF($T145="",EOMONTH(요약!$B$3,0),$T145),EOMONTH(요약!$B$3,0))-MAX($S145,요약!$B$3)+1))</f>
        <v/>
      </c>
      <c r="Y145" s="10">
        <f>IF($B145="","",IF($AE145="","",IF(OR($S145="",$P145="",N($X145)&lt;=0),$AE145,IF($P145="다기관파견",$AE145,IF($AE145="구리병원",IF(AND($Q145&lt;&gt;"",N($X145)&gt;=요약!$E$3),$Q145,$AE145),IF(AND($P145="일반파견(단독)",$Q145&lt;&gt;""),$Q145,$AE145))))))</f>
        <v/>
      </c>
      <c r="Z145" s="17">
        <f>IF($B145="","",IF($AB145="","기본자료에 없는 사번",IF(COUNTIF($B$2:$B$201,$B145)&gt;1,"중복 사번",IF($M145="","입사장소 입력",IF(AND($P145&lt;&gt;"",$S145=""),"파견시작일 입력",IF(AND($S145&lt;&gt;"",$P145=""),"파견종류 입력",IF(AND($P145&lt;&gt;"",$P145&lt;&gt;"다기관파견",$Q145=""),"파견병원 입력",IF(IF($AC145="",0,N(INDEX(인턴근무계획!$T$3:$T$202,$AC145)))&gt;0,"인턴계획 입력오류 확인",IF(AND($AC145&lt;&gt;"",$U145&lt;&gt;"파견중",$N145&lt;&gt;$AE145),"인턴 타지역 근무: 파견 여부 확인","정상")))))))))</f>
        <v/>
      </c>
      <c r="AA145" s="5" t="n"/>
      <c r="AB145" s="10">
        <f>IF($B145="","",IFERROR(MATCH($B145,기본자료!$B$2:$B$501,0),IFERROR(MATCH($B145&amp;"",기본자료!$B$2:$B$501,0),IFERROR(MATCH(VALUE($B145),기본자료!$B$2:$B$501,0),""))))</f>
        <v/>
      </c>
      <c r="AC145" s="10">
        <f>IF($B145="","",IFERROR(MATCH($B145,인턴근무계획!$D$3:$D$202,0),IFERROR(MATCH($B145&amp;"",인턴근무계획!$D$3:$D$202,0),IFERROR(MATCH(VALUE($B145),인턴근무계획!$D$3:$D$202,0),""))))</f>
        <v/>
      </c>
      <c r="AD145" s="10">
        <f>IF(OR($AC145="",인턴현황!$G$3=""),"",INDEX(인턴근무계획!$M$3:$R$202,$AC145,인턴현황!$G$3)&amp;"")</f>
        <v/>
      </c>
      <c r="AE145" s="10">
        <f>IF($B145="","",IF($M145&lt;&gt;"",$M145,IF($H145="","",IF(RIGHT($H145,2)="병원",$H145,$H145&amp;"병원"))))</f>
        <v/>
      </c>
    </row>
    <row r="146">
      <c r="A146" s="10">
        <f>IF(B146="","",ROW()-1)</f>
        <v/>
      </c>
      <c r="B146" s="13" t="n"/>
      <c r="C146" s="10">
        <f>IF($AB146="","",IF(INDEX(기본자료!$C$2:$C$501,$AB146)="","",INDEX(기본자료!$C$2:$C$501,$AB146)))</f>
        <v/>
      </c>
      <c r="D146" s="10">
        <f>IF($AB146="","",IF(INDEX(기본자료!$J$2:$J$501,$AB146)="","",INDEX(기본자료!$J$2:$J$501,$AB146)))</f>
        <v/>
      </c>
      <c r="E146" s="11">
        <f>IF($AB146="","",IF(INDEX(기본자료!$K$2:$K$501,$AB146)="","",IF(NOT(ISNUMBER(INDEX(기본자료!$K$2:$K$501,$AB146))),INDEX(기본자료!$K$2:$K$501,$AB146),IF(INDEX(기본자료!$K$2:$K$501,$AB146)&lt;1000000,INDEX(기본자료!$K$2:$K$501,$AB146),IF(AND(INDEX(기본자료!$K$2:$K$501,$AB146)&gt;=10000101,INT(MOD(INDEX(기본자료!$K$2:$K$501,$AB146),10000)/100)&gt;=1,INT(MOD(INDEX(기본자료!$K$2:$K$501,$AB146),10000)/100)&lt;=12,MOD(INDEX(기본자료!$K$2:$K$501,$AB146),100)&gt;=1,MOD(INDEX(기본자료!$K$2:$K$501,$AB146),100)&lt;=31),DATE(INT(INDEX(기본자료!$K$2:$K$501,$AB146)/10000),INT(MOD(INDEX(기본자료!$K$2:$K$501,$AB146),10000)/100),MOD(INDEX(기본자료!$K$2:$K$501,$AB146),100)),INDEX(기본자료!$K$2:$K$501,$AB146)&amp;"")))))</f>
        <v/>
      </c>
      <c r="F146" s="10">
        <f>IF($AB146="","",IF(INDEX(기본자료!$D$2:$D$501,$AB146)="","",INDEX(기본자료!$D$2:$D$501,$AB146)))</f>
        <v/>
      </c>
      <c r="G146" s="10">
        <f>IF($AB146="","",IF(INDEX(기본자료!$E$2:$E$501,$AB146)="","",INDEX(기본자료!$E$2:$E$501,$AB146)))</f>
        <v/>
      </c>
      <c r="H146" s="10">
        <f>IF($AB146="","",IF(INDEX(기본자료!$F$2:$F$501,$AB146)="","",INDEX(기본자료!$F$2:$F$501,$AB146)))</f>
        <v/>
      </c>
      <c r="I146" s="11">
        <f>IF($AB146="","",IF(INDEX(기본자료!$G$2:$G$501,$AB146)="","",IF(NOT(ISNUMBER(INDEX(기본자료!$G$2:$G$501,$AB146))),INDEX(기본자료!$G$2:$G$501,$AB146),IF(INDEX(기본자료!$G$2:$G$501,$AB146)&lt;1000000,INDEX(기본자료!$G$2:$G$501,$AB146),IF(AND(INDEX(기본자료!$G$2:$G$501,$AB146)&gt;=10000101,INT(MOD(INDEX(기본자료!$G$2:$G$501,$AB146),10000)/100)&gt;=1,INT(MOD(INDEX(기본자료!$G$2:$G$501,$AB146),10000)/100)&lt;=12,MOD(INDEX(기본자료!$G$2:$G$501,$AB146),100)&gt;=1,MOD(INDEX(기본자료!$G$2:$G$501,$AB146),100)&lt;=31),DATE(INT(INDEX(기본자료!$G$2:$G$501,$AB146)/10000),INT(MOD(INDEX(기본자료!$G$2:$G$501,$AB146),10000)/100),MOD(INDEX(기본자료!$G$2:$G$501,$AB146),100)),INDEX(기본자료!$G$2:$G$501,$AB146)&amp;"")))))</f>
        <v/>
      </c>
      <c r="J146" s="10">
        <f>IF($AB146="","",IF(INDEX(기본자료!$H$2:$H$501,$AB146)="","",INDEX(기본자료!$H$2:$H$501,$AB146)))</f>
        <v/>
      </c>
      <c r="K146" s="10">
        <f>IF($AB146="","",IF(INDEX(기본자료!$I$2:$I$501,$AB146)="","",INDEX(기본자료!$I$2:$I$501,$AB146)))</f>
        <v/>
      </c>
      <c r="L146" s="10">
        <f>IF($AB146="","",IF(INDEX(기본자료!$A$2:$A$501,$AB146)="","",INDEX(기본자료!$A$2:$A$501,$AB146)))</f>
        <v/>
      </c>
      <c r="M146" s="14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4" t="n"/>
      <c r="Q146" s="14" t="n"/>
      <c r="R146" s="14" t="n"/>
      <c r="S146" s="15" t="n"/>
      <c r="T146" s="15" t="n"/>
      <c r="U146" s="10">
        <f>IF(OR($B146="",$S146=""),"",IF(TODAY()&lt;$S146,"파견예정",IF(AND($T146&lt;&gt;"",TODAY()&gt;$T146),"파견종료","파견중")))</f>
        <v/>
      </c>
      <c r="V146" s="16">
        <f>IF(OR($S146="",$T146=""),"",$T146-$S146+1)</f>
        <v/>
      </c>
      <c r="W146" s="16">
        <f>IF(AND($U146="파견중",$T146&lt;&gt;""),$T146-TODAY(),"")</f>
        <v/>
      </c>
      <c r="X146" s="16">
        <f>IF(OR($B146="",$S146=""),"",MAX(0,MIN(IF($T146="",EOMONTH(요약!$B$3,0),$T146),EOMONTH(요약!$B$3,0))-MAX($S146,요약!$B$3)+1))</f>
        <v/>
      </c>
      <c r="Y146" s="10">
        <f>IF($B146="","",IF($AE146="","",IF(OR($S146="",$P146="",N($X146)&lt;=0),$AE146,IF($P146="다기관파견",$AE146,IF($AE146="구리병원",IF(AND($Q146&lt;&gt;"",N($X146)&gt;=요약!$E$3),$Q146,$AE146),IF(AND($P146="일반파견(단독)",$Q146&lt;&gt;""),$Q146,$AE146))))))</f>
        <v/>
      </c>
      <c r="Z146" s="17">
        <f>IF($B146="","",IF($AB146="","기본자료에 없는 사번",IF(COUNTIF($B$2:$B$201,$B146)&gt;1,"중복 사번",IF($M146="","입사장소 입력",IF(AND($P146&lt;&gt;"",$S146=""),"파견시작일 입력",IF(AND($S146&lt;&gt;"",$P146=""),"파견종류 입력",IF(AND($P146&lt;&gt;"",$P146&lt;&gt;"다기관파견",$Q146=""),"파견병원 입력",IF(IF($AC146="",0,N(INDEX(인턴근무계획!$T$3:$T$202,$AC146)))&gt;0,"인턴계획 입력오류 확인",IF(AND($AC146&lt;&gt;"",$U146&lt;&gt;"파견중",$N146&lt;&gt;$AE146),"인턴 타지역 근무: 파견 여부 확인","정상")))))))))</f>
        <v/>
      </c>
      <c r="AA146" s="5" t="n"/>
      <c r="AB146" s="10">
        <f>IF($B146="","",IFERROR(MATCH($B146,기본자료!$B$2:$B$501,0),IFERROR(MATCH($B146&amp;"",기본자료!$B$2:$B$501,0),IFERROR(MATCH(VALUE($B146),기본자료!$B$2:$B$501,0),""))))</f>
        <v/>
      </c>
      <c r="AC146" s="10">
        <f>IF($B146="","",IFERROR(MATCH($B146,인턴근무계획!$D$3:$D$202,0),IFERROR(MATCH($B146&amp;"",인턴근무계획!$D$3:$D$202,0),IFERROR(MATCH(VALUE($B146),인턴근무계획!$D$3:$D$202,0),""))))</f>
        <v/>
      </c>
      <c r="AD146" s="10">
        <f>IF(OR($AC146="",인턴현황!$G$3=""),"",INDEX(인턴근무계획!$M$3:$R$202,$AC146,인턴현황!$G$3)&amp;"")</f>
        <v/>
      </c>
      <c r="AE146" s="10">
        <f>IF($B146="","",IF($M146&lt;&gt;"",$M146,IF($H146="","",IF(RIGHT($H146,2)="병원",$H146,$H146&amp;"병원"))))</f>
        <v/>
      </c>
    </row>
    <row r="147">
      <c r="A147" s="10">
        <f>IF(B147="","",ROW()-1)</f>
        <v/>
      </c>
      <c r="B147" s="13" t="n"/>
      <c r="C147" s="10">
        <f>IF($AB147="","",IF(INDEX(기본자료!$C$2:$C$501,$AB147)="","",INDEX(기본자료!$C$2:$C$501,$AB147)))</f>
        <v/>
      </c>
      <c r="D147" s="10">
        <f>IF($AB147="","",IF(INDEX(기본자료!$J$2:$J$501,$AB147)="","",INDEX(기본자료!$J$2:$J$501,$AB147)))</f>
        <v/>
      </c>
      <c r="E147" s="11">
        <f>IF($AB147="","",IF(INDEX(기본자료!$K$2:$K$501,$AB147)="","",IF(NOT(ISNUMBER(INDEX(기본자료!$K$2:$K$501,$AB147))),INDEX(기본자료!$K$2:$K$501,$AB147),IF(INDEX(기본자료!$K$2:$K$501,$AB147)&lt;1000000,INDEX(기본자료!$K$2:$K$501,$AB147),IF(AND(INDEX(기본자료!$K$2:$K$501,$AB147)&gt;=10000101,INT(MOD(INDEX(기본자료!$K$2:$K$501,$AB147),10000)/100)&gt;=1,INT(MOD(INDEX(기본자료!$K$2:$K$501,$AB147),10000)/100)&lt;=12,MOD(INDEX(기본자료!$K$2:$K$501,$AB147),100)&gt;=1,MOD(INDEX(기본자료!$K$2:$K$501,$AB147),100)&lt;=31),DATE(INT(INDEX(기본자료!$K$2:$K$501,$AB147)/10000),INT(MOD(INDEX(기본자료!$K$2:$K$501,$AB147),10000)/100),MOD(INDEX(기본자료!$K$2:$K$501,$AB147),100)),INDEX(기본자료!$K$2:$K$501,$AB147)&amp;"")))))</f>
        <v/>
      </c>
      <c r="F147" s="10">
        <f>IF($AB147="","",IF(INDEX(기본자료!$D$2:$D$501,$AB147)="","",INDEX(기본자료!$D$2:$D$501,$AB147)))</f>
        <v/>
      </c>
      <c r="G147" s="10">
        <f>IF($AB147="","",IF(INDEX(기본자료!$E$2:$E$501,$AB147)="","",INDEX(기본자료!$E$2:$E$501,$AB147)))</f>
        <v/>
      </c>
      <c r="H147" s="10">
        <f>IF($AB147="","",IF(INDEX(기본자료!$F$2:$F$501,$AB147)="","",INDEX(기본자료!$F$2:$F$501,$AB147)))</f>
        <v/>
      </c>
      <c r="I147" s="11">
        <f>IF($AB147="","",IF(INDEX(기본자료!$G$2:$G$501,$AB147)="","",IF(NOT(ISNUMBER(INDEX(기본자료!$G$2:$G$501,$AB147))),INDEX(기본자료!$G$2:$G$501,$AB147),IF(INDEX(기본자료!$G$2:$G$501,$AB147)&lt;1000000,INDEX(기본자료!$G$2:$G$501,$AB147),IF(AND(INDEX(기본자료!$G$2:$G$501,$AB147)&gt;=10000101,INT(MOD(INDEX(기본자료!$G$2:$G$501,$AB147),10000)/100)&gt;=1,INT(MOD(INDEX(기본자료!$G$2:$G$501,$AB147),10000)/100)&lt;=12,MOD(INDEX(기본자료!$G$2:$G$501,$AB147),100)&gt;=1,MOD(INDEX(기본자료!$G$2:$G$501,$AB147),100)&lt;=31),DATE(INT(INDEX(기본자료!$G$2:$G$501,$AB147)/10000),INT(MOD(INDEX(기본자료!$G$2:$G$501,$AB147),10000)/100),MOD(INDEX(기본자료!$G$2:$G$501,$AB147),100)),INDEX(기본자료!$G$2:$G$501,$AB147)&amp;"")))))</f>
        <v/>
      </c>
      <c r="J147" s="10">
        <f>IF($AB147="","",IF(INDEX(기본자료!$H$2:$H$501,$AB147)="","",INDEX(기본자료!$H$2:$H$501,$AB147)))</f>
        <v/>
      </c>
      <c r="K147" s="10">
        <f>IF($AB147="","",IF(INDEX(기본자료!$I$2:$I$501,$AB147)="","",INDEX(기본자료!$I$2:$I$501,$AB147)))</f>
        <v/>
      </c>
      <c r="L147" s="10">
        <f>IF($AB147="","",IF(INDEX(기본자료!$A$2:$A$501,$AB147)="","",INDEX(기본자료!$A$2:$A$501,$AB147)))</f>
        <v/>
      </c>
      <c r="M147" s="14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4" t="n"/>
      <c r="Q147" s="14" t="n"/>
      <c r="R147" s="14" t="n"/>
      <c r="S147" s="15" t="n"/>
      <c r="T147" s="15" t="n"/>
      <c r="U147" s="10">
        <f>IF(OR($B147="",$S147=""),"",IF(TODAY()&lt;$S147,"파견예정",IF(AND($T147&lt;&gt;"",TODAY()&gt;$T147),"파견종료","파견중")))</f>
        <v/>
      </c>
      <c r="V147" s="16">
        <f>IF(OR($S147="",$T147=""),"",$T147-$S147+1)</f>
        <v/>
      </c>
      <c r="W147" s="16">
        <f>IF(AND($U147="파견중",$T147&lt;&gt;""),$T147-TODAY(),"")</f>
        <v/>
      </c>
      <c r="X147" s="16">
        <f>IF(OR($B147="",$S147=""),"",MAX(0,MIN(IF($T147="",EOMONTH(요약!$B$3,0),$T147),EOMONTH(요약!$B$3,0))-MAX($S147,요약!$B$3)+1))</f>
        <v/>
      </c>
      <c r="Y147" s="10">
        <f>IF($B147="","",IF($AE147="","",IF(OR($S147="",$P147="",N($X147)&lt;=0),$AE147,IF($P147="다기관파견",$AE147,IF($AE147="구리병원",IF(AND($Q147&lt;&gt;"",N($X147)&gt;=요약!$E$3),$Q147,$AE147),IF(AND($P147="일반파견(단독)",$Q147&lt;&gt;""),$Q147,$AE147))))))</f>
        <v/>
      </c>
      <c r="Z147" s="17">
        <f>IF($B147="","",IF($AB147="","기본자료에 없는 사번",IF(COUNTIF($B$2:$B$201,$B147)&gt;1,"중복 사번",IF($M147="","입사장소 입력",IF(AND($P147&lt;&gt;"",$S147=""),"파견시작일 입력",IF(AND($S147&lt;&gt;"",$P147=""),"파견종류 입력",IF(AND($P147&lt;&gt;"",$P147&lt;&gt;"다기관파견",$Q147=""),"파견병원 입력",IF(IF($AC147="",0,N(INDEX(인턴근무계획!$T$3:$T$202,$AC147)))&gt;0,"인턴계획 입력오류 확인",IF(AND($AC147&lt;&gt;"",$U147&lt;&gt;"파견중",$N147&lt;&gt;$AE147),"인턴 타지역 근무: 파견 여부 확인","정상")))))))))</f>
        <v/>
      </c>
      <c r="AA147" s="5" t="n"/>
      <c r="AB147" s="10">
        <f>IF($B147="","",IFERROR(MATCH($B147,기본자료!$B$2:$B$501,0),IFERROR(MATCH($B147&amp;"",기본자료!$B$2:$B$501,0),IFERROR(MATCH(VALUE($B147),기본자료!$B$2:$B$501,0),""))))</f>
        <v/>
      </c>
      <c r="AC147" s="10">
        <f>IF($B147="","",IFERROR(MATCH($B147,인턴근무계획!$D$3:$D$202,0),IFERROR(MATCH($B147&amp;"",인턴근무계획!$D$3:$D$202,0),IFERROR(MATCH(VALUE($B147),인턴근무계획!$D$3:$D$202,0),""))))</f>
        <v/>
      </c>
      <c r="AD147" s="10">
        <f>IF(OR($AC147="",인턴현황!$G$3=""),"",INDEX(인턴근무계획!$M$3:$R$202,$AC147,인턴현황!$G$3)&amp;"")</f>
        <v/>
      </c>
      <c r="AE147" s="10">
        <f>IF($B147="","",IF($M147&lt;&gt;"",$M147,IF($H147="","",IF(RIGHT($H147,2)="병원",$H147,$H147&amp;"병원"))))</f>
        <v/>
      </c>
    </row>
    <row r="148">
      <c r="A148" s="10">
        <f>IF(B148="","",ROW()-1)</f>
        <v/>
      </c>
      <c r="B148" s="13" t="n"/>
      <c r="C148" s="10">
        <f>IF($AB148="","",IF(INDEX(기본자료!$C$2:$C$501,$AB148)="","",INDEX(기본자료!$C$2:$C$501,$AB148)))</f>
        <v/>
      </c>
      <c r="D148" s="10">
        <f>IF($AB148="","",IF(INDEX(기본자료!$J$2:$J$501,$AB148)="","",INDEX(기본자료!$J$2:$J$501,$AB148)))</f>
        <v/>
      </c>
      <c r="E148" s="11">
        <f>IF($AB148="","",IF(INDEX(기본자료!$K$2:$K$501,$AB148)="","",IF(NOT(ISNUMBER(INDEX(기본자료!$K$2:$K$501,$AB148))),INDEX(기본자료!$K$2:$K$501,$AB148),IF(INDEX(기본자료!$K$2:$K$501,$AB148)&lt;1000000,INDEX(기본자료!$K$2:$K$501,$AB148),IF(AND(INDEX(기본자료!$K$2:$K$501,$AB148)&gt;=10000101,INT(MOD(INDEX(기본자료!$K$2:$K$501,$AB148),10000)/100)&gt;=1,INT(MOD(INDEX(기본자료!$K$2:$K$501,$AB148),10000)/100)&lt;=12,MOD(INDEX(기본자료!$K$2:$K$501,$AB148),100)&gt;=1,MOD(INDEX(기본자료!$K$2:$K$501,$AB148),100)&lt;=31),DATE(INT(INDEX(기본자료!$K$2:$K$501,$AB148)/10000),INT(MOD(INDEX(기본자료!$K$2:$K$501,$AB148),10000)/100),MOD(INDEX(기본자료!$K$2:$K$501,$AB148),100)),INDEX(기본자료!$K$2:$K$501,$AB148)&amp;"")))))</f>
        <v/>
      </c>
      <c r="F148" s="10">
        <f>IF($AB148="","",IF(INDEX(기본자료!$D$2:$D$501,$AB148)="","",INDEX(기본자료!$D$2:$D$501,$AB148)))</f>
        <v/>
      </c>
      <c r="G148" s="10">
        <f>IF($AB148="","",IF(INDEX(기본자료!$E$2:$E$501,$AB148)="","",INDEX(기본자료!$E$2:$E$501,$AB148)))</f>
        <v/>
      </c>
      <c r="H148" s="10">
        <f>IF($AB148="","",IF(INDEX(기본자료!$F$2:$F$501,$AB148)="","",INDEX(기본자료!$F$2:$F$501,$AB148)))</f>
        <v/>
      </c>
      <c r="I148" s="11">
        <f>IF($AB148="","",IF(INDEX(기본자료!$G$2:$G$501,$AB148)="","",IF(NOT(ISNUMBER(INDEX(기본자료!$G$2:$G$501,$AB148))),INDEX(기본자료!$G$2:$G$501,$AB148),IF(INDEX(기본자료!$G$2:$G$501,$AB148)&lt;1000000,INDEX(기본자료!$G$2:$G$501,$AB148),IF(AND(INDEX(기본자료!$G$2:$G$501,$AB148)&gt;=10000101,INT(MOD(INDEX(기본자료!$G$2:$G$501,$AB148),10000)/100)&gt;=1,INT(MOD(INDEX(기본자료!$G$2:$G$501,$AB148),10000)/100)&lt;=12,MOD(INDEX(기본자료!$G$2:$G$501,$AB148),100)&gt;=1,MOD(INDEX(기본자료!$G$2:$G$501,$AB148),100)&lt;=31),DATE(INT(INDEX(기본자료!$G$2:$G$501,$AB148)/10000),INT(MOD(INDEX(기본자료!$G$2:$G$501,$AB148),10000)/100),MOD(INDEX(기본자료!$G$2:$G$501,$AB148),100)),INDEX(기본자료!$G$2:$G$501,$AB148)&amp;"")))))</f>
        <v/>
      </c>
      <c r="J148" s="10">
        <f>IF($AB148="","",IF(INDEX(기본자료!$H$2:$H$501,$AB148)="","",INDEX(기본자료!$H$2:$H$501,$AB148)))</f>
        <v/>
      </c>
      <c r="K148" s="10">
        <f>IF($AB148="","",IF(INDEX(기본자료!$I$2:$I$501,$AB148)="","",INDEX(기본자료!$I$2:$I$501,$AB148)))</f>
        <v/>
      </c>
      <c r="L148" s="10">
        <f>IF($AB148="","",IF(INDEX(기본자료!$A$2:$A$501,$AB148)="","",INDEX(기본자료!$A$2:$A$501,$AB148)))</f>
        <v/>
      </c>
      <c r="M148" s="14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4" t="n"/>
      <c r="Q148" s="14" t="n"/>
      <c r="R148" s="14" t="n"/>
      <c r="S148" s="15" t="n"/>
      <c r="T148" s="15" t="n"/>
      <c r="U148" s="10">
        <f>IF(OR($B148="",$S148=""),"",IF(TODAY()&lt;$S148,"파견예정",IF(AND($T148&lt;&gt;"",TODAY()&gt;$T148),"파견종료","파견중")))</f>
        <v/>
      </c>
      <c r="V148" s="16">
        <f>IF(OR($S148="",$T148=""),"",$T148-$S148+1)</f>
        <v/>
      </c>
      <c r="W148" s="16">
        <f>IF(AND($U148="파견중",$T148&lt;&gt;""),$T148-TODAY(),"")</f>
        <v/>
      </c>
      <c r="X148" s="16">
        <f>IF(OR($B148="",$S148=""),"",MAX(0,MIN(IF($T148="",EOMONTH(요약!$B$3,0),$T148),EOMONTH(요약!$B$3,0))-MAX($S148,요약!$B$3)+1))</f>
        <v/>
      </c>
      <c r="Y148" s="10">
        <f>IF($B148="","",IF($AE148="","",IF(OR($S148="",$P148="",N($X148)&lt;=0),$AE148,IF($P148="다기관파견",$AE148,IF($AE148="구리병원",IF(AND($Q148&lt;&gt;"",N($X148)&gt;=요약!$E$3),$Q148,$AE148),IF(AND($P148="일반파견(단독)",$Q148&lt;&gt;""),$Q148,$AE148))))))</f>
        <v/>
      </c>
      <c r="Z148" s="17">
        <f>IF($B148="","",IF($AB148="","기본자료에 없는 사번",IF(COUNTIF($B$2:$B$201,$B148)&gt;1,"중복 사번",IF($M148="","입사장소 입력",IF(AND($P148&lt;&gt;"",$S148=""),"파견시작일 입력",IF(AND($S148&lt;&gt;"",$P148=""),"파견종류 입력",IF(AND($P148&lt;&gt;"",$P148&lt;&gt;"다기관파견",$Q148=""),"파견병원 입력",IF(IF($AC148="",0,N(INDEX(인턴근무계획!$T$3:$T$202,$AC148)))&gt;0,"인턴계획 입력오류 확인",IF(AND($AC148&lt;&gt;"",$U148&lt;&gt;"파견중",$N148&lt;&gt;$AE148),"인턴 타지역 근무: 파견 여부 확인","정상")))))))))</f>
        <v/>
      </c>
      <c r="AA148" s="5" t="n"/>
      <c r="AB148" s="10">
        <f>IF($B148="","",IFERROR(MATCH($B148,기본자료!$B$2:$B$501,0),IFERROR(MATCH($B148&amp;"",기본자료!$B$2:$B$501,0),IFERROR(MATCH(VALUE($B148),기본자료!$B$2:$B$501,0),""))))</f>
        <v/>
      </c>
      <c r="AC148" s="10">
        <f>IF($B148="","",IFERROR(MATCH($B148,인턴근무계획!$D$3:$D$202,0),IFERROR(MATCH($B148&amp;"",인턴근무계획!$D$3:$D$202,0),IFERROR(MATCH(VALUE($B148),인턴근무계획!$D$3:$D$202,0),""))))</f>
        <v/>
      </c>
      <c r="AD148" s="10">
        <f>IF(OR($AC148="",인턴현황!$G$3=""),"",INDEX(인턴근무계획!$M$3:$R$202,$AC148,인턴현황!$G$3)&amp;"")</f>
        <v/>
      </c>
      <c r="AE148" s="10">
        <f>IF($B148="","",IF($M148&lt;&gt;"",$M148,IF($H148="","",IF(RIGHT($H148,2)="병원",$H148,$H148&amp;"병원"))))</f>
        <v/>
      </c>
    </row>
    <row r="149">
      <c r="A149" s="10">
        <f>IF(B149="","",ROW()-1)</f>
        <v/>
      </c>
      <c r="B149" s="13" t="n"/>
      <c r="C149" s="10">
        <f>IF($AB149="","",IF(INDEX(기본자료!$C$2:$C$501,$AB149)="","",INDEX(기본자료!$C$2:$C$501,$AB149)))</f>
        <v/>
      </c>
      <c r="D149" s="10">
        <f>IF($AB149="","",IF(INDEX(기본자료!$J$2:$J$501,$AB149)="","",INDEX(기본자료!$J$2:$J$501,$AB149)))</f>
        <v/>
      </c>
      <c r="E149" s="11">
        <f>IF($AB149="","",IF(INDEX(기본자료!$K$2:$K$501,$AB149)="","",IF(NOT(ISNUMBER(INDEX(기본자료!$K$2:$K$501,$AB149))),INDEX(기본자료!$K$2:$K$501,$AB149),IF(INDEX(기본자료!$K$2:$K$501,$AB149)&lt;1000000,INDEX(기본자료!$K$2:$K$501,$AB149),IF(AND(INDEX(기본자료!$K$2:$K$501,$AB149)&gt;=10000101,INT(MOD(INDEX(기본자료!$K$2:$K$501,$AB149),10000)/100)&gt;=1,INT(MOD(INDEX(기본자료!$K$2:$K$501,$AB149),10000)/100)&lt;=12,MOD(INDEX(기본자료!$K$2:$K$501,$AB149),100)&gt;=1,MOD(INDEX(기본자료!$K$2:$K$501,$AB149),100)&lt;=31),DATE(INT(INDEX(기본자료!$K$2:$K$501,$AB149)/10000),INT(MOD(INDEX(기본자료!$K$2:$K$501,$AB149),10000)/100),MOD(INDEX(기본자료!$K$2:$K$501,$AB149),100)),INDEX(기본자료!$K$2:$K$501,$AB149)&amp;"")))))</f>
        <v/>
      </c>
      <c r="F149" s="10">
        <f>IF($AB149="","",IF(INDEX(기본자료!$D$2:$D$501,$AB149)="","",INDEX(기본자료!$D$2:$D$501,$AB149)))</f>
        <v/>
      </c>
      <c r="G149" s="10">
        <f>IF($AB149="","",IF(INDEX(기본자료!$E$2:$E$501,$AB149)="","",INDEX(기본자료!$E$2:$E$501,$AB149)))</f>
        <v/>
      </c>
      <c r="H149" s="10">
        <f>IF($AB149="","",IF(INDEX(기본자료!$F$2:$F$501,$AB149)="","",INDEX(기본자료!$F$2:$F$501,$AB149)))</f>
        <v/>
      </c>
      <c r="I149" s="11">
        <f>IF($AB149="","",IF(INDEX(기본자료!$G$2:$G$501,$AB149)="","",IF(NOT(ISNUMBER(INDEX(기본자료!$G$2:$G$501,$AB149))),INDEX(기본자료!$G$2:$G$501,$AB149),IF(INDEX(기본자료!$G$2:$G$501,$AB149)&lt;1000000,INDEX(기본자료!$G$2:$G$501,$AB149),IF(AND(INDEX(기본자료!$G$2:$G$501,$AB149)&gt;=10000101,INT(MOD(INDEX(기본자료!$G$2:$G$501,$AB149),10000)/100)&gt;=1,INT(MOD(INDEX(기본자료!$G$2:$G$501,$AB149),10000)/100)&lt;=12,MOD(INDEX(기본자료!$G$2:$G$501,$AB149),100)&gt;=1,MOD(INDEX(기본자료!$G$2:$G$501,$AB149),100)&lt;=31),DATE(INT(INDEX(기본자료!$G$2:$G$501,$AB149)/10000),INT(MOD(INDEX(기본자료!$G$2:$G$501,$AB149),10000)/100),MOD(INDEX(기본자료!$G$2:$G$501,$AB149),100)),INDEX(기본자료!$G$2:$G$501,$AB149)&amp;"")))))</f>
        <v/>
      </c>
      <c r="J149" s="10">
        <f>IF($AB149="","",IF(INDEX(기본자료!$H$2:$H$501,$AB149)="","",INDEX(기본자료!$H$2:$H$501,$AB149)))</f>
        <v/>
      </c>
      <c r="K149" s="10">
        <f>IF($AB149="","",IF(INDEX(기본자료!$I$2:$I$501,$AB149)="","",INDEX(기본자료!$I$2:$I$501,$AB149)))</f>
        <v/>
      </c>
      <c r="L149" s="10">
        <f>IF($AB149="","",IF(INDEX(기본자료!$A$2:$A$501,$AB149)="","",INDEX(기본자료!$A$2:$A$501,$AB149)))</f>
        <v/>
      </c>
      <c r="M149" s="14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4" t="n"/>
      <c r="Q149" s="14" t="n"/>
      <c r="R149" s="14" t="n"/>
      <c r="S149" s="15" t="n"/>
      <c r="T149" s="15" t="n"/>
      <c r="U149" s="10">
        <f>IF(OR($B149="",$S149=""),"",IF(TODAY()&lt;$S149,"파견예정",IF(AND($T149&lt;&gt;"",TODAY()&gt;$T149),"파견종료","파견중")))</f>
        <v/>
      </c>
      <c r="V149" s="16">
        <f>IF(OR($S149="",$T149=""),"",$T149-$S149+1)</f>
        <v/>
      </c>
      <c r="W149" s="16">
        <f>IF(AND($U149="파견중",$T149&lt;&gt;""),$T149-TODAY(),"")</f>
        <v/>
      </c>
      <c r="X149" s="16">
        <f>IF(OR($B149="",$S149=""),"",MAX(0,MIN(IF($T149="",EOMONTH(요약!$B$3,0),$T149),EOMONTH(요약!$B$3,0))-MAX($S149,요약!$B$3)+1))</f>
        <v/>
      </c>
      <c r="Y149" s="10">
        <f>IF($B149="","",IF($AE149="","",IF(OR($S149="",$P149="",N($X149)&lt;=0),$AE149,IF($P149="다기관파견",$AE149,IF($AE149="구리병원",IF(AND($Q149&lt;&gt;"",N($X149)&gt;=요약!$E$3),$Q149,$AE149),IF(AND($P149="일반파견(단독)",$Q149&lt;&gt;""),$Q149,$AE149))))))</f>
        <v/>
      </c>
      <c r="Z149" s="17">
        <f>IF($B149="","",IF($AB149="","기본자료에 없는 사번",IF(COUNTIF($B$2:$B$201,$B149)&gt;1,"중복 사번",IF($M149="","입사장소 입력",IF(AND($P149&lt;&gt;"",$S149=""),"파견시작일 입력",IF(AND($S149&lt;&gt;"",$P149=""),"파견종류 입력",IF(AND($P149&lt;&gt;"",$P149&lt;&gt;"다기관파견",$Q149=""),"파견병원 입력",IF(IF($AC149="",0,N(INDEX(인턴근무계획!$T$3:$T$202,$AC149)))&gt;0,"인턴계획 입력오류 확인",IF(AND($AC149&lt;&gt;"",$U149&lt;&gt;"파견중",$N149&lt;&gt;$AE149),"인턴 타지역 근무: 파견 여부 확인","정상")))))))))</f>
        <v/>
      </c>
      <c r="AA149" s="5" t="n"/>
      <c r="AB149" s="10">
        <f>IF($B149="","",IFERROR(MATCH($B149,기본자료!$B$2:$B$501,0),IFERROR(MATCH($B149&amp;"",기본자료!$B$2:$B$501,0),IFERROR(MATCH(VALUE($B149),기본자료!$B$2:$B$501,0),""))))</f>
        <v/>
      </c>
      <c r="AC149" s="10">
        <f>IF($B149="","",IFERROR(MATCH($B149,인턴근무계획!$D$3:$D$202,0),IFERROR(MATCH($B149&amp;"",인턴근무계획!$D$3:$D$202,0),IFERROR(MATCH(VALUE($B149),인턴근무계획!$D$3:$D$202,0),""))))</f>
        <v/>
      </c>
      <c r="AD149" s="10">
        <f>IF(OR($AC149="",인턴현황!$G$3=""),"",INDEX(인턴근무계획!$M$3:$R$202,$AC149,인턴현황!$G$3)&amp;"")</f>
        <v/>
      </c>
      <c r="AE149" s="10">
        <f>IF($B149="","",IF($M149&lt;&gt;"",$M149,IF($H149="","",IF(RIGHT($H149,2)="병원",$H149,$H149&amp;"병원"))))</f>
        <v/>
      </c>
    </row>
    <row r="150">
      <c r="A150" s="10">
        <f>IF(B150="","",ROW()-1)</f>
        <v/>
      </c>
      <c r="B150" s="13" t="n"/>
      <c r="C150" s="10">
        <f>IF($AB150="","",IF(INDEX(기본자료!$C$2:$C$501,$AB150)="","",INDEX(기본자료!$C$2:$C$501,$AB150)))</f>
        <v/>
      </c>
      <c r="D150" s="10">
        <f>IF($AB150="","",IF(INDEX(기본자료!$J$2:$J$501,$AB150)="","",INDEX(기본자료!$J$2:$J$501,$AB150)))</f>
        <v/>
      </c>
      <c r="E150" s="11">
        <f>IF($AB150="","",IF(INDEX(기본자료!$K$2:$K$501,$AB150)="","",IF(NOT(ISNUMBER(INDEX(기본자료!$K$2:$K$501,$AB150))),INDEX(기본자료!$K$2:$K$501,$AB150),IF(INDEX(기본자료!$K$2:$K$501,$AB150)&lt;1000000,INDEX(기본자료!$K$2:$K$501,$AB150),IF(AND(INDEX(기본자료!$K$2:$K$501,$AB150)&gt;=10000101,INT(MOD(INDEX(기본자료!$K$2:$K$501,$AB150),10000)/100)&gt;=1,INT(MOD(INDEX(기본자료!$K$2:$K$501,$AB150),10000)/100)&lt;=12,MOD(INDEX(기본자료!$K$2:$K$501,$AB150),100)&gt;=1,MOD(INDEX(기본자료!$K$2:$K$501,$AB150),100)&lt;=31),DATE(INT(INDEX(기본자료!$K$2:$K$501,$AB150)/10000),INT(MOD(INDEX(기본자료!$K$2:$K$501,$AB150),10000)/100),MOD(INDEX(기본자료!$K$2:$K$501,$AB150),100)),INDEX(기본자료!$K$2:$K$501,$AB150)&amp;"")))))</f>
        <v/>
      </c>
      <c r="F150" s="10">
        <f>IF($AB150="","",IF(INDEX(기본자료!$D$2:$D$501,$AB150)="","",INDEX(기본자료!$D$2:$D$501,$AB150)))</f>
        <v/>
      </c>
      <c r="G150" s="10">
        <f>IF($AB150="","",IF(INDEX(기본자료!$E$2:$E$501,$AB150)="","",INDEX(기본자료!$E$2:$E$501,$AB150)))</f>
        <v/>
      </c>
      <c r="H150" s="10">
        <f>IF($AB150="","",IF(INDEX(기본자료!$F$2:$F$501,$AB150)="","",INDEX(기본자료!$F$2:$F$501,$AB150)))</f>
        <v/>
      </c>
      <c r="I150" s="11">
        <f>IF($AB150="","",IF(INDEX(기본자료!$G$2:$G$501,$AB150)="","",IF(NOT(ISNUMBER(INDEX(기본자료!$G$2:$G$501,$AB150))),INDEX(기본자료!$G$2:$G$501,$AB150),IF(INDEX(기본자료!$G$2:$G$501,$AB150)&lt;1000000,INDEX(기본자료!$G$2:$G$501,$AB150),IF(AND(INDEX(기본자료!$G$2:$G$501,$AB150)&gt;=10000101,INT(MOD(INDEX(기본자료!$G$2:$G$501,$AB150),10000)/100)&gt;=1,INT(MOD(INDEX(기본자료!$G$2:$G$501,$AB150),10000)/100)&lt;=12,MOD(INDEX(기본자료!$G$2:$G$501,$AB150),100)&gt;=1,MOD(INDEX(기본자료!$G$2:$G$501,$AB150),100)&lt;=31),DATE(INT(INDEX(기본자료!$G$2:$G$501,$AB150)/10000),INT(MOD(INDEX(기본자료!$G$2:$G$501,$AB150),10000)/100),MOD(INDEX(기본자료!$G$2:$G$501,$AB150),100)),INDEX(기본자료!$G$2:$G$501,$AB150)&amp;"")))))</f>
        <v/>
      </c>
      <c r="J150" s="10">
        <f>IF($AB150="","",IF(INDEX(기본자료!$H$2:$H$501,$AB150)="","",INDEX(기본자료!$H$2:$H$501,$AB150)))</f>
        <v/>
      </c>
      <c r="K150" s="10">
        <f>IF($AB150="","",IF(INDEX(기본자료!$I$2:$I$501,$AB150)="","",INDEX(기본자료!$I$2:$I$501,$AB150)))</f>
        <v/>
      </c>
      <c r="L150" s="10">
        <f>IF($AB150="","",IF(INDEX(기본자료!$A$2:$A$501,$AB150)="","",INDEX(기본자료!$A$2:$A$501,$AB150)))</f>
        <v/>
      </c>
      <c r="M150" s="14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4" t="n"/>
      <c r="Q150" s="14" t="n"/>
      <c r="R150" s="14" t="n"/>
      <c r="S150" s="15" t="n"/>
      <c r="T150" s="15" t="n"/>
      <c r="U150" s="10">
        <f>IF(OR($B150="",$S150=""),"",IF(TODAY()&lt;$S150,"파견예정",IF(AND($T150&lt;&gt;"",TODAY()&gt;$T150),"파견종료","파견중")))</f>
        <v/>
      </c>
      <c r="V150" s="16">
        <f>IF(OR($S150="",$T150=""),"",$T150-$S150+1)</f>
        <v/>
      </c>
      <c r="W150" s="16">
        <f>IF(AND($U150="파견중",$T150&lt;&gt;""),$T150-TODAY(),"")</f>
        <v/>
      </c>
      <c r="X150" s="16">
        <f>IF(OR($B150="",$S150=""),"",MAX(0,MIN(IF($T150="",EOMONTH(요약!$B$3,0),$T150),EOMONTH(요약!$B$3,0))-MAX($S150,요약!$B$3)+1))</f>
        <v/>
      </c>
      <c r="Y150" s="10">
        <f>IF($B150="","",IF($AE150="","",IF(OR($S150="",$P150="",N($X150)&lt;=0),$AE150,IF($P150="다기관파견",$AE150,IF($AE150="구리병원",IF(AND($Q150&lt;&gt;"",N($X150)&gt;=요약!$E$3),$Q150,$AE150),IF(AND($P150="일반파견(단독)",$Q150&lt;&gt;""),$Q150,$AE150))))))</f>
        <v/>
      </c>
      <c r="Z150" s="17">
        <f>IF($B150="","",IF($AB150="","기본자료에 없는 사번",IF(COUNTIF($B$2:$B$201,$B150)&gt;1,"중복 사번",IF($M150="","입사장소 입력",IF(AND($P150&lt;&gt;"",$S150=""),"파견시작일 입력",IF(AND($S150&lt;&gt;"",$P150=""),"파견종류 입력",IF(AND($P150&lt;&gt;"",$P150&lt;&gt;"다기관파견",$Q150=""),"파견병원 입력",IF(IF($AC150="",0,N(INDEX(인턴근무계획!$T$3:$T$202,$AC150)))&gt;0,"인턴계획 입력오류 확인",IF(AND($AC150&lt;&gt;"",$U150&lt;&gt;"파견중",$N150&lt;&gt;$AE150),"인턴 타지역 근무: 파견 여부 확인","정상")))))))))</f>
        <v/>
      </c>
      <c r="AA150" s="5" t="n"/>
      <c r="AB150" s="10">
        <f>IF($B150="","",IFERROR(MATCH($B150,기본자료!$B$2:$B$501,0),IFERROR(MATCH($B150&amp;"",기본자료!$B$2:$B$501,0),IFERROR(MATCH(VALUE($B150),기본자료!$B$2:$B$501,0),""))))</f>
        <v/>
      </c>
      <c r="AC150" s="10">
        <f>IF($B150="","",IFERROR(MATCH($B150,인턴근무계획!$D$3:$D$202,0),IFERROR(MATCH($B150&amp;"",인턴근무계획!$D$3:$D$202,0),IFERROR(MATCH(VALUE($B150),인턴근무계획!$D$3:$D$202,0),""))))</f>
        <v/>
      </c>
      <c r="AD150" s="10">
        <f>IF(OR($AC150="",인턴현황!$G$3=""),"",INDEX(인턴근무계획!$M$3:$R$202,$AC150,인턴현황!$G$3)&amp;"")</f>
        <v/>
      </c>
      <c r="AE150" s="10">
        <f>IF($B150="","",IF($M150&lt;&gt;"",$M150,IF($H150="","",IF(RIGHT($H150,2)="병원",$H150,$H150&amp;"병원"))))</f>
        <v/>
      </c>
    </row>
    <row r="151">
      <c r="A151" s="10">
        <f>IF(B151="","",ROW()-1)</f>
        <v/>
      </c>
      <c r="B151" s="13" t="n"/>
      <c r="C151" s="10">
        <f>IF($AB151="","",IF(INDEX(기본자료!$C$2:$C$501,$AB151)="","",INDEX(기본자료!$C$2:$C$501,$AB151)))</f>
        <v/>
      </c>
      <c r="D151" s="10">
        <f>IF($AB151="","",IF(INDEX(기본자료!$J$2:$J$501,$AB151)="","",INDEX(기본자료!$J$2:$J$501,$AB151)))</f>
        <v/>
      </c>
      <c r="E151" s="11">
        <f>IF($AB151="","",IF(INDEX(기본자료!$K$2:$K$501,$AB151)="","",IF(NOT(ISNUMBER(INDEX(기본자료!$K$2:$K$501,$AB151))),INDEX(기본자료!$K$2:$K$501,$AB151),IF(INDEX(기본자료!$K$2:$K$501,$AB151)&lt;1000000,INDEX(기본자료!$K$2:$K$501,$AB151),IF(AND(INDEX(기본자료!$K$2:$K$501,$AB151)&gt;=10000101,INT(MOD(INDEX(기본자료!$K$2:$K$501,$AB151),10000)/100)&gt;=1,INT(MOD(INDEX(기본자료!$K$2:$K$501,$AB151),10000)/100)&lt;=12,MOD(INDEX(기본자료!$K$2:$K$501,$AB151),100)&gt;=1,MOD(INDEX(기본자료!$K$2:$K$501,$AB151),100)&lt;=31),DATE(INT(INDEX(기본자료!$K$2:$K$501,$AB151)/10000),INT(MOD(INDEX(기본자료!$K$2:$K$501,$AB151),10000)/100),MOD(INDEX(기본자료!$K$2:$K$501,$AB151),100)),INDEX(기본자료!$K$2:$K$501,$AB151)&amp;"")))))</f>
        <v/>
      </c>
      <c r="F151" s="10">
        <f>IF($AB151="","",IF(INDEX(기본자료!$D$2:$D$501,$AB151)="","",INDEX(기본자료!$D$2:$D$501,$AB151)))</f>
        <v/>
      </c>
      <c r="G151" s="10">
        <f>IF($AB151="","",IF(INDEX(기본자료!$E$2:$E$501,$AB151)="","",INDEX(기본자료!$E$2:$E$501,$AB151)))</f>
        <v/>
      </c>
      <c r="H151" s="10">
        <f>IF($AB151="","",IF(INDEX(기본자료!$F$2:$F$501,$AB151)="","",INDEX(기본자료!$F$2:$F$501,$AB151)))</f>
        <v/>
      </c>
      <c r="I151" s="11">
        <f>IF($AB151="","",IF(INDEX(기본자료!$G$2:$G$501,$AB151)="","",IF(NOT(ISNUMBER(INDEX(기본자료!$G$2:$G$501,$AB151))),INDEX(기본자료!$G$2:$G$501,$AB151),IF(INDEX(기본자료!$G$2:$G$501,$AB151)&lt;1000000,INDEX(기본자료!$G$2:$G$501,$AB151),IF(AND(INDEX(기본자료!$G$2:$G$501,$AB151)&gt;=10000101,INT(MOD(INDEX(기본자료!$G$2:$G$501,$AB151),10000)/100)&gt;=1,INT(MOD(INDEX(기본자료!$G$2:$G$501,$AB151),10000)/100)&lt;=12,MOD(INDEX(기본자료!$G$2:$G$501,$AB151),100)&gt;=1,MOD(INDEX(기본자료!$G$2:$G$501,$AB151),100)&lt;=31),DATE(INT(INDEX(기본자료!$G$2:$G$501,$AB151)/10000),INT(MOD(INDEX(기본자료!$G$2:$G$501,$AB151),10000)/100),MOD(INDEX(기본자료!$G$2:$G$501,$AB151),100)),INDEX(기본자료!$G$2:$G$501,$AB151)&amp;"")))))</f>
        <v/>
      </c>
      <c r="J151" s="10">
        <f>IF($AB151="","",IF(INDEX(기본자료!$H$2:$H$501,$AB151)="","",INDEX(기본자료!$H$2:$H$501,$AB151)))</f>
        <v/>
      </c>
      <c r="K151" s="10">
        <f>IF($AB151="","",IF(INDEX(기본자료!$I$2:$I$501,$AB151)="","",INDEX(기본자료!$I$2:$I$501,$AB151)))</f>
        <v/>
      </c>
      <c r="L151" s="10">
        <f>IF($AB151="","",IF(INDEX(기본자료!$A$2:$A$501,$AB151)="","",INDEX(기본자료!$A$2:$A$501,$AB151)))</f>
        <v/>
      </c>
      <c r="M151" s="14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4" t="n"/>
      <c r="Q151" s="14" t="n"/>
      <c r="R151" s="14" t="n"/>
      <c r="S151" s="15" t="n"/>
      <c r="T151" s="15" t="n"/>
      <c r="U151" s="10">
        <f>IF(OR($B151="",$S151=""),"",IF(TODAY()&lt;$S151,"파견예정",IF(AND($T151&lt;&gt;"",TODAY()&gt;$T151),"파견종료","파견중")))</f>
        <v/>
      </c>
      <c r="V151" s="16">
        <f>IF(OR($S151="",$T151=""),"",$T151-$S151+1)</f>
        <v/>
      </c>
      <c r="W151" s="16">
        <f>IF(AND($U151="파견중",$T151&lt;&gt;""),$T151-TODAY(),"")</f>
        <v/>
      </c>
      <c r="X151" s="16">
        <f>IF(OR($B151="",$S151=""),"",MAX(0,MIN(IF($T151="",EOMONTH(요약!$B$3,0),$T151),EOMONTH(요약!$B$3,0))-MAX($S151,요약!$B$3)+1))</f>
        <v/>
      </c>
      <c r="Y151" s="10">
        <f>IF($B151="","",IF($AE151="","",IF(OR($S151="",$P151="",N($X151)&lt;=0),$AE151,IF($P151="다기관파견",$AE151,IF($AE151="구리병원",IF(AND($Q151&lt;&gt;"",N($X151)&gt;=요약!$E$3),$Q151,$AE151),IF(AND($P151="일반파견(단독)",$Q151&lt;&gt;""),$Q151,$AE151))))))</f>
        <v/>
      </c>
      <c r="Z151" s="17">
        <f>IF($B151="","",IF($AB151="","기본자료에 없는 사번",IF(COUNTIF($B$2:$B$201,$B151)&gt;1,"중복 사번",IF($M151="","입사장소 입력",IF(AND($P151&lt;&gt;"",$S151=""),"파견시작일 입력",IF(AND($S151&lt;&gt;"",$P151=""),"파견종류 입력",IF(AND($P151&lt;&gt;"",$P151&lt;&gt;"다기관파견",$Q151=""),"파견병원 입력",IF(IF($AC151="",0,N(INDEX(인턴근무계획!$T$3:$T$202,$AC151)))&gt;0,"인턴계획 입력오류 확인",IF(AND($AC151&lt;&gt;"",$U151&lt;&gt;"파견중",$N151&lt;&gt;$AE151),"인턴 타지역 근무: 파견 여부 확인","정상")))))))))</f>
        <v/>
      </c>
      <c r="AA151" s="5" t="n"/>
      <c r="AB151" s="10">
        <f>IF($B151="","",IFERROR(MATCH($B151,기본자료!$B$2:$B$501,0),IFERROR(MATCH($B151&amp;"",기본자료!$B$2:$B$501,0),IFERROR(MATCH(VALUE($B151),기본자료!$B$2:$B$501,0),""))))</f>
        <v/>
      </c>
      <c r="AC151" s="10">
        <f>IF($B151="","",IFERROR(MATCH($B151,인턴근무계획!$D$3:$D$202,0),IFERROR(MATCH($B151&amp;"",인턴근무계획!$D$3:$D$202,0),IFERROR(MATCH(VALUE($B151),인턴근무계획!$D$3:$D$202,0),""))))</f>
        <v/>
      </c>
      <c r="AD151" s="10">
        <f>IF(OR($AC151="",인턴현황!$G$3=""),"",INDEX(인턴근무계획!$M$3:$R$202,$AC151,인턴현황!$G$3)&amp;"")</f>
        <v/>
      </c>
      <c r="AE151" s="10">
        <f>IF($B151="","",IF($M151&lt;&gt;"",$M151,IF($H151="","",IF(RIGHT($H151,2)="병원",$H151,$H151&amp;"병원"))))</f>
        <v/>
      </c>
    </row>
    <row r="152">
      <c r="A152" s="10">
        <f>IF(B152="","",ROW()-1)</f>
        <v/>
      </c>
      <c r="B152" s="13" t="n"/>
      <c r="C152" s="10">
        <f>IF($AB152="","",IF(INDEX(기본자료!$C$2:$C$501,$AB152)="","",INDEX(기본자료!$C$2:$C$501,$AB152)))</f>
        <v/>
      </c>
      <c r="D152" s="10">
        <f>IF($AB152="","",IF(INDEX(기본자료!$J$2:$J$501,$AB152)="","",INDEX(기본자료!$J$2:$J$501,$AB152)))</f>
        <v/>
      </c>
      <c r="E152" s="11">
        <f>IF($AB152="","",IF(INDEX(기본자료!$K$2:$K$501,$AB152)="","",IF(NOT(ISNUMBER(INDEX(기본자료!$K$2:$K$501,$AB152))),INDEX(기본자료!$K$2:$K$501,$AB152),IF(INDEX(기본자료!$K$2:$K$501,$AB152)&lt;1000000,INDEX(기본자료!$K$2:$K$501,$AB152),IF(AND(INDEX(기본자료!$K$2:$K$501,$AB152)&gt;=10000101,INT(MOD(INDEX(기본자료!$K$2:$K$501,$AB152),10000)/100)&gt;=1,INT(MOD(INDEX(기본자료!$K$2:$K$501,$AB152),10000)/100)&lt;=12,MOD(INDEX(기본자료!$K$2:$K$501,$AB152),100)&gt;=1,MOD(INDEX(기본자료!$K$2:$K$501,$AB152),100)&lt;=31),DATE(INT(INDEX(기본자료!$K$2:$K$501,$AB152)/10000),INT(MOD(INDEX(기본자료!$K$2:$K$501,$AB152),10000)/100),MOD(INDEX(기본자료!$K$2:$K$501,$AB152),100)),INDEX(기본자료!$K$2:$K$501,$AB152)&amp;"")))))</f>
        <v/>
      </c>
      <c r="F152" s="10">
        <f>IF($AB152="","",IF(INDEX(기본자료!$D$2:$D$501,$AB152)="","",INDEX(기본자료!$D$2:$D$501,$AB152)))</f>
        <v/>
      </c>
      <c r="G152" s="10">
        <f>IF($AB152="","",IF(INDEX(기본자료!$E$2:$E$501,$AB152)="","",INDEX(기본자료!$E$2:$E$501,$AB152)))</f>
        <v/>
      </c>
      <c r="H152" s="10">
        <f>IF($AB152="","",IF(INDEX(기본자료!$F$2:$F$501,$AB152)="","",INDEX(기본자료!$F$2:$F$501,$AB152)))</f>
        <v/>
      </c>
      <c r="I152" s="11">
        <f>IF($AB152="","",IF(INDEX(기본자료!$G$2:$G$501,$AB152)="","",IF(NOT(ISNUMBER(INDEX(기본자료!$G$2:$G$501,$AB152))),INDEX(기본자료!$G$2:$G$501,$AB152),IF(INDEX(기본자료!$G$2:$G$501,$AB152)&lt;1000000,INDEX(기본자료!$G$2:$G$501,$AB152),IF(AND(INDEX(기본자료!$G$2:$G$501,$AB152)&gt;=10000101,INT(MOD(INDEX(기본자료!$G$2:$G$501,$AB152),10000)/100)&gt;=1,INT(MOD(INDEX(기본자료!$G$2:$G$501,$AB152),10000)/100)&lt;=12,MOD(INDEX(기본자료!$G$2:$G$501,$AB152),100)&gt;=1,MOD(INDEX(기본자료!$G$2:$G$501,$AB152),100)&lt;=31),DATE(INT(INDEX(기본자료!$G$2:$G$501,$AB152)/10000),INT(MOD(INDEX(기본자료!$G$2:$G$501,$AB152),10000)/100),MOD(INDEX(기본자료!$G$2:$G$501,$AB152),100)),INDEX(기본자료!$G$2:$G$501,$AB152)&amp;"")))))</f>
        <v/>
      </c>
      <c r="J152" s="10">
        <f>IF($AB152="","",IF(INDEX(기본자료!$H$2:$H$501,$AB152)="","",INDEX(기본자료!$H$2:$H$501,$AB152)))</f>
        <v/>
      </c>
      <c r="K152" s="10">
        <f>IF($AB152="","",IF(INDEX(기본자료!$I$2:$I$501,$AB152)="","",INDEX(기본자료!$I$2:$I$501,$AB152)))</f>
        <v/>
      </c>
      <c r="L152" s="10">
        <f>IF($AB152="","",IF(INDEX(기본자료!$A$2:$A$501,$AB152)="","",INDEX(기본자료!$A$2:$A$501,$AB152)))</f>
        <v/>
      </c>
      <c r="M152" s="14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4" t="n"/>
      <c r="Q152" s="14" t="n"/>
      <c r="R152" s="14" t="n"/>
      <c r="S152" s="15" t="n"/>
      <c r="T152" s="15" t="n"/>
      <c r="U152" s="10">
        <f>IF(OR($B152="",$S152=""),"",IF(TODAY()&lt;$S152,"파견예정",IF(AND($T152&lt;&gt;"",TODAY()&gt;$T152),"파견종료","파견중")))</f>
        <v/>
      </c>
      <c r="V152" s="16">
        <f>IF(OR($S152="",$T152=""),"",$T152-$S152+1)</f>
        <v/>
      </c>
      <c r="W152" s="16">
        <f>IF(AND($U152="파견중",$T152&lt;&gt;""),$T152-TODAY(),"")</f>
        <v/>
      </c>
      <c r="X152" s="16">
        <f>IF(OR($B152="",$S152=""),"",MAX(0,MIN(IF($T152="",EOMONTH(요약!$B$3,0),$T152),EOMONTH(요약!$B$3,0))-MAX($S152,요약!$B$3)+1))</f>
        <v/>
      </c>
      <c r="Y152" s="10">
        <f>IF($B152="","",IF($AE152="","",IF(OR($S152="",$P152="",N($X152)&lt;=0),$AE152,IF($P152="다기관파견",$AE152,IF($AE152="구리병원",IF(AND($Q152&lt;&gt;"",N($X152)&gt;=요약!$E$3),$Q152,$AE152),IF(AND($P152="일반파견(단독)",$Q152&lt;&gt;""),$Q152,$AE152))))))</f>
        <v/>
      </c>
      <c r="Z152" s="17">
        <f>IF($B152="","",IF($AB152="","기본자료에 없는 사번",IF(COUNTIF($B$2:$B$201,$B152)&gt;1,"중복 사번",IF($M152="","입사장소 입력",IF(AND($P152&lt;&gt;"",$S152=""),"파견시작일 입력",IF(AND($S152&lt;&gt;"",$P152=""),"파견종류 입력",IF(AND($P152&lt;&gt;"",$P152&lt;&gt;"다기관파견",$Q152=""),"파견병원 입력",IF(IF($AC152="",0,N(INDEX(인턴근무계획!$T$3:$T$202,$AC152)))&gt;0,"인턴계획 입력오류 확인",IF(AND($AC152&lt;&gt;"",$U152&lt;&gt;"파견중",$N152&lt;&gt;$AE152),"인턴 타지역 근무: 파견 여부 확인","정상")))))))))</f>
        <v/>
      </c>
      <c r="AA152" s="5" t="n"/>
      <c r="AB152" s="10">
        <f>IF($B152="","",IFERROR(MATCH($B152,기본자료!$B$2:$B$501,0),IFERROR(MATCH($B152&amp;"",기본자료!$B$2:$B$501,0),IFERROR(MATCH(VALUE($B152),기본자료!$B$2:$B$501,0),""))))</f>
        <v/>
      </c>
      <c r="AC152" s="10">
        <f>IF($B152="","",IFERROR(MATCH($B152,인턴근무계획!$D$3:$D$202,0),IFERROR(MATCH($B152&amp;"",인턴근무계획!$D$3:$D$202,0),IFERROR(MATCH(VALUE($B152),인턴근무계획!$D$3:$D$202,0),""))))</f>
        <v/>
      </c>
      <c r="AD152" s="10">
        <f>IF(OR($AC152="",인턴현황!$G$3=""),"",INDEX(인턴근무계획!$M$3:$R$202,$AC152,인턴현황!$G$3)&amp;"")</f>
        <v/>
      </c>
      <c r="AE152" s="10">
        <f>IF($B152="","",IF($M152&lt;&gt;"",$M152,IF($H152="","",IF(RIGHT($H152,2)="병원",$H152,$H152&amp;"병원"))))</f>
        <v/>
      </c>
    </row>
    <row r="153">
      <c r="A153" s="10">
        <f>IF(B153="","",ROW()-1)</f>
        <v/>
      </c>
      <c r="B153" s="13" t="n"/>
      <c r="C153" s="10">
        <f>IF($AB153="","",IF(INDEX(기본자료!$C$2:$C$501,$AB153)="","",INDEX(기본자료!$C$2:$C$501,$AB153)))</f>
        <v/>
      </c>
      <c r="D153" s="10">
        <f>IF($AB153="","",IF(INDEX(기본자료!$J$2:$J$501,$AB153)="","",INDEX(기본자료!$J$2:$J$501,$AB153)))</f>
        <v/>
      </c>
      <c r="E153" s="11">
        <f>IF($AB153="","",IF(INDEX(기본자료!$K$2:$K$501,$AB153)="","",IF(NOT(ISNUMBER(INDEX(기본자료!$K$2:$K$501,$AB153))),INDEX(기본자료!$K$2:$K$501,$AB153),IF(INDEX(기본자료!$K$2:$K$501,$AB153)&lt;1000000,INDEX(기본자료!$K$2:$K$501,$AB153),IF(AND(INDEX(기본자료!$K$2:$K$501,$AB153)&gt;=10000101,INT(MOD(INDEX(기본자료!$K$2:$K$501,$AB153),10000)/100)&gt;=1,INT(MOD(INDEX(기본자료!$K$2:$K$501,$AB153),10000)/100)&lt;=12,MOD(INDEX(기본자료!$K$2:$K$501,$AB153),100)&gt;=1,MOD(INDEX(기본자료!$K$2:$K$501,$AB153),100)&lt;=31),DATE(INT(INDEX(기본자료!$K$2:$K$501,$AB153)/10000),INT(MOD(INDEX(기본자료!$K$2:$K$501,$AB153),10000)/100),MOD(INDEX(기본자료!$K$2:$K$501,$AB153),100)),INDEX(기본자료!$K$2:$K$501,$AB153)&amp;"")))))</f>
        <v/>
      </c>
      <c r="F153" s="10">
        <f>IF($AB153="","",IF(INDEX(기본자료!$D$2:$D$501,$AB153)="","",INDEX(기본자료!$D$2:$D$501,$AB153)))</f>
        <v/>
      </c>
      <c r="G153" s="10">
        <f>IF($AB153="","",IF(INDEX(기본자료!$E$2:$E$501,$AB153)="","",INDEX(기본자료!$E$2:$E$501,$AB153)))</f>
        <v/>
      </c>
      <c r="H153" s="10">
        <f>IF($AB153="","",IF(INDEX(기본자료!$F$2:$F$501,$AB153)="","",INDEX(기본자료!$F$2:$F$501,$AB153)))</f>
        <v/>
      </c>
      <c r="I153" s="11">
        <f>IF($AB153="","",IF(INDEX(기본자료!$G$2:$G$501,$AB153)="","",IF(NOT(ISNUMBER(INDEX(기본자료!$G$2:$G$501,$AB153))),INDEX(기본자료!$G$2:$G$501,$AB153),IF(INDEX(기본자료!$G$2:$G$501,$AB153)&lt;1000000,INDEX(기본자료!$G$2:$G$501,$AB153),IF(AND(INDEX(기본자료!$G$2:$G$501,$AB153)&gt;=10000101,INT(MOD(INDEX(기본자료!$G$2:$G$501,$AB153),10000)/100)&gt;=1,INT(MOD(INDEX(기본자료!$G$2:$G$501,$AB153),10000)/100)&lt;=12,MOD(INDEX(기본자료!$G$2:$G$501,$AB153),100)&gt;=1,MOD(INDEX(기본자료!$G$2:$G$501,$AB153),100)&lt;=31),DATE(INT(INDEX(기본자료!$G$2:$G$501,$AB153)/10000),INT(MOD(INDEX(기본자료!$G$2:$G$501,$AB153),10000)/100),MOD(INDEX(기본자료!$G$2:$G$501,$AB153),100)),INDEX(기본자료!$G$2:$G$501,$AB153)&amp;"")))))</f>
        <v/>
      </c>
      <c r="J153" s="10">
        <f>IF($AB153="","",IF(INDEX(기본자료!$H$2:$H$501,$AB153)="","",INDEX(기본자료!$H$2:$H$501,$AB153)))</f>
        <v/>
      </c>
      <c r="K153" s="10">
        <f>IF($AB153="","",IF(INDEX(기본자료!$I$2:$I$501,$AB153)="","",INDEX(기본자료!$I$2:$I$501,$AB153)))</f>
        <v/>
      </c>
      <c r="L153" s="10">
        <f>IF($AB153="","",IF(INDEX(기본자료!$A$2:$A$501,$AB153)="","",INDEX(기본자료!$A$2:$A$501,$AB153)))</f>
        <v/>
      </c>
      <c r="M153" s="14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4" t="n"/>
      <c r="Q153" s="14" t="n"/>
      <c r="R153" s="14" t="n"/>
      <c r="S153" s="15" t="n"/>
      <c r="T153" s="15" t="n"/>
      <c r="U153" s="10">
        <f>IF(OR($B153="",$S153=""),"",IF(TODAY()&lt;$S153,"파견예정",IF(AND($T153&lt;&gt;"",TODAY()&gt;$T153),"파견종료","파견중")))</f>
        <v/>
      </c>
      <c r="V153" s="16">
        <f>IF(OR($S153="",$T153=""),"",$T153-$S153+1)</f>
        <v/>
      </c>
      <c r="W153" s="16">
        <f>IF(AND($U153="파견중",$T153&lt;&gt;""),$T153-TODAY(),"")</f>
        <v/>
      </c>
      <c r="X153" s="16">
        <f>IF(OR($B153="",$S153=""),"",MAX(0,MIN(IF($T153="",EOMONTH(요약!$B$3,0),$T153),EOMONTH(요약!$B$3,0))-MAX($S153,요약!$B$3)+1))</f>
        <v/>
      </c>
      <c r="Y153" s="10">
        <f>IF($B153="","",IF($AE153="","",IF(OR($S153="",$P153="",N($X153)&lt;=0),$AE153,IF($P153="다기관파견",$AE153,IF($AE153="구리병원",IF(AND($Q153&lt;&gt;"",N($X153)&gt;=요약!$E$3),$Q153,$AE153),IF(AND($P153="일반파견(단독)",$Q153&lt;&gt;""),$Q153,$AE153))))))</f>
        <v/>
      </c>
      <c r="Z153" s="17">
        <f>IF($B153="","",IF($AB153="","기본자료에 없는 사번",IF(COUNTIF($B$2:$B$201,$B153)&gt;1,"중복 사번",IF($M153="","입사장소 입력",IF(AND($P153&lt;&gt;"",$S153=""),"파견시작일 입력",IF(AND($S153&lt;&gt;"",$P153=""),"파견종류 입력",IF(AND($P153&lt;&gt;"",$P153&lt;&gt;"다기관파견",$Q153=""),"파견병원 입력",IF(IF($AC153="",0,N(INDEX(인턴근무계획!$T$3:$T$202,$AC153)))&gt;0,"인턴계획 입력오류 확인",IF(AND($AC153&lt;&gt;"",$U153&lt;&gt;"파견중",$N153&lt;&gt;$AE153),"인턴 타지역 근무: 파견 여부 확인","정상")))))))))</f>
        <v/>
      </c>
      <c r="AA153" s="5" t="n"/>
      <c r="AB153" s="10">
        <f>IF($B153="","",IFERROR(MATCH($B153,기본자료!$B$2:$B$501,0),IFERROR(MATCH($B153&amp;"",기본자료!$B$2:$B$501,0),IFERROR(MATCH(VALUE($B153),기본자료!$B$2:$B$501,0),""))))</f>
        <v/>
      </c>
      <c r="AC153" s="10">
        <f>IF($B153="","",IFERROR(MATCH($B153,인턴근무계획!$D$3:$D$202,0),IFERROR(MATCH($B153&amp;"",인턴근무계획!$D$3:$D$202,0),IFERROR(MATCH(VALUE($B153),인턴근무계획!$D$3:$D$202,0),""))))</f>
        <v/>
      </c>
      <c r="AD153" s="10">
        <f>IF(OR($AC153="",인턴현황!$G$3=""),"",INDEX(인턴근무계획!$M$3:$R$202,$AC153,인턴현황!$G$3)&amp;"")</f>
        <v/>
      </c>
      <c r="AE153" s="10">
        <f>IF($B153="","",IF($M153&lt;&gt;"",$M153,IF($H153="","",IF(RIGHT($H153,2)="병원",$H153,$H153&amp;"병원"))))</f>
        <v/>
      </c>
    </row>
    <row r="154">
      <c r="A154" s="10">
        <f>IF(B154="","",ROW()-1)</f>
        <v/>
      </c>
      <c r="B154" s="13" t="n"/>
      <c r="C154" s="10">
        <f>IF($AB154="","",IF(INDEX(기본자료!$C$2:$C$501,$AB154)="","",INDEX(기본자료!$C$2:$C$501,$AB154)))</f>
        <v/>
      </c>
      <c r="D154" s="10">
        <f>IF($AB154="","",IF(INDEX(기본자료!$J$2:$J$501,$AB154)="","",INDEX(기본자료!$J$2:$J$501,$AB154)))</f>
        <v/>
      </c>
      <c r="E154" s="11">
        <f>IF($AB154="","",IF(INDEX(기본자료!$K$2:$K$501,$AB154)="","",IF(NOT(ISNUMBER(INDEX(기본자료!$K$2:$K$501,$AB154))),INDEX(기본자료!$K$2:$K$501,$AB154),IF(INDEX(기본자료!$K$2:$K$501,$AB154)&lt;1000000,INDEX(기본자료!$K$2:$K$501,$AB154),IF(AND(INDEX(기본자료!$K$2:$K$501,$AB154)&gt;=10000101,INT(MOD(INDEX(기본자료!$K$2:$K$501,$AB154),10000)/100)&gt;=1,INT(MOD(INDEX(기본자료!$K$2:$K$501,$AB154),10000)/100)&lt;=12,MOD(INDEX(기본자료!$K$2:$K$501,$AB154),100)&gt;=1,MOD(INDEX(기본자료!$K$2:$K$501,$AB154),100)&lt;=31),DATE(INT(INDEX(기본자료!$K$2:$K$501,$AB154)/10000),INT(MOD(INDEX(기본자료!$K$2:$K$501,$AB154),10000)/100),MOD(INDEX(기본자료!$K$2:$K$501,$AB154),100)),INDEX(기본자료!$K$2:$K$501,$AB154)&amp;"")))))</f>
        <v/>
      </c>
      <c r="F154" s="10">
        <f>IF($AB154="","",IF(INDEX(기본자료!$D$2:$D$501,$AB154)="","",INDEX(기본자료!$D$2:$D$501,$AB154)))</f>
        <v/>
      </c>
      <c r="G154" s="10">
        <f>IF($AB154="","",IF(INDEX(기본자료!$E$2:$E$501,$AB154)="","",INDEX(기본자료!$E$2:$E$501,$AB154)))</f>
        <v/>
      </c>
      <c r="H154" s="10">
        <f>IF($AB154="","",IF(INDEX(기본자료!$F$2:$F$501,$AB154)="","",INDEX(기본자료!$F$2:$F$501,$AB154)))</f>
        <v/>
      </c>
      <c r="I154" s="11">
        <f>IF($AB154="","",IF(INDEX(기본자료!$G$2:$G$501,$AB154)="","",IF(NOT(ISNUMBER(INDEX(기본자료!$G$2:$G$501,$AB154))),INDEX(기본자료!$G$2:$G$501,$AB154),IF(INDEX(기본자료!$G$2:$G$501,$AB154)&lt;1000000,INDEX(기본자료!$G$2:$G$501,$AB154),IF(AND(INDEX(기본자료!$G$2:$G$501,$AB154)&gt;=10000101,INT(MOD(INDEX(기본자료!$G$2:$G$501,$AB154),10000)/100)&gt;=1,INT(MOD(INDEX(기본자료!$G$2:$G$501,$AB154),10000)/100)&lt;=12,MOD(INDEX(기본자료!$G$2:$G$501,$AB154),100)&gt;=1,MOD(INDEX(기본자료!$G$2:$G$501,$AB154),100)&lt;=31),DATE(INT(INDEX(기본자료!$G$2:$G$501,$AB154)/10000),INT(MOD(INDEX(기본자료!$G$2:$G$501,$AB154),10000)/100),MOD(INDEX(기본자료!$G$2:$G$501,$AB154),100)),INDEX(기본자료!$G$2:$G$501,$AB154)&amp;"")))))</f>
        <v/>
      </c>
      <c r="J154" s="10">
        <f>IF($AB154="","",IF(INDEX(기본자료!$H$2:$H$501,$AB154)="","",INDEX(기본자료!$H$2:$H$501,$AB154)))</f>
        <v/>
      </c>
      <c r="K154" s="10">
        <f>IF($AB154="","",IF(INDEX(기본자료!$I$2:$I$501,$AB154)="","",INDEX(기본자료!$I$2:$I$501,$AB154)))</f>
        <v/>
      </c>
      <c r="L154" s="10">
        <f>IF($AB154="","",IF(INDEX(기본자료!$A$2:$A$501,$AB154)="","",INDEX(기본자료!$A$2:$A$501,$AB154)))</f>
        <v/>
      </c>
      <c r="M154" s="14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4" t="n"/>
      <c r="Q154" s="14" t="n"/>
      <c r="R154" s="14" t="n"/>
      <c r="S154" s="15" t="n"/>
      <c r="T154" s="15" t="n"/>
      <c r="U154" s="10">
        <f>IF(OR($B154="",$S154=""),"",IF(TODAY()&lt;$S154,"파견예정",IF(AND($T154&lt;&gt;"",TODAY()&gt;$T154),"파견종료","파견중")))</f>
        <v/>
      </c>
      <c r="V154" s="16">
        <f>IF(OR($S154="",$T154=""),"",$T154-$S154+1)</f>
        <v/>
      </c>
      <c r="W154" s="16">
        <f>IF(AND($U154="파견중",$T154&lt;&gt;""),$T154-TODAY(),"")</f>
        <v/>
      </c>
      <c r="X154" s="16">
        <f>IF(OR($B154="",$S154=""),"",MAX(0,MIN(IF($T154="",EOMONTH(요약!$B$3,0),$T154),EOMONTH(요약!$B$3,0))-MAX($S154,요약!$B$3)+1))</f>
        <v/>
      </c>
      <c r="Y154" s="10">
        <f>IF($B154="","",IF($AE154="","",IF(OR($S154="",$P154="",N($X154)&lt;=0),$AE154,IF($P154="다기관파견",$AE154,IF($AE154="구리병원",IF(AND($Q154&lt;&gt;"",N($X154)&gt;=요약!$E$3),$Q154,$AE154),IF(AND($P154="일반파견(단독)",$Q154&lt;&gt;""),$Q154,$AE154))))))</f>
        <v/>
      </c>
      <c r="Z154" s="17">
        <f>IF($B154="","",IF($AB154="","기본자료에 없는 사번",IF(COUNTIF($B$2:$B$201,$B154)&gt;1,"중복 사번",IF($M154="","입사장소 입력",IF(AND($P154&lt;&gt;"",$S154=""),"파견시작일 입력",IF(AND($S154&lt;&gt;"",$P154=""),"파견종류 입력",IF(AND($P154&lt;&gt;"",$P154&lt;&gt;"다기관파견",$Q154=""),"파견병원 입력",IF(IF($AC154="",0,N(INDEX(인턴근무계획!$T$3:$T$202,$AC154)))&gt;0,"인턴계획 입력오류 확인",IF(AND($AC154&lt;&gt;"",$U154&lt;&gt;"파견중",$N154&lt;&gt;$AE154),"인턴 타지역 근무: 파견 여부 확인","정상")))))))))</f>
        <v/>
      </c>
      <c r="AA154" s="5" t="n"/>
      <c r="AB154" s="10">
        <f>IF($B154="","",IFERROR(MATCH($B154,기본자료!$B$2:$B$501,0),IFERROR(MATCH($B154&amp;"",기본자료!$B$2:$B$501,0),IFERROR(MATCH(VALUE($B154),기본자료!$B$2:$B$501,0),""))))</f>
        <v/>
      </c>
      <c r="AC154" s="10">
        <f>IF($B154="","",IFERROR(MATCH($B154,인턴근무계획!$D$3:$D$202,0),IFERROR(MATCH($B154&amp;"",인턴근무계획!$D$3:$D$202,0),IFERROR(MATCH(VALUE($B154),인턴근무계획!$D$3:$D$202,0),""))))</f>
        <v/>
      </c>
      <c r="AD154" s="10">
        <f>IF(OR($AC154="",인턴현황!$G$3=""),"",INDEX(인턴근무계획!$M$3:$R$202,$AC154,인턴현황!$G$3)&amp;"")</f>
        <v/>
      </c>
      <c r="AE154" s="10">
        <f>IF($B154="","",IF($M154&lt;&gt;"",$M154,IF($H154="","",IF(RIGHT($H154,2)="병원",$H154,$H154&amp;"병원"))))</f>
        <v/>
      </c>
    </row>
    <row r="155">
      <c r="A155" s="10">
        <f>IF(B155="","",ROW()-1)</f>
        <v/>
      </c>
      <c r="B155" s="13" t="n"/>
      <c r="C155" s="10">
        <f>IF($AB155="","",IF(INDEX(기본자료!$C$2:$C$501,$AB155)="","",INDEX(기본자료!$C$2:$C$501,$AB155)))</f>
        <v/>
      </c>
      <c r="D155" s="10">
        <f>IF($AB155="","",IF(INDEX(기본자료!$J$2:$J$501,$AB155)="","",INDEX(기본자료!$J$2:$J$501,$AB155)))</f>
        <v/>
      </c>
      <c r="E155" s="11">
        <f>IF($AB155="","",IF(INDEX(기본자료!$K$2:$K$501,$AB155)="","",IF(NOT(ISNUMBER(INDEX(기본자료!$K$2:$K$501,$AB155))),INDEX(기본자료!$K$2:$K$501,$AB155),IF(INDEX(기본자료!$K$2:$K$501,$AB155)&lt;1000000,INDEX(기본자료!$K$2:$K$501,$AB155),IF(AND(INDEX(기본자료!$K$2:$K$501,$AB155)&gt;=10000101,INT(MOD(INDEX(기본자료!$K$2:$K$501,$AB155),10000)/100)&gt;=1,INT(MOD(INDEX(기본자료!$K$2:$K$501,$AB155),10000)/100)&lt;=12,MOD(INDEX(기본자료!$K$2:$K$501,$AB155),100)&gt;=1,MOD(INDEX(기본자료!$K$2:$K$501,$AB155),100)&lt;=31),DATE(INT(INDEX(기본자료!$K$2:$K$501,$AB155)/10000),INT(MOD(INDEX(기본자료!$K$2:$K$501,$AB155),10000)/100),MOD(INDEX(기본자료!$K$2:$K$501,$AB155),100)),INDEX(기본자료!$K$2:$K$501,$AB155)&amp;"")))))</f>
        <v/>
      </c>
      <c r="F155" s="10">
        <f>IF($AB155="","",IF(INDEX(기본자료!$D$2:$D$501,$AB155)="","",INDEX(기본자료!$D$2:$D$501,$AB155)))</f>
        <v/>
      </c>
      <c r="G155" s="10">
        <f>IF($AB155="","",IF(INDEX(기본자료!$E$2:$E$501,$AB155)="","",INDEX(기본자료!$E$2:$E$501,$AB155)))</f>
        <v/>
      </c>
      <c r="H155" s="10">
        <f>IF($AB155="","",IF(INDEX(기본자료!$F$2:$F$501,$AB155)="","",INDEX(기본자료!$F$2:$F$501,$AB155)))</f>
        <v/>
      </c>
      <c r="I155" s="11">
        <f>IF($AB155="","",IF(INDEX(기본자료!$G$2:$G$501,$AB155)="","",IF(NOT(ISNUMBER(INDEX(기본자료!$G$2:$G$501,$AB155))),INDEX(기본자료!$G$2:$G$501,$AB155),IF(INDEX(기본자료!$G$2:$G$501,$AB155)&lt;1000000,INDEX(기본자료!$G$2:$G$501,$AB155),IF(AND(INDEX(기본자료!$G$2:$G$501,$AB155)&gt;=10000101,INT(MOD(INDEX(기본자료!$G$2:$G$501,$AB155),10000)/100)&gt;=1,INT(MOD(INDEX(기본자료!$G$2:$G$501,$AB155),10000)/100)&lt;=12,MOD(INDEX(기본자료!$G$2:$G$501,$AB155),100)&gt;=1,MOD(INDEX(기본자료!$G$2:$G$501,$AB155),100)&lt;=31),DATE(INT(INDEX(기본자료!$G$2:$G$501,$AB155)/10000),INT(MOD(INDEX(기본자료!$G$2:$G$501,$AB155),10000)/100),MOD(INDEX(기본자료!$G$2:$G$501,$AB155),100)),INDEX(기본자료!$G$2:$G$501,$AB155)&amp;"")))))</f>
        <v/>
      </c>
      <c r="J155" s="10">
        <f>IF($AB155="","",IF(INDEX(기본자료!$H$2:$H$501,$AB155)="","",INDEX(기본자료!$H$2:$H$501,$AB155)))</f>
        <v/>
      </c>
      <c r="K155" s="10">
        <f>IF($AB155="","",IF(INDEX(기본자료!$I$2:$I$501,$AB155)="","",INDEX(기본자료!$I$2:$I$501,$AB155)))</f>
        <v/>
      </c>
      <c r="L155" s="10">
        <f>IF($AB155="","",IF(INDEX(기본자료!$A$2:$A$501,$AB155)="","",INDEX(기본자료!$A$2:$A$501,$AB155)))</f>
        <v/>
      </c>
      <c r="M155" s="14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4" t="n"/>
      <c r="Q155" s="14" t="n"/>
      <c r="R155" s="14" t="n"/>
      <c r="S155" s="15" t="n"/>
      <c r="T155" s="15" t="n"/>
      <c r="U155" s="10">
        <f>IF(OR($B155="",$S155=""),"",IF(TODAY()&lt;$S155,"파견예정",IF(AND($T155&lt;&gt;"",TODAY()&gt;$T155),"파견종료","파견중")))</f>
        <v/>
      </c>
      <c r="V155" s="16">
        <f>IF(OR($S155="",$T155=""),"",$T155-$S155+1)</f>
        <v/>
      </c>
      <c r="W155" s="16">
        <f>IF(AND($U155="파견중",$T155&lt;&gt;""),$T155-TODAY(),"")</f>
        <v/>
      </c>
      <c r="X155" s="16">
        <f>IF(OR($B155="",$S155=""),"",MAX(0,MIN(IF($T155="",EOMONTH(요약!$B$3,0),$T155),EOMONTH(요약!$B$3,0))-MAX($S155,요약!$B$3)+1))</f>
        <v/>
      </c>
      <c r="Y155" s="10">
        <f>IF($B155="","",IF($AE155="","",IF(OR($S155="",$P155="",N($X155)&lt;=0),$AE155,IF($P155="다기관파견",$AE155,IF($AE155="구리병원",IF(AND($Q155&lt;&gt;"",N($X155)&gt;=요약!$E$3),$Q155,$AE155),IF(AND($P155="일반파견(단독)",$Q155&lt;&gt;""),$Q155,$AE155))))))</f>
        <v/>
      </c>
      <c r="Z155" s="17">
        <f>IF($B155="","",IF($AB155="","기본자료에 없는 사번",IF(COUNTIF($B$2:$B$201,$B155)&gt;1,"중복 사번",IF($M155="","입사장소 입력",IF(AND($P155&lt;&gt;"",$S155=""),"파견시작일 입력",IF(AND($S155&lt;&gt;"",$P155=""),"파견종류 입력",IF(AND($P155&lt;&gt;"",$P155&lt;&gt;"다기관파견",$Q155=""),"파견병원 입력",IF(IF($AC155="",0,N(INDEX(인턴근무계획!$T$3:$T$202,$AC155)))&gt;0,"인턴계획 입력오류 확인",IF(AND($AC155&lt;&gt;"",$U155&lt;&gt;"파견중",$N155&lt;&gt;$AE155),"인턴 타지역 근무: 파견 여부 확인","정상")))))))))</f>
        <v/>
      </c>
      <c r="AA155" s="5" t="n"/>
      <c r="AB155" s="10">
        <f>IF($B155="","",IFERROR(MATCH($B155,기본자료!$B$2:$B$501,0),IFERROR(MATCH($B155&amp;"",기본자료!$B$2:$B$501,0),IFERROR(MATCH(VALUE($B155),기본자료!$B$2:$B$501,0),""))))</f>
        <v/>
      </c>
      <c r="AC155" s="10">
        <f>IF($B155="","",IFERROR(MATCH($B155,인턴근무계획!$D$3:$D$202,0),IFERROR(MATCH($B155&amp;"",인턴근무계획!$D$3:$D$202,0),IFERROR(MATCH(VALUE($B155),인턴근무계획!$D$3:$D$202,0),""))))</f>
        <v/>
      </c>
      <c r="AD155" s="10">
        <f>IF(OR($AC155="",인턴현황!$G$3=""),"",INDEX(인턴근무계획!$M$3:$R$202,$AC155,인턴현황!$G$3)&amp;"")</f>
        <v/>
      </c>
      <c r="AE155" s="10">
        <f>IF($B155="","",IF($M155&lt;&gt;"",$M155,IF($H155="","",IF(RIGHT($H155,2)="병원",$H155,$H155&amp;"병원"))))</f>
        <v/>
      </c>
    </row>
    <row r="156">
      <c r="A156" s="10">
        <f>IF(B156="","",ROW()-1)</f>
        <v/>
      </c>
      <c r="B156" s="13" t="n"/>
      <c r="C156" s="10">
        <f>IF($AB156="","",IF(INDEX(기본자료!$C$2:$C$501,$AB156)="","",INDEX(기본자료!$C$2:$C$501,$AB156)))</f>
        <v/>
      </c>
      <c r="D156" s="10">
        <f>IF($AB156="","",IF(INDEX(기본자료!$J$2:$J$501,$AB156)="","",INDEX(기본자료!$J$2:$J$501,$AB156)))</f>
        <v/>
      </c>
      <c r="E156" s="11">
        <f>IF($AB156="","",IF(INDEX(기본자료!$K$2:$K$501,$AB156)="","",IF(NOT(ISNUMBER(INDEX(기본자료!$K$2:$K$501,$AB156))),INDEX(기본자료!$K$2:$K$501,$AB156),IF(INDEX(기본자료!$K$2:$K$501,$AB156)&lt;1000000,INDEX(기본자료!$K$2:$K$501,$AB156),IF(AND(INDEX(기본자료!$K$2:$K$501,$AB156)&gt;=10000101,INT(MOD(INDEX(기본자료!$K$2:$K$501,$AB156),10000)/100)&gt;=1,INT(MOD(INDEX(기본자료!$K$2:$K$501,$AB156),10000)/100)&lt;=12,MOD(INDEX(기본자료!$K$2:$K$501,$AB156),100)&gt;=1,MOD(INDEX(기본자료!$K$2:$K$501,$AB156),100)&lt;=31),DATE(INT(INDEX(기본자료!$K$2:$K$501,$AB156)/10000),INT(MOD(INDEX(기본자료!$K$2:$K$501,$AB156),10000)/100),MOD(INDEX(기본자료!$K$2:$K$501,$AB156),100)),INDEX(기본자료!$K$2:$K$501,$AB156)&amp;"")))))</f>
        <v/>
      </c>
      <c r="F156" s="10">
        <f>IF($AB156="","",IF(INDEX(기본자료!$D$2:$D$501,$AB156)="","",INDEX(기본자료!$D$2:$D$501,$AB156)))</f>
        <v/>
      </c>
      <c r="G156" s="10">
        <f>IF($AB156="","",IF(INDEX(기본자료!$E$2:$E$501,$AB156)="","",INDEX(기본자료!$E$2:$E$501,$AB156)))</f>
        <v/>
      </c>
      <c r="H156" s="10">
        <f>IF($AB156="","",IF(INDEX(기본자료!$F$2:$F$501,$AB156)="","",INDEX(기본자료!$F$2:$F$501,$AB156)))</f>
        <v/>
      </c>
      <c r="I156" s="11">
        <f>IF($AB156="","",IF(INDEX(기본자료!$G$2:$G$501,$AB156)="","",IF(NOT(ISNUMBER(INDEX(기본자료!$G$2:$G$501,$AB156))),INDEX(기본자료!$G$2:$G$501,$AB156),IF(INDEX(기본자료!$G$2:$G$501,$AB156)&lt;1000000,INDEX(기본자료!$G$2:$G$501,$AB156),IF(AND(INDEX(기본자료!$G$2:$G$501,$AB156)&gt;=10000101,INT(MOD(INDEX(기본자료!$G$2:$G$501,$AB156),10000)/100)&gt;=1,INT(MOD(INDEX(기본자료!$G$2:$G$501,$AB156),10000)/100)&lt;=12,MOD(INDEX(기본자료!$G$2:$G$501,$AB156),100)&gt;=1,MOD(INDEX(기본자료!$G$2:$G$501,$AB156),100)&lt;=31),DATE(INT(INDEX(기본자료!$G$2:$G$501,$AB156)/10000),INT(MOD(INDEX(기본자료!$G$2:$G$501,$AB156),10000)/100),MOD(INDEX(기본자료!$G$2:$G$501,$AB156),100)),INDEX(기본자료!$G$2:$G$501,$AB156)&amp;"")))))</f>
        <v/>
      </c>
      <c r="J156" s="10">
        <f>IF($AB156="","",IF(INDEX(기본자료!$H$2:$H$501,$AB156)="","",INDEX(기본자료!$H$2:$H$501,$AB156)))</f>
        <v/>
      </c>
      <c r="K156" s="10">
        <f>IF($AB156="","",IF(INDEX(기본자료!$I$2:$I$501,$AB156)="","",INDEX(기본자료!$I$2:$I$501,$AB156)))</f>
        <v/>
      </c>
      <c r="L156" s="10">
        <f>IF($AB156="","",IF(INDEX(기본자료!$A$2:$A$501,$AB156)="","",INDEX(기본자료!$A$2:$A$501,$AB156)))</f>
        <v/>
      </c>
      <c r="M156" s="14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4" t="n"/>
      <c r="Q156" s="14" t="n"/>
      <c r="R156" s="14" t="n"/>
      <c r="S156" s="15" t="n"/>
      <c r="T156" s="15" t="n"/>
      <c r="U156" s="10">
        <f>IF(OR($B156="",$S156=""),"",IF(TODAY()&lt;$S156,"파견예정",IF(AND($T156&lt;&gt;"",TODAY()&gt;$T156),"파견종료","파견중")))</f>
        <v/>
      </c>
      <c r="V156" s="16">
        <f>IF(OR($S156="",$T156=""),"",$T156-$S156+1)</f>
        <v/>
      </c>
      <c r="W156" s="16">
        <f>IF(AND($U156="파견중",$T156&lt;&gt;""),$T156-TODAY(),"")</f>
        <v/>
      </c>
      <c r="X156" s="16">
        <f>IF(OR($B156="",$S156=""),"",MAX(0,MIN(IF($T156="",EOMONTH(요약!$B$3,0),$T156),EOMONTH(요약!$B$3,0))-MAX($S156,요약!$B$3)+1))</f>
        <v/>
      </c>
      <c r="Y156" s="10">
        <f>IF($B156="","",IF($AE156="","",IF(OR($S156="",$P156="",N($X156)&lt;=0),$AE156,IF($P156="다기관파견",$AE156,IF($AE156="구리병원",IF(AND($Q156&lt;&gt;"",N($X156)&gt;=요약!$E$3),$Q156,$AE156),IF(AND($P156="일반파견(단독)",$Q156&lt;&gt;""),$Q156,$AE156))))))</f>
        <v/>
      </c>
      <c r="Z156" s="17">
        <f>IF($B156="","",IF($AB156="","기본자료에 없는 사번",IF(COUNTIF($B$2:$B$201,$B156)&gt;1,"중복 사번",IF($M156="","입사장소 입력",IF(AND($P156&lt;&gt;"",$S156=""),"파견시작일 입력",IF(AND($S156&lt;&gt;"",$P156=""),"파견종류 입력",IF(AND($P156&lt;&gt;"",$P156&lt;&gt;"다기관파견",$Q156=""),"파견병원 입력",IF(IF($AC156="",0,N(INDEX(인턴근무계획!$T$3:$T$202,$AC156)))&gt;0,"인턴계획 입력오류 확인",IF(AND($AC156&lt;&gt;"",$U156&lt;&gt;"파견중",$N156&lt;&gt;$AE156),"인턴 타지역 근무: 파견 여부 확인","정상")))))))))</f>
        <v/>
      </c>
      <c r="AA156" s="5" t="n"/>
      <c r="AB156" s="10">
        <f>IF($B156="","",IFERROR(MATCH($B156,기본자료!$B$2:$B$501,0),IFERROR(MATCH($B156&amp;"",기본자료!$B$2:$B$501,0),IFERROR(MATCH(VALUE($B156),기본자료!$B$2:$B$501,0),""))))</f>
        <v/>
      </c>
      <c r="AC156" s="10">
        <f>IF($B156="","",IFERROR(MATCH($B156,인턴근무계획!$D$3:$D$202,0),IFERROR(MATCH($B156&amp;"",인턴근무계획!$D$3:$D$202,0),IFERROR(MATCH(VALUE($B156),인턴근무계획!$D$3:$D$202,0),""))))</f>
        <v/>
      </c>
      <c r="AD156" s="10">
        <f>IF(OR($AC156="",인턴현황!$G$3=""),"",INDEX(인턴근무계획!$M$3:$R$202,$AC156,인턴현황!$G$3)&amp;"")</f>
        <v/>
      </c>
      <c r="AE156" s="10">
        <f>IF($B156="","",IF($M156&lt;&gt;"",$M156,IF($H156="","",IF(RIGHT($H156,2)="병원",$H156,$H156&amp;"병원"))))</f>
        <v/>
      </c>
    </row>
    <row r="157">
      <c r="A157" s="10">
        <f>IF(B157="","",ROW()-1)</f>
        <v/>
      </c>
      <c r="B157" s="13" t="n"/>
      <c r="C157" s="10">
        <f>IF($AB157="","",IF(INDEX(기본자료!$C$2:$C$501,$AB157)="","",INDEX(기본자료!$C$2:$C$501,$AB157)))</f>
        <v/>
      </c>
      <c r="D157" s="10">
        <f>IF($AB157="","",IF(INDEX(기본자료!$J$2:$J$501,$AB157)="","",INDEX(기본자료!$J$2:$J$501,$AB157)))</f>
        <v/>
      </c>
      <c r="E157" s="11">
        <f>IF($AB157="","",IF(INDEX(기본자료!$K$2:$K$501,$AB157)="","",IF(NOT(ISNUMBER(INDEX(기본자료!$K$2:$K$501,$AB157))),INDEX(기본자료!$K$2:$K$501,$AB157),IF(INDEX(기본자료!$K$2:$K$501,$AB157)&lt;1000000,INDEX(기본자료!$K$2:$K$501,$AB157),IF(AND(INDEX(기본자료!$K$2:$K$501,$AB157)&gt;=10000101,INT(MOD(INDEX(기본자료!$K$2:$K$501,$AB157),10000)/100)&gt;=1,INT(MOD(INDEX(기본자료!$K$2:$K$501,$AB157),10000)/100)&lt;=12,MOD(INDEX(기본자료!$K$2:$K$501,$AB157),100)&gt;=1,MOD(INDEX(기본자료!$K$2:$K$501,$AB157),100)&lt;=31),DATE(INT(INDEX(기본자료!$K$2:$K$501,$AB157)/10000),INT(MOD(INDEX(기본자료!$K$2:$K$501,$AB157),10000)/100),MOD(INDEX(기본자료!$K$2:$K$501,$AB157),100)),INDEX(기본자료!$K$2:$K$501,$AB157)&amp;"")))))</f>
        <v/>
      </c>
      <c r="F157" s="10">
        <f>IF($AB157="","",IF(INDEX(기본자료!$D$2:$D$501,$AB157)="","",INDEX(기본자료!$D$2:$D$501,$AB157)))</f>
        <v/>
      </c>
      <c r="G157" s="10">
        <f>IF($AB157="","",IF(INDEX(기본자료!$E$2:$E$501,$AB157)="","",INDEX(기본자료!$E$2:$E$501,$AB157)))</f>
        <v/>
      </c>
      <c r="H157" s="10">
        <f>IF($AB157="","",IF(INDEX(기본자료!$F$2:$F$501,$AB157)="","",INDEX(기본자료!$F$2:$F$501,$AB157)))</f>
        <v/>
      </c>
      <c r="I157" s="11">
        <f>IF($AB157="","",IF(INDEX(기본자료!$G$2:$G$501,$AB157)="","",IF(NOT(ISNUMBER(INDEX(기본자료!$G$2:$G$501,$AB157))),INDEX(기본자료!$G$2:$G$501,$AB157),IF(INDEX(기본자료!$G$2:$G$501,$AB157)&lt;1000000,INDEX(기본자료!$G$2:$G$501,$AB157),IF(AND(INDEX(기본자료!$G$2:$G$501,$AB157)&gt;=10000101,INT(MOD(INDEX(기본자료!$G$2:$G$501,$AB157),10000)/100)&gt;=1,INT(MOD(INDEX(기본자료!$G$2:$G$501,$AB157),10000)/100)&lt;=12,MOD(INDEX(기본자료!$G$2:$G$501,$AB157),100)&gt;=1,MOD(INDEX(기본자료!$G$2:$G$501,$AB157),100)&lt;=31),DATE(INT(INDEX(기본자료!$G$2:$G$501,$AB157)/10000),INT(MOD(INDEX(기본자료!$G$2:$G$501,$AB157),10000)/100),MOD(INDEX(기본자료!$G$2:$G$501,$AB157),100)),INDEX(기본자료!$G$2:$G$501,$AB157)&amp;"")))))</f>
        <v/>
      </c>
      <c r="J157" s="10">
        <f>IF($AB157="","",IF(INDEX(기본자료!$H$2:$H$501,$AB157)="","",INDEX(기본자료!$H$2:$H$501,$AB157)))</f>
        <v/>
      </c>
      <c r="K157" s="10">
        <f>IF($AB157="","",IF(INDEX(기본자료!$I$2:$I$501,$AB157)="","",INDEX(기본자료!$I$2:$I$501,$AB157)))</f>
        <v/>
      </c>
      <c r="L157" s="10">
        <f>IF($AB157="","",IF(INDEX(기본자료!$A$2:$A$501,$AB157)="","",INDEX(기본자료!$A$2:$A$501,$AB157)))</f>
        <v/>
      </c>
      <c r="M157" s="14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4" t="n"/>
      <c r="Q157" s="14" t="n"/>
      <c r="R157" s="14" t="n"/>
      <c r="S157" s="15" t="n"/>
      <c r="T157" s="15" t="n"/>
      <c r="U157" s="10">
        <f>IF(OR($B157="",$S157=""),"",IF(TODAY()&lt;$S157,"파견예정",IF(AND($T157&lt;&gt;"",TODAY()&gt;$T157),"파견종료","파견중")))</f>
        <v/>
      </c>
      <c r="V157" s="16">
        <f>IF(OR($S157="",$T157=""),"",$T157-$S157+1)</f>
        <v/>
      </c>
      <c r="W157" s="16">
        <f>IF(AND($U157="파견중",$T157&lt;&gt;""),$T157-TODAY(),"")</f>
        <v/>
      </c>
      <c r="X157" s="16">
        <f>IF(OR($B157="",$S157=""),"",MAX(0,MIN(IF($T157="",EOMONTH(요약!$B$3,0),$T157),EOMONTH(요약!$B$3,0))-MAX($S157,요약!$B$3)+1))</f>
        <v/>
      </c>
      <c r="Y157" s="10">
        <f>IF($B157="","",IF($AE157="","",IF(OR($S157="",$P157="",N($X157)&lt;=0),$AE157,IF($P157="다기관파견",$AE157,IF($AE157="구리병원",IF(AND($Q157&lt;&gt;"",N($X157)&gt;=요약!$E$3),$Q157,$AE157),IF(AND($P157="일반파견(단독)",$Q157&lt;&gt;""),$Q157,$AE157))))))</f>
        <v/>
      </c>
      <c r="Z157" s="17">
        <f>IF($B157="","",IF($AB157="","기본자료에 없는 사번",IF(COUNTIF($B$2:$B$201,$B157)&gt;1,"중복 사번",IF($M157="","입사장소 입력",IF(AND($P157&lt;&gt;"",$S157=""),"파견시작일 입력",IF(AND($S157&lt;&gt;"",$P157=""),"파견종류 입력",IF(AND($P157&lt;&gt;"",$P157&lt;&gt;"다기관파견",$Q157=""),"파견병원 입력",IF(IF($AC157="",0,N(INDEX(인턴근무계획!$T$3:$T$202,$AC157)))&gt;0,"인턴계획 입력오류 확인",IF(AND($AC157&lt;&gt;"",$U157&lt;&gt;"파견중",$N157&lt;&gt;$AE157),"인턴 타지역 근무: 파견 여부 확인","정상")))))))))</f>
        <v/>
      </c>
      <c r="AA157" s="5" t="n"/>
      <c r="AB157" s="10">
        <f>IF($B157="","",IFERROR(MATCH($B157,기본자료!$B$2:$B$501,0),IFERROR(MATCH($B157&amp;"",기본자료!$B$2:$B$501,0),IFERROR(MATCH(VALUE($B157),기본자료!$B$2:$B$501,0),""))))</f>
        <v/>
      </c>
      <c r="AC157" s="10">
        <f>IF($B157="","",IFERROR(MATCH($B157,인턴근무계획!$D$3:$D$202,0),IFERROR(MATCH($B157&amp;"",인턴근무계획!$D$3:$D$202,0),IFERROR(MATCH(VALUE($B157),인턴근무계획!$D$3:$D$202,0),""))))</f>
        <v/>
      </c>
      <c r="AD157" s="10">
        <f>IF(OR($AC157="",인턴현황!$G$3=""),"",INDEX(인턴근무계획!$M$3:$R$202,$AC157,인턴현황!$G$3)&amp;"")</f>
        <v/>
      </c>
      <c r="AE157" s="10">
        <f>IF($B157="","",IF($M157&lt;&gt;"",$M157,IF($H157="","",IF(RIGHT($H157,2)="병원",$H157,$H157&amp;"병원"))))</f>
        <v/>
      </c>
    </row>
    <row r="158">
      <c r="A158" s="10">
        <f>IF(B158="","",ROW()-1)</f>
        <v/>
      </c>
      <c r="B158" s="13" t="n"/>
      <c r="C158" s="10">
        <f>IF($AB158="","",IF(INDEX(기본자료!$C$2:$C$501,$AB158)="","",INDEX(기본자료!$C$2:$C$501,$AB158)))</f>
        <v/>
      </c>
      <c r="D158" s="10">
        <f>IF($AB158="","",IF(INDEX(기본자료!$J$2:$J$501,$AB158)="","",INDEX(기본자료!$J$2:$J$501,$AB158)))</f>
        <v/>
      </c>
      <c r="E158" s="11">
        <f>IF($AB158="","",IF(INDEX(기본자료!$K$2:$K$501,$AB158)="","",IF(NOT(ISNUMBER(INDEX(기본자료!$K$2:$K$501,$AB158))),INDEX(기본자료!$K$2:$K$501,$AB158),IF(INDEX(기본자료!$K$2:$K$501,$AB158)&lt;1000000,INDEX(기본자료!$K$2:$K$501,$AB158),IF(AND(INDEX(기본자료!$K$2:$K$501,$AB158)&gt;=10000101,INT(MOD(INDEX(기본자료!$K$2:$K$501,$AB158),10000)/100)&gt;=1,INT(MOD(INDEX(기본자료!$K$2:$K$501,$AB158),10000)/100)&lt;=12,MOD(INDEX(기본자료!$K$2:$K$501,$AB158),100)&gt;=1,MOD(INDEX(기본자료!$K$2:$K$501,$AB158),100)&lt;=31),DATE(INT(INDEX(기본자료!$K$2:$K$501,$AB158)/10000),INT(MOD(INDEX(기본자료!$K$2:$K$501,$AB158),10000)/100),MOD(INDEX(기본자료!$K$2:$K$501,$AB158),100)),INDEX(기본자료!$K$2:$K$501,$AB158)&amp;"")))))</f>
        <v/>
      </c>
      <c r="F158" s="10">
        <f>IF($AB158="","",IF(INDEX(기본자료!$D$2:$D$501,$AB158)="","",INDEX(기본자료!$D$2:$D$501,$AB158)))</f>
        <v/>
      </c>
      <c r="G158" s="10">
        <f>IF($AB158="","",IF(INDEX(기본자료!$E$2:$E$501,$AB158)="","",INDEX(기본자료!$E$2:$E$501,$AB158)))</f>
        <v/>
      </c>
      <c r="H158" s="10">
        <f>IF($AB158="","",IF(INDEX(기본자료!$F$2:$F$501,$AB158)="","",INDEX(기본자료!$F$2:$F$501,$AB158)))</f>
        <v/>
      </c>
      <c r="I158" s="11">
        <f>IF($AB158="","",IF(INDEX(기본자료!$G$2:$G$501,$AB158)="","",IF(NOT(ISNUMBER(INDEX(기본자료!$G$2:$G$501,$AB158))),INDEX(기본자료!$G$2:$G$501,$AB158),IF(INDEX(기본자료!$G$2:$G$501,$AB158)&lt;1000000,INDEX(기본자료!$G$2:$G$501,$AB158),IF(AND(INDEX(기본자료!$G$2:$G$501,$AB158)&gt;=10000101,INT(MOD(INDEX(기본자료!$G$2:$G$501,$AB158),10000)/100)&gt;=1,INT(MOD(INDEX(기본자료!$G$2:$G$501,$AB158),10000)/100)&lt;=12,MOD(INDEX(기본자료!$G$2:$G$501,$AB158),100)&gt;=1,MOD(INDEX(기본자료!$G$2:$G$501,$AB158),100)&lt;=31),DATE(INT(INDEX(기본자료!$G$2:$G$501,$AB158)/10000),INT(MOD(INDEX(기본자료!$G$2:$G$501,$AB158),10000)/100),MOD(INDEX(기본자료!$G$2:$G$501,$AB158),100)),INDEX(기본자료!$G$2:$G$501,$AB158)&amp;"")))))</f>
        <v/>
      </c>
      <c r="J158" s="10">
        <f>IF($AB158="","",IF(INDEX(기본자료!$H$2:$H$501,$AB158)="","",INDEX(기본자료!$H$2:$H$501,$AB158)))</f>
        <v/>
      </c>
      <c r="K158" s="10">
        <f>IF($AB158="","",IF(INDEX(기본자료!$I$2:$I$501,$AB158)="","",INDEX(기본자료!$I$2:$I$501,$AB158)))</f>
        <v/>
      </c>
      <c r="L158" s="10">
        <f>IF($AB158="","",IF(INDEX(기본자료!$A$2:$A$501,$AB158)="","",INDEX(기본자료!$A$2:$A$501,$AB158)))</f>
        <v/>
      </c>
      <c r="M158" s="14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4" t="n"/>
      <c r="Q158" s="14" t="n"/>
      <c r="R158" s="14" t="n"/>
      <c r="S158" s="15" t="n"/>
      <c r="T158" s="15" t="n"/>
      <c r="U158" s="10">
        <f>IF(OR($B158="",$S158=""),"",IF(TODAY()&lt;$S158,"파견예정",IF(AND($T158&lt;&gt;"",TODAY()&gt;$T158),"파견종료","파견중")))</f>
        <v/>
      </c>
      <c r="V158" s="16">
        <f>IF(OR($S158="",$T158=""),"",$T158-$S158+1)</f>
        <v/>
      </c>
      <c r="W158" s="16">
        <f>IF(AND($U158="파견중",$T158&lt;&gt;""),$T158-TODAY(),"")</f>
        <v/>
      </c>
      <c r="X158" s="16">
        <f>IF(OR($B158="",$S158=""),"",MAX(0,MIN(IF($T158="",EOMONTH(요약!$B$3,0),$T158),EOMONTH(요약!$B$3,0))-MAX($S158,요약!$B$3)+1))</f>
        <v/>
      </c>
      <c r="Y158" s="10">
        <f>IF($B158="","",IF($AE158="","",IF(OR($S158="",$P158="",N($X158)&lt;=0),$AE158,IF($P158="다기관파견",$AE158,IF($AE158="구리병원",IF(AND($Q158&lt;&gt;"",N($X158)&gt;=요약!$E$3),$Q158,$AE158),IF(AND($P158="일반파견(단독)",$Q158&lt;&gt;""),$Q158,$AE158))))))</f>
        <v/>
      </c>
      <c r="Z158" s="17">
        <f>IF($B158="","",IF($AB158="","기본자료에 없는 사번",IF(COUNTIF($B$2:$B$201,$B158)&gt;1,"중복 사번",IF($M158="","입사장소 입력",IF(AND($P158&lt;&gt;"",$S158=""),"파견시작일 입력",IF(AND($S158&lt;&gt;"",$P158=""),"파견종류 입력",IF(AND($P158&lt;&gt;"",$P158&lt;&gt;"다기관파견",$Q158=""),"파견병원 입력",IF(IF($AC158="",0,N(INDEX(인턴근무계획!$T$3:$T$202,$AC158)))&gt;0,"인턴계획 입력오류 확인",IF(AND($AC158&lt;&gt;"",$U158&lt;&gt;"파견중",$N158&lt;&gt;$AE158),"인턴 타지역 근무: 파견 여부 확인","정상")))))))))</f>
        <v/>
      </c>
      <c r="AA158" s="5" t="n"/>
      <c r="AB158" s="10">
        <f>IF($B158="","",IFERROR(MATCH($B158,기본자료!$B$2:$B$501,0),IFERROR(MATCH($B158&amp;"",기본자료!$B$2:$B$501,0),IFERROR(MATCH(VALUE($B158),기본자료!$B$2:$B$501,0),""))))</f>
        <v/>
      </c>
      <c r="AC158" s="10">
        <f>IF($B158="","",IFERROR(MATCH($B158,인턴근무계획!$D$3:$D$202,0),IFERROR(MATCH($B158&amp;"",인턴근무계획!$D$3:$D$202,0),IFERROR(MATCH(VALUE($B158),인턴근무계획!$D$3:$D$202,0),""))))</f>
        <v/>
      </c>
      <c r="AD158" s="10">
        <f>IF(OR($AC158="",인턴현황!$G$3=""),"",INDEX(인턴근무계획!$M$3:$R$202,$AC158,인턴현황!$G$3)&amp;"")</f>
        <v/>
      </c>
      <c r="AE158" s="10">
        <f>IF($B158="","",IF($M158&lt;&gt;"",$M158,IF($H158="","",IF(RIGHT($H158,2)="병원",$H158,$H158&amp;"병원"))))</f>
        <v/>
      </c>
    </row>
    <row r="159">
      <c r="A159" s="10">
        <f>IF(B159="","",ROW()-1)</f>
        <v/>
      </c>
      <c r="B159" s="13" t="n"/>
      <c r="C159" s="10">
        <f>IF($AB159="","",IF(INDEX(기본자료!$C$2:$C$501,$AB159)="","",INDEX(기본자료!$C$2:$C$501,$AB159)))</f>
        <v/>
      </c>
      <c r="D159" s="10">
        <f>IF($AB159="","",IF(INDEX(기본자료!$J$2:$J$501,$AB159)="","",INDEX(기본자료!$J$2:$J$501,$AB159)))</f>
        <v/>
      </c>
      <c r="E159" s="11">
        <f>IF($AB159="","",IF(INDEX(기본자료!$K$2:$K$501,$AB159)="","",IF(NOT(ISNUMBER(INDEX(기본자료!$K$2:$K$501,$AB159))),INDEX(기본자료!$K$2:$K$501,$AB159),IF(INDEX(기본자료!$K$2:$K$501,$AB159)&lt;1000000,INDEX(기본자료!$K$2:$K$501,$AB159),IF(AND(INDEX(기본자료!$K$2:$K$501,$AB159)&gt;=10000101,INT(MOD(INDEX(기본자료!$K$2:$K$501,$AB159),10000)/100)&gt;=1,INT(MOD(INDEX(기본자료!$K$2:$K$501,$AB159),10000)/100)&lt;=12,MOD(INDEX(기본자료!$K$2:$K$501,$AB159),100)&gt;=1,MOD(INDEX(기본자료!$K$2:$K$501,$AB159),100)&lt;=31),DATE(INT(INDEX(기본자료!$K$2:$K$501,$AB159)/10000),INT(MOD(INDEX(기본자료!$K$2:$K$501,$AB159),10000)/100),MOD(INDEX(기본자료!$K$2:$K$501,$AB159),100)),INDEX(기본자료!$K$2:$K$501,$AB159)&amp;"")))))</f>
        <v/>
      </c>
      <c r="F159" s="10">
        <f>IF($AB159="","",IF(INDEX(기본자료!$D$2:$D$501,$AB159)="","",INDEX(기본자료!$D$2:$D$501,$AB159)))</f>
        <v/>
      </c>
      <c r="G159" s="10">
        <f>IF($AB159="","",IF(INDEX(기본자료!$E$2:$E$501,$AB159)="","",INDEX(기본자료!$E$2:$E$501,$AB159)))</f>
        <v/>
      </c>
      <c r="H159" s="10">
        <f>IF($AB159="","",IF(INDEX(기본자료!$F$2:$F$501,$AB159)="","",INDEX(기본자료!$F$2:$F$501,$AB159)))</f>
        <v/>
      </c>
      <c r="I159" s="11">
        <f>IF($AB159="","",IF(INDEX(기본자료!$G$2:$G$501,$AB159)="","",IF(NOT(ISNUMBER(INDEX(기본자료!$G$2:$G$501,$AB159))),INDEX(기본자료!$G$2:$G$501,$AB159),IF(INDEX(기본자료!$G$2:$G$501,$AB159)&lt;1000000,INDEX(기본자료!$G$2:$G$501,$AB159),IF(AND(INDEX(기본자료!$G$2:$G$501,$AB159)&gt;=10000101,INT(MOD(INDEX(기본자료!$G$2:$G$501,$AB159),10000)/100)&gt;=1,INT(MOD(INDEX(기본자료!$G$2:$G$501,$AB159),10000)/100)&lt;=12,MOD(INDEX(기본자료!$G$2:$G$501,$AB159),100)&gt;=1,MOD(INDEX(기본자료!$G$2:$G$501,$AB159),100)&lt;=31),DATE(INT(INDEX(기본자료!$G$2:$G$501,$AB159)/10000),INT(MOD(INDEX(기본자료!$G$2:$G$501,$AB159),10000)/100),MOD(INDEX(기본자료!$G$2:$G$501,$AB159),100)),INDEX(기본자료!$G$2:$G$501,$AB159)&amp;"")))))</f>
        <v/>
      </c>
      <c r="J159" s="10">
        <f>IF($AB159="","",IF(INDEX(기본자료!$H$2:$H$501,$AB159)="","",INDEX(기본자료!$H$2:$H$501,$AB159)))</f>
        <v/>
      </c>
      <c r="K159" s="10">
        <f>IF($AB159="","",IF(INDEX(기본자료!$I$2:$I$501,$AB159)="","",INDEX(기본자료!$I$2:$I$501,$AB159)))</f>
        <v/>
      </c>
      <c r="L159" s="10">
        <f>IF($AB159="","",IF(INDEX(기본자료!$A$2:$A$501,$AB159)="","",INDEX(기본자료!$A$2:$A$501,$AB159)))</f>
        <v/>
      </c>
      <c r="M159" s="14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4" t="n"/>
      <c r="Q159" s="14" t="n"/>
      <c r="R159" s="14" t="n"/>
      <c r="S159" s="15" t="n"/>
      <c r="T159" s="15" t="n"/>
      <c r="U159" s="10">
        <f>IF(OR($B159="",$S159=""),"",IF(TODAY()&lt;$S159,"파견예정",IF(AND($T159&lt;&gt;"",TODAY()&gt;$T159),"파견종료","파견중")))</f>
        <v/>
      </c>
      <c r="V159" s="16">
        <f>IF(OR($S159="",$T159=""),"",$T159-$S159+1)</f>
        <v/>
      </c>
      <c r="W159" s="16">
        <f>IF(AND($U159="파견중",$T159&lt;&gt;""),$T159-TODAY(),"")</f>
        <v/>
      </c>
      <c r="X159" s="16">
        <f>IF(OR($B159="",$S159=""),"",MAX(0,MIN(IF($T159="",EOMONTH(요약!$B$3,0),$T159),EOMONTH(요약!$B$3,0))-MAX($S159,요약!$B$3)+1))</f>
        <v/>
      </c>
      <c r="Y159" s="10">
        <f>IF($B159="","",IF($AE159="","",IF(OR($S159="",$P159="",N($X159)&lt;=0),$AE159,IF($P159="다기관파견",$AE159,IF($AE159="구리병원",IF(AND($Q159&lt;&gt;"",N($X159)&gt;=요약!$E$3),$Q159,$AE159),IF(AND($P159="일반파견(단독)",$Q159&lt;&gt;""),$Q159,$AE159))))))</f>
        <v/>
      </c>
      <c r="Z159" s="17">
        <f>IF($B159="","",IF($AB159="","기본자료에 없는 사번",IF(COUNTIF($B$2:$B$201,$B159)&gt;1,"중복 사번",IF($M159="","입사장소 입력",IF(AND($P159&lt;&gt;"",$S159=""),"파견시작일 입력",IF(AND($S159&lt;&gt;"",$P159=""),"파견종류 입력",IF(AND($P159&lt;&gt;"",$P159&lt;&gt;"다기관파견",$Q159=""),"파견병원 입력",IF(IF($AC159="",0,N(INDEX(인턴근무계획!$T$3:$T$202,$AC159)))&gt;0,"인턴계획 입력오류 확인",IF(AND($AC159&lt;&gt;"",$U159&lt;&gt;"파견중",$N159&lt;&gt;$AE159),"인턴 타지역 근무: 파견 여부 확인","정상")))))))))</f>
        <v/>
      </c>
      <c r="AA159" s="5" t="n"/>
      <c r="AB159" s="10">
        <f>IF($B159="","",IFERROR(MATCH($B159,기본자료!$B$2:$B$501,0),IFERROR(MATCH($B159&amp;"",기본자료!$B$2:$B$501,0),IFERROR(MATCH(VALUE($B159),기본자료!$B$2:$B$501,0),""))))</f>
        <v/>
      </c>
      <c r="AC159" s="10">
        <f>IF($B159="","",IFERROR(MATCH($B159,인턴근무계획!$D$3:$D$202,0),IFERROR(MATCH($B159&amp;"",인턴근무계획!$D$3:$D$202,0),IFERROR(MATCH(VALUE($B159),인턴근무계획!$D$3:$D$202,0),""))))</f>
        <v/>
      </c>
      <c r="AD159" s="10">
        <f>IF(OR($AC159="",인턴현황!$G$3=""),"",INDEX(인턴근무계획!$M$3:$R$202,$AC159,인턴현황!$G$3)&amp;"")</f>
        <v/>
      </c>
      <c r="AE159" s="10">
        <f>IF($B159="","",IF($M159&lt;&gt;"",$M159,IF($H159="","",IF(RIGHT($H159,2)="병원",$H159,$H159&amp;"병원"))))</f>
        <v/>
      </c>
    </row>
    <row r="160">
      <c r="A160" s="10">
        <f>IF(B160="","",ROW()-1)</f>
        <v/>
      </c>
      <c r="B160" s="13" t="n"/>
      <c r="C160" s="10">
        <f>IF($AB160="","",IF(INDEX(기본자료!$C$2:$C$501,$AB160)="","",INDEX(기본자료!$C$2:$C$501,$AB160)))</f>
        <v/>
      </c>
      <c r="D160" s="10">
        <f>IF($AB160="","",IF(INDEX(기본자료!$J$2:$J$501,$AB160)="","",INDEX(기본자료!$J$2:$J$501,$AB160)))</f>
        <v/>
      </c>
      <c r="E160" s="11">
        <f>IF($AB160="","",IF(INDEX(기본자료!$K$2:$K$501,$AB160)="","",IF(NOT(ISNUMBER(INDEX(기본자료!$K$2:$K$501,$AB160))),INDEX(기본자료!$K$2:$K$501,$AB160),IF(INDEX(기본자료!$K$2:$K$501,$AB160)&lt;1000000,INDEX(기본자료!$K$2:$K$501,$AB160),IF(AND(INDEX(기본자료!$K$2:$K$501,$AB160)&gt;=10000101,INT(MOD(INDEX(기본자료!$K$2:$K$501,$AB160),10000)/100)&gt;=1,INT(MOD(INDEX(기본자료!$K$2:$K$501,$AB160),10000)/100)&lt;=12,MOD(INDEX(기본자료!$K$2:$K$501,$AB160),100)&gt;=1,MOD(INDEX(기본자료!$K$2:$K$501,$AB160),100)&lt;=31),DATE(INT(INDEX(기본자료!$K$2:$K$501,$AB160)/10000),INT(MOD(INDEX(기본자료!$K$2:$K$501,$AB160),10000)/100),MOD(INDEX(기본자료!$K$2:$K$501,$AB160),100)),INDEX(기본자료!$K$2:$K$501,$AB160)&amp;"")))))</f>
        <v/>
      </c>
      <c r="F160" s="10">
        <f>IF($AB160="","",IF(INDEX(기본자료!$D$2:$D$501,$AB160)="","",INDEX(기본자료!$D$2:$D$501,$AB160)))</f>
        <v/>
      </c>
      <c r="G160" s="10">
        <f>IF($AB160="","",IF(INDEX(기본자료!$E$2:$E$501,$AB160)="","",INDEX(기본자료!$E$2:$E$501,$AB160)))</f>
        <v/>
      </c>
      <c r="H160" s="10">
        <f>IF($AB160="","",IF(INDEX(기본자료!$F$2:$F$501,$AB160)="","",INDEX(기본자료!$F$2:$F$501,$AB160)))</f>
        <v/>
      </c>
      <c r="I160" s="11">
        <f>IF($AB160="","",IF(INDEX(기본자료!$G$2:$G$501,$AB160)="","",IF(NOT(ISNUMBER(INDEX(기본자료!$G$2:$G$501,$AB160))),INDEX(기본자료!$G$2:$G$501,$AB160),IF(INDEX(기본자료!$G$2:$G$501,$AB160)&lt;1000000,INDEX(기본자료!$G$2:$G$501,$AB160),IF(AND(INDEX(기본자료!$G$2:$G$501,$AB160)&gt;=10000101,INT(MOD(INDEX(기본자료!$G$2:$G$501,$AB160),10000)/100)&gt;=1,INT(MOD(INDEX(기본자료!$G$2:$G$501,$AB160),10000)/100)&lt;=12,MOD(INDEX(기본자료!$G$2:$G$501,$AB160),100)&gt;=1,MOD(INDEX(기본자료!$G$2:$G$501,$AB160),100)&lt;=31),DATE(INT(INDEX(기본자료!$G$2:$G$501,$AB160)/10000),INT(MOD(INDEX(기본자료!$G$2:$G$501,$AB160),10000)/100),MOD(INDEX(기본자료!$G$2:$G$501,$AB160),100)),INDEX(기본자료!$G$2:$G$501,$AB160)&amp;"")))))</f>
        <v/>
      </c>
      <c r="J160" s="10">
        <f>IF($AB160="","",IF(INDEX(기본자료!$H$2:$H$501,$AB160)="","",INDEX(기본자료!$H$2:$H$501,$AB160)))</f>
        <v/>
      </c>
      <c r="K160" s="10">
        <f>IF($AB160="","",IF(INDEX(기본자료!$I$2:$I$501,$AB160)="","",INDEX(기본자료!$I$2:$I$501,$AB160)))</f>
        <v/>
      </c>
      <c r="L160" s="10">
        <f>IF($AB160="","",IF(INDEX(기본자료!$A$2:$A$501,$AB160)="","",INDEX(기본자료!$A$2:$A$501,$AB160)))</f>
        <v/>
      </c>
      <c r="M160" s="14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4" t="n"/>
      <c r="Q160" s="14" t="n"/>
      <c r="R160" s="14" t="n"/>
      <c r="S160" s="15" t="n"/>
      <c r="T160" s="15" t="n"/>
      <c r="U160" s="10">
        <f>IF(OR($B160="",$S160=""),"",IF(TODAY()&lt;$S160,"파견예정",IF(AND($T160&lt;&gt;"",TODAY()&gt;$T160),"파견종료","파견중")))</f>
        <v/>
      </c>
      <c r="V160" s="16">
        <f>IF(OR($S160="",$T160=""),"",$T160-$S160+1)</f>
        <v/>
      </c>
      <c r="W160" s="16">
        <f>IF(AND($U160="파견중",$T160&lt;&gt;""),$T160-TODAY(),"")</f>
        <v/>
      </c>
      <c r="X160" s="16">
        <f>IF(OR($B160="",$S160=""),"",MAX(0,MIN(IF($T160="",EOMONTH(요약!$B$3,0),$T160),EOMONTH(요약!$B$3,0))-MAX($S160,요약!$B$3)+1))</f>
        <v/>
      </c>
      <c r="Y160" s="10">
        <f>IF($B160="","",IF($AE160="","",IF(OR($S160="",$P160="",N($X160)&lt;=0),$AE160,IF($P160="다기관파견",$AE160,IF($AE160="구리병원",IF(AND($Q160&lt;&gt;"",N($X160)&gt;=요약!$E$3),$Q160,$AE160),IF(AND($P160="일반파견(단독)",$Q160&lt;&gt;""),$Q160,$AE160))))))</f>
        <v/>
      </c>
      <c r="Z160" s="17">
        <f>IF($B160="","",IF($AB160="","기본자료에 없는 사번",IF(COUNTIF($B$2:$B$201,$B160)&gt;1,"중복 사번",IF($M160="","입사장소 입력",IF(AND($P160&lt;&gt;"",$S160=""),"파견시작일 입력",IF(AND($S160&lt;&gt;"",$P160=""),"파견종류 입력",IF(AND($P160&lt;&gt;"",$P160&lt;&gt;"다기관파견",$Q160=""),"파견병원 입력",IF(IF($AC160="",0,N(INDEX(인턴근무계획!$T$3:$T$202,$AC160)))&gt;0,"인턴계획 입력오류 확인",IF(AND($AC160&lt;&gt;"",$U160&lt;&gt;"파견중",$N160&lt;&gt;$AE160),"인턴 타지역 근무: 파견 여부 확인","정상")))))))))</f>
        <v/>
      </c>
      <c r="AA160" s="5" t="n"/>
      <c r="AB160" s="10">
        <f>IF($B160="","",IFERROR(MATCH($B160,기본자료!$B$2:$B$501,0),IFERROR(MATCH($B160&amp;"",기본자료!$B$2:$B$501,0),IFERROR(MATCH(VALUE($B160),기본자료!$B$2:$B$501,0),""))))</f>
        <v/>
      </c>
      <c r="AC160" s="10">
        <f>IF($B160="","",IFERROR(MATCH($B160,인턴근무계획!$D$3:$D$202,0),IFERROR(MATCH($B160&amp;"",인턴근무계획!$D$3:$D$202,0),IFERROR(MATCH(VALUE($B160),인턴근무계획!$D$3:$D$202,0),""))))</f>
        <v/>
      </c>
      <c r="AD160" s="10">
        <f>IF(OR($AC160="",인턴현황!$G$3=""),"",INDEX(인턴근무계획!$M$3:$R$202,$AC160,인턴현황!$G$3)&amp;"")</f>
        <v/>
      </c>
      <c r="AE160" s="10">
        <f>IF($B160="","",IF($M160&lt;&gt;"",$M160,IF($H160="","",IF(RIGHT($H160,2)="병원",$H160,$H160&amp;"병원"))))</f>
        <v/>
      </c>
    </row>
    <row r="161">
      <c r="A161" s="10">
        <f>IF(B161="","",ROW()-1)</f>
        <v/>
      </c>
      <c r="B161" s="13" t="n"/>
      <c r="C161" s="10">
        <f>IF($AB161="","",IF(INDEX(기본자료!$C$2:$C$501,$AB161)="","",INDEX(기본자료!$C$2:$C$501,$AB161)))</f>
        <v/>
      </c>
      <c r="D161" s="10">
        <f>IF($AB161="","",IF(INDEX(기본자료!$J$2:$J$501,$AB161)="","",INDEX(기본자료!$J$2:$J$501,$AB161)))</f>
        <v/>
      </c>
      <c r="E161" s="11">
        <f>IF($AB161="","",IF(INDEX(기본자료!$K$2:$K$501,$AB161)="","",IF(NOT(ISNUMBER(INDEX(기본자료!$K$2:$K$501,$AB161))),INDEX(기본자료!$K$2:$K$501,$AB161),IF(INDEX(기본자료!$K$2:$K$501,$AB161)&lt;1000000,INDEX(기본자료!$K$2:$K$501,$AB161),IF(AND(INDEX(기본자료!$K$2:$K$501,$AB161)&gt;=10000101,INT(MOD(INDEX(기본자료!$K$2:$K$501,$AB161),10000)/100)&gt;=1,INT(MOD(INDEX(기본자료!$K$2:$K$501,$AB161),10000)/100)&lt;=12,MOD(INDEX(기본자료!$K$2:$K$501,$AB161),100)&gt;=1,MOD(INDEX(기본자료!$K$2:$K$501,$AB161),100)&lt;=31),DATE(INT(INDEX(기본자료!$K$2:$K$501,$AB161)/10000),INT(MOD(INDEX(기본자료!$K$2:$K$501,$AB161),10000)/100),MOD(INDEX(기본자료!$K$2:$K$501,$AB161),100)),INDEX(기본자료!$K$2:$K$501,$AB161)&amp;"")))))</f>
        <v/>
      </c>
      <c r="F161" s="10">
        <f>IF($AB161="","",IF(INDEX(기본자료!$D$2:$D$501,$AB161)="","",INDEX(기본자료!$D$2:$D$501,$AB161)))</f>
        <v/>
      </c>
      <c r="G161" s="10">
        <f>IF($AB161="","",IF(INDEX(기본자료!$E$2:$E$501,$AB161)="","",INDEX(기본자료!$E$2:$E$501,$AB161)))</f>
        <v/>
      </c>
      <c r="H161" s="10">
        <f>IF($AB161="","",IF(INDEX(기본자료!$F$2:$F$501,$AB161)="","",INDEX(기본자료!$F$2:$F$501,$AB161)))</f>
        <v/>
      </c>
      <c r="I161" s="11">
        <f>IF($AB161="","",IF(INDEX(기본자료!$G$2:$G$501,$AB161)="","",IF(NOT(ISNUMBER(INDEX(기본자료!$G$2:$G$501,$AB161))),INDEX(기본자료!$G$2:$G$501,$AB161),IF(INDEX(기본자료!$G$2:$G$501,$AB161)&lt;1000000,INDEX(기본자료!$G$2:$G$501,$AB161),IF(AND(INDEX(기본자료!$G$2:$G$501,$AB161)&gt;=10000101,INT(MOD(INDEX(기본자료!$G$2:$G$501,$AB161),10000)/100)&gt;=1,INT(MOD(INDEX(기본자료!$G$2:$G$501,$AB161),10000)/100)&lt;=12,MOD(INDEX(기본자료!$G$2:$G$501,$AB161),100)&gt;=1,MOD(INDEX(기본자료!$G$2:$G$501,$AB161),100)&lt;=31),DATE(INT(INDEX(기본자료!$G$2:$G$501,$AB161)/10000),INT(MOD(INDEX(기본자료!$G$2:$G$501,$AB161),10000)/100),MOD(INDEX(기본자료!$G$2:$G$501,$AB161),100)),INDEX(기본자료!$G$2:$G$501,$AB161)&amp;"")))))</f>
        <v/>
      </c>
      <c r="J161" s="10">
        <f>IF($AB161="","",IF(INDEX(기본자료!$H$2:$H$501,$AB161)="","",INDEX(기본자료!$H$2:$H$501,$AB161)))</f>
        <v/>
      </c>
      <c r="K161" s="10">
        <f>IF($AB161="","",IF(INDEX(기본자료!$I$2:$I$501,$AB161)="","",INDEX(기본자료!$I$2:$I$501,$AB161)))</f>
        <v/>
      </c>
      <c r="L161" s="10">
        <f>IF($AB161="","",IF(INDEX(기본자료!$A$2:$A$501,$AB161)="","",INDEX(기본자료!$A$2:$A$501,$AB161)))</f>
        <v/>
      </c>
      <c r="M161" s="14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4" t="n"/>
      <c r="Q161" s="14" t="n"/>
      <c r="R161" s="14" t="n"/>
      <c r="S161" s="15" t="n"/>
      <c r="T161" s="15" t="n"/>
      <c r="U161" s="10">
        <f>IF(OR($B161="",$S161=""),"",IF(TODAY()&lt;$S161,"파견예정",IF(AND($T161&lt;&gt;"",TODAY()&gt;$T161),"파견종료","파견중")))</f>
        <v/>
      </c>
      <c r="V161" s="16">
        <f>IF(OR($S161="",$T161=""),"",$T161-$S161+1)</f>
        <v/>
      </c>
      <c r="W161" s="16">
        <f>IF(AND($U161="파견중",$T161&lt;&gt;""),$T161-TODAY(),"")</f>
        <v/>
      </c>
      <c r="X161" s="16">
        <f>IF(OR($B161="",$S161=""),"",MAX(0,MIN(IF($T161="",EOMONTH(요약!$B$3,0),$T161),EOMONTH(요약!$B$3,0))-MAX($S161,요약!$B$3)+1))</f>
        <v/>
      </c>
      <c r="Y161" s="10">
        <f>IF($B161="","",IF($AE161="","",IF(OR($S161="",$P161="",N($X161)&lt;=0),$AE161,IF($P161="다기관파견",$AE161,IF($AE161="구리병원",IF(AND($Q161&lt;&gt;"",N($X161)&gt;=요약!$E$3),$Q161,$AE161),IF(AND($P161="일반파견(단독)",$Q161&lt;&gt;""),$Q161,$AE161))))))</f>
        <v/>
      </c>
      <c r="Z161" s="17">
        <f>IF($B161="","",IF($AB161="","기본자료에 없는 사번",IF(COUNTIF($B$2:$B$201,$B161)&gt;1,"중복 사번",IF($M161="","입사장소 입력",IF(AND($P161&lt;&gt;"",$S161=""),"파견시작일 입력",IF(AND($S161&lt;&gt;"",$P161=""),"파견종류 입력",IF(AND($P161&lt;&gt;"",$P161&lt;&gt;"다기관파견",$Q161=""),"파견병원 입력",IF(IF($AC161="",0,N(INDEX(인턴근무계획!$T$3:$T$202,$AC161)))&gt;0,"인턴계획 입력오류 확인",IF(AND($AC161&lt;&gt;"",$U161&lt;&gt;"파견중",$N161&lt;&gt;$AE161),"인턴 타지역 근무: 파견 여부 확인","정상")))))))))</f>
        <v/>
      </c>
      <c r="AA161" s="5" t="n"/>
      <c r="AB161" s="10">
        <f>IF($B161="","",IFERROR(MATCH($B161,기본자료!$B$2:$B$501,0),IFERROR(MATCH($B161&amp;"",기본자료!$B$2:$B$501,0),IFERROR(MATCH(VALUE($B161),기본자료!$B$2:$B$501,0),""))))</f>
        <v/>
      </c>
      <c r="AC161" s="10">
        <f>IF($B161="","",IFERROR(MATCH($B161,인턴근무계획!$D$3:$D$202,0),IFERROR(MATCH($B161&amp;"",인턴근무계획!$D$3:$D$202,0),IFERROR(MATCH(VALUE($B161),인턴근무계획!$D$3:$D$202,0),""))))</f>
        <v/>
      </c>
      <c r="AD161" s="10">
        <f>IF(OR($AC161="",인턴현황!$G$3=""),"",INDEX(인턴근무계획!$M$3:$R$202,$AC161,인턴현황!$G$3)&amp;"")</f>
        <v/>
      </c>
      <c r="AE161" s="10">
        <f>IF($B161="","",IF($M161&lt;&gt;"",$M161,IF($H161="","",IF(RIGHT($H161,2)="병원",$H161,$H161&amp;"병원"))))</f>
        <v/>
      </c>
    </row>
    <row r="162">
      <c r="A162" s="10">
        <f>IF(B162="","",ROW()-1)</f>
        <v/>
      </c>
      <c r="B162" s="13" t="n"/>
      <c r="C162" s="10">
        <f>IF($AB162="","",IF(INDEX(기본자료!$C$2:$C$501,$AB162)="","",INDEX(기본자료!$C$2:$C$501,$AB162)))</f>
        <v/>
      </c>
      <c r="D162" s="10">
        <f>IF($AB162="","",IF(INDEX(기본자료!$J$2:$J$501,$AB162)="","",INDEX(기본자료!$J$2:$J$501,$AB162)))</f>
        <v/>
      </c>
      <c r="E162" s="11">
        <f>IF($AB162="","",IF(INDEX(기본자료!$K$2:$K$501,$AB162)="","",IF(NOT(ISNUMBER(INDEX(기본자료!$K$2:$K$501,$AB162))),INDEX(기본자료!$K$2:$K$501,$AB162),IF(INDEX(기본자료!$K$2:$K$501,$AB162)&lt;1000000,INDEX(기본자료!$K$2:$K$501,$AB162),IF(AND(INDEX(기본자료!$K$2:$K$501,$AB162)&gt;=10000101,INT(MOD(INDEX(기본자료!$K$2:$K$501,$AB162),10000)/100)&gt;=1,INT(MOD(INDEX(기본자료!$K$2:$K$501,$AB162),10000)/100)&lt;=12,MOD(INDEX(기본자료!$K$2:$K$501,$AB162),100)&gt;=1,MOD(INDEX(기본자료!$K$2:$K$501,$AB162),100)&lt;=31),DATE(INT(INDEX(기본자료!$K$2:$K$501,$AB162)/10000),INT(MOD(INDEX(기본자료!$K$2:$K$501,$AB162),10000)/100),MOD(INDEX(기본자료!$K$2:$K$501,$AB162),100)),INDEX(기본자료!$K$2:$K$501,$AB162)&amp;"")))))</f>
        <v/>
      </c>
      <c r="F162" s="10">
        <f>IF($AB162="","",IF(INDEX(기본자료!$D$2:$D$501,$AB162)="","",INDEX(기본자료!$D$2:$D$501,$AB162)))</f>
        <v/>
      </c>
      <c r="G162" s="10">
        <f>IF($AB162="","",IF(INDEX(기본자료!$E$2:$E$501,$AB162)="","",INDEX(기본자료!$E$2:$E$501,$AB162)))</f>
        <v/>
      </c>
      <c r="H162" s="10">
        <f>IF($AB162="","",IF(INDEX(기본자료!$F$2:$F$501,$AB162)="","",INDEX(기본자료!$F$2:$F$501,$AB162)))</f>
        <v/>
      </c>
      <c r="I162" s="11">
        <f>IF($AB162="","",IF(INDEX(기본자료!$G$2:$G$501,$AB162)="","",IF(NOT(ISNUMBER(INDEX(기본자료!$G$2:$G$501,$AB162))),INDEX(기본자료!$G$2:$G$501,$AB162),IF(INDEX(기본자료!$G$2:$G$501,$AB162)&lt;1000000,INDEX(기본자료!$G$2:$G$501,$AB162),IF(AND(INDEX(기본자료!$G$2:$G$501,$AB162)&gt;=10000101,INT(MOD(INDEX(기본자료!$G$2:$G$501,$AB162),10000)/100)&gt;=1,INT(MOD(INDEX(기본자료!$G$2:$G$501,$AB162),10000)/100)&lt;=12,MOD(INDEX(기본자료!$G$2:$G$501,$AB162),100)&gt;=1,MOD(INDEX(기본자료!$G$2:$G$501,$AB162),100)&lt;=31),DATE(INT(INDEX(기본자료!$G$2:$G$501,$AB162)/10000),INT(MOD(INDEX(기본자료!$G$2:$G$501,$AB162),10000)/100),MOD(INDEX(기본자료!$G$2:$G$501,$AB162),100)),INDEX(기본자료!$G$2:$G$501,$AB162)&amp;"")))))</f>
        <v/>
      </c>
      <c r="J162" s="10">
        <f>IF($AB162="","",IF(INDEX(기본자료!$H$2:$H$501,$AB162)="","",INDEX(기본자료!$H$2:$H$501,$AB162)))</f>
        <v/>
      </c>
      <c r="K162" s="10">
        <f>IF($AB162="","",IF(INDEX(기본자료!$I$2:$I$501,$AB162)="","",INDEX(기본자료!$I$2:$I$501,$AB162)))</f>
        <v/>
      </c>
      <c r="L162" s="10">
        <f>IF($AB162="","",IF(INDEX(기본자료!$A$2:$A$501,$AB162)="","",INDEX(기본자료!$A$2:$A$501,$AB162)))</f>
        <v/>
      </c>
      <c r="M162" s="14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4" t="n"/>
      <c r="Q162" s="14" t="n"/>
      <c r="R162" s="14" t="n"/>
      <c r="S162" s="15" t="n"/>
      <c r="T162" s="15" t="n"/>
      <c r="U162" s="10">
        <f>IF(OR($B162="",$S162=""),"",IF(TODAY()&lt;$S162,"파견예정",IF(AND($T162&lt;&gt;"",TODAY()&gt;$T162),"파견종료","파견중")))</f>
        <v/>
      </c>
      <c r="V162" s="16">
        <f>IF(OR($S162="",$T162=""),"",$T162-$S162+1)</f>
        <v/>
      </c>
      <c r="W162" s="16">
        <f>IF(AND($U162="파견중",$T162&lt;&gt;""),$T162-TODAY(),"")</f>
        <v/>
      </c>
      <c r="X162" s="16">
        <f>IF(OR($B162="",$S162=""),"",MAX(0,MIN(IF($T162="",EOMONTH(요약!$B$3,0),$T162),EOMONTH(요약!$B$3,0))-MAX($S162,요약!$B$3)+1))</f>
        <v/>
      </c>
      <c r="Y162" s="10">
        <f>IF($B162="","",IF($AE162="","",IF(OR($S162="",$P162="",N($X162)&lt;=0),$AE162,IF($P162="다기관파견",$AE162,IF($AE162="구리병원",IF(AND($Q162&lt;&gt;"",N($X162)&gt;=요약!$E$3),$Q162,$AE162),IF(AND($P162="일반파견(단독)",$Q162&lt;&gt;""),$Q162,$AE162))))))</f>
        <v/>
      </c>
      <c r="Z162" s="17">
        <f>IF($B162="","",IF($AB162="","기본자료에 없는 사번",IF(COUNTIF($B$2:$B$201,$B162)&gt;1,"중복 사번",IF($M162="","입사장소 입력",IF(AND($P162&lt;&gt;"",$S162=""),"파견시작일 입력",IF(AND($S162&lt;&gt;"",$P162=""),"파견종류 입력",IF(AND($P162&lt;&gt;"",$P162&lt;&gt;"다기관파견",$Q162=""),"파견병원 입력",IF(IF($AC162="",0,N(INDEX(인턴근무계획!$T$3:$T$202,$AC162)))&gt;0,"인턴계획 입력오류 확인",IF(AND($AC162&lt;&gt;"",$U162&lt;&gt;"파견중",$N162&lt;&gt;$AE162),"인턴 타지역 근무: 파견 여부 확인","정상")))))))))</f>
        <v/>
      </c>
      <c r="AA162" s="5" t="n"/>
      <c r="AB162" s="10">
        <f>IF($B162="","",IFERROR(MATCH($B162,기본자료!$B$2:$B$501,0),IFERROR(MATCH($B162&amp;"",기본자료!$B$2:$B$501,0),IFERROR(MATCH(VALUE($B162),기본자료!$B$2:$B$501,0),""))))</f>
        <v/>
      </c>
      <c r="AC162" s="10">
        <f>IF($B162="","",IFERROR(MATCH($B162,인턴근무계획!$D$3:$D$202,0),IFERROR(MATCH($B162&amp;"",인턴근무계획!$D$3:$D$202,0),IFERROR(MATCH(VALUE($B162),인턴근무계획!$D$3:$D$202,0),""))))</f>
        <v/>
      </c>
      <c r="AD162" s="10">
        <f>IF(OR($AC162="",인턴현황!$G$3=""),"",INDEX(인턴근무계획!$M$3:$R$202,$AC162,인턴현황!$G$3)&amp;"")</f>
        <v/>
      </c>
      <c r="AE162" s="10">
        <f>IF($B162="","",IF($M162&lt;&gt;"",$M162,IF($H162="","",IF(RIGHT($H162,2)="병원",$H162,$H162&amp;"병원"))))</f>
        <v/>
      </c>
    </row>
    <row r="163">
      <c r="A163" s="10">
        <f>IF(B163="","",ROW()-1)</f>
        <v/>
      </c>
      <c r="B163" s="13" t="n"/>
      <c r="C163" s="10">
        <f>IF($AB163="","",IF(INDEX(기본자료!$C$2:$C$501,$AB163)="","",INDEX(기본자료!$C$2:$C$501,$AB163)))</f>
        <v/>
      </c>
      <c r="D163" s="10">
        <f>IF($AB163="","",IF(INDEX(기본자료!$J$2:$J$501,$AB163)="","",INDEX(기본자료!$J$2:$J$501,$AB163)))</f>
        <v/>
      </c>
      <c r="E163" s="11">
        <f>IF($AB163="","",IF(INDEX(기본자료!$K$2:$K$501,$AB163)="","",IF(NOT(ISNUMBER(INDEX(기본자료!$K$2:$K$501,$AB163))),INDEX(기본자료!$K$2:$K$501,$AB163),IF(INDEX(기본자료!$K$2:$K$501,$AB163)&lt;1000000,INDEX(기본자료!$K$2:$K$501,$AB163),IF(AND(INDEX(기본자료!$K$2:$K$501,$AB163)&gt;=10000101,INT(MOD(INDEX(기본자료!$K$2:$K$501,$AB163),10000)/100)&gt;=1,INT(MOD(INDEX(기본자료!$K$2:$K$501,$AB163),10000)/100)&lt;=12,MOD(INDEX(기본자료!$K$2:$K$501,$AB163),100)&gt;=1,MOD(INDEX(기본자료!$K$2:$K$501,$AB163),100)&lt;=31),DATE(INT(INDEX(기본자료!$K$2:$K$501,$AB163)/10000),INT(MOD(INDEX(기본자료!$K$2:$K$501,$AB163),10000)/100),MOD(INDEX(기본자료!$K$2:$K$501,$AB163),100)),INDEX(기본자료!$K$2:$K$501,$AB163)&amp;"")))))</f>
        <v/>
      </c>
      <c r="F163" s="10">
        <f>IF($AB163="","",IF(INDEX(기본자료!$D$2:$D$501,$AB163)="","",INDEX(기본자료!$D$2:$D$501,$AB163)))</f>
        <v/>
      </c>
      <c r="G163" s="10">
        <f>IF($AB163="","",IF(INDEX(기본자료!$E$2:$E$501,$AB163)="","",INDEX(기본자료!$E$2:$E$501,$AB163)))</f>
        <v/>
      </c>
      <c r="H163" s="10">
        <f>IF($AB163="","",IF(INDEX(기본자료!$F$2:$F$501,$AB163)="","",INDEX(기본자료!$F$2:$F$501,$AB163)))</f>
        <v/>
      </c>
      <c r="I163" s="11">
        <f>IF($AB163="","",IF(INDEX(기본자료!$G$2:$G$501,$AB163)="","",IF(NOT(ISNUMBER(INDEX(기본자료!$G$2:$G$501,$AB163))),INDEX(기본자료!$G$2:$G$501,$AB163),IF(INDEX(기본자료!$G$2:$G$501,$AB163)&lt;1000000,INDEX(기본자료!$G$2:$G$501,$AB163),IF(AND(INDEX(기본자료!$G$2:$G$501,$AB163)&gt;=10000101,INT(MOD(INDEX(기본자료!$G$2:$G$501,$AB163),10000)/100)&gt;=1,INT(MOD(INDEX(기본자료!$G$2:$G$501,$AB163),10000)/100)&lt;=12,MOD(INDEX(기본자료!$G$2:$G$501,$AB163),100)&gt;=1,MOD(INDEX(기본자료!$G$2:$G$501,$AB163),100)&lt;=31),DATE(INT(INDEX(기본자료!$G$2:$G$501,$AB163)/10000),INT(MOD(INDEX(기본자료!$G$2:$G$501,$AB163),10000)/100),MOD(INDEX(기본자료!$G$2:$G$501,$AB163),100)),INDEX(기본자료!$G$2:$G$501,$AB163)&amp;"")))))</f>
        <v/>
      </c>
      <c r="J163" s="10">
        <f>IF($AB163="","",IF(INDEX(기본자료!$H$2:$H$501,$AB163)="","",INDEX(기본자료!$H$2:$H$501,$AB163)))</f>
        <v/>
      </c>
      <c r="K163" s="10">
        <f>IF($AB163="","",IF(INDEX(기본자료!$I$2:$I$501,$AB163)="","",INDEX(기본자료!$I$2:$I$501,$AB163)))</f>
        <v/>
      </c>
      <c r="L163" s="10">
        <f>IF($AB163="","",IF(INDEX(기본자료!$A$2:$A$501,$AB163)="","",INDEX(기본자료!$A$2:$A$501,$AB163)))</f>
        <v/>
      </c>
      <c r="M163" s="14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4" t="n"/>
      <c r="Q163" s="14" t="n"/>
      <c r="R163" s="14" t="n"/>
      <c r="S163" s="15" t="n"/>
      <c r="T163" s="15" t="n"/>
      <c r="U163" s="10">
        <f>IF(OR($B163="",$S163=""),"",IF(TODAY()&lt;$S163,"파견예정",IF(AND($T163&lt;&gt;"",TODAY()&gt;$T163),"파견종료","파견중")))</f>
        <v/>
      </c>
      <c r="V163" s="16">
        <f>IF(OR($S163="",$T163=""),"",$T163-$S163+1)</f>
        <v/>
      </c>
      <c r="W163" s="16">
        <f>IF(AND($U163="파견중",$T163&lt;&gt;""),$T163-TODAY(),"")</f>
        <v/>
      </c>
      <c r="X163" s="16">
        <f>IF(OR($B163="",$S163=""),"",MAX(0,MIN(IF($T163="",EOMONTH(요약!$B$3,0),$T163),EOMONTH(요약!$B$3,0))-MAX($S163,요약!$B$3)+1))</f>
        <v/>
      </c>
      <c r="Y163" s="10">
        <f>IF($B163="","",IF($AE163="","",IF(OR($S163="",$P163="",N($X163)&lt;=0),$AE163,IF($P163="다기관파견",$AE163,IF($AE163="구리병원",IF(AND($Q163&lt;&gt;"",N($X163)&gt;=요약!$E$3),$Q163,$AE163),IF(AND($P163="일반파견(단독)",$Q163&lt;&gt;""),$Q163,$AE163))))))</f>
        <v/>
      </c>
      <c r="Z163" s="17">
        <f>IF($B163="","",IF($AB163="","기본자료에 없는 사번",IF(COUNTIF($B$2:$B$201,$B163)&gt;1,"중복 사번",IF($M163="","입사장소 입력",IF(AND($P163&lt;&gt;"",$S163=""),"파견시작일 입력",IF(AND($S163&lt;&gt;"",$P163=""),"파견종류 입력",IF(AND($P163&lt;&gt;"",$P163&lt;&gt;"다기관파견",$Q163=""),"파견병원 입력",IF(IF($AC163="",0,N(INDEX(인턴근무계획!$T$3:$T$202,$AC163)))&gt;0,"인턴계획 입력오류 확인",IF(AND($AC163&lt;&gt;"",$U163&lt;&gt;"파견중",$N163&lt;&gt;$AE163),"인턴 타지역 근무: 파견 여부 확인","정상")))))))))</f>
        <v/>
      </c>
      <c r="AA163" s="5" t="n"/>
      <c r="AB163" s="10">
        <f>IF($B163="","",IFERROR(MATCH($B163,기본자료!$B$2:$B$501,0),IFERROR(MATCH($B163&amp;"",기본자료!$B$2:$B$501,0),IFERROR(MATCH(VALUE($B163),기본자료!$B$2:$B$501,0),""))))</f>
        <v/>
      </c>
      <c r="AC163" s="10">
        <f>IF($B163="","",IFERROR(MATCH($B163,인턴근무계획!$D$3:$D$202,0),IFERROR(MATCH($B163&amp;"",인턴근무계획!$D$3:$D$202,0),IFERROR(MATCH(VALUE($B163),인턴근무계획!$D$3:$D$202,0),""))))</f>
        <v/>
      </c>
      <c r="AD163" s="10">
        <f>IF(OR($AC163="",인턴현황!$G$3=""),"",INDEX(인턴근무계획!$M$3:$R$202,$AC163,인턴현황!$G$3)&amp;"")</f>
        <v/>
      </c>
      <c r="AE163" s="10">
        <f>IF($B163="","",IF($M163&lt;&gt;"",$M163,IF($H163="","",IF(RIGHT($H163,2)="병원",$H163,$H163&amp;"병원"))))</f>
        <v/>
      </c>
    </row>
    <row r="164">
      <c r="A164" s="10">
        <f>IF(B164="","",ROW()-1)</f>
        <v/>
      </c>
      <c r="B164" s="13" t="n"/>
      <c r="C164" s="10">
        <f>IF($AB164="","",IF(INDEX(기본자료!$C$2:$C$501,$AB164)="","",INDEX(기본자료!$C$2:$C$501,$AB164)))</f>
        <v/>
      </c>
      <c r="D164" s="10">
        <f>IF($AB164="","",IF(INDEX(기본자료!$J$2:$J$501,$AB164)="","",INDEX(기본자료!$J$2:$J$501,$AB164)))</f>
        <v/>
      </c>
      <c r="E164" s="11">
        <f>IF($AB164="","",IF(INDEX(기본자료!$K$2:$K$501,$AB164)="","",IF(NOT(ISNUMBER(INDEX(기본자료!$K$2:$K$501,$AB164))),INDEX(기본자료!$K$2:$K$501,$AB164),IF(INDEX(기본자료!$K$2:$K$501,$AB164)&lt;1000000,INDEX(기본자료!$K$2:$K$501,$AB164),IF(AND(INDEX(기본자료!$K$2:$K$501,$AB164)&gt;=10000101,INT(MOD(INDEX(기본자료!$K$2:$K$501,$AB164),10000)/100)&gt;=1,INT(MOD(INDEX(기본자료!$K$2:$K$501,$AB164),10000)/100)&lt;=12,MOD(INDEX(기본자료!$K$2:$K$501,$AB164),100)&gt;=1,MOD(INDEX(기본자료!$K$2:$K$501,$AB164),100)&lt;=31),DATE(INT(INDEX(기본자료!$K$2:$K$501,$AB164)/10000),INT(MOD(INDEX(기본자료!$K$2:$K$501,$AB164),10000)/100),MOD(INDEX(기본자료!$K$2:$K$501,$AB164),100)),INDEX(기본자료!$K$2:$K$501,$AB164)&amp;"")))))</f>
        <v/>
      </c>
      <c r="F164" s="10">
        <f>IF($AB164="","",IF(INDEX(기본자료!$D$2:$D$501,$AB164)="","",INDEX(기본자료!$D$2:$D$501,$AB164)))</f>
        <v/>
      </c>
      <c r="G164" s="10">
        <f>IF($AB164="","",IF(INDEX(기본자료!$E$2:$E$501,$AB164)="","",INDEX(기본자료!$E$2:$E$501,$AB164)))</f>
        <v/>
      </c>
      <c r="H164" s="10">
        <f>IF($AB164="","",IF(INDEX(기본자료!$F$2:$F$501,$AB164)="","",INDEX(기본자료!$F$2:$F$501,$AB164)))</f>
        <v/>
      </c>
      <c r="I164" s="11">
        <f>IF($AB164="","",IF(INDEX(기본자료!$G$2:$G$501,$AB164)="","",IF(NOT(ISNUMBER(INDEX(기본자료!$G$2:$G$501,$AB164))),INDEX(기본자료!$G$2:$G$501,$AB164),IF(INDEX(기본자료!$G$2:$G$501,$AB164)&lt;1000000,INDEX(기본자료!$G$2:$G$501,$AB164),IF(AND(INDEX(기본자료!$G$2:$G$501,$AB164)&gt;=10000101,INT(MOD(INDEX(기본자료!$G$2:$G$501,$AB164),10000)/100)&gt;=1,INT(MOD(INDEX(기본자료!$G$2:$G$501,$AB164),10000)/100)&lt;=12,MOD(INDEX(기본자료!$G$2:$G$501,$AB164),100)&gt;=1,MOD(INDEX(기본자료!$G$2:$G$501,$AB164),100)&lt;=31),DATE(INT(INDEX(기본자료!$G$2:$G$501,$AB164)/10000),INT(MOD(INDEX(기본자료!$G$2:$G$501,$AB164),10000)/100),MOD(INDEX(기본자료!$G$2:$G$501,$AB164),100)),INDEX(기본자료!$G$2:$G$501,$AB164)&amp;"")))))</f>
        <v/>
      </c>
      <c r="J164" s="10">
        <f>IF($AB164="","",IF(INDEX(기본자료!$H$2:$H$501,$AB164)="","",INDEX(기본자료!$H$2:$H$501,$AB164)))</f>
        <v/>
      </c>
      <c r="K164" s="10">
        <f>IF($AB164="","",IF(INDEX(기본자료!$I$2:$I$501,$AB164)="","",INDEX(기본자료!$I$2:$I$501,$AB164)))</f>
        <v/>
      </c>
      <c r="L164" s="10">
        <f>IF($AB164="","",IF(INDEX(기본자료!$A$2:$A$501,$AB164)="","",INDEX(기본자료!$A$2:$A$501,$AB164)))</f>
        <v/>
      </c>
      <c r="M164" s="14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4" t="n"/>
      <c r="Q164" s="14" t="n"/>
      <c r="R164" s="14" t="n"/>
      <c r="S164" s="15" t="n"/>
      <c r="T164" s="15" t="n"/>
      <c r="U164" s="10">
        <f>IF(OR($B164="",$S164=""),"",IF(TODAY()&lt;$S164,"파견예정",IF(AND($T164&lt;&gt;"",TODAY()&gt;$T164),"파견종료","파견중")))</f>
        <v/>
      </c>
      <c r="V164" s="16">
        <f>IF(OR($S164="",$T164=""),"",$T164-$S164+1)</f>
        <v/>
      </c>
      <c r="W164" s="16">
        <f>IF(AND($U164="파견중",$T164&lt;&gt;""),$T164-TODAY(),"")</f>
        <v/>
      </c>
      <c r="X164" s="16">
        <f>IF(OR($B164="",$S164=""),"",MAX(0,MIN(IF($T164="",EOMONTH(요약!$B$3,0),$T164),EOMONTH(요약!$B$3,0))-MAX($S164,요약!$B$3)+1))</f>
        <v/>
      </c>
      <c r="Y164" s="10">
        <f>IF($B164="","",IF($AE164="","",IF(OR($S164="",$P164="",N($X164)&lt;=0),$AE164,IF($P164="다기관파견",$AE164,IF($AE164="구리병원",IF(AND($Q164&lt;&gt;"",N($X164)&gt;=요약!$E$3),$Q164,$AE164),IF(AND($P164="일반파견(단독)",$Q164&lt;&gt;""),$Q164,$AE164))))))</f>
        <v/>
      </c>
      <c r="Z164" s="17">
        <f>IF($B164="","",IF($AB164="","기본자료에 없는 사번",IF(COUNTIF($B$2:$B$201,$B164)&gt;1,"중복 사번",IF($M164="","입사장소 입력",IF(AND($P164&lt;&gt;"",$S164=""),"파견시작일 입력",IF(AND($S164&lt;&gt;"",$P164=""),"파견종류 입력",IF(AND($P164&lt;&gt;"",$P164&lt;&gt;"다기관파견",$Q164=""),"파견병원 입력",IF(IF($AC164="",0,N(INDEX(인턴근무계획!$T$3:$T$202,$AC164)))&gt;0,"인턴계획 입력오류 확인",IF(AND($AC164&lt;&gt;"",$U164&lt;&gt;"파견중",$N164&lt;&gt;$AE164),"인턴 타지역 근무: 파견 여부 확인","정상")))))))))</f>
        <v/>
      </c>
      <c r="AA164" s="5" t="n"/>
      <c r="AB164" s="10">
        <f>IF($B164="","",IFERROR(MATCH($B164,기본자료!$B$2:$B$501,0),IFERROR(MATCH($B164&amp;"",기본자료!$B$2:$B$501,0),IFERROR(MATCH(VALUE($B164),기본자료!$B$2:$B$501,0),""))))</f>
        <v/>
      </c>
      <c r="AC164" s="10">
        <f>IF($B164="","",IFERROR(MATCH($B164,인턴근무계획!$D$3:$D$202,0),IFERROR(MATCH($B164&amp;"",인턴근무계획!$D$3:$D$202,0),IFERROR(MATCH(VALUE($B164),인턴근무계획!$D$3:$D$202,0),""))))</f>
        <v/>
      </c>
      <c r="AD164" s="10">
        <f>IF(OR($AC164="",인턴현황!$G$3=""),"",INDEX(인턴근무계획!$M$3:$R$202,$AC164,인턴현황!$G$3)&amp;"")</f>
        <v/>
      </c>
      <c r="AE164" s="10">
        <f>IF($B164="","",IF($M164&lt;&gt;"",$M164,IF($H164="","",IF(RIGHT($H164,2)="병원",$H164,$H164&amp;"병원"))))</f>
        <v/>
      </c>
    </row>
    <row r="165">
      <c r="A165" s="10">
        <f>IF(B165="","",ROW()-1)</f>
        <v/>
      </c>
      <c r="B165" s="13" t="n"/>
      <c r="C165" s="10">
        <f>IF($AB165="","",IF(INDEX(기본자료!$C$2:$C$501,$AB165)="","",INDEX(기본자료!$C$2:$C$501,$AB165)))</f>
        <v/>
      </c>
      <c r="D165" s="10">
        <f>IF($AB165="","",IF(INDEX(기본자료!$J$2:$J$501,$AB165)="","",INDEX(기본자료!$J$2:$J$501,$AB165)))</f>
        <v/>
      </c>
      <c r="E165" s="11">
        <f>IF($AB165="","",IF(INDEX(기본자료!$K$2:$K$501,$AB165)="","",IF(NOT(ISNUMBER(INDEX(기본자료!$K$2:$K$501,$AB165))),INDEX(기본자료!$K$2:$K$501,$AB165),IF(INDEX(기본자료!$K$2:$K$501,$AB165)&lt;1000000,INDEX(기본자료!$K$2:$K$501,$AB165),IF(AND(INDEX(기본자료!$K$2:$K$501,$AB165)&gt;=10000101,INT(MOD(INDEX(기본자료!$K$2:$K$501,$AB165),10000)/100)&gt;=1,INT(MOD(INDEX(기본자료!$K$2:$K$501,$AB165),10000)/100)&lt;=12,MOD(INDEX(기본자료!$K$2:$K$501,$AB165),100)&gt;=1,MOD(INDEX(기본자료!$K$2:$K$501,$AB165),100)&lt;=31),DATE(INT(INDEX(기본자료!$K$2:$K$501,$AB165)/10000),INT(MOD(INDEX(기본자료!$K$2:$K$501,$AB165),10000)/100),MOD(INDEX(기본자료!$K$2:$K$501,$AB165),100)),INDEX(기본자료!$K$2:$K$501,$AB165)&amp;"")))))</f>
        <v/>
      </c>
      <c r="F165" s="10">
        <f>IF($AB165="","",IF(INDEX(기본자료!$D$2:$D$501,$AB165)="","",INDEX(기본자료!$D$2:$D$501,$AB165)))</f>
        <v/>
      </c>
      <c r="G165" s="10">
        <f>IF($AB165="","",IF(INDEX(기본자료!$E$2:$E$501,$AB165)="","",INDEX(기본자료!$E$2:$E$501,$AB165)))</f>
        <v/>
      </c>
      <c r="H165" s="10">
        <f>IF($AB165="","",IF(INDEX(기본자료!$F$2:$F$501,$AB165)="","",INDEX(기본자료!$F$2:$F$501,$AB165)))</f>
        <v/>
      </c>
      <c r="I165" s="11">
        <f>IF($AB165="","",IF(INDEX(기본자료!$G$2:$G$501,$AB165)="","",IF(NOT(ISNUMBER(INDEX(기본자료!$G$2:$G$501,$AB165))),INDEX(기본자료!$G$2:$G$501,$AB165),IF(INDEX(기본자료!$G$2:$G$501,$AB165)&lt;1000000,INDEX(기본자료!$G$2:$G$501,$AB165),IF(AND(INDEX(기본자료!$G$2:$G$501,$AB165)&gt;=10000101,INT(MOD(INDEX(기본자료!$G$2:$G$501,$AB165),10000)/100)&gt;=1,INT(MOD(INDEX(기본자료!$G$2:$G$501,$AB165),10000)/100)&lt;=12,MOD(INDEX(기본자료!$G$2:$G$501,$AB165),100)&gt;=1,MOD(INDEX(기본자료!$G$2:$G$501,$AB165),100)&lt;=31),DATE(INT(INDEX(기본자료!$G$2:$G$501,$AB165)/10000),INT(MOD(INDEX(기본자료!$G$2:$G$501,$AB165),10000)/100),MOD(INDEX(기본자료!$G$2:$G$501,$AB165),100)),INDEX(기본자료!$G$2:$G$501,$AB165)&amp;"")))))</f>
        <v/>
      </c>
      <c r="J165" s="10">
        <f>IF($AB165="","",IF(INDEX(기본자료!$H$2:$H$501,$AB165)="","",INDEX(기본자료!$H$2:$H$501,$AB165)))</f>
        <v/>
      </c>
      <c r="K165" s="10">
        <f>IF($AB165="","",IF(INDEX(기본자료!$I$2:$I$501,$AB165)="","",INDEX(기본자료!$I$2:$I$501,$AB165)))</f>
        <v/>
      </c>
      <c r="L165" s="10">
        <f>IF($AB165="","",IF(INDEX(기본자료!$A$2:$A$501,$AB165)="","",INDEX(기본자료!$A$2:$A$501,$AB165)))</f>
        <v/>
      </c>
      <c r="M165" s="14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4" t="n"/>
      <c r="Q165" s="14" t="n"/>
      <c r="R165" s="14" t="n"/>
      <c r="S165" s="15" t="n"/>
      <c r="T165" s="15" t="n"/>
      <c r="U165" s="10">
        <f>IF(OR($B165="",$S165=""),"",IF(TODAY()&lt;$S165,"파견예정",IF(AND($T165&lt;&gt;"",TODAY()&gt;$T165),"파견종료","파견중")))</f>
        <v/>
      </c>
      <c r="V165" s="16">
        <f>IF(OR($S165="",$T165=""),"",$T165-$S165+1)</f>
        <v/>
      </c>
      <c r="W165" s="16">
        <f>IF(AND($U165="파견중",$T165&lt;&gt;""),$T165-TODAY(),"")</f>
        <v/>
      </c>
      <c r="X165" s="16">
        <f>IF(OR($B165="",$S165=""),"",MAX(0,MIN(IF($T165="",EOMONTH(요약!$B$3,0),$T165),EOMONTH(요약!$B$3,0))-MAX($S165,요약!$B$3)+1))</f>
        <v/>
      </c>
      <c r="Y165" s="10">
        <f>IF($B165="","",IF($AE165="","",IF(OR($S165="",$P165="",N($X165)&lt;=0),$AE165,IF($P165="다기관파견",$AE165,IF($AE165="구리병원",IF(AND($Q165&lt;&gt;"",N($X165)&gt;=요약!$E$3),$Q165,$AE165),IF(AND($P165="일반파견(단독)",$Q165&lt;&gt;""),$Q165,$AE165))))))</f>
        <v/>
      </c>
      <c r="Z165" s="17">
        <f>IF($B165="","",IF($AB165="","기본자료에 없는 사번",IF(COUNTIF($B$2:$B$201,$B165)&gt;1,"중복 사번",IF($M165="","입사장소 입력",IF(AND($P165&lt;&gt;"",$S165=""),"파견시작일 입력",IF(AND($S165&lt;&gt;"",$P165=""),"파견종류 입력",IF(AND($P165&lt;&gt;"",$P165&lt;&gt;"다기관파견",$Q165=""),"파견병원 입력",IF(IF($AC165="",0,N(INDEX(인턴근무계획!$T$3:$T$202,$AC165)))&gt;0,"인턴계획 입력오류 확인",IF(AND($AC165&lt;&gt;"",$U165&lt;&gt;"파견중",$N165&lt;&gt;$AE165),"인턴 타지역 근무: 파견 여부 확인","정상")))))))))</f>
        <v/>
      </c>
      <c r="AA165" s="5" t="n"/>
      <c r="AB165" s="10">
        <f>IF($B165="","",IFERROR(MATCH($B165,기본자료!$B$2:$B$501,0),IFERROR(MATCH($B165&amp;"",기본자료!$B$2:$B$501,0),IFERROR(MATCH(VALUE($B165),기본자료!$B$2:$B$501,0),""))))</f>
        <v/>
      </c>
      <c r="AC165" s="10">
        <f>IF($B165="","",IFERROR(MATCH($B165,인턴근무계획!$D$3:$D$202,0),IFERROR(MATCH($B165&amp;"",인턴근무계획!$D$3:$D$202,0),IFERROR(MATCH(VALUE($B165),인턴근무계획!$D$3:$D$202,0),""))))</f>
        <v/>
      </c>
      <c r="AD165" s="10">
        <f>IF(OR($AC165="",인턴현황!$G$3=""),"",INDEX(인턴근무계획!$M$3:$R$202,$AC165,인턴현황!$G$3)&amp;"")</f>
        <v/>
      </c>
      <c r="AE165" s="10">
        <f>IF($B165="","",IF($M165&lt;&gt;"",$M165,IF($H165="","",IF(RIGHT($H165,2)="병원",$H165,$H165&amp;"병원"))))</f>
        <v/>
      </c>
    </row>
    <row r="166">
      <c r="A166" s="10">
        <f>IF(B166="","",ROW()-1)</f>
        <v/>
      </c>
      <c r="B166" s="13" t="n"/>
      <c r="C166" s="10">
        <f>IF($AB166="","",IF(INDEX(기본자료!$C$2:$C$501,$AB166)="","",INDEX(기본자료!$C$2:$C$501,$AB166)))</f>
        <v/>
      </c>
      <c r="D166" s="10">
        <f>IF($AB166="","",IF(INDEX(기본자료!$J$2:$J$501,$AB166)="","",INDEX(기본자료!$J$2:$J$501,$AB166)))</f>
        <v/>
      </c>
      <c r="E166" s="11">
        <f>IF($AB166="","",IF(INDEX(기본자료!$K$2:$K$501,$AB166)="","",IF(NOT(ISNUMBER(INDEX(기본자료!$K$2:$K$501,$AB166))),INDEX(기본자료!$K$2:$K$501,$AB166),IF(INDEX(기본자료!$K$2:$K$501,$AB166)&lt;1000000,INDEX(기본자료!$K$2:$K$501,$AB166),IF(AND(INDEX(기본자료!$K$2:$K$501,$AB166)&gt;=10000101,INT(MOD(INDEX(기본자료!$K$2:$K$501,$AB166),10000)/100)&gt;=1,INT(MOD(INDEX(기본자료!$K$2:$K$501,$AB166),10000)/100)&lt;=12,MOD(INDEX(기본자료!$K$2:$K$501,$AB166),100)&gt;=1,MOD(INDEX(기본자료!$K$2:$K$501,$AB166),100)&lt;=31),DATE(INT(INDEX(기본자료!$K$2:$K$501,$AB166)/10000),INT(MOD(INDEX(기본자료!$K$2:$K$501,$AB166),10000)/100),MOD(INDEX(기본자료!$K$2:$K$501,$AB166),100)),INDEX(기본자료!$K$2:$K$501,$AB166)&amp;"")))))</f>
        <v/>
      </c>
      <c r="F166" s="10">
        <f>IF($AB166="","",IF(INDEX(기본자료!$D$2:$D$501,$AB166)="","",INDEX(기본자료!$D$2:$D$501,$AB166)))</f>
        <v/>
      </c>
      <c r="G166" s="10">
        <f>IF($AB166="","",IF(INDEX(기본자료!$E$2:$E$501,$AB166)="","",INDEX(기본자료!$E$2:$E$501,$AB166)))</f>
        <v/>
      </c>
      <c r="H166" s="10">
        <f>IF($AB166="","",IF(INDEX(기본자료!$F$2:$F$501,$AB166)="","",INDEX(기본자료!$F$2:$F$501,$AB166)))</f>
        <v/>
      </c>
      <c r="I166" s="11">
        <f>IF($AB166="","",IF(INDEX(기본자료!$G$2:$G$501,$AB166)="","",IF(NOT(ISNUMBER(INDEX(기본자료!$G$2:$G$501,$AB166))),INDEX(기본자료!$G$2:$G$501,$AB166),IF(INDEX(기본자료!$G$2:$G$501,$AB166)&lt;1000000,INDEX(기본자료!$G$2:$G$501,$AB166),IF(AND(INDEX(기본자료!$G$2:$G$501,$AB166)&gt;=10000101,INT(MOD(INDEX(기본자료!$G$2:$G$501,$AB166),10000)/100)&gt;=1,INT(MOD(INDEX(기본자료!$G$2:$G$501,$AB166),10000)/100)&lt;=12,MOD(INDEX(기본자료!$G$2:$G$501,$AB166),100)&gt;=1,MOD(INDEX(기본자료!$G$2:$G$501,$AB166),100)&lt;=31),DATE(INT(INDEX(기본자료!$G$2:$G$501,$AB166)/10000),INT(MOD(INDEX(기본자료!$G$2:$G$501,$AB166),10000)/100),MOD(INDEX(기본자료!$G$2:$G$501,$AB166),100)),INDEX(기본자료!$G$2:$G$501,$AB166)&amp;"")))))</f>
        <v/>
      </c>
      <c r="J166" s="10">
        <f>IF($AB166="","",IF(INDEX(기본자료!$H$2:$H$501,$AB166)="","",INDEX(기본자료!$H$2:$H$501,$AB166)))</f>
        <v/>
      </c>
      <c r="K166" s="10">
        <f>IF($AB166="","",IF(INDEX(기본자료!$I$2:$I$501,$AB166)="","",INDEX(기본자료!$I$2:$I$501,$AB166)))</f>
        <v/>
      </c>
      <c r="L166" s="10">
        <f>IF($AB166="","",IF(INDEX(기본자료!$A$2:$A$501,$AB166)="","",INDEX(기본자료!$A$2:$A$501,$AB166)))</f>
        <v/>
      </c>
      <c r="M166" s="14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4" t="n"/>
      <c r="Q166" s="14" t="n"/>
      <c r="R166" s="14" t="n"/>
      <c r="S166" s="15" t="n"/>
      <c r="T166" s="15" t="n"/>
      <c r="U166" s="10">
        <f>IF(OR($B166="",$S166=""),"",IF(TODAY()&lt;$S166,"파견예정",IF(AND($T166&lt;&gt;"",TODAY()&gt;$T166),"파견종료","파견중")))</f>
        <v/>
      </c>
      <c r="V166" s="16">
        <f>IF(OR($S166="",$T166=""),"",$T166-$S166+1)</f>
        <v/>
      </c>
      <c r="W166" s="16">
        <f>IF(AND($U166="파견중",$T166&lt;&gt;""),$T166-TODAY(),"")</f>
        <v/>
      </c>
      <c r="X166" s="16">
        <f>IF(OR($B166="",$S166=""),"",MAX(0,MIN(IF($T166="",EOMONTH(요약!$B$3,0),$T166),EOMONTH(요약!$B$3,0))-MAX($S166,요약!$B$3)+1))</f>
        <v/>
      </c>
      <c r="Y166" s="10">
        <f>IF($B166="","",IF($AE166="","",IF(OR($S166="",$P166="",N($X166)&lt;=0),$AE166,IF($P166="다기관파견",$AE166,IF($AE166="구리병원",IF(AND($Q166&lt;&gt;"",N($X166)&gt;=요약!$E$3),$Q166,$AE166),IF(AND($P166="일반파견(단독)",$Q166&lt;&gt;""),$Q166,$AE166))))))</f>
        <v/>
      </c>
      <c r="Z166" s="17">
        <f>IF($B166="","",IF($AB166="","기본자료에 없는 사번",IF(COUNTIF($B$2:$B$201,$B166)&gt;1,"중복 사번",IF($M166="","입사장소 입력",IF(AND($P166&lt;&gt;"",$S166=""),"파견시작일 입력",IF(AND($S166&lt;&gt;"",$P166=""),"파견종류 입력",IF(AND($P166&lt;&gt;"",$P166&lt;&gt;"다기관파견",$Q166=""),"파견병원 입력",IF(IF($AC166="",0,N(INDEX(인턴근무계획!$T$3:$T$202,$AC166)))&gt;0,"인턴계획 입력오류 확인",IF(AND($AC166&lt;&gt;"",$U166&lt;&gt;"파견중",$N166&lt;&gt;$AE166),"인턴 타지역 근무: 파견 여부 확인","정상")))))))))</f>
        <v/>
      </c>
      <c r="AA166" s="5" t="n"/>
      <c r="AB166" s="10">
        <f>IF($B166="","",IFERROR(MATCH($B166,기본자료!$B$2:$B$501,0),IFERROR(MATCH($B166&amp;"",기본자료!$B$2:$B$501,0),IFERROR(MATCH(VALUE($B166),기본자료!$B$2:$B$501,0),""))))</f>
        <v/>
      </c>
      <c r="AC166" s="10">
        <f>IF($B166="","",IFERROR(MATCH($B166,인턴근무계획!$D$3:$D$202,0),IFERROR(MATCH($B166&amp;"",인턴근무계획!$D$3:$D$202,0),IFERROR(MATCH(VALUE($B166),인턴근무계획!$D$3:$D$202,0),""))))</f>
        <v/>
      </c>
      <c r="AD166" s="10">
        <f>IF(OR($AC166="",인턴현황!$G$3=""),"",INDEX(인턴근무계획!$M$3:$R$202,$AC166,인턴현황!$G$3)&amp;"")</f>
        <v/>
      </c>
      <c r="AE166" s="10">
        <f>IF($B166="","",IF($M166&lt;&gt;"",$M166,IF($H166="","",IF(RIGHT($H166,2)="병원",$H166,$H166&amp;"병원"))))</f>
        <v/>
      </c>
    </row>
    <row r="167">
      <c r="A167" s="10">
        <f>IF(B167="","",ROW()-1)</f>
        <v/>
      </c>
      <c r="B167" s="13" t="n"/>
      <c r="C167" s="10">
        <f>IF($AB167="","",IF(INDEX(기본자료!$C$2:$C$501,$AB167)="","",INDEX(기본자료!$C$2:$C$501,$AB167)))</f>
        <v/>
      </c>
      <c r="D167" s="10">
        <f>IF($AB167="","",IF(INDEX(기본자료!$J$2:$J$501,$AB167)="","",INDEX(기본자료!$J$2:$J$501,$AB167)))</f>
        <v/>
      </c>
      <c r="E167" s="11">
        <f>IF($AB167="","",IF(INDEX(기본자료!$K$2:$K$501,$AB167)="","",IF(NOT(ISNUMBER(INDEX(기본자료!$K$2:$K$501,$AB167))),INDEX(기본자료!$K$2:$K$501,$AB167),IF(INDEX(기본자료!$K$2:$K$501,$AB167)&lt;1000000,INDEX(기본자료!$K$2:$K$501,$AB167),IF(AND(INDEX(기본자료!$K$2:$K$501,$AB167)&gt;=10000101,INT(MOD(INDEX(기본자료!$K$2:$K$501,$AB167),10000)/100)&gt;=1,INT(MOD(INDEX(기본자료!$K$2:$K$501,$AB167),10000)/100)&lt;=12,MOD(INDEX(기본자료!$K$2:$K$501,$AB167),100)&gt;=1,MOD(INDEX(기본자료!$K$2:$K$501,$AB167),100)&lt;=31),DATE(INT(INDEX(기본자료!$K$2:$K$501,$AB167)/10000),INT(MOD(INDEX(기본자료!$K$2:$K$501,$AB167),10000)/100),MOD(INDEX(기본자료!$K$2:$K$501,$AB167),100)),INDEX(기본자료!$K$2:$K$501,$AB167)&amp;"")))))</f>
        <v/>
      </c>
      <c r="F167" s="10">
        <f>IF($AB167="","",IF(INDEX(기본자료!$D$2:$D$501,$AB167)="","",INDEX(기본자료!$D$2:$D$501,$AB167)))</f>
        <v/>
      </c>
      <c r="G167" s="10">
        <f>IF($AB167="","",IF(INDEX(기본자료!$E$2:$E$501,$AB167)="","",INDEX(기본자료!$E$2:$E$501,$AB167)))</f>
        <v/>
      </c>
      <c r="H167" s="10">
        <f>IF($AB167="","",IF(INDEX(기본자료!$F$2:$F$501,$AB167)="","",INDEX(기본자료!$F$2:$F$501,$AB167)))</f>
        <v/>
      </c>
      <c r="I167" s="11">
        <f>IF($AB167="","",IF(INDEX(기본자료!$G$2:$G$501,$AB167)="","",IF(NOT(ISNUMBER(INDEX(기본자료!$G$2:$G$501,$AB167))),INDEX(기본자료!$G$2:$G$501,$AB167),IF(INDEX(기본자료!$G$2:$G$501,$AB167)&lt;1000000,INDEX(기본자료!$G$2:$G$501,$AB167),IF(AND(INDEX(기본자료!$G$2:$G$501,$AB167)&gt;=10000101,INT(MOD(INDEX(기본자료!$G$2:$G$501,$AB167),10000)/100)&gt;=1,INT(MOD(INDEX(기본자료!$G$2:$G$501,$AB167),10000)/100)&lt;=12,MOD(INDEX(기본자료!$G$2:$G$501,$AB167),100)&gt;=1,MOD(INDEX(기본자료!$G$2:$G$501,$AB167),100)&lt;=31),DATE(INT(INDEX(기본자료!$G$2:$G$501,$AB167)/10000),INT(MOD(INDEX(기본자료!$G$2:$G$501,$AB167),10000)/100),MOD(INDEX(기본자료!$G$2:$G$501,$AB167),100)),INDEX(기본자료!$G$2:$G$501,$AB167)&amp;"")))))</f>
        <v/>
      </c>
      <c r="J167" s="10">
        <f>IF($AB167="","",IF(INDEX(기본자료!$H$2:$H$501,$AB167)="","",INDEX(기본자료!$H$2:$H$501,$AB167)))</f>
        <v/>
      </c>
      <c r="K167" s="10">
        <f>IF($AB167="","",IF(INDEX(기본자료!$I$2:$I$501,$AB167)="","",INDEX(기본자료!$I$2:$I$501,$AB167)))</f>
        <v/>
      </c>
      <c r="L167" s="10">
        <f>IF($AB167="","",IF(INDEX(기본자료!$A$2:$A$501,$AB167)="","",INDEX(기본자료!$A$2:$A$501,$AB167)))</f>
        <v/>
      </c>
      <c r="M167" s="14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4" t="n"/>
      <c r="Q167" s="14" t="n"/>
      <c r="R167" s="14" t="n"/>
      <c r="S167" s="15" t="n"/>
      <c r="T167" s="15" t="n"/>
      <c r="U167" s="10">
        <f>IF(OR($B167="",$S167=""),"",IF(TODAY()&lt;$S167,"파견예정",IF(AND($T167&lt;&gt;"",TODAY()&gt;$T167),"파견종료","파견중")))</f>
        <v/>
      </c>
      <c r="V167" s="16">
        <f>IF(OR($S167="",$T167=""),"",$T167-$S167+1)</f>
        <v/>
      </c>
      <c r="W167" s="16">
        <f>IF(AND($U167="파견중",$T167&lt;&gt;""),$T167-TODAY(),"")</f>
        <v/>
      </c>
      <c r="X167" s="16">
        <f>IF(OR($B167="",$S167=""),"",MAX(0,MIN(IF($T167="",EOMONTH(요약!$B$3,0),$T167),EOMONTH(요약!$B$3,0))-MAX($S167,요약!$B$3)+1))</f>
        <v/>
      </c>
      <c r="Y167" s="10">
        <f>IF($B167="","",IF($AE167="","",IF(OR($S167="",$P167="",N($X167)&lt;=0),$AE167,IF($P167="다기관파견",$AE167,IF($AE167="구리병원",IF(AND($Q167&lt;&gt;"",N($X167)&gt;=요약!$E$3),$Q167,$AE167),IF(AND($P167="일반파견(단독)",$Q167&lt;&gt;""),$Q167,$AE167))))))</f>
        <v/>
      </c>
      <c r="Z167" s="17">
        <f>IF($B167="","",IF($AB167="","기본자료에 없는 사번",IF(COUNTIF($B$2:$B$201,$B167)&gt;1,"중복 사번",IF($M167="","입사장소 입력",IF(AND($P167&lt;&gt;"",$S167=""),"파견시작일 입력",IF(AND($S167&lt;&gt;"",$P167=""),"파견종류 입력",IF(AND($P167&lt;&gt;"",$P167&lt;&gt;"다기관파견",$Q167=""),"파견병원 입력",IF(IF($AC167="",0,N(INDEX(인턴근무계획!$T$3:$T$202,$AC167)))&gt;0,"인턴계획 입력오류 확인",IF(AND($AC167&lt;&gt;"",$U167&lt;&gt;"파견중",$N167&lt;&gt;$AE167),"인턴 타지역 근무: 파견 여부 확인","정상")))))))))</f>
        <v/>
      </c>
      <c r="AA167" s="5" t="n"/>
      <c r="AB167" s="10">
        <f>IF($B167="","",IFERROR(MATCH($B167,기본자료!$B$2:$B$501,0),IFERROR(MATCH($B167&amp;"",기본자료!$B$2:$B$501,0),IFERROR(MATCH(VALUE($B167),기본자료!$B$2:$B$501,0),""))))</f>
        <v/>
      </c>
      <c r="AC167" s="10">
        <f>IF($B167="","",IFERROR(MATCH($B167,인턴근무계획!$D$3:$D$202,0),IFERROR(MATCH($B167&amp;"",인턴근무계획!$D$3:$D$202,0),IFERROR(MATCH(VALUE($B167),인턴근무계획!$D$3:$D$202,0),""))))</f>
        <v/>
      </c>
      <c r="AD167" s="10">
        <f>IF(OR($AC167="",인턴현황!$G$3=""),"",INDEX(인턴근무계획!$M$3:$R$202,$AC167,인턴현황!$G$3)&amp;"")</f>
        <v/>
      </c>
      <c r="AE167" s="10">
        <f>IF($B167="","",IF($M167&lt;&gt;"",$M167,IF($H167="","",IF(RIGHT($H167,2)="병원",$H167,$H167&amp;"병원"))))</f>
        <v/>
      </c>
    </row>
    <row r="168">
      <c r="A168" s="10">
        <f>IF(B168="","",ROW()-1)</f>
        <v/>
      </c>
      <c r="B168" s="13" t="n"/>
      <c r="C168" s="10">
        <f>IF($AB168="","",IF(INDEX(기본자료!$C$2:$C$501,$AB168)="","",INDEX(기본자료!$C$2:$C$501,$AB168)))</f>
        <v/>
      </c>
      <c r="D168" s="10">
        <f>IF($AB168="","",IF(INDEX(기본자료!$J$2:$J$501,$AB168)="","",INDEX(기본자료!$J$2:$J$501,$AB168)))</f>
        <v/>
      </c>
      <c r="E168" s="11">
        <f>IF($AB168="","",IF(INDEX(기본자료!$K$2:$K$501,$AB168)="","",IF(NOT(ISNUMBER(INDEX(기본자료!$K$2:$K$501,$AB168))),INDEX(기본자료!$K$2:$K$501,$AB168),IF(INDEX(기본자료!$K$2:$K$501,$AB168)&lt;1000000,INDEX(기본자료!$K$2:$K$501,$AB168),IF(AND(INDEX(기본자료!$K$2:$K$501,$AB168)&gt;=10000101,INT(MOD(INDEX(기본자료!$K$2:$K$501,$AB168),10000)/100)&gt;=1,INT(MOD(INDEX(기본자료!$K$2:$K$501,$AB168),10000)/100)&lt;=12,MOD(INDEX(기본자료!$K$2:$K$501,$AB168),100)&gt;=1,MOD(INDEX(기본자료!$K$2:$K$501,$AB168),100)&lt;=31),DATE(INT(INDEX(기본자료!$K$2:$K$501,$AB168)/10000),INT(MOD(INDEX(기본자료!$K$2:$K$501,$AB168),10000)/100),MOD(INDEX(기본자료!$K$2:$K$501,$AB168),100)),INDEX(기본자료!$K$2:$K$501,$AB168)&amp;"")))))</f>
        <v/>
      </c>
      <c r="F168" s="10">
        <f>IF($AB168="","",IF(INDEX(기본자료!$D$2:$D$501,$AB168)="","",INDEX(기본자료!$D$2:$D$501,$AB168)))</f>
        <v/>
      </c>
      <c r="G168" s="10">
        <f>IF($AB168="","",IF(INDEX(기본자료!$E$2:$E$501,$AB168)="","",INDEX(기본자료!$E$2:$E$501,$AB168)))</f>
        <v/>
      </c>
      <c r="H168" s="10">
        <f>IF($AB168="","",IF(INDEX(기본자료!$F$2:$F$501,$AB168)="","",INDEX(기본자료!$F$2:$F$501,$AB168)))</f>
        <v/>
      </c>
      <c r="I168" s="11">
        <f>IF($AB168="","",IF(INDEX(기본자료!$G$2:$G$501,$AB168)="","",IF(NOT(ISNUMBER(INDEX(기본자료!$G$2:$G$501,$AB168))),INDEX(기본자료!$G$2:$G$501,$AB168),IF(INDEX(기본자료!$G$2:$G$501,$AB168)&lt;1000000,INDEX(기본자료!$G$2:$G$501,$AB168),IF(AND(INDEX(기본자료!$G$2:$G$501,$AB168)&gt;=10000101,INT(MOD(INDEX(기본자료!$G$2:$G$501,$AB168),10000)/100)&gt;=1,INT(MOD(INDEX(기본자료!$G$2:$G$501,$AB168),10000)/100)&lt;=12,MOD(INDEX(기본자료!$G$2:$G$501,$AB168),100)&gt;=1,MOD(INDEX(기본자료!$G$2:$G$501,$AB168),100)&lt;=31),DATE(INT(INDEX(기본자료!$G$2:$G$501,$AB168)/10000),INT(MOD(INDEX(기본자료!$G$2:$G$501,$AB168),10000)/100),MOD(INDEX(기본자료!$G$2:$G$501,$AB168),100)),INDEX(기본자료!$G$2:$G$501,$AB168)&amp;"")))))</f>
        <v/>
      </c>
      <c r="J168" s="10">
        <f>IF($AB168="","",IF(INDEX(기본자료!$H$2:$H$501,$AB168)="","",INDEX(기본자료!$H$2:$H$501,$AB168)))</f>
        <v/>
      </c>
      <c r="K168" s="10">
        <f>IF($AB168="","",IF(INDEX(기본자료!$I$2:$I$501,$AB168)="","",INDEX(기본자료!$I$2:$I$501,$AB168)))</f>
        <v/>
      </c>
      <c r="L168" s="10">
        <f>IF($AB168="","",IF(INDEX(기본자료!$A$2:$A$501,$AB168)="","",INDEX(기본자료!$A$2:$A$501,$AB168)))</f>
        <v/>
      </c>
      <c r="M168" s="14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4" t="n"/>
      <c r="Q168" s="14" t="n"/>
      <c r="R168" s="14" t="n"/>
      <c r="S168" s="15" t="n"/>
      <c r="T168" s="15" t="n"/>
      <c r="U168" s="10">
        <f>IF(OR($B168="",$S168=""),"",IF(TODAY()&lt;$S168,"파견예정",IF(AND($T168&lt;&gt;"",TODAY()&gt;$T168),"파견종료","파견중")))</f>
        <v/>
      </c>
      <c r="V168" s="16">
        <f>IF(OR($S168="",$T168=""),"",$T168-$S168+1)</f>
        <v/>
      </c>
      <c r="W168" s="16">
        <f>IF(AND($U168="파견중",$T168&lt;&gt;""),$T168-TODAY(),"")</f>
        <v/>
      </c>
      <c r="X168" s="16">
        <f>IF(OR($B168="",$S168=""),"",MAX(0,MIN(IF($T168="",EOMONTH(요약!$B$3,0),$T168),EOMONTH(요약!$B$3,0))-MAX($S168,요약!$B$3)+1))</f>
        <v/>
      </c>
      <c r="Y168" s="10">
        <f>IF($B168="","",IF($AE168="","",IF(OR($S168="",$P168="",N($X168)&lt;=0),$AE168,IF($P168="다기관파견",$AE168,IF($AE168="구리병원",IF(AND($Q168&lt;&gt;"",N($X168)&gt;=요약!$E$3),$Q168,$AE168),IF(AND($P168="일반파견(단독)",$Q168&lt;&gt;""),$Q168,$AE168))))))</f>
        <v/>
      </c>
      <c r="Z168" s="17">
        <f>IF($B168="","",IF($AB168="","기본자료에 없는 사번",IF(COUNTIF($B$2:$B$201,$B168)&gt;1,"중복 사번",IF($M168="","입사장소 입력",IF(AND($P168&lt;&gt;"",$S168=""),"파견시작일 입력",IF(AND($S168&lt;&gt;"",$P168=""),"파견종류 입력",IF(AND($P168&lt;&gt;"",$P168&lt;&gt;"다기관파견",$Q168=""),"파견병원 입력",IF(IF($AC168="",0,N(INDEX(인턴근무계획!$T$3:$T$202,$AC168)))&gt;0,"인턴계획 입력오류 확인",IF(AND($AC168&lt;&gt;"",$U168&lt;&gt;"파견중",$N168&lt;&gt;$AE168),"인턴 타지역 근무: 파견 여부 확인","정상")))))))))</f>
        <v/>
      </c>
      <c r="AA168" s="5" t="n"/>
      <c r="AB168" s="10">
        <f>IF($B168="","",IFERROR(MATCH($B168,기본자료!$B$2:$B$501,0),IFERROR(MATCH($B168&amp;"",기본자료!$B$2:$B$501,0),IFERROR(MATCH(VALUE($B168),기본자료!$B$2:$B$501,0),""))))</f>
        <v/>
      </c>
      <c r="AC168" s="10">
        <f>IF($B168="","",IFERROR(MATCH($B168,인턴근무계획!$D$3:$D$202,0),IFERROR(MATCH($B168&amp;"",인턴근무계획!$D$3:$D$202,0),IFERROR(MATCH(VALUE($B168),인턴근무계획!$D$3:$D$202,0),""))))</f>
        <v/>
      </c>
      <c r="AD168" s="10">
        <f>IF(OR($AC168="",인턴현황!$G$3=""),"",INDEX(인턴근무계획!$M$3:$R$202,$AC168,인턴현황!$G$3)&amp;"")</f>
        <v/>
      </c>
      <c r="AE168" s="10">
        <f>IF($B168="","",IF($M168&lt;&gt;"",$M168,IF($H168="","",IF(RIGHT($H168,2)="병원",$H168,$H168&amp;"병원"))))</f>
        <v/>
      </c>
    </row>
    <row r="169">
      <c r="A169" s="10">
        <f>IF(B169="","",ROW()-1)</f>
        <v/>
      </c>
      <c r="B169" s="13" t="n"/>
      <c r="C169" s="10">
        <f>IF($AB169="","",IF(INDEX(기본자료!$C$2:$C$501,$AB169)="","",INDEX(기본자료!$C$2:$C$501,$AB169)))</f>
        <v/>
      </c>
      <c r="D169" s="10">
        <f>IF($AB169="","",IF(INDEX(기본자료!$J$2:$J$501,$AB169)="","",INDEX(기본자료!$J$2:$J$501,$AB169)))</f>
        <v/>
      </c>
      <c r="E169" s="11">
        <f>IF($AB169="","",IF(INDEX(기본자료!$K$2:$K$501,$AB169)="","",IF(NOT(ISNUMBER(INDEX(기본자료!$K$2:$K$501,$AB169))),INDEX(기본자료!$K$2:$K$501,$AB169),IF(INDEX(기본자료!$K$2:$K$501,$AB169)&lt;1000000,INDEX(기본자료!$K$2:$K$501,$AB169),IF(AND(INDEX(기본자료!$K$2:$K$501,$AB169)&gt;=10000101,INT(MOD(INDEX(기본자료!$K$2:$K$501,$AB169),10000)/100)&gt;=1,INT(MOD(INDEX(기본자료!$K$2:$K$501,$AB169),10000)/100)&lt;=12,MOD(INDEX(기본자료!$K$2:$K$501,$AB169),100)&gt;=1,MOD(INDEX(기본자료!$K$2:$K$501,$AB169),100)&lt;=31),DATE(INT(INDEX(기본자료!$K$2:$K$501,$AB169)/10000),INT(MOD(INDEX(기본자료!$K$2:$K$501,$AB169),10000)/100),MOD(INDEX(기본자료!$K$2:$K$501,$AB169),100)),INDEX(기본자료!$K$2:$K$501,$AB169)&amp;"")))))</f>
        <v/>
      </c>
      <c r="F169" s="10">
        <f>IF($AB169="","",IF(INDEX(기본자료!$D$2:$D$501,$AB169)="","",INDEX(기본자료!$D$2:$D$501,$AB169)))</f>
        <v/>
      </c>
      <c r="G169" s="10">
        <f>IF($AB169="","",IF(INDEX(기본자료!$E$2:$E$501,$AB169)="","",INDEX(기본자료!$E$2:$E$501,$AB169)))</f>
        <v/>
      </c>
      <c r="H169" s="10">
        <f>IF($AB169="","",IF(INDEX(기본자료!$F$2:$F$501,$AB169)="","",INDEX(기본자료!$F$2:$F$501,$AB169)))</f>
        <v/>
      </c>
      <c r="I169" s="11">
        <f>IF($AB169="","",IF(INDEX(기본자료!$G$2:$G$501,$AB169)="","",IF(NOT(ISNUMBER(INDEX(기본자료!$G$2:$G$501,$AB169))),INDEX(기본자료!$G$2:$G$501,$AB169),IF(INDEX(기본자료!$G$2:$G$501,$AB169)&lt;1000000,INDEX(기본자료!$G$2:$G$501,$AB169),IF(AND(INDEX(기본자료!$G$2:$G$501,$AB169)&gt;=10000101,INT(MOD(INDEX(기본자료!$G$2:$G$501,$AB169),10000)/100)&gt;=1,INT(MOD(INDEX(기본자료!$G$2:$G$501,$AB169),10000)/100)&lt;=12,MOD(INDEX(기본자료!$G$2:$G$501,$AB169),100)&gt;=1,MOD(INDEX(기본자료!$G$2:$G$501,$AB169),100)&lt;=31),DATE(INT(INDEX(기본자료!$G$2:$G$501,$AB169)/10000),INT(MOD(INDEX(기본자료!$G$2:$G$501,$AB169),10000)/100),MOD(INDEX(기본자료!$G$2:$G$501,$AB169),100)),INDEX(기본자료!$G$2:$G$501,$AB169)&amp;"")))))</f>
        <v/>
      </c>
      <c r="J169" s="10">
        <f>IF($AB169="","",IF(INDEX(기본자료!$H$2:$H$501,$AB169)="","",INDEX(기본자료!$H$2:$H$501,$AB169)))</f>
        <v/>
      </c>
      <c r="K169" s="10">
        <f>IF($AB169="","",IF(INDEX(기본자료!$I$2:$I$501,$AB169)="","",INDEX(기본자료!$I$2:$I$501,$AB169)))</f>
        <v/>
      </c>
      <c r="L169" s="10">
        <f>IF($AB169="","",IF(INDEX(기본자료!$A$2:$A$501,$AB169)="","",INDEX(기본자료!$A$2:$A$501,$AB169)))</f>
        <v/>
      </c>
      <c r="M169" s="14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4" t="n"/>
      <c r="Q169" s="14" t="n"/>
      <c r="R169" s="14" t="n"/>
      <c r="S169" s="15" t="n"/>
      <c r="T169" s="15" t="n"/>
      <c r="U169" s="10">
        <f>IF(OR($B169="",$S169=""),"",IF(TODAY()&lt;$S169,"파견예정",IF(AND($T169&lt;&gt;"",TODAY()&gt;$T169),"파견종료","파견중")))</f>
        <v/>
      </c>
      <c r="V169" s="16">
        <f>IF(OR($S169="",$T169=""),"",$T169-$S169+1)</f>
        <v/>
      </c>
      <c r="W169" s="16">
        <f>IF(AND($U169="파견중",$T169&lt;&gt;""),$T169-TODAY(),"")</f>
        <v/>
      </c>
      <c r="X169" s="16">
        <f>IF(OR($B169="",$S169=""),"",MAX(0,MIN(IF($T169="",EOMONTH(요약!$B$3,0),$T169),EOMONTH(요약!$B$3,0))-MAX($S169,요약!$B$3)+1))</f>
        <v/>
      </c>
      <c r="Y169" s="10">
        <f>IF($B169="","",IF($AE169="","",IF(OR($S169="",$P169="",N($X169)&lt;=0),$AE169,IF($P169="다기관파견",$AE169,IF($AE169="구리병원",IF(AND($Q169&lt;&gt;"",N($X169)&gt;=요약!$E$3),$Q169,$AE169),IF(AND($P169="일반파견(단독)",$Q169&lt;&gt;""),$Q169,$AE169))))))</f>
        <v/>
      </c>
      <c r="Z169" s="17">
        <f>IF($B169="","",IF($AB169="","기본자료에 없는 사번",IF(COUNTIF($B$2:$B$201,$B169)&gt;1,"중복 사번",IF($M169="","입사장소 입력",IF(AND($P169&lt;&gt;"",$S169=""),"파견시작일 입력",IF(AND($S169&lt;&gt;"",$P169=""),"파견종류 입력",IF(AND($P169&lt;&gt;"",$P169&lt;&gt;"다기관파견",$Q169=""),"파견병원 입력",IF(IF($AC169="",0,N(INDEX(인턴근무계획!$T$3:$T$202,$AC169)))&gt;0,"인턴계획 입력오류 확인",IF(AND($AC169&lt;&gt;"",$U169&lt;&gt;"파견중",$N169&lt;&gt;$AE169),"인턴 타지역 근무: 파견 여부 확인","정상")))))))))</f>
        <v/>
      </c>
      <c r="AA169" s="5" t="n"/>
      <c r="AB169" s="10">
        <f>IF($B169="","",IFERROR(MATCH($B169,기본자료!$B$2:$B$501,0),IFERROR(MATCH($B169&amp;"",기본자료!$B$2:$B$501,0),IFERROR(MATCH(VALUE($B169),기본자료!$B$2:$B$501,0),""))))</f>
        <v/>
      </c>
      <c r="AC169" s="10">
        <f>IF($B169="","",IFERROR(MATCH($B169,인턴근무계획!$D$3:$D$202,0),IFERROR(MATCH($B169&amp;"",인턴근무계획!$D$3:$D$202,0),IFERROR(MATCH(VALUE($B169),인턴근무계획!$D$3:$D$202,0),""))))</f>
        <v/>
      </c>
      <c r="AD169" s="10">
        <f>IF(OR($AC169="",인턴현황!$G$3=""),"",INDEX(인턴근무계획!$M$3:$R$202,$AC169,인턴현황!$G$3)&amp;"")</f>
        <v/>
      </c>
      <c r="AE169" s="10">
        <f>IF($B169="","",IF($M169&lt;&gt;"",$M169,IF($H169="","",IF(RIGHT($H169,2)="병원",$H169,$H169&amp;"병원"))))</f>
        <v/>
      </c>
    </row>
    <row r="170">
      <c r="A170" s="10">
        <f>IF(B170="","",ROW()-1)</f>
        <v/>
      </c>
      <c r="B170" s="13" t="n"/>
      <c r="C170" s="10">
        <f>IF($AB170="","",IF(INDEX(기본자료!$C$2:$C$501,$AB170)="","",INDEX(기본자료!$C$2:$C$501,$AB170)))</f>
        <v/>
      </c>
      <c r="D170" s="10">
        <f>IF($AB170="","",IF(INDEX(기본자료!$J$2:$J$501,$AB170)="","",INDEX(기본자료!$J$2:$J$501,$AB170)))</f>
        <v/>
      </c>
      <c r="E170" s="11">
        <f>IF($AB170="","",IF(INDEX(기본자료!$K$2:$K$501,$AB170)="","",IF(NOT(ISNUMBER(INDEX(기본자료!$K$2:$K$501,$AB170))),INDEX(기본자료!$K$2:$K$501,$AB170),IF(INDEX(기본자료!$K$2:$K$501,$AB170)&lt;1000000,INDEX(기본자료!$K$2:$K$501,$AB170),IF(AND(INDEX(기본자료!$K$2:$K$501,$AB170)&gt;=10000101,INT(MOD(INDEX(기본자료!$K$2:$K$501,$AB170),10000)/100)&gt;=1,INT(MOD(INDEX(기본자료!$K$2:$K$501,$AB170),10000)/100)&lt;=12,MOD(INDEX(기본자료!$K$2:$K$501,$AB170),100)&gt;=1,MOD(INDEX(기본자료!$K$2:$K$501,$AB170),100)&lt;=31),DATE(INT(INDEX(기본자료!$K$2:$K$501,$AB170)/10000),INT(MOD(INDEX(기본자료!$K$2:$K$501,$AB170),10000)/100),MOD(INDEX(기본자료!$K$2:$K$501,$AB170),100)),INDEX(기본자료!$K$2:$K$501,$AB170)&amp;"")))))</f>
        <v/>
      </c>
      <c r="F170" s="10">
        <f>IF($AB170="","",IF(INDEX(기본자료!$D$2:$D$501,$AB170)="","",INDEX(기본자료!$D$2:$D$501,$AB170)))</f>
        <v/>
      </c>
      <c r="G170" s="10">
        <f>IF($AB170="","",IF(INDEX(기본자료!$E$2:$E$501,$AB170)="","",INDEX(기본자료!$E$2:$E$501,$AB170)))</f>
        <v/>
      </c>
      <c r="H170" s="10">
        <f>IF($AB170="","",IF(INDEX(기본자료!$F$2:$F$501,$AB170)="","",INDEX(기본자료!$F$2:$F$501,$AB170)))</f>
        <v/>
      </c>
      <c r="I170" s="11">
        <f>IF($AB170="","",IF(INDEX(기본자료!$G$2:$G$501,$AB170)="","",IF(NOT(ISNUMBER(INDEX(기본자료!$G$2:$G$501,$AB170))),INDEX(기본자료!$G$2:$G$501,$AB170),IF(INDEX(기본자료!$G$2:$G$501,$AB170)&lt;1000000,INDEX(기본자료!$G$2:$G$501,$AB170),IF(AND(INDEX(기본자료!$G$2:$G$501,$AB170)&gt;=10000101,INT(MOD(INDEX(기본자료!$G$2:$G$501,$AB170),10000)/100)&gt;=1,INT(MOD(INDEX(기본자료!$G$2:$G$501,$AB170),10000)/100)&lt;=12,MOD(INDEX(기본자료!$G$2:$G$501,$AB170),100)&gt;=1,MOD(INDEX(기본자료!$G$2:$G$501,$AB170),100)&lt;=31),DATE(INT(INDEX(기본자료!$G$2:$G$501,$AB170)/10000),INT(MOD(INDEX(기본자료!$G$2:$G$501,$AB170),10000)/100),MOD(INDEX(기본자료!$G$2:$G$501,$AB170),100)),INDEX(기본자료!$G$2:$G$501,$AB170)&amp;"")))))</f>
        <v/>
      </c>
      <c r="J170" s="10">
        <f>IF($AB170="","",IF(INDEX(기본자료!$H$2:$H$501,$AB170)="","",INDEX(기본자료!$H$2:$H$501,$AB170)))</f>
        <v/>
      </c>
      <c r="K170" s="10">
        <f>IF($AB170="","",IF(INDEX(기본자료!$I$2:$I$501,$AB170)="","",INDEX(기본자료!$I$2:$I$501,$AB170)))</f>
        <v/>
      </c>
      <c r="L170" s="10">
        <f>IF($AB170="","",IF(INDEX(기본자료!$A$2:$A$501,$AB170)="","",INDEX(기본자료!$A$2:$A$501,$AB170)))</f>
        <v/>
      </c>
      <c r="M170" s="14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4" t="n"/>
      <c r="Q170" s="14" t="n"/>
      <c r="R170" s="14" t="n"/>
      <c r="S170" s="15" t="n"/>
      <c r="T170" s="15" t="n"/>
      <c r="U170" s="10">
        <f>IF(OR($B170="",$S170=""),"",IF(TODAY()&lt;$S170,"파견예정",IF(AND($T170&lt;&gt;"",TODAY()&gt;$T170),"파견종료","파견중")))</f>
        <v/>
      </c>
      <c r="V170" s="16">
        <f>IF(OR($S170="",$T170=""),"",$T170-$S170+1)</f>
        <v/>
      </c>
      <c r="W170" s="16">
        <f>IF(AND($U170="파견중",$T170&lt;&gt;""),$T170-TODAY(),"")</f>
        <v/>
      </c>
      <c r="X170" s="16">
        <f>IF(OR($B170="",$S170=""),"",MAX(0,MIN(IF($T170="",EOMONTH(요약!$B$3,0),$T170),EOMONTH(요약!$B$3,0))-MAX($S170,요약!$B$3)+1))</f>
        <v/>
      </c>
      <c r="Y170" s="10">
        <f>IF($B170="","",IF($AE170="","",IF(OR($S170="",$P170="",N($X170)&lt;=0),$AE170,IF($P170="다기관파견",$AE170,IF($AE170="구리병원",IF(AND($Q170&lt;&gt;"",N($X170)&gt;=요약!$E$3),$Q170,$AE170),IF(AND($P170="일반파견(단독)",$Q170&lt;&gt;""),$Q170,$AE170))))))</f>
        <v/>
      </c>
      <c r="Z170" s="17">
        <f>IF($B170="","",IF($AB170="","기본자료에 없는 사번",IF(COUNTIF($B$2:$B$201,$B170)&gt;1,"중복 사번",IF($M170="","입사장소 입력",IF(AND($P170&lt;&gt;"",$S170=""),"파견시작일 입력",IF(AND($S170&lt;&gt;"",$P170=""),"파견종류 입력",IF(AND($P170&lt;&gt;"",$P170&lt;&gt;"다기관파견",$Q170=""),"파견병원 입력",IF(IF($AC170="",0,N(INDEX(인턴근무계획!$T$3:$T$202,$AC170)))&gt;0,"인턴계획 입력오류 확인",IF(AND($AC170&lt;&gt;"",$U170&lt;&gt;"파견중",$N170&lt;&gt;$AE170),"인턴 타지역 근무: 파견 여부 확인","정상")))))))))</f>
        <v/>
      </c>
      <c r="AA170" s="5" t="n"/>
      <c r="AB170" s="10">
        <f>IF($B170="","",IFERROR(MATCH($B170,기본자료!$B$2:$B$501,0),IFERROR(MATCH($B170&amp;"",기본자료!$B$2:$B$501,0),IFERROR(MATCH(VALUE($B170),기본자료!$B$2:$B$501,0),""))))</f>
        <v/>
      </c>
      <c r="AC170" s="10">
        <f>IF($B170="","",IFERROR(MATCH($B170,인턴근무계획!$D$3:$D$202,0),IFERROR(MATCH($B170&amp;"",인턴근무계획!$D$3:$D$202,0),IFERROR(MATCH(VALUE($B170),인턴근무계획!$D$3:$D$202,0),""))))</f>
        <v/>
      </c>
      <c r="AD170" s="10">
        <f>IF(OR($AC170="",인턴현황!$G$3=""),"",INDEX(인턴근무계획!$M$3:$R$202,$AC170,인턴현황!$G$3)&amp;"")</f>
        <v/>
      </c>
      <c r="AE170" s="10">
        <f>IF($B170="","",IF($M170&lt;&gt;"",$M170,IF($H170="","",IF(RIGHT($H170,2)="병원",$H170,$H170&amp;"병원"))))</f>
        <v/>
      </c>
    </row>
    <row r="171">
      <c r="A171" s="10">
        <f>IF(B171="","",ROW()-1)</f>
        <v/>
      </c>
      <c r="B171" s="13" t="n"/>
      <c r="C171" s="10">
        <f>IF($AB171="","",IF(INDEX(기본자료!$C$2:$C$501,$AB171)="","",INDEX(기본자료!$C$2:$C$501,$AB171)))</f>
        <v/>
      </c>
      <c r="D171" s="10">
        <f>IF($AB171="","",IF(INDEX(기본자료!$J$2:$J$501,$AB171)="","",INDEX(기본자료!$J$2:$J$501,$AB171)))</f>
        <v/>
      </c>
      <c r="E171" s="11">
        <f>IF($AB171="","",IF(INDEX(기본자료!$K$2:$K$501,$AB171)="","",IF(NOT(ISNUMBER(INDEX(기본자료!$K$2:$K$501,$AB171))),INDEX(기본자료!$K$2:$K$501,$AB171),IF(INDEX(기본자료!$K$2:$K$501,$AB171)&lt;1000000,INDEX(기본자료!$K$2:$K$501,$AB171),IF(AND(INDEX(기본자료!$K$2:$K$501,$AB171)&gt;=10000101,INT(MOD(INDEX(기본자료!$K$2:$K$501,$AB171),10000)/100)&gt;=1,INT(MOD(INDEX(기본자료!$K$2:$K$501,$AB171),10000)/100)&lt;=12,MOD(INDEX(기본자료!$K$2:$K$501,$AB171),100)&gt;=1,MOD(INDEX(기본자료!$K$2:$K$501,$AB171),100)&lt;=31),DATE(INT(INDEX(기본자료!$K$2:$K$501,$AB171)/10000),INT(MOD(INDEX(기본자료!$K$2:$K$501,$AB171),10000)/100),MOD(INDEX(기본자료!$K$2:$K$501,$AB171),100)),INDEX(기본자료!$K$2:$K$501,$AB171)&amp;"")))))</f>
        <v/>
      </c>
      <c r="F171" s="10">
        <f>IF($AB171="","",IF(INDEX(기본자료!$D$2:$D$501,$AB171)="","",INDEX(기본자료!$D$2:$D$501,$AB171)))</f>
        <v/>
      </c>
      <c r="G171" s="10">
        <f>IF($AB171="","",IF(INDEX(기본자료!$E$2:$E$501,$AB171)="","",INDEX(기본자료!$E$2:$E$501,$AB171)))</f>
        <v/>
      </c>
      <c r="H171" s="10">
        <f>IF($AB171="","",IF(INDEX(기본자료!$F$2:$F$501,$AB171)="","",INDEX(기본자료!$F$2:$F$501,$AB171)))</f>
        <v/>
      </c>
      <c r="I171" s="11">
        <f>IF($AB171="","",IF(INDEX(기본자료!$G$2:$G$501,$AB171)="","",IF(NOT(ISNUMBER(INDEX(기본자료!$G$2:$G$501,$AB171))),INDEX(기본자료!$G$2:$G$501,$AB171),IF(INDEX(기본자료!$G$2:$G$501,$AB171)&lt;1000000,INDEX(기본자료!$G$2:$G$501,$AB171),IF(AND(INDEX(기본자료!$G$2:$G$501,$AB171)&gt;=10000101,INT(MOD(INDEX(기본자료!$G$2:$G$501,$AB171),10000)/100)&gt;=1,INT(MOD(INDEX(기본자료!$G$2:$G$501,$AB171),10000)/100)&lt;=12,MOD(INDEX(기본자료!$G$2:$G$501,$AB171),100)&gt;=1,MOD(INDEX(기본자료!$G$2:$G$501,$AB171),100)&lt;=31),DATE(INT(INDEX(기본자료!$G$2:$G$501,$AB171)/10000),INT(MOD(INDEX(기본자료!$G$2:$G$501,$AB171),10000)/100),MOD(INDEX(기본자료!$G$2:$G$501,$AB171),100)),INDEX(기본자료!$G$2:$G$501,$AB171)&amp;"")))))</f>
        <v/>
      </c>
      <c r="J171" s="10">
        <f>IF($AB171="","",IF(INDEX(기본자료!$H$2:$H$501,$AB171)="","",INDEX(기본자료!$H$2:$H$501,$AB171)))</f>
        <v/>
      </c>
      <c r="K171" s="10">
        <f>IF($AB171="","",IF(INDEX(기본자료!$I$2:$I$501,$AB171)="","",INDEX(기본자료!$I$2:$I$501,$AB171)))</f>
        <v/>
      </c>
      <c r="L171" s="10">
        <f>IF($AB171="","",IF(INDEX(기본자료!$A$2:$A$501,$AB171)="","",INDEX(기본자료!$A$2:$A$501,$AB171)))</f>
        <v/>
      </c>
      <c r="M171" s="14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4" t="n"/>
      <c r="Q171" s="14" t="n"/>
      <c r="R171" s="14" t="n"/>
      <c r="S171" s="15" t="n"/>
      <c r="T171" s="15" t="n"/>
      <c r="U171" s="10">
        <f>IF(OR($B171="",$S171=""),"",IF(TODAY()&lt;$S171,"파견예정",IF(AND($T171&lt;&gt;"",TODAY()&gt;$T171),"파견종료","파견중")))</f>
        <v/>
      </c>
      <c r="V171" s="16">
        <f>IF(OR($S171="",$T171=""),"",$T171-$S171+1)</f>
        <v/>
      </c>
      <c r="W171" s="16">
        <f>IF(AND($U171="파견중",$T171&lt;&gt;""),$T171-TODAY(),"")</f>
        <v/>
      </c>
      <c r="X171" s="16">
        <f>IF(OR($B171="",$S171=""),"",MAX(0,MIN(IF($T171="",EOMONTH(요약!$B$3,0),$T171),EOMONTH(요약!$B$3,0))-MAX($S171,요약!$B$3)+1))</f>
        <v/>
      </c>
      <c r="Y171" s="10">
        <f>IF($B171="","",IF($AE171="","",IF(OR($S171="",$P171="",N($X171)&lt;=0),$AE171,IF($P171="다기관파견",$AE171,IF($AE171="구리병원",IF(AND($Q171&lt;&gt;"",N($X171)&gt;=요약!$E$3),$Q171,$AE171),IF(AND($P171="일반파견(단독)",$Q171&lt;&gt;""),$Q171,$AE171))))))</f>
        <v/>
      </c>
      <c r="Z171" s="17">
        <f>IF($B171="","",IF($AB171="","기본자료에 없는 사번",IF(COUNTIF($B$2:$B$201,$B171)&gt;1,"중복 사번",IF($M171="","입사장소 입력",IF(AND($P171&lt;&gt;"",$S171=""),"파견시작일 입력",IF(AND($S171&lt;&gt;"",$P171=""),"파견종류 입력",IF(AND($P171&lt;&gt;"",$P171&lt;&gt;"다기관파견",$Q171=""),"파견병원 입력",IF(IF($AC171="",0,N(INDEX(인턴근무계획!$T$3:$T$202,$AC171)))&gt;0,"인턴계획 입력오류 확인",IF(AND($AC171&lt;&gt;"",$U171&lt;&gt;"파견중",$N171&lt;&gt;$AE171),"인턴 타지역 근무: 파견 여부 확인","정상")))))))))</f>
        <v/>
      </c>
      <c r="AA171" s="5" t="n"/>
      <c r="AB171" s="10">
        <f>IF($B171="","",IFERROR(MATCH($B171,기본자료!$B$2:$B$501,0),IFERROR(MATCH($B171&amp;"",기본자료!$B$2:$B$501,0),IFERROR(MATCH(VALUE($B171),기본자료!$B$2:$B$501,0),""))))</f>
        <v/>
      </c>
      <c r="AC171" s="10">
        <f>IF($B171="","",IFERROR(MATCH($B171,인턴근무계획!$D$3:$D$202,0),IFERROR(MATCH($B171&amp;"",인턴근무계획!$D$3:$D$202,0),IFERROR(MATCH(VALUE($B171),인턴근무계획!$D$3:$D$202,0),""))))</f>
        <v/>
      </c>
      <c r="AD171" s="10">
        <f>IF(OR($AC171="",인턴현황!$G$3=""),"",INDEX(인턴근무계획!$M$3:$R$202,$AC171,인턴현황!$G$3)&amp;"")</f>
        <v/>
      </c>
      <c r="AE171" s="10">
        <f>IF($B171="","",IF($M171&lt;&gt;"",$M171,IF($H171="","",IF(RIGHT($H171,2)="병원",$H171,$H171&amp;"병원"))))</f>
        <v/>
      </c>
    </row>
    <row r="172">
      <c r="A172" s="10">
        <f>IF(B172="","",ROW()-1)</f>
        <v/>
      </c>
      <c r="B172" s="13" t="n"/>
      <c r="C172" s="10">
        <f>IF($AB172="","",IF(INDEX(기본자료!$C$2:$C$501,$AB172)="","",INDEX(기본자료!$C$2:$C$501,$AB172)))</f>
        <v/>
      </c>
      <c r="D172" s="10">
        <f>IF($AB172="","",IF(INDEX(기본자료!$J$2:$J$501,$AB172)="","",INDEX(기본자료!$J$2:$J$501,$AB172)))</f>
        <v/>
      </c>
      <c r="E172" s="11">
        <f>IF($AB172="","",IF(INDEX(기본자료!$K$2:$K$501,$AB172)="","",IF(NOT(ISNUMBER(INDEX(기본자료!$K$2:$K$501,$AB172))),INDEX(기본자료!$K$2:$K$501,$AB172),IF(INDEX(기본자료!$K$2:$K$501,$AB172)&lt;1000000,INDEX(기본자료!$K$2:$K$501,$AB172),IF(AND(INDEX(기본자료!$K$2:$K$501,$AB172)&gt;=10000101,INT(MOD(INDEX(기본자료!$K$2:$K$501,$AB172),10000)/100)&gt;=1,INT(MOD(INDEX(기본자료!$K$2:$K$501,$AB172),10000)/100)&lt;=12,MOD(INDEX(기본자료!$K$2:$K$501,$AB172),100)&gt;=1,MOD(INDEX(기본자료!$K$2:$K$501,$AB172),100)&lt;=31),DATE(INT(INDEX(기본자료!$K$2:$K$501,$AB172)/10000),INT(MOD(INDEX(기본자료!$K$2:$K$501,$AB172),10000)/100),MOD(INDEX(기본자료!$K$2:$K$501,$AB172),100)),INDEX(기본자료!$K$2:$K$501,$AB172)&amp;"")))))</f>
        <v/>
      </c>
      <c r="F172" s="10">
        <f>IF($AB172="","",IF(INDEX(기본자료!$D$2:$D$501,$AB172)="","",INDEX(기본자료!$D$2:$D$501,$AB172)))</f>
        <v/>
      </c>
      <c r="G172" s="10">
        <f>IF($AB172="","",IF(INDEX(기본자료!$E$2:$E$501,$AB172)="","",INDEX(기본자료!$E$2:$E$501,$AB172)))</f>
        <v/>
      </c>
      <c r="H172" s="10">
        <f>IF($AB172="","",IF(INDEX(기본자료!$F$2:$F$501,$AB172)="","",INDEX(기본자료!$F$2:$F$501,$AB172)))</f>
        <v/>
      </c>
      <c r="I172" s="11">
        <f>IF($AB172="","",IF(INDEX(기본자료!$G$2:$G$501,$AB172)="","",IF(NOT(ISNUMBER(INDEX(기본자료!$G$2:$G$501,$AB172))),INDEX(기본자료!$G$2:$G$501,$AB172),IF(INDEX(기본자료!$G$2:$G$501,$AB172)&lt;1000000,INDEX(기본자료!$G$2:$G$501,$AB172),IF(AND(INDEX(기본자료!$G$2:$G$501,$AB172)&gt;=10000101,INT(MOD(INDEX(기본자료!$G$2:$G$501,$AB172),10000)/100)&gt;=1,INT(MOD(INDEX(기본자료!$G$2:$G$501,$AB172),10000)/100)&lt;=12,MOD(INDEX(기본자료!$G$2:$G$501,$AB172),100)&gt;=1,MOD(INDEX(기본자료!$G$2:$G$501,$AB172),100)&lt;=31),DATE(INT(INDEX(기본자료!$G$2:$G$501,$AB172)/10000),INT(MOD(INDEX(기본자료!$G$2:$G$501,$AB172),10000)/100),MOD(INDEX(기본자료!$G$2:$G$501,$AB172),100)),INDEX(기본자료!$G$2:$G$501,$AB172)&amp;"")))))</f>
        <v/>
      </c>
      <c r="J172" s="10">
        <f>IF($AB172="","",IF(INDEX(기본자료!$H$2:$H$501,$AB172)="","",INDEX(기본자료!$H$2:$H$501,$AB172)))</f>
        <v/>
      </c>
      <c r="K172" s="10">
        <f>IF($AB172="","",IF(INDEX(기본자료!$I$2:$I$501,$AB172)="","",INDEX(기본자료!$I$2:$I$501,$AB172)))</f>
        <v/>
      </c>
      <c r="L172" s="10">
        <f>IF($AB172="","",IF(INDEX(기본자료!$A$2:$A$501,$AB172)="","",INDEX(기본자료!$A$2:$A$501,$AB172)))</f>
        <v/>
      </c>
      <c r="M172" s="14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4" t="n"/>
      <c r="Q172" s="14" t="n"/>
      <c r="R172" s="14" t="n"/>
      <c r="S172" s="15" t="n"/>
      <c r="T172" s="15" t="n"/>
      <c r="U172" s="10">
        <f>IF(OR($B172="",$S172=""),"",IF(TODAY()&lt;$S172,"파견예정",IF(AND($T172&lt;&gt;"",TODAY()&gt;$T172),"파견종료","파견중")))</f>
        <v/>
      </c>
      <c r="V172" s="16">
        <f>IF(OR($S172="",$T172=""),"",$T172-$S172+1)</f>
        <v/>
      </c>
      <c r="W172" s="16">
        <f>IF(AND($U172="파견중",$T172&lt;&gt;""),$T172-TODAY(),"")</f>
        <v/>
      </c>
      <c r="X172" s="16">
        <f>IF(OR($B172="",$S172=""),"",MAX(0,MIN(IF($T172="",EOMONTH(요약!$B$3,0),$T172),EOMONTH(요약!$B$3,0))-MAX($S172,요약!$B$3)+1))</f>
        <v/>
      </c>
      <c r="Y172" s="10">
        <f>IF($B172="","",IF($AE172="","",IF(OR($S172="",$P172="",N($X172)&lt;=0),$AE172,IF($P172="다기관파견",$AE172,IF($AE172="구리병원",IF(AND($Q172&lt;&gt;"",N($X172)&gt;=요약!$E$3),$Q172,$AE172),IF(AND($P172="일반파견(단독)",$Q172&lt;&gt;""),$Q172,$AE172))))))</f>
        <v/>
      </c>
      <c r="Z172" s="17">
        <f>IF($B172="","",IF($AB172="","기본자료에 없는 사번",IF(COUNTIF($B$2:$B$201,$B172)&gt;1,"중복 사번",IF($M172="","입사장소 입력",IF(AND($P172&lt;&gt;"",$S172=""),"파견시작일 입력",IF(AND($S172&lt;&gt;"",$P172=""),"파견종류 입력",IF(AND($P172&lt;&gt;"",$P172&lt;&gt;"다기관파견",$Q172=""),"파견병원 입력",IF(IF($AC172="",0,N(INDEX(인턴근무계획!$T$3:$T$202,$AC172)))&gt;0,"인턴계획 입력오류 확인",IF(AND($AC172&lt;&gt;"",$U172&lt;&gt;"파견중",$N172&lt;&gt;$AE172),"인턴 타지역 근무: 파견 여부 확인","정상")))))))))</f>
        <v/>
      </c>
      <c r="AA172" s="5" t="n"/>
      <c r="AB172" s="10">
        <f>IF($B172="","",IFERROR(MATCH($B172,기본자료!$B$2:$B$501,0),IFERROR(MATCH($B172&amp;"",기본자료!$B$2:$B$501,0),IFERROR(MATCH(VALUE($B172),기본자료!$B$2:$B$501,0),""))))</f>
        <v/>
      </c>
      <c r="AC172" s="10">
        <f>IF($B172="","",IFERROR(MATCH($B172,인턴근무계획!$D$3:$D$202,0),IFERROR(MATCH($B172&amp;"",인턴근무계획!$D$3:$D$202,0),IFERROR(MATCH(VALUE($B172),인턴근무계획!$D$3:$D$202,0),""))))</f>
        <v/>
      </c>
      <c r="AD172" s="10">
        <f>IF(OR($AC172="",인턴현황!$G$3=""),"",INDEX(인턴근무계획!$M$3:$R$202,$AC172,인턴현황!$G$3)&amp;"")</f>
        <v/>
      </c>
      <c r="AE172" s="10">
        <f>IF($B172="","",IF($M172&lt;&gt;"",$M172,IF($H172="","",IF(RIGHT($H172,2)="병원",$H172,$H172&amp;"병원"))))</f>
        <v/>
      </c>
    </row>
    <row r="173">
      <c r="A173" s="10">
        <f>IF(B173="","",ROW()-1)</f>
        <v/>
      </c>
      <c r="B173" s="13" t="n"/>
      <c r="C173" s="10">
        <f>IF($AB173="","",IF(INDEX(기본자료!$C$2:$C$501,$AB173)="","",INDEX(기본자료!$C$2:$C$501,$AB173)))</f>
        <v/>
      </c>
      <c r="D173" s="10">
        <f>IF($AB173="","",IF(INDEX(기본자료!$J$2:$J$501,$AB173)="","",INDEX(기본자료!$J$2:$J$501,$AB173)))</f>
        <v/>
      </c>
      <c r="E173" s="11">
        <f>IF($AB173="","",IF(INDEX(기본자료!$K$2:$K$501,$AB173)="","",IF(NOT(ISNUMBER(INDEX(기본자료!$K$2:$K$501,$AB173))),INDEX(기본자료!$K$2:$K$501,$AB173),IF(INDEX(기본자료!$K$2:$K$501,$AB173)&lt;1000000,INDEX(기본자료!$K$2:$K$501,$AB173),IF(AND(INDEX(기본자료!$K$2:$K$501,$AB173)&gt;=10000101,INT(MOD(INDEX(기본자료!$K$2:$K$501,$AB173),10000)/100)&gt;=1,INT(MOD(INDEX(기본자료!$K$2:$K$501,$AB173),10000)/100)&lt;=12,MOD(INDEX(기본자료!$K$2:$K$501,$AB173),100)&gt;=1,MOD(INDEX(기본자료!$K$2:$K$501,$AB173),100)&lt;=31),DATE(INT(INDEX(기본자료!$K$2:$K$501,$AB173)/10000),INT(MOD(INDEX(기본자료!$K$2:$K$501,$AB173),10000)/100),MOD(INDEX(기본자료!$K$2:$K$501,$AB173),100)),INDEX(기본자료!$K$2:$K$501,$AB173)&amp;"")))))</f>
        <v/>
      </c>
      <c r="F173" s="10">
        <f>IF($AB173="","",IF(INDEX(기본자료!$D$2:$D$501,$AB173)="","",INDEX(기본자료!$D$2:$D$501,$AB173)))</f>
        <v/>
      </c>
      <c r="G173" s="10">
        <f>IF($AB173="","",IF(INDEX(기본자료!$E$2:$E$501,$AB173)="","",INDEX(기본자료!$E$2:$E$501,$AB173)))</f>
        <v/>
      </c>
      <c r="H173" s="10">
        <f>IF($AB173="","",IF(INDEX(기본자료!$F$2:$F$501,$AB173)="","",INDEX(기본자료!$F$2:$F$501,$AB173)))</f>
        <v/>
      </c>
      <c r="I173" s="11">
        <f>IF($AB173="","",IF(INDEX(기본자료!$G$2:$G$501,$AB173)="","",IF(NOT(ISNUMBER(INDEX(기본자료!$G$2:$G$501,$AB173))),INDEX(기본자료!$G$2:$G$501,$AB173),IF(INDEX(기본자료!$G$2:$G$501,$AB173)&lt;1000000,INDEX(기본자료!$G$2:$G$501,$AB173),IF(AND(INDEX(기본자료!$G$2:$G$501,$AB173)&gt;=10000101,INT(MOD(INDEX(기본자료!$G$2:$G$501,$AB173),10000)/100)&gt;=1,INT(MOD(INDEX(기본자료!$G$2:$G$501,$AB173),10000)/100)&lt;=12,MOD(INDEX(기본자료!$G$2:$G$501,$AB173),100)&gt;=1,MOD(INDEX(기본자료!$G$2:$G$501,$AB173),100)&lt;=31),DATE(INT(INDEX(기본자료!$G$2:$G$501,$AB173)/10000),INT(MOD(INDEX(기본자료!$G$2:$G$501,$AB173),10000)/100),MOD(INDEX(기본자료!$G$2:$G$501,$AB173),100)),INDEX(기본자료!$G$2:$G$501,$AB173)&amp;"")))))</f>
        <v/>
      </c>
      <c r="J173" s="10">
        <f>IF($AB173="","",IF(INDEX(기본자료!$H$2:$H$501,$AB173)="","",INDEX(기본자료!$H$2:$H$501,$AB173)))</f>
        <v/>
      </c>
      <c r="K173" s="10">
        <f>IF($AB173="","",IF(INDEX(기본자료!$I$2:$I$501,$AB173)="","",INDEX(기본자료!$I$2:$I$501,$AB173)))</f>
        <v/>
      </c>
      <c r="L173" s="10">
        <f>IF($AB173="","",IF(INDEX(기본자료!$A$2:$A$501,$AB173)="","",INDEX(기본자료!$A$2:$A$501,$AB173)))</f>
        <v/>
      </c>
      <c r="M173" s="14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4" t="n"/>
      <c r="Q173" s="14" t="n"/>
      <c r="R173" s="14" t="n"/>
      <c r="S173" s="15" t="n"/>
      <c r="T173" s="15" t="n"/>
      <c r="U173" s="10">
        <f>IF(OR($B173="",$S173=""),"",IF(TODAY()&lt;$S173,"파견예정",IF(AND($T173&lt;&gt;"",TODAY()&gt;$T173),"파견종료","파견중")))</f>
        <v/>
      </c>
      <c r="V173" s="16">
        <f>IF(OR($S173="",$T173=""),"",$T173-$S173+1)</f>
        <v/>
      </c>
      <c r="W173" s="16">
        <f>IF(AND($U173="파견중",$T173&lt;&gt;""),$T173-TODAY(),"")</f>
        <v/>
      </c>
      <c r="X173" s="16">
        <f>IF(OR($B173="",$S173=""),"",MAX(0,MIN(IF($T173="",EOMONTH(요약!$B$3,0),$T173),EOMONTH(요약!$B$3,0))-MAX($S173,요약!$B$3)+1))</f>
        <v/>
      </c>
      <c r="Y173" s="10">
        <f>IF($B173="","",IF($AE173="","",IF(OR($S173="",$P173="",N($X173)&lt;=0),$AE173,IF($P173="다기관파견",$AE173,IF($AE173="구리병원",IF(AND($Q173&lt;&gt;"",N($X173)&gt;=요약!$E$3),$Q173,$AE173),IF(AND($P173="일반파견(단독)",$Q173&lt;&gt;""),$Q173,$AE173))))))</f>
        <v/>
      </c>
      <c r="Z173" s="17">
        <f>IF($B173="","",IF($AB173="","기본자료에 없는 사번",IF(COUNTIF($B$2:$B$201,$B173)&gt;1,"중복 사번",IF($M173="","입사장소 입력",IF(AND($P173&lt;&gt;"",$S173=""),"파견시작일 입력",IF(AND($S173&lt;&gt;"",$P173=""),"파견종류 입력",IF(AND($P173&lt;&gt;"",$P173&lt;&gt;"다기관파견",$Q173=""),"파견병원 입력",IF(IF($AC173="",0,N(INDEX(인턴근무계획!$T$3:$T$202,$AC173)))&gt;0,"인턴계획 입력오류 확인",IF(AND($AC173&lt;&gt;"",$U173&lt;&gt;"파견중",$N173&lt;&gt;$AE173),"인턴 타지역 근무: 파견 여부 확인","정상")))))))))</f>
        <v/>
      </c>
      <c r="AA173" s="5" t="n"/>
      <c r="AB173" s="10">
        <f>IF($B173="","",IFERROR(MATCH($B173,기본자료!$B$2:$B$501,0),IFERROR(MATCH($B173&amp;"",기본자료!$B$2:$B$501,0),IFERROR(MATCH(VALUE($B173),기본자료!$B$2:$B$501,0),""))))</f>
        <v/>
      </c>
      <c r="AC173" s="10">
        <f>IF($B173="","",IFERROR(MATCH($B173,인턴근무계획!$D$3:$D$202,0),IFERROR(MATCH($B173&amp;"",인턴근무계획!$D$3:$D$202,0),IFERROR(MATCH(VALUE($B173),인턴근무계획!$D$3:$D$202,0),""))))</f>
        <v/>
      </c>
      <c r="AD173" s="10">
        <f>IF(OR($AC173="",인턴현황!$G$3=""),"",INDEX(인턴근무계획!$M$3:$R$202,$AC173,인턴현황!$G$3)&amp;"")</f>
        <v/>
      </c>
      <c r="AE173" s="10">
        <f>IF($B173="","",IF($M173&lt;&gt;"",$M173,IF($H173="","",IF(RIGHT($H173,2)="병원",$H173,$H173&amp;"병원"))))</f>
        <v/>
      </c>
    </row>
    <row r="174">
      <c r="A174" s="10">
        <f>IF(B174="","",ROW()-1)</f>
        <v/>
      </c>
      <c r="B174" s="13" t="n"/>
      <c r="C174" s="10">
        <f>IF($AB174="","",IF(INDEX(기본자료!$C$2:$C$501,$AB174)="","",INDEX(기본자료!$C$2:$C$501,$AB174)))</f>
        <v/>
      </c>
      <c r="D174" s="10">
        <f>IF($AB174="","",IF(INDEX(기본자료!$J$2:$J$501,$AB174)="","",INDEX(기본자료!$J$2:$J$501,$AB174)))</f>
        <v/>
      </c>
      <c r="E174" s="11">
        <f>IF($AB174="","",IF(INDEX(기본자료!$K$2:$K$501,$AB174)="","",IF(NOT(ISNUMBER(INDEX(기본자료!$K$2:$K$501,$AB174))),INDEX(기본자료!$K$2:$K$501,$AB174),IF(INDEX(기본자료!$K$2:$K$501,$AB174)&lt;1000000,INDEX(기본자료!$K$2:$K$501,$AB174),IF(AND(INDEX(기본자료!$K$2:$K$501,$AB174)&gt;=10000101,INT(MOD(INDEX(기본자료!$K$2:$K$501,$AB174),10000)/100)&gt;=1,INT(MOD(INDEX(기본자료!$K$2:$K$501,$AB174),10000)/100)&lt;=12,MOD(INDEX(기본자료!$K$2:$K$501,$AB174),100)&gt;=1,MOD(INDEX(기본자료!$K$2:$K$501,$AB174),100)&lt;=31),DATE(INT(INDEX(기본자료!$K$2:$K$501,$AB174)/10000),INT(MOD(INDEX(기본자료!$K$2:$K$501,$AB174),10000)/100),MOD(INDEX(기본자료!$K$2:$K$501,$AB174),100)),INDEX(기본자료!$K$2:$K$501,$AB174)&amp;"")))))</f>
        <v/>
      </c>
      <c r="F174" s="10">
        <f>IF($AB174="","",IF(INDEX(기본자료!$D$2:$D$501,$AB174)="","",INDEX(기본자료!$D$2:$D$501,$AB174)))</f>
        <v/>
      </c>
      <c r="G174" s="10">
        <f>IF($AB174="","",IF(INDEX(기본자료!$E$2:$E$501,$AB174)="","",INDEX(기본자료!$E$2:$E$501,$AB174)))</f>
        <v/>
      </c>
      <c r="H174" s="10">
        <f>IF($AB174="","",IF(INDEX(기본자료!$F$2:$F$501,$AB174)="","",INDEX(기본자료!$F$2:$F$501,$AB174)))</f>
        <v/>
      </c>
      <c r="I174" s="11">
        <f>IF($AB174="","",IF(INDEX(기본자료!$G$2:$G$501,$AB174)="","",IF(NOT(ISNUMBER(INDEX(기본자료!$G$2:$G$501,$AB174))),INDEX(기본자료!$G$2:$G$501,$AB174),IF(INDEX(기본자료!$G$2:$G$501,$AB174)&lt;1000000,INDEX(기본자료!$G$2:$G$501,$AB174),IF(AND(INDEX(기본자료!$G$2:$G$501,$AB174)&gt;=10000101,INT(MOD(INDEX(기본자료!$G$2:$G$501,$AB174),10000)/100)&gt;=1,INT(MOD(INDEX(기본자료!$G$2:$G$501,$AB174),10000)/100)&lt;=12,MOD(INDEX(기본자료!$G$2:$G$501,$AB174),100)&gt;=1,MOD(INDEX(기본자료!$G$2:$G$501,$AB174),100)&lt;=31),DATE(INT(INDEX(기본자료!$G$2:$G$501,$AB174)/10000),INT(MOD(INDEX(기본자료!$G$2:$G$501,$AB174),10000)/100),MOD(INDEX(기본자료!$G$2:$G$501,$AB174),100)),INDEX(기본자료!$G$2:$G$501,$AB174)&amp;"")))))</f>
        <v/>
      </c>
      <c r="J174" s="10">
        <f>IF($AB174="","",IF(INDEX(기본자료!$H$2:$H$501,$AB174)="","",INDEX(기본자료!$H$2:$H$501,$AB174)))</f>
        <v/>
      </c>
      <c r="K174" s="10">
        <f>IF($AB174="","",IF(INDEX(기본자료!$I$2:$I$501,$AB174)="","",INDEX(기본자료!$I$2:$I$501,$AB174)))</f>
        <v/>
      </c>
      <c r="L174" s="10">
        <f>IF($AB174="","",IF(INDEX(기본자료!$A$2:$A$501,$AB174)="","",INDEX(기본자료!$A$2:$A$501,$AB174)))</f>
        <v/>
      </c>
      <c r="M174" s="14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4" t="n"/>
      <c r="Q174" s="14" t="n"/>
      <c r="R174" s="14" t="n"/>
      <c r="S174" s="15" t="n"/>
      <c r="T174" s="15" t="n"/>
      <c r="U174" s="10">
        <f>IF(OR($B174="",$S174=""),"",IF(TODAY()&lt;$S174,"파견예정",IF(AND($T174&lt;&gt;"",TODAY()&gt;$T174),"파견종료","파견중")))</f>
        <v/>
      </c>
      <c r="V174" s="16">
        <f>IF(OR($S174="",$T174=""),"",$T174-$S174+1)</f>
        <v/>
      </c>
      <c r="W174" s="16">
        <f>IF(AND($U174="파견중",$T174&lt;&gt;""),$T174-TODAY(),"")</f>
        <v/>
      </c>
      <c r="X174" s="16">
        <f>IF(OR($B174="",$S174=""),"",MAX(0,MIN(IF($T174="",EOMONTH(요약!$B$3,0),$T174),EOMONTH(요약!$B$3,0))-MAX($S174,요약!$B$3)+1))</f>
        <v/>
      </c>
      <c r="Y174" s="10">
        <f>IF($B174="","",IF($AE174="","",IF(OR($S174="",$P174="",N($X174)&lt;=0),$AE174,IF($P174="다기관파견",$AE174,IF($AE174="구리병원",IF(AND($Q174&lt;&gt;"",N($X174)&gt;=요약!$E$3),$Q174,$AE174),IF(AND($P174="일반파견(단독)",$Q174&lt;&gt;""),$Q174,$AE174))))))</f>
        <v/>
      </c>
      <c r="Z174" s="17">
        <f>IF($B174="","",IF($AB174="","기본자료에 없는 사번",IF(COUNTIF($B$2:$B$201,$B174)&gt;1,"중복 사번",IF($M174="","입사장소 입력",IF(AND($P174&lt;&gt;"",$S174=""),"파견시작일 입력",IF(AND($S174&lt;&gt;"",$P174=""),"파견종류 입력",IF(AND($P174&lt;&gt;"",$P174&lt;&gt;"다기관파견",$Q174=""),"파견병원 입력",IF(IF($AC174="",0,N(INDEX(인턴근무계획!$T$3:$T$202,$AC174)))&gt;0,"인턴계획 입력오류 확인",IF(AND($AC174&lt;&gt;"",$U174&lt;&gt;"파견중",$N174&lt;&gt;$AE174),"인턴 타지역 근무: 파견 여부 확인","정상")))))))))</f>
        <v/>
      </c>
      <c r="AA174" s="5" t="n"/>
      <c r="AB174" s="10">
        <f>IF($B174="","",IFERROR(MATCH($B174,기본자료!$B$2:$B$501,0),IFERROR(MATCH($B174&amp;"",기본자료!$B$2:$B$501,0),IFERROR(MATCH(VALUE($B174),기본자료!$B$2:$B$501,0),""))))</f>
        <v/>
      </c>
      <c r="AC174" s="10">
        <f>IF($B174="","",IFERROR(MATCH($B174,인턴근무계획!$D$3:$D$202,0),IFERROR(MATCH($B174&amp;"",인턴근무계획!$D$3:$D$202,0),IFERROR(MATCH(VALUE($B174),인턴근무계획!$D$3:$D$202,0),""))))</f>
        <v/>
      </c>
      <c r="AD174" s="10">
        <f>IF(OR($AC174="",인턴현황!$G$3=""),"",INDEX(인턴근무계획!$M$3:$R$202,$AC174,인턴현황!$G$3)&amp;"")</f>
        <v/>
      </c>
      <c r="AE174" s="10">
        <f>IF($B174="","",IF($M174&lt;&gt;"",$M174,IF($H174="","",IF(RIGHT($H174,2)="병원",$H174,$H174&amp;"병원"))))</f>
        <v/>
      </c>
    </row>
    <row r="175">
      <c r="A175" s="10">
        <f>IF(B175="","",ROW()-1)</f>
        <v/>
      </c>
      <c r="B175" s="13" t="n"/>
      <c r="C175" s="10">
        <f>IF($AB175="","",IF(INDEX(기본자료!$C$2:$C$501,$AB175)="","",INDEX(기본자료!$C$2:$C$501,$AB175)))</f>
        <v/>
      </c>
      <c r="D175" s="10">
        <f>IF($AB175="","",IF(INDEX(기본자료!$J$2:$J$501,$AB175)="","",INDEX(기본자료!$J$2:$J$501,$AB175)))</f>
        <v/>
      </c>
      <c r="E175" s="11">
        <f>IF($AB175="","",IF(INDEX(기본자료!$K$2:$K$501,$AB175)="","",IF(NOT(ISNUMBER(INDEX(기본자료!$K$2:$K$501,$AB175))),INDEX(기본자료!$K$2:$K$501,$AB175),IF(INDEX(기본자료!$K$2:$K$501,$AB175)&lt;1000000,INDEX(기본자료!$K$2:$K$501,$AB175),IF(AND(INDEX(기본자료!$K$2:$K$501,$AB175)&gt;=10000101,INT(MOD(INDEX(기본자료!$K$2:$K$501,$AB175),10000)/100)&gt;=1,INT(MOD(INDEX(기본자료!$K$2:$K$501,$AB175),10000)/100)&lt;=12,MOD(INDEX(기본자료!$K$2:$K$501,$AB175),100)&gt;=1,MOD(INDEX(기본자료!$K$2:$K$501,$AB175),100)&lt;=31),DATE(INT(INDEX(기본자료!$K$2:$K$501,$AB175)/10000),INT(MOD(INDEX(기본자료!$K$2:$K$501,$AB175),10000)/100),MOD(INDEX(기본자료!$K$2:$K$501,$AB175),100)),INDEX(기본자료!$K$2:$K$501,$AB175)&amp;"")))))</f>
        <v/>
      </c>
      <c r="F175" s="10">
        <f>IF($AB175="","",IF(INDEX(기본자료!$D$2:$D$501,$AB175)="","",INDEX(기본자료!$D$2:$D$501,$AB175)))</f>
        <v/>
      </c>
      <c r="G175" s="10">
        <f>IF($AB175="","",IF(INDEX(기본자료!$E$2:$E$501,$AB175)="","",INDEX(기본자료!$E$2:$E$501,$AB175)))</f>
        <v/>
      </c>
      <c r="H175" s="10">
        <f>IF($AB175="","",IF(INDEX(기본자료!$F$2:$F$501,$AB175)="","",INDEX(기본자료!$F$2:$F$501,$AB175)))</f>
        <v/>
      </c>
      <c r="I175" s="11">
        <f>IF($AB175="","",IF(INDEX(기본자료!$G$2:$G$501,$AB175)="","",IF(NOT(ISNUMBER(INDEX(기본자료!$G$2:$G$501,$AB175))),INDEX(기본자료!$G$2:$G$501,$AB175),IF(INDEX(기본자료!$G$2:$G$501,$AB175)&lt;1000000,INDEX(기본자료!$G$2:$G$501,$AB175),IF(AND(INDEX(기본자료!$G$2:$G$501,$AB175)&gt;=10000101,INT(MOD(INDEX(기본자료!$G$2:$G$501,$AB175),10000)/100)&gt;=1,INT(MOD(INDEX(기본자료!$G$2:$G$501,$AB175),10000)/100)&lt;=12,MOD(INDEX(기본자료!$G$2:$G$501,$AB175),100)&gt;=1,MOD(INDEX(기본자료!$G$2:$G$501,$AB175),100)&lt;=31),DATE(INT(INDEX(기본자료!$G$2:$G$501,$AB175)/10000),INT(MOD(INDEX(기본자료!$G$2:$G$501,$AB175),10000)/100),MOD(INDEX(기본자료!$G$2:$G$501,$AB175),100)),INDEX(기본자료!$G$2:$G$501,$AB175)&amp;"")))))</f>
        <v/>
      </c>
      <c r="J175" s="10">
        <f>IF($AB175="","",IF(INDEX(기본자료!$H$2:$H$501,$AB175)="","",INDEX(기본자료!$H$2:$H$501,$AB175)))</f>
        <v/>
      </c>
      <c r="K175" s="10">
        <f>IF($AB175="","",IF(INDEX(기본자료!$I$2:$I$501,$AB175)="","",INDEX(기본자료!$I$2:$I$501,$AB175)))</f>
        <v/>
      </c>
      <c r="L175" s="10">
        <f>IF($AB175="","",IF(INDEX(기본자료!$A$2:$A$501,$AB175)="","",INDEX(기본자료!$A$2:$A$501,$AB175)))</f>
        <v/>
      </c>
      <c r="M175" s="14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4" t="n"/>
      <c r="Q175" s="14" t="n"/>
      <c r="R175" s="14" t="n"/>
      <c r="S175" s="15" t="n"/>
      <c r="T175" s="15" t="n"/>
      <c r="U175" s="10">
        <f>IF(OR($B175="",$S175=""),"",IF(TODAY()&lt;$S175,"파견예정",IF(AND($T175&lt;&gt;"",TODAY()&gt;$T175),"파견종료","파견중")))</f>
        <v/>
      </c>
      <c r="V175" s="16">
        <f>IF(OR($S175="",$T175=""),"",$T175-$S175+1)</f>
        <v/>
      </c>
      <c r="W175" s="16">
        <f>IF(AND($U175="파견중",$T175&lt;&gt;""),$T175-TODAY(),"")</f>
        <v/>
      </c>
      <c r="X175" s="16">
        <f>IF(OR($B175="",$S175=""),"",MAX(0,MIN(IF($T175="",EOMONTH(요약!$B$3,0),$T175),EOMONTH(요약!$B$3,0))-MAX($S175,요약!$B$3)+1))</f>
        <v/>
      </c>
      <c r="Y175" s="10">
        <f>IF($B175="","",IF($AE175="","",IF(OR($S175="",$P175="",N($X175)&lt;=0),$AE175,IF($P175="다기관파견",$AE175,IF($AE175="구리병원",IF(AND($Q175&lt;&gt;"",N($X175)&gt;=요약!$E$3),$Q175,$AE175),IF(AND($P175="일반파견(단독)",$Q175&lt;&gt;""),$Q175,$AE175))))))</f>
        <v/>
      </c>
      <c r="Z175" s="17">
        <f>IF($B175="","",IF($AB175="","기본자료에 없는 사번",IF(COUNTIF($B$2:$B$201,$B175)&gt;1,"중복 사번",IF($M175="","입사장소 입력",IF(AND($P175&lt;&gt;"",$S175=""),"파견시작일 입력",IF(AND($S175&lt;&gt;"",$P175=""),"파견종류 입력",IF(AND($P175&lt;&gt;"",$P175&lt;&gt;"다기관파견",$Q175=""),"파견병원 입력",IF(IF($AC175="",0,N(INDEX(인턴근무계획!$T$3:$T$202,$AC175)))&gt;0,"인턴계획 입력오류 확인",IF(AND($AC175&lt;&gt;"",$U175&lt;&gt;"파견중",$N175&lt;&gt;$AE175),"인턴 타지역 근무: 파견 여부 확인","정상")))))))))</f>
        <v/>
      </c>
      <c r="AA175" s="5" t="n"/>
      <c r="AB175" s="10">
        <f>IF($B175="","",IFERROR(MATCH($B175,기본자료!$B$2:$B$501,0),IFERROR(MATCH($B175&amp;"",기본자료!$B$2:$B$501,0),IFERROR(MATCH(VALUE($B175),기본자료!$B$2:$B$501,0),""))))</f>
        <v/>
      </c>
      <c r="AC175" s="10">
        <f>IF($B175="","",IFERROR(MATCH($B175,인턴근무계획!$D$3:$D$202,0),IFERROR(MATCH($B175&amp;"",인턴근무계획!$D$3:$D$202,0),IFERROR(MATCH(VALUE($B175),인턴근무계획!$D$3:$D$202,0),""))))</f>
        <v/>
      </c>
      <c r="AD175" s="10">
        <f>IF(OR($AC175="",인턴현황!$G$3=""),"",INDEX(인턴근무계획!$M$3:$R$202,$AC175,인턴현황!$G$3)&amp;"")</f>
        <v/>
      </c>
      <c r="AE175" s="10">
        <f>IF($B175="","",IF($M175&lt;&gt;"",$M175,IF($H175="","",IF(RIGHT($H175,2)="병원",$H175,$H175&amp;"병원"))))</f>
        <v/>
      </c>
    </row>
    <row r="176">
      <c r="A176" s="10">
        <f>IF(B176="","",ROW()-1)</f>
        <v/>
      </c>
      <c r="B176" s="13" t="n"/>
      <c r="C176" s="10">
        <f>IF($AB176="","",IF(INDEX(기본자료!$C$2:$C$501,$AB176)="","",INDEX(기본자료!$C$2:$C$501,$AB176)))</f>
        <v/>
      </c>
      <c r="D176" s="10">
        <f>IF($AB176="","",IF(INDEX(기본자료!$J$2:$J$501,$AB176)="","",INDEX(기본자료!$J$2:$J$501,$AB176)))</f>
        <v/>
      </c>
      <c r="E176" s="11">
        <f>IF($AB176="","",IF(INDEX(기본자료!$K$2:$K$501,$AB176)="","",IF(NOT(ISNUMBER(INDEX(기본자료!$K$2:$K$501,$AB176))),INDEX(기본자료!$K$2:$K$501,$AB176),IF(INDEX(기본자료!$K$2:$K$501,$AB176)&lt;1000000,INDEX(기본자료!$K$2:$K$501,$AB176),IF(AND(INDEX(기본자료!$K$2:$K$501,$AB176)&gt;=10000101,INT(MOD(INDEX(기본자료!$K$2:$K$501,$AB176),10000)/100)&gt;=1,INT(MOD(INDEX(기본자료!$K$2:$K$501,$AB176),10000)/100)&lt;=12,MOD(INDEX(기본자료!$K$2:$K$501,$AB176),100)&gt;=1,MOD(INDEX(기본자료!$K$2:$K$501,$AB176),100)&lt;=31),DATE(INT(INDEX(기본자료!$K$2:$K$501,$AB176)/10000),INT(MOD(INDEX(기본자료!$K$2:$K$501,$AB176),10000)/100),MOD(INDEX(기본자료!$K$2:$K$501,$AB176),100)),INDEX(기본자료!$K$2:$K$501,$AB176)&amp;"")))))</f>
        <v/>
      </c>
      <c r="F176" s="10">
        <f>IF($AB176="","",IF(INDEX(기본자료!$D$2:$D$501,$AB176)="","",INDEX(기본자료!$D$2:$D$501,$AB176)))</f>
        <v/>
      </c>
      <c r="G176" s="10">
        <f>IF($AB176="","",IF(INDEX(기본자료!$E$2:$E$501,$AB176)="","",INDEX(기본자료!$E$2:$E$501,$AB176)))</f>
        <v/>
      </c>
      <c r="H176" s="10">
        <f>IF($AB176="","",IF(INDEX(기본자료!$F$2:$F$501,$AB176)="","",INDEX(기본자료!$F$2:$F$501,$AB176)))</f>
        <v/>
      </c>
      <c r="I176" s="11">
        <f>IF($AB176="","",IF(INDEX(기본자료!$G$2:$G$501,$AB176)="","",IF(NOT(ISNUMBER(INDEX(기본자료!$G$2:$G$501,$AB176))),INDEX(기본자료!$G$2:$G$501,$AB176),IF(INDEX(기본자료!$G$2:$G$501,$AB176)&lt;1000000,INDEX(기본자료!$G$2:$G$501,$AB176),IF(AND(INDEX(기본자료!$G$2:$G$501,$AB176)&gt;=10000101,INT(MOD(INDEX(기본자료!$G$2:$G$501,$AB176),10000)/100)&gt;=1,INT(MOD(INDEX(기본자료!$G$2:$G$501,$AB176),10000)/100)&lt;=12,MOD(INDEX(기본자료!$G$2:$G$501,$AB176),100)&gt;=1,MOD(INDEX(기본자료!$G$2:$G$501,$AB176),100)&lt;=31),DATE(INT(INDEX(기본자료!$G$2:$G$501,$AB176)/10000),INT(MOD(INDEX(기본자료!$G$2:$G$501,$AB176),10000)/100),MOD(INDEX(기본자료!$G$2:$G$501,$AB176),100)),INDEX(기본자료!$G$2:$G$501,$AB176)&amp;"")))))</f>
        <v/>
      </c>
      <c r="J176" s="10">
        <f>IF($AB176="","",IF(INDEX(기본자료!$H$2:$H$501,$AB176)="","",INDEX(기본자료!$H$2:$H$501,$AB176)))</f>
        <v/>
      </c>
      <c r="K176" s="10">
        <f>IF($AB176="","",IF(INDEX(기본자료!$I$2:$I$501,$AB176)="","",INDEX(기본자료!$I$2:$I$501,$AB176)))</f>
        <v/>
      </c>
      <c r="L176" s="10">
        <f>IF($AB176="","",IF(INDEX(기본자료!$A$2:$A$501,$AB176)="","",INDEX(기본자료!$A$2:$A$501,$AB176)))</f>
        <v/>
      </c>
      <c r="M176" s="14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4" t="n"/>
      <c r="Q176" s="14" t="n"/>
      <c r="R176" s="14" t="n"/>
      <c r="S176" s="15" t="n"/>
      <c r="T176" s="15" t="n"/>
      <c r="U176" s="10">
        <f>IF(OR($B176="",$S176=""),"",IF(TODAY()&lt;$S176,"파견예정",IF(AND($T176&lt;&gt;"",TODAY()&gt;$T176),"파견종료","파견중")))</f>
        <v/>
      </c>
      <c r="V176" s="16">
        <f>IF(OR($S176="",$T176=""),"",$T176-$S176+1)</f>
        <v/>
      </c>
      <c r="W176" s="16">
        <f>IF(AND($U176="파견중",$T176&lt;&gt;""),$T176-TODAY(),"")</f>
        <v/>
      </c>
      <c r="X176" s="16">
        <f>IF(OR($B176="",$S176=""),"",MAX(0,MIN(IF($T176="",EOMONTH(요약!$B$3,0),$T176),EOMONTH(요약!$B$3,0))-MAX($S176,요약!$B$3)+1))</f>
        <v/>
      </c>
      <c r="Y176" s="10">
        <f>IF($B176="","",IF($AE176="","",IF(OR($S176="",$P176="",N($X176)&lt;=0),$AE176,IF($P176="다기관파견",$AE176,IF($AE176="구리병원",IF(AND($Q176&lt;&gt;"",N($X176)&gt;=요약!$E$3),$Q176,$AE176),IF(AND($P176="일반파견(단독)",$Q176&lt;&gt;""),$Q176,$AE176))))))</f>
        <v/>
      </c>
      <c r="Z176" s="17">
        <f>IF($B176="","",IF($AB176="","기본자료에 없는 사번",IF(COUNTIF($B$2:$B$201,$B176)&gt;1,"중복 사번",IF($M176="","입사장소 입력",IF(AND($P176&lt;&gt;"",$S176=""),"파견시작일 입력",IF(AND($S176&lt;&gt;"",$P176=""),"파견종류 입력",IF(AND($P176&lt;&gt;"",$P176&lt;&gt;"다기관파견",$Q176=""),"파견병원 입력",IF(IF($AC176="",0,N(INDEX(인턴근무계획!$T$3:$T$202,$AC176)))&gt;0,"인턴계획 입력오류 확인",IF(AND($AC176&lt;&gt;"",$U176&lt;&gt;"파견중",$N176&lt;&gt;$AE176),"인턴 타지역 근무: 파견 여부 확인","정상")))))))))</f>
        <v/>
      </c>
      <c r="AA176" s="5" t="n"/>
      <c r="AB176" s="10">
        <f>IF($B176="","",IFERROR(MATCH($B176,기본자료!$B$2:$B$501,0),IFERROR(MATCH($B176&amp;"",기본자료!$B$2:$B$501,0),IFERROR(MATCH(VALUE($B176),기본자료!$B$2:$B$501,0),""))))</f>
        <v/>
      </c>
      <c r="AC176" s="10">
        <f>IF($B176="","",IFERROR(MATCH($B176,인턴근무계획!$D$3:$D$202,0),IFERROR(MATCH($B176&amp;"",인턴근무계획!$D$3:$D$202,0),IFERROR(MATCH(VALUE($B176),인턴근무계획!$D$3:$D$202,0),""))))</f>
        <v/>
      </c>
      <c r="AD176" s="10">
        <f>IF(OR($AC176="",인턴현황!$G$3=""),"",INDEX(인턴근무계획!$M$3:$R$202,$AC176,인턴현황!$G$3)&amp;"")</f>
        <v/>
      </c>
      <c r="AE176" s="10">
        <f>IF($B176="","",IF($M176&lt;&gt;"",$M176,IF($H176="","",IF(RIGHT($H176,2)="병원",$H176,$H176&amp;"병원"))))</f>
        <v/>
      </c>
    </row>
    <row r="177">
      <c r="A177" s="10">
        <f>IF(B177="","",ROW()-1)</f>
        <v/>
      </c>
      <c r="B177" s="13" t="n"/>
      <c r="C177" s="10">
        <f>IF($AB177="","",IF(INDEX(기본자료!$C$2:$C$501,$AB177)="","",INDEX(기본자료!$C$2:$C$501,$AB177)))</f>
        <v/>
      </c>
      <c r="D177" s="10">
        <f>IF($AB177="","",IF(INDEX(기본자료!$J$2:$J$501,$AB177)="","",INDEX(기본자료!$J$2:$J$501,$AB177)))</f>
        <v/>
      </c>
      <c r="E177" s="11">
        <f>IF($AB177="","",IF(INDEX(기본자료!$K$2:$K$501,$AB177)="","",IF(NOT(ISNUMBER(INDEX(기본자료!$K$2:$K$501,$AB177))),INDEX(기본자료!$K$2:$K$501,$AB177),IF(INDEX(기본자료!$K$2:$K$501,$AB177)&lt;1000000,INDEX(기본자료!$K$2:$K$501,$AB177),IF(AND(INDEX(기본자료!$K$2:$K$501,$AB177)&gt;=10000101,INT(MOD(INDEX(기본자료!$K$2:$K$501,$AB177),10000)/100)&gt;=1,INT(MOD(INDEX(기본자료!$K$2:$K$501,$AB177),10000)/100)&lt;=12,MOD(INDEX(기본자료!$K$2:$K$501,$AB177),100)&gt;=1,MOD(INDEX(기본자료!$K$2:$K$501,$AB177),100)&lt;=31),DATE(INT(INDEX(기본자료!$K$2:$K$501,$AB177)/10000),INT(MOD(INDEX(기본자료!$K$2:$K$501,$AB177),10000)/100),MOD(INDEX(기본자료!$K$2:$K$501,$AB177),100)),INDEX(기본자료!$K$2:$K$501,$AB177)&amp;"")))))</f>
        <v/>
      </c>
      <c r="F177" s="10">
        <f>IF($AB177="","",IF(INDEX(기본자료!$D$2:$D$501,$AB177)="","",INDEX(기본자료!$D$2:$D$501,$AB177)))</f>
        <v/>
      </c>
      <c r="G177" s="10">
        <f>IF($AB177="","",IF(INDEX(기본자료!$E$2:$E$501,$AB177)="","",INDEX(기본자료!$E$2:$E$501,$AB177)))</f>
        <v/>
      </c>
      <c r="H177" s="10">
        <f>IF($AB177="","",IF(INDEX(기본자료!$F$2:$F$501,$AB177)="","",INDEX(기본자료!$F$2:$F$501,$AB177)))</f>
        <v/>
      </c>
      <c r="I177" s="11">
        <f>IF($AB177="","",IF(INDEX(기본자료!$G$2:$G$501,$AB177)="","",IF(NOT(ISNUMBER(INDEX(기본자료!$G$2:$G$501,$AB177))),INDEX(기본자료!$G$2:$G$501,$AB177),IF(INDEX(기본자료!$G$2:$G$501,$AB177)&lt;1000000,INDEX(기본자료!$G$2:$G$501,$AB177),IF(AND(INDEX(기본자료!$G$2:$G$501,$AB177)&gt;=10000101,INT(MOD(INDEX(기본자료!$G$2:$G$501,$AB177),10000)/100)&gt;=1,INT(MOD(INDEX(기본자료!$G$2:$G$501,$AB177),10000)/100)&lt;=12,MOD(INDEX(기본자료!$G$2:$G$501,$AB177),100)&gt;=1,MOD(INDEX(기본자료!$G$2:$G$501,$AB177),100)&lt;=31),DATE(INT(INDEX(기본자료!$G$2:$G$501,$AB177)/10000),INT(MOD(INDEX(기본자료!$G$2:$G$501,$AB177),10000)/100),MOD(INDEX(기본자료!$G$2:$G$501,$AB177),100)),INDEX(기본자료!$G$2:$G$501,$AB177)&amp;"")))))</f>
        <v/>
      </c>
      <c r="J177" s="10">
        <f>IF($AB177="","",IF(INDEX(기본자료!$H$2:$H$501,$AB177)="","",INDEX(기본자료!$H$2:$H$501,$AB177)))</f>
        <v/>
      </c>
      <c r="K177" s="10">
        <f>IF($AB177="","",IF(INDEX(기본자료!$I$2:$I$501,$AB177)="","",INDEX(기본자료!$I$2:$I$501,$AB177)))</f>
        <v/>
      </c>
      <c r="L177" s="10">
        <f>IF($AB177="","",IF(INDEX(기본자료!$A$2:$A$501,$AB177)="","",INDEX(기본자료!$A$2:$A$501,$AB177)))</f>
        <v/>
      </c>
      <c r="M177" s="14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4" t="n"/>
      <c r="Q177" s="14" t="n"/>
      <c r="R177" s="14" t="n"/>
      <c r="S177" s="15" t="n"/>
      <c r="T177" s="15" t="n"/>
      <c r="U177" s="10">
        <f>IF(OR($B177="",$S177=""),"",IF(TODAY()&lt;$S177,"파견예정",IF(AND($T177&lt;&gt;"",TODAY()&gt;$T177),"파견종료","파견중")))</f>
        <v/>
      </c>
      <c r="V177" s="16">
        <f>IF(OR($S177="",$T177=""),"",$T177-$S177+1)</f>
        <v/>
      </c>
      <c r="W177" s="16">
        <f>IF(AND($U177="파견중",$T177&lt;&gt;""),$T177-TODAY(),"")</f>
        <v/>
      </c>
      <c r="X177" s="16">
        <f>IF(OR($B177="",$S177=""),"",MAX(0,MIN(IF($T177="",EOMONTH(요약!$B$3,0),$T177),EOMONTH(요약!$B$3,0))-MAX($S177,요약!$B$3)+1))</f>
        <v/>
      </c>
      <c r="Y177" s="10">
        <f>IF($B177="","",IF($AE177="","",IF(OR($S177="",$P177="",N($X177)&lt;=0),$AE177,IF($P177="다기관파견",$AE177,IF($AE177="구리병원",IF(AND($Q177&lt;&gt;"",N($X177)&gt;=요약!$E$3),$Q177,$AE177),IF(AND($P177="일반파견(단독)",$Q177&lt;&gt;""),$Q177,$AE177))))))</f>
        <v/>
      </c>
      <c r="Z177" s="17">
        <f>IF($B177="","",IF($AB177="","기본자료에 없는 사번",IF(COUNTIF($B$2:$B$201,$B177)&gt;1,"중복 사번",IF($M177="","입사장소 입력",IF(AND($P177&lt;&gt;"",$S177=""),"파견시작일 입력",IF(AND($S177&lt;&gt;"",$P177=""),"파견종류 입력",IF(AND($P177&lt;&gt;"",$P177&lt;&gt;"다기관파견",$Q177=""),"파견병원 입력",IF(IF($AC177="",0,N(INDEX(인턴근무계획!$T$3:$T$202,$AC177)))&gt;0,"인턴계획 입력오류 확인",IF(AND($AC177&lt;&gt;"",$U177&lt;&gt;"파견중",$N177&lt;&gt;$AE177),"인턴 타지역 근무: 파견 여부 확인","정상")))))))))</f>
        <v/>
      </c>
      <c r="AA177" s="5" t="n"/>
      <c r="AB177" s="10">
        <f>IF($B177="","",IFERROR(MATCH($B177,기본자료!$B$2:$B$501,0),IFERROR(MATCH($B177&amp;"",기본자료!$B$2:$B$501,0),IFERROR(MATCH(VALUE($B177),기본자료!$B$2:$B$501,0),""))))</f>
        <v/>
      </c>
      <c r="AC177" s="10">
        <f>IF($B177="","",IFERROR(MATCH($B177,인턴근무계획!$D$3:$D$202,0),IFERROR(MATCH($B177&amp;"",인턴근무계획!$D$3:$D$202,0),IFERROR(MATCH(VALUE($B177),인턴근무계획!$D$3:$D$202,0),""))))</f>
        <v/>
      </c>
      <c r="AD177" s="10">
        <f>IF(OR($AC177="",인턴현황!$G$3=""),"",INDEX(인턴근무계획!$M$3:$R$202,$AC177,인턴현황!$G$3)&amp;"")</f>
        <v/>
      </c>
      <c r="AE177" s="10">
        <f>IF($B177="","",IF($M177&lt;&gt;"",$M177,IF($H177="","",IF(RIGHT($H177,2)="병원",$H177,$H177&amp;"병원"))))</f>
        <v/>
      </c>
    </row>
    <row r="178">
      <c r="A178" s="10">
        <f>IF(B178="","",ROW()-1)</f>
        <v/>
      </c>
      <c r="B178" s="13" t="n"/>
      <c r="C178" s="10">
        <f>IF($AB178="","",IF(INDEX(기본자료!$C$2:$C$501,$AB178)="","",INDEX(기본자료!$C$2:$C$501,$AB178)))</f>
        <v/>
      </c>
      <c r="D178" s="10">
        <f>IF($AB178="","",IF(INDEX(기본자료!$J$2:$J$501,$AB178)="","",INDEX(기본자료!$J$2:$J$501,$AB178)))</f>
        <v/>
      </c>
      <c r="E178" s="11">
        <f>IF($AB178="","",IF(INDEX(기본자료!$K$2:$K$501,$AB178)="","",IF(NOT(ISNUMBER(INDEX(기본자료!$K$2:$K$501,$AB178))),INDEX(기본자료!$K$2:$K$501,$AB178),IF(INDEX(기본자료!$K$2:$K$501,$AB178)&lt;1000000,INDEX(기본자료!$K$2:$K$501,$AB178),IF(AND(INDEX(기본자료!$K$2:$K$501,$AB178)&gt;=10000101,INT(MOD(INDEX(기본자료!$K$2:$K$501,$AB178),10000)/100)&gt;=1,INT(MOD(INDEX(기본자료!$K$2:$K$501,$AB178),10000)/100)&lt;=12,MOD(INDEX(기본자료!$K$2:$K$501,$AB178),100)&gt;=1,MOD(INDEX(기본자료!$K$2:$K$501,$AB178),100)&lt;=31),DATE(INT(INDEX(기본자료!$K$2:$K$501,$AB178)/10000),INT(MOD(INDEX(기본자료!$K$2:$K$501,$AB178),10000)/100),MOD(INDEX(기본자료!$K$2:$K$501,$AB178),100)),INDEX(기본자료!$K$2:$K$501,$AB178)&amp;"")))))</f>
        <v/>
      </c>
      <c r="F178" s="10">
        <f>IF($AB178="","",IF(INDEX(기본자료!$D$2:$D$501,$AB178)="","",INDEX(기본자료!$D$2:$D$501,$AB178)))</f>
        <v/>
      </c>
      <c r="G178" s="10">
        <f>IF($AB178="","",IF(INDEX(기본자료!$E$2:$E$501,$AB178)="","",INDEX(기본자료!$E$2:$E$501,$AB178)))</f>
        <v/>
      </c>
      <c r="H178" s="10">
        <f>IF($AB178="","",IF(INDEX(기본자료!$F$2:$F$501,$AB178)="","",INDEX(기본자료!$F$2:$F$501,$AB178)))</f>
        <v/>
      </c>
      <c r="I178" s="11">
        <f>IF($AB178="","",IF(INDEX(기본자료!$G$2:$G$501,$AB178)="","",IF(NOT(ISNUMBER(INDEX(기본자료!$G$2:$G$501,$AB178))),INDEX(기본자료!$G$2:$G$501,$AB178),IF(INDEX(기본자료!$G$2:$G$501,$AB178)&lt;1000000,INDEX(기본자료!$G$2:$G$501,$AB178),IF(AND(INDEX(기본자료!$G$2:$G$501,$AB178)&gt;=10000101,INT(MOD(INDEX(기본자료!$G$2:$G$501,$AB178),10000)/100)&gt;=1,INT(MOD(INDEX(기본자료!$G$2:$G$501,$AB178),10000)/100)&lt;=12,MOD(INDEX(기본자료!$G$2:$G$501,$AB178),100)&gt;=1,MOD(INDEX(기본자료!$G$2:$G$501,$AB178),100)&lt;=31),DATE(INT(INDEX(기본자료!$G$2:$G$501,$AB178)/10000),INT(MOD(INDEX(기본자료!$G$2:$G$501,$AB178),10000)/100),MOD(INDEX(기본자료!$G$2:$G$501,$AB178),100)),INDEX(기본자료!$G$2:$G$501,$AB178)&amp;"")))))</f>
        <v/>
      </c>
      <c r="J178" s="10">
        <f>IF($AB178="","",IF(INDEX(기본자료!$H$2:$H$501,$AB178)="","",INDEX(기본자료!$H$2:$H$501,$AB178)))</f>
        <v/>
      </c>
      <c r="K178" s="10">
        <f>IF($AB178="","",IF(INDEX(기본자료!$I$2:$I$501,$AB178)="","",INDEX(기본자료!$I$2:$I$501,$AB178)))</f>
        <v/>
      </c>
      <c r="L178" s="10">
        <f>IF($AB178="","",IF(INDEX(기본자료!$A$2:$A$501,$AB178)="","",INDEX(기본자료!$A$2:$A$501,$AB178)))</f>
        <v/>
      </c>
      <c r="M178" s="14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4" t="n"/>
      <c r="Q178" s="14" t="n"/>
      <c r="R178" s="14" t="n"/>
      <c r="S178" s="15" t="n"/>
      <c r="T178" s="15" t="n"/>
      <c r="U178" s="10">
        <f>IF(OR($B178="",$S178=""),"",IF(TODAY()&lt;$S178,"파견예정",IF(AND($T178&lt;&gt;"",TODAY()&gt;$T178),"파견종료","파견중")))</f>
        <v/>
      </c>
      <c r="V178" s="16">
        <f>IF(OR($S178="",$T178=""),"",$T178-$S178+1)</f>
        <v/>
      </c>
      <c r="W178" s="16">
        <f>IF(AND($U178="파견중",$T178&lt;&gt;""),$T178-TODAY(),"")</f>
        <v/>
      </c>
      <c r="X178" s="16">
        <f>IF(OR($B178="",$S178=""),"",MAX(0,MIN(IF($T178="",EOMONTH(요약!$B$3,0),$T178),EOMONTH(요약!$B$3,0))-MAX($S178,요약!$B$3)+1))</f>
        <v/>
      </c>
      <c r="Y178" s="10">
        <f>IF($B178="","",IF($AE178="","",IF(OR($S178="",$P178="",N($X178)&lt;=0),$AE178,IF($P178="다기관파견",$AE178,IF($AE178="구리병원",IF(AND($Q178&lt;&gt;"",N($X178)&gt;=요약!$E$3),$Q178,$AE178),IF(AND($P178="일반파견(단독)",$Q178&lt;&gt;""),$Q178,$AE178))))))</f>
        <v/>
      </c>
      <c r="Z178" s="17">
        <f>IF($B178="","",IF($AB178="","기본자료에 없는 사번",IF(COUNTIF($B$2:$B$201,$B178)&gt;1,"중복 사번",IF($M178="","입사장소 입력",IF(AND($P178&lt;&gt;"",$S178=""),"파견시작일 입력",IF(AND($S178&lt;&gt;"",$P178=""),"파견종류 입력",IF(AND($P178&lt;&gt;"",$P178&lt;&gt;"다기관파견",$Q178=""),"파견병원 입력",IF(IF($AC178="",0,N(INDEX(인턴근무계획!$T$3:$T$202,$AC178)))&gt;0,"인턴계획 입력오류 확인",IF(AND($AC178&lt;&gt;"",$U178&lt;&gt;"파견중",$N178&lt;&gt;$AE178),"인턴 타지역 근무: 파견 여부 확인","정상")))))))))</f>
        <v/>
      </c>
      <c r="AA178" s="5" t="n"/>
      <c r="AB178" s="10">
        <f>IF($B178="","",IFERROR(MATCH($B178,기본자료!$B$2:$B$501,0),IFERROR(MATCH($B178&amp;"",기본자료!$B$2:$B$501,0),IFERROR(MATCH(VALUE($B178),기본자료!$B$2:$B$501,0),""))))</f>
        <v/>
      </c>
      <c r="AC178" s="10">
        <f>IF($B178="","",IFERROR(MATCH($B178,인턴근무계획!$D$3:$D$202,0),IFERROR(MATCH($B178&amp;"",인턴근무계획!$D$3:$D$202,0),IFERROR(MATCH(VALUE($B178),인턴근무계획!$D$3:$D$202,0),""))))</f>
        <v/>
      </c>
      <c r="AD178" s="10">
        <f>IF(OR($AC178="",인턴현황!$G$3=""),"",INDEX(인턴근무계획!$M$3:$R$202,$AC178,인턴현황!$G$3)&amp;"")</f>
        <v/>
      </c>
      <c r="AE178" s="10">
        <f>IF($B178="","",IF($M178&lt;&gt;"",$M178,IF($H178="","",IF(RIGHT($H178,2)="병원",$H178,$H178&amp;"병원"))))</f>
        <v/>
      </c>
    </row>
    <row r="179">
      <c r="A179" s="10">
        <f>IF(B179="","",ROW()-1)</f>
        <v/>
      </c>
      <c r="B179" s="13" t="n"/>
      <c r="C179" s="10">
        <f>IF($AB179="","",IF(INDEX(기본자료!$C$2:$C$501,$AB179)="","",INDEX(기본자료!$C$2:$C$501,$AB179)))</f>
        <v/>
      </c>
      <c r="D179" s="10">
        <f>IF($AB179="","",IF(INDEX(기본자료!$J$2:$J$501,$AB179)="","",INDEX(기본자료!$J$2:$J$501,$AB179)))</f>
        <v/>
      </c>
      <c r="E179" s="11">
        <f>IF($AB179="","",IF(INDEX(기본자료!$K$2:$K$501,$AB179)="","",IF(NOT(ISNUMBER(INDEX(기본자료!$K$2:$K$501,$AB179))),INDEX(기본자료!$K$2:$K$501,$AB179),IF(INDEX(기본자료!$K$2:$K$501,$AB179)&lt;1000000,INDEX(기본자료!$K$2:$K$501,$AB179),IF(AND(INDEX(기본자료!$K$2:$K$501,$AB179)&gt;=10000101,INT(MOD(INDEX(기본자료!$K$2:$K$501,$AB179),10000)/100)&gt;=1,INT(MOD(INDEX(기본자료!$K$2:$K$501,$AB179),10000)/100)&lt;=12,MOD(INDEX(기본자료!$K$2:$K$501,$AB179),100)&gt;=1,MOD(INDEX(기본자료!$K$2:$K$501,$AB179),100)&lt;=31),DATE(INT(INDEX(기본자료!$K$2:$K$501,$AB179)/10000),INT(MOD(INDEX(기본자료!$K$2:$K$501,$AB179),10000)/100),MOD(INDEX(기본자료!$K$2:$K$501,$AB179),100)),INDEX(기본자료!$K$2:$K$501,$AB179)&amp;"")))))</f>
        <v/>
      </c>
      <c r="F179" s="10">
        <f>IF($AB179="","",IF(INDEX(기본자료!$D$2:$D$501,$AB179)="","",INDEX(기본자료!$D$2:$D$501,$AB179)))</f>
        <v/>
      </c>
      <c r="G179" s="10">
        <f>IF($AB179="","",IF(INDEX(기본자료!$E$2:$E$501,$AB179)="","",INDEX(기본자료!$E$2:$E$501,$AB179)))</f>
        <v/>
      </c>
      <c r="H179" s="10">
        <f>IF($AB179="","",IF(INDEX(기본자료!$F$2:$F$501,$AB179)="","",INDEX(기본자료!$F$2:$F$501,$AB179)))</f>
        <v/>
      </c>
      <c r="I179" s="11">
        <f>IF($AB179="","",IF(INDEX(기본자료!$G$2:$G$501,$AB179)="","",IF(NOT(ISNUMBER(INDEX(기본자료!$G$2:$G$501,$AB179))),INDEX(기본자료!$G$2:$G$501,$AB179),IF(INDEX(기본자료!$G$2:$G$501,$AB179)&lt;1000000,INDEX(기본자료!$G$2:$G$501,$AB179),IF(AND(INDEX(기본자료!$G$2:$G$501,$AB179)&gt;=10000101,INT(MOD(INDEX(기본자료!$G$2:$G$501,$AB179),10000)/100)&gt;=1,INT(MOD(INDEX(기본자료!$G$2:$G$501,$AB179),10000)/100)&lt;=12,MOD(INDEX(기본자료!$G$2:$G$501,$AB179),100)&gt;=1,MOD(INDEX(기본자료!$G$2:$G$501,$AB179),100)&lt;=31),DATE(INT(INDEX(기본자료!$G$2:$G$501,$AB179)/10000),INT(MOD(INDEX(기본자료!$G$2:$G$501,$AB179),10000)/100),MOD(INDEX(기본자료!$G$2:$G$501,$AB179),100)),INDEX(기본자료!$G$2:$G$501,$AB179)&amp;"")))))</f>
        <v/>
      </c>
      <c r="J179" s="10">
        <f>IF($AB179="","",IF(INDEX(기본자료!$H$2:$H$501,$AB179)="","",INDEX(기본자료!$H$2:$H$501,$AB179)))</f>
        <v/>
      </c>
      <c r="K179" s="10">
        <f>IF($AB179="","",IF(INDEX(기본자료!$I$2:$I$501,$AB179)="","",INDEX(기본자료!$I$2:$I$501,$AB179)))</f>
        <v/>
      </c>
      <c r="L179" s="10">
        <f>IF($AB179="","",IF(INDEX(기본자료!$A$2:$A$501,$AB179)="","",INDEX(기본자료!$A$2:$A$501,$AB179)))</f>
        <v/>
      </c>
      <c r="M179" s="14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4" t="n"/>
      <c r="Q179" s="14" t="n"/>
      <c r="R179" s="14" t="n"/>
      <c r="S179" s="15" t="n"/>
      <c r="T179" s="15" t="n"/>
      <c r="U179" s="10">
        <f>IF(OR($B179="",$S179=""),"",IF(TODAY()&lt;$S179,"파견예정",IF(AND($T179&lt;&gt;"",TODAY()&gt;$T179),"파견종료","파견중")))</f>
        <v/>
      </c>
      <c r="V179" s="16">
        <f>IF(OR($S179="",$T179=""),"",$T179-$S179+1)</f>
        <v/>
      </c>
      <c r="W179" s="16">
        <f>IF(AND($U179="파견중",$T179&lt;&gt;""),$T179-TODAY(),"")</f>
        <v/>
      </c>
      <c r="X179" s="16">
        <f>IF(OR($B179="",$S179=""),"",MAX(0,MIN(IF($T179="",EOMONTH(요약!$B$3,0),$T179),EOMONTH(요약!$B$3,0))-MAX($S179,요약!$B$3)+1))</f>
        <v/>
      </c>
      <c r="Y179" s="10">
        <f>IF($B179="","",IF($AE179="","",IF(OR($S179="",$P179="",N($X179)&lt;=0),$AE179,IF($P179="다기관파견",$AE179,IF($AE179="구리병원",IF(AND($Q179&lt;&gt;"",N($X179)&gt;=요약!$E$3),$Q179,$AE179),IF(AND($P179="일반파견(단독)",$Q179&lt;&gt;""),$Q179,$AE179))))))</f>
        <v/>
      </c>
      <c r="Z179" s="17">
        <f>IF($B179="","",IF($AB179="","기본자료에 없는 사번",IF(COUNTIF($B$2:$B$201,$B179)&gt;1,"중복 사번",IF($M179="","입사장소 입력",IF(AND($P179&lt;&gt;"",$S179=""),"파견시작일 입력",IF(AND($S179&lt;&gt;"",$P179=""),"파견종류 입력",IF(AND($P179&lt;&gt;"",$P179&lt;&gt;"다기관파견",$Q179=""),"파견병원 입력",IF(IF($AC179="",0,N(INDEX(인턴근무계획!$T$3:$T$202,$AC179)))&gt;0,"인턴계획 입력오류 확인",IF(AND($AC179&lt;&gt;"",$U179&lt;&gt;"파견중",$N179&lt;&gt;$AE179),"인턴 타지역 근무: 파견 여부 확인","정상")))))))))</f>
        <v/>
      </c>
      <c r="AA179" s="5" t="n"/>
      <c r="AB179" s="10">
        <f>IF($B179="","",IFERROR(MATCH($B179,기본자료!$B$2:$B$501,0),IFERROR(MATCH($B179&amp;"",기본자료!$B$2:$B$501,0),IFERROR(MATCH(VALUE($B179),기본자료!$B$2:$B$501,0),""))))</f>
        <v/>
      </c>
      <c r="AC179" s="10">
        <f>IF($B179="","",IFERROR(MATCH($B179,인턴근무계획!$D$3:$D$202,0),IFERROR(MATCH($B179&amp;"",인턴근무계획!$D$3:$D$202,0),IFERROR(MATCH(VALUE($B179),인턴근무계획!$D$3:$D$202,0),""))))</f>
        <v/>
      </c>
      <c r="AD179" s="10">
        <f>IF(OR($AC179="",인턴현황!$G$3=""),"",INDEX(인턴근무계획!$M$3:$R$202,$AC179,인턴현황!$G$3)&amp;"")</f>
        <v/>
      </c>
      <c r="AE179" s="10">
        <f>IF($B179="","",IF($M179&lt;&gt;"",$M179,IF($H179="","",IF(RIGHT($H179,2)="병원",$H179,$H179&amp;"병원"))))</f>
        <v/>
      </c>
    </row>
    <row r="180">
      <c r="A180" s="10">
        <f>IF(B180="","",ROW()-1)</f>
        <v/>
      </c>
      <c r="B180" s="13" t="n"/>
      <c r="C180" s="10">
        <f>IF($AB180="","",IF(INDEX(기본자료!$C$2:$C$501,$AB180)="","",INDEX(기본자료!$C$2:$C$501,$AB180)))</f>
        <v/>
      </c>
      <c r="D180" s="10">
        <f>IF($AB180="","",IF(INDEX(기본자료!$J$2:$J$501,$AB180)="","",INDEX(기본자료!$J$2:$J$501,$AB180)))</f>
        <v/>
      </c>
      <c r="E180" s="11">
        <f>IF($AB180="","",IF(INDEX(기본자료!$K$2:$K$501,$AB180)="","",IF(NOT(ISNUMBER(INDEX(기본자료!$K$2:$K$501,$AB180))),INDEX(기본자료!$K$2:$K$501,$AB180),IF(INDEX(기본자료!$K$2:$K$501,$AB180)&lt;1000000,INDEX(기본자료!$K$2:$K$501,$AB180),IF(AND(INDEX(기본자료!$K$2:$K$501,$AB180)&gt;=10000101,INT(MOD(INDEX(기본자료!$K$2:$K$501,$AB180),10000)/100)&gt;=1,INT(MOD(INDEX(기본자료!$K$2:$K$501,$AB180),10000)/100)&lt;=12,MOD(INDEX(기본자료!$K$2:$K$501,$AB180),100)&gt;=1,MOD(INDEX(기본자료!$K$2:$K$501,$AB180),100)&lt;=31),DATE(INT(INDEX(기본자료!$K$2:$K$501,$AB180)/10000),INT(MOD(INDEX(기본자료!$K$2:$K$501,$AB180),10000)/100),MOD(INDEX(기본자료!$K$2:$K$501,$AB180),100)),INDEX(기본자료!$K$2:$K$501,$AB180)&amp;"")))))</f>
        <v/>
      </c>
      <c r="F180" s="10">
        <f>IF($AB180="","",IF(INDEX(기본자료!$D$2:$D$501,$AB180)="","",INDEX(기본자료!$D$2:$D$501,$AB180)))</f>
        <v/>
      </c>
      <c r="G180" s="10">
        <f>IF($AB180="","",IF(INDEX(기본자료!$E$2:$E$501,$AB180)="","",INDEX(기본자료!$E$2:$E$501,$AB180)))</f>
        <v/>
      </c>
      <c r="H180" s="10">
        <f>IF($AB180="","",IF(INDEX(기본자료!$F$2:$F$501,$AB180)="","",INDEX(기본자료!$F$2:$F$501,$AB180)))</f>
        <v/>
      </c>
      <c r="I180" s="11">
        <f>IF($AB180="","",IF(INDEX(기본자료!$G$2:$G$501,$AB180)="","",IF(NOT(ISNUMBER(INDEX(기본자료!$G$2:$G$501,$AB180))),INDEX(기본자료!$G$2:$G$501,$AB180),IF(INDEX(기본자료!$G$2:$G$501,$AB180)&lt;1000000,INDEX(기본자료!$G$2:$G$501,$AB180),IF(AND(INDEX(기본자료!$G$2:$G$501,$AB180)&gt;=10000101,INT(MOD(INDEX(기본자료!$G$2:$G$501,$AB180),10000)/100)&gt;=1,INT(MOD(INDEX(기본자료!$G$2:$G$501,$AB180),10000)/100)&lt;=12,MOD(INDEX(기본자료!$G$2:$G$501,$AB180),100)&gt;=1,MOD(INDEX(기본자료!$G$2:$G$501,$AB180),100)&lt;=31),DATE(INT(INDEX(기본자료!$G$2:$G$501,$AB180)/10000),INT(MOD(INDEX(기본자료!$G$2:$G$501,$AB180),10000)/100),MOD(INDEX(기본자료!$G$2:$G$501,$AB180),100)),INDEX(기본자료!$G$2:$G$501,$AB180)&amp;"")))))</f>
        <v/>
      </c>
      <c r="J180" s="10">
        <f>IF($AB180="","",IF(INDEX(기본자료!$H$2:$H$501,$AB180)="","",INDEX(기본자료!$H$2:$H$501,$AB180)))</f>
        <v/>
      </c>
      <c r="K180" s="10">
        <f>IF($AB180="","",IF(INDEX(기본자료!$I$2:$I$501,$AB180)="","",INDEX(기본자료!$I$2:$I$501,$AB180)))</f>
        <v/>
      </c>
      <c r="L180" s="10">
        <f>IF($AB180="","",IF(INDEX(기본자료!$A$2:$A$501,$AB180)="","",INDEX(기본자료!$A$2:$A$501,$AB180)))</f>
        <v/>
      </c>
      <c r="M180" s="14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4" t="n"/>
      <c r="Q180" s="14" t="n"/>
      <c r="R180" s="14" t="n"/>
      <c r="S180" s="15" t="n"/>
      <c r="T180" s="15" t="n"/>
      <c r="U180" s="10">
        <f>IF(OR($B180="",$S180=""),"",IF(TODAY()&lt;$S180,"파견예정",IF(AND($T180&lt;&gt;"",TODAY()&gt;$T180),"파견종료","파견중")))</f>
        <v/>
      </c>
      <c r="V180" s="16">
        <f>IF(OR($S180="",$T180=""),"",$T180-$S180+1)</f>
        <v/>
      </c>
      <c r="W180" s="16">
        <f>IF(AND($U180="파견중",$T180&lt;&gt;""),$T180-TODAY(),"")</f>
        <v/>
      </c>
      <c r="X180" s="16">
        <f>IF(OR($B180="",$S180=""),"",MAX(0,MIN(IF($T180="",EOMONTH(요약!$B$3,0),$T180),EOMONTH(요약!$B$3,0))-MAX($S180,요약!$B$3)+1))</f>
        <v/>
      </c>
      <c r="Y180" s="10">
        <f>IF($B180="","",IF($AE180="","",IF(OR($S180="",$P180="",N($X180)&lt;=0),$AE180,IF($P180="다기관파견",$AE180,IF($AE180="구리병원",IF(AND($Q180&lt;&gt;"",N($X180)&gt;=요약!$E$3),$Q180,$AE180),IF(AND($P180="일반파견(단독)",$Q180&lt;&gt;""),$Q180,$AE180))))))</f>
        <v/>
      </c>
      <c r="Z180" s="17">
        <f>IF($B180="","",IF($AB180="","기본자료에 없는 사번",IF(COUNTIF($B$2:$B$201,$B180)&gt;1,"중복 사번",IF($M180="","입사장소 입력",IF(AND($P180&lt;&gt;"",$S180=""),"파견시작일 입력",IF(AND($S180&lt;&gt;"",$P180=""),"파견종류 입력",IF(AND($P180&lt;&gt;"",$P180&lt;&gt;"다기관파견",$Q180=""),"파견병원 입력",IF(IF($AC180="",0,N(INDEX(인턴근무계획!$T$3:$T$202,$AC180)))&gt;0,"인턴계획 입력오류 확인",IF(AND($AC180&lt;&gt;"",$U180&lt;&gt;"파견중",$N180&lt;&gt;$AE180),"인턴 타지역 근무: 파견 여부 확인","정상")))))))))</f>
        <v/>
      </c>
      <c r="AA180" s="5" t="n"/>
      <c r="AB180" s="10">
        <f>IF($B180="","",IFERROR(MATCH($B180,기본자료!$B$2:$B$501,0),IFERROR(MATCH($B180&amp;"",기본자료!$B$2:$B$501,0),IFERROR(MATCH(VALUE($B180),기본자료!$B$2:$B$501,0),""))))</f>
        <v/>
      </c>
      <c r="AC180" s="10">
        <f>IF($B180="","",IFERROR(MATCH($B180,인턴근무계획!$D$3:$D$202,0),IFERROR(MATCH($B180&amp;"",인턴근무계획!$D$3:$D$202,0),IFERROR(MATCH(VALUE($B180),인턴근무계획!$D$3:$D$202,0),""))))</f>
        <v/>
      </c>
      <c r="AD180" s="10">
        <f>IF(OR($AC180="",인턴현황!$G$3=""),"",INDEX(인턴근무계획!$M$3:$R$202,$AC180,인턴현황!$G$3)&amp;"")</f>
        <v/>
      </c>
      <c r="AE180" s="10">
        <f>IF($B180="","",IF($M180&lt;&gt;"",$M180,IF($H180="","",IF(RIGHT($H180,2)="병원",$H180,$H180&amp;"병원"))))</f>
        <v/>
      </c>
    </row>
    <row r="181">
      <c r="A181" s="10">
        <f>IF(B181="","",ROW()-1)</f>
        <v/>
      </c>
      <c r="B181" s="13" t="n"/>
      <c r="C181" s="10">
        <f>IF($AB181="","",IF(INDEX(기본자료!$C$2:$C$501,$AB181)="","",INDEX(기본자료!$C$2:$C$501,$AB181)))</f>
        <v/>
      </c>
      <c r="D181" s="10">
        <f>IF($AB181="","",IF(INDEX(기본자료!$J$2:$J$501,$AB181)="","",INDEX(기본자료!$J$2:$J$501,$AB181)))</f>
        <v/>
      </c>
      <c r="E181" s="11">
        <f>IF($AB181="","",IF(INDEX(기본자료!$K$2:$K$501,$AB181)="","",IF(NOT(ISNUMBER(INDEX(기본자료!$K$2:$K$501,$AB181))),INDEX(기본자료!$K$2:$K$501,$AB181),IF(INDEX(기본자료!$K$2:$K$501,$AB181)&lt;1000000,INDEX(기본자료!$K$2:$K$501,$AB181),IF(AND(INDEX(기본자료!$K$2:$K$501,$AB181)&gt;=10000101,INT(MOD(INDEX(기본자료!$K$2:$K$501,$AB181),10000)/100)&gt;=1,INT(MOD(INDEX(기본자료!$K$2:$K$501,$AB181),10000)/100)&lt;=12,MOD(INDEX(기본자료!$K$2:$K$501,$AB181),100)&gt;=1,MOD(INDEX(기본자료!$K$2:$K$501,$AB181),100)&lt;=31),DATE(INT(INDEX(기본자료!$K$2:$K$501,$AB181)/10000),INT(MOD(INDEX(기본자료!$K$2:$K$501,$AB181),10000)/100),MOD(INDEX(기본자료!$K$2:$K$501,$AB181),100)),INDEX(기본자료!$K$2:$K$501,$AB181)&amp;"")))))</f>
        <v/>
      </c>
      <c r="F181" s="10">
        <f>IF($AB181="","",IF(INDEX(기본자료!$D$2:$D$501,$AB181)="","",INDEX(기본자료!$D$2:$D$501,$AB181)))</f>
        <v/>
      </c>
      <c r="G181" s="10">
        <f>IF($AB181="","",IF(INDEX(기본자료!$E$2:$E$501,$AB181)="","",INDEX(기본자료!$E$2:$E$501,$AB181)))</f>
        <v/>
      </c>
      <c r="H181" s="10">
        <f>IF($AB181="","",IF(INDEX(기본자료!$F$2:$F$501,$AB181)="","",INDEX(기본자료!$F$2:$F$501,$AB181)))</f>
        <v/>
      </c>
      <c r="I181" s="11">
        <f>IF($AB181="","",IF(INDEX(기본자료!$G$2:$G$501,$AB181)="","",IF(NOT(ISNUMBER(INDEX(기본자료!$G$2:$G$501,$AB181))),INDEX(기본자료!$G$2:$G$501,$AB181),IF(INDEX(기본자료!$G$2:$G$501,$AB181)&lt;1000000,INDEX(기본자료!$G$2:$G$501,$AB181),IF(AND(INDEX(기본자료!$G$2:$G$501,$AB181)&gt;=10000101,INT(MOD(INDEX(기본자료!$G$2:$G$501,$AB181),10000)/100)&gt;=1,INT(MOD(INDEX(기본자료!$G$2:$G$501,$AB181),10000)/100)&lt;=12,MOD(INDEX(기본자료!$G$2:$G$501,$AB181),100)&gt;=1,MOD(INDEX(기본자료!$G$2:$G$501,$AB181),100)&lt;=31),DATE(INT(INDEX(기본자료!$G$2:$G$501,$AB181)/10000),INT(MOD(INDEX(기본자료!$G$2:$G$501,$AB181),10000)/100),MOD(INDEX(기본자료!$G$2:$G$501,$AB181),100)),INDEX(기본자료!$G$2:$G$501,$AB181)&amp;"")))))</f>
        <v/>
      </c>
      <c r="J181" s="10">
        <f>IF($AB181="","",IF(INDEX(기본자료!$H$2:$H$501,$AB181)="","",INDEX(기본자료!$H$2:$H$501,$AB181)))</f>
        <v/>
      </c>
      <c r="K181" s="10">
        <f>IF($AB181="","",IF(INDEX(기본자료!$I$2:$I$501,$AB181)="","",INDEX(기본자료!$I$2:$I$501,$AB181)))</f>
        <v/>
      </c>
      <c r="L181" s="10">
        <f>IF($AB181="","",IF(INDEX(기본자료!$A$2:$A$501,$AB181)="","",INDEX(기본자료!$A$2:$A$501,$AB181)))</f>
        <v/>
      </c>
      <c r="M181" s="14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4" t="n"/>
      <c r="Q181" s="14" t="n"/>
      <c r="R181" s="14" t="n"/>
      <c r="S181" s="15" t="n"/>
      <c r="T181" s="15" t="n"/>
      <c r="U181" s="10">
        <f>IF(OR($B181="",$S181=""),"",IF(TODAY()&lt;$S181,"파견예정",IF(AND($T181&lt;&gt;"",TODAY()&gt;$T181),"파견종료","파견중")))</f>
        <v/>
      </c>
      <c r="V181" s="16">
        <f>IF(OR($S181="",$T181=""),"",$T181-$S181+1)</f>
        <v/>
      </c>
      <c r="W181" s="16">
        <f>IF(AND($U181="파견중",$T181&lt;&gt;""),$T181-TODAY(),"")</f>
        <v/>
      </c>
      <c r="X181" s="16">
        <f>IF(OR($B181="",$S181=""),"",MAX(0,MIN(IF($T181="",EOMONTH(요약!$B$3,0),$T181),EOMONTH(요약!$B$3,0))-MAX($S181,요약!$B$3)+1))</f>
        <v/>
      </c>
      <c r="Y181" s="10">
        <f>IF($B181="","",IF($AE181="","",IF(OR($S181="",$P181="",N($X181)&lt;=0),$AE181,IF($P181="다기관파견",$AE181,IF($AE181="구리병원",IF(AND($Q181&lt;&gt;"",N($X181)&gt;=요약!$E$3),$Q181,$AE181),IF(AND($P181="일반파견(단독)",$Q181&lt;&gt;""),$Q181,$AE181))))))</f>
        <v/>
      </c>
      <c r="Z181" s="17">
        <f>IF($B181="","",IF($AB181="","기본자료에 없는 사번",IF(COUNTIF($B$2:$B$201,$B181)&gt;1,"중복 사번",IF($M181="","입사장소 입력",IF(AND($P181&lt;&gt;"",$S181=""),"파견시작일 입력",IF(AND($S181&lt;&gt;"",$P181=""),"파견종류 입력",IF(AND($P181&lt;&gt;"",$P181&lt;&gt;"다기관파견",$Q181=""),"파견병원 입력",IF(IF($AC181="",0,N(INDEX(인턴근무계획!$T$3:$T$202,$AC181)))&gt;0,"인턴계획 입력오류 확인",IF(AND($AC181&lt;&gt;"",$U181&lt;&gt;"파견중",$N181&lt;&gt;$AE181),"인턴 타지역 근무: 파견 여부 확인","정상")))))))))</f>
        <v/>
      </c>
      <c r="AA181" s="5" t="n"/>
      <c r="AB181" s="10">
        <f>IF($B181="","",IFERROR(MATCH($B181,기본자료!$B$2:$B$501,0),IFERROR(MATCH($B181&amp;"",기본자료!$B$2:$B$501,0),IFERROR(MATCH(VALUE($B181),기본자료!$B$2:$B$501,0),""))))</f>
        <v/>
      </c>
      <c r="AC181" s="10">
        <f>IF($B181="","",IFERROR(MATCH($B181,인턴근무계획!$D$3:$D$202,0),IFERROR(MATCH($B181&amp;"",인턴근무계획!$D$3:$D$202,0),IFERROR(MATCH(VALUE($B181),인턴근무계획!$D$3:$D$202,0),""))))</f>
        <v/>
      </c>
      <c r="AD181" s="10">
        <f>IF(OR($AC181="",인턴현황!$G$3=""),"",INDEX(인턴근무계획!$M$3:$R$202,$AC181,인턴현황!$G$3)&amp;"")</f>
        <v/>
      </c>
      <c r="AE181" s="10">
        <f>IF($B181="","",IF($M181&lt;&gt;"",$M181,IF($H181="","",IF(RIGHT($H181,2)="병원",$H181,$H181&amp;"병원"))))</f>
        <v/>
      </c>
    </row>
    <row r="182">
      <c r="A182" s="10">
        <f>IF(B182="","",ROW()-1)</f>
        <v/>
      </c>
      <c r="B182" s="13" t="n"/>
      <c r="C182" s="10">
        <f>IF($AB182="","",IF(INDEX(기본자료!$C$2:$C$501,$AB182)="","",INDEX(기본자료!$C$2:$C$501,$AB182)))</f>
        <v/>
      </c>
      <c r="D182" s="10">
        <f>IF($AB182="","",IF(INDEX(기본자료!$J$2:$J$501,$AB182)="","",INDEX(기본자료!$J$2:$J$501,$AB182)))</f>
        <v/>
      </c>
      <c r="E182" s="11">
        <f>IF($AB182="","",IF(INDEX(기본자료!$K$2:$K$501,$AB182)="","",IF(NOT(ISNUMBER(INDEX(기본자료!$K$2:$K$501,$AB182))),INDEX(기본자료!$K$2:$K$501,$AB182),IF(INDEX(기본자료!$K$2:$K$501,$AB182)&lt;1000000,INDEX(기본자료!$K$2:$K$501,$AB182),IF(AND(INDEX(기본자료!$K$2:$K$501,$AB182)&gt;=10000101,INT(MOD(INDEX(기본자료!$K$2:$K$501,$AB182),10000)/100)&gt;=1,INT(MOD(INDEX(기본자료!$K$2:$K$501,$AB182),10000)/100)&lt;=12,MOD(INDEX(기본자료!$K$2:$K$501,$AB182),100)&gt;=1,MOD(INDEX(기본자료!$K$2:$K$501,$AB182),100)&lt;=31),DATE(INT(INDEX(기본자료!$K$2:$K$501,$AB182)/10000),INT(MOD(INDEX(기본자료!$K$2:$K$501,$AB182),10000)/100),MOD(INDEX(기본자료!$K$2:$K$501,$AB182),100)),INDEX(기본자료!$K$2:$K$501,$AB182)&amp;"")))))</f>
        <v/>
      </c>
      <c r="F182" s="10">
        <f>IF($AB182="","",IF(INDEX(기본자료!$D$2:$D$501,$AB182)="","",INDEX(기본자료!$D$2:$D$501,$AB182)))</f>
        <v/>
      </c>
      <c r="G182" s="10">
        <f>IF($AB182="","",IF(INDEX(기본자료!$E$2:$E$501,$AB182)="","",INDEX(기본자료!$E$2:$E$501,$AB182)))</f>
        <v/>
      </c>
      <c r="H182" s="10">
        <f>IF($AB182="","",IF(INDEX(기본자료!$F$2:$F$501,$AB182)="","",INDEX(기본자료!$F$2:$F$501,$AB182)))</f>
        <v/>
      </c>
      <c r="I182" s="11">
        <f>IF($AB182="","",IF(INDEX(기본자료!$G$2:$G$501,$AB182)="","",IF(NOT(ISNUMBER(INDEX(기본자료!$G$2:$G$501,$AB182))),INDEX(기본자료!$G$2:$G$501,$AB182),IF(INDEX(기본자료!$G$2:$G$501,$AB182)&lt;1000000,INDEX(기본자료!$G$2:$G$501,$AB182),IF(AND(INDEX(기본자료!$G$2:$G$501,$AB182)&gt;=10000101,INT(MOD(INDEX(기본자료!$G$2:$G$501,$AB182),10000)/100)&gt;=1,INT(MOD(INDEX(기본자료!$G$2:$G$501,$AB182),10000)/100)&lt;=12,MOD(INDEX(기본자료!$G$2:$G$501,$AB182),100)&gt;=1,MOD(INDEX(기본자료!$G$2:$G$501,$AB182),100)&lt;=31),DATE(INT(INDEX(기본자료!$G$2:$G$501,$AB182)/10000),INT(MOD(INDEX(기본자료!$G$2:$G$501,$AB182),10000)/100),MOD(INDEX(기본자료!$G$2:$G$501,$AB182),100)),INDEX(기본자료!$G$2:$G$501,$AB182)&amp;"")))))</f>
        <v/>
      </c>
      <c r="J182" s="10">
        <f>IF($AB182="","",IF(INDEX(기본자료!$H$2:$H$501,$AB182)="","",INDEX(기본자료!$H$2:$H$501,$AB182)))</f>
        <v/>
      </c>
      <c r="K182" s="10">
        <f>IF($AB182="","",IF(INDEX(기본자료!$I$2:$I$501,$AB182)="","",INDEX(기본자료!$I$2:$I$501,$AB182)))</f>
        <v/>
      </c>
      <c r="L182" s="10">
        <f>IF($AB182="","",IF(INDEX(기본자료!$A$2:$A$501,$AB182)="","",INDEX(기본자료!$A$2:$A$501,$AB182)))</f>
        <v/>
      </c>
      <c r="M182" s="14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4" t="n"/>
      <c r="Q182" s="14" t="n"/>
      <c r="R182" s="14" t="n"/>
      <c r="S182" s="15" t="n"/>
      <c r="T182" s="15" t="n"/>
      <c r="U182" s="10">
        <f>IF(OR($B182="",$S182=""),"",IF(TODAY()&lt;$S182,"파견예정",IF(AND($T182&lt;&gt;"",TODAY()&gt;$T182),"파견종료","파견중")))</f>
        <v/>
      </c>
      <c r="V182" s="16">
        <f>IF(OR($S182="",$T182=""),"",$T182-$S182+1)</f>
        <v/>
      </c>
      <c r="W182" s="16">
        <f>IF(AND($U182="파견중",$T182&lt;&gt;""),$T182-TODAY(),"")</f>
        <v/>
      </c>
      <c r="X182" s="16">
        <f>IF(OR($B182="",$S182=""),"",MAX(0,MIN(IF($T182="",EOMONTH(요약!$B$3,0),$T182),EOMONTH(요약!$B$3,0))-MAX($S182,요약!$B$3)+1))</f>
        <v/>
      </c>
      <c r="Y182" s="10">
        <f>IF($B182="","",IF($AE182="","",IF(OR($S182="",$P182="",N($X182)&lt;=0),$AE182,IF($P182="다기관파견",$AE182,IF($AE182="구리병원",IF(AND($Q182&lt;&gt;"",N($X182)&gt;=요약!$E$3),$Q182,$AE182),IF(AND($P182="일반파견(단독)",$Q182&lt;&gt;""),$Q182,$AE182))))))</f>
        <v/>
      </c>
      <c r="Z182" s="17">
        <f>IF($B182="","",IF($AB182="","기본자료에 없는 사번",IF(COUNTIF($B$2:$B$201,$B182)&gt;1,"중복 사번",IF($M182="","입사장소 입력",IF(AND($P182&lt;&gt;"",$S182=""),"파견시작일 입력",IF(AND($S182&lt;&gt;"",$P182=""),"파견종류 입력",IF(AND($P182&lt;&gt;"",$P182&lt;&gt;"다기관파견",$Q182=""),"파견병원 입력",IF(IF($AC182="",0,N(INDEX(인턴근무계획!$T$3:$T$202,$AC182)))&gt;0,"인턴계획 입력오류 확인",IF(AND($AC182&lt;&gt;"",$U182&lt;&gt;"파견중",$N182&lt;&gt;$AE182),"인턴 타지역 근무: 파견 여부 확인","정상")))))))))</f>
        <v/>
      </c>
      <c r="AA182" s="5" t="n"/>
      <c r="AB182" s="10">
        <f>IF($B182="","",IFERROR(MATCH($B182,기본자료!$B$2:$B$501,0),IFERROR(MATCH($B182&amp;"",기본자료!$B$2:$B$501,0),IFERROR(MATCH(VALUE($B182),기본자료!$B$2:$B$501,0),""))))</f>
        <v/>
      </c>
      <c r="AC182" s="10">
        <f>IF($B182="","",IFERROR(MATCH($B182,인턴근무계획!$D$3:$D$202,0),IFERROR(MATCH($B182&amp;"",인턴근무계획!$D$3:$D$202,0),IFERROR(MATCH(VALUE($B182),인턴근무계획!$D$3:$D$202,0),""))))</f>
        <v/>
      </c>
      <c r="AD182" s="10">
        <f>IF(OR($AC182="",인턴현황!$G$3=""),"",INDEX(인턴근무계획!$M$3:$R$202,$AC182,인턴현황!$G$3)&amp;"")</f>
        <v/>
      </c>
      <c r="AE182" s="10">
        <f>IF($B182="","",IF($M182&lt;&gt;"",$M182,IF($H182="","",IF(RIGHT($H182,2)="병원",$H182,$H182&amp;"병원"))))</f>
        <v/>
      </c>
    </row>
    <row r="183">
      <c r="A183" s="10">
        <f>IF(B183="","",ROW()-1)</f>
        <v/>
      </c>
      <c r="B183" s="13" t="n"/>
      <c r="C183" s="10">
        <f>IF($AB183="","",IF(INDEX(기본자료!$C$2:$C$501,$AB183)="","",INDEX(기본자료!$C$2:$C$501,$AB183)))</f>
        <v/>
      </c>
      <c r="D183" s="10">
        <f>IF($AB183="","",IF(INDEX(기본자료!$J$2:$J$501,$AB183)="","",INDEX(기본자료!$J$2:$J$501,$AB183)))</f>
        <v/>
      </c>
      <c r="E183" s="11">
        <f>IF($AB183="","",IF(INDEX(기본자료!$K$2:$K$501,$AB183)="","",IF(NOT(ISNUMBER(INDEX(기본자료!$K$2:$K$501,$AB183))),INDEX(기본자료!$K$2:$K$501,$AB183),IF(INDEX(기본자료!$K$2:$K$501,$AB183)&lt;1000000,INDEX(기본자료!$K$2:$K$501,$AB183),IF(AND(INDEX(기본자료!$K$2:$K$501,$AB183)&gt;=10000101,INT(MOD(INDEX(기본자료!$K$2:$K$501,$AB183),10000)/100)&gt;=1,INT(MOD(INDEX(기본자료!$K$2:$K$501,$AB183),10000)/100)&lt;=12,MOD(INDEX(기본자료!$K$2:$K$501,$AB183),100)&gt;=1,MOD(INDEX(기본자료!$K$2:$K$501,$AB183),100)&lt;=31),DATE(INT(INDEX(기본자료!$K$2:$K$501,$AB183)/10000),INT(MOD(INDEX(기본자료!$K$2:$K$501,$AB183),10000)/100),MOD(INDEX(기본자료!$K$2:$K$501,$AB183),100)),INDEX(기본자료!$K$2:$K$501,$AB183)&amp;"")))))</f>
        <v/>
      </c>
      <c r="F183" s="10">
        <f>IF($AB183="","",IF(INDEX(기본자료!$D$2:$D$501,$AB183)="","",INDEX(기본자료!$D$2:$D$501,$AB183)))</f>
        <v/>
      </c>
      <c r="G183" s="10">
        <f>IF($AB183="","",IF(INDEX(기본자료!$E$2:$E$501,$AB183)="","",INDEX(기본자료!$E$2:$E$501,$AB183)))</f>
        <v/>
      </c>
      <c r="H183" s="10">
        <f>IF($AB183="","",IF(INDEX(기본자료!$F$2:$F$501,$AB183)="","",INDEX(기본자료!$F$2:$F$501,$AB183)))</f>
        <v/>
      </c>
      <c r="I183" s="11">
        <f>IF($AB183="","",IF(INDEX(기본자료!$G$2:$G$501,$AB183)="","",IF(NOT(ISNUMBER(INDEX(기본자료!$G$2:$G$501,$AB183))),INDEX(기본자료!$G$2:$G$501,$AB183),IF(INDEX(기본자료!$G$2:$G$501,$AB183)&lt;1000000,INDEX(기본자료!$G$2:$G$501,$AB183),IF(AND(INDEX(기본자료!$G$2:$G$501,$AB183)&gt;=10000101,INT(MOD(INDEX(기본자료!$G$2:$G$501,$AB183),10000)/100)&gt;=1,INT(MOD(INDEX(기본자료!$G$2:$G$501,$AB183),10000)/100)&lt;=12,MOD(INDEX(기본자료!$G$2:$G$501,$AB183),100)&gt;=1,MOD(INDEX(기본자료!$G$2:$G$501,$AB183),100)&lt;=31),DATE(INT(INDEX(기본자료!$G$2:$G$501,$AB183)/10000),INT(MOD(INDEX(기본자료!$G$2:$G$501,$AB183),10000)/100),MOD(INDEX(기본자료!$G$2:$G$501,$AB183),100)),INDEX(기본자료!$G$2:$G$501,$AB183)&amp;"")))))</f>
        <v/>
      </c>
      <c r="J183" s="10">
        <f>IF($AB183="","",IF(INDEX(기본자료!$H$2:$H$501,$AB183)="","",INDEX(기본자료!$H$2:$H$501,$AB183)))</f>
        <v/>
      </c>
      <c r="K183" s="10">
        <f>IF($AB183="","",IF(INDEX(기본자료!$I$2:$I$501,$AB183)="","",INDEX(기본자료!$I$2:$I$501,$AB183)))</f>
        <v/>
      </c>
      <c r="L183" s="10">
        <f>IF($AB183="","",IF(INDEX(기본자료!$A$2:$A$501,$AB183)="","",INDEX(기본자료!$A$2:$A$501,$AB183)))</f>
        <v/>
      </c>
      <c r="M183" s="14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4" t="n"/>
      <c r="Q183" s="14" t="n"/>
      <c r="R183" s="14" t="n"/>
      <c r="S183" s="15" t="n"/>
      <c r="T183" s="15" t="n"/>
      <c r="U183" s="10">
        <f>IF(OR($B183="",$S183=""),"",IF(TODAY()&lt;$S183,"파견예정",IF(AND($T183&lt;&gt;"",TODAY()&gt;$T183),"파견종료","파견중")))</f>
        <v/>
      </c>
      <c r="V183" s="16">
        <f>IF(OR($S183="",$T183=""),"",$T183-$S183+1)</f>
        <v/>
      </c>
      <c r="W183" s="16">
        <f>IF(AND($U183="파견중",$T183&lt;&gt;""),$T183-TODAY(),"")</f>
        <v/>
      </c>
      <c r="X183" s="16">
        <f>IF(OR($B183="",$S183=""),"",MAX(0,MIN(IF($T183="",EOMONTH(요약!$B$3,0),$T183),EOMONTH(요약!$B$3,0))-MAX($S183,요약!$B$3)+1))</f>
        <v/>
      </c>
      <c r="Y183" s="10">
        <f>IF($B183="","",IF($AE183="","",IF(OR($S183="",$P183="",N($X183)&lt;=0),$AE183,IF($P183="다기관파견",$AE183,IF($AE183="구리병원",IF(AND($Q183&lt;&gt;"",N($X183)&gt;=요약!$E$3),$Q183,$AE183),IF(AND($P183="일반파견(단독)",$Q183&lt;&gt;""),$Q183,$AE183))))))</f>
        <v/>
      </c>
      <c r="Z183" s="17">
        <f>IF($B183="","",IF($AB183="","기본자료에 없는 사번",IF(COUNTIF($B$2:$B$201,$B183)&gt;1,"중복 사번",IF($M183="","입사장소 입력",IF(AND($P183&lt;&gt;"",$S183=""),"파견시작일 입력",IF(AND($S183&lt;&gt;"",$P183=""),"파견종류 입력",IF(AND($P183&lt;&gt;"",$P183&lt;&gt;"다기관파견",$Q183=""),"파견병원 입력",IF(IF($AC183="",0,N(INDEX(인턴근무계획!$T$3:$T$202,$AC183)))&gt;0,"인턴계획 입력오류 확인",IF(AND($AC183&lt;&gt;"",$U183&lt;&gt;"파견중",$N183&lt;&gt;$AE183),"인턴 타지역 근무: 파견 여부 확인","정상")))))))))</f>
        <v/>
      </c>
      <c r="AA183" s="5" t="n"/>
      <c r="AB183" s="10">
        <f>IF($B183="","",IFERROR(MATCH($B183,기본자료!$B$2:$B$501,0),IFERROR(MATCH($B183&amp;"",기본자료!$B$2:$B$501,0),IFERROR(MATCH(VALUE($B183),기본자료!$B$2:$B$501,0),""))))</f>
        <v/>
      </c>
      <c r="AC183" s="10">
        <f>IF($B183="","",IFERROR(MATCH($B183,인턴근무계획!$D$3:$D$202,0),IFERROR(MATCH($B183&amp;"",인턴근무계획!$D$3:$D$202,0),IFERROR(MATCH(VALUE($B183),인턴근무계획!$D$3:$D$202,0),""))))</f>
        <v/>
      </c>
      <c r="AD183" s="10">
        <f>IF(OR($AC183="",인턴현황!$G$3=""),"",INDEX(인턴근무계획!$M$3:$R$202,$AC183,인턴현황!$G$3)&amp;"")</f>
        <v/>
      </c>
      <c r="AE183" s="10">
        <f>IF($B183="","",IF($M183&lt;&gt;"",$M183,IF($H183="","",IF(RIGHT($H183,2)="병원",$H183,$H183&amp;"병원"))))</f>
        <v/>
      </c>
    </row>
    <row r="184">
      <c r="A184" s="10">
        <f>IF(B184="","",ROW()-1)</f>
        <v/>
      </c>
      <c r="B184" s="13" t="n"/>
      <c r="C184" s="10">
        <f>IF($AB184="","",IF(INDEX(기본자료!$C$2:$C$501,$AB184)="","",INDEX(기본자료!$C$2:$C$501,$AB184)))</f>
        <v/>
      </c>
      <c r="D184" s="10">
        <f>IF($AB184="","",IF(INDEX(기본자료!$J$2:$J$501,$AB184)="","",INDEX(기본자료!$J$2:$J$501,$AB184)))</f>
        <v/>
      </c>
      <c r="E184" s="11">
        <f>IF($AB184="","",IF(INDEX(기본자료!$K$2:$K$501,$AB184)="","",IF(NOT(ISNUMBER(INDEX(기본자료!$K$2:$K$501,$AB184))),INDEX(기본자료!$K$2:$K$501,$AB184),IF(INDEX(기본자료!$K$2:$K$501,$AB184)&lt;1000000,INDEX(기본자료!$K$2:$K$501,$AB184),IF(AND(INDEX(기본자료!$K$2:$K$501,$AB184)&gt;=10000101,INT(MOD(INDEX(기본자료!$K$2:$K$501,$AB184),10000)/100)&gt;=1,INT(MOD(INDEX(기본자료!$K$2:$K$501,$AB184),10000)/100)&lt;=12,MOD(INDEX(기본자료!$K$2:$K$501,$AB184),100)&gt;=1,MOD(INDEX(기본자료!$K$2:$K$501,$AB184),100)&lt;=31),DATE(INT(INDEX(기본자료!$K$2:$K$501,$AB184)/10000),INT(MOD(INDEX(기본자료!$K$2:$K$501,$AB184),10000)/100),MOD(INDEX(기본자료!$K$2:$K$501,$AB184),100)),INDEX(기본자료!$K$2:$K$501,$AB184)&amp;"")))))</f>
        <v/>
      </c>
      <c r="F184" s="10">
        <f>IF($AB184="","",IF(INDEX(기본자료!$D$2:$D$501,$AB184)="","",INDEX(기본자료!$D$2:$D$501,$AB184)))</f>
        <v/>
      </c>
      <c r="G184" s="10">
        <f>IF($AB184="","",IF(INDEX(기본자료!$E$2:$E$501,$AB184)="","",INDEX(기본자료!$E$2:$E$501,$AB184)))</f>
        <v/>
      </c>
      <c r="H184" s="10">
        <f>IF($AB184="","",IF(INDEX(기본자료!$F$2:$F$501,$AB184)="","",INDEX(기본자료!$F$2:$F$501,$AB184)))</f>
        <v/>
      </c>
      <c r="I184" s="11">
        <f>IF($AB184="","",IF(INDEX(기본자료!$G$2:$G$501,$AB184)="","",IF(NOT(ISNUMBER(INDEX(기본자료!$G$2:$G$501,$AB184))),INDEX(기본자료!$G$2:$G$501,$AB184),IF(INDEX(기본자료!$G$2:$G$501,$AB184)&lt;1000000,INDEX(기본자료!$G$2:$G$501,$AB184),IF(AND(INDEX(기본자료!$G$2:$G$501,$AB184)&gt;=10000101,INT(MOD(INDEX(기본자료!$G$2:$G$501,$AB184),10000)/100)&gt;=1,INT(MOD(INDEX(기본자료!$G$2:$G$501,$AB184),10000)/100)&lt;=12,MOD(INDEX(기본자료!$G$2:$G$501,$AB184),100)&gt;=1,MOD(INDEX(기본자료!$G$2:$G$501,$AB184),100)&lt;=31),DATE(INT(INDEX(기본자료!$G$2:$G$501,$AB184)/10000),INT(MOD(INDEX(기본자료!$G$2:$G$501,$AB184),10000)/100),MOD(INDEX(기본자료!$G$2:$G$501,$AB184),100)),INDEX(기본자료!$G$2:$G$501,$AB184)&amp;"")))))</f>
        <v/>
      </c>
      <c r="J184" s="10">
        <f>IF($AB184="","",IF(INDEX(기본자료!$H$2:$H$501,$AB184)="","",INDEX(기본자료!$H$2:$H$501,$AB184)))</f>
        <v/>
      </c>
      <c r="K184" s="10">
        <f>IF($AB184="","",IF(INDEX(기본자료!$I$2:$I$501,$AB184)="","",INDEX(기본자료!$I$2:$I$501,$AB184)))</f>
        <v/>
      </c>
      <c r="L184" s="10">
        <f>IF($AB184="","",IF(INDEX(기본자료!$A$2:$A$501,$AB184)="","",INDEX(기본자료!$A$2:$A$501,$AB184)))</f>
        <v/>
      </c>
      <c r="M184" s="14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4" t="n"/>
      <c r="Q184" s="14" t="n"/>
      <c r="R184" s="14" t="n"/>
      <c r="S184" s="15" t="n"/>
      <c r="T184" s="15" t="n"/>
      <c r="U184" s="10">
        <f>IF(OR($B184="",$S184=""),"",IF(TODAY()&lt;$S184,"파견예정",IF(AND($T184&lt;&gt;"",TODAY()&gt;$T184),"파견종료","파견중")))</f>
        <v/>
      </c>
      <c r="V184" s="16">
        <f>IF(OR($S184="",$T184=""),"",$T184-$S184+1)</f>
        <v/>
      </c>
      <c r="W184" s="16">
        <f>IF(AND($U184="파견중",$T184&lt;&gt;""),$T184-TODAY(),"")</f>
        <v/>
      </c>
      <c r="X184" s="16">
        <f>IF(OR($B184="",$S184=""),"",MAX(0,MIN(IF($T184="",EOMONTH(요약!$B$3,0),$T184),EOMONTH(요약!$B$3,0))-MAX($S184,요약!$B$3)+1))</f>
        <v/>
      </c>
      <c r="Y184" s="10">
        <f>IF($B184="","",IF($AE184="","",IF(OR($S184="",$P184="",N($X184)&lt;=0),$AE184,IF($P184="다기관파견",$AE184,IF($AE184="구리병원",IF(AND($Q184&lt;&gt;"",N($X184)&gt;=요약!$E$3),$Q184,$AE184),IF(AND($P184="일반파견(단독)",$Q184&lt;&gt;""),$Q184,$AE184))))))</f>
        <v/>
      </c>
      <c r="Z184" s="17">
        <f>IF($B184="","",IF($AB184="","기본자료에 없는 사번",IF(COUNTIF($B$2:$B$201,$B184)&gt;1,"중복 사번",IF($M184="","입사장소 입력",IF(AND($P184&lt;&gt;"",$S184=""),"파견시작일 입력",IF(AND($S184&lt;&gt;"",$P184=""),"파견종류 입력",IF(AND($P184&lt;&gt;"",$P184&lt;&gt;"다기관파견",$Q184=""),"파견병원 입력",IF(IF($AC184="",0,N(INDEX(인턴근무계획!$T$3:$T$202,$AC184)))&gt;0,"인턴계획 입력오류 확인",IF(AND($AC184&lt;&gt;"",$U184&lt;&gt;"파견중",$N184&lt;&gt;$AE184),"인턴 타지역 근무: 파견 여부 확인","정상")))))))))</f>
        <v/>
      </c>
      <c r="AA184" s="5" t="n"/>
      <c r="AB184" s="10">
        <f>IF($B184="","",IFERROR(MATCH($B184,기본자료!$B$2:$B$501,0),IFERROR(MATCH($B184&amp;"",기본자료!$B$2:$B$501,0),IFERROR(MATCH(VALUE($B184),기본자료!$B$2:$B$501,0),""))))</f>
        <v/>
      </c>
      <c r="AC184" s="10">
        <f>IF($B184="","",IFERROR(MATCH($B184,인턴근무계획!$D$3:$D$202,0),IFERROR(MATCH($B184&amp;"",인턴근무계획!$D$3:$D$202,0),IFERROR(MATCH(VALUE($B184),인턴근무계획!$D$3:$D$202,0),""))))</f>
        <v/>
      </c>
      <c r="AD184" s="10">
        <f>IF(OR($AC184="",인턴현황!$G$3=""),"",INDEX(인턴근무계획!$M$3:$R$202,$AC184,인턴현황!$G$3)&amp;"")</f>
        <v/>
      </c>
      <c r="AE184" s="10">
        <f>IF($B184="","",IF($M184&lt;&gt;"",$M184,IF($H184="","",IF(RIGHT($H184,2)="병원",$H184,$H184&amp;"병원"))))</f>
        <v/>
      </c>
    </row>
    <row r="185">
      <c r="A185" s="10">
        <f>IF(B185="","",ROW()-1)</f>
        <v/>
      </c>
      <c r="B185" s="13" t="n"/>
      <c r="C185" s="10">
        <f>IF($AB185="","",IF(INDEX(기본자료!$C$2:$C$501,$AB185)="","",INDEX(기본자료!$C$2:$C$501,$AB185)))</f>
        <v/>
      </c>
      <c r="D185" s="10">
        <f>IF($AB185="","",IF(INDEX(기본자료!$J$2:$J$501,$AB185)="","",INDEX(기본자료!$J$2:$J$501,$AB185)))</f>
        <v/>
      </c>
      <c r="E185" s="11">
        <f>IF($AB185="","",IF(INDEX(기본자료!$K$2:$K$501,$AB185)="","",IF(NOT(ISNUMBER(INDEX(기본자료!$K$2:$K$501,$AB185))),INDEX(기본자료!$K$2:$K$501,$AB185),IF(INDEX(기본자료!$K$2:$K$501,$AB185)&lt;1000000,INDEX(기본자료!$K$2:$K$501,$AB185),IF(AND(INDEX(기본자료!$K$2:$K$501,$AB185)&gt;=10000101,INT(MOD(INDEX(기본자료!$K$2:$K$501,$AB185),10000)/100)&gt;=1,INT(MOD(INDEX(기본자료!$K$2:$K$501,$AB185),10000)/100)&lt;=12,MOD(INDEX(기본자료!$K$2:$K$501,$AB185),100)&gt;=1,MOD(INDEX(기본자료!$K$2:$K$501,$AB185),100)&lt;=31),DATE(INT(INDEX(기본자료!$K$2:$K$501,$AB185)/10000),INT(MOD(INDEX(기본자료!$K$2:$K$501,$AB185),10000)/100),MOD(INDEX(기본자료!$K$2:$K$501,$AB185),100)),INDEX(기본자료!$K$2:$K$501,$AB185)&amp;"")))))</f>
        <v/>
      </c>
      <c r="F185" s="10">
        <f>IF($AB185="","",IF(INDEX(기본자료!$D$2:$D$501,$AB185)="","",INDEX(기본자료!$D$2:$D$501,$AB185)))</f>
        <v/>
      </c>
      <c r="G185" s="10">
        <f>IF($AB185="","",IF(INDEX(기본자료!$E$2:$E$501,$AB185)="","",INDEX(기본자료!$E$2:$E$501,$AB185)))</f>
        <v/>
      </c>
      <c r="H185" s="10">
        <f>IF($AB185="","",IF(INDEX(기본자료!$F$2:$F$501,$AB185)="","",INDEX(기본자료!$F$2:$F$501,$AB185)))</f>
        <v/>
      </c>
      <c r="I185" s="11">
        <f>IF($AB185="","",IF(INDEX(기본자료!$G$2:$G$501,$AB185)="","",IF(NOT(ISNUMBER(INDEX(기본자료!$G$2:$G$501,$AB185))),INDEX(기본자료!$G$2:$G$501,$AB185),IF(INDEX(기본자료!$G$2:$G$501,$AB185)&lt;1000000,INDEX(기본자료!$G$2:$G$501,$AB185),IF(AND(INDEX(기본자료!$G$2:$G$501,$AB185)&gt;=10000101,INT(MOD(INDEX(기본자료!$G$2:$G$501,$AB185),10000)/100)&gt;=1,INT(MOD(INDEX(기본자료!$G$2:$G$501,$AB185),10000)/100)&lt;=12,MOD(INDEX(기본자료!$G$2:$G$501,$AB185),100)&gt;=1,MOD(INDEX(기본자료!$G$2:$G$501,$AB185),100)&lt;=31),DATE(INT(INDEX(기본자료!$G$2:$G$501,$AB185)/10000),INT(MOD(INDEX(기본자료!$G$2:$G$501,$AB185),10000)/100),MOD(INDEX(기본자료!$G$2:$G$501,$AB185),100)),INDEX(기본자료!$G$2:$G$501,$AB185)&amp;"")))))</f>
        <v/>
      </c>
      <c r="J185" s="10">
        <f>IF($AB185="","",IF(INDEX(기본자료!$H$2:$H$501,$AB185)="","",INDEX(기본자료!$H$2:$H$501,$AB185)))</f>
        <v/>
      </c>
      <c r="K185" s="10">
        <f>IF($AB185="","",IF(INDEX(기본자료!$I$2:$I$501,$AB185)="","",INDEX(기본자료!$I$2:$I$501,$AB185)))</f>
        <v/>
      </c>
      <c r="L185" s="10">
        <f>IF($AB185="","",IF(INDEX(기본자료!$A$2:$A$501,$AB185)="","",INDEX(기본자료!$A$2:$A$501,$AB185)))</f>
        <v/>
      </c>
      <c r="M185" s="14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4" t="n"/>
      <c r="Q185" s="14" t="n"/>
      <c r="R185" s="14" t="n"/>
      <c r="S185" s="15" t="n"/>
      <c r="T185" s="15" t="n"/>
      <c r="U185" s="10">
        <f>IF(OR($B185="",$S185=""),"",IF(TODAY()&lt;$S185,"파견예정",IF(AND($T185&lt;&gt;"",TODAY()&gt;$T185),"파견종료","파견중")))</f>
        <v/>
      </c>
      <c r="V185" s="16">
        <f>IF(OR($S185="",$T185=""),"",$T185-$S185+1)</f>
        <v/>
      </c>
      <c r="W185" s="16">
        <f>IF(AND($U185="파견중",$T185&lt;&gt;""),$T185-TODAY(),"")</f>
        <v/>
      </c>
      <c r="X185" s="16">
        <f>IF(OR($B185="",$S185=""),"",MAX(0,MIN(IF($T185="",EOMONTH(요약!$B$3,0),$T185),EOMONTH(요약!$B$3,0))-MAX($S185,요약!$B$3)+1))</f>
        <v/>
      </c>
      <c r="Y185" s="10">
        <f>IF($B185="","",IF($AE185="","",IF(OR($S185="",$P185="",N($X185)&lt;=0),$AE185,IF($P185="다기관파견",$AE185,IF($AE185="구리병원",IF(AND($Q185&lt;&gt;"",N($X185)&gt;=요약!$E$3),$Q185,$AE185),IF(AND($P185="일반파견(단독)",$Q185&lt;&gt;""),$Q185,$AE185))))))</f>
        <v/>
      </c>
      <c r="Z185" s="17">
        <f>IF($B185="","",IF($AB185="","기본자료에 없는 사번",IF(COUNTIF($B$2:$B$201,$B185)&gt;1,"중복 사번",IF($M185="","입사장소 입력",IF(AND($P185&lt;&gt;"",$S185=""),"파견시작일 입력",IF(AND($S185&lt;&gt;"",$P185=""),"파견종류 입력",IF(AND($P185&lt;&gt;"",$P185&lt;&gt;"다기관파견",$Q185=""),"파견병원 입력",IF(IF($AC185="",0,N(INDEX(인턴근무계획!$T$3:$T$202,$AC185)))&gt;0,"인턴계획 입력오류 확인",IF(AND($AC185&lt;&gt;"",$U185&lt;&gt;"파견중",$N185&lt;&gt;$AE185),"인턴 타지역 근무: 파견 여부 확인","정상")))))))))</f>
        <v/>
      </c>
      <c r="AA185" s="5" t="n"/>
      <c r="AB185" s="10">
        <f>IF($B185="","",IFERROR(MATCH($B185,기본자료!$B$2:$B$501,0),IFERROR(MATCH($B185&amp;"",기본자료!$B$2:$B$501,0),IFERROR(MATCH(VALUE($B185),기본자료!$B$2:$B$501,0),""))))</f>
        <v/>
      </c>
      <c r="AC185" s="10">
        <f>IF($B185="","",IFERROR(MATCH($B185,인턴근무계획!$D$3:$D$202,0),IFERROR(MATCH($B185&amp;"",인턴근무계획!$D$3:$D$202,0),IFERROR(MATCH(VALUE($B185),인턴근무계획!$D$3:$D$202,0),""))))</f>
        <v/>
      </c>
      <c r="AD185" s="10">
        <f>IF(OR($AC185="",인턴현황!$G$3=""),"",INDEX(인턴근무계획!$M$3:$R$202,$AC185,인턴현황!$G$3)&amp;"")</f>
        <v/>
      </c>
      <c r="AE185" s="10">
        <f>IF($B185="","",IF($M185&lt;&gt;"",$M185,IF($H185="","",IF(RIGHT($H185,2)="병원",$H185,$H185&amp;"병원"))))</f>
        <v/>
      </c>
    </row>
    <row r="186">
      <c r="A186" s="10">
        <f>IF(B186="","",ROW()-1)</f>
        <v/>
      </c>
      <c r="B186" s="13" t="n"/>
      <c r="C186" s="10">
        <f>IF($AB186="","",IF(INDEX(기본자료!$C$2:$C$501,$AB186)="","",INDEX(기본자료!$C$2:$C$501,$AB186)))</f>
        <v/>
      </c>
      <c r="D186" s="10">
        <f>IF($AB186="","",IF(INDEX(기본자료!$J$2:$J$501,$AB186)="","",INDEX(기본자료!$J$2:$J$501,$AB186)))</f>
        <v/>
      </c>
      <c r="E186" s="11">
        <f>IF($AB186="","",IF(INDEX(기본자료!$K$2:$K$501,$AB186)="","",IF(NOT(ISNUMBER(INDEX(기본자료!$K$2:$K$501,$AB186))),INDEX(기본자료!$K$2:$K$501,$AB186),IF(INDEX(기본자료!$K$2:$K$501,$AB186)&lt;1000000,INDEX(기본자료!$K$2:$K$501,$AB186),IF(AND(INDEX(기본자료!$K$2:$K$501,$AB186)&gt;=10000101,INT(MOD(INDEX(기본자료!$K$2:$K$501,$AB186),10000)/100)&gt;=1,INT(MOD(INDEX(기본자료!$K$2:$K$501,$AB186),10000)/100)&lt;=12,MOD(INDEX(기본자료!$K$2:$K$501,$AB186),100)&gt;=1,MOD(INDEX(기본자료!$K$2:$K$501,$AB186),100)&lt;=31),DATE(INT(INDEX(기본자료!$K$2:$K$501,$AB186)/10000),INT(MOD(INDEX(기본자료!$K$2:$K$501,$AB186),10000)/100),MOD(INDEX(기본자료!$K$2:$K$501,$AB186),100)),INDEX(기본자료!$K$2:$K$501,$AB186)&amp;"")))))</f>
        <v/>
      </c>
      <c r="F186" s="10">
        <f>IF($AB186="","",IF(INDEX(기본자료!$D$2:$D$501,$AB186)="","",INDEX(기본자료!$D$2:$D$501,$AB186)))</f>
        <v/>
      </c>
      <c r="G186" s="10">
        <f>IF($AB186="","",IF(INDEX(기본자료!$E$2:$E$501,$AB186)="","",INDEX(기본자료!$E$2:$E$501,$AB186)))</f>
        <v/>
      </c>
      <c r="H186" s="10">
        <f>IF($AB186="","",IF(INDEX(기본자료!$F$2:$F$501,$AB186)="","",INDEX(기본자료!$F$2:$F$501,$AB186)))</f>
        <v/>
      </c>
      <c r="I186" s="11">
        <f>IF($AB186="","",IF(INDEX(기본자료!$G$2:$G$501,$AB186)="","",IF(NOT(ISNUMBER(INDEX(기본자료!$G$2:$G$501,$AB186))),INDEX(기본자료!$G$2:$G$501,$AB186),IF(INDEX(기본자료!$G$2:$G$501,$AB186)&lt;1000000,INDEX(기본자료!$G$2:$G$501,$AB186),IF(AND(INDEX(기본자료!$G$2:$G$501,$AB186)&gt;=10000101,INT(MOD(INDEX(기본자료!$G$2:$G$501,$AB186),10000)/100)&gt;=1,INT(MOD(INDEX(기본자료!$G$2:$G$501,$AB186),10000)/100)&lt;=12,MOD(INDEX(기본자료!$G$2:$G$501,$AB186),100)&gt;=1,MOD(INDEX(기본자료!$G$2:$G$501,$AB186),100)&lt;=31),DATE(INT(INDEX(기본자료!$G$2:$G$501,$AB186)/10000),INT(MOD(INDEX(기본자료!$G$2:$G$501,$AB186),10000)/100),MOD(INDEX(기본자료!$G$2:$G$501,$AB186),100)),INDEX(기본자료!$G$2:$G$501,$AB186)&amp;"")))))</f>
        <v/>
      </c>
      <c r="J186" s="10">
        <f>IF($AB186="","",IF(INDEX(기본자료!$H$2:$H$501,$AB186)="","",INDEX(기본자료!$H$2:$H$501,$AB186)))</f>
        <v/>
      </c>
      <c r="K186" s="10">
        <f>IF($AB186="","",IF(INDEX(기본자료!$I$2:$I$501,$AB186)="","",INDEX(기본자료!$I$2:$I$501,$AB186)))</f>
        <v/>
      </c>
      <c r="L186" s="10">
        <f>IF($AB186="","",IF(INDEX(기본자료!$A$2:$A$501,$AB186)="","",INDEX(기본자료!$A$2:$A$501,$AB186)))</f>
        <v/>
      </c>
      <c r="M186" s="14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4" t="n"/>
      <c r="Q186" s="14" t="n"/>
      <c r="R186" s="14" t="n"/>
      <c r="S186" s="15" t="n"/>
      <c r="T186" s="15" t="n"/>
      <c r="U186" s="10">
        <f>IF(OR($B186="",$S186=""),"",IF(TODAY()&lt;$S186,"파견예정",IF(AND($T186&lt;&gt;"",TODAY()&gt;$T186),"파견종료","파견중")))</f>
        <v/>
      </c>
      <c r="V186" s="16">
        <f>IF(OR($S186="",$T186=""),"",$T186-$S186+1)</f>
        <v/>
      </c>
      <c r="W186" s="16">
        <f>IF(AND($U186="파견중",$T186&lt;&gt;""),$T186-TODAY(),"")</f>
        <v/>
      </c>
      <c r="X186" s="16">
        <f>IF(OR($B186="",$S186=""),"",MAX(0,MIN(IF($T186="",EOMONTH(요약!$B$3,0),$T186),EOMONTH(요약!$B$3,0))-MAX($S186,요약!$B$3)+1))</f>
        <v/>
      </c>
      <c r="Y186" s="10">
        <f>IF($B186="","",IF($AE186="","",IF(OR($S186="",$P186="",N($X186)&lt;=0),$AE186,IF($P186="다기관파견",$AE186,IF($AE186="구리병원",IF(AND($Q186&lt;&gt;"",N($X186)&gt;=요약!$E$3),$Q186,$AE186),IF(AND($P186="일반파견(단독)",$Q186&lt;&gt;""),$Q186,$AE186))))))</f>
        <v/>
      </c>
      <c r="Z186" s="17">
        <f>IF($B186="","",IF($AB186="","기본자료에 없는 사번",IF(COUNTIF($B$2:$B$201,$B186)&gt;1,"중복 사번",IF($M186="","입사장소 입력",IF(AND($P186&lt;&gt;"",$S186=""),"파견시작일 입력",IF(AND($S186&lt;&gt;"",$P186=""),"파견종류 입력",IF(AND($P186&lt;&gt;"",$P186&lt;&gt;"다기관파견",$Q186=""),"파견병원 입력",IF(IF($AC186="",0,N(INDEX(인턴근무계획!$T$3:$T$202,$AC186)))&gt;0,"인턴계획 입력오류 확인",IF(AND($AC186&lt;&gt;"",$U186&lt;&gt;"파견중",$N186&lt;&gt;$AE186),"인턴 타지역 근무: 파견 여부 확인","정상")))))))))</f>
        <v/>
      </c>
      <c r="AA186" s="5" t="n"/>
      <c r="AB186" s="10">
        <f>IF($B186="","",IFERROR(MATCH($B186,기본자료!$B$2:$B$501,0),IFERROR(MATCH($B186&amp;"",기본자료!$B$2:$B$501,0),IFERROR(MATCH(VALUE($B186),기본자료!$B$2:$B$501,0),""))))</f>
        <v/>
      </c>
      <c r="AC186" s="10">
        <f>IF($B186="","",IFERROR(MATCH($B186,인턴근무계획!$D$3:$D$202,0),IFERROR(MATCH($B186&amp;"",인턴근무계획!$D$3:$D$202,0),IFERROR(MATCH(VALUE($B186),인턴근무계획!$D$3:$D$202,0),""))))</f>
        <v/>
      </c>
      <c r="AD186" s="10">
        <f>IF(OR($AC186="",인턴현황!$G$3=""),"",INDEX(인턴근무계획!$M$3:$R$202,$AC186,인턴현황!$G$3)&amp;"")</f>
        <v/>
      </c>
      <c r="AE186" s="10">
        <f>IF($B186="","",IF($M186&lt;&gt;"",$M186,IF($H186="","",IF(RIGHT($H186,2)="병원",$H186,$H186&amp;"병원"))))</f>
        <v/>
      </c>
    </row>
    <row r="187">
      <c r="A187" s="10">
        <f>IF(B187="","",ROW()-1)</f>
        <v/>
      </c>
      <c r="B187" s="13" t="n"/>
      <c r="C187" s="10">
        <f>IF($AB187="","",IF(INDEX(기본자료!$C$2:$C$501,$AB187)="","",INDEX(기본자료!$C$2:$C$501,$AB187)))</f>
        <v/>
      </c>
      <c r="D187" s="10">
        <f>IF($AB187="","",IF(INDEX(기본자료!$J$2:$J$501,$AB187)="","",INDEX(기본자료!$J$2:$J$501,$AB187)))</f>
        <v/>
      </c>
      <c r="E187" s="11">
        <f>IF($AB187="","",IF(INDEX(기본자료!$K$2:$K$501,$AB187)="","",IF(NOT(ISNUMBER(INDEX(기본자료!$K$2:$K$501,$AB187))),INDEX(기본자료!$K$2:$K$501,$AB187),IF(INDEX(기본자료!$K$2:$K$501,$AB187)&lt;1000000,INDEX(기본자료!$K$2:$K$501,$AB187),IF(AND(INDEX(기본자료!$K$2:$K$501,$AB187)&gt;=10000101,INT(MOD(INDEX(기본자료!$K$2:$K$501,$AB187),10000)/100)&gt;=1,INT(MOD(INDEX(기본자료!$K$2:$K$501,$AB187),10000)/100)&lt;=12,MOD(INDEX(기본자료!$K$2:$K$501,$AB187),100)&gt;=1,MOD(INDEX(기본자료!$K$2:$K$501,$AB187),100)&lt;=31),DATE(INT(INDEX(기본자료!$K$2:$K$501,$AB187)/10000),INT(MOD(INDEX(기본자료!$K$2:$K$501,$AB187),10000)/100),MOD(INDEX(기본자료!$K$2:$K$501,$AB187),100)),INDEX(기본자료!$K$2:$K$501,$AB187)&amp;"")))))</f>
        <v/>
      </c>
      <c r="F187" s="10">
        <f>IF($AB187="","",IF(INDEX(기본자료!$D$2:$D$501,$AB187)="","",INDEX(기본자료!$D$2:$D$501,$AB187)))</f>
        <v/>
      </c>
      <c r="G187" s="10">
        <f>IF($AB187="","",IF(INDEX(기본자료!$E$2:$E$501,$AB187)="","",INDEX(기본자료!$E$2:$E$501,$AB187)))</f>
        <v/>
      </c>
      <c r="H187" s="10">
        <f>IF($AB187="","",IF(INDEX(기본자료!$F$2:$F$501,$AB187)="","",INDEX(기본자료!$F$2:$F$501,$AB187)))</f>
        <v/>
      </c>
      <c r="I187" s="11">
        <f>IF($AB187="","",IF(INDEX(기본자료!$G$2:$G$501,$AB187)="","",IF(NOT(ISNUMBER(INDEX(기본자료!$G$2:$G$501,$AB187))),INDEX(기본자료!$G$2:$G$501,$AB187),IF(INDEX(기본자료!$G$2:$G$501,$AB187)&lt;1000000,INDEX(기본자료!$G$2:$G$501,$AB187),IF(AND(INDEX(기본자료!$G$2:$G$501,$AB187)&gt;=10000101,INT(MOD(INDEX(기본자료!$G$2:$G$501,$AB187),10000)/100)&gt;=1,INT(MOD(INDEX(기본자료!$G$2:$G$501,$AB187),10000)/100)&lt;=12,MOD(INDEX(기본자료!$G$2:$G$501,$AB187),100)&gt;=1,MOD(INDEX(기본자료!$G$2:$G$501,$AB187),100)&lt;=31),DATE(INT(INDEX(기본자료!$G$2:$G$501,$AB187)/10000),INT(MOD(INDEX(기본자료!$G$2:$G$501,$AB187),10000)/100),MOD(INDEX(기본자료!$G$2:$G$501,$AB187),100)),INDEX(기본자료!$G$2:$G$501,$AB187)&amp;"")))))</f>
        <v/>
      </c>
      <c r="J187" s="10">
        <f>IF($AB187="","",IF(INDEX(기본자료!$H$2:$H$501,$AB187)="","",INDEX(기본자료!$H$2:$H$501,$AB187)))</f>
        <v/>
      </c>
      <c r="K187" s="10">
        <f>IF($AB187="","",IF(INDEX(기본자료!$I$2:$I$501,$AB187)="","",INDEX(기본자료!$I$2:$I$501,$AB187)))</f>
        <v/>
      </c>
      <c r="L187" s="10">
        <f>IF($AB187="","",IF(INDEX(기본자료!$A$2:$A$501,$AB187)="","",INDEX(기본자료!$A$2:$A$501,$AB187)))</f>
        <v/>
      </c>
      <c r="M187" s="14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4" t="n"/>
      <c r="Q187" s="14" t="n"/>
      <c r="R187" s="14" t="n"/>
      <c r="S187" s="15" t="n"/>
      <c r="T187" s="15" t="n"/>
      <c r="U187" s="10">
        <f>IF(OR($B187="",$S187=""),"",IF(TODAY()&lt;$S187,"파견예정",IF(AND($T187&lt;&gt;"",TODAY()&gt;$T187),"파견종료","파견중")))</f>
        <v/>
      </c>
      <c r="V187" s="16">
        <f>IF(OR($S187="",$T187=""),"",$T187-$S187+1)</f>
        <v/>
      </c>
      <c r="W187" s="16">
        <f>IF(AND($U187="파견중",$T187&lt;&gt;""),$T187-TODAY(),"")</f>
        <v/>
      </c>
      <c r="X187" s="16">
        <f>IF(OR($B187="",$S187=""),"",MAX(0,MIN(IF($T187="",EOMONTH(요약!$B$3,0),$T187),EOMONTH(요약!$B$3,0))-MAX($S187,요약!$B$3)+1))</f>
        <v/>
      </c>
      <c r="Y187" s="10">
        <f>IF($B187="","",IF($AE187="","",IF(OR($S187="",$P187="",N($X187)&lt;=0),$AE187,IF($P187="다기관파견",$AE187,IF($AE187="구리병원",IF(AND($Q187&lt;&gt;"",N($X187)&gt;=요약!$E$3),$Q187,$AE187),IF(AND($P187="일반파견(단독)",$Q187&lt;&gt;""),$Q187,$AE187))))))</f>
        <v/>
      </c>
      <c r="Z187" s="17">
        <f>IF($B187="","",IF($AB187="","기본자료에 없는 사번",IF(COUNTIF($B$2:$B$201,$B187)&gt;1,"중복 사번",IF($M187="","입사장소 입력",IF(AND($P187&lt;&gt;"",$S187=""),"파견시작일 입력",IF(AND($S187&lt;&gt;"",$P187=""),"파견종류 입력",IF(AND($P187&lt;&gt;"",$P187&lt;&gt;"다기관파견",$Q187=""),"파견병원 입력",IF(IF($AC187="",0,N(INDEX(인턴근무계획!$T$3:$T$202,$AC187)))&gt;0,"인턴계획 입력오류 확인",IF(AND($AC187&lt;&gt;"",$U187&lt;&gt;"파견중",$N187&lt;&gt;$AE187),"인턴 타지역 근무: 파견 여부 확인","정상")))))))))</f>
        <v/>
      </c>
      <c r="AA187" s="5" t="n"/>
      <c r="AB187" s="10">
        <f>IF($B187="","",IFERROR(MATCH($B187,기본자료!$B$2:$B$501,0),IFERROR(MATCH($B187&amp;"",기본자료!$B$2:$B$501,0),IFERROR(MATCH(VALUE($B187),기본자료!$B$2:$B$501,0),""))))</f>
        <v/>
      </c>
      <c r="AC187" s="10">
        <f>IF($B187="","",IFERROR(MATCH($B187,인턴근무계획!$D$3:$D$202,0),IFERROR(MATCH($B187&amp;"",인턴근무계획!$D$3:$D$202,0),IFERROR(MATCH(VALUE($B187),인턴근무계획!$D$3:$D$202,0),""))))</f>
        <v/>
      </c>
      <c r="AD187" s="10">
        <f>IF(OR($AC187="",인턴현황!$G$3=""),"",INDEX(인턴근무계획!$M$3:$R$202,$AC187,인턴현황!$G$3)&amp;"")</f>
        <v/>
      </c>
      <c r="AE187" s="10">
        <f>IF($B187="","",IF($M187&lt;&gt;"",$M187,IF($H187="","",IF(RIGHT($H187,2)="병원",$H187,$H187&amp;"병원"))))</f>
        <v/>
      </c>
    </row>
    <row r="188">
      <c r="A188" s="10">
        <f>IF(B188="","",ROW()-1)</f>
        <v/>
      </c>
      <c r="B188" s="13" t="n"/>
      <c r="C188" s="10">
        <f>IF($AB188="","",IF(INDEX(기본자료!$C$2:$C$501,$AB188)="","",INDEX(기본자료!$C$2:$C$501,$AB188)))</f>
        <v/>
      </c>
      <c r="D188" s="10">
        <f>IF($AB188="","",IF(INDEX(기본자료!$J$2:$J$501,$AB188)="","",INDEX(기본자료!$J$2:$J$501,$AB188)))</f>
        <v/>
      </c>
      <c r="E188" s="11">
        <f>IF($AB188="","",IF(INDEX(기본자료!$K$2:$K$501,$AB188)="","",IF(NOT(ISNUMBER(INDEX(기본자료!$K$2:$K$501,$AB188))),INDEX(기본자료!$K$2:$K$501,$AB188),IF(INDEX(기본자료!$K$2:$K$501,$AB188)&lt;1000000,INDEX(기본자료!$K$2:$K$501,$AB188),IF(AND(INDEX(기본자료!$K$2:$K$501,$AB188)&gt;=10000101,INT(MOD(INDEX(기본자료!$K$2:$K$501,$AB188),10000)/100)&gt;=1,INT(MOD(INDEX(기본자료!$K$2:$K$501,$AB188),10000)/100)&lt;=12,MOD(INDEX(기본자료!$K$2:$K$501,$AB188),100)&gt;=1,MOD(INDEX(기본자료!$K$2:$K$501,$AB188),100)&lt;=31),DATE(INT(INDEX(기본자료!$K$2:$K$501,$AB188)/10000),INT(MOD(INDEX(기본자료!$K$2:$K$501,$AB188),10000)/100),MOD(INDEX(기본자료!$K$2:$K$501,$AB188),100)),INDEX(기본자료!$K$2:$K$501,$AB188)&amp;"")))))</f>
        <v/>
      </c>
      <c r="F188" s="10">
        <f>IF($AB188="","",IF(INDEX(기본자료!$D$2:$D$501,$AB188)="","",INDEX(기본자료!$D$2:$D$501,$AB188)))</f>
        <v/>
      </c>
      <c r="G188" s="10">
        <f>IF($AB188="","",IF(INDEX(기본자료!$E$2:$E$501,$AB188)="","",INDEX(기본자료!$E$2:$E$501,$AB188)))</f>
        <v/>
      </c>
      <c r="H188" s="10">
        <f>IF($AB188="","",IF(INDEX(기본자료!$F$2:$F$501,$AB188)="","",INDEX(기본자료!$F$2:$F$501,$AB188)))</f>
        <v/>
      </c>
      <c r="I188" s="11">
        <f>IF($AB188="","",IF(INDEX(기본자료!$G$2:$G$501,$AB188)="","",IF(NOT(ISNUMBER(INDEX(기본자료!$G$2:$G$501,$AB188))),INDEX(기본자료!$G$2:$G$501,$AB188),IF(INDEX(기본자료!$G$2:$G$501,$AB188)&lt;1000000,INDEX(기본자료!$G$2:$G$501,$AB188),IF(AND(INDEX(기본자료!$G$2:$G$501,$AB188)&gt;=10000101,INT(MOD(INDEX(기본자료!$G$2:$G$501,$AB188),10000)/100)&gt;=1,INT(MOD(INDEX(기본자료!$G$2:$G$501,$AB188),10000)/100)&lt;=12,MOD(INDEX(기본자료!$G$2:$G$501,$AB188),100)&gt;=1,MOD(INDEX(기본자료!$G$2:$G$501,$AB188),100)&lt;=31),DATE(INT(INDEX(기본자료!$G$2:$G$501,$AB188)/10000),INT(MOD(INDEX(기본자료!$G$2:$G$501,$AB188),10000)/100),MOD(INDEX(기본자료!$G$2:$G$501,$AB188),100)),INDEX(기본자료!$G$2:$G$501,$AB188)&amp;"")))))</f>
        <v/>
      </c>
      <c r="J188" s="10">
        <f>IF($AB188="","",IF(INDEX(기본자료!$H$2:$H$501,$AB188)="","",INDEX(기본자료!$H$2:$H$501,$AB188)))</f>
        <v/>
      </c>
      <c r="K188" s="10">
        <f>IF($AB188="","",IF(INDEX(기본자료!$I$2:$I$501,$AB188)="","",INDEX(기본자료!$I$2:$I$501,$AB188)))</f>
        <v/>
      </c>
      <c r="L188" s="10">
        <f>IF($AB188="","",IF(INDEX(기본자료!$A$2:$A$501,$AB188)="","",INDEX(기본자료!$A$2:$A$501,$AB188)))</f>
        <v/>
      </c>
      <c r="M188" s="14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4" t="n"/>
      <c r="Q188" s="14" t="n"/>
      <c r="R188" s="14" t="n"/>
      <c r="S188" s="15" t="n"/>
      <c r="T188" s="15" t="n"/>
      <c r="U188" s="10">
        <f>IF(OR($B188="",$S188=""),"",IF(TODAY()&lt;$S188,"파견예정",IF(AND($T188&lt;&gt;"",TODAY()&gt;$T188),"파견종료","파견중")))</f>
        <v/>
      </c>
      <c r="V188" s="16">
        <f>IF(OR($S188="",$T188=""),"",$T188-$S188+1)</f>
        <v/>
      </c>
      <c r="W188" s="16">
        <f>IF(AND($U188="파견중",$T188&lt;&gt;""),$T188-TODAY(),"")</f>
        <v/>
      </c>
      <c r="X188" s="16">
        <f>IF(OR($B188="",$S188=""),"",MAX(0,MIN(IF($T188="",EOMONTH(요약!$B$3,0),$T188),EOMONTH(요약!$B$3,0))-MAX($S188,요약!$B$3)+1))</f>
        <v/>
      </c>
      <c r="Y188" s="10">
        <f>IF($B188="","",IF($AE188="","",IF(OR($S188="",$P188="",N($X188)&lt;=0),$AE188,IF($P188="다기관파견",$AE188,IF($AE188="구리병원",IF(AND($Q188&lt;&gt;"",N($X188)&gt;=요약!$E$3),$Q188,$AE188),IF(AND($P188="일반파견(단독)",$Q188&lt;&gt;""),$Q188,$AE188))))))</f>
        <v/>
      </c>
      <c r="Z188" s="17">
        <f>IF($B188="","",IF($AB188="","기본자료에 없는 사번",IF(COUNTIF($B$2:$B$201,$B188)&gt;1,"중복 사번",IF($M188="","입사장소 입력",IF(AND($P188&lt;&gt;"",$S188=""),"파견시작일 입력",IF(AND($S188&lt;&gt;"",$P188=""),"파견종류 입력",IF(AND($P188&lt;&gt;"",$P188&lt;&gt;"다기관파견",$Q188=""),"파견병원 입력",IF(IF($AC188="",0,N(INDEX(인턴근무계획!$T$3:$T$202,$AC188)))&gt;0,"인턴계획 입력오류 확인",IF(AND($AC188&lt;&gt;"",$U188&lt;&gt;"파견중",$N188&lt;&gt;$AE188),"인턴 타지역 근무: 파견 여부 확인","정상")))))))))</f>
        <v/>
      </c>
      <c r="AA188" s="5" t="n"/>
      <c r="AB188" s="10">
        <f>IF($B188="","",IFERROR(MATCH($B188,기본자료!$B$2:$B$501,0),IFERROR(MATCH($B188&amp;"",기본자료!$B$2:$B$501,0),IFERROR(MATCH(VALUE($B188),기본자료!$B$2:$B$501,0),""))))</f>
        <v/>
      </c>
      <c r="AC188" s="10">
        <f>IF($B188="","",IFERROR(MATCH($B188,인턴근무계획!$D$3:$D$202,0),IFERROR(MATCH($B188&amp;"",인턴근무계획!$D$3:$D$202,0),IFERROR(MATCH(VALUE($B188),인턴근무계획!$D$3:$D$202,0),""))))</f>
        <v/>
      </c>
      <c r="AD188" s="10">
        <f>IF(OR($AC188="",인턴현황!$G$3=""),"",INDEX(인턴근무계획!$M$3:$R$202,$AC188,인턴현황!$G$3)&amp;"")</f>
        <v/>
      </c>
      <c r="AE188" s="10">
        <f>IF($B188="","",IF($M188&lt;&gt;"",$M188,IF($H188="","",IF(RIGHT($H188,2)="병원",$H188,$H188&amp;"병원"))))</f>
        <v/>
      </c>
    </row>
    <row r="189">
      <c r="A189" s="10">
        <f>IF(B189="","",ROW()-1)</f>
        <v/>
      </c>
      <c r="B189" s="13" t="n"/>
      <c r="C189" s="10">
        <f>IF($AB189="","",IF(INDEX(기본자료!$C$2:$C$501,$AB189)="","",INDEX(기본자료!$C$2:$C$501,$AB189)))</f>
        <v/>
      </c>
      <c r="D189" s="10">
        <f>IF($AB189="","",IF(INDEX(기본자료!$J$2:$J$501,$AB189)="","",INDEX(기본자료!$J$2:$J$501,$AB189)))</f>
        <v/>
      </c>
      <c r="E189" s="11">
        <f>IF($AB189="","",IF(INDEX(기본자료!$K$2:$K$501,$AB189)="","",IF(NOT(ISNUMBER(INDEX(기본자료!$K$2:$K$501,$AB189))),INDEX(기본자료!$K$2:$K$501,$AB189),IF(INDEX(기본자료!$K$2:$K$501,$AB189)&lt;1000000,INDEX(기본자료!$K$2:$K$501,$AB189),IF(AND(INDEX(기본자료!$K$2:$K$501,$AB189)&gt;=10000101,INT(MOD(INDEX(기본자료!$K$2:$K$501,$AB189),10000)/100)&gt;=1,INT(MOD(INDEX(기본자료!$K$2:$K$501,$AB189),10000)/100)&lt;=12,MOD(INDEX(기본자료!$K$2:$K$501,$AB189),100)&gt;=1,MOD(INDEX(기본자료!$K$2:$K$501,$AB189),100)&lt;=31),DATE(INT(INDEX(기본자료!$K$2:$K$501,$AB189)/10000),INT(MOD(INDEX(기본자료!$K$2:$K$501,$AB189),10000)/100),MOD(INDEX(기본자료!$K$2:$K$501,$AB189),100)),INDEX(기본자료!$K$2:$K$501,$AB189)&amp;"")))))</f>
        <v/>
      </c>
      <c r="F189" s="10">
        <f>IF($AB189="","",IF(INDEX(기본자료!$D$2:$D$501,$AB189)="","",INDEX(기본자료!$D$2:$D$501,$AB189)))</f>
        <v/>
      </c>
      <c r="G189" s="10">
        <f>IF($AB189="","",IF(INDEX(기본자료!$E$2:$E$501,$AB189)="","",INDEX(기본자료!$E$2:$E$501,$AB189)))</f>
        <v/>
      </c>
      <c r="H189" s="10">
        <f>IF($AB189="","",IF(INDEX(기본자료!$F$2:$F$501,$AB189)="","",INDEX(기본자료!$F$2:$F$501,$AB189)))</f>
        <v/>
      </c>
      <c r="I189" s="11">
        <f>IF($AB189="","",IF(INDEX(기본자료!$G$2:$G$501,$AB189)="","",IF(NOT(ISNUMBER(INDEX(기본자료!$G$2:$G$501,$AB189))),INDEX(기본자료!$G$2:$G$501,$AB189),IF(INDEX(기본자료!$G$2:$G$501,$AB189)&lt;1000000,INDEX(기본자료!$G$2:$G$501,$AB189),IF(AND(INDEX(기본자료!$G$2:$G$501,$AB189)&gt;=10000101,INT(MOD(INDEX(기본자료!$G$2:$G$501,$AB189),10000)/100)&gt;=1,INT(MOD(INDEX(기본자료!$G$2:$G$501,$AB189),10000)/100)&lt;=12,MOD(INDEX(기본자료!$G$2:$G$501,$AB189),100)&gt;=1,MOD(INDEX(기본자료!$G$2:$G$501,$AB189),100)&lt;=31),DATE(INT(INDEX(기본자료!$G$2:$G$501,$AB189)/10000),INT(MOD(INDEX(기본자료!$G$2:$G$501,$AB189),10000)/100),MOD(INDEX(기본자료!$G$2:$G$501,$AB189),100)),INDEX(기본자료!$G$2:$G$501,$AB189)&amp;"")))))</f>
        <v/>
      </c>
      <c r="J189" s="10">
        <f>IF($AB189="","",IF(INDEX(기본자료!$H$2:$H$501,$AB189)="","",INDEX(기본자료!$H$2:$H$501,$AB189)))</f>
        <v/>
      </c>
      <c r="K189" s="10">
        <f>IF($AB189="","",IF(INDEX(기본자료!$I$2:$I$501,$AB189)="","",INDEX(기본자료!$I$2:$I$501,$AB189)))</f>
        <v/>
      </c>
      <c r="L189" s="10">
        <f>IF($AB189="","",IF(INDEX(기본자료!$A$2:$A$501,$AB189)="","",INDEX(기본자료!$A$2:$A$501,$AB189)))</f>
        <v/>
      </c>
      <c r="M189" s="14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4" t="n"/>
      <c r="Q189" s="14" t="n"/>
      <c r="R189" s="14" t="n"/>
      <c r="S189" s="15" t="n"/>
      <c r="T189" s="15" t="n"/>
      <c r="U189" s="10">
        <f>IF(OR($B189="",$S189=""),"",IF(TODAY()&lt;$S189,"파견예정",IF(AND($T189&lt;&gt;"",TODAY()&gt;$T189),"파견종료","파견중")))</f>
        <v/>
      </c>
      <c r="V189" s="16">
        <f>IF(OR($S189="",$T189=""),"",$T189-$S189+1)</f>
        <v/>
      </c>
      <c r="W189" s="16">
        <f>IF(AND($U189="파견중",$T189&lt;&gt;""),$T189-TODAY(),"")</f>
        <v/>
      </c>
      <c r="X189" s="16">
        <f>IF(OR($B189="",$S189=""),"",MAX(0,MIN(IF($T189="",EOMONTH(요약!$B$3,0),$T189),EOMONTH(요약!$B$3,0))-MAX($S189,요약!$B$3)+1))</f>
        <v/>
      </c>
      <c r="Y189" s="10">
        <f>IF($B189="","",IF($AE189="","",IF(OR($S189="",$P189="",N($X189)&lt;=0),$AE189,IF($P189="다기관파견",$AE189,IF($AE189="구리병원",IF(AND($Q189&lt;&gt;"",N($X189)&gt;=요약!$E$3),$Q189,$AE189),IF(AND($P189="일반파견(단독)",$Q189&lt;&gt;""),$Q189,$AE189))))))</f>
        <v/>
      </c>
      <c r="Z189" s="17">
        <f>IF($B189="","",IF($AB189="","기본자료에 없는 사번",IF(COUNTIF($B$2:$B$201,$B189)&gt;1,"중복 사번",IF($M189="","입사장소 입력",IF(AND($P189&lt;&gt;"",$S189=""),"파견시작일 입력",IF(AND($S189&lt;&gt;"",$P189=""),"파견종류 입력",IF(AND($P189&lt;&gt;"",$P189&lt;&gt;"다기관파견",$Q189=""),"파견병원 입력",IF(IF($AC189="",0,N(INDEX(인턴근무계획!$T$3:$T$202,$AC189)))&gt;0,"인턴계획 입력오류 확인",IF(AND($AC189&lt;&gt;"",$U189&lt;&gt;"파견중",$N189&lt;&gt;$AE189),"인턴 타지역 근무: 파견 여부 확인","정상")))))))))</f>
        <v/>
      </c>
      <c r="AA189" s="5" t="n"/>
      <c r="AB189" s="10">
        <f>IF($B189="","",IFERROR(MATCH($B189,기본자료!$B$2:$B$501,0),IFERROR(MATCH($B189&amp;"",기본자료!$B$2:$B$501,0),IFERROR(MATCH(VALUE($B189),기본자료!$B$2:$B$501,0),""))))</f>
        <v/>
      </c>
      <c r="AC189" s="10">
        <f>IF($B189="","",IFERROR(MATCH($B189,인턴근무계획!$D$3:$D$202,0),IFERROR(MATCH($B189&amp;"",인턴근무계획!$D$3:$D$202,0),IFERROR(MATCH(VALUE($B189),인턴근무계획!$D$3:$D$202,0),""))))</f>
        <v/>
      </c>
      <c r="AD189" s="10">
        <f>IF(OR($AC189="",인턴현황!$G$3=""),"",INDEX(인턴근무계획!$M$3:$R$202,$AC189,인턴현황!$G$3)&amp;"")</f>
        <v/>
      </c>
      <c r="AE189" s="10">
        <f>IF($B189="","",IF($M189&lt;&gt;"",$M189,IF($H189="","",IF(RIGHT($H189,2)="병원",$H189,$H189&amp;"병원"))))</f>
        <v/>
      </c>
    </row>
    <row r="190">
      <c r="A190" s="10">
        <f>IF(B190="","",ROW()-1)</f>
        <v/>
      </c>
      <c r="B190" s="13" t="n"/>
      <c r="C190" s="10">
        <f>IF($AB190="","",IF(INDEX(기본자료!$C$2:$C$501,$AB190)="","",INDEX(기본자료!$C$2:$C$501,$AB190)))</f>
        <v/>
      </c>
      <c r="D190" s="10">
        <f>IF($AB190="","",IF(INDEX(기본자료!$J$2:$J$501,$AB190)="","",INDEX(기본자료!$J$2:$J$501,$AB190)))</f>
        <v/>
      </c>
      <c r="E190" s="11">
        <f>IF($AB190="","",IF(INDEX(기본자료!$K$2:$K$501,$AB190)="","",IF(NOT(ISNUMBER(INDEX(기본자료!$K$2:$K$501,$AB190))),INDEX(기본자료!$K$2:$K$501,$AB190),IF(INDEX(기본자료!$K$2:$K$501,$AB190)&lt;1000000,INDEX(기본자료!$K$2:$K$501,$AB190),IF(AND(INDEX(기본자료!$K$2:$K$501,$AB190)&gt;=10000101,INT(MOD(INDEX(기본자료!$K$2:$K$501,$AB190),10000)/100)&gt;=1,INT(MOD(INDEX(기본자료!$K$2:$K$501,$AB190),10000)/100)&lt;=12,MOD(INDEX(기본자료!$K$2:$K$501,$AB190),100)&gt;=1,MOD(INDEX(기본자료!$K$2:$K$501,$AB190),100)&lt;=31),DATE(INT(INDEX(기본자료!$K$2:$K$501,$AB190)/10000),INT(MOD(INDEX(기본자료!$K$2:$K$501,$AB190),10000)/100),MOD(INDEX(기본자료!$K$2:$K$501,$AB190),100)),INDEX(기본자료!$K$2:$K$501,$AB190)&amp;"")))))</f>
        <v/>
      </c>
      <c r="F190" s="10">
        <f>IF($AB190="","",IF(INDEX(기본자료!$D$2:$D$501,$AB190)="","",INDEX(기본자료!$D$2:$D$501,$AB190)))</f>
        <v/>
      </c>
      <c r="G190" s="10">
        <f>IF($AB190="","",IF(INDEX(기본자료!$E$2:$E$501,$AB190)="","",INDEX(기본자료!$E$2:$E$501,$AB190)))</f>
        <v/>
      </c>
      <c r="H190" s="10">
        <f>IF($AB190="","",IF(INDEX(기본자료!$F$2:$F$501,$AB190)="","",INDEX(기본자료!$F$2:$F$501,$AB190)))</f>
        <v/>
      </c>
      <c r="I190" s="11">
        <f>IF($AB190="","",IF(INDEX(기본자료!$G$2:$G$501,$AB190)="","",IF(NOT(ISNUMBER(INDEX(기본자료!$G$2:$G$501,$AB190))),INDEX(기본자료!$G$2:$G$501,$AB190),IF(INDEX(기본자료!$G$2:$G$501,$AB190)&lt;1000000,INDEX(기본자료!$G$2:$G$501,$AB190),IF(AND(INDEX(기본자료!$G$2:$G$501,$AB190)&gt;=10000101,INT(MOD(INDEX(기본자료!$G$2:$G$501,$AB190),10000)/100)&gt;=1,INT(MOD(INDEX(기본자료!$G$2:$G$501,$AB190),10000)/100)&lt;=12,MOD(INDEX(기본자료!$G$2:$G$501,$AB190),100)&gt;=1,MOD(INDEX(기본자료!$G$2:$G$501,$AB190),100)&lt;=31),DATE(INT(INDEX(기본자료!$G$2:$G$501,$AB190)/10000),INT(MOD(INDEX(기본자료!$G$2:$G$501,$AB190),10000)/100),MOD(INDEX(기본자료!$G$2:$G$501,$AB190),100)),INDEX(기본자료!$G$2:$G$501,$AB190)&amp;"")))))</f>
        <v/>
      </c>
      <c r="J190" s="10">
        <f>IF($AB190="","",IF(INDEX(기본자료!$H$2:$H$501,$AB190)="","",INDEX(기본자료!$H$2:$H$501,$AB190)))</f>
        <v/>
      </c>
      <c r="K190" s="10">
        <f>IF($AB190="","",IF(INDEX(기본자료!$I$2:$I$501,$AB190)="","",INDEX(기본자료!$I$2:$I$501,$AB190)))</f>
        <v/>
      </c>
      <c r="L190" s="10">
        <f>IF($AB190="","",IF(INDEX(기본자료!$A$2:$A$501,$AB190)="","",INDEX(기본자료!$A$2:$A$501,$AB190)))</f>
        <v/>
      </c>
      <c r="M190" s="14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4" t="n"/>
      <c r="Q190" s="14" t="n"/>
      <c r="R190" s="14" t="n"/>
      <c r="S190" s="15" t="n"/>
      <c r="T190" s="15" t="n"/>
      <c r="U190" s="10">
        <f>IF(OR($B190="",$S190=""),"",IF(TODAY()&lt;$S190,"파견예정",IF(AND($T190&lt;&gt;"",TODAY()&gt;$T190),"파견종료","파견중")))</f>
        <v/>
      </c>
      <c r="V190" s="16">
        <f>IF(OR($S190="",$T190=""),"",$T190-$S190+1)</f>
        <v/>
      </c>
      <c r="W190" s="16">
        <f>IF(AND($U190="파견중",$T190&lt;&gt;""),$T190-TODAY(),"")</f>
        <v/>
      </c>
      <c r="X190" s="16">
        <f>IF(OR($B190="",$S190=""),"",MAX(0,MIN(IF($T190="",EOMONTH(요약!$B$3,0),$T190),EOMONTH(요약!$B$3,0))-MAX($S190,요약!$B$3)+1))</f>
        <v/>
      </c>
      <c r="Y190" s="10">
        <f>IF($B190="","",IF($AE190="","",IF(OR($S190="",$P190="",N($X190)&lt;=0),$AE190,IF($P190="다기관파견",$AE190,IF($AE190="구리병원",IF(AND($Q190&lt;&gt;"",N($X190)&gt;=요약!$E$3),$Q190,$AE190),IF(AND($P190="일반파견(단독)",$Q190&lt;&gt;""),$Q190,$AE190))))))</f>
        <v/>
      </c>
      <c r="Z190" s="17">
        <f>IF($B190="","",IF($AB190="","기본자료에 없는 사번",IF(COUNTIF($B$2:$B$201,$B190)&gt;1,"중복 사번",IF($M190="","입사장소 입력",IF(AND($P190&lt;&gt;"",$S190=""),"파견시작일 입력",IF(AND($S190&lt;&gt;"",$P190=""),"파견종류 입력",IF(AND($P190&lt;&gt;"",$P190&lt;&gt;"다기관파견",$Q190=""),"파견병원 입력",IF(IF($AC190="",0,N(INDEX(인턴근무계획!$T$3:$T$202,$AC190)))&gt;0,"인턴계획 입력오류 확인",IF(AND($AC190&lt;&gt;"",$U190&lt;&gt;"파견중",$N190&lt;&gt;$AE190),"인턴 타지역 근무: 파견 여부 확인","정상")))))))))</f>
        <v/>
      </c>
      <c r="AA190" s="5" t="n"/>
      <c r="AB190" s="10">
        <f>IF($B190="","",IFERROR(MATCH($B190,기본자료!$B$2:$B$501,0),IFERROR(MATCH($B190&amp;"",기본자료!$B$2:$B$501,0),IFERROR(MATCH(VALUE($B190),기본자료!$B$2:$B$501,0),""))))</f>
        <v/>
      </c>
      <c r="AC190" s="10">
        <f>IF($B190="","",IFERROR(MATCH($B190,인턴근무계획!$D$3:$D$202,0),IFERROR(MATCH($B190&amp;"",인턴근무계획!$D$3:$D$202,0),IFERROR(MATCH(VALUE($B190),인턴근무계획!$D$3:$D$202,0),""))))</f>
        <v/>
      </c>
      <c r="AD190" s="10">
        <f>IF(OR($AC190="",인턴현황!$G$3=""),"",INDEX(인턴근무계획!$M$3:$R$202,$AC190,인턴현황!$G$3)&amp;"")</f>
        <v/>
      </c>
      <c r="AE190" s="10">
        <f>IF($B190="","",IF($M190&lt;&gt;"",$M190,IF($H190="","",IF(RIGHT($H190,2)="병원",$H190,$H190&amp;"병원"))))</f>
        <v/>
      </c>
    </row>
    <row r="191">
      <c r="A191" s="10">
        <f>IF(B191="","",ROW()-1)</f>
        <v/>
      </c>
      <c r="B191" s="13" t="n"/>
      <c r="C191" s="10">
        <f>IF($AB191="","",IF(INDEX(기본자료!$C$2:$C$501,$AB191)="","",INDEX(기본자료!$C$2:$C$501,$AB191)))</f>
        <v/>
      </c>
      <c r="D191" s="10">
        <f>IF($AB191="","",IF(INDEX(기본자료!$J$2:$J$501,$AB191)="","",INDEX(기본자료!$J$2:$J$501,$AB191)))</f>
        <v/>
      </c>
      <c r="E191" s="11">
        <f>IF($AB191="","",IF(INDEX(기본자료!$K$2:$K$501,$AB191)="","",IF(NOT(ISNUMBER(INDEX(기본자료!$K$2:$K$501,$AB191))),INDEX(기본자료!$K$2:$K$501,$AB191),IF(INDEX(기본자료!$K$2:$K$501,$AB191)&lt;1000000,INDEX(기본자료!$K$2:$K$501,$AB191),IF(AND(INDEX(기본자료!$K$2:$K$501,$AB191)&gt;=10000101,INT(MOD(INDEX(기본자료!$K$2:$K$501,$AB191),10000)/100)&gt;=1,INT(MOD(INDEX(기본자료!$K$2:$K$501,$AB191),10000)/100)&lt;=12,MOD(INDEX(기본자료!$K$2:$K$501,$AB191),100)&gt;=1,MOD(INDEX(기본자료!$K$2:$K$501,$AB191),100)&lt;=31),DATE(INT(INDEX(기본자료!$K$2:$K$501,$AB191)/10000),INT(MOD(INDEX(기본자료!$K$2:$K$501,$AB191),10000)/100),MOD(INDEX(기본자료!$K$2:$K$501,$AB191),100)),INDEX(기본자료!$K$2:$K$501,$AB191)&amp;"")))))</f>
        <v/>
      </c>
      <c r="F191" s="10">
        <f>IF($AB191="","",IF(INDEX(기본자료!$D$2:$D$501,$AB191)="","",INDEX(기본자료!$D$2:$D$501,$AB191)))</f>
        <v/>
      </c>
      <c r="G191" s="10">
        <f>IF($AB191="","",IF(INDEX(기본자료!$E$2:$E$501,$AB191)="","",INDEX(기본자료!$E$2:$E$501,$AB191)))</f>
        <v/>
      </c>
      <c r="H191" s="10">
        <f>IF($AB191="","",IF(INDEX(기본자료!$F$2:$F$501,$AB191)="","",INDEX(기본자료!$F$2:$F$501,$AB191)))</f>
        <v/>
      </c>
      <c r="I191" s="11">
        <f>IF($AB191="","",IF(INDEX(기본자료!$G$2:$G$501,$AB191)="","",IF(NOT(ISNUMBER(INDEX(기본자료!$G$2:$G$501,$AB191))),INDEX(기본자료!$G$2:$G$501,$AB191),IF(INDEX(기본자료!$G$2:$G$501,$AB191)&lt;1000000,INDEX(기본자료!$G$2:$G$501,$AB191),IF(AND(INDEX(기본자료!$G$2:$G$501,$AB191)&gt;=10000101,INT(MOD(INDEX(기본자료!$G$2:$G$501,$AB191),10000)/100)&gt;=1,INT(MOD(INDEX(기본자료!$G$2:$G$501,$AB191),10000)/100)&lt;=12,MOD(INDEX(기본자료!$G$2:$G$501,$AB191),100)&gt;=1,MOD(INDEX(기본자료!$G$2:$G$501,$AB191),100)&lt;=31),DATE(INT(INDEX(기본자료!$G$2:$G$501,$AB191)/10000),INT(MOD(INDEX(기본자료!$G$2:$G$501,$AB191),10000)/100),MOD(INDEX(기본자료!$G$2:$G$501,$AB191),100)),INDEX(기본자료!$G$2:$G$501,$AB191)&amp;"")))))</f>
        <v/>
      </c>
      <c r="J191" s="10">
        <f>IF($AB191="","",IF(INDEX(기본자료!$H$2:$H$501,$AB191)="","",INDEX(기본자료!$H$2:$H$501,$AB191)))</f>
        <v/>
      </c>
      <c r="K191" s="10">
        <f>IF($AB191="","",IF(INDEX(기본자료!$I$2:$I$501,$AB191)="","",INDEX(기본자료!$I$2:$I$501,$AB191)))</f>
        <v/>
      </c>
      <c r="L191" s="10">
        <f>IF($AB191="","",IF(INDEX(기본자료!$A$2:$A$501,$AB191)="","",INDEX(기본자료!$A$2:$A$501,$AB191)))</f>
        <v/>
      </c>
      <c r="M191" s="14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4" t="n"/>
      <c r="Q191" s="14" t="n"/>
      <c r="R191" s="14" t="n"/>
      <c r="S191" s="15" t="n"/>
      <c r="T191" s="15" t="n"/>
      <c r="U191" s="10">
        <f>IF(OR($B191="",$S191=""),"",IF(TODAY()&lt;$S191,"파견예정",IF(AND($T191&lt;&gt;"",TODAY()&gt;$T191),"파견종료","파견중")))</f>
        <v/>
      </c>
      <c r="V191" s="16">
        <f>IF(OR($S191="",$T191=""),"",$T191-$S191+1)</f>
        <v/>
      </c>
      <c r="W191" s="16">
        <f>IF(AND($U191="파견중",$T191&lt;&gt;""),$T191-TODAY(),"")</f>
        <v/>
      </c>
      <c r="X191" s="16">
        <f>IF(OR($B191="",$S191=""),"",MAX(0,MIN(IF($T191="",EOMONTH(요약!$B$3,0),$T191),EOMONTH(요약!$B$3,0))-MAX($S191,요약!$B$3)+1))</f>
        <v/>
      </c>
      <c r="Y191" s="10">
        <f>IF($B191="","",IF($AE191="","",IF(OR($S191="",$P191="",N($X191)&lt;=0),$AE191,IF($P191="다기관파견",$AE191,IF($AE191="구리병원",IF(AND($Q191&lt;&gt;"",N($X191)&gt;=요약!$E$3),$Q191,$AE191),IF(AND($P191="일반파견(단독)",$Q191&lt;&gt;""),$Q191,$AE191))))))</f>
        <v/>
      </c>
      <c r="Z191" s="17">
        <f>IF($B191="","",IF($AB191="","기본자료에 없는 사번",IF(COUNTIF($B$2:$B$201,$B191)&gt;1,"중복 사번",IF($M191="","입사장소 입력",IF(AND($P191&lt;&gt;"",$S191=""),"파견시작일 입력",IF(AND($S191&lt;&gt;"",$P191=""),"파견종류 입력",IF(AND($P191&lt;&gt;"",$P191&lt;&gt;"다기관파견",$Q191=""),"파견병원 입력",IF(IF($AC191="",0,N(INDEX(인턴근무계획!$T$3:$T$202,$AC191)))&gt;0,"인턴계획 입력오류 확인",IF(AND($AC191&lt;&gt;"",$U191&lt;&gt;"파견중",$N191&lt;&gt;$AE191),"인턴 타지역 근무: 파견 여부 확인","정상")))))))))</f>
        <v/>
      </c>
      <c r="AA191" s="5" t="n"/>
      <c r="AB191" s="10">
        <f>IF($B191="","",IFERROR(MATCH($B191,기본자료!$B$2:$B$501,0),IFERROR(MATCH($B191&amp;"",기본자료!$B$2:$B$501,0),IFERROR(MATCH(VALUE($B191),기본자료!$B$2:$B$501,0),""))))</f>
        <v/>
      </c>
      <c r="AC191" s="10">
        <f>IF($B191="","",IFERROR(MATCH($B191,인턴근무계획!$D$3:$D$202,0),IFERROR(MATCH($B191&amp;"",인턴근무계획!$D$3:$D$202,0),IFERROR(MATCH(VALUE($B191),인턴근무계획!$D$3:$D$202,0),""))))</f>
        <v/>
      </c>
      <c r="AD191" s="10">
        <f>IF(OR($AC191="",인턴현황!$G$3=""),"",INDEX(인턴근무계획!$M$3:$R$202,$AC191,인턴현황!$G$3)&amp;"")</f>
        <v/>
      </c>
      <c r="AE191" s="10">
        <f>IF($B191="","",IF($M191&lt;&gt;"",$M191,IF($H191="","",IF(RIGHT($H191,2)="병원",$H191,$H191&amp;"병원"))))</f>
        <v/>
      </c>
    </row>
    <row r="192">
      <c r="A192" s="10">
        <f>IF(B192="","",ROW()-1)</f>
        <v/>
      </c>
      <c r="B192" s="13" t="n"/>
      <c r="C192" s="10">
        <f>IF($AB192="","",IF(INDEX(기본자료!$C$2:$C$501,$AB192)="","",INDEX(기본자료!$C$2:$C$501,$AB192)))</f>
        <v/>
      </c>
      <c r="D192" s="10">
        <f>IF($AB192="","",IF(INDEX(기본자료!$J$2:$J$501,$AB192)="","",INDEX(기본자료!$J$2:$J$501,$AB192)))</f>
        <v/>
      </c>
      <c r="E192" s="11">
        <f>IF($AB192="","",IF(INDEX(기본자료!$K$2:$K$501,$AB192)="","",IF(NOT(ISNUMBER(INDEX(기본자료!$K$2:$K$501,$AB192))),INDEX(기본자료!$K$2:$K$501,$AB192),IF(INDEX(기본자료!$K$2:$K$501,$AB192)&lt;1000000,INDEX(기본자료!$K$2:$K$501,$AB192),IF(AND(INDEX(기본자료!$K$2:$K$501,$AB192)&gt;=10000101,INT(MOD(INDEX(기본자료!$K$2:$K$501,$AB192),10000)/100)&gt;=1,INT(MOD(INDEX(기본자료!$K$2:$K$501,$AB192),10000)/100)&lt;=12,MOD(INDEX(기본자료!$K$2:$K$501,$AB192),100)&gt;=1,MOD(INDEX(기본자료!$K$2:$K$501,$AB192),100)&lt;=31),DATE(INT(INDEX(기본자료!$K$2:$K$501,$AB192)/10000),INT(MOD(INDEX(기본자료!$K$2:$K$501,$AB192),10000)/100),MOD(INDEX(기본자료!$K$2:$K$501,$AB192),100)),INDEX(기본자료!$K$2:$K$501,$AB192)&amp;"")))))</f>
        <v/>
      </c>
      <c r="F192" s="10">
        <f>IF($AB192="","",IF(INDEX(기본자료!$D$2:$D$501,$AB192)="","",INDEX(기본자료!$D$2:$D$501,$AB192)))</f>
        <v/>
      </c>
      <c r="G192" s="10">
        <f>IF($AB192="","",IF(INDEX(기본자료!$E$2:$E$501,$AB192)="","",INDEX(기본자료!$E$2:$E$501,$AB192)))</f>
        <v/>
      </c>
      <c r="H192" s="10">
        <f>IF($AB192="","",IF(INDEX(기본자료!$F$2:$F$501,$AB192)="","",INDEX(기본자료!$F$2:$F$501,$AB192)))</f>
        <v/>
      </c>
      <c r="I192" s="11">
        <f>IF($AB192="","",IF(INDEX(기본자료!$G$2:$G$501,$AB192)="","",IF(NOT(ISNUMBER(INDEX(기본자료!$G$2:$G$501,$AB192))),INDEX(기본자료!$G$2:$G$501,$AB192),IF(INDEX(기본자료!$G$2:$G$501,$AB192)&lt;1000000,INDEX(기본자료!$G$2:$G$501,$AB192),IF(AND(INDEX(기본자료!$G$2:$G$501,$AB192)&gt;=10000101,INT(MOD(INDEX(기본자료!$G$2:$G$501,$AB192),10000)/100)&gt;=1,INT(MOD(INDEX(기본자료!$G$2:$G$501,$AB192),10000)/100)&lt;=12,MOD(INDEX(기본자료!$G$2:$G$501,$AB192),100)&gt;=1,MOD(INDEX(기본자료!$G$2:$G$501,$AB192),100)&lt;=31),DATE(INT(INDEX(기본자료!$G$2:$G$501,$AB192)/10000),INT(MOD(INDEX(기본자료!$G$2:$G$501,$AB192),10000)/100),MOD(INDEX(기본자료!$G$2:$G$501,$AB192),100)),INDEX(기본자료!$G$2:$G$501,$AB192)&amp;"")))))</f>
        <v/>
      </c>
      <c r="J192" s="10">
        <f>IF($AB192="","",IF(INDEX(기본자료!$H$2:$H$501,$AB192)="","",INDEX(기본자료!$H$2:$H$501,$AB192)))</f>
        <v/>
      </c>
      <c r="K192" s="10">
        <f>IF($AB192="","",IF(INDEX(기본자료!$I$2:$I$501,$AB192)="","",INDEX(기본자료!$I$2:$I$501,$AB192)))</f>
        <v/>
      </c>
      <c r="L192" s="10">
        <f>IF($AB192="","",IF(INDEX(기본자료!$A$2:$A$501,$AB192)="","",INDEX(기본자료!$A$2:$A$501,$AB192)))</f>
        <v/>
      </c>
      <c r="M192" s="14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4" t="n"/>
      <c r="Q192" s="14" t="n"/>
      <c r="R192" s="14" t="n"/>
      <c r="S192" s="15" t="n"/>
      <c r="T192" s="15" t="n"/>
      <c r="U192" s="10">
        <f>IF(OR($B192="",$S192=""),"",IF(TODAY()&lt;$S192,"파견예정",IF(AND($T192&lt;&gt;"",TODAY()&gt;$T192),"파견종료","파견중")))</f>
        <v/>
      </c>
      <c r="V192" s="16">
        <f>IF(OR($S192="",$T192=""),"",$T192-$S192+1)</f>
        <v/>
      </c>
      <c r="W192" s="16">
        <f>IF(AND($U192="파견중",$T192&lt;&gt;""),$T192-TODAY(),"")</f>
        <v/>
      </c>
      <c r="X192" s="16">
        <f>IF(OR($B192="",$S192=""),"",MAX(0,MIN(IF($T192="",EOMONTH(요약!$B$3,0),$T192),EOMONTH(요약!$B$3,0))-MAX($S192,요약!$B$3)+1))</f>
        <v/>
      </c>
      <c r="Y192" s="10">
        <f>IF($B192="","",IF($AE192="","",IF(OR($S192="",$P192="",N($X192)&lt;=0),$AE192,IF($P192="다기관파견",$AE192,IF($AE192="구리병원",IF(AND($Q192&lt;&gt;"",N($X192)&gt;=요약!$E$3),$Q192,$AE192),IF(AND($P192="일반파견(단독)",$Q192&lt;&gt;""),$Q192,$AE192))))))</f>
        <v/>
      </c>
      <c r="Z192" s="17">
        <f>IF($B192="","",IF($AB192="","기본자료에 없는 사번",IF(COUNTIF($B$2:$B$201,$B192)&gt;1,"중복 사번",IF($M192="","입사장소 입력",IF(AND($P192&lt;&gt;"",$S192=""),"파견시작일 입력",IF(AND($S192&lt;&gt;"",$P192=""),"파견종류 입력",IF(AND($P192&lt;&gt;"",$P192&lt;&gt;"다기관파견",$Q192=""),"파견병원 입력",IF(IF($AC192="",0,N(INDEX(인턴근무계획!$T$3:$T$202,$AC192)))&gt;0,"인턴계획 입력오류 확인",IF(AND($AC192&lt;&gt;"",$U192&lt;&gt;"파견중",$N192&lt;&gt;$AE192),"인턴 타지역 근무: 파견 여부 확인","정상")))))))))</f>
        <v/>
      </c>
      <c r="AA192" s="5" t="n"/>
      <c r="AB192" s="10">
        <f>IF($B192="","",IFERROR(MATCH($B192,기본자료!$B$2:$B$501,0),IFERROR(MATCH($B192&amp;"",기본자료!$B$2:$B$501,0),IFERROR(MATCH(VALUE($B192),기본자료!$B$2:$B$501,0),""))))</f>
        <v/>
      </c>
      <c r="AC192" s="10">
        <f>IF($B192="","",IFERROR(MATCH($B192,인턴근무계획!$D$3:$D$202,0),IFERROR(MATCH($B192&amp;"",인턴근무계획!$D$3:$D$202,0),IFERROR(MATCH(VALUE($B192),인턴근무계획!$D$3:$D$202,0),""))))</f>
        <v/>
      </c>
      <c r="AD192" s="10">
        <f>IF(OR($AC192="",인턴현황!$G$3=""),"",INDEX(인턴근무계획!$M$3:$R$202,$AC192,인턴현황!$G$3)&amp;"")</f>
        <v/>
      </c>
      <c r="AE192" s="10">
        <f>IF($B192="","",IF($M192&lt;&gt;"",$M192,IF($H192="","",IF(RIGHT($H192,2)="병원",$H192,$H192&amp;"병원"))))</f>
        <v/>
      </c>
    </row>
    <row r="193">
      <c r="A193" s="10">
        <f>IF(B193="","",ROW()-1)</f>
        <v/>
      </c>
      <c r="B193" s="13" t="n"/>
      <c r="C193" s="10">
        <f>IF($AB193="","",IF(INDEX(기본자료!$C$2:$C$501,$AB193)="","",INDEX(기본자료!$C$2:$C$501,$AB193)))</f>
        <v/>
      </c>
      <c r="D193" s="10">
        <f>IF($AB193="","",IF(INDEX(기본자료!$J$2:$J$501,$AB193)="","",INDEX(기본자료!$J$2:$J$501,$AB193)))</f>
        <v/>
      </c>
      <c r="E193" s="11">
        <f>IF($AB193="","",IF(INDEX(기본자료!$K$2:$K$501,$AB193)="","",IF(NOT(ISNUMBER(INDEX(기본자료!$K$2:$K$501,$AB193))),INDEX(기본자료!$K$2:$K$501,$AB193),IF(INDEX(기본자료!$K$2:$K$501,$AB193)&lt;1000000,INDEX(기본자료!$K$2:$K$501,$AB193),IF(AND(INDEX(기본자료!$K$2:$K$501,$AB193)&gt;=10000101,INT(MOD(INDEX(기본자료!$K$2:$K$501,$AB193),10000)/100)&gt;=1,INT(MOD(INDEX(기본자료!$K$2:$K$501,$AB193),10000)/100)&lt;=12,MOD(INDEX(기본자료!$K$2:$K$501,$AB193),100)&gt;=1,MOD(INDEX(기본자료!$K$2:$K$501,$AB193),100)&lt;=31),DATE(INT(INDEX(기본자료!$K$2:$K$501,$AB193)/10000),INT(MOD(INDEX(기본자료!$K$2:$K$501,$AB193),10000)/100),MOD(INDEX(기본자료!$K$2:$K$501,$AB193),100)),INDEX(기본자료!$K$2:$K$501,$AB193)&amp;"")))))</f>
        <v/>
      </c>
      <c r="F193" s="10">
        <f>IF($AB193="","",IF(INDEX(기본자료!$D$2:$D$501,$AB193)="","",INDEX(기본자료!$D$2:$D$501,$AB193)))</f>
        <v/>
      </c>
      <c r="G193" s="10">
        <f>IF($AB193="","",IF(INDEX(기본자료!$E$2:$E$501,$AB193)="","",INDEX(기본자료!$E$2:$E$501,$AB193)))</f>
        <v/>
      </c>
      <c r="H193" s="10">
        <f>IF($AB193="","",IF(INDEX(기본자료!$F$2:$F$501,$AB193)="","",INDEX(기본자료!$F$2:$F$501,$AB193)))</f>
        <v/>
      </c>
      <c r="I193" s="11">
        <f>IF($AB193="","",IF(INDEX(기본자료!$G$2:$G$501,$AB193)="","",IF(NOT(ISNUMBER(INDEX(기본자료!$G$2:$G$501,$AB193))),INDEX(기본자료!$G$2:$G$501,$AB193),IF(INDEX(기본자료!$G$2:$G$501,$AB193)&lt;1000000,INDEX(기본자료!$G$2:$G$501,$AB193),IF(AND(INDEX(기본자료!$G$2:$G$501,$AB193)&gt;=10000101,INT(MOD(INDEX(기본자료!$G$2:$G$501,$AB193),10000)/100)&gt;=1,INT(MOD(INDEX(기본자료!$G$2:$G$501,$AB193),10000)/100)&lt;=12,MOD(INDEX(기본자료!$G$2:$G$501,$AB193),100)&gt;=1,MOD(INDEX(기본자료!$G$2:$G$501,$AB193),100)&lt;=31),DATE(INT(INDEX(기본자료!$G$2:$G$501,$AB193)/10000),INT(MOD(INDEX(기본자료!$G$2:$G$501,$AB193),10000)/100),MOD(INDEX(기본자료!$G$2:$G$501,$AB193),100)),INDEX(기본자료!$G$2:$G$501,$AB193)&amp;"")))))</f>
        <v/>
      </c>
      <c r="J193" s="10">
        <f>IF($AB193="","",IF(INDEX(기본자료!$H$2:$H$501,$AB193)="","",INDEX(기본자료!$H$2:$H$501,$AB193)))</f>
        <v/>
      </c>
      <c r="K193" s="10">
        <f>IF($AB193="","",IF(INDEX(기본자료!$I$2:$I$501,$AB193)="","",INDEX(기본자료!$I$2:$I$501,$AB193)))</f>
        <v/>
      </c>
      <c r="L193" s="10">
        <f>IF($AB193="","",IF(INDEX(기본자료!$A$2:$A$501,$AB193)="","",INDEX(기본자료!$A$2:$A$501,$AB193)))</f>
        <v/>
      </c>
      <c r="M193" s="14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4" t="n"/>
      <c r="Q193" s="14" t="n"/>
      <c r="R193" s="14" t="n"/>
      <c r="S193" s="15" t="n"/>
      <c r="T193" s="15" t="n"/>
      <c r="U193" s="10">
        <f>IF(OR($B193="",$S193=""),"",IF(TODAY()&lt;$S193,"파견예정",IF(AND($T193&lt;&gt;"",TODAY()&gt;$T193),"파견종료","파견중")))</f>
        <v/>
      </c>
      <c r="V193" s="16">
        <f>IF(OR($S193="",$T193=""),"",$T193-$S193+1)</f>
        <v/>
      </c>
      <c r="W193" s="16">
        <f>IF(AND($U193="파견중",$T193&lt;&gt;""),$T193-TODAY(),"")</f>
        <v/>
      </c>
      <c r="X193" s="16">
        <f>IF(OR($B193="",$S193=""),"",MAX(0,MIN(IF($T193="",EOMONTH(요약!$B$3,0),$T193),EOMONTH(요약!$B$3,0))-MAX($S193,요약!$B$3)+1))</f>
        <v/>
      </c>
      <c r="Y193" s="10">
        <f>IF($B193="","",IF($AE193="","",IF(OR($S193="",$P193="",N($X193)&lt;=0),$AE193,IF($P193="다기관파견",$AE193,IF($AE193="구리병원",IF(AND($Q193&lt;&gt;"",N($X193)&gt;=요약!$E$3),$Q193,$AE193),IF(AND($P193="일반파견(단독)",$Q193&lt;&gt;""),$Q193,$AE193))))))</f>
        <v/>
      </c>
      <c r="Z193" s="17">
        <f>IF($B193="","",IF($AB193="","기본자료에 없는 사번",IF(COUNTIF($B$2:$B$201,$B193)&gt;1,"중복 사번",IF($M193="","입사장소 입력",IF(AND($P193&lt;&gt;"",$S193=""),"파견시작일 입력",IF(AND($S193&lt;&gt;"",$P193=""),"파견종류 입력",IF(AND($P193&lt;&gt;"",$P193&lt;&gt;"다기관파견",$Q193=""),"파견병원 입력",IF(IF($AC193="",0,N(INDEX(인턴근무계획!$T$3:$T$202,$AC193)))&gt;0,"인턴계획 입력오류 확인",IF(AND($AC193&lt;&gt;"",$U193&lt;&gt;"파견중",$N193&lt;&gt;$AE193),"인턴 타지역 근무: 파견 여부 확인","정상")))))))))</f>
        <v/>
      </c>
      <c r="AA193" s="5" t="n"/>
      <c r="AB193" s="10">
        <f>IF($B193="","",IFERROR(MATCH($B193,기본자료!$B$2:$B$501,0),IFERROR(MATCH($B193&amp;"",기본자료!$B$2:$B$501,0),IFERROR(MATCH(VALUE($B193),기본자료!$B$2:$B$501,0),""))))</f>
        <v/>
      </c>
      <c r="AC193" s="10">
        <f>IF($B193="","",IFERROR(MATCH($B193,인턴근무계획!$D$3:$D$202,0),IFERROR(MATCH($B193&amp;"",인턴근무계획!$D$3:$D$202,0),IFERROR(MATCH(VALUE($B193),인턴근무계획!$D$3:$D$202,0),""))))</f>
        <v/>
      </c>
      <c r="AD193" s="10">
        <f>IF(OR($AC193="",인턴현황!$G$3=""),"",INDEX(인턴근무계획!$M$3:$R$202,$AC193,인턴현황!$G$3)&amp;"")</f>
        <v/>
      </c>
      <c r="AE193" s="10">
        <f>IF($B193="","",IF($M193&lt;&gt;"",$M193,IF($H193="","",IF(RIGHT($H193,2)="병원",$H193,$H193&amp;"병원"))))</f>
        <v/>
      </c>
    </row>
    <row r="194">
      <c r="A194" s="10">
        <f>IF(B194="","",ROW()-1)</f>
        <v/>
      </c>
      <c r="B194" s="13" t="n"/>
      <c r="C194" s="10">
        <f>IF($AB194="","",IF(INDEX(기본자료!$C$2:$C$501,$AB194)="","",INDEX(기본자료!$C$2:$C$501,$AB194)))</f>
        <v/>
      </c>
      <c r="D194" s="10">
        <f>IF($AB194="","",IF(INDEX(기본자료!$J$2:$J$501,$AB194)="","",INDEX(기본자료!$J$2:$J$501,$AB194)))</f>
        <v/>
      </c>
      <c r="E194" s="11">
        <f>IF($AB194="","",IF(INDEX(기본자료!$K$2:$K$501,$AB194)="","",IF(NOT(ISNUMBER(INDEX(기본자료!$K$2:$K$501,$AB194))),INDEX(기본자료!$K$2:$K$501,$AB194),IF(INDEX(기본자료!$K$2:$K$501,$AB194)&lt;1000000,INDEX(기본자료!$K$2:$K$501,$AB194),IF(AND(INDEX(기본자료!$K$2:$K$501,$AB194)&gt;=10000101,INT(MOD(INDEX(기본자료!$K$2:$K$501,$AB194),10000)/100)&gt;=1,INT(MOD(INDEX(기본자료!$K$2:$K$501,$AB194),10000)/100)&lt;=12,MOD(INDEX(기본자료!$K$2:$K$501,$AB194),100)&gt;=1,MOD(INDEX(기본자료!$K$2:$K$501,$AB194),100)&lt;=31),DATE(INT(INDEX(기본자료!$K$2:$K$501,$AB194)/10000),INT(MOD(INDEX(기본자료!$K$2:$K$501,$AB194),10000)/100),MOD(INDEX(기본자료!$K$2:$K$501,$AB194),100)),INDEX(기본자료!$K$2:$K$501,$AB194)&amp;"")))))</f>
        <v/>
      </c>
      <c r="F194" s="10">
        <f>IF($AB194="","",IF(INDEX(기본자료!$D$2:$D$501,$AB194)="","",INDEX(기본자료!$D$2:$D$501,$AB194)))</f>
        <v/>
      </c>
      <c r="G194" s="10">
        <f>IF($AB194="","",IF(INDEX(기본자료!$E$2:$E$501,$AB194)="","",INDEX(기본자료!$E$2:$E$501,$AB194)))</f>
        <v/>
      </c>
      <c r="H194" s="10">
        <f>IF($AB194="","",IF(INDEX(기본자료!$F$2:$F$501,$AB194)="","",INDEX(기본자료!$F$2:$F$501,$AB194)))</f>
        <v/>
      </c>
      <c r="I194" s="11">
        <f>IF($AB194="","",IF(INDEX(기본자료!$G$2:$G$501,$AB194)="","",IF(NOT(ISNUMBER(INDEX(기본자료!$G$2:$G$501,$AB194))),INDEX(기본자료!$G$2:$G$501,$AB194),IF(INDEX(기본자료!$G$2:$G$501,$AB194)&lt;1000000,INDEX(기본자료!$G$2:$G$501,$AB194),IF(AND(INDEX(기본자료!$G$2:$G$501,$AB194)&gt;=10000101,INT(MOD(INDEX(기본자료!$G$2:$G$501,$AB194),10000)/100)&gt;=1,INT(MOD(INDEX(기본자료!$G$2:$G$501,$AB194),10000)/100)&lt;=12,MOD(INDEX(기본자료!$G$2:$G$501,$AB194),100)&gt;=1,MOD(INDEX(기본자료!$G$2:$G$501,$AB194),100)&lt;=31),DATE(INT(INDEX(기본자료!$G$2:$G$501,$AB194)/10000),INT(MOD(INDEX(기본자료!$G$2:$G$501,$AB194),10000)/100),MOD(INDEX(기본자료!$G$2:$G$501,$AB194),100)),INDEX(기본자료!$G$2:$G$501,$AB194)&amp;"")))))</f>
        <v/>
      </c>
      <c r="J194" s="10">
        <f>IF($AB194="","",IF(INDEX(기본자료!$H$2:$H$501,$AB194)="","",INDEX(기본자료!$H$2:$H$501,$AB194)))</f>
        <v/>
      </c>
      <c r="K194" s="10">
        <f>IF($AB194="","",IF(INDEX(기본자료!$I$2:$I$501,$AB194)="","",INDEX(기본자료!$I$2:$I$501,$AB194)))</f>
        <v/>
      </c>
      <c r="L194" s="10">
        <f>IF($AB194="","",IF(INDEX(기본자료!$A$2:$A$501,$AB194)="","",INDEX(기본자료!$A$2:$A$501,$AB194)))</f>
        <v/>
      </c>
      <c r="M194" s="14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4" t="n"/>
      <c r="Q194" s="14" t="n"/>
      <c r="R194" s="14" t="n"/>
      <c r="S194" s="15" t="n"/>
      <c r="T194" s="15" t="n"/>
      <c r="U194" s="10">
        <f>IF(OR($B194="",$S194=""),"",IF(TODAY()&lt;$S194,"파견예정",IF(AND($T194&lt;&gt;"",TODAY()&gt;$T194),"파견종료","파견중")))</f>
        <v/>
      </c>
      <c r="V194" s="16">
        <f>IF(OR($S194="",$T194=""),"",$T194-$S194+1)</f>
        <v/>
      </c>
      <c r="W194" s="16">
        <f>IF(AND($U194="파견중",$T194&lt;&gt;""),$T194-TODAY(),"")</f>
        <v/>
      </c>
      <c r="X194" s="16">
        <f>IF(OR($B194="",$S194=""),"",MAX(0,MIN(IF($T194="",EOMONTH(요약!$B$3,0),$T194),EOMONTH(요약!$B$3,0))-MAX($S194,요약!$B$3)+1))</f>
        <v/>
      </c>
      <c r="Y194" s="10">
        <f>IF($B194="","",IF($AE194="","",IF(OR($S194="",$P194="",N($X194)&lt;=0),$AE194,IF($P194="다기관파견",$AE194,IF($AE194="구리병원",IF(AND($Q194&lt;&gt;"",N($X194)&gt;=요약!$E$3),$Q194,$AE194),IF(AND($P194="일반파견(단독)",$Q194&lt;&gt;""),$Q194,$AE194))))))</f>
        <v/>
      </c>
      <c r="Z194" s="17">
        <f>IF($B194="","",IF($AB194="","기본자료에 없는 사번",IF(COUNTIF($B$2:$B$201,$B194)&gt;1,"중복 사번",IF($M194="","입사장소 입력",IF(AND($P194&lt;&gt;"",$S194=""),"파견시작일 입력",IF(AND($S194&lt;&gt;"",$P194=""),"파견종류 입력",IF(AND($P194&lt;&gt;"",$P194&lt;&gt;"다기관파견",$Q194=""),"파견병원 입력",IF(IF($AC194="",0,N(INDEX(인턴근무계획!$T$3:$T$202,$AC194)))&gt;0,"인턴계획 입력오류 확인",IF(AND($AC194&lt;&gt;"",$U194&lt;&gt;"파견중",$N194&lt;&gt;$AE194),"인턴 타지역 근무: 파견 여부 확인","정상")))))))))</f>
        <v/>
      </c>
      <c r="AA194" s="5" t="n"/>
      <c r="AB194" s="10">
        <f>IF($B194="","",IFERROR(MATCH($B194,기본자료!$B$2:$B$501,0),IFERROR(MATCH($B194&amp;"",기본자료!$B$2:$B$501,0),IFERROR(MATCH(VALUE($B194),기본자료!$B$2:$B$501,0),""))))</f>
        <v/>
      </c>
      <c r="AC194" s="10">
        <f>IF($B194="","",IFERROR(MATCH($B194,인턴근무계획!$D$3:$D$202,0),IFERROR(MATCH($B194&amp;"",인턴근무계획!$D$3:$D$202,0),IFERROR(MATCH(VALUE($B194),인턴근무계획!$D$3:$D$202,0),""))))</f>
        <v/>
      </c>
      <c r="AD194" s="10">
        <f>IF(OR($AC194="",인턴현황!$G$3=""),"",INDEX(인턴근무계획!$M$3:$R$202,$AC194,인턴현황!$G$3)&amp;"")</f>
        <v/>
      </c>
      <c r="AE194" s="10">
        <f>IF($B194="","",IF($M194&lt;&gt;"",$M194,IF($H194="","",IF(RIGHT($H194,2)="병원",$H194,$H194&amp;"병원"))))</f>
        <v/>
      </c>
    </row>
    <row r="195">
      <c r="A195" s="10">
        <f>IF(B195="","",ROW()-1)</f>
        <v/>
      </c>
      <c r="B195" s="13" t="n"/>
      <c r="C195" s="10">
        <f>IF($AB195="","",IF(INDEX(기본자료!$C$2:$C$501,$AB195)="","",INDEX(기본자료!$C$2:$C$501,$AB195)))</f>
        <v/>
      </c>
      <c r="D195" s="10">
        <f>IF($AB195="","",IF(INDEX(기본자료!$J$2:$J$501,$AB195)="","",INDEX(기본자료!$J$2:$J$501,$AB195)))</f>
        <v/>
      </c>
      <c r="E195" s="11">
        <f>IF($AB195="","",IF(INDEX(기본자료!$K$2:$K$501,$AB195)="","",IF(NOT(ISNUMBER(INDEX(기본자료!$K$2:$K$501,$AB195))),INDEX(기본자료!$K$2:$K$501,$AB195),IF(INDEX(기본자료!$K$2:$K$501,$AB195)&lt;1000000,INDEX(기본자료!$K$2:$K$501,$AB195),IF(AND(INDEX(기본자료!$K$2:$K$501,$AB195)&gt;=10000101,INT(MOD(INDEX(기본자료!$K$2:$K$501,$AB195),10000)/100)&gt;=1,INT(MOD(INDEX(기본자료!$K$2:$K$501,$AB195),10000)/100)&lt;=12,MOD(INDEX(기본자료!$K$2:$K$501,$AB195),100)&gt;=1,MOD(INDEX(기본자료!$K$2:$K$501,$AB195),100)&lt;=31),DATE(INT(INDEX(기본자료!$K$2:$K$501,$AB195)/10000),INT(MOD(INDEX(기본자료!$K$2:$K$501,$AB195),10000)/100),MOD(INDEX(기본자료!$K$2:$K$501,$AB195),100)),INDEX(기본자료!$K$2:$K$501,$AB195)&amp;"")))))</f>
        <v/>
      </c>
      <c r="F195" s="10">
        <f>IF($AB195="","",IF(INDEX(기본자료!$D$2:$D$501,$AB195)="","",INDEX(기본자료!$D$2:$D$501,$AB195)))</f>
        <v/>
      </c>
      <c r="G195" s="10">
        <f>IF($AB195="","",IF(INDEX(기본자료!$E$2:$E$501,$AB195)="","",INDEX(기본자료!$E$2:$E$501,$AB195)))</f>
        <v/>
      </c>
      <c r="H195" s="10">
        <f>IF($AB195="","",IF(INDEX(기본자료!$F$2:$F$501,$AB195)="","",INDEX(기본자료!$F$2:$F$501,$AB195)))</f>
        <v/>
      </c>
      <c r="I195" s="11">
        <f>IF($AB195="","",IF(INDEX(기본자료!$G$2:$G$501,$AB195)="","",IF(NOT(ISNUMBER(INDEX(기본자료!$G$2:$G$501,$AB195))),INDEX(기본자료!$G$2:$G$501,$AB195),IF(INDEX(기본자료!$G$2:$G$501,$AB195)&lt;1000000,INDEX(기본자료!$G$2:$G$501,$AB195),IF(AND(INDEX(기본자료!$G$2:$G$501,$AB195)&gt;=10000101,INT(MOD(INDEX(기본자료!$G$2:$G$501,$AB195),10000)/100)&gt;=1,INT(MOD(INDEX(기본자료!$G$2:$G$501,$AB195),10000)/100)&lt;=12,MOD(INDEX(기본자료!$G$2:$G$501,$AB195),100)&gt;=1,MOD(INDEX(기본자료!$G$2:$G$501,$AB195),100)&lt;=31),DATE(INT(INDEX(기본자료!$G$2:$G$501,$AB195)/10000),INT(MOD(INDEX(기본자료!$G$2:$G$501,$AB195),10000)/100),MOD(INDEX(기본자료!$G$2:$G$501,$AB195),100)),INDEX(기본자료!$G$2:$G$501,$AB195)&amp;"")))))</f>
        <v/>
      </c>
      <c r="J195" s="10">
        <f>IF($AB195="","",IF(INDEX(기본자료!$H$2:$H$501,$AB195)="","",INDEX(기본자료!$H$2:$H$501,$AB195)))</f>
        <v/>
      </c>
      <c r="K195" s="10">
        <f>IF($AB195="","",IF(INDEX(기본자료!$I$2:$I$501,$AB195)="","",INDEX(기본자료!$I$2:$I$501,$AB195)))</f>
        <v/>
      </c>
      <c r="L195" s="10">
        <f>IF($AB195="","",IF(INDEX(기본자료!$A$2:$A$501,$AB195)="","",INDEX(기본자료!$A$2:$A$501,$AB195)))</f>
        <v/>
      </c>
      <c r="M195" s="14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4" t="n"/>
      <c r="Q195" s="14" t="n"/>
      <c r="R195" s="14" t="n"/>
      <c r="S195" s="15" t="n"/>
      <c r="T195" s="15" t="n"/>
      <c r="U195" s="10">
        <f>IF(OR($B195="",$S195=""),"",IF(TODAY()&lt;$S195,"파견예정",IF(AND($T195&lt;&gt;"",TODAY()&gt;$T195),"파견종료","파견중")))</f>
        <v/>
      </c>
      <c r="V195" s="16">
        <f>IF(OR($S195="",$T195=""),"",$T195-$S195+1)</f>
        <v/>
      </c>
      <c r="W195" s="16">
        <f>IF(AND($U195="파견중",$T195&lt;&gt;""),$T195-TODAY(),"")</f>
        <v/>
      </c>
      <c r="X195" s="16">
        <f>IF(OR($B195="",$S195=""),"",MAX(0,MIN(IF($T195="",EOMONTH(요약!$B$3,0),$T195),EOMONTH(요약!$B$3,0))-MAX($S195,요약!$B$3)+1))</f>
        <v/>
      </c>
      <c r="Y195" s="10">
        <f>IF($B195="","",IF($AE195="","",IF(OR($S195="",$P195="",N($X195)&lt;=0),$AE195,IF($P195="다기관파견",$AE195,IF($AE195="구리병원",IF(AND($Q195&lt;&gt;"",N($X195)&gt;=요약!$E$3),$Q195,$AE195),IF(AND($P195="일반파견(단독)",$Q195&lt;&gt;""),$Q195,$AE195))))))</f>
        <v/>
      </c>
      <c r="Z195" s="17">
        <f>IF($B195="","",IF($AB195="","기본자료에 없는 사번",IF(COUNTIF($B$2:$B$201,$B195)&gt;1,"중복 사번",IF($M195="","입사장소 입력",IF(AND($P195&lt;&gt;"",$S195=""),"파견시작일 입력",IF(AND($S195&lt;&gt;"",$P195=""),"파견종류 입력",IF(AND($P195&lt;&gt;"",$P195&lt;&gt;"다기관파견",$Q195=""),"파견병원 입력",IF(IF($AC195="",0,N(INDEX(인턴근무계획!$T$3:$T$202,$AC195)))&gt;0,"인턴계획 입력오류 확인",IF(AND($AC195&lt;&gt;"",$U195&lt;&gt;"파견중",$N195&lt;&gt;$AE195),"인턴 타지역 근무: 파견 여부 확인","정상")))))))))</f>
        <v/>
      </c>
      <c r="AA195" s="5" t="n"/>
      <c r="AB195" s="10">
        <f>IF($B195="","",IFERROR(MATCH($B195,기본자료!$B$2:$B$501,0),IFERROR(MATCH($B195&amp;"",기본자료!$B$2:$B$501,0),IFERROR(MATCH(VALUE($B195),기본자료!$B$2:$B$501,0),""))))</f>
        <v/>
      </c>
      <c r="AC195" s="10">
        <f>IF($B195="","",IFERROR(MATCH($B195,인턴근무계획!$D$3:$D$202,0),IFERROR(MATCH($B195&amp;"",인턴근무계획!$D$3:$D$202,0),IFERROR(MATCH(VALUE($B195),인턴근무계획!$D$3:$D$202,0),""))))</f>
        <v/>
      </c>
      <c r="AD195" s="10">
        <f>IF(OR($AC195="",인턴현황!$G$3=""),"",INDEX(인턴근무계획!$M$3:$R$202,$AC195,인턴현황!$G$3)&amp;"")</f>
        <v/>
      </c>
      <c r="AE195" s="10">
        <f>IF($B195="","",IF($M195&lt;&gt;"",$M195,IF($H195="","",IF(RIGHT($H195,2)="병원",$H195,$H195&amp;"병원"))))</f>
        <v/>
      </c>
    </row>
    <row r="196">
      <c r="A196" s="10">
        <f>IF(B196="","",ROW()-1)</f>
        <v/>
      </c>
      <c r="B196" s="13" t="n"/>
      <c r="C196" s="10">
        <f>IF($AB196="","",IF(INDEX(기본자료!$C$2:$C$501,$AB196)="","",INDEX(기본자료!$C$2:$C$501,$AB196)))</f>
        <v/>
      </c>
      <c r="D196" s="10">
        <f>IF($AB196="","",IF(INDEX(기본자료!$J$2:$J$501,$AB196)="","",INDEX(기본자료!$J$2:$J$501,$AB196)))</f>
        <v/>
      </c>
      <c r="E196" s="11">
        <f>IF($AB196="","",IF(INDEX(기본자료!$K$2:$K$501,$AB196)="","",IF(NOT(ISNUMBER(INDEX(기본자료!$K$2:$K$501,$AB196))),INDEX(기본자료!$K$2:$K$501,$AB196),IF(INDEX(기본자료!$K$2:$K$501,$AB196)&lt;1000000,INDEX(기본자료!$K$2:$K$501,$AB196),IF(AND(INDEX(기본자료!$K$2:$K$501,$AB196)&gt;=10000101,INT(MOD(INDEX(기본자료!$K$2:$K$501,$AB196),10000)/100)&gt;=1,INT(MOD(INDEX(기본자료!$K$2:$K$501,$AB196),10000)/100)&lt;=12,MOD(INDEX(기본자료!$K$2:$K$501,$AB196),100)&gt;=1,MOD(INDEX(기본자료!$K$2:$K$501,$AB196),100)&lt;=31),DATE(INT(INDEX(기본자료!$K$2:$K$501,$AB196)/10000),INT(MOD(INDEX(기본자료!$K$2:$K$501,$AB196),10000)/100),MOD(INDEX(기본자료!$K$2:$K$501,$AB196),100)),INDEX(기본자료!$K$2:$K$501,$AB196)&amp;"")))))</f>
        <v/>
      </c>
      <c r="F196" s="10">
        <f>IF($AB196="","",IF(INDEX(기본자료!$D$2:$D$501,$AB196)="","",INDEX(기본자료!$D$2:$D$501,$AB196)))</f>
        <v/>
      </c>
      <c r="G196" s="10">
        <f>IF($AB196="","",IF(INDEX(기본자료!$E$2:$E$501,$AB196)="","",INDEX(기본자료!$E$2:$E$501,$AB196)))</f>
        <v/>
      </c>
      <c r="H196" s="10">
        <f>IF($AB196="","",IF(INDEX(기본자료!$F$2:$F$501,$AB196)="","",INDEX(기본자료!$F$2:$F$501,$AB196)))</f>
        <v/>
      </c>
      <c r="I196" s="11">
        <f>IF($AB196="","",IF(INDEX(기본자료!$G$2:$G$501,$AB196)="","",IF(NOT(ISNUMBER(INDEX(기본자료!$G$2:$G$501,$AB196))),INDEX(기본자료!$G$2:$G$501,$AB196),IF(INDEX(기본자료!$G$2:$G$501,$AB196)&lt;1000000,INDEX(기본자료!$G$2:$G$501,$AB196),IF(AND(INDEX(기본자료!$G$2:$G$501,$AB196)&gt;=10000101,INT(MOD(INDEX(기본자료!$G$2:$G$501,$AB196),10000)/100)&gt;=1,INT(MOD(INDEX(기본자료!$G$2:$G$501,$AB196),10000)/100)&lt;=12,MOD(INDEX(기본자료!$G$2:$G$501,$AB196),100)&gt;=1,MOD(INDEX(기본자료!$G$2:$G$501,$AB196),100)&lt;=31),DATE(INT(INDEX(기본자료!$G$2:$G$501,$AB196)/10000),INT(MOD(INDEX(기본자료!$G$2:$G$501,$AB196),10000)/100),MOD(INDEX(기본자료!$G$2:$G$501,$AB196),100)),INDEX(기본자료!$G$2:$G$501,$AB196)&amp;"")))))</f>
        <v/>
      </c>
      <c r="J196" s="10">
        <f>IF($AB196="","",IF(INDEX(기본자료!$H$2:$H$501,$AB196)="","",INDEX(기본자료!$H$2:$H$501,$AB196)))</f>
        <v/>
      </c>
      <c r="K196" s="10">
        <f>IF($AB196="","",IF(INDEX(기본자료!$I$2:$I$501,$AB196)="","",INDEX(기본자료!$I$2:$I$501,$AB196)))</f>
        <v/>
      </c>
      <c r="L196" s="10">
        <f>IF($AB196="","",IF(INDEX(기본자료!$A$2:$A$501,$AB196)="","",INDEX(기본자료!$A$2:$A$501,$AB196)))</f>
        <v/>
      </c>
      <c r="M196" s="14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4" t="n"/>
      <c r="Q196" s="14" t="n"/>
      <c r="R196" s="14" t="n"/>
      <c r="S196" s="15" t="n"/>
      <c r="T196" s="15" t="n"/>
      <c r="U196" s="10">
        <f>IF(OR($B196="",$S196=""),"",IF(TODAY()&lt;$S196,"파견예정",IF(AND($T196&lt;&gt;"",TODAY()&gt;$T196),"파견종료","파견중")))</f>
        <v/>
      </c>
      <c r="V196" s="16">
        <f>IF(OR($S196="",$T196=""),"",$T196-$S196+1)</f>
        <v/>
      </c>
      <c r="W196" s="16">
        <f>IF(AND($U196="파견중",$T196&lt;&gt;""),$T196-TODAY(),"")</f>
        <v/>
      </c>
      <c r="X196" s="16">
        <f>IF(OR($B196="",$S196=""),"",MAX(0,MIN(IF($T196="",EOMONTH(요약!$B$3,0),$T196),EOMONTH(요약!$B$3,0))-MAX($S196,요약!$B$3)+1))</f>
        <v/>
      </c>
      <c r="Y196" s="10">
        <f>IF($B196="","",IF($AE196="","",IF(OR($S196="",$P196="",N($X196)&lt;=0),$AE196,IF($P196="다기관파견",$AE196,IF($AE196="구리병원",IF(AND($Q196&lt;&gt;"",N($X196)&gt;=요약!$E$3),$Q196,$AE196),IF(AND($P196="일반파견(단독)",$Q196&lt;&gt;""),$Q196,$AE196))))))</f>
        <v/>
      </c>
      <c r="Z196" s="17">
        <f>IF($B196="","",IF($AB196="","기본자료에 없는 사번",IF(COUNTIF($B$2:$B$201,$B196)&gt;1,"중복 사번",IF($M196="","입사장소 입력",IF(AND($P196&lt;&gt;"",$S196=""),"파견시작일 입력",IF(AND($S196&lt;&gt;"",$P196=""),"파견종류 입력",IF(AND($P196&lt;&gt;"",$P196&lt;&gt;"다기관파견",$Q196=""),"파견병원 입력",IF(IF($AC196="",0,N(INDEX(인턴근무계획!$T$3:$T$202,$AC196)))&gt;0,"인턴계획 입력오류 확인",IF(AND($AC196&lt;&gt;"",$U196&lt;&gt;"파견중",$N196&lt;&gt;$AE196),"인턴 타지역 근무: 파견 여부 확인","정상")))))))))</f>
        <v/>
      </c>
      <c r="AA196" s="5" t="n"/>
      <c r="AB196" s="10">
        <f>IF($B196="","",IFERROR(MATCH($B196,기본자료!$B$2:$B$501,0),IFERROR(MATCH($B196&amp;"",기본자료!$B$2:$B$501,0),IFERROR(MATCH(VALUE($B196),기본자료!$B$2:$B$501,0),""))))</f>
        <v/>
      </c>
      <c r="AC196" s="10">
        <f>IF($B196="","",IFERROR(MATCH($B196,인턴근무계획!$D$3:$D$202,0),IFERROR(MATCH($B196&amp;"",인턴근무계획!$D$3:$D$202,0),IFERROR(MATCH(VALUE($B196),인턴근무계획!$D$3:$D$202,0),""))))</f>
        <v/>
      </c>
      <c r="AD196" s="10">
        <f>IF(OR($AC196="",인턴현황!$G$3=""),"",INDEX(인턴근무계획!$M$3:$R$202,$AC196,인턴현황!$G$3)&amp;"")</f>
        <v/>
      </c>
      <c r="AE196" s="10">
        <f>IF($B196="","",IF($M196&lt;&gt;"",$M196,IF($H196="","",IF(RIGHT($H196,2)="병원",$H196,$H196&amp;"병원"))))</f>
        <v/>
      </c>
    </row>
    <row r="197">
      <c r="A197" s="10">
        <f>IF(B197="","",ROW()-1)</f>
        <v/>
      </c>
      <c r="B197" s="13" t="n"/>
      <c r="C197" s="10">
        <f>IF($AB197="","",IF(INDEX(기본자료!$C$2:$C$501,$AB197)="","",INDEX(기본자료!$C$2:$C$501,$AB197)))</f>
        <v/>
      </c>
      <c r="D197" s="10">
        <f>IF($AB197="","",IF(INDEX(기본자료!$J$2:$J$501,$AB197)="","",INDEX(기본자료!$J$2:$J$501,$AB197)))</f>
        <v/>
      </c>
      <c r="E197" s="11">
        <f>IF($AB197="","",IF(INDEX(기본자료!$K$2:$K$501,$AB197)="","",IF(NOT(ISNUMBER(INDEX(기본자료!$K$2:$K$501,$AB197))),INDEX(기본자료!$K$2:$K$501,$AB197),IF(INDEX(기본자료!$K$2:$K$501,$AB197)&lt;1000000,INDEX(기본자료!$K$2:$K$501,$AB197),IF(AND(INDEX(기본자료!$K$2:$K$501,$AB197)&gt;=10000101,INT(MOD(INDEX(기본자료!$K$2:$K$501,$AB197),10000)/100)&gt;=1,INT(MOD(INDEX(기본자료!$K$2:$K$501,$AB197),10000)/100)&lt;=12,MOD(INDEX(기본자료!$K$2:$K$501,$AB197),100)&gt;=1,MOD(INDEX(기본자료!$K$2:$K$501,$AB197),100)&lt;=31),DATE(INT(INDEX(기본자료!$K$2:$K$501,$AB197)/10000),INT(MOD(INDEX(기본자료!$K$2:$K$501,$AB197),10000)/100),MOD(INDEX(기본자료!$K$2:$K$501,$AB197),100)),INDEX(기본자료!$K$2:$K$501,$AB197)&amp;"")))))</f>
        <v/>
      </c>
      <c r="F197" s="10">
        <f>IF($AB197="","",IF(INDEX(기본자료!$D$2:$D$501,$AB197)="","",INDEX(기본자료!$D$2:$D$501,$AB197)))</f>
        <v/>
      </c>
      <c r="G197" s="10">
        <f>IF($AB197="","",IF(INDEX(기본자료!$E$2:$E$501,$AB197)="","",INDEX(기본자료!$E$2:$E$501,$AB197)))</f>
        <v/>
      </c>
      <c r="H197" s="10">
        <f>IF($AB197="","",IF(INDEX(기본자료!$F$2:$F$501,$AB197)="","",INDEX(기본자료!$F$2:$F$501,$AB197)))</f>
        <v/>
      </c>
      <c r="I197" s="11">
        <f>IF($AB197="","",IF(INDEX(기본자료!$G$2:$G$501,$AB197)="","",IF(NOT(ISNUMBER(INDEX(기본자료!$G$2:$G$501,$AB197))),INDEX(기본자료!$G$2:$G$501,$AB197),IF(INDEX(기본자료!$G$2:$G$501,$AB197)&lt;1000000,INDEX(기본자료!$G$2:$G$501,$AB197),IF(AND(INDEX(기본자료!$G$2:$G$501,$AB197)&gt;=10000101,INT(MOD(INDEX(기본자료!$G$2:$G$501,$AB197),10000)/100)&gt;=1,INT(MOD(INDEX(기본자료!$G$2:$G$501,$AB197),10000)/100)&lt;=12,MOD(INDEX(기본자료!$G$2:$G$501,$AB197),100)&gt;=1,MOD(INDEX(기본자료!$G$2:$G$501,$AB197),100)&lt;=31),DATE(INT(INDEX(기본자료!$G$2:$G$501,$AB197)/10000),INT(MOD(INDEX(기본자료!$G$2:$G$501,$AB197),10000)/100),MOD(INDEX(기본자료!$G$2:$G$501,$AB197),100)),INDEX(기본자료!$G$2:$G$501,$AB197)&amp;"")))))</f>
        <v/>
      </c>
      <c r="J197" s="10">
        <f>IF($AB197="","",IF(INDEX(기본자료!$H$2:$H$501,$AB197)="","",INDEX(기본자료!$H$2:$H$501,$AB197)))</f>
        <v/>
      </c>
      <c r="K197" s="10">
        <f>IF($AB197="","",IF(INDEX(기본자료!$I$2:$I$501,$AB197)="","",INDEX(기본자료!$I$2:$I$501,$AB197)))</f>
        <v/>
      </c>
      <c r="L197" s="10">
        <f>IF($AB197="","",IF(INDEX(기본자료!$A$2:$A$501,$AB197)="","",INDEX(기본자료!$A$2:$A$501,$AB197)))</f>
        <v/>
      </c>
      <c r="M197" s="14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4" t="n"/>
      <c r="Q197" s="14" t="n"/>
      <c r="R197" s="14" t="n"/>
      <c r="S197" s="15" t="n"/>
      <c r="T197" s="15" t="n"/>
      <c r="U197" s="10">
        <f>IF(OR($B197="",$S197=""),"",IF(TODAY()&lt;$S197,"파견예정",IF(AND($T197&lt;&gt;"",TODAY()&gt;$T197),"파견종료","파견중")))</f>
        <v/>
      </c>
      <c r="V197" s="16">
        <f>IF(OR($S197="",$T197=""),"",$T197-$S197+1)</f>
        <v/>
      </c>
      <c r="W197" s="16">
        <f>IF(AND($U197="파견중",$T197&lt;&gt;""),$T197-TODAY(),"")</f>
        <v/>
      </c>
      <c r="X197" s="16">
        <f>IF(OR($B197="",$S197=""),"",MAX(0,MIN(IF($T197="",EOMONTH(요약!$B$3,0),$T197),EOMONTH(요약!$B$3,0))-MAX($S197,요약!$B$3)+1))</f>
        <v/>
      </c>
      <c r="Y197" s="10">
        <f>IF($B197="","",IF($AE197="","",IF(OR($S197="",$P197="",N($X197)&lt;=0),$AE197,IF($P197="다기관파견",$AE197,IF($AE197="구리병원",IF(AND($Q197&lt;&gt;"",N($X197)&gt;=요약!$E$3),$Q197,$AE197),IF(AND($P197="일반파견(단독)",$Q197&lt;&gt;""),$Q197,$AE197))))))</f>
        <v/>
      </c>
      <c r="Z197" s="17">
        <f>IF($B197="","",IF($AB197="","기본자료에 없는 사번",IF(COUNTIF($B$2:$B$201,$B197)&gt;1,"중복 사번",IF($M197="","입사장소 입력",IF(AND($P197&lt;&gt;"",$S197=""),"파견시작일 입력",IF(AND($S197&lt;&gt;"",$P197=""),"파견종류 입력",IF(AND($P197&lt;&gt;"",$P197&lt;&gt;"다기관파견",$Q197=""),"파견병원 입력",IF(IF($AC197="",0,N(INDEX(인턴근무계획!$T$3:$T$202,$AC197)))&gt;0,"인턴계획 입력오류 확인",IF(AND($AC197&lt;&gt;"",$U197&lt;&gt;"파견중",$N197&lt;&gt;$AE197),"인턴 타지역 근무: 파견 여부 확인","정상")))))))))</f>
        <v/>
      </c>
      <c r="AA197" s="5" t="n"/>
      <c r="AB197" s="10">
        <f>IF($B197="","",IFERROR(MATCH($B197,기본자료!$B$2:$B$501,0),IFERROR(MATCH($B197&amp;"",기본자료!$B$2:$B$501,0),IFERROR(MATCH(VALUE($B197),기본자료!$B$2:$B$501,0),""))))</f>
        <v/>
      </c>
      <c r="AC197" s="10">
        <f>IF($B197="","",IFERROR(MATCH($B197,인턴근무계획!$D$3:$D$202,0),IFERROR(MATCH($B197&amp;"",인턴근무계획!$D$3:$D$202,0),IFERROR(MATCH(VALUE($B197),인턴근무계획!$D$3:$D$202,0),""))))</f>
        <v/>
      </c>
      <c r="AD197" s="10">
        <f>IF(OR($AC197="",인턴현황!$G$3=""),"",INDEX(인턴근무계획!$M$3:$R$202,$AC197,인턴현황!$G$3)&amp;"")</f>
        <v/>
      </c>
      <c r="AE197" s="10">
        <f>IF($B197="","",IF($M197&lt;&gt;"",$M197,IF($H197="","",IF(RIGHT($H197,2)="병원",$H197,$H197&amp;"병원"))))</f>
        <v/>
      </c>
    </row>
    <row r="198">
      <c r="A198" s="10">
        <f>IF(B198="","",ROW()-1)</f>
        <v/>
      </c>
      <c r="B198" s="13" t="n"/>
      <c r="C198" s="10">
        <f>IF($AB198="","",IF(INDEX(기본자료!$C$2:$C$501,$AB198)="","",INDEX(기본자료!$C$2:$C$501,$AB198)))</f>
        <v/>
      </c>
      <c r="D198" s="10">
        <f>IF($AB198="","",IF(INDEX(기본자료!$J$2:$J$501,$AB198)="","",INDEX(기본자료!$J$2:$J$501,$AB198)))</f>
        <v/>
      </c>
      <c r="E198" s="11">
        <f>IF($AB198="","",IF(INDEX(기본자료!$K$2:$K$501,$AB198)="","",IF(NOT(ISNUMBER(INDEX(기본자료!$K$2:$K$501,$AB198))),INDEX(기본자료!$K$2:$K$501,$AB198),IF(INDEX(기본자료!$K$2:$K$501,$AB198)&lt;1000000,INDEX(기본자료!$K$2:$K$501,$AB198),IF(AND(INDEX(기본자료!$K$2:$K$501,$AB198)&gt;=10000101,INT(MOD(INDEX(기본자료!$K$2:$K$501,$AB198),10000)/100)&gt;=1,INT(MOD(INDEX(기본자료!$K$2:$K$501,$AB198),10000)/100)&lt;=12,MOD(INDEX(기본자료!$K$2:$K$501,$AB198),100)&gt;=1,MOD(INDEX(기본자료!$K$2:$K$501,$AB198),100)&lt;=31),DATE(INT(INDEX(기본자료!$K$2:$K$501,$AB198)/10000),INT(MOD(INDEX(기본자료!$K$2:$K$501,$AB198),10000)/100),MOD(INDEX(기본자료!$K$2:$K$501,$AB198),100)),INDEX(기본자료!$K$2:$K$501,$AB198)&amp;"")))))</f>
        <v/>
      </c>
      <c r="F198" s="10">
        <f>IF($AB198="","",IF(INDEX(기본자료!$D$2:$D$501,$AB198)="","",INDEX(기본자료!$D$2:$D$501,$AB198)))</f>
        <v/>
      </c>
      <c r="G198" s="10">
        <f>IF($AB198="","",IF(INDEX(기본자료!$E$2:$E$501,$AB198)="","",INDEX(기본자료!$E$2:$E$501,$AB198)))</f>
        <v/>
      </c>
      <c r="H198" s="10">
        <f>IF($AB198="","",IF(INDEX(기본자료!$F$2:$F$501,$AB198)="","",INDEX(기본자료!$F$2:$F$501,$AB198)))</f>
        <v/>
      </c>
      <c r="I198" s="11">
        <f>IF($AB198="","",IF(INDEX(기본자료!$G$2:$G$501,$AB198)="","",IF(NOT(ISNUMBER(INDEX(기본자료!$G$2:$G$501,$AB198))),INDEX(기본자료!$G$2:$G$501,$AB198),IF(INDEX(기본자료!$G$2:$G$501,$AB198)&lt;1000000,INDEX(기본자료!$G$2:$G$501,$AB198),IF(AND(INDEX(기본자료!$G$2:$G$501,$AB198)&gt;=10000101,INT(MOD(INDEX(기본자료!$G$2:$G$501,$AB198),10000)/100)&gt;=1,INT(MOD(INDEX(기본자료!$G$2:$G$501,$AB198),10000)/100)&lt;=12,MOD(INDEX(기본자료!$G$2:$G$501,$AB198),100)&gt;=1,MOD(INDEX(기본자료!$G$2:$G$501,$AB198),100)&lt;=31),DATE(INT(INDEX(기본자료!$G$2:$G$501,$AB198)/10000),INT(MOD(INDEX(기본자료!$G$2:$G$501,$AB198),10000)/100),MOD(INDEX(기본자료!$G$2:$G$501,$AB198),100)),INDEX(기본자료!$G$2:$G$501,$AB198)&amp;"")))))</f>
        <v/>
      </c>
      <c r="J198" s="10">
        <f>IF($AB198="","",IF(INDEX(기본자료!$H$2:$H$501,$AB198)="","",INDEX(기본자료!$H$2:$H$501,$AB198)))</f>
        <v/>
      </c>
      <c r="K198" s="10">
        <f>IF($AB198="","",IF(INDEX(기본자료!$I$2:$I$501,$AB198)="","",INDEX(기본자료!$I$2:$I$501,$AB198)))</f>
        <v/>
      </c>
      <c r="L198" s="10">
        <f>IF($AB198="","",IF(INDEX(기본자료!$A$2:$A$501,$AB198)="","",INDEX(기본자료!$A$2:$A$501,$AB198)))</f>
        <v/>
      </c>
      <c r="M198" s="14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4" t="n"/>
      <c r="Q198" s="14" t="n"/>
      <c r="R198" s="14" t="n"/>
      <c r="S198" s="15" t="n"/>
      <c r="T198" s="15" t="n"/>
      <c r="U198" s="10">
        <f>IF(OR($B198="",$S198=""),"",IF(TODAY()&lt;$S198,"파견예정",IF(AND($T198&lt;&gt;"",TODAY()&gt;$T198),"파견종료","파견중")))</f>
        <v/>
      </c>
      <c r="V198" s="16">
        <f>IF(OR($S198="",$T198=""),"",$T198-$S198+1)</f>
        <v/>
      </c>
      <c r="W198" s="16">
        <f>IF(AND($U198="파견중",$T198&lt;&gt;""),$T198-TODAY(),"")</f>
        <v/>
      </c>
      <c r="X198" s="16">
        <f>IF(OR($B198="",$S198=""),"",MAX(0,MIN(IF($T198="",EOMONTH(요약!$B$3,0),$T198),EOMONTH(요약!$B$3,0))-MAX($S198,요약!$B$3)+1))</f>
        <v/>
      </c>
      <c r="Y198" s="10">
        <f>IF($B198="","",IF($AE198="","",IF(OR($S198="",$P198="",N($X198)&lt;=0),$AE198,IF($P198="다기관파견",$AE198,IF($AE198="구리병원",IF(AND($Q198&lt;&gt;"",N($X198)&gt;=요약!$E$3),$Q198,$AE198),IF(AND($P198="일반파견(단독)",$Q198&lt;&gt;""),$Q198,$AE198))))))</f>
        <v/>
      </c>
      <c r="Z198" s="17">
        <f>IF($B198="","",IF($AB198="","기본자료에 없는 사번",IF(COUNTIF($B$2:$B$201,$B198)&gt;1,"중복 사번",IF($M198="","입사장소 입력",IF(AND($P198&lt;&gt;"",$S198=""),"파견시작일 입력",IF(AND($S198&lt;&gt;"",$P198=""),"파견종류 입력",IF(AND($P198&lt;&gt;"",$P198&lt;&gt;"다기관파견",$Q198=""),"파견병원 입력",IF(IF($AC198="",0,N(INDEX(인턴근무계획!$T$3:$T$202,$AC198)))&gt;0,"인턴계획 입력오류 확인",IF(AND($AC198&lt;&gt;"",$U198&lt;&gt;"파견중",$N198&lt;&gt;$AE198),"인턴 타지역 근무: 파견 여부 확인","정상")))))))))</f>
        <v/>
      </c>
      <c r="AA198" s="5" t="n"/>
      <c r="AB198" s="10">
        <f>IF($B198="","",IFERROR(MATCH($B198,기본자료!$B$2:$B$501,0),IFERROR(MATCH($B198&amp;"",기본자료!$B$2:$B$501,0),IFERROR(MATCH(VALUE($B198),기본자료!$B$2:$B$501,0),""))))</f>
        <v/>
      </c>
      <c r="AC198" s="10">
        <f>IF($B198="","",IFERROR(MATCH($B198,인턴근무계획!$D$3:$D$202,0),IFERROR(MATCH($B198&amp;"",인턴근무계획!$D$3:$D$202,0),IFERROR(MATCH(VALUE($B198),인턴근무계획!$D$3:$D$202,0),""))))</f>
        <v/>
      </c>
      <c r="AD198" s="10">
        <f>IF(OR($AC198="",인턴현황!$G$3=""),"",INDEX(인턴근무계획!$M$3:$R$202,$AC198,인턴현황!$G$3)&amp;"")</f>
        <v/>
      </c>
      <c r="AE198" s="10">
        <f>IF($B198="","",IF($M198&lt;&gt;"",$M198,IF($H198="","",IF(RIGHT($H198,2)="병원",$H198,$H198&amp;"병원"))))</f>
        <v/>
      </c>
    </row>
    <row r="199">
      <c r="A199" s="10">
        <f>IF(B199="","",ROW()-1)</f>
        <v/>
      </c>
      <c r="B199" s="13" t="n"/>
      <c r="C199" s="10">
        <f>IF($AB199="","",IF(INDEX(기본자료!$C$2:$C$501,$AB199)="","",INDEX(기본자료!$C$2:$C$501,$AB199)))</f>
        <v/>
      </c>
      <c r="D199" s="10">
        <f>IF($AB199="","",IF(INDEX(기본자료!$J$2:$J$501,$AB199)="","",INDEX(기본자료!$J$2:$J$501,$AB199)))</f>
        <v/>
      </c>
      <c r="E199" s="11">
        <f>IF($AB199="","",IF(INDEX(기본자료!$K$2:$K$501,$AB199)="","",IF(NOT(ISNUMBER(INDEX(기본자료!$K$2:$K$501,$AB199))),INDEX(기본자료!$K$2:$K$501,$AB199),IF(INDEX(기본자료!$K$2:$K$501,$AB199)&lt;1000000,INDEX(기본자료!$K$2:$K$501,$AB199),IF(AND(INDEX(기본자료!$K$2:$K$501,$AB199)&gt;=10000101,INT(MOD(INDEX(기본자료!$K$2:$K$501,$AB199),10000)/100)&gt;=1,INT(MOD(INDEX(기본자료!$K$2:$K$501,$AB199),10000)/100)&lt;=12,MOD(INDEX(기본자료!$K$2:$K$501,$AB199),100)&gt;=1,MOD(INDEX(기본자료!$K$2:$K$501,$AB199),100)&lt;=31),DATE(INT(INDEX(기본자료!$K$2:$K$501,$AB199)/10000),INT(MOD(INDEX(기본자료!$K$2:$K$501,$AB199),10000)/100),MOD(INDEX(기본자료!$K$2:$K$501,$AB199),100)),INDEX(기본자료!$K$2:$K$501,$AB199)&amp;"")))))</f>
        <v/>
      </c>
      <c r="F199" s="10">
        <f>IF($AB199="","",IF(INDEX(기본자료!$D$2:$D$501,$AB199)="","",INDEX(기본자료!$D$2:$D$501,$AB199)))</f>
        <v/>
      </c>
      <c r="G199" s="10">
        <f>IF($AB199="","",IF(INDEX(기본자료!$E$2:$E$501,$AB199)="","",INDEX(기본자료!$E$2:$E$501,$AB199)))</f>
        <v/>
      </c>
      <c r="H199" s="10">
        <f>IF($AB199="","",IF(INDEX(기본자료!$F$2:$F$501,$AB199)="","",INDEX(기본자료!$F$2:$F$501,$AB199)))</f>
        <v/>
      </c>
      <c r="I199" s="11">
        <f>IF($AB199="","",IF(INDEX(기본자료!$G$2:$G$501,$AB199)="","",IF(NOT(ISNUMBER(INDEX(기본자료!$G$2:$G$501,$AB199))),INDEX(기본자료!$G$2:$G$501,$AB199),IF(INDEX(기본자료!$G$2:$G$501,$AB199)&lt;1000000,INDEX(기본자료!$G$2:$G$501,$AB199),IF(AND(INDEX(기본자료!$G$2:$G$501,$AB199)&gt;=10000101,INT(MOD(INDEX(기본자료!$G$2:$G$501,$AB199),10000)/100)&gt;=1,INT(MOD(INDEX(기본자료!$G$2:$G$501,$AB199),10000)/100)&lt;=12,MOD(INDEX(기본자료!$G$2:$G$501,$AB199),100)&gt;=1,MOD(INDEX(기본자료!$G$2:$G$501,$AB199),100)&lt;=31),DATE(INT(INDEX(기본자료!$G$2:$G$501,$AB199)/10000),INT(MOD(INDEX(기본자료!$G$2:$G$501,$AB199),10000)/100),MOD(INDEX(기본자료!$G$2:$G$501,$AB199),100)),INDEX(기본자료!$G$2:$G$501,$AB199)&amp;"")))))</f>
        <v/>
      </c>
      <c r="J199" s="10">
        <f>IF($AB199="","",IF(INDEX(기본자료!$H$2:$H$501,$AB199)="","",INDEX(기본자료!$H$2:$H$501,$AB199)))</f>
        <v/>
      </c>
      <c r="K199" s="10">
        <f>IF($AB199="","",IF(INDEX(기본자료!$I$2:$I$501,$AB199)="","",INDEX(기본자료!$I$2:$I$501,$AB199)))</f>
        <v/>
      </c>
      <c r="L199" s="10">
        <f>IF($AB199="","",IF(INDEX(기본자료!$A$2:$A$501,$AB199)="","",INDEX(기본자료!$A$2:$A$501,$AB199)))</f>
        <v/>
      </c>
      <c r="M199" s="14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4" t="n"/>
      <c r="Q199" s="14" t="n"/>
      <c r="R199" s="14" t="n"/>
      <c r="S199" s="15" t="n"/>
      <c r="T199" s="15" t="n"/>
      <c r="U199" s="10">
        <f>IF(OR($B199="",$S199=""),"",IF(TODAY()&lt;$S199,"파견예정",IF(AND($T199&lt;&gt;"",TODAY()&gt;$T199),"파견종료","파견중")))</f>
        <v/>
      </c>
      <c r="V199" s="16">
        <f>IF(OR($S199="",$T199=""),"",$T199-$S199+1)</f>
        <v/>
      </c>
      <c r="W199" s="16">
        <f>IF(AND($U199="파견중",$T199&lt;&gt;""),$T199-TODAY(),"")</f>
        <v/>
      </c>
      <c r="X199" s="16">
        <f>IF(OR($B199="",$S199=""),"",MAX(0,MIN(IF($T199="",EOMONTH(요약!$B$3,0),$T199),EOMONTH(요약!$B$3,0))-MAX($S199,요약!$B$3)+1))</f>
        <v/>
      </c>
      <c r="Y199" s="10">
        <f>IF($B199="","",IF($AE199="","",IF(OR($S199="",$P199="",N($X199)&lt;=0),$AE199,IF($P199="다기관파견",$AE199,IF($AE199="구리병원",IF(AND($Q199&lt;&gt;"",N($X199)&gt;=요약!$E$3),$Q199,$AE199),IF(AND($P199="일반파견(단독)",$Q199&lt;&gt;""),$Q199,$AE199))))))</f>
        <v/>
      </c>
      <c r="Z199" s="17">
        <f>IF($B199="","",IF($AB199="","기본자료에 없는 사번",IF(COUNTIF($B$2:$B$201,$B199)&gt;1,"중복 사번",IF($M199="","입사장소 입력",IF(AND($P199&lt;&gt;"",$S199=""),"파견시작일 입력",IF(AND($S199&lt;&gt;"",$P199=""),"파견종류 입력",IF(AND($P199&lt;&gt;"",$P199&lt;&gt;"다기관파견",$Q199=""),"파견병원 입력",IF(IF($AC199="",0,N(INDEX(인턴근무계획!$T$3:$T$202,$AC199)))&gt;0,"인턴계획 입력오류 확인",IF(AND($AC199&lt;&gt;"",$U199&lt;&gt;"파견중",$N199&lt;&gt;$AE199),"인턴 타지역 근무: 파견 여부 확인","정상")))))))))</f>
        <v/>
      </c>
      <c r="AA199" s="5" t="n"/>
      <c r="AB199" s="10">
        <f>IF($B199="","",IFERROR(MATCH($B199,기본자료!$B$2:$B$501,0),IFERROR(MATCH($B199&amp;"",기본자료!$B$2:$B$501,0),IFERROR(MATCH(VALUE($B199),기본자료!$B$2:$B$501,0),""))))</f>
        <v/>
      </c>
      <c r="AC199" s="10">
        <f>IF($B199="","",IFERROR(MATCH($B199,인턴근무계획!$D$3:$D$202,0),IFERROR(MATCH($B199&amp;"",인턴근무계획!$D$3:$D$202,0),IFERROR(MATCH(VALUE($B199),인턴근무계획!$D$3:$D$202,0),""))))</f>
        <v/>
      </c>
      <c r="AD199" s="10">
        <f>IF(OR($AC199="",인턴현황!$G$3=""),"",INDEX(인턴근무계획!$M$3:$R$202,$AC199,인턴현황!$G$3)&amp;"")</f>
        <v/>
      </c>
      <c r="AE199" s="10">
        <f>IF($B199="","",IF($M199&lt;&gt;"",$M199,IF($H199="","",IF(RIGHT($H199,2)="병원",$H199,$H199&amp;"병원"))))</f>
        <v/>
      </c>
    </row>
    <row r="200">
      <c r="A200" s="10">
        <f>IF(B200="","",ROW()-1)</f>
        <v/>
      </c>
      <c r="B200" s="13" t="n"/>
      <c r="C200" s="10">
        <f>IF($AB200="","",IF(INDEX(기본자료!$C$2:$C$501,$AB200)="","",INDEX(기본자료!$C$2:$C$501,$AB200)))</f>
        <v/>
      </c>
      <c r="D200" s="10">
        <f>IF($AB200="","",IF(INDEX(기본자료!$J$2:$J$501,$AB200)="","",INDEX(기본자료!$J$2:$J$501,$AB200)))</f>
        <v/>
      </c>
      <c r="E200" s="11">
        <f>IF($AB200="","",IF(INDEX(기본자료!$K$2:$K$501,$AB200)="","",IF(NOT(ISNUMBER(INDEX(기본자료!$K$2:$K$501,$AB200))),INDEX(기본자료!$K$2:$K$501,$AB200),IF(INDEX(기본자료!$K$2:$K$501,$AB200)&lt;1000000,INDEX(기본자료!$K$2:$K$501,$AB200),IF(AND(INDEX(기본자료!$K$2:$K$501,$AB200)&gt;=10000101,INT(MOD(INDEX(기본자료!$K$2:$K$501,$AB200),10000)/100)&gt;=1,INT(MOD(INDEX(기본자료!$K$2:$K$501,$AB200),10000)/100)&lt;=12,MOD(INDEX(기본자료!$K$2:$K$501,$AB200),100)&gt;=1,MOD(INDEX(기본자료!$K$2:$K$501,$AB200),100)&lt;=31),DATE(INT(INDEX(기본자료!$K$2:$K$501,$AB200)/10000),INT(MOD(INDEX(기본자료!$K$2:$K$501,$AB200),10000)/100),MOD(INDEX(기본자료!$K$2:$K$501,$AB200),100)),INDEX(기본자료!$K$2:$K$501,$AB200)&amp;"")))))</f>
        <v/>
      </c>
      <c r="F200" s="10">
        <f>IF($AB200="","",IF(INDEX(기본자료!$D$2:$D$501,$AB200)="","",INDEX(기본자료!$D$2:$D$501,$AB200)))</f>
        <v/>
      </c>
      <c r="G200" s="10">
        <f>IF($AB200="","",IF(INDEX(기본자료!$E$2:$E$501,$AB200)="","",INDEX(기본자료!$E$2:$E$501,$AB200)))</f>
        <v/>
      </c>
      <c r="H200" s="10">
        <f>IF($AB200="","",IF(INDEX(기본자료!$F$2:$F$501,$AB200)="","",INDEX(기본자료!$F$2:$F$501,$AB200)))</f>
        <v/>
      </c>
      <c r="I200" s="11">
        <f>IF($AB200="","",IF(INDEX(기본자료!$G$2:$G$501,$AB200)="","",IF(NOT(ISNUMBER(INDEX(기본자료!$G$2:$G$501,$AB200))),INDEX(기본자료!$G$2:$G$501,$AB200),IF(INDEX(기본자료!$G$2:$G$501,$AB200)&lt;1000000,INDEX(기본자료!$G$2:$G$501,$AB200),IF(AND(INDEX(기본자료!$G$2:$G$501,$AB200)&gt;=10000101,INT(MOD(INDEX(기본자료!$G$2:$G$501,$AB200),10000)/100)&gt;=1,INT(MOD(INDEX(기본자료!$G$2:$G$501,$AB200),10000)/100)&lt;=12,MOD(INDEX(기본자료!$G$2:$G$501,$AB200),100)&gt;=1,MOD(INDEX(기본자료!$G$2:$G$501,$AB200),100)&lt;=31),DATE(INT(INDEX(기본자료!$G$2:$G$501,$AB200)/10000),INT(MOD(INDEX(기본자료!$G$2:$G$501,$AB200),10000)/100),MOD(INDEX(기본자료!$G$2:$G$501,$AB200),100)),INDEX(기본자료!$G$2:$G$501,$AB200)&amp;"")))))</f>
        <v/>
      </c>
      <c r="J200" s="10">
        <f>IF($AB200="","",IF(INDEX(기본자료!$H$2:$H$501,$AB200)="","",INDEX(기본자료!$H$2:$H$501,$AB200)))</f>
        <v/>
      </c>
      <c r="K200" s="10">
        <f>IF($AB200="","",IF(INDEX(기본자료!$I$2:$I$501,$AB200)="","",INDEX(기본자료!$I$2:$I$501,$AB200)))</f>
        <v/>
      </c>
      <c r="L200" s="10">
        <f>IF($AB200="","",IF(INDEX(기본자료!$A$2:$A$501,$AB200)="","",INDEX(기본자료!$A$2:$A$501,$AB200)))</f>
        <v/>
      </c>
      <c r="M200" s="14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4" t="n"/>
      <c r="Q200" s="14" t="n"/>
      <c r="R200" s="14" t="n"/>
      <c r="S200" s="15" t="n"/>
      <c r="T200" s="15" t="n"/>
      <c r="U200" s="10">
        <f>IF(OR($B200="",$S200=""),"",IF(TODAY()&lt;$S200,"파견예정",IF(AND($T200&lt;&gt;"",TODAY()&gt;$T200),"파견종료","파견중")))</f>
        <v/>
      </c>
      <c r="V200" s="16">
        <f>IF(OR($S200="",$T200=""),"",$T200-$S200+1)</f>
        <v/>
      </c>
      <c r="W200" s="16">
        <f>IF(AND($U200="파견중",$T200&lt;&gt;""),$T200-TODAY(),"")</f>
        <v/>
      </c>
      <c r="X200" s="16">
        <f>IF(OR($B200="",$S200=""),"",MAX(0,MIN(IF($T200="",EOMONTH(요약!$B$3,0),$T200),EOMONTH(요약!$B$3,0))-MAX($S200,요약!$B$3)+1))</f>
        <v/>
      </c>
      <c r="Y200" s="10">
        <f>IF($B200="","",IF($AE200="","",IF(OR($S200="",$P200="",N($X200)&lt;=0),$AE200,IF($P200="다기관파견",$AE200,IF($AE200="구리병원",IF(AND($Q200&lt;&gt;"",N($X200)&gt;=요약!$E$3),$Q200,$AE200),IF(AND($P200="일반파견(단독)",$Q200&lt;&gt;""),$Q200,$AE200))))))</f>
        <v/>
      </c>
      <c r="Z200" s="17">
        <f>IF($B200="","",IF($AB200="","기본자료에 없는 사번",IF(COUNTIF($B$2:$B$201,$B200)&gt;1,"중복 사번",IF($M200="","입사장소 입력",IF(AND($P200&lt;&gt;"",$S200=""),"파견시작일 입력",IF(AND($S200&lt;&gt;"",$P200=""),"파견종류 입력",IF(AND($P200&lt;&gt;"",$P200&lt;&gt;"다기관파견",$Q200=""),"파견병원 입력",IF(IF($AC200="",0,N(INDEX(인턴근무계획!$T$3:$T$202,$AC200)))&gt;0,"인턴계획 입력오류 확인",IF(AND($AC200&lt;&gt;"",$U200&lt;&gt;"파견중",$N200&lt;&gt;$AE200),"인턴 타지역 근무: 파견 여부 확인","정상")))))))))</f>
        <v/>
      </c>
      <c r="AA200" s="5" t="n"/>
      <c r="AB200" s="10">
        <f>IF($B200="","",IFERROR(MATCH($B200,기본자료!$B$2:$B$501,0),IFERROR(MATCH($B200&amp;"",기본자료!$B$2:$B$501,0),IFERROR(MATCH(VALUE($B200),기본자료!$B$2:$B$501,0),""))))</f>
        <v/>
      </c>
      <c r="AC200" s="10">
        <f>IF($B200="","",IFERROR(MATCH($B200,인턴근무계획!$D$3:$D$202,0),IFERROR(MATCH($B200&amp;"",인턴근무계획!$D$3:$D$202,0),IFERROR(MATCH(VALUE($B200),인턴근무계획!$D$3:$D$202,0),""))))</f>
        <v/>
      </c>
      <c r="AD200" s="10">
        <f>IF(OR($AC200="",인턴현황!$G$3=""),"",INDEX(인턴근무계획!$M$3:$R$202,$AC200,인턴현황!$G$3)&amp;"")</f>
        <v/>
      </c>
      <c r="AE200" s="10">
        <f>IF($B200="","",IF($M200&lt;&gt;"",$M200,IF($H200="","",IF(RIGHT($H200,2)="병원",$H200,$H200&amp;"병원"))))</f>
        <v/>
      </c>
    </row>
    <row r="201">
      <c r="A201" s="10">
        <f>IF(B201="","",ROW()-1)</f>
        <v/>
      </c>
      <c r="B201" s="13" t="n"/>
      <c r="C201" s="10">
        <f>IF($AB201="","",IF(INDEX(기본자료!$C$2:$C$501,$AB201)="","",INDEX(기본자료!$C$2:$C$501,$AB201)))</f>
        <v/>
      </c>
      <c r="D201" s="10">
        <f>IF($AB201="","",IF(INDEX(기본자료!$J$2:$J$501,$AB201)="","",INDEX(기본자료!$J$2:$J$501,$AB201)))</f>
        <v/>
      </c>
      <c r="E201" s="11">
        <f>IF($AB201="","",IF(INDEX(기본자료!$K$2:$K$501,$AB201)="","",IF(NOT(ISNUMBER(INDEX(기본자료!$K$2:$K$501,$AB201))),INDEX(기본자료!$K$2:$K$501,$AB201),IF(INDEX(기본자료!$K$2:$K$501,$AB201)&lt;1000000,INDEX(기본자료!$K$2:$K$501,$AB201),IF(AND(INDEX(기본자료!$K$2:$K$501,$AB201)&gt;=10000101,INT(MOD(INDEX(기본자료!$K$2:$K$501,$AB201),10000)/100)&gt;=1,INT(MOD(INDEX(기본자료!$K$2:$K$501,$AB201),10000)/100)&lt;=12,MOD(INDEX(기본자료!$K$2:$K$501,$AB201),100)&gt;=1,MOD(INDEX(기본자료!$K$2:$K$501,$AB201),100)&lt;=31),DATE(INT(INDEX(기본자료!$K$2:$K$501,$AB201)/10000),INT(MOD(INDEX(기본자료!$K$2:$K$501,$AB201),10000)/100),MOD(INDEX(기본자료!$K$2:$K$501,$AB201),100)),INDEX(기본자료!$K$2:$K$501,$AB201)&amp;"")))))</f>
        <v/>
      </c>
      <c r="F201" s="10">
        <f>IF($AB201="","",IF(INDEX(기본자료!$D$2:$D$501,$AB201)="","",INDEX(기본자료!$D$2:$D$501,$AB201)))</f>
        <v/>
      </c>
      <c r="G201" s="10">
        <f>IF($AB201="","",IF(INDEX(기본자료!$E$2:$E$501,$AB201)="","",INDEX(기본자료!$E$2:$E$501,$AB201)))</f>
        <v/>
      </c>
      <c r="H201" s="10">
        <f>IF($AB201="","",IF(INDEX(기본자료!$F$2:$F$501,$AB201)="","",INDEX(기본자료!$F$2:$F$501,$AB201)))</f>
        <v/>
      </c>
      <c r="I201" s="11">
        <f>IF($AB201="","",IF(INDEX(기본자료!$G$2:$G$501,$AB201)="","",IF(NOT(ISNUMBER(INDEX(기본자료!$G$2:$G$501,$AB201))),INDEX(기본자료!$G$2:$G$501,$AB201),IF(INDEX(기본자료!$G$2:$G$501,$AB201)&lt;1000000,INDEX(기본자료!$G$2:$G$501,$AB201),IF(AND(INDEX(기본자료!$G$2:$G$501,$AB201)&gt;=10000101,INT(MOD(INDEX(기본자료!$G$2:$G$501,$AB201),10000)/100)&gt;=1,INT(MOD(INDEX(기본자료!$G$2:$G$501,$AB201),10000)/100)&lt;=12,MOD(INDEX(기본자료!$G$2:$G$501,$AB201),100)&gt;=1,MOD(INDEX(기본자료!$G$2:$G$501,$AB201),100)&lt;=31),DATE(INT(INDEX(기본자료!$G$2:$G$501,$AB201)/10000),INT(MOD(INDEX(기본자료!$G$2:$G$501,$AB201),10000)/100),MOD(INDEX(기본자료!$G$2:$G$501,$AB201),100)),INDEX(기본자료!$G$2:$G$501,$AB201)&amp;"")))))</f>
        <v/>
      </c>
      <c r="J201" s="10">
        <f>IF($AB201="","",IF(INDEX(기본자료!$H$2:$H$501,$AB201)="","",INDEX(기본자료!$H$2:$H$501,$AB201)))</f>
        <v/>
      </c>
      <c r="K201" s="10">
        <f>IF($AB201="","",IF(INDEX(기본자료!$I$2:$I$501,$AB201)="","",INDEX(기본자료!$I$2:$I$501,$AB201)))</f>
        <v/>
      </c>
      <c r="L201" s="10">
        <f>IF($AB201="","",IF(INDEX(기본자료!$A$2:$A$501,$AB201)="","",INDEX(기본자료!$A$2:$A$501,$AB201)))</f>
        <v/>
      </c>
      <c r="M201" s="14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4" t="n"/>
      <c r="Q201" s="14" t="n"/>
      <c r="R201" s="14" t="n"/>
      <c r="S201" s="15" t="n"/>
      <c r="T201" s="15" t="n"/>
      <c r="U201" s="10">
        <f>IF(OR($B201="",$S201=""),"",IF(TODAY()&lt;$S201,"파견예정",IF(AND($T201&lt;&gt;"",TODAY()&gt;$T201),"파견종료","파견중")))</f>
        <v/>
      </c>
      <c r="V201" s="16">
        <f>IF(OR($S201="",$T201=""),"",$T201-$S201+1)</f>
        <v/>
      </c>
      <c r="W201" s="16">
        <f>IF(AND($U201="파견중",$T201&lt;&gt;""),$T201-TODAY(),"")</f>
        <v/>
      </c>
      <c r="X201" s="16">
        <f>IF(OR($B201="",$S201=""),"",MAX(0,MIN(IF($T201="",EOMONTH(요약!$B$3,0),$T201),EOMONTH(요약!$B$3,0))-MAX($S201,요약!$B$3)+1))</f>
        <v/>
      </c>
      <c r="Y201" s="10">
        <f>IF($B201="","",IF($AE201="","",IF(OR($S201="",$P201="",N($X201)&lt;=0),$AE201,IF($P201="다기관파견",$AE201,IF($AE201="구리병원",IF(AND($Q201&lt;&gt;"",N($X201)&gt;=요약!$E$3),$Q201,$AE201),IF(AND($P201="일반파견(단독)",$Q201&lt;&gt;""),$Q201,$AE201))))))</f>
        <v/>
      </c>
      <c r="Z201" s="17">
        <f>IF($B201="","",IF($AB201="","기본자료에 없는 사번",IF(COUNTIF($B$2:$B$201,$B201)&gt;1,"중복 사번",IF($M201="","입사장소 입력",IF(AND($P201&lt;&gt;"",$S201=""),"파견시작일 입력",IF(AND($S201&lt;&gt;"",$P201=""),"파견종류 입력",IF(AND($P201&lt;&gt;"",$P201&lt;&gt;"다기관파견",$Q201=""),"파견병원 입력",IF(IF($AC201="",0,N(INDEX(인턴근무계획!$T$3:$T$202,$AC201)))&gt;0,"인턴계획 입력오류 확인",IF(AND($AC201&lt;&gt;"",$U201&lt;&gt;"파견중",$N201&lt;&gt;$AE201),"인턴 타지역 근무: 파견 여부 확인","정상")))))))))</f>
        <v/>
      </c>
      <c r="AA201" s="5" t="n"/>
      <c r="AB201" s="10">
        <f>IF($B201="","",IFERROR(MATCH($B201,기본자료!$B$2:$B$501,0),IFERROR(MATCH($B201&amp;"",기본자료!$B$2:$B$501,0),IFERROR(MATCH(VALUE($B201),기본자료!$B$2:$B$501,0),""))))</f>
        <v/>
      </c>
      <c r="AC201" s="10">
        <f>IF($B201="","",IFERROR(MATCH($B201,인턴근무계획!$D$3:$D$202,0),IFERROR(MATCH($B201&amp;"",인턴근무계획!$D$3:$D$202,0),IFERROR(MATCH(VALUE($B201),인턴근무계획!$D$3:$D$202,0),""))))</f>
        <v/>
      </c>
      <c r="AD201" s="10">
        <f>IF(OR($AC201="",인턴현황!$G$3=""),"",INDEX(인턴근무계획!$M$3:$R$202,$AC201,인턴현황!$G$3)&amp;"")</f>
        <v/>
      </c>
      <c r="AE201" s="10">
        <f>IF($B201="","",IF($M201&lt;&gt;"",$M201,IF($H201="","",IF(RIGHT($H201,2)="병원",$H201,$H201&amp;"병원"))))</f>
        <v/>
      </c>
    </row>
  </sheetData>
  <conditionalFormatting sqref="B2:B201">
    <cfRule type="expression" priority="1" dxfId="2">
      <formula>AND($B2&lt;&gt;"",$AB2="")</formula>
    </cfRule>
    <cfRule type="expression" priority="2" dxfId="3">
      <formula>AND($B2&lt;&gt;"",COUNTIF($B$2:$B$201,$B2)&gt;1)</formula>
    </cfRule>
  </conditionalFormatting>
  <conditionalFormatting sqref="E2:E201">
    <cfRule type="expression" priority="3" dxfId="4">
      <formula>ISTEXT($E2)</formula>
    </cfRule>
  </conditionalFormatting>
  <conditionalFormatting sqref="I2:I201">
    <cfRule type="expression" priority="4" dxfId="4">
      <formula>ISTEXT($I2)</formula>
    </cfRule>
  </conditionalFormatting>
  <conditionalFormatting sqref="Z2:Z201">
    <cfRule type="expression" priority="5" dxfId="5">
      <formula>AND($Z2&lt;&gt;"",$Z2&lt;&gt;"정상")</formula>
    </cfRule>
  </conditionalFormatting>
  <conditionalFormatting sqref="U2:W201">
    <cfRule type="expression" priority="6" dxfId="6">
      <formula>$U2="파견종료"</formula>
    </cfRule>
  </conditionalFormatting>
  <conditionalFormatting sqref="A2:T201">
    <cfRule type="expression" priority="7" dxfId="7">
      <formula>AND($U2="파견중",$W2&lt;&gt;"",$W2&lt;=요약!$E$2)</formula>
    </cfRule>
  </conditionalFormatting>
  <conditionalFormatting sqref="U2:U201">
    <cfRule type="expression" priority="8" dxfId="8">
      <formula>$U2="파견중"</formula>
    </cfRule>
    <cfRule type="expression" priority="9" dxfId="9">
      <formula>$U2="파견예정"</formula>
    </cfRule>
  </conditionalFormatting>
  <conditionalFormatting sqref="Y2:Y201">
    <cfRule type="expression" priority="10" dxfId="10">
      <formula>AND($Y2&lt;&gt;"",$AE2&lt;&gt;"",$Y2&lt;&gt;$AE2)</formula>
    </cfRule>
  </conditionalFormatting>
  <dataValidations count="6">
    <dataValidation sqref="M2:M201" showDropDown="0" showInputMessage="0" showErrorMessage="1" allowBlank="1" errorTitle="등록되지 않은 값" error="병원 목록에 없는 값입니다. 새로운 항목이면 '코드표' 시트에 먼저 추가한 뒤 선택하세요." type="list" errorStyle="stop">
      <formula1>=코드표!$A$2:$A$21</formula1>
    </dataValidation>
    <dataValidation sqref="P2:P201" showDropDown="0" showInputMessage="0" showErrorMessage="1" allowBlank="1" errorTitle="등록되지 않은 값" error="파견종류 목록에 없는 값입니다. 새로운 항목이면 '코드표' 시트에 먼저 추가한 뒤 선택하세요." type="list" errorStyle="stop">
      <formula1>=코드표!$C$2:$C$11</formula1>
    </dataValidation>
    <dataValidation sqref="Q2:Q201" showDropDown="0" showInputMessage="0" showErrorMessage="1" allowBlank="1" errorTitle="등록되지 않은 값" error="병원 목록에 없는 값입니다. 새로운 항목이면 '코드표' 시트에 먼저 추가한 뒤 선택하세요." type="list" errorStyle="stop">
      <formula1>=코드표!$A$2:$A$21</formula1>
    </dataValidation>
    <dataValidation sqref="R2:R201" showDropDown="0" showInputMessage="0" showErrorMessage="1" allowBlank="1" errorTitle="등록되지 않은 값" error="근무과(진료과) 목록에 없는 값입니다. 새로운 항목이면 '코드표' 시트에 먼저 추가한 뒤 선택하세요." type="list" errorStyle="stop">
      <formula1>=코드표!$B$2:$B$41</formula1>
    </dataValidation>
    <dataValidation sqref="S2:T201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T2:T201" showDropDown="0" showInputMessage="0" showErrorMessage="1" allowBlank="1" errorTitle="종료일 오류" error="종료일은 시작일 이후여야 합니다." type="custom">
      <formula1>OR(T2="",S2="",T2&gt;=S2)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18">
        <f>TODAY()</f>
        <v/>
      </c>
      <c r="D2" s="3" t="inlineStr">
        <is>
          <t>종료 임박 기준(일)</t>
        </is>
      </c>
      <c r="E2" s="19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0">
        <f>DATE(YEAR(TODAY()),MONTH(TODAY()),1)</f>
        <v/>
      </c>
      <c r="D3" s="3" t="inlineStr">
        <is>
          <t>구리 15일 규칙(일)</t>
        </is>
      </c>
      <c r="E3" s="19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1" t="inlineStr">
        <is>
          <t>파견중</t>
        </is>
      </c>
      <c r="B5" s="21">
        <f>COUNTIF(전공의명단!$U$2:$U$201,A5)</f>
        <v/>
      </c>
      <c r="D5" s="21">
        <f>IF(코드표!A2="","",코드표!A2)</f>
        <v/>
      </c>
      <c r="E5" s="21">
        <f>IF(D5="","",COUNTIF(전공의명단!$N$2:$N$201,D5))</f>
        <v/>
      </c>
      <c r="F5" s="21">
        <f>IF(D5="","",COUNTIF(전공의명단!$Y$2:$Y$201,D5))</f>
        <v/>
      </c>
      <c r="G5" s="21">
        <f>IF(D5="","",COUNTIFS(전공의명단!$Q$2:$Q$201,D5,전공의명단!$U$2:$U$201,"파견중"))</f>
        <v/>
      </c>
      <c r="I5" s="21">
        <f>IF(코드표!B2="","",코드표!B2)</f>
        <v/>
      </c>
      <c r="J5" s="21">
        <f>IF(I5="","",COUNTIF(전공의명단!$O$2:$O$201,I5))</f>
        <v/>
      </c>
    </row>
    <row r="6">
      <c r="A6" s="21" t="inlineStr">
        <is>
          <t>파견예정</t>
        </is>
      </c>
      <c r="B6" s="21">
        <f>COUNTIF(전공의명단!$U$2:$U$201,A6)</f>
        <v/>
      </c>
      <c r="D6" s="21">
        <f>IF(코드표!A3="","",코드표!A3)</f>
        <v/>
      </c>
      <c r="E6" s="21">
        <f>IF(D6="","",COUNTIF(전공의명단!$N$2:$N$201,D6))</f>
        <v/>
      </c>
      <c r="F6" s="21">
        <f>IF(D6="","",COUNTIF(전공의명단!$Y$2:$Y$201,D6))</f>
        <v/>
      </c>
      <c r="G6" s="21">
        <f>IF(D6="","",COUNTIFS(전공의명단!$Q$2:$Q$201,D6,전공의명단!$U$2:$U$201,"파견중"))</f>
        <v/>
      </c>
      <c r="I6" s="21">
        <f>IF(코드표!B3="","",코드표!B3)</f>
        <v/>
      </c>
      <c r="J6" s="21">
        <f>IF(I6="","",COUNTIF(전공의명단!$O$2:$O$201,I6))</f>
        <v/>
      </c>
    </row>
    <row r="7">
      <c r="A7" s="21" t="inlineStr">
        <is>
          <t>파견종료</t>
        </is>
      </c>
      <c r="B7" s="21">
        <f>COUNTIF(전공의명단!$U$2:$U$201,A7)</f>
        <v/>
      </c>
      <c r="D7" s="21">
        <f>IF(코드표!A4="","",코드표!A4)</f>
        <v/>
      </c>
      <c r="E7" s="21">
        <f>IF(D7="","",COUNTIF(전공의명단!$N$2:$N$201,D7))</f>
        <v/>
      </c>
      <c r="F7" s="21">
        <f>IF(D7="","",COUNTIF(전공의명단!$Y$2:$Y$201,D7))</f>
        <v/>
      </c>
      <c r="G7" s="21">
        <f>IF(D7="","",COUNTIFS(전공의명단!$Q$2:$Q$201,D7,전공의명단!$U$2:$U$201,"파견중"))</f>
        <v/>
      </c>
      <c r="I7" s="21">
        <f>IF(코드표!B4="","",코드표!B4)</f>
        <v/>
      </c>
      <c r="J7" s="21">
        <f>IF(I7="","",COUNTIF(전공의명단!$O$2:$O$201,I7))</f>
        <v/>
      </c>
    </row>
    <row r="8">
      <c r="A8" s="22" t="inlineStr">
        <is>
          <t>명단 등록 인원</t>
        </is>
      </c>
      <c r="B8" s="22">
        <f>COUNTA(전공의명단!$B$2:$B$201)</f>
        <v/>
      </c>
      <c r="D8" s="21">
        <f>IF(코드표!A5="","",코드표!A5)</f>
        <v/>
      </c>
      <c r="E8" s="21">
        <f>IF(D8="","",COUNTIF(전공의명단!$N$2:$N$201,D8))</f>
        <v/>
      </c>
      <c r="F8" s="21">
        <f>IF(D8="","",COUNTIF(전공의명단!$Y$2:$Y$201,D8))</f>
        <v/>
      </c>
      <c r="G8" s="21">
        <f>IF(D8="","",COUNTIFS(전공의명단!$Q$2:$Q$201,D8,전공의명단!$U$2:$U$201,"파견중"))</f>
        <v/>
      </c>
      <c r="I8" s="21">
        <f>IF(코드표!B5="","",코드표!B5)</f>
        <v/>
      </c>
      <c r="J8" s="21">
        <f>IF(I8="","",COUNTIF(전공의명단!$O$2:$O$201,I8))</f>
        <v/>
      </c>
    </row>
    <row r="9">
      <c r="A9" s="21" t="inlineStr">
        <is>
          <t>종료 임박(파견중)</t>
        </is>
      </c>
      <c r="B9" s="21">
        <f>COUNTIFS(전공의명단!$U$2:$U$201,"파견중",전공의명단!$W$2:$W$201,"&lt;="&amp;$E$2)</f>
        <v/>
      </c>
      <c r="D9" s="21">
        <f>IF(코드표!A6="","",코드표!A6)</f>
        <v/>
      </c>
      <c r="E9" s="21">
        <f>IF(D9="","",COUNTIF(전공의명단!$N$2:$N$201,D9))</f>
        <v/>
      </c>
      <c r="F9" s="21">
        <f>IF(D9="","",COUNTIF(전공의명단!$Y$2:$Y$201,D9))</f>
        <v/>
      </c>
      <c r="G9" s="21">
        <f>IF(D9="","",COUNTIFS(전공의명단!$Q$2:$Q$201,D9,전공의명단!$U$2:$U$201,"파견중"))</f>
        <v/>
      </c>
      <c r="I9" s="21">
        <f>IF(코드표!B6="","",코드표!B6)</f>
        <v/>
      </c>
      <c r="J9" s="21">
        <f>IF(I9="","",COUNTIF(전공의명단!$O$2:$O$201,I9))</f>
        <v/>
      </c>
    </row>
    <row r="10">
      <c r="D10" s="21">
        <f>IF(코드표!A7="","",코드표!A7)</f>
        <v/>
      </c>
      <c r="E10" s="21">
        <f>IF(D10="","",COUNTIF(전공의명단!$N$2:$N$201,D10))</f>
        <v/>
      </c>
      <c r="F10" s="21">
        <f>IF(D10="","",COUNTIF(전공의명단!$Y$2:$Y$201,D10))</f>
        <v/>
      </c>
      <c r="G10" s="21">
        <f>IF(D10="","",COUNTIFS(전공의명단!$Q$2:$Q$201,D10,전공의명단!$U$2:$U$201,"파견중"))</f>
        <v/>
      </c>
      <c r="I10" s="21">
        <f>IF(코드표!B7="","",코드표!B7)</f>
        <v/>
      </c>
      <c r="J10" s="21">
        <f>IF(I10="","",COUNTIF(전공의명단!$O$2:$O$201,I10))</f>
        <v/>
      </c>
    </row>
    <row r="11">
      <c r="D11" s="21">
        <f>IF(코드표!A8="","",코드표!A8)</f>
        <v/>
      </c>
      <c r="E11" s="21">
        <f>IF(D11="","",COUNTIF(전공의명단!$N$2:$N$201,D11))</f>
        <v/>
      </c>
      <c r="F11" s="21">
        <f>IF(D11="","",COUNTIF(전공의명단!$Y$2:$Y$201,D11))</f>
        <v/>
      </c>
      <c r="G11" s="21">
        <f>IF(D11="","",COUNTIFS(전공의명단!$Q$2:$Q$201,D11,전공의명단!$U$2:$U$201,"파견중"))</f>
        <v/>
      </c>
      <c r="I11" s="21">
        <f>IF(코드표!B8="","",코드표!B8)</f>
        <v/>
      </c>
      <c r="J11" s="21">
        <f>IF(I11="","",COUNTIF(전공의명단!$O$2:$O$201,I11))</f>
        <v/>
      </c>
    </row>
    <row r="12">
      <c r="A12" s="12" t="inlineStr">
        <is>
          <t>파견종류</t>
        </is>
      </c>
      <c r="B12" s="12" t="inlineStr">
        <is>
          <t>인원</t>
        </is>
      </c>
      <c r="D12" s="21">
        <f>IF(코드표!A9="","",코드표!A9)</f>
        <v/>
      </c>
      <c r="E12" s="21">
        <f>IF(D12="","",COUNTIF(전공의명단!$N$2:$N$201,D12))</f>
        <v/>
      </c>
      <c r="F12" s="21">
        <f>IF(D12="","",COUNTIF(전공의명단!$Y$2:$Y$201,D12))</f>
        <v/>
      </c>
      <c r="G12" s="21">
        <f>IF(D12="","",COUNTIFS(전공의명단!$Q$2:$Q$201,D12,전공의명단!$U$2:$U$201,"파견중"))</f>
        <v/>
      </c>
      <c r="I12" s="21">
        <f>IF(코드표!B9="","",코드표!B9)</f>
        <v/>
      </c>
      <c r="J12" s="21">
        <f>IF(I12="","",COUNTIF(전공의명단!$O$2:$O$201,I12))</f>
        <v/>
      </c>
    </row>
    <row r="13">
      <c r="A13" s="21">
        <f>IF(코드표!C2="","",코드표!C2)</f>
        <v/>
      </c>
      <c r="B13" s="21">
        <f>IF(A13="","",COUNTIF(전공의명단!$P$2:$P$201,A13))</f>
        <v/>
      </c>
      <c r="D13" s="21">
        <f>IF(코드표!A10="","",코드표!A10)</f>
        <v/>
      </c>
      <c r="E13" s="21">
        <f>IF(D13="","",COUNTIF(전공의명단!$N$2:$N$201,D13))</f>
        <v/>
      </c>
      <c r="F13" s="21">
        <f>IF(D13="","",COUNTIF(전공의명단!$Y$2:$Y$201,D13))</f>
        <v/>
      </c>
      <c r="G13" s="21">
        <f>IF(D13="","",COUNTIFS(전공의명단!$Q$2:$Q$201,D13,전공의명단!$U$2:$U$201,"파견중"))</f>
        <v/>
      </c>
      <c r="I13" s="21">
        <f>IF(코드표!B10="","",코드표!B10)</f>
        <v/>
      </c>
      <c r="J13" s="21">
        <f>IF(I13="","",COUNTIF(전공의명단!$O$2:$O$201,I13))</f>
        <v/>
      </c>
    </row>
    <row r="14">
      <c r="A14" s="21">
        <f>IF(코드표!C3="","",코드표!C3)</f>
        <v/>
      </c>
      <c r="B14" s="21">
        <f>IF(A14="","",COUNTIF(전공의명단!$P$2:$P$201,A14))</f>
        <v/>
      </c>
      <c r="D14" s="21">
        <f>IF(코드표!A11="","",코드표!A11)</f>
        <v/>
      </c>
      <c r="E14" s="21">
        <f>IF(D14="","",COUNTIF(전공의명단!$N$2:$N$201,D14))</f>
        <v/>
      </c>
      <c r="F14" s="21">
        <f>IF(D14="","",COUNTIF(전공의명단!$Y$2:$Y$201,D14))</f>
        <v/>
      </c>
      <c r="G14" s="21">
        <f>IF(D14="","",COUNTIFS(전공의명단!$Q$2:$Q$201,D14,전공의명단!$U$2:$U$201,"파견중"))</f>
        <v/>
      </c>
      <c r="I14" s="21">
        <f>IF(코드표!B11="","",코드표!B11)</f>
        <v/>
      </c>
      <c r="J14" s="21">
        <f>IF(I14="","",COUNTIF(전공의명단!$O$2:$O$201,I14))</f>
        <v/>
      </c>
    </row>
    <row r="15">
      <c r="A15" s="21">
        <f>IF(코드표!C4="","",코드표!C4)</f>
        <v/>
      </c>
      <c r="B15" s="21">
        <f>IF(A15="","",COUNTIF(전공의명단!$P$2:$P$201,A15))</f>
        <v/>
      </c>
      <c r="D15" s="21">
        <f>IF(코드표!A12="","",코드표!A12)</f>
        <v/>
      </c>
      <c r="E15" s="21">
        <f>IF(D15="","",COUNTIF(전공의명단!$N$2:$N$201,D15))</f>
        <v/>
      </c>
      <c r="F15" s="21">
        <f>IF(D15="","",COUNTIF(전공의명단!$Y$2:$Y$201,D15))</f>
        <v/>
      </c>
      <c r="G15" s="21">
        <f>IF(D15="","",COUNTIFS(전공의명단!$Q$2:$Q$201,D15,전공의명단!$U$2:$U$201,"파견중"))</f>
        <v/>
      </c>
      <c r="I15" s="21">
        <f>IF(코드표!B12="","",코드표!B12)</f>
        <v/>
      </c>
      <c r="J15" s="21">
        <f>IF(I15="","",COUNTIF(전공의명단!$O$2:$O$201,I15))</f>
        <v/>
      </c>
    </row>
    <row r="16">
      <c r="A16" s="21">
        <f>IF(코드표!C5="","",코드표!C5)</f>
        <v/>
      </c>
      <c r="B16" s="21">
        <f>IF(A16="","",COUNTIF(전공의명단!$P$2:$P$201,A16))</f>
        <v/>
      </c>
      <c r="D16" s="21">
        <f>IF(코드표!A13="","",코드표!A13)</f>
        <v/>
      </c>
      <c r="E16" s="21">
        <f>IF(D16="","",COUNTIF(전공의명단!$N$2:$N$201,D16))</f>
        <v/>
      </c>
      <c r="F16" s="21">
        <f>IF(D16="","",COUNTIF(전공의명단!$Y$2:$Y$201,D16))</f>
        <v/>
      </c>
      <c r="G16" s="21">
        <f>IF(D16="","",COUNTIFS(전공의명단!$Q$2:$Q$201,D16,전공의명단!$U$2:$U$201,"파견중"))</f>
        <v/>
      </c>
      <c r="I16" s="21">
        <f>IF(코드표!B13="","",코드표!B13)</f>
        <v/>
      </c>
      <c r="J16" s="21">
        <f>IF(I16="","",COUNTIF(전공의명단!$O$2:$O$201,I16))</f>
        <v/>
      </c>
    </row>
    <row r="17">
      <c r="A17" s="21">
        <f>IF(코드표!C6="","",코드표!C6)</f>
        <v/>
      </c>
      <c r="B17" s="21">
        <f>IF(A17="","",COUNTIF(전공의명단!$P$2:$P$201,A17))</f>
        <v/>
      </c>
      <c r="D17" s="21">
        <f>IF(코드표!A14="","",코드표!A14)</f>
        <v/>
      </c>
      <c r="E17" s="21">
        <f>IF(D17="","",COUNTIF(전공의명단!$N$2:$N$201,D17))</f>
        <v/>
      </c>
      <c r="F17" s="21">
        <f>IF(D17="","",COUNTIF(전공의명단!$Y$2:$Y$201,D17))</f>
        <v/>
      </c>
      <c r="G17" s="21">
        <f>IF(D17="","",COUNTIFS(전공의명단!$Q$2:$Q$201,D17,전공의명단!$U$2:$U$201,"파견중"))</f>
        <v/>
      </c>
      <c r="I17" s="21">
        <f>IF(코드표!B14="","",코드표!B14)</f>
        <v/>
      </c>
      <c r="J17" s="21">
        <f>IF(I17="","",COUNTIF(전공의명단!$O$2:$O$201,I17))</f>
        <v/>
      </c>
    </row>
    <row r="18">
      <c r="A18" s="21">
        <f>IF(코드표!C7="","",코드표!C7)</f>
        <v/>
      </c>
      <c r="B18" s="21">
        <f>IF(A18="","",COUNTIF(전공의명단!$P$2:$P$201,A18))</f>
        <v/>
      </c>
      <c r="D18" s="21">
        <f>IF(코드표!A15="","",코드표!A15)</f>
        <v/>
      </c>
      <c r="E18" s="21">
        <f>IF(D18="","",COUNTIF(전공의명단!$N$2:$N$201,D18))</f>
        <v/>
      </c>
      <c r="F18" s="21">
        <f>IF(D18="","",COUNTIF(전공의명단!$Y$2:$Y$201,D18))</f>
        <v/>
      </c>
      <c r="G18" s="21">
        <f>IF(D18="","",COUNTIFS(전공의명단!$Q$2:$Q$201,D18,전공의명단!$U$2:$U$201,"파견중"))</f>
        <v/>
      </c>
      <c r="I18" s="21">
        <f>IF(코드표!B15="","",코드표!B15)</f>
        <v/>
      </c>
      <c r="J18" s="21">
        <f>IF(I18="","",COUNTIF(전공의명단!$O$2:$O$201,I18))</f>
        <v/>
      </c>
    </row>
    <row r="19">
      <c r="A19" s="21">
        <f>IF(코드표!C8="","",코드표!C8)</f>
        <v/>
      </c>
      <c r="B19" s="21">
        <f>IF(A19="","",COUNTIF(전공의명단!$P$2:$P$201,A19))</f>
        <v/>
      </c>
      <c r="D19" s="21">
        <f>IF(코드표!A16="","",코드표!A16)</f>
        <v/>
      </c>
      <c r="E19" s="21">
        <f>IF(D19="","",COUNTIF(전공의명단!$N$2:$N$201,D19))</f>
        <v/>
      </c>
      <c r="F19" s="21">
        <f>IF(D19="","",COUNTIF(전공의명단!$Y$2:$Y$201,D19))</f>
        <v/>
      </c>
      <c r="G19" s="21">
        <f>IF(D19="","",COUNTIFS(전공의명단!$Q$2:$Q$201,D19,전공의명단!$U$2:$U$201,"파견중"))</f>
        <v/>
      </c>
      <c r="I19" s="21">
        <f>IF(코드표!B16="","",코드표!B16)</f>
        <v/>
      </c>
      <c r="J19" s="21">
        <f>IF(I19="","",COUNTIF(전공의명단!$O$2:$O$201,I19))</f>
        <v/>
      </c>
    </row>
    <row r="20">
      <c r="A20" s="21">
        <f>IF(코드표!C9="","",코드표!C9)</f>
        <v/>
      </c>
      <c r="B20" s="21">
        <f>IF(A20="","",COUNTIF(전공의명단!$P$2:$P$201,A20))</f>
        <v/>
      </c>
      <c r="D20" s="21">
        <f>IF(코드표!A17="","",코드표!A17)</f>
        <v/>
      </c>
      <c r="E20" s="21">
        <f>IF(D20="","",COUNTIF(전공의명단!$N$2:$N$201,D20))</f>
        <v/>
      </c>
      <c r="F20" s="21">
        <f>IF(D20="","",COUNTIF(전공의명단!$Y$2:$Y$201,D20))</f>
        <v/>
      </c>
      <c r="G20" s="21">
        <f>IF(D20="","",COUNTIFS(전공의명단!$Q$2:$Q$201,D20,전공의명단!$U$2:$U$201,"파견중"))</f>
        <v/>
      </c>
      <c r="I20" s="21">
        <f>IF(코드표!B17="","",코드표!B17)</f>
        <v/>
      </c>
      <c r="J20" s="21">
        <f>IF(I20="","",COUNTIF(전공의명단!$O$2:$O$201,I20))</f>
        <v/>
      </c>
    </row>
    <row r="21">
      <c r="D21" s="21">
        <f>IF(코드표!A18="","",코드표!A18)</f>
        <v/>
      </c>
      <c r="E21" s="21">
        <f>IF(D21="","",COUNTIF(전공의명단!$N$2:$N$201,D21))</f>
        <v/>
      </c>
      <c r="F21" s="21">
        <f>IF(D21="","",COUNTIF(전공의명단!$Y$2:$Y$201,D21))</f>
        <v/>
      </c>
      <c r="G21" s="21">
        <f>IF(D21="","",COUNTIFS(전공의명단!$Q$2:$Q$201,D21,전공의명단!$U$2:$U$201,"파견중"))</f>
        <v/>
      </c>
      <c r="I21" s="21">
        <f>IF(코드표!B18="","",코드표!B18)</f>
        <v/>
      </c>
      <c r="J21" s="21">
        <f>IF(I21="","",COUNTIF(전공의명단!$O$2:$O$201,I21))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1">
        <f>IF(코드표!A19="","",코드표!A19)</f>
        <v/>
      </c>
      <c r="E22" s="21">
        <f>IF(D22="","",COUNTIF(전공의명단!$N$2:$N$201,D22))</f>
        <v/>
      </c>
      <c r="F22" s="21">
        <f>IF(D22="","",COUNTIF(전공의명단!$Y$2:$Y$201,D22))</f>
        <v/>
      </c>
      <c r="G22" s="21">
        <f>IF(D22="","",COUNTIFS(전공의명단!$Q$2:$Q$201,D22,전공의명단!$U$2:$U$201,"파견중"))</f>
        <v/>
      </c>
      <c r="I22" s="21">
        <f>IF(코드표!B19="","",코드표!B19)</f>
        <v/>
      </c>
      <c r="J22" s="21">
        <f>IF(I22="","",COUNTIF(전공의명단!$O$2:$O$201,I22))</f>
        <v/>
      </c>
    </row>
    <row r="23">
      <c r="A23" s="21" t="inlineStr">
        <is>
          <t>기본자료 인원</t>
        </is>
      </c>
      <c r="B23" s="21">
        <f>COUNTA(기본자료!$B$2:$B$501)</f>
        <v/>
      </c>
      <c r="D23" s="21">
        <f>IF(코드표!A20="","",코드표!A20)</f>
        <v/>
      </c>
      <c r="E23" s="21">
        <f>IF(D23="","",COUNTIF(전공의명단!$N$2:$N$201,D23))</f>
        <v/>
      </c>
      <c r="F23" s="21">
        <f>IF(D23="","",COUNTIF(전공의명단!$Y$2:$Y$201,D23))</f>
        <v/>
      </c>
      <c r="G23" s="21">
        <f>IF(D23="","",COUNTIFS(전공의명단!$Q$2:$Q$201,D23,전공의명단!$U$2:$U$201,"파견중"))</f>
        <v/>
      </c>
      <c r="I23" s="21">
        <f>IF(코드표!B20="","",코드표!B20)</f>
        <v/>
      </c>
      <c r="J23" s="21">
        <f>IF(I23="","",COUNTIF(전공의명단!$O$2:$O$201,I23))</f>
        <v/>
      </c>
    </row>
    <row r="24">
      <c r="A24" s="21" t="inlineStr">
        <is>
          <t>기본자료 재직 인원</t>
        </is>
      </c>
      <c r="B24" s="21">
        <f>COUNTIF(기본자료!$A$2:$A$501,"재직")</f>
        <v/>
      </c>
      <c r="D24" s="21">
        <f>IF(코드표!A21="","",코드표!A21)</f>
        <v/>
      </c>
      <c r="E24" s="21">
        <f>IF(D24="","",COUNTIF(전공의명단!$N$2:$N$201,D24))</f>
        <v/>
      </c>
      <c r="F24" s="21">
        <f>IF(D24="","",COUNTIF(전공의명단!$Y$2:$Y$201,D24))</f>
        <v/>
      </c>
      <c r="G24" s="21">
        <f>IF(D24="","",COUNTIFS(전공의명단!$Q$2:$Q$201,D24,전공의명단!$U$2:$U$201,"파견중"))</f>
        <v/>
      </c>
      <c r="I24" s="21">
        <f>IF(코드표!B21="","",코드표!B21)</f>
        <v/>
      </c>
      <c r="J24" s="21">
        <f>IF(I24="","",COUNTIF(전공의명단!$O$2:$O$201,I24))</f>
        <v/>
      </c>
    </row>
    <row r="25">
      <c r="A25" s="21" t="inlineStr">
        <is>
          <t>기본자료에 없는 사번</t>
        </is>
      </c>
      <c r="B25" s="21">
        <f>SUMPRODUCT((전공의명단!$B$2:$B$201&lt;&gt;"")*(전공의명단!$AB$2:$AB$201=""))</f>
        <v/>
      </c>
      <c r="I25" s="21">
        <f>IF(코드표!B22="","",코드표!B22)</f>
        <v/>
      </c>
      <c r="J25" s="21">
        <f>IF(I25="","",COUNTIF(전공의명단!$O$2:$O$201,I25))</f>
        <v/>
      </c>
    </row>
    <row r="26">
      <c r="A26" s="21" t="inlineStr">
        <is>
          <t>명단 중복 사번</t>
        </is>
      </c>
      <c r="B26" s="21">
        <f>SUMPRODUCT((전공의명단!$B$2:$B$201&lt;&gt;"")*(COUNTIF(전공의명단!$B$2:$B$201,전공의명단!$B$2:$B$201)&gt;1))</f>
        <v/>
      </c>
      <c r="I26" s="21">
        <f>IF(코드표!B23="","",코드표!B23)</f>
        <v/>
      </c>
      <c r="J26" s="21">
        <f>IF(I26="","",COUNTIF(전공의명단!$O$2:$O$201,I26))</f>
        <v/>
      </c>
    </row>
    <row r="27">
      <c r="A27" s="21" t="inlineStr">
        <is>
          <t>날짜 형식 오류(생년월일/수련개시일)</t>
        </is>
      </c>
      <c r="B27" s="21">
        <f>SUMPRODUCT((전공의명단!$E$2:$E$201&lt;&gt;"")*1)-COUNT(전공의명단!$E$2:$E$201)+SUMPRODUCT((전공의명단!$I$2:$I$201&lt;&gt;"")*1)-COUNT(전공의명단!$I$2:$I$201)</f>
        <v/>
      </c>
      <c r="I27" s="21">
        <f>IF(코드표!B24="","",코드표!B24)</f>
        <v/>
      </c>
      <c r="J27" s="21">
        <f>IF(I27="","",COUNTIF(전공의명단!$O$2:$O$201,I27))</f>
        <v/>
      </c>
    </row>
    <row r="28">
      <c r="A28" s="21" t="inlineStr">
        <is>
          <t>인턴계획 입력 오류(병원/진료과)</t>
        </is>
      </c>
      <c r="B28" s="21">
        <f>SUM(인턴근무계획!$T$3:$T$202)</f>
        <v/>
      </c>
      <c r="I28" s="21">
        <f>IF(코드표!B25="","",코드표!B25)</f>
        <v/>
      </c>
      <c r="J28" s="21">
        <f>IF(I28="","",COUNTIF(전공의명단!$O$2:$O$201,I28))</f>
        <v/>
      </c>
    </row>
    <row r="29">
      <c r="A29" s="21" t="inlineStr">
        <is>
          <t>점검 필요 행(전공의명단 '점검' 열)</t>
        </is>
      </c>
      <c r="B29" s="21">
        <f>SUMPRODUCT((전공의명단!$B$2:$B$201&lt;&gt;"")*(전공의명단!$Z$2:$Z$201&lt;&gt;"정상"))</f>
        <v/>
      </c>
      <c r="I29" s="21">
        <f>IF(코드표!B26="","",코드표!B26)</f>
        <v/>
      </c>
      <c r="J29" s="21">
        <f>IF(I29="","",COUNTIF(전공의명단!$O$2:$O$201,I29))</f>
        <v/>
      </c>
    </row>
    <row r="30">
      <c r="I30" s="21">
        <f>IF(코드표!B27="","",코드표!B27)</f>
        <v/>
      </c>
      <c r="J30" s="21">
        <f>IF(I30="","",COUNTIF(전공의명단!$O$2:$O$201,I30))</f>
        <v/>
      </c>
    </row>
    <row r="31">
      <c r="I31" s="21">
        <f>IF(코드표!B28="","",코드표!B28)</f>
        <v/>
      </c>
      <c r="J31" s="21">
        <f>IF(I31="","",COUNTIF(전공의명단!$O$2:$O$201,I31))</f>
        <v/>
      </c>
    </row>
    <row r="32">
      <c r="I32" s="21">
        <f>IF(코드표!B29="","",코드표!B29)</f>
        <v/>
      </c>
      <c r="J32" s="21">
        <f>IF(I32="","",COUNTIF(전공의명단!$O$2:$O$201,I32))</f>
        <v/>
      </c>
    </row>
    <row r="33">
      <c r="I33" s="21">
        <f>IF(코드표!B30="","",코드표!B30)</f>
        <v/>
      </c>
      <c r="J33" s="21">
        <f>IF(I33="","",COUNTIF(전공의명단!$O$2:$O$201,I33))</f>
        <v/>
      </c>
    </row>
    <row r="34">
      <c r="I34" s="21">
        <f>IF(코드표!B31="","",코드표!B31)</f>
        <v/>
      </c>
      <c r="J34" s="21">
        <f>IF(I34="","",COUNTIF(전공의명단!$O$2:$O$201,I34))</f>
        <v/>
      </c>
    </row>
    <row r="35">
      <c r="I35" s="21">
        <f>IF(코드표!B32="","",코드표!B32)</f>
        <v/>
      </c>
      <c r="J35" s="21">
        <f>IF(I35="","",COUNTIF(전공의명단!$O$2:$O$201,I35))</f>
        <v/>
      </c>
    </row>
    <row r="36">
      <c r="I36" s="21">
        <f>IF(코드표!B33="","",코드표!B33)</f>
        <v/>
      </c>
      <c r="J36" s="21">
        <f>IF(I36="","",COUNTIF(전공의명단!$O$2:$O$201,I36))</f>
        <v/>
      </c>
    </row>
    <row r="37">
      <c r="I37" s="21">
        <f>IF(코드표!B34="","",코드표!B34)</f>
        <v/>
      </c>
      <c r="J37" s="21">
        <f>IF(I37="","",COUNTIF(전공의명단!$O$2:$O$201,I37))</f>
        <v/>
      </c>
    </row>
    <row r="38">
      <c r="I38" s="21">
        <f>IF(코드표!B35="","",코드표!B35)</f>
        <v/>
      </c>
      <c r="J38" s="21">
        <f>IF(I38="","",COUNTIF(전공의명단!$O$2:$O$201,I38))</f>
        <v/>
      </c>
    </row>
    <row r="39">
      <c r="I39" s="21">
        <f>IF(코드표!B36="","",코드표!B36)</f>
        <v/>
      </c>
      <c r="J39" s="21">
        <f>IF(I39="","",COUNTIF(전공의명단!$O$2:$O$201,I39))</f>
        <v/>
      </c>
    </row>
    <row r="40">
      <c r="I40" s="21">
        <f>IF(코드표!B37="","",코드표!B37)</f>
        <v/>
      </c>
      <c r="J40" s="21">
        <f>IF(I40="","",COUNTIF(전공의명단!$O$2:$O$201,I40))</f>
        <v/>
      </c>
    </row>
    <row r="41">
      <c r="I41" s="21">
        <f>IF(코드표!B38="","",코드표!B38)</f>
        <v/>
      </c>
      <c r="J41" s="21">
        <f>IF(I41="","",COUNTIF(전공의명단!$O$2:$O$201,I41))</f>
        <v/>
      </c>
    </row>
    <row r="42">
      <c r="I42" s="21">
        <f>IF(코드표!B39="","",코드표!B39)</f>
        <v/>
      </c>
      <c r="J42" s="21">
        <f>IF(I42="","",COUNTIF(전공의명단!$O$2:$O$201,I42))</f>
        <v/>
      </c>
    </row>
    <row r="43">
      <c r="I43" s="21">
        <f>IF(코드표!B40="","",코드표!B40)</f>
        <v/>
      </c>
      <c r="J43" s="21">
        <f>IF(I43="","",COUNTIF(전공의명단!$O$2:$O$201,I43))</f>
        <v/>
      </c>
    </row>
    <row r="44">
      <c r="I44" s="21">
        <f>IF(코드표!B41="","",코드표!B41)</f>
        <v/>
      </c>
      <c r="J44" s="21">
        <f>IF(I44="","",COUNTIF(전공의명단!$O$2:$O$201,I44))</f>
        <v/>
      </c>
    </row>
    <row r="45">
      <c r="I45" s="21">
        <f>IF(코드표!D2="","",코드표!D2&amp;" (인턴)")</f>
        <v/>
      </c>
      <c r="J45" s="21">
        <f>IF(코드표!D2="","",COUNTIF(전공의명단!$O$2:$O$201,코드표!D2))</f>
        <v/>
      </c>
    </row>
    <row r="46">
      <c r="I46" s="21">
        <f>IF(코드표!D3="","",코드표!D3&amp;" (인턴)")</f>
        <v/>
      </c>
      <c r="J46" s="21">
        <f>IF(코드표!D3="","",COUNTIF(전공의명단!$O$2:$O$201,코드표!D3))</f>
        <v/>
      </c>
    </row>
  </sheetData>
  <conditionalFormatting sqref="B25:B29">
    <cfRule type="expression" priority="1" dxfId="0">
      <formula>B25&gt;0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18">
        <f>TODAY()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3">
        <f>IFERROR(MATCH(MONTH(TODAY()),$K$3:$P$3,0),"")</f>
        <v/>
      </c>
      <c r="I3" s="23">
        <f>IFERROR(MATCH(MONTH(EDATE(TODAY(),1)),$K$3:$P$3,0),"")</f>
        <v/>
      </c>
      <c r="K3" s="23">
        <f>IFERROR(VALUE(SUBSTITUTE(TRIM(K5),"월","")),"")</f>
        <v/>
      </c>
      <c r="L3" s="23">
        <f>IFERROR(VALUE(SUBSTITUTE(TRIM(L5),"월","")),"")</f>
        <v/>
      </c>
      <c r="M3" s="23">
        <f>IFERROR(VALUE(SUBSTITUTE(TRIM(M5),"월","")),"")</f>
        <v/>
      </c>
      <c r="N3" s="23">
        <f>IFERROR(VALUE(SUBSTITUTE(TRIM(N5),"월","")),"")</f>
        <v/>
      </c>
      <c r="O3" s="23">
        <f>IFERROR(VALUE(SUBSTITUTE(TRIM(O5),"월","")),"")</f>
        <v/>
      </c>
      <c r="P3" s="23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4" t="n">
        <v>1</v>
      </c>
      <c r="B6" s="21">
        <f>IF($C6="","",INDEX(인턴근무계획!$B$3:$B$202,$A6))</f>
        <v/>
      </c>
      <c r="C6" s="21">
        <f>IFERROR(TRIM(INDEX(인턴근무계획!$C$3:$C$202,$A6)&amp;""),"")</f>
        <v/>
      </c>
      <c r="D6" s="21">
        <f>IF($C6="","",INDEX(인턴근무계획!$D$3:$D$202,$A6))</f>
        <v/>
      </c>
      <c r="E6" s="21">
        <f>IF($C6="","",IF(IFERROR(MATCH($D6,기본자료!$B$2:$B$501,0),IFERROR(MATCH($D6&amp;"",기본자료!$B$2:$B$501,0),IFERROR(MATCH(VALUE($D6),기본자료!$B$2:$B$501,0),0)))&gt;0,"확인","미등록"))</f>
        <v/>
      </c>
      <c r="F6" s="25">
        <f>IF($C6="","",INDEX(인턴근무계획!$S$3:$S$202,$A6))</f>
        <v/>
      </c>
      <c r="G6" s="21">
        <f>IF(OR($C6="",$G$3=""),"",IF(INDEX(인턴근무계획!$M$3:$R$202,$A6,$G$3)&amp;""="","",IF(LEFT(INDEX(인턴근무계획!$M$3:$R$202,$A6,$G$3)&amp;"",1)="⚠",INDEX(인턴근무계획!$M$3:$R$202,$A6,$G$3)&amp;"",LEFT(INDEX(인턴근무계획!$M$3:$R$202,$A6,$G$3)&amp;"",FIND(" ",INDEX(인턴근무계획!$M$3:$R$202,$A6,$G$3)&amp;"")-1))))</f>
        <v/>
      </c>
      <c r="H6" s="21">
        <f>IF(OR($C6="",$G$3=""),"",IF(INDEX(인턴근무계획!$M$3:$R$202,$A6,$G$3)&amp;""="","",IF(LEFT(INDEX(인턴근무계획!$M$3:$R$202,$A6,$G$3)&amp;"",1)="⚠","",MID(INDEX(인턴근무계획!$M$3:$R$202,$A6,$G$3)&amp;"",FIND(" ",INDEX(인턴근무계획!$M$3:$R$202,$A6,$G$3)&amp;"")+1,60))))</f>
        <v/>
      </c>
      <c r="I6" s="21">
        <f>IF(OR($C6="",$I$3=""),"",IF(INDEX(인턴근무계획!$M$3:$R$202,$A6,$I$3)&amp;""="","",IF(LEFT(INDEX(인턴근무계획!$M$3:$R$202,$A6,$I$3)&amp;"",1)="⚠",INDEX(인턴근무계획!$M$3:$R$202,$A6,$I$3)&amp;"",LEFT(INDEX(인턴근무계획!$M$3:$R$202,$A6,$I$3)&amp;"",FIND(" ",INDEX(인턴근무계획!$M$3:$R$202,$A6,$I$3)&amp;"")-1))))</f>
        <v/>
      </c>
      <c r="J6" s="21">
        <f>IF(OR($C6="",$I$3=""),"",IF(INDEX(인턴근무계획!$M$3:$R$202,$A6,$I$3)&amp;""="","",IF(LEFT(INDEX(인턴근무계획!$M$3:$R$202,$A6,$I$3)&amp;"",1)="⚠","",MID(INDEX(인턴근무계획!$M$3:$R$202,$A6,$I$3)&amp;"",FIND(" ",INDEX(인턴근무계획!$M$3:$R$202,$A6,$I$3)&amp;"")+1,60))))</f>
        <v/>
      </c>
      <c r="K6" s="21">
        <f>IF($C6="","",INDEX(인턴근무계획!$M$3:$M$202,$A6)&amp;"")</f>
        <v/>
      </c>
      <c r="L6" s="21">
        <f>IF($C6="","",INDEX(인턴근무계획!$N$3:$N$202,$A6)&amp;"")</f>
        <v/>
      </c>
      <c r="M6" s="21">
        <f>IF($C6="","",INDEX(인턴근무계획!$O$3:$O$202,$A6)&amp;"")</f>
        <v/>
      </c>
      <c r="N6" s="21">
        <f>IF($C6="","",INDEX(인턴근무계획!$P$3:$P$202,$A6)&amp;"")</f>
        <v/>
      </c>
      <c r="O6" s="21">
        <f>IF($C6="","",INDEX(인턴근무계획!$Q$3:$Q$202,$A6)&amp;"")</f>
        <v/>
      </c>
      <c r="P6" s="21">
        <f>IF($C6="","",INDEX(인턴근무계획!$R$3:$R$202,$A6)&amp;"")</f>
        <v/>
      </c>
      <c r="Q6" s="21">
        <f>IF($C6="","",INDEX(인턴근무계획!$T$3:$T$202,$A6))</f>
        <v/>
      </c>
      <c r="S6" s="21">
        <f>IF(코드표!A2="","",코드표!A2)</f>
        <v/>
      </c>
      <c r="T6" s="21">
        <f>IF($S6="","",COUNTIF(K$6:K$205,$S6&amp;" *"))</f>
        <v/>
      </c>
      <c r="U6" s="21">
        <f>IF($S6="","",COUNTIF(L$6:L$205,$S6&amp;" *"))</f>
        <v/>
      </c>
      <c r="V6" s="21">
        <f>IF($S6="","",COUNTIF(M$6:M$205,$S6&amp;" *"))</f>
        <v/>
      </c>
      <c r="W6" s="21">
        <f>IF($S6="","",COUNTIF(N$6:N$205,$S6&amp;" *"))</f>
        <v/>
      </c>
      <c r="X6" s="21">
        <f>IF($S6="","",COUNTIF(O$6:O$205,$S6&amp;" *"))</f>
        <v/>
      </c>
      <c r="Y6" s="21">
        <f>IF($S6="","",COUNTIF(P$6:P$205,$S6&amp;" *"))</f>
        <v/>
      </c>
    </row>
    <row r="7">
      <c r="A7" s="24" t="n">
        <v>2</v>
      </c>
      <c r="B7" s="21">
        <f>IF($C7="","",INDEX(인턴근무계획!$B$3:$B$202,$A7))</f>
        <v/>
      </c>
      <c r="C7" s="21">
        <f>IFERROR(TRIM(INDEX(인턴근무계획!$C$3:$C$202,$A7)&amp;""),"")</f>
        <v/>
      </c>
      <c r="D7" s="21">
        <f>IF($C7="","",INDEX(인턴근무계획!$D$3:$D$202,$A7))</f>
        <v/>
      </c>
      <c r="E7" s="21">
        <f>IF($C7="","",IF(IFERROR(MATCH($D7,기본자료!$B$2:$B$501,0),IFERROR(MATCH($D7&amp;"",기본자료!$B$2:$B$501,0),IFERROR(MATCH(VALUE($D7),기본자료!$B$2:$B$501,0),0)))&gt;0,"확인","미등록"))</f>
        <v/>
      </c>
      <c r="F7" s="25">
        <f>IF($C7="","",INDEX(인턴근무계획!$S$3:$S$202,$A7))</f>
        <v/>
      </c>
      <c r="G7" s="21">
        <f>IF(OR($C7="",$G$3=""),"",IF(INDEX(인턴근무계획!$M$3:$R$202,$A7,$G$3)&amp;""="","",IF(LEFT(INDEX(인턴근무계획!$M$3:$R$202,$A7,$G$3)&amp;"",1)="⚠",INDEX(인턴근무계획!$M$3:$R$202,$A7,$G$3)&amp;"",LEFT(INDEX(인턴근무계획!$M$3:$R$202,$A7,$G$3)&amp;"",FIND(" ",INDEX(인턴근무계획!$M$3:$R$202,$A7,$G$3)&amp;"")-1))))</f>
        <v/>
      </c>
      <c r="H7" s="21">
        <f>IF(OR($C7="",$G$3=""),"",IF(INDEX(인턴근무계획!$M$3:$R$202,$A7,$G$3)&amp;""="","",IF(LEFT(INDEX(인턴근무계획!$M$3:$R$202,$A7,$G$3)&amp;"",1)="⚠","",MID(INDEX(인턴근무계획!$M$3:$R$202,$A7,$G$3)&amp;"",FIND(" ",INDEX(인턴근무계획!$M$3:$R$202,$A7,$G$3)&amp;"")+1,60))))</f>
        <v/>
      </c>
      <c r="I7" s="21">
        <f>IF(OR($C7="",$I$3=""),"",IF(INDEX(인턴근무계획!$M$3:$R$202,$A7,$I$3)&amp;""="","",IF(LEFT(INDEX(인턴근무계획!$M$3:$R$202,$A7,$I$3)&amp;"",1)="⚠",INDEX(인턴근무계획!$M$3:$R$202,$A7,$I$3)&amp;"",LEFT(INDEX(인턴근무계획!$M$3:$R$202,$A7,$I$3)&amp;"",FIND(" ",INDEX(인턴근무계획!$M$3:$R$202,$A7,$I$3)&amp;"")-1))))</f>
        <v/>
      </c>
      <c r="J7" s="21">
        <f>IF(OR($C7="",$I$3=""),"",IF(INDEX(인턴근무계획!$M$3:$R$202,$A7,$I$3)&amp;""="","",IF(LEFT(INDEX(인턴근무계획!$M$3:$R$202,$A7,$I$3)&amp;"",1)="⚠","",MID(INDEX(인턴근무계획!$M$3:$R$202,$A7,$I$3)&amp;"",FIND(" ",INDEX(인턴근무계획!$M$3:$R$202,$A7,$I$3)&amp;"")+1,60))))</f>
        <v/>
      </c>
      <c r="K7" s="21">
        <f>IF($C7="","",INDEX(인턴근무계획!$M$3:$M$202,$A7)&amp;"")</f>
        <v/>
      </c>
      <c r="L7" s="21">
        <f>IF($C7="","",INDEX(인턴근무계획!$N$3:$N$202,$A7)&amp;"")</f>
        <v/>
      </c>
      <c r="M7" s="21">
        <f>IF($C7="","",INDEX(인턴근무계획!$O$3:$O$202,$A7)&amp;"")</f>
        <v/>
      </c>
      <c r="N7" s="21">
        <f>IF($C7="","",INDEX(인턴근무계획!$P$3:$P$202,$A7)&amp;"")</f>
        <v/>
      </c>
      <c r="O7" s="21">
        <f>IF($C7="","",INDEX(인턴근무계획!$Q$3:$Q$202,$A7)&amp;"")</f>
        <v/>
      </c>
      <c r="P7" s="21">
        <f>IF($C7="","",INDEX(인턴근무계획!$R$3:$R$202,$A7)&amp;"")</f>
        <v/>
      </c>
      <c r="Q7" s="21">
        <f>IF($C7="","",INDEX(인턴근무계획!$T$3:$T$202,$A7))</f>
        <v/>
      </c>
      <c r="S7" s="21">
        <f>IF(코드표!A3="","",코드표!A3)</f>
        <v/>
      </c>
      <c r="T7" s="21">
        <f>IF($S7="","",COUNTIF(K$6:K$205,$S7&amp;" *"))</f>
        <v/>
      </c>
      <c r="U7" s="21">
        <f>IF($S7="","",COUNTIF(L$6:L$205,$S7&amp;" *"))</f>
        <v/>
      </c>
      <c r="V7" s="21">
        <f>IF($S7="","",COUNTIF(M$6:M$205,$S7&amp;" *"))</f>
        <v/>
      </c>
      <c r="W7" s="21">
        <f>IF($S7="","",COUNTIF(N$6:N$205,$S7&amp;" *"))</f>
        <v/>
      </c>
      <c r="X7" s="21">
        <f>IF($S7="","",COUNTIF(O$6:O$205,$S7&amp;" *"))</f>
        <v/>
      </c>
      <c r="Y7" s="21">
        <f>IF($S7="","",COUNTIF(P$6:P$205,$S7&amp;" *"))</f>
        <v/>
      </c>
    </row>
    <row r="8">
      <c r="A8" s="24" t="n">
        <v>3</v>
      </c>
      <c r="B8" s="21">
        <f>IF($C8="","",INDEX(인턴근무계획!$B$3:$B$202,$A8))</f>
        <v/>
      </c>
      <c r="C8" s="21">
        <f>IFERROR(TRIM(INDEX(인턴근무계획!$C$3:$C$202,$A8)&amp;""),"")</f>
        <v/>
      </c>
      <c r="D8" s="21">
        <f>IF($C8="","",INDEX(인턴근무계획!$D$3:$D$202,$A8))</f>
        <v/>
      </c>
      <c r="E8" s="21">
        <f>IF($C8="","",IF(IFERROR(MATCH($D8,기본자료!$B$2:$B$501,0),IFERROR(MATCH($D8&amp;"",기본자료!$B$2:$B$501,0),IFERROR(MATCH(VALUE($D8),기본자료!$B$2:$B$501,0),0)))&gt;0,"확인","미등록"))</f>
        <v/>
      </c>
      <c r="F8" s="25">
        <f>IF($C8="","",INDEX(인턴근무계획!$S$3:$S$202,$A8))</f>
        <v/>
      </c>
      <c r="G8" s="21">
        <f>IF(OR($C8="",$G$3=""),"",IF(INDEX(인턴근무계획!$M$3:$R$202,$A8,$G$3)&amp;""="","",IF(LEFT(INDEX(인턴근무계획!$M$3:$R$202,$A8,$G$3)&amp;"",1)="⚠",INDEX(인턴근무계획!$M$3:$R$202,$A8,$G$3)&amp;"",LEFT(INDEX(인턴근무계획!$M$3:$R$202,$A8,$G$3)&amp;"",FIND(" ",INDEX(인턴근무계획!$M$3:$R$202,$A8,$G$3)&amp;"")-1))))</f>
        <v/>
      </c>
      <c r="H8" s="21">
        <f>IF(OR($C8="",$G$3=""),"",IF(INDEX(인턴근무계획!$M$3:$R$202,$A8,$G$3)&amp;""="","",IF(LEFT(INDEX(인턴근무계획!$M$3:$R$202,$A8,$G$3)&amp;"",1)="⚠","",MID(INDEX(인턴근무계획!$M$3:$R$202,$A8,$G$3)&amp;"",FIND(" ",INDEX(인턴근무계획!$M$3:$R$202,$A8,$G$3)&amp;"")+1,60))))</f>
        <v/>
      </c>
      <c r="I8" s="21">
        <f>IF(OR($C8="",$I$3=""),"",IF(INDEX(인턴근무계획!$M$3:$R$202,$A8,$I$3)&amp;""="","",IF(LEFT(INDEX(인턴근무계획!$M$3:$R$202,$A8,$I$3)&amp;"",1)="⚠",INDEX(인턴근무계획!$M$3:$R$202,$A8,$I$3)&amp;"",LEFT(INDEX(인턴근무계획!$M$3:$R$202,$A8,$I$3)&amp;"",FIND(" ",INDEX(인턴근무계획!$M$3:$R$202,$A8,$I$3)&amp;"")-1))))</f>
        <v/>
      </c>
      <c r="J8" s="21">
        <f>IF(OR($C8="",$I$3=""),"",IF(INDEX(인턴근무계획!$M$3:$R$202,$A8,$I$3)&amp;""="","",IF(LEFT(INDEX(인턴근무계획!$M$3:$R$202,$A8,$I$3)&amp;"",1)="⚠","",MID(INDEX(인턴근무계획!$M$3:$R$202,$A8,$I$3)&amp;"",FIND(" ",INDEX(인턴근무계획!$M$3:$R$202,$A8,$I$3)&amp;"")+1,60))))</f>
        <v/>
      </c>
      <c r="K8" s="21">
        <f>IF($C8="","",INDEX(인턴근무계획!$M$3:$M$202,$A8)&amp;"")</f>
        <v/>
      </c>
      <c r="L8" s="21">
        <f>IF($C8="","",INDEX(인턴근무계획!$N$3:$N$202,$A8)&amp;"")</f>
        <v/>
      </c>
      <c r="M8" s="21">
        <f>IF($C8="","",INDEX(인턴근무계획!$O$3:$O$202,$A8)&amp;"")</f>
        <v/>
      </c>
      <c r="N8" s="21">
        <f>IF($C8="","",INDEX(인턴근무계획!$P$3:$P$202,$A8)&amp;"")</f>
        <v/>
      </c>
      <c r="O8" s="21">
        <f>IF($C8="","",INDEX(인턴근무계획!$Q$3:$Q$202,$A8)&amp;"")</f>
        <v/>
      </c>
      <c r="P8" s="21">
        <f>IF($C8="","",INDEX(인턴근무계획!$R$3:$R$202,$A8)&amp;"")</f>
        <v/>
      </c>
      <c r="Q8" s="21">
        <f>IF($C8="","",INDEX(인턴근무계획!$T$3:$T$202,$A8))</f>
        <v/>
      </c>
      <c r="S8" s="21">
        <f>IF(코드표!A4="","",코드표!A4)</f>
        <v/>
      </c>
      <c r="T8" s="21">
        <f>IF($S8="","",COUNTIF(K$6:K$205,$S8&amp;" *"))</f>
        <v/>
      </c>
      <c r="U8" s="21">
        <f>IF($S8="","",COUNTIF(L$6:L$205,$S8&amp;" *"))</f>
        <v/>
      </c>
      <c r="V8" s="21">
        <f>IF($S8="","",COUNTIF(M$6:M$205,$S8&amp;" *"))</f>
        <v/>
      </c>
      <c r="W8" s="21">
        <f>IF($S8="","",COUNTIF(N$6:N$205,$S8&amp;" *"))</f>
        <v/>
      </c>
      <c r="X8" s="21">
        <f>IF($S8="","",COUNTIF(O$6:O$205,$S8&amp;" *"))</f>
        <v/>
      </c>
      <c r="Y8" s="21">
        <f>IF($S8="","",COUNTIF(P$6:P$205,$S8&amp;" *"))</f>
        <v/>
      </c>
    </row>
    <row r="9">
      <c r="A9" s="24" t="n">
        <v>4</v>
      </c>
      <c r="B9" s="21">
        <f>IF($C9="","",INDEX(인턴근무계획!$B$3:$B$202,$A9))</f>
        <v/>
      </c>
      <c r="C9" s="21">
        <f>IFERROR(TRIM(INDEX(인턴근무계획!$C$3:$C$202,$A9)&amp;""),"")</f>
        <v/>
      </c>
      <c r="D9" s="21">
        <f>IF($C9="","",INDEX(인턴근무계획!$D$3:$D$202,$A9))</f>
        <v/>
      </c>
      <c r="E9" s="21">
        <f>IF($C9="","",IF(IFERROR(MATCH($D9,기본자료!$B$2:$B$501,0),IFERROR(MATCH($D9&amp;"",기본자료!$B$2:$B$501,0),IFERROR(MATCH(VALUE($D9),기본자료!$B$2:$B$501,0),0)))&gt;0,"확인","미등록"))</f>
        <v/>
      </c>
      <c r="F9" s="25">
        <f>IF($C9="","",INDEX(인턴근무계획!$S$3:$S$202,$A9))</f>
        <v/>
      </c>
      <c r="G9" s="21">
        <f>IF(OR($C9="",$G$3=""),"",IF(INDEX(인턴근무계획!$M$3:$R$202,$A9,$G$3)&amp;""="","",IF(LEFT(INDEX(인턴근무계획!$M$3:$R$202,$A9,$G$3)&amp;"",1)="⚠",INDEX(인턴근무계획!$M$3:$R$202,$A9,$G$3)&amp;"",LEFT(INDEX(인턴근무계획!$M$3:$R$202,$A9,$G$3)&amp;"",FIND(" ",INDEX(인턴근무계획!$M$3:$R$202,$A9,$G$3)&amp;"")-1))))</f>
        <v/>
      </c>
      <c r="H9" s="21">
        <f>IF(OR($C9="",$G$3=""),"",IF(INDEX(인턴근무계획!$M$3:$R$202,$A9,$G$3)&amp;""="","",IF(LEFT(INDEX(인턴근무계획!$M$3:$R$202,$A9,$G$3)&amp;"",1)="⚠","",MID(INDEX(인턴근무계획!$M$3:$R$202,$A9,$G$3)&amp;"",FIND(" ",INDEX(인턴근무계획!$M$3:$R$202,$A9,$G$3)&amp;"")+1,60))))</f>
        <v/>
      </c>
      <c r="I9" s="21">
        <f>IF(OR($C9="",$I$3=""),"",IF(INDEX(인턴근무계획!$M$3:$R$202,$A9,$I$3)&amp;""="","",IF(LEFT(INDEX(인턴근무계획!$M$3:$R$202,$A9,$I$3)&amp;"",1)="⚠",INDEX(인턴근무계획!$M$3:$R$202,$A9,$I$3)&amp;"",LEFT(INDEX(인턴근무계획!$M$3:$R$202,$A9,$I$3)&amp;"",FIND(" ",INDEX(인턴근무계획!$M$3:$R$202,$A9,$I$3)&amp;"")-1))))</f>
        <v/>
      </c>
      <c r="J9" s="21">
        <f>IF(OR($C9="",$I$3=""),"",IF(INDEX(인턴근무계획!$M$3:$R$202,$A9,$I$3)&amp;""="","",IF(LEFT(INDEX(인턴근무계획!$M$3:$R$202,$A9,$I$3)&amp;"",1)="⚠","",MID(INDEX(인턴근무계획!$M$3:$R$202,$A9,$I$3)&amp;"",FIND(" ",INDEX(인턴근무계획!$M$3:$R$202,$A9,$I$3)&amp;"")+1,60))))</f>
        <v/>
      </c>
      <c r="K9" s="21">
        <f>IF($C9="","",INDEX(인턴근무계획!$M$3:$M$202,$A9)&amp;"")</f>
        <v/>
      </c>
      <c r="L9" s="21">
        <f>IF($C9="","",INDEX(인턴근무계획!$N$3:$N$202,$A9)&amp;"")</f>
        <v/>
      </c>
      <c r="M9" s="21">
        <f>IF($C9="","",INDEX(인턴근무계획!$O$3:$O$202,$A9)&amp;"")</f>
        <v/>
      </c>
      <c r="N9" s="21">
        <f>IF($C9="","",INDEX(인턴근무계획!$P$3:$P$202,$A9)&amp;"")</f>
        <v/>
      </c>
      <c r="O9" s="21">
        <f>IF($C9="","",INDEX(인턴근무계획!$Q$3:$Q$202,$A9)&amp;"")</f>
        <v/>
      </c>
      <c r="P9" s="21">
        <f>IF($C9="","",INDEX(인턴근무계획!$R$3:$R$202,$A9)&amp;"")</f>
        <v/>
      </c>
      <c r="Q9" s="21">
        <f>IF($C9="","",INDEX(인턴근무계획!$T$3:$T$202,$A9))</f>
        <v/>
      </c>
      <c r="S9" s="21">
        <f>IF(코드표!A5="","",코드표!A5)</f>
        <v/>
      </c>
      <c r="T9" s="21">
        <f>IF($S9="","",COUNTIF(K$6:K$205,$S9&amp;" *"))</f>
        <v/>
      </c>
      <c r="U9" s="21">
        <f>IF($S9="","",COUNTIF(L$6:L$205,$S9&amp;" *"))</f>
        <v/>
      </c>
      <c r="V9" s="21">
        <f>IF($S9="","",COUNTIF(M$6:M$205,$S9&amp;" *"))</f>
        <v/>
      </c>
      <c r="W9" s="21">
        <f>IF($S9="","",COUNTIF(N$6:N$205,$S9&amp;" *"))</f>
        <v/>
      </c>
      <c r="X9" s="21">
        <f>IF($S9="","",COUNTIF(O$6:O$205,$S9&amp;" *"))</f>
        <v/>
      </c>
      <c r="Y9" s="21">
        <f>IF($S9="","",COUNTIF(P$6:P$205,$S9&amp;" *"))</f>
        <v/>
      </c>
    </row>
    <row r="10">
      <c r="A10" s="24" t="n">
        <v>5</v>
      </c>
      <c r="B10" s="21">
        <f>IF($C10="","",INDEX(인턴근무계획!$B$3:$B$202,$A10))</f>
        <v/>
      </c>
      <c r="C10" s="21">
        <f>IFERROR(TRIM(INDEX(인턴근무계획!$C$3:$C$202,$A10)&amp;""),"")</f>
        <v/>
      </c>
      <c r="D10" s="21">
        <f>IF($C10="","",INDEX(인턴근무계획!$D$3:$D$202,$A10))</f>
        <v/>
      </c>
      <c r="E10" s="21">
        <f>IF($C10="","",IF(IFERROR(MATCH($D10,기본자료!$B$2:$B$501,0),IFERROR(MATCH($D10&amp;"",기본자료!$B$2:$B$501,0),IFERROR(MATCH(VALUE($D10),기본자료!$B$2:$B$501,0),0)))&gt;0,"확인","미등록"))</f>
        <v/>
      </c>
      <c r="F10" s="25">
        <f>IF($C10="","",INDEX(인턴근무계획!$S$3:$S$202,$A10))</f>
        <v/>
      </c>
      <c r="G10" s="21">
        <f>IF(OR($C10="",$G$3=""),"",IF(INDEX(인턴근무계획!$M$3:$R$202,$A10,$G$3)&amp;""="","",IF(LEFT(INDEX(인턴근무계획!$M$3:$R$202,$A10,$G$3)&amp;"",1)="⚠",INDEX(인턴근무계획!$M$3:$R$202,$A10,$G$3)&amp;"",LEFT(INDEX(인턴근무계획!$M$3:$R$202,$A10,$G$3)&amp;"",FIND(" ",INDEX(인턴근무계획!$M$3:$R$202,$A10,$G$3)&amp;"")-1))))</f>
        <v/>
      </c>
      <c r="H10" s="21">
        <f>IF(OR($C10="",$G$3=""),"",IF(INDEX(인턴근무계획!$M$3:$R$202,$A10,$G$3)&amp;""="","",IF(LEFT(INDEX(인턴근무계획!$M$3:$R$202,$A10,$G$3)&amp;"",1)="⚠","",MID(INDEX(인턴근무계획!$M$3:$R$202,$A10,$G$3)&amp;"",FIND(" ",INDEX(인턴근무계획!$M$3:$R$202,$A10,$G$3)&amp;"")+1,60))))</f>
        <v/>
      </c>
      <c r="I10" s="21">
        <f>IF(OR($C10="",$I$3=""),"",IF(INDEX(인턴근무계획!$M$3:$R$202,$A10,$I$3)&amp;""="","",IF(LEFT(INDEX(인턴근무계획!$M$3:$R$202,$A10,$I$3)&amp;"",1)="⚠",INDEX(인턴근무계획!$M$3:$R$202,$A10,$I$3)&amp;"",LEFT(INDEX(인턴근무계획!$M$3:$R$202,$A10,$I$3)&amp;"",FIND(" ",INDEX(인턴근무계획!$M$3:$R$202,$A10,$I$3)&amp;"")-1))))</f>
        <v/>
      </c>
      <c r="J10" s="21">
        <f>IF(OR($C10="",$I$3=""),"",IF(INDEX(인턴근무계획!$M$3:$R$202,$A10,$I$3)&amp;""="","",IF(LEFT(INDEX(인턴근무계획!$M$3:$R$202,$A10,$I$3)&amp;"",1)="⚠","",MID(INDEX(인턴근무계획!$M$3:$R$202,$A10,$I$3)&amp;"",FIND(" ",INDEX(인턴근무계획!$M$3:$R$202,$A10,$I$3)&amp;"")+1,60))))</f>
        <v/>
      </c>
      <c r="K10" s="21">
        <f>IF($C10="","",INDEX(인턴근무계획!$M$3:$M$202,$A10)&amp;"")</f>
        <v/>
      </c>
      <c r="L10" s="21">
        <f>IF($C10="","",INDEX(인턴근무계획!$N$3:$N$202,$A10)&amp;"")</f>
        <v/>
      </c>
      <c r="M10" s="21">
        <f>IF($C10="","",INDEX(인턴근무계획!$O$3:$O$202,$A10)&amp;"")</f>
        <v/>
      </c>
      <c r="N10" s="21">
        <f>IF($C10="","",INDEX(인턴근무계획!$P$3:$P$202,$A10)&amp;"")</f>
        <v/>
      </c>
      <c r="O10" s="21">
        <f>IF($C10="","",INDEX(인턴근무계획!$Q$3:$Q$202,$A10)&amp;"")</f>
        <v/>
      </c>
      <c r="P10" s="21">
        <f>IF($C10="","",INDEX(인턴근무계획!$R$3:$R$202,$A10)&amp;"")</f>
        <v/>
      </c>
      <c r="Q10" s="21">
        <f>IF($C10="","",INDEX(인턴근무계획!$T$3:$T$202,$A10))</f>
        <v/>
      </c>
      <c r="S10" s="21">
        <f>IF(코드표!A6="","",코드표!A6)</f>
        <v/>
      </c>
      <c r="T10" s="21">
        <f>IF($S10="","",COUNTIF(K$6:K$205,$S10&amp;" *"))</f>
        <v/>
      </c>
      <c r="U10" s="21">
        <f>IF($S10="","",COUNTIF(L$6:L$205,$S10&amp;" *"))</f>
        <v/>
      </c>
      <c r="V10" s="21">
        <f>IF($S10="","",COUNTIF(M$6:M$205,$S10&amp;" *"))</f>
        <v/>
      </c>
      <c r="W10" s="21">
        <f>IF($S10="","",COUNTIF(N$6:N$205,$S10&amp;" *"))</f>
        <v/>
      </c>
      <c r="X10" s="21">
        <f>IF($S10="","",COUNTIF(O$6:O$205,$S10&amp;" *"))</f>
        <v/>
      </c>
      <c r="Y10" s="21">
        <f>IF($S10="","",COUNTIF(P$6:P$205,$S10&amp;" *"))</f>
        <v/>
      </c>
    </row>
    <row r="11">
      <c r="A11" s="24" t="n">
        <v>6</v>
      </c>
      <c r="B11" s="21">
        <f>IF($C11="","",INDEX(인턴근무계획!$B$3:$B$202,$A11))</f>
        <v/>
      </c>
      <c r="C11" s="21">
        <f>IFERROR(TRIM(INDEX(인턴근무계획!$C$3:$C$202,$A11)&amp;""),"")</f>
        <v/>
      </c>
      <c r="D11" s="21">
        <f>IF($C11="","",INDEX(인턴근무계획!$D$3:$D$202,$A11))</f>
        <v/>
      </c>
      <c r="E11" s="21">
        <f>IF($C11="","",IF(IFERROR(MATCH($D11,기본자료!$B$2:$B$501,0),IFERROR(MATCH($D11&amp;"",기본자료!$B$2:$B$501,0),IFERROR(MATCH(VALUE($D11),기본자료!$B$2:$B$501,0),0)))&gt;0,"확인","미등록"))</f>
        <v/>
      </c>
      <c r="F11" s="25">
        <f>IF($C11="","",INDEX(인턴근무계획!$S$3:$S$202,$A11))</f>
        <v/>
      </c>
      <c r="G11" s="21">
        <f>IF(OR($C11="",$G$3=""),"",IF(INDEX(인턴근무계획!$M$3:$R$202,$A11,$G$3)&amp;""="","",IF(LEFT(INDEX(인턴근무계획!$M$3:$R$202,$A11,$G$3)&amp;"",1)="⚠",INDEX(인턴근무계획!$M$3:$R$202,$A11,$G$3)&amp;"",LEFT(INDEX(인턴근무계획!$M$3:$R$202,$A11,$G$3)&amp;"",FIND(" ",INDEX(인턴근무계획!$M$3:$R$202,$A11,$G$3)&amp;"")-1))))</f>
        <v/>
      </c>
      <c r="H11" s="21">
        <f>IF(OR($C11="",$G$3=""),"",IF(INDEX(인턴근무계획!$M$3:$R$202,$A11,$G$3)&amp;""="","",IF(LEFT(INDEX(인턴근무계획!$M$3:$R$202,$A11,$G$3)&amp;"",1)="⚠","",MID(INDEX(인턴근무계획!$M$3:$R$202,$A11,$G$3)&amp;"",FIND(" ",INDEX(인턴근무계획!$M$3:$R$202,$A11,$G$3)&amp;"")+1,60))))</f>
        <v/>
      </c>
      <c r="I11" s="21">
        <f>IF(OR($C11="",$I$3=""),"",IF(INDEX(인턴근무계획!$M$3:$R$202,$A11,$I$3)&amp;""="","",IF(LEFT(INDEX(인턴근무계획!$M$3:$R$202,$A11,$I$3)&amp;"",1)="⚠",INDEX(인턴근무계획!$M$3:$R$202,$A11,$I$3)&amp;"",LEFT(INDEX(인턴근무계획!$M$3:$R$202,$A11,$I$3)&amp;"",FIND(" ",INDEX(인턴근무계획!$M$3:$R$202,$A11,$I$3)&amp;"")-1))))</f>
        <v/>
      </c>
      <c r="J11" s="21">
        <f>IF(OR($C11="",$I$3=""),"",IF(INDEX(인턴근무계획!$M$3:$R$202,$A11,$I$3)&amp;""="","",IF(LEFT(INDEX(인턴근무계획!$M$3:$R$202,$A11,$I$3)&amp;"",1)="⚠","",MID(INDEX(인턴근무계획!$M$3:$R$202,$A11,$I$3)&amp;"",FIND(" ",INDEX(인턴근무계획!$M$3:$R$202,$A11,$I$3)&amp;"")+1,60))))</f>
        <v/>
      </c>
      <c r="K11" s="21">
        <f>IF($C11="","",INDEX(인턴근무계획!$M$3:$M$202,$A11)&amp;"")</f>
        <v/>
      </c>
      <c r="L11" s="21">
        <f>IF($C11="","",INDEX(인턴근무계획!$N$3:$N$202,$A11)&amp;"")</f>
        <v/>
      </c>
      <c r="M11" s="21">
        <f>IF($C11="","",INDEX(인턴근무계획!$O$3:$O$202,$A11)&amp;"")</f>
        <v/>
      </c>
      <c r="N11" s="21">
        <f>IF($C11="","",INDEX(인턴근무계획!$P$3:$P$202,$A11)&amp;"")</f>
        <v/>
      </c>
      <c r="O11" s="21">
        <f>IF($C11="","",INDEX(인턴근무계획!$Q$3:$Q$202,$A11)&amp;"")</f>
        <v/>
      </c>
      <c r="P11" s="21">
        <f>IF($C11="","",INDEX(인턴근무계획!$R$3:$R$202,$A11)&amp;"")</f>
        <v/>
      </c>
      <c r="Q11" s="21">
        <f>IF($C11="","",INDEX(인턴근무계획!$T$3:$T$202,$A11))</f>
        <v/>
      </c>
      <c r="S11" s="21">
        <f>IF(코드표!A7="","",코드표!A7)</f>
        <v/>
      </c>
      <c r="T11" s="21">
        <f>IF($S11="","",COUNTIF(K$6:K$205,$S11&amp;" *"))</f>
        <v/>
      </c>
      <c r="U11" s="21">
        <f>IF($S11="","",COUNTIF(L$6:L$205,$S11&amp;" *"))</f>
        <v/>
      </c>
      <c r="V11" s="21">
        <f>IF($S11="","",COUNTIF(M$6:M$205,$S11&amp;" *"))</f>
        <v/>
      </c>
      <c r="W11" s="21">
        <f>IF($S11="","",COUNTIF(N$6:N$205,$S11&amp;" *"))</f>
        <v/>
      </c>
      <c r="X11" s="21">
        <f>IF($S11="","",COUNTIF(O$6:O$205,$S11&amp;" *"))</f>
        <v/>
      </c>
      <c r="Y11" s="21">
        <f>IF($S11="","",COUNTIF(P$6:P$205,$S11&amp;" *"))</f>
        <v/>
      </c>
    </row>
    <row r="12">
      <c r="A12" s="24" t="n">
        <v>7</v>
      </c>
      <c r="B12" s="21">
        <f>IF($C12="","",INDEX(인턴근무계획!$B$3:$B$202,$A12))</f>
        <v/>
      </c>
      <c r="C12" s="21">
        <f>IFERROR(TRIM(INDEX(인턴근무계획!$C$3:$C$202,$A12)&amp;""),"")</f>
        <v/>
      </c>
      <c r="D12" s="21">
        <f>IF($C12="","",INDEX(인턴근무계획!$D$3:$D$202,$A12))</f>
        <v/>
      </c>
      <c r="E12" s="21">
        <f>IF($C12="","",IF(IFERROR(MATCH($D12,기본자료!$B$2:$B$501,0),IFERROR(MATCH($D12&amp;"",기본자료!$B$2:$B$501,0),IFERROR(MATCH(VALUE($D12),기본자료!$B$2:$B$501,0),0)))&gt;0,"확인","미등록"))</f>
        <v/>
      </c>
      <c r="F12" s="25">
        <f>IF($C12="","",INDEX(인턴근무계획!$S$3:$S$202,$A12))</f>
        <v/>
      </c>
      <c r="G12" s="21">
        <f>IF(OR($C12="",$G$3=""),"",IF(INDEX(인턴근무계획!$M$3:$R$202,$A12,$G$3)&amp;""="","",IF(LEFT(INDEX(인턴근무계획!$M$3:$R$202,$A12,$G$3)&amp;"",1)="⚠",INDEX(인턴근무계획!$M$3:$R$202,$A12,$G$3)&amp;"",LEFT(INDEX(인턴근무계획!$M$3:$R$202,$A12,$G$3)&amp;"",FIND(" ",INDEX(인턴근무계획!$M$3:$R$202,$A12,$G$3)&amp;"")-1))))</f>
        <v/>
      </c>
      <c r="H12" s="21">
        <f>IF(OR($C12="",$G$3=""),"",IF(INDEX(인턴근무계획!$M$3:$R$202,$A12,$G$3)&amp;""="","",IF(LEFT(INDEX(인턴근무계획!$M$3:$R$202,$A12,$G$3)&amp;"",1)="⚠","",MID(INDEX(인턴근무계획!$M$3:$R$202,$A12,$G$3)&amp;"",FIND(" ",INDEX(인턴근무계획!$M$3:$R$202,$A12,$G$3)&amp;"")+1,60))))</f>
        <v/>
      </c>
      <c r="I12" s="21">
        <f>IF(OR($C12="",$I$3=""),"",IF(INDEX(인턴근무계획!$M$3:$R$202,$A12,$I$3)&amp;""="","",IF(LEFT(INDEX(인턴근무계획!$M$3:$R$202,$A12,$I$3)&amp;"",1)="⚠",INDEX(인턴근무계획!$M$3:$R$202,$A12,$I$3)&amp;"",LEFT(INDEX(인턴근무계획!$M$3:$R$202,$A12,$I$3)&amp;"",FIND(" ",INDEX(인턴근무계획!$M$3:$R$202,$A12,$I$3)&amp;"")-1))))</f>
        <v/>
      </c>
      <c r="J12" s="21">
        <f>IF(OR($C12="",$I$3=""),"",IF(INDEX(인턴근무계획!$M$3:$R$202,$A12,$I$3)&amp;""="","",IF(LEFT(INDEX(인턴근무계획!$M$3:$R$202,$A12,$I$3)&amp;"",1)="⚠","",MID(INDEX(인턴근무계획!$M$3:$R$202,$A12,$I$3)&amp;"",FIND(" ",INDEX(인턴근무계획!$M$3:$R$202,$A12,$I$3)&amp;"")+1,60))))</f>
        <v/>
      </c>
      <c r="K12" s="21">
        <f>IF($C12="","",INDEX(인턴근무계획!$M$3:$M$202,$A12)&amp;"")</f>
        <v/>
      </c>
      <c r="L12" s="21">
        <f>IF($C12="","",INDEX(인턴근무계획!$N$3:$N$202,$A12)&amp;"")</f>
        <v/>
      </c>
      <c r="M12" s="21">
        <f>IF($C12="","",INDEX(인턴근무계획!$O$3:$O$202,$A12)&amp;"")</f>
        <v/>
      </c>
      <c r="N12" s="21">
        <f>IF($C12="","",INDEX(인턴근무계획!$P$3:$P$202,$A12)&amp;"")</f>
        <v/>
      </c>
      <c r="O12" s="21">
        <f>IF($C12="","",INDEX(인턴근무계획!$Q$3:$Q$202,$A12)&amp;"")</f>
        <v/>
      </c>
      <c r="P12" s="21">
        <f>IF($C12="","",INDEX(인턴근무계획!$R$3:$R$202,$A12)&amp;"")</f>
        <v/>
      </c>
      <c r="Q12" s="21">
        <f>IF($C12="","",INDEX(인턴근무계획!$T$3:$T$202,$A12))</f>
        <v/>
      </c>
      <c r="S12" s="21">
        <f>IF(코드표!A8="","",코드표!A8)</f>
        <v/>
      </c>
      <c r="T12" s="21">
        <f>IF($S12="","",COUNTIF(K$6:K$205,$S12&amp;" *"))</f>
        <v/>
      </c>
      <c r="U12" s="21">
        <f>IF($S12="","",COUNTIF(L$6:L$205,$S12&amp;" *"))</f>
        <v/>
      </c>
      <c r="V12" s="21">
        <f>IF($S12="","",COUNTIF(M$6:M$205,$S12&amp;" *"))</f>
        <v/>
      </c>
      <c r="W12" s="21">
        <f>IF($S12="","",COUNTIF(N$6:N$205,$S12&amp;" *"))</f>
        <v/>
      </c>
      <c r="X12" s="21">
        <f>IF($S12="","",COUNTIF(O$6:O$205,$S12&amp;" *"))</f>
        <v/>
      </c>
      <c r="Y12" s="21">
        <f>IF($S12="","",COUNTIF(P$6:P$205,$S12&amp;" *"))</f>
        <v/>
      </c>
    </row>
    <row r="13">
      <c r="A13" s="24" t="n">
        <v>8</v>
      </c>
      <c r="B13" s="21">
        <f>IF($C13="","",INDEX(인턴근무계획!$B$3:$B$202,$A13))</f>
        <v/>
      </c>
      <c r="C13" s="21">
        <f>IFERROR(TRIM(INDEX(인턴근무계획!$C$3:$C$202,$A13)&amp;""),"")</f>
        <v/>
      </c>
      <c r="D13" s="21">
        <f>IF($C13="","",INDEX(인턴근무계획!$D$3:$D$202,$A13))</f>
        <v/>
      </c>
      <c r="E13" s="21">
        <f>IF($C13="","",IF(IFERROR(MATCH($D13,기본자료!$B$2:$B$501,0),IFERROR(MATCH($D13&amp;"",기본자료!$B$2:$B$501,0),IFERROR(MATCH(VALUE($D13),기본자료!$B$2:$B$501,0),0)))&gt;0,"확인","미등록"))</f>
        <v/>
      </c>
      <c r="F13" s="25">
        <f>IF($C13="","",INDEX(인턴근무계획!$S$3:$S$202,$A13))</f>
        <v/>
      </c>
      <c r="G13" s="21">
        <f>IF(OR($C13="",$G$3=""),"",IF(INDEX(인턴근무계획!$M$3:$R$202,$A13,$G$3)&amp;""="","",IF(LEFT(INDEX(인턴근무계획!$M$3:$R$202,$A13,$G$3)&amp;"",1)="⚠",INDEX(인턴근무계획!$M$3:$R$202,$A13,$G$3)&amp;"",LEFT(INDEX(인턴근무계획!$M$3:$R$202,$A13,$G$3)&amp;"",FIND(" ",INDEX(인턴근무계획!$M$3:$R$202,$A13,$G$3)&amp;"")-1))))</f>
        <v/>
      </c>
      <c r="H13" s="21">
        <f>IF(OR($C13="",$G$3=""),"",IF(INDEX(인턴근무계획!$M$3:$R$202,$A13,$G$3)&amp;""="","",IF(LEFT(INDEX(인턴근무계획!$M$3:$R$202,$A13,$G$3)&amp;"",1)="⚠","",MID(INDEX(인턴근무계획!$M$3:$R$202,$A13,$G$3)&amp;"",FIND(" ",INDEX(인턴근무계획!$M$3:$R$202,$A13,$G$3)&amp;"")+1,60))))</f>
        <v/>
      </c>
      <c r="I13" s="21">
        <f>IF(OR($C13="",$I$3=""),"",IF(INDEX(인턴근무계획!$M$3:$R$202,$A13,$I$3)&amp;""="","",IF(LEFT(INDEX(인턴근무계획!$M$3:$R$202,$A13,$I$3)&amp;"",1)="⚠",INDEX(인턴근무계획!$M$3:$R$202,$A13,$I$3)&amp;"",LEFT(INDEX(인턴근무계획!$M$3:$R$202,$A13,$I$3)&amp;"",FIND(" ",INDEX(인턴근무계획!$M$3:$R$202,$A13,$I$3)&amp;"")-1))))</f>
        <v/>
      </c>
      <c r="J13" s="21">
        <f>IF(OR($C13="",$I$3=""),"",IF(INDEX(인턴근무계획!$M$3:$R$202,$A13,$I$3)&amp;""="","",IF(LEFT(INDEX(인턴근무계획!$M$3:$R$202,$A13,$I$3)&amp;"",1)="⚠","",MID(INDEX(인턴근무계획!$M$3:$R$202,$A13,$I$3)&amp;"",FIND(" ",INDEX(인턴근무계획!$M$3:$R$202,$A13,$I$3)&amp;"")+1,60))))</f>
        <v/>
      </c>
      <c r="K13" s="21">
        <f>IF($C13="","",INDEX(인턴근무계획!$M$3:$M$202,$A13)&amp;"")</f>
        <v/>
      </c>
      <c r="L13" s="21">
        <f>IF($C13="","",INDEX(인턴근무계획!$N$3:$N$202,$A13)&amp;"")</f>
        <v/>
      </c>
      <c r="M13" s="21">
        <f>IF($C13="","",INDEX(인턴근무계획!$O$3:$O$202,$A13)&amp;"")</f>
        <v/>
      </c>
      <c r="N13" s="21">
        <f>IF($C13="","",INDEX(인턴근무계획!$P$3:$P$202,$A13)&amp;"")</f>
        <v/>
      </c>
      <c r="O13" s="21">
        <f>IF($C13="","",INDEX(인턴근무계획!$Q$3:$Q$202,$A13)&amp;"")</f>
        <v/>
      </c>
      <c r="P13" s="21">
        <f>IF($C13="","",INDEX(인턴근무계획!$R$3:$R$202,$A13)&amp;"")</f>
        <v/>
      </c>
      <c r="Q13" s="21">
        <f>IF($C13="","",INDEX(인턴근무계획!$T$3:$T$202,$A13))</f>
        <v/>
      </c>
      <c r="S13" s="21">
        <f>IF(코드표!A9="","",코드표!A9)</f>
        <v/>
      </c>
      <c r="T13" s="21">
        <f>IF($S13="","",COUNTIF(K$6:K$205,$S13&amp;" *"))</f>
        <v/>
      </c>
      <c r="U13" s="21">
        <f>IF($S13="","",COUNTIF(L$6:L$205,$S13&amp;" *"))</f>
        <v/>
      </c>
      <c r="V13" s="21">
        <f>IF($S13="","",COUNTIF(M$6:M$205,$S13&amp;" *"))</f>
        <v/>
      </c>
      <c r="W13" s="21">
        <f>IF($S13="","",COUNTIF(N$6:N$205,$S13&amp;" *"))</f>
        <v/>
      </c>
      <c r="X13" s="21">
        <f>IF($S13="","",COUNTIF(O$6:O$205,$S13&amp;" *"))</f>
        <v/>
      </c>
      <c r="Y13" s="21">
        <f>IF($S13="","",COUNTIF(P$6:P$205,$S13&amp;" *"))</f>
        <v/>
      </c>
    </row>
    <row r="14">
      <c r="A14" s="24" t="n">
        <v>9</v>
      </c>
      <c r="B14" s="21">
        <f>IF($C14="","",INDEX(인턴근무계획!$B$3:$B$202,$A14))</f>
        <v/>
      </c>
      <c r="C14" s="21">
        <f>IFERROR(TRIM(INDEX(인턴근무계획!$C$3:$C$202,$A14)&amp;""),"")</f>
        <v/>
      </c>
      <c r="D14" s="21">
        <f>IF($C14="","",INDEX(인턴근무계획!$D$3:$D$202,$A14))</f>
        <v/>
      </c>
      <c r="E14" s="21">
        <f>IF($C14="","",IF(IFERROR(MATCH($D14,기본자료!$B$2:$B$501,0),IFERROR(MATCH($D14&amp;"",기본자료!$B$2:$B$501,0),IFERROR(MATCH(VALUE($D14),기본자료!$B$2:$B$501,0),0)))&gt;0,"확인","미등록"))</f>
        <v/>
      </c>
      <c r="F14" s="25">
        <f>IF($C14="","",INDEX(인턴근무계획!$S$3:$S$202,$A14))</f>
        <v/>
      </c>
      <c r="G14" s="21">
        <f>IF(OR($C14="",$G$3=""),"",IF(INDEX(인턴근무계획!$M$3:$R$202,$A14,$G$3)&amp;""="","",IF(LEFT(INDEX(인턴근무계획!$M$3:$R$202,$A14,$G$3)&amp;"",1)="⚠",INDEX(인턴근무계획!$M$3:$R$202,$A14,$G$3)&amp;"",LEFT(INDEX(인턴근무계획!$M$3:$R$202,$A14,$G$3)&amp;"",FIND(" ",INDEX(인턴근무계획!$M$3:$R$202,$A14,$G$3)&amp;"")-1))))</f>
        <v/>
      </c>
      <c r="H14" s="21">
        <f>IF(OR($C14="",$G$3=""),"",IF(INDEX(인턴근무계획!$M$3:$R$202,$A14,$G$3)&amp;""="","",IF(LEFT(INDEX(인턴근무계획!$M$3:$R$202,$A14,$G$3)&amp;"",1)="⚠","",MID(INDEX(인턴근무계획!$M$3:$R$202,$A14,$G$3)&amp;"",FIND(" ",INDEX(인턴근무계획!$M$3:$R$202,$A14,$G$3)&amp;"")+1,60))))</f>
        <v/>
      </c>
      <c r="I14" s="21">
        <f>IF(OR($C14="",$I$3=""),"",IF(INDEX(인턴근무계획!$M$3:$R$202,$A14,$I$3)&amp;""="","",IF(LEFT(INDEX(인턴근무계획!$M$3:$R$202,$A14,$I$3)&amp;"",1)="⚠",INDEX(인턴근무계획!$M$3:$R$202,$A14,$I$3)&amp;"",LEFT(INDEX(인턴근무계획!$M$3:$R$202,$A14,$I$3)&amp;"",FIND(" ",INDEX(인턴근무계획!$M$3:$R$202,$A14,$I$3)&amp;"")-1))))</f>
        <v/>
      </c>
      <c r="J14" s="21">
        <f>IF(OR($C14="",$I$3=""),"",IF(INDEX(인턴근무계획!$M$3:$R$202,$A14,$I$3)&amp;""="","",IF(LEFT(INDEX(인턴근무계획!$M$3:$R$202,$A14,$I$3)&amp;"",1)="⚠","",MID(INDEX(인턴근무계획!$M$3:$R$202,$A14,$I$3)&amp;"",FIND(" ",INDEX(인턴근무계획!$M$3:$R$202,$A14,$I$3)&amp;"")+1,60))))</f>
        <v/>
      </c>
      <c r="K14" s="21">
        <f>IF($C14="","",INDEX(인턴근무계획!$M$3:$M$202,$A14)&amp;"")</f>
        <v/>
      </c>
      <c r="L14" s="21">
        <f>IF($C14="","",INDEX(인턴근무계획!$N$3:$N$202,$A14)&amp;"")</f>
        <v/>
      </c>
      <c r="M14" s="21">
        <f>IF($C14="","",INDEX(인턴근무계획!$O$3:$O$202,$A14)&amp;"")</f>
        <v/>
      </c>
      <c r="N14" s="21">
        <f>IF($C14="","",INDEX(인턴근무계획!$P$3:$P$202,$A14)&amp;"")</f>
        <v/>
      </c>
      <c r="O14" s="21">
        <f>IF($C14="","",INDEX(인턴근무계획!$Q$3:$Q$202,$A14)&amp;"")</f>
        <v/>
      </c>
      <c r="P14" s="21">
        <f>IF($C14="","",INDEX(인턴근무계획!$R$3:$R$202,$A14)&amp;"")</f>
        <v/>
      </c>
      <c r="Q14" s="21">
        <f>IF($C14="","",INDEX(인턴근무계획!$T$3:$T$202,$A14))</f>
        <v/>
      </c>
      <c r="S14" s="21">
        <f>IF(코드표!A10="","",코드표!A10)</f>
        <v/>
      </c>
      <c r="T14" s="21">
        <f>IF($S14="","",COUNTIF(K$6:K$205,$S14&amp;" *"))</f>
        <v/>
      </c>
      <c r="U14" s="21">
        <f>IF($S14="","",COUNTIF(L$6:L$205,$S14&amp;" *"))</f>
        <v/>
      </c>
      <c r="V14" s="21">
        <f>IF($S14="","",COUNTIF(M$6:M$205,$S14&amp;" *"))</f>
        <v/>
      </c>
      <c r="W14" s="21">
        <f>IF($S14="","",COUNTIF(N$6:N$205,$S14&amp;" *"))</f>
        <v/>
      </c>
      <c r="X14" s="21">
        <f>IF($S14="","",COUNTIF(O$6:O$205,$S14&amp;" *"))</f>
        <v/>
      </c>
      <c r="Y14" s="21">
        <f>IF($S14="","",COUNTIF(P$6:P$205,$S14&amp;" *"))</f>
        <v/>
      </c>
    </row>
    <row r="15">
      <c r="A15" s="24" t="n">
        <v>10</v>
      </c>
      <c r="B15" s="21">
        <f>IF($C15="","",INDEX(인턴근무계획!$B$3:$B$202,$A15))</f>
        <v/>
      </c>
      <c r="C15" s="21">
        <f>IFERROR(TRIM(INDEX(인턴근무계획!$C$3:$C$202,$A15)&amp;""),"")</f>
        <v/>
      </c>
      <c r="D15" s="21">
        <f>IF($C15="","",INDEX(인턴근무계획!$D$3:$D$202,$A15))</f>
        <v/>
      </c>
      <c r="E15" s="21">
        <f>IF($C15="","",IF(IFERROR(MATCH($D15,기본자료!$B$2:$B$501,0),IFERROR(MATCH($D15&amp;"",기본자료!$B$2:$B$501,0),IFERROR(MATCH(VALUE($D15),기본자료!$B$2:$B$501,0),0)))&gt;0,"확인","미등록"))</f>
        <v/>
      </c>
      <c r="F15" s="25">
        <f>IF($C15="","",INDEX(인턴근무계획!$S$3:$S$202,$A15))</f>
        <v/>
      </c>
      <c r="G15" s="21">
        <f>IF(OR($C15="",$G$3=""),"",IF(INDEX(인턴근무계획!$M$3:$R$202,$A15,$G$3)&amp;""="","",IF(LEFT(INDEX(인턴근무계획!$M$3:$R$202,$A15,$G$3)&amp;"",1)="⚠",INDEX(인턴근무계획!$M$3:$R$202,$A15,$G$3)&amp;"",LEFT(INDEX(인턴근무계획!$M$3:$R$202,$A15,$G$3)&amp;"",FIND(" ",INDEX(인턴근무계획!$M$3:$R$202,$A15,$G$3)&amp;"")-1))))</f>
        <v/>
      </c>
      <c r="H15" s="21">
        <f>IF(OR($C15="",$G$3=""),"",IF(INDEX(인턴근무계획!$M$3:$R$202,$A15,$G$3)&amp;""="","",IF(LEFT(INDEX(인턴근무계획!$M$3:$R$202,$A15,$G$3)&amp;"",1)="⚠","",MID(INDEX(인턴근무계획!$M$3:$R$202,$A15,$G$3)&amp;"",FIND(" ",INDEX(인턴근무계획!$M$3:$R$202,$A15,$G$3)&amp;"")+1,60))))</f>
        <v/>
      </c>
      <c r="I15" s="21">
        <f>IF(OR($C15="",$I$3=""),"",IF(INDEX(인턴근무계획!$M$3:$R$202,$A15,$I$3)&amp;""="","",IF(LEFT(INDEX(인턴근무계획!$M$3:$R$202,$A15,$I$3)&amp;"",1)="⚠",INDEX(인턴근무계획!$M$3:$R$202,$A15,$I$3)&amp;"",LEFT(INDEX(인턴근무계획!$M$3:$R$202,$A15,$I$3)&amp;"",FIND(" ",INDEX(인턴근무계획!$M$3:$R$202,$A15,$I$3)&amp;"")-1))))</f>
        <v/>
      </c>
      <c r="J15" s="21">
        <f>IF(OR($C15="",$I$3=""),"",IF(INDEX(인턴근무계획!$M$3:$R$202,$A15,$I$3)&amp;""="","",IF(LEFT(INDEX(인턴근무계획!$M$3:$R$202,$A15,$I$3)&amp;"",1)="⚠","",MID(INDEX(인턴근무계획!$M$3:$R$202,$A15,$I$3)&amp;"",FIND(" ",INDEX(인턴근무계획!$M$3:$R$202,$A15,$I$3)&amp;"")+1,60))))</f>
        <v/>
      </c>
      <c r="K15" s="21">
        <f>IF($C15="","",INDEX(인턴근무계획!$M$3:$M$202,$A15)&amp;"")</f>
        <v/>
      </c>
      <c r="L15" s="21">
        <f>IF($C15="","",INDEX(인턴근무계획!$N$3:$N$202,$A15)&amp;"")</f>
        <v/>
      </c>
      <c r="M15" s="21">
        <f>IF($C15="","",INDEX(인턴근무계획!$O$3:$O$202,$A15)&amp;"")</f>
        <v/>
      </c>
      <c r="N15" s="21">
        <f>IF($C15="","",INDEX(인턴근무계획!$P$3:$P$202,$A15)&amp;"")</f>
        <v/>
      </c>
      <c r="O15" s="21">
        <f>IF($C15="","",INDEX(인턴근무계획!$Q$3:$Q$202,$A15)&amp;"")</f>
        <v/>
      </c>
      <c r="P15" s="21">
        <f>IF($C15="","",INDEX(인턴근무계획!$R$3:$R$202,$A15)&amp;"")</f>
        <v/>
      </c>
      <c r="Q15" s="21">
        <f>IF($C15="","",INDEX(인턴근무계획!$T$3:$T$202,$A15))</f>
        <v/>
      </c>
      <c r="S15" s="21">
        <f>IF(코드표!A11="","",코드표!A11)</f>
        <v/>
      </c>
      <c r="T15" s="21">
        <f>IF($S15="","",COUNTIF(K$6:K$205,$S15&amp;" *"))</f>
        <v/>
      </c>
      <c r="U15" s="21">
        <f>IF($S15="","",COUNTIF(L$6:L$205,$S15&amp;" *"))</f>
        <v/>
      </c>
      <c r="V15" s="21">
        <f>IF($S15="","",COUNTIF(M$6:M$205,$S15&amp;" *"))</f>
        <v/>
      </c>
      <c r="W15" s="21">
        <f>IF($S15="","",COUNTIF(N$6:N$205,$S15&amp;" *"))</f>
        <v/>
      </c>
      <c r="X15" s="21">
        <f>IF($S15="","",COUNTIF(O$6:O$205,$S15&amp;" *"))</f>
        <v/>
      </c>
      <c r="Y15" s="21">
        <f>IF($S15="","",COUNTIF(P$6:P$205,$S15&amp;" *"))</f>
        <v/>
      </c>
    </row>
    <row r="16">
      <c r="A16" s="24" t="n">
        <v>11</v>
      </c>
      <c r="B16" s="21">
        <f>IF($C16="","",INDEX(인턴근무계획!$B$3:$B$202,$A16))</f>
        <v/>
      </c>
      <c r="C16" s="21">
        <f>IFERROR(TRIM(INDEX(인턴근무계획!$C$3:$C$202,$A16)&amp;""),"")</f>
        <v/>
      </c>
      <c r="D16" s="21">
        <f>IF($C16="","",INDEX(인턴근무계획!$D$3:$D$202,$A16))</f>
        <v/>
      </c>
      <c r="E16" s="21">
        <f>IF($C16="","",IF(IFERROR(MATCH($D16,기본자료!$B$2:$B$501,0),IFERROR(MATCH($D16&amp;"",기본자료!$B$2:$B$501,0),IFERROR(MATCH(VALUE($D16),기본자료!$B$2:$B$501,0),0)))&gt;0,"확인","미등록"))</f>
        <v/>
      </c>
      <c r="F16" s="25">
        <f>IF($C16="","",INDEX(인턴근무계획!$S$3:$S$202,$A16))</f>
        <v/>
      </c>
      <c r="G16" s="21">
        <f>IF(OR($C16="",$G$3=""),"",IF(INDEX(인턴근무계획!$M$3:$R$202,$A16,$G$3)&amp;""="","",IF(LEFT(INDEX(인턴근무계획!$M$3:$R$202,$A16,$G$3)&amp;"",1)="⚠",INDEX(인턴근무계획!$M$3:$R$202,$A16,$G$3)&amp;"",LEFT(INDEX(인턴근무계획!$M$3:$R$202,$A16,$G$3)&amp;"",FIND(" ",INDEX(인턴근무계획!$M$3:$R$202,$A16,$G$3)&amp;"")-1))))</f>
        <v/>
      </c>
      <c r="H16" s="21">
        <f>IF(OR($C16="",$G$3=""),"",IF(INDEX(인턴근무계획!$M$3:$R$202,$A16,$G$3)&amp;""="","",IF(LEFT(INDEX(인턴근무계획!$M$3:$R$202,$A16,$G$3)&amp;"",1)="⚠","",MID(INDEX(인턴근무계획!$M$3:$R$202,$A16,$G$3)&amp;"",FIND(" ",INDEX(인턴근무계획!$M$3:$R$202,$A16,$G$3)&amp;"")+1,60))))</f>
        <v/>
      </c>
      <c r="I16" s="21">
        <f>IF(OR($C16="",$I$3=""),"",IF(INDEX(인턴근무계획!$M$3:$R$202,$A16,$I$3)&amp;""="","",IF(LEFT(INDEX(인턴근무계획!$M$3:$R$202,$A16,$I$3)&amp;"",1)="⚠",INDEX(인턴근무계획!$M$3:$R$202,$A16,$I$3)&amp;"",LEFT(INDEX(인턴근무계획!$M$3:$R$202,$A16,$I$3)&amp;"",FIND(" ",INDEX(인턴근무계획!$M$3:$R$202,$A16,$I$3)&amp;"")-1))))</f>
        <v/>
      </c>
      <c r="J16" s="21">
        <f>IF(OR($C16="",$I$3=""),"",IF(INDEX(인턴근무계획!$M$3:$R$202,$A16,$I$3)&amp;""="","",IF(LEFT(INDEX(인턴근무계획!$M$3:$R$202,$A16,$I$3)&amp;"",1)="⚠","",MID(INDEX(인턴근무계획!$M$3:$R$202,$A16,$I$3)&amp;"",FIND(" ",INDEX(인턴근무계획!$M$3:$R$202,$A16,$I$3)&amp;"")+1,60))))</f>
        <v/>
      </c>
      <c r="K16" s="21">
        <f>IF($C16="","",INDEX(인턴근무계획!$M$3:$M$202,$A16)&amp;"")</f>
        <v/>
      </c>
      <c r="L16" s="21">
        <f>IF($C16="","",INDEX(인턴근무계획!$N$3:$N$202,$A16)&amp;"")</f>
        <v/>
      </c>
      <c r="M16" s="21">
        <f>IF($C16="","",INDEX(인턴근무계획!$O$3:$O$202,$A16)&amp;"")</f>
        <v/>
      </c>
      <c r="N16" s="21">
        <f>IF($C16="","",INDEX(인턴근무계획!$P$3:$P$202,$A16)&amp;"")</f>
        <v/>
      </c>
      <c r="O16" s="21">
        <f>IF($C16="","",INDEX(인턴근무계획!$Q$3:$Q$202,$A16)&amp;"")</f>
        <v/>
      </c>
      <c r="P16" s="21">
        <f>IF($C16="","",INDEX(인턴근무계획!$R$3:$R$202,$A16)&amp;"")</f>
        <v/>
      </c>
      <c r="Q16" s="21">
        <f>IF($C16="","",INDEX(인턴근무계획!$T$3:$T$202,$A16))</f>
        <v/>
      </c>
      <c r="S16" s="21">
        <f>IF(코드표!A12="","",코드표!A12)</f>
        <v/>
      </c>
      <c r="T16" s="21">
        <f>IF($S16="","",COUNTIF(K$6:K$205,$S16&amp;" *"))</f>
        <v/>
      </c>
      <c r="U16" s="21">
        <f>IF($S16="","",COUNTIF(L$6:L$205,$S16&amp;" *"))</f>
        <v/>
      </c>
      <c r="V16" s="21">
        <f>IF($S16="","",COUNTIF(M$6:M$205,$S16&amp;" *"))</f>
        <v/>
      </c>
      <c r="W16" s="21">
        <f>IF($S16="","",COUNTIF(N$6:N$205,$S16&amp;" *"))</f>
        <v/>
      </c>
      <c r="X16" s="21">
        <f>IF($S16="","",COUNTIF(O$6:O$205,$S16&amp;" *"))</f>
        <v/>
      </c>
      <c r="Y16" s="21">
        <f>IF($S16="","",COUNTIF(P$6:P$205,$S16&amp;" *"))</f>
        <v/>
      </c>
    </row>
    <row r="17">
      <c r="A17" s="24" t="n">
        <v>12</v>
      </c>
      <c r="B17" s="21">
        <f>IF($C17="","",INDEX(인턴근무계획!$B$3:$B$202,$A17))</f>
        <v/>
      </c>
      <c r="C17" s="21">
        <f>IFERROR(TRIM(INDEX(인턴근무계획!$C$3:$C$202,$A17)&amp;""),"")</f>
        <v/>
      </c>
      <c r="D17" s="21">
        <f>IF($C17="","",INDEX(인턴근무계획!$D$3:$D$202,$A17))</f>
        <v/>
      </c>
      <c r="E17" s="21">
        <f>IF($C17="","",IF(IFERROR(MATCH($D17,기본자료!$B$2:$B$501,0),IFERROR(MATCH($D17&amp;"",기본자료!$B$2:$B$501,0),IFERROR(MATCH(VALUE($D17),기본자료!$B$2:$B$501,0),0)))&gt;0,"확인","미등록"))</f>
        <v/>
      </c>
      <c r="F17" s="25">
        <f>IF($C17="","",INDEX(인턴근무계획!$S$3:$S$202,$A17))</f>
        <v/>
      </c>
      <c r="G17" s="21">
        <f>IF(OR($C17="",$G$3=""),"",IF(INDEX(인턴근무계획!$M$3:$R$202,$A17,$G$3)&amp;""="","",IF(LEFT(INDEX(인턴근무계획!$M$3:$R$202,$A17,$G$3)&amp;"",1)="⚠",INDEX(인턴근무계획!$M$3:$R$202,$A17,$G$3)&amp;"",LEFT(INDEX(인턴근무계획!$M$3:$R$202,$A17,$G$3)&amp;"",FIND(" ",INDEX(인턴근무계획!$M$3:$R$202,$A17,$G$3)&amp;"")-1))))</f>
        <v/>
      </c>
      <c r="H17" s="21">
        <f>IF(OR($C17="",$G$3=""),"",IF(INDEX(인턴근무계획!$M$3:$R$202,$A17,$G$3)&amp;""="","",IF(LEFT(INDEX(인턴근무계획!$M$3:$R$202,$A17,$G$3)&amp;"",1)="⚠","",MID(INDEX(인턴근무계획!$M$3:$R$202,$A17,$G$3)&amp;"",FIND(" ",INDEX(인턴근무계획!$M$3:$R$202,$A17,$G$3)&amp;"")+1,60))))</f>
        <v/>
      </c>
      <c r="I17" s="21">
        <f>IF(OR($C17="",$I$3=""),"",IF(INDEX(인턴근무계획!$M$3:$R$202,$A17,$I$3)&amp;""="","",IF(LEFT(INDEX(인턴근무계획!$M$3:$R$202,$A17,$I$3)&amp;"",1)="⚠",INDEX(인턴근무계획!$M$3:$R$202,$A17,$I$3)&amp;"",LEFT(INDEX(인턴근무계획!$M$3:$R$202,$A17,$I$3)&amp;"",FIND(" ",INDEX(인턴근무계획!$M$3:$R$202,$A17,$I$3)&amp;"")-1))))</f>
        <v/>
      </c>
      <c r="J17" s="21">
        <f>IF(OR($C17="",$I$3=""),"",IF(INDEX(인턴근무계획!$M$3:$R$202,$A17,$I$3)&amp;""="","",IF(LEFT(INDEX(인턴근무계획!$M$3:$R$202,$A17,$I$3)&amp;"",1)="⚠","",MID(INDEX(인턴근무계획!$M$3:$R$202,$A17,$I$3)&amp;"",FIND(" ",INDEX(인턴근무계획!$M$3:$R$202,$A17,$I$3)&amp;"")+1,60))))</f>
        <v/>
      </c>
      <c r="K17" s="21">
        <f>IF($C17="","",INDEX(인턴근무계획!$M$3:$M$202,$A17)&amp;"")</f>
        <v/>
      </c>
      <c r="L17" s="21">
        <f>IF($C17="","",INDEX(인턴근무계획!$N$3:$N$202,$A17)&amp;"")</f>
        <v/>
      </c>
      <c r="M17" s="21">
        <f>IF($C17="","",INDEX(인턴근무계획!$O$3:$O$202,$A17)&amp;"")</f>
        <v/>
      </c>
      <c r="N17" s="21">
        <f>IF($C17="","",INDEX(인턴근무계획!$P$3:$P$202,$A17)&amp;"")</f>
        <v/>
      </c>
      <c r="O17" s="21">
        <f>IF($C17="","",INDEX(인턴근무계획!$Q$3:$Q$202,$A17)&amp;"")</f>
        <v/>
      </c>
      <c r="P17" s="21">
        <f>IF($C17="","",INDEX(인턴근무계획!$R$3:$R$202,$A17)&amp;"")</f>
        <v/>
      </c>
      <c r="Q17" s="21">
        <f>IF($C17="","",INDEX(인턴근무계획!$T$3:$T$202,$A17))</f>
        <v/>
      </c>
      <c r="S17" s="21">
        <f>IF(코드표!A13="","",코드표!A13)</f>
        <v/>
      </c>
      <c r="T17" s="21">
        <f>IF($S17="","",COUNTIF(K$6:K$205,$S17&amp;" *"))</f>
        <v/>
      </c>
      <c r="U17" s="21">
        <f>IF($S17="","",COUNTIF(L$6:L$205,$S17&amp;" *"))</f>
        <v/>
      </c>
      <c r="V17" s="21">
        <f>IF($S17="","",COUNTIF(M$6:M$205,$S17&amp;" *"))</f>
        <v/>
      </c>
      <c r="W17" s="21">
        <f>IF($S17="","",COUNTIF(N$6:N$205,$S17&amp;" *"))</f>
        <v/>
      </c>
      <c r="X17" s="21">
        <f>IF($S17="","",COUNTIF(O$6:O$205,$S17&amp;" *"))</f>
        <v/>
      </c>
      <c r="Y17" s="21">
        <f>IF($S17="","",COUNTIF(P$6:P$205,$S17&amp;" *"))</f>
        <v/>
      </c>
    </row>
    <row r="18">
      <c r="A18" s="24" t="n">
        <v>13</v>
      </c>
      <c r="B18" s="21">
        <f>IF($C18="","",INDEX(인턴근무계획!$B$3:$B$202,$A18))</f>
        <v/>
      </c>
      <c r="C18" s="21">
        <f>IFERROR(TRIM(INDEX(인턴근무계획!$C$3:$C$202,$A18)&amp;""),"")</f>
        <v/>
      </c>
      <c r="D18" s="21">
        <f>IF($C18="","",INDEX(인턴근무계획!$D$3:$D$202,$A18))</f>
        <v/>
      </c>
      <c r="E18" s="21">
        <f>IF($C18="","",IF(IFERROR(MATCH($D18,기본자료!$B$2:$B$501,0),IFERROR(MATCH($D18&amp;"",기본자료!$B$2:$B$501,0),IFERROR(MATCH(VALUE($D18),기본자료!$B$2:$B$501,0),0)))&gt;0,"확인","미등록"))</f>
        <v/>
      </c>
      <c r="F18" s="25">
        <f>IF($C18="","",INDEX(인턴근무계획!$S$3:$S$202,$A18))</f>
        <v/>
      </c>
      <c r="G18" s="21">
        <f>IF(OR($C18="",$G$3=""),"",IF(INDEX(인턴근무계획!$M$3:$R$202,$A18,$G$3)&amp;""="","",IF(LEFT(INDEX(인턴근무계획!$M$3:$R$202,$A18,$G$3)&amp;"",1)="⚠",INDEX(인턴근무계획!$M$3:$R$202,$A18,$G$3)&amp;"",LEFT(INDEX(인턴근무계획!$M$3:$R$202,$A18,$G$3)&amp;"",FIND(" ",INDEX(인턴근무계획!$M$3:$R$202,$A18,$G$3)&amp;"")-1))))</f>
        <v/>
      </c>
      <c r="H18" s="21">
        <f>IF(OR($C18="",$G$3=""),"",IF(INDEX(인턴근무계획!$M$3:$R$202,$A18,$G$3)&amp;""="","",IF(LEFT(INDEX(인턴근무계획!$M$3:$R$202,$A18,$G$3)&amp;"",1)="⚠","",MID(INDEX(인턴근무계획!$M$3:$R$202,$A18,$G$3)&amp;"",FIND(" ",INDEX(인턴근무계획!$M$3:$R$202,$A18,$G$3)&amp;"")+1,60))))</f>
        <v/>
      </c>
      <c r="I18" s="21">
        <f>IF(OR($C18="",$I$3=""),"",IF(INDEX(인턴근무계획!$M$3:$R$202,$A18,$I$3)&amp;""="","",IF(LEFT(INDEX(인턴근무계획!$M$3:$R$202,$A18,$I$3)&amp;"",1)="⚠",INDEX(인턴근무계획!$M$3:$R$202,$A18,$I$3)&amp;"",LEFT(INDEX(인턴근무계획!$M$3:$R$202,$A18,$I$3)&amp;"",FIND(" ",INDEX(인턴근무계획!$M$3:$R$202,$A18,$I$3)&amp;"")-1))))</f>
        <v/>
      </c>
      <c r="J18" s="21">
        <f>IF(OR($C18="",$I$3=""),"",IF(INDEX(인턴근무계획!$M$3:$R$202,$A18,$I$3)&amp;""="","",IF(LEFT(INDEX(인턴근무계획!$M$3:$R$202,$A18,$I$3)&amp;"",1)="⚠","",MID(INDEX(인턴근무계획!$M$3:$R$202,$A18,$I$3)&amp;"",FIND(" ",INDEX(인턴근무계획!$M$3:$R$202,$A18,$I$3)&amp;"")+1,60))))</f>
        <v/>
      </c>
      <c r="K18" s="21">
        <f>IF($C18="","",INDEX(인턴근무계획!$M$3:$M$202,$A18)&amp;"")</f>
        <v/>
      </c>
      <c r="L18" s="21">
        <f>IF($C18="","",INDEX(인턴근무계획!$N$3:$N$202,$A18)&amp;"")</f>
        <v/>
      </c>
      <c r="M18" s="21">
        <f>IF($C18="","",INDEX(인턴근무계획!$O$3:$O$202,$A18)&amp;"")</f>
        <v/>
      </c>
      <c r="N18" s="21">
        <f>IF($C18="","",INDEX(인턴근무계획!$P$3:$P$202,$A18)&amp;"")</f>
        <v/>
      </c>
      <c r="O18" s="21">
        <f>IF($C18="","",INDEX(인턴근무계획!$Q$3:$Q$202,$A18)&amp;"")</f>
        <v/>
      </c>
      <c r="P18" s="21">
        <f>IF($C18="","",INDEX(인턴근무계획!$R$3:$R$202,$A18)&amp;"")</f>
        <v/>
      </c>
      <c r="Q18" s="21">
        <f>IF($C18="","",INDEX(인턴근무계획!$T$3:$T$202,$A18))</f>
        <v/>
      </c>
      <c r="S18" s="21">
        <f>IF(코드표!A14="","",코드표!A14)</f>
        <v/>
      </c>
      <c r="T18" s="21">
        <f>IF($S18="","",COUNTIF(K$6:K$205,$S18&amp;" *"))</f>
        <v/>
      </c>
      <c r="U18" s="21">
        <f>IF($S18="","",COUNTIF(L$6:L$205,$S18&amp;" *"))</f>
        <v/>
      </c>
      <c r="V18" s="21">
        <f>IF($S18="","",COUNTIF(M$6:M$205,$S18&amp;" *"))</f>
        <v/>
      </c>
      <c r="W18" s="21">
        <f>IF($S18="","",COUNTIF(N$6:N$205,$S18&amp;" *"))</f>
        <v/>
      </c>
      <c r="X18" s="21">
        <f>IF($S18="","",COUNTIF(O$6:O$205,$S18&amp;" *"))</f>
        <v/>
      </c>
      <c r="Y18" s="21">
        <f>IF($S18="","",COUNTIF(P$6:P$205,$S18&amp;" *"))</f>
        <v/>
      </c>
    </row>
    <row r="19">
      <c r="A19" s="24" t="n">
        <v>14</v>
      </c>
      <c r="B19" s="21">
        <f>IF($C19="","",INDEX(인턴근무계획!$B$3:$B$202,$A19))</f>
        <v/>
      </c>
      <c r="C19" s="21">
        <f>IFERROR(TRIM(INDEX(인턴근무계획!$C$3:$C$202,$A19)&amp;""),"")</f>
        <v/>
      </c>
      <c r="D19" s="21">
        <f>IF($C19="","",INDEX(인턴근무계획!$D$3:$D$202,$A19))</f>
        <v/>
      </c>
      <c r="E19" s="21">
        <f>IF($C19="","",IF(IFERROR(MATCH($D19,기본자료!$B$2:$B$501,0),IFERROR(MATCH($D19&amp;"",기본자료!$B$2:$B$501,0),IFERROR(MATCH(VALUE($D19),기본자료!$B$2:$B$501,0),0)))&gt;0,"확인","미등록"))</f>
        <v/>
      </c>
      <c r="F19" s="25">
        <f>IF($C19="","",INDEX(인턴근무계획!$S$3:$S$202,$A19))</f>
        <v/>
      </c>
      <c r="G19" s="21">
        <f>IF(OR($C19="",$G$3=""),"",IF(INDEX(인턴근무계획!$M$3:$R$202,$A19,$G$3)&amp;""="","",IF(LEFT(INDEX(인턴근무계획!$M$3:$R$202,$A19,$G$3)&amp;"",1)="⚠",INDEX(인턴근무계획!$M$3:$R$202,$A19,$G$3)&amp;"",LEFT(INDEX(인턴근무계획!$M$3:$R$202,$A19,$G$3)&amp;"",FIND(" ",INDEX(인턴근무계획!$M$3:$R$202,$A19,$G$3)&amp;"")-1))))</f>
        <v/>
      </c>
      <c r="H19" s="21">
        <f>IF(OR($C19="",$G$3=""),"",IF(INDEX(인턴근무계획!$M$3:$R$202,$A19,$G$3)&amp;""="","",IF(LEFT(INDEX(인턴근무계획!$M$3:$R$202,$A19,$G$3)&amp;"",1)="⚠","",MID(INDEX(인턴근무계획!$M$3:$R$202,$A19,$G$3)&amp;"",FIND(" ",INDEX(인턴근무계획!$M$3:$R$202,$A19,$G$3)&amp;"")+1,60))))</f>
        <v/>
      </c>
      <c r="I19" s="21">
        <f>IF(OR($C19="",$I$3=""),"",IF(INDEX(인턴근무계획!$M$3:$R$202,$A19,$I$3)&amp;""="","",IF(LEFT(INDEX(인턴근무계획!$M$3:$R$202,$A19,$I$3)&amp;"",1)="⚠",INDEX(인턴근무계획!$M$3:$R$202,$A19,$I$3)&amp;"",LEFT(INDEX(인턴근무계획!$M$3:$R$202,$A19,$I$3)&amp;"",FIND(" ",INDEX(인턴근무계획!$M$3:$R$202,$A19,$I$3)&amp;"")-1))))</f>
        <v/>
      </c>
      <c r="J19" s="21">
        <f>IF(OR($C19="",$I$3=""),"",IF(INDEX(인턴근무계획!$M$3:$R$202,$A19,$I$3)&amp;""="","",IF(LEFT(INDEX(인턴근무계획!$M$3:$R$202,$A19,$I$3)&amp;"",1)="⚠","",MID(INDEX(인턴근무계획!$M$3:$R$202,$A19,$I$3)&amp;"",FIND(" ",INDEX(인턴근무계획!$M$3:$R$202,$A19,$I$3)&amp;"")+1,60))))</f>
        <v/>
      </c>
      <c r="K19" s="21">
        <f>IF($C19="","",INDEX(인턴근무계획!$M$3:$M$202,$A19)&amp;"")</f>
        <v/>
      </c>
      <c r="L19" s="21">
        <f>IF($C19="","",INDEX(인턴근무계획!$N$3:$N$202,$A19)&amp;"")</f>
        <v/>
      </c>
      <c r="M19" s="21">
        <f>IF($C19="","",INDEX(인턴근무계획!$O$3:$O$202,$A19)&amp;"")</f>
        <v/>
      </c>
      <c r="N19" s="21">
        <f>IF($C19="","",INDEX(인턴근무계획!$P$3:$P$202,$A19)&amp;"")</f>
        <v/>
      </c>
      <c r="O19" s="21">
        <f>IF($C19="","",INDEX(인턴근무계획!$Q$3:$Q$202,$A19)&amp;"")</f>
        <v/>
      </c>
      <c r="P19" s="21">
        <f>IF($C19="","",INDEX(인턴근무계획!$R$3:$R$202,$A19)&amp;"")</f>
        <v/>
      </c>
      <c r="Q19" s="21">
        <f>IF($C19="","",INDEX(인턴근무계획!$T$3:$T$202,$A19))</f>
        <v/>
      </c>
      <c r="S19" s="21">
        <f>IF(코드표!A15="","",코드표!A15)</f>
        <v/>
      </c>
      <c r="T19" s="21">
        <f>IF($S19="","",COUNTIF(K$6:K$205,$S19&amp;" *"))</f>
        <v/>
      </c>
      <c r="U19" s="21">
        <f>IF($S19="","",COUNTIF(L$6:L$205,$S19&amp;" *"))</f>
        <v/>
      </c>
      <c r="V19" s="21">
        <f>IF($S19="","",COUNTIF(M$6:M$205,$S19&amp;" *"))</f>
        <v/>
      </c>
      <c r="W19" s="21">
        <f>IF($S19="","",COUNTIF(N$6:N$205,$S19&amp;" *"))</f>
        <v/>
      </c>
      <c r="X19" s="21">
        <f>IF($S19="","",COUNTIF(O$6:O$205,$S19&amp;" *"))</f>
        <v/>
      </c>
      <c r="Y19" s="21">
        <f>IF($S19="","",COUNTIF(P$6:P$205,$S19&amp;" *"))</f>
        <v/>
      </c>
    </row>
    <row r="20">
      <c r="A20" s="24" t="n">
        <v>15</v>
      </c>
      <c r="B20" s="21">
        <f>IF($C20="","",INDEX(인턴근무계획!$B$3:$B$202,$A20))</f>
        <v/>
      </c>
      <c r="C20" s="21">
        <f>IFERROR(TRIM(INDEX(인턴근무계획!$C$3:$C$202,$A20)&amp;""),"")</f>
        <v/>
      </c>
      <c r="D20" s="21">
        <f>IF($C20="","",INDEX(인턴근무계획!$D$3:$D$202,$A20))</f>
        <v/>
      </c>
      <c r="E20" s="21">
        <f>IF($C20="","",IF(IFERROR(MATCH($D20,기본자료!$B$2:$B$501,0),IFERROR(MATCH($D20&amp;"",기본자료!$B$2:$B$501,0),IFERROR(MATCH(VALUE($D20),기본자료!$B$2:$B$501,0),0)))&gt;0,"확인","미등록"))</f>
        <v/>
      </c>
      <c r="F20" s="25">
        <f>IF($C20="","",INDEX(인턴근무계획!$S$3:$S$202,$A20))</f>
        <v/>
      </c>
      <c r="G20" s="21">
        <f>IF(OR($C20="",$G$3=""),"",IF(INDEX(인턴근무계획!$M$3:$R$202,$A20,$G$3)&amp;""="","",IF(LEFT(INDEX(인턴근무계획!$M$3:$R$202,$A20,$G$3)&amp;"",1)="⚠",INDEX(인턴근무계획!$M$3:$R$202,$A20,$G$3)&amp;"",LEFT(INDEX(인턴근무계획!$M$3:$R$202,$A20,$G$3)&amp;"",FIND(" ",INDEX(인턴근무계획!$M$3:$R$202,$A20,$G$3)&amp;"")-1))))</f>
        <v/>
      </c>
      <c r="H20" s="21">
        <f>IF(OR($C20="",$G$3=""),"",IF(INDEX(인턴근무계획!$M$3:$R$202,$A20,$G$3)&amp;""="","",IF(LEFT(INDEX(인턴근무계획!$M$3:$R$202,$A20,$G$3)&amp;"",1)="⚠","",MID(INDEX(인턴근무계획!$M$3:$R$202,$A20,$G$3)&amp;"",FIND(" ",INDEX(인턴근무계획!$M$3:$R$202,$A20,$G$3)&amp;"")+1,60))))</f>
        <v/>
      </c>
      <c r="I20" s="21">
        <f>IF(OR($C20="",$I$3=""),"",IF(INDEX(인턴근무계획!$M$3:$R$202,$A20,$I$3)&amp;""="","",IF(LEFT(INDEX(인턴근무계획!$M$3:$R$202,$A20,$I$3)&amp;"",1)="⚠",INDEX(인턴근무계획!$M$3:$R$202,$A20,$I$3)&amp;"",LEFT(INDEX(인턴근무계획!$M$3:$R$202,$A20,$I$3)&amp;"",FIND(" ",INDEX(인턴근무계획!$M$3:$R$202,$A20,$I$3)&amp;"")-1))))</f>
        <v/>
      </c>
      <c r="J20" s="21">
        <f>IF(OR($C20="",$I$3=""),"",IF(INDEX(인턴근무계획!$M$3:$R$202,$A20,$I$3)&amp;""="","",IF(LEFT(INDEX(인턴근무계획!$M$3:$R$202,$A20,$I$3)&amp;"",1)="⚠","",MID(INDEX(인턴근무계획!$M$3:$R$202,$A20,$I$3)&amp;"",FIND(" ",INDEX(인턴근무계획!$M$3:$R$202,$A20,$I$3)&amp;"")+1,60))))</f>
        <v/>
      </c>
      <c r="K20" s="21">
        <f>IF($C20="","",INDEX(인턴근무계획!$M$3:$M$202,$A20)&amp;"")</f>
        <v/>
      </c>
      <c r="L20" s="21">
        <f>IF($C20="","",INDEX(인턴근무계획!$N$3:$N$202,$A20)&amp;"")</f>
        <v/>
      </c>
      <c r="M20" s="21">
        <f>IF($C20="","",INDEX(인턴근무계획!$O$3:$O$202,$A20)&amp;"")</f>
        <v/>
      </c>
      <c r="N20" s="21">
        <f>IF($C20="","",INDEX(인턴근무계획!$P$3:$P$202,$A20)&amp;"")</f>
        <v/>
      </c>
      <c r="O20" s="21">
        <f>IF($C20="","",INDEX(인턴근무계획!$Q$3:$Q$202,$A20)&amp;"")</f>
        <v/>
      </c>
      <c r="P20" s="21">
        <f>IF($C20="","",INDEX(인턴근무계획!$R$3:$R$202,$A20)&amp;"")</f>
        <v/>
      </c>
      <c r="Q20" s="21">
        <f>IF($C20="","",INDEX(인턴근무계획!$T$3:$T$202,$A20))</f>
        <v/>
      </c>
      <c r="S20" s="21">
        <f>IF(코드표!A16="","",코드표!A16)</f>
        <v/>
      </c>
      <c r="T20" s="21">
        <f>IF($S20="","",COUNTIF(K$6:K$205,$S20&amp;" *"))</f>
        <v/>
      </c>
      <c r="U20" s="21">
        <f>IF($S20="","",COUNTIF(L$6:L$205,$S20&amp;" *"))</f>
        <v/>
      </c>
      <c r="V20" s="21">
        <f>IF($S20="","",COUNTIF(M$6:M$205,$S20&amp;" *"))</f>
        <v/>
      </c>
      <c r="W20" s="21">
        <f>IF($S20="","",COUNTIF(N$6:N$205,$S20&amp;" *"))</f>
        <v/>
      </c>
      <c r="X20" s="21">
        <f>IF($S20="","",COUNTIF(O$6:O$205,$S20&amp;" *"))</f>
        <v/>
      </c>
      <c r="Y20" s="21">
        <f>IF($S20="","",COUNTIF(P$6:P$205,$S20&amp;" *"))</f>
        <v/>
      </c>
    </row>
    <row r="21">
      <c r="A21" s="24" t="n">
        <v>16</v>
      </c>
      <c r="B21" s="21">
        <f>IF($C21="","",INDEX(인턴근무계획!$B$3:$B$202,$A21))</f>
        <v/>
      </c>
      <c r="C21" s="21">
        <f>IFERROR(TRIM(INDEX(인턴근무계획!$C$3:$C$202,$A21)&amp;""),"")</f>
        <v/>
      </c>
      <c r="D21" s="21">
        <f>IF($C21="","",INDEX(인턴근무계획!$D$3:$D$202,$A21))</f>
        <v/>
      </c>
      <c r="E21" s="21">
        <f>IF($C21="","",IF(IFERROR(MATCH($D21,기본자료!$B$2:$B$501,0),IFERROR(MATCH($D21&amp;"",기본자료!$B$2:$B$501,0),IFERROR(MATCH(VALUE($D21),기본자료!$B$2:$B$501,0),0)))&gt;0,"확인","미등록"))</f>
        <v/>
      </c>
      <c r="F21" s="25">
        <f>IF($C21="","",INDEX(인턴근무계획!$S$3:$S$202,$A21))</f>
        <v/>
      </c>
      <c r="G21" s="21">
        <f>IF(OR($C21="",$G$3=""),"",IF(INDEX(인턴근무계획!$M$3:$R$202,$A21,$G$3)&amp;""="","",IF(LEFT(INDEX(인턴근무계획!$M$3:$R$202,$A21,$G$3)&amp;"",1)="⚠",INDEX(인턴근무계획!$M$3:$R$202,$A21,$G$3)&amp;"",LEFT(INDEX(인턴근무계획!$M$3:$R$202,$A21,$G$3)&amp;"",FIND(" ",INDEX(인턴근무계획!$M$3:$R$202,$A21,$G$3)&amp;"")-1))))</f>
        <v/>
      </c>
      <c r="H21" s="21">
        <f>IF(OR($C21="",$G$3=""),"",IF(INDEX(인턴근무계획!$M$3:$R$202,$A21,$G$3)&amp;""="","",IF(LEFT(INDEX(인턴근무계획!$M$3:$R$202,$A21,$G$3)&amp;"",1)="⚠","",MID(INDEX(인턴근무계획!$M$3:$R$202,$A21,$G$3)&amp;"",FIND(" ",INDEX(인턴근무계획!$M$3:$R$202,$A21,$G$3)&amp;"")+1,60))))</f>
        <v/>
      </c>
      <c r="I21" s="21">
        <f>IF(OR($C21="",$I$3=""),"",IF(INDEX(인턴근무계획!$M$3:$R$202,$A21,$I$3)&amp;""="","",IF(LEFT(INDEX(인턴근무계획!$M$3:$R$202,$A21,$I$3)&amp;"",1)="⚠",INDEX(인턴근무계획!$M$3:$R$202,$A21,$I$3)&amp;"",LEFT(INDEX(인턴근무계획!$M$3:$R$202,$A21,$I$3)&amp;"",FIND(" ",INDEX(인턴근무계획!$M$3:$R$202,$A21,$I$3)&amp;"")-1))))</f>
        <v/>
      </c>
      <c r="J21" s="21">
        <f>IF(OR($C21="",$I$3=""),"",IF(INDEX(인턴근무계획!$M$3:$R$202,$A21,$I$3)&amp;""="","",IF(LEFT(INDEX(인턴근무계획!$M$3:$R$202,$A21,$I$3)&amp;"",1)="⚠","",MID(INDEX(인턴근무계획!$M$3:$R$202,$A21,$I$3)&amp;"",FIND(" ",INDEX(인턴근무계획!$M$3:$R$202,$A21,$I$3)&amp;"")+1,60))))</f>
        <v/>
      </c>
      <c r="K21" s="21">
        <f>IF($C21="","",INDEX(인턴근무계획!$M$3:$M$202,$A21)&amp;"")</f>
        <v/>
      </c>
      <c r="L21" s="21">
        <f>IF($C21="","",INDEX(인턴근무계획!$N$3:$N$202,$A21)&amp;"")</f>
        <v/>
      </c>
      <c r="M21" s="21">
        <f>IF($C21="","",INDEX(인턴근무계획!$O$3:$O$202,$A21)&amp;"")</f>
        <v/>
      </c>
      <c r="N21" s="21">
        <f>IF($C21="","",INDEX(인턴근무계획!$P$3:$P$202,$A21)&amp;"")</f>
        <v/>
      </c>
      <c r="O21" s="21">
        <f>IF($C21="","",INDEX(인턴근무계획!$Q$3:$Q$202,$A21)&amp;"")</f>
        <v/>
      </c>
      <c r="P21" s="21">
        <f>IF($C21="","",INDEX(인턴근무계획!$R$3:$R$202,$A21)&amp;"")</f>
        <v/>
      </c>
      <c r="Q21" s="21">
        <f>IF($C21="","",INDEX(인턴근무계획!$T$3:$T$202,$A21))</f>
        <v/>
      </c>
      <c r="S21" s="21">
        <f>IF(코드표!A17="","",코드표!A17)</f>
        <v/>
      </c>
      <c r="T21" s="21">
        <f>IF($S21="","",COUNTIF(K$6:K$205,$S21&amp;" *"))</f>
        <v/>
      </c>
      <c r="U21" s="21">
        <f>IF($S21="","",COUNTIF(L$6:L$205,$S21&amp;" *"))</f>
        <v/>
      </c>
      <c r="V21" s="21">
        <f>IF($S21="","",COUNTIF(M$6:M$205,$S21&amp;" *"))</f>
        <v/>
      </c>
      <c r="W21" s="21">
        <f>IF($S21="","",COUNTIF(N$6:N$205,$S21&amp;" *"))</f>
        <v/>
      </c>
      <c r="X21" s="21">
        <f>IF($S21="","",COUNTIF(O$6:O$205,$S21&amp;" *"))</f>
        <v/>
      </c>
      <c r="Y21" s="21">
        <f>IF($S21="","",COUNTIF(P$6:P$205,$S21&amp;" *"))</f>
        <v/>
      </c>
    </row>
    <row r="22">
      <c r="A22" s="24" t="n">
        <v>17</v>
      </c>
      <c r="B22" s="21">
        <f>IF($C22="","",INDEX(인턴근무계획!$B$3:$B$202,$A22))</f>
        <v/>
      </c>
      <c r="C22" s="21">
        <f>IFERROR(TRIM(INDEX(인턴근무계획!$C$3:$C$202,$A22)&amp;""),"")</f>
        <v/>
      </c>
      <c r="D22" s="21">
        <f>IF($C22="","",INDEX(인턴근무계획!$D$3:$D$202,$A22))</f>
        <v/>
      </c>
      <c r="E22" s="21">
        <f>IF($C22="","",IF(IFERROR(MATCH($D22,기본자료!$B$2:$B$501,0),IFERROR(MATCH($D22&amp;"",기본자료!$B$2:$B$501,0),IFERROR(MATCH(VALUE($D22),기본자료!$B$2:$B$501,0),0)))&gt;0,"확인","미등록"))</f>
        <v/>
      </c>
      <c r="F22" s="25">
        <f>IF($C22="","",INDEX(인턴근무계획!$S$3:$S$202,$A22))</f>
        <v/>
      </c>
      <c r="G22" s="21">
        <f>IF(OR($C22="",$G$3=""),"",IF(INDEX(인턴근무계획!$M$3:$R$202,$A22,$G$3)&amp;""="","",IF(LEFT(INDEX(인턴근무계획!$M$3:$R$202,$A22,$G$3)&amp;"",1)="⚠",INDEX(인턴근무계획!$M$3:$R$202,$A22,$G$3)&amp;"",LEFT(INDEX(인턴근무계획!$M$3:$R$202,$A22,$G$3)&amp;"",FIND(" ",INDEX(인턴근무계획!$M$3:$R$202,$A22,$G$3)&amp;"")-1))))</f>
        <v/>
      </c>
      <c r="H22" s="21">
        <f>IF(OR($C22="",$G$3=""),"",IF(INDEX(인턴근무계획!$M$3:$R$202,$A22,$G$3)&amp;""="","",IF(LEFT(INDEX(인턴근무계획!$M$3:$R$202,$A22,$G$3)&amp;"",1)="⚠","",MID(INDEX(인턴근무계획!$M$3:$R$202,$A22,$G$3)&amp;"",FIND(" ",INDEX(인턴근무계획!$M$3:$R$202,$A22,$G$3)&amp;"")+1,60))))</f>
        <v/>
      </c>
      <c r="I22" s="21">
        <f>IF(OR($C22="",$I$3=""),"",IF(INDEX(인턴근무계획!$M$3:$R$202,$A22,$I$3)&amp;""="","",IF(LEFT(INDEX(인턴근무계획!$M$3:$R$202,$A22,$I$3)&amp;"",1)="⚠",INDEX(인턴근무계획!$M$3:$R$202,$A22,$I$3)&amp;"",LEFT(INDEX(인턴근무계획!$M$3:$R$202,$A22,$I$3)&amp;"",FIND(" ",INDEX(인턴근무계획!$M$3:$R$202,$A22,$I$3)&amp;"")-1))))</f>
        <v/>
      </c>
      <c r="J22" s="21">
        <f>IF(OR($C22="",$I$3=""),"",IF(INDEX(인턴근무계획!$M$3:$R$202,$A22,$I$3)&amp;""="","",IF(LEFT(INDEX(인턴근무계획!$M$3:$R$202,$A22,$I$3)&amp;"",1)="⚠","",MID(INDEX(인턴근무계획!$M$3:$R$202,$A22,$I$3)&amp;"",FIND(" ",INDEX(인턴근무계획!$M$3:$R$202,$A22,$I$3)&amp;"")+1,60))))</f>
        <v/>
      </c>
      <c r="K22" s="21">
        <f>IF($C22="","",INDEX(인턴근무계획!$M$3:$M$202,$A22)&amp;"")</f>
        <v/>
      </c>
      <c r="L22" s="21">
        <f>IF($C22="","",INDEX(인턴근무계획!$N$3:$N$202,$A22)&amp;"")</f>
        <v/>
      </c>
      <c r="M22" s="21">
        <f>IF($C22="","",INDEX(인턴근무계획!$O$3:$O$202,$A22)&amp;"")</f>
        <v/>
      </c>
      <c r="N22" s="21">
        <f>IF($C22="","",INDEX(인턴근무계획!$P$3:$P$202,$A22)&amp;"")</f>
        <v/>
      </c>
      <c r="O22" s="21">
        <f>IF($C22="","",INDEX(인턴근무계획!$Q$3:$Q$202,$A22)&amp;"")</f>
        <v/>
      </c>
      <c r="P22" s="21">
        <f>IF($C22="","",INDEX(인턴근무계획!$R$3:$R$202,$A22)&amp;"")</f>
        <v/>
      </c>
      <c r="Q22" s="21">
        <f>IF($C22="","",INDEX(인턴근무계획!$T$3:$T$202,$A22))</f>
        <v/>
      </c>
      <c r="S22" s="21">
        <f>IF(코드표!A18="","",코드표!A18)</f>
        <v/>
      </c>
      <c r="T22" s="21">
        <f>IF($S22="","",COUNTIF(K$6:K$205,$S22&amp;" *"))</f>
        <v/>
      </c>
      <c r="U22" s="21">
        <f>IF($S22="","",COUNTIF(L$6:L$205,$S22&amp;" *"))</f>
        <v/>
      </c>
      <c r="V22" s="21">
        <f>IF($S22="","",COUNTIF(M$6:M$205,$S22&amp;" *"))</f>
        <v/>
      </c>
      <c r="W22" s="21">
        <f>IF($S22="","",COUNTIF(N$6:N$205,$S22&amp;" *"))</f>
        <v/>
      </c>
      <c r="X22" s="21">
        <f>IF($S22="","",COUNTIF(O$6:O$205,$S22&amp;" *"))</f>
        <v/>
      </c>
      <c r="Y22" s="21">
        <f>IF($S22="","",COUNTIF(P$6:P$205,$S22&amp;" *"))</f>
        <v/>
      </c>
    </row>
    <row r="23">
      <c r="A23" s="24" t="n">
        <v>18</v>
      </c>
      <c r="B23" s="21">
        <f>IF($C23="","",INDEX(인턴근무계획!$B$3:$B$202,$A23))</f>
        <v/>
      </c>
      <c r="C23" s="21">
        <f>IFERROR(TRIM(INDEX(인턴근무계획!$C$3:$C$202,$A23)&amp;""),"")</f>
        <v/>
      </c>
      <c r="D23" s="21">
        <f>IF($C23="","",INDEX(인턴근무계획!$D$3:$D$202,$A23))</f>
        <v/>
      </c>
      <c r="E23" s="21">
        <f>IF($C23="","",IF(IFERROR(MATCH($D23,기본자료!$B$2:$B$501,0),IFERROR(MATCH($D23&amp;"",기본자료!$B$2:$B$501,0),IFERROR(MATCH(VALUE($D23),기본자료!$B$2:$B$501,0),0)))&gt;0,"확인","미등록"))</f>
        <v/>
      </c>
      <c r="F23" s="25">
        <f>IF($C23="","",INDEX(인턴근무계획!$S$3:$S$202,$A23))</f>
        <v/>
      </c>
      <c r="G23" s="21">
        <f>IF(OR($C23="",$G$3=""),"",IF(INDEX(인턴근무계획!$M$3:$R$202,$A23,$G$3)&amp;""="","",IF(LEFT(INDEX(인턴근무계획!$M$3:$R$202,$A23,$G$3)&amp;"",1)="⚠",INDEX(인턴근무계획!$M$3:$R$202,$A23,$G$3)&amp;"",LEFT(INDEX(인턴근무계획!$M$3:$R$202,$A23,$G$3)&amp;"",FIND(" ",INDEX(인턴근무계획!$M$3:$R$202,$A23,$G$3)&amp;"")-1))))</f>
        <v/>
      </c>
      <c r="H23" s="21">
        <f>IF(OR($C23="",$G$3=""),"",IF(INDEX(인턴근무계획!$M$3:$R$202,$A23,$G$3)&amp;""="","",IF(LEFT(INDEX(인턴근무계획!$M$3:$R$202,$A23,$G$3)&amp;"",1)="⚠","",MID(INDEX(인턴근무계획!$M$3:$R$202,$A23,$G$3)&amp;"",FIND(" ",INDEX(인턴근무계획!$M$3:$R$202,$A23,$G$3)&amp;"")+1,60))))</f>
        <v/>
      </c>
      <c r="I23" s="21">
        <f>IF(OR($C23="",$I$3=""),"",IF(INDEX(인턴근무계획!$M$3:$R$202,$A23,$I$3)&amp;""="","",IF(LEFT(INDEX(인턴근무계획!$M$3:$R$202,$A23,$I$3)&amp;"",1)="⚠",INDEX(인턴근무계획!$M$3:$R$202,$A23,$I$3)&amp;"",LEFT(INDEX(인턴근무계획!$M$3:$R$202,$A23,$I$3)&amp;"",FIND(" ",INDEX(인턴근무계획!$M$3:$R$202,$A23,$I$3)&amp;"")-1))))</f>
        <v/>
      </c>
      <c r="J23" s="21">
        <f>IF(OR($C23="",$I$3=""),"",IF(INDEX(인턴근무계획!$M$3:$R$202,$A23,$I$3)&amp;""="","",IF(LEFT(INDEX(인턴근무계획!$M$3:$R$202,$A23,$I$3)&amp;"",1)="⚠","",MID(INDEX(인턴근무계획!$M$3:$R$202,$A23,$I$3)&amp;"",FIND(" ",INDEX(인턴근무계획!$M$3:$R$202,$A23,$I$3)&amp;"")+1,60))))</f>
        <v/>
      </c>
      <c r="K23" s="21">
        <f>IF($C23="","",INDEX(인턴근무계획!$M$3:$M$202,$A23)&amp;"")</f>
        <v/>
      </c>
      <c r="L23" s="21">
        <f>IF($C23="","",INDEX(인턴근무계획!$N$3:$N$202,$A23)&amp;"")</f>
        <v/>
      </c>
      <c r="M23" s="21">
        <f>IF($C23="","",INDEX(인턴근무계획!$O$3:$O$202,$A23)&amp;"")</f>
        <v/>
      </c>
      <c r="N23" s="21">
        <f>IF($C23="","",INDEX(인턴근무계획!$P$3:$P$202,$A23)&amp;"")</f>
        <v/>
      </c>
      <c r="O23" s="21">
        <f>IF($C23="","",INDEX(인턴근무계획!$Q$3:$Q$202,$A23)&amp;"")</f>
        <v/>
      </c>
      <c r="P23" s="21">
        <f>IF($C23="","",INDEX(인턴근무계획!$R$3:$R$202,$A23)&amp;"")</f>
        <v/>
      </c>
      <c r="Q23" s="21">
        <f>IF($C23="","",INDEX(인턴근무계획!$T$3:$T$202,$A23))</f>
        <v/>
      </c>
      <c r="S23" s="21">
        <f>IF(코드표!A19="","",코드표!A19)</f>
        <v/>
      </c>
      <c r="T23" s="21">
        <f>IF($S23="","",COUNTIF(K$6:K$205,$S23&amp;" *"))</f>
        <v/>
      </c>
      <c r="U23" s="21">
        <f>IF($S23="","",COUNTIF(L$6:L$205,$S23&amp;" *"))</f>
        <v/>
      </c>
      <c r="V23" s="21">
        <f>IF($S23="","",COUNTIF(M$6:M$205,$S23&amp;" *"))</f>
        <v/>
      </c>
      <c r="W23" s="21">
        <f>IF($S23="","",COUNTIF(N$6:N$205,$S23&amp;" *"))</f>
        <v/>
      </c>
      <c r="X23" s="21">
        <f>IF($S23="","",COUNTIF(O$6:O$205,$S23&amp;" *"))</f>
        <v/>
      </c>
      <c r="Y23" s="21">
        <f>IF($S23="","",COUNTIF(P$6:P$205,$S23&amp;" *"))</f>
        <v/>
      </c>
    </row>
    <row r="24">
      <c r="A24" s="24" t="n">
        <v>19</v>
      </c>
      <c r="B24" s="21">
        <f>IF($C24="","",INDEX(인턴근무계획!$B$3:$B$202,$A24))</f>
        <v/>
      </c>
      <c r="C24" s="21">
        <f>IFERROR(TRIM(INDEX(인턴근무계획!$C$3:$C$202,$A24)&amp;""),"")</f>
        <v/>
      </c>
      <c r="D24" s="21">
        <f>IF($C24="","",INDEX(인턴근무계획!$D$3:$D$202,$A24))</f>
        <v/>
      </c>
      <c r="E24" s="21">
        <f>IF($C24="","",IF(IFERROR(MATCH($D24,기본자료!$B$2:$B$501,0),IFERROR(MATCH($D24&amp;"",기본자료!$B$2:$B$501,0),IFERROR(MATCH(VALUE($D24),기본자료!$B$2:$B$501,0),0)))&gt;0,"확인","미등록"))</f>
        <v/>
      </c>
      <c r="F24" s="25">
        <f>IF($C24="","",INDEX(인턴근무계획!$S$3:$S$202,$A24))</f>
        <v/>
      </c>
      <c r="G24" s="21">
        <f>IF(OR($C24="",$G$3=""),"",IF(INDEX(인턴근무계획!$M$3:$R$202,$A24,$G$3)&amp;""="","",IF(LEFT(INDEX(인턴근무계획!$M$3:$R$202,$A24,$G$3)&amp;"",1)="⚠",INDEX(인턴근무계획!$M$3:$R$202,$A24,$G$3)&amp;"",LEFT(INDEX(인턴근무계획!$M$3:$R$202,$A24,$G$3)&amp;"",FIND(" ",INDEX(인턴근무계획!$M$3:$R$202,$A24,$G$3)&amp;"")-1))))</f>
        <v/>
      </c>
      <c r="H24" s="21">
        <f>IF(OR($C24="",$G$3=""),"",IF(INDEX(인턴근무계획!$M$3:$R$202,$A24,$G$3)&amp;""="","",IF(LEFT(INDEX(인턴근무계획!$M$3:$R$202,$A24,$G$3)&amp;"",1)="⚠","",MID(INDEX(인턴근무계획!$M$3:$R$202,$A24,$G$3)&amp;"",FIND(" ",INDEX(인턴근무계획!$M$3:$R$202,$A24,$G$3)&amp;"")+1,60))))</f>
        <v/>
      </c>
      <c r="I24" s="21">
        <f>IF(OR($C24="",$I$3=""),"",IF(INDEX(인턴근무계획!$M$3:$R$202,$A24,$I$3)&amp;""="","",IF(LEFT(INDEX(인턴근무계획!$M$3:$R$202,$A24,$I$3)&amp;"",1)="⚠",INDEX(인턴근무계획!$M$3:$R$202,$A24,$I$3)&amp;"",LEFT(INDEX(인턴근무계획!$M$3:$R$202,$A24,$I$3)&amp;"",FIND(" ",INDEX(인턴근무계획!$M$3:$R$202,$A24,$I$3)&amp;"")-1))))</f>
        <v/>
      </c>
      <c r="J24" s="21">
        <f>IF(OR($C24="",$I$3=""),"",IF(INDEX(인턴근무계획!$M$3:$R$202,$A24,$I$3)&amp;""="","",IF(LEFT(INDEX(인턴근무계획!$M$3:$R$202,$A24,$I$3)&amp;"",1)="⚠","",MID(INDEX(인턴근무계획!$M$3:$R$202,$A24,$I$3)&amp;"",FIND(" ",INDEX(인턴근무계획!$M$3:$R$202,$A24,$I$3)&amp;"")+1,60))))</f>
        <v/>
      </c>
      <c r="K24" s="21">
        <f>IF($C24="","",INDEX(인턴근무계획!$M$3:$M$202,$A24)&amp;"")</f>
        <v/>
      </c>
      <c r="L24" s="21">
        <f>IF($C24="","",INDEX(인턴근무계획!$N$3:$N$202,$A24)&amp;"")</f>
        <v/>
      </c>
      <c r="M24" s="21">
        <f>IF($C24="","",INDEX(인턴근무계획!$O$3:$O$202,$A24)&amp;"")</f>
        <v/>
      </c>
      <c r="N24" s="21">
        <f>IF($C24="","",INDEX(인턴근무계획!$P$3:$P$202,$A24)&amp;"")</f>
        <v/>
      </c>
      <c r="O24" s="21">
        <f>IF($C24="","",INDEX(인턴근무계획!$Q$3:$Q$202,$A24)&amp;"")</f>
        <v/>
      </c>
      <c r="P24" s="21">
        <f>IF($C24="","",INDEX(인턴근무계획!$R$3:$R$202,$A24)&amp;"")</f>
        <v/>
      </c>
      <c r="Q24" s="21">
        <f>IF($C24="","",INDEX(인턴근무계획!$T$3:$T$202,$A24))</f>
        <v/>
      </c>
      <c r="S24" s="21">
        <f>IF(코드표!A20="","",코드표!A20)</f>
        <v/>
      </c>
      <c r="T24" s="21">
        <f>IF($S24="","",COUNTIF(K$6:K$205,$S24&amp;" *"))</f>
        <v/>
      </c>
      <c r="U24" s="21">
        <f>IF($S24="","",COUNTIF(L$6:L$205,$S24&amp;" *"))</f>
        <v/>
      </c>
      <c r="V24" s="21">
        <f>IF($S24="","",COUNTIF(M$6:M$205,$S24&amp;" *"))</f>
        <v/>
      </c>
      <c r="W24" s="21">
        <f>IF($S24="","",COUNTIF(N$6:N$205,$S24&amp;" *"))</f>
        <v/>
      </c>
      <c r="X24" s="21">
        <f>IF($S24="","",COUNTIF(O$6:O$205,$S24&amp;" *"))</f>
        <v/>
      </c>
      <c r="Y24" s="21">
        <f>IF($S24="","",COUNTIF(P$6:P$205,$S24&amp;" *"))</f>
        <v/>
      </c>
    </row>
    <row r="25">
      <c r="A25" s="24" t="n">
        <v>20</v>
      </c>
      <c r="B25" s="21">
        <f>IF($C25="","",INDEX(인턴근무계획!$B$3:$B$202,$A25))</f>
        <v/>
      </c>
      <c r="C25" s="21">
        <f>IFERROR(TRIM(INDEX(인턴근무계획!$C$3:$C$202,$A25)&amp;""),"")</f>
        <v/>
      </c>
      <c r="D25" s="21">
        <f>IF($C25="","",INDEX(인턴근무계획!$D$3:$D$202,$A25))</f>
        <v/>
      </c>
      <c r="E25" s="21">
        <f>IF($C25="","",IF(IFERROR(MATCH($D25,기본자료!$B$2:$B$501,0),IFERROR(MATCH($D25&amp;"",기본자료!$B$2:$B$501,0),IFERROR(MATCH(VALUE($D25),기본자료!$B$2:$B$501,0),0)))&gt;0,"확인","미등록"))</f>
        <v/>
      </c>
      <c r="F25" s="25">
        <f>IF($C25="","",INDEX(인턴근무계획!$S$3:$S$202,$A25))</f>
        <v/>
      </c>
      <c r="G25" s="21">
        <f>IF(OR($C25="",$G$3=""),"",IF(INDEX(인턴근무계획!$M$3:$R$202,$A25,$G$3)&amp;""="","",IF(LEFT(INDEX(인턴근무계획!$M$3:$R$202,$A25,$G$3)&amp;"",1)="⚠",INDEX(인턴근무계획!$M$3:$R$202,$A25,$G$3)&amp;"",LEFT(INDEX(인턴근무계획!$M$3:$R$202,$A25,$G$3)&amp;"",FIND(" ",INDEX(인턴근무계획!$M$3:$R$202,$A25,$G$3)&amp;"")-1))))</f>
        <v/>
      </c>
      <c r="H25" s="21">
        <f>IF(OR($C25="",$G$3=""),"",IF(INDEX(인턴근무계획!$M$3:$R$202,$A25,$G$3)&amp;""="","",IF(LEFT(INDEX(인턴근무계획!$M$3:$R$202,$A25,$G$3)&amp;"",1)="⚠","",MID(INDEX(인턴근무계획!$M$3:$R$202,$A25,$G$3)&amp;"",FIND(" ",INDEX(인턴근무계획!$M$3:$R$202,$A25,$G$3)&amp;"")+1,60))))</f>
        <v/>
      </c>
      <c r="I25" s="21">
        <f>IF(OR($C25="",$I$3=""),"",IF(INDEX(인턴근무계획!$M$3:$R$202,$A25,$I$3)&amp;""="","",IF(LEFT(INDEX(인턴근무계획!$M$3:$R$202,$A25,$I$3)&amp;"",1)="⚠",INDEX(인턴근무계획!$M$3:$R$202,$A25,$I$3)&amp;"",LEFT(INDEX(인턴근무계획!$M$3:$R$202,$A25,$I$3)&amp;"",FIND(" ",INDEX(인턴근무계획!$M$3:$R$202,$A25,$I$3)&amp;"")-1))))</f>
        <v/>
      </c>
      <c r="J25" s="21">
        <f>IF(OR($C25="",$I$3=""),"",IF(INDEX(인턴근무계획!$M$3:$R$202,$A25,$I$3)&amp;""="","",IF(LEFT(INDEX(인턴근무계획!$M$3:$R$202,$A25,$I$3)&amp;"",1)="⚠","",MID(INDEX(인턴근무계획!$M$3:$R$202,$A25,$I$3)&amp;"",FIND(" ",INDEX(인턴근무계획!$M$3:$R$202,$A25,$I$3)&amp;"")+1,60))))</f>
        <v/>
      </c>
      <c r="K25" s="21">
        <f>IF($C25="","",INDEX(인턴근무계획!$M$3:$M$202,$A25)&amp;"")</f>
        <v/>
      </c>
      <c r="L25" s="21">
        <f>IF($C25="","",INDEX(인턴근무계획!$N$3:$N$202,$A25)&amp;"")</f>
        <v/>
      </c>
      <c r="M25" s="21">
        <f>IF($C25="","",INDEX(인턴근무계획!$O$3:$O$202,$A25)&amp;"")</f>
        <v/>
      </c>
      <c r="N25" s="21">
        <f>IF($C25="","",INDEX(인턴근무계획!$P$3:$P$202,$A25)&amp;"")</f>
        <v/>
      </c>
      <c r="O25" s="21">
        <f>IF($C25="","",INDEX(인턴근무계획!$Q$3:$Q$202,$A25)&amp;"")</f>
        <v/>
      </c>
      <c r="P25" s="21">
        <f>IF($C25="","",INDEX(인턴근무계획!$R$3:$R$202,$A25)&amp;"")</f>
        <v/>
      </c>
      <c r="Q25" s="21">
        <f>IF($C25="","",INDEX(인턴근무계획!$T$3:$T$202,$A25))</f>
        <v/>
      </c>
      <c r="S25" s="21">
        <f>IF(코드표!A21="","",코드표!A21)</f>
        <v/>
      </c>
      <c r="T25" s="21">
        <f>IF($S25="","",COUNTIF(K$6:K$205,$S25&amp;" *"))</f>
        <v/>
      </c>
      <c r="U25" s="21">
        <f>IF($S25="","",COUNTIF(L$6:L$205,$S25&amp;" *"))</f>
        <v/>
      </c>
      <c r="V25" s="21">
        <f>IF($S25="","",COUNTIF(M$6:M$205,$S25&amp;" *"))</f>
        <v/>
      </c>
      <c r="W25" s="21">
        <f>IF($S25="","",COUNTIF(N$6:N$205,$S25&amp;" *"))</f>
        <v/>
      </c>
      <c r="X25" s="21">
        <f>IF($S25="","",COUNTIF(O$6:O$205,$S25&amp;" *"))</f>
        <v/>
      </c>
      <c r="Y25" s="21">
        <f>IF($S25="","",COUNTIF(P$6:P$205,$S25&amp;" *"))</f>
        <v/>
      </c>
    </row>
    <row r="26">
      <c r="A26" s="24" t="n">
        <v>21</v>
      </c>
      <c r="B26" s="21">
        <f>IF($C26="","",INDEX(인턴근무계획!$B$3:$B$202,$A26))</f>
        <v/>
      </c>
      <c r="C26" s="21">
        <f>IFERROR(TRIM(INDEX(인턴근무계획!$C$3:$C$202,$A26)&amp;""),"")</f>
        <v/>
      </c>
      <c r="D26" s="21">
        <f>IF($C26="","",INDEX(인턴근무계획!$D$3:$D$202,$A26))</f>
        <v/>
      </c>
      <c r="E26" s="21">
        <f>IF($C26="","",IF(IFERROR(MATCH($D26,기본자료!$B$2:$B$501,0),IFERROR(MATCH($D26&amp;"",기본자료!$B$2:$B$501,0),IFERROR(MATCH(VALUE($D26),기본자료!$B$2:$B$501,0),0)))&gt;0,"확인","미등록"))</f>
        <v/>
      </c>
      <c r="F26" s="25">
        <f>IF($C26="","",INDEX(인턴근무계획!$S$3:$S$202,$A26))</f>
        <v/>
      </c>
      <c r="G26" s="21">
        <f>IF(OR($C26="",$G$3=""),"",IF(INDEX(인턴근무계획!$M$3:$R$202,$A26,$G$3)&amp;""="","",IF(LEFT(INDEX(인턴근무계획!$M$3:$R$202,$A26,$G$3)&amp;"",1)="⚠",INDEX(인턴근무계획!$M$3:$R$202,$A26,$G$3)&amp;"",LEFT(INDEX(인턴근무계획!$M$3:$R$202,$A26,$G$3)&amp;"",FIND(" ",INDEX(인턴근무계획!$M$3:$R$202,$A26,$G$3)&amp;"")-1))))</f>
        <v/>
      </c>
      <c r="H26" s="21">
        <f>IF(OR($C26="",$G$3=""),"",IF(INDEX(인턴근무계획!$M$3:$R$202,$A26,$G$3)&amp;""="","",IF(LEFT(INDEX(인턴근무계획!$M$3:$R$202,$A26,$G$3)&amp;"",1)="⚠","",MID(INDEX(인턴근무계획!$M$3:$R$202,$A26,$G$3)&amp;"",FIND(" ",INDEX(인턴근무계획!$M$3:$R$202,$A26,$G$3)&amp;"")+1,60))))</f>
        <v/>
      </c>
      <c r="I26" s="21">
        <f>IF(OR($C26="",$I$3=""),"",IF(INDEX(인턴근무계획!$M$3:$R$202,$A26,$I$3)&amp;""="","",IF(LEFT(INDEX(인턴근무계획!$M$3:$R$202,$A26,$I$3)&amp;"",1)="⚠",INDEX(인턴근무계획!$M$3:$R$202,$A26,$I$3)&amp;"",LEFT(INDEX(인턴근무계획!$M$3:$R$202,$A26,$I$3)&amp;"",FIND(" ",INDEX(인턴근무계획!$M$3:$R$202,$A26,$I$3)&amp;"")-1))))</f>
        <v/>
      </c>
      <c r="J26" s="21">
        <f>IF(OR($C26="",$I$3=""),"",IF(INDEX(인턴근무계획!$M$3:$R$202,$A26,$I$3)&amp;""="","",IF(LEFT(INDEX(인턴근무계획!$M$3:$R$202,$A26,$I$3)&amp;"",1)="⚠","",MID(INDEX(인턴근무계획!$M$3:$R$202,$A26,$I$3)&amp;"",FIND(" ",INDEX(인턴근무계획!$M$3:$R$202,$A26,$I$3)&amp;"")+1,60))))</f>
        <v/>
      </c>
      <c r="K26" s="21">
        <f>IF($C26="","",INDEX(인턴근무계획!$M$3:$M$202,$A26)&amp;"")</f>
        <v/>
      </c>
      <c r="L26" s="21">
        <f>IF($C26="","",INDEX(인턴근무계획!$N$3:$N$202,$A26)&amp;"")</f>
        <v/>
      </c>
      <c r="M26" s="21">
        <f>IF($C26="","",INDEX(인턴근무계획!$O$3:$O$202,$A26)&amp;"")</f>
        <v/>
      </c>
      <c r="N26" s="21">
        <f>IF($C26="","",INDEX(인턴근무계획!$P$3:$P$202,$A26)&amp;"")</f>
        <v/>
      </c>
      <c r="O26" s="21">
        <f>IF($C26="","",INDEX(인턴근무계획!$Q$3:$Q$202,$A26)&amp;"")</f>
        <v/>
      </c>
      <c r="P26" s="21">
        <f>IF($C26="","",INDEX(인턴근무계획!$R$3:$R$202,$A26)&amp;"")</f>
        <v/>
      </c>
      <c r="Q26" s="21">
        <f>IF($C26="","",INDEX(인턴근무계획!$T$3:$T$202,$A26))</f>
        <v/>
      </c>
      <c r="S26" s="22" t="inlineStr">
        <is>
          <t>⚠ 오류(인식 불가)</t>
        </is>
      </c>
      <c r="T26" s="22">
        <f>COUNTIF(K$6:K$205,"⚠*")</f>
        <v/>
      </c>
      <c r="U26" s="22">
        <f>COUNTIF(L$6:L$205,"⚠*")</f>
        <v/>
      </c>
      <c r="V26" s="22">
        <f>COUNTIF(M$6:M$205,"⚠*")</f>
        <v/>
      </c>
      <c r="W26" s="22">
        <f>COUNTIF(N$6:N$205,"⚠*")</f>
        <v/>
      </c>
      <c r="X26" s="22">
        <f>COUNTIF(O$6:O$205,"⚠*")</f>
        <v/>
      </c>
      <c r="Y26" s="22">
        <f>COUNTIF(P$6:P$205,"⚠*")</f>
        <v/>
      </c>
    </row>
    <row r="27">
      <c r="A27" s="24" t="n">
        <v>22</v>
      </c>
      <c r="B27" s="21">
        <f>IF($C27="","",INDEX(인턴근무계획!$B$3:$B$202,$A27))</f>
        <v/>
      </c>
      <c r="C27" s="21">
        <f>IFERROR(TRIM(INDEX(인턴근무계획!$C$3:$C$202,$A27)&amp;""),"")</f>
        <v/>
      </c>
      <c r="D27" s="21">
        <f>IF($C27="","",INDEX(인턴근무계획!$D$3:$D$202,$A27))</f>
        <v/>
      </c>
      <c r="E27" s="21">
        <f>IF($C27="","",IF(IFERROR(MATCH($D27,기본자료!$B$2:$B$501,0),IFERROR(MATCH($D27&amp;"",기본자료!$B$2:$B$501,0),IFERROR(MATCH(VALUE($D27),기본자료!$B$2:$B$501,0),0)))&gt;0,"확인","미등록"))</f>
        <v/>
      </c>
      <c r="F27" s="25">
        <f>IF($C27="","",INDEX(인턴근무계획!$S$3:$S$202,$A27))</f>
        <v/>
      </c>
      <c r="G27" s="21">
        <f>IF(OR($C27="",$G$3=""),"",IF(INDEX(인턴근무계획!$M$3:$R$202,$A27,$G$3)&amp;""="","",IF(LEFT(INDEX(인턴근무계획!$M$3:$R$202,$A27,$G$3)&amp;"",1)="⚠",INDEX(인턴근무계획!$M$3:$R$202,$A27,$G$3)&amp;"",LEFT(INDEX(인턴근무계획!$M$3:$R$202,$A27,$G$3)&amp;"",FIND(" ",INDEX(인턴근무계획!$M$3:$R$202,$A27,$G$3)&amp;"")-1))))</f>
        <v/>
      </c>
      <c r="H27" s="21">
        <f>IF(OR($C27="",$G$3=""),"",IF(INDEX(인턴근무계획!$M$3:$R$202,$A27,$G$3)&amp;""="","",IF(LEFT(INDEX(인턴근무계획!$M$3:$R$202,$A27,$G$3)&amp;"",1)="⚠","",MID(INDEX(인턴근무계획!$M$3:$R$202,$A27,$G$3)&amp;"",FIND(" ",INDEX(인턴근무계획!$M$3:$R$202,$A27,$G$3)&amp;"")+1,60))))</f>
        <v/>
      </c>
      <c r="I27" s="21">
        <f>IF(OR($C27="",$I$3=""),"",IF(INDEX(인턴근무계획!$M$3:$R$202,$A27,$I$3)&amp;""="","",IF(LEFT(INDEX(인턴근무계획!$M$3:$R$202,$A27,$I$3)&amp;"",1)="⚠",INDEX(인턴근무계획!$M$3:$R$202,$A27,$I$3)&amp;"",LEFT(INDEX(인턴근무계획!$M$3:$R$202,$A27,$I$3)&amp;"",FIND(" ",INDEX(인턴근무계획!$M$3:$R$202,$A27,$I$3)&amp;"")-1))))</f>
        <v/>
      </c>
      <c r="J27" s="21">
        <f>IF(OR($C27="",$I$3=""),"",IF(INDEX(인턴근무계획!$M$3:$R$202,$A27,$I$3)&amp;""="","",IF(LEFT(INDEX(인턴근무계획!$M$3:$R$202,$A27,$I$3)&amp;"",1)="⚠","",MID(INDEX(인턴근무계획!$M$3:$R$202,$A27,$I$3)&amp;"",FIND(" ",INDEX(인턴근무계획!$M$3:$R$202,$A27,$I$3)&amp;"")+1,60))))</f>
        <v/>
      </c>
      <c r="K27" s="21">
        <f>IF($C27="","",INDEX(인턴근무계획!$M$3:$M$202,$A27)&amp;"")</f>
        <v/>
      </c>
      <c r="L27" s="21">
        <f>IF($C27="","",INDEX(인턴근무계획!$N$3:$N$202,$A27)&amp;"")</f>
        <v/>
      </c>
      <c r="M27" s="21">
        <f>IF($C27="","",INDEX(인턴근무계획!$O$3:$O$202,$A27)&amp;"")</f>
        <v/>
      </c>
      <c r="N27" s="21">
        <f>IF($C27="","",INDEX(인턴근무계획!$P$3:$P$202,$A27)&amp;"")</f>
        <v/>
      </c>
      <c r="O27" s="21">
        <f>IF($C27="","",INDEX(인턴근무계획!$Q$3:$Q$202,$A27)&amp;"")</f>
        <v/>
      </c>
      <c r="P27" s="21">
        <f>IF($C27="","",INDEX(인턴근무계획!$R$3:$R$202,$A27)&amp;"")</f>
        <v/>
      </c>
      <c r="Q27" s="21">
        <f>IF($C27="","",INDEX(인턴근무계획!$T$3:$T$202,$A27))</f>
        <v/>
      </c>
      <c r="S27" s="22" t="inlineStr">
        <is>
          <t>합계</t>
        </is>
      </c>
      <c r="T27" s="22">
        <f>SUM(T6:T26)</f>
        <v/>
      </c>
      <c r="U27" s="22">
        <f>SUM(U6:U26)</f>
        <v/>
      </c>
      <c r="V27" s="22">
        <f>SUM(V6:V26)</f>
        <v/>
      </c>
      <c r="W27" s="22">
        <f>SUM(W6:W26)</f>
        <v/>
      </c>
      <c r="X27" s="22">
        <f>SUM(X6:X26)</f>
        <v/>
      </c>
      <c r="Y27" s="22">
        <f>SUM(Y6:Y26)</f>
        <v/>
      </c>
    </row>
    <row r="28">
      <c r="A28" s="24" t="n">
        <v>23</v>
      </c>
      <c r="B28" s="21">
        <f>IF($C28="","",INDEX(인턴근무계획!$B$3:$B$202,$A28))</f>
        <v/>
      </c>
      <c r="C28" s="21">
        <f>IFERROR(TRIM(INDEX(인턴근무계획!$C$3:$C$202,$A28)&amp;""),"")</f>
        <v/>
      </c>
      <c r="D28" s="21">
        <f>IF($C28="","",INDEX(인턴근무계획!$D$3:$D$202,$A28))</f>
        <v/>
      </c>
      <c r="E28" s="21">
        <f>IF($C28="","",IF(IFERROR(MATCH($D28,기본자료!$B$2:$B$501,0),IFERROR(MATCH($D28&amp;"",기본자료!$B$2:$B$501,0),IFERROR(MATCH(VALUE($D28),기본자료!$B$2:$B$501,0),0)))&gt;0,"확인","미등록"))</f>
        <v/>
      </c>
      <c r="F28" s="25">
        <f>IF($C28="","",INDEX(인턴근무계획!$S$3:$S$202,$A28))</f>
        <v/>
      </c>
      <c r="G28" s="21">
        <f>IF(OR($C28="",$G$3=""),"",IF(INDEX(인턴근무계획!$M$3:$R$202,$A28,$G$3)&amp;""="","",IF(LEFT(INDEX(인턴근무계획!$M$3:$R$202,$A28,$G$3)&amp;"",1)="⚠",INDEX(인턴근무계획!$M$3:$R$202,$A28,$G$3)&amp;"",LEFT(INDEX(인턴근무계획!$M$3:$R$202,$A28,$G$3)&amp;"",FIND(" ",INDEX(인턴근무계획!$M$3:$R$202,$A28,$G$3)&amp;"")-1))))</f>
        <v/>
      </c>
      <c r="H28" s="21">
        <f>IF(OR($C28="",$G$3=""),"",IF(INDEX(인턴근무계획!$M$3:$R$202,$A28,$G$3)&amp;""="","",IF(LEFT(INDEX(인턴근무계획!$M$3:$R$202,$A28,$G$3)&amp;"",1)="⚠","",MID(INDEX(인턴근무계획!$M$3:$R$202,$A28,$G$3)&amp;"",FIND(" ",INDEX(인턴근무계획!$M$3:$R$202,$A28,$G$3)&amp;"")+1,60))))</f>
        <v/>
      </c>
      <c r="I28" s="21">
        <f>IF(OR($C28="",$I$3=""),"",IF(INDEX(인턴근무계획!$M$3:$R$202,$A28,$I$3)&amp;""="","",IF(LEFT(INDEX(인턴근무계획!$M$3:$R$202,$A28,$I$3)&amp;"",1)="⚠",INDEX(인턴근무계획!$M$3:$R$202,$A28,$I$3)&amp;"",LEFT(INDEX(인턴근무계획!$M$3:$R$202,$A28,$I$3)&amp;"",FIND(" ",INDEX(인턴근무계획!$M$3:$R$202,$A28,$I$3)&amp;"")-1))))</f>
        <v/>
      </c>
      <c r="J28" s="21">
        <f>IF(OR($C28="",$I$3=""),"",IF(INDEX(인턴근무계획!$M$3:$R$202,$A28,$I$3)&amp;""="","",IF(LEFT(INDEX(인턴근무계획!$M$3:$R$202,$A28,$I$3)&amp;"",1)="⚠","",MID(INDEX(인턴근무계획!$M$3:$R$202,$A28,$I$3)&amp;"",FIND(" ",INDEX(인턴근무계획!$M$3:$R$202,$A28,$I$3)&amp;"")+1,60))))</f>
        <v/>
      </c>
      <c r="K28" s="21">
        <f>IF($C28="","",INDEX(인턴근무계획!$M$3:$M$202,$A28)&amp;"")</f>
        <v/>
      </c>
      <c r="L28" s="21">
        <f>IF($C28="","",INDEX(인턴근무계획!$N$3:$N$202,$A28)&amp;"")</f>
        <v/>
      </c>
      <c r="M28" s="21">
        <f>IF($C28="","",INDEX(인턴근무계획!$O$3:$O$202,$A28)&amp;"")</f>
        <v/>
      </c>
      <c r="N28" s="21">
        <f>IF($C28="","",INDEX(인턴근무계획!$P$3:$P$202,$A28)&amp;"")</f>
        <v/>
      </c>
      <c r="O28" s="21">
        <f>IF($C28="","",INDEX(인턴근무계획!$Q$3:$Q$202,$A28)&amp;"")</f>
        <v/>
      </c>
      <c r="P28" s="21">
        <f>IF($C28="","",INDEX(인턴근무계획!$R$3:$R$202,$A28)&amp;"")</f>
        <v/>
      </c>
      <c r="Q28" s="21">
        <f>IF($C28="","",INDEX(인턴근무계획!$T$3:$T$202,$A28))</f>
        <v/>
      </c>
      <c r="S28" s="8" t="inlineStr">
        <is>
          <t>※ 합계는 계획표에 입력된 인턴 수와 같아야 합니다.</t>
        </is>
      </c>
    </row>
    <row r="29">
      <c r="A29" s="24" t="n">
        <v>24</v>
      </c>
      <c r="B29" s="21">
        <f>IF($C29="","",INDEX(인턴근무계획!$B$3:$B$202,$A29))</f>
        <v/>
      </c>
      <c r="C29" s="21">
        <f>IFERROR(TRIM(INDEX(인턴근무계획!$C$3:$C$202,$A29)&amp;""),"")</f>
        <v/>
      </c>
      <c r="D29" s="21">
        <f>IF($C29="","",INDEX(인턴근무계획!$D$3:$D$202,$A29))</f>
        <v/>
      </c>
      <c r="E29" s="21">
        <f>IF($C29="","",IF(IFERROR(MATCH($D29,기본자료!$B$2:$B$501,0),IFERROR(MATCH($D29&amp;"",기본자료!$B$2:$B$501,0),IFERROR(MATCH(VALUE($D29),기본자료!$B$2:$B$501,0),0)))&gt;0,"확인","미등록"))</f>
        <v/>
      </c>
      <c r="F29" s="25">
        <f>IF($C29="","",INDEX(인턴근무계획!$S$3:$S$202,$A29))</f>
        <v/>
      </c>
      <c r="G29" s="21">
        <f>IF(OR($C29="",$G$3=""),"",IF(INDEX(인턴근무계획!$M$3:$R$202,$A29,$G$3)&amp;""="","",IF(LEFT(INDEX(인턴근무계획!$M$3:$R$202,$A29,$G$3)&amp;"",1)="⚠",INDEX(인턴근무계획!$M$3:$R$202,$A29,$G$3)&amp;"",LEFT(INDEX(인턴근무계획!$M$3:$R$202,$A29,$G$3)&amp;"",FIND(" ",INDEX(인턴근무계획!$M$3:$R$202,$A29,$G$3)&amp;"")-1))))</f>
        <v/>
      </c>
      <c r="H29" s="21">
        <f>IF(OR($C29="",$G$3=""),"",IF(INDEX(인턴근무계획!$M$3:$R$202,$A29,$G$3)&amp;""="","",IF(LEFT(INDEX(인턴근무계획!$M$3:$R$202,$A29,$G$3)&amp;"",1)="⚠","",MID(INDEX(인턴근무계획!$M$3:$R$202,$A29,$G$3)&amp;"",FIND(" ",INDEX(인턴근무계획!$M$3:$R$202,$A29,$G$3)&amp;"")+1,60))))</f>
        <v/>
      </c>
      <c r="I29" s="21">
        <f>IF(OR($C29="",$I$3=""),"",IF(INDEX(인턴근무계획!$M$3:$R$202,$A29,$I$3)&amp;""="","",IF(LEFT(INDEX(인턴근무계획!$M$3:$R$202,$A29,$I$3)&amp;"",1)="⚠",INDEX(인턴근무계획!$M$3:$R$202,$A29,$I$3)&amp;"",LEFT(INDEX(인턴근무계획!$M$3:$R$202,$A29,$I$3)&amp;"",FIND(" ",INDEX(인턴근무계획!$M$3:$R$202,$A29,$I$3)&amp;"")-1))))</f>
        <v/>
      </c>
      <c r="J29" s="21">
        <f>IF(OR($C29="",$I$3=""),"",IF(INDEX(인턴근무계획!$M$3:$R$202,$A29,$I$3)&amp;""="","",IF(LEFT(INDEX(인턴근무계획!$M$3:$R$202,$A29,$I$3)&amp;"",1)="⚠","",MID(INDEX(인턴근무계획!$M$3:$R$202,$A29,$I$3)&amp;"",FIND(" ",INDEX(인턴근무계획!$M$3:$R$202,$A29,$I$3)&amp;"")+1,60))))</f>
        <v/>
      </c>
      <c r="K29" s="21">
        <f>IF($C29="","",INDEX(인턴근무계획!$M$3:$M$202,$A29)&amp;"")</f>
        <v/>
      </c>
      <c r="L29" s="21">
        <f>IF($C29="","",INDEX(인턴근무계획!$N$3:$N$202,$A29)&amp;"")</f>
        <v/>
      </c>
      <c r="M29" s="21">
        <f>IF($C29="","",INDEX(인턴근무계획!$O$3:$O$202,$A29)&amp;"")</f>
        <v/>
      </c>
      <c r="N29" s="21">
        <f>IF($C29="","",INDEX(인턴근무계획!$P$3:$P$202,$A29)&amp;"")</f>
        <v/>
      </c>
      <c r="O29" s="21">
        <f>IF($C29="","",INDEX(인턴근무계획!$Q$3:$Q$202,$A29)&amp;"")</f>
        <v/>
      </c>
      <c r="P29" s="21">
        <f>IF($C29="","",INDEX(인턴근무계획!$R$3:$R$202,$A29)&amp;"")</f>
        <v/>
      </c>
      <c r="Q29" s="21">
        <f>IF($C29="","",INDEX(인턴근무계획!$T$3:$T$202,$A29))</f>
        <v/>
      </c>
    </row>
    <row r="30">
      <c r="A30" s="24" t="n">
        <v>25</v>
      </c>
      <c r="B30" s="21">
        <f>IF($C30="","",INDEX(인턴근무계획!$B$3:$B$202,$A30))</f>
        <v/>
      </c>
      <c r="C30" s="21">
        <f>IFERROR(TRIM(INDEX(인턴근무계획!$C$3:$C$202,$A30)&amp;""),"")</f>
        <v/>
      </c>
      <c r="D30" s="21">
        <f>IF($C30="","",INDEX(인턴근무계획!$D$3:$D$202,$A30))</f>
        <v/>
      </c>
      <c r="E30" s="21">
        <f>IF($C30="","",IF(IFERROR(MATCH($D30,기본자료!$B$2:$B$501,0),IFERROR(MATCH($D30&amp;"",기본자료!$B$2:$B$501,0),IFERROR(MATCH(VALUE($D30),기본자료!$B$2:$B$501,0),0)))&gt;0,"확인","미등록"))</f>
        <v/>
      </c>
      <c r="F30" s="25">
        <f>IF($C30="","",INDEX(인턴근무계획!$S$3:$S$202,$A30))</f>
        <v/>
      </c>
      <c r="G30" s="21">
        <f>IF(OR($C30="",$G$3=""),"",IF(INDEX(인턴근무계획!$M$3:$R$202,$A30,$G$3)&amp;""="","",IF(LEFT(INDEX(인턴근무계획!$M$3:$R$202,$A30,$G$3)&amp;"",1)="⚠",INDEX(인턴근무계획!$M$3:$R$202,$A30,$G$3)&amp;"",LEFT(INDEX(인턴근무계획!$M$3:$R$202,$A30,$G$3)&amp;"",FIND(" ",INDEX(인턴근무계획!$M$3:$R$202,$A30,$G$3)&amp;"")-1))))</f>
        <v/>
      </c>
      <c r="H30" s="21">
        <f>IF(OR($C30="",$G$3=""),"",IF(INDEX(인턴근무계획!$M$3:$R$202,$A30,$G$3)&amp;""="","",IF(LEFT(INDEX(인턴근무계획!$M$3:$R$202,$A30,$G$3)&amp;"",1)="⚠","",MID(INDEX(인턴근무계획!$M$3:$R$202,$A30,$G$3)&amp;"",FIND(" ",INDEX(인턴근무계획!$M$3:$R$202,$A30,$G$3)&amp;"")+1,60))))</f>
        <v/>
      </c>
      <c r="I30" s="21">
        <f>IF(OR($C30="",$I$3=""),"",IF(INDEX(인턴근무계획!$M$3:$R$202,$A30,$I$3)&amp;""="","",IF(LEFT(INDEX(인턴근무계획!$M$3:$R$202,$A30,$I$3)&amp;"",1)="⚠",INDEX(인턴근무계획!$M$3:$R$202,$A30,$I$3)&amp;"",LEFT(INDEX(인턴근무계획!$M$3:$R$202,$A30,$I$3)&amp;"",FIND(" ",INDEX(인턴근무계획!$M$3:$R$202,$A30,$I$3)&amp;"")-1))))</f>
        <v/>
      </c>
      <c r="J30" s="21">
        <f>IF(OR($C30="",$I$3=""),"",IF(INDEX(인턴근무계획!$M$3:$R$202,$A30,$I$3)&amp;""="","",IF(LEFT(INDEX(인턴근무계획!$M$3:$R$202,$A30,$I$3)&amp;"",1)="⚠","",MID(INDEX(인턴근무계획!$M$3:$R$202,$A30,$I$3)&amp;"",FIND(" ",INDEX(인턴근무계획!$M$3:$R$202,$A30,$I$3)&amp;"")+1,60))))</f>
        <v/>
      </c>
      <c r="K30" s="21">
        <f>IF($C30="","",INDEX(인턴근무계획!$M$3:$M$202,$A30)&amp;"")</f>
        <v/>
      </c>
      <c r="L30" s="21">
        <f>IF($C30="","",INDEX(인턴근무계획!$N$3:$N$202,$A30)&amp;"")</f>
        <v/>
      </c>
      <c r="M30" s="21">
        <f>IF($C30="","",INDEX(인턴근무계획!$O$3:$O$202,$A30)&amp;"")</f>
        <v/>
      </c>
      <c r="N30" s="21">
        <f>IF($C30="","",INDEX(인턴근무계획!$P$3:$P$202,$A30)&amp;"")</f>
        <v/>
      </c>
      <c r="O30" s="21">
        <f>IF($C30="","",INDEX(인턴근무계획!$Q$3:$Q$202,$A30)&amp;"")</f>
        <v/>
      </c>
      <c r="P30" s="21">
        <f>IF($C30="","",INDEX(인턴근무계획!$R$3:$R$202,$A30)&amp;"")</f>
        <v/>
      </c>
      <c r="Q30" s="21">
        <f>IF($C30="","",INDEX(인턴근무계획!$T$3:$T$202,$A30))</f>
        <v/>
      </c>
    </row>
    <row r="31">
      <c r="A31" s="24" t="n">
        <v>26</v>
      </c>
      <c r="B31" s="21">
        <f>IF($C31="","",INDEX(인턴근무계획!$B$3:$B$202,$A31))</f>
        <v/>
      </c>
      <c r="C31" s="21">
        <f>IFERROR(TRIM(INDEX(인턴근무계획!$C$3:$C$202,$A31)&amp;""),"")</f>
        <v/>
      </c>
      <c r="D31" s="21">
        <f>IF($C31="","",INDEX(인턴근무계획!$D$3:$D$202,$A31))</f>
        <v/>
      </c>
      <c r="E31" s="21">
        <f>IF($C31="","",IF(IFERROR(MATCH($D31,기본자료!$B$2:$B$501,0),IFERROR(MATCH($D31&amp;"",기본자료!$B$2:$B$501,0),IFERROR(MATCH(VALUE($D31),기본자료!$B$2:$B$501,0),0)))&gt;0,"확인","미등록"))</f>
        <v/>
      </c>
      <c r="F31" s="25">
        <f>IF($C31="","",INDEX(인턴근무계획!$S$3:$S$202,$A31))</f>
        <v/>
      </c>
      <c r="G31" s="21">
        <f>IF(OR($C31="",$G$3=""),"",IF(INDEX(인턴근무계획!$M$3:$R$202,$A31,$G$3)&amp;""="","",IF(LEFT(INDEX(인턴근무계획!$M$3:$R$202,$A31,$G$3)&amp;"",1)="⚠",INDEX(인턴근무계획!$M$3:$R$202,$A31,$G$3)&amp;"",LEFT(INDEX(인턴근무계획!$M$3:$R$202,$A31,$G$3)&amp;"",FIND(" ",INDEX(인턴근무계획!$M$3:$R$202,$A31,$G$3)&amp;"")-1))))</f>
        <v/>
      </c>
      <c r="H31" s="21">
        <f>IF(OR($C31="",$G$3=""),"",IF(INDEX(인턴근무계획!$M$3:$R$202,$A31,$G$3)&amp;""="","",IF(LEFT(INDEX(인턴근무계획!$M$3:$R$202,$A31,$G$3)&amp;"",1)="⚠","",MID(INDEX(인턴근무계획!$M$3:$R$202,$A31,$G$3)&amp;"",FIND(" ",INDEX(인턴근무계획!$M$3:$R$202,$A31,$G$3)&amp;"")+1,60))))</f>
        <v/>
      </c>
      <c r="I31" s="21">
        <f>IF(OR($C31="",$I$3=""),"",IF(INDEX(인턴근무계획!$M$3:$R$202,$A31,$I$3)&amp;""="","",IF(LEFT(INDEX(인턴근무계획!$M$3:$R$202,$A31,$I$3)&amp;"",1)="⚠",INDEX(인턴근무계획!$M$3:$R$202,$A31,$I$3)&amp;"",LEFT(INDEX(인턴근무계획!$M$3:$R$202,$A31,$I$3)&amp;"",FIND(" ",INDEX(인턴근무계획!$M$3:$R$202,$A31,$I$3)&amp;"")-1))))</f>
        <v/>
      </c>
      <c r="J31" s="21">
        <f>IF(OR($C31="",$I$3=""),"",IF(INDEX(인턴근무계획!$M$3:$R$202,$A31,$I$3)&amp;""="","",IF(LEFT(INDEX(인턴근무계획!$M$3:$R$202,$A31,$I$3)&amp;"",1)="⚠","",MID(INDEX(인턴근무계획!$M$3:$R$202,$A31,$I$3)&amp;"",FIND(" ",INDEX(인턴근무계획!$M$3:$R$202,$A31,$I$3)&amp;"")+1,60))))</f>
        <v/>
      </c>
      <c r="K31" s="21">
        <f>IF($C31="","",INDEX(인턴근무계획!$M$3:$M$202,$A31)&amp;"")</f>
        <v/>
      </c>
      <c r="L31" s="21">
        <f>IF($C31="","",INDEX(인턴근무계획!$N$3:$N$202,$A31)&amp;"")</f>
        <v/>
      </c>
      <c r="M31" s="21">
        <f>IF($C31="","",INDEX(인턴근무계획!$O$3:$O$202,$A31)&amp;"")</f>
        <v/>
      </c>
      <c r="N31" s="21">
        <f>IF($C31="","",INDEX(인턴근무계획!$P$3:$P$202,$A31)&amp;"")</f>
        <v/>
      </c>
      <c r="O31" s="21">
        <f>IF($C31="","",INDEX(인턴근무계획!$Q$3:$Q$202,$A31)&amp;"")</f>
        <v/>
      </c>
      <c r="P31" s="21">
        <f>IF($C31="","",INDEX(인턴근무계획!$R$3:$R$202,$A31)&amp;"")</f>
        <v/>
      </c>
      <c r="Q31" s="21">
        <f>IF($C31="","",INDEX(인턴근무계획!$T$3:$T$202,$A31))</f>
        <v/>
      </c>
    </row>
    <row r="32">
      <c r="A32" s="24" t="n">
        <v>27</v>
      </c>
      <c r="B32" s="21">
        <f>IF($C32="","",INDEX(인턴근무계획!$B$3:$B$202,$A32))</f>
        <v/>
      </c>
      <c r="C32" s="21">
        <f>IFERROR(TRIM(INDEX(인턴근무계획!$C$3:$C$202,$A32)&amp;""),"")</f>
        <v/>
      </c>
      <c r="D32" s="21">
        <f>IF($C32="","",INDEX(인턴근무계획!$D$3:$D$202,$A32))</f>
        <v/>
      </c>
      <c r="E32" s="21">
        <f>IF($C32="","",IF(IFERROR(MATCH($D32,기본자료!$B$2:$B$501,0),IFERROR(MATCH($D32&amp;"",기본자료!$B$2:$B$501,0),IFERROR(MATCH(VALUE($D32),기본자료!$B$2:$B$501,0),0)))&gt;0,"확인","미등록"))</f>
        <v/>
      </c>
      <c r="F32" s="25">
        <f>IF($C32="","",INDEX(인턴근무계획!$S$3:$S$202,$A32))</f>
        <v/>
      </c>
      <c r="G32" s="21">
        <f>IF(OR($C32="",$G$3=""),"",IF(INDEX(인턴근무계획!$M$3:$R$202,$A32,$G$3)&amp;""="","",IF(LEFT(INDEX(인턴근무계획!$M$3:$R$202,$A32,$G$3)&amp;"",1)="⚠",INDEX(인턴근무계획!$M$3:$R$202,$A32,$G$3)&amp;"",LEFT(INDEX(인턴근무계획!$M$3:$R$202,$A32,$G$3)&amp;"",FIND(" ",INDEX(인턴근무계획!$M$3:$R$202,$A32,$G$3)&amp;"")-1))))</f>
        <v/>
      </c>
      <c r="H32" s="21">
        <f>IF(OR($C32="",$G$3=""),"",IF(INDEX(인턴근무계획!$M$3:$R$202,$A32,$G$3)&amp;""="","",IF(LEFT(INDEX(인턴근무계획!$M$3:$R$202,$A32,$G$3)&amp;"",1)="⚠","",MID(INDEX(인턴근무계획!$M$3:$R$202,$A32,$G$3)&amp;"",FIND(" ",INDEX(인턴근무계획!$M$3:$R$202,$A32,$G$3)&amp;"")+1,60))))</f>
        <v/>
      </c>
      <c r="I32" s="21">
        <f>IF(OR($C32="",$I$3=""),"",IF(INDEX(인턴근무계획!$M$3:$R$202,$A32,$I$3)&amp;""="","",IF(LEFT(INDEX(인턴근무계획!$M$3:$R$202,$A32,$I$3)&amp;"",1)="⚠",INDEX(인턴근무계획!$M$3:$R$202,$A32,$I$3)&amp;"",LEFT(INDEX(인턴근무계획!$M$3:$R$202,$A32,$I$3)&amp;"",FIND(" ",INDEX(인턴근무계획!$M$3:$R$202,$A32,$I$3)&amp;"")-1))))</f>
        <v/>
      </c>
      <c r="J32" s="21">
        <f>IF(OR($C32="",$I$3=""),"",IF(INDEX(인턴근무계획!$M$3:$R$202,$A32,$I$3)&amp;""="","",IF(LEFT(INDEX(인턴근무계획!$M$3:$R$202,$A32,$I$3)&amp;"",1)="⚠","",MID(INDEX(인턴근무계획!$M$3:$R$202,$A32,$I$3)&amp;"",FIND(" ",INDEX(인턴근무계획!$M$3:$R$202,$A32,$I$3)&amp;"")+1,60))))</f>
        <v/>
      </c>
      <c r="K32" s="21">
        <f>IF($C32="","",INDEX(인턴근무계획!$M$3:$M$202,$A32)&amp;"")</f>
        <v/>
      </c>
      <c r="L32" s="21">
        <f>IF($C32="","",INDEX(인턴근무계획!$N$3:$N$202,$A32)&amp;"")</f>
        <v/>
      </c>
      <c r="M32" s="21">
        <f>IF($C32="","",INDEX(인턴근무계획!$O$3:$O$202,$A32)&amp;"")</f>
        <v/>
      </c>
      <c r="N32" s="21">
        <f>IF($C32="","",INDEX(인턴근무계획!$P$3:$P$202,$A32)&amp;"")</f>
        <v/>
      </c>
      <c r="O32" s="21">
        <f>IF($C32="","",INDEX(인턴근무계획!$Q$3:$Q$202,$A32)&amp;"")</f>
        <v/>
      </c>
      <c r="P32" s="21">
        <f>IF($C32="","",INDEX(인턴근무계획!$R$3:$R$202,$A32)&amp;"")</f>
        <v/>
      </c>
      <c r="Q32" s="21">
        <f>IF($C32="","",INDEX(인턴근무계획!$T$3:$T$202,$A32))</f>
        <v/>
      </c>
    </row>
    <row r="33">
      <c r="A33" s="24" t="n">
        <v>28</v>
      </c>
      <c r="B33" s="21">
        <f>IF($C33="","",INDEX(인턴근무계획!$B$3:$B$202,$A33))</f>
        <v/>
      </c>
      <c r="C33" s="21">
        <f>IFERROR(TRIM(INDEX(인턴근무계획!$C$3:$C$202,$A33)&amp;""),"")</f>
        <v/>
      </c>
      <c r="D33" s="21">
        <f>IF($C33="","",INDEX(인턴근무계획!$D$3:$D$202,$A33))</f>
        <v/>
      </c>
      <c r="E33" s="21">
        <f>IF($C33="","",IF(IFERROR(MATCH($D33,기본자료!$B$2:$B$501,0),IFERROR(MATCH($D33&amp;"",기본자료!$B$2:$B$501,0),IFERROR(MATCH(VALUE($D33),기본자료!$B$2:$B$501,0),0)))&gt;0,"확인","미등록"))</f>
        <v/>
      </c>
      <c r="F33" s="25">
        <f>IF($C33="","",INDEX(인턴근무계획!$S$3:$S$202,$A33))</f>
        <v/>
      </c>
      <c r="G33" s="21">
        <f>IF(OR($C33="",$G$3=""),"",IF(INDEX(인턴근무계획!$M$3:$R$202,$A33,$G$3)&amp;""="","",IF(LEFT(INDEX(인턴근무계획!$M$3:$R$202,$A33,$G$3)&amp;"",1)="⚠",INDEX(인턴근무계획!$M$3:$R$202,$A33,$G$3)&amp;"",LEFT(INDEX(인턴근무계획!$M$3:$R$202,$A33,$G$3)&amp;"",FIND(" ",INDEX(인턴근무계획!$M$3:$R$202,$A33,$G$3)&amp;"")-1))))</f>
        <v/>
      </c>
      <c r="H33" s="21">
        <f>IF(OR($C33="",$G$3=""),"",IF(INDEX(인턴근무계획!$M$3:$R$202,$A33,$G$3)&amp;""="","",IF(LEFT(INDEX(인턴근무계획!$M$3:$R$202,$A33,$G$3)&amp;"",1)="⚠","",MID(INDEX(인턴근무계획!$M$3:$R$202,$A33,$G$3)&amp;"",FIND(" ",INDEX(인턴근무계획!$M$3:$R$202,$A33,$G$3)&amp;"")+1,60))))</f>
        <v/>
      </c>
      <c r="I33" s="21">
        <f>IF(OR($C33="",$I$3=""),"",IF(INDEX(인턴근무계획!$M$3:$R$202,$A33,$I$3)&amp;""="","",IF(LEFT(INDEX(인턴근무계획!$M$3:$R$202,$A33,$I$3)&amp;"",1)="⚠",INDEX(인턴근무계획!$M$3:$R$202,$A33,$I$3)&amp;"",LEFT(INDEX(인턴근무계획!$M$3:$R$202,$A33,$I$3)&amp;"",FIND(" ",INDEX(인턴근무계획!$M$3:$R$202,$A33,$I$3)&amp;"")-1))))</f>
        <v/>
      </c>
      <c r="J33" s="21">
        <f>IF(OR($C33="",$I$3=""),"",IF(INDEX(인턴근무계획!$M$3:$R$202,$A33,$I$3)&amp;""="","",IF(LEFT(INDEX(인턴근무계획!$M$3:$R$202,$A33,$I$3)&amp;"",1)="⚠","",MID(INDEX(인턴근무계획!$M$3:$R$202,$A33,$I$3)&amp;"",FIND(" ",INDEX(인턴근무계획!$M$3:$R$202,$A33,$I$3)&amp;"")+1,60))))</f>
        <v/>
      </c>
      <c r="K33" s="21">
        <f>IF($C33="","",INDEX(인턴근무계획!$M$3:$M$202,$A33)&amp;"")</f>
        <v/>
      </c>
      <c r="L33" s="21">
        <f>IF($C33="","",INDEX(인턴근무계획!$N$3:$N$202,$A33)&amp;"")</f>
        <v/>
      </c>
      <c r="M33" s="21">
        <f>IF($C33="","",INDEX(인턴근무계획!$O$3:$O$202,$A33)&amp;"")</f>
        <v/>
      </c>
      <c r="N33" s="21">
        <f>IF($C33="","",INDEX(인턴근무계획!$P$3:$P$202,$A33)&amp;"")</f>
        <v/>
      </c>
      <c r="O33" s="21">
        <f>IF($C33="","",INDEX(인턴근무계획!$Q$3:$Q$202,$A33)&amp;"")</f>
        <v/>
      </c>
      <c r="P33" s="21">
        <f>IF($C33="","",INDEX(인턴근무계획!$R$3:$R$202,$A33)&amp;"")</f>
        <v/>
      </c>
      <c r="Q33" s="21">
        <f>IF($C33="","",INDEX(인턴근무계획!$T$3:$T$202,$A33))</f>
        <v/>
      </c>
    </row>
    <row r="34">
      <c r="A34" s="24" t="n">
        <v>29</v>
      </c>
      <c r="B34" s="21">
        <f>IF($C34="","",INDEX(인턴근무계획!$B$3:$B$202,$A34))</f>
        <v/>
      </c>
      <c r="C34" s="21">
        <f>IFERROR(TRIM(INDEX(인턴근무계획!$C$3:$C$202,$A34)&amp;""),"")</f>
        <v/>
      </c>
      <c r="D34" s="21">
        <f>IF($C34="","",INDEX(인턴근무계획!$D$3:$D$202,$A34))</f>
        <v/>
      </c>
      <c r="E34" s="21">
        <f>IF($C34="","",IF(IFERROR(MATCH($D34,기본자료!$B$2:$B$501,0),IFERROR(MATCH($D34&amp;"",기본자료!$B$2:$B$501,0),IFERROR(MATCH(VALUE($D34),기본자료!$B$2:$B$501,0),0)))&gt;0,"확인","미등록"))</f>
        <v/>
      </c>
      <c r="F34" s="25">
        <f>IF($C34="","",INDEX(인턴근무계획!$S$3:$S$202,$A34))</f>
        <v/>
      </c>
      <c r="G34" s="21">
        <f>IF(OR($C34="",$G$3=""),"",IF(INDEX(인턴근무계획!$M$3:$R$202,$A34,$G$3)&amp;""="","",IF(LEFT(INDEX(인턴근무계획!$M$3:$R$202,$A34,$G$3)&amp;"",1)="⚠",INDEX(인턴근무계획!$M$3:$R$202,$A34,$G$3)&amp;"",LEFT(INDEX(인턴근무계획!$M$3:$R$202,$A34,$G$3)&amp;"",FIND(" ",INDEX(인턴근무계획!$M$3:$R$202,$A34,$G$3)&amp;"")-1))))</f>
        <v/>
      </c>
      <c r="H34" s="21">
        <f>IF(OR($C34="",$G$3=""),"",IF(INDEX(인턴근무계획!$M$3:$R$202,$A34,$G$3)&amp;""="","",IF(LEFT(INDEX(인턴근무계획!$M$3:$R$202,$A34,$G$3)&amp;"",1)="⚠","",MID(INDEX(인턴근무계획!$M$3:$R$202,$A34,$G$3)&amp;"",FIND(" ",INDEX(인턴근무계획!$M$3:$R$202,$A34,$G$3)&amp;"")+1,60))))</f>
        <v/>
      </c>
      <c r="I34" s="21">
        <f>IF(OR($C34="",$I$3=""),"",IF(INDEX(인턴근무계획!$M$3:$R$202,$A34,$I$3)&amp;""="","",IF(LEFT(INDEX(인턴근무계획!$M$3:$R$202,$A34,$I$3)&amp;"",1)="⚠",INDEX(인턴근무계획!$M$3:$R$202,$A34,$I$3)&amp;"",LEFT(INDEX(인턴근무계획!$M$3:$R$202,$A34,$I$3)&amp;"",FIND(" ",INDEX(인턴근무계획!$M$3:$R$202,$A34,$I$3)&amp;"")-1))))</f>
        <v/>
      </c>
      <c r="J34" s="21">
        <f>IF(OR($C34="",$I$3=""),"",IF(INDEX(인턴근무계획!$M$3:$R$202,$A34,$I$3)&amp;""="","",IF(LEFT(INDEX(인턴근무계획!$M$3:$R$202,$A34,$I$3)&amp;"",1)="⚠","",MID(INDEX(인턴근무계획!$M$3:$R$202,$A34,$I$3)&amp;"",FIND(" ",INDEX(인턴근무계획!$M$3:$R$202,$A34,$I$3)&amp;"")+1,60))))</f>
        <v/>
      </c>
      <c r="K34" s="21">
        <f>IF($C34="","",INDEX(인턴근무계획!$M$3:$M$202,$A34)&amp;"")</f>
        <v/>
      </c>
      <c r="L34" s="21">
        <f>IF($C34="","",INDEX(인턴근무계획!$N$3:$N$202,$A34)&amp;"")</f>
        <v/>
      </c>
      <c r="M34" s="21">
        <f>IF($C34="","",INDEX(인턴근무계획!$O$3:$O$202,$A34)&amp;"")</f>
        <v/>
      </c>
      <c r="N34" s="21">
        <f>IF($C34="","",INDEX(인턴근무계획!$P$3:$P$202,$A34)&amp;"")</f>
        <v/>
      </c>
      <c r="O34" s="21">
        <f>IF($C34="","",INDEX(인턴근무계획!$Q$3:$Q$202,$A34)&amp;"")</f>
        <v/>
      </c>
      <c r="P34" s="21">
        <f>IF($C34="","",INDEX(인턴근무계획!$R$3:$R$202,$A34)&amp;"")</f>
        <v/>
      </c>
      <c r="Q34" s="21">
        <f>IF($C34="","",INDEX(인턴근무계획!$T$3:$T$202,$A34))</f>
        <v/>
      </c>
    </row>
    <row r="35">
      <c r="A35" s="24" t="n">
        <v>30</v>
      </c>
      <c r="B35" s="21">
        <f>IF($C35="","",INDEX(인턴근무계획!$B$3:$B$202,$A35))</f>
        <v/>
      </c>
      <c r="C35" s="21">
        <f>IFERROR(TRIM(INDEX(인턴근무계획!$C$3:$C$202,$A35)&amp;""),"")</f>
        <v/>
      </c>
      <c r="D35" s="21">
        <f>IF($C35="","",INDEX(인턴근무계획!$D$3:$D$202,$A35))</f>
        <v/>
      </c>
      <c r="E35" s="21">
        <f>IF($C35="","",IF(IFERROR(MATCH($D35,기본자료!$B$2:$B$501,0),IFERROR(MATCH($D35&amp;"",기본자료!$B$2:$B$501,0),IFERROR(MATCH(VALUE($D35),기본자료!$B$2:$B$501,0),0)))&gt;0,"확인","미등록"))</f>
        <v/>
      </c>
      <c r="F35" s="25">
        <f>IF($C35="","",INDEX(인턴근무계획!$S$3:$S$202,$A35))</f>
        <v/>
      </c>
      <c r="G35" s="21">
        <f>IF(OR($C35="",$G$3=""),"",IF(INDEX(인턴근무계획!$M$3:$R$202,$A35,$G$3)&amp;""="","",IF(LEFT(INDEX(인턴근무계획!$M$3:$R$202,$A35,$G$3)&amp;"",1)="⚠",INDEX(인턴근무계획!$M$3:$R$202,$A35,$G$3)&amp;"",LEFT(INDEX(인턴근무계획!$M$3:$R$202,$A35,$G$3)&amp;"",FIND(" ",INDEX(인턴근무계획!$M$3:$R$202,$A35,$G$3)&amp;"")-1))))</f>
        <v/>
      </c>
      <c r="H35" s="21">
        <f>IF(OR($C35="",$G$3=""),"",IF(INDEX(인턴근무계획!$M$3:$R$202,$A35,$G$3)&amp;""="","",IF(LEFT(INDEX(인턴근무계획!$M$3:$R$202,$A35,$G$3)&amp;"",1)="⚠","",MID(INDEX(인턴근무계획!$M$3:$R$202,$A35,$G$3)&amp;"",FIND(" ",INDEX(인턴근무계획!$M$3:$R$202,$A35,$G$3)&amp;"")+1,60))))</f>
        <v/>
      </c>
      <c r="I35" s="21">
        <f>IF(OR($C35="",$I$3=""),"",IF(INDEX(인턴근무계획!$M$3:$R$202,$A35,$I$3)&amp;""="","",IF(LEFT(INDEX(인턴근무계획!$M$3:$R$202,$A35,$I$3)&amp;"",1)="⚠",INDEX(인턴근무계획!$M$3:$R$202,$A35,$I$3)&amp;"",LEFT(INDEX(인턴근무계획!$M$3:$R$202,$A35,$I$3)&amp;"",FIND(" ",INDEX(인턴근무계획!$M$3:$R$202,$A35,$I$3)&amp;"")-1))))</f>
        <v/>
      </c>
      <c r="J35" s="21">
        <f>IF(OR($C35="",$I$3=""),"",IF(INDEX(인턴근무계획!$M$3:$R$202,$A35,$I$3)&amp;""="","",IF(LEFT(INDEX(인턴근무계획!$M$3:$R$202,$A35,$I$3)&amp;"",1)="⚠","",MID(INDEX(인턴근무계획!$M$3:$R$202,$A35,$I$3)&amp;"",FIND(" ",INDEX(인턴근무계획!$M$3:$R$202,$A35,$I$3)&amp;"")+1,60))))</f>
        <v/>
      </c>
      <c r="K35" s="21">
        <f>IF($C35="","",INDEX(인턴근무계획!$M$3:$M$202,$A35)&amp;"")</f>
        <v/>
      </c>
      <c r="L35" s="21">
        <f>IF($C35="","",INDEX(인턴근무계획!$N$3:$N$202,$A35)&amp;"")</f>
        <v/>
      </c>
      <c r="M35" s="21">
        <f>IF($C35="","",INDEX(인턴근무계획!$O$3:$O$202,$A35)&amp;"")</f>
        <v/>
      </c>
      <c r="N35" s="21">
        <f>IF($C35="","",INDEX(인턴근무계획!$P$3:$P$202,$A35)&amp;"")</f>
        <v/>
      </c>
      <c r="O35" s="21">
        <f>IF($C35="","",INDEX(인턴근무계획!$Q$3:$Q$202,$A35)&amp;"")</f>
        <v/>
      </c>
      <c r="P35" s="21">
        <f>IF($C35="","",INDEX(인턴근무계획!$R$3:$R$202,$A35)&amp;"")</f>
        <v/>
      </c>
      <c r="Q35" s="21">
        <f>IF($C35="","",INDEX(인턴근무계획!$T$3:$T$202,$A35))</f>
        <v/>
      </c>
    </row>
    <row r="36">
      <c r="A36" s="24" t="n">
        <v>31</v>
      </c>
      <c r="B36" s="21">
        <f>IF($C36="","",INDEX(인턴근무계획!$B$3:$B$202,$A36))</f>
        <v/>
      </c>
      <c r="C36" s="21">
        <f>IFERROR(TRIM(INDEX(인턴근무계획!$C$3:$C$202,$A36)&amp;""),"")</f>
        <v/>
      </c>
      <c r="D36" s="21">
        <f>IF($C36="","",INDEX(인턴근무계획!$D$3:$D$202,$A36))</f>
        <v/>
      </c>
      <c r="E36" s="21">
        <f>IF($C36="","",IF(IFERROR(MATCH($D36,기본자료!$B$2:$B$501,0),IFERROR(MATCH($D36&amp;"",기본자료!$B$2:$B$501,0),IFERROR(MATCH(VALUE($D36),기본자료!$B$2:$B$501,0),0)))&gt;0,"확인","미등록"))</f>
        <v/>
      </c>
      <c r="F36" s="25">
        <f>IF($C36="","",INDEX(인턴근무계획!$S$3:$S$202,$A36))</f>
        <v/>
      </c>
      <c r="G36" s="21">
        <f>IF(OR($C36="",$G$3=""),"",IF(INDEX(인턴근무계획!$M$3:$R$202,$A36,$G$3)&amp;""="","",IF(LEFT(INDEX(인턴근무계획!$M$3:$R$202,$A36,$G$3)&amp;"",1)="⚠",INDEX(인턴근무계획!$M$3:$R$202,$A36,$G$3)&amp;"",LEFT(INDEX(인턴근무계획!$M$3:$R$202,$A36,$G$3)&amp;"",FIND(" ",INDEX(인턴근무계획!$M$3:$R$202,$A36,$G$3)&amp;"")-1))))</f>
        <v/>
      </c>
      <c r="H36" s="21">
        <f>IF(OR($C36="",$G$3=""),"",IF(INDEX(인턴근무계획!$M$3:$R$202,$A36,$G$3)&amp;""="","",IF(LEFT(INDEX(인턴근무계획!$M$3:$R$202,$A36,$G$3)&amp;"",1)="⚠","",MID(INDEX(인턴근무계획!$M$3:$R$202,$A36,$G$3)&amp;"",FIND(" ",INDEX(인턴근무계획!$M$3:$R$202,$A36,$G$3)&amp;"")+1,60))))</f>
        <v/>
      </c>
      <c r="I36" s="21">
        <f>IF(OR($C36="",$I$3=""),"",IF(INDEX(인턴근무계획!$M$3:$R$202,$A36,$I$3)&amp;""="","",IF(LEFT(INDEX(인턴근무계획!$M$3:$R$202,$A36,$I$3)&amp;"",1)="⚠",INDEX(인턴근무계획!$M$3:$R$202,$A36,$I$3)&amp;"",LEFT(INDEX(인턴근무계획!$M$3:$R$202,$A36,$I$3)&amp;"",FIND(" ",INDEX(인턴근무계획!$M$3:$R$202,$A36,$I$3)&amp;"")-1))))</f>
        <v/>
      </c>
      <c r="J36" s="21">
        <f>IF(OR($C36="",$I$3=""),"",IF(INDEX(인턴근무계획!$M$3:$R$202,$A36,$I$3)&amp;""="","",IF(LEFT(INDEX(인턴근무계획!$M$3:$R$202,$A36,$I$3)&amp;"",1)="⚠","",MID(INDEX(인턴근무계획!$M$3:$R$202,$A36,$I$3)&amp;"",FIND(" ",INDEX(인턴근무계획!$M$3:$R$202,$A36,$I$3)&amp;"")+1,60))))</f>
        <v/>
      </c>
      <c r="K36" s="21">
        <f>IF($C36="","",INDEX(인턴근무계획!$M$3:$M$202,$A36)&amp;"")</f>
        <v/>
      </c>
      <c r="L36" s="21">
        <f>IF($C36="","",INDEX(인턴근무계획!$N$3:$N$202,$A36)&amp;"")</f>
        <v/>
      </c>
      <c r="M36" s="21">
        <f>IF($C36="","",INDEX(인턴근무계획!$O$3:$O$202,$A36)&amp;"")</f>
        <v/>
      </c>
      <c r="N36" s="21">
        <f>IF($C36="","",INDEX(인턴근무계획!$P$3:$P$202,$A36)&amp;"")</f>
        <v/>
      </c>
      <c r="O36" s="21">
        <f>IF($C36="","",INDEX(인턴근무계획!$Q$3:$Q$202,$A36)&amp;"")</f>
        <v/>
      </c>
      <c r="P36" s="21">
        <f>IF($C36="","",INDEX(인턴근무계획!$R$3:$R$202,$A36)&amp;"")</f>
        <v/>
      </c>
      <c r="Q36" s="21">
        <f>IF($C36="","",INDEX(인턴근무계획!$T$3:$T$202,$A36))</f>
        <v/>
      </c>
    </row>
    <row r="37">
      <c r="A37" s="24" t="n">
        <v>32</v>
      </c>
      <c r="B37" s="21">
        <f>IF($C37="","",INDEX(인턴근무계획!$B$3:$B$202,$A37))</f>
        <v/>
      </c>
      <c r="C37" s="21">
        <f>IFERROR(TRIM(INDEX(인턴근무계획!$C$3:$C$202,$A37)&amp;""),"")</f>
        <v/>
      </c>
      <c r="D37" s="21">
        <f>IF($C37="","",INDEX(인턴근무계획!$D$3:$D$202,$A37))</f>
        <v/>
      </c>
      <c r="E37" s="21">
        <f>IF($C37="","",IF(IFERROR(MATCH($D37,기본자료!$B$2:$B$501,0),IFERROR(MATCH($D37&amp;"",기본자료!$B$2:$B$501,0),IFERROR(MATCH(VALUE($D37),기본자료!$B$2:$B$501,0),0)))&gt;0,"확인","미등록"))</f>
        <v/>
      </c>
      <c r="F37" s="25">
        <f>IF($C37="","",INDEX(인턴근무계획!$S$3:$S$202,$A37))</f>
        <v/>
      </c>
      <c r="G37" s="21">
        <f>IF(OR($C37="",$G$3=""),"",IF(INDEX(인턴근무계획!$M$3:$R$202,$A37,$G$3)&amp;""="","",IF(LEFT(INDEX(인턴근무계획!$M$3:$R$202,$A37,$G$3)&amp;"",1)="⚠",INDEX(인턴근무계획!$M$3:$R$202,$A37,$G$3)&amp;"",LEFT(INDEX(인턴근무계획!$M$3:$R$202,$A37,$G$3)&amp;"",FIND(" ",INDEX(인턴근무계획!$M$3:$R$202,$A37,$G$3)&amp;"")-1))))</f>
        <v/>
      </c>
      <c r="H37" s="21">
        <f>IF(OR($C37="",$G$3=""),"",IF(INDEX(인턴근무계획!$M$3:$R$202,$A37,$G$3)&amp;""="","",IF(LEFT(INDEX(인턴근무계획!$M$3:$R$202,$A37,$G$3)&amp;"",1)="⚠","",MID(INDEX(인턴근무계획!$M$3:$R$202,$A37,$G$3)&amp;"",FIND(" ",INDEX(인턴근무계획!$M$3:$R$202,$A37,$G$3)&amp;"")+1,60))))</f>
        <v/>
      </c>
      <c r="I37" s="21">
        <f>IF(OR($C37="",$I$3=""),"",IF(INDEX(인턴근무계획!$M$3:$R$202,$A37,$I$3)&amp;""="","",IF(LEFT(INDEX(인턴근무계획!$M$3:$R$202,$A37,$I$3)&amp;"",1)="⚠",INDEX(인턴근무계획!$M$3:$R$202,$A37,$I$3)&amp;"",LEFT(INDEX(인턴근무계획!$M$3:$R$202,$A37,$I$3)&amp;"",FIND(" ",INDEX(인턴근무계획!$M$3:$R$202,$A37,$I$3)&amp;"")-1))))</f>
        <v/>
      </c>
      <c r="J37" s="21">
        <f>IF(OR($C37="",$I$3=""),"",IF(INDEX(인턴근무계획!$M$3:$R$202,$A37,$I$3)&amp;""="","",IF(LEFT(INDEX(인턴근무계획!$M$3:$R$202,$A37,$I$3)&amp;"",1)="⚠","",MID(INDEX(인턴근무계획!$M$3:$R$202,$A37,$I$3)&amp;"",FIND(" ",INDEX(인턴근무계획!$M$3:$R$202,$A37,$I$3)&amp;"")+1,60))))</f>
        <v/>
      </c>
      <c r="K37" s="21">
        <f>IF($C37="","",INDEX(인턴근무계획!$M$3:$M$202,$A37)&amp;"")</f>
        <v/>
      </c>
      <c r="L37" s="21">
        <f>IF($C37="","",INDEX(인턴근무계획!$N$3:$N$202,$A37)&amp;"")</f>
        <v/>
      </c>
      <c r="M37" s="21">
        <f>IF($C37="","",INDEX(인턴근무계획!$O$3:$O$202,$A37)&amp;"")</f>
        <v/>
      </c>
      <c r="N37" s="21">
        <f>IF($C37="","",INDEX(인턴근무계획!$P$3:$P$202,$A37)&amp;"")</f>
        <v/>
      </c>
      <c r="O37" s="21">
        <f>IF($C37="","",INDEX(인턴근무계획!$Q$3:$Q$202,$A37)&amp;"")</f>
        <v/>
      </c>
      <c r="P37" s="21">
        <f>IF($C37="","",INDEX(인턴근무계획!$R$3:$R$202,$A37)&amp;"")</f>
        <v/>
      </c>
      <c r="Q37" s="21">
        <f>IF($C37="","",INDEX(인턴근무계획!$T$3:$T$202,$A37))</f>
        <v/>
      </c>
    </row>
    <row r="38">
      <c r="A38" s="24" t="n">
        <v>33</v>
      </c>
      <c r="B38" s="21">
        <f>IF($C38="","",INDEX(인턴근무계획!$B$3:$B$202,$A38))</f>
        <v/>
      </c>
      <c r="C38" s="21">
        <f>IFERROR(TRIM(INDEX(인턴근무계획!$C$3:$C$202,$A38)&amp;""),"")</f>
        <v/>
      </c>
      <c r="D38" s="21">
        <f>IF($C38="","",INDEX(인턴근무계획!$D$3:$D$202,$A38))</f>
        <v/>
      </c>
      <c r="E38" s="21">
        <f>IF($C38="","",IF(IFERROR(MATCH($D38,기본자료!$B$2:$B$501,0),IFERROR(MATCH($D38&amp;"",기본자료!$B$2:$B$501,0),IFERROR(MATCH(VALUE($D38),기본자료!$B$2:$B$501,0),0)))&gt;0,"확인","미등록"))</f>
        <v/>
      </c>
      <c r="F38" s="25">
        <f>IF($C38="","",INDEX(인턴근무계획!$S$3:$S$202,$A38))</f>
        <v/>
      </c>
      <c r="G38" s="21">
        <f>IF(OR($C38="",$G$3=""),"",IF(INDEX(인턴근무계획!$M$3:$R$202,$A38,$G$3)&amp;""="","",IF(LEFT(INDEX(인턴근무계획!$M$3:$R$202,$A38,$G$3)&amp;"",1)="⚠",INDEX(인턴근무계획!$M$3:$R$202,$A38,$G$3)&amp;"",LEFT(INDEX(인턴근무계획!$M$3:$R$202,$A38,$G$3)&amp;"",FIND(" ",INDEX(인턴근무계획!$M$3:$R$202,$A38,$G$3)&amp;"")-1))))</f>
        <v/>
      </c>
      <c r="H38" s="21">
        <f>IF(OR($C38="",$G$3=""),"",IF(INDEX(인턴근무계획!$M$3:$R$202,$A38,$G$3)&amp;""="","",IF(LEFT(INDEX(인턴근무계획!$M$3:$R$202,$A38,$G$3)&amp;"",1)="⚠","",MID(INDEX(인턴근무계획!$M$3:$R$202,$A38,$G$3)&amp;"",FIND(" ",INDEX(인턴근무계획!$M$3:$R$202,$A38,$G$3)&amp;"")+1,60))))</f>
        <v/>
      </c>
      <c r="I38" s="21">
        <f>IF(OR($C38="",$I$3=""),"",IF(INDEX(인턴근무계획!$M$3:$R$202,$A38,$I$3)&amp;""="","",IF(LEFT(INDEX(인턴근무계획!$M$3:$R$202,$A38,$I$3)&amp;"",1)="⚠",INDEX(인턴근무계획!$M$3:$R$202,$A38,$I$3)&amp;"",LEFT(INDEX(인턴근무계획!$M$3:$R$202,$A38,$I$3)&amp;"",FIND(" ",INDEX(인턴근무계획!$M$3:$R$202,$A38,$I$3)&amp;"")-1))))</f>
        <v/>
      </c>
      <c r="J38" s="21">
        <f>IF(OR($C38="",$I$3=""),"",IF(INDEX(인턴근무계획!$M$3:$R$202,$A38,$I$3)&amp;""="","",IF(LEFT(INDEX(인턴근무계획!$M$3:$R$202,$A38,$I$3)&amp;"",1)="⚠","",MID(INDEX(인턴근무계획!$M$3:$R$202,$A38,$I$3)&amp;"",FIND(" ",INDEX(인턴근무계획!$M$3:$R$202,$A38,$I$3)&amp;"")+1,60))))</f>
        <v/>
      </c>
      <c r="K38" s="21">
        <f>IF($C38="","",INDEX(인턴근무계획!$M$3:$M$202,$A38)&amp;"")</f>
        <v/>
      </c>
      <c r="L38" s="21">
        <f>IF($C38="","",INDEX(인턴근무계획!$N$3:$N$202,$A38)&amp;"")</f>
        <v/>
      </c>
      <c r="M38" s="21">
        <f>IF($C38="","",INDEX(인턴근무계획!$O$3:$O$202,$A38)&amp;"")</f>
        <v/>
      </c>
      <c r="N38" s="21">
        <f>IF($C38="","",INDEX(인턴근무계획!$P$3:$P$202,$A38)&amp;"")</f>
        <v/>
      </c>
      <c r="O38" s="21">
        <f>IF($C38="","",INDEX(인턴근무계획!$Q$3:$Q$202,$A38)&amp;"")</f>
        <v/>
      </c>
      <c r="P38" s="21">
        <f>IF($C38="","",INDEX(인턴근무계획!$R$3:$R$202,$A38)&amp;"")</f>
        <v/>
      </c>
      <c r="Q38" s="21">
        <f>IF($C38="","",INDEX(인턴근무계획!$T$3:$T$202,$A38))</f>
        <v/>
      </c>
    </row>
    <row r="39">
      <c r="A39" s="24" t="n">
        <v>34</v>
      </c>
      <c r="B39" s="21">
        <f>IF($C39="","",INDEX(인턴근무계획!$B$3:$B$202,$A39))</f>
        <v/>
      </c>
      <c r="C39" s="21">
        <f>IFERROR(TRIM(INDEX(인턴근무계획!$C$3:$C$202,$A39)&amp;""),"")</f>
        <v/>
      </c>
      <c r="D39" s="21">
        <f>IF($C39="","",INDEX(인턴근무계획!$D$3:$D$202,$A39))</f>
        <v/>
      </c>
      <c r="E39" s="21">
        <f>IF($C39="","",IF(IFERROR(MATCH($D39,기본자료!$B$2:$B$501,0),IFERROR(MATCH($D39&amp;"",기본자료!$B$2:$B$501,0),IFERROR(MATCH(VALUE($D39),기본자료!$B$2:$B$501,0),0)))&gt;0,"확인","미등록"))</f>
        <v/>
      </c>
      <c r="F39" s="25">
        <f>IF($C39="","",INDEX(인턴근무계획!$S$3:$S$202,$A39))</f>
        <v/>
      </c>
      <c r="G39" s="21">
        <f>IF(OR($C39="",$G$3=""),"",IF(INDEX(인턴근무계획!$M$3:$R$202,$A39,$G$3)&amp;""="","",IF(LEFT(INDEX(인턴근무계획!$M$3:$R$202,$A39,$G$3)&amp;"",1)="⚠",INDEX(인턴근무계획!$M$3:$R$202,$A39,$G$3)&amp;"",LEFT(INDEX(인턴근무계획!$M$3:$R$202,$A39,$G$3)&amp;"",FIND(" ",INDEX(인턴근무계획!$M$3:$R$202,$A39,$G$3)&amp;"")-1))))</f>
        <v/>
      </c>
      <c r="H39" s="21">
        <f>IF(OR($C39="",$G$3=""),"",IF(INDEX(인턴근무계획!$M$3:$R$202,$A39,$G$3)&amp;""="","",IF(LEFT(INDEX(인턴근무계획!$M$3:$R$202,$A39,$G$3)&amp;"",1)="⚠","",MID(INDEX(인턴근무계획!$M$3:$R$202,$A39,$G$3)&amp;"",FIND(" ",INDEX(인턴근무계획!$M$3:$R$202,$A39,$G$3)&amp;"")+1,60))))</f>
        <v/>
      </c>
      <c r="I39" s="21">
        <f>IF(OR($C39="",$I$3=""),"",IF(INDEX(인턴근무계획!$M$3:$R$202,$A39,$I$3)&amp;""="","",IF(LEFT(INDEX(인턴근무계획!$M$3:$R$202,$A39,$I$3)&amp;"",1)="⚠",INDEX(인턴근무계획!$M$3:$R$202,$A39,$I$3)&amp;"",LEFT(INDEX(인턴근무계획!$M$3:$R$202,$A39,$I$3)&amp;"",FIND(" ",INDEX(인턴근무계획!$M$3:$R$202,$A39,$I$3)&amp;"")-1))))</f>
        <v/>
      </c>
      <c r="J39" s="21">
        <f>IF(OR($C39="",$I$3=""),"",IF(INDEX(인턴근무계획!$M$3:$R$202,$A39,$I$3)&amp;""="","",IF(LEFT(INDEX(인턴근무계획!$M$3:$R$202,$A39,$I$3)&amp;"",1)="⚠","",MID(INDEX(인턴근무계획!$M$3:$R$202,$A39,$I$3)&amp;"",FIND(" ",INDEX(인턴근무계획!$M$3:$R$202,$A39,$I$3)&amp;"")+1,60))))</f>
        <v/>
      </c>
      <c r="K39" s="21">
        <f>IF($C39="","",INDEX(인턴근무계획!$M$3:$M$202,$A39)&amp;"")</f>
        <v/>
      </c>
      <c r="L39" s="21">
        <f>IF($C39="","",INDEX(인턴근무계획!$N$3:$N$202,$A39)&amp;"")</f>
        <v/>
      </c>
      <c r="M39" s="21">
        <f>IF($C39="","",INDEX(인턴근무계획!$O$3:$O$202,$A39)&amp;"")</f>
        <v/>
      </c>
      <c r="N39" s="21">
        <f>IF($C39="","",INDEX(인턴근무계획!$P$3:$P$202,$A39)&amp;"")</f>
        <v/>
      </c>
      <c r="O39" s="21">
        <f>IF($C39="","",INDEX(인턴근무계획!$Q$3:$Q$202,$A39)&amp;"")</f>
        <v/>
      </c>
      <c r="P39" s="21">
        <f>IF($C39="","",INDEX(인턴근무계획!$R$3:$R$202,$A39)&amp;"")</f>
        <v/>
      </c>
      <c r="Q39" s="21">
        <f>IF($C39="","",INDEX(인턴근무계획!$T$3:$T$202,$A39))</f>
        <v/>
      </c>
    </row>
    <row r="40">
      <c r="A40" s="24" t="n">
        <v>35</v>
      </c>
      <c r="B40" s="21">
        <f>IF($C40="","",INDEX(인턴근무계획!$B$3:$B$202,$A40))</f>
        <v/>
      </c>
      <c r="C40" s="21">
        <f>IFERROR(TRIM(INDEX(인턴근무계획!$C$3:$C$202,$A40)&amp;""),"")</f>
        <v/>
      </c>
      <c r="D40" s="21">
        <f>IF($C40="","",INDEX(인턴근무계획!$D$3:$D$202,$A40))</f>
        <v/>
      </c>
      <c r="E40" s="21">
        <f>IF($C40="","",IF(IFERROR(MATCH($D40,기본자료!$B$2:$B$501,0),IFERROR(MATCH($D40&amp;"",기본자료!$B$2:$B$501,0),IFERROR(MATCH(VALUE($D40),기본자료!$B$2:$B$501,0),0)))&gt;0,"확인","미등록"))</f>
        <v/>
      </c>
      <c r="F40" s="25">
        <f>IF($C40="","",INDEX(인턴근무계획!$S$3:$S$202,$A40))</f>
        <v/>
      </c>
      <c r="G40" s="21">
        <f>IF(OR($C40="",$G$3=""),"",IF(INDEX(인턴근무계획!$M$3:$R$202,$A40,$G$3)&amp;""="","",IF(LEFT(INDEX(인턴근무계획!$M$3:$R$202,$A40,$G$3)&amp;"",1)="⚠",INDEX(인턴근무계획!$M$3:$R$202,$A40,$G$3)&amp;"",LEFT(INDEX(인턴근무계획!$M$3:$R$202,$A40,$G$3)&amp;"",FIND(" ",INDEX(인턴근무계획!$M$3:$R$202,$A40,$G$3)&amp;"")-1))))</f>
        <v/>
      </c>
      <c r="H40" s="21">
        <f>IF(OR($C40="",$G$3=""),"",IF(INDEX(인턴근무계획!$M$3:$R$202,$A40,$G$3)&amp;""="","",IF(LEFT(INDEX(인턴근무계획!$M$3:$R$202,$A40,$G$3)&amp;"",1)="⚠","",MID(INDEX(인턴근무계획!$M$3:$R$202,$A40,$G$3)&amp;"",FIND(" ",INDEX(인턴근무계획!$M$3:$R$202,$A40,$G$3)&amp;"")+1,60))))</f>
        <v/>
      </c>
      <c r="I40" s="21">
        <f>IF(OR($C40="",$I$3=""),"",IF(INDEX(인턴근무계획!$M$3:$R$202,$A40,$I$3)&amp;""="","",IF(LEFT(INDEX(인턴근무계획!$M$3:$R$202,$A40,$I$3)&amp;"",1)="⚠",INDEX(인턴근무계획!$M$3:$R$202,$A40,$I$3)&amp;"",LEFT(INDEX(인턴근무계획!$M$3:$R$202,$A40,$I$3)&amp;"",FIND(" ",INDEX(인턴근무계획!$M$3:$R$202,$A40,$I$3)&amp;"")-1))))</f>
        <v/>
      </c>
      <c r="J40" s="21">
        <f>IF(OR($C40="",$I$3=""),"",IF(INDEX(인턴근무계획!$M$3:$R$202,$A40,$I$3)&amp;""="","",IF(LEFT(INDEX(인턴근무계획!$M$3:$R$202,$A40,$I$3)&amp;"",1)="⚠","",MID(INDEX(인턴근무계획!$M$3:$R$202,$A40,$I$3)&amp;"",FIND(" ",INDEX(인턴근무계획!$M$3:$R$202,$A40,$I$3)&amp;"")+1,60))))</f>
        <v/>
      </c>
      <c r="K40" s="21">
        <f>IF($C40="","",INDEX(인턴근무계획!$M$3:$M$202,$A40)&amp;"")</f>
        <v/>
      </c>
      <c r="L40" s="21">
        <f>IF($C40="","",INDEX(인턴근무계획!$N$3:$N$202,$A40)&amp;"")</f>
        <v/>
      </c>
      <c r="M40" s="21">
        <f>IF($C40="","",INDEX(인턴근무계획!$O$3:$O$202,$A40)&amp;"")</f>
        <v/>
      </c>
      <c r="N40" s="21">
        <f>IF($C40="","",INDEX(인턴근무계획!$P$3:$P$202,$A40)&amp;"")</f>
        <v/>
      </c>
      <c r="O40" s="21">
        <f>IF($C40="","",INDEX(인턴근무계획!$Q$3:$Q$202,$A40)&amp;"")</f>
        <v/>
      </c>
      <c r="P40" s="21">
        <f>IF($C40="","",INDEX(인턴근무계획!$R$3:$R$202,$A40)&amp;"")</f>
        <v/>
      </c>
      <c r="Q40" s="21">
        <f>IF($C40="","",INDEX(인턴근무계획!$T$3:$T$202,$A40))</f>
        <v/>
      </c>
    </row>
    <row r="41">
      <c r="A41" s="24" t="n">
        <v>36</v>
      </c>
      <c r="B41" s="21">
        <f>IF($C41="","",INDEX(인턴근무계획!$B$3:$B$202,$A41))</f>
        <v/>
      </c>
      <c r="C41" s="21">
        <f>IFERROR(TRIM(INDEX(인턴근무계획!$C$3:$C$202,$A41)&amp;""),"")</f>
        <v/>
      </c>
      <c r="D41" s="21">
        <f>IF($C41="","",INDEX(인턴근무계획!$D$3:$D$202,$A41))</f>
        <v/>
      </c>
      <c r="E41" s="21">
        <f>IF($C41="","",IF(IFERROR(MATCH($D41,기본자료!$B$2:$B$501,0),IFERROR(MATCH($D41&amp;"",기본자료!$B$2:$B$501,0),IFERROR(MATCH(VALUE($D41),기본자료!$B$2:$B$501,0),0)))&gt;0,"확인","미등록"))</f>
        <v/>
      </c>
      <c r="F41" s="25">
        <f>IF($C41="","",INDEX(인턴근무계획!$S$3:$S$202,$A41))</f>
        <v/>
      </c>
      <c r="G41" s="21">
        <f>IF(OR($C41="",$G$3=""),"",IF(INDEX(인턴근무계획!$M$3:$R$202,$A41,$G$3)&amp;""="","",IF(LEFT(INDEX(인턴근무계획!$M$3:$R$202,$A41,$G$3)&amp;"",1)="⚠",INDEX(인턴근무계획!$M$3:$R$202,$A41,$G$3)&amp;"",LEFT(INDEX(인턴근무계획!$M$3:$R$202,$A41,$G$3)&amp;"",FIND(" ",INDEX(인턴근무계획!$M$3:$R$202,$A41,$G$3)&amp;"")-1))))</f>
        <v/>
      </c>
      <c r="H41" s="21">
        <f>IF(OR($C41="",$G$3=""),"",IF(INDEX(인턴근무계획!$M$3:$R$202,$A41,$G$3)&amp;""="","",IF(LEFT(INDEX(인턴근무계획!$M$3:$R$202,$A41,$G$3)&amp;"",1)="⚠","",MID(INDEX(인턴근무계획!$M$3:$R$202,$A41,$G$3)&amp;"",FIND(" ",INDEX(인턴근무계획!$M$3:$R$202,$A41,$G$3)&amp;"")+1,60))))</f>
        <v/>
      </c>
      <c r="I41" s="21">
        <f>IF(OR($C41="",$I$3=""),"",IF(INDEX(인턴근무계획!$M$3:$R$202,$A41,$I$3)&amp;""="","",IF(LEFT(INDEX(인턴근무계획!$M$3:$R$202,$A41,$I$3)&amp;"",1)="⚠",INDEX(인턴근무계획!$M$3:$R$202,$A41,$I$3)&amp;"",LEFT(INDEX(인턴근무계획!$M$3:$R$202,$A41,$I$3)&amp;"",FIND(" ",INDEX(인턴근무계획!$M$3:$R$202,$A41,$I$3)&amp;"")-1))))</f>
        <v/>
      </c>
      <c r="J41" s="21">
        <f>IF(OR($C41="",$I$3=""),"",IF(INDEX(인턴근무계획!$M$3:$R$202,$A41,$I$3)&amp;""="","",IF(LEFT(INDEX(인턴근무계획!$M$3:$R$202,$A41,$I$3)&amp;"",1)="⚠","",MID(INDEX(인턴근무계획!$M$3:$R$202,$A41,$I$3)&amp;"",FIND(" ",INDEX(인턴근무계획!$M$3:$R$202,$A41,$I$3)&amp;"")+1,60))))</f>
        <v/>
      </c>
      <c r="K41" s="21">
        <f>IF($C41="","",INDEX(인턴근무계획!$M$3:$M$202,$A41)&amp;"")</f>
        <v/>
      </c>
      <c r="L41" s="21">
        <f>IF($C41="","",INDEX(인턴근무계획!$N$3:$N$202,$A41)&amp;"")</f>
        <v/>
      </c>
      <c r="M41" s="21">
        <f>IF($C41="","",INDEX(인턴근무계획!$O$3:$O$202,$A41)&amp;"")</f>
        <v/>
      </c>
      <c r="N41" s="21">
        <f>IF($C41="","",INDEX(인턴근무계획!$P$3:$P$202,$A41)&amp;"")</f>
        <v/>
      </c>
      <c r="O41" s="21">
        <f>IF($C41="","",INDEX(인턴근무계획!$Q$3:$Q$202,$A41)&amp;"")</f>
        <v/>
      </c>
      <c r="P41" s="21">
        <f>IF($C41="","",INDEX(인턴근무계획!$R$3:$R$202,$A41)&amp;"")</f>
        <v/>
      </c>
      <c r="Q41" s="21">
        <f>IF($C41="","",INDEX(인턴근무계획!$T$3:$T$202,$A41))</f>
        <v/>
      </c>
    </row>
    <row r="42">
      <c r="A42" s="24" t="n">
        <v>37</v>
      </c>
      <c r="B42" s="21">
        <f>IF($C42="","",INDEX(인턴근무계획!$B$3:$B$202,$A42))</f>
        <v/>
      </c>
      <c r="C42" s="21">
        <f>IFERROR(TRIM(INDEX(인턴근무계획!$C$3:$C$202,$A42)&amp;""),"")</f>
        <v/>
      </c>
      <c r="D42" s="21">
        <f>IF($C42="","",INDEX(인턴근무계획!$D$3:$D$202,$A42))</f>
        <v/>
      </c>
      <c r="E42" s="21">
        <f>IF($C42="","",IF(IFERROR(MATCH($D42,기본자료!$B$2:$B$501,0),IFERROR(MATCH($D42&amp;"",기본자료!$B$2:$B$501,0),IFERROR(MATCH(VALUE($D42),기본자료!$B$2:$B$501,0),0)))&gt;0,"확인","미등록"))</f>
        <v/>
      </c>
      <c r="F42" s="25">
        <f>IF($C42="","",INDEX(인턴근무계획!$S$3:$S$202,$A42))</f>
        <v/>
      </c>
      <c r="G42" s="21">
        <f>IF(OR($C42="",$G$3=""),"",IF(INDEX(인턴근무계획!$M$3:$R$202,$A42,$G$3)&amp;""="","",IF(LEFT(INDEX(인턴근무계획!$M$3:$R$202,$A42,$G$3)&amp;"",1)="⚠",INDEX(인턴근무계획!$M$3:$R$202,$A42,$G$3)&amp;"",LEFT(INDEX(인턴근무계획!$M$3:$R$202,$A42,$G$3)&amp;"",FIND(" ",INDEX(인턴근무계획!$M$3:$R$202,$A42,$G$3)&amp;"")-1))))</f>
        <v/>
      </c>
      <c r="H42" s="21">
        <f>IF(OR($C42="",$G$3=""),"",IF(INDEX(인턴근무계획!$M$3:$R$202,$A42,$G$3)&amp;""="","",IF(LEFT(INDEX(인턴근무계획!$M$3:$R$202,$A42,$G$3)&amp;"",1)="⚠","",MID(INDEX(인턴근무계획!$M$3:$R$202,$A42,$G$3)&amp;"",FIND(" ",INDEX(인턴근무계획!$M$3:$R$202,$A42,$G$3)&amp;"")+1,60))))</f>
        <v/>
      </c>
      <c r="I42" s="21">
        <f>IF(OR($C42="",$I$3=""),"",IF(INDEX(인턴근무계획!$M$3:$R$202,$A42,$I$3)&amp;""="","",IF(LEFT(INDEX(인턴근무계획!$M$3:$R$202,$A42,$I$3)&amp;"",1)="⚠",INDEX(인턴근무계획!$M$3:$R$202,$A42,$I$3)&amp;"",LEFT(INDEX(인턴근무계획!$M$3:$R$202,$A42,$I$3)&amp;"",FIND(" ",INDEX(인턴근무계획!$M$3:$R$202,$A42,$I$3)&amp;"")-1))))</f>
        <v/>
      </c>
      <c r="J42" s="21">
        <f>IF(OR($C42="",$I$3=""),"",IF(INDEX(인턴근무계획!$M$3:$R$202,$A42,$I$3)&amp;""="","",IF(LEFT(INDEX(인턴근무계획!$M$3:$R$202,$A42,$I$3)&amp;"",1)="⚠","",MID(INDEX(인턴근무계획!$M$3:$R$202,$A42,$I$3)&amp;"",FIND(" ",INDEX(인턴근무계획!$M$3:$R$202,$A42,$I$3)&amp;"")+1,60))))</f>
        <v/>
      </c>
      <c r="K42" s="21">
        <f>IF($C42="","",INDEX(인턴근무계획!$M$3:$M$202,$A42)&amp;"")</f>
        <v/>
      </c>
      <c r="L42" s="21">
        <f>IF($C42="","",INDEX(인턴근무계획!$N$3:$N$202,$A42)&amp;"")</f>
        <v/>
      </c>
      <c r="M42" s="21">
        <f>IF($C42="","",INDEX(인턴근무계획!$O$3:$O$202,$A42)&amp;"")</f>
        <v/>
      </c>
      <c r="N42" s="21">
        <f>IF($C42="","",INDEX(인턴근무계획!$P$3:$P$202,$A42)&amp;"")</f>
        <v/>
      </c>
      <c r="O42" s="21">
        <f>IF($C42="","",INDEX(인턴근무계획!$Q$3:$Q$202,$A42)&amp;"")</f>
        <v/>
      </c>
      <c r="P42" s="21">
        <f>IF($C42="","",INDEX(인턴근무계획!$R$3:$R$202,$A42)&amp;"")</f>
        <v/>
      </c>
      <c r="Q42" s="21">
        <f>IF($C42="","",INDEX(인턴근무계획!$T$3:$T$202,$A42))</f>
        <v/>
      </c>
    </row>
    <row r="43">
      <c r="A43" s="24" t="n">
        <v>38</v>
      </c>
      <c r="B43" s="21">
        <f>IF($C43="","",INDEX(인턴근무계획!$B$3:$B$202,$A43))</f>
        <v/>
      </c>
      <c r="C43" s="21">
        <f>IFERROR(TRIM(INDEX(인턴근무계획!$C$3:$C$202,$A43)&amp;""),"")</f>
        <v/>
      </c>
      <c r="D43" s="21">
        <f>IF($C43="","",INDEX(인턴근무계획!$D$3:$D$202,$A43))</f>
        <v/>
      </c>
      <c r="E43" s="21">
        <f>IF($C43="","",IF(IFERROR(MATCH($D43,기본자료!$B$2:$B$501,0),IFERROR(MATCH($D43&amp;"",기본자료!$B$2:$B$501,0),IFERROR(MATCH(VALUE($D43),기본자료!$B$2:$B$501,0),0)))&gt;0,"확인","미등록"))</f>
        <v/>
      </c>
      <c r="F43" s="25">
        <f>IF($C43="","",INDEX(인턴근무계획!$S$3:$S$202,$A43))</f>
        <v/>
      </c>
      <c r="G43" s="21">
        <f>IF(OR($C43="",$G$3=""),"",IF(INDEX(인턴근무계획!$M$3:$R$202,$A43,$G$3)&amp;""="","",IF(LEFT(INDEX(인턴근무계획!$M$3:$R$202,$A43,$G$3)&amp;"",1)="⚠",INDEX(인턴근무계획!$M$3:$R$202,$A43,$G$3)&amp;"",LEFT(INDEX(인턴근무계획!$M$3:$R$202,$A43,$G$3)&amp;"",FIND(" ",INDEX(인턴근무계획!$M$3:$R$202,$A43,$G$3)&amp;"")-1))))</f>
        <v/>
      </c>
      <c r="H43" s="21">
        <f>IF(OR($C43="",$G$3=""),"",IF(INDEX(인턴근무계획!$M$3:$R$202,$A43,$G$3)&amp;""="","",IF(LEFT(INDEX(인턴근무계획!$M$3:$R$202,$A43,$G$3)&amp;"",1)="⚠","",MID(INDEX(인턴근무계획!$M$3:$R$202,$A43,$G$3)&amp;"",FIND(" ",INDEX(인턴근무계획!$M$3:$R$202,$A43,$G$3)&amp;"")+1,60))))</f>
        <v/>
      </c>
      <c r="I43" s="21">
        <f>IF(OR($C43="",$I$3=""),"",IF(INDEX(인턴근무계획!$M$3:$R$202,$A43,$I$3)&amp;""="","",IF(LEFT(INDEX(인턴근무계획!$M$3:$R$202,$A43,$I$3)&amp;"",1)="⚠",INDEX(인턴근무계획!$M$3:$R$202,$A43,$I$3)&amp;"",LEFT(INDEX(인턴근무계획!$M$3:$R$202,$A43,$I$3)&amp;"",FIND(" ",INDEX(인턴근무계획!$M$3:$R$202,$A43,$I$3)&amp;"")-1))))</f>
        <v/>
      </c>
      <c r="J43" s="21">
        <f>IF(OR($C43="",$I$3=""),"",IF(INDEX(인턴근무계획!$M$3:$R$202,$A43,$I$3)&amp;""="","",IF(LEFT(INDEX(인턴근무계획!$M$3:$R$202,$A43,$I$3)&amp;"",1)="⚠","",MID(INDEX(인턴근무계획!$M$3:$R$202,$A43,$I$3)&amp;"",FIND(" ",INDEX(인턴근무계획!$M$3:$R$202,$A43,$I$3)&amp;"")+1,60))))</f>
        <v/>
      </c>
      <c r="K43" s="21">
        <f>IF($C43="","",INDEX(인턴근무계획!$M$3:$M$202,$A43)&amp;"")</f>
        <v/>
      </c>
      <c r="L43" s="21">
        <f>IF($C43="","",INDEX(인턴근무계획!$N$3:$N$202,$A43)&amp;"")</f>
        <v/>
      </c>
      <c r="M43" s="21">
        <f>IF($C43="","",INDEX(인턴근무계획!$O$3:$O$202,$A43)&amp;"")</f>
        <v/>
      </c>
      <c r="N43" s="21">
        <f>IF($C43="","",INDEX(인턴근무계획!$P$3:$P$202,$A43)&amp;"")</f>
        <v/>
      </c>
      <c r="O43" s="21">
        <f>IF($C43="","",INDEX(인턴근무계획!$Q$3:$Q$202,$A43)&amp;"")</f>
        <v/>
      </c>
      <c r="P43" s="21">
        <f>IF($C43="","",INDEX(인턴근무계획!$R$3:$R$202,$A43)&amp;"")</f>
        <v/>
      </c>
      <c r="Q43" s="21">
        <f>IF($C43="","",INDEX(인턴근무계획!$T$3:$T$202,$A43))</f>
        <v/>
      </c>
    </row>
    <row r="44">
      <c r="A44" s="24" t="n">
        <v>39</v>
      </c>
      <c r="B44" s="21">
        <f>IF($C44="","",INDEX(인턴근무계획!$B$3:$B$202,$A44))</f>
        <v/>
      </c>
      <c r="C44" s="21">
        <f>IFERROR(TRIM(INDEX(인턴근무계획!$C$3:$C$202,$A44)&amp;""),"")</f>
        <v/>
      </c>
      <c r="D44" s="21">
        <f>IF($C44="","",INDEX(인턴근무계획!$D$3:$D$202,$A44))</f>
        <v/>
      </c>
      <c r="E44" s="21">
        <f>IF($C44="","",IF(IFERROR(MATCH($D44,기본자료!$B$2:$B$501,0),IFERROR(MATCH($D44&amp;"",기본자료!$B$2:$B$501,0),IFERROR(MATCH(VALUE($D44),기본자료!$B$2:$B$501,0),0)))&gt;0,"확인","미등록"))</f>
        <v/>
      </c>
      <c r="F44" s="25">
        <f>IF($C44="","",INDEX(인턴근무계획!$S$3:$S$202,$A44))</f>
        <v/>
      </c>
      <c r="G44" s="21">
        <f>IF(OR($C44="",$G$3=""),"",IF(INDEX(인턴근무계획!$M$3:$R$202,$A44,$G$3)&amp;""="","",IF(LEFT(INDEX(인턴근무계획!$M$3:$R$202,$A44,$G$3)&amp;"",1)="⚠",INDEX(인턴근무계획!$M$3:$R$202,$A44,$G$3)&amp;"",LEFT(INDEX(인턴근무계획!$M$3:$R$202,$A44,$G$3)&amp;"",FIND(" ",INDEX(인턴근무계획!$M$3:$R$202,$A44,$G$3)&amp;"")-1))))</f>
        <v/>
      </c>
      <c r="H44" s="21">
        <f>IF(OR($C44="",$G$3=""),"",IF(INDEX(인턴근무계획!$M$3:$R$202,$A44,$G$3)&amp;""="","",IF(LEFT(INDEX(인턴근무계획!$M$3:$R$202,$A44,$G$3)&amp;"",1)="⚠","",MID(INDEX(인턴근무계획!$M$3:$R$202,$A44,$G$3)&amp;"",FIND(" ",INDEX(인턴근무계획!$M$3:$R$202,$A44,$G$3)&amp;"")+1,60))))</f>
        <v/>
      </c>
      <c r="I44" s="21">
        <f>IF(OR($C44="",$I$3=""),"",IF(INDEX(인턴근무계획!$M$3:$R$202,$A44,$I$3)&amp;""="","",IF(LEFT(INDEX(인턴근무계획!$M$3:$R$202,$A44,$I$3)&amp;"",1)="⚠",INDEX(인턴근무계획!$M$3:$R$202,$A44,$I$3)&amp;"",LEFT(INDEX(인턴근무계획!$M$3:$R$202,$A44,$I$3)&amp;"",FIND(" ",INDEX(인턴근무계획!$M$3:$R$202,$A44,$I$3)&amp;"")-1))))</f>
        <v/>
      </c>
      <c r="J44" s="21">
        <f>IF(OR($C44="",$I$3=""),"",IF(INDEX(인턴근무계획!$M$3:$R$202,$A44,$I$3)&amp;""="","",IF(LEFT(INDEX(인턴근무계획!$M$3:$R$202,$A44,$I$3)&amp;"",1)="⚠","",MID(INDEX(인턴근무계획!$M$3:$R$202,$A44,$I$3)&amp;"",FIND(" ",INDEX(인턴근무계획!$M$3:$R$202,$A44,$I$3)&amp;"")+1,60))))</f>
        <v/>
      </c>
      <c r="K44" s="21">
        <f>IF($C44="","",INDEX(인턴근무계획!$M$3:$M$202,$A44)&amp;"")</f>
        <v/>
      </c>
      <c r="L44" s="21">
        <f>IF($C44="","",INDEX(인턴근무계획!$N$3:$N$202,$A44)&amp;"")</f>
        <v/>
      </c>
      <c r="M44" s="21">
        <f>IF($C44="","",INDEX(인턴근무계획!$O$3:$O$202,$A44)&amp;"")</f>
        <v/>
      </c>
      <c r="N44" s="21">
        <f>IF($C44="","",INDEX(인턴근무계획!$P$3:$P$202,$A44)&amp;"")</f>
        <v/>
      </c>
      <c r="O44" s="21">
        <f>IF($C44="","",INDEX(인턴근무계획!$Q$3:$Q$202,$A44)&amp;"")</f>
        <v/>
      </c>
      <c r="P44" s="21">
        <f>IF($C44="","",INDEX(인턴근무계획!$R$3:$R$202,$A44)&amp;"")</f>
        <v/>
      </c>
      <c r="Q44" s="21">
        <f>IF($C44="","",INDEX(인턴근무계획!$T$3:$T$202,$A44))</f>
        <v/>
      </c>
    </row>
    <row r="45">
      <c r="A45" s="24" t="n">
        <v>40</v>
      </c>
      <c r="B45" s="21">
        <f>IF($C45="","",INDEX(인턴근무계획!$B$3:$B$202,$A45))</f>
        <v/>
      </c>
      <c r="C45" s="21">
        <f>IFERROR(TRIM(INDEX(인턴근무계획!$C$3:$C$202,$A45)&amp;""),"")</f>
        <v/>
      </c>
      <c r="D45" s="21">
        <f>IF($C45="","",INDEX(인턴근무계획!$D$3:$D$202,$A45))</f>
        <v/>
      </c>
      <c r="E45" s="21">
        <f>IF($C45="","",IF(IFERROR(MATCH($D45,기본자료!$B$2:$B$501,0),IFERROR(MATCH($D45&amp;"",기본자료!$B$2:$B$501,0),IFERROR(MATCH(VALUE($D45),기본자료!$B$2:$B$501,0),0)))&gt;0,"확인","미등록"))</f>
        <v/>
      </c>
      <c r="F45" s="25">
        <f>IF($C45="","",INDEX(인턴근무계획!$S$3:$S$202,$A45))</f>
        <v/>
      </c>
      <c r="G45" s="21">
        <f>IF(OR($C45="",$G$3=""),"",IF(INDEX(인턴근무계획!$M$3:$R$202,$A45,$G$3)&amp;""="","",IF(LEFT(INDEX(인턴근무계획!$M$3:$R$202,$A45,$G$3)&amp;"",1)="⚠",INDEX(인턴근무계획!$M$3:$R$202,$A45,$G$3)&amp;"",LEFT(INDEX(인턴근무계획!$M$3:$R$202,$A45,$G$3)&amp;"",FIND(" ",INDEX(인턴근무계획!$M$3:$R$202,$A45,$G$3)&amp;"")-1))))</f>
        <v/>
      </c>
      <c r="H45" s="21">
        <f>IF(OR($C45="",$G$3=""),"",IF(INDEX(인턴근무계획!$M$3:$R$202,$A45,$G$3)&amp;""="","",IF(LEFT(INDEX(인턴근무계획!$M$3:$R$202,$A45,$G$3)&amp;"",1)="⚠","",MID(INDEX(인턴근무계획!$M$3:$R$202,$A45,$G$3)&amp;"",FIND(" ",INDEX(인턴근무계획!$M$3:$R$202,$A45,$G$3)&amp;"")+1,60))))</f>
        <v/>
      </c>
      <c r="I45" s="21">
        <f>IF(OR($C45="",$I$3=""),"",IF(INDEX(인턴근무계획!$M$3:$R$202,$A45,$I$3)&amp;""="","",IF(LEFT(INDEX(인턴근무계획!$M$3:$R$202,$A45,$I$3)&amp;"",1)="⚠",INDEX(인턴근무계획!$M$3:$R$202,$A45,$I$3)&amp;"",LEFT(INDEX(인턴근무계획!$M$3:$R$202,$A45,$I$3)&amp;"",FIND(" ",INDEX(인턴근무계획!$M$3:$R$202,$A45,$I$3)&amp;"")-1))))</f>
        <v/>
      </c>
      <c r="J45" s="21">
        <f>IF(OR($C45="",$I$3=""),"",IF(INDEX(인턴근무계획!$M$3:$R$202,$A45,$I$3)&amp;""="","",IF(LEFT(INDEX(인턴근무계획!$M$3:$R$202,$A45,$I$3)&amp;"",1)="⚠","",MID(INDEX(인턴근무계획!$M$3:$R$202,$A45,$I$3)&amp;"",FIND(" ",INDEX(인턴근무계획!$M$3:$R$202,$A45,$I$3)&amp;"")+1,60))))</f>
        <v/>
      </c>
      <c r="K45" s="21">
        <f>IF($C45="","",INDEX(인턴근무계획!$M$3:$M$202,$A45)&amp;"")</f>
        <v/>
      </c>
      <c r="L45" s="21">
        <f>IF($C45="","",INDEX(인턴근무계획!$N$3:$N$202,$A45)&amp;"")</f>
        <v/>
      </c>
      <c r="M45" s="21">
        <f>IF($C45="","",INDEX(인턴근무계획!$O$3:$O$202,$A45)&amp;"")</f>
        <v/>
      </c>
      <c r="N45" s="21">
        <f>IF($C45="","",INDEX(인턴근무계획!$P$3:$P$202,$A45)&amp;"")</f>
        <v/>
      </c>
      <c r="O45" s="21">
        <f>IF($C45="","",INDEX(인턴근무계획!$Q$3:$Q$202,$A45)&amp;"")</f>
        <v/>
      </c>
      <c r="P45" s="21">
        <f>IF($C45="","",INDEX(인턴근무계획!$R$3:$R$202,$A45)&amp;"")</f>
        <v/>
      </c>
      <c r="Q45" s="21">
        <f>IF($C45="","",INDEX(인턴근무계획!$T$3:$T$202,$A45))</f>
        <v/>
      </c>
    </row>
    <row r="46">
      <c r="A46" s="24" t="n">
        <v>41</v>
      </c>
      <c r="B46" s="21">
        <f>IF($C46="","",INDEX(인턴근무계획!$B$3:$B$202,$A46))</f>
        <v/>
      </c>
      <c r="C46" s="21">
        <f>IFERROR(TRIM(INDEX(인턴근무계획!$C$3:$C$202,$A46)&amp;""),"")</f>
        <v/>
      </c>
      <c r="D46" s="21">
        <f>IF($C46="","",INDEX(인턴근무계획!$D$3:$D$202,$A46))</f>
        <v/>
      </c>
      <c r="E46" s="21">
        <f>IF($C46="","",IF(IFERROR(MATCH($D46,기본자료!$B$2:$B$501,0),IFERROR(MATCH($D46&amp;"",기본자료!$B$2:$B$501,0),IFERROR(MATCH(VALUE($D46),기본자료!$B$2:$B$501,0),0)))&gt;0,"확인","미등록"))</f>
        <v/>
      </c>
      <c r="F46" s="25">
        <f>IF($C46="","",INDEX(인턴근무계획!$S$3:$S$202,$A46))</f>
        <v/>
      </c>
      <c r="G46" s="21">
        <f>IF(OR($C46="",$G$3=""),"",IF(INDEX(인턴근무계획!$M$3:$R$202,$A46,$G$3)&amp;""="","",IF(LEFT(INDEX(인턴근무계획!$M$3:$R$202,$A46,$G$3)&amp;"",1)="⚠",INDEX(인턴근무계획!$M$3:$R$202,$A46,$G$3)&amp;"",LEFT(INDEX(인턴근무계획!$M$3:$R$202,$A46,$G$3)&amp;"",FIND(" ",INDEX(인턴근무계획!$M$3:$R$202,$A46,$G$3)&amp;"")-1))))</f>
        <v/>
      </c>
      <c r="H46" s="21">
        <f>IF(OR($C46="",$G$3=""),"",IF(INDEX(인턴근무계획!$M$3:$R$202,$A46,$G$3)&amp;""="","",IF(LEFT(INDEX(인턴근무계획!$M$3:$R$202,$A46,$G$3)&amp;"",1)="⚠","",MID(INDEX(인턴근무계획!$M$3:$R$202,$A46,$G$3)&amp;"",FIND(" ",INDEX(인턴근무계획!$M$3:$R$202,$A46,$G$3)&amp;"")+1,60))))</f>
        <v/>
      </c>
      <c r="I46" s="21">
        <f>IF(OR($C46="",$I$3=""),"",IF(INDEX(인턴근무계획!$M$3:$R$202,$A46,$I$3)&amp;""="","",IF(LEFT(INDEX(인턴근무계획!$M$3:$R$202,$A46,$I$3)&amp;"",1)="⚠",INDEX(인턴근무계획!$M$3:$R$202,$A46,$I$3)&amp;"",LEFT(INDEX(인턴근무계획!$M$3:$R$202,$A46,$I$3)&amp;"",FIND(" ",INDEX(인턴근무계획!$M$3:$R$202,$A46,$I$3)&amp;"")-1))))</f>
        <v/>
      </c>
      <c r="J46" s="21">
        <f>IF(OR($C46="",$I$3=""),"",IF(INDEX(인턴근무계획!$M$3:$R$202,$A46,$I$3)&amp;""="","",IF(LEFT(INDEX(인턴근무계획!$M$3:$R$202,$A46,$I$3)&amp;"",1)="⚠","",MID(INDEX(인턴근무계획!$M$3:$R$202,$A46,$I$3)&amp;"",FIND(" ",INDEX(인턴근무계획!$M$3:$R$202,$A46,$I$3)&amp;"")+1,60))))</f>
        <v/>
      </c>
      <c r="K46" s="21">
        <f>IF($C46="","",INDEX(인턴근무계획!$M$3:$M$202,$A46)&amp;"")</f>
        <v/>
      </c>
      <c r="L46" s="21">
        <f>IF($C46="","",INDEX(인턴근무계획!$N$3:$N$202,$A46)&amp;"")</f>
        <v/>
      </c>
      <c r="M46" s="21">
        <f>IF($C46="","",INDEX(인턴근무계획!$O$3:$O$202,$A46)&amp;"")</f>
        <v/>
      </c>
      <c r="N46" s="21">
        <f>IF($C46="","",INDEX(인턴근무계획!$P$3:$P$202,$A46)&amp;"")</f>
        <v/>
      </c>
      <c r="O46" s="21">
        <f>IF($C46="","",INDEX(인턴근무계획!$Q$3:$Q$202,$A46)&amp;"")</f>
        <v/>
      </c>
      <c r="P46" s="21">
        <f>IF($C46="","",INDEX(인턴근무계획!$R$3:$R$202,$A46)&amp;"")</f>
        <v/>
      </c>
      <c r="Q46" s="21">
        <f>IF($C46="","",INDEX(인턴근무계획!$T$3:$T$202,$A46))</f>
        <v/>
      </c>
    </row>
    <row r="47">
      <c r="A47" s="24" t="n">
        <v>42</v>
      </c>
      <c r="B47" s="21">
        <f>IF($C47="","",INDEX(인턴근무계획!$B$3:$B$202,$A47))</f>
        <v/>
      </c>
      <c r="C47" s="21">
        <f>IFERROR(TRIM(INDEX(인턴근무계획!$C$3:$C$202,$A47)&amp;""),"")</f>
        <v/>
      </c>
      <c r="D47" s="21">
        <f>IF($C47="","",INDEX(인턴근무계획!$D$3:$D$202,$A47))</f>
        <v/>
      </c>
      <c r="E47" s="21">
        <f>IF($C47="","",IF(IFERROR(MATCH($D47,기본자료!$B$2:$B$501,0),IFERROR(MATCH($D47&amp;"",기본자료!$B$2:$B$501,0),IFERROR(MATCH(VALUE($D47),기본자료!$B$2:$B$501,0),0)))&gt;0,"확인","미등록"))</f>
        <v/>
      </c>
      <c r="F47" s="25">
        <f>IF($C47="","",INDEX(인턴근무계획!$S$3:$S$202,$A47))</f>
        <v/>
      </c>
      <c r="G47" s="21">
        <f>IF(OR($C47="",$G$3=""),"",IF(INDEX(인턴근무계획!$M$3:$R$202,$A47,$G$3)&amp;""="","",IF(LEFT(INDEX(인턴근무계획!$M$3:$R$202,$A47,$G$3)&amp;"",1)="⚠",INDEX(인턴근무계획!$M$3:$R$202,$A47,$G$3)&amp;"",LEFT(INDEX(인턴근무계획!$M$3:$R$202,$A47,$G$3)&amp;"",FIND(" ",INDEX(인턴근무계획!$M$3:$R$202,$A47,$G$3)&amp;"")-1))))</f>
        <v/>
      </c>
      <c r="H47" s="21">
        <f>IF(OR($C47="",$G$3=""),"",IF(INDEX(인턴근무계획!$M$3:$R$202,$A47,$G$3)&amp;""="","",IF(LEFT(INDEX(인턴근무계획!$M$3:$R$202,$A47,$G$3)&amp;"",1)="⚠","",MID(INDEX(인턴근무계획!$M$3:$R$202,$A47,$G$3)&amp;"",FIND(" ",INDEX(인턴근무계획!$M$3:$R$202,$A47,$G$3)&amp;"")+1,60))))</f>
        <v/>
      </c>
      <c r="I47" s="21">
        <f>IF(OR($C47="",$I$3=""),"",IF(INDEX(인턴근무계획!$M$3:$R$202,$A47,$I$3)&amp;""="","",IF(LEFT(INDEX(인턴근무계획!$M$3:$R$202,$A47,$I$3)&amp;"",1)="⚠",INDEX(인턴근무계획!$M$3:$R$202,$A47,$I$3)&amp;"",LEFT(INDEX(인턴근무계획!$M$3:$R$202,$A47,$I$3)&amp;"",FIND(" ",INDEX(인턴근무계획!$M$3:$R$202,$A47,$I$3)&amp;"")-1))))</f>
        <v/>
      </c>
      <c r="J47" s="21">
        <f>IF(OR($C47="",$I$3=""),"",IF(INDEX(인턴근무계획!$M$3:$R$202,$A47,$I$3)&amp;""="","",IF(LEFT(INDEX(인턴근무계획!$M$3:$R$202,$A47,$I$3)&amp;"",1)="⚠","",MID(INDEX(인턴근무계획!$M$3:$R$202,$A47,$I$3)&amp;"",FIND(" ",INDEX(인턴근무계획!$M$3:$R$202,$A47,$I$3)&amp;"")+1,60))))</f>
        <v/>
      </c>
      <c r="K47" s="21">
        <f>IF($C47="","",INDEX(인턴근무계획!$M$3:$M$202,$A47)&amp;"")</f>
        <v/>
      </c>
      <c r="L47" s="21">
        <f>IF($C47="","",INDEX(인턴근무계획!$N$3:$N$202,$A47)&amp;"")</f>
        <v/>
      </c>
      <c r="M47" s="21">
        <f>IF($C47="","",INDEX(인턴근무계획!$O$3:$O$202,$A47)&amp;"")</f>
        <v/>
      </c>
      <c r="N47" s="21">
        <f>IF($C47="","",INDEX(인턴근무계획!$P$3:$P$202,$A47)&amp;"")</f>
        <v/>
      </c>
      <c r="O47" s="21">
        <f>IF($C47="","",INDEX(인턴근무계획!$Q$3:$Q$202,$A47)&amp;"")</f>
        <v/>
      </c>
      <c r="P47" s="21">
        <f>IF($C47="","",INDEX(인턴근무계획!$R$3:$R$202,$A47)&amp;"")</f>
        <v/>
      </c>
      <c r="Q47" s="21">
        <f>IF($C47="","",INDEX(인턴근무계획!$T$3:$T$202,$A47))</f>
        <v/>
      </c>
    </row>
    <row r="48">
      <c r="A48" s="24" t="n">
        <v>43</v>
      </c>
      <c r="B48" s="21">
        <f>IF($C48="","",INDEX(인턴근무계획!$B$3:$B$202,$A48))</f>
        <v/>
      </c>
      <c r="C48" s="21">
        <f>IFERROR(TRIM(INDEX(인턴근무계획!$C$3:$C$202,$A48)&amp;""),"")</f>
        <v/>
      </c>
      <c r="D48" s="21">
        <f>IF($C48="","",INDEX(인턴근무계획!$D$3:$D$202,$A48))</f>
        <v/>
      </c>
      <c r="E48" s="21">
        <f>IF($C48="","",IF(IFERROR(MATCH($D48,기본자료!$B$2:$B$501,0),IFERROR(MATCH($D48&amp;"",기본자료!$B$2:$B$501,0),IFERROR(MATCH(VALUE($D48),기본자료!$B$2:$B$501,0),0)))&gt;0,"확인","미등록"))</f>
        <v/>
      </c>
      <c r="F48" s="25">
        <f>IF($C48="","",INDEX(인턴근무계획!$S$3:$S$202,$A48))</f>
        <v/>
      </c>
      <c r="G48" s="21">
        <f>IF(OR($C48="",$G$3=""),"",IF(INDEX(인턴근무계획!$M$3:$R$202,$A48,$G$3)&amp;""="","",IF(LEFT(INDEX(인턴근무계획!$M$3:$R$202,$A48,$G$3)&amp;"",1)="⚠",INDEX(인턴근무계획!$M$3:$R$202,$A48,$G$3)&amp;"",LEFT(INDEX(인턴근무계획!$M$3:$R$202,$A48,$G$3)&amp;"",FIND(" ",INDEX(인턴근무계획!$M$3:$R$202,$A48,$G$3)&amp;"")-1))))</f>
        <v/>
      </c>
      <c r="H48" s="21">
        <f>IF(OR($C48="",$G$3=""),"",IF(INDEX(인턴근무계획!$M$3:$R$202,$A48,$G$3)&amp;""="","",IF(LEFT(INDEX(인턴근무계획!$M$3:$R$202,$A48,$G$3)&amp;"",1)="⚠","",MID(INDEX(인턴근무계획!$M$3:$R$202,$A48,$G$3)&amp;"",FIND(" ",INDEX(인턴근무계획!$M$3:$R$202,$A48,$G$3)&amp;"")+1,60))))</f>
        <v/>
      </c>
      <c r="I48" s="21">
        <f>IF(OR($C48="",$I$3=""),"",IF(INDEX(인턴근무계획!$M$3:$R$202,$A48,$I$3)&amp;""="","",IF(LEFT(INDEX(인턴근무계획!$M$3:$R$202,$A48,$I$3)&amp;"",1)="⚠",INDEX(인턴근무계획!$M$3:$R$202,$A48,$I$3)&amp;"",LEFT(INDEX(인턴근무계획!$M$3:$R$202,$A48,$I$3)&amp;"",FIND(" ",INDEX(인턴근무계획!$M$3:$R$202,$A48,$I$3)&amp;"")-1))))</f>
        <v/>
      </c>
      <c r="J48" s="21">
        <f>IF(OR($C48="",$I$3=""),"",IF(INDEX(인턴근무계획!$M$3:$R$202,$A48,$I$3)&amp;""="","",IF(LEFT(INDEX(인턴근무계획!$M$3:$R$202,$A48,$I$3)&amp;"",1)="⚠","",MID(INDEX(인턴근무계획!$M$3:$R$202,$A48,$I$3)&amp;"",FIND(" ",INDEX(인턴근무계획!$M$3:$R$202,$A48,$I$3)&amp;"")+1,60))))</f>
        <v/>
      </c>
      <c r="K48" s="21">
        <f>IF($C48="","",INDEX(인턴근무계획!$M$3:$M$202,$A48)&amp;"")</f>
        <v/>
      </c>
      <c r="L48" s="21">
        <f>IF($C48="","",INDEX(인턴근무계획!$N$3:$N$202,$A48)&amp;"")</f>
        <v/>
      </c>
      <c r="M48" s="21">
        <f>IF($C48="","",INDEX(인턴근무계획!$O$3:$O$202,$A48)&amp;"")</f>
        <v/>
      </c>
      <c r="N48" s="21">
        <f>IF($C48="","",INDEX(인턴근무계획!$P$3:$P$202,$A48)&amp;"")</f>
        <v/>
      </c>
      <c r="O48" s="21">
        <f>IF($C48="","",INDEX(인턴근무계획!$Q$3:$Q$202,$A48)&amp;"")</f>
        <v/>
      </c>
      <c r="P48" s="21">
        <f>IF($C48="","",INDEX(인턴근무계획!$R$3:$R$202,$A48)&amp;"")</f>
        <v/>
      </c>
      <c r="Q48" s="21">
        <f>IF($C48="","",INDEX(인턴근무계획!$T$3:$T$202,$A48))</f>
        <v/>
      </c>
    </row>
    <row r="49">
      <c r="A49" s="24" t="n">
        <v>44</v>
      </c>
      <c r="B49" s="21">
        <f>IF($C49="","",INDEX(인턴근무계획!$B$3:$B$202,$A49))</f>
        <v/>
      </c>
      <c r="C49" s="21">
        <f>IFERROR(TRIM(INDEX(인턴근무계획!$C$3:$C$202,$A49)&amp;""),"")</f>
        <v/>
      </c>
      <c r="D49" s="21">
        <f>IF($C49="","",INDEX(인턴근무계획!$D$3:$D$202,$A49))</f>
        <v/>
      </c>
      <c r="E49" s="21">
        <f>IF($C49="","",IF(IFERROR(MATCH($D49,기본자료!$B$2:$B$501,0),IFERROR(MATCH($D49&amp;"",기본자료!$B$2:$B$501,0),IFERROR(MATCH(VALUE($D49),기본자료!$B$2:$B$501,0),0)))&gt;0,"확인","미등록"))</f>
        <v/>
      </c>
      <c r="F49" s="25">
        <f>IF($C49="","",INDEX(인턴근무계획!$S$3:$S$202,$A49))</f>
        <v/>
      </c>
      <c r="G49" s="21">
        <f>IF(OR($C49="",$G$3=""),"",IF(INDEX(인턴근무계획!$M$3:$R$202,$A49,$G$3)&amp;""="","",IF(LEFT(INDEX(인턴근무계획!$M$3:$R$202,$A49,$G$3)&amp;"",1)="⚠",INDEX(인턴근무계획!$M$3:$R$202,$A49,$G$3)&amp;"",LEFT(INDEX(인턴근무계획!$M$3:$R$202,$A49,$G$3)&amp;"",FIND(" ",INDEX(인턴근무계획!$M$3:$R$202,$A49,$G$3)&amp;"")-1))))</f>
        <v/>
      </c>
      <c r="H49" s="21">
        <f>IF(OR($C49="",$G$3=""),"",IF(INDEX(인턴근무계획!$M$3:$R$202,$A49,$G$3)&amp;""="","",IF(LEFT(INDEX(인턴근무계획!$M$3:$R$202,$A49,$G$3)&amp;"",1)="⚠","",MID(INDEX(인턴근무계획!$M$3:$R$202,$A49,$G$3)&amp;"",FIND(" ",INDEX(인턴근무계획!$M$3:$R$202,$A49,$G$3)&amp;"")+1,60))))</f>
        <v/>
      </c>
      <c r="I49" s="21">
        <f>IF(OR($C49="",$I$3=""),"",IF(INDEX(인턴근무계획!$M$3:$R$202,$A49,$I$3)&amp;""="","",IF(LEFT(INDEX(인턴근무계획!$M$3:$R$202,$A49,$I$3)&amp;"",1)="⚠",INDEX(인턴근무계획!$M$3:$R$202,$A49,$I$3)&amp;"",LEFT(INDEX(인턴근무계획!$M$3:$R$202,$A49,$I$3)&amp;"",FIND(" ",INDEX(인턴근무계획!$M$3:$R$202,$A49,$I$3)&amp;"")-1))))</f>
        <v/>
      </c>
      <c r="J49" s="21">
        <f>IF(OR($C49="",$I$3=""),"",IF(INDEX(인턴근무계획!$M$3:$R$202,$A49,$I$3)&amp;""="","",IF(LEFT(INDEX(인턴근무계획!$M$3:$R$202,$A49,$I$3)&amp;"",1)="⚠","",MID(INDEX(인턴근무계획!$M$3:$R$202,$A49,$I$3)&amp;"",FIND(" ",INDEX(인턴근무계획!$M$3:$R$202,$A49,$I$3)&amp;"")+1,60))))</f>
        <v/>
      </c>
      <c r="K49" s="21">
        <f>IF($C49="","",INDEX(인턴근무계획!$M$3:$M$202,$A49)&amp;"")</f>
        <v/>
      </c>
      <c r="L49" s="21">
        <f>IF($C49="","",INDEX(인턴근무계획!$N$3:$N$202,$A49)&amp;"")</f>
        <v/>
      </c>
      <c r="M49" s="21">
        <f>IF($C49="","",INDEX(인턴근무계획!$O$3:$O$202,$A49)&amp;"")</f>
        <v/>
      </c>
      <c r="N49" s="21">
        <f>IF($C49="","",INDEX(인턴근무계획!$P$3:$P$202,$A49)&amp;"")</f>
        <v/>
      </c>
      <c r="O49" s="21">
        <f>IF($C49="","",INDEX(인턴근무계획!$Q$3:$Q$202,$A49)&amp;"")</f>
        <v/>
      </c>
      <c r="P49" s="21">
        <f>IF($C49="","",INDEX(인턴근무계획!$R$3:$R$202,$A49)&amp;"")</f>
        <v/>
      </c>
      <c r="Q49" s="21">
        <f>IF($C49="","",INDEX(인턴근무계획!$T$3:$T$202,$A49))</f>
        <v/>
      </c>
    </row>
    <row r="50">
      <c r="A50" s="24" t="n">
        <v>45</v>
      </c>
      <c r="B50" s="21">
        <f>IF($C50="","",INDEX(인턴근무계획!$B$3:$B$202,$A50))</f>
        <v/>
      </c>
      <c r="C50" s="21">
        <f>IFERROR(TRIM(INDEX(인턴근무계획!$C$3:$C$202,$A50)&amp;""),"")</f>
        <v/>
      </c>
      <c r="D50" s="21">
        <f>IF($C50="","",INDEX(인턴근무계획!$D$3:$D$202,$A50))</f>
        <v/>
      </c>
      <c r="E50" s="21">
        <f>IF($C50="","",IF(IFERROR(MATCH($D50,기본자료!$B$2:$B$501,0),IFERROR(MATCH($D50&amp;"",기본자료!$B$2:$B$501,0),IFERROR(MATCH(VALUE($D50),기본자료!$B$2:$B$501,0),0)))&gt;0,"확인","미등록"))</f>
        <v/>
      </c>
      <c r="F50" s="25">
        <f>IF($C50="","",INDEX(인턴근무계획!$S$3:$S$202,$A50))</f>
        <v/>
      </c>
      <c r="G50" s="21">
        <f>IF(OR($C50="",$G$3=""),"",IF(INDEX(인턴근무계획!$M$3:$R$202,$A50,$G$3)&amp;""="","",IF(LEFT(INDEX(인턴근무계획!$M$3:$R$202,$A50,$G$3)&amp;"",1)="⚠",INDEX(인턴근무계획!$M$3:$R$202,$A50,$G$3)&amp;"",LEFT(INDEX(인턴근무계획!$M$3:$R$202,$A50,$G$3)&amp;"",FIND(" ",INDEX(인턴근무계획!$M$3:$R$202,$A50,$G$3)&amp;"")-1))))</f>
        <v/>
      </c>
      <c r="H50" s="21">
        <f>IF(OR($C50="",$G$3=""),"",IF(INDEX(인턴근무계획!$M$3:$R$202,$A50,$G$3)&amp;""="","",IF(LEFT(INDEX(인턴근무계획!$M$3:$R$202,$A50,$G$3)&amp;"",1)="⚠","",MID(INDEX(인턴근무계획!$M$3:$R$202,$A50,$G$3)&amp;"",FIND(" ",INDEX(인턴근무계획!$M$3:$R$202,$A50,$G$3)&amp;"")+1,60))))</f>
        <v/>
      </c>
      <c r="I50" s="21">
        <f>IF(OR($C50="",$I$3=""),"",IF(INDEX(인턴근무계획!$M$3:$R$202,$A50,$I$3)&amp;""="","",IF(LEFT(INDEX(인턴근무계획!$M$3:$R$202,$A50,$I$3)&amp;"",1)="⚠",INDEX(인턴근무계획!$M$3:$R$202,$A50,$I$3)&amp;"",LEFT(INDEX(인턴근무계획!$M$3:$R$202,$A50,$I$3)&amp;"",FIND(" ",INDEX(인턴근무계획!$M$3:$R$202,$A50,$I$3)&amp;"")-1))))</f>
        <v/>
      </c>
      <c r="J50" s="21">
        <f>IF(OR($C50="",$I$3=""),"",IF(INDEX(인턴근무계획!$M$3:$R$202,$A50,$I$3)&amp;""="","",IF(LEFT(INDEX(인턴근무계획!$M$3:$R$202,$A50,$I$3)&amp;"",1)="⚠","",MID(INDEX(인턴근무계획!$M$3:$R$202,$A50,$I$3)&amp;"",FIND(" ",INDEX(인턴근무계획!$M$3:$R$202,$A50,$I$3)&amp;"")+1,60))))</f>
        <v/>
      </c>
      <c r="K50" s="21">
        <f>IF($C50="","",INDEX(인턴근무계획!$M$3:$M$202,$A50)&amp;"")</f>
        <v/>
      </c>
      <c r="L50" s="21">
        <f>IF($C50="","",INDEX(인턴근무계획!$N$3:$N$202,$A50)&amp;"")</f>
        <v/>
      </c>
      <c r="M50" s="21">
        <f>IF($C50="","",INDEX(인턴근무계획!$O$3:$O$202,$A50)&amp;"")</f>
        <v/>
      </c>
      <c r="N50" s="21">
        <f>IF($C50="","",INDEX(인턴근무계획!$P$3:$P$202,$A50)&amp;"")</f>
        <v/>
      </c>
      <c r="O50" s="21">
        <f>IF($C50="","",INDEX(인턴근무계획!$Q$3:$Q$202,$A50)&amp;"")</f>
        <v/>
      </c>
      <c r="P50" s="21">
        <f>IF($C50="","",INDEX(인턴근무계획!$R$3:$R$202,$A50)&amp;"")</f>
        <v/>
      </c>
      <c r="Q50" s="21">
        <f>IF($C50="","",INDEX(인턴근무계획!$T$3:$T$202,$A50))</f>
        <v/>
      </c>
    </row>
    <row r="51">
      <c r="A51" s="24" t="n">
        <v>46</v>
      </c>
      <c r="B51" s="21">
        <f>IF($C51="","",INDEX(인턴근무계획!$B$3:$B$202,$A51))</f>
        <v/>
      </c>
      <c r="C51" s="21">
        <f>IFERROR(TRIM(INDEX(인턴근무계획!$C$3:$C$202,$A51)&amp;""),"")</f>
        <v/>
      </c>
      <c r="D51" s="21">
        <f>IF($C51="","",INDEX(인턴근무계획!$D$3:$D$202,$A51))</f>
        <v/>
      </c>
      <c r="E51" s="21">
        <f>IF($C51="","",IF(IFERROR(MATCH($D51,기본자료!$B$2:$B$501,0),IFERROR(MATCH($D51&amp;"",기본자료!$B$2:$B$501,0),IFERROR(MATCH(VALUE($D51),기본자료!$B$2:$B$501,0),0)))&gt;0,"확인","미등록"))</f>
        <v/>
      </c>
      <c r="F51" s="25">
        <f>IF($C51="","",INDEX(인턴근무계획!$S$3:$S$202,$A51))</f>
        <v/>
      </c>
      <c r="G51" s="21">
        <f>IF(OR($C51="",$G$3=""),"",IF(INDEX(인턴근무계획!$M$3:$R$202,$A51,$G$3)&amp;""="","",IF(LEFT(INDEX(인턴근무계획!$M$3:$R$202,$A51,$G$3)&amp;"",1)="⚠",INDEX(인턴근무계획!$M$3:$R$202,$A51,$G$3)&amp;"",LEFT(INDEX(인턴근무계획!$M$3:$R$202,$A51,$G$3)&amp;"",FIND(" ",INDEX(인턴근무계획!$M$3:$R$202,$A51,$G$3)&amp;"")-1))))</f>
        <v/>
      </c>
      <c r="H51" s="21">
        <f>IF(OR($C51="",$G$3=""),"",IF(INDEX(인턴근무계획!$M$3:$R$202,$A51,$G$3)&amp;""="","",IF(LEFT(INDEX(인턴근무계획!$M$3:$R$202,$A51,$G$3)&amp;"",1)="⚠","",MID(INDEX(인턴근무계획!$M$3:$R$202,$A51,$G$3)&amp;"",FIND(" ",INDEX(인턴근무계획!$M$3:$R$202,$A51,$G$3)&amp;"")+1,60))))</f>
        <v/>
      </c>
      <c r="I51" s="21">
        <f>IF(OR($C51="",$I$3=""),"",IF(INDEX(인턴근무계획!$M$3:$R$202,$A51,$I$3)&amp;""="","",IF(LEFT(INDEX(인턴근무계획!$M$3:$R$202,$A51,$I$3)&amp;"",1)="⚠",INDEX(인턴근무계획!$M$3:$R$202,$A51,$I$3)&amp;"",LEFT(INDEX(인턴근무계획!$M$3:$R$202,$A51,$I$3)&amp;"",FIND(" ",INDEX(인턴근무계획!$M$3:$R$202,$A51,$I$3)&amp;"")-1))))</f>
        <v/>
      </c>
      <c r="J51" s="21">
        <f>IF(OR($C51="",$I$3=""),"",IF(INDEX(인턴근무계획!$M$3:$R$202,$A51,$I$3)&amp;""="","",IF(LEFT(INDEX(인턴근무계획!$M$3:$R$202,$A51,$I$3)&amp;"",1)="⚠","",MID(INDEX(인턴근무계획!$M$3:$R$202,$A51,$I$3)&amp;"",FIND(" ",INDEX(인턴근무계획!$M$3:$R$202,$A51,$I$3)&amp;"")+1,60))))</f>
        <v/>
      </c>
      <c r="K51" s="21">
        <f>IF($C51="","",INDEX(인턴근무계획!$M$3:$M$202,$A51)&amp;"")</f>
        <v/>
      </c>
      <c r="L51" s="21">
        <f>IF($C51="","",INDEX(인턴근무계획!$N$3:$N$202,$A51)&amp;"")</f>
        <v/>
      </c>
      <c r="M51" s="21">
        <f>IF($C51="","",INDEX(인턴근무계획!$O$3:$O$202,$A51)&amp;"")</f>
        <v/>
      </c>
      <c r="N51" s="21">
        <f>IF($C51="","",INDEX(인턴근무계획!$P$3:$P$202,$A51)&amp;"")</f>
        <v/>
      </c>
      <c r="O51" s="21">
        <f>IF($C51="","",INDEX(인턴근무계획!$Q$3:$Q$202,$A51)&amp;"")</f>
        <v/>
      </c>
      <c r="P51" s="21">
        <f>IF($C51="","",INDEX(인턴근무계획!$R$3:$R$202,$A51)&amp;"")</f>
        <v/>
      </c>
      <c r="Q51" s="21">
        <f>IF($C51="","",INDEX(인턴근무계획!$T$3:$T$202,$A51))</f>
        <v/>
      </c>
    </row>
    <row r="52">
      <c r="A52" s="24" t="n">
        <v>47</v>
      </c>
      <c r="B52" s="21">
        <f>IF($C52="","",INDEX(인턴근무계획!$B$3:$B$202,$A52))</f>
        <v/>
      </c>
      <c r="C52" s="21">
        <f>IFERROR(TRIM(INDEX(인턴근무계획!$C$3:$C$202,$A52)&amp;""),"")</f>
        <v/>
      </c>
      <c r="D52" s="21">
        <f>IF($C52="","",INDEX(인턴근무계획!$D$3:$D$202,$A52))</f>
        <v/>
      </c>
      <c r="E52" s="21">
        <f>IF($C52="","",IF(IFERROR(MATCH($D52,기본자료!$B$2:$B$501,0),IFERROR(MATCH($D52&amp;"",기본자료!$B$2:$B$501,0),IFERROR(MATCH(VALUE($D52),기본자료!$B$2:$B$501,0),0)))&gt;0,"확인","미등록"))</f>
        <v/>
      </c>
      <c r="F52" s="25">
        <f>IF($C52="","",INDEX(인턴근무계획!$S$3:$S$202,$A52))</f>
        <v/>
      </c>
      <c r="G52" s="21">
        <f>IF(OR($C52="",$G$3=""),"",IF(INDEX(인턴근무계획!$M$3:$R$202,$A52,$G$3)&amp;""="","",IF(LEFT(INDEX(인턴근무계획!$M$3:$R$202,$A52,$G$3)&amp;"",1)="⚠",INDEX(인턴근무계획!$M$3:$R$202,$A52,$G$3)&amp;"",LEFT(INDEX(인턴근무계획!$M$3:$R$202,$A52,$G$3)&amp;"",FIND(" ",INDEX(인턴근무계획!$M$3:$R$202,$A52,$G$3)&amp;"")-1))))</f>
        <v/>
      </c>
      <c r="H52" s="21">
        <f>IF(OR($C52="",$G$3=""),"",IF(INDEX(인턴근무계획!$M$3:$R$202,$A52,$G$3)&amp;""="","",IF(LEFT(INDEX(인턴근무계획!$M$3:$R$202,$A52,$G$3)&amp;"",1)="⚠","",MID(INDEX(인턴근무계획!$M$3:$R$202,$A52,$G$3)&amp;"",FIND(" ",INDEX(인턴근무계획!$M$3:$R$202,$A52,$G$3)&amp;"")+1,60))))</f>
        <v/>
      </c>
      <c r="I52" s="21">
        <f>IF(OR($C52="",$I$3=""),"",IF(INDEX(인턴근무계획!$M$3:$R$202,$A52,$I$3)&amp;""="","",IF(LEFT(INDEX(인턴근무계획!$M$3:$R$202,$A52,$I$3)&amp;"",1)="⚠",INDEX(인턴근무계획!$M$3:$R$202,$A52,$I$3)&amp;"",LEFT(INDEX(인턴근무계획!$M$3:$R$202,$A52,$I$3)&amp;"",FIND(" ",INDEX(인턴근무계획!$M$3:$R$202,$A52,$I$3)&amp;"")-1))))</f>
        <v/>
      </c>
      <c r="J52" s="21">
        <f>IF(OR($C52="",$I$3=""),"",IF(INDEX(인턴근무계획!$M$3:$R$202,$A52,$I$3)&amp;""="","",IF(LEFT(INDEX(인턴근무계획!$M$3:$R$202,$A52,$I$3)&amp;"",1)="⚠","",MID(INDEX(인턴근무계획!$M$3:$R$202,$A52,$I$3)&amp;"",FIND(" ",INDEX(인턴근무계획!$M$3:$R$202,$A52,$I$3)&amp;"")+1,60))))</f>
        <v/>
      </c>
      <c r="K52" s="21">
        <f>IF($C52="","",INDEX(인턴근무계획!$M$3:$M$202,$A52)&amp;"")</f>
        <v/>
      </c>
      <c r="L52" s="21">
        <f>IF($C52="","",INDEX(인턴근무계획!$N$3:$N$202,$A52)&amp;"")</f>
        <v/>
      </c>
      <c r="M52" s="21">
        <f>IF($C52="","",INDEX(인턴근무계획!$O$3:$O$202,$A52)&amp;"")</f>
        <v/>
      </c>
      <c r="N52" s="21">
        <f>IF($C52="","",INDEX(인턴근무계획!$P$3:$P$202,$A52)&amp;"")</f>
        <v/>
      </c>
      <c r="O52" s="21">
        <f>IF($C52="","",INDEX(인턴근무계획!$Q$3:$Q$202,$A52)&amp;"")</f>
        <v/>
      </c>
      <c r="P52" s="21">
        <f>IF($C52="","",INDEX(인턴근무계획!$R$3:$R$202,$A52)&amp;"")</f>
        <v/>
      </c>
      <c r="Q52" s="21">
        <f>IF($C52="","",INDEX(인턴근무계획!$T$3:$T$202,$A52))</f>
        <v/>
      </c>
    </row>
    <row r="53">
      <c r="A53" s="24" t="n">
        <v>48</v>
      </c>
      <c r="B53" s="21">
        <f>IF($C53="","",INDEX(인턴근무계획!$B$3:$B$202,$A53))</f>
        <v/>
      </c>
      <c r="C53" s="21">
        <f>IFERROR(TRIM(INDEX(인턴근무계획!$C$3:$C$202,$A53)&amp;""),"")</f>
        <v/>
      </c>
      <c r="D53" s="21">
        <f>IF($C53="","",INDEX(인턴근무계획!$D$3:$D$202,$A53))</f>
        <v/>
      </c>
      <c r="E53" s="21">
        <f>IF($C53="","",IF(IFERROR(MATCH($D53,기본자료!$B$2:$B$501,0),IFERROR(MATCH($D53&amp;"",기본자료!$B$2:$B$501,0),IFERROR(MATCH(VALUE($D53),기본자료!$B$2:$B$501,0),0)))&gt;0,"확인","미등록"))</f>
        <v/>
      </c>
      <c r="F53" s="25">
        <f>IF($C53="","",INDEX(인턴근무계획!$S$3:$S$202,$A53))</f>
        <v/>
      </c>
      <c r="G53" s="21">
        <f>IF(OR($C53="",$G$3=""),"",IF(INDEX(인턴근무계획!$M$3:$R$202,$A53,$G$3)&amp;""="","",IF(LEFT(INDEX(인턴근무계획!$M$3:$R$202,$A53,$G$3)&amp;"",1)="⚠",INDEX(인턴근무계획!$M$3:$R$202,$A53,$G$3)&amp;"",LEFT(INDEX(인턴근무계획!$M$3:$R$202,$A53,$G$3)&amp;"",FIND(" ",INDEX(인턴근무계획!$M$3:$R$202,$A53,$G$3)&amp;"")-1))))</f>
        <v/>
      </c>
      <c r="H53" s="21">
        <f>IF(OR($C53="",$G$3=""),"",IF(INDEX(인턴근무계획!$M$3:$R$202,$A53,$G$3)&amp;""="","",IF(LEFT(INDEX(인턴근무계획!$M$3:$R$202,$A53,$G$3)&amp;"",1)="⚠","",MID(INDEX(인턴근무계획!$M$3:$R$202,$A53,$G$3)&amp;"",FIND(" ",INDEX(인턴근무계획!$M$3:$R$202,$A53,$G$3)&amp;"")+1,60))))</f>
        <v/>
      </c>
      <c r="I53" s="21">
        <f>IF(OR($C53="",$I$3=""),"",IF(INDEX(인턴근무계획!$M$3:$R$202,$A53,$I$3)&amp;""="","",IF(LEFT(INDEX(인턴근무계획!$M$3:$R$202,$A53,$I$3)&amp;"",1)="⚠",INDEX(인턴근무계획!$M$3:$R$202,$A53,$I$3)&amp;"",LEFT(INDEX(인턴근무계획!$M$3:$R$202,$A53,$I$3)&amp;"",FIND(" ",INDEX(인턴근무계획!$M$3:$R$202,$A53,$I$3)&amp;"")-1))))</f>
        <v/>
      </c>
      <c r="J53" s="21">
        <f>IF(OR($C53="",$I$3=""),"",IF(INDEX(인턴근무계획!$M$3:$R$202,$A53,$I$3)&amp;""="","",IF(LEFT(INDEX(인턴근무계획!$M$3:$R$202,$A53,$I$3)&amp;"",1)="⚠","",MID(INDEX(인턴근무계획!$M$3:$R$202,$A53,$I$3)&amp;"",FIND(" ",INDEX(인턴근무계획!$M$3:$R$202,$A53,$I$3)&amp;"")+1,60))))</f>
        <v/>
      </c>
      <c r="K53" s="21">
        <f>IF($C53="","",INDEX(인턴근무계획!$M$3:$M$202,$A53)&amp;"")</f>
        <v/>
      </c>
      <c r="L53" s="21">
        <f>IF($C53="","",INDEX(인턴근무계획!$N$3:$N$202,$A53)&amp;"")</f>
        <v/>
      </c>
      <c r="M53" s="21">
        <f>IF($C53="","",INDEX(인턴근무계획!$O$3:$O$202,$A53)&amp;"")</f>
        <v/>
      </c>
      <c r="N53" s="21">
        <f>IF($C53="","",INDEX(인턴근무계획!$P$3:$P$202,$A53)&amp;"")</f>
        <v/>
      </c>
      <c r="O53" s="21">
        <f>IF($C53="","",INDEX(인턴근무계획!$Q$3:$Q$202,$A53)&amp;"")</f>
        <v/>
      </c>
      <c r="P53" s="21">
        <f>IF($C53="","",INDEX(인턴근무계획!$R$3:$R$202,$A53)&amp;"")</f>
        <v/>
      </c>
      <c r="Q53" s="21">
        <f>IF($C53="","",INDEX(인턴근무계획!$T$3:$T$202,$A53))</f>
        <v/>
      </c>
    </row>
    <row r="54">
      <c r="A54" s="24" t="n">
        <v>49</v>
      </c>
      <c r="B54" s="21">
        <f>IF($C54="","",INDEX(인턴근무계획!$B$3:$B$202,$A54))</f>
        <v/>
      </c>
      <c r="C54" s="21">
        <f>IFERROR(TRIM(INDEX(인턴근무계획!$C$3:$C$202,$A54)&amp;""),"")</f>
        <v/>
      </c>
      <c r="D54" s="21">
        <f>IF($C54="","",INDEX(인턴근무계획!$D$3:$D$202,$A54))</f>
        <v/>
      </c>
      <c r="E54" s="21">
        <f>IF($C54="","",IF(IFERROR(MATCH($D54,기본자료!$B$2:$B$501,0),IFERROR(MATCH($D54&amp;"",기본자료!$B$2:$B$501,0),IFERROR(MATCH(VALUE($D54),기본자료!$B$2:$B$501,0),0)))&gt;0,"확인","미등록"))</f>
        <v/>
      </c>
      <c r="F54" s="25">
        <f>IF($C54="","",INDEX(인턴근무계획!$S$3:$S$202,$A54))</f>
        <v/>
      </c>
      <c r="G54" s="21">
        <f>IF(OR($C54="",$G$3=""),"",IF(INDEX(인턴근무계획!$M$3:$R$202,$A54,$G$3)&amp;""="","",IF(LEFT(INDEX(인턴근무계획!$M$3:$R$202,$A54,$G$3)&amp;"",1)="⚠",INDEX(인턴근무계획!$M$3:$R$202,$A54,$G$3)&amp;"",LEFT(INDEX(인턴근무계획!$M$3:$R$202,$A54,$G$3)&amp;"",FIND(" ",INDEX(인턴근무계획!$M$3:$R$202,$A54,$G$3)&amp;"")-1))))</f>
        <v/>
      </c>
      <c r="H54" s="21">
        <f>IF(OR($C54="",$G$3=""),"",IF(INDEX(인턴근무계획!$M$3:$R$202,$A54,$G$3)&amp;""="","",IF(LEFT(INDEX(인턴근무계획!$M$3:$R$202,$A54,$G$3)&amp;"",1)="⚠","",MID(INDEX(인턴근무계획!$M$3:$R$202,$A54,$G$3)&amp;"",FIND(" ",INDEX(인턴근무계획!$M$3:$R$202,$A54,$G$3)&amp;"")+1,60))))</f>
        <v/>
      </c>
      <c r="I54" s="21">
        <f>IF(OR($C54="",$I$3=""),"",IF(INDEX(인턴근무계획!$M$3:$R$202,$A54,$I$3)&amp;""="","",IF(LEFT(INDEX(인턴근무계획!$M$3:$R$202,$A54,$I$3)&amp;"",1)="⚠",INDEX(인턴근무계획!$M$3:$R$202,$A54,$I$3)&amp;"",LEFT(INDEX(인턴근무계획!$M$3:$R$202,$A54,$I$3)&amp;"",FIND(" ",INDEX(인턴근무계획!$M$3:$R$202,$A54,$I$3)&amp;"")-1))))</f>
        <v/>
      </c>
      <c r="J54" s="21">
        <f>IF(OR($C54="",$I$3=""),"",IF(INDEX(인턴근무계획!$M$3:$R$202,$A54,$I$3)&amp;""="","",IF(LEFT(INDEX(인턴근무계획!$M$3:$R$202,$A54,$I$3)&amp;"",1)="⚠","",MID(INDEX(인턴근무계획!$M$3:$R$202,$A54,$I$3)&amp;"",FIND(" ",INDEX(인턴근무계획!$M$3:$R$202,$A54,$I$3)&amp;"")+1,60))))</f>
        <v/>
      </c>
      <c r="K54" s="21">
        <f>IF($C54="","",INDEX(인턴근무계획!$M$3:$M$202,$A54)&amp;"")</f>
        <v/>
      </c>
      <c r="L54" s="21">
        <f>IF($C54="","",INDEX(인턴근무계획!$N$3:$N$202,$A54)&amp;"")</f>
        <v/>
      </c>
      <c r="M54" s="21">
        <f>IF($C54="","",INDEX(인턴근무계획!$O$3:$O$202,$A54)&amp;"")</f>
        <v/>
      </c>
      <c r="N54" s="21">
        <f>IF($C54="","",INDEX(인턴근무계획!$P$3:$P$202,$A54)&amp;"")</f>
        <v/>
      </c>
      <c r="O54" s="21">
        <f>IF($C54="","",INDEX(인턴근무계획!$Q$3:$Q$202,$A54)&amp;"")</f>
        <v/>
      </c>
      <c r="P54" s="21">
        <f>IF($C54="","",INDEX(인턴근무계획!$R$3:$R$202,$A54)&amp;"")</f>
        <v/>
      </c>
      <c r="Q54" s="21">
        <f>IF($C54="","",INDEX(인턴근무계획!$T$3:$T$202,$A54))</f>
        <v/>
      </c>
    </row>
    <row r="55">
      <c r="A55" s="24" t="n">
        <v>50</v>
      </c>
      <c r="B55" s="21">
        <f>IF($C55="","",INDEX(인턴근무계획!$B$3:$B$202,$A55))</f>
        <v/>
      </c>
      <c r="C55" s="21">
        <f>IFERROR(TRIM(INDEX(인턴근무계획!$C$3:$C$202,$A55)&amp;""),"")</f>
        <v/>
      </c>
      <c r="D55" s="21">
        <f>IF($C55="","",INDEX(인턴근무계획!$D$3:$D$202,$A55))</f>
        <v/>
      </c>
      <c r="E55" s="21">
        <f>IF($C55="","",IF(IFERROR(MATCH($D55,기본자료!$B$2:$B$501,0),IFERROR(MATCH($D55&amp;"",기본자료!$B$2:$B$501,0),IFERROR(MATCH(VALUE($D55),기본자료!$B$2:$B$501,0),0)))&gt;0,"확인","미등록"))</f>
        <v/>
      </c>
      <c r="F55" s="25">
        <f>IF($C55="","",INDEX(인턴근무계획!$S$3:$S$202,$A55))</f>
        <v/>
      </c>
      <c r="G55" s="21">
        <f>IF(OR($C55="",$G$3=""),"",IF(INDEX(인턴근무계획!$M$3:$R$202,$A55,$G$3)&amp;""="","",IF(LEFT(INDEX(인턴근무계획!$M$3:$R$202,$A55,$G$3)&amp;"",1)="⚠",INDEX(인턴근무계획!$M$3:$R$202,$A55,$G$3)&amp;"",LEFT(INDEX(인턴근무계획!$M$3:$R$202,$A55,$G$3)&amp;"",FIND(" ",INDEX(인턴근무계획!$M$3:$R$202,$A55,$G$3)&amp;"")-1))))</f>
        <v/>
      </c>
      <c r="H55" s="21">
        <f>IF(OR($C55="",$G$3=""),"",IF(INDEX(인턴근무계획!$M$3:$R$202,$A55,$G$3)&amp;""="","",IF(LEFT(INDEX(인턴근무계획!$M$3:$R$202,$A55,$G$3)&amp;"",1)="⚠","",MID(INDEX(인턴근무계획!$M$3:$R$202,$A55,$G$3)&amp;"",FIND(" ",INDEX(인턴근무계획!$M$3:$R$202,$A55,$G$3)&amp;"")+1,60))))</f>
        <v/>
      </c>
      <c r="I55" s="21">
        <f>IF(OR($C55="",$I$3=""),"",IF(INDEX(인턴근무계획!$M$3:$R$202,$A55,$I$3)&amp;""="","",IF(LEFT(INDEX(인턴근무계획!$M$3:$R$202,$A55,$I$3)&amp;"",1)="⚠",INDEX(인턴근무계획!$M$3:$R$202,$A55,$I$3)&amp;"",LEFT(INDEX(인턴근무계획!$M$3:$R$202,$A55,$I$3)&amp;"",FIND(" ",INDEX(인턴근무계획!$M$3:$R$202,$A55,$I$3)&amp;"")-1))))</f>
        <v/>
      </c>
      <c r="J55" s="21">
        <f>IF(OR($C55="",$I$3=""),"",IF(INDEX(인턴근무계획!$M$3:$R$202,$A55,$I$3)&amp;""="","",IF(LEFT(INDEX(인턴근무계획!$M$3:$R$202,$A55,$I$3)&amp;"",1)="⚠","",MID(INDEX(인턴근무계획!$M$3:$R$202,$A55,$I$3)&amp;"",FIND(" ",INDEX(인턴근무계획!$M$3:$R$202,$A55,$I$3)&amp;"")+1,60))))</f>
        <v/>
      </c>
      <c r="K55" s="21">
        <f>IF($C55="","",INDEX(인턴근무계획!$M$3:$M$202,$A55)&amp;"")</f>
        <v/>
      </c>
      <c r="L55" s="21">
        <f>IF($C55="","",INDEX(인턴근무계획!$N$3:$N$202,$A55)&amp;"")</f>
        <v/>
      </c>
      <c r="M55" s="21">
        <f>IF($C55="","",INDEX(인턴근무계획!$O$3:$O$202,$A55)&amp;"")</f>
        <v/>
      </c>
      <c r="N55" s="21">
        <f>IF($C55="","",INDEX(인턴근무계획!$P$3:$P$202,$A55)&amp;"")</f>
        <v/>
      </c>
      <c r="O55" s="21">
        <f>IF($C55="","",INDEX(인턴근무계획!$Q$3:$Q$202,$A55)&amp;"")</f>
        <v/>
      </c>
      <c r="P55" s="21">
        <f>IF($C55="","",INDEX(인턴근무계획!$R$3:$R$202,$A55)&amp;"")</f>
        <v/>
      </c>
      <c r="Q55" s="21">
        <f>IF($C55="","",INDEX(인턴근무계획!$T$3:$T$202,$A55))</f>
        <v/>
      </c>
    </row>
    <row r="56">
      <c r="A56" s="24" t="n">
        <v>51</v>
      </c>
      <c r="B56" s="21">
        <f>IF($C56="","",INDEX(인턴근무계획!$B$3:$B$202,$A56))</f>
        <v/>
      </c>
      <c r="C56" s="21">
        <f>IFERROR(TRIM(INDEX(인턴근무계획!$C$3:$C$202,$A56)&amp;""),"")</f>
        <v/>
      </c>
      <c r="D56" s="21">
        <f>IF($C56="","",INDEX(인턴근무계획!$D$3:$D$202,$A56))</f>
        <v/>
      </c>
      <c r="E56" s="21">
        <f>IF($C56="","",IF(IFERROR(MATCH($D56,기본자료!$B$2:$B$501,0),IFERROR(MATCH($D56&amp;"",기본자료!$B$2:$B$501,0),IFERROR(MATCH(VALUE($D56),기본자료!$B$2:$B$501,0),0)))&gt;0,"확인","미등록"))</f>
        <v/>
      </c>
      <c r="F56" s="25">
        <f>IF($C56="","",INDEX(인턴근무계획!$S$3:$S$202,$A56))</f>
        <v/>
      </c>
      <c r="G56" s="21">
        <f>IF(OR($C56="",$G$3=""),"",IF(INDEX(인턴근무계획!$M$3:$R$202,$A56,$G$3)&amp;""="","",IF(LEFT(INDEX(인턴근무계획!$M$3:$R$202,$A56,$G$3)&amp;"",1)="⚠",INDEX(인턴근무계획!$M$3:$R$202,$A56,$G$3)&amp;"",LEFT(INDEX(인턴근무계획!$M$3:$R$202,$A56,$G$3)&amp;"",FIND(" ",INDEX(인턴근무계획!$M$3:$R$202,$A56,$G$3)&amp;"")-1))))</f>
        <v/>
      </c>
      <c r="H56" s="21">
        <f>IF(OR($C56="",$G$3=""),"",IF(INDEX(인턴근무계획!$M$3:$R$202,$A56,$G$3)&amp;""="","",IF(LEFT(INDEX(인턴근무계획!$M$3:$R$202,$A56,$G$3)&amp;"",1)="⚠","",MID(INDEX(인턴근무계획!$M$3:$R$202,$A56,$G$3)&amp;"",FIND(" ",INDEX(인턴근무계획!$M$3:$R$202,$A56,$G$3)&amp;"")+1,60))))</f>
        <v/>
      </c>
      <c r="I56" s="21">
        <f>IF(OR($C56="",$I$3=""),"",IF(INDEX(인턴근무계획!$M$3:$R$202,$A56,$I$3)&amp;""="","",IF(LEFT(INDEX(인턴근무계획!$M$3:$R$202,$A56,$I$3)&amp;"",1)="⚠",INDEX(인턴근무계획!$M$3:$R$202,$A56,$I$3)&amp;"",LEFT(INDEX(인턴근무계획!$M$3:$R$202,$A56,$I$3)&amp;"",FIND(" ",INDEX(인턴근무계획!$M$3:$R$202,$A56,$I$3)&amp;"")-1))))</f>
        <v/>
      </c>
      <c r="J56" s="21">
        <f>IF(OR($C56="",$I$3=""),"",IF(INDEX(인턴근무계획!$M$3:$R$202,$A56,$I$3)&amp;""="","",IF(LEFT(INDEX(인턴근무계획!$M$3:$R$202,$A56,$I$3)&amp;"",1)="⚠","",MID(INDEX(인턴근무계획!$M$3:$R$202,$A56,$I$3)&amp;"",FIND(" ",INDEX(인턴근무계획!$M$3:$R$202,$A56,$I$3)&amp;"")+1,60))))</f>
        <v/>
      </c>
      <c r="K56" s="21">
        <f>IF($C56="","",INDEX(인턴근무계획!$M$3:$M$202,$A56)&amp;"")</f>
        <v/>
      </c>
      <c r="L56" s="21">
        <f>IF($C56="","",INDEX(인턴근무계획!$N$3:$N$202,$A56)&amp;"")</f>
        <v/>
      </c>
      <c r="M56" s="21">
        <f>IF($C56="","",INDEX(인턴근무계획!$O$3:$O$202,$A56)&amp;"")</f>
        <v/>
      </c>
      <c r="N56" s="21">
        <f>IF($C56="","",INDEX(인턴근무계획!$P$3:$P$202,$A56)&amp;"")</f>
        <v/>
      </c>
      <c r="O56" s="21">
        <f>IF($C56="","",INDEX(인턴근무계획!$Q$3:$Q$202,$A56)&amp;"")</f>
        <v/>
      </c>
      <c r="P56" s="21">
        <f>IF($C56="","",INDEX(인턴근무계획!$R$3:$R$202,$A56)&amp;"")</f>
        <v/>
      </c>
      <c r="Q56" s="21">
        <f>IF($C56="","",INDEX(인턴근무계획!$T$3:$T$202,$A56))</f>
        <v/>
      </c>
    </row>
    <row r="57">
      <c r="A57" s="24" t="n">
        <v>52</v>
      </c>
      <c r="B57" s="21">
        <f>IF($C57="","",INDEX(인턴근무계획!$B$3:$B$202,$A57))</f>
        <v/>
      </c>
      <c r="C57" s="21">
        <f>IFERROR(TRIM(INDEX(인턴근무계획!$C$3:$C$202,$A57)&amp;""),"")</f>
        <v/>
      </c>
      <c r="D57" s="21">
        <f>IF($C57="","",INDEX(인턴근무계획!$D$3:$D$202,$A57))</f>
        <v/>
      </c>
      <c r="E57" s="21">
        <f>IF($C57="","",IF(IFERROR(MATCH($D57,기본자료!$B$2:$B$501,0),IFERROR(MATCH($D57&amp;"",기본자료!$B$2:$B$501,0),IFERROR(MATCH(VALUE($D57),기본자료!$B$2:$B$501,0),0)))&gt;0,"확인","미등록"))</f>
        <v/>
      </c>
      <c r="F57" s="25">
        <f>IF($C57="","",INDEX(인턴근무계획!$S$3:$S$202,$A57))</f>
        <v/>
      </c>
      <c r="G57" s="21">
        <f>IF(OR($C57="",$G$3=""),"",IF(INDEX(인턴근무계획!$M$3:$R$202,$A57,$G$3)&amp;""="","",IF(LEFT(INDEX(인턴근무계획!$M$3:$R$202,$A57,$G$3)&amp;"",1)="⚠",INDEX(인턴근무계획!$M$3:$R$202,$A57,$G$3)&amp;"",LEFT(INDEX(인턴근무계획!$M$3:$R$202,$A57,$G$3)&amp;"",FIND(" ",INDEX(인턴근무계획!$M$3:$R$202,$A57,$G$3)&amp;"")-1))))</f>
        <v/>
      </c>
      <c r="H57" s="21">
        <f>IF(OR($C57="",$G$3=""),"",IF(INDEX(인턴근무계획!$M$3:$R$202,$A57,$G$3)&amp;""="","",IF(LEFT(INDEX(인턴근무계획!$M$3:$R$202,$A57,$G$3)&amp;"",1)="⚠","",MID(INDEX(인턴근무계획!$M$3:$R$202,$A57,$G$3)&amp;"",FIND(" ",INDEX(인턴근무계획!$M$3:$R$202,$A57,$G$3)&amp;"")+1,60))))</f>
        <v/>
      </c>
      <c r="I57" s="21">
        <f>IF(OR($C57="",$I$3=""),"",IF(INDEX(인턴근무계획!$M$3:$R$202,$A57,$I$3)&amp;""="","",IF(LEFT(INDEX(인턴근무계획!$M$3:$R$202,$A57,$I$3)&amp;"",1)="⚠",INDEX(인턴근무계획!$M$3:$R$202,$A57,$I$3)&amp;"",LEFT(INDEX(인턴근무계획!$M$3:$R$202,$A57,$I$3)&amp;"",FIND(" ",INDEX(인턴근무계획!$M$3:$R$202,$A57,$I$3)&amp;"")-1))))</f>
        <v/>
      </c>
      <c r="J57" s="21">
        <f>IF(OR($C57="",$I$3=""),"",IF(INDEX(인턴근무계획!$M$3:$R$202,$A57,$I$3)&amp;""="","",IF(LEFT(INDEX(인턴근무계획!$M$3:$R$202,$A57,$I$3)&amp;"",1)="⚠","",MID(INDEX(인턴근무계획!$M$3:$R$202,$A57,$I$3)&amp;"",FIND(" ",INDEX(인턴근무계획!$M$3:$R$202,$A57,$I$3)&amp;"")+1,60))))</f>
        <v/>
      </c>
      <c r="K57" s="21">
        <f>IF($C57="","",INDEX(인턴근무계획!$M$3:$M$202,$A57)&amp;"")</f>
        <v/>
      </c>
      <c r="L57" s="21">
        <f>IF($C57="","",INDEX(인턴근무계획!$N$3:$N$202,$A57)&amp;"")</f>
        <v/>
      </c>
      <c r="M57" s="21">
        <f>IF($C57="","",INDEX(인턴근무계획!$O$3:$O$202,$A57)&amp;"")</f>
        <v/>
      </c>
      <c r="N57" s="21">
        <f>IF($C57="","",INDEX(인턴근무계획!$P$3:$P$202,$A57)&amp;"")</f>
        <v/>
      </c>
      <c r="O57" s="21">
        <f>IF($C57="","",INDEX(인턴근무계획!$Q$3:$Q$202,$A57)&amp;"")</f>
        <v/>
      </c>
      <c r="P57" s="21">
        <f>IF($C57="","",INDEX(인턴근무계획!$R$3:$R$202,$A57)&amp;"")</f>
        <v/>
      </c>
      <c r="Q57" s="21">
        <f>IF($C57="","",INDEX(인턴근무계획!$T$3:$T$202,$A57))</f>
        <v/>
      </c>
    </row>
    <row r="58">
      <c r="A58" s="24" t="n">
        <v>53</v>
      </c>
      <c r="B58" s="21">
        <f>IF($C58="","",INDEX(인턴근무계획!$B$3:$B$202,$A58))</f>
        <v/>
      </c>
      <c r="C58" s="21">
        <f>IFERROR(TRIM(INDEX(인턴근무계획!$C$3:$C$202,$A58)&amp;""),"")</f>
        <v/>
      </c>
      <c r="D58" s="21">
        <f>IF($C58="","",INDEX(인턴근무계획!$D$3:$D$202,$A58))</f>
        <v/>
      </c>
      <c r="E58" s="21">
        <f>IF($C58="","",IF(IFERROR(MATCH($D58,기본자료!$B$2:$B$501,0),IFERROR(MATCH($D58&amp;"",기본자료!$B$2:$B$501,0),IFERROR(MATCH(VALUE($D58),기본자료!$B$2:$B$501,0),0)))&gt;0,"확인","미등록"))</f>
        <v/>
      </c>
      <c r="F58" s="25">
        <f>IF($C58="","",INDEX(인턴근무계획!$S$3:$S$202,$A58))</f>
        <v/>
      </c>
      <c r="G58" s="21">
        <f>IF(OR($C58="",$G$3=""),"",IF(INDEX(인턴근무계획!$M$3:$R$202,$A58,$G$3)&amp;""="","",IF(LEFT(INDEX(인턴근무계획!$M$3:$R$202,$A58,$G$3)&amp;"",1)="⚠",INDEX(인턴근무계획!$M$3:$R$202,$A58,$G$3)&amp;"",LEFT(INDEX(인턴근무계획!$M$3:$R$202,$A58,$G$3)&amp;"",FIND(" ",INDEX(인턴근무계획!$M$3:$R$202,$A58,$G$3)&amp;"")-1))))</f>
        <v/>
      </c>
      <c r="H58" s="21">
        <f>IF(OR($C58="",$G$3=""),"",IF(INDEX(인턴근무계획!$M$3:$R$202,$A58,$G$3)&amp;""="","",IF(LEFT(INDEX(인턴근무계획!$M$3:$R$202,$A58,$G$3)&amp;"",1)="⚠","",MID(INDEX(인턴근무계획!$M$3:$R$202,$A58,$G$3)&amp;"",FIND(" ",INDEX(인턴근무계획!$M$3:$R$202,$A58,$G$3)&amp;"")+1,60))))</f>
        <v/>
      </c>
      <c r="I58" s="21">
        <f>IF(OR($C58="",$I$3=""),"",IF(INDEX(인턴근무계획!$M$3:$R$202,$A58,$I$3)&amp;""="","",IF(LEFT(INDEX(인턴근무계획!$M$3:$R$202,$A58,$I$3)&amp;"",1)="⚠",INDEX(인턴근무계획!$M$3:$R$202,$A58,$I$3)&amp;"",LEFT(INDEX(인턴근무계획!$M$3:$R$202,$A58,$I$3)&amp;"",FIND(" ",INDEX(인턴근무계획!$M$3:$R$202,$A58,$I$3)&amp;"")-1))))</f>
        <v/>
      </c>
      <c r="J58" s="21">
        <f>IF(OR($C58="",$I$3=""),"",IF(INDEX(인턴근무계획!$M$3:$R$202,$A58,$I$3)&amp;""="","",IF(LEFT(INDEX(인턴근무계획!$M$3:$R$202,$A58,$I$3)&amp;"",1)="⚠","",MID(INDEX(인턴근무계획!$M$3:$R$202,$A58,$I$3)&amp;"",FIND(" ",INDEX(인턴근무계획!$M$3:$R$202,$A58,$I$3)&amp;"")+1,60))))</f>
        <v/>
      </c>
      <c r="K58" s="21">
        <f>IF($C58="","",INDEX(인턴근무계획!$M$3:$M$202,$A58)&amp;"")</f>
        <v/>
      </c>
      <c r="L58" s="21">
        <f>IF($C58="","",INDEX(인턴근무계획!$N$3:$N$202,$A58)&amp;"")</f>
        <v/>
      </c>
      <c r="M58" s="21">
        <f>IF($C58="","",INDEX(인턴근무계획!$O$3:$O$202,$A58)&amp;"")</f>
        <v/>
      </c>
      <c r="N58" s="21">
        <f>IF($C58="","",INDEX(인턴근무계획!$P$3:$P$202,$A58)&amp;"")</f>
        <v/>
      </c>
      <c r="O58" s="21">
        <f>IF($C58="","",INDEX(인턴근무계획!$Q$3:$Q$202,$A58)&amp;"")</f>
        <v/>
      </c>
      <c r="P58" s="21">
        <f>IF($C58="","",INDEX(인턴근무계획!$R$3:$R$202,$A58)&amp;"")</f>
        <v/>
      </c>
      <c r="Q58" s="21">
        <f>IF($C58="","",INDEX(인턴근무계획!$T$3:$T$202,$A58))</f>
        <v/>
      </c>
    </row>
    <row r="59">
      <c r="A59" s="24" t="n">
        <v>54</v>
      </c>
      <c r="B59" s="21">
        <f>IF($C59="","",INDEX(인턴근무계획!$B$3:$B$202,$A59))</f>
        <v/>
      </c>
      <c r="C59" s="21">
        <f>IFERROR(TRIM(INDEX(인턴근무계획!$C$3:$C$202,$A59)&amp;""),"")</f>
        <v/>
      </c>
      <c r="D59" s="21">
        <f>IF($C59="","",INDEX(인턴근무계획!$D$3:$D$202,$A59))</f>
        <v/>
      </c>
      <c r="E59" s="21">
        <f>IF($C59="","",IF(IFERROR(MATCH($D59,기본자료!$B$2:$B$501,0),IFERROR(MATCH($D59&amp;"",기본자료!$B$2:$B$501,0),IFERROR(MATCH(VALUE($D59),기본자료!$B$2:$B$501,0),0)))&gt;0,"확인","미등록"))</f>
        <v/>
      </c>
      <c r="F59" s="25">
        <f>IF($C59="","",INDEX(인턴근무계획!$S$3:$S$202,$A59))</f>
        <v/>
      </c>
      <c r="G59" s="21">
        <f>IF(OR($C59="",$G$3=""),"",IF(INDEX(인턴근무계획!$M$3:$R$202,$A59,$G$3)&amp;""="","",IF(LEFT(INDEX(인턴근무계획!$M$3:$R$202,$A59,$G$3)&amp;"",1)="⚠",INDEX(인턴근무계획!$M$3:$R$202,$A59,$G$3)&amp;"",LEFT(INDEX(인턴근무계획!$M$3:$R$202,$A59,$G$3)&amp;"",FIND(" ",INDEX(인턴근무계획!$M$3:$R$202,$A59,$G$3)&amp;"")-1))))</f>
        <v/>
      </c>
      <c r="H59" s="21">
        <f>IF(OR($C59="",$G$3=""),"",IF(INDEX(인턴근무계획!$M$3:$R$202,$A59,$G$3)&amp;""="","",IF(LEFT(INDEX(인턴근무계획!$M$3:$R$202,$A59,$G$3)&amp;"",1)="⚠","",MID(INDEX(인턴근무계획!$M$3:$R$202,$A59,$G$3)&amp;"",FIND(" ",INDEX(인턴근무계획!$M$3:$R$202,$A59,$G$3)&amp;"")+1,60))))</f>
        <v/>
      </c>
      <c r="I59" s="21">
        <f>IF(OR($C59="",$I$3=""),"",IF(INDEX(인턴근무계획!$M$3:$R$202,$A59,$I$3)&amp;""="","",IF(LEFT(INDEX(인턴근무계획!$M$3:$R$202,$A59,$I$3)&amp;"",1)="⚠",INDEX(인턴근무계획!$M$3:$R$202,$A59,$I$3)&amp;"",LEFT(INDEX(인턴근무계획!$M$3:$R$202,$A59,$I$3)&amp;"",FIND(" ",INDEX(인턴근무계획!$M$3:$R$202,$A59,$I$3)&amp;"")-1))))</f>
        <v/>
      </c>
      <c r="J59" s="21">
        <f>IF(OR($C59="",$I$3=""),"",IF(INDEX(인턴근무계획!$M$3:$R$202,$A59,$I$3)&amp;""="","",IF(LEFT(INDEX(인턴근무계획!$M$3:$R$202,$A59,$I$3)&amp;"",1)="⚠","",MID(INDEX(인턴근무계획!$M$3:$R$202,$A59,$I$3)&amp;"",FIND(" ",INDEX(인턴근무계획!$M$3:$R$202,$A59,$I$3)&amp;"")+1,60))))</f>
        <v/>
      </c>
      <c r="K59" s="21">
        <f>IF($C59="","",INDEX(인턴근무계획!$M$3:$M$202,$A59)&amp;"")</f>
        <v/>
      </c>
      <c r="L59" s="21">
        <f>IF($C59="","",INDEX(인턴근무계획!$N$3:$N$202,$A59)&amp;"")</f>
        <v/>
      </c>
      <c r="M59" s="21">
        <f>IF($C59="","",INDEX(인턴근무계획!$O$3:$O$202,$A59)&amp;"")</f>
        <v/>
      </c>
      <c r="N59" s="21">
        <f>IF($C59="","",INDEX(인턴근무계획!$P$3:$P$202,$A59)&amp;"")</f>
        <v/>
      </c>
      <c r="O59" s="21">
        <f>IF($C59="","",INDEX(인턴근무계획!$Q$3:$Q$202,$A59)&amp;"")</f>
        <v/>
      </c>
      <c r="P59" s="21">
        <f>IF($C59="","",INDEX(인턴근무계획!$R$3:$R$202,$A59)&amp;"")</f>
        <v/>
      </c>
      <c r="Q59" s="21">
        <f>IF($C59="","",INDEX(인턴근무계획!$T$3:$T$202,$A59))</f>
        <v/>
      </c>
    </row>
    <row r="60">
      <c r="A60" s="24" t="n">
        <v>55</v>
      </c>
      <c r="B60" s="21">
        <f>IF($C60="","",INDEX(인턴근무계획!$B$3:$B$202,$A60))</f>
        <v/>
      </c>
      <c r="C60" s="21">
        <f>IFERROR(TRIM(INDEX(인턴근무계획!$C$3:$C$202,$A60)&amp;""),"")</f>
        <v/>
      </c>
      <c r="D60" s="21">
        <f>IF($C60="","",INDEX(인턴근무계획!$D$3:$D$202,$A60))</f>
        <v/>
      </c>
      <c r="E60" s="21">
        <f>IF($C60="","",IF(IFERROR(MATCH($D60,기본자료!$B$2:$B$501,0),IFERROR(MATCH($D60&amp;"",기본자료!$B$2:$B$501,0),IFERROR(MATCH(VALUE($D60),기본자료!$B$2:$B$501,0),0)))&gt;0,"확인","미등록"))</f>
        <v/>
      </c>
      <c r="F60" s="25">
        <f>IF($C60="","",INDEX(인턴근무계획!$S$3:$S$202,$A60))</f>
        <v/>
      </c>
      <c r="G60" s="21">
        <f>IF(OR($C60="",$G$3=""),"",IF(INDEX(인턴근무계획!$M$3:$R$202,$A60,$G$3)&amp;""="","",IF(LEFT(INDEX(인턴근무계획!$M$3:$R$202,$A60,$G$3)&amp;"",1)="⚠",INDEX(인턴근무계획!$M$3:$R$202,$A60,$G$3)&amp;"",LEFT(INDEX(인턴근무계획!$M$3:$R$202,$A60,$G$3)&amp;"",FIND(" ",INDEX(인턴근무계획!$M$3:$R$202,$A60,$G$3)&amp;"")-1))))</f>
        <v/>
      </c>
      <c r="H60" s="21">
        <f>IF(OR($C60="",$G$3=""),"",IF(INDEX(인턴근무계획!$M$3:$R$202,$A60,$G$3)&amp;""="","",IF(LEFT(INDEX(인턴근무계획!$M$3:$R$202,$A60,$G$3)&amp;"",1)="⚠","",MID(INDEX(인턴근무계획!$M$3:$R$202,$A60,$G$3)&amp;"",FIND(" ",INDEX(인턴근무계획!$M$3:$R$202,$A60,$G$3)&amp;"")+1,60))))</f>
        <v/>
      </c>
      <c r="I60" s="21">
        <f>IF(OR($C60="",$I$3=""),"",IF(INDEX(인턴근무계획!$M$3:$R$202,$A60,$I$3)&amp;""="","",IF(LEFT(INDEX(인턴근무계획!$M$3:$R$202,$A60,$I$3)&amp;"",1)="⚠",INDEX(인턴근무계획!$M$3:$R$202,$A60,$I$3)&amp;"",LEFT(INDEX(인턴근무계획!$M$3:$R$202,$A60,$I$3)&amp;"",FIND(" ",INDEX(인턴근무계획!$M$3:$R$202,$A60,$I$3)&amp;"")-1))))</f>
        <v/>
      </c>
      <c r="J60" s="21">
        <f>IF(OR($C60="",$I$3=""),"",IF(INDEX(인턴근무계획!$M$3:$R$202,$A60,$I$3)&amp;""="","",IF(LEFT(INDEX(인턴근무계획!$M$3:$R$202,$A60,$I$3)&amp;"",1)="⚠","",MID(INDEX(인턴근무계획!$M$3:$R$202,$A60,$I$3)&amp;"",FIND(" ",INDEX(인턴근무계획!$M$3:$R$202,$A60,$I$3)&amp;"")+1,60))))</f>
        <v/>
      </c>
      <c r="K60" s="21">
        <f>IF($C60="","",INDEX(인턴근무계획!$M$3:$M$202,$A60)&amp;"")</f>
        <v/>
      </c>
      <c r="L60" s="21">
        <f>IF($C60="","",INDEX(인턴근무계획!$N$3:$N$202,$A60)&amp;"")</f>
        <v/>
      </c>
      <c r="M60" s="21">
        <f>IF($C60="","",INDEX(인턴근무계획!$O$3:$O$202,$A60)&amp;"")</f>
        <v/>
      </c>
      <c r="N60" s="21">
        <f>IF($C60="","",INDEX(인턴근무계획!$P$3:$P$202,$A60)&amp;"")</f>
        <v/>
      </c>
      <c r="O60" s="21">
        <f>IF($C60="","",INDEX(인턴근무계획!$Q$3:$Q$202,$A60)&amp;"")</f>
        <v/>
      </c>
      <c r="P60" s="21">
        <f>IF($C60="","",INDEX(인턴근무계획!$R$3:$R$202,$A60)&amp;"")</f>
        <v/>
      </c>
      <c r="Q60" s="21">
        <f>IF($C60="","",INDEX(인턴근무계획!$T$3:$T$202,$A60))</f>
        <v/>
      </c>
    </row>
    <row r="61">
      <c r="A61" s="24" t="n">
        <v>56</v>
      </c>
      <c r="B61" s="21">
        <f>IF($C61="","",INDEX(인턴근무계획!$B$3:$B$202,$A61))</f>
        <v/>
      </c>
      <c r="C61" s="21">
        <f>IFERROR(TRIM(INDEX(인턴근무계획!$C$3:$C$202,$A61)&amp;""),"")</f>
        <v/>
      </c>
      <c r="D61" s="21">
        <f>IF($C61="","",INDEX(인턴근무계획!$D$3:$D$202,$A61))</f>
        <v/>
      </c>
      <c r="E61" s="21">
        <f>IF($C61="","",IF(IFERROR(MATCH($D61,기본자료!$B$2:$B$501,0),IFERROR(MATCH($D61&amp;"",기본자료!$B$2:$B$501,0),IFERROR(MATCH(VALUE($D61),기본자료!$B$2:$B$501,0),0)))&gt;0,"확인","미등록"))</f>
        <v/>
      </c>
      <c r="F61" s="25">
        <f>IF($C61="","",INDEX(인턴근무계획!$S$3:$S$202,$A61))</f>
        <v/>
      </c>
      <c r="G61" s="21">
        <f>IF(OR($C61="",$G$3=""),"",IF(INDEX(인턴근무계획!$M$3:$R$202,$A61,$G$3)&amp;""="","",IF(LEFT(INDEX(인턴근무계획!$M$3:$R$202,$A61,$G$3)&amp;"",1)="⚠",INDEX(인턴근무계획!$M$3:$R$202,$A61,$G$3)&amp;"",LEFT(INDEX(인턴근무계획!$M$3:$R$202,$A61,$G$3)&amp;"",FIND(" ",INDEX(인턴근무계획!$M$3:$R$202,$A61,$G$3)&amp;"")-1))))</f>
        <v/>
      </c>
      <c r="H61" s="21">
        <f>IF(OR($C61="",$G$3=""),"",IF(INDEX(인턴근무계획!$M$3:$R$202,$A61,$G$3)&amp;""="","",IF(LEFT(INDEX(인턴근무계획!$M$3:$R$202,$A61,$G$3)&amp;"",1)="⚠","",MID(INDEX(인턴근무계획!$M$3:$R$202,$A61,$G$3)&amp;"",FIND(" ",INDEX(인턴근무계획!$M$3:$R$202,$A61,$G$3)&amp;"")+1,60))))</f>
        <v/>
      </c>
      <c r="I61" s="21">
        <f>IF(OR($C61="",$I$3=""),"",IF(INDEX(인턴근무계획!$M$3:$R$202,$A61,$I$3)&amp;""="","",IF(LEFT(INDEX(인턴근무계획!$M$3:$R$202,$A61,$I$3)&amp;"",1)="⚠",INDEX(인턴근무계획!$M$3:$R$202,$A61,$I$3)&amp;"",LEFT(INDEX(인턴근무계획!$M$3:$R$202,$A61,$I$3)&amp;"",FIND(" ",INDEX(인턴근무계획!$M$3:$R$202,$A61,$I$3)&amp;"")-1))))</f>
        <v/>
      </c>
      <c r="J61" s="21">
        <f>IF(OR($C61="",$I$3=""),"",IF(INDEX(인턴근무계획!$M$3:$R$202,$A61,$I$3)&amp;""="","",IF(LEFT(INDEX(인턴근무계획!$M$3:$R$202,$A61,$I$3)&amp;"",1)="⚠","",MID(INDEX(인턴근무계획!$M$3:$R$202,$A61,$I$3)&amp;"",FIND(" ",INDEX(인턴근무계획!$M$3:$R$202,$A61,$I$3)&amp;"")+1,60))))</f>
        <v/>
      </c>
      <c r="K61" s="21">
        <f>IF($C61="","",INDEX(인턴근무계획!$M$3:$M$202,$A61)&amp;"")</f>
        <v/>
      </c>
      <c r="L61" s="21">
        <f>IF($C61="","",INDEX(인턴근무계획!$N$3:$N$202,$A61)&amp;"")</f>
        <v/>
      </c>
      <c r="M61" s="21">
        <f>IF($C61="","",INDEX(인턴근무계획!$O$3:$O$202,$A61)&amp;"")</f>
        <v/>
      </c>
      <c r="N61" s="21">
        <f>IF($C61="","",INDEX(인턴근무계획!$P$3:$P$202,$A61)&amp;"")</f>
        <v/>
      </c>
      <c r="O61" s="21">
        <f>IF($C61="","",INDEX(인턴근무계획!$Q$3:$Q$202,$A61)&amp;"")</f>
        <v/>
      </c>
      <c r="P61" s="21">
        <f>IF($C61="","",INDEX(인턴근무계획!$R$3:$R$202,$A61)&amp;"")</f>
        <v/>
      </c>
      <c r="Q61" s="21">
        <f>IF($C61="","",INDEX(인턴근무계획!$T$3:$T$202,$A61))</f>
        <v/>
      </c>
    </row>
    <row r="62">
      <c r="A62" s="24" t="n">
        <v>57</v>
      </c>
      <c r="B62" s="21">
        <f>IF($C62="","",INDEX(인턴근무계획!$B$3:$B$202,$A62))</f>
        <v/>
      </c>
      <c r="C62" s="21">
        <f>IFERROR(TRIM(INDEX(인턴근무계획!$C$3:$C$202,$A62)&amp;""),"")</f>
        <v/>
      </c>
      <c r="D62" s="21">
        <f>IF($C62="","",INDEX(인턴근무계획!$D$3:$D$202,$A62))</f>
        <v/>
      </c>
      <c r="E62" s="21">
        <f>IF($C62="","",IF(IFERROR(MATCH($D62,기본자료!$B$2:$B$501,0),IFERROR(MATCH($D62&amp;"",기본자료!$B$2:$B$501,0),IFERROR(MATCH(VALUE($D62),기본자료!$B$2:$B$501,0),0)))&gt;0,"확인","미등록"))</f>
        <v/>
      </c>
      <c r="F62" s="25">
        <f>IF($C62="","",INDEX(인턴근무계획!$S$3:$S$202,$A62))</f>
        <v/>
      </c>
      <c r="G62" s="21">
        <f>IF(OR($C62="",$G$3=""),"",IF(INDEX(인턴근무계획!$M$3:$R$202,$A62,$G$3)&amp;""="","",IF(LEFT(INDEX(인턴근무계획!$M$3:$R$202,$A62,$G$3)&amp;"",1)="⚠",INDEX(인턴근무계획!$M$3:$R$202,$A62,$G$3)&amp;"",LEFT(INDEX(인턴근무계획!$M$3:$R$202,$A62,$G$3)&amp;"",FIND(" ",INDEX(인턴근무계획!$M$3:$R$202,$A62,$G$3)&amp;"")-1))))</f>
        <v/>
      </c>
      <c r="H62" s="21">
        <f>IF(OR($C62="",$G$3=""),"",IF(INDEX(인턴근무계획!$M$3:$R$202,$A62,$G$3)&amp;""="","",IF(LEFT(INDEX(인턴근무계획!$M$3:$R$202,$A62,$G$3)&amp;"",1)="⚠","",MID(INDEX(인턴근무계획!$M$3:$R$202,$A62,$G$3)&amp;"",FIND(" ",INDEX(인턴근무계획!$M$3:$R$202,$A62,$G$3)&amp;"")+1,60))))</f>
        <v/>
      </c>
      <c r="I62" s="21">
        <f>IF(OR($C62="",$I$3=""),"",IF(INDEX(인턴근무계획!$M$3:$R$202,$A62,$I$3)&amp;""="","",IF(LEFT(INDEX(인턴근무계획!$M$3:$R$202,$A62,$I$3)&amp;"",1)="⚠",INDEX(인턴근무계획!$M$3:$R$202,$A62,$I$3)&amp;"",LEFT(INDEX(인턴근무계획!$M$3:$R$202,$A62,$I$3)&amp;"",FIND(" ",INDEX(인턴근무계획!$M$3:$R$202,$A62,$I$3)&amp;"")-1))))</f>
        <v/>
      </c>
      <c r="J62" s="21">
        <f>IF(OR($C62="",$I$3=""),"",IF(INDEX(인턴근무계획!$M$3:$R$202,$A62,$I$3)&amp;""="","",IF(LEFT(INDEX(인턴근무계획!$M$3:$R$202,$A62,$I$3)&amp;"",1)="⚠","",MID(INDEX(인턴근무계획!$M$3:$R$202,$A62,$I$3)&amp;"",FIND(" ",INDEX(인턴근무계획!$M$3:$R$202,$A62,$I$3)&amp;"")+1,60))))</f>
        <v/>
      </c>
      <c r="K62" s="21">
        <f>IF($C62="","",INDEX(인턴근무계획!$M$3:$M$202,$A62)&amp;"")</f>
        <v/>
      </c>
      <c r="L62" s="21">
        <f>IF($C62="","",INDEX(인턴근무계획!$N$3:$N$202,$A62)&amp;"")</f>
        <v/>
      </c>
      <c r="M62" s="21">
        <f>IF($C62="","",INDEX(인턴근무계획!$O$3:$O$202,$A62)&amp;"")</f>
        <v/>
      </c>
      <c r="N62" s="21">
        <f>IF($C62="","",INDEX(인턴근무계획!$P$3:$P$202,$A62)&amp;"")</f>
        <v/>
      </c>
      <c r="O62" s="21">
        <f>IF($C62="","",INDEX(인턴근무계획!$Q$3:$Q$202,$A62)&amp;"")</f>
        <v/>
      </c>
      <c r="P62" s="21">
        <f>IF($C62="","",INDEX(인턴근무계획!$R$3:$R$202,$A62)&amp;"")</f>
        <v/>
      </c>
      <c r="Q62" s="21">
        <f>IF($C62="","",INDEX(인턴근무계획!$T$3:$T$202,$A62))</f>
        <v/>
      </c>
    </row>
    <row r="63">
      <c r="A63" s="24" t="n">
        <v>58</v>
      </c>
      <c r="B63" s="21">
        <f>IF($C63="","",INDEX(인턴근무계획!$B$3:$B$202,$A63))</f>
        <v/>
      </c>
      <c r="C63" s="21">
        <f>IFERROR(TRIM(INDEX(인턴근무계획!$C$3:$C$202,$A63)&amp;""),"")</f>
        <v/>
      </c>
      <c r="D63" s="21">
        <f>IF($C63="","",INDEX(인턴근무계획!$D$3:$D$202,$A63))</f>
        <v/>
      </c>
      <c r="E63" s="21">
        <f>IF($C63="","",IF(IFERROR(MATCH($D63,기본자료!$B$2:$B$501,0),IFERROR(MATCH($D63&amp;"",기본자료!$B$2:$B$501,0),IFERROR(MATCH(VALUE($D63),기본자료!$B$2:$B$501,0),0)))&gt;0,"확인","미등록"))</f>
        <v/>
      </c>
      <c r="F63" s="25">
        <f>IF($C63="","",INDEX(인턴근무계획!$S$3:$S$202,$A63))</f>
        <v/>
      </c>
      <c r="G63" s="21">
        <f>IF(OR($C63="",$G$3=""),"",IF(INDEX(인턴근무계획!$M$3:$R$202,$A63,$G$3)&amp;""="","",IF(LEFT(INDEX(인턴근무계획!$M$3:$R$202,$A63,$G$3)&amp;"",1)="⚠",INDEX(인턴근무계획!$M$3:$R$202,$A63,$G$3)&amp;"",LEFT(INDEX(인턴근무계획!$M$3:$R$202,$A63,$G$3)&amp;"",FIND(" ",INDEX(인턴근무계획!$M$3:$R$202,$A63,$G$3)&amp;"")-1))))</f>
        <v/>
      </c>
      <c r="H63" s="21">
        <f>IF(OR($C63="",$G$3=""),"",IF(INDEX(인턴근무계획!$M$3:$R$202,$A63,$G$3)&amp;""="","",IF(LEFT(INDEX(인턴근무계획!$M$3:$R$202,$A63,$G$3)&amp;"",1)="⚠","",MID(INDEX(인턴근무계획!$M$3:$R$202,$A63,$G$3)&amp;"",FIND(" ",INDEX(인턴근무계획!$M$3:$R$202,$A63,$G$3)&amp;"")+1,60))))</f>
        <v/>
      </c>
      <c r="I63" s="21">
        <f>IF(OR($C63="",$I$3=""),"",IF(INDEX(인턴근무계획!$M$3:$R$202,$A63,$I$3)&amp;""="","",IF(LEFT(INDEX(인턴근무계획!$M$3:$R$202,$A63,$I$3)&amp;"",1)="⚠",INDEX(인턴근무계획!$M$3:$R$202,$A63,$I$3)&amp;"",LEFT(INDEX(인턴근무계획!$M$3:$R$202,$A63,$I$3)&amp;"",FIND(" ",INDEX(인턴근무계획!$M$3:$R$202,$A63,$I$3)&amp;"")-1))))</f>
        <v/>
      </c>
      <c r="J63" s="21">
        <f>IF(OR($C63="",$I$3=""),"",IF(INDEX(인턴근무계획!$M$3:$R$202,$A63,$I$3)&amp;""="","",IF(LEFT(INDEX(인턴근무계획!$M$3:$R$202,$A63,$I$3)&amp;"",1)="⚠","",MID(INDEX(인턴근무계획!$M$3:$R$202,$A63,$I$3)&amp;"",FIND(" ",INDEX(인턴근무계획!$M$3:$R$202,$A63,$I$3)&amp;"")+1,60))))</f>
        <v/>
      </c>
      <c r="K63" s="21">
        <f>IF($C63="","",INDEX(인턴근무계획!$M$3:$M$202,$A63)&amp;"")</f>
        <v/>
      </c>
      <c r="L63" s="21">
        <f>IF($C63="","",INDEX(인턴근무계획!$N$3:$N$202,$A63)&amp;"")</f>
        <v/>
      </c>
      <c r="M63" s="21">
        <f>IF($C63="","",INDEX(인턴근무계획!$O$3:$O$202,$A63)&amp;"")</f>
        <v/>
      </c>
      <c r="N63" s="21">
        <f>IF($C63="","",INDEX(인턴근무계획!$P$3:$P$202,$A63)&amp;"")</f>
        <v/>
      </c>
      <c r="O63" s="21">
        <f>IF($C63="","",INDEX(인턴근무계획!$Q$3:$Q$202,$A63)&amp;"")</f>
        <v/>
      </c>
      <c r="P63" s="21">
        <f>IF($C63="","",INDEX(인턴근무계획!$R$3:$R$202,$A63)&amp;"")</f>
        <v/>
      </c>
      <c r="Q63" s="21">
        <f>IF($C63="","",INDEX(인턴근무계획!$T$3:$T$202,$A63))</f>
        <v/>
      </c>
    </row>
    <row r="64">
      <c r="A64" s="24" t="n">
        <v>59</v>
      </c>
      <c r="B64" s="21">
        <f>IF($C64="","",INDEX(인턴근무계획!$B$3:$B$202,$A64))</f>
        <v/>
      </c>
      <c r="C64" s="21">
        <f>IFERROR(TRIM(INDEX(인턴근무계획!$C$3:$C$202,$A64)&amp;""),"")</f>
        <v/>
      </c>
      <c r="D64" s="21">
        <f>IF($C64="","",INDEX(인턴근무계획!$D$3:$D$202,$A64))</f>
        <v/>
      </c>
      <c r="E64" s="21">
        <f>IF($C64="","",IF(IFERROR(MATCH($D64,기본자료!$B$2:$B$501,0),IFERROR(MATCH($D64&amp;"",기본자료!$B$2:$B$501,0),IFERROR(MATCH(VALUE($D64),기본자료!$B$2:$B$501,0),0)))&gt;0,"확인","미등록"))</f>
        <v/>
      </c>
      <c r="F64" s="25">
        <f>IF($C64="","",INDEX(인턴근무계획!$S$3:$S$202,$A64))</f>
        <v/>
      </c>
      <c r="G64" s="21">
        <f>IF(OR($C64="",$G$3=""),"",IF(INDEX(인턴근무계획!$M$3:$R$202,$A64,$G$3)&amp;""="","",IF(LEFT(INDEX(인턴근무계획!$M$3:$R$202,$A64,$G$3)&amp;"",1)="⚠",INDEX(인턴근무계획!$M$3:$R$202,$A64,$G$3)&amp;"",LEFT(INDEX(인턴근무계획!$M$3:$R$202,$A64,$G$3)&amp;"",FIND(" ",INDEX(인턴근무계획!$M$3:$R$202,$A64,$G$3)&amp;"")-1))))</f>
        <v/>
      </c>
      <c r="H64" s="21">
        <f>IF(OR($C64="",$G$3=""),"",IF(INDEX(인턴근무계획!$M$3:$R$202,$A64,$G$3)&amp;""="","",IF(LEFT(INDEX(인턴근무계획!$M$3:$R$202,$A64,$G$3)&amp;"",1)="⚠","",MID(INDEX(인턴근무계획!$M$3:$R$202,$A64,$G$3)&amp;"",FIND(" ",INDEX(인턴근무계획!$M$3:$R$202,$A64,$G$3)&amp;"")+1,60))))</f>
        <v/>
      </c>
      <c r="I64" s="21">
        <f>IF(OR($C64="",$I$3=""),"",IF(INDEX(인턴근무계획!$M$3:$R$202,$A64,$I$3)&amp;""="","",IF(LEFT(INDEX(인턴근무계획!$M$3:$R$202,$A64,$I$3)&amp;"",1)="⚠",INDEX(인턴근무계획!$M$3:$R$202,$A64,$I$3)&amp;"",LEFT(INDEX(인턴근무계획!$M$3:$R$202,$A64,$I$3)&amp;"",FIND(" ",INDEX(인턴근무계획!$M$3:$R$202,$A64,$I$3)&amp;"")-1))))</f>
        <v/>
      </c>
      <c r="J64" s="21">
        <f>IF(OR($C64="",$I$3=""),"",IF(INDEX(인턴근무계획!$M$3:$R$202,$A64,$I$3)&amp;""="","",IF(LEFT(INDEX(인턴근무계획!$M$3:$R$202,$A64,$I$3)&amp;"",1)="⚠","",MID(INDEX(인턴근무계획!$M$3:$R$202,$A64,$I$3)&amp;"",FIND(" ",INDEX(인턴근무계획!$M$3:$R$202,$A64,$I$3)&amp;"")+1,60))))</f>
        <v/>
      </c>
      <c r="K64" s="21">
        <f>IF($C64="","",INDEX(인턴근무계획!$M$3:$M$202,$A64)&amp;"")</f>
        <v/>
      </c>
      <c r="L64" s="21">
        <f>IF($C64="","",INDEX(인턴근무계획!$N$3:$N$202,$A64)&amp;"")</f>
        <v/>
      </c>
      <c r="M64" s="21">
        <f>IF($C64="","",INDEX(인턴근무계획!$O$3:$O$202,$A64)&amp;"")</f>
        <v/>
      </c>
      <c r="N64" s="21">
        <f>IF($C64="","",INDEX(인턴근무계획!$P$3:$P$202,$A64)&amp;"")</f>
        <v/>
      </c>
      <c r="O64" s="21">
        <f>IF($C64="","",INDEX(인턴근무계획!$Q$3:$Q$202,$A64)&amp;"")</f>
        <v/>
      </c>
      <c r="P64" s="21">
        <f>IF($C64="","",INDEX(인턴근무계획!$R$3:$R$202,$A64)&amp;"")</f>
        <v/>
      </c>
      <c r="Q64" s="21">
        <f>IF($C64="","",INDEX(인턴근무계획!$T$3:$T$202,$A64))</f>
        <v/>
      </c>
    </row>
    <row r="65">
      <c r="A65" s="24" t="n">
        <v>60</v>
      </c>
      <c r="B65" s="21">
        <f>IF($C65="","",INDEX(인턴근무계획!$B$3:$B$202,$A65))</f>
        <v/>
      </c>
      <c r="C65" s="21">
        <f>IFERROR(TRIM(INDEX(인턴근무계획!$C$3:$C$202,$A65)&amp;""),"")</f>
        <v/>
      </c>
      <c r="D65" s="21">
        <f>IF($C65="","",INDEX(인턴근무계획!$D$3:$D$202,$A65))</f>
        <v/>
      </c>
      <c r="E65" s="21">
        <f>IF($C65="","",IF(IFERROR(MATCH($D65,기본자료!$B$2:$B$501,0),IFERROR(MATCH($D65&amp;"",기본자료!$B$2:$B$501,0),IFERROR(MATCH(VALUE($D65),기본자료!$B$2:$B$501,0),0)))&gt;0,"확인","미등록"))</f>
        <v/>
      </c>
      <c r="F65" s="25">
        <f>IF($C65="","",INDEX(인턴근무계획!$S$3:$S$202,$A65))</f>
        <v/>
      </c>
      <c r="G65" s="21">
        <f>IF(OR($C65="",$G$3=""),"",IF(INDEX(인턴근무계획!$M$3:$R$202,$A65,$G$3)&amp;""="","",IF(LEFT(INDEX(인턴근무계획!$M$3:$R$202,$A65,$G$3)&amp;"",1)="⚠",INDEX(인턴근무계획!$M$3:$R$202,$A65,$G$3)&amp;"",LEFT(INDEX(인턴근무계획!$M$3:$R$202,$A65,$G$3)&amp;"",FIND(" ",INDEX(인턴근무계획!$M$3:$R$202,$A65,$G$3)&amp;"")-1))))</f>
        <v/>
      </c>
      <c r="H65" s="21">
        <f>IF(OR($C65="",$G$3=""),"",IF(INDEX(인턴근무계획!$M$3:$R$202,$A65,$G$3)&amp;""="","",IF(LEFT(INDEX(인턴근무계획!$M$3:$R$202,$A65,$G$3)&amp;"",1)="⚠","",MID(INDEX(인턴근무계획!$M$3:$R$202,$A65,$G$3)&amp;"",FIND(" ",INDEX(인턴근무계획!$M$3:$R$202,$A65,$G$3)&amp;"")+1,60))))</f>
        <v/>
      </c>
      <c r="I65" s="21">
        <f>IF(OR($C65="",$I$3=""),"",IF(INDEX(인턴근무계획!$M$3:$R$202,$A65,$I$3)&amp;""="","",IF(LEFT(INDEX(인턴근무계획!$M$3:$R$202,$A65,$I$3)&amp;"",1)="⚠",INDEX(인턴근무계획!$M$3:$R$202,$A65,$I$3)&amp;"",LEFT(INDEX(인턴근무계획!$M$3:$R$202,$A65,$I$3)&amp;"",FIND(" ",INDEX(인턴근무계획!$M$3:$R$202,$A65,$I$3)&amp;"")-1))))</f>
        <v/>
      </c>
      <c r="J65" s="21">
        <f>IF(OR($C65="",$I$3=""),"",IF(INDEX(인턴근무계획!$M$3:$R$202,$A65,$I$3)&amp;""="","",IF(LEFT(INDEX(인턴근무계획!$M$3:$R$202,$A65,$I$3)&amp;"",1)="⚠","",MID(INDEX(인턴근무계획!$M$3:$R$202,$A65,$I$3)&amp;"",FIND(" ",INDEX(인턴근무계획!$M$3:$R$202,$A65,$I$3)&amp;"")+1,60))))</f>
        <v/>
      </c>
      <c r="K65" s="21">
        <f>IF($C65="","",INDEX(인턴근무계획!$M$3:$M$202,$A65)&amp;"")</f>
        <v/>
      </c>
      <c r="L65" s="21">
        <f>IF($C65="","",INDEX(인턴근무계획!$N$3:$N$202,$A65)&amp;"")</f>
        <v/>
      </c>
      <c r="M65" s="21">
        <f>IF($C65="","",INDEX(인턴근무계획!$O$3:$O$202,$A65)&amp;"")</f>
        <v/>
      </c>
      <c r="N65" s="21">
        <f>IF($C65="","",INDEX(인턴근무계획!$P$3:$P$202,$A65)&amp;"")</f>
        <v/>
      </c>
      <c r="O65" s="21">
        <f>IF($C65="","",INDEX(인턴근무계획!$Q$3:$Q$202,$A65)&amp;"")</f>
        <v/>
      </c>
      <c r="P65" s="21">
        <f>IF($C65="","",INDEX(인턴근무계획!$R$3:$R$202,$A65)&amp;"")</f>
        <v/>
      </c>
      <c r="Q65" s="21">
        <f>IF($C65="","",INDEX(인턴근무계획!$T$3:$T$202,$A65))</f>
        <v/>
      </c>
    </row>
    <row r="66">
      <c r="A66" s="24" t="n">
        <v>61</v>
      </c>
      <c r="B66" s="21">
        <f>IF($C66="","",INDEX(인턴근무계획!$B$3:$B$202,$A66))</f>
        <v/>
      </c>
      <c r="C66" s="21">
        <f>IFERROR(TRIM(INDEX(인턴근무계획!$C$3:$C$202,$A66)&amp;""),"")</f>
        <v/>
      </c>
      <c r="D66" s="21">
        <f>IF($C66="","",INDEX(인턴근무계획!$D$3:$D$202,$A66))</f>
        <v/>
      </c>
      <c r="E66" s="21">
        <f>IF($C66="","",IF(IFERROR(MATCH($D66,기본자료!$B$2:$B$501,0),IFERROR(MATCH($D66&amp;"",기본자료!$B$2:$B$501,0),IFERROR(MATCH(VALUE($D66),기본자료!$B$2:$B$501,0),0)))&gt;0,"확인","미등록"))</f>
        <v/>
      </c>
      <c r="F66" s="25">
        <f>IF($C66="","",INDEX(인턴근무계획!$S$3:$S$202,$A66))</f>
        <v/>
      </c>
      <c r="G66" s="21">
        <f>IF(OR($C66="",$G$3=""),"",IF(INDEX(인턴근무계획!$M$3:$R$202,$A66,$G$3)&amp;""="","",IF(LEFT(INDEX(인턴근무계획!$M$3:$R$202,$A66,$G$3)&amp;"",1)="⚠",INDEX(인턴근무계획!$M$3:$R$202,$A66,$G$3)&amp;"",LEFT(INDEX(인턴근무계획!$M$3:$R$202,$A66,$G$3)&amp;"",FIND(" ",INDEX(인턴근무계획!$M$3:$R$202,$A66,$G$3)&amp;"")-1))))</f>
        <v/>
      </c>
      <c r="H66" s="21">
        <f>IF(OR($C66="",$G$3=""),"",IF(INDEX(인턴근무계획!$M$3:$R$202,$A66,$G$3)&amp;""="","",IF(LEFT(INDEX(인턴근무계획!$M$3:$R$202,$A66,$G$3)&amp;"",1)="⚠","",MID(INDEX(인턴근무계획!$M$3:$R$202,$A66,$G$3)&amp;"",FIND(" ",INDEX(인턴근무계획!$M$3:$R$202,$A66,$G$3)&amp;"")+1,60))))</f>
        <v/>
      </c>
      <c r="I66" s="21">
        <f>IF(OR($C66="",$I$3=""),"",IF(INDEX(인턴근무계획!$M$3:$R$202,$A66,$I$3)&amp;""="","",IF(LEFT(INDEX(인턴근무계획!$M$3:$R$202,$A66,$I$3)&amp;"",1)="⚠",INDEX(인턴근무계획!$M$3:$R$202,$A66,$I$3)&amp;"",LEFT(INDEX(인턴근무계획!$M$3:$R$202,$A66,$I$3)&amp;"",FIND(" ",INDEX(인턴근무계획!$M$3:$R$202,$A66,$I$3)&amp;"")-1))))</f>
        <v/>
      </c>
      <c r="J66" s="21">
        <f>IF(OR($C66="",$I$3=""),"",IF(INDEX(인턴근무계획!$M$3:$R$202,$A66,$I$3)&amp;""="","",IF(LEFT(INDEX(인턴근무계획!$M$3:$R$202,$A66,$I$3)&amp;"",1)="⚠","",MID(INDEX(인턴근무계획!$M$3:$R$202,$A66,$I$3)&amp;"",FIND(" ",INDEX(인턴근무계획!$M$3:$R$202,$A66,$I$3)&amp;"")+1,60))))</f>
        <v/>
      </c>
      <c r="K66" s="21">
        <f>IF($C66="","",INDEX(인턴근무계획!$M$3:$M$202,$A66)&amp;"")</f>
        <v/>
      </c>
      <c r="L66" s="21">
        <f>IF($C66="","",INDEX(인턴근무계획!$N$3:$N$202,$A66)&amp;"")</f>
        <v/>
      </c>
      <c r="M66" s="21">
        <f>IF($C66="","",INDEX(인턴근무계획!$O$3:$O$202,$A66)&amp;"")</f>
        <v/>
      </c>
      <c r="N66" s="21">
        <f>IF($C66="","",INDEX(인턴근무계획!$P$3:$P$202,$A66)&amp;"")</f>
        <v/>
      </c>
      <c r="O66" s="21">
        <f>IF($C66="","",INDEX(인턴근무계획!$Q$3:$Q$202,$A66)&amp;"")</f>
        <v/>
      </c>
      <c r="P66" s="21">
        <f>IF($C66="","",INDEX(인턴근무계획!$R$3:$R$202,$A66)&amp;"")</f>
        <v/>
      </c>
      <c r="Q66" s="21">
        <f>IF($C66="","",INDEX(인턴근무계획!$T$3:$T$202,$A66))</f>
        <v/>
      </c>
    </row>
    <row r="67">
      <c r="A67" s="24" t="n">
        <v>62</v>
      </c>
      <c r="B67" s="21">
        <f>IF($C67="","",INDEX(인턴근무계획!$B$3:$B$202,$A67))</f>
        <v/>
      </c>
      <c r="C67" s="21">
        <f>IFERROR(TRIM(INDEX(인턴근무계획!$C$3:$C$202,$A67)&amp;""),"")</f>
        <v/>
      </c>
      <c r="D67" s="21">
        <f>IF($C67="","",INDEX(인턴근무계획!$D$3:$D$202,$A67))</f>
        <v/>
      </c>
      <c r="E67" s="21">
        <f>IF($C67="","",IF(IFERROR(MATCH($D67,기본자료!$B$2:$B$501,0),IFERROR(MATCH($D67&amp;"",기본자료!$B$2:$B$501,0),IFERROR(MATCH(VALUE($D67),기본자료!$B$2:$B$501,0),0)))&gt;0,"확인","미등록"))</f>
        <v/>
      </c>
      <c r="F67" s="25">
        <f>IF($C67="","",INDEX(인턴근무계획!$S$3:$S$202,$A67))</f>
        <v/>
      </c>
      <c r="G67" s="21">
        <f>IF(OR($C67="",$G$3=""),"",IF(INDEX(인턴근무계획!$M$3:$R$202,$A67,$G$3)&amp;""="","",IF(LEFT(INDEX(인턴근무계획!$M$3:$R$202,$A67,$G$3)&amp;"",1)="⚠",INDEX(인턴근무계획!$M$3:$R$202,$A67,$G$3)&amp;"",LEFT(INDEX(인턴근무계획!$M$3:$R$202,$A67,$G$3)&amp;"",FIND(" ",INDEX(인턴근무계획!$M$3:$R$202,$A67,$G$3)&amp;"")-1))))</f>
        <v/>
      </c>
      <c r="H67" s="21">
        <f>IF(OR($C67="",$G$3=""),"",IF(INDEX(인턴근무계획!$M$3:$R$202,$A67,$G$3)&amp;""="","",IF(LEFT(INDEX(인턴근무계획!$M$3:$R$202,$A67,$G$3)&amp;"",1)="⚠","",MID(INDEX(인턴근무계획!$M$3:$R$202,$A67,$G$3)&amp;"",FIND(" ",INDEX(인턴근무계획!$M$3:$R$202,$A67,$G$3)&amp;"")+1,60))))</f>
        <v/>
      </c>
      <c r="I67" s="21">
        <f>IF(OR($C67="",$I$3=""),"",IF(INDEX(인턴근무계획!$M$3:$R$202,$A67,$I$3)&amp;""="","",IF(LEFT(INDEX(인턴근무계획!$M$3:$R$202,$A67,$I$3)&amp;"",1)="⚠",INDEX(인턴근무계획!$M$3:$R$202,$A67,$I$3)&amp;"",LEFT(INDEX(인턴근무계획!$M$3:$R$202,$A67,$I$3)&amp;"",FIND(" ",INDEX(인턴근무계획!$M$3:$R$202,$A67,$I$3)&amp;"")-1))))</f>
        <v/>
      </c>
      <c r="J67" s="21">
        <f>IF(OR($C67="",$I$3=""),"",IF(INDEX(인턴근무계획!$M$3:$R$202,$A67,$I$3)&amp;""="","",IF(LEFT(INDEX(인턴근무계획!$M$3:$R$202,$A67,$I$3)&amp;"",1)="⚠","",MID(INDEX(인턴근무계획!$M$3:$R$202,$A67,$I$3)&amp;"",FIND(" ",INDEX(인턴근무계획!$M$3:$R$202,$A67,$I$3)&amp;"")+1,60))))</f>
        <v/>
      </c>
      <c r="K67" s="21">
        <f>IF($C67="","",INDEX(인턴근무계획!$M$3:$M$202,$A67)&amp;"")</f>
        <v/>
      </c>
      <c r="L67" s="21">
        <f>IF($C67="","",INDEX(인턴근무계획!$N$3:$N$202,$A67)&amp;"")</f>
        <v/>
      </c>
      <c r="M67" s="21">
        <f>IF($C67="","",INDEX(인턴근무계획!$O$3:$O$202,$A67)&amp;"")</f>
        <v/>
      </c>
      <c r="N67" s="21">
        <f>IF($C67="","",INDEX(인턴근무계획!$P$3:$P$202,$A67)&amp;"")</f>
        <v/>
      </c>
      <c r="O67" s="21">
        <f>IF($C67="","",INDEX(인턴근무계획!$Q$3:$Q$202,$A67)&amp;"")</f>
        <v/>
      </c>
      <c r="P67" s="21">
        <f>IF($C67="","",INDEX(인턴근무계획!$R$3:$R$202,$A67)&amp;"")</f>
        <v/>
      </c>
      <c r="Q67" s="21">
        <f>IF($C67="","",INDEX(인턴근무계획!$T$3:$T$202,$A67))</f>
        <v/>
      </c>
    </row>
    <row r="68">
      <c r="A68" s="24" t="n">
        <v>63</v>
      </c>
      <c r="B68" s="21">
        <f>IF($C68="","",INDEX(인턴근무계획!$B$3:$B$202,$A68))</f>
        <v/>
      </c>
      <c r="C68" s="21">
        <f>IFERROR(TRIM(INDEX(인턴근무계획!$C$3:$C$202,$A68)&amp;""),"")</f>
        <v/>
      </c>
      <c r="D68" s="21">
        <f>IF($C68="","",INDEX(인턴근무계획!$D$3:$D$202,$A68))</f>
        <v/>
      </c>
      <c r="E68" s="21">
        <f>IF($C68="","",IF(IFERROR(MATCH($D68,기본자료!$B$2:$B$501,0),IFERROR(MATCH($D68&amp;"",기본자료!$B$2:$B$501,0),IFERROR(MATCH(VALUE($D68),기본자료!$B$2:$B$501,0),0)))&gt;0,"확인","미등록"))</f>
        <v/>
      </c>
      <c r="F68" s="25">
        <f>IF($C68="","",INDEX(인턴근무계획!$S$3:$S$202,$A68))</f>
        <v/>
      </c>
      <c r="G68" s="21">
        <f>IF(OR($C68="",$G$3=""),"",IF(INDEX(인턴근무계획!$M$3:$R$202,$A68,$G$3)&amp;""="","",IF(LEFT(INDEX(인턴근무계획!$M$3:$R$202,$A68,$G$3)&amp;"",1)="⚠",INDEX(인턴근무계획!$M$3:$R$202,$A68,$G$3)&amp;"",LEFT(INDEX(인턴근무계획!$M$3:$R$202,$A68,$G$3)&amp;"",FIND(" ",INDEX(인턴근무계획!$M$3:$R$202,$A68,$G$3)&amp;"")-1))))</f>
        <v/>
      </c>
      <c r="H68" s="21">
        <f>IF(OR($C68="",$G$3=""),"",IF(INDEX(인턴근무계획!$M$3:$R$202,$A68,$G$3)&amp;""="","",IF(LEFT(INDEX(인턴근무계획!$M$3:$R$202,$A68,$G$3)&amp;"",1)="⚠","",MID(INDEX(인턴근무계획!$M$3:$R$202,$A68,$G$3)&amp;"",FIND(" ",INDEX(인턴근무계획!$M$3:$R$202,$A68,$G$3)&amp;"")+1,60))))</f>
        <v/>
      </c>
      <c r="I68" s="21">
        <f>IF(OR($C68="",$I$3=""),"",IF(INDEX(인턴근무계획!$M$3:$R$202,$A68,$I$3)&amp;""="","",IF(LEFT(INDEX(인턴근무계획!$M$3:$R$202,$A68,$I$3)&amp;"",1)="⚠",INDEX(인턴근무계획!$M$3:$R$202,$A68,$I$3)&amp;"",LEFT(INDEX(인턴근무계획!$M$3:$R$202,$A68,$I$3)&amp;"",FIND(" ",INDEX(인턴근무계획!$M$3:$R$202,$A68,$I$3)&amp;"")-1))))</f>
        <v/>
      </c>
      <c r="J68" s="21">
        <f>IF(OR($C68="",$I$3=""),"",IF(INDEX(인턴근무계획!$M$3:$R$202,$A68,$I$3)&amp;""="","",IF(LEFT(INDEX(인턴근무계획!$M$3:$R$202,$A68,$I$3)&amp;"",1)="⚠","",MID(INDEX(인턴근무계획!$M$3:$R$202,$A68,$I$3)&amp;"",FIND(" ",INDEX(인턴근무계획!$M$3:$R$202,$A68,$I$3)&amp;"")+1,60))))</f>
        <v/>
      </c>
      <c r="K68" s="21">
        <f>IF($C68="","",INDEX(인턴근무계획!$M$3:$M$202,$A68)&amp;"")</f>
        <v/>
      </c>
      <c r="L68" s="21">
        <f>IF($C68="","",INDEX(인턴근무계획!$N$3:$N$202,$A68)&amp;"")</f>
        <v/>
      </c>
      <c r="M68" s="21">
        <f>IF($C68="","",INDEX(인턴근무계획!$O$3:$O$202,$A68)&amp;"")</f>
        <v/>
      </c>
      <c r="N68" s="21">
        <f>IF($C68="","",INDEX(인턴근무계획!$P$3:$P$202,$A68)&amp;"")</f>
        <v/>
      </c>
      <c r="O68" s="21">
        <f>IF($C68="","",INDEX(인턴근무계획!$Q$3:$Q$202,$A68)&amp;"")</f>
        <v/>
      </c>
      <c r="P68" s="21">
        <f>IF($C68="","",INDEX(인턴근무계획!$R$3:$R$202,$A68)&amp;"")</f>
        <v/>
      </c>
      <c r="Q68" s="21">
        <f>IF($C68="","",INDEX(인턴근무계획!$T$3:$T$202,$A68))</f>
        <v/>
      </c>
    </row>
    <row r="69">
      <c r="A69" s="24" t="n">
        <v>64</v>
      </c>
      <c r="B69" s="21">
        <f>IF($C69="","",INDEX(인턴근무계획!$B$3:$B$202,$A69))</f>
        <v/>
      </c>
      <c r="C69" s="21">
        <f>IFERROR(TRIM(INDEX(인턴근무계획!$C$3:$C$202,$A69)&amp;""),"")</f>
        <v/>
      </c>
      <c r="D69" s="21">
        <f>IF($C69="","",INDEX(인턴근무계획!$D$3:$D$202,$A69))</f>
        <v/>
      </c>
      <c r="E69" s="21">
        <f>IF($C69="","",IF(IFERROR(MATCH($D69,기본자료!$B$2:$B$501,0),IFERROR(MATCH($D69&amp;"",기본자료!$B$2:$B$501,0),IFERROR(MATCH(VALUE($D69),기본자료!$B$2:$B$501,0),0)))&gt;0,"확인","미등록"))</f>
        <v/>
      </c>
      <c r="F69" s="25">
        <f>IF($C69="","",INDEX(인턴근무계획!$S$3:$S$202,$A69))</f>
        <v/>
      </c>
      <c r="G69" s="21">
        <f>IF(OR($C69="",$G$3=""),"",IF(INDEX(인턴근무계획!$M$3:$R$202,$A69,$G$3)&amp;""="","",IF(LEFT(INDEX(인턴근무계획!$M$3:$R$202,$A69,$G$3)&amp;"",1)="⚠",INDEX(인턴근무계획!$M$3:$R$202,$A69,$G$3)&amp;"",LEFT(INDEX(인턴근무계획!$M$3:$R$202,$A69,$G$3)&amp;"",FIND(" ",INDEX(인턴근무계획!$M$3:$R$202,$A69,$G$3)&amp;"")-1))))</f>
        <v/>
      </c>
      <c r="H69" s="21">
        <f>IF(OR($C69="",$G$3=""),"",IF(INDEX(인턴근무계획!$M$3:$R$202,$A69,$G$3)&amp;""="","",IF(LEFT(INDEX(인턴근무계획!$M$3:$R$202,$A69,$G$3)&amp;"",1)="⚠","",MID(INDEX(인턴근무계획!$M$3:$R$202,$A69,$G$3)&amp;"",FIND(" ",INDEX(인턴근무계획!$M$3:$R$202,$A69,$G$3)&amp;"")+1,60))))</f>
        <v/>
      </c>
      <c r="I69" s="21">
        <f>IF(OR($C69="",$I$3=""),"",IF(INDEX(인턴근무계획!$M$3:$R$202,$A69,$I$3)&amp;""="","",IF(LEFT(INDEX(인턴근무계획!$M$3:$R$202,$A69,$I$3)&amp;"",1)="⚠",INDEX(인턴근무계획!$M$3:$R$202,$A69,$I$3)&amp;"",LEFT(INDEX(인턴근무계획!$M$3:$R$202,$A69,$I$3)&amp;"",FIND(" ",INDEX(인턴근무계획!$M$3:$R$202,$A69,$I$3)&amp;"")-1))))</f>
        <v/>
      </c>
      <c r="J69" s="21">
        <f>IF(OR($C69="",$I$3=""),"",IF(INDEX(인턴근무계획!$M$3:$R$202,$A69,$I$3)&amp;""="","",IF(LEFT(INDEX(인턴근무계획!$M$3:$R$202,$A69,$I$3)&amp;"",1)="⚠","",MID(INDEX(인턴근무계획!$M$3:$R$202,$A69,$I$3)&amp;"",FIND(" ",INDEX(인턴근무계획!$M$3:$R$202,$A69,$I$3)&amp;"")+1,60))))</f>
        <v/>
      </c>
      <c r="K69" s="21">
        <f>IF($C69="","",INDEX(인턴근무계획!$M$3:$M$202,$A69)&amp;"")</f>
        <v/>
      </c>
      <c r="L69" s="21">
        <f>IF($C69="","",INDEX(인턴근무계획!$N$3:$N$202,$A69)&amp;"")</f>
        <v/>
      </c>
      <c r="M69" s="21">
        <f>IF($C69="","",INDEX(인턴근무계획!$O$3:$O$202,$A69)&amp;"")</f>
        <v/>
      </c>
      <c r="N69" s="21">
        <f>IF($C69="","",INDEX(인턴근무계획!$P$3:$P$202,$A69)&amp;"")</f>
        <v/>
      </c>
      <c r="O69" s="21">
        <f>IF($C69="","",INDEX(인턴근무계획!$Q$3:$Q$202,$A69)&amp;"")</f>
        <v/>
      </c>
      <c r="P69" s="21">
        <f>IF($C69="","",INDEX(인턴근무계획!$R$3:$R$202,$A69)&amp;"")</f>
        <v/>
      </c>
      <c r="Q69" s="21">
        <f>IF($C69="","",INDEX(인턴근무계획!$T$3:$T$202,$A69))</f>
        <v/>
      </c>
    </row>
    <row r="70">
      <c r="A70" s="24" t="n">
        <v>65</v>
      </c>
      <c r="B70" s="21">
        <f>IF($C70="","",INDEX(인턴근무계획!$B$3:$B$202,$A70))</f>
        <v/>
      </c>
      <c r="C70" s="21">
        <f>IFERROR(TRIM(INDEX(인턴근무계획!$C$3:$C$202,$A70)&amp;""),"")</f>
        <v/>
      </c>
      <c r="D70" s="21">
        <f>IF($C70="","",INDEX(인턴근무계획!$D$3:$D$202,$A70))</f>
        <v/>
      </c>
      <c r="E70" s="21">
        <f>IF($C70="","",IF(IFERROR(MATCH($D70,기본자료!$B$2:$B$501,0),IFERROR(MATCH($D70&amp;"",기본자료!$B$2:$B$501,0),IFERROR(MATCH(VALUE($D70),기본자료!$B$2:$B$501,0),0)))&gt;0,"확인","미등록"))</f>
        <v/>
      </c>
      <c r="F70" s="25">
        <f>IF($C70="","",INDEX(인턴근무계획!$S$3:$S$202,$A70))</f>
        <v/>
      </c>
      <c r="G70" s="21">
        <f>IF(OR($C70="",$G$3=""),"",IF(INDEX(인턴근무계획!$M$3:$R$202,$A70,$G$3)&amp;""="","",IF(LEFT(INDEX(인턴근무계획!$M$3:$R$202,$A70,$G$3)&amp;"",1)="⚠",INDEX(인턴근무계획!$M$3:$R$202,$A70,$G$3)&amp;"",LEFT(INDEX(인턴근무계획!$M$3:$R$202,$A70,$G$3)&amp;"",FIND(" ",INDEX(인턴근무계획!$M$3:$R$202,$A70,$G$3)&amp;"")-1))))</f>
        <v/>
      </c>
      <c r="H70" s="21">
        <f>IF(OR($C70="",$G$3=""),"",IF(INDEX(인턴근무계획!$M$3:$R$202,$A70,$G$3)&amp;""="","",IF(LEFT(INDEX(인턴근무계획!$M$3:$R$202,$A70,$G$3)&amp;"",1)="⚠","",MID(INDEX(인턴근무계획!$M$3:$R$202,$A70,$G$3)&amp;"",FIND(" ",INDEX(인턴근무계획!$M$3:$R$202,$A70,$G$3)&amp;"")+1,60))))</f>
        <v/>
      </c>
      <c r="I70" s="21">
        <f>IF(OR($C70="",$I$3=""),"",IF(INDEX(인턴근무계획!$M$3:$R$202,$A70,$I$3)&amp;""="","",IF(LEFT(INDEX(인턴근무계획!$M$3:$R$202,$A70,$I$3)&amp;"",1)="⚠",INDEX(인턴근무계획!$M$3:$R$202,$A70,$I$3)&amp;"",LEFT(INDEX(인턴근무계획!$M$3:$R$202,$A70,$I$3)&amp;"",FIND(" ",INDEX(인턴근무계획!$M$3:$R$202,$A70,$I$3)&amp;"")-1))))</f>
        <v/>
      </c>
      <c r="J70" s="21">
        <f>IF(OR($C70="",$I$3=""),"",IF(INDEX(인턴근무계획!$M$3:$R$202,$A70,$I$3)&amp;""="","",IF(LEFT(INDEX(인턴근무계획!$M$3:$R$202,$A70,$I$3)&amp;"",1)="⚠","",MID(INDEX(인턴근무계획!$M$3:$R$202,$A70,$I$3)&amp;"",FIND(" ",INDEX(인턴근무계획!$M$3:$R$202,$A70,$I$3)&amp;"")+1,60))))</f>
        <v/>
      </c>
      <c r="K70" s="21">
        <f>IF($C70="","",INDEX(인턴근무계획!$M$3:$M$202,$A70)&amp;"")</f>
        <v/>
      </c>
      <c r="L70" s="21">
        <f>IF($C70="","",INDEX(인턴근무계획!$N$3:$N$202,$A70)&amp;"")</f>
        <v/>
      </c>
      <c r="M70" s="21">
        <f>IF($C70="","",INDEX(인턴근무계획!$O$3:$O$202,$A70)&amp;"")</f>
        <v/>
      </c>
      <c r="N70" s="21">
        <f>IF($C70="","",INDEX(인턴근무계획!$P$3:$P$202,$A70)&amp;"")</f>
        <v/>
      </c>
      <c r="O70" s="21">
        <f>IF($C70="","",INDEX(인턴근무계획!$Q$3:$Q$202,$A70)&amp;"")</f>
        <v/>
      </c>
      <c r="P70" s="21">
        <f>IF($C70="","",INDEX(인턴근무계획!$R$3:$R$202,$A70)&amp;"")</f>
        <v/>
      </c>
      <c r="Q70" s="21">
        <f>IF($C70="","",INDEX(인턴근무계획!$T$3:$T$202,$A70))</f>
        <v/>
      </c>
    </row>
    <row r="71">
      <c r="A71" s="24" t="n">
        <v>66</v>
      </c>
      <c r="B71" s="21">
        <f>IF($C71="","",INDEX(인턴근무계획!$B$3:$B$202,$A71))</f>
        <v/>
      </c>
      <c r="C71" s="21">
        <f>IFERROR(TRIM(INDEX(인턴근무계획!$C$3:$C$202,$A71)&amp;""),"")</f>
        <v/>
      </c>
      <c r="D71" s="21">
        <f>IF($C71="","",INDEX(인턴근무계획!$D$3:$D$202,$A71))</f>
        <v/>
      </c>
      <c r="E71" s="21">
        <f>IF($C71="","",IF(IFERROR(MATCH($D71,기본자료!$B$2:$B$501,0),IFERROR(MATCH($D71&amp;"",기본자료!$B$2:$B$501,0),IFERROR(MATCH(VALUE($D71),기본자료!$B$2:$B$501,0),0)))&gt;0,"확인","미등록"))</f>
        <v/>
      </c>
      <c r="F71" s="25">
        <f>IF($C71="","",INDEX(인턴근무계획!$S$3:$S$202,$A71))</f>
        <v/>
      </c>
      <c r="G71" s="21">
        <f>IF(OR($C71="",$G$3=""),"",IF(INDEX(인턴근무계획!$M$3:$R$202,$A71,$G$3)&amp;""="","",IF(LEFT(INDEX(인턴근무계획!$M$3:$R$202,$A71,$G$3)&amp;"",1)="⚠",INDEX(인턴근무계획!$M$3:$R$202,$A71,$G$3)&amp;"",LEFT(INDEX(인턴근무계획!$M$3:$R$202,$A71,$G$3)&amp;"",FIND(" ",INDEX(인턴근무계획!$M$3:$R$202,$A71,$G$3)&amp;"")-1))))</f>
        <v/>
      </c>
      <c r="H71" s="21">
        <f>IF(OR($C71="",$G$3=""),"",IF(INDEX(인턴근무계획!$M$3:$R$202,$A71,$G$3)&amp;""="","",IF(LEFT(INDEX(인턴근무계획!$M$3:$R$202,$A71,$G$3)&amp;"",1)="⚠","",MID(INDEX(인턴근무계획!$M$3:$R$202,$A71,$G$3)&amp;"",FIND(" ",INDEX(인턴근무계획!$M$3:$R$202,$A71,$G$3)&amp;"")+1,60))))</f>
        <v/>
      </c>
      <c r="I71" s="21">
        <f>IF(OR($C71="",$I$3=""),"",IF(INDEX(인턴근무계획!$M$3:$R$202,$A71,$I$3)&amp;""="","",IF(LEFT(INDEX(인턴근무계획!$M$3:$R$202,$A71,$I$3)&amp;"",1)="⚠",INDEX(인턴근무계획!$M$3:$R$202,$A71,$I$3)&amp;"",LEFT(INDEX(인턴근무계획!$M$3:$R$202,$A71,$I$3)&amp;"",FIND(" ",INDEX(인턴근무계획!$M$3:$R$202,$A71,$I$3)&amp;"")-1))))</f>
        <v/>
      </c>
      <c r="J71" s="21">
        <f>IF(OR($C71="",$I$3=""),"",IF(INDEX(인턴근무계획!$M$3:$R$202,$A71,$I$3)&amp;""="","",IF(LEFT(INDEX(인턴근무계획!$M$3:$R$202,$A71,$I$3)&amp;"",1)="⚠","",MID(INDEX(인턴근무계획!$M$3:$R$202,$A71,$I$3)&amp;"",FIND(" ",INDEX(인턴근무계획!$M$3:$R$202,$A71,$I$3)&amp;"")+1,60))))</f>
        <v/>
      </c>
      <c r="K71" s="21">
        <f>IF($C71="","",INDEX(인턴근무계획!$M$3:$M$202,$A71)&amp;"")</f>
        <v/>
      </c>
      <c r="L71" s="21">
        <f>IF($C71="","",INDEX(인턴근무계획!$N$3:$N$202,$A71)&amp;"")</f>
        <v/>
      </c>
      <c r="M71" s="21">
        <f>IF($C71="","",INDEX(인턴근무계획!$O$3:$O$202,$A71)&amp;"")</f>
        <v/>
      </c>
      <c r="N71" s="21">
        <f>IF($C71="","",INDEX(인턴근무계획!$P$3:$P$202,$A71)&amp;"")</f>
        <v/>
      </c>
      <c r="O71" s="21">
        <f>IF($C71="","",INDEX(인턴근무계획!$Q$3:$Q$202,$A71)&amp;"")</f>
        <v/>
      </c>
      <c r="P71" s="21">
        <f>IF($C71="","",INDEX(인턴근무계획!$R$3:$R$202,$A71)&amp;"")</f>
        <v/>
      </c>
      <c r="Q71" s="21">
        <f>IF($C71="","",INDEX(인턴근무계획!$T$3:$T$202,$A71))</f>
        <v/>
      </c>
    </row>
    <row r="72">
      <c r="A72" s="24" t="n">
        <v>67</v>
      </c>
      <c r="B72" s="21">
        <f>IF($C72="","",INDEX(인턴근무계획!$B$3:$B$202,$A72))</f>
        <v/>
      </c>
      <c r="C72" s="21">
        <f>IFERROR(TRIM(INDEX(인턴근무계획!$C$3:$C$202,$A72)&amp;""),"")</f>
        <v/>
      </c>
      <c r="D72" s="21">
        <f>IF($C72="","",INDEX(인턴근무계획!$D$3:$D$202,$A72))</f>
        <v/>
      </c>
      <c r="E72" s="21">
        <f>IF($C72="","",IF(IFERROR(MATCH($D72,기본자료!$B$2:$B$501,0),IFERROR(MATCH($D72&amp;"",기본자료!$B$2:$B$501,0),IFERROR(MATCH(VALUE($D72),기본자료!$B$2:$B$501,0),0)))&gt;0,"확인","미등록"))</f>
        <v/>
      </c>
      <c r="F72" s="25">
        <f>IF($C72="","",INDEX(인턴근무계획!$S$3:$S$202,$A72))</f>
        <v/>
      </c>
      <c r="G72" s="21">
        <f>IF(OR($C72="",$G$3=""),"",IF(INDEX(인턴근무계획!$M$3:$R$202,$A72,$G$3)&amp;""="","",IF(LEFT(INDEX(인턴근무계획!$M$3:$R$202,$A72,$G$3)&amp;"",1)="⚠",INDEX(인턴근무계획!$M$3:$R$202,$A72,$G$3)&amp;"",LEFT(INDEX(인턴근무계획!$M$3:$R$202,$A72,$G$3)&amp;"",FIND(" ",INDEX(인턴근무계획!$M$3:$R$202,$A72,$G$3)&amp;"")-1))))</f>
        <v/>
      </c>
      <c r="H72" s="21">
        <f>IF(OR($C72="",$G$3=""),"",IF(INDEX(인턴근무계획!$M$3:$R$202,$A72,$G$3)&amp;""="","",IF(LEFT(INDEX(인턴근무계획!$M$3:$R$202,$A72,$G$3)&amp;"",1)="⚠","",MID(INDEX(인턴근무계획!$M$3:$R$202,$A72,$G$3)&amp;"",FIND(" ",INDEX(인턴근무계획!$M$3:$R$202,$A72,$G$3)&amp;"")+1,60))))</f>
        <v/>
      </c>
      <c r="I72" s="21">
        <f>IF(OR($C72="",$I$3=""),"",IF(INDEX(인턴근무계획!$M$3:$R$202,$A72,$I$3)&amp;""="","",IF(LEFT(INDEX(인턴근무계획!$M$3:$R$202,$A72,$I$3)&amp;"",1)="⚠",INDEX(인턴근무계획!$M$3:$R$202,$A72,$I$3)&amp;"",LEFT(INDEX(인턴근무계획!$M$3:$R$202,$A72,$I$3)&amp;"",FIND(" ",INDEX(인턴근무계획!$M$3:$R$202,$A72,$I$3)&amp;"")-1))))</f>
        <v/>
      </c>
      <c r="J72" s="21">
        <f>IF(OR($C72="",$I$3=""),"",IF(INDEX(인턴근무계획!$M$3:$R$202,$A72,$I$3)&amp;""="","",IF(LEFT(INDEX(인턴근무계획!$M$3:$R$202,$A72,$I$3)&amp;"",1)="⚠","",MID(INDEX(인턴근무계획!$M$3:$R$202,$A72,$I$3)&amp;"",FIND(" ",INDEX(인턴근무계획!$M$3:$R$202,$A72,$I$3)&amp;"")+1,60))))</f>
        <v/>
      </c>
      <c r="K72" s="21">
        <f>IF($C72="","",INDEX(인턴근무계획!$M$3:$M$202,$A72)&amp;"")</f>
        <v/>
      </c>
      <c r="L72" s="21">
        <f>IF($C72="","",INDEX(인턴근무계획!$N$3:$N$202,$A72)&amp;"")</f>
        <v/>
      </c>
      <c r="M72" s="21">
        <f>IF($C72="","",INDEX(인턴근무계획!$O$3:$O$202,$A72)&amp;"")</f>
        <v/>
      </c>
      <c r="N72" s="21">
        <f>IF($C72="","",INDEX(인턴근무계획!$P$3:$P$202,$A72)&amp;"")</f>
        <v/>
      </c>
      <c r="O72" s="21">
        <f>IF($C72="","",INDEX(인턴근무계획!$Q$3:$Q$202,$A72)&amp;"")</f>
        <v/>
      </c>
      <c r="P72" s="21">
        <f>IF($C72="","",INDEX(인턴근무계획!$R$3:$R$202,$A72)&amp;"")</f>
        <v/>
      </c>
      <c r="Q72" s="21">
        <f>IF($C72="","",INDEX(인턴근무계획!$T$3:$T$202,$A72))</f>
        <v/>
      </c>
    </row>
    <row r="73">
      <c r="A73" s="24" t="n">
        <v>68</v>
      </c>
      <c r="B73" s="21">
        <f>IF($C73="","",INDEX(인턴근무계획!$B$3:$B$202,$A73))</f>
        <v/>
      </c>
      <c r="C73" s="21">
        <f>IFERROR(TRIM(INDEX(인턴근무계획!$C$3:$C$202,$A73)&amp;""),"")</f>
        <v/>
      </c>
      <c r="D73" s="21">
        <f>IF($C73="","",INDEX(인턴근무계획!$D$3:$D$202,$A73))</f>
        <v/>
      </c>
      <c r="E73" s="21">
        <f>IF($C73="","",IF(IFERROR(MATCH($D73,기본자료!$B$2:$B$501,0),IFERROR(MATCH($D73&amp;"",기본자료!$B$2:$B$501,0),IFERROR(MATCH(VALUE($D73),기본자료!$B$2:$B$501,0),0)))&gt;0,"확인","미등록"))</f>
        <v/>
      </c>
      <c r="F73" s="25">
        <f>IF($C73="","",INDEX(인턴근무계획!$S$3:$S$202,$A73))</f>
        <v/>
      </c>
      <c r="G73" s="21">
        <f>IF(OR($C73="",$G$3=""),"",IF(INDEX(인턴근무계획!$M$3:$R$202,$A73,$G$3)&amp;""="","",IF(LEFT(INDEX(인턴근무계획!$M$3:$R$202,$A73,$G$3)&amp;"",1)="⚠",INDEX(인턴근무계획!$M$3:$R$202,$A73,$G$3)&amp;"",LEFT(INDEX(인턴근무계획!$M$3:$R$202,$A73,$G$3)&amp;"",FIND(" ",INDEX(인턴근무계획!$M$3:$R$202,$A73,$G$3)&amp;"")-1))))</f>
        <v/>
      </c>
      <c r="H73" s="21">
        <f>IF(OR($C73="",$G$3=""),"",IF(INDEX(인턴근무계획!$M$3:$R$202,$A73,$G$3)&amp;""="","",IF(LEFT(INDEX(인턴근무계획!$M$3:$R$202,$A73,$G$3)&amp;"",1)="⚠","",MID(INDEX(인턴근무계획!$M$3:$R$202,$A73,$G$3)&amp;"",FIND(" ",INDEX(인턴근무계획!$M$3:$R$202,$A73,$G$3)&amp;"")+1,60))))</f>
        <v/>
      </c>
      <c r="I73" s="21">
        <f>IF(OR($C73="",$I$3=""),"",IF(INDEX(인턴근무계획!$M$3:$R$202,$A73,$I$3)&amp;""="","",IF(LEFT(INDEX(인턴근무계획!$M$3:$R$202,$A73,$I$3)&amp;"",1)="⚠",INDEX(인턴근무계획!$M$3:$R$202,$A73,$I$3)&amp;"",LEFT(INDEX(인턴근무계획!$M$3:$R$202,$A73,$I$3)&amp;"",FIND(" ",INDEX(인턴근무계획!$M$3:$R$202,$A73,$I$3)&amp;"")-1))))</f>
        <v/>
      </c>
      <c r="J73" s="21">
        <f>IF(OR($C73="",$I$3=""),"",IF(INDEX(인턴근무계획!$M$3:$R$202,$A73,$I$3)&amp;""="","",IF(LEFT(INDEX(인턴근무계획!$M$3:$R$202,$A73,$I$3)&amp;"",1)="⚠","",MID(INDEX(인턴근무계획!$M$3:$R$202,$A73,$I$3)&amp;"",FIND(" ",INDEX(인턴근무계획!$M$3:$R$202,$A73,$I$3)&amp;"")+1,60))))</f>
        <v/>
      </c>
      <c r="K73" s="21">
        <f>IF($C73="","",INDEX(인턴근무계획!$M$3:$M$202,$A73)&amp;"")</f>
        <v/>
      </c>
      <c r="L73" s="21">
        <f>IF($C73="","",INDEX(인턴근무계획!$N$3:$N$202,$A73)&amp;"")</f>
        <v/>
      </c>
      <c r="M73" s="21">
        <f>IF($C73="","",INDEX(인턴근무계획!$O$3:$O$202,$A73)&amp;"")</f>
        <v/>
      </c>
      <c r="N73" s="21">
        <f>IF($C73="","",INDEX(인턴근무계획!$P$3:$P$202,$A73)&amp;"")</f>
        <v/>
      </c>
      <c r="O73" s="21">
        <f>IF($C73="","",INDEX(인턴근무계획!$Q$3:$Q$202,$A73)&amp;"")</f>
        <v/>
      </c>
      <c r="P73" s="21">
        <f>IF($C73="","",INDEX(인턴근무계획!$R$3:$R$202,$A73)&amp;"")</f>
        <v/>
      </c>
      <c r="Q73" s="21">
        <f>IF($C73="","",INDEX(인턴근무계획!$T$3:$T$202,$A73))</f>
        <v/>
      </c>
    </row>
    <row r="74">
      <c r="A74" s="24" t="n">
        <v>69</v>
      </c>
      <c r="B74" s="21">
        <f>IF($C74="","",INDEX(인턴근무계획!$B$3:$B$202,$A74))</f>
        <v/>
      </c>
      <c r="C74" s="21">
        <f>IFERROR(TRIM(INDEX(인턴근무계획!$C$3:$C$202,$A74)&amp;""),"")</f>
        <v/>
      </c>
      <c r="D74" s="21">
        <f>IF($C74="","",INDEX(인턴근무계획!$D$3:$D$202,$A74))</f>
        <v/>
      </c>
      <c r="E74" s="21">
        <f>IF($C74="","",IF(IFERROR(MATCH($D74,기본자료!$B$2:$B$501,0),IFERROR(MATCH($D74&amp;"",기본자료!$B$2:$B$501,0),IFERROR(MATCH(VALUE($D74),기본자료!$B$2:$B$501,0),0)))&gt;0,"확인","미등록"))</f>
        <v/>
      </c>
      <c r="F74" s="25">
        <f>IF($C74="","",INDEX(인턴근무계획!$S$3:$S$202,$A74))</f>
        <v/>
      </c>
      <c r="G74" s="21">
        <f>IF(OR($C74="",$G$3=""),"",IF(INDEX(인턴근무계획!$M$3:$R$202,$A74,$G$3)&amp;""="","",IF(LEFT(INDEX(인턴근무계획!$M$3:$R$202,$A74,$G$3)&amp;"",1)="⚠",INDEX(인턴근무계획!$M$3:$R$202,$A74,$G$3)&amp;"",LEFT(INDEX(인턴근무계획!$M$3:$R$202,$A74,$G$3)&amp;"",FIND(" ",INDEX(인턴근무계획!$M$3:$R$202,$A74,$G$3)&amp;"")-1))))</f>
        <v/>
      </c>
      <c r="H74" s="21">
        <f>IF(OR($C74="",$G$3=""),"",IF(INDEX(인턴근무계획!$M$3:$R$202,$A74,$G$3)&amp;""="","",IF(LEFT(INDEX(인턴근무계획!$M$3:$R$202,$A74,$G$3)&amp;"",1)="⚠","",MID(INDEX(인턴근무계획!$M$3:$R$202,$A74,$G$3)&amp;"",FIND(" ",INDEX(인턴근무계획!$M$3:$R$202,$A74,$G$3)&amp;"")+1,60))))</f>
        <v/>
      </c>
      <c r="I74" s="21">
        <f>IF(OR($C74="",$I$3=""),"",IF(INDEX(인턴근무계획!$M$3:$R$202,$A74,$I$3)&amp;""="","",IF(LEFT(INDEX(인턴근무계획!$M$3:$R$202,$A74,$I$3)&amp;"",1)="⚠",INDEX(인턴근무계획!$M$3:$R$202,$A74,$I$3)&amp;"",LEFT(INDEX(인턴근무계획!$M$3:$R$202,$A74,$I$3)&amp;"",FIND(" ",INDEX(인턴근무계획!$M$3:$R$202,$A74,$I$3)&amp;"")-1))))</f>
        <v/>
      </c>
      <c r="J74" s="21">
        <f>IF(OR($C74="",$I$3=""),"",IF(INDEX(인턴근무계획!$M$3:$R$202,$A74,$I$3)&amp;""="","",IF(LEFT(INDEX(인턴근무계획!$M$3:$R$202,$A74,$I$3)&amp;"",1)="⚠","",MID(INDEX(인턴근무계획!$M$3:$R$202,$A74,$I$3)&amp;"",FIND(" ",INDEX(인턴근무계획!$M$3:$R$202,$A74,$I$3)&amp;"")+1,60))))</f>
        <v/>
      </c>
      <c r="K74" s="21">
        <f>IF($C74="","",INDEX(인턴근무계획!$M$3:$M$202,$A74)&amp;"")</f>
        <v/>
      </c>
      <c r="L74" s="21">
        <f>IF($C74="","",INDEX(인턴근무계획!$N$3:$N$202,$A74)&amp;"")</f>
        <v/>
      </c>
      <c r="M74" s="21">
        <f>IF($C74="","",INDEX(인턴근무계획!$O$3:$O$202,$A74)&amp;"")</f>
        <v/>
      </c>
      <c r="N74" s="21">
        <f>IF($C74="","",INDEX(인턴근무계획!$P$3:$P$202,$A74)&amp;"")</f>
        <v/>
      </c>
      <c r="O74" s="21">
        <f>IF($C74="","",INDEX(인턴근무계획!$Q$3:$Q$202,$A74)&amp;"")</f>
        <v/>
      </c>
      <c r="P74" s="21">
        <f>IF($C74="","",INDEX(인턴근무계획!$R$3:$R$202,$A74)&amp;"")</f>
        <v/>
      </c>
      <c r="Q74" s="21">
        <f>IF($C74="","",INDEX(인턴근무계획!$T$3:$T$202,$A74))</f>
        <v/>
      </c>
    </row>
    <row r="75">
      <c r="A75" s="24" t="n">
        <v>70</v>
      </c>
      <c r="B75" s="21">
        <f>IF($C75="","",INDEX(인턴근무계획!$B$3:$B$202,$A75))</f>
        <v/>
      </c>
      <c r="C75" s="21">
        <f>IFERROR(TRIM(INDEX(인턴근무계획!$C$3:$C$202,$A75)&amp;""),"")</f>
        <v/>
      </c>
      <c r="D75" s="21">
        <f>IF($C75="","",INDEX(인턴근무계획!$D$3:$D$202,$A75))</f>
        <v/>
      </c>
      <c r="E75" s="21">
        <f>IF($C75="","",IF(IFERROR(MATCH($D75,기본자료!$B$2:$B$501,0),IFERROR(MATCH($D75&amp;"",기본자료!$B$2:$B$501,0),IFERROR(MATCH(VALUE($D75),기본자료!$B$2:$B$501,0),0)))&gt;0,"확인","미등록"))</f>
        <v/>
      </c>
      <c r="F75" s="25">
        <f>IF($C75="","",INDEX(인턴근무계획!$S$3:$S$202,$A75))</f>
        <v/>
      </c>
      <c r="G75" s="21">
        <f>IF(OR($C75="",$G$3=""),"",IF(INDEX(인턴근무계획!$M$3:$R$202,$A75,$G$3)&amp;""="","",IF(LEFT(INDEX(인턴근무계획!$M$3:$R$202,$A75,$G$3)&amp;"",1)="⚠",INDEX(인턴근무계획!$M$3:$R$202,$A75,$G$3)&amp;"",LEFT(INDEX(인턴근무계획!$M$3:$R$202,$A75,$G$3)&amp;"",FIND(" ",INDEX(인턴근무계획!$M$3:$R$202,$A75,$G$3)&amp;"")-1))))</f>
        <v/>
      </c>
      <c r="H75" s="21">
        <f>IF(OR($C75="",$G$3=""),"",IF(INDEX(인턴근무계획!$M$3:$R$202,$A75,$G$3)&amp;""="","",IF(LEFT(INDEX(인턴근무계획!$M$3:$R$202,$A75,$G$3)&amp;"",1)="⚠","",MID(INDEX(인턴근무계획!$M$3:$R$202,$A75,$G$3)&amp;"",FIND(" ",INDEX(인턴근무계획!$M$3:$R$202,$A75,$G$3)&amp;"")+1,60))))</f>
        <v/>
      </c>
      <c r="I75" s="21">
        <f>IF(OR($C75="",$I$3=""),"",IF(INDEX(인턴근무계획!$M$3:$R$202,$A75,$I$3)&amp;""="","",IF(LEFT(INDEX(인턴근무계획!$M$3:$R$202,$A75,$I$3)&amp;"",1)="⚠",INDEX(인턴근무계획!$M$3:$R$202,$A75,$I$3)&amp;"",LEFT(INDEX(인턴근무계획!$M$3:$R$202,$A75,$I$3)&amp;"",FIND(" ",INDEX(인턴근무계획!$M$3:$R$202,$A75,$I$3)&amp;"")-1))))</f>
        <v/>
      </c>
      <c r="J75" s="21">
        <f>IF(OR($C75="",$I$3=""),"",IF(INDEX(인턴근무계획!$M$3:$R$202,$A75,$I$3)&amp;""="","",IF(LEFT(INDEX(인턴근무계획!$M$3:$R$202,$A75,$I$3)&amp;"",1)="⚠","",MID(INDEX(인턴근무계획!$M$3:$R$202,$A75,$I$3)&amp;"",FIND(" ",INDEX(인턴근무계획!$M$3:$R$202,$A75,$I$3)&amp;"")+1,60))))</f>
        <v/>
      </c>
      <c r="K75" s="21">
        <f>IF($C75="","",INDEX(인턴근무계획!$M$3:$M$202,$A75)&amp;"")</f>
        <v/>
      </c>
      <c r="L75" s="21">
        <f>IF($C75="","",INDEX(인턴근무계획!$N$3:$N$202,$A75)&amp;"")</f>
        <v/>
      </c>
      <c r="M75" s="21">
        <f>IF($C75="","",INDEX(인턴근무계획!$O$3:$O$202,$A75)&amp;"")</f>
        <v/>
      </c>
      <c r="N75" s="21">
        <f>IF($C75="","",INDEX(인턴근무계획!$P$3:$P$202,$A75)&amp;"")</f>
        <v/>
      </c>
      <c r="O75" s="21">
        <f>IF($C75="","",INDEX(인턴근무계획!$Q$3:$Q$202,$A75)&amp;"")</f>
        <v/>
      </c>
      <c r="P75" s="21">
        <f>IF($C75="","",INDEX(인턴근무계획!$R$3:$R$202,$A75)&amp;"")</f>
        <v/>
      </c>
      <c r="Q75" s="21">
        <f>IF($C75="","",INDEX(인턴근무계획!$T$3:$T$202,$A75))</f>
        <v/>
      </c>
    </row>
    <row r="76">
      <c r="A76" s="24" t="n">
        <v>71</v>
      </c>
      <c r="B76" s="21">
        <f>IF($C76="","",INDEX(인턴근무계획!$B$3:$B$202,$A76))</f>
        <v/>
      </c>
      <c r="C76" s="21">
        <f>IFERROR(TRIM(INDEX(인턴근무계획!$C$3:$C$202,$A76)&amp;""),"")</f>
        <v/>
      </c>
      <c r="D76" s="21">
        <f>IF($C76="","",INDEX(인턴근무계획!$D$3:$D$202,$A76))</f>
        <v/>
      </c>
      <c r="E76" s="21">
        <f>IF($C76="","",IF(IFERROR(MATCH($D76,기본자료!$B$2:$B$501,0),IFERROR(MATCH($D76&amp;"",기본자료!$B$2:$B$501,0),IFERROR(MATCH(VALUE($D76),기본자료!$B$2:$B$501,0),0)))&gt;0,"확인","미등록"))</f>
        <v/>
      </c>
      <c r="F76" s="25">
        <f>IF($C76="","",INDEX(인턴근무계획!$S$3:$S$202,$A76))</f>
        <v/>
      </c>
      <c r="G76" s="21">
        <f>IF(OR($C76="",$G$3=""),"",IF(INDEX(인턴근무계획!$M$3:$R$202,$A76,$G$3)&amp;""="","",IF(LEFT(INDEX(인턴근무계획!$M$3:$R$202,$A76,$G$3)&amp;"",1)="⚠",INDEX(인턴근무계획!$M$3:$R$202,$A76,$G$3)&amp;"",LEFT(INDEX(인턴근무계획!$M$3:$R$202,$A76,$G$3)&amp;"",FIND(" ",INDEX(인턴근무계획!$M$3:$R$202,$A76,$G$3)&amp;"")-1))))</f>
        <v/>
      </c>
      <c r="H76" s="21">
        <f>IF(OR($C76="",$G$3=""),"",IF(INDEX(인턴근무계획!$M$3:$R$202,$A76,$G$3)&amp;""="","",IF(LEFT(INDEX(인턴근무계획!$M$3:$R$202,$A76,$G$3)&amp;"",1)="⚠","",MID(INDEX(인턴근무계획!$M$3:$R$202,$A76,$G$3)&amp;"",FIND(" ",INDEX(인턴근무계획!$M$3:$R$202,$A76,$G$3)&amp;"")+1,60))))</f>
        <v/>
      </c>
      <c r="I76" s="21">
        <f>IF(OR($C76="",$I$3=""),"",IF(INDEX(인턴근무계획!$M$3:$R$202,$A76,$I$3)&amp;""="","",IF(LEFT(INDEX(인턴근무계획!$M$3:$R$202,$A76,$I$3)&amp;"",1)="⚠",INDEX(인턴근무계획!$M$3:$R$202,$A76,$I$3)&amp;"",LEFT(INDEX(인턴근무계획!$M$3:$R$202,$A76,$I$3)&amp;"",FIND(" ",INDEX(인턴근무계획!$M$3:$R$202,$A76,$I$3)&amp;"")-1))))</f>
        <v/>
      </c>
      <c r="J76" s="21">
        <f>IF(OR($C76="",$I$3=""),"",IF(INDEX(인턴근무계획!$M$3:$R$202,$A76,$I$3)&amp;""="","",IF(LEFT(INDEX(인턴근무계획!$M$3:$R$202,$A76,$I$3)&amp;"",1)="⚠","",MID(INDEX(인턴근무계획!$M$3:$R$202,$A76,$I$3)&amp;"",FIND(" ",INDEX(인턴근무계획!$M$3:$R$202,$A76,$I$3)&amp;"")+1,60))))</f>
        <v/>
      </c>
      <c r="K76" s="21">
        <f>IF($C76="","",INDEX(인턴근무계획!$M$3:$M$202,$A76)&amp;"")</f>
        <v/>
      </c>
      <c r="L76" s="21">
        <f>IF($C76="","",INDEX(인턴근무계획!$N$3:$N$202,$A76)&amp;"")</f>
        <v/>
      </c>
      <c r="M76" s="21">
        <f>IF($C76="","",INDEX(인턴근무계획!$O$3:$O$202,$A76)&amp;"")</f>
        <v/>
      </c>
      <c r="N76" s="21">
        <f>IF($C76="","",INDEX(인턴근무계획!$P$3:$P$202,$A76)&amp;"")</f>
        <v/>
      </c>
      <c r="O76" s="21">
        <f>IF($C76="","",INDEX(인턴근무계획!$Q$3:$Q$202,$A76)&amp;"")</f>
        <v/>
      </c>
      <c r="P76" s="21">
        <f>IF($C76="","",INDEX(인턴근무계획!$R$3:$R$202,$A76)&amp;"")</f>
        <v/>
      </c>
      <c r="Q76" s="21">
        <f>IF($C76="","",INDEX(인턴근무계획!$T$3:$T$202,$A76))</f>
        <v/>
      </c>
    </row>
    <row r="77">
      <c r="A77" s="24" t="n">
        <v>72</v>
      </c>
      <c r="B77" s="21">
        <f>IF($C77="","",INDEX(인턴근무계획!$B$3:$B$202,$A77))</f>
        <v/>
      </c>
      <c r="C77" s="21">
        <f>IFERROR(TRIM(INDEX(인턴근무계획!$C$3:$C$202,$A77)&amp;""),"")</f>
        <v/>
      </c>
      <c r="D77" s="21">
        <f>IF($C77="","",INDEX(인턴근무계획!$D$3:$D$202,$A77))</f>
        <v/>
      </c>
      <c r="E77" s="21">
        <f>IF($C77="","",IF(IFERROR(MATCH($D77,기본자료!$B$2:$B$501,0),IFERROR(MATCH($D77&amp;"",기본자료!$B$2:$B$501,0),IFERROR(MATCH(VALUE($D77),기본자료!$B$2:$B$501,0),0)))&gt;0,"확인","미등록"))</f>
        <v/>
      </c>
      <c r="F77" s="25">
        <f>IF($C77="","",INDEX(인턴근무계획!$S$3:$S$202,$A77))</f>
        <v/>
      </c>
      <c r="G77" s="21">
        <f>IF(OR($C77="",$G$3=""),"",IF(INDEX(인턴근무계획!$M$3:$R$202,$A77,$G$3)&amp;""="","",IF(LEFT(INDEX(인턴근무계획!$M$3:$R$202,$A77,$G$3)&amp;"",1)="⚠",INDEX(인턴근무계획!$M$3:$R$202,$A77,$G$3)&amp;"",LEFT(INDEX(인턴근무계획!$M$3:$R$202,$A77,$G$3)&amp;"",FIND(" ",INDEX(인턴근무계획!$M$3:$R$202,$A77,$G$3)&amp;"")-1))))</f>
        <v/>
      </c>
      <c r="H77" s="21">
        <f>IF(OR($C77="",$G$3=""),"",IF(INDEX(인턴근무계획!$M$3:$R$202,$A77,$G$3)&amp;""="","",IF(LEFT(INDEX(인턴근무계획!$M$3:$R$202,$A77,$G$3)&amp;"",1)="⚠","",MID(INDEX(인턴근무계획!$M$3:$R$202,$A77,$G$3)&amp;"",FIND(" ",INDEX(인턴근무계획!$M$3:$R$202,$A77,$G$3)&amp;"")+1,60))))</f>
        <v/>
      </c>
      <c r="I77" s="21">
        <f>IF(OR($C77="",$I$3=""),"",IF(INDEX(인턴근무계획!$M$3:$R$202,$A77,$I$3)&amp;""="","",IF(LEFT(INDEX(인턴근무계획!$M$3:$R$202,$A77,$I$3)&amp;"",1)="⚠",INDEX(인턴근무계획!$M$3:$R$202,$A77,$I$3)&amp;"",LEFT(INDEX(인턴근무계획!$M$3:$R$202,$A77,$I$3)&amp;"",FIND(" ",INDEX(인턴근무계획!$M$3:$R$202,$A77,$I$3)&amp;"")-1))))</f>
        <v/>
      </c>
      <c r="J77" s="21">
        <f>IF(OR($C77="",$I$3=""),"",IF(INDEX(인턴근무계획!$M$3:$R$202,$A77,$I$3)&amp;""="","",IF(LEFT(INDEX(인턴근무계획!$M$3:$R$202,$A77,$I$3)&amp;"",1)="⚠","",MID(INDEX(인턴근무계획!$M$3:$R$202,$A77,$I$3)&amp;"",FIND(" ",INDEX(인턴근무계획!$M$3:$R$202,$A77,$I$3)&amp;"")+1,60))))</f>
        <v/>
      </c>
      <c r="K77" s="21">
        <f>IF($C77="","",INDEX(인턴근무계획!$M$3:$M$202,$A77)&amp;"")</f>
        <v/>
      </c>
      <c r="L77" s="21">
        <f>IF($C77="","",INDEX(인턴근무계획!$N$3:$N$202,$A77)&amp;"")</f>
        <v/>
      </c>
      <c r="M77" s="21">
        <f>IF($C77="","",INDEX(인턴근무계획!$O$3:$O$202,$A77)&amp;"")</f>
        <v/>
      </c>
      <c r="N77" s="21">
        <f>IF($C77="","",INDEX(인턴근무계획!$P$3:$P$202,$A77)&amp;"")</f>
        <v/>
      </c>
      <c r="O77" s="21">
        <f>IF($C77="","",INDEX(인턴근무계획!$Q$3:$Q$202,$A77)&amp;"")</f>
        <v/>
      </c>
      <c r="P77" s="21">
        <f>IF($C77="","",INDEX(인턴근무계획!$R$3:$R$202,$A77)&amp;"")</f>
        <v/>
      </c>
      <c r="Q77" s="21">
        <f>IF($C77="","",INDEX(인턴근무계획!$T$3:$T$202,$A77))</f>
        <v/>
      </c>
    </row>
    <row r="78">
      <c r="A78" s="24" t="n">
        <v>73</v>
      </c>
      <c r="B78" s="21">
        <f>IF($C78="","",INDEX(인턴근무계획!$B$3:$B$202,$A78))</f>
        <v/>
      </c>
      <c r="C78" s="21">
        <f>IFERROR(TRIM(INDEX(인턴근무계획!$C$3:$C$202,$A78)&amp;""),"")</f>
        <v/>
      </c>
      <c r="D78" s="21">
        <f>IF($C78="","",INDEX(인턴근무계획!$D$3:$D$202,$A78))</f>
        <v/>
      </c>
      <c r="E78" s="21">
        <f>IF($C78="","",IF(IFERROR(MATCH($D78,기본자료!$B$2:$B$501,0),IFERROR(MATCH($D78&amp;"",기본자료!$B$2:$B$501,0),IFERROR(MATCH(VALUE($D78),기본자료!$B$2:$B$501,0),0)))&gt;0,"확인","미등록"))</f>
        <v/>
      </c>
      <c r="F78" s="25">
        <f>IF($C78="","",INDEX(인턴근무계획!$S$3:$S$202,$A78))</f>
        <v/>
      </c>
      <c r="G78" s="21">
        <f>IF(OR($C78="",$G$3=""),"",IF(INDEX(인턴근무계획!$M$3:$R$202,$A78,$G$3)&amp;""="","",IF(LEFT(INDEX(인턴근무계획!$M$3:$R$202,$A78,$G$3)&amp;"",1)="⚠",INDEX(인턴근무계획!$M$3:$R$202,$A78,$G$3)&amp;"",LEFT(INDEX(인턴근무계획!$M$3:$R$202,$A78,$G$3)&amp;"",FIND(" ",INDEX(인턴근무계획!$M$3:$R$202,$A78,$G$3)&amp;"")-1))))</f>
        <v/>
      </c>
      <c r="H78" s="21">
        <f>IF(OR($C78="",$G$3=""),"",IF(INDEX(인턴근무계획!$M$3:$R$202,$A78,$G$3)&amp;""="","",IF(LEFT(INDEX(인턴근무계획!$M$3:$R$202,$A78,$G$3)&amp;"",1)="⚠","",MID(INDEX(인턴근무계획!$M$3:$R$202,$A78,$G$3)&amp;"",FIND(" ",INDEX(인턴근무계획!$M$3:$R$202,$A78,$G$3)&amp;"")+1,60))))</f>
        <v/>
      </c>
      <c r="I78" s="21">
        <f>IF(OR($C78="",$I$3=""),"",IF(INDEX(인턴근무계획!$M$3:$R$202,$A78,$I$3)&amp;""="","",IF(LEFT(INDEX(인턴근무계획!$M$3:$R$202,$A78,$I$3)&amp;"",1)="⚠",INDEX(인턴근무계획!$M$3:$R$202,$A78,$I$3)&amp;"",LEFT(INDEX(인턴근무계획!$M$3:$R$202,$A78,$I$3)&amp;"",FIND(" ",INDEX(인턴근무계획!$M$3:$R$202,$A78,$I$3)&amp;"")-1))))</f>
        <v/>
      </c>
      <c r="J78" s="21">
        <f>IF(OR($C78="",$I$3=""),"",IF(INDEX(인턴근무계획!$M$3:$R$202,$A78,$I$3)&amp;""="","",IF(LEFT(INDEX(인턴근무계획!$M$3:$R$202,$A78,$I$3)&amp;"",1)="⚠","",MID(INDEX(인턴근무계획!$M$3:$R$202,$A78,$I$3)&amp;"",FIND(" ",INDEX(인턴근무계획!$M$3:$R$202,$A78,$I$3)&amp;"")+1,60))))</f>
        <v/>
      </c>
      <c r="K78" s="21">
        <f>IF($C78="","",INDEX(인턴근무계획!$M$3:$M$202,$A78)&amp;"")</f>
        <v/>
      </c>
      <c r="L78" s="21">
        <f>IF($C78="","",INDEX(인턴근무계획!$N$3:$N$202,$A78)&amp;"")</f>
        <v/>
      </c>
      <c r="M78" s="21">
        <f>IF($C78="","",INDEX(인턴근무계획!$O$3:$O$202,$A78)&amp;"")</f>
        <v/>
      </c>
      <c r="N78" s="21">
        <f>IF($C78="","",INDEX(인턴근무계획!$P$3:$P$202,$A78)&amp;"")</f>
        <v/>
      </c>
      <c r="O78" s="21">
        <f>IF($C78="","",INDEX(인턴근무계획!$Q$3:$Q$202,$A78)&amp;"")</f>
        <v/>
      </c>
      <c r="P78" s="21">
        <f>IF($C78="","",INDEX(인턴근무계획!$R$3:$R$202,$A78)&amp;"")</f>
        <v/>
      </c>
      <c r="Q78" s="21">
        <f>IF($C78="","",INDEX(인턴근무계획!$T$3:$T$202,$A78))</f>
        <v/>
      </c>
    </row>
    <row r="79">
      <c r="A79" s="24" t="n">
        <v>74</v>
      </c>
      <c r="B79" s="21">
        <f>IF($C79="","",INDEX(인턴근무계획!$B$3:$B$202,$A79))</f>
        <v/>
      </c>
      <c r="C79" s="21">
        <f>IFERROR(TRIM(INDEX(인턴근무계획!$C$3:$C$202,$A79)&amp;""),"")</f>
        <v/>
      </c>
      <c r="D79" s="21">
        <f>IF($C79="","",INDEX(인턴근무계획!$D$3:$D$202,$A79))</f>
        <v/>
      </c>
      <c r="E79" s="21">
        <f>IF($C79="","",IF(IFERROR(MATCH($D79,기본자료!$B$2:$B$501,0),IFERROR(MATCH($D79&amp;"",기본자료!$B$2:$B$501,0),IFERROR(MATCH(VALUE($D79),기본자료!$B$2:$B$501,0),0)))&gt;0,"확인","미등록"))</f>
        <v/>
      </c>
      <c r="F79" s="25">
        <f>IF($C79="","",INDEX(인턴근무계획!$S$3:$S$202,$A79))</f>
        <v/>
      </c>
      <c r="G79" s="21">
        <f>IF(OR($C79="",$G$3=""),"",IF(INDEX(인턴근무계획!$M$3:$R$202,$A79,$G$3)&amp;""="","",IF(LEFT(INDEX(인턴근무계획!$M$3:$R$202,$A79,$G$3)&amp;"",1)="⚠",INDEX(인턴근무계획!$M$3:$R$202,$A79,$G$3)&amp;"",LEFT(INDEX(인턴근무계획!$M$3:$R$202,$A79,$G$3)&amp;"",FIND(" ",INDEX(인턴근무계획!$M$3:$R$202,$A79,$G$3)&amp;"")-1))))</f>
        <v/>
      </c>
      <c r="H79" s="21">
        <f>IF(OR($C79="",$G$3=""),"",IF(INDEX(인턴근무계획!$M$3:$R$202,$A79,$G$3)&amp;""="","",IF(LEFT(INDEX(인턴근무계획!$M$3:$R$202,$A79,$G$3)&amp;"",1)="⚠","",MID(INDEX(인턴근무계획!$M$3:$R$202,$A79,$G$3)&amp;"",FIND(" ",INDEX(인턴근무계획!$M$3:$R$202,$A79,$G$3)&amp;"")+1,60))))</f>
        <v/>
      </c>
      <c r="I79" s="21">
        <f>IF(OR($C79="",$I$3=""),"",IF(INDEX(인턴근무계획!$M$3:$R$202,$A79,$I$3)&amp;""="","",IF(LEFT(INDEX(인턴근무계획!$M$3:$R$202,$A79,$I$3)&amp;"",1)="⚠",INDEX(인턴근무계획!$M$3:$R$202,$A79,$I$3)&amp;"",LEFT(INDEX(인턴근무계획!$M$3:$R$202,$A79,$I$3)&amp;"",FIND(" ",INDEX(인턴근무계획!$M$3:$R$202,$A79,$I$3)&amp;"")-1))))</f>
        <v/>
      </c>
      <c r="J79" s="21">
        <f>IF(OR($C79="",$I$3=""),"",IF(INDEX(인턴근무계획!$M$3:$R$202,$A79,$I$3)&amp;""="","",IF(LEFT(INDEX(인턴근무계획!$M$3:$R$202,$A79,$I$3)&amp;"",1)="⚠","",MID(INDEX(인턴근무계획!$M$3:$R$202,$A79,$I$3)&amp;"",FIND(" ",INDEX(인턴근무계획!$M$3:$R$202,$A79,$I$3)&amp;"")+1,60))))</f>
        <v/>
      </c>
      <c r="K79" s="21">
        <f>IF($C79="","",INDEX(인턴근무계획!$M$3:$M$202,$A79)&amp;"")</f>
        <v/>
      </c>
      <c r="L79" s="21">
        <f>IF($C79="","",INDEX(인턴근무계획!$N$3:$N$202,$A79)&amp;"")</f>
        <v/>
      </c>
      <c r="M79" s="21">
        <f>IF($C79="","",INDEX(인턴근무계획!$O$3:$O$202,$A79)&amp;"")</f>
        <v/>
      </c>
      <c r="N79" s="21">
        <f>IF($C79="","",INDEX(인턴근무계획!$P$3:$P$202,$A79)&amp;"")</f>
        <v/>
      </c>
      <c r="O79" s="21">
        <f>IF($C79="","",INDEX(인턴근무계획!$Q$3:$Q$202,$A79)&amp;"")</f>
        <v/>
      </c>
      <c r="P79" s="21">
        <f>IF($C79="","",INDEX(인턴근무계획!$R$3:$R$202,$A79)&amp;"")</f>
        <v/>
      </c>
      <c r="Q79" s="21">
        <f>IF($C79="","",INDEX(인턴근무계획!$T$3:$T$202,$A79))</f>
        <v/>
      </c>
    </row>
    <row r="80">
      <c r="A80" s="24" t="n">
        <v>75</v>
      </c>
      <c r="B80" s="21">
        <f>IF($C80="","",INDEX(인턴근무계획!$B$3:$B$202,$A80))</f>
        <v/>
      </c>
      <c r="C80" s="21">
        <f>IFERROR(TRIM(INDEX(인턴근무계획!$C$3:$C$202,$A80)&amp;""),"")</f>
        <v/>
      </c>
      <c r="D80" s="21">
        <f>IF($C80="","",INDEX(인턴근무계획!$D$3:$D$202,$A80))</f>
        <v/>
      </c>
      <c r="E80" s="21">
        <f>IF($C80="","",IF(IFERROR(MATCH($D80,기본자료!$B$2:$B$501,0),IFERROR(MATCH($D80&amp;"",기본자료!$B$2:$B$501,0),IFERROR(MATCH(VALUE($D80),기본자료!$B$2:$B$501,0),0)))&gt;0,"확인","미등록"))</f>
        <v/>
      </c>
      <c r="F80" s="25">
        <f>IF($C80="","",INDEX(인턴근무계획!$S$3:$S$202,$A80))</f>
        <v/>
      </c>
      <c r="G80" s="21">
        <f>IF(OR($C80="",$G$3=""),"",IF(INDEX(인턴근무계획!$M$3:$R$202,$A80,$G$3)&amp;""="","",IF(LEFT(INDEX(인턴근무계획!$M$3:$R$202,$A80,$G$3)&amp;"",1)="⚠",INDEX(인턴근무계획!$M$3:$R$202,$A80,$G$3)&amp;"",LEFT(INDEX(인턴근무계획!$M$3:$R$202,$A80,$G$3)&amp;"",FIND(" ",INDEX(인턴근무계획!$M$3:$R$202,$A80,$G$3)&amp;"")-1))))</f>
        <v/>
      </c>
      <c r="H80" s="21">
        <f>IF(OR($C80="",$G$3=""),"",IF(INDEX(인턴근무계획!$M$3:$R$202,$A80,$G$3)&amp;""="","",IF(LEFT(INDEX(인턴근무계획!$M$3:$R$202,$A80,$G$3)&amp;"",1)="⚠","",MID(INDEX(인턴근무계획!$M$3:$R$202,$A80,$G$3)&amp;"",FIND(" ",INDEX(인턴근무계획!$M$3:$R$202,$A80,$G$3)&amp;"")+1,60))))</f>
        <v/>
      </c>
      <c r="I80" s="21">
        <f>IF(OR($C80="",$I$3=""),"",IF(INDEX(인턴근무계획!$M$3:$R$202,$A80,$I$3)&amp;""="","",IF(LEFT(INDEX(인턴근무계획!$M$3:$R$202,$A80,$I$3)&amp;"",1)="⚠",INDEX(인턴근무계획!$M$3:$R$202,$A80,$I$3)&amp;"",LEFT(INDEX(인턴근무계획!$M$3:$R$202,$A80,$I$3)&amp;"",FIND(" ",INDEX(인턴근무계획!$M$3:$R$202,$A80,$I$3)&amp;"")-1))))</f>
        <v/>
      </c>
      <c r="J80" s="21">
        <f>IF(OR($C80="",$I$3=""),"",IF(INDEX(인턴근무계획!$M$3:$R$202,$A80,$I$3)&amp;""="","",IF(LEFT(INDEX(인턴근무계획!$M$3:$R$202,$A80,$I$3)&amp;"",1)="⚠","",MID(INDEX(인턴근무계획!$M$3:$R$202,$A80,$I$3)&amp;"",FIND(" ",INDEX(인턴근무계획!$M$3:$R$202,$A80,$I$3)&amp;"")+1,60))))</f>
        <v/>
      </c>
      <c r="K80" s="21">
        <f>IF($C80="","",INDEX(인턴근무계획!$M$3:$M$202,$A80)&amp;"")</f>
        <v/>
      </c>
      <c r="L80" s="21">
        <f>IF($C80="","",INDEX(인턴근무계획!$N$3:$N$202,$A80)&amp;"")</f>
        <v/>
      </c>
      <c r="M80" s="21">
        <f>IF($C80="","",INDEX(인턴근무계획!$O$3:$O$202,$A80)&amp;"")</f>
        <v/>
      </c>
      <c r="N80" s="21">
        <f>IF($C80="","",INDEX(인턴근무계획!$P$3:$P$202,$A80)&amp;"")</f>
        <v/>
      </c>
      <c r="O80" s="21">
        <f>IF($C80="","",INDEX(인턴근무계획!$Q$3:$Q$202,$A80)&amp;"")</f>
        <v/>
      </c>
      <c r="P80" s="21">
        <f>IF($C80="","",INDEX(인턴근무계획!$R$3:$R$202,$A80)&amp;"")</f>
        <v/>
      </c>
      <c r="Q80" s="21">
        <f>IF($C80="","",INDEX(인턴근무계획!$T$3:$T$202,$A80))</f>
        <v/>
      </c>
    </row>
    <row r="81">
      <c r="A81" s="24" t="n">
        <v>76</v>
      </c>
      <c r="B81" s="21">
        <f>IF($C81="","",INDEX(인턴근무계획!$B$3:$B$202,$A81))</f>
        <v/>
      </c>
      <c r="C81" s="21">
        <f>IFERROR(TRIM(INDEX(인턴근무계획!$C$3:$C$202,$A81)&amp;""),"")</f>
        <v/>
      </c>
      <c r="D81" s="21">
        <f>IF($C81="","",INDEX(인턴근무계획!$D$3:$D$202,$A81))</f>
        <v/>
      </c>
      <c r="E81" s="21">
        <f>IF($C81="","",IF(IFERROR(MATCH($D81,기본자료!$B$2:$B$501,0),IFERROR(MATCH($D81&amp;"",기본자료!$B$2:$B$501,0),IFERROR(MATCH(VALUE($D81),기본자료!$B$2:$B$501,0),0)))&gt;0,"확인","미등록"))</f>
        <v/>
      </c>
      <c r="F81" s="25">
        <f>IF($C81="","",INDEX(인턴근무계획!$S$3:$S$202,$A81))</f>
        <v/>
      </c>
      <c r="G81" s="21">
        <f>IF(OR($C81="",$G$3=""),"",IF(INDEX(인턴근무계획!$M$3:$R$202,$A81,$G$3)&amp;""="","",IF(LEFT(INDEX(인턴근무계획!$M$3:$R$202,$A81,$G$3)&amp;"",1)="⚠",INDEX(인턴근무계획!$M$3:$R$202,$A81,$G$3)&amp;"",LEFT(INDEX(인턴근무계획!$M$3:$R$202,$A81,$G$3)&amp;"",FIND(" ",INDEX(인턴근무계획!$M$3:$R$202,$A81,$G$3)&amp;"")-1))))</f>
        <v/>
      </c>
      <c r="H81" s="21">
        <f>IF(OR($C81="",$G$3=""),"",IF(INDEX(인턴근무계획!$M$3:$R$202,$A81,$G$3)&amp;""="","",IF(LEFT(INDEX(인턴근무계획!$M$3:$R$202,$A81,$G$3)&amp;"",1)="⚠","",MID(INDEX(인턴근무계획!$M$3:$R$202,$A81,$G$3)&amp;"",FIND(" ",INDEX(인턴근무계획!$M$3:$R$202,$A81,$G$3)&amp;"")+1,60))))</f>
        <v/>
      </c>
      <c r="I81" s="21">
        <f>IF(OR($C81="",$I$3=""),"",IF(INDEX(인턴근무계획!$M$3:$R$202,$A81,$I$3)&amp;""="","",IF(LEFT(INDEX(인턴근무계획!$M$3:$R$202,$A81,$I$3)&amp;"",1)="⚠",INDEX(인턴근무계획!$M$3:$R$202,$A81,$I$3)&amp;"",LEFT(INDEX(인턴근무계획!$M$3:$R$202,$A81,$I$3)&amp;"",FIND(" ",INDEX(인턴근무계획!$M$3:$R$202,$A81,$I$3)&amp;"")-1))))</f>
        <v/>
      </c>
      <c r="J81" s="21">
        <f>IF(OR($C81="",$I$3=""),"",IF(INDEX(인턴근무계획!$M$3:$R$202,$A81,$I$3)&amp;""="","",IF(LEFT(INDEX(인턴근무계획!$M$3:$R$202,$A81,$I$3)&amp;"",1)="⚠","",MID(INDEX(인턴근무계획!$M$3:$R$202,$A81,$I$3)&amp;"",FIND(" ",INDEX(인턴근무계획!$M$3:$R$202,$A81,$I$3)&amp;"")+1,60))))</f>
        <v/>
      </c>
      <c r="K81" s="21">
        <f>IF($C81="","",INDEX(인턴근무계획!$M$3:$M$202,$A81)&amp;"")</f>
        <v/>
      </c>
      <c r="L81" s="21">
        <f>IF($C81="","",INDEX(인턴근무계획!$N$3:$N$202,$A81)&amp;"")</f>
        <v/>
      </c>
      <c r="M81" s="21">
        <f>IF($C81="","",INDEX(인턴근무계획!$O$3:$O$202,$A81)&amp;"")</f>
        <v/>
      </c>
      <c r="N81" s="21">
        <f>IF($C81="","",INDEX(인턴근무계획!$P$3:$P$202,$A81)&amp;"")</f>
        <v/>
      </c>
      <c r="O81" s="21">
        <f>IF($C81="","",INDEX(인턴근무계획!$Q$3:$Q$202,$A81)&amp;"")</f>
        <v/>
      </c>
      <c r="P81" s="21">
        <f>IF($C81="","",INDEX(인턴근무계획!$R$3:$R$202,$A81)&amp;"")</f>
        <v/>
      </c>
      <c r="Q81" s="21">
        <f>IF($C81="","",INDEX(인턴근무계획!$T$3:$T$202,$A81))</f>
        <v/>
      </c>
    </row>
    <row r="82">
      <c r="A82" s="24" t="n">
        <v>77</v>
      </c>
      <c r="B82" s="21">
        <f>IF($C82="","",INDEX(인턴근무계획!$B$3:$B$202,$A82))</f>
        <v/>
      </c>
      <c r="C82" s="21">
        <f>IFERROR(TRIM(INDEX(인턴근무계획!$C$3:$C$202,$A82)&amp;""),"")</f>
        <v/>
      </c>
      <c r="D82" s="21">
        <f>IF($C82="","",INDEX(인턴근무계획!$D$3:$D$202,$A82))</f>
        <v/>
      </c>
      <c r="E82" s="21">
        <f>IF($C82="","",IF(IFERROR(MATCH($D82,기본자료!$B$2:$B$501,0),IFERROR(MATCH($D82&amp;"",기본자료!$B$2:$B$501,0),IFERROR(MATCH(VALUE($D82),기본자료!$B$2:$B$501,0),0)))&gt;0,"확인","미등록"))</f>
        <v/>
      </c>
      <c r="F82" s="25">
        <f>IF($C82="","",INDEX(인턴근무계획!$S$3:$S$202,$A82))</f>
        <v/>
      </c>
      <c r="G82" s="21">
        <f>IF(OR($C82="",$G$3=""),"",IF(INDEX(인턴근무계획!$M$3:$R$202,$A82,$G$3)&amp;""="","",IF(LEFT(INDEX(인턴근무계획!$M$3:$R$202,$A82,$G$3)&amp;"",1)="⚠",INDEX(인턴근무계획!$M$3:$R$202,$A82,$G$3)&amp;"",LEFT(INDEX(인턴근무계획!$M$3:$R$202,$A82,$G$3)&amp;"",FIND(" ",INDEX(인턴근무계획!$M$3:$R$202,$A82,$G$3)&amp;"")-1))))</f>
        <v/>
      </c>
      <c r="H82" s="21">
        <f>IF(OR($C82="",$G$3=""),"",IF(INDEX(인턴근무계획!$M$3:$R$202,$A82,$G$3)&amp;""="","",IF(LEFT(INDEX(인턴근무계획!$M$3:$R$202,$A82,$G$3)&amp;"",1)="⚠","",MID(INDEX(인턴근무계획!$M$3:$R$202,$A82,$G$3)&amp;"",FIND(" ",INDEX(인턴근무계획!$M$3:$R$202,$A82,$G$3)&amp;"")+1,60))))</f>
        <v/>
      </c>
      <c r="I82" s="21">
        <f>IF(OR($C82="",$I$3=""),"",IF(INDEX(인턴근무계획!$M$3:$R$202,$A82,$I$3)&amp;""="","",IF(LEFT(INDEX(인턴근무계획!$M$3:$R$202,$A82,$I$3)&amp;"",1)="⚠",INDEX(인턴근무계획!$M$3:$R$202,$A82,$I$3)&amp;"",LEFT(INDEX(인턴근무계획!$M$3:$R$202,$A82,$I$3)&amp;"",FIND(" ",INDEX(인턴근무계획!$M$3:$R$202,$A82,$I$3)&amp;"")-1))))</f>
        <v/>
      </c>
      <c r="J82" s="21">
        <f>IF(OR($C82="",$I$3=""),"",IF(INDEX(인턴근무계획!$M$3:$R$202,$A82,$I$3)&amp;""="","",IF(LEFT(INDEX(인턴근무계획!$M$3:$R$202,$A82,$I$3)&amp;"",1)="⚠","",MID(INDEX(인턴근무계획!$M$3:$R$202,$A82,$I$3)&amp;"",FIND(" ",INDEX(인턴근무계획!$M$3:$R$202,$A82,$I$3)&amp;"")+1,60))))</f>
        <v/>
      </c>
      <c r="K82" s="21">
        <f>IF($C82="","",INDEX(인턴근무계획!$M$3:$M$202,$A82)&amp;"")</f>
        <v/>
      </c>
      <c r="L82" s="21">
        <f>IF($C82="","",INDEX(인턴근무계획!$N$3:$N$202,$A82)&amp;"")</f>
        <v/>
      </c>
      <c r="M82" s="21">
        <f>IF($C82="","",INDEX(인턴근무계획!$O$3:$O$202,$A82)&amp;"")</f>
        <v/>
      </c>
      <c r="N82" s="21">
        <f>IF($C82="","",INDEX(인턴근무계획!$P$3:$P$202,$A82)&amp;"")</f>
        <v/>
      </c>
      <c r="O82" s="21">
        <f>IF($C82="","",INDEX(인턴근무계획!$Q$3:$Q$202,$A82)&amp;"")</f>
        <v/>
      </c>
      <c r="P82" s="21">
        <f>IF($C82="","",INDEX(인턴근무계획!$R$3:$R$202,$A82)&amp;"")</f>
        <v/>
      </c>
      <c r="Q82" s="21">
        <f>IF($C82="","",INDEX(인턴근무계획!$T$3:$T$202,$A82))</f>
        <v/>
      </c>
    </row>
    <row r="83">
      <c r="A83" s="24" t="n">
        <v>78</v>
      </c>
      <c r="B83" s="21">
        <f>IF($C83="","",INDEX(인턴근무계획!$B$3:$B$202,$A83))</f>
        <v/>
      </c>
      <c r="C83" s="21">
        <f>IFERROR(TRIM(INDEX(인턴근무계획!$C$3:$C$202,$A83)&amp;""),"")</f>
        <v/>
      </c>
      <c r="D83" s="21">
        <f>IF($C83="","",INDEX(인턴근무계획!$D$3:$D$202,$A83))</f>
        <v/>
      </c>
      <c r="E83" s="21">
        <f>IF($C83="","",IF(IFERROR(MATCH($D83,기본자료!$B$2:$B$501,0),IFERROR(MATCH($D83&amp;"",기본자료!$B$2:$B$501,0),IFERROR(MATCH(VALUE($D83),기본자료!$B$2:$B$501,0),0)))&gt;0,"확인","미등록"))</f>
        <v/>
      </c>
      <c r="F83" s="25">
        <f>IF($C83="","",INDEX(인턴근무계획!$S$3:$S$202,$A83))</f>
        <v/>
      </c>
      <c r="G83" s="21">
        <f>IF(OR($C83="",$G$3=""),"",IF(INDEX(인턴근무계획!$M$3:$R$202,$A83,$G$3)&amp;""="","",IF(LEFT(INDEX(인턴근무계획!$M$3:$R$202,$A83,$G$3)&amp;"",1)="⚠",INDEX(인턴근무계획!$M$3:$R$202,$A83,$G$3)&amp;"",LEFT(INDEX(인턴근무계획!$M$3:$R$202,$A83,$G$3)&amp;"",FIND(" ",INDEX(인턴근무계획!$M$3:$R$202,$A83,$G$3)&amp;"")-1))))</f>
        <v/>
      </c>
      <c r="H83" s="21">
        <f>IF(OR($C83="",$G$3=""),"",IF(INDEX(인턴근무계획!$M$3:$R$202,$A83,$G$3)&amp;""="","",IF(LEFT(INDEX(인턴근무계획!$M$3:$R$202,$A83,$G$3)&amp;"",1)="⚠","",MID(INDEX(인턴근무계획!$M$3:$R$202,$A83,$G$3)&amp;"",FIND(" ",INDEX(인턴근무계획!$M$3:$R$202,$A83,$G$3)&amp;"")+1,60))))</f>
        <v/>
      </c>
      <c r="I83" s="21">
        <f>IF(OR($C83="",$I$3=""),"",IF(INDEX(인턴근무계획!$M$3:$R$202,$A83,$I$3)&amp;""="","",IF(LEFT(INDEX(인턴근무계획!$M$3:$R$202,$A83,$I$3)&amp;"",1)="⚠",INDEX(인턴근무계획!$M$3:$R$202,$A83,$I$3)&amp;"",LEFT(INDEX(인턴근무계획!$M$3:$R$202,$A83,$I$3)&amp;"",FIND(" ",INDEX(인턴근무계획!$M$3:$R$202,$A83,$I$3)&amp;"")-1))))</f>
        <v/>
      </c>
      <c r="J83" s="21">
        <f>IF(OR($C83="",$I$3=""),"",IF(INDEX(인턴근무계획!$M$3:$R$202,$A83,$I$3)&amp;""="","",IF(LEFT(INDEX(인턴근무계획!$M$3:$R$202,$A83,$I$3)&amp;"",1)="⚠","",MID(INDEX(인턴근무계획!$M$3:$R$202,$A83,$I$3)&amp;"",FIND(" ",INDEX(인턴근무계획!$M$3:$R$202,$A83,$I$3)&amp;"")+1,60))))</f>
        <v/>
      </c>
      <c r="K83" s="21">
        <f>IF($C83="","",INDEX(인턴근무계획!$M$3:$M$202,$A83)&amp;"")</f>
        <v/>
      </c>
      <c r="L83" s="21">
        <f>IF($C83="","",INDEX(인턴근무계획!$N$3:$N$202,$A83)&amp;"")</f>
        <v/>
      </c>
      <c r="M83" s="21">
        <f>IF($C83="","",INDEX(인턴근무계획!$O$3:$O$202,$A83)&amp;"")</f>
        <v/>
      </c>
      <c r="N83" s="21">
        <f>IF($C83="","",INDEX(인턴근무계획!$P$3:$P$202,$A83)&amp;"")</f>
        <v/>
      </c>
      <c r="O83" s="21">
        <f>IF($C83="","",INDEX(인턴근무계획!$Q$3:$Q$202,$A83)&amp;"")</f>
        <v/>
      </c>
      <c r="P83" s="21">
        <f>IF($C83="","",INDEX(인턴근무계획!$R$3:$R$202,$A83)&amp;"")</f>
        <v/>
      </c>
      <c r="Q83" s="21">
        <f>IF($C83="","",INDEX(인턴근무계획!$T$3:$T$202,$A83))</f>
        <v/>
      </c>
    </row>
    <row r="84">
      <c r="A84" s="24" t="n">
        <v>79</v>
      </c>
      <c r="B84" s="21">
        <f>IF($C84="","",INDEX(인턴근무계획!$B$3:$B$202,$A84))</f>
        <v/>
      </c>
      <c r="C84" s="21">
        <f>IFERROR(TRIM(INDEX(인턴근무계획!$C$3:$C$202,$A84)&amp;""),"")</f>
        <v/>
      </c>
      <c r="D84" s="21">
        <f>IF($C84="","",INDEX(인턴근무계획!$D$3:$D$202,$A84))</f>
        <v/>
      </c>
      <c r="E84" s="21">
        <f>IF($C84="","",IF(IFERROR(MATCH($D84,기본자료!$B$2:$B$501,0),IFERROR(MATCH($D84&amp;"",기본자료!$B$2:$B$501,0),IFERROR(MATCH(VALUE($D84),기본자료!$B$2:$B$501,0),0)))&gt;0,"확인","미등록"))</f>
        <v/>
      </c>
      <c r="F84" s="25">
        <f>IF($C84="","",INDEX(인턴근무계획!$S$3:$S$202,$A84))</f>
        <v/>
      </c>
      <c r="G84" s="21">
        <f>IF(OR($C84="",$G$3=""),"",IF(INDEX(인턴근무계획!$M$3:$R$202,$A84,$G$3)&amp;""="","",IF(LEFT(INDEX(인턴근무계획!$M$3:$R$202,$A84,$G$3)&amp;"",1)="⚠",INDEX(인턴근무계획!$M$3:$R$202,$A84,$G$3)&amp;"",LEFT(INDEX(인턴근무계획!$M$3:$R$202,$A84,$G$3)&amp;"",FIND(" ",INDEX(인턴근무계획!$M$3:$R$202,$A84,$G$3)&amp;"")-1))))</f>
        <v/>
      </c>
      <c r="H84" s="21">
        <f>IF(OR($C84="",$G$3=""),"",IF(INDEX(인턴근무계획!$M$3:$R$202,$A84,$G$3)&amp;""="","",IF(LEFT(INDEX(인턴근무계획!$M$3:$R$202,$A84,$G$3)&amp;"",1)="⚠","",MID(INDEX(인턴근무계획!$M$3:$R$202,$A84,$G$3)&amp;"",FIND(" ",INDEX(인턴근무계획!$M$3:$R$202,$A84,$G$3)&amp;"")+1,60))))</f>
        <v/>
      </c>
      <c r="I84" s="21">
        <f>IF(OR($C84="",$I$3=""),"",IF(INDEX(인턴근무계획!$M$3:$R$202,$A84,$I$3)&amp;""="","",IF(LEFT(INDEX(인턴근무계획!$M$3:$R$202,$A84,$I$3)&amp;"",1)="⚠",INDEX(인턴근무계획!$M$3:$R$202,$A84,$I$3)&amp;"",LEFT(INDEX(인턴근무계획!$M$3:$R$202,$A84,$I$3)&amp;"",FIND(" ",INDEX(인턴근무계획!$M$3:$R$202,$A84,$I$3)&amp;"")-1))))</f>
        <v/>
      </c>
      <c r="J84" s="21">
        <f>IF(OR($C84="",$I$3=""),"",IF(INDEX(인턴근무계획!$M$3:$R$202,$A84,$I$3)&amp;""="","",IF(LEFT(INDEX(인턴근무계획!$M$3:$R$202,$A84,$I$3)&amp;"",1)="⚠","",MID(INDEX(인턴근무계획!$M$3:$R$202,$A84,$I$3)&amp;"",FIND(" ",INDEX(인턴근무계획!$M$3:$R$202,$A84,$I$3)&amp;"")+1,60))))</f>
        <v/>
      </c>
      <c r="K84" s="21">
        <f>IF($C84="","",INDEX(인턴근무계획!$M$3:$M$202,$A84)&amp;"")</f>
        <v/>
      </c>
      <c r="L84" s="21">
        <f>IF($C84="","",INDEX(인턴근무계획!$N$3:$N$202,$A84)&amp;"")</f>
        <v/>
      </c>
      <c r="M84" s="21">
        <f>IF($C84="","",INDEX(인턴근무계획!$O$3:$O$202,$A84)&amp;"")</f>
        <v/>
      </c>
      <c r="N84" s="21">
        <f>IF($C84="","",INDEX(인턴근무계획!$P$3:$P$202,$A84)&amp;"")</f>
        <v/>
      </c>
      <c r="O84" s="21">
        <f>IF($C84="","",INDEX(인턴근무계획!$Q$3:$Q$202,$A84)&amp;"")</f>
        <v/>
      </c>
      <c r="P84" s="21">
        <f>IF($C84="","",INDEX(인턴근무계획!$R$3:$R$202,$A84)&amp;"")</f>
        <v/>
      </c>
      <c r="Q84" s="21">
        <f>IF($C84="","",INDEX(인턴근무계획!$T$3:$T$202,$A84))</f>
        <v/>
      </c>
    </row>
    <row r="85">
      <c r="A85" s="24" t="n">
        <v>80</v>
      </c>
      <c r="B85" s="21">
        <f>IF($C85="","",INDEX(인턴근무계획!$B$3:$B$202,$A85))</f>
        <v/>
      </c>
      <c r="C85" s="21">
        <f>IFERROR(TRIM(INDEX(인턴근무계획!$C$3:$C$202,$A85)&amp;""),"")</f>
        <v/>
      </c>
      <c r="D85" s="21">
        <f>IF($C85="","",INDEX(인턴근무계획!$D$3:$D$202,$A85))</f>
        <v/>
      </c>
      <c r="E85" s="21">
        <f>IF($C85="","",IF(IFERROR(MATCH($D85,기본자료!$B$2:$B$501,0),IFERROR(MATCH($D85&amp;"",기본자료!$B$2:$B$501,0),IFERROR(MATCH(VALUE($D85),기본자료!$B$2:$B$501,0),0)))&gt;0,"확인","미등록"))</f>
        <v/>
      </c>
      <c r="F85" s="25">
        <f>IF($C85="","",INDEX(인턴근무계획!$S$3:$S$202,$A85))</f>
        <v/>
      </c>
      <c r="G85" s="21">
        <f>IF(OR($C85="",$G$3=""),"",IF(INDEX(인턴근무계획!$M$3:$R$202,$A85,$G$3)&amp;""="","",IF(LEFT(INDEX(인턴근무계획!$M$3:$R$202,$A85,$G$3)&amp;"",1)="⚠",INDEX(인턴근무계획!$M$3:$R$202,$A85,$G$3)&amp;"",LEFT(INDEX(인턴근무계획!$M$3:$R$202,$A85,$G$3)&amp;"",FIND(" ",INDEX(인턴근무계획!$M$3:$R$202,$A85,$G$3)&amp;"")-1))))</f>
        <v/>
      </c>
      <c r="H85" s="21">
        <f>IF(OR($C85="",$G$3=""),"",IF(INDEX(인턴근무계획!$M$3:$R$202,$A85,$G$3)&amp;""="","",IF(LEFT(INDEX(인턴근무계획!$M$3:$R$202,$A85,$G$3)&amp;"",1)="⚠","",MID(INDEX(인턴근무계획!$M$3:$R$202,$A85,$G$3)&amp;"",FIND(" ",INDEX(인턴근무계획!$M$3:$R$202,$A85,$G$3)&amp;"")+1,60))))</f>
        <v/>
      </c>
      <c r="I85" s="21">
        <f>IF(OR($C85="",$I$3=""),"",IF(INDEX(인턴근무계획!$M$3:$R$202,$A85,$I$3)&amp;""="","",IF(LEFT(INDEX(인턴근무계획!$M$3:$R$202,$A85,$I$3)&amp;"",1)="⚠",INDEX(인턴근무계획!$M$3:$R$202,$A85,$I$3)&amp;"",LEFT(INDEX(인턴근무계획!$M$3:$R$202,$A85,$I$3)&amp;"",FIND(" ",INDEX(인턴근무계획!$M$3:$R$202,$A85,$I$3)&amp;"")-1))))</f>
        <v/>
      </c>
      <c r="J85" s="21">
        <f>IF(OR($C85="",$I$3=""),"",IF(INDEX(인턴근무계획!$M$3:$R$202,$A85,$I$3)&amp;""="","",IF(LEFT(INDEX(인턴근무계획!$M$3:$R$202,$A85,$I$3)&amp;"",1)="⚠","",MID(INDEX(인턴근무계획!$M$3:$R$202,$A85,$I$3)&amp;"",FIND(" ",INDEX(인턴근무계획!$M$3:$R$202,$A85,$I$3)&amp;"")+1,60))))</f>
        <v/>
      </c>
      <c r="K85" s="21">
        <f>IF($C85="","",INDEX(인턴근무계획!$M$3:$M$202,$A85)&amp;"")</f>
        <v/>
      </c>
      <c r="L85" s="21">
        <f>IF($C85="","",INDEX(인턴근무계획!$N$3:$N$202,$A85)&amp;"")</f>
        <v/>
      </c>
      <c r="M85" s="21">
        <f>IF($C85="","",INDEX(인턴근무계획!$O$3:$O$202,$A85)&amp;"")</f>
        <v/>
      </c>
      <c r="N85" s="21">
        <f>IF($C85="","",INDEX(인턴근무계획!$P$3:$P$202,$A85)&amp;"")</f>
        <v/>
      </c>
      <c r="O85" s="21">
        <f>IF($C85="","",INDEX(인턴근무계획!$Q$3:$Q$202,$A85)&amp;"")</f>
        <v/>
      </c>
      <c r="P85" s="21">
        <f>IF($C85="","",INDEX(인턴근무계획!$R$3:$R$202,$A85)&amp;"")</f>
        <v/>
      </c>
      <c r="Q85" s="21">
        <f>IF($C85="","",INDEX(인턴근무계획!$T$3:$T$202,$A85))</f>
        <v/>
      </c>
    </row>
    <row r="86">
      <c r="A86" s="24" t="n">
        <v>81</v>
      </c>
      <c r="B86" s="21">
        <f>IF($C86="","",INDEX(인턴근무계획!$B$3:$B$202,$A86))</f>
        <v/>
      </c>
      <c r="C86" s="21">
        <f>IFERROR(TRIM(INDEX(인턴근무계획!$C$3:$C$202,$A86)&amp;""),"")</f>
        <v/>
      </c>
      <c r="D86" s="21">
        <f>IF($C86="","",INDEX(인턴근무계획!$D$3:$D$202,$A86))</f>
        <v/>
      </c>
      <c r="E86" s="21">
        <f>IF($C86="","",IF(IFERROR(MATCH($D86,기본자료!$B$2:$B$501,0),IFERROR(MATCH($D86&amp;"",기본자료!$B$2:$B$501,0),IFERROR(MATCH(VALUE($D86),기본자료!$B$2:$B$501,0),0)))&gt;0,"확인","미등록"))</f>
        <v/>
      </c>
      <c r="F86" s="25">
        <f>IF($C86="","",INDEX(인턴근무계획!$S$3:$S$202,$A86))</f>
        <v/>
      </c>
      <c r="G86" s="21">
        <f>IF(OR($C86="",$G$3=""),"",IF(INDEX(인턴근무계획!$M$3:$R$202,$A86,$G$3)&amp;""="","",IF(LEFT(INDEX(인턴근무계획!$M$3:$R$202,$A86,$G$3)&amp;"",1)="⚠",INDEX(인턴근무계획!$M$3:$R$202,$A86,$G$3)&amp;"",LEFT(INDEX(인턴근무계획!$M$3:$R$202,$A86,$G$3)&amp;"",FIND(" ",INDEX(인턴근무계획!$M$3:$R$202,$A86,$G$3)&amp;"")-1))))</f>
        <v/>
      </c>
      <c r="H86" s="21">
        <f>IF(OR($C86="",$G$3=""),"",IF(INDEX(인턴근무계획!$M$3:$R$202,$A86,$G$3)&amp;""="","",IF(LEFT(INDEX(인턴근무계획!$M$3:$R$202,$A86,$G$3)&amp;"",1)="⚠","",MID(INDEX(인턴근무계획!$M$3:$R$202,$A86,$G$3)&amp;"",FIND(" ",INDEX(인턴근무계획!$M$3:$R$202,$A86,$G$3)&amp;"")+1,60))))</f>
        <v/>
      </c>
      <c r="I86" s="21">
        <f>IF(OR($C86="",$I$3=""),"",IF(INDEX(인턴근무계획!$M$3:$R$202,$A86,$I$3)&amp;""="","",IF(LEFT(INDEX(인턴근무계획!$M$3:$R$202,$A86,$I$3)&amp;"",1)="⚠",INDEX(인턴근무계획!$M$3:$R$202,$A86,$I$3)&amp;"",LEFT(INDEX(인턴근무계획!$M$3:$R$202,$A86,$I$3)&amp;"",FIND(" ",INDEX(인턴근무계획!$M$3:$R$202,$A86,$I$3)&amp;"")-1))))</f>
        <v/>
      </c>
      <c r="J86" s="21">
        <f>IF(OR($C86="",$I$3=""),"",IF(INDEX(인턴근무계획!$M$3:$R$202,$A86,$I$3)&amp;""="","",IF(LEFT(INDEX(인턴근무계획!$M$3:$R$202,$A86,$I$3)&amp;"",1)="⚠","",MID(INDEX(인턴근무계획!$M$3:$R$202,$A86,$I$3)&amp;"",FIND(" ",INDEX(인턴근무계획!$M$3:$R$202,$A86,$I$3)&amp;"")+1,60))))</f>
        <v/>
      </c>
      <c r="K86" s="21">
        <f>IF($C86="","",INDEX(인턴근무계획!$M$3:$M$202,$A86)&amp;"")</f>
        <v/>
      </c>
      <c r="L86" s="21">
        <f>IF($C86="","",INDEX(인턴근무계획!$N$3:$N$202,$A86)&amp;"")</f>
        <v/>
      </c>
      <c r="M86" s="21">
        <f>IF($C86="","",INDEX(인턴근무계획!$O$3:$O$202,$A86)&amp;"")</f>
        <v/>
      </c>
      <c r="N86" s="21">
        <f>IF($C86="","",INDEX(인턴근무계획!$P$3:$P$202,$A86)&amp;"")</f>
        <v/>
      </c>
      <c r="O86" s="21">
        <f>IF($C86="","",INDEX(인턴근무계획!$Q$3:$Q$202,$A86)&amp;"")</f>
        <v/>
      </c>
      <c r="P86" s="21">
        <f>IF($C86="","",INDEX(인턴근무계획!$R$3:$R$202,$A86)&amp;"")</f>
        <v/>
      </c>
      <c r="Q86" s="21">
        <f>IF($C86="","",INDEX(인턴근무계획!$T$3:$T$202,$A86))</f>
        <v/>
      </c>
    </row>
    <row r="87">
      <c r="A87" s="24" t="n">
        <v>82</v>
      </c>
      <c r="B87" s="21">
        <f>IF($C87="","",INDEX(인턴근무계획!$B$3:$B$202,$A87))</f>
        <v/>
      </c>
      <c r="C87" s="21">
        <f>IFERROR(TRIM(INDEX(인턴근무계획!$C$3:$C$202,$A87)&amp;""),"")</f>
        <v/>
      </c>
      <c r="D87" s="21">
        <f>IF($C87="","",INDEX(인턴근무계획!$D$3:$D$202,$A87))</f>
        <v/>
      </c>
      <c r="E87" s="21">
        <f>IF($C87="","",IF(IFERROR(MATCH($D87,기본자료!$B$2:$B$501,0),IFERROR(MATCH($D87&amp;"",기본자료!$B$2:$B$501,0),IFERROR(MATCH(VALUE($D87),기본자료!$B$2:$B$501,0),0)))&gt;0,"확인","미등록"))</f>
        <v/>
      </c>
      <c r="F87" s="25">
        <f>IF($C87="","",INDEX(인턴근무계획!$S$3:$S$202,$A87))</f>
        <v/>
      </c>
      <c r="G87" s="21">
        <f>IF(OR($C87="",$G$3=""),"",IF(INDEX(인턴근무계획!$M$3:$R$202,$A87,$G$3)&amp;""="","",IF(LEFT(INDEX(인턴근무계획!$M$3:$R$202,$A87,$G$3)&amp;"",1)="⚠",INDEX(인턴근무계획!$M$3:$R$202,$A87,$G$3)&amp;"",LEFT(INDEX(인턴근무계획!$M$3:$R$202,$A87,$G$3)&amp;"",FIND(" ",INDEX(인턴근무계획!$M$3:$R$202,$A87,$G$3)&amp;"")-1))))</f>
        <v/>
      </c>
      <c r="H87" s="21">
        <f>IF(OR($C87="",$G$3=""),"",IF(INDEX(인턴근무계획!$M$3:$R$202,$A87,$G$3)&amp;""="","",IF(LEFT(INDEX(인턴근무계획!$M$3:$R$202,$A87,$G$3)&amp;"",1)="⚠","",MID(INDEX(인턴근무계획!$M$3:$R$202,$A87,$G$3)&amp;"",FIND(" ",INDEX(인턴근무계획!$M$3:$R$202,$A87,$G$3)&amp;"")+1,60))))</f>
        <v/>
      </c>
      <c r="I87" s="21">
        <f>IF(OR($C87="",$I$3=""),"",IF(INDEX(인턴근무계획!$M$3:$R$202,$A87,$I$3)&amp;""="","",IF(LEFT(INDEX(인턴근무계획!$M$3:$R$202,$A87,$I$3)&amp;"",1)="⚠",INDEX(인턴근무계획!$M$3:$R$202,$A87,$I$3)&amp;"",LEFT(INDEX(인턴근무계획!$M$3:$R$202,$A87,$I$3)&amp;"",FIND(" ",INDEX(인턴근무계획!$M$3:$R$202,$A87,$I$3)&amp;"")-1))))</f>
        <v/>
      </c>
      <c r="J87" s="21">
        <f>IF(OR($C87="",$I$3=""),"",IF(INDEX(인턴근무계획!$M$3:$R$202,$A87,$I$3)&amp;""="","",IF(LEFT(INDEX(인턴근무계획!$M$3:$R$202,$A87,$I$3)&amp;"",1)="⚠","",MID(INDEX(인턴근무계획!$M$3:$R$202,$A87,$I$3)&amp;"",FIND(" ",INDEX(인턴근무계획!$M$3:$R$202,$A87,$I$3)&amp;"")+1,60))))</f>
        <v/>
      </c>
      <c r="K87" s="21">
        <f>IF($C87="","",INDEX(인턴근무계획!$M$3:$M$202,$A87)&amp;"")</f>
        <v/>
      </c>
      <c r="L87" s="21">
        <f>IF($C87="","",INDEX(인턴근무계획!$N$3:$N$202,$A87)&amp;"")</f>
        <v/>
      </c>
      <c r="M87" s="21">
        <f>IF($C87="","",INDEX(인턴근무계획!$O$3:$O$202,$A87)&amp;"")</f>
        <v/>
      </c>
      <c r="N87" s="21">
        <f>IF($C87="","",INDEX(인턴근무계획!$P$3:$P$202,$A87)&amp;"")</f>
        <v/>
      </c>
      <c r="O87" s="21">
        <f>IF($C87="","",INDEX(인턴근무계획!$Q$3:$Q$202,$A87)&amp;"")</f>
        <v/>
      </c>
      <c r="P87" s="21">
        <f>IF($C87="","",INDEX(인턴근무계획!$R$3:$R$202,$A87)&amp;"")</f>
        <v/>
      </c>
      <c r="Q87" s="21">
        <f>IF($C87="","",INDEX(인턴근무계획!$T$3:$T$202,$A87))</f>
        <v/>
      </c>
    </row>
    <row r="88">
      <c r="A88" s="24" t="n">
        <v>83</v>
      </c>
      <c r="B88" s="21">
        <f>IF($C88="","",INDEX(인턴근무계획!$B$3:$B$202,$A88))</f>
        <v/>
      </c>
      <c r="C88" s="21">
        <f>IFERROR(TRIM(INDEX(인턴근무계획!$C$3:$C$202,$A88)&amp;""),"")</f>
        <v/>
      </c>
      <c r="D88" s="21">
        <f>IF($C88="","",INDEX(인턴근무계획!$D$3:$D$202,$A88))</f>
        <v/>
      </c>
      <c r="E88" s="21">
        <f>IF($C88="","",IF(IFERROR(MATCH($D88,기본자료!$B$2:$B$501,0),IFERROR(MATCH($D88&amp;"",기본자료!$B$2:$B$501,0),IFERROR(MATCH(VALUE($D88),기본자료!$B$2:$B$501,0),0)))&gt;0,"확인","미등록"))</f>
        <v/>
      </c>
      <c r="F88" s="25">
        <f>IF($C88="","",INDEX(인턴근무계획!$S$3:$S$202,$A88))</f>
        <v/>
      </c>
      <c r="G88" s="21">
        <f>IF(OR($C88="",$G$3=""),"",IF(INDEX(인턴근무계획!$M$3:$R$202,$A88,$G$3)&amp;""="","",IF(LEFT(INDEX(인턴근무계획!$M$3:$R$202,$A88,$G$3)&amp;"",1)="⚠",INDEX(인턴근무계획!$M$3:$R$202,$A88,$G$3)&amp;"",LEFT(INDEX(인턴근무계획!$M$3:$R$202,$A88,$G$3)&amp;"",FIND(" ",INDEX(인턴근무계획!$M$3:$R$202,$A88,$G$3)&amp;"")-1))))</f>
        <v/>
      </c>
      <c r="H88" s="21">
        <f>IF(OR($C88="",$G$3=""),"",IF(INDEX(인턴근무계획!$M$3:$R$202,$A88,$G$3)&amp;""="","",IF(LEFT(INDEX(인턴근무계획!$M$3:$R$202,$A88,$G$3)&amp;"",1)="⚠","",MID(INDEX(인턴근무계획!$M$3:$R$202,$A88,$G$3)&amp;"",FIND(" ",INDEX(인턴근무계획!$M$3:$R$202,$A88,$G$3)&amp;"")+1,60))))</f>
        <v/>
      </c>
      <c r="I88" s="21">
        <f>IF(OR($C88="",$I$3=""),"",IF(INDEX(인턴근무계획!$M$3:$R$202,$A88,$I$3)&amp;""="","",IF(LEFT(INDEX(인턴근무계획!$M$3:$R$202,$A88,$I$3)&amp;"",1)="⚠",INDEX(인턴근무계획!$M$3:$R$202,$A88,$I$3)&amp;"",LEFT(INDEX(인턴근무계획!$M$3:$R$202,$A88,$I$3)&amp;"",FIND(" ",INDEX(인턴근무계획!$M$3:$R$202,$A88,$I$3)&amp;"")-1))))</f>
        <v/>
      </c>
      <c r="J88" s="21">
        <f>IF(OR($C88="",$I$3=""),"",IF(INDEX(인턴근무계획!$M$3:$R$202,$A88,$I$3)&amp;""="","",IF(LEFT(INDEX(인턴근무계획!$M$3:$R$202,$A88,$I$3)&amp;"",1)="⚠","",MID(INDEX(인턴근무계획!$M$3:$R$202,$A88,$I$3)&amp;"",FIND(" ",INDEX(인턴근무계획!$M$3:$R$202,$A88,$I$3)&amp;"")+1,60))))</f>
        <v/>
      </c>
      <c r="K88" s="21">
        <f>IF($C88="","",INDEX(인턴근무계획!$M$3:$M$202,$A88)&amp;"")</f>
        <v/>
      </c>
      <c r="L88" s="21">
        <f>IF($C88="","",INDEX(인턴근무계획!$N$3:$N$202,$A88)&amp;"")</f>
        <v/>
      </c>
      <c r="M88" s="21">
        <f>IF($C88="","",INDEX(인턴근무계획!$O$3:$O$202,$A88)&amp;"")</f>
        <v/>
      </c>
      <c r="N88" s="21">
        <f>IF($C88="","",INDEX(인턴근무계획!$P$3:$P$202,$A88)&amp;"")</f>
        <v/>
      </c>
      <c r="O88" s="21">
        <f>IF($C88="","",INDEX(인턴근무계획!$Q$3:$Q$202,$A88)&amp;"")</f>
        <v/>
      </c>
      <c r="P88" s="21">
        <f>IF($C88="","",INDEX(인턴근무계획!$R$3:$R$202,$A88)&amp;"")</f>
        <v/>
      </c>
      <c r="Q88" s="21">
        <f>IF($C88="","",INDEX(인턴근무계획!$T$3:$T$202,$A88))</f>
        <v/>
      </c>
    </row>
    <row r="89">
      <c r="A89" s="24" t="n">
        <v>84</v>
      </c>
      <c r="B89" s="21">
        <f>IF($C89="","",INDEX(인턴근무계획!$B$3:$B$202,$A89))</f>
        <v/>
      </c>
      <c r="C89" s="21">
        <f>IFERROR(TRIM(INDEX(인턴근무계획!$C$3:$C$202,$A89)&amp;""),"")</f>
        <v/>
      </c>
      <c r="D89" s="21">
        <f>IF($C89="","",INDEX(인턴근무계획!$D$3:$D$202,$A89))</f>
        <v/>
      </c>
      <c r="E89" s="21">
        <f>IF($C89="","",IF(IFERROR(MATCH($D89,기본자료!$B$2:$B$501,0),IFERROR(MATCH($D89&amp;"",기본자료!$B$2:$B$501,0),IFERROR(MATCH(VALUE($D89),기본자료!$B$2:$B$501,0),0)))&gt;0,"확인","미등록"))</f>
        <v/>
      </c>
      <c r="F89" s="25">
        <f>IF($C89="","",INDEX(인턴근무계획!$S$3:$S$202,$A89))</f>
        <v/>
      </c>
      <c r="G89" s="21">
        <f>IF(OR($C89="",$G$3=""),"",IF(INDEX(인턴근무계획!$M$3:$R$202,$A89,$G$3)&amp;""="","",IF(LEFT(INDEX(인턴근무계획!$M$3:$R$202,$A89,$G$3)&amp;"",1)="⚠",INDEX(인턴근무계획!$M$3:$R$202,$A89,$G$3)&amp;"",LEFT(INDEX(인턴근무계획!$M$3:$R$202,$A89,$G$3)&amp;"",FIND(" ",INDEX(인턴근무계획!$M$3:$R$202,$A89,$G$3)&amp;"")-1))))</f>
        <v/>
      </c>
      <c r="H89" s="21">
        <f>IF(OR($C89="",$G$3=""),"",IF(INDEX(인턴근무계획!$M$3:$R$202,$A89,$G$3)&amp;""="","",IF(LEFT(INDEX(인턴근무계획!$M$3:$R$202,$A89,$G$3)&amp;"",1)="⚠","",MID(INDEX(인턴근무계획!$M$3:$R$202,$A89,$G$3)&amp;"",FIND(" ",INDEX(인턴근무계획!$M$3:$R$202,$A89,$G$3)&amp;"")+1,60))))</f>
        <v/>
      </c>
      <c r="I89" s="21">
        <f>IF(OR($C89="",$I$3=""),"",IF(INDEX(인턴근무계획!$M$3:$R$202,$A89,$I$3)&amp;""="","",IF(LEFT(INDEX(인턴근무계획!$M$3:$R$202,$A89,$I$3)&amp;"",1)="⚠",INDEX(인턴근무계획!$M$3:$R$202,$A89,$I$3)&amp;"",LEFT(INDEX(인턴근무계획!$M$3:$R$202,$A89,$I$3)&amp;"",FIND(" ",INDEX(인턴근무계획!$M$3:$R$202,$A89,$I$3)&amp;"")-1))))</f>
        <v/>
      </c>
      <c r="J89" s="21">
        <f>IF(OR($C89="",$I$3=""),"",IF(INDEX(인턴근무계획!$M$3:$R$202,$A89,$I$3)&amp;""="","",IF(LEFT(INDEX(인턴근무계획!$M$3:$R$202,$A89,$I$3)&amp;"",1)="⚠","",MID(INDEX(인턴근무계획!$M$3:$R$202,$A89,$I$3)&amp;"",FIND(" ",INDEX(인턴근무계획!$M$3:$R$202,$A89,$I$3)&amp;"")+1,60))))</f>
        <v/>
      </c>
      <c r="K89" s="21">
        <f>IF($C89="","",INDEX(인턴근무계획!$M$3:$M$202,$A89)&amp;"")</f>
        <v/>
      </c>
      <c r="L89" s="21">
        <f>IF($C89="","",INDEX(인턴근무계획!$N$3:$N$202,$A89)&amp;"")</f>
        <v/>
      </c>
      <c r="M89" s="21">
        <f>IF($C89="","",INDEX(인턴근무계획!$O$3:$O$202,$A89)&amp;"")</f>
        <v/>
      </c>
      <c r="N89" s="21">
        <f>IF($C89="","",INDEX(인턴근무계획!$P$3:$P$202,$A89)&amp;"")</f>
        <v/>
      </c>
      <c r="O89" s="21">
        <f>IF($C89="","",INDEX(인턴근무계획!$Q$3:$Q$202,$A89)&amp;"")</f>
        <v/>
      </c>
      <c r="P89" s="21">
        <f>IF($C89="","",INDEX(인턴근무계획!$R$3:$R$202,$A89)&amp;"")</f>
        <v/>
      </c>
      <c r="Q89" s="21">
        <f>IF($C89="","",INDEX(인턴근무계획!$T$3:$T$202,$A89))</f>
        <v/>
      </c>
    </row>
    <row r="90">
      <c r="A90" s="24" t="n">
        <v>85</v>
      </c>
      <c r="B90" s="21">
        <f>IF($C90="","",INDEX(인턴근무계획!$B$3:$B$202,$A90))</f>
        <v/>
      </c>
      <c r="C90" s="21">
        <f>IFERROR(TRIM(INDEX(인턴근무계획!$C$3:$C$202,$A90)&amp;""),"")</f>
        <v/>
      </c>
      <c r="D90" s="21">
        <f>IF($C90="","",INDEX(인턴근무계획!$D$3:$D$202,$A90))</f>
        <v/>
      </c>
      <c r="E90" s="21">
        <f>IF($C90="","",IF(IFERROR(MATCH($D90,기본자료!$B$2:$B$501,0),IFERROR(MATCH($D90&amp;"",기본자료!$B$2:$B$501,0),IFERROR(MATCH(VALUE($D90),기본자료!$B$2:$B$501,0),0)))&gt;0,"확인","미등록"))</f>
        <v/>
      </c>
      <c r="F90" s="25">
        <f>IF($C90="","",INDEX(인턴근무계획!$S$3:$S$202,$A90))</f>
        <v/>
      </c>
      <c r="G90" s="21">
        <f>IF(OR($C90="",$G$3=""),"",IF(INDEX(인턴근무계획!$M$3:$R$202,$A90,$G$3)&amp;""="","",IF(LEFT(INDEX(인턴근무계획!$M$3:$R$202,$A90,$G$3)&amp;"",1)="⚠",INDEX(인턴근무계획!$M$3:$R$202,$A90,$G$3)&amp;"",LEFT(INDEX(인턴근무계획!$M$3:$R$202,$A90,$G$3)&amp;"",FIND(" ",INDEX(인턴근무계획!$M$3:$R$202,$A90,$G$3)&amp;"")-1))))</f>
        <v/>
      </c>
      <c r="H90" s="21">
        <f>IF(OR($C90="",$G$3=""),"",IF(INDEX(인턴근무계획!$M$3:$R$202,$A90,$G$3)&amp;""="","",IF(LEFT(INDEX(인턴근무계획!$M$3:$R$202,$A90,$G$3)&amp;"",1)="⚠","",MID(INDEX(인턴근무계획!$M$3:$R$202,$A90,$G$3)&amp;"",FIND(" ",INDEX(인턴근무계획!$M$3:$R$202,$A90,$G$3)&amp;"")+1,60))))</f>
        <v/>
      </c>
      <c r="I90" s="21">
        <f>IF(OR($C90="",$I$3=""),"",IF(INDEX(인턴근무계획!$M$3:$R$202,$A90,$I$3)&amp;""="","",IF(LEFT(INDEX(인턴근무계획!$M$3:$R$202,$A90,$I$3)&amp;"",1)="⚠",INDEX(인턴근무계획!$M$3:$R$202,$A90,$I$3)&amp;"",LEFT(INDEX(인턴근무계획!$M$3:$R$202,$A90,$I$3)&amp;"",FIND(" ",INDEX(인턴근무계획!$M$3:$R$202,$A90,$I$3)&amp;"")-1))))</f>
        <v/>
      </c>
      <c r="J90" s="21">
        <f>IF(OR($C90="",$I$3=""),"",IF(INDEX(인턴근무계획!$M$3:$R$202,$A90,$I$3)&amp;""="","",IF(LEFT(INDEX(인턴근무계획!$M$3:$R$202,$A90,$I$3)&amp;"",1)="⚠","",MID(INDEX(인턴근무계획!$M$3:$R$202,$A90,$I$3)&amp;"",FIND(" ",INDEX(인턴근무계획!$M$3:$R$202,$A90,$I$3)&amp;"")+1,60))))</f>
        <v/>
      </c>
      <c r="K90" s="21">
        <f>IF($C90="","",INDEX(인턴근무계획!$M$3:$M$202,$A90)&amp;"")</f>
        <v/>
      </c>
      <c r="L90" s="21">
        <f>IF($C90="","",INDEX(인턴근무계획!$N$3:$N$202,$A90)&amp;"")</f>
        <v/>
      </c>
      <c r="M90" s="21">
        <f>IF($C90="","",INDEX(인턴근무계획!$O$3:$O$202,$A90)&amp;"")</f>
        <v/>
      </c>
      <c r="N90" s="21">
        <f>IF($C90="","",INDEX(인턴근무계획!$P$3:$P$202,$A90)&amp;"")</f>
        <v/>
      </c>
      <c r="O90" s="21">
        <f>IF($C90="","",INDEX(인턴근무계획!$Q$3:$Q$202,$A90)&amp;"")</f>
        <v/>
      </c>
      <c r="P90" s="21">
        <f>IF($C90="","",INDEX(인턴근무계획!$R$3:$R$202,$A90)&amp;"")</f>
        <v/>
      </c>
      <c r="Q90" s="21">
        <f>IF($C90="","",INDEX(인턴근무계획!$T$3:$T$202,$A90))</f>
        <v/>
      </c>
    </row>
    <row r="91">
      <c r="A91" s="24" t="n">
        <v>86</v>
      </c>
      <c r="B91" s="21">
        <f>IF($C91="","",INDEX(인턴근무계획!$B$3:$B$202,$A91))</f>
        <v/>
      </c>
      <c r="C91" s="21">
        <f>IFERROR(TRIM(INDEX(인턴근무계획!$C$3:$C$202,$A91)&amp;""),"")</f>
        <v/>
      </c>
      <c r="D91" s="21">
        <f>IF($C91="","",INDEX(인턴근무계획!$D$3:$D$202,$A91))</f>
        <v/>
      </c>
      <c r="E91" s="21">
        <f>IF($C91="","",IF(IFERROR(MATCH($D91,기본자료!$B$2:$B$501,0),IFERROR(MATCH($D91&amp;"",기본자료!$B$2:$B$501,0),IFERROR(MATCH(VALUE($D91),기본자료!$B$2:$B$501,0),0)))&gt;0,"확인","미등록"))</f>
        <v/>
      </c>
      <c r="F91" s="25">
        <f>IF($C91="","",INDEX(인턴근무계획!$S$3:$S$202,$A91))</f>
        <v/>
      </c>
      <c r="G91" s="21">
        <f>IF(OR($C91="",$G$3=""),"",IF(INDEX(인턴근무계획!$M$3:$R$202,$A91,$G$3)&amp;""="","",IF(LEFT(INDEX(인턴근무계획!$M$3:$R$202,$A91,$G$3)&amp;"",1)="⚠",INDEX(인턴근무계획!$M$3:$R$202,$A91,$G$3)&amp;"",LEFT(INDEX(인턴근무계획!$M$3:$R$202,$A91,$G$3)&amp;"",FIND(" ",INDEX(인턴근무계획!$M$3:$R$202,$A91,$G$3)&amp;"")-1))))</f>
        <v/>
      </c>
      <c r="H91" s="21">
        <f>IF(OR($C91="",$G$3=""),"",IF(INDEX(인턴근무계획!$M$3:$R$202,$A91,$G$3)&amp;""="","",IF(LEFT(INDEX(인턴근무계획!$M$3:$R$202,$A91,$G$3)&amp;"",1)="⚠","",MID(INDEX(인턴근무계획!$M$3:$R$202,$A91,$G$3)&amp;"",FIND(" ",INDEX(인턴근무계획!$M$3:$R$202,$A91,$G$3)&amp;"")+1,60))))</f>
        <v/>
      </c>
      <c r="I91" s="21">
        <f>IF(OR($C91="",$I$3=""),"",IF(INDEX(인턴근무계획!$M$3:$R$202,$A91,$I$3)&amp;""="","",IF(LEFT(INDEX(인턴근무계획!$M$3:$R$202,$A91,$I$3)&amp;"",1)="⚠",INDEX(인턴근무계획!$M$3:$R$202,$A91,$I$3)&amp;"",LEFT(INDEX(인턴근무계획!$M$3:$R$202,$A91,$I$3)&amp;"",FIND(" ",INDEX(인턴근무계획!$M$3:$R$202,$A91,$I$3)&amp;"")-1))))</f>
        <v/>
      </c>
      <c r="J91" s="21">
        <f>IF(OR($C91="",$I$3=""),"",IF(INDEX(인턴근무계획!$M$3:$R$202,$A91,$I$3)&amp;""="","",IF(LEFT(INDEX(인턴근무계획!$M$3:$R$202,$A91,$I$3)&amp;"",1)="⚠","",MID(INDEX(인턴근무계획!$M$3:$R$202,$A91,$I$3)&amp;"",FIND(" ",INDEX(인턴근무계획!$M$3:$R$202,$A91,$I$3)&amp;"")+1,60))))</f>
        <v/>
      </c>
      <c r="K91" s="21">
        <f>IF($C91="","",INDEX(인턴근무계획!$M$3:$M$202,$A91)&amp;"")</f>
        <v/>
      </c>
      <c r="L91" s="21">
        <f>IF($C91="","",INDEX(인턴근무계획!$N$3:$N$202,$A91)&amp;"")</f>
        <v/>
      </c>
      <c r="M91" s="21">
        <f>IF($C91="","",INDEX(인턴근무계획!$O$3:$O$202,$A91)&amp;"")</f>
        <v/>
      </c>
      <c r="N91" s="21">
        <f>IF($C91="","",INDEX(인턴근무계획!$P$3:$P$202,$A91)&amp;"")</f>
        <v/>
      </c>
      <c r="O91" s="21">
        <f>IF($C91="","",INDEX(인턴근무계획!$Q$3:$Q$202,$A91)&amp;"")</f>
        <v/>
      </c>
      <c r="P91" s="21">
        <f>IF($C91="","",INDEX(인턴근무계획!$R$3:$R$202,$A91)&amp;"")</f>
        <v/>
      </c>
      <c r="Q91" s="21">
        <f>IF($C91="","",INDEX(인턴근무계획!$T$3:$T$202,$A91))</f>
        <v/>
      </c>
    </row>
    <row r="92">
      <c r="A92" s="24" t="n">
        <v>87</v>
      </c>
      <c r="B92" s="21">
        <f>IF($C92="","",INDEX(인턴근무계획!$B$3:$B$202,$A92))</f>
        <v/>
      </c>
      <c r="C92" s="21">
        <f>IFERROR(TRIM(INDEX(인턴근무계획!$C$3:$C$202,$A92)&amp;""),"")</f>
        <v/>
      </c>
      <c r="D92" s="21">
        <f>IF($C92="","",INDEX(인턴근무계획!$D$3:$D$202,$A92))</f>
        <v/>
      </c>
      <c r="E92" s="21">
        <f>IF($C92="","",IF(IFERROR(MATCH($D92,기본자료!$B$2:$B$501,0),IFERROR(MATCH($D92&amp;"",기본자료!$B$2:$B$501,0),IFERROR(MATCH(VALUE($D92),기본자료!$B$2:$B$501,0),0)))&gt;0,"확인","미등록"))</f>
        <v/>
      </c>
      <c r="F92" s="25">
        <f>IF($C92="","",INDEX(인턴근무계획!$S$3:$S$202,$A92))</f>
        <v/>
      </c>
      <c r="G92" s="21">
        <f>IF(OR($C92="",$G$3=""),"",IF(INDEX(인턴근무계획!$M$3:$R$202,$A92,$G$3)&amp;""="","",IF(LEFT(INDEX(인턴근무계획!$M$3:$R$202,$A92,$G$3)&amp;"",1)="⚠",INDEX(인턴근무계획!$M$3:$R$202,$A92,$G$3)&amp;"",LEFT(INDEX(인턴근무계획!$M$3:$R$202,$A92,$G$3)&amp;"",FIND(" ",INDEX(인턴근무계획!$M$3:$R$202,$A92,$G$3)&amp;"")-1))))</f>
        <v/>
      </c>
      <c r="H92" s="21">
        <f>IF(OR($C92="",$G$3=""),"",IF(INDEX(인턴근무계획!$M$3:$R$202,$A92,$G$3)&amp;""="","",IF(LEFT(INDEX(인턴근무계획!$M$3:$R$202,$A92,$G$3)&amp;"",1)="⚠","",MID(INDEX(인턴근무계획!$M$3:$R$202,$A92,$G$3)&amp;"",FIND(" ",INDEX(인턴근무계획!$M$3:$R$202,$A92,$G$3)&amp;"")+1,60))))</f>
        <v/>
      </c>
      <c r="I92" s="21">
        <f>IF(OR($C92="",$I$3=""),"",IF(INDEX(인턴근무계획!$M$3:$R$202,$A92,$I$3)&amp;""="","",IF(LEFT(INDEX(인턴근무계획!$M$3:$R$202,$A92,$I$3)&amp;"",1)="⚠",INDEX(인턴근무계획!$M$3:$R$202,$A92,$I$3)&amp;"",LEFT(INDEX(인턴근무계획!$M$3:$R$202,$A92,$I$3)&amp;"",FIND(" ",INDEX(인턴근무계획!$M$3:$R$202,$A92,$I$3)&amp;"")-1))))</f>
        <v/>
      </c>
      <c r="J92" s="21">
        <f>IF(OR($C92="",$I$3=""),"",IF(INDEX(인턴근무계획!$M$3:$R$202,$A92,$I$3)&amp;""="","",IF(LEFT(INDEX(인턴근무계획!$M$3:$R$202,$A92,$I$3)&amp;"",1)="⚠","",MID(INDEX(인턴근무계획!$M$3:$R$202,$A92,$I$3)&amp;"",FIND(" ",INDEX(인턴근무계획!$M$3:$R$202,$A92,$I$3)&amp;"")+1,60))))</f>
        <v/>
      </c>
      <c r="K92" s="21">
        <f>IF($C92="","",INDEX(인턴근무계획!$M$3:$M$202,$A92)&amp;"")</f>
        <v/>
      </c>
      <c r="L92" s="21">
        <f>IF($C92="","",INDEX(인턴근무계획!$N$3:$N$202,$A92)&amp;"")</f>
        <v/>
      </c>
      <c r="M92" s="21">
        <f>IF($C92="","",INDEX(인턴근무계획!$O$3:$O$202,$A92)&amp;"")</f>
        <v/>
      </c>
      <c r="N92" s="21">
        <f>IF($C92="","",INDEX(인턴근무계획!$P$3:$P$202,$A92)&amp;"")</f>
        <v/>
      </c>
      <c r="O92" s="21">
        <f>IF($C92="","",INDEX(인턴근무계획!$Q$3:$Q$202,$A92)&amp;"")</f>
        <v/>
      </c>
      <c r="P92" s="21">
        <f>IF($C92="","",INDEX(인턴근무계획!$R$3:$R$202,$A92)&amp;"")</f>
        <v/>
      </c>
      <c r="Q92" s="21">
        <f>IF($C92="","",INDEX(인턴근무계획!$T$3:$T$202,$A92))</f>
        <v/>
      </c>
    </row>
    <row r="93">
      <c r="A93" s="24" t="n">
        <v>88</v>
      </c>
      <c r="B93" s="21">
        <f>IF($C93="","",INDEX(인턴근무계획!$B$3:$B$202,$A93))</f>
        <v/>
      </c>
      <c r="C93" s="21">
        <f>IFERROR(TRIM(INDEX(인턴근무계획!$C$3:$C$202,$A93)&amp;""),"")</f>
        <v/>
      </c>
      <c r="D93" s="21">
        <f>IF($C93="","",INDEX(인턴근무계획!$D$3:$D$202,$A93))</f>
        <v/>
      </c>
      <c r="E93" s="21">
        <f>IF($C93="","",IF(IFERROR(MATCH($D93,기본자료!$B$2:$B$501,0),IFERROR(MATCH($D93&amp;"",기본자료!$B$2:$B$501,0),IFERROR(MATCH(VALUE($D93),기본자료!$B$2:$B$501,0),0)))&gt;0,"확인","미등록"))</f>
        <v/>
      </c>
      <c r="F93" s="25">
        <f>IF($C93="","",INDEX(인턴근무계획!$S$3:$S$202,$A93))</f>
        <v/>
      </c>
      <c r="G93" s="21">
        <f>IF(OR($C93="",$G$3=""),"",IF(INDEX(인턴근무계획!$M$3:$R$202,$A93,$G$3)&amp;""="","",IF(LEFT(INDEX(인턴근무계획!$M$3:$R$202,$A93,$G$3)&amp;"",1)="⚠",INDEX(인턴근무계획!$M$3:$R$202,$A93,$G$3)&amp;"",LEFT(INDEX(인턴근무계획!$M$3:$R$202,$A93,$G$3)&amp;"",FIND(" ",INDEX(인턴근무계획!$M$3:$R$202,$A93,$G$3)&amp;"")-1))))</f>
        <v/>
      </c>
      <c r="H93" s="21">
        <f>IF(OR($C93="",$G$3=""),"",IF(INDEX(인턴근무계획!$M$3:$R$202,$A93,$G$3)&amp;""="","",IF(LEFT(INDEX(인턴근무계획!$M$3:$R$202,$A93,$G$3)&amp;"",1)="⚠","",MID(INDEX(인턴근무계획!$M$3:$R$202,$A93,$G$3)&amp;"",FIND(" ",INDEX(인턴근무계획!$M$3:$R$202,$A93,$G$3)&amp;"")+1,60))))</f>
        <v/>
      </c>
      <c r="I93" s="21">
        <f>IF(OR($C93="",$I$3=""),"",IF(INDEX(인턴근무계획!$M$3:$R$202,$A93,$I$3)&amp;""="","",IF(LEFT(INDEX(인턴근무계획!$M$3:$R$202,$A93,$I$3)&amp;"",1)="⚠",INDEX(인턴근무계획!$M$3:$R$202,$A93,$I$3)&amp;"",LEFT(INDEX(인턴근무계획!$M$3:$R$202,$A93,$I$3)&amp;"",FIND(" ",INDEX(인턴근무계획!$M$3:$R$202,$A93,$I$3)&amp;"")-1))))</f>
        <v/>
      </c>
      <c r="J93" s="21">
        <f>IF(OR($C93="",$I$3=""),"",IF(INDEX(인턴근무계획!$M$3:$R$202,$A93,$I$3)&amp;""="","",IF(LEFT(INDEX(인턴근무계획!$M$3:$R$202,$A93,$I$3)&amp;"",1)="⚠","",MID(INDEX(인턴근무계획!$M$3:$R$202,$A93,$I$3)&amp;"",FIND(" ",INDEX(인턴근무계획!$M$3:$R$202,$A93,$I$3)&amp;"")+1,60))))</f>
        <v/>
      </c>
      <c r="K93" s="21">
        <f>IF($C93="","",INDEX(인턴근무계획!$M$3:$M$202,$A93)&amp;"")</f>
        <v/>
      </c>
      <c r="L93" s="21">
        <f>IF($C93="","",INDEX(인턴근무계획!$N$3:$N$202,$A93)&amp;"")</f>
        <v/>
      </c>
      <c r="M93" s="21">
        <f>IF($C93="","",INDEX(인턴근무계획!$O$3:$O$202,$A93)&amp;"")</f>
        <v/>
      </c>
      <c r="N93" s="21">
        <f>IF($C93="","",INDEX(인턴근무계획!$P$3:$P$202,$A93)&amp;"")</f>
        <v/>
      </c>
      <c r="O93" s="21">
        <f>IF($C93="","",INDEX(인턴근무계획!$Q$3:$Q$202,$A93)&amp;"")</f>
        <v/>
      </c>
      <c r="P93" s="21">
        <f>IF($C93="","",INDEX(인턴근무계획!$R$3:$R$202,$A93)&amp;"")</f>
        <v/>
      </c>
      <c r="Q93" s="21">
        <f>IF($C93="","",INDEX(인턴근무계획!$T$3:$T$202,$A93))</f>
        <v/>
      </c>
    </row>
    <row r="94">
      <c r="A94" s="24" t="n">
        <v>89</v>
      </c>
      <c r="B94" s="21">
        <f>IF($C94="","",INDEX(인턴근무계획!$B$3:$B$202,$A94))</f>
        <v/>
      </c>
      <c r="C94" s="21">
        <f>IFERROR(TRIM(INDEX(인턴근무계획!$C$3:$C$202,$A94)&amp;""),"")</f>
        <v/>
      </c>
      <c r="D94" s="21">
        <f>IF($C94="","",INDEX(인턴근무계획!$D$3:$D$202,$A94))</f>
        <v/>
      </c>
      <c r="E94" s="21">
        <f>IF($C94="","",IF(IFERROR(MATCH($D94,기본자료!$B$2:$B$501,0),IFERROR(MATCH($D94&amp;"",기본자료!$B$2:$B$501,0),IFERROR(MATCH(VALUE($D94),기본자료!$B$2:$B$501,0),0)))&gt;0,"확인","미등록"))</f>
        <v/>
      </c>
      <c r="F94" s="25">
        <f>IF($C94="","",INDEX(인턴근무계획!$S$3:$S$202,$A94))</f>
        <v/>
      </c>
      <c r="G94" s="21">
        <f>IF(OR($C94="",$G$3=""),"",IF(INDEX(인턴근무계획!$M$3:$R$202,$A94,$G$3)&amp;""="","",IF(LEFT(INDEX(인턴근무계획!$M$3:$R$202,$A94,$G$3)&amp;"",1)="⚠",INDEX(인턴근무계획!$M$3:$R$202,$A94,$G$3)&amp;"",LEFT(INDEX(인턴근무계획!$M$3:$R$202,$A94,$G$3)&amp;"",FIND(" ",INDEX(인턴근무계획!$M$3:$R$202,$A94,$G$3)&amp;"")-1))))</f>
        <v/>
      </c>
      <c r="H94" s="21">
        <f>IF(OR($C94="",$G$3=""),"",IF(INDEX(인턴근무계획!$M$3:$R$202,$A94,$G$3)&amp;""="","",IF(LEFT(INDEX(인턴근무계획!$M$3:$R$202,$A94,$G$3)&amp;"",1)="⚠","",MID(INDEX(인턴근무계획!$M$3:$R$202,$A94,$G$3)&amp;"",FIND(" ",INDEX(인턴근무계획!$M$3:$R$202,$A94,$G$3)&amp;"")+1,60))))</f>
        <v/>
      </c>
      <c r="I94" s="21">
        <f>IF(OR($C94="",$I$3=""),"",IF(INDEX(인턴근무계획!$M$3:$R$202,$A94,$I$3)&amp;""="","",IF(LEFT(INDEX(인턴근무계획!$M$3:$R$202,$A94,$I$3)&amp;"",1)="⚠",INDEX(인턴근무계획!$M$3:$R$202,$A94,$I$3)&amp;"",LEFT(INDEX(인턴근무계획!$M$3:$R$202,$A94,$I$3)&amp;"",FIND(" ",INDEX(인턴근무계획!$M$3:$R$202,$A94,$I$3)&amp;"")-1))))</f>
        <v/>
      </c>
      <c r="J94" s="21">
        <f>IF(OR($C94="",$I$3=""),"",IF(INDEX(인턴근무계획!$M$3:$R$202,$A94,$I$3)&amp;""="","",IF(LEFT(INDEX(인턴근무계획!$M$3:$R$202,$A94,$I$3)&amp;"",1)="⚠","",MID(INDEX(인턴근무계획!$M$3:$R$202,$A94,$I$3)&amp;"",FIND(" ",INDEX(인턴근무계획!$M$3:$R$202,$A94,$I$3)&amp;"")+1,60))))</f>
        <v/>
      </c>
      <c r="K94" s="21">
        <f>IF($C94="","",INDEX(인턴근무계획!$M$3:$M$202,$A94)&amp;"")</f>
        <v/>
      </c>
      <c r="L94" s="21">
        <f>IF($C94="","",INDEX(인턴근무계획!$N$3:$N$202,$A94)&amp;"")</f>
        <v/>
      </c>
      <c r="M94" s="21">
        <f>IF($C94="","",INDEX(인턴근무계획!$O$3:$O$202,$A94)&amp;"")</f>
        <v/>
      </c>
      <c r="N94" s="21">
        <f>IF($C94="","",INDEX(인턴근무계획!$P$3:$P$202,$A94)&amp;"")</f>
        <v/>
      </c>
      <c r="O94" s="21">
        <f>IF($C94="","",INDEX(인턴근무계획!$Q$3:$Q$202,$A94)&amp;"")</f>
        <v/>
      </c>
      <c r="P94" s="21">
        <f>IF($C94="","",INDEX(인턴근무계획!$R$3:$R$202,$A94)&amp;"")</f>
        <v/>
      </c>
      <c r="Q94" s="21">
        <f>IF($C94="","",INDEX(인턴근무계획!$T$3:$T$202,$A94))</f>
        <v/>
      </c>
    </row>
    <row r="95">
      <c r="A95" s="24" t="n">
        <v>90</v>
      </c>
      <c r="B95" s="21">
        <f>IF($C95="","",INDEX(인턴근무계획!$B$3:$B$202,$A95))</f>
        <v/>
      </c>
      <c r="C95" s="21">
        <f>IFERROR(TRIM(INDEX(인턴근무계획!$C$3:$C$202,$A95)&amp;""),"")</f>
        <v/>
      </c>
      <c r="D95" s="21">
        <f>IF($C95="","",INDEX(인턴근무계획!$D$3:$D$202,$A95))</f>
        <v/>
      </c>
      <c r="E95" s="21">
        <f>IF($C95="","",IF(IFERROR(MATCH($D95,기본자료!$B$2:$B$501,0),IFERROR(MATCH($D95&amp;"",기본자료!$B$2:$B$501,0),IFERROR(MATCH(VALUE($D95),기본자료!$B$2:$B$501,0),0)))&gt;0,"확인","미등록"))</f>
        <v/>
      </c>
      <c r="F95" s="25">
        <f>IF($C95="","",INDEX(인턴근무계획!$S$3:$S$202,$A95))</f>
        <v/>
      </c>
      <c r="G95" s="21">
        <f>IF(OR($C95="",$G$3=""),"",IF(INDEX(인턴근무계획!$M$3:$R$202,$A95,$G$3)&amp;""="","",IF(LEFT(INDEX(인턴근무계획!$M$3:$R$202,$A95,$G$3)&amp;"",1)="⚠",INDEX(인턴근무계획!$M$3:$R$202,$A95,$G$3)&amp;"",LEFT(INDEX(인턴근무계획!$M$3:$R$202,$A95,$G$3)&amp;"",FIND(" ",INDEX(인턴근무계획!$M$3:$R$202,$A95,$G$3)&amp;"")-1))))</f>
        <v/>
      </c>
      <c r="H95" s="21">
        <f>IF(OR($C95="",$G$3=""),"",IF(INDEX(인턴근무계획!$M$3:$R$202,$A95,$G$3)&amp;""="","",IF(LEFT(INDEX(인턴근무계획!$M$3:$R$202,$A95,$G$3)&amp;"",1)="⚠","",MID(INDEX(인턴근무계획!$M$3:$R$202,$A95,$G$3)&amp;"",FIND(" ",INDEX(인턴근무계획!$M$3:$R$202,$A95,$G$3)&amp;"")+1,60))))</f>
        <v/>
      </c>
      <c r="I95" s="21">
        <f>IF(OR($C95="",$I$3=""),"",IF(INDEX(인턴근무계획!$M$3:$R$202,$A95,$I$3)&amp;""="","",IF(LEFT(INDEX(인턴근무계획!$M$3:$R$202,$A95,$I$3)&amp;"",1)="⚠",INDEX(인턴근무계획!$M$3:$R$202,$A95,$I$3)&amp;"",LEFT(INDEX(인턴근무계획!$M$3:$R$202,$A95,$I$3)&amp;"",FIND(" ",INDEX(인턴근무계획!$M$3:$R$202,$A95,$I$3)&amp;"")-1))))</f>
        <v/>
      </c>
      <c r="J95" s="21">
        <f>IF(OR($C95="",$I$3=""),"",IF(INDEX(인턴근무계획!$M$3:$R$202,$A95,$I$3)&amp;""="","",IF(LEFT(INDEX(인턴근무계획!$M$3:$R$202,$A95,$I$3)&amp;"",1)="⚠","",MID(INDEX(인턴근무계획!$M$3:$R$202,$A95,$I$3)&amp;"",FIND(" ",INDEX(인턴근무계획!$M$3:$R$202,$A95,$I$3)&amp;"")+1,60))))</f>
        <v/>
      </c>
      <c r="K95" s="21">
        <f>IF($C95="","",INDEX(인턴근무계획!$M$3:$M$202,$A95)&amp;"")</f>
        <v/>
      </c>
      <c r="L95" s="21">
        <f>IF($C95="","",INDEX(인턴근무계획!$N$3:$N$202,$A95)&amp;"")</f>
        <v/>
      </c>
      <c r="M95" s="21">
        <f>IF($C95="","",INDEX(인턴근무계획!$O$3:$O$202,$A95)&amp;"")</f>
        <v/>
      </c>
      <c r="N95" s="21">
        <f>IF($C95="","",INDEX(인턴근무계획!$P$3:$P$202,$A95)&amp;"")</f>
        <v/>
      </c>
      <c r="O95" s="21">
        <f>IF($C95="","",INDEX(인턴근무계획!$Q$3:$Q$202,$A95)&amp;"")</f>
        <v/>
      </c>
      <c r="P95" s="21">
        <f>IF($C95="","",INDEX(인턴근무계획!$R$3:$R$202,$A95)&amp;"")</f>
        <v/>
      </c>
      <c r="Q95" s="21">
        <f>IF($C95="","",INDEX(인턴근무계획!$T$3:$T$202,$A95))</f>
        <v/>
      </c>
    </row>
    <row r="96">
      <c r="A96" s="24" t="n">
        <v>91</v>
      </c>
      <c r="B96" s="21">
        <f>IF($C96="","",INDEX(인턴근무계획!$B$3:$B$202,$A96))</f>
        <v/>
      </c>
      <c r="C96" s="21">
        <f>IFERROR(TRIM(INDEX(인턴근무계획!$C$3:$C$202,$A96)&amp;""),"")</f>
        <v/>
      </c>
      <c r="D96" s="21">
        <f>IF($C96="","",INDEX(인턴근무계획!$D$3:$D$202,$A96))</f>
        <v/>
      </c>
      <c r="E96" s="21">
        <f>IF($C96="","",IF(IFERROR(MATCH($D96,기본자료!$B$2:$B$501,0),IFERROR(MATCH($D96&amp;"",기본자료!$B$2:$B$501,0),IFERROR(MATCH(VALUE($D96),기본자료!$B$2:$B$501,0),0)))&gt;0,"확인","미등록"))</f>
        <v/>
      </c>
      <c r="F96" s="25">
        <f>IF($C96="","",INDEX(인턴근무계획!$S$3:$S$202,$A96))</f>
        <v/>
      </c>
      <c r="G96" s="21">
        <f>IF(OR($C96="",$G$3=""),"",IF(INDEX(인턴근무계획!$M$3:$R$202,$A96,$G$3)&amp;""="","",IF(LEFT(INDEX(인턴근무계획!$M$3:$R$202,$A96,$G$3)&amp;"",1)="⚠",INDEX(인턴근무계획!$M$3:$R$202,$A96,$G$3)&amp;"",LEFT(INDEX(인턴근무계획!$M$3:$R$202,$A96,$G$3)&amp;"",FIND(" ",INDEX(인턴근무계획!$M$3:$R$202,$A96,$G$3)&amp;"")-1))))</f>
        <v/>
      </c>
      <c r="H96" s="21">
        <f>IF(OR($C96="",$G$3=""),"",IF(INDEX(인턴근무계획!$M$3:$R$202,$A96,$G$3)&amp;""="","",IF(LEFT(INDEX(인턴근무계획!$M$3:$R$202,$A96,$G$3)&amp;"",1)="⚠","",MID(INDEX(인턴근무계획!$M$3:$R$202,$A96,$G$3)&amp;"",FIND(" ",INDEX(인턴근무계획!$M$3:$R$202,$A96,$G$3)&amp;"")+1,60))))</f>
        <v/>
      </c>
      <c r="I96" s="21">
        <f>IF(OR($C96="",$I$3=""),"",IF(INDEX(인턴근무계획!$M$3:$R$202,$A96,$I$3)&amp;""="","",IF(LEFT(INDEX(인턴근무계획!$M$3:$R$202,$A96,$I$3)&amp;"",1)="⚠",INDEX(인턴근무계획!$M$3:$R$202,$A96,$I$3)&amp;"",LEFT(INDEX(인턴근무계획!$M$3:$R$202,$A96,$I$3)&amp;"",FIND(" ",INDEX(인턴근무계획!$M$3:$R$202,$A96,$I$3)&amp;"")-1))))</f>
        <v/>
      </c>
      <c r="J96" s="21">
        <f>IF(OR($C96="",$I$3=""),"",IF(INDEX(인턴근무계획!$M$3:$R$202,$A96,$I$3)&amp;""="","",IF(LEFT(INDEX(인턴근무계획!$M$3:$R$202,$A96,$I$3)&amp;"",1)="⚠","",MID(INDEX(인턴근무계획!$M$3:$R$202,$A96,$I$3)&amp;"",FIND(" ",INDEX(인턴근무계획!$M$3:$R$202,$A96,$I$3)&amp;"")+1,60))))</f>
        <v/>
      </c>
      <c r="K96" s="21">
        <f>IF($C96="","",INDEX(인턴근무계획!$M$3:$M$202,$A96)&amp;"")</f>
        <v/>
      </c>
      <c r="L96" s="21">
        <f>IF($C96="","",INDEX(인턴근무계획!$N$3:$N$202,$A96)&amp;"")</f>
        <v/>
      </c>
      <c r="M96" s="21">
        <f>IF($C96="","",INDEX(인턴근무계획!$O$3:$O$202,$A96)&amp;"")</f>
        <v/>
      </c>
      <c r="N96" s="21">
        <f>IF($C96="","",INDEX(인턴근무계획!$P$3:$P$202,$A96)&amp;"")</f>
        <v/>
      </c>
      <c r="O96" s="21">
        <f>IF($C96="","",INDEX(인턴근무계획!$Q$3:$Q$202,$A96)&amp;"")</f>
        <v/>
      </c>
      <c r="P96" s="21">
        <f>IF($C96="","",INDEX(인턴근무계획!$R$3:$R$202,$A96)&amp;"")</f>
        <v/>
      </c>
      <c r="Q96" s="21">
        <f>IF($C96="","",INDEX(인턴근무계획!$T$3:$T$202,$A96))</f>
        <v/>
      </c>
    </row>
    <row r="97">
      <c r="A97" s="24" t="n">
        <v>92</v>
      </c>
      <c r="B97" s="21">
        <f>IF($C97="","",INDEX(인턴근무계획!$B$3:$B$202,$A97))</f>
        <v/>
      </c>
      <c r="C97" s="21">
        <f>IFERROR(TRIM(INDEX(인턴근무계획!$C$3:$C$202,$A97)&amp;""),"")</f>
        <v/>
      </c>
      <c r="D97" s="21">
        <f>IF($C97="","",INDEX(인턴근무계획!$D$3:$D$202,$A97))</f>
        <v/>
      </c>
      <c r="E97" s="21">
        <f>IF($C97="","",IF(IFERROR(MATCH($D97,기본자료!$B$2:$B$501,0),IFERROR(MATCH($D97&amp;"",기본자료!$B$2:$B$501,0),IFERROR(MATCH(VALUE($D97),기본자료!$B$2:$B$501,0),0)))&gt;0,"확인","미등록"))</f>
        <v/>
      </c>
      <c r="F97" s="25">
        <f>IF($C97="","",INDEX(인턴근무계획!$S$3:$S$202,$A97))</f>
        <v/>
      </c>
      <c r="G97" s="21">
        <f>IF(OR($C97="",$G$3=""),"",IF(INDEX(인턴근무계획!$M$3:$R$202,$A97,$G$3)&amp;""="","",IF(LEFT(INDEX(인턴근무계획!$M$3:$R$202,$A97,$G$3)&amp;"",1)="⚠",INDEX(인턴근무계획!$M$3:$R$202,$A97,$G$3)&amp;"",LEFT(INDEX(인턴근무계획!$M$3:$R$202,$A97,$G$3)&amp;"",FIND(" ",INDEX(인턴근무계획!$M$3:$R$202,$A97,$G$3)&amp;"")-1))))</f>
        <v/>
      </c>
      <c r="H97" s="21">
        <f>IF(OR($C97="",$G$3=""),"",IF(INDEX(인턴근무계획!$M$3:$R$202,$A97,$G$3)&amp;""="","",IF(LEFT(INDEX(인턴근무계획!$M$3:$R$202,$A97,$G$3)&amp;"",1)="⚠","",MID(INDEX(인턴근무계획!$M$3:$R$202,$A97,$G$3)&amp;"",FIND(" ",INDEX(인턴근무계획!$M$3:$R$202,$A97,$G$3)&amp;"")+1,60))))</f>
        <v/>
      </c>
      <c r="I97" s="21">
        <f>IF(OR($C97="",$I$3=""),"",IF(INDEX(인턴근무계획!$M$3:$R$202,$A97,$I$3)&amp;""="","",IF(LEFT(INDEX(인턴근무계획!$M$3:$R$202,$A97,$I$3)&amp;"",1)="⚠",INDEX(인턴근무계획!$M$3:$R$202,$A97,$I$3)&amp;"",LEFT(INDEX(인턴근무계획!$M$3:$R$202,$A97,$I$3)&amp;"",FIND(" ",INDEX(인턴근무계획!$M$3:$R$202,$A97,$I$3)&amp;"")-1))))</f>
        <v/>
      </c>
      <c r="J97" s="21">
        <f>IF(OR($C97="",$I$3=""),"",IF(INDEX(인턴근무계획!$M$3:$R$202,$A97,$I$3)&amp;""="","",IF(LEFT(INDEX(인턴근무계획!$M$3:$R$202,$A97,$I$3)&amp;"",1)="⚠","",MID(INDEX(인턴근무계획!$M$3:$R$202,$A97,$I$3)&amp;"",FIND(" ",INDEX(인턴근무계획!$M$3:$R$202,$A97,$I$3)&amp;"")+1,60))))</f>
        <v/>
      </c>
      <c r="K97" s="21">
        <f>IF($C97="","",INDEX(인턴근무계획!$M$3:$M$202,$A97)&amp;"")</f>
        <v/>
      </c>
      <c r="L97" s="21">
        <f>IF($C97="","",INDEX(인턴근무계획!$N$3:$N$202,$A97)&amp;"")</f>
        <v/>
      </c>
      <c r="M97" s="21">
        <f>IF($C97="","",INDEX(인턴근무계획!$O$3:$O$202,$A97)&amp;"")</f>
        <v/>
      </c>
      <c r="N97" s="21">
        <f>IF($C97="","",INDEX(인턴근무계획!$P$3:$P$202,$A97)&amp;"")</f>
        <v/>
      </c>
      <c r="O97" s="21">
        <f>IF($C97="","",INDEX(인턴근무계획!$Q$3:$Q$202,$A97)&amp;"")</f>
        <v/>
      </c>
      <c r="P97" s="21">
        <f>IF($C97="","",INDEX(인턴근무계획!$R$3:$R$202,$A97)&amp;"")</f>
        <v/>
      </c>
      <c r="Q97" s="21">
        <f>IF($C97="","",INDEX(인턴근무계획!$T$3:$T$202,$A97))</f>
        <v/>
      </c>
    </row>
    <row r="98">
      <c r="A98" s="24" t="n">
        <v>93</v>
      </c>
      <c r="B98" s="21">
        <f>IF($C98="","",INDEX(인턴근무계획!$B$3:$B$202,$A98))</f>
        <v/>
      </c>
      <c r="C98" s="21">
        <f>IFERROR(TRIM(INDEX(인턴근무계획!$C$3:$C$202,$A98)&amp;""),"")</f>
        <v/>
      </c>
      <c r="D98" s="21">
        <f>IF($C98="","",INDEX(인턴근무계획!$D$3:$D$202,$A98))</f>
        <v/>
      </c>
      <c r="E98" s="21">
        <f>IF($C98="","",IF(IFERROR(MATCH($D98,기본자료!$B$2:$B$501,0),IFERROR(MATCH($D98&amp;"",기본자료!$B$2:$B$501,0),IFERROR(MATCH(VALUE($D98),기본자료!$B$2:$B$501,0),0)))&gt;0,"확인","미등록"))</f>
        <v/>
      </c>
      <c r="F98" s="25">
        <f>IF($C98="","",INDEX(인턴근무계획!$S$3:$S$202,$A98))</f>
        <v/>
      </c>
      <c r="G98" s="21">
        <f>IF(OR($C98="",$G$3=""),"",IF(INDEX(인턴근무계획!$M$3:$R$202,$A98,$G$3)&amp;""="","",IF(LEFT(INDEX(인턴근무계획!$M$3:$R$202,$A98,$G$3)&amp;"",1)="⚠",INDEX(인턴근무계획!$M$3:$R$202,$A98,$G$3)&amp;"",LEFT(INDEX(인턴근무계획!$M$3:$R$202,$A98,$G$3)&amp;"",FIND(" ",INDEX(인턴근무계획!$M$3:$R$202,$A98,$G$3)&amp;"")-1))))</f>
        <v/>
      </c>
      <c r="H98" s="21">
        <f>IF(OR($C98="",$G$3=""),"",IF(INDEX(인턴근무계획!$M$3:$R$202,$A98,$G$3)&amp;""="","",IF(LEFT(INDEX(인턴근무계획!$M$3:$R$202,$A98,$G$3)&amp;"",1)="⚠","",MID(INDEX(인턴근무계획!$M$3:$R$202,$A98,$G$3)&amp;"",FIND(" ",INDEX(인턴근무계획!$M$3:$R$202,$A98,$G$3)&amp;"")+1,60))))</f>
        <v/>
      </c>
      <c r="I98" s="21">
        <f>IF(OR($C98="",$I$3=""),"",IF(INDEX(인턴근무계획!$M$3:$R$202,$A98,$I$3)&amp;""="","",IF(LEFT(INDEX(인턴근무계획!$M$3:$R$202,$A98,$I$3)&amp;"",1)="⚠",INDEX(인턴근무계획!$M$3:$R$202,$A98,$I$3)&amp;"",LEFT(INDEX(인턴근무계획!$M$3:$R$202,$A98,$I$3)&amp;"",FIND(" ",INDEX(인턴근무계획!$M$3:$R$202,$A98,$I$3)&amp;"")-1))))</f>
        <v/>
      </c>
      <c r="J98" s="21">
        <f>IF(OR($C98="",$I$3=""),"",IF(INDEX(인턴근무계획!$M$3:$R$202,$A98,$I$3)&amp;""="","",IF(LEFT(INDEX(인턴근무계획!$M$3:$R$202,$A98,$I$3)&amp;"",1)="⚠","",MID(INDEX(인턴근무계획!$M$3:$R$202,$A98,$I$3)&amp;"",FIND(" ",INDEX(인턴근무계획!$M$3:$R$202,$A98,$I$3)&amp;"")+1,60))))</f>
        <v/>
      </c>
      <c r="K98" s="21">
        <f>IF($C98="","",INDEX(인턴근무계획!$M$3:$M$202,$A98)&amp;"")</f>
        <v/>
      </c>
      <c r="L98" s="21">
        <f>IF($C98="","",INDEX(인턴근무계획!$N$3:$N$202,$A98)&amp;"")</f>
        <v/>
      </c>
      <c r="M98" s="21">
        <f>IF($C98="","",INDEX(인턴근무계획!$O$3:$O$202,$A98)&amp;"")</f>
        <v/>
      </c>
      <c r="N98" s="21">
        <f>IF($C98="","",INDEX(인턴근무계획!$P$3:$P$202,$A98)&amp;"")</f>
        <v/>
      </c>
      <c r="O98" s="21">
        <f>IF($C98="","",INDEX(인턴근무계획!$Q$3:$Q$202,$A98)&amp;"")</f>
        <v/>
      </c>
      <c r="P98" s="21">
        <f>IF($C98="","",INDEX(인턴근무계획!$R$3:$R$202,$A98)&amp;"")</f>
        <v/>
      </c>
      <c r="Q98" s="21">
        <f>IF($C98="","",INDEX(인턴근무계획!$T$3:$T$202,$A98))</f>
        <v/>
      </c>
    </row>
    <row r="99">
      <c r="A99" s="24" t="n">
        <v>94</v>
      </c>
      <c r="B99" s="21">
        <f>IF($C99="","",INDEX(인턴근무계획!$B$3:$B$202,$A99))</f>
        <v/>
      </c>
      <c r="C99" s="21">
        <f>IFERROR(TRIM(INDEX(인턴근무계획!$C$3:$C$202,$A99)&amp;""),"")</f>
        <v/>
      </c>
      <c r="D99" s="21">
        <f>IF($C99="","",INDEX(인턴근무계획!$D$3:$D$202,$A99))</f>
        <v/>
      </c>
      <c r="E99" s="21">
        <f>IF($C99="","",IF(IFERROR(MATCH($D99,기본자료!$B$2:$B$501,0),IFERROR(MATCH($D99&amp;"",기본자료!$B$2:$B$501,0),IFERROR(MATCH(VALUE($D99),기본자료!$B$2:$B$501,0),0)))&gt;0,"확인","미등록"))</f>
        <v/>
      </c>
      <c r="F99" s="25">
        <f>IF($C99="","",INDEX(인턴근무계획!$S$3:$S$202,$A99))</f>
        <v/>
      </c>
      <c r="G99" s="21">
        <f>IF(OR($C99="",$G$3=""),"",IF(INDEX(인턴근무계획!$M$3:$R$202,$A99,$G$3)&amp;""="","",IF(LEFT(INDEX(인턴근무계획!$M$3:$R$202,$A99,$G$3)&amp;"",1)="⚠",INDEX(인턴근무계획!$M$3:$R$202,$A99,$G$3)&amp;"",LEFT(INDEX(인턴근무계획!$M$3:$R$202,$A99,$G$3)&amp;"",FIND(" ",INDEX(인턴근무계획!$M$3:$R$202,$A99,$G$3)&amp;"")-1))))</f>
        <v/>
      </c>
      <c r="H99" s="21">
        <f>IF(OR($C99="",$G$3=""),"",IF(INDEX(인턴근무계획!$M$3:$R$202,$A99,$G$3)&amp;""="","",IF(LEFT(INDEX(인턴근무계획!$M$3:$R$202,$A99,$G$3)&amp;"",1)="⚠","",MID(INDEX(인턴근무계획!$M$3:$R$202,$A99,$G$3)&amp;"",FIND(" ",INDEX(인턴근무계획!$M$3:$R$202,$A99,$G$3)&amp;"")+1,60))))</f>
        <v/>
      </c>
      <c r="I99" s="21">
        <f>IF(OR($C99="",$I$3=""),"",IF(INDEX(인턴근무계획!$M$3:$R$202,$A99,$I$3)&amp;""="","",IF(LEFT(INDEX(인턴근무계획!$M$3:$R$202,$A99,$I$3)&amp;"",1)="⚠",INDEX(인턴근무계획!$M$3:$R$202,$A99,$I$3)&amp;"",LEFT(INDEX(인턴근무계획!$M$3:$R$202,$A99,$I$3)&amp;"",FIND(" ",INDEX(인턴근무계획!$M$3:$R$202,$A99,$I$3)&amp;"")-1))))</f>
        <v/>
      </c>
      <c r="J99" s="21">
        <f>IF(OR($C99="",$I$3=""),"",IF(INDEX(인턴근무계획!$M$3:$R$202,$A99,$I$3)&amp;""="","",IF(LEFT(INDEX(인턴근무계획!$M$3:$R$202,$A99,$I$3)&amp;"",1)="⚠","",MID(INDEX(인턴근무계획!$M$3:$R$202,$A99,$I$3)&amp;"",FIND(" ",INDEX(인턴근무계획!$M$3:$R$202,$A99,$I$3)&amp;"")+1,60))))</f>
        <v/>
      </c>
      <c r="K99" s="21">
        <f>IF($C99="","",INDEX(인턴근무계획!$M$3:$M$202,$A99)&amp;"")</f>
        <v/>
      </c>
      <c r="L99" s="21">
        <f>IF($C99="","",INDEX(인턴근무계획!$N$3:$N$202,$A99)&amp;"")</f>
        <v/>
      </c>
      <c r="M99" s="21">
        <f>IF($C99="","",INDEX(인턴근무계획!$O$3:$O$202,$A99)&amp;"")</f>
        <v/>
      </c>
      <c r="N99" s="21">
        <f>IF($C99="","",INDEX(인턴근무계획!$P$3:$P$202,$A99)&amp;"")</f>
        <v/>
      </c>
      <c r="O99" s="21">
        <f>IF($C99="","",INDEX(인턴근무계획!$Q$3:$Q$202,$A99)&amp;"")</f>
        <v/>
      </c>
      <c r="P99" s="21">
        <f>IF($C99="","",INDEX(인턴근무계획!$R$3:$R$202,$A99)&amp;"")</f>
        <v/>
      </c>
      <c r="Q99" s="21">
        <f>IF($C99="","",INDEX(인턴근무계획!$T$3:$T$202,$A99))</f>
        <v/>
      </c>
    </row>
    <row r="100">
      <c r="A100" s="24" t="n">
        <v>95</v>
      </c>
      <c r="B100" s="21">
        <f>IF($C100="","",INDEX(인턴근무계획!$B$3:$B$202,$A100))</f>
        <v/>
      </c>
      <c r="C100" s="21">
        <f>IFERROR(TRIM(INDEX(인턴근무계획!$C$3:$C$202,$A100)&amp;""),"")</f>
        <v/>
      </c>
      <c r="D100" s="21">
        <f>IF($C100="","",INDEX(인턴근무계획!$D$3:$D$202,$A100))</f>
        <v/>
      </c>
      <c r="E100" s="21">
        <f>IF($C100="","",IF(IFERROR(MATCH($D100,기본자료!$B$2:$B$501,0),IFERROR(MATCH($D100&amp;"",기본자료!$B$2:$B$501,0),IFERROR(MATCH(VALUE($D100),기본자료!$B$2:$B$501,0),0)))&gt;0,"확인","미등록"))</f>
        <v/>
      </c>
      <c r="F100" s="25">
        <f>IF($C100="","",INDEX(인턴근무계획!$S$3:$S$202,$A100))</f>
        <v/>
      </c>
      <c r="G100" s="21">
        <f>IF(OR($C100="",$G$3=""),"",IF(INDEX(인턴근무계획!$M$3:$R$202,$A100,$G$3)&amp;""="","",IF(LEFT(INDEX(인턴근무계획!$M$3:$R$202,$A100,$G$3)&amp;"",1)="⚠",INDEX(인턴근무계획!$M$3:$R$202,$A100,$G$3)&amp;"",LEFT(INDEX(인턴근무계획!$M$3:$R$202,$A100,$G$3)&amp;"",FIND(" ",INDEX(인턴근무계획!$M$3:$R$202,$A100,$G$3)&amp;"")-1))))</f>
        <v/>
      </c>
      <c r="H100" s="21">
        <f>IF(OR($C100="",$G$3=""),"",IF(INDEX(인턴근무계획!$M$3:$R$202,$A100,$G$3)&amp;""="","",IF(LEFT(INDEX(인턴근무계획!$M$3:$R$202,$A100,$G$3)&amp;"",1)="⚠","",MID(INDEX(인턴근무계획!$M$3:$R$202,$A100,$G$3)&amp;"",FIND(" ",INDEX(인턴근무계획!$M$3:$R$202,$A100,$G$3)&amp;"")+1,60))))</f>
        <v/>
      </c>
      <c r="I100" s="21">
        <f>IF(OR($C100="",$I$3=""),"",IF(INDEX(인턴근무계획!$M$3:$R$202,$A100,$I$3)&amp;""="","",IF(LEFT(INDEX(인턴근무계획!$M$3:$R$202,$A100,$I$3)&amp;"",1)="⚠",INDEX(인턴근무계획!$M$3:$R$202,$A100,$I$3)&amp;"",LEFT(INDEX(인턴근무계획!$M$3:$R$202,$A100,$I$3)&amp;"",FIND(" ",INDEX(인턴근무계획!$M$3:$R$202,$A100,$I$3)&amp;"")-1))))</f>
        <v/>
      </c>
      <c r="J100" s="21">
        <f>IF(OR($C100="",$I$3=""),"",IF(INDEX(인턴근무계획!$M$3:$R$202,$A100,$I$3)&amp;""="","",IF(LEFT(INDEX(인턴근무계획!$M$3:$R$202,$A100,$I$3)&amp;"",1)="⚠","",MID(INDEX(인턴근무계획!$M$3:$R$202,$A100,$I$3)&amp;"",FIND(" ",INDEX(인턴근무계획!$M$3:$R$202,$A100,$I$3)&amp;"")+1,60))))</f>
        <v/>
      </c>
      <c r="K100" s="21">
        <f>IF($C100="","",INDEX(인턴근무계획!$M$3:$M$202,$A100)&amp;"")</f>
        <v/>
      </c>
      <c r="L100" s="21">
        <f>IF($C100="","",INDEX(인턴근무계획!$N$3:$N$202,$A100)&amp;"")</f>
        <v/>
      </c>
      <c r="M100" s="21">
        <f>IF($C100="","",INDEX(인턴근무계획!$O$3:$O$202,$A100)&amp;"")</f>
        <v/>
      </c>
      <c r="N100" s="21">
        <f>IF($C100="","",INDEX(인턴근무계획!$P$3:$P$202,$A100)&amp;"")</f>
        <v/>
      </c>
      <c r="O100" s="21">
        <f>IF($C100="","",INDEX(인턴근무계획!$Q$3:$Q$202,$A100)&amp;"")</f>
        <v/>
      </c>
      <c r="P100" s="21">
        <f>IF($C100="","",INDEX(인턴근무계획!$R$3:$R$202,$A100)&amp;"")</f>
        <v/>
      </c>
      <c r="Q100" s="21">
        <f>IF($C100="","",INDEX(인턴근무계획!$T$3:$T$202,$A100))</f>
        <v/>
      </c>
    </row>
    <row r="101">
      <c r="A101" s="24" t="n">
        <v>96</v>
      </c>
      <c r="B101" s="21">
        <f>IF($C101="","",INDEX(인턴근무계획!$B$3:$B$202,$A101))</f>
        <v/>
      </c>
      <c r="C101" s="21">
        <f>IFERROR(TRIM(INDEX(인턴근무계획!$C$3:$C$202,$A101)&amp;""),"")</f>
        <v/>
      </c>
      <c r="D101" s="21">
        <f>IF($C101="","",INDEX(인턴근무계획!$D$3:$D$202,$A101))</f>
        <v/>
      </c>
      <c r="E101" s="21">
        <f>IF($C101="","",IF(IFERROR(MATCH($D101,기본자료!$B$2:$B$501,0),IFERROR(MATCH($D101&amp;"",기본자료!$B$2:$B$501,0),IFERROR(MATCH(VALUE($D101),기본자료!$B$2:$B$501,0),0)))&gt;0,"확인","미등록"))</f>
        <v/>
      </c>
      <c r="F101" s="25">
        <f>IF($C101="","",INDEX(인턴근무계획!$S$3:$S$202,$A101))</f>
        <v/>
      </c>
      <c r="G101" s="21">
        <f>IF(OR($C101="",$G$3=""),"",IF(INDEX(인턴근무계획!$M$3:$R$202,$A101,$G$3)&amp;""="","",IF(LEFT(INDEX(인턴근무계획!$M$3:$R$202,$A101,$G$3)&amp;"",1)="⚠",INDEX(인턴근무계획!$M$3:$R$202,$A101,$G$3)&amp;"",LEFT(INDEX(인턴근무계획!$M$3:$R$202,$A101,$G$3)&amp;"",FIND(" ",INDEX(인턴근무계획!$M$3:$R$202,$A101,$G$3)&amp;"")-1))))</f>
        <v/>
      </c>
      <c r="H101" s="21">
        <f>IF(OR($C101="",$G$3=""),"",IF(INDEX(인턴근무계획!$M$3:$R$202,$A101,$G$3)&amp;""="","",IF(LEFT(INDEX(인턴근무계획!$M$3:$R$202,$A101,$G$3)&amp;"",1)="⚠","",MID(INDEX(인턴근무계획!$M$3:$R$202,$A101,$G$3)&amp;"",FIND(" ",INDEX(인턴근무계획!$M$3:$R$202,$A101,$G$3)&amp;"")+1,60))))</f>
        <v/>
      </c>
      <c r="I101" s="21">
        <f>IF(OR($C101="",$I$3=""),"",IF(INDEX(인턴근무계획!$M$3:$R$202,$A101,$I$3)&amp;""="","",IF(LEFT(INDEX(인턴근무계획!$M$3:$R$202,$A101,$I$3)&amp;"",1)="⚠",INDEX(인턴근무계획!$M$3:$R$202,$A101,$I$3)&amp;"",LEFT(INDEX(인턴근무계획!$M$3:$R$202,$A101,$I$3)&amp;"",FIND(" ",INDEX(인턴근무계획!$M$3:$R$202,$A101,$I$3)&amp;"")-1))))</f>
        <v/>
      </c>
      <c r="J101" s="21">
        <f>IF(OR($C101="",$I$3=""),"",IF(INDEX(인턴근무계획!$M$3:$R$202,$A101,$I$3)&amp;""="","",IF(LEFT(INDEX(인턴근무계획!$M$3:$R$202,$A101,$I$3)&amp;"",1)="⚠","",MID(INDEX(인턴근무계획!$M$3:$R$202,$A101,$I$3)&amp;"",FIND(" ",INDEX(인턴근무계획!$M$3:$R$202,$A101,$I$3)&amp;"")+1,60))))</f>
        <v/>
      </c>
      <c r="K101" s="21">
        <f>IF($C101="","",INDEX(인턴근무계획!$M$3:$M$202,$A101)&amp;"")</f>
        <v/>
      </c>
      <c r="L101" s="21">
        <f>IF($C101="","",INDEX(인턴근무계획!$N$3:$N$202,$A101)&amp;"")</f>
        <v/>
      </c>
      <c r="M101" s="21">
        <f>IF($C101="","",INDEX(인턴근무계획!$O$3:$O$202,$A101)&amp;"")</f>
        <v/>
      </c>
      <c r="N101" s="21">
        <f>IF($C101="","",INDEX(인턴근무계획!$P$3:$P$202,$A101)&amp;"")</f>
        <v/>
      </c>
      <c r="O101" s="21">
        <f>IF($C101="","",INDEX(인턴근무계획!$Q$3:$Q$202,$A101)&amp;"")</f>
        <v/>
      </c>
      <c r="P101" s="21">
        <f>IF($C101="","",INDEX(인턴근무계획!$R$3:$R$202,$A101)&amp;"")</f>
        <v/>
      </c>
      <c r="Q101" s="21">
        <f>IF($C101="","",INDEX(인턴근무계획!$T$3:$T$202,$A101))</f>
        <v/>
      </c>
    </row>
    <row r="102">
      <c r="A102" s="24" t="n">
        <v>97</v>
      </c>
      <c r="B102" s="21">
        <f>IF($C102="","",INDEX(인턴근무계획!$B$3:$B$202,$A102))</f>
        <v/>
      </c>
      <c r="C102" s="21">
        <f>IFERROR(TRIM(INDEX(인턴근무계획!$C$3:$C$202,$A102)&amp;""),"")</f>
        <v/>
      </c>
      <c r="D102" s="21">
        <f>IF($C102="","",INDEX(인턴근무계획!$D$3:$D$202,$A102))</f>
        <v/>
      </c>
      <c r="E102" s="21">
        <f>IF($C102="","",IF(IFERROR(MATCH($D102,기본자료!$B$2:$B$501,0),IFERROR(MATCH($D102&amp;"",기본자료!$B$2:$B$501,0),IFERROR(MATCH(VALUE($D102),기본자료!$B$2:$B$501,0),0)))&gt;0,"확인","미등록"))</f>
        <v/>
      </c>
      <c r="F102" s="25">
        <f>IF($C102="","",INDEX(인턴근무계획!$S$3:$S$202,$A102))</f>
        <v/>
      </c>
      <c r="G102" s="21">
        <f>IF(OR($C102="",$G$3=""),"",IF(INDEX(인턴근무계획!$M$3:$R$202,$A102,$G$3)&amp;""="","",IF(LEFT(INDEX(인턴근무계획!$M$3:$R$202,$A102,$G$3)&amp;"",1)="⚠",INDEX(인턴근무계획!$M$3:$R$202,$A102,$G$3)&amp;"",LEFT(INDEX(인턴근무계획!$M$3:$R$202,$A102,$G$3)&amp;"",FIND(" ",INDEX(인턴근무계획!$M$3:$R$202,$A102,$G$3)&amp;"")-1))))</f>
        <v/>
      </c>
      <c r="H102" s="21">
        <f>IF(OR($C102="",$G$3=""),"",IF(INDEX(인턴근무계획!$M$3:$R$202,$A102,$G$3)&amp;""="","",IF(LEFT(INDEX(인턴근무계획!$M$3:$R$202,$A102,$G$3)&amp;"",1)="⚠","",MID(INDEX(인턴근무계획!$M$3:$R$202,$A102,$G$3)&amp;"",FIND(" ",INDEX(인턴근무계획!$M$3:$R$202,$A102,$G$3)&amp;"")+1,60))))</f>
        <v/>
      </c>
      <c r="I102" s="21">
        <f>IF(OR($C102="",$I$3=""),"",IF(INDEX(인턴근무계획!$M$3:$R$202,$A102,$I$3)&amp;""="","",IF(LEFT(INDEX(인턴근무계획!$M$3:$R$202,$A102,$I$3)&amp;"",1)="⚠",INDEX(인턴근무계획!$M$3:$R$202,$A102,$I$3)&amp;"",LEFT(INDEX(인턴근무계획!$M$3:$R$202,$A102,$I$3)&amp;"",FIND(" ",INDEX(인턴근무계획!$M$3:$R$202,$A102,$I$3)&amp;"")-1))))</f>
        <v/>
      </c>
      <c r="J102" s="21">
        <f>IF(OR($C102="",$I$3=""),"",IF(INDEX(인턴근무계획!$M$3:$R$202,$A102,$I$3)&amp;""="","",IF(LEFT(INDEX(인턴근무계획!$M$3:$R$202,$A102,$I$3)&amp;"",1)="⚠","",MID(INDEX(인턴근무계획!$M$3:$R$202,$A102,$I$3)&amp;"",FIND(" ",INDEX(인턴근무계획!$M$3:$R$202,$A102,$I$3)&amp;"")+1,60))))</f>
        <v/>
      </c>
      <c r="K102" s="21">
        <f>IF($C102="","",INDEX(인턴근무계획!$M$3:$M$202,$A102)&amp;"")</f>
        <v/>
      </c>
      <c r="L102" s="21">
        <f>IF($C102="","",INDEX(인턴근무계획!$N$3:$N$202,$A102)&amp;"")</f>
        <v/>
      </c>
      <c r="M102" s="21">
        <f>IF($C102="","",INDEX(인턴근무계획!$O$3:$O$202,$A102)&amp;"")</f>
        <v/>
      </c>
      <c r="N102" s="21">
        <f>IF($C102="","",INDEX(인턴근무계획!$P$3:$P$202,$A102)&amp;"")</f>
        <v/>
      </c>
      <c r="O102" s="21">
        <f>IF($C102="","",INDEX(인턴근무계획!$Q$3:$Q$202,$A102)&amp;"")</f>
        <v/>
      </c>
      <c r="P102" s="21">
        <f>IF($C102="","",INDEX(인턴근무계획!$R$3:$R$202,$A102)&amp;"")</f>
        <v/>
      </c>
      <c r="Q102" s="21">
        <f>IF($C102="","",INDEX(인턴근무계획!$T$3:$T$202,$A102))</f>
        <v/>
      </c>
    </row>
    <row r="103">
      <c r="A103" s="24" t="n">
        <v>98</v>
      </c>
      <c r="B103" s="21">
        <f>IF($C103="","",INDEX(인턴근무계획!$B$3:$B$202,$A103))</f>
        <v/>
      </c>
      <c r="C103" s="21">
        <f>IFERROR(TRIM(INDEX(인턴근무계획!$C$3:$C$202,$A103)&amp;""),"")</f>
        <v/>
      </c>
      <c r="D103" s="21">
        <f>IF($C103="","",INDEX(인턴근무계획!$D$3:$D$202,$A103))</f>
        <v/>
      </c>
      <c r="E103" s="21">
        <f>IF($C103="","",IF(IFERROR(MATCH($D103,기본자료!$B$2:$B$501,0),IFERROR(MATCH($D103&amp;"",기본자료!$B$2:$B$501,0),IFERROR(MATCH(VALUE($D103),기본자료!$B$2:$B$501,0),0)))&gt;0,"확인","미등록"))</f>
        <v/>
      </c>
      <c r="F103" s="25">
        <f>IF($C103="","",INDEX(인턴근무계획!$S$3:$S$202,$A103))</f>
        <v/>
      </c>
      <c r="G103" s="21">
        <f>IF(OR($C103="",$G$3=""),"",IF(INDEX(인턴근무계획!$M$3:$R$202,$A103,$G$3)&amp;""="","",IF(LEFT(INDEX(인턴근무계획!$M$3:$R$202,$A103,$G$3)&amp;"",1)="⚠",INDEX(인턴근무계획!$M$3:$R$202,$A103,$G$3)&amp;"",LEFT(INDEX(인턴근무계획!$M$3:$R$202,$A103,$G$3)&amp;"",FIND(" ",INDEX(인턴근무계획!$M$3:$R$202,$A103,$G$3)&amp;"")-1))))</f>
        <v/>
      </c>
      <c r="H103" s="21">
        <f>IF(OR($C103="",$G$3=""),"",IF(INDEX(인턴근무계획!$M$3:$R$202,$A103,$G$3)&amp;""="","",IF(LEFT(INDEX(인턴근무계획!$M$3:$R$202,$A103,$G$3)&amp;"",1)="⚠","",MID(INDEX(인턴근무계획!$M$3:$R$202,$A103,$G$3)&amp;"",FIND(" ",INDEX(인턴근무계획!$M$3:$R$202,$A103,$G$3)&amp;"")+1,60))))</f>
        <v/>
      </c>
      <c r="I103" s="21">
        <f>IF(OR($C103="",$I$3=""),"",IF(INDEX(인턴근무계획!$M$3:$R$202,$A103,$I$3)&amp;""="","",IF(LEFT(INDEX(인턴근무계획!$M$3:$R$202,$A103,$I$3)&amp;"",1)="⚠",INDEX(인턴근무계획!$M$3:$R$202,$A103,$I$3)&amp;"",LEFT(INDEX(인턴근무계획!$M$3:$R$202,$A103,$I$3)&amp;"",FIND(" ",INDEX(인턴근무계획!$M$3:$R$202,$A103,$I$3)&amp;"")-1))))</f>
        <v/>
      </c>
      <c r="J103" s="21">
        <f>IF(OR($C103="",$I$3=""),"",IF(INDEX(인턴근무계획!$M$3:$R$202,$A103,$I$3)&amp;""="","",IF(LEFT(INDEX(인턴근무계획!$M$3:$R$202,$A103,$I$3)&amp;"",1)="⚠","",MID(INDEX(인턴근무계획!$M$3:$R$202,$A103,$I$3)&amp;"",FIND(" ",INDEX(인턴근무계획!$M$3:$R$202,$A103,$I$3)&amp;"")+1,60))))</f>
        <v/>
      </c>
      <c r="K103" s="21">
        <f>IF($C103="","",INDEX(인턴근무계획!$M$3:$M$202,$A103)&amp;"")</f>
        <v/>
      </c>
      <c r="L103" s="21">
        <f>IF($C103="","",INDEX(인턴근무계획!$N$3:$N$202,$A103)&amp;"")</f>
        <v/>
      </c>
      <c r="M103" s="21">
        <f>IF($C103="","",INDEX(인턴근무계획!$O$3:$O$202,$A103)&amp;"")</f>
        <v/>
      </c>
      <c r="N103" s="21">
        <f>IF($C103="","",INDEX(인턴근무계획!$P$3:$P$202,$A103)&amp;"")</f>
        <v/>
      </c>
      <c r="O103" s="21">
        <f>IF($C103="","",INDEX(인턴근무계획!$Q$3:$Q$202,$A103)&amp;"")</f>
        <v/>
      </c>
      <c r="P103" s="21">
        <f>IF($C103="","",INDEX(인턴근무계획!$R$3:$R$202,$A103)&amp;"")</f>
        <v/>
      </c>
      <c r="Q103" s="21">
        <f>IF($C103="","",INDEX(인턴근무계획!$T$3:$T$202,$A103))</f>
        <v/>
      </c>
    </row>
    <row r="104">
      <c r="A104" s="24" t="n">
        <v>99</v>
      </c>
      <c r="B104" s="21">
        <f>IF($C104="","",INDEX(인턴근무계획!$B$3:$B$202,$A104))</f>
        <v/>
      </c>
      <c r="C104" s="21">
        <f>IFERROR(TRIM(INDEX(인턴근무계획!$C$3:$C$202,$A104)&amp;""),"")</f>
        <v/>
      </c>
      <c r="D104" s="21">
        <f>IF($C104="","",INDEX(인턴근무계획!$D$3:$D$202,$A104))</f>
        <v/>
      </c>
      <c r="E104" s="21">
        <f>IF($C104="","",IF(IFERROR(MATCH($D104,기본자료!$B$2:$B$501,0),IFERROR(MATCH($D104&amp;"",기본자료!$B$2:$B$501,0),IFERROR(MATCH(VALUE($D104),기본자료!$B$2:$B$501,0),0)))&gt;0,"확인","미등록"))</f>
        <v/>
      </c>
      <c r="F104" s="25">
        <f>IF($C104="","",INDEX(인턴근무계획!$S$3:$S$202,$A104))</f>
        <v/>
      </c>
      <c r="G104" s="21">
        <f>IF(OR($C104="",$G$3=""),"",IF(INDEX(인턴근무계획!$M$3:$R$202,$A104,$G$3)&amp;""="","",IF(LEFT(INDEX(인턴근무계획!$M$3:$R$202,$A104,$G$3)&amp;"",1)="⚠",INDEX(인턴근무계획!$M$3:$R$202,$A104,$G$3)&amp;"",LEFT(INDEX(인턴근무계획!$M$3:$R$202,$A104,$G$3)&amp;"",FIND(" ",INDEX(인턴근무계획!$M$3:$R$202,$A104,$G$3)&amp;"")-1))))</f>
        <v/>
      </c>
      <c r="H104" s="21">
        <f>IF(OR($C104="",$G$3=""),"",IF(INDEX(인턴근무계획!$M$3:$R$202,$A104,$G$3)&amp;""="","",IF(LEFT(INDEX(인턴근무계획!$M$3:$R$202,$A104,$G$3)&amp;"",1)="⚠","",MID(INDEX(인턴근무계획!$M$3:$R$202,$A104,$G$3)&amp;"",FIND(" ",INDEX(인턴근무계획!$M$3:$R$202,$A104,$G$3)&amp;"")+1,60))))</f>
        <v/>
      </c>
      <c r="I104" s="21">
        <f>IF(OR($C104="",$I$3=""),"",IF(INDEX(인턴근무계획!$M$3:$R$202,$A104,$I$3)&amp;""="","",IF(LEFT(INDEX(인턴근무계획!$M$3:$R$202,$A104,$I$3)&amp;"",1)="⚠",INDEX(인턴근무계획!$M$3:$R$202,$A104,$I$3)&amp;"",LEFT(INDEX(인턴근무계획!$M$3:$R$202,$A104,$I$3)&amp;"",FIND(" ",INDEX(인턴근무계획!$M$3:$R$202,$A104,$I$3)&amp;"")-1))))</f>
        <v/>
      </c>
      <c r="J104" s="21">
        <f>IF(OR($C104="",$I$3=""),"",IF(INDEX(인턴근무계획!$M$3:$R$202,$A104,$I$3)&amp;""="","",IF(LEFT(INDEX(인턴근무계획!$M$3:$R$202,$A104,$I$3)&amp;"",1)="⚠","",MID(INDEX(인턴근무계획!$M$3:$R$202,$A104,$I$3)&amp;"",FIND(" ",INDEX(인턴근무계획!$M$3:$R$202,$A104,$I$3)&amp;"")+1,60))))</f>
        <v/>
      </c>
      <c r="K104" s="21">
        <f>IF($C104="","",INDEX(인턴근무계획!$M$3:$M$202,$A104)&amp;"")</f>
        <v/>
      </c>
      <c r="L104" s="21">
        <f>IF($C104="","",INDEX(인턴근무계획!$N$3:$N$202,$A104)&amp;"")</f>
        <v/>
      </c>
      <c r="M104" s="21">
        <f>IF($C104="","",INDEX(인턴근무계획!$O$3:$O$202,$A104)&amp;"")</f>
        <v/>
      </c>
      <c r="N104" s="21">
        <f>IF($C104="","",INDEX(인턴근무계획!$P$3:$P$202,$A104)&amp;"")</f>
        <v/>
      </c>
      <c r="O104" s="21">
        <f>IF($C104="","",INDEX(인턴근무계획!$Q$3:$Q$202,$A104)&amp;"")</f>
        <v/>
      </c>
      <c r="P104" s="21">
        <f>IF($C104="","",INDEX(인턴근무계획!$R$3:$R$202,$A104)&amp;"")</f>
        <v/>
      </c>
      <c r="Q104" s="21">
        <f>IF($C104="","",INDEX(인턴근무계획!$T$3:$T$202,$A104))</f>
        <v/>
      </c>
    </row>
    <row r="105">
      <c r="A105" s="24" t="n">
        <v>100</v>
      </c>
      <c r="B105" s="21">
        <f>IF($C105="","",INDEX(인턴근무계획!$B$3:$B$202,$A105))</f>
        <v/>
      </c>
      <c r="C105" s="21">
        <f>IFERROR(TRIM(INDEX(인턴근무계획!$C$3:$C$202,$A105)&amp;""),"")</f>
        <v/>
      </c>
      <c r="D105" s="21">
        <f>IF($C105="","",INDEX(인턴근무계획!$D$3:$D$202,$A105))</f>
        <v/>
      </c>
      <c r="E105" s="21">
        <f>IF($C105="","",IF(IFERROR(MATCH($D105,기본자료!$B$2:$B$501,0),IFERROR(MATCH($D105&amp;"",기본자료!$B$2:$B$501,0),IFERROR(MATCH(VALUE($D105),기본자료!$B$2:$B$501,0),0)))&gt;0,"확인","미등록"))</f>
        <v/>
      </c>
      <c r="F105" s="25">
        <f>IF($C105="","",INDEX(인턴근무계획!$S$3:$S$202,$A105))</f>
        <v/>
      </c>
      <c r="G105" s="21">
        <f>IF(OR($C105="",$G$3=""),"",IF(INDEX(인턴근무계획!$M$3:$R$202,$A105,$G$3)&amp;""="","",IF(LEFT(INDEX(인턴근무계획!$M$3:$R$202,$A105,$G$3)&amp;"",1)="⚠",INDEX(인턴근무계획!$M$3:$R$202,$A105,$G$3)&amp;"",LEFT(INDEX(인턴근무계획!$M$3:$R$202,$A105,$G$3)&amp;"",FIND(" ",INDEX(인턴근무계획!$M$3:$R$202,$A105,$G$3)&amp;"")-1))))</f>
        <v/>
      </c>
      <c r="H105" s="21">
        <f>IF(OR($C105="",$G$3=""),"",IF(INDEX(인턴근무계획!$M$3:$R$202,$A105,$G$3)&amp;""="","",IF(LEFT(INDEX(인턴근무계획!$M$3:$R$202,$A105,$G$3)&amp;"",1)="⚠","",MID(INDEX(인턴근무계획!$M$3:$R$202,$A105,$G$3)&amp;"",FIND(" ",INDEX(인턴근무계획!$M$3:$R$202,$A105,$G$3)&amp;"")+1,60))))</f>
        <v/>
      </c>
      <c r="I105" s="21">
        <f>IF(OR($C105="",$I$3=""),"",IF(INDEX(인턴근무계획!$M$3:$R$202,$A105,$I$3)&amp;""="","",IF(LEFT(INDEX(인턴근무계획!$M$3:$R$202,$A105,$I$3)&amp;"",1)="⚠",INDEX(인턴근무계획!$M$3:$R$202,$A105,$I$3)&amp;"",LEFT(INDEX(인턴근무계획!$M$3:$R$202,$A105,$I$3)&amp;"",FIND(" ",INDEX(인턴근무계획!$M$3:$R$202,$A105,$I$3)&amp;"")-1))))</f>
        <v/>
      </c>
      <c r="J105" s="21">
        <f>IF(OR($C105="",$I$3=""),"",IF(INDEX(인턴근무계획!$M$3:$R$202,$A105,$I$3)&amp;""="","",IF(LEFT(INDEX(인턴근무계획!$M$3:$R$202,$A105,$I$3)&amp;"",1)="⚠","",MID(INDEX(인턴근무계획!$M$3:$R$202,$A105,$I$3)&amp;"",FIND(" ",INDEX(인턴근무계획!$M$3:$R$202,$A105,$I$3)&amp;"")+1,60))))</f>
        <v/>
      </c>
      <c r="K105" s="21">
        <f>IF($C105="","",INDEX(인턴근무계획!$M$3:$M$202,$A105)&amp;"")</f>
        <v/>
      </c>
      <c r="L105" s="21">
        <f>IF($C105="","",INDEX(인턴근무계획!$N$3:$N$202,$A105)&amp;"")</f>
        <v/>
      </c>
      <c r="M105" s="21">
        <f>IF($C105="","",INDEX(인턴근무계획!$O$3:$O$202,$A105)&amp;"")</f>
        <v/>
      </c>
      <c r="N105" s="21">
        <f>IF($C105="","",INDEX(인턴근무계획!$P$3:$P$202,$A105)&amp;"")</f>
        <v/>
      </c>
      <c r="O105" s="21">
        <f>IF($C105="","",INDEX(인턴근무계획!$Q$3:$Q$202,$A105)&amp;"")</f>
        <v/>
      </c>
      <c r="P105" s="21">
        <f>IF($C105="","",INDEX(인턴근무계획!$R$3:$R$202,$A105)&amp;"")</f>
        <v/>
      </c>
      <c r="Q105" s="21">
        <f>IF($C105="","",INDEX(인턴근무계획!$T$3:$T$202,$A105))</f>
        <v/>
      </c>
    </row>
    <row r="106">
      <c r="A106" s="24" t="n">
        <v>101</v>
      </c>
      <c r="B106" s="21">
        <f>IF($C106="","",INDEX(인턴근무계획!$B$3:$B$202,$A106))</f>
        <v/>
      </c>
      <c r="C106" s="21">
        <f>IFERROR(TRIM(INDEX(인턴근무계획!$C$3:$C$202,$A106)&amp;""),"")</f>
        <v/>
      </c>
      <c r="D106" s="21">
        <f>IF($C106="","",INDEX(인턴근무계획!$D$3:$D$202,$A106))</f>
        <v/>
      </c>
      <c r="E106" s="21">
        <f>IF($C106="","",IF(IFERROR(MATCH($D106,기본자료!$B$2:$B$501,0),IFERROR(MATCH($D106&amp;"",기본자료!$B$2:$B$501,0),IFERROR(MATCH(VALUE($D106),기본자료!$B$2:$B$501,0),0)))&gt;0,"확인","미등록"))</f>
        <v/>
      </c>
      <c r="F106" s="25">
        <f>IF($C106="","",INDEX(인턴근무계획!$S$3:$S$202,$A106))</f>
        <v/>
      </c>
      <c r="G106" s="21">
        <f>IF(OR($C106="",$G$3=""),"",IF(INDEX(인턴근무계획!$M$3:$R$202,$A106,$G$3)&amp;""="","",IF(LEFT(INDEX(인턴근무계획!$M$3:$R$202,$A106,$G$3)&amp;"",1)="⚠",INDEX(인턴근무계획!$M$3:$R$202,$A106,$G$3)&amp;"",LEFT(INDEX(인턴근무계획!$M$3:$R$202,$A106,$G$3)&amp;"",FIND(" ",INDEX(인턴근무계획!$M$3:$R$202,$A106,$G$3)&amp;"")-1))))</f>
        <v/>
      </c>
      <c r="H106" s="21">
        <f>IF(OR($C106="",$G$3=""),"",IF(INDEX(인턴근무계획!$M$3:$R$202,$A106,$G$3)&amp;""="","",IF(LEFT(INDEX(인턴근무계획!$M$3:$R$202,$A106,$G$3)&amp;"",1)="⚠","",MID(INDEX(인턴근무계획!$M$3:$R$202,$A106,$G$3)&amp;"",FIND(" ",INDEX(인턴근무계획!$M$3:$R$202,$A106,$G$3)&amp;"")+1,60))))</f>
        <v/>
      </c>
      <c r="I106" s="21">
        <f>IF(OR($C106="",$I$3=""),"",IF(INDEX(인턴근무계획!$M$3:$R$202,$A106,$I$3)&amp;""="","",IF(LEFT(INDEX(인턴근무계획!$M$3:$R$202,$A106,$I$3)&amp;"",1)="⚠",INDEX(인턴근무계획!$M$3:$R$202,$A106,$I$3)&amp;"",LEFT(INDEX(인턴근무계획!$M$3:$R$202,$A106,$I$3)&amp;"",FIND(" ",INDEX(인턴근무계획!$M$3:$R$202,$A106,$I$3)&amp;"")-1))))</f>
        <v/>
      </c>
      <c r="J106" s="21">
        <f>IF(OR($C106="",$I$3=""),"",IF(INDEX(인턴근무계획!$M$3:$R$202,$A106,$I$3)&amp;""="","",IF(LEFT(INDEX(인턴근무계획!$M$3:$R$202,$A106,$I$3)&amp;"",1)="⚠","",MID(INDEX(인턴근무계획!$M$3:$R$202,$A106,$I$3)&amp;"",FIND(" ",INDEX(인턴근무계획!$M$3:$R$202,$A106,$I$3)&amp;"")+1,60))))</f>
        <v/>
      </c>
      <c r="K106" s="21">
        <f>IF($C106="","",INDEX(인턴근무계획!$M$3:$M$202,$A106)&amp;"")</f>
        <v/>
      </c>
      <c r="L106" s="21">
        <f>IF($C106="","",INDEX(인턴근무계획!$N$3:$N$202,$A106)&amp;"")</f>
        <v/>
      </c>
      <c r="M106" s="21">
        <f>IF($C106="","",INDEX(인턴근무계획!$O$3:$O$202,$A106)&amp;"")</f>
        <v/>
      </c>
      <c r="N106" s="21">
        <f>IF($C106="","",INDEX(인턴근무계획!$P$3:$P$202,$A106)&amp;"")</f>
        <v/>
      </c>
      <c r="O106" s="21">
        <f>IF($C106="","",INDEX(인턴근무계획!$Q$3:$Q$202,$A106)&amp;"")</f>
        <v/>
      </c>
      <c r="P106" s="21">
        <f>IF($C106="","",INDEX(인턴근무계획!$R$3:$R$202,$A106)&amp;"")</f>
        <v/>
      </c>
      <c r="Q106" s="21">
        <f>IF($C106="","",INDEX(인턴근무계획!$T$3:$T$202,$A106))</f>
        <v/>
      </c>
    </row>
    <row r="107">
      <c r="A107" s="24" t="n">
        <v>102</v>
      </c>
      <c r="B107" s="21">
        <f>IF($C107="","",INDEX(인턴근무계획!$B$3:$B$202,$A107))</f>
        <v/>
      </c>
      <c r="C107" s="21">
        <f>IFERROR(TRIM(INDEX(인턴근무계획!$C$3:$C$202,$A107)&amp;""),"")</f>
        <v/>
      </c>
      <c r="D107" s="21">
        <f>IF($C107="","",INDEX(인턴근무계획!$D$3:$D$202,$A107))</f>
        <v/>
      </c>
      <c r="E107" s="21">
        <f>IF($C107="","",IF(IFERROR(MATCH($D107,기본자료!$B$2:$B$501,0),IFERROR(MATCH($D107&amp;"",기본자료!$B$2:$B$501,0),IFERROR(MATCH(VALUE($D107),기본자료!$B$2:$B$501,0),0)))&gt;0,"확인","미등록"))</f>
        <v/>
      </c>
      <c r="F107" s="25">
        <f>IF($C107="","",INDEX(인턴근무계획!$S$3:$S$202,$A107))</f>
        <v/>
      </c>
      <c r="G107" s="21">
        <f>IF(OR($C107="",$G$3=""),"",IF(INDEX(인턴근무계획!$M$3:$R$202,$A107,$G$3)&amp;""="","",IF(LEFT(INDEX(인턴근무계획!$M$3:$R$202,$A107,$G$3)&amp;"",1)="⚠",INDEX(인턴근무계획!$M$3:$R$202,$A107,$G$3)&amp;"",LEFT(INDEX(인턴근무계획!$M$3:$R$202,$A107,$G$3)&amp;"",FIND(" ",INDEX(인턴근무계획!$M$3:$R$202,$A107,$G$3)&amp;"")-1))))</f>
        <v/>
      </c>
      <c r="H107" s="21">
        <f>IF(OR($C107="",$G$3=""),"",IF(INDEX(인턴근무계획!$M$3:$R$202,$A107,$G$3)&amp;""="","",IF(LEFT(INDEX(인턴근무계획!$M$3:$R$202,$A107,$G$3)&amp;"",1)="⚠","",MID(INDEX(인턴근무계획!$M$3:$R$202,$A107,$G$3)&amp;"",FIND(" ",INDEX(인턴근무계획!$M$3:$R$202,$A107,$G$3)&amp;"")+1,60))))</f>
        <v/>
      </c>
      <c r="I107" s="21">
        <f>IF(OR($C107="",$I$3=""),"",IF(INDEX(인턴근무계획!$M$3:$R$202,$A107,$I$3)&amp;""="","",IF(LEFT(INDEX(인턴근무계획!$M$3:$R$202,$A107,$I$3)&amp;"",1)="⚠",INDEX(인턴근무계획!$M$3:$R$202,$A107,$I$3)&amp;"",LEFT(INDEX(인턴근무계획!$M$3:$R$202,$A107,$I$3)&amp;"",FIND(" ",INDEX(인턴근무계획!$M$3:$R$202,$A107,$I$3)&amp;"")-1))))</f>
        <v/>
      </c>
      <c r="J107" s="21">
        <f>IF(OR($C107="",$I$3=""),"",IF(INDEX(인턴근무계획!$M$3:$R$202,$A107,$I$3)&amp;""="","",IF(LEFT(INDEX(인턴근무계획!$M$3:$R$202,$A107,$I$3)&amp;"",1)="⚠","",MID(INDEX(인턴근무계획!$M$3:$R$202,$A107,$I$3)&amp;"",FIND(" ",INDEX(인턴근무계획!$M$3:$R$202,$A107,$I$3)&amp;"")+1,60))))</f>
        <v/>
      </c>
      <c r="K107" s="21">
        <f>IF($C107="","",INDEX(인턴근무계획!$M$3:$M$202,$A107)&amp;"")</f>
        <v/>
      </c>
      <c r="L107" s="21">
        <f>IF($C107="","",INDEX(인턴근무계획!$N$3:$N$202,$A107)&amp;"")</f>
        <v/>
      </c>
      <c r="M107" s="21">
        <f>IF($C107="","",INDEX(인턴근무계획!$O$3:$O$202,$A107)&amp;"")</f>
        <v/>
      </c>
      <c r="N107" s="21">
        <f>IF($C107="","",INDEX(인턴근무계획!$P$3:$P$202,$A107)&amp;"")</f>
        <v/>
      </c>
      <c r="O107" s="21">
        <f>IF($C107="","",INDEX(인턴근무계획!$Q$3:$Q$202,$A107)&amp;"")</f>
        <v/>
      </c>
      <c r="P107" s="21">
        <f>IF($C107="","",INDEX(인턴근무계획!$R$3:$R$202,$A107)&amp;"")</f>
        <v/>
      </c>
      <c r="Q107" s="21">
        <f>IF($C107="","",INDEX(인턴근무계획!$T$3:$T$202,$A107))</f>
        <v/>
      </c>
    </row>
    <row r="108">
      <c r="A108" s="24" t="n">
        <v>103</v>
      </c>
      <c r="B108" s="21">
        <f>IF($C108="","",INDEX(인턴근무계획!$B$3:$B$202,$A108))</f>
        <v/>
      </c>
      <c r="C108" s="21">
        <f>IFERROR(TRIM(INDEX(인턴근무계획!$C$3:$C$202,$A108)&amp;""),"")</f>
        <v/>
      </c>
      <c r="D108" s="21">
        <f>IF($C108="","",INDEX(인턴근무계획!$D$3:$D$202,$A108))</f>
        <v/>
      </c>
      <c r="E108" s="21">
        <f>IF($C108="","",IF(IFERROR(MATCH($D108,기본자료!$B$2:$B$501,0),IFERROR(MATCH($D108&amp;"",기본자료!$B$2:$B$501,0),IFERROR(MATCH(VALUE($D108),기본자료!$B$2:$B$501,0),0)))&gt;0,"확인","미등록"))</f>
        <v/>
      </c>
      <c r="F108" s="25">
        <f>IF($C108="","",INDEX(인턴근무계획!$S$3:$S$202,$A108))</f>
        <v/>
      </c>
      <c r="G108" s="21">
        <f>IF(OR($C108="",$G$3=""),"",IF(INDEX(인턴근무계획!$M$3:$R$202,$A108,$G$3)&amp;""="","",IF(LEFT(INDEX(인턴근무계획!$M$3:$R$202,$A108,$G$3)&amp;"",1)="⚠",INDEX(인턴근무계획!$M$3:$R$202,$A108,$G$3)&amp;"",LEFT(INDEX(인턴근무계획!$M$3:$R$202,$A108,$G$3)&amp;"",FIND(" ",INDEX(인턴근무계획!$M$3:$R$202,$A108,$G$3)&amp;"")-1))))</f>
        <v/>
      </c>
      <c r="H108" s="21">
        <f>IF(OR($C108="",$G$3=""),"",IF(INDEX(인턴근무계획!$M$3:$R$202,$A108,$G$3)&amp;""="","",IF(LEFT(INDEX(인턴근무계획!$M$3:$R$202,$A108,$G$3)&amp;"",1)="⚠","",MID(INDEX(인턴근무계획!$M$3:$R$202,$A108,$G$3)&amp;"",FIND(" ",INDEX(인턴근무계획!$M$3:$R$202,$A108,$G$3)&amp;"")+1,60))))</f>
        <v/>
      </c>
      <c r="I108" s="21">
        <f>IF(OR($C108="",$I$3=""),"",IF(INDEX(인턴근무계획!$M$3:$R$202,$A108,$I$3)&amp;""="","",IF(LEFT(INDEX(인턴근무계획!$M$3:$R$202,$A108,$I$3)&amp;"",1)="⚠",INDEX(인턴근무계획!$M$3:$R$202,$A108,$I$3)&amp;"",LEFT(INDEX(인턴근무계획!$M$3:$R$202,$A108,$I$3)&amp;"",FIND(" ",INDEX(인턴근무계획!$M$3:$R$202,$A108,$I$3)&amp;"")-1))))</f>
        <v/>
      </c>
      <c r="J108" s="21">
        <f>IF(OR($C108="",$I$3=""),"",IF(INDEX(인턴근무계획!$M$3:$R$202,$A108,$I$3)&amp;""="","",IF(LEFT(INDEX(인턴근무계획!$M$3:$R$202,$A108,$I$3)&amp;"",1)="⚠","",MID(INDEX(인턴근무계획!$M$3:$R$202,$A108,$I$3)&amp;"",FIND(" ",INDEX(인턴근무계획!$M$3:$R$202,$A108,$I$3)&amp;"")+1,60))))</f>
        <v/>
      </c>
      <c r="K108" s="21">
        <f>IF($C108="","",INDEX(인턴근무계획!$M$3:$M$202,$A108)&amp;"")</f>
        <v/>
      </c>
      <c r="L108" s="21">
        <f>IF($C108="","",INDEX(인턴근무계획!$N$3:$N$202,$A108)&amp;"")</f>
        <v/>
      </c>
      <c r="M108" s="21">
        <f>IF($C108="","",INDEX(인턴근무계획!$O$3:$O$202,$A108)&amp;"")</f>
        <v/>
      </c>
      <c r="N108" s="21">
        <f>IF($C108="","",INDEX(인턴근무계획!$P$3:$P$202,$A108)&amp;"")</f>
        <v/>
      </c>
      <c r="O108" s="21">
        <f>IF($C108="","",INDEX(인턴근무계획!$Q$3:$Q$202,$A108)&amp;"")</f>
        <v/>
      </c>
      <c r="P108" s="21">
        <f>IF($C108="","",INDEX(인턴근무계획!$R$3:$R$202,$A108)&amp;"")</f>
        <v/>
      </c>
      <c r="Q108" s="21">
        <f>IF($C108="","",INDEX(인턴근무계획!$T$3:$T$202,$A108))</f>
        <v/>
      </c>
    </row>
    <row r="109">
      <c r="A109" s="24" t="n">
        <v>104</v>
      </c>
      <c r="B109" s="21">
        <f>IF($C109="","",INDEX(인턴근무계획!$B$3:$B$202,$A109))</f>
        <v/>
      </c>
      <c r="C109" s="21">
        <f>IFERROR(TRIM(INDEX(인턴근무계획!$C$3:$C$202,$A109)&amp;""),"")</f>
        <v/>
      </c>
      <c r="D109" s="21">
        <f>IF($C109="","",INDEX(인턴근무계획!$D$3:$D$202,$A109))</f>
        <v/>
      </c>
      <c r="E109" s="21">
        <f>IF($C109="","",IF(IFERROR(MATCH($D109,기본자료!$B$2:$B$501,0),IFERROR(MATCH($D109&amp;"",기본자료!$B$2:$B$501,0),IFERROR(MATCH(VALUE($D109),기본자료!$B$2:$B$501,0),0)))&gt;0,"확인","미등록"))</f>
        <v/>
      </c>
      <c r="F109" s="25">
        <f>IF($C109="","",INDEX(인턴근무계획!$S$3:$S$202,$A109))</f>
        <v/>
      </c>
      <c r="G109" s="21">
        <f>IF(OR($C109="",$G$3=""),"",IF(INDEX(인턴근무계획!$M$3:$R$202,$A109,$G$3)&amp;""="","",IF(LEFT(INDEX(인턴근무계획!$M$3:$R$202,$A109,$G$3)&amp;"",1)="⚠",INDEX(인턴근무계획!$M$3:$R$202,$A109,$G$3)&amp;"",LEFT(INDEX(인턴근무계획!$M$3:$R$202,$A109,$G$3)&amp;"",FIND(" ",INDEX(인턴근무계획!$M$3:$R$202,$A109,$G$3)&amp;"")-1))))</f>
        <v/>
      </c>
      <c r="H109" s="21">
        <f>IF(OR($C109="",$G$3=""),"",IF(INDEX(인턴근무계획!$M$3:$R$202,$A109,$G$3)&amp;""="","",IF(LEFT(INDEX(인턴근무계획!$M$3:$R$202,$A109,$G$3)&amp;"",1)="⚠","",MID(INDEX(인턴근무계획!$M$3:$R$202,$A109,$G$3)&amp;"",FIND(" ",INDEX(인턴근무계획!$M$3:$R$202,$A109,$G$3)&amp;"")+1,60))))</f>
        <v/>
      </c>
      <c r="I109" s="21">
        <f>IF(OR($C109="",$I$3=""),"",IF(INDEX(인턴근무계획!$M$3:$R$202,$A109,$I$3)&amp;""="","",IF(LEFT(INDEX(인턴근무계획!$M$3:$R$202,$A109,$I$3)&amp;"",1)="⚠",INDEX(인턴근무계획!$M$3:$R$202,$A109,$I$3)&amp;"",LEFT(INDEX(인턴근무계획!$M$3:$R$202,$A109,$I$3)&amp;"",FIND(" ",INDEX(인턴근무계획!$M$3:$R$202,$A109,$I$3)&amp;"")-1))))</f>
        <v/>
      </c>
      <c r="J109" s="21">
        <f>IF(OR($C109="",$I$3=""),"",IF(INDEX(인턴근무계획!$M$3:$R$202,$A109,$I$3)&amp;""="","",IF(LEFT(INDEX(인턴근무계획!$M$3:$R$202,$A109,$I$3)&amp;"",1)="⚠","",MID(INDEX(인턴근무계획!$M$3:$R$202,$A109,$I$3)&amp;"",FIND(" ",INDEX(인턴근무계획!$M$3:$R$202,$A109,$I$3)&amp;"")+1,60))))</f>
        <v/>
      </c>
      <c r="K109" s="21">
        <f>IF($C109="","",INDEX(인턴근무계획!$M$3:$M$202,$A109)&amp;"")</f>
        <v/>
      </c>
      <c r="L109" s="21">
        <f>IF($C109="","",INDEX(인턴근무계획!$N$3:$N$202,$A109)&amp;"")</f>
        <v/>
      </c>
      <c r="M109" s="21">
        <f>IF($C109="","",INDEX(인턴근무계획!$O$3:$O$202,$A109)&amp;"")</f>
        <v/>
      </c>
      <c r="N109" s="21">
        <f>IF($C109="","",INDEX(인턴근무계획!$P$3:$P$202,$A109)&amp;"")</f>
        <v/>
      </c>
      <c r="O109" s="21">
        <f>IF($C109="","",INDEX(인턴근무계획!$Q$3:$Q$202,$A109)&amp;"")</f>
        <v/>
      </c>
      <c r="P109" s="21">
        <f>IF($C109="","",INDEX(인턴근무계획!$R$3:$R$202,$A109)&amp;"")</f>
        <v/>
      </c>
      <c r="Q109" s="21">
        <f>IF($C109="","",INDEX(인턴근무계획!$T$3:$T$202,$A109))</f>
        <v/>
      </c>
    </row>
    <row r="110">
      <c r="A110" s="24" t="n">
        <v>105</v>
      </c>
      <c r="B110" s="21">
        <f>IF($C110="","",INDEX(인턴근무계획!$B$3:$B$202,$A110))</f>
        <v/>
      </c>
      <c r="C110" s="21">
        <f>IFERROR(TRIM(INDEX(인턴근무계획!$C$3:$C$202,$A110)&amp;""),"")</f>
        <v/>
      </c>
      <c r="D110" s="21">
        <f>IF($C110="","",INDEX(인턴근무계획!$D$3:$D$202,$A110))</f>
        <v/>
      </c>
      <c r="E110" s="21">
        <f>IF($C110="","",IF(IFERROR(MATCH($D110,기본자료!$B$2:$B$501,0),IFERROR(MATCH($D110&amp;"",기본자료!$B$2:$B$501,0),IFERROR(MATCH(VALUE($D110),기본자료!$B$2:$B$501,0),0)))&gt;0,"확인","미등록"))</f>
        <v/>
      </c>
      <c r="F110" s="25">
        <f>IF($C110="","",INDEX(인턴근무계획!$S$3:$S$202,$A110))</f>
        <v/>
      </c>
      <c r="G110" s="21">
        <f>IF(OR($C110="",$G$3=""),"",IF(INDEX(인턴근무계획!$M$3:$R$202,$A110,$G$3)&amp;""="","",IF(LEFT(INDEX(인턴근무계획!$M$3:$R$202,$A110,$G$3)&amp;"",1)="⚠",INDEX(인턴근무계획!$M$3:$R$202,$A110,$G$3)&amp;"",LEFT(INDEX(인턴근무계획!$M$3:$R$202,$A110,$G$3)&amp;"",FIND(" ",INDEX(인턴근무계획!$M$3:$R$202,$A110,$G$3)&amp;"")-1))))</f>
        <v/>
      </c>
      <c r="H110" s="21">
        <f>IF(OR($C110="",$G$3=""),"",IF(INDEX(인턴근무계획!$M$3:$R$202,$A110,$G$3)&amp;""="","",IF(LEFT(INDEX(인턴근무계획!$M$3:$R$202,$A110,$G$3)&amp;"",1)="⚠","",MID(INDEX(인턴근무계획!$M$3:$R$202,$A110,$G$3)&amp;"",FIND(" ",INDEX(인턴근무계획!$M$3:$R$202,$A110,$G$3)&amp;"")+1,60))))</f>
        <v/>
      </c>
      <c r="I110" s="21">
        <f>IF(OR($C110="",$I$3=""),"",IF(INDEX(인턴근무계획!$M$3:$R$202,$A110,$I$3)&amp;""="","",IF(LEFT(INDEX(인턴근무계획!$M$3:$R$202,$A110,$I$3)&amp;"",1)="⚠",INDEX(인턴근무계획!$M$3:$R$202,$A110,$I$3)&amp;"",LEFT(INDEX(인턴근무계획!$M$3:$R$202,$A110,$I$3)&amp;"",FIND(" ",INDEX(인턴근무계획!$M$3:$R$202,$A110,$I$3)&amp;"")-1))))</f>
        <v/>
      </c>
      <c r="J110" s="21">
        <f>IF(OR($C110="",$I$3=""),"",IF(INDEX(인턴근무계획!$M$3:$R$202,$A110,$I$3)&amp;""="","",IF(LEFT(INDEX(인턴근무계획!$M$3:$R$202,$A110,$I$3)&amp;"",1)="⚠","",MID(INDEX(인턴근무계획!$M$3:$R$202,$A110,$I$3)&amp;"",FIND(" ",INDEX(인턴근무계획!$M$3:$R$202,$A110,$I$3)&amp;"")+1,60))))</f>
        <v/>
      </c>
      <c r="K110" s="21">
        <f>IF($C110="","",INDEX(인턴근무계획!$M$3:$M$202,$A110)&amp;"")</f>
        <v/>
      </c>
      <c r="L110" s="21">
        <f>IF($C110="","",INDEX(인턴근무계획!$N$3:$N$202,$A110)&amp;"")</f>
        <v/>
      </c>
      <c r="M110" s="21">
        <f>IF($C110="","",INDEX(인턴근무계획!$O$3:$O$202,$A110)&amp;"")</f>
        <v/>
      </c>
      <c r="N110" s="21">
        <f>IF($C110="","",INDEX(인턴근무계획!$P$3:$P$202,$A110)&amp;"")</f>
        <v/>
      </c>
      <c r="O110" s="21">
        <f>IF($C110="","",INDEX(인턴근무계획!$Q$3:$Q$202,$A110)&amp;"")</f>
        <v/>
      </c>
      <c r="P110" s="21">
        <f>IF($C110="","",INDEX(인턴근무계획!$R$3:$R$202,$A110)&amp;"")</f>
        <v/>
      </c>
      <c r="Q110" s="21">
        <f>IF($C110="","",INDEX(인턴근무계획!$T$3:$T$202,$A110))</f>
        <v/>
      </c>
    </row>
    <row r="111">
      <c r="A111" s="24" t="n">
        <v>106</v>
      </c>
      <c r="B111" s="21">
        <f>IF($C111="","",INDEX(인턴근무계획!$B$3:$B$202,$A111))</f>
        <v/>
      </c>
      <c r="C111" s="21">
        <f>IFERROR(TRIM(INDEX(인턴근무계획!$C$3:$C$202,$A111)&amp;""),"")</f>
        <v/>
      </c>
      <c r="D111" s="21">
        <f>IF($C111="","",INDEX(인턴근무계획!$D$3:$D$202,$A111))</f>
        <v/>
      </c>
      <c r="E111" s="21">
        <f>IF($C111="","",IF(IFERROR(MATCH($D111,기본자료!$B$2:$B$501,0),IFERROR(MATCH($D111&amp;"",기본자료!$B$2:$B$501,0),IFERROR(MATCH(VALUE($D111),기본자료!$B$2:$B$501,0),0)))&gt;0,"확인","미등록"))</f>
        <v/>
      </c>
      <c r="F111" s="25">
        <f>IF($C111="","",INDEX(인턴근무계획!$S$3:$S$202,$A111))</f>
        <v/>
      </c>
      <c r="G111" s="21">
        <f>IF(OR($C111="",$G$3=""),"",IF(INDEX(인턴근무계획!$M$3:$R$202,$A111,$G$3)&amp;""="","",IF(LEFT(INDEX(인턴근무계획!$M$3:$R$202,$A111,$G$3)&amp;"",1)="⚠",INDEX(인턴근무계획!$M$3:$R$202,$A111,$G$3)&amp;"",LEFT(INDEX(인턴근무계획!$M$3:$R$202,$A111,$G$3)&amp;"",FIND(" ",INDEX(인턴근무계획!$M$3:$R$202,$A111,$G$3)&amp;"")-1))))</f>
        <v/>
      </c>
      <c r="H111" s="21">
        <f>IF(OR($C111="",$G$3=""),"",IF(INDEX(인턴근무계획!$M$3:$R$202,$A111,$G$3)&amp;""="","",IF(LEFT(INDEX(인턴근무계획!$M$3:$R$202,$A111,$G$3)&amp;"",1)="⚠","",MID(INDEX(인턴근무계획!$M$3:$R$202,$A111,$G$3)&amp;"",FIND(" ",INDEX(인턴근무계획!$M$3:$R$202,$A111,$G$3)&amp;"")+1,60))))</f>
        <v/>
      </c>
      <c r="I111" s="21">
        <f>IF(OR($C111="",$I$3=""),"",IF(INDEX(인턴근무계획!$M$3:$R$202,$A111,$I$3)&amp;""="","",IF(LEFT(INDEX(인턴근무계획!$M$3:$R$202,$A111,$I$3)&amp;"",1)="⚠",INDEX(인턴근무계획!$M$3:$R$202,$A111,$I$3)&amp;"",LEFT(INDEX(인턴근무계획!$M$3:$R$202,$A111,$I$3)&amp;"",FIND(" ",INDEX(인턴근무계획!$M$3:$R$202,$A111,$I$3)&amp;"")-1))))</f>
        <v/>
      </c>
      <c r="J111" s="21">
        <f>IF(OR($C111="",$I$3=""),"",IF(INDEX(인턴근무계획!$M$3:$R$202,$A111,$I$3)&amp;""="","",IF(LEFT(INDEX(인턴근무계획!$M$3:$R$202,$A111,$I$3)&amp;"",1)="⚠","",MID(INDEX(인턴근무계획!$M$3:$R$202,$A111,$I$3)&amp;"",FIND(" ",INDEX(인턴근무계획!$M$3:$R$202,$A111,$I$3)&amp;"")+1,60))))</f>
        <v/>
      </c>
      <c r="K111" s="21">
        <f>IF($C111="","",INDEX(인턴근무계획!$M$3:$M$202,$A111)&amp;"")</f>
        <v/>
      </c>
      <c r="L111" s="21">
        <f>IF($C111="","",INDEX(인턴근무계획!$N$3:$N$202,$A111)&amp;"")</f>
        <v/>
      </c>
      <c r="M111" s="21">
        <f>IF($C111="","",INDEX(인턴근무계획!$O$3:$O$202,$A111)&amp;"")</f>
        <v/>
      </c>
      <c r="N111" s="21">
        <f>IF($C111="","",INDEX(인턴근무계획!$P$3:$P$202,$A111)&amp;"")</f>
        <v/>
      </c>
      <c r="O111" s="21">
        <f>IF($C111="","",INDEX(인턴근무계획!$Q$3:$Q$202,$A111)&amp;"")</f>
        <v/>
      </c>
      <c r="P111" s="21">
        <f>IF($C111="","",INDEX(인턴근무계획!$R$3:$R$202,$A111)&amp;"")</f>
        <v/>
      </c>
      <c r="Q111" s="21">
        <f>IF($C111="","",INDEX(인턴근무계획!$T$3:$T$202,$A111))</f>
        <v/>
      </c>
    </row>
    <row r="112">
      <c r="A112" s="24" t="n">
        <v>107</v>
      </c>
      <c r="B112" s="21">
        <f>IF($C112="","",INDEX(인턴근무계획!$B$3:$B$202,$A112))</f>
        <v/>
      </c>
      <c r="C112" s="21">
        <f>IFERROR(TRIM(INDEX(인턴근무계획!$C$3:$C$202,$A112)&amp;""),"")</f>
        <v/>
      </c>
      <c r="D112" s="21">
        <f>IF($C112="","",INDEX(인턴근무계획!$D$3:$D$202,$A112))</f>
        <v/>
      </c>
      <c r="E112" s="21">
        <f>IF($C112="","",IF(IFERROR(MATCH($D112,기본자료!$B$2:$B$501,0),IFERROR(MATCH($D112&amp;"",기본자료!$B$2:$B$501,0),IFERROR(MATCH(VALUE($D112),기본자료!$B$2:$B$501,0),0)))&gt;0,"확인","미등록"))</f>
        <v/>
      </c>
      <c r="F112" s="25">
        <f>IF($C112="","",INDEX(인턴근무계획!$S$3:$S$202,$A112))</f>
        <v/>
      </c>
      <c r="G112" s="21">
        <f>IF(OR($C112="",$G$3=""),"",IF(INDEX(인턴근무계획!$M$3:$R$202,$A112,$G$3)&amp;""="","",IF(LEFT(INDEX(인턴근무계획!$M$3:$R$202,$A112,$G$3)&amp;"",1)="⚠",INDEX(인턴근무계획!$M$3:$R$202,$A112,$G$3)&amp;"",LEFT(INDEX(인턴근무계획!$M$3:$R$202,$A112,$G$3)&amp;"",FIND(" ",INDEX(인턴근무계획!$M$3:$R$202,$A112,$G$3)&amp;"")-1))))</f>
        <v/>
      </c>
      <c r="H112" s="21">
        <f>IF(OR($C112="",$G$3=""),"",IF(INDEX(인턴근무계획!$M$3:$R$202,$A112,$G$3)&amp;""="","",IF(LEFT(INDEX(인턴근무계획!$M$3:$R$202,$A112,$G$3)&amp;"",1)="⚠","",MID(INDEX(인턴근무계획!$M$3:$R$202,$A112,$G$3)&amp;"",FIND(" ",INDEX(인턴근무계획!$M$3:$R$202,$A112,$G$3)&amp;"")+1,60))))</f>
        <v/>
      </c>
      <c r="I112" s="21">
        <f>IF(OR($C112="",$I$3=""),"",IF(INDEX(인턴근무계획!$M$3:$R$202,$A112,$I$3)&amp;""="","",IF(LEFT(INDEX(인턴근무계획!$M$3:$R$202,$A112,$I$3)&amp;"",1)="⚠",INDEX(인턴근무계획!$M$3:$R$202,$A112,$I$3)&amp;"",LEFT(INDEX(인턴근무계획!$M$3:$R$202,$A112,$I$3)&amp;"",FIND(" ",INDEX(인턴근무계획!$M$3:$R$202,$A112,$I$3)&amp;"")-1))))</f>
        <v/>
      </c>
      <c r="J112" s="21">
        <f>IF(OR($C112="",$I$3=""),"",IF(INDEX(인턴근무계획!$M$3:$R$202,$A112,$I$3)&amp;""="","",IF(LEFT(INDEX(인턴근무계획!$M$3:$R$202,$A112,$I$3)&amp;"",1)="⚠","",MID(INDEX(인턴근무계획!$M$3:$R$202,$A112,$I$3)&amp;"",FIND(" ",INDEX(인턴근무계획!$M$3:$R$202,$A112,$I$3)&amp;"")+1,60))))</f>
        <v/>
      </c>
      <c r="K112" s="21">
        <f>IF($C112="","",INDEX(인턴근무계획!$M$3:$M$202,$A112)&amp;"")</f>
        <v/>
      </c>
      <c r="L112" s="21">
        <f>IF($C112="","",INDEX(인턴근무계획!$N$3:$N$202,$A112)&amp;"")</f>
        <v/>
      </c>
      <c r="M112" s="21">
        <f>IF($C112="","",INDEX(인턴근무계획!$O$3:$O$202,$A112)&amp;"")</f>
        <v/>
      </c>
      <c r="N112" s="21">
        <f>IF($C112="","",INDEX(인턴근무계획!$P$3:$P$202,$A112)&amp;"")</f>
        <v/>
      </c>
      <c r="O112" s="21">
        <f>IF($C112="","",INDEX(인턴근무계획!$Q$3:$Q$202,$A112)&amp;"")</f>
        <v/>
      </c>
      <c r="P112" s="21">
        <f>IF($C112="","",INDEX(인턴근무계획!$R$3:$R$202,$A112)&amp;"")</f>
        <v/>
      </c>
      <c r="Q112" s="21">
        <f>IF($C112="","",INDEX(인턴근무계획!$T$3:$T$202,$A112))</f>
        <v/>
      </c>
    </row>
    <row r="113">
      <c r="A113" s="24" t="n">
        <v>108</v>
      </c>
      <c r="B113" s="21">
        <f>IF($C113="","",INDEX(인턴근무계획!$B$3:$B$202,$A113))</f>
        <v/>
      </c>
      <c r="C113" s="21">
        <f>IFERROR(TRIM(INDEX(인턴근무계획!$C$3:$C$202,$A113)&amp;""),"")</f>
        <v/>
      </c>
      <c r="D113" s="21">
        <f>IF($C113="","",INDEX(인턴근무계획!$D$3:$D$202,$A113))</f>
        <v/>
      </c>
      <c r="E113" s="21">
        <f>IF($C113="","",IF(IFERROR(MATCH($D113,기본자료!$B$2:$B$501,0),IFERROR(MATCH($D113&amp;"",기본자료!$B$2:$B$501,0),IFERROR(MATCH(VALUE($D113),기본자료!$B$2:$B$501,0),0)))&gt;0,"확인","미등록"))</f>
        <v/>
      </c>
      <c r="F113" s="25">
        <f>IF($C113="","",INDEX(인턴근무계획!$S$3:$S$202,$A113))</f>
        <v/>
      </c>
      <c r="G113" s="21">
        <f>IF(OR($C113="",$G$3=""),"",IF(INDEX(인턴근무계획!$M$3:$R$202,$A113,$G$3)&amp;""="","",IF(LEFT(INDEX(인턴근무계획!$M$3:$R$202,$A113,$G$3)&amp;"",1)="⚠",INDEX(인턴근무계획!$M$3:$R$202,$A113,$G$3)&amp;"",LEFT(INDEX(인턴근무계획!$M$3:$R$202,$A113,$G$3)&amp;"",FIND(" ",INDEX(인턴근무계획!$M$3:$R$202,$A113,$G$3)&amp;"")-1))))</f>
        <v/>
      </c>
      <c r="H113" s="21">
        <f>IF(OR($C113="",$G$3=""),"",IF(INDEX(인턴근무계획!$M$3:$R$202,$A113,$G$3)&amp;""="","",IF(LEFT(INDEX(인턴근무계획!$M$3:$R$202,$A113,$G$3)&amp;"",1)="⚠","",MID(INDEX(인턴근무계획!$M$3:$R$202,$A113,$G$3)&amp;"",FIND(" ",INDEX(인턴근무계획!$M$3:$R$202,$A113,$G$3)&amp;"")+1,60))))</f>
        <v/>
      </c>
      <c r="I113" s="21">
        <f>IF(OR($C113="",$I$3=""),"",IF(INDEX(인턴근무계획!$M$3:$R$202,$A113,$I$3)&amp;""="","",IF(LEFT(INDEX(인턴근무계획!$M$3:$R$202,$A113,$I$3)&amp;"",1)="⚠",INDEX(인턴근무계획!$M$3:$R$202,$A113,$I$3)&amp;"",LEFT(INDEX(인턴근무계획!$M$3:$R$202,$A113,$I$3)&amp;"",FIND(" ",INDEX(인턴근무계획!$M$3:$R$202,$A113,$I$3)&amp;"")-1))))</f>
        <v/>
      </c>
      <c r="J113" s="21">
        <f>IF(OR($C113="",$I$3=""),"",IF(INDEX(인턴근무계획!$M$3:$R$202,$A113,$I$3)&amp;""="","",IF(LEFT(INDEX(인턴근무계획!$M$3:$R$202,$A113,$I$3)&amp;"",1)="⚠","",MID(INDEX(인턴근무계획!$M$3:$R$202,$A113,$I$3)&amp;"",FIND(" ",INDEX(인턴근무계획!$M$3:$R$202,$A113,$I$3)&amp;"")+1,60))))</f>
        <v/>
      </c>
      <c r="K113" s="21">
        <f>IF($C113="","",INDEX(인턴근무계획!$M$3:$M$202,$A113)&amp;"")</f>
        <v/>
      </c>
      <c r="L113" s="21">
        <f>IF($C113="","",INDEX(인턴근무계획!$N$3:$N$202,$A113)&amp;"")</f>
        <v/>
      </c>
      <c r="M113" s="21">
        <f>IF($C113="","",INDEX(인턴근무계획!$O$3:$O$202,$A113)&amp;"")</f>
        <v/>
      </c>
      <c r="N113" s="21">
        <f>IF($C113="","",INDEX(인턴근무계획!$P$3:$P$202,$A113)&amp;"")</f>
        <v/>
      </c>
      <c r="O113" s="21">
        <f>IF($C113="","",INDEX(인턴근무계획!$Q$3:$Q$202,$A113)&amp;"")</f>
        <v/>
      </c>
      <c r="P113" s="21">
        <f>IF($C113="","",INDEX(인턴근무계획!$R$3:$R$202,$A113)&amp;"")</f>
        <v/>
      </c>
      <c r="Q113" s="21">
        <f>IF($C113="","",INDEX(인턴근무계획!$T$3:$T$202,$A113))</f>
        <v/>
      </c>
    </row>
    <row r="114">
      <c r="A114" s="24" t="n">
        <v>109</v>
      </c>
      <c r="B114" s="21">
        <f>IF($C114="","",INDEX(인턴근무계획!$B$3:$B$202,$A114))</f>
        <v/>
      </c>
      <c r="C114" s="21">
        <f>IFERROR(TRIM(INDEX(인턴근무계획!$C$3:$C$202,$A114)&amp;""),"")</f>
        <v/>
      </c>
      <c r="D114" s="21">
        <f>IF($C114="","",INDEX(인턴근무계획!$D$3:$D$202,$A114))</f>
        <v/>
      </c>
      <c r="E114" s="21">
        <f>IF($C114="","",IF(IFERROR(MATCH($D114,기본자료!$B$2:$B$501,0),IFERROR(MATCH($D114&amp;"",기본자료!$B$2:$B$501,0),IFERROR(MATCH(VALUE($D114),기본자료!$B$2:$B$501,0),0)))&gt;0,"확인","미등록"))</f>
        <v/>
      </c>
      <c r="F114" s="25">
        <f>IF($C114="","",INDEX(인턴근무계획!$S$3:$S$202,$A114))</f>
        <v/>
      </c>
      <c r="G114" s="21">
        <f>IF(OR($C114="",$G$3=""),"",IF(INDEX(인턴근무계획!$M$3:$R$202,$A114,$G$3)&amp;""="","",IF(LEFT(INDEX(인턴근무계획!$M$3:$R$202,$A114,$G$3)&amp;"",1)="⚠",INDEX(인턴근무계획!$M$3:$R$202,$A114,$G$3)&amp;"",LEFT(INDEX(인턴근무계획!$M$3:$R$202,$A114,$G$3)&amp;"",FIND(" ",INDEX(인턴근무계획!$M$3:$R$202,$A114,$G$3)&amp;"")-1))))</f>
        <v/>
      </c>
      <c r="H114" s="21">
        <f>IF(OR($C114="",$G$3=""),"",IF(INDEX(인턴근무계획!$M$3:$R$202,$A114,$G$3)&amp;""="","",IF(LEFT(INDEX(인턴근무계획!$M$3:$R$202,$A114,$G$3)&amp;"",1)="⚠","",MID(INDEX(인턴근무계획!$M$3:$R$202,$A114,$G$3)&amp;"",FIND(" ",INDEX(인턴근무계획!$M$3:$R$202,$A114,$G$3)&amp;"")+1,60))))</f>
        <v/>
      </c>
      <c r="I114" s="21">
        <f>IF(OR($C114="",$I$3=""),"",IF(INDEX(인턴근무계획!$M$3:$R$202,$A114,$I$3)&amp;""="","",IF(LEFT(INDEX(인턴근무계획!$M$3:$R$202,$A114,$I$3)&amp;"",1)="⚠",INDEX(인턴근무계획!$M$3:$R$202,$A114,$I$3)&amp;"",LEFT(INDEX(인턴근무계획!$M$3:$R$202,$A114,$I$3)&amp;"",FIND(" ",INDEX(인턴근무계획!$M$3:$R$202,$A114,$I$3)&amp;"")-1))))</f>
        <v/>
      </c>
      <c r="J114" s="21">
        <f>IF(OR($C114="",$I$3=""),"",IF(INDEX(인턴근무계획!$M$3:$R$202,$A114,$I$3)&amp;""="","",IF(LEFT(INDEX(인턴근무계획!$M$3:$R$202,$A114,$I$3)&amp;"",1)="⚠","",MID(INDEX(인턴근무계획!$M$3:$R$202,$A114,$I$3)&amp;"",FIND(" ",INDEX(인턴근무계획!$M$3:$R$202,$A114,$I$3)&amp;"")+1,60))))</f>
        <v/>
      </c>
      <c r="K114" s="21">
        <f>IF($C114="","",INDEX(인턴근무계획!$M$3:$M$202,$A114)&amp;"")</f>
        <v/>
      </c>
      <c r="L114" s="21">
        <f>IF($C114="","",INDEX(인턴근무계획!$N$3:$N$202,$A114)&amp;"")</f>
        <v/>
      </c>
      <c r="M114" s="21">
        <f>IF($C114="","",INDEX(인턴근무계획!$O$3:$O$202,$A114)&amp;"")</f>
        <v/>
      </c>
      <c r="N114" s="21">
        <f>IF($C114="","",INDEX(인턴근무계획!$P$3:$P$202,$A114)&amp;"")</f>
        <v/>
      </c>
      <c r="O114" s="21">
        <f>IF($C114="","",INDEX(인턴근무계획!$Q$3:$Q$202,$A114)&amp;"")</f>
        <v/>
      </c>
      <c r="P114" s="21">
        <f>IF($C114="","",INDEX(인턴근무계획!$R$3:$R$202,$A114)&amp;"")</f>
        <v/>
      </c>
      <c r="Q114" s="21">
        <f>IF($C114="","",INDEX(인턴근무계획!$T$3:$T$202,$A114))</f>
        <v/>
      </c>
    </row>
    <row r="115">
      <c r="A115" s="24" t="n">
        <v>110</v>
      </c>
      <c r="B115" s="21">
        <f>IF($C115="","",INDEX(인턴근무계획!$B$3:$B$202,$A115))</f>
        <v/>
      </c>
      <c r="C115" s="21">
        <f>IFERROR(TRIM(INDEX(인턴근무계획!$C$3:$C$202,$A115)&amp;""),"")</f>
        <v/>
      </c>
      <c r="D115" s="21">
        <f>IF($C115="","",INDEX(인턴근무계획!$D$3:$D$202,$A115))</f>
        <v/>
      </c>
      <c r="E115" s="21">
        <f>IF($C115="","",IF(IFERROR(MATCH($D115,기본자료!$B$2:$B$501,0),IFERROR(MATCH($D115&amp;"",기본자료!$B$2:$B$501,0),IFERROR(MATCH(VALUE($D115),기본자료!$B$2:$B$501,0),0)))&gt;0,"확인","미등록"))</f>
        <v/>
      </c>
      <c r="F115" s="25">
        <f>IF($C115="","",INDEX(인턴근무계획!$S$3:$S$202,$A115))</f>
        <v/>
      </c>
      <c r="G115" s="21">
        <f>IF(OR($C115="",$G$3=""),"",IF(INDEX(인턴근무계획!$M$3:$R$202,$A115,$G$3)&amp;""="","",IF(LEFT(INDEX(인턴근무계획!$M$3:$R$202,$A115,$G$3)&amp;"",1)="⚠",INDEX(인턴근무계획!$M$3:$R$202,$A115,$G$3)&amp;"",LEFT(INDEX(인턴근무계획!$M$3:$R$202,$A115,$G$3)&amp;"",FIND(" ",INDEX(인턴근무계획!$M$3:$R$202,$A115,$G$3)&amp;"")-1))))</f>
        <v/>
      </c>
      <c r="H115" s="21">
        <f>IF(OR($C115="",$G$3=""),"",IF(INDEX(인턴근무계획!$M$3:$R$202,$A115,$G$3)&amp;""="","",IF(LEFT(INDEX(인턴근무계획!$M$3:$R$202,$A115,$G$3)&amp;"",1)="⚠","",MID(INDEX(인턴근무계획!$M$3:$R$202,$A115,$G$3)&amp;"",FIND(" ",INDEX(인턴근무계획!$M$3:$R$202,$A115,$G$3)&amp;"")+1,60))))</f>
        <v/>
      </c>
      <c r="I115" s="21">
        <f>IF(OR($C115="",$I$3=""),"",IF(INDEX(인턴근무계획!$M$3:$R$202,$A115,$I$3)&amp;""="","",IF(LEFT(INDEX(인턴근무계획!$M$3:$R$202,$A115,$I$3)&amp;"",1)="⚠",INDEX(인턴근무계획!$M$3:$R$202,$A115,$I$3)&amp;"",LEFT(INDEX(인턴근무계획!$M$3:$R$202,$A115,$I$3)&amp;"",FIND(" ",INDEX(인턴근무계획!$M$3:$R$202,$A115,$I$3)&amp;"")-1))))</f>
        <v/>
      </c>
      <c r="J115" s="21">
        <f>IF(OR($C115="",$I$3=""),"",IF(INDEX(인턴근무계획!$M$3:$R$202,$A115,$I$3)&amp;""="","",IF(LEFT(INDEX(인턴근무계획!$M$3:$R$202,$A115,$I$3)&amp;"",1)="⚠","",MID(INDEX(인턴근무계획!$M$3:$R$202,$A115,$I$3)&amp;"",FIND(" ",INDEX(인턴근무계획!$M$3:$R$202,$A115,$I$3)&amp;"")+1,60))))</f>
        <v/>
      </c>
      <c r="K115" s="21">
        <f>IF($C115="","",INDEX(인턴근무계획!$M$3:$M$202,$A115)&amp;"")</f>
        <v/>
      </c>
      <c r="L115" s="21">
        <f>IF($C115="","",INDEX(인턴근무계획!$N$3:$N$202,$A115)&amp;"")</f>
        <v/>
      </c>
      <c r="M115" s="21">
        <f>IF($C115="","",INDEX(인턴근무계획!$O$3:$O$202,$A115)&amp;"")</f>
        <v/>
      </c>
      <c r="N115" s="21">
        <f>IF($C115="","",INDEX(인턴근무계획!$P$3:$P$202,$A115)&amp;"")</f>
        <v/>
      </c>
      <c r="O115" s="21">
        <f>IF($C115="","",INDEX(인턴근무계획!$Q$3:$Q$202,$A115)&amp;"")</f>
        <v/>
      </c>
      <c r="P115" s="21">
        <f>IF($C115="","",INDEX(인턴근무계획!$R$3:$R$202,$A115)&amp;"")</f>
        <v/>
      </c>
      <c r="Q115" s="21">
        <f>IF($C115="","",INDEX(인턴근무계획!$T$3:$T$202,$A115))</f>
        <v/>
      </c>
    </row>
    <row r="116">
      <c r="A116" s="24" t="n">
        <v>111</v>
      </c>
      <c r="B116" s="21">
        <f>IF($C116="","",INDEX(인턴근무계획!$B$3:$B$202,$A116))</f>
        <v/>
      </c>
      <c r="C116" s="21">
        <f>IFERROR(TRIM(INDEX(인턴근무계획!$C$3:$C$202,$A116)&amp;""),"")</f>
        <v/>
      </c>
      <c r="D116" s="21">
        <f>IF($C116="","",INDEX(인턴근무계획!$D$3:$D$202,$A116))</f>
        <v/>
      </c>
      <c r="E116" s="21">
        <f>IF($C116="","",IF(IFERROR(MATCH($D116,기본자료!$B$2:$B$501,0),IFERROR(MATCH($D116&amp;"",기본자료!$B$2:$B$501,0),IFERROR(MATCH(VALUE($D116),기본자료!$B$2:$B$501,0),0)))&gt;0,"확인","미등록"))</f>
        <v/>
      </c>
      <c r="F116" s="25">
        <f>IF($C116="","",INDEX(인턴근무계획!$S$3:$S$202,$A116))</f>
        <v/>
      </c>
      <c r="G116" s="21">
        <f>IF(OR($C116="",$G$3=""),"",IF(INDEX(인턴근무계획!$M$3:$R$202,$A116,$G$3)&amp;""="","",IF(LEFT(INDEX(인턴근무계획!$M$3:$R$202,$A116,$G$3)&amp;"",1)="⚠",INDEX(인턴근무계획!$M$3:$R$202,$A116,$G$3)&amp;"",LEFT(INDEX(인턴근무계획!$M$3:$R$202,$A116,$G$3)&amp;"",FIND(" ",INDEX(인턴근무계획!$M$3:$R$202,$A116,$G$3)&amp;"")-1))))</f>
        <v/>
      </c>
      <c r="H116" s="21">
        <f>IF(OR($C116="",$G$3=""),"",IF(INDEX(인턴근무계획!$M$3:$R$202,$A116,$G$3)&amp;""="","",IF(LEFT(INDEX(인턴근무계획!$M$3:$R$202,$A116,$G$3)&amp;"",1)="⚠","",MID(INDEX(인턴근무계획!$M$3:$R$202,$A116,$G$3)&amp;"",FIND(" ",INDEX(인턴근무계획!$M$3:$R$202,$A116,$G$3)&amp;"")+1,60))))</f>
        <v/>
      </c>
      <c r="I116" s="21">
        <f>IF(OR($C116="",$I$3=""),"",IF(INDEX(인턴근무계획!$M$3:$R$202,$A116,$I$3)&amp;""="","",IF(LEFT(INDEX(인턴근무계획!$M$3:$R$202,$A116,$I$3)&amp;"",1)="⚠",INDEX(인턴근무계획!$M$3:$R$202,$A116,$I$3)&amp;"",LEFT(INDEX(인턴근무계획!$M$3:$R$202,$A116,$I$3)&amp;"",FIND(" ",INDEX(인턴근무계획!$M$3:$R$202,$A116,$I$3)&amp;"")-1))))</f>
        <v/>
      </c>
      <c r="J116" s="21">
        <f>IF(OR($C116="",$I$3=""),"",IF(INDEX(인턴근무계획!$M$3:$R$202,$A116,$I$3)&amp;""="","",IF(LEFT(INDEX(인턴근무계획!$M$3:$R$202,$A116,$I$3)&amp;"",1)="⚠","",MID(INDEX(인턴근무계획!$M$3:$R$202,$A116,$I$3)&amp;"",FIND(" ",INDEX(인턴근무계획!$M$3:$R$202,$A116,$I$3)&amp;"")+1,60))))</f>
        <v/>
      </c>
      <c r="K116" s="21">
        <f>IF($C116="","",INDEX(인턴근무계획!$M$3:$M$202,$A116)&amp;"")</f>
        <v/>
      </c>
      <c r="L116" s="21">
        <f>IF($C116="","",INDEX(인턴근무계획!$N$3:$N$202,$A116)&amp;"")</f>
        <v/>
      </c>
      <c r="M116" s="21">
        <f>IF($C116="","",INDEX(인턴근무계획!$O$3:$O$202,$A116)&amp;"")</f>
        <v/>
      </c>
      <c r="N116" s="21">
        <f>IF($C116="","",INDEX(인턴근무계획!$P$3:$P$202,$A116)&amp;"")</f>
        <v/>
      </c>
      <c r="O116" s="21">
        <f>IF($C116="","",INDEX(인턴근무계획!$Q$3:$Q$202,$A116)&amp;"")</f>
        <v/>
      </c>
      <c r="P116" s="21">
        <f>IF($C116="","",INDEX(인턴근무계획!$R$3:$R$202,$A116)&amp;"")</f>
        <v/>
      </c>
      <c r="Q116" s="21">
        <f>IF($C116="","",INDEX(인턴근무계획!$T$3:$T$202,$A116))</f>
        <v/>
      </c>
    </row>
    <row r="117">
      <c r="A117" s="24" t="n">
        <v>112</v>
      </c>
      <c r="B117" s="21">
        <f>IF($C117="","",INDEX(인턴근무계획!$B$3:$B$202,$A117))</f>
        <v/>
      </c>
      <c r="C117" s="21">
        <f>IFERROR(TRIM(INDEX(인턴근무계획!$C$3:$C$202,$A117)&amp;""),"")</f>
        <v/>
      </c>
      <c r="D117" s="21">
        <f>IF($C117="","",INDEX(인턴근무계획!$D$3:$D$202,$A117))</f>
        <v/>
      </c>
      <c r="E117" s="21">
        <f>IF($C117="","",IF(IFERROR(MATCH($D117,기본자료!$B$2:$B$501,0),IFERROR(MATCH($D117&amp;"",기본자료!$B$2:$B$501,0),IFERROR(MATCH(VALUE($D117),기본자료!$B$2:$B$501,0),0)))&gt;0,"확인","미등록"))</f>
        <v/>
      </c>
      <c r="F117" s="25">
        <f>IF($C117="","",INDEX(인턴근무계획!$S$3:$S$202,$A117))</f>
        <v/>
      </c>
      <c r="G117" s="21">
        <f>IF(OR($C117="",$G$3=""),"",IF(INDEX(인턴근무계획!$M$3:$R$202,$A117,$G$3)&amp;""="","",IF(LEFT(INDEX(인턴근무계획!$M$3:$R$202,$A117,$G$3)&amp;"",1)="⚠",INDEX(인턴근무계획!$M$3:$R$202,$A117,$G$3)&amp;"",LEFT(INDEX(인턴근무계획!$M$3:$R$202,$A117,$G$3)&amp;"",FIND(" ",INDEX(인턴근무계획!$M$3:$R$202,$A117,$G$3)&amp;"")-1))))</f>
        <v/>
      </c>
      <c r="H117" s="21">
        <f>IF(OR($C117="",$G$3=""),"",IF(INDEX(인턴근무계획!$M$3:$R$202,$A117,$G$3)&amp;""="","",IF(LEFT(INDEX(인턴근무계획!$M$3:$R$202,$A117,$G$3)&amp;"",1)="⚠","",MID(INDEX(인턴근무계획!$M$3:$R$202,$A117,$G$3)&amp;"",FIND(" ",INDEX(인턴근무계획!$M$3:$R$202,$A117,$G$3)&amp;"")+1,60))))</f>
        <v/>
      </c>
      <c r="I117" s="21">
        <f>IF(OR($C117="",$I$3=""),"",IF(INDEX(인턴근무계획!$M$3:$R$202,$A117,$I$3)&amp;""="","",IF(LEFT(INDEX(인턴근무계획!$M$3:$R$202,$A117,$I$3)&amp;"",1)="⚠",INDEX(인턴근무계획!$M$3:$R$202,$A117,$I$3)&amp;"",LEFT(INDEX(인턴근무계획!$M$3:$R$202,$A117,$I$3)&amp;"",FIND(" ",INDEX(인턴근무계획!$M$3:$R$202,$A117,$I$3)&amp;"")-1))))</f>
        <v/>
      </c>
      <c r="J117" s="21">
        <f>IF(OR($C117="",$I$3=""),"",IF(INDEX(인턴근무계획!$M$3:$R$202,$A117,$I$3)&amp;""="","",IF(LEFT(INDEX(인턴근무계획!$M$3:$R$202,$A117,$I$3)&amp;"",1)="⚠","",MID(INDEX(인턴근무계획!$M$3:$R$202,$A117,$I$3)&amp;"",FIND(" ",INDEX(인턴근무계획!$M$3:$R$202,$A117,$I$3)&amp;"")+1,60))))</f>
        <v/>
      </c>
      <c r="K117" s="21">
        <f>IF($C117="","",INDEX(인턴근무계획!$M$3:$M$202,$A117)&amp;"")</f>
        <v/>
      </c>
      <c r="L117" s="21">
        <f>IF($C117="","",INDEX(인턴근무계획!$N$3:$N$202,$A117)&amp;"")</f>
        <v/>
      </c>
      <c r="M117" s="21">
        <f>IF($C117="","",INDEX(인턴근무계획!$O$3:$O$202,$A117)&amp;"")</f>
        <v/>
      </c>
      <c r="N117" s="21">
        <f>IF($C117="","",INDEX(인턴근무계획!$P$3:$P$202,$A117)&amp;"")</f>
        <v/>
      </c>
      <c r="O117" s="21">
        <f>IF($C117="","",INDEX(인턴근무계획!$Q$3:$Q$202,$A117)&amp;"")</f>
        <v/>
      </c>
      <c r="P117" s="21">
        <f>IF($C117="","",INDEX(인턴근무계획!$R$3:$R$202,$A117)&amp;"")</f>
        <v/>
      </c>
      <c r="Q117" s="21">
        <f>IF($C117="","",INDEX(인턴근무계획!$T$3:$T$202,$A117))</f>
        <v/>
      </c>
    </row>
    <row r="118">
      <c r="A118" s="24" t="n">
        <v>113</v>
      </c>
      <c r="B118" s="21">
        <f>IF($C118="","",INDEX(인턴근무계획!$B$3:$B$202,$A118))</f>
        <v/>
      </c>
      <c r="C118" s="21">
        <f>IFERROR(TRIM(INDEX(인턴근무계획!$C$3:$C$202,$A118)&amp;""),"")</f>
        <v/>
      </c>
      <c r="D118" s="21">
        <f>IF($C118="","",INDEX(인턴근무계획!$D$3:$D$202,$A118))</f>
        <v/>
      </c>
      <c r="E118" s="21">
        <f>IF($C118="","",IF(IFERROR(MATCH($D118,기본자료!$B$2:$B$501,0),IFERROR(MATCH($D118&amp;"",기본자료!$B$2:$B$501,0),IFERROR(MATCH(VALUE($D118),기본자료!$B$2:$B$501,0),0)))&gt;0,"확인","미등록"))</f>
        <v/>
      </c>
      <c r="F118" s="25">
        <f>IF($C118="","",INDEX(인턴근무계획!$S$3:$S$202,$A118))</f>
        <v/>
      </c>
      <c r="G118" s="21">
        <f>IF(OR($C118="",$G$3=""),"",IF(INDEX(인턴근무계획!$M$3:$R$202,$A118,$G$3)&amp;""="","",IF(LEFT(INDEX(인턴근무계획!$M$3:$R$202,$A118,$G$3)&amp;"",1)="⚠",INDEX(인턴근무계획!$M$3:$R$202,$A118,$G$3)&amp;"",LEFT(INDEX(인턴근무계획!$M$3:$R$202,$A118,$G$3)&amp;"",FIND(" ",INDEX(인턴근무계획!$M$3:$R$202,$A118,$G$3)&amp;"")-1))))</f>
        <v/>
      </c>
      <c r="H118" s="21">
        <f>IF(OR($C118="",$G$3=""),"",IF(INDEX(인턴근무계획!$M$3:$R$202,$A118,$G$3)&amp;""="","",IF(LEFT(INDEX(인턴근무계획!$M$3:$R$202,$A118,$G$3)&amp;"",1)="⚠","",MID(INDEX(인턴근무계획!$M$3:$R$202,$A118,$G$3)&amp;"",FIND(" ",INDEX(인턴근무계획!$M$3:$R$202,$A118,$G$3)&amp;"")+1,60))))</f>
        <v/>
      </c>
      <c r="I118" s="21">
        <f>IF(OR($C118="",$I$3=""),"",IF(INDEX(인턴근무계획!$M$3:$R$202,$A118,$I$3)&amp;""="","",IF(LEFT(INDEX(인턴근무계획!$M$3:$R$202,$A118,$I$3)&amp;"",1)="⚠",INDEX(인턴근무계획!$M$3:$R$202,$A118,$I$3)&amp;"",LEFT(INDEX(인턴근무계획!$M$3:$R$202,$A118,$I$3)&amp;"",FIND(" ",INDEX(인턴근무계획!$M$3:$R$202,$A118,$I$3)&amp;"")-1))))</f>
        <v/>
      </c>
      <c r="J118" s="21">
        <f>IF(OR($C118="",$I$3=""),"",IF(INDEX(인턴근무계획!$M$3:$R$202,$A118,$I$3)&amp;""="","",IF(LEFT(INDEX(인턴근무계획!$M$3:$R$202,$A118,$I$3)&amp;"",1)="⚠","",MID(INDEX(인턴근무계획!$M$3:$R$202,$A118,$I$3)&amp;"",FIND(" ",INDEX(인턴근무계획!$M$3:$R$202,$A118,$I$3)&amp;"")+1,60))))</f>
        <v/>
      </c>
      <c r="K118" s="21">
        <f>IF($C118="","",INDEX(인턴근무계획!$M$3:$M$202,$A118)&amp;"")</f>
        <v/>
      </c>
      <c r="L118" s="21">
        <f>IF($C118="","",INDEX(인턴근무계획!$N$3:$N$202,$A118)&amp;"")</f>
        <v/>
      </c>
      <c r="M118" s="21">
        <f>IF($C118="","",INDEX(인턴근무계획!$O$3:$O$202,$A118)&amp;"")</f>
        <v/>
      </c>
      <c r="N118" s="21">
        <f>IF($C118="","",INDEX(인턴근무계획!$P$3:$P$202,$A118)&amp;"")</f>
        <v/>
      </c>
      <c r="O118" s="21">
        <f>IF($C118="","",INDEX(인턴근무계획!$Q$3:$Q$202,$A118)&amp;"")</f>
        <v/>
      </c>
      <c r="P118" s="21">
        <f>IF($C118="","",INDEX(인턴근무계획!$R$3:$R$202,$A118)&amp;"")</f>
        <v/>
      </c>
      <c r="Q118" s="21">
        <f>IF($C118="","",INDEX(인턴근무계획!$T$3:$T$202,$A118))</f>
        <v/>
      </c>
    </row>
    <row r="119">
      <c r="A119" s="24" t="n">
        <v>114</v>
      </c>
      <c r="B119" s="21">
        <f>IF($C119="","",INDEX(인턴근무계획!$B$3:$B$202,$A119))</f>
        <v/>
      </c>
      <c r="C119" s="21">
        <f>IFERROR(TRIM(INDEX(인턴근무계획!$C$3:$C$202,$A119)&amp;""),"")</f>
        <v/>
      </c>
      <c r="D119" s="21">
        <f>IF($C119="","",INDEX(인턴근무계획!$D$3:$D$202,$A119))</f>
        <v/>
      </c>
      <c r="E119" s="21">
        <f>IF($C119="","",IF(IFERROR(MATCH($D119,기본자료!$B$2:$B$501,0),IFERROR(MATCH($D119&amp;"",기본자료!$B$2:$B$501,0),IFERROR(MATCH(VALUE($D119),기본자료!$B$2:$B$501,0),0)))&gt;0,"확인","미등록"))</f>
        <v/>
      </c>
      <c r="F119" s="25">
        <f>IF($C119="","",INDEX(인턴근무계획!$S$3:$S$202,$A119))</f>
        <v/>
      </c>
      <c r="G119" s="21">
        <f>IF(OR($C119="",$G$3=""),"",IF(INDEX(인턴근무계획!$M$3:$R$202,$A119,$G$3)&amp;""="","",IF(LEFT(INDEX(인턴근무계획!$M$3:$R$202,$A119,$G$3)&amp;"",1)="⚠",INDEX(인턴근무계획!$M$3:$R$202,$A119,$G$3)&amp;"",LEFT(INDEX(인턴근무계획!$M$3:$R$202,$A119,$G$3)&amp;"",FIND(" ",INDEX(인턴근무계획!$M$3:$R$202,$A119,$G$3)&amp;"")-1))))</f>
        <v/>
      </c>
      <c r="H119" s="21">
        <f>IF(OR($C119="",$G$3=""),"",IF(INDEX(인턴근무계획!$M$3:$R$202,$A119,$G$3)&amp;""="","",IF(LEFT(INDEX(인턴근무계획!$M$3:$R$202,$A119,$G$3)&amp;"",1)="⚠","",MID(INDEX(인턴근무계획!$M$3:$R$202,$A119,$G$3)&amp;"",FIND(" ",INDEX(인턴근무계획!$M$3:$R$202,$A119,$G$3)&amp;"")+1,60))))</f>
        <v/>
      </c>
      <c r="I119" s="21">
        <f>IF(OR($C119="",$I$3=""),"",IF(INDEX(인턴근무계획!$M$3:$R$202,$A119,$I$3)&amp;""="","",IF(LEFT(INDEX(인턴근무계획!$M$3:$R$202,$A119,$I$3)&amp;"",1)="⚠",INDEX(인턴근무계획!$M$3:$R$202,$A119,$I$3)&amp;"",LEFT(INDEX(인턴근무계획!$M$3:$R$202,$A119,$I$3)&amp;"",FIND(" ",INDEX(인턴근무계획!$M$3:$R$202,$A119,$I$3)&amp;"")-1))))</f>
        <v/>
      </c>
      <c r="J119" s="21">
        <f>IF(OR($C119="",$I$3=""),"",IF(INDEX(인턴근무계획!$M$3:$R$202,$A119,$I$3)&amp;""="","",IF(LEFT(INDEX(인턴근무계획!$M$3:$R$202,$A119,$I$3)&amp;"",1)="⚠","",MID(INDEX(인턴근무계획!$M$3:$R$202,$A119,$I$3)&amp;"",FIND(" ",INDEX(인턴근무계획!$M$3:$R$202,$A119,$I$3)&amp;"")+1,60))))</f>
        <v/>
      </c>
      <c r="K119" s="21">
        <f>IF($C119="","",INDEX(인턴근무계획!$M$3:$M$202,$A119)&amp;"")</f>
        <v/>
      </c>
      <c r="L119" s="21">
        <f>IF($C119="","",INDEX(인턴근무계획!$N$3:$N$202,$A119)&amp;"")</f>
        <v/>
      </c>
      <c r="M119" s="21">
        <f>IF($C119="","",INDEX(인턴근무계획!$O$3:$O$202,$A119)&amp;"")</f>
        <v/>
      </c>
      <c r="N119" s="21">
        <f>IF($C119="","",INDEX(인턴근무계획!$P$3:$P$202,$A119)&amp;"")</f>
        <v/>
      </c>
      <c r="O119" s="21">
        <f>IF($C119="","",INDEX(인턴근무계획!$Q$3:$Q$202,$A119)&amp;"")</f>
        <v/>
      </c>
      <c r="P119" s="21">
        <f>IF($C119="","",INDEX(인턴근무계획!$R$3:$R$202,$A119)&amp;"")</f>
        <v/>
      </c>
      <c r="Q119" s="21">
        <f>IF($C119="","",INDEX(인턴근무계획!$T$3:$T$202,$A119))</f>
        <v/>
      </c>
    </row>
    <row r="120">
      <c r="A120" s="24" t="n">
        <v>115</v>
      </c>
      <c r="B120" s="21">
        <f>IF($C120="","",INDEX(인턴근무계획!$B$3:$B$202,$A120))</f>
        <v/>
      </c>
      <c r="C120" s="21">
        <f>IFERROR(TRIM(INDEX(인턴근무계획!$C$3:$C$202,$A120)&amp;""),"")</f>
        <v/>
      </c>
      <c r="D120" s="21">
        <f>IF($C120="","",INDEX(인턴근무계획!$D$3:$D$202,$A120))</f>
        <v/>
      </c>
      <c r="E120" s="21">
        <f>IF($C120="","",IF(IFERROR(MATCH($D120,기본자료!$B$2:$B$501,0),IFERROR(MATCH($D120&amp;"",기본자료!$B$2:$B$501,0),IFERROR(MATCH(VALUE($D120),기본자료!$B$2:$B$501,0),0)))&gt;0,"확인","미등록"))</f>
        <v/>
      </c>
      <c r="F120" s="25">
        <f>IF($C120="","",INDEX(인턴근무계획!$S$3:$S$202,$A120))</f>
        <v/>
      </c>
      <c r="G120" s="21">
        <f>IF(OR($C120="",$G$3=""),"",IF(INDEX(인턴근무계획!$M$3:$R$202,$A120,$G$3)&amp;""="","",IF(LEFT(INDEX(인턴근무계획!$M$3:$R$202,$A120,$G$3)&amp;"",1)="⚠",INDEX(인턴근무계획!$M$3:$R$202,$A120,$G$3)&amp;"",LEFT(INDEX(인턴근무계획!$M$3:$R$202,$A120,$G$3)&amp;"",FIND(" ",INDEX(인턴근무계획!$M$3:$R$202,$A120,$G$3)&amp;"")-1))))</f>
        <v/>
      </c>
      <c r="H120" s="21">
        <f>IF(OR($C120="",$G$3=""),"",IF(INDEX(인턴근무계획!$M$3:$R$202,$A120,$G$3)&amp;""="","",IF(LEFT(INDEX(인턴근무계획!$M$3:$R$202,$A120,$G$3)&amp;"",1)="⚠","",MID(INDEX(인턴근무계획!$M$3:$R$202,$A120,$G$3)&amp;"",FIND(" ",INDEX(인턴근무계획!$M$3:$R$202,$A120,$G$3)&amp;"")+1,60))))</f>
        <v/>
      </c>
      <c r="I120" s="21">
        <f>IF(OR($C120="",$I$3=""),"",IF(INDEX(인턴근무계획!$M$3:$R$202,$A120,$I$3)&amp;""="","",IF(LEFT(INDEX(인턴근무계획!$M$3:$R$202,$A120,$I$3)&amp;"",1)="⚠",INDEX(인턴근무계획!$M$3:$R$202,$A120,$I$3)&amp;"",LEFT(INDEX(인턴근무계획!$M$3:$R$202,$A120,$I$3)&amp;"",FIND(" ",INDEX(인턴근무계획!$M$3:$R$202,$A120,$I$3)&amp;"")-1))))</f>
        <v/>
      </c>
      <c r="J120" s="21">
        <f>IF(OR($C120="",$I$3=""),"",IF(INDEX(인턴근무계획!$M$3:$R$202,$A120,$I$3)&amp;""="","",IF(LEFT(INDEX(인턴근무계획!$M$3:$R$202,$A120,$I$3)&amp;"",1)="⚠","",MID(INDEX(인턴근무계획!$M$3:$R$202,$A120,$I$3)&amp;"",FIND(" ",INDEX(인턴근무계획!$M$3:$R$202,$A120,$I$3)&amp;"")+1,60))))</f>
        <v/>
      </c>
      <c r="K120" s="21">
        <f>IF($C120="","",INDEX(인턴근무계획!$M$3:$M$202,$A120)&amp;"")</f>
        <v/>
      </c>
      <c r="L120" s="21">
        <f>IF($C120="","",INDEX(인턴근무계획!$N$3:$N$202,$A120)&amp;"")</f>
        <v/>
      </c>
      <c r="M120" s="21">
        <f>IF($C120="","",INDEX(인턴근무계획!$O$3:$O$202,$A120)&amp;"")</f>
        <v/>
      </c>
      <c r="N120" s="21">
        <f>IF($C120="","",INDEX(인턴근무계획!$P$3:$P$202,$A120)&amp;"")</f>
        <v/>
      </c>
      <c r="O120" s="21">
        <f>IF($C120="","",INDEX(인턴근무계획!$Q$3:$Q$202,$A120)&amp;"")</f>
        <v/>
      </c>
      <c r="P120" s="21">
        <f>IF($C120="","",INDEX(인턴근무계획!$R$3:$R$202,$A120)&amp;"")</f>
        <v/>
      </c>
      <c r="Q120" s="21">
        <f>IF($C120="","",INDEX(인턴근무계획!$T$3:$T$202,$A120))</f>
        <v/>
      </c>
    </row>
    <row r="121">
      <c r="A121" s="24" t="n">
        <v>116</v>
      </c>
      <c r="B121" s="21">
        <f>IF($C121="","",INDEX(인턴근무계획!$B$3:$B$202,$A121))</f>
        <v/>
      </c>
      <c r="C121" s="21">
        <f>IFERROR(TRIM(INDEX(인턴근무계획!$C$3:$C$202,$A121)&amp;""),"")</f>
        <v/>
      </c>
      <c r="D121" s="21">
        <f>IF($C121="","",INDEX(인턴근무계획!$D$3:$D$202,$A121))</f>
        <v/>
      </c>
      <c r="E121" s="21">
        <f>IF($C121="","",IF(IFERROR(MATCH($D121,기본자료!$B$2:$B$501,0),IFERROR(MATCH($D121&amp;"",기본자료!$B$2:$B$501,0),IFERROR(MATCH(VALUE($D121),기본자료!$B$2:$B$501,0),0)))&gt;0,"확인","미등록"))</f>
        <v/>
      </c>
      <c r="F121" s="25">
        <f>IF($C121="","",INDEX(인턴근무계획!$S$3:$S$202,$A121))</f>
        <v/>
      </c>
      <c r="G121" s="21">
        <f>IF(OR($C121="",$G$3=""),"",IF(INDEX(인턴근무계획!$M$3:$R$202,$A121,$G$3)&amp;""="","",IF(LEFT(INDEX(인턴근무계획!$M$3:$R$202,$A121,$G$3)&amp;"",1)="⚠",INDEX(인턴근무계획!$M$3:$R$202,$A121,$G$3)&amp;"",LEFT(INDEX(인턴근무계획!$M$3:$R$202,$A121,$G$3)&amp;"",FIND(" ",INDEX(인턴근무계획!$M$3:$R$202,$A121,$G$3)&amp;"")-1))))</f>
        <v/>
      </c>
      <c r="H121" s="21">
        <f>IF(OR($C121="",$G$3=""),"",IF(INDEX(인턴근무계획!$M$3:$R$202,$A121,$G$3)&amp;""="","",IF(LEFT(INDEX(인턴근무계획!$M$3:$R$202,$A121,$G$3)&amp;"",1)="⚠","",MID(INDEX(인턴근무계획!$M$3:$R$202,$A121,$G$3)&amp;"",FIND(" ",INDEX(인턴근무계획!$M$3:$R$202,$A121,$G$3)&amp;"")+1,60))))</f>
        <v/>
      </c>
      <c r="I121" s="21">
        <f>IF(OR($C121="",$I$3=""),"",IF(INDEX(인턴근무계획!$M$3:$R$202,$A121,$I$3)&amp;""="","",IF(LEFT(INDEX(인턴근무계획!$M$3:$R$202,$A121,$I$3)&amp;"",1)="⚠",INDEX(인턴근무계획!$M$3:$R$202,$A121,$I$3)&amp;"",LEFT(INDEX(인턴근무계획!$M$3:$R$202,$A121,$I$3)&amp;"",FIND(" ",INDEX(인턴근무계획!$M$3:$R$202,$A121,$I$3)&amp;"")-1))))</f>
        <v/>
      </c>
      <c r="J121" s="21">
        <f>IF(OR($C121="",$I$3=""),"",IF(INDEX(인턴근무계획!$M$3:$R$202,$A121,$I$3)&amp;""="","",IF(LEFT(INDEX(인턴근무계획!$M$3:$R$202,$A121,$I$3)&amp;"",1)="⚠","",MID(INDEX(인턴근무계획!$M$3:$R$202,$A121,$I$3)&amp;"",FIND(" ",INDEX(인턴근무계획!$M$3:$R$202,$A121,$I$3)&amp;"")+1,60))))</f>
        <v/>
      </c>
      <c r="K121" s="21">
        <f>IF($C121="","",INDEX(인턴근무계획!$M$3:$M$202,$A121)&amp;"")</f>
        <v/>
      </c>
      <c r="L121" s="21">
        <f>IF($C121="","",INDEX(인턴근무계획!$N$3:$N$202,$A121)&amp;"")</f>
        <v/>
      </c>
      <c r="M121" s="21">
        <f>IF($C121="","",INDEX(인턴근무계획!$O$3:$O$202,$A121)&amp;"")</f>
        <v/>
      </c>
      <c r="N121" s="21">
        <f>IF($C121="","",INDEX(인턴근무계획!$P$3:$P$202,$A121)&amp;"")</f>
        <v/>
      </c>
      <c r="O121" s="21">
        <f>IF($C121="","",INDEX(인턴근무계획!$Q$3:$Q$202,$A121)&amp;"")</f>
        <v/>
      </c>
      <c r="P121" s="21">
        <f>IF($C121="","",INDEX(인턴근무계획!$R$3:$R$202,$A121)&amp;"")</f>
        <v/>
      </c>
      <c r="Q121" s="21">
        <f>IF($C121="","",INDEX(인턴근무계획!$T$3:$T$202,$A121))</f>
        <v/>
      </c>
    </row>
    <row r="122">
      <c r="A122" s="24" t="n">
        <v>117</v>
      </c>
      <c r="B122" s="21">
        <f>IF($C122="","",INDEX(인턴근무계획!$B$3:$B$202,$A122))</f>
        <v/>
      </c>
      <c r="C122" s="21">
        <f>IFERROR(TRIM(INDEX(인턴근무계획!$C$3:$C$202,$A122)&amp;""),"")</f>
        <v/>
      </c>
      <c r="D122" s="21">
        <f>IF($C122="","",INDEX(인턴근무계획!$D$3:$D$202,$A122))</f>
        <v/>
      </c>
      <c r="E122" s="21">
        <f>IF($C122="","",IF(IFERROR(MATCH($D122,기본자료!$B$2:$B$501,0),IFERROR(MATCH($D122&amp;"",기본자료!$B$2:$B$501,0),IFERROR(MATCH(VALUE($D122),기본자료!$B$2:$B$501,0),0)))&gt;0,"확인","미등록"))</f>
        <v/>
      </c>
      <c r="F122" s="25">
        <f>IF($C122="","",INDEX(인턴근무계획!$S$3:$S$202,$A122))</f>
        <v/>
      </c>
      <c r="G122" s="21">
        <f>IF(OR($C122="",$G$3=""),"",IF(INDEX(인턴근무계획!$M$3:$R$202,$A122,$G$3)&amp;""="","",IF(LEFT(INDEX(인턴근무계획!$M$3:$R$202,$A122,$G$3)&amp;"",1)="⚠",INDEX(인턴근무계획!$M$3:$R$202,$A122,$G$3)&amp;"",LEFT(INDEX(인턴근무계획!$M$3:$R$202,$A122,$G$3)&amp;"",FIND(" ",INDEX(인턴근무계획!$M$3:$R$202,$A122,$G$3)&amp;"")-1))))</f>
        <v/>
      </c>
      <c r="H122" s="21">
        <f>IF(OR($C122="",$G$3=""),"",IF(INDEX(인턴근무계획!$M$3:$R$202,$A122,$G$3)&amp;""="","",IF(LEFT(INDEX(인턴근무계획!$M$3:$R$202,$A122,$G$3)&amp;"",1)="⚠","",MID(INDEX(인턴근무계획!$M$3:$R$202,$A122,$G$3)&amp;"",FIND(" ",INDEX(인턴근무계획!$M$3:$R$202,$A122,$G$3)&amp;"")+1,60))))</f>
        <v/>
      </c>
      <c r="I122" s="21">
        <f>IF(OR($C122="",$I$3=""),"",IF(INDEX(인턴근무계획!$M$3:$R$202,$A122,$I$3)&amp;""="","",IF(LEFT(INDEX(인턴근무계획!$M$3:$R$202,$A122,$I$3)&amp;"",1)="⚠",INDEX(인턴근무계획!$M$3:$R$202,$A122,$I$3)&amp;"",LEFT(INDEX(인턴근무계획!$M$3:$R$202,$A122,$I$3)&amp;"",FIND(" ",INDEX(인턴근무계획!$M$3:$R$202,$A122,$I$3)&amp;"")-1))))</f>
        <v/>
      </c>
      <c r="J122" s="21">
        <f>IF(OR($C122="",$I$3=""),"",IF(INDEX(인턴근무계획!$M$3:$R$202,$A122,$I$3)&amp;""="","",IF(LEFT(INDEX(인턴근무계획!$M$3:$R$202,$A122,$I$3)&amp;"",1)="⚠","",MID(INDEX(인턴근무계획!$M$3:$R$202,$A122,$I$3)&amp;"",FIND(" ",INDEX(인턴근무계획!$M$3:$R$202,$A122,$I$3)&amp;"")+1,60))))</f>
        <v/>
      </c>
      <c r="K122" s="21">
        <f>IF($C122="","",INDEX(인턴근무계획!$M$3:$M$202,$A122)&amp;"")</f>
        <v/>
      </c>
      <c r="L122" s="21">
        <f>IF($C122="","",INDEX(인턴근무계획!$N$3:$N$202,$A122)&amp;"")</f>
        <v/>
      </c>
      <c r="M122" s="21">
        <f>IF($C122="","",INDEX(인턴근무계획!$O$3:$O$202,$A122)&amp;"")</f>
        <v/>
      </c>
      <c r="N122" s="21">
        <f>IF($C122="","",INDEX(인턴근무계획!$P$3:$P$202,$A122)&amp;"")</f>
        <v/>
      </c>
      <c r="O122" s="21">
        <f>IF($C122="","",INDEX(인턴근무계획!$Q$3:$Q$202,$A122)&amp;"")</f>
        <v/>
      </c>
      <c r="P122" s="21">
        <f>IF($C122="","",INDEX(인턴근무계획!$R$3:$R$202,$A122)&amp;"")</f>
        <v/>
      </c>
      <c r="Q122" s="21">
        <f>IF($C122="","",INDEX(인턴근무계획!$T$3:$T$202,$A122))</f>
        <v/>
      </c>
    </row>
    <row r="123">
      <c r="A123" s="24" t="n">
        <v>118</v>
      </c>
      <c r="B123" s="21">
        <f>IF($C123="","",INDEX(인턴근무계획!$B$3:$B$202,$A123))</f>
        <v/>
      </c>
      <c r="C123" s="21">
        <f>IFERROR(TRIM(INDEX(인턴근무계획!$C$3:$C$202,$A123)&amp;""),"")</f>
        <v/>
      </c>
      <c r="D123" s="21">
        <f>IF($C123="","",INDEX(인턴근무계획!$D$3:$D$202,$A123))</f>
        <v/>
      </c>
      <c r="E123" s="21">
        <f>IF($C123="","",IF(IFERROR(MATCH($D123,기본자료!$B$2:$B$501,0),IFERROR(MATCH($D123&amp;"",기본자료!$B$2:$B$501,0),IFERROR(MATCH(VALUE($D123),기본자료!$B$2:$B$501,0),0)))&gt;0,"확인","미등록"))</f>
        <v/>
      </c>
      <c r="F123" s="25">
        <f>IF($C123="","",INDEX(인턴근무계획!$S$3:$S$202,$A123))</f>
        <v/>
      </c>
      <c r="G123" s="21">
        <f>IF(OR($C123="",$G$3=""),"",IF(INDEX(인턴근무계획!$M$3:$R$202,$A123,$G$3)&amp;""="","",IF(LEFT(INDEX(인턴근무계획!$M$3:$R$202,$A123,$G$3)&amp;"",1)="⚠",INDEX(인턴근무계획!$M$3:$R$202,$A123,$G$3)&amp;"",LEFT(INDEX(인턴근무계획!$M$3:$R$202,$A123,$G$3)&amp;"",FIND(" ",INDEX(인턴근무계획!$M$3:$R$202,$A123,$G$3)&amp;"")-1))))</f>
        <v/>
      </c>
      <c r="H123" s="21">
        <f>IF(OR($C123="",$G$3=""),"",IF(INDEX(인턴근무계획!$M$3:$R$202,$A123,$G$3)&amp;""="","",IF(LEFT(INDEX(인턴근무계획!$M$3:$R$202,$A123,$G$3)&amp;"",1)="⚠","",MID(INDEX(인턴근무계획!$M$3:$R$202,$A123,$G$3)&amp;"",FIND(" ",INDEX(인턴근무계획!$M$3:$R$202,$A123,$G$3)&amp;"")+1,60))))</f>
        <v/>
      </c>
      <c r="I123" s="21">
        <f>IF(OR($C123="",$I$3=""),"",IF(INDEX(인턴근무계획!$M$3:$R$202,$A123,$I$3)&amp;""="","",IF(LEFT(INDEX(인턴근무계획!$M$3:$R$202,$A123,$I$3)&amp;"",1)="⚠",INDEX(인턴근무계획!$M$3:$R$202,$A123,$I$3)&amp;"",LEFT(INDEX(인턴근무계획!$M$3:$R$202,$A123,$I$3)&amp;"",FIND(" ",INDEX(인턴근무계획!$M$3:$R$202,$A123,$I$3)&amp;"")-1))))</f>
        <v/>
      </c>
      <c r="J123" s="21">
        <f>IF(OR($C123="",$I$3=""),"",IF(INDEX(인턴근무계획!$M$3:$R$202,$A123,$I$3)&amp;""="","",IF(LEFT(INDEX(인턴근무계획!$M$3:$R$202,$A123,$I$3)&amp;"",1)="⚠","",MID(INDEX(인턴근무계획!$M$3:$R$202,$A123,$I$3)&amp;"",FIND(" ",INDEX(인턴근무계획!$M$3:$R$202,$A123,$I$3)&amp;"")+1,60))))</f>
        <v/>
      </c>
      <c r="K123" s="21">
        <f>IF($C123="","",INDEX(인턴근무계획!$M$3:$M$202,$A123)&amp;"")</f>
        <v/>
      </c>
      <c r="L123" s="21">
        <f>IF($C123="","",INDEX(인턴근무계획!$N$3:$N$202,$A123)&amp;"")</f>
        <v/>
      </c>
      <c r="M123" s="21">
        <f>IF($C123="","",INDEX(인턴근무계획!$O$3:$O$202,$A123)&amp;"")</f>
        <v/>
      </c>
      <c r="N123" s="21">
        <f>IF($C123="","",INDEX(인턴근무계획!$P$3:$P$202,$A123)&amp;"")</f>
        <v/>
      </c>
      <c r="O123" s="21">
        <f>IF($C123="","",INDEX(인턴근무계획!$Q$3:$Q$202,$A123)&amp;"")</f>
        <v/>
      </c>
      <c r="P123" s="21">
        <f>IF($C123="","",INDEX(인턴근무계획!$R$3:$R$202,$A123)&amp;"")</f>
        <v/>
      </c>
      <c r="Q123" s="21">
        <f>IF($C123="","",INDEX(인턴근무계획!$T$3:$T$202,$A123))</f>
        <v/>
      </c>
    </row>
    <row r="124">
      <c r="A124" s="24" t="n">
        <v>119</v>
      </c>
      <c r="B124" s="21">
        <f>IF($C124="","",INDEX(인턴근무계획!$B$3:$B$202,$A124))</f>
        <v/>
      </c>
      <c r="C124" s="21">
        <f>IFERROR(TRIM(INDEX(인턴근무계획!$C$3:$C$202,$A124)&amp;""),"")</f>
        <v/>
      </c>
      <c r="D124" s="21">
        <f>IF($C124="","",INDEX(인턴근무계획!$D$3:$D$202,$A124))</f>
        <v/>
      </c>
      <c r="E124" s="21">
        <f>IF($C124="","",IF(IFERROR(MATCH($D124,기본자료!$B$2:$B$501,0),IFERROR(MATCH($D124&amp;"",기본자료!$B$2:$B$501,0),IFERROR(MATCH(VALUE($D124),기본자료!$B$2:$B$501,0),0)))&gt;0,"확인","미등록"))</f>
        <v/>
      </c>
      <c r="F124" s="25">
        <f>IF($C124="","",INDEX(인턴근무계획!$S$3:$S$202,$A124))</f>
        <v/>
      </c>
      <c r="G124" s="21">
        <f>IF(OR($C124="",$G$3=""),"",IF(INDEX(인턴근무계획!$M$3:$R$202,$A124,$G$3)&amp;""="","",IF(LEFT(INDEX(인턴근무계획!$M$3:$R$202,$A124,$G$3)&amp;"",1)="⚠",INDEX(인턴근무계획!$M$3:$R$202,$A124,$G$3)&amp;"",LEFT(INDEX(인턴근무계획!$M$3:$R$202,$A124,$G$3)&amp;"",FIND(" ",INDEX(인턴근무계획!$M$3:$R$202,$A124,$G$3)&amp;"")-1))))</f>
        <v/>
      </c>
      <c r="H124" s="21">
        <f>IF(OR($C124="",$G$3=""),"",IF(INDEX(인턴근무계획!$M$3:$R$202,$A124,$G$3)&amp;""="","",IF(LEFT(INDEX(인턴근무계획!$M$3:$R$202,$A124,$G$3)&amp;"",1)="⚠","",MID(INDEX(인턴근무계획!$M$3:$R$202,$A124,$G$3)&amp;"",FIND(" ",INDEX(인턴근무계획!$M$3:$R$202,$A124,$G$3)&amp;"")+1,60))))</f>
        <v/>
      </c>
      <c r="I124" s="21">
        <f>IF(OR($C124="",$I$3=""),"",IF(INDEX(인턴근무계획!$M$3:$R$202,$A124,$I$3)&amp;""="","",IF(LEFT(INDEX(인턴근무계획!$M$3:$R$202,$A124,$I$3)&amp;"",1)="⚠",INDEX(인턴근무계획!$M$3:$R$202,$A124,$I$3)&amp;"",LEFT(INDEX(인턴근무계획!$M$3:$R$202,$A124,$I$3)&amp;"",FIND(" ",INDEX(인턴근무계획!$M$3:$R$202,$A124,$I$3)&amp;"")-1))))</f>
        <v/>
      </c>
      <c r="J124" s="21">
        <f>IF(OR($C124="",$I$3=""),"",IF(INDEX(인턴근무계획!$M$3:$R$202,$A124,$I$3)&amp;""="","",IF(LEFT(INDEX(인턴근무계획!$M$3:$R$202,$A124,$I$3)&amp;"",1)="⚠","",MID(INDEX(인턴근무계획!$M$3:$R$202,$A124,$I$3)&amp;"",FIND(" ",INDEX(인턴근무계획!$M$3:$R$202,$A124,$I$3)&amp;"")+1,60))))</f>
        <v/>
      </c>
      <c r="K124" s="21">
        <f>IF($C124="","",INDEX(인턴근무계획!$M$3:$M$202,$A124)&amp;"")</f>
        <v/>
      </c>
      <c r="L124" s="21">
        <f>IF($C124="","",INDEX(인턴근무계획!$N$3:$N$202,$A124)&amp;"")</f>
        <v/>
      </c>
      <c r="M124" s="21">
        <f>IF($C124="","",INDEX(인턴근무계획!$O$3:$O$202,$A124)&amp;"")</f>
        <v/>
      </c>
      <c r="N124" s="21">
        <f>IF($C124="","",INDEX(인턴근무계획!$P$3:$P$202,$A124)&amp;"")</f>
        <v/>
      </c>
      <c r="O124" s="21">
        <f>IF($C124="","",INDEX(인턴근무계획!$Q$3:$Q$202,$A124)&amp;"")</f>
        <v/>
      </c>
      <c r="P124" s="21">
        <f>IF($C124="","",INDEX(인턴근무계획!$R$3:$R$202,$A124)&amp;"")</f>
        <v/>
      </c>
      <c r="Q124" s="21">
        <f>IF($C124="","",INDEX(인턴근무계획!$T$3:$T$202,$A124))</f>
        <v/>
      </c>
    </row>
    <row r="125">
      <c r="A125" s="24" t="n">
        <v>120</v>
      </c>
      <c r="B125" s="21">
        <f>IF($C125="","",INDEX(인턴근무계획!$B$3:$B$202,$A125))</f>
        <v/>
      </c>
      <c r="C125" s="21">
        <f>IFERROR(TRIM(INDEX(인턴근무계획!$C$3:$C$202,$A125)&amp;""),"")</f>
        <v/>
      </c>
      <c r="D125" s="21">
        <f>IF($C125="","",INDEX(인턴근무계획!$D$3:$D$202,$A125))</f>
        <v/>
      </c>
      <c r="E125" s="21">
        <f>IF($C125="","",IF(IFERROR(MATCH($D125,기본자료!$B$2:$B$501,0),IFERROR(MATCH($D125&amp;"",기본자료!$B$2:$B$501,0),IFERROR(MATCH(VALUE($D125),기본자료!$B$2:$B$501,0),0)))&gt;0,"확인","미등록"))</f>
        <v/>
      </c>
      <c r="F125" s="25">
        <f>IF($C125="","",INDEX(인턴근무계획!$S$3:$S$202,$A125))</f>
        <v/>
      </c>
      <c r="G125" s="21">
        <f>IF(OR($C125="",$G$3=""),"",IF(INDEX(인턴근무계획!$M$3:$R$202,$A125,$G$3)&amp;""="","",IF(LEFT(INDEX(인턴근무계획!$M$3:$R$202,$A125,$G$3)&amp;"",1)="⚠",INDEX(인턴근무계획!$M$3:$R$202,$A125,$G$3)&amp;"",LEFT(INDEX(인턴근무계획!$M$3:$R$202,$A125,$G$3)&amp;"",FIND(" ",INDEX(인턴근무계획!$M$3:$R$202,$A125,$G$3)&amp;"")-1))))</f>
        <v/>
      </c>
      <c r="H125" s="21">
        <f>IF(OR($C125="",$G$3=""),"",IF(INDEX(인턴근무계획!$M$3:$R$202,$A125,$G$3)&amp;""="","",IF(LEFT(INDEX(인턴근무계획!$M$3:$R$202,$A125,$G$3)&amp;"",1)="⚠","",MID(INDEX(인턴근무계획!$M$3:$R$202,$A125,$G$3)&amp;"",FIND(" ",INDEX(인턴근무계획!$M$3:$R$202,$A125,$G$3)&amp;"")+1,60))))</f>
        <v/>
      </c>
      <c r="I125" s="21">
        <f>IF(OR($C125="",$I$3=""),"",IF(INDEX(인턴근무계획!$M$3:$R$202,$A125,$I$3)&amp;""="","",IF(LEFT(INDEX(인턴근무계획!$M$3:$R$202,$A125,$I$3)&amp;"",1)="⚠",INDEX(인턴근무계획!$M$3:$R$202,$A125,$I$3)&amp;"",LEFT(INDEX(인턴근무계획!$M$3:$R$202,$A125,$I$3)&amp;"",FIND(" ",INDEX(인턴근무계획!$M$3:$R$202,$A125,$I$3)&amp;"")-1))))</f>
        <v/>
      </c>
      <c r="J125" s="21">
        <f>IF(OR($C125="",$I$3=""),"",IF(INDEX(인턴근무계획!$M$3:$R$202,$A125,$I$3)&amp;""="","",IF(LEFT(INDEX(인턴근무계획!$M$3:$R$202,$A125,$I$3)&amp;"",1)="⚠","",MID(INDEX(인턴근무계획!$M$3:$R$202,$A125,$I$3)&amp;"",FIND(" ",INDEX(인턴근무계획!$M$3:$R$202,$A125,$I$3)&amp;"")+1,60))))</f>
        <v/>
      </c>
      <c r="K125" s="21">
        <f>IF($C125="","",INDEX(인턴근무계획!$M$3:$M$202,$A125)&amp;"")</f>
        <v/>
      </c>
      <c r="L125" s="21">
        <f>IF($C125="","",INDEX(인턴근무계획!$N$3:$N$202,$A125)&amp;"")</f>
        <v/>
      </c>
      <c r="M125" s="21">
        <f>IF($C125="","",INDEX(인턴근무계획!$O$3:$O$202,$A125)&amp;"")</f>
        <v/>
      </c>
      <c r="N125" s="21">
        <f>IF($C125="","",INDEX(인턴근무계획!$P$3:$P$202,$A125)&amp;"")</f>
        <v/>
      </c>
      <c r="O125" s="21">
        <f>IF($C125="","",INDEX(인턴근무계획!$Q$3:$Q$202,$A125)&amp;"")</f>
        <v/>
      </c>
      <c r="P125" s="21">
        <f>IF($C125="","",INDEX(인턴근무계획!$R$3:$R$202,$A125)&amp;"")</f>
        <v/>
      </c>
      <c r="Q125" s="21">
        <f>IF($C125="","",INDEX(인턴근무계획!$T$3:$T$202,$A125))</f>
        <v/>
      </c>
    </row>
    <row r="126">
      <c r="A126" s="24" t="n">
        <v>121</v>
      </c>
      <c r="B126" s="21">
        <f>IF($C126="","",INDEX(인턴근무계획!$B$3:$B$202,$A126))</f>
        <v/>
      </c>
      <c r="C126" s="21">
        <f>IFERROR(TRIM(INDEX(인턴근무계획!$C$3:$C$202,$A126)&amp;""),"")</f>
        <v/>
      </c>
      <c r="D126" s="21">
        <f>IF($C126="","",INDEX(인턴근무계획!$D$3:$D$202,$A126))</f>
        <v/>
      </c>
      <c r="E126" s="21">
        <f>IF($C126="","",IF(IFERROR(MATCH($D126,기본자료!$B$2:$B$501,0),IFERROR(MATCH($D126&amp;"",기본자료!$B$2:$B$501,0),IFERROR(MATCH(VALUE($D126),기본자료!$B$2:$B$501,0),0)))&gt;0,"확인","미등록"))</f>
        <v/>
      </c>
      <c r="F126" s="25">
        <f>IF($C126="","",INDEX(인턴근무계획!$S$3:$S$202,$A126))</f>
        <v/>
      </c>
      <c r="G126" s="21">
        <f>IF(OR($C126="",$G$3=""),"",IF(INDEX(인턴근무계획!$M$3:$R$202,$A126,$G$3)&amp;""="","",IF(LEFT(INDEX(인턴근무계획!$M$3:$R$202,$A126,$G$3)&amp;"",1)="⚠",INDEX(인턴근무계획!$M$3:$R$202,$A126,$G$3)&amp;"",LEFT(INDEX(인턴근무계획!$M$3:$R$202,$A126,$G$3)&amp;"",FIND(" ",INDEX(인턴근무계획!$M$3:$R$202,$A126,$G$3)&amp;"")-1))))</f>
        <v/>
      </c>
      <c r="H126" s="21">
        <f>IF(OR($C126="",$G$3=""),"",IF(INDEX(인턴근무계획!$M$3:$R$202,$A126,$G$3)&amp;""="","",IF(LEFT(INDEX(인턴근무계획!$M$3:$R$202,$A126,$G$3)&amp;"",1)="⚠","",MID(INDEX(인턴근무계획!$M$3:$R$202,$A126,$G$3)&amp;"",FIND(" ",INDEX(인턴근무계획!$M$3:$R$202,$A126,$G$3)&amp;"")+1,60))))</f>
        <v/>
      </c>
      <c r="I126" s="21">
        <f>IF(OR($C126="",$I$3=""),"",IF(INDEX(인턴근무계획!$M$3:$R$202,$A126,$I$3)&amp;""="","",IF(LEFT(INDEX(인턴근무계획!$M$3:$R$202,$A126,$I$3)&amp;"",1)="⚠",INDEX(인턴근무계획!$M$3:$R$202,$A126,$I$3)&amp;"",LEFT(INDEX(인턴근무계획!$M$3:$R$202,$A126,$I$3)&amp;"",FIND(" ",INDEX(인턴근무계획!$M$3:$R$202,$A126,$I$3)&amp;"")-1))))</f>
        <v/>
      </c>
      <c r="J126" s="21">
        <f>IF(OR($C126="",$I$3=""),"",IF(INDEX(인턴근무계획!$M$3:$R$202,$A126,$I$3)&amp;""="","",IF(LEFT(INDEX(인턴근무계획!$M$3:$R$202,$A126,$I$3)&amp;"",1)="⚠","",MID(INDEX(인턴근무계획!$M$3:$R$202,$A126,$I$3)&amp;"",FIND(" ",INDEX(인턴근무계획!$M$3:$R$202,$A126,$I$3)&amp;"")+1,60))))</f>
        <v/>
      </c>
      <c r="K126" s="21">
        <f>IF($C126="","",INDEX(인턴근무계획!$M$3:$M$202,$A126)&amp;"")</f>
        <v/>
      </c>
      <c r="L126" s="21">
        <f>IF($C126="","",INDEX(인턴근무계획!$N$3:$N$202,$A126)&amp;"")</f>
        <v/>
      </c>
      <c r="M126" s="21">
        <f>IF($C126="","",INDEX(인턴근무계획!$O$3:$O$202,$A126)&amp;"")</f>
        <v/>
      </c>
      <c r="N126" s="21">
        <f>IF($C126="","",INDEX(인턴근무계획!$P$3:$P$202,$A126)&amp;"")</f>
        <v/>
      </c>
      <c r="O126" s="21">
        <f>IF($C126="","",INDEX(인턴근무계획!$Q$3:$Q$202,$A126)&amp;"")</f>
        <v/>
      </c>
      <c r="P126" s="21">
        <f>IF($C126="","",INDEX(인턴근무계획!$R$3:$R$202,$A126)&amp;"")</f>
        <v/>
      </c>
      <c r="Q126" s="21">
        <f>IF($C126="","",INDEX(인턴근무계획!$T$3:$T$202,$A126))</f>
        <v/>
      </c>
    </row>
    <row r="127">
      <c r="A127" s="24" t="n">
        <v>122</v>
      </c>
      <c r="B127" s="21">
        <f>IF($C127="","",INDEX(인턴근무계획!$B$3:$B$202,$A127))</f>
        <v/>
      </c>
      <c r="C127" s="21">
        <f>IFERROR(TRIM(INDEX(인턴근무계획!$C$3:$C$202,$A127)&amp;""),"")</f>
        <v/>
      </c>
      <c r="D127" s="21">
        <f>IF($C127="","",INDEX(인턴근무계획!$D$3:$D$202,$A127))</f>
        <v/>
      </c>
      <c r="E127" s="21">
        <f>IF($C127="","",IF(IFERROR(MATCH($D127,기본자료!$B$2:$B$501,0),IFERROR(MATCH($D127&amp;"",기본자료!$B$2:$B$501,0),IFERROR(MATCH(VALUE($D127),기본자료!$B$2:$B$501,0),0)))&gt;0,"확인","미등록"))</f>
        <v/>
      </c>
      <c r="F127" s="25">
        <f>IF($C127="","",INDEX(인턴근무계획!$S$3:$S$202,$A127))</f>
        <v/>
      </c>
      <c r="G127" s="21">
        <f>IF(OR($C127="",$G$3=""),"",IF(INDEX(인턴근무계획!$M$3:$R$202,$A127,$G$3)&amp;""="","",IF(LEFT(INDEX(인턴근무계획!$M$3:$R$202,$A127,$G$3)&amp;"",1)="⚠",INDEX(인턴근무계획!$M$3:$R$202,$A127,$G$3)&amp;"",LEFT(INDEX(인턴근무계획!$M$3:$R$202,$A127,$G$3)&amp;"",FIND(" ",INDEX(인턴근무계획!$M$3:$R$202,$A127,$G$3)&amp;"")-1))))</f>
        <v/>
      </c>
      <c r="H127" s="21">
        <f>IF(OR($C127="",$G$3=""),"",IF(INDEX(인턴근무계획!$M$3:$R$202,$A127,$G$3)&amp;""="","",IF(LEFT(INDEX(인턴근무계획!$M$3:$R$202,$A127,$G$3)&amp;"",1)="⚠","",MID(INDEX(인턴근무계획!$M$3:$R$202,$A127,$G$3)&amp;"",FIND(" ",INDEX(인턴근무계획!$M$3:$R$202,$A127,$G$3)&amp;"")+1,60))))</f>
        <v/>
      </c>
      <c r="I127" s="21">
        <f>IF(OR($C127="",$I$3=""),"",IF(INDEX(인턴근무계획!$M$3:$R$202,$A127,$I$3)&amp;""="","",IF(LEFT(INDEX(인턴근무계획!$M$3:$R$202,$A127,$I$3)&amp;"",1)="⚠",INDEX(인턴근무계획!$M$3:$R$202,$A127,$I$3)&amp;"",LEFT(INDEX(인턴근무계획!$M$3:$R$202,$A127,$I$3)&amp;"",FIND(" ",INDEX(인턴근무계획!$M$3:$R$202,$A127,$I$3)&amp;"")-1))))</f>
        <v/>
      </c>
      <c r="J127" s="21">
        <f>IF(OR($C127="",$I$3=""),"",IF(INDEX(인턴근무계획!$M$3:$R$202,$A127,$I$3)&amp;""="","",IF(LEFT(INDEX(인턴근무계획!$M$3:$R$202,$A127,$I$3)&amp;"",1)="⚠","",MID(INDEX(인턴근무계획!$M$3:$R$202,$A127,$I$3)&amp;"",FIND(" ",INDEX(인턴근무계획!$M$3:$R$202,$A127,$I$3)&amp;"")+1,60))))</f>
        <v/>
      </c>
      <c r="K127" s="21">
        <f>IF($C127="","",INDEX(인턴근무계획!$M$3:$M$202,$A127)&amp;"")</f>
        <v/>
      </c>
      <c r="L127" s="21">
        <f>IF($C127="","",INDEX(인턴근무계획!$N$3:$N$202,$A127)&amp;"")</f>
        <v/>
      </c>
      <c r="M127" s="21">
        <f>IF($C127="","",INDEX(인턴근무계획!$O$3:$O$202,$A127)&amp;"")</f>
        <v/>
      </c>
      <c r="N127" s="21">
        <f>IF($C127="","",INDEX(인턴근무계획!$P$3:$P$202,$A127)&amp;"")</f>
        <v/>
      </c>
      <c r="O127" s="21">
        <f>IF($C127="","",INDEX(인턴근무계획!$Q$3:$Q$202,$A127)&amp;"")</f>
        <v/>
      </c>
      <c r="P127" s="21">
        <f>IF($C127="","",INDEX(인턴근무계획!$R$3:$R$202,$A127)&amp;"")</f>
        <v/>
      </c>
      <c r="Q127" s="21">
        <f>IF($C127="","",INDEX(인턴근무계획!$T$3:$T$202,$A127))</f>
        <v/>
      </c>
    </row>
    <row r="128">
      <c r="A128" s="24" t="n">
        <v>123</v>
      </c>
      <c r="B128" s="21">
        <f>IF($C128="","",INDEX(인턴근무계획!$B$3:$B$202,$A128))</f>
        <v/>
      </c>
      <c r="C128" s="21">
        <f>IFERROR(TRIM(INDEX(인턴근무계획!$C$3:$C$202,$A128)&amp;""),"")</f>
        <v/>
      </c>
      <c r="D128" s="21">
        <f>IF($C128="","",INDEX(인턴근무계획!$D$3:$D$202,$A128))</f>
        <v/>
      </c>
      <c r="E128" s="21">
        <f>IF($C128="","",IF(IFERROR(MATCH($D128,기본자료!$B$2:$B$501,0),IFERROR(MATCH($D128&amp;"",기본자료!$B$2:$B$501,0),IFERROR(MATCH(VALUE($D128),기본자료!$B$2:$B$501,0),0)))&gt;0,"확인","미등록"))</f>
        <v/>
      </c>
      <c r="F128" s="25">
        <f>IF($C128="","",INDEX(인턴근무계획!$S$3:$S$202,$A128))</f>
        <v/>
      </c>
      <c r="G128" s="21">
        <f>IF(OR($C128="",$G$3=""),"",IF(INDEX(인턴근무계획!$M$3:$R$202,$A128,$G$3)&amp;""="","",IF(LEFT(INDEX(인턴근무계획!$M$3:$R$202,$A128,$G$3)&amp;"",1)="⚠",INDEX(인턴근무계획!$M$3:$R$202,$A128,$G$3)&amp;"",LEFT(INDEX(인턴근무계획!$M$3:$R$202,$A128,$G$3)&amp;"",FIND(" ",INDEX(인턴근무계획!$M$3:$R$202,$A128,$G$3)&amp;"")-1))))</f>
        <v/>
      </c>
      <c r="H128" s="21">
        <f>IF(OR($C128="",$G$3=""),"",IF(INDEX(인턴근무계획!$M$3:$R$202,$A128,$G$3)&amp;""="","",IF(LEFT(INDEX(인턴근무계획!$M$3:$R$202,$A128,$G$3)&amp;"",1)="⚠","",MID(INDEX(인턴근무계획!$M$3:$R$202,$A128,$G$3)&amp;"",FIND(" ",INDEX(인턴근무계획!$M$3:$R$202,$A128,$G$3)&amp;"")+1,60))))</f>
        <v/>
      </c>
      <c r="I128" s="21">
        <f>IF(OR($C128="",$I$3=""),"",IF(INDEX(인턴근무계획!$M$3:$R$202,$A128,$I$3)&amp;""="","",IF(LEFT(INDEX(인턴근무계획!$M$3:$R$202,$A128,$I$3)&amp;"",1)="⚠",INDEX(인턴근무계획!$M$3:$R$202,$A128,$I$3)&amp;"",LEFT(INDEX(인턴근무계획!$M$3:$R$202,$A128,$I$3)&amp;"",FIND(" ",INDEX(인턴근무계획!$M$3:$R$202,$A128,$I$3)&amp;"")-1))))</f>
        <v/>
      </c>
      <c r="J128" s="21">
        <f>IF(OR($C128="",$I$3=""),"",IF(INDEX(인턴근무계획!$M$3:$R$202,$A128,$I$3)&amp;""="","",IF(LEFT(INDEX(인턴근무계획!$M$3:$R$202,$A128,$I$3)&amp;"",1)="⚠","",MID(INDEX(인턴근무계획!$M$3:$R$202,$A128,$I$3)&amp;"",FIND(" ",INDEX(인턴근무계획!$M$3:$R$202,$A128,$I$3)&amp;"")+1,60))))</f>
        <v/>
      </c>
      <c r="K128" s="21">
        <f>IF($C128="","",INDEX(인턴근무계획!$M$3:$M$202,$A128)&amp;"")</f>
        <v/>
      </c>
      <c r="L128" s="21">
        <f>IF($C128="","",INDEX(인턴근무계획!$N$3:$N$202,$A128)&amp;"")</f>
        <v/>
      </c>
      <c r="M128" s="21">
        <f>IF($C128="","",INDEX(인턴근무계획!$O$3:$O$202,$A128)&amp;"")</f>
        <v/>
      </c>
      <c r="N128" s="21">
        <f>IF($C128="","",INDEX(인턴근무계획!$P$3:$P$202,$A128)&amp;"")</f>
        <v/>
      </c>
      <c r="O128" s="21">
        <f>IF($C128="","",INDEX(인턴근무계획!$Q$3:$Q$202,$A128)&amp;"")</f>
        <v/>
      </c>
      <c r="P128" s="21">
        <f>IF($C128="","",INDEX(인턴근무계획!$R$3:$R$202,$A128)&amp;"")</f>
        <v/>
      </c>
      <c r="Q128" s="21">
        <f>IF($C128="","",INDEX(인턴근무계획!$T$3:$T$202,$A128))</f>
        <v/>
      </c>
    </row>
    <row r="129">
      <c r="A129" s="24" t="n">
        <v>124</v>
      </c>
      <c r="B129" s="21">
        <f>IF($C129="","",INDEX(인턴근무계획!$B$3:$B$202,$A129))</f>
        <v/>
      </c>
      <c r="C129" s="21">
        <f>IFERROR(TRIM(INDEX(인턴근무계획!$C$3:$C$202,$A129)&amp;""),"")</f>
        <v/>
      </c>
      <c r="D129" s="21">
        <f>IF($C129="","",INDEX(인턴근무계획!$D$3:$D$202,$A129))</f>
        <v/>
      </c>
      <c r="E129" s="21">
        <f>IF($C129="","",IF(IFERROR(MATCH($D129,기본자료!$B$2:$B$501,0),IFERROR(MATCH($D129&amp;"",기본자료!$B$2:$B$501,0),IFERROR(MATCH(VALUE($D129),기본자료!$B$2:$B$501,0),0)))&gt;0,"확인","미등록"))</f>
        <v/>
      </c>
      <c r="F129" s="25">
        <f>IF($C129="","",INDEX(인턴근무계획!$S$3:$S$202,$A129))</f>
        <v/>
      </c>
      <c r="G129" s="21">
        <f>IF(OR($C129="",$G$3=""),"",IF(INDEX(인턴근무계획!$M$3:$R$202,$A129,$G$3)&amp;""="","",IF(LEFT(INDEX(인턴근무계획!$M$3:$R$202,$A129,$G$3)&amp;"",1)="⚠",INDEX(인턴근무계획!$M$3:$R$202,$A129,$G$3)&amp;"",LEFT(INDEX(인턴근무계획!$M$3:$R$202,$A129,$G$3)&amp;"",FIND(" ",INDEX(인턴근무계획!$M$3:$R$202,$A129,$G$3)&amp;"")-1))))</f>
        <v/>
      </c>
      <c r="H129" s="21">
        <f>IF(OR($C129="",$G$3=""),"",IF(INDEX(인턴근무계획!$M$3:$R$202,$A129,$G$3)&amp;""="","",IF(LEFT(INDEX(인턴근무계획!$M$3:$R$202,$A129,$G$3)&amp;"",1)="⚠","",MID(INDEX(인턴근무계획!$M$3:$R$202,$A129,$G$3)&amp;"",FIND(" ",INDEX(인턴근무계획!$M$3:$R$202,$A129,$G$3)&amp;"")+1,60))))</f>
        <v/>
      </c>
      <c r="I129" s="21">
        <f>IF(OR($C129="",$I$3=""),"",IF(INDEX(인턴근무계획!$M$3:$R$202,$A129,$I$3)&amp;""="","",IF(LEFT(INDEX(인턴근무계획!$M$3:$R$202,$A129,$I$3)&amp;"",1)="⚠",INDEX(인턴근무계획!$M$3:$R$202,$A129,$I$3)&amp;"",LEFT(INDEX(인턴근무계획!$M$3:$R$202,$A129,$I$3)&amp;"",FIND(" ",INDEX(인턴근무계획!$M$3:$R$202,$A129,$I$3)&amp;"")-1))))</f>
        <v/>
      </c>
      <c r="J129" s="21">
        <f>IF(OR($C129="",$I$3=""),"",IF(INDEX(인턴근무계획!$M$3:$R$202,$A129,$I$3)&amp;""="","",IF(LEFT(INDEX(인턴근무계획!$M$3:$R$202,$A129,$I$3)&amp;"",1)="⚠","",MID(INDEX(인턴근무계획!$M$3:$R$202,$A129,$I$3)&amp;"",FIND(" ",INDEX(인턴근무계획!$M$3:$R$202,$A129,$I$3)&amp;"")+1,60))))</f>
        <v/>
      </c>
      <c r="K129" s="21">
        <f>IF($C129="","",INDEX(인턴근무계획!$M$3:$M$202,$A129)&amp;"")</f>
        <v/>
      </c>
      <c r="L129" s="21">
        <f>IF($C129="","",INDEX(인턴근무계획!$N$3:$N$202,$A129)&amp;"")</f>
        <v/>
      </c>
      <c r="M129" s="21">
        <f>IF($C129="","",INDEX(인턴근무계획!$O$3:$O$202,$A129)&amp;"")</f>
        <v/>
      </c>
      <c r="N129" s="21">
        <f>IF($C129="","",INDEX(인턴근무계획!$P$3:$P$202,$A129)&amp;"")</f>
        <v/>
      </c>
      <c r="O129" s="21">
        <f>IF($C129="","",INDEX(인턴근무계획!$Q$3:$Q$202,$A129)&amp;"")</f>
        <v/>
      </c>
      <c r="P129" s="21">
        <f>IF($C129="","",INDEX(인턴근무계획!$R$3:$R$202,$A129)&amp;"")</f>
        <v/>
      </c>
      <c r="Q129" s="21">
        <f>IF($C129="","",INDEX(인턴근무계획!$T$3:$T$202,$A129))</f>
        <v/>
      </c>
    </row>
    <row r="130">
      <c r="A130" s="24" t="n">
        <v>125</v>
      </c>
      <c r="B130" s="21">
        <f>IF($C130="","",INDEX(인턴근무계획!$B$3:$B$202,$A130))</f>
        <v/>
      </c>
      <c r="C130" s="21">
        <f>IFERROR(TRIM(INDEX(인턴근무계획!$C$3:$C$202,$A130)&amp;""),"")</f>
        <v/>
      </c>
      <c r="D130" s="21">
        <f>IF($C130="","",INDEX(인턴근무계획!$D$3:$D$202,$A130))</f>
        <v/>
      </c>
      <c r="E130" s="21">
        <f>IF($C130="","",IF(IFERROR(MATCH($D130,기본자료!$B$2:$B$501,0),IFERROR(MATCH($D130&amp;"",기본자료!$B$2:$B$501,0),IFERROR(MATCH(VALUE($D130),기본자료!$B$2:$B$501,0),0)))&gt;0,"확인","미등록"))</f>
        <v/>
      </c>
      <c r="F130" s="25">
        <f>IF($C130="","",INDEX(인턴근무계획!$S$3:$S$202,$A130))</f>
        <v/>
      </c>
      <c r="G130" s="21">
        <f>IF(OR($C130="",$G$3=""),"",IF(INDEX(인턴근무계획!$M$3:$R$202,$A130,$G$3)&amp;""="","",IF(LEFT(INDEX(인턴근무계획!$M$3:$R$202,$A130,$G$3)&amp;"",1)="⚠",INDEX(인턴근무계획!$M$3:$R$202,$A130,$G$3)&amp;"",LEFT(INDEX(인턴근무계획!$M$3:$R$202,$A130,$G$3)&amp;"",FIND(" ",INDEX(인턴근무계획!$M$3:$R$202,$A130,$G$3)&amp;"")-1))))</f>
        <v/>
      </c>
      <c r="H130" s="21">
        <f>IF(OR($C130="",$G$3=""),"",IF(INDEX(인턴근무계획!$M$3:$R$202,$A130,$G$3)&amp;""="","",IF(LEFT(INDEX(인턴근무계획!$M$3:$R$202,$A130,$G$3)&amp;"",1)="⚠","",MID(INDEX(인턴근무계획!$M$3:$R$202,$A130,$G$3)&amp;"",FIND(" ",INDEX(인턴근무계획!$M$3:$R$202,$A130,$G$3)&amp;"")+1,60))))</f>
        <v/>
      </c>
      <c r="I130" s="21">
        <f>IF(OR($C130="",$I$3=""),"",IF(INDEX(인턴근무계획!$M$3:$R$202,$A130,$I$3)&amp;""="","",IF(LEFT(INDEX(인턴근무계획!$M$3:$R$202,$A130,$I$3)&amp;"",1)="⚠",INDEX(인턴근무계획!$M$3:$R$202,$A130,$I$3)&amp;"",LEFT(INDEX(인턴근무계획!$M$3:$R$202,$A130,$I$3)&amp;"",FIND(" ",INDEX(인턴근무계획!$M$3:$R$202,$A130,$I$3)&amp;"")-1))))</f>
        <v/>
      </c>
      <c r="J130" s="21">
        <f>IF(OR($C130="",$I$3=""),"",IF(INDEX(인턴근무계획!$M$3:$R$202,$A130,$I$3)&amp;""="","",IF(LEFT(INDEX(인턴근무계획!$M$3:$R$202,$A130,$I$3)&amp;"",1)="⚠","",MID(INDEX(인턴근무계획!$M$3:$R$202,$A130,$I$3)&amp;"",FIND(" ",INDEX(인턴근무계획!$M$3:$R$202,$A130,$I$3)&amp;"")+1,60))))</f>
        <v/>
      </c>
      <c r="K130" s="21">
        <f>IF($C130="","",INDEX(인턴근무계획!$M$3:$M$202,$A130)&amp;"")</f>
        <v/>
      </c>
      <c r="L130" s="21">
        <f>IF($C130="","",INDEX(인턴근무계획!$N$3:$N$202,$A130)&amp;"")</f>
        <v/>
      </c>
      <c r="M130" s="21">
        <f>IF($C130="","",INDEX(인턴근무계획!$O$3:$O$202,$A130)&amp;"")</f>
        <v/>
      </c>
      <c r="N130" s="21">
        <f>IF($C130="","",INDEX(인턴근무계획!$P$3:$P$202,$A130)&amp;"")</f>
        <v/>
      </c>
      <c r="O130" s="21">
        <f>IF($C130="","",INDEX(인턴근무계획!$Q$3:$Q$202,$A130)&amp;"")</f>
        <v/>
      </c>
      <c r="P130" s="21">
        <f>IF($C130="","",INDEX(인턴근무계획!$R$3:$R$202,$A130)&amp;"")</f>
        <v/>
      </c>
      <c r="Q130" s="21">
        <f>IF($C130="","",INDEX(인턴근무계획!$T$3:$T$202,$A130))</f>
        <v/>
      </c>
    </row>
    <row r="131">
      <c r="A131" s="24" t="n">
        <v>126</v>
      </c>
      <c r="B131" s="21">
        <f>IF($C131="","",INDEX(인턴근무계획!$B$3:$B$202,$A131))</f>
        <v/>
      </c>
      <c r="C131" s="21">
        <f>IFERROR(TRIM(INDEX(인턴근무계획!$C$3:$C$202,$A131)&amp;""),"")</f>
        <v/>
      </c>
      <c r="D131" s="21">
        <f>IF($C131="","",INDEX(인턴근무계획!$D$3:$D$202,$A131))</f>
        <v/>
      </c>
      <c r="E131" s="21">
        <f>IF($C131="","",IF(IFERROR(MATCH($D131,기본자료!$B$2:$B$501,0),IFERROR(MATCH($D131&amp;"",기본자료!$B$2:$B$501,0),IFERROR(MATCH(VALUE($D131),기본자료!$B$2:$B$501,0),0)))&gt;0,"확인","미등록"))</f>
        <v/>
      </c>
      <c r="F131" s="25">
        <f>IF($C131="","",INDEX(인턴근무계획!$S$3:$S$202,$A131))</f>
        <v/>
      </c>
      <c r="G131" s="21">
        <f>IF(OR($C131="",$G$3=""),"",IF(INDEX(인턴근무계획!$M$3:$R$202,$A131,$G$3)&amp;""="","",IF(LEFT(INDEX(인턴근무계획!$M$3:$R$202,$A131,$G$3)&amp;"",1)="⚠",INDEX(인턴근무계획!$M$3:$R$202,$A131,$G$3)&amp;"",LEFT(INDEX(인턴근무계획!$M$3:$R$202,$A131,$G$3)&amp;"",FIND(" ",INDEX(인턴근무계획!$M$3:$R$202,$A131,$G$3)&amp;"")-1))))</f>
        <v/>
      </c>
      <c r="H131" s="21">
        <f>IF(OR($C131="",$G$3=""),"",IF(INDEX(인턴근무계획!$M$3:$R$202,$A131,$G$3)&amp;""="","",IF(LEFT(INDEX(인턴근무계획!$M$3:$R$202,$A131,$G$3)&amp;"",1)="⚠","",MID(INDEX(인턴근무계획!$M$3:$R$202,$A131,$G$3)&amp;"",FIND(" ",INDEX(인턴근무계획!$M$3:$R$202,$A131,$G$3)&amp;"")+1,60))))</f>
        <v/>
      </c>
      <c r="I131" s="21">
        <f>IF(OR($C131="",$I$3=""),"",IF(INDEX(인턴근무계획!$M$3:$R$202,$A131,$I$3)&amp;""="","",IF(LEFT(INDEX(인턴근무계획!$M$3:$R$202,$A131,$I$3)&amp;"",1)="⚠",INDEX(인턴근무계획!$M$3:$R$202,$A131,$I$3)&amp;"",LEFT(INDEX(인턴근무계획!$M$3:$R$202,$A131,$I$3)&amp;"",FIND(" ",INDEX(인턴근무계획!$M$3:$R$202,$A131,$I$3)&amp;"")-1))))</f>
        <v/>
      </c>
      <c r="J131" s="21">
        <f>IF(OR($C131="",$I$3=""),"",IF(INDEX(인턴근무계획!$M$3:$R$202,$A131,$I$3)&amp;""="","",IF(LEFT(INDEX(인턴근무계획!$M$3:$R$202,$A131,$I$3)&amp;"",1)="⚠","",MID(INDEX(인턴근무계획!$M$3:$R$202,$A131,$I$3)&amp;"",FIND(" ",INDEX(인턴근무계획!$M$3:$R$202,$A131,$I$3)&amp;"")+1,60))))</f>
        <v/>
      </c>
      <c r="K131" s="21">
        <f>IF($C131="","",INDEX(인턴근무계획!$M$3:$M$202,$A131)&amp;"")</f>
        <v/>
      </c>
      <c r="L131" s="21">
        <f>IF($C131="","",INDEX(인턴근무계획!$N$3:$N$202,$A131)&amp;"")</f>
        <v/>
      </c>
      <c r="M131" s="21">
        <f>IF($C131="","",INDEX(인턴근무계획!$O$3:$O$202,$A131)&amp;"")</f>
        <v/>
      </c>
      <c r="N131" s="21">
        <f>IF($C131="","",INDEX(인턴근무계획!$P$3:$P$202,$A131)&amp;"")</f>
        <v/>
      </c>
      <c r="O131" s="21">
        <f>IF($C131="","",INDEX(인턴근무계획!$Q$3:$Q$202,$A131)&amp;"")</f>
        <v/>
      </c>
      <c r="P131" s="21">
        <f>IF($C131="","",INDEX(인턴근무계획!$R$3:$R$202,$A131)&amp;"")</f>
        <v/>
      </c>
      <c r="Q131" s="21">
        <f>IF($C131="","",INDEX(인턴근무계획!$T$3:$T$202,$A131))</f>
        <v/>
      </c>
    </row>
    <row r="132">
      <c r="A132" s="24" t="n">
        <v>127</v>
      </c>
      <c r="B132" s="21">
        <f>IF($C132="","",INDEX(인턴근무계획!$B$3:$B$202,$A132))</f>
        <v/>
      </c>
      <c r="C132" s="21">
        <f>IFERROR(TRIM(INDEX(인턴근무계획!$C$3:$C$202,$A132)&amp;""),"")</f>
        <v/>
      </c>
      <c r="D132" s="21">
        <f>IF($C132="","",INDEX(인턴근무계획!$D$3:$D$202,$A132))</f>
        <v/>
      </c>
      <c r="E132" s="21">
        <f>IF($C132="","",IF(IFERROR(MATCH($D132,기본자료!$B$2:$B$501,0),IFERROR(MATCH($D132&amp;"",기본자료!$B$2:$B$501,0),IFERROR(MATCH(VALUE($D132),기본자료!$B$2:$B$501,0),0)))&gt;0,"확인","미등록"))</f>
        <v/>
      </c>
      <c r="F132" s="25">
        <f>IF($C132="","",INDEX(인턴근무계획!$S$3:$S$202,$A132))</f>
        <v/>
      </c>
      <c r="G132" s="21">
        <f>IF(OR($C132="",$G$3=""),"",IF(INDEX(인턴근무계획!$M$3:$R$202,$A132,$G$3)&amp;""="","",IF(LEFT(INDEX(인턴근무계획!$M$3:$R$202,$A132,$G$3)&amp;"",1)="⚠",INDEX(인턴근무계획!$M$3:$R$202,$A132,$G$3)&amp;"",LEFT(INDEX(인턴근무계획!$M$3:$R$202,$A132,$G$3)&amp;"",FIND(" ",INDEX(인턴근무계획!$M$3:$R$202,$A132,$G$3)&amp;"")-1))))</f>
        <v/>
      </c>
      <c r="H132" s="21">
        <f>IF(OR($C132="",$G$3=""),"",IF(INDEX(인턴근무계획!$M$3:$R$202,$A132,$G$3)&amp;""="","",IF(LEFT(INDEX(인턴근무계획!$M$3:$R$202,$A132,$G$3)&amp;"",1)="⚠","",MID(INDEX(인턴근무계획!$M$3:$R$202,$A132,$G$3)&amp;"",FIND(" ",INDEX(인턴근무계획!$M$3:$R$202,$A132,$G$3)&amp;"")+1,60))))</f>
        <v/>
      </c>
      <c r="I132" s="21">
        <f>IF(OR($C132="",$I$3=""),"",IF(INDEX(인턴근무계획!$M$3:$R$202,$A132,$I$3)&amp;""="","",IF(LEFT(INDEX(인턴근무계획!$M$3:$R$202,$A132,$I$3)&amp;"",1)="⚠",INDEX(인턴근무계획!$M$3:$R$202,$A132,$I$3)&amp;"",LEFT(INDEX(인턴근무계획!$M$3:$R$202,$A132,$I$3)&amp;"",FIND(" ",INDEX(인턴근무계획!$M$3:$R$202,$A132,$I$3)&amp;"")-1))))</f>
        <v/>
      </c>
      <c r="J132" s="21">
        <f>IF(OR($C132="",$I$3=""),"",IF(INDEX(인턴근무계획!$M$3:$R$202,$A132,$I$3)&amp;""="","",IF(LEFT(INDEX(인턴근무계획!$M$3:$R$202,$A132,$I$3)&amp;"",1)="⚠","",MID(INDEX(인턴근무계획!$M$3:$R$202,$A132,$I$3)&amp;"",FIND(" ",INDEX(인턴근무계획!$M$3:$R$202,$A132,$I$3)&amp;"")+1,60))))</f>
        <v/>
      </c>
      <c r="K132" s="21">
        <f>IF($C132="","",INDEX(인턴근무계획!$M$3:$M$202,$A132)&amp;"")</f>
        <v/>
      </c>
      <c r="L132" s="21">
        <f>IF($C132="","",INDEX(인턴근무계획!$N$3:$N$202,$A132)&amp;"")</f>
        <v/>
      </c>
      <c r="M132" s="21">
        <f>IF($C132="","",INDEX(인턴근무계획!$O$3:$O$202,$A132)&amp;"")</f>
        <v/>
      </c>
      <c r="N132" s="21">
        <f>IF($C132="","",INDEX(인턴근무계획!$P$3:$P$202,$A132)&amp;"")</f>
        <v/>
      </c>
      <c r="O132" s="21">
        <f>IF($C132="","",INDEX(인턴근무계획!$Q$3:$Q$202,$A132)&amp;"")</f>
        <v/>
      </c>
      <c r="P132" s="21">
        <f>IF($C132="","",INDEX(인턴근무계획!$R$3:$R$202,$A132)&amp;"")</f>
        <v/>
      </c>
      <c r="Q132" s="21">
        <f>IF($C132="","",INDEX(인턴근무계획!$T$3:$T$202,$A132))</f>
        <v/>
      </c>
    </row>
    <row r="133">
      <c r="A133" s="24" t="n">
        <v>128</v>
      </c>
      <c r="B133" s="21">
        <f>IF($C133="","",INDEX(인턴근무계획!$B$3:$B$202,$A133))</f>
        <v/>
      </c>
      <c r="C133" s="21">
        <f>IFERROR(TRIM(INDEX(인턴근무계획!$C$3:$C$202,$A133)&amp;""),"")</f>
        <v/>
      </c>
      <c r="D133" s="21">
        <f>IF($C133="","",INDEX(인턴근무계획!$D$3:$D$202,$A133))</f>
        <v/>
      </c>
      <c r="E133" s="21">
        <f>IF($C133="","",IF(IFERROR(MATCH($D133,기본자료!$B$2:$B$501,0),IFERROR(MATCH($D133&amp;"",기본자료!$B$2:$B$501,0),IFERROR(MATCH(VALUE($D133),기본자료!$B$2:$B$501,0),0)))&gt;0,"확인","미등록"))</f>
        <v/>
      </c>
      <c r="F133" s="25">
        <f>IF($C133="","",INDEX(인턴근무계획!$S$3:$S$202,$A133))</f>
        <v/>
      </c>
      <c r="G133" s="21">
        <f>IF(OR($C133="",$G$3=""),"",IF(INDEX(인턴근무계획!$M$3:$R$202,$A133,$G$3)&amp;""="","",IF(LEFT(INDEX(인턴근무계획!$M$3:$R$202,$A133,$G$3)&amp;"",1)="⚠",INDEX(인턴근무계획!$M$3:$R$202,$A133,$G$3)&amp;"",LEFT(INDEX(인턴근무계획!$M$3:$R$202,$A133,$G$3)&amp;"",FIND(" ",INDEX(인턴근무계획!$M$3:$R$202,$A133,$G$3)&amp;"")-1))))</f>
        <v/>
      </c>
      <c r="H133" s="21">
        <f>IF(OR($C133="",$G$3=""),"",IF(INDEX(인턴근무계획!$M$3:$R$202,$A133,$G$3)&amp;""="","",IF(LEFT(INDEX(인턴근무계획!$M$3:$R$202,$A133,$G$3)&amp;"",1)="⚠","",MID(INDEX(인턴근무계획!$M$3:$R$202,$A133,$G$3)&amp;"",FIND(" ",INDEX(인턴근무계획!$M$3:$R$202,$A133,$G$3)&amp;"")+1,60))))</f>
        <v/>
      </c>
      <c r="I133" s="21">
        <f>IF(OR($C133="",$I$3=""),"",IF(INDEX(인턴근무계획!$M$3:$R$202,$A133,$I$3)&amp;""="","",IF(LEFT(INDEX(인턴근무계획!$M$3:$R$202,$A133,$I$3)&amp;"",1)="⚠",INDEX(인턴근무계획!$M$3:$R$202,$A133,$I$3)&amp;"",LEFT(INDEX(인턴근무계획!$M$3:$R$202,$A133,$I$3)&amp;"",FIND(" ",INDEX(인턴근무계획!$M$3:$R$202,$A133,$I$3)&amp;"")-1))))</f>
        <v/>
      </c>
      <c r="J133" s="21">
        <f>IF(OR($C133="",$I$3=""),"",IF(INDEX(인턴근무계획!$M$3:$R$202,$A133,$I$3)&amp;""="","",IF(LEFT(INDEX(인턴근무계획!$M$3:$R$202,$A133,$I$3)&amp;"",1)="⚠","",MID(INDEX(인턴근무계획!$M$3:$R$202,$A133,$I$3)&amp;"",FIND(" ",INDEX(인턴근무계획!$M$3:$R$202,$A133,$I$3)&amp;"")+1,60))))</f>
        <v/>
      </c>
      <c r="K133" s="21">
        <f>IF($C133="","",INDEX(인턴근무계획!$M$3:$M$202,$A133)&amp;"")</f>
        <v/>
      </c>
      <c r="L133" s="21">
        <f>IF($C133="","",INDEX(인턴근무계획!$N$3:$N$202,$A133)&amp;"")</f>
        <v/>
      </c>
      <c r="M133" s="21">
        <f>IF($C133="","",INDEX(인턴근무계획!$O$3:$O$202,$A133)&amp;"")</f>
        <v/>
      </c>
      <c r="N133" s="21">
        <f>IF($C133="","",INDEX(인턴근무계획!$P$3:$P$202,$A133)&amp;"")</f>
        <v/>
      </c>
      <c r="O133" s="21">
        <f>IF($C133="","",INDEX(인턴근무계획!$Q$3:$Q$202,$A133)&amp;"")</f>
        <v/>
      </c>
      <c r="P133" s="21">
        <f>IF($C133="","",INDEX(인턴근무계획!$R$3:$R$202,$A133)&amp;"")</f>
        <v/>
      </c>
      <c r="Q133" s="21">
        <f>IF($C133="","",INDEX(인턴근무계획!$T$3:$T$202,$A133))</f>
        <v/>
      </c>
    </row>
    <row r="134">
      <c r="A134" s="24" t="n">
        <v>129</v>
      </c>
      <c r="B134" s="21">
        <f>IF($C134="","",INDEX(인턴근무계획!$B$3:$B$202,$A134))</f>
        <v/>
      </c>
      <c r="C134" s="21">
        <f>IFERROR(TRIM(INDEX(인턴근무계획!$C$3:$C$202,$A134)&amp;""),"")</f>
        <v/>
      </c>
      <c r="D134" s="21">
        <f>IF($C134="","",INDEX(인턴근무계획!$D$3:$D$202,$A134))</f>
        <v/>
      </c>
      <c r="E134" s="21">
        <f>IF($C134="","",IF(IFERROR(MATCH($D134,기본자료!$B$2:$B$501,0),IFERROR(MATCH($D134&amp;"",기본자료!$B$2:$B$501,0),IFERROR(MATCH(VALUE($D134),기본자료!$B$2:$B$501,0),0)))&gt;0,"확인","미등록"))</f>
        <v/>
      </c>
      <c r="F134" s="25">
        <f>IF($C134="","",INDEX(인턴근무계획!$S$3:$S$202,$A134))</f>
        <v/>
      </c>
      <c r="G134" s="21">
        <f>IF(OR($C134="",$G$3=""),"",IF(INDEX(인턴근무계획!$M$3:$R$202,$A134,$G$3)&amp;""="","",IF(LEFT(INDEX(인턴근무계획!$M$3:$R$202,$A134,$G$3)&amp;"",1)="⚠",INDEX(인턴근무계획!$M$3:$R$202,$A134,$G$3)&amp;"",LEFT(INDEX(인턴근무계획!$M$3:$R$202,$A134,$G$3)&amp;"",FIND(" ",INDEX(인턴근무계획!$M$3:$R$202,$A134,$G$3)&amp;"")-1))))</f>
        <v/>
      </c>
      <c r="H134" s="21">
        <f>IF(OR($C134="",$G$3=""),"",IF(INDEX(인턴근무계획!$M$3:$R$202,$A134,$G$3)&amp;""="","",IF(LEFT(INDEX(인턴근무계획!$M$3:$R$202,$A134,$G$3)&amp;"",1)="⚠","",MID(INDEX(인턴근무계획!$M$3:$R$202,$A134,$G$3)&amp;"",FIND(" ",INDEX(인턴근무계획!$M$3:$R$202,$A134,$G$3)&amp;"")+1,60))))</f>
        <v/>
      </c>
      <c r="I134" s="21">
        <f>IF(OR($C134="",$I$3=""),"",IF(INDEX(인턴근무계획!$M$3:$R$202,$A134,$I$3)&amp;""="","",IF(LEFT(INDEX(인턴근무계획!$M$3:$R$202,$A134,$I$3)&amp;"",1)="⚠",INDEX(인턴근무계획!$M$3:$R$202,$A134,$I$3)&amp;"",LEFT(INDEX(인턴근무계획!$M$3:$R$202,$A134,$I$3)&amp;"",FIND(" ",INDEX(인턴근무계획!$M$3:$R$202,$A134,$I$3)&amp;"")-1))))</f>
        <v/>
      </c>
      <c r="J134" s="21">
        <f>IF(OR($C134="",$I$3=""),"",IF(INDEX(인턴근무계획!$M$3:$R$202,$A134,$I$3)&amp;""="","",IF(LEFT(INDEX(인턴근무계획!$M$3:$R$202,$A134,$I$3)&amp;"",1)="⚠","",MID(INDEX(인턴근무계획!$M$3:$R$202,$A134,$I$3)&amp;"",FIND(" ",INDEX(인턴근무계획!$M$3:$R$202,$A134,$I$3)&amp;"")+1,60))))</f>
        <v/>
      </c>
      <c r="K134" s="21">
        <f>IF($C134="","",INDEX(인턴근무계획!$M$3:$M$202,$A134)&amp;"")</f>
        <v/>
      </c>
      <c r="L134" s="21">
        <f>IF($C134="","",INDEX(인턴근무계획!$N$3:$N$202,$A134)&amp;"")</f>
        <v/>
      </c>
      <c r="M134" s="21">
        <f>IF($C134="","",INDEX(인턴근무계획!$O$3:$O$202,$A134)&amp;"")</f>
        <v/>
      </c>
      <c r="N134" s="21">
        <f>IF($C134="","",INDEX(인턴근무계획!$P$3:$P$202,$A134)&amp;"")</f>
        <v/>
      </c>
      <c r="O134" s="21">
        <f>IF($C134="","",INDEX(인턴근무계획!$Q$3:$Q$202,$A134)&amp;"")</f>
        <v/>
      </c>
      <c r="P134" s="21">
        <f>IF($C134="","",INDEX(인턴근무계획!$R$3:$R$202,$A134)&amp;"")</f>
        <v/>
      </c>
      <c r="Q134" s="21">
        <f>IF($C134="","",INDEX(인턴근무계획!$T$3:$T$202,$A134))</f>
        <v/>
      </c>
    </row>
    <row r="135">
      <c r="A135" s="24" t="n">
        <v>130</v>
      </c>
      <c r="B135" s="21">
        <f>IF($C135="","",INDEX(인턴근무계획!$B$3:$B$202,$A135))</f>
        <v/>
      </c>
      <c r="C135" s="21">
        <f>IFERROR(TRIM(INDEX(인턴근무계획!$C$3:$C$202,$A135)&amp;""),"")</f>
        <v/>
      </c>
      <c r="D135" s="21">
        <f>IF($C135="","",INDEX(인턴근무계획!$D$3:$D$202,$A135))</f>
        <v/>
      </c>
      <c r="E135" s="21">
        <f>IF($C135="","",IF(IFERROR(MATCH($D135,기본자료!$B$2:$B$501,0),IFERROR(MATCH($D135&amp;"",기본자료!$B$2:$B$501,0),IFERROR(MATCH(VALUE($D135),기본자료!$B$2:$B$501,0),0)))&gt;0,"확인","미등록"))</f>
        <v/>
      </c>
      <c r="F135" s="25">
        <f>IF($C135="","",INDEX(인턴근무계획!$S$3:$S$202,$A135))</f>
        <v/>
      </c>
      <c r="G135" s="21">
        <f>IF(OR($C135="",$G$3=""),"",IF(INDEX(인턴근무계획!$M$3:$R$202,$A135,$G$3)&amp;""="","",IF(LEFT(INDEX(인턴근무계획!$M$3:$R$202,$A135,$G$3)&amp;"",1)="⚠",INDEX(인턴근무계획!$M$3:$R$202,$A135,$G$3)&amp;"",LEFT(INDEX(인턴근무계획!$M$3:$R$202,$A135,$G$3)&amp;"",FIND(" ",INDEX(인턴근무계획!$M$3:$R$202,$A135,$G$3)&amp;"")-1))))</f>
        <v/>
      </c>
      <c r="H135" s="21">
        <f>IF(OR($C135="",$G$3=""),"",IF(INDEX(인턴근무계획!$M$3:$R$202,$A135,$G$3)&amp;""="","",IF(LEFT(INDEX(인턴근무계획!$M$3:$R$202,$A135,$G$3)&amp;"",1)="⚠","",MID(INDEX(인턴근무계획!$M$3:$R$202,$A135,$G$3)&amp;"",FIND(" ",INDEX(인턴근무계획!$M$3:$R$202,$A135,$G$3)&amp;"")+1,60))))</f>
        <v/>
      </c>
      <c r="I135" s="21">
        <f>IF(OR($C135="",$I$3=""),"",IF(INDEX(인턴근무계획!$M$3:$R$202,$A135,$I$3)&amp;""="","",IF(LEFT(INDEX(인턴근무계획!$M$3:$R$202,$A135,$I$3)&amp;"",1)="⚠",INDEX(인턴근무계획!$M$3:$R$202,$A135,$I$3)&amp;"",LEFT(INDEX(인턴근무계획!$M$3:$R$202,$A135,$I$3)&amp;"",FIND(" ",INDEX(인턴근무계획!$M$3:$R$202,$A135,$I$3)&amp;"")-1))))</f>
        <v/>
      </c>
      <c r="J135" s="21">
        <f>IF(OR($C135="",$I$3=""),"",IF(INDEX(인턴근무계획!$M$3:$R$202,$A135,$I$3)&amp;""="","",IF(LEFT(INDEX(인턴근무계획!$M$3:$R$202,$A135,$I$3)&amp;"",1)="⚠","",MID(INDEX(인턴근무계획!$M$3:$R$202,$A135,$I$3)&amp;"",FIND(" ",INDEX(인턴근무계획!$M$3:$R$202,$A135,$I$3)&amp;"")+1,60))))</f>
        <v/>
      </c>
      <c r="K135" s="21">
        <f>IF($C135="","",INDEX(인턴근무계획!$M$3:$M$202,$A135)&amp;"")</f>
        <v/>
      </c>
      <c r="L135" s="21">
        <f>IF($C135="","",INDEX(인턴근무계획!$N$3:$N$202,$A135)&amp;"")</f>
        <v/>
      </c>
      <c r="M135" s="21">
        <f>IF($C135="","",INDEX(인턴근무계획!$O$3:$O$202,$A135)&amp;"")</f>
        <v/>
      </c>
      <c r="N135" s="21">
        <f>IF($C135="","",INDEX(인턴근무계획!$P$3:$P$202,$A135)&amp;"")</f>
        <v/>
      </c>
      <c r="O135" s="21">
        <f>IF($C135="","",INDEX(인턴근무계획!$Q$3:$Q$202,$A135)&amp;"")</f>
        <v/>
      </c>
      <c r="P135" s="21">
        <f>IF($C135="","",INDEX(인턴근무계획!$R$3:$R$202,$A135)&amp;"")</f>
        <v/>
      </c>
      <c r="Q135" s="21">
        <f>IF($C135="","",INDEX(인턴근무계획!$T$3:$T$202,$A135))</f>
        <v/>
      </c>
    </row>
    <row r="136">
      <c r="A136" s="24" t="n">
        <v>131</v>
      </c>
      <c r="B136" s="21">
        <f>IF($C136="","",INDEX(인턴근무계획!$B$3:$B$202,$A136))</f>
        <v/>
      </c>
      <c r="C136" s="21">
        <f>IFERROR(TRIM(INDEX(인턴근무계획!$C$3:$C$202,$A136)&amp;""),"")</f>
        <v/>
      </c>
      <c r="D136" s="21">
        <f>IF($C136="","",INDEX(인턴근무계획!$D$3:$D$202,$A136))</f>
        <v/>
      </c>
      <c r="E136" s="21">
        <f>IF($C136="","",IF(IFERROR(MATCH($D136,기본자료!$B$2:$B$501,0),IFERROR(MATCH($D136&amp;"",기본자료!$B$2:$B$501,0),IFERROR(MATCH(VALUE($D136),기본자료!$B$2:$B$501,0),0)))&gt;0,"확인","미등록"))</f>
        <v/>
      </c>
      <c r="F136" s="25">
        <f>IF($C136="","",INDEX(인턴근무계획!$S$3:$S$202,$A136))</f>
        <v/>
      </c>
      <c r="G136" s="21">
        <f>IF(OR($C136="",$G$3=""),"",IF(INDEX(인턴근무계획!$M$3:$R$202,$A136,$G$3)&amp;""="","",IF(LEFT(INDEX(인턴근무계획!$M$3:$R$202,$A136,$G$3)&amp;"",1)="⚠",INDEX(인턴근무계획!$M$3:$R$202,$A136,$G$3)&amp;"",LEFT(INDEX(인턴근무계획!$M$3:$R$202,$A136,$G$3)&amp;"",FIND(" ",INDEX(인턴근무계획!$M$3:$R$202,$A136,$G$3)&amp;"")-1))))</f>
        <v/>
      </c>
      <c r="H136" s="21">
        <f>IF(OR($C136="",$G$3=""),"",IF(INDEX(인턴근무계획!$M$3:$R$202,$A136,$G$3)&amp;""="","",IF(LEFT(INDEX(인턴근무계획!$M$3:$R$202,$A136,$G$3)&amp;"",1)="⚠","",MID(INDEX(인턴근무계획!$M$3:$R$202,$A136,$G$3)&amp;"",FIND(" ",INDEX(인턴근무계획!$M$3:$R$202,$A136,$G$3)&amp;"")+1,60))))</f>
        <v/>
      </c>
      <c r="I136" s="21">
        <f>IF(OR($C136="",$I$3=""),"",IF(INDEX(인턴근무계획!$M$3:$R$202,$A136,$I$3)&amp;""="","",IF(LEFT(INDEX(인턴근무계획!$M$3:$R$202,$A136,$I$3)&amp;"",1)="⚠",INDEX(인턴근무계획!$M$3:$R$202,$A136,$I$3)&amp;"",LEFT(INDEX(인턴근무계획!$M$3:$R$202,$A136,$I$3)&amp;"",FIND(" ",INDEX(인턴근무계획!$M$3:$R$202,$A136,$I$3)&amp;"")-1))))</f>
        <v/>
      </c>
      <c r="J136" s="21">
        <f>IF(OR($C136="",$I$3=""),"",IF(INDEX(인턴근무계획!$M$3:$R$202,$A136,$I$3)&amp;""="","",IF(LEFT(INDEX(인턴근무계획!$M$3:$R$202,$A136,$I$3)&amp;"",1)="⚠","",MID(INDEX(인턴근무계획!$M$3:$R$202,$A136,$I$3)&amp;"",FIND(" ",INDEX(인턴근무계획!$M$3:$R$202,$A136,$I$3)&amp;"")+1,60))))</f>
        <v/>
      </c>
      <c r="K136" s="21">
        <f>IF($C136="","",INDEX(인턴근무계획!$M$3:$M$202,$A136)&amp;"")</f>
        <v/>
      </c>
      <c r="L136" s="21">
        <f>IF($C136="","",INDEX(인턴근무계획!$N$3:$N$202,$A136)&amp;"")</f>
        <v/>
      </c>
      <c r="M136" s="21">
        <f>IF($C136="","",INDEX(인턴근무계획!$O$3:$O$202,$A136)&amp;"")</f>
        <v/>
      </c>
      <c r="N136" s="21">
        <f>IF($C136="","",INDEX(인턴근무계획!$P$3:$P$202,$A136)&amp;"")</f>
        <v/>
      </c>
      <c r="O136" s="21">
        <f>IF($C136="","",INDEX(인턴근무계획!$Q$3:$Q$202,$A136)&amp;"")</f>
        <v/>
      </c>
      <c r="P136" s="21">
        <f>IF($C136="","",INDEX(인턴근무계획!$R$3:$R$202,$A136)&amp;"")</f>
        <v/>
      </c>
      <c r="Q136" s="21">
        <f>IF($C136="","",INDEX(인턴근무계획!$T$3:$T$202,$A136))</f>
        <v/>
      </c>
    </row>
    <row r="137">
      <c r="A137" s="24" t="n">
        <v>132</v>
      </c>
      <c r="B137" s="21">
        <f>IF($C137="","",INDEX(인턴근무계획!$B$3:$B$202,$A137))</f>
        <v/>
      </c>
      <c r="C137" s="21">
        <f>IFERROR(TRIM(INDEX(인턴근무계획!$C$3:$C$202,$A137)&amp;""),"")</f>
        <v/>
      </c>
      <c r="D137" s="21">
        <f>IF($C137="","",INDEX(인턴근무계획!$D$3:$D$202,$A137))</f>
        <v/>
      </c>
      <c r="E137" s="21">
        <f>IF($C137="","",IF(IFERROR(MATCH($D137,기본자료!$B$2:$B$501,0),IFERROR(MATCH($D137&amp;"",기본자료!$B$2:$B$501,0),IFERROR(MATCH(VALUE($D137),기본자료!$B$2:$B$501,0),0)))&gt;0,"확인","미등록"))</f>
        <v/>
      </c>
      <c r="F137" s="25">
        <f>IF($C137="","",INDEX(인턴근무계획!$S$3:$S$202,$A137))</f>
        <v/>
      </c>
      <c r="G137" s="21">
        <f>IF(OR($C137="",$G$3=""),"",IF(INDEX(인턴근무계획!$M$3:$R$202,$A137,$G$3)&amp;""="","",IF(LEFT(INDEX(인턴근무계획!$M$3:$R$202,$A137,$G$3)&amp;"",1)="⚠",INDEX(인턴근무계획!$M$3:$R$202,$A137,$G$3)&amp;"",LEFT(INDEX(인턴근무계획!$M$3:$R$202,$A137,$G$3)&amp;"",FIND(" ",INDEX(인턴근무계획!$M$3:$R$202,$A137,$G$3)&amp;"")-1))))</f>
        <v/>
      </c>
      <c r="H137" s="21">
        <f>IF(OR($C137="",$G$3=""),"",IF(INDEX(인턴근무계획!$M$3:$R$202,$A137,$G$3)&amp;""="","",IF(LEFT(INDEX(인턴근무계획!$M$3:$R$202,$A137,$G$3)&amp;"",1)="⚠","",MID(INDEX(인턴근무계획!$M$3:$R$202,$A137,$G$3)&amp;"",FIND(" ",INDEX(인턴근무계획!$M$3:$R$202,$A137,$G$3)&amp;"")+1,60))))</f>
        <v/>
      </c>
      <c r="I137" s="21">
        <f>IF(OR($C137="",$I$3=""),"",IF(INDEX(인턴근무계획!$M$3:$R$202,$A137,$I$3)&amp;""="","",IF(LEFT(INDEX(인턴근무계획!$M$3:$R$202,$A137,$I$3)&amp;"",1)="⚠",INDEX(인턴근무계획!$M$3:$R$202,$A137,$I$3)&amp;"",LEFT(INDEX(인턴근무계획!$M$3:$R$202,$A137,$I$3)&amp;"",FIND(" ",INDEX(인턴근무계획!$M$3:$R$202,$A137,$I$3)&amp;"")-1))))</f>
        <v/>
      </c>
      <c r="J137" s="21">
        <f>IF(OR($C137="",$I$3=""),"",IF(INDEX(인턴근무계획!$M$3:$R$202,$A137,$I$3)&amp;""="","",IF(LEFT(INDEX(인턴근무계획!$M$3:$R$202,$A137,$I$3)&amp;"",1)="⚠","",MID(INDEX(인턴근무계획!$M$3:$R$202,$A137,$I$3)&amp;"",FIND(" ",INDEX(인턴근무계획!$M$3:$R$202,$A137,$I$3)&amp;"")+1,60))))</f>
        <v/>
      </c>
      <c r="K137" s="21">
        <f>IF($C137="","",INDEX(인턴근무계획!$M$3:$M$202,$A137)&amp;"")</f>
        <v/>
      </c>
      <c r="L137" s="21">
        <f>IF($C137="","",INDEX(인턴근무계획!$N$3:$N$202,$A137)&amp;"")</f>
        <v/>
      </c>
      <c r="M137" s="21">
        <f>IF($C137="","",INDEX(인턴근무계획!$O$3:$O$202,$A137)&amp;"")</f>
        <v/>
      </c>
      <c r="N137" s="21">
        <f>IF($C137="","",INDEX(인턴근무계획!$P$3:$P$202,$A137)&amp;"")</f>
        <v/>
      </c>
      <c r="O137" s="21">
        <f>IF($C137="","",INDEX(인턴근무계획!$Q$3:$Q$202,$A137)&amp;"")</f>
        <v/>
      </c>
      <c r="P137" s="21">
        <f>IF($C137="","",INDEX(인턴근무계획!$R$3:$R$202,$A137)&amp;"")</f>
        <v/>
      </c>
      <c r="Q137" s="21">
        <f>IF($C137="","",INDEX(인턴근무계획!$T$3:$T$202,$A137))</f>
        <v/>
      </c>
    </row>
    <row r="138">
      <c r="A138" s="24" t="n">
        <v>133</v>
      </c>
      <c r="B138" s="21">
        <f>IF($C138="","",INDEX(인턴근무계획!$B$3:$B$202,$A138))</f>
        <v/>
      </c>
      <c r="C138" s="21">
        <f>IFERROR(TRIM(INDEX(인턴근무계획!$C$3:$C$202,$A138)&amp;""),"")</f>
        <v/>
      </c>
      <c r="D138" s="21">
        <f>IF($C138="","",INDEX(인턴근무계획!$D$3:$D$202,$A138))</f>
        <v/>
      </c>
      <c r="E138" s="21">
        <f>IF($C138="","",IF(IFERROR(MATCH($D138,기본자료!$B$2:$B$501,0),IFERROR(MATCH($D138&amp;"",기본자료!$B$2:$B$501,0),IFERROR(MATCH(VALUE($D138),기본자료!$B$2:$B$501,0),0)))&gt;0,"확인","미등록"))</f>
        <v/>
      </c>
      <c r="F138" s="25">
        <f>IF($C138="","",INDEX(인턴근무계획!$S$3:$S$202,$A138))</f>
        <v/>
      </c>
      <c r="G138" s="21">
        <f>IF(OR($C138="",$G$3=""),"",IF(INDEX(인턴근무계획!$M$3:$R$202,$A138,$G$3)&amp;""="","",IF(LEFT(INDEX(인턴근무계획!$M$3:$R$202,$A138,$G$3)&amp;"",1)="⚠",INDEX(인턴근무계획!$M$3:$R$202,$A138,$G$3)&amp;"",LEFT(INDEX(인턴근무계획!$M$3:$R$202,$A138,$G$3)&amp;"",FIND(" ",INDEX(인턴근무계획!$M$3:$R$202,$A138,$G$3)&amp;"")-1))))</f>
        <v/>
      </c>
      <c r="H138" s="21">
        <f>IF(OR($C138="",$G$3=""),"",IF(INDEX(인턴근무계획!$M$3:$R$202,$A138,$G$3)&amp;""="","",IF(LEFT(INDEX(인턴근무계획!$M$3:$R$202,$A138,$G$3)&amp;"",1)="⚠","",MID(INDEX(인턴근무계획!$M$3:$R$202,$A138,$G$3)&amp;"",FIND(" ",INDEX(인턴근무계획!$M$3:$R$202,$A138,$G$3)&amp;"")+1,60))))</f>
        <v/>
      </c>
      <c r="I138" s="21">
        <f>IF(OR($C138="",$I$3=""),"",IF(INDEX(인턴근무계획!$M$3:$R$202,$A138,$I$3)&amp;""="","",IF(LEFT(INDEX(인턴근무계획!$M$3:$R$202,$A138,$I$3)&amp;"",1)="⚠",INDEX(인턴근무계획!$M$3:$R$202,$A138,$I$3)&amp;"",LEFT(INDEX(인턴근무계획!$M$3:$R$202,$A138,$I$3)&amp;"",FIND(" ",INDEX(인턴근무계획!$M$3:$R$202,$A138,$I$3)&amp;"")-1))))</f>
        <v/>
      </c>
      <c r="J138" s="21">
        <f>IF(OR($C138="",$I$3=""),"",IF(INDEX(인턴근무계획!$M$3:$R$202,$A138,$I$3)&amp;""="","",IF(LEFT(INDEX(인턴근무계획!$M$3:$R$202,$A138,$I$3)&amp;"",1)="⚠","",MID(INDEX(인턴근무계획!$M$3:$R$202,$A138,$I$3)&amp;"",FIND(" ",INDEX(인턴근무계획!$M$3:$R$202,$A138,$I$3)&amp;"")+1,60))))</f>
        <v/>
      </c>
      <c r="K138" s="21">
        <f>IF($C138="","",INDEX(인턴근무계획!$M$3:$M$202,$A138)&amp;"")</f>
        <v/>
      </c>
      <c r="L138" s="21">
        <f>IF($C138="","",INDEX(인턴근무계획!$N$3:$N$202,$A138)&amp;"")</f>
        <v/>
      </c>
      <c r="M138" s="21">
        <f>IF($C138="","",INDEX(인턴근무계획!$O$3:$O$202,$A138)&amp;"")</f>
        <v/>
      </c>
      <c r="N138" s="21">
        <f>IF($C138="","",INDEX(인턴근무계획!$P$3:$P$202,$A138)&amp;"")</f>
        <v/>
      </c>
      <c r="O138" s="21">
        <f>IF($C138="","",INDEX(인턴근무계획!$Q$3:$Q$202,$A138)&amp;"")</f>
        <v/>
      </c>
      <c r="P138" s="21">
        <f>IF($C138="","",INDEX(인턴근무계획!$R$3:$R$202,$A138)&amp;"")</f>
        <v/>
      </c>
      <c r="Q138" s="21">
        <f>IF($C138="","",INDEX(인턴근무계획!$T$3:$T$202,$A138))</f>
        <v/>
      </c>
    </row>
    <row r="139">
      <c r="A139" s="24" t="n">
        <v>134</v>
      </c>
      <c r="B139" s="21">
        <f>IF($C139="","",INDEX(인턴근무계획!$B$3:$B$202,$A139))</f>
        <v/>
      </c>
      <c r="C139" s="21">
        <f>IFERROR(TRIM(INDEX(인턴근무계획!$C$3:$C$202,$A139)&amp;""),"")</f>
        <v/>
      </c>
      <c r="D139" s="21">
        <f>IF($C139="","",INDEX(인턴근무계획!$D$3:$D$202,$A139))</f>
        <v/>
      </c>
      <c r="E139" s="21">
        <f>IF($C139="","",IF(IFERROR(MATCH($D139,기본자료!$B$2:$B$501,0),IFERROR(MATCH($D139&amp;"",기본자료!$B$2:$B$501,0),IFERROR(MATCH(VALUE($D139),기본자료!$B$2:$B$501,0),0)))&gt;0,"확인","미등록"))</f>
        <v/>
      </c>
      <c r="F139" s="25">
        <f>IF($C139="","",INDEX(인턴근무계획!$S$3:$S$202,$A139))</f>
        <v/>
      </c>
      <c r="G139" s="21">
        <f>IF(OR($C139="",$G$3=""),"",IF(INDEX(인턴근무계획!$M$3:$R$202,$A139,$G$3)&amp;""="","",IF(LEFT(INDEX(인턴근무계획!$M$3:$R$202,$A139,$G$3)&amp;"",1)="⚠",INDEX(인턴근무계획!$M$3:$R$202,$A139,$G$3)&amp;"",LEFT(INDEX(인턴근무계획!$M$3:$R$202,$A139,$G$3)&amp;"",FIND(" ",INDEX(인턴근무계획!$M$3:$R$202,$A139,$G$3)&amp;"")-1))))</f>
        <v/>
      </c>
      <c r="H139" s="21">
        <f>IF(OR($C139="",$G$3=""),"",IF(INDEX(인턴근무계획!$M$3:$R$202,$A139,$G$3)&amp;""="","",IF(LEFT(INDEX(인턴근무계획!$M$3:$R$202,$A139,$G$3)&amp;"",1)="⚠","",MID(INDEX(인턴근무계획!$M$3:$R$202,$A139,$G$3)&amp;"",FIND(" ",INDEX(인턴근무계획!$M$3:$R$202,$A139,$G$3)&amp;"")+1,60))))</f>
        <v/>
      </c>
      <c r="I139" s="21">
        <f>IF(OR($C139="",$I$3=""),"",IF(INDEX(인턴근무계획!$M$3:$R$202,$A139,$I$3)&amp;""="","",IF(LEFT(INDEX(인턴근무계획!$M$3:$R$202,$A139,$I$3)&amp;"",1)="⚠",INDEX(인턴근무계획!$M$3:$R$202,$A139,$I$3)&amp;"",LEFT(INDEX(인턴근무계획!$M$3:$R$202,$A139,$I$3)&amp;"",FIND(" ",INDEX(인턴근무계획!$M$3:$R$202,$A139,$I$3)&amp;"")-1))))</f>
        <v/>
      </c>
      <c r="J139" s="21">
        <f>IF(OR($C139="",$I$3=""),"",IF(INDEX(인턴근무계획!$M$3:$R$202,$A139,$I$3)&amp;""="","",IF(LEFT(INDEX(인턴근무계획!$M$3:$R$202,$A139,$I$3)&amp;"",1)="⚠","",MID(INDEX(인턴근무계획!$M$3:$R$202,$A139,$I$3)&amp;"",FIND(" ",INDEX(인턴근무계획!$M$3:$R$202,$A139,$I$3)&amp;"")+1,60))))</f>
        <v/>
      </c>
      <c r="K139" s="21">
        <f>IF($C139="","",INDEX(인턴근무계획!$M$3:$M$202,$A139)&amp;"")</f>
        <v/>
      </c>
      <c r="L139" s="21">
        <f>IF($C139="","",INDEX(인턴근무계획!$N$3:$N$202,$A139)&amp;"")</f>
        <v/>
      </c>
      <c r="M139" s="21">
        <f>IF($C139="","",INDEX(인턴근무계획!$O$3:$O$202,$A139)&amp;"")</f>
        <v/>
      </c>
      <c r="N139" s="21">
        <f>IF($C139="","",INDEX(인턴근무계획!$P$3:$P$202,$A139)&amp;"")</f>
        <v/>
      </c>
      <c r="O139" s="21">
        <f>IF($C139="","",INDEX(인턴근무계획!$Q$3:$Q$202,$A139)&amp;"")</f>
        <v/>
      </c>
      <c r="P139" s="21">
        <f>IF($C139="","",INDEX(인턴근무계획!$R$3:$R$202,$A139)&amp;"")</f>
        <v/>
      </c>
      <c r="Q139" s="21">
        <f>IF($C139="","",INDEX(인턴근무계획!$T$3:$T$202,$A139))</f>
        <v/>
      </c>
    </row>
    <row r="140">
      <c r="A140" s="24" t="n">
        <v>135</v>
      </c>
      <c r="B140" s="21">
        <f>IF($C140="","",INDEX(인턴근무계획!$B$3:$B$202,$A140))</f>
        <v/>
      </c>
      <c r="C140" s="21">
        <f>IFERROR(TRIM(INDEX(인턴근무계획!$C$3:$C$202,$A140)&amp;""),"")</f>
        <v/>
      </c>
      <c r="D140" s="21">
        <f>IF($C140="","",INDEX(인턴근무계획!$D$3:$D$202,$A140))</f>
        <v/>
      </c>
      <c r="E140" s="21">
        <f>IF($C140="","",IF(IFERROR(MATCH($D140,기본자료!$B$2:$B$501,0),IFERROR(MATCH($D140&amp;"",기본자료!$B$2:$B$501,0),IFERROR(MATCH(VALUE($D140),기본자료!$B$2:$B$501,0),0)))&gt;0,"확인","미등록"))</f>
        <v/>
      </c>
      <c r="F140" s="25">
        <f>IF($C140="","",INDEX(인턴근무계획!$S$3:$S$202,$A140))</f>
        <v/>
      </c>
      <c r="G140" s="21">
        <f>IF(OR($C140="",$G$3=""),"",IF(INDEX(인턴근무계획!$M$3:$R$202,$A140,$G$3)&amp;""="","",IF(LEFT(INDEX(인턴근무계획!$M$3:$R$202,$A140,$G$3)&amp;"",1)="⚠",INDEX(인턴근무계획!$M$3:$R$202,$A140,$G$3)&amp;"",LEFT(INDEX(인턴근무계획!$M$3:$R$202,$A140,$G$3)&amp;"",FIND(" ",INDEX(인턴근무계획!$M$3:$R$202,$A140,$G$3)&amp;"")-1))))</f>
        <v/>
      </c>
      <c r="H140" s="21">
        <f>IF(OR($C140="",$G$3=""),"",IF(INDEX(인턴근무계획!$M$3:$R$202,$A140,$G$3)&amp;""="","",IF(LEFT(INDEX(인턴근무계획!$M$3:$R$202,$A140,$G$3)&amp;"",1)="⚠","",MID(INDEX(인턴근무계획!$M$3:$R$202,$A140,$G$3)&amp;"",FIND(" ",INDEX(인턴근무계획!$M$3:$R$202,$A140,$G$3)&amp;"")+1,60))))</f>
        <v/>
      </c>
      <c r="I140" s="21">
        <f>IF(OR($C140="",$I$3=""),"",IF(INDEX(인턴근무계획!$M$3:$R$202,$A140,$I$3)&amp;""="","",IF(LEFT(INDEX(인턴근무계획!$M$3:$R$202,$A140,$I$3)&amp;"",1)="⚠",INDEX(인턴근무계획!$M$3:$R$202,$A140,$I$3)&amp;"",LEFT(INDEX(인턴근무계획!$M$3:$R$202,$A140,$I$3)&amp;"",FIND(" ",INDEX(인턴근무계획!$M$3:$R$202,$A140,$I$3)&amp;"")-1))))</f>
        <v/>
      </c>
      <c r="J140" s="21">
        <f>IF(OR($C140="",$I$3=""),"",IF(INDEX(인턴근무계획!$M$3:$R$202,$A140,$I$3)&amp;""="","",IF(LEFT(INDEX(인턴근무계획!$M$3:$R$202,$A140,$I$3)&amp;"",1)="⚠","",MID(INDEX(인턴근무계획!$M$3:$R$202,$A140,$I$3)&amp;"",FIND(" ",INDEX(인턴근무계획!$M$3:$R$202,$A140,$I$3)&amp;"")+1,60))))</f>
        <v/>
      </c>
      <c r="K140" s="21">
        <f>IF($C140="","",INDEX(인턴근무계획!$M$3:$M$202,$A140)&amp;"")</f>
        <v/>
      </c>
      <c r="L140" s="21">
        <f>IF($C140="","",INDEX(인턴근무계획!$N$3:$N$202,$A140)&amp;"")</f>
        <v/>
      </c>
      <c r="M140" s="21">
        <f>IF($C140="","",INDEX(인턴근무계획!$O$3:$O$202,$A140)&amp;"")</f>
        <v/>
      </c>
      <c r="N140" s="21">
        <f>IF($C140="","",INDEX(인턴근무계획!$P$3:$P$202,$A140)&amp;"")</f>
        <v/>
      </c>
      <c r="O140" s="21">
        <f>IF($C140="","",INDEX(인턴근무계획!$Q$3:$Q$202,$A140)&amp;"")</f>
        <v/>
      </c>
      <c r="P140" s="21">
        <f>IF($C140="","",INDEX(인턴근무계획!$R$3:$R$202,$A140)&amp;"")</f>
        <v/>
      </c>
      <c r="Q140" s="21">
        <f>IF($C140="","",INDEX(인턴근무계획!$T$3:$T$202,$A140))</f>
        <v/>
      </c>
    </row>
    <row r="141">
      <c r="A141" s="24" t="n">
        <v>136</v>
      </c>
      <c r="B141" s="21">
        <f>IF($C141="","",INDEX(인턴근무계획!$B$3:$B$202,$A141))</f>
        <v/>
      </c>
      <c r="C141" s="21">
        <f>IFERROR(TRIM(INDEX(인턴근무계획!$C$3:$C$202,$A141)&amp;""),"")</f>
        <v/>
      </c>
      <c r="D141" s="21">
        <f>IF($C141="","",INDEX(인턴근무계획!$D$3:$D$202,$A141))</f>
        <v/>
      </c>
      <c r="E141" s="21">
        <f>IF($C141="","",IF(IFERROR(MATCH($D141,기본자료!$B$2:$B$501,0),IFERROR(MATCH($D141&amp;"",기본자료!$B$2:$B$501,0),IFERROR(MATCH(VALUE($D141),기본자료!$B$2:$B$501,0),0)))&gt;0,"확인","미등록"))</f>
        <v/>
      </c>
      <c r="F141" s="25">
        <f>IF($C141="","",INDEX(인턴근무계획!$S$3:$S$202,$A141))</f>
        <v/>
      </c>
      <c r="G141" s="21">
        <f>IF(OR($C141="",$G$3=""),"",IF(INDEX(인턴근무계획!$M$3:$R$202,$A141,$G$3)&amp;""="","",IF(LEFT(INDEX(인턴근무계획!$M$3:$R$202,$A141,$G$3)&amp;"",1)="⚠",INDEX(인턴근무계획!$M$3:$R$202,$A141,$G$3)&amp;"",LEFT(INDEX(인턴근무계획!$M$3:$R$202,$A141,$G$3)&amp;"",FIND(" ",INDEX(인턴근무계획!$M$3:$R$202,$A141,$G$3)&amp;"")-1))))</f>
        <v/>
      </c>
      <c r="H141" s="21">
        <f>IF(OR($C141="",$G$3=""),"",IF(INDEX(인턴근무계획!$M$3:$R$202,$A141,$G$3)&amp;""="","",IF(LEFT(INDEX(인턴근무계획!$M$3:$R$202,$A141,$G$3)&amp;"",1)="⚠","",MID(INDEX(인턴근무계획!$M$3:$R$202,$A141,$G$3)&amp;"",FIND(" ",INDEX(인턴근무계획!$M$3:$R$202,$A141,$G$3)&amp;"")+1,60))))</f>
        <v/>
      </c>
      <c r="I141" s="21">
        <f>IF(OR($C141="",$I$3=""),"",IF(INDEX(인턴근무계획!$M$3:$R$202,$A141,$I$3)&amp;""="","",IF(LEFT(INDEX(인턴근무계획!$M$3:$R$202,$A141,$I$3)&amp;"",1)="⚠",INDEX(인턴근무계획!$M$3:$R$202,$A141,$I$3)&amp;"",LEFT(INDEX(인턴근무계획!$M$3:$R$202,$A141,$I$3)&amp;"",FIND(" ",INDEX(인턴근무계획!$M$3:$R$202,$A141,$I$3)&amp;"")-1))))</f>
        <v/>
      </c>
      <c r="J141" s="21">
        <f>IF(OR($C141="",$I$3=""),"",IF(INDEX(인턴근무계획!$M$3:$R$202,$A141,$I$3)&amp;""="","",IF(LEFT(INDEX(인턴근무계획!$M$3:$R$202,$A141,$I$3)&amp;"",1)="⚠","",MID(INDEX(인턴근무계획!$M$3:$R$202,$A141,$I$3)&amp;"",FIND(" ",INDEX(인턴근무계획!$M$3:$R$202,$A141,$I$3)&amp;"")+1,60))))</f>
        <v/>
      </c>
      <c r="K141" s="21">
        <f>IF($C141="","",INDEX(인턴근무계획!$M$3:$M$202,$A141)&amp;"")</f>
        <v/>
      </c>
      <c r="L141" s="21">
        <f>IF($C141="","",INDEX(인턴근무계획!$N$3:$N$202,$A141)&amp;"")</f>
        <v/>
      </c>
      <c r="M141" s="21">
        <f>IF($C141="","",INDEX(인턴근무계획!$O$3:$O$202,$A141)&amp;"")</f>
        <v/>
      </c>
      <c r="N141" s="21">
        <f>IF($C141="","",INDEX(인턴근무계획!$P$3:$P$202,$A141)&amp;"")</f>
        <v/>
      </c>
      <c r="O141" s="21">
        <f>IF($C141="","",INDEX(인턴근무계획!$Q$3:$Q$202,$A141)&amp;"")</f>
        <v/>
      </c>
      <c r="P141" s="21">
        <f>IF($C141="","",INDEX(인턴근무계획!$R$3:$R$202,$A141)&amp;"")</f>
        <v/>
      </c>
      <c r="Q141" s="21">
        <f>IF($C141="","",INDEX(인턴근무계획!$T$3:$T$202,$A141))</f>
        <v/>
      </c>
    </row>
    <row r="142">
      <c r="A142" s="24" t="n">
        <v>137</v>
      </c>
      <c r="B142" s="21">
        <f>IF($C142="","",INDEX(인턴근무계획!$B$3:$B$202,$A142))</f>
        <v/>
      </c>
      <c r="C142" s="21">
        <f>IFERROR(TRIM(INDEX(인턴근무계획!$C$3:$C$202,$A142)&amp;""),"")</f>
        <v/>
      </c>
      <c r="D142" s="21">
        <f>IF($C142="","",INDEX(인턴근무계획!$D$3:$D$202,$A142))</f>
        <v/>
      </c>
      <c r="E142" s="21">
        <f>IF($C142="","",IF(IFERROR(MATCH($D142,기본자료!$B$2:$B$501,0),IFERROR(MATCH($D142&amp;"",기본자료!$B$2:$B$501,0),IFERROR(MATCH(VALUE($D142),기본자료!$B$2:$B$501,0),0)))&gt;0,"확인","미등록"))</f>
        <v/>
      </c>
      <c r="F142" s="25">
        <f>IF($C142="","",INDEX(인턴근무계획!$S$3:$S$202,$A142))</f>
        <v/>
      </c>
      <c r="G142" s="21">
        <f>IF(OR($C142="",$G$3=""),"",IF(INDEX(인턴근무계획!$M$3:$R$202,$A142,$G$3)&amp;""="","",IF(LEFT(INDEX(인턴근무계획!$M$3:$R$202,$A142,$G$3)&amp;"",1)="⚠",INDEX(인턴근무계획!$M$3:$R$202,$A142,$G$3)&amp;"",LEFT(INDEX(인턴근무계획!$M$3:$R$202,$A142,$G$3)&amp;"",FIND(" ",INDEX(인턴근무계획!$M$3:$R$202,$A142,$G$3)&amp;"")-1))))</f>
        <v/>
      </c>
      <c r="H142" s="21">
        <f>IF(OR($C142="",$G$3=""),"",IF(INDEX(인턴근무계획!$M$3:$R$202,$A142,$G$3)&amp;""="","",IF(LEFT(INDEX(인턴근무계획!$M$3:$R$202,$A142,$G$3)&amp;"",1)="⚠","",MID(INDEX(인턴근무계획!$M$3:$R$202,$A142,$G$3)&amp;"",FIND(" ",INDEX(인턴근무계획!$M$3:$R$202,$A142,$G$3)&amp;"")+1,60))))</f>
        <v/>
      </c>
      <c r="I142" s="21">
        <f>IF(OR($C142="",$I$3=""),"",IF(INDEX(인턴근무계획!$M$3:$R$202,$A142,$I$3)&amp;""="","",IF(LEFT(INDEX(인턴근무계획!$M$3:$R$202,$A142,$I$3)&amp;"",1)="⚠",INDEX(인턴근무계획!$M$3:$R$202,$A142,$I$3)&amp;"",LEFT(INDEX(인턴근무계획!$M$3:$R$202,$A142,$I$3)&amp;"",FIND(" ",INDEX(인턴근무계획!$M$3:$R$202,$A142,$I$3)&amp;"")-1))))</f>
        <v/>
      </c>
      <c r="J142" s="21">
        <f>IF(OR($C142="",$I$3=""),"",IF(INDEX(인턴근무계획!$M$3:$R$202,$A142,$I$3)&amp;""="","",IF(LEFT(INDEX(인턴근무계획!$M$3:$R$202,$A142,$I$3)&amp;"",1)="⚠","",MID(INDEX(인턴근무계획!$M$3:$R$202,$A142,$I$3)&amp;"",FIND(" ",INDEX(인턴근무계획!$M$3:$R$202,$A142,$I$3)&amp;"")+1,60))))</f>
        <v/>
      </c>
      <c r="K142" s="21">
        <f>IF($C142="","",INDEX(인턴근무계획!$M$3:$M$202,$A142)&amp;"")</f>
        <v/>
      </c>
      <c r="L142" s="21">
        <f>IF($C142="","",INDEX(인턴근무계획!$N$3:$N$202,$A142)&amp;"")</f>
        <v/>
      </c>
      <c r="M142" s="21">
        <f>IF($C142="","",INDEX(인턴근무계획!$O$3:$O$202,$A142)&amp;"")</f>
        <v/>
      </c>
      <c r="N142" s="21">
        <f>IF($C142="","",INDEX(인턴근무계획!$P$3:$P$202,$A142)&amp;"")</f>
        <v/>
      </c>
      <c r="O142" s="21">
        <f>IF($C142="","",INDEX(인턴근무계획!$Q$3:$Q$202,$A142)&amp;"")</f>
        <v/>
      </c>
      <c r="P142" s="21">
        <f>IF($C142="","",INDEX(인턴근무계획!$R$3:$R$202,$A142)&amp;"")</f>
        <v/>
      </c>
      <c r="Q142" s="21">
        <f>IF($C142="","",INDEX(인턴근무계획!$T$3:$T$202,$A142))</f>
        <v/>
      </c>
    </row>
    <row r="143">
      <c r="A143" s="24" t="n">
        <v>138</v>
      </c>
      <c r="B143" s="21">
        <f>IF($C143="","",INDEX(인턴근무계획!$B$3:$B$202,$A143))</f>
        <v/>
      </c>
      <c r="C143" s="21">
        <f>IFERROR(TRIM(INDEX(인턴근무계획!$C$3:$C$202,$A143)&amp;""),"")</f>
        <v/>
      </c>
      <c r="D143" s="21">
        <f>IF($C143="","",INDEX(인턴근무계획!$D$3:$D$202,$A143))</f>
        <v/>
      </c>
      <c r="E143" s="21">
        <f>IF($C143="","",IF(IFERROR(MATCH($D143,기본자료!$B$2:$B$501,0),IFERROR(MATCH($D143&amp;"",기본자료!$B$2:$B$501,0),IFERROR(MATCH(VALUE($D143),기본자료!$B$2:$B$501,0),0)))&gt;0,"확인","미등록"))</f>
        <v/>
      </c>
      <c r="F143" s="25">
        <f>IF($C143="","",INDEX(인턴근무계획!$S$3:$S$202,$A143))</f>
        <v/>
      </c>
      <c r="G143" s="21">
        <f>IF(OR($C143="",$G$3=""),"",IF(INDEX(인턴근무계획!$M$3:$R$202,$A143,$G$3)&amp;""="","",IF(LEFT(INDEX(인턴근무계획!$M$3:$R$202,$A143,$G$3)&amp;"",1)="⚠",INDEX(인턴근무계획!$M$3:$R$202,$A143,$G$3)&amp;"",LEFT(INDEX(인턴근무계획!$M$3:$R$202,$A143,$G$3)&amp;"",FIND(" ",INDEX(인턴근무계획!$M$3:$R$202,$A143,$G$3)&amp;"")-1))))</f>
        <v/>
      </c>
      <c r="H143" s="21">
        <f>IF(OR($C143="",$G$3=""),"",IF(INDEX(인턴근무계획!$M$3:$R$202,$A143,$G$3)&amp;""="","",IF(LEFT(INDEX(인턴근무계획!$M$3:$R$202,$A143,$G$3)&amp;"",1)="⚠","",MID(INDEX(인턴근무계획!$M$3:$R$202,$A143,$G$3)&amp;"",FIND(" ",INDEX(인턴근무계획!$M$3:$R$202,$A143,$G$3)&amp;"")+1,60))))</f>
        <v/>
      </c>
      <c r="I143" s="21">
        <f>IF(OR($C143="",$I$3=""),"",IF(INDEX(인턴근무계획!$M$3:$R$202,$A143,$I$3)&amp;""="","",IF(LEFT(INDEX(인턴근무계획!$M$3:$R$202,$A143,$I$3)&amp;"",1)="⚠",INDEX(인턴근무계획!$M$3:$R$202,$A143,$I$3)&amp;"",LEFT(INDEX(인턴근무계획!$M$3:$R$202,$A143,$I$3)&amp;"",FIND(" ",INDEX(인턴근무계획!$M$3:$R$202,$A143,$I$3)&amp;"")-1))))</f>
        <v/>
      </c>
      <c r="J143" s="21">
        <f>IF(OR($C143="",$I$3=""),"",IF(INDEX(인턴근무계획!$M$3:$R$202,$A143,$I$3)&amp;""="","",IF(LEFT(INDEX(인턴근무계획!$M$3:$R$202,$A143,$I$3)&amp;"",1)="⚠","",MID(INDEX(인턴근무계획!$M$3:$R$202,$A143,$I$3)&amp;"",FIND(" ",INDEX(인턴근무계획!$M$3:$R$202,$A143,$I$3)&amp;"")+1,60))))</f>
        <v/>
      </c>
      <c r="K143" s="21">
        <f>IF($C143="","",INDEX(인턴근무계획!$M$3:$M$202,$A143)&amp;"")</f>
        <v/>
      </c>
      <c r="L143" s="21">
        <f>IF($C143="","",INDEX(인턴근무계획!$N$3:$N$202,$A143)&amp;"")</f>
        <v/>
      </c>
      <c r="M143" s="21">
        <f>IF($C143="","",INDEX(인턴근무계획!$O$3:$O$202,$A143)&amp;"")</f>
        <v/>
      </c>
      <c r="N143" s="21">
        <f>IF($C143="","",INDEX(인턴근무계획!$P$3:$P$202,$A143)&amp;"")</f>
        <v/>
      </c>
      <c r="O143" s="21">
        <f>IF($C143="","",INDEX(인턴근무계획!$Q$3:$Q$202,$A143)&amp;"")</f>
        <v/>
      </c>
      <c r="P143" s="21">
        <f>IF($C143="","",INDEX(인턴근무계획!$R$3:$R$202,$A143)&amp;"")</f>
        <v/>
      </c>
      <c r="Q143" s="21">
        <f>IF($C143="","",INDEX(인턴근무계획!$T$3:$T$202,$A143))</f>
        <v/>
      </c>
    </row>
    <row r="144">
      <c r="A144" s="24" t="n">
        <v>139</v>
      </c>
      <c r="B144" s="21">
        <f>IF($C144="","",INDEX(인턴근무계획!$B$3:$B$202,$A144))</f>
        <v/>
      </c>
      <c r="C144" s="21">
        <f>IFERROR(TRIM(INDEX(인턴근무계획!$C$3:$C$202,$A144)&amp;""),"")</f>
        <v/>
      </c>
      <c r="D144" s="21">
        <f>IF($C144="","",INDEX(인턴근무계획!$D$3:$D$202,$A144))</f>
        <v/>
      </c>
      <c r="E144" s="21">
        <f>IF($C144="","",IF(IFERROR(MATCH($D144,기본자료!$B$2:$B$501,0),IFERROR(MATCH($D144&amp;"",기본자료!$B$2:$B$501,0),IFERROR(MATCH(VALUE($D144),기본자료!$B$2:$B$501,0),0)))&gt;0,"확인","미등록"))</f>
        <v/>
      </c>
      <c r="F144" s="25">
        <f>IF($C144="","",INDEX(인턴근무계획!$S$3:$S$202,$A144))</f>
        <v/>
      </c>
      <c r="G144" s="21">
        <f>IF(OR($C144="",$G$3=""),"",IF(INDEX(인턴근무계획!$M$3:$R$202,$A144,$G$3)&amp;""="","",IF(LEFT(INDEX(인턴근무계획!$M$3:$R$202,$A144,$G$3)&amp;"",1)="⚠",INDEX(인턴근무계획!$M$3:$R$202,$A144,$G$3)&amp;"",LEFT(INDEX(인턴근무계획!$M$3:$R$202,$A144,$G$3)&amp;"",FIND(" ",INDEX(인턴근무계획!$M$3:$R$202,$A144,$G$3)&amp;"")-1))))</f>
        <v/>
      </c>
      <c r="H144" s="21">
        <f>IF(OR($C144="",$G$3=""),"",IF(INDEX(인턴근무계획!$M$3:$R$202,$A144,$G$3)&amp;""="","",IF(LEFT(INDEX(인턴근무계획!$M$3:$R$202,$A144,$G$3)&amp;"",1)="⚠","",MID(INDEX(인턴근무계획!$M$3:$R$202,$A144,$G$3)&amp;"",FIND(" ",INDEX(인턴근무계획!$M$3:$R$202,$A144,$G$3)&amp;"")+1,60))))</f>
        <v/>
      </c>
      <c r="I144" s="21">
        <f>IF(OR($C144="",$I$3=""),"",IF(INDEX(인턴근무계획!$M$3:$R$202,$A144,$I$3)&amp;""="","",IF(LEFT(INDEX(인턴근무계획!$M$3:$R$202,$A144,$I$3)&amp;"",1)="⚠",INDEX(인턴근무계획!$M$3:$R$202,$A144,$I$3)&amp;"",LEFT(INDEX(인턴근무계획!$M$3:$R$202,$A144,$I$3)&amp;"",FIND(" ",INDEX(인턴근무계획!$M$3:$R$202,$A144,$I$3)&amp;"")-1))))</f>
        <v/>
      </c>
      <c r="J144" s="21">
        <f>IF(OR($C144="",$I$3=""),"",IF(INDEX(인턴근무계획!$M$3:$R$202,$A144,$I$3)&amp;""="","",IF(LEFT(INDEX(인턴근무계획!$M$3:$R$202,$A144,$I$3)&amp;"",1)="⚠","",MID(INDEX(인턴근무계획!$M$3:$R$202,$A144,$I$3)&amp;"",FIND(" ",INDEX(인턴근무계획!$M$3:$R$202,$A144,$I$3)&amp;"")+1,60))))</f>
        <v/>
      </c>
      <c r="K144" s="21">
        <f>IF($C144="","",INDEX(인턴근무계획!$M$3:$M$202,$A144)&amp;"")</f>
        <v/>
      </c>
      <c r="L144" s="21">
        <f>IF($C144="","",INDEX(인턴근무계획!$N$3:$N$202,$A144)&amp;"")</f>
        <v/>
      </c>
      <c r="M144" s="21">
        <f>IF($C144="","",INDEX(인턴근무계획!$O$3:$O$202,$A144)&amp;"")</f>
        <v/>
      </c>
      <c r="N144" s="21">
        <f>IF($C144="","",INDEX(인턴근무계획!$P$3:$P$202,$A144)&amp;"")</f>
        <v/>
      </c>
      <c r="O144" s="21">
        <f>IF($C144="","",INDEX(인턴근무계획!$Q$3:$Q$202,$A144)&amp;"")</f>
        <v/>
      </c>
      <c r="P144" s="21">
        <f>IF($C144="","",INDEX(인턴근무계획!$R$3:$R$202,$A144)&amp;"")</f>
        <v/>
      </c>
      <c r="Q144" s="21">
        <f>IF($C144="","",INDEX(인턴근무계획!$T$3:$T$202,$A144))</f>
        <v/>
      </c>
    </row>
    <row r="145">
      <c r="A145" s="24" t="n">
        <v>140</v>
      </c>
      <c r="B145" s="21">
        <f>IF($C145="","",INDEX(인턴근무계획!$B$3:$B$202,$A145))</f>
        <v/>
      </c>
      <c r="C145" s="21">
        <f>IFERROR(TRIM(INDEX(인턴근무계획!$C$3:$C$202,$A145)&amp;""),"")</f>
        <v/>
      </c>
      <c r="D145" s="21">
        <f>IF($C145="","",INDEX(인턴근무계획!$D$3:$D$202,$A145))</f>
        <v/>
      </c>
      <c r="E145" s="21">
        <f>IF($C145="","",IF(IFERROR(MATCH($D145,기본자료!$B$2:$B$501,0),IFERROR(MATCH($D145&amp;"",기본자료!$B$2:$B$501,0),IFERROR(MATCH(VALUE($D145),기본자료!$B$2:$B$501,0),0)))&gt;0,"확인","미등록"))</f>
        <v/>
      </c>
      <c r="F145" s="25">
        <f>IF($C145="","",INDEX(인턴근무계획!$S$3:$S$202,$A145))</f>
        <v/>
      </c>
      <c r="G145" s="21">
        <f>IF(OR($C145="",$G$3=""),"",IF(INDEX(인턴근무계획!$M$3:$R$202,$A145,$G$3)&amp;""="","",IF(LEFT(INDEX(인턴근무계획!$M$3:$R$202,$A145,$G$3)&amp;"",1)="⚠",INDEX(인턴근무계획!$M$3:$R$202,$A145,$G$3)&amp;"",LEFT(INDEX(인턴근무계획!$M$3:$R$202,$A145,$G$3)&amp;"",FIND(" ",INDEX(인턴근무계획!$M$3:$R$202,$A145,$G$3)&amp;"")-1))))</f>
        <v/>
      </c>
      <c r="H145" s="21">
        <f>IF(OR($C145="",$G$3=""),"",IF(INDEX(인턴근무계획!$M$3:$R$202,$A145,$G$3)&amp;""="","",IF(LEFT(INDEX(인턴근무계획!$M$3:$R$202,$A145,$G$3)&amp;"",1)="⚠","",MID(INDEX(인턴근무계획!$M$3:$R$202,$A145,$G$3)&amp;"",FIND(" ",INDEX(인턴근무계획!$M$3:$R$202,$A145,$G$3)&amp;"")+1,60))))</f>
        <v/>
      </c>
      <c r="I145" s="21">
        <f>IF(OR($C145="",$I$3=""),"",IF(INDEX(인턴근무계획!$M$3:$R$202,$A145,$I$3)&amp;""="","",IF(LEFT(INDEX(인턴근무계획!$M$3:$R$202,$A145,$I$3)&amp;"",1)="⚠",INDEX(인턴근무계획!$M$3:$R$202,$A145,$I$3)&amp;"",LEFT(INDEX(인턴근무계획!$M$3:$R$202,$A145,$I$3)&amp;"",FIND(" ",INDEX(인턴근무계획!$M$3:$R$202,$A145,$I$3)&amp;"")-1))))</f>
        <v/>
      </c>
      <c r="J145" s="21">
        <f>IF(OR($C145="",$I$3=""),"",IF(INDEX(인턴근무계획!$M$3:$R$202,$A145,$I$3)&amp;""="","",IF(LEFT(INDEX(인턴근무계획!$M$3:$R$202,$A145,$I$3)&amp;"",1)="⚠","",MID(INDEX(인턴근무계획!$M$3:$R$202,$A145,$I$3)&amp;"",FIND(" ",INDEX(인턴근무계획!$M$3:$R$202,$A145,$I$3)&amp;"")+1,60))))</f>
        <v/>
      </c>
      <c r="K145" s="21">
        <f>IF($C145="","",INDEX(인턴근무계획!$M$3:$M$202,$A145)&amp;"")</f>
        <v/>
      </c>
      <c r="L145" s="21">
        <f>IF($C145="","",INDEX(인턴근무계획!$N$3:$N$202,$A145)&amp;"")</f>
        <v/>
      </c>
      <c r="M145" s="21">
        <f>IF($C145="","",INDEX(인턴근무계획!$O$3:$O$202,$A145)&amp;"")</f>
        <v/>
      </c>
      <c r="N145" s="21">
        <f>IF($C145="","",INDEX(인턴근무계획!$P$3:$P$202,$A145)&amp;"")</f>
        <v/>
      </c>
      <c r="O145" s="21">
        <f>IF($C145="","",INDEX(인턴근무계획!$Q$3:$Q$202,$A145)&amp;"")</f>
        <v/>
      </c>
      <c r="P145" s="21">
        <f>IF($C145="","",INDEX(인턴근무계획!$R$3:$R$202,$A145)&amp;"")</f>
        <v/>
      </c>
      <c r="Q145" s="21">
        <f>IF($C145="","",INDEX(인턴근무계획!$T$3:$T$202,$A145))</f>
        <v/>
      </c>
    </row>
    <row r="146">
      <c r="A146" s="24" t="n">
        <v>141</v>
      </c>
      <c r="B146" s="21">
        <f>IF($C146="","",INDEX(인턴근무계획!$B$3:$B$202,$A146))</f>
        <v/>
      </c>
      <c r="C146" s="21">
        <f>IFERROR(TRIM(INDEX(인턴근무계획!$C$3:$C$202,$A146)&amp;""),"")</f>
        <v/>
      </c>
      <c r="D146" s="21">
        <f>IF($C146="","",INDEX(인턴근무계획!$D$3:$D$202,$A146))</f>
        <v/>
      </c>
      <c r="E146" s="21">
        <f>IF($C146="","",IF(IFERROR(MATCH($D146,기본자료!$B$2:$B$501,0),IFERROR(MATCH($D146&amp;"",기본자료!$B$2:$B$501,0),IFERROR(MATCH(VALUE($D146),기본자료!$B$2:$B$501,0),0)))&gt;0,"확인","미등록"))</f>
        <v/>
      </c>
      <c r="F146" s="25">
        <f>IF($C146="","",INDEX(인턴근무계획!$S$3:$S$202,$A146))</f>
        <v/>
      </c>
      <c r="G146" s="21">
        <f>IF(OR($C146="",$G$3=""),"",IF(INDEX(인턴근무계획!$M$3:$R$202,$A146,$G$3)&amp;""="","",IF(LEFT(INDEX(인턴근무계획!$M$3:$R$202,$A146,$G$3)&amp;"",1)="⚠",INDEX(인턴근무계획!$M$3:$R$202,$A146,$G$3)&amp;"",LEFT(INDEX(인턴근무계획!$M$3:$R$202,$A146,$G$3)&amp;"",FIND(" ",INDEX(인턴근무계획!$M$3:$R$202,$A146,$G$3)&amp;"")-1))))</f>
        <v/>
      </c>
      <c r="H146" s="21">
        <f>IF(OR($C146="",$G$3=""),"",IF(INDEX(인턴근무계획!$M$3:$R$202,$A146,$G$3)&amp;""="","",IF(LEFT(INDEX(인턴근무계획!$M$3:$R$202,$A146,$G$3)&amp;"",1)="⚠","",MID(INDEX(인턴근무계획!$M$3:$R$202,$A146,$G$3)&amp;"",FIND(" ",INDEX(인턴근무계획!$M$3:$R$202,$A146,$G$3)&amp;"")+1,60))))</f>
        <v/>
      </c>
      <c r="I146" s="21">
        <f>IF(OR($C146="",$I$3=""),"",IF(INDEX(인턴근무계획!$M$3:$R$202,$A146,$I$3)&amp;""="","",IF(LEFT(INDEX(인턴근무계획!$M$3:$R$202,$A146,$I$3)&amp;"",1)="⚠",INDEX(인턴근무계획!$M$3:$R$202,$A146,$I$3)&amp;"",LEFT(INDEX(인턴근무계획!$M$3:$R$202,$A146,$I$3)&amp;"",FIND(" ",INDEX(인턴근무계획!$M$3:$R$202,$A146,$I$3)&amp;"")-1))))</f>
        <v/>
      </c>
      <c r="J146" s="21">
        <f>IF(OR($C146="",$I$3=""),"",IF(INDEX(인턴근무계획!$M$3:$R$202,$A146,$I$3)&amp;""="","",IF(LEFT(INDEX(인턴근무계획!$M$3:$R$202,$A146,$I$3)&amp;"",1)="⚠","",MID(INDEX(인턴근무계획!$M$3:$R$202,$A146,$I$3)&amp;"",FIND(" ",INDEX(인턴근무계획!$M$3:$R$202,$A146,$I$3)&amp;"")+1,60))))</f>
        <v/>
      </c>
      <c r="K146" s="21">
        <f>IF($C146="","",INDEX(인턴근무계획!$M$3:$M$202,$A146)&amp;"")</f>
        <v/>
      </c>
      <c r="L146" s="21">
        <f>IF($C146="","",INDEX(인턴근무계획!$N$3:$N$202,$A146)&amp;"")</f>
        <v/>
      </c>
      <c r="M146" s="21">
        <f>IF($C146="","",INDEX(인턴근무계획!$O$3:$O$202,$A146)&amp;"")</f>
        <v/>
      </c>
      <c r="N146" s="21">
        <f>IF($C146="","",INDEX(인턴근무계획!$P$3:$P$202,$A146)&amp;"")</f>
        <v/>
      </c>
      <c r="O146" s="21">
        <f>IF($C146="","",INDEX(인턴근무계획!$Q$3:$Q$202,$A146)&amp;"")</f>
        <v/>
      </c>
      <c r="P146" s="21">
        <f>IF($C146="","",INDEX(인턴근무계획!$R$3:$R$202,$A146)&amp;"")</f>
        <v/>
      </c>
      <c r="Q146" s="21">
        <f>IF($C146="","",INDEX(인턴근무계획!$T$3:$T$202,$A146))</f>
        <v/>
      </c>
    </row>
    <row r="147">
      <c r="A147" s="24" t="n">
        <v>142</v>
      </c>
      <c r="B147" s="21">
        <f>IF($C147="","",INDEX(인턴근무계획!$B$3:$B$202,$A147))</f>
        <v/>
      </c>
      <c r="C147" s="21">
        <f>IFERROR(TRIM(INDEX(인턴근무계획!$C$3:$C$202,$A147)&amp;""),"")</f>
        <v/>
      </c>
      <c r="D147" s="21">
        <f>IF($C147="","",INDEX(인턴근무계획!$D$3:$D$202,$A147))</f>
        <v/>
      </c>
      <c r="E147" s="21">
        <f>IF($C147="","",IF(IFERROR(MATCH($D147,기본자료!$B$2:$B$501,0),IFERROR(MATCH($D147&amp;"",기본자료!$B$2:$B$501,0),IFERROR(MATCH(VALUE($D147),기본자료!$B$2:$B$501,0),0)))&gt;0,"확인","미등록"))</f>
        <v/>
      </c>
      <c r="F147" s="25">
        <f>IF($C147="","",INDEX(인턴근무계획!$S$3:$S$202,$A147))</f>
        <v/>
      </c>
      <c r="G147" s="21">
        <f>IF(OR($C147="",$G$3=""),"",IF(INDEX(인턴근무계획!$M$3:$R$202,$A147,$G$3)&amp;""="","",IF(LEFT(INDEX(인턴근무계획!$M$3:$R$202,$A147,$G$3)&amp;"",1)="⚠",INDEX(인턴근무계획!$M$3:$R$202,$A147,$G$3)&amp;"",LEFT(INDEX(인턴근무계획!$M$3:$R$202,$A147,$G$3)&amp;"",FIND(" ",INDEX(인턴근무계획!$M$3:$R$202,$A147,$G$3)&amp;"")-1))))</f>
        <v/>
      </c>
      <c r="H147" s="21">
        <f>IF(OR($C147="",$G$3=""),"",IF(INDEX(인턴근무계획!$M$3:$R$202,$A147,$G$3)&amp;""="","",IF(LEFT(INDEX(인턴근무계획!$M$3:$R$202,$A147,$G$3)&amp;"",1)="⚠","",MID(INDEX(인턴근무계획!$M$3:$R$202,$A147,$G$3)&amp;"",FIND(" ",INDEX(인턴근무계획!$M$3:$R$202,$A147,$G$3)&amp;"")+1,60))))</f>
        <v/>
      </c>
      <c r="I147" s="21">
        <f>IF(OR($C147="",$I$3=""),"",IF(INDEX(인턴근무계획!$M$3:$R$202,$A147,$I$3)&amp;""="","",IF(LEFT(INDEX(인턴근무계획!$M$3:$R$202,$A147,$I$3)&amp;"",1)="⚠",INDEX(인턴근무계획!$M$3:$R$202,$A147,$I$3)&amp;"",LEFT(INDEX(인턴근무계획!$M$3:$R$202,$A147,$I$3)&amp;"",FIND(" ",INDEX(인턴근무계획!$M$3:$R$202,$A147,$I$3)&amp;"")-1))))</f>
        <v/>
      </c>
      <c r="J147" s="21">
        <f>IF(OR($C147="",$I$3=""),"",IF(INDEX(인턴근무계획!$M$3:$R$202,$A147,$I$3)&amp;""="","",IF(LEFT(INDEX(인턴근무계획!$M$3:$R$202,$A147,$I$3)&amp;"",1)="⚠","",MID(INDEX(인턴근무계획!$M$3:$R$202,$A147,$I$3)&amp;"",FIND(" ",INDEX(인턴근무계획!$M$3:$R$202,$A147,$I$3)&amp;"")+1,60))))</f>
        <v/>
      </c>
      <c r="K147" s="21">
        <f>IF($C147="","",INDEX(인턴근무계획!$M$3:$M$202,$A147)&amp;"")</f>
        <v/>
      </c>
      <c r="L147" s="21">
        <f>IF($C147="","",INDEX(인턴근무계획!$N$3:$N$202,$A147)&amp;"")</f>
        <v/>
      </c>
      <c r="M147" s="21">
        <f>IF($C147="","",INDEX(인턴근무계획!$O$3:$O$202,$A147)&amp;"")</f>
        <v/>
      </c>
      <c r="N147" s="21">
        <f>IF($C147="","",INDEX(인턴근무계획!$P$3:$P$202,$A147)&amp;"")</f>
        <v/>
      </c>
      <c r="O147" s="21">
        <f>IF($C147="","",INDEX(인턴근무계획!$Q$3:$Q$202,$A147)&amp;"")</f>
        <v/>
      </c>
      <c r="P147" s="21">
        <f>IF($C147="","",INDEX(인턴근무계획!$R$3:$R$202,$A147)&amp;"")</f>
        <v/>
      </c>
      <c r="Q147" s="21">
        <f>IF($C147="","",INDEX(인턴근무계획!$T$3:$T$202,$A147))</f>
        <v/>
      </c>
    </row>
    <row r="148">
      <c r="A148" s="24" t="n">
        <v>143</v>
      </c>
      <c r="B148" s="21">
        <f>IF($C148="","",INDEX(인턴근무계획!$B$3:$B$202,$A148))</f>
        <v/>
      </c>
      <c r="C148" s="21">
        <f>IFERROR(TRIM(INDEX(인턴근무계획!$C$3:$C$202,$A148)&amp;""),"")</f>
        <v/>
      </c>
      <c r="D148" s="21">
        <f>IF($C148="","",INDEX(인턴근무계획!$D$3:$D$202,$A148))</f>
        <v/>
      </c>
      <c r="E148" s="21">
        <f>IF($C148="","",IF(IFERROR(MATCH($D148,기본자료!$B$2:$B$501,0),IFERROR(MATCH($D148&amp;"",기본자료!$B$2:$B$501,0),IFERROR(MATCH(VALUE($D148),기본자료!$B$2:$B$501,0),0)))&gt;0,"확인","미등록"))</f>
        <v/>
      </c>
      <c r="F148" s="25">
        <f>IF($C148="","",INDEX(인턴근무계획!$S$3:$S$202,$A148))</f>
        <v/>
      </c>
      <c r="G148" s="21">
        <f>IF(OR($C148="",$G$3=""),"",IF(INDEX(인턴근무계획!$M$3:$R$202,$A148,$G$3)&amp;""="","",IF(LEFT(INDEX(인턴근무계획!$M$3:$R$202,$A148,$G$3)&amp;"",1)="⚠",INDEX(인턴근무계획!$M$3:$R$202,$A148,$G$3)&amp;"",LEFT(INDEX(인턴근무계획!$M$3:$R$202,$A148,$G$3)&amp;"",FIND(" ",INDEX(인턴근무계획!$M$3:$R$202,$A148,$G$3)&amp;"")-1))))</f>
        <v/>
      </c>
      <c r="H148" s="21">
        <f>IF(OR($C148="",$G$3=""),"",IF(INDEX(인턴근무계획!$M$3:$R$202,$A148,$G$3)&amp;""="","",IF(LEFT(INDEX(인턴근무계획!$M$3:$R$202,$A148,$G$3)&amp;"",1)="⚠","",MID(INDEX(인턴근무계획!$M$3:$R$202,$A148,$G$3)&amp;"",FIND(" ",INDEX(인턴근무계획!$M$3:$R$202,$A148,$G$3)&amp;"")+1,60))))</f>
        <v/>
      </c>
      <c r="I148" s="21">
        <f>IF(OR($C148="",$I$3=""),"",IF(INDEX(인턴근무계획!$M$3:$R$202,$A148,$I$3)&amp;""="","",IF(LEFT(INDEX(인턴근무계획!$M$3:$R$202,$A148,$I$3)&amp;"",1)="⚠",INDEX(인턴근무계획!$M$3:$R$202,$A148,$I$3)&amp;"",LEFT(INDEX(인턴근무계획!$M$3:$R$202,$A148,$I$3)&amp;"",FIND(" ",INDEX(인턴근무계획!$M$3:$R$202,$A148,$I$3)&amp;"")-1))))</f>
        <v/>
      </c>
      <c r="J148" s="21">
        <f>IF(OR($C148="",$I$3=""),"",IF(INDEX(인턴근무계획!$M$3:$R$202,$A148,$I$3)&amp;""="","",IF(LEFT(INDEX(인턴근무계획!$M$3:$R$202,$A148,$I$3)&amp;"",1)="⚠","",MID(INDEX(인턴근무계획!$M$3:$R$202,$A148,$I$3)&amp;"",FIND(" ",INDEX(인턴근무계획!$M$3:$R$202,$A148,$I$3)&amp;"")+1,60))))</f>
        <v/>
      </c>
      <c r="K148" s="21">
        <f>IF($C148="","",INDEX(인턴근무계획!$M$3:$M$202,$A148)&amp;"")</f>
        <v/>
      </c>
      <c r="L148" s="21">
        <f>IF($C148="","",INDEX(인턴근무계획!$N$3:$N$202,$A148)&amp;"")</f>
        <v/>
      </c>
      <c r="M148" s="21">
        <f>IF($C148="","",INDEX(인턴근무계획!$O$3:$O$202,$A148)&amp;"")</f>
        <v/>
      </c>
      <c r="N148" s="21">
        <f>IF($C148="","",INDEX(인턴근무계획!$P$3:$P$202,$A148)&amp;"")</f>
        <v/>
      </c>
      <c r="O148" s="21">
        <f>IF($C148="","",INDEX(인턴근무계획!$Q$3:$Q$202,$A148)&amp;"")</f>
        <v/>
      </c>
      <c r="P148" s="21">
        <f>IF($C148="","",INDEX(인턴근무계획!$R$3:$R$202,$A148)&amp;"")</f>
        <v/>
      </c>
      <c r="Q148" s="21">
        <f>IF($C148="","",INDEX(인턴근무계획!$T$3:$T$202,$A148))</f>
        <v/>
      </c>
    </row>
    <row r="149">
      <c r="A149" s="24" t="n">
        <v>144</v>
      </c>
      <c r="B149" s="21">
        <f>IF($C149="","",INDEX(인턴근무계획!$B$3:$B$202,$A149))</f>
        <v/>
      </c>
      <c r="C149" s="21">
        <f>IFERROR(TRIM(INDEX(인턴근무계획!$C$3:$C$202,$A149)&amp;""),"")</f>
        <v/>
      </c>
      <c r="D149" s="21">
        <f>IF($C149="","",INDEX(인턴근무계획!$D$3:$D$202,$A149))</f>
        <v/>
      </c>
      <c r="E149" s="21">
        <f>IF($C149="","",IF(IFERROR(MATCH($D149,기본자료!$B$2:$B$501,0),IFERROR(MATCH($D149&amp;"",기본자료!$B$2:$B$501,0),IFERROR(MATCH(VALUE($D149),기본자료!$B$2:$B$501,0),0)))&gt;0,"확인","미등록"))</f>
        <v/>
      </c>
      <c r="F149" s="25">
        <f>IF($C149="","",INDEX(인턴근무계획!$S$3:$S$202,$A149))</f>
        <v/>
      </c>
      <c r="G149" s="21">
        <f>IF(OR($C149="",$G$3=""),"",IF(INDEX(인턴근무계획!$M$3:$R$202,$A149,$G$3)&amp;""="","",IF(LEFT(INDEX(인턴근무계획!$M$3:$R$202,$A149,$G$3)&amp;"",1)="⚠",INDEX(인턴근무계획!$M$3:$R$202,$A149,$G$3)&amp;"",LEFT(INDEX(인턴근무계획!$M$3:$R$202,$A149,$G$3)&amp;"",FIND(" ",INDEX(인턴근무계획!$M$3:$R$202,$A149,$G$3)&amp;"")-1))))</f>
        <v/>
      </c>
      <c r="H149" s="21">
        <f>IF(OR($C149="",$G$3=""),"",IF(INDEX(인턴근무계획!$M$3:$R$202,$A149,$G$3)&amp;""="","",IF(LEFT(INDEX(인턴근무계획!$M$3:$R$202,$A149,$G$3)&amp;"",1)="⚠","",MID(INDEX(인턴근무계획!$M$3:$R$202,$A149,$G$3)&amp;"",FIND(" ",INDEX(인턴근무계획!$M$3:$R$202,$A149,$G$3)&amp;"")+1,60))))</f>
        <v/>
      </c>
      <c r="I149" s="21">
        <f>IF(OR($C149="",$I$3=""),"",IF(INDEX(인턴근무계획!$M$3:$R$202,$A149,$I$3)&amp;""="","",IF(LEFT(INDEX(인턴근무계획!$M$3:$R$202,$A149,$I$3)&amp;"",1)="⚠",INDEX(인턴근무계획!$M$3:$R$202,$A149,$I$3)&amp;"",LEFT(INDEX(인턴근무계획!$M$3:$R$202,$A149,$I$3)&amp;"",FIND(" ",INDEX(인턴근무계획!$M$3:$R$202,$A149,$I$3)&amp;"")-1))))</f>
        <v/>
      </c>
      <c r="J149" s="21">
        <f>IF(OR($C149="",$I$3=""),"",IF(INDEX(인턴근무계획!$M$3:$R$202,$A149,$I$3)&amp;""="","",IF(LEFT(INDEX(인턴근무계획!$M$3:$R$202,$A149,$I$3)&amp;"",1)="⚠","",MID(INDEX(인턴근무계획!$M$3:$R$202,$A149,$I$3)&amp;"",FIND(" ",INDEX(인턴근무계획!$M$3:$R$202,$A149,$I$3)&amp;"")+1,60))))</f>
        <v/>
      </c>
      <c r="K149" s="21">
        <f>IF($C149="","",INDEX(인턴근무계획!$M$3:$M$202,$A149)&amp;"")</f>
        <v/>
      </c>
      <c r="L149" s="21">
        <f>IF($C149="","",INDEX(인턴근무계획!$N$3:$N$202,$A149)&amp;"")</f>
        <v/>
      </c>
      <c r="M149" s="21">
        <f>IF($C149="","",INDEX(인턴근무계획!$O$3:$O$202,$A149)&amp;"")</f>
        <v/>
      </c>
      <c r="N149" s="21">
        <f>IF($C149="","",INDEX(인턴근무계획!$P$3:$P$202,$A149)&amp;"")</f>
        <v/>
      </c>
      <c r="O149" s="21">
        <f>IF($C149="","",INDEX(인턴근무계획!$Q$3:$Q$202,$A149)&amp;"")</f>
        <v/>
      </c>
      <c r="P149" s="21">
        <f>IF($C149="","",INDEX(인턴근무계획!$R$3:$R$202,$A149)&amp;"")</f>
        <v/>
      </c>
      <c r="Q149" s="21">
        <f>IF($C149="","",INDEX(인턴근무계획!$T$3:$T$202,$A149))</f>
        <v/>
      </c>
    </row>
    <row r="150">
      <c r="A150" s="24" t="n">
        <v>145</v>
      </c>
      <c r="B150" s="21">
        <f>IF($C150="","",INDEX(인턴근무계획!$B$3:$B$202,$A150))</f>
        <v/>
      </c>
      <c r="C150" s="21">
        <f>IFERROR(TRIM(INDEX(인턴근무계획!$C$3:$C$202,$A150)&amp;""),"")</f>
        <v/>
      </c>
      <c r="D150" s="21">
        <f>IF($C150="","",INDEX(인턴근무계획!$D$3:$D$202,$A150))</f>
        <v/>
      </c>
      <c r="E150" s="21">
        <f>IF($C150="","",IF(IFERROR(MATCH($D150,기본자료!$B$2:$B$501,0),IFERROR(MATCH($D150&amp;"",기본자료!$B$2:$B$501,0),IFERROR(MATCH(VALUE($D150),기본자료!$B$2:$B$501,0),0)))&gt;0,"확인","미등록"))</f>
        <v/>
      </c>
      <c r="F150" s="25">
        <f>IF($C150="","",INDEX(인턴근무계획!$S$3:$S$202,$A150))</f>
        <v/>
      </c>
      <c r="G150" s="21">
        <f>IF(OR($C150="",$G$3=""),"",IF(INDEX(인턴근무계획!$M$3:$R$202,$A150,$G$3)&amp;""="","",IF(LEFT(INDEX(인턴근무계획!$M$3:$R$202,$A150,$G$3)&amp;"",1)="⚠",INDEX(인턴근무계획!$M$3:$R$202,$A150,$G$3)&amp;"",LEFT(INDEX(인턴근무계획!$M$3:$R$202,$A150,$G$3)&amp;"",FIND(" ",INDEX(인턴근무계획!$M$3:$R$202,$A150,$G$3)&amp;"")-1))))</f>
        <v/>
      </c>
      <c r="H150" s="21">
        <f>IF(OR($C150="",$G$3=""),"",IF(INDEX(인턴근무계획!$M$3:$R$202,$A150,$G$3)&amp;""="","",IF(LEFT(INDEX(인턴근무계획!$M$3:$R$202,$A150,$G$3)&amp;"",1)="⚠","",MID(INDEX(인턴근무계획!$M$3:$R$202,$A150,$G$3)&amp;"",FIND(" ",INDEX(인턴근무계획!$M$3:$R$202,$A150,$G$3)&amp;"")+1,60))))</f>
        <v/>
      </c>
      <c r="I150" s="21">
        <f>IF(OR($C150="",$I$3=""),"",IF(INDEX(인턴근무계획!$M$3:$R$202,$A150,$I$3)&amp;""="","",IF(LEFT(INDEX(인턴근무계획!$M$3:$R$202,$A150,$I$3)&amp;"",1)="⚠",INDEX(인턴근무계획!$M$3:$R$202,$A150,$I$3)&amp;"",LEFT(INDEX(인턴근무계획!$M$3:$R$202,$A150,$I$3)&amp;"",FIND(" ",INDEX(인턴근무계획!$M$3:$R$202,$A150,$I$3)&amp;"")-1))))</f>
        <v/>
      </c>
      <c r="J150" s="21">
        <f>IF(OR($C150="",$I$3=""),"",IF(INDEX(인턴근무계획!$M$3:$R$202,$A150,$I$3)&amp;""="","",IF(LEFT(INDEX(인턴근무계획!$M$3:$R$202,$A150,$I$3)&amp;"",1)="⚠","",MID(INDEX(인턴근무계획!$M$3:$R$202,$A150,$I$3)&amp;"",FIND(" ",INDEX(인턴근무계획!$M$3:$R$202,$A150,$I$3)&amp;"")+1,60))))</f>
        <v/>
      </c>
      <c r="K150" s="21">
        <f>IF($C150="","",INDEX(인턴근무계획!$M$3:$M$202,$A150)&amp;"")</f>
        <v/>
      </c>
      <c r="L150" s="21">
        <f>IF($C150="","",INDEX(인턴근무계획!$N$3:$N$202,$A150)&amp;"")</f>
        <v/>
      </c>
      <c r="M150" s="21">
        <f>IF($C150="","",INDEX(인턴근무계획!$O$3:$O$202,$A150)&amp;"")</f>
        <v/>
      </c>
      <c r="N150" s="21">
        <f>IF($C150="","",INDEX(인턴근무계획!$P$3:$P$202,$A150)&amp;"")</f>
        <v/>
      </c>
      <c r="O150" s="21">
        <f>IF($C150="","",INDEX(인턴근무계획!$Q$3:$Q$202,$A150)&amp;"")</f>
        <v/>
      </c>
      <c r="P150" s="21">
        <f>IF($C150="","",INDEX(인턴근무계획!$R$3:$R$202,$A150)&amp;"")</f>
        <v/>
      </c>
      <c r="Q150" s="21">
        <f>IF($C150="","",INDEX(인턴근무계획!$T$3:$T$202,$A150))</f>
        <v/>
      </c>
    </row>
    <row r="151">
      <c r="A151" s="24" t="n">
        <v>146</v>
      </c>
      <c r="B151" s="21">
        <f>IF($C151="","",INDEX(인턴근무계획!$B$3:$B$202,$A151))</f>
        <v/>
      </c>
      <c r="C151" s="21">
        <f>IFERROR(TRIM(INDEX(인턴근무계획!$C$3:$C$202,$A151)&amp;""),"")</f>
        <v/>
      </c>
      <c r="D151" s="21">
        <f>IF($C151="","",INDEX(인턴근무계획!$D$3:$D$202,$A151))</f>
        <v/>
      </c>
      <c r="E151" s="21">
        <f>IF($C151="","",IF(IFERROR(MATCH($D151,기본자료!$B$2:$B$501,0),IFERROR(MATCH($D151&amp;"",기본자료!$B$2:$B$501,0),IFERROR(MATCH(VALUE($D151),기본자료!$B$2:$B$501,0),0)))&gt;0,"확인","미등록"))</f>
        <v/>
      </c>
      <c r="F151" s="25">
        <f>IF($C151="","",INDEX(인턴근무계획!$S$3:$S$202,$A151))</f>
        <v/>
      </c>
      <c r="G151" s="21">
        <f>IF(OR($C151="",$G$3=""),"",IF(INDEX(인턴근무계획!$M$3:$R$202,$A151,$G$3)&amp;""="","",IF(LEFT(INDEX(인턴근무계획!$M$3:$R$202,$A151,$G$3)&amp;"",1)="⚠",INDEX(인턴근무계획!$M$3:$R$202,$A151,$G$3)&amp;"",LEFT(INDEX(인턴근무계획!$M$3:$R$202,$A151,$G$3)&amp;"",FIND(" ",INDEX(인턴근무계획!$M$3:$R$202,$A151,$G$3)&amp;"")-1))))</f>
        <v/>
      </c>
      <c r="H151" s="21">
        <f>IF(OR($C151="",$G$3=""),"",IF(INDEX(인턴근무계획!$M$3:$R$202,$A151,$G$3)&amp;""="","",IF(LEFT(INDEX(인턴근무계획!$M$3:$R$202,$A151,$G$3)&amp;"",1)="⚠","",MID(INDEX(인턴근무계획!$M$3:$R$202,$A151,$G$3)&amp;"",FIND(" ",INDEX(인턴근무계획!$M$3:$R$202,$A151,$G$3)&amp;"")+1,60))))</f>
        <v/>
      </c>
      <c r="I151" s="21">
        <f>IF(OR($C151="",$I$3=""),"",IF(INDEX(인턴근무계획!$M$3:$R$202,$A151,$I$3)&amp;""="","",IF(LEFT(INDEX(인턴근무계획!$M$3:$R$202,$A151,$I$3)&amp;"",1)="⚠",INDEX(인턴근무계획!$M$3:$R$202,$A151,$I$3)&amp;"",LEFT(INDEX(인턴근무계획!$M$3:$R$202,$A151,$I$3)&amp;"",FIND(" ",INDEX(인턴근무계획!$M$3:$R$202,$A151,$I$3)&amp;"")-1))))</f>
        <v/>
      </c>
      <c r="J151" s="21">
        <f>IF(OR($C151="",$I$3=""),"",IF(INDEX(인턴근무계획!$M$3:$R$202,$A151,$I$3)&amp;""="","",IF(LEFT(INDEX(인턴근무계획!$M$3:$R$202,$A151,$I$3)&amp;"",1)="⚠","",MID(INDEX(인턴근무계획!$M$3:$R$202,$A151,$I$3)&amp;"",FIND(" ",INDEX(인턴근무계획!$M$3:$R$202,$A151,$I$3)&amp;"")+1,60))))</f>
        <v/>
      </c>
      <c r="K151" s="21">
        <f>IF($C151="","",INDEX(인턴근무계획!$M$3:$M$202,$A151)&amp;"")</f>
        <v/>
      </c>
      <c r="L151" s="21">
        <f>IF($C151="","",INDEX(인턴근무계획!$N$3:$N$202,$A151)&amp;"")</f>
        <v/>
      </c>
      <c r="M151" s="21">
        <f>IF($C151="","",INDEX(인턴근무계획!$O$3:$O$202,$A151)&amp;"")</f>
        <v/>
      </c>
      <c r="N151" s="21">
        <f>IF($C151="","",INDEX(인턴근무계획!$P$3:$P$202,$A151)&amp;"")</f>
        <v/>
      </c>
      <c r="O151" s="21">
        <f>IF($C151="","",INDEX(인턴근무계획!$Q$3:$Q$202,$A151)&amp;"")</f>
        <v/>
      </c>
      <c r="P151" s="21">
        <f>IF($C151="","",INDEX(인턴근무계획!$R$3:$R$202,$A151)&amp;"")</f>
        <v/>
      </c>
      <c r="Q151" s="21">
        <f>IF($C151="","",INDEX(인턴근무계획!$T$3:$T$202,$A151))</f>
        <v/>
      </c>
    </row>
    <row r="152">
      <c r="A152" s="24" t="n">
        <v>147</v>
      </c>
      <c r="B152" s="21">
        <f>IF($C152="","",INDEX(인턴근무계획!$B$3:$B$202,$A152))</f>
        <v/>
      </c>
      <c r="C152" s="21">
        <f>IFERROR(TRIM(INDEX(인턴근무계획!$C$3:$C$202,$A152)&amp;""),"")</f>
        <v/>
      </c>
      <c r="D152" s="21">
        <f>IF($C152="","",INDEX(인턴근무계획!$D$3:$D$202,$A152))</f>
        <v/>
      </c>
      <c r="E152" s="21">
        <f>IF($C152="","",IF(IFERROR(MATCH($D152,기본자료!$B$2:$B$501,0),IFERROR(MATCH($D152&amp;"",기본자료!$B$2:$B$501,0),IFERROR(MATCH(VALUE($D152),기본자료!$B$2:$B$501,0),0)))&gt;0,"확인","미등록"))</f>
        <v/>
      </c>
      <c r="F152" s="25">
        <f>IF($C152="","",INDEX(인턴근무계획!$S$3:$S$202,$A152))</f>
        <v/>
      </c>
      <c r="G152" s="21">
        <f>IF(OR($C152="",$G$3=""),"",IF(INDEX(인턴근무계획!$M$3:$R$202,$A152,$G$3)&amp;""="","",IF(LEFT(INDEX(인턴근무계획!$M$3:$R$202,$A152,$G$3)&amp;"",1)="⚠",INDEX(인턴근무계획!$M$3:$R$202,$A152,$G$3)&amp;"",LEFT(INDEX(인턴근무계획!$M$3:$R$202,$A152,$G$3)&amp;"",FIND(" ",INDEX(인턴근무계획!$M$3:$R$202,$A152,$G$3)&amp;"")-1))))</f>
        <v/>
      </c>
      <c r="H152" s="21">
        <f>IF(OR($C152="",$G$3=""),"",IF(INDEX(인턴근무계획!$M$3:$R$202,$A152,$G$3)&amp;""="","",IF(LEFT(INDEX(인턴근무계획!$M$3:$R$202,$A152,$G$3)&amp;"",1)="⚠","",MID(INDEX(인턴근무계획!$M$3:$R$202,$A152,$G$3)&amp;"",FIND(" ",INDEX(인턴근무계획!$M$3:$R$202,$A152,$G$3)&amp;"")+1,60))))</f>
        <v/>
      </c>
      <c r="I152" s="21">
        <f>IF(OR($C152="",$I$3=""),"",IF(INDEX(인턴근무계획!$M$3:$R$202,$A152,$I$3)&amp;""="","",IF(LEFT(INDEX(인턴근무계획!$M$3:$R$202,$A152,$I$3)&amp;"",1)="⚠",INDEX(인턴근무계획!$M$3:$R$202,$A152,$I$3)&amp;"",LEFT(INDEX(인턴근무계획!$M$3:$R$202,$A152,$I$3)&amp;"",FIND(" ",INDEX(인턴근무계획!$M$3:$R$202,$A152,$I$3)&amp;"")-1))))</f>
        <v/>
      </c>
      <c r="J152" s="21">
        <f>IF(OR($C152="",$I$3=""),"",IF(INDEX(인턴근무계획!$M$3:$R$202,$A152,$I$3)&amp;""="","",IF(LEFT(INDEX(인턴근무계획!$M$3:$R$202,$A152,$I$3)&amp;"",1)="⚠","",MID(INDEX(인턴근무계획!$M$3:$R$202,$A152,$I$3)&amp;"",FIND(" ",INDEX(인턴근무계획!$M$3:$R$202,$A152,$I$3)&amp;"")+1,60))))</f>
        <v/>
      </c>
      <c r="K152" s="21">
        <f>IF($C152="","",INDEX(인턴근무계획!$M$3:$M$202,$A152)&amp;"")</f>
        <v/>
      </c>
      <c r="L152" s="21">
        <f>IF($C152="","",INDEX(인턴근무계획!$N$3:$N$202,$A152)&amp;"")</f>
        <v/>
      </c>
      <c r="M152" s="21">
        <f>IF($C152="","",INDEX(인턴근무계획!$O$3:$O$202,$A152)&amp;"")</f>
        <v/>
      </c>
      <c r="N152" s="21">
        <f>IF($C152="","",INDEX(인턴근무계획!$P$3:$P$202,$A152)&amp;"")</f>
        <v/>
      </c>
      <c r="O152" s="21">
        <f>IF($C152="","",INDEX(인턴근무계획!$Q$3:$Q$202,$A152)&amp;"")</f>
        <v/>
      </c>
      <c r="P152" s="21">
        <f>IF($C152="","",INDEX(인턴근무계획!$R$3:$R$202,$A152)&amp;"")</f>
        <v/>
      </c>
      <c r="Q152" s="21">
        <f>IF($C152="","",INDEX(인턴근무계획!$T$3:$T$202,$A152))</f>
        <v/>
      </c>
    </row>
    <row r="153">
      <c r="A153" s="24" t="n">
        <v>148</v>
      </c>
      <c r="B153" s="21">
        <f>IF($C153="","",INDEX(인턴근무계획!$B$3:$B$202,$A153))</f>
        <v/>
      </c>
      <c r="C153" s="21">
        <f>IFERROR(TRIM(INDEX(인턴근무계획!$C$3:$C$202,$A153)&amp;""),"")</f>
        <v/>
      </c>
      <c r="D153" s="21">
        <f>IF($C153="","",INDEX(인턴근무계획!$D$3:$D$202,$A153))</f>
        <v/>
      </c>
      <c r="E153" s="21">
        <f>IF($C153="","",IF(IFERROR(MATCH($D153,기본자료!$B$2:$B$501,0),IFERROR(MATCH($D153&amp;"",기본자료!$B$2:$B$501,0),IFERROR(MATCH(VALUE($D153),기본자료!$B$2:$B$501,0),0)))&gt;0,"확인","미등록"))</f>
        <v/>
      </c>
      <c r="F153" s="25">
        <f>IF($C153="","",INDEX(인턴근무계획!$S$3:$S$202,$A153))</f>
        <v/>
      </c>
      <c r="G153" s="21">
        <f>IF(OR($C153="",$G$3=""),"",IF(INDEX(인턴근무계획!$M$3:$R$202,$A153,$G$3)&amp;""="","",IF(LEFT(INDEX(인턴근무계획!$M$3:$R$202,$A153,$G$3)&amp;"",1)="⚠",INDEX(인턴근무계획!$M$3:$R$202,$A153,$G$3)&amp;"",LEFT(INDEX(인턴근무계획!$M$3:$R$202,$A153,$G$3)&amp;"",FIND(" ",INDEX(인턴근무계획!$M$3:$R$202,$A153,$G$3)&amp;"")-1))))</f>
        <v/>
      </c>
      <c r="H153" s="21">
        <f>IF(OR($C153="",$G$3=""),"",IF(INDEX(인턴근무계획!$M$3:$R$202,$A153,$G$3)&amp;""="","",IF(LEFT(INDEX(인턴근무계획!$M$3:$R$202,$A153,$G$3)&amp;"",1)="⚠","",MID(INDEX(인턴근무계획!$M$3:$R$202,$A153,$G$3)&amp;"",FIND(" ",INDEX(인턴근무계획!$M$3:$R$202,$A153,$G$3)&amp;"")+1,60))))</f>
        <v/>
      </c>
      <c r="I153" s="21">
        <f>IF(OR($C153="",$I$3=""),"",IF(INDEX(인턴근무계획!$M$3:$R$202,$A153,$I$3)&amp;""="","",IF(LEFT(INDEX(인턴근무계획!$M$3:$R$202,$A153,$I$3)&amp;"",1)="⚠",INDEX(인턴근무계획!$M$3:$R$202,$A153,$I$3)&amp;"",LEFT(INDEX(인턴근무계획!$M$3:$R$202,$A153,$I$3)&amp;"",FIND(" ",INDEX(인턴근무계획!$M$3:$R$202,$A153,$I$3)&amp;"")-1))))</f>
        <v/>
      </c>
      <c r="J153" s="21">
        <f>IF(OR($C153="",$I$3=""),"",IF(INDEX(인턴근무계획!$M$3:$R$202,$A153,$I$3)&amp;""="","",IF(LEFT(INDEX(인턴근무계획!$M$3:$R$202,$A153,$I$3)&amp;"",1)="⚠","",MID(INDEX(인턴근무계획!$M$3:$R$202,$A153,$I$3)&amp;"",FIND(" ",INDEX(인턴근무계획!$M$3:$R$202,$A153,$I$3)&amp;"")+1,60))))</f>
        <v/>
      </c>
      <c r="K153" s="21">
        <f>IF($C153="","",INDEX(인턴근무계획!$M$3:$M$202,$A153)&amp;"")</f>
        <v/>
      </c>
      <c r="L153" s="21">
        <f>IF($C153="","",INDEX(인턴근무계획!$N$3:$N$202,$A153)&amp;"")</f>
        <v/>
      </c>
      <c r="M153" s="21">
        <f>IF($C153="","",INDEX(인턴근무계획!$O$3:$O$202,$A153)&amp;"")</f>
        <v/>
      </c>
      <c r="N153" s="21">
        <f>IF($C153="","",INDEX(인턴근무계획!$P$3:$P$202,$A153)&amp;"")</f>
        <v/>
      </c>
      <c r="O153" s="21">
        <f>IF($C153="","",INDEX(인턴근무계획!$Q$3:$Q$202,$A153)&amp;"")</f>
        <v/>
      </c>
      <c r="P153" s="21">
        <f>IF($C153="","",INDEX(인턴근무계획!$R$3:$R$202,$A153)&amp;"")</f>
        <v/>
      </c>
      <c r="Q153" s="21">
        <f>IF($C153="","",INDEX(인턴근무계획!$T$3:$T$202,$A153))</f>
        <v/>
      </c>
    </row>
    <row r="154">
      <c r="A154" s="24" t="n">
        <v>149</v>
      </c>
      <c r="B154" s="21">
        <f>IF($C154="","",INDEX(인턴근무계획!$B$3:$B$202,$A154))</f>
        <v/>
      </c>
      <c r="C154" s="21">
        <f>IFERROR(TRIM(INDEX(인턴근무계획!$C$3:$C$202,$A154)&amp;""),"")</f>
        <v/>
      </c>
      <c r="D154" s="21">
        <f>IF($C154="","",INDEX(인턴근무계획!$D$3:$D$202,$A154))</f>
        <v/>
      </c>
      <c r="E154" s="21">
        <f>IF($C154="","",IF(IFERROR(MATCH($D154,기본자료!$B$2:$B$501,0),IFERROR(MATCH($D154&amp;"",기본자료!$B$2:$B$501,0),IFERROR(MATCH(VALUE($D154),기본자료!$B$2:$B$501,0),0)))&gt;0,"확인","미등록"))</f>
        <v/>
      </c>
      <c r="F154" s="25">
        <f>IF($C154="","",INDEX(인턴근무계획!$S$3:$S$202,$A154))</f>
        <v/>
      </c>
      <c r="G154" s="21">
        <f>IF(OR($C154="",$G$3=""),"",IF(INDEX(인턴근무계획!$M$3:$R$202,$A154,$G$3)&amp;""="","",IF(LEFT(INDEX(인턴근무계획!$M$3:$R$202,$A154,$G$3)&amp;"",1)="⚠",INDEX(인턴근무계획!$M$3:$R$202,$A154,$G$3)&amp;"",LEFT(INDEX(인턴근무계획!$M$3:$R$202,$A154,$G$3)&amp;"",FIND(" ",INDEX(인턴근무계획!$M$3:$R$202,$A154,$G$3)&amp;"")-1))))</f>
        <v/>
      </c>
      <c r="H154" s="21">
        <f>IF(OR($C154="",$G$3=""),"",IF(INDEX(인턴근무계획!$M$3:$R$202,$A154,$G$3)&amp;""="","",IF(LEFT(INDEX(인턴근무계획!$M$3:$R$202,$A154,$G$3)&amp;"",1)="⚠","",MID(INDEX(인턴근무계획!$M$3:$R$202,$A154,$G$3)&amp;"",FIND(" ",INDEX(인턴근무계획!$M$3:$R$202,$A154,$G$3)&amp;"")+1,60))))</f>
        <v/>
      </c>
      <c r="I154" s="21">
        <f>IF(OR($C154="",$I$3=""),"",IF(INDEX(인턴근무계획!$M$3:$R$202,$A154,$I$3)&amp;""="","",IF(LEFT(INDEX(인턴근무계획!$M$3:$R$202,$A154,$I$3)&amp;"",1)="⚠",INDEX(인턴근무계획!$M$3:$R$202,$A154,$I$3)&amp;"",LEFT(INDEX(인턴근무계획!$M$3:$R$202,$A154,$I$3)&amp;"",FIND(" ",INDEX(인턴근무계획!$M$3:$R$202,$A154,$I$3)&amp;"")-1))))</f>
        <v/>
      </c>
      <c r="J154" s="21">
        <f>IF(OR($C154="",$I$3=""),"",IF(INDEX(인턴근무계획!$M$3:$R$202,$A154,$I$3)&amp;""="","",IF(LEFT(INDEX(인턴근무계획!$M$3:$R$202,$A154,$I$3)&amp;"",1)="⚠","",MID(INDEX(인턴근무계획!$M$3:$R$202,$A154,$I$3)&amp;"",FIND(" ",INDEX(인턴근무계획!$M$3:$R$202,$A154,$I$3)&amp;"")+1,60))))</f>
        <v/>
      </c>
      <c r="K154" s="21">
        <f>IF($C154="","",INDEX(인턴근무계획!$M$3:$M$202,$A154)&amp;"")</f>
        <v/>
      </c>
      <c r="L154" s="21">
        <f>IF($C154="","",INDEX(인턴근무계획!$N$3:$N$202,$A154)&amp;"")</f>
        <v/>
      </c>
      <c r="M154" s="21">
        <f>IF($C154="","",INDEX(인턴근무계획!$O$3:$O$202,$A154)&amp;"")</f>
        <v/>
      </c>
      <c r="N154" s="21">
        <f>IF($C154="","",INDEX(인턴근무계획!$P$3:$P$202,$A154)&amp;"")</f>
        <v/>
      </c>
      <c r="O154" s="21">
        <f>IF($C154="","",INDEX(인턴근무계획!$Q$3:$Q$202,$A154)&amp;"")</f>
        <v/>
      </c>
      <c r="P154" s="21">
        <f>IF($C154="","",INDEX(인턴근무계획!$R$3:$R$202,$A154)&amp;"")</f>
        <v/>
      </c>
      <c r="Q154" s="21">
        <f>IF($C154="","",INDEX(인턴근무계획!$T$3:$T$202,$A154))</f>
        <v/>
      </c>
    </row>
    <row r="155">
      <c r="A155" s="24" t="n">
        <v>150</v>
      </c>
      <c r="B155" s="21">
        <f>IF($C155="","",INDEX(인턴근무계획!$B$3:$B$202,$A155))</f>
        <v/>
      </c>
      <c r="C155" s="21">
        <f>IFERROR(TRIM(INDEX(인턴근무계획!$C$3:$C$202,$A155)&amp;""),"")</f>
        <v/>
      </c>
      <c r="D155" s="21">
        <f>IF($C155="","",INDEX(인턴근무계획!$D$3:$D$202,$A155))</f>
        <v/>
      </c>
      <c r="E155" s="21">
        <f>IF($C155="","",IF(IFERROR(MATCH($D155,기본자료!$B$2:$B$501,0),IFERROR(MATCH($D155&amp;"",기본자료!$B$2:$B$501,0),IFERROR(MATCH(VALUE($D155),기본자료!$B$2:$B$501,0),0)))&gt;0,"확인","미등록"))</f>
        <v/>
      </c>
      <c r="F155" s="25">
        <f>IF($C155="","",INDEX(인턴근무계획!$S$3:$S$202,$A155))</f>
        <v/>
      </c>
      <c r="G155" s="21">
        <f>IF(OR($C155="",$G$3=""),"",IF(INDEX(인턴근무계획!$M$3:$R$202,$A155,$G$3)&amp;""="","",IF(LEFT(INDEX(인턴근무계획!$M$3:$R$202,$A155,$G$3)&amp;"",1)="⚠",INDEX(인턴근무계획!$M$3:$R$202,$A155,$G$3)&amp;"",LEFT(INDEX(인턴근무계획!$M$3:$R$202,$A155,$G$3)&amp;"",FIND(" ",INDEX(인턴근무계획!$M$3:$R$202,$A155,$G$3)&amp;"")-1))))</f>
        <v/>
      </c>
      <c r="H155" s="21">
        <f>IF(OR($C155="",$G$3=""),"",IF(INDEX(인턴근무계획!$M$3:$R$202,$A155,$G$3)&amp;""="","",IF(LEFT(INDEX(인턴근무계획!$M$3:$R$202,$A155,$G$3)&amp;"",1)="⚠","",MID(INDEX(인턴근무계획!$M$3:$R$202,$A155,$G$3)&amp;"",FIND(" ",INDEX(인턴근무계획!$M$3:$R$202,$A155,$G$3)&amp;"")+1,60))))</f>
        <v/>
      </c>
      <c r="I155" s="21">
        <f>IF(OR($C155="",$I$3=""),"",IF(INDEX(인턴근무계획!$M$3:$R$202,$A155,$I$3)&amp;""="","",IF(LEFT(INDEX(인턴근무계획!$M$3:$R$202,$A155,$I$3)&amp;"",1)="⚠",INDEX(인턴근무계획!$M$3:$R$202,$A155,$I$3)&amp;"",LEFT(INDEX(인턴근무계획!$M$3:$R$202,$A155,$I$3)&amp;"",FIND(" ",INDEX(인턴근무계획!$M$3:$R$202,$A155,$I$3)&amp;"")-1))))</f>
        <v/>
      </c>
      <c r="J155" s="21">
        <f>IF(OR($C155="",$I$3=""),"",IF(INDEX(인턴근무계획!$M$3:$R$202,$A155,$I$3)&amp;""="","",IF(LEFT(INDEX(인턴근무계획!$M$3:$R$202,$A155,$I$3)&amp;"",1)="⚠","",MID(INDEX(인턴근무계획!$M$3:$R$202,$A155,$I$3)&amp;"",FIND(" ",INDEX(인턴근무계획!$M$3:$R$202,$A155,$I$3)&amp;"")+1,60))))</f>
        <v/>
      </c>
      <c r="K155" s="21">
        <f>IF($C155="","",INDEX(인턴근무계획!$M$3:$M$202,$A155)&amp;"")</f>
        <v/>
      </c>
      <c r="L155" s="21">
        <f>IF($C155="","",INDEX(인턴근무계획!$N$3:$N$202,$A155)&amp;"")</f>
        <v/>
      </c>
      <c r="M155" s="21">
        <f>IF($C155="","",INDEX(인턴근무계획!$O$3:$O$202,$A155)&amp;"")</f>
        <v/>
      </c>
      <c r="N155" s="21">
        <f>IF($C155="","",INDEX(인턴근무계획!$P$3:$P$202,$A155)&amp;"")</f>
        <v/>
      </c>
      <c r="O155" s="21">
        <f>IF($C155="","",INDEX(인턴근무계획!$Q$3:$Q$202,$A155)&amp;"")</f>
        <v/>
      </c>
      <c r="P155" s="21">
        <f>IF($C155="","",INDEX(인턴근무계획!$R$3:$R$202,$A155)&amp;"")</f>
        <v/>
      </c>
      <c r="Q155" s="21">
        <f>IF($C155="","",INDEX(인턴근무계획!$T$3:$T$202,$A155))</f>
        <v/>
      </c>
    </row>
    <row r="156">
      <c r="A156" s="24" t="n">
        <v>151</v>
      </c>
      <c r="B156" s="21">
        <f>IF($C156="","",INDEX(인턴근무계획!$B$3:$B$202,$A156))</f>
        <v/>
      </c>
      <c r="C156" s="21">
        <f>IFERROR(TRIM(INDEX(인턴근무계획!$C$3:$C$202,$A156)&amp;""),"")</f>
        <v/>
      </c>
      <c r="D156" s="21">
        <f>IF($C156="","",INDEX(인턴근무계획!$D$3:$D$202,$A156))</f>
        <v/>
      </c>
      <c r="E156" s="21">
        <f>IF($C156="","",IF(IFERROR(MATCH($D156,기본자료!$B$2:$B$501,0),IFERROR(MATCH($D156&amp;"",기본자료!$B$2:$B$501,0),IFERROR(MATCH(VALUE($D156),기본자료!$B$2:$B$501,0),0)))&gt;0,"확인","미등록"))</f>
        <v/>
      </c>
      <c r="F156" s="25">
        <f>IF($C156="","",INDEX(인턴근무계획!$S$3:$S$202,$A156))</f>
        <v/>
      </c>
      <c r="G156" s="21">
        <f>IF(OR($C156="",$G$3=""),"",IF(INDEX(인턴근무계획!$M$3:$R$202,$A156,$G$3)&amp;""="","",IF(LEFT(INDEX(인턴근무계획!$M$3:$R$202,$A156,$G$3)&amp;"",1)="⚠",INDEX(인턴근무계획!$M$3:$R$202,$A156,$G$3)&amp;"",LEFT(INDEX(인턴근무계획!$M$3:$R$202,$A156,$G$3)&amp;"",FIND(" ",INDEX(인턴근무계획!$M$3:$R$202,$A156,$G$3)&amp;"")-1))))</f>
        <v/>
      </c>
      <c r="H156" s="21">
        <f>IF(OR($C156="",$G$3=""),"",IF(INDEX(인턴근무계획!$M$3:$R$202,$A156,$G$3)&amp;""="","",IF(LEFT(INDEX(인턴근무계획!$M$3:$R$202,$A156,$G$3)&amp;"",1)="⚠","",MID(INDEX(인턴근무계획!$M$3:$R$202,$A156,$G$3)&amp;"",FIND(" ",INDEX(인턴근무계획!$M$3:$R$202,$A156,$G$3)&amp;"")+1,60))))</f>
        <v/>
      </c>
      <c r="I156" s="21">
        <f>IF(OR($C156="",$I$3=""),"",IF(INDEX(인턴근무계획!$M$3:$R$202,$A156,$I$3)&amp;""="","",IF(LEFT(INDEX(인턴근무계획!$M$3:$R$202,$A156,$I$3)&amp;"",1)="⚠",INDEX(인턴근무계획!$M$3:$R$202,$A156,$I$3)&amp;"",LEFT(INDEX(인턴근무계획!$M$3:$R$202,$A156,$I$3)&amp;"",FIND(" ",INDEX(인턴근무계획!$M$3:$R$202,$A156,$I$3)&amp;"")-1))))</f>
        <v/>
      </c>
      <c r="J156" s="21">
        <f>IF(OR($C156="",$I$3=""),"",IF(INDEX(인턴근무계획!$M$3:$R$202,$A156,$I$3)&amp;""="","",IF(LEFT(INDEX(인턴근무계획!$M$3:$R$202,$A156,$I$3)&amp;"",1)="⚠","",MID(INDEX(인턴근무계획!$M$3:$R$202,$A156,$I$3)&amp;"",FIND(" ",INDEX(인턴근무계획!$M$3:$R$202,$A156,$I$3)&amp;"")+1,60))))</f>
        <v/>
      </c>
      <c r="K156" s="21">
        <f>IF($C156="","",INDEX(인턴근무계획!$M$3:$M$202,$A156)&amp;"")</f>
        <v/>
      </c>
      <c r="L156" s="21">
        <f>IF($C156="","",INDEX(인턴근무계획!$N$3:$N$202,$A156)&amp;"")</f>
        <v/>
      </c>
      <c r="M156" s="21">
        <f>IF($C156="","",INDEX(인턴근무계획!$O$3:$O$202,$A156)&amp;"")</f>
        <v/>
      </c>
      <c r="N156" s="21">
        <f>IF($C156="","",INDEX(인턴근무계획!$P$3:$P$202,$A156)&amp;"")</f>
        <v/>
      </c>
      <c r="O156" s="21">
        <f>IF($C156="","",INDEX(인턴근무계획!$Q$3:$Q$202,$A156)&amp;"")</f>
        <v/>
      </c>
      <c r="P156" s="21">
        <f>IF($C156="","",INDEX(인턴근무계획!$R$3:$R$202,$A156)&amp;"")</f>
        <v/>
      </c>
      <c r="Q156" s="21">
        <f>IF($C156="","",INDEX(인턴근무계획!$T$3:$T$202,$A156))</f>
        <v/>
      </c>
    </row>
    <row r="157">
      <c r="A157" s="24" t="n">
        <v>152</v>
      </c>
      <c r="B157" s="21">
        <f>IF($C157="","",INDEX(인턴근무계획!$B$3:$B$202,$A157))</f>
        <v/>
      </c>
      <c r="C157" s="21">
        <f>IFERROR(TRIM(INDEX(인턴근무계획!$C$3:$C$202,$A157)&amp;""),"")</f>
        <v/>
      </c>
      <c r="D157" s="21">
        <f>IF($C157="","",INDEX(인턴근무계획!$D$3:$D$202,$A157))</f>
        <v/>
      </c>
      <c r="E157" s="21">
        <f>IF($C157="","",IF(IFERROR(MATCH($D157,기본자료!$B$2:$B$501,0),IFERROR(MATCH($D157&amp;"",기본자료!$B$2:$B$501,0),IFERROR(MATCH(VALUE($D157),기본자료!$B$2:$B$501,0),0)))&gt;0,"확인","미등록"))</f>
        <v/>
      </c>
      <c r="F157" s="25">
        <f>IF($C157="","",INDEX(인턴근무계획!$S$3:$S$202,$A157))</f>
        <v/>
      </c>
      <c r="G157" s="21">
        <f>IF(OR($C157="",$G$3=""),"",IF(INDEX(인턴근무계획!$M$3:$R$202,$A157,$G$3)&amp;""="","",IF(LEFT(INDEX(인턴근무계획!$M$3:$R$202,$A157,$G$3)&amp;"",1)="⚠",INDEX(인턴근무계획!$M$3:$R$202,$A157,$G$3)&amp;"",LEFT(INDEX(인턴근무계획!$M$3:$R$202,$A157,$G$3)&amp;"",FIND(" ",INDEX(인턴근무계획!$M$3:$R$202,$A157,$G$3)&amp;"")-1))))</f>
        <v/>
      </c>
      <c r="H157" s="21">
        <f>IF(OR($C157="",$G$3=""),"",IF(INDEX(인턴근무계획!$M$3:$R$202,$A157,$G$3)&amp;""="","",IF(LEFT(INDEX(인턴근무계획!$M$3:$R$202,$A157,$G$3)&amp;"",1)="⚠","",MID(INDEX(인턴근무계획!$M$3:$R$202,$A157,$G$3)&amp;"",FIND(" ",INDEX(인턴근무계획!$M$3:$R$202,$A157,$G$3)&amp;"")+1,60))))</f>
        <v/>
      </c>
      <c r="I157" s="21">
        <f>IF(OR($C157="",$I$3=""),"",IF(INDEX(인턴근무계획!$M$3:$R$202,$A157,$I$3)&amp;""="","",IF(LEFT(INDEX(인턴근무계획!$M$3:$R$202,$A157,$I$3)&amp;"",1)="⚠",INDEX(인턴근무계획!$M$3:$R$202,$A157,$I$3)&amp;"",LEFT(INDEX(인턴근무계획!$M$3:$R$202,$A157,$I$3)&amp;"",FIND(" ",INDEX(인턴근무계획!$M$3:$R$202,$A157,$I$3)&amp;"")-1))))</f>
        <v/>
      </c>
      <c r="J157" s="21">
        <f>IF(OR($C157="",$I$3=""),"",IF(INDEX(인턴근무계획!$M$3:$R$202,$A157,$I$3)&amp;""="","",IF(LEFT(INDEX(인턴근무계획!$M$3:$R$202,$A157,$I$3)&amp;"",1)="⚠","",MID(INDEX(인턴근무계획!$M$3:$R$202,$A157,$I$3)&amp;"",FIND(" ",INDEX(인턴근무계획!$M$3:$R$202,$A157,$I$3)&amp;"")+1,60))))</f>
        <v/>
      </c>
      <c r="K157" s="21">
        <f>IF($C157="","",INDEX(인턴근무계획!$M$3:$M$202,$A157)&amp;"")</f>
        <v/>
      </c>
      <c r="L157" s="21">
        <f>IF($C157="","",INDEX(인턴근무계획!$N$3:$N$202,$A157)&amp;"")</f>
        <v/>
      </c>
      <c r="M157" s="21">
        <f>IF($C157="","",INDEX(인턴근무계획!$O$3:$O$202,$A157)&amp;"")</f>
        <v/>
      </c>
      <c r="N157" s="21">
        <f>IF($C157="","",INDEX(인턴근무계획!$P$3:$P$202,$A157)&amp;"")</f>
        <v/>
      </c>
      <c r="O157" s="21">
        <f>IF($C157="","",INDEX(인턴근무계획!$Q$3:$Q$202,$A157)&amp;"")</f>
        <v/>
      </c>
      <c r="P157" s="21">
        <f>IF($C157="","",INDEX(인턴근무계획!$R$3:$R$202,$A157)&amp;"")</f>
        <v/>
      </c>
      <c r="Q157" s="21">
        <f>IF($C157="","",INDEX(인턴근무계획!$T$3:$T$202,$A157))</f>
        <v/>
      </c>
    </row>
    <row r="158">
      <c r="A158" s="24" t="n">
        <v>153</v>
      </c>
      <c r="B158" s="21">
        <f>IF($C158="","",INDEX(인턴근무계획!$B$3:$B$202,$A158))</f>
        <v/>
      </c>
      <c r="C158" s="21">
        <f>IFERROR(TRIM(INDEX(인턴근무계획!$C$3:$C$202,$A158)&amp;""),"")</f>
        <v/>
      </c>
      <c r="D158" s="21">
        <f>IF($C158="","",INDEX(인턴근무계획!$D$3:$D$202,$A158))</f>
        <v/>
      </c>
      <c r="E158" s="21">
        <f>IF($C158="","",IF(IFERROR(MATCH($D158,기본자료!$B$2:$B$501,0),IFERROR(MATCH($D158&amp;"",기본자료!$B$2:$B$501,0),IFERROR(MATCH(VALUE($D158),기본자료!$B$2:$B$501,0),0)))&gt;0,"확인","미등록"))</f>
        <v/>
      </c>
      <c r="F158" s="25">
        <f>IF($C158="","",INDEX(인턴근무계획!$S$3:$S$202,$A158))</f>
        <v/>
      </c>
      <c r="G158" s="21">
        <f>IF(OR($C158="",$G$3=""),"",IF(INDEX(인턴근무계획!$M$3:$R$202,$A158,$G$3)&amp;""="","",IF(LEFT(INDEX(인턴근무계획!$M$3:$R$202,$A158,$G$3)&amp;"",1)="⚠",INDEX(인턴근무계획!$M$3:$R$202,$A158,$G$3)&amp;"",LEFT(INDEX(인턴근무계획!$M$3:$R$202,$A158,$G$3)&amp;"",FIND(" ",INDEX(인턴근무계획!$M$3:$R$202,$A158,$G$3)&amp;"")-1))))</f>
        <v/>
      </c>
      <c r="H158" s="21">
        <f>IF(OR($C158="",$G$3=""),"",IF(INDEX(인턴근무계획!$M$3:$R$202,$A158,$G$3)&amp;""="","",IF(LEFT(INDEX(인턴근무계획!$M$3:$R$202,$A158,$G$3)&amp;"",1)="⚠","",MID(INDEX(인턴근무계획!$M$3:$R$202,$A158,$G$3)&amp;"",FIND(" ",INDEX(인턴근무계획!$M$3:$R$202,$A158,$G$3)&amp;"")+1,60))))</f>
        <v/>
      </c>
      <c r="I158" s="21">
        <f>IF(OR($C158="",$I$3=""),"",IF(INDEX(인턴근무계획!$M$3:$R$202,$A158,$I$3)&amp;""="","",IF(LEFT(INDEX(인턴근무계획!$M$3:$R$202,$A158,$I$3)&amp;"",1)="⚠",INDEX(인턴근무계획!$M$3:$R$202,$A158,$I$3)&amp;"",LEFT(INDEX(인턴근무계획!$M$3:$R$202,$A158,$I$3)&amp;"",FIND(" ",INDEX(인턴근무계획!$M$3:$R$202,$A158,$I$3)&amp;"")-1))))</f>
        <v/>
      </c>
      <c r="J158" s="21">
        <f>IF(OR($C158="",$I$3=""),"",IF(INDEX(인턴근무계획!$M$3:$R$202,$A158,$I$3)&amp;""="","",IF(LEFT(INDEX(인턴근무계획!$M$3:$R$202,$A158,$I$3)&amp;"",1)="⚠","",MID(INDEX(인턴근무계획!$M$3:$R$202,$A158,$I$3)&amp;"",FIND(" ",INDEX(인턴근무계획!$M$3:$R$202,$A158,$I$3)&amp;"")+1,60))))</f>
        <v/>
      </c>
      <c r="K158" s="21">
        <f>IF($C158="","",INDEX(인턴근무계획!$M$3:$M$202,$A158)&amp;"")</f>
        <v/>
      </c>
      <c r="L158" s="21">
        <f>IF($C158="","",INDEX(인턴근무계획!$N$3:$N$202,$A158)&amp;"")</f>
        <v/>
      </c>
      <c r="M158" s="21">
        <f>IF($C158="","",INDEX(인턴근무계획!$O$3:$O$202,$A158)&amp;"")</f>
        <v/>
      </c>
      <c r="N158" s="21">
        <f>IF($C158="","",INDEX(인턴근무계획!$P$3:$P$202,$A158)&amp;"")</f>
        <v/>
      </c>
      <c r="O158" s="21">
        <f>IF($C158="","",INDEX(인턴근무계획!$Q$3:$Q$202,$A158)&amp;"")</f>
        <v/>
      </c>
      <c r="P158" s="21">
        <f>IF($C158="","",INDEX(인턴근무계획!$R$3:$R$202,$A158)&amp;"")</f>
        <v/>
      </c>
      <c r="Q158" s="21">
        <f>IF($C158="","",INDEX(인턴근무계획!$T$3:$T$202,$A158))</f>
        <v/>
      </c>
    </row>
    <row r="159">
      <c r="A159" s="24" t="n">
        <v>154</v>
      </c>
      <c r="B159" s="21">
        <f>IF($C159="","",INDEX(인턴근무계획!$B$3:$B$202,$A159))</f>
        <v/>
      </c>
      <c r="C159" s="21">
        <f>IFERROR(TRIM(INDEX(인턴근무계획!$C$3:$C$202,$A159)&amp;""),"")</f>
        <v/>
      </c>
      <c r="D159" s="21">
        <f>IF($C159="","",INDEX(인턴근무계획!$D$3:$D$202,$A159))</f>
        <v/>
      </c>
      <c r="E159" s="21">
        <f>IF($C159="","",IF(IFERROR(MATCH($D159,기본자료!$B$2:$B$501,0),IFERROR(MATCH($D159&amp;"",기본자료!$B$2:$B$501,0),IFERROR(MATCH(VALUE($D159),기본자료!$B$2:$B$501,0),0)))&gt;0,"확인","미등록"))</f>
        <v/>
      </c>
      <c r="F159" s="25">
        <f>IF($C159="","",INDEX(인턴근무계획!$S$3:$S$202,$A159))</f>
        <v/>
      </c>
      <c r="G159" s="21">
        <f>IF(OR($C159="",$G$3=""),"",IF(INDEX(인턴근무계획!$M$3:$R$202,$A159,$G$3)&amp;""="","",IF(LEFT(INDEX(인턴근무계획!$M$3:$R$202,$A159,$G$3)&amp;"",1)="⚠",INDEX(인턴근무계획!$M$3:$R$202,$A159,$G$3)&amp;"",LEFT(INDEX(인턴근무계획!$M$3:$R$202,$A159,$G$3)&amp;"",FIND(" ",INDEX(인턴근무계획!$M$3:$R$202,$A159,$G$3)&amp;"")-1))))</f>
        <v/>
      </c>
      <c r="H159" s="21">
        <f>IF(OR($C159="",$G$3=""),"",IF(INDEX(인턴근무계획!$M$3:$R$202,$A159,$G$3)&amp;""="","",IF(LEFT(INDEX(인턴근무계획!$M$3:$R$202,$A159,$G$3)&amp;"",1)="⚠","",MID(INDEX(인턴근무계획!$M$3:$R$202,$A159,$G$3)&amp;"",FIND(" ",INDEX(인턴근무계획!$M$3:$R$202,$A159,$G$3)&amp;"")+1,60))))</f>
        <v/>
      </c>
      <c r="I159" s="21">
        <f>IF(OR($C159="",$I$3=""),"",IF(INDEX(인턴근무계획!$M$3:$R$202,$A159,$I$3)&amp;""="","",IF(LEFT(INDEX(인턴근무계획!$M$3:$R$202,$A159,$I$3)&amp;"",1)="⚠",INDEX(인턴근무계획!$M$3:$R$202,$A159,$I$3)&amp;"",LEFT(INDEX(인턴근무계획!$M$3:$R$202,$A159,$I$3)&amp;"",FIND(" ",INDEX(인턴근무계획!$M$3:$R$202,$A159,$I$3)&amp;"")-1))))</f>
        <v/>
      </c>
      <c r="J159" s="21">
        <f>IF(OR($C159="",$I$3=""),"",IF(INDEX(인턴근무계획!$M$3:$R$202,$A159,$I$3)&amp;""="","",IF(LEFT(INDEX(인턴근무계획!$M$3:$R$202,$A159,$I$3)&amp;"",1)="⚠","",MID(INDEX(인턴근무계획!$M$3:$R$202,$A159,$I$3)&amp;"",FIND(" ",INDEX(인턴근무계획!$M$3:$R$202,$A159,$I$3)&amp;"")+1,60))))</f>
        <v/>
      </c>
      <c r="K159" s="21">
        <f>IF($C159="","",INDEX(인턴근무계획!$M$3:$M$202,$A159)&amp;"")</f>
        <v/>
      </c>
      <c r="L159" s="21">
        <f>IF($C159="","",INDEX(인턴근무계획!$N$3:$N$202,$A159)&amp;"")</f>
        <v/>
      </c>
      <c r="M159" s="21">
        <f>IF($C159="","",INDEX(인턴근무계획!$O$3:$O$202,$A159)&amp;"")</f>
        <v/>
      </c>
      <c r="N159" s="21">
        <f>IF($C159="","",INDEX(인턴근무계획!$P$3:$P$202,$A159)&amp;"")</f>
        <v/>
      </c>
      <c r="O159" s="21">
        <f>IF($C159="","",INDEX(인턴근무계획!$Q$3:$Q$202,$A159)&amp;"")</f>
        <v/>
      </c>
      <c r="P159" s="21">
        <f>IF($C159="","",INDEX(인턴근무계획!$R$3:$R$202,$A159)&amp;"")</f>
        <v/>
      </c>
      <c r="Q159" s="21">
        <f>IF($C159="","",INDEX(인턴근무계획!$T$3:$T$202,$A159))</f>
        <v/>
      </c>
    </row>
    <row r="160">
      <c r="A160" s="24" t="n">
        <v>155</v>
      </c>
      <c r="B160" s="21">
        <f>IF($C160="","",INDEX(인턴근무계획!$B$3:$B$202,$A160))</f>
        <v/>
      </c>
      <c r="C160" s="21">
        <f>IFERROR(TRIM(INDEX(인턴근무계획!$C$3:$C$202,$A160)&amp;""),"")</f>
        <v/>
      </c>
      <c r="D160" s="21">
        <f>IF($C160="","",INDEX(인턴근무계획!$D$3:$D$202,$A160))</f>
        <v/>
      </c>
      <c r="E160" s="21">
        <f>IF($C160="","",IF(IFERROR(MATCH($D160,기본자료!$B$2:$B$501,0),IFERROR(MATCH($D160&amp;"",기본자료!$B$2:$B$501,0),IFERROR(MATCH(VALUE($D160),기본자료!$B$2:$B$501,0),0)))&gt;0,"확인","미등록"))</f>
        <v/>
      </c>
      <c r="F160" s="25">
        <f>IF($C160="","",INDEX(인턴근무계획!$S$3:$S$202,$A160))</f>
        <v/>
      </c>
      <c r="G160" s="21">
        <f>IF(OR($C160="",$G$3=""),"",IF(INDEX(인턴근무계획!$M$3:$R$202,$A160,$G$3)&amp;""="","",IF(LEFT(INDEX(인턴근무계획!$M$3:$R$202,$A160,$G$3)&amp;"",1)="⚠",INDEX(인턴근무계획!$M$3:$R$202,$A160,$G$3)&amp;"",LEFT(INDEX(인턴근무계획!$M$3:$R$202,$A160,$G$3)&amp;"",FIND(" ",INDEX(인턴근무계획!$M$3:$R$202,$A160,$G$3)&amp;"")-1))))</f>
        <v/>
      </c>
      <c r="H160" s="21">
        <f>IF(OR($C160="",$G$3=""),"",IF(INDEX(인턴근무계획!$M$3:$R$202,$A160,$G$3)&amp;""="","",IF(LEFT(INDEX(인턴근무계획!$M$3:$R$202,$A160,$G$3)&amp;"",1)="⚠","",MID(INDEX(인턴근무계획!$M$3:$R$202,$A160,$G$3)&amp;"",FIND(" ",INDEX(인턴근무계획!$M$3:$R$202,$A160,$G$3)&amp;"")+1,60))))</f>
        <v/>
      </c>
      <c r="I160" s="21">
        <f>IF(OR($C160="",$I$3=""),"",IF(INDEX(인턴근무계획!$M$3:$R$202,$A160,$I$3)&amp;""="","",IF(LEFT(INDEX(인턴근무계획!$M$3:$R$202,$A160,$I$3)&amp;"",1)="⚠",INDEX(인턴근무계획!$M$3:$R$202,$A160,$I$3)&amp;"",LEFT(INDEX(인턴근무계획!$M$3:$R$202,$A160,$I$3)&amp;"",FIND(" ",INDEX(인턴근무계획!$M$3:$R$202,$A160,$I$3)&amp;"")-1))))</f>
        <v/>
      </c>
      <c r="J160" s="21">
        <f>IF(OR($C160="",$I$3=""),"",IF(INDEX(인턴근무계획!$M$3:$R$202,$A160,$I$3)&amp;""="","",IF(LEFT(INDEX(인턴근무계획!$M$3:$R$202,$A160,$I$3)&amp;"",1)="⚠","",MID(INDEX(인턴근무계획!$M$3:$R$202,$A160,$I$3)&amp;"",FIND(" ",INDEX(인턴근무계획!$M$3:$R$202,$A160,$I$3)&amp;"")+1,60))))</f>
        <v/>
      </c>
      <c r="K160" s="21">
        <f>IF($C160="","",INDEX(인턴근무계획!$M$3:$M$202,$A160)&amp;"")</f>
        <v/>
      </c>
      <c r="L160" s="21">
        <f>IF($C160="","",INDEX(인턴근무계획!$N$3:$N$202,$A160)&amp;"")</f>
        <v/>
      </c>
      <c r="M160" s="21">
        <f>IF($C160="","",INDEX(인턴근무계획!$O$3:$O$202,$A160)&amp;"")</f>
        <v/>
      </c>
      <c r="N160" s="21">
        <f>IF($C160="","",INDEX(인턴근무계획!$P$3:$P$202,$A160)&amp;"")</f>
        <v/>
      </c>
      <c r="O160" s="21">
        <f>IF($C160="","",INDEX(인턴근무계획!$Q$3:$Q$202,$A160)&amp;"")</f>
        <v/>
      </c>
      <c r="P160" s="21">
        <f>IF($C160="","",INDEX(인턴근무계획!$R$3:$R$202,$A160)&amp;"")</f>
        <v/>
      </c>
      <c r="Q160" s="21">
        <f>IF($C160="","",INDEX(인턴근무계획!$T$3:$T$202,$A160))</f>
        <v/>
      </c>
    </row>
    <row r="161">
      <c r="A161" s="24" t="n">
        <v>156</v>
      </c>
      <c r="B161" s="21">
        <f>IF($C161="","",INDEX(인턴근무계획!$B$3:$B$202,$A161))</f>
        <v/>
      </c>
      <c r="C161" s="21">
        <f>IFERROR(TRIM(INDEX(인턴근무계획!$C$3:$C$202,$A161)&amp;""),"")</f>
        <v/>
      </c>
      <c r="D161" s="21">
        <f>IF($C161="","",INDEX(인턴근무계획!$D$3:$D$202,$A161))</f>
        <v/>
      </c>
      <c r="E161" s="21">
        <f>IF($C161="","",IF(IFERROR(MATCH($D161,기본자료!$B$2:$B$501,0),IFERROR(MATCH($D161&amp;"",기본자료!$B$2:$B$501,0),IFERROR(MATCH(VALUE($D161),기본자료!$B$2:$B$501,0),0)))&gt;0,"확인","미등록"))</f>
        <v/>
      </c>
      <c r="F161" s="25">
        <f>IF($C161="","",INDEX(인턴근무계획!$S$3:$S$202,$A161))</f>
        <v/>
      </c>
      <c r="G161" s="21">
        <f>IF(OR($C161="",$G$3=""),"",IF(INDEX(인턴근무계획!$M$3:$R$202,$A161,$G$3)&amp;""="","",IF(LEFT(INDEX(인턴근무계획!$M$3:$R$202,$A161,$G$3)&amp;"",1)="⚠",INDEX(인턴근무계획!$M$3:$R$202,$A161,$G$3)&amp;"",LEFT(INDEX(인턴근무계획!$M$3:$R$202,$A161,$G$3)&amp;"",FIND(" ",INDEX(인턴근무계획!$M$3:$R$202,$A161,$G$3)&amp;"")-1))))</f>
        <v/>
      </c>
      <c r="H161" s="21">
        <f>IF(OR($C161="",$G$3=""),"",IF(INDEX(인턴근무계획!$M$3:$R$202,$A161,$G$3)&amp;""="","",IF(LEFT(INDEX(인턴근무계획!$M$3:$R$202,$A161,$G$3)&amp;"",1)="⚠","",MID(INDEX(인턴근무계획!$M$3:$R$202,$A161,$G$3)&amp;"",FIND(" ",INDEX(인턴근무계획!$M$3:$R$202,$A161,$G$3)&amp;"")+1,60))))</f>
        <v/>
      </c>
      <c r="I161" s="21">
        <f>IF(OR($C161="",$I$3=""),"",IF(INDEX(인턴근무계획!$M$3:$R$202,$A161,$I$3)&amp;""="","",IF(LEFT(INDEX(인턴근무계획!$M$3:$R$202,$A161,$I$3)&amp;"",1)="⚠",INDEX(인턴근무계획!$M$3:$R$202,$A161,$I$3)&amp;"",LEFT(INDEX(인턴근무계획!$M$3:$R$202,$A161,$I$3)&amp;"",FIND(" ",INDEX(인턴근무계획!$M$3:$R$202,$A161,$I$3)&amp;"")-1))))</f>
        <v/>
      </c>
      <c r="J161" s="21">
        <f>IF(OR($C161="",$I$3=""),"",IF(INDEX(인턴근무계획!$M$3:$R$202,$A161,$I$3)&amp;""="","",IF(LEFT(INDEX(인턴근무계획!$M$3:$R$202,$A161,$I$3)&amp;"",1)="⚠","",MID(INDEX(인턴근무계획!$M$3:$R$202,$A161,$I$3)&amp;"",FIND(" ",INDEX(인턴근무계획!$M$3:$R$202,$A161,$I$3)&amp;"")+1,60))))</f>
        <v/>
      </c>
      <c r="K161" s="21">
        <f>IF($C161="","",INDEX(인턴근무계획!$M$3:$M$202,$A161)&amp;"")</f>
        <v/>
      </c>
      <c r="L161" s="21">
        <f>IF($C161="","",INDEX(인턴근무계획!$N$3:$N$202,$A161)&amp;"")</f>
        <v/>
      </c>
      <c r="M161" s="21">
        <f>IF($C161="","",INDEX(인턴근무계획!$O$3:$O$202,$A161)&amp;"")</f>
        <v/>
      </c>
      <c r="N161" s="21">
        <f>IF($C161="","",INDEX(인턴근무계획!$P$3:$P$202,$A161)&amp;"")</f>
        <v/>
      </c>
      <c r="O161" s="21">
        <f>IF($C161="","",INDEX(인턴근무계획!$Q$3:$Q$202,$A161)&amp;"")</f>
        <v/>
      </c>
      <c r="P161" s="21">
        <f>IF($C161="","",INDEX(인턴근무계획!$R$3:$R$202,$A161)&amp;"")</f>
        <v/>
      </c>
      <c r="Q161" s="21">
        <f>IF($C161="","",INDEX(인턴근무계획!$T$3:$T$202,$A161))</f>
        <v/>
      </c>
    </row>
    <row r="162">
      <c r="A162" s="24" t="n">
        <v>157</v>
      </c>
      <c r="B162" s="21">
        <f>IF($C162="","",INDEX(인턴근무계획!$B$3:$B$202,$A162))</f>
        <v/>
      </c>
      <c r="C162" s="21">
        <f>IFERROR(TRIM(INDEX(인턴근무계획!$C$3:$C$202,$A162)&amp;""),"")</f>
        <v/>
      </c>
      <c r="D162" s="21">
        <f>IF($C162="","",INDEX(인턴근무계획!$D$3:$D$202,$A162))</f>
        <v/>
      </c>
      <c r="E162" s="21">
        <f>IF($C162="","",IF(IFERROR(MATCH($D162,기본자료!$B$2:$B$501,0),IFERROR(MATCH($D162&amp;"",기본자료!$B$2:$B$501,0),IFERROR(MATCH(VALUE($D162),기본자료!$B$2:$B$501,0),0)))&gt;0,"확인","미등록"))</f>
        <v/>
      </c>
      <c r="F162" s="25">
        <f>IF($C162="","",INDEX(인턴근무계획!$S$3:$S$202,$A162))</f>
        <v/>
      </c>
      <c r="G162" s="21">
        <f>IF(OR($C162="",$G$3=""),"",IF(INDEX(인턴근무계획!$M$3:$R$202,$A162,$G$3)&amp;""="","",IF(LEFT(INDEX(인턴근무계획!$M$3:$R$202,$A162,$G$3)&amp;"",1)="⚠",INDEX(인턴근무계획!$M$3:$R$202,$A162,$G$3)&amp;"",LEFT(INDEX(인턴근무계획!$M$3:$R$202,$A162,$G$3)&amp;"",FIND(" ",INDEX(인턴근무계획!$M$3:$R$202,$A162,$G$3)&amp;"")-1))))</f>
        <v/>
      </c>
      <c r="H162" s="21">
        <f>IF(OR($C162="",$G$3=""),"",IF(INDEX(인턴근무계획!$M$3:$R$202,$A162,$G$3)&amp;""="","",IF(LEFT(INDEX(인턴근무계획!$M$3:$R$202,$A162,$G$3)&amp;"",1)="⚠","",MID(INDEX(인턴근무계획!$M$3:$R$202,$A162,$G$3)&amp;"",FIND(" ",INDEX(인턴근무계획!$M$3:$R$202,$A162,$G$3)&amp;"")+1,60))))</f>
        <v/>
      </c>
      <c r="I162" s="21">
        <f>IF(OR($C162="",$I$3=""),"",IF(INDEX(인턴근무계획!$M$3:$R$202,$A162,$I$3)&amp;""="","",IF(LEFT(INDEX(인턴근무계획!$M$3:$R$202,$A162,$I$3)&amp;"",1)="⚠",INDEX(인턴근무계획!$M$3:$R$202,$A162,$I$3)&amp;"",LEFT(INDEX(인턴근무계획!$M$3:$R$202,$A162,$I$3)&amp;"",FIND(" ",INDEX(인턴근무계획!$M$3:$R$202,$A162,$I$3)&amp;"")-1))))</f>
        <v/>
      </c>
      <c r="J162" s="21">
        <f>IF(OR($C162="",$I$3=""),"",IF(INDEX(인턴근무계획!$M$3:$R$202,$A162,$I$3)&amp;""="","",IF(LEFT(INDEX(인턴근무계획!$M$3:$R$202,$A162,$I$3)&amp;"",1)="⚠","",MID(INDEX(인턴근무계획!$M$3:$R$202,$A162,$I$3)&amp;"",FIND(" ",INDEX(인턴근무계획!$M$3:$R$202,$A162,$I$3)&amp;"")+1,60))))</f>
        <v/>
      </c>
      <c r="K162" s="21">
        <f>IF($C162="","",INDEX(인턴근무계획!$M$3:$M$202,$A162)&amp;"")</f>
        <v/>
      </c>
      <c r="L162" s="21">
        <f>IF($C162="","",INDEX(인턴근무계획!$N$3:$N$202,$A162)&amp;"")</f>
        <v/>
      </c>
      <c r="M162" s="21">
        <f>IF($C162="","",INDEX(인턴근무계획!$O$3:$O$202,$A162)&amp;"")</f>
        <v/>
      </c>
      <c r="N162" s="21">
        <f>IF($C162="","",INDEX(인턴근무계획!$P$3:$P$202,$A162)&amp;"")</f>
        <v/>
      </c>
      <c r="O162" s="21">
        <f>IF($C162="","",INDEX(인턴근무계획!$Q$3:$Q$202,$A162)&amp;"")</f>
        <v/>
      </c>
      <c r="P162" s="21">
        <f>IF($C162="","",INDEX(인턴근무계획!$R$3:$R$202,$A162)&amp;"")</f>
        <v/>
      </c>
      <c r="Q162" s="21">
        <f>IF($C162="","",INDEX(인턴근무계획!$T$3:$T$202,$A162))</f>
        <v/>
      </c>
    </row>
    <row r="163">
      <c r="A163" s="24" t="n">
        <v>158</v>
      </c>
      <c r="B163" s="21">
        <f>IF($C163="","",INDEX(인턴근무계획!$B$3:$B$202,$A163))</f>
        <v/>
      </c>
      <c r="C163" s="21">
        <f>IFERROR(TRIM(INDEX(인턴근무계획!$C$3:$C$202,$A163)&amp;""),"")</f>
        <v/>
      </c>
      <c r="D163" s="21">
        <f>IF($C163="","",INDEX(인턴근무계획!$D$3:$D$202,$A163))</f>
        <v/>
      </c>
      <c r="E163" s="21">
        <f>IF($C163="","",IF(IFERROR(MATCH($D163,기본자료!$B$2:$B$501,0),IFERROR(MATCH($D163&amp;"",기본자료!$B$2:$B$501,0),IFERROR(MATCH(VALUE($D163),기본자료!$B$2:$B$501,0),0)))&gt;0,"확인","미등록"))</f>
        <v/>
      </c>
      <c r="F163" s="25">
        <f>IF($C163="","",INDEX(인턴근무계획!$S$3:$S$202,$A163))</f>
        <v/>
      </c>
      <c r="G163" s="21">
        <f>IF(OR($C163="",$G$3=""),"",IF(INDEX(인턴근무계획!$M$3:$R$202,$A163,$G$3)&amp;""="","",IF(LEFT(INDEX(인턴근무계획!$M$3:$R$202,$A163,$G$3)&amp;"",1)="⚠",INDEX(인턴근무계획!$M$3:$R$202,$A163,$G$3)&amp;"",LEFT(INDEX(인턴근무계획!$M$3:$R$202,$A163,$G$3)&amp;"",FIND(" ",INDEX(인턴근무계획!$M$3:$R$202,$A163,$G$3)&amp;"")-1))))</f>
        <v/>
      </c>
      <c r="H163" s="21">
        <f>IF(OR($C163="",$G$3=""),"",IF(INDEX(인턴근무계획!$M$3:$R$202,$A163,$G$3)&amp;""="","",IF(LEFT(INDEX(인턴근무계획!$M$3:$R$202,$A163,$G$3)&amp;"",1)="⚠","",MID(INDEX(인턴근무계획!$M$3:$R$202,$A163,$G$3)&amp;"",FIND(" ",INDEX(인턴근무계획!$M$3:$R$202,$A163,$G$3)&amp;"")+1,60))))</f>
        <v/>
      </c>
      <c r="I163" s="21">
        <f>IF(OR($C163="",$I$3=""),"",IF(INDEX(인턴근무계획!$M$3:$R$202,$A163,$I$3)&amp;""="","",IF(LEFT(INDEX(인턴근무계획!$M$3:$R$202,$A163,$I$3)&amp;"",1)="⚠",INDEX(인턴근무계획!$M$3:$R$202,$A163,$I$3)&amp;"",LEFT(INDEX(인턴근무계획!$M$3:$R$202,$A163,$I$3)&amp;"",FIND(" ",INDEX(인턴근무계획!$M$3:$R$202,$A163,$I$3)&amp;"")-1))))</f>
        <v/>
      </c>
      <c r="J163" s="21">
        <f>IF(OR($C163="",$I$3=""),"",IF(INDEX(인턴근무계획!$M$3:$R$202,$A163,$I$3)&amp;""="","",IF(LEFT(INDEX(인턴근무계획!$M$3:$R$202,$A163,$I$3)&amp;"",1)="⚠","",MID(INDEX(인턴근무계획!$M$3:$R$202,$A163,$I$3)&amp;"",FIND(" ",INDEX(인턴근무계획!$M$3:$R$202,$A163,$I$3)&amp;"")+1,60))))</f>
        <v/>
      </c>
      <c r="K163" s="21">
        <f>IF($C163="","",INDEX(인턴근무계획!$M$3:$M$202,$A163)&amp;"")</f>
        <v/>
      </c>
      <c r="L163" s="21">
        <f>IF($C163="","",INDEX(인턴근무계획!$N$3:$N$202,$A163)&amp;"")</f>
        <v/>
      </c>
      <c r="M163" s="21">
        <f>IF($C163="","",INDEX(인턴근무계획!$O$3:$O$202,$A163)&amp;"")</f>
        <v/>
      </c>
      <c r="N163" s="21">
        <f>IF($C163="","",INDEX(인턴근무계획!$P$3:$P$202,$A163)&amp;"")</f>
        <v/>
      </c>
      <c r="O163" s="21">
        <f>IF($C163="","",INDEX(인턴근무계획!$Q$3:$Q$202,$A163)&amp;"")</f>
        <v/>
      </c>
      <c r="P163" s="21">
        <f>IF($C163="","",INDEX(인턴근무계획!$R$3:$R$202,$A163)&amp;"")</f>
        <v/>
      </c>
      <c r="Q163" s="21">
        <f>IF($C163="","",INDEX(인턴근무계획!$T$3:$T$202,$A163))</f>
        <v/>
      </c>
    </row>
    <row r="164">
      <c r="A164" s="24" t="n">
        <v>159</v>
      </c>
      <c r="B164" s="21">
        <f>IF($C164="","",INDEX(인턴근무계획!$B$3:$B$202,$A164))</f>
        <v/>
      </c>
      <c r="C164" s="21">
        <f>IFERROR(TRIM(INDEX(인턴근무계획!$C$3:$C$202,$A164)&amp;""),"")</f>
        <v/>
      </c>
      <c r="D164" s="21">
        <f>IF($C164="","",INDEX(인턴근무계획!$D$3:$D$202,$A164))</f>
        <v/>
      </c>
      <c r="E164" s="21">
        <f>IF($C164="","",IF(IFERROR(MATCH($D164,기본자료!$B$2:$B$501,0),IFERROR(MATCH($D164&amp;"",기본자료!$B$2:$B$501,0),IFERROR(MATCH(VALUE($D164),기본자료!$B$2:$B$501,0),0)))&gt;0,"확인","미등록"))</f>
        <v/>
      </c>
      <c r="F164" s="25">
        <f>IF($C164="","",INDEX(인턴근무계획!$S$3:$S$202,$A164))</f>
        <v/>
      </c>
      <c r="G164" s="21">
        <f>IF(OR($C164="",$G$3=""),"",IF(INDEX(인턴근무계획!$M$3:$R$202,$A164,$G$3)&amp;""="","",IF(LEFT(INDEX(인턴근무계획!$M$3:$R$202,$A164,$G$3)&amp;"",1)="⚠",INDEX(인턴근무계획!$M$3:$R$202,$A164,$G$3)&amp;"",LEFT(INDEX(인턴근무계획!$M$3:$R$202,$A164,$G$3)&amp;"",FIND(" ",INDEX(인턴근무계획!$M$3:$R$202,$A164,$G$3)&amp;"")-1))))</f>
        <v/>
      </c>
      <c r="H164" s="21">
        <f>IF(OR($C164="",$G$3=""),"",IF(INDEX(인턴근무계획!$M$3:$R$202,$A164,$G$3)&amp;""="","",IF(LEFT(INDEX(인턴근무계획!$M$3:$R$202,$A164,$G$3)&amp;"",1)="⚠","",MID(INDEX(인턴근무계획!$M$3:$R$202,$A164,$G$3)&amp;"",FIND(" ",INDEX(인턴근무계획!$M$3:$R$202,$A164,$G$3)&amp;"")+1,60))))</f>
        <v/>
      </c>
      <c r="I164" s="21">
        <f>IF(OR($C164="",$I$3=""),"",IF(INDEX(인턴근무계획!$M$3:$R$202,$A164,$I$3)&amp;""="","",IF(LEFT(INDEX(인턴근무계획!$M$3:$R$202,$A164,$I$3)&amp;"",1)="⚠",INDEX(인턴근무계획!$M$3:$R$202,$A164,$I$3)&amp;"",LEFT(INDEX(인턴근무계획!$M$3:$R$202,$A164,$I$3)&amp;"",FIND(" ",INDEX(인턴근무계획!$M$3:$R$202,$A164,$I$3)&amp;"")-1))))</f>
        <v/>
      </c>
      <c r="J164" s="21">
        <f>IF(OR($C164="",$I$3=""),"",IF(INDEX(인턴근무계획!$M$3:$R$202,$A164,$I$3)&amp;""="","",IF(LEFT(INDEX(인턴근무계획!$M$3:$R$202,$A164,$I$3)&amp;"",1)="⚠","",MID(INDEX(인턴근무계획!$M$3:$R$202,$A164,$I$3)&amp;"",FIND(" ",INDEX(인턴근무계획!$M$3:$R$202,$A164,$I$3)&amp;"")+1,60))))</f>
        <v/>
      </c>
      <c r="K164" s="21">
        <f>IF($C164="","",INDEX(인턴근무계획!$M$3:$M$202,$A164)&amp;"")</f>
        <v/>
      </c>
      <c r="L164" s="21">
        <f>IF($C164="","",INDEX(인턴근무계획!$N$3:$N$202,$A164)&amp;"")</f>
        <v/>
      </c>
      <c r="M164" s="21">
        <f>IF($C164="","",INDEX(인턴근무계획!$O$3:$O$202,$A164)&amp;"")</f>
        <v/>
      </c>
      <c r="N164" s="21">
        <f>IF($C164="","",INDEX(인턴근무계획!$P$3:$P$202,$A164)&amp;"")</f>
        <v/>
      </c>
      <c r="O164" s="21">
        <f>IF($C164="","",INDEX(인턴근무계획!$Q$3:$Q$202,$A164)&amp;"")</f>
        <v/>
      </c>
      <c r="P164" s="21">
        <f>IF($C164="","",INDEX(인턴근무계획!$R$3:$R$202,$A164)&amp;"")</f>
        <v/>
      </c>
      <c r="Q164" s="21">
        <f>IF($C164="","",INDEX(인턴근무계획!$T$3:$T$202,$A164))</f>
        <v/>
      </c>
    </row>
    <row r="165">
      <c r="A165" s="24" t="n">
        <v>160</v>
      </c>
      <c r="B165" s="21">
        <f>IF($C165="","",INDEX(인턴근무계획!$B$3:$B$202,$A165))</f>
        <v/>
      </c>
      <c r="C165" s="21">
        <f>IFERROR(TRIM(INDEX(인턴근무계획!$C$3:$C$202,$A165)&amp;""),"")</f>
        <v/>
      </c>
      <c r="D165" s="21">
        <f>IF($C165="","",INDEX(인턴근무계획!$D$3:$D$202,$A165))</f>
        <v/>
      </c>
      <c r="E165" s="21">
        <f>IF($C165="","",IF(IFERROR(MATCH($D165,기본자료!$B$2:$B$501,0),IFERROR(MATCH($D165&amp;"",기본자료!$B$2:$B$501,0),IFERROR(MATCH(VALUE($D165),기본자료!$B$2:$B$501,0),0)))&gt;0,"확인","미등록"))</f>
        <v/>
      </c>
      <c r="F165" s="25">
        <f>IF($C165="","",INDEX(인턴근무계획!$S$3:$S$202,$A165))</f>
        <v/>
      </c>
      <c r="G165" s="21">
        <f>IF(OR($C165="",$G$3=""),"",IF(INDEX(인턴근무계획!$M$3:$R$202,$A165,$G$3)&amp;""="","",IF(LEFT(INDEX(인턴근무계획!$M$3:$R$202,$A165,$G$3)&amp;"",1)="⚠",INDEX(인턴근무계획!$M$3:$R$202,$A165,$G$3)&amp;"",LEFT(INDEX(인턴근무계획!$M$3:$R$202,$A165,$G$3)&amp;"",FIND(" ",INDEX(인턴근무계획!$M$3:$R$202,$A165,$G$3)&amp;"")-1))))</f>
        <v/>
      </c>
      <c r="H165" s="21">
        <f>IF(OR($C165="",$G$3=""),"",IF(INDEX(인턴근무계획!$M$3:$R$202,$A165,$G$3)&amp;""="","",IF(LEFT(INDEX(인턴근무계획!$M$3:$R$202,$A165,$G$3)&amp;"",1)="⚠","",MID(INDEX(인턴근무계획!$M$3:$R$202,$A165,$G$3)&amp;"",FIND(" ",INDEX(인턴근무계획!$M$3:$R$202,$A165,$G$3)&amp;"")+1,60))))</f>
        <v/>
      </c>
      <c r="I165" s="21">
        <f>IF(OR($C165="",$I$3=""),"",IF(INDEX(인턴근무계획!$M$3:$R$202,$A165,$I$3)&amp;""="","",IF(LEFT(INDEX(인턴근무계획!$M$3:$R$202,$A165,$I$3)&amp;"",1)="⚠",INDEX(인턴근무계획!$M$3:$R$202,$A165,$I$3)&amp;"",LEFT(INDEX(인턴근무계획!$M$3:$R$202,$A165,$I$3)&amp;"",FIND(" ",INDEX(인턴근무계획!$M$3:$R$202,$A165,$I$3)&amp;"")-1))))</f>
        <v/>
      </c>
      <c r="J165" s="21">
        <f>IF(OR($C165="",$I$3=""),"",IF(INDEX(인턴근무계획!$M$3:$R$202,$A165,$I$3)&amp;""="","",IF(LEFT(INDEX(인턴근무계획!$M$3:$R$202,$A165,$I$3)&amp;"",1)="⚠","",MID(INDEX(인턴근무계획!$M$3:$R$202,$A165,$I$3)&amp;"",FIND(" ",INDEX(인턴근무계획!$M$3:$R$202,$A165,$I$3)&amp;"")+1,60))))</f>
        <v/>
      </c>
      <c r="K165" s="21">
        <f>IF($C165="","",INDEX(인턴근무계획!$M$3:$M$202,$A165)&amp;"")</f>
        <v/>
      </c>
      <c r="L165" s="21">
        <f>IF($C165="","",INDEX(인턴근무계획!$N$3:$N$202,$A165)&amp;"")</f>
        <v/>
      </c>
      <c r="M165" s="21">
        <f>IF($C165="","",INDEX(인턴근무계획!$O$3:$O$202,$A165)&amp;"")</f>
        <v/>
      </c>
      <c r="N165" s="21">
        <f>IF($C165="","",INDEX(인턴근무계획!$P$3:$P$202,$A165)&amp;"")</f>
        <v/>
      </c>
      <c r="O165" s="21">
        <f>IF($C165="","",INDEX(인턴근무계획!$Q$3:$Q$202,$A165)&amp;"")</f>
        <v/>
      </c>
      <c r="P165" s="21">
        <f>IF($C165="","",INDEX(인턴근무계획!$R$3:$R$202,$A165)&amp;"")</f>
        <v/>
      </c>
      <c r="Q165" s="21">
        <f>IF($C165="","",INDEX(인턴근무계획!$T$3:$T$202,$A165))</f>
        <v/>
      </c>
    </row>
    <row r="166">
      <c r="A166" s="24" t="n">
        <v>161</v>
      </c>
      <c r="B166" s="21">
        <f>IF($C166="","",INDEX(인턴근무계획!$B$3:$B$202,$A166))</f>
        <v/>
      </c>
      <c r="C166" s="21">
        <f>IFERROR(TRIM(INDEX(인턴근무계획!$C$3:$C$202,$A166)&amp;""),"")</f>
        <v/>
      </c>
      <c r="D166" s="21">
        <f>IF($C166="","",INDEX(인턴근무계획!$D$3:$D$202,$A166))</f>
        <v/>
      </c>
      <c r="E166" s="21">
        <f>IF($C166="","",IF(IFERROR(MATCH($D166,기본자료!$B$2:$B$501,0),IFERROR(MATCH($D166&amp;"",기본자료!$B$2:$B$501,0),IFERROR(MATCH(VALUE($D166),기본자료!$B$2:$B$501,0),0)))&gt;0,"확인","미등록"))</f>
        <v/>
      </c>
      <c r="F166" s="25">
        <f>IF($C166="","",INDEX(인턴근무계획!$S$3:$S$202,$A166))</f>
        <v/>
      </c>
      <c r="G166" s="21">
        <f>IF(OR($C166="",$G$3=""),"",IF(INDEX(인턴근무계획!$M$3:$R$202,$A166,$G$3)&amp;""="","",IF(LEFT(INDEX(인턴근무계획!$M$3:$R$202,$A166,$G$3)&amp;"",1)="⚠",INDEX(인턴근무계획!$M$3:$R$202,$A166,$G$3)&amp;"",LEFT(INDEX(인턴근무계획!$M$3:$R$202,$A166,$G$3)&amp;"",FIND(" ",INDEX(인턴근무계획!$M$3:$R$202,$A166,$G$3)&amp;"")-1))))</f>
        <v/>
      </c>
      <c r="H166" s="21">
        <f>IF(OR($C166="",$G$3=""),"",IF(INDEX(인턴근무계획!$M$3:$R$202,$A166,$G$3)&amp;""="","",IF(LEFT(INDEX(인턴근무계획!$M$3:$R$202,$A166,$G$3)&amp;"",1)="⚠","",MID(INDEX(인턴근무계획!$M$3:$R$202,$A166,$G$3)&amp;"",FIND(" ",INDEX(인턴근무계획!$M$3:$R$202,$A166,$G$3)&amp;"")+1,60))))</f>
        <v/>
      </c>
      <c r="I166" s="21">
        <f>IF(OR($C166="",$I$3=""),"",IF(INDEX(인턴근무계획!$M$3:$R$202,$A166,$I$3)&amp;""="","",IF(LEFT(INDEX(인턴근무계획!$M$3:$R$202,$A166,$I$3)&amp;"",1)="⚠",INDEX(인턴근무계획!$M$3:$R$202,$A166,$I$3)&amp;"",LEFT(INDEX(인턴근무계획!$M$3:$R$202,$A166,$I$3)&amp;"",FIND(" ",INDEX(인턴근무계획!$M$3:$R$202,$A166,$I$3)&amp;"")-1))))</f>
        <v/>
      </c>
      <c r="J166" s="21">
        <f>IF(OR($C166="",$I$3=""),"",IF(INDEX(인턴근무계획!$M$3:$R$202,$A166,$I$3)&amp;""="","",IF(LEFT(INDEX(인턴근무계획!$M$3:$R$202,$A166,$I$3)&amp;"",1)="⚠","",MID(INDEX(인턴근무계획!$M$3:$R$202,$A166,$I$3)&amp;"",FIND(" ",INDEX(인턴근무계획!$M$3:$R$202,$A166,$I$3)&amp;"")+1,60))))</f>
        <v/>
      </c>
      <c r="K166" s="21">
        <f>IF($C166="","",INDEX(인턴근무계획!$M$3:$M$202,$A166)&amp;"")</f>
        <v/>
      </c>
      <c r="L166" s="21">
        <f>IF($C166="","",INDEX(인턴근무계획!$N$3:$N$202,$A166)&amp;"")</f>
        <v/>
      </c>
      <c r="M166" s="21">
        <f>IF($C166="","",INDEX(인턴근무계획!$O$3:$O$202,$A166)&amp;"")</f>
        <v/>
      </c>
      <c r="N166" s="21">
        <f>IF($C166="","",INDEX(인턴근무계획!$P$3:$P$202,$A166)&amp;"")</f>
        <v/>
      </c>
      <c r="O166" s="21">
        <f>IF($C166="","",INDEX(인턴근무계획!$Q$3:$Q$202,$A166)&amp;"")</f>
        <v/>
      </c>
      <c r="P166" s="21">
        <f>IF($C166="","",INDEX(인턴근무계획!$R$3:$R$202,$A166)&amp;"")</f>
        <v/>
      </c>
      <c r="Q166" s="21">
        <f>IF($C166="","",INDEX(인턴근무계획!$T$3:$T$202,$A166))</f>
        <v/>
      </c>
    </row>
    <row r="167">
      <c r="A167" s="24" t="n">
        <v>162</v>
      </c>
      <c r="B167" s="21">
        <f>IF($C167="","",INDEX(인턴근무계획!$B$3:$B$202,$A167))</f>
        <v/>
      </c>
      <c r="C167" s="21">
        <f>IFERROR(TRIM(INDEX(인턴근무계획!$C$3:$C$202,$A167)&amp;""),"")</f>
        <v/>
      </c>
      <c r="D167" s="21">
        <f>IF($C167="","",INDEX(인턴근무계획!$D$3:$D$202,$A167))</f>
        <v/>
      </c>
      <c r="E167" s="21">
        <f>IF($C167="","",IF(IFERROR(MATCH($D167,기본자료!$B$2:$B$501,0),IFERROR(MATCH($D167&amp;"",기본자료!$B$2:$B$501,0),IFERROR(MATCH(VALUE($D167),기본자료!$B$2:$B$501,0),0)))&gt;0,"확인","미등록"))</f>
        <v/>
      </c>
      <c r="F167" s="25">
        <f>IF($C167="","",INDEX(인턴근무계획!$S$3:$S$202,$A167))</f>
        <v/>
      </c>
      <c r="G167" s="21">
        <f>IF(OR($C167="",$G$3=""),"",IF(INDEX(인턴근무계획!$M$3:$R$202,$A167,$G$3)&amp;""="","",IF(LEFT(INDEX(인턴근무계획!$M$3:$R$202,$A167,$G$3)&amp;"",1)="⚠",INDEX(인턴근무계획!$M$3:$R$202,$A167,$G$3)&amp;"",LEFT(INDEX(인턴근무계획!$M$3:$R$202,$A167,$G$3)&amp;"",FIND(" ",INDEX(인턴근무계획!$M$3:$R$202,$A167,$G$3)&amp;"")-1))))</f>
        <v/>
      </c>
      <c r="H167" s="21">
        <f>IF(OR($C167="",$G$3=""),"",IF(INDEX(인턴근무계획!$M$3:$R$202,$A167,$G$3)&amp;""="","",IF(LEFT(INDEX(인턴근무계획!$M$3:$R$202,$A167,$G$3)&amp;"",1)="⚠","",MID(INDEX(인턴근무계획!$M$3:$R$202,$A167,$G$3)&amp;"",FIND(" ",INDEX(인턴근무계획!$M$3:$R$202,$A167,$G$3)&amp;"")+1,60))))</f>
        <v/>
      </c>
      <c r="I167" s="21">
        <f>IF(OR($C167="",$I$3=""),"",IF(INDEX(인턴근무계획!$M$3:$R$202,$A167,$I$3)&amp;""="","",IF(LEFT(INDEX(인턴근무계획!$M$3:$R$202,$A167,$I$3)&amp;"",1)="⚠",INDEX(인턴근무계획!$M$3:$R$202,$A167,$I$3)&amp;"",LEFT(INDEX(인턴근무계획!$M$3:$R$202,$A167,$I$3)&amp;"",FIND(" ",INDEX(인턴근무계획!$M$3:$R$202,$A167,$I$3)&amp;"")-1))))</f>
        <v/>
      </c>
      <c r="J167" s="21">
        <f>IF(OR($C167="",$I$3=""),"",IF(INDEX(인턴근무계획!$M$3:$R$202,$A167,$I$3)&amp;""="","",IF(LEFT(INDEX(인턴근무계획!$M$3:$R$202,$A167,$I$3)&amp;"",1)="⚠","",MID(INDEX(인턴근무계획!$M$3:$R$202,$A167,$I$3)&amp;"",FIND(" ",INDEX(인턴근무계획!$M$3:$R$202,$A167,$I$3)&amp;"")+1,60))))</f>
        <v/>
      </c>
      <c r="K167" s="21">
        <f>IF($C167="","",INDEX(인턴근무계획!$M$3:$M$202,$A167)&amp;"")</f>
        <v/>
      </c>
      <c r="L167" s="21">
        <f>IF($C167="","",INDEX(인턴근무계획!$N$3:$N$202,$A167)&amp;"")</f>
        <v/>
      </c>
      <c r="M167" s="21">
        <f>IF($C167="","",INDEX(인턴근무계획!$O$3:$O$202,$A167)&amp;"")</f>
        <v/>
      </c>
      <c r="N167" s="21">
        <f>IF($C167="","",INDEX(인턴근무계획!$P$3:$P$202,$A167)&amp;"")</f>
        <v/>
      </c>
      <c r="O167" s="21">
        <f>IF($C167="","",INDEX(인턴근무계획!$Q$3:$Q$202,$A167)&amp;"")</f>
        <v/>
      </c>
      <c r="P167" s="21">
        <f>IF($C167="","",INDEX(인턴근무계획!$R$3:$R$202,$A167)&amp;"")</f>
        <v/>
      </c>
      <c r="Q167" s="21">
        <f>IF($C167="","",INDEX(인턴근무계획!$T$3:$T$202,$A167))</f>
        <v/>
      </c>
    </row>
    <row r="168">
      <c r="A168" s="24" t="n">
        <v>163</v>
      </c>
      <c r="B168" s="21">
        <f>IF($C168="","",INDEX(인턴근무계획!$B$3:$B$202,$A168))</f>
        <v/>
      </c>
      <c r="C168" s="21">
        <f>IFERROR(TRIM(INDEX(인턴근무계획!$C$3:$C$202,$A168)&amp;""),"")</f>
        <v/>
      </c>
      <c r="D168" s="21">
        <f>IF($C168="","",INDEX(인턴근무계획!$D$3:$D$202,$A168))</f>
        <v/>
      </c>
      <c r="E168" s="21">
        <f>IF($C168="","",IF(IFERROR(MATCH($D168,기본자료!$B$2:$B$501,0),IFERROR(MATCH($D168&amp;"",기본자료!$B$2:$B$501,0),IFERROR(MATCH(VALUE($D168),기본자료!$B$2:$B$501,0),0)))&gt;0,"확인","미등록"))</f>
        <v/>
      </c>
      <c r="F168" s="25">
        <f>IF($C168="","",INDEX(인턴근무계획!$S$3:$S$202,$A168))</f>
        <v/>
      </c>
      <c r="G168" s="21">
        <f>IF(OR($C168="",$G$3=""),"",IF(INDEX(인턴근무계획!$M$3:$R$202,$A168,$G$3)&amp;""="","",IF(LEFT(INDEX(인턴근무계획!$M$3:$R$202,$A168,$G$3)&amp;"",1)="⚠",INDEX(인턴근무계획!$M$3:$R$202,$A168,$G$3)&amp;"",LEFT(INDEX(인턴근무계획!$M$3:$R$202,$A168,$G$3)&amp;"",FIND(" ",INDEX(인턴근무계획!$M$3:$R$202,$A168,$G$3)&amp;"")-1))))</f>
        <v/>
      </c>
      <c r="H168" s="21">
        <f>IF(OR($C168="",$G$3=""),"",IF(INDEX(인턴근무계획!$M$3:$R$202,$A168,$G$3)&amp;""="","",IF(LEFT(INDEX(인턴근무계획!$M$3:$R$202,$A168,$G$3)&amp;"",1)="⚠","",MID(INDEX(인턴근무계획!$M$3:$R$202,$A168,$G$3)&amp;"",FIND(" ",INDEX(인턴근무계획!$M$3:$R$202,$A168,$G$3)&amp;"")+1,60))))</f>
        <v/>
      </c>
      <c r="I168" s="21">
        <f>IF(OR($C168="",$I$3=""),"",IF(INDEX(인턴근무계획!$M$3:$R$202,$A168,$I$3)&amp;""="","",IF(LEFT(INDEX(인턴근무계획!$M$3:$R$202,$A168,$I$3)&amp;"",1)="⚠",INDEX(인턴근무계획!$M$3:$R$202,$A168,$I$3)&amp;"",LEFT(INDEX(인턴근무계획!$M$3:$R$202,$A168,$I$3)&amp;"",FIND(" ",INDEX(인턴근무계획!$M$3:$R$202,$A168,$I$3)&amp;"")-1))))</f>
        <v/>
      </c>
      <c r="J168" s="21">
        <f>IF(OR($C168="",$I$3=""),"",IF(INDEX(인턴근무계획!$M$3:$R$202,$A168,$I$3)&amp;""="","",IF(LEFT(INDEX(인턴근무계획!$M$3:$R$202,$A168,$I$3)&amp;"",1)="⚠","",MID(INDEX(인턴근무계획!$M$3:$R$202,$A168,$I$3)&amp;"",FIND(" ",INDEX(인턴근무계획!$M$3:$R$202,$A168,$I$3)&amp;"")+1,60))))</f>
        <v/>
      </c>
      <c r="K168" s="21">
        <f>IF($C168="","",INDEX(인턴근무계획!$M$3:$M$202,$A168)&amp;"")</f>
        <v/>
      </c>
      <c r="L168" s="21">
        <f>IF($C168="","",INDEX(인턴근무계획!$N$3:$N$202,$A168)&amp;"")</f>
        <v/>
      </c>
      <c r="M168" s="21">
        <f>IF($C168="","",INDEX(인턴근무계획!$O$3:$O$202,$A168)&amp;"")</f>
        <v/>
      </c>
      <c r="N168" s="21">
        <f>IF($C168="","",INDEX(인턴근무계획!$P$3:$P$202,$A168)&amp;"")</f>
        <v/>
      </c>
      <c r="O168" s="21">
        <f>IF($C168="","",INDEX(인턴근무계획!$Q$3:$Q$202,$A168)&amp;"")</f>
        <v/>
      </c>
      <c r="P168" s="21">
        <f>IF($C168="","",INDEX(인턴근무계획!$R$3:$R$202,$A168)&amp;"")</f>
        <v/>
      </c>
      <c r="Q168" s="21">
        <f>IF($C168="","",INDEX(인턴근무계획!$T$3:$T$202,$A168))</f>
        <v/>
      </c>
    </row>
    <row r="169">
      <c r="A169" s="24" t="n">
        <v>164</v>
      </c>
      <c r="B169" s="21">
        <f>IF($C169="","",INDEX(인턴근무계획!$B$3:$B$202,$A169))</f>
        <v/>
      </c>
      <c r="C169" s="21">
        <f>IFERROR(TRIM(INDEX(인턴근무계획!$C$3:$C$202,$A169)&amp;""),"")</f>
        <v/>
      </c>
      <c r="D169" s="21">
        <f>IF($C169="","",INDEX(인턴근무계획!$D$3:$D$202,$A169))</f>
        <v/>
      </c>
      <c r="E169" s="21">
        <f>IF($C169="","",IF(IFERROR(MATCH($D169,기본자료!$B$2:$B$501,0),IFERROR(MATCH($D169&amp;"",기본자료!$B$2:$B$501,0),IFERROR(MATCH(VALUE($D169),기본자료!$B$2:$B$501,0),0)))&gt;0,"확인","미등록"))</f>
        <v/>
      </c>
      <c r="F169" s="25">
        <f>IF($C169="","",INDEX(인턴근무계획!$S$3:$S$202,$A169))</f>
        <v/>
      </c>
      <c r="G169" s="21">
        <f>IF(OR($C169="",$G$3=""),"",IF(INDEX(인턴근무계획!$M$3:$R$202,$A169,$G$3)&amp;""="","",IF(LEFT(INDEX(인턴근무계획!$M$3:$R$202,$A169,$G$3)&amp;"",1)="⚠",INDEX(인턴근무계획!$M$3:$R$202,$A169,$G$3)&amp;"",LEFT(INDEX(인턴근무계획!$M$3:$R$202,$A169,$G$3)&amp;"",FIND(" ",INDEX(인턴근무계획!$M$3:$R$202,$A169,$G$3)&amp;"")-1))))</f>
        <v/>
      </c>
      <c r="H169" s="21">
        <f>IF(OR($C169="",$G$3=""),"",IF(INDEX(인턴근무계획!$M$3:$R$202,$A169,$G$3)&amp;""="","",IF(LEFT(INDEX(인턴근무계획!$M$3:$R$202,$A169,$G$3)&amp;"",1)="⚠","",MID(INDEX(인턴근무계획!$M$3:$R$202,$A169,$G$3)&amp;"",FIND(" ",INDEX(인턴근무계획!$M$3:$R$202,$A169,$G$3)&amp;"")+1,60))))</f>
        <v/>
      </c>
      <c r="I169" s="21">
        <f>IF(OR($C169="",$I$3=""),"",IF(INDEX(인턴근무계획!$M$3:$R$202,$A169,$I$3)&amp;""="","",IF(LEFT(INDEX(인턴근무계획!$M$3:$R$202,$A169,$I$3)&amp;"",1)="⚠",INDEX(인턴근무계획!$M$3:$R$202,$A169,$I$3)&amp;"",LEFT(INDEX(인턴근무계획!$M$3:$R$202,$A169,$I$3)&amp;"",FIND(" ",INDEX(인턴근무계획!$M$3:$R$202,$A169,$I$3)&amp;"")-1))))</f>
        <v/>
      </c>
      <c r="J169" s="21">
        <f>IF(OR($C169="",$I$3=""),"",IF(INDEX(인턴근무계획!$M$3:$R$202,$A169,$I$3)&amp;""="","",IF(LEFT(INDEX(인턴근무계획!$M$3:$R$202,$A169,$I$3)&amp;"",1)="⚠","",MID(INDEX(인턴근무계획!$M$3:$R$202,$A169,$I$3)&amp;"",FIND(" ",INDEX(인턴근무계획!$M$3:$R$202,$A169,$I$3)&amp;"")+1,60))))</f>
        <v/>
      </c>
      <c r="K169" s="21">
        <f>IF($C169="","",INDEX(인턴근무계획!$M$3:$M$202,$A169)&amp;"")</f>
        <v/>
      </c>
      <c r="L169" s="21">
        <f>IF($C169="","",INDEX(인턴근무계획!$N$3:$N$202,$A169)&amp;"")</f>
        <v/>
      </c>
      <c r="M169" s="21">
        <f>IF($C169="","",INDEX(인턴근무계획!$O$3:$O$202,$A169)&amp;"")</f>
        <v/>
      </c>
      <c r="N169" s="21">
        <f>IF($C169="","",INDEX(인턴근무계획!$P$3:$P$202,$A169)&amp;"")</f>
        <v/>
      </c>
      <c r="O169" s="21">
        <f>IF($C169="","",INDEX(인턴근무계획!$Q$3:$Q$202,$A169)&amp;"")</f>
        <v/>
      </c>
      <c r="P169" s="21">
        <f>IF($C169="","",INDEX(인턴근무계획!$R$3:$R$202,$A169)&amp;"")</f>
        <v/>
      </c>
      <c r="Q169" s="21">
        <f>IF($C169="","",INDEX(인턴근무계획!$T$3:$T$202,$A169))</f>
        <v/>
      </c>
    </row>
    <row r="170">
      <c r="A170" s="24" t="n">
        <v>165</v>
      </c>
      <c r="B170" s="21">
        <f>IF($C170="","",INDEX(인턴근무계획!$B$3:$B$202,$A170))</f>
        <v/>
      </c>
      <c r="C170" s="21">
        <f>IFERROR(TRIM(INDEX(인턴근무계획!$C$3:$C$202,$A170)&amp;""),"")</f>
        <v/>
      </c>
      <c r="D170" s="21">
        <f>IF($C170="","",INDEX(인턴근무계획!$D$3:$D$202,$A170))</f>
        <v/>
      </c>
      <c r="E170" s="21">
        <f>IF($C170="","",IF(IFERROR(MATCH($D170,기본자료!$B$2:$B$501,0),IFERROR(MATCH($D170&amp;"",기본자료!$B$2:$B$501,0),IFERROR(MATCH(VALUE($D170),기본자료!$B$2:$B$501,0),0)))&gt;0,"확인","미등록"))</f>
        <v/>
      </c>
      <c r="F170" s="25">
        <f>IF($C170="","",INDEX(인턴근무계획!$S$3:$S$202,$A170))</f>
        <v/>
      </c>
      <c r="G170" s="21">
        <f>IF(OR($C170="",$G$3=""),"",IF(INDEX(인턴근무계획!$M$3:$R$202,$A170,$G$3)&amp;""="","",IF(LEFT(INDEX(인턴근무계획!$M$3:$R$202,$A170,$G$3)&amp;"",1)="⚠",INDEX(인턴근무계획!$M$3:$R$202,$A170,$G$3)&amp;"",LEFT(INDEX(인턴근무계획!$M$3:$R$202,$A170,$G$3)&amp;"",FIND(" ",INDEX(인턴근무계획!$M$3:$R$202,$A170,$G$3)&amp;"")-1))))</f>
        <v/>
      </c>
      <c r="H170" s="21">
        <f>IF(OR($C170="",$G$3=""),"",IF(INDEX(인턴근무계획!$M$3:$R$202,$A170,$G$3)&amp;""="","",IF(LEFT(INDEX(인턴근무계획!$M$3:$R$202,$A170,$G$3)&amp;"",1)="⚠","",MID(INDEX(인턴근무계획!$M$3:$R$202,$A170,$G$3)&amp;"",FIND(" ",INDEX(인턴근무계획!$M$3:$R$202,$A170,$G$3)&amp;"")+1,60))))</f>
        <v/>
      </c>
      <c r="I170" s="21">
        <f>IF(OR($C170="",$I$3=""),"",IF(INDEX(인턴근무계획!$M$3:$R$202,$A170,$I$3)&amp;""="","",IF(LEFT(INDEX(인턴근무계획!$M$3:$R$202,$A170,$I$3)&amp;"",1)="⚠",INDEX(인턴근무계획!$M$3:$R$202,$A170,$I$3)&amp;"",LEFT(INDEX(인턴근무계획!$M$3:$R$202,$A170,$I$3)&amp;"",FIND(" ",INDEX(인턴근무계획!$M$3:$R$202,$A170,$I$3)&amp;"")-1))))</f>
        <v/>
      </c>
      <c r="J170" s="21">
        <f>IF(OR($C170="",$I$3=""),"",IF(INDEX(인턴근무계획!$M$3:$R$202,$A170,$I$3)&amp;""="","",IF(LEFT(INDEX(인턴근무계획!$M$3:$R$202,$A170,$I$3)&amp;"",1)="⚠","",MID(INDEX(인턴근무계획!$M$3:$R$202,$A170,$I$3)&amp;"",FIND(" ",INDEX(인턴근무계획!$M$3:$R$202,$A170,$I$3)&amp;"")+1,60))))</f>
        <v/>
      </c>
      <c r="K170" s="21">
        <f>IF($C170="","",INDEX(인턴근무계획!$M$3:$M$202,$A170)&amp;"")</f>
        <v/>
      </c>
      <c r="L170" s="21">
        <f>IF($C170="","",INDEX(인턴근무계획!$N$3:$N$202,$A170)&amp;"")</f>
        <v/>
      </c>
      <c r="M170" s="21">
        <f>IF($C170="","",INDEX(인턴근무계획!$O$3:$O$202,$A170)&amp;"")</f>
        <v/>
      </c>
      <c r="N170" s="21">
        <f>IF($C170="","",INDEX(인턴근무계획!$P$3:$P$202,$A170)&amp;"")</f>
        <v/>
      </c>
      <c r="O170" s="21">
        <f>IF($C170="","",INDEX(인턴근무계획!$Q$3:$Q$202,$A170)&amp;"")</f>
        <v/>
      </c>
      <c r="P170" s="21">
        <f>IF($C170="","",INDEX(인턴근무계획!$R$3:$R$202,$A170)&amp;"")</f>
        <v/>
      </c>
      <c r="Q170" s="21">
        <f>IF($C170="","",INDEX(인턴근무계획!$T$3:$T$202,$A170))</f>
        <v/>
      </c>
    </row>
    <row r="171">
      <c r="A171" s="24" t="n">
        <v>166</v>
      </c>
      <c r="B171" s="21">
        <f>IF($C171="","",INDEX(인턴근무계획!$B$3:$B$202,$A171))</f>
        <v/>
      </c>
      <c r="C171" s="21">
        <f>IFERROR(TRIM(INDEX(인턴근무계획!$C$3:$C$202,$A171)&amp;""),"")</f>
        <v/>
      </c>
      <c r="D171" s="21">
        <f>IF($C171="","",INDEX(인턴근무계획!$D$3:$D$202,$A171))</f>
        <v/>
      </c>
      <c r="E171" s="21">
        <f>IF($C171="","",IF(IFERROR(MATCH($D171,기본자료!$B$2:$B$501,0),IFERROR(MATCH($D171&amp;"",기본자료!$B$2:$B$501,0),IFERROR(MATCH(VALUE($D171),기본자료!$B$2:$B$501,0),0)))&gt;0,"확인","미등록"))</f>
        <v/>
      </c>
      <c r="F171" s="25">
        <f>IF($C171="","",INDEX(인턴근무계획!$S$3:$S$202,$A171))</f>
        <v/>
      </c>
      <c r="G171" s="21">
        <f>IF(OR($C171="",$G$3=""),"",IF(INDEX(인턴근무계획!$M$3:$R$202,$A171,$G$3)&amp;""="","",IF(LEFT(INDEX(인턴근무계획!$M$3:$R$202,$A171,$G$3)&amp;"",1)="⚠",INDEX(인턴근무계획!$M$3:$R$202,$A171,$G$3)&amp;"",LEFT(INDEX(인턴근무계획!$M$3:$R$202,$A171,$G$3)&amp;"",FIND(" ",INDEX(인턴근무계획!$M$3:$R$202,$A171,$G$3)&amp;"")-1))))</f>
        <v/>
      </c>
      <c r="H171" s="21">
        <f>IF(OR($C171="",$G$3=""),"",IF(INDEX(인턴근무계획!$M$3:$R$202,$A171,$G$3)&amp;""="","",IF(LEFT(INDEX(인턴근무계획!$M$3:$R$202,$A171,$G$3)&amp;"",1)="⚠","",MID(INDEX(인턴근무계획!$M$3:$R$202,$A171,$G$3)&amp;"",FIND(" ",INDEX(인턴근무계획!$M$3:$R$202,$A171,$G$3)&amp;"")+1,60))))</f>
        <v/>
      </c>
      <c r="I171" s="21">
        <f>IF(OR($C171="",$I$3=""),"",IF(INDEX(인턴근무계획!$M$3:$R$202,$A171,$I$3)&amp;""="","",IF(LEFT(INDEX(인턴근무계획!$M$3:$R$202,$A171,$I$3)&amp;"",1)="⚠",INDEX(인턴근무계획!$M$3:$R$202,$A171,$I$3)&amp;"",LEFT(INDEX(인턴근무계획!$M$3:$R$202,$A171,$I$3)&amp;"",FIND(" ",INDEX(인턴근무계획!$M$3:$R$202,$A171,$I$3)&amp;"")-1))))</f>
        <v/>
      </c>
      <c r="J171" s="21">
        <f>IF(OR($C171="",$I$3=""),"",IF(INDEX(인턴근무계획!$M$3:$R$202,$A171,$I$3)&amp;""="","",IF(LEFT(INDEX(인턴근무계획!$M$3:$R$202,$A171,$I$3)&amp;"",1)="⚠","",MID(INDEX(인턴근무계획!$M$3:$R$202,$A171,$I$3)&amp;"",FIND(" ",INDEX(인턴근무계획!$M$3:$R$202,$A171,$I$3)&amp;"")+1,60))))</f>
        <v/>
      </c>
      <c r="K171" s="21">
        <f>IF($C171="","",INDEX(인턴근무계획!$M$3:$M$202,$A171)&amp;"")</f>
        <v/>
      </c>
      <c r="L171" s="21">
        <f>IF($C171="","",INDEX(인턴근무계획!$N$3:$N$202,$A171)&amp;"")</f>
        <v/>
      </c>
      <c r="M171" s="21">
        <f>IF($C171="","",INDEX(인턴근무계획!$O$3:$O$202,$A171)&amp;"")</f>
        <v/>
      </c>
      <c r="N171" s="21">
        <f>IF($C171="","",INDEX(인턴근무계획!$P$3:$P$202,$A171)&amp;"")</f>
        <v/>
      </c>
      <c r="O171" s="21">
        <f>IF($C171="","",INDEX(인턴근무계획!$Q$3:$Q$202,$A171)&amp;"")</f>
        <v/>
      </c>
      <c r="P171" s="21">
        <f>IF($C171="","",INDEX(인턴근무계획!$R$3:$R$202,$A171)&amp;"")</f>
        <v/>
      </c>
      <c r="Q171" s="21">
        <f>IF($C171="","",INDEX(인턴근무계획!$T$3:$T$202,$A171))</f>
        <v/>
      </c>
    </row>
    <row r="172">
      <c r="A172" s="24" t="n">
        <v>167</v>
      </c>
      <c r="B172" s="21">
        <f>IF($C172="","",INDEX(인턴근무계획!$B$3:$B$202,$A172))</f>
        <v/>
      </c>
      <c r="C172" s="21">
        <f>IFERROR(TRIM(INDEX(인턴근무계획!$C$3:$C$202,$A172)&amp;""),"")</f>
        <v/>
      </c>
      <c r="D172" s="21">
        <f>IF($C172="","",INDEX(인턴근무계획!$D$3:$D$202,$A172))</f>
        <v/>
      </c>
      <c r="E172" s="21">
        <f>IF($C172="","",IF(IFERROR(MATCH($D172,기본자료!$B$2:$B$501,0),IFERROR(MATCH($D172&amp;"",기본자료!$B$2:$B$501,0),IFERROR(MATCH(VALUE($D172),기본자료!$B$2:$B$501,0),0)))&gt;0,"확인","미등록"))</f>
        <v/>
      </c>
      <c r="F172" s="25">
        <f>IF($C172="","",INDEX(인턴근무계획!$S$3:$S$202,$A172))</f>
        <v/>
      </c>
      <c r="G172" s="21">
        <f>IF(OR($C172="",$G$3=""),"",IF(INDEX(인턴근무계획!$M$3:$R$202,$A172,$G$3)&amp;""="","",IF(LEFT(INDEX(인턴근무계획!$M$3:$R$202,$A172,$G$3)&amp;"",1)="⚠",INDEX(인턴근무계획!$M$3:$R$202,$A172,$G$3)&amp;"",LEFT(INDEX(인턴근무계획!$M$3:$R$202,$A172,$G$3)&amp;"",FIND(" ",INDEX(인턴근무계획!$M$3:$R$202,$A172,$G$3)&amp;"")-1))))</f>
        <v/>
      </c>
      <c r="H172" s="21">
        <f>IF(OR($C172="",$G$3=""),"",IF(INDEX(인턴근무계획!$M$3:$R$202,$A172,$G$3)&amp;""="","",IF(LEFT(INDEX(인턴근무계획!$M$3:$R$202,$A172,$G$3)&amp;"",1)="⚠","",MID(INDEX(인턴근무계획!$M$3:$R$202,$A172,$G$3)&amp;"",FIND(" ",INDEX(인턴근무계획!$M$3:$R$202,$A172,$G$3)&amp;"")+1,60))))</f>
        <v/>
      </c>
      <c r="I172" s="21">
        <f>IF(OR($C172="",$I$3=""),"",IF(INDEX(인턴근무계획!$M$3:$R$202,$A172,$I$3)&amp;""="","",IF(LEFT(INDEX(인턴근무계획!$M$3:$R$202,$A172,$I$3)&amp;"",1)="⚠",INDEX(인턴근무계획!$M$3:$R$202,$A172,$I$3)&amp;"",LEFT(INDEX(인턴근무계획!$M$3:$R$202,$A172,$I$3)&amp;"",FIND(" ",INDEX(인턴근무계획!$M$3:$R$202,$A172,$I$3)&amp;"")-1))))</f>
        <v/>
      </c>
      <c r="J172" s="21">
        <f>IF(OR($C172="",$I$3=""),"",IF(INDEX(인턴근무계획!$M$3:$R$202,$A172,$I$3)&amp;""="","",IF(LEFT(INDEX(인턴근무계획!$M$3:$R$202,$A172,$I$3)&amp;"",1)="⚠","",MID(INDEX(인턴근무계획!$M$3:$R$202,$A172,$I$3)&amp;"",FIND(" ",INDEX(인턴근무계획!$M$3:$R$202,$A172,$I$3)&amp;"")+1,60))))</f>
        <v/>
      </c>
      <c r="K172" s="21">
        <f>IF($C172="","",INDEX(인턴근무계획!$M$3:$M$202,$A172)&amp;"")</f>
        <v/>
      </c>
      <c r="L172" s="21">
        <f>IF($C172="","",INDEX(인턴근무계획!$N$3:$N$202,$A172)&amp;"")</f>
        <v/>
      </c>
      <c r="M172" s="21">
        <f>IF($C172="","",INDEX(인턴근무계획!$O$3:$O$202,$A172)&amp;"")</f>
        <v/>
      </c>
      <c r="N172" s="21">
        <f>IF($C172="","",INDEX(인턴근무계획!$P$3:$P$202,$A172)&amp;"")</f>
        <v/>
      </c>
      <c r="O172" s="21">
        <f>IF($C172="","",INDEX(인턴근무계획!$Q$3:$Q$202,$A172)&amp;"")</f>
        <v/>
      </c>
      <c r="P172" s="21">
        <f>IF($C172="","",INDEX(인턴근무계획!$R$3:$R$202,$A172)&amp;"")</f>
        <v/>
      </c>
      <c r="Q172" s="21">
        <f>IF($C172="","",INDEX(인턴근무계획!$T$3:$T$202,$A172))</f>
        <v/>
      </c>
    </row>
    <row r="173">
      <c r="A173" s="24" t="n">
        <v>168</v>
      </c>
      <c r="B173" s="21">
        <f>IF($C173="","",INDEX(인턴근무계획!$B$3:$B$202,$A173))</f>
        <v/>
      </c>
      <c r="C173" s="21">
        <f>IFERROR(TRIM(INDEX(인턴근무계획!$C$3:$C$202,$A173)&amp;""),"")</f>
        <v/>
      </c>
      <c r="D173" s="21">
        <f>IF($C173="","",INDEX(인턴근무계획!$D$3:$D$202,$A173))</f>
        <v/>
      </c>
      <c r="E173" s="21">
        <f>IF($C173="","",IF(IFERROR(MATCH($D173,기본자료!$B$2:$B$501,0),IFERROR(MATCH($D173&amp;"",기본자료!$B$2:$B$501,0),IFERROR(MATCH(VALUE($D173),기본자료!$B$2:$B$501,0),0)))&gt;0,"확인","미등록"))</f>
        <v/>
      </c>
      <c r="F173" s="25">
        <f>IF($C173="","",INDEX(인턴근무계획!$S$3:$S$202,$A173))</f>
        <v/>
      </c>
      <c r="G173" s="21">
        <f>IF(OR($C173="",$G$3=""),"",IF(INDEX(인턴근무계획!$M$3:$R$202,$A173,$G$3)&amp;""="","",IF(LEFT(INDEX(인턴근무계획!$M$3:$R$202,$A173,$G$3)&amp;"",1)="⚠",INDEX(인턴근무계획!$M$3:$R$202,$A173,$G$3)&amp;"",LEFT(INDEX(인턴근무계획!$M$3:$R$202,$A173,$G$3)&amp;"",FIND(" ",INDEX(인턴근무계획!$M$3:$R$202,$A173,$G$3)&amp;"")-1))))</f>
        <v/>
      </c>
      <c r="H173" s="21">
        <f>IF(OR($C173="",$G$3=""),"",IF(INDEX(인턴근무계획!$M$3:$R$202,$A173,$G$3)&amp;""="","",IF(LEFT(INDEX(인턴근무계획!$M$3:$R$202,$A173,$G$3)&amp;"",1)="⚠","",MID(INDEX(인턴근무계획!$M$3:$R$202,$A173,$G$3)&amp;"",FIND(" ",INDEX(인턴근무계획!$M$3:$R$202,$A173,$G$3)&amp;"")+1,60))))</f>
        <v/>
      </c>
      <c r="I173" s="21">
        <f>IF(OR($C173="",$I$3=""),"",IF(INDEX(인턴근무계획!$M$3:$R$202,$A173,$I$3)&amp;""="","",IF(LEFT(INDEX(인턴근무계획!$M$3:$R$202,$A173,$I$3)&amp;"",1)="⚠",INDEX(인턴근무계획!$M$3:$R$202,$A173,$I$3)&amp;"",LEFT(INDEX(인턴근무계획!$M$3:$R$202,$A173,$I$3)&amp;"",FIND(" ",INDEX(인턴근무계획!$M$3:$R$202,$A173,$I$3)&amp;"")-1))))</f>
        <v/>
      </c>
      <c r="J173" s="21">
        <f>IF(OR($C173="",$I$3=""),"",IF(INDEX(인턴근무계획!$M$3:$R$202,$A173,$I$3)&amp;""="","",IF(LEFT(INDEX(인턴근무계획!$M$3:$R$202,$A173,$I$3)&amp;"",1)="⚠","",MID(INDEX(인턴근무계획!$M$3:$R$202,$A173,$I$3)&amp;"",FIND(" ",INDEX(인턴근무계획!$M$3:$R$202,$A173,$I$3)&amp;"")+1,60))))</f>
        <v/>
      </c>
      <c r="K173" s="21">
        <f>IF($C173="","",INDEX(인턴근무계획!$M$3:$M$202,$A173)&amp;"")</f>
        <v/>
      </c>
      <c r="L173" s="21">
        <f>IF($C173="","",INDEX(인턴근무계획!$N$3:$N$202,$A173)&amp;"")</f>
        <v/>
      </c>
      <c r="M173" s="21">
        <f>IF($C173="","",INDEX(인턴근무계획!$O$3:$O$202,$A173)&amp;"")</f>
        <v/>
      </c>
      <c r="N173" s="21">
        <f>IF($C173="","",INDEX(인턴근무계획!$P$3:$P$202,$A173)&amp;"")</f>
        <v/>
      </c>
      <c r="O173" s="21">
        <f>IF($C173="","",INDEX(인턴근무계획!$Q$3:$Q$202,$A173)&amp;"")</f>
        <v/>
      </c>
      <c r="P173" s="21">
        <f>IF($C173="","",INDEX(인턴근무계획!$R$3:$R$202,$A173)&amp;"")</f>
        <v/>
      </c>
      <c r="Q173" s="21">
        <f>IF($C173="","",INDEX(인턴근무계획!$T$3:$T$202,$A173))</f>
        <v/>
      </c>
    </row>
    <row r="174">
      <c r="A174" s="24" t="n">
        <v>169</v>
      </c>
      <c r="B174" s="21">
        <f>IF($C174="","",INDEX(인턴근무계획!$B$3:$B$202,$A174))</f>
        <v/>
      </c>
      <c r="C174" s="21">
        <f>IFERROR(TRIM(INDEX(인턴근무계획!$C$3:$C$202,$A174)&amp;""),"")</f>
        <v/>
      </c>
      <c r="D174" s="21">
        <f>IF($C174="","",INDEX(인턴근무계획!$D$3:$D$202,$A174))</f>
        <v/>
      </c>
      <c r="E174" s="21">
        <f>IF($C174="","",IF(IFERROR(MATCH($D174,기본자료!$B$2:$B$501,0),IFERROR(MATCH($D174&amp;"",기본자료!$B$2:$B$501,0),IFERROR(MATCH(VALUE($D174),기본자료!$B$2:$B$501,0),0)))&gt;0,"확인","미등록"))</f>
        <v/>
      </c>
      <c r="F174" s="25">
        <f>IF($C174="","",INDEX(인턴근무계획!$S$3:$S$202,$A174))</f>
        <v/>
      </c>
      <c r="G174" s="21">
        <f>IF(OR($C174="",$G$3=""),"",IF(INDEX(인턴근무계획!$M$3:$R$202,$A174,$G$3)&amp;""="","",IF(LEFT(INDEX(인턴근무계획!$M$3:$R$202,$A174,$G$3)&amp;"",1)="⚠",INDEX(인턴근무계획!$M$3:$R$202,$A174,$G$3)&amp;"",LEFT(INDEX(인턴근무계획!$M$3:$R$202,$A174,$G$3)&amp;"",FIND(" ",INDEX(인턴근무계획!$M$3:$R$202,$A174,$G$3)&amp;"")-1))))</f>
        <v/>
      </c>
      <c r="H174" s="21">
        <f>IF(OR($C174="",$G$3=""),"",IF(INDEX(인턴근무계획!$M$3:$R$202,$A174,$G$3)&amp;""="","",IF(LEFT(INDEX(인턴근무계획!$M$3:$R$202,$A174,$G$3)&amp;"",1)="⚠","",MID(INDEX(인턴근무계획!$M$3:$R$202,$A174,$G$3)&amp;"",FIND(" ",INDEX(인턴근무계획!$M$3:$R$202,$A174,$G$3)&amp;"")+1,60))))</f>
        <v/>
      </c>
      <c r="I174" s="21">
        <f>IF(OR($C174="",$I$3=""),"",IF(INDEX(인턴근무계획!$M$3:$R$202,$A174,$I$3)&amp;""="","",IF(LEFT(INDEX(인턴근무계획!$M$3:$R$202,$A174,$I$3)&amp;"",1)="⚠",INDEX(인턴근무계획!$M$3:$R$202,$A174,$I$3)&amp;"",LEFT(INDEX(인턴근무계획!$M$3:$R$202,$A174,$I$3)&amp;"",FIND(" ",INDEX(인턴근무계획!$M$3:$R$202,$A174,$I$3)&amp;"")-1))))</f>
        <v/>
      </c>
      <c r="J174" s="21">
        <f>IF(OR($C174="",$I$3=""),"",IF(INDEX(인턴근무계획!$M$3:$R$202,$A174,$I$3)&amp;""="","",IF(LEFT(INDEX(인턴근무계획!$M$3:$R$202,$A174,$I$3)&amp;"",1)="⚠","",MID(INDEX(인턴근무계획!$M$3:$R$202,$A174,$I$3)&amp;"",FIND(" ",INDEX(인턴근무계획!$M$3:$R$202,$A174,$I$3)&amp;"")+1,60))))</f>
        <v/>
      </c>
      <c r="K174" s="21">
        <f>IF($C174="","",INDEX(인턴근무계획!$M$3:$M$202,$A174)&amp;"")</f>
        <v/>
      </c>
      <c r="L174" s="21">
        <f>IF($C174="","",INDEX(인턴근무계획!$N$3:$N$202,$A174)&amp;"")</f>
        <v/>
      </c>
      <c r="M174" s="21">
        <f>IF($C174="","",INDEX(인턴근무계획!$O$3:$O$202,$A174)&amp;"")</f>
        <v/>
      </c>
      <c r="N174" s="21">
        <f>IF($C174="","",INDEX(인턴근무계획!$P$3:$P$202,$A174)&amp;"")</f>
        <v/>
      </c>
      <c r="O174" s="21">
        <f>IF($C174="","",INDEX(인턴근무계획!$Q$3:$Q$202,$A174)&amp;"")</f>
        <v/>
      </c>
      <c r="P174" s="21">
        <f>IF($C174="","",INDEX(인턴근무계획!$R$3:$R$202,$A174)&amp;"")</f>
        <v/>
      </c>
      <c r="Q174" s="21">
        <f>IF($C174="","",INDEX(인턴근무계획!$T$3:$T$202,$A174))</f>
        <v/>
      </c>
    </row>
    <row r="175">
      <c r="A175" s="24" t="n">
        <v>170</v>
      </c>
      <c r="B175" s="21">
        <f>IF($C175="","",INDEX(인턴근무계획!$B$3:$B$202,$A175))</f>
        <v/>
      </c>
      <c r="C175" s="21">
        <f>IFERROR(TRIM(INDEX(인턴근무계획!$C$3:$C$202,$A175)&amp;""),"")</f>
        <v/>
      </c>
      <c r="D175" s="21">
        <f>IF($C175="","",INDEX(인턴근무계획!$D$3:$D$202,$A175))</f>
        <v/>
      </c>
      <c r="E175" s="21">
        <f>IF($C175="","",IF(IFERROR(MATCH($D175,기본자료!$B$2:$B$501,0),IFERROR(MATCH($D175&amp;"",기본자료!$B$2:$B$501,0),IFERROR(MATCH(VALUE($D175),기본자료!$B$2:$B$501,0),0)))&gt;0,"확인","미등록"))</f>
        <v/>
      </c>
      <c r="F175" s="25">
        <f>IF($C175="","",INDEX(인턴근무계획!$S$3:$S$202,$A175))</f>
        <v/>
      </c>
      <c r="G175" s="21">
        <f>IF(OR($C175="",$G$3=""),"",IF(INDEX(인턴근무계획!$M$3:$R$202,$A175,$G$3)&amp;""="","",IF(LEFT(INDEX(인턴근무계획!$M$3:$R$202,$A175,$G$3)&amp;"",1)="⚠",INDEX(인턴근무계획!$M$3:$R$202,$A175,$G$3)&amp;"",LEFT(INDEX(인턴근무계획!$M$3:$R$202,$A175,$G$3)&amp;"",FIND(" ",INDEX(인턴근무계획!$M$3:$R$202,$A175,$G$3)&amp;"")-1))))</f>
        <v/>
      </c>
      <c r="H175" s="21">
        <f>IF(OR($C175="",$G$3=""),"",IF(INDEX(인턴근무계획!$M$3:$R$202,$A175,$G$3)&amp;""="","",IF(LEFT(INDEX(인턴근무계획!$M$3:$R$202,$A175,$G$3)&amp;"",1)="⚠","",MID(INDEX(인턴근무계획!$M$3:$R$202,$A175,$G$3)&amp;"",FIND(" ",INDEX(인턴근무계획!$M$3:$R$202,$A175,$G$3)&amp;"")+1,60))))</f>
        <v/>
      </c>
      <c r="I175" s="21">
        <f>IF(OR($C175="",$I$3=""),"",IF(INDEX(인턴근무계획!$M$3:$R$202,$A175,$I$3)&amp;""="","",IF(LEFT(INDEX(인턴근무계획!$M$3:$R$202,$A175,$I$3)&amp;"",1)="⚠",INDEX(인턴근무계획!$M$3:$R$202,$A175,$I$3)&amp;"",LEFT(INDEX(인턴근무계획!$M$3:$R$202,$A175,$I$3)&amp;"",FIND(" ",INDEX(인턴근무계획!$M$3:$R$202,$A175,$I$3)&amp;"")-1))))</f>
        <v/>
      </c>
      <c r="J175" s="21">
        <f>IF(OR($C175="",$I$3=""),"",IF(INDEX(인턴근무계획!$M$3:$R$202,$A175,$I$3)&amp;""="","",IF(LEFT(INDEX(인턴근무계획!$M$3:$R$202,$A175,$I$3)&amp;"",1)="⚠","",MID(INDEX(인턴근무계획!$M$3:$R$202,$A175,$I$3)&amp;"",FIND(" ",INDEX(인턴근무계획!$M$3:$R$202,$A175,$I$3)&amp;"")+1,60))))</f>
        <v/>
      </c>
      <c r="K175" s="21">
        <f>IF($C175="","",INDEX(인턴근무계획!$M$3:$M$202,$A175)&amp;"")</f>
        <v/>
      </c>
      <c r="L175" s="21">
        <f>IF($C175="","",INDEX(인턴근무계획!$N$3:$N$202,$A175)&amp;"")</f>
        <v/>
      </c>
      <c r="M175" s="21">
        <f>IF($C175="","",INDEX(인턴근무계획!$O$3:$O$202,$A175)&amp;"")</f>
        <v/>
      </c>
      <c r="N175" s="21">
        <f>IF($C175="","",INDEX(인턴근무계획!$P$3:$P$202,$A175)&amp;"")</f>
        <v/>
      </c>
      <c r="O175" s="21">
        <f>IF($C175="","",INDEX(인턴근무계획!$Q$3:$Q$202,$A175)&amp;"")</f>
        <v/>
      </c>
      <c r="P175" s="21">
        <f>IF($C175="","",INDEX(인턴근무계획!$R$3:$R$202,$A175)&amp;"")</f>
        <v/>
      </c>
      <c r="Q175" s="21">
        <f>IF($C175="","",INDEX(인턴근무계획!$T$3:$T$202,$A175))</f>
        <v/>
      </c>
    </row>
    <row r="176">
      <c r="A176" s="24" t="n">
        <v>171</v>
      </c>
      <c r="B176" s="21">
        <f>IF($C176="","",INDEX(인턴근무계획!$B$3:$B$202,$A176))</f>
        <v/>
      </c>
      <c r="C176" s="21">
        <f>IFERROR(TRIM(INDEX(인턴근무계획!$C$3:$C$202,$A176)&amp;""),"")</f>
        <v/>
      </c>
      <c r="D176" s="21">
        <f>IF($C176="","",INDEX(인턴근무계획!$D$3:$D$202,$A176))</f>
        <v/>
      </c>
      <c r="E176" s="21">
        <f>IF($C176="","",IF(IFERROR(MATCH($D176,기본자료!$B$2:$B$501,0),IFERROR(MATCH($D176&amp;"",기본자료!$B$2:$B$501,0),IFERROR(MATCH(VALUE($D176),기본자료!$B$2:$B$501,0),0)))&gt;0,"확인","미등록"))</f>
        <v/>
      </c>
      <c r="F176" s="25">
        <f>IF($C176="","",INDEX(인턴근무계획!$S$3:$S$202,$A176))</f>
        <v/>
      </c>
      <c r="G176" s="21">
        <f>IF(OR($C176="",$G$3=""),"",IF(INDEX(인턴근무계획!$M$3:$R$202,$A176,$G$3)&amp;""="","",IF(LEFT(INDEX(인턴근무계획!$M$3:$R$202,$A176,$G$3)&amp;"",1)="⚠",INDEX(인턴근무계획!$M$3:$R$202,$A176,$G$3)&amp;"",LEFT(INDEX(인턴근무계획!$M$3:$R$202,$A176,$G$3)&amp;"",FIND(" ",INDEX(인턴근무계획!$M$3:$R$202,$A176,$G$3)&amp;"")-1))))</f>
        <v/>
      </c>
      <c r="H176" s="21">
        <f>IF(OR($C176="",$G$3=""),"",IF(INDEX(인턴근무계획!$M$3:$R$202,$A176,$G$3)&amp;""="","",IF(LEFT(INDEX(인턴근무계획!$M$3:$R$202,$A176,$G$3)&amp;"",1)="⚠","",MID(INDEX(인턴근무계획!$M$3:$R$202,$A176,$G$3)&amp;"",FIND(" ",INDEX(인턴근무계획!$M$3:$R$202,$A176,$G$3)&amp;"")+1,60))))</f>
        <v/>
      </c>
      <c r="I176" s="21">
        <f>IF(OR($C176="",$I$3=""),"",IF(INDEX(인턴근무계획!$M$3:$R$202,$A176,$I$3)&amp;""="","",IF(LEFT(INDEX(인턴근무계획!$M$3:$R$202,$A176,$I$3)&amp;"",1)="⚠",INDEX(인턴근무계획!$M$3:$R$202,$A176,$I$3)&amp;"",LEFT(INDEX(인턴근무계획!$M$3:$R$202,$A176,$I$3)&amp;"",FIND(" ",INDEX(인턴근무계획!$M$3:$R$202,$A176,$I$3)&amp;"")-1))))</f>
        <v/>
      </c>
      <c r="J176" s="21">
        <f>IF(OR($C176="",$I$3=""),"",IF(INDEX(인턴근무계획!$M$3:$R$202,$A176,$I$3)&amp;""="","",IF(LEFT(INDEX(인턴근무계획!$M$3:$R$202,$A176,$I$3)&amp;"",1)="⚠","",MID(INDEX(인턴근무계획!$M$3:$R$202,$A176,$I$3)&amp;"",FIND(" ",INDEX(인턴근무계획!$M$3:$R$202,$A176,$I$3)&amp;"")+1,60))))</f>
        <v/>
      </c>
      <c r="K176" s="21">
        <f>IF($C176="","",INDEX(인턴근무계획!$M$3:$M$202,$A176)&amp;"")</f>
        <v/>
      </c>
      <c r="L176" s="21">
        <f>IF($C176="","",INDEX(인턴근무계획!$N$3:$N$202,$A176)&amp;"")</f>
        <v/>
      </c>
      <c r="M176" s="21">
        <f>IF($C176="","",INDEX(인턴근무계획!$O$3:$O$202,$A176)&amp;"")</f>
        <v/>
      </c>
      <c r="N176" s="21">
        <f>IF($C176="","",INDEX(인턴근무계획!$P$3:$P$202,$A176)&amp;"")</f>
        <v/>
      </c>
      <c r="O176" s="21">
        <f>IF($C176="","",INDEX(인턴근무계획!$Q$3:$Q$202,$A176)&amp;"")</f>
        <v/>
      </c>
      <c r="P176" s="21">
        <f>IF($C176="","",INDEX(인턴근무계획!$R$3:$R$202,$A176)&amp;"")</f>
        <v/>
      </c>
      <c r="Q176" s="21">
        <f>IF($C176="","",INDEX(인턴근무계획!$T$3:$T$202,$A176))</f>
        <v/>
      </c>
    </row>
    <row r="177">
      <c r="A177" s="24" t="n">
        <v>172</v>
      </c>
      <c r="B177" s="21">
        <f>IF($C177="","",INDEX(인턴근무계획!$B$3:$B$202,$A177))</f>
        <v/>
      </c>
      <c r="C177" s="21">
        <f>IFERROR(TRIM(INDEX(인턴근무계획!$C$3:$C$202,$A177)&amp;""),"")</f>
        <v/>
      </c>
      <c r="D177" s="21">
        <f>IF($C177="","",INDEX(인턴근무계획!$D$3:$D$202,$A177))</f>
        <v/>
      </c>
      <c r="E177" s="21">
        <f>IF($C177="","",IF(IFERROR(MATCH($D177,기본자료!$B$2:$B$501,0),IFERROR(MATCH($D177&amp;"",기본자료!$B$2:$B$501,0),IFERROR(MATCH(VALUE($D177),기본자료!$B$2:$B$501,0),0)))&gt;0,"확인","미등록"))</f>
        <v/>
      </c>
      <c r="F177" s="25">
        <f>IF($C177="","",INDEX(인턴근무계획!$S$3:$S$202,$A177))</f>
        <v/>
      </c>
      <c r="G177" s="21">
        <f>IF(OR($C177="",$G$3=""),"",IF(INDEX(인턴근무계획!$M$3:$R$202,$A177,$G$3)&amp;""="","",IF(LEFT(INDEX(인턴근무계획!$M$3:$R$202,$A177,$G$3)&amp;"",1)="⚠",INDEX(인턴근무계획!$M$3:$R$202,$A177,$G$3)&amp;"",LEFT(INDEX(인턴근무계획!$M$3:$R$202,$A177,$G$3)&amp;"",FIND(" ",INDEX(인턴근무계획!$M$3:$R$202,$A177,$G$3)&amp;"")-1))))</f>
        <v/>
      </c>
      <c r="H177" s="21">
        <f>IF(OR($C177="",$G$3=""),"",IF(INDEX(인턴근무계획!$M$3:$R$202,$A177,$G$3)&amp;""="","",IF(LEFT(INDEX(인턴근무계획!$M$3:$R$202,$A177,$G$3)&amp;"",1)="⚠","",MID(INDEX(인턴근무계획!$M$3:$R$202,$A177,$G$3)&amp;"",FIND(" ",INDEX(인턴근무계획!$M$3:$R$202,$A177,$G$3)&amp;"")+1,60))))</f>
        <v/>
      </c>
      <c r="I177" s="21">
        <f>IF(OR($C177="",$I$3=""),"",IF(INDEX(인턴근무계획!$M$3:$R$202,$A177,$I$3)&amp;""="","",IF(LEFT(INDEX(인턴근무계획!$M$3:$R$202,$A177,$I$3)&amp;"",1)="⚠",INDEX(인턴근무계획!$M$3:$R$202,$A177,$I$3)&amp;"",LEFT(INDEX(인턴근무계획!$M$3:$R$202,$A177,$I$3)&amp;"",FIND(" ",INDEX(인턴근무계획!$M$3:$R$202,$A177,$I$3)&amp;"")-1))))</f>
        <v/>
      </c>
      <c r="J177" s="21">
        <f>IF(OR($C177="",$I$3=""),"",IF(INDEX(인턴근무계획!$M$3:$R$202,$A177,$I$3)&amp;""="","",IF(LEFT(INDEX(인턴근무계획!$M$3:$R$202,$A177,$I$3)&amp;"",1)="⚠","",MID(INDEX(인턴근무계획!$M$3:$R$202,$A177,$I$3)&amp;"",FIND(" ",INDEX(인턴근무계획!$M$3:$R$202,$A177,$I$3)&amp;"")+1,60))))</f>
        <v/>
      </c>
      <c r="K177" s="21">
        <f>IF($C177="","",INDEX(인턴근무계획!$M$3:$M$202,$A177)&amp;"")</f>
        <v/>
      </c>
      <c r="L177" s="21">
        <f>IF($C177="","",INDEX(인턴근무계획!$N$3:$N$202,$A177)&amp;"")</f>
        <v/>
      </c>
      <c r="M177" s="21">
        <f>IF($C177="","",INDEX(인턴근무계획!$O$3:$O$202,$A177)&amp;"")</f>
        <v/>
      </c>
      <c r="N177" s="21">
        <f>IF($C177="","",INDEX(인턴근무계획!$P$3:$P$202,$A177)&amp;"")</f>
        <v/>
      </c>
      <c r="O177" s="21">
        <f>IF($C177="","",INDEX(인턴근무계획!$Q$3:$Q$202,$A177)&amp;"")</f>
        <v/>
      </c>
      <c r="P177" s="21">
        <f>IF($C177="","",INDEX(인턴근무계획!$R$3:$R$202,$A177)&amp;"")</f>
        <v/>
      </c>
      <c r="Q177" s="21">
        <f>IF($C177="","",INDEX(인턴근무계획!$T$3:$T$202,$A177))</f>
        <v/>
      </c>
    </row>
    <row r="178">
      <c r="A178" s="24" t="n">
        <v>173</v>
      </c>
      <c r="B178" s="21">
        <f>IF($C178="","",INDEX(인턴근무계획!$B$3:$B$202,$A178))</f>
        <v/>
      </c>
      <c r="C178" s="21">
        <f>IFERROR(TRIM(INDEX(인턴근무계획!$C$3:$C$202,$A178)&amp;""),"")</f>
        <v/>
      </c>
      <c r="D178" s="21">
        <f>IF($C178="","",INDEX(인턴근무계획!$D$3:$D$202,$A178))</f>
        <v/>
      </c>
      <c r="E178" s="21">
        <f>IF($C178="","",IF(IFERROR(MATCH($D178,기본자료!$B$2:$B$501,0),IFERROR(MATCH($D178&amp;"",기본자료!$B$2:$B$501,0),IFERROR(MATCH(VALUE($D178),기본자료!$B$2:$B$501,0),0)))&gt;0,"확인","미등록"))</f>
        <v/>
      </c>
      <c r="F178" s="25">
        <f>IF($C178="","",INDEX(인턴근무계획!$S$3:$S$202,$A178))</f>
        <v/>
      </c>
      <c r="G178" s="21">
        <f>IF(OR($C178="",$G$3=""),"",IF(INDEX(인턴근무계획!$M$3:$R$202,$A178,$G$3)&amp;""="","",IF(LEFT(INDEX(인턴근무계획!$M$3:$R$202,$A178,$G$3)&amp;"",1)="⚠",INDEX(인턴근무계획!$M$3:$R$202,$A178,$G$3)&amp;"",LEFT(INDEX(인턴근무계획!$M$3:$R$202,$A178,$G$3)&amp;"",FIND(" ",INDEX(인턴근무계획!$M$3:$R$202,$A178,$G$3)&amp;"")-1))))</f>
        <v/>
      </c>
      <c r="H178" s="21">
        <f>IF(OR($C178="",$G$3=""),"",IF(INDEX(인턴근무계획!$M$3:$R$202,$A178,$G$3)&amp;""="","",IF(LEFT(INDEX(인턴근무계획!$M$3:$R$202,$A178,$G$3)&amp;"",1)="⚠","",MID(INDEX(인턴근무계획!$M$3:$R$202,$A178,$G$3)&amp;"",FIND(" ",INDEX(인턴근무계획!$M$3:$R$202,$A178,$G$3)&amp;"")+1,60))))</f>
        <v/>
      </c>
      <c r="I178" s="21">
        <f>IF(OR($C178="",$I$3=""),"",IF(INDEX(인턴근무계획!$M$3:$R$202,$A178,$I$3)&amp;""="","",IF(LEFT(INDEX(인턴근무계획!$M$3:$R$202,$A178,$I$3)&amp;"",1)="⚠",INDEX(인턴근무계획!$M$3:$R$202,$A178,$I$3)&amp;"",LEFT(INDEX(인턴근무계획!$M$3:$R$202,$A178,$I$3)&amp;"",FIND(" ",INDEX(인턴근무계획!$M$3:$R$202,$A178,$I$3)&amp;"")-1))))</f>
        <v/>
      </c>
      <c r="J178" s="21">
        <f>IF(OR($C178="",$I$3=""),"",IF(INDEX(인턴근무계획!$M$3:$R$202,$A178,$I$3)&amp;""="","",IF(LEFT(INDEX(인턴근무계획!$M$3:$R$202,$A178,$I$3)&amp;"",1)="⚠","",MID(INDEX(인턴근무계획!$M$3:$R$202,$A178,$I$3)&amp;"",FIND(" ",INDEX(인턴근무계획!$M$3:$R$202,$A178,$I$3)&amp;"")+1,60))))</f>
        <v/>
      </c>
      <c r="K178" s="21">
        <f>IF($C178="","",INDEX(인턴근무계획!$M$3:$M$202,$A178)&amp;"")</f>
        <v/>
      </c>
      <c r="L178" s="21">
        <f>IF($C178="","",INDEX(인턴근무계획!$N$3:$N$202,$A178)&amp;"")</f>
        <v/>
      </c>
      <c r="M178" s="21">
        <f>IF($C178="","",INDEX(인턴근무계획!$O$3:$O$202,$A178)&amp;"")</f>
        <v/>
      </c>
      <c r="N178" s="21">
        <f>IF($C178="","",INDEX(인턴근무계획!$P$3:$P$202,$A178)&amp;"")</f>
        <v/>
      </c>
      <c r="O178" s="21">
        <f>IF($C178="","",INDEX(인턴근무계획!$Q$3:$Q$202,$A178)&amp;"")</f>
        <v/>
      </c>
      <c r="P178" s="21">
        <f>IF($C178="","",INDEX(인턴근무계획!$R$3:$R$202,$A178)&amp;"")</f>
        <v/>
      </c>
      <c r="Q178" s="21">
        <f>IF($C178="","",INDEX(인턴근무계획!$T$3:$T$202,$A178))</f>
        <v/>
      </c>
    </row>
    <row r="179">
      <c r="A179" s="24" t="n">
        <v>174</v>
      </c>
      <c r="B179" s="21">
        <f>IF($C179="","",INDEX(인턴근무계획!$B$3:$B$202,$A179))</f>
        <v/>
      </c>
      <c r="C179" s="21">
        <f>IFERROR(TRIM(INDEX(인턴근무계획!$C$3:$C$202,$A179)&amp;""),"")</f>
        <v/>
      </c>
      <c r="D179" s="21">
        <f>IF($C179="","",INDEX(인턴근무계획!$D$3:$D$202,$A179))</f>
        <v/>
      </c>
      <c r="E179" s="21">
        <f>IF($C179="","",IF(IFERROR(MATCH($D179,기본자료!$B$2:$B$501,0),IFERROR(MATCH($D179&amp;"",기본자료!$B$2:$B$501,0),IFERROR(MATCH(VALUE($D179),기본자료!$B$2:$B$501,0),0)))&gt;0,"확인","미등록"))</f>
        <v/>
      </c>
      <c r="F179" s="25">
        <f>IF($C179="","",INDEX(인턴근무계획!$S$3:$S$202,$A179))</f>
        <v/>
      </c>
      <c r="G179" s="21">
        <f>IF(OR($C179="",$G$3=""),"",IF(INDEX(인턴근무계획!$M$3:$R$202,$A179,$G$3)&amp;""="","",IF(LEFT(INDEX(인턴근무계획!$M$3:$R$202,$A179,$G$3)&amp;"",1)="⚠",INDEX(인턴근무계획!$M$3:$R$202,$A179,$G$3)&amp;"",LEFT(INDEX(인턴근무계획!$M$3:$R$202,$A179,$G$3)&amp;"",FIND(" ",INDEX(인턴근무계획!$M$3:$R$202,$A179,$G$3)&amp;"")-1))))</f>
        <v/>
      </c>
      <c r="H179" s="21">
        <f>IF(OR($C179="",$G$3=""),"",IF(INDEX(인턴근무계획!$M$3:$R$202,$A179,$G$3)&amp;""="","",IF(LEFT(INDEX(인턴근무계획!$M$3:$R$202,$A179,$G$3)&amp;"",1)="⚠","",MID(INDEX(인턴근무계획!$M$3:$R$202,$A179,$G$3)&amp;"",FIND(" ",INDEX(인턴근무계획!$M$3:$R$202,$A179,$G$3)&amp;"")+1,60))))</f>
        <v/>
      </c>
      <c r="I179" s="21">
        <f>IF(OR($C179="",$I$3=""),"",IF(INDEX(인턴근무계획!$M$3:$R$202,$A179,$I$3)&amp;""="","",IF(LEFT(INDEX(인턴근무계획!$M$3:$R$202,$A179,$I$3)&amp;"",1)="⚠",INDEX(인턴근무계획!$M$3:$R$202,$A179,$I$3)&amp;"",LEFT(INDEX(인턴근무계획!$M$3:$R$202,$A179,$I$3)&amp;"",FIND(" ",INDEX(인턴근무계획!$M$3:$R$202,$A179,$I$3)&amp;"")-1))))</f>
        <v/>
      </c>
      <c r="J179" s="21">
        <f>IF(OR($C179="",$I$3=""),"",IF(INDEX(인턴근무계획!$M$3:$R$202,$A179,$I$3)&amp;""="","",IF(LEFT(INDEX(인턴근무계획!$M$3:$R$202,$A179,$I$3)&amp;"",1)="⚠","",MID(INDEX(인턴근무계획!$M$3:$R$202,$A179,$I$3)&amp;"",FIND(" ",INDEX(인턴근무계획!$M$3:$R$202,$A179,$I$3)&amp;"")+1,60))))</f>
        <v/>
      </c>
      <c r="K179" s="21">
        <f>IF($C179="","",INDEX(인턴근무계획!$M$3:$M$202,$A179)&amp;"")</f>
        <v/>
      </c>
      <c r="L179" s="21">
        <f>IF($C179="","",INDEX(인턴근무계획!$N$3:$N$202,$A179)&amp;"")</f>
        <v/>
      </c>
      <c r="M179" s="21">
        <f>IF($C179="","",INDEX(인턴근무계획!$O$3:$O$202,$A179)&amp;"")</f>
        <v/>
      </c>
      <c r="N179" s="21">
        <f>IF($C179="","",INDEX(인턴근무계획!$P$3:$P$202,$A179)&amp;"")</f>
        <v/>
      </c>
      <c r="O179" s="21">
        <f>IF($C179="","",INDEX(인턴근무계획!$Q$3:$Q$202,$A179)&amp;"")</f>
        <v/>
      </c>
      <c r="P179" s="21">
        <f>IF($C179="","",INDEX(인턴근무계획!$R$3:$R$202,$A179)&amp;"")</f>
        <v/>
      </c>
      <c r="Q179" s="21">
        <f>IF($C179="","",INDEX(인턴근무계획!$T$3:$T$202,$A179))</f>
        <v/>
      </c>
    </row>
    <row r="180">
      <c r="A180" s="24" t="n">
        <v>175</v>
      </c>
      <c r="B180" s="21">
        <f>IF($C180="","",INDEX(인턴근무계획!$B$3:$B$202,$A180))</f>
        <v/>
      </c>
      <c r="C180" s="21">
        <f>IFERROR(TRIM(INDEX(인턴근무계획!$C$3:$C$202,$A180)&amp;""),"")</f>
        <v/>
      </c>
      <c r="D180" s="21">
        <f>IF($C180="","",INDEX(인턴근무계획!$D$3:$D$202,$A180))</f>
        <v/>
      </c>
      <c r="E180" s="21">
        <f>IF($C180="","",IF(IFERROR(MATCH($D180,기본자료!$B$2:$B$501,0),IFERROR(MATCH($D180&amp;"",기본자료!$B$2:$B$501,0),IFERROR(MATCH(VALUE($D180),기본자료!$B$2:$B$501,0),0)))&gt;0,"확인","미등록"))</f>
        <v/>
      </c>
      <c r="F180" s="25">
        <f>IF($C180="","",INDEX(인턴근무계획!$S$3:$S$202,$A180))</f>
        <v/>
      </c>
      <c r="G180" s="21">
        <f>IF(OR($C180="",$G$3=""),"",IF(INDEX(인턴근무계획!$M$3:$R$202,$A180,$G$3)&amp;""="","",IF(LEFT(INDEX(인턴근무계획!$M$3:$R$202,$A180,$G$3)&amp;"",1)="⚠",INDEX(인턴근무계획!$M$3:$R$202,$A180,$G$3)&amp;"",LEFT(INDEX(인턴근무계획!$M$3:$R$202,$A180,$G$3)&amp;"",FIND(" ",INDEX(인턴근무계획!$M$3:$R$202,$A180,$G$3)&amp;"")-1))))</f>
        <v/>
      </c>
      <c r="H180" s="21">
        <f>IF(OR($C180="",$G$3=""),"",IF(INDEX(인턴근무계획!$M$3:$R$202,$A180,$G$3)&amp;""="","",IF(LEFT(INDEX(인턴근무계획!$M$3:$R$202,$A180,$G$3)&amp;"",1)="⚠","",MID(INDEX(인턴근무계획!$M$3:$R$202,$A180,$G$3)&amp;"",FIND(" ",INDEX(인턴근무계획!$M$3:$R$202,$A180,$G$3)&amp;"")+1,60))))</f>
        <v/>
      </c>
      <c r="I180" s="21">
        <f>IF(OR($C180="",$I$3=""),"",IF(INDEX(인턴근무계획!$M$3:$R$202,$A180,$I$3)&amp;""="","",IF(LEFT(INDEX(인턴근무계획!$M$3:$R$202,$A180,$I$3)&amp;"",1)="⚠",INDEX(인턴근무계획!$M$3:$R$202,$A180,$I$3)&amp;"",LEFT(INDEX(인턴근무계획!$M$3:$R$202,$A180,$I$3)&amp;"",FIND(" ",INDEX(인턴근무계획!$M$3:$R$202,$A180,$I$3)&amp;"")-1))))</f>
        <v/>
      </c>
      <c r="J180" s="21">
        <f>IF(OR($C180="",$I$3=""),"",IF(INDEX(인턴근무계획!$M$3:$R$202,$A180,$I$3)&amp;""="","",IF(LEFT(INDEX(인턴근무계획!$M$3:$R$202,$A180,$I$3)&amp;"",1)="⚠","",MID(INDEX(인턴근무계획!$M$3:$R$202,$A180,$I$3)&amp;"",FIND(" ",INDEX(인턴근무계획!$M$3:$R$202,$A180,$I$3)&amp;"")+1,60))))</f>
        <v/>
      </c>
      <c r="K180" s="21">
        <f>IF($C180="","",INDEX(인턴근무계획!$M$3:$M$202,$A180)&amp;"")</f>
        <v/>
      </c>
      <c r="L180" s="21">
        <f>IF($C180="","",INDEX(인턴근무계획!$N$3:$N$202,$A180)&amp;"")</f>
        <v/>
      </c>
      <c r="M180" s="21">
        <f>IF($C180="","",INDEX(인턴근무계획!$O$3:$O$202,$A180)&amp;"")</f>
        <v/>
      </c>
      <c r="N180" s="21">
        <f>IF($C180="","",INDEX(인턴근무계획!$P$3:$P$202,$A180)&amp;"")</f>
        <v/>
      </c>
      <c r="O180" s="21">
        <f>IF($C180="","",INDEX(인턴근무계획!$Q$3:$Q$202,$A180)&amp;"")</f>
        <v/>
      </c>
      <c r="P180" s="21">
        <f>IF($C180="","",INDEX(인턴근무계획!$R$3:$R$202,$A180)&amp;"")</f>
        <v/>
      </c>
      <c r="Q180" s="21">
        <f>IF($C180="","",INDEX(인턴근무계획!$T$3:$T$202,$A180))</f>
        <v/>
      </c>
    </row>
    <row r="181">
      <c r="A181" s="24" t="n">
        <v>176</v>
      </c>
      <c r="B181" s="21">
        <f>IF($C181="","",INDEX(인턴근무계획!$B$3:$B$202,$A181))</f>
        <v/>
      </c>
      <c r="C181" s="21">
        <f>IFERROR(TRIM(INDEX(인턴근무계획!$C$3:$C$202,$A181)&amp;""),"")</f>
        <v/>
      </c>
      <c r="D181" s="21">
        <f>IF($C181="","",INDEX(인턴근무계획!$D$3:$D$202,$A181))</f>
        <v/>
      </c>
      <c r="E181" s="21">
        <f>IF($C181="","",IF(IFERROR(MATCH($D181,기본자료!$B$2:$B$501,0),IFERROR(MATCH($D181&amp;"",기본자료!$B$2:$B$501,0),IFERROR(MATCH(VALUE($D181),기본자료!$B$2:$B$501,0),0)))&gt;0,"확인","미등록"))</f>
        <v/>
      </c>
      <c r="F181" s="25">
        <f>IF($C181="","",INDEX(인턴근무계획!$S$3:$S$202,$A181))</f>
        <v/>
      </c>
      <c r="G181" s="21">
        <f>IF(OR($C181="",$G$3=""),"",IF(INDEX(인턴근무계획!$M$3:$R$202,$A181,$G$3)&amp;""="","",IF(LEFT(INDEX(인턴근무계획!$M$3:$R$202,$A181,$G$3)&amp;"",1)="⚠",INDEX(인턴근무계획!$M$3:$R$202,$A181,$G$3)&amp;"",LEFT(INDEX(인턴근무계획!$M$3:$R$202,$A181,$G$3)&amp;"",FIND(" ",INDEX(인턴근무계획!$M$3:$R$202,$A181,$G$3)&amp;"")-1))))</f>
        <v/>
      </c>
      <c r="H181" s="21">
        <f>IF(OR($C181="",$G$3=""),"",IF(INDEX(인턴근무계획!$M$3:$R$202,$A181,$G$3)&amp;""="","",IF(LEFT(INDEX(인턴근무계획!$M$3:$R$202,$A181,$G$3)&amp;"",1)="⚠","",MID(INDEX(인턴근무계획!$M$3:$R$202,$A181,$G$3)&amp;"",FIND(" ",INDEX(인턴근무계획!$M$3:$R$202,$A181,$G$3)&amp;"")+1,60))))</f>
        <v/>
      </c>
      <c r="I181" s="21">
        <f>IF(OR($C181="",$I$3=""),"",IF(INDEX(인턴근무계획!$M$3:$R$202,$A181,$I$3)&amp;""="","",IF(LEFT(INDEX(인턴근무계획!$M$3:$R$202,$A181,$I$3)&amp;"",1)="⚠",INDEX(인턴근무계획!$M$3:$R$202,$A181,$I$3)&amp;"",LEFT(INDEX(인턴근무계획!$M$3:$R$202,$A181,$I$3)&amp;"",FIND(" ",INDEX(인턴근무계획!$M$3:$R$202,$A181,$I$3)&amp;"")-1))))</f>
        <v/>
      </c>
      <c r="J181" s="21">
        <f>IF(OR($C181="",$I$3=""),"",IF(INDEX(인턴근무계획!$M$3:$R$202,$A181,$I$3)&amp;""="","",IF(LEFT(INDEX(인턴근무계획!$M$3:$R$202,$A181,$I$3)&amp;"",1)="⚠","",MID(INDEX(인턴근무계획!$M$3:$R$202,$A181,$I$3)&amp;"",FIND(" ",INDEX(인턴근무계획!$M$3:$R$202,$A181,$I$3)&amp;"")+1,60))))</f>
        <v/>
      </c>
      <c r="K181" s="21">
        <f>IF($C181="","",INDEX(인턴근무계획!$M$3:$M$202,$A181)&amp;"")</f>
        <v/>
      </c>
      <c r="L181" s="21">
        <f>IF($C181="","",INDEX(인턴근무계획!$N$3:$N$202,$A181)&amp;"")</f>
        <v/>
      </c>
      <c r="M181" s="21">
        <f>IF($C181="","",INDEX(인턴근무계획!$O$3:$O$202,$A181)&amp;"")</f>
        <v/>
      </c>
      <c r="N181" s="21">
        <f>IF($C181="","",INDEX(인턴근무계획!$P$3:$P$202,$A181)&amp;"")</f>
        <v/>
      </c>
      <c r="O181" s="21">
        <f>IF($C181="","",INDEX(인턴근무계획!$Q$3:$Q$202,$A181)&amp;"")</f>
        <v/>
      </c>
      <c r="P181" s="21">
        <f>IF($C181="","",INDEX(인턴근무계획!$R$3:$R$202,$A181)&amp;"")</f>
        <v/>
      </c>
      <c r="Q181" s="21">
        <f>IF($C181="","",INDEX(인턴근무계획!$T$3:$T$202,$A181))</f>
        <v/>
      </c>
    </row>
    <row r="182">
      <c r="A182" s="24" t="n">
        <v>177</v>
      </c>
      <c r="B182" s="21">
        <f>IF($C182="","",INDEX(인턴근무계획!$B$3:$B$202,$A182))</f>
        <v/>
      </c>
      <c r="C182" s="21">
        <f>IFERROR(TRIM(INDEX(인턴근무계획!$C$3:$C$202,$A182)&amp;""),"")</f>
        <v/>
      </c>
      <c r="D182" s="21">
        <f>IF($C182="","",INDEX(인턴근무계획!$D$3:$D$202,$A182))</f>
        <v/>
      </c>
      <c r="E182" s="21">
        <f>IF($C182="","",IF(IFERROR(MATCH($D182,기본자료!$B$2:$B$501,0),IFERROR(MATCH($D182&amp;"",기본자료!$B$2:$B$501,0),IFERROR(MATCH(VALUE($D182),기본자료!$B$2:$B$501,0),0)))&gt;0,"확인","미등록"))</f>
        <v/>
      </c>
      <c r="F182" s="25">
        <f>IF($C182="","",INDEX(인턴근무계획!$S$3:$S$202,$A182))</f>
        <v/>
      </c>
      <c r="G182" s="21">
        <f>IF(OR($C182="",$G$3=""),"",IF(INDEX(인턴근무계획!$M$3:$R$202,$A182,$G$3)&amp;""="","",IF(LEFT(INDEX(인턴근무계획!$M$3:$R$202,$A182,$G$3)&amp;"",1)="⚠",INDEX(인턴근무계획!$M$3:$R$202,$A182,$G$3)&amp;"",LEFT(INDEX(인턴근무계획!$M$3:$R$202,$A182,$G$3)&amp;"",FIND(" ",INDEX(인턴근무계획!$M$3:$R$202,$A182,$G$3)&amp;"")-1))))</f>
        <v/>
      </c>
      <c r="H182" s="21">
        <f>IF(OR($C182="",$G$3=""),"",IF(INDEX(인턴근무계획!$M$3:$R$202,$A182,$G$3)&amp;""="","",IF(LEFT(INDEX(인턴근무계획!$M$3:$R$202,$A182,$G$3)&amp;"",1)="⚠","",MID(INDEX(인턴근무계획!$M$3:$R$202,$A182,$G$3)&amp;"",FIND(" ",INDEX(인턴근무계획!$M$3:$R$202,$A182,$G$3)&amp;"")+1,60))))</f>
        <v/>
      </c>
      <c r="I182" s="21">
        <f>IF(OR($C182="",$I$3=""),"",IF(INDEX(인턴근무계획!$M$3:$R$202,$A182,$I$3)&amp;""="","",IF(LEFT(INDEX(인턴근무계획!$M$3:$R$202,$A182,$I$3)&amp;"",1)="⚠",INDEX(인턴근무계획!$M$3:$R$202,$A182,$I$3)&amp;"",LEFT(INDEX(인턴근무계획!$M$3:$R$202,$A182,$I$3)&amp;"",FIND(" ",INDEX(인턴근무계획!$M$3:$R$202,$A182,$I$3)&amp;"")-1))))</f>
        <v/>
      </c>
      <c r="J182" s="21">
        <f>IF(OR($C182="",$I$3=""),"",IF(INDEX(인턴근무계획!$M$3:$R$202,$A182,$I$3)&amp;""="","",IF(LEFT(INDEX(인턴근무계획!$M$3:$R$202,$A182,$I$3)&amp;"",1)="⚠","",MID(INDEX(인턴근무계획!$M$3:$R$202,$A182,$I$3)&amp;"",FIND(" ",INDEX(인턴근무계획!$M$3:$R$202,$A182,$I$3)&amp;"")+1,60))))</f>
        <v/>
      </c>
      <c r="K182" s="21">
        <f>IF($C182="","",INDEX(인턴근무계획!$M$3:$M$202,$A182)&amp;"")</f>
        <v/>
      </c>
      <c r="L182" s="21">
        <f>IF($C182="","",INDEX(인턴근무계획!$N$3:$N$202,$A182)&amp;"")</f>
        <v/>
      </c>
      <c r="M182" s="21">
        <f>IF($C182="","",INDEX(인턴근무계획!$O$3:$O$202,$A182)&amp;"")</f>
        <v/>
      </c>
      <c r="N182" s="21">
        <f>IF($C182="","",INDEX(인턴근무계획!$P$3:$P$202,$A182)&amp;"")</f>
        <v/>
      </c>
      <c r="O182" s="21">
        <f>IF($C182="","",INDEX(인턴근무계획!$Q$3:$Q$202,$A182)&amp;"")</f>
        <v/>
      </c>
      <c r="P182" s="21">
        <f>IF($C182="","",INDEX(인턴근무계획!$R$3:$R$202,$A182)&amp;"")</f>
        <v/>
      </c>
      <c r="Q182" s="21">
        <f>IF($C182="","",INDEX(인턴근무계획!$T$3:$T$202,$A182))</f>
        <v/>
      </c>
    </row>
    <row r="183">
      <c r="A183" s="24" t="n">
        <v>178</v>
      </c>
      <c r="B183" s="21">
        <f>IF($C183="","",INDEX(인턴근무계획!$B$3:$B$202,$A183))</f>
        <v/>
      </c>
      <c r="C183" s="21">
        <f>IFERROR(TRIM(INDEX(인턴근무계획!$C$3:$C$202,$A183)&amp;""),"")</f>
        <v/>
      </c>
      <c r="D183" s="21">
        <f>IF($C183="","",INDEX(인턴근무계획!$D$3:$D$202,$A183))</f>
        <v/>
      </c>
      <c r="E183" s="21">
        <f>IF($C183="","",IF(IFERROR(MATCH($D183,기본자료!$B$2:$B$501,0),IFERROR(MATCH($D183&amp;"",기본자료!$B$2:$B$501,0),IFERROR(MATCH(VALUE($D183),기본자료!$B$2:$B$501,0),0)))&gt;0,"확인","미등록"))</f>
        <v/>
      </c>
      <c r="F183" s="25">
        <f>IF($C183="","",INDEX(인턴근무계획!$S$3:$S$202,$A183))</f>
        <v/>
      </c>
      <c r="G183" s="21">
        <f>IF(OR($C183="",$G$3=""),"",IF(INDEX(인턴근무계획!$M$3:$R$202,$A183,$G$3)&amp;""="","",IF(LEFT(INDEX(인턴근무계획!$M$3:$R$202,$A183,$G$3)&amp;"",1)="⚠",INDEX(인턴근무계획!$M$3:$R$202,$A183,$G$3)&amp;"",LEFT(INDEX(인턴근무계획!$M$3:$R$202,$A183,$G$3)&amp;"",FIND(" ",INDEX(인턴근무계획!$M$3:$R$202,$A183,$G$3)&amp;"")-1))))</f>
        <v/>
      </c>
      <c r="H183" s="21">
        <f>IF(OR($C183="",$G$3=""),"",IF(INDEX(인턴근무계획!$M$3:$R$202,$A183,$G$3)&amp;""="","",IF(LEFT(INDEX(인턴근무계획!$M$3:$R$202,$A183,$G$3)&amp;"",1)="⚠","",MID(INDEX(인턴근무계획!$M$3:$R$202,$A183,$G$3)&amp;"",FIND(" ",INDEX(인턴근무계획!$M$3:$R$202,$A183,$G$3)&amp;"")+1,60))))</f>
        <v/>
      </c>
      <c r="I183" s="21">
        <f>IF(OR($C183="",$I$3=""),"",IF(INDEX(인턴근무계획!$M$3:$R$202,$A183,$I$3)&amp;""="","",IF(LEFT(INDEX(인턴근무계획!$M$3:$R$202,$A183,$I$3)&amp;"",1)="⚠",INDEX(인턴근무계획!$M$3:$R$202,$A183,$I$3)&amp;"",LEFT(INDEX(인턴근무계획!$M$3:$R$202,$A183,$I$3)&amp;"",FIND(" ",INDEX(인턴근무계획!$M$3:$R$202,$A183,$I$3)&amp;"")-1))))</f>
        <v/>
      </c>
      <c r="J183" s="21">
        <f>IF(OR($C183="",$I$3=""),"",IF(INDEX(인턴근무계획!$M$3:$R$202,$A183,$I$3)&amp;""="","",IF(LEFT(INDEX(인턴근무계획!$M$3:$R$202,$A183,$I$3)&amp;"",1)="⚠","",MID(INDEX(인턴근무계획!$M$3:$R$202,$A183,$I$3)&amp;"",FIND(" ",INDEX(인턴근무계획!$M$3:$R$202,$A183,$I$3)&amp;"")+1,60))))</f>
        <v/>
      </c>
      <c r="K183" s="21">
        <f>IF($C183="","",INDEX(인턴근무계획!$M$3:$M$202,$A183)&amp;"")</f>
        <v/>
      </c>
      <c r="L183" s="21">
        <f>IF($C183="","",INDEX(인턴근무계획!$N$3:$N$202,$A183)&amp;"")</f>
        <v/>
      </c>
      <c r="M183" s="21">
        <f>IF($C183="","",INDEX(인턴근무계획!$O$3:$O$202,$A183)&amp;"")</f>
        <v/>
      </c>
      <c r="N183" s="21">
        <f>IF($C183="","",INDEX(인턴근무계획!$P$3:$P$202,$A183)&amp;"")</f>
        <v/>
      </c>
      <c r="O183" s="21">
        <f>IF($C183="","",INDEX(인턴근무계획!$Q$3:$Q$202,$A183)&amp;"")</f>
        <v/>
      </c>
      <c r="P183" s="21">
        <f>IF($C183="","",INDEX(인턴근무계획!$R$3:$R$202,$A183)&amp;"")</f>
        <v/>
      </c>
      <c r="Q183" s="21">
        <f>IF($C183="","",INDEX(인턴근무계획!$T$3:$T$202,$A183))</f>
        <v/>
      </c>
    </row>
    <row r="184">
      <c r="A184" s="24" t="n">
        <v>179</v>
      </c>
      <c r="B184" s="21">
        <f>IF($C184="","",INDEX(인턴근무계획!$B$3:$B$202,$A184))</f>
        <v/>
      </c>
      <c r="C184" s="21">
        <f>IFERROR(TRIM(INDEX(인턴근무계획!$C$3:$C$202,$A184)&amp;""),"")</f>
        <v/>
      </c>
      <c r="D184" s="21">
        <f>IF($C184="","",INDEX(인턴근무계획!$D$3:$D$202,$A184))</f>
        <v/>
      </c>
      <c r="E184" s="21">
        <f>IF($C184="","",IF(IFERROR(MATCH($D184,기본자료!$B$2:$B$501,0),IFERROR(MATCH($D184&amp;"",기본자료!$B$2:$B$501,0),IFERROR(MATCH(VALUE($D184),기본자료!$B$2:$B$501,0),0)))&gt;0,"확인","미등록"))</f>
        <v/>
      </c>
      <c r="F184" s="25">
        <f>IF($C184="","",INDEX(인턴근무계획!$S$3:$S$202,$A184))</f>
        <v/>
      </c>
      <c r="G184" s="21">
        <f>IF(OR($C184="",$G$3=""),"",IF(INDEX(인턴근무계획!$M$3:$R$202,$A184,$G$3)&amp;""="","",IF(LEFT(INDEX(인턴근무계획!$M$3:$R$202,$A184,$G$3)&amp;"",1)="⚠",INDEX(인턴근무계획!$M$3:$R$202,$A184,$G$3)&amp;"",LEFT(INDEX(인턴근무계획!$M$3:$R$202,$A184,$G$3)&amp;"",FIND(" ",INDEX(인턴근무계획!$M$3:$R$202,$A184,$G$3)&amp;"")-1))))</f>
        <v/>
      </c>
      <c r="H184" s="21">
        <f>IF(OR($C184="",$G$3=""),"",IF(INDEX(인턴근무계획!$M$3:$R$202,$A184,$G$3)&amp;""="","",IF(LEFT(INDEX(인턴근무계획!$M$3:$R$202,$A184,$G$3)&amp;"",1)="⚠","",MID(INDEX(인턴근무계획!$M$3:$R$202,$A184,$G$3)&amp;"",FIND(" ",INDEX(인턴근무계획!$M$3:$R$202,$A184,$G$3)&amp;"")+1,60))))</f>
        <v/>
      </c>
      <c r="I184" s="21">
        <f>IF(OR($C184="",$I$3=""),"",IF(INDEX(인턴근무계획!$M$3:$R$202,$A184,$I$3)&amp;""="","",IF(LEFT(INDEX(인턴근무계획!$M$3:$R$202,$A184,$I$3)&amp;"",1)="⚠",INDEX(인턴근무계획!$M$3:$R$202,$A184,$I$3)&amp;"",LEFT(INDEX(인턴근무계획!$M$3:$R$202,$A184,$I$3)&amp;"",FIND(" ",INDEX(인턴근무계획!$M$3:$R$202,$A184,$I$3)&amp;"")-1))))</f>
        <v/>
      </c>
      <c r="J184" s="21">
        <f>IF(OR($C184="",$I$3=""),"",IF(INDEX(인턴근무계획!$M$3:$R$202,$A184,$I$3)&amp;""="","",IF(LEFT(INDEX(인턴근무계획!$M$3:$R$202,$A184,$I$3)&amp;"",1)="⚠","",MID(INDEX(인턴근무계획!$M$3:$R$202,$A184,$I$3)&amp;"",FIND(" ",INDEX(인턴근무계획!$M$3:$R$202,$A184,$I$3)&amp;"")+1,60))))</f>
        <v/>
      </c>
      <c r="K184" s="21">
        <f>IF($C184="","",INDEX(인턴근무계획!$M$3:$M$202,$A184)&amp;"")</f>
        <v/>
      </c>
      <c r="L184" s="21">
        <f>IF($C184="","",INDEX(인턴근무계획!$N$3:$N$202,$A184)&amp;"")</f>
        <v/>
      </c>
      <c r="M184" s="21">
        <f>IF($C184="","",INDEX(인턴근무계획!$O$3:$O$202,$A184)&amp;"")</f>
        <v/>
      </c>
      <c r="N184" s="21">
        <f>IF($C184="","",INDEX(인턴근무계획!$P$3:$P$202,$A184)&amp;"")</f>
        <v/>
      </c>
      <c r="O184" s="21">
        <f>IF($C184="","",INDEX(인턴근무계획!$Q$3:$Q$202,$A184)&amp;"")</f>
        <v/>
      </c>
      <c r="P184" s="21">
        <f>IF($C184="","",INDEX(인턴근무계획!$R$3:$R$202,$A184)&amp;"")</f>
        <v/>
      </c>
      <c r="Q184" s="21">
        <f>IF($C184="","",INDEX(인턴근무계획!$T$3:$T$202,$A184))</f>
        <v/>
      </c>
    </row>
    <row r="185">
      <c r="A185" s="24" t="n">
        <v>180</v>
      </c>
      <c r="B185" s="21">
        <f>IF($C185="","",INDEX(인턴근무계획!$B$3:$B$202,$A185))</f>
        <v/>
      </c>
      <c r="C185" s="21">
        <f>IFERROR(TRIM(INDEX(인턴근무계획!$C$3:$C$202,$A185)&amp;""),"")</f>
        <v/>
      </c>
      <c r="D185" s="21">
        <f>IF($C185="","",INDEX(인턴근무계획!$D$3:$D$202,$A185))</f>
        <v/>
      </c>
      <c r="E185" s="21">
        <f>IF($C185="","",IF(IFERROR(MATCH($D185,기본자료!$B$2:$B$501,0),IFERROR(MATCH($D185&amp;"",기본자료!$B$2:$B$501,0),IFERROR(MATCH(VALUE($D185),기본자료!$B$2:$B$501,0),0)))&gt;0,"확인","미등록"))</f>
        <v/>
      </c>
      <c r="F185" s="25">
        <f>IF($C185="","",INDEX(인턴근무계획!$S$3:$S$202,$A185))</f>
        <v/>
      </c>
      <c r="G185" s="21">
        <f>IF(OR($C185="",$G$3=""),"",IF(INDEX(인턴근무계획!$M$3:$R$202,$A185,$G$3)&amp;""="","",IF(LEFT(INDEX(인턴근무계획!$M$3:$R$202,$A185,$G$3)&amp;"",1)="⚠",INDEX(인턴근무계획!$M$3:$R$202,$A185,$G$3)&amp;"",LEFT(INDEX(인턴근무계획!$M$3:$R$202,$A185,$G$3)&amp;"",FIND(" ",INDEX(인턴근무계획!$M$3:$R$202,$A185,$G$3)&amp;"")-1))))</f>
        <v/>
      </c>
      <c r="H185" s="21">
        <f>IF(OR($C185="",$G$3=""),"",IF(INDEX(인턴근무계획!$M$3:$R$202,$A185,$G$3)&amp;""="","",IF(LEFT(INDEX(인턴근무계획!$M$3:$R$202,$A185,$G$3)&amp;"",1)="⚠","",MID(INDEX(인턴근무계획!$M$3:$R$202,$A185,$G$3)&amp;"",FIND(" ",INDEX(인턴근무계획!$M$3:$R$202,$A185,$G$3)&amp;"")+1,60))))</f>
        <v/>
      </c>
      <c r="I185" s="21">
        <f>IF(OR($C185="",$I$3=""),"",IF(INDEX(인턴근무계획!$M$3:$R$202,$A185,$I$3)&amp;""="","",IF(LEFT(INDEX(인턴근무계획!$M$3:$R$202,$A185,$I$3)&amp;"",1)="⚠",INDEX(인턴근무계획!$M$3:$R$202,$A185,$I$3)&amp;"",LEFT(INDEX(인턴근무계획!$M$3:$R$202,$A185,$I$3)&amp;"",FIND(" ",INDEX(인턴근무계획!$M$3:$R$202,$A185,$I$3)&amp;"")-1))))</f>
        <v/>
      </c>
      <c r="J185" s="21">
        <f>IF(OR($C185="",$I$3=""),"",IF(INDEX(인턴근무계획!$M$3:$R$202,$A185,$I$3)&amp;""="","",IF(LEFT(INDEX(인턴근무계획!$M$3:$R$202,$A185,$I$3)&amp;"",1)="⚠","",MID(INDEX(인턴근무계획!$M$3:$R$202,$A185,$I$3)&amp;"",FIND(" ",INDEX(인턴근무계획!$M$3:$R$202,$A185,$I$3)&amp;"")+1,60))))</f>
        <v/>
      </c>
      <c r="K185" s="21">
        <f>IF($C185="","",INDEX(인턴근무계획!$M$3:$M$202,$A185)&amp;"")</f>
        <v/>
      </c>
      <c r="L185" s="21">
        <f>IF($C185="","",INDEX(인턴근무계획!$N$3:$N$202,$A185)&amp;"")</f>
        <v/>
      </c>
      <c r="M185" s="21">
        <f>IF($C185="","",INDEX(인턴근무계획!$O$3:$O$202,$A185)&amp;"")</f>
        <v/>
      </c>
      <c r="N185" s="21">
        <f>IF($C185="","",INDEX(인턴근무계획!$P$3:$P$202,$A185)&amp;"")</f>
        <v/>
      </c>
      <c r="O185" s="21">
        <f>IF($C185="","",INDEX(인턴근무계획!$Q$3:$Q$202,$A185)&amp;"")</f>
        <v/>
      </c>
      <c r="P185" s="21">
        <f>IF($C185="","",INDEX(인턴근무계획!$R$3:$R$202,$A185)&amp;"")</f>
        <v/>
      </c>
      <c r="Q185" s="21">
        <f>IF($C185="","",INDEX(인턴근무계획!$T$3:$T$202,$A185))</f>
        <v/>
      </c>
    </row>
    <row r="186">
      <c r="A186" s="24" t="n">
        <v>181</v>
      </c>
      <c r="B186" s="21">
        <f>IF($C186="","",INDEX(인턴근무계획!$B$3:$B$202,$A186))</f>
        <v/>
      </c>
      <c r="C186" s="21">
        <f>IFERROR(TRIM(INDEX(인턴근무계획!$C$3:$C$202,$A186)&amp;""),"")</f>
        <v/>
      </c>
      <c r="D186" s="21">
        <f>IF($C186="","",INDEX(인턴근무계획!$D$3:$D$202,$A186))</f>
        <v/>
      </c>
      <c r="E186" s="21">
        <f>IF($C186="","",IF(IFERROR(MATCH($D186,기본자료!$B$2:$B$501,0),IFERROR(MATCH($D186&amp;"",기본자료!$B$2:$B$501,0),IFERROR(MATCH(VALUE($D186),기본자료!$B$2:$B$501,0),0)))&gt;0,"확인","미등록"))</f>
        <v/>
      </c>
      <c r="F186" s="25">
        <f>IF($C186="","",INDEX(인턴근무계획!$S$3:$S$202,$A186))</f>
        <v/>
      </c>
      <c r="G186" s="21">
        <f>IF(OR($C186="",$G$3=""),"",IF(INDEX(인턴근무계획!$M$3:$R$202,$A186,$G$3)&amp;""="","",IF(LEFT(INDEX(인턴근무계획!$M$3:$R$202,$A186,$G$3)&amp;"",1)="⚠",INDEX(인턴근무계획!$M$3:$R$202,$A186,$G$3)&amp;"",LEFT(INDEX(인턴근무계획!$M$3:$R$202,$A186,$G$3)&amp;"",FIND(" ",INDEX(인턴근무계획!$M$3:$R$202,$A186,$G$3)&amp;"")-1))))</f>
        <v/>
      </c>
      <c r="H186" s="21">
        <f>IF(OR($C186="",$G$3=""),"",IF(INDEX(인턴근무계획!$M$3:$R$202,$A186,$G$3)&amp;""="","",IF(LEFT(INDEX(인턴근무계획!$M$3:$R$202,$A186,$G$3)&amp;"",1)="⚠","",MID(INDEX(인턴근무계획!$M$3:$R$202,$A186,$G$3)&amp;"",FIND(" ",INDEX(인턴근무계획!$M$3:$R$202,$A186,$G$3)&amp;"")+1,60))))</f>
        <v/>
      </c>
      <c r="I186" s="21">
        <f>IF(OR($C186="",$I$3=""),"",IF(INDEX(인턴근무계획!$M$3:$R$202,$A186,$I$3)&amp;""="","",IF(LEFT(INDEX(인턴근무계획!$M$3:$R$202,$A186,$I$3)&amp;"",1)="⚠",INDEX(인턴근무계획!$M$3:$R$202,$A186,$I$3)&amp;"",LEFT(INDEX(인턴근무계획!$M$3:$R$202,$A186,$I$3)&amp;"",FIND(" ",INDEX(인턴근무계획!$M$3:$R$202,$A186,$I$3)&amp;"")-1))))</f>
        <v/>
      </c>
      <c r="J186" s="21">
        <f>IF(OR($C186="",$I$3=""),"",IF(INDEX(인턴근무계획!$M$3:$R$202,$A186,$I$3)&amp;""="","",IF(LEFT(INDEX(인턴근무계획!$M$3:$R$202,$A186,$I$3)&amp;"",1)="⚠","",MID(INDEX(인턴근무계획!$M$3:$R$202,$A186,$I$3)&amp;"",FIND(" ",INDEX(인턴근무계획!$M$3:$R$202,$A186,$I$3)&amp;"")+1,60))))</f>
        <v/>
      </c>
      <c r="K186" s="21">
        <f>IF($C186="","",INDEX(인턴근무계획!$M$3:$M$202,$A186)&amp;"")</f>
        <v/>
      </c>
      <c r="L186" s="21">
        <f>IF($C186="","",INDEX(인턴근무계획!$N$3:$N$202,$A186)&amp;"")</f>
        <v/>
      </c>
      <c r="M186" s="21">
        <f>IF($C186="","",INDEX(인턴근무계획!$O$3:$O$202,$A186)&amp;"")</f>
        <v/>
      </c>
      <c r="N186" s="21">
        <f>IF($C186="","",INDEX(인턴근무계획!$P$3:$P$202,$A186)&amp;"")</f>
        <v/>
      </c>
      <c r="O186" s="21">
        <f>IF($C186="","",INDEX(인턴근무계획!$Q$3:$Q$202,$A186)&amp;"")</f>
        <v/>
      </c>
      <c r="P186" s="21">
        <f>IF($C186="","",INDEX(인턴근무계획!$R$3:$R$202,$A186)&amp;"")</f>
        <v/>
      </c>
      <c r="Q186" s="21">
        <f>IF($C186="","",INDEX(인턴근무계획!$T$3:$T$202,$A186))</f>
        <v/>
      </c>
    </row>
    <row r="187">
      <c r="A187" s="24" t="n">
        <v>182</v>
      </c>
      <c r="B187" s="21">
        <f>IF($C187="","",INDEX(인턴근무계획!$B$3:$B$202,$A187))</f>
        <v/>
      </c>
      <c r="C187" s="21">
        <f>IFERROR(TRIM(INDEX(인턴근무계획!$C$3:$C$202,$A187)&amp;""),"")</f>
        <v/>
      </c>
      <c r="D187" s="21">
        <f>IF($C187="","",INDEX(인턴근무계획!$D$3:$D$202,$A187))</f>
        <v/>
      </c>
      <c r="E187" s="21">
        <f>IF($C187="","",IF(IFERROR(MATCH($D187,기본자료!$B$2:$B$501,0),IFERROR(MATCH($D187&amp;"",기본자료!$B$2:$B$501,0),IFERROR(MATCH(VALUE($D187),기본자료!$B$2:$B$501,0),0)))&gt;0,"확인","미등록"))</f>
        <v/>
      </c>
      <c r="F187" s="25">
        <f>IF($C187="","",INDEX(인턴근무계획!$S$3:$S$202,$A187))</f>
        <v/>
      </c>
      <c r="G187" s="21">
        <f>IF(OR($C187="",$G$3=""),"",IF(INDEX(인턴근무계획!$M$3:$R$202,$A187,$G$3)&amp;""="","",IF(LEFT(INDEX(인턴근무계획!$M$3:$R$202,$A187,$G$3)&amp;"",1)="⚠",INDEX(인턴근무계획!$M$3:$R$202,$A187,$G$3)&amp;"",LEFT(INDEX(인턴근무계획!$M$3:$R$202,$A187,$G$3)&amp;"",FIND(" ",INDEX(인턴근무계획!$M$3:$R$202,$A187,$G$3)&amp;"")-1))))</f>
        <v/>
      </c>
      <c r="H187" s="21">
        <f>IF(OR($C187="",$G$3=""),"",IF(INDEX(인턴근무계획!$M$3:$R$202,$A187,$G$3)&amp;""="","",IF(LEFT(INDEX(인턴근무계획!$M$3:$R$202,$A187,$G$3)&amp;"",1)="⚠","",MID(INDEX(인턴근무계획!$M$3:$R$202,$A187,$G$3)&amp;"",FIND(" ",INDEX(인턴근무계획!$M$3:$R$202,$A187,$G$3)&amp;"")+1,60))))</f>
        <v/>
      </c>
      <c r="I187" s="21">
        <f>IF(OR($C187="",$I$3=""),"",IF(INDEX(인턴근무계획!$M$3:$R$202,$A187,$I$3)&amp;""="","",IF(LEFT(INDEX(인턴근무계획!$M$3:$R$202,$A187,$I$3)&amp;"",1)="⚠",INDEX(인턴근무계획!$M$3:$R$202,$A187,$I$3)&amp;"",LEFT(INDEX(인턴근무계획!$M$3:$R$202,$A187,$I$3)&amp;"",FIND(" ",INDEX(인턴근무계획!$M$3:$R$202,$A187,$I$3)&amp;"")-1))))</f>
        <v/>
      </c>
      <c r="J187" s="21">
        <f>IF(OR($C187="",$I$3=""),"",IF(INDEX(인턴근무계획!$M$3:$R$202,$A187,$I$3)&amp;""="","",IF(LEFT(INDEX(인턴근무계획!$M$3:$R$202,$A187,$I$3)&amp;"",1)="⚠","",MID(INDEX(인턴근무계획!$M$3:$R$202,$A187,$I$3)&amp;"",FIND(" ",INDEX(인턴근무계획!$M$3:$R$202,$A187,$I$3)&amp;"")+1,60))))</f>
        <v/>
      </c>
      <c r="K187" s="21">
        <f>IF($C187="","",INDEX(인턴근무계획!$M$3:$M$202,$A187)&amp;"")</f>
        <v/>
      </c>
      <c r="L187" s="21">
        <f>IF($C187="","",INDEX(인턴근무계획!$N$3:$N$202,$A187)&amp;"")</f>
        <v/>
      </c>
      <c r="M187" s="21">
        <f>IF($C187="","",INDEX(인턴근무계획!$O$3:$O$202,$A187)&amp;"")</f>
        <v/>
      </c>
      <c r="N187" s="21">
        <f>IF($C187="","",INDEX(인턴근무계획!$P$3:$P$202,$A187)&amp;"")</f>
        <v/>
      </c>
      <c r="O187" s="21">
        <f>IF($C187="","",INDEX(인턴근무계획!$Q$3:$Q$202,$A187)&amp;"")</f>
        <v/>
      </c>
      <c r="P187" s="21">
        <f>IF($C187="","",INDEX(인턴근무계획!$R$3:$R$202,$A187)&amp;"")</f>
        <v/>
      </c>
      <c r="Q187" s="21">
        <f>IF($C187="","",INDEX(인턴근무계획!$T$3:$T$202,$A187))</f>
        <v/>
      </c>
    </row>
    <row r="188">
      <c r="A188" s="24" t="n">
        <v>183</v>
      </c>
      <c r="B188" s="21">
        <f>IF($C188="","",INDEX(인턴근무계획!$B$3:$B$202,$A188))</f>
        <v/>
      </c>
      <c r="C188" s="21">
        <f>IFERROR(TRIM(INDEX(인턴근무계획!$C$3:$C$202,$A188)&amp;""),"")</f>
        <v/>
      </c>
      <c r="D188" s="21">
        <f>IF($C188="","",INDEX(인턴근무계획!$D$3:$D$202,$A188))</f>
        <v/>
      </c>
      <c r="E188" s="21">
        <f>IF($C188="","",IF(IFERROR(MATCH($D188,기본자료!$B$2:$B$501,0),IFERROR(MATCH($D188&amp;"",기본자료!$B$2:$B$501,0),IFERROR(MATCH(VALUE($D188),기본자료!$B$2:$B$501,0),0)))&gt;0,"확인","미등록"))</f>
        <v/>
      </c>
      <c r="F188" s="25">
        <f>IF($C188="","",INDEX(인턴근무계획!$S$3:$S$202,$A188))</f>
        <v/>
      </c>
      <c r="G188" s="21">
        <f>IF(OR($C188="",$G$3=""),"",IF(INDEX(인턴근무계획!$M$3:$R$202,$A188,$G$3)&amp;""="","",IF(LEFT(INDEX(인턴근무계획!$M$3:$R$202,$A188,$G$3)&amp;"",1)="⚠",INDEX(인턴근무계획!$M$3:$R$202,$A188,$G$3)&amp;"",LEFT(INDEX(인턴근무계획!$M$3:$R$202,$A188,$G$3)&amp;"",FIND(" ",INDEX(인턴근무계획!$M$3:$R$202,$A188,$G$3)&amp;"")-1))))</f>
        <v/>
      </c>
      <c r="H188" s="21">
        <f>IF(OR($C188="",$G$3=""),"",IF(INDEX(인턴근무계획!$M$3:$R$202,$A188,$G$3)&amp;""="","",IF(LEFT(INDEX(인턴근무계획!$M$3:$R$202,$A188,$G$3)&amp;"",1)="⚠","",MID(INDEX(인턴근무계획!$M$3:$R$202,$A188,$G$3)&amp;"",FIND(" ",INDEX(인턴근무계획!$M$3:$R$202,$A188,$G$3)&amp;"")+1,60))))</f>
        <v/>
      </c>
      <c r="I188" s="21">
        <f>IF(OR($C188="",$I$3=""),"",IF(INDEX(인턴근무계획!$M$3:$R$202,$A188,$I$3)&amp;""="","",IF(LEFT(INDEX(인턴근무계획!$M$3:$R$202,$A188,$I$3)&amp;"",1)="⚠",INDEX(인턴근무계획!$M$3:$R$202,$A188,$I$3)&amp;"",LEFT(INDEX(인턴근무계획!$M$3:$R$202,$A188,$I$3)&amp;"",FIND(" ",INDEX(인턴근무계획!$M$3:$R$202,$A188,$I$3)&amp;"")-1))))</f>
        <v/>
      </c>
      <c r="J188" s="21">
        <f>IF(OR($C188="",$I$3=""),"",IF(INDEX(인턴근무계획!$M$3:$R$202,$A188,$I$3)&amp;""="","",IF(LEFT(INDEX(인턴근무계획!$M$3:$R$202,$A188,$I$3)&amp;"",1)="⚠","",MID(INDEX(인턴근무계획!$M$3:$R$202,$A188,$I$3)&amp;"",FIND(" ",INDEX(인턴근무계획!$M$3:$R$202,$A188,$I$3)&amp;"")+1,60))))</f>
        <v/>
      </c>
      <c r="K188" s="21">
        <f>IF($C188="","",INDEX(인턴근무계획!$M$3:$M$202,$A188)&amp;"")</f>
        <v/>
      </c>
      <c r="L188" s="21">
        <f>IF($C188="","",INDEX(인턴근무계획!$N$3:$N$202,$A188)&amp;"")</f>
        <v/>
      </c>
      <c r="M188" s="21">
        <f>IF($C188="","",INDEX(인턴근무계획!$O$3:$O$202,$A188)&amp;"")</f>
        <v/>
      </c>
      <c r="N188" s="21">
        <f>IF($C188="","",INDEX(인턴근무계획!$P$3:$P$202,$A188)&amp;"")</f>
        <v/>
      </c>
      <c r="O188" s="21">
        <f>IF($C188="","",INDEX(인턴근무계획!$Q$3:$Q$202,$A188)&amp;"")</f>
        <v/>
      </c>
      <c r="P188" s="21">
        <f>IF($C188="","",INDEX(인턴근무계획!$R$3:$R$202,$A188)&amp;"")</f>
        <v/>
      </c>
      <c r="Q188" s="21">
        <f>IF($C188="","",INDEX(인턴근무계획!$T$3:$T$202,$A188))</f>
        <v/>
      </c>
    </row>
    <row r="189">
      <c r="A189" s="24" t="n">
        <v>184</v>
      </c>
      <c r="B189" s="21">
        <f>IF($C189="","",INDEX(인턴근무계획!$B$3:$B$202,$A189))</f>
        <v/>
      </c>
      <c r="C189" s="21">
        <f>IFERROR(TRIM(INDEX(인턴근무계획!$C$3:$C$202,$A189)&amp;""),"")</f>
        <v/>
      </c>
      <c r="D189" s="21">
        <f>IF($C189="","",INDEX(인턴근무계획!$D$3:$D$202,$A189))</f>
        <v/>
      </c>
      <c r="E189" s="21">
        <f>IF($C189="","",IF(IFERROR(MATCH($D189,기본자료!$B$2:$B$501,0),IFERROR(MATCH($D189&amp;"",기본자료!$B$2:$B$501,0),IFERROR(MATCH(VALUE($D189),기본자료!$B$2:$B$501,0),0)))&gt;0,"확인","미등록"))</f>
        <v/>
      </c>
      <c r="F189" s="25">
        <f>IF($C189="","",INDEX(인턴근무계획!$S$3:$S$202,$A189))</f>
        <v/>
      </c>
      <c r="G189" s="21">
        <f>IF(OR($C189="",$G$3=""),"",IF(INDEX(인턴근무계획!$M$3:$R$202,$A189,$G$3)&amp;""="","",IF(LEFT(INDEX(인턴근무계획!$M$3:$R$202,$A189,$G$3)&amp;"",1)="⚠",INDEX(인턴근무계획!$M$3:$R$202,$A189,$G$3)&amp;"",LEFT(INDEX(인턴근무계획!$M$3:$R$202,$A189,$G$3)&amp;"",FIND(" ",INDEX(인턴근무계획!$M$3:$R$202,$A189,$G$3)&amp;"")-1))))</f>
        <v/>
      </c>
      <c r="H189" s="21">
        <f>IF(OR($C189="",$G$3=""),"",IF(INDEX(인턴근무계획!$M$3:$R$202,$A189,$G$3)&amp;""="","",IF(LEFT(INDEX(인턴근무계획!$M$3:$R$202,$A189,$G$3)&amp;"",1)="⚠","",MID(INDEX(인턴근무계획!$M$3:$R$202,$A189,$G$3)&amp;"",FIND(" ",INDEX(인턴근무계획!$M$3:$R$202,$A189,$G$3)&amp;"")+1,60))))</f>
        <v/>
      </c>
      <c r="I189" s="21">
        <f>IF(OR($C189="",$I$3=""),"",IF(INDEX(인턴근무계획!$M$3:$R$202,$A189,$I$3)&amp;""="","",IF(LEFT(INDEX(인턴근무계획!$M$3:$R$202,$A189,$I$3)&amp;"",1)="⚠",INDEX(인턴근무계획!$M$3:$R$202,$A189,$I$3)&amp;"",LEFT(INDEX(인턴근무계획!$M$3:$R$202,$A189,$I$3)&amp;"",FIND(" ",INDEX(인턴근무계획!$M$3:$R$202,$A189,$I$3)&amp;"")-1))))</f>
        <v/>
      </c>
      <c r="J189" s="21">
        <f>IF(OR($C189="",$I$3=""),"",IF(INDEX(인턴근무계획!$M$3:$R$202,$A189,$I$3)&amp;""="","",IF(LEFT(INDEX(인턴근무계획!$M$3:$R$202,$A189,$I$3)&amp;"",1)="⚠","",MID(INDEX(인턴근무계획!$M$3:$R$202,$A189,$I$3)&amp;"",FIND(" ",INDEX(인턴근무계획!$M$3:$R$202,$A189,$I$3)&amp;"")+1,60))))</f>
        <v/>
      </c>
      <c r="K189" s="21">
        <f>IF($C189="","",INDEX(인턴근무계획!$M$3:$M$202,$A189)&amp;"")</f>
        <v/>
      </c>
      <c r="L189" s="21">
        <f>IF($C189="","",INDEX(인턴근무계획!$N$3:$N$202,$A189)&amp;"")</f>
        <v/>
      </c>
      <c r="M189" s="21">
        <f>IF($C189="","",INDEX(인턴근무계획!$O$3:$O$202,$A189)&amp;"")</f>
        <v/>
      </c>
      <c r="N189" s="21">
        <f>IF($C189="","",INDEX(인턴근무계획!$P$3:$P$202,$A189)&amp;"")</f>
        <v/>
      </c>
      <c r="O189" s="21">
        <f>IF($C189="","",INDEX(인턴근무계획!$Q$3:$Q$202,$A189)&amp;"")</f>
        <v/>
      </c>
      <c r="P189" s="21">
        <f>IF($C189="","",INDEX(인턴근무계획!$R$3:$R$202,$A189)&amp;"")</f>
        <v/>
      </c>
      <c r="Q189" s="21">
        <f>IF($C189="","",INDEX(인턴근무계획!$T$3:$T$202,$A189))</f>
        <v/>
      </c>
    </row>
    <row r="190">
      <c r="A190" s="24" t="n">
        <v>185</v>
      </c>
      <c r="B190" s="21">
        <f>IF($C190="","",INDEX(인턴근무계획!$B$3:$B$202,$A190))</f>
        <v/>
      </c>
      <c r="C190" s="21">
        <f>IFERROR(TRIM(INDEX(인턴근무계획!$C$3:$C$202,$A190)&amp;""),"")</f>
        <v/>
      </c>
      <c r="D190" s="21">
        <f>IF($C190="","",INDEX(인턴근무계획!$D$3:$D$202,$A190))</f>
        <v/>
      </c>
      <c r="E190" s="21">
        <f>IF($C190="","",IF(IFERROR(MATCH($D190,기본자료!$B$2:$B$501,0),IFERROR(MATCH($D190&amp;"",기본자료!$B$2:$B$501,0),IFERROR(MATCH(VALUE($D190),기본자료!$B$2:$B$501,0),0)))&gt;0,"확인","미등록"))</f>
        <v/>
      </c>
      <c r="F190" s="25">
        <f>IF($C190="","",INDEX(인턴근무계획!$S$3:$S$202,$A190))</f>
        <v/>
      </c>
      <c r="G190" s="21">
        <f>IF(OR($C190="",$G$3=""),"",IF(INDEX(인턴근무계획!$M$3:$R$202,$A190,$G$3)&amp;""="","",IF(LEFT(INDEX(인턴근무계획!$M$3:$R$202,$A190,$G$3)&amp;"",1)="⚠",INDEX(인턴근무계획!$M$3:$R$202,$A190,$G$3)&amp;"",LEFT(INDEX(인턴근무계획!$M$3:$R$202,$A190,$G$3)&amp;"",FIND(" ",INDEX(인턴근무계획!$M$3:$R$202,$A190,$G$3)&amp;"")-1))))</f>
        <v/>
      </c>
      <c r="H190" s="21">
        <f>IF(OR($C190="",$G$3=""),"",IF(INDEX(인턴근무계획!$M$3:$R$202,$A190,$G$3)&amp;""="","",IF(LEFT(INDEX(인턴근무계획!$M$3:$R$202,$A190,$G$3)&amp;"",1)="⚠","",MID(INDEX(인턴근무계획!$M$3:$R$202,$A190,$G$3)&amp;"",FIND(" ",INDEX(인턴근무계획!$M$3:$R$202,$A190,$G$3)&amp;"")+1,60))))</f>
        <v/>
      </c>
      <c r="I190" s="21">
        <f>IF(OR($C190="",$I$3=""),"",IF(INDEX(인턴근무계획!$M$3:$R$202,$A190,$I$3)&amp;""="","",IF(LEFT(INDEX(인턴근무계획!$M$3:$R$202,$A190,$I$3)&amp;"",1)="⚠",INDEX(인턴근무계획!$M$3:$R$202,$A190,$I$3)&amp;"",LEFT(INDEX(인턴근무계획!$M$3:$R$202,$A190,$I$3)&amp;"",FIND(" ",INDEX(인턴근무계획!$M$3:$R$202,$A190,$I$3)&amp;"")-1))))</f>
        <v/>
      </c>
      <c r="J190" s="21">
        <f>IF(OR($C190="",$I$3=""),"",IF(INDEX(인턴근무계획!$M$3:$R$202,$A190,$I$3)&amp;""="","",IF(LEFT(INDEX(인턴근무계획!$M$3:$R$202,$A190,$I$3)&amp;"",1)="⚠","",MID(INDEX(인턴근무계획!$M$3:$R$202,$A190,$I$3)&amp;"",FIND(" ",INDEX(인턴근무계획!$M$3:$R$202,$A190,$I$3)&amp;"")+1,60))))</f>
        <v/>
      </c>
      <c r="K190" s="21">
        <f>IF($C190="","",INDEX(인턴근무계획!$M$3:$M$202,$A190)&amp;"")</f>
        <v/>
      </c>
      <c r="L190" s="21">
        <f>IF($C190="","",INDEX(인턴근무계획!$N$3:$N$202,$A190)&amp;"")</f>
        <v/>
      </c>
      <c r="M190" s="21">
        <f>IF($C190="","",INDEX(인턴근무계획!$O$3:$O$202,$A190)&amp;"")</f>
        <v/>
      </c>
      <c r="N190" s="21">
        <f>IF($C190="","",INDEX(인턴근무계획!$P$3:$P$202,$A190)&amp;"")</f>
        <v/>
      </c>
      <c r="O190" s="21">
        <f>IF($C190="","",INDEX(인턴근무계획!$Q$3:$Q$202,$A190)&amp;"")</f>
        <v/>
      </c>
      <c r="P190" s="21">
        <f>IF($C190="","",INDEX(인턴근무계획!$R$3:$R$202,$A190)&amp;"")</f>
        <v/>
      </c>
      <c r="Q190" s="21">
        <f>IF($C190="","",INDEX(인턴근무계획!$T$3:$T$202,$A190))</f>
        <v/>
      </c>
    </row>
    <row r="191">
      <c r="A191" s="24" t="n">
        <v>186</v>
      </c>
      <c r="B191" s="21">
        <f>IF($C191="","",INDEX(인턴근무계획!$B$3:$B$202,$A191))</f>
        <v/>
      </c>
      <c r="C191" s="21">
        <f>IFERROR(TRIM(INDEX(인턴근무계획!$C$3:$C$202,$A191)&amp;""),"")</f>
        <v/>
      </c>
      <c r="D191" s="21">
        <f>IF($C191="","",INDEX(인턴근무계획!$D$3:$D$202,$A191))</f>
        <v/>
      </c>
      <c r="E191" s="21">
        <f>IF($C191="","",IF(IFERROR(MATCH($D191,기본자료!$B$2:$B$501,0),IFERROR(MATCH($D191&amp;"",기본자료!$B$2:$B$501,0),IFERROR(MATCH(VALUE($D191),기본자료!$B$2:$B$501,0),0)))&gt;0,"확인","미등록"))</f>
        <v/>
      </c>
      <c r="F191" s="25">
        <f>IF($C191="","",INDEX(인턴근무계획!$S$3:$S$202,$A191))</f>
        <v/>
      </c>
      <c r="G191" s="21">
        <f>IF(OR($C191="",$G$3=""),"",IF(INDEX(인턴근무계획!$M$3:$R$202,$A191,$G$3)&amp;""="","",IF(LEFT(INDEX(인턴근무계획!$M$3:$R$202,$A191,$G$3)&amp;"",1)="⚠",INDEX(인턴근무계획!$M$3:$R$202,$A191,$G$3)&amp;"",LEFT(INDEX(인턴근무계획!$M$3:$R$202,$A191,$G$3)&amp;"",FIND(" ",INDEX(인턴근무계획!$M$3:$R$202,$A191,$G$3)&amp;"")-1))))</f>
        <v/>
      </c>
      <c r="H191" s="21">
        <f>IF(OR($C191="",$G$3=""),"",IF(INDEX(인턴근무계획!$M$3:$R$202,$A191,$G$3)&amp;""="","",IF(LEFT(INDEX(인턴근무계획!$M$3:$R$202,$A191,$G$3)&amp;"",1)="⚠","",MID(INDEX(인턴근무계획!$M$3:$R$202,$A191,$G$3)&amp;"",FIND(" ",INDEX(인턴근무계획!$M$3:$R$202,$A191,$G$3)&amp;"")+1,60))))</f>
        <v/>
      </c>
      <c r="I191" s="21">
        <f>IF(OR($C191="",$I$3=""),"",IF(INDEX(인턴근무계획!$M$3:$R$202,$A191,$I$3)&amp;""="","",IF(LEFT(INDEX(인턴근무계획!$M$3:$R$202,$A191,$I$3)&amp;"",1)="⚠",INDEX(인턴근무계획!$M$3:$R$202,$A191,$I$3)&amp;"",LEFT(INDEX(인턴근무계획!$M$3:$R$202,$A191,$I$3)&amp;"",FIND(" ",INDEX(인턴근무계획!$M$3:$R$202,$A191,$I$3)&amp;"")-1))))</f>
        <v/>
      </c>
      <c r="J191" s="21">
        <f>IF(OR($C191="",$I$3=""),"",IF(INDEX(인턴근무계획!$M$3:$R$202,$A191,$I$3)&amp;""="","",IF(LEFT(INDEX(인턴근무계획!$M$3:$R$202,$A191,$I$3)&amp;"",1)="⚠","",MID(INDEX(인턴근무계획!$M$3:$R$202,$A191,$I$3)&amp;"",FIND(" ",INDEX(인턴근무계획!$M$3:$R$202,$A191,$I$3)&amp;"")+1,60))))</f>
        <v/>
      </c>
      <c r="K191" s="21">
        <f>IF($C191="","",INDEX(인턴근무계획!$M$3:$M$202,$A191)&amp;"")</f>
        <v/>
      </c>
      <c r="L191" s="21">
        <f>IF($C191="","",INDEX(인턴근무계획!$N$3:$N$202,$A191)&amp;"")</f>
        <v/>
      </c>
      <c r="M191" s="21">
        <f>IF($C191="","",INDEX(인턴근무계획!$O$3:$O$202,$A191)&amp;"")</f>
        <v/>
      </c>
      <c r="N191" s="21">
        <f>IF($C191="","",INDEX(인턴근무계획!$P$3:$P$202,$A191)&amp;"")</f>
        <v/>
      </c>
      <c r="O191" s="21">
        <f>IF($C191="","",INDEX(인턴근무계획!$Q$3:$Q$202,$A191)&amp;"")</f>
        <v/>
      </c>
      <c r="P191" s="21">
        <f>IF($C191="","",INDEX(인턴근무계획!$R$3:$R$202,$A191)&amp;"")</f>
        <v/>
      </c>
      <c r="Q191" s="21">
        <f>IF($C191="","",INDEX(인턴근무계획!$T$3:$T$202,$A191))</f>
        <v/>
      </c>
    </row>
    <row r="192">
      <c r="A192" s="24" t="n">
        <v>187</v>
      </c>
      <c r="B192" s="21">
        <f>IF($C192="","",INDEX(인턴근무계획!$B$3:$B$202,$A192))</f>
        <v/>
      </c>
      <c r="C192" s="21">
        <f>IFERROR(TRIM(INDEX(인턴근무계획!$C$3:$C$202,$A192)&amp;""),"")</f>
        <v/>
      </c>
      <c r="D192" s="21">
        <f>IF($C192="","",INDEX(인턴근무계획!$D$3:$D$202,$A192))</f>
        <v/>
      </c>
      <c r="E192" s="21">
        <f>IF($C192="","",IF(IFERROR(MATCH($D192,기본자료!$B$2:$B$501,0),IFERROR(MATCH($D192&amp;"",기본자료!$B$2:$B$501,0),IFERROR(MATCH(VALUE($D192),기본자료!$B$2:$B$501,0),0)))&gt;0,"확인","미등록"))</f>
        <v/>
      </c>
      <c r="F192" s="25">
        <f>IF($C192="","",INDEX(인턴근무계획!$S$3:$S$202,$A192))</f>
        <v/>
      </c>
      <c r="G192" s="21">
        <f>IF(OR($C192="",$G$3=""),"",IF(INDEX(인턴근무계획!$M$3:$R$202,$A192,$G$3)&amp;""="","",IF(LEFT(INDEX(인턴근무계획!$M$3:$R$202,$A192,$G$3)&amp;"",1)="⚠",INDEX(인턴근무계획!$M$3:$R$202,$A192,$G$3)&amp;"",LEFT(INDEX(인턴근무계획!$M$3:$R$202,$A192,$G$3)&amp;"",FIND(" ",INDEX(인턴근무계획!$M$3:$R$202,$A192,$G$3)&amp;"")-1))))</f>
        <v/>
      </c>
      <c r="H192" s="21">
        <f>IF(OR($C192="",$G$3=""),"",IF(INDEX(인턴근무계획!$M$3:$R$202,$A192,$G$3)&amp;""="","",IF(LEFT(INDEX(인턴근무계획!$M$3:$R$202,$A192,$G$3)&amp;"",1)="⚠","",MID(INDEX(인턴근무계획!$M$3:$R$202,$A192,$G$3)&amp;"",FIND(" ",INDEX(인턴근무계획!$M$3:$R$202,$A192,$G$3)&amp;"")+1,60))))</f>
        <v/>
      </c>
      <c r="I192" s="21">
        <f>IF(OR($C192="",$I$3=""),"",IF(INDEX(인턴근무계획!$M$3:$R$202,$A192,$I$3)&amp;""="","",IF(LEFT(INDEX(인턴근무계획!$M$3:$R$202,$A192,$I$3)&amp;"",1)="⚠",INDEX(인턴근무계획!$M$3:$R$202,$A192,$I$3)&amp;"",LEFT(INDEX(인턴근무계획!$M$3:$R$202,$A192,$I$3)&amp;"",FIND(" ",INDEX(인턴근무계획!$M$3:$R$202,$A192,$I$3)&amp;"")-1))))</f>
        <v/>
      </c>
      <c r="J192" s="21">
        <f>IF(OR($C192="",$I$3=""),"",IF(INDEX(인턴근무계획!$M$3:$R$202,$A192,$I$3)&amp;""="","",IF(LEFT(INDEX(인턴근무계획!$M$3:$R$202,$A192,$I$3)&amp;"",1)="⚠","",MID(INDEX(인턴근무계획!$M$3:$R$202,$A192,$I$3)&amp;"",FIND(" ",INDEX(인턴근무계획!$M$3:$R$202,$A192,$I$3)&amp;"")+1,60))))</f>
        <v/>
      </c>
      <c r="K192" s="21">
        <f>IF($C192="","",INDEX(인턴근무계획!$M$3:$M$202,$A192)&amp;"")</f>
        <v/>
      </c>
      <c r="L192" s="21">
        <f>IF($C192="","",INDEX(인턴근무계획!$N$3:$N$202,$A192)&amp;"")</f>
        <v/>
      </c>
      <c r="M192" s="21">
        <f>IF($C192="","",INDEX(인턴근무계획!$O$3:$O$202,$A192)&amp;"")</f>
        <v/>
      </c>
      <c r="N192" s="21">
        <f>IF($C192="","",INDEX(인턴근무계획!$P$3:$P$202,$A192)&amp;"")</f>
        <v/>
      </c>
      <c r="O192" s="21">
        <f>IF($C192="","",INDEX(인턴근무계획!$Q$3:$Q$202,$A192)&amp;"")</f>
        <v/>
      </c>
      <c r="P192" s="21">
        <f>IF($C192="","",INDEX(인턴근무계획!$R$3:$R$202,$A192)&amp;"")</f>
        <v/>
      </c>
      <c r="Q192" s="21">
        <f>IF($C192="","",INDEX(인턴근무계획!$T$3:$T$202,$A192))</f>
        <v/>
      </c>
    </row>
    <row r="193">
      <c r="A193" s="24" t="n">
        <v>188</v>
      </c>
      <c r="B193" s="21">
        <f>IF($C193="","",INDEX(인턴근무계획!$B$3:$B$202,$A193))</f>
        <v/>
      </c>
      <c r="C193" s="21">
        <f>IFERROR(TRIM(INDEX(인턴근무계획!$C$3:$C$202,$A193)&amp;""),"")</f>
        <v/>
      </c>
      <c r="D193" s="21">
        <f>IF($C193="","",INDEX(인턴근무계획!$D$3:$D$202,$A193))</f>
        <v/>
      </c>
      <c r="E193" s="21">
        <f>IF($C193="","",IF(IFERROR(MATCH($D193,기본자료!$B$2:$B$501,0),IFERROR(MATCH($D193&amp;"",기본자료!$B$2:$B$501,0),IFERROR(MATCH(VALUE($D193),기본자료!$B$2:$B$501,0),0)))&gt;0,"확인","미등록"))</f>
        <v/>
      </c>
      <c r="F193" s="25">
        <f>IF($C193="","",INDEX(인턴근무계획!$S$3:$S$202,$A193))</f>
        <v/>
      </c>
      <c r="G193" s="21">
        <f>IF(OR($C193="",$G$3=""),"",IF(INDEX(인턴근무계획!$M$3:$R$202,$A193,$G$3)&amp;""="","",IF(LEFT(INDEX(인턴근무계획!$M$3:$R$202,$A193,$G$3)&amp;"",1)="⚠",INDEX(인턴근무계획!$M$3:$R$202,$A193,$G$3)&amp;"",LEFT(INDEX(인턴근무계획!$M$3:$R$202,$A193,$G$3)&amp;"",FIND(" ",INDEX(인턴근무계획!$M$3:$R$202,$A193,$G$3)&amp;"")-1))))</f>
        <v/>
      </c>
      <c r="H193" s="21">
        <f>IF(OR($C193="",$G$3=""),"",IF(INDEX(인턴근무계획!$M$3:$R$202,$A193,$G$3)&amp;""="","",IF(LEFT(INDEX(인턴근무계획!$M$3:$R$202,$A193,$G$3)&amp;"",1)="⚠","",MID(INDEX(인턴근무계획!$M$3:$R$202,$A193,$G$3)&amp;"",FIND(" ",INDEX(인턴근무계획!$M$3:$R$202,$A193,$G$3)&amp;"")+1,60))))</f>
        <v/>
      </c>
      <c r="I193" s="21">
        <f>IF(OR($C193="",$I$3=""),"",IF(INDEX(인턴근무계획!$M$3:$R$202,$A193,$I$3)&amp;""="","",IF(LEFT(INDEX(인턴근무계획!$M$3:$R$202,$A193,$I$3)&amp;"",1)="⚠",INDEX(인턴근무계획!$M$3:$R$202,$A193,$I$3)&amp;"",LEFT(INDEX(인턴근무계획!$M$3:$R$202,$A193,$I$3)&amp;"",FIND(" ",INDEX(인턴근무계획!$M$3:$R$202,$A193,$I$3)&amp;"")-1))))</f>
        <v/>
      </c>
      <c r="J193" s="21">
        <f>IF(OR($C193="",$I$3=""),"",IF(INDEX(인턴근무계획!$M$3:$R$202,$A193,$I$3)&amp;""="","",IF(LEFT(INDEX(인턴근무계획!$M$3:$R$202,$A193,$I$3)&amp;"",1)="⚠","",MID(INDEX(인턴근무계획!$M$3:$R$202,$A193,$I$3)&amp;"",FIND(" ",INDEX(인턴근무계획!$M$3:$R$202,$A193,$I$3)&amp;"")+1,60))))</f>
        <v/>
      </c>
      <c r="K193" s="21">
        <f>IF($C193="","",INDEX(인턴근무계획!$M$3:$M$202,$A193)&amp;"")</f>
        <v/>
      </c>
      <c r="L193" s="21">
        <f>IF($C193="","",INDEX(인턴근무계획!$N$3:$N$202,$A193)&amp;"")</f>
        <v/>
      </c>
      <c r="M193" s="21">
        <f>IF($C193="","",INDEX(인턴근무계획!$O$3:$O$202,$A193)&amp;"")</f>
        <v/>
      </c>
      <c r="N193" s="21">
        <f>IF($C193="","",INDEX(인턴근무계획!$P$3:$P$202,$A193)&amp;"")</f>
        <v/>
      </c>
      <c r="O193" s="21">
        <f>IF($C193="","",INDEX(인턴근무계획!$Q$3:$Q$202,$A193)&amp;"")</f>
        <v/>
      </c>
      <c r="P193" s="21">
        <f>IF($C193="","",INDEX(인턴근무계획!$R$3:$R$202,$A193)&amp;"")</f>
        <v/>
      </c>
      <c r="Q193" s="21">
        <f>IF($C193="","",INDEX(인턴근무계획!$T$3:$T$202,$A193))</f>
        <v/>
      </c>
    </row>
    <row r="194">
      <c r="A194" s="24" t="n">
        <v>189</v>
      </c>
      <c r="B194" s="21">
        <f>IF($C194="","",INDEX(인턴근무계획!$B$3:$B$202,$A194))</f>
        <v/>
      </c>
      <c r="C194" s="21">
        <f>IFERROR(TRIM(INDEX(인턴근무계획!$C$3:$C$202,$A194)&amp;""),"")</f>
        <v/>
      </c>
      <c r="D194" s="21">
        <f>IF($C194="","",INDEX(인턴근무계획!$D$3:$D$202,$A194))</f>
        <v/>
      </c>
      <c r="E194" s="21">
        <f>IF($C194="","",IF(IFERROR(MATCH($D194,기본자료!$B$2:$B$501,0),IFERROR(MATCH($D194&amp;"",기본자료!$B$2:$B$501,0),IFERROR(MATCH(VALUE($D194),기본자료!$B$2:$B$501,0),0)))&gt;0,"확인","미등록"))</f>
        <v/>
      </c>
      <c r="F194" s="25">
        <f>IF($C194="","",INDEX(인턴근무계획!$S$3:$S$202,$A194))</f>
        <v/>
      </c>
      <c r="G194" s="21">
        <f>IF(OR($C194="",$G$3=""),"",IF(INDEX(인턴근무계획!$M$3:$R$202,$A194,$G$3)&amp;""="","",IF(LEFT(INDEX(인턴근무계획!$M$3:$R$202,$A194,$G$3)&amp;"",1)="⚠",INDEX(인턴근무계획!$M$3:$R$202,$A194,$G$3)&amp;"",LEFT(INDEX(인턴근무계획!$M$3:$R$202,$A194,$G$3)&amp;"",FIND(" ",INDEX(인턴근무계획!$M$3:$R$202,$A194,$G$3)&amp;"")-1))))</f>
        <v/>
      </c>
      <c r="H194" s="21">
        <f>IF(OR($C194="",$G$3=""),"",IF(INDEX(인턴근무계획!$M$3:$R$202,$A194,$G$3)&amp;""="","",IF(LEFT(INDEX(인턴근무계획!$M$3:$R$202,$A194,$G$3)&amp;"",1)="⚠","",MID(INDEX(인턴근무계획!$M$3:$R$202,$A194,$G$3)&amp;"",FIND(" ",INDEX(인턴근무계획!$M$3:$R$202,$A194,$G$3)&amp;"")+1,60))))</f>
        <v/>
      </c>
      <c r="I194" s="21">
        <f>IF(OR($C194="",$I$3=""),"",IF(INDEX(인턴근무계획!$M$3:$R$202,$A194,$I$3)&amp;""="","",IF(LEFT(INDEX(인턴근무계획!$M$3:$R$202,$A194,$I$3)&amp;"",1)="⚠",INDEX(인턴근무계획!$M$3:$R$202,$A194,$I$3)&amp;"",LEFT(INDEX(인턴근무계획!$M$3:$R$202,$A194,$I$3)&amp;"",FIND(" ",INDEX(인턴근무계획!$M$3:$R$202,$A194,$I$3)&amp;"")-1))))</f>
        <v/>
      </c>
      <c r="J194" s="21">
        <f>IF(OR($C194="",$I$3=""),"",IF(INDEX(인턴근무계획!$M$3:$R$202,$A194,$I$3)&amp;""="","",IF(LEFT(INDEX(인턴근무계획!$M$3:$R$202,$A194,$I$3)&amp;"",1)="⚠","",MID(INDEX(인턴근무계획!$M$3:$R$202,$A194,$I$3)&amp;"",FIND(" ",INDEX(인턴근무계획!$M$3:$R$202,$A194,$I$3)&amp;"")+1,60))))</f>
        <v/>
      </c>
      <c r="K194" s="21">
        <f>IF($C194="","",INDEX(인턴근무계획!$M$3:$M$202,$A194)&amp;"")</f>
        <v/>
      </c>
      <c r="L194" s="21">
        <f>IF($C194="","",INDEX(인턴근무계획!$N$3:$N$202,$A194)&amp;"")</f>
        <v/>
      </c>
      <c r="M194" s="21">
        <f>IF($C194="","",INDEX(인턴근무계획!$O$3:$O$202,$A194)&amp;"")</f>
        <v/>
      </c>
      <c r="N194" s="21">
        <f>IF($C194="","",INDEX(인턴근무계획!$P$3:$P$202,$A194)&amp;"")</f>
        <v/>
      </c>
      <c r="O194" s="21">
        <f>IF($C194="","",INDEX(인턴근무계획!$Q$3:$Q$202,$A194)&amp;"")</f>
        <v/>
      </c>
      <c r="P194" s="21">
        <f>IF($C194="","",INDEX(인턴근무계획!$R$3:$R$202,$A194)&amp;"")</f>
        <v/>
      </c>
      <c r="Q194" s="21">
        <f>IF($C194="","",INDEX(인턴근무계획!$T$3:$T$202,$A194))</f>
        <v/>
      </c>
    </row>
    <row r="195">
      <c r="A195" s="24" t="n">
        <v>190</v>
      </c>
      <c r="B195" s="21">
        <f>IF($C195="","",INDEX(인턴근무계획!$B$3:$B$202,$A195))</f>
        <v/>
      </c>
      <c r="C195" s="21">
        <f>IFERROR(TRIM(INDEX(인턴근무계획!$C$3:$C$202,$A195)&amp;""),"")</f>
        <v/>
      </c>
      <c r="D195" s="21">
        <f>IF($C195="","",INDEX(인턴근무계획!$D$3:$D$202,$A195))</f>
        <v/>
      </c>
      <c r="E195" s="21">
        <f>IF($C195="","",IF(IFERROR(MATCH($D195,기본자료!$B$2:$B$501,0),IFERROR(MATCH($D195&amp;"",기본자료!$B$2:$B$501,0),IFERROR(MATCH(VALUE($D195),기본자료!$B$2:$B$501,0),0)))&gt;0,"확인","미등록"))</f>
        <v/>
      </c>
      <c r="F195" s="25">
        <f>IF($C195="","",INDEX(인턴근무계획!$S$3:$S$202,$A195))</f>
        <v/>
      </c>
      <c r="G195" s="21">
        <f>IF(OR($C195="",$G$3=""),"",IF(INDEX(인턴근무계획!$M$3:$R$202,$A195,$G$3)&amp;""="","",IF(LEFT(INDEX(인턴근무계획!$M$3:$R$202,$A195,$G$3)&amp;"",1)="⚠",INDEX(인턴근무계획!$M$3:$R$202,$A195,$G$3)&amp;"",LEFT(INDEX(인턴근무계획!$M$3:$R$202,$A195,$G$3)&amp;"",FIND(" ",INDEX(인턴근무계획!$M$3:$R$202,$A195,$G$3)&amp;"")-1))))</f>
        <v/>
      </c>
      <c r="H195" s="21">
        <f>IF(OR($C195="",$G$3=""),"",IF(INDEX(인턴근무계획!$M$3:$R$202,$A195,$G$3)&amp;""="","",IF(LEFT(INDEX(인턴근무계획!$M$3:$R$202,$A195,$G$3)&amp;"",1)="⚠","",MID(INDEX(인턴근무계획!$M$3:$R$202,$A195,$G$3)&amp;"",FIND(" ",INDEX(인턴근무계획!$M$3:$R$202,$A195,$G$3)&amp;"")+1,60))))</f>
        <v/>
      </c>
      <c r="I195" s="21">
        <f>IF(OR($C195="",$I$3=""),"",IF(INDEX(인턴근무계획!$M$3:$R$202,$A195,$I$3)&amp;""="","",IF(LEFT(INDEX(인턴근무계획!$M$3:$R$202,$A195,$I$3)&amp;"",1)="⚠",INDEX(인턴근무계획!$M$3:$R$202,$A195,$I$3)&amp;"",LEFT(INDEX(인턴근무계획!$M$3:$R$202,$A195,$I$3)&amp;"",FIND(" ",INDEX(인턴근무계획!$M$3:$R$202,$A195,$I$3)&amp;"")-1))))</f>
        <v/>
      </c>
      <c r="J195" s="21">
        <f>IF(OR($C195="",$I$3=""),"",IF(INDEX(인턴근무계획!$M$3:$R$202,$A195,$I$3)&amp;""="","",IF(LEFT(INDEX(인턴근무계획!$M$3:$R$202,$A195,$I$3)&amp;"",1)="⚠","",MID(INDEX(인턴근무계획!$M$3:$R$202,$A195,$I$3)&amp;"",FIND(" ",INDEX(인턴근무계획!$M$3:$R$202,$A195,$I$3)&amp;"")+1,60))))</f>
        <v/>
      </c>
      <c r="K195" s="21">
        <f>IF($C195="","",INDEX(인턴근무계획!$M$3:$M$202,$A195)&amp;"")</f>
        <v/>
      </c>
      <c r="L195" s="21">
        <f>IF($C195="","",INDEX(인턴근무계획!$N$3:$N$202,$A195)&amp;"")</f>
        <v/>
      </c>
      <c r="M195" s="21">
        <f>IF($C195="","",INDEX(인턴근무계획!$O$3:$O$202,$A195)&amp;"")</f>
        <v/>
      </c>
      <c r="N195" s="21">
        <f>IF($C195="","",INDEX(인턴근무계획!$P$3:$P$202,$A195)&amp;"")</f>
        <v/>
      </c>
      <c r="O195" s="21">
        <f>IF($C195="","",INDEX(인턴근무계획!$Q$3:$Q$202,$A195)&amp;"")</f>
        <v/>
      </c>
      <c r="P195" s="21">
        <f>IF($C195="","",INDEX(인턴근무계획!$R$3:$R$202,$A195)&amp;"")</f>
        <v/>
      </c>
      <c r="Q195" s="21">
        <f>IF($C195="","",INDEX(인턴근무계획!$T$3:$T$202,$A195))</f>
        <v/>
      </c>
    </row>
    <row r="196">
      <c r="A196" s="24" t="n">
        <v>191</v>
      </c>
      <c r="B196" s="21">
        <f>IF($C196="","",INDEX(인턴근무계획!$B$3:$B$202,$A196))</f>
        <v/>
      </c>
      <c r="C196" s="21">
        <f>IFERROR(TRIM(INDEX(인턴근무계획!$C$3:$C$202,$A196)&amp;""),"")</f>
        <v/>
      </c>
      <c r="D196" s="21">
        <f>IF($C196="","",INDEX(인턴근무계획!$D$3:$D$202,$A196))</f>
        <v/>
      </c>
      <c r="E196" s="21">
        <f>IF($C196="","",IF(IFERROR(MATCH($D196,기본자료!$B$2:$B$501,0),IFERROR(MATCH($D196&amp;"",기본자료!$B$2:$B$501,0),IFERROR(MATCH(VALUE($D196),기본자료!$B$2:$B$501,0),0)))&gt;0,"확인","미등록"))</f>
        <v/>
      </c>
      <c r="F196" s="25">
        <f>IF($C196="","",INDEX(인턴근무계획!$S$3:$S$202,$A196))</f>
        <v/>
      </c>
      <c r="G196" s="21">
        <f>IF(OR($C196="",$G$3=""),"",IF(INDEX(인턴근무계획!$M$3:$R$202,$A196,$G$3)&amp;""="","",IF(LEFT(INDEX(인턴근무계획!$M$3:$R$202,$A196,$G$3)&amp;"",1)="⚠",INDEX(인턴근무계획!$M$3:$R$202,$A196,$G$3)&amp;"",LEFT(INDEX(인턴근무계획!$M$3:$R$202,$A196,$G$3)&amp;"",FIND(" ",INDEX(인턴근무계획!$M$3:$R$202,$A196,$G$3)&amp;"")-1))))</f>
        <v/>
      </c>
      <c r="H196" s="21">
        <f>IF(OR($C196="",$G$3=""),"",IF(INDEX(인턴근무계획!$M$3:$R$202,$A196,$G$3)&amp;""="","",IF(LEFT(INDEX(인턴근무계획!$M$3:$R$202,$A196,$G$3)&amp;"",1)="⚠","",MID(INDEX(인턴근무계획!$M$3:$R$202,$A196,$G$3)&amp;"",FIND(" ",INDEX(인턴근무계획!$M$3:$R$202,$A196,$G$3)&amp;"")+1,60))))</f>
        <v/>
      </c>
      <c r="I196" s="21">
        <f>IF(OR($C196="",$I$3=""),"",IF(INDEX(인턴근무계획!$M$3:$R$202,$A196,$I$3)&amp;""="","",IF(LEFT(INDEX(인턴근무계획!$M$3:$R$202,$A196,$I$3)&amp;"",1)="⚠",INDEX(인턴근무계획!$M$3:$R$202,$A196,$I$3)&amp;"",LEFT(INDEX(인턴근무계획!$M$3:$R$202,$A196,$I$3)&amp;"",FIND(" ",INDEX(인턴근무계획!$M$3:$R$202,$A196,$I$3)&amp;"")-1))))</f>
        <v/>
      </c>
      <c r="J196" s="21">
        <f>IF(OR($C196="",$I$3=""),"",IF(INDEX(인턴근무계획!$M$3:$R$202,$A196,$I$3)&amp;""="","",IF(LEFT(INDEX(인턴근무계획!$M$3:$R$202,$A196,$I$3)&amp;"",1)="⚠","",MID(INDEX(인턴근무계획!$M$3:$R$202,$A196,$I$3)&amp;"",FIND(" ",INDEX(인턴근무계획!$M$3:$R$202,$A196,$I$3)&amp;"")+1,60))))</f>
        <v/>
      </c>
      <c r="K196" s="21">
        <f>IF($C196="","",INDEX(인턴근무계획!$M$3:$M$202,$A196)&amp;"")</f>
        <v/>
      </c>
      <c r="L196" s="21">
        <f>IF($C196="","",INDEX(인턴근무계획!$N$3:$N$202,$A196)&amp;"")</f>
        <v/>
      </c>
      <c r="M196" s="21">
        <f>IF($C196="","",INDEX(인턴근무계획!$O$3:$O$202,$A196)&amp;"")</f>
        <v/>
      </c>
      <c r="N196" s="21">
        <f>IF($C196="","",INDEX(인턴근무계획!$P$3:$P$202,$A196)&amp;"")</f>
        <v/>
      </c>
      <c r="O196" s="21">
        <f>IF($C196="","",INDEX(인턴근무계획!$Q$3:$Q$202,$A196)&amp;"")</f>
        <v/>
      </c>
      <c r="P196" s="21">
        <f>IF($C196="","",INDEX(인턴근무계획!$R$3:$R$202,$A196)&amp;"")</f>
        <v/>
      </c>
      <c r="Q196" s="21">
        <f>IF($C196="","",INDEX(인턴근무계획!$T$3:$T$202,$A196))</f>
        <v/>
      </c>
    </row>
    <row r="197">
      <c r="A197" s="24" t="n">
        <v>192</v>
      </c>
      <c r="B197" s="21">
        <f>IF($C197="","",INDEX(인턴근무계획!$B$3:$B$202,$A197))</f>
        <v/>
      </c>
      <c r="C197" s="21">
        <f>IFERROR(TRIM(INDEX(인턴근무계획!$C$3:$C$202,$A197)&amp;""),"")</f>
        <v/>
      </c>
      <c r="D197" s="21">
        <f>IF($C197="","",INDEX(인턴근무계획!$D$3:$D$202,$A197))</f>
        <v/>
      </c>
      <c r="E197" s="21">
        <f>IF($C197="","",IF(IFERROR(MATCH($D197,기본자료!$B$2:$B$501,0),IFERROR(MATCH($D197&amp;"",기본자료!$B$2:$B$501,0),IFERROR(MATCH(VALUE($D197),기본자료!$B$2:$B$501,0),0)))&gt;0,"확인","미등록"))</f>
        <v/>
      </c>
      <c r="F197" s="25">
        <f>IF($C197="","",INDEX(인턴근무계획!$S$3:$S$202,$A197))</f>
        <v/>
      </c>
      <c r="G197" s="21">
        <f>IF(OR($C197="",$G$3=""),"",IF(INDEX(인턴근무계획!$M$3:$R$202,$A197,$G$3)&amp;""="","",IF(LEFT(INDEX(인턴근무계획!$M$3:$R$202,$A197,$G$3)&amp;"",1)="⚠",INDEX(인턴근무계획!$M$3:$R$202,$A197,$G$3)&amp;"",LEFT(INDEX(인턴근무계획!$M$3:$R$202,$A197,$G$3)&amp;"",FIND(" ",INDEX(인턴근무계획!$M$3:$R$202,$A197,$G$3)&amp;"")-1))))</f>
        <v/>
      </c>
      <c r="H197" s="21">
        <f>IF(OR($C197="",$G$3=""),"",IF(INDEX(인턴근무계획!$M$3:$R$202,$A197,$G$3)&amp;""="","",IF(LEFT(INDEX(인턴근무계획!$M$3:$R$202,$A197,$G$3)&amp;"",1)="⚠","",MID(INDEX(인턴근무계획!$M$3:$R$202,$A197,$G$3)&amp;"",FIND(" ",INDEX(인턴근무계획!$M$3:$R$202,$A197,$G$3)&amp;"")+1,60))))</f>
        <v/>
      </c>
      <c r="I197" s="21">
        <f>IF(OR($C197="",$I$3=""),"",IF(INDEX(인턴근무계획!$M$3:$R$202,$A197,$I$3)&amp;""="","",IF(LEFT(INDEX(인턴근무계획!$M$3:$R$202,$A197,$I$3)&amp;"",1)="⚠",INDEX(인턴근무계획!$M$3:$R$202,$A197,$I$3)&amp;"",LEFT(INDEX(인턴근무계획!$M$3:$R$202,$A197,$I$3)&amp;"",FIND(" ",INDEX(인턴근무계획!$M$3:$R$202,$A197,$I$3)&amp;"")-1))))</f>
        <v/>
      </c>
      <c r="J197" s="21">
        <f>IF(OR($C197="",$I$3=""),"",IF(INDEX(인턴근무계획!$M$3:$R$202,$A197,$I$3)&amp;""="","",IF(LEFT(INDEX(인턴근무계획!$M$3:$R$202,$A197,$I$3)&amp;"",1)="⚠","",MID(INDEX(인턴근무계획!$M$3:$R$202,$A197,$I$3)&amp;"",FIND(" ",INDEX(인턴근무계획!$M$3:$R$202,$A197,$I$3)&amp;"")+1,60))))</f>
        <v/>
      </c>
      <c r="K197" s="21">
        <f>IF($C197="","",INDEX(인턴근무계획!$M$3:$M$202,$A197)&amp;"")</f>
        <v/>
      </c>
      <c r="L197" s="21">
        <f>IF($C197="","",INDEX(인턴근무계획!$N$3:$N$202,$A197)&amp;"")</f>
        <v/>
      </c>
      <c r="M197" s="21">
        <f>IF($C197="","",INDEX(인턴근무계획!$O$3:$O$202,$A197)&amp;"")</f>
        <v/>
      </c>
      <c r="N197" s="21">
        <f>IF($C197="","",INDEX(인턴근무계획!$P$3:$P$202,$A197)&amp;"")</f>
        <v/>
      </c>
      <c r="O197" s="21">
        <f>IF($C197="","",INDEX(인턴근무계획!$Q$3:$Q$202,$A197)&amp;"")</f>
        <v/>
      </c>
      <c r="P197" s="21">
        <f>IF($C197="","",INDEX(인턴근무계획!$R$3:$R$202,$A197)&amp;"")</f>
        <v/>
      </c>
      <c r="Q197" s="21">
        <f>IF($C197="","",INDEX(인턴근무계획!$T$3:$T$202,$A197))</f>
        <v/>
      </c>
    </row>
    <row r="198">
      <c r="A198" s="24" t="n">
        <v>193</v>
      </c>
      <c r="B198" s="21">
        <f>IF($C198="","",INDEX(인턴근무계획!$B$3:$B$202,$A198))</f>
        <v/>
      </c>
      <c r="C198" s="21">
        <f>IFERROR(TRIM(INDEX(인턴근무계획!$C$3:$C$202,$A198)&amp;""),"")</f>
        <v/>
      </c>
      <c r="D198" s="21">
        <f>IF($C198="","",INDEX(인턴근무계획!$D$3:$D$202,$A198))</f>
        <v/>
      </c>
      <c r="E198" s="21">
        <f>IF($C198="","",IF(IFERROR(MATCH($D198,기본자료!$B$2:$B$501,0),IFERROR(MATCH($D198&amp;"",기본자료!$B$2:$B$501,0),IFERROR(MATCH(VALUE($D198),기본자료!$B$2:$B$501,0),0)))&gt;0,"확인","미등록"))</f>
        <v/>
      </c>
      <c r="F198" s="25">
        <f>IF($C198="","",INDEX(인턴근무계획!$S$3:$S$202,$A198))</f>
        <v/>
      </c>
      <c r="G198" s="21">
        <f>IF(OR($C198="",$G$3=""),"",IF(INDEX(인턴근무계획!$M$3:$R$202,$A198,$G$3)&amp;""="","",IF(LEFT(INDEX(인턴근무계획!$M$3:$R$202,$A198,$G$3)&amp;"",1)="⚠",INDEX(인턴근무계획!$M$3:$R$202,$A198,$G$3)&amp;"",LEFT(INDEX(인턴근무계획!$M$3:$R$202,$A198,$G$3)&amp;"",FIND(" ",INDEX(인턴근무계획!$M$3:$R$202,$A198,$G$3)&amp;"")-1))))</f>
        <v/>
      </c>
      <c r="H198" s="21">
        <f>IF(OR($C198="",$G$3=""),"",IF(INDEX(인턴근무계획!$M$3:$R$202,$A198,$G$3)&amp;""="","",IF(LEFT(INDEX(인턴근무계획!$M$3:$R$202,$A198,$G$3)&amp;"",1)="⚠","",MID(INDEX(인턴근무계획!$M$3:$R$202,$A198,$G$3)&amp;"",FIND(" ",INDEX(인턴근무계획!$M$3:$R$202,$A198,$G$3)&amp;"")+1,60))))</f>
        <v/>
      </c>
      <c r="I198" s="21">
        <f>IF(OR($C198="",$I$3=""),"",IF(INDEX(인턴근무계획!$M$3:$R$202,$A198,$I$3)&amp;""="","",IF(LEFT(INDEX(인턴근무계획!$M$3:$R$202,$A198,$I$3)&amp;"",1)="⚠",INDEX(인턴근무계획!$M$3:$R$202,$A198,$I$3)&amp;"",LEFT(INDEX(인턴근무계획!$M$3:$R$202,$A198,$I$3)&amp;"",FIND(" ",INDEX(인턴근무계획!$M$3:$R$202,$A198,$I$3)&amp;"")-1))))</f>
        <v/>
      </c>
      <c r="J198" s="21">
        <f>IF(OR($C198="",$I$3=""),"",IF(INDEX(인턴근무계획!$M$3:$R$202,$A198,$I$3)&amp;""="","",IF(LEFT(INDEX(인턴근무계획!$M$3:$R$202,$A198,$I$3)&amp;"",1)="⚠","",MID(INDEX(인턴근무계획!$M$3:$R$202,$A198,$I$3)&amp;"",FIND(" ",INDEX(인턴근무계획!$M$3:$R$202,$A198,$I$3)&amp;"")+1,60))))</f>
        <v/>
      </c>
      <c r="K198" s="21">
        <f>IF($C198="","",INDEX(인턴근무계획!$M$3:$M$202,$A198)&amp;"")</f>
        <v/>
      </c>
      <c r="L198" s="21">
        <f>IF($C198="","",INDEX(인턴근무계획!$N$3:$N$202,$A198)&amp;"")</f>
        <v/>
      </c>
      <c r="M198" s="21">
        <f>IF($C198="","",INDEX(인턴근무계획!$O$3:$O$202,$A198)&amp;"")</f>
        <v/>
      </c>
      <c r="N198" s="21">
        <f>IF($C198="","",INDEX(인턴근무계획!$P$3:$P$202,$A198)&amp;"")</f>
        <v/>
      </c>
      <c r="O198" s="21">
        <f>IF($C198="","",INDEX(인턴근무계획!$Q$3:$Q$202,$A198)&amp;"")</f>
        <v/>
      </c>
      <c r="P198" s="21">
        <f>IF($C198="","",INDEX(인턴근무계획!$R$3:$R$202,$A198)&amp;"")</f>
        <v/>
      </c>
      <c r="Q198" s="21">
        <f>IF($C198="","",INDEX(인턴근무계획!$T$3:$T$202,$A198))</f>
        <v/>
      </c>
    </row>
    <row r="199">
      <c r="A199" s="24" t="n">
        <v>194</v>
      </c>
      <c r="B199" s="21">
        <f>IF($C199="","",INDEX(인턴근무계획!$B$3:$B$202,$A199))</f>
        <v/>
      </c>
      <c r="C199" s="21">
        <f>IFERROR(TRIM(INDEX(인턴근무계획!$C$3:$C$202,$A199)&amp;""),"")</f>
        <v/>
      </c>
      <c r="D199" s="21">
        <f>IF($C199="","",INDEX(인턴근무계획!$D$3:$D$202,$A199))</f>
        <v/>
      </c>
      <c r="E199" s="21">
        <f>IF($C199="","",IF(IFERROR(MATCH($D199,기본자료!$B$2:$B$501,0),IFERROR(MATCH($D199&amp;"",기본자료!$B$2:$B$501,0),IFERROR(MATCH(VALUE($D199),기본자료!$B$2:$B$501,0),0)))&gt;0,"확인","미등록"))</f>
        <v/>
      </c>
      <c r="F199" s="25">
        <f>IF($C199="","",INDEX(인턴근무계획!$S$3:$S$202,$A199))</f>
        <v/>
      </c>
      <c r="G199" s="21">
        <f>IF(OR($C199="",$G$3=""),"",IF(INDEX(인턴근무계획!$M$3:$R$202,$A199,$G$3)&amp;""="","",IF(LEFT(INDEX(인턴근무계획!$M$3:$R$202,$A199,$G$3)&amp;"",1)="⚠",INDEX(인턴근무계획!$M$3:$R$202,$A199,$G$3)&amp;"",LEFT(INDEX(인턴근무계획!$M$3:$R$202,$A199,$G$3)&amp;"",FIND(" ",INDEX(인턴근무계획!$M$3:$R$202,$A199,$G$3)&amp;"")-1))))</f>
        <v/>
      </c>
      <c r="H199" s="21">
        <f>IF(OR($C199="",$G$3=""),"",IF(INDEX(인턴근무계획!$M$3:$R$202,$A199,$G$3)&amp;""="","",IF(LEFT(INDEX(인턴근무계획!$M$3:$R$202,$A199,$G$3)&amp;"",1)="⚠","",MID(INDEX(인턴근무계획!$M$3:$R$202,$A199,$G$3)&amp;"",FIND(" ",INDEX(인턴근무계획!$M$3:$R$202,$A199,$G$3)&amp;"")+1,60))))</f>
        <v/>
      </c>
      <c r="I199" s="21">
        <f>IF(OR($C199="",$I$3=""),"",IF(INDEX(인턴근무계획!$M$3:$R$202,$A199,$I$3)&amp;""="","",IF(LEFT(INDEX(인턴근무계획!$M$3:$R$202,$A199,$I$3)&amp;"",1)="⚠",INDEX(인턴근무계획!$M$3:$R$202,$A199,$I$3)&amp;"",LEFT(INDEX(인턴근무계획!$M$3:$R$202,$A199,$I$3)&amp;"",FIND(" ",INDEX(인턴근무계획!$M$3:$R$202,$A199,$I$3)&amp;"")-1))))</f>
        <v/>
      </c>
      <c r="J199" s="21">
        <f>IF(OR($C199="",$I$3=""),"",IF(INDEX(인턴근무계획!$M$3:$R$202,$A199,$I$3)&amp;""="","",IF(LEFT(INDEX(인턴근무계획!$M$3:$R$202,$A199,$I$3)&amp;"",1)="⚠","",MID(INDEX(인턴근무계획!$M$3:$R$202,$A199,$I$3)&amp;"",FIND(" ",INDEX(인턴근무계획!$M$3:$R$202,$A199,$I$3)&amp;"")+1,60))))</f>
        <v/>
      </c>
      <c r="K199" s="21">
        <f>IF($C199="","",INDEX(인턴근무계획!$M$3:$M$202,$A199)&amp;"")</f>
        <v/>
      </c>
      <c r="L199" s="21">
        <f>IF($C199="","",INDEX(인턴근무계획!$N$3:$N$202,$A199)&amp;"")</f>
        <v/>
      </c>
      <c r="M199" s="21">
        <f>IF($C199="","",INDEX(인턴근무계획!$O$3:$O$202,$A199)&amp;"")</f>
        <v/>
      </c>
      <c r="N199" s="21">
        <f>IF($C199="","",INDEX(인턴근무계획!$P$3:$P$202,$A199)&amp;"")</f>
        <v/>
      </c>
      <c r="O199" s="21">
        <f>IF($C199="","",INDEX(인턴근무계획!$Q$3:$Q$202,$A199)&amp;"")</f>
        <v/>
      </c>
      <c r="P199" s="21">
        <f>IF($C199="","",INDEX(인턴근무계획!$R$3:$R$202,$A199)&amp;"")</f>
        <v/>
      </c>
      <c r="Q199" s="21">
        <f>IF($C199="","",INDEX(인턴근무계획!$T$3:$T$202,$A199))</f>
        <v/>
      </c>
    </row>
    <row r="200">
      <c r="A200" s="24" t="n">
        <v>195</v>
      </c>
      <c r="B200" s="21">
        <f>IF($C200="","",INDEX(인턴근무계획!$B$3:$B$202,$A200))</f>
        <v/>
      </c>
      <c r="C200" s="21">
        <f>IFERROR(TRIM(INDEX(인턴근무계획!$C$3:$C$202,$A200)&amp;""),"")</f>
        <v/>
      </c>
      <c r="D200" s="21">
        <f>IF($C200="","",INDEX(인턴근무계획!$D$3:$D$202,$A200))</f>
        <v/>
      </c>
      <c r="E200" s="21">
        <f>IF($C200="","",IF(IFERROR(MATCH($D200,기본자료!$B$2:$B$501,0),IFERROR(MATCH($D200&amp;"",기본자료!$B$2:$B$501,0),IFERROR(MATCH(VALUE($D200),기본자료!$B$2:$B$501,0),0)))&gt;0,"확인","미등록"))</f>
        <v/>
      </c>
      <c r="F200" s="25">
        <f>IF($C200="","",INDEX(인턴근무계획!$S$3:$S$202,$A200))</f>
        <v/>
      </c>
      <c r="G200" s="21">
        <f>IF(OR($C200="",$G$3=""),"",IF(INDEX(인턴근무계획!$M$3:$R$202,$A200,$G$3)&amp;""="","",IF(LEFT(INDEX(인턴근무계획!$M$3:$R$202,$A200,$G$3)&amp;"",1)="⚠",INDEX(인턴근무계획!$M$3:$R$202,$A200,$G$3)&amp;"",LEFT(INDEX(인턴근무계획!$M$3:$R$202,$A200,$G$3)&amp;"",FIND(" ",INDEX(인턴근무계획!$M$3:$R$202,$A200,$G$3)&amp;"")-1))))</f>
        <v/>
      </c>
      <c r="H200" s="21">
        <f>IF(OR($C200="",$G$3=""),"",IF(INDEX(인턴근무계획!$M$3:$R$202,$A200,$G$3)&amp;""="","",IF(LEFT(INDEX(인턴근무계획!$M$3:$R$202,$A200,$G$3)&amp;"",1)="⚠","",MID(INDEX(인턴근무계획!$M$3:$R$202,$A200,$G$3)&amp;"",FIND(" ",INDEX(인턴근무계획!$M$3:$R$202,$A200,$G$3)&amp;"")+1,60))))</f>
        <v/>
      </c>
      <c r="I200" s="21">
        <f>IF(OR($C200="",$I$3=""),"",IF(INDEX(인턴근무계획!$M$3:$R$202,$A200,$I$3)&amp;""="","",IF(LEFT(INDEX(인턴근무계획!$M$3:$R$202,$A200,$I$3)&amp;"",1)="⚠",INDEX(인턴근무계획!$M$3:$R$202,$A200,$I$3)&amp;"",LEFT(INDEX(인턴근무계획!$M$3:$R$202,$A200,$I$3)&amp;"",FIND(" ",INDEX(인턴근무계획!$M$3:$R$202,$A200,$I$3)&amp;"")-1))))</f>
        <v/>
      </c>
      <c r="J200" s="21">
        <f>IF(OR($C200="",$I$3=""),"",IF(INDEX(인턴근무계획!$M$3:$R$202,$A200,$I$3)&amp;""="","",IF(LEFT(INDEX(인턴근무계획!$M$3:$R$202,$A200,$I$3)&amp;"",1)="⚠","",MID(INDEX(인턴근무계획!$M$3:$R$202,$A200,$I$3)&amp;"",FIND(" ",INDEX(인턴근무계획!$M$3:$R$202,$A200,$I$3)&amp;"")+1,60))))</f>
        <v/>
      </c>
      <c r="K200" s="21">
        <f>IF($C200="","",INDEX(인턴근무계획!$M$3:$M$202,$A200)&amp;"")</f>
        <v/>
      </c>
      <c r="L200" s="21">
        <f>IF($C200="","",INDEX(인턴근무계획!$N$3:$N$202,$A200)&amp;"")</f>
        <v/>
      </c>
      <c r="M200" s="21">
        <f>IF($C200="","",INDEX(인턴근무계획!$O$3:$O$202,$A200)&amp;"")</f>
        <v/>
      </c>
      <c r="N200" s="21">
        <f>IF($C200="","",INDEX(인턴근무계획!$P$3:$P$202,$A200)&amp;"")</f>
        <v/>
      </c>
      <c r="O200" s="21">
        <f>IF($C200="","",INDEX(인턴근무계획!$Q$3:$Q$202,$A200)&amp;"")</f>
        <v/>
      </c>
      <c r="P200" s="21">
        <f>IF($C200="","",INDEX(인턴근무계획!$R$3:$R$202,$A200)&amp;"")</f>
        <v/>
      </c>
      <c r="Q200" s="21">
        <f>IF($C200="","",INDEX(인턴근무계획!$T$3:$T$202,$A200))</f>
        <v/>
      </c>
    </row>
    <row r="201">
      <c r="A201" s="24" t="n">
        <v>196</v>
      </c>
      <c r="B201" s="21">
        <f>IF($C201="","",INDEX(인턴근무계획!$B$3:$B$202,$A201))</f>
        <v/>
      </c>
      <c r="C201" s="21">
        <f>IFERROR(TRIM(INDEX(인턴근무계획!$C$3:$C$202,$A201)&amp;""),"")</f>
        <v/>
      </c>
      <c r="D201" s="21">
        <f>IF($C201="","",INDEX(인턴근무계획!$D$3:$D$202,$A201))</f>
        <v/>
      </c>
      <c r="E201" s="21">
        <f>IF($C201="","",IF(IFERROR(MATCH($D201,기본자료!$B$2:$B$501,0),IFERROR(MATCH($D201&amp;"",기본자료!$B$2:$B$501,0),IFERROR(MATCH(VALUE($D201),기본자료!$B$2:$B$501,0),0)))&gt;0,"확인","미등록"))</f>
        <v/>
      </c>
      <c r="F201" s="25">
        <f>IF($C201="","",INDEX(인턴근무계획!$S$3:$S$202,$A201))</f>
        <v/>
      </c>
      <c r="G201" s="21">
        <f>IF(OR($C201="",$G$3=""),"",IF(INDEX(인턴근무계획!$M$3:$R$202,$A201,$G$3)&amp;""="","",IF(LEFT(INDEX(인턴근무계획!$M$3:$R$202,$A201,$G$3)&amp;"",1)="⚠",INDEX(인턴근무계획!$M$3:$R$202,$A201,$G$3)&amp;"",LEFT(INDEX(인턴근무계획!$M$3:$R$202,$A201,$G$3)&amp;"",FIND(" ",INDEX(인턴근무계획!$M$3:$R$202,$A201,$G$3)&amp;"")-1))))</f>
        <v/>
      </c>
      <c r="H201" s="21">
        <f>IF(OR($C201="",$G$3=""),"",IF(INDEX(인턴근무계획!$M$3:$R$202,$A201,$G$3)&amp;""="","",IF(LEFT(INDEX(인턴근무계획!$M$3:$R$202,$A201,$G$3)&amp;"",1)="⚠","",MID(INDEX(인턴근무계획!$M$3:$R$202,$A201,$G$3)&amp;"",FIND(" ",INDEX(인턴근무계획!$M$3:$R$202,$A201,$G$3)&amp;"")+1,60))))</f>
        <v/>
      </c>
      <c r="I201" s="21">
        <f>IF(OR($C201="",$I$3=""),"",IF(INDEX(인턴근무계획!$M$3:$R$202,$A201,$I$3)&amp;""="","",IF(LEFT(INDEX(인턴근무계획!$M$3:$R$202,$A201,$I$3)&amp;"",1)="⚠",INDEX(인턴근무계획!$M$3:$R$202,$A201,$I$3)&amp;"",LEFT(INDEX(인턴근무계획!$M$3:$R$202,$A201,$I$3)&amp;"",FIND(" ",INDEX(인턴근무계획!$M$3:$R$202,$A201,$I$3)&amp;"")-1))))</f>
        <v/>
      </c>
      <c r="J201" s="21">
        <f>IF(OR($C201="",$I$3=""),"",IF(INDEX(인턴근무계획!$M$3:$R$202,$A201,$I$3)&amp;""="","",IF(LEFT(INDEX(인턴근무계획!$M$3:$R$202,$A201,$I$3)&amp;"",1)="⚠","",MID(INDEX(인턴근무계획!$M$3:$R$202,$A201,$I$3)&amp;"",FIND(" ",INDEX(인턴근무계획!$M$3:$R$202,$A201,$I$3)&amp;"")+1,60))))</f>
        <v/>
      </c>
      <c r="K201" s="21">
        <f>IF($C201="","",INDEX(인턴근무계획!$M$3:$M$202,$A201)&amp;"")</f>
        <v/>
      </c>
      <c r="L201" s="21">
        <f>IF($C201="","",INDEX(인턴근무계획!$N$3:$N$202,$A201)&amp;"")</f>
        <v/>
      </c>
      <c r="M201" s="21">
        <f>IF($C201="","",INDEX(인턴근무계획!$O$3:$O$202,$A201)&amp;"")</f>
        <v/>
      </c>
      <c r="N201" s="21">
        <f>IF($C201="","",INDEX(인턴근무계획!$P$3:$P$202,$A201)&amp;"")</f>
        <v/>
      </c>
      <c r="O201" s="21">
        <f>IF($C201="","",INDEX(인턴근무계획!$Q$3:$Q$202,$A201)&amp;"")</f>
        <v/>
      </c>
      <c r="P201" s="21">
        <f>IF($C201="","",INDEX(인턴근무계획!$R$3:$R$202,$A201)&amp;"")</f>
        <v/>
      </c>
      <c r="Q201" s="21">
        <f>IF($C201="","",INDEX(인턴근무계획!$T$3:$T$202,$A201))</f>
        <v/>
      </c>
    </row>
    <row r="202">
      <c r="A202" s="24" t="n">
        <v>197</v>
      </c>
      <c r="B202" s="21">
        <f>IF($C202="","",INDEX(인턴근무계획!$B$3:$B$202,$A202))</f>
        <v/>
      </c>
      <c r="C202" s="21">
        <f>IFERROR(TRIM(INDEX(인턴근무계획!$C$3:$C$202,$A202)&amp;""),"")</f>
        <v/>
      </c>
      <c r="D202" s="21">
        <f>IF($C202="","",INDEX(인턴근무계획!$D$3:$D$202,$A202))</f>
        <v/>
      </c>
      <c r="E202" s="21">
        <f>IF($C202="","",IF(IFERROR(MATCH($D202,기본자료!$B$2:$B$501,0),IFERROR(MATCH($D202&amp;"",기본자료!$B$2:$B$501,0),IFERROR(MATCH(VALUE($D202),기본자료!$B$2:$B$501,0),0)))&gt;0,"확인","미등록"))</f>
        <v/>
      </c>
      <c r="F202" s="25">
        <f>IF($C202="","",INDEX(인턴근무계획!$S$3:$S$202,$A202))</f>
        <v/>
      </c>
      <c r="G202" s="21">
        <f>IF(OR($C202="",$G$3=""),"",IF(INDEX(인턴근무계획!$M$3:$R$202,$A202,$G$3)&amp;""="","",IF(LEFT(INDEX(인턴근무계획!$M$3:$R$202,$A202,$G$3)&amp;"",1)="⚠",INDEX(인턴근무계획!$M$3:$R$202,$A202,$G$3)&amp;"",LEFT(INDEX(인턴근무계획!$M$3:$R$202,$A202,$G$3)&amp;"",FIND(" ",INDEX(인턴근무계획!$M$3:$R$202,$A202,$G$3)&amp;"")-1))))</f>
        <v/>
      </c>
      <c r="H202" s="21">
        <f>IF(OR($C202="",$G$3=""),"",IF(INDEX(인턴근무계획!$M$3:$R$202,$A202,$G$3)&amp;""="","",IF(LEFT(INDEX(인턴근무계획!$M$3:$R$202,$A202,$G$3)&amp;"",1)="⚠","",MID(INDEX(인턴근무계획!$M$3:$R$202,$A202,$G$3)&amp;"",FIND(" ",INDEX(인턴근무계획!$M$3:$R$202,$A202,$G$3)&amp;"")+1,60))))</f>
        <v/>
      </c>
      <c r="I202" s="21">
        <f>IF(OR($C202="",$I$3=""),"",IF(INDEX(인턴근무계획!$M$3:$R$202,$A202,$I$3)&amp;""="","",IF(LEFT(INDEX(인턴근무계획!$M$3:$R$202,$A202,$I$3)&amp;"",1)="⚠",INDEX(인턴근무계획!$M$3:$R$202,$A202,$I$3)&amp;"",LEFT(INDEX(인턴근무계획!$M$3:$R$202,$A202,$I$3)&amp;"",FIND(" ",INDEX(인턴근무계획!$M$3:$R$202,$A202,$I$3)&amp;"")-1))))</f>
        <v/>
      </c>
      <c r="J202" s="21">
        <f>IF(OR($C202="",$I$3=""),"",IF(INDEX(인턴근무계획!$M$3:$R$202,$A202,$I$3)&amp;""="","",IF(LEFT(INDEX(인턴근무계획!$M$3:$R$202,$A202,$I$3)&amp;"",1)="⚠","",MID(INDEX(인턴근무계획!$M$3:$R$202,$A202,$I$3)&amp;"",FIND(" ",INDEX(인턴근무계획!$M$3:$R$202,$A202,$I$3)&amp;"")+1,60))))</f>
        <v/>
      </c>
      <c r="K202" s="21">
        <f>IF($C202="","",INDEX(인턴근무계획!$M$3:$M$202,$A202)&amp;"")</f>
        <v/>
      </c>
      <c r="L202" s="21">
        <f>IF($C202="","",INDEX(인턴근무계획!$N$3:$N$202,$A202)&amp;"")</f>
        <v/>
      </c>
      <c r="M202" s="21">
        <f>IF($C202="","",INDEX(인턴근무계획!$O$3:$O$202,$A202)&amp;"")</f>
        <v/>
      </c>
      <c r="N202" s="21">
        <f>IF($C202="","",INDEX(인턴근무계획!$P$3:$P$202,$A202)&amp;"")</f>
        <v/>
      </c>
      <c r="O202" s="21">
        <f>IF($C202="","",INDEX(인턴근무계획!$Q$3:$Q$202,$A202)&amp;"")</f>
        <v/>
      </c>
      <c r="P202" s="21">
        <f>IF($C202="","",INDEX(인턴근무계획!$R$3:$R$202,$A202)&amp;"")</f>
        <v/>
      </c>
      <c r="Q202" s="21">
        <f>IF($C202="","",INDEX(인턴근무계획!$T$3:$T$202,$A202))</f>
        <v/>
      </c>
    </row>
    <row r="203">
      <c r="A203" s="24" t="n">
        <v>198</v>
      </c>
      <c r="B203" s="21">
        <f>IF($C203="","",INDEX(인턴근무계획!$B$3:$B$202,$A203))</f>
        <v/>
      </c>
      <c r="C203" s="21">
        <f>IFERROR(TRIM(INDEX(인턴근무계획!$C$3:$C$202,$A203)&amp;""),"")</f>
        <v/>
      </c>
      <c r="D203" s="21">
        <f>IF($C203="","",INDEX(인턴근무계획!$D$3:$D$202,$A203))</f>
        <v/>
      </c>
      <c r="E203" s="21">
        <f>IF($C203="","",IF(IFERROR(MATCH($D203,기본자료!$B$2:$B$501,0),IFERROR(MATCH($D203&amp;"",기본자료!$B$2:$B$501,0),IFERROR(MATCH(VALUE($D203),기본자료!$B$2:$B$501,0),0)))&gt;0,"확인","미등록"))</f>
        <v/>
      </c>
      <c r="F203" s="25">
        <f>IF($C203="","",INDEX(인턴근무계획!$S$3:$S$202,$A203))</f>
        <v/>
      </c>
      <c r="G203" s="21">
        <f>IF(OR($C203="",$G$3=""),"",IF(INDEX(인턴근무계획!$M$3:$R$202,$A203,$G$3)&amp;""="","",IF(LEFT(INDEX(인턴근무계획!$M$3:$R$202,$A203,$G$3)&amp;"",1)="⚠",INDEX(인턴근무계획!$M$3:$R$202,$A203,$G$3)&amp;"",LEFT(INDEX(인턴근무계획!$M$3:$R$202,$A203,$G$3)&amp;"",FIND(" ",INDEX(인턴근무계획!$M$3:$R$202,$A203,$G$3)&amp;"")-1))))</f>
        <v/>
      </c>
      <c r="H203" s="21">
        <f>IF(OR($C203="",$G$3=""),"",IF(INDEX(인턴근무계획!$M$3:$R$202,$A203,$G$3)&amp;""="","",IF(LEFT(INDEX(인턴근무계획!$M$3:$R$202,$A203,$G$3)&amp;"",1)="⚠","",MID(INDEX(인턴근무계획!$M$3:$R$202,$A203,$G$3)&amp;"",FIND(" ",INDEX(인턴근무계획!$M$3:$R$202,$A203,$G$3)&amp;"")+1,60))))</f>
        <v/>
      </c>
      <c r="I203" s="21">
        <f>IF(OR($C203="",$I$3=""),"",IF(INDEX(인턴근무계획!$M$3:$R$202,$A203,$I$3)&amp;""="","",IF(LEFT(INDEX(인턴근무계획!$M$3:$R$202,$A203,$I$3)&amp;"",1)="⚠",INDEX(인턴근무계획!$M$3:$R$202,$A203,$I$3)&amp;"",LEFT(INDEX(인턴근무계획!$M$3:$R$202,$A203,$I$3)&amp;"",FIND(" ",INDEX(인턴근무계획!$M$3:$R$202,$A203,$I$3)&amp;"")-1))))</f>
        <v/>
      </c>
      <c r="J203" s="21">
        <f>IF(OR($C203="",$I$3=""),"",IF(INDEX(인턴근무계획!$M$3:$R$202,$A203,$I$3)&amp;""="","",IF(LEFT(INDEX(인턴근무계획!$M$3:$R$202,$A203,$I$3)&amp;"",1)="⚠","",MID(INDEX(인턴근무계획!$M$3:$R$202,$A203,$I$3)&amp;"",FIND(" ",INDEX(인턴근무계획!$M$3:$R$202,$A203,$I$3)&amp;"")+1,60))))</f>
        <v/>
      </c>
      <c r="K203" s="21">
        <f>IF($C203="","",INDEX(인턴근무계획!$M$3:$M$202,$A203)&amp;"")</f>
        <v/>
      </c>
      <c r="L203" s="21">
        <f>IF($C203="","",INDEX(인턴근무계획!$N$3:$N$202,$A203)&amp;"")</f>
        <v/>
      </c>
      <c r="M203" s="21">
        <f>IF($C203="","",INDEX(인턴근무계획!$O$3:$O$202,$A203)&amp;"")</f>
        <v/>
      </c>
      <c r="N203" s="21">
        <f>IF($C203="","",INDEX(인턴근무계획!$P$3:$P$202,$A203)&amp;"")</f>
        <v/>
      </c>
      <c r="O203" s="21">
        <f>IF($C203="","",INDEX(인턴근무계획!$Q$3:$Q$202,$A203)&amp;"")</f>
        <v/>
      </c>
      <c r="P203" s="21">
        <f>IF($C203="","",INDEX(인턴근무계획!$R$3:$R$202,$A203)&amp;"")</f>
        <v/>
      </c>
      <c r="Q203" s="21">
        <f>IF($C203="","",INDEX(인턴근무계획!$T$3:$T$202,$A203))</f>
        <v/>
      </c>
    </row>
    <row r="204">
      <c r="A204" s="24" t="n">
        <v>199</v>
      </c>
      <c r="B204" s="21">
        <f>IF($C204="","",INDEX(인턴근무계획!$B$3:$B$202,$A204))</f>
        <v/>
      </c>
      <c r="C204" s="21">
        <f>IFERROR(TRIM(INDEX(인턴근무계획!$C$3:$C$202,$A204)&amp;""),"")</f>
        <v/>
      </c>
      <c r="D204" s="21">
        <f>IF($C204="","",INDEX(인턴근무계획!$D$3:$D$202,$A204))</f>
        <v/>
      </c>
      <c r="E204" s="21">
        <f>IF($C204="","",IF(IFERROR(MATCH($D204,기본자료!$B$2:$B$501,0),IFERROR(MATCH($D204&amp;"",기본자료!$B$2:$B$501,0),IFERROR(MATCH(VALUE($D204),기본자료!$B$2:$B$501,0),0)))&gt;0,"확인","미등록"))</f>
        <v/>
      </c>
      <c r="F204" s="25">
        <f>IF($C204="","",INDEX(인턴근무계획!$S$3:$S$202,$A204))</f>
        <v/>
      </c>
      <c r="G204" s="21">
        <f>IF(OR($C204="",$G$3=""),"",IF(INDEX(인턴근무계획!$M$3:$R$202,$A204,$G$3)&amp;""="","",IF(LEFT(INDEX(인턴근무계획!$M$3:$R$202,$A204,$G$3)&amp;"",1)="⚠",INDEX(인턴근무계획!$M$3:$R$202,$A204,$G$3)&amp;"",LEFT(INDEX(인턴근무계획!$M$3:$R$202,$A204,$G$3)&amp;"",FIND(" ",INDEX(인턴근무계획!$M$3:$R$202,$A204,$G$3)&amp;"")-1))))</f>
        <v/>
      </c>
      <c r="H204" s="21">
        <f>IF(OR($C204="",$G$3=""),"",IF(INDEX(인턴근무계획!$M$3:$R$202,$A204,$G$3)&amp;""="","",IF(LEFT(INDEX(인턴근무계획!$M$3:$R$202,$A204,$G$3)&amp;"",1)="⚠","",MID(INDEX(인턴근무계획!$M$3:$R$202,$A204,$G$3)&amp;"",FIND(" ",INDEX(인턴근무계획!$M$3:$R$202,$A204,$G$3)&amp;"")+1,60))))</f>
        <v/>
      </c>
      <c r="I204" s="21">
        <f>IF(OR($C204="",$I$3=""),"",IF(INDEX(인턴근무계획!$M$3:$R$202,$A204,$I$3)&amp;""="","",IF(LEFT(INDEX(인턴근무계획!$M$3:$R$202,$A204,$I$3)&amp;"",1)="⚠",INDEX(인턴근무계획!$M$3:$R$202,$A204,$I$3)&amp;"",LEFT(INDEX(인턴근무계획!$M$3:$R$202,$A204,$I$3)&amp;"",FIND(" ",INDEX(인턴근무계획!$M$3:$R$202,$A204,$I$3)&amp;"")-1))))</f>
        <v/>
      </c>
      <c r="J204" s="21">
        <f>IF(OR($C204="",$I$3=""),"",IF(INDEX(인턴근무계획!$M$3:$R$202,$A204,$I$3)&amp;""="","",IF(LEFT(INDEX(인턴근무계획!$M$3:$R$202,$A204,$I$3)&amp;"",1)="⚠","",MID(INDEX(인턴근무계획!$M$3:$R$202,$A204,$I$3)&amp;"",FIND(" ",INDEX(인턴근무계획!$M$3:$R$202,$A204,$I$3)&amp;"")+1,60))))</f>
        <v/>
      </c>
      <c r="K204" s="21">
        <f>IF($C204="","",INDEX(인턴근무계획!$M$3:$M$202,$A204)&amp;"")</f>
        <v/>
      </c>
      <c r="L204" s="21">
        <f>IF($C204="","",INDEX(인턴근무계획!$N$3:$N$202,$A204)&amp;"")</f>
        <v/>
      </c>
      <c r="M204" s="21">
        <f>IF($C204="","",INDEX(인턴근무계획!$O$3:$O$202,$A204)&amp;"")</f>
        <v/>
      </c>
      <c r="N204" s="21">
        <f>IF($C204="","",INDEX(인턴근무계획!$P$3:$P$202,$A204)&amp;"")</f>
        <v/>
      </c>
      <c r="O204" s="21">
        <f>IF($C204="","",INDEX(인턴근무계획!$Q$3:$Q$202,$A204)&amp;"")</f>
        <v/>
      </c>
      <c r="P204" s="21">
        <f>IF($C204="","",INDEX(인턴근무계획!$R$3:$R$202,$A204)&amp;"")</f>
        <v/>
      </c>
      <c r="Q204" s="21">
        <f>IF($C204="","",INDEX(인턴근무계획!$T$3:$T$202,$A204))</f>
        <v/>
      </c>
    </row>
    <row r="205">
      <c r="A205" s="24" t="n">
        <v>200</v>
      </c>
      <c r="B205" s="21">
        <f>IF($C205="","",INDEX(인턴근무계획!$B$3:$B$202,$A205))</f>
        <v/>
      </c>
      <c r="C205" s="21">
        <f>IFERROR(TRIM(INDEX(인턴근무계획!$C$3:$C$202,$A205)&amp;""),"")</f>
        <v/>
      </c>
      <c r="D205" s="21">
        <f>IF($C205="","",INDEX(인턴근무계획!$D$3:$D$202,$A205))</f>
        <v/>
      </c>
      <c r="E205" s="21">
        <f>IF($C205="","",IF(IFERROR(MATCH($D205,기본자료!$B$2:$B$501,0),IFERROR(MATCH($D205&amp;"",기본자료!$B$2:$B$501,0),IFERROR(MATCH(VALUE($D205),기본자료!$B$2:$B$501,0),0)))&gt;0,"확인","미등록"))</f>
        <v/>
      </c>
      <c r="F205" s="25">
        <f>IF($C205="","",INDEX(인턴근무계획!$S$3:$S$202,$A205))</f>
        <v/>
      </c>
      <c r="G205" s="21">
        <f>IF(OR($C205="",$G$3=""),"",IF(INDEX(인턴근무계획!$M$3:$R$202,$A205,$G$3)&amp;""="","",IF(LEFT(INDEX(인턴근무계획!$M$3:$R$202,$A205,$G$3)&amp;"",1)="⚠",INDEX(인턴근무계획!$M$3:$R$202,$A205,$G$3)&amp;"",LEFT(INDEX(인턴근무계획!$M$3:$R$202,$A205,$G$3)&amp;"",FIND(" ",INDEX(인턴근무계획!$M$3:$R$202,$A205,$G$3)&amp;"")-1))))</f>
        <v/>
      </c>
      <c r="H205" s="21">
        <f>IF(OR($C205="",$G$3=""),"",IF(INDEX(인턴근무계획!$M$3:$R$202,$A205,$G$3)&amp;""="","",IF(LEFT(INDEX(인턴근무계획!$M$3:$R$202,$A205,$G$3)&amp;"",1)="⚠","",MID(INDEX(인턴근무계획!$M$3:$R$202,$A205,$G$3)&amp;"",FIND(" ",INDEX(인턴근무계획!$M$3:$R$202,$A205,$G$3)&amp;"")+1,60))))</f>
        <v/>
      </c>
      <c r="I205" s="21">
        <f>IF(OR($C205="",$I$3=""),"",IF(INDEX(인턴근무계획!$M$3:$R$202,$A205,$I$3)&amp;""="","",IF(LEFT(INDEX(인턴근무계획!$M$3:$R$202,$A205,$I$3)&amp;"",1)="⚠",INDEX(인턴근무계획!$M$3:$R$202,$A205,$I$3)&amp;"",LEFT(INDEX(인턴근무계획!$M$3:$R$202,$A205,$I$3)&amp;"",FIND(" ",INDEX(인턴근무계획!$M$3:$R$202,$A205,$I$3)&amp;"")-1))))</f>
        <v/>
      </c>
      <c r="J205" s="21">
        <f>IF(OR($C205="",$I$3=""),"",IF(INDEX(인턴근무계획!$M$3:$R$202,$A205,$I$3)&amp;""="","",IF(LEFT(INDEX(인턴근무계획!$M$3:$R$202,$A205,$I$3)&amp;"",1)="⚠","",MID(INDEX(인턴근무계획!$M$3:$R$202,$A205,$I$3)&amp;"",FIND(" ",INDEX(인턴근무계획!$M$3:$R$202,$A205,$I$3)&amp;"")+1,60))))</f>
        <v/>
      </c>
      <c r="K205" s="21">
        <f>IF($C205="","",INDEX(인턴근무계획!$M$3:$M$202,$A205)&amp;"")</f>
        <v/>
      </c>
      <c r="L205" s="21">
        <f>IF($C205="","",INDEX(인턴근무계획!$N$3:$N$202,$A205)&amp;"")</f>
        <v/>
      </c>
      <c r="M205" s="21">
        <f>IF($C205="","",INDEX(인턴근무계획!$O$3:$O$202,$A205)&amp;"")</f>
        <v/>
      </c>
      <c r="N205" s="21">
        <f>IF($C205="","",INDEX(인턴근무계획!$P$3:$P$202,$A205)&amp;"")</f>
        <v/>
      </c>
      <c r="O205" s="21">
        <f>IF($C205="","",INDEX(인턴근무계획!$Q$3:$Q$202,$A205)&amp;"")</f>
        <v/>
      </c>
      <c r="P205" s="21">
        <f>IF($C205="","",INDEX(인턴근무계획!$R$3:$R$202,$A205)&amp;"")</f>
        <v/>
      </c>
      <c r="Q205" s="21">
        <f>IF($C205="","",INDEX(인턴근무계획!$T$3:$T$202,$A205))</f>
        <v/>
      </c>
    </row>
  </sheetData>
  <autoFilter ref="A5:Q205"/>
  <conditionalFormatting sqref="E6:E205">
    <cfRule type="expression" priority="1" dxfId="0">
      <formula>$E6="미등록"</formula>
    </cfRule>
  </conditionalFormatting>
  <conditionalFormatting sqref="K6:P205">
    <cfRule type="expression" priority="2" dxfId="1">
      <formula>LEFT(K6,1)="⚠"</formula>
    </cfRule>
  </conditionalFormatting>
  <conditionalFormatting sqref="K5:P205">
    <cfRule type="expression" priority="3" dxfId="11">
      <formula>K$3=MONTH(TODAY())</formula>
    </cfRule>
  </conditionalFormatting>
  <conditionalFormatting sqref="G6:H205">
    <cfRule type="expression" priority="4" dxfId="11">
      <formula>$G$3&lt;&gt;""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</cols>
  <sheetData>
    <row r="1">
      <c r="A1" s="4" t="inlineStr">
        <is>
          <t>병원</t>
        </is>
      </c>
      <c r="B1" s="4" t="inlineStr">
        <is>
          <t>근무과(진료과)</t>
        </is>
      </c>
      <c r="C1" s="4" t="inlineStr">
        <is>
          <t>파견종류</t>
        </is>
      </c>
      <c r="D1" s="4" t="inlineStr">
        <is>
          <t>인턴 전용 구분</t>
        </is>
      </c>
      <c r="F1" s="4" t="inlineStr">
        <is>
          <t>약칭</t>
        </is>
      </c>
      <c r="G1" s="4" t="inlineStr">
        <is>
          <t>정식 명칭</t>
        </is>
      </c>
      <c r="I1" s="2" t="inlineStr">
        <is>
          <t>※ 파란 글씨 칸은 모두 수정·추가할 수 있는 목록입니다.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모자파견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I2" s="2" t="inlineStr">
        <is>
          <t>※ 인턴근무계획의 월 칸은 '지역 진료과' 형식입니다. 지역 앞부분(서울/제주 등)은 A열 병원 이름에서 '병원'을 뺀 값과 맞아야 하고,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일반파견(단독)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I3" s="2" t="inlineStr">
        <is>
          <t xml:space="preserve">   진료과 약칭(마지막 단어)은 F열 약칭에 있어야 인정됩니다. (예: '제주 에스중앙 내과' → 제주병원 내과, '서울 산부' → 서울병원 산부인과)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다기관파견</t>
        </is>
      </c>
      <c r="D4" s="5" t="n"/>
      <c r="F4" s="5" t="inlineStr">
        <is>
          <t>신경과</t>
        </is>
      </c>
      <c r="G4" s="5" t="inlineStr">
        <is>
          <t>신경과</t>
        </is>
      </c>
      <c r="I4" s="2" t="inlineStr">
        <is>
          <t>※ F열에 없는 새 약칭이 필요하면 F열에 약칭, G열에 정식 명칭(B열 또는 D열 값)을 추가하세요.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</row>
    <row r="27">
      <c r="B27" s="5" t="n"/>
      <c r="F27" s="5" t="inlineStr">
        <is>
          <t>소청</t>
        </is>
      </c>
      <c r="G27" s="5" t="inlineStr">
        <is>
          <t>소아청소년과</t>
        </is>
      </c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</row>
    <row r="34">
      <c r="B34" s="5" t="n"/>
      <c r="F34" s="5" t="inlineStr">
        <is>
          <t>정형</t>
        </is>
      </c>
      <c r="G34" s="5" t="inlineStr">
        <is>
          <t>정형외과</t>
        </is>
      </c>
    </row>
    <row r="35">
      <c r="B35" s="5" t="n"/>
      <c r="F35" s="5" t="inlineStr">
        <is>
          <t>신외</t>
        </is>
      </c>
      <c r="G35" s="5" t="inlineStr">
        <is>
          <t>신경외과</t>
        </is>
      </c>
    </row>
    <row r="36">
      <c r="B36" s="5" t="n"/>
      <c r="F36" s="5" t="inlineStr">
        <is>
          <t>성형</t>
        </is>
      </c>
      <c r="G36" s="5" t="inlineStr">
        <is>
          <t>성형외과</t>
        </is>
      </c>
    </row>
    <row r="37">
      <c r="B37" s="5" t="n"/>
      <c r="F37" s="5" t="inlineStr">
        <is>
          <t>산부</t>
        </is>
      </c>
      <c r="G37" s="5" t="inlineStr">
        <is>
          <t>산부인과</t>
        </is>
      </c>
    </row>
    <row r="38">
      <c r="B38" s="5" t="n"/>
      <c r="F38" s="5" t="inlineStr">
        <is>
          <t>이비</t>
        </is>
      </c>
      <c r="G38" s="5" t="inlineStr">
        <is>
          <t>이비인후과</t>
        </is>
      </c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</row>
    <row r="40">
      <c r="B40" s="5" t="n"/>
      <c r="F40" s="5" t="inlineStr">
        <is>
          <t>비뇨</t>
        </is>
      </c>
      <c r="G40" s="5" t="inlineStr">
        <is>
          <t>비뇨의학과</t>
        </is>
      </c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</row>
    <row r="42">
      <c r="F42" s="5" t="inlineStr">
        <is>
          <t>재활</t>
        </is>
      </c>
      <c r="G42" s="5" t="inlineStr">
        <is>
          <t>재활의학과</t>
        </is>
      </c>
    </row>
    <row r="43">
      <c r="F43" s="5" t="inlineStr">
        <is>
          <t>마취</t>
        </is>
      </c>
      <c r="G43" s="5" t="inlineStr">
        <is>
          <t>마취통증의학과</t>
        </is>
      </c>
    </row>
    <row r="44">
      <c r="F44" s="5" t="inlineStr">
        <is>
          <t>마통</t>
        </is>
      </c>
      <c r="G44" s="5" t="inlineStr">
        <is>
          <t>마취통증의학과</t>
        </is>
      </c>
    </row>
    <row r="45">
      <c r="F45" s="5" t="inlineStr">
        <is>
          <t>영상</t>
        </is>
      </c>
      <c r="G45" s="5" t="inlineStr">
        <is>
          <t>영상의학과</t>
        </is>
      </c>
    </row>
    <row r="46">
      <c r="F46" s="5" t="inlineStr">
        <is>
          <t>진검</t>
        </is>
      </c>
      <c r="G46" s="5" t="inlineStr">
        <is>
          <t>진단검사의학과</t>
        </is>
      </c>
    </row>
    <row r="47">
      <c r="F47" s="5" t="inlineStr">
        <is>
          <t>진단검사</t>
        </is>
      </c>
      <c r="G47" s="5" t="inlineStr">
        <is>
          <t>진단검사의학과</t>
        </is>
      </c>
    </row>
    <row r="48">
      <c r="F48" s="5" t="inlineStr">
        <is>
          <t>병리</t>
        </is>
      </c>
      <c r="G48" s="5" t="inlineStr">
        <is>
          <t>병리과</t>
        </is>
      </c>
    </row>
    <row r="49">
      <c r="F49" s="5" t="inlineStr">
        <is>
          <t>가정</t>
        </is>
      </c>
      <c r="G49" s="5" t="inlineStr">
        <is>
          <t>가정의학과</t>
        </is>
      </c>
    </row>
    <row r="50">
      <c r="F50" s="5" t="inlineStr">
        <is>
          <t>가정의학</t>
        </is>
      </c>
      <c r="G50" s="5" t="inlineStr">
        <is>
          <t>가정의학과</t>
        </is>
      </c>
    </row>
    <row r="51">
      <c r="F51" s="5" t="inlineStr">
        <is>
          <t>응급</t>
        </is>
      </c>
      <c r="G51" s="5" t="inlineStr">
        <is>
          <t>응급의학과</t>
        </is>
      </c>
    </row>
    <row r="52">
      <c r="F52" s="5" t="inlineStr">
        <is>
          <t>핵의학</t>
        </is>
      </c>
      <c r="G52" s="5" t="inlineStr">
        <is>
          <t>핵의학과</t>
        </is>
      </c>
    </row>
    <row r="53">
      <c r="F53" s="5" t="inlineStr">
        <is>
          <t>핵</t>
        </is>
      </c>
      <c r="G53" s="5" t="inlineStr">
        <is>
          <t>핵의학과</t>
        </is>
      </c>
    </row>
    <row r="54">
      <c r="F54" s="5" t="inlineStr">
        <is>
          <t>직업환경</t>
        </is>
      </c>
      <c r="G54" s="5" t="inlineStr">
        <is>
          <t>직업환경의학과</t>
        </is>
      </c>
    </row>
    <row r="55">
      <c r="F55" s="5" t="inlineStr">
        <is>
          <t>직환</t>
        </is>
      </c>
      <c r="G55" s="5" t="inlineStr">
        <is>
          <t>직업환경의학과</t>
        </is>
      </c>
    </row>
    <row r="56">
      <c r="F56" s="5" t="inlineStr">
        <is>
          <t>수련교육부</t>
        </is>
      </c>
      <c r="G56" s="5" t="inlineStr">
        <is>
          <t>수련교육부(인턴)</t>
        </is>
      </c>
    </row>
    <row r="57">
      <c r="F57" s="5" t="inlineStr">
        <is>
          <t>인턴</t>
        </is>
      </c>
      <c r="G57" s="5" t="inlineStr">
        <is>
          <t>수련교육부(인턴)</t>
        </is>
      </c>
    </row>
    <row r="58">
      <c r="F58" s="5" t="inlineStr">
        <is>
          <t>핵방</t>
        </is>
      </c>
      <c r="G58" s="5" t="inlineStr">
        <is>
          <t>핵/방</t>
        </is>
      </c>
    </row>
    <row r="59">
      <c r="F59" s="5" t="inlineStr">
        <is>
          <t>핵/방</t>
        </is>
      </c>
      <c r="G59" s="5" t="inlineStr">
        <is>
          <t>핵/방</t>
        </is>
      </c>
    </row>
    <row r="60">
      <c r="F60" s="5" t="inlineStr">
        <is>
          <t>통합</t>
        </is>
      </c>
      <c r="G60" s="5" t="inlineStr">
        <is>
          <t>통합</t>
        </is>
      </c>
    </row>
    <row r="61">
      <c r="F61" s="5" t="n"/>
      <c r="G61" s="5" t="n"/>
    </row>
    <row r="62">
      <c r="F62" s="5" t="n"/>
      <c r="G62" s="5" t="n"/>
    </row>
    <row r="63">
      <c r="F63" s="5" t="n"/>
      <c r="G63" s="5" t="n"/>
    </row>
    <row r="64">
      <c r="F64" s="5" t="n"/>
      <c r="G64" s="5" t="n"/>
    </row>
    <row r="65">
      <c r="F65" s="5" t="n"/>
      <c r="G65" s="5" t="n"/>
    </row>
    <row r="66">
      <c r="F66" s="5" t="n"/>
      <c r="G66" s="5" t="n"/>
    </row>
    <row r="67">
      <c r="F67" s="5" t="n"/>
      <c r="G67" s="5" t="n"/>
    </row>
    <row r="68">
      <c r="F68" s="5" t="n"/>
      <c r="G68" s="5" t="n"/>
    </row>
    <row r="69">
      <c r="F69" s="5" t="n"/>
      <c r="G69" s="5" t="n"/>
    </row>
    <row r="70">
      <c r="F70" s="5" t="n"/>
      <c r="G70" s="5" t="n"/>
    </row>
    <row r="71">
      <c r="F71" s="5" t="n"/>
      <c r="G71" s="5" t="n"/>
    </row>
    <row r="72">
      <c r="F72" s="5" t="n"/>
      <c r="G72" s="5" t="n"/>
    </row>
    <row r="73">
      <c r="F73" s="5" t="n"/>
      <c r="G73" s="5" t="n"/>
    </row>
    <row r="74">
      <c r="F74" s="5" t="n"/>
      <c r="G74" s="5" t="n"/>
    </row>
    <row r="75">
      <c r="F75" s="5" t="n"/>
      <c r="G75" s="5" t="n"/>
    </row>
    <row r="76">
      <c r="F76" s="5" t="n"/>
      <c r="G76" s="5" t="n"/>
    </row>
    <row r="77">
      <c r="F77" s="5" t="n"/>
      <c r="G77" s="5" t="n"/>
    </row>
    <row r="78">
      <c r="F78" s="5" t="n"/>
      <c r="G78" s="5" t="n"/>
    </row>
    <row r="79">
      <c r="F79" s="5" t="n"/>
      <c r="G79" s="5" t="n"/>
    </row>
    <row r="80">
      <c r="F80" s="5" t="n"/>
      <c r="G80" s="5" t="n"/>
    </row>
    <row r="81">
      <c r="F81" s="5" t="n"/>
      <c r="G81" s="5" t="n"/>
    </row>
    <row r="82">
      <c r="F82" s="5" t="n"/>
      <c r="G82" s="5" t="n"/>
    </row>
    <row r="83">
      <c r="F83" s="5" t="n"/>
      <c r="G83" s="5" t="n"/>
    </row>
    <row r="84">
      <c r="F84" s="5" t="n"/>
      <c r="G84" s="5" t="n"/>
    </row>
    <row r="85">
      <c r="F85" s="5" t="n"/>
      <c r="G85" s="5" t="n"/>
    </row>
    <row r="86">
      <c r="F86" s="5" t="n"/>
      <c r="G86" s="5" t="n"/>
    </row>
    <row r="87">
      <c r="F87" s="5" t="n"/>
      <c r="G87" s="5" t="n"/>
    </row>
    <row r="88">
      <c r="F88" s="5" t="n"/>
      <c r="G88" s="5" t="n"/>
    </row>
    <row r="89">
      <c r="F89" s="5" t="n"/>
      <c r="G89" s="5" t="n"/>
    </row>
    <row r="90">
      <c r="F90" s="5" t="n"/>
      <c r="G90" s="5" t="n"/>
    </row>
    <row r="91">
      <c r="F91" s="5" t="n"/>
      <c r="G91" s="5" t="n"/>
    </row>
    <row r="92">
      <c r="F92" s="5" t="n"/>
      <c r="G92" s="5" t="n"/>
    </row>
    <row r="93">
      <c r="F93" s="5" t="n"/>
      <c r="G93" s="5" t="n"/>
    </row>
    <row r="94">
      <c r="F94" s="5" t="n"/>
      <c r="G94" s="5" t="n"/>
    </row>
    <row r="95">
      <c r="F95" s="5" t="n"/>
      <c r="G95" s="5" t="n"/>
    </row>
    <row r="96">
      <c r="F96" s="5" t="n"/>
      <c r="G96" s="5" t="n"/>
    </row>
    <row r="97">
      <c r="F97" s="5" t="n"/>
      <c r="G97" s="5" t="n"/>
    </row>
    <row r="98">
      <c r="F98" s="5" t="n"/>
      <c r="G98" s="5" t="n"/>
    </row>
    <row r="99">
      <c r="F99" s="5" t="n"/>
      <c r="G99" s="5" t="n"/>
    </row>
    <row r="100">
      <c r="F100" s="5" t="n"/>
      <c r="G100" s="5" t="n"/>
    </row>
    <row r="101">
      <c r="F101" s="5" t="n"/>
      <c r="G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2026-10-03T08:59:01Z</dcterms:created>
  <dcterms:modified xsi:type="dcterms:W3CDTF">2026-10-03T08:59:02Z</dcterms:modified>
</cp:coreProperties>
</file>