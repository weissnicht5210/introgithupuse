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안내" sheetId="1" state="visible" r:id="rId1"/>
    <sheet name="기본자료" sheetId="2" state="visible" r:id="rId2"/>
    <sheet name="전공의명단" sheetId="3" state="visible" r:id="rId3"/>
    <sheet name="인턴근무계획" sheetId="4" state="visible" r:id="rId4"/>
    <sheet name="인턴현황" sheetId="5" state="visible" r:id="rId5"/>
    <sheet name="요약" sheetId="6" state="visible" r:id="rId6"/>
    <sheet name="코드표" sheetId="7" state="visible" r:id="rId7"/>
  </sheets>
  <definedNames>
    <definedName name="_xlnm._FilterDatabase" localSheetId="1" hidden="1">'기본자료'!$A$1:$L$501</definedName>
    <definedName name="_xlnm._FilterDatabase" localSheetId="4" hidden="1">'인턴현황'!$A$5:$P$205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color rgb="000000FF"/>
      <sz val="10"/>
    </font>
    <font>
      <name val="맑은 고딕"/>
      <sz val="10"/>
    </font>
    <font>
      <name val="맑은 고딕"/>
      <b val="1"/>
      <sz val="14"/>
    </font>
    <font>
      <name val="맑은 고딕"/>
      <b val="1"/>
      <sz val="10"/>
    </font>
    <font>
      <name val="맑은 고딕"/>
      <color rgb="007F7F7F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548235"/>
      </patternFill>
    </fill>
    <fill>
      <patternFill patternType="solid">
        <fgColor rgb="00F2F2F2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49" fontId="2" fillId="0" borderId="1" pivotButton="0" quotePrefix="0" xfId="0"/>
    <xf numFmtId="0" fontId="1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" fontId="3" fillId="4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4" fontId="3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2" fillId="5" borderId="0" pivotButton="0" quotePrefix="0" xfId="0"/>
  </cellXfs>
  <cellStyles count="1">
    <cellStyle name="Normal" xfId="0" builtinId="0" hidden="0"/>
  </cellStyles>
  <dxfs count="10">
    <dxf>
      <font>
        <name val="맑은 고딕"/>
        <b val="1"/>
        <color rgb="00FFFFFF"/>
      </font>
      <fill>
        <patternFill patternType="solid">
          <bgColor rgb="00FF0000"/>
        </patternFill>
      </fill>
    </dxf>
    <dxf>
      <fill>
        <patternFill patternType="solid">
          <bgColor rgb="00FFC000"/>
        </patternFill>
      </fill>
    </dxf>
    <dxf>
      <font>
        <name val="맑은 고딕"/>
        <b val="1"/>
        <color rgb="00FF0000"/>
      </font>
    </dxf>
    <dxf>
      <font>
        <name val="맑은 고딕"/>
        <color rgb="007F7F7F"/>
      </font>
      <fill>
        <patternFill patternType="solid">
          <bgColor rgb="00D9D9D9"/>
        </patternFill>
      </fill>
    </dxf>
    <dxf>
      <fill>
        <patternFill patternType="solid">
          <bgColor rgb="00F8CBAD"/>
        </patternFill>
      </fill>
    </dxf>
    <dxf>
      <fill>
        <patternFill patternType="solid">
          <bgColor rgb="00C6E0B4"/>
        </patternFill>
      </fill>
    </dxf>
    <dxf>
      <fill>
        <patternFill patternType="solid">
          <bgColor rgb="00BDD7EE"/>
        </patternFill>
      </fill>
    </dxf>
    <dxf>
      <fill>
        <patternFill patternType="solid">
          <bgColor rgb="00FFFF00"/>
        </patternFill>
      </fill>
    </dxf>
    <dxf>
      <fill>
        <patternFill patternType="solid">
          <bgColor rgb="00FFC7CE"/>
        </patternFill>
      </fill>
    </dxf>
    <dxf>
      <fill>
        <patternFill patternType="solid"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전공의" displayName="전공의" ref="A1:W201" headerRowCount="1">
  <autoFilter ref="A1:W201"/>
  <tableColumns count="23">
    <tableColumn id="1" name="번호"/>
    <tableColumn id="2" name="사번"/>
    <tableColumn id="3" name="이름"/>
    <tableColumn id="4" name="성별"/>
    <tableColumn id="5" name="생년월일"/>
    <tableColumn id="6" name="수련과목"/>
    <tableColumn id="7" name="연차"/>
    <tableColumn id="8" name="근무지"/>
    <tableColumn id="9" name="수련개시일"/>
    <tableColumn id="10" name="전공의등록번호"/>
    <tableColumn id="11" name="의사면허번호"/>
    <tableColumn id="12" name="재직여부"/>
    <tableColumn id="13" name="현재 근무병원"/>
    <tableColumn id="14" name="현재 진료과"/>
    <tableColumn id="15" name="급여지급병원"/>
    <tableColumn id="16" name="파견종류"/>
    <tableColumn id="17" name="파견시작일"/>
    <tableColumn id="18" name="파견종료일"/>
    <tableColumn id="19" name="파견상태"/>
    <tableColumn id="20" name="파견기간(일)"/>
    <tableColumn id="21" name="종료까지(일)"/>
    <tableColumn id="22" name="비고"/>
    <tableColumn id="23" name="기본자료행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showGridLines="0"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전공의 파견 모니터링 사용 안내</t>
        </is>
      </c>
    </row>
    <row r="2">
      <c r="A2" s="2" t="inlineStr"/>
    </row>
    <row r="3">
      <c r="A3" s="3" t="inlineStr">
        <is>
          <t>[전체 흐름]</t>
        </is>
      </c>
    </row>
    <row r="4">
      <c r="A4" s="2" t="inlineStr">
        <is>
          <t>1) 기본자료 시트에 전공의 기본자료를 업로드(붙여넣기)합니다.  2) 전공의명단 시트에 사번을 입력하면 인적사항이 자동으로 채워집니다.  3) 현재 근무병원·진료과·급여지급병원·파견 정보를 입력합니다.</t>
        </is>
      </c>
    </row>
    <row r="5">
      <c r="A5" s="2" t="inlineStr"/>
    </row>
    <row r="6">
      <c r="A6" s="3" t="inlineStr">
        <is>
          <t>[기본자료 업로드]</t>
        </is>
      </c>
    </row>
    <row r="7">
      <c r="A7" s="2" t="inlineStr">
        <is>
          <t>• 기본자료 시트 A1:L1의 머리글 순서와 같은 양식(현재근무 여부·사번·이름·수련과목·연차·근무지·수련개시일·전공의등록번호·의사면허번호·성별·생년월일·비고)으로 A2부터 붙여넣으세요. 최대 500명.</t>
        </is>
      </c>
    </row>
    <row r="8">
      <c r="A8" s="2" t="inlineStr">
        <is>
          <t>• 열 순서는 반드시 유지해야 합니다(수식이 열 위치로 조회). 기본자료는 사번이 같으면 정렬 순서가 바뀌거나 갱신돼도 명단에 올바르게 연결됩니다.</t>
        </is>
      </c>
    </row>
    <row r="9">
      <c r="A9" s="2" t="inlineStr">
        <is>
          <t>• 날짜(수련개시일·생년월일)는 20260301 형식 숫자도 자동으로 날짜로 변환됩니다. 변환이 안 되는 값(예: 19999999)은 빨간 글씨 원문으로 표시되고 요약의 '날짜 형식 오류'에 집계됩니다.</t>
        </is>
      </c>
    </row>
    <row r="10">
      <c r="A10" s="2" t="inlineStr">
        <is>
          <t>• 기본자료 2~9행은 가상 예시(김ㅇㅇ 등)입니다. 삭제하고 실제 자료를 붙여넣으세요.</t>
        </is>
      </c>
    </row>
    <row r="11">
      <c r="A11" s="2" t="inlineStr"/>
    </row>
    <row r="12">
      <c r="A12" s="3" t="inlineStr">
        <is>
          <t>[전공의명단 입력]</t>
        </is>
      </c>
    </row>
    <row r="13">
      <c r="A13" s="2" t="inlineStr">
        <is>
          <t>• 파란 글씨 칸만 입력: 사번, 현재 근무병원, 현재 진료과, 급여지급병원, 파견종류, 파견시작일, 파견종료일, 비고.</t>
        </is>
      </c>
    </row>
    <row r="14">
      <c r="A14" s="2" t="inlineStr">
        <is>
          <t>• 초록 머리글(회색 칸)은 기본자료에서 자동 조회되며, 회색 칸(번호·파견상태·파견기간·종료까지·기본자료행)도 수식이므로 지우지 마세요.</t>
        </is>
      </c>
    </row>
    <row r="15">
      <c r="A15" s="2" t="inlineStr">
        <is>
          <t>• 모니터링할 전공의의 사번만 입력하면 됩니다(최대 200명). 기본자료에 없는 사번은 빨간색, 중복 사번은 주황색으로 표시됩니다.</t>
        </is>
      </c>
    </row>
    <row r="16">
      <c r="A16" s="2" t="inlineStr">
        <is>
          <t>• 파견이 없는 전공의는 파견종류·시작일·종료일을 비워 두세요. 종료일이 비어 있으면 종료 미정(파견중)으로 봅니다.</t>
        </is>
      </c>
    </row>
    <row r="17">
      <c r="A17" s="2" t="inlineStr">
        <is>
          <t>• 병원/진료과/파견종류 항목은 코드표 시트에서 관리합니다.</t>
        </is>
      </c>
    </row>
    <row r="18">
      <c r="A18" s="2" t="inlineStr"/>
    </row>
    <row r="19">
      <c r="A19" s="3" t="inlineStr">
        <is>
          <t>[인턴 근무계획 (수련교육부)]</t>
        </is>
      </c>
    </row>
    <row r="20">
      <c r="A20" s="2" t="inlineStr">
        <is>
          <t>• 인턴근무계획 시트에 인턴근무계획표를 업로드 양식 그대로(B1 제목, B2:K2 머리글, 3행부터 자료) 붙여넣으세요. 최대 200명. 3~5행은 가상 예시입니다.</t>
        </is>
      </c>
    </row>
    <row r="21">
      <c r="A21" s="2" t="inlineStr">
        <is>
          <t>• 월 칸은 '병원 진료과'(공백으로 구분, 예: 구리 내과) 형식이어야 병원/진료과로 자동 분리됩니다. 월 머리글이 바뀌면(예: 3~8월) 이번 달 위치가 자동으로 따라갑니다.</t>
        </is>
      </c>
    </row>
    <row r="22">
      <c r="A22" s="2" t="inlineStr">
        <is>
          <t>• 인턴현황 시트: 오늘 기준 이번 달·다음 달 근무 병원/진료과, 월별 병원, 기본자료 사번 확인(미등록 시 빨간색), 월별 병원별 인원표를 보여줍니다. 정렬·필터는 인턴현황에서 하세요(입력은 인턴근무계획에서만).</t>
        </is>
      </c>
    </row>
    <row r="23">
      <c r="A23" s="2" t="inlineStr">
        <is>
          <t>• 인턴을 기본자료에도 올려 두면(수련과목=인턴) 사번으로 인적사항을 확인할 수 있습니다.</t>
        </is>
      </c>
    </row>
    <row r="24">
      <c r="A24" s="2" t="inlineStr"/>
    </row>
    <row r="25">
      <c r="A25" s="3" t="inlineStr">
        <is>
          <t>[정렬·필터]</t>
        </is>
      </c>
    </row>
    <row r="26">
      <c r="A26" s="2" t="inlineStr">
        <is>
          <t>• 전공의명단 머리글의 ▼ 버튼으로 정렬/필터합니다 (예: 파견상태=파견중, 종료까지(일) 오름차순 → 종료 임박순). 사번·이름은 고정되어 가로 스크롤 시에도 보입니다.</t>
        </is>
      </c>
    </row>
    <row r="27">
      <c r="A27" s="2" t="inlineStr"/>
    </row>
    <row r="28">
      <c r="A28" s="3" t="inlineStr">
        <is>
          <t>[자동 표시]</t>
        </is>
      </c>
    </row>
    <row r="29">
      <c r="A29" s="2" t="inlineStr">
        <is>
          <t>• 파견상태: 오늘 기준 파견예정 / 파견중 / 파견종료.  주황색 행: 파견중이면서 종료까지 기준일수(요약 시트, 기본 30일) 이내.  회색: 파견종료.</t>
        </is>
      </c>
    </row>
    <row r="30">
      <c r="A30" s="2" t="inlineStr">
        <is>
          <t>• 급여지급병원 칸이 노란색: 현재 근무병원과 다름.</t>
        </is>
      </c>
    </row>
    <row r="31">
      <c r="A31" s="2" t="inlineStr"/>
    </row>
    <row r="32">
      <c r="A32" s="3" t="inlineStr">
        <is>
          <t>[가정 사항]</t>
        </is>
      </c>
    </row>
    <row r="33">
      <c r="A33" s="2" t="inlineStr">
        <is>
          <t>• 기본자료의 '근무지'(예: 서울)와 코드표의 병원명을 같은 표기로 맞추면 집계가 편합니다. 현재 근무병원은 파견 중 실제 근무하는 곳을 별도로 입력하는 칸입니다.</t>
        </is>
      </c>
    </row>
    <row r="34">
      <c r="A34" s="2" t="inlineStr">
        <is>
          <t>• 개인정보(생년월일·면허번호 등)가 포함되므로 파일 암호 설정과 접근 권한 관리를 권장합니다.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0" customWidth="1" min="3" max="3"/>
    <col width="14" customWidth="1" min="4" max="4"/>
    <col width="12" customWidth="1" min="5" max="5"/>
    <col width="10" customWidth="1" min="6" max="6"/>
    <col width="13" customWidth="1" min="7" max="7"/>
    <col width="15" customWidth="1" min="8" max="8"/>
    <col width="14" customWidth="1" min="9" max="9"/>
    <col width="7" customWidth="1" min="10" max="10"/>
    <col width="13" customWidth="1" min="11" max="11"/>
    <col width="18" customWidth="1" min="12" max="12"/>
  </cols>
  <sheetData>
    <row r="1">
      <c r="A1" s="4" t="inlineStr">
        <is>
          <t>현재근무 여부</t>
        </is>
      </c>
      <c r="B1" s="4" t="inlineStr">
        <is>
          <t>사번</t>
        </is>
      </c>
      <c r="C1" s="4" t="inlineStr">
        <is>
          <t>이름</t>
        </is>
      </c>
      <c r="D1" s="4" t="inlineStr">
        <is>
          <t>수련과목</t>
        </is>
      </c>
      <c r="E1" s="4" t="inlineStr">
        <is>
          <t>연차</t>
        </is>
      </c>
      <c r="F1" s="4" t="inlineStr">
        <is>
          <t>근무지</t>
        </is>
      </c>
      <c r="G1" s="4" t="inlineStr">
        <is>
          <t>수련개시일</t>
        </is>
      </c>
      <c r="H1" s="4" t="inlineStr">
        <is>
          <t>전공의등록번호</t>
        </is>
      </c>
      <c r="I1" s="4" t="inlineStr">
        <is>
          <t>의사면허번호</t>
        </is>
      </c>
      <c r="J1" s="4" t="inlineStr">
        <is>
          <t>성별</t>
        </is>
      </c>
      <c r="K1" s="4" t="inlineStr">
        <is>
          <t>생년월일</t>
        </is>
      </c>
      <c r="L1" s="4" t="inlineStr">
        <is>
          <t>비고</t>
        </is>
      </c>
    </row>
    <row r="2">
      <c r="A2" s="5" t="inlineStr">
        <is>
          <t>재직</t>
        </is>
      </c>
      <c r="B2" s="6" t="inlineStr">
        <is>
          <t>2261212</t>
        </is>
      </c>
      <c r="C2" s="5" t="inlineStr">
        <is>
          <t>김ㅇㅇ</t>
        </is>
      </c>
      <c r="D2" s="5" t="inlineStr">
        <is>
          <t>가정의학과</t>
        </is>
      </c>
      <c r="E2" s="5" t="inlineStr">
        <is>
          <t>레지던트1</t>
        </is>
      </c>
      <c r="F2" s="5" t="inlineStr">
        <is>
          <t>서울</t>
        </is>
      </c>
      <c r="G2" s="5" t="n">
        <v>20260301</v>
      </c>
      <c r="H2" s="6" t="inlineStr">
        <is>
          <t>11-1111</t>
        </is>
      </c>
      <c r="I2" s="5" t="n">
        <v>111111</v>
      </c>
      <c r="J2" s="5" t="inlineStr">
        <is>
          <t>여</t>
        </is>
      </c>
      <c r="K2" s="5" t="n">
        <v>19999999</v>
      </c>
      <c r="L2" s="5" t="n"/>
    </row>
    <row r="3">
      <c r="A3" s="5" t="inlineStr">
        <is>
          <t>재직</t>
        </is>
      </c>
      <c r="B3" s="6" t="inlineStr">
        <is>
          <t>2261213</t>
        </is>
      </c>
      <c r="C3" s="5" t="inlineStr">
        <is>
          <t>이ㅇㅇ</t>
        </is>
      </c>
      <c r="D3" s="5" t="inlineStr">
        <is>
          <t>내과</t>
        </is>
      </c>
      <c r="E3" s="5" t="inlineStr">
        <is>
          <t>레지던트2</t>
        </is>
      </c>
      <c r="F3" s="5" t="inlineStr">
        <is>
          <t>서울</t>
        </is>
      </c>
      <c r="G3" s="5" t="n">
        <v>20250301</v>
      </c>
      <c r="H3" s="6" t="inlineStr">
        <is>
          <t>11-1112</t>
        </is>
      </c>
      <c r="I3" s="5" t="n">
        <v>111112</v>
      </c>
      <c r="J3" s="5" t="inlineStr">
        <is>
          <t>남</t>
        </is>
      </c>
      <c r="K3" s="5" t="n">
        <v>19950702</v>
      </c>
      <c r="L3" s="5" t="n"/>
    </row>
    <row r="4">
      <c r="A4" s="5" t="inlineStr">
        <is>
          <t>재직</t>
        </is>
      </c>
      <c r="B4" s="6" t="inlineStr">
        <is>
          <t>2261214</t>
        </is>
      </c>
      <c r="C4" s="5" t="inlineStr">
        <is>
          <t>박ㅇㅇ</t>
        </is>
      </c>
      <c r="D4" s="5" t="inlineStr">
        <is>
          <t>소아청소년과</t>
        </is>
      </c>
      <c r="E4" s="5" t="inlineStr">
        <is>
          <t>레지던트1</t>
        </is>
      </c>
      <c r="F4" s="5" t="inlineStr">
        <is>
          <t>구리</t>
        </is>
      </c>
      <c r="G4" s="5" t="n">
        <v>20260301</v>
      </c>
      <c r="H4" s="6" t="inlineStr">
        <is>
          <t>11-1113</t>
        </is>
      </c>
      <c r="I4" s="5" t="n">
        <v>111113</v>
      </c>
      <c r="J4" s="5" t="inlineStr">
        <is>
          <t>여</t>
        </is>
      </c>
      <c r="K4" s="5" t="n">
        <v>19970125</v>
      </c>
      <c r="L4" s="5" t="n"/>
    </row>
    <row r="5">
      <c r="A5" s="5" t="inlineStr">
        <is>
          <t>재직</t>
        </is>
      </c>
      <c r="B5" s="6" t="inlineStr">
        <is>
          <t>2261215</t>
        </is>
      </c>
      <c r="C5" s="5" t="inlineStr">
        <is>
          <t>최ㅇㅇ</t>
        </is>
      </c>
      <c r="D5" s="5" t="inlineStr">
        <is>
          <t>산부인과</t>
        </is>
      </c>
      <c r="E5" s="5" t="inlineStr">
        <is>
          <t>레지던트3</t>
        </is>
      </c>
      <c r="F5" s="5" t="inlineStr">
        <is>
          <t>서울</t>
        </is>
      </c>
      <c r="G5" s="5" t="n">
        <v>20240301</v>
      </c>
      <c r="H5" s="6" t="inlineStr">
        <is>
          <t>11-1114</t>
        </is>
      </c>
      <c r="I5" s="5" t="n">
        <v>111114</v>
      </c>
      <c r="J5" s="5" t="inlineStr">
        <is>
          <t>남</t>
        </is>
      </c>
      <c r="K5" s="5" t="n">
        <v>19961109</v>
      </c>
      <c r="L5" s="5" t="n"/>
    </row>
    <row r="6">
      <c r="A6" s="5" t="inlineStr">
        <is>
          <t>재직</t>
        </is>
      </c>
      <c r="B6" s="6" t="inlineStr">
        <is>
          <t>2261216</t>
        </is>
      </c>
      <c r="C6" s="5" t="inlineStr">
        <is>
          <t>정ㅇㅇ</t>
        </is>
      </c>
      <c r="D6" s="5" t="inlineStr">
        <is>
          <t>마취통증의학과</t>
        </is>
      </c>
      <c r="E6" s="5" t="inlineStr">
        <is>
          <t>레지던트2</t>
        </is>
      </c>
      <c r="F6" s="5" t="inlineStr">
        <is>
          <t>서울</t>
        </is>
      </c>
      <c r="G6" s="5" t="n">
        <v>20250301</v>
      </c>
      <c r="H6" s="6" t="inlineStr">
        <is>
          <t>11-1115</t>
        </is>
      </c>
      <c r="I6" s="5" t="n">
        <v>111115</v>
      </c>
      <c r="J6" s="5" t="inlineStr">
        <is>
          <t>여</t>
        </is>
      </c>
      <c r="K6" s="5" t="n">
        <v>19980530</v>
      </c>
      <c r="L6" s="5" t="n"/>
    </row>
    <row r="7">
      <c r="A7" s="5" t="inlineStr">
        <is>
          <t>재직</t>
        </is>
      </c>
      <c r="B7" s="6" t="inlineStr">
        <is>
          <t>222222</t>
        </is>
      </c>
      <c r="C7" s="5" t="inlineStr">
        <is>
          <t>김ㅇㅇ</t>
        </is>
      </c>
      <c r="D7" s="5" t="inlineStr">
        <is>
          <t>인턴</t>
        </is>
      </c>
      <c r="E7" s="5" t="inlineStr">
        <is>
          <t>인턴</t>
        </is>
      </c>
      <c r="F7" s="5" t="inlineStr">
        <is>
          <t>서울</t>
        </is>
      </c>
      <c r="G7" s="5" t="n">
        <v>20260301</v>
      </c>
      <c r="H7" s="6" t="inlineStr">
        <is>
          <t>22-2222</t>
        </is>
      </c>
      <c r="I7" s="5" t="n">
        <v>222222</v>
      </c>
      <c r="J7" s="5" t="inlineStr">
        <is>
          <t>여</t>
        </is>
      </c>
      <c r="K7" s="5" t="n">
        <v>19990101</v>
      </c>
      <c r="L7" s="5" t="n"/>
    </row>
    <row r="8">
      <c r="A8" s="5" t="inlineStr">
        <is>
          <t>재직</t>
        </is>
      </c>
      <c r="B8" s="6" t="inlineStr">
        <is>
          <t>222223</t>
        </is>
      </c>
      <c r="C8" s="5" t="inlineStr">
        <is>
          <t>이ㅇㅇ</t>
        </is>
      </c>
      <c r="D8" s="5" t="inlineStr">
        <is>
          <t>인턴</t>
        </is>
      </c>
      <c r="E8" s="5" t="inlineStr">
        <is>
          <t>인턴</t>
        </is>
      </c>
      <c r="F8" s="5" t="inlineStr">
        <is>
          <t>서울</t>
        </is>
      </c>
      <c r="G8" s="5" t="n">
        <v>20260301</v>
      </c>
      <c r="H8" s="6" t="inlineStr">
        <is>
          <t>22-2223</t>
        </is>
      </c>
      <c r="I8" s="5" t="n">
        <v>222223</v>
      </c>
      <c r="J8" s="5" t="inlineStr">
        <is>
          <t>남</t>
        </is>
      </c>
      <c r="K8" s="5" t="n">
        <v>19990202</v>
      </c>
      <c r="L8" s="5" t="n"/>
    </row>
    <row r="9">
      <c r="A9" s="5" t="inlineStr">
        <is>
          <t>재직</t>
        </is>
      </c>
      <c r="B9" s="6" t="inlineStr">
        <is>
          <t>222224</t>
        </is>
      </c>
      <c r="C9" s="5" t="inlineStr">
        <is>
          <t>박ㅇㅇ</t>
        </is>
      </c>
      <c r="D9" s="5" t="inlineStr">
        <is>
          <t>인턴</t>
        </is>
      </c>
      <c r="E9" s="5" t="inlineStr">
        <is>
          <t>인턴</t>
        </is>
      </c>
      <c r="F9" s="5" t="inlineStr">
        <is>
          <t>서울</t>
        </is>
      </c>
      <c r="G9" s="5" t="n">
        <v>20260301</v>
      </c>
      <c r="H9" s="6" t="inlineStr">
        <is>
          <t>22-2224</t>
        </is>
      </c>
      <c r="I9" s="5" t="n">
        <v>222224</v>
      </c>
      <c r="J9" s="5" t="inlineStr">
        <is>
          <t>남</t>
        </is>
      </c>
      <c r="K9" s="5" t="n">
        <v>19990303</v>
      </c>
      <c r="L9" s="5" t="n"/>
    </row>
    <row r="10">
      <c r="A10" s="5" t="n"/>
      <c r="B10" s="6" t="n"/>
      <c r="C10" s="5" t="n"/>
      <c r="D10" s="5" t="n"/>
      <c r="E10" s="5" t="n"/>
      <c r="F10" s="5" t="n"/>
      <c r="G10" s="5" t="n"/>
      <c r="H10" s="6" t="n"/>
      <c r="I10" s="5" t="n"/>
      <c r="J10" s="5" t="n"/>
      <c r="K10" s="5" t="n"/>
      <c r="L10" s="5" t="n"/>
    </row>
    <row r="11">
      <c r="A11" s="5" t="n"/>
      <c r="B11" s="6" t="n"/>
      <c r="C11" s="5" t="n"/>
      <c r="D11" s="5" t="n"/>
      <c r="E11" s="5" t="n"/>
      <c r="F11" s="5" t="n"/>
      <c r="G11" s="5" t="n"/>
      <c r="H11" s="6" t="n"/>
      <c r="I11" s="5" t="n"/>
      <c r="J11" s="5" t="n"/>
      <c r="K11" s="5" t="n"/>
      <c r="L11" s="5" t="n"/>
    </row>
    <row r="12">
      <c r="A12" s="5" t="n"/>
      <c r="B12" s="6" t="n"/>
      <c r="C12" s="5" t="n"/>
      <c r="D12" s="5" t="n"/>
      <c r="E12" s="5" t="n"/>
      <c r="F12" s="5" t="n"/>
      <c r="G12" s="5" t="n"/>
      <c r="H12" s="6" t="n"/>
      <c r="I12" s="5" t="n"/>
      <c r="J12" s="5" t="n"/>
      <c r="K12" s="5" t="n"/>
      <c r="L12" s="5" t="n"/>
    </row>
    <row r="13">
      <c r="A13" s="5" t="n"/>
      <c r="B13" s="6" t="n"/>
      <c r="C13" s="5" t="n"/>
      <c r="D13" s="5" t="n"/>
      <c r="E13" s="5" t="n"/>
      <c r="F13" s="5" t="n"/>
      <c r="G13" s="5" t="n"/>
      <c r="H13" s="6" t="n"/>
      <c r="I13" s="5" t="n"/>
      <c r="J13" s="5" t="n"/>
      <c r="K13" s="5" t="n"/>
      <c r="L13" s="5" t="n"/>
    </row>
    <row r="14">
      <c r="A14" s="5" t="n"/>
      <c r="B14" s="6" t="n"/>
      <c r="C14" s="5" t="n"/>
      <c r="D14" s="5" t="n"/>
      <c r="E14" s="5" t="n"/>
      <c r="F14" s="5" t="n"/>
      <c r="G14" s="5" t="n"/>
      <c r="H14" s="6" t="n"/>
      <c r="I14" s="5" t="n"/>
      <c r="J14" s="5" t="n"/>
      <c r="K14" s="5" t="n"/>
      <c r="L14" s="5" t="n"/>
    </row>
    <row r="15">
      <c r="A15" s="5" t="n"/>
      <c r="B15" s="6" t="n"/>
      <c r="C15" s="5" t="n"/>
      <c r="D15" s="5" t="n"/>
      <c r="E15" s="5" t="n"/>
      <c r="F15" s="5" t="n"/>
      <c r="G15" s="5" t="n"/>
      <c r="H15" s="6" t="n"/>
      <c r="I15" s="5" t="n"/>
      <c r="J15" s="5" t="n"/>
      <c r="K15" s="5" t="n"/>
      <c r="L15" s="5" t="n"/>
    </row>
    <row r="16">
      <c r="A16" s="5" t="n"/>
      <c r="B16" s="6" t="n"/>
      <c r="C16" s="5" t="n"/>
      <c r="D16" s="5" t="n"/>
      <c r="E16" s="5" t="n"/>
      <c r="F16" s="5" t="n"/>
      <c r="G16" s="5" t="n"/>
      <c r="H16" s="6" t="n"/>
      <c r="I16" s="5" t="n"/>
      <c r="J16" s="5" t="n"/>
      <c r="K16" s="5" t="n"/>
      <c r="L16" s="5" t="n"/>
    </row>
    <row r="17">
      <c r="A17" s="5" t="n"/>
      <c r="B17" s="6" t="n"/>
      <c r="C17" s="5" t="n"/>
      <c r="D17" s="5" t="n"/>
      <c r="E17" s="5" t="n"/>
      <c r="F17" s="5" t="n"/>
      <c r="G17" s="5" t="n"/>
      <c r="H17" s="6" t="n"/>
      <c r="I17" s="5" t="n"/>
      <c r="J17" s="5" t="n"/>
      <c r="K17" s="5" t="n"/>
      <c r="L17" s="5" t="n"/>
    </row>
    <row r="18">
      <c r="A18" s="5" t="n"/>
      <c r="B18" s="6" t="n"/>
      <c r="C18" s="5" t="n"/>
      <c r="D18" s="5" t="n"/>
      <c r="E18" s="5" t="n"/>
      <c r="F18" s="5" t="n"/>
      <c r="G18" s="5" t="n"/>
      <c r="H18" s="6" t="n"/>
      <c r="I18" s="5" t="n"/>
      <c r="J18" s="5" t="n"/>
      <c r="K18" s="5" t="n"/>
      <c r="L18" s="5" t="n"/>
    </row>
    <row r="19">
      <c r="A19" s="5" t="n"/>
      <c r="B19" s="6" t="n"/>
      <c r="C19" s="5" t="n"/>
      <c r="D19" s="5" t="n"/>
      <c r="E19" s="5" t="n"/>
      <c r="F19" s="5" t="n"/>
      <c r="G19" s="5" t="n"/>
      <c r="H19" s="6" t="n"/>
      <c r="I19" s="5" t="n"/>
      <c r="J19" s="5" t="n"/>
      <c r="K19" s="5" t="n"/>
      <c r="L19" s="5" t="n"/>
    </row>
    <row r="20">
      <c r="A20" s="5" t="n"/>
      <c r="B20" s="6" t="n"/>
      <c r="C20" s="5" t="n"/>
      <c r="D20" s="5" t="n"/>
      <c r="E20" s="5" t="n"/>
      <c r="F20" s="5" t="n"/>
      <c r="G20" s="5" t="n"/>
      <c r="H20" s="6" t="n"/>
      <c r="I20" s="5" t="n"/>
      <c r="J20" s="5" t="n"/>
      <c r="K20" s="5" t="n"/>
      <c r="L20" s="5" t="n"/>
    </row>
    <row r="21">
      <c r="A21" s="5" t="n"/>
      <c r="B21" s="6" t="n"/>
      <c r="C21" s="5" t="n"/>
      <c r="D21" s="5" t="n"/>
      <c r="E21" s="5" t="n"/>
      <c r="F21" s="5" t="n"/>
      <c r="G21" s="5" t="n"/>
      <c r="H21" s="6" t="n"/>
      <c r="I21" s="5" t="n"/>
      <c r="J21" s="5" t="n"/>
      <c r="K21" s="5" t="n"/>
      <c r="L21" s="5" t="n"/>
    </row>
    <row r="22">
      <c r="A22" s="5" t="n"/>
      <c r="B22" s="6" t="n"/>
      <c r="C22" s="5" t="n"/>
      <c r="D22" s="5" t="n"/>
      <c r="E22" s="5" t="n"/>
      <c r="F22" s="5" t="n"/>
      <c r="G22" s="5" t="n"/>
      <c r="H22" s="6" t="n"/>
      <c r="I22" s="5" t="n"/>
      <c r="J22" s="5" t="n"/>
      <c r="K22" s="5" t="n"/>
      <c r="L22" s="5" t="n"/>
    </row>
    <row r="23">
      <c r="A23" s="5" t="n"/>
      <c r="B23" s="6" t="n"/>
      <c r="C23" s="5" t="n"/>
      <c r="D23" s="5" t="n"/>
      <c r="E23" s="5" t="n"/>
      <c r="F23" s="5" t="n"/>
      <c r="G23" s="5" t="n"/>
      <c r="H23" s="6" t="n"/>
      <c r="I23" s="5" t="n"/>
      <c r="J23" s="5" t="n"/>
      <c r="K23" s="5" t="n"/>
      <c r="L23" s="5" t="n"/>
    </row>
    <row r="24">
      <c r="A24" s="5" t="n"/>
      <c r="B24" s="6" t="n"/>
      <c r="C24" s="5" t="n"/>
      <c r="D24" s="5" t="n"/>
      <c r="E24" s="5" t="n"/>
      <c r="F24" s="5" t="n"/>
      <c r="G24" s="5" t="n"/>
      <c r="H24" s="6" t="n"/>
      <c r="I24" s="5" t="n"/>
      <c r="J24" s="5" t="n"/>
      <c r="K24" s="5" t="n"/>
      <c r="L24" s="5" t="n"/>
    </row>
    <row r="25">
      <c r="A25" s="5" t="n"/>
      <c r="B25" s="6" t="n"/>
      <c r="C25" s="5" t="n"/>
      <c r="D25" s="5" t="n"/>
      <c r="E25" s="5" t="n"/>
      <c r="F25" s="5" t="n"/>
      <c r="G25" s="5" t="n"/>
      <c r="H25" s="6" t="n"/>
      <c r="I25" s="5" t="n"/>
      <c r="J25" s="5" t="n"/>
      <c r="K25" s="5" t="n"/>
      <c r="L25" s="5" t="n"/>
    </row>
    <row r="26">
      <c r="A26" s="5" t="n"/>
      <c r="B26" s="6" t="n"/>
      <c r="C26" s="5" t="n"/>
      <c r="D26" s="5" t="n"/>
      <c r="E26" s="5" t="n"/>
      <c r="F26" s="5" t="n"/>
      <c r="G26" s="5" t="n"/>
      <c r="H26" s="6" t="n"/>
      <c r="I26" s="5" t="n"/>
      <c r="J26" s="5" t="n"/>
      <c r="K26" s="5" t="n"/>
      <c r="L26" s="5" t="n"/>
    </row>
    <row r="27">
      <c r="A27" s="5" t="n"/>
      <c r="B27" s="6" t="n"/>
      <c r="C27" s="5" t="n"/>
      <c r="D27" s="5" t="n"/>
      <c r="E27" s="5" t="n"/>
      <c r="F27" s="5" t="n"/>
      <c r="G27" s="5" t="n"/>
      <c r="H27" s="6" t="n"/>
      <c r="I27" s="5" t="n"/>
      <c r="J27" s="5" t="n"/>
      <c r="K27" s="5" t="n"/>
      <c r="L27" s="5" t="n"/>
    </row>
    <row r="28">
      <c r="A28" s="5" t="n"/>
      <c r="B28" s="6" t="n"/>
      <c r="C28" s="5" t="n"/>
      <c r="D28" s="5" t="n"/>
      <c r="E28" s="5" t="n"/>
      <c r="F28" s="5" t="n"/>
      <c r="G28" s="5" t="n"/>
      <c r="H28" s="6" t="n"/>
      <c r="I28" s="5" t="n"/>
      <c r="J28" s="5" t="n"/>
      <c r="K28" s="5" t="n"/>
      <c r="L28" s="5" t="n"/>
    </row>
    <row r="29">
      <c r="A29" s="5" t="n"/>
      <c r="B29" s="6" t="n"/>
      <c r="C29" s="5" t="n"/>
      <c r="D29" s="5" t="n"/>
      <c r="E29" s="5" t="n"/>
      <c r="F29" s="5" t="n"/>
      <c r="G29" s="5" t="n"/>
      <c r="H29" s="6" t="n"/>
      <c r="I29" s="5" t="n"/>
      <c r="J29" s="5" t="n"/>
      <c r="K29" s="5" t="n"/>
      <c r="L29" s="5" t="n"/>
    </row>
    <row r="30">
      <c r="A30" s="5" t="n"/>
      <c r="B30" s="6" t="n"/>
      <c r="C30" s="5" t="n"/>
      <c r="D30" s="5" t="n"/>
      <c r="E30" s="5" t="n"/>
      <c r="F30" s="5" t="n"/>
      <c r="G30" s="5" t="n"/>
      <c r="H30" s="6" t="n"/>
      <c r="I30" s="5" t="n"/>
      <c r="J30" s="5" t="n"/>
      <c r="K30" s="5" t="n"/>
      <c r="L30" s="5" t="n"/>
    </row>
    <row r="31">
      <c r="A31" s="5" t="n"/>
      <c r="B31" s="6" t="n"/>
      <c r="C31" s="5" t="n"/>
      <c r="D31" s="5" t="n"/>
      <c r="E31" s="5" t="n"/>
      <c r="F31" s="5" t="n"/>
      <c r="G31" s="5" t="n"/>
      <c r="H31" s="6" t="n"/>
      <c r="I31" s="5" t="n"/>
      <c r="J31" s="5" t="n"/>
      <c r="K31" s="5" t="n"/>
      <c r="L31" s="5" t="n"/>
    </row>
    <row r="32">
      <c r="A32" s="5" t="n"/>
      <c r="B32" s="6" t="n"/>
      <c r="C32" s="5" t="n"/>
      <c r="D32" s="5" t="n"/>
      <c r="E32" s="5" t="n"/>
      <c r="F32" s="5" t="n"/>
      <c r="G32" s="5" t="n"/>
      <c r="H32" s="6" t="n"/>
      <c r="I32" s="5" t="n"/>
      <c r="J32" s="5" t="n"/>
      <c r="K32" s="5" t="n"/>
      <c r="L32" s="5" t="n"/>
    </row>
    <row r="33">
      <c r="A33" s="5" t="n"/>
      <c r="B33" s="6" t="n"/>
      <c r="C33" s="5" t="n"/>
      <c r="D33" s="5" t="n"/>
      <c r="E33" s="5" t="n"/>
      <c r="F33" s="5" t="n"/>
      <c r="G33" s="5" t="n"/>
      <c r="H33" s="6" t="n"/>
      <c r="I33" s="5" t="n"/>
      <c r="J33" s="5" t="n"/>
      <c r="K33" s="5" t="n"/>
      <c r="L33" s="5" t="n"/>
    </row>
    <row r="34">
      <c r="A34" s="5" t="n"/>
      <c r="B34" s="6" t="n"/>
      <c r="C34" s="5" t="n"/>
      <c r="D34" s="5" t="n"/>
      <c r="E34" s="5" t="n"/>
      <c r="F34" s="5" t="n"/>
      <c r="G34" s="5" t="n"/>
      <c r="H34" s="6" t="n"/>
      <c r="I34" s="5" t="n"/>
      <c r="J34" s="5" t="n"/>
      <c r="K34" s="5" t="n"/>
      <c r="L34" s="5" t="n"/>
    </row>
    <row r="35">
      <c r="A35" s="5" t="n"/>
      <c r="B35" s="6" t="n"/>
      <c r="C35" s="5" t="n"/>
      <c r="D35" s="5" t="n"/>
      <c r="E35" s="5" t="n"/>
      <c r="F35" s="5" t="n"/>
      <c r="G35" s="5" t="n"/>
      <c r="H35" s="6" t="n"/>
      <c r="I35" s="5" t="n"/>
      <c r="J35" s="5" t="n"/>
      <c r="K35" s="5" t="n"/>
      <c r="L35" s="5" t="n"/>
    </row>
    <row r="36">
      <c r="A36" s="5" t="n"/>
      <c r="B36" s="6" t="n"/>
      <c r="C36" s="5" t="n"/>
      <c r="D36" s="5" t="n"/>
      <c r="E36" s="5" t="n"/>
      <c r="F36" s="5" t="n"/>
      <c r="G36" s="5" t="n"/>
      <c r="H36" s="6" t="n"/>
      <c r="I36" s="5" t="n"/>
      <c r="J36" s="5" t="n"/>
      <c r="K36" s="5" t="n"/>
      <c r="L36" s="5" t="n"/>
    </row>
    <row r="37">
      <c r="A37" s="5" t="n"/>
      <c r="B37" s="6" t="n"/>
      <c r="C37" s="5" t="n"/>
      <c r="D37" s="5" t="n"/>
      <c r="E37" s="5" t="n"/>
      <c r="F37" s="5" t="n"/>
      <c r="G37" s="5" t="n"/>
      <c r="H37" s="6" t="n"/>
      <c r="I37" s="5" t="n"/>
      <c r="J37" s="5" t="n"/>
      <c r="K37" s="5" t="n"/>
      <c r="L37" s="5" t="n"/>
    </row>
    <row r="38">
      <c r="A38" s="5" t="n"/>
      <c r="B38" s="6" t="n"/>
      <c r="C38" s="5" t="n"/>
      <c r="D38" s="5" t="n"/>
      <c r="E38" s="5" t="n"/>
      <c r="F38" s="5" t="n"/>
      <c r="G38" s="5" t="n"/>
      <c r="H38" s="6" t="n"/>
      <c r="I38" s="5" t="n"/>
      <c r="J38" s="5" t="n"/>
      <c r="K38" s="5" t="n"/>
      <c r="L38" s="5" t="n"/>
    </row>
    <row r="39">
      <c r="A39" s="5" t="n"/>
      <c r="B39" s="6" t="n"/>
      <c r="C39" s="5" t="n"/>
      <c r="D39" s="5" t="n"/>
      <c r="E39" s="5" t="n"/>
      <c r="F39" s="5" t="n"/>
      <c r="G39" s="5" t="n"/>
      <c r="H39" s="6" t="n"/>
      <c r="I39" s="5" t="n"/>
      <c r="J39" s="5" t="n"/>
      <c r="K39" s="5" t="n"/>
      <c r="L39" s="5" t="n"/>
    </row>
    <row r="40">
      <c r="A40" s="5" t="n"/>
      <c r="B40" s="6" t="n"/>
      <c r="C40" s="5" t="n"/>
      <c r="D40" s="5" t="n"/>
      <c r="E40" s="5" t="n"/>
      <c r="F40" s="5" t="n"/>
      <c r="G40" s="5" t="n"/>
      <c r="H40" s="6" t="n"/>
      <c r="I40" s="5" t="n"/>
      <c r="J40" s="5" t="n"/>
      <c r="K40" s="5" t="n"/>
      <c r="L40" s="5" t="n"/>
    </row>
    <row r="41">
      <c r="A41" s="5" t="n"/>
      <c r="B41" s="6" t="n"/>
      <c r="C41" s="5" t="n"/>
      <c r="D41" s="5" t="n"/>
      <c r="E41" s="5" t="n"/>
      <c r="F41" s="5" t="n"/>
      <c r="G41" s="5" t="n"/>
      <c r="H41" s="6" t="n"/>
      <c r="I41" s="5" t="n"/>
      <c r="J41" s="5" t="n"/>
      <c r="K41" s="5" t="n"/>
      <c r="L41" s="5" t="n"/>
    </row>
    <row r="42">
      <c r="A42" s="5" t="n"/>
      <c r="B42" s="6" t="n"/>
      <c r="C42" s="5" t="n"/>
      <c r="D42" s="5" t="n"/>
      <c r="E42" s="5" t="n"/>
      <c r="F42" s="5" t="n"/>
      <c r="G42" s="5" t="n"/>
      <c r="H42" s="6" t="n"/>
      <c r="I42" s="5" t="n"/>
      <c r="J42" s="5" t="n"/>
      <c r="K42" s="5" t="n"/>
      <c r="L42" s="5" t="n"/>
    </row>
    <row r="43">
      <c r="A43" s="5" t="n"/>
      <c r="B43" s="6" t="n"/>
      <c r="C43" s="5" t="n"/>
      <c r="D43" s="5" t="n"/>
      <c r="E43" s="5" t="n"/>
      <c r="F43" s="5" t="n"/>
      <c r="G43" s="5" t="n"/>
      <c r="H43" s="6" t="n"/>
      <c r="I43" s="5" t="n"/>
      <c r="J43" s="5" t="n"/>
      <c r="K43" s="5" t="n"/>
      <c r="L43" s="5" t="n"/>
    </row>
    <row r="44">
      <c r="A44" s="5" t="n"/>
      <c r="B44" s="6" t="n"/>
      <c r="C44" s="5" t="n"/>
      <c r="D44" s="5" t="n"/>
      <c r="E44" s="5" t="n"/>
      <c r="F44" s="5" t="n"/>
      <c r="G44" s="5" t="n"/>
      <c r="H44" s="6" t="n"/>
      <c r="I44" s="5" t="n"/>
      <c r="J44" s="5" t="n"/>
      <c r="K44" s="5" t="n"/>
      <c r="L44" s="5" t="n"/>
    </row>
    <row r="45">
      <c r="A45" s="5" t="n"/>
      <c r="B45" s="6" t="n"/>
      <c r="C45" s="5" t="n"/>
      <c r="D45" s="5" t="n"/>
      <c r="E45" s="5" t="n"/>
      <c r="F45" s="5" t="n"/>
      <c r="G45" s="5" t="n"/>
      <c r="H45" s="6" t="n"/>
      <c r="I45" s="5" t="n"/>
      <c r="J45" s="5" t="n"/>
      <c r="K45" s="5" t="n"/>
      <c r="L45" s="5" t="n"/>
    </row>
    <row r="46">
      <c r="A46" s="5" t="n"/>
      <c r="B46" s="6" t="n"/>
      <c r="C46" s="5" t="n"/>
      <c r="D46" s="5" t="n"/>
      <c r="E46" s="5" t="n"/>
      <c r="F46" s="5" t="n"/>
      <c r="G46" s="5" t="n"/>
      <c r="H46" s="6" t="n"/>
      <c r="I46" s="5" t="n"/>
      <c r="J46" s="5" t="n"/>
      <c r="K46" s="5" t="n"/>
      <c r="L46" s="5" t="n"/>
    </row>
    <row r="47">
      <c r="A47" s="5" t="n"/>
      <c r="B47" s="6" t="n"/>
      <c r="C47" s="5" t="n"/>
      <c r="D47" s="5" t="n"/>
      <c r="E47" s="5" t="n"/>
      <c r="F47" s="5" t="n"/>
      <c r="G47" s="5" t="n"/>
      <c r="H47" s="6" t="n"/>
      <c r="I47" s="5" t="n"/>
      <c r="J47" s="5" t="n"/>
      <c r="K47" s="5" t="n"/>
      <c r="L47" s="5" t="n"/>
    </row>
    <row r="48">
      <c r="A48" s="5" t="n"/>
      <c r="B48" s="6" t="n"/>
      <c r="C48" s="5" t="n"/>
      <c r="D48" s="5" t="n"/>
      <c r="E48" s="5" t="n"/>
      <c r="F48" s="5" t="n"/>
      <c r="G48" s="5" t="n"/>
      <c r="H48" s="6" t="n"/>
      <c r="I48" s="5" t="n"/>
      <c r="J48" s="5" t="n"/>
      <c r="K48" s="5" t="n"/>
      <c r="L48" s="5" t="n"/>
    </row>
    <row r="49">
      <c r="A49" s="5" t="n"/>
      <c r="B49" s="6" t="n"/>
      <c r="C49" s="5" t="n"/>
      <c r="D49" s="5" t="n"/>
      <c r="E49" s="5" t="n"/>
      <c r="F49" s="5" t="n"/>
      <c r="G49" s="5" t="n"/>
      <c r="H49" s="6" t="n"/>
      <c r="I49" s="5" t="n"/>
      <c r="J49" s="5" t="n"/>
      <c r="K49" s="5" t="n"/>
      <c r="L49" s="5" t="n"/>
    </row>
    <row r="50">
      <c r="A50" s="5" t="n"/>
      <c r="B50" s="6" t="n"/>
      <c r="C50" s="5" t="n"/>
      <c r="D50" s="5" t="n"/>
      <c r="E50" s="5" t="n"/>
      <c r="F50" s="5" t="n"/>
      <c r="G50" s="5" t="n"/>
      <c r="H50" s="6" t="n"/>
      <c r="I50" s="5" t="n"/>
      <c r="J50" s="5" t="n"/>
      <c r="K50" s="5" t="n"/>
      <c r="L50" s="5" t="n"/>
    </row>
    <row r="51">
      <c r="A51" s="5" t="n"/>
      <c r="B51" s="6" t="n"/>
      <c r="C51" s="5" t="n"/>
      <c r="D51" s="5" t="n"/>
      <c r="E51" s="5" t="n"/>
      <c r="F51" s="5" t="n"/>
      <c r="G51" s="5" t="n"/>
      <c r="H51" s="6" t="n"/>
      <c r="I51" s="5" t="n"/>
      <c r="J51" s="5" t="n"/>
      <c r="K51" s="5" t="n"/>
      <c r="L51" s="5" t="n"/>
    </row>
    <row r="52">
      <c r="A52" s="5" t="n"/>
      <c r="B52" s="6" t="n"/>
      <c r="C52" s="5" t="n"/>
      <c r="D52" s="5" t="n"/>
      <c r="E52" s="5" t="n"/>
      <c r="F52" s="5" t="n"/>
      <c r="G52" s="5" t="n"/>
      <c r="H52" s="6" t="n"/>
      <c r="I52" s="5" t="n"/>
      <c r="J52" s="5" t="n"/>
      <c r="K52" s="5" t="n"/>
      <c r="L52" s="5" t="n"/>
    </row>
    <row r="53">
      <c r="A53" s="5" t="n"/>
      <c r="B53" s="6" t="n"/>
      <c r="C53" s="5" t="n"/>
      <c r="D53" s="5" t="n"/>
      <c r="E53" s="5" t="n"/>
      <c r="F53" s="5" t="n"/>
      <c r="G53" s="5" t="n"/>
      <c r="H53" s="6" t="n"/>
      <c r="I53" s="5" t="n"/>
      <c r="J53" s="5" t="n"/>
      <c r="K53" s="5" t="n"/>
      <c r="L53" s="5" t="n"/>
    </row>
    <row r="54">
      <c r="A54" s="5" t="n"/>
      <c r="B54" s="6" t="n"/>
      <c r="C54" s="5" t="n"/>
      <c r="D54" s="5" t="n"/>
      <c r="E54" s="5" t="n"/>
      <c r="F54" s="5" t="n"/>
      <c r="G54" s="5" t="n"/>
      <c r="H54" s="6" t="n"/>
      <c r="I54" s="5" t="n"/>
      <c r="J54" s="5" t="n"/>
      <c r="K54" s="5" t="n"/>
      <c r="L54" s="5" t="n"/>
    </row>
    <row r="55">
      <c r="A55" s="5" t="n"/>
      <c r="B55" s="6" t="n"/>
      <c r="C55" s="5" t="n"/>
      <c r="D55" s="5" t="n"/>
      <c r="E55" s="5" t="n"/>
      <c r="F55" s="5" t="n"/>
      <c r="G55" s="5" t="n"/>
      <c r="H55" s="6" t="n"/>
      <c r="I55" s="5" t="n"/>
      <c r="J55" s="5" t="n"/>
      <c r="K55" s="5" t="n"/>
      <c r="L55" s="5" t="n"/>
    </row>
    <row r="56">
      <c r="A56" s="5" t="n"/>
      <c r="B56" s="6" t="n"/>
      <c r="C56" s="5" t="n"/>
      <c r="D56" s="5" t="n"/>
      <c r="E56" s="5" t="n"/>
      <c r="F56" s="5" t="n"/>
      <c r="G56" s="5" t="n"/>
      <c r="H56" s="6" t="n"/>
      <c r="I56" s="5" t="n"/>
      <c r="J56" s="5" t="n"/>
      <c r="K56" s="5" t="n"/>
      <c r="L56" s="5" t="n"/>
    </row>
    <row r="57">
      <c r="A57" s="5" t="n"/>
      <c r="B57" s="6" t="n"/>
      <c r="C57" s="5" t="n"/>
      <c r="D57" s="5" t="n"/>
      <c r="E57" s="5" t="n"/>
      <c r="F57" s="5" t="n"/>
      <c r="G57" s="5" t="n"/>
      <c r="H57" s="6" t="n"/>
      <c r="I57" s="5" t="n"/>
      <c r="J57" s="5" t="n"/>
      <c r="K57" s="5" t="n"/>
      <c r="L57" s="5" t="n"/>
    </row>
    <row r="58">
      <c r="A58" s="5" t="n"/>
      <c r="B58" s="6" t="n"/>
      <c r="C58" s="5" t="n"/>
      <c r="D58" s="5" t="n"/>
      <c r="E58" s="5" t="n"/>
      <c r="F58" s="5" t="n"/>
      <c r="G58" s="5" t="n"/>
      <c r="H58" s="6" t="n"/>
      <c r="I58" s="5" t="n"/>
      <c r="J58" s="5" t="n"/>
      <c r="K58" s="5" t="n"/>
      <c r="L58" s="5" t="n"/>
    </row>
    <row r="59">
      <c r="A59" s="5" t="n"/>
      <c r="B59" s="6" t="n"/>
      <c r="C59" s="5" t="n"/>
      <c r="D59" s="5" t="n"/>
      <c r="E59" s="5" t="n"/>
      <c r="F59" s="5" t="n"/>
      <c r="G59" s="5" t="n"/>
      <c r="H59" s="6" t="n"/>
      <c r="I59" s="5" t="n"/>
      <c r="J59" s="5" t="n"/>
      <c r="K59" s="5" t="n"/>
      <c r="L59" s="5" t="n"/>
    </row>
    <row r="60">
      <c r="A60" s="5" t="n"/>
      <c r="B60" s="6" t="n"/>
      <c r="C60" s="5" t="n"/>
      <c r="D60" s="5" t="n"/>
      <c r="E60" s="5" t="n"/>
      <c r="F60" s="5" t="n"/>
      <c r="G60" s="5" t="n"/>
      <c r="H60" s="6" t="n"/>
      <c r="I60" s="5" t="n"/>
      <c r="J60" s="5" t="n"/>
      <c r="K60" s="5" t="n"/>
      <c r="L60" s="5" t="n"/>
    </row>
    <row r="61">
      <c r="A61" s="5" t="n"/>
      <c r="B61" s="6" t="n"/>
      <c r="C61" s="5" t="n"/>
      <c r="D61" s="5" t="n"/>
      <c r="E61" s="5" t="n"/>
      <c r="F61" s="5" t="n"/>
      <c r="G61" s="5" t="n"/>
      <c r="H61" s="6" t="n"/>
      <c r="I61" s="5" t="n"/>
      <c r="J61" s="5" t="n"/>
      <c r="K61" s="5" t="n"/>
      <c r="L61" s="5" t="n"/>
    </row>
    <row r="62">
      <c r="A62" s="5" t="n"/>
      <c r="B62" s="6" t="n"/>
      <c r="C62" s="5" t="n"/>
      <c r="D62" s="5" t="n"/>
      <c r="E62" s="5" t="n"/>
      <c r="F62" s="5" t="n"/>
      <c r="G62" s="5" t="n"/>
      <c r="H62" s="6" t="n"/>
      <c r="I62" s="5" t="n"/>
      <c r="J62" s="5" t="n"/>
      <c r="K62" s="5" t="n"/>
      <c r="L62" s="5" t="n"/>
    </row>
    <row r="63">
      <c r="A63" s="5" t="n"/>
      <c r="B63" s="6" t="n"/>
      <c r="C63" s="5" t="n"/>
      <c r="D63" s="5" t="n"/>
      <c r="E63" s="5" t="n"/>
      <c r="F63" s="5" t="n"/>
      <c r="G63" s="5" t="n"/>
      <c r="H63" s="6" t="n"/>
      <c r="I63" s="5" t="n"/>
      <c r="J63" s="5" t="n"/>
      <c r="K63" s="5" t="n"/>
      <c r="L63" s="5" t="n"/>
    </row>
    <row r="64">
      <c r="A64" s="5" t="n"/>
      <c r="B64" s="6" t="n"/>
      <c r="C64" s="5" t="n"/>
      <c r="D64" s="5" t="n"/>
      <c r="E64" s="5" t="n"/>
      <c r="F64" s="5" t="n"/>
      <c r="G64" s="5" t="n"/>
      <c r="H64" s="6" t="n"/>
      <c r="I64" s="5" t="n"/>
      <c r="J64" s="5" t="n"/>
      <c r="K64" s="5" t="n"/>
      <c r="L64" s="5" t="n"/>
    </row>
    <row r="65">
      <c r="A65" s="5" t="n"/>
      <c r="B65" s="6" t="n"/>
      <c r="C65" s="5" t="n"/>
      <c r="D65" s="5" t="n"/>
      <c r="E65" s="5" t="n"/>
      <c r="F65" s="5" t="n"/>
      <c r="G65" s="5" t="n"/>
      <c r="H65" s="6" t="n"/>
      <c r="I65" s="5" t="n"/>
      <c r="J65" s="5" t="n"/>
      <c r="K65" s="5" t="n"/>
      <c r="L65" s="5" t="n"/>
    </row>
    <row r="66">
      <c r="A66" s="5" t="n"/>
      <c r="B66" s="6" t="n"/>
      <c r="C66" s="5" t="n"/>
      <c r="D66" s="5" t="n"/>
      <c r="E66" s="5" t="n"/>
      <c r="F66" s="5" t="n"/>
      <c r="G66" s="5" t="n"/>
      <c r="H66" s="6" t="n"/>
      <c r="I66" s="5" t="n"/>
      <c r="J66" s="5" t="n"/>
      <c r="K66" s="5" t="n"/>
      <c r="L66" s="5" t="n"/>
    </row>
    <row r="67">
      <c r="A67" s="5" t="n"/>
      <c r="B67" s="6" t="n"/>
      <c r="C67" s="5" t="n"/>
      <c r="D67" s="5" t="n"/>
      <c r="E67" s="5" t="n"/>
      <c r="F67" s="5" t="n"/>
      <c r="G67" s="5" t="n"/>
      <c r="H67" s="6" t="n"/>
      <c r="I67" s="5" t="n"/>
      <c r="J67" s="5" t="n"/>
      <c r="K67" s="5" t="n"/>
      <c r="L67" s="5" t="n"/>
    </row>
    <row r="68">
      <c r="A68" s="5" t="n"/>
      <c r="B68" s="6" t="n"/>
      <c r="C68" s="5" t="n"/>
      <c r="D68" s="5" t="n"/>
      <c r="E68" s="5" t="n"/>
      <c r="F68" s="5" t="n"/>
      <c r="G68" s="5" t="n"/>
      <c r="H68" s="6" t="n"/>
      <c r="I68" s="5" t="n"/>
      <c r="J68" s="5" t="n"/>
      <c r="K68" s="5" t="n"/>
      <c r="L68" s="5" t="n"/>
    </row>
    <row r="69">
      <c r="A69" s="5" t="n"/>
      <c r="B69" s="6" t="n"/>
      <c r="C69" s="5" t="n"/>
      <c r="D69" s="5" t="n"/>
      <c r="E69" s="5" t="n"/>
      <c r="F69" s="5" t="n"/>
      <c r="G69" s="5" t="n"/>
      <c r="H69" s="6" t="n"/>
      <c r="I69" s="5" t="n"/>
      <c r="J69" s="5" t="n"/>
      <c r="K69" s="5" t="n"/>
      <c r="L69" s="5" t="n"/>
    </row>
    <row r="70">
      <c r="A70" s="5" t="n"/>
      <c r="B70" s="6" t="n"/>
      <c r="C70" s="5" t="n"/>
      <c r="D70" s="5" t="n"/>
      <c r="E70" s="5" t="n"/>
      <c r="F70" s="5" t="n"/>
      <c r="G70" s="5" t="n"/>
      <c r="H70" s="6" t="n"/>
      <c r="I70" s="5" t="n"/>
      <c r="J70" s="5" t="n"/>
      <c r="K70" s="5" t="n"/>
      <c r="L70" s="5" t="n"/>
    </row>
    <row r="71">
      <c r="A71" s="5" t="n"/>
      <c r="B71" s="6" t="n"/>
      <c r="C71" s="5" t="n"/>
      <c r="D71" s="5" t="n"/>
      <c r="E71" s="5" t="n"/>
      <c r="F71" s="5" t="n"/>
      <c r="G71" s="5" t="n"/>
      <c r="H71" s="6" t="n"/>
      <c r="I71" s="5" t="n"/>
      <c r="J71" s="5" t="n"/>
      <c r="K71" s="5" t="n"/>
      <c r="L71" s="5" t="n"/>
    </row>
    <row r="72">
      <c r="A72" s="5" t="n"/>
      <c r="B72" s="6" t="n"/>
      <c r="C72" s="5" t="n"/>
      <c r="D72" s="5" t="n"/>
      <c r="E72" s="5" t="n"/>
      <c r="F72" s="5" t="n"/>
      <c r="G72" s="5" t="n"/>
      <c r="H72" s="6" t="n"/>
      <c r="I72" s="5" t="n"/>
      <c r="J72" s="5" t="n"/>
      <c r="K72" s="5" t="n"/>
      <c r="L72" s="5" t="n"/>
    </row>
    <row r="73">
      <c r="A73" s="5" t="n"/>
      <c r="B73" s="6" t="n"/>
      <c r="C73" s="5" t="n"/>
      <c r="D73" s="5" t="n"/>
      <c r="E73" s="5" t="n"/>
      <c r="F73" s="5" t="n"/>
      <c r="G73" s="5" t="n"/>
      <c r="H73" s="6" t="n"/>
      <c r="I73" s="5" t="n"/>
      <c r="J73" s="5" t="n"/>
      <c r="K73" s="5" t="n"/>
      <c r="L73" s="5" t="n"/>
    </row>
    <row r="74">
      <c r="A74" s="5" t="n"/>
      <c r="B74" s="6" t="n"/>
      <c r="C74" s="5" t="n"/>
      <c r="D74" s="5" t="n"/>
      <c r="E74" s="5" t="n"/>
      <c r="F74" s="5" t="n"/>
      <c r="G74" s="5" t="n"/>
      <c r="H74" s="6" t="n"/>
      <c r="I74" s="5" t="n"/>
      <c r="J74" s="5" t="n"/>
      <c r="K74" s="5" t="n"/>
      <c r="L74" s="5" t="n"/>
    </row>
    <row r="75">
      <c r="A75" s="5" t="n"/>
      <c r="B75" s="6" t="n"/>
      <c r="C75" s="5" t="n"/>
      <c r="D75" s="5" t="n"/>
      <c r="E75" s="5" t="n"/>
      <c r="F75" s="5" t="n"/>
      <c r="G75" s="5" t="n"/>
      <c r="H75" s="6" t="n"/>
      <c r="I75" s="5" t="n"/>
      <c r="J75" s="5" t="n"/>
      <c r="K75" s="5" t="n"/>
      <c r="L75" s="5" t="n"/>
    </row>
    <row r="76">
      <c r="A76" s="5" t="n"/>
      <c r="B76" s="6" t="n"/>
      <c r="C76" s="5" t="n"/>
      <c r="D76" s="5" t="n"/>
      <c r="E76" s="5" t="n"/>
      <c r="F76" s="5" t="n"/>
      <c r="G76" s="5" t="n"/>
      <c r="H76" s="6" t="n"/>
      <c r="I76" s="5" t="n"/>
      <c r="J76" s="5" t="n"/>
      <c r="K76" s="5" t="n"/>
      <c r="L76" s="5" t="n"/>
    </row>
    <row r="77">
      <c r="A77" s="5" t="n"/>
      <c r="B77" s="6" t="n"/>
      <c r="C77" s="5" t="n"/>
      <c r="D77" s="5" t="n"/>
      <c r="E77" s="5" t="n"/>
      <c r="F77" s="5" t="n"/>
      <c r="G77" s="5" t="n"/>
      <c r="H77" s="6" t="n"/>
      <c r="I77" s="5" t="n"/>
      <c r="J77" s="5" t="n"/>
      <c r="K77" s="5" t="n"/>
      <c r="L77" s="5" t="n"/>
    </row>
    <row r="78">
      <c r="A78" s="5" t="n"/>
      <c r="B78" s="6" t="n"/>
      <c r="C78" s="5" t="n"/>
      <c r="D78" s="5" t="n"/>
      <c r="E78" s="5" t="n"/>
      <c r="F78" s="5" t="n"/>
      <c r="G78" s="5" t="n"/>
      <c r="H78" s="6" t="n"/>
      <c r="I78" s="5" t="n"/>
      <c r="J78" s="5" t="n"/>
      <c r="K78" s="5" t="n"/>
      <c r="L78" s="5" t="n"/>
    </row>
    <row r="79">
      <c r="A79" s="5" t="n"/>
      <c r="B79" s="6" t="n"/>
      <c r="C79" s="5" t="n"/>
      <c r="D79" s="5" t="n"/>
      <c r="E79" s="5" t="n"/>
      <c r="F79" s="5" t="n"/>
      <c r="G79" s="5" t="n"/>
      <c r="H79" s="6" t="n"/>
      <c r="I79" s="5" t="n"/>
      <c r="J79" s="5" t="n"/>
      <c r="K79" s="5" t="n"/>
      <c r="L79" s="5" t="n"/>
    </row>
    <row r="80">
      <c r="A80" s="5" t="n"/>
      <c r="B80" s="6" t="n"/>
      <c r="C80" s="5" t="n"/>
      <c r="D80" s="5" t="n"/>
      <c r="E80" s="5" t="n"/>
      <c r="F80" s="5" t="n"/>
      <c r="G80" s="5" t="n"/>
      <c r="H80" s="6" t="n"/>
      <c r="I80" s="5" t="n"/>
      <c r="J80" s="5" t="n"/>
      <c r="K80" s="5" t="n"/>
      <c r="L80" s="5" t="n"/>
    </row>
    <row r="81">
      <c r="A81" s="5" t="n"/>
      <c r="B81" s="6" t="n"/>
      <c r="C81" s="5" t="n"/>
      <c r="D81" s="5" t="n"/>
      <c r="E81" s="5" t="n"/>
      <c r="F81" s="5" t="n"/>
      <c r="G81" s="5" t="n"/>
      <c r="H81" s="6" t="n"/>
      <c r="I81" s="5" t="n"/>
      <c r="J81" s="5" t="n"/>
      <c r="K81" s="5" t="n"/>
      <c r="L81" s="5" t="n"/>
    </row>
    <row r="82">
      <c r="A82" s="5" t="n"/>
      <c r="B82" s="6" t="n"/>
      <c r="C82" s="5" t="n"/>
      <c r="D82" s="5" t="n"/>
      <c r="E82" s="5" t="n"/>
      <c r="F82" s="5" t="n"/>
      <c r="G82" s="5" t="n"/>
      <c r="H82" s="6" t="n"/>
      <c r="I82" s="5" t="n"/>
      <c r="J82" s="5" t="n"/>
      <c r="K82" s="5" t="n"/>
      <c r="L82" s="5" t="n"/>
    </row>
    <row r="83">
      <c r="A83" s="5" t="n"/>
      <c r="B83" s="6" t="n"/>
      <c r="C83" s="5" t="n"/>
      <c r="D83" s="5" t="n"/>
      <c r="E83" s="5" t="n"/>
      <c r="F83" s="5" t="n"/>
      <c r="G83" s="5" t="n"/>
      <c r="H83" s="6" t="n"/>
      <c r="I83" s="5" t="n"/>
      <c r="J83" s="5" t="n"/>
      <c r="K83" s="5" t="n"/>
      <c r="L83" s="5" t="n"/>
    </row>
    <row r="84">
      <c r="A84" s="5" t="n"/>
      <c r="B84" s="6" t="n"/>
      <c r="C84" s="5" t="n"/>
      <c r="D84" s="5" t="n"/>
      <c r="E84" s="5" t="n"/>
      <c r="F84" s="5" t="n"/>
      <c r="G84" s="5" t="n"/>
      <c r="H84" s="6" t="n"/>
      <c r="I84" s="5" t="n"/>
      <c r="J84" s="5" t="n"/>
      <c r="K84" s="5" t="n"/>
      <c r="L84" s="5" t="n"/>
    </row>
    <row r="85">
      <c r="A85" s="5" t="n"/>
      <c r="B85" s="6" t="n"/>
      <c r="C85" s="5" t="n"/>
      <c r="D85" s="5" t="n"/>
      <c r="E85" s="5" t="n"/>
      <c r="F85" s="5" t="n"/>
      <c r="G85" s="5" t="n"/>
      <c r="H85" s="6" t="n"/>
      <c r="I85" s="5" t="n"/>
      <c r="J85" s="5" t="n"/>
      <c r="K85" s="5" t="n"/>
      <c r="L85" s="5" t="n"/>
    </row>
    <row r="86">
      <c r="A86" s="5" t="n"/>
      <c r="B86" s="6" t="n"/>
      <c r="C86" s="5" t="n"/>
      <c r="D86" s="5" t="n"/>
      <c r="E86" s="5" t="n"/>
      <c r="F86" s="5" t="n"/>
      <c r="G86" s="5" t="n"/>
      <c r="H86" s="6" t="n"/>
      <c r="I86" s="5" t="n"/>
      <c r="J86" s="5" t="n"/>
      <c r="K86" s="5" t="n"/>
      <c r="L86" s="5" t="n"/>
    </row>
    <row r="87">
      <c r="A87" s="5" t="n"/>
      <c r="B87" s="6" t="n"/>
      <c r="C87" s="5" t="n"/>
      <c r="D87" s="5" t="n"/>
      <c r="E87" s="5" t="n"/>
      <c r="F87" s="5" t="n"/>
      <c r="G87" s="5" t="n"/>
      <c r="H87" s="6" t="n"/>
      <c r="I87" s="5" t="n"/>
      <c r="J87" s="5" t="n"/>
      <c r="K87" s="5" t="n"/>
      <c r="L87" s="5" t="n"/>
    </row>
    <row r="88">
      <c r="A88" s="5" t="n"/>
      <c r="B88" s="6" t="n"/>
      <c r="C88" s="5" t="n"/>
      <c r="D88" s="5" t="n"/>
      <c r="E88" s="5" t="n"/>
      <c r="F88" s="5" t="n"/>
      <c r="G88" s="5" t="n"/>
      <c r="H88" s="6" t="n"/>
      <c r="I88" s="5" t="n"/>
      <c r="J88" s="5" t="n"/>
      <c r="K88" s="5" t="n"/>
      <c r="L88" s="5" t="n"/>
    </row>
    <row r="89">
      <c r="A89" s="5" t="n"/>
      <c r="B89" s="6" t="n"/>
      <c r="C89" s="5" t="n"/>
      <c r="D89" s="5" t="n"/>
      <c r="E89" s="5" t="n"/>
      <c r="F89" s="5" t="n"/>
      <c r="G89" s="5" t="n"/>
      <c r="H89" s="6" t="n"/>
      <c r="I89" s="5" t="n"/>
      <c r="J89" s="5" t="n"/>
      <c r="K89" s="5" t="n"/>
      <c r="L89" s="5" t="n"/>
    </row>
    <row r="90">
      <c r="A90" s="5" t="n"/>
      <c r="B90" s="6" t="n"/>
      <c r="C90" s="5" t="n"/>
      <c r="D90" s="5" t="n"/>
      <c r="E90" s="5" t="n"/>
      <c r="F90" s="5" t="n"/>
      <c r="G90" s="5" t="n"/>
      <c r="H90" s="6" t="n"/>
      <c r="I90" s="5" t="n"/>
      <c r="J90" s="5" t="n"/>
      <c r="K90" s="5" t="n"/>
      <c r="L90" s="5" t="n"/>
    </row>
    <row r="91">
      <c r="A91" s="5" t="n"/>
      <c r="B91" s="6" t="n"/>
      <c r="C91" s="5" t="n"/>
      <c r="D91" s="5" t="n"/>
      <c r="E91" s="5" t="n"/>
      <c r="F91" s="5" t="n"/>
      <c r="G91" s="5" t="n"/>
      <c r="H91" s="6" t="n"/>
      <c r="I91" s="5" t="n"/>
      <c r="J91" s="5" t="n"/>
      <c r="K91" s="5" t="n"/>
      <c r="L91" s="5" t="n"/>
    </row>
    <row r="92">
      <c r="A92" s="5" t="n"/>
      <c r="B92" s="6" t="n"/>
      <c r="C92" s="5" t="n"/>
      <c r="D92" s="5" t="n"/>
      <c r="E92" s="5" t="n"/>
      <c r="F92" s="5" t="n"/>
      <c r="G92" s="5" t="n"/>
      <c r="H92" s="6" t="n"/>
      <c r="I92" s="5" t="n"/>
      <c r="J92" s="5" t="n"/>
      <c r="K92" s="5" t="n"/>
      <c r="L92" s="5" t="n"/>
    </row>
    <row r="93">
      <c r="A93" s="5" t="n"/>
      <c r="B93" s="6" t="n"/>
      <c r="C93" s="5" t="n"/>
      <c r="D93" s="5" t="n"/>
      <c r="E93" s="5" t="n"/>
      <c r="F93" s="5" t="n"/>
      <c r="G93" s="5" t="n"/>
      <c r="H93" s="6" t="n"/>
      <c r="I93" s="5" t="n"/>
      <c r="J93" s="5" t="n"/>
      <c r="K93" s="5" t="n"/>
      <c r="L93" s="5" t="n"/>
    </row>
    <row r="94">
      <c r="A94" s="5" t="n"/>
      <c r="B94" s="6" t="n"/>
      <c r="C94" s="5" t="n"/>
      <c r="D94" s="5" t="n"/>
      <c r="E94" s="5" t="n"/>
      <c r="F94" s="5" t="n"/>
      <c r="G94" s="5" t="n"/>
      <c r="H94" s="6" t="n"/>
      <c r="I94" s="5" t="n"/>
      <c r="J94" s="5" t="n"/>
      <c r="K94" s="5" t="n"/>
      <c r="L94" s="5" t="n"/>
    </row>
    <row r="95">
      <c r="A95" s="5" t="n"/>
      <c r="B95" s="6" t="n"/>
      <c r="C95" s="5" t="n"/>
      <c r="D95" s="5" t="n"/>
      <c r="E95" s="5" t="n"/>
      <c r="F95" s="5" t="n"/>
      <c r="G95" s="5" t="n"/>
      <c r="H95" s="6" t="n"/>
      <c r="I95" s="5" t="n"/>
      <c r="J95" s="5" t="n"/>
      <c r="K95" s="5" t="n"/>
      <c r="L95" s="5" t="n"/>
    </row>
    <row r="96">
      <c r="A96" s="5" t="n"/>
      <c r="B96" s="6" t="n"/>
      <c r="C96" s="5" t="n"/>
      <c r="D96" s="5" t="n"/>
      <c r="E96" s="5" t="n"/>
      <c r="F96" s="5" t="n"/>
      <c r="G96" s="5" t="n"/>
      <c r="H96" s="6" t="n"/>
      <c r="I96" s="5" t="n"/>
      <c r="J96" s="5" t="n"/>
      <c r="K96" s="5" t="n"/>
      <c r="L96" s="5" t="n"/>
    </row>
    <row r="97">
      <c r="A97" s="5" t="n"/>
      <c r="B97" s="6" t="n"/>
      <c r="C97" s="5" t="n"/>
      <c r="D97" s="5" t="n"/>
      <c r="E97" s="5" t="n"/>
      <c r="F97" s="5" t="n"/>
      <c r="G97" s="5" t="n"/>
      <c r="H97" s="6" t="n"/>
      <c r="I97" s="5" t="n"/>
      <c r="J97" s="5" t="n"/>
      <c r="K97" s="5" t="n"/>
      <c r="L97" s="5" t="n"/>
    </row>
    <row r="98">
      <c r="A98" s="5" t="n"/>
      <c r="B98" s="6" t="n"/>
      <c r="C98" s="5" t="n"/>
      <c r="D98" s="5" t="n"/>
      <c r="E98" s="5" t="n"/>
      <c r="F98" s="5" t="n"/>
      <c r="G98" s="5" t="n"/>
      <c r="H98" s="6" t="n"/>
      <c r="I98" s="5" t="n"/>
      <c r="J98" s="5" t="n"/>
      <c r="K98" s="5" t="n"/>
      <c r="L98" s="5" t="n"/>
    </row>
    <row r="99">
      <c r="A99" s="5" t="n"/>
      <c r="B99" s="6" t="n"/>
      <c r="C99" s="5" t="n"/>
      <c r="D99" s="5" t="n"/>
      <c r="E99" s="5" t="n"/>
      <c r="F99" s="5" t="n"/>
      <c r="G99" s="5" t="n"/>
      <c r="H99" s="6" t="n"/>
      <c r="I99" s="5" t="n"/>
      <c r="J99" s="5" t="n"/>
      <c r="K99" s="5" t="n"/>
      <c r="L99" s="5" t="n"/>
    </row>
    <row r="100">
      <c r="A100" s="5" t="n"/>
      <c r="B100" s="6" t="n"/>
      <c r="C100" s="5" t="n"/>
      <c r="D100" s="5" t="n"/>
      <c r="E100" s="5" t="n"/>
      <c r="F100" s="5" t="n"/>
      <c r="G100" s="5" t="n"/>
      <c r="H100" s="6" t="n"/>
      <c r="I100" s="5" t="n"/>
      <c r="J100" s="5" t="n"/>
      <c r="K100" s="5" t="n"/>
      <c r="L100" s="5" t="n"/>
    </row>
    <row r="101">
      <c r="A101" s="5" t="n"/>
      <c r="B101" s="6" t="n"/>
      <c r="C101" s="5" t="n"/>
      <c r="D101" s="5" t="n"/>
      <c r="E101" s="5" t="n"/>
      <c r="F101" s="5" t="n"/>
      <c r="G101" s="5" t="n"/>
      <c r="H101" s="6" t="n"/>
      <c r="I101" s="5" t="n"/>
      <c r="J101" s="5" t="n"/>
      <c r="K101" s="5" t="n"/>
      <c r="L101" s="5" t="n"/>
    </row>
    <row r="102">
      <c r="A102" s="5" t="n"/>
      <c r="B102" s="6" t="n"/>
      <c r="C102" s="5" t="n"/>
      <c r="D102" s="5" t="n"/>
      <c r="E102" s="5" t="n"/>
      <c r="F102" s="5" t="n"/>
      <c r="G102" s="5" t="n"/>
      <c r="H102" s="6" t="n"/>
      <c r="I102" s="5" t="n"/>
      <c r="J102" s="5" t="n"/>
      <c r="K102" s="5" t="n"/>
      <c r="L102" s="5" t="n"/>
    </row>
    <row r="103">
      <c r="A103" s="5" t="n"/>
      <c r="B103" s="6" t="n"/>
      <c r="C103" s="5" t="n"/>
      <c r="D103" s="5" t="n"/>
      <c r="E103" s="5" t="n"/>
      <c r="F103" s="5" t="n"/>
      <c r="G103" s="5" t="n"/>
      <c r="H103" s="6" t="n"/>
      <c r="I103" s="5" t="n"/>
      <c r="J103" s="5" t="n"/>
      <c r="K103" s="5" t="n"/>
      <c r="L103" s="5" t="n"/>
    </row>
    <row r="104">
      <c r="A104" s="5" t="n"/>
      <c r="B104" s="6" t="n"/>
      <c r="C104" s="5" t="n"/>
      <c r="D104" s="5" t="n"/>
      <c r="E104" s="5" t="n"/>
      <c r="F104" s="5" t="n"/>
      <c r="G104" s="5" t="n"/>
      <c r="H104" s="6" t="n"/>
      <c r="I104" s="5" t="n"/>
      <c r="J104" s="5" t="n"/>
      <c r="K104" s="5" t="n"/>
      <c r="L104" s="5" t="n"/>
    </row>
    <row r="105">
      <c r="A105" s="5" t="n"/>
      <c r="B105" s="6" t="n"/>
      <c r="C105" s="5" t="n"/>
      <c r="D105" s="5" t="n"/>
      <c r="E105" s="5" t="n"/>
      <c r="F105" s="5" t="n"/>
      <c r="G105" s="5" t="n"/>
      <c r="H105" s="6" t="n"/>
      <c r="I105" s="5" t="n"/>
      <c r="J105" s="5" t="n"/>
      <c r="K105" s="5" t="n"/>
      <c r="L105" s="5" t="n"/>
    </row>
    <row r="106">
      <c r="A106" s="5" t="n"/>
      <c r="B106" s="6" t="n"/>
      <c r="C106" s="5" t="n"/>
      <c r="D106" s="5" t="n"/>
      <c r="E106" s="5" t="n"/>
      <c r="F106" s="5" t="n"/>
      <c r="G106" s="5" t="n"/>
      <c r="H106" s="6" t="n"/>
      <c r="I106" s="5" t="n"/>
      <c r="J106" s="5" t="n"/>
      <c r="K106" s="5" t="n"/>
      <c r="L106" s="5" t="n"/>
    </row>
    <row r="107">
      <c r="A107" s="5" t="n"/>
      <c r="B107" s="6" t="n"/>
      <c r="C107" s="5" t="n"/>
      <c r="D107" s="5" t="n"/>
      <c r="E107" s="5" t="n"/>
      <c r="F107" s="5" t="n"/>
      <c r="G107" s="5" t="n"/>
      <c r="H107" s="6" t="n"/>
      <c r="I107" s="5" t="n"/>
      <c r="J107" s="5" t="n"/>
      <c r="K107" s="5" t="n"/>
      <c r="L107" s="5" t="n"/>
    </row>
    <row r="108">
      <c r="A108" s="5" t="n"/>
      <c r="B108" s="6" t="n"/>
      <c r="C108" s="5" t="n"/>
      <c r="D108" s="5" t="n"/>
      <c r="E108" s="5" t="n"/>
      <c r="F108" s="5" t="n"/>
      <c r="G108" s="5" t="n"/>
      <c r="H108" s="6" t="n"/>
      <c r="I108" s="5" t="n"/>
      <c r="J108" s="5" t="n"/>
      <c r="K108" s="5" t="n"/>
      <c r="L108" s="5" t="n"/>
    </row>
    <row r="109">
      <c r="A109" s="5" t="n"/>
      <c r="B109" s="6" t="n"/>
      <c r="C109" s="5" t="n"/>
      <c r="D109" s="5" t="n"/>
      <c r="E109" s="5" t="n"/>
      <c r="F109" s="5" t="n"/>
      <c r="G109" s="5" t="n"/>
      <c r="H109" s="6" t="n"/>
      <c r="I109" s="5" t="n"/>
      <c r="J109" s="5" t="n"/>
      <c r="K109" s="5" t="n"/>
      <c r="L109" s="5" t="n"/>
    </row>
    <row r="110">
      <c r="A110" s="5" t="n"/>
      <c r="B110" s="6" t="n"/>
      <c r="C110" s="5" t="n"/>
      <c r="D110" s="5" t="n"/>
      <c r="E110" s="5" t="n"/>
      <c r="F110" s="5" t="n"/>
      <c r="G110" s="5" t="n"/>
      <c r="H110" s="6" t="n"/>
      <c r="I110" s="5" t="n"/>
      <c r="J110" s="5" t="n"/>
      <c r="K110" s="5" t="n"/>
      <c r="L110" s="5" t="n"/>
    </row>
    <row r="111">
      <c r="A111" s="5" t="n"/>
      <c r="B111" s="6" t="n"/>
      <c r="C111" s="5" t="n"/>
      <c r="D111" s="5" t="n"/>
      <c r="E111" s="5" t="n"/>
      <c r="F111" s="5" t="n"/>
      <c r="G111" s="5" t="n"/>
      <c r="H111" s="6" t="n"/>
      <c r="I111" s="5" t="n"/>
      <c r="J111" s="5" t="n"/>
      <c r="K111" s="5" t="n"/>
      <c r="L111" s="5" t="n"/>
    </row>
    <row r="112">
      <c r="A112" s="5" t="n"/>
      <c r="B112" s="6" t="n"/>
      <c r="C112" s="5" t="n"/>
      <c r="D112" s="5" t="n"/>
      <c r="E112" s="5" t="n"/>
      <c r="F112" s="5" t="n"/>
      <c r="G112" s="5" t="n"/>
      <c r="H112" s="6" t="n"/>
      <c r="I112" s="5" t="n"/>
      <c r="J112" s="5" t="n"/>
      <c r="K112" s="5" t="n"/>
      <c r="L112" s="5" t="n"/>
    </row>
    <row r="113">
      <c r="A113" s="5" t="n"/>
      <c r="B113" s="6" t="n"/>
      <c r="C113" s="5" t="n"/>
      <c r="D113" s="5" t="n"/>
      <c r="E113" s="5" t="n"/>
      <c r="F113" s="5" t="n"/>
      <c r="G113" s="5" t="n"/>
      <c r="H113" s="6" t="n"/>
      <c r="I113" s="5" t="n"/>
      <c r="J113" s="5" t="n"/>
      <c r="K113" s="5" t="n"/>
      <c r="L113" s="5" t="n"/>
    </row>
    <row r="114">
      <c r="A114" s="5" t="n"/>
      <c r="B114" s="6" t="n"/>
      <c r="C114" s="5" t="n"/>
      <c r="D114" s="5" t="n"/>
      <c r="E114" s="5" t="n"/>
      <c r="F114" s="5" t="n"/>
      <c r="G114" s="5" t="n"/>
      <c r="H114" s="6" t="n"/>
      <c r="I114" s="5" t="n"/>
      <c r="J114" s="5" t="n"/>
      <c r="K114" s="5" t="n"/>
      <c r="L114" s="5" t="n"/>
    </row>
    <row r="115">
      <c r="A115" s="5" t="n"/>
      <c r="B115" s="6" t="n"/>
      <c r="C115" s="5" t="n"/>
      <c r="D115" s="5" t="n"/>
      <c r="E115" s="5" t="n"/>
      <c r="F115" s="5" t="n"/>
      <c r="G115" s="5" t="n"/>
      <c r="H115" s="6" t="n"/>
      <c r="I115" s="5" t="n"/>
      <c r="J115" s="5" t="n"/>
      <c r="K115" s="5" t="n"/>
      <c r="L115" s="5" t="n"/>
    </row>
    <row r="116">
      <c r="A116" s="5" t="n"/>
      <c r="B116" s="6" t="n"/>
      <c r="C116" s="5" t="n"/>
      <c r="D116" s="5" t="n"/>
      <c r="E116" s="5" t="n"/>
      <c r="F116" s="5" t="n"/>
      <c r="G116" s="5" t="n"/>
      <c r="H116" s="6" t="n"/>
      <c r="I116" s="5" t="n"/>
      <c r="J116" s="5" t="n"/>
      <c r="K116" s="5" t="n"/>
      <c r="L116" s="5" t="n"/>
    </row>
    <row r="117">
      <c r="A117" s="5" t="n"/>
      <c r="B117" s="6" t="n"/>
      <c r="C117" s="5" t="n"/>
      <c r="D117" s="5" t="n"/>
      <c r="E117" s="5" t="n"/>
      <c r="F117" s="5" t="n"/>
      <c r="G117" s="5" t="n"/>
      <c r="H117" s="6" t="n"/>
      <c r="I117" s="5" t="n"/>
      <c r="J117" s="5" t="n"/>
      <c r="K117" s="5" t="n"/>
      <c r="L117" s="5" t="n"/>
    </row>
    <row r="118">
      <c r="A118" s="5" t="n"/>
      <c r="B118" s="6" t="n"/>
      <c r="C118" s="5" t="n"/>
      <c r="D118" s="5" t="n"/>
      <c r="E118" s="5" t="n"/>
      <c r="F118" s="5" t="n"/>
      <c r="G118" s="5" t="n"/>
      <c r="H118" s="6" t="n"/>
      <c r="I118" s="5" t="n"/>
      <c r="J118" s="5" t="n"/>
      <c r="K118" s="5" t="n"/>
      <c r="L118" s="5" t="n"/>
    </row>
    <row r="119">
      <c r="A119" s="5" t="n"/>
      <c r="B119" s="6" t="n"/>
      <c r="C119" s="5" t="n"/>
      <c r="D119" s="5" t="n"/>
      <c r="E119" s="5" t="n"/>
      <c r="F119" s="5" t="n"/>
      <c r="G119" s="5" t="n"/>
      <c r="H119" s="6" t="n"/>
      <c r="I119" s="5" t="n"/>
      <c r="J119" s="5" t="n"/>
      <c r="K119" s="5" t="n"/>
      <c r="L119" s="5" t="n"/>
    </row>
    <row r="120">
      <c r="A120" s="5" t="n"/>
      <c r="B120" s="6" t="n"/>
      <c r="C120" s="5" t="n"/>
      <c r="D120" s="5" t="n"/>
      <c r="E120" s="5" t="n"/>
      <c r="F120" s="5" t="n"/>
      <c r="G120" s="5" t="n"/>
      <c r="H120" s="6" t="n"/>
      <c r="I120" s="5" t="n"/>
      <c r="J120" s="5" t="n"/>
      <c r="K120" s="5" t="n"/>
      <c r="L120" s="5" t="n"/>
    </row>
    <row r="121">
      <c r="A121" s="5" t="n"/>
      <c r="B121" s="6" t="n"/>
      <c r="C121" s="5" t="n"/>
      <c r="D121" s="5" t="n"/>
      <c r="E121" s="5" t="n"/>
      <c r="F121" s="5" t="n"/>
      <c r="G121" s="5" t="n"/>
      <c r="H121" s="6" t="n"/>
      <c r="I121" s="5" t="n"/>
      <c r="J121" s="5" t="n"/>
      <c r="K121" s="5" t="n"/>
      <c r="L121" s="5" t="n"/>
    </row>
    <row r="122">
      <c r="A122" s="5" t="n"/>
      <c r="B122" s="6" t="n"/>
      <c r="C122" s="5" t="n"/>
      <c r="D122" s="5" t="n"/>
      <c r="E122" s="5" t="n"/>
      <c r="F122" s="5" t="n"/>
      <c r="G122" s="5" t="n"/>
      <c r="H122" s="6" t="n"/>
      <c r="I122" s="5" t="n"/>
      <c r="J122" s="5" t="n"/>
      <c r="K122" s="5" t="n"/>
      <c r="L122" s="5" t="n"/>
    </row>
    <row r="123">
      <c r="A123" s="5" t="n"/>
      <c r="B123" s="6" t="n"/>
      <c r="C123" s="5" t="n"/>
      <c r="D123" s="5" t="n"/>
      <c r="E123" s="5" t="n"/>
      <c r="F123" s="5" t="n"/>
      <c r="G123" s="5" t="n"/>
      <c r="H123" s="6" t="n"/>
      <c r="I123" s="5" t="n"/>
      <c r="J123" s="5" t="n"/>
      <c r="K123" s="5" t="n"/>
      <c r="L123" s="5" t="n"/>
    </row>
    <row r="124">
      <c r="A124" s="5" t="n"/>
      <c r="B124" s="6" t="n"/>
      <c r="C124" s="5" t="n"/>
      <c r="D124" s="5" t="n"/>
      <c r="E124" s="5" t="n"/>
      <c r="F124" s="5" t="n"/>
      <c r="G124" s="5" t="n"/>
      <c r="H124" s="6" t="n"/>
      <c r="I124" s="5" t="n"/>
      <c r="J124" s="5" t="n"/>
      <c r="K124" s="5" t="n"/>
      <c r="L124" s="5" t="n"/>
    </row>
    <row r="125">
      <c r="A125" s="5" t="n"/>
      <c r="B125" s="6" t="n"/>
      <c r="C125" s="5" t="n"/>
      <c r="D125" s="5" t="n"/>
      <c r="E125" s="5" t="n"/>
      <c r="F125" s="5" t="n"/>
      <c r="G125" s="5" t="n"/>
      <c r="H125" s="6" t="n"/>
      <c r="I125" s="5" t="n"/>
      <c r="J125" s="5" t="n"/>
      <c r="K125" s="5" t="n"/>
      <c r="L125" s="5" t="n"/>
    </row>
    <row r="126">
      <c r="A126" s="5" t="n"/>
      <c r="B126" s="6" t="n"/>
      <c r="C126" s="5" t="n"/>
      <c r="D126" s="5" t="n"/>
      <c r="E126" s="5" t="n"/>
      <c r="F126" s="5" t="n"/>
      <c r="G126" s="5" t="n"/>
      <c r="H126" s="6" t="n"/>
      <c r="I126" s="5" t="n"/>
      <c r="J126" s="5" t="n"/>
      <c r="K126" s="5" t="n"/>
      <c r="L126" s="5" t="n"/>
    </row>
    <row r="127">
      <c r="A127" s="5" t="n"/>
      <c r="B127" s="6" t="n"/>
      <c r="C127" s="5" t="n"/>
      <c r="D127" s="5" t="n"/>
      <c r="E127" s="5" t="n"/>
      <c r="F127" s="5" t="n"/>
      <c r="G127" s="5" t="n"/>
      <c r="H127" s="6" t="n"/>
      <c r="I127" s="5" t="n"/>
      <c r="J127" s="5" t="n"/>
      <c r="K127" s="5" t="n"/>
      <c r="L127" s="5" t="n"/>
    </row>
    <row r="128">
      <c r="A128" s="5" t="n"/>
      <c r="B128" s="6" t="n"/>
      <c r="C128" s="5" t="n"/>
      <c r="D128" s="5" t="n"/>
      <c r="E128" s="5" t="n"/>
      <c r="F128" s="5" t="n"/>
      <c r="G128" s="5" t="n"/>
      <c r="H128" s="6" t="n"/>
      <c r="I128" s="5" t="n"/>
      <c r="J128" s="5" t="n"/>
      <c r="K128" s="5" t="n"/>
      <c r="L128" s="5" t="n"/>
    </row>
    <row r="129">
      <c r="A129" s="5" t="n"/>
      <c r="B129" s="6" t="n"/>
      <c r="C129" s="5" t="n"/>
      <c r="D129" s="5" t="n"/>
      <c r="E129" s="5" t="n"/>
      <c r="F129" s="5" t="n"/>
      <c r="G129" s="5" t="n"/>
      <c r="H129" s="6" t="n"/>
      <c r="I129" s="5" t="n"/>
      <c r="J129" s="5" t="n"/>
      <c r="K129" s="5" t="n"/>
      <c r="L129" s="5" t="n"/>
    </row>
    <row r="130">
      <c r="A130" s="5" t="n"/>
      <c r="B130" s="6" t="n"/>
      <c r="C130" s="5" t="n"/>
      <c r="D130" s="5" t="n"/>
      <c r="E130" s="5" t="n"/>
      <c r="F130" s="5" t="n"/>
      <c r="G130" s="5" t="n"/>
      <c r="H130" s="6" t="n"/>
      <c r="I130" s="5" t="n"/>
      <c r="J130" s="5" t="n"/>
      <c r="K130" s="5" t="n"/>
      <c r="L130" s="5" t="n"/>
    </row>
    <row r="131">
      <c r="A131" s="5" t="n"/>
      <c r="B131" s="6" t="n"/>
      <c r="C131" s="5" t="n"/>
      <c r="D131" s="5" t="n"/>
      <c r="E131" s="5" t="n"/>
      <c r="F131" s="5" t="n"/>
      <c r="G131" s="5" t="n"/>
      <c r="H131" s="6" t="n"/>
      <c r="I131" s="5" t="n"/>
      <c r="J131" s="5" t="n"/>
      <c r="K131" s="5" t="n"/>
      <c r="L131" s="5" t="n"/>
    </row>
    <row r="132">
      <c r="A132" s="5" t="n"/>
      <c r="B132" s="6" t="n"/>
      <c r="C132" s="5" t="n"/>
      <c r="D132" s="5" t="n"/>
      <c r="E132" s="5" t="n"/>
      <c r="F132" s="5" t="n"/>
      <c r="G132" s="5" t="n"/>
      <c r="H132" s="6" t="n"/>
      <c r="I132" s="5" t="n"/>
      <c r="J132" s="5" t="n"/>
      <c r="K132" s="5" t="n"/>
      <c r="L132" s="5" t="n"/>
    </row>
    <row r="133">
      <c r="A133" s="5" t="n"/>
      <c r="B133" s="6" t="n"/>
      <c r="C133" s="5" t="n"/>
      <c r="D133" s="5" t="n"/>
      <c r="E133" s="5" t="n"/>
      <c r="F133" s="5" t="n"/>
      <c r="G133" s="5" t="n"/>
      <c r="H133" s="6" t="n"/>
      <c r="I133" s="5" t="n"/>
      <c r="J133" s="5" t="n"/>
      <c r="K133" s="5" t="n"/>
      <c r="L133" s="5" t="n"/>
    </row>
    <row r="134">
      <c r="A134" s="5" t="n"/>
      <c r="B134" s="6" t="n"/>
      <c r="C134" s="5" t="n"/>
      <c r="D134" s="5" t="n"/>
      <c r="E134" s="5" t="n"/>
      <c r="F134" s="5" t="n"/>
      <c r="G134" s="5" t="n"/>
      <c r="H134" s="6" t="n"/>
      <c r="I134" s="5" t="n"/>
      <c r="J134" s="5" t="n"/>
      <c r="K134" s="5" t="n"/>
      <c r="L134" s="5" t="n"/>
    </row>
    <row r="135">
      <c r="A135" s="5" t="n"/>
      <c r="B135" s="6" t="n"/>
      <c r="C135" s="5" t="n"/>
      <c r="D135" s="5" t="n"/>
      <c r="E135" s="5" t="n"/>
      <c r="F135" s="5" t="n"/>
      <c r="G135" s="5" t="n"/>
      <c r="H135" s="6" t="n"/>
      <c r="I135" s="5" t="n"/>
      <c r="J135" s="5" t="n"/>
      <c r="K135" s="5" t="n"/>
      <c r="L135" s="5" t="n"/>
    </row>
    <row r="136">
      <c r="A136" s="5" t="n"/>
      <c r="B136" s="6" t="n"/>
      <c r="C136" s="5" t="n"/>
      <c r="D136" s="5" t="n"/>
      <c r="E136" s="5" t="n"/>
      <c r="F136" s="5" t="n"/>
      <c r="G136" s="5" t="n"/>
      <c r="H136" s="6" t="n"/>
      <c r="I136" s="5" t="n"/>
      <c r="J136" s="5" t="n"/>
      <c r="K136" s="5" t="n"/>
      <c r="L136" s="5" t="n"/>
    </row>
    <row r="137">
      <c r="A137" s="5" t="n"/>
      <c r="B137" s="6" t="n"/>
      <c r="C137" s="5" t="n"/>
      <c r="D137" s="5" t="n"/>
      <c r="E137" s="5" t="n"/>
      <c r="F137" s="5" t="n"/>
      <c r="G137" s="5" t="n"/>
      <c r="H137" s="6" t="n"/>
      <c r="I137" s="5" t="n"/>
      <c r="J137" s="5" t="n"/>
      <c r="K137" s="5" t="n"/>
      <c r="L137" s="5" t="n"/>
    </row>
    <row r="138">
      <c r="A138" s="5" t="n"/>
      <c r="B138" s="6" t="n"/>
      <c r="C138" s="5" t="n"/>
      <c r="D138" s="5" t="n"/>
      <c r="E138" s="5" t="n"/>
      <c r="F138" s="5" t="n"/>
      <c r="G138" s="5" t="n"/>
      <c r="H138" s="6" t="n"/>
      <c r="I138" s="5" t="n"/>
      <c r="J138" s="5" t="n"/>
      <c r="K138" s="5" t="n"/>
      <c r="L138" s="5" t="n"/>
    </row>
    <row r="139">
      <c r="A139" s="5" t="n"/>
      <c r="B139" s="6" t="n"/>
      <c r="C139" s="5" t="n"/>
      <c r="D139" s="5" t="n"/>
      <c r="E139" s="5" t="n"/>
      <c r="F139" s="5" t="n"/>
      <c r="G139" s="5" t="n"/>
      <c r="H139" s="6" t="n"/>
      <c r="I139" s="5" t="n"/>
      <c r="J139" s="5" t="n"/>
      <c r="K139" s="5" t="n"/>
      <c r="L139" s="5" t="n"/>
    </row>
    <row r="140">
      <c r="A140" s="5" t="n"/>
      <c r="B140" s="6" t="n"/>
      <c r="C140" s="5" t="n"/>
      <c r="D140" s="5" t="n"/>
      <c r="E140" s="5" t="n"/>
      <c r="F140" s="5" t="n"/>
      <c r="G140" s="5" t="n"/>
      <c r="H140" s="6" t="n"/>
      <c r="I140" s="5" t="n"/>
      <c r="J140" s="5" t="n"/>
      <c r="K140" s="5" t="n"/>
      <c r="L140" s="5" t="n"/>
    </row>
    <row r="141">
      <c r="A141" s="5" t="n"/>
      <c r="B141" s="6" t="n"/>
      <c r="C141" s="5" t="n"/>
      <c r="D141" s="5" t="n"/>
      <c r="E141" s="5" t="n"/>
      <c r="F141" s="5" t="n"/>
      <c r="G141" s="5" t="n"/>
      <c r="H141" s="6" t="n"/>
      <c r="I141" s="5" t="n"/>
      <c r="J141" s="5" t="n"/>
      <c r="K141" s="5" t="n"/>
      <c r="L141" s="5" t="n"/>
    </row>
    <row r="142">
      <c r="A142" s="5" t="n"/>
      <c r="B142" s="6" t="n"/>
      <c r="C142" s="5" t="n"/>
      <c r="D142" s="5" t="n"/>
      <c r="E142" s="5" t="n"/>
      <c r="F142" s="5" t="n"/>
      <c r="G142" s="5" t="n"/>
      <c r="H142" s="6" t="n"/>
      <c r="I142" s="5" t="n"/>
      <c r="J142" s="5" t="n"/>
      <c r="K142" s="5" t="n"/>
      <c r="L142" s="5" t="n"/>
    </row>
    <row r="143">
      <c r="A143" s="5" t="n"/>
      <c r="B143" s="6" t="n"/>
      <c r="C143" s="5" t="n"/>
      <c r="D143" s="5" t="n"/>
      <c r="E143" s="5" t="n"/>
      <c r="F143" s="5" t="n"/>
      <c r="G143" s="5" t="n"/>
      <c r="H143" s="6" t="n"/>
      <c r="I143" s="5" t="n"/>
      <c r="J143" s="5" t="n"/>
      <c r="K143" s="5" t="n"/>
      <c r="L143" s="5" t="n"/>
    </row>
    <row r="144">
      <c r="A144" s="5" t="n"/>
      <c r="B144" s="6" t="n"/>
      <c r="C144" s="5" t="n"/>
      <c r="D144" s="5" t="n"/>
      <c r="E144" s="5" t="n"/>
      <c r="F144" s="5" t="n"/>
      <c r="G144" s="5" t="n"/>
      <c r="H144" s="6" t="n"/>
      <c r="I144" s="5" t="n"/>
      <c r="J144" s="5" t="n"/>
      <c r="K144" s="5" t="n"/>
      <c r="L144" s="5" t="n"/>
    </row>
    <row r="145">
      <c r="A145" s="5" t="n"/>
      <c r="B145" s="6" t="n"/>
      <c r="C145" s="5" t="n"/>
      <c r="D145" s="5" t="n"/>
      <c r="E145" s="5" t="n"/>
      <c r="F145" s="5" t="n"/>
      <c r="G145" s="5" t="n"/>
      <c r="H145" s="6" t="n"/>
      <c r="I145" s="5" t="n"/>
      <c r="J145" s="5" t="n"/>
      <c r="K145" s="5" t="n"/>
      <c r="L145" s="5" t="n"/>
    </row>
    <row r="146">
      <c r="A146" s="5" t="n"/>
      <c r="B146" s="6" t="n"/>
      <c r="C146" s="5" t="n"/>
      <c r="D146" s="5" t="n"/>
      <c r="E146" s="5" t="n"/>
      <c r="F146" s="5" t="n"/>
      <c r="G146" s="5" t="n"/>
      <c r="H146" s="6" t="n"/>
      <c r="I146" s="5" t="n"/>
      <c r="J146" s="5" t="n"/>
      <c r="K146" s="5" t="n"/>
      <c r="L146" s="5" t="n"/>
    </row>
    <row r="147">
      <c r="A147" s="5" t="n"/>
      <c r="B147" s="6" t="n"/>
      <c r="C147" s="5" t="n"/>
      <c r="D147" s="5" t="n"/>
      <c r="E147" s="5" t="n"/>
      <c r="F147" s="5" t="n"/>
      <c r="G147" s="5" t="n"/>
      <c r="H147" s="6" t="n"/>
      <c r="I147" s="5" t="n"/>
      <c r="J147" s="5" t="n"/>
      <c r="K147" s="5" t="n"/>
      <c r="L147" s="5" t="n"/>
    </row>
    <row r="148">
      <c r="A148" s="5" t="n"/>
      <c r="B148" s="6" t="n"/>
      <c r="C148" s="5" t="n"/>
      <c r="D148" s="5" t="n"/>
      <c r="E148" s="5" t="n"/>
      <c r="F148" s="5" t="n"/>
      <c r="G148" s="5" t="n"/>
      <c r="H148" s="6" t="n"/>
      <c r="I148" s="5" t="n"/>
      <c r="J148" s="5" t="n"/>
      <c r="K148" s="5" t="n"/>
      <c r="L148" s="5" t="n"/>
    </row>
    <row r="149">
      <c r="A149" s="5" t="n"/>
      <c r="B149" s="6" t="n"/>
      <c r="C149" s="5" t="n"/>
      <c r="D149" s="5" t="n"/>
      <c r="E149" s="5" t="n"/>
      <c r="F149" s="5" t="n"/>
      <c r="G149" s="5" t="n"/>
      <c r="H149" s="6" t="n"/>
      <c r="I149" s="5" t="n"/>
      <c r="J149" s="5" t="n"/>
      <c r="K149" s="5" t="n"/>
      <c r="L149" s="5" t="n"/>
    </row>
    <row r="150">
      <c r="A150" s="5" t="n"/>
      <c r="B150" s="6" t="n"/>
      <c r="C150" s="5" t="n"/>
      <c r="D150" s="5" t="n"/>
      <c r="E150" s="5" t="n"/>
      <c r="F150" s="5" t="n"/>
      <c r="G150" s="5" t="n"/>
      <c r="H150" s="6" t="n"/>
      <c r="I150" s="5" t="n"/>
      <c r="J150" s="5" t="n"/>
      <c r="K150" s="5" t="n"/>
      <c r="L150" s="5" t="n"/>
    </row>
    <row r="151">
      <c r="A151" s="5" t="n"/>
      <c r="B151" s="6" t="n"/>
      <c r="C151" s="5" t="n"/>
      <c r="D151" s="5" t="n"/>
      <c r="E151" s="5" t="n"/>
      <c r="F151" s="5" t="n"/>
      <c r="G151" s="5" t="n"/>
      <c r="H151" s="6" t="n"/>
      <c r="I151" s="5" t="n"/>
      <c r="J151" s="5" t="n"/>
      <c r="K151" s="5" t="n"/>
      <c r="L151" s="5" t="n"/>
    </row>
    <row r="152">
      <c r="A152" s="5" t="n"/>
      <c r="B152" s="6" t="n"/>
      <c r="C152" s="5" t="n"/>
      <c r="D152" s="5" t="n"/>
      <c r="E152" s="5" t="n"/>
      <c r="F152" s="5" t="n"/>
      <c r="G152" s="5" t="n"/>
      <c r="H152" s="6" t="n"/>
      <c r="I152" s="5" t="n"/>
      <c r="J152" s="5" t="n"/>
      <c r="K152" s="5" t="n"/>
      <c r="L152" s="5" t="n"/>
    </row>
    <row r="153">
      <c r="A153" s="5" t="n"/>
      <c r="B153" s="6" t="n"/>
      <c r="C153" s="5" t="n"/>
      <c r="D153" s="5" t="n"/>
      <c r="E153" s="5" t="n"/>
      <c r="F153" s="5" t="n"/>
      <c r="G153" s="5" t="n"/>
      <c r="H153" s="6" t="n"/>
      <c r="I153" s="5" t="n"/>
      <c r="J153" s="5" t="n"/>
      <c r="K153" s="5" t="n"/>
      <c r="L153" s="5" t="n"/>
    </row>
    <row r="154">
      <c r="A154" s="5" t="n"/>
      <c r="B154" s="6" t="n"/>
      <c r="C154" s="5" t="n"/>
      <c r="D154" s="5" t="n"/>
      <c r="E154" s="5" t="n"/>
      <c r="F154" s="5" t="n"/>
      <c r="G154" s="5" t="n"/>
      <c r="H154" s="6" t="n"/>
      <c r="I154" s="5" t="n"/>
      <c r="J154" s="5" t="n"/>
      <c r="K154" s="5" t="n"/>
      <c r="L154" s="5" t="n"/>
    </row>
    <row r="155">
      <c r="A155" s="5" t="n"/>
      <c r="B155" s="6" t="n"/>
      <c r="C155" s="5" t="n"/>
      <c r="D155" s="5" t="n"/>
      <c r="E155" s="5" t="n"/>
      <c r="F155" s="5" t="n"/>
      <c r="G155" s="5" t="n"/>
      <c r="H155" s="6" t="n"/>
      <c r="I155" s="5" t="n"/>
      <c r="J155" s="5" t="n"/>
      <c r="K155" s="5" t="n"/>
      <c r="L155" s="5" t="n"/>
    </row>
    <row r="156">
      <c r="A156" s="5" t="n"/>
      <c r="B156" s="6" t="n"/>
      <c r="C156" s="5" t="n"/>
      <c r="D156" s="5" t="n"/>
      <c r="E156" s="5" t="n"/>
      <c r="F156" s="5" t="n"/>
      <c r="G156" s="5" t="n"/>
      <c r="H156" s="6" t="n"/>
      <c r="I156" s="5" t="n"/>
      <c r="J156" s="5" t="n"/>
      <c r="K156" s="5" t="n"/>
      <c r="L156" s="5" t="n"/>
    </row>
    <row r="157">
      <c r="A157" s="5" t="n"/>
      <c r="B157" s="6" t="n"/>
      <c r="C157" s="5" t="n"/>
      <c r="D157" s="5" t="n"/>
      <c r="E157" s="5" t="n"/>
      <c r="F157" s="5" t="n"/>
      <c r="G157" s="5" t="n"/>
      <c r="H157" s="6" t="n"/>
      <c r="I157" s="5" t="n"/>
      <c r="J157" s="5" t="n"/>
      <c r="K157" s="5" t="n"/>
      <c r="L157" s="5" t="n"/>
    </row>
    <row r="158">
      <c r="A158" s="5" t="n"/>
      <c r="B158" s="6" t="n"/>
      <c r="C158" s="5" t="n"/>
      <c r="D158" s="5" t="n"/>
      <c r="E158" s="5" t="n"/>
      <c r="F158" s="5" t="n"/>
      <c r="G158" s="5" t="n"/>
      <c r="H158" s="6" t="n"/>
      <c r="I158" s="5" t="n"/>
      <c r="J158" s="5" t="n"/>
      <c r="K158" s="5" t="n"/>
      <c r="L158" s="5" t="n"/>
    </row>
    <row r="159">
      <c r="A159" s="5" t="n"/>
      <c r="B159" s="6" t="n"/>
      <c r="C159" s="5" t="n"/>
      <c r="D159" s="5" t="n"/>
      <c r="E159" s="5" t="n"/>
      <c r="F159" s="5" t="n"/>
      <c r="G159" s="5" t="n"/>
      <c r="H159" s="6" t="n"/>
      <c r="I159" s="5" t="n"/>
      <c r="J159" s="5" t="n"/>
      <c r="K159" s="5" t="n"/>
      <c r="L159" s="5" t="n"/>
    </row>
    <row r="160">
      <c r="A160" s="5" t="n"/>
      <c r="B160" s="6" t="n"/>
      <c r="C160" s="5" t="n"/>
      <c r="D160" s="5" t="n"/>
      <c r="E160" s="5" t="n"/>
      <c r="F160" s="5" t="n"/>
      <c r="G160" s="5" t="n"/>
      <c r="H160" s="6" t="n"/>
      <c r="I160" s="5" t="n"/>
      <c r="J160" s="5" t="n"/>
      <c r="K160" s="5" t="n"/>
      <c r="L160" s="5" t="n"/>
    </row>
    <row r="161">
      <c r="A161" s="5" t="n"/>
      <c r="B161" s="6" t="n"/>
      <c r="C161" s="5" t="n"/>
      <c r="D161" s="5" t="n"/>
      <c r="E161" s="5" t="n"/>
      <c r="F161" s="5" t="n"/>
      <c r="G161" s="5" t="n"/>
      <c r="H161" s="6" t="n"/>
      <c r="I161" s="5" t="n"/>
      <c r="J161" s="5" t="n"/>
      <c r="K161" s="5" t="n"/>
      <c r="L161" s="5" t="n"/>
    </row>
    <row r="162">
      <c r="A162" s="5" t="n"/>
      <c r="B162" s="6" t="n"/>
      <c r="C162" s="5" t="n"/>
      <c r="D162" s="5" t="n"/>
      <c r="E162" s="5" t="n"/>
      <c r="F162" s="5" t="n"/>
      <c r="G162" s="5" t="n"/>
      <c r="H162" s="6" t="n"/>
      <c r="I162" s="5" t="n"/>
      <c r="J162" s="5" t="n"/>
      <c r="K162" s="5" t="n"/>
      <c r="L162" s="5" t="n"/>
    </row>
    <row r="163">
      <c r="A163" s="5" t="n"/>
      <c r="B163" s="6" t="n"/>
      <c r="C163" s="5" t="n"/>
      <c r="D163" s="5" t="n"/>
      <c r="E163" s="5" t="n"/>
      <c r="F163" s="5" t="n"/>
      <c r="G163" s="5" t="n"/>
      <c r="H163" s="6" t="n"/>
      <c r="I163" s="5" t="n"/>
      <c r="J163" s="5" t="n"/>
      <c r="K163" s="5" t="n"/>
      <c r="L163" s="5" t="n"/>
    </row>
    <row r="164">
      <c r="A164" s="5" t="n"/>
      <c r="B164" s="6" t="n"/>
      <c r="C164" s="5" t="n"/>
      <c r="D164" s="5" t="n"/>
      <c r="E164" s="5" t="n"/>
      <c r="F164" s="5" t="n"/>
      <c r="G164" s="5" t="n"/>
      <c r="H164" s="6" t="n"/>
      <c r="I164" s="5" t="n"/>
      <c r="J164" s="5" t="n"/>
      <c r="K164" s="5" t="n"/>
      <c r="L164" s="5" t="n"/>
    </row>
    <row r="165">
      <c r="A165" s="5" t="n"/>
      <c r="B165" s="6" t="n"/>
      <c r="C165" s="5" t="n"/>
      <c r="D165" s="5" t="n"/>
      <c r="E165" s="5" t="n"/>
      <c r="F165" s="5" t="n"/>
      <c r="G165" s="5" t="n"/>
      <c r="H165" s="6" t="n"/>
      <c r="I165" s="5" t="n"/>
      <c r="J165" s="5" t="n"/>
      <c r="K165" s="5" t="n"/>
      <c r="L165" s="5" t="n"/>
    </row>
    <row r="166">
      <c r="A166" s="5" t="n"/>
      <c r="B166" s="6" t="n"/>
      <c r="C166" s="5" t="n"/>
      <c r="D166" s="5" t="n"/>
      <c r="E166" s="5" t="n"/>
      <c r="F166" s="5" t="n"/>
      <c r="G166" s="5" t="n"/>
      <c r="H166" s="6" t="n"/>
      <c r="I166" s="5" t="n"/>
      <c r="J166" s="5" t="n"/>
      <c r="K166" s="5" t="n"/>
      <c r="L166" s="5" t="n"/>
    </row>
    <row r="167">
      <c r="A167" s="5" t="n"/>
      <c r="B167" s="6" t="n"/>
      <c r="C167" s="5" t="n"/>
      <c r="D167" s="5" t="n"/>
      <c r="E167" s="5" t="n"/>
      <c r="F167" s="5" t="n"/>
      <c r="G167" s="5" t="n"/>
      <c r="H167" s="6" t="n"/>
      <c r="I167" s="5" t="n"/>
      <c r="J167" s="5" t="n"/>
      <c r="K167" s="5" t="n"/>
      <c r="L167" s="5" t="n"/>
    </row>
    <row r="168">
      <c r="A168" s="5" t="n"/>
      <c r="B168" s="6" t="n"/>
      <c r="C168" s="5" t="n"/>
      <c r="D168" s="5" t="n"/>
      <c r="E168" s="5" t="n"/>
      <c r="F168" s="5" t="n"/>
      <c r="G168" s="5" t="n"/>
      <c r="H168" s="6" t="n"/>
      <c r="I168" s="5" t="n"/>
      <c r="J168" s="5" t="n"/>
      <c r="K168" s="5" t="n"/>
      <c r="L168" s="5" t="n"/>
    </row>
    <row r="169">
      <c r="A169" s="5" t="n"/>
      <c r="B169" s="6" t="n"/>
      <c r="C169" s="5" t="n"/>
      <c r="D169" s="5" t="n"/>
      <c r="E169" s="5" t="n"/>
      <c r="F169" s="5" t="n"/>
      <c r="G169" s="5" t="n"/>
      <c r="H169" s="6" t="n"/>
      <c r="I169" s="5" t="n"/>
      <c r="J169" s="5" t="n"/>
      <c r="K169" s="5" t="n"/>
      <c r="L169" s="5" t="n"/>
    </row>
    <row r="170">
      <c r="A170" s="5" t="n"/>
      <c r="B170" s="6" t="n"/>
      <c r="C170" s="5" t="n"/>
      <c r="D170" s="5" t="n"/>
      <c r="E170" s="5" t="n"/>
      <c r="F170" s="5" t="n"/>
      <c r="G170" s="5" t="n"/>
      <c r="H170" s="6" t="n"/>
      <c r="I170" s="5" t="n"/>
      <c r="J170" s="5" t="n"/>
      <c r="K170" s="5" t="n"/>
      <c r="L170" s="5" t="n"/>
    </row>
    <row r="171">
      <c r="A171" s="5" t="n"/>
      <c r="B171" s="6" t="n"/>
      <c r="C171" s="5" t="n"/>
      <c r="D171" s="5" t="n"/>
      <c r="E171" s="5" t="n"/>
      <c r="F171" s="5" t="n"/>
      <c r="G171" s="5" t="n"/>
      <c r="H171" s="6" t="n"/>
      <c r="I171" s="5" t="n"/>
      <c r="J171" s="5" t="n"/>
      <c r="K171" s="5" t="n"/>
      <c r="L171" s="5" t="n"/>
    </row>
    <row r="172">
      <c r="A172" s="5" t="n"/>
      <c r="B172" s="6" t="n"/>
      <c r="C172" s="5" t="n"/>
      <c r="D172" s="5" t="n"/>
      <c r="E172" s="5" t="n"/>
      <c r="F172" s="5" t="n"/>
      <c r="G172" s="5" t="n"/>
      <c r="H172" s="6" t="n"/>
      <c r="I172" s="5" t="n"/>
      <c r="J172" s="5" t="n"/>
      <c r="K172" s="5" t="n"/>
      <c r="L172" s="5" t="n"/>
    </row>
    <row r="173">
      <c r="A173" s="5" t="n"/>
      <c r="B173" s="6" t="n"/>
      <c r="C173" s="5" t="n"/>
      <c r="D173" s="5" t="n"/>
      <c r="E173" s="5" t="n"/>
      <c r="F173" s="5" t="n"/>
      <c r="G173" s="5" t="n"/>
      <c r="H173" s="6" t="n"/>
      <c r="I173" s="5" t="n"/>
      <c r="J173" s="5" t="n"/>
      <c r="K173" s="5" t="n"/>
      <c r="L173" s="5" t="n"/>
    </row>
    <row r="174">
      <c r="A174" s="5" t="n"/>
      <c r="B174" s="6" t="n"/>
      <c r="C174" s="5" t="n"/>
      <c r="D174" s="5" t="n"/>
      <c r="E174" s="5" t="n"/>
      <c r="F174" s="5" t="n"/>
      <c r="G174" s="5" t="n"/>
      <c r="H174" s="6" t="n"/>
      <c r="I174" s="5" t="n"/>
      <c r="J174" s="5" t="n"/>
      <c r="K174" s="5" t="n"/>
      <c r="L174" s="5" t="n"/>
    </row>
    <row r="175">
      <c r="A175" s="5" t="n"/>
      <c r="B175" s="6" t="n"/>
      <c r="C175" s="5" t="n"/>
      <c r="D175" s="5" t="n"/>
      <c r="E175" s="5" t="n"/>
      <c r="F175" s="5" t="n"/>
      <c r="G175" s="5" t="n"/>
      <c r="H175" s="6" t="n"/>
      <c r="I175" s="5" t="n"/>
      <c r="J175" s="5" t="n"/>
      <c r="K175" s="5" t="n"/>
      <c r="L175" s="5" t="n"/>
    </row>
    <row r="176">
      <c r="A176" s="5" t="n"/>
      <c r="B176" s="6" t="n"/>
      <c r="C176" s="5" t="n"/>
      <c r="D176" s="5" t="n"/>
      <c r="E176" s="5" t="n"/>
      <c r="F176" s="5" t="n"/>
      <c r="G176" s="5" t="n"/>
      <c r="H176" s="6" t="n"/>
      <c r="I176" s="5" t="n"/>
      <c r="J176" s="5" t="n"/>
      <c r="K176" s="5" t="n"/>
      <c r="L176" s="5" t="n"/>
    </row>
    <row r="177">
      <c r="A177" s="5" t="n"/>
      <c r="B177" s="6" t="n"/>
      <c r="C177" s="5" t="n"/>
      <c r="D177" s="5" t="n"/>
      <c r="E177" s="5" t="n"/>
      <c r="F177" s="5" t="n"/>
      <c r="G177" s="5" t="n"/>
      <c r="H177" s="6" t="n"/>
      <c r="I177" s="5" t="n"/>
      <c r="J177" s="5" t="n"/>
      <c r="K177" s="5" t="n"/>
      <c r="L177" s="5" t="n"/>
    </row>
    <row r="178">
      <c r="A178" s="5" t="n"/>
      <c r="B178" s="6" t="n"/>
      <c r="C178" s="5" t="n"/>
      <c r="D178" s="5" t="n"/>
      <c r="E178" s="5" t="n"/>
      <c r="F178" s="5" t="n"/>
      <c r="G178" s="5" t="n"/>
      <c r="H178" s="6" t="n"/>
      <c r="I178" s="5" t="n"/>
      <c r="J178" s="5" t="n"/>
      <c r="K178" s="5" t="n"/>
      <c r="L178" s="5" t="n"/>
    </row>
    <row r="179">
      <c r="A179" s="5" t="n"/>
      <c r="B179" s="6" t="n"/>
      <c r="C179" s="5" t="n"/>
      <c r="D179" s="5" t="n"/>
      <c r="E179" s="5" t="n"/>
      <c r="F179" s="5" t="n"/>
      <c r="G179" s="5" t="n"/>
      <c r="H179" s="6" t="n"/>
      <c r="I179" s="5" t="n"/>
      <c r="J179" s="5" t="n"/>
      <c r="K179" s="5" t="n"/>
      <c r="L179" s="5" t="n"/>
    </row>
    <row r="180">
      <c r="A180" s="5" t="n"/>
      <c r="B180" s="6" t="n"/>
      <c r="C180" s="5" t="n"/>
      <c r="D180" s="5" t="n"/>
      <c r="E180" s="5" t="n"/>
      <c r="F180" s="5" t="n"/>
      <c r="G180" s="5" t="n"/>
      <c r="H180" s="6" t="n"/>
      <c r="I180" s="5" t="n"/>
      <c r="J180" s="5" t="n"/>
      <c r="K180" s="5" t="n"/>
      <c r="L180" s="5" t="n"/>
    </row>
    <row r="181">
      <c r="A181" s="5" t="n"/>
      <c r="B181" s="6" t="n"/>
      <c r="C181" s="5" t="n"/>
      <c r="D181" s="5" t="n"/>
      <c r="E181" s="5" t="n"/>
      <c r="F181" s="5" t="n"/>
      <c r="G181" s="5" t="n"/>
      <c r="H181" s="6" t="n"/>
      <c r="I181" s="5" t="n"/>
      <c r="J181" s="5" t="n"/>
      <c r="K181" s="5" t="n"/>
      <c r="L181" s="5" t="n"/>
    </row>
    <row r="182">
      <c r="A182" s="5" t="n"/>
      <c r="B182" s="6" t="n"/>
      <c r="C182" s="5" t="n"/>
      <c r="D182" s="5" t="n"/>
      <c r="E182" s="5" t="n"/>
      <c r="F182" s="5" t="n"/>
      <c r="G182" s="5" t="n"/>
      <c r="H182" s="6" t="n"/>
      <c r="I182" s="5" t="n"/>
      <c r="J182" s="5" t="n"/>
      <c r="K182" s="5" t="n"/>
      <c r="L182" s="5" t="n"/>
    </row>
    <row r="183">
      <c r="A183" s="5" t="n"/>
      <c r="B183" s="6" t="n"/>
      <c r="C183" s="5" t="n"/>
      <c r="D183" s="5" t="n"/>
      <c r="E183" s="5" t="n"/>
      <c r="F183" s="5" t="n"/>
      <c r="G183" s="5" t="n"/>
      <c r="H183" s="6" t="n"/>
      <c r="I183" s="5" t="n"/>
      <c r="J183" s="5" t="n"/>
      <c r="K183" s="5" t="n"/>
      <c r="L183" s="5" t="n"/>
    </row>
    <row r="184">
      <c r="A184" s="5" t="n"/>
      <c r="B184" s="6" t="n"/>
      <c r="C184" s="5" t="n"/>
      <c r="D184" s="5" t="n"/>
      <c r="E184" s="5" t="n"/>
      <c r="F184" s="5" t="n"/>
      <c r="G184" s="5" t="n"/>
      <c r="H184" s="6" t="n"/>
      <c r="I184" s="5" t="n"/>
      <c r="J184" s="5" t="n"/>
      <c r="K184" s="5" t="n"/>
      <c r="L184" s="5" t="n"/>
    </row>
    <row r="185">
      <c r="A185" s="5" t="n"/>
      <c r="B185" s="6" t="n"/>
      <c r="C185" s="5" t="n"/>
      <c r="D185" s="5" t="n"/>
      <c r="E185" s="5" t="n"/>
      <c r="F185" s="5" t="n"/>
      <c r="G185" s="5" t="n"/>
      <c r="H185" s="6" t="n"/>
      <c r="I185" s="5" t="n"/>
      <c r="J185" s="5" t="n"/>
      <c r="K185" s="5" t="n"/>
      <c r="L185" s="5" t="n"/>
    </row>
    <row r="186">
      <c r="A186" s="5" t="n"/>
      <c r="B186" s="6" t="n"/>
      <c r="C186" s="5" t="n"/>
      <c r="D186" s="5" t="n"/>
      <c r="E186" s="5" t="n"/>
      <c r="F186" s="5" t="n"/>
      <c r="G186" s="5" t="n"/>
      <c r="H186" s="6" t="n"/>
      <c r="I186" s="5" t="n"/>
      <c r="J186" s="5" t="n"/>
      <c r="K186" s="5" t="n"/>
      <c r="L186" s="5" t="n"/>
    </row>
    <row r="187">
      <c r="A187" s="5" t="n"/>
      <c r="B187" s="6" t="n"/>
      <c r="C187" s="5" t="n"/>
      <c r="D187" s="5" t="n"/>
      <c r="E187" s="5" t="n"/>
      <c r="F187" s="5" t="n"/>
      <c r="G187" s="5" t="n"/>
      <c r="H187" s="6" t="n"/>
      <c r="I187" s="5" t="n"/>
      <c r="J187" s="5" t="n"/>
      <c r="K187" s="5" t="n"/>
      <c r="L187" s="5" t="n"/>
    </row>
    <row r="188">
      <c r="A188" s="5" t="n"/>
      <c r="B188" s="6" t="n"/>
      <c r="C188" s="5" t="n"/>
      <c r="D188" s="5" t="n"/>
      <c r="E188" s="5" t="n"/>
      <c r="F188" s="5" t="n"/>
      <c r="G188" s="5" t="n"/>
      <c r="H188" s="6" t="n"/>
      <c r="I188" s="5" t="n"/>
      <c r="J188" s="5" t="n"/>
      <c r="K188" s="5" t="n"/>
      <c r="L188" s="5" t="n"/>
    </row>
    <row r="189">
      <c r="A189" s="5" t="n"/>
      <c r="B189" s="6" t="n"/>
      <c r="C189" s="5" t="n"/>
      <c r="D189" s="5" t="n"/>
      <c r="E189" s="5" t="n"/>
      <c r="F189" s="5" t="n"/>
      <c r="G189" s="5" t="n"/>
      <c r="H189" s="6" t="n"/>
      <c r="I189" s="5" t="n"/>
      <c r="J189" s="5" t="n"/>
      <c r="K189" s="5" t="n"/>
      <c r="L189" s="5" t="n"/>
    </row>
    <row r="190">
      <c r="A190" s="5" t="n"/>
      <c r="B190" s="6" t="n"/>
      <c r="C190" s="5" t="n"/>
      <c r="D190" s="5" t="n"/>
      <c r="E190" s="5" t="n"/>
      <c r="F190" s="5" t="n"/>
      <c r="G190" s="5" t="n"/>
      <c r="H190" s="6" t="n"/>
      <c r="I190" s="5" t="n"/>
      <c r="J190" s="5" t="n"/>
      <c r="K190" s="5" t="n"/>
      <c r="L190" s="5" t="n"/>
    </row>
    <row r="191">
      <c r="A191" s="5" t="n"/>
      <c r="B191" s="6" t="n"/>
      <c r="C191" s="5" t="n"/>
      <c r="D191" s="5" t="n"/>
      <c r="E191" s="5" t="n"/>
      <c r="F191" s="5" t="n"/>
      <c r="G191" s="5" t="n"/>
      <c r="H191" s="6" t="n"/>
      <c r="I191" s="5" t="n"/>
      <c r="J191" s="5" t="n"/>
      <c r="K191" s="5" t="n"/>
      <c r="L191" s="5" t="n"/>
    </row>
    <row r="192">
      <c r="A192" s="5" t="n"/>
      <c r="B192" s="6" t="n"/>
      <c r="C192" s="5" t="n"/>
      <c r="D192" s="5" t="n"/>
      <c r="E192" s="5" t="n"/>
      <c r="F192" s="5" t="n"/>
      <c r="G192" s="5" t="n"/>
      <c r="H192" s="6" t="n"/>
      <c r="I192" s="5" t="n"/>
      <c r="J192" s="5" t="n"/>
      <c r="K192" s="5" t="n"/>
      <c r="L192" s="5" t="n"/>
    </row>
    <row r="193">
      <c r="A193" s="5" t="n"/>
      <c r="B193" s="6" t="n"/>
      <c r="C193" s="5" t="n"/>
      <c r="D193" s="5" t="n"/>
      <c r="E193" s="5" t="n"/>
      <c r="F193" s="5" t="n"/>
      <c r="G193" s="5" t="n"/>
      <c r="H193" s="6" t="n"/>
      <c r="I193" s="5" t="n"/>
      <c r="J193" s="5" t="n"/>
      <c r="K193" s="5" t="n"/>
      <c r="L193" s="5" t="n"/>
    </row>
    <row r="194">
      <c r="A194" s="5" t="n"/>
      <c r="B194" s="6" t="n"/>
      <c r="C194" s="5" t="n"/>
      <c r="D194" s="5" t="n"/>
      <c r="E194" s="5" t="n"/>
      <c r="F194" s="5" t="n"/>
      <c r="G194" s="5" t="n"/>
      <c r="H194" s="6" t="n"/>
      <c r="I194" s="5" t="n"/>
      <c r="J194" s="5" t="n"/>
      <c r="K194" s="5" t="n"/>
      <c r="L194" s="5" t="n"/>
    </row>
    <row r="195">
      <c r="A195" s="5" t="n"/>
      <c r="B195" s="6" t="n"/>
      <c r="C195" s="5" t="n"/>
      <c r="D195" s="5" t="n"/>
      <c r="E195" s="5" t="n"/>
      <c r="F195" s="5" t="n"/>
      <c r="G195" s="5" t="n"/>
      <c r="H195" s="6" t="n"/>
      <c r="I195" s="5" t="n"/>
      <c r="J195" s="5" t="n"/>
      <c r="K195" s="5" t="n"/>
      <c r="L195" s="5" t="n"/>
    </row>
    <row r="196">
      <c r="A196" s="5" t="n"/>
      <c r="B196" s="6" t="n"/>
      <c r="C196" s="5" t="n"/>
      <c r="D196" s="5" t="n"/>
      <c r="E196" s="5" t="n"/>
      <c r="F196" s="5" t="n"/>
      <c r="G196" s="5" t="n"/>
      <c r="H196" s="6" t="n"/>
      <c r="I196" s="5" t="n"/>
      <c r="J196" s="5" t="n"/>
      <c r="K196" s="5" t="n"/>
      <c r="L196" s="5" t="n"/>
    </row>
    <row r="197">
      <c r="A197" s="5" t="n"/>
      <c r="B197" s="6" t="n"/>
      <c r="C197" s="5" t="n"/>
      <c r="D197" s="5" t="n"/>
      <c r="E197" s="5" t="n"/>
      <c r="F197" s="5" t="n"/>
      <c r="G197" s="5" t="n"/>
      <c r="H197" s="6" t="n"/>
      <c r="I197" s="5" t="n"/>
      <c r="J197" s="5" t="n"/>
      <c r="K197" s="5" t="n"/>
      <c r="L197" s="5" t="n"/>
    </row>
    <row r="198">
      <c r="A198" s="5" t="n"/>
      <c r="B198" s="6" t="n"/>
      <c r="C198" s="5" t="n"/>
      <c r="D198" s="5" t="n"/>
      <c r="E198" s="5" t="n"/>
      <c r="F198" s="5" t="n"/>
      <c r="G198" s="5" t="n"/>
      <c r="H198" s="6" t="n"/>
      <c r="I198" s="5" t="n"/>
      <c r="J198" s="5" t="n"/>
      <c r="K198" s="5" t="n"/>
      <c r="L198" s="5" t="n"/>
    </row>
    <row r="199">
      <c r="A199" s="5" t="n"/>
      <c r="B199" s="6" t="n"/>
      <c r="C199" s="5" t="n"/>
      <c r="D199" s="5" t="n"/>
      <c r="E199" s="5" t="n"/>
      <c r="F199" s="5" t="n"/>
      <c r="G199" s="5" t="n"/>
      <c r="H199" s="6" t="n"/>
      <c r="I199" s="5" t="n"/>
      <c r="J199" s="5" t="n"/>
      <c r="K199" s="5" t="n"/>
      <c r="L199" s="5" t="n"/>
    </row>
    <row r="200">
      <c r="A200" s="5" t="n"/>
      <c r="B200" s="6" t="n"/>
      <c r="C200" s="5" t="n"/>
      <c r="D200" s="5" t="n"/>
      <c r="E200" s="5" t="n"/>
      <c r="F200" s="5" t="n"/>
      <c r="G200" s="5" t="n"/>
      <c r="H200" s="6" t="n"/>
      <c r="I200" s="5" t="n"/>
      <c r="J200" s="5" t="n"/>
      <c r="K200" s="5" t="n"/>
      <c r="L200" s="5" t="n"/>
    </row>
    <row r="201">
      <c r="A201" s="5" t="n"/>
      <c r="B201" s="6" t="n"/>
      <c r="C201" s="5" t="n"/>
      <c r="D201" s="5" t="n"/>
      <c r="E201" s="5" t="n"/>
      <c r="F201" s="5" t="n"/>
      <c r="G201" s="5" t="n"/>
      <c r="H201" s="6" t="n"/>
      <c r="I201" s="5" t="n"/>
      <c r="J201" s="5" t="n"/>
      <c r="K201" s="5" t="n"/>
      <c r="L201" s="5" t="n"/>
    </row>
    <row r="202">
      <c r="A202" s="5" t="n"/>
      <c r="B202" s="6" t="n"/>
      <c r="C202" s="5" t="n"/>
      <c r="D202" s="5" t="n"/>
      <c r="E202" s="5" t="n"/>
      <c r="F202" s="5" t="n"/>
      <c r="G202" s="5" t="n"/>
      <c r="H202" s="6" t="n"/>
      <c r="I202" s="5" t="n"/>
      <c r="J202" s="5" t="n"/>
      <c r="K202" s="5" t="n"/>
      <c r="L202" s="5" t="n"/>
    </row>
    <row r="203">
      <c r="A203" s="5" t="n"/>
      <c r="B203" s="6" t="n"/>
      <c r="C203" s="5" t="n"/>
      <c r="D203" s="5" t="n"/>
      <c r="E203" s="5" t="n"/>
      <c r="F203" s="5" t="n"/>
      <c r="G203" s="5" t="n"/>
      <c r="H203" s="6" t="n"/>
      <c r="I203" s="5" t="n"/>
      <c r="J203" s="5" t="n"/>
      <c r="K203" s="5" t="n"/>
      <c r="L203" s="5" t="n"/>
    </row>
    <row r="204">
      <c r="A204" s="5" t="n"/>
      <c r="B204" s="6" t="n"/>
      <c r="C204" s="5" t="n"/>
      <c r="D204" s="5" t="n"/>
      <c r="E204" s="5" t="n"/>
      <c r="F204" s="5" t="n"/>
      <c r="G204" s="5" t="n"/>
      <c r="H204" s="6" t="n"/>
      <c r="I204" s="5" t="n"/>
      <c r="J204" s="5" t="n"/>
      <c r="K204" s="5" t="n"/>
      <c r="L204" s="5" t="n"/>
    </row>
    <row r="205">
      <c r="A205" s="5" t="n"/>
      <c r="B205" s="6" t="n"/>
      <c r="C205" s="5" t="n"/>
      <c r="D205" s="5" t="n"/>
      <c r="E205" s="5" t="n"/>
      <c r="F205" s="5" t="n"/>
      <c r="G205" s="5" t="n"/>
      <c r="H205" s="6" t="n"/>
      <c r="I205" s="5" t="n"/>
      <c r="J205" s="5" t="n"/>
      <c r="K205" s="5" t="n"/>
      <c r="L205" s="5" t="n"/>
    </row>
    <row r="206">
      <c r="A206" s="5" t="n"/>
      <c r="B206" s="6" t="n"/>
      <c r="C206" s="5" t="n"/>
      <c r="D206" s="5" t="n"/>
      <c r="E206" s="5" t="n"/>
      <c r="F206" s="5" t="n"/>
      <c r="G206" s="5" t="n"/>
      <c r="H206" s="6" t="n"/>
      <c r="I206" s="5" t="n"/>
      <c r="J206" s="5" t="n"/>
      <c r="K206" s="5" t="n"/>
      <c r="L206" s="5" t="n"/>
    </row>
    <row r="207">
      <c r="A207" s="5" t="n"/>
      <c r="B207" s="6" t="n"/>
      <c r="C207" s="5" t="n"/>
      <c r="D207" s="5" t="n"/>
      <c r="E207" s="5" t="n"/>
      <c r="F207" s="5" t="n"/>
      <c r="G207" s="5" t="n"/>
      <c r="H207" s="6" t="n"/>
      <c r="I207" s="5" t="n"/>
      <c r="J207" s="5" t="n"/>
      <c r="K207" s="5" t="n"/>
      <c r="L207" s="5" t="n"/>
    </row>
    <row r="208">
      <c r="A208" s="5" t="n"/>
      <c r="B208" s="6" t="n"/>
      <c r="C208" s="5" t="n"/>
      <c r="D208" s="5" t="n"/>
      <c r="E208" s="5" t="n"/>
      <c r="F208" s="5" t="n"/>
      <c r="G208" s="5" t="n"/>
      <c r="H208" s="6" t="n"/>
      <c r="I208" s="5" t="n"/>
      <c r="J208" s="5" t="n"/>
      <c r="K208" s="5" t="n"/>
      <c r="L208" s="5" t="n"/>
    </row>
    <row r="209">
      <c r="A209" s="5" t="n"/>
      <c r="B209" s="6" t="n"/>
      <c r="C209" s="5" t="n"/>
      <c r="D209" s="5" t="n"/>
      <c r="E209" s="5" t="n"/>
      <c r="F209" s="5" t="n"/>
      <c r="G209" s="5" t="n"/>
      <c r="H209" s="6" t="n"/>
      <c r="I209" s="5" t="n"/>
      <c r="J209" s="5" t="n"/>
      <c r="K209" s="5" t="n"/>
      <c r="L209" s="5" t="n"/>
    </row>
    <row r="210">
      <c r="A210" s="5" t="n"/>
      <c r="B210" s="6" t="n"/>
      <c r="C210" s="5" t="n"/>
      <c r="D210" s="5" t="n"/>
      <c r="E210" s="5" t="n"/>
      <c r="F210" s="5" t="n"/>
      <c r="G210" s="5" t="n"/>
      <c r="H210" s="6" t="n"/>
      <c r="I210" s="5" t="n"/>
      <c r="J210" s="5" t="n"/>
      <c r="K210" s="5" t="n"/>
      <c r="L210" s="5" t="n"/>
    </row>
    <row r="211">
      <c r="A211" s="5" t="n"/>
      <c r="B211" s="6" t="n"/>
      <c r="C211" s="5" t="n"/>
      <c r="D211" s="5" t="n"/>
      <c r="E211" s="5" t="n"/>
      <c r="F211" s="5" t="n"/>
      <c r="G211" s="5" t="n"/>
      <c r="H211" s="6" t="n"/>
      <c r="I211" s="5" t="n"/>
      <c r="J211" s="5" t="n"/>
      <c r="K211" s="5" t="n"/>
      <c r="L211" s="5" t="n"/>
    </row>
    <row r="212">
      <c r="A212" s="5" t="n"/>
      <c r="B212" s="6" t="n"/>
      <c r="C212" s="5" t="n"/>
      <c r="D212" s="5" t="n"/>
      <c r="E212" s="5" t="n"/>
      <c r="F212" s="5" t="n"/>
      <c r="G212" s="5" t="n"/>
      <c r="H212" s="6" t="n"/>
      <c r="I212" s="5" t="n"/>
      <c r="J212" s="5" t="n"/>
      <c r="K212" s="5" t="n"/>
      <c r="L212" s="5" t="n"/>
    </row>
    <row r="213">
      <c r="A213" s="5" t="n"/>
      <c r="B213" s="6" t="n"/>
      <c r="C213" s="5" t="n"/>
      <c r="D213" s="5" t="n"/>
      <c r="E213" s="5" t="n"/>
      <c r="F213" s="5" t="n"/>
      <c r="G213" s="5" t="n"/>
      <c r="H213" s="6" t="n"/>
      <c r="I213" s="5" t="n"/>
      <c r="J213" s="5" t="n"/>
      <c r="K213" s="5" t="n"/>
      <c r="L213" s="5" t="n"/>
    </row>
    <row r="214">
      <c r="A214" s="5" t="n"/>
      <c r="B214" s="6" t="n"/>
      <c r="C214" s="5" t="n"/>
      <c r="D214" s="5" t="n"/>
      <c r="E214" s="5" t="n"/>
      <c r="F214" s="5" t="n"/>
      <c r="G214" s="5" t="n"/>
      <c r="H214" s="6" t="n"/>
      <c r="I214" s="5" t="n"/>
      <c r="J214" s="5" t="n"/>
      <c r="K214" s="5" t="n"/>
      <c r="L214" s="5" t="n"/>
    </row>
    <row r="215">
      <c r="A215" s="5" t="n"/>
      <c r="B215" s="6" t="n"/>
      <c r="C215" s="5" t="n"/>
      <c r="D215" s="5" t="n"/>
      <c r="E215" s="5" t="n"/>
      <c r="F215" s="5" t="n"/>
      <c r="G215" s="5" t="n"/>
      <c r="H215" s="6" t="n"/>
      <c r="I215" s="5" t="n"/>
      <c r="J215" s="5" t="n"/>
      <c r="K215" s="5" t="n"/>
      <c r="L215" s="5" t="n"/>
    </row>
    <row r="216">
      <c r="A216" s="5" t="n"/>
      <c r="B216" s="6" t="n"/>
      <c r="C216" s="5" t="n"/>
      <c r="D216" s="5" t="n"/>
      <c r="E216" s="5" t="n"/>
      <c r="F216" s="5" t="n"/>
      <c r="G216" s="5" t="n"/>
      <c r="H216" s="6" t="n"/>
      <c r="I216" s="5" t="n"/>
      <c r="J216" s="5" t="n"/>
      <c r="K216" s="5" t="n"/>
      <c r="L216" s="5" t="n"/>
    </row>
    <row r="217">
      <c r="A217" s="5" t="n"/>
      <c r="B217" s="6" t="n"/>
      <c r="C217" s="5" t="n"/>
      <c r="D217" s="5" t="n"/>
      <c r="E217" s="5" t="n"/>
      <c r="F217" s="5" t="n"/>
      <c r="G217" s="5" t="n"/>
      <c r="H217" s="6" t="n"/>
      <c r="I217" s="5" t="n"/>
      <c r="J217" s="5" t="n"/>
      <c r="K217" s="5" t="n"/>
      <c r="L217" s="5" t="n"/>
    </row>
    <row r="218">
      <c r="A218" s="5" t="n"/>
      <c r="B218" s="6" t="n"/>
      <c r="C218" s="5" t="n"/>
      <c r="D218" s="5" t="n"/>
      <c r="E218" s="5" t="n"/>
      <c r="F218" s="5" t="n"/>
      <c r="G218" s="5" t="n"/>
      <c r="H218" s="6" t="n"/>
      <c r="I218" s="5" t="n"/>
      <c r="J218" s="5" t="n"/>
      <c r="K218" s="5" t="n"/>
      <c r="L218" s="5" t="n"/>
    </row>
    <row r="219">
      <c r="A219" s="5" t="n"/>
      <c r="B219" s="6" t="n"/>
      <c r="C219" s="5" t="n"/>
      <c r="D219" s="5" t="n"/>
      <c r="E219" s="5" t="n"/>
      <c r="F219" s="5" t="n"/>
      <c r="G219" s="5" t="n"/>
      <c r="H219" s="6" t="n"/>
      <c r="I219" s="5" t="n"/>
      <c r="J219" s="5" t="n"/>
      <c r="K219" s="5" t="n"/>
      <c r="L219" s="5" t="n"/>
    </row>
    <row r="220">
      <c r="A220" s="5" t="n"/>
      <c r="B220" s="6" t="n"/>
      <c r="C220" s="5" t="n"/>
      <c r="D220" s="5" t="n"/>
      <c r="E220" s="5" t="n"/>
      <c r="F220" s="5" t="n"/>
      <c r="G220" s="5" t="n"/>
      <c r="H220" s="6" t="n"/>
      <c r="I220" s="5" t="n"/>
      <c r="J220" s="5" t="n"/>
      <c r="K220" s="5" t="n"/>
      <c r="L220" s="5" t="n"/>
    </row>
    <row r="221">
      <c r="A221" s="5" t="n"/>
      <c r="B221" s="6" t="n"/>
      <c r="C221" s="5" t="n"/>
      <c r="D221" s="5" t="n"/>
      <c r="E221" s="5" t="n"/>
      <c r="F221" s="5" t="n"/>
      <c r="G221" s="5" t="n"/>
      <c r="H221" s="6" t="n"/>
      <c r="I221" s="5" t="n"/>
      <c r="J221" s="5" t="n"/>
      <c r="K221" s="5" t="n"/>
      <c r="L221" s="5" t="n"/>
    </row>
    <row r="222">
      <c r="A222" s="5" t="n"/>
      <c r="B222" s="6" t="n"/>
      <c r="C222" s="5" t="n"/>
      <c r="D222" s="5" t="n"/>
      <c r="E222" s="5" t="n"/>
      <c r="F222" s="5" t="n"/>
      <c r="G222" s="5" t="n"/>
      <c r="H222" s="6" t="n"/>
      <c r="I222" s="5" t="n"/>
      <c r="J222" s="5" t="n"/>
      <c r="K222" s="5" t="n"/>
      <c r="L222" s="5" t="n"/>
    </row>
    <row r="223">
      <c r="A223" s="5" t="n"/>
      <c r="B223" s="6" t="n"/>
      <c r="C223" s="5" t="n"/>
      <c r="D223" s="5" t="n"/>
      <c r="E223" s="5" t="n"/>
      <c r="F223" s="5" t="n"/>
      <c r="G223" s="5" t="n"/>
      <c r="H223" s="6" t="n"/>
      <c r="I223" s="5" t="n"/>
      <c r="J223" s="5" t="n"/>
      <c r="K223" s="5" t="n"/>
      <c r="L223" s="5" t="n"/>
    </row>
    <row r="224">
      <c r="A224" s="5" t="n"/>
      <c r="B224" s="6" t="n"/>
      <c r="C224" s="5" t="n"/>
      <c r="D224" s="5" t="n"/>
      <c r="E224" s="5" t="n"/>
      <c r="F224" s="5" t="n"/>
      <c r="G224" s="5" t="n"/>
      <c r="H224" s="6" t="n"/>
      <c r="I224" s="5" t="n"/>
      <c r="J224" s="5" t="n"/>
      <c r="K224" s="5" t="n"/>
      <c r="L224" s="5" t="n"/>
    </row>
    <row r="225">
      <c r="A225" s="5" t="n"/>
      <c r="B225" s="6" t="n"/>
      <c r="C225" s="5" t="n"/>
      <c r="D225" s="5" t="n"/>
      <c r="E225" s="5" t="n"/>
      <c r="F225" s="5" t="n"/>
      <c r="G225" s="5" t="n"/>
      <c r="H225" s="6" t="n"/>
      <c r="I225" s="5" t="n"/>
      <c r="J225" s="5" t="n"/>
      <c r="K225" s="5" t="n"/>
      <c r="L225" s="5" t="n"/>
    </row>
    <row r="226">
      <c r="A226" s="5" t="n"/>
      <c r="B226" s="6" t="n"/>
      <c r="C226" s="5" t="n"/>
      <c r="D226" s="5" t="n"/>
      <c r="E226" s="5" t="n"/>
      <c r="F226" s="5" t="n"/>
      <c r="G226" s="5" t="n"/>
      <c r="H226" s="6" t="n"/>
      <c r="I226" s="5" t="n"/>
      <c r="J226" s="5" t="n"/>
      <c r="K226" s="5" t="n"/>
      <c r="L226" s="5" t="n"/>
    </row>
    <row r="227">
      <c r="A227" s="5" t="n"/>
      <c r="B227" s="6" t="n"/>
      <c r="C227" s="5" t="n"/>
      <c r="D227" s="5" t="n"/>
      <c r="E227" s="5" t="n"/>
      <c r="F227" s="5" t="n"/>
      <c r="G227" s="5" t="n"/>
      <c r="H227" s="6" t="n"/>
      <c r="I227" s="5" t="n"/>
      <c r="J227" s="5" t="n"/>
      <c r="K227" s="5" t="n"/>
      <c r="L227" s="5" t="n"/>
    </row>
    <row r="228">
      <c r="A228" s="5" t="n"/>
      <c r="B228" s="6" t="n"/>
      <c r="C228" s="5" t="n"/>
      <c r="D228" s="5" t="n"/>
      <c r="E228" s="5" t="n"/>
      <c r="F228" s="5" t="n"/>
      <c r="G228" s="5" t="n"/>
      <c r="H228" s="6" t="n"/>
      <c r="I228" s="5" t="n"/>
      <c r="J228" s="5" t="n"/>
      <c r="K228" s="5" t="n"/>
      <c r="L228" s="5" t="n"/>
    </row>
    <row r="229">
      <c r="A229" s="5" t="n"/>
      <c r="B229" s="6" t="n"/>
      <c r="C229" s="5" t="n"/>
      <c r="D229" s="5" t="n"/>
      <c r="E229" s="5" t="n"/>
      <c r="F229" s="5" t="n"/>
      <c r="G229" s="5" t="n"/>
      <c r="H229" s="6" t="n"/>
      <c r="I229" s="5" t="n"/>
      <c r="J229" s="5" t="n"/>
      <c r="K229" s="5" t="n"/>
      <c r="L229" s="5" t="n"/>
    </row>
    <row r="230">
      <c r="A230" s="5" t="n"/>
      <c r="B230" s="6" t="n"/>
      <c r="C230" s="5" t="n"/>
      <c r="D230" s="5" t="n"/>
      <c r="E230" s="5" t="n"/>
      <c r="F230" s="5" t="n"/>
      <c r="G230" s="5" t="n"/>
      <c r="H230" s="6" t="n"/>
      <c r="I230" s="5" t="n"/>
      <c r="J230" s="5" t="n"/>
      <c r="K230" s="5" t="n"/>
      <c r="L230" s="5" t="n"/>
    </row>
    <row r="231">
      <c r="A231" s="5" t="n"/>
      <c r="B231" s="6" t="n"/>
      <c r="C231" s="5" t="n"/>
      <c r="D231" s="5" t="n"/>
      <c r="E231" s="5" t="n"/>
      <c r="F231" s="5" t="n"/>
      <c r="G231" s="5" t="n"/>
      <c r="H231" s="6" t="n"/>
      <c r="I231" s="5" t="n"/>
      <c r="J231" s="5" t="n"/>
      <c r="K231" s="5" t="n"/>
      <c r="L231" s="5" t="n"/>
    </row>
    <row r="232">
      <c r="A232" s="5" t="n"/>
      <c r="B232" s="6" t="n"/>
      <c r="C232" s="5" t="n"/>
      <c r="D232" s="5" t="n"/>
      <c r="E232" s="5" t="n"/>
      <c r="F232" s="5" t="n"/>
      <c r="G232" s="5" t="n"/>
      <c r="H232" s="6" t="n"/>
      <c r="I232" s="5" t="n"/>
      <c r="J232" s="5" t="n"/>
      <c r="K232" s="5" t="n"/>
      <c r="L232" s="5" t="n"/>
    </row>
    <row r="233">
      <c r="A233" s="5" t="n"/>
      <c r="B233" s="6" t="n"/>
      <c r="C233" s="5" t="n"/>
      <c r="D233" s="5" t="n"/>
      <c r="E233" s="5" t="n"/>
      <c r="F233" s="5" t="n"/>
      <c r="G233" s="5" t="n"/>
      <c r="H233" s="6" t="n"/>
      <c r="I233" s="5" t="n"/>
      <c r="J233" s="5" t="n"/>
      <c r="K233" s="5" t="n"/>
      <c r="L233" s="5" t="n"/>
    </row>
    <row r="234">
      <c r="A234" s="5" t="n"/>
      <c r="B234" s="6" t="n"/>
      <c r="C234" s="5" t="n"/>
      <c r="D234" s="5" t="n"/>
      <c r="E234" s="5" t="n"/>
      <c r="F234" s="5" t="n"/>
      <c r="G234" s="5" t="n"/>
      <c r="H234" s="6" t="n"/>
      <c r="I234" s="5" t="n"/>
      <c r="J234" s="5" t="n"/>
      <c r="K234" s="5" t="n"/>
      <c r="L234" s="5" t="n"/>
    </row>
    <row r="235">
      <c r="A235" s="5" t="n"/>
      <c r="B235" s="6" t="n"/>
      <c r="C235" s="5" t="n"/>
      <c r="D235" s="5" t="n"/>
      <c r="E235" s="5" t="n"/>
      <c r="F235" s="5" t="n"/>
      <c r="G235" s="5" t="n"/>
      <c r="H235" s="6" t="n"/>
      <c r="I235" s="5" t="n"/>
      <c r="J235" s="5" t="n"/>
      <c r="K235" s="5" t="n"/>
      <c r="L235" s="5" t="n"/>
    </row>
    <row r="236">
      <c r="A236" s="5" t="n"/>
      <c r="B236" s="6" t="n"/>
      <c r="C236" s="5" t="n"/>
      <c r="D236" s="5" t="n"/>
      <c r="E236" s="5" t="n"/>
      <c r="F236" s="5" t="n"/>
      <c r="G236" s="5" t="n"/>
      <c r="H236" s="6" t="n"/>
      <c r="I236" s="5" t="n"/>
      <c r="J236" s="5" t="n"/>
      <c r="K236" s="5" t="n"/>
      <c r="L236" s="5" t="n"/>
    </row>
    <row r="237">
      <c r="A237" s="5" t="n"/>
      <c r="B237" s="6" t="n"/>
      <c r="C237" s="5" t="n"/>
      <c r="D237" s="5" t="n"/>
      <c r="E237" s="5" t="n"/>
      <c r="F237" s="5" t="n"/>
      <c r="G237" s="5" t="n"/>
      <c r="H237" s="6" t="n"/>
      <c r="I237" s="5" t="n"/>
      <c r="J237" s="5" t="n"/>
      <c r="K237" s="5" t="n"/>
      <c r="L237" s="5" t="n"/>
    </row>
    <row r="238">
      <c r="A238" s="5" t="n"/>
      <c r="B238" s="6" t="n"/>
      <c r="C238" s="5" t="n"/>
      <c r="D238" s="5" t="n"/>
      <c r="E238" s="5" t="n"/>
      <c r="F238" s="5" t="n"/>
      <c r="G238" s="5" t="n"/>
      <c r="H238" s="6" t="n"/>
      <c r="I238" s="5" t="n"/>
      <c r="J238" s="5" t="n"/>
      <c r="K238" s="5" t="n"/>
      <c r="L238" s="5" t="n"/>
    </row>
    <row r="239">
      <c r="A239" s="5" t="n"/>
      <c r="B239" s="6" t="n"/>
      <c r="C239" s="5" t="n"/>
      <c r="D239" s="5" t="n"/>
      <c r="E239" s="5" t="n"/>
      <c r="F239" s="5" t="n"/>
      <c r="G239" s="5" t="n"/>
      <c r="H239" s="6" t="n"/>
      <c r="I239" s="5" t="n"/>
      <c r="J239" s="5" t="n"/>
      <c r="K239" s="5" t="n"/>
      <c r="L239" s="5" t="n"/>
    </row>
    <row r="240">
      <c r="A240" s="5" t="n"/>
      <c r="B240" s="6" t="n"/>
      <c r="C240" s="5" t="n"/>
      <c r="D240" s="5" t="n"/>
      <c r="E240" s="5" t="n"/>
      <c r="F240" s="5" t="n"/>
      <c r="G240" s="5" t="n"/>
      <c r="H240" s="6" t="n"/>
      <c r="I240" s="5" t="n"/>
      <c r="J240" s="5" t="n"/>
      <c r="K240" s="5" t="n"/>
      <c r="L240" s="5" t="n"/>
    </row>
    <row r="241">
      <c r="A241" s="5" t="n"/>
      <c r="B241" s="6" t="n"/>
      <c r="C241" s="5" t="n"/>
      <c r="D241" s="5" t="n"/>
      <c r="E241" s="5" t="n"/>
      <c r="F241" s="5" t="n"/>
      <c r="G241" s="5" t="n"/>
      <c r="H241" s="6" t="n"/>
      <c r="I241" s="5" t="n"/>
      <c r="J241" s="5" t="n"/>
      <c r="K241" s="5" t="n"/>
      <c r="L241" s="5" t="n"/>
    </row>
    <row r="242">
      <c r="A242" s="5" t="n"/>
      <c r="B242" s="6" t="n"/>
      <c r="C242" s="5" t="n"/>
      <c r="D242" s="5" t="n"/>
      <c r="E242" s="5" t="n"/>
      <c r="F242" s="5" t="n"/>
      <c r="G242" s="5" t="n"/>
      <c r="H242" s="6" t="n"/>
      <c r="I242" s="5" t="n"/>
      <c r="J242" s="5" t="n"/>
      <c r="K242" s="5" t="n"/>
      <c r="L242" s="5" t="n"/>
    </row>
    <row r="243">
      <c r="A243" s="5" t="n"/>
      <c r="B243" s="6" t="n"/>
      <c r="C243" s="5" t="n"/>
      <c r="D243" s="5" t="n"/>
      <c r="E243" s="5" t="n"/>
      <c r="F243" s="5" t="n"/>
      <c r="G243" s="5" t="n"/>
      <c r="H243" s="6" t="n"/>
      <c r="I243" s="5" t="n"/>
      <c r="J243" s="5" t="n"/>
      <c r="K243" s="5" t="n"/>
      <c r="L243" s="5" t="n"/>
    </row>
    <row r="244">
      <c r="A244" s="5" t="n"/>
      <c r="B244" s="6" t="n"/>
      <c r="C244" s="5" t="n"/>
      <c r="D244" s="5" t="n"/>
      <c r="E244" s="5" t="n"/>
      <c r="F244" s="5" t="n"/>
      <c r="G244" s="5" t="n"/>
      <c r="H244" s="6" t="n"/>
      <c r="I244" s="5" t="n"/>
      <c r="J244" s="5" t="n"/>
      <c r="K244" s="5" t="n"/>
      <c r="L244" s="5" t="n"/>
    </row>
    <row r="245">
      <c r="A245" s="5" t="n"/>
      <c r="B245" s="6" t="n"/>
      <c r="C245" s="5" t="n"/>
      <c r="D245" s="5" t="n"/>
      <c r="E245" s="5" t="n"/>
      <c r="F245" s="5" t="n"/>
      <c r="G245" s="5" t="n"/>
      <c r="H245" s="6" t="n"/>
      <c r="I245" s="5" t="n"/>
      <c r="J245" s="5" t="n"/>
      <c r="K245" s="5" t="n"/>
      <c r="L245" s="5" t="n"/>
    </row>
    <row r="246">
      <c r="A246" s="5" t="n"/>
      <c r="B246" s="6" t="n"/>
      <c r="C246" s="5" t="n"/>
      <c r="D246" s="5" t="n"/>
      <c r="E246" s="5" t="n"/>
      <c r="F246" s="5" t="n"/>
      <c r="G246" s="5" t="n"/>
      <c r="H246" s="6" t="n"/>
      <c r="I246" s="5" t="n"/>
      <c r="J246" s="5" t="n"/>
      <c r="K246" s="5" t="n"/>
      <c r="L246" s="5" t="n"/>
    </row>
    <row r="247">
      <c r="A247" s="5" t="n"/>
      <c r="B247" s="6" t="n"/>
      <c r="C247" s="5" t="n"/>
      <c r="D247" s="5" t="n"/>
      <c r="E247" s="5" t="n"/>
      <c r="F247" s="5" t="n"/>
      <c r="G247" s="5" t="n"/>
      <c r="H247" s="6" t="n"/>
      <c r="I247" s="5" t="n"/>
      <c r="J247" s="5" t="n"/>
      <c r="K247" s="5" t="n"/>
      <c r="L247" s="5" t="n"/>
    </row>
    <row r="248">
      <c r="A248" s="5" t="n"/>
      <c r="B248" s="6" t="n"/>
      <c r="C248" s="5" t="n"/>
      <c r="D248" s="5" t="n"/>
      <c r="E248" s="5" t="n"/>
      <c r="F248" s="5" t="n"/>
      <c r="G248" s="5" t="n"/>
      <c r="H248" s="6" t="n"/>
      <c r="I248" s="5" t="n"/>
      <c r="J248" s="5" t="n"/>
      <c r="K248" s="5" t="n"/>
      <c r="L248" s="5" t="n"/>
    </row>
    <row r="249">
      <c r="A249" s="5" t="n"/>
      <c r="B249" s="6" t="n"/>
      <c r="C249" s="5" t="n"/>
      <c r="D249" s="5" t="n"/>
      <c r="E249" s="5" t="n"/>
      <c r="F249" s="5" t="n"/>
      <c r="G249" s="5" t="n"/>
      <c r="H249" s="6" t="n"/>
      <c r="I249" s="5" t="n"/>
      <c r="J249" s="5" t="n"/>
      <c r="K249" s="5" t="n"/>
      <c r="L249" s="5" t="n"/>
    </row>
    <row r="250">
      <c r="A250" s="5" t="n"/>
      <c r="B250" s="6" t="n"/>
      <c r="C250" s="5" t="n"/>
      <c r="D250" s="5" t="n"/>
      <c r="E250" s="5" t="n"/>
      <c r="F250" s="5" t="n"/>
      <c r="G250" s="5" t="n"/>
      <c r="H250" s="6" t="n"/>
      <c r="I250" s="5" t="n"/>
      <c r="J250" s="5" t="n"/>
      <c r="K250" s="5" t="n"/>
      <c r="L250" s="5" t="n"/>
    </row>
    <row r="251">
      <c r="A251" s="5" t="n"/>
      <c r="B251" s="6" t="n"/>
      <c r="C251" s="5" t="n"/>
      <c r="D251" s="5" t="n"/>
      <c r="E251" s="5" t="n"/>
      <c r="F251" s="5" t="n"/>
      <c r="G251" s="5" t="n"/>
      <c r="H251" s="6" t="n"/>
      <c r="I251" s="5" t="n"/>
      <c r="J251" s="5" t="n"/>
      <c r="K251" s="5" t="n"/>
      <c r="L251" s="5" t="n"/>
    </row>
    <row r="252">
      <c r="A252" s="5" t="n"/>
      <c r="B252" s="6" t="n"/>
      <c r="C252" s="5" t="n"/>
      <c r="D252" s="5" t="n"/>
      <c r="E252" s="5" t="n"/>
      <c r="F252" s="5" t="n"/>
      <c r="G252" s="5" t="n"/>
      <c r="H252" s="6" t="n"/>
      <c r="I252" s="5" t="n"/>
      <c r="J252" s="5" t="n"/>
      <c r="K252" s="5" t="n"/>
      <c r="L252" s="5" t="n"/>
    </row>
    <row r="253">
      <c r="A253" s="5" t="n"/>
      <c r="B253" s="6" t="n"/>
      <c r="C253" s="5" t="n"/>
      <c r="D253" s="5" t="n"/>
      <c r="E253" s="5" t="n"/>
      <c r="F253" s="5" t="n"/>
      <c r="G253" s="5" t="n"/>
      <c r="H253" s="6" t="n"/>
      <c r="I253" s="5" t="n"/>
      <c r="J253" s="5" t="n"/>
      <c r="K253" s="5" t="n"/>
      <c r="L253" s="5" t="n"/>
    </row>
    <row r="254">
      <c r="A254" s="5" t="n"/>
      <c r="B254" s="6" t="n"/>
      <c r="C254" s="5" t="n"/>
      <c r="D254" s="5" t="n"/>
      <c r="E254" s="5" t="n"/>
      <c r="F254" s="5" t="n"/>
      <c r="G254" s="5" t="n"/>
      <c r="H254" s="6" t="n"/>
      <c r="I254" s="5" t="n"/>
      <c r="J254" s="5" t="n"/>
      <c r="K254" s="5" t="n"/>
      <c r="L254" s="5" t="n"/>
    </row>
    <row r="255">
      <c r="A255" s="5" t="n"/>
      <c r="B255" s="6" t="n"/>
      <c r="C255" s="5" t="n"/>
      <c r="D255" s="5" t="n"/>
      <c r="E255" s="5" t="n"/>
      <c r="F255" s="5" t="n"/>
      <c r="G255" s="5" t="n"/>
      <c r="H255" s="6" t="n"/>
      <c r="I255" s="5" t="n"/>
      <c r="J255" s="5" t="n"/>
      <c r="K255" s="5" t="n"/>
      <c r="L255" s="5" t="n"/>
    </row>
    <row r="256">
      <c r="A256" s="5" t="n"/>
      <c r="B256" s="6" t="n"/>
      <c r="C256" s="5" t="n"/>
      <c r="D256" s="5" t="n"/>
      <c r="E256" s="5" t="n"/>
      <c r="F256" s="5" t="n"/>
      <c r="G256" s="5" t="n"/>
      <c r="H256" s="6" t="n"/>
      <c r="I256" s="5" t="n"/>
      <c r="J256" s="5" t="n"/>
      <c r="K256" s="5" t="n"/>
      <c r="L256" s="5" t="n"/>
    </row>
    <row r="257">
      <c r="A257" s="5" t="n"/>
      <c r="B257" s="6" t="n"/>
      <c r="C257" s="5" t="n"/>
      <c r="D257" s="5" t="n"/>
      <c r="E257" s="5" t="n"/>
      <c r="F257" s="5" t="n"/>
      <c r="G257" s="5" t="n"/>
      <c r="H257" s="6" t="n"/>
      <c r="I257" s="5" t="n"/>
      <c r="J257" s="5" t="n"/>
      <c r="K257" s="5" t="n"/>
      <c r="L257" s="5" t="n"/>
    </row>
    <row r="258">
      <c r="A258" s="5" t="n"/>
      <c r="B258" s="6" t="n"/>
      <c r="C258" s="5" t="n"/>
      <c r="D258" s="5" t="n"/>
      <c r="E258" s="5" t="n"/>
      <c r="F258" s="5" t="n"/>
      <c r="G258" s="5" t="n"/>
      <c r="H258" s="6" t="n"/>
      <c r="I258" s="5" t="n"/>
      <c r="J258" s="5" t="n"/>
      <c r="K258" s="5" t="n"/>
      <c r="L258" s="5" t="n"/>
    </row>
    <row r="259">
      <c r="A259" s="5" t="n"/>
      <c r="B259" s="6" t="n"/>
      <c r="C259" s="5" t="n"/>
      <c r="D259" s="5" t="n"/>
      <c r="E259" s="5" t="n"/>
      <c r="F259" s="5" t="n"/>
      <c r="G259" s="5" t="n"/>
      <c r="H259" s="6" t="n"/>
      <c r="I259" s="5" t="n"/>
      <c r="J259" s="5" t="n"/>
      <c r="K259" s="5" t="n"/>
      <c r="L259" s="5" t="n"/>
    </row>
    <row r="260">
      <c r="A260" s="5" t="n"/>
      <c r="B260" s="6" t="n"/>
      <c r="C260" s="5" t="n"/>
      <c r="D260" s="5" t="n"/>
      <c r="E260" s="5" t="n"/>
      <c r="F260" s="5" t="n"/>
      <c r="G260" s="5" t="n"/>
      <c r="H260" s="6" t="n"/>
      <c r="I260" s="5" t="n"/>
      <c r="J260" s="5" t="n"/>
      <c r="K260" s="5" t="n"/>
      <c r="L260" s="5" t="n"/>
    </row>
    <row r="261">
      <c r="A261" s="5" t="n"/>
      <c r="B261" s="6" t="n"/>
      <c r="C261" s="5" t="n"/>
      <c r="D261" s="5" t="n"/>
      <c r="E261" s="5" t="n"/>
      <c r="F261" s="5" t="n"/>
      <c r="G261" s="5" t="n"/>
      <c r="H261" s="6" t="n"/>
      <c r="I261" s="5" t="n"/>
      <c r="J261" s="5" t="n"/>
      <c r="K261" s="5" t="n"/>
      <c r="L261" s="5" t="n"/>
    </row>
    <row r="262">
      <c r="A262" s="5" t="n"/>
      <c r="B262" s="6" t="n"/>
      <c r="C262" s="5" t="n"/>
      <c r="D262" s="5" t="n"/>
      <c r="E262" s="5" t="n"/>
      <c r="F262" s="5" t="n"/>
      <c r="G262" s="5" t="n"/>
      <c r="H262" s="6" t="n"/>
      <c r="I262" s="5" t="n"/>
      <c r="J262" s="5" t="n"/>
      <c r="K262" s="5" t="n"/>
      <c r="L262" s="5" t="n"/>
    </row>
    <row r="263">
      <c r="A263" s="5" t="n"/>
      <c r="B263" s="6" t="n"/>
      <c r="C263" s="5" t="n"/>
      <c r="D263" s="5" t="n"/>
      <c r="E263" s="5" t="n"/>
      <c r="F263" s="5" t="n"/>
      <c r="G263" s="5" t="n"/>
      <c r="H263" s="6" t="n"/>
      <c r="I263" s="5" t="n"/>
      <c r="J263" s="5" t="n"/>
      <c r="K263" s="5" t="n"/>
      <c r="L263" s="5" t="n"/>
    </row>
    <row r="264">
      <c r="A264" s="5" t="n"/>
      <c r="B264" s="6" t="n"/>
      <c r="C264" s="5" t="n"/>
      <c r="D264" s="5" t="n"/>
      <c r="E264" s="5" t="n"/>
      <c r="F264" s="5" t="n"/>
      <c r="G264" s="5" t="n"/>
      <c r="H264" s="6" t="n"/>
      <c r="I264" s="5" t="n"/>
      <c r="J264" s="5" t="n"/>
      <c r="K264" s="5" t="n"/>
      <c r="L264" s="5" t="n"/>
    </row>
    <row r="265">
      <c r="A265" s="5" t="n"/>
      <c r="B265" s="6" t="n"/>
      <c r="C265" s="5" t="n"/>
      <c r="D265" s="5" t="n"/>
      <c r="E265" s="5" t="n"/>
      <c r="F265" s="5" t="n"/>
      <c r="G265" s="5" t="n"/>
      <c r="H265" s="6" t="n"/>
      <c r="I265" s="5" t="n"/>
      <c r="J265" s="5" t="n"/>
      <c r="K265" s="5" t="n"/>
      <c r="L265" s="5" t="n"/>
    </row>
    <row r="266">
      <c r="A266" s="5" t="n"/>
      <c r="B266" s="6" t="n"/>
      <c r="C266" s="5" t="n"/>
      <c r="D266" s="5" t="n"/>
      <c r="E266" s="5" t="n"/>
      <c r="F266" s="5" t="n"/>
      <c r="G266" s="5" t="n"/>
      <c r="H266" s="6" t="n"/>
      <c r="I266" s="5" t="n"/>
      <c r="J266" s="5" t="n"/>
      <c r="K266" s="5" t="n"/>
      <c r="L266" s="5" t="n"/>
    </row>
    <row r="267">
      <c r="A267" s="5" t="n"/>
      <c r="B267" s="6" t="n"/>
      <c r="C267" s="5" t="n"/>
      <c r="D267" s="5" t="n"/>
      <c r="E267" s="5" t="n"/>
      <c r="F267" s="5" t="n"/>
      <c r="G267" s="5" t="n"/>
      <c r="H267" s="6" t="n"/>
      <c r="I267" s="5" t="n"/>
      <c r="J267" s="5" t="n"/>
      <c r="K267" s="5" t="n"/>
      <c r="L267" s="5" t="n"/>
    </row>
    <row r="268">
      <c r="A268" s="5" t="n"/>
      <c r="B268" s="6" t="n"/>
      <c r="C268" s="5" t="n"/>
      <c r="D268" s="5" t="n"/>
      <c r="E268" s="5" t="n"/>
      <c r="F268" s="5" t="n"/>
      <c r="G268" s="5" t="n"/>
      <c r="H268" s="6" t="n"/>
      <c r="I268" s="5" t="n"/>
      <c r="J268" s="5" t="n"/>
      <c r="K268" s="5" t="n"/>
      <c r="L268" s="5" t="n"/>
    </row>
    <row r="269">
      <c r="A269" s="5" t="n"/>
      <c r="B269" s="6" t="n"/>
      <c r="C269" s="5" t="n"/>
      <c r="D269" s="5" t="n"/>
      <c r="E269" s="5" t="n"/>
      <c r="F269" s="5" t="n"/>
      <c r="G269" s="5" t="n"/>
      <c r="H269" s="6" t="n"/>
      <c r="I269" s="5" t="n"/>
      <c r="J269" s="5" t="n"/>
      <c r="K269" s="5" t="n"/>
      <c r="L269" s="5" t="n"/>
    </row>
    <row r="270">
      <c r="A270" s="5" t="n"/>
      <c r="B270" s="6" t="n"/>
      <c r="C270" s="5" t="n"/>
      <c r="D270" s="5" t="n"/>
      <c r="E270" s="5" t="n"/>
      <c r="F270" s="5" t="n"/>
      <c r="G270" s="5" t="n"/>
      <c r="H270" s="6" t="n"/>
      <c r="I270" s="5" t="n"/>
      <c r="J270" s="5" t="n"/>
      <c r="K270" s="5" t="n"/>
      <c r="L270" s="5" t="n"/>
    </row>
    <row r="271">
      <c r="A271" s="5" t="n"/>
      <c r="B271" s="6" t="n"/>
      <c r="C271" s="5" t="n"/>
      <c r="D271" s="5" t="n"/>
      <c r="E271" s="5" t="n"/>
      <c r="F271" s="5" t="n"/>
      <c r="G271" s="5" t="n"/>
      <c r="H271" s="6" t="n"/>
      <c r="I271" s="5" t="n"/>
      <c r="J271" s="5" t="n"/>
      <c r="K271" s="5" t="n"/>
      <c r="L271" s="5" t="n"/>
    </row>
    <row r="272">
      <c r="A272" s="5" t="n"/>
      <c r="B272" s="6" t="n"/>
      <c r="C272" s="5" t="n"/>
      <c r="D272" s="5" t="n"/>
      <c r="E272" s="5" t="n"/>
      <c r="F272" s="5" t="n"/>
      <c r="G272" s="5" t="n"/>
      <c r="H272" s="6" t="n"/>
      <c r="I272" s="5" t="n"/>
      <c r="J272" s="5" t="n"/>
      <c r="K272" s="5" t="n"/>
      <c r="L272" s="5" t="n"/>
    </row>
    <row r="273">
      <c r="A273" s="5" t="n"/>
      <c r="B273" s="6" t="n"/>
      <c r="C273" s="5" t="n"/>
      <c r="D273" s="5" t="n"/>
      <c r="E273" s="5" t="n"/>
      <c r="F273" s="5" t="n"/>
      <c r="G273" s="5" t="n"/>
      <c r="H273" s="6" t="n"/>
      <c r="I273" s="5" t="n"/>
      <c r="J273" s="5" t="n"/>
      <c r="K273" s="5" t="n"/>
      <c r="L273" s="5" t="n"/>
    </row>
    <row r="274">
      <c r="A274" s="5" t="n"/>
      <c r="B274" s="6" t="n"/>
      <c r="C274" s="5" t="n"/>
      <c r="D274" s="5" t="n"/>
      <c r="E274" s="5" t="n"/>
      <c r="F274" s="5" t="n"/>
      <c r="G274" s="5" t="n"/>
      <c r="H274" s="6" t="n"/>
      <c r="I274" s="5" t="n"/>
      <c r="J274" s="5" t="n"/>
      <c r="K274" s="5" t="n"/>
      <c r="L274" s="5" t="n"/>
    </row>
    <row r="275">
      <c r="A275" s="5" t="n"/>
      <c r="B275" s="6" t="n"/>
      <c r="C275" s="5" t="n"/>
      <c r="D275" s="5" t="n"/>
      <c r="E275" s="5" t="n"/>
      <c r="F275" s="5" t="n"/>
      <c r="G275" s="5" t="n"/>
      <c r="H275" s="6" t="n"/>
      <c r="I275" s="5" t="n"/>
      <c r="J275" s="5" t="n"/>
      <c r="K275" s="5" t="n"/>
      <c r="L275" s="5" t="n"/>
    </row>
    <row r="276">
      <c r="A276" s="5" t="n"/>
      <c r="B276" s="6" t="n"/>
      <c r="C276" s="5" t="n"/>
      <c r="D276" s="5" t="n"/>
      <c r="E276" s="5" t="n"/>
      <c r="F276" s="5" t="n"/>
      <c r="G276" s="5" t="n"/>
      <c r="H276" s="6" t="n"/>
      <c r="I276" s="5" t="n"/>
      <c r="J276" s="5" t="n"/>
      <c r="K276" s="5" t="n"/>
      <c r="L276" s="5" t="n"/>
    </row>
    <row r="277">
      <c r="A277" s="5" t="n"/>
      <c r="B277" s="6" t="n"/>
      <c r="C277" s="5" t="n"/>
      <c r="D277" s="5" t="n"/>
      <c r="E277" s="5" t="n"/>
      <c r="F277" s="5" t="n"/>
      <c r="G277" s="5" t="n"/>
      <c r="H277" s="6" t="n"/>
      <c r="I277" s="5" t="n"/>
      <c r="J277" s="5" t="n"/>
      <c r="K277" s="5" t="n"/>
      <c r="L277" s="5" t="n"/>
    </row>
    <row r="278">
      <c r="A278" s="5" t="n"/>
      <c r="B278" s="6" t="n"/>
      <c r="C278" s="5" t="n"/>
      <c r="D278" s="5" t="n"/>
      <c r="E278" s="5" t="n"/>
      <c r="F278" s="5" t="n"/>
      <c r="G278" s="5" t="n"/>
      <c r="H278" s="6" t="n"/>
      <c r="I278" s="5" t="n"/>
      <c r="J278" s="5" t="n"/>
      <c r="K278" s="5" t="n"/>
      <c r="L278" s="5" t="n"/>
    </row>
    <row r="279">
      <c r="A279" s="5" t="n"/>
      <c r="B279" s="6" t="n"/>
      <c r="C279" s="5" t="n"/>
      <c r="D279" s="5" t="n"/>
      <c r="E279" s="5" t="n"/>
      <c r="F279" s="5" t="n"/>
      <c r="G279" s="5" t="n"/>
      <c r="H279" s="6" t="n"/>
      <c r="I279" s="5" t="n"/>
      <c r="J279" s="5" t="n"/>
      <c r="K279" s="5" t="n"/>
      <c r="L279" s="5" t="n"/>
    </row>
    <row r="280">
      <c r="A280" s="5" t="n"/>
      <c r="B280" s="6" t="n"/>
      <c r="C280" s="5" t="n"/>
      <c r="D280" s="5" t="n"/>
      <c r="E280" s="5" t="n"/>
      <c r="F280" s="5" t="n"/>
      <c r="G280" s="5" t="n"/>
      <c r="H280" s="6" t="n"/>
      <c r="I280" s="5" t="n"/>
      <c r="J280" s="5" t="n"/>
      <c r="K280" s="5" t="n"/>
      <c r="L280" s="5" t="n"/>
    </row>
    <row r="281">
      <c r="A281" s="5" t="n"/>
      <c r="B281" s="6" t="n"/>
      <c r="C281" s="5" t="n"/>
      <c r="D281" s="5" t="n"/>
      <c r="E281" s="5" t="n"/>
      <c r="F281" s="5" t="n"/>
      <c r="G281" s="5" t="n"/>
      <c r="H281" s="6" t="n"/>
      <c r="I281" s="5" t="n"/>
      <c r="J281" s="5" t="n"/>
      <c r="K281" s="5" t="n"/>
      <c r="L281" s="5" t="n"/>
    </row>
    <row r="282">
      <c r="A282" s="5" t="n"/>
      <c r="B282" s="6" t="n"/>
      <c r="C282" s="5" t="n"/>
      <c r="D282" s="5" t="n"/>
      <c r="E282" s="5" t="n"/>
      <c r="F282" s="5" t="n"/>
      <c r="G282" s="5" t="n"/>
      <c r="H282" s="6" t="n"/>
      <c r="I282" s="5" t="n"/>
      <c r="J282" s="5" t="n"/>
      <c r="K282" s="5" t="n"/>
      <c r="L282" s="5" t="n"/>
    </row>
    <row r="283">
      <c r="A283" s="5" t="n"/>
      <c r="B283" s="6" t="n"/>
      <c r="C283" s="5" t="n"/>
      <c r="D283" s="5" t="n"/>
      <c r="E283" s="5" t="n"/>
      <c r="F283" s="5" t="n"/>
      <c r="G283" s="5" t="n"/>
      <c r="H283" s="6" t="n"/>
      <c r="I283" s="5" t="n"/>
      <c r="J283" s="5" t="n"/>
      <c r="K283" s="5" t="n"/>
      <c r="L283" s="5" t="n"/>
    </row>
    <row r="284">
      <c r="A284" s="5" t="n"/>
      <c r="B284" s="6" t="n"/>
      <c r="C284" s="5" t="n"/>
      <c r="D284" s="5" t="n"/>
      <c r="E284" s="5" t="n"/>
      <c r="F284" s="5" t="n"/>
      <c r="G284" s="5" t="n"/>
      <c r="H284" s="6" t="n"/>
      <c r="I284" s="5" t="n"/>
      <c r="J284" s="5" t="n"/>
      <c r="K284" s="5" t="n"/>
      <c r="L284" s="5" t="n"/>
    </row>
    <row r="285">
      <c r="A285" s="5" t="n"/>
      <c r="B285" s="6" t="n"/>
      <c r="C285" s="5" t="n"/>
      <c r="D285" s="5" t="n"/>
      <c r="E285" s="5" t="n"/>
      <c r="F285" s="5" t="n"/>
      <c r="G285" s="5" t="n"/>
      <c r="H285" s="6" t="n"/>
      <c r="I285" s="5" t="n"/>
      <c r="J285" s="5" t="n"/>
      <c r="K285" s="5" t="n"/>
      <c r="L285" s="5" t="n"/>
    </row>
    <row r="286">
      <c r="A286" s="5" t="n"/>
      <c r="B286" s="6" t="n"/>
      <c r="C286" s="5" t="n"/>
      <c r="D286" s="5" t="n"/>
      <c r="E286" s="5" t="n"/>
      <c r="F286" s="5" t="n"/>
      <c r="G286" s="5" t="n"/>
      <c r="H286" s="6" t="n"/>
      <c r="I286" s="5" t="n"/>
      <c r="J286" s="5" t="n"/>
      <c r="K286" s="5" t="n"/>
      <c r="L286" s="5" t="n"/>
    </row>
    <row r="287">
      <c r="A287" s="5" t="n"/>
      <c r="B287" s="6" t="n"/>
      <c r="C287" s="5" t="n"/>
      <c r="D287" s="5" t="n"/>
      <c r="E287" s="5" t="n"/>
      <c r="F287" s="5" t="n"/>
      <c r="G287" s="5" t="n"/>
      <c r="H287" s="6" t="n"/>
      <c r="I287" s="5" t="n"/>
      <c r="J287" s="5" t="n"/>
      <c r="K287" s="5" t="n"/>
      <c r="L287" s="5" t="n"/>
    </row>
    <row r="288">
      <c r="A288" s="5" t="n"/>
      <c r="B288" s="6" t="n"/>
      <c r="C288" s="5" t="n"/>
      <c r="D288" s="5" t="n"/>
      <c r="E288" s="5" t="n"/>
      <c r="F288" s="5" t="n"/>
      <c r="G288" s="5" t="n"/>
      <c r="H288" s="6" t="n"/>
      <c r="I288" s="5" t="n"/>
      <c r="J288" s="5" t="n"/>
      <c r="K288" s="5" t="n"/>
      <c r="L288" s="5" t="n"/>
    </row>
    <row r="289">
      <c r="A289" s="5" t="n"/>
      <c r="B289" s="6" t="n"/>
      <c r="C289" s="5" t="n"/>
      <c r="D289" s="5" t="n"/>
      <c r="E289" s="5" t="n"/>
      <c r="F289" s="5" t="n"/>
      <c r="G289" s="5" t="n"/>
      <c r="H289" s="6" t="n"/>
      <c r="I289" s="5" t="n"/>
      <c r="J289" s="5" t="n"/>
      <c r="K289" s="5" t="n"/>
      <c r="L289" s="5" t="n"/>
    </row>
    <row r="290">
      <c r="A290" s="5" t="n"/>
      <c r="B290" s="6" t="n"/>
      <c r="C290" s="5" t="n"/>
      <c r="D290" s="5" t="n"/>
      <c r="E290" s="5" t="n"/>
      <c r="F290" s="5" t="n"/>
      <c r="G290" s="5" t="n"/>
      <c r="H290" s="6" t="n"/>
      <c r="I290" s="5" t="n"/>
      <c r="J290" s="5" t="n"/>
      <c r="K290" s="5" t="n"/>
      <c r="L290" s="5" t="n"/>
    </row>
    <row r="291">
      <c r="A291" s="5" t="n"/>
      <c r="B291" s="6" t="n"/>
      <c r="C291" s="5" t="n"/>
      <c r="D291" s="5" t="n"/>
      <c r="E291" s="5" t="n"/>
      <c r="F291" s="5" t="n"/>
      <c r="G291" s="5" t="n"/>
      <c r="H291" s="6" t="n"/>
      <c r="I291" s="5" t="n"/>
      <c r="J291" s="5" t="n"/>
      <c r="K291" s="5" t="n"/>
      <c r="L291" s="5" t="n"/>
    </row>
    <row r="292">
      <c r="A292" s="5" t="n"/>
      <c r="B292" s="6" t="n"/>
      <c r="C292" s="5" t="n"/>
      <c r="D292" s="5" t="n"/>
      <c r="E292" s="5" t="n"/>
      <c r="F292" s="5" t="n"/>
      <c r="G292" s="5" t="n"/>
      <c r="H292" s="6" t="n"/>
      <c r="I292" s="5" t="n"/>
      <c r="J292" s="5" t="n"/>
      <c r="K292" s="5" t="n"/>
      <c r="L292" s="5" t="n"/>
    </row>
    <row r="293">
      <c r="A293" s="5" t="n"/>
      <c r="B293" s="6" t="n"/>
      <c r="C293" s="5" t="n"/>
      <c r="D293" s="5" t="n"/>
      <c r="E293" s="5" t="n"/>
      <c r="F293" s="5" t="n"/>
      <c r="G293" s="5" t="n"/>
      <c r="H293" s="6" t="n"/>
      <c r="I293" s="5" t="n"/>
      <c r="J293" s="5" t="n"/>
      <c r="K293" s="5" t="n"/>
      <c r="L293" s="5" t="n"/>
    </row>
    <row r="294">
      <c r="A294" s="5" t="n"/>
      <c r="B294" s="6" t="n"/>
      <c r="C294" s="5" t="n"/>
      <c r="D294" s="5" t="n"/>
      <c r="E294" s="5" t="n"/>
      <c r="F294" s="5" t="n"/>
      <c r="G294" s="5" t="n"/>
      <c r="H294" s="6" t="n"/>
      <c r="I294" s="5" t="n"/>
      <c r="J294" s="5" t="n"/>
      <c r="K294" s="5" t="n"/>
      <c r="L294" s="5" t="n"/>
    </row>
    <row r="295">
      <c r="A295" s="5" t="n"/>
      <c r="B295" s="6" t="n"/>
      <c r="C295" s="5" t="n"/>
      <c r="D295" s="5" t="n"/>
      <c r="E295" s="5" t="n"/>
      <c r="F295" s="5" t="n"/>
      <c r="G295" s="5" t="n"/>
      <c r="H295" s="6" t="n"/>
      <c r="I295" s="5" t="n"/>
      <c r="J295" s="5" t="n"/>
      <c r="K295" s="5" t="n"/>
      <c r="L295" s="5" t="n"/>
    </row>
    <row r="296">
      <c r="A296" s="5" t="n"/>
      <c r="B296" s="6" t="n"/>
      <c r="C296" s="5" t="n"/>
      <c r="D296" s="5" t="n"/>
      <c r="E296" s="5" t="n"/>
      <c r="F296" s="5" t="n"/>
      <c r="G296" s="5" t="n"/>
      <c r="H296" s="6" t="n"/>
      <c r="I296" s="5" t="n"/>
      <c r="J296" s="5" t="n"/>
      <c r="K296" s="5" t="n"/>
      <c r="L296" s="5" t="n"/>
    </row>
    <row r="297">
      <c r="A297" s="5" t="n"/>
      <c r="B297" s="6" t="n"/>
      <c r="C297" s="5" t="n"/>
      <c r="D297" s="5" t="n"/>
      <c r="E297" s="5" t="n"/>
      <c r="F297" s="5" t="n"/>
      <c r="G297" s="5" t="n"/>
      <c r="H297" s="6" t="n"/>
      <c r="I297" s="5" t="n"/>
      <c r="J297" s="5" t="n"/>
      <c r="K297" s="5" t="n"/>
      <c r="L297" s="5" t="n"/>
    </row>
    <row r="298">
      <c r="A298" s="5" t="n"/>
      <c r="B298" s="6" t="n"/>
      <c r="C298" s="5" t="n"/>
      <c r="D298" s="5" t="n"/>
      <c r="E298" s="5" t="n"/>
      <c r="F298" s="5" t="n"/>
      <c r="G298" s="5" t="n"/>
      <c r="H298" s="6" t="n"/>
      <c r="I298" s="5" t="n"/>
      <c r="J298" s="5" t="n"/>
      <c r="K298" s="5" t="n"/>
      <c r="L298" s="5" t="n"/>
    </row>
    <row r="299">
      <c r="A299" s="5" t="n"/>
      <c r="B299" s="6" t="n"/>
      <c r="C299" s="5" t="n"/>
      <c r="D299" s="5" t="n"/>
      <c r="E299" s="5" t="n"/>
      <c r="F299" s="5" t="n"/>
      <c r="G299" s="5" t="n"/>
      <c r="H299" s="6" t="n"/>
      <c r="I299" s="5" t="n"/>
      <c r="J299" s="5" t="n"/>
      <c r="K299" s="5" t="n"/>
      <c r="L299" s="5" t="n"/>
    </row>
    <row r="300">
      <c r="A300" s="5" t="n"/>
      <c r="B300" s="6" t="n"/>
      <c r="C300" s="5" t="n"/>
      <c r="D300" s="5" t="n"/>
      <c r="E300" s="5" t="n"/>
      <c r="F300" s="5" t="n"/>
      <c r="G300" s="5" t="n"/>
      <c r="H300" s="6" t="n"/>
      <c r="I300" s="5" t="n"/>
      <c r="J300" s="5" t="n"/>
      <c r="K300" s="5" t="n"/>
      <c r="L300" s="5" t="n"/>
    </row>
    <row r="301">
      <c r="A301" s="5" t="n"/>
      <c r="B301" s="6" t="n"/>
      <c r="C301" s="5" t="n"/>
      <c r="D301" s="5" t="n"/>
      <c r="E301" s="5" t="n"/>
      <c r="F301" s="5" t="n"/>
      <c r="G301" s="5" t="n"/>
      <c r="H301" s="6" t="n"/>
      <c r="I301" s="5" t="n"/>
      <c r="J301" s="5" t="n"/>
      <c r="K301" s="5" t="n"/>
      <c r="L301" s="5" t="n"/>
    </row>
    <row r="302">
      <c r="A302" s="5" t="n"/>
      <c r="B302" s="6" t="n"/>
      <c r="C302" s="5" t="n"/>
      <c r="D302" s="5" t="n"/>
      <c r="E302" s="5" t="n"/>
      <c r="F302" s="5" t="n"/>
      <c r="G302" s="5" t="n"/>
      <c r="H302" s="6" t="n"/>
      <c r="I302" s="5" t="n"/>
      <c r="J302" s="5" t="n"/>
      <c r="K302" s="5" t="n"/>
      <c r="L302" s="5" t="n"/>
    </row>
    <row r="303">
      <c r="A303" s="5" t="n"/>
      <c r="B303" s="6" t="n"/>
      <c r="C303" s="5" t="n"/>
      <c r="D303" s="5" t="n"/>
      <c r="E303" s="5" t="n"/>
      <c r="F303" s="5" t="n"/>
      <c r="G303" s="5" t="n"/>
      <c r="H303" s="6" t="n"/>
      <c r="I303" s="5" t="n"/>
      <c r="J303" s="5" t="n"/>
      <c r="K303" s="5" t="n"/>
      <c r="L303" s="5" t="n"/>
    </row>
    <row r="304">
      <c r="A304" s="5" t="n"/>
      <c r="B304" s="6" t="n"/>
      <c r="C304" s="5" t="n"/>
      <c r="D304" s="5" t="n"/>
      <c r="E304" s="5" t="n"/>
      <c r="F304" s="5" t="n"/>
      <c r="G304" s="5" t="n"/>
      <c r="H304" s="6" t="n"/>
      <c r="I304" s="5" t="n"/>
      <c r="J304" s="5" t="n"/>
      <c r="K304" s="5" t="n"/>
      <c r="L304" s="5" t="n"/>
    </row>
    <row r="305">
      <c r="A305" s="5" t="n"/>
      <c r="B305" s="6" t="n"/>
      <c r="C305" s="5" t="n"/>
      <c r="D305" s="5" t="n"/>
      <c r="E305" s="5" t="n"/>
      <c r="F305" s="5" t="n"/>
      <c r="G305" s="5" t="n"/>
      <c r="H305" s="6" t="n"/>
      <c r="I305" s="5" t="n"/>
      <c r="J305" s="5" t="n"/>
      <c r="K305" s="5" t="n"/>
      <c r="L305" s="5" t="n"/>
    </row>
    <row r="306">
      <c r="A306" s="5" t="n"/>
      <c r="B306" s="6" t="n"/>
      <c r="C306" s="5" t="n"/>
      <c r="D306" s="5" t="n"/>
      <c r="E306" s="5" t="n"/>
      <c r="F306" s="5" t="n"/>
      <c r="G306" s="5" t="n"/>
      <c r="H306" s="6" t="n"/>
      <c r="I306" s="5" t="n"/>
      <c r="J306" s="5" t="n"/>
      <c r="K306" s="5" t="n"/>
      <c r="L306" s="5" t="n"/>
    </row>
    <row r="307">
      <c r="A307" s="5" t="n"/>
      <c r="B307" s="6" t="n"/>
      <c r="C307" s="5" t="n"/>
      <c r="D307" s="5" t="n"/>
      <c r="E307" s="5" t="n"/>
      <c r="F307" s="5" t="n"/>
      <c r="G307" s="5" t="n"/>
      <c r="H307" s="6" t="n"/>
      <c r="I307" s="5" t="n"/>
      <c r="J307" s="5" t="n"/>
      <c r="K307" s="5" t="n"/>
      <c r="L307" s="5" t="n"/>
    </row>
    <row r="308">
      <c r="A308" s="5" t="n"/>
      <c r="B308" s="6" t="n"/>
      <c r="C308" s="5" t="n"/>
      <c r="D308" s="5" t="n"/>
      <c r="E308" s="5" t="n"/>
      <c r="F308" s="5" t="n"/>
      <c r="G308" s="5" t="n"/>
      <c r="H308" s="6" t="n"/>
      <c r="I308" s="5" t="n"/>
      <c r="J308" s="5" t="n"/>
      <c r="K308" s="5" t="n"/>
      <c r="L308" s="5" t="n"/>
    </row>
    <row r="309">
      <c r="A309" s="5" t="n"/>
      <c r="B309" s="6" t="n"/>
      <c r="C309" s="5" t="n"/>
      <c r="D309" s="5" t="n"/>
      <c r="E309" s="5" t="n"/>
      <c r="F309" s="5" t="n"/>
      <c r="G309" s="5" t="n"/>
      <c r="H309" s="6" t="n"/>
      <c r="I309" s="5" t="n"/>
      <c r="J309" s="5" t="n"/>
      <c r="K309" s="5" t="n"/>
      <c r="L309" s="5" t="n"/>
    </row>
    <row r="310">
      <c r="A310" s="5" t="n"/>
      <c r="B310" s="6" t="n"/>
      <c r="C310" s="5" t="n"/>
      <c r="D310" s="5" t="n"/>
      <c r="E310" s="5" t="n"/>
      <c r="F310" s="5" t="n"/>
      <c r="G310" s="5" t="n"/>
      <c r="H310" s="6" t="n"/>
      <c r="I310" s="5" t="n"/>
      <c r="J310" s="5" t="n"/>
      <c r="K310" s="5" t="n"/>
      <c r="L310" s="5" t="n"/>
    </row>
    <row r="311">
      <c r="A311" s="5" t="n"/>
      <c r="B311" s="6" t="n"/>
      <c r="C311" s="5" t="n"/>
      <c r="D311" s="5" t="n"/>
      <c r="E311" s="5" t="n"/>
      <c r="F311" s="5" t="n"/>
      <c r="G311" s="5" t="n"/>
      <c r="H311" s="6" t="n"/>
      <c r="I311" s="5" t="n"/>
      <c r="J311" s="5" t="n"/>
      <c r="K311" s="5" t="n"/>
      <c r="L311" s="5" t="n"/>
    </row>
    <row r="312">
      <c r="A312" s="5" t="n"/>
      <c r="B312" s="6" t="n"/>
      <c r="C312" s="5" t="n"/>
      <c r="D312" s="5" t="n"/>
      <c r="E312" s="5" t="n"/>
      <c r="F312" s="5" t="n"/>
      <c r="G312" s="5" t="n"/>
      <c r="H312" s="6" t="n"/>
      <c r="I312" s="5" t="n"/>
      <c r="J312" s="5" t="n"/>
      <c r="K312" s="5" t="n"/>
      <c r="L312" s="5" t="n"/>
    </row>
    <row r="313">
      <c r="A313" s="5" t="n"/>
      <c r="B313" s="6" t="n"/>
      <c r="C313" s="5" t="n"/>
      <c r="D313" s="5" t="n"/>
      <c r="E313" s="5" t="n"/>
      <c r="F313" s="5" t="n"/>
      <c r="G313" s="5" t="n"/>
      <c r="H313" s="6" t="n"/>
      <c r="I313" s="5" t="n"/>
      <c r="J313" s="5" t="n"/>
      <c r="K313" s="5" t="n"/>
      <c r="L313" s="5" t="n"/>
    </row>
    <row r="314">
      <c r="A314" s="5" t="n"/>
      <c r="B314" s="6" t="n"/>
      <c r="C314" s="5" t="n"/>
      <c r="D314" s="5" t="n"/>
      <c r="E314" s="5" t="n"/>
      <c r="F314" s="5" t="n"/>
      <c r="G314" s="5" t="n"/>
      <c r="H314" s="6" t="n"/>
      <c r="I314" s="5" t="n"/>
      <c r="J314" s="5" t="n"/>
      <c r="K314" s="5" t="n"/>
      <c r="L314" s="5" t="n"/>
    </row>
    <row r="315">
      <c r="A315" s="5" t="n"/>
      <c r="B315" s="6" t="n"/>
      <c r="C315" s="5" t="n"/>
      <c r="D315" s="5" t="n"/>
      <c r="E315" s="5" t="n"/>
      <c r="F315" s="5" t="n"/>
      <c r="G315" s="5" t="n"/>
      <c r="H315" s="6" t="n"/>
      <c r="I315" s="5" t="n"/>
      <c r="J315" s="5" t="n"/>
      <c r="K315" s="5" t="n"/>
      <c r="L315" s="5" t="n"/>
    </row>
    <row r="316">
      <c r="A316" s="5" t="n"/>
      <c r="B316" s="6" t="n"/>
      <c r="C316" s="5" t="n"/>
      <c r="D316" s="5" t="n"/>
      <c r="E316" s="5" t="n"/>
      <c r="F316" s="5" t="n"/>
      <c r="G316" s="5" t="n"/>
      <c r="H316" s="6" t="n"/>
      <c r="I316" s="5" t="n"/>
      <c r="J316" s="5" t="n"/>
      <c r="K316" s="5" t="n"/>
      <c r="L316" s="5" t="n"/>
    </row>
    <row r="317">
      <c r="A317" s="5" t="n"/>
      <c r="B317" s="6" t="n"/>
      <c r="C317" s="5" t="n"/>
      <c r="D317" s="5" t="n"/>
      <c r="E317" s="5" t="n"/>
      <c r="F317" s="5" t="n"/>
      <c r="G317" s="5" t="n"/>
      <c r="H317" s="6" t="n"/>
      <c r="I317" s="5" t="n"/>
      <c r="J317" s="5" t="n"/>
      <c r="K317" s="5" t="n"/>
      <c r="L317" s="5" t="n"/>
    </row>
    <row r="318">
      <c r="A318" s="5" t="n"/>
      <c r="B318" s="6" t="n"/>
      <c r="C318" s="5" t="n"/>
      <c r="D318" s="5" t="n"/>
      <c r="E318" s="5" t="n"/>
      <c r="F318" s="5" t="n"/>
      <c r="G318" s="5" t="n"/>
      <c r="H318" s="6" t="n"/>
      <c r="I318" s="5" t="n"/>
      <c r="J318" s="5" t="n"/>
      <c r="K318" s="5" t="n"/>
      <c r="L318" s="5" t="n"/>
    </row>
    <row r="319">
      <c r="A319" s="5" t="n"/>
      <c r="B319" s="6" t="n"/>
      <c r="C319" s="5" t="n"/>
      <c r="D319" s="5" t="n"/>
      <c r="E319" s="5" t="n"/>
      <c r="F319" s="5" t="n"/>
      <c r="G319" s="5" t="n"/>
      <c r="H319" s="6" t="n"/>
      <c r="I319" s="5" t="n"/>
      <c r="J319" s="5" t="n"/>
      <c r="K319" s="5" t="n"/>
      <c r="L319" s="5" t="n"/>
    </row>
    <row r="320">
      <c r="A320" s="5" t="n"/>
      <c r="B320" s="6" t="n"/>
      <c r="C320" s="5" t="n"/>
      <c r="D320" s="5" t="n"/>
      <c r="E320" s="5" t="n"/>
      <c r="F320" s="5" t="n"/>
      <c r="G320" s="5" t="n"/>
      <c r="H320" s="6" t="n"/>
      <c r="I320" s="5" t="n"/>
      <c r="J320" s="5" t="n"/>
      <c r="K320" s="5" t="n"/>
      <c r="L320" s="5" t="n"/>
    </row>
    <row r="321">
      <c r="A321" s="5" t="n"/>
      <c r="B321" s="6" t="n"/>
      <c r="C321" s="5" t="n"/>
      <c r="D321" s="5" t="n"/>
      <c r="E321" s="5" t="n"/>
      <c r="F321" s="5" t="n"/>
      <c r="G321" s="5" t="n"/>
      <c r="H321" s="6" t="n"/>
      <c r="I321" s="5" t="n"/>
      <c r="J321" s="5" t="n"/>
      <c r="K321" s="5" t="n"/>
      <c r="L321" s="5" t="n"/>
    </row>
    <row r="322">
      <c r="A322" s="5" t="n"/>
      <c r="B322" s="6" t="n"/>
      <c r="C322" s="5" t="n"/>
      <c r="D322" s="5" t="n"/>
      <c r="E322" s="5" t="n"/>
      <c r="F322" s="5" t="n"/>
      <c r="G322" s="5" t="n"/>
      <c r="H322" s="6" t="n"/>
      <c r="I322" s="5" t="n"/>
      <c r="J322" s="5" t="n"/>
      <c r="K322" s="5" t="n"/>
      <c r="L322" s="5" t="n"/>
    </row>
    <row r="323">
      <c r="A323" s="5" t="n"/>
      <c r="B323" s="6" t="n"/>
      <c r="C323" s="5" t="n"/>
      <c r="D323" s="5" t="n"/>
      <c r="E323" s="5" t="n"/>
      <c r="F323" s="5" t="n"/>
      <c r="G323" s="5" t="n"/>
      <c r="H323" s="6" t="n"/>
      <c r="I323" s="5" t="n"/>
      <c r="J323" s="5" t="n"/>
      <c r="K323" s="5" t="n"/>
      <c r="L323" s="5" t="n"/>
    </row>
    <row r="324">
      <c r="A324" s="5" t="n"/>
      <c r="B324" s="6" t="n"/>
      <c r="C324" s="5" t="n"/>
      <c r="D324" s="5" t="n"/>
      <c r="E324" s="5" t="n"/>
      <c r="F324" s="5" t="n"/>
      <c r="G324" s="5" t="n"/>
      <c r="H324" s="6" t="n"/>
      <c r="I324" s="5" t="n"/>
      <c r="J324" s="5" t="n"/>
      <c r="K324" s="5" t="n"/>
      <c r="L324" s="5" t="n"/>
    </row>
    <row r="325">
      <c r="A325" s="5" t="n"/>
      <c r="B325" s="6" t="n"/>
      <c r="C325" s="5" t="n"/>
      <c r="D325" s="5" t="n"/>
      <c r="E325" s="5" t="n"/>
      <c r="F325" s="5" t="n"/>
      <c r="G325" s="5" t="n"/>
      <c r="H325" s="6" t="n"/>
      <c r="I325" s="5" t="n"/>
      <c r="J325" s="5" t="n"/>
      <c r="K325" s="5" t="n"/>
      <c r="L325" s="5" t="n"/>
    </row>
    <row r="326">
      <c r="A326" s="5" t="n"/>
      <c r="B326" s="6" t="n"/>
      <c r="C326" s="5" t="n"/>
      <c r="D326" s="5" t="n"/>
      <c r="E326" s="5" t="n"/>
      <c r="F326" s="5" t="n"/>
      <c r="G326" s="5" t="n"/>
      <c r="H326" s="6" t="n"/>
      <c r="I326" s="5" t="n"/>
      <c r="J326" s="5" t="n"/>
      <c r="K326" s="5" t="n"/>
      <c r="L326" s="5" t="n"/>
    </row>
    <row r="327">
      <c r="A327" s="5" t="n"/>
      <c r="B327" s="6" t="n"/>
      <c r="C327" s="5" t="n"/>
      <c r="D327" s="5" t="n"/>
      <c r="E327" s="5" t="n"/>
      <c r="F327" s="5" t="n"/>
      <c r="G327" s="5" t="n"/>
      <c r="H327" s="6" t="n"/>
      <c r="I327" s="5" t="n"/>
      <c r="J327" s="5" t="n"/>
      <c r="K327" s="5" t="n"/>
      <c r="L327" s="5" t="n"/>
    </row>
    <row r="328">
      <c r="A328" s="5" t="n"/>
      <c r="B328" s="6" t="n"/>
      <c r="C328" s="5" t="n"/>
      <c r="D328" s="5" t="n"/>
      <c r="E328" s="5" t="n"/>
      <c r="F328" s="5" t="n"/>
      <c r="G328" s="5" t="n"/>
      <c r="H328" s="6" t="n"/>
      <c r="I328" s="5" t="n"/>
      <c r="J328" s="5" t="n"/>
      <c r="K328" s="5" t="n"/>
      <c r="L328" s="5" t="n"/>
    </row>
    <row r="329">
      <c r="A329" s="5" t="n"/>
      <c r="B329" s="6" t="n"/>
      <c r="C329" s="5" t="n"/>
      <c r="D329" s="5" t="n"/>
      <c r="E329" s="5" t="n"/>
      <c r="F329" s="5" t="n"/>
      <c r="G329" s="5" t="n"/>
      <c r="H329" s="6" t="n"/>
      <c r="I329" s="5" t="n"/>
      <c r="J329" s="5" t="n"/>
      <c r="K329" s="5" t="n"/>
      <c r="L329" s="5" t="n"/>
    </row>
    <row r="330">
      <c r="A330" s="5" t="n"/>
      <c r="B330" s="6" t="n"/>
      <c r="C330" s="5" t="n"/>
      <c r="D330" s="5" t="n"/>
      <c r="E330" s="5" t="n"/>
      <c r="F330" s="5" t="n"/>
      <c r="G330" s="5" t="n"/>
      <c r="H330" s="6" t="n"/>
      <c r="I330" s="5" t="n"/>
      <c r="J330" s="5" t="n"/>
      <c r="K330" s="5" t="n"/>
      <c r="L330" s="5" t="n"/>
    </row>
    <row r="331">
      <c r="A331" s="5" t="n"/>
      <c r="B331" s="6" t="n"/>
      <c r="C331" s="5" t="n"/>
      <c r="D331" s="5" t="n"/>
      <c r="E331" s="5" t="n"/>
      <c r="F331" s="5" t="n"/>
      <c r="G331" s="5" t="n"/>
      <c r="H331" s="6" t="n"/>
      <c r="I331" s="5" t="n"/>
      <c r="J331" s="5" t="n"/>
      <c r="K331" s="5" t="n"/>
      <c r="L331" s="5" t="n"/>
    </row>
    <row r="332">
      <c r="A332" s="5" t="n"/>
      <c r="B332" s="6" t="n"/>
      <c r="C332" s="5" t="n"/>
      <c r="D332" s="5" t="n"/>
      <c r="E332" s="5" t="n"/>
      <c r="F332" s="5" t="n"/>
      <c r="G332" s="5" t="n"/>
      <c r="H332" s="6" t="n"/>
      <c r="I332" s="5" t="n"/>
      <c r="J332" s="5" t="n"/>
      <c r="K332" s="5" t="n"/>
      <c r="L332" s="5" t="n"/>
    </row>
    <row r="333">
      <c r="A333" s="5" t="n"/>
      <c r="B333" s="6" t="n"/>
      <c r="C333" s="5" t="n"/>
      <c r="D333" s="5" t="n"/>
      <c r="E333" s="5" t="n"/>
      <c r="F333" s="5" t="n"/>
      <c r="G333" s="5" t="n"/>
      <c r="H333" s="6" t="n"/>
      <c r="I333" s="5" t="n"/>
      <c r="J333" s="5" t="n"/>
      <c r="K333" s="5" t="n"/>
      <c r="L333" s="5" t="n"/>
    </row>
    <row r="334">
      <c r="A334" s="5" t="n"/>
      <c r="B334" s="6" t="n"/>
      <c r="C334" s="5" t="n"/>
      <c r="D334" s="5" t="n"/>
      <c r="E334" s="5" t="n"/>
      <c r="F334" s="5" t="n"/>
      <c r="G334" s="5" t="n"/>
      <c r="H334" s="6" t="n"/>
      <c r="I334" s="5" t="n"/>
      <c r="J334" s="5" t="n"/>
      <c r="K334" s="5" t="n"/>
      <c r="L334" s="5" t="n"/>
    </row>
    <row r="335">
      <c r="A335" s="5" t="n"/>
      <c r="B335" s="6" t="n"/>
      <c r="C335" s="5" t="n"/>
      <c r="D335" s="5" t="n"/>
      <c r="E335" s="5" t="n"/>
      <c r="F335" s="5" t="n"/>
      <c r="G335" s="5" t="n"/>
      <c r="H335" s="6" t="n"/>
      <c r="I335" s="5" t="n"/>
      <c r="J335" s="5" t="n"/>
      <c r="K335" s="5" t="n"/>
      <c r="L335" s="5" t="n"/>
    </row>
    <row r="336">
      <c r="A336" s="5" t="n"/>
      <c r="B336" s="6" t="n"/>
      <c r="C336" s="5" t="n"/>
      <c r="D336" s="5" t="n"/>
      <c r="E336" s="5" t="n"/>
      <c r="F336" s="5" t="n"/>
      <c r="G336" s="5" t="n"/>
      <c r="H336" s="6" t="n"/>
      <c r="I336" s="5" t="n"/>
      <c r="J336" s="5" t="n"/>
      <c r="K336" s="5" t="n"/>
      <c r="L336" s="5" t="n"/>
    </row>
    <row r="337">
      <c r="A337" s="5" t="n"/>
      <c r="B337" s="6" t="n"/>
      <c r="C337" s="5" t="n"/>
      <c r="D337" s="5" t="n"/>
      <c r="E337" s="5" t="n"/>
      <c r="F337" s="5" t="n"/>
      <c r="G337" s="5" t="n"/>
      <c r="H337" s="6" t="n"/>
      <c r="I337" s="5" t="n"/>
      <c r="J337" s="5" t="n"/>
      <c r="K337" s="5" t="n"/>
      <c r="L337" s="5" t="n"/>
    </row>
    <row r="338">
      <c r="A338" s="5" t="n"/>
      <c r="B338" s="6" t="n"/>
      <c r="C338" s="5" t="n"/>
      <c r="D338" s="5" t="n"/>
      <c r="E338" s="5" t="n"/>
      <c r="F338" s="5" t="n"/>
      <c r="G338" s="5" t="n"/>
      <c r="H338" s="6" t="n"/>
      <c r="I338" s="5" t="n"/>
      <c r="J338" s="5" t="n"/>
      <c r="K338" s="5" t="n"/>
      <c r="L338" s="5" t="n"/>
    </row>
    <row r="339">
      <c r="A339" s="5" t="n"/>
      <c r="B339" s="6" t="n"/>
      <c r="C339" s="5" t="n"/>
      <c r="D339" s="5" t="n"/>
      <c r="E339" s="5" t="n"/>
      <c r="F339" s="5" t="n"/>
      <c r="G339" s="5" t="n"/>
      <c r="H339" s="6" t="n"/>
      <c r="I339" s="5" t="n"/>
      <c r="J339" s="5" t="n"/>
      <c r="K339" s="5" t="n"/>
      <c r="L339" s="5" t="n"/>
    </row>
    <row r="340">
      <c r="A340" s="5" t="n"/>
      <c r="B340" s="6" t="n"/>
      <c r="C340" s="5" t="n"/>
      <c r="D340" s="5" t="n"/>
      <c r="E340" s="5" t="n"/>
      <c r="F340" s="5" t="n"/>
      <c r="G340" s="5" t="n"/>
      <c r="H340" s="6" t="n"/>
      <c r="I340" s="5" t="n"/>
      <c r="J340" s="5" t="n"/>
      <c r="K340" s="5" t="n"/>
      <c r="L340" s="5" t="n"/>
    </row>
    <row r="341">
      <c r="A341" s="5" t="n"/>
      <c r="B341" s="6" t="n"/>
      <c r="C341" s="5" t="n"/>
      <c r="D341" s="5" t="n"/>
      <c r="E341" s="5" t="n"/>
      <c r="F341" s="5" t="n"/>
      <c r="G341" s="5" t="n"/>
      <c r="H341" s="6" t="n"/>
      <c r="I341" s="5" t="n"/>
      <c r="J341" s="5" t="n"/>
      <c r="K341" s="5" t="n"/>
      <c r="L341" s="5" t="n"/>
    </row>
    <row r="342">
      <c r="A342" s="5" t="n"/>
      <c r="B342" s="6" t="n"/>
      <c r="C342" s="5" t="n"/>
      <c r="D342" s="5" t="n"/>
      <c r="E342" s="5" t="n"/>
      <c r="F342" s="5" t="n"/>
      <c r="G342" s="5" t="n"/>
      <c r="H342" s="6" t="n"/>
      <c r="I342" s="5" t="n"/>
      <c r="J342" s="5" t="n"/>
      <c r="K342" s="5" t="n"/>
      <c r="L342" s="5" t="n"/>
    </row>
    <row r="343">
      <c r="A343" s="5" t="n"/>
      <c r="B343" s="6" t="n"/>
      <c r="C343" s="5" t="n"/>
      <c r="D343" s="5" t="n"/>
      <c r="E343" s="5" t="n"/>
      <c r="F343" s="5" t="n"/>
      <c r="G343" s="5" t="n"/>
      <c r="H343" s="6" t="n"/>
      <c r="I343" s="5" t="n"/>
      <c r="J343" s="5" t="n"/>
      <c r="K343" s="5" t="n"/>
      <c r="L343" s="5" t="n"/>
    </row>
    <row r="344">
      <c r="A344" s="5" t="n"/>
      <c r="B344" s="6" t="n"/>
      <c r="C344" s="5" t="n"/>
      <c r="D344" s="5" t="n"/>
      <c r="E344" s="5" t="n"/>
      <c r="F344" s="5" t="n"/>
      <c r="G344" s="5" t="n"/>
      <c r="H344" s="6" t="n"/>
      <c r="I344" s="5" t="n"/>
      <c r="J344" s="5" t="n"/>
      <c r="K344" s="5" t="n"/>
      <c r="L344" s="5" t="n"/>
    </row>
    <row r="345">
      <c r="A345" s="5" t="n"/>
      <c r="B345" s="6" t="n"/>
      <c r="C345" s="5" t="n"/>
      <c r="D345" s="5" t="n"/>
      <c r="E345" s="5" t="n"/>
      <c r="F345" s="5" t="n"/>
      <c r="G345" s="5" t="n"/>
      <c r="H345" s="6" t="n"/>
      <c r="I345" s="5" t="n"/>
      <c r="J345" s="5" t="n"/>
      <c r="K345" s="5" t="n"/>
      <c r="L345" s="5" t="n"/>
    </row>
    <row r="346">
      <c r="A346" s="5" t="n"/>
      <c r="B346" s="6" t="n"/>
      <c r="C346" s="5" t="n"/>
      <c r="D346" s="5" t="n"/>
      <c r="E346" s="5" t="n"/>
      <c r="F346" s="5" t="n"/>
      <c r="G346" s="5" t="n"/>
      <c r="H346" s="6" t="n"/>
      <c r="I346" s="5" t="n"/>
      <c r="J346" s="5" t="n"/>
      <c r="K346" s="5" t="n"/>
      <c r="L346" s="5" t="n"/>
    </row>
    <row r="347">
      <c r="A347" s="5" t="n"/>
      <c r="B347" s="6" t="n"/>
      <c r="C347" s="5" t="n"/>
      <c r="D347" s="5" t="n"/>
      <c r="E347" s="5" t="n"/>
      <c r="F347" s="5" t="n"/>
      <c r="G347" s="5" t="n"/>
      <c r="H347" s="6" t="n"/>
      <c r="I347" s="5" t="n"/>
      <c r="J347" s="5" t="n"/>
      <c r="K347" s="5" t="n"/>
      <c r="L347" s="5" t="n"/>
    </row>
    <row r="348">
      <c r="A348" s="5" t="n"/>
      <c r="B348" s="6" t="n"/>
      <c r="C348" s="5" t="n"/>
      <c r="D348" s="5" t="n"/>
      <c r="E348" s="5" t="n"/>
      <c r="F348" s="5" t="n"/>
      <c r="G348" s="5" t="n"/>
      <c r="H348" s="6" t="n"/>
      <c r="I348" s="5" t="n"/>
      <c r="J348" s="5" t="n"/>
      <c r="K348" s="5" t="n"/>
      <c r="L348" s="5" t="n"/>
    </row>
    <row r="349">
      <c r="A349" s="5" t="n"/>
      <c r="B349" s="6" t="n"/>
      <c r="C349" s="5" t="n"/>
      <c r="D349" s="5" t="n"/>
      <c r="E349" s="5" t="n"/>
      <c r="F349" s="5" t="n"/>
      <c r="G349" s="5" t="n"/>
      <c r="H349" s="6" t="n"/>
      <c r="I349" s="5" t="n"/>
      <c r="J349" s="5" t="n"/>
      <c r="K349" s="5" t="n"/>
      <c r="L349" s="5" t="n"/>
    </row>
    <row r="350">
      <c r="A350" s="5" t="n"/>
      <c r="B350" s="6" t="n"/>
      <c r="C350" s="5" t="n"/>
      <c r="D350" s="5" t="n"/>
      <c r="E350" s="5" t="n"/>
      <c r="F350" s="5" t="n"/>
      <c r="G350" s="5" t="n"/>
      <c r="H350" s="6" t="n"/>
      <c r="I350" s="5" t="n"/>
      <c r="J350" s="5" t="n"/>
      <c r="K350" s="5" t="n"/>
      <c r="L350" s="5" t="n"/>
    </row>
    <row r="351">
      <c r="A351" s="5" t="n"/>
      <c r="B351" s="6" t="n"/>
      <c r="C351" s="5" t="n"/>
      <c r="D351" s="5" t="n"/>
      <c r="E351" s="5" t="n"/>
      <c r="F351" s="5" t="n"/>
      <c r="G351" s="5" t="n"/>
      <c r="H351" s="6" t="n"/>
      <c r="I351" s="5" t="n"/>
      <c r="J351" s="5" t="n"/>
      <c r="K351" s="5" t="n"/>
      <c r="L351" s="5" t="n"/>
    </row>
    <row r="352">
      <c r="A352" s="5" t="n"/>
      <c r="B352" s="6" t="n"/>
      <c r="C352" s="5" t="n"/>
      <c r="D352" s="5" t="n"/>
      <c r="E352" s="5" t="n"/>
      <c r="F352" s="5" t="n"/>
      <c r="G352" s="5" t="n"/>
      <c r="H352" s="6" t="n"/>
      <c r="I352" s="5" t="n"/>
      <c r="J352" s="5" t="n"/>
      <c r="K352" s="5" t="n"/>
      <c r="L352" s="5" t="n"/>
    </row>
    <row r="353">
      <c r="A353" s="5" t="n"/>
      <c r="B353" s="6" t="n"/>
      <c r="C353" s="5" t="n"/>
      <c r="D353" s="5" t="n"/>
      <c r="E353" s="5" t="n"/>
      <c r="F353" s="5" t="n"/>
      <c r="G353" s="5" t="n"/>
      <c r="H353" s="6" t="n"/>
      <c r="I353" s="5" t="n"/>
      <c r="J353" s="5" t="n"/>
      <c r="K353" s="5" t="n"/>
      <c r="L353" s="5" t="n"/>
    </row>
    <row r="354">
      <c r="A354" s="5" t="n"/>
      <c r="B354" s="6" t="n"/>
      <c r="C354" s="5" t="n"/>
      <c r="D354" s="5" t="n"/>
      <c r="E354" s="5" t="n"/>
      <c r="F354" s="5" t="n"/>
      <c r="G354" s="5" t="n"/>
      <c r="H354" s="6" t="n"/>
      <c r="I354" s="5" t="n"/>
      <c r="J354" s="5" t="n"/>
      <c r="K354" s="5" t="n"/>
      <c r="L354" s="5" t="n"/>
    </row>
    <row r="355">
      <c r="A355" s="5" t="n"/>
      <c r="B355" s="6" t="n"/>
      <c r="C355" s="5" t="n"/>
      <c r="D355" s="5" t="n"/>
      <c r="E355" s="5" t="n"/>
      <c r="F355" s="5" t="n"/>
      <c r="G355" s="5" t="n"/>
      <c r="H355" s="6" t="n"/>
      <c r="I355" s="5" t="n"/>
      <c r="J355" s="5" t="n"/>
      <c r="K355" s="5" t="n"/>
      <c r="L355" s="5" t="n"/>
    </row>
    <row r="356">
      <c r="A356" s="5" t="n"/>
      <c r="B356" s="6" t="n"/>
      <c r="C356" s="5" t="n"/>
      <c r="D356" s="5" t="n"/>
      <c r="E356" s="5" t="n"/>
      <c r="F356" s="5" t="n"/>
      <c r="G356" s="5" t="n"/>
      <c r="H356" s="6" t="n"/>
      <c r="I356" s="5" t="n"/>
      <c r="J356" s="5" t="n"/>
      <c r="K356" s="5" t="n"/>
      <c r="L356" s="5" t="n"/>
    </row>
    <row r="357">
      <c r="A357" s="5" t="n"/>
      <c r="B357" s="6" t="n"/>
      <c r="C357" s="5" t="n"/>
      <c r="D357" s="5" t="n"/>
      <c r="E357" s="5" t="n"/>
      <c r="F357" s="5" t="n"/>
      <c r="G357" s="5" t="n"/>
      <c r="H357" s="6" t="n"/>
      <c r="I357" s="5" t="n"/>
      <c r="J357" s="5" t="n"/>
      <c r="K357" s="5" t="n"/>
      <c r="L357" s="5" t="n"/>
    </row>
    <row r="358">
      <c r="A358" s="5" t="n"/>
      <c r="B358" s="6" t="n"/>
      <c r="C358" s="5" t="n"/>
      <c r="D358" s="5" t="n"/>
      <c r="E358" s="5" t="n"/>
      <c r="F358" s="5" t="n"/>
      <c r="G358" s="5" t="n"/>
      <c r="H358" s="6" t="n"/>
      <c r="I358" s="5" t="n"/>
      <c r="J358" s="5" t="n"/>
      <c r="K358" s="5" t="n"/>
      <c r="L358" s="5" t="n"/>
    </row>
    <row r="359">
      <c r="A359" s="5" t="n"/>
      <c r="B359" s="6" t="n"/>
      <c r="C359" s="5" t="n"/>
      <c r="D359" s="5" t="n"/>
      <c r="E359" s="5" t="n"/>
      <c r="F359" s="5" t="n"/>
      <c r="G359" s="5" t="n"/>
      <c r="H359" s="6" t="n"/>
      <c r="I359" s="5" t="n"/>
      <c r="J359" s="5" t="n"/>
      <c r="K359" s="5" t="n"/>
      <c r="L359" s="5" t="n"/>
    </row>
    <row r="360">
      <c r="A360" s="5" t="n"/>
      <c r="B360" s="6" t="n"/>
      <c r="C360" s="5" t="n"/>
      <c r="D360" s="5" t="n"/>
      <c r="E360" s="5" t="n"/>
      <c r="F360" s="5" t="n"/>
      <c r="G360" s="5" t="n"/>
      <c r="H360" s="6" t="n"/>
      <c r="I360" s="5" t="n"/>
      <c r="J360" s="5" t="n"/>
      <c r="K360" s="5" t="n"/>
      <c r="L360" s="5" t="n"/>
    </row>
    <row r="361">
      <c r="A361" s="5" t="n"/>
      <c r="B361" s="6" t="n"/>
      <c r="C361" s="5" t="n"/>
      <c r="D361" s="5" t="n"/>
      <c r="E361" s="5" t="n"/>
      <c r="F361" s="5" t="n"/>
      <c r="G361" s="5" t="n"/>
      <c r="H361" s="6" t="n"/>
      <c r="I361" s="5" t="n"/>
      <c r="J361" s="5" t="n"/>
      <c r="K361" s="5" t="n"/>
      <c r="L361" s="5" t="n"/>
    </row>
    <row r="362">
      <c r="A362" s="5" t="n"/>
      <c r="B362" s="6" t="n"/>
      <c r="C362" s="5" t="n"/>
      <c r="D362" s="5" t="n"/>
      <c r="E362" s="5" t="n"/>
      <c r="F362" s="5" t="n"/>
      <c r="G362" s="5" t="n"/>
      <c r="H362" s="6" t="n"/>
      <c r="I362" s="5" t="n"/>
      <c r="J362" s="5" t="n"/>
      <c r="K362" s="5" t="n"/>
      <c r="L362" s="5" t="n"/>
    </row>
    <row r="363">
      <c r="A363" s="5" t="n"/>
      <c r="B363" s="6" t="n"/>
      <c r="C363" s="5" t="n"/>
      <c r="D363" s="5" t="n"/>
      <c r="E363" s="5" t="n"/>
      <c r="F363" s="5" t="n"/>
      <c r="G363" s="5" t="n"/>
      <c r="H363" s="6" t="n"/>
      <c r="I363" s="5" t="n"/>
      <c r="J363" s="5" t="n"/>
      <c r="K363" s="5" t="n"/>
      <c r="L363" s="5" t="n"/>
    </row>
    <row r="364">
      <c r="A364" s="5" t="n"/>
      <c r="B364" s="6" t="n"/>
      <c r="C364" s="5" t="n"/>
      <c r="D364" s="5" t="n"/>
      <c r="E364" s="5" t="n"/>
      <c r="F364" s="5" t="n"/>
      <c r="G364" s="5" t="n"/>
      <c r="H364" s="6" t="n"/>
      <c r="I364" s="5" t="n"/>
      <c r="J364" s="5" t="n"/>
      <c r="K364" s="5" t="n"/>
      <c r="L364" s="5" t="n"/>
    </row>
    <row r="365">
      <c r="A365" s="5" t="n"/>
      <c r="B365" s="6" t="n"/>
      <c r="C365" s="5" t="n"/>
      <c r="D365" s="5" t="n"/>
      <c r="E365" s="5" t="n"/>
      <c r="F365" s="5" t="n"/>
      <c r="G365" s="5" t="n"/>
      <c r="H365" s="6" t="n"/>
      <c r="I365" s="5" t="n"/>
      <c r="J365" s="5" t="n"/>
      <c r="K365" s="5" t="n"/>
      <c r="L365" s="5" t="n"/>
    </row>
    <row r="366">
      <c r="A366" s="5" t="n"/>
      <c r="B366" s="6" t="n"/>
      <c r="C366" s="5" t="n"/>
      <c r="D366" s="5" t="n"/>
      <c r="E366" s="5" t="n"/>
      <c r="F366" s="5" t="n"/>
      <c r="G366" s="5" t="n"/>
      <c r="H366" s="6" t="n"/>
      <c r="I366" s="5" t="n"/>
      <c r="J366" s="5" t="n"/>
      <c r="K366" s="5" t="n"/>
      <c r="L366" s="5" t="n"/>
    </row>
    <row r="367">
      <c r="A367" s="5" t="n"/>
      <c r="B367" s="6" t="n"/>
      <c r="C367" s="5" t="n"/>
      <c r="D367" s="5" t="n"/>
      <c r="E367" s="5" t="n"/>
      <c r="F367" s="5" t="n"/>
      <c r="G367" s="5" t="n"/>
      <c r="H367" s="6" t="n"/>
      <c r="I367" s="5" t="n"/>
      <c r="J367" s="5" t="n"/>
      <c r="K367" s="5" t="n"/>
      <c r="L367" s="5" t="n"/>
    </row>
    <row r="368">
      <c r="A368" s="5" t="n"/>
      <c r="B368" s="6" t="n"/>
      <c r="C368" s="5" t="n"/>
      <c r="D368" s="5" t="n"/>
      <c r="E368" s="5" t="n"/>
      <c r="F368" s="5" t="n"/>
      <c r="G368" s="5" t="n"/>
      <c r="H368" s="6" t="n"/>
      <c r="I368" s="5" t="n"/>
      <c r="J368" s="5" t="n"/>
      <c r="K368" s="5" t="n"/>
      <c r="L368" s="5" t="n"/>
    </row>
    <row r="369">
      <c r="A369" s="5" t="n"/>
      <c r="B369" s="6" t="n"/>
      <c r="C369" s="5" t="n"/>
      <c r="D369" s="5" t="n"/>
      <c r="E369" s="5" t="n"/>
      <c r="F369" s="5" t="n"/>
      <c r="G369" s="5" t="n"/>
      <c r="H369" s="6" t="n"/>
      <c r="I369" s="5" t="n"/>
      <c r="J369" s="5" t="n"/>
      <c r="K369" s="5" t="n"/>
      <c r="L369" s="5" t="n"/>
    </row>
    <row r="370">
      <c r="A370" s="5" t="n"/>
      <c r="B370" s="6" t="n"/>
      <c r="C370" s="5" t="n"/>
      <c r="D370" s="5" t="n"/>
      <c r="E370" s="5" t="n"/>
      <c r="F370" s="5" t="n"/>
      <c r="G370" s="5" t="n"/>
      <c r="H370" s="6" t="n"/>
      <c r="I370" s="5" t="n"/>
      <c r="J370" s="5" t="n"/>
      <c r="K370" s="5" t="n"/>
      <c r="L370" s="5" t="n"/>
    </row>
    <row r="371">
      <c r="A371" s="5" t="n"/>
      <c r="B371" s="6" t="n"/>
      <c r="C371" s="5" t="n"/>
      <c r="D371" s="5" t="n"/>
      <c r="E371" s="5" t="n"/>
      <c r="F371" s="5" t="n"/>
      <c r="G371" s="5" t="n"/>
      <c r="H371" s="6" t="n"/>
      <c r="I371" s="5" t="n"/>
      <c r="J371" s="5" t="n"/>
      <c r="K371" s="5" t="n"/>
      <c r="L371" s="5" t="n"/>
    </row>
    <row r="372">
      <c r="A372" s="5" t="n"/>
      <c r="B372" s="6" t="n"/>
      <c r="C372" s="5" t="n"/>
      <c r="D372" s="5" t="n"/>
      <c r="E372" s="5" t="n"/>
      <c r="F372" s="5" t="n"/>
      <c r="G372" s="5" t="n"/>
      <c r="H372" s="6" t="n"/>
      <c r="I372" s="5" t="n"/>
      <c r="J372" s="5" t="n"/>
      <c r="K372" s="5" t="n"/>
      <c r="L372" s="5" t="n"/>
    </row>
    <row r="373">
      <c r="A373" s="5" t="n"/>
      <c r="B373" s="6" t="n"/>
      <c r="C373" s="5" t="n"/>
      <c r="D373" s="5" t="n"/>
      <c r="E373" s="5" t="n"/>
      <c r="F373" s="5" t="n"/>
      <c r="G373" s="5" t="n"/>
      <c r="H373" s="6" t="n"/>
      <c r="I373" s="5" t="n"/>
      <c r="J373" s="5" t="n"/>
      <c r="K373" s="5" t="n"/>
      <c r="L373" s="5" t="n"/>
    </row>
    <row r="374">
      <c r="A374" s="5" t="n"/>
      <c r="B374" s="6" t="n"/>
      <c r="C374" s="5" t="n"/>
      <c r="D374" s="5" t="n"/>
      <c r="E374" s="5" t="n"/>
      <c r="F374" s="5" t="n"/>
      <c r="G374" s="5" t="n"/>
      <c r="H374" s="6" t="n"/>
      <c r="I374" s="5" t="n"/>
      <c r="J374" s="5" t="n"/>
      <c r="K374" s="5" t="n"/>
      <c r="L374" s="5" t="n"/>
    </row>
    <row r="375">
      <c r="A375" s="5" t="n"/>
      <c r="B375" s="6" t="n"/>
      <c r="C375" s="5" t="n"/>
      <c r="D375" s="5" t="n"/>
      <c r="E375" s="5" t="n"/>
      <c r="F375" s="5" t="n"/>
      <c r="G375" s="5" t="n"/>
      <c r="H375" s="6" t="n"/>
      <c r="I375" s="5" t="n"/>
      <c r="J375" s="5" t="n"/>
      <c r="K375" s="5" t="n"/>
      <c r="L375" s="5" t="n"/>
    </row>
    <row r="376">
      <c r="A376" s="5" t="n"/>
      <c r="B376" s="6" t="n"/>
      <c r="C376" s="5" t="n"/>
      <c r="D376" s="5" t="n"/>
      <c r="E376" s="5" t="n"/>
      <c r="F376" s="5" t="n"/>
      <c r="G376" s="5" t="n"/>
      <c r="H376" s="6" t="n"/>
      <c r="I376" s="5" t="n"/>
      <c r="J376" s="5" t="n"/>
      <c r="K376" s="5" t="n"/>
      <c r="L376" s="5" t="n"/>
    </row>
    <row r="377">
      <c r="A377" s="5" t="n"/>
      <c r="B377" s="6" t="n"/>
      <c r="C377" s="5" t="n"/>
      <c r="D377" s="5" t="n"/>
      <c r="E377" s="5" t="n"/>
      <c r="F377" s="5" t="n"/>
      <c r="G377" s="5" t="n"/>
      <c r="H377" s="6" t="n"/>
      <c r="I377" s="5" t="n"/>
      <c r="J377" s="5" t="n"/>
      <c r="K377" s="5" t="n"/>
      <c r="L377" s="5" t="n"/>
    </row>
    <row r="378">
      <c r="A378" s="5" t="n"/>
      <c r="B378" s="6" t="n"/>
      <c r="C378" s="5" t="n"/>
      <c r="D378" s="5" t="n"/>
      <c r="E378" s="5" t="n"/>
      <c r="F378" s="5" t="n"/>
      <c r="G378" s="5" t="n"/>
      <c r="H378" s="6" t="n"/>
      <c r="I378" s="5" t="n"/>
      <c r="J378" s="5" t="n"/>
      <c r="K378" s="5" t="n"/>
      <c r="L378" s="5" t="n"/>
    </row>
    <row r="379">
      <c r="A379" s="5" t="n"/>
      <c r="B379" s="6" t="n"/>
      <c r="C379" s="5" t="n"/>
      <c r="D379" s="5" t="n"/>
      <c r="E379" s="5" t="n"/>
      <c r="F379" s="5" t="n"/>
      <c r="G379" s="5" t="n"/>
      <c r="H379" s="6" t="n"/>
      <c r="I379" s="5" t="n"/>
      <c r="J379" s="5" t="n"/>
      <c r="K379" s="5" t="n"/>
      <c r="L379" s="5" t="n"/>
    </row>
    <row r="380">
      <c r="A380" s="5" t="n"/>
      <c r="B380" s="6" t="n"/>
      <c r="C380" s="5" t="n"/>
      <c r="D380" s="5" t="n"/>
      <c r="E380" s="5" t="n"/>
      <c r="F380" s="5" t="n"/>
      <c r="G380" s="5" t="n"/>
      <c r="H380" s="6" t="n"/>
      <c r="I380" s="5" t="n"/>
      <c r="J380" s="5" t="n"/>
      <c r="K380" s="5" t="n"/>
      <c r="L380" s="5" t="n"/>
    </row>
    <row r="381">
      <c r="A381" s="5" t="n"/>
      <c r="B381" s="6" t="n"/>
      <c r="C381" s="5" t="n"/>
      <c r="D381" s="5" t="n"/>
      <c r="E381" s="5" t="n"/>
      <c r="F381" s="5" t="n"/>
      <c r="G381" s="5" t="n"/>
      <c r="H381" s="6" t="n"/>
      <c r="I381" s="5" t="n"/>
      <c r="J381" s="5" t="n"/>
      <c r="K381" s="5" t="n"/>
      <c r="L381" s="5" t="n"/>
    </row>
    <row r="382">
      <c r="A382" s="5" t="n"/>
      <c r="B382" s="6" t="n"/>
      <c r="C382" s="5" t="n"/>
      <c r="D382" s="5" t="n"/>
      <c r="E382" s="5" t="n"/>
      <c r="F382" s="5" t="n"/>
      <c r="G382" s="5" t="n"/>
      <c r="H382" s="6" t="n"/>
      <c r="I382" s="5" t="n"/>
      <c r="J382" s="5" t="n"/>
      <c r="K382" s="5" t="n"/>
      <c r="L382" s="5" t="n"/>
    </row>
    <row r="383">
      <c r="A383" s="5" t="n"/>
      <c r="B383" s="6" t="n"/>
      <c r="C383" s="5" t="n"/>
      <c r="D383" s="5" t="n"/>
      <c r="E383" s="5" t="n"/>
      <c r="F383" s="5" t="n"/>
      <c r="G383" s="5" t="n"/>
      <c r="H383" s="6" t="n"/>
      <c r="I383" s="5" t="n"/>
      <c r="J383" s="5" t="n"/>
      <c r="K383" s="5" t="n"/>
      <c r="L383" s="5" t="n"/>
    </row>
    <row r="384">
      <c r="A384" s="5" t="n"/>
      <c r="B384" s="6" t="n"/>
      <c r="C384" s="5" t="n"/>
      <c r="D384" s="5" t="n"/>
      <c r="E384" s="5" t="n"/>
      <c r="F384" s="5" t="n"/>
      <c r="G384" s="5" t="n"/>
      <c r="H384" s="6" t="n"/>
      <c r="I384" s="5" t="n"/>
      <c r="J384" s="5" t="n"/>
      <c r="K384" s="5" t="n"/>
      <c r="L384" s="5" t="n"/>
    </row>
    <row r="385">
      <c r="A385" s="5" t="n"/>
      <c r="B385" s="6" t="n"/>
      <c r="C385" s="5" t="n"/>
      <c r="D385" s="5" t="n"/>
      <c r="E385" s="5" t="n"/>
      <c r="F385" s="5" t="n"/>
      <c r="G385" s="5" t="n"/>
      <c r="H385" s="6" t="n"/>
      <c r="I385" s="5" t="n"/>
      <c r="J385" s="5" t="n"/>
      <c r="K385" s="5" t="n"/>
      <c r="L385" s="5" t="n"/>
    </row>
    <row r="386">
      <c r="A386" s="5" t="n"/>
      <c r="B386" s="6" t="n"/>
      <c r="C386" s="5" t="n"/>
      <c r="D386" s="5" t="n"/>
      <c r="E386" s="5" t="n"/>
      <c r="F386" s="5" t="n"/>
      <c r="G386" s="5" t="n"/>
      <c r="H386" s="6" t="n"/>
      <c r="I386" s="5" t="n"/>
      <c r="J386" s="5" t="n"/>
      <c r="K386" s="5" t="n"/>
      <c r="L386" s="5" t="n"/>
    </row>
    <row r="387">
      <c r="A387" s="5" t="n"/>
      <c r="B387" s="6" t="n"/>
      <c r="C387" s="5" t="n"/>
      <c r="D387" s="5" t="n"/>
      <c r="E387" s="5" t="n"/>
      <c r="F387" s="5" t="n"/>
      <c r="G387" s="5" t="n"/>
      <c r="H387" s="6" t="n"/>
      <c r="I387" s="5" t="n"/>
      <c r="J387" s="5" t="n"/>
      <c r="K387" s="5" t="n"/>
      <c r="L387" s="5" t="n"/>
    </row>
    <row r="388">
      <c r="A388" s="5" t="n"/>
      <c r="B388" s="6" t="n"/>
      <c r="C388" s="5" t="n"/>
      <c r="D388" s="5" t="n"/>
      <c r="E388" s="5" t="n"/>
      <c r="F388" s="5" t="n"/>
      <c r="G388" s="5" t="n"/>
      <c r="H388" s="6" t="n"/>
      <c r="I388" s="5" t="n"/>
      <c r="J388" s="5" t="n"/>
      <c r="K388" s="5" t="n"/>
      <c r="L388" s="5" t="n"/>
    </row>
    <row r="389">
      <c r="A389" s="5" t="n"/>
      <c r="B389" s="6" t="n"/>
      <c r="C389" s="5" t="n"/>
      <c r="D389" s="5" t="n"/>
      <c r="E389" s="5" t="n"/>
      <c r="F389" s="5" t="n"/>
      <c r="G389" s="5" t="n"/>
      <c r="H389" s="6" t="n"/>
      <c r="I389" s="5" t="n"/>
      <c r="J389" s="5" t="n"/>
      <c r="K389" s="5" t="n"/>
      <c r="L389" s="5" t="n"/>
    </row>
    <row r="390">
      <c r="A390" s="5" t="n"/>
      <c r="B390" s="6" t="n"/>
      <c r="C390" s="5" t="n"/>
      <c r="D390" s="5" t="n"/>
      <c r="E390" s="5" t="n"/>
      <c r="F390" s="5" t="n"/>
      <c r="G390" s="5" t="n"/>
      <c r="H390" s="6" t="n"/>
      <c r="I390" s="5" t="n"/>
      <c r="J390" s="5" t="n"/>
      <c r="K390" s="5" t="n"/>
      <c r="L390" s="5" t="n"/>
    </row>
    <row r="391">
      <c r="A391" s="5" t="n"/>
      <c r="B391" s="6" t="n"/>
      <c r="C391" s="5" t="n"/>
      <c r="D391" s="5" t="n"/>
      <c r="E391" s="5" t="n"/>
      <c r="F391" s="5" t="n"/>
      <c r="G391" s="5" t="n"/>
      <c r="H391" s="6" t="n"/>
      <c r="I391" s="5" t="n"/>
      <c r="J391" s="5" t="n"/>
      <c r="K391" s="5" t="n"/>
      <c r="L391" s="5" t="n"/>
    </row>
    <row r="392">
      <c r="A392" s="5" t="n"/>
      <c r="B392" s="6" t="n"/>
      <c r="C392" s="5" t="n"/>
      <c r="D392" s="5" t="n"/>
      <c r="E392" s="5" t="n"/>
      <c r="F392" s="5" t="n"/>
      <c r="G392" s="5" t="n"/>
      <c r="H392" s="6" t="n"/>
      <c r="I392" s="5" t="n"/>
      <c r="J392" s="5" t="n"/>
      <c r="K392" s="5" t="n"/>
      <c r="L392" s="5" t="n"/>
    </row>
    <row r="393">
      <c r="A393" s="5" t="n"/>
      <c r="B393" s="6" t="n"/>
      <c r="C393" s="5" t="n"/>
      <c r="D393" s="5" t="n"/>
      <c r="E393" s="5" t="n"/>
      <c r="F393" s="5" t="n"/>
      <c r="G393" s="5" t="n"/>
      <c r="H393" s="6" t="n"/>
      <c r="I393" s="5" t="n"/>
      <c r="J393" s="5" t="n"/>
      <c r="K393" s="5" t="n"/>
      <c r="L393" s="5" t="n"/>
    </row>
    <row r="394">
      <c r="A394" s="5" t="n"/>
      <c r="B394" s="6" t="n"/>
      <c r="C394" s="5" t="n"/>
      <c r="D394" s="5" t="n"/>
      <c r="E394" s="5" t="n"/>
      <c r="F394" s="5" t="n"/>
      <c r="G394" s="5" t="n"/>
      <c r="H394" s="6" t="n"/>
      <c r="I394" s="5" t="n"/>
      <c r="J394" s="5" t="n"/>
      <c r="K394" s="5" t="n"/>
      <c r="L394" s="5" t="n"/>
    </row>
    <row r="395">
      <c r="A395" s="5" t="n"/>
      <c r="B395" s="6" t="n"/>
      <c r="C395" s="5" t="n"/>
      <c r="D395" s="5" t="n"/>
      <c r="E395" s="5" t="n"/>
      <c r="F395" s="5" t="n"/>
      <c r="G395" s="5" t="n"/>
      <c r="H395" s="6" t="n"/>
      <c r="I395" s="5" t="n"/>
      <c r="J395" s="5" t="n"/>
      <c r="K395" s="5" t="n"/>
      <c r="L395" s="5" t="n"/>
    </row>
    <row r="396">
      <c r="A396" s="5" t="n"/>
      <c r="B396" s="6" t="n"/>
      <c r="C396" s="5" t="n"/>
      <c r="D396" s="5" t="n"/>
      <c r="E396" s="5" t="n"/>
      <c r="F396" s="5" t="n"/>
      <c r="G396" s="5" t="n"/>
      <c r="H396" s="6" t="n"/>
      <c r="I396" s="5" t="n"/>
      <c r="J396" s="5" t="n"/>
      <c r="K396" s="5" t="n"/>
      <c r="L396" s="5" t="n"/>
    </row>
    <row r="397">
      <c r="A397" s="5" t="n"/>
      <c r="B397" s="6" t="n"/>
      <c r="C397" s="5" t="n"/>
      <c r="D397" s="5" t="n"/>
      <c r="E397" s="5" t="n"/>
      <c r="F397" s="5" t="n"/>
      <c r="G397" s="5" t="n"/>
      <c r="H397" s="6" t="n"/>
      <c r="I397" s="5" t="n"/>
      <c r="J397" s="5" t="n"/>
      <c r="K397" s="5" t="n"/>
      <c r="L397" s="5" t="n"/>
    </row>
    <row r="398">
      <c r="A398" s="5" t="n"/>
      <c r="B398" s="6" t="n"/>
      <c r="C398" s="5" t="n"/>
      <c r="D398" s="5" t="n"/>
      <c r="E398" s="5" t="n"/>
      <c r="F398" s="5" t="n"/>
      <c r="G398" s="5" t="n"/>
      <c r="H398" s="6" t="n"/>
      <c r="I398" s="5" t="n"/>
      <c r="J398" s="5" t="n"/>
      <c r="K398" s="5" t="n"/>
      <c r="L398" s="5" t="n"/>
    </row>
    <row r="399">
      <c r="A399" s="5" t="n"/>
      <c r="B399" s="6" t="n"/>
      <c r="C399" s="5" t="n"/>
      <c r="D399" s="5" t="n"/>
      <c r="E399" s="5" t="n"/>
      <c r="F399" s="5" t="n"/>
      <c r="G399" s="5" t="n"/>
      <c r="H399" s="6" t="n"/>
      <c r="I399" s="5" t="n"/>
      <c r="J399" s="5" t="n"/>
      <c r="K399" s="5" t="n"/>
      <c r="L399" s="5" t="n"/>
    </row>
    <row r="400">
      <c r="A400" s="5" t="n"/>
      <c r="B400" s="6" t="n"/>
      <c r="C400" s="5" t="n"/>
      <c r="D400" s="5" t="n"/>
      <c r="E400" s="5" t="n"/>
      <c r="F400" s="5" t="n"/>
      <c r="G400" s="5" t="n"/>
      <c r="H400" s="6" t="n"/>
      <c r="I400" s="5" t="n"/>
      <c r="J400" s="5" t="n"/>
      <c r="K400" s="5" t="n"/>
      <c r="L400" s="5" t="n"/>
    </row>
    <row r="401">
      <c r="A401" s="5" t="n"/>
      <c r="B401" s="6" t="n"/>
      <c r="C401" s="5" t="n"/>
      <c r="D401" s="5" t="n"/>
      <c r="E401" s="5" t="n"/>
      <c r="F401" s="5" t="n"/>
      <c r="G401" s="5" t="n"/>
      <c r="H401" s="6" t="n"/>
      <c r="I401" s="5" t="n"/>
      <c r="J401" s="5" t="n"/>
      <c r="K401" s="5" t="n"/>
      <c r="L401" s="5" t="n"/>
    </row>
    <row r="402">
      <c r="A402" s="5" t="n"/>
      <c r="B402" s="6" t="n"/>
      <c r="C402" s="5" t="n"/>
      <c r="D402" s="5" t="n"/>
      <c r="E402" s="5" t="n"/>
      <c r="F402" s="5" t="n"/>
      <c r="G402" s="5" t="n"/>
      <c r="H402" s="6" t="n"/>
      <c r="I402" s="5" t="n"/>
      <c r="J402" s="5" t="n"/>
      <c r="K402" s="5" t="n"/>
      <c r="L402" s="5" t="n"/>
    </row>
    <row r="403">
      <c r="A403" s="5" t="n"/>
      <c r="B403" s="6" t="n"/>
      <c r="C403" s="5" t="n"/>
      <c r="D403" s="5" t="n"/>
      <c r="E403" s="5" t="n"/>
      <c r="F403" s="5" t="n"/>
      <c r="G403" s="5" t="n"/>
      <c r="H403" s="6" t="n"/>
      <c r="I403" s="5" t="n"/>
      <c r="J403" s="5" t="n"/>
      <c r="K403" s="5" t="n"/>
      <c r="L403" s="5" t="n"/>
    </row>
    <row r="404">
      <c r="A404" s="5" t="n"/>
      <c r="B404" s="6" t="n"/>
      <c r="C404" s="5" t="n"/>
      <c r="D404" s="5" t="n"/>
      <c r="E404" s="5" t="n"/>
      <c r="F404" s="5" t="n"/>
      <c r="G404" s="5" t="n"/>
      <c r="H404" s="6" t="n"/>
      <c r="I404" s="5" t="n"/>
      <c r="J404" s="5" t="n"/>
      <c r="K404" s="5" t="n"/>
      <c r="L404" s="5" t="n"/>
    </row>
    <row r="405">
      <c r="A405" s="5" t="n"/>
      <c r="B405" s="6" t="n"/>
      <c r="C405" s="5" t="n"/>
      <c r="D405" s="5" t="n"/>
      <c r="E405" s="5" t="n"/>
      <c r="F405" s="5" t="n"/>
      <c r="G405" s="5" t="n"/>
      <c r="H405" s="6" t="n"/>
      <c r="I405" s="5" t="n"/>
      <c r="J405" s="5" t="n"/>
      <c r="K405" s="5" t="n"/>
      <c r="L405" s="5" t="n"/>
    </row>
    <row r="406">
      <c r="A406" s="5" t="n"/>
      <c r="B406" s="6" t="n"/>
      <c r="C406" s="5" t="n"/>
      <c r="D406" s="5" t="n"/>
      <c r="E406" s="5" t="n"/>
      <c r="F406" s="5" t="n"/>
      <c r="G406" s="5" t="n"/>
      <c r="H406" s="6" t="n"/>
      <c r="I406" s="5" t="n"/>
      <c r="J406" s="5" t="n"/>
      <c r="K406" s="5" t="n"/>
      <c r="L406" s="5" t="n"/>
    </row>
    <row r="407">
      <c r="A407" s="5" t="n"/>
      <c r="B407" s="6" t="n"/>
      <c r="C407" s="5" t="n"/>
      <c r="D407" s="5" t="n"/>
      <c r="E407" s="5" t="n"/>
      <c r="F407" s="5" t="n"/>
      <c r="G407" s="5" t="n"/>
      <c r="H407" s="6" t="n"/>
      <c r="I407" s="5" t="n"/>
      <c r="J407" s="5" t="n"/>
      <c r="K407" s="5" t="n"/>
      <c r="L407" s="5" t="n"/>
    </row>
    <row r="408">
      <c r="A408" s="5" t="n"/>
      <c r="B408" s="6" t="n"/>
      <c r="C408" s="5" t="n"/>
      <c r="D408" s="5" t="n"/>
      <c r="E408" s="5" t="n"/>
      <c r="F408" s="5" t="n"/>
      <c r="G408" s="5" t="n"/>
      <c r="H408" s="6" t="n"/>
      <c r="I408" s="5" t="n"/>
      <c r="J408" s="5" t="n"/>
      <c r="K408" s="5" t="n"/>
      <c r="L408" s="5" t="n"/>
    </row>
    <row r="409">
      <c r="A409" s="5" t="n"/>
      <c r="B409" s="6" t="n"/>
      <c r="C409" s="5" t="n"/>
      <c r="D409" s="5" t="n"/>
      <c r="E409" s="5" t="n"/>
      <c r="F409" s="5" t="n"/>
      <c r="G409" s="5" t="n"/>
      <c r="H409" s="6" t="n"/>
      <c r="I409" s="5" t="n"/>
      <c r="J409" s="5" t="n"/>
      <c r="K409" s="5" t="n"/>
      <c r="L409" s="5" t="n"/>
    </row>
    <row r="410">
      <c r="A410" s="5" t="n"/>
      <c r="B410" s="6" t="n"/>
      <c r="C410" s="5" t="n"/>
      <c r="D410" s="5" t="n"/>
      <c r="E410" s="5" t="n"/>
      <c r="F410" s="5" t="n"/>
      <c r="G410" s="5" t="n"/>
      <c r="H410" s="6" t="n"/>
      <c r="I410" s="5" t="n"/>
      <c r="J410" s="5" t="n"/>
      <c r="K410" s="5" t="n"/>
      <c r="L410" s="5" t="n"/>
    </row>
    <row r="411">
      <c r="A411" s="5" t="n"/>
      <c r="B411" s="6" t="n"/>
      <c r="C411" s="5" t="n"/>
      <c r="D411" s="5" t="n"/>
      <c r="E411" s="5" t="n"/>
      <c r="F411" s="5" t="n"/>
      <c r="G411" s="5" t="n"/>
      <c r="H411" s="6" t="n"/>
      <c r="I411" s="5" t="n"/>
      <c r="J411" s="5" t="n"/>
      <c r="K411" s="5" t="n"/>
      <c r="L411" s="5" t="n"/>
    </row>
    <row r="412">
      <c r="A412" s="5" t="n"/>
      <c r="B412" s="6" t="n"/>
      <c r="C412" s="5" t="n"/>
      <c r="D412" s="5" t="n"/>
      <c r="E412" s="5" t="n"/>
      <c r="F412" s="5" t="n"/>
      <c r="G412" s="5" t="n"/>
      <c r="H412" s="6" t="n"/>
      <c r="I412" s="5" t="n"/>
      <c r="J412" s="5" t="n"/>
      <c r="K412" s="5" t="n"/>
      <c r="L412" s="5" t="n"/>
    </row>
    <row r="413">
      <c r="A413" s="5" t="n"/>
      <c r="B413" s="6" t="n"/>
      <c r="C413" s="5" t="n"/>
      <c r="D413" s="5" t="n"/>
      <c r="E413" s="5" t="n"/>
      <c r="F413" s="5" t="n"/>
      <c r="G413" s="5" t="n"/>
      <c r="H413" s="6" t="n"/>
      <c r="I413" s="5" t="n"/>
      <c r="J413" s="5" t="n"/>
      <c r="K413" s="5" t="n"/>
      <c r="L413" s="5" t="n"/>
    </row>
    <row r="414">
      <c r="A414" s="5" t="n"/>
      <c r="B414" s="6" t="n"/>
      <c r="C414" s="5" t="n"/>
      <c r="D414" s="5" t="n"/>
      <c r="E414" s="5" t="n"/>
      <c r="F414" s="5" t="n"/>
      <c r="G414" s="5" t="n"/>
      <c r="H414" s="6" t="n"/>
      <c r="I414" s="5" t="n"/>
      <c r="J414" s="5" t="n"/>
      <c r="K414" s="5" t="n"/>
      <c r="L414" s="5" t="n"/>
    </row>
    <row r="415">
      <c r="A415" s="5" t="n"/>
      <c r="B415" s="6" t="n"/>
      <c r="C415" s="5" t="n"/>
      <c r="D415" s="5" t="n"/>
      <c r="E415" s="5" t="n"/>
      <c r="F415" s="5" t="n"/>
      <c r="G415" s="5" t="n"/>
      <c r="H415" s="6" t="n"/>
      <c r="I415" s="5" t="n"/>
      <c r="J415" s="5" t="n"/>
      <c r="K415" s="5" t="n"/>
      <c r="L415" s="5" t="n"/>
    </row>
    <row r="416">
      <c r="A416" s="5" t="n"/>
      <c r="B416" s="6" t="n"/>
      <c r="C416" s="5" t="n"/>
      <c r="D416" s="5" t="n"/>
      <c r="E416" s="5" t="n"/>
      <c r="F416" s="5" t="n"/>
      <c r="G416" s="5" t="n"/>
      <c r="H416" s="6" t="n"/>
      <c r="I416" s="5" t="n"/>
      <c r="J416" s="5" t="n"/>
      <c r="K416" s="5" t="n"/>
      <c r="L416" s="5" t="n"/>
    </row>
    <row r="417">
      <c r="A417" s="5" t="n"/>
      <c r="B417" s="6" t="n"/>
      <c r="C417" s="5" t="n"/>
      <c r="D417" s="5" t="n"/>
      <c r="E417" s="5" t="n"/>
      <c r="F417" s="5" t="n"/>
      <c r="G417" s="5" t="n"/>
      <c r="H417" s="6" t="n"/>
      <c r="I417" s="5" t="n"/>
      <c r="J417" s="5" t="n"/>
      <c r="K417" s="5" t="n"/>
      <c r="L417" s="5" t="n"/>
    </row>
    <row r="418">
      <c r="A418" s="5" t="n"/>
      <c r="B418" s="6" t="n"/>
      <c r="C418" s="5" t="n"/>
      <c r="D418" s="5" t="n"/>
      <c r="E418" s="5" t="n"/>
      <c r="F418" s="5" t="n"/>
      <c r="G418" s="5" t="n"/>
      <c r="H418" s="6" t="n"/>
      <c r="I418" s="5" t="n"/>
      <c r="J418" s="5" t="n"/>
      <c r="K418" s="5" t="n"/>
      <c r="L418" s="5" t="n"/>
    </row>
    <row r="419">
      <c r="A419" s="5" t="n"/>
      <c r="B419" s="6" t="n"/>
      <c r="C419" s="5" t="n"/>
      <c r="D419" s="5" t="n"/>
      <c r="E419" s="5" t="n"/>
      <c r="F419" s="5" t="n"/>
      <c r="G419" s="5" t="n"/>
      <c r="H419" s="6" t="n"/>
      <c r="I419" s="5" t="n"/>
      <c r="J419" s="5" t="n"/>
      <c r="K419" s="5" t="n"/>
      <c r="L419" s="5" t="n"/>
    </row>
    <row r="420">
      <c r="A420" s="5" t="n"/>
      <c r="B420" s="6" t="n"/>
      <c r="C420" s="5" t="n"/>
      <c r="D420" s="5" t="n"/>
      <c r="E420" s="5" t="n"/>
      <c r="F420" s="5" t="n"/>
      <c r="G420" s="5" t="n"/>
      <c r="H420" s="6" t="n"/>
      <c r="I420" s="5" t="n"/>
      <c r="J420" s="5" t="n"/>
      <c r="K420" s="5" t="n"/>
      <c r="L420" s="5" t="n"/>
    </row>
    <row r="421">
      <c r="A421" s="5" t="n"/>
      <c r="B421" s="6" t="n"/>
      <c r="C421" s="5" t="n"/>
      <c r="D421" s="5" t="n"/>
      <c r="E421" s="5" t="n"/>
      <c r="F421" s="5" t="n"/>
      <c r="G421" s="5" t="n"/>
      <c r="H421" s="6" t="n"/>
      <c r="I421" s="5" t="n"/>
      <c r="J421" s="5" t="n"/>
      <c r="K421" s="5" t="n"/>
      <c r="L421" s="5" t="n"/>
    </row>
    <row r="422">
      <c r="A422" s="5" t="n"/>
      <c r="B422" s="6" t="n"/>
      <c r="C422" s="5" t="n"/>
      <c r="D422" s="5" t="n"/>
      <c r="E422" s="5" t="n"/>
      <c r="F422" s="5" t="n"/>
      <c r="G422" s="5" t="n"/>
      <c r="H422" s="6" t="n"/>
      <c r="I422" s="5" t="n"/>
      <c r="J422" s="5" t="n"/>
      <c r="K422" s="5" t="n"/>
      <c r="L422" s="5" t="n"/>
    </row>
    <row r="423">
      <c r="A423" s="5" t="n"/>
      <c r="B423" s="6" t="n"/>
      <c r="C423" s="5" t="n"/>
      <c r="D423" s="5" t="n"/>
      <c r="E423" s="5" t="n"/>
      <c r="F423" s="5" t="n"/>
      <c r="G423" s="5" t="n"/>
      <c r="H423" s="6" t="n"/>
      <c r="I423" s="5" t="n"/>
      <c r="J423" s="5" t="n"/>
      <c r="K423" s="5" t="n"/>
      <c r="L423" s="5" t="n"/>
    </row>
    <row r="424">
      <c r="A424" s="5" t="n"/>
      <c r="B424" s="6" t="n"/>
      <c r="C424" s="5" t="n"/>
      <c r="D424" s="5" t="n"/>
      <c r="E424" s="5" t="n"/>
      <c r="F424" s="5" t="n"/>
      <c r="G424" s="5" t="n"/>
      <c r="H424" s="6" t="n"/>
      <c r="I424" s="5" t="n"/>
      <c r="J424" s="5" t="n"/>
      <c r="K424" s="5" t="n"/>
      <c r="L424" s="5" t="n"/>
    </row>
    <row r="425">
      <c r="A425" s="5" t="n"/>
      <c r="B425" s="6" t="n"/>
      <c r="C425" s="5" t="n"/>
      <c r="D425" s="5" t="n"/>
      <c r="E425" s="5" t="n"/>
      <c r="F425" s="5" t="n"/>
      <c r="G425" s="5" t="n"/>
      <c r="H425" s="6" t="n"/>
      <c r="I425" s="5" t="n"/>
      <c r="J425" s="5" t="n"/>
      <c r="K425" s="5" t="n"/>
      <c r="L425" s="5" t="n"/>
    </row>
    <row r="426">
      <c r="A426" s="5" t="n"/>
      <c r="B426" s="6" t="n"/>
      <c r="C426" s="5" t="n"/>
      <c r="D426" s="5" t="n"/>
      <c r="E426" s="5" t="n"/>
      <c r="F426" s="5" t="n"/>
      <c r="G426" s="5" t="n"/>
      <c r="H426" s="6" t="n"/>
      <c r="I426" s="5" t="n"/>
      <c r="J426" s="5" t="n"/>
      <c r="K426" s="5" t="n"/>
      <c r="L426" s="5" t="n"/>
    </row>
    <row r="427">
      <c r="A427" s="5" t="n"/>
      <c r="B427" s="6" t="n"/>
      <c r="C427" s="5" t="n"/>
      <c r="D427" s="5" t="n"/>
      <c r="E427" s="5" t="n"/>
      <c r="F427" s="5" t="n"/>
      <c r="G427" s="5" t="n"/>
      <c r="H427" s="6" t="n"/>
      <c r="I427" s="5" t="n"/>
      <c r="J427" s="5" t="n"/>
      <c r="K427" s="5" t="n"/>
      <c r="L427" s="5" t="n"/>
    </row>
    <row r="428">
      <c r="A428" s="5" t="n"/>
      <c r="B428" s="6" t="n"/>
      <c r="C428" s="5" t="n"/>
      <c r="D428" s="5" t="n"/>
      <c r="E428" s="5" t="n"/>
      <c r="F428" s="5" t="n"/>
      <c r="G428" s="5" t="n"/>
      <c r="H428" s="6" t="n"/>
      <c r="I428" s="5" t="n"/>
      <c r="J428" s="5" t="n"/>
      <c r="K428" s="5" t="n"/>
      <c r="L428" s="5" t="n"/>
    </row>
    <row r="429">
      <c r="A429" s="5" t="n"/>
      <c r="B429" s="6" t="n"/>
      <c r="C429" s="5" t="n"/>
      <c r="D429" s="5" t="n"/>
      <c r="E429" s="5" t="n"/>
      <c r="F429" s="5" t="n"/>
      <c r="G429" s="5" t="n"/>
      <c r="H429" s="6" t="n"/>
      <c r="I429" s="5" t="n"/>
      <c r="J429" s="5" t="n"/>
      <c r="K429" s="5" t="n"/>
      <c r="L429" s="5" t="n"/>
    </row>
    <row r="430">
      <c r="A430" s="5" t="n"/>
      <c r="B430" s="6" t="n"/>
      <c r="C430" s="5" t="n"/>
      <c r="D430" s="5" t="n"/>
      <c r="E430" s="5" t="n"/>
      <c r="F430" s="5" t="n"/>
      <c r="G430" s="5" t="n"/>
      <c r="H430" s="6" t="n"/>
      <c r="I430" s="5" t="n"/>
      <c r="J430" s="5" t="n"/>
      <c r="K430" s="5" t="n"/>
      <c r="L430" s="5" t="n"/>
    </row>
    <row r="431">
      <c r="A431" s="5" t="n"/>
      <c r="B431" s="6" t="n"/>
      <c r="C431" s="5" t="n"/>
      <c r="D431" s="5" t="n"/>
      <c r="E431" s="5" t="n"/>
      <c r="F431" s="5" t="n"/>
      <c r="G431" s="5" t="n"/>
      <c r="H431" s="6" t="n"/>
      <c r="I431" s="5" t="n"/>
      <c r="J431" s="5" t="n"/>
      <c r="K431" s="5" t="n"/>
      <c r="L431" s="5" t="n"/>
    </row>
    <row r="432">
      <c r="A432" s="5" t="n"/>
      <c r="B432" s="6" t="n"/>
      <c r="C432" s="5" t="n"/>
      <c r="D432" s="5" t="n"/>
      <c r="E432" s="5" t="n"/>
      <c r="F432" s="5" t="n"/>
      <c r="G432" s="5" t="n"/>
      <c r="H432" s="6" t="n"/>
      <c r="I432" s="5" t="n"/>
      <c r="J432" s="5" t="n"/>
      <c r="K432" s="5" t="n"/>
      <c r="L432" s="5" t="n"/>
    </row>
    <row r="433">
      <c r="A433" s="5" t="n"/>
      <c r="B433" s="6" t="n"/>
      <c r="C433" s="5" t="n"/>
      <c r="D433" s="5" t="n"/>
      <c r="E433" s="5" t="n"/>
      <c r="F433" s="5" t="n"/>
      <c r="G433" s="5" t="n"/>
      <c r="H433" s="6" t="n"/>
      <c r="I433" s="5" t="n"/>
      <c r="J433" s="5" t="n"/>
      <c r="K433" s="5" t="n"/>
      <c r="L433" s="5" t="n"/>
    </row>
    <row r="434">
      <c r="A434" s="5" t="n"/>
      <c r="B434" s="6" t="n"/>
      <c r="C434" s="5" t="n"/>
      <c r="D434" s="5" t="n"/>
      <c r="E434" s="5" t="n"/>
      <c r="F434" s="5" t="n"/>
      <c r="G434" s="5" t="n"/>
      <c r="H434" s="6" t="n"/>
      <c r="I434" s="5" t="n"/>
      <c r="J434" s="5" t="n"/>
      <c r="K434" s="5" t="n"/>
      <c r="L434" s="5" t="n"/>
    </row>
    <row r="435">
      <c r="A435" s="5" t="n"/>
      <c r="B435" s="6" t="n"/>
      <c r="C435" s="5" t="n"/>
      <c r="D435" s="5" t="n"/>
      <c r="E435" s="5" t="n"/>
      <c r="F435" s="5" t="n"/>
      <c r="G435" s="5" t="n"/>
      <c r="H435" s="6" t="n"/>
      <c r="I435" s="5" t="n"/>
      <c r="J435" s="5" t="n"/>
      <c r="K435" s="5" t="n"/>
      <c r="L435" s="5" t="n"/>
    </row>
    <row r="436">
      <c r="A436" s="5" t="n"/>
      <c r="B436" s="6" t="n"/>
      <c r="C436" s="5" t="n"/>
      <c r="D436" s="5" t="n"/>
      <c r="E436" s="5" t="n"/>
      <c r="F436" s="5" t="n"/>
      <c r="G436" s="5" t="n"/>
      <c r="H436" s="6" t="n"/>
      <c r="I436" s="5" t="n"/>
      <c r="J436" s="5" t="n"/>
      <c r="K436" s="5" t="n"/>
      <c r="L436" s="5" t="n"/>
    </row>
    <row r="437">
      <c r="A437" s="5" t="n"/>
      <c r="B437" s="6" t="n"/>
      <c r="C437" s="5" t="n"/>
      <c r="D437" s="5" t="n"/>
      <c r="E437" s="5" t="n"/>
      <c r="F437" s="5" t="n"/>
      <c r="G437" s="5" t="n"/>
      <c r="H437" s="6" t="n"/>
      <c r="I437" s="5" t="n"/>
      <c r="J437" s="5" t="n"/>
      <c r="K437" s="5" t="n"/>
      <c r="L437" s="5" t="n"/>
    </row>
    <row r="438">
      <c r="A438" s="5" t="n"/>
      <c r="B438" s="6" t="n"/>
      <c r="C438" s="5" t="n"/>
      <c r="D438" s="5" t="n"/>
      <c r="E438" s="5" t="n"/>
      <c r="F438" s="5" t="n"/>
      <c r="G438" s="5" t="n"/>
      <c r="H438" s="6" t="n"/>
      <c r="I438" s="5" t="n"/>
      <c r="J438" s="5" t="n"/>
      <c r="K438" s="5" t="n"/>
      <c r="L438" s="5" t="n"/>
    </row>
    <row r="439">
      <c r="A439" s="5" t="n"/>
      <c r="B439" s="6" t="n"/>
      <c r="C439" s="5" t="n"/>
      <c r="D439" s="5" t="n"/>
      <c r="E439" s="5" t="n"/>
      <c r="F439" s="5" t="n"/>
      <c r="G439" s="5" t="n"/>
      <c r="H439" s="6" t="n"/>
      <c r="I439" s="5" t="n"/>
      <c r="J439" s="5" t="n"/>
      <c r="K439" s="5" t="n"/>
      <c r="L439" s="5" t="n"/>
    </row>
    <row r="440">
      <c r="A440" s="5" t="n"/>
      <c r="B440" s="6" t="n"/>
      <c r="C440" s="5" t="n"/>
      <c r="D440" s="5" t="n"/>
      <c r="E440" s="5" t="n"/>
      <c r="F440" s="5" t="n"/>
      <c r="G440" s="5" t="n"/>
      <c r="H440" s="6" t="n"/>
      <c r="I440" s="5" t="n"/>
      <c r="J440" s="5" t="n"/>
      <c r="K440" s="5" t="n"/>
      <c r="L440" s="5" t="n"/>
    </row>
    <row r="441">
      <c r="A441" s="5" t="n"/>
      <c r="B441" s="6" t="n"/>
      <c r="C441" s="5" t="n"/>
      <c r="D441" s="5" t="n"/>
      <c r="E441" s="5" t="n"/>
      <c r="F441" s="5" t="n"/>
      <c r="G441" s="5" t="n"/>
      <c r="H441" s="6" t="n"/>
      <c r="I441" s="5" t="n"/>
      <c r="J441" s="5" t="n"/>
      <c r="K441" s="5" t="n"/>
      <c r="L441" s="5" t="n"/>
    </row>
    <row r="442">
      <c r="A442" s="5" t="n"/>
      <c r="B442" s="6" t="n"/>
      <c r="C442" s="5" t="n"/>
      <c r="D442" s="5" t="n"/>
      <c r="E442" s="5" t="n"/>
      <c r="F442" s="5" t="n"/>
      <c r="G442" s="5" t="n"/>
      <c r="H442" s="6" t="n"/>
      <c r="I442" s="5" t="n"/>
      <c r="J442" s="5" t="n"/>
      <c r="K442" s="5" t="n"/>
      <c r="L442" s="5" t="n"/>
    </row>
    <row r="443">
      <c r="A443" s="5" t="n"/>
      <c r="B443" s="6" t="n"/>
      <c r="C443" s="5" t="n"/>
      <c r="D443" s="5" t="n"/>
      <c r="E443" s="5" t="n"/>
      <c r="F443" s="5" t="n"/>
      <c r="G443" s="5" t="n"/>
      <c r="H443" s="6" t="n"/>
      <c r="I443" s="5" t="n"/>
      <c r="J443" s="5" t="n"/>
      <c r="K443" s="5" t="n"/>
      <c r="L443" s="5" t="n"/>
    </row>
    <row r="444">
      <c r="A444" s="5" t="n"/>
      <c r="B444" s="6" t="n"/>
      <c r="C444" s="5" t="n"/>
      <c r="D444" s="5" t="n"/>
      <c r="E444" s="5" t="n"/>
      <c r="F444" s="5" t="n"/>
      <c r="G444" s="5" t="n"/>
      <c r="H444" s="6" t="n"/>
      <c r="I444" s="5" t="n"/>
      <c r="J444" s="5" t="n"/>
      <c r="K444" s="5" t="n"/>
      <c r="L444" s="5" t="n"/>
    </row>
    <row r="445">
      <c r="A445" s="5" t="n"/>
      <c r="B445" s="6" t="n"/>
      <c r="C445" s="5" t="n"/>
      <c r="D445" s="5" t="n"/>
      <c r="E445" s="5" t="n"/>
      <c r="F445" s="5" t="n"/>
      <c r="G445" s="5" t="n"/>
      <c r="H445" s="6" t="n"/>
      <c r="I445" s="5" t="n"/>
      <c r="J445" s="5" t="n"/>
      <c r="K445" s="5" t="n"/>
      <c r="L445" s="5" t="n"/>
    </row>
    <row r="446">
      <c r="A446" s="5" t="n"/>
      <c r="B446" s="6" t="n"/>
      <c r="C446" s="5" t="n"/>
      <c r="D446" s="5" t="n"/>
      <c r="E446" s="5" t="n"/>
      <c r="F446" s="5" t="n"/>
      <c r="G446" s="5" t="n"/>
      <c r="H446" s="6" t="n"/>
      <c r="I446" s="5" t="n"/>
      <c r="J446" s="5" t="n"/>
      <c r="K446" s="5" t="n"/>
      <c r="L446" s="5" t="n"/>
    </row>
    <row r="447">
      <c r="A447" s="5" t="n"/>
      <c r="B447" s="6" t="n"/>
      <c r="C447" s="5" t="n"/>
      <c r="D447" s="5" t="n"/>
      <c r="E447" s="5" t="n"/>
      <c r="F447" s="5" t="n"/>
      <c r="G447" s="5" t="n"/>
      <c r="H447" s="6" t="n"/>
      <c r="I447" s="5" t="n"/>
      <c r="J447" s="5" t="n"/>
      <c r="K447" s="5" t="n"/>
      <c r="L447" s="5" t="n"/>
    </row>
    <row r="448">
      <c r="A448" s="5" t="n"/>
      <c r="B448" s="6" t="n"/>
      <c r="C448" s="5" t="n"/>
      <c r="D448" s="5" t="n"/>
      <c r="E448" s="5" t="n"/>
      <c r="F448" s="5" t="n"/>
      <c r="G448" s="5" t="n"/>
      <c r="H448" s="6" t="n"/>
      <c r="I448" s="5" t="n"/>
      <c r="J448" s="5" t="n"/>
      <c r="K448" s="5" t="n"/>
      <c r="L448" s="5" t="n"/>
    </row>
    <row r="449">
      <c r="A449" s="5" t="n"/>
      <c r="B449" s="6" t="n"/>
      <c r="C449" s="5" t="n"/>
      <c r="D449" s="5" t="n"/>
      <c r="E449" s="5" t="n"/>
      <c r="F449" s="5" t="n"/>
      <c r="G449" s="5" t="n"/>
      <c r="H449" s="6" t="n"/>
      <c r="I449" s="5" t="n"/>
      <c r="J449" s="5" t="n"/>
      <c r="K449" s="5" t="n"/>
      <c r="L449" s="5" t="n"/>
    </row>
    <row r="450">
      <c r="A450" s="5" t="n"/>
      <c r="B450" s="6" t="n"/>
      <c r="C450" s="5" t="n"/>
      <c r="D450" s="5" t="n"/>
      <c r="E450" s="5" t="n"/>
      <c r="F450" s="5" t="n"/>
      <c r="G450" s="5" t="n"/>
      <c r="H450" s="6" t="n"/>
      <c r="I450" s="5" t="n"/>
      <c r="J450" s="5" t="n"/>
      <c r="K450" s="5" t="n"/>
      <c r="L450" s="5" t="n"/>
    </row>
    <row r="451">
      <c r="A451" s="5" t="n"/>
      <c r="B451" s="6" t="n"/>
      <c r="C451" s="5" t="n"/>
      <c r="D451" s="5" t="n"/>
      <c r="E451" s="5" t="n"/>
      <c r="F451" s="5" t="n"/>
      <c r="G451" s="5" t="n"/>
      <c r="H451" s="6" t="n"/>
      <c r="I451" s="5" t="n"/>
      <c r="J451" s="5" t="n"/>
      <c r="K451" s="5" t="n"/>
      <c r="L451" s="5" t="n"/>
    </row>
    <row r="452">
      <c r="A452" s="5" t="n"/>
      <c r="B452" s="6" t="n"/>
      <c r="C452" s="5" t="n"/>
      <c r="D452" s="5" t="n"/>
      <c r="E452" s="5" t="n"/>
      <c r="F452" s="5" t="n"/>
      <c r="G452" s="5" t="n"/>
      <c r="H452" s="6" t="n"/>
      <c r="I452" s="5" t="n"/>
      <c r="J452" s="5" t="n"/>
      <c r="K452" s="5" t="n"/>
      <c r="L452" s="5" t="n"/>
    </row>
    <row r="453">
      <c r="A453" s="5" t="n"/>
      <c r="B453" s="6" t="n"/>
      <c r="C453" s="5" t="n"/>
      <c r="D453" s="5" t="n"/>
      <c r="E453" s="5" t="n"/>
      <c r="F453" s="5" t="n"/>
      <c r="G453" s="5" t="n"/>
      <c r="H453" s="6" t="n"/>
      <c r="I453" s="5" t="n"/>
      <c r="J453" s="5" t="n"/>
      <c r="K453" s="5" t="n"/>
      <c r="L453" s="5" t="n"/>
    </row>
    <row r="454">
      <c r="A454" s="5" t="n"/>
      <c r="B454" s="6" t="n"/>
      <c r="C454" s="5" t="n"/>
      <c r="D454" s="5" t="n"/>
      <c r="E454" s="5" t="n"/>
      <c r="F454" s="5" t="n"/>
      <c r="G454" s="5" t="n"/>
      <c r="H454" s="6" t="n"/>
      <c r="I454" s="5" t="n"/>
      <c r="J454" s="5" t="n"/>
      <c r="K454" s="5" t="n"/>
      <c r="L454" s="5" t="n"/>
    </row>
    <row r="455">
      <c r="A455" s="5" t="n"/>
      <c r="B455" s="6" t="n"/>
      <c r="C455" s="5" t="n"/>
      <c r="D455" s="5" t="n"/>
      <c r="E455" s="5" t="n"/>
      <c r="F455" s="5" t="n"/>
      <c r="G455" s="5" t="n"/>
      <c r="H455" s="6" t="n"/>
      <c r="I455" s="5" t="n"/>
      <c r="J455" s="5" t="n"/>
      <c r="K455" s="5" t="n"/>
      <c r="L455" s="5" t="n"/>
    </row>
    <row r="456">
      <c r="A456" s="5" t="n"/>
      <c r="B456" s="6" t="n"/>
      <c r="C456" s="5" t="n"/>
      <c r="D456" s="5" t="n"/>
      <c r="E456" s="5" t="n"/>
      <c r="F456" s="5" t="n"/>
      <c r="G456" s="5" t="n"/>
      <c r="H456" s="6" t="n"/>
      <c r="I456" s="5" t="n"/>
      <c r="J456" s="5" t="n"/>
      <c r="K456" s="5" t="n"/>
      <c r="L456" s="5" t="n"/>
    </row>
    <row r="457">
      <c r="A457" s="5" t="n"/>
      <c r="B457" s="6" t="n"/>
      <c r="C457" s="5" t="n"/>
      <c r="D457" s="5" t="n"/>
      <c r="E457" s="5" t="n"/>
      <c r="F457" s="5" t="n"/>
      <c r="G457" s="5" t="n"/>
      <c r="H457" s="6" t="n"/>
      <c r="I457" s="5" t="n"/>
      <c r="J457" s="5" t="n"/>
      <c r="K457" s="5" t="n"/>
      <c r="L457" s="5" t="n"/>
    </row>
    <row r="458">
      <c r="A458" s="5" t="n"/>
      <c r="B458" s="6" t="n"/>
      <c r="C458" s="5" t="n"/>
      <c r="D458" s="5" t="n"/>
      <c r="E458" s="5" t="n"/>
      <c r="F458" s="5" t="n"/>
      <c r="G458" s="5" t="n"/>
      <c r="H458" s="6" t="n"/>
      <c r="I458" s="5" t="n"/>
      <c r="J458" s="5" t="n"/>
      <c r="K458" s="5" t="n"/>
      <c r="L458" s="5" t="n"/>
    </row>
    <row r="459">
      <c r="A459" s="5" t="n"/>
      <c r="B459" s="6" t="n"/>
      <c r="C459" s="5" t="n"/>
      <c r="D459" s="5" t="n"/>
      <c r="E459" s="5" t="n"/>
      <c r="F459" s="5" t="n"/>
      <c r="G459" s="5" t="n"/>
      <c r="H459" s="6" t="n"/>
      <c r="I459" s="5" t="n"/>
      <c r="J459" s="5" t="n"/>
      <c r="K459" s="5" t="n"/>
      <c r="L459" s="5" t="n"/>
    </row>
    <row r="460">
      <c r="A460" s="5" t="n"/>
      <c r="B460" s="6" t="n"/>
      <c r="C460" s="5" t="n"/>
      <c r="D460" s="5" t="n"/>
      <c r="E460" s="5" t="n"/>
      <c r="F460" s="5" t="n"/>
      <c r="G460" s="5" t="n"/>
      <c r="H460" s="6" t="n"/>
      <c r="I460" s="5" t="n"/>
      <c r="J460" s="5" t="n"/>
      <c r="K460" s="5" t="n"/>
      <c r="L460" s="5" t="n"/>
    </row>
    <row r="461">
      <c r="A461" s="5" t="n"/>
      <c r="B461" s="6" t="n"/>
      <c r="C461" s="5" t="n"/>
      <c r="D461" s="5" t="n"/>
      <c r="E461" s="5" t="n"/>
      <c r="F461" s="5" t="n"/>
      <c r="G461" s="5" t="n"/>
      <c r="H461" s="6" t="n"/>
      <c r="I461" s="5" t="n"/>
      <c r="J461" s="5" t="n"/>
      <c r="K461" s="5" t="n"/>
      <c r="L461" s="5" t="n"/>
    </row>
    <row r="462">
      <c r="A462" s="5" t="n"/>
      <c r="B462" s="6" t="n"/>
      <c r="C462" s="5" t="n"/>
      <c r="D462" s="5" t="n"/>
      <c r="E462" s="5" t="n"/>
      <c r="F462" s="5" t="n"/>
      <c r="G462" s="5" t="n"/>
      <c r="H462" s="6" t="n"/>
      <c r="I462" s="5" t="n"/>
      <c r="J462" s="5" t="n"/>
      <c r="K462" s="5" t="n"/>
      <c r="L462" s="5" t="n"/>
    </row>
    <row r="463">
      <c r="A463" s="5" t="n"/>
      <c r="B463" s="6" t="n"/>
      <c r="C463" s="5" t="n"/>
      <c r="D463" s="5" t="n"/>
      <c r="E463" s="5" t="n"/>
      <c r="F463" s="5" t="n"/>
      <c r="G463" s="5" t="n"/>
      <c r="H463" s="6" t="n"/>
      <c r="I463" s="5" t="n"/>
      <c r="J463" s="5" t="n"/>
      <c r="K463" s="5" t="n"/>
      <c r="L463" s="5" t="n"/>
    </row>
    <row r="464">
      <c r="A464" s="5" t="n"/>
      <c r="B464" s="6" t="n"/>
      <c r="C464" s="5" t="n"/>
      <c r="D464" s="5" t="n"/>
      <c r="E464" s="5" t="n"/>
      <c r="F464" s="5" t="n"/>
      <c r="G464" s="5" t="n"/>
      <c r="H464" s="6" t="n"/>
      <c r="I464" s="5" t="n"/>
      <c r="J464" s="5" t="n"/>
      <c r="K464" s="5" t="n"/>
      <c r="L464" s="5" t="n"/>
    </row>
    <row r="465">
      <c r="A465" s="5" t="n"/>
      <c r="B465" s="6" t="n"/>
      <c r="C465" s="5" t="n"/>
      <c r="D465" s="5" t="n"/>
      <c r="E465" s="5" t="n"/>
      <c r="F465" s="5" t="n"/>
      <c r="G465" s="5" t="n"/>
      <c r="H465" s="6" t="n"/>
      <c r="I465" s="5" t="n"/>
      <c r="J465" s="5" t="n"/>
      <c r="K465" s="5" t="n"/>
      <c r="L465" s="5" t="n"/>
    </row>
    <row r="466">
      <c r="A466" s="5" t="n"/>
      <c r="B466" s="6" t="n"/>
      <c r="C466" s="5" t="n"/>
      <c r="D466" s="5" t="n"/>
      <c r="E466" s="5" t="n"/>
      <c r="F466" s="5" t="n"/>
      <c r="G466" s="5" t="n"/>
      <c r="H466" s="6" t="n"/>
      <c r="I466" s="5" t="n"/>
      <c r="J466" s="5" t="n"/>
      <c r="K466" s="5" t="n"/>
      <c r="L466" s="5" t="n"/>
    </row>
    <row r="467">
      <c r="A467" s="5" t="n"/>
      <c r="B467" s="6" t="n"/>
      <c r="C467" s="5" t="n"/>
      <c r="D467" s="5" t="n"/>
      <c r="E467" s="5" t="n"/>
      <c r="F467" s="5" t="n"/>
      <c r="G467" s="5" t="n"/>
      <c r="H467" s="6" t="n"/>
      <c r="I467" s="5" t="n"/>
      <c r="J467" s="5" t="n"/>
      <c r="K467" s="5" t="n"/>
      <c r="L467" s="5" t="n"/>
    </row>
    <row r="468">
      <c r="A468" s="5" t="n"/>
      <c r="B468" s="6" t="n"/>
      <c r="C468" s="5" t="n"/>
      <c r="D468" s="5" t="n"/>
      <c r="E468" s="5" t="n"/>
      <c r="F468" s="5" t="n"/>
      <c r="G468" s="5" t="n"/>
      <c r="H468" s="6" t="n"/>
      <c r="I468" s="5" t="n"/>
      <c r="J468" s="5" t="n"/>
      <c r="K468" s="5" t="n"/>
      <c r="L468" s="5" t="n"/>
    </row>
    <row r="469">
      <c r="A469" s="5" t="n"/>
      <c r="B469" s="6" t="n"/>
      <c r="C469" s="5" t="n"/>
      <c r="D469" s="5" t="n"/>
      <c r="E469" s="5" t="n"/>
      <c r="F469" s="5" t="n"/>
      <c r="G469" s="5" t="n"/>
      <c r="H469" s="6" t="n"/>
      <c r="I469" s="5" t="n"/>
      <c r="J469" s="5" t="n"/>
      <c r="K469" s="5" t="n"/>
      <c r="L469" s="5" t="n"/>
    </row>
    <row r="470">
      <c r="A470" s="5" t="n"/>
      <c r="B470" s="6" t="n"/>
      <c r="C470" s="5" t="n"/>
      <c r="D470" s="5" t="n"/>
      <c r="E470" s="5" t="n"/>
      <c r="F470" s="5" t="n"/>
      <c r="G470" s="5" t="n"/>
      <c r="H470" s="6" t="n"/>
      <c r="I470" s="5" t="n"/>
      <c r="J470" s="5" t="n"/>
      <c r="K470" s="5" t="n"/>
      <c r="L470" s="5" t="n"/>
    </row>
    <row r="471">
      <c r="A471" s="5" t="n"/>
      <c r="B471" s="6" t="n"/>
      <c r="C471" s="5" t="n"/>
      <c r="D471" s="5" t="n"/>
      <c r="E471" s="5" t="n"/>
      <c r="F471" s="5" t="n"/>
      <c r="G471" s="5" t="n"/>
      <c r="H471" s="6" t="n"/>
      <c r="I471" s="5" t="n"/>
      <c r="J471" s="5" t="n"/>
      <c r="K471" s="5" t="n"/>
      <c r="L471" s="5" t="n"/>
    </row>
    <row r="472">
      <c r="A472" s="5" t="n"/>
      <c r="B472" s="6" t="n"/>
      <c r="C472" s="5" t="n"/>
      <c r="D472" s="5" t="n"/>
      <c r="E472" s="5" t="n"/>
      <c r="F472" s="5" t="n"/>
      <c r="G472" s="5" t="n"/>
      <c r="H472" s="6" t="n"/>
      <c r="I472" s="5" t="n"/>
      <c r="J472" s="5" t="n"/>
      <c r="K472" s="5" t="n"/>
      <c r="L472" s="5" t="n"/>
    </row>
    <row r="473">
      <c r="A473" s="5" t="n"/>
      <c r="B473" s="6" t="n"/>
      <c r="C473" s="5" t="n"/>
      <c r="D473" s="5" t="n"/>
      <c r="E473" s="5" t="n"/>
      <c r="F473" s="5" t="n"/>
      <c r="G473" s="5" t="n"/>
      <c r="H473" s="6" t="n"/>
      <c r="I473" s="5" t="n"/>
      <c r="J473" s="5" t="n"/>
      <c r="K473" s="5" t="n"/>
      <c r="L473" s="5" t="n"/>
    </row>
    <row r="474">
      <c r="A474" s="5" t="n"/>
      <c r="B474" s="6" t="n"/>
      <c r="C474" s="5" t="n"/>
      <c r="D474" s="5" t="n"/>
      <c r="E474" s="5" t="n"/>
      <c r="F474" s="5" t="n"/>
      <c r="G474" s="5" t="n"/>
      <c r="H474" s="6" t="n"/>
      <c r="I474" s="5" t="n"/>
      <c r="J474" s="5" t="n"/>
      <c r="K474" s="5" t="n"/>
      <c r="L474" s="5" t="n"/>
    </row>
    <row r="475">
      <c r="A475" s="5" t="n"/>
      <c r="B475" s="6" t="n"/>
      <c r="C475" s="5" t="n"/>
      <c r="D475" s="5" t="n"/>
      <c r="E475" s="5" t="n"/>
      <c r="F475" s="5" t="n"/>
      <c r="G475" s="5" t="n"/>
      <c r="H475" s="6" t="n"/>
      <c r="I475" s="5" t="n"/>
      <c r="J475" s="5" t="n"/>
      <c r="K475" s="5" t="n"/>
      <c r="L475" s="5" t="n"/>
    </row>
    <row r="476">
      <c r="A476" s="5" t="n"/>
      <c r="B476" s="6" t="n"/>
      <c r="C476" s="5" t="n"/>
      <c r="D476" s="5" t="n"/>
      <c r="E476" s="5" t="n"/>
      <c r="F476" s="5" t="n"/>
      <c r="G476" s="5" t="n"/>
      <c r="H476" s="6" t="n"/>
      <c r="I476" s="5" t="n"/>
      <c r="J476" s="5" t="n"/>
      <c r="K476" s="5" t="n"/>
      <c r="L476" s="5" t="n"/>
    </row>
    <row r="477">
      <c r="A477" s="5" t="n"/>
      <c r="B477" s="6" t="n"/>
      <c r="C477" s="5" t="n"/>
      <c r="D477" s="5" t="n"/>
      <c r="E477" s="5" t="n"/>
      <c r="F477" s="5" t="n"/>
      <c r="G477" s="5" t="n"/>
      <c r="H477" s="6" t="n"/>
      <c r="I477" s="5" t="n"/>
      <c r="J477" s="5" t="n"/>
      <c r="K477" s="5" t="n"/>
      <c r="L477" s="5" t="n"/>
    </row>
    <row r="478">
      <c r="A478" s="5" t="n"/>
      <c r="B478" s="6" t="n"/>
      <c r="C478" s="5" t="n"/>
      <c r="D478" s="5" t="n"/>
      <c r="E478" s="5" t="n"/>
      <c r="F478" s="5" t="n"/>
      <c r="G478" s="5" t="n"/>
      <c r="H478" s="6" t="n"/>
      <c r="I478" s="5" t="n"/>
      <c r="J478" s="5" t="n"/>
      <c r="K478" s="5" t="n"/>
      <c r="L478" s="5" t="n"/>
    </row>
    <row r="479">
      <c r="A479" s="5" t="n"/>
      <c r="B479" s="6" t="n"/>
      <c r="C479" s="5" t="n"/>
      <c r="D479" s="5" t="n"/>
      <c r="E479" s="5" t="n"/>
      <c r="F479" s="5" t="n"/>
      <c r="G479" s="5" t="n"/>
      <c r="H479" s="6" t="n"/>
      <c r="I479" s="5" t="n"/>
      <c r="J479" s="5" t="n"/>
      <c r="K479" s="5" t="n"/>
      <c r="L479" s="5" t="n"/>
    </row>
    <row r="480">
      <c r="A480" s="5" t="n"/>
      <c r="B480" s="6" t="n"/>
      <c r="C480" s="5" t="n"/>
      <c r="D480" s="5" t="n"/>
      <c r="E480" s="5" t="n"/>
      <c r="F480" s="5" t="n"/>
      <c r="G480" s="5" t="n"/>
      <c r="H480" s="6" t="n"/>
      <c r="I480" s="5" t="n"/>
      <c r="J480" s="5" t="n"/>
      <c r="K480" s="5" t="n"/>
      <c r="L480" s="5" t="n"/>
    </row>
    <row r="481">
      <c r="A481" s="5" t="n"/>
      <c r="B481" s="6" t="n"/>
      <c r="C481" s="5" t="n"/>
      <c r="D481" s="5" t="n"/>
      <c r="E481" s="5" t="n"/>
      <c r="F481" s="5" t="n"/>
      <c r="G481" s="5" t="n"/>
      <c r="H481" s="6" t="n"/>
      <c r="I481" s="5" t="n"/>
      <c r="J481" s="5" t="n"/>
      <c r="K481" s="5" t="n"/>
      <c r="L481" s="5" t="n"/>
    </row>
    <row r="482">
      <c r="A482" s="5" t="n"/>
      <c r="B482" s="6" t="n"/>
      <c r="C482" s="5" t="n"/>
      <c r="D482" s="5" t="n"/>
      <c r="E482" s="5" t="n"/>
      <c r="F482" s="5" t="n"/>
      <c r="G482" s="5" t="n"/>
      <c r="H482" s="6" t="n"/>
      <c r="I482" s="5" t="n"/>
      <c r="J482" s="5" t="n"/>
      <c r="K482" s="5" t="n"/>
      <c r="L482" s="5" t="n"/>
    </row>
    <row r="483">
      <c r="A483" s="5" t="n"/>
      <c r="B483" s="6" t="n"/>
      <c r="C483" s="5" t="n"/>
      <c r="D483" s="5" t="n"/>
      <c r="E483" s="5" t="n"/>
      <c r="F483" s="5" t="n"/>
      <c r="G483" s="5" t="n"/>
      <c r="H483" s="6" t="n"/>
      <c r="I483" s="5" t="n"/>
      <c r="J483" s="5" t="n"/>
      <c r="K483" s="5" t="n"/>
      <c r="L483" s="5" t="n"/>
    </row>
    <row r="484">
      <c r="A484" s="5" t="n"/>
      <c r="B484" s="6" t="n"/>
      <c r="C484" s="5" t="n"/>
      <c r="D484" s="5" t="n"/>
      <c r="E484" s="5" t="n"/>
      <c r="F484" s="5" t="n"/>
      <c r="G484" s="5" t="n"/>
      <c r="H484" s="6" t="n"/>
      <c r="I484" s="5" t="n"/>
      <c r="J484" s="5" t="n"/>
      <c r="K484" s="5" t="n"/>
      <c r="L484" s="5" t="n"/>
    </row>
    <row r="485">
      <c r="A485" s="5" t="n"/>
      <c r="B485" s="6" t="n"/>
      <c r="C485" s="5" t="n"/>
      <c r="D485" s="5" t="n"/>
      <c r="E485" s="5" t="n"/>
      <c r="F485" s="5" t="n"/>
      <c r="G485" s="5" t="n"/>
      <c r="H485" s="6" t="n"/>
      <c r="I485" s="5" t="n"/>
      <c r="J485" s="5" t="n"/>
      <c r="K485" s="5" t="n"/>
      <c r="L485" s="5" t="n"/>
    </row>
    <row r="486">
      <c r="A486" s="5" t="n"/>
      <c r="B486" s="6" t="n"/>
      <c r="C486" s="5" t="n"/>
      <c r="D486" s="5" t="n"/>
      <c r="E486" s="5" t="n"/>
      <c r="F486" s="5" t="n"/>
      <c r="G486" s="5" t="n"/>
      <c r="H486" s="6" t="n"/>
      <c r="I486" s="5" t="n"/>
      <c r="J486" s="5" t="n"/>
      <c r="K486" s="5" t="n"/>
      <c r="L486" s="5" t="n"/>
    </row>
    <row r="487">
      <c r="A487" s="5" t="n"/>
      <c r="B487" s="6" t="n"/>
      <c r="C487" s="5" t="n"/>
      <c r="D487" s="5" t="n"/>
      <c r="E487" s="5" t="n"/>
      <c r="F487" s="5" t="n"/>
      <c r="G487" s="5" t="n"/>
      <c r="H487" s="6" t="n"/>
      <c r="I487" s="5" t="n"/>
      <c r="J487" s="5" t="n"/>
      <c r="K487" s="5" t="n"/>
      <c r="L487" s="5" t="n"/>
    </row>
    <row r="488">
      <c r="A488" s="5" t="n"/>
      <c r="B488" s="6" t="n"/>
      <c r="C488" s="5" t="n"/>
      <c r="D488" s="5" t="n"/>
      <c r="E488" s="5" t="n"/>
      <c r="F488" s="5" t="n"/>
      <c r="G488" s="5" t="n"/>
      <c r="H488" s="6" t="n"/>
      <c r="I488" s="5" t="n"/>
      <c r="J488" s="5" t="n"/>
      <c r="K488" s="5" t="n"/>
      <c r="L488" s="5" t="n"/>
    </row>
    <row r="489">
      <c r="A489" s="5" t="n"/>
      <c r="B489" s="6" t="n"/>
      <c r="C489" s="5" t="n"/>
      <c r="D489" s="5" t="n"/>
      <c r="E489" s="5" t="n"/>
      <c r="F489" s="5" t="n"/>
      <c r="G489" s="5" t="n"/>
      <c r="H489" s="6" t="n"/>
      <c r="I489" s="5" t="n"/>
      <c r="J489" s="5" t="n"/>
      <c r="K489" s="5" t="n"/>
      <c r="L489" s="5" t="n"/>
    </row>
    <row r="490">
      <c r="A490" s="5" t="n"/>
      <c r="B490" s="6" t="n"/>
      <c r="C490" s="5" t="n"/>
      <c r="D490" s="5" t="n"/>
      <c r="E490" s="5" t="n"/>
      <c r="F490" s="5" t="n"/>
      <c r="G490" s="5" t="n"/>
      <c r="H490" s="6" t="n"/>
      <c r="I490" s="5" t="n"/>
      <c r="J490" s="5" t="n"/>
      <c r="K490" s="5" t="n"/>
      <c r="L490" s="5" t="n"/>
    </row>
    <row r="491">
      <c r="A491" s="5" t="n"/>
      <c r="B491" s="6" t="n"/>
      <c r="C491" s="5" t="n"/>
      <c r="D491" s="5" t="n"/>
      <c r="E491" s="5" t="n"/>
      <c r="F491" s="5" t="n"/>
      <c r="G491" s="5" t="n"/>
      <c r="H491" s="6" t="n"/>
      <c r="I491" s="5" t="n"/>
      <c r="J491" s="5" t="n"/>
      <c r="K491" s="5" t="n"/>
      <c r="L491" s="5" t="n"/>
    </row>
    <row r="492">
      <c r="A492" s="5" t="n"/>
      <c r="B492" s="6" t="n"/>
      <c r="C492" s="5" t="n"/>
      <c r="D492" s="5" t="n"/>
      <c r="E492" s="5" t="n"/>
      <c r="F492" s="5" t="n"/>
      <c r="G492" s="5" t="n"/>
      <c r="H492" s="6" t="n"/>
      <c r="I492" s="5" t="n"/>
      <c r="J492" s="5" t="n"/>
      <c r="K492" s="5" t="n"/>
      <c r="L492" s="5" t="n"/>
    </row>
    <row r="493">
      <c r="A493" s="5" t="n"/>
      <c r="B493" s="6" t="n"/>
      <c r="C493" s="5" t="n"/>
      <c r="D493" s="5" t="n"/>
      <c r="E493" s="5" t="n"/>
      <c r="F493" s="5" t="n"/>
      <c r="G493" s="5" t="n"/>
      <c r="H493" s="6" t="n"/>
      <c r="I493" s="5" t="n"/>
      <c r="J493" s="5" t="n"/>
      <c r="K493" s="5" t="n"/>
      <c r="L493" s="5" t="n"/>
    </row>
    <row r="494">
      <c r="A494" s="5" t="n"/>
      <c r="B494" s="6" t="n"/>
      <c r="C494" s="5" t="n"/>
      <c r="D494" s="5" t="n"/>
      <c r="E494" s="5" t="n"/>
      <c r="F494" s="5" t="n"/>
      <c r="G494" s="5" t="n"/>
      <c r="H494" s="6" t="n"/>
      <c r="I494" s="5" t="n"/>
      <c r="J494" s="5" t="n"/>
      <c r="K494" s="5" t="n"/>
      <c r="L494" s="5" t="n"/>
    </row>
    <row r="495">
      <c r="A495" s="5" t="n"/>
      <c r="B495" s="6" t="n"/>
      <c r="C495" s="5" t="n"/>
      <c r="D495" s="5" t="n"/>
      <c r="E495" s="5" t="n"/>
      <c r="F495" s="5" t="n"/>
      <c r="G495" s="5" t="n"/>
      <c r="H495" s="6" t="n"/>
      <c r="I495" s="5" t="n"/>
      <c r="J495" s="5" t="n"/>
      <c r="K495" s="5" t="n"/>
      <c r="L495" s="5" t="n"/>
    </row>
    <row r="496">
      <c r="A496" s="5" t="n"/>
      <c r="B496" s="6" t="n"/>
      <c r="C496" s="5" t="n"/>
      <c r="D496" s="5" t="n"/>
      <c r="E496" s="5" t="n"/>
      <c r="F496" s="5" t="n"/>
      <c r="G496" s="5" t="n"/>
      <c r="H496" s="6" t="n"/>
      <c r="I496" s="5" t="n"/>
      <c r="J496" s="5" t="n"/>
      <c r="K496" s="5" t="n"/>
      <c r="L496" s="5" t="n"/>
    </row>
    <row r="497">
      <c r="A497" s="5" t="n"/>
      <c r="B497" s="6" t="n"/>
      <c r="C497" s="5" t="n"/>
      <c r="D497" s="5" t="n"/>
      <c r="E497" s="5" t="n"/>
      <c r="F497" s="5" t="n"/>
      <c r="G497" s="5" t="n"/>
      <c r="H497" s="6" t="n"/>
      <c r="I497" s="5" t="n"/>
      <c r="J497" s="5" t="n"/>
      <c r="K497" s="5" t="n"/>
      <c r="L497" s="5" t="n"/>
    </row>
    <row r="498">
      <c r="A498" s="5" t="n"/>
      <c r="B498" s="6" t="n"/>
      <c r="C498" s="5" t="n"/>
      <c r="D498" s="5" t="n"/>
      <c r="E498" s="5" t="n"/>
      <c r="F498" s="5" t="n"/>
      <c r="G498" s="5" t="n"/>
      <c r="H498" s="6" t="n"/>
      <c r="I498" s="5" t="n"/>
      <c r="J498" s="5" t="n"/>
      <c r="K498" s="5" t="n"/>
      <c r="L498" s="5" t="n"/>
    </row>
    <row r="499">
      <c r="A499" s="5" t="n"/>
      <c r="B499" s="6" t="n"/>
      <c r="C499" s="5" t="n"/>
      <c r="D499" s="5" t="n"/>
      <c r="E499" s="5" t="n"/>
      <c r="F499" s="5" t="n"/>
      <c r="G499" s="5" t="n"/>
      <c r="H499" s="6" t="n"/>
      <c r="I499" s="5" t="n"/>
      <c r="J499" s="5" t="n"/>
      <c r="K499" s="5" t="n"/>
      <c r="L499" s="5" t="n"/>
    </row>
    <row r="500">
      <c r="A500" s="5" t="n"/>
      <c r="B500" s="6" t="n"/>
      <c r="C500" s="5" t="n"/>
      <c r="D500" s="5" t="n"/>
      <c r="E500" s="5" t="n"/>
      <c r="F500" s="5" t="n"/>
      <c r="G500" s="5" t="n"/>
      <c r="H500" s="6" t="n"/>
      <c r="I500" s="5" t="n"/>
      <c r="J500" s="5" t="n"/>
      <c r="K500" s="5" t="n"/>
      <c r="L500" s="5" t="n"/>
    </row>
    <row r="501">
      <c r="A501" s="5" t="n"/>
      <c r="B501" s="6" t="n"/>
      <c r="C501" s="5" t="n"/>
      <c r="D501" s="5" t="n"/>
      <c r="E501" s="5" t="n"/>
      <c r="F501" s="5" t="n"/>
      <c r="G501" s="5" t="n"/>
      <c r="H501" s="6" t="n"/>
      <c r="I501" s="5" t="n"/>
      <c r="J501" s="5" t="n"/>
      <c r="K501" s="5" t="n"/>
      <c r="L501" s="5" t="n"/>
    </row>
  </sheetData>
  <autoFilter ref="A1:L5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2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0" customWidth="1" min="3" max="3"/>
    <col width="6" customWidth="1" min="4" max="4"/>
    <col width="12" customWidth="1" min="5" max="5"/>
    <col width="14" customWidth="1" min="6" max="6"/>
    <col width="11" customWidth="1" min="7" max="7"/>
    <col width="10" customWidth="1" min="8" max="8"/>
    <col width="12" customWidth="1" min="9" max="9"/>
    <col width="14" customWidth="1" min="10" max="10"/>
    <col width="13" customWidth="1" min="11" max="11"/>
    <col width="9" customWidth="1" min="12" max="12"/>
    <col width="14" customWidth="1" min="13" max="13"/>
    <col width="15" customWidth="1" min="14" max="14"/>
    <col width="14" customWidth="1" min="15" max="15"/>
    <col width="12" customWidth="1" min="16" max="16"/>
    <col width="12" customWidth="1" min="17" max="17"/>
    <col width="12" customWidth="1" min="18" max="18"/>
    <col width="10" customWidth="1" min="19" max="19"/>
    <col width="11" customWidth="1" min="20" max="20"/>
    <col width="11" customWidth="1" min="21" max="21"/>
    <col width="22" customWidth="1" min="22" max="22"/>
    <col width="10" customWidth="1" min="23" max="23"/>
  </cols>
  <sheetData>
    <row r="1" ht="26" customHeight="1">
      <c r="A1" s="4" t="inlineStr">
        <is>
          <t>번호</t>
        </is>
      </c>
      <c r="B1" s="4" t="inlineStr">
        <is>
          <t>사번</t>
        </is>
      </c>
      <c r="C1" s="7" t="inlineStr">
        <is>
          <t>이름</t>
        </is>
      </c>
      <c r="D1" s="7" t="inlineStr">
        <is>
          <t>성별</t>
        </is>
      </c>
      <c r="E1" s="7" t="inlineStr">
        <is>
          <t>생년월일</t>
        </is>
      </c>
      <c r="F1" s="7" t="inlineStr">
        <is>
          <t>수련과목</t>
        </is>
      </c>
      <c r="G1" s="7" t="inlineStr">
        <is>
          <t>연차</t>
        </is>
      </c>
      <c r="H1" s="7" t="inlineStr">
        <is>
          <t>근무지</t>
        </is>
      </c>
      <c r="I1" s="7" t="inlineStr">
        <is>
          <t>수련개시일</t>
        </is>
      </c>
      <c r="J1" s="7" t="inlineStr">
        <is>
          <t>전공의등록번호</t>
        </is>
      </c>
      <c r="K1" s="7" t="inlineStr">
        <is>
          <t>의사면허번호</t>
        </is>
      </c>
      <c r="L1" s="7" t="inlineStr">
        <is>
          <t>재직여부</t>
        </is>
      </c>
      <c r="M1" s="4" t="inlineStr">
        <is>
          <t>현재 근무병원</t>
        </is>
      </c>
      <c r="N1" s="4" t="inlineStr">
        <is>
          <t>현재 진료과</t>
        </is>
      </c>
      <c r="O1" s="4" t="inlineStr">
        <is>
          <t>급여지급병원</t>
        </is>
      </c>
      <c r="P1" s="4" t="inlineStr">
        <is>
          <t>파견종류</t>
        </is>
      </c>
      <c r="Q1" s="4" t="inlineStr">
        <is>
          <t>파견시작일</t>
        </is>
      </c>
      <c r="R1" s="4" t="inlineStr">
        <is>
          <t>파견종료일</t>
        </is>
      </c>
      <c r="S1" s="4" t="inlineStr">
        <is>
          <t>파견상태</t>
        </is>
      </c>
      <c r="T1" s="4" t="inlineStr">
        <is>
          <t>파견기간(일)</t>
        </is>
      </c>
      <c r="U1" s="4" t="inlineStr">
        <is>
          <t>종료까지(일)</t>
        </is>
      </c>
      <c r="V1" s="4" t="inlineStr">
        <is>
          <t>비고</t>
        </is>
      </c>
      <c r="W1" s="4" t="inlineStr">
        <is>
          <t>기본자료행</t>
        </is>
      </c>
    </row>
    <row r="2">
      <c r="A2" s="8">
        <f>IF(B2="","",ROW()-1)</f>
        <v/>
      </c>
      <c r="B2" s="9" t="inlineStr">
        <is>
          <t>2261212</t>
        </is>
      </c>
      <c r="C2" s="8">
        <f>IF($W2="","",IF(INDEX(기본자료!$C$2:$C$501,$W2)="","",INDEX(기본자료!$C$2:$C$501,$W2)))</f>
        <v/>
      </c>
      <c r="D2" s="8">
        <f>IF($W2="","",IF(INDEX(기본자료!$J$2:$J$501,$W2)="","",INDEX(기본자료!$J$2:$J$501,$W2)))</f>
        <v/>
      </c>
      <c r="E2" s="10">
        <f>IF($W2="","",IF(INDEX(기본자료!$K$2:$K$501,$W2)="","",IF(NOT(ISNUMBER(INDEX(기본자료!$K$2:$K$501,$W2))),INDEX(기본자료!$K$2:$K$501,$W2),IF(INDEX(기본자료!$K$2:$K$501,$W2)&lt;1000000,INDEX(기본자료!$K$2:$K$501,$W2),IF(AND(INDEX(기본자료!$K$2:$K$501,$W2)&gt;=10000101,INT(MOD(INDEX(기본자료!$K$2:$K$501,$W2),10000)/100)&gt;=1,INT(MOD(INDEX(기본자료!$K$2:$K$501,$W2),10000)/100)&lt;=12,MOD(INDEX(기본자료!$K$2:$K$501,$W2),100)&gt;=1,MOD(INDEX(기본자료!$K$2:$K$501,$W2),100)&lt;=31),DATE(INT(INDEX(기본자료!$K$2:$K$501,$W2)/10000),INT(MOD(INDEX(기본자료!$K$2:$K$501,$W2),10000)/100),MOD(INDEX(기본자료!$K$2:$K$501,$W2),100)),INDEX(기본자료!$K$2:$K$501,$W2)&amp;"")))))</f>
        <v/>
      </c>
      <c r="F2" s="8">
        <f>IF($W2="","",IF(INDEX(기본자료!$D$2:$D$501,$W2)="","",INDEX(기본자료!$D$2:$D$501,$W2)))</f>
        <v/>
      </c>
      <c r="G2" s="8">
        <f>IF($W2="","",IF(INDEX(기본자료!$E$2:$E$501,$W2)="","",INDEX(기본자료!$E$2:$E$501,$W2)))</f>
        <v/>
      </c>
      <c r="H2" s="8">
        <f>IF($W2="","",IF(INDEX(기본자료!$F$2:$F$501,$W2)="","",INDEX(기본자료!$F$2:$F$501,$W2)))</f>
        <v/>
      </c>
      <c r="I2" s="10">
        <f>IF($W2="","",IF(INDEX(기본자료!$G$2:$G$501,$W2)="","",IF(NOT(ISNUMBER(INDEX(기본자료!$G$2:$G$501,$W2))),INDEX(기본자료!$G$2:$G$501,$W2),IF(INDEX(기본자료!$G$2:$G$501,$W2)&lt;1000000,INDEX(기본자료!$G$2:$G$501,$W2),IF(AND(INDEX(기본자료!$G$2:$G$501,$W2)&gt;=10000101,INT(MOD(INDEX(기본자료!$G$2:$G$501,$W2),10000)/100)&gt;=1,INT(MOD(INDEX(기본자료!$G$2:$G$501,$W2),10000)/100)&lt;=12,MOD(INDEX(기본자료!$G$2:$G$501,$W2),100)&gt;=1,MOD(INDEX(기본자료!$G$2:$G$501,$W2),100)&lt;=31),DATE(INT(INDEX(기본자료!$G$2:$G$501,$W2)/10000),INT(MOD(INDEX(기본자료!$G$2:$G$501,$W2),10000)/100),MOD(INDEX(기본자료!$G$2:$G$501,$W2),100)),INDEX(기본자료!$G$2:$G$501,$W2)&amp;"")))))</f>
        <v/>
      </c>
      <c r="J2" s="8">
        <f>IF($W2="","",IF(INDEX(기본자료!$H$2:$H$501,$W2)="","",INDEX(기본자료!$H$2:$H$501,$W2)))</f>
        <v/>
      </c>
      <c r="K2" s="8">
        <f>IF($W2="","",IF(INDEX(기본자료!$I$2:$I$501,$W2)="","",INDEX(기본자료!$I$2:$I$501,$W2)))</f>
        <v/>
      </c>
      <c r="L2" s="8">
        <f>IF($W2="","",IF(INDEX(기본자료!$A$2:$A$501,$W2)="","",INDEX(기본자료!$A$2:$A$501,$W2)))</f>
        <v/>
      </c>
      <c r="M2" s="5" t="inlineStr">
        <is>
          <t>서울</t>
        </is>
      </c>
      <c r="N2" s="5" t="inlineStr">
        <is>
          <t>가정의학과</t>
        </is>
      </c>
      <c r="O2" s="5" t="inlineStr">
        <is>
          <t>서울</t>
        </is>
      </c>
      <c r="P2" s="5" t="inlineStr">
        <is>
          <t>수련 파견</t>
        </is>
      </c>
      <c r="Q2" s="11" t="n">
        <v>46266</v>
      </c>
      <c r="R2" s="11" t="n">
        <v>46326</v>
      </c>
      <c r="S2" s="8">
        <f>IF(OR(B2="",Q2=""),"",IF(TODAY()&lt;Q2,"파견예정",IF(AND(R2&lt;&gt;"",TODAY()&gt;R2),"파견종료","파견중")))</f>
        <v/>
      </c>
      <c r="T2" s="12">
        <f>IF(OR(Q2="",R2=""),"",R2-Q2+1)</f>
        <v/>
      </c>
      <c r="U2" s="12">
        <f>IF(AND(S2="파견중",R2&lt;&gt;""),R2-TODAY(),"")</f>
        <v/>
      </c>
      <c r="V2" s="5" t="inlineStr">
        <is>
          <t>예시 데이터</t>
        </is>
      </c>
      <c r="W2" s="8">
        <f>IF(B2="","",IFERROR(MATCH(B2,기본자료!$B$2:$B$501,0),IFERROR(MATCH(B2&amp;"",기본자료!$B$2:$B$501,0),IFERROR(MATCH(VALUE(B2),기본자료!$B$2:$B$501,0),""))))</f>
        <v/>
      </c>
    </row>
    <row r="3">
      <c r="A3" s="8">
        <f>IF(B3="","",ROW()-1)</f>
        <v/>
      </c>
      <c r="B3" s="9" t="inlineStr">
        <is>
          <t>2261213</t>
        </is>
      </c>
      <c r="C3" s="8">
        <f>IF($W3="","",IF(INDEX(기본자료!$C$2:$C$501,$W3)="","",INDEX(기본자료!$C$2:$C$501,$W3)))</f>
        <v/>
      </c>
      <c r="D3" s="8">
        <f>IF($W3="","",IF(INDEX(기본자료!$J$2:$J$501,$W3)="","",INDEX(기본자료!$J$2:$J$501,$W3)))</f>
        <v/>
      </c>
      <c r="E3" s="10">
        <f>IF($W3="","",IF(INDEX(기본자료!$K$2:$K$501,$W3)="","",IF(NOT(ISNUMBER(INDEX(기본자료!$K$2:$K$501,$W3))),INDEX(기본자료!$K$2:$K$501,$W3),IF(INDEX(기본자료!$K$2:$K$501,$W3)&lt;1000000,INDEX(기본자료!$K$2:$K$501,$W3),IF(AND(INDEX(기본자료!$K$2:$K$501,$W3)&gt;=10000101,INT(MOD(INDEX(기본자료!$K$2:$K$501,$W3),10000)/100)&gt;=1,INT(MOD(INDEX(기본자료!$K$2:$K$501,$W3),10000)/100)&lt;=12,MOD(INDEX(기본자료!$K$2:$K$501,$W3),100)&gt;=1,MOD(INDEX(기본자료!$K$2:$K$501,$W3),100)&lt;=31),DATE(INT(INDEX(기본자료!$K$2:$K$501,$W3)/10000),INT(MOD(INDEX(기본자료!$K$2:$K$501,$W3),10000)/100),MOD(INDEX(기본자료!$K$2:$K$501,$W3),100)),INDEX(기본자료!$K$2:$K$501,$W3)&amp;"")))))</f>
        <v/>
      </c>
      <c r="F3" s="8">
        <f>IF($W3="","",IF(INDEX(기본자료!$D$2:$D$501,$W3)="","",INDEX(기본자료!$D$2:$D$501,$W3)))</f>
        <v/>
      </c>
      <c r="G3" s="8">
        <f>IF($W3="","",IF(INDEX(기본자료!$E$2:$E$501,$W3)="","",INDEX(기본자료!$E$2:$E$501,$W3)))</f>
        <v/>
      </c>
      <c r="H3" s="8">
        <f>IF($W3="","",IF(INDEX(기본자료!$F$2:$F$501,$W3)="","",INDEX(기본자료!$F$2:$F$501,$W3)))</f>
        <v/>
      </c>
      <c r="I3" s="10">
        <f>IF($W3="","",IF(INDEX(기본자료!$G$2:$G$501,$W3)="","",IF(NOT(ISNUMBER(INDEX(기본자료!$G$2:$G$501,$W3))),INDEX(기본자료!$G$2:$G$501,$W3),IF(INDEX(기본자료!$G$2:$G$501,$W3)&lt;1000000,INDEX(기본자료!$G$2:$G$501,$W3),IF(AND(INDEX(기본자료!$G$2:$G$501,$W3)&gt;=10000101,INT(MOD(INDEX(기본자료!$G$2:$G$501,$W3),10000)/100)&gt;=1,INT(MOD(INDEX(기본자료!$G$2:$G$501,$W3),10000)/100)&lt;=12,MOD(INDEX(기본자료!$G$2:$G$501,$W3),100)&gt;=1,MOD(INDEX(기본자료!$G$2:$G$501,$W3),100)&lt;=31),DATE(INT(INDEX(기본자료!$G$2:$G$501,$W3)/10000),INT(MOD(INDEX(기본자료!$G$2:$G$501,$W3),10000)/100),MOD(INDEX(기본자료!$G$2:$G$501,$W3),100)),INDEX(기본자료!$G$2:$G$501,$W3)&amp;"")))))</f>
        <v/>
      </c>
      <c r="J3" s="8">
        <f>IF($W3="","",IF(INDEX(기본자료!$H$2:$H$501,$W3)="","",INDEX(기본자료!$H$2:$H$501,$W3)))</f>
        <v/>
      </c>
      <c r="K3" s="8">
        <f>IF($W3="","",IF(INDEX(기본자료!$I$2:$I$501,$W3)="","",INDEX(기본자료!$I$2:$I$501,$W3)))</f>
        <v/>
      </c>
      <c r="L3" s="8">
        <f>IF($W3="","",IF(INDEX(기본자료!$A$2:$A$501,$W3)="","",INDEX(기본자료!$A$2:$A$501,$W3)))</f>
        <v/>
      </c>
      <c r="M3" s="5" t="inlineStr">
        <is>
          <t>구리</t>
        </is>
      </c>
      <c r="N3" s="5" t="inlineStr">
        <is>
          <t>내과</t>
        </is>
      </c>
      <c r="O3" s="5" t="inlineStr">
        <is>
          <t>서울</t>
        </is>
      </c>
      <c r="P3" s="5" t="inlineStr">
        <is>
          <t>지원 파견</t>
        </is>
      </c>
      <c r="Q3" s="11" t="n">
        <v>46174</v>
      </c>
      <c r="R3" s="11" t="n">
        <v>46387</v>
      </c>
      <c r="S3" s="8">
        <f>IF(OR(B3="",Q3=""),"",IF(TODAY()&lt;Q3,"파견예정",IF(AND(R3&lt;&gt;"",TODAY()&gt;R3),"파견종료","파견중")))</f>
        <v/>
      </c>
      <c r="T3" s="12">
        <f>IF(OR(Q3="",R3=""),"",R3-Q3+1)</f>
        <v/>
      </c>
      <c r="U3" s="12">
        <f>IF(AND(S3="파견중",R3&lt;&gt;""),R3-TODAY(),"")</f>
        <v/>
      </c>
      <c r="V3" s="5" t="inlineStr">
        <is>
          <t>예시 데이터</t>
        </is>
      </c>
      <c r="W3" s="8">
        <f>IF(B3="","",IFERROR(MATCH(B3,기본자료!$B$2:$B$501,0),IFERROR(MATCH(B3&amp;"",기본자료!$B$2:$B$501,0),IFERROR(MATCH(VALUE(B3),기본자료!$B$2:$B$501,0),""))))</f>
        <v/>
      </c>
    </row>
    <row r="4">
      <c r="A4" s="8">
        <f>IF(B4="","",ROW()-1)</f>
        <v/>
      </c>
      <c r="B4" s="9" t="inlineStr">
        <is>
          <t>2261214</t>
        </is>
      </c>
      <c r="C4" s="8">
        <f>IF($W4="","",IF(INDEX(기본자료!$C$2:$C$501,$W4)="","",INDEX(기본자료!$C$2:$C$501,$W4)))</f>
        <v/>
      </c>
      <c r="D4" s="8">
        <f>IF($W4="","",IF(INDEX(기본자료!$J$2:$J$501,$W4)="","",INDEX(기본자료!$J$2:$J$501,$W4)))</f>
        <v/>
      </c>
      <c r="E4" s="10">
        <f>IF($W4="","",IF(INDEX(기본자료!$K$2:$K$501,$W4)="","",IF(NOT(ISNUMBER(INDEX(기본자료!$K$2:$K$501,$W4))),INDEX(기본자료!$K$2:$K$501,$W4),IF(INDEX(기본자료!$K$2:$K$501,$W4)&lt;1000000,INDEX(기본자료!$K$2:$K$501,$W4),IF(AND(INDEX(기본자료!$K$2:$K$501,$W4)&gt;=10000101,INT(MOD(INDEX(기본자료!$K$2:$K$501,$W4),10000)/100)&gt;=1,INT(MOD(INDEX(기본자료!$K$2:$K$501,$W4),10000)/100)&lt;=12,MOD(INDEX(기본자료!$K$2:$K$501,$W4),100)&gt;=1,MOD(INDEX(기본자료!$K$2:$K$501,$W4),100)&lt;=31),DATE(INT(INDEX(기본자료!$K$2:$K$501,$W4)/10000),INT(MOD(INDEX(기본자료!$K$2:$K$501,$W4),10000)/100),MOD(INDEX(기본자료!$K$2:$K$501,$W4),100)),INDEX(기본자료!$K$2:$K$501,$W4)&amp;"")))))</f>
        <v/>
      </c>
      <c r="F4" s="8">
        <f>IF($W4="","",IF(INDEX(기본자료!$D$2:$D$501,$W4)="","",INDEX(기본자료!$D$2:$D$501,$W4)))</f>
        <v/>
      </c>
      <c r="G4" s="8">
        <f>IF($W4="","",IF(INDEX(기본자료!$E$2:$E$501,$W4)="","",INDEX(기본자료!$E$2:$E$501,$W4)))</f>
        <v/>
      </c>
      <c r="H4" s="8">
        <f>IF($W4="","",IF(INDEX(기본자료!$F$2:$F$501,$W4)="","",INDEX(기본자료!$F$2:$F$501,$W4)))</f>
        <v/>
      </c>
      <c r="I4" s="10">
        <f>IF($W4="","",IF(INDEX(기본자료!$G$2:$G$501,$W4)="","",IF(NOT(ISNUMBER(INDEX(기본자료!$G$2:$G$501,$W4))),INDEX(기본자료!$G$2:$G$501,$W4),IF(INDEX(기본자료!$G$2:$G$501,$W4)&lt;1000000,INDEX(기본자료!$G$2:$G$501,$W4),IF(AND(INDEX(기본자료!$G$2:$G$501,$W4)&gt;=10000101,INT(MOD(INDEX(기본자료!$G$2:$G$501,$W4),10000)/100)&gt;=1,INT(MOD(INDEX(기본자료!$G$2:$G$501,$W4),10000)/100)&lt;=12,MOD(INDEX(기본자료!$G$2:$G$501,$W4),100)&gt;=1,MOD(INDEX(기본자료!$G$2:$G$501,$W4),100)&lt;=31),DATE(INT(INDEX(기본자료!$G$2:$G$501,$W4)/10000),INT(MOD(INDEX(기본자료!$G$2:$G$501,$W4),10000)/100),MOD(INDEX(기본자료!$G$2:$G$501,$W4),100)),INDEX(기본자료!$G$2:$G$501,$W4)&amp;"")))))</f>
        <v/>
      </c>
      <c r="J4" s="8">
        <f>IF($W4="","",IF(INDEX(기본자료!$H$2:$H$501,$W4)="","",INDEX(기본자료!$H$2:$H$501,$W4)))</f>
        <v/>
      </c>
      <c r="K4" s="8">
        <f>IF($W4="","",IF(INDEX(기본자료!$I$2:$I$501,$W4)="","",INDEX(기본자료!$I$2:$I$501,$W4)))</f>
        <v/>
      </c>
      <c r="L4" s="8">
        <f>IF($W4="","",IF(INDEX(기본자료!$A$2:$A$501,$W4)="","",INDEX(기본자료!$A$2:$A$501,$W4)))</f>
        <v/>
      </c>
      <c r="M4" s="5" t="inlineStr">
        <is>
          <t>구리</t>
        </is>
      </c>
      <c r="N4" s="5" t="inlineStr">
        <is>
          <t>소아청소년과</t>
        </is>
      </c>
      <c r="O4" s="5" t="inlineStr">
        <is>
          <t>구리</t>
        </is>
      </c>
      <c r="P4" s="5" t="n"/>
      <c r="Q4" s="11" t="n"/>
      <c r="R4" s="11" t="n"/>
      <c r="S4" s="8">
        <f>IF(OR(B4="",Q4=""),"",IF(TODAY()&lt;Q4,"파견예정",IF(AND(R4&lt;&gt;"",TODAY()&gt;R4),"파견종료","파견중")))</f>
        <v/>
      </c>
      <c r="T4" s="12">
        <f>IF(OR(Q4="",R4=""),"",R4-Q4+1)</f>
        <v/>
      </c>
      <c r="U4" s="12">
        <f>IF(AND(S4="파견중",R4&lt;&gt;""),R4-TODAY(),"")</f>
        <v/>
      </c>
      <c r="V4" s="5" t="inlineStr">
        <is>
          <t>예시 데이터</t>
        </is>
      </c>
      <c r="W4" s="8">
        <f>IF(B4="","",IFERROR(MATCH(B4,기본자료!$B$2:$B$501,0),IFERROR(MATCH(B4&amp;"",기본자료!$B$2:$B$501,0),IFERROR(MATCH(VALUE(B4),기본자료!$B$2:$B$501,0),""))))</f>
        <v/>
      </c>
    </row>
    <row r="5">
      <c r="A5" s="8">
        <f>IF(B5="","",ROW()-1)</f>
        <v/>
      </c>
      <c r="B5" s="9" t="inlineStr">
        <is>
          <t>2261215</t>
        </is>
      </c>
      <c r="C5" s="8">
        <f>IF($W5="","",IF(INDEX(기본자료!$C$2:$C$501,$W5)="","",INDEX(기본자료!$C$2:$C$501,$W5)))</f>
        <v/>
      </c>
      <c r="D5" s="8">
        <f>IF($W5="","",IF(INDEX(기본자료!$J$2:$J$501,$W5)="","",INDEX(기본자료!$J$2:$J$501,$W5)))</f>
        <v/>
      </c>
      <c r="E5" s="10">
        <f>IF($W5="","",IF(INDEX(기본자료!$K$2:$K$501,$W5)="","",IF(NOT(ISNUMBER(INDEX(기본자료!$K$2:$K$501,$W5))),INDEX(기본자료!$K$2:$K$501,$W5),IF(INDEX(기본자료!$K$2:$K$501,$W5)&lt;1000000,INDEX(기본자료!$K$2:$K$501,$W5),IF(AND(INDEX(기본자료!$K$2:$K$501,$W5)&gt;=10000101,INT(MOD(INDEX(기본자료!$K$2:$K$501,$W5),10000)/100)&gt;=1,INT(MOD(INDEX(기본자료!$K$2:$K$501,$W5),10000)/100)&lt;=12,MOD(INDEX(기본자료!$K$2:$K$501,$W5),100)&gt;=1,MOD(INDEX(기본자료!$K$2:$K$501,$W5),100)&lt;=31),DATE(INT(INDEX(기본자료!$K$2:$K$501,$W5)/10000),INT(MOD(INDEX(기본자료!$K$2:$K$501,$W5),10000)/100),MOD(INDEX(기본자료!$K$2:$K$501,$W5),100)),INDEX(기본자료!$K$2:$K$501,$W5)&amp;"")))))</f>
        <v/>
      </c>
      <c r="F5" s="8">
        <f>IF($W5="","",IF(INDEX(기본자료!$D$2:$D$501,$W5)="","",INDEX(기본자료!$D$2:$D$501,$W5)))</f>
        <v/>
      </c>
      <c r="G5" s="8">
        <f>IF($W5="","",IF(INDEX(기본자료!$E$2:$E$501,$W5)="","",INDEX(기본자료!$E$2:$E$501,$W5)))</f>
        <v/>
      </c>
      <c r="H5" s="8">
        <f>IF($W5="","",IF(INDEX(기본자료!$F$2:$F$501,$W5)="","",INDEX(기본자료!$F$2:$F$501,$W5)))</f>
        <v/>
      </c>
      <c r="I5" s="10">
        <f>IF($W5="","",IF(INDEX(기본자료!$G$2:$G$501,$W5)="","",IF(NOT(ISNUMBER(INDEX(기본자료!$G$2:$G$501,$W5))),INDEX(기본자료!$G$2:$G$501,$W5),IF(INDEX(기본자료!$G$2:$G$501,$W5)&lt;1000000,INDEX(기본자료!$G$2:$G$501,$W5),IF(AND(INDEX(기본자료!$G$2:$G$501,$W5)&gt;=10000101,INT(MOD(INDEX(기본자료!$G$2:$G$501,$W5),10000)/100)&gt;=1,INT(MOD(INDEX(기본자료!$G$2:$G$501,$W5),10000)/100)&lt;=12,MOD(INDEX(기본자료!$G$2:$G$501,$W5),100)&gt;=1,MOD(INDEX(기본자료!$G$2:$G$501,$W5),100)&lt;=31),DATE(INT(INDEX(기본자료!$G$2:$G$501,$W5)/10000),INT(MOD(INDEX(기본자료!$G$2:$G$501,$W5),10000)/100),MOD(INDEX(기본자료!$G$2:$G$501,$W5),100)),INDEX(기본자료!$G$2:$G$501,$W5)&amp;"")))))</f>
        <v/>
      </c>
      <c r="J5" s="8">
        <f>IF($W5="","",IF(INDEX(기본자료!$H$2:$H$501,$W5)="","",INDEX(기본자료!$H$2:$H$501,$W5)))</f>
        <v/>
      </c>
      <c r="K5" s="8">
        <f>IF($W5="","",IF(INDEX(기본자료!$I$2:$I$501,$W5)="","",INDEX(기본자료!$I$2:$I$501,$W5)))</f>
        <v/>
      </c>
      <c r="L5" s="8">
        <f>IF($W5="","",IF(INDEX(기본자료!$A$2:$A$501,$W5)="","",INDEX(기본자료!$A$2:$A$501,$W5)))</f>
        <v/>
      </c>
      <c r="M5" s="5" t="inlineStr">
        <is>
          <t>제주</t>
        </is>
      </c>
      <c r="N5" s="5" t="inlineStr">
        <is>
          <t>산부인과</t>
        </is>
      </c>
      <c r="O5" s="5" t="inlineStr">
        <is>
          <t>서울</t>
        </is>
      </c>
      <c r="P5" s="5" t="inlineStr">
        <is>
          <t>교육 파견</t>
        </is>
      </c>
      <c r="Q5" s="11" t="n">
        <v>46027</v>
      </c>
      <c r="R5" s="11" t="n">
        <v>46112</v>
      </c>
      <c r="S5" s="8">
        <f>IF(OR(B5="",Q5=""),"",IF(TODAY()&lt;Q5,"파견예정",IF(AND(R5&lt;&gt;"",TODAY()&gt;R5),"파견종료","파견중")))</f>
        <v/>
      </c>
      <c r="T5" s="12">
        <f>IF(OR(Q5="",R5=""),"",R5-Q5+1)</f>
        <v/>
      </c>
      <c r="U5" s="12">
        <f>IF(AND(S5="파견중",R5&lt;&gt;""),R5-TODAY(),"")</f>
        <v/>
      </c>
      <c r="V5" s="5" t="inlineStr">
        <is>
          <t>예시 데이터(종료됨)</t>
        </is>
      </c>
      <c r="W5" s="8">
        <f>IF(B5="","",IFERROR(MATCH(B5,기본자료!$B$2:$B$501,0),IFERROR(MATCH(B5&amp;"",기본자료!$B$2:$B$501,0),IFERROR(MATCH(VALUE(B5),기본자료!$B$2:$B$501,0),""))))</f>
        <v/>
      </c>
    </row>
    <row r="6">
      <c r="A6" s="8">
        <f>IF(B6="","",ROW()-1)</f>
        <v/>
      </c>
      <c r="B6" s="9" t="inlineStr">
        <is>
          <t>2261216</t>
        </is>
      </c>
      <c r="C6" s="8">
        <f>IF($W6="","",IF(INDEX(기본자료!$C$2:$C$501,$W6)="","",INDEX(기본자료!$C$2:$C$501,$W6)))</f>
        <v/>
      </c>
      <c r="D6" s="8">
        <f>IF($W6="","",IF(INDEX(기본자료!$J$2:$J$501,$W6)="","",INDEX(기본자료!$J$2:$J$501,$W6)))</f>
        <v/>
      </c>
      <c r="E6" s="10">
        <f>IF($W6="","",IF(INDEX(기본자료!$K$2:$K$501,$W6)="","",IF(NOT(ISNUMBER(INDEX(기본자료!$K$2:$K$501,$W6))),INDEX(기본자료!$K$2:$K$501,$W6),IF(INDEX(기본자료!$K$2:$K$501,$W6)&lt;1000000,INDEX(기본자료!$K$2:$K$501,$W6),IF(AND(INDEX(기본자료!$K$2:$K$501,$W6)&gt;=10000101,INT(MOD(INDEX(기본자료!$K$2:$K$501,$W6),10000)/100)&gt;=1,INT(MOD(INDEX(기본자료!$K$2:$K$501,$W6),10000)/100)&lt;=12,MOD(INDEX(기본자료!$K$2:$K$501,$W6),100)&gt;=1,MOD(INDEX(기본자료!$K$2:$K$501,$W6),100)&lt;=31),DATE(INT(INDEX(기본자료!$K$2:$K$501,$W6)/10000),INT(MOD(INDEX(기본자료!$K$2:$K$501,$W6),10000)/100),MOD(INDEX(기본자료!$K$2:$K$501,$W6),100)),INDEX(기본자료!$K$2:$K$501,$W6)&amp;"")))))</f>
        <v/>
      </c>
      <c r="F6" s="8">
        <f>IF($W6="","",IF(INDEX(기본자료!$D$2:$D$501,$W6)="","",INDEX(기본자료!$D$2:$D$501,$W6)))</f>
        <v/>
      </c>
      <c r="G6" s="8">
        <f>IF($W6="","",IF(INDEX(기본자료!$E$2:$E$501,$W6)="","",INDEX(기본자료!$E$2:$E$501,$W6)))</f>
        <v/>
      </c>
      <c r="H6" s="8">
        <f>IF($W6="","",IF(INDEX(기본자료!$F$2:$F$501,$W6)="","",INDEX(기본자료!$F$2:$F$501,$W6)))</f>
        <v/>
      </c>
      <c r="I6" s="10">
        <f>IF($W6="","",IF(INDEX(기본자료!$G$2:$G$501,$W6)="","",IF(NOT(ISNUMBER(INDEX(기본자료!$G$2:$G$501,$W6))),INDEX(기본자료!$G$2:$G$501,$W6),IF(INDEX(기본자료!$G$2:$G$501,$W6)&lt;1000000,INDEX(기본자료!$G$2:$G$501,$W6),IF(AND(INDEX(기본자료!$G$2:$G$501,$W6)&gt;=10000101,INT(MOD(INDEX(기본자료!$G$2:$G$501,$W6),10000)/100)&gt;=1,INT(MOD(INDEX(기본자료!$G$2:$G$501,$W6),10000)/100)&lt;=12,MOD(INDEX(기본자료!$G$2:$G$501,$W6),100)&gt;=1,MOD(INDEX(기본자료!$G$2:$G$501,$W6),100)&lt;=31),DATE(INT(INDEX(기본자료!$G$2:$G$501,$W6)/10000),INT(MOD(INDEX(기본자료!$G$2:$G$501,$W6),10000)/100),MOD(INDEX(기본자료!$G$2:$G$501,$W6),100)),INDEX(기본자료!$G$2:$G$501,$W6)&amp;"")))))</f>
        <v/>
      </c>
      <c r="J6" s="8">
        <f>IF($W6="","",IF(INDEX(기본자료!$H$2:$H$501,$W6)="","",INDEX(기본자료!$H$2:$H$501,$W6)))</f>
        <v/>
      </c>
      <c r="K6" s="8">
        <f>IF($W6="","",IF(INDEX(기본자료!$I$2:$I$501,$W6)="","",INDEX(기본자료!$I$2:$I$501,$W6)))</f>
        <v/>
      </c>
      <c r="L6" s="8">
        <f>IF($W6="","",IF(INDEX(기본자료!$A$2:$A$501,$W6)="","",INDEX(기본자료!$A$2:$A$501,$W6)))</f>
        <v/>
      </c>
      <c r="M6" s="5" t="inlineStr">
        <is>
          <t>서울</t>
        </is>
      </c>
      <c r="N6" s="5" t="inlineStr">
        <is>
          <t>마취통증의학과</t>
        </is>
      </c>
      <c r="O6" s="5" t="inlineStr">
        <is>
          <t>서울</t>
        </is>
      </c>
      <c r="P6" s="5" t="inlineStr">
        <is>
          <t>교육 파견</t>
        </is>
      </c>
      <c r="Q6" s="11" t="n">
        <v>46327</v>
      </c>
      <c r="R6" s="11" t="n">
        <v>46418</v>
      </c>
      <c r="S6" s="8">
        <f>IF(OR(B6="",Q6=""),"",IF(TODAY()&lt;Q6,"파견예정",IF(AND(R6&lt;&gt;"",TODAY()&gt;R6),"파견종료","파견중")))</f>
        <v/>
      </c>
      <c r="T6" s="12">
        <f>IF(OR(Q6="",R6=""),"",R6-Q6+1)</f>
        <v/>
      </c>
      <c r="U6" s="12">
        <f>IF(AND(S6="파견중",R6&lt;&gt;""),R6-TODAY(),"")</f>
        <v/>
      </c>
      <c r="V6" s="5" t="inlineStr">
        <is>
          <t>예시 데이터(예정)</t>
        </is>
      </c>
      <c r="W6" s="8">
        <f>IF(B6="","",IFERROR(MATCH(B6,기본자료!$B$2:$B$501,0),IFERROR(MATCH(B6&amp;"",기본자료!$B$2:$B$501,0),IFERROR(MATCH(VALUE(B6),기본자료!$B$2:$B$501,0),""))))</f>
        <v/>
      </c>
    </row>
    <row r="7">
      <c r="A7" s="8">
        <f>IF(B7="","",ROW()-1)</f>
        <v/>
      </c>
      <c r="B7" s="9" t="n"/>
      <c r="C7" s="8">
        <f>IF($W7="","",IF(INDEX(기본자료!$C$2:$C$501,$W7)="","",INDEX(기본자료!$C$2:$C$501,$W7)))</f>
        <v/>
      </c>
      <c r="D7" s="8">
        <f>IF($W7="","",IF(INDEX(기본자료!$J$2:$J$501,$W7)="","",INDEX(기본자료!$J$2:$J$501,$W7)))</f>
        <v/>
      </c>
      <c r="E7" s="10">
        <f>IF($W7="","",IF(INDEX(기본자료!$K$2:$K$501,$W7)="","",IF(NOT(ISNUMBER(INDEX(기본자료!$K$2:$K$501,$W7))),INDEX(기본자료!$K$2:$K$501,$W7),IF(INDEX(기본자료!$K$2:$K$501,$W7)&lt;1000000,INDEX(기본자료!$K$2:$K$501,$W7),IF(AND(INDEX(기본자료!$K$2:$K$501,$W7)&gt;=10000101,INT(MOD(INDEX(기본자료!$K$2:$K$501,$W7),10000)/100)&gt;=1,INT(MOD(INDEX(기본자료!$K$2:$K$501,$W7),10000)/100)&lt;=12,MOD(INDEX(기본자료!$K$2:$K$501,$W7),100)&gt;=1,MOD(INDEX(기본자료!$K$2:$K$501,$W7),100)&lt;=31),DATE(INT(INDEX(기본자료!$K$2:$K$501,$W7)/10000),INT(MOD(INDEX(기본자료!$K$2:$K$501,$W7),10000)/100),MOD(INDEX(기본자료!$K$2:$K$501,$W7),100)),INDEX(기본자료!$K$2:$K$501,$W7)&amp;"")))))</f>
        <v/>
      </c>
      <c r="F7" s="8">
        <f>IF($W7="","",IF(INDEX(기본자료!$D$2:$D$501,$W7)="","",INDEX(기본자료!$D$2:$D$501,$W7)))</f>
        <v/>
      </c>
      <c r="G7" s="8">
        <f>IF($W7="","",IF(INDEX(기본자료!$E$2:$E$501,$W7)="","",INDEX(기본자료!$E$2:$E$501,$W7)))</f>
        <v/>
      </c>
      <c r="H7" s="8">
        <f>IF($W7="","",IF(INDEX(기본자료!$F$2:$F$501,$W7)="","",INDEX(기본자료!$F$2:$F$501,$W7)))</f>
        <v/>
      </c>
      <c r="I7" s="10">
        <f>IF($W7="","",IF(INDEX(기본자료!$G$2:$G$501,$W7)="","",IF(NOT(ISNUMBER(INDEX(기본자료!$G$2:$G$501,$W7))),INDEX(기본자료!$G$2:$G$501,$W7),IF(INDEX(기본자료!$G$2:$G$501,$W7)&lt;1000000,INDEX(기본자료!$G$2:$G$501,$W7),IF(AND(INDEX(기본자료!$G$2:$G$501,$W7)&gt;=10000101,INT(MOD(INDEX(기본자료!$G$2:$G$501,$W7),10000)/100)&gt;=1,INT(MOD(INDEX(기본자료!$G$2:$G$501,$W7),10000)/100)&lt;=12,MOD(INDEX(기본자료!$G$2:$G$501,$W7),100)&gt;=1,MOD(INDEX(기본자료!$G$2:$G$501,$W7),100)&lt;=31),DATE(INT(INDEX(기본자료!$G$2:$G$501,$W7)/10000),INT(MOD(INDEX(기본자료!$G$2:$G$501,$W7),10000)/100),MOD(INDEX(기본자료!$G$2:$G$501,$W7),100)),INDEX(기본자료!$G$2:$G$501,$W7)&amp;"")))))</f>
        <v/>
      </c>
      <c r="J7" s="8">
        <f>IF($W7="","",IF(INDEX(기본자료!$H$2:$H$501,$W7)="","",INDEX(기본자료!$H$2:$H$501,$W7)))</f>
        <v/>
      </c>
      <c r="K7" s="8">
        <f>IF($W7="","",IF(INDEX(기본자료!$I$2:$I$501,$W7)="","",INDEX(기본자료!$I$2:$I$501,$W7)))</f>
        <v/>
      </c>
      <c r="L7" s="8">
        <f>IF($W7="","",IF(INDEX(기본자료!$A$2:$A$501,$W7)="","",INDEX(기본자료!$A$2:$A$501,$W7)))</f>
        <v/>
      </c>
      <c r="M7" s="5" t="n"/>
      <c r="N7" s="5" t="n"/>
      <c r="O7" s="5" t="n"/>
      <c r="P7" s="5" t="n"/>
      <c r="Q7" s="11" t="n"/>
      <c r="R7" s="11" t="n"/>
      <c r="S7" s="8">
        <f>IF(OR(B7="",Q7=""),"",IF(TODAY()&lt;Q7,"파견예정",IF(AND(R7&lt;&gt;"",TODAY()&gt;R7),"파견종료","파견중")))</f>
        <v/>
      </c>
      <c r="T7" s="12">
        <f>IF(OR(Q7="",R7=""),"",R7-Q7+1)</f>
        <v/>
      </c>
      <c r="U7" s="12">
        <f>IF(AND(S7="파견중",R7&lt;&gt;""),R7-TODAY(),"")</f>
        <v/>
      </c>
      <c r="V7" s="5" t="n"/>
      <c r="W7" s="8">
        <f>IF(B7="","",IFERROR(MATCH(B7,기본자료!$B$2:$B$501,0),IFERROR(MATCH(B7&amp;"",기본자료!$B$2:$B$501,0),IFERROR(MATCH(VALUE(B7),기본자료!$B$2:$B$501,0),""))))</f>
        <v/>
      </c>
    </row>
    <row r="8">
      <c r="A8" s="8">
        <f>IF(B8="","",ROW()-1)</f>
        <v/>
      </c>
      <c r="B8" s="9" t="n"/>
      <c r="C8" s="8">
        <f>IF($W8="","",IF(INDEX(기본자료!$C$2:$C$501,$W8)="","",INDEX(기본자료!$C$2:$C$501,$W8)))</f>
        <v/>
      </c>
      <c r="D8" s="8">
        <f>IF($W8="","",IF(INDEX(기본자료!$J$2:$J$501,$W8)="","",INDEX(기본자료!$J$2:$J$501,$W8)))</f>
        <v/>
      </c>
      <c r="E8" s="10">
        <f>IF($W8="","",IF(INDEX(기본자료!$K$2:$K$501,$W8)="","",IF(NOT(ISNUMBER(INDEX(기본자료!$K$2:$K$501,$W8))),INDEX(기본자료!$K$2:$K$501,$W8),IF(INDEX(기본자료!$K$2:$K$501,$W8)&lt;1000000,INDEX(기본자료!$K$2:$K$501,$W8),IF(AND(INDEX(기본자료!$K$2:$K$501,$W8)&gt;=10000101,INT(MOD(INDEX(기본자료!$K$2:$K$501,$W8),10000)/100)&gt;=1,INT(MOD(INDEX(기본자료!$K$2:$K$501,$W8),10000)/100)&lt;=12,MOD(INDEX(기본자료!$K$2:$K$501,$W8),100)&gt;=1,MOD(INDEX(기본자료!$K$2:$K$501,$W8),100)&lt;=31),DATE(INT(INDEX(기본자료!$K$2:$K$501,$W8)/10000),INT(MOD(INDEX(기본자료!$K$2:$K$501,$W8),10000)/100),MOD(INDEX(기본자료!$K$2:$K$501,$W8),100)),INDEX(기본자료!$K$2:$K$501,$W8)&amp;"")))))</f>
        <v/>
      </c>
      <c r="F8" s="8">
        <f>IF($W8="","",IF(INDEX(기본자료!$D$2:$D$501,$W8)="","",INDEX(기본자료!$D$2:$D$501,$W8)))</f>
        <v/>
      </c>
      <c r="G8" s="8">
        <f>IF($W8="","",IF(INDEX(기본자료!$E$2:$E$501,$W8)="","",INDEX(기본자료!$E$2:$E$501,$W8)))</f>
        <v/>
      </c>
      <c r="H8" s="8">
        <f>IF($W8="","",IF(INDEX(기본자료!$F$2:$F$501,$W8)="","",INDEX(기본자료!$F$2:$F$501,$W8)))</f>
        <v/>
      </c>
      <c r="I8" s="10">
        <f>IF($W8="","",IF(INDEX(기본자료!$G$2:$G$501,$W8)="","",IF(NOT(ISNUMBER(INDEX(기본자료!$G$2:$G$501,$W8))),INDEX(기본자료!$G$2:$G$501,$W8),IF(INDEX(기본자료!$G$2:$G$501,$W8)&lt;1000000,INDEX(기본자료!$G$2:$G$501,$W8),IF(AND(INDEX(기본자료!$G$2:$G$501,$W8)&gt;=10000101,INT(MOD(INDEX(기본자료!$G$2:$G$501,$W8),10000)/100)&gt;=1,INT(MOD(INDEX(기본자료!$G$2:$G$501,$W8),10000)/100)&lt;=12,MOD(INDEX(기본자료!$G$2:$G$501,$W8),100)&gt;=1,MOD(INDEX(기본자료!$G$2:$G$501,$W8),100)&lt;=31),DATE(INT(INDEX(기본자료!$G$2:$G$501,$W8)/10000),INT(MOD(INDEX(기본자료!$G$2:$G$501,$W8),10000)/100),MOD(INDEX(기본자료!$G$2:$G$501,$W8),100)),INDEX(기본자료!$G$2:$G$501,$W8)&amp;"")))))</f>
        <v/>
      </c>
      <c r="J8" s="8">
        <f>IF($W8="","",IF(INDEX(기본자료!$H$2:$H$501,$W8)="","",INDEX(기본자료!$H$2:$H$501,$W8)))</f>
        <v/>
      </c>
      <c r="K8" s="8">
        <f>IF($W8="","",IF(INDEX(기본자료!$I$2:$I$501,$W8)="","",INDEX(기본자료!$I$2:$I$501,$W8)))</f>
        <v/>
      </c>
      <c r="L8" s="8">
        <f>IF($W8="","",IF(INDEX(기본자료!$A$2:$A$501,$W8)="","",INDEX(기본자료!$A$2:$A$501,$W8)))</f>
        <v/>
      </c>
      <c r="M8" s="5" t="n"/>
      <c r="N8" s="5" t="n"/>
      <c r="O8" s="5" t="n"/>
      <c r="P8" s="5" t="n"/>
      <c r="Q8" s="11" t="n"/>
      <c r="R8" s="11" t="n"/>
      <c r="S8" s="8">
        <f>IF(OR(B8="",Q8=""),"",IF(TODAY()&lt;Q8,"파견예정",IF(AND(R8&lt;&gt;"",TODAY()&gt;R8),"파견종료","파견중")))</f>
        <v/>
      </c>
      <c r="T8" s="12">
        <f>IF(OR(Q8="",R8=""),"",R8-Q8+1)</f>
        <v/>
      </c>
      <c r="U8" s="12">
        <f>IF(AND(S8="파견중",R8&lt;&gt;""),R8-TODAY(),"")</f>
        <v/>
      </c>
      <c r="V8" s="5" t="n"/>
      <c r="W8" s="8">
        <f>IF(B8="","",IFERROR(MATCH(B8,기본자료!$B$2:$B$501,0),IFERROR(MATCH(B8&amp;"",기본자료!$B$2:$B$501,0),IFERROR(MATCH(VALUE(B8),기본자료!$B$2:$B$501,0),""))))</f>
        <v/>
      </c>
    </row>
    <row r="9">
      <c r="A9" s="8">
        <f>IF(B9="","",ROW()-1)</f>
        <v/>
      </c>
      <c r="B9" s="9" t="n"/>
      <c r="C9" s="8">
        <f>IF($W9="","",IF(INDEX(기본자료!$C$2:$C$501,$W9)="","",INDEX(기본자료!$C$2:$C$501,$W9)))</f>
        <v/>
      </c>
      <c r="D9" s="8">
        <f>IF($W9="","",IF(INDEX(기본자료!$J$2:$J$501,$W9)="","",INDEX(기본자료!$J$2:$J$501,$W9)))</f>
        <v/>
      </c>
      <c r="E9" s="10">
        <f>IF($W9="","",IF(INDEX(기본자료!$K$2:$K$501,$W9)="","",IF(NOT(ISNUMBER(INDEX(기본자료!$K$2:$K$501,$W9))),INDEX(기본자료!$K$2:$K$501,$W9),IF(INDEX(기본자료!$K$2:$K$501,$W9)&lt;1000000,INDEX(기본자료!$K$2:$K$501,$W9),IF(AND(INDEX(기본자료!$K$2:$K$501,$W9)&gt;=10000101,INT(MOD(INDEX(기본자료!$K$2:$K$501,$W9),10000)/100)&gt;=1,INT(MOD(INDEX(기본자료!$K$2:$K$501,$W9),10000)/100)&lt;=12,MOD(INDEX(기본자료!$K$2:$K$501,$W9),100)&gt;=1,MOD(INDEX(기본자료!$K$2:$K$501,$W9),100)&lt;=31),DATE(INT(INDEX(기본자료!$K$2:$K$501,$W9)/10000),INT(MOD(INDEX(기본자료!$K$2:$K$501,$W9),10000)/100),MOD(INDEX(기본자료!$K$2:$K$501,$W9),100)),INDEX(기본자료!$K$2:$K$501,$W9)&amp;"")))))</f>
        <v/>
      </c>
      <c r="F9" s="8">
        <f>IF($W9="","",IF(INDEX(기본자료!$D$2:$D$501,$W9)="","",INDEX(기본자료!$D$2:$D$501,$W9)))</f>
        <v/>
      </c>
      <c r="G9" s="8">
        <f>IF($W9="","",IF(INDEX(기본자료!$E$2:$E$501,$W9)="","",INDEX(기본자료!$E$2:$E$501,$W9)))</f>
        <v/>
      </c>
      <c r="H9" s="8">
        <f>IF($W9="","",IF(INDEX(기본자료!$F$2:$F$501,$W9)="","",INDEX(기본자료!$F$2:$F$501,$W9)))</f>
        <v/>
      </c>
      <c r="I9" s="10">
        <f>IF($W9="","",IF(INDEX(기본자료!$G$2:$G$501,$W9)="","",IF(NOT(ISNUMBER(INDEX(기본자료!$G$2:$G$501,$W9))),INDEX(기본자료!$G$2:$G$501,$W9),IF(INDEX(기본자료!$G$2:$G$501,$W9)&lt;1000000,INDEX(기본자료!$G$2:$G$501,$W9),IF(AND(INDEX(기본자료!$G$2:$G$501,$W9)&gt;=10000101,INT(MOD(INDEX(기본자료!$G$2:$G$501,$W9),10000)/100)&gt;=1,INT(MOD(INDEX(기본자료!$G$2:$G$501,$W9),10000)/100)&lt;=12,MOD(INDEX(기본자료!$G$2:$G$501,$W9),100)&gt;=1,MOD(INDEX(기본자료!$G$2:$G$501,$W9),100)&lt;=31),DATE(INT(INDEX(기본자료!$G$2:$G$501,$W9)/10000),INT(MOD(INDEX(기본자료!$G$2:$G$501,$W9),10000)/100),MOD(INDEX(기본자료!$G$2:$G$501,$W9),100)),INDEX(기본자료!$G$2:$G$501,$W9)&amp;"")))))</f>
        <v/>
      </c>
      <c r="J9" s="8">
        <f>IF($W9="","",IF(INDEX(기본자료!$H$2:$H$501,$W9)="","",INDEX(기본자료!$H$2:$H$501,$W9)))</f>
        <v/>
      </c>
      <c r="K9" s="8">
        <f>IF($W9="","",IF(INDEX(기본자료!$I$2:$I$501,$W9)="","",INDEX(기본자료!$I$2:$I$501,$W9)))</f>
        <v/>
      </c>
      <c r="L9" s="8">
        <f>IF($W9="","",IF(INDEX(기본자료!$A$2:$A$501,$W9)="","",INDEX(기본자료!$A$2:$A$501,$W9)))</f>
        <v/>
      </c>
      <c r="M9" s="5" t="n"/>
      <c r="N9" s="5" t="n"/>
      <c r="O9" s="5" t="n"/>
      <c r="P9" s="5" t="n"/>
      <c r="Q9" s="11" t="n"/>
      <c r="R9" s="11" t="n"/>
      <c r="S9" s="8">
        <f>IF(OR(B9="",Q9=""),"",IF(TODAY()&lt;Q9,"파견예정",IF(AND(R9&lt;&gt;"",TODAY()&gt;R9),"파견종료","파견중")))</f>
        <v/>
      </c>
      <c r="T9" s="12">
        <f>IF(OR(Q9="",R9=""),"",R9-Q9+1)</f>
        <v/>
      </c>
      <c r="U9" s="12">
        <f>IF(AND(S9="파견중",R9&lt;&gt;""),R9-TODAY(),"")</f>
        <v/>
      </c>
      <c r="V9" s="5" t="n"/>
      <c r="W9" s="8">
        <f>IF(B9="","",IFERROR(MATCH(B9,기본자료!$B$2:$B$501,0),IFERROR(MATCH(B9&amp;"",기본자료!$B$2:$B$501,0),IFERROR(MATCH(VALUE(B9),기본자료!$B$2:$B$501,0),""))))</f>
        <v/>
      </c>
    </row>
    <row r="10">
      <c r="A10" s="8">
        <f>IF(B10="","",ROW()-1)</f>
        <v/>
      </c>
      <c r="B10" s="9" t="n"/>
      <c r="C10" s="8">
        <f>IF($W10="","",IF(INDEX(기본자료!$C$2:$C$501,$W10)="","",INDEX(기본자료!$C$2:$C$501,$W10)))</f>
        <v/>
      </c>
      <c r="D10" s="8">
        <f>IF($W10="","",IF(INDEX(기본자료!$J$2:$J$501,$W10)="","",INDEX(기본자료!$J$2:$J$501,$W10)))</f>
        <v/>
      </c>
      <c r="E10" s="10">
        <f>IF($W10="","",IF(INDEX(기본자료!$K$2:$K$501,$W10)="","",IF(NOT(ISNUMBER(INDEX(기본자료!$K$2:$K$501,$W10))),INDEX(기본자료!$K$2:$K$501,$W10),IF(INDEX(기본자료!$K$2:$K$501,$W10)&lt;1000000,INDEX(기본자료!$K$2:$K$501,$W10),IF(AND(INDEX(기본자료!$K$2:$K$501,$W10)&gt;=10000101,INT(MOD(INDEX(기본자료!$K$2:$K$501,$W10),10000)/100)&gt;=1,INT(MOD(INDEX(기본자료!$K$2:$K$501,$W10),10000)/100)&lt;=12,MOD(INDEX(기본자료!$K$2:$K$501,$W10),100)&gt;=1,MOD(INDEX(기본자료!$K$2:$K$501,$W10),100)&lt;=31),DATE(INT(INDEX(기본자료!$K$2:$K$501,$W10)/10000),INT(MOD(INDEX(기본자료!$K$2:$K$501,$W10),10000)/100),MOD(INDEX(기본자료!$K$2:$K$501,$W10),100)),INDEX(기본자료!$K$2:$K$501,$W10)&amp;"")))))</f>
        <v/>
      </c>
      <c r="F10" s="8">
        <f>IF($W10="","",IF(INDEX(기본자료!$D$2:$D$501,$W10)="","",INDEX(기본자료!$D$2:$D$501,$W10)))</f>
        <v/>
      </c>
      <c r="G10" s="8">
        <f>IF($W10="","",IF(INDEX(기본자료!$E$2:$E$501,$W10)="","",INDEX(기본자료!$E$2:$E$501,$W10)))</f>
        <v/>
      </c>
      <c r="H10" s="8">
        <f>IF($W10="","",IF(INDEX(기본자료!$F$2:$F$501,$W10)="","",INDEX(기본자료!$F$2:$F$501,$W10)))</f>
        <v/>
      </c>
      <c r="I10" s="10">
        <f>IF($W10="","",IF(INDEX(기본자료!$G$2:$G$501,$W10)="","",IF(NOT(ISNUMBER(INDEX(기본자료!$G$2:$G$501,$W10))),INDEX(기본자료!$G$2:$G$501,$W10),IF(INDEX(기본자료!$G$2:$G$501,$W10)&lt;1000000,INDEX(기본자료!$G$2:$G$501,$W10),IF(AND(INDEX(기본자료!$G$2:$G$501,$W10)&gt;=10000101,INT(MOD(INDEX(기본자료!$G$2:$G$501,$W10),10000)/100)&gt;=1,INT(MOD(INDEX(기본자료!$G$2:$G$501,$W10),10000)/100)&lt;=12,MOD(INDEX(기본자료!$G$2:$G$501,$W10),100)&gt;=1,MOD(INDEX(기본자료!$G$2:$G$501,$W10),100)&lt;=31),DATE(INT(INDEX(기본자료!$G$2:$G$501,$W10)/10000),INT(MOD(INDEX(기본자료!$G$2:$G$501,$W10),10000)/100),MOD(INDEX(기본자료!$G$2:$G$501,$W10),100)),INDEX(기본자료!$G$2:$G$501,$W10)&amp;"")))))</f>
        <v/>
      </c>
      <c r="J10" s="8">
        <f>IF($W10="","",IF(INDEX(기본자료!$H$2:$H$501,$W10)="","",INDEX(기본자료!$H$2:$H$501,$W10)))</f>
        <v/>
      </c>
      <c r="K10" s="8">
        <f>IF($W10="","",IF(INDEX(기본자료!$I$2:$I$501,$W10)="","",INDEX(기본자료!$I$2:$I$501,$W10)))</f>
        <v/>
      </c>
      <c r="L10" s="8">
        <f>IF($W10="","",IF(INDEX(기본자료!$A$2:$A$501,$W10)="","",INDEX(기본자료!$A$2:$A$501,$W10)))</f>
        <v/>
      </c>
      <c r="M10" s="5" t="n"/>
      <c r="N10" s="5" t="n"/>
      <c r="O10" s="5" t="n"/>
      <c r="P10" s="5" t="n"/>
      <c r="Q10" s="11" t="n"/>
      <c r="R10" s="11" t="n"/>
      <c r="S10" s="8">
        <f>IF(OR(B10="",Q10=""),"",IF(TODAY()&lt;Q10,"파견예정",IF(AND(R10&lt;&gt;"",TODAY()&gt;R10),"파견종료","파견중")))</f>
        <v/>
      </c>
      <c r="T10" s="12">
        <f>IF(OR(Q10="",R10=""),"",R10-Q10+1)</f>
        <v/>
      </c>
      <c r="U10" s="12">
        <f>IF(AND(S10="파견중",R10&lt;&gt;""),R10-TODAY(),"")</f>
        <v/>
      </c>
      <c r="V10" s="5" t="n"/>
      <c r="W10" s="8">
        <f>IF(B10="","",IFERROR(MATCH(B10,기본자료!$B$2:$B$501,0),IFERROR(MATCH(B10&amp;"",기본자료!$B$2:$B$501,0),IFERROR(MATCH(VALUE(B10),기본자료!$B$2:$B$501,0),""))))</f>
        <v/>
      </c>
    </row>
    <row r="11">
      <c r="A11" s="8">
        <f>IF(B11="","",ROW()-1)</f>
        <v/>
      </c>
      <c r="B11" s="9" t="n"/>
      <c r="C11" s="8">
        <f>IF($W11="","",IF(INDEX(기본자료!$C$2:$C$501,$W11)="","",INDEX(기본자료!$C$2:$C$501,$W11)))</f>
        <v/>
      </c>
      <c r="D11" s="8">
        <f>IF($W11="","",IF(INDEX(기본자료!$J$2:$J$501,$W11)="","",INDEX(기본자료!$J$2:$J$501,$W11)))</f>
        <v/>
      </c>
      <c r="E11" s="10">
        <f>IF($W11="","",IF(INDEX(기본자료!$K$2:$K$501,$W11)="","",IF(NOT(ISNUMBER(INDEX(기본자료!$K$2:$K$501,$W11))),INDEX(기본자료!$K$2:$K$501,$W11),IF(INDEX(기본자료!$K$2:$K$501,$W11)&lt;1000000,INDEX(기본자료!$K$2:$K$501,$W11),IF(AND(INDEX(기본자료!$K$2:$K$501,$W11)&gt;=10000101,INT(MOD(INDEX(기본자료!$K$2:$K$501,$W11),10000)/100)&gt;=1,INT(MOD(INDEX(기본자료!$K$2:$K$501,$W11),10000)/100)&lt;=12,MOD(INDEX(기본자료!$K$2:$K$501,$W11),100)&gt;=1,MOD(INDEX(기본자료!$K$2:$K$501,$W11),100)&lt;=31),DATE(INT(INDEX(기본자료!$K$2:$K$501,$W11)/10000),INT(MOD(INDEX(기본자료!$K$2:$K$501,$W11),10000)/100),MOD(INDEX(기본자료!$K$2:$K$501,$W11),100)),INDEX(기본자료!$K$2:$K$501,$W11)&amp;"")))))</f>
        <v/>
      </c>
      <c r="F11" s="8">
        <f>IF($W11="","",IF(INDEX(기본자료!$D$2:$D$501,$W11)="","",INDEX(기본자료!$D$2:$D$501,$W11)))</f>
        <v/>
      </c>
      <c r="G11" s="8">
        <f>IF($W11="","",IF(INDEX(기본자료!$E$2:$E$501,$W11)="","",INDEX(기본자료!$E$2:$E$501,$W11)))</f>
        <v/>
      </c>
      <c r="H11" s="8">
        <f>IF($W11="","",IF(INDEX(기본자료!$F$2:$F$501,$W11)="","",INDEX(기본자료!$F$2:$F$501,$W11)))</f>
        <v/>
      </c>
      <c r="I11" s="10">
        <f>IF($W11="","",IF(INDEX(기본자료!$G$2:$G$501,$W11)="","",IF(NOT(ISNUMBER(INDEX(기본자료!$G$2:$G$501,$W11))),INDEX(기본자료!$G$2:$G$501,$W11),IF(INDEX(기본자료!$G$2:$G$501,$W11)&lt;1000000,INDEX(기본자료!$G$2:$G$501,$W11),IF(AND(INDEX(기본자료!$G$2:$G$501,$W11)&gt;=10000101,INT(MOD(INDEX(기본자료!$G$2:$G$501,$W11),10000)/100)&gt;=1,INT(MOD(INDEX(기본자료!$G$2:$G$501,$W11),10000)/100)&lt;=12,MOD(INDEX(기본자료!$G$2:$G$501,$W11),100)&gt;=1,MOD(INDEX(기본자료!$G$2:$G$501,$W11),100)&lt;=31),DATE(INT(INDEX(기본자료!$G$2:$G$501,$W11)/10000),INT(MOD(INDEX(기본자료!$G$2:$G$501,$W11),10000)/100),MOD(INDEX(기본자료!$G$2:$G$501,$W11),100)),INDEX(기본자료!$G$2:$G$501,$W11)&amp;"")))))</f>
        <v/>
      </c>
      <c r="J11" s="8">
        <f>IF($W11="","",IF(INDEX(기본자료!$H$2:$H$501,$W11)="","",INDEX(기본자료!$H$2:$H$501,$W11)))</f>
        <v/>
      </c>
      <c r="K11" s="8">
        <f>IF($W11="","",IF(INDEX(기본자료!$I$2:$I$501,$W11)="","",INDEX(기본자료!$I$2:$I$501,$W11)))</f>
        <v/>
      </c>
      <c r="L11" s="8">
        <f>IF($W11="","",IF(INDEX(기본자료!$A$2:$A$501,$W11)="","",INDEX(기본자료!$A$2:$A$501,$W11)))</f>
        <v/>
      </c>
      <c r="M11" s="5" t="n"/>
      <c r="N11" s="5" t="n"/>
      <c r="O11" s="5" t="n"/>
      <c r="P11" s="5" t="n"/>
      <c r="Q11" s="11" t="n"/>
      <c r="R11" s="11" t="n"/>
      <c r="S11" s="8">
        <f>IF(OR(B11="",Q11=""),"",IF(TODAY()&lt;Q11,"파견예정",IF(AND(R11&lt;&gt;"",TODAY()&gt;R11),"파견종료","파견중")))</f>
        <v/>
      </c>
      <c r="T11" s="12">
        <f>IF(OR(Q11="",R11=""),"",R11-Q11+1)</f>
        <v/>
      </c>
      <c r="U11" s="12">
        <f>IF(AND(S11="파견중",R11&lt;&gt;""),R11-TODAY(),"")</f>
        <v/>
      </c>
      <c r="V11" s="5" t="n"/>
      <c r="W11" s="8">
        <f>IF(B11="","",IFERROR(MATCH(B11,기본자료!$B$2:$B$501,0),IFERROR(MATCH(B11&amp;"",기본자료!$B$2:$B$501,0),IFERROR(MATCH(VALUE(B11),기본자료!$B$2:$B$501,0),""))))</f>
        <v/>
      </c>
    </row>
    <row r="12">
      <c r="A12" s="8">
        <f>IF(B12="","",ROW()-1)</f>
        <v/>
      </c>
      <c r="B12" s="9" t="n"/>
      <c r="C12" s="8">
        <f>IF($W12="","",IF(INDEX(기본자료!$C$2:$C$501,$W12)="","",INDEX(기본자료!$C$2:$C$501,$W12)))</f>
        <v/>
      </c>
      <c r="D12" s="8">
        <f>IF($W12="","",IF(INDEX(기본자료!$J$2:$J$501,$W12)="","",INDEX(기본자료!$J$2:$J$501,$W12)))</f>
        <v/>
      </c>
      <c r="E12" s="10">
        <f>IF($W12="","",IF(INDEX(기본자료!$K$2:$K$501,$W12)="","",IF(NOT(ISNUMBER(INDEX(기본자료!$K$2:$K$501,$W12))),INDEX(기본자료!$K$2:$K$501,$W12),IF(INDEX(기본자료!$K$2:$K$501,$W12)&lt;1000000,INDEX(기본자료!$K$2:$K$501,$W12),IF(AND(INDEX(기본자료!$K$2:$K$501,$W12)&gt;=10000101,INT(MOD(INDEX(기본자료!$K$2:$K$501,$W12),10000)/100)&gt;=1,INT(MOD(INDEX(기본자료!$K$2:$K$501,$W12),10000)/100)&lt;=12,MOD(INDEX(기본자료!$K$2:$K$501,$W12),100)&gt;=1,MOD(INDEX(기본자료!$K$2:$K$501,$W12),100)&lt;=31),DATE(INT(INDEX(기본자료!$K$2:$K$501,$W12)/10000),INT(MOD(INDEX(기본자료!$K$2:$K$501,$W12),10000)/100),MOD(INDEX(기본자료!$K$2:$K$501,$W12),100)),INDEX(기본자료!$K$2:$K$501,$W12)&amp;"")))))</f>
        <v/>
      </c>
      <c r="F12" s="8">
        <f>IF($W12="","",IF(INDEX(기본자료!$D$2:$D$501,$W12)="","",INDEX(기본자료!$D$2:$D$501,$W12)))</f>
        <v/>
      </c>
      <c r="G12" s="8">
        <f>IF($W12="","",IF(INDEX(기본자료!$E$2:$E$501,$W12)="","",INDEX(기본자료!$E$2:$E$501,$W12)))</f>
        <v/>
      </c>
      <c r="H12" s="8">
        <f>IF($W12="","",IF(INDEX(기본자료!$F$2:$F$501,$W12)="","",INDEX(기본자료!$F$2:$F$501,$W12)))</f>
        <v/>
      </c>
      <c r="I12" s="10">
        <f>IF($W12="","",IF(INDEX(기본자료!$G$2:$G$501,$W12)="","",IF(NOT(ISNUMBER(INDEX(기본자료!$G$2:$G$501,$W12))),INDEX(기본자료!$G$2:$G$501,$W12),IF(INDEX(기본자료!$G$2:$G$501,$W12)&lt;1000000,INDEX(기본자료!$G$2:$G$501,$W12),IF(AND(INDEX(기본자료!$G$2:$G$501,$W12)&gt;=10000101,INT(MOD(INDEX(기본자료!$G$2:$G$501,$W12),10000)/100)&gt;=1,INT(MOD(INDEX(기본자료!$G$2:$G$501,$W12),10000)/100)&lt;=12,MOD(INDEX(기본자료!$G$2:$G$501,$W12),100)&gt;=1,MOD(INDEX(기본자료!$G$2:$G$501,$W12),100)&lt;=31),DATE(INT(INDEX(기본자료!$G$2:$G$501,$W12)/10000),INT(MOD(INDEX(기본자료!$G$2:$G$501,$W12),10000)/100),MOD(INDEX(기본자료!$G$2:$G$501,$W12),100)),INDEX(기본자료!$G$2:$G$501,$W12)&amp;"")))))</f>
        <v/>
      </c>
      <c r="J12" s="8">
        <f>IF($W12="","",IF(INDEX(기본자료!$H$2:$H$501,$W12)="","",INDEX(기본자료!$H$2:$H$501,$W12)))</f>
        <v/>
      </c>
      <c r="K12" s="8">
        <f>IF($W12="","",IF(INDEX(기본자료!$I$2:$I$501,$W12)="","",INDEX(기본자료!$I$2:$I$501,$W12)))</f>
        <v/>
      </c>
      <c r="L12" s="8">
        <f>IF($W12="","",IF(INDEX(기본자료!$A$2:$A$501,$W12)="","",INDEX(기본자료!$A$2:$A$501,$W12)))</f>
        <v/>
      </c>
      <c r="M12" s="5" t="n"/>
      <c r="N12" s="5" t="n"/>
      <c r="O12" s="5" t="n"/>
      <c r="P12" s="5" t="n"/>
      <c r="Q12" s="11" t="n"/>
      <c r="R12" s="11" t="n"/>
      <c r="S12" s="8">
        <f>IF(OR(B12="",Q12=""),"",IF(TODAY()&lt;Q12,"파견예정",IF(AND(R12&lt;&gt;"",TODAY()&gt;R12),"파견종료","파견중")))</f>
        <v/>
      </c>
      <c r="T12" s="12">
        <f>IF(OR(Q12="",R12=""),"",R12-Q12+1)</f>
        <v/>
      </c>
      <c r="U12" s="12">
        <f>IF(AND(S12="파견중",R12&lt;&gt;""),R12-TODAY(),"")</f>
        <v/>
      </c>
      <c r="V12" s="5" t="n"/>
      <c r="W12" s="8">
        <f>IF(B12="","",IFERROR(MATCH(B12,기본자료!$B$2:$B$501,0),IFERROR(MATCH(B12&amp;"",기본자료!$B$2:$B$501,0),IFERROR(MATCH(VALUE(B12),기본자료!$B$2:$B$501,0),""))))</f>
        <v/>
      </c>
    </row>
    <row r="13">
      <c r="A13" s="8">
        <f>IF(B13="","",ROW()-1)</f>
        <v/>
      </c>
      <c r="B13" s="9" t="n"/>
      <c r="C13" s="8">
        <f>IF($W13="","",IF(INDEX(기본자료!$C$2:$C$501,$W13)="","",INDEX(기본자료!$C$2:$C$501,$W13)))</f>
        <v/>
      </c>
      <c r="D13" s="8">
        <f>IF($W13="","",IF(INDEX(기본자료!$J$2:$J$501,$W13)="","",INDEX(기본자료!$J$2:$J$501,$W13)))</f>
        <v/>
      </c>
      <c r="E13" s="10">
        <f>IF($W13="","",IF(INDEX(기본자료!$K$2:$K$501,$W13)="","",IF(NOT(ISNUMBER(INDEX(기본자료!$K$2:$K$501,$W13))),INDEX(기본자료!$K$2:$K$501,$W13),IF(INDEX(기본자료!$K$2:$K$501,$W13)&lt;1000000,INDEX(기본자료!$K$2:$K$501,$W13),IF(AND(INDEX(기본자료!$K$2:$K$501,$W13)&gt;=10000101,INT(MOD(INDEX(기본자료!$K$2:$K$501,$W13),10000)/100)&gt;=1,INT(MOD(INDEX(기본자료!$K$2:$K$501,$W13),10000)/100)&lt;=12,MOD(INDEX(기본자료!$K$2:$K$501,$W13),100)&gt;=1,MOD(INDEX(기본자료!$K$2:$K$501,$W13),100)&lt;=31),DATE(INT(INDEX(기본자료!$K$2:$K$501,$W13)/10000),INT(MOD(INDEX(기본자료!$K$2:$K$501,$W13),10000)/100),MOD(INDEX(기본자료!$K$2:$K$501,$W13),100)),INDEX(기본자료!$K$2:$K$501,$W13)&amp;"")))))</f>
        <v/>
      </c>
      <c r="F13" s="8">
        <f>IF($W13="","",IF(INDEX(기본자료!$D$2:$D$501,$W13)="","",INDEX(기본자료!$D$2:$D$501,$W13)))</f>
        <v/>
      </c>
      <c r="G13" s="8">
        <f>IF($W13="","",IF(INDEX(기본자료!$E$2:$E$501,$W13)="","",INDEX(기본자료!$E$2:$E$501,$W13)))</f>
        <v/>
      </c>
      <c r="H13" s="8">
        <f>IF($W13="","",IF(INDEX(기본자료!$F$2:$F$501,$W13)="","",INDEX(기본자료!$F$2:$F$501,$W13)))</f>
        <v/>
      </c>
      <c r="I13" s="10">
        <f>IF($W13="","",IF(INDEX(기본자료!$G$2:$G$501,$W13)="","",IF(NOT(ISNUMBER(INDEX(기본자료!$G$2:$G$501,$W13))),INDEX(기본자료!$G$2:$G$501,$W13),IF(INDEX(기본자료!$G$2:$G$501,$W13)&lt;1000000,INDEX(기본자료!$G$2:$G$501,$W13),IF(AND(INDEX(기본자료!$G$2:$G$501,$W13)&gt;=10000101,INT(MOD(INDEX(기본자료!$G$2:$G$501,$W13),10000)/100)&gt;=1,INT(MOD(INDEX(기본자료!$G$2:$G$501,$W13),10000)/100)&lt;=12,MOD(INDEX(기본자료!$G$2:$G$501,$W13),100)&gt;=1,MOD(INDEX(기본자료!$G$2:$G$501,$W13),100)&lt;=31),DATE(INT(INDEX(기본자료!$G$2:$G$501,$W13)/10000),INT(MOD(INDEX(기본자료!$G$2:$G$501,$W13),10000)/100),MOD(INDEX(기본자료!$G$2:$G$501,$W13),100)),INDEX(기본자료!$G$2:$G$501,$W13)&amp;"")))))</f>
        <v/>
      </c>
      <c r="J13" s="8">
        <f>IF($W13="","",IF(INDEX(기본자료!$H$2:$H$501,$W13)="","",INDEX(기본자료!$H$2:$H$501,$W13)))</f>
        <v/>
      </c>
      <c r="K13" s="8">
        <f>IF($W13="","",IF(INDEX(기본자료!$I$2:$I$501,$W13)="","",INDEX(기본자료!$I$2:$I$501,$W13)))</f>
        <v/>
      </c>
      <c r="L13" s="8">
        <f>IF($W13="","",IF(INDEX(기본자료!$A$2:$A$501,$W13)="","",INDEX(기본자료!$A$2:$A$501,$W13)))</f>
        <v/>
      </c>
      <c r="M13" s="5" t="n"/>
      <c r="N13" s="5" t="n"/>
      <c r="O13" s="5" t="n"/>
      <c r="P13" s="5" t="n"/>
      <c r="Q13" s="11" t="n"/>
      <c r="R13" s="11" t="n"/>
      <c r="S13" s="8">
        <f>IF(OR(B13="",Q13=""),"",IF(TODAY()&lt;Q13,"파견예정",IF(AND(R13&lt;&gt;"",TODAY()&gt;R13),"파견종료","파견중")))</f>
        <v/>
      </c>
      <c r="T13" s="12">
        <f>IF(OR(Q13="",R13=""),"",R13-Q13+1)</f>
        <v/>
      </c>
      <c r="U13" s="12">
        <f>IF(AND(S13="파견중",R13&lt;&gt;""),R13-TODAY(),"")</f>
        <v/>
      </c>
      <c r="V13" s="5" t="n"/>
      <c r="W13" s="8">
        <f>IF(B13="","",IFERROR(MATCH(B13,기본자료!$B$2:$B$501,0),IFERROR(MATCH(B13&amp;"",기본자료!$B$2:$B$501,0),IFERROR(MATCH(VALUE(B13),기본자료!$B$2:$B$501,0),""))))</f>
        <v/>
      </c>
    </row>
    <row r="14">
      <c r="A14" s="8">
        <f>IF(B14="","",ROW()-1)</f>
        <v/>
      </c>
      <c r="B14" s="9" t="n"/>
      <c r="C14" s="8">
        <f>IF($W14="","",IF(INDEX(기본자료!$C$2:$C$501,$W14)="","",INDEX(기본자료!$C$2:$C$501,$W14)))</f>
        <v/>
      </c>
      <c r="D14" s="8">
        <f>IF($W14="","",IF(INDEX(기본자료!$J$2:$J$501,$W14)="","",INDEX(기본자료!$J$2:$J$501,$W14)))</f>
        <v/>
      </c>
      <c r="E14" s="10">
        <f>IF($W14="","",IF(INDEX(기본자료!$K$2:$K$501,$W14)="","",IF(NOT(ISNUMBER(INDEX(기본자료!$K$2:$K$501,$W14))),INDEX(기본자료!$K$2:$K$501,$W14),IF(INDEX(기본자료!$K$2:$K$501,$W14)&lt;1000000,INDEX(기본자료!$K$2:$K$501,$W14),IF(AND(INDEX(기본자료!$K$2:$K$501,$W14)&gt;=10000101,INT(MOD(INDEX(기본자료!$K$2:$K$501,$W14),10000)/100)&gt;=1,INT(MOD(INDEX(기본자료!$K$2:$K$501,$W14),10000)/100)&lt;=12,MOD(INDEX(기본자료!$K$2:$K$501,$W14),100)&gt;=1,MOD(INDEX(기본자료!$K$2:$K$501,$W14),100)&lt;=31),DATE(INT(INDEX(기본자료!$K$2:$K$501,$W14)/10000),INT(MOD(INDEX(기본자료!$K$2:$K$501,$W14),10000)/100),MOD(INDEX(기본자료!$K$2:$K$501,$W14),100)),INDEX(기본자료!$K$2:$K$501,$W14)&amp;"")))))</f>
        <v/>
      </c>
      <c r="F14" s="8">
        <f>IF($W14="","",IF(INDEX(기본자료!$D$2:$D$501,$W14)="","",INDEX(기본자료!$D$2:$D$501,$W14)))</f>
        <v/>
      </c>
      <c r="G14" s="8">
        <f>IF($W14="","",IF(INDEX(기본자료!$E$2:$E$501,$W14)="","",INDEX(기본자료!$E$2:$E$501,$W14)))</f>
        <v/>
      </c>
      <c r="H14" s="8">
        <f>IF($W14="","",IF(INDEX(기본자료!$F$2:$F$501,$W14)="","",INDEX(기본자료!$F$2:$F$501,$W14)))</f>
        <v/>
      </c>
      <c r="I14" s="10">
        <f>IF($W14="","",IF(INDEX(기본자료!$G$2:$G$501,$W14)="","",IF(NOT(ISNUMBER(INDEX(기본자료!$G$2:$G$501,$W14))),INDEX(기본자료!$G$2:$G$501,$W14),IF(INDEX(기본자료!$G$2:$G$501,$W14)&lt;1000000,INDEX(기본자료!$G$2:$G$501,$W14),IF(AND(INDEX(기본자료!$G$2:$G$501,$W14)&gt;=10000101,INT(MOD(INDEX(기본자료!$G$2:$G$501,$W14),10000)/100)&gt;=1,INT(MOD(INDEX(기본자료!$G$2:$G$501,$W14),10000)/100)&lt;=12,MOD(INDEX(기본자료!$G$2:$G$501,$W14),100)&gt;=1,MOD(INDEX(기본자료!$G$2:$G$501,$W14),100)&lt;=31),DATE(INT(INDEX(기본자료!$G$2:$G$501,$W14)/10000),INT(MOD(INDEX(기본자료!$G$2:$G$501,$W14),10000)/100),MOD(INDEX(기본자료!$G$2:$G$501,$W14),100)),INDEX(기본자료!$G$2:$G$501,$W14)&amp;"")))))</f>
        <v/>
      </c>
      <c r="J14" s="8">
        <f>IF($W14="","",IF(INDEX(기본자료!$H$2:$H$501,$W14)="","",INDEX(기본자료!$H$2:$H$501,$W14)))</f>
        <v/>
      </c>
      <c r="K14" s="8">
        <f>IF($W14="","",IF(INDEX(기본자료!$I$2:$I$501,$W14)="","",INDEX(기본자료!$I$2:$I$501,$W14)))</f>
        <v/>
      </c>
      <c r="L14" s="8">
        <f>IF($W14="","",IF(INDEX(기본자료!$A$2:$A$501,$W14)="","",INDEX(기본자료!$A$2:$A$501,$W14)))</f>
        <v/>
      </c>
      <c r="M14" s="5" t="n"/>
      <c r="N14" s="5" t="n"/>
      <c r="O14" s="5" t="n"/>
      <c r="P14" s="5" t="n"/>
      <c r="Q14" s="11" t="n"/>
      <c r="R14" s="11" t="n"/>
      <c r="S14" s="8">
        <f>IF(OR(B14="",Q14=""),"",IF(TODAY()&lt;Q14,"파견예정",IF(AND(R14&lt;&gt;"",TODAY()&gt;R14),"파견종료","파견중")))</f>
        <v/>
      </c>
      <c r="T14" s="12">
        <f>IF(OR(Q14="",R14=""),"",R14-Q14+1)</f>
        <v/>
      </c>
      <c r="U14" s="12">
        <f>IF(AND(S14="파견중",R14&lt;&gt;""),R14-TODAY(),"")</f>
        <v/>
      </c>
      <c r="V14" s="5" t="n"/>
      <c r="W14" s="8">
        <f>IF(B14="","",IFERROR(MATCH(B14,기본자료!$B$2:$B$501,0),IFERROR(MATCH(B14&amp;"",기본자료!$B$2:$B$501,0),IFERROR(MATCH(VALUE(B14),기본자료!$B$2:$B$501,0),""))))</f>
        <v/>
      </c>
    </row>
    <row r="15">
      <c r="A15" s="8">
        <f>IF(B15="","",ROW()-1)</f>
        <v/>
      </c>
      <c r="B15" s="9" t="n"/>
      <c r="C15" s="8">
        <f>IF($W15="","",IF(INDEX(기본자료!$C$2:$C$501,$W15)="","",INDEX(기본자료!$C$2:$C$501,$W15)))</f>
        <v/>
      </c>
      <c r="D15" s="8">
        <f>IF($W15="","",IF(INDEX(기본자료!$J$2:$J$501,$W15)="","",INDEX(기본자료!$J$2:$J$501,$W15)))</f>
        <v/>
      </c>
      <c r="E15" s="10">
        <f>IF($W15="","",IF(INDEX(기본자료!$K$2:$K$501,$W15)="","",IF(NOT(ISNUMBER(INDEX(기본자료!$K$2:$K$501,$W15))),INDEX(기본자료!$K$2:$K$501,$W15),IF(INDEX(기본자료!$K$2:$K$501,$W15)&lt;1000000,INDEX(기본자료!$K$2:$K$501,$W15),IF(AND(INDEX(기본자료!$K$2:$K$501,$W15)&gt;=10000101,INT(MOD(INDEX(기본자료!$K$2:$K$501,$W15),10000)/100)&gt;=1,INT(MOD(INDEX(기본자료!$K$2:$K$501,$W15),10000)/100)&lt;=12,MOD(INDEX(기본자료!$K$2:$K$501,$W15),100)&gt;=1,MOD(INDEX(기본자료!$K$2:$K$501,$W15),100)&lt;=31),DATE(INT(INDEX(기본자료!$K$2:$K$501,$W15)/10000),INT(MOD(INDEX(기본자료!$K$2:$K$501,$W15),10000)/100),MOD(INDEX(기본자료!$K$2:$K$501,$W15),100)),INDEX(기본자료!$K$2:$K$501,$W15)&amp;"")))))</f>
        <v/>
      </c>
      <c r="F15" s="8">
        <f>IF($W15="","",IF(INDEX(기본자료!$D$2:$D$501,$W15)="","",INDEX(기본자료!$D$2:$D$501,$W15)))</f>
        <v/>
      </c>
      <c r="G15" s="8">
        <f>IF($W15="","",IF(INDEX(기본자료!$E$2:$E$501,$W15)="","",INDEX(기본자료!$E$2:$E$501,$W15)))</f>
        <v/>
      </c>
      <c r="H15" s="8">
        <f>IF($W15="","",IF(INDEX(기본자료!$F$2:$F$501,$W15)="","",INDEX(기본자료!$F$2:$F$501,$W15)))</f>
        <v/>
      </c>
      <c r="I15" s="10">
        <f>IF($W15="","",IF(INDEX(기본자료!$G$2:$G$501,$W15)="","",IF(NOT(ISNUMBER(INDEX(기본자료!$G$2:$G$501,$W15))),INDEX(기본자료!$G$2:$G$501,$W15),IF(INDEX(기본자료!$G$2:$G$501,$W15)&lt;1000000,INDEX(기본자료!$G$2:$G$501,$W15),IF(AND(INDEX(기본자료!$G$2:$G$501,$W15)&gt;=10000101,INT(MOD(INDEX(기본자료!$G$2:$G$501,$W15),10000)/100)&gt;=1,INT(MOD(INDEX(기본자료!$G$2:$G$501,$W15),10000)/100)&lt;=12,MOD(INDEX(기본자료!$G$2:$G$501,$W15),100)&gt;=1,MOD(INDEX(기본자료!$G$2:$G$501,$W15),100)&lt;=31),DATE(INT(INDEX(기본자료!$G$2:$G$501,$W15)/10000),INT(MOD(INDEX(기본자료!$G$2:$G$501,$W15),10000)/100),MOD(INDEX(기본자료!$G$2:$G$501,$W15),100)),INDEX(기본자료!$G$2:$G$501,$W15)&amp;"")))))</f>
        <v/>
      </c>
      <c r="J15" s="8">
        <f>IF($W15="","",IF(INDEX(기본자료!$H$2:$H$501,$W15)="","",INDEX(기본자료!$H$2:$H$501,$W15)))</f>
        <v/>
      </c>
      <c r="K15" s="8">
        <f>IF($W15="","",IF(INDEX(기본자료!$I$2:$I$501,$W15)="","",INDEX(기본자료!$I$2:$I$501,$W15)))</f>
        <v/>
      </c>
      <c r="L15" s="8">
        <f>IF($W15="","",IF(INDEX(기본자료!$A$2:$A$501,$W15)="","",INDEX(기본자료!$A$2:$A$501,$W15)))</f>
        <v/>
      </c>
      <c r="M15" s="5" t="n"/>
      <c r="N15" s="5" t="n"/>
      <c r="O15" s="5" t="n"/>
      <c r="P15" s="5" t="n"/>
      <c r="Q15" s="11" t="n"/>
      <c r="R15" s="11" t="n"/>
      <c r="S15" s="8">
        <f>IF(OR(B15="",Q15=""),"",IF(TODAY()&lt;Q15,"파견예정",IF(AND(R15&lt;&gt;"",TODAY()&gt;R15),"파견종료","파견중")))</f>
        <v/>
      </c>
      <c r="T15" s="12">
        <f>IF(OR(Q15="",R15=""),"",R15-Q15+1)</f>
        <v/>
      </c>
      <c r="U15" s="12">
        <f>IF(AND(S15="파견중",R15&lt;&gt;""),R15-TODAY(),"")</f>
        <v/>
      </c>
      <c r="V15" s="5" t="n"/>
      <c r="W15" s="8">
        <f>IF(B15="","",IFERROR(MATCH(B15,기본자료!$B$2:$B$501,0),IFERROR(MATCH(B15&amp;"",기본자료!$B$2:$B$501,0),IFERROR(MATCH(VALUE(B15),기본자료!$B$2:$B$501,0),""))))</f>
        <v/>
      </c>
    </row>
    <row r="16">
      <c r="A16" s="8">
        <f>IF(B16="","",ROW()-1)</f>
        <v/>
      </c>
      <c r="B16" s="9" t="n"/>
      <c r="C16" s="8">
        <f>IF($W16="","",IF(INDEX(기본자료!$C$2:$C$501,$W16)="","",INDEX(기본자료!$C$2:$C$501,$W16)))</f>
        <v/>
      </c>
      <c r="D16" s="8">
        <f>IF($W16="","",IF(INDEX(기본자료!$J$2:$J$501,$W16)="","",INDEX(기본자료!$J$2:$J$501,$W16)))</f>
        <v/>
      </c>
      <c r="E16" s="10">
        <f>IF($W16="","",IF(INDEX(기본자료!$K$2:$K$501,$W16)="","",IF(NOT(ISNUMBER(INDEX(기본자료!$K$2:$K$501,$W16))),INDEX(기본자료!$K$2:$K$501,$W16),IF(INDEX(기본자료!$K$2:$K$501,$W16)&lt;1000000,INDEX(기본자료!$K$2:$K$501,$W16),IF(AND(INDEX(기본자료!$K$2:$K$501,$W16)&gt;=10000101,INT(MOD(INDEX(기본자료!$K$2:$K$501,$W16),10000)/100)&gt;=1,INT(MOD(INDEX(기본자료!$K$2:$K$501,$W16),10000)/100)&lt;=12,MOD(INDEX(기본자료!$K$2:$K$501,$W16),100)&gt;=1,MOD(INDEX(기본자료!$K$2:$K$501,$W16),100)&lt;=31),DATE(INT(INDEX(기본자료!$K$2:$K$501,$W16)/10000),INT(MOD(INDEX(기본자료!$K$2:$K$501,$W16),10000)/100),MOD(INDEX(기본자료!$K$2:$K$501,$W16),100)),INDEX(기본자료!$K$2:$K$501,$W16)&amp;"")))))</f>
        <v/>
      </c>
      <c r="F16" s="8">
        <f>IF($W16="","",IF(INDEX(기본자료!$D$2:$D$501,$W16)="","",INDEX(기본자료!$D$2:$D$501,$W16)))</f>
        <v/>
      </c>
      <c r="G16" s="8">
        <f>IF($W16="","",IF(INDEX(기본자료!$E$2:$E$501,$W16)="","",INDEX(기본자료!$E$2:$E$501,$W16)))</f>
        <v/>
      </c>
      <c r="H16" s="8">
        <f>IF($W16="","",IF(INDEX(기본자료!$F$2:$F$501,$W16)="","",INDEX(기본자료!$F$2:$F$501,$W16)))</f>
        <v/>
      </c>
      <c r="I16" s="10">
        <f>IF($W16="","",IF(INDEX(기본자료!$G$2:$G$501,$W16)="","",IF(NOT(ISNUMBER(INDEX(기본자료!$G$2:$G$501,$W16))),INDEX(기본자료!$G$2:$G$501,$W16),IF(INDEX(기본자료!$G$2:$G$501,$W16)&lt;1000000,INDEX(기본자료!$G$2:$G$501,$W16),IF(AND(INDEX(기본자료!$G$2:$G$501,$W16)&gt;=10000101,INT(MOD(INDEX(기본자료!$G$2:$G$501,$W16),10000)/100)&gt;=1,INT(MOD(INDEX(기본자료!$G$2:$G$501,$W16),10000)/100)&lt;=12,MOD(INDEX(기본자료!$G$2:$G$501,$W16),100)&gt;=1,MOD(INDEX(기본자료!$G$2:$G$501,$W16),100)&lt;=31),DATE(INT(INDEX(기본자료!$G$2:$G$501,$W16)/10000),INT(MOD(INDEX(기본자료!$G$2:$G$501,$W16),10000)/100),MOD(INDEX(기본자료!$G$2:$G$501,$W16),100)),INDEX(기본자료!$G$2:$G$501,$W16)&amp;"")))))</f>
        <v/>
      </c>
      <c r="J16" s="8">
        <f>IF($W16="","",IF(INDEX(기본자료!$H$2:$H$501,$W16)="","",INDEX(기본자료!$H$2:$H$501,$W16)))</f>
        <v/>
      </c>
      <c r="K16" s="8">
        <f>IF($W16="","",IF(INDEX(기본자료!$I$2:$I$501,$W16)="","",INDEX(기본자료!$I$2:$I$501,$W16)))</f>
        <v/>
      </c>
      <c r="L16" s="8">
        <f>IF($W16="","",IF(INDEX(기본자료!$A$2:$A$501,$W16)="","",INDEX(기본자료!$A$2:$A$501,$W16)))</f>
        <v/>
      </c>
      <c r="M16" s="5" t="n"/>
      <c r="N16" s="5" t="n"/>
      <c r="O16" s="5" t="n"/>
      <c r="P16" s="5" t="n"/>
      <c r="Q16" s="11" t="n"/>
      <c r="R16" s="11" t="n"/>
      <c r="S16" s="8">
        <f>IF(OR(B16="",Q16=""),"",IF(TODAY()&lt;Q16,"파견예정",IF(AND(R16&lt;&gt;"",TODAY()&gt;R16),"파견종료","파견중")))</f>
        <v/>
      </c>
      <c r="T16" s="12">
        <f>IF(OR(Q16="",R16=""),"",R16-Q16+1)</f>
        <v/>
      </c>
      <c r="U16" s="12">
        <f>IF(AND(S16="파견중",R16&lt;&gt;""),R16-TODAY(),"")</f>
        <v/>
      </c>
      <c r="V16" s="5" t="n"/>
      <c r="W16" s="8">
        <f>IF(B16="","",IFERROR(MATCH(B16,기본자료!$B$2:$B$501,0),IFERROR(MATCH(B16&amp;"",기본자료!$B$2:$B$501,0),IFERROR(MATCH(VALUE(B16),기본자료!$B$2:$B$501,0),""))))</f>
        <v/>
      </c>
    </row>
    <row r="17">
      <c r="A17" s="8">
        <f>IF(B17="","",ROW()-1)</f>
        <v/>
      </c>
      <c r="B17" s="9" t="n"/>
      <c r="C17" s="8">
        <f>IF($W17="","",IF(INDEX(기본자료!$C$2:$C$501,$W17)="","",INDEX(기본자료!$C$2:$C$501,$W17)))</f>
        <v/>
      </c>
      <c r="D17" s="8">
        <f>IF($W17="","",IF(INDEX(기본자료!$J$2:$J$501,$W17)="","",INDEX(기본자료!$J$2:$J$501,$W17)))</f>
        <v/>
      </c>
      <c r="E17" s="10">
        <f>IF($W17="","",IF(INDEX(기본자료!$K$2:$K$501,$W17)="","",IF(NOT(ISNUMBER(INDEX(기본자료!$K$2:$K$501,$W17))),INDEX(기본자료!$K$2:$K$501,$W17),IF(INDEX(기본자료!$K$2:$K$501,$W17)&lt;1000000,INDEX(기본자료!$K$2:$K$501,$W17),IF(AND(INDEX(기본자료!$K$2:$K$501,$W17)&gt;=10000101,INT(MOD(INDEX(기본자료!$K$2:$K$501,$W17),10000)/100)&gt;=1,INT(MOD(INDEX(기본자료!$K$2:$K$501,$W17),10000)/100)&lt;=12,MOD(INDEX(기본자료!$K$2:$K$501,$W17),100)&gt;=1,MOD(INDEX(기본자료!$K$2:$K$501,$W17),100)&lt;=31),DATE(INT(INDEX(기본자료!$K$2:$K$501,$W17)/10000),INT(MOD(INDEX(기본자료!$K$2:$K$501,$W17),10000)/100),MOD(INDEX(기본자료!$K$2:$K$501,$W17),100)),INDEX(기본자료!$K$2:$K$501,$W17)&amp;"")))))</f>
        <v/>
      </c>
      <c r="F17" s="8">
        <f>IF($W17="","",IF(INDEX(기본자료!$D$2:$D$501,$W17)="","",INDEX(기본자료!$D$2:$D$501,$W17)))</f>
        <v/>
      </c>
      <c r="G17" s="8">
        <f>IF($W17="","",IF(INDEX(기본자료!$E$2:$E$501,$W17)="","",INDEX(기본자료!$E$2:$E$501,$W17)))</f>
        <v/>
      </c>
      <c r="H17" s="8">
        <f>IF($W17="","",IF(INDEX(기본자료!$F$2:$F$501,$W17)="","",INDEX(기본자료!$F$2:$F$501,$W17)))</f>
        <v/>
      </c>
      <c r="I17" s="10">
        <f>IF($W17="","",IF(INDEX(기본자료!$G$2:$G$501,$W17)="","",IF(NOT(ISNUMBER(INDEX(기본자료!$G$2:$G$501,$W17))),INDEX(기본자료!$G$2:$G$501,$W17),IF(INDEX(기본자료!$G$2:$G$501,$W17)&lt;1000000,INDEX(기본자료!$G$2:$G$501,$W17),IF(AND(INDEX(기본자료!$G$2:$G$501,$W17)&gt;=10000101,INT(MOD(INDEX(기본자료!$G$2:$G$501,$W17),10000)/100)&gt;=1,INT(MOD(INDEX(기본자료!$G$2:$G$501,$W17),10000)/100)&lt;=12,MOD(INDEX(기본자료!$G$2:$G$501,$W17),100)&gt;=1,MOD(INDEX(기본자료!$G$2:$G$501,$W17),100)&lt;=31),DATE(INT(INDEX(기본자료!$G$2:$G$501,$W17)/10000),INT(MOD(INDEX(기본자료!$G$2:$G$501,$W17),10000)/100),MOD(INDEX(기본자료!$G$2:$G$501,$W17),100)),INDEX(기본자료!$G$2:$G$501,$W17)&amp;"")))))</f>
        <v/>
      </c>
      <c r="J17" s="8">
        <f>IF($W17="","",IF(INDEX(기본자료!$H$2:$H$501,$W17)="","",INDEX(기본자료!$H$2:$H$501,$W17)))</f>
        <v/>
      </c>
      <c r="K17" s="8">
        <f>IF($W17="","",IF(INDEX(기본자료!$I$2:$I$501,$W17)="","",INDEX(기본자료!$I$2:$I$501,$W17)))</f>
        <v/>
      </c>
      <c r="L17" s="8">
        <f>IF($W17="","",IF(INDEX(기본자료!$A$2:$A$501,$W17)="","",INDEX(기본자료!$A$2:$A$501,$W17)))</f>
        <v/>
      </c>
      <c r="M17" s="5" t="n"/>
      <c r="N17" s="5" t="n"/>
      <c r="O17" s="5" t="n"/>
      <c r="P17" s="5" t="n"/>
      <c r="Q17" s="11" t="n"/>
      <c r="R17" s="11" t="n"/>
      <c r="S17" s="8">
        <f>IF(OR(B17="",Q17=""),"",IF(TODAY()&lt;Q17,"파견예정",IF(AND(R17&lt;&gt;"",TODAY()&gt;R17),"파견종료","파견중")))</f>
        <v/>
      </c>
      <c r="T17" s="12">
        <f>IF(OR(Q17="",R17=""),"",R17-Q17+1)</f>
        <v/>
      </c>
      <c r="U17" s="12">
        <f>IF(AND(S17="파견중",R17&lt;&gt;""),R17-TODAY(),"")</f>
        <v/>
      </c>
      <c r="V17" s="5" t="n"/>
      <c r="W17" s="8">
        <f>IF(B17="","",IFERROR(MATCH(B17,기본자료!$B$2:$B$501,0),IFERROR(MATCH(B17&amp;"",기본자료!$B$2:$B$501,0),IFERROR(MATCH(VALUE(B17),기본자료!$B$2:$B$501,0),""))))</f>
        <v/>
      </c>
    </row>
    <row r="18">
      <c r="A18" s="8">
        <f>IF(B18="","",ROW()-1)</f>
        <v/>
      </c>
      <c r="B18" s="9" t="n"/>
      <c r="C18" s="8">
        <f>IF($W18="","",IF(INDEX(기본자료!$C$2:$C$501,$W18)="","",INDEX(기본자료!$C$2:$C$501,$W18)))</f>
        <v/>
      </c>
      <c r="D18" s="8">
        <f>IF($W18="","",IF(INDEX(기본자료!$J$2:$J$501,$W18)="","",INDEX(기본자료!$J$2:$J$501,$W18)))</f>
        <v/>
      </c>
      <c r="E18" s="10">
        <f>IF($W18="","",IF(INDEX(기본자료!$K$2:$K$501,$W18)="","",IF(NOT(ISNUMBER(INDEX(기본자료!$K$2:$K$501,$W18))),INDEX(기본자료!$K$2:$K$501,$W18),IF(INDEX(기본자료!$K$2:$K$501,$W18)&lt;1000000,INDEX(기본자료!$K$2:$K$501,$W18),IF(AND(INDEX(기본자료!$K$2:$K$501,$W18)&gt;=10000101,INT(MOD(INDEX(기본자료!$K$2:$K$501,$W18),10000)/100)&gt;=1,INT(MOD(INDEX(기본자료!$K$2:$K$501,$W18),10000)/100)&lt;=12,MOD(INDEX(기본자료!$K$2:$K$501,$W18),100)&gt;=1,MOD(INDEX(기본자료!$K$2:$K$501,$W18),100)&lt;=31),DATE(INT(INDEX(기본자료!$K$2:$K$501,$W18)/10000),INT(MOD(INDEX(기본자료!$K$2:$K$501,$W18),10000)/100),MOD(INDEX(기본자료!$K$2:$K$501,$W18),100)),INDEX(기본자료!$K$2:$K$501,$W18)&amp;"")))))</f>
        <v/>
      </c>
      <c r="F18" s="8">
        <f>IF($W18="","",IF(INDEX(기본자료!$D$2:$D$501,$W18)="","",INDEX(기본자료!$D$2:$D$501,$W18)))</f>
        <v/>
      </c>
      <c r="G18" s="8">
        <f>IF($W18="","",IF(INDEX(기본자료!$E$2:$E$501,$W18)="","",INDEX(기본자료!$E$2:$E$501,$W18)))</f>
        <v/>
      </c>
      <c r="H18" s="8">
        <f>IF($W18="","",IF(INDEX(기본자료!$F$2:$F$501,$W18)="","",INDEX(기본자료!$F$2:$F$501,$W18)))</f>
        <v/>
      </c>
      <c r="I18" s="10">
        <f>IF($W18="","",IF(INDEX(기본자료!$G$2:$G$501,$W18)="","",IF(NOT(ISNUMBER(INDEX(기본자료!$G$2:$G$501,$W18))),INDEX(기본자료!$G$2:$G$501,$W18),IF(INDEX(기본자료!$G$2:$G$501,$W18)&lt;1000000,INDEX(기본자료!$G$2:$G$501,$W18),IF(AND(INDEX(기본자료!$G$2:$G$501,$W18)&gt;=10000101,INT(MOD(INDEX(기본자료!$G$2:$G$501,$W18),10000)/100)&gt;=1,INT(MOD(INDEX(기본자료!$G$2:$G$501,$W18),10000)/100)&lt;=12,MOD(INDEX(기본자료!$G$2:$G$501,$W18),100)&gt;=1,MOD(INDEX(기본자료!$G$2:$G$501,$W18),100)&lt;=31),DATE(INT(INDEX(기본자료!$G$2:$G$501,$W18)/10000),INT(MOD(INDEX(기본자료!$G$2:$G$501,$W18),10000)/100),MOD(INDEX(기본자료!$G$2:$G$501,$W18),100)),INDEX(기본자료!$G$2:$G$501,$W18)&amp;"")))))</f>
        <v/>
      </c>
      <c r="J18" s="8">
        <f>IF($W18="","",IF(INDEX(기본자료!$H$2:$H$501,$W18)="","",INDEX(기본자료!$H$2:$H$501,$W18)))</f>
        <v/>
      </c>
      <c r="K18" s="8">
        <f>IF($W18="","",IF(INDEX(기본자료!$I$2:$I$501,$W18)="","",INDEX(기본자료!$I$2:$I$501,$W18)))</f>
        <v/>
      </c>
      <c r="L18" s="8">
        <f>IF($W18="","",IF(INDEX(기본자료!$A$2:$A$501,$W18)="","",INDEX(기본자료!$A$2:$A$501,$W18)))</f>
        <v/>
      </c>
      <c r="M18" s="5" t="n"/>
      <c r="N18" s="5" t="n"/>
      <c r="O18" s="5" t="n"/>
      <c r="P18" s="5" t="n"/>
      <c r="Q18" s="11" t="n"/>
      <c r="R18" s="11" t="n"/>
      <c r="S18" s="8">
        <f>IF(OR(B18="",Q18=""),"",IF(TODAY()&lt;Q18,"파견예정",IF(AND(R18&lt;&gt;"",TODAY()&gt;R18),"파견종료","파견중")))</f>
        <v/>
      </c>
      <c r="T18" s="12">
        <f>IF(OR(Q18="",R18=""),"",R18-Q18+1)</f>
        <v/>
      </c>
      <c r="U18" s="12">
        <f>IF(AND(S18="파견중",R18&lt;&gt;""),R18-TODAY(),"")</f>
        <v/>
      </c>
      <c r="V18" s="5" t="n"/>
      <c r="W18" s="8">
        <f>IF(B18="","",IFERROR(MATCH(B18,기본자료!$B$2:$B$501,0),IFERROR(MATCH(B18&amp;"",기본자료!$B$2:$B$501,0),IFERROR(MATCH(VALUE(B18),기본자료!$B$2:$B$501,0),""))))</f>
        <v/>
      </c>
    </row>
    <row r="19">
      <c r="A19" s="8">
        <f>IF(B19="","",ROW()-1)</f>
        <v/>
      </c>
      <c r="B19" s="9" t="n"/>
      <c r="C19" s="8">
        <f>IF($W19="","",IF(INDEX(기본자료!$C$2:$C$501,$W19)="","",INDEX(기본자료!$C$2:$C$501,$W19)))</f>
        <v/>
      </c>
      <c r="D19" s="8">
        <f>IF($W19="","",IF(INDEX(기본자료!$J$2:$J$501,$W19)="","",INDEX(기본자료!$J$2:$J$501,$W19)))</f>
        <v/>
      </c>
      <c r="E19" s="10">
        <f>IF($W19="","",IF(INDEX(기본자료!$K$2:$K$501,$W19)="","",IF(NOT(ISNUMBER(INDEX(기본자료!$K$2:$K$501,$W19))),INDEX(기본자료!$K$2:$K$501,$W19),IF(INDEX(기본자료!$K$2:$K$501,$W19)&lt;1000000,INDEX(기본자료!$K$2:$K$501,$W19),IF(AND(INDEX(기본자료!$K$2:$K$501,$W19)&gt;=10000101,INT(MOD(INDEX(기본자료!$K$2:$K$501,$W19),10000)/100)&gt;=1,INT(MOD(INDEX(기본자료!$K$2:$K$501,$W19),10000)/100)&lt;=12,MOD(INDEX(기본자료!$K$2:$K$501,$W19),100)&gt;=1,MOD(INDEX(기본자료!$K$2:$K$501,$W19),100)&lt;=31),DATE(INT(INDEX(기본자료!$K$2:$K$501,$W19)/10000),INT(MOD(INDEX(기본자료!$K$2:$K$501,$W19),10000)/100),MOD(INDEX(기본자료!$K$2:$K$501,$W19),100)),INDEX(기본자료!$K$2:$K$501,$W19)&amp;"")))))</f>
        <v/>
      </c>
      <c r="F19" s="8">
        <f>IF($W19="","",IF(INDEX(기본자료!$D$2:$D$501,$W19)="","",INDEX(기본자료!$D$2:$D$501,$W19)))</f>
        <v/>
      </c>
      <c r="G19" s="8">
        <f>IF($W19="","",IF(INDEX(기본자료!$E$2:$E$501,$W19)="","",INDEX(기본자료!$E$2:$E$501,$W19)))</f>
        <v/>
      </c>
      <c r="H19" s="8">
        <f>IF($W19="","",IF(INDEX(기본자료!$F$2:$F$501,$W19)="","",INDEX(기본자료!$F$2:$F$501,$W19)))</f>
        <v/>
      </c>
      <c r="I19" s="10">
        <f>IF($W19="","",IF(INDEX(기본자료!$G$2:$G$501,$W19)="","",IF(NOT(ISNUMBER(INDEX(기본자료!$G$2:$G$501,$W19))),INDEX(기본자료!$G$2:$G$501,$W19),IF(INDEX(기본자료!$G$2:$G$501,$W19)&lt;1000000,INDEX(기본자료!$G$2:$G$501,$W19),IF(AND(INDEX(기본자료!$G$2:$G$501,$W19)&gt;=10000101,INT(MOD(INDEX(기본자료!$G$2:$G$501,$W19),10000)/100)&gt;=1,INT(MOD(INDEX(기본자료!$G$2:$G$501,$W19),10000)/100)&lt;=12,MOD(INDEX(기본자료!$G$2:$G$501,$W19),100)&gt;=1,MOD(INDEX(기본자료!$G$2:$G$501,$W19),100)&lt;=31),DATE(INT(INDEX(기본자료!$G$2:$G$501,$W19)/10000),INT(MOD(INDEX(기본자료!$G$2:$G$501,$W19),10000)/100),MOD(INDEX(기본자료!$G$2:$G$501,$W19),100)),INDEX(기본자료!$G$2:$G$501,$W19)&amp;"")))))</f>
        <v/>
      </c>
      <c r="J19" s="8">
        <f>IF($W19="","",IF(INDEX(기본자료!$H$2:$H$501,$W19)="","",INDEX(기본자료!$H$2:$H$501,$W19)))</f>
        <v/>
      </c>
      <c r="K19" s="8">
        <f>IF($W19="","",IF(INDEX(기본자료!$I$2:$I$501,$W19)="","",INDEX(기본자료!$I$2:$I$501,$W19)))</f>
        <v/>
      </c>
      <c r="L19" s="8">
        <f>IF($W19="","",IF(INDEX(기본자료!$A$2:$A$501,$W19)="","",INDEX(기본자료!$A$2:$A$501,$W19)))</f>
        <v/>
      </c>
      <c r="M19" s="5" t="n"/>
      <c r="N19" s="5" t="n"/>
      <c r="O19" s="5" t="n"/>
      <c r="P19" s="5" t="n"/>
      <c r="Q19" s="11" t="n"/>
      <c r="R19" s="11" t="n"/>
      <c r="S19" s="8">
        <f>IF(OR(B19="",Q19=""),"",IF(TODAY()&lt;Q19,"파견예정",IF(AND(R19&lt;&gt;"",TODAY()&gt;R19),"파견종료","파견중")))</f>
        <v/>
      </c>
      <c r="T19" s="12">
        <f>IF(OR(Q19="",R19=""),"",R19-Q19+1)</f>
        <v/>
      </c>
      <c r="U19" s="12">
        <f>IF(AND(S19="파견중",R19&lt;&gt;""),R19-TODAY(),"")</f>
        <v/>
      </c>
      <c r="V19" s="5" t="n"/>
      <c r="W19" s="8">
        <f>IF(B19="","",IFERROR(MATCH(B19,기본자료!$B$2:$B$501,0),IFERROR(MATCH(B19&amp;"",기본자료!$B$2:$B$501,0),IFERROR(MATCH(VALUE(B19),기본자료!$B$2:$B$501,0),""))))</f>
        <v/>
      </c>
    </row>
    <row r="20">
      <c r="A20" s="8">
        <f>IF(B20="","",ROW()-1)</f>
        <v/>
      </c>
      <c r="B20" s="9" t="n"/>
      <c r="C20" s="8">
        <f>IF($W20="","",IF(INDEX(기본자료!$C$2:$C$501,$W20)="","",INDEX(기본자료!$C$2:$C$501,$W20)))</f>
        <v/>
      </c>
      <c r="D20" s="8">
        <f>IF($W20="","",IF(INDEX(기본자료!$J$2:$J$501,$W20)="","",INDEX(기본자료!$J$2:$J$501,$W20)))</f>
        <v/>
      </c>
      <c r="E20" s="10">
        <f>IF($W20="","",IF(INDEX(기본자료!$K$2:$K$501,$W20)="","",IF(NOT(ISNUMBER(INDEX(기본자료!$K$2:$K$501,$W20))),INDEX(기본자료!$K$2:$K$501,$W20),IF(INDEX(기본자료!$K$2:$K$501,$W20)&lt;1000000,INDEX(기본자료!$K$2:$K$501,$W20),IF(AND(INDEX(기본자료!$K$2:$K$501,$W20)&gt;=10000101,INT(MOD(INDEX(기본자료!$K$2:$K$501,$W20),10000)/100)&gt;=1,INT(MOD(INDEX(기본자료!$K$2:$K$501,$W20),10000)/100)&lt;=12,MOD(INDEX(기본자료!$K$2:$K$501,$W20),100)&gt;=1,MOD(INDEX(기본자료!$K$2:$K$501,$W20),100)&lt;=31),DATE(INT(INDEX(기본자료!$K$2:$K$501,$W20)/10000),INT(MOD(INDEX(기본자료!$K$2:$K$501,$W20),10000)/100),MOD(INDEX(기본자료!$K$2:$K$501,$W20),100)),INDEX(기본자료!$K$2:$K$501,$W20)&amp;"")))))</f>
        <v/>
      </c>
      <c r="F20" s="8">
        <f>IF($W20="","",IF(INDEX(기본자료!$D$2:$D$501,$W20)="","",INDEX(기본자료!$D$2:$D$501,$W20)))</f>
        <v/>
      </c>
      <c r="G20" s="8">
        <f>IF($W20="","",IF(INDEX(기본자료!$E$2:$E$501,$W20)="","",INDEX(기본자료!$E$2:$E$501,$W20)))</f>
        <v/>
      </c>
      <c r="H20" s="8">
        <f>IF($W20="","",IF(INDEX(기본자료!$F$2:$F$501,$W20)="","",INDEX(기본자료!$F$2:$F$501,$W20)))</f>
        <v/>
      </c>
      <c r="I20" s="10">
        <f>IF($W20="","",IF(INDEX(기본자료!$G$2:$G$501,$W20)="","",IF(NOT(ISNUMBER(INDEX(기본자료!$G$2:$G$501,$W20))),INDEX(기본자료!$G$2:$G$501,$W20),IF(INDEX(기본자료!$G$2:$G$501,$W20)&lt;1000000,INDEX(기본자료!$G$2:$G$501,$W20),IF(AND(INDEX(기본자료!$G$2:$G$501,$W20)&gt;=10000101,INT(MOD(INDEX(기본자료!$G$2:$G$501,$W20),10000)/100)&gt;=1,INT(MOD(INDEX(기본자료!$G$2:$G$501,$W20),10000)/100)&lt;=12,MOD(INDEX(기본자료!$G$2:$G$501,$W20),100)&gt;=1,MOD(INDEX(기본자료!$G$2:$G$501,$W20),100)&lt;=31),DATE(INT(INDEX(기본자료!$G$2:$G$501,$W20)/10000),INT(MOD(INDEX(기본자료!$G$2:$G$501,$W20),10000)/100),MOD(INDEX(기본자료!$G$2:$G$501,$W20),100)),INDEX(기본자료!$G$2:$G$501,$W20)&amp;"")))))</f>
        <v/>
      </c>
      <c r="J20" s="8">
        <f>IF($W20="","",IF(INDEX(기본자료!$H$2:$H$501,$W20)="","",INDEX(기본자료!$H$2:$H$501,$W20)))</f>
        <v/>
      </c>
      <c r="K20" s="8">
        <f>IF($W20="","",IF(INDEX(기본자료!$I$2:$I$501,$W20)="","",INDEX(기본자료!$I$2:$I$501,$W20)))</f>
        <v/>
      </c>
      <c r="L20" s="8">
        <f>IF($W20="","",IF(INDEX(기본자료!$A$2:$A$501,$W20)="","",INDEX(기본자료!$A$2:$A$501,$W20)))</f>
        <v/>
      </c>
      <c r="M20" s="5" t="n"/>
      <c r="N20" s="5" t="n"/>
      <c r="O20" s="5" t="n"/>
      <c r="P20" s="5" t="n"/>
      <c r="Q20" s="11" t="n"/>
      <c r="R20" s="11" t="n"/>
      <c r="S20" s="8">
        <f>IF(OR(B20="",Q20=""),"",IF(TODAY()&lt;Q20,"파견예정",IF(AND(R20&lt;&gt;"",TODAY()&gt;R20),"파견종료","파견중")))</f>
        <v/>
      </c>
      <c r="T20" s="12">
        <f>IF(OR(Q20="",R20=""),"",R20-Q20+1)</f>
        <v/>
      </c>
      <c r="U20" s="12">
        <f>IF(AND(S20="파견중",R20&lt;&gt;""),R20-TODAY(),"")</f>
        <v/>
      </c>
      <c r="V20" s="5" t="n"/>
      <c r="W20" s="8">
        <f>IF(B20="","",IFERROR(MATCH(B20,기본자료!$B$2:$B$501,0),IFERROR(MATCH(B20&amp;"",기본자료!$B$2:$B$501,0),IFERROR(MATCH(VALUE(B20),기본자료!$B$2:$B$501,0),""))))</f>
        <v/>
      </c>
    </row>
    <row r="21">
      <c r="A21" s="8">
        <f>IF(B21="","",ROW()-1)</f>
        <v/>
      </c>
      <c r="B21" s="9" t="n"/>
      <c r="C21" s="8">
        <f>IF($W21="","",IF(INDEX(기본자료!$C$2:$C$501,$W21)="","",INDEX(기본자료!$C$2:$C$501,$W21)))</f>
        <v/>
      </c>
      <c r="D21" s="8">
        <f>IF($W21="","",IF(INDEX(기본자료!$J$2:$J$501,$W21)="","",INDEX(기본자료!$J$2:$J$501,$W21)))</f>
        <v/>
      </c>
      <c r="E21" s="10">
        <f>IF($W21="","",IF(INDEX(기본자료!$K$2:$K$501,$W21)="","",IF(NOT(ISNUMBER(INDEX(기본자료!$K$2:$K$501,$W21))),INDEX(기본자료!$K$2:$K$501,$W21),IF(INDEX(기본자료!$K$2:$K$501,$W21)&lt;1000000,INDEX(기본자료!$K$2:$K$501,$W21),IF(AND(INDEX(기본자료!$K$2:$K$501,$W21)&gt;=10000101,INT(MOD(INDEX(기본자료!$K$2:$K$501,$W21),10000)/100)&gt;=1,INT(MOD(INDEX(기본자료!$K$2:$K$501,$W21),10000)/100)&lt;=12,MOD(INDEX(기본자료!$K$2:$K$501,$W21),100)&gt;=1,MOD(INDEX(기본자료!$K$2:$K$501,$W21),100)&lt;=31),DATE(INT(INDEX(기본자료!$K$2:$K$501,$W21)/10000),INT(MOD(INDEX(기본자료!$K$2:$K$501,$W21),10000)/100),MOD(INDEX(기본자료!$K$2:$K$501,$W21),100)),INDEX(기본자료!$K$2:$K$501,$W21)&amp;"")))))</f>
        <v/>
      </c>
      <c r="F21" s="8">
        <f>IF($W21="","",IF(INDEX(기본자료!$D$2:$D$501,$W21)="","",INDEX(기본자료!$D$2:$D$501,$W21)))</f>
        <v/>
      </c>
      <c r="G21" s="8">
        <f>IF($W21="","",IF(INDEX(기본자료!$E$2:$E$501,$W21)="","",INDEX(기본자료!$E$2:$E$501,$W21)))</f>
        <v/>
      </c>
      <c r="H21" s="8">
        <f>IF($W21="","",IF(INDEX(기본자료!$F$2:$F$501,$W21)="","",INDEX(기본자료!$F$2:$F$501,$W21)))</f>
        <v/>
      </c>
      <c r="I21" s="10">
        <f>IF($W21="","",IF(INDEX(기본자료!$G$2:$G$501,$W21)="","",IF(NOT(ISNUMBER(INDEX(기본자료!$G$2:$G$501,$W21))),INDEX(기본자료!$G$2:$G$501,$W21),IF(INDEX(기본자료!$G$2:$G$501,$W21)&lt;1000000,INDEX(기본자료!$G$2:$G$501,$W21),IF(AND(INDEX(기본자료!$G$2:$G$501,$W21)&gt;=10000101,INT(MOD(INDEX(기본자료!$G$2:$G$501,$W21),10000)/100)&gt;=1,INT(MOD(INDEX(기본자료!$G$2:$G$501,$W21),10000)/100)&lt;=12,MOD(INDEX(기본자료!$G$2:$G$501,$W21),100)&gt;=1,MOD(INDEX(기본자료!$G$2:$G$501,$W21),100)&lt;=31),DATE(INT(INDEX(기본자료!$G$2:$G$501,$W21)/10000),INT(MOD(INDEX(기본자료!$G$2:$G$501,$W21),10000)/100),MOD(INDEX(기본자료!$G$2:$G$501,$W21),100)),INDEX(기본자료!$G$2:$G$501,$W21)&amp;"")))))</f>
        <v/>
      </c>
      <c r="J21" s="8">
        <f>IF($W21="","",IF(INDEX(기본자료!$H$2:$H$501,$W21)="","",INDEX(기본자료!$H$2:$H$501,$W21)))</f>
        <v/>
      </c>
      <c r="K21" s="8">
        <f>IF($W21="","",IF(INDEX(기본자료!$I$2:$I$501,$W21)="","",INDEX(기본자료!$I$2:$I$501,$W21)))</f>
        <v/>
      </c>
      <c r="L21" s="8">
        <f>IF($W21="","",IF(INDEX(기본자료!$A$2:$A$501,$W21)="","",INDEX(기본자료!$A$2:$A$501,$W21)))</f>
        <v/>
      </c>
      <c r="M21" s="5" t="n"/>
      <c r="N21" s="5" t="n"/>
      <c r="O21" s="5" t="n"/>
      <c r="P21" s="5" t="n"/>
      <c r="Q21" s="11" t="n"/>
      <c r="R21" s="11" t="n"/>
      <c r="S21" s="8">
        <f>IF(OR(B21="",Q21=""),"",IF(TODAY()&lt;Q21,"파견예정",IF(AND(R21&lt;&gt;"",TODAY()&gt;R21),"파견종료","파견중")))</f>
        <v/>
      </c>
      <c r="T21" s="12">
        <f>IF(OR(Q21="",R21=""),"",R21-Q21+1)</f>
        <v/>
      </c>
      <c r="U21" s="12">
        <f>IF(AND(S21="파견중",R21&lt;&gt;""),R21-TODAY(),"")</f>
        <v/>
      </c>
      <c r="V21" s="5" t="n"/>
      <c r="W21" s="8">
        <f>IF(B21="","",IFERROR(MATCH(B21,기본자료!$B$2:$B$501,0),IFERROR(MATCH(B21&amp;"",기본자료!$B$2:$B$501,0),IFERROR(MATCH(VALUE(B21),기본자료!$B$2:$B$501,0),""))))</f>
        <v/>
      </c>
    </row>
    <row r="22">
      <c r="A22" s="8">
        <f>IF(B22="","",ROW()-1)</f>
        <v/>
      </c>
      <c r="B22" s="9" t="n"/>
      <c r="C22" s="8">
        <f>IF($W22="","",IF(INDEX(기본자료!$C$2:$C$501,$W22)="","",INDEX(기본자료!$C$2:$C$501,$W22)))</f>
        <v/>
      </c>
      <c r="D22" s="8">
        <f>IF($W22="","",IF(INDEX(기본자료!$J$2:$J$501,$W22)="","",INDEX(기본자료!$J$2:$J$501,$W22)))</f>
        <v/>
      </c>
      <c r="E22" s="10">
        <f>IF($W22="","",IF(INDEX(기본자료!$K$2:$K$501,$W22)="","",IF(NOT(ISNUMBER(INDEX(기본자료!$K$2:$K$501,$W22))),INDEX(기본자료!$K$2:$K$501,$W22),IF(INDEX(기본자료!$K$2:$K$501,$W22)&lt;1000000,INDEX(기본자료!$K$2:$K$501,$W22),IF(AND(INDEX(기본자료!$K$2:$K$501,$W22)&gt;=10000101,INT(MOD(INDEX(기본자료!$K$2:$K$501,$W22),10000)/100)&gt;=1,INT(MOD(INDEX(기본자료!$K$2:$K$501,$W22),10000)/100)&lt;=12,MOD(INDEX(기본자료!$K$2:$K$501,$W22),100)&gt;=1,MOD(INDEX(기본자료!$K$2:$K$501,$W22),100)&lt;=31),DATE(INT(INDEX(기본자료!$K$2:$K$501,$W22)/10000),INT(MOD(INDEX(기본자료!$K$2:$K$501,$W22),10000)/100),MOD(INDEX(기본자료!$K$2:$K$501,$W22),100)),INDEX(기본자료!$K$2:$K$501,$W22)&amp;"")))))</f>
        <v/>
      </c>
      <c r="F22" s="8">
        <f>IF($W22="","",IF(INDEX(기본자료!$D$2:$D$501,$W22)="","",INDEX(기본자료!$D$2:$D$501,$W22)))</f>
        <v/>
      </c>
      <c r="G22" s="8">
        <f>IF($W22="","",IF(INDEX(기본자료!$E$2:$E$501,$W22)="","",INDEX(기본자료!$E$2:$E$501,$W22)))</f>
        <v/>
      </c>
      <c r="H22" s="8">
        <f>IF($W22="","",IF(INDEX(기본자료!$F$2:$F$501,$W22)="","",INDEX(기본자료!$F$2:$F$501,$W22)))</f>
        <v/>
      </c>
      <c r="I22" s="10">
        <f>IF($W22="","",IF(INDEX(기본자료!$G$2:$G$501,$W22)="","",IF(NOT(ISNUMBER(INDEX(기본자료!$G$2:$G$501,$W22))),INDEX(기본자료!$G$2:$G$501,$W22),IF(INDEX(기본자료!$G$2:$G$501,$W22)&lt;1000000,INDEX(기본자료!$G$2:$G$501,$W22),IF(AND(INDEX(기본자료!$G$2:$G$501,$W22)&gt;=10000101,INT(MOD(INDEX(기본자료!$G$2:$G$501,$W22),10000)/100)&gt;=1,INT(MOD(INDEX(기본자료!$G$2:$G$501,$W22),10000)/100)&lt;=12,MOD(INDEX(기본자료!$G$2:$G$501,$W22),100)&gt;=1,MOD(INDEX(기본자료!$G$2:$G$501,$W22),100)&lt;=31),DATE(INT(INDEX(기본자료!$G$2:$G$501,$W22)/10000),INT(MOD(INDEX(기본자료!$G$2:$G$501,$W22),10000)/100),MOD(INDEX(기본자료!$G$2:$G$501,$W22),100)),INDEX(기본자료!$G$2:$G$501,$W22)&amp;"")))))</f>
        <v/>
      </c>
      <c r="J22" s="8">
        <f>IF($W22="","",IF(INDEX(기본자료!$H$2:$H$501,$W22)="","",INDEX(기본자료!$H$2:$H$501,$W22)))</f>
        <v/>
      </c>
      <c r="K22" s="8">
        <f>IF($W22="","",IF(INDEX(기본자료!$I$2:$I$501,$W22)="","",INDEX(기본자료!$I$2:$I$501,$W22)))</f>
        <v/>
      </c>
      <c r="L22" s="8">
        <f>IF($W22="","",IF(INDEX(기본자료!$A$2:$A$501,$W22)="","",INDEX(기본자료!$A$2:$A$501,$W22)))</f>
        <v/>
      </c>
      <c r="M22" s="5" t="n"/>
      <c r="N22" s="5" t="n"/>
      <c r="O22" s="5" t="n"/>
      <c r="P22" s="5" t="n"/>
      <c r="Q22" s="11" t="n"/>
      <c r="R22" s="11" t="n"/>
      <c r="S22" s="8">
        <f>IF(OR(B22="",Q22=""),"",IF(TODAY()&lt;Q22,"파견예정",IF(AND(R22&lt;&gt;"",TODAY()&gt;R22),"파견종료","파견중")))</f>
        <v/>
      </c>
      <c r="T22" s="12">
        <f>IF(OR(Q22="",R22=""),"",R22-Q22+1)</f>
        <v/>
      </c>
      <c r="U22" s="12">
        <f>IF(AND(S22="파견중",R22&lt;&gt;""),R22-TODAY(),"")</f>
        <v/>
      </c>
      <c r="V22" s="5" t="n"/>
      <c r="W22" s="8">
        <f>IF(B22="","",IFERROR(MATCH(B22,기본자료!$B$2:$B$501,0),IFERROR(MATCH(B22&amp;"",기본자료!$B$2:$B$501,0),IFERROR(MATCH(VALUE(B22),기본자료!$B$2:$B$501,0),""))))</f>
        <v/>
      </c>
    </row>
    <row r="23">
      <c r="A23" s="8">
        <f>IF(B23="","",ROW()-1)</f>
        <v/>
      </c>
      <c r="B23" s="9" t="n"/>
      <c r="C23" s="8">
        <f>IF($W23="","",IF(INDEX(기본자료!$C$2:$C$501,$W23)="","",INDEX(기본자료!$C$2:$C$501,$W23)))</f>
        <v/>
      </c>
      <c r="D23" s="8">
        <f>IF($W23="","",IF(INDEX(기본자료!$J$2:$J$501,$W23)="","",INDEX(기본자료!$J$2:$J$501,$W23)))</f>
        <v/>
      </c>
      <c r="E23" s="10">
        <f>IF($W23="","",IF(INDEX(기본자료!$K$2:$K$501,$W23)="","",IF(NOT(ISNUMBER(INDEX(기본자료!$K$2:$K$501,$W23))),INDEX(기본자료!$K$2:$K$501,$W23),IF(INDEX(기본자료!$K$2:$K$501,$W23)&lt;1000000,INDEX(기본자료!$K$2:$K$501,$W23),IF(AND(INDEX(기본자료!$K$2:$K$501,$W23)&gt;=10000101,INT(MOD(INDEX(기본자료!$K$2:$K$501,$W23),10000)/100)&gt;=1,INT(MOD(INDEX(기본자료!$K$2:$K$501,$W23),10000)/100)&lt;=12,MOD(INDEX(기본자료!$K$2:$K$501,$W23),100)&gt;=1,MOD(INDEX(기본자료!$K$2:$K$501,$W23),100)&lt;=31),DATE(INT(INDEX(기본자료!$K$2:$K$501,$W23)/10000),INT(MOD(INDEX(기본자료!$K$2:$K$501,$W23),10000)/100),MOD(INDEX(기본자료!$K$2:$K$501,$W23),100)),INDEX(기본자료!$K$2:$K$501,$W23)&amp;"")))))</f>
        <v/>
      </c>
      <c r="F23" s="8">
        <f>IF($W23="","",IF(INDEX(기본자료!$D$2:$D$501,$W23)="","",INDEX(기본자료!$D$2:$D$501,$W23)))</f>
        <v/>
      </c>
      <c r="G23" s="8">
        <f>IF($W23="","",IF(INDEX(기본자료!$E$2:$E$501,$W23)="","",INDEX(기본자료!$E$2:$E$501,$W23)))</f>
        <v/>
      </c>
      <c r="H23" s="8">
        <f>IF($W23="","",IF(INDEX(기본자료!$F$2:$F$501,$W23)="","",INDEX(기본자료!$F$2:$F$501,$W23)))</f>
        <v/>
      </c>
      <c r="I23" s="10">
        <f>IF($W23="","",IF(INDEX(기본자료!$G$2:$G$501,$W23)="","",IF(NOT(ISNUMBER(INDEX(기본자료!$G$2:$G$501,$W23))),INDEX(기본자료!$G$2:$G$501,$W23),IF(INDEX(기본자료!$G$2:$G$501,$W23)&lt;1000000,INDEX(기본자료!$G$2:$G$501,$W23),IF(AND(INDEX(기본자료!$G$2:$G$501,$W23)&gt;=10000101,INT(MOD(INDEX(기본자료!$G$2:$G$501,$W23),10000)/100)&gt;=1,INT(MOD(INDEX(기본자료!$G$2:$G$501,$W23),10000)/100)&lt;=12,MOD(INDEX(기본자료!$G$2:$G$501,$W23),100)&gt;=1,MOD(INDEX(기본자료!$G$2:$G$501,$W23),100)&lt;=31),DATE(INT(INDEX(기본자료!$G$2:$G$501,$W23)/10000),INT(MOD(INDEX(기본자료!$G$2:$G$501,$W23),10000)/100),MOD(INDEX(기본자료!$G$2:$G$501,$W23),100)),INDEX(기본자료!$G$2:$G$501,$W23)&amp;"")))))</f>
        <v/>
      </c>
      <c r="J23" s="8">
        <f>IF($W23="","",IF(INDEX(기본자료!$H$2:$H$501,$W23)="","",INDEX(기본자료!$H$2:$H$501,$W23)))</f>
        <v/>
      </c>
      <c r="K23" s="8">
        <f>IF($W23="","",IF(INDEX(기본자료!$I$2:$I$501,$W23)="","",INDEX(기본자료!$I$2:$I$501,$W23)))</f>
        <v/>
      </c>
      <c r="L23" s="8">
        <f>IF($W23="","",IF(INDEX(기본자료!$A$2:$A$501,$W23)="","",INDEX(기본자료!$A$2:$A$501,$W23)))</f>
        <v/>
      </c>
      <c r="M23" s="5" t="n"/>
      <c r="N23" s="5" t="n"/>
      <c r="O23" s="5" t="n"/>
      <c r="P23" s="5" t="n"/>
      <c r="Q23" s="11" t="n"/>
      <c r="R23" s="11" t="n"/>
      <c r="S23" s="8">
        <f>IF(OR(B23="",Q23=""),"",IF(TODAY()&lt;Q23,"파견예정",IF(AND(R23&lt;&gt;"",TODAY()&gt;R23),"파견종료","파견중")))</f>
        <v/>
      </c>
      <c r="T23" s="12">
        <f>IF(OR(Q23="",R23=""),"",R23-Q23+1)</f>
        <v/>
      </c>
      <c r="U23" s="12">
        <f>IF(AND(S23="파견중",R23&lt;&gt;""),R23-TODAY(),"")</f>
        <v/>
      </c>
      <c r="V23" s="5" t="n"/>
      <c r="W23" s="8">
        <f>IF(B23="","",IFERROR(MATCH(B23,기본자료!$B$2:$B$501,0),IFERROR(MATCH(B23&amp;"",기본자료!$B$2:$B$501,0),IFERROR(MATCH(VALUE(B23),기본자료!$B$2:$B$501,0),""))))</f>
        <v/>
      </c>
    </row>
    <row r="24">
      <c r="A24" s="8">
        <f>IF(B24="","",ROW()-1)</f>
        <v/>
      </c>
      <c r="B24" s="9" t="n"/>
      <c r="C24" s="8">
        <f>IF($W24="","",IF(INDEX(기본자료!$C$2:$C$501,$W24)="","",INDEX(기본자료!$C$2:$C$501,$W24)))</f>
        <v/>
      </c>
      <c r="D24" s="8">
        <f>IF($W24="","",IF(INDEX(기본자료!$J$2:$J$501,$W24)="","",INDEX(기본자료!$J$2:$J$501,$W24)))</f>
        <v/>
      </c>
      <c r="E24" s="10">
        <f>IF($W24="","",IF(INDEX(기본자료!$K$2:$K$501,$W24)="","",IF(NOT(ISNUMBER(INDEX(기본자료!$K$2:$K$501,$W24))),INDEX(기본자료!$K$2:$K$501,$W24),IF(INDEX(기본자료!$K$2:$K$501,$W24)&lt;1000000,INDEX(기본자료!$K$2:$K$501,$W24),IF(AND(INDEX(기본자료!$K$2:$K$501,$W24)&gt;=10000101,INT(MOD(INDEX(기본자료!$K$2:$K$501,$W24),10000)/100)&gt;=1,INT(MOD(INDEX(기본자료!$K$2:$K$501,$W24),10000)/100)&lt;=12,MOD(INDEX(기본자료!$K$2:$K$501,$W24),100)&gt;=1,MOD(INDEX(기본자료!$K$2:$K$501,$W24),100)&lt;=31),DATE(INT(INDEX(기본자료!$K$2:$K$501,$W24)/10000),INT(MOD(INDEX(기본자료!$K$2:$K$501,$W24),10000)/100),MOD(INDEX(기본자료!$K$2:$K$501,$W24),100)),INDEX(기본자료!$K$2:$K$501,$W24)&amp;"")))))</f>
        <v/>
      </c>
      <c r="F24" s="8">
        <f>IF($W24="","",IF(INDEX(기본자료!$D$2:$D$501,$W24)="","",INDEX(기본자료!$D$2:$D$501,$W24)))</f>
        <v/>
      </c>
      <c r="G24" s="8">
        <f>IF($W24="","",IF(INDEX(기본자료!$E$2:$E$501,$W24)="","",INDEX(기본자료!$E$2:$E$501,$W24)))</f>
        <v/>
      </c>
      <c r="H24" s="8">
        <f>IF($W24="","",IF(INDEX(기본자료!$F$2:$F$501,$W24)="","",INDEX(기본자료!$F$2:$F$501,$W24)))</f>
        <v/>
      </c>
      <c r="I24" s="10">
        <f>IF($W24="","",IF(INDEX(기본자료!$G$2:$G$501,$W24)="","",IF(NOT(ISNUMBER(INDEX(기본자료!$G$2:$G$501,$W24))),INDEX(기본자료!$G$2:$G$501,$W24),IF(INDEX(기본자료!$G$2:$G$501,$W24)&lt;1000000,INDEX(기본자료!$G$2:$G$501,$W24),IF(AND(INDEX(기본자료!$G$2:$G$501,$W24)&gt;=10000101,INT(MOD(INDEX(기본자료!$G$2:$G$501,$W24),10000)/100)&gt;=1,INT(MOD(INDEX(기본자료!$G$2:$G$501,$W24),10000)/100)&lt;=12,MOD(INDEX(기본자료!$G$2:$G$501,$W24),100)&gt;=1,MOD(INDEX(기본자료!$G$2:$G$501,$W24),100)&lt;=31),DATE(INT(INDEX(기본자료!$G$2:$G$501,$W24)/10000),INT(MOD(INDEX(기본자료!$G$2:$G$501,$W24),10000)/100),MOD(INDEX(기본자료!$G$2:$G$501,$W24),100)),INDEX(기본자료!$G$2:$G$501,$W24)&amp;"")))))</f>
        <v/>
      </c>
      <c r="J24" s="8">
        <f>IF($W24="","",IF(INDEX(기본자료!$H$2:$H$501,$W24)="","",INDEX(기본자료!$H$2:$H$501,$W24)))</f>
        <v/>
      </c>
      <c r="K24" s="8">
        <f>IF($W24="","",IF(INDEX(기본자료!$I$2:$I$501,$W24)="","",INDEX(기본자료!$I$2:$I$501,$W24)))</f>
        <v/>
      </c>
      <c r="L24" s="8">
        <f>IF($W24="","",IF(INDEX(기본자료!$A$2:$A$501,$W24)="","",INDEX(기본자료!$A$2:$A$501,$W24)))</f>
        <v/>
      </c>
      <c r="M24" s="5" t="n"/>
      <c r="N24" s="5" t="n"/>
      <c r="O24" s="5" t="n"/>
      <c r="P24" s="5" t="n"/>
      <c r="Q24" s="11" t="n"/>
      <c r="R24" s="11" t="n"/>
      <c r="S24" s="8">
        <f>IF(OR(B24="",Q24=""),"",IF(TODAY()&lt;Q24,"파견예정",IF(AND(R24&lt;&gt;"",TODAY()&gt;R24),"파견종료","파견중")))</f>
        <v/>
      </c>
      <c r="T24" s="12">
        <f>IF(OR(Q24="",R24=""),"",R24-Q24+1)</f>
        <v/>
      </c>
      <c r="U24" s="12">
        <f>IF(AND(S24="파견중",R24&lt;&gt;""),R24-TODAY(),"")</f>
        <v/>
      </c>
      <c r="V24" s="5" t="n"/>
      <c r="W24" s="8">
        <f>IF(B24="","",IFERROR(MATCH(B24,기본자료!$B$2:$B$501,0),IFERROR(MATCH(B24&amp;"",기본자료!$B$2:$B$501,0),IFERROR(MATCH(VALUE(B24),기본자료!$B$2:$B$501,0),""))))</f>
        <v/>
      </c>
    </row>
    <row r="25">
      <c r="A25" s="8">
        <f>IF(B25="","",ROW()-1)</f>
        <v/>
      </c>
      <c r="B25" s="9" t="n"/>
      <c r="C25" s="8">
        <f>IF($W25="","",IF(INDEX(기본자료!$C$2:$C$501,$W25)="","",INDEX(기본자료!$C$2:$C$501,$W25)))</f>
        <v/>
      </c>
      <c r="D25" s="8">
        <f>IF($W25="","",IF(INDEX(기본자료!$J$2:$J$501,$W25)="","",INDEX(기본자료!$J$2:$J$501,$W25)))</f>
        <v/>
      </c>
      <c r="E25" s="10">
        <f>IF($W25="","",IF(INDEX(기본자료!$K$2:$K$501,$W25)="","",IF(NOT(ISNUMBER(INDEX(기본자료!$K$2:$K$501,$W25))),INDEX(기본자료!$K$2:$K$501,$W25),IF(INDEX(기본자료!$K$2:$K$501,$W25)&lt;1000000,INDEX(기본자료!$K$2:$K$501,$W25),IF(AND(INDEX(기본자료!$K$2:$K$501,$W25)&gt;=10000101,INT(MOD(INDEX(기본자료!$K$2:$K$501,$W25),10000)/100)&gt;=1,INT(MOD(INDEX(기본자료!$K$2:$K$501,$W25),10000)/100)&lt;=12,MOD(INDEX(기본자료!$K$2:$K$501,$W25),100)&gt;=1,MOD(INDEX(기본자료!$K$2:$K$501,$W25),100)&lt;=31),DATE(INT(INDEX(기본자료!$K$2:$K$501,$W25)/10000),INT(MOD(INDEX(기본자료!$K$2:$K$501,$W25),10000)/100),MOD(INDEX(기본자료!$K$2:$K$501,$W25),100)),INDEX(기본자료!$K$2:$K$501,$W25)&amp;"")))))</f>
        <v/>
      </c>
      <c r="F25" s="8">
        <f>IF($W25="","",IF(INDEX(기본자료!$D$2:$D$501,$W25)="","",INDEX(기본자료!$D$2:$D$501,$W25)))</f>
        <v/>
      </c>
      <c r="G25" s="8">
        <f>IF($W25="","",IF(INDEX(기본자료!$E$2:$E$501,$W25)="","",INDEX(기본자료!$E$2:$E$501,$W25)))</f>
        <v/>
      </c>
      <c r="H25" s="8">
        <f>IF($W25="","",IF(INDEX(기본자료!$F$2:$F$501,$W25)="","",INDEX(기본자료!$F$2:$F$501,$W25)))</f>
        <v/>
      </c>
      <c r="I25" s="10">
        <f>IF($W25="","",IF(INDEX(기본자료!$G$2:$G$501,$W25)="","",IF(NOT(ISNUMBER(INDEX(기본자료!$G$2:$G$501,$W25))),INDEX(기본자료!$G$2:$G$501,$W25),IF(INDEX(기본자료!$G$2:$G$501,$W25)&lt;1000000,INDEX(기본자료!$G$2:$G$501,$W25),IF(AND(INDEX(기본자료!$G$2:$G$501,$W25)&gt;=10000101,INT(MOD(INDEX(기본자료!$G$2:$G$501,$W25),10000)/100)&gt;=1,INT(MOD(INDEX(기본자료!$G$2:$G$501,$W25),10000)/100)&lt;=12,MOD(INDEX(기본자료!$G$2:$G$501,$W25),100)&gt;=1,MOD(INDEX(기본자료!$G$2:$G$501,$W25),100)&lt;=31),DATE(INT(INDEX(기본자료!$G$2:$G$501,$W25)/10000),INT(MOD(INDEX(기본자료!$G$2:$G$501,$W25),10000)/100),MOD(INDEX(기본자료!$G$2:$G$501,$W25),100)),INDEX(기본자료!$G$2:$G$501,$W25)&amp;"")))))</f>
        <v/>
      </c>
      <c r="J25" s="8">
        <f>IF($W25="","",IF(INDEX(기본자료!$H$2:$H$501,$W25)="","",INDEX(기본자료!$H$2:$H$501,$W25)))</f>
        <v/>
      </c>
      <c r="K25" s="8">
        <f>IF($W25="","",IF(INDEX(기본자료!$I$2:$I$501,$W25)="","",INDEX(기본자료!$I$2:$I$501,$W25)))</f>
        <v/>
      </c>
      <c r="L25" s="8">
        <f>IF($W25="","",IF(INDEX(기본자료!$A$2:$A$501,$W25)="","",INDEX(기본자료!$A$2:$A$501,$W25)))</f>
        <v/>
      </c>
      <c r="M25" s="5" t="n"/>
      <c r="N25" s="5" t="n"/>
      <c r="O25" s="5" t="n"/>
      <c r="P25" s="5" t="n"/>
      <c r="Q25" s="11" t="n"/>
      <c r="R25" s="11" t="n"/>
      <c r="S25" s="8">
        <f>IF(OR(B25="",Q25=""),"",IF(TODAY()&lt;Q25,"파견예정",IF(AND(R25&lt;&gt;"",TODAY()&gt;R25),"파견종료","파견중")))</f>
        <v/>
      </c>
      <c r="T25" s="12">
        <f>IF(OR(Q25="",R25=""),"",R25-Q25+1)</f>
        <v/>
      </c>
      <c r="U25" s="12">
        <f>IF(AND(S25="파견중",R25&lt;&gt;""),R25-TODAY(),"")</f>
        <v/>
      </c>
      <c r="V25" s="5" t="n"/>
      <c r="W25" s="8">
        <f>IF(B25="","",IFERROR(MATCH(B25,기본자료!$B$2:$B$501,0),IFERROR(MATCH(B25&amp;"",기본자료!$B$2:$B$501,0),IFERROR(MATCH(VALUE(B25),기본자료!$B$2:$B$501,0),""))))</f>
        <v/>
      </c>
    </row>
    <row r="26">
      <c r="A26" s="8">
        <f>IF(B26="","",ROW()-1)</f>
        <v/>
      </c>
      <c r="B26" s="9" t="n"/>
      <c r="C26" s="8">
        <f>IF($W26="","",IF(INDEX(기본자료!$C$2:$C$501,$W26)="","",INDEX(기본자료!$C$2:$C$501,$W26)))</f>
        <v/>
      </c>
      <c r="D26" s="8">
        <f>IF($W26="","",IF(INDEX(기본자료!$J$2:$J$501,$W26)="","",INDEX(기본자료!$J$2:$J$501,$W26)))</f>
        <v/>
      </c>
      <c r="E26" s="10">
        <f>IF($W26="","",IF(INDEX(기본자료!$K$2:$K$501,$W26)="","",IF(NOT(ISNUMBER(INDEX(기본자료!$K$2:$K$501,$W26))),INDEX(기본자료!$K$2:$K$501,$W26),IF(INDEX(기본자료!$K$2:$K$501,$W26)&lt;1000000,INDEX(기본자료!$K$2:$K$501,$W26),IF(AND(INDEX(기본자료!$K$2:$K$501,$W26)&gt;=10000101,INT(MOD(INDEX(기본자료!$K$2:$K$501,$W26),10000)/100)&gt;=1,INT(MOD(INDEX(기본자료!$K$2:$K$501,$W26),10000)/100)&lt;=12,MOD(INDEX(기본자료!$K$2:$K$501,$W26),100)&gt;=1,MOD(INDEX(기본자료!$K$2:$K$501,$W26),100)&lt;=31),DATE(INT(INDEX(기본자료!$K$2:$K$501,$W26)/10000),INT(MOD(INDEX(기본자료!$K$2:$K$501,$W26),10000)/100),MOD(INDEX(기본자료!$K$2:$K$501,$W26),100)),INDEX(기본자료!$K$2:$K$501,$W26)&amp;"")))))</f>
        <v/>
      </c>
      <c r="F26" s="8">
        <f>IF($W26="","",IF(INDEX(기본자료!$D$2:$D$501,$W26)="","",INDEX(기본자료!$D$2:$D$501,$W26)))</f>
        <v/>
      </c>
      <c r="G26" s="8">
        <f>IF($W26="","",IF(INDEX(기본자료!$E$2:$E$501,$W26)="","",INDEX(기본자료!$E$2:$E$501,$W26)))</f>
        <v/>
      </c>
      <c r="H26" s="8">
        <f>IF($W26="","",IF(INDEX(기본자료!$F$2:$F$501,$W26)="","",INDEX(기본자료!$F$2:$F$501,$W26)))</f>
        <v/>
      </c>
      <c r="I26" s="10">
        <f>IF($W26="","",IF(INDEX(기본자료!$G$2:$G$501,$W26)="","",IF(NOT(ISNUMBER(INDEX(기본자료!$G$2:$G$501,$W26))),INDEX(기본자료!$G$2:$G$501,$W26),IF(INDEX(기본자료!$G$2:$G$501,$W26)&lt;1000000,INDEX(기본자료!$G$2:$G$501,$W26),IF(AND(INDEX(기본자료!$G$2:$G$501,$W26)&gt;=10000101,INT(MOD(INDEX(기본자료!$G$2:$G$501,$W26),10000)/100)&gt;=1,INT(MOD(INDEX(기본자료!$G$2:$G$501,$W26),10000)/100)&lt;=12,MOD(INDEX(기본자료!$G$2:$G$501,$W26),100)&gt;=1,MOD(INDEX(기본자료!$G$2:$G$501,$W26),100)&lt;=31),DATE(INT(INDEX(기본자료!$G$2:$G$501,$W26)/10000),INT(MOD(INDEX(기본자료!$G$2:$G$501,$W26),10000)/100),MOD(INDEX(기본자료!$G$2:$G$501,$W26),100)),INDEX(기본자료!$G$2:$G$501,$W26)&amp;"")))))</f>
        <v/>
      </c>
      <c r="J26" s="8">
        <f>IF($W26="","",IF(INDEX(기본자료!$H$2:$H$501,$W26)="","",INDEX(기본자료!$H$2:$H$501,$W26)))</f>
        <v/>
      </c>
      <c r="K26" s="8">
        <f>IF($W26="","",IF(INDEX(기본자료!$I$2:$I$501,$W26)="","",INDEX(기본자료!$I$2:$I$501,$W26)))</f>
        <v/>
      </c>
      <c r="L26" s="8">
        <f>IF($W26="","",IF(INDEX(기본자료!$A$2:$A$501,$W26)="","",INDEX(기본자료!$A$2:$A$501,$W26)))</f>
        <v/>
      </c>
      <c r="M26" s="5" t="n"/>
      <c r="N26" s="5" t="n"/>
      <c r="O26" s="5" t="n"/>
      <c r="P26" s="5" t="n"/>
      <c r="Q26" s="11" t="n"/>
      <c r="R26" s="11" t="n"/>
      <c r="S26" s="8">
        <f>IF(OR(B26="",Q26=""),"",IF(TODAY()&lt;Q26,"파견예정",IF(AND(R26&lt;&gt;"",TODAY()&gt;R26),"파견종료","파견중")))</f>
        <v/>
      </c>
      <c r="T26" s="12">
        <f>IF(OR(Q26="",R26=""),"",R26-Q26+1)</f>
        <v/>
      </c>
      <c r="U26" s="12">
        <f>IF(AND(S26="파견중",R26&lt;&gt;""),R26-TODAY(),"")</f>
        <v/>
      </c>
      <c r="V26" s="5" t="n"/>
      <c r="W26" s="8">
        <f>IF(B26="","",IFERROR(MATCH(B26,기본자료!$B$2:$B$501,0),IFERROR(MATCH(B26&amp;"",기본자료!$B$2:$B$501,0),IFERROR(MATCH(VALUE(B26),기본자료!$B$2:$B$501,0),""))))</f>
        <v/>
      </c>
    </row>
    <row r="27">
      <c r="A27" s="8">
        <f>IF(B27="","",ROW()-1)</f>
        <v/>
      </c>
      <c r="B27" s="9" t="n"/>
      <c r="C27" s="8">
        <f>IF($W27="","",IF(INDEX(기본자료!$C$2:$C$501,$W27)="","",INDEX(기본자료!$C$2:$C$501,$W27)))</f>
        <v/>
      </c>
      <c r="D27" s="8">
        <f>IF($W27="","",IF(INDEX(기본자료!$J$2:$J$501,$W27)="","",INDEX(기본자료!$J$2:$J$501,$W27)))</f>
        <v/>
      </c>
      <c r="E27" s="10">
        <f>IF($W27="","",IF(INDEX(기본자료!$K$2:$K$501,$W27)="","",IF(NOT(ISNUMBER(INDEX(기본자료!$K$2:$K$501,$W27))),INDEX(기본자료!$K$2:$K$501,$W27),IF(INDEX(기본자료!$K$2:$K$501,$W27)&lt;1000000,INDEX(기본자료!$K$2:$K$501,$W27),IF(AND(INDEX(기본자료!$K$2:$K$501,$W27)&gt;=10000101,INT(MOD(INDEX(기본자료!$K$2:$K$501,$W27),10000)/100)&gt;=1,INT(MOD(INDEX(기본자료!$K$2:$K$501,$W27),10000)/100)&lt;=12,MOD(INDEX(기본자료!$K$2:$K$501,$W27),100)&gt;=1,MOD(INDEX(기본자료!$K$2:$K$501,$W27),100)&lt;=31),DATE(INT(INDEX(기본자료!$K$2:$K$501,$W27)/10000),INT(MOD(INDEX(기본자료!$K$2:$K$501,$W27),10000)/100),MOD(INDEX(기본자료!$K$2:$K$501,$W27),100)),INDEX(기본자료!$K$2:$K$501,$W27)&amp;"")))))</f>
        <v/>
      </c>
      <c r="F27" s="8">
        <f>IF($W27="","",IF(INDEX(기본자료!$D$2:$D$501,$W27)="","",INDEX(기본자료!$D$2:$D$501,$W27)))</f>
        <v/>
      </c>
      <c r="G27" s="8">
        <f>IF($W27="","",IF(INDEX(기본자료!$E$2:$E$501,$W27)="","",INDEX(기본자료!$E$2:$E$501,$W27)))</f>
        <v/>
      </c>
      <c r="H27" s="8">
        <f>IF($W27="","",IF(INDEX(기본자료!$F$2:$F$501,$W27)="","",INDEX(기본자료!$F$2:$F$501,$W27)))</f>
        <v/>
      </c>
      <c r="I27" s="10">
        <f>IF($W27="","",IF(INDEX(기본자료!$G$2:$G$501,$W27)="","",IF(NOT(ISNUMBER(INDEX(기본자료!$G$2:$G$501,$W27))),INDEX(기본자료!$G$2:$G$501,$W27),IF(INDEX(기본자료!$G$2:$G$501,$W27)&lt;1000000,INDEX(기본자료!$G$2:$G$501,$W27),IF(AND(INDEX(기본자료!$G$2:$G$501,$W27)&gt;=10000101,INT(MOD(INDEX(기본자료!$G$2:$G$501,$W27),10000)/100)&gt;=1,INT(MOD(INDEX(기본자료!$G$2:$G$501,$W27),10000)/100)&lt;=12,MOD(INDEX(기본자료!$G$2:$G$501,$W27),100)&gt;=1,MOD(INDEX(기본자료!$G$2:$G$501,$W27),100)&lt;=31),DATE(INT(INDEX(기본자료!$G$2:$G$501,$W27)/10000),INT(MOD(INDEX(기본자료!$G$2:$G$501,$W27),10000)/100),MOD(INDEX(기본자료!$G$2:$G$501,$W27),100)),INDEX(기본자료!$G$2:$G$501,$W27)&amp;"")))))</f>
        <v/>
      </c>
      <c r="J27" s="8">
        <f>IF($W27="","",IF(INDEX(기본자료!$H$2:$H$501,$W27)="","",INDEX(기본자료!$H$2:$H$501,$W27)))</f>
        <v/>
      </c>
      <c r="K27" s="8">
        <f>IF($W27="","",IF(INDEX(기본자료!$I$2:$I$501,$W27)="","",INDEX(기본자료!$I$2:$I$501,$W27)))</f>
        <v/>
      </c>
      <c r="L27" s="8">
        <f>IF($W27="","",IF(INDEX(기본자료!$A$2:$A$501,$W27)="","",INDEX(기본자료!$A$2:$A$501,$W27)))</f>
        <v/>
      </c>
      <c r="M27" s="5" t="n"/>
      <c r="N27" s="5" t="n"/>
      <c r="O27" s="5" t="n"/>
      <c r="P27" s="5" t="n"/>
      <c r="Q27" s="11" t="n"/>
      <c r="R27" s="11" t="n"/>
      <c r="S27" s="8">
        <f>IF(OR(B27="",Q27=""),"",IF(TODAY()&lt;Q27,"파견예정",IF(AND(R27&lt;&gt;"",TODAY()&gt;R27),"파견종료","파견중")))</f>
        <v/>
      </c>
      <c r="T27" s="12">
        <f>IF(OR(Q27="",R27=""),"",R27-Q27+1)</f>
        <v/>
      </c>
      <c r="U27" s="12">
        <f>IF(AND(S27="파견중",R27&lt;&gt;""),R27-TODAY(),"")</f>
        <v/>
      </c>
      <c r="V27" s="5" t="n"/>
      <c r="W27" s="8">
        <f>IF(B27="","",IFERROR(MATCH(B27,기본자료!$B$2:$B$501,0),IFERROR(MATCH(B27&amp;"",기본자료!$B$2:$B$501,0),IFERROR(MATCH(VALUE(B27),기본자료!$B$2:$B$501,0),""))))</f>
        <v/>
      </c>
    </row>
    <row r="28">
      <c r="A28" s="8">
        <f>IF(B28="","",ROW()-1)</f>
        <v/>
      </c>
      <c r="B28" s="9" t="n"/>
      <c r="C28" s="8">
        <f>IF($W28="","",IF(INDEX(기본자료!$C$2:$C$501,$W28)="","",INDEX(기본자료!$C$2:$C$501,$W28)))</f>
        <v/>
      </c>
      <c r="D28" s="8">
        <f>IF($W28="","",IF(INDEX(기본자료!$J$2:$J$501,$W28)="","",INDEX(기본자료!$J$2:$J$501,$W28)))</f>
        <v/>
      </c>
      <c r="E28" s="10">
        <f>IF($W28="","",IF(INDEX(기본자료!$K$2:$K$501,$W28)="","",IF(NOT(ISNUMBER(INDEX(기본자료!$K$2:$K$501,$W28))),INDEX(기본자료!$K$2:$K$501,$W28),IF(INDEX(기본자료!$K$2:$K$501,$W28)&lt;1000000,INDEX(기본자료!$K$2:$K$501,$W28),IF(AND(INDEX(기본자료!$K$2:$K$501,$W28)&gt;=10000101,INT(MOD(INDEX(기본자료!$K$2:$K$501,$W28),10000)/100)&gt;=1,INT(MOD(INDEX(기본자료!$K$2:$K$501,$W28),10000)/100)&lt;=12,MOD(INDEX(기본자료!$K$2:$K$501,$W28),100)&gt;=1,MOD(INDEX(기본자료!$K$2:$K$501,$W28),100)&lt;=31),DATE(INT(INDEX(기본자료!$K$2:$K$501,$W28)/10000),INT(MOD(INDEX(기본자료!$K$2:$K$501,$W28),10000)/100),MOD(INDEX(기본자료!$K$2:$K$501,$W28),100)),INDEX(기본자료!$K$2:$K$501,$W28)&amp;"")))))</f>
        <v/>
      </c>
      <c r="F28" s="8">
        <f>IF($W28="","",IF(INDEX(기본자료!$D$2:$D$501,$W28)="","",INDEX(기본자료!$D$2:$D$501,$W28)))</f>
        <v/>
      </c>
      <c r="G28" s="8">
        <f>IF($W28="","",IF(INDEX(기본자료!$E$2:$E$501,$W28)="","",INDEX(기본자료!$E$2:$E$501,$W28)))</f>
        <v/>
      </c>
      <c r="H28" s="8">
        <f>IF($W28="","",IF(INDEX(기본자료!$F$2:$F$501,$W28)="","",INDEX(기본자료!$F$2:$F$501,$W28)))</f>
        <v/>
      </c>
      <c r="I28" s="10">
        <f>IF($W28="","",IF(INDEX(기본자료!$G$2:$G$501,$W28)="","",IF(NOT(ISNUMBER(INDEX(기본자료!$G$2:$G$501,$W28))),INDEX(기본자료!$G$2:$G$501,$W28),IF(INDEX(기본자료!$G$2:$G$501,$W28)&lt;1000000,INDEX(기본자료!$G$2:$G$501,$W28),IF(AND(INDEX(기본자료!$G$2:$G$501,$W28)&gt;=10000101,INT(MOD(INDEX(기본자료!$G$2:$G$501,$W28),10000)/100)&gt;=1,INT(MOD(INDEX(기본자료!$G$2:$G$501,$W28),10000)/100)&lt;=12,MOD(INDEX(기본자료!$G$2:$G$501,$W28),100)&gt;=1,MOD(INDEX(기본자료!$G$2:$G$501,$W28),100)&lt;=31),DATE(INT(INDEX(기본자료!$G$2:$G$501,$W28)/10000),INT(MOD(INDEX(기본자료!$G$2:$G$501,$W28),10000)/100),MOD(INDEX(기본자료!$G$2:$G$501,$W28),100)),INDEX(기본자료!$G$2:$G$501,$W28)&amp;"")))))</f>
        <v/>
      </c>
      <c r="J28" s="8">
        <f>IF($W28="","",IF(INDEX(기본자료!$H$2:$H$501,$W28)="","",INDEX(기본자료!$H$2:$H$501,$W28)))</f>
        <v/>
      </c>
      <c r="K28" s="8">
        <f>IF($W28="","",IF(INDEX(기본자료!$I$2:$I$501,$W28)="","",INDEX(기본자료!$I$2:$I$501,$W28)))</f>
        <v/>
      </c>
      <c r="L28" s="8">
        <f>IF($W28="","",IF(INDEX(기본자료!$A$2:$A$501,$W28)="","",INDEX(기본자료!$A$2:$A$501,$W28)))</f>
        <v/>
      </c>
      <c r="M28" s="5" t="n"/>
      <c r="N28" s="5" t="n"/>
      <c r="O28" s="5" t="n"/>
      <c r="P28" s="5" t="n"/>
      <c r="Q28" s="11" t="n"/>
      <c r="R28" s="11" t="n"/>
      <c r="S28" s="8">
        <f>IF(OR(B28="",Q28=""),"",IF(TODAY()&lt;Q28,"파견예정",IF(AND(R28&lt;&gt;"",TODAY()&gt;R28),"파견종료","파견중")))</f>
        <v/>
      </c>
      <c r="T28" s="12">
        <f>IF(OR(Q28="",R28=""),"",R28-Q28+1)</f>
        <v/>
      </c>
      <c r="U28" s="12">
        <f>IF(AND(S28="파견중",R28&lt;&gt;""),R28-TODAY(),"")</f>
        <v/>
      </c>
      <c r="V28" s="5" t="n"/>
      <c r="W28" s="8">
        <f>IF(B28="","",IFERROR(MATCH(B28,기본자료!$B$2:$B$501,0),IFERROR(MATCH(B28&amp;"",기본자료!$B$2:$B$501,0),IFERROR(MATCH(VALUE(B28),기본자료!$B$2:$B$501,0),""))))</f>
        <v/>
      </c>
    </row>
    <row r="29">
      <c r="A29" s="8">
        <f>IF(B29="","",ROW()-1)</f>
        <v/>
      </c>
      <c r="B29" s="9" t="n"/>
      <c r="C29" s="8">
        <f>IF($W29="","",IF(INDEX(기본자료!$C$2:$C$501,$W29)="","",INDEX(기본자료!$C$2:$C$501,$W29)))</f>
        <v/>
      </c>
      <c r="D29" s="8">
        <f>IF($W29="","",IF(INDEX(기본자료!$J$2:$J$501,$W29)="","",INDEX(기본자료!$J$2:$J$501,$W29)))</f>
        <v/>
      </c>
      <c r="E29" s="10">
        <f>IF($W29="","",IF(INDEX(기본자료!$K$2:$K$501,$W29)="","",IF(NOT(ISNUMBER(INDEX(기본자료!$K$2:$K$501,$W29))),INDEX(기본자료!$K$2:$K$501,$W29),IF(INDEX(기본자료!$K$2:$K$501,$W29)&lt;1000000,INDEX(기본자료!$K$2:$K$501,$W29),IF(AND(INDEX(기본자료!$K$2:$K$501,$W29)&gt;=10000101,INT(MOD(INDEX(기본자료!$K$2:$K$501,$W29),10000)/100)&gt;=1,INT(MOD(INDEX(기본자료!$K$2:$K$501,$W29),10000)/100)&lt;=12,MOD(INDEX(기본자료!$K$2:$K$501,$W29),100)&gt;=1,MOD(INDEX(기본자료!$K$2:$K$501,$W29),100)&lt;=31),DATE(INT(INDEX(기본자료!$K$2:$K$501,$W29)/10000),INT(MOD(INDEX(기본자료!$K$2:$K$501,$W29),10000)/100),MOD(INDEX(기본자료!$K$2:$K$501,$W29),100)),INDEX(기본자료!$K$2:$K$501,$W29)&amp;"")))))</f>
        <v/>
      </c>
      <c r="F29" s="8">
        <f>IF($W29="","",IF(INDEX(기본자료!$D$2:$D$501,$W29)="","",INDEX(기본자료!$D$2:$D$501,$W29)))</f>
        <v/>
      </c>
      <c r="G29" s="8">
        <f>IF($W29="","",IF(INDEX(기본자료!$E$2:$E$501,$W29)="","",INDEX(기본자료!$E$2:$E$501,$W29)))</f>
        <v/>
      </c>
      <c r="H29" s="8">
        <f>IF($W29="","",IF(INDEX(기본자료!$F$2:$F$501,$W29)="","",INDEX(기본자료!$F$2:$F$501,$W29)))</f>
        <v/>
      </c>
      <c r="I29" s="10">
        <f>IF($W29="","",IF(INDEX(기본자료!$G$2:$G$501,$W29)="","",IF(NOT(ISNUMBER(INDEX(기본자료!$G$2:$G$501,$W29))),INDEX(기본자료!$G$2:$G$501,$W29),IF(INDEX(기본자료!$G$2:$G$501,$W29)&lt;1000000,INDEX(기본자료!$G$2:$G$501,$W29),IF(AND(INDEX(기본자료!$G$2:$G$501,$W29)&gt;=10000101,INT(MOD(INDEX(기본자료!$G$2:$G$501,$W29),10000)/100)&gt;=1,INT(MOD(INDEX(기본자료!$G$2:$G$501,$W29),10000)/100)&lt;=12,MOD(INDEX(기본자료!$G$2:$G$501,$W29),100)&gt;=1,MOD(INDEX(기본자료!$G$2:$G$501,$W29),100)&lt;=31),DATE(INT(INDEX(기본자료!$G$2:$G$501,$W29)/10000),INT(MOD(INDEX(기본자료!$G$2:$G$501,$W29),10000)/100),MOD(INDEX(기본자료!$G$2:$G$501,$W29),100)),INDEX(기본자료!$G$2:$G$501,$W29)&amp;"")))))</f>
        <v/>
      </c>
      <c r="J29" s="8">
        <f>IF($W29="","",IF(INDEX(기본자료!$H$2:$H$501,$W29)="","",INDEX(기본자료!$H$2:$H$501,$W29)))</f>
        <v/>
      </c>
      <c r="K29" s="8">
        <f>IF($W29="","",IF(INDEX(기본자료!$I$2:$I$501,$W29)="","",INDEX(기본자료!$I$2:$I$501,$W29)))</f>
        <v/>
      </c>
      <c r="L29" s="8">
        <f>IF($W29="","",IF(INDEX(기본자료!$A$2:$A$501,$W29)="","",INDEX(기본자료!$A$2:$A$501,$W29)))</f>
        <v/>
      </c>
      <c r="M29" s="5" t="n"/>
      <c r="N29" s="5" t="n"/>
      <c r="O29" s="5" t="n"/>
      <c r="P29" s="5" t="n"/>
      <c r="Q29" s="11" t="n"/>
      <c r="R29" s="11" t="n"/>
      <c r="S29" s="8">
        <f>IF(OR(B29="",Q29=""),"",IF(TODAY()&lt;Q29,"파견예정",IF(AND(R29&lt;&gt;"",TODAY()&gt;R29),"파견종료","파견중")))</f>
        <v/>
      </c>
      <c r="T29" s="12">
        <f>IF(OR(Q29="",R29=""),"",R29-Q29+1)</f>
        <v/>
      </c>
      <c r="U29" s="12">
        <f>IF(AND(S29="파견중",R29&lt;&gt;""),R29-TODAY(),"")</f>
        <v/>
      </c>
      <c r="V29" s="5" t="n"/>
      <c r="W29" s="8">
        <f>IF(B29="","",IFERROR(MATCH(B29,기본자료!$B$2:$B$501,0),IFERROR(MATCH(B29&amp;"",기본자료!$B$2:$B$501,0),IFERROR(MATCH(VALUE(B29),기본자료!$B$2:$B$501,0),""))))</f>
        <v/>
      </c>
    </row>
    <row r="30">
      <c r="A30" s="8">
        <f>IF(B30="","",ROW()-1)</f>
        <v/>
      </c>
      <c r="B30" s="9" t="n"/>
      <c r="C30" s="8">
        <f>IF($W30="","",IF(INDEX(기본자료!$C$2:$C$501,$W30)="","",INDEX(기본자료!$C$2:$C$501,$W30)))</f>
        <v/>
      </c>
      <c r="D30" s="8">
        <f>IF($W30="","",IF(INDEX(기본자료!$J$2:$J$501,$W30)="","",INDEX(기본자료!$J$2:$J$501,$W30)))</f>
        <v/>
      </c>
      <c r="E30" s="10">
        <f>IF($W30="","",IF(INDEX(기본자료!$K$2:$K$501,$W30)="","",IF(NOT(ISNUMBER(INDEX(기본자료!$K$2:$K$501,$W30))),INDEX(기본자료!$K$2:$K$501,$W30),IF(INDEX(기본자료!$K$2:$K$501,$W30)&lt;1000000,INDEX(기본자료!$K$2:$K$501,$W30),IF(AND(INDEX(기본자료!$K$2:$K$501,$W30)&gt;=10000101,INT(MOD(INDEX(기본자료!$K$2:$K$501,$W30),10000)/100)&gt;=1,INT(MOD(INDEX(기본자료!$K$2:$K$501,$W30),10000)/100)&lt;=12,MOD(INDEX(기본자료!$K$2:$K$501,$W30),100)&gt;=1,MOD(INDEX(기본자료!$K$2:$K$501,$W30),100)&lt;=31),DATE(INT(INDEX(기본자료!$K$2:$K$501,$W30)/10000),INT(MOD(INDEX(기본자료!$K$2:$K$501,$W30),10000)/100),MOD(INDEX(기본자료!$K$2:$K$501,$W30),100)),INDEX(기본자료!$K$2:$K$501,$W30)&amp;"")))))</f>
        <v/>
      </c>
      <c r="F30" s="8">
        <f>IF($W30="","",IF(INDEX(기본자료!$D$2:$D$501,$W30)="","",INDEX(기본자료!$D$2:$D$501,$W30)))</f>
        <v/>
      </c>
      <c r="G30" s="8">
        <f>IF($W30="","",IF(INDEX(기본자료!$E$2:$E$501,$W30)="","",INDEX(기본자료!$E$2:$E$501,$W30)))</f>
        <v/>
      </c>
      <c r="H30" s="8">
        <f>IF($W30="","",IF(INDEX(기본자료!$F$2:$F$501,$W30)="","",INDEX(기본자료!$F$2:$F$501,$W30)))</f>
        <v/>
      </c>
      <c r="I30" s="10">
        <f>IF($W30="","",IF(INDEX(기본자료!$G$2:$G$501,$W30)="","",IF(NOT(ISNUMBER(INDEX(기본자료!$G$2:$G$501,$W30))),INDEX(기본자료!$G$2:$G$501,$W30),IF(INDEX(기본자료!$G$2:$G$501,$W30)&lt;1000000,INDEX(기본자료!$G$2:$G$501,$W30),IF(AND(INDEX(기본자료!$G$2:$G$501,$W30)&gt;=10000101,INT(MOD(INDEX(기본자료!$G$2:$G$501,$W30),10000)/100)&gt;=1,INT(MOD(INDEX(기본자료!$G$2:$G$501,$W30),10000)/100)&lt;=12,MOD(INDEX(기본자료!$G$2:$G$501,$W30),100)&gt;=1,MOD(INDEX(기본자료!$G$2:$G$501,$W30),100)&lt;=31),DATE(INT(INDEX(기본자료!$G$2:$G$501,$W30)/10000),INT(MOD(INDEX(기본자료!$G$2:$G$501,$W30),10000)/100),MOD(INDEX(기본자료!$G$2:$G$501,$W30),100)),INDEX(기본자료!$G$2:$G$501,$W30)&amp;"")))))</f>
        <v/>
      </c>
      <c r="J30" s="8">
        <f>IF($W30="","",IF(INDEX(기본자료!$H$2:$H$501,$W30)="","",INDEX(기본자료!$H$2:$H$501,$W30)))</f>
        <v/>
      </c>
      <c r="K30" s="8">
        <f>IF($W30="","",IF(INDEX(기본자료!$I$2:$I$501,$W30)="","",INDEX(기본자료!$I$2:$I$501,$W30)))</f>
        <v/>
      </c>
      <c r="L30" s="8">
        <f>IF($W30="","",IF(INDEX(기본자료!$A$2:$A$501,$W30)="","",INDEX(기본자료!$A$2:$A$501,$W30)))</f>
        <v/>
      </c>
      <c r="M30" s="5" t="n"/>
      <c r="N30" s="5" t="n"/>
      <c r="O30" s="5" t="n"/>
      <c r="P30" s="5" t="n"/>
      <c r="Q30" s="11" t="n"/>
      <c r="R30" s="11" t="n"/>
      <c r="S30" s="8">
        <f>IF(OR(B30="",Q30=""),"",IF(TODAY()&lt;Q30,"파견예정",IF(AND(R30&lt;&gt;"",TODAY()&gt;R30),"파견종료","파견중")))</f>
        <v/>
      </c>
      <c r="T30" s="12">
        <f>IF(OR(Q30="",R30=""),"",R30-Q30+1)</f>
        <v/>
      </c>
      <c r="U30" s="12">
        <f>IF(AND(S30="파견중",R30&lt;&gt;""),R30-TODAY(),"")</f>
        <v/>
      </c>
      <c r="V30" s="5" t="n"/>
      <c r="W30" s="8">
        <f>IF(B30="","",IFERROR(MATCH(B30,기본자료!$B$2:$B$501,0),IFERROR(MATCH(B30&amp;"",기본자료!$B$2:$B$501,0),IFERROR(MATCH(VALUE(B30),기본자료!$B$2:$B$501,0),""))))</f>
        <v/>
      </c>
    </row>
    <row r="31">
      <c r="A31" s="8">
        <f>IF(B31="","",ROW()-1)</f>
        <v/>
      </c>
      <c r="B31" s="9" t="n"/>
      <c r="C31" s="8">
        <f>IF($W31="","",IF(INDEX(기본자료!$C$2:$C$501,$W31)="","",INDEX(기본자료!$C$2:$C$501,$W31)))</f>
        <v/>
      </c>
      <c r="D31" s="8">
        <f>IF($W31="","",IF(INDEX(기본자료!$J$2:$J$501,$W31)="","",INDEX(기본자료!$J$2:$J$501,$W31)))</f>
        <v/>
      </c>
      <c r="E31" s="10">
        <f>IF($W31="","",IF(INDEX(기본자료!$K$2:$K$501,$W31)="","",IF(NOT(ISNUMBER(INDEX(기본자료!$K$2:$K$501,$W31))),INDEX(기본자료!$K$2:$K$501,$W31),IF(INDEX(기본자료!$K$2:$K$501,$W31)&lt;1000000,INDEX(기본자료!$K$2:$K$501,$W31),IF(AND(INDEX(기본자료!$K$2:$K$501,$W31)&gt;=10000101,INT(MOD(INDEX(기본자료!$K$2:$K$501,$W31),10000)/100)&gt;=1,INT(MOD(INDEX(기본자료!$K$2:$K$501,$W31),10000)/100)&lt;=12,MOD(INDEX(기본자료!$K$2:$K$501,$W31),100)&gt;=1,MOD(INDEX(기본자료!$K$2:$K$501,$W31),100)&lt;=31),DATE(INT(INDEX(기본자료!$K$2:$K$501,$W31)/10000),INT(MOD(INDEX(기본자료!$K$2:$K$501,$W31),10000)/100),MOD(INDEX(기본자료!$K$2:$K$501,$W31),100)),INDEX(기본자료!$K$2:$K$501,$W31)&amp;"")))))</f>
        <v/>
      </c>
      <c r="F31" s="8">
        <f>IF($W31="","",IF(INDEX(기본자료!$D$2:$D$501,$W31)="","",INDEX(기본자료!$D$2:$D$501,$W31)))</f>
        <v/>
      </c>
      <c r="G31" s="8">
        <f>IF($W31="","",IF(INDEX(기본자료!$E$2:$E$501,$W31)="","",INDEX(기본자료!$E$2:$E$501,$W31)))</f>
        <v/>
      </c>
      <c r="H31" s="8">
        <f>IF($W31="","",IF(INDEX(기본자료!$F$2:$F$501,$W31)="","",INDEX(기본자료!$F$2:$F$501,$W31)))</f>
        <v/>
      </c>
      <c r="I31" s="10">
        <f>IF($W31="","",IF(INDEX(기본자료!$G$2:$G$501,$W31)="","",IF(NOT(ISNUMBER(INDEX(기본자료!$G$2:$G$501,$W31))),INDEX(기본자료!$G$2:$G$501,$W31),IF(INDEX(기본자료!$G$2:$G$501,$W31)&lt;1000000,INDEX(기본자료!$G$2:$G$501,$W31),IF(AND(INDEX(기본자료!$G$2:$G$501,$W31)&gt;=10000101,INT(MOD(INDEX(기본자료!$G$2:$G$501,$W31),10000)/100)&gt;=1,INT(MOD(INDEX(기본자료!$G$2:$G$501,$W31),10000)/100)&lt;=12,MOD(INDEX(기본자료!$G$2:$G$501,$W31),100)&gt;=1,MOD(INDEX(기본자료!$G$2:$G$501,$W31),100)&lt;=31),DATE(INT(INDEX(기본자료!$G$2:$G$501,$W31)/10000),INT(MOD(INDEX(기본자료!$G$2:$G$501,$W31),10000)/100),MOD(INDEX(기본자료!$G$2:$G$501,$W31),100)),INDEX(기본자료!$G$2:$G$501,$W31)&amp;"")))))</f>
        <v/>
      </c>
      <c r="J31" s="8">
        <f>IF($W31="","",IF(INDEX(기본자료!$H$2:$H$501,$W31)="","",INDEX(기본자료!$H$2:$H$501,$W31)))</f>
        <v/>
      </c>
      <c r="K31" s="8">
        <f>IF($W31="","",IF(INDEX(기본자료!$I$2:$I$501,$W31)="","",INDEX(기본자료!$I$2:$I$501,$W31)))</f>
        <v/>
      </c>
      <c r="L31" s="8">
        <f>IF($W31="","",IF(INDEX(기본자료!$A$2:$A$501,$W31)="","",INDEX(기본자료!$A$2:$A$501,$W31)))</f>
        <v/>
      </c>
      <c r="M31" s="5" t="n"/>
      <c r="N31" s="5" t="n"/>
      <c r="O31" s="5" t="n"/>
      <c r="P31" s="5" t="n"/>
      <c r="Q31" s="11" t="n"/>
      <c r="R31" s="11" t="n"/>
      <c r="S31" s="8">
        <f>IF(OR(B31="",Q31=""),"",IF(TODAY()&lt;Q31,"파견예정",IF(AND(R31&lt;&gt;"",TODAY()&gt;R31),"파견종료","파견중")))</f>
        <v/>
      </c>
      <c r="T31" s="12">
        <f>IF(OR(Q31="",R31=""),"",R31-Q31+1)</f>
        <v/>
      </c>
      <c r="U31" s="12">
        <f>IF(AND(S31="파견중",R31&lt;&gt;""),R31-TODAY(),"")</f>
        <v/>
      </c>
      <c r="V31" s="5" t="n"/>
      <c r="W31" s="8">
        <f>IF(B31="","",IFERROR(MATCH(B31,기본자료!$B$2:$B$501,0),IFERROR(MATCH(B31&amp;"",기본자료!$B$2:$B$501,0),IFERROR(MATCH(VALUE(B31),기본자료!$B$2:$B$501,0),""))))</f>
        <v/>
      </c>
    </row>
    <row r="32">
      <c r="A32" s="8">
        <f>IF(B32="","",ROW()-1)</f>
        <v/>
      </c>
      <c r="B32" s="9" t="n"/>
      <c r="C32" s="8">
        <f>IF($W32="","",IF(INDEX(기본자료!$C$2:$C$501,$W32)="","",INDEX(기본자료!$C$2:$C$501,$W32)))</f>
        <v/>
      </c>
      <c r="D32" s="8">
        <f>IF($W32="","",IF(INDEX(기본자료!$J$2:$J$501,$W32)="","",INDEX(기본자료!$J$2:$J$501,$W32)))</f>
        <v/>
      </c>
      <c r="E32" s="10">
        <f>IF($W32="","",IF(INDEX(기본자료!$K$2:$K$501,$W32)="","",IF(NOT(ISNUMBER(INDEX(기본자료!$K$2:$K$501,$W32))),INDEX(기본자료!$K$2:$K$501,$W32),IF(INDEX(기본자료!$K$2:$K$501,$W32)&lt;1000000,INDEX(기본자료!$K$2:$K$501,$W32),IF(AND(INDEX(기본자료!$K$2:$K$501,$W32)&gt;=10000101,INT(MOD(INDEX(기본자료!$K$2:$K$501,$W32),10000)/100)&gt;=1,INT(MOD(INDEX(기본자료!$K$2:$K$501,$W32),10000)/100)&lt;=12,MOD(INDEX(기본자료!$K$2:$K$501,$W32),100)&gt;=1,MOD(INDEX(기본자료!$K$2:$K$501,$W32),100)&lt;=31),DATE(INT(INDEX(기본자료!$K$2:$K$501,$W32)/10000),INT(MOD(INDEX(기본자료!$K$2:$K$501,$W32),10000)/100),MOD(INDEX(기본자료!$K$2:$K$501,$W32),100)),INDEX(기본자료!$K$2:$K$501,$W32)&amp;"")))))</f>
        <v/>
      </c>
      <c r="F32" s="8">
        <f>IF($W32="","",IF(INDEX(기본자료!$D$2:$D$501,$W32)="","",INDEX(기본자료!$D$2:$D$501,$W32)))</f>
        <v/>
      </c>
      <c r="G32" s="8">
        <f>IF($W32="","",IF(INDEX(기본자료!$E$2:$E$501,$W32)="","",INDEX(기본자료!$E$2:$E$501,$W32)))</f>
        <v/>
      </c>
      <c r="H32" s="8">
        <f>IF($W32="","",IF(INDEX(기본자료!$F$2:$F$501,$W32)="","",INDEX(기본자료!$F$2:$F$501,$W32)))</f>
        <v/>
      </c>
      <c r="I32" s="10">
        <f>IF($W32="","",IF(INDEX(기본자료!$G$2:$G$501,$W32)="","",IF(NOT(ISNUMBER(INDEX(기본자료!$G$2:$G$501,$W32))),INDEX(기본자료!$G$2:$G$501,$W32),IF(INDEX(기본자료!$G$2:$G$501,$W32)&lt;1000000,INDEX(기본자료!$G$2:$G$501,$W32),IF(AND(INDEX(기본자료!$G$2:$G$501,$W32)&gt;=10000101,INT(MOD(INDEX(기본자료!$G$2:$G$501,$W32),10000)/100)&gt;=1,INT(MOD(INDEX(기본자료!$G$2:$G$501,$W32),10000)/100)&lt;=12,MOD(INDEX(기본자료!$G$2:$G$501,$W32),100)&gt;=1,MOD(INDEX(기본자료!$G$2:$G$501,$W32),100)&lt;=31),DATE(INT(INDEX(기본자료!$G$2:$G$501,$W32)/10000),INT(MOD(INDEX(기본자료!$G$2:$G$501,$W32),10000)/100),MOD(INDEX(기본자료!$G$2:$G$501,$W32),100)),INDEX(기본자료!$G$2:$G$501,$W32)&amp;"")))))</f>
        <v/>
      </c>
      <c r="J32" s="8">
        <f>IF($W32="","",IF(INDEX(기본자료!$H$2:$H$501,$W32)="","",INDEX(기본자료!$H$2:$H$501,$W32)))</f>
        <v/>
      </c>
      <c r="K32" s="8">
        <f>IF($W32="","",IF(INDEX(기본자료!$I$2:$I$501,$W32)="","",INDEX(기본자료!$I$2:$I$501,$W32)))</f>
        <v/>
      </c>
      <c r="L32" s="8">
        <f>IF($W32="","",IF(INDEX(기본자료!$A$2:$A$501,$W32)="","",INDEX(기본자료!$A$2:$A$501,$W32)))</f>
        <v/>
      </c>
      <c r="M32" s="5" t="n"/>
      <c r="N32" s="5" t="n"/>
      <c r="O32" s="5" t="n"/>
      <c r="P32" s="5" t="n"/>
      <c r="Q32" s="11" t="n"/>
      <c r="R32" s="11" t="n"/>
      <c r="S32" s="8">
        <f>IF(OR(B32="",Q32=""),"",IF(TODAY()&lt;Q32,"파견예정",IF(AND(R32&lt;&gt;"",TODAY()&gt;R32),"파견종료","파견중")))</f>
        <v/>
      </c>
      <c r="T32" s="12">
        <f>IF(OR(Q32="",R32=""),"",R32-Q32+1)</f>
        <v/>
      </c>
      <c r="U32" s="12">
        <f>IF(AND(S32="파견중",R32&lt;&gt;""),R32-TODAY(),"")</f>
        <v/>
      </c>
      <c r="V32" s="5" t="n"/>
      <c r="W32" s="8">
        <f>IF(B32="","",IFERROR(MATCH(B32,기본자료!$B$2:$B$501,0),IFERROR(MATCH(B32&amp;"",기본자료!$B$2:$B$501,0),IFERROR(MATCH(VALUE(B32),기본자료!$B$2:$B$501,0),""))))</f>
        <v/>
      </c>
    </row>
    <row r="33">
      <c r="A33" s="8">
        <f>IF(B33="","",ROW()-1)</f>
        <v/>
      </c>
      <c r="B33" s="9" t="n"/>
      <c r="C33" s="8">
        <f>IF($W33="","",IF(INDEX(기본자료!$C$2:$C$501,$W33)="","",INDEX(기본자료!$C$2:$C$501,$W33)))</f>
        <v/>
      </c>
      <c r="D33" s="8">
        <f>IF($W33="","",IF(INDEX(기본자료!$J$2:$J$501,$W33)="","",INDEX(기본자료!$J$2:$J$501,$W33)))</f>
        <v/>
      </c>
      <c r="E33" s="10">
        <f>IF($W33="","",IF(INDEX(기본자료!$K$2:$K$501,$W33)="","",IF(NOT(ISNUMBER(INDEX(기본자료!$K$2:$K$501,$W33))),INDEX(기본자료!$K$2:$K$501,$W33),IF(INDEX(기본자료!$K$2:$K$501,$W33)&lt;1000000,INDEX(기본자료!$K$2:$K$501,$W33),IF(AND(INDEX(기본자료!$K$2:$K$501,$W33)&gt;=10000101,INT(MOD(INDEX(기본자료!$K$2:$K$501,$W33),10000)/100)&gt;=1,INT(MOD(INDEX(기본자료!$K$2:$K$501,$W33),10000)/100)&lt;=12,MOD(INDEX(기본자료!$K$2:$K$501,$W33),100)&gt;=1,MOD(INDEX(기본자료!$K$2:$K$501,$W33),100)&lt;=31),DATE(INT(INDEX(기본자료!$K$2:$K$501,$W33)/10000),INT(MOD(INDEX(기본자료!$K$2:$K$501,$W33),10000)/100),MOD(INDEX(기본자료!$K$2:$K$501,$W33),100)),INDEX(기본자료!$K$2:$K$501,$W33)&amp;"")))))</f>
        <v/>
      </c>
      <c r="F33" s="8">
        <f>IF($W33="","",IF(INDEX(기본자료!$D$2:$D$501,$W33)="","",INDEX(기본자료!$D$2:$D$501,$W33)))</f>
        <v/>
      </c>
      <c r="G33" s="8">
        <f>IF($W33="","",IF(INDEX(기본자료!$E$2:$E$501,$W33)="","",INDEX(기본자료!$E$2:$E$501,$W33)))</f>
        <v/>
      </c>
      <c r="H33" s="8">
        <f>IF($W33="","",IF(INDEX(기본자료!$F$2:$F$501,$W33)="","",INDEX(기본자료!$F$2:$F$501,$W33)))</f>
        <v/>
      </c>
      <c r="I33" s="10">
        <f>IF($W33="","",IF(INDEX(기본자료!$G$2:$G$501,$W33)="","",IF(NOT(ISNUMBER(INDEX(기본자료!$G$2:$G$501,$W33))),INDEX(기본자료!$G$2:$G$501,$W33),IF(INDEX(기본자료!$G$2:$G$501,$W33)&lt;1000000,INDEX(기본자료!$G$2:$G$501,$W33),IF(AND(INDEX(기본자료!$G$2:$G$501,$W33)&gt;=10000101,INT(MOD(INDEX(기본자료!$G$2:$G$501,$W33),10000)/100)&gt;=1,INT(MOD(INDEX(기본자료!$G$2:$G$501,$W33),10000)/100)&lt;=12,MOD(INDEX(기본자료!$G$2:$G$501,$W33),100)&gt;=1,MOD(INDEX(기본자료!$G$2:$G$501,$W33),100)&lt;=31),DATE(INT(INDEX(기본자료!$G$2:$G$501,$W33)/10000),INT(MOD(INDEX(기본자료!$G$2:$G$501,$W33),10000)/100),MOD(INDEX(기본자료!$G$2:$G$501,$W33),100)),INDEX(기본자료!$G$2:$G$501,$W33)&amp;"")))))</f>
        <v/>
      </c>
      <c r="J33" s="8">
        <f>IF($W33="","",IF(INDEX(기본자료!$H$2:$H$501,$W33)="","",INDEX(기본자료!$H$2:$H$501,$W33)))</f>
        <v/>
      </c>
      <c r="K33" s="8">
        <f>IF($W33="","",IF(INDEX(기본자료!$I$2:$I$501,$W33)="","",INDEX(기본자료!$I$2:$I$501,$W33)))</f>
        <v/>
      </c>
      <c r="L33" s="8">
        <f>IF($W33="","",IF(INDEX(기본자료!$A$2:$A$501,$W33)="","",INDEX(기본자료!$A$2:$A$501,$W33)))</f>
        <v/>
      </c>
      <c r="M33" s="5" t="n"/>
      <c r="N33" s="5" t="n"/>
      <c r="O33" s="5" t="n"/>
      <c r="P33" s="5" t="n"/>
      <c r="Q33" s="11" t="n"/>
      <c r="R33" s="11" t="n"/>
      <c r="S33" s="8">
        <f>IF(OR(B33="",Q33=""),"",IF(TODAY()&lt;Q33,"파견예정",IF(AND(R33&lt;&gt;"",TODAY()&gt;R33),"파견종료","파견중")))</f>
        <v/>
      </c>
      <c r="T33" s="12">
        <f>IF(OR(Q33="",R33=""),"",R33-Q33+1)</f>
        <v/>
      </c>
      <c r="U33" s="12">
        <f>IF(AND(S33="파견중",R33&lt;&gt;""),R33-TODAY(),"")</f>
        <v/>
      </c>
      <c r="V33" s="5" t="n"/>
      <c r="W33" s="8">
        <f>IF(B33="","",IFERROR(MATCH(B33,기본자료!$B$2:$B$501,0),IFERROR(MATCH(B33&amp;"",기본자료!$B$2:$B$501,0),IFERROR(MATCH(VALUE(B33),기본자료!$B$2:$B$501,0),""))))</f>
        <v/>
      </c>
    </row>
    <row r="34">
      <c r="A34" s="8">
        <f>IF(B34="","",ROW()-1)</f>
        <v/>
      </c>
      <c r="B34" s="9" t="n"/>
      <c r="C34" s="8">
        <f>IF($W34="","",IF(INDEX(기본자료!$C$2:$C$501,$W34)="","",INDEX(기본자료!$C$2:$C$501,$W34)))</f>
        <v/>
      </c>
      <c r="D34" s="8">
        <f>IF($W34="","",IF(INDEX(기본자료!$J$2:$J$501,$W34)="","",INDEX(기본자료!$J$2:$J$501,$W34)))</f>
        <v/>
      </c>
      <c r="E34" s="10">
        <f>IF($W34="","",IF(INDEX(기본자료!$K$2:$K$501,$W34)="","",IF(NOT(ISNUMBER(INDEX(기본자료!$K$2:$K$501,$W34))),INDEX(기본자료!$K$2:$K$501,$W34),IF(INDEX(기본자료!$K$2:$K$501,$W34)&lt;1000000,INDEX(기본자료!$K$2:$K$501,$W34),IF(AND(INDEX(기본자료!$K$2:$K$501,$W34)&gt;=10000101,INT(MOD(INDEX(기본자료!$K$2:$K$501,$W34),10000)/100)&gt;=1,INT(MOD(INDEX(기본자료!$K$2:$K$501,$W34),10000)/100)&lt;=12,MOD(INDEX(기본자료!$K$2:$K$501,$W34),100)&gt;=1,MOD(INDEX(기본자료!$K$2:$K$501,$W34),100)&lt;=31),DATE(INT(INDEX(기본자료!$K$2:$K$501,$W34)/10000),INT(MOD(INDEX(기본자료!$K$2:$K$501,$W34),10000)/100),MOD(INDEX(기본자료!$K$2:$K$501,$W34),100)),INDEX(기본자료!$K$2:$K$501,$W34)&amp;"")))))</f>
        <v/>
      </c>
      <c r="F34" s="8">
        <f>IF($W34="","",IF(INDEX(기본자료!$D$2:$D$501,$W34)="","",INDEX(기본자료!$D$2:$D$501,$W34)))</f>
        <v/>
      </c>
      <c r="G34" s="8">
        <f>IF($W34="","",IF(INDEX(기본자료!$E$2:$E$501,$W34)="","",INDEX(기본자료!$E$2:$E$501,$W34)))</f>
        <v/>
      </c>
      <c r="H34" s="8">
        <f>IF($W34="","",IF(INDEX(기본자료!$F$2:$F$501,$W34)="","",INDEX(기본자료!$F$2:$F$501,$W34)))</f>
        <v/>
      </c>
      <c r="I34" s="10">
        <f>IF($W34="","",IF(INDEX(기본자료!$G$2:$G$501,$W34)="","",IF(NOT(ISNUMBER(INDEX(기본자료!$G$2:$G$501,$W34))),INDEX(기본자료!$G$2:$G$501,$W34),IF(INDEX(기본자료!$G$2:$G$501,$W34)&lt;1000000,INDEX(기본자료!$G$2:$G$501,$W34),IF(AND(INDEX(기본자료!$G$2:$G$501,$W34)&gt;=10000101,INT(MOD(INDEX(기본자료!$G$2:$G$501,$W34),10000)/100)&gt;=1,INT(MOD(INDEX(기본자료!$G$2:$G$501,$W34),10000)/100)&lt;=12,MOD(INDEX(기본자료!$G$2:$G$501,$W34),100)&gt;=1,MOD(INDEX(기본자료!$G$2:$G$501,$W34),100)&lt;=31),DATE(INT(INDEX(기본자료!$G$2:$G$501,$W34)/10000),INT(MOD(INDEX(기본자료!$G$2:$G$501,$W34),10000)/100),MOD(INDEX(기본자료!$G$2:$G$501,$W34),100)),INDEX(기본자료!$G$2:$G$501,$W34)&amp;"")))))</f>
        <v/>
      </c>
      <c r="J34" s="8">
        <f>IF($W34="","",IF(INDEX(기본자료!$H$2:$H$501,$W34)="","",INDEX(기본자료!$H$2:$H$501,$W34)))</f>
        <v/>
      </c>
      <c r="K34" s="8">
        <f>IF($W34="","",IF(INDEX(기본자료!$I$2:$I$501,$W34)="","",INDEX(기본자료!$I$2:$I$501,$W34)))</f>
        <v/>
      </c>
      <c r="L34" s="8">
        <f>IF($W34="","",IF(INDEX(기본자료!$A$2:$A$501,$W34)="","",INDEX(기본자료!$A$2:$A$501,$W34)))</f>
        <v/>
      </c>
      <c r="M34" s="5" t="n"/>
      <c r="N34" s="5" t="n"/>
      <c r="O34" s="5" t="n"/>
      <c r="P34" s="5" t="n"/>
      <c r="Q34" s="11" t="n"/>
      <c r="R34" s="11" t="n"/>
      <c r="S34" s="8">
        <f>IF(OR(B34="",Q34=""),"",IF(TODAY()&lt;Q34,"파견예정",IF(AND(R34&lt;&gt;"",TODAY()&gt;R34),"파견종료","파견중")))</f>
        <v/>
      </c>
      <c r="T34" s="12">
        <f>IF(OR(Q34="",R34=""),"",R34-Q34+1)</f>
        <v/>
      </c>
      <c r="U34" s="12">
        <f>IF(AND(S34="파견중",R34&lt;&gt;""),R34-TODAY(),"")</f>
        <v/>
      </c>
      <c r="V34" s="5" t="n"/>
      <c r="W34" s="8">
        <f>IF(B34="","",IFERROR(MATCH(B34,기본자료!$B$2:$B$501,0),IFERROR(MATCH(B34&amp;"",기본자료!$B$2:$B$501,0),IFERROR(MATCH(VALUE(B34),기본자료!$B$2:$B$501,0),""))))</f>
        <v/>
      </c>
    </row>
    <row r="35">
      <c r="A35" s="8">
        <f>IF(B35="","",ROW()-1)</f>
        <v/>
      </c>
      <c r="B35" s="9" t="n"/>
      <c r="C35" s="8">
        <f>IF($W35="","",IF(INDEX(기본자료!$C$2:$C$501,$W35)="","",INDEX(기본자료!$C$2:$C$501,$W35)))</f>
        <v/>
      </c>
      <c r="D35" s="8">
        <f>IF($W35="","",IF(INDEX(기본자료!$J$2:$J$501,$W35)="","",INDEX(기본자료!$J$2:$J$501,$W35)))</f>
        <v/>
      </c>
      <c r="E35" s="10">
        <f>IF($W35="","",IF(INDEX(기본자료!$K$2:$K$501,$W35)="","",IF(NOT(ISNUMBER(INDEX(기본자료!$K$2:$K$501,$W35))),INDEX(기본자료!$K$2:$K$501,$W35),IF(INDEX(기본자료!$K$2:$K$501,$W35)&lt;1000000,INDEX(기본자료!$K$2:$K$501,$W35),IF(AND(INDEX(기본자료!$K$2:$K$501,$W35)&gt;=10000101,INT(MOD(INDEX(기본자료!$K$2:$K$501,$W35),10000)/100)&gt;=1,INT(MOD(INDEX(기본자료!$K$2:$K$501,$W35),10000)/100)&lt;=12,MOD(INDEX(기본자료!$K$2:$K$501,$W35),100)&gt;=1,MOD(INDEX(기본자료!$K$2:$K$501,$W35),100)&lt;=31),DATE(INT(INDEX(기본자료!$K$2:$K$501,$W35)/10000),INT(MOD(INDEX(기본자료!$K$2:$K$501,$W35),10000)/100),MOD(INDEX(기본자료!$K$2:$K$501,$W35),100)),INDEX(기본자료!$K$2:$K$501,$W35)&amp;"")))))</f>
        <v/>
      </c>
      <c r="F35" s="8">
        <f>IF($W35="","",IF(INDEX(기본자료!$D$2:$D$501,$W35)="","",INDEX(기본자료!$D$2:$D$501,$W35)))</f>
        <v/>
      </c>
      <c r="G35" s="8">
        <f>IF($W35="","",IF(INDEX(기본자료!$E$2:$E$501,$W35)="","",INDEX(기본자료!$E$2:$E$501,$W35)))</f>
        <v/>
      </c>
      <c r="H35" s="8">
        <f>IF($W35="","",IF(INDEX(기본자료!$F$2:$F$501,$W35)="","",INDEX(기본자료!$F$2:$F$501,$W35)))</f>
        <v/>
      </c>
      <c r="I35" s="10">
        <f>IF($W35="","",IF(INDEX(기본자료!$G$2:$G$501,$W35)="","",IF(NOT(ISNUMBER(INDEX(기본자료!$G$2:$G$501,$W35))),INDEX(기본자료!$G$2:$G$501,$W35),IF(INDEX(기본자료!$G$2:$G$501,$W35)&lt;1000000,INDEX(기본자료!$G$2:$G$501,$W35),IF(AND(INDEX(기본자료!$G$2:$G$501,$W35)&gt;=10000101,INT(MOD(INDEX(기본자료!$G$2:$G$501,$W35),10000)/100)&gt;=1,INT(MOD(INDEX(기본자료!$G$2:$G$501,$W35),10000)/100)&lt;=12,MOD(INDEX(기본자료!$G$2:$G$501,$W35),100)&gt;=1,MOD(INDEX(기본자료!$G$2:$G$501,$W35),100)&lt;=31),DATE(INT(INDEX(기본자료!$G$2:$G$501,$W35)/10000),INT(MOD(INDEX(기본자료!$G$2:$G$501,$W35),10000)/100),MOD(INDEX(기본자료!$G$2:$G$501,$W35),100)),INDEX(기본자료!$G$2:$G$501,$W35)&amp;"")))))</f>
        <v/>
      </c>
      <c r="J35" s="8">
        <f>IF($W35="","",IF(INDEX(기본자료!$H$2:$H$501,$W35)="","",INDEX(기본자료!$H$2:$H$501,$W35)))</f>
        <v/>
      </c>
      <c r="K35" s="8">
        <f>IF($W35="","",IF(INDEX(기본자료!$I$2:$I$501,$W35)="","",INDEX(기본자료!$I$2:$I$501,$W35)))</f>
        <v/>
      </c>
      <c r="L35" s="8">
        <f>IF($W35="","",IF(INDEX(기본자료!$A$2:$A$501,$W35)="","",INDEX(기본자료!$A$2:$A$501,$W35)))</f>
        <v/>
      </c>
      <c r="M35" s="5" t="n"/>
      <c r="N35" s="5" t="n"/>
      <c r="O35" s="5" t="n"/>
      <c r="P35" s="5" t="n"/>
      <c r="Q35" s="11" t="n"/>
      <c r="R35" s="11" t="n"/>
      <c r="S35" s="8">
        <f>IF(OR(B35="",Q35=""),"",IF(TODAY()&lt;Q35,"파견예정",IF(AND(R35&lt;&gt;"",TODAY()&gt;R35),"파견종료","파견중")))</f>
        <v/>
      </c>
      <c r="T35" s="12">
        <f>IF(OR(Q35="",R35=""),"",R35-Q35+1)</f>
        <v/>
      </c>
      <c r="U35" s="12">
        <f>IF(AND(S35="파견중",R35&lt;&gt;""),R35-TODAY(),"")</f>
        <v/>
      </c>
      <c r="V35" s="5" t="n"/>
      <c r="W35" s="8">
        <f>IF(B35="","",IFERROR(MATCH(B35,기본자료!$B$2:$B$501,0),IFERROR(MATCH(B35&amp;"",기본자료!$B$2:$B$501,0),IFERROR(MATCH(VALUE(B35),기본자료!$B$2:$B$501,0),""))))</f>
        <v/>
      </c>
    </row>
    <row r="36">
      <c r="A36" s="8">
        <f>IF(B36="","",ROW()-1)</f>
        <v/>
      </c>
      <c r="B36" s="9" t="n"/>
      <c r="C36" s="8">
        <f>IF($W36="","",IF(INDEX(기본자료!$C$2:$C$501,$W36)="","",INDEX(기본자료!$C$2:$C$501,$W36)))</f>
        <v/>
      </c>
      <c r="D36" s="8">
        <f>IF($W36="","",IF(INDEX(기본자료!$J$2:$J$501,$W36)="","",INDEX(기본자료!$J$2:$J$501,$W36)))</f>
        <v/>
      </c>
      <c r="E36" s="10">
        <f>IF($W36="","",IF(INDEX(기본자료!$K$2:$K$501,$W36)="","",IF(NOT(ISNUMBER(INDEX(기본자료!$K$2:$K$501,$W36))),INDEX(기본자료!$K$2:$K$501,$W36),IF(INDEX(기본자료!$K$2:$K$501,$W36)&lt;1000000,INDEX(기본자료!$K$2:$K$501,$W36),IF(AND(INDEX(기본자료!$K$2:$K$501,$W36)&gt;=10000101,INT(MOD(INDEX(기본자료!$K$2:$K$501,$W36),10000)/100)&gt;=1,INT(MOD(INDEX(기본자료!$K$2:$K$501,$W36),10000)/100)&lt;=12,MOD(INDEX(기본자료!$K$2:$K$501,$W36),100)&gt;=1,MOD(INDEX(기본자료!$K$2:$K$501,$W36),100)&lt;=31),DATE(INT(INDEX(기본자료!$K$2:$K$501,$W36)/10000),INT(MOD(INDEX(기본자료!$K$2:$K$501,$W36),10000)/100),MOD(INDEX(기본자료!$K$2:$K$501,$W36),100)),INDEX(기본자료!$K$2:$K$501,$W36)&amp;"")))))</f>
        <v/>
      </c>
      <c r="F36" s="8">
        <f>IF($W36="","",IF(INDEX(기본자료!$D$2:$D$501,$W36)="","",INDEX(기본자료!$D$2:$D$501,$W36)))</f>
        <v/>
      </c>
      <c r="G36" s="8">
        <f>IF($W36="","",IF(INDEX(기본자료!$E$2:$E$501,$W36)="","",INDEX(기본자료!$E$2:$E$501,$W36)))</f>
        <v/>
      </c>
      <c r="H36" s="8">
        <f>IF($W36="","",IF(INDEX(기본자료!$F$2:$F$501,$W36)="","",INDEX(기본자료!$F$2:$F$501,$W36)))</f>
        <v/>
      </c>
      <c r="I36" s="10">
        <f>IF($W36="","",IF(INDEX(기본자료!$G$2:$G$501,$W36)="","",IF(NOT(ISNUMBER(INDEX(기본자료!$G$2:$G$501,$W36))),INDEX(기본자료!$G$2:$G$501,$W36),IF(INDEX(기본자료!$G$2:$G$501,$W36)&lt;1000000,INDEX(기본자료!$G$2:$G$501,$W36),IF(AND(INDEX(기본자료!$G$2:$G$501,$W36)&gt;=10000101,INT(MOD(INDEX(기본자료!$G$2:$G$501,$W36),10000)/100)&gt;=1,INT(MOD(INDEX(기본자료!$G$2:$G$501,$W36),10000)/100)&lt;=12,MOD(INDEX(기본자료!$G$2:$G$501,$W36),100)&gt;=1,MOD(INDEX(기본자료!$G$2:$G$501,$W36),100)&lt;=31),DATE(INT(INDEX(기본자료!$G$2:$G$501,$W36)/10000),INT(MOD(INDEX(기본자료!$G$2:$G$501,$W36),10000)/100),MOD(INDEX(기본자료!$G$2:$G$501,$W36),100)),INDEX(기본자료!$G$2:$G$501,$W36)&amp;"")))))</f>
        <v/>
      </c>
      <c r="J36" s="8">
        <f>IF($W36="","",IF(INDEX(기본자료!$H$2:$H$501,$W36)="","",INDEX(기본자료!$H$2:$H$501,$W36)))</f>
        <v/>
      </c>
      <c r="K36" s="8">
        <f>IF($W36="","",IF(INDEX(기본자료!$I$2:$I$501,$W36)="","",INDEX(기본자료!$I$2:$I$501,$W36)))</f>
        <v/>
      </c>
      <c r="L36" s="8">
        <f>IF($W36="","",IF(INDEX(기본자료!$A$2:$A$501,$W36)="","",INDEX(기본자료!$A$2:$A$501,$W36)))</f>
        <v/>
      </c>
      <c r="M36" s="5" t="n"/>
      <c r="N36" s="5" t="n"/>
      <c r="O36" s="5" t="n"/>
      <c r="P36" s="5" t="n"/>
      <c r="Q36" s="11" t="n"/>
      <c r="R36" s="11" t="n"/>
      <c r="S36" s="8">
        <f>IF(OR(B36="",Q36=""),"",IF(TODAY()&lt;Q36,"파견예정",IF(AND(R36&lt;&gt;"",TODAY()&gt;R36),"파견종료","파견중")))</f>
        <v/>
      </c>
      <c r="T36" s="12">
        <f>IF(OR(Q36="",R36=""),"",R36-Q36+1)</f>
        <v/>
      </c>
      <c r="U36" s="12">
        <f>IF(AND(S36="파견중",R36&lt;&gt;""),R36-TODAY(),"")</f>
        <v/>
      </c>
      <c r="V36" s="5" t="n"/>
      <c r="W36" s="8">
        <f>IF(B36="","",IFERROR(MATCH(B36,기본자료!$B$2:$B$501,0),IFERROR(MATCH(B36&amp;"",기본자료!$B$2:$B$501,0),IFERROR(MATCH(VALUE(B36),기본자료!$B$2:$B$501,0),""))))</f>
        <v/>
      </c>
    </row>
    <row r="37">
      <c r="A37" s="8">
        <f>IF(B37="","",ROW()-1)</f>
        <v/>
      </c>
      <c r="B37" s="9" t="n"/>
      <c r="C37" s="8">
        <f>IF($W37="","",IF(INDEX(기본자료!$C$2:$C$501,$W37)="","",INDEX(기본자료!$C$2:$C$501,$W37)))</f>
        <v/>
      </c>
      <c r="D37" s="8">
        <f>IF($W37="","",IF(INDEX(기본자료!$J$2:$J$501,$W37)="","",INDEX(기본자료!$J$2:$J$501,$W37)))</f>
        <v/>
      </c>
      <c r="E37" s="10">
        <f>IF($W37="","",IF(INDEX(기본자료!$K$2:$K$501,$W37)="","",IF(NOT(ISNUMBER(INDEX(기본자료!$K$2:$K$501,$W37))),INDEX(기본자료!$K$2:$K$501,$W37),IF(INDEX(기본자료!$K$2:$K$501,$W37)&lt;1000000,INDEX(기본자료!$K$2:$K$501,$W37),IF(AND(INDEX(기본자료!$K$2:$K$501,$W37)&gt;=10000101,INT(MOD(INDEX(기본자료!$K$2:$K$501,$W37),10000)/100)&gt;=1,INT(MOD(INDEX(기본자료!$K$2:$K$501,$W37),10000)/100)&lt;=12,MOD(INDEX(기본자료!$K$2:$K$501,$W37),100)&gt;=1,MOD(INDEX(기본자료!$K$2:$K$501,$W37),100)&lt;=31),DATE(INT(INDEX(기본자료!$K$2:$K$501,$W37)/10000),INT(MOD(INDEX(기본자료!$K$2:$K$501,$W37),10000)/100),MOD(INDEX(기본자료!$K$2:$K$501,$W37),100)),INDEX(기본자료!$K$2:$K$501,$W37)&amp;"")))))</f>
        <v/>
      </c>
      <c r="F37" s="8">
        <f>IF($W37="","",IF(INDEX(기본자료!$D$2:$D$501,$W37)="","",INDEX(기본자료!$D$2:$D$501,$W37)))</f>
        <v/>
      </c>
      <c r="G37" s="8">
        <f>IF($W37="","",IF(INDEX(기본자료!$E$2:$E$501,$W37)="","",INDEX(기본자료!$E$2:$E$501,$W37)))</f>
        <v/>
      </c>
      <c r="H37" s="8">
        <f>IF($W37="","",IF(INDEX(기본자료!$F$2:$F$501,$W37)="","",INDEX(기본자료!$F$2:$F$501,$W37)))</f>
        <v/>
      </c>
      <c r="I37" s="10">
        <f>IF($W37="","",IF(INDEX(기본자료!$G$2:$G$501,$W37)="","",IF(NOT(ISNUMBER(INDEX(기본자료!$G$2:$G$501,$W37))),INDEX(기본자료!$G$2:$G$501,$W37),IF(INDEX(기본자료!$G$2:$G$501,$W37)&lt;1000000,INDEX(기본자료!$G$2:$G$501,$W37),IF(AND(INDEX(기본자료!$G$2:$G$501,$W37)&gt;=10000101,INT(MOD(INDEX(기본자료!$G$2:$G$501,$W37),10000)/100)&gt;=1,INT(MOD(INDEX(기본자료!$G$2:$G$501,$W37),10000)/100)&lt;=12,MOD(INDEX(기본자료!$G$2:$G$501,$W37),100)&gt;=1,MOD(INDEX(기본자료!$G$2:$G$501,$W37),100)&lt;=31),DATE(INT(INDEX(기본자료!$G$2:$G$501,$W37)/10000),INT(MOD(INDEX(기본자료!$G$2:$G$501,$W37),10000)/100),MOD(INDEX(기본자료!$G$2:$G$501,$W37),100)),INDEX(기본자료!$G$2:$G$501,$W37)&amp;"")))))</f>
        <v/>
      </c>
      <c r="J37" s="8">
        <f>IF($W37="","",IF(INDEX(기본자료!$H$2:$H$501,$W37)="","",INDEX(기본자료!$H$2:$H$501,$W37)))</f>
        <v/>
      </c>
      <c r="K37" s="8">
        <f>IF($W37="","",IF(INDEX(기본자료!$I$2:$I$501,$W37)="","",INDEX(기본자료!$I$2:$I$501,$W37)))</f>
        <v/>
      </c>
      <c r="L37" s="8">
        <f>IF($W37="","",IF(INDEX(기본자료!$A$2:$A$501,$W37)="","",INDEX(기본자료!$A$2:$A$501,$W37)))</f>
        <v/>
      </c>
      <c r="M37" s="5" t="n"/>
      <c r="N37" s="5" t="n"/>
      <c r="O37" s="5" t="n"/>
      <c r="P37" s="5" t="n"/>
      <c r="Q37" s="11" t="n"/>
      <c r="R37" s="11" t="n"/>
      <c r="S37" s="8">
        <f>IF(OR(B37="",Q37=""),"",IF(TODAY()&lt;Q37,"파견예정",IF(AND(R37&lt;&gt;"",TODAY()&gt;R37),"파견종료","파견중")))</f>
        <v/>
      </c>
      <c r="T37" s="12">
        <f>IF(OR(Q37="",R37=""),"",R37-Q37+1)</f>
        <v/>
      </c>
      <c r="U37" s="12">
        <f>IF(AND(S37="파견중",R37&lt;&gt;""),R37-TODAY(),"")</f>
        <v/>
      </c>
      <c r="V37" s="5" t="n"/>
      <c r="W37" s="8">
        <f>IF(B37="","",IFERROR(MATCH(B37,기본자료!$B$2:$B$501,0),IFERROR(MATCH(B37&amp;"",기본자료!$B$2:$B$501,0),IFERROR(MATCH(VALUE(B37),기본자료!$B$2:$B$501,0),""))))</f>
        <v/>
      </c>
    </row>
    <row r="38">
      <c r="A38" s="8">
        <f>IF(B38="","",ROW()-1)</f>
        <v/>
      </c>
      <c r="B38" s="9" t="n"/>
      <c r="C38" s="8">
        <f>IF($W38="","",IF(INDEX(기본자료!$C$2:$C$501,$W38)="","",INDEX(기본자료!$C$2:$C$501,$W38)))</f>
        <v/>
      </c>
      <c r="D38" s="8">
        <f>IF($W38="","",IF(INDEX(기본자료!$J$2:$J$501,$W38)="","",INDEX(기본자료!$J$2:$J$501,$W38)))</f>
        <v/>
      </c>
      <c r="E38" s="10">
        <f>IF($W38="","",IF(INDEX(기본자료!$K$2:$K$501,$W38)="","",IF(NOT(ISNUMBER(INDEX(기본자료!$K$2:$K$501,$W38))),INDEX(기본자료!$K$2:$K$501,$W38),IF(INDEX(기본자료!$K$2:$K$501,$W38)&lt;1000000,INDEX(기본자료!$K$2:$K$501,$W38),IF(AND(INDEX(기본자료!$K$2:$K$501,$W38)&gt;=10000101,INT(MOD(INDEX(기본자료!$K$2:$K$501,$W38),10000)/100)&gt;=1,INT(MOD(INDEX(기본자료!$K$2:$K$501,$W38),10000)/100)&lt;=12,MOD(INDEX(기본자료!$K$2:$K$501,$W38),100)&gt;=1,MOD(INDEX(기본자료!$K$2:$K$501,$W38),100)&lt;=31),DATE(INT(INDEX(기본자료!$K$2:$K$501,$W38)/10000),INT(MOD(INDEX(기본자료!$K$2:$K$501,$W38),10000)/100),MOD(INDEX(기본자료!$K$2:$K$501,$W38),100)),INDEX(기본자료!$K$2:$K$501,$W38)&amp;"")))))</f>
        <v/>
      </c>
      <c r="F38" s="8">
        <f>IF($W38="","",IF(INDEX(기본자료!$D$2:$D$501,$W38)="","",INDEX(기본자료!$D$2:$D$501,$W38)))</f>
        <v/>
      </c>
      <c r="G38" s="8">
        <f>IF($W38="","",IF(INDEX(기본자료!$E$2:$E$501,$W38)="","",INDEX(기본자료!$E$2:$E$501,$W38)))</f>
        <v/>
      </c>
      <c r="H38" s="8">
        <f>IF($W38="","",IF(INDEX(기본자료!$F$2:$F$501,$W38)="","",INDEX(기본자료!$F$2:$F$501,$W38)))</f>
        <v/>
      </c>
      <c r="I38" s="10">
        <f>IF($W38="","",IF(INDEX(기본자료!$G$2:$G$501,$W38)="","",IF(NOT(ISNUMBER(INDEX(기본자료!$G$2:$G$501,$W38))),INDEX(기본자료!$G$2:$G$501,$W38),IF(INDEX(기본자료!$G$2:$G$501,$W38)&lt;1000000,INDEX(기본자료!$G$2:$G$501,$W38),IF(AND(INDEX(기본자료!$G$2:$G$501,$W38)&gt;=10000101,INT(MOD(INDEX(기본자료!$G$2:$G$501,$W38),10000)/100)&gt;=1,INT(MOD(INDEX(기본자료!$G$2:$G$501,$W38),10000)/100)&lt;=12,MOD(INDEX(기본자료!$G$2:$G$501,$W38),100)&gt;=1,MOD(INDEX(기본자료!$G$2:$G$501,$W38),100)&lt;=31),DATE(INT(INDEX(기본자료!$G$2:$G$501,$W38)/10000),INT(MOD(INDEX(기본자료!$G$2:$G$501,$W38),10000)/100),MOD(INDEX(기본자료!$G$2:$G$501,$W38),100)),INDEX(기본자료!$G$2:$G$501,$W38)&amp;"")))))</f>
        <v/>
      </c>
      <c r="J38" s="8">
        <f>IF($W38="","",IF(INDEX(기본자료!$H$2:$H$501,$W38)="","",INDEX(기본자료!$H$2:$H$501,$W38)))</f>
        <v/>
      </c>
      <c r="K38" s="8">
        <f>IF($W38="","",IF(INDEX(기본자료!$I$2:$I$501,$W38)="","",INDEX(기본자료!$I$2:$I$501,$W38)))</f>
        <v/>
      </c>
      <c r="L38" s="8">
        <f>IF($W38="","",IF(INDEX(기본자료!$A$2:$A$501,$W38)="","",INDEX(기본자료!$A$2:$A$501,$W38)))</f>
        <v/>
      </c>
      <c r="M38" s="5" t="n"/>
      <c r="N38" s="5" t="n"/>
      <c r="O38" s="5" t="n"/>
      <c r="P38" s="5" t="n"/>
      <c r="Q38" s="11" t="n"/>
      <c r="R38" s="11" t="n"/>
      <c r="S38" s="8">
        <f>IF(OR(B38="",Q38=""),"",IF(TODAY()&lt;Q38,"파견예정",IF(AND(R38&lt;&gt;"",TODAY()&gt;R38),"파견종료","파견중")))</f>
        <v/>
      </c>
      <c r="T38" s="12">
        <f>IF(OR(Q38="",R38=""),"",R38-Q38+1)</f>
        <v/>
      </c>
      <c r="U38" s="12">
        <f>IF(AND(S38="파견중",R38&lt;&gt;""),R38-TODAY(),"")</f>
        <v/>
      </c>
      <c r="V38" s="5" t="n"/>
      <c r="W38" s="8">
        <f>IF(B38="","",IFERROR(MATCH(B38,기본자료!$B$2:$B$501,0),IFERROR(MATCH(B38&amp;"",기본자료!$B$2:$B$501,0),IFERROR(MATCH(VALUE(B38),기본자료!$B$2:$B$501,0),""))))</f>
        <v/>
      </c>
    </row>
    <row r="39">
      <c r="A39" s="8">
        <f>IF(B39="","",ROW()-1)</f>
        <v/>
      </c>
      <c r="B39" s="9" t="n"/>
      <c r="C39" s="8">
        <f>IF($W39="","",IF(INDEX(기본자료!$C$2:$C$501,$W39)="","",INDEX(기본자료!$C$2:$C$501,$W39)))</f>
        <v/>
      </c>
      <c r="D39" s="8">
        <f>IF($W39="","",IF(INDEX(기본자료!$J$2:$J$501,$W39)="","",INDEX(기본자료!$J$2:$J$501,$W39)))</f>
        <v/>
      </c>
      <c r="E39" s="10">
        <f>IF($W39="","",IF(INDEX(기본자료!$K$2:$K$501,$W39)="","",IF(NOT(ISNUMBER(INDEX(기본자료!$K$2:$K$501,$W39))),INDEX(기본자료!$K$2:$K$501,$W39),IF(INDEX(기본자료!$K$2:$K$501,$W39)&lt;1000000,INDEX(기본자료!$K$2:$K$501,$W39),IF(AND(INDEX(기본자료!$K$2:$K$501,$W39)&gt;=10000101,INT(MOD(INDEX(기본자료!$K$2:$K$501,$W39),10000)/100)&gt;=1,INT(MOD(INDEX(기본자료!$K$2:$K$501,$W39),10000)/100)&lt;=12,MOD(INDEX(기본자료!$K$2:$K$501,$W39),100)&gt;=1,MOD(INDEX(기본자료!$K$2:$K$501,$W39),100)&lt;=31),DATE(INT(INDEX(기본자료!$K$2:$K$501,$W39)/10000),INT(MOD(INDEX(기본자료!$K$2:$K$501,$W39),10000)/100),MOD(INDEX(기본자료!$K$2:$K$501,$W39),100)),INDEX(기본자료!$K$2:$K$501,$W39)&amp;"")))))</f>
        <v/>
      </c>
      <c r="F39" s="8">
        <f>IF($W39="","",IF(INDEX(기본자료!$D$2:$D$501,$W39)="","",INDEX(기본자료!$D$2:$D$501,$W39)))</f>
        <v/>
      </c>
      <c r="G39" s="8">
        <f>IF($W39="","",IF(INDEX(기본자료!$E$2:$E$501,$W39)="","",INDEX(기본자료!$E$2:$E$501,$W39)))</f>
        <v/>
      </c>
      <c r="H39" s="8">
        <f>IF($W39="","",IF(INDEX(기본자료!$F$2:$F$501,$W39)="","",INDEX(기본자료!$F$2:$F$501,$W39)))</f>
        <v/>
      </c>
      <c r="I39" s="10">
        <f>IF($W39="","",IF(INDEX(기본자료!$G$2:$G$501,$W39)="","",IF(NOT(ISNUMBER(INDEX(기본자료!$G$2:$G$501,$W39))),INDEX(기본자료!$G$2:$G$501,$W39),IF(INDEX(기본자료!$G$2:$G$501,$W39)&lt;1000000,INDEX(기본자료!$G$2:$G$501,$W39),IF(AND(INDEX(기본자료!$G$2:$G$501,$W39)&gt;=10000101,INT(MOD(INDEX(기본자료!$G$2:$G$501,$W39),10000)/100)&gt;=1,INT(MOD(INDEX(기본자료!$G$2:$G$501,$W39),10000)/100)&lt;=12,MOD(INDEX(기본자료!$G$2:$G$501,$W39),100)&gt;=1,MOD(INDEX(기본자료!$G$2:$G$501,$W39),100)&lt;=31),DATE(INT(INDEX(기본자료!$G$2:$G$501,$W39)/10000),INT(MOD(INDEX(기본자료!$G$2:$G$501,$W39),10000)/100),MOD(INDEX(기본자료!$G$2:$G$501,$W39),100)),INDEX(기본자료!$G$2:$G$501,$W39)&amp;"")))))</f>
        <v/>
      </c>
      <c r="J39" s="8">
        <f>IF($W39="","",IF(INDEX(기본자료!$H$2:$H$501,$W39)="","",INDEX(기본자료!$H$2:$H$501,$W39)))</f>
        <v/>
      </c>
      <c r="K39" s="8">
        <f>IF($W39="","",IF(INDEX(기본자료!$I$2:$I$501,$W39)="","",INDEX(기본자료!$I$2:$I$501,$W39)))</f>
        <v/>
      </c>
      <c r="L39" s="8">
        <f>IF($W39="","",IF(INDEX(기본자료!$A$2:$A$501,$W39)="","",INDEX(기본자료!$A$2:$A$501,$W39)))</f>
        <v/>
      </c>
      <c r="M39" s="5" t="n"/>
      <c r="N39" s="5" t="n"/>
      <c r="O39" s="5" t="n"/>
      <c r="P39" s="5" t="n"/>
      <c r="Q39" s="11" t="n"/>
      <c r="R39" s="11" t="n"/>
      <c r="S39" s="8">
        <f>IF(OR(B39="",Q39=""),"",IF(TODAY()&lt;Q39,"파견예정",IF(AND(R39&lt;&gt;"",TODAY()&gt;R39),"파견종료","파견중")))</f>
        <v/>
      </c>
      <c r="T39" s="12">
        <f>IF(OR(Q39="",R39=""),"",R39-Q39+1)</f>
        <v/>
      </c>
      <c r="U39" s="12">
        <f>IF(AND(S39="파견중",R39&lt;&gt;""),R39-TODAY(),"")</f>
        <v/>
      </c>
      <c r="V39" s="5" t="n"/>
      <c r="W39" s="8">
        <f>IF(B39="","",IFERROR(MATCH(B39,기본자료!$B$2:$B$501,0),IFERROR(MATCH(B39&amp;"",기본자료!$B$2:$B$501,0),IFERROR(MATCH(VALUE(B39),기본자료!$B$2:$B$501,0),""))))</f>
        <v/>
      </c>
    </row>
    <row r="40">
      <c r="A40" s="8">
        <f>IF(B40="","",ROW()-1)</f>
        <v/>
      </c>
      <c r="B40" s="9" t="n"/>
      <c r="C40" s="8">
        <f>IF($W40="","",IF(INDEX(기본자료!$C$2:$C$501,$W40)="","",INDEX(기본자료!$C$2:$C$501,$W40)))</f>
        <v/>
      </c>
      <c r="D40" s="8">
        <f>IF($W40="","",IF(INDEX(기본자료!$J$2:$J$501,$W40)="","",INDEX(기본자료!$J$2:$J$501,$W40)))</f>
        <v/>
      </c>
      <c r="E40" s="10">
        <f>IF($W40="","",IF(INDEX(기본자료!$K$2:$K$501,$W40)="","",IF(NOT(ISNUMBER(INDEX(기본자료!$K$2:$K$501,$W40))),INDEX(기본자료!$K$2:$K$501,$W40),IF(INDEX(기본자료!$K$2:$K$501,$W40)&lt;1000000,INDEX(기본자료!$K$2:$K$501,$W40),IF(AND(INDEX(기본자료!$K$2:$K$501,$W40)&gt;=10000101,INT(MOD(INDEX(기본자료!$K$2:$K$501,$W40),10000)/100)&gt;=1,INT(MOD(INDEX(기본자료!$K$2:$K$501,$W40),10000)/100)&lt;=12,MOD(INDEX(기본자료!$K$2:$K$501,$W40),100)&gt;=1,MOD(INDEX(기본자료!$K$2:$K$501,$W40),100)&lt;=31),DATE(INT(INDEX(기본자료!$K$2:$K$501,$W40)/10000),INT(MOD(INDEX(기본자료!$K$2:$K$501,$W40),10000)/100),MOD(INDEX(기본자료!$K$2:$K$501,$W40),100)),INDEX(기본자료!$K$2:$K$501,$W40)&amp;"")))))</f>
        <v/>
      </c>
      <c r="F40" s="8">
        <f>IF($W40="","",IF(INDEX(기본자료!$D$2:$D$501,$W40)="","",INDEX(기본자료!$D$2:$D$501,$W40)))</f>
        <v/>
      </c>
      <c r="G40" s="8">
        <f>IF($W40="","",IF(INDEX(기본자료!$E$2:$E$501,$W40)="","",INDEX(기본자료!$E$2:$E$501,$W40)))</f>
        <v/>
      </c>
      <c r="H40" s="8">
        <f>IF($W40="","",IF(INDEX(기본자료!$F$2:$F$501,$W40)="","",INDEX(기본자료!$F$2:$F$501,$W40)))</f>
        <v/>
      </c>
      <c r="I40" s="10">
        <f>IF($W40="","",IF(INDEX(기본자료!$G$2:$G$501,$W40)="","",IF(NOT(ISNUMBER(INDEX(기본자료!$G$2:$G$501,$W40))),INDEX(기본자료!$G$2:$G$501,$W40),IF(INDEX(기본자료!$G$2:$G$501,$W40)&lt;1000000,INDEX(기본자료!$G$2:$G$501,$W40),IF(AND(INDEX(기본자료!$G$2:$G$501,$W40)&gt;=10000101,INT(MOD(INDEX(기본자료!$G$2:$G$501,$W40),10000)/100)&gt;=1,INT(MOD(INDEX(기본자료!$G$2:$G$501,$W40),10000)/100)&lt;=12,MOD(INDEX(기본자료!$G$2:$G$501,$W40),100)&gt;=1,MOD(INDEX(기본자료!$G$2:$G$501,$W40),100)&lt;=31),DATE(INT(INDEX(기본자료!$G$2:$G$501,$W40)/10000),INT(MOD(INDEX(기본자료!$G$2:$G$501,$W40),10000)/100),MOD(INDEX(기본자료!$G$2:$G$501,$W40),100)),INDEX(기본자료!$G$2:$G$501,$W40)&amp;"")))))</f>
        <v/>
      </c>
      <c r="J40" s="8">
        <f>IF($W40="","",IF(INDEX(기본자료!$H$2:$H$501,$W40)="","",INDEX(기본자료!$H$2:$H$501,$W40)))</f>
        <v/>
      </c>
      <c r="K40" s="8">
        <f>IF($W40="","",IF(INDEX(기본자료!$I$2:$I$501,$W40)="","",INDEX(기본자료!$I$2:$I$501,$W40)))</f>
        <v/>
      </c>
      <c r="L40" s="8">
        <f>IF($W40="","",IF(INDEX(기본자료!$A$2:$A$501,$W40)="","",INDEX(기본자료!$A$2:$A$501,$W40)))</f>
        <v/>
      </c>
      <c r="M40" s="5" t="n"/>
      <c r="N40" s="5" t="n"/>
      <c r="O40" s="5" t="n"/>
      <c r="P40" s="5" t="n"/>
      <c r="Q40" s="11" t="n"/>
      <c r="R40" s="11" t="n"/>
      <c r="S40" s="8">
        <f>IF(OR(B40="",Q40=""),"",IF(TODAY()&lt;Q40,"파견예정",IF(AND(R40&lt;&gt;"",TODAY()&gt;R40),"파견종료","파견중")))</f>
        <v/>
      </c>
      <c r="T40" s="12">
        <f>IF(OR(Q40="",R40=""),"",R40-Q40+1)</f>
        <v/>
      </c>
      <c r="U40" s="12">
        <f>IF(AND(S40="파견중",R40&lt;&gt;""),R40-TODAY(),"")</f>
        <v/>
      </c>
      <c r="V40" s="5" t="n"/>
      <c r="W40" s="8">
        <f>IF(B40="","",IFERROR(MATCH(B40,기본자료!$B$2:$B$501,0),IFERROR(MATCH(B40&amp;"",기본자료!$B$2:$B$501,0),IFERROR(MATCH(VALUE(B40),기본자료!$B$2:$B$501,0),""))))</f>
        <v/>
      </c>
    </row>
    <row r="41">
      <c r="A41" s="8">
        <f>IF(B41="","",ROW()-1)</f>
        <v/>
      </c>
      <c r="B41" s="9" t="n"/>
      <c r="C41" s="8">
        <f>IF($W41="","",IF(INDEX(기본자료!$C$2:$C$501,$W41)="","",INDEX(기본자료!$C$2:$C$501,$W41)))</f>
        <v/>
      </c>
      <c r="D41" s="8">
        <f>IF($W41="","",IF(INDEX(기본자료!$J$2:$J$501,$W41)="","",INDEX(기본자료!$J$2:$J$501,$W41)))</f>
        <v/>
      </c>
      <c r="E41" s="10">
        <f>IF($W41="","",IF(INDEX(기본자료!$K$2:$K$501,$W41)="","",IF(NOT(ISNUMBER(INDEX(기본자료!$K$2:$K$501,$W41))),INDEX(기본자료!$K$2:$K$501,$W41),IF(INDEX(기본자료!$K$2:$K$501,$W41)&lt;1000000,INDEX(기본자료!$K$2:$K$501,$W41),IF(AND(INDEX(기본자료!$K$2:$K$501,$W41)&gt;=10000101,INT(MOD(INDEX(기본자료!$K$2:$K$501,$W41),10000)/100)&gt;=1,INT(MOD(INDEX(기본자료!$K$2:$K$501,$W41),10000)/100)&lt;=12,MOD(INDEX(기본자료!$K$2:$K$501,$W41),100)&gt;=1,MOD(INDEX(기본자료!$K$2:$K$501,$W41),100)&lt;=31),DATE(INT(INDEX(기본자료!$K$2:$K$501,$W41)/10000),INT(MOD(INDEX(기본자료!$K$2:$K$501,$W41),10000)/100),MOD(INDEX(기본자료!$K$2:$K$501,$W41),100)),INDEX(기본자료!$K$2:$K$501,$W41)&amp;"")))))</f>
        <v/>
      </c>
      <c r="F41" s="8">
        <f>IF($W41="","",IF(INDEX(기본자료!$D$2:$D$501,$W41)="","",INDEX(기본자료!$D$2:$D$501,$W41)))</f>
        <v/>
      </c>
      <c r="G41" s="8">
        <f>IF($W41="","",IF(INDEX(기본자료!$E$2:$E$501,$W41)="","",INDEX(기본자료!$E$2:$E$501,$W41)))</f>
        <v/>
      </c>
      <c r="H41" s="8">
        <f>IF($W41="","",IF(INDEX(기본자료!$F$2:$F$501,$W41)="","",INDEX(기본자료!$F$2:$F$501,$W41)))</f>
        <v/>
      </c>
      <c r="I41" s="10">
        <f>IF($W41="","",IF(INDEX(기본자료!$G$2:$G$501,$W41)="","",IF(NOT(ISNUMBER(INDEX(기본자료!$G$2:$G$501,$W41))),INDEX(기본자료!$G$2:$G$501,$W41),IF(INDEX(기본자료!$G$2:$G$501,$W41)&lt;1000000,INDEX(기본자료!$G$2:$G$501,$W41),IF(AND(INDEX(기본자료!$G$2:$G$501,$W41)&gt;=10000101,INT(MOD(INDEX(기본자료!$G$2:$G$501,$W41),10000)/100)&gt;=1,INT(MOD(INDEX(기본자료!$G$2:$G$501,$W41),10000)/100)&lt;=12,MOD(INDEX(기본자료!$G$2:$G$501,$W41),100)&gt;=1,MOD(INDEX(기본자료!$G$2:$G$501,$W41),100)&lt;=31),DATE(INT(INDEX(기본자료!$G$2:$G$501,$W41)/10000),INT(MOD(INDEX(기본자료!$G$2:$G$501,$W41),10000)/100),MOD(INDEX(기본자료!$G$2:$G$501,$W41),100)),INDEX(기본자료!$G$2:$G$501,$W41)&amp;"")))))</f>
        <v/>
      </c>
      <c r="J41" s="8">
        <f>IF($W41="","",IF(INDEX(기본자료!$H$2:$H$501,$W41)="","",INDEX(기본자료!$H$2:$H$501,$W41)))</f>
        <v/>
      </c>
      <c r="K41" s="8">
        <f>IF($W41="","",IF(INDEX(기본자료!$I$2:$I$501,$W41)="","",INDEX(기본자료!$I$2:$I$501,$W41)))</f>
        <v/>
      </c>
      <c r="L41" s="8">
        <f>IF($W41="","",IF(INDEX(기본자료!$A$2:$A$501,$W41)="","",INDEX(기본자료!$A$2:$A$501,$W41)))</f>
        <v/>
      </c>
      <c r="M41" s="5" t="n"/>
      <c r="N41" s="5" t="n"/>
      <c r="O41" s="5" t="n"/>
      <c r="P41" s="5" t="n"/>
      <c r="Q41" s="11" t="n"/>
      <c r="R41" s="11" t="n"/>
      <c r="S41" s="8">
        <f>IF(OR(B41="",Q41=""),"",IF(TODAY()&lt;Q41,"파견예정",IF(AND(R41&lt;&gt;"",TODAY()&gt;R41),"파견종료","파견중")))</f>
        <v/>
      </c>
      <c r="T41" s="12">
        <f>IF(OR(Q41="",R41=""),"",R41-Q41+1)</f>
        <v/>
      </c>
      <c r="U41" s="12">
        <f>IF(AND(S41="파견중",R41&lt;&gt;""),R41-TODAY(),"")</f>
        <v/>
      </c>
      <c r="V41" s="5" t="n"/>
      <c r="W41" s="8">
        <f>IF(B41="","",IFERROR(MATCH(B41,기본자료!$B$2:$B$501,0),IFERROR(MATCH(B41&amp;"",기본자료!$B$2:$B$501,0),IFERROR(MATCH(VALUE(B41),기본자료!$B$2:$B$501,0),""))))</f>
        <v/>
      </c>
    </row>
    <row r="42">
      <c r="A42" s="8">
        <f>IF(B42="","",ROW()-1)</f>
        <v/>
      </c>
      <c r="B42" s="9" t="n"/>
      <c r="C42" s="8">
        <f>IF($W42="","",IF(INDEX(기본자료!$C$2:$C$501,$W42)="","",INDEX(기본자료!$C$2:$C$501,$W42)))</f>
        <v/>
      </c>
      <c r="D42" s="8">
        <f>IF($W42="","",IF(INDEX(기본자료!$J$2:$J$501,$W42)="","",INDEX(기본자료!$J$2:$J$501,$W42)))</f>
        <v/>
      </c>
      <c r="E42" s="10">
        <f>IF($W42="","",IF(INDEX(기본자료!$K$2:$K$501,$W42)="","",IF(NOT(ISNUMBER(INDEX(기본자료!$K$2:$K$501,$W42))),INDEX(기본자료!$K$2:$K$501,$W42),IF(INDEX(기본자료!$K$2:$K$501,$W42)&lt;1000000,INDEX(기본자료!$K$2:$K$501,$W42),IF(AND(INDEX(기본자료!$K$2:$K$501,$W42)&gt;=10000101,INT(MOD(INDEX(기본자료!$K$2:$K$501,$W42),10000)/100)&gt;=1,INT(MOD(INDEX(기본자료!$K$2:$K$501,$W42),10000)/100)&lt;=12,MOD(INDEX(기본자료!$K$2:$K$501,$W42),100)&gt;=1,MOD(INDEX(기본자료!$K$2:$K$501,$W42),100)&lt;=31),DATE(INT(INDEX(기본자료!$K$2:$K$501,$W42)/10000),INT(MOD(INDEX(기본자료!$K$2:$K$501,$W42),10000)/100),MOD(INDEX(기본자료!$K$2:$K$501,$W42),100)),INDEX(기본자료!$K$2:$K$501,$W42)&amp;"")))))</f>
        <v/>
      </c>
      <c r="F42" s="8">
        <f>IF($W42="","",IF(INDEX(기본자료!$D$2:$D$501,$W42)="","",INDEX(기본자료!$D$2:$D$501,$W42)))</f>
        <v/>
      </c>
      <c r="G42" s="8">
        <f>IF($W42="","",IF(INDEX(기본자료!$E$2:$E$501,$W42)="","",INDEX(기본자료!$E$2:$E$501,$W42)))</f>
        <v/>
      </c>
      <c r="H42" s="8">
        <f>IF($W42="","",IF(INDEX(기본자료!$F$2:$F$501,$W42)="","",INDEX(기본자료!$F$2:$F$501,$W42)))</f>
        <v/>
      </c>
      <c r="I42" s="10">
        <f>IF($W42="","",IF(INDEX(기본자료!$G$2:$G$501,$W42)="","",IF(NOT(ISNUMBER(INDEX(기본자료!$G$2:$G$501,$W42))),INDEX(기본자료!$G$2:$G$501,$W42),IF(INDEX(기본자료!$G$2:$G$501,$W42)&lt;1000000,INDEX(기본자료!$G$2:$G$501,$W42),IF(AND(INDEX(기본자료!$G$2:$G$501,$W42)&gt;=10000101,INT(MOD(INDEX(기본자료!$G$2:$G$501,$W42),10000)/100)&gt;=1,INT(MOD(INDEX(기본자료!$G$2:$G$501,$W42),10000)/100)&lt;=12,MOD(INDEX(기본자료!$G$2:$G$501,$W42),100)&gt;=1,MOD(INDEX(기본자료!$G$2:$G$501,$W42),100)&lt;=31),DATE(INT(INDEX(기본자료!$G$2:$G$501,$W42)/10000),INT(MOD(INDEX(기본자료!$G$2:$G$501,$W42),10000)/100),MOD(INDEX(기본자료!$G$2:$G$501,$W42),100)),INDEX(기본자료!$G$2:$G$501,$W42)&amp;"")))))</f>
        <v/>
      </c>
      <c r="J42" s="8">
        <f>IF($W42="","",IF(INDEX(기본자료!$H$2:$H$501,$W42)="","",INDEX(기본자료!$H$2:$H$501,$W42)))</f>
        <v/>
      </c>
      <c r="K42" s="8">
        <f>IF($W42="","",IF(INDEX(기본자료!$I$2:$I$501,$W42)="","",INDEX(기본자료!$I$2:$I$501,$W42)))</f>
        <v/>
      </c>
      <c r="L42" s="8">
        <f>IF($W42="","",IF(INDEX(기본자료!$A$2:$A$501,$W42)="","",INDEX(기본자료!$A$2:$A$501,$W42)))</f>
        <v/>
      </c>
      <c r="M42" s="5" t="n"/>
      <c r="N42" s="5" t="n"/>
      <c r="O42" s="5" t="n"/>
      <c r="P42" s="5" t="n"/>
      <c r="Q42" s="11" t="n"/>
      <c r="R42" s="11" t="n"/>
      <c r="S42" s="8">
        <f>IF(OR(B42="",Q42=""),"",IF(TODAY()&lt;Q42,"파견예정",IF(AND(R42&lt;&gt;"",TODAY()&gt;R42),"파견종료","파견중")))</f>
        <v/>
      </c>
      <c r="T42" s="12">
        <f>IF(OR(Q42="",R42=""),"",R42-Q42+1)</f>
        <v/>
      </c>
      <c r="U42" s="12">
        <f>IF(AND(S42="파견중",R42&lt;&gt;""),R42-TODAY(),"")</f>
        <v/>
      </c>
      <c r="V42" s="5" t="n"/>
      <c r="W42" s="8">
        <f>IF(B42="","",IFERROR(MATCH(B42,기본자료!$B$2:$B$501,0),IFERROR(MATCH(B42&amp;"",기본자료!$B$2:$B$501,0),IFERROR(MATCH(VALUE(B42),기본자료!$B$2:$B$501,0),""))))</f>
        <v/>
      </c>
    </row>
    <row r="43">
      <c r="A43" s="8">
        <f>IF(B43="","",ROW()-1)</f>
        <v/>
      </c>
      <c r="B43" s="9" t="n"/>
      <c r="C43" s="8">
        <f>IF($W43="","",IF(INDEX(기본자료!$C$2:$C$501,$W43)="","",INDEX(기본자료!$C$2:$C$501,$W43)))</f>
        <v/>
      </c>
      <c r="D43" s="8">
        <f>IF($W43="","",IF(INDEX(기본자료!$J$2:$J$501,$W43)="","",INDEX(기본자료!$J$2:$J$501,$W43)))</f>
        <v/>
      </c>
      <c r="E43" s="10">
        <f>IF($W43="","",IF(INDEX(기본자료!$K$2:$K$501,$W43)="","",IF(NOT(ISNUMBER(INDEX(기본자료!$K$2:$K$501,$W43))),INDEX(기본자료!$K$2:$K$501,$W43),IF(INDEX(기본자료!$K$2:$K$501,$W43)&lt;1000000,INDEX(기본자료!$K$2:$K$501,$W43),IF(AND(INDEX(기본자료!$K$2:$K$501,$W43)&gt;=10000101,INT(MOD(INDEX(기본자료!$K$2:$K$501,$W43),10000)/100)&gt;=1,INT(MOD(INDEX(기본자료!$K$2:$K$501,$W43),10000)/100)&lt;=12,MOD(INDEX(기본자료!$K$2:$K$501,$W43),100)&gt;=1,MOD(INDEX(기본자료!$K$2:$K$501,$W43),100)&lt;=31),DATE(INT(INDEX(기본자료!$K$2:$K$501,$W43)/10000),INT(MOD(INDEX(기본자료!$K$2:$K$501,$W43),10000)/100),MOD(INDEX(기본자료!$K$2:$K$501,$W43),100)),INDEX(기본자료!$K$2:$K$501,$W43)&amp;"")))))</f>
        <v/>
      </c>
      <c r="F43" s="8">
        <f>IF($W43="","",IF(INDEX(기본자료!$D$2:$D$501,$W43)="","",INDEX(기본자료!$D$2:$D$501,$W43)))</f>
        <v/>
      </c>
      <c r="G43" s="8">
        <f>IF($W43="","",IF(INDEX(기본자료!$E$2:$E$501,$W43)="","",INDEX(기본자료!$E$2:$E$501,$W43)))</f>
        <v/>
      </c>
      <c r="H43" s="8">
        <f>IF($W43="","",IF(INDEX(기본자료!$F$2:$F$501,$W43)="","",INDEX(기본자료!$F$2:$F$501,$W43)))</f>
        <v/>
      </c>
      <c r="I43" s="10">
        <f>IF($W43="","",IF(INDEX(기본자료!$G$2:$G$501,$W43)="","",IF(NOT(ISNUMBER(INDEX(기본자료!$G$2:$G$501,$W43))),INDEX(기본자료!$G$2:$G$501,$W43),IF(INDEX(기본자료!$G$2:$G$501,$W43)&lt;1000000,INDEX(기본자료!$G$2:$G$501,$W43),IF(AND(INDEX(기본자료!$G$2:$G$501,$W43)&gt;=10000101,INT(MOD(INDEX(기본자료!$G$2:$G$501,$W43),10000)/100)&gt;=1,INT(MOD(INDEX(기본자료!$G$2:$G$501,$W43),10000)/100)&lt;=12,MOD(INDEX(기본자료!$G$2:$G$501,$W43),100)&gt;=1,MOD(INDEX(기본자료!$G$2:$G$501,$W43),100)&lt;=31),DATE(INT(INDEX(기본자료!$G$2:$G$501,$W43)/10000),INT(MOD(INDEX(기본자료!$G$2:$G$501,$W43),10000)/100),MOD(INDEX(기본자료!$G$2:$G$501,$W43),100)),INDEX(기본자료!$G$2:$G$501,$W43)&amp;"")))))</f>
        <v/>
      </c>
      <c r="J43" s="8">
        <f>IF($W43="","",IF(INDEX(기본자료!$H$2:$H$501,$W43)="","",INDEX(기본자료!$H$2:$H$501,$W43)))</f>
        <v/>
      </c>
      <c r="K43" s="8">
        <f>IF($W43="","",IF(INDEX(기본자료!$I$2:$I$501,$W43)="","",INDEX(기본자료!$I$2:$I$501,$W43)))</f>
        <v/>
      </c>
      <c r="L43" s="8">
        <f>IF($W43="","",IF(INDEX(기본자료!$A$2:$A$501,$W43)="","",INDEX(기본자료!$A$2:$A$501,$W43)))</f>
        <v/>
      </c>
      <c r="M43" s="5" t="n"/>
      <c r="N43" s="5" t="n"/>
      <c r="O43" s="5" t="n"/>
      <c r="P43" s="5" t="n"/>
      <c r="Q43" s="11" t="n"/>
      <c r="R43" s="11" t="n"/>
      <c r="S43" s="8">
        <f>IF(OR(B43="",Q43=""),"",IF(TODAY()&lt;Q43,"파견예정",IF(AND(R43&lt;&gt;"",TODAY()&gt;R43),"파견종료","파견중")))</f>
        <v/>
      </c>
      <c r="T43" s="12">
        <f>IF(OR(Q43="",R43=""),"",R43-Q43+1)</f>
        <v/>
      </c>
      <c r="U43" s="12">
        <f>IF(AND(S43="파견중",R43&lt;&gt;""),R43-TODAY(),"")</f>
        <v/>
      </c>
      <c r="V43" s="5" t="n"/>
      <c r="W43" s="8">
        <f>IF(B43="","",IFERROR(MATCH(B43,기본자료!$B$2:$B$501,0),IFERROR(MATCH(B43&amp;"",기본자료!$B$2:$B$501,0),IFERROR(MATCH(VALUE(B43),기본자료!$B$2:$B$501,0),""))))</f>
        <v/>
      </c>
    </row>
    <row r="44">
      <c r="A44" s="8">
        <f>IF(B44="","",ROW()-1)</f>
        <v/>
      </c>
      <c r="B44" s="9" t="n"/>
      <c r="C44" s="8">
        <f>IF($W44="","",IF(INDEX(기본자료!$C$2:$C$501,$W44)="","",INDEX(기본자료!$C$2:$C$501,$W44)))</f>
        <v/>
      </c>
      <c r="D44" s="8">
        <f>IF($W44="","",IF(INDEX(기본자료!$J$2:$J$501,$W44)="","",INDEX(기본자료!$J$2:$J$501,$W44)))</f>
        <v/>
      </c>
      <c r="E44" s="10">
        <f>IF($W44="","",IF(INDEX(기본자료!$K$2:$K$501,$W44)="","",IF(NOT(ISNUMBER(INDEX(기본자료!$K$2:$K$501,$W44))),INDEX(기본자료!$K$2:$K$501,$W44),IF(INDEX(기본자료!$K$2:$K$501,$W44)&lt;1000000,INDEX(기본자료!$K$2:$K$501,$W44),IF(AND(INDEX(기본자료!$K$2:$K$501,$W44)&gt;=10000101,INT(MOD(INDEX(기본자료!$K$2:$K$501,$W44),10000)/100)&gt;=1,INT(MOD(INDEX(기본자료!$K$2:$K$501,$W44),10000)/100)&lt;=12,MOD(INDEX(기본자료!$K$2:$K$501,$W44),100)&gt;=1,MOD(INDEX(기본자료!$K$2:$K$501,$W44),100)&lt;=31),DATE(INT(INDEX(기본자료!$K$2:$K$501,$W44)/10000),INT(MOD(INDEX(기본자료!$K$2:$K$501,$W44),10000)/100),MOD(INDEX(기본자료!$K$2:$K$501,$W44),100)),INDEX(기본자료!$K$2:$K$501,$W44)&amp;"")))))</f>
        <v/>
      </c>
      <c r="F44" s="8">
        <f>IF($W44="","",IF(INDEX(기본자료!$D$2:$D$501,$W44)="","",INDEX(기본자료!$D$2:$D$501,$W44)))</f>
        <v/>
      </c>
      <c r="G44" s="8">
        <f>IF($W44="","",IF(INDEX(기본자료!$E$2:$E$501,$W44)="","",INDEX(기본자료!$E$2:$E$501,$W44)))</f>
        <v/>
      </c>
      <c r="H44" s="8">
        <f>IF($W44="","",IF(INDEX(기본자료!$F$2:$F$501,$W44)="","",INDEX(기본자료!$F$2:$F$501,$W44)))</f>
        <v/>
      </c>
      <c r="I44" s="10">
        <f>IF($W44="","",IF(INDEX(기본자료!$G$2:$G$501,$W44)="","",IF(NOT(ISNUMBER(INDEX(기본자료!$G$2:$G$501,$W44))),INDEX(기본자료!$G$2:$G$501,$W44),IF(INDEX(기본자료!$G$2:$G$501,$W44)&lt;1000000,INDEX(기본자료!$G$2:$G$501,$W44),IF(AND(INDEX(기본자료!$G$2:$G$501,$W44)&gt;=10000101,INT(MOD(INDEX(기본자료!$G$2:$G$501,$W44),10000)/100)&gt;=1,INT(MOD(INDEX(기본자료!$G$2:$G$501,$W44),10000)/100)&lt;=12,MOD(INDEX(기본자료!$G$2:$G$501,$W44),100)&gt;=1,MOD(INDEX(기본자료!$G$2:$G$501,$W44),100)&lt;=31),DATE(INT(INDEX(기본자료!$G$2:$G$501,$W44)/10000),INT(MOD(INDEX(기본자료!$G$2:$G$501,$W44),10000)/100),MOD(INDEX(기본자료!$G$2:$G$501,$W44),100)),INDEX(기본자료!$G$2:$G$501,$W44)&amp;"")))))</f>
        <v/>
      </c>
      <c r="J44" s="8">
        <f>IF($W44="","",IF(INDEX(기본자료!$H$2:$H$501,$W44)="","",INDEX(기본자료!$H$2:$H$501,$W44)))</f>
        <v/>
      </c>
      <c r="K44" s="8">
        <f>IF($W44="","",IF(INDEX(기본자료!$I$2:$I$501,$W44)="","",INDEX(기본자료!$I$2:$I$501,$W44)))</f>
        <v/>
      </c>
      <c r="L44" s="8">
        <f>IF($W44="","",IF(INDEX(기본자료!$A$2:$A$501,$W44)="","",INDEX(기본자료!$A$2:$A$501,$W44)))</f>
        <v/>
      </c>
      <c r="M44" s="5" t="n"/>
      <c r="N44" s="5" t="n"/>
      <c r="O44" s="5" t="n"/>
      <c r="P44" s="5" t="n"/>
      <c r="Q44" s="11" t="n"/>
      <c r="R44" s="11" t="n"/>
      <c r="S44" s="8">
        <f>IF(OR(B44="",Q44=""),"",IF(TODAY()&lt;Q44,"파견예정",IF(AND(R44&lt;&gt;"",TODAY()&gt;R44),"파견종료","파견중")))</f>
        <v/>
      </c>
      <c r="T44" s="12">
        <f>IF(OR(Q44="",R44=""),"",R44-Q44+1)</f>
        <v/>
      </c>
      <c r="U44" s="12">
        <f>IF(AND(S44="파견중",R44&lt;&gt;""),R44-TODAY(),"")</f>
        <v/>
      </c>
      <c r="V44" s="5" t="n"/>
      <c r="W44" s="8">
        <f>IF(B44="","",IFERROR(MATCH(B44,기본자료!$B$2:$B$501,0),IFERROR(MATCH(B44&amp;"",기본자료!$B$2:$B$501,0),IFERROR(MATCH(VALUE(B44),기본자료!$B$2:$B$501,0),""))))</f>
        <v/>
      </c>
    </row>
    <row r="45">
      <c r="A45" s="8">
        <f>IF(B45="","",ROW()-1)</f>
        <v/>
      </c>
      <c r="B45" s="9" t="n"/>
      <c r="C45" s="8">
        <f>IF($W45="","",IF(INDEX(기본자료!$C$2:$C$501,$W45)="","",INDEX(기본자료!$C$2:$C$501,$W45)))</f>
        <v/>
      </c>
      <c r="D45" s="8">
        <f>IF($W45="","",IF(INDEX(기본자료!$J$2:$J$501,$W45)="","",INDEX(기본자료!$J$2:$J$501,$W45)))</f>
        <v/>
      </c>
      <c r="E45" s="10">
        <f>IF($W45="","",IF(INDEX(기본자료!$K$2:$K$501,$W45)="","",IF(NOT(ISNUMBER(INDEX(기본자료!$K$2:$K$501,$W45))),INDEX(기본자료!$K$2:$K$501,$W45),IF(INDEX(기본자료!$K$2:$K$501,$W45)&lt;1000000,INDEX(기본자료!$K$2:$K$501,$W45),IF(AND(INDEX(기본자료!$K$2:$K$501,$W45)&gt;=10000101,INT(MOD(INDEX(기본자료!$K$2:$K$501,$W45),10000)/100)&gt;=1,INT(MOD(INDEX(기본자료!$K$2:$K$501,$W45),10000)/100)&lt;=12,MOD(INDEX(기본자료!$K$2:$K$501,$W45),100)&gt;=1,MOD(INDEX(기본자료!$K$2:$K$501,$W45),100)&lt;=31),DATE(INT(INDEX(기본자료!$K$2:$K$501,$W45)/10000),INT(MOD(INDEX(기본자료!$K$2:$K$501,$W45),10000)/100),MOD(INDEX(기본자료!$K$2:$K$501,$W45),100)),INDEX(기본자료!$K$2:$K$501,$W45)&amp;"")))))</f>
        <v/>
      </c>
      <c r="F45" s="8">
        <f>IF($W45="","",IF(INDEX(기본자료!$D$2:$D$501,$W45)="","",INDEX(기본자료!$D$2:$D$501,$W45)))</f>
        <v/>
      </c>
      <c r="G45" s="8">
        <f>IF($W45="","",IF(INDEX(기본자료!$E$2:$E$501,$W45)="","",INDEX(기본자료!$E$2:$E$501,$W45)))</f>
        <v/>
      </c>
      <c r="H45" s="8">
        <f>IF($W45="","",IF(INDEX(기본자료!$F$2:$F$501,$W45)="","",INDEX(기본자료!$F$2:$F$501,$W45)))</f>
        <v/>
      </c>
      <c r="I45" s="10">
        <f>IF($W45="","",IF(INDEX(기본자료!$G$2:$G$501,$W45)="","",IF(NOT(ISNUMBER(INDEX(기본자료!$G$2:$G$501,$W45))),INDEX(기본자료!$G$2:$G$501,$W45),IF(INDEX(기본자료!$G$2:$G$501,$W45)&lt;1000000,INDEX(기본자료!$G$2:$G$501,$W45),IF(AND(INDEX(기본자료!$G$2:$G$501,$W45)&gt;=10000101,INT(MOD(INDEX(기본자료!$G$2:$G$501,$W45),10000)/100)&gt;=1,INT(MOD(INDEX(기본자료!$G$2:$G$501,$W45),10000)/100)&lt;=12,MOD(INDEX(기본자료!$G$2:$G$501,$W45),100)&gt;=1,MOD(INDEX(기본자료!$G$2:$G$501,$W45),100)&lt;=31),DATE(INT(INDEX(기본자료!$G$2:$G$501,$W45)/10000),INT(MOD(INDEX(기본자료!$G$2:$G$501,$W45),10000)/100),MOD(INDEX(기본자료!$G$2:$G$501,$W45),100)),INDEX(기본자료!$G$2:$G$501,$W45)&amp;"")))))</f>
        <v/>
      </c>
      <c r="J45" s="8">
        <f>IF($W45="","",IF(INDEX(기본자료!$H$2:$H$501,$W45)="","",INDEX(기본자료!$H$2:$H$501,$W45)))</f>
        <v/>
      </c>
      <c r="K45" s="8">
        <f>IF($W45="","",IF(INDEX(기본자료!$I$2:$I$501,$W45)="","",INDEX(기본자료!$I$2:$I$501,$W45)))</f>
        <v/>
      </c>
      <c r="L45" s="8">
        <f>IF($W45="","",IF(INDEX(기본자료!$A$2:$A$501,$W45)="","",INDEX(기본자료!$A$2:$A$501,$W45)))</f>
        <v/>
      </c>
      <c r="M45" s="5" t="n"/>
      <c r="N45" s="5" t="n"/>
      <c r="O45" s="5" t="n"/>
      <c r="P45" s="5" t="n"/>
      <c r="Q45" s="11" t="n"/>
      <c r="R45" s="11" t="n"/>
      <c r="S45" s="8">
        <f>IF(OR(B45="",Q45=""),"",IF(TODAY()&lt;Q45,"파견예정",IF(AND(R45&lt;&gt;"",TODAY()&gt;R45),"파견종료","파견중")))</f>
        <v/>
      </c>
      <c r="T45" s="12">
        <f>IF(OR(Q45="",R45=""),"",R45-Q45+1)</f>
        <v/>
      </c>
      <c r="U45" s="12">
        <f>IF(AND(S45="파견중",R45&lt;&gt;""),R45-TODAY(),"")</f>
        <v/>
      </c>
      <c r="V45" s="5" t="n"/>
      <c r="W45" s="8">
        <f>IF(B45="","",IFERROR(MATCH(B45,기본자료!$B$2:$B$501,0),IFERROR(MATCH(B45&amp;"",기본자료!$B$2:$B$501,0),IFERROR(MATCH(VALUE(B45),기본자료!$B$2:$B$501,0),""))))</f>
        <v/>
      </c>
    </row>
    <row r="46">
      <c r="A46" s="8">
        <f>IF(B46="","",ROW()-1)</f>
        <v/>
      </c>
      <c r="B46" s="9" t="n"/>
      <c r="C46" s="8">
        <f>IF($W46="","",IF(INDEX(기본자료!$C$2:$C$501,$W46)="","",INDEX(기본자료!$C$2:$C$501,$W46)))</f>
        <v/>
      </c>
      <c r="D46" s="8">
        <f>IF($W46="","",IF(INDEX(기본자료!$J$2:$J$501,$W46)="","",INDEX(기본자료!$J$2:$J$501,$W46)))</f>
        <v/>
      </c>
      <c r="E46" s="10">
        <f>IF($W46="","",IF(INDEX(기본자료!$K$2:$K$501,$W46)="","",IF(NOT(ISNUMBER(INDEX(기본자료!$K$2:$K$501,$W46))),INDEX(기본자료!$K$2:$K$501,$W46),IF(INDEX(기본자료!$K$2:$K$501,$W46)&lt;1000000,INDEX(기본자료!$K$2:$K$501,$W46),IF(AND(INDEX(기본자료!$K$2:$K$501,$W46)&gt;=10000101,INT(MOD(INDEX(기본자료!$K$2:$K$501,$W46),10000)/100)&gt;=1,INT(MOD(INDEX(기본자료!$K$2:$K$501,$W46),10000)/100)&lt;=12,MOD(INDEX(기본자료!$K$2:$K$501,$W46),100)&gt;=1,MOD(INDEX(기본자료!$K$2:$K$501,$W46),100)&lt;=31),DATE(INT(INDEX(기본자료!$K$2:$K$501,$W46)/10000),INT(MOD(INDEX(기본자료!$K$2:$K$501,$W46),10000)/100),MOD(INDEX(기본자료!$K$2:$K$501,$W46),100)),INDEX(기본자료!$K$2:$K$501,$W46)&amp;"")))))</f>
        <v/>
      </c>
      <c r="F46" s="8">
        <f>IF($W46="","",IF(INDEX(기본자료!$D$2:$D$501,$W46)="","",INDEX(기본자료!$D$2:$D$501,$W46)))</f>
        <v/>
      </c>
      <c r="G46" s="8">
        <f>IF($W46="","",IF(INDEX(기본자료!$E$2:$E$501,$W46)="","",INDEX(기본자료!$E$2:$E$501,$W46)))</f>
        <v/>
      </c>
      <c r="H46" s="8">
        <f>IF($W46="","",IF(INDEX(기본자료!$F$2:$F$501,$W46)="","",INDEX(기본자료!$F$2:$F$501,$W46)))</f>
        <v/>
      </c>
      <c r="I46" s="10">
        <f>IF($W46="","",IF(INDEX(기본자료!$G$2:$G$501,$W46)="","",IF(NOT(ISNUMBER(INDEX(기본자료!$G$2:$G$501,$W46))),INDEX(기본자료!$G$2:$G$501,$W46),IF(INDEX(기본자료!$G$2:$G$501,$W46)&lt;1000000,INDEX(기본자료!$G$2:$G$501,$W46),IF(AND(INDEX(기본자료!$G$2:$G$501,$W46)&gt;=10000101,INT(MOD(INDEX(기본자료!$G$2:$G$501,$W46),10000)/100)&gt;=1,INT(MOD(INDEX(기본자료!$G$2:$G$501,$W46),10000)/100)&lt;=12,MOD(INDEX(기본자료!$G$2:$G$501,$W46),100)&gt;=1,MOD(INDEX(기본자료!$G$2:$G$501,$W46),100)&lt;=31),DATE(INT(INDEX(기본자료!$G$2:$G$501,$W46)/10000),INT(MOD(INDEX(기본자료!$G$2:$G$501,$W46),10000)/100),MOD(INDEX(기본자료!$G$2:$G$501,$W46),100)),INDEX(기본자료!$G$2:$G$501,$W46)&amp;"")))))</f>
        <v/>
      </c>
      <c r="J46" s="8">
        <f>IF($W46="","",IF(INDEX(기본자료!$H$2:$H$501,$W46)="","",INDEX(기본자료!$H$2:$H$501,$W46)))</f>
        <v/>
      </c>
      <c r="K46" s="8">
        <f>IF($W46="","",IF(INDEX(기본자료!$I$2:$I$501,$W46)="","",INDEX(기본자료!$I$2:$I$501,$W46)))</f>
        <v/>
      </c>
      <c r="L46" s="8">
        <f>IF($W46="","",IF(INDEX(기본자료!$A$2:$A$501,$W46)="","",INDEX(기본자료!$A$2:$A$501,$W46)))</f>
        <v/>
      </c>
      <c r="M46" s="5" t="n"/>
      <c r="N46" s="5" t="n"/>
      <c r="O46" s="5" t="n"/>
      <c r="P46" s="5" t="n"/>
      <c r="Q46" s="11" t="n"/>
      <c r="R46" s="11" t="n"/>
      <c r="S46" s="8">
        <f>IF(OR(B46="",Q46=""),"",IF(TODAY()&lt;Q46,"파견예정",IF(AND(R46&lt;&gt;"",TODAY()&gt;R46),"파견종료","파견중")))</f>
        <v/>
      </c>
      <c r="T46" s="12">
        <f>IF(OR(Q46="",R46=""),"",R46-Q46+1)</f>
        <v/>
      </c>
      <c r="U46" s="12">
        <f>IF(AND(S46="파견중",R46&lt;&gt;""),R46-TODAY(),"")</f>
        <v/>
      </c>
      <c r="V46" s="5" t="n"/>
      <c r="W46" s="8">
        <f>IF(B46="","",IFERROR(MATCH(B46,기본자료!$B$2:$B$501,0),IFERROR(MATCH(B46&amp;"",기본자료!$B$2:$B$501,0),IFERROR(MATCH(VALUE(B46),기본자료!$B$2:$B$501,0),""))))</f>
        <v/>
      </c>
    </row>
    <row r="47">
      <c r="A47" s="8">
        <f>IF(B47="","",ROW()-1)</f>
        <v/>
      </c>
      <c r="B47" s="9" t="n"/>
      <c r="C47" s="8">
        <f>IF($W47="","",IF(INDEX(기본자료!$C$2:$C$501,$W47)="","",INDEX(기본자료!$C$2:$C$501,$W47)))</f>
        <v/>
      </c>
      <c r="D47" s="8">
        <f>IF($W47="","",IF(INDEX(기본자료!$J$2:$J$501,$W47)="","",INDEX(기본자료!$J$2:$J$501,$W47)))</f>
        <v/>
      </c>
      <c r="E47" s="10">
        <f>IF($W47="","",IF(INDEX(기본자료!$K$2:$K$501,$W47)="","",IF(NOT(ISNUMBER(INDEX(기본자료!$K$2:$K$501,$W47))),INDEX(기본자료!$K$2:$K$501,$W47),IF(INDEX(기본자료!$K$2:$K$501,$W47)&lt;1000000,INDEX(기본자료!$K$2:$K$501,$W47),IF(AND(INDEX(기본자료!$K$2:$K$501,$W47)&gt;=10000101,INT(MOD(INDEX(기본자료!$K$2:$K$501,$W47),10000)/100)&gt;=1,INT(MOD(INDEX(기본자료!$K$2:$K$501,$W47),10000)/100)&lt;=12,MOD(INDEX(기본자료!$K$2:$K$501,$W47),100)&gt;=1,MOD(INDEX(기본자료!$K$2:$K$501,$W47),100)&lt;=31),DATE(INT(INDEX(기본자료!$K$2:$K$501,$W47)/10000),INT(MOD(INDEX(기본자료!$K$2:$K$501,$W47),10000)/100),MOD(INDEX(기본자료!$K$2:$K$501,$W47),100)),INDEX(기본자료!$K$2:$K$501,$W47)&amp;"")))))</f>
        <v/>
      </c>
      <c r="F47" s="8">
        <f>IF($W47="","",IF(INDEX(기본자료!$D$2:$D$501,$W47)="","",INDEX(기본자료!$D$2:$D$501,$W47)))</f>
        <v/>
      </c>
      <c r="G47" s="8">
        <f>IF($W47="","",IF(INDEX(기본자료!$E$2:$E$501,$W47)="","",INDEX(기본자료!$E$2:$E$501,$W47)))</f>
        <v/>
      </c>
      <c r="H47" s="8">
        <f>IF($W47="","",IF(INDEX(기본자료!$F$2:$F$501,$W47)="","",INDEX(기본자료!$F$2:$F$501,$W47)))</f>
        <v/>
      </c>
      <c r="I47" s="10">
        <f>IF($W47="","",IF(INDEX(기본자료!$G$2:$G$501,$W47)="","",IF(NOT(ISNUMBER(INDEX(기본자료!$G$2:$G$501,$W47))),INDEX(기본자료!$G$2:$G$501,$W47),IF(INDEX(기본자료!$G$2:$G$501,$W47)&lt;1000000,INDEX(기본자료!$G$2:$G$501,$W47),IF(AND(INDEX(기본자료!$G$2:$G$501,$W47)&gt;=10000101,INT(MOD(INDEX(기본자료!$G$2:$G$501,$W47),10000)/100)&gt;=1,INT(MOD(INDEX(기본자료!$G$2:$G$501,$W47),10000)/100)&lt;=12,MOD(INDEX(기본자료!$G$2:$G$501,$W47),100)&gt;=1,MOD(INDEX(기본자료!$G$2:$G$501,$W47),100)&lt;=31),DATE(INT(INDEX(기본자료!$G$2:$G$501,$W47)/10000),INT(MOD(INDEX(기본자료!$G$2:$G$501,$W47),10000)/100),MOD(INDEX(기본자료!$G$2:$G$501,$W47),100)),INDEX(기본자료!$G$2:$G$501,$W47)&amp;"")))))</f>
        <v/>
      </c>
      <c r="J47" s="8">
        <f>IF($W47="","",IF(INDEX(기본자료!$H$2:$H$501,$W47)="","",INDEX(기본자료!$H$2:$H$501,$W47)))</f>
        <v/>
      </c>
      <c r="K47" s="8">
        <f>IF($W47="","",IF(INDEX(기본자료!$I$2:$I$501,$W47)="","",INDEX(기본자료!$I$2:$I$501,$W47)))</f>
        <v/>
      </c>
      <c r="L47" s="8">
        <f>IF($W47="","",IF(INDEX(기본자료!$A$2:$A$501,$W47)="","",INDEX(기본자료!$A$2:$A$501,$W47)))</f>
        <v/>
      </c>
      <c r="M47" s="5" t="n"/>
      <c r="N47" s="5" t="n"/>
      <c r="O47" s="5" t="n"/>
      <c r="P47" s="5" t="n"/>
      <c r="Q47" s="11" t="n"/>
      <c r="R47" s="11" t="n"/>
      <c r="S47" s="8">
        <f>IF(OR(B47="",Q47=""),"",IF(TODAY()&lt;Q47,"파견예정",IF(AND(R47&lt;&gt;"",TODAY()&gt;R47),"파견종료","파견중")))</f>
        <v/>
      </c>
      <c r="T47" s="12">
        <f>IF(OR(Q47="",R47=""),"",R47-Q47+1)</f>
        <v/>
      </c>
      <c r="U47" s="12">
        <f>IF(AND(S47="파견중",R47&lt;&gt;""),R47-TODAY(),"")</f>
        <v/>
      </c>
      <c r="V47" s="5" t="n"/>
      <c r="W47" s="8">
        <f>IF(B47="","",IFERROR(MATCH(B47,기본자료!$B$2:$B$501,0),IFERROR(MATCH(B47&amp;"",기본자료!$B$2:$B$501,0),IFERROR(MATCH(VALUE(B47),기본자료!$B$2:$B$501,0),""))))</f>
        <v/>
      </c>
    </row>
    <row r="48">
      <c r="A48" s="8">
        <f>IF(B48="","",ROW()-1)</f>
        <v/>
      </c>
      <c r="B48" s="9" t="n"/>
      <c r="C48" s="8">
        <f>IF($W48="","",IF(INDEX(기본자료!$C$2:$C$501,$W48)="","",INDEX(기본자료!$C$2:$C$501,$W48)))</f>
        <v/>
      </c>
      <c r="D48" s="8">
        <f>IF($W48="","",IF(INDEX(기본자료!$J$2:$J$501,$W48)="","",INDEX(기본자료!$J$2:$J$501,$W48)))</f>
        <v/>
      </c>
      <c r="E48" s="10">
        <f>IF($W48="","",IF(INDEX(기본자료!$K$2:$K$501,$W48)="","",IF(NOT(ISNUMBER(INDEX(기본자료!$K$2:$K$501,$W48))),INDEX(기본자료!$K$2:$K$501,$W48),IF(INDEX(기본자료!$K$2:$K$501,$W48)&lt;1000000,INDEX(기본자료!$K$2:$K$501,$W48),IF(AND(INDEX(기본자료!$K$2:$K$501,$W48)&gt;=10000101,INT(MOD(INDEX(기본자료!$K$2:$K$501,$W48),10000)/100)&gt;=1,INT(MOD(INDEX(기본자료!$K$2:$K$501,$W48),10000)/100)&lt;=12,MOD(INDEX(기본자료!$K$2:$K$501,$W48),100)&gt;=1,MOD(INDEX(기본자료!$K$2:$K$501,$W48),100)&lt;=31),DATE(INT(INDEX(기본자료!$K$2:$K$501,$W48)/10000),INT(MOD(INDEX(기본자료!$K$2:$K$501,$W48),10000)/100),MOD(INDEX(기본자료!$K$2:$K$501,$W48),100)),INDEX(기본자료!$K$2:$K$501,$W48)&amp;"")))))</f>
        <v/>
      </c>
      <c r="F48" s="8">
        <f>IF($W48="","",IF(INDEX(기본자료!$D$2:$D$501,$W48)="","",INDEX(기본자료!$D$2:$D$501,$W48)))</f>
        <v/>
      </c>
      <c r="G48" s="8">
        <f>IF($W48="","",IF(INDEX(기본자료!$E$2:$E$501,$W48)="","",INDEX(기본자료!$E$2:$E$501,$W48)))</f>
        <v/>
      </c>
      <c r="H48" s="8">
        <f>IF($W48="","",IF(INDEX(기본자료!$F$2:$F$501,$W48)="","",INDEX(기본자료!$F$2:$F$501,$W48)))</f>
        <v/>
      </c>
      <c r="I48" s="10">
        <f>IF($W48="","",IF(INDEX(기본자료!$G$2:$G$501,$W48)="","",IF(NOT(ISNUMBER(INDEX(기본자료!$G$2:$G$501,$W48))),INDEX(기본자료!$G$2:$G$501,$W48),IF(INDEX(기본자료!$G$2:$G$501,$W48)&lt;1000000,INDEX(기본자료!$G$2:$G$501,$W48),IF(AND(INDEX(기본자료!$G$2:$G$501,$W48)&gt;=10000101,INT(MOD(INDEX(기본자료!$G$2:$G$501,$W48),10000)/100)&gt;=1,INT(MOD(INDEX(기본자료!$G$2:$G$501,$W48),10000)/100)&lt;=12,MOD(INDEX(기본자료!$G$2:$G$501,$W48),100)&gt;=1,MOD(INDEX(기본자료!$G$2:$G$501,$W48),100)&lt;=31),DATE(INT(INDEX(기본자료!$G$2:$G$501,$W48)/10000),INT(MOD(INDEX(기본자료!$G$2:$G$501,$W48),10000)/100),MOD(INDEX(기본자료!$G$2:$G$501,$W48),100)),INDEX(기본자료!$G$2:$G$501,$W48)&amp;"")))))</f>
        <v/>
      </c>
      <c r="J48" s="8">
        <f>IF($W48="","",IF(INDEX(기본자료!$H$2:$H$501,$W48)="","",INDEX(기본자료!$H$2:$H$501,$W48)))</f>
        <v/>
      </c>
      <c r="K48" s="8">
        <f>IF($W48="","",IF(INDEX(기본자료!$I$2:$I$501,$W48)="","",INDEX(기본자료!$I$2:$I$501,$W48)))</f>
        <v/>
      </c>
      <c r="L48" s="8">
        <f>IF($W48="","",IF(INDEX(기본자료!$A$2:$A$501,$W48)="","",INDEX(기본자료!$A$2:$A$501,$W48)))</f>
        <v/>
      </c>
      <c r="M48" s="5" t="n"/>
      <c r="N48" s="5" t="n"/>
      <c r="O48" s="5" t="n"/>
      <c r="P48" s="5" t="n"/>
      <c r="Q48" s="11" t="n"/>
      <c r="R48" s="11" t="n"/>
      <c r="S48" s="8">
        <f>IF(OR(B48="",Q48=""),"",IF(TODAY()&lt;Q48,"파견예정",IF(AND(R48&lt;&gt;"",TODAY()&gt;R48),"파견종료","파견중")))</f>
        <v/>
      </c>
      <c r="T48" s="12">
        <f>IF(OR(Q48="",R48=""),"",R48-Q48+1)</f>
        <v/>
      </c>
      <c r="U48" s="12">
        <f>IF(AND(S48="파견중",R48&lt;&gt;""),R48-TODAY(),"")</f>
        <v/>
      </c>
      <c r="V48" s="5" t="n"/>
      <c r="W48" s="8">
        <f>IF(B48="","",IFERROR(MATCH(B48,기본자료!$B$2:$B$501,0),IFERROR(MATCH(B48&amp;"",기본자료!$B$2:$B$501,0),IFERROR(MATCH(VALUE(B48),기본자료!$B$2:$B$501,0),""))))</f>
        <v/>
      </c>
    </row>
    <row r="49">
      <c r="A49" s="8">
        <f>IF(B49="","",ROW()-1)</f>
        <v/>
      </c>
      <c r="B49" s="9" t="n"/>
      <c r="C49" s="8">
        <f>IF($W49="","",IF(INDEX(기본자료!$C$2:$C$501,$W49)="","",INDEX(기본자료!$C$2:$C$501,$W49)))</f>
        <v/>
      </c>
      <c r="D49" s="8">
        <f>IF($W49="","",IF(INDEX(기본자료!$J$2:$J$501,$W49)="","",INDEX(기본자료!$J$2:$J$501,$W49)))</f>
        <v/>
      </c>
      <c r="E49" s="10">
        <f>IF($W49="","",IF(INDEX(기본자료!$K$2:$K$501,$W49)="","",IF(NOT(ISNUMBER(INDEX(기본자료!$K$2:$K$501,$W49))),INDEX(기본자료!$K$2:$K$501,$W49),IF(INDEX(기본자료!$K$2:$K$501,$W49)&lt;1000000,INDEX(기본자료!$K$2:$K$501,$W49),IF(AND(INDEX(기본자료!$K$2:$K$501,$W49)&gt;=10000101,INT(MOD(INDEX(기본자료!$K$2:$K$501,$W49),10000)/100)&gt;=1,INT(MOD(INDEX(기본자료!$K$2:$K$501,$W49),10000)/100)&lt;=12,MOD(INDEX(기본자료!$K$2:$K$501,$W49),100)&gt;=1,MOD(INDEX(기본자료!$K$2:$K$501,$W49),100)&lt;=31),DATE(INT(INDEX(기본자료!$K$2:$K$501,$W49)/10000),INT(MOD(INDEX(기본자료!$K$2:$K$501,$W49),10000)/100),MOD(INDEX(기본자료!$K$2:$K$501,$W49),100)),INDEX(기본자료!$K$2:$K$501,$W49)&amp;"")))))</f>
        <v/>
      </c>
      <c r="F49" s="8">
        <f>IF($W49="","",IF(INDEX(기본자료!$D$2:$D$501,$W49)="","",INDEX(기본자료!$D$2:$D$501,$W49)))</f>
        <v/>
      </c>
      <c r="G49" s="8">
        <f>IF($W49="","",IF(INDEX(기본자료!$E$2:$E$501,$W49)="","",INDEX(기본자료!$E$2:$E$501,$W49)))</f>
        <v/>
      </c>
      <c r="H49" s="8">
        <f>IF($W49="","",IF(INDEX(기본자료!$F$2:$F$501,$W49)="","",INDEX(기본자료!$F$2:$F$501,$W49)))</f>
        <v/>
      </c>
      <c r="I49" s="10">
        <f>IF($W49="","",IF(INDEX(기본자료!$G$2:$G$501,$W49)="","",IF(NOT(ISNUMBER(INDEX(기본자료!$G$2:$G$501,$W49))),INDEX(기본자료!$G$2:$G$501,$W49),IF(INDEX(기본자료!$G$2:$G$501,$W49)&lt;1000000,INDEX(기본자료!$G$2:$G$501,$W49),IF(AND(INDEX(기본자료!$G$2:$G$501,$W49)&gt;=10000101,INT(MOD(INDEX(기본자료!$G$2:$G$501,$W49),10000)/100)&gt;=1,INT(MOD(INDEX(기본자료!$G$2:$G$501,$W49),10000)/100)&lt;=12,MOD(INDEX(기본자료!$G$2:$G$501,$W49),100)&gt;=1,MOD(INDEX(기본자료!$G$2:$G$501,$W49),100)&lt;=31),DATE(INT(INDEX(기본자료!$G$2:$G$501,$W49)/10000),INT(MOD(INDEX(기본자료!$G$2:$G$501,$W49),10000)/100),MOD(INDEX(기본자료!$G$2:$G$501,$W49),100)),INDEX(기본자료!$G$2:$G$501,$W49)&amp;"")))))</f>
        <v/>
      </c>
      <c r="J49" s="8">
        <f>IF($W49="","",IF(INDEX(기본자료!$H$2:$H$501,$W49)="","",INDEX(기본자료!$H$2:$H$501,$W49)))</f>
        <v/>
      </c>
      <c r="K49" s="8">
        <f>IF($W49="","",IF(INDEX(기본자료!$I$2:$I$501,$W49)="","",INDEX(기본자료!$I$2:$I$501,$W49)))</f>
        <v/>
      </c>
      <c r="L49" s="8">
        <f>IF($W49="","",IF(INDEX(기본자료!$A$2:$A$501,$W49)="","",INDEX(기본자료!$A$2:$A$501,$W49)))</f>
        <v/>
      </c>
      <c r="M49" s="5" t="n"/>
      <c r="N49" s="5" t="n"/>
      <c r="O49" s="5" t="n"/>
      <c r="P49" s="5" t="n"/>
      <c r="Q49" s="11" t="n"/>
      <c r="R49" s="11" t="n"/>
      <c r="S49" s="8">
        <f>IF(OR(B49="",Q49=""),"",IF(TODAY()&lt;Q49,"파견예정",IF(AND(R49&lt;&gt;"",TODAY()&gt;R49),"파견종료","파견중")))</f>
        <v/>
      </c>
      <c r="T49" s="12">
        <f>IF(OR(Q49="",R49=""),"",R49-Q49+1)</f>
        <v/>
      </c>
      <c r="U49" s="12">
        <f>IF(AND(S49="파견중",R49&lt;&gt;""),R49-TODAY(),"")</f>
        <v/>
      </c>
      <c r="V49" s="5" t="n"/>
      <c r="W49" s="8">
        <f>IF(B49="","",IFERROR(MATCH(B49,기본자료!$B$2:$B$501,0),IFERROR(MATCH(B49&amp;"",기본자료!$B$2:$B$501,0),IFERROR(MATCH(VALUE(B49),기본자료!$B$2:$B$501,0),""))))</f>
        <v/>
      </c>
    </row>
    <row r="50">
      <c r="A50" s="8">
        <f>IF(B50="","",ROW()-1)</f>
        <v/>
      </c>
      <c r="B50" s="9" t="n"/>
      <c r="C50" s="8">
        <f>IF($W50="","",IF(INDEX(기본자료!$C$2:$C$501,$W50)="","",INDEX(기본자료!$C$2:$C$501,$W50)))</f>
        <v/>
      </c>
      <c r="D50" s="8">
        <f>IF($W50="","",IF(INDEX(기본자료!$J$2:$J$501,$W50)="","",INDEX(기본자료!$J$2:$J$501,$W50)))</f>
        <v/>
      </c>
      <c r="E50" s="10">
        <f>IF($W50="","",IF(INDEX(기본자료!$K$2:$K$501,$W50)="","",IF(NOT(ISNUMBER(INDEX(기본자료!$K$2:$K$501,$W50))),INDEX(기본자료!$K$2:$K$501,$W50),IF(INDEX(기본자료!$K$2:$K$501,$W50)&lt;1000000,INDEX(기본자료!$K$2:$K$501,$W50),IF(AND(INDEX(기본자료!$K$2:$K$501,$W50)&gt;=10000101,INT(MOD(INDEX(기본자료!$K$2:$K$501,$W50),10000)/100)&gt;=1,INT(MOD(INDEX(기본자료!$K$2:$K$501,$W50),10000)/100)&lt;=12,MOD(INDEX(기본자료!$K$2:$K$501,$W50),100)&gt;=1,MOD(INDEX(기본자료!$K$2:$K$501,$W50),100)&lt;=31),DATE(INT(INDEX(기본자료!$K$2:$K$501,$W50)/10000),INT(MOD(INDEX(기본자료!$K$2:$K$501,$W50),10000)/100),MOD(INDEX(기본자료!$K$2:$K$501,$W50),100)),INDEX(기본자료!$K$2:$K$501,$W50)&amp;"")))))</f>
        <v/>
      </c>
      <c r="F50" s="8">
        <f>IF($W50="","",IF(INDEX(기본자료!$D$2:$D$501,$W50)="","",INDEX(기본자료!$D$2:$D$501,$W50)))</f>
        <v/>
      </c>
      <c r="G50" s="8">
        <f>IF($W50="","",IF(INDEX(기본자료!$E$2:$E$501,$W50)="","",INDEX(기본자료!$E$2:$E$501,$W50)))</f>
        <v/>
      </c>
      <c r="H50" s="8">
        <f>IF($W50="","",IF(INDEX(기본자료!$F$2:$F$501,$W50)="","",INDEX(기본자료!$F$2:$F$501,$W50)))</f>
        <v/>
      </c>
      <c r="I50" s="10">
        <f>IF($W50="","",IF(INDEX(기본자료!$G$2:$G$501,$W50)="","",IF(NOT(ISNUMBER(INDEX(기본자료!$G$2:$G$501,$W50))),INDEX(기본자료!$G$2:$G$501,$W50),IF(INDEX(기본자료!$G$2:$G$501,$W50)&lt;1000000,INDEX(기본자료!$G$2:$G$501,$W50),IF(AND(INDEX(기본자료!$G$2:$G$501,$W50)&gt;=10000101,INT(MOD(INDEX(기본자료!$G$2:$G$501,$W50),10000)/100)&gt;=1,INT(MOD(INDEX(기본자료!$G$2:$G$501,$W50),10000)/100)&lt;=12,MOD(INDEX(기본자료!$G$2:$G$501,$W50),100)&gt;=1,MOD(INDEX(기본자료!$G$2:$G$501,$W50),100)&lt;=31),DATE(INT(INDEX(기본자료!$G$2:$G$501,$W50)/10000),INT(MOD(INDEX(기본자료!$G$2:$G$501,$W50),10000)/100),MOD(INDEX(기본자료!$G$2:$G$501,$W50),100)),INDEX(기본자료!$G$2:$G$501,$W50)&amp;"")))))</f>
        <v/>
      </c>
      <c r="J50" s="8">
        <f>IF($W50="","",IF(INDEX(기본자료!$H$2:$H$501,$W50)="","",INDEX(기본자료!$H$2:$H$501,$W50)))</f>
        <v/>
      </c>
      <c r="K50" s="8">
        <f>IF($W50="","",IF(INDEX(기본자료!$I$2:$I$501,$W50)="","",INDEX(기본자료!$I$2:$I$501,$W50)))</f>
        <v/>
      </c>
      <c r="L50" s="8">
        <f>IF($W50="","",IF(INDEX(기본자료!$A$2:$A$501,$W50)="","",INDEX(기본자료!$A$2:$A$501,$W50)))</f>
        <v/>
      </c>
      <c r="M50" s="5" t="n"/>
      <c r="N50" s="5" t="n"/>
      <c r="O50" s="5" t="n"/>
      <c r="P50" s="5" t="n"/>
      <c r="Q50" s="11" t="n"/>
      <c r="R50" s="11" t="n"/>
      <c r="S50" s="8">
        <f>IF(OR(B50="",Q50=""),"",IF(TODAY()&lt;Q50,"파견예정",IF(AND(R50&lt;&gt;"",TODAY()&gt;R50),"파견종료","파견중")))</f>
        <v/>
      </c>
      <c r="T50" s="12">
        <f>IF(OR(Q50="",R50=""),"",R50-Q50+1)</f>
        <v/>
      </c>
      <c r="U50" s="12">
        <f>IF(AND(S50="파견중",R50&lt;&gt;""),R50-TODAY(),"")</f>
        <v/>
      </c>
      <c r="V50" s="5" t="n"/>
      <c r="W50" s="8">
        <f>IF(B50="","",IFERROR(MATCH(B50,기본자료!$B$2:$B$501,0),IFERROR(MATCH(B50&amp;"",기본자료!$B$2:$B$501,0),IFERROR(MATCH(VALUE(B50),기본자료!$B$2:$B$501,0),""))))</f>
        <v/>
      </c>
    </row>
    <row r="51">
      <c r="A51" s="8">
        <f>IF(B51="","",ROW()-1)</f>
        <v/>
      </c>
      <c r="B51" s="9" t="n"/>
      <c r="C51" s="8">
        <f>IF($W51="","",IF(INDEX(기본자료!$C$2:$C$501,$W51)="","",INDEX(기본자료!$C$2:$C$501,$W51)))</f>
        <v/>
      </c>
      <c r="D51" s="8">
        <f>IF($W51="","",IF(INDEX(기본자료!$J$2:$J$501,$W51)="","",INDEX(기본자료!$J$2:$J$501,$W51)))</f>
        <v/>
      </c>
      <c r="E51" s="10">
        <f>IF($W51="","",IF(INDEX(기본자료!$K$2:$K$501,$W51)="","",IF(NOT(ISNUMBER(INDEX(기본자료!$K$2:$K$501,$W51))),INDEX(기본자료!$K$2:$K$501,$W51),IF(INDEX(기본자료!$K$2:$K$501,$W51)&lt;1000000,INDEX(기본자료!$K$2:$K$501,$W51),IF(AND(INDEX(기본자료!$K$2:$K$501,$W51)&gt;=10000101,INT(MOD(INDEX(기본자료!$K$2:$K$501,$W51),10000)/100)&gt;=1,INT(MOD(INDEX(기본자료!$K$2:$K$501,$W51),10000)/100)&lt;=12,MOD(INDEX(기본자료!$K$2:$K$501,$W51),100)&gt;=1,MOD(INDEX(기본자료!$K$2:$K$501,$W51),100)&lt;=31),DATE(INT(INDEX(기본자료!$K$2:$K$501,$W51)/10000),INT(MOD(INDEX(기본자료!$K$2:$K$501,$W51),10000)/100),MOD(INDEX(기본자료!$K$2:$K$501,$W51),100)),INDEX(기본자료!$K$2:$K$501,$W51)&amp;"")))))</f>
        <v/>
      </c>
      <c r="F51" s="8">
        <f>IF($W51="","",IF(INDEX(기본자료!$D$2:$D$501,$W51)="","",INDEX(기본자료!$D$2:$D$501,$W51)))</f>
        <v/>
      </c>
      <c r="G51" s="8">
        <f>IF($W51="","",IF(INDEX(기본자료!$E$2:$E$501,$W51)="","",INDEX(기본자료!$E$2:$E$501,$W51)))</f>
        <v/>
      </c>
      <c r="H51" s="8">
        <f>IF($W51="","",IF(INDEX(기본자료!$F$2:$F$501,$W51)="","",INDEX(기본자료!$F$2:$F$501,$W51)))</f>
        <v/>
      </c>
      <c r="I51" s="10">
        <f>IF($W51="","",IF(INDEX(기본자료!$G$2:$G$501,$W51)="","",IF(NOT(ISNUMBER(INDEX(기본자료!$G$2:$G$501,$W51))),INDEX(기본자료!$G$2:$G$501,$W51),IF(INDEX(기본자료!$G$2:$G$501,$W51)&lt;1000000,INDEX(기본자료!$G$2:$G$501,$W51),IF(AND(INDEX(기본자료!$G$2:$G$501,$W51)&gt;=10000101,INT(MOD(INDEX(기본자료!$G$2:$G$501,$W51),10000)/100)&gt;=1,INT(MOD(INDEX(기본자료!$G$2:$G$501,$W51),10000)/100)&lt;=12,MOD(INDEX(기본자료!$G$2:$G$501,$W51),100)&gt;=1,MOD(INDEX(기본자료!$G$2:$G$501,$W51),100)&lt;=31),DATE(INT(INDEX(기본자료!$G$2:$G$501,$W51)/10000),INT(MOD(INDEX(기본자료!$G$2:$G$501,$W51),10000)/100),MOD(INDEX(기본자료!$G$2:$G$501,$W51),100)),INDEX(기본자료!$G$2:$G$501,$W51)&amp;"")))))</f>
        <v/>
      </c>
      <c r="J51" s="8">
        <f>IF($W51="","",IF(INDEX(기본자료!$H$2:$H$501,$W51)="","",INDEX(기본자료!$H$2:$H$501,$W51)))</f>
        <v/>
      </c>
      <c r="K51" s="8">
        <f>IF($W51="","",IF(INDEX(기본자료!$I$2:$I$501,$W51)="","",INDEX(기본자료!$I$2:$I$501,$W51)))</f>
        <v/>
      </c>
      <c r="L51" s="8">
        <f>IF($W51="","",IF(INDEX(기본자료!$A$2:$A$501,$W51)="","",INDEX(기본자료!$A$2:$A$501,$W51)))</f>
        <v/>
      </c>
      <c r="M51" s="5" t="n"/>
      <c r="N51" s="5" t="n"/>
      <c r="O51" s="5" t="n"/>
      <c r="P51" s="5" t="n"/>
      <c r="Q51" s="11" t="n"/>
      <c r="R51" s="11" t="n"/>
      <c r="S51" s="8">
        <f>IF(OR(B51="",Q51=""),"",IF(TODAY()&lt;Q51,"파견예정",IF(AND(R51&lt;&gt;"",TODAY()&gt;R51),"파견종료","파견중")))</f>
        <v/>
      </c>
      <c r="T51" s="12">
        <f>IF(OR(Q51="",R51=""),"",R51-Q51+1)</f>
        <v/>
      </c>
      <c r="U51" s="12">
        <f>IF(AND(S51="파견중",R51&lt;&gt;""),R51-TODAY(),"")</f>
        <v/>
      </c>
      <c r="V51" s="5" t="n"/>
      <c r="W51" s="8">
        <f>IF(B51="","",IFERROR(MATCH(B51,기본자료!$B$2:$B$501,0),IFERROR(MATCH(B51&amp;"",기본자료!$B$2:$B$501,0),IFERROR(MATCH(VALUE(B51),기본자료!$B$2:$B$501,0),""))))</f>
        <v/>
      </c>
    </row>
    <row r="52">
      <c r="A52" s="8">
        <f>IF(B52="","",ROW()-1)</f>
        <v/>
      </c>
      <c r="B52" s="9" t="n"/>
      <c r="C52" s="8">
        <f>IF($W52="","",IF(INDEX(기본자료!$C$2:$C$501,$W52)="","",INDEX(기본자료!$C$2:$C$501,$W52)))</f>
        <v/>
      </c>
      <c r="D52" s="8">
        <f>IF($W52="","",IF(INDEX(기본자료!$J$2:$J$501,$W52)="","",INDEX(기본자료!$J$2:$J$501,$W52)))</f>
        <v/>
      </c>
      <c r="E52" s="10">
        <f>IF($W52="","",IF(INDEX(기본자료!$K$2:$K$501,$W52)="","",IF(NOT(ISNUMBER(INDEX(기본자료!$K$2:$K$501,$W52))),INDEX(기본자료!$K$2:$K$501,$W52),IF(INDEX(기본자료!$K$2:$K$501,$W52)&lt;1000000,INDEX(기본자료!$K$2:$K$501,$W52),IF(AND(INDEX(기본자료!$K$2:$K$501,$W52)&gt;=10000101,INT(MOD(INDEX(기본자료!$K$2:$K$501,$W52),10000)/100)&gt;=1,INT(MOD(INDEX(기본자료!$K$2:$K$501,$W52),10000)/100)&lt;=12,MOD(INDEX(기본자료!$K$2:$K$501,$W52),100)&gt;=1,MOD(INDEX(기본자료!$K$2:$K$501,$W52),100)&lt;=31),DATE(INT(INDEX(기본자료!$K$2:$K$501,$W52)/10000),INT(MOD(INDEX(기본자료!$K$2:$K$501,$W52),10000)/100),MOD(INDEX(기본자료!$K$2:$K$501,$W52),100)),INDEX(기본자료!$K$2:$K$501,$W52)&amp;"")))))</f>
        <v/>
      </c>
      <c r="F52" s="8">
        <f>IF($W52="","",IF(INDEX(기본자료!$D$2:$D$501,$W52)="","",INDEX(기본자료!$D$2:$D$501,$W52)))</f>
        <v/>
      </c>
      <c r="G52" s="8">
        <f>IF($W52="","",IF(INDEX(기본자료!$E$2:$E$501,$W52)="","",INDEX(기본자료!$E$2:$E$501,$W52)))</f>
        <v/>
      </c>
      <c r="H52" s="8">
        <f>IF($W52="","",IF(INDEX(기본자료!$F$2:$F$501,$W52)="","",INDEX(기본자료!$F$2:$F$501,$W52)))</f>
        <v/>
      </c>
      <c r="I52" s="10">
        <f>IF($W52="","",IF(INDEX(기본자료!$G$2:$G$501,$W52)="","",IF(NOT(ISNUMBER(INDEX(기본자료!$G$2:$G$501,$W52))),INDEX(기본자료!$G$2:$G$501,$W52),IF(INDEX(기본자료!$G$2:$G$501,$W52)&lt;1000000,INDEX(기본자료!$G$2:$G$501,$W52),IF(AND(INDEX(기본자료!$G$2:$G$501,$W52)&gt;=10000101,INT(MOD(INDEX(기본자료!$G$2:$G$501,$W52),10000)/100)&gt;=1,INT(MOD(INDEX(기본자료!$G$2:$G$501,$W52),10000)/100)&lt;=12,MOD(INDEX(기본자료!$G$2:$G$501,$W52),100)&gt;=1,MOD(INDEX(기본자료!$G$2:$G$501,$W52),100)&lt;=31),DATE(INT(INDEX(기본자료!$G$2:$G$501,$W52)/10000),INT(MOD(INDEX(기본자료!$G$2:$G$501,$W52),10000)/100),MOD(INDEX(기본자료!$G$2:$G$501,$W52),100)),INDEX(기본자료!$G$2:$G$501,$W52)&amp;"")))))</f>
        <v/>
      </c>
      <c r="J52" s="8">
        <f>IF($W52="","",IF(INDEX(기본자료!$H$2:$H$501,$W52)="","",INDEX(기본자료!$H$2:$H$501,$W52)))</f>
        <v/>
      </c>
      <c r="K52" s="8">
        <f>IF($W52="","",IF(INDEX(기본자료!$I$2:$I$501,$W52)="","",INDEX(기본자료!$I$2:$I$501,$W52)))</f>
        <v/>
      </c>
      <c r="L52" s="8">
        <f>IF($W52="","",IF(INDEX(기본자료!$A$2:$A$501,$W52)="","",INDEX(기본자료!$A$2:$A$501,$W52)))</f>
        <v/>
      </c>
      <c r="M52" s="5" t="n"/>
      <c r="N52" s="5" t="n"/>
      <c r="O52" s="5" t="n"/>
      <c r="P52" s="5" t="n"/>
      <c r="Q52" s="11" t="n"/>
      <c r="R52" s="11" t="n"/>
      <c r="S52" s="8">
        <f>IF(OR(B52="",Q52=""),"",IF(TODAY()&lt;Q52,"파견예정",IF(AND(R52&lt;&gt;"",TODAY()&gt;R52),"파견종료","파견중")))</f>
        <v/>
      </c>
      <c r="T52" s="12">
        <f>IF(OR(Q52="",R52=""),"",R52-Q52+1)</f>
        <v/>
      </c>
      <c r="U52" s="12">
        <f>IF(AND(S52="파견중",R52&lt;&gt;""),R52-TODAY(),"")</f>
        <v/>
      </c>
      <c r="V52" s="5" t="n"/>
      <c r="W52" s="8">
        <f>IF(B52="","",IFERROR(MATCH(B52,기본자료!$B$2:$B$501,0),IFERROR(MATCH(B52&amp;"",기본자료!$B$2:$B$501,0),IFERROR(MATCH(VALUE(B52),기본자료!$B$2:$B$501,0),""))))</f>
        <v/>
      </c>
    </row>
    <row r="53">
      <c r="A53" s="8">
        <f>IF(B53="","",ROW()-1)</f>
        <v/>
      </c>
      <c r="B53" s="9" t="n"/>
      <c r="C53" s="8">
        <f>IF($W53="","",IF(INDEX(기본자료!$C$2:$C$501,$W53)="","",INDEX(기본자료!$C$2:$C$501,$W53)))</f>
        <v/>
      </c>
      <c r="D53" s="8">
        <f>IF($W53="","",IF(INDEX(기본자료!$J$2:$J$501,$W53)="","",INDEX(기본자료!$J$2:$J$501,$W53)))</f>
        <v/>
      </c>
      <c r="E53" s="10">
        <f>IF($W53="","",IF(INDEX(기본자료!$K$2:$K$501,$W53)="","",IF(NOT(ISNUMBER(INDEX(기본자료!$K$2:$K$501,$W53))),INDEX(기본자료!$K$2:$K$501,$W53),IF(INDEX(기본자료!$K$2:$K$501,$W53)&lt;1000000,INDEX(기본자료!$K$2:$K$501,$W53),IF(AND(INDEX(기본자료!$K$2:$K$501,$W53)&gt;=10000101,INT(MOD(INDEX(기본자료!$K$2:$K$501,$W53),10000)/100)&gt;=1,INT(MOD(INDEX(기본자료!$K$2:$K$501,$W53),10000)/100)&lt;=12,MOD(INDEX(기본자료!$K$2:$K$501,$W53),100)&gt;=1,MOD(INDEX(기본자료!$K$2:$K$501,$W53),100)&lt;=31),DATE(INT(INDEX(기본자료!$K$2:$K$501,$W53)/10000),INT(MOD(INDEX(기본자료!$K$2:$K$501,$W53),10000)/100),MOD(INDEX(기본자료!$K$2:$K$501,$W53),100)),INDEX(기본자료!$K$2:$K$501,$W53)&amp;"")))))</f>
        <v/>
      </c>
      <c r="F53" s="8">
        <f>IF($W53="","",IF(INDEX(기본자료!$D$2:$D$501,$W53)="","",INDEX(기본자료!$D$2:$D$501,$W53)))</f>
        <v/>
      </c>
      <c r="G53" s="8">
        <f>IF($W53="","",IF(INDEX(기본자료!$E$2:$E$501,$W53)="","",INDEX(기본자료!$E$2:$E$501,$W53)))</f>
        <v/>
      </c>
      <c r="H53" s="8">
        <f>IF($W53="","",IF(INDEX(기본자료!$F$2:$F$501,$W53)="","",INDEX(기본자료!$F$2:$F$501,$W53)))</f>
        <v/>
      </c>
      <c r="I53" s="10">
        <f>IF($W53="","",IF(INDEX(기본자료!$G$2:$G$501,$W53)="","",IF(NOT(ISNUMBER(INDEX(기본자료!$G$2:$G$501,$W53))),INDEX(기본자료!$G$2:$G$501,$W53),IF(INDEX(기본자료!$G$2:$G$501,$W53)&lt;1000000,INDEX(기본자료!$G$2:$G$501,$W53),IF(AND(INDEX(기본자료!$G$2:$G$501,$W53)&gt;=10000101,INT(MOD(INDEX(기본자료!$G$2:$G$501,$W53),10000)/100)&gt;=1,INT(MOD(INDEX(기본자료!$G$2:$G$501,$W53),10000)/100)&lt;=12,MOD(INDEX(기본자료!$G$2:$G$501,$W53),100)&gt;=1,MOD(INDEX(기본자료!$G$2:$G$501,$W53),100)&lt;=31),DATE(INT(INDEX(기본자료!$G$2:$G$501,$W53)/10000),INT(MOD(INDEX(기본자료!$G$2:$G$501,$W53),10000)/100),MOD(INDEX(기본자료!$G$2:$G$501,$W53),100)),INDEX(기본자료!$G$2:$G$501,$W53)&amp;"")))))</f>
        <v/>
      </c>
      <c r="J53" s="8">
        <f>IF($W53="","",IF(INDEX(기본자료!$H$2:$H$501,$W53)="","",INDEX(기본자료!$H$2:$H$501,$W53)))</f>
        <v/>
      </c>
      <c r="K53" s="8">
        <f>IF($W53="","",IF(INDEX(기본자료!$I$2:$I$501,$W53)="","",INDEX(기본자료!$I$2:$I$501,$W53)))</f>
        <v/>
      </c>
      <c r="L53" s="8">
        <f>IF($W53="","",IF(INDEX(기본자료!$A$2:$A$501,$W53)="","",INDEX(기본자료!$A$2:$A$501,$W53)))</f>
        <v/>
      </c>
      <c r="M53" s="5" t="n"/>
      <c r="N53" s="5" t="n"/>
      <c r="O53" s="5" t="n"/>
      <c r="P53" s="5" t="n"/>
      <c r="Q53" s="11" t="n"/>
      <c r="R53" s="11" t="n"/>
      <c r="S53" s="8">
        <f>IF(OR(B53="",Q53=""),"",IF(TODAY()&lt;Q53,"파견예정",IF(AND(R53&lt;&gt;"",TODAY()&gt;R53),"파견종료","파견중")))</f>
        <v/>
      </c>
      <c r="T53" s="12">
        <f>IF(OR(Q53="",R53=""),"",R53-Q53+1)</f>
        <v/>
      </c>
      <c r="U53" s="12">
        <f>IF(AND(S53="파견중",R53&lt;&gt;""),R53-TODAY(),"")</f>
        <v/>
      </c>
      <c r="V53" s="5" t="n"/>
      <c r="W53" s="8">
        <f>IF(B53="","",IFERROR(MATCH(B53,기본자료!$B$2:$B$501,0),IFERROR(MATCH(B53&amp;"",기본자료!$B$2:$B$501,0),IFERROR(MATCH(VALUE(B53),기본자료!$B$2:$B$501,0),""))))</f>
        <v/>
      </c>
    </row>
    <row r="54">
      <c r="A54" s="8">
        <f>IF(B54="","",ROW()-1)</f>
        <v/>
      </c>
      <c r="B54" s="9" t="n"/>
      <c r="C54" s="8">
        <f>IF($W54="","",IF(INDEX(기본자료!$C$2:$C$501,$W54)="","",INDEX(기본자료!$C$2:$C$501,$W54)))</f>
        <v/>
      </c>
      <c r="D54" s="8">
        <f>IF($W54="","",IF(INDEX(기본자료!$J$2:$J$501,$W54)="","",INDEX(기본자료!$J$2:$J$501,$W54)))</f>
        <v/>
      </c>
      <c r="E54" s="10">
        <f>IF($W54="","",IF(INDEX(기본자료!$K$2:$K$501,$W54)="","",IF(NOT(ISNUMBER(INDEX(기본자료!$K$2:$K$501,$W54))),INDEX(기본자료!$K$2:$K$501,$W54),IF(INDEX(기본자료!$K$2:$K$501,$W54)&lt;1000000,INDEX(기본자료!$K$2:$K$501,$W54),IF(AND(INDEX(기본자료!$K$2:$K$501,$W54)&gt;=10000101,INT(MOD(INDEX(기본자료!$K$2:$K$501,$W54),10000)/100)&gt;=1,INT(MOD(INDEX(기본자료!$K$2:$K$501,$W54),10000)/100)&lt;=12,MOD(INDEX(기본자료!$K$2:$K$501,$W54),100)&gt;=1,MOD(INDEX(기본자료!$K$2:$K$501,$W54),100)&lt;=31),DATE(INT(INDEX(기본자료!$K$2:$K$501,$W54)/10000),INT(MOD(INDEX(기본자료!$K$2:$K$501,$W54),10000)/100),MOD(INDEX(기본자료!$K$2:$K$501,$W54),100)),INDEX(기본자료!$K$2:$K$501,$W54)&amp;"")))))</f>
        <v/>
      </c>
      <c r="F54" s="8">
        <f>IF($W54="","",IF(INDEX(기본자료!$D$2:$D$501,$W54)="","",INDEX(기본자료!$D$2:$D$501,$W54)))</f>
        <v/>
      </c>
      <c r="G54" s="8">
        <f>IF($W54="","",IF(INDEX(기본자료!$E$2:$E$501,$W54)="","",INDEX(기본자료!$E$2:$E$501,$W54)))</f>
        <v/>
      </c>
      <c r="H54" s="8">
        <f>IF($W54="","",IF(INDEX(기본자료!$F$2:$F$501,$W54)="","",INDEX(기본자료!$F$2:$F$501,$W54)))</f>
        <v/>
      </c>
      <c r="I54" s="10">
        <f>IF($W54="","",IF(INDEX(기본자료!$G$2:$G$501,$W54)="","",IF(NOT(ISNUMBER(INDEX(기본자료!$G$2:$G$501,$W54))),INDEX(기본자료!$G$2:$G$501,$W54),IF(INDEX(기본자료!$G$2:$G$501,$W54)&lt;1000000,INDEX(기본자료!$G$2:$G$501,$W54),IF(AND(INDEX(기본자료!$G$2:$G$501,$W54)&gt;=10000101,INT(MOD(INDEX(기본자료!$G$2:$G$501,$W54),10000)/100)&gt;=1,INT(MOD(INDEX(기본자료!$G$2:$G$501,$W54),10000)/100)&lt;=12,MOD(INDEX(기본자료!$G$2:$G$501,$W54),100)&gt;=1,MOD(INDEX(기본자료!$G$2:$G$501,$W54),100)&lt;=31),DATE(INT(INDEX(기본자료!$G$2:$G$501,$W54)/10000),INT(MOD(INDEX(기본자료!$G$2:$G$501,$W54),10000)/100),MOD(INDEX(기본자료!$G$2:$G$501,$W54),100)),INDEX(기본자료!$G$2:$G$501,$W54)&amp;"")))))</f>
        <v/>
      </c>
      <c r="J54" s="8">
        <f>IF($W54="","",IF(INDEX(기본자료!$H$2:$H$501,$W54)="","",INDEX(기본자료!$H$2:$H$501,$W54)))</f>
        <v/>
      </c>
      <c r="K54" s="8">
        <f>IF($W54="","",IF(INDEX(기본자료!$I$2:$I$501,$W54)="","",INDEX(기본자료!$I$2:$I$501,$W54)))</f>
        <v/>
      </c>
      <c r="L54" s="8">
        <f>IF($W54="","",IF(INDEX(기본자료!$A$2:$A$501,$W54)="","",INDEX(기본자료!$A$2:$A$501,$W54)))</f>
        <v/>
      </c>
      <c r="M54" s="5" t="n"/>
      <c r="N54" s="5" t="n"/>
      <c r="O54" s="5" t="n"/>
      <c r="P54" s="5" t="n"/>
      <c r="Q54" s="11" t="n"/>
      <c r="R54" s="11" t="n"/>
      <c r="S54" s="8">
        <f>IF(OR(B54="",Q54=""),"",IF(TODAY()&lt;Q54,"파견예정",IF(AND(R54&lt;&gt;"",TODAY()&gt;R54),"파견종료","파견중")))</f>
        <v/>
      </c>
      <c r="T54" s="12">
        <f>IF(OR(Q54="",R54=""),"",R54-Q54+1)</f>
        <v/>
      </c>
      <c r="U54" s="12">
        <f>IF(AND(S54="파견중",R54&lt;&gt;""),R54-TODAY(),"")</f>
        <v/>
      </c>
      <c r="V54" s="5" t="n"/>
      <c r="W54" s="8">
        <f>IF(B54="","",IFERROR(MATCH(B54,기본자료!$B$2:$B$501,0),IFERROR(MATCH(B54&amp;"",기본자료!$B$2:$B$501,0),IFERROR(MATCH(VALUE(B54),기본자료!$B$2:$B$501,0),""))))</f>
        <v/>
      </c>
    </row>
    <row r="55">
      <c r="A55" s="8">
        <f>IF(B55="","",ROW()-1)</f>
        <v/>
      </c>
      <c r="B55" s="9" t="n"/>
      <c r="C55" s="8">
        <f>IF($W55="","",IF(INDEX(기본자료!$C$2:$C$501,$W55)="","",INDEX(기본자료!$C$2:$C$501,$W55)))</f>
        <v/>
      </c>
      <c r="D55" s="8">
        <f>IF($W55="","",IF(INDEX(기본자료!$J$2:$J$501,$W55)="","",INDEX(기본자료!$J$2:$J$501,$W55)))</f>
        <v/>
      </c>
      <c r="E55" s="10">
        <f>IF($W55="","",IF(INDEX(기본자료!$K$2:$K$501,$W55)="","",IF(NOT(ISNUMBER(INDEX(기본자료!$K$2:$K$501,$W55))),INDEX(기본자료!$K$2:$K$501,$W55),IF(INDEX(기본자료!$K$2:$K$501,$W55)&lt;1000000,INDEX(기본자료!$K$2:$K$501,$W55),IF(AND(INDEX(기본자료!$K$2:$K$501,$W55)&gt;=10000101,INT(MOD(INDEX(기본자료!$K$2:$K$501,$W55),10000)/100)&gt;=1,INT(MOD(INDEX(기본자료!$K$2:$K$501,$W55),10000)/100)&lt;=12,MOD(INDEX(기본자료!$K$2:$K$501,$W55),100)&gt;=1,MOD(INDEX(기본자료!$K$2:$K$501,$W55),100)&lt;=31),DATE(INT(INDEX(기본자료!$K$2:$K$501,$W55)/10000),INT(MOD(INDEX(기본자료!$K$2:$K$501,$W55),10000)/100),MOD(INDEX(기본자료!$K$2:$K$501,$W55),100)),INDEX(기본자료!$K$2:$K$501,$W55)&amp;"")))))</f>
        <v/>
      </c>
      <c r="F55" s="8">
        <f>IF($W55="","",IF(INDEX(기본자료!$D$2:$D$501,$W55)="","",INDEX(기본자료!$D$2:$D$501,$W55)))</f>
        <v/>
      </c>
      <c r="G55" s="8">
        <f>IF($W55="","",IF(INDEX(기본자료!$E$2:$E$501,$W55)="","",INDEX(기본자료!$E$2:$E$501,$W55)))</f>
        <v/>
      </c>
      <c r="H55" s="8">
        <f>IF($W55="","",IF(INDEX(기본자료!$F$2:$F$501,$W55)="","",INDEX(기본자료!$F$2:$F$501,$W55)))</f>
        <v/>
      </c>
      <c r="I55" s="10">
        <f>IF($W55="","",IF(INDEX(기본자료!$G$2:$G$501,$W55)="","",IF(NOT(ISNUMBER(INDEX(기본자료!$G$2:$G$501,$W55))),INDEX(기본자료!$G$2:$G$501,$W55),IF(INDEX(기본자료!$G$2:$G$501,$W55)&lt;1000000,INDEX(기본자료!$G$2:$G$501,$W55),IF(AND(INDEX(기본자료!$G$2:$G$501,$W55)&gt;=10000101,INT(MOD(INDEX(기본자료!$G$2:$G$501,$W55),10000)/100)&gt;=1,INT(MOD(INDEX(기본자료!$G$2:$G$501,$W55),10000)/100)&lt;=12,MOD(INDEX(기본자료!$G$2:$G$501,$W55),100)&gt;=1,MOD(INDEX(기본자료!$G$2:$G$501,$W55),100)&lt;=31),DATE(INT(INDEX(기본자료!$G$2:$G$501,$W55)/10000),INT(MOD(INDEX(기본자료!$G$2:$G$501,$W55),10000)/100),MOD(INDEX(기본자료!$G$2:$G$501,$W55),100)),INDEX(기본자료!$G$2:$G$501,$W55)&amp;"")))))</f>
        <v/>
      </c>
      <c r="J55" s="8">
        <f>IF($W55="","",IF(INDEX(기본자료!$H$2:$H$501,$W55)="","",INDEX(기본자료!$H$2:$H$501,$W55)))</f>
        <v/>
      </c>
      <c r="K55" s="8">
        <f>IF($W55="","",IF(INDEX(기본자료!$I$2:$I$501,$W55)="","",INDEX(기본자료!$I$2:$I$501,$W55)))</f>
        <v/>
      </c>
      <c r="L55" s="8">
        <f>IF($W55="","",IF(INDEX(기본자료!$A$2:$A$501,$W55)="","",INDEX(기본자료!$A$2:$A$501,$W55)))</f>
        <v/>
      </c>
      <c r="M55" s="5" t="n"/>
      <c r="N55" s="5" t="n"/>
      <c r="O55" s="5" t="n"/>
      <c r="P55" s="5" t="n"/>
      <c r="Q55" s="11" t="n"/>
      <c r="R55" s="11" t="n"/>
      <c r="S55" s="8">
        <f>IF(OR(B55="",Q55=""),"",IF(TODAY()&lt;Q55,"파견예정",IF(AND(R55&lt;&gt;"",TODAY()&gt;R55),"파견종료","파견중")))</f>
        <v/>
      </c>
      <c r="T55" s="12">
        <f>IF(OR(Q55="",R55=""),"",R55-Q55+1)</f>
        <v/>
      </c>
      <c r="U55" s="12">
        <f>IF(AND(S55="파견중",R55&lt;&gt;""),R55-TODAY(),"")</f>
        <v/>
      </c>
      <c r="V55" s="5" t="n"/>
      <c r="W55" s="8">
        <f>IF(B55="","",IFERROR(MATCH(B55,기본자료!$B$2:$B$501,0),IFERROR(MATCH(B55&amp;"",기본자료!$B$2:$B$501,0),IFERROR(MATCH(VALUE(B55),기본자료!$B$2:$B$501,0),""))))</f>
        <v/>
      </c>
    </row>
    <row r="56">
      <c r="A56" s="8">
        <f>IF(B56="","",ROW()-1)</f>
        <v/>
      </c>
      <c r="B56" s="9" t="n"/>
      <c r="C56" s="8">
        <f>IF($W56="","",IF(INDEX(기본자료!$C$2:$C$501,$W56)="","",INDEX(기본자료!$C$2:$C$501,$W56)))</f>
        <v/>
      </c>
      <c r="D56" s="8">
        <f>IF($W56="","",IF(INDEX(기본자료!$J$2:$J$501,$W56)="","",INDEX(기본자료!$J$2:$J$501,$W56)))</f>
        <v/>
      </c>
      <c r="E56" s="10">
        <f>IF($W56="","",IF(INDEX(기본자료!$K$2:$K$501,$W56)="","",IF(NOT(ISNUMBER(INDEX(기본자료!$K$2:$K$501,$W56))),INDEX(기본자료!$K$2:$K$501,$W56),IF(INDEX(기본자료!$K$2:$K$501,$W56)&lt;1000000,INDEX(기본자료!$K$2:$K$501,$W56),IF(AND(INDEX(기본자료!$K$2:$K$501,$W56)&gt;=10000101,INT(MOD(INDEX(기본자료!$K$2:$K$501,$W56),10000)/100)&gt;=1,INT(MOD(INDEX(기본자료!$K$2:$K$501,$W56),10000)/100)&lt;=12,MOD(INDEX(기본자료!$K$2:$K$501,$W56),100)&gt;=1,MOD(INDEX(기본자료!$K$2:$K$501,$W56),100)&lt;=31),DATE(INT(INDEX(기본자료!$K$2:$K$501,$W56)/10000),INT(MOD(INDEX(기본자료!$K$2:$K$501,$W56),10000)/100),MOD(INDEX(기본자료!$K$2:$K$501,$W56),100)),INDEX(기본자료!$K$2:$K$501,$W56)&amp;"")))))</f>
        <v/>
      </c>
      <c r="F56" s="8">
        <f>IF($W56="","",IF(INDEX(기본자료!$D$2:$D$501,$W56)="","",INDEX(기본자료!$D$2:$D$501,$W56)))</f>
        <v/>
      </c>
      <c r="G56" s="8">
        <f>IF($W56="","",IF(INDEX(기본자료!$E$2:$E$501,$W56)="","",INDEX(기본자료!$E$2:$E$501,$W56)))</f>
        <v/>
      </c>
      <c r="H56" s="8">
        <f>IF($W56="","",IF(INDEX(기본자료!$F$2:$F$501,$W56)="","",INDEX(기본자료!$F$2:$F$501,$W56)))</f>
        <v/>
      </c>
      <c r="I56" s="10">
        <f>IF($W56="","",IF(INDEX(기본자료!$G$2:$G$501,$W56)="","",IF(NOT(ISNUMBER(INDEX(기본자료!$G$2:$G$501,$W56))),INDEX(기본자료!$G$2:$G$501,$W56),IF(INDEX(기본자료!$G$2:$G$501,$W56)&lt;1000000,INDEX(기본자료!$G$2:$G$501,$W56),IF(AND(INDEX(기본자료!$G$2:$G$501,$W56)&gt;=10000101,INT(MOD(INDEX(기본자료!$G$2:$G$501,$W56),10000)/100)&gt;=1,INT(MOD(INDEX(기본자료!$G$2:$G$501,$W56),10000)/100)&lt;=12,MOD(INDEX(기본자료!$G$2:$G$501,$W56),100)&gt;=1,MOD(INDEX(기본자료!$G$2:$G$501,$W56),100)&lt;=31),DATE(INT(INDEX(기본자료!$G$2:$G$501,$W56)/10000),INT(MOD(INDEX(기본자료!$G$2:$G$501,$W56),10000)/100),MOD(INDEX(기본자료!$G$2:$G$501,$W56),100)),INDEX(기본자료!$G$2:$G$501,$W56)&amp;"")))))</f>
        <v/>
      </c>
      <c r="J56" s="8">
        <f>IF($W56="","",IF(INDEX(기본자료!$H$2:$H$501,$W56)="","",INDEX(기본자료!$H$2:$H$501,$W56)))</f>
        <v/>
      </c>
      <c r="K56" s="8">
        <f>IF($W56="","",IF(INDEX(기본자료!$I$2:$I$501,$W56)="","",INDEX(기본자료!$I$2:$I$501,$W56)))</f>
        <v/>
      </c>
      <c r="L56" s="8">
        <f>IF($W56="","",IF(INDEX(기본자료!$A$2:$A$501,$W56)="","",INDEX(기본자료!$A$2:$A$501,$W56)))</f>
        <v/>
      </c>
      <c r="M56" s="5" t="n"/>
      <c r="N56" s="5" t="n"/>
      <c r="O56" s="5" t="n"/>
      <c r="P56" s="5" t="n"/>
      <c r="Q56" s="11" t="n"/>
      <c r="R56" s="11" t="n"/>
      <c r="S56" s="8">
        <f>IF(OR(B56="",Q56=""),"",IF(TODAY()&lt;Q56,"파견예정",IF(AND(R56&lt;&gt;"",TODAY()&gt;R56),"파견종료","파견중")))</f>
        <v/>
      </c>
      <c r="T56" s="12">
        <f>IF(OR(Q56="",R56=""),"",R56-Q56+1)</f>
        <v/>
      </c>
      <c r="U56" s="12">
        <f>IF(AND(S56="파견중",R56&lt;&gt;""),R56-TODAY(),"")</f>
        <v/>
      </c>
      <c r="V56" s="5" t="n"/>
      <c r="W56" s="8">
        <f>IF(B56="","",IFERROR(MATCH(B56,기본자료!$B$2:$B$501,0),IFERROR(MATCH(B56&amp;"",기본자료!$B$2:$B$501,0),IFERROR(MATCH(VALUE(B56),기본자료!$B$2:$B$501,0),""))))</f>
        <v/>
      </c>
    </row>
    <row r="57">
      <c r="A57" s="8">
        <f>IF(B57="","",ROW()-1)</f>
        <v/>
      </c>
      <c r="B57" s="9" t="n"/>
      <c r="C57" s="8">
        <f>IF($W57="","",IF(INDEX(기본자료!$C$2:$C$501,$W57)="","",INDEX(기본자료!$C$2:$C$501,$W57)))</f>
        <v/>
      </c>
      <c r="D57" s="8">
        <f>IF($W57="","",IF(INDEX(기본자료!$J$2:$J$501,$W57)="","",INDEX(기본자료!$J$2:$J$501,$W57)))</f>
        <v/>
      </c>
      <c r="E57" s="10">
        <f>IF($W57="","",IF(INDEX(기본자료!$K$2:$K$501,$W57)="","",IF(NOT(ISNUMBER(INDEX(기본자료!$K$2:$K$501,$W57))),INDEX(기본자료!$K$2:$K$501,$W57),IF(INDEX(기본자료!$K$2:$K$501,$W57)&lt;1000000,INDEX(기본자료!$K$2:$K$501,$W57),IF(AND(INDEX(기본자료!$K$2:$K$501,$W57)&gt;=10000101,INT(MOD(INDEX(기본자료!$K$2:$K$501,$W57),10000)/100)&gt;=1,INT(MOD(INDEX(기본자료!$K$2:$K$501,$W57),10000)/100)&lt;=12,MOD(INDEX(기본자료!$K$2:$K$501,$W57),100)&gt;=1,MOD(INDEX(기본자료!$K$2:$K$501,$W57),100)&lt;=31),DATE(INT(INDEX(기본자료!$K$2:$K$501,$W57)/10000),INT(MOD(INDEX(기본자료!$K$2:$K$501,$W57),10000)/100),MOD(INDEX(기본자료!$K$2:$K$501,$W57),100)),INDEX(기본자료!$K$2:$K$501,$W57)&amp;"")))))</f>
        <v/>
      </c>
      <c r="F57" s="8">
        <f>IF($W57="","",IF(INDEX(기본자료!$D$2:$D$501,$W57)="","",INDEX(기본자료!$D$2:$D$501,$W57)))</f>
        <v/>
      </c>
      <c r="G57" s="8">
        <f>IF($W57="","",IF(INDEX(기본자료!$E$2:$E$501,$W57)="","",INDEX(기본자료!$E$2:$E$501,$W57)))</f>
        <v/>
      </c>
      <c r="H57" s="8">
        <f>IF($W57="","",IF(INDEX(기본자료!$F$2:$F$501,$W57)="","",INDEX(기본자료!$F$2:$F$501,$W57)))</f>
        <v/>
      </c>
      <c r="I57" s="10">
        <f>IF($W57="","",IF(INDEX(기본자료!$G$2:$G$501,$W57)="","",IF(NOT(ISNUMBER(INDEX(기본자료!$G$2:$G$501,$W57))),INDEX(기본자료!$G$2:$G$501,$W57),IF(INDEX(기본자료!$G$2:$G$501,$W57)&lt;1000000,INDEX(기본자료!$G$2:$G$501,$W57),IF(AND(INDEX(기본자료!$G$2:$G$501,$W57)&gt;=10000101,INT(MOD(INDEX(기본자료!$G$2:$G$501,$W57),10000)/100)&gt;=1,INT(MOD(INDEX(기본자료!$G$2:$G$501,$W57),10000)/100)&lt;=12,MOD(INDEX(기본자료!$G$2:$G$501,$W57),100)&gt;=1,MOD(INDEX(기본자료!$G$2:$G$501,$W57),100)&lt;=31),DATE(INT(INDEX(기본자료!$G$2:$G$501,$W57)/10000),INT(MOD(INDEX(기본자료!$G$2:$G$501,$W57),10000)/100),MOD(INDEX(기본자료!$G$2:$G$501,$W57),100)),INDEX(기본자료!$G$2:$G$501,$W57)&amp;"")))))</f>
        <v/>
      </c>
      <c r="J57" s="8">
        <f>IF($W57="","",IF(INDEX(기본자료!$H$2:$H$501,$W57)="","",INDEX(기본자료!$H$2:$H$501,$W57)))</f>
        <v/>
      </c>
      <c r="K57" s="8">
        <f>IF($W57="","",IF(INDEX(기본자료!$I$2:$I$501,$W57)="","",INDEX(기본자료!$I$2:$I$501,$W57)))</f>
        <v/>
      </c>
      <c r="L57" s="8">
        <f>IF($W57="","",IF(INDEX(기본자료!$A$2:$A$501,$W57)="","",INDEX(기본자료!$A$2:$A$501,$W57)))</f>
        <v/>
      </c>
      <c r="M57" s="5" t="n"/>
      <c r="N57" s="5" t="n"/>
      <c r="O57" s="5" t="n"/>
      <c r="P57" s="5" t="n"/>
      <c r="Q57" s="11" t="n"/>
      <c r="R57" s="11" t="n"/>
      <c r="S57" s="8">
        <f>IF(OR(B57="",Q57=""),"",IF(TODAY()&lt;Q57,"파견예정",IF(AND(R57&lt;&gt;"",TODAY()&gt;R57),"파견종료","파견중")))</f>
        <v/>
      </c>
      <c r="T57" s="12">
        <f>IF(OR(Q57="",R57=""),"",R57-Q57+1)</f>
        <v/>
      </c>
      <c r="U57" s="12">
        <f>IF(AND(S57="파견중",R57&lt;&gt;""),R57-TODAY(),"")</f>
        <v/>
      </c>
      <c r="V57" s="5" t="n"/>
      <c r="W57" s="8">
        <f>IF(B57="","",IFERROR(MATCH(B57,기본자료!$B$2:$B$501,0),IFERROR(MATCH(B57&amp;"",기본자료!$B$2:$B$501,0),IFERROR(MATCH(VALUE(B57),기본자료!$B$2:$B$501,0),""))))</f>
        <v/>
      </c>
    </row>
    <row r="58">
      <c r="A58" s="8">
        <f>IF(B58="","",ROW()-1)</f>
        <v/>
      </c>
      <c r="B58" s="9" t="n"/>
      <c r="C58" s="8">
        <f>IF($W58="","",IF(INDEX(기본자료!$C$2:$C$501,$W58)="","",INDEX(기본자료!$C$2:$C$501,$W58)))</f>
        <v/>
      </c>
      <c r="D58" s="8">
        <f>IF($W58="","",IF(INDEX(기본자료!$J$2:$J$501,$W58)="","",INDEX(기본자료!$J$2:$J$501,$W58)))</f>
        <v/>
      </c>
      <c r="E58" s="10">
        <f>IF($W58="","",IF(INDEX(기본자료!$K$2:$K$501,$W58)="","",IF(NOT(ISNUMBER(INDEX(기본자료!$K$2:$K$501,$W58))),INDEX(기본자료!$K$2:$K$501,$W58),IF(INDEX(기본자료!$K$2:$K$501,$W58)&lt;1000000,INDEX(기본자료!$K$2:$K$501,$W58),IF(AND(INDEX(기본자료!$K$2:$K$501,$W58)&gt;=10000101,INT(MOD(INDEX(기본자료!$K$2:$K$501,$W58),10000)/100)&gt;=1,INT(MOD(INDEX(기본자료!$K$2:$K$501,$W58),10000)/100)&lt;=12,MOD(INDEX(기본자료!$K$2:$K$501,$W58),100)&gt;=1,MOD(INDEX(기본자료!$K$2:$K$501,$W58),100)&lt;=31),DATE(INT(INDEX(기본자료!$K$2:$K$501,$W58)/10000),INT(MOD(INDEX(기본자료!$K$2:$K$501,$W58),10000)/100),MOD(INDEX(기본자료!$K$2:$K$501,$W58),100)),INDEX(기본자료!$K$2:$K$501,$W58)&amp;"")))))</f>
        <v/>
      </c>
      <c r="F58" s="8">
        <f>IF($W58="","",IF(INDEX(기본자료!$D$2:$D$501,$W58)="","",INDEX(기본자료!$D$2:$D$501,$W58)))</f>
        <v/>
      </c>
      <c r="G58" s="8">
        <f>IF($W58="","",IF(INDEX(기본자료!$E$2:$E$501,$W58)="","",INDEX(기본자료!$E$2:$E$501,$W58)))</f>
        <v/>
      </c>
      <c r="H58" s="8">
        <f>IF($W58="","",IF(INDEX(기본자료!$F$2:$F$501,$W58)="","",INDEX(기본자료!$F$2:$F$501,$W58)))</f>
        <v/>
      </c>
      <c r="I58" s="10">
        <f>IF($W58="","",IF(INDEX(기본자료!$G$2:$G$501,$W58)="","",IF(NOT(ISNUMBER(INDEX(기본자료!$G$2:$G$501,$W58))),INDEX(기본자료!$G$2:$G$501,$W58),IF(INDEX(기본자료!$G$2:$G$501,$W58)&lt;1000000,INDEX(기본자료!$G$2:$G$501,$W58),IF(AND(INDEX(기본자료!$G$2:$G$501,$W58)&gt;=10000101,INT(MOD(INDEX(기본자료!$G$2:$G$501,$W58),10000)/100)&gt;=1,INT(MOD(INDEX(기본자료!$G$2:$G$501,$W58),10000)/100)&lt;=12,MOD(INDEX(기본자료!$G$2:$G$501,$W58),100)&gt;=1,MOD(INDEX(기본자료!$G$2:$G$501,$W58),100)&lt;=31),DATE(INT(INDEX(기본자료!$G$2:$G$501,$W58)/10000),INT(MOD(INDEX(기본자료!$G$2:$G$501,$W58),10000)/100),MOD(INDEX(기본자료!$G$2:$G$501,$W58),100)),INDEX(기본자료!$G$2:$G$501,$W58)&amp;"")))))</f>
        <v/>
      </c>
      <c r="J58" s="8">
        <f>IF($W58="","",IF(INDEX(기본자료!$H$2:$H$501,$W58)="","",INDEX(기본자료!$H$2:$H$501,$W58)))</f>
        <v/>
      </c>
      <c r="K58" s="8">
        <f>IF($W58="","",IF(INDEX(기본자료!$I$2:$I$501,$W58)="","",INDEX(기본자료!$I$2:$I$501,$W58)))</f>
        <v/>
      </c>
      <c r="L58" s="8">
        <f>IF($W58="","",IF(INDEX(기본자료!$A$2:$A$501,$W58)="","",INDEX(기본자료!$A$2:$A$501,$W58)))</f>
        <v/>
      </c>
      <c r="M58" s="5" t="n"/>
      <c r="N58" s="5" t="n"/>
      <c r="O58" s="5" t="n"/>
      <c r="P58" s="5" t="n"/>
      <c r="Q58" s="11" t="n"/>
      <c r="R58" s="11" t="n"/>
      <c r="S58" s="8">
        <f>IF(OR(B58="",Q58=""),"",IF(TODAY()&lt;Q58,"파견예정",IF(AND(R58&lt;&gt;"",TODAY()&gt;R58),"파견종료","파견중")))</f>
        <v/>
      </c>
      <c r="T58" s="12">
        <f>IF(OR(Q58="",R58=""),"",R58-Q58+1)</f>
        <v/>
      </c>
      <c r="U58" s="12">
        <f>IF(AND(S58="파견중",R58&lt;&gt;""),R58-TODAY(),"")</f>
        <v/>
      </c>
      <c r="V58" s="5" t="n"/>
      <c r="W58" s="8">
        <f>IF(B58="","",IFERROR(MATCH(B58,기본자료!$B$2:$B$501,0),IFERROR(MATCH(B58&amp;"",기본자료!$B$2:$B$501,0),IFERROR(MATCH(VALUE(B58),기본자료!$B$2:$B$501,0),""))))</f>
        <v/>
      </c>
    </row>
    <row r="59">
      <c r="A59" s="8">
        <f>IF(B59="","",ROW()-1)</f>
        <v/>
      </c>
      <c r="B59" s="9" t="n"/>
      <c r="C59" s="8">
        <f>IF($W59="","",IF(INDEX(기본자료!$C$2:$C$501,$W59)="","",INDEX(기본자료!$C$2:$C$501,$W59)))</f>
        <v/>
      </c>
      <c r="D59" s="8">
        <f>IF($W59="","",IF(INDEX(기본자료!$J$2:$J$501,$W59)="","",INDEX(기본자료!$J$2:$J$501,$W59)))</f>
        <v/>
      </c>
      <c r="E59" s="10">
        <f>IF($W59="","",IF(INDEX(기본자료!$K$2:$K$501,$W59)="","",IF(NOT(ISNUMBER(INDEX(기본자료!$K$2:$K$501,$W59))),INDEX(기본자료!$K$2:$K$501,$W59),IF(INDEX(기본자료!$K$2:$K$501,$W59)&lt;1000000,INDEX(기본자료!$K$2:$K$501,$W59),IF(AND(INDEX(기본자료!$K$2:$K$501,$W59)&gt;=10000101,INT(MOD(INDEX(기본자료!$K$2:$K$501,$W59),10000)/100)&gt;=1,INT(MOD(INDEX(기본자료!$K$2:$K$501,$W59),10000)/100)&lt;=12,MOD(INDEX(기본자료!$K$2:$K$501,$W59),100)&gt;=1,MOD(INDEX(기본자료!$K$2:$K$501,$W59),100)&lt;=31),DATE(INT(INDEX(기본자료!$K$2:$K$501,$W59)/10000),INT(MOD(INDEX(기본자료!$K$2:$K$501,$W59),10000)/100),MOD(INDEX(기본자료!$K$2:$K$501,$W59),100)),INDEX(기본자료!$K$2:$K$501,$W59)&amp;"")))))</f>
        <v/>
      </c>
      <c r="F59" s="8">
        <f>IF($W59="","",IF(INDEX(기본자료!$D$2:$D$501,$W59)="","",INDEX(기본자료!$D$2:$D$501,$W59)))</f>
        <v/>
      </c>
      <c r="G59" s="8">
        <f>IF($W59="","",IF(INDEX(기본자료!$E$2:$E$501,$W59)="","",INDEX(기본자료!$E$2:$E$501,$W59)))</f>
        <v/>
      </c>
      <c r="H59" s="8">
        <f>IF($W59="","",IF(INDEX(기본자료!$F$2:$F$501,$W59)="","",INDEX(기본자료!$F$2:$F$501,$W59)))</f>
        <v/>
      </c>
      <c r="I59" s="10">
        <f>IF($W59="","",IF(INDEX(기본자료!$G$2:$G$501,$W59)="","",IF(NOT(ISNUMBER(INDEX(기본자료!$G$2:$G$501,$W59))),INDEX(기본자료!$G$2:$G$501,$W59),IF(INDEX(기본자료!$G$2:$G$501,$W59)&lt;1000000,INDEX(기본자료!$G$2:$G$501,$W59),IF(AND(INDEX(기본자료!$G$2:$G$501,$W59)&gt;=10000101,INT(MOD(INDEX(기본자료!$G$2:$G$501,$W59),10000)/100)&gt;=1,INT(MOD(INDEX(기본자료!$G$2:$G$501,$W59),10000)/100)&lt;=12,MOD(INDEX(기본자료!$G$2:$G$501,$W59),100)&gt;=1,MOD(INDEX(기본자료!$G$2:$G$501,$W59),100)&lt;=31),DATE(INT(INDEX(기본자료!$G$2:$G$501,$W59)/10000),INT(MOD(INDEX(기본자료!$G$2:$G$501,$W59),10000)/100),MOD(INDEX(기본자료!$G$2:$G$501,$W59),100)),INDEX(기본자료!$G$2:$G$501,$W59)&amp;"")))))</f>
        <v/>
      </c>
      <c r="J59" s="8">
        <f>IF($W59="","",IF(INDEX(기본자료!$H$2:$H$501,$W59)="","",INDEX(기본자료!$H$2:$H$501,$W59)))</f>
        <v/>
      </c>
      <c r="K59" s="8">
        <f>IF($W59="","",IF(INDEX(기본자료!$I$2:$I$501,$W59)="","",INDEX(기본자료!$I$2:$I$501,$W59)))</f>
        <v/>
      </c>
      <c r="L59" s="8">
        <f>IF($W59="","",IF(INDEX(기본자료!$A$2:$A$501,$W59)="","",INDEX(기본자료!$A$2:$A$501,$W59)))</f>
        <v/>
      </c>
      <c r="M59" s="5" t="n"/>
      <c r="N59" s="5" t="n"/>
      <c r="O59" s="5" t="n"/>
      <c r="P59" s="5" t="n"/>
      <c r="Q59" s="11" t="n"/>
      <c r="R59" s="11" t="n"/>
      <c r="S59" s="8">
        <f>IF(OR(B59="",Q59=""),"",IF(TODAY()&lt;Q59,"파견예정",IF(AND(R59&lt;&gt;"",TODAY()&gt;R59),"파견종료","파견중")))</f>
        <v/>
      </c>
      <c r="T59" s="12">
        <f>IF(OR(Q59="",R59=""),"",R59-Q59+1)</f>
        <v/>
      </c>
      <c r="U59" s="12">
        <f>IF(AND(S59="파견중",R59&lt;&gt;""),R59-TODAY(),"")</f>
        <v/>
      </c>
      <c r="V59" s="5" t="n"/>
      <c r="W59" s="8">
        <f>IF(B59="","",IFERROR(MATCH(B59,기본자료!$B$2:$B$501,0),IFERROR(MATCH(B59&amp;"",기본자료!$B$2:$B$501,0),IFERROR(MATCH(VALUE(B59),기본자료!$B$2:$B$501,0),""))))</f>
        <v/>
      </c>
    </row>
    <row r="60">
      <c r="A60" s="8">
        <f>IF(B60="","",ROW()-1)</f>
        <v/>
      </c>
      <c r="B60" s="9" t="n"/>
      <c r="C60" s="8">
        <f>IF($W60="","",IF(INDEX(기본자료!$C$2:$C$501,$W60)="","",INDEX(기본자료!$C$2:$C$501,$W60)))</f>
        <v/>
      </c>
      <c r="D60" s="8">
        <f>IF($W60="","",IF(INDEX(기본자료!$J$2:$J$501,$W60)="","",INDEX(기본자료!$J$2:$J$501,$W60)))</f>
        <v/>
      </c>
      <c r="E60" s="10">
        <f>IF($W60="","",IF(INDEX(기본자료!$K$2:$K$501,$W60)="","",IF(NOT(ISNUMBER(INDEX(기본자료!$K$2:$K$501,$W60))),INDEX(기본자료!$K$2:$K$501,$W60),IF(INDEX(기본자료!$K$2:$K$501,$W60)&lt;1000000,INDEX(기본자료!$K$2:$K$501,$W60),IF(AND(INDEX(기본자료!$K$2:$K$501,$W60)&gt;=10000101,INT(MOD(INDEX(기본자료!$K$2:$K$501,$W60),10000)/100)&gt;=1,INT(MOD(INDEX(기본자료!$K$2:$K$501,$W60),10000)/100)&lt;=12,MOD(INDEX(기본자료!$K$2:$K$501,$W60),100)&gt;=1,MOD(INDEX(기본자료!$K$2:$K$501,$W60),100)&lt;=31),DATE(INT(INDEX(기본자료!$K$2:$K$501,$W60)/10000),INT(MOD(INDEX(기본자료!$K$2:$K$501,$W60),10000)/100),MOD(INDEX(기본자료!$K$2:$K$501,$W60),100)),INDEX(기본자료!$K$2:$K$501,$W60)&amp;"")))))</f>
        <v/>
      </c>
      <c r="F60" s="8">
        <f>IF($W60="","",IF(INDEX(기본자료!$D$2:$D$501,$W60)="","",INDEX(기본자료!$D$2:$D$501,$W60)))</f>
        <v/>
      </c>
      <c r="G60" s="8">
        <f>IF($W60="","",IF(INDEX(기본자료!$E$2:$E$501,$W60)="","",INDEX(기본자료!$E$2:$E$501,$W60)))</f>
        <v/>
      </c>
      <c r="H60" s="8">
        <f>IF($W60="","",IF(INDEX(기본자료!$F$2:$F$501,$W60)="","",INDEX(기본자료!$F$2:$F$501,$W60)))</f>
        <v/>
      </c>
      <c r="I60" s="10">
        <f>IF($W60="","",IF(INDEX(기본자료!$G$2:$G$501,$W60)="","",IF(NOT(ISNUMBER(INDEX(기본자료!$G$2:$G$501,$W60))),INDEX(기본자료!$G$2:$G$501,$W60),IF(INDEX(기본자료!$G$2:$G$501,$W60)&lt;1000000,INDEX(기본자료!$G$2:$G$501,$W60),IF(AND(INDEX(기본자료!$G$2:$G$501,$W60)&gt;=10000101,INT(MOD(INDEX(기본자료!$G$2:$G$501,$W60),10000)/100)&gt;=1,INT(MOD(INDEX(기본자료!$G$2:$G$501,$W60),10000)/100)&lt;=12,MOD(INDEX(기본자료!$G$2:$G$501,$W60),100)&gt;=1,MOD(INDEX(기본자료!$G$2:$G$501,$W60),100)&lt;=31),DATE(INT(INDEX(기본자료!$G$2:$G$501,$W60)/10000),INT(MOD(INDEX(기본자료!$G$2:$G$501,$W60),10000)/100),MOD(INDEX(기본자료!$G$2:$G$501,$W60),100)),INDEX(기본자료!$G$2:$G$501,$W60)&amp;"")))))</f>
        <v/>
      </c>
      <c r="J60" s="8">
        <f>IF($W60="","",IF(INDEX(기본자료!$H$2:$H$501,$W60)="","",INDEX(기본자료!$H$2:$H$501,$W60)))</f>
        <v/>
      </c>
      <c r="K60" s="8">
        <f>IF($W60="","",IF(INDEX(기본자료!$I$2:$I$501,$W60)="","",INDEX(기본자료!$I$2:$I$501,$W60)))</f>
        <v/>
      </c>
      <c r="L60" s="8">
        <f>IF($W60="","",IF(INDEX(기본자료!$A$2:$A$501,$W60)="","",INDEX(기본자료!$A$2:$A$501,$W60)))</f>
        <v/>
      </c>
      <c r="M60" s="5" t="n"/>
      <c r="N60" s="5" t="n"/>
      <c r="O60" s="5" t="n"/>
      <c r="P60" s="5" t="n"/>
      <c r="Q60" s="11" t="n"/>
      <c r="R60" s="11" t="n"/>
      <c r="S60" s="8">
        <f>IF(OR(B60="",Q60=""),"",IF(TODAY()&lt;Q60,"파견예정",IF(AND(R60&lt;&gt;"",TODAY()&gt;R60),"파견종료","파견중")))</f>
        <v/>
      </c>
      <c r="T60" s="12">
        <f>IF(OR(Q60="",R60=""),"",R60-Q60+1)</f>
        <v/>
      </c>
      <c r="U60" s="12">
        <f>IF(AND(S60="파견중",R60&lt;&gt;""),R60-TODAY(),"")</f>
        <v/>
      </c>
      <c r="V60" s="5" t="n"/>
      <c r="W60" s="8">
        <f>IF(B60="","",IFERROR(MATCH(B60,기본자료!$B$2:$B$501,0),IFERROR(MATCH(B60&amp;"",기본자료!$B$2:$B$501,0),IFERROR(MATCH(VALUE(B60),기본자료!$B$2:$B$501,0),""))))</f>
        <v/>
      </c>
    </row>
    <row r="61">
      <c r="A61" s="8">
        <f>IF(B61="","",ROW()-1)</f>
        <v/>
      </c>
      <c r="B61" s="9" t="n"/>
      <c r="C61" s="8">
        <f>IF($W61="","",IF(INDEX(기본자료!$C$2:$C$501,$W61)="","",INDEX(기본자료!$C$2:$C$501,$W61)))</f>
        <v/>
      </c>
      <c r="D61" s="8">
        <f>IF($W61="","",IF(INDEX(기본자료!$J$2:$J$501,$W61)="","",INDEX(기본자료!$J$2:$J$501,$W61)))</f>
        <v/>
      </c>
      <c r="E61" s="10">
        <f>IF($W61="","",IF(INDEX(기본자료!$K$2:$K$501,$W61)="","",IF(NOT(ISNUMBER(INDEX(기본자료!$K$2:$K$501,$W61))),INDEX(기본자료!$K$2:$K$501,$W61),IF(INDEX(기본자료!$K$2:$K$501,$W61)&lt;1000000,INDEX(기본자료!$K$2:$K$501,$W61),IF(AND(INDEX(기본자료!$K$2:$K$501,$W61)&gt;=10000101,INT(MOD(INDEX(기본자료!$K$2:$K$501,$W61),10000)/100)&gt;=1,INT(MOD(INDEX(기본자료!$K$2:$K$501,$W61),10000)/100)&lt;=12,MOD(INDEX(기본자료!$K$2:$K$501,$W61),100)&gt;=1,MOD(INDEX(기본자료!$K$2:$K$501,$W61),100)&lt;=31),DATE(INT(INDEX(기본자료!$K$2:$K$501,$W61)/10000),INT(MOD(INDEX(기본자료!$K$2:$K$501,$W61),10000)/100),MOD(INDEX(기본자료!$K$2:$K$501,$W61),100)),INDEX(기본자료!$K$2:$K$501,$W61)&amp;"")))))</f>
        <v/>
      </c>
      <c r="F61" s="8">
        <f>IF($W61="","",IF(INDEX(기본자료!$D$2:$D$501,$W61)="","",INDEX(기본자료!$D$2:$D$501,$W61)))</f>
        <v/>
      </c>
      <c r="G61" s="8">
        <f>IF($W61="","",IF(INDEX(기본자료!$E$2:$E$501,$W61)="","",INDEX(기본자료!$E$2:$E$501,$W61)))</f>
        <v/>
      </c>
      <c r="H61" s="8">
        <f>IF($W61="","",IF(INDEX(기본자료!$F$2:$F$501,$W61)="","",INDEX(기본자료!$F$2:$F$501,$W61)))</f>
        <v/>
      </c>
      <c r="I61" s="10">
        <f>IF($W61="","",IF(INDEX(기본자료!$G$2:$G$501,$W61)="","",IF(NOT(ISNUMBER(INDEX(기본자료!$G$2:$G$501,$W61))),INDEX(기본자료!$G$2:$G$501,$W61),IF(INDEX(기본자료!$G$2:$G$501,$W61)&lt;1000000,INDEX(기본자료!$G$2:$G$501,$W61),IF(AND(INDEX(기본자료!$G$2:$G$501,$W61)&gt;=10000101,INT(MOD(INDEX(기본자료!$G$2:$G$501,$W61),10000)/100)&gt;=1,INT(MOD(INDEX(기본자료!$G$2:$G$501,$W61),10000)/100)&lt;=12,MOD(INDEX(기본자료!$G$2:$G$501,$W61),100)&gt;=1,MOD(INDEX(기본자료!$G$2:$G$501,$W61),100)&lt;=31),DATE(INT(INDEX(기본자료!$G$2:$G$501,$W61)/10000),INT(MOD(INDEX(기본자료!$G$2:$G$501,$W61),10000)/100),MOD(INDEX(기본자료!$G$2:$G$501,$W61),100)),INDEX(기본자료!$G$2:$G$501,$W61)&amp;"")))))</f>
        <v/>
      </c>
      <c r="J61" s="8">
        <f>IF($W61="","",IF(INDEX(기본자료!$H$2:$H$501,$W61)="","",INDEX(기본자료!$H$2:$H$501,$W61)))</f>
        <v/>
      </c>
      <c r="K61" s="8">
        <f>IF($W61="","",IF(INDEX(기본자료!$I$2:$I$501,$W61)="","",INDEX(기본자료!$I$2:$I$501,$W61)))</f>
        <v/>
      </c>
      <c r="L61" s="8">
        <f>IF($W61="","",IF(INDEX(기본자료!$A$2:$A$501,$W61)="","",INDEX(기본자료!$A$2:$A$501,$W61)))</f>
        <v/>
      </c>
      <c r="M61" s="5" t="n"/>
      <c r="N61" s="5" t="n"/>
      <c r="O61" s="5" t="n"/>
      <c r="P61" s="5" t="n"/>
      <c r="Q61" s="11" t="n"/>
      <c r="R61" s="11" t="n"/>
      <c r="S61" s="8">
        <f>IF(OR(B61="",Q61=""),"",IF(TODAY()&lt;Q61,"파견예정",IF(AND(R61&lt;&gt;"",TODAY()&gt;R61),"파견종료","파견중")))</f>
        <v/>
      </c>
      <c r="T61" s="12">
        <f>IF(OR(Q61="",R61=""),"",R61-Q61+1)</f>
        <v/>
      </c>
      <c r="U61" s="12">
        <f>IF(AND(S61="파견중",R61&lt;&gt;""),R61-TODAY(),"")</f>
        <v/>
      </c>
      <c r="V61" s="5" t="n"/>
      <c r="W61" s="8">
        <f>IF(B61="","",IFERROR(MATCH(B61,기본자료!$B$2:$B$501,0),IFERROR(MATCH(B61&amp;"",기본자료!$B$2:$B$501,0),IFERROR(MATCH(VALUE(B61),기본자료!$B$2:$B$501,0),""))))</f>
        <v/>
      </c>
    </row>
    <row r="62">
      <c r="A62" s="8">
        <f>IF(B62="","",ROW()-1)</f>
        <v/>
      </c>
      <c r="B62" s="9" t="n"/>
      <c r="C62" s="8">
        <f>IF($W62="","",IF(INDEX(기본자료!$C$2:$C$501,$W62)="","",INDEX(기본자료!$C$2:$C$501,$W62)))</f>
        <v/>
      </c>
      <c r="D62" s="8">
        <f>IF($W62="","",IF(INDEX(기본자료!$J$2:$J$501,$W62)="","",INDEX(기본자료!$J$2:$J$501,$W62)))</f>
        <v/>
      </c>
      <c r="E62" s="10">
        <f>IF($W62="","",IF(INDEX(기본자료!$K$2:$K$501,$W62)="","",IF(NOT(ISNUMBER(INDEX(기본자료!$K$2:$K$501,$W62))),INDEX(기본자료!$K$2:$K$501,$W62),IF(INDEX(기본자료!$K$2:$K$501,$W62)&lt;1000000,INDEX(기본자료!$K$2:$K$501,$W62),IF(AND(INDEX(기본자료!$K$2:$K$501,$W62)&gt;=10000101,INT(MOD(INDEX(기본자료!$K$2:$K$501,$W62),10000)/100)&gt;=1,INT(MOD(INDEX(기본자료!$K$2:$K$501,$W62),10000)/100)&lt;=12,MOD(INDEX(기본자료!$K$2:$K$501,$W62),100)&gt;=1,MOD(INDEX(기본자료!$K$2:$K$501,$W62),100)&lt;=31),DATE(INT(INDEX(기본자료!$K$2:$K$501,$W62)/10000),INT(MOD(INDEX(기본자료!$K$2:$K$501,$W62),10000)/100),MOD(INDEX(기본자료!$K$2:$K$501,$W62),100)),INDEX(기본자료!$K$2:$K$501,$W62)&amp;"")))))</f>
        <v/>
      </c>
      <c r="F62" s="8">
        <f>IF($W62="","",IF(INDEX(기본자료!$D$2:$D$501,$W62)="","",INDEX(기본자료!$D$2:$D$501,$W62)))</f>
        <v/>
      </c>
      <c r="G62" s="8">
        <f>IF($W62="","",IF(INDEX(기본자료!$E$2:$E$501,$W62)="","",INDEX(기본자료!$E$2:$E$501,$W62)))</f>
        <v/>
      </c>
      <c r="H62" s="8">
        <f>IF($W62="","",IF(INDEX(기본자료!$F$2:$F$501,$W62)="","",INDEX(기본자료!$F$2:$F$501,$W62)))</f>
        <v/>
      </c>
      <c r="I62" s="10">
        <f>IF($W62="","",IF(INDEX(기본자료!$G$2:$G$501,$W62)="","",IF(NOT(ISNUMBER(INDEX(기본자료!$G$2:$G$501,$W62))),INDEX(기본자료!$G$2:$G$501,$W62),IF(INDEX(기본자료!$G$2:$G$501,$W62)&lt;1000000,INDEX(기본자료!$G$2:$G$501,$W62),IF(AND(INDEX(기본자료!$G$2:$G$501,$W62)&gt;=10000101,INT(MOD(INDEX(기본자료!$G$2:$G$501,$W62),10000)/100)&gt;=1,INT(MOD(INDEX(기본자료!$G$2:$G$501,$W62),10000)/100)&lt;=12,MOD(INDEX(기본자료!$G$2:$G$501,$W62),100)&gt;=1,MOD(INDEX(기본자료!$G$2:$G$501,$W62),100)&lt;=31),DATE(INT(INDEX(기본자료!$G$2:$G$501,$W62)/10000),INT(MOD(INDEX(기본자료!$G$2:$G$501,$W62),10000)/100),MOD(INDEX(기본자료!$G$2:$G$501,$W62),100)),INDEX(기본자료!$G$2:$G$501,$W62)&amp;"")))))</f>
        <v/>
      </c>
      <c r="J62" s="8">
        <f>IF($W62="","",IF(INDEX(기본자료!$H$2:$H$501,$W62)="","",INDEX(기본자료!$H$2:$H$501,$W62)))</f>
        <v/>
      </c>
      <c r="K62" s="8">
        <f>IF($W62="","",IF(INDEX(기본자료!$I$2:$I$501,$W62)="","",INDEX(기본자료!$I$2:$I$501,$W62)))</f>
        <v/>
      </c>
      <c r="L62" s="8">
        <f>IF($W62="","",IF(INDEX(기본자료!$A$2:$A$501,$W62)="","",INDEX(기본자료!$A$2:$A$501,$W62)))</f>
        <v/>
      </c>
      <c r="M62" s="5" t="n"/>
      <c r="N62" s="5" t="n"/>
      <c r="O62" s="5" t="n"/>
      <c r="P62" s="5" t="n"/>
      <c r="Q62" s="11" t="n"/>
      <c r="R62" s="11" t="n"/>
      <c r="S62" s="8">
        <f>IF(OR(B62="",Q62=""),"",IF(TODAY()&lt;Q62,"파견예정",IF(AND(R62&lt;&gt;"",TODAY()&gt;R62),"파견종료","파견중")))</f>
        <v/>
      </c>
      <c r="T62" s="12">
        <f>IF(OR(Q62="",R62=""),"",R62-Q62+1)</f>
        <v/>
      </c>
      <c r="U62" s="12">
        <f>IF(AND(S62="파견중",R62&lt;&gt;""),R62-TODAY(),"")</f>
        <v/>
      </c>
      <c r="V62" s="5" t="n"/>
      <c r="W62" s="8">
        <f>IF(B62="","",IFERROR(MATCH(B62,기본자료!$B$2:$B$501,0),IFERROR(MATCH(B62&amp;"",기본자료!$B$2:$B$501,0),IFERROR(MATCH(VALUE(B62),기본자료!$B$2:$B$501,0),""))))</f>
        <v/>
      </c>
    </row>
    <row r="63">
      <c r="A63" s="8">
        <f>IF(B63="","",ROW()-1)</f>
        <v/>
      </c>
      <c r="B63" s="9" t="n"/>
      <c r="C63" s="8">
        <f>IF($W63="","",IF(INDEX(기본자료!$C$2:$C$501,$W63)="","",INDEX(기본자료!$C$2:$C$501,$W63)))</f>
        <v/>
      </c>
      <c r="D63" s="8">
        <f>IF($W63="","",IF(INDEX(기본자료!$J$2:$J$501,$W63)="","",INDEX(기본자료!$J$2:$J$501,$W63)))</f>
        <v/>
      </c>
      <c r="E63" s="10">
        <f>IF($W63="","",IF(INDEX(기본자료!$K$2:$K$501,$W63)="","",IF(NOT(ISNUMBER(INDEX(기본자료!$K$2:$K$501,$W63))),INDEX(기본자료!$K$2:$K$501,$W63),IF(INDEX(기본자료!$K$2:$K$501,$W63)&lt;1000000,INDEX(기본자료!$K$2:$K$501,$W63),IF(AND(INDEX(기본자료!$K$2:$K$501,$W63)&gt;=10000101,INT(MOD(INDEX(기본자료!$K$2:$K$501,$W63),10000)/100)&gt;=1,INT(MOD(INDEX(기본자료!$K$2:$K$501,$W63),10000)/100)&lt;=12,MOD(INDEX(기본자료!$K$2:$K$501,$W63),100)&gt;=1,MOD(INDEX(기본자료!$K$2:$K$501,$W63),100)&lt;=31),DATE(INT(INDEX(기본자료!$K$2:$K$501,$W63)/10000),INT(MOD(INDEX(기본자료!$K$2:$K$501,$W63),10000)/100),MOD(INDEX(기본자료!$K$2:$K$501,$W63),100)),INDEX(기본자료!$K$2:$K$501,$W63)&amp;"")))))</f>
        <v/>
      </c>
      <c r="F63" s="8">
        <f>IF($W63="","",IF(INDEX(기본자료!$D$2:$D$501,$W63)="","",INDEX(기본자료!$D$2:$D$501,$W63)))</f>
        <v/>
      </c>
      <c r="G63" s="8">
        <f>IF($W63="","",IF(INDEX(기본자료!$E$2:$E$501,$W63)="","",INDEX(기본자료!$E$2:$E$501,$W63)))</f>
        <v/>
      </c>
      <c r="H63" s="8">
        <f>IF($W63="","",IF(INDEX(기본자료!$F$2:$F$501,$W63)="","",INDEX(기본자료!$F$2:$F$501,$W63)))</f>
        <v/>
      </c>
      <c r="I63" s="10">
        <f>IF($W63="","",IF(INDEX(기본자료!$G$2:$G$501,$W63)="","",IF(NOT(ISNUMBER(INDEX(기본자료!$G$2:$G$501,$W63))),INDEX(기본자료!$G$2:$G$501,$W63),IF(INDEX(기본자료!$G$2:$G$501,$W63)&lt;1000000,INDEX(기본자료!$G$2:$G$501,$W63),IF(AND(INDEX(기본자료!$G$2:$G$501,$W63)&gt;=10000101,INT(MOD(INDEX(기본자료!$G$2:$G$501,$W63),10000)/100)&gt;=1,INT(MOD(INDEX(기본자료!$G$2:$G$501,$W63),10000)/100)&lt;=12,MOD(INDEX(기본자료!$G$2:$G$501,$W63),100)&gt;=1,MOD(INDEX(기본자료!$G$2:$G$501,$W63),100)&lt;=31),DATE(INT(INDEX(기본자료!$G$2:$G$501,$W63)/10000),INT(MOD(INDEX(기본자료!$G$2:$G$501,$W63),10000)/100),MOD(INDEX(기본자료!$G$2:$G$501,$W63),100)),INDEX(기본자료!$G$2:$G$501,$W63)&amp;"")))))</f>
        <v/>
      </c>
      <c r="J63" s="8">
        <f>IF($W63="","",IF(INDEX(기본자료!$H$2:$H$501,$W63)="","",INDEX(기본자료!$H$2:$H$501,$W63)))</f>
        <v/>
      </c>
      <c r="K63" s="8">
        <f>IF($W63="","",IF(INDEX(기본자료!$I$2:$I$501,$W63)="","",INDEX(기본자료!$I$2:$I$501,$W63)))</f>
        <v/>
      </c>
      <c r="L63" s="8">
        <f>IF($W63="","",IF(INDEX(기본자료!$A$2:$A$501,$W63)="","",INDEX(기본자료!$A$2:$A$501,$W63)))</f>
        <v/>
      </c>
      <c r="M63" s="5" t="n"/>
      <c r="N63" s="5" t="n"/>
      <c r="O63" s="5" t="n"/>
      <c r="P63" s="5" t="n"/>
      <c r="Q63" s="11" t="n"/>
      <c r="R63" s="11" t="n"/>
      <c r="S63" s="8">
        <f>IF(OR(B63="",Q63=""),"",IF(TODAY()&lt;Q63,"파견예정",IF(AND(R63&lt;&gt;"",TODAY()&gt;R63),"파견종료","파견중")))</f>
        <v/>
      </c>
      <c r="T63" s="12">
        <f>IF(OR(Q63="",R63=""),"",R63-Q63+1)</f>
        <v/>
      </c>
      <c r="U63" s="12">
        <f>IF(AND(S63="파견중",R63&lt;&gt;""),R63-TODAY(),"")</f>
        <v/>
      </c>
      <c r="V63" s="5" t="n"/>
      <c r="W63" s="8">
        <f>IF(B63="","",IFERROR(MATCH(B63,기본자료!$B$2:$B$501,0),IFERROR(MATCH(B63&amp;"",기본자료!$B$2:$B$501,0),IFERROR(MATCH(VALUE(B63),기본자료!$B$2:$B$501,0),""))))</f>
        <v/>
      </c>
    </row>
    <row r="64">
      <c r="A64" s="8">
        <f>IF(B64="","",ROW()-1)</f>
        <v/>
      </c>
      <c r="B64" s="9" t="n"/>
      <c r="C64" s="8">
        <f>IF($W64="","",IF(INDEX(기본자료!$C$2:$C$501,$W64)="","",INDEX(기본자료!$C$2:$C$501,$W64)))</f>
        <v/>
      </c>
      <c r="D64" s="8">
        <f>IF($W64="","",IF(INDEX(기본자료!$J$2:$J$501,$W64)="","",INDEX(기본자료!$J$2:$J$501,$W64)))</f>
        <v/>
      </c>
      <c r="E64" s="10">
        <f>IF($W64="","",IF(INDEX(기본자료!$K$2:$K$501,$W64)="","",IF(NOT(ISNUMBER(INDEX(기본자료!$K$2:$K$501,$W64))),INDEX(기본자료!$K$2:$K$501,$W64),IF(INDEX(기본자료!$K$2:$K$501,$W64)&lt;1000000,INDEX(기본자료!$K$2:$K$501,$W64),IF(AND(INDEX(기본자료!$K$2:$K$501,$W64)&gt;=10000101,INT(MOD(INDEX(기본자료!$K$2:$K$501,$W64),10000)/100)&gt;=1,INT(MOD(INDEX(기본자료!$K$2:$K$501,$W64),10000)/100)&lt;=12,MOD(INDEX(기본자료!$K$2:$K$501,$W64),100)&gt;=1,MOD(INDEX(기본자료!$K$2:$K$501,$W64),100)&lt;=31),DATE(INT(INDEX(기본자료!$K$2:$K$501,$W64)/10000),INT(MOD(INDEX(기본자료!$K$2:$K$501,$W64),10000)/100),MOD(INDEX(기본자료!$K$2:$K$501,$W64),100)),INDEX(기본자료!$K$2:$K$501,$W64)&amp;"")))))</f>
        <v/>
      </c>
      <c r="F64" s="8">
        <f>IF($W64="","",IF(INDEX(기본자료!$D$2:$D$501,$W64)="","",INDEX(기본자료!$D$2:$D$501,$W64)))</f>
        <v/>
      </c>
      <c r="G64" s="8">
        <f>IF($W64="","",IF(INDEX(기본자료!$E$2:$E$501,$W64)="","",INDEX(기본자료!$E$2:$E$501,$W64)))</f>
        <v/>
      </c>
      <c r="H64" s="8">
        <f>IF($W64="","",IF(INDEX(기본자료!$F$2:$F$501,$W64)="","",INDEX(기본자료!$F$2:$F$501,$W64)))</f>
        <v/>
      </c>
      <c r="I64" s="10">
        <f>IF($W64="","",IF(INDEX(기본자료!$G$2:$G$501,$W64)="","",IF(NOT(ISNUMBER(INDEX(기본자료!$G$2:$G$501,$W64))),INDEX(기본자료!$G$2:$G$501,$W64),IF(INDEX(기본자료!$G$2:$G$501,$W64)&lt;1000000,INDEX(기본자료!$G$2:$G$501,$W64),IF(AND(INDEX(기본자료!$G$2:$G$501,$W64)&gt;=10000101,INT(MOD(INDEX(기본자료!$G$2:$G$501,$W64),10000)/100)&gt;=1,INT(MOD(INDEX(기본자료!$G$2:$G$501,$W64),10000)/100)&lt;=12,MOD(INDEX(기본자료!$G$2:$G$501,$W64),100)&gt;=1,MOD(INDEX(기본자료!$G$2:$G$501,$W64),100)&lt;=31),DATE(INT(INDEX(기본자료!$G$2:$G$501,$W64)/10000),INT(MOD(INDEX(기본자료!$G$2:$G$501,$W64),10000)/100),MOD(INDEX(기본자료!$G$2:$G$501,$W64),100)),INDEX(기본자료!$G$2:$G$501,$W64)&amp;"")))))</f>
        <v/>
      </c>
      <c r="J64" s="8">
        <f>IF($W64="","",IF(INDEX(기본자료!$H$2:$H$501,$W64)="","",INDEX(기본자료!$H$2:$H$501,$W64)))</f>
        <v/>
      </c>
      <c r="K64" s="8">
        <f>IF($W64="","",IF(INDEX(기본자료!$I$2:$I$501,$W64)="","",INDEX(기본자료!$I$2:$I$501,$W64)))</f>
        <v/>
      </c>
      <c r="L64" s="8">
        <f>IF($W64="","",IF(INDEX(기본자료!$A$2:$A$501,$W64)="","",INDEX(기본자료!$A$2:$A$501,$W64)))</f>
        <v/>
      </c>
      <c r="M64" s="5" t="n"/>
      <c r="N64" s="5" t="n"/>
      <c r="O64" s="5" t="n"/>
      <c r="P64" s="5" t="n"/>
      <c r="Q64" s="11" t="n"/>
      <c r="R64" s="11" t="n"/>
      <c r="S64" s="8">
        <f>IF(OR(B64="",Q64=""),"",IF(TODAY()&lt;Q64,"파견예정",IF(AND(R64&lt;&gt;"",TODAY()&gt;R64),"파견종료","파견중")))</f>
        <v/>
      </c>
      <c r="T64" s="12">
        <f>IF(OR(Q64="",R64=""),"",R64-Q64+1)</f>
        <v/>
      </c>
      <c r="U64" s="12">
        <f>IF(AND(S64="파견중",R64&lt;&gt;""),R64-TODAY(),"")</f>
        <v/>
      </c>
      <c r="V64" s="5" t="n"/>
      <c r="W64" s="8">
        <f>IF(B64="","",IFERROR(MATCH(B64,기본자료!$B$2:$B$501,0),IFERROR(MATCH(B64&amp;"",기본자료!$B$2:$B$501,0),IFERROR(MATCH(VALUE(B64),기본자료!$B$2:$B$501,0),""))))</f>
        <v/>
      </c>
    </row>
    <row r="65">
      <c r="A65" s="8">
        <f>IF(B65="","",ROW()-1)</f>
        <v/>
      </c>
      <c r="B65" s="9" t="n"/>
      <c r="C65" s="8">
        <f>IF($W65="","",IF(INDEX(기본자료!$C$2:$C$501,$W65)="","",INDEX(기본자료!$C$2:$C$501,$W65)))</f>
        <v/>
      </c>
      <c r="D65" s="8">
        <f>IF($W65="","",IF(INDEX(기본자료!$J$2:$J$501,$W65)="","",INDEX(기본자료!$J$2:$J$501,$W65)))</f>
        <v/>
      </c>
      <c r="E65" s="10">
        <f>IF($W65="","",IF(INDEX(기본자료!$K$2:$K$501,$W65)="","",IF(NOT(ISNUMBER(INDEX(기본자료!$K$2:$K$501,$W65))),INDEX(기본자료!$K$2:$K$501,$W65),IF(INDEX(기본자료!$K$2:$K$501,$W65)&lt;1000000,INDEX(기본자료!$K$2:$K$501,$W65),IF(AND(INDEX(기본자료!$K$2:$K$501,$W65)&gt;=10000101,INT(MOD(INDEX(기본자료!$K$2:$K$501,$W65),10000)/100)&gt;=1,INT(MOD(INDEX(기본자료!$K$2:$K$501,$W65),10000)/100)&lt;=12,MOD(INDEX(기본자료!$K$2:$K$501,$W65),100)&gt;=1,MOD(INDEX(기본자료!$K$2:$K$501,$W65),100)&lt;=31),DATE(INT(INDEX(기본자료!$K$2:$K$501,$W65)/10000),INT(MOD(INDEX(기본자료!$K$2:$K$501,$W65),10000)/100),MOD(INDEX(기본자료!$K$2:$K$501,$W65),100)),INDEX(기본자료!$K$2:$K$501,$W65)&amp;"")))))</f>
        <v/>
      </c>
      <c r="F65" s="8">
        <f>IF($W65="","",IF(INDEX(기본자료!$D$2:$D$501,$W65)="","",INDEX(기본자료!$D$2:$D$501,$W65)))</f>
        <v/>
      </c>
      <c r="G65" s="8">
        <f>IF($W65="","",IF(INDEX(기본자료!$E$2:$E$501,$W65)="","",INDEX(기본자료!$E$2:$E$501,$W65)))</f>
        <v/>
      </c>
      <c r="H65" s="8">
        <f>IF($W65="","",IF(INDEX(기본자료!$F$2:$F$501,$W65)="","",INDEX(기본자료!$F$2:$F$501,$W65)))</f>
        <v/>
      </c>
      <c r="I65" s="10">
        <f>IF($W65="","",IF(INDEX(기본자료!$G$2:$G$501,$W65)="","",IF(NOT(ISNUMBER(INDEX(기본자료!$G$2:$G$501,$W65))),INDEX(기본자료!$G$2:$G$501,$W65),IF(INDEX(기본자료!$G$2:$G$501,$W65)&lt;1000000,INDEX(기본자료!$G$2:$G$501,$W65),IF(AND(INDEX(기본자료!$G$2:$G$501,$W65)&gt;=10000101,INT(MOD(INDEX(기본자료!$G$2:$G$501,$W65),10000)/100)&gt;=1,INT(MOD(INDEX(기본자료!$G$2:$G$501,$W65),10000)/100)&lt;=12,MOD(INDEX(기본자료!$G$2:$G$501,$W65),100)&gt;=1,MOD(INDEX(기본자료!$G$2:$G$501,$W65),100)&lt;=31),DATE(INT(INDEX(기본자료!$G$2:$G$501,$W65)/10000),INT(MOD(INDEX(기본자료!$G$2:$G$501,$W65),10000)/100),MOD(INDEX(기본자료!$G$2:$G$501,$W65),100)),INDEX(기본자료!$G$2:$G$501,$W65)&amp;"")))))</f>
        <v/>
      </c>
      <c r="J65" s="8">
        <f>IF($W65="","",IF(INDEX(기본자료!$H$2:$H$501,$W65)="","",INDEX(기본자료!$H$2:$H$501,$W65)))</f>
        <v/>
      </c>
      <c r="K65" s="8">
        <f>IF($W65="","",IF(INDEX(기본자료!$I$2:$I$501,$W65)="","",INDEX(기본자료!$I$2:$I$501,$W65)))</f>
        <v/>
      </c>
      <c r="L65" s="8">
        <f>IF($W65="","",IF(INDEX(기본자료!$A$2:$A$501,$W65)="","",INDEX(기본자료!$A$2:$A$501,$W65)))</f>
        <v/>
      </c>
      <c r="M65" s="5" t="n"/>
      <c r="N65" s="5" t="n"/>
      <c r="O65" s="5" t="n"/>
      <c r="P65" s="5" t="n"/>
      <c r="Q65" s="11" t="n"/>
      <c r="R65" s="11" t="n"/>
      <c r="S65" s="8">
        <f>IF(OR(B65="",Q65=""),"",IF(TODAY()&lt;Q65,"파견예정",IF(AND(R65&lt;&gt;"",TODAY()&gt;R65),"파견종료","파견중")))</f>
        <v/>
      </c>
      <c r="T65" s="12">
        <f>IF(OR(Q65="",R65=""),"",R65-Q65+1)</f>
        <v/>
      </c>
      <c r="U65" s="12">
        <f>IF(AND(S65="파견중",R65&lt;&gt;""),R65-TODAY(),"")</f>
        <v/>
      </c>
      <c r="V65" s="5" t="n"/>
      <c r="W65" s="8">
        <f>IF(B65="","",IFERROR(MATCH(B65,기본자료!$B$2:$B$501,0),IFERROR(MATCH(B65&amp;"",기본자료!$B$2:$B$501,0),IFERROR(MATCH(VALUE(B65),기본자료!$B$2:$B$501,0),""))))</f>
        <v/>
      </c>
    </row>
    <row r="66">
      <c r="A66" s="8">
        <f>IF(B66="","",ROW()-1)</f>
        <v/>
      </c>
      <c r="B66" s="9" t="n"/>
      <c r="C66" s="8">
        <f>IF($W66="","",IF(INDEX(기본자료!$C$2:$C$501,$W66)="","",INDEX(기본자료!$C$2:$C$501,$W66)))</f>
        <v/>
      </c>
      <c r="D66" s="8">
        <f>IF($W66="","",IF(INDEX(기본자료!$J$2:$J$501,$W66)="","",INDEX(기본자료!$J$2:$J$501,$W66)))</f>
        <v/>
      </c>
      <c r="E66" s="10">
        <f>IF($W66="","",IF(INDEX(기본자료!$K$2:$K$501,$W66)="","",IF(NOT(ISNUMBER(INDEX(기본자료!$K$2:$K$501,$W66))),INDEX(기본자료!$K$2:$K$501,$W66),IF(INDEX(기본자료!$K$2:$K$501,$W66)&lt;1000000,INDEX(기본자료!$K$2:$K$501,$W66),IF(AND(INDEX(기본자료!$K$2:$K$501,$W66)&gt;=10000101,INT(MOD(INDEX(기본자료!$K$2:$K$501,$W66),10000)/100)&gt;=1,INT(MOD(INDEX(기본자료!$K$2:$K$501,$W66),10000)/100)&lt;=12,MOD(INDEX(기본자료!$K$2:$K$501,$W66),100)&gt;=1,MOD(INDEX(기본자료!$K$2:$K$501,$W66),100)&lt;=31),DATE(INT(INDEX(기본자료!$K$2:$K$501,$W66)/10000),INT(MOD(INDEX(기본자료!$K$2:$K$501,$W66),10000)/100),MOD(INDEX(기본자료!$K$2:$K$501,$W66),100)),INDEX(기본자료!$K$2:$K$501,$W66)&amp;"")))))</f>
        <v/>
      </c>
      <c r="F66" s="8">
        <f>IF($W66="","",IF(INDEX(기본자료!$D$2:$D$501,$W66)="","",INDEX(기본자료!$D$2:$D$501,$W66)))</f>
        <v/>
      </c>
      <c r="G66" s="8">
        <f>IF($W66="","",IF(INDEX(기본자료!$E$2:$E$501,$W66)="","",INDEX(기본자료!$E$2:$E$501,$W66)))</f>
        <v/>
      </c>
      <c r="H66" s="8">
        <f>IF($W66="","",IF(INDEX(기본자료!$F$2:$F$501,$W66)="","",INDEX(기본자료!$F$2:$F$501,$W66)))</f>
        <v/>
      </c>
      <c r="I66" s="10">
        <f>IF($W66="","",IF(INDEX(기본자료!$G$2:$G$501,$W66)="","",IF(NOT(ISNUMBER(INDEX(기본자료!$G$2:$G$501,$W66))),INDEX(기본자료!$G$2:$G$501,$W66),IF(INDEX(기본자료!$G$2:$G$501,$W66)&lt;1000000,INDEX(기본자료!$G$2:$G$501,$W66),IF(AND(INDEX(기본자료!$G$2:$G$501,$W66)&gt;=10000101,INT(MOD(INDEX(기본자료!$G$2:$G$501,$W66),10000)/100)&gt;=1,INT(MOD(INDEX(기본자료!$G$2:$G$501,$W66),10000)/100)&lt;=12,MOD(INDEX(기본자료!$G$2:$G$501,$W66),100)&gt;=1,MOD(INDEX(기본자료!$G$2:$G$501,$W66),100)&lt;=31),DATE(INT(INDEX(기본자료!$G$2:$G$501,$W66)/10000),INT(MOD(INDEX(기본자료!$G$2:$G$501,$W66),10000)/100),MOD(INDEX(기본자료!$G$2:$G$501,$W66),100)),INDEX(기본자료!$G$2:$G$501,$W66)&amp;"")))))</f>
        <v/>
      </c>
      <c r="J66" s="8">
        <f>IF($W66="","",IF(INDEX(기본자료!$H$2:$H$501,$W66)="","",INDEX(기본자료!$H$2:$H$501,$W66)))</f>
        <v/>
      </c>
      <c r="K66" s="8">
        <f>IF($W66="","",IF(INDEX(기본자료!$I$2:$I$501,$W66)="","",INDEX(기본자료!$I$2:$I$501,$W66)))</f>
        <v/>
      </c>
      <c r="L66" s="8">
        <f>IF($W66="","",IF(INDEX(기본자료!$A$2:$A$501,$W66)="","",INDEX(기본자료!$A$2:$A$501,$W66)))</f>
        <v/>
      </c>
      <c r="M66" s="5" t="n"/>
      <c r="N66" s="5" t="n"/>
      <c r="O66" s="5" t="n"/>
      <c r="P66" s="5" t="n"/>
      <c r="Q66" s="11" t="n"/>
      <c r="R66" s="11" t="n"/>
      <c r="S66" s="8">
        <f>IF(OR(B66="",Q66=""),"",IF(TODAY()&lt;Q66,"파견예정",IF(AND(R66&lt;&gt;"",TODAY()&gt;R66),"파견종료","파견중")))</f>
        <v/>
      </c>
      <c r="T66" s="12">
        <f>IF(OR(Q66="",R66=""),"",R66-Q66+1)</f>
        <v/>
      </c>
      <c r="U66" s="12">
        <f>IF(AND(S66="파견중",R66&lt;&gt;""),R66-TODAY(),"")</f>
        <v/>
      </c>
      <c r="V66" s="5" t="n"/>
      <c r="W66" s="8">
        <f>IF(B66="","",IFERROR(MATCH(B66,기본자료!$B$2:$B$501,0),IFERROR(MATCH(B66&amp;"",기본자료!$B$2:$B$501,0),IFERROR(MATCH(VALUE(B66),기본자료!$B$2:$B$501,0),""))))</f>
        <v/>
      </c>
    </row>
    <row r="67">
      <c r="A67" s="8">
        <f>IF(B67="","",ROW()-1)</f>
        <v/>
      </c>
      <c r="B67" s="9" t="n"/>
      <c r="C67" s="8">
        <f>IF($W67="","",IF(INDEX(기본자료!$C$2:$C$501,$W67)="","",INDEX(기본자료!$C$2:$C$501,$W67)))</f>
        <v/>
      </c>
      <c r="D67" s="8">
        <f>IF($W67="","",IF(INDEX(기본자료!$J$2:$J$501,$W67)="","",INDEX(기본자료!$J$2:$J$501,$W67)))</f>
        <v/>
      </c>
      <c r="E67" s="10">
        <f>IF($W67="","",IF(INDEX(기본자료!$K$2:$K$501,$W67)="","",IF(NOT(ISNUMBER(INDEX(기본자료!$K$2:$K$501,$W67))),INDEX(기본자료!$K$2:$K$501,$W67),IF(INDEX(기본자료!$K$2:$K$501,$W67)&lt;1000000,INDEX(기본자료!$K$2:$K$501,$W67),IF(AND(INDEX(기본자료!$K$2:$K$501,$W67)&gt;=10000101,INT(MOD(INDEX(기본자료!$K$2:$K$501,$W67),10000)/100)&gt;=1,INT(MOD(INDEX(기본자료!$K$2:$K$501,$W67),10000)/100)&lt;=12,MOD(INDEX(기본자료!$K$2:$K$501,$W67),100)&gt;=1,MOD(INDEX(기본자료!$K$2:$K$501,$W67),100)&lt;=31),DATE(INT(INDEX(기본자료!$K$2:$K$501,$W67)/10000),INT(MOD(INDEX(기본자료!$K$2:$K$501,$W67),10000)/100),MOD(INDEX(기본자료!$K$2:$K$501,$W67),100)),INDEX(기본자료!$K$2:$K$501,$W67)&amp;"")))))</f>
        <v/>
      </c>
      <c r="F67" s="8">
        <f>IF($W67="","",IF(INDEX(기본자료!$D$2:$D$501,$W67)="","",INDEX(기본자료!$D$2:$D$501,$W67)))</f>
        <v/>
      </c>
      <c r="G67" s="8">
        <f>IF($W67="","",IF(INDEX(기본자료!$E$2:$E$501,$W67)="","",INDEX(기본자료!$E$2:$E$501,$W67)))</f>
        <v/>
      </c>
      <c r="H67" s="8">
        <f>IF($W67="","",IF(INDEX(기본자료!$F$2:$F$501,$W67)="","",INDEX(기본자료!$F$2:$F$501,$W67)))</f>
        <v/>
      </c>
      <c r="I67" s="10">
        <f>IF($W67="","",IF(INDEX(기본자료!$G$2:$G$501,$W67)="","",IF(NOT(ISNUMBER(INDEX(기본자료!$G$2:$G$501,$W67))),INDEX(기본자료!$G$2:$G$501,$W67),IF(INDEX(기본자료!$G$2:$G$501,$W67)&lt;1000000,INDEX(기본자료!$G$2:$G$501,$W67),IF(AND(INDEX(기본자료!$G$2:$G$501,$W67)&gt;=10000101,INT(MOD(INDEX(기본자료!$G$2:$G$501,$W67),10000)/100)&gt;=1,INT(MOD(INDEX(기본자료!$G$2:$G$501,$W67),10000)/100)&lt;=12,MOD(INDEX(기본자료!$G$2:$G$501,$W67),100)&gt;=1,MOD(INDEX(기본자료!$G$2:$G$501,$W67),100)&lt;=31),DATE(INT(INDEX(기본자료!$G$2:$G$501,$W67)/10000),INT(MOD(INDEX(기본자료!$G$2:$G$501,$W67),10000)/100),MOD(INDEX(기본자료!$G$2:$G$501,$W67),100)),INDEX(기본자료!$G$2:$G$501,$W67)&amp;"")))))</f>
        <v/>
      </c>
      <c r="J67" s="8">
        <f>IF($W67="","",IF(INDEX(기본자료!$H$2:$H$501,$W67)="","",INDEX(기본자료!$H$2:$H$501,$W67)))</f>
        <v/>
      </c>
      <c r="K67" s="8">
        <f>IF($W67="","",IF(INDEX(기본자료!$I$2:$I$501,$W67)="","",INDEX(기본자료!$I$2:$I$501,$W67)))</f>
        <v/>
      </c>
      <c r="L67" s="8">
        <f>IF($W67="","",IF(INDEX(기본자료!$A$2:$A$501,$W67)="","",INDEX(기본자료!$A$2:$A$501,$W67)))</f>
        <v/>
      </c>
      <c r="M67" s="5" t="n"/>
      <c r="N67" s="5" t="n"/>
      <c r="O67" s="5" t="n"/>
      <c r="P67" s="5" t="n"/>
      <c r="Q67" s="11" t="n"/>
      <c r="R67" s="11" t="n"/>
      <c r="S67" s="8">
        <f>IF(OR(B67="",Q67=""),"",IF(TODAY()&lt;Q67,"파견예정",IF(AND(R67&lt;&gt;"",TODAY()&gt;R67),"파견종료","파견중")))</f>
        <v/>
      </c>
      <c r="T67" s="12">
        <f>IF(OR(Q67="",R67=""),"",R67-Q67+1)</f>
        <v/>
      </c>
      <c r="U67" s="12">
        <f>IF(AND(S67="파견중",R67&lt;&gt;""),R67-TODAY(),"")</f>
        <v/>
      </c>
      <c r="V67" s="5" t="n"/>
      <c r="W67" s="8">
        <f>IF(B67="","",IFERROR(MATCH(B67,기본자료!$B$2:$B$501,0),IFERROR(MATCH(B67&amp;"",기본자료!$B$2:$B$501,0),IFERROR(MATCH(VALUE(B67),기본자료!$B$2:$B$501,0),""))))</f>
        <v/>
      </c>
    </row>
    <row r="68">
      <c r="A68" s="8">
        <f>IF(B68="","",ROW()-1)</f>
        <v/>
      </c>
      <c r="B68" s="9" t="n"/>
      <c r="C68" s="8">
        <f>IF($W68="","",IF(INDEX(기본자료!$C$2:$C$501,$W68)="","",INDEX(기본자료!$C$2:$C$501,$W68)))</f>
        <v/>
      </c>
      <c r="D68" s="8">
        <f>IF($W68="","",IF(INDEX(기본자료!$J$2:$J$501,$W68)="","",INDEX(기본자료!$J$2:$J$501,$W68)))</f>
        <v/>
      </c>
      <c r="E68" s="10">
        <f>IF($W68="","",IF(INDEX(기본자료!$K$2:$K$501,$W68)="","",IF(NOT(ISNUMBER(INDEX(기본자료!$K$2:$K$501,$W68))),INDEX(기본자료!$K$2:$K$501,$W68),IF(INDEX(기본자료!$K$2:$K$501,$W68)&lt;1000000,INDEX(기본자료!$K$2:$K$501,$W68),IF(AND(INDEX(기본자료!$K$2:$K$501,$W68)&gt;=10000101,INT(MOD(INDEX(기본자료!$K$2:$K$501,$W68),10000)/100)&gt;=1,INT(MOD(INDEX(기본자료!$K$2:$K$501,$W68),10000)/100)&lt;=12,MOD(INDEX(기본자료!$K$2:$K$501,$W68),100)&gt;=1,MOD(INDEX(기본자료!$K$2:$K$501,$W68),100)&lt;=31),DATE(INT(INDEX(기본자료!$K$2:$K$501,$W68)/10000),INT(MOD(INDEX(기본자료!$K$2:$K$501,$W68),10000)/100),MOD(INDEX(기본자료!$K$2:$K$501,$W68),100)),INDEX(기본자료!$K$2:$K$501,$W68)&amp;"")))))</f>
        <v/>
      </c>
      <c r="F68" s="8">
        <f>IF($W68="","",IF(INDEX(기본자료!$D$2:$D$501,$W68)="","",INDEX(기본자료!$D$2:$D$501,$W68)))</f>
        <v/>
      </c>
      <c r="G68" s="8">
        <f>IF($W68="","",IF(INDEX(기본자료!$E$2:$E$501,$W68)="","",INDEX(기본자료!$E$2:$E$501,$W68)))</f>
        <v/>
      </c>
      <c r="H68" s="8">
        <f>IF($W68="","",IF(INDEX(기본자료!$F$2:$F$501,$W68)="","",INDEX(기본자료!$F$2:$F$501,$W68)))</f>
        <v/>
      </c>
      <c r="I68" s="10">
        <f>IF($W68="","",IF(INDEX(기본자료!$G$2:$G$501,$W68)="","",IF(NOT(ISNUMBER(INDEX(기본자료!$G$2:$G$501,$W68))),INDEX(기본자료!$G$2:$G$501,$W68),IF(INDEX(기본자료!$G$2:$G$501,$W68)&lt;1000000,INDEX(기본자료!$G$2:$G$501,$W68),IF(AND(INDEX(기본자료!$G$2:$G$501,$W68)&gt;=10000101,INT(MOD(INDEX(기본자료!$G$2:$G$501,$W68),10000)/100)&gt;=1,INT(MOD(INDEX(기본자료!$G$2:$G$501,$W68),10000)/100)&lt;=12,MOD(INDEX(기본자료!$G$2:$G$501,$W68),100)&gt;=1,MOD(INDEX(기본자료!$G$2:$G$501,$W68),100)&lt;=31),DATE(INT(INDEX(기본자료!$G$2:$G$501,$W68)/10000),INT(MOD(INDEX(기본자료!$G$2:$G$501,$W68),10000)/100),MOD(INDEX(기본자료!$G$2:$G$501,$W68),100)),INDEX(기본자료!$G$2:$G$501,$W68)&amp;"")))))</f>
        <v/>
      </c>
      <c r="J68" s="8">
        <f>IF($W68="","",IF(INDEX(기본자료!$H$2:$H$501,$W68)="","",INDEX(기본자료!$H$2:$H$501,$W68)))</f>
        <v/>
      </c>
      <c r="K68" s="8">
        <f>IF($W68="","",IF(INDEX(기본자료!$I$2:$I$501,$W68)="","",INDEX(기본자료!$I$2:$I$501,$W68)))</f>
        <v/>
      </c>
      <c r="L68" s="8">
        <f>IF($W68="","",IF(INDEX(기본자료!$A$2:$A$501,$W68)="","",INDEX(기본자료!$A$2:$A$501,$W68)))</f>
        <v/>
      </c>
      <c r="M68" s="5" t="n"/>
      <c r="N68" s="5" t="n"/>
      <c r="O68" s="5" t="n"/>
      <c r="P68" s="5" t="n"/>
      <c r="Q68" s="11" t="n"/>
      <c r="R68" s="11" t="n"/>
      <c r="S68" s="8">
        <f>IF(OR(B68="",Q68=""),"",IF(TODAY()&lt;Q68,"파견예정",IF(AND(R68&lt;&gt;"",TODAY()&gt;R68),"파견종료","파견중")))</f>
        <v/>
      </c>
      <c r="T68" s="12">
        <f>IF(OR(Q68="",R68=""),"",R68-Q68+1)</f>
        <v/>
      </c>
      <c r="U68" s="12">
        <f>IF(AND(S68="파견중",R68&lt;&gt;""),R68-TODAY(),"")</f>
        <v/>
      </c>
      <c r="V68" s="5" t="n"/>
      <c r="W68" s="8">
        <f>IF(B68="","",IFERROR(MATCH(B68,기본자료!$B$2:$B$501,0),IFERROR(MATCH(B68&amp;"",기본자료!$B$2:$B$501,0),IFERROR(MATCH(VALUE(B68),기본자료!$B$2:$B$501,0),""))))</f>
        <v/>
      </c>
    </row>
    <row r="69">
      <c r="A69" s="8">
        <f>IF(B69="","",ROW()-1)</f>
        <v/>
      </c>
      <c r="B69" s="9" t="n"/>
      <c r="C69" s="8">
        <f>IF($W69="","",IF(INDEX(기본자료!$C$2:$C$501,$W69)="","",INDEX(기본자료!$C$2:$C$501,$W69)))</f>
        <v/>
      </c>
      <c r="D69" s="8">
        <f>IF($W69="","",IF(INDEX(기본자료!$J$2:$J$501,$W69)="","",INDEX(기본자료!$J$2:$J$501,$W69)))</f>
        <v/>
      </c>
      <c r="E69" s="10">
        <f>IF($W69="","",IF(INDEX(기본자료!$K$2:$K$501,$W69)="","",IF(NOT(ISNUMBER(INDEX(기본자료!$K$2:$K$501,$W69))),INDEX(기본자료!$K$2:$K$501,$W69),IF(INDEX(기본자료!$K$2:$K$501,$W69)&lt;1000000,INDEX(기본자료!$K$2:$K$501,$W69),IF(AND(INDEX(기본자료!$K$2:$K$501,$W69)&gt;=10000101,INT(MOD(INDEX(기본자료!$K$2:$K$501,$W69),10000)/100)&gt;=1,INT(MOD(INDEX(기본자료!$K$2:$K$501,$W69),10000)/100)&lt;=12,MOD(INDEX(기본자료!$K$2:$K$501,$W69),100)&gt;=1,MOD(INDEX(기본자료!$K$2:$K$501,$W69),100)&lt;=31),DATE(INT(INDEX(기본자료!$K$2:$K$501,$W69)/10000),INT(MOD(INDEX(기본자료!$K$2:$K$501,$W69),10000)/100),MOD(INDEX(기본자료!$K$2:$K$501,$W69),100)),INDEX(기본자료!$K$2:$K$501,$W69)&amp;"")))))</f>
        <v/>
      </c>
      <c r="F69" s="8">
        <f>IF($W69="","",IF(INDEX(기본자료!$D$2:$D$501,$W69)="","",INDEX(기본자료!$D$2:$D$501,$W69)))</f>
        <v/>
      </c>
      <c r="G69" s="8">
        <f>IF($W69="","",IF(INDEX(기본자료!$E$2:$E$501,$W69)="","",INDEX(기본자료!$E$2:$E$501,$W69)))</f>
        <v/>
      </c>
      <c r="H69" s="8">
        <f>IF($W69="","",IF(INDEX(기본자료!$F$2:$F$501,$W69)="","",INDEX(기본자료!$F$2:$F$501,$W69)))</f>
        <v/>
      </c>
      <c r="I69" s="10">
        <f>IF($W69="","",IF(INDEX(기본자료!$G$2:$G$501,$W69)="","",IF(NOT(ISNUMBER(INDEX(기본자료!$G$2:$G$501,$W69))),INDEX(기본자료!$G$2:$G$501,$W69),IF(INDEX(기본자료!$G$2:$G$501,$W69)&lt;1000000,INDEX(기본자료!$G$2:$G$501,$W69),IF(AND(INDEX(기본자료!$G$2:$G$501,$W69)&gt;=10000101,INT(MOD(INDEX(기본자료!$G$2:$G$501,$W69),10000)/100)&gt;=1,INT(MOD(INDEX(기본자료!$G$2:$G$501,$W69),10000)/100)&lt;=12,MOD(INDEX(기본자료!$G$2:$G$501,$W69),100)&gt;=1,MOD(INDEX(기본자료!$G$2:$G$501,$W69),100)&lt;=31),DATE(INT(INDEX(기본자료!$G$2:$G$501,$W69)/10000),INT(MOD(INDEX(기본자료!$G$2:$G$501,$W69),10000)/100),MOD(INDEX(기본자료!$G$2:$G$501,$W69),100)),INDEX(기본자료!$G$2:$G$501,$W69)&amp;"")))))</f>
        <v/>
      </c>
      <c r="J69" s="8">
        <f>IF($W69="","",IF(INDEX(기본자료!$H$2:$H$501,$W69)="","",INDEX(기본자료!$H$2:$H$501,$W69)))</f>
        <v/>
      </c>
      <c r="K69" s="8">
        <f>IF($W69="","",IF(INDEX(기본자료!$I$2:$I$501,$W69)="","",INDEX(기본자료!$I$2:$I$501,$W69)))</f>
        <v/>
      </c>
      <c r="L69" s="8">
        <f>IF($W69="","",IF(INDEX(기본자료!$A$2:$A$501,$W69)="","",INDEX(기본자료!$A$2:$A$501,$W69)))</f>
        <v/>
      </c>
      <c r="M69" s="5" t="n"/>
      <c r="N69" s="5" t="n"/>
      <c r="O69" s="5" t="n"/>
      <c r="P69" s="5" t="n"/>
      <c r="Q69" s="11" t="n"/>
      <c r="R69" s="11" t="n"/>
      <c r="S69" s="8">
        <f>IF(OR(B69="",Q69=""),"",IF(TODAY()&lt;Q69,"파견예정",IF(AND(R69&lt;&gt;"",TODAY()&gt;R69),"파견종료","파견중")))</f>
        <v/>
      </c>
      <c r="T69" s="12">
        <f>IF(OR(Q69="",R69=""),"",R69-Q69+1)</f>
        <v/>
      </c>
      <c r="U69" s="12">
        <f>IF(AND(S69="파견중",R69&lt;&gt;""),R69-TODAY(),"")</f>
        <v/>
      </c>
      <c r="V69" s="5" t="n"/>
      <c r="W69" s="8">
        <f>IF(B69="","",IFERROR(MATCH(B69,기본자료!$B$2:$B$501,0),IFERROR(MATCH(B69&amp;"",기본자료!$B$2:$B$501,0),IFERROR(MATCH(VALUE(B69),기본자료!$B$2:$B$501,0),""))))</f>
        <v/>
      </c>
    </row>
    <row r="70">
      <c r="A70" s="8">
        <f>IF(B70="","",ROW()-1)</f>
        <v/>
      </c>
      <c r="B70" s="9" t="n"/>
      <c r="C70" s="8">
        <f>IF($W70="","",IF(INDEX(기본자료!$C$2:$C$501,$W70)="","",INDEX(기본자료!$C$2:$C$501,$W70)))</f>
        <v/>
      </c>
      <c r="D70" s="8">
        <f>IF($W70="","",IF(INDEX(기본자료!$J$2:$J$501,$W70)="","",INDEX(기본자료!$J$2:$J$501,$W70)))</f>
        <v/>
      </c>
      <c r="E70" s="10">
        <f>IF($W70="","",IF(INDEX(기본자료!$K$2:$K$501,$W70)="","",IF(NOT(ISNUMBER(INDEX(기본자료!$K$2:$K$501,$W70))),INDEX(기본자료!$K$2:$K$501,$W70),IF(INDEX(기본자료!$K$2:$K$501,$W70)&lt;1000000,INDEX(기본자료!$K$2:$K$501,$W70),IF(AND(INDEX(기본자료!$K$2:$K$501,$W70)&gt;=10000101,INT(MOD(INDEX(기본자료!$K$2:$K$501,$W70),10000)/100)&gt;=1,INT(MOD(INDEX(기본자료!$K$2:$K$501,$W70),10000)/100)&lt;=12,MOD(INDEX(기본자료!$K$2:$K$501,$W70),100)&gt;=1,MOD(INDEX(기본자료!$K$2:$K$501,$W70),100)&lt;=31),DATE(INT(INDEX(기본자료!$K$2:$K$501,$W70)/10000),INT(MOD(INDEX(기본자료!$K$2:$K$501,$W70),10000)/100),MOD(INDEX(기본자료!$K$2:$K$501,$W70),100)),INDEX(기본자료!$K$2:$K$501,$W70)&amp;"")))))</f>
        <v/>
      </c>
      <c r="F70" s="8">
        <f>IF($W70="","",IF(INDEX(기본자료!$D$2:$D$501,$W70)="","",INDEX(기본자료!$D$2:$D$501,$W70)))</f>
        <v/>
      </c>
      <c r="G70" s="8">
        <f>IF($W70="","",IF(INDEX(기본자료!$E$2:$E$501,$W70)="","",INDEX(기본자료!$E$2:$E$501,$W70)))</f>
        <v/>
      </c>
      <c r="H70" s="8">
        <f>IF($W70="","",IF(INDEX(기본자료!$F$2:$F$501,$W70)="","",INDEX(기본자료!$F$2:$F$501,$W70)))</f>
        <v/>
      </c>
      <c r="I70" s="10">
        <f>IF($W70="","",IF(INDEX(기본자료!$G$2:$G$501,$W70)="","",IF(NOT(ISNUMBER(INDEX(기본자료!$G$2:$G$501,$W70))),INDEX(기본자료!$G$2:$G$501,$W70),IF(INDEX(기본자료!$G$2:$G$501,$W70)&lt;1000000,INDEX(기본자료!$G$2:$G$501,$W70),IF(AND(INDEX(기본자료!$G$2:$G$501,$W70)&gt;=10000101,INT(MOD(INDEX(기본자료!$G$2:$G$501,$W70),10000)/100)&gt;=1,INT(MOD(INDEX(기본자료!$G$2:$G$501,$W70),10000)/100)&lt;=12,MOD(INDEX(기본자료!$G$2:$G$501,$W70),100)&gt;=1,MOD(INDEX(기본자료!$G$2:$G$501,$W70),100)&lt;=31),DATE(INT(INDEX(기본자료!$G$2:$G$501,$W70)/10000),INT(MOD(INDEX(기본자료!$G$2:$G$501,$W70),10000)/100),MOD(INDEX(기본자료!$G$2:$G$501,$W70),100)),INDEX(기본자료!$G$2:$G$501,$W70)&amp;"")))))</f>
        <v/>
      </c>
      <c r="J70" s="8">
        <f>IF($W70="","",IF(INDEX(기본자료!$H$2:$H$501,$W70)="","",INDEX(기본자료!$H$2:$H$501,$W70)))</f>
        <v/>
      </c>
      <c r="K70" s="8">
        <f>IF($W70="","",IF(INDEX(기본자료!$I$2:$I$501,$W70)="","",INDEX(기본자료!$I$2:$I$501,$W70)))</f>
        <v/>
      </c>
      <c r="L70" s="8">
        <f>IF($W70="","",IF(INDEX(기본자료!$A$2:$A$501,$W70)="","",INDEX(기본자료!$A$2:$A$501,$W70)))</f>
        <v/>
      </c>
      <c r="M70" s="5" t="n"/>
      <c r="N70" s="5" t="n"/>
      <c r="O70" s="5" t="n"/>
      <c r="P70" s="5" t="n"/>
      <c r="Q70" s="11" t="n"/>
      <c r="R70" s="11" t="n"/>
      <c r="S70" s="8">
        <f>IF(OR(B70="",Q70=""),"",IF(TODAY()&lt;Q70,"파견예정",IF(AND(R70&lt;&gt;"",TODAY()&gt;R70),"파견종료","파견중")))</f>
        <v/>
      </c>
      <c r="T70" s="12">
        <f>IF(OR(Q70="",R70=""),"",R70-Q70+1)</f>
        <v/>
      </c>
      <c r="U70" s="12">
        <f>IF(AND(S70="파견중",R70&lt;&gt;""),R70-TODAY(),"")</f>
        <v/>
      </c>
      <c r="V70" s="5" t="n"/>
      <c r="W70" s="8">
        <f>IF(B70="","",IFERROR(MATCH(B70,기본자료!$B$2:$B$501,0),IFERROR(MATCH(B70&amp;"",기본자료!$B$2:$B$501,0),IFERROR(MATCH(VALUE(B70),기본자료!$B$2:$B$501,0),""))))</f>
        <v/>
      </c>
    </row>
    <row r="71">
      <c r="A71" s="8">
        <f>IF(B71="","",ROW()-1)</f>
        <v/>
      </c>
      <c r="B71" s="9" t="n"/>
      <c r="C71" s="8">
        <f>IF($W71="","",IF(INDEX(기본자료!$C$2:$C$501,$W71)="","",INDEX(기본자료!$C$2:$C$501,$W71)))</f>
        <v/>
      </c>
      <c r="D71" s="8">
        <f>IF($W71="","",IF(INDEX(기본자료!$J$2:$J$501,$W71)="","",INDEX(기본자료!$J$2:$J$501,$W71)))</f>
        <v/>
      </c>
      <c r="E71" s="10">
        <f>IF($W71="","",IF(INDEX(기본자료!$K$2:$K$501,$W71)="","",IF(NOT(ISNUMBER(INDEX(기본자료!$K$2:$K$501,$W71))),INDEX(기본자료!$K$2:$K$501,$W71),IF(INDEX(기본자료!$K$2:$K$501,$W71)&lt;1000000,INDEX(기본자료!$K$2:$K$501,$W71),IF(AND(INDEX(기본자료!$K$2:$K$501,$W71)&gt;=10000101,INT(MOD(INDEX(기본자료!$K$2:$K$501,$W71),10000)/100)&gt;=1,INT(MOD(INDEX(기본자료!$K$2:$K$501,$W71),10000)/100)&lt;=12,MOD(INDEX(기본자료!$K$2:$K$501,$W71),100)&gt;=1,MOD(INDEX(기본자료!$K$2:$K$501,$W71),100)&lt;=31),DATE(INT(INDEX(기본자료!$K$2:$K$501,$W71)/10000),INT(MOD(INDEX(기본자료!$K$2:$K$501,$W71),10000)/100),MOD(INDEX(기본자료!$K$2:$K$501,$W71),100)),INDEX(기본자료!$K$2:$K$501,$W71)&amp;"")))))</f>
        <v/>
      </c>
      <c r="F71" s="8">
        <f>IF($W71="","",IF(INDEX(기본자료!$D$2:$D$501,$W71)="","",INDEX(기본자료!$D$2:$D$501,$W71)))</f>
        <v/>
      </c>
      <c r="G71" s="8">
        <f>IF($W71="","",IF(INDEX(기본자료!$E$2:$E$501,$W71)="","",INDEX(기본자료!$E$2:$E$501,$W71)))</f>
        <v/>
      </c>
      <c r="H71" s="8">
        <f>IF($W71="","",IF(INDEX(기본자료!$F$2:$F$501,$W71)="","",INDEX(기본자료!$F$2:$F$501,$W71)))</f>
        <v/>
      </c>
      <c r="I71" s="10">
        <f>IF($W71="","",IF(INDEX(기본자료!$G$2:$G$501,$W71)="","",IF(NOT(ISNUMBER(INDEX(기본자료!$G$2:$G$501,$W71))),INDEX(기본자료!$G$2:$G$501,$W71),IF(INDEX(기본자료!$G$2:$G$501,$W71)&lt;1000000,INDEX(기본자료!$G$2:$G$501,$W71),IF(AND(INDEX(기본자료!$G$2:$G$501,$W71)&gt;=10000101,INT(MOD(INDEX(기본자료!$G$2:$G$501,$W71),10000)/100)&gt;=1,INT(MOD(INDEX(기본자료!$G$2:$G$501,$W71),10000)/100)&lt;=12,MOD(INDEX(기본자료!$G$2:$G$501,$W71),100)&gt;=1,MOD(INDEX(기본자료!$G$2:$G$501,$W71),100)&lt;=31),DATE(INT(INDEX(기본자료!$G$2:$G$501,$W71)/10000),INT(MOD(INDEX(기본자료!$G$2:$G$501,$W71),10000)/100),MOD(INDEX(기본자료!$G$2:$G$501,$W71),100)),INDEX(기본자료!$G$2:$G$501,$W71)&amp;"")))))</f>
        <v/>
      </c>
      <c r="J71" s="8">
        <f>IF($W71="","",IF(INDEX(기본자료!$H$2:$H$501,$W71)="","",INDEX(기본자료!$H$2:$H$501,$W71)))</f>
        <v/>
      </c>
      <c r="K71" s="8">
        <f>IF($W71="","",IF(INDEX(기본자료!$I$2:$I$501,$W71)="","",INDEX(기본자료!$I$2:$I$501,$W71)))</f>
        <v/>
      </c>
      <c r="L71" s="8">
        <f>IF($W71="","",IF(INDEX(기본자료!$A$2:$A$501,$W71)="","",INDEX(기본자료!$A$2:$A$501,$W71)))</f>
        <v/>
      </c>
      <c r="M71" s="5" t="n"/>
      <c r="N71" s="5" t="n"/>
      <c r="O71" s="5" t="n"/>
      <c r="P71" s="5" t="n"/>
      <c r="Q71" s="11" t="n"/>
      <c r="R71" s="11" t="n"/>
      <c r="S71" s="8">
        <f>IF(OR(B71="",Q71=""),"",IF(TODAY()&lt;Q71,"파견예정",IF(AND(R71&lt;&gt;"",TODAY()&gt;R71),"파견종료","파견중")))</f>
        <v/>
      </c>
      <c r="T71" s="12">
        <f>IF(OR(Q71="",R71=""),"",R71-Q71+1)</f>
        <v/>
      </c>
      <c r="U71" s="12">
        <f>IF(AND(S71="파견중",R71&lt;&gt;""),R71-TODAY(),"")</f>
        <v/>
      </c>
      <c r="V71" s="5" t="n"/>
      <c r="W71" s="8">
        <f>IF(B71="","",IFERROR(MATCH(B71,기본자료!$B$2:$B$501,0),IFERROR(MATCH(B71&amp;"",기본자료!$B$2:$B$501,0),IFERROR(MATCH(VALUE(B71),기본자료!$B$2:$B$501,0),""))))</f>
        <v/>
      </c>
    </row>
    <row r="72">
      <c r="A72" s="8">
        <f>IF(B72="","",ROW()-1)</f>
        <v/>
      </c>
      <c r="B72" s="9" t="n"/>
      <c r="C72" s="8">
        <f>IF($W72="","",IF(INDEX(기본자료!$C$2:$C$501,$W72)="","",INDEX(기본자료!$C$2:$C$501,$W72)))</f>
        <v/>
      </c>
      <c r="D72" s="8">
        <f>IF($W72="","",IF(INDEX(기본자료!$J$2:$J$501,$W72)="","",INDEX(기본자료!$J$2:$J$501,$W72)))</f>
        <v/>
      </c>
      <c r="E72" s="10">
        <f>IF($W72="","",IF(INDEX(기본자료!$K$2:$K$501,$W72)="","",IF(NOT(ISNUMBER(INDEX(기본자료!$K$2:$K$501,$W72))),INDEX(기본자료!$K$2:$K$501,$W72),IF(INDEX(기본자료!$K$2:$K$501,$W72)&lt;1000000,INDEX(기본자료!$K$2:$K$501,$W72),IF(AND(INDEX(기본자료!$K$2:$K$501,$W72)&gt;=10000101,INT(MOD(INDEX(기본자료!$K$2:$K$501,$W72),10000)/100)&gt;=1,INT(MOD(INDEX(기본자료!$K$2:$K$501,$W72),10000)/100)&lt;=12,MOD(INDEX(기본자료!$K$2:$K$501,$W72),100)&gt;=1,MOD(INDEX(기본자료!$K$2:$K$501,$W72),100)&lt;=31),DATE(INT(INDEX(기본자료!$K$2:$K$501,$W72)/10000),INT(MOD(INDEX(기본자료!$K$2:$K$501,$W72),10000)/100),MOD(INDEX(기본자료!$K$2:$K$501,$W72),100)),INDEX(기본자료!$K$2:$K$501,$W72)&amp;"")))))</f>
        <v/>
      </c>
      <c r="F72" s="8">
        <f>IF($W72="","",IF(INDEX(기본자료!$D$2:$D$501,$W72)="","",INDEX(기본자료!$D$2:$D$501,$W72)))</f>
        <v/>
      </c>
      <c r="G72" s="8">
        <f>IF($W72="","",IF(INDEX(기본자료!$E$2:$E$501,$W72)="","",INDEX(기본자료!$E$2:$E$501,$W72)))</f>
        <v/>
      </c>
      <c r="H72" s="8">
        <f>IF($W72="","",IF(INDEX(기본자료!$F$2:$F$501,$W72)="","",INDEX(기본자료!$F$2:$F$501,$W72)))</f>
        <v/>
      </c>
      <c r="I72" s="10">
        <f>IF($W72="","",IF(INDEX(기본자료!$G$2:$G$501,$W72)="","",IF(NOT(ISNUMBER(INDEX(기본자료!$G$2:$G$501,$W72))),INDEX(기본자료!$G$2:$G$501,$W72),IF(INDEX(기본자료!$G$2:$G$501,$W72)&lt;1000000,INDEX(기본자료!$G$2:$G$501,$W72),IF(AND(INDEX(기본자료!$G$2:$G$501,$W72)&gt;=10000101,INT(MOD(INDEX(기본자료!$G$2:$G$501,$W72),10000)/100)&gt;=1,INT(MOD(INDEX(기본자료!$G$2:$G$501,$W72),10000)/100)&lt;=12,MOD(INDEX(기본자료!$G$2:$G$501,$W72),100)&gt;=1,MOD(INDEX(기본자료!$G$2:$G$501,$W72),100)&lt;=31),DATE(INT(INDEX(기본자료!$G$2:$G$501,$W72)/10000),INT(MOD(INDEX(기본자료!$G$2:$G$501,$W72),10000)/100),MOD(INDEX(기본자료!$G$2:$G$501,$W72),100)),INDEX(기본자료!$G$2:$G$501,$W72)&amp;"")))))</f>
        <v/>
      </c>
      <c r="J72" s="8">
        <f>IF($W72="","",IF(INDEX(기본자료!$H$2:$H$501,$W72)="","",INDEX(기본자료!$H$2:$H$501,$W72)))</f>
        <v/>
      </c>
      <c r="K72" s="8">
        <f>IF($W72="","",IF(INDEX(기본자료!$I$2:$I$501,$W72)="","",INDEX(기본자료!$I$2:$I$501,$W72)))</f>
        <v/>
      </c>
      <c r="L72" s="8">
        <f>IF($W72="","",IF(INDEX(기본자료!$A$2:$A$501,$W72)="","",INDEX(기본자료!$A$2:$A$501,$W72)))</f>
        <v/>
      </c>
      <c r="M72" s="5" t="n"/>
      <c r="N72" s="5" t="n"/>
      <c r="O72" s="5" t="n"/>
      <c r="P72" s="5" t="n"/>
      <c r="Q72" s="11" t="n"/>
      <c r="R72" s="11" t="n"/>
      <c r="S72" s="8">
        <f>IF(OR(B72="",Q72=""),"",IF(TODAY()&lt;Q72,"파견예정",IF(AND(R72&lt;&gt;"",TODAY()&gt;R72),"파견종료","파견중")))</f>
        <v/>
      </c>
      <c r="T72" s="12">
        <f>IF(OR(Q72="",R72=""),"",R72-Q72+1)</f>
        <v/>
      </c>
      <c r="U72" s="12">
        <f>IF(AND(S72="파견중",R72&lt;&gt;""),R72-TODAY(),"")</f>
        <v/>
      </c>
      <c r="V72" s="5" t="n"/>
      <c r="W72" s="8">
        <f>IF(B72="","",IFERROR(MATCH(B72,기본자료!$B$2:$B$501,0),IFERROR(MATCH(B72&amp;"",기본자료!$B$2:$B$501,0),IFERROR(MATCH(VALUE(B72),기본자료!$B$2:$B$501,0),""))))</f>
        <v/>
      </c>
    </row>
    <row r="73">
      <c r="A73" s="8">
        <f>IF(B73="","",ROW()-1)</f>
        <v/>
      </c>
      <c r="B73" s="9" t="n"/>
      <c r="C73" s="8">
        <f>IF($W73="","",IF(INDEX(기본자료!$C$2:$C$501,$W73)="","",INDEX(기본자료!$C$2:$C$501,$W73)))</f>
        <v/>
      </c>
      <c r="D73" s="8">
        <f>IF($W73="","",IF(INDEX(기본자료!$J$2:$J$501,$W73)="","",INDEX(기본자료!$J$2:$J$501,$W73)))</f>
        <v/>
      </c>
      <c r="E73" s="10">
        <f>IF($W73="","",IF(INDEX(기본자료!$K$2:$K$501,$W73)="","",IF(NOT(ISNUMBER(INDEX(기본자료!$K$2:$K$501,$W73))),INDEX(기본자료!$K$2:$K$501,$W73),IF(INDEX(기본자료!$K$2:$K$501,$W73)&lt;1000000,INDEX(기본자료!$K$2:$K$501,$W73),IF(AND(INDEX(기본자료!$K$2:$K$501,$W73)&gt;=10000101,INT(MOD(INDEX(기본자료!$K$2:$K$501,$W73),10000)/100)&gt;=1,INT(MOD(INDEX(기본자료!$K$2:$K$501,$W73),10000)/100)&lt;=12,MOD(INDEX(기본자료!$K$2:$K$501,$W73),100)&gt;=1,MOD(INDEX(기본자료!$K$2:$K$501,$W73),100)&lt;=31),DATE(INT(INDEX(기본자료!$K$2:$K$501,$W73)/10000),INT(MOD(INDEX(기본자료!$K$2:$K$501,$W73),10000)/100),MOD(INDEX(기본자료!$K$2:$K$501,$W73),100)),INDEX(기본자료!$K$2:$K$501,$W73)&amp;"")))))</f>
        <v/>
      </c>
      <c r="F73" s="8">
        <f>IF($W73="","",IF(INDEX(기본자료!$D$2:$D$501,$W73)="","",INDEX(기본자료!$D$2:$D$501,$W73)))</f>
        <v/>
      </c>
      <c r="G73" s="8">
        <f>IF($W73="","",IF(INDEX(기본자료!$E$2:$E$501,$W73)="","",INDEX(기본자료!$E$2:$E$501,$W73)))</f>
        <v/>
      </c>
      <c r="H73" s="8">
        <f>IF($W73="","",IF(INDEX(기본자료!$F$2:$F$501,$W73)="","",INDEX(기본자료!$F$2:$F$501,$W73)))</f>
        <v/>
      </c>
      <c r="I73" s="10">
        <f>IF($W73="","",IF(INDEX(기본자료!$G$2:$G$501,$W73)="","",IF(NOT(ISNUMBER(INDEX(기본자료!$G$2:$G$501,$W73))),INDEX(기본자료!$G$2:$G$501,$W73),IF(INDEX(기본자료!$G$2:$G$501,$W73)&lt;1000000,INDEX(기본자료!$G$2:$G$501,$W73),IF(AND(INDEX(기본자료!$G$2:$G$501,$W73)&gt;=10000101,INT(MOD(INDEX(기본자료!$G$2:$G$501,$W73),10000)/100)&gt;=1,INT(MOD(INDEX(기본자료!$G$2:$G$501,$W73),10000)/100)&lt;=12,MOD(INDEX(기본자료!$G$2:$G$501,$W73),100)&gt;=1,MOD(INDEX(기본자료!$G$2:$G$501,$W73),100)&lt;=31),DATE(INT(INDEX(기본자료!$G$2:$G$501,$W73)/10000),INT(MOD(INDEX(기본자료!$G$2:$G$501,$W73),10000)/100),MOD(INDEX(기본자료!$G$2:$G$501,$W73),100)),INDEX(기본자료!$G$2:$G$501,$W73)&amp;"")))))</f>
        <v/>
      </c>
      <c r="J73" s="8">
        <f>IF($W73="","",IF(INDEX(기본자료!$H$2:$H$501,$W73)="","",INDEX(기본자료!$H$2:$H$501,$W73)))</f>
        <v/>
      </c>
      <c r="K73" s="8">
        <f>IF($W73="","",IF(INDEX(기본자료!$I$2:$I$501,$W73)="","",INDEX(기본자료!$I$2:$I$501,$W73)))</f>
        <v/>
      </c>
      <c r="L73" s="8">
        <f>IF($W73="","",IF(INDEX(기본자료!$A$2:$A$501,$W73)="","",INDEX(기본자료!$A$2:$A$501,$W73)))</f>
        <v/>
      </c>
      <c r="M73" s="5" t="n"/>
      <c r="N73" s="5" t="n"/>
      <c r="O73" s="5" t="n"/>
      <c r="P73" s="5" t="n"/>
      <c r="Q73" s="11" t="n"/>
      <c r="R73" s="11" t="n"/>
      <c r="S73" s="8">
        <f>IF(OR(B73="",Q73=""),"",IF(TODAY()&lt;Q73,"파견예정",IF(AND(R73&lt;&gt;"",TODAY()&gt;R73),"파견종료","파견중")))</f>
        <v/>
      </c>
      <c r="T73" s="12">
        <f>IF(OR(Q73="",R73=""),"",R73-Q73+1)</f>
        <v/>
      </c>
      <c r="U73" s="12">
        <f>IF(AND(S73="파견중",R73&lt;&gt;""),R73-TODAY(),"")</f>
        <v/>
      </c>
      <c r="V73" s="5" t="n"/>
      <c r="W73" s="8">
        <f>IF(B73="","",IFERROR(MATCH(B73,기본자료!$B$2:$B$501,0),IFERROR(MATCH(B73&amp;"",기본자료!$B$2:$B$501,0),IFERROR(MATCH(VALUE(B73),기본자료!$B$2:$B$501,0),""))))</f>
        <v/>
      </c>
    </row>
    <row r="74">
      <c r="A74" s="8">
        <f>IF(B74="","",ROW()-1)</f>
        <v/>
      </c>
      <c r="B74" s="9" t="n"/>
      <c r="C74" s="8">
        <f>IF($W74="","",IF(INDEX(기본자료!$C$2:$C$501,$W74)="","",INDEX(기본자료!$C$2:$C$501,$W74)))</f>
        <v/>
      </c>
      <c r="D74" s="8">
        <f>IF($W74="","",IF(INDEX(기본자료!$J$2:$J$501,$W74)="","",INDEX(기본자료!$J$2:$J$501,$W74)))</f>
        <v/>
      </c>
      <c r="E74" s="10">
        <f>IF($W74="","",IF(INDEX(기본자료!$K$2:$K$501,$W74)="","",IF(NOT(ISNUMBER(INDEX(기본자료!$K$2:$K$501,$W74))),INDEX(기본자료!$K$2:$K$501,$W74),IF(INDEX(기본자료!$K$2:$K$501,$W74)&lt;1000000,INDEX(기본자료!$K$2:$K$501,$W74),IF(AND(INDEX(기본자료!$K$2:$K$501,$W74)&gt;=10000101,INT(MOD(INDEX(기본자료!$K$2:$K$501,$W74),10000)/100)&gt;=1,INT(MOD(INDEX(기본자료!$K$2:$K$501,$W74),10000)/100)&lt;=12,MOD(INDEX(기본자료!$K$2:$K$501,$W74),100)&gt;=1,MOD(INDEX(기본자료!$K$2:$K$501,$W74),100)&lt;=31),DATE(INT(INDEX(기본자료!$K$2:$K$501,$W74)/10000),INT(MOD(INDEX(기본자료!$K$2:$K$501,$W74),10000)/100),MOD(INDEX(기본자료!$K$2:$K$501,$W74),100)),INDEX(기본자료!$K$2:$K$501,$W74)&amp;"")))))</f>
        <v/>
      </c>
      <c r="F74" s="8">
        <f>IF($W74="","",IF(INDEX(기본자료!$D$2:$D$501,$W74)="","",INDEX(기본자료!$D$2:$D$501,$W74)))</f>
        <v/>
      </c>
      <c r="G74" s="8">
        <f>IF($W74="","",IF(INDEX(기본자료!$E$2:$E$501,$W74)="","",INDEX(기본자료!$E$2:$E$501,$W74)))</f>
        <v/>
      </c>
      <c r="H74" s="8">
        <f>IF($W74="","",IF(INDEX(기본자료!$F$2:$F$501,$W74)="","",INDEX(기본자료!$F$2:$F$501,$W74)))</f>
        <v/>
      </c>
      <c r="I74" s="10">
        <f>IF($W74="","",IF(INDEX(기본자료!$G$2:$G$501,$W74)="","",IF(NOT(ISNUMBER(INDEX(기본자료!$G$2:$G$501,$W74))),INDEX(기본자료!$G$2:$G$501,$W74),IF(INDEX(기본자료!$G$2:$G$501,$W74)&lt;1000000,INDEX(기본자료!$G$2:$G$501,$W74),IF(AND(INDEX(기본자료!$G$2:$G$501,$W74)&gt;=10000101,INT(MOD(INDEX(기본자료!$G$2:$G$501,$W74),10000)/100)&gt;=1,INT(MOD(INDEX(기본자료!$G$2:$G$501,$W74),10000)/100)&lt;=12,MOD(INDEX(기본자료!$G$2:$G$501,$W74),100)&gt;=1,MOD(INDEX(기본자료!$G$2:$G$501,$W74),100)&lt;=31),DATE(INT(INDEX(기본자료!$G$2:$G$501,$W74)/10000),INT(MOD(INDEX(기본자료!$G$2:$G$501,$W74),10000)/100),MOD(INDEX(기본자료!$G$2:$G$501,$W74),100)),INDEX(기본자료!$G$2:$G$501,$W74)&amp;"")))))</f>
        <v/>
      </c>
      <c r="J74" s="8">
        <f>IF($W74="","",IF(INDEX(기본자료!$H$2:$H$501,$W74)="","",INDEX(기본자료!$H$2:$H$501,$W74)))</f>
        <v/>
      </c>
      <c r="K74" s="8">
        <f>IF($W74="","",IF(INDEX(기본자료!$I$2:$I$501,$W74)="","",INDEX(기본자료!$I$2:$I$501,$W74)))</f>
        <v/>
      </c>
      <c r="L74" s="8">
        <f>IF($W74="","",IF(INDEX(기본자료!$A$2:$A$501,$W74)="","",INDEX(기본자료!$A$2:$A$501,$W74)))</f>
        <v/>
      </c>
      <c r="M74" s="5" t="n"/>
      <c r="N74" s="5" t="n"/>
      <c r="O74" s="5" t="n"/>
      <c r="P74" s="5" t="n"/>
      <c r="Q74" s="11" t="n"/>
      <c r="R74" s="11" t="n"/>
      <c r="S74" s="8">
        <f>IF(OR(B74="",Q74=""),"",IF(TODAY()&lt;Q74,"파견예정",IF(AND(R74&lt;&gt;"",TODAY()&gt;R74),"파견종료","파견중")))</f>
        <v/>
      </c>
      <c r="T74" s="12">
        <f>IF(OR(Q74="",R74=""),"",R74-Q74+1)</f>
        <v/>
      </c>
      <c r="U74" s="12">
        <f>IF(AND(S74="파견중",R74&lt;&gt;""),R74-TODAY(),"")</f>
        <v/>
      </c>
      <c r="V74" s="5" t="n"/>
      <c r="W74" s="8">
        <f>IF(B74="","",IFERROR(MATCH(B74,기본자료!$B$2:$B$501,0),IFERROR(MATCH(B74&amp;"",기본자료!$B$2:$B$501,0),IFERROR(MATCH(VALUE(B74),기본자료!$B$2:$B$501,0),""))))</f>
        <v/>
      </c>
    </row>
    <row r="75">
      <c r="A75" s="8">
        <f>IF(B75="","",ROW()-1)</f>
        <v/>
      </c>
      <c r="B75" s="9" t="n"/>
      <c r="C75" s="8">
        <f>IF($W75="","",IF(INDEX(기본자료!$C$2:$C$501,$W75)="","",INDEX(기본자료!$C$2:$C$501,$W75)))</f>
        <v/>
      </c>
      <c r="D75" s="8">
        <f>IF($W75="","",IF(INDEX(기본자료!$J$2:$J$501,$W75)="","",INDEX(기본자료!$J$2:$J$501,$W75)))</f>
        <v/>
      </c>
      <c r="E75" s="10">
        <f>IF($W75="","",IF(INDEX(기본자료!$K$2:$K$501,$W75)="","",IF(NOT(ISNUMBER(INDEX(기본자료!$K$2:$K$501,$W75))),INDEX(기본자료!$K$2:$K$501,$W75),IF(INDEX(기본자료!$K$2:$K$501,$W75)&lt;1000000,INDEX(기본자료!$K$2:$K$501,$W75),IF(AND(INDEX(기본자료!$K$2:$K$501,$W75)&gt;=10000101,INT(MOD(INDEX(기본자료!$K$2:$K$501,$W75),10000)/100)&gt;=1,INT(MOD(INDEX(기본자료!$K$2:$K$501,$W75),10000)/100)&lt;=12,MOD(INDEX(기본자료!$K$2:$K$501,$W75),100)&gt;=1,MOD(INDEX(기본자료!$K$2:$K$501,$W75),100)&lt;=31),DATE(INT(INDEX(기본자료!$K$2:$K$501,$W75)/10000),INT(MOD(INDEX(기본자료!$K$2:$K$501,$W75),10000)/100),MOD(INDEX(기본자료!$K$2:$K$501,$W75),100)),INDEX(기본자료!$K$2:$K$501,$W75)&amp;"")))))</f>
        <v/>
      </c>
      <c r="F75" s="8">
        <f>IF($W75="","",IF(INDEX(기본자료!$D$2:$D$501,$W75)="","",INDEX(기본자료!$D$2:$D$501,$W75)))</f>
        <v/>
      </c>
      <c r="G75" s="8">
        <f>IF($W75="","",IF(INDEX(기본자료!$E$2:$E$501,$W75)="","",INDEX(기본자료!$E$2:$E$501,$W75)))</f>
        <v/>
      </c>
      <c r="H75" s="8">
        <f>IF($W75="","",IF(INDEX(기본자료!$F$2:$F$501,$W75)="","",INDEX(기본자료!$F$2:$F$501,$W75)))</f>
        <v/>
      </c>
      <c r="I75" s="10">
        <f>IF($W75="","",IF(INDEX(기본자료!$G$2:$G$501,$W75)="","",IF(NOT(ISNUMBER(INDEX(기본자료!$G$2:$G$501,$W75))),INDEX(기본자료!$G$2:$G$501,$W75),IF(INDEX(기본자료!$G$2:$G$501,$W75)&lt;1000000,INDEX(기본자료!$G$2:$G$501,$W75),IF(AND(INDEX(기본자료!$G$2:$G$501,$W75)&gt;=10000101,INT(MOD(INDEX(기본자료!$G$2:$G$501,$W75),10000)/100)&gt;=1,INT(MOD(INDEX(기본자료!$G$2:$G$501,$W75),10000)/100)&lt;=12,MOD(INDEX(기본자료!$G$2:$G$501,$W75),100)&gt;=1,MOD(INDEX(기본자료!$G$2:$G$501,$W75),100)&lt;=31),DATE(INT(INDEX(기본자료!$G$2:$G$501,$W75)/10000),INT(MOD(INDEX(기본자료!$G$2:$G$501,$W75),10000)/100),MOD(INDEX(기본자료!$G$2:$G$501,$W75),100)),INDEX(기본자료!$G$2:$G$501,$W75)&amp;"")))))</f>
        <v/>
      </c>
      <c r="J75" s="8">
        <f>IF($W75="","",IF(INDEX(기본자료!$H$2:$H$501,$W75)="","",INDEX(기본자료!$H$2:$H$501,$W75)))</f>
        <v/>
      </c>
      <c r="K75" s="8">
        <f>IF($W75="","",IF(INDEX(기본자료!$I$2:$I$501,$W75)="","",INDEX(기본자료!$I$2:$I$501,$W75)))</f>
        <v/>
      </c>
      <c r="L75" s="8">
        <f>IF($W75="","",IF(INDEX(기본자료!$A$2:$A$501,$W75)="","",INDEX(기본자료!$A$2:$A$501,$W75)))</f>
        <v/>
      </c>
      <c r="M75" s="5" t="n"/>
      <c r="N75" s="5" t="n"/>
      <c r="O75" s="5" t="n"/>
      <c r="P75" s="5" t="n"/>
      <c r="Q75" s="11" t="n"/>
      <c r="R75" s="11" t="n"/>
      <c r="S75" s="8">
        <f>IF(OR(B75="",Q75=""),"",IF(TODAY()&lt;Q75,"파견예정",IF(AND(R75&lt;&gt;"",TODAY()&gt;R75),"파견종료","파견중")))</f>
        <v/>
      </c>
      <c r="T75" s="12">
        <f>IF(OR(Q75="",R75=""),"",R75-Q75+1)</f>
        <v/>
      </c>
      <c r="U75" s="12">
        <f>IF(AND(S75="파견중",R75&lt;&gt;""),R75-TODAY(),"")</f>
        <v/>
      </c>
      <c r="V75" s="5" t="n"/>
      <c r="W75" s="8">
        <f>IF(B75="","",IFERROR(MATCH(B75,기본자료!$B$2:$B$501,0),IFERROR(MATCH(B75&amp;"",기본자료!$B$2:$B$501,0),IFERROR(MATCH(VALUE(B75),기본자료!$B$2:$B$501,0),""))))</f>
        <v/>
      </c>
    </row>
    <row r="76">
      <c r="A76" s="8">
        <f>IF(B76="","",ROW()-1)</f>
        <v/>
      </c>
      <c r="B76" s="9" t="n"/>
      <c r="C76" s="8">
        <f>IF($W76="","",IF(INDEX(기본자료!$C$2:$C$501,$W76)="","",INDEX(기본자료!$C$2:$C$501,$W76)))</f>
        <v/>
      </c>
      <c r="D76" s="8">
        <f>IF($W76="","",IF(INDEX(기본자료!$J$2:$J$501,$W76)="","",INDEX(기본자료!$J$2:$J$501,$W76)))</f>
        <v/>
      </c>
      <c r="E76" s="10">
        <f>IF($W76="","",IF(INDEX(기본자료!$K$2:$K$501,$W76)="","",IF(NOT(ISNUMBER(INDEX(기본자료!$K$2:$K$501,$W76))),INDEX(기본자료!$K$2:$K$501,$W76),IF(INDEX(기본자료!$K$2:$K$501,$W76)&lt;1000000,INDEX(기본자료!$K$2:$K$501,$W76),IF(AND(INDEX(기본자료!$K$2:$K$501,$W76)&gt;=10000101,INT(MOD(INDEX(기본자료!$K$2:$K$501,$W76),10000)/100)&gt;=1,INT(MOD(INDEX(기본자료!$K$2:$K$501,$W76),10000)/100)&lt;=12,MOD(INDEX(기본자료!$K$2:$K$501,$W76),100)&gt;=1,MOD(INDEX(기본자료!$K$2:$K$501,$W76),100)&lt;=31),DATE(INT(INDEX(기본자료!$K$2:$K$501,$W76)/10000),INT(MOD(INDEX(기본자료!$K$2:$K$501,$W76),10000)/100),MOD(INDEX(기본자료!$K$2:$K$501,$W76),100)),INDEX(기본자료!$K$2:$K$501,$W76)&amp;"")))))</f>
        <v/>
      </c>
      <c r="F76" s="8">
        <f>IF($W76="","",IF(INDEX(기본자료!$D$2:$D$501,$W76)="","",INDEX(기본자료!$D$2:$D$501,$W76)))</f>
        <v/>
      </c>
      <c r="G76" s="8">
        <f>IF($W76="","",IF(INDEX(기본자료!$E$2:$E$501,$W76)="","",INDEX(기본자료!$E$2:$E$501,$W76)))</f>
        <v/>
      </c>
      <c r="H76" s="8">
        <f>IF($W76="","",IF(INDEX(기본자료!$F$2:$F$501,$W76)="","",INDEX(기본자료!$F$2:$F$501,$W76)))</f>
        <v/>
      </c>
      <c r="I76" s="10">
        <f>IF($W76="","",IF(INDEX(기본자료!$G$2:$G$501,$W76)="","",IF(NOT(ISNUMBER(INDEX(기본자료!$G$2:$G$501,$W76))),INDEX(기본자료!$G$2:$G$501,$W76),IF(INDEX(기본자료!$G$2:$G$501,$W76)&lt;1000000,INDEX(기본자료!$G$2:$G$501,$W76),IF(AND(INDEX(기본자료!$G$2:$G$501,$W76)&gt;=10000101,INT(MOD(INDEX(기본자료!$G$2:$G$501,$W76),10000)/100)&gt;=1,INT(MOD(INDEX(기본자료!$G$2:$G$501,$W76),10000)/100)&lt;=12,MOD(INDEX(기본자료!$G$2:$G$501,$W76),100)&gt;=1,MOD(INDEX(기본자료!$G$2:$G$501,$W76),100)&lt;=31),DATE(INT(INDEX(기본자료!$G$2:$G$501,$W76)/10000),INT(MOD(INDEX(기본자료!$G$2:$G$501,$W76),10000)/100),MOD(INDEX(기본자료!$G$2:$G$501,$W76),100)),INDEX(기본자료!$G$2:$G$501,$W76)&amp;"")))))</f>
        <v/>
      </c>
      <c r="J76" s="8">
        <f>IF($W76="","",IF(INDEX(기본자료!$H$2:$H$501,$W76)="","",INDEX(기본자료!$H$2:$H$501,$W76)))</f>
        <v/>
      </c>
      <c r="K76" s="8">
        <f>IF($W76="","",IF(INDEX(기본자료!$I$2:$I$501,$W76)="","",INDEX(기본자료!$I$2:$I$501,$W76)))</f>
        <v/>
      </c>
      <c r="L76" s="8">
        <f>IF($W76="","",IF(INDEX(기본자료!$A$2:$A$501,$W76)="","",INDEX(기본자료!$A$2:$A$501,$W76)))</f>
        <v/>
      </c>
      <c r="M76" s="5" t="n"/>
      <c r="N76" s="5" t="n"/>
      <c r="O76" s="5" t="n"/>
      <c r="P76" s="5" t="n"/>
      <c r="Q76" s="11" t="n"/>
      <c r="R76" s="11" t="n"/>
      <c r="S76" s="8">
        <f>IF(OR(B76="",Q76=""),"",IF(TODAY()&lt;Q76,"파견예정",IF(AND(R76&lt;&gt;"",TODAY()&gt;R76),"파견종료","파견중")))</f>
        <v/>
      </c>
      <c r="T76" s="12">
        <f>IF(OR(Q76="",R76=""),"",R76-Q76+1)</f>
        <v/>
      </c>
      <c r="U76" s="12">
        <f>IF(AND(S76="파견중",R76&lt;&gt;""),R76-TODAY(),"")</f>
        <v/>
      </c>
      <c r="V76" s="5" t="n"/>
      <c r="W76" s="8">
        <f>IF(B76="","",IFERROR(MATCH(B76,기본자료!$B$2:$B$501,0),IFERROR(MATCH(B76&amp;"",기본자료!$B$2:$B$501,0),IFERROR(MATCH(VALUE(B76),기본자료!$B$2:$B$501,0),""))))</f>
        <v/>
      </c>
    </row>
    <row r="77">
      <c r="A77" s="8">
        <f>IF(B77="","",ROW()-1)</f>
        <v/>
      </c>
      <c r="B77" s="9" t="n"/>
      <c r="C77" s="8">
        <f>IF($W77="","",IF(INDEX(기본자료!$C$2:$C$501,$W77)="","",INDEX(기본자료!$C$2:$C$501,$W77)))</f>
        <v/>
      </c>
      <c r="D77" s="8">
        <f>IF($W77="","",IF(INDEX(기본자료!$J$2:$J$501,$W77)="","",INDEX(기본자료!$J$2:$J$501,$W77)))</f>
        <v/>
      </c>
      <c r="E77" s="10">
        <f>IF($W77="","",IF(INDEX(기본자료!$K$2:$K$501,$W77)="","",IF(NOT(ISNUMBER(INDEX(기본자료!$K$2:$K$501,$W77))),INDEX(기본자료!$K$2:$K$501,$W77),IF(INDEX(기본자료!$K$2:$K$501,$W77)&lt;1000000,INDEX(기본자료!$K$2:$K$501,$W77),IF(AND(INDEX(기본자료!$K$2:$K$501,$W77)&gt;=10000101,INT(MOD(INDEX(기본자료!$K$2:$K$501,$W77),10000)/100)&gt;=1,INT(MOD(INDEX(기본자료!$K$2:$K$501,$W77),10000)/100)&lt;=12,MOD(INDEX(기본자료!$K$2:$K$501,$W77),100)&gt;=1,MOD(INDEX(기본자료!$K$2:$K$501,$W77),100)&lt;=31),DATE(INT(INDEX(기본자료!$K$2:$K$501,$W77)/10000),INT(MOD(INDEX(기본자료!$K$2:$K$501,$W77),10000)/100),MOD(INDEX(기본자료!$K$2:$K$501,$W77),100)),INDEX(기본자료!$K$2:$K$501,$W77)&amp;"")))))</f>
        <v/>
      </c>
      <c r="F77" s="8">
        <f>IF($W77="","",IF(INDEX(기본자료!$D$2:$D$501,$W77)="","",INDEX(기본자료!$D$2:$D$501,$W77)))</f>
        <v/>
      </c>
      <c r="G77" s="8">
        <f>IF($W77="","",IF(INDEX(기본자료!$E$2:$E$501,$W77)="","",INDEX(기본자료!$E$2:$E$501,$W77)))</f>
        <v/>
      </c>
      <c r="H77" s="8">
        <f>IF($W77="","",IF(INDEX(기본자료!$F$2:$F$501,$W77)="","",INDEX(기본자료!$F$2:$F$501,$W77)))</f>
        <v/>
      </c>
      <c r="I77" s="10">
        <f>IF($W77="","",IF(INDEX(기본자료!$G$2:$G$501,$W77)="","",IF(NOT(ISNUMBER(INDEX(기본자료!$G$2:$G$501,$W77))),INDEX(기본자료!$G$2:$G$501,$W77),IF(INDEX(기본자료!$G$2:$G$501,$W77)&lt;1000000,INDEX(기본자료!$G$2:$G$501,$W77),IF(AND(INDEX(기본자료!$G$2:$G$501,$W77)&gt;=10000101,INT(MOD(INDEX(기본자료!$G$2:$G$501,$W77),10000)/100)&gt;=1,INT(MOD(INDEX(기본자료!$G$2:$G$501,$W77),10000)/100)&lt;=12,MOD(INDEX(기본자료!$G$2:$G$501,$W77),100)&gt;=1,MOD(INDEX(기본자료!$G$2:$G$501,$W77),100)&lt;=31),DATE(INT(INDEX(기본자료!$G$2:$G$501,$W77)/10000),INT(MOD(INDEX(기본자료!$G$2:$G$501,$W77),10000)/100),MOD(INDEX(기본자료!$G$2:$G$501,$W77),100)),INDEX(기본자료!$G$2:$G$501,$W77)&amp;"")))))</f>
        <v/>
      </c>
      <c r="J77" s="8">
        <f>IF($W77="","",IF(INDEX(기본자료!$H$2:$H$501,$W77)="","",INDEX(기본자료!$H$2:$H$501,$W77)))</f>
        <v/>
      </c>
      <c r="K77" s="8">
        <f>IF($W77="","",IF(INDEX(기본자료!$I$2:$I$501,$W77)="","",INDEX(기본자료!$I$2:$I$501,$W77)))</f>
        <v/>
      </c>
      <c r="L77" s="8">
        <f>IF($W77="","",IF(INDEX(기본자료!$A$2:$A$501,$W77)="","",INDEX(기본자료!$A$2:$A$501,$W77)))</f>
        <v/>
      </c>
      <c r="M77" s="5" t="n"/>
      <c r="N77" s="5" t="n"/>
      <c r="O77" s="5" t="n"/>
      <c r="P77" s="5" t="n"/>
      <c r="Q77" s="11" t="n"/>
      <c r="R77" s="11" t="n"/>
      <c r="S77" s="8">
        <f>IF(OR(B77="",Q77=""),"",IF(TODAY()&lt;Q77,"파견예정",IF(AND(R77&lt;&gt;"",TODAY()&gt;R77),"파견종료","파견중")))</f>
        <v/>
      </c>
      <c r="T77" s="12">
        <f>IF(OR(Q77="",R77=""),"",R77-Q77+1)</f>
        <v/>
      </c>
      <c r="U77" s="12">
        <f>IF(AND(S77="파견중",R77&lt;&gt;""),R77-TODAY(),"")</f>
        <v/>
      </c>
      <c r="V77" s="5" t="n"/>
      <c r="W77" s="8">
        <f>IF(B77="","",IFERROR(MATCH(B77,기본자료!$B$2:$B$501,0),IFERROR(MATCH(B77&amp;"",기본자료!$B$2:$B$501,0),IFERROR(MATCH(VALUE(B77),기본자료!$B$2:$B$501,0),""))))</f>
        <v/>
      </c>
    </row>
    <row r="78">
      <c r="A78" s="8">
        <f>IF(B78="","",ROW()-1)</f>
        <v/>
      </c>
      <c r="B78" s="9" t="n"/>
      <c r="C78" s="8">
        <f>IF($W78="","",IF(INDEX(기본자료!$C$2:$C$501,$W78)="","",INDEX(기본자료!$C$2:$C$501,$W78)))</f>
        <v/>
      </c>
      <c r="D78" s="8">
        <f>IF($W78="","",IF(INDEX(기본자료!$J$2:$J$501,$W78)="","",INDEX(기본자료!$J$2:$J$501,$W78)))</f>
        <v/>
      </c>
      <c r="E78" s="10">
        <f>IF($W78="","",IF(INDEX(기본자료!$K$2:$K$501,$W78)="","",IF(NOT(ISNUMBER(INDEX(기본자료!$K$2:$K$501,$W78))),INDEX(기본자료!$K$2:$K$501,$W78),IF(INDEX(기본자료!$K$2:$K$501,$W78)&lt;1000000,INDEX(기본자료!$K$2:$K$501,$W78),IF(AND(INDEX(기본자료!$K$2:$K$501,$W78)&gt;=10000101,INT(MOD(INDEX(기본자료!$K$2:$K$501,$W78),10000)/100)&gt;=1,INT(MOD(INDEX(기본자료!$K$2:$K$501,$W78),10000)/100)&lt;=12,MOD(INDEX(기본자료!$K$2:$K$501,$W78),100)&gt;=1,MOD(INDEX(기본자료!$K$2:$K$501,$W78),100)&lt;=31),DATE(INT(INDEX(기본자료!$K$2:$K$501,$W78)/10000),INT(MOD(INDEX(기본자료!$K$2:$K$501,$W78),10000)/100),MOD(INDEX(기본자료!$K$2:$K$501,$W78),100)),INDEX(기본자료!$K$2:$K$501,$W78)&amp;"")))))</f>
        <v/>
      </c>
      <c r="F78" s="8">
        <f>IF($W78="","",IF(INDEX(기본자료!$D$2:$D$501,$W78)="","",INDEX(기본자료!$D$2:$D$501,$W78)))</f>
        <v/>
      </c>
      <c r="G78" s="8">
        <f>IF($W78="","",IF(INDEX(기본자료!$E$2:$E$501,$W78)="","",INDEX(기본자료!$E$2:$E$501,$W78)))</f>
        <v/>
      </c>
      <c r="H78" s="8">
        <f>IF($W78="","",IF(INDEX(기본자료!$F$2:$F$501,$W78)="","",INDEX(기본자료!$F$2:$F$501,$W78)))</f>
        <v/>
      </c>
      <c r="I78" s="10">
        <f>IF($W78="","",IF(INDEX(기본자료!$G$2:$G$501,$W78)="","",IF(NOT(ISNUMBER(INDEX(기본자료!$G$2:$G$501,$W78))),INDEX(기본자료!$G$2:$G$501,$W78),IF(INDEX(기본자료!$G$2:$G$501,$W78)&lt;1000000,INDEX(기본자료!$G$2:$G$501,$W78),IF(AND(INDEX(기본자료!$G$2:$G$501,$W78)&gt;=10000101,INT(MOD(INDEX(기본자료!$G$2:$G$501,$W78),10000)/100)&gt;=1,INT(MOD(INDEX(기본자료!$G$2:$G$501,$W78),10000)/100)&lt;=12,MOD(INDEX(기본자료!$G$2:$G$501,$W78),100)&gt;=1,MOD(INDEX(기본자료!$G$2:$G$501,$W78),100)&lt;=31),DATE(INT(INDEX(기본자료!$G$2:$G$501,$W78)/10000),INT(MOD(INDEX(기본자료!$G$2:$G$501,$W78),10000)/100),MOD(INDEX(기본자료!$G$2:$G$501,$W78),100)),INDEX(기본자료!$G$2:$G$501,$W78)&amp;"")))))</f>
        <v/>
      </c>
      <c r="J78" s="8">
        <f>IF($W78="","",IF(INDEX(기본자료!$H$2:$H$501,$W78)="","",INDEX(기본자료!$H$2:$H$501,$W78)))</f>
        <v/>
      </c>
      <c r="K78" s="8">
        <f>IF($W78="","",IF(INDEX(기본자료!$I$2:$I$501,$W78)="","",INDEX(기본자료!$I$2:$I$501,$W78)))</f>
        <v/>
      </c>
      <c r="L78" s="8">
        <f>IF($W78="","",IF(INDEX(기본자료!$A$2:$A$501,$W78)="","",INDEX(기본자료!$A$2:$A$501,$W78)))</f>
        <v/>
      </c>
      <c r="M78" s="5" t="n"/>
      <c r="N78" s="5" t="n"/>
      <c r="O78" s="5" t="n"/>
      <c r="P78" s="5" t="n"/>
      <c r="Q78" s="11" t="n"/>
      <c r="R78" s="11" t="n"/>
      <c r="S78" s="8">
        <f>IF(OR(B78="",Q78=""),"",IF(TODAY()&lt;Q78,"파견예정",IF(AND(R78&lt;&gt;"",TODAY()&gt;R78),"파견종료","파견중")))</f>
        <v/>
      </c>
      <c r="T78" s="12">
        <f>IF(OR(Q78="",R78=""),"",R78-Q78+1)</f>
        <v/>
      </c>
      <c r="U78" s="12">
        <f>IF(AND(S78="파견중",R78&lt;&gt;""),R78-TODAY(),"")</f>
        <v/>
      </c>
      <c r="V78" s="5" t="n"/>
      <c r="W78" s="8">
        <f>IF(B78="","",IFERROR(MATCH(B78,기본자료!$B$2:$B$501,0),IFERROR(MATCH(B78&amp;"",기본자료!$B$2:$B$501,0),IFERROR(MATCH(VALUE(B78),기본자료!$B$2:$B$501,0),""))))</f>
        <v/>
      </c>
    </row>
    <row r="79">
      <c r="A79" s="8">
        <f>IF(B79="","",ROW()-1)</f>
        <v/>
      </c>
      <c r="B79" s="9" t="n"/>
      <c r="C79" s="8">
        <f>IF($W79="","",IF(INDEX(기본자료!$C$2:$C$501,$W79)="","",INDEX(기본자료!$C$2:$C$501,$W79)))</f>
        <v/>
      </c>
      <c r="D79" s="8">
        <f>IF($W79="","",IF(INDEX(기본자료!$J$2:$J$501,$W79)="","",INDEX(기본자료!$J$2:$J$501,$W79)))</f>
        <v/>
      </c>
      <c r="E79" s="10">
        <f>IF($W79="","",IF(INDEX(기본자료!$K$2:$K$501,$W79)="","",IF(NOT(ISNUMBER(INDEX(기본자료!$K$2:$K$501,$W79))),INDEX(기본자료!$K$2:$K$501,$W79),IF(INDEX(기본자료!$K$2:$K$501,$W79)&lt;1000000,INDEX(기본자료!$K$2:$K$501,$W79),IF(AND(INDEX(기본자료!$K$2:$K$501,$W79)&gt;=10000101,INT(MOD(INDEX(기본자료!$K$2:$K$501,$W79),10000)/100)&gt;=1,INT(MOD(INDEX(기본자료!$K$2:$K$501,$W79),10000)/100)&lt;=12,MOD(INDEX(기본자료!$K$2:$K$501,$W79),100)&gt;=1,MOD(INDEX(기본자료!$K$2:$K$501,$W79),100)&lt;=31),DATE(INT(INDEX(기본자료!$K$2:$K$501,$W79)/10000),INT(MOD(INDEX(기본자료!$K$2:$K$501,$W79),10000)/100),MOD(INDEX(기본자료!$K$2:$K$501,$W79),100)),INDEX(기본자료!$K$2:$K$501,$W79)&amp;"")))))</f>
        <v/>
      </c>
      <c r="F79" s="8">
        <f>IF($W79="","",IF(INDEX(기본자료!$D$2:$D$501,$W79)="","",INDEX(기본자료!$D$2:$D$501,$W79)))</f>
        <v/>
      </c>
      <c r="G79" s="8">
        <f>IF($W79="","",IF(INDEX(기본자료!$E$2:$E$501,$W79)="","",INDEX(기본자료!$E$2:$E$501,$W79)))</f>
        <v/>
      </c>
      <c r="H79" s="8">
        <f>IF($W79="","",IF(INDEX(기본자료!$F$2:$F$501,$W79)="","",INDEX(기본자료!$F$2:$F$501,$W79)))</f>
        <v/>
      </c>
      <c r="I79" s="10">
        <f>IF($W79="","",IF(INDEX(기본자료!$G$2:$G$501,$W79)="","",IF(NOT(ISNUMBER(INDEX(기본자료!$G$2:$G$501,$W79))),INDEX(기본자료!$G$2:$G$501,$W79),IF(INDEX(기본자료!$G$2:$G$501,$W79)&lt;1000000,INDEX(기본자료!$G$2:$G$501,$W79),IF(AND(INDEX(기본자료!$G$2:$G$501,$W79)&gt;=10000101,INT(MOD(INDEX(기본자료!$G$2:$G$501,$W79),10000)/100)&gt;=1,INT(MOD(INDEX(기본자료!$G$2:$G$501,$W79),10000)/100)&lt;=12,MOD(INDEX(기본자료!$G$2:$G$501,$W79),100)&gt;=1,MOD(INDEX(기본자료!$G$2:$G$501,$W79),100)&lt;=31),DATE(INT(INDEX(기본자료!$G$2:$G$501,$W79)/10000),INT(MOD(INDEX(기본자료!$G$2:$G$501,$W79),10000)/100),MOD(INDEX(기본자료!$G$2:$G$501,$W79),100)),INDEX(기본자료!$G$2:$G$501,$W79)&amp;"")))))</f>
        <v/>
      </c>
      <c r="J79" s="8">
        <f>IF($W79="","",IF(INDEX(기본자료!$H$2:$H$501,$W79)="","",INDEX(기본자료!$H$2:$H$501,$W79)))</f>
        <v/>
      </c>
      <c r="K79" s="8">
        <f>IF($W79="","",IF(INDEX(기본자료!$I$2:$I$501,$W79)="","",INDEX(기본자료!$I$2:$I$501,$W79)))</f>
        <v/>
      </c>
      <c r="L79" s="8">
        <f>IF($W79="","",IF(INDEX(기본자료!$A$2:$A$501,$W79)="","",INDEX(기본자료!$A$2:$A$501,$W79)))</f>
        <v/>
      </c>
      <c r="M79" s="5" t="n"/>
      <c r="N79" s="5" t="n"/>
      <c r="O79" s="5" t="n"/>
      <c r="P79" s="5" t="n"/>
      <c r="Q79" s="11" t="n"/>
      <c r="R79" s="11" t="n"/>
      <c r="S79" s="8">
        <f>IF(OR(B79="",Q79=""),"",IF(TODAY()&lt;Q79,"파견예정",IF(AND(R79&lt;&gt;"",TODAY()&gt;R79),"파견종료","파견중")))</f>
        <v/>
      </c>
      <c r="T79" s="12">
        <f>IF(OR(Q79="",R79=""),"",R79-Q79+1)</f>
        <v/>
      </c>
      <c r="U79" s="12">
        <f>IF(AND(S79="파견중",R79&lt;&gt;""),R79-TODAY(),"")</f>
        <v/>
      </c>
      <c r="V79" s="5" t="n"/>
      <c r="W79" s="8">
        <f>IF(B79="","",IFERROR(MATCH(B79,기본자료!$B$2:$B$501,0),IFERROR(MATCH(B79&amp;"",기본자료!$B$2:$B$501,0),IFERROR(MATCH(VALUE(B79),기본자료!$B$2:$B$501,0),""))))</f>
        <v/>
      </c>
    </row>
    <row r="80">
      <c r="A80" s="8">
        <f>IF(B80="","",ROW()-1)</f>
        <v/>
      </c>
      <c r="B80" s="9" t="n"/>
      <c r="C80" s="8">
        <f>IF($W80="","",IF(INDEX(기본자료!$C$2:$C$501,$W80)="","",INDEX(기본자료!$C$2:$C$501,$W80)))</f>
        <v/>
      </c>
      <c r="D80" s="8">
        <f>IF($W80="","",IF(INDEX(기본자료!$J$2:$J$501,$W80)="","",INDEX(기본자료!$J$2:$J$501,$W80)))</f>
        <v/>
      </c>
      <c r="E80" s="10">
        <f>IF($W80="","",IF(INDEX(기본자료!$K$2:$K$501,$W80)="","",IF(NOT(ISNUMBER(INDEX(기본자료!$K$2:$K$501,$W80))),INDEX(기본자료!$K$2:$K$501,$W80),IF(INDEX(기본자료!$K$2:$K$501,$W80)&lt;1000000,INDEX(기본자료!$K$2:$K$501,$W80),IF(AND(INDEX(기본자료!$K$2:$K$501,$W80)&gt;=10000101,INT(MOD(INDEX(기본자료!$K$2:$K$501,$W80),10000)/100)&gt;=1,INT(MOD(INDEX(기본자료!$K$2:$K$501,$W80),10000)/100)&lt;=12,MOD(INDEX(기본자료!$K$2:$K$501,$W80),100)&gt;=1,MOD(INDEX(기본자료!$K$2:$K$501,$W80),100)&lt;=31),DATE(INT(INDEX(기본자료!$K$2:$K$501,$W80)/10000),INT(MOD(INDEX(기본자료!$K$2:$K$501,$W80),10000)/100),MOD(INDEX(기본자료!$K$2:$K$501,$W80),100)),INDEX(기본자료!$K$2:$K$501,$W80)&amp;"")))))</f>
        <v/>
      </c>
      <c r="F80" s="8">
        <f>IF($W80="","",IF(INDEX(기본자료!$D$2:$D$501,$W80)="","",INDEX(기본자료!$D$2:$D$501,$W80)))</f>
        <v/>
      </c>
      <c r="G80" s="8">
        <f>IF($W80="","",IF(INDEX(기본자료!$E$2:$E$501,$W80)="","",INDEX(기본자료!$E$2:$E$501,$W80)))</f>
        <v/>
      </c>
      <c r="H80" s="8">
        <f>IF($W80="","",IF(INDEX(기본자료!$F$2:$F$501,$W80)="","",INDEX(기본자료!$F$2:$F$501,$W80)))</f>
        <v/>
      </c>
      <c r="I80" s="10">
        <f>IF($W80="","",IF(INDEX(기본자료!$G$2:$G$501,$W80)="","",IF(NOT(ISNUMBER(INDEX(기본자료!$G$2:$G$501,$W80))),INDEX(기본자료!$G$2:$G$501,$W80),IF(INDEX(기본자료!$G$2:$G$501,$W80)&lt;1000000,INDEX(기본자료!$G$2:$G$501,$W80),IF(AND(INDEX(기본자료!$G$2:$G$501,$W80)&gt;=10000101,INT(MOD(INDEX(기본자료!$G$2:$G$501,$W80),10000)/100)&gt;=1,INT(MOD(INDEX(기본자료!$G$2:$G$501,$W80),10000)/100)&lt;=12,MOD(INDEX(기본자료!$G$2:$G$501,$W80),100)&gt;=1,MOD(INDEX(기본자료!$G$2:$G$501,$W80),100)&lt;=31),DATE(INT(INDEX(기본자료!$G$2:$G$501,$W80)/10000),INT(MOD(INDEX(기본자료!$G$2:$G$501,$W80),10000)/100),MOD(INDEX(기본자료!$G$2:$G$501,$W80),100)),INDEX(기본자료!$G$2:$G$501,$W80)&amp;"")))))</f>
        <v/>
      </c>
      <c r="J80" s="8">
        <f>IF($W80="","",IF(INDEX(기본자료!$H$2:$H$501,$W80)="","",INDEX(기본자료!$H$2:$H$501,$W80)))</f>
        <v/>
      </c>
      <c r="K80" s="8">
        <f>IF($W80="","",IF(INDEX(기본자료!$I$2:$I$501,$W80)="","",INDEX(기본자료!$I$2:$I$501,$W80)))</f>
        <v/>
      </c>
      <c r="L80" s="8">
        <f>IF($W80="","",IF(INDEX(기본자료!$A$2:$A$501,$W80)="","",INDEX(기본자료!$A$2:$A$501,$W80)))</f>
        <v/>
      </c>
      <c r="M80" s="5" t="n"/>
      <c r="N80" s="5" t="n"/>
      <c r="O80" s="5" t="n"/>
      <c r="P80" s="5" t="n"/>
      <c r="Q80" s="11" t="n"/>
      <c r="R80" s="11" t="n"/>
      <c r="S80" s="8">
        <f>IF(OR(B80="",Q80=""),"",IF(TODAY()&lt;Q80,"파견예정",IF(AND(R80&lt;&gt;"",TODAY()&gt;R80),"파견종료","파견중")))</f>
        <v/>
      </c>
      <c r="T80" s="12">
        <f>IF(OR(Q80="",R80=""),"",R80-Q80+1)</f>
        <v/>
      </c>
      <c r="U80" s="12">
        <f>IF(AND(S80="파견중",R80&lt;&gt;""),R80-TODAY(),"")</f>
        <v/>
      </c>
      <c r="V80" s="5" t="n"/>
      <c r="W80" s="8">
        <f>IF(B80="","",IFERROR(MATCH(B80,기본자료!$B$2:$B$501,0),IFERROR(MATCH(B80&amp;"",기본자료!$B$2:$B$501,0),IFERROR(MATCH(VALUE(B80),기본자료!$B$2:$B$501,0),""))))</f>
        <v/>
      </c>
    </row>
    <row r="81">
      <c r="A81" s="8">
        <f>IF(B81="","",ROW()-1)</f>
        <v/>
      </c>
      <c r="B81" s="9" t="n"/>
      <c r="C81" s="8">
        <f>IF($W81="","",IF(INDEX(기본자료!$C$2:$C$501,$W81)="","",INDEX(기본자료!$C$2:$C$501,$W81)))</f>
        <v/>
      </c>
      <c r="D81" s="8">
        <f>IF($W81="","",IF(INDEX(기본자료!$J$2:$J$501,$W81)="","",INDEX(기본자료!$J$2:$J$501,$W81)))</f>
        <v/>
      </c>
      <c r="E81" s="10">
        <f>IF($W81="","",IF(INDEX(기본자료!$K$2:$K$501,$W81)="","",IF(NOT(ISNUMBER(INDEX(기본자료!$K$2:$K$501,$W81))),INDEX(기본자료!$K$2:$K$501,$W81),IF(INDEX(기본자료!$K$2:$K$501,$W81)&lt;1000000,INDEX(기본자료!$K$2:$K$501,$W81),IF(AND(INDEX(기본자료!$K$2:$K$501,$W81)&gt;=10000101,INT(MOD(INDEX(기본자료!$K$2:$K$501,$W81),10000)/100)&gt;=1,INT(MOD(INDEX(기본자료!$K$2:$K$501,$W81),10000)/100)&lt;=12,MOD(INDEX(기본자료!$K$2:$K$501,$W81),100)&gt;=1,MOD(INDEX(기본자료!$K$2:$K$501,$W81),100)&lt;=31),DATE(INT(INDEX(기본자료!$K$2:$K$501,$W81)/10000),INT(MOD(INDEX(기본자료!$K$2:$K$501,$W81),10000)/100),MOD(INDEX(기본자료!$K$2:$K$501,$W81),100)),INDEX(기본자료!$K$2:$K$501,$W81)&amp;"")))))</f>
        <v/>
      </c>
      <c r="F81" s="8">
        <f>IF($W81="","",IF(INDEX(기본자료!$D$2:$D$501,$W81)="","",INDEX(기본자료!$D$2:$D$501,$W81)))</f>
        <v/>
      </c>
      <c r="G81" s="8">
        <f>IF($W81="","",IF(INDEX(기본자료!$E$2:$E$501,$W81)="","",INDEX(기본자료!$E$2:$E$501,$W81)))</f>
        <v/>
      </c>
      <c r="H81" s="8">
        <f>IF($W81="","",IF(INDEX(기본자료!$F$2:$F$501,$W81)="","",INDEX(기본자료!$F$2:$F$501,$W81)))</f>
        <v/>
      </c>
      <c r="I81" s="10">
        <f>IF($W81="","",IF(INDEX(기본자료!$G$2:$G$501,$W81)="","",IF(NOT(ISNUMBER(INDEX(기본자료!$G$2:$G$501,$W81))),INDEX(기본자료!$G$2:$G$501,$W81),IF(INDEX(기본자료!$G$2:$G$501,$W81)&lt;1000000,INDEX(기본자료!$G$2:$G$501,$W81),IF(AND(INDEX(기본자료!$G$2:$G$501,$W81)&gt;=10000101,INT(MOD(INDEX(기본자료!$G$2:$G$501,$W81),10000)/100)&gt;=1,INT(MOD(INDEX(기본자료!$G$2:$G$501,$W81),10000)/100)&lt;=12,MOD(INDEX(기본자료!$G$2:$G$501,$W81),100)&gt;=1,MOD(INDEX(기본자료!$G$2:$G$501,$W81),100)&lt;=31),DATE(INT(INDEX(기본자료!$G$2:$G$501,$W81)/10000),INT(MOD(INDEX(기본자료!$G$2:$G$501,$W81),10000)/100),MOD(INDEX(기본자료!$G$2:$G$501,$W81),100)),INDEX(기본자료!$G$2:$G$501,$W81)&amp;"")))))</f>
        <v/>
      </c>
      <c r="J81" s="8">
        <f>IF($W81="","",IF(INDEX(기본자료!$H$2:$H$501,$W81)="","",INDEX(기본자료!$H$2:$H$501,$W81)))</f>
        <v/>
      </c>
      <c r="K81" s="8">
        <f>IF($W81="","",IF(INDEX(기본자료!$I$2:$I$501,$W81)="","",INDEX(기본자료!$I$2:$I$501,$W81)))</f>
        <v/>
      </c>
      <c r="L81" s="8">
        <f>IF($W81="","",IF(INDEX(기본자료!$A$2:$A$501,$W81)="","",INDEX(기본자료!$A$2:$A$501,$W81)))</f>
        <v/>
      </c>
      <c r="M81" s="5" t="n"/>
      <c r="N81" s="5" t="n"/>
      <c r="O81" s="5" t="n"/>
      <c r="P81" s="5" t="n"/>
      <c r="Q81" s="11" t="n"/>
      <c r="R81" s="11" t="n"/>
      <c r="S81" s="8">
        <f>IF(OR(B81="",Q81=""),"",IF(TODAY()&lt;Q81,"파견예정",IF(AND(R81&lt;&gt;"",TODAY()&gt;R81),"파견종료","파견중")))</f>
        <v/>
      </c>
      <c r="T81" s="12">
        <f>IF(OR(Q81="",R81=""),"",R81-Q81+1)</f>
        <v/>
      </c>
      <c r="U81" s="12">
        <f>IF(AND(S81="파견중",R81&lt;&gt;""),R81-TODAY(),"")</f>
        <v/>
      </c>
      <c r="V81" s="5" t="n"/>
      <c r="W81" s="8">
        <f>IF(B81="","",IFERROR(MATCH(B81,기본자료!$B$2:$B$501,0),IFERROR(MATCH(B81&amp;"",기본자료!$B$2:$B$501,0),IFERROR(MATCH(VALUE(B81),기본자료!$B$2:$B$501,0),""))))</f>
        <v/>
      </c>
    </row>
    <row r="82">
      <c r="A82" s="8">
        <f>IF(B82="","",ROW()-1)</f>
        <v/>
      </c>
      <c r="B82" s="9" t="n"/>
      <c r="C82" s="8">
        <f>IF($W82="","",IF(INDEX(기본자료!$C$2:$C$501,$W82)="","",INDEX(기본자료!$C$2:$C$501,$W82)))</f>
        <v/>
      </c>
      <c r="D82" s="8">
        <f>IF($W82="","",IF(INDEX(기본자료!$J$2:$J$501,$W82)="","",INDEX(기본자료!$J$2:$J$501,$W82)))</f>
        <v/>
      </c>
      <c r="E82" s="10">
        <f>IF($W82="","",IF(INDEX(기본자료!$K$2:$K$501,$W82)="","",IF(NOT(ISNUMBER(INDEX(기본자료!$K$2:$K$501,$W82))),INDEX(기본자료!$K$2:$K$501,$W82),IF(INDEX(기본자료!$K$2:$K$501,$W82)&lt;1000000,INDEX(기본자료!$K$2:$K$501,$W82),IF(AND(INDEX(기본자료!$K$2:$K$501,$W82)&gt;=10000101,INT(MOD(INDEX(기본자료!$K$2:$K$501,$W82),10000)/100)&gt;=1,INT(MOD(INDEX(기본자료!$K$2:$K$501,$W82),10000)/100)&lt;=12,MOD(INDEX(기본자료!$K$2:$K$501,$W82),100)&gt;=1,MOD(INDEX(기본자료!$K$2:$K$501,$W82),100)&lt;=31),DATE(INT(INDEX(기본자료!$K$2:$K$501,$W82)/10000),INT(MOD(INDEX(기본자료!$K$2:$K$501,$W82),10000)/100),MOD(INDEX(기본자료!$K$2:$K$501,$W82),100)),INDEX(기본자료!$K$2:$K$501,$W82)&amp;"")))))</f>
        <v/>
      </c>
      <c r="F82" s="8">
        <f>IF($W82="","",IF(INDEX(기본자료!$D$2:$D$501,$W82)="","",INDEX(기본자료!$D$2:$D$501,$W82)))</f>
        <v/>
      </c>
      <c r="G82" s="8">
        <f>IF($W82="","",IF(INDEX(기본자료!$E$2:$E$501,$W82)="","",INDEX(기본자료!$E$2:$E$501,$W82)))</f>
        <v/>
      </c>
      <c r="H82" s="8">
        <f>IF($W82="","",IF(INDEX(기본자료!$F$2:$F$501,$W82)="","",INDEX(기본자료!$F$2:$F$501,$W82)))</f>
        <v/>
      </c>
      <c r="I82" s="10">
        <f>IF($W82="","",IF(INDEX(기본자료!$G$2:$G$501,$W82)="","",IF(NOT(ISNUMBER(INDEX(기본자료!$G$2:$G$501,$W82))),INDEX(기본자료!$G$2:$G$501,$W82),IF(INDEX(기본자료!$G$2:$G$501,$W82)&lt;1000000,INDEX(기본자료!$G$2:$G$501,$W82),IF(AND(INDEX(기본자료!$G$2:$G$501,$W82)&gt;=10000101,INT(MOD(INDEX(기본자료!$G$2:$G$501,$W82),10000)/100)&gt;=1,INT(MOD(INDEX(기본자료!$G$2:$G$501,$W82),10000)/100)&lt;=12,MOD(INDEX(기본자료!$G$2:$G$501,$W82),100)&gt;=1,MOD(INDEX(기본자료!$G$2:$G$501,$W82),100)&lt;=31),DATE(INT(INDEX(기본자료!$G$2:$G$501,$W82)/10000),INT(MOD(INDEX(기본자료!$G$2:$G$501,$W82),10000)/100),MOD(INDEX(기본자료!$G$2:$G$501,$W82),100)),INDEX(기본자료!$G$2:$G$501,$W82)&amp;"")))))</f>
        <v/>
      </c>
      <c r="J82" s="8">
        <f>IF($W82="","",IF(INDEX(기본자료!$H$2:$H$501,$W82)="","",INDEX(기본자료!$H$2:$H$501,$W82)))</f>
        <v/>
      </c>
      <c r="K82" s="8">
        <f>IF($W82="","",IF(INDEX(기본자료!$I$2:$I$501,$W82)="","",INDEX(기본자료!$I$2:$I$501,$W82)))</f>
        <v/>
      </c>
      <c r="L82" s="8">
        <f>IF($W82="","",IF(INDEX(기본자료!$A$2:$A$501,$W82)="","",INDEX(기본자료!$A$2:$A$501,$W82)))</f>
        <v/>
      </c>
      <c r="M82" s="5" t="n"/>
      <c r="N82" s="5" t="n"/>
      <c r="O82" s="5" t="n"/>
      <c r="P82" s="5" t="n"/>
      <c r="Q82" s="11" t="n"/>
      <c r="R82" s="11" t="n"/>
      <c r="S82" s="8">
        <f>IF(OR(B82="",Q82=""),"",IF(TODAY()&lt;Q82,"파견예정",IF(AND(R82&lt;&gt;"",TODAY()&gt;R82),"파견종료","파견중")))</f>
        <v/>
      </c>
      <c r="T82" s="12">
        <f>IF(OR(Q82="",R82=""),"",R82-Q82+1)</f>
        <v/>
      </c>
      <c r="U82" s="12">
        <f>IF(AND(S82="파견중",R82&lt;&gt;""),R82-TODAY(),"")</f>
        <v/>
      </c>
      <c r="V82" s="5" t="n"/>
      <c r="W82" s="8">
        <f>IF(B82="","",IFERROR(MATCH(B82,기본자료!$B$2:$B$501,0),IFERROR(MATCH(B82&amp;"",기본자료!$B$2:$B$501,0),IFERROR(MATCH(VALUE(B82),기본자료!$B$2:$B$501,0),""))))</f>
        <v/>
      </c>
    </row>
    <row r="83">
      <c r="A83" s="8">
        <f>IF(B83="","",ROW()-1)</f>
        <v/>
      </c>
      <c r="B83" s="9" t="n"/>
      <c r="C83" s="8">
        <f>IF($W83="","",IF(INDEX(기본자료!$C$2:$C$501,$W83)="","",INDEX(기본자료!$C$2:$C$501,$W83)))</f>
        <v/>
      </c>
      <c r="D83" s="8">
        <f>IF($W83="","",IF(INDEX(기본자료!$J$2:$J$501,$W83)="","",INDEX(기본자료!$J$2:$J$501,$W83)))</f>
        <v/>
      </c>
      <c r="E83" s="10">
        <f>IF($W83="","",IF(INDEX(기본자료!$K$2:$K$501,$W83)="","",IF(NOT(ISNUMBER(INDEX(기본자료!$K$2:$K$501,$W83))),INDEX(기본자료!$K$2:$K$501,$W83),IF(INDEX(기본자료!$K$2:$K$501,$W83)&lt;1000000,INDEX(기본자료!$K$2:$K$501,$W83),IF(AND(INDEX(기본자료!$K$2:$K$501,$W83)&gt;=10000101,INT(MOD(INDEX(기본자료!$K$2:$K$501,$W83),10000)/100)&gt;=1,INT(MOD(INDEX(기본자료!$K$2:$K$501,$W83),10000)/100)&lt;=12,MOD(INDEX(기본자료!$K$2:$K$501,$W83),100)&gt;=1,MOD(INDEX(기본자료!$K$2:$K$501,$W83),100)&lt;=31),DATE(INT(INDEX(기본자료!$K$2:$K$501,$W83)/10000),INT(MOD(INDEX(기본자료!$K$2:$K$501,$W83),10000)/100),MOD(INDEX(기본자료!$K$2:$K$501,$W83),100)),INDEX(기본자료!$K$2:$K$501,$W83)&amp;"")))))</f>
        <v/>
      </c>
      <c r="F83" s="8">
        <f>IF($W83="","",IF(INDEX(기본자료!$D$2:$D$501,$W83)="","",INDEX(기본자료!$D$2:$D$501,$W83)))</f>
        <v/>
      </c>
      <c r="G83" s="8">
        <f>IF($W83="","",IF(INDEX(기본자료!$E$2:$E$501,$W83)="","",INDEX(기본자료!$E$2:$E$501,$W83)))</f>
        <v/>
      </c>
      <c r="H83" s="8">
        <f>IF($W83="","",IF(INDEX(기본자료!$F$2:$F$501,$W83)="","",INDEX(기본자료!$F$2:$F$501,$W83)))</f>
        <v/>
      </c>
      <c r="I83" s="10">
        <f>IF($W83="","",IF(INDEX(기본자료!$G$2:$G$501,$W83)="","",IF(NOT(ISNUMBER(INDEX(기본자료!$G$2:$G$501,$W83))),INDEX(기본자료!$G$2:$G$501,$W83),IF(INDEX(기본자료!$G$2:$G$501,$W83)&lt;1000000,INDEX(기본자료!$G$2:$G$501,$W83),IF(AND(INDEX(기본자료!$G$2:$G$501,$W83)&gt;=10000101,INT(MOD(INDEX(기본자료!$G$2:$G$501,$W83),10000)/100)&gt;=1,INT(MOD(INDEX(기본자료!$G$2:$G$501,$W83),10000)/100)&lt;=12,MOD(INDEX(기본자료!$G$2:$G$501,$W83),100)&gt;=1,MOD(INDEX(기본자료!$G$2:$G$501,$W83),100)&lt;=31),DATE(INT(INDEX(기본자료!$G$2:$G$501,$W83)/10000),INT(MOD(INDEX(기본자료!$G$2:$G$501,$W83),10000)/100),MOD(INDEX(기본자료!$G$2:$G$501,$W83),100)),INDEX(기본자료!$G$2:$G$501,$W83)&amp;"")))))</f>
        <v/>
      </c>
      <c r="J83" s="8">
        <f>IF($W83="","",IF(INDEX(기본자료!$H$2:$H$501,$W83)="","",INDEX(기본자료!$H$2:$H$501,$W83)))</f>
        <v/>
      </c>
      <c r="K83" s="8">
        <f>IF($W83="","",IF(INDEX(기본자료!$I$2:$I$501,$W83)="","",INDEX(기본자료!$I$2:$I$501,$W83)))</f>
        <v/>
      </c>
      <c r="L83" s="8">
        <f>IF($W83="","",IF(INDEX(기본자료!$A$2:$A$501,$W83)="","",INDEX(기본자료!$A$2:$A$501,$W83)))</f>
        <v/>
      </c>
      <c r="M83" s="5" t="n"/>
      <c r="N83" s="5" t="n"/>
      <c r="O83" s="5" t="n"/>
      <c r="P83" s="5" t="n"/>
      <c r="Q83" s="11" t="n"/>
      <c r="R83" s="11" t="n"/>
      <c r="S83" s="8">
        <f>IF(OR(B83="",Q83=""),"",IF(TODAY()&lt;Q83,"파견예정",IF(AND(R83&lt;&gt;"",TODAY()&gt;R83),"파견종료","파견중")))</f>
        <v/>
      </c>
      <c r="T83" s="12">
        <f>IF(OR(Q83="",R83=""),"",R83-Q83+1)</f>
        <v/>
      </c>
      <c r="U83" s="12">
        <f>IF(AND(S83="파견중",R83&lt;&gt;""),R83-TODAY(),"")</f>
        <v/>
      </c>
      <c r="V83" s="5" t="n"/>
      <c r="W83" s="8">
        <f>IF(B83="","",IFERROR(MATCH(B83,기본자료!$B$2:$B$501,0),IFERROR(MATCH(B83&amp;"",기본자료!$B$2:$B$501,0),IFERROR(MATCH(VALUE(B83),기본자료!$B$2:$B$501,0),""))))</f>
        <v/>
      </c>
    </row>
    <row r="84">
      <c r="A84" s="8">
        <f>IF(B84="","",ROW()-1)</f>
        <v/>
      </c>
      <c r="B84" s="9" t="n"/>
      <c r="C84" s="8">
        <f>IF($W84="","",IF(INDEX(기본자료!$C$2:$C$501,$W84)="","",INDEX(기본자료!$C$2:$C$501,$W84)))</f>
        <v/>
      </c>
      <c r="D84" s="8">
        <f>IF($W84="","",IF(INDEX(기본자료!$J$2:$J$501,$W84)="","",INDEX(기본자료!$J$2:$J$501,$W84)))</f>
        <v/>
      </c>
      <c r="E84" s="10">
        <f>IF($W84="","",IF(INDEX(기본자료!$K$2:$K$501,$W84)="","",IF(NOT(ISNUMBER(INDEX(기본자료!$K$2:$K$501,$W84))),INDEX(기본자료!$K$2:$K$501,$W84),IF(INDEX(기본자료!$K$2:$K$501,$W84)&lt;1000000,INDEX(기본자료!$K$2:$K$501,$W84),IF(AND(INDEX(기본자료!$K$2:$K$501,$W84)&gt;=10000101,INT(MOD(INDEX(기본자료!$K$2:$K$501,$W84),10000)/100)&gt;=1,INT(MOD(INDEX(기본자료!$K$2:$K$501,$W84),10000)/100)&lt;=12,MOD(INDEX(기본자료!$K$2:$K$501,$W84),100)&gt;=1,MOD(INDEX(기본자료!$K$2:$K$501,$W84),100)&lt;=31),DATE(INT(INDEX(기본자료!$K$2:$K$501,$W84)/10000),INT(MOD(INDEX(기본자료!$K$2:$K$501,$W84),10000)/100),MOD(INDEX(기본자료!$K$2:$K$501,$W84),100)),INDEX(기본자료!$K$2:$K$501,$W84)&amp;"")))))</f>
        <v/>
      </c>
      <c r="F84" s="8">
        <f>IF($W84="","",IF(INDEX(기본자료!$D$2:$D$501,$W84)="","",INDEX(기본자료!$D$2:$D$501,$W84)))</f>
        <v/>
      </c>
      <c r="G84" s="8">
        <f>IF($W84="","",IF(INDEX(기본자료!$E$2:$E$501,$W84)="","",INDEX(기본자료!$E$2:$E$501,$W84)))</f>
        <v/>
      </c>
      <c r="H84" s="8">
        <f>IF($W84="","",IF(INDEX(기본자료!$F$2:$F$501,$W84)="","",INDEX(기본자료!$F$2:$F$501,$W84)))</f>
        <v/>
      </c>
      <c r="I84" s="10">
        <f>IF($W84="","",IF(INDEX(기본자료!$G$2:$G$501,$W84)="","",IF(NOT(ISNUMBER(INDEX(기본자료!$G$2:$G$501,$W84))),INDEX(기본자료!$G$2:$G$501,$W84),IF(INDEX(기본자료!$G$2:$G$501,$W84)&lt;1000000,INDEX(기본자료!$G$2:$G$501,$W84),IF(AND(INDEX(기본자료!$G$2:$G$501,$W84)&gt;=10000101,INT(MOD(INDEX(기본자료!$G$2:$G$501,$W84),10000)/100)&gt;=1,INT(MOD(INDEX(기본자료!$G$2:$G$501,$W84),10000)/100)&lt;=12,MOD(INDEX(기본자료!$G$2:$G$501,$W84),100)&gt;=1,MOD(INDEX(기본자료!$G$2:$G$501,$W84),100)&lt;=31),DATE(INT(INDEX(기본자료!$G$2:$G$501,$W84)/10000),INT(MOD(INDEX(기본자료!$G$2:$G$501,$W84),10000)/100),MOD(INDEX(기본자료!$G$2:$G$501,$W84),100)),INDEX(기본자료!$G$2:$G$501,$W84)&amp;"")))))</f>
        <v/>
      </c>
      <c r="J84" s="8">
        <f>IF($W84="","",IF(INDEX(기본자료!$H$2:$H$501,$W84)="","",INDEX(기본자료!$H$2:$H$501,$W84)))</f>
        <v/>
      </c>
      <c r="K84" s="8">
        <f>IF($W84="","",IF(INDEX(기본자료!$I$2:$I$501,$W84)="","",INDEX(기본자료!$I$2:$I$501,$W84)))</f>
        <v/>
      </c>
      <c r="L84" s="8">
        <f>IF($W84="","",IF(INDEX(기본자료!$A$2:$A$501,$W84)="","",INDEX(기본자료!$A$2:$A$501,$W84)))</f>
        <v/>
      </c>
      <c r="M84" s="5" t="n"/>
      <c r="N84" s="5" t="n"/>
      <c r="O84" s="5" t="n"/>
      <c r="P84" s="5" t="n"/>
      <c r="Q84" s="11" t="n"/>
      <c r="R84" s="11" t="n"/>
      <c r="S84" s="8">
        <f>IF(OR(B84="",Q84=""),"",IF(TODAY()&lt;Q84,"파견예정",IF(AND(R84&lt;&gt;"",TODAY()&gt;R84),"파견종료","파견중")))</f>
        <v/>
      </c>
      <c r="T84" s="12">
        <f>IF(OR(Q84="",R84=""),"",R84-Q84+1)</f>
        <v/>
      </c>
      <c r="U84" s="12">
        <f>IF(AND(S84="파견중",R84&lt;&gt;""),R84-TODAY(),"")</f>
        <v/>
      </c>
      <c r="V84" s="5" t="n"/>
      <c r="W84" s="8">
        <f>IF(B84="","",IFERROR(MATCH(B84,기본자료!$B$2:$B$501,0),IFERROR(MATCH(B84&amp;"",기본자료!$B$2:$B$501,0),IFERROR(MATCH(VALUE(B84),기본자료!$B$2:$B$501,0),""))))</f>
        <v/>
      </c>
    </row>
    <row r="85">
      <c r="A85" s="8">
        <f>IF(B85="","",ROW()-1)</f>
        <v/>
      </c>
      <c r="B85" s="9" t="n"/>
      <c r="C85" s="8">
        <f>IF($W85="","",IF(INDEX(기본자료!$C$2:$C$501,$W85)="","",INDEX(기본자료!$C$2:$C$501,$W85)))</f>
        <v/>
      </c>
      <c r="D85" s="8">
        <f>IF($W85="","",IF(INDEX(기본자료!$J$2:$J$501,$W85)="","",INDEX(기본자료!$J$2:$J$501,$W85)))</f>
        <v/>
      </c>
      <c r="E85" s="10">
        <f>IF($W85="","",IF(INDEX(기본자료!$K$2:$K$501,$W85)="","",IF(NOT(ISNUMBER(INDEX(기본자료!$K$2:$K$501,$W85))),INDEX(기본자료!$K$2:$K$501,$W85),IF(INDEX(기본자료!$K$2:$K$501,$W85)&lt;1000000,INDEX(기본자료!$K$2:$K$501,$W85),IF(AND(INDEX(기본자료!$K$2:$K$501,$W85)&gt;=10000101,INT(MOD(INDEX(기본자료!$K$2:$K$501,$W85),10000)/100)&gt;=1,INT(MOD(INDEX(기본자료!$K$2:$K$501,$W85),10000)/100)&lt;=12,MOD(INDEX(기본자료!$K$2:$K$501,$W85),100)&gt;=1,MOD(INDEX(기본자료!$K$2:$K$501,$W85),100)&lt;=31),DATE(INT(INDEX(기본자료!$K$2:$K$501,$W85)/10000),INT(MOD(INDEX(기본자료!$K$2:$K$501,$W85),10000)/100),MOD(INDEX(기본자료!$K$2:$K$501,$W85),100)),INDEX(기본자료!$K$2:$K$501,$W85)&amp;"")))))</f>
        <v/>
      </c>
      <c r="F85" s="8">
        <f>IF($W85="","",IF(INDEX(기본자료!$D$2:$D$501,$W85)="","",INDEX(기본자료!$D$2:$D$501,$W85)))</f>
        <v/>
      </c>
      <c r="G85" s="8">
        <f>IF($W85="","",IF(INDEX(기본자료!$E$2:$E$501,$W85)="","",INDEX(기본자료!$E$2:$E$501,$W85)))</f>
        <v/>
      </c>
      <c r="H85" s="8">
        <f>IF($W85="","",IF(INDEX(기본자료!$F$2:$F$501,$W85)="","",INDEX(기본자료!$F$2:$F$501,$W85)))</f>
        <v/>
      </c>
      <c r="I85" s="10">
        <f>IF($W85="","",IF(INDEX(기본자료!$G$2:$G$501,$W85)="","",IF(NOT(ISNUMBER(INDEX(기본자료!$G$2:$G$501,$W85))),INDEX(기본자료!$G$2:$G$501,$W85),IF(INDEX(기본자료!$G$2:$G$501,$W85)&lt;1000000,INDEX(기본자료!$G$2:$G$501,$W85),IF(AND(INDEX(기본자료!$G$2:$G$501,$W85)&gt;=10000101,INT(MOD(INDEX(기본자료!$G$2:$G$501,$W85),10000)/100)&gt;=1,INT(MOD(INDEX(기본자료!$G$2:$G$501,$W85),10000)/100)&lt;=12,MOD(INDEX(기본자료!$G$2:$G$501,$W85),100)&gt;=1,MOD(INDEX(기본자료!$G$2:$G$501,$W85),100)&lt;=31),DATE(INT(INDEX(기본자료!$G$2:$G$501,$W85)/10000),INT(MOD(INDEX(기본자료!$G$2:$G$501,$W85),10000)/100),MOD(INDEX(기본자료!$G$2:$G$501,$W85),100)),INDEX(기본자료!$G$2:$G$501,$W85)&amp;"")))))</f>
        <v/>
      </c>
      <c r="J85" s="8">
        <f>IF($W85="","",IF(INDEX(기본자료!$H$2:$H$501,$W85)="","",INDEX(기본자료!$H$2:$H$501,$W85)))</f>
        <v/>
      </c>
      <c r="K85" s="8">
        <f>IF($W85="","",IF(INDEX(기본자료!$I$2:$I$501,$W85)="","",INDEX(기본자료!$I$2:$I$501,$W85)))</f>
        <v/>
      </c>
      <c r="L85" s="8">
        <f>IF($W85="","",IF(INDEX(기본자료!$A$2:$A$501,$W85)="","",INDEX(기본자료!$A$2:$A$501,$W85)))</f>
        <v/>
      </c>
      <c r="M85" s="5" t="n"/>
      <c r="N85" s="5" t="n"/>
      <c r="O85" s="5" t="n"/>
      <c r="P85" s="5" t="n"/>
      <c r="Q85" s="11" t="n"/>
      <c r="R85" s="11" t="n"/>
      <c r="S85" s="8">
        <f>IF(OR(B85="",Q85=""),"",IF(TODAY()&lt;Q85,"파견예정",IF(AND(R85&lt;&gt;"",TODAY()&gt;R85),"파견종료","파견중")))</f>
        <v/>
      </c>
      <c r="T85" s="12">
        <f>IF(OR(Q85="",R85=""),"",R85-Q85+1)</f>
        <v/>
      </c>
      <c r="U85" s="12">
        <f>IF(AND(S85="파견중",R85&lt;&gt;""),R85-TODAY(),"")</f>
        <v/>
      </c>
      <c r="V85" s="5" t="n"/>
      <c r="W85" s="8">
        <f>IF(B85="","",IFERROR(MATCH(B85,기본자료!$B$2:$B$501,0),IFERROR(MATCH(B85&amp;"",기본자료!$B$2:$B$501,0),IFERROR(MATCH(VALUE(B85),기본자료!$B$2:$B$501,0),""))))</f>
        <v/>
      </c>
    </row>
    <row r="86">
      <c r="A86" s="8">
        <f>IF(B86="","",ROW()-1)</f>
        <v/>
      </c>
      <c r="B86" s="9" t="n"/>
      <c r="C86" s="8">
        <f>IF($W86="","",IF(INDEX(기본자료!$C$2:$C$501,$W86)="","",INDEX(기본자료!$C$2:$C$501,$W86)))</f>
        <v/>
      </c>
      <c r="D86" s="8">
        <f>IF($W86="","",IF(INDEX(기본자료!$J$2:$J$501,$W86)="","",INDEX(기본자료!$J$2:$J$501,$W86)))</f>
        <v/>
      </c>
      <c r="E86" s="10">
        <f>IF($W86="","",IF(INDEX(기본자료!$K$2:$K$501,$W86)="","",IF(NOT(ISNUMBER(INDEX(기본자료!$K$2:$K$501,$W86))),INDEX(기본자료!$K$2:$K$501,$W86),IF(INDEX(기본자료!$K$2:$K$501,$W86)&lt;1000000,INDEX(기본자료!$K$2:$K$501,$W86),IF(AND(INDEX(기본자료!$K$2:$K$501,$W86)&gt;=10000101,INT(MOD(INDEX(기본자료!$K$2:$K$501,$W86),10000)/100)&gt;=1,INT(MOD(INDEX(기본자료!$K$2:$K$501,$W86),10000)/100)&lt;=12,MOD(INDEX(기본자료!$K$2:$K$501,$W86),100)&gt;=1,MOD(INDEX(기본자료!$K$2:$K$501,$W86),100)&lt;=31),DATE(INT(INDEX(기본자료!$K$2:$K$501,$W86)/10000),INT(MOD(INDEX(기본자료!$K$2:$K$501,$W86),10000)/100),MOD(INDEX(기본자료!$K$2:$K$501,$W86),100)),INDEX(기본자료!$K$2:$K$501,$W86)&amp;"")))))</f>
        <v/>
      </c>
      <c r="F86" s="8">
        <f>IF($W86="","",IF(INDEX(기본자료!$D$2:$D$501,$W86)="","",INDEX(기본자료!$D$2:$D$501,$W86)))</f>
        <v/>
      </c>
      <c r="G86" s="8">
        <f>IF($W86="","",IF(INDEX(기본자료!$E$2:$E$501,$W86)="","",INDEX(기본자료!$E$2:$E$501,$W86)))</f>
        <v/>
      </c>
      <c r="H86" s="8">
        <f>IF($W86="","",IF(INDEX(기본자료!$F$2:$F$501,$W86)="","",INDEX(기본자료!$F$2:$F$501,$W86)))</f>
        <v/>
      </c>
      <c r="I86" s="10">
        <f>IF($W86="","",IF(INDEX(기본자료!$G$2:$G$501,$W86)="","",IF(NOT(ISNUMBER(INDEX(기본자료!$G$2:$G$501,$W86))),INDEX(기본자료!$G$2:$G$501,$W86),IF(INDEX(기본자료!$G$2:$G$501,$W86)&lt;1000000,INDEX(기본자료!$G$2:$G$501,$W86),IF(AND(INDEX(기본자료!$G$2:$G$501,$W86)&gt;=10000101,INT(MOD(INDEX(기본자료!$G$2:$G$501,$W86),10000)/100)&gt;=1,INT(MOD(INDEX(기본자료!$G$2:$G$501,$W86),10000)/100)&lt;=12,MOD(INDEX(기본자료!$G$2:$G$501,$W86),100)&gt;=1,MOD(INDEX(기본자료!$G$2:$G$501,$W86),100)&lt;=31),DATE(INT(INDEX(기본자료!$G$2:$G$501,$W86)/10000),INT(MOD(INDEX(기본자료!$G$2:$G$501,$W86),10000)/100),MOD(INDEX(기본자료!$G$2:$G$501,$W86),100)),INDEX(기본자료!$G$2:$G$501,$W86)&amp;"")))))</f>
        <v/>
      </c>
      <c r="J86" s="8">
        <f>IF($W86="","",IF(INDEX(기본자료!$H$2:$H$501,$W86)="","",INDEX(기본자료!$H$2:$H$501,$W86)))</f>
        <v/>
      </c>
      <c r="K86" s="8">
        <f>IF($W86="","",IF(INDEX(기본자료!$I$2:$I$501,$W86)="","",INDEX(기본자료!$I$2:$I$501,$W86)))</f>
        <v/>
      </c>
      <c r="L86" s="8">
        <f>IF($W86="","",IF(INDEX(기본자료!$A$2:$A$501,$W86)="","",INDEX(기본자료!$A$2:$A$501,$W86)))</f>
        <v/>
      </c>
      <c r="M86" s="5" t="n"/>
      <c r="N86" s="5" t="n"/>
      <c r="O86" s="5" t="n"/>
      <c r="P86" s="5" t="n"/>
      <c r="Q86" s="11" t="n"/>
      <c r="R86" s="11" t="n"/>
      <c r="S86" s="8">
        <f>IF(OR(B86="",Q86=""),"",IF(TODAY()&lt;Q86,"파견예정",IF(AND(R86&lt;&gt;"",TODAY()&gt;R86),"파견종료","파견중")))</f>
        <v/>
      </c>
      <c r="T86" s="12">
        <f>IF(OR(Q86="",R86=""),"",R86-Q86+1)</f>
        <v/>
      </c>
      <c r="U86" s="12">
        <f>IF(AND(S86="파견중",R86&lt;&gt;""),R86-TODAY(),"")</f>
        <v/>
      </c>
      <c r="V86" s="5" t="n"/>
      <c r="W86" s="8">
        <f>IF(B86="","",IFERROR(MATCH(B86,기본자료!$B$2:$B$501,0),IFERROR(MATCH(B86&amp;"",기본자료!$B$2:$B$501,0),IFERROR(MATCH(VALUE(B86),기본자료!$B$2:$B$501,0),""))))</f>
        <v/>
      </c>
    </row>
    <row r="87">
      <c r="A87" s="8">
        <f>IF(B87="","",ROW()-1)</f>
        <v/>
      </c>
      <c r="B87" s="9" t="n"/>
      <c r="C87" s="8">
        <f>IF($W87="","",IF(INDEX(기본자료!$C$2:$C$501,$W87)="","",INDEX(기본자료!$C$2:$C$501,$W87)))</f>
        <v/>
      </c>
      <c r="D87" s="8">
        <f>IF($W87="","",IF(INDEX(기본자료!$J$2:$J$501,$W87)="","",INDEX(기본자료!$J$2:$J$501,$W87)))</f>
        <v/>
      </c>
      <c r="E87" s="10">
        <f>IF($W87="","",IF(INDEX(기본자료!$K$2:$K$501,$W87)="","",IF(NOT(ISNUMBER(INDEX(기본자료!$K$2:$K$501,$W87))),INDEX(기본자료!$K$2:$K$501,$W87),IF(INDEX(기본자료!$K$2:$K$501,$W87)&lt;1000000,INDEX(기본자료!$K$2:$K$501,$W87),IF(AND(INDEX(기본자료!$K$2:$K$501,$W87)&gt;=10000101,INT(MOD(INDEX(기본자료!$K$2:$K$501,$W87),10000)/100)&gt;=1,INT(MOD(INDEX(기본자료!$K$2:$K$501,$W87),10000)/100)&lt;=12,MOD(INDEX(기본자료!$K$2:$K$501,$W87),100)&gt;=1,MOD(INDEX(기본자료!$K$2:$K$501,$W87),100)&lt;=31),DATE(INT(INDEX(기본자료!$K$2:$K$501,$W87)/10000),INT(MOD(INDEX(기본자료!$K$2:$K$501,$W87),10000)/100),MOD(INDEX(기본자료!$K$2:$K$501,$W87),100)),INDEX(기본자료!$K$2:$K$501,$W87)&amp;"")))))</f>
        <v/>
      </c>
      <c r="F87" s="8">
        <f>IF($W87="","",IF(INDEX(기본자료!$D$2:$D$501,$W87)="","",INDEX(기본자료!$D$2:$D$501,$W87)))</f>
        <v/>
      </c>
      <c r="G87" s="8">
        <f>IF($W87="","",IF(INDEX(기본자료!$E$2:$E$501,$W87)="","",INDEX(기본자료!$E$2:$E$501,$W87)))</f>
        <v/>
      </c>
      <c r="H87" s="8">
        <f>IF($W87="","",IF(INDEX(기본자료!$F$2:$F$501,$W87)="","",INDEX(기본자료!$F$2:$F$501,$W87)))</f>
        <v/>
      </c>
      <c r="I87" s="10">
        <f>IF($W87="","",IF(INDEX(기본자료!$G$2:$G$501,$W87)="","",IF(NOT(ISNUMBER(INDEX(기본자료!$G$2:$G$501,$W87))),INDEX(기본자료!$G$2:$G$501,$W87),IF(INDEX(기본자료!$G$2:$G$501,$W87)&lt;1000000,INDEX(기본자료!$G$2:$G$501,$W87),IF(AND(INDEX(기본자료!$G$2:$G$501,$W87)&gt;=10000101,INT(MOD(INDEX(기본자료!$G$2:$G$501,$W87),10000)/100)&gt;=1,INT(MOD(INDEX(기본자료!$G$2:$G$501,$W87),10000)/100)&lt;=12,MOD(INDEX(기본자료!$G$2:$G$501,$W87),100)&gt;=1,MOD(INDEX(기본자료!$G$2:$G$501,$W87),100)&lt;=31),DATE(INT(INDEX(기본자료!$G$2:$G$501,$W87)/10000),INT(MOD(INDEX(기본자료!$G$2:$G$501,$W87),10000)/100),MOD(INDEX(기본자료!$G$2:$G$501,$W87),100)),INDEX(기본자료!$G$2:$G$501,$W87)&amp;"")))))</f>
        <v/>
      </c>
      <c r="J87" s="8">
        <f>IF($W87="","",IF(INDEX(기본자료!$H$2:$H$501,$W87)="","",INDEX(기본자료!$H$2:$H$501,$W87)))</f>
        <v/>
      </c>
      <c r="K87" s="8">
        <f>IF($W87="","",IF(INDEX(기본자료!$I$2:$I$501,$W87)="","",INDEX(기본자료!$I$2:$I$501,$W87)))</f>
        <v/>
      </c>
      <c r="L87" s="8">
        <f>IF($W87="","",IF(INDEX(기본자료!$A$2:$A$501,$W87)="","",INDEX(기본자료!$A$2:$A$501,$W87)))</f>
        <v/>
      </c>
      <c r="M87" s="5" t="n"/>
      <c r="N87" s="5" t="n"/>
      <c r="O87" s="5" t="n"/>
      <c r="P87" s="5" t="n"/>
      <c r="Q87" s="11" t="n"/>
      <c r="R87" s="11" t="n"/>
      <c r="S87" s="8">
        <f>IF(OR(B87="",Q87=""),"",IF(TODAY()&lt;Q87,"파견예정",IF(AND(R87&lt;&gt;"",TODAY()&gt;R87),"파견종료","파견중")))</f>
        <v/>
      </c>
      <c r="T87" s="12">
        <f>IF(OR(Q87="",R87=""),"",R87-Q87+1)</f>
        <v/>
      </c>
      <c r="U87" s="12">
        <f>IF(AND(S87="파견중",R87&lt;&gt;""),R87-TODAY(),"")</f>
        <v/>
      </c>
      <c r="V87" s="5" t="n"/>
      <c r="W87" s="8">
        <f>IF(B87="","",IFERROR(MATCH(B87,기본자료!$B$2:$B$501,0),IFERROR(MATCH(B87&amp;"",기본자료!$B$2:$B$501,0),IFERROR(MATCH(VALUE(B87),기본자료!$B$2:$B$501,0),""))))</f>
        <v/>
      </c>
    </row>
    <row r="88">
      <c r="A88" s="8">
        <f>IF(B88="","",ROW()-1)</f>
        <v/>
      </c>
      <c r="B88" s="9" t="n"/>
      <c r="C88" s="8">
        <f>IF($W88="","",IF(INDEX(기본자료!$C$2:$C$501,$W88)="","",INDEX(기본자료!$C$2:$C$501,$W88)))</f>
        <v/>
      </c>
      <c r="D88" s="8">
        <f>IF($W88="","",IF(INDEX(기본자료!$J$2:$J$501,$W88)="","",INDEX(기본자료!$J$2:$J$501,$W88)))</f>
        <v/>
      </c>
      <c r="E88" s="10">
        <f>IF($W88="","",IF(INDEX(기본자료!$K$2:$K$501,$W88)="","",IF(NOT(ISNUMBER(INDEX(기본자료!$K$2:$K$501,$W88))),INDEX(기본자료!$K$2:$K$501,$W88),IF(INDEX(기본자료!$K$2:$K$501,$W88)&lt;1000000,INDEX(기본자료!$K$2:$K$501,$W88),IF(AND(INDEX(기본자료!$K$2:$K$501,$W88)&gt;=10000101,INT(MOD(INDEX(기본자료!$K$2:$K$501,$W88),10000)/100)&gt;=1,INT(MOD(INDEX(기본자료!$K$2:$K$501,$W88),10000)/100)&lt;=12,MOD(INDEX(기본자료!$K$2:$K$501,$W88),100)&gt;=1,MOD(INDEX(기본자료!$K$2:$K$501,$W88),100)&lt;=31),DATE(INT(INDEX(기본자료!$K$2:$K$501,$W88)/10000),INT(MOD(INDEX(기본자료!$K$2:$K$501,$W88),10000)/100),MOD(INDEX(기본자료!$K$2:$K$501,$W88),100)),INDEX(기본자료!$K$2:$K$501,$W88)&amp;"")))))</f>
        <v/>
      </c>
      <c r="F88" s="8">
        <f>IF($W88="","",IF(INDEX(기본자료!$D$2:$D$501,$W88)="","",INDEX(기본자료!$D$2:$D$501,$W88)))</f>
        <v/>
      </c>
      <c r="G88" s="8">
        <f>IF($W88="","",IF(INDEX(기본자료!$E$2:$E$501,$W88)="","",INDEX(기본자료!$E$2:$E$501,$W88)))</f>
        <v/>
      </c>
      <c r="H88" s="8">
        <f>IF($W88="","",IF(INDEX(기본자료!$F$2:$F$501,$W88)="","",INDEX(기본자료!$F$2:$F$501,$W88)))</f>
        <v/>
      </c>
      <c r="I88" s="10">
        <f>IF($W88="","",IF(INDEX(기본자료!$G$2:$G$501,$W88)="","",IF(NOT(ISNUMBER(INDEX(기본자료!$G$2:$G$501,$W88))),INDEX(기본자료!$G$2:$G$501,$W88),IF(INDEX(기본자료!$G$2:$G$501,$W88)&lt;1000000,INDEX(기본자료!$G$2:$G$501,$W88),IF(AND(INDEX(기본자료!$G$2:$G$501,$W88)&gt;=10000101,INT(MOD(INDEX(기본자료!$G$2:$G$501,$W88),10000)/100)&gt;=1,INT(MOD(INDEX(기본자료!$G$2:$G$501,$W88),10000)/100)&lt;=12,MOD(INDEX(기본자료!$G$2:$G$501,$W88),100)&gt;=1,MOD(INDEX(기본자료!$G$2:$G$501,$W88),100)&lt;=31),DATE(INT(INDEX(기본자료!$G$2:$G$501,$W88)/10000),INT(MOD(INDEX(기본자료!$G$2:$G$501,$W88),10000)/100),MOD(INDEX(기본자료!$G$2:$G$501,$W88),100)),INDEX(기본자료!$G$2:$G$501,$W88)&amp;"")))))</f>
        <v/>
      </c>
      <c r="J88" s="8">
        <f>IF($W88="","",IF(INDEX(기본자료!$H$2:$H$501,$W88)="","",INDEX(기본자료!$H$2:$H$501,$W88)))</f>
        <v/>
      </c>
      <c r="K88" s="8">
        <f>IF($W88="","",IF(INDEX(기본자료!$I$2:$I$501,$W88)="","",INDEX(기본자료!$I$2:$I$501,$W88)))</f>
        <v/>
      </c>
      <c r="L88" s="8">
        <f>IF($W88="","",IF(INDEX(기본자료!$A$2:$A$501,$W88)="","",INDEX(기본자료!$A$2:$A$501,$W88)))</f>
        <v/>
      </c>
      <c r="M88" s="5" t="n"/>
      <c r="N88" s="5" t="n"/>
      <c r="O88" s="5" t="n"/>
      <c r="P88" s="5" t="n"/>
      <c r="Q88" s="11" t="n"/>
      <c r="R88" s="11" t="n"/>
      <c r="S88" s="8">
        <f>IF(OR(B88="",Q88=""),"",IF(TODAY()&lt;Q88,"파견예정",IF(AND(R88&lt;&gt;"",TODAY()&gt;R88),"파견종료","파견중")))</f>
        <v/>
      </c>
      <c r="T88" s="12">
        <f>IF(OR(Q88="",R88=""),"",R88-Q88+1)</f>
        <v/>
      </c>
      <c r="U88" s="12">
        <f>IF(AND(S88="파견중",R88&lt;&gt;""),R88-TODAY(),"")</f>
        <v/>
      </c>
      <c r="V88" s="5" t="n"/>
      <c r="W88" s="8">
        <f>IF(B88="","",IFERROR(MATCH(B88,기본자료!$B$2:$B$501,0),IFERROR(MATCH(B88&amp;"",기본자료!$B$2:$B$501,0),IFERROR(MATCH(VALUE(B88),기본자료!$B$2:$B$501,0),""))))</f>
        <v/>
      </c>
    </row>
    <row r="89">
      <c r="A89" s="8">
        <f>IF(B89="","",ROW()-1)</f>
        <v/>
      </c>
      <c r="B89" s="9" t="n"/>
      <c r="C89" s="8">
        <f>IF($W89="","",IF(INDEX(기본자료!$C$2:$C$501,$W89)="","",INDEX(기본자료!$C$2:$C$501,$W89)))</f>
        <v/>
      </c>
      <c r="D89" s="8">
        <f>IF($W89="","",IF(INDEX(기본자료!$J$2:$J$501,$W89)="","",INDEX(기본자료!$J$2:$J$501,$W89)))</f>
        <v/>
      </c>
      <c r="E89" s="10">
        <f>IF($W89="","",IF(INDEX(기본자료!$K$2:$K$501,$W89)="","",IF(NOT(ISNUMBER(INDEX(기본자료!$K$2:$K$501,$W89))),INDEX(기본자료!$K$2:$K$501,$W89),IF(INDEX(기본자료!$K$2:$K$501,$W89)&lt;1000000,INDEX(기본자료!$K$2:$K$501,$W89),IF(AND(INDEX(기본자료!$K$2:$K$501,$W89)&gt;=10000101,INT(MOD(INDEX(기본자료!$K$2:$K$501,$W89),10000)/100)&gt;=1,INT(MOD(INDEX(기본자료!$K$2:$K$501,$W89),10000)/100)&lt;=12,MOD(INDEX(기본자료!$K$2:$K$501,$W89),100)&gt;=1,MOD(INDEX(기본자료!$K$2:$K$501,$W89),100)&lt;=31),DATE(INT(INDEX(기본자료!$K$2:$K$501,$W89)/10000),INT(MOD(INDEX(기본자료!$K$2:$K$501,$W89),10000)/100),MOD(INDEX(기본자료!$K$2:$K$501,$W89),100)),INDEX(기본자료!$K$2:$K$501,$W89)&amp;"")))))</f>
        <v/>
      </c>
      <c r="F89" s="8">
        <f>IF($W89="","",IF(INDEX(기본자료!$D$2:$D$501,$W89)="","",INDEX(기본자료!$D$2:$D$501,$W89)))</f>
        <v/>
      </c>
      <c r="G89" s="8">
        <f>IF($W89="","",IF(INDEX(기본자료!$E$2:$E$501,$W89)="","",INDEX(기본자료!$E$2:$E$501,$W89)))</f>
        <v/>
      </c>
      <c r="H89" s="8">
        <f>IF($W89="","",IF(INDEX(기본자료!$F$2:$F$501,$W89)="","",INDEX(기본자료!$F$2:$F$501,$W89)))</f>
        <v/>
      </c>
      <c r="I89" s="10">
        <f>IF($W89="","",IF(INDEX(기본자료!$G$2:$G$501,$W89)="","",IF(NOT(ISNUMBER(INDEX(기본자료!$G$2:$G$501,$W89))),INDEX(기본자료!$G$2:$G$501,$W89),IF(INDEX(기본자료!$G$2:$G$501,$W89)&lt;1000000,INDEX(기본자료!$G$2:$G$501,$W89),IF(AND(INDEX(기본자료!$G$2:$G$501,$W89)&gt;=10000101,INT(MOD(INDEX(기본자료!$G$2:$G$501,$W89),10000)/100)&gt;=1,INT(MOD(INDEX(기본자료!$G$2:$G$501,$W89),10000)/100)&lt;=12,MOD(INDEX(기본자료!$G$2:$G$501,$W89),100)&gt;=1,MOD(INDEX(기본자료!$G$2:$G$501,$W89),100)&lt;=31),DATE(INT(INDEX(기본자료!$G$2:$G$501,$W89)/10000),INT(MOD(INDEX(기본자료!$G$2:$G$501,$W89),10000)/100),MOD(INDEX(기본자료!$G$2:$G$501,$W89),100)),INDEX(기본자료!$G$2:$G$501,$W89)&amp;"")))))</f>
        <v/>
      </c>
      <c r="J89" s="8">
        <f>IF($W89="","",IF(INDEX(기본자료!$H$2:$H$501,$W89)="","",INDEX(기본자료!$H$2:$H$501,$W89)))</f>
        <v/>
      </c>
      <c r="K89" s="8">
        <f>IF($W89="","",IF(INDEX(기본자료!$I$2:$I$501,$W89)="","",INDEX(기본자료!$I$2:$I$501,$W89)))</f>
        <v/>
      </c>
      <c r="L89" s="8">
        <f>IF($W89="","",IF(INDEX(기본자료!$A$2:$A$501,$W89)="","",INDEX(기본자료!$A$2:$A$501,$W89)))</f>
        <v/>
      </c>
      <c r="M89" s="5" t="n"/>
      <c r="N89" s="5" t="n"/>
      <c r="O89" s="5" t="n"/>
      <c r="P89" s="5" t="n"/>
      <c r="Q89" s="11" t="n"/>
      <c r="R89" s="11" t="n"/>
      <c r="S89" s="8">
        <f>IF(OR(B89="",Q89=""),"",IF(TODAY()&lt;Q89,"파견예정",IF(AND(R89&lt;&gt;"",TODAY()&gt;R89),"파견종료","파견중")))</f>
        <v/>
      </c>
      <c r="T89" s="12">
        <f>IF(OR(Q89="",R89=""),"",R89-Q89+1)</f>
        <v/>
      </c>
      <c r="U89" s="12">
        <f>IF(AND(S89="파견중",R89&lt;&gt;""),R89-TODAY(),"")</f>
        <v/>
      </c>
      <c r="V89" s="5" t="n"/>
      <c r="W89" s="8">
        <f>IF(B89="","",IFERROR(MATCH(B89,기본자료!$B$2:$B$501,0),IFERROR(MATCH(B89&amp;"",기본자료!$B$2:$B$501,0),IFERROR(MATCH(VALUE(B89),기본자료!$B$2:$B$501,0),""))))</f>
        <v/>
      </c>
    </row>
    <row r="90">
      <c r="A90" s="8">
        <f>IF(B90="","",ROW()-1)</f>
        <v/>
      </c>
      <c r="B90" s="9" t="n"/>
      <c r="C90" s="8">
        <f>IF($W90="","",IF(INDEX(기본자료!$C$2:$C$501,$W90)="","",INDEX(기본자료!$C$2:$C$501,$W90)))</f>
        <v/>
      </c>
      <c r="D90" s="8">
        <f>IF($W90="","",IF(INDEX(기본자료!$J$2:$J$501,$W90)="","",INDEX(기본자료!$J$2:$J$501,$W90)))</f>
        <v/>
      </c>
      <c r="E90" s="10">
        <f>IF($W90="","",IF(INDEX(기본자료!$K$2:$K$501,$W90)="","",IF(NOT(ISNUMBER(INDEX(기본자료!$K$2:$K$501,$W90))),INDEX(기본자료!$K$2:$K$501,$W90),IF(INDEX(기본자료!$K$2:$K$501,$W90)&lt;1000000,INDEX(기본자료!$K$2:$K$501,$W90),IF(AND(INDEX(기본자료!$K$2:$K$501,$W90)&gt;=10000101,INT(MOD(INDEX(기본자료!$K$2:$K$501,$W90),10000)/100)&gt;=1,INT(MOD(INDEX(기본자료!$K$2:$K$501,$W90),10000)/100)&lt;=12,MOD(INDEX(기본자료!$K$2:$K$501,$W90),100)&gt;=1,MOD(INDEX(기본자료!$K$2:$K$501,$W90),100)&lt;=31),DATE(INT(INDEX(기본자료!$K$2:$K$501,$W90)/10000),INT(MOD(INDEX(기본자료!$K$2:$K$501,$W90),10000)/100),MOD(INDEX(기본자료!$K$2:$K$501,$W90),100)),INDEX(기본자료!$K$2:$K$501,$W90)&amp;"")))))</f>
        <v/>
      </c>
      <c r="F90" s="8">
        <f>IF($W90="","",IF(INDEX(기본자료!$D$2:$D$501,$W90)="","",INDEX(기본자료!$D$2:$D$501,$W90)))</f>
        <v/>
      </c>
      <c r="G90" s="8">
        <f>IF($W90="","",IF(INDEX(기본자료!$E$2:$E$501,$W90)="","",INDEX(기본자료!$E$2:$E$501,$W90)))</f>
        <v/>
      </c>
      <c r="H90" s="8">
        <f>IF($W90="","",IF(INDEX(기본자료!$F$2:$F$501,$W90)="","",INDEX(기본자료!$F$2:$F$501,$W90)))</f>
        <v/>
      </c>
      <c r="I90" s="10">
        <f>IF($W90="","",IF(INDEX(기본자료!$G$2:$G$501,$W90)="","",IF(NOT(ISNUMBER(INDEX(기본자료!$G$2:$G$501,$W90))),INDEX(기본자료!$G$2:$G$501,$W90),IF(INDEX(기본자료!$G$2:$G$501,$W90)&lt;1000000,INDEX(기본자료!$G$2:$G$501,$W90),IF(AND(INDEX(기본자료!$G$2:$G$501,$W90)&gt;=10000101,INT(MOD(INDEX(기본자료!$G$2:$G$501,$W90),10000)/100)&gt;=1,INT(MOD(INDEX(기본자료!$G$2:$G$501,$W90),10000)/100)&lt;=12,MOD(INDEX(기본자료!$G$2:$G$501,$W90),100)&gt;=1,MOD(INDEX(기본자료!$G$2:$G$501,$W90),100)&lt;=31),DATE(INT(INDEX(기본자료!$G$2:$G$501,$W90)/10000),INT(MOD(INDEX(기본자료!$G$2:$G$501,$W90),10000)/100),MOD(INDEX(기본자료!$G$2:$G$501,$W90),100)),INDEX(기본자료!$G$2:$G$501,$W90)&amp;"")))))</f>
        <v/>
      </c>
      <c r="J90" s="8">
        <f>IF($W90="","",IF(INDEX(기본자료!$H$2:$H$501,$W90)="","",INDEX(기본자료!$H$2:$H$501,$W90)))</f>
        <v/>
      </c>
      <c r="K90" s="8">
        <f>IF($W90="","",IF(INDEX(기본자료!$I$2:$I$501,$W90)="","",INDEX(기본자료!$I$2:$I$501,$W90)))</f>
        <v/>
      </c>
      <c r="L90" s="8">
        <f>IF($W90="","",IF(INDEX(기본자료!$A$2:$A$501,$W90)="","",INDEX(기본자료!$A$2:$A$501,$W90)))</f>
        <v/>
      </c>
      <c r="M90" s="5" t="n"/>
      <c r="N90" s="5" t="n"/>
      <c r="O90" s="5" t="n"/>
      <c r="P90" s="5" t="n"/>
      <c r="Q90" s="11" t="n"/>
      <c r="R90" s="11" t="n"/>
      <c r="S90" s="8">
        <f>IF(OR(B90="",Q90=""),"",IF(TODAY()&lt;Q90,"파견예정",IF(AND(R90&lt;&gt;"",TODAY()&gt;R90),"파견종료","파견중")))</f>
        <v/>
      </c>
      <c r="T90" s="12">
        <f>IF(OR(Q90="",R90=""),"",R90-Q90+1)</f>
        <v/>
      </c>
      <c r="U90" s="12">
        <f>IF(AND(S90="파견중",R90&lt;&gt;""),R90-TODAY(),"")</f>
        <v/>
      </c>
      <c r="V90" s="5" t="n"/>
      <c r="W90" s="8">
        <f>IF(B90="","",IFERROR(MATCH(B90,기본자료!$B$2:$B$501,0),IFERROR(MATCH(B90&amp;"",기본자료!$B$2:$B$501,0),IFERROR(MATCH(VALUE(B90),기본자료!$B$2:$B$501,0),""))))</f>
        <v/>
      </c>
    </row>
    <row r="91">
      <c r="A91" s="8">
        <f>IF(B91="","",ROW()-1)</f>
        <v/>
      </c>
      <c r="B91" s="9" t="n"/>
      <c r="C91" s="8">
        <f>IF($W91="","",IF(INDEX(기본자료!$C$2:$C$501,$W91)="","",INDEX(기본자료!$C$2:$C$501,$W91)))</f>
        <v/>
      </c>
      <c r="D91" s="8">
        <f>IF($W91="","",IF(INDEX(기본자료!$J$2:$J$501,$W91)="","",INDEX(기본자료!$J$2:$J$501,$W91)))</f>
        <v/>
      </c>
      <c r="E91" s="10">
        <f>IF($W91="","",IF(INDEX(기본자료!$K$2:$K$501,$W91)="","",IF(NOT(ISNUMBER(INDEX(기본자료!$K$2:$K$501,$W91))),INDEX(기본자료!$K$2:$K$501,$W91),IF(INDEX(기본자료!$K$2:$K$501,$W91)&lt;1000000,INDEX(기본자료!$K$2:$K$501,$W91),IF(AND(INDEX(기본자료!$K$2:$K$501,$W91)&gt;=10000101,INT(MOD(INDEX(기본자료!$K$2:$K$501,$W91),10000)/100)&gt;=1,INT(MOD(INDEX(기본자료!$K$2:$K$501,$W91),10000)/100)&lt;=12,MOD(INDEX(기본자료!$K$2:$K$501,$W91),100)&gt;=1,MOD(INDEX(기본자료!$K$2:$K$501,$W91),100)&lt;=31),DATE(INT(INDEX(기본자료!$K$2:$K$501,$W91)/10000),INT(MOD(INDEX(기본자료!$K$2:$K$501,$W91),10000)/100),MOD(INDEX(기본자료!$K$2:$K$501,$W91),100)),INDEX(기본자료!$K$2:$K$501,$W91)&amp;"")))))</f>
        <v/>
      </c>
      <c r="F91" s="8">
        <f>IF($W91="","",IF(INDEX(기본자료!$D$2:$D$501,$W91)="","",INDEX(기본자료!$D$2:$D$501,$W91)))</f>
        <v/>
      </c>
      <c r="G91" s="8">
        <f>IF($W91="","",IF(INDEX(기본자료!$E$2:$E$501,$W91)="","",INDEX(기본자료!$E$2:$E$501,$W91)))</f>
        <v/>
      </c>
      <c r="H91" s="8">
        <f>IF($W91="","",IF(INDEX(기본자료!$F$2:$F$501,$W91)="","",INDEX(기본자료!$F$2:$F$501,$W91)))</f>
        <v/>
      </c>
      <c r="I91" s="10">
        <f>IF($W91="","",IF(INDEX(기본자료!$G$2:$G$501,$W91)="","",IF(NOT(ISNUMBER(INDEX(기본자료!$G$2:$G$501,$W91))),INDEX(기본자료!$G$2:$G$501,$W91),IF(INDEX(기본자료!$G$2:$G$501,$W91)&lt;1000000,INDEX(기본자료!$G$2:$G$501,$W91),IF(AND(INDEX(기본자료!$G$2:$G$501,$W91)&gt;=10000101,INT(MOD(INDEX(기본자료!$G$2:$G$501,$W91),10000)/100)&gt;=1,INT(MOD(INDEX(기본자료!$G$2:$G$501,$W91),10000)/100)&lt;=12,MOD(INDEX(기본자료!$G$2:$G$501,$W91),100)&gt;=1,MOD(INDEX(기본자료!$G$2:$G$501,$W91),100)&lt;=31),DATE(INT(INDEX(기본자료!$G$2:$G$501,$W91)/10000),INT(MOD(INDEX(기본자료!$G$2:$G$501,$W91),10000)/100),MOD(INDEX(기본자료!$G$2:$G$501,$W91),100)),INDEX(기본자료!$G$2:$G$501,$W91)&amp;"")))))</f>
        <v/>
      </c>
      <c r="J91" s="8">
        <f>IF($W91="","",IF(INDEX(기본자료!$H$2:$H$501,$W91)="","",INDEX(기본자료!$H$2:$H$501,$W91)))</f>
        <v/>
      </c>
      <c r="K91" s="8">
        <f>IF($W91="","",IF(INDEX(기본자료!$I$2:$I$501,$W91)="","",INDEX(기본자료!$I$2:$I$501,$W91)))</f>
        <v/>
      </c>
      <c r="L91" s="8">
        <f>IF($W91="","",IF(INDEX(기본자료!$A$2:$A$501,$W91)="","",INDEX(기본자료!$A$2:$A$501,$W91)))</f>
        <v/>
      </c>
      <c r="M91" s="5" t="n"/>
      <c r="N91" s="5" t="n"/>
      <c r="O91" s="5" t="n"/>
      <c r="P91" s="5" t="n"/>
      <c r="Q91" s="11" t="n"/>
      <c r="R91" s="11" t="n"/>
      <c r="S91" s="8">
        <f>IF(OR(B91="",Q91=""),"",IF(TODAY()&lt;Q91,"파견예정",IF(AND(R91&lt;&gt;"",TODAY()&gt;R91),"파견종료","파견중")))</f>
        <v/>
      </c>
      <c r="T91" s="12">
        <f>IF(OR(Q91="",R91=""),"",R91-Q91+1)</f>
        <v/>
      </c>
      <c r="U91" s="12">
        <f>IF(AND(S91="파견중",R91&lt;&gt;""),R91-TODAY(),"")</f>
        <v/>
      </c>
      <c r="V91" s="5" t="n"/>
      <c r="W91" s="8">
        <f>IF(B91="","",IFERROR(MATCH(B91,기본자료!$B$2:$B$501,0),IFERROR(MATCH(B91&amp;"",기본자료!$B$2:$B$501,0),IFERROR(MATCH(VALUE(B91),기본자료!$B$2:$B$501,0),""))))</f>
        <v/>
      </c>
    </row>
    <row r="92">
      <c r="A92" s="8">
        <f>IF(B92="","",ROW()-1)</f>
        <v/>
      </c>
      <c r="B92" s="9" t="n"/>
      <c r="C92" s="8">
        <f>IF($W92="","",IF(INDEX(기본자료!$C$2:$C$501,$W92)="","",INDEX(기본자료!$C$2:$C$501,$W92)))</f>
        <v/>
      </c>
      <c r="D92" s="8">
        <f>IF($W92="","",IF(INDEX(기본자료!$J$2:$J$501,$W92)="","",INDEX(기본자료!$J$2:$J$501,$W92)))</f>
        <v/>
      </c>
      <c r="E92" s="10">
        <f>IF($W92="","",IF(INDEX(기본자료!$K$2:$K$501,$W92)="","",IF(NOT(ISNUMBER(INDEX(기본자료!$K$2:$K$501,$W92))),INDEX(기본자료!$K$2:$K$501,$W92),IF(INDEX(기본자료!$K$2:$K$501,$W92)&lt;1000000,INDEX(기본자료!$K$2:$K$501,$W92),IF(AND(INDEX(기본자료!$K$2:$K$501,$W92)&gt;=10000101,INT(MOD(INDEX(기본자료!$K$2:$K$501,$W92),10000)/100)&gt;=1,INT(MOD(INDEX(기본자료!$K$2:$K$501,$W92),10000)/100)&lt;=12,MOD(INDEX(기본자료!$K$2:$K$501,$W92),100)&gt;=1,MOD(INDEX(기본자료!$K$2:$K$501,$W92),100)&lt;=31),DATE(INT(INDEX(기본자료!$K$2:$K$501,$W92)/10000),INT(MOD(INDEX(기본자료!$K$2:$K$501,$W92),10000)/100),MOD(INDEX(기본자료!$K$2:$K$501,$W92),100)),INDEX(기본자료!$K$2:$K$501,$W92)&amp;"")))))</f>
        <v/>
      </c>
      <c r="F92" s="8">
        <f>IF($W92="","",IF(INDEX(기본자료!$D$2:$D$501,$W92)="","",INDEX(기본자료!$D$2:$D$501,$W92)))</f>
        <v/>
      </c>
      <c r="G92" s="8">
        <f>IF($W92="","",IF(INDEX(기본자료!$E$2:$E$501,$W92)="","",INDEX(기본자료!$E$2:$E$501,$W92)))</f>
        <v/>
      </c>
      <c r="H92" s="8">
        <f>IF($W92="","",IF(INDEX(기본자료!$F$2:$F$501,$W92)="","",INDEX(기본자료!$F$2:$F$501,$W92)))</f>
        <v/>
      </c>
      <c r="I92" s="10">
        <f>IF($W92="","",IF(INDEX(기본자료!$G$2:$G$501,$W92)="","",IF(NOT(ISNUMBER(INDEX(기본자료!$G$2:$G$501,$W92))),INDEX(기본자료!$G$2:$G$501,$W92),IF(INDEX(기본자료!$G$2:$G$501,$W92)&lt;1000000,INDEX(기본자료!$G$2:$G$501,$W92),IF(AND(INDEX(기본자료!$G$2:$G$501,$W92)&gt;=10000101,INT(MOD(INDEX(기본자료!$G$2:$G$501,$W92),10000)/100)&gt;=1,INT(MOD(INDEX(기본자료!$G$2:$G$501,$W92),10000)/100)&lt;=12,MOD(INDEX(기본자료!$G$2:$G$501,$W92),100)&gt;=1,MOD(INDEX(기본자료!$G$2:$G$501,$W92),100)&lt;=31),DATE(INT(INDEX(기본자료!$G$2:$G$501,$W92)/10000),INT(MOD(INDEX(기본자료!$G$2:$G$501,$W92),10000)/100),MOD(INDEX(기본자료!$G$2:$G$501,$W92),100)),INDEX(기본자료!$G$2:$G$501,$W92)&amp;"")))))</f>
        <v/>
      </c>
      <c r="J92" s="8">
        <f>IF($W92="","",IF(INDEX(기본자료!$H$2:$H$501,$W92)="","",INDEX(기본자료!$H$2:$H$501,$W92)))</f>
        <v/>
      </c>
      <c r="K92" s="8">
        <f>IF($W92="","",IF(INDEX(기본자료!$I$2:$I$501,$W92)="","",INDEX(기본자료!$I$2:$I$501,$W92)))</f>
        <v/>
      </c>
      <c r="L92" s="8">
        <f>IF($W92="","",IF(INDEX(기본자료!$A$2:$A$501,$W92)="","",INDEX(기본자료!$A$2:$A$501,$W92)))</f>
        <v/>
      </c>
      <c r="M92" s="5" t="n"/>
      <c r="N92" s="5" t="n"/>
      <c r="O92" s="5" t="n"/>
      <c r="P92" s="5" t="n"/>
      <c r="Q92" s="11" t="n"/>
      <c r="R92" s="11" t="n"/>
      <c r="S92" s="8">
        <f>IF(OR(B92="",Q92=""),"",IF(TODAY()&lt;Q92,"파견예정",IF(AND(R92&lt;&gt;"",TODAY()&gt;R92),"파견종료","파견중")))</f>
        <v/>
      </c>
      <c r="T92" s="12">
        <f>IF(OR(Q92="",R92=""),"",R92-Q92+1)</f>
        <v/>
      </c>
      <c r="U92" s="12">
        <f>IF(AND(S92="파견중",R92&lt;&gt;""),R92-TODAY(),"")</f>
        <v/>
      </c>
      <c r="V92" s="5" t="n"/>
      <c r="W92" s="8">
        <f>IF(B92="","",IFERROR(MATCH(B92,기본자료!$B$2:$B$501,0),IFERROR(MATCH(B92&amp;"",기본자료!$B$2:$B$501,0),IFERROR(MATCH(VALUE(B92),기본자료!$B$2:$B$501,0),""))))</f>
        <v/>
      </c>
    </row>
    <row r="93">
      <c r="A93" s="8">
        <f>IF(B93="","",ROW()-1)</f>
        <v/>
      </c>
      <c r="B93" s="9" t="n"/>
      <c r="C93" s="8">
        <f>IF($W93="","",IF(INDEX(기본자료!$C$2:$C$501,$W93)="","",INDEX(기본자료!$C$2:$C$501,$W93)))</f>
        <v/>
      </c>
      <c r="D93" s="8">
        <f>IF($W93="","",IF(INDEX(기본자료!$J$2:$J$501,$W93)="","",INDEX(기본자료!$J$2:$J$501,$W93)))</f>
        <v/>
      </c>
      <c r="E93" s="10">
        <f>IF($W93="","",IF(INDEX(기본자료!$K$2:$K$501,$W93)="","",IF(NOT(ISNUMBER(INDEX(기본자료!$K$2:$K$501,$W93))),INDEX(기본자료!$K$2:$K$501,$W93),IF(INDEX(기본자료!$K$2:$K$501,$W93)&lt;1000000,INDEX(기본자료!$K$2:$K$501,$W93),IF(AND(INDEX(기본자료!$K$2:$K$501,$W93)&gt;=10000101,INT(MOD(INDEX(기본자료!$K$2:$K$501,$W93),10000)/100)&gt;=1,INT(MOD(INDEX(기본자료!$K$2:$K$501,$W93),10000)/100)&lt;=12,MOD(INDEX(기본자료!$K$2:$K$501,$W93),100)&gt;=1,MOD(INDEX(기본자료!$K$2:$K$501,$W93),100)&lt;=31),DATE(INT(INDEX(기본자료!$K$2:$K$501,$W93)/10000),INT(MOD(INDEX(기본자료!$K$2:$K$501,$W93),10000)/100),MOD(INDEX(기본자료!$K$2:$K$501,$W93),100)),INDEX(기본자료!$K$2:$K$501,$W93)&amp;"")))))</f>
        <v/>
      </c>
      <c r="F93" s="8">
        <f>IF($W93="","",IF(INDEX(기본자료!$D$2:$D$501,$W93)="","",INDEX(기본자료!$D$2:$D$501,$W93)))</f>
        <v/>
      </c>
      <c r="G93" s="8">
        <f>IF($W93="","",IF(INDEX(기본자료!$E$2:$E$501,$W93)="","",INDEX(기본자료!$E$2:$E$501,$W93)))</f>
        <v/>
      </c>
      <c r="H93" s="8">
        <f>IF($W93="","",IF(INDEX(기본자료!$F$2:$F$501,$W93)="","",INDEX(기본자료!$F$2:$F$501,$W93)))</f>
        <v/>
      </c>
      <c r="I93" s="10">
        <f>IF($W93="","",IF(INDEX(기본자료!$G$2:$G$501,$W93)="","",IF(NOT(ISNUMBER(INDEX(기본자료!$G$2:$G$501,$W93))),INDEX(기본자료!$G$2:$G$501,$W93),IF(INDEX(기본자료!$G$2:$G$501,$W93)&lt;1000000,INDEX(기본자료!$G$2:$G$501,$W93),IF(AND(INDEX(기본자료!$G$2:$G$501,$W93)&gt;=10000101,INT(MOD(INDEX(기본자료!$G$2:$G$501,$W93),10000)/100)&gt;=1,INT(MOD(INDEX(기본자료!$G$2:$G$501,$W93),10000)/100)&lt;=12,MOD(INDEX(기본자료!$G$2:$G$501,$W93),100)&gt;=1,MOD(INDEX(기본자료!$G$2:$G$501,$W93),100)&lt;=31),DATE(INT(INDEX(기본자료!$G$2:$G$501,$W93)/10000),INT(MOD(INDEX(기본자료!$G$2:$G$501,$W93),10000)/100),MOD(INDEX(기본자료!$G$2:$G$501,$W93),100)),INDEX(기본자료!$G$2:$G$501,$W93)&amp;"")))))</f>
        <v/>
      </c>
      <c r="J93" s="8">
        <f>IF($W93="","",IF(INDEX(기본자료!$H$2:$H$501,$W93)="","",INDEX(기본자료!$H$2:$H$501,$W93)))</f>
        <v/>
      </c>
      <c r="K93" s="8">
        <f>IF($W93="","",IF(INDEX(기본자료!$I$2:$I$501,$W93)="","",INDEX(기본자료!$I$2:$I$501,$W93)))</f>
        <v/>
      </c>
      <c r="L93" s="8">
        <f>IF($W93="","",IF(INDEX(기본자료!$A$2:$A$501,$W93)="","",INDEX(기본자료!$A$2:$A$501,$W93)))</f>
        <v/>
      </c>
      <c r="M93" s="5" t="n"/>
      <c r="N93" s="5" t="n"/>
      <c r="O93" s="5" t="n"/>
      <c r="P93" s="5" t="n"/>
      <c r="Q93" s="11" t="n"/>
      <c r="R93" s="11" t="n"/>
      <c r="S93" s="8">
        <f>IF(OR(B93="",Q93=""),"",IF(TODAY()&lt;Q93,"파견예정",IF(AND(R93&lt;&gt;"",TODAY()&gt;R93),"파견종료","파견중")))</f>
        <v/>
      </c>
      <c r="T93" s="12">
        <f>IF(OR(Q93="",R93=""),"",R93-Q93+1)</f>
        <v/>
      </c>
      <c r="U93" s="12">
        <f>IF(AND(S93="파견중",R93&lt;&gt;""),R93-TODAY(),"")</f>
        <v/>
      </c>
      <c r="V93" s="5" t="n"/>
      <c r="W93" s="8">
        <f>IF(B93="","",IFERROR(MATCH(B93,기본자료!$B$2:$B$501,0),IFERROR(MATCH(B93&amp;"",기본자료!$B$2:$B$501,0),IFERROR(MATCH(VALUE(B93),기본자료!$B$2:$B$501,0),""))))</f>
        <v/>
      </c>
    </row>
    <row r="94">
      <c r="A94" s="8">
        <f>IF(B94="","",ROW()-1)</f>
        <v/>
      </c>
      <c r="B94" s="9" t="n"/>
      <c r="C94" s="8">
        <f>IF($W94="","",IF(INDEX(기본자료!$C$2:$C$501,$W94)="","",INDEX(기본자료!$C$2:$C$501,$W94)))</f>
        <v/>
      </c>
      <c r="D94" s="8">
        <f>IF($W94="","",IF(INDEX(기본자료!$J$2:$J$501,$W94)="","",INDEX(기본자료!$J$2:$J$501,$W94)))</f>
        <v/>
      </c>
      <c r="E94" s="10">
        <f>IF($W94="","",IF(INDEX(기본자료!$K$2:$K$501,$W94)="","",IF(NOT(ISNUMBER(INDEX(기본자료!$K$2:$K$501,$W94))),INDEX(기본자료!$K$2:$K$501,$W94),IF(INDEX(기본자료!$K$2:$K$501,$W94)&lt;1000000,INDEX(기본자료!$K$2:$K$501,$W94),IF(AND(INDEX(기본자료!$K$2:$K$501,$W94)&gt;=10000101,INT(MOD(INDEX(기본자료!$K$2:$K$501,$W94),10000)/100)&gt;=1,INT(MOD(INDEX(기본자료!$K$2:$K$501,$W94),10000)/100)&lt;=12,MOD(INDEX(기본자료!$K$2:$K$501,$W94),100)&gt;=1,MOD(INDEX(기본자료!$K$2:$K$501,$W94),100)&lt;=31),DATE(INT(INDEX(기본자료!$K$2:$K$501,$W94)/10000),INT(MOD(INDEX(기본자료!$K$2:$K$501,$W94),10000)/100),MOD(INDEX(기본자료!$K$2:$K$501,$W94),100)),INDEX(기본자료!$K$2:$K$501,$W94)&amp;"")))))</f>
        <v/>
      </c>
      <c r="F94" s="8">
        <f>IF($W94="","",IF(INDEX(기본자료!$D$2:$D$501,$W94)="","",INDEX(기본자료!$D$2:$D$501,$W94)))</f>
        <v/>
      </c>
      <c r="G94" s="8">
        <f>IF($W94="","",IF(INDEX(기본자료!$E$2:$E$501,$W94)="","",INDEX(기본자료!$E$2:$E$501,$W94)))</f>
        <v/>
      </c>
      <c r="H94" s="8">
        <f>IF($W94="","",IF(INDEX(기본자료!$F$2:$F$501,$W94)="","",INDEX(기본자료!$F$2:$F$501,$W94)))</f>
        <v/>
      </c>
      <c r="I94" s="10">
        <f>IF($W94="","",IF(INDEX(기본자료!$G$2:$G$501,$W94)="","",IF(NOT(ISNUMBER(INDEX(기본자료!$G$2:$G$501,$W94))),INDEX(기본자료!$G$2:$G$501,$W94),IF(INDEX(기본자료!$G$2:$G$501,$W94)&lt;1000000,INDEX(기본자료!$G$2:$G$501,$W94),IF(AND(INDEX(기본자료!$G$2:$G$501,$W94)&gt;=10000101,INT(MOD(INDEX(기본자료!$G$2:$G$501,$W94),10000)/100)&gt;=1,INT(MOD(INDEX(기본자료!$G$2:$G$501,$W94),10000)/100)&lt;=12,MOD(INDEX(기본자료!$G$2:$G$501,$W94),100)&gt;=1,MOD(INDEX(기본자료!$G$2:$G$501,$W94),100)&lt;=31),DATE(INT(INDEX(기본자료!$G$2:$G$501,$W94)/10000),INT(MOD(INDEX(기본자료!$G$2:$G$501,$W94),10000)/100),MOD(INDEX(기본자료!$G$2:$G$501,$W94),100)),INDEX(기본자료!$G$2:$G$501,$W94)&amp;"")))))</f>
        <v/>
      </c>
      <c r="J94" s="8">
        <f>IF($W94="","",IF(INDEX(기본자료!$H$2:$H$501,$W94)="","",INDEX(기본자료!$H$2:$H$501,$W94)))</f>
        <v/>
      </c>
      <c r="K94" s="8">
        <f>IF($W94="","",IF(INDEX(기본자료!$I$2:$I$501,$W94)="","",INDEX(기본자료!$I$2:$I$501,$W94)))</f>
        <v/>
      </c>
      <c r="L94" s="8">
        <f>IF($W94="","",IF(INDEX(기본자료!$A$2:$A$501,$W94)="","",INDEX(기본자료!$A$2:$A$501,$W94)))</f>
        <v/>
      </c>
      <c r="M94" s="5" t="n"/>
      <c r="N94" s="5" t="n"/>
      <c r="O94" s="5" t="n"/>
      <c r="P94" s="5" t="n"/>
      <c r="Q94" s="11" t="n"/>
      <c r="R94" s="11" t="n"/>
      <c r="S94" s="8">
        <f>IF(OR(B94="",Q94=""),"",IF(TODAY()&lt;Q94,"파견예정",IF(AND(R94&lt;&gt;"",TODAY()&gt;R94),"파견종료","파견중")))</f>
        <v/>
      </c>
      <c r="T94" s="12">
        <f>IF(OR(Q94="",R94=""),"",R94-Q94+1)</f>
        <v/>
      </c>
      <c r="U94" s="12">
        <f>IF(AND(S94="파견중",R94&lt;&gt;""),R94-TODAY(),"")</f>
        <v/>
      </c>
      <c r="V94" s="5" t="n"/>
      <c r="W94" s="8">
        <f>IF(B94="","",IFERROR(MATCH(B94,기본자료!$B$2:$B$501,0),IFERROR(MATCH(B94&amp;"",기본자료!$B$2:$B$501,0),IFERROR(MATCH(VALUE(B94),기본자료!$B$2:$B$501,0),""))))</f>
        <v/>
      </c>
    </row>
    <row r="95">
      <c r="A95" s="8">
        <f>IF(B95="","",ROW()-1)</f>
        <v/>
      </c>
      <c r="B95" s="9" t="n"/>
      <c r="C95" s="8">
        <f>IF($W95="","",IF(INDEX(기본자료!$C$2:$C$501,$W95)="","",INDEX(기본자료!$C$2:$C$501,$W95)))</f>
        <v/>
      </c>
      <c r="D95" s="8">
        <f>IF($W95="","",IF(INDEX(기본자료!$J$2:$J$501,$W95)="","",INDEX(기본자료!$J$2:$J$501,$W95)))</f>
        <v/>
      </c>
      <c r="E95" s="10">
        <f>IF($W95="","",IF(INDEX(기본자료!$K$2:$K$501,$W95)="","",IF(NOT(ISNUMBER(INDEX(기본자료!$K$2:$K$501,$W95))),INDEX(기본자료!$K$2:$K$501,$W95),IF(INDEX(기본자료!$K$2:$K$501,$W95)&lt;1000000,INDEX(기본자료!$K$2:$K$501,$W95),IF(AND(INDEX(기본자료!$K$2:$K$501,$W95)&gt;=10000101,INT(MOD(INDEX(기본자료!$K$2:$K$501,$W95),10000)/100)&gt;=1,INT(MOD(INDEX(기본자료!$K$2:$K$501,$W95),10000)/100)&lt;=12,MOD(INDEX(기본자료!$K$2:$K$501,$W95),100)&gt;=1,MOD(INDEX(기본자료!$K$2:$K$501,$W95),100)&lt;=31),DATE(INT(INDEX(기본자료!$K$2:$K$501,$W95)/10000),INT(MOD(INDEX(기본자료!$K$2:$K$501,$W95),10000)/100),MOD(INDEX(기본자료!$K$2:$K$501,$W95),100)),INDEX(기본자료!$K$2:$K$501,$W95)&amp;"")))))</f>
        <v/>
      </c>
      <c r="F95" s="8">
        <f>IF($W95="","",IF(INDEX(기본자료!$D$2:$D$501,$W95)="","",INDEX(기본자료!$D$2:$D$501,$W95)))</f>
        <v/>
      </c>
      <c r="G95" s="8">
        <f>IF($W95="","",IF(INDEX(기본자료!$E$2:$E$501,$W95)="","",INDEX(기본자료!$E$2:$E$501,$W95)))</f>
        <v/>
      </c>
      <c r="H95" s="8">
        <f>IF($W95="","",IF(INDEX(기본자료!$F$2:$F$501,$W95)="","",INDEX(기본자료!$F$2:$F$501,$W95)))</f>
        <v/>
      </c>
      <c r="I95" s="10">
        <f>IF($W95="","",IF(INDEX(기본자료!$G$2:$G$501,$W95)="","",IF(NOT(ISNUMBER(INDEX(기본자료!$G$2:$G$501,$W95))),INDEX(기본자료!$G$2:$G$501,$W95),IF(INDEX(기본자료!$G$2:$G$501,$W95)&lt;1000000,INDEX(기본자료!$G$2:$G$501,$W95),IF(AND(INDEX(기본자료!$G$2:$G$501,$W95)&gt;=10000101,INT(MOD(INDEX(기본자료!$G$2:$G$501,$W95),10000)/100)&gt;=1,INT(MOD(INDEX(기본자료!$G$2:$G$501,$W95),10000)/100)&lt;=12,MOD(INDEX(기본자료!$G$2:$G$501,$W95),100)&gt;=1,MOD(INDEX(기본자료!$G$2:$G$501,$W95),100)&lt;=31),DATE(INT(INDEX(기본자료!$G$2:$G$501,$W95)/10000),INT(MOD(INDEX(기본자료!$G$2:$G$501,$W95),10000)/100),MOD(INDEX(기본자료!$G$2:$G$501,$W95),100)),INDEX(기본자료!$G$2:$G$501,$W95)&amp;"")))))</f>
        <v/>
      </c>
      <c r="J95" s="8">
        <f>IF($W95="","",IF(INDEX(기본자료!$H$2:$H$501,$W95)="","",INDEX(기본자료!$H$2:$H$501,$W95)))</f>
        <v/>
      </c>
      <c r="K95" s="8">
        <f>IF($W95="","",IF(INDEX(기본자료!$I$2:$I$501,$W95)="","",INDEX(기본자료!$I$2:$I$501,$W95)))</f>
        <v/>
      </c>
      <c r="L95" s="8">
        <f>IF($W95="","",IF(INDEX(기본자료!$A$2:$A$501,$W95)="","",INDEX(기본자료!$A$2:$A$501,$W95)))</f>
        <v/>
      </c>
      <c r="M95" s="5" t="n"/>
      <c r="N95" s="5" t="n"/>
      <c r="O95" s="5" t="n"/>
      <c r="P95" s="5" t="n"/>
      <c r="Q95" s="11" t="n"/>
      <c r="R95" s="11" t="n"/>
      <c r="S95" s="8">
        <f>IF(OR(B95="",Q95=""),"",IF(TODAY()&lt;Q95,"파견예정",IF(AND(R95&lt;&gt;"",TODAY()&gt;R95),"파견종료","파견중")))</f>
        <v/>
      </c>
      <c r="T95" s="12">
        <f>IF(OR(Q95="",R95=""),"",R95-Q95+1)</f>
        <v/>
      </c>
      <c r="U95" s="12">
        <f>IF(AND(S95="파견중",R95&lt;&gt;""),R95-TODAY(),"")</f>
        <v/>
      </c>
      <c r="V95" s="5" t="n"/>
      <c r="W95" s="8">
        <f>IF(B95="","",IFERROR(MATCH(B95,기본자료!$B$2:$B$501,0),IFERROR(MATCH(B95&amp;"",기본자료!$B$2:$B$501,0),IFERROR(MATCH(VALUE(B95),기본자료!$B$2:$B$501,0),""))))</f>
        <v/>
      </c>
    </row>
    <row r="96">
      <c r="A96" s="8">
        <f>IF(B96="","",ROW()-1)</f>
        <v/>
      </c>
      <c r="B96" s="9" t="n"/>
      <c r="C96" s="8">
        <f>IF($W96="","",IF(INDEX(기본자료!$C$2:$C$501,$W96)="","",INDEX(기본자료!$C$2:$C$501,$W96)))</f>
        <v/>
      </c>
      <c r="D96" s="8">
        <f>IF($W96="","",IF(INDEX(기본자료!$J$2:$J$501,$W96)="","",INDEX(기본자료!$J$2:$J$501,$W96)))</f>
        <v/>
      </c>
      <c r="E96" s="10">
        <f>IF($W96="","",IF(INDEX(기본자료!$K$2:$K$501,$W96)="","",IF(NOT(ISNUMBER(INDEX(기본자료!$K$2:$K$501,$W96))),INDEX(기본자료!$K$2:$K$501,$W96),IF(INDEX(기본자료!$K$2:$K$501,$W96)&lt;1000000,INDEX(기본자료!$K$2:$K$501,$W96),IF(AND(INDEX(기본자료!$K$2:$K$501,$W96)&gt;=10000101,INT(MOD(INDEX(기본자료!$K$2:$K$501,$W96),10000)/100)&gt;=1,INT(MOD(INDEX(기본자료!$K$2:$K$501,$W96),10000)/100)&lt;=12,MOD(INDEX(기본자료!$K$2:$K$501,$W96),100)&gt;=1,MOD(INDEX(기본자료!$K$2:$K$501,$W96),100)&lt;=31),DATE(INT(INDEX(기본자료!$K$2:$K$501,$W96)/10000),INT(MOD(INDEX(기본자료!$K$2:$K$501,$W96),10000)/100),MOD(INDEX(기본자료!$K$2:$K$501,$W96),100)),INDEX(기본자료!$K$2:$K$501,$W96)&amp;"")))))</f>
        <v/>
      </c>
      <c r="F96" s="8">
        <f>IF($W96="","",IF(INDEX(기본자료!$D$2:$D$501,$W96)="","",INDEX(기본자료!$D$2:$D$501,$W96)))</f>
        <v/>
      </c>
      <c r="G96" s="8">
        <f>IF($W96="","",IF(INDEX(기본자료!$E$2:$E$501,$W96)="","",INDEX(기본자료!$E$2:$E$501,$W96)))</f>
        <v/>
      </c>
      <c r="H96" s="8">
        <f>IF($W96="","",IF(INDEX(기본자료!$F$2:$F$501,$W96)="","",INDEX(기본자료!$F$2:$F$501,$W96)))</f>
        <v/>
      </c>
      <c r="I96" s="10">
        <f>IF($W96="","",IF(INDEX(기본자료!$G$2:$G$501,$W96)="","",IF(NOT(ISNUMBER(INDEX(기본자료!$G$2:$G$501,$W96))),INDEX(기본자료!$G$2:$G$501,$W96),IF(INDEX(기본자료!$G$2:$G$501,$W96)&lt;1000000,INDEX(기본자료!$G$2:$G$501,$W96),IF(AND(INDEX(기본자료!$G$2:$G$501,$W96)&gt;=10000101,INT(MOD(INDEX(기본자료!$G$2:$G$501,$W96),10000)/100)&gt;=1,INT(MOD(INDEX(기본자료!$G$2:$G$501,$W96),10000)/100)&lt;=12,MOD(INDEX(기본자료!$G$2:$G$501,$W96),100)&gt;=1,MOD(INDEX(기본자료!$G$2:$G$501,$W96),100)&lt;=31),DATE(INT(INDEX(기본자료!$G$2:$G$501,$W96)/10000),INT(MOD(INDEX(기본자료!$G$2:$G$501,$W96),10000)/100),MOD(INDEX(기본자료!$G$2:$G$501,$W96),100)),INDEX(기본자료!$G$2:$G$501,$W96)&amp;"")))))</f>
        <v/>
      </c>
      <c r="J96" s="8">
        <f>IF($W96="","",IF(INDEX(기본자료!$H$2:$H$501,$W96)="","",INDEX(기본자료!$H$2:$H$501,$W96)))</f>
        <v/>
      </c>
      <c r="K96" s="8">
        <f>IF($W96="","",IF(INDEX(기본자료!$I$2:$I$501,$W96)="","",INDEX(기본자료!$I$2:$I$501,$W96)))</f>
        <v/>
      </c>
      <c r="L96" s="8">
        <f>IF($W96="","",IF(INDEX(기본자료!$A$2:$A$501,$W96)="","",INDEX(기본자료!$A$2:$A$501,$W96)))</f>
        <v/>
      </c>
      <c r="M96" s="5" t="n"/>
      <c r="N96" s="5" t="n"/>
      <c r="O96" s="5" t="n"/>
      <c r="P96" s="5" t="n"/>
      <c r="Q96" s="11" t="n"/>
      <c r="R96" s="11" t="n"/>
      <c r="S96" s="8">
        <f>IF(OR(B96="",Q96=""),"",IF(TODAY()&lt;Q96,"파견예정",IF(AND(R96&lt;&gt;"",TODAY()&gt;R96),"파견종료","파견중")))</f>
        <v/>
      </c>
      <c r="T96" s="12">
        <f>IF(OR(Q96="",R96=""),"",R96-Q96+1)</f>
        <v/>
      </c>
      <c r="U96" s="12">
        <f>IF(AND(S96="파견중",R96&lt;&gt;""),R96-TODAY(),"")</f>
        <v/>
      </c>
      <c r="V96" s="5" t="n"/>
      <c r="W96" s="8">
        <f>IF(B96="","",IFERROR(MATCH(B96,기본자료!$B$2:$B$501,0),IFERROR(MATCH(B96&amp;"",기본자료!$B$2:$B$501,0),IFERROR(MATCH(VALUE(B96),기본자료!$B$2:$B$501,0),""))))</f>
        <v/>
      </c>
    </row>
    <row r="97">
      <c r="A97" s="8">
        <f>IF(B97="","",ROW()-1)</f>
        <v/>
      </c>
      <c r="B97" s="9" t="n"/>
      <c r="C97" s="8">
        <f>IF($W97="","",IF(INDEX(기본자료!$C$2:$C$501,$W97)="","",INDEX(기본자료!$C$2:$C$501,$W97)))</f>
        <v/>
      </c>
      <c r="D97" s="8">
        <f>IF($W97="","",IF(INDEX(기본자료!$J$2:$J$501,$W97)="","",INDEX(기본자료!$J$2:$J$501,$W97)))</f>
        <v/>
      </c>
      <c r="E97" s="10">
        <f>IF($W97="","",IF(INDEX(기본자료!$K$2:$K$501,$W97)="","",IF(NOT(ISNUMBER(INDEX(기본자료!$K$2:$K$501,$W97))),INDEX(기본자료!$K$2:$K$501,$W97),IF(INDEX(기본자료!$K$2:$K$501,$W97)&lt;1000000,INDEX(기본자료!$K$2:$K$501,$W97),IF(AND(INDEX(기본자료!$K$2:$K$501,$W97)&gt;=10000101,INT(MOD(INDEX(기본자료!$K$2:$K$501,$W97),10000)/100)&gt;=1,INT(MOD(INDEX(기본자료!$K$2:$K$501,$W97),10000)/100)&lt;=12,MOD(INDEX(기본자료!$K$2:$K$501,$W97),100)&gt;=1,MOD(INDEX(기본자료!$K$2:$K$501,$W97),100)&lt;=31),DATE(INT(INDEX(기본자료!$K$2:$K$501,$W97)/10000),INT(MOD(INDEX(기본자료!$K$2:$K$501,$W97),10000)/100),MOD(INDEX(기본자료!$K$2:$K$501,$W97),100)),INDEX(기본자료!$K$2:$K$501,$W97)&amp;"")))))</f>
        <v/>
      </c>
      <c r="F97" s="8">
        <f>IF($W97="","",IF(INDEX(기본자료!$D$2:$D$501,$W97)="","",INDEX(기본자료!$D$2:$D$501,$W97)))</f>
        <v/>
      </c>
      <c r="G97" s="8">
        <f>IF($W97="","",IF(INDEX(기본자료!$E$2:$E$501,$W97)="","",INDEX(기본자료!$E$2:$E$501,$W97)))</f>
        <v/>
      </c>
      <c r="H97" s="8">
        <f>IF($W97="","",IF(INDEX(기본자료!$F$2:$F$501,$W97)="","",INDEX(기본자료!$F$2:$F$501,$W97)))</f>
        <v/>
      </c>
      <c r="I97" s="10">
        <f>IF($W97="","",IF(INDEX(기본자료!$G$2:$G$501,$W97)="","",IF(NOT(ISNUMBER(INDEX(기본자료!$G$2:$G$501,$W97))),INDEX(기본자료!$G$2:$G$501,$W97),IF(INDEX(기본자료!$G$2:$G$501,$W97)&lt;1000000,INDEX(기본자료!$G$2:$G$501,$W97),IF(AND(INDEX(기본자료!$G$2:$G$501,$W97)&gt;=10000101,INT(MOD(INDEX(기본자료!$G$2:$G$501,$W97),10000)/100)&gt;=1,INT(MOD(INDEX(기본자료!$G$2:$G$501,$W97),10000)/100)&lt;=12,MOD(INDEX(기본자료!$G$2:$G$501,$W97),100)&gt;=1,MOD(INDEX(기본자료!$G$2:$G$501,$W97),100)&lt;=31),DATE(INT(INDEX(기본자료!$G$2:$G$501,$W97)/10000),INT(MOD(INDEX(기본자료!$G$2:$G$501,$W97),10000)/100),MOD(INDEX(기본자료!$G$2:$G$501,$W97),100)),INDEX(기본자료!$G$2:$G$501,$W97)&amp;"")))))</f>
        <v/>
      </c>
      <c r="J97" s="8">
        <f>IF($W97="","",IF(INDEX(기본자료!$H$2:$H$501,$W97)="","",INDEX(기본자료!$H$2:$H$501,$W97)))</f>
        <v/>
      </c>
      <c r="K97" s="8">
        <f>IF($W97="","",IF(INDEX(기본자료!$I$2:$I$501,$W97)="","",INDEX(기본자료!$I$2:$I$501,$W97)))</f>
        <v/>
      </c>
      <c r="L97" s="8">
        <f>IF($W97="","",IF(INDEX(기본자료!$A$2:$A$501,$W97)="","",INDEX(기본자료!$A$2:$A$501,$W97)))</f>
        <v/>
      </c>
      <c r="M97" s="5" t="n"/>
      <c r="N97" s="5" t="n"/>
      <c r="O97" s="5" t="n"/>
      <c r="P97" s="5" t="n"/>
      <c r="Q97" s="11" t="n"/>
      <c r="R97" s="11" t="n"/>
      <c r="S97" s="8">
        <f>IF(OR(B97="",Q97=""),"",IF(TODAY()&lt;Q97,"파견예정",IF(AND(R97&lt;&gt;"",TODAY()&gt;R97),"파견종료","파견중")))</f>
        <v/>
      </c>
      <c r="T97" s="12">
        <f>IF(OR(Q97="",R97=""),"",R97-Q97+1)</f>
        <v/>
      </c>
      <c r="U97" s="12">
        <f>IF(AND(S97="파견중",R97&lt;&gt;""),R97-TODAY(),"")</f>
        <v/>
      </c>
      <c r="V97" s="5" t="n"/>
      <c r="W97" s="8">
        <f>IF(B97="","",IFERROR(MATCH(B97,기본자료!$B$2:$B$501,0),IFERROR(MATCH(B97&amp;"",기본자료!$B$2:$B$501,0),IFERROR(MATCH(VALUE(B97),기본자료!$B$2:$B$501,0),""))))</f>
        <v/>
      </c>
    </row>
    <row r="98">
      <c r="A98" s="8">
        <f>IF(B98="","",ROW()-1)</f>
        <v/>
      </c>
      <c r="B98" s="9" t="n"/>
      <c r="C98" s="8">
        <f>IF($W98="","",IF(INDEX(기본자료!$C$2:$C$501,$W98)="","",INDEX(기본자료!$C$2:$C$501,$W98)))</f>
        <v/>
      </c>
      <c r="D98" s="8">
        <f>IF($W98="","",IF(INDEX(기본자료!$J$2:$J$501,$W98)="","",INDEX(기본자료!$J$2:$J$501,$W98)))</f>
        <v/>
      </c>
      <c r="E98" s="10">
        <f>IF($W98="","",IF(INDEX(기본자료!$K$2:$K$501,$W98)="","",IF(NOT(ISNUMBER(INDEX(기본자료!$K$2:$K$501,$W98))),INDEX(기본자료!$K$2:$K$501,$W98),IF(INDEX(기본자료!$K$2:$K$501,$W98)&lt;1000000,INDEX(기본자료!$K$2:$K$501,$W98),IF(AND(INDEX(기본자료!$K$2:$K$501,$W98)&gt;=10000101,INT(MOD(INDEX(기본자료!$K$2:$K$501,$W98),10000)/100)&gt;=1,INT(MOD(INDEX(기본자료!$K$2:$K$501,$W98),10000)/100)&lt;=12,MOD(INDEX(기본자료!$K$2:$K$501,$W98),100)&gt;=1,MOD(INDEX(기본자료!$K$2:$K$501,$W98),100)&lt;=31),DATE(INT(INDEX(기본자료!$K$2:$K$501,$W98)/10000),INT(MOD(INDEX(기본자료!$K$2:$K$501,$W98),10000)/100),MOD(INDEX(기본자료!$K$2:$K$501,$W98),100)),INDEX(기본자료!$K$2:$K$501,$W98)&amp;"")))))</f>
        <v/>
      </c>
      <c r="F98" s="8">
        <f>IF($W98="","",IF(INDEX(기본자료!$D$2:$D$501,$W98)="","",INDEX(기본자료!$D$2:$D$501,$W98)))</f>
        <v/>
      </c>
      <c r="G98" s="8">
        <f>IF($W98="","",IF(INDEX(기본자료!$E$2:$E$501,$W98)="","",INDEX(기본자료!$E$2:$E$501,$W98)))</f>
        <v/>
      </c>
      <c r="H98" s="8">
        <f>IF($W98="","",IF(INDEX(기본자료!$F$2:$F$501,$W98)="","",INDEX(기본자료!$F$2:$F$501,$W98)))</f>
        <v/>
      </c>
      <c r="I98" s="10">
        <f>IF($W98="","",IF(INDEX(기본자료!$G$2:$G$501,$W98)="","",IF(NOT(ISNUMBER(INDEX(기본자료!$G$2:$G$501,$W98))),INDEX(기본자료!$G$2:$G$501,$W98),IF(INDEX(기본자료!$G$2:$G$501,$W98)&lt;1000000,INDEX(기본자료!$G$2:$G$501,$W98),IF(AND(INDEX(기본자료!$G$2:$G$501,$W98)&gt;=10000101,INT(MOD(INDEX(기본자료!$G$2:$G$501,$W98),10000)/100)&gt;=1,INT(MOD(INDEX(기본자료!$G$2:$G$501,$W98),10000)/100)&lt;=12,MOD(INDEX(기본자료!$G$2:$G$501,$W98),100)&gt;=1,MOD(INDEX(기본자료!$G$2:$G$501,$W98),100)&lt;=31),DATE(INT(INDEX(기본자료!$G$2:$G$501,$W98)/10000),INT(MOD(INDEX(기본자료!$G$2:$G$501,$W98),10000)/100),MOD(INDEX(기본자료!$G$2:$G$501,$W98),100)),INDEX(기본자료!$G$2:$G$501,$W98)&amp;"")))))</f>
        <v/>
      </c>
      <c r="J98" s="8">
        <f>IF($W98="","",IF(INDEX(기본자료!$H$2:$H$501,$W98)="","",INDEX(기본자료!$H$2:$H$501,$W98)))</f>
        <v/>
      </c>
      <c r="K98" s="8">
        <f>IF($W98="","",IF(INDEX(기본자료!$I$2:$I$501,$W98)="","",INDEX(기본자료!$I$2:$I$501,$W98)))</f>
        <v/>
      </c>
      <c r="L98" s="8">
        <f>IF($W98="","",IF(INDEX(기본자료!$A$2:$A$501,$W98)="","",INDEX(기본자료!$A$2:$A$501,$W98)))</f>
        <v/>
      </c>
      <c r="M98" s="5" t="n"/>
      <c r="N98" s="5" t="n"/>
      <c r="O98" s="5" t="n"/>
      <c r="P98" s="5" t="n"/>
      <c r="Q98" s="11" t="n"/>
      <c r="R98" s="11" t="n"/>
      <c r="S98" s="8">
        <f>IF(OR(B98="",Q98=""),"",IF(TODAY()&lt;Q98,"파견예정",IF(AND(R98&lt;&gt;"",TODAY()&gt;R98),"파견종료","파견중")))</f>
        <v/>
      </c>
      <c r="T98" s="12">
        <f>IF(OR(Q98="",R98=""),"",R98-Q98+1)</f>
        <v/>
      </c>
      <c r="U98" s="12">
        <f>IF(AND(S98="파견중",R98&lt;&gt;""),R98-TODAY(),"")</f>
        <v/>
      </c>
      <c r="V98" s="5" t="n"/>
      <c r="W98" s="8">
        <f>IF(B98="","",IFERROR(MATCH(B98,기본자료!$B$2:$B$501,0),IFERROR(MATCH(B98&amp;"",기본자료!$B$2:$B$501,0),IFERROR(MATCH(VALUE(B98),기본자료!$B$2:$B$501,0),""))))</f>
        <v/>
      </c>
    </row>
    <row r="99">
      <c r="A99" s="8">
        <f>IF(B99="","",ROW()-1)</f>
        <v/>
      </c>
      <c r="B99" s="9" t="n"/>
      <c r="C99" s="8">
        <f>IF($W99="","",IF(INDEX(기본자료!$C$2:$C$501,$W99)="","",INDEX(기본자료!$C$2:$C$501,$W99)))</f>
        <v/>
      </c>
      <c r="D99" s="8">
        <f>IF($W99="","",IF(INDEX(기본자료!$J$2:$J$501,$W99)="","",INDEX(기본자료!$J$2:$J$501,$W99)))</f>
        <v/>
      </c>
      <c r="E99" s="10">
        <f>IF($W99="","",IF(INDEX(기본자료!$K$2:$K$501,$W99)="","",IF(NOT(ISNUMBER(INDEX(기본자료!$K$2:$K$501,$W99))),INDEX(기본자료!$K$2:$K$501,$W99),IF(INDEX(기본자료!$K$2:$K$501,$W99)&lt;1000000,INDEX(기본자료!$K$2:$K$501,$W99),IF(AND(INDEX(기본자료!$K$2:$K$501,$W99)&gt;=10000101,INT(MOD(INDEX(기본자료!$K$2:$K$501,$W99),10000)/100)&gt;=1,INT(MOD(INDEX(기본자료!$K$2:$K$501,$W99),10000)/100)&lt;=12,MOD(INDEX(기본자료!$K$2:$K$501,$W99),100)&gt;=1,MOD(INDEX(기본자료!$K$2:$K$501,$W99),100)&lt;=31),DATE(INT(INDEX(기본자료!$K$2:$K$501,$W99)/10000),INT(MOD(INDEX(기본자료!$K$2:$K$501,$W99),10000)/100),MOD(INDEX(기본자료!$K$2:$K$501,$W99),100)),INDEX(기본자료!$K$2:$K$501,$W99)&amp;"")))))</f>
        <v/>
      </c>
      <c r="F99" s="8">
        <f>IF($W99="","",IF(INDEX(기본자료!$D$2:$D$501,$W99)="","",INDEX(기본자료!$D$2:$D$501,$W99)))</f>
        <v/>
      </c>
      <c r="G99" s="8">
        <f>IF($W99="","",IF(INDEX(기본자료!$E$2:$E$501,$W99)="","",INDEX(기본자료!$E$2:$E$501,$W99)))</f>
        <v/>
      </c>
      <c r="H99" s="8">
        <f>IF($W99="","",IF(INDEX(기본자료!$F$2:$F$501,$W99)="","",INDEX(기본자료!$F$2:$F$501,$W99)))</f>
        <v/>
      </c>
      <c r="I99" s="10">
        <f>IF($W99="","",IF(INDEX(기본자료!$G$2:$G$501,$W99)="","",IF(NOT(ISNUMBER(INDEX(기본자료!$G$2:$G$501,$W99))),INDEX(기본자료!$G$2:$G$501,$W99),IF(INDEX(기본자료!$G$2:$G$501,$W99)&lt;1000000,INDEX(기본자료!$G$2:$G$501,$W99),IF(AND(INDEX(기본자료!$G$2:$G$501,$W99)&gt;=10000101,INT(MOD(INDEX(기본자료!$G$2:$G$501,$W99),10000)/100)&gt;=1,INT(MOD(INDEX(기본자료!$G$2:$G$501,$W99),10000)/100)&lt;=12,MOD(INDEX(기본자료!$G$2:$G$501,$W99),100)&gt;=1,MOD(INDEX(기본자료!$G$2:$G$501,$W99),100)&lt;=31),DATE(INT(INDEX(기본자료!$G$2:$G$501,$W99)/10000),INT(MOD(INDEX(기본자료!$G$2:$G$501,$W99),10000)/100),MOD(INDEX(기본자료!$G$2:$G$501,$W99),100)),INDEX(기본자료!$G$2:$G$501,$W99)&amp;"")))))</f>
        <v/>
      </c>
      <c r="J99" s="8">
        <f>IF($W99="","",IF(INDEX(기본자료!$H$2:$H$501,$W99)="","",INDEX(기본자료!$H$2:$H$501,$W99)))</f>
        <v/>
      </c>
      <c r="K99" s="8">
        <f>IF($W99="","",IF(INDEX(기본자료!$I$2:$I$501,$W99)="","",INDEX(기본자료!$I$2:$I$501,$W99)))</f>
        <v/>
      </c>
      <c r="L99" s="8">
        <f>IF($W99="","",IF(INDEX(기본자료!$A$2:$A$501,$W99)="","",INDEX(기본자료!$A$2:$A$501,$W99)))</f>
        <v/>
      </c>
      <c r="M99" s="5" t="n"/>
      <c r="N99" s="5" t="n"/>
      <c r="O99" s="5" t="n"/>
      <c r="P99" s="5" t="n"/>
      <c r="Q99" s="11" t="n"/>
      <c r="R99" s="11" t="n"/>
      <c r="S99" s="8">
        <f>IF(OR(B99="",Q99=""),"",IF(TODAY()&lt;Q99,"파견예정",IF(AND(R99&lt;&gt;"",TODAY()&gt;R99),"파견종료","파견중")))</f>
        <v/>
      </c>
      <c r="T99" s="12">
        <f>IF(OR(Q99="",R99=""),"",R99-Q99+1)</f>
        <v/>
      </c>
      <c r="U99" s="12">
        <f>IF(AND(S99="파견중",R99&lt;&gt;""),R99-TODAY(),"")</f>
        <v/>
      </c>
      <c r="V99" s="5" t="n"/>
      <c r="W99" s="8">
        <f>IF(B99="","",IFERROR(MATCH(B99,기본자료!$B$2:$B$501,0),IFERROR(MATCH(B99&amp;"",기본자료!$B$2:$B$501,0),IFERROR(MATCH(VALUE(B99),기본자료!$B$2:$B$501,0),""))))</f>
        <v/>
      </c>
    </row>
    <row r="100">
      <c r="A100" s="8">
        <f>IF(B100="","",ROW()-1)</f>
        <v/>
      </c>
      <c r="B100" s="9" t="n"/>
      <c r="C100" s="8">
        <f>IF($W100="","",IF(INDEX(기본자료!$C$2:$C$501,$W100)="","",INDEX(기본자료!$C$2:$C$501,$W100)))</f>
        <v/>
      </c>
      <c r="D100" s="8">
        <f>IF($W100="","",IF(INDEX(기본자료!$J$2:$J$501,$W100)="","",INDEX(기본자료!$J$2:$J$501,$W100)))</f>
        <v/>
      </c>
      <c r="E100" s="10">
        <f>IF($W100="","",IF(INDEX(기본자료!$K$2:$K$501,$W100)="","",IF(NOT(ISNUMBER(INDEX(기본자료!$K$2:$K$501,$W100))),INDEX(기본자료!$K$2:$K$501,$W100),IF(INDEX(기본자료!$K$2:$K$501,$W100)&lt;1000000,INDEX(기본자료!$K$2:$K$501,$W100),IF(AND(INDEX(기본자료!$K$2:$K$501,$W100)&gt;=10000101,INT(MOD(INDEX(기본자료!$K$2:$K$501,$W100),10000)/100)&gt;=1,INT(MOD(INDEX(기본자료!$K$2:$K$501,$W100),10000)/100)&lt;=12,MOD(INDEX(기본자료!$K$2:$K$501,$W100),100)&gt;=1,MOD(INDEX(기본자료!$K$2:$K$501,$W100),100)&lt;=31),DATE(INT(INDEX(기본자료!$K$2:$K$501,$W100)/10000),INT(MOD(INDEX(기본자료!$K$2:$K$501,$W100),10000)/100),MOD(INDEX(기본자료!$K$2:$K$501,$W100),100)),INDEX(기본자료!$K$2:$K$501,$W100)&amp;"")))))</f>
        <v/>
      </c>
      <c r="F100" s="8">
        <f>IF($W100="","",IF(INDEX(기본자료!$D$2:$D$501,$W100)="","",INDEX(기본자료!$D$2:$D$501,$W100)))</f>
        <v/>
      </c>
      <c r="G100" s="8">
        <f>IF($W100="","",IF(INDEX(기본자료!$E$2:$E$501,$W100)="","",INDEX(기본자료!$E$2:$E$501,$W100)))</f>
        <v/>
      </c>
      <c r="H100" s="8">
        <f>IF($W100="","",IF(INDEX(기본자료!$F$2:$F$501,$W100)="","",INDEX(기본자료!$F$2:$F$501,$W100)))</f>
        <v/>
      </c>
      <c r="I100" s="10">
        <f>IF($W100="","",IF(INDEX(기본자료!$G$2:$G$501,$W100)="","",IF(NOT(ISNUMBER(INDEX(기본자료!$G$2:$G$501,$W100))),INDEX(기본자료!$G$2:$G$501,$W100),IF(INDEX(기본자료!$G$2:$G$501,$W100)&lt;1000000,INDEX(기본자료!$G$2:$G$501,$W100),IF(AND(INDEX(기본자료!$G$2:$G$501,$W100)&gt;=10000101,INT(MOD(INDEX(기본자료!$G$2:$G$501,$W100),10000)/100)&gt;=1,INT(MOD(INDEX(기본자료!$G$2:$G$501,$W100),10000)/100)&lt;=12,MOD(INDEX(기본자료!$G$2:$G$501,$W100),100)&gt;=1,MOD(INDEX(기본자료!$G$2:$G$501,$W100),100)&lt;=31),DATE(INT(INDEX(기본자료!$G$2:$G$501,$W100)/10000),INT(MOD(INDEX(기본자료!$G$2:$G$501,$W100),10000)/100),MOD(INDEX(기본자료!$G$2:$G$501,$W100),100)),INDEX(기본자료!$G$2:$G$501,$W100)&amp;"")))))</f>
        <v/>
      </c>
      <c r="J100" s="8">
        <f>IF($W100="","",IF(INDEX(기본자료!$H$2:$H$501,$W100)="","",INDEX(기본자료!$H$2:$H$501,$W100)))</f>
        <v/>
      </c>
      <c r="K100" s="8">
        <f>IF($W100="","",IF(INDEX(기본자료!$I$2:$I$501,$W100)="","",INDEX(기본자료!$I$2:$I$501,$W100)))</f>
        <v/>
      </c>
      <c r="L100" s="8">
        <f>IF($W100="","",IF(INDEX(기본자료!$A$2:$A$501,$W100)="","",INDEX(기본자료!$A$2:$A$501,$W100)))</f>
        <v/>
      </c>
      <c r="M100" s="5" t="n"/>
      <c r="N100" s="5" t="n"/>
      <c r="O100" s="5" t="n"/>
      <c r="P100" s="5" t="n"/>
      <c r="Q100" s="11" t="n"/>
      <c r="R100" s="11" t="n"/>
      <c r="S100" s="8">
        <f>IF(OR(B100="",Q100=""),"",IF(TODAY()&lt;Q100,"파견예정",IF(AND(R100&lt;&gt;"",TODAY()&gt;R100),"파견종료","파견중")))</f>
        <v/>
      </c>
      <c r="T100" s="12">
        <f>IF(OR(Q100="",R100=""),"",R100-Q100+1)</f>
        <v/>
      </c>
      <c r="U100" s="12">
        <f>IF(AND(S100="파견중",R100&lt;&gt;""),R100-TODAY(),"")</f>
        <v/>
      </c>
      <c r="V100" s="5" t="n"/>
      <c r="W100" s="8">
        <f>IF(B100="","",IFERROR(MATCH(B100,기본자료!$B$2:$B$501,0),IFERROR(MATCH(B100&amp;"",기본자료!$B$2:$B$501,0),IFERROR(MATCH(VALUE(B100),기본자료!$B$2:$B$501,0),""))))</f>
        <v/>
      </c>
    </row>
    <row r="101">
      <c r="A101" s="8">
        <f>IF(B101="","",ROW()-1)</f>
        <v/>
      </c>
      <c r="B101" s="9" t="n"/>
      <c r="C101" s="8">
        <f>IF($W101="","",IF(INDEX(기본자료!$C$2:$C$501,$W101)="","",INDEX(기본자료!$C$2:$C$501,$W101)))</f>
        <v/>
      </c>
      <c r="D101" s="8">
        <f>IF($W101="","",IF(INDEX(기본자료!$J$2:$J$501,$W101)="","",INDEX(기본자료!$J$2:$J$501,$W101)))</f>
        <v/>
      </c>
      <c r="E101" s="10">
        <f>IF($W101="","",IF(INDEX(기본자료!$K$2:$K$501,$W101)="","",IF(NOT(ISNUMBER(INDEX(기본자료!$K$2:$K$501,$W101))),INDEX(기본자료!$K$2:$K$501,$W101),IF(INDEX(기본자료!$K$2:$K$501,$W101)&lt;1000000,INDEX(기본자료!$K$2:$K$501,$W101),IF(AND(INDEX(기본자료!$K$2:$K$501,$W101)&gt;=10000101,INT(MOD(INDEX(기본자료!$K$2:$K$501,$W101),10000)/100)&gt;=1,INT(MOD(INDEX(기본자료!$K$2:$K$501,$W101),10000)/100)&lt;=12,MOD(INDEX(기본자료!$K$2:$K$501,$W101),100)&gt;=1,MOD(INDEX(기본자료!$K$2:$K$501,$W101),100)&lt;=31),DATE(INT(INDEX(기본자료!$K$2:$K$501,$W101)/10000),INT(MOD(INDEX(기본자료!$K$2:$K$501,$W101),10000)/100),MOD(INDEX(기본자료!$K$2:$K$501,$W101),100)),INDEX(기본자료!$K$2:$K$501,$W101)&amp;"")))))</f>
        <v/>
      </c>
      <c r="F101" s="8">
        <f>IF($W101="","",IF(INDEX(기본자료!$D$2:$D$501,$W101)="","",INDEX(기본자료!$D$2:$D$501,$W101)))</f>
        <v/>
      </c>
      <c r="G101" s="8">
        <f>IF($W101="","",IF(INDEX(기본자료!$E$2:$E$501,$W101)="","",INDEX(기본자료!$E$2:$E$501,$W101)))</f>
        <v/>
      </c>
      <c r="H101" s="8">
        <f>IF($W101="","",IF(INDEX(기본자료!$F$2:$F$501,$W101)="","",INDEX(기본자료!$F$2:$F$501,$W101)))</f>
        <v/>
      </c>
      <c r="I101" s="10">
        <f>IF($W101="","",IF(INDEX(기본자료!$G$2:$G$501,$W101)="","",IF(NOT(ISNUMBER(INDEX(기본자료!$G$2:$G$501,$W101))),INDEX(기본자료!$G$2:$G$501,$W101),IF(INDEX(기본자료!$G$2:$G$501,$W101)&lt;1000000,INDEX(기본자료!$G$2:$G$501,$W101),IF(AND(INDEX(기본자료!$G$2:$G$501,$W101)&gt;=10000101,INT(MOD(INDEX(기본자료!$G$2:$G$501,$W101),10000)/100)&gt;=1,INT(MOD(INDEX(기본자료!$G$2:$G$501,$W101),10000)/100)&lt;=12,MOD(INDEX(기본자료!$G$2:$G$501,$W101),100)&gt;=1,MOD(INDEX(기본자료!$G$2:$G$501,$W101),100)&lt;=31),DATE(INT(INDEX(기본자료!$G$2:$G$501,$W101)/10000),INT(MOD(INDEX(기본자료!$G$2:$G$501,$W101),10000)/100),MOD(INDEX(기본자료!$G$2:$G$501,$W101),100)),INDEX(기본자료!$G$2:$G$501,$W101)&amp;"")))))</f>
        <v/>
      </c>
      <c r="J101" s="8">
        <f>IF($W101="","",IF(INDEX(기본자료!$H$2:$H$501,$W101)="","",INDEX(기본자료!$H$2:$H$501,$W101)))</f>
        <v/>
      </c>
      <c r="K101" s="8">
        <f>IF($W101="","",IF(INDEX(기본자료!$I$2:$I$501,$W101)="","",INDEX(기본자료!$I$2:$I$501,$W101)))</f>
        <v/>
      </c>
      <c r="L101" s="8">
        <f>IF($W101="","",IF(INDEX(기본자료!$A$2:$A$501,$W101)="","",INDEX(기본자료!$A$2:$A$501,$W101)))</f>
        <v/>
      </c>
      <c r="M101" s="5" t="n"/>
      <c r="N101" s="5" t="n"/>
      <c r="O101" s="5" t="n"/>
      <c r="P101" s="5" t="n"/>
      <c r="Q101" s="11" t="n"/>
      <c r="R101" s="11" t="n"/>
      <c r="S101" s="8">
        <f>IF(OR(B101="",Q101=""),"",IF(TODAY()&lt;Q101,"파견예정",IF(AND(R101&lt;&gt;"",TODAY()&gt;R101),"파견종료","파견중")))</f>
        <v/>
      </c>
      <c r="T101" s="12">
        <f>IF(OR(Q101="",R101=""),"",R101-Q101+1)</f>
        <v/>
      </c>
      <c r="U101" s="12">
        <f>IF(AND(S101="파견중",R101&lt;&gt;""),R101-TODAY(),"")</f>
        <v/>
      </c>
      <c r="V101" s="5" t="n"/>
      <c r="W101" s="8">
        <f>IF(B101="","",IFERROR(MATCH(B101,기본자료!$B$2:$B$501,0),IFERROR(MATCH(B101&amp;"",기본자료!$B$2:$B$501,0),IFERROR(MATCH(VALUE(B101),기본자료!$B$2:$B$501,0),""))))</f>
        <v/>
      </c>
    </row>
    <row r="102">
      <c r="A102" s="8">
        <f>IF(B102="","",ROW()-1)</f>
        <v/>
      </c>
      <c r="B102" s="9" t="n"/>
      <c r="C102" s="8">
        <f>IF($W102="","",IF(INDEX(기본자료!$C$2:$C$501,$W102)="","",INDEX(기본자료!$C$2:$C$501,$W102)))</f>
        <v/>
      </c>
      <c r="D102" s="8">
        <f>IF($W102="","",IF(INDEX(기본자료!$J$2:$J$501,$W102)="","",INDEX(기본자료!$J$2:$J$501,$W102)))</f>
        <v/>
      </c>
      <c r="E102" s="10">
        <f>IF($W102="","",IF(INDEX(기본자료!$K$2:$K$501,$W102)="","",IF(NOT(ISNUMBER(INDEX(기본자료!$K$2:$K$501,$W102))),INDEX(기본자료!$K$2:$K$501,$W102),IF(INDEX(기본자료!$K$2:$K$501,$W102)&lt;1000000,INDEX(기본자료!$K$2:$K$501,$W102),IF(AND(INDEX(기본자료!$K$2:$K$501,$W102)&gt;=10000101,INT(MOD(INDEX(기본자료!$K$2:$K$501,$W102),10000)/100)&gt;=1,INT(MOD(INDEX(기본자료!$K$2:$K$501,$W102),10000)/100)&lt;=12,MOD(INDEX(기본자료!$K$2:$K$501,$W102),100)&gt;=1,MOD(INDEX(기본자료!$K$2:$K$501,$W102),100)&lt;=31),DATE(INT(INDEX(기본자료!$K$2:$K$501,$W102)/10000),INT(MOD(INDEX(기본자료!$K$2:$K$501,$W102),10000)/100),MOD(INDEX(기본자료!$K$2:$K$501,$W102),100)),INDEX(기본자료!$K$2:$K$501,$W102)&amp;"")))))</f>
        <v/>
      </c>
      <c r="F102" s="8">
        <f>IF($W102="","",IF(INDEX(기본자료!$D$2:$D$501,$W102)="","",INDEX(기본자료!$D$2:$D$501,$W102)))</f>
        <v/>
      </c>
      <c r="G102" s="8">
        <f>IF($W102="","",IF(INDEX(기본자료!$E$2:$E$501,$W102)="","",INDEX(기본자료!$E$2:$E$501,$W102)))</f>
        <v/>
      </c>
      <c r="H102" s="8">
        <f>IF($W102="","",IF(INDEX(기본자료!$F$2:$F$501,$W102)="","",INDEX(기본자료!$F$2:$F$501,$W102)))</f>
        <v/>
      </c>
      <c r="I102" s="10">
        <f>IF($W102="","",IF(INDEX(기본자료!$G$2:$G$501,$W102)="","",IF(NOT(ISNUMBER(INDEX(기본자료!$G$2:$G$501,$W102))),INDEX(기본자료!$G$2:$G$501,$W102),IF(INDEX(기본자료!$G$2:$G$501,$W102)&lt;1000000,INDEX(기본자료!$G$2:$G$501,$W102),IF(AND(INDEX(기본자료!$G$2:$G$501,$W102)&gt;=10000101,INT(MOD(INDEX(기본자료!$G$2:$G$501,$W102),10000)/100)&gt;=1,INT(MOD(INDEX(기본자료!$G$2:$G$501,$W102),10000)/100)&lt;=12,MOD(INDEX(기본자료!$G$2:$G$501,$W102),100)&gt;=1,MOD(INDEX(기본자료!$G$2:$G$501,$W102),100)&lt;=31),DATE(INT(INDEX(기본자료!$G$2:$G$501,$W102)/10000),INT(MOD(INDEX(기본자료!$G$2:$G$501,$W102),10000)/100),MOD(INDEX(기본자료!$G$2:$G$501,$W102),100)),INDEX(기본자료!$G$2:$G$501,$W102)&amp;"")))))</f>
        <v/>
      </c>
      <c r="J102" s="8">
        <f>IF($W102="","",IF(INDEX(기본자료!$H$2:$H$501,$W102)="","",INDEX(기본자료!$H$2:$H$501,$W102)))</f>
        <v/>
      </c>
      <c r="K102" s="8">
        <f>IF($W102="","",IF(INDEX(기본자료!$I$2:$I$501,$W102)="","",INDEX(기본자료!$I$2:$I$501,$W102)))</f>
        <v/>
      </c>
      <c r="L102" s="8">
        <f>IF($W102="","",IF(INDEX(기본자료!$A$2:$A$501,$W102)="","",INDEX(기본자료!$A$2:$A$501,$W102)))</f>
        <v/>
      </c>
      <c r="M102" s="5" t="n"/>
      <c r="N102" s="5" t="n"/>
      <c r="O102" s="5" t="n"/>
      <c r="P102" s="5" t="n"/>
      <c r="Q102" s="11" t="n"/>
      <c r="R102" s="11" t="n"/>
      <c r="S102" s="8">
        <f>IF(OR(B102="",Q102=""),"",IF(TODAY()&lt;Q102,"파견예정",IF(AND(R102&lt;&gt;"",TODAY()&gt;R102),"파견종료","파견중")))</f>
        <v/>
      </c>
      <c r="T102" s="12">
        <f>IF(OR(Q102="",R102=""),"",R102-Q102+1)</f>
        <v/>
      </c>
      <c r="U102" s="12">
        <f>IF(AND(S102="파견중",R102&lt;&gt;""),R102-TODAY(),"")</f>
        <v/>
      </c>
      <c r="V102" s="5" t="n"/>
      <c r="W102" s="8">
        <f>IF(B102="","",IFERROR(MATCH(B102,기본자료!$B$2:$B$501,0),IFERROR(MATCH(B102&amp;"",기본자료!$B$2:$B$501,0),IFERROR(MATCH(VALUE(B102),기본자료!$B$2:$B$501,0),""))))</f>
        <v/>
      </c>
    </row>
    <row r="103">
      <c r="A103" s="8">
        <f>IF(B103="","",ROW()-1)</f>
        <v/>
      </c>
      <c r="B103" s="9" t="n"/>
      <c r="C103" s="8">
        <f>IF($W103="","",IF(INDEX(기본자료!$C$2:$C$501,$W103)="","",INDEX(기본자료!$C$2:$C$501,$W103)))</f>
        <v/>
      </c>
      <c r="D103" s="8">
        <f>IF($W103="","",IF(INDEX(기본자료!$J$2:$J$501,$W103)="","",INDEX(기본자료!$J$2:$J$501,$W103)))</f>
        <v/>
      </c>
      <c r="E103" s="10">
        <f>IF($W103="","",IF(INDEX(기본자료!$K$2:$K$501,$W103)="","",IF(NOT(ISNUMBER(INDEX(기본자료!$K$2:$K$501,$W103))),INDEX(기본자료!$K$2:$K$501,$W103),IF(INDEX(기본자료!$K$2:$K$501,$W103)&lt;1000000,INDEX(기본자료!$K$2:$K$501,$W103),IF(AND(INDEX(기본자료!$K$2:$K$501,$W103)&gt;=10000101,INT(MOD(INDEX(기본자료!$K$2:$K$501,$W103),10000)/100)&gt;=1,INT(MOD(INDEX(기본자료!$K$2:$K$501,$W103),10000)/100)&lt;=12,MOD(INDEX(기본자료!$K$2:$K$501,$W103),100)&gt;=1,MOD(INDEX(기본자료!$K$2:$K$501,$W103),100)&lt;=31),DATE(INT(INDEX(기본자료!$K$2:$K$501,$W103)/10000),INT(MOD(INDEX(기본자료!$K$2:$K$501,$W103),10000)/100),MOD(INDEX(기본자료!$K$2:$K$501,$W103),100)),INDEX(기본자료!$K$2:$K$501,$W103)&amp;"")))))</f>
        <v/>
      </c>
      <c r="F103" s="8">
        <f>IF($W103="","",IF(INDEX(기본자료!$D$2:$D$501,$W103)="","",INDEX(기본자료!$D$2:$D$501,$W103)))</f>
        <v/>
      </c>
      <c r="G103" s="8">
        <f>IF($W103="","",IF(INDEX(기본자료!$E$2:$E$501,$W103)="","",INDEX(기본자료!$E$2:$E$501,$W103)))</f>
        <v/>
      </c>
      <c r="H103" s="8">
        <f>IF($W103="","",IF(INDEX(기본자료!$F$2:$F$501,$W103)="","",INDEX(기본자료!$F$2:$F$501,$W103)))</f>
        <v/>
      </c>
      <c r="I103" s="10">
        <f>IF($W103="","",IF(INDEX(기본자료!$G$2:$G$501,$W103)="","",IF(NOT(ISNUMBER(INDEX(기본자료!$G$2:$G$501,$W103))),INDEX(기본자료!$G$2:$G$501,$W103),IF(INDEX(기본자료!$G$2:$G$501,$W103)&lt;1000000,INDEX(기본자료!$G$2:$G$501,$W103),IF(AND(INDEX(기본자료!$G$2:$G$501,$W103)&gt;=10000101,INT(MOD(INDEX(기본자료!$G$2:$G$501,$W103),10000)/100)&gt;=1,INT(MOD(INDEX(기본자료!$G$2:$G$501,$W103),10000)/100)&lt;=12,MOD(INDEX(기본자료!$G$2:$G$501,$W103),100)&gt;=1,MOD(INDEX(기본자료!$G$2:$G$501,$W103),100)&lt;=31),DATE(INT(INDEX(기본자료!$G$2:$G$501,$W103)/10000),INT(MOD(INDEX(기본자료!$G$2:$G$501,$W103),10000)/100),MOD(INDEX(기본자료!$G$2:$G$501,$W103),100)),INDEX(기본자료!$G$2:$G$501,$W103)&amp;"")))))</f>
        <v/>
      </c>
      <c r="J103" s="8">
        <f>IF($W103="","",IF(INDEX(기본자료!$H$2:$H$501,$W103)="","",INDEX(기본자료!$H$2:$H$501,$W103)))</f>
        <v/>
      </c>
      <c r="K103" s="8">
        <f>IF($W103="","",IF(INDEX(기본자료!$I$2:$I$501,$W103)="","",INDEX(기본자료!$I$2:$I$501,$W103)))</f>
        <v/>
      </c>
      <c r="L103" s="8">
        <f>IF($W103="","",IF(INDEX(기본자료!$A$2:$A$501,$W103)="","",INDEX(기본자료!$A$2:$A$501,$W103)))</f>
        <v/>
      </c>
      <c r="M103" s="5" t="n"/>
      <c r="N103" s="5" t="n"/>
      <c r="O103" s="5" t="n"/>
      <c r="P103" s="5" t="n"/>
      <c r="Q103" s="11" t="n"/>
      <c r="R103" s="11" t="n"/>
      <c r="S103" s="8">
        <f>IF(OR(B103="",Q103=""),"",IF(TODAY()&lt;Q103,"파견예정",IF(AND(R103&lt;&gt;"",TODAY()&gt;R103),"파견종료","파견중")))</f>
        <v/>
      </c>
      <c r="T103" s="12">
        <f>IF(OR(Q103="",R103=""),"",R103-Q103+1)</f>
        <v/>
      </c>
      <c r="U103" s="12">
        <f>IF(AND(S103="파견중",R103&lt;&gt;""),R103-TODAY(),"")</f>
        <v/>
      </c>
      <c r="V103" s="5" t="n"/>
      <c r="W103" s="8">
        <f>IF(B103="","",IFERROR(MATCH(B103,기본자료!$B$2:$B$501,0),IFERROR(MATCH(B103&amp;"",기본자료!$B$2:$B$501,0),IFERROR(MATCH(VALUE(B103),기본자료!$B$2:$B$501,0),""))))</f>
        <v/>
      </c>
    </row>
    <row r="104">
      <c r="A104" s="8">
        <f>IF(B104="","",ROW()-1)</f>
        <v/>
      </c>
      <c r="B104" s="9" t="n"/>
      <c r="C104" s="8">
        <f>IF($W104="","",IF(INDEX(기본자료!$C$2:$C$501,$W104)="","",INDEX(기본자료!$C$2:$C$501,$W104)))</f>
        <v/>
      </c>
      <c r="D104" s="8">
        <f>IF($W104="","",IF(INDEX(기본자료!$J$2:$J$501,$W104)="","",INDEX(기본자료!$J$2:$J$501,$W104)))</f>
        <v/>
      </c>
      <c r="E104" s="10">
        <f>IF($W104="","",IF(INDEX(기본자료!$K$2:$K$501,$W104)="","",IF(NOT(ISNUMBER(INDEX(기본자료!$K$2:$K$501,$W104))),INDEX(기본자료!$K$2:$K$501,$W104),IF(INDEX(기본자료!$K$2:$K$501,$W104)&lt;1000000,INDEX(기본자료!$K$2:$K$501,$W104),IF(AND(INDEX(기본자료!$K$2:$K$501,$W104)&gt;=10000101,INT(MOD(INDEX(기본자료!$K$2:$K$501,$W104),10000)/100)&gt;=1,INT(MOD(INDEX(기본자료!$K$2:$K$501,$W104),10000)/100)&lt;=12,MOD(INDEX(기본자료!$K$2:$K$501,$W104),100)&gt;=1,MOD(INDEX(기본자료!$K$2:$K$501,$W104),100)&lt;=31),DATE(INT(INDEX(기본자료!$K$2:$K$501,$W104)/10000),INT(MOD(INDEX(기본자료!$K$2:$K$501,$W104),10000)/100),MOD(INDEX(기본자료!$K$2:$K$501,$W104),100)),INDEX(기본자료!$K$2:$K$501,$W104)&amp;"")))))</f>
        <v/>
      </c>
      <c r="F104" s="8">
        <f>IF($W104="","",IF(INDEX(기본자료!$D$2:$D$501,$W104)="","",INDEX(기본자료!$D$2:$D$501,$W104)))</f>
        <v/>
      </c>
      <c r="G104" s="8">
        <f>IF($W104="","",IF(INDEX(기본자료!$E$2:$E$501,$W104)="","",INDEX(기본자료!$E$2:$E$501,$W104)))</f>
        <v/>
      </c>
      <c r="H104" s="8">
        <f>IF($W104="","",IF(INDEX(기본자료!$F$2:$F$501,$W104)="","",INDEX(기본자료!$F$2:$F$501,$W104)))</f>
        <v/>
      </c>
      <c r="I104" s="10">
        <f>IF($W104="","",IF(INDEX(기본자료!$G$2:$G$501,$W104)="","",IF(NOT(ISNUMBER(INDEX(기본자료!$G$2:$G$501,$W104))),INDEX(기본자료!$G$2:$G$501,$W104),IF(INDEX(기본자료!$G$2:$G$501,$W104)&lt;1000000,INDEX(기본자료!$G$2:$G$501,$W104),IF(AND(INDEX(기본자료!$G$2:$G$501,$W104)&gt;=10000101,INT(MOD(INDEX(기본자료!$G$2:$G$501,$W104),10000)/100)&gt;=1,INT(MOD(INDEX(기본자료!$G$2:$G$501,$W104),10000)/100)&lt;=12,MOD(INDEX(기본자료!$G$2:$G$501,$W104),100)&gt;=1,MOD(INDEX(기본자료!$G$2:$G$501,$W104),100)&lt;=31),DATE(INT(INDEX(기본자료!$G$2:$G$501,$W104)/10000),INT(MOD(INDEX(기본자료!$G$2:$G$501,$W104),10000)/100),MOD(INDEX(기본자료!$G$2:$G$501,$W104),100)),INDEX(기본자료!$G$2:$G$501,$W104)&amp;"")))))</f>
        <v/>
      </c>
      <c r="J104" s="8">
        <f>IF($W104="","",IF(INDEX(기본자료!$H$2:$H$501,$W104)="","",INDEX(기본자료!$H$2:$H$501,$W104)))</f>
        <v/>
      </c>
      <c r="K104" s="8">
        <f>IF($W104="","",IF(INDEX(기본자료!$I$2:$I$501,$W104)="","",INDEX(기본자료!$I$2:$I$501,$W104)))</f>
        <v/>
      </c>
      <c r="L104" s="8">
        <f>IF($W104="","",IF(INDEX(기본자료!$A$2:$A$501,$W104)="","",INDEX(기본자료!$A$2:$A$501,$W104)))</f>
        <v/>
      </c>
      <c r="M104" s="5" t="n"/>
      <c r="N104" s="5" t="n"/>
      <c r="O104" s="5" t="n"/>
      <c r="P104" s="5" t="n"/>
      <c r="Q104" s="11" t="n"/>
      <c r="R104" s="11" t="n"/>
      <c r="S104" s="8">
        <f>IF(OR(B104="",Q104=""),"",IF(TODAY()&lt;Q104,"파견예정",IF(AND(R104&lt;&gt;"",TODAY()&gt;R104),"파견종료","파견중")))</f>
        <v/>
      </c>
      <c r="T104" s="12">
        <f>IF(OR(Q104="",R104=""),"",R104-Q104+1)</f>
        <v/>
      </c>
      <c r="U104" s="12">
        <f>IF(AND(S104="파견중",R104&lt;&gt;""),R104-TODAY(),"")</f>
        <v/>
      </c>
      <c r="V104" s="5" t="n"/>
      <c r="W104" s="8">
        <f>IF(B104="","",IFERROR(MATCH(B104,기본자료!$B$2:$B$501,0),IFERROR(MATCH(B104&amp;"",기본자료!$B$2:$B$501,0),IFERROR(MATCH(VALUE(B104),기본자료!$B$2:$B$501,0),""))))</f>
        <v/>
      </c>
    </row>
    <row r="105">
      <c r="A105" s="8">
        <f>IF(B105="","",ROW()-1)</f>
        <v/>
      </c>
      <c r="B105" s="9" t="n"/>
      <c r="C105" s="8">
        <f>IF($W105="","",IF(INDEX(기본자료!$C$2:$C$501,$W105)="","",INDEX(기본자료!$C$2:$C$501,$W105)))</f>
        <v/>
      </c>
      <c r="D105" s="8">
        <f>IF($W105="","",IF(INDEX(기본자료!$J$2:$J$501,$W105)="","",INDEX(기본자료!$J$2:$J$501,$W105)))</f>
        <v/>
      </c>
      <c r="E105" s="10">
        <f>IF($W105="","",IF(INDEX(기본자료!$K$2:$K$501,$W105)="","",IF(NOT(ISNUMBER(INDEX(기본자료!$K$2:$K$501,$W105))),INDEX(기본자료!$K$2:$K$501,$W105),IF(INDEX(기본자료!$K$2:$K$501,$W105)&lt;1000000,INDEX(기본자료!$K$2:$K$501,$W105),IF(AND(INDEX(기본자료!$K$2:$K$501,$W105)&gt;=10000101,INT(MOD(INDEX(기본자료!$K$2:$K$501,$W105),10000)/100)&gt;=1,INT(MOD(INDEX(기본자료!$K$2:$K$501,$W105),10000)/100)&lt;=12,MOD(INDEX(기본자료!$K$2:$K$501,$W105),100)&gt;=1,MOD(INDEX(기본자료!$K$2:$K$501,$W105),100)&lt;=31),DATE(INT(INDEX(기본자료!$K$2:$K$501,$W105)/10000),INT(MOD(INDEX(기본자료!$K$2:$K$501,$W105),10000)/100),MOD(INDEX(기본자료!$K$2:$K$501,$W105),100)),INDEX(기본자료!$K$2:$K$501,$W105)&amp;"")))))</f>
        <v/>
      </c>
      <c r="F105" s="8">
        <f>IF($W105="","",IF(INDEX(기본자료!$D$2:$D$501,$W105)="","",INDEX(기본자료!$D$2:$D$501,$W105)))</f>
        <v/>
      </c>
      <c r="G105" s="8">
        <f>IF($W105="","",IF(INDEX(기본자료!$E$2:$E$501,$W105)="","",INDEX(기본자료!$E$2:$E$501,$W105)))</f>
        <v/>
      </c>
      <c r="H105" s="8">
        <f>IF($W105="","",IF(INDEX(기본자료!$F$2:$F$501,$W105)="","",INDEX(기본자료!$F$2:$F$501,$W105)))</f>
        <v/>
      </c>
      <c r="I105" s="10">
        <f>IF($W105="","",IF(INDEX(기본자료!$G$2:$G$501,$W105)="","",IF(NOT(ISNUMBER(INDEX(기본자료!$G$2:$G$501,$W105))),INDEX(기본자료!$G$2:$G$501,$W105),IF(INDEX(기본자료!$G$2:$G$501,$W105)&lt;1000000,INDEX(기본자료!$G$2:$G$501,$W105),IF(AND(INDEX(기본자료!$G$2:$G$501,$W105)&gt;=10000101,INT(MOD(INDEX(기본자료!$G$2:$G$501,$W105),10000)/100)&gt;=1,INT(MOD(INDEX(기본자료!$G$2:$G$501,$W105),10000)/100)&lt;=12,MOD(INDEX(기본자료!$G$2:$G$501,$W105),100)&gt;=1,MOD(INDEX(기본자료!$G$2:$G$501,$W105),100)&lt;=31),DATE(INT(INDEX(기본자료!$G$2:$G$501,$W105)/10000),INT(MOD(INDEX(기본자료!$G$2:$G$501,$W105),10000)/100),MOD(INDEX(기본자료!$G$2:$G$501,$W105),100)),INDEX(기본자료!$G$2:$G$501,$W105)&amp;"")))))</f>
        <v/>
      </c>
      <c r="J105" s="8">
        <f>IF($W105="","",IF(INDEX(기본자료!$H$2:$H$501,$W105)="","",INDEX(기본자료!$H$2:$H$501,$W105)))</f>
        <v/>
      </c>
      <c r="K105" s="8">
        <f>IF($W105="","",IF(INDEX(기본자료!$I$2:$I$501,$W105)="","",INDEX(기본자료!$I$2:$I$501,$W105)))</f>
        <v/>
      </c>
      <c r="L105" s="8">
        <f>IF($W105="","",IF(INDEX(기본자료!$A$2:$A$501,$W105)="","",INDEX(기본자료!$A$2:$A$501,$W105)))</f>
        <v/>
      </c>
      <c r="M105" s="5" t="n"/>
      <c r="N105" s="5" t="n"/>
      <c r="O105" s="5" t="n"/>
      <c r="P105" s="5" t="n"/>
      <c r="Q105" s="11" t="n"/>
      <c r="R105" s="11" t="n"/>
      <c r="S105" s="8">
        <f>IF(OR(B105="",Q105=""),"",IF(TODAY()&lt;Q105,"파견예정",IF(AND(R105&lt;&gt;"",TODAY()&gt;R105),"파견종료","파견중")))</f>
        <v/>
      </c>
      <c r="T105" s="12">
        <f>IF(OR(Q105="",R105=""),"",R105-Q105+1)</f>
        <v/>
      </c>
      <c r="U105" s="12">
        <f>IF(AND(S105="파견중",R105&lt;&gt;""),R105-TODAY(),"")</f>
        <v/>
      </c>
      <c r="V105" s="5" t="n"/>
      <c r="W105" s="8">
        <f>IF(B105="","",IFERROR(MATCH(B105,기본자료!$B$2:$B$501,0),IFERROR(MATCH(B105&amp;"",기본자료!$B$2:$B$501,0),IFERROR(MATCH(VALUE(B105),기본자료!$B$2:$B$501,0),""))))</f>
        <v/>
      </c>
    </row>
    <row r="106">
      <c r="A106" s="8">
        <f>IF(B106="","",ROW()-1)</f>
        <v/>
      </c>
      <c r="B106" s="9" t="n"/>
      <c r="C106" s="8">
        <f>IF($W106="","",IF(INDEX(기본자료!$C$2:$C$501,$W106)="","",INDEX(기본자료!$C$2:$C$501,$W106)))</f>
        <v/>
      </c>
      <c r="D106" s="8">
        <f>IF($W106="","",IF(INDEX(기본자료!$J$2:$J$501,$W106)="","",INDEX(기본자료!$J$2:$J$501,$W106)))</f>
        <v/>
      </c>
      <c r="E106" s="10">
        <f>IF($W106="","",IF(INDEX(기본자료!$K$2:$K$501,$W106)="","",IF(NOT(ISNUMBER(INDEX(기본자료!$K$2:$K$501,$W106))),INDEX(기본자료!$K$2:$K$501,$W106),IF(INDEX(기본자료!$K$2:$K$501,$W106)&lt;1000000,INDEX(기본자료!$K$2:$K$501,$W106),IF(AND(INDEX(기본자료!$K$2:$K$501,$W106)&gt;=10000101,INT(MOD(INDEX(기본자료!$K$2:$K$501,$W106),10000)/100)&gt;=1,INT(MOD(INDEX(기본자료!$K$2:$K$501,$W106),10000)/100)&lt;=12,MOD(INDEX(기본자료!$K$2:$K$501,$W106),100)&gt;=1,MOD(INDEX(기본자료!$K$2:$K$501,$W106),100)&lt;=31),DATE(INT(INDEX(기본자료!$K$2:$K$501,$W106)/10000),INT(MOD(INDEX(기본자료!$K$2:$K$501,$W106),10000)/100),MOD(INDEX(기본자료!$K$2:$K$501,$W106),100)),INDEX(기본자료!$K$2:$K$501,$W106)&amp;"")))))</f>
        <v/>
      </c>
      <c r="F106" s="8">
        <f>IF($W106="","",IF(INDEX(기본자료!$D$2:$D$501,$W106)="","",INDEX(기본자료!$D$2:$D$501,$W106)))</f>
        <v/>
      </c>
      <c r="G106" s="8">
        <f>IF($W106="","",IF(INDEX(기본자료!$E$2:$E$501,$W106)="","",INDEX(기본자료!$E$2:$E$501,$W106)))</f>
        <v/>
      </c>
      <c r="H106" s="8">
        <f>IF($W106="","",IF(INDEX(기본자료!$F$2:$F$501,$W106)="","",INDEX(기본자료!$F$2:$F$501,$W106)))</f>
        <v/>
      </c>
      <c r="I106" s="10">
        <f>IF($W106="","",IF(INDEX(기본자료!$G$2:$G$501,$W106)="","",IF(NOT(ISNUMBER(INDEX(기본자료!$G$2:$G$501,$W106))),INDEX(기본자료!$G$2:$G$501,$W106),IF(INDEX(기본자료!$G$2:$G$501,$W106)&lt;1000000,INDEX(기본자료!$G$2:$G$501,$W106),IF(AND(INDEX(기본자료!$G$2:$G$501,$W106)&gt;=10000101,INT(MOD(INDEX(기본자료!$G$2:$G$501,$W106),10000)/100)&gt;=1,INT(MOD(INDEX(기본자료!$G$2:$G$501,$W106),10000)/100)&lt;=12,MOD(INDEX(기본자료!$G$2:$G$501,$W106),100)&gt;=1,MOD(INDEX(기본자료!$G$2:$G$501,$W106),100)&lt;=31),DATE(INT(INDEX(기본자료!$G$2:$G$501,$W106)/10000),INT(MOD(INDEX(기본자료!$G$2:$G$501,$W106),10000)/100),MOD(INDEX(기본자료!$G$2:$G$501,$W106),100)),INDEX(기본자료!$G$2:$G$501,$W106)&amp;"")))))</f>
        <v/>
      </c>
      <c r="J106" s="8">
        <f>IF($W106="","",IF(INDEX(기본자료!$H$2:$H$501,$W106)="","",INDEX(기본자료!$H$2:$H$501,$W106)))</f>
        <v/>
      </c>
      <c r="K106" s="8">
        <f>IF($W106="","",IF(INDEX(기본자료!$I$2:$I$501,$W106)="","",INDEX(기본자료!$I$2:$I$501,$W106)))</f>
        <v/>
      </c>
      <c r="L106" s="8">
        <f>IF($W106="","",IF(INDEX(기본자료!$A$2:$A$501,$W106)="","",INDEX(기본자료!$A$2:$A$501,$W106)))</f>
        <v/>
      </c>
      <c r="M106" s="5" t="n"/>
      <c r="N106" s="5" t="n"/>
      <c r="O106" s="5" t="n"/>
      <c r="P106" s="5" t="n"/>
      <c r="Q106" s="11" t="n"/>
      <c r="R106" s="11" t="n"/>
      <c r="S106" s="8">
        <f>IF(OR(B106="",Q106=""),"",IF(TODAY()&lt;Q106,"파견예정",IF(AND(R106&lt;&gt;"",TODAY()&gt;R106),"파견종료","파견중")))</f>
        <v/>
      </c>
      <c r="T106" s="12">
        <f>IF(OR(Q106="",R106=""),"",R106-Q106+1)</f>
        <v/>
      </c>
      <c r="U106" s="12">
        <f>IF(AND(S106="파견중",R106&lt;&gt;""),R106-TODAY(),"")</f>
        <v/>
      </c>
      <c r="V106" s="5" t="n"/>
      <c r="W106" s="8">
        <f>IF(B106="","",IFERROR(MATCH(B106,기본자료!$B$2:$B$501,0),IFERROR(MATCH(B106&amp;"",기본자료!$B$2:$B$501,0),IFERROR(MATCH(VALUE(B106),기본자료!$B$2:$B$501,0),""))))</f>
        <v/>
      </c>
    </row>
    <row r="107">
      <c r="A107" s="8">
        <f>IF(B107="","",ROW()-1)</f>
        <v/>
      </c>
      <c r="B107" s="9" t="n"/>
      <c r="C107" s="8">
        <f>IF($W107="","",IF(INDEX(기본자료!$C$2:$C$501,$W107)="","",INDEX(기본자료!$C$2:$C$501,$W107)))</f>
        <v/>
      </c>
      <c r="D107" s="8">
        <f>IF($W107="","",IF(INDEX(기본자료!$J$2:$J$501,$W107)="","",INDEX(기본자료!$J$2:$J$501,$W107)))</f>
        <v/>
      </c>
      <c r="E107" s="10">
        <f>IF($W107="","",IF(INDEX(기본자료!$K$2:$K$501,$W107)="","",IF(NOT(ISNUMBER(INDEX(기본자료!$K$2:$K$501,$W107))),INDEX(기본자료!$K$2:$K$501,$W107),IF(INDEX(기본자료!$K$2:$K$501,$W107)&lt;1000000,INDEX(기본자료!$K$2:$K$501,$W107),IF(AND(INDEX(기본자료!$K$2:$K$501,$W107)&gt;=10000101,INT(MOD(INDEX(기본자료!$K$2:$K$501,$W107),10000)/100)&gt;=1,INT(MOD(INDEX(기본자료!$K$2:$K$501,$W107),10000)/100)&lt;=12,MOD(INDEX(기본자료!$K$2:$K$501,$W107),100)&gt;=1,MOD(INDEX(기본자료!$K$2:$K$501,$W107),100)&lt;=31),DATE(INT(INDEX(기본자료!$K$2:$K$501,$W107)/10000),INT(MOD(INDEX(기본자료!$K$2:$K$501,$W107),10000)/100),MOD(INDEX(기본자료!$K$2:$K$501,$W107),100)),INDEX(기본자료!$K$2:$K$501,$W107)&amp;"")))))</f>
        <v/>
      </c>
      <c r="F107" s="8">
        <f>IF($W107="","",IF(INDEX(기본자료!$D$2:$D$501,$W107)="","",INDEX(기본자료!$D$2:$D$501,$W107)))</f>
        <v/>
      </c>
      <c r="G107" s="8">
        <f>IF($W107="","",IF(INDEX(기본자료!$E$2:$E$501,$W107)="","",INDEX(기본자료!$E$2:$E$501,$W107)))</f>
        <v/>
      </c>
      <c r="H107" s="8">
        <f>IF($W107="","",IF(INDEX(기본자료!$F$2:$F$501,$W107)="","",INDEX(기본자료!$F$2:$F$501,$W107)))</f>
        <v/>
      </c>
      <c r="I107" s="10">
        <f>IF($W107="","",IF(INDEX(기본자료!$G$2:$G$501,$W107)="","",IF(NOT(ISNUMBER(INDEX(기본자료!$G$2:$G$501,$W107))),INDEX(기본자료!$G$2:$G$501,$W107),IF(INDEX(기본자료!$G$2:$G$501,$W107)&lt;1000000,INDEX(기본자료!$G$2:$G$501,$W107),IF(AND(INDEX(기본자료!$G$2:$G$501,$W107)&gt;=10000101,INT(MOD(INDEX(기본자료!$G$2:$G$501,$W107),10000)/100)&gt;=1,INT(MOD(INDEX(기본자료!$G$2:$G$501,$W107),10000)/100)&lt;=12,MOD(INDEX(기본자료!$G$2:$G$501,$W107),100)&gt;=1,MOD(INDEX(기본자료!$G$2:$G$501,$W107),100)&lt;=31),DATE(INT(INDEX(기본자료!$G$2:$G$501,$W107)/10000),INT(MOD(INDEX(기본자료!$G$2:$G$501,$W107),10000)/100),MOD(INDEX(기본자료!$G$2:$G$501,$W107),100)),INDEX(기본자료!$G$2:$G$501,$W107)&amp;"")))))</f>
        <v/>
      </c>
      <c r="J107" s="8">
        <f>IF($W107="","",IF(INDEX(기본자료!$H$2:$H$501,$W107)="","",INDEX(기본자료!$H$2:$H$501,$W107)))</f>
        <v/>
      </c>
      <c r="K107" s="8">
        <f>IF($W107="","",IF(INDEX(기본자료!$I$2:$I$501,$W107)="","",INDEX(기본자료!$I$2:$I$501,$W107)))</f>
        <v/>
      </c>
      <c r="L107" s="8">
        <f>IF($W107="","",IF(INDEX(기본자료!$A$2:$A$501,$W107)="","",INDEX(기본자료!$A$2:$A$501,$W107)))</f>
        <v/>
      </c>
      <c r="M107" s="5" t="n"/>
      <c r="N107" s="5" t="n"/>
      <c r="O107" s="5" t="n"/>
      <c r="P107" s="5" t="n"/>
      <c r="Q107" s="11" t="n"/>
      <c r="R107" s="11" t="n"/>
      <c r="S107" s="8">
        <f>IF(OR(B107="",Q107=""),"",IF(TODAY()&lt;Q107,"파견예정",IF(AND(R107&lt;&gt;"",TODAY()&gt;R107),"파견종료","파견중")))</f>
        <v/>
      </c>
      <c r="T107" s="12">
        <f>IF(OR(Q107="",R107=""),"",R107-Q107+1)</f>
        <v/>
      </c>
      <c r="U107" s="12">
        <f>IF(AND(S107="파견중",R107&lt;&gt;""),R107-TODAY(),"")</f>
        <v/>
      </c>
      <c r="V107" s="5" t="n"/>
      <c r="W107" s="8">
        <f>IF(B107="","",IFERROR(MATCH(B107,기본자료!$B$2:$B$501,0),IFERROR(MATCH(B107&amp;"",기본자료!$B$2:$B$501,0),IFERROR(MATCH(VALUE(B107),기본자료!$B$2:$B$501,0),""))))</f>
        <v/>
      </c>
    </row>
    <row r="108">
      <c r="A108" s="8">
        <f>IF(B108="","",ROW()-1)</f>
        <v/>
      </c>
      <c r="B108" s="9" t="n"/>
      <c r="C108" s="8">
        <f>IF($W108="","",IF(INDEX(기본자료!$C$2:$C$501,$W108)="","",INDEX(기본자료!$C$2:$C$501,$W108)))</f>
        <v/>
      </c>
      <c r="D108" s="8">
        <f>IF($W108="","",IF(INDEX(기본자료!$J$2:$J$501,$W108)="","",INDEX(기본자료!$J$2:$J$501,$W108)))</f>
        <v/>
      </c>
      <c r="E108" s="10">
        <f>IF($W108="","",IF(INDEX(기본자료!$K$2:$K$501,$W108)="","",IF(NOT(ISNUMBER(INDEX(기본자료!$K$2:$K$501,$W108))),INDEX(기본자료!$K$2:$K$501,$W108),IF(INDEX(기본자료!$K$2:$K$501,$W108)&lt;1000000,INDEX(기본자료!$K$2:$K$501,$W108),IF(AND(INDEX(기본자료!$K$2:$K$501,$W108)&gt;=10000101,INT(MOD(INDEX(기본자료!$K$2:$K$501,$W108),10000)/100)&gt;=1,INT(MOD(INDEX(기본자료!$K$2:$K$501,$W108),10000)/100)&lt;=12,MOD(INDEX(기본자료!$K$2:$K$501,$W108),100)&gt;=1,MOD(INDEX(기본자료!$K$2:$K$501,$W108),100)&lt;=31),DATE(INT(INDEX(기본자료!$K$2:$K$501,$W108)/10000),INT(MOD(INDEX(기본자료!$K$2:$K$501,$W108),10000)/100),MOD(INDEX(기본자료!$K$2:$K$501,$W108),100)),INDEX(기본자료!$K$2:$K$501,$W108)&amp;"")))))</f>
        <v/>
      </c>
      <c r="F108" s="8">
        <f>IF($W108="","",IF(INDEX(기본자료!$D$2:$D$501,$W108)="","",INDEX(기본자료!$D$2:$D$501,$W108)))</f>
        <v/>
      </c>
      <c r="G108" s="8">
        <f>IF($W108="","",IF(INDEX(기본자료!$E$2:$E$501,$W108)="","",INDEX(기본자료!$E$2:$E$501,$W108)))</f>
        <v/>
      </c>
      <c r="H108" s="8">
        <f>IF($W108="","",IF(INDEX(기본자료!$F$2:$F$501,$W108)="","",INDEX(기본자료!$F$2:$F$501,$W108)))</f>
        <v/>
      </c>
      <c r="I108" s="10">
        <f>IF($W108="","",IF(INDEX(기본자료!$G$2:$G$501,$W108)="","",IF(NOT(ISNUMBER(INDEX(기본자료!$G$2:$G$501,$W108))),INDEX(기본자료!$G$2:$G$501,$W108),IF(INDEX(기본자료!$G$2:$G$501,$W108)&lt;1000000,INDEX(기본자료!$G$2:$G$501,$W108),IF(AND(INDEX(기본자료!$G$2:$G$501,$W108)&gt;=10000101,INT(MOD(INDEX(기본자료!$G$2:$G$501,$W108),10000)/100)&gt;=1,INT(MOD(INDEX(기본자료!$G$2:$G$501,$W108),10000)/100)&lt;=12,MOD(INDEX(기본자료!$G$2:$G$501,$W108),100)&gt;=1,MOD(INDEX(기본자료!$G$2:$G$501,$W108),100)&lt;=31),DATE(INT(INDEX(기본자료!$G$2:$G$501,$W108)/10000),INT(MOD(INDEX(기본자료!$G$2:$G$501,$W108),10000)/100),MOD(INDEX(기본자료!$G$2:$G$501,$W108),100)),INDEX(기본자료!$G$2:$G$501,$W108)&amp;"")))))</f>
        <v/>
      </c>
      <c r="J108" s="8">
        <f>IF($W108="","",IF(INDEX(기본자료!$H$2:$H$501,$W108)="","",INDEX(기본자료!$H$2:$H$501,$W108)))</f>
        <v/>
      </c>
      <c r="K108" s="8">
        <f>IF($W108="","",IF(INDEX(기본자료!$I$2:$I$501,$W108)="","",INDEX(기본자료!$I$2:$I$501,$W108)))</f>
        <v/>
      </c>
      <c r="L108" s="8">
        <f>IF($W108="","",IF(INDEX(기본자료!$A$2:$A$501,$W108)="","",INDEX(기본자료!$A$2:$A$501,$W108)))</f>
        <v/>
      </c>
      <c r="M108" s="5" t="n"/>
      <c r="N108" s="5" t="n"/>
      <c r="O108" s="5" t="n"/>
      <c r="P108" s="5" t="n"/>
      <c r="Q108" s="11" t="n"/>
      <c r="R108" s="11" t="n"/>
      <c r="S108" s="8">
        <f>IF(OR(B108="",Q108=""),"",IF(TODAY()&lt;Q108,"파견예정",IF(AND(R108&lt;&gt;"",TODAY()&gt;R108),"파견종료","파견중")))</f>
        <v/>
      </c>
      <c r="T108" s="12">
        <f>IF(OR(Q108="",R108=""),"",R108-Q108+1)</f>
        <v/>
      </c>
      <c r="U108" s="12">
        <f>IF(AND(S108="파견중",R108&lt;&gt;""),R108-TODAY(),"")</f>
        <v/>
      </c>
      <c r="V108" s="5" t="n"/>
      <c r="W108" s="8">
        <f>IF(B108="","",IFERROR(MATCH(B108,기본자료!$B$2:$B$501,0),IFERROR(MATCH(B108&amp;"",기본자료!$B$2:$B$501,0),IFERROR(MATCH(VALUE(B108),기본자료!$B$2:$B$501,0),""))))</f>
        <v/>
      </c>
    </row>
    <row r="109">
      <c r="A109" s="8">
        <f>IF(B109="","",ROW()-1)</f>
        <v/>
      </c>
      <c r="B109" s="9" t="n"/>
      <c r="C109" s="8">
        <f>IF($W109="","",IF(INDEX(기본자료!$C$2:$C$501,$W109)="","",INDEX(기본자료!$C$2:$C$501,$W109)))</f>
        <v/>
      </c>
      <c r="D109" s="8">
        <f>IF($W109="","",IF(INDEX(기본자료!$J$2:$J$501,$W109)="","",INDEX(기본자료!$J$2:$J$501,$W109)))</f>
        <v/>
      </c>
      <c r="E109" s="10">
        <f>IF($W109="","",IF(INDEX(기본자료!$K$2:$K$501,$W109)="","",IF(NOT(ISNUMBER(INDEX(기본자료!$K$2:$K$501,$W109))),INDEX(기본자료!$K$2:$K$501,$W109),IF(INDEX(기본자료!$K$2:$K$501,$W109)&lt;1000000,INDEX(기본자료!$K$2:$K$501,$W109),IF(AND(INDEX(기본자료!$K$2:$K$501,$W109)&gt;=10000101,INT(MOD(INDEX(기본자료!$K$2:$K$501,$W109),10000)/100)&gt;=1,INT(MOD(INDEX(기본자료!$K$2:$K$501,$W109),10000)/100)&lt;=12,MOD(INDEX(기본자료!$K$2:$K$501,$W109),100)&gt;=1,MOD(INDEX(기본자료!$K$2:$K$501,$W109),100)&lt;=31),DATE(INT(INDEX(기본자료!$K$2:$K$501,$W109)/10000),INT(MOD(INDEX(기본자료!$K$2:$K$501,$W109),10000)/100),MOD(INDEX(기본자료!$K$2:$K$501,$W109),100)),INDEX(기본자료!$K$2:$K$501,$W109)&amp;"")))))</f>
        <v/>
      </c>
      <c r="F109" s="8">
        <f>IF($W109="","",IF(INDEX(기본자료!$D$2:$D$501,$W109)="","",INDEX(기본자료!$D$2:$D$501,$W109)))</f>
        <v/>
      </c>
      <c r="G109" s="8">
        <f>IF($W109="","",IF(INDEX(기본자료!$E$2:$E$501,$W109)="","",INDEX(기본자료!$E$2:$E$501,$W109)))</f>
        <v/>
      </c>
      <c r="H109" s="8">
        <f>IF($W109="","",IF(INDEX(기본자료!$F$2:$F$501,$W109)="","",INDEX(기본자료!$F$2:$F$501,$W109)))</f>
        <v/>
      </c>
      <c r="I109" s="10">
        <f>IF($W109="","",IF(INDEX(기본자료!$G$2:$G$501,$W109)="","",IF(NOT(ISNUMBER(INDEX(기본자료!$G$2:$G$501,$W109))),INDEX(기본자료!$G$2:$G$501,$W109),IF(INDEX(기본자료!$G$2:$G$501,$W109)&lt;1000000,INDEX(기본자료!$G$2:$G$501,$W109),IF(AND(INDEX(기본자료!$G$2:$G$501,$W109)&gt;=10000101,INT(MOD(INDEX(기본자료!$G$2:$G$501,$W109),10000)/100)&gt;=1,INT(MOD(INDEX(기본자료!$G$2:$G$501,$W109),10000)/100)&lt;=12,MOD(INDEX(기본자료!$G$2:$G$501,$W109),100)&gt;=1,MOD(INDEX(기본자료!$G$2:$G$501,$W109),100)&lt;=31),DATE(INT(INDEX(기본자료!$G$2:$G$501,$W109)/10000),INT(MOD(INDEX(기본자료!$G$2:$G$501,$W109),10000)/100),MOD(INDEX(기본자료!$G$2:$G$501,$W109),100)),INDEX(기본자료!$G$2:$G$501,$W109)&amp;"")))))</f>
        <v/>
      </c>
      <c r="J109" s="8">
        <f>IF($W109="","",IF(INDEX(기본자료!$H$2:$H$501,$W109)="","",INDEX(기본자료!$H$2:$H$501,$W109)))</f>
        <v/>
      </c>
      <c r="K109" s="8">
        <f>IF($W109="","",IF(INDEX(기본자료!$I$2:$I$501,$W109)="","",INDEX(기본자료!$I$2:$I$501,$W109)))</f>
        <v/>
      </c>
      <c r="L109" s="8">
        <f>IF($W109="","",IF(INDEX(기본자료!$A$2:$A$501,$W109)="","",INDEX(기본자료!$A$2:$A$501,$W109)))</f>
        <v/>
      </c>
      <c r="M109" s="5" t="n"/>
      <c r="N109" s="5" t="n"/>
      <c r="O109" s="5" t="n"/>
      <c r="P109" s="5" t="n"/>
      <c r="Q109" s="11" t="n"/>
      <c r="R109" s="11" t="n"/>
      <c r="S109" s="8">
        <f>IF(OR(B109="",Q109=""),"",IF(TODAY()&lt;Q109,"파견예정",IF(AND(R109&lt;&gt;"",TODAY()&gt;R109),"파견종료","파견중")))</f>
        <v/>
      </c>
      <c r="T109" s="12">
        <f>IF(OR(Q109="",R109=""),"",R109-Q109+1)</f>
        <v/>
      </c>
      <c r="U109" s="12">
        <f>IF(AND(S109="파견중",R109&lt;&gt;""),R109-TODAY(),"")</f>
        <v/>
      </c>
      <c r="V109" s="5" t="n"/>
      <c r="W109" s="8">
        <f>IF(B109="","",IFERROR(MATCH(B109,기본자료!$B$2:$B$501,0),IFERROR(MATCH(B109&amp;"",기본자료!$B$2:$B$501,0),IFERROR(MATCH(VALUE(B109),기본자료!$B$2:$B$501,0),""))))</f>
        <v/>
      </c>
    </row>
    <row r="110">
      <c r="A110" s="8">
        <f>IF(B110="","",ROW()-1)</f>
        <v/>
      </c>
      <c r="B110" s="9" t="n"/>
      <c r="C110" s="8">
        <f>IF($W110="","",IF(INDEX(기본자료!$C$2:$C$501,$W110)="","",INDEX(기본자료!$C$2:$C$501,$W110)))</f>
        <v/>
      </c>
      <c r="D110" s="8">
        <f>IF($W110="","",IF(INDEX(기본자료!$J$2:$J$501,$W110)="","",INDEX(기본자료!$J$2:$J$501,$W110)))</f>
        <v/>
      </c>
      <c r="E110" s="10">
        <f>IF($W110="","",IF(INDEX(기본자료!$K$2:$K$501,$W110)="","",IF(NOT(ISNUMBER(INDEX(기본자료!$K$2:$K$501,$W110))),INDEX(기본자료!$K$2:$K$501,$W110),IF(INDEX(기본자료!$K$2:$K$501,$W110)&lt;1000000,INDEX(기본자료!$K$2:$K$501,$W110),IF(AND(INDEX(기본자료!$K$2:$K$501,$W110)&gt;=10000101,INT(MOD(INDEX(기본자료!$K$2:$K$501,$W110),10000)/100)&gt;=1,INT(MOD(INDEX(기본자료!$K$2:$K$501,$W110),10000)/100)&lt;=12,MOD(INDEX(기본자료!$K$2:$K$501,$W110),100)&gt;=1,MOD(INDEX(기본자료!$K$2:$K$501,$W110),100)&lt;=31),DATE(INT(INDEX(기본자료!$K$2:$K$501,$W110)/10000),INT(MOD(INDEX(기본자료!$K$2:$K$501,$W110),10000)/100),MOD(INDEX(기본자료!$K$2:$K$501,$W110),100)),INDEX(기본자료!$K$2:$K$501,$W110)&amp;"")))))</f>
        <v/>
      </c>
      <c r="F110" s="8">
        <f>IF($W110="","",IF(INDEX(기본자료!$D$2:$D$501,$W110)="","",INDEX(기본자료!$D$2:$D$501,$W110)))</f>
        <v/>
      </c>
      <c r="G110" s="8">
        <f>IF($W110="","",IF(INDEX(기본자료!$E$2:$E$501,$W110)="","",INDEX(기본자료!$E$2:$E$501,$W110)))</f>
        <v/>
      </c>
      <c r="H110" s="8">
        <f>IF($W110="","",IF(INDEX(기본자료!$F$2:$F$501,$W110)="","",INDEX(기본자료!$F$2:$F$501,$W110)))</f>
        <v/>
      </c>
      <c r="I110" s="10">
        <f>IF($W110="","",IF(INDEX(기본자료!$G$2:$G$501,$W110)="","",IF(NOT(ISNUMBER(INDEX(기본자료!$G$2:$G$501,$W110))),INDEX(기본자료!$G$2:$G$501,$W110),IF(INDEX(기본자료!$G$2:$G$501,$W110)&lt;1000000,INDEX(기본자료!$G$2:$G$501,$W110),IF(AND(INDEX(기본자료!$G$2:$G$501,$W110)&gt;=10000101,INT(MOD(INDEX(기본자료!$G$2:$G$501,$W110),10000)/100)&gt;=1,INT(MOD(INDEX(기본자료!$G$2:$G$501,$W110),10000)/100)&lt;=12,MOD(INDEX(기본자료!$G$2:$G$501,$W110),100)&gt;=1,MOD(INDEX(기본자료!$G$2:$G$501,$W110),100)&lt;=31),DATE(INT(INDEX(기본자료!$G$2:$G$501,$W110)/10000),INT(MOD(INDEX(기본자료!$G$2:$G$501,$W110),10000)/100),MOD(INDEX(기본자료!$G$2:$G$501,$W110),100)),INDEX(기본자료!$G$2:$G$501,$W110)&amp;"")))))</f>
        <v/>
      </c>
      <c r="J110" s="8">
        <f>IF($W110="","",IF(INDEX(기본자료!$H$2:$H$501,$W110)="","",INDEX(기본자료!$H$2:$H$501,$W110)))</f>
        <v/>
      </c>
      <c r="K110" s="8">
        <f>IF($W110="","",IF(INDEX(기본자료!$I$2:$I$501,$W110)="","",INDEX(기본자료!$I$2:$I$501,$W110)))</f>
        <v/>
      </c>
      <c r="L110" s="8">
        <f>IF($W110="","",IF(INDEX(기본자료!$A$2:$A$501,$W110)="","",INDEX(기본자료!$A$2:$A$501,$W110)))</f>
        <v/>
      </c>
      <c r="M110" s="5" t="n"/>
      <c r="N110" s="5" t="n"/>
      <c r="O110" s="5" t="n"/>
      <c r="P110" s="5" t="n"/>
      <c r="Q110" s="11" t="n"/>
      <c r="R110" s="11" t="n"/>
      <c r="S110" s="8">
        <f>IF(OR(B110="",Q110=""),"",IF(TODAY()&lt;Q110,"파견예정",IF(AND(R110&lt;&gt;"",TODAY()&gt;R110),"파견종료","파견중")))</f>
        <v/>
      </c>
      <c r="T110" s="12">
        <f>IF(OR(Q110="",R110=""),"",R110-Q110+1)</f>
        <v/>
      </c>
      <c r="U110" s="12">
        <f>IF(AND(S110="파견중",R110&lt;&gt;""),R110-TODAY(),"")</f>
        <v/>
      </c>
      <c r="V110" s="5" t="n"/>
      <c r="W110" s="8">
        <f>IF(B110="","",IFERROR(MATCH(B110,기본자료!$B$2:$B$501,0),IFERROR(MATCH(B110&amp;"",기본자료!$B$2:$B$501,0),IFERROR(MATCH(VALUE(B110),기본자료!$B$2:$B$501,0),""))))</f>
        <v/>
      </c>
    </row>
    <row r="111">
      <c r="A111" s="8">
        <f>IF(B111="","",ROW()-1)</f>
        <v/>
      </c>
      <c r="B111" s="9" t="n"/>
      <c r="C111" s="8">
        <f>IF($W111="","",IF(INDEX(기본자료!$C$2:$C$501,$W111)="","",INDEX(기본자료!$C$2:$C$501,$W111)))</f>
        <v/>
      </c>
      <c r="D111" s="8">
        <f>IF($W111="","",IF(INDEX(기본자료!$J$2:$J$501,$W111)="","",INDEX(기본자료!$J$2:$J$501,$W111)))</f>
        <v/>
      </c>
      <c r="E111" s="10">
        <f>IF($W111="","",IF(INDEX(기본자료!$K$2:$K$501,$W111)="","",IF(NOT(ISNUMBER(INDEX(기본자료!$K$2:$K$501,$W111))),INDEX(기본자료!$K$2:$K$501,$W111),IF(INDEX(기본자료!$K$2:$K$501,$W111)&lt;1000000,INDEX(기본자료!$K$2:$K$501,$W111),IF(AND(INDEX(기본자료!$K$2:$K$501,$W111)&gt;=10000101,INT(MOD(INDEX(기본자료!$K$2:$K$501,$W111),10000)/100)&gt;=1,INT(MOD(INDEX(기본자료!$K$2:$K$501,$W111),10000)/100)&lt;=12,MOD(INDEX(기본자료!$K$2:$K$501,$W111),100)&gt;=1,MOD(INDEX(기본자료!$K$2:$K$501,$W111),100)&lt;=31),DATE(INT(INDEX(기본자료!$K$2:$K$501,$W111)/10000),INT(MOD(INDEX(기본자료!$K$2:$K$501,$W111),10000)/100),MOD(INDEX(기본자료!$K$2:$K$501,$W111),100)),INDEX(기본자료!$K$2:$K$501,$W111)&amp;"")))))</f>
        <v/>
      </c>
      <c r="F111" s="8">
        <f>IF($W111="","",IF(INDEX(기본자료!$D$2:$D$501,$W111)="","",INDEX(기본자료!$D$2:$D$501,$W111)))</f>
        <v/>
      </c>
      <c r="G111" s="8">
        <f>IF($W111="","",IF(INDEX(기본자료!$E$2:$E$501,$W111)="","",INDEX(기본자료!$E$2:$E$501,$W111)))</f>
        <v/>
      </c>
      <c r="H111" s="8">
        <f>IF($W111="","",IF(INDEX(기본자료!$F$2:$F$501,$W111)="","",INDEX(기본자료!$F$2:$F$501,$W111)))</f>
        <v/>
      </c>
      <c r="I111" s="10">
        <f>IF($W111="","",IF(INDEX(기본자료!$G$2:$G$501,$W111)="","",IF(NOT(ISNUMBER(INDEX(기본자료!$G$2:$G$501,$W111))),INDEX(기본자료!$G$2:$G$501,$W111),IF(INDEX(기본자료!$G$2:$G$501,$W111)&lt;1000000,INDEX(기본자료!$G$2:$G$501,$W111),IF(AND(INDEX(기본자료!$G$2:$G$501,$W111)&gt;=10000101,INT(MOD(INDEX(기본자료!$G$2:$G$501,$W111),10000)/100)&gt;=1,INT(MOD(INDEX(기본자료!$G$2:$G$501,$W111),10000)/100)&lt;=12,MOD(INDEX(기본자료!$G$2:$G$501,$W111),100)&gt;=1,MOD(INDEX(기본자료!$G$2:$G$501,$W111),100)&lt;=31),DATE(INT(INDEX(기본자료!$G$2:$G$501,$W111)/10000),INT(MOD(INDEX(기본자료!$G$2:$G$501,$W111),10000)/100),MOD(INDEX(기본자료!$G$2:$G$501,$W111),100)),INDEX(기본자료!$G$2:$G$501,$W111)&amp;"")))))</f>
        <v/>
      </c>
      <c r="J111" s="8">
        <f>IF($W111="","",IF(INDEX(기본자료!$H$2:$H$501,$W111)="","",INDEX(기본자료!$H$2:$H$501,$W111)))</f>
        <v/>
      </c>
      <c r="K111" s="8">
        <f>IF($W111="","",IF(INDEX(기본자료!$I$2:$I$501,$W111)="","",INDEX(기본자료!$I$2:$I$501,$W111)))</f>
        <v/>
      </c>
      <c r="L111" s="8">
        <f>IF($W111="","",IF(INDEX(기본자료!$A$2:$A$501,$W111)="","",INDEX(기본자료!$A$2:$A$501,$W111)))</f>
        <v/>
      </c>
      <c r="M111" s="5" t="n"/>
      <c r="N111" s="5" t="n"/>
      <c r="O111" s="5" t="n"/>
      <c r="P111" s="5" t="n"/>
      <c r="Q111" s="11" t="n"/>
      <c r="R111" s="11" t="n"/>
      <c r="S111" s="8">
        <f>IF(OR(B111="",Q111=""),"",IF(TODAY()&lt;Q111,"파견예정",IF(AND(R111&lt;&gt;"",TODAY()&gt;R111),"파견종료","파견중")))</f>
        <v/>
      </c>
      <c r="T111" s="12">
        <f>IF(OR(Q111="",R111=""),"",R111-Q111+1)</f>
        <v/>
      </c>
      <c r="U111" s="12">
        <f>IF(AND(S111="파견중",R111&lt;&gt;""),R111-TODAY(),"")</f>
        <v/>
      </c>
      <c r="V111" s="5" t="n"/>
      <c r="W111" s="8">
        <f>IF(B111="","",IFERROR(MATCH(B111,기본자료!$B$2:$B$501,0),IFERROR(MATCH(B111&amp;"",기본자료!$B$2:$B$501,0),IFERROR(MATCH(VALUE(B111),기본자료!$B$2:$B$501,0),""))))</f>
        <v/>
      </c>
    </row>
    <row r="112">
      <c r="A112" s="8">
        <f>IF(B112="","",ROW()-1)</f>
        <v/>
      </c>
      <c r="B112" s="9" t="n"/>
      <c r="C112" s="8">
        <f>IF($W112="","",IF(INDEX(기본자료!$C$2:$C$501,$W112)="","",INDEX(기본자료!$C$2:$C$501,$W112)))</f>
        <v/>
      </c>
      <c r="D112" s="8">
        <f>IF($W112="","",IF(INDEX(기본자료!$J$2:$J$501,$W112)="","",INDEX(기본자료!$J$2:$J$501,$W112)))</f>
        <v/>
      </c>
      <c r="E112" s="10">
        <f>IF($W112="","",IF(INDEX(기본자료!$K$2:$K$501,$W112)="","",IF(NOT(ISNUMBER(INDEX(기본자료!$K$2:$K$501,$W112))),INDEX(기본자료!$K$2:$K$501,$W112),IF(INDEX(기본자료!$K$2:$K$501,$W112)&lt;1000000,INDEX(기본자료!$K$2:$K$501,$W112),IF(AND(INDEX(기본자료!$K$2:$K$501,$W112)&gt;=10000101,INT(MOD(INDEX(기본자료!$K$2:$K$501,$W112),10000)/100)&gt;=1,INT(MOD(INDEX(기본자료!$K$2:$K$501,$W112),10000)/100)&lt;=12,MOD(INDEX(기본자료!$K$2:$K$501,$W112),100)&gt;=1,MOD(INDEX(기본자료!$K$2:$K$501,$W112),100)&lt;=31),DATE(INT(INDEX(기본자료!$K$2:$K$501,$W112)/10000),INT(MOD(INDEX(기본자료!$K$2:$K$501,$W112),10000)/100),MOD(INDEX(기본자료!$K$2:$K$501,$W112),100)),INDEX(기본자료!$K$2:$K$501,$W112)&amp;"")))))</f>
        <v/>
      </c>
      <c r="F112" s="8">
        <f>IF($W112="","",IF(INDEX(기본자료!$D$2:$D$501,$W112)="","",INDEX(기본자료!$D$2:$D$501,$W112)))</f>
        <v/>
      </c>
      <c r="G112" s="8">
        <f>IF($W112="","",IF(INDEX(기본자료!$E$2:$E$501,$W112)="","",INDEX(기본자료!$E$2:$E$501,$W112)))</f>
        <v/>
      </c>
      <c r="H112" s="8">
        <f>IF($W112="","",IF(INDEX(기본자료!$F$2:$F$501,$W112)="","",INDEX(기본자료!$F$2:$F$501,$W112)))</f>
        <v/>
      </c>
      <c r="I112" s="10">
        <f>IF($W112="","",IF(INDEX(기본자료!$G$2:$G$501,$W112)="","",IF(NOT(ISNUMBER(INDEX(기본자료!$G$2:$G$501,$W112))),INDEX(기본자료!$G$2:$G$501,$W112),IF(INDEX(기본자료!$G$2:$G$501,$W112)&lt;1000000,INDEX(기본자료!$G$2:$G$501,$W112),IF(AND(INDEX(기본자료!$G$2:$G$501,$W112)&gt;=10000101,INT(MOD(INDEX(기본자료!$G$2:$G$501,$W112),10000)/100)&gt;=1,INT(MOD(INDEX(기본자료!$G$2:$G$501,$W112),10000)/100)&lt;=12,MOD(INDEX(기본자료!$G$2:$G$501,$W112),100)&gt;=1,MOD(INDEX(기본자료!$G$2:$G$501,$W112),100)&lt;=31),DATE(INT(INDEX(기본자료!$G$2:$G$501,$W112)/10000),INT(MOD(INDEX(기본자료!$G$2:$G$501,$W112),10000)/100),MOD(INDEX(기본자료!$G$2:$G$501,$W112),100)),INDEX(기본자료!$G$2:$G$501,$W112)&amp;"")))))</f>
        <v/>
      </c>
      <c r="J112" s="8">
        <f>IF($W112="","",IF(INDEX(기본자료!$H$2:$H$501,$W112)="","",INDEX(기본자료!$H$2:$H$501,$W112)))</f>
        <v/>
      </c>
      <c r="K112" s="8">
        <f>IF($W112="","",IF(INDEX(기본자료!$I$2:$I$501,$W112)="","",INDEX(기본자료!$I$2:$I$501,$W112)))</f>
        <v/>
      </c>
      <c r="L112" s="8">
        <f>IF($W112="","",IF(INDEX(기본자료!$A$2:$A$501,$W112)="","",INDEX(기본자료!$A$2:$A$501,$W112)))</f>
        <v/>
      </c>
      <c r="M112" s="5" t="n"/>
      <c r="N112" s="5" t="n"/>
      <c r="O112" s="5" t="n"/>
      <c r="P112" s="5" t="n"/>
      <c r="Q112" s="11" t="n"/>
      <c r="R112" s="11" t="n"/>
      <c r="S112" s="8">
        <f>IF(OR(B112="",Q112=""),"",IF(TODAY()&lt;Q112,"파견예정",IF(AND(R112&lt;&gt;"",TODAY()&gt;R112),"파견종료","파견중")))</f>
        <v/>
      </c>
      <c r="T112" s="12">
        <f>IF(OR(Q112="",R112=""),"",R112-Q112+1)</f>
        <v/>
      </c>
      <c r="U112" s="12">
        <f>IF(AND(S112="파견중",R112&lt;&gt;""),R112-TODAY(),"")</f>
        <v/>
      </c>
      <c r="V112" s="5" t="n"/>
      <c r="W112" s="8">
        <f>IF(B112="","",IFERROR(MATCH(B112,기본자료!$B$2:$B$501,0),IFERROR(MATCH(B112&amp;"",기본자료!$B$2:$B$501,0),IFERROR(MATCH(VALUE(B112),기본자료!$B$2:$B$501,0),""))))</f>
        <v/>
      </c>
    </row>
    <row r="113">
      <c r="A113" s="8">
        <f>IF(B113="","",ROW()-1)</f>
        <v/>
      </c>
      <c r="B113" s="9" t="n"/>
      <c r="C113" s="8">
        <f>IF($W113="","",IF(INDEX(기본자료!$C$2:$C$501,$W113)="","",INDEX(기본자료!$C$2:$C$501,$W113)))</f>
        <v/>
      </c>
      <c r="D113" s="8">
        <f>IF($W113="","",IF(INDEX(기본자료!$J$2:$J$501,$W113)="","",INDEX(기본자료!$J$2:$J$501,$W113)))</f>
        <v/>
      </c>
      <c r="E113" s="10">
        <f>IF($W113="","",IF(INDEX(기본자료!$K$2:$K$501,$W113)="","",IF(NOT(ISNUMBER(INDEX(기본자료!$K$2:$K$501,$W113))),INDEX(기본자료!$K$2:$K$501,$W113),IF(INDEX(기본자료!$K$2:$K$501,$W113)&lt;1000000,INDEX(기본자료!$K$2:$K$501,$W113),IF(AND(INDEX(기본자료!$K$2:$K$501,$W113)&gt;=10000101,INT(MOD(INDEX(기본자료!$K$2:$K$501,$W113),10000)/100)&gt;=1,INT(MOD(INDEX(기본자료!$K$2:$K$501,$W113),10000)/100)&lt;=12,MOD(INDEX(기본자료!$K$2:$K$501,$W113),100)&gt;=1,MOD(INDEX(기본자료!$K$2:$K$501,$W113),100)&lt;=31),DATE(INT(INDEX(기본자료!$K$2:$K$501,$W113)/10000),INT(MOD(INDEX(기본자료!$K$2:$K$501,$W113),10000)/100),MOD(INDEX(기본자료!$K$2:$K$501,$W113),100)),INDEX(기본자료!$K$2:$K$501,$W113)&amp;"")))))</f>
        <v/>
      </c>
      <c r="F113" s="8">
        <f>IF($W113="","",IF(INDEX(기본자료!$D$2:$D$501,$W113)="","",INDEX(기본자료!$D$2:$D$501,$W113)))</f>
        <v/>
      </c>
      <c r="G113" s="8">
        <f>IF($W113="","",IF(INDEX(기본자료!$E$2:$E$501,$W113)="","",INDEX(기본자료!$E$2:$E$501,$W113)))</f>
        <v/>
      </c>
      <c r="H113" s="8">
        <f>IF($W113="","",IF(INDEX(기본자료!$F$2:$F$501,$W113)="","",INDEX(기본자료!$F$2:$F$501,$W113)))</f>
        <v/>
      </c>
      <c r="I113" s="10">
        <f>IF($W113="","",IF(INDEX(기본자료!$G$2:$G$501,$W113)="","",IF(NOT(ISNUMBER(INDEX(기본자료!$G$2:$G$501,$W113))),INDEX(기본자료!$G$2:$G$501,$W113),IF(INDEX(기본자료!$G$2:$G$501,$W113)&lt;1000000,INDEX(기본자료!$G$2:$G$501,$W113),IF(AND(INDEX(기본자료!$G$2:$G$501,$W113)&gt;=10000101,INT(MOD(INDEX(기본자료!$G$2:$G$501,$W113),10000)/100)&gt;=1,INT(MOD(INDEX(기본자료!$G$2:$G$501,$W113),10000)/100)&lt;=12,MOD(INDEX(기본자료!$G$2:$G$501,$W113),100)&gt;=1,MOD(INDEX(기본자료!$G$2:$G$501,$W113),100)&lt;=31),DATE(INT(INDEX(기본자료!$G$2:$G$501,$W113)/10000),INT(MOD(INDEX(기본자료!$G$2:$G$501,$W113),10000)/100),MOD(INDEX(기본자료!$G$2:$G$501,$W113),100)),INDEX(기본자료!$G$2:$G$501,$W113)&amp;"")))))</f>
        <v/>
      </c>
      <c r="J113" s="8">
        <f>IF($W113="","",IF(INDEX(기본자료!$H$2:$H$501,$W113)="","",INDEX(기본자료!$H$2:$H$501,$W113)))</f>
        <v/>
      </c>
      <c r="K113" s="8">
        <f>IF($W113="","",IF(INDEX(기본자료!$I$2:$I$501,$W113)="","",INDEX(기본자료!$I$2:$I$501,$W113)))</f>
        <v/>
      </c>
      <c r="L113" s="8">
        <f>IF($W113="","",IF(INDEX(기본자료!$A$2:$A$501,$W113)="","",INDEX(기본자료!$A$2:$A$501,$W113)))</f>
        <v/>
      </c>
      <c r="M113" s="5" t="n"/>
      <c r="N113" s="5" t="n"/>
      <c r="O113" s="5" t="n"/>
      <c r="P113" s="5" t="n"/>
      <c r="Q113" s="11" t="n"/>
      <c r="R113" s="11" t="n"/>
      <c r="S113" s="8">
        <f>IF(OR(B113="",Q113=""),"",IF(TODAY()&lt;Q113,"파견예정",IF(AND(R113&lt;&gt;"",TODAY()&gt;R113),"파견종료","파견중")))</f>
        <v/>
      </c>
      <c r="T113" s="12">
        <f>IF(OR(Q113="",R113=""),"",R113-Q113+1)</f>
        <v/>
      </c>
      <c r="U113" s="12">
        <f>IF(AND(S113="파견중",R113&lt;&gt;""),R113-TODAY(),"")</f>
        <v/>
      </c>
      <c r="V113" s="5" t="n"/>
      <c r="W113" s="8">
        <f>IF(B113="","",IFERROR(MATCH(B113,기본자료!$B$2:$B$501,0),IFERROR(MATCH(B113&amp;"",기본자료!$B$2:$B$501,0),IFERROR(MATCH(VALUE(B113),기본자료!$B$2:$B$501,0),""))))</f>
        <v/>
      </c>
    </row>
    <row r="114">
      <c r="A114" s="8">
        <f>IF(B114="","",ROW()-1)</f>
        <v/>
      </c>
      <c r="B114" s="9" t="n"/>
      <c r="C114" s="8">
        <f>IF($W114="","",IF(INDEX(기본자료!$C$2:$C$501,$W114)="","",INDEX(기본자료!$C$2:$C$501,$W114)))</f>
        <v/>
      </c>
      <c r="D114" s="8">
        <f>IF($W114="","",IF(INDEX(기본자료!$J$2:$J$501,$W114)="","",INDEX(기본자료!$J$2:$J$501,$W114)))</f>
        <v/>
      </c>
      <c r="E114" s="10">
        <f>IF($W114="","",IF(INDEX(기본자료!$K$2:$K$501,$W114)="","",IF(NOT(ISNUMBER(INDEX(기본자료!$K$2:$K$501,$W114))),INDEX(기본자료!$K$2:$K$501,$W114),IF(INDEX(기본자료!$K$2:$K$501,$W114)&lt;1000000,INDEX(기본자료!$K$2:$K$501,$W114),IF(AND(INDEX(기본자료!$K$2:$K$501,$W114)&gt;=10000101,INT(MOD(INDEX(기본자료!$K$2:$K$501,$W114),10000)/100)&gt;=1,INT(MOD(INDEX(기본자료!$K$2:$K$501,$W114),10000)/100)&lt;=12,MOD(INDEX(기본자료!$K$2:$K$501,$W114),100)&gt;=1,MOD(INDEX(기본자료!$K$2:$K$501,$W114),100)&lt;=31),DATE(INT(INDEX(기본자료!$K$2:$K$501,$W114)/10000),INT(MOD(INDEX(기본자료!$K$2:$K$501,$W114),10000)/100),MOD(INDEX(기본자료!$K$2:$K$501,$W114),100)),INDEX(기본자료!$K$2:$K$501,$W114)&amp;"")))))</f>
        <v/>
      </c>
      <c r="F114" s="8">
        <f>IF($W114="","",IF(INDEX(기본자료!$D$2:$D$501,$W114)="","",INDEX(기본자료!$D$2:$D$501,$W114)))</f>
        <v/>
      </c>
      <c r="G114" s="8">
        <f>IF($W114="","",IF(INDEX(기본자료!$E$2:$E$501,$W114)="","",INDEX(기본자료!$E$2:$E$501,$W114)))</f>
        <v/>
      </c>
      <c r="H114" s="8">
        <f>IF($W114="","",IF(INDEX(기본자료!$F$2:$F$501,$W114)="","",INDEX(기본자료!$F$2:$F$501,$W114)))</f>
        <v/>
      </c>
      <c r="I114" s="10">
        <f>IF($W114="","",IF(INDEX(기본자료!$G$2:$G$501,$W114)="","",IF(NOT(ISNUMBER(INDEX(기본자료!$G$2:$G$501,$W114))),INDEX(기본자료!$G$2:$G$501,$W114),IF(INDEX(기본자료!$G$2:$G$501,$W114)&lt;1000000,INDEX(기본자료!$G$2:$G$501,$W114),IF(AND(INDEX(기본자료!$G$2:$G$501,$W114)&gt;=10000101,INT(MOD(INDEX(기본자료!$G$2:$G$501,$W114),10000)/100)&gt;=1,INT(MOD(INDEX(기본자료!$G$2:$G$501,$W114),10000)/100)&lt;=12,MOD(INDEX(기본자료!$G$2:$G$501,$W114),100)&gt;=1,MOD(INDEX(기본자료!$G$2:$G$501,$W114),100)&lt;=31),DATE(INT(INDEX(기본자료!$G$2:$G$501,$W114)/10000),INT(MOD(INDEX(기본자료!$G$2:$G$501,$W114),10000)/100),MOD(INDEX(기본자료!$G$2:$G$501,$W114),100)),INDEX(기본자료!$G$2:$G$501,$W114)&amp;"")))))</f>
        <v/>
      </c>
      <c r="J114" s="8">
        <f>IF($W114="","",IF(INDEX(기본자료!$H$2:$H$501,$W114)="","",INDEX(기본자료!$H$2:$H$501,$W114)))</f>
        <v/>
      </c>
      <c r="K114" s="8">
        <f>IF($W114="","",IF(INDEX(기본자료!$I$2:$I$501,$W114)="","",INDEX(기본자료!$I$2:$I$501,$W114)))</f>
        <v/>
      </c>
      <c r="L114" s="8">
        <f>IF($W114="","",IF(INDEX(기본자료!$A$2:$A$501,$W114)="","",INDEX(기본자료!$A$2:$A$501,$W114)))</f>
        <v/>
      </c>
      <c r="M114" s="5" t="n"/>
      <c r="N114" s="5" t="n"/>
      <c r="O114" s="5" t="n"/>
      <c r="P114" s="5" t="n"/>
      <c r="Q114" s="11" t="n"/>
      <c r="R114" s="11" t="n"/>
      <c r="S114" s="8">
        <f>IF(OR(B114="",Q114=""),"",IF(TODAY()&lt;Q114,"파견예정",IF(AND(R114&lt;&gt;"",TODAY()&gt;R114),"파견종료","파견중")))</f>
        <v/>
      </c>
      <c r="T114" s="12">
        <f>IF(OR(Q114="",R114=""),"",R114-Q114+1)</f>
        <v/>
      </c>
      <c r="U114" s="12">
        <f>IF(AND(S114="파견중",R114&lt;&gt;""),R114-TODAY(),"")</f>
        <v/>
      </c>
      <c r="V114" s="5" t="n"/>
      <c r="W114" s="8">
        <f>IF(B114="","",IFERROR(MATCH(B114,기본자료!$B$2:$B$501,0),IFERROR(MATCH(B114&amp;"",기본자료!$B$2:$B$501,0),IFERROR(MATCH(VALUE(B114),기본자료!$B$2:$B$501,0),""))))</f>
        <v/>
      </c>
    </row>
    <row r="115">
      <c r="A115" s="8">
        <f>IF(B115="","",ROW()-1)</f>
        <v/>
      </c>
      <c r="B115" s="9" t="n"/>
      <c r="C115" s="8">
        <f>IF($W115="","",IF(INDEX(기본자료!$C$2:$C$501,$W115)="","",INDEX(기본자료!$C$2:$C$501,$W115)))</f>
        <v/>
      </c>
      <c r="D115" s="8">
        <f>IF($W115="","",IF(INDEX(기본자료!$J$2:$J$501,$W115)="","",INDEX(기본자료!$J$2:$J$501,$W115)))</f>
        <v/>
      </c>
      <c r="E115" s="10">
        <f>IF($W115="","",IF(INDEX(기본자료!$K$2:$K$501,$W115)="","",IF(NOT(ISNUMBER(INDEX(기본자료!$K$2:$K$501,$W115))),INDEX(기본자료!$K$2:$K$501,$W115),IF(INDEX(기본자료!$K$2:$K$501,$W115)&lt;1000000,INDEX(기본자료!$K$2:$K$501,$W115),IF(AND(INDEX(기본자료!$K$2:$K$501,$W115)&gt;=10000101,INT(MOD(INDEX(기본자료!$K$2:$K$501,$W115),10000)/100)&gt;=1,INT(MOD(INDEX(기본자료!$K$2:$K$501,$W115),10000)/100)&lt;=12,MOD(INDEX(기본자료!$K$2:$K$501,$W115),100)&gt;=1,MOD(INDEX(기본자료!$K$2:$K$501,$W115),100)&lt;=31),DATE(INT(INDEX(기본자료!$K$2:$K$501,$W115)/10000),INT(MOD(INDEX(기본자료!$K$2:$K$501,$W115),10000)/100),MOD(INDEX(기본자료!$K$2:$K$501,$W115),100)),INDEX(기본자료!$K$2:$K$501,$W115)&amp;"")))))</f>
        <v/>
      </c>
      <c r="F115" s="8">
        <f>IF($W115="","",IF(INDEX(기본자료!$D$2:$D$501,$W115)="","",INDEX(기본자료!$D$2:$D$501,$W115)))</f>
        <v/>
      </c>
      <c r="G115" s="8">
        <f>IF($W115="","",IF(INDEX(기본자료!$E$2:$E$501,$W115)="","",INDEX(기본자료!$E$2:$E$501,$W115)))</f>
        <v/>
      </c>
      <c r="H115" s="8">
        <f>IF($W115="","",IF(INDEX(기본자료!$F$2:$F$501,$W115)="","",INDEX(기본자료!$F$2:$F$501,$W115)))</f>
        <v/>
      </c>
      <c r="I115" s="10">
        <f>IF($W115="","",IF(INDEX(기본자료!$G$2:$G$501,$W115)="","",IF(NOT(ISNUMBER(INDEX(기본자료!$G$2:$G$501,$W115))),INDEX(기본자료!$G$2:$G$501,$W115),IF(INDEX(기본자료!$G$2:$G$501,$W115)&lt;1000000,INDEX(기본자료!$G$2:$G$501,$W115),IF(AND(INDEX(기본자료!$G$2:$G$501,$W115)&gt;=10000101,INT(MOD(INDEX(기본자료!$G$2:$G$501,$W115),10000)/100)&gt;=1,INT(MOD(INDEX(기본자료!$G$2:$G$501,$W115),10000)/100)&lt;=12,MOD(INDEX(기본자료!$G$2:$G$501,$W115),100)&gt;=1,MOD(INDEX(기본자료!$G$2:$G$501,$W115),100)&lt;=31),DATE(INT(INDEX(기본자료!$G$2:$G$501,$W115)/10000),INT(MOD(INDEX(기본자료!$G$2:$G$501,$W115),10000)/100),MOD(INDEX(기본자료!$G$2:$G$501,$W115),100)),INDEX(기본자료!$G$2:$G$501,$W115)&amp;"")))))</f>
        <v/>
      </c>
      <c r="J115" s="8">
        <f>IF($W115="","",IF(INDEX(기본자료!$H$2:$H$501,$W115)="","",INDEX(기본자료!$H$2:$H$501,$W115)))</f>
        <v/>
      </c>
      <c r="K115" s="8">
        <f>IF($W115="","",IF(INDEX(기본자료!$I$2:$I$501,$W115)="","",INDEX(기본자료!$I$2:$I$501,$W115)))</f>
        <v/>
      </c>
      <c r="L115" s="8">
        <f>IF($W115="","",IF(INDEX(기본자료!$A$2:$A$501,$W115)="","",INDEX(기본자료!$A$2:$A$501,$W115)))</f>
        <v/>
      </c>
      <c r="M115" s="5" t="n"/>
      <c r="N115" s="5" t="n"/>
      <c r="O115" s="5" t="n"/>
      <c r="P115" s="5" t="n"/>
      <c r="Q115" s="11" t="n"/>
      <c r="R115" s="11" t="n"/>
      <c r="S115" s="8">
        <f>IF(OR(B115="",Q115=""),"",IF(TODAY()&lt;Q115,"파견예정",IF(AND(R115&lt;&gt;"",TODAY()&gt;R115),"파견종료","파견중")))</f>
        <v/>
      </c>
      <c r="T115" s="12">
        <f>IF(OR(Q115="",R115=""),"",R115-Q115+1)</f>
        <v/>
      </c>
      <c r="U115" s="12">
        <f>IF(AND(S115="파견중",R115&lt;&gt;""),R115-TODAY(),"")</f>
        <v/>
      </c>
      <c r="V115" s="5" t="n"/>
      <c r="W115" s="8">
        <f>IF(B115="","",IFERROR(MATCH(B115,기본자료!$B$2:$B$501,0),IFERROR(MATCH(B115&amp;"",기본자료!$B$2:$B$501,0),IFERROR(MATCH(VALUE(B115),기본자료!$B$2:$B$501,0),""))))</f>
        <v/>
      </c>
    </row>
    <row r="116">
      <c r="A116" s="8">
        <f>IF(B116="","",ROW()-1)</f>
        <v/>
      </c>
      <c r="B116" s="9" t="n"/>
      <c r="C116" s="8">
        <f>IF($W116="","",IF(INDEX(기본자료!$C$2:$C$501,$W116)="","",INDEX(기본자료!$C$2:$C$501,$W116)))</f>
        <v/>
      </c>
      <c r="D116" s="8">
        <f>IF($W116="","",IF(INDEX(기본자료!$J$2:$J$501,$W116)="","",INDEX(기본자료!$J$2:$J$501,$W116)))</f>
        <v/>
      </c>
      <c r="E116" s="10">
        <f>IF($W116="","",IF(INDEX(기본자료!$K$2:$K$501,$W116)="","",IF(NOT(ISNUMBER(INDEX(기본자료!$K$2:$K$501,$W116))),INDEX(기본자료!$K$2:$K$501,$W116),IF(INDEX(기본자료!$K$2:$K$501,$W116)&lt;1000000,INDEX(기본자료!$K$2:$K$501,$W116),IF(AND(INDEX(기본자료!$K$2:$K$501,$W116)&gt;=10000101,INT(MOD(INDEX(기본자료!$K$2:$K$501,$W116),10000)/100)&gt;=1,INT(MOD(INDEX(기본자료!$K$2:$K$501,$W116),10000)/100)&lt;=12,MOD(INDEX(기본자료!$K$2:$K$501,$W116),100)&gt;=1,MOD(INDEX(기본자료!$K$2:$K$501,$W116),100)&lt;=31),DATE(INT(INDEX(기본자료!$K$2:$K$501,$W116)/10000),INT(MOD(INDEX(기본자료!$K$2:$K$501,$W116),10000)/100),MOD(INDEX(기본자료!$K$2:$K$501,$W116),100)),INDEX(기본자료!$K$2:$K$501,$W116)&amp;"")))))</f>
        <v/>
      </c>
      <c r="F116" s="8">
        <f>IF($W116="","",IF(INDEX(기본자료!$D$2:$D$501,$W116)="","",INDEX(기본자료!$D$2:$D$501,$W116)))</f>
        <v/>
      </c>
      <c r="G116" s="8">
        <f>IF($W116="","",IF(INDEX(기본자료!$E$2:$E$501,$W116)="","",INDEX(기본자료!$E$2:$E$501,$W116)))</f>
        <v/>
      </c>
      <c r="H116" s="8">
        <f>IF($W116="","",IF(INDEX(기본자료!$F$2:$F$501,$W116)="","",INDEX(기본자료!$F$2:$F$501,$W116)))</f>
        <v/>
      </c>
      <c r="I116" s="10">
        <f>IF($W116="","",IF(INDEX(기본자료!$G$2:$G$501,$W116)="","",IF(NOT(ISNUMBER(INDEX(기본자료!$G$2:$G$501,$W116))),INDEX(기본자료!$G$2:$G$501,$W116),IF(INDEX(기본자료!$G$2:$G$501,$W116)&lt;1000000,INDEX(기본자료!$G$2:$G$501,$W116),IF(AND(INDEX(기본자료!$G$2:$G$501,$W116)&gt;=10000101,INT(MOD(INDEX(기본자료!$G$2:$G$501,$W116),10000)/100)&gt;=1,INT(MOD(INDEX(기본자료!$G$2:$G$501,$W116),10000)/100)&lt;=12,MOD(INDEX(기본자료!$G$2:$G$501,$W116),100)&gt;=1,MOD(INDEX(기본자료!$G$2:$G$501,$W116),100)&lt;=31),DATE(INT(INDEX(기본자료!$G$2:$G$501,$W116)/10000),INT(MOD(INDEX(기본자료!$G$2:$G$501,$W116),10000)/100),MOD(INDEX(기본자료!$G$2:$G$501,$W116),100)),INDEX(기본자료!$G$2:$G$501,$W116)&amp;"")))))</f>
        <v/>
      </c>
      <c r="J116" s="8">
        <f>IF($W116="","",IF(INDEX(기본자료!$H$2:$H$501,$W116)="","",INDEX(기본자료!$H$2:$H$501,$W116)))</f>
        <v/>
      </c>
      <c r="K116" s="8">
        <f>IF($W116="","",IF(INDEX(기본자료!$I$2:$I$501,$W116)="","",INDEX(기본자료!$I$2:$I$501,$W116)))</f>
        <v/>
      </c>
      <c r="L116" s="8">
        <f>IF($W116="","",IF(INDEX(기본자료!$A$2:$A$501,$W116)="","",INDEX(기본자료!$A$2:$A$501,$W116)))</f>
        <v/>
      </c>
      <c r="M116" s="5" t="n"/>
      <c r="N116" s="5" t="n"/>
      <c r="O116" s="5" t="n"/>
      <c r="P116" s="5" t="n"/>
      <c r="Q116" s="11" t="n"/>
      <c r="R116" s="11" t="n"/>
      <c r="S116" s="8">
        <f>IF(OR(B116="",Q116=""),"",IF(TODAY()&lt;Q116,"파견예정",IF(AND(R116&lt;&gt;"",TODAY()&gt;R116),"파견종료","파견중")))</f>
        <v/>
      </c>
      <c r="T116" s="12">
        <f>IF(OR(Q116="",R116=""),"",R116-Q116+1)</f>
        <v/>
      </c>
      <c r="U116" s="12">
        <f>IF(AND(S116="파견중",R116&lt;&gt;""),R116-TODAY(),"")</f>
        <v/>
      </c>
      <c r="V116" s="5" t="n"/>
      <c r="W116" s="8">
        <f>IF(B116="","",IFERROR(MATCH(B116,기본자료!$B$2:$B$501,0),IFERROR(MATCH(B116&amp;"",기본자료!$B$2:$B$501,0),IFERROR(MATCH(VALUE(B116),기본자료!$B$2:$B$501,0),""))))</f>
        <v/>
      </c>
    </row>
    <row r="117">
      <c r="A117" s="8">
        <f>IF(B117="","",ROW()-1)</f>
        <v/>
      </c>
      <c r="B117" s="9" t="n"/>
      <c r="C117" s="8">
        <f>IF($W117="","",IF(INDEX(기본자료!$C$2:$C$501,$W117)="","",INDEX(기본자료!$C$2:$C$501,$W117)))</f>
        <v/>
      </c>
      <c r="D117" s="8">
        <f>IF($W117="","",IF(INDEX(기본자료!$J$2:$J$501,$W117)="","",INDEX(기본자료!$J$2:$J$501,$W117)))</f>
        <v/>
      </c>
      <c r="E117" s="10">
        <f>IF($W117="","",IF(INDEX(기본자료!$K$2:$K$501,$W117)="","",IF(NOT(ISNUMBER(INDEX(기본자료!$K$2:$K$501,$W117))),INDEX(기본자료!$K$2:$K$501,$W117),IF(INDEX(기본자료!$K$2:$K$501,$W117)&lt;1000000,INDEX(기본자료!$K$2:$K$501,$W117),IF(AND(INDEX(기본자료!$K$2:$K$501,$W117)&gt;=10000101,INT(MOD(INDEX(기본자료!$K$2:$K$501,$W117),10000)/100)&gt;=1,INT(MOD(INDEX(기본자료!$K$2:$K$501,$W117),10000)/100)&lt;=12,MOD(INDEX(기본자료!$K$2:$K$501,$W117),100)&gt;=1,MOD(INDEX(기본자료!$K$2:$K$501,$W117),100)&lt;=31),DATE(INT(INDEX(기본자료!$K$2:$K$501,$W117)/10000),INT(MOD(INDEX(기본자료!$K$2:$K$501,$W117),10000)/100),MOD(INDEX(기본자료!$K$2:$K$501,$W117),100)),INDEX(기본자료!$K$2:$K$501,$W117)&amp;"")))))</f>
        <v/>
      </c>
      <c r="F117" s="8">
        <f>IF($W117="","",IF(INDEX(기본자료!$D$2:$D$501,$W117)="","",INDEX(기본자료!$D$2:$D$501,$W117)))</f>
        <v/>
      </c>
      <c r="G117" s="8">
        <f>IF($W117="","",IF(INDEX(기본자료!$E$2:$E$501,$W117)="","",INDEX(기본자료!$E$2:$E$501,$W117)))</f>
        <v/>
      </c>
      <c r="H117" s="8">
        <f>IF($W117="","",IF(INDEX(기본자료!$F$2:$F$501,$W117)="","",INDEX(기본자료!$F$2:$F$501,$W117)))</f>
        <v/>
      </c>
      <c r="I117" s="10">
        <f>IF($W117="","",IF(INDEX(기본자료!$G$2:$G$501,$W117)="","",IF(NOT(ISNUMBER(INDEX(기본자료!$G$2:$G$501,$W117))),INDEX(기본자료!$G$2:$G$501,$W117),IF(INDEX(기본자료!$G$2:$G$501,$W117)&lt;1000000,INDEX(기본자료!$G$2:$G$501,$W117),IF(AND(INDEX(기본자료!$G$2:$G$501,$W117)&gt;=10000101,INT(MOD(INDEX(기본자료!$G$2:$G$501,$W117),10000)/100)&gt;=1,INT(MOD(INDEX(기본자료!$G$2:$G$501,$W117),10000)/100)&lt;=12,MOD(INDEX(기본자료!$G$2:$G$501,$W117),100)&gt;=1,MOD(INDEX(기본자료!$G$2:$G$501,$W117),100)&lt;=31),DATE(INT(INDEX(기본자료!$G$2:$G$501,$W117)/10000),INT(MOD(INDEX(기본자료!$G$2:$G$501,$W117),10000)/100),MOD(INDEX(기본자료!$G$2:$G$501,$W117),100)),INDEX(기본자료!$G$2:$G$501,$W117)&amp;"")))))</f>
        <v/>
      </c>
      <c r="J117" s="8">
        <f>IF($W117="","",IF(INDEX(기본자료!$H$2:$H$501,$W117)="","",INDEX(기본자료!$H$2:$H$501,$W117)))</f>
        <v/>
      </c>
      <c r="K117" s="8">
        <f>IF($W117="","",IF(INDEX(기본자료!$I$2:$I$501,$W117)="","",INDEX(기본자료!$I$2:$I$501,$W117)))</f>
        <v/>
      </c>
      <c r="L117" s="8">
        <f>IF($W117="","",IF(INDEX(기본자료!$A$2:$A$501,$W117)="","",INDEX(기본자료!$A$2:$A$501,$W117)))</f>
        <v/>
      </c>
      <c r="M117" s="5" t="n"/>
      <c r="N117" s="5" t="n"/>
      <c r="O117" s="5" t="n"/>
      <c r="P117" s="5" t="n"/>
      <c r="Q117" s="11" t="n"/>
      <c r="R117" s="11" t="n"/>
      <c r="S117" s="8">
        <f>IF(OR(B117="",Q117=""),"",IF(TODAY()&lt;Q117,"파견예정",IF(AND(R117&lt;&gt;"",TODAY()&gt;R117),"파견종료","파견중")))</f>
        <v/>
      </c>
      <c r="T117" s="12">
        <f>IF(OR(Q117="",R117=""),"",R117-Q117+1)</f>
        <v/>
      </c>
      <c r="U117" s="12">
        <f>IF(AND(S117="파견중",R117&lt;&gt;""),R117-TODAY(),"")</f>
        <v/>
      </c>
      <c r="V117" s="5" t="n"/>
      <c r="W117" s="8">
        <f>IF(B117="","",IFERROR(MATCH(B117,기본자료!$B$2:$B$501,0),IFERROR(MATCH(B117&amp;"",기본자료!$B$2:$B$501,0),IFERROR(MATCH(VALUE(B117),기본자료!$B$2:$B$501,0),""))))</f>
        <v/>
      </c>
    </row>
    <row r="118">
      <c r="A118" s="8">
        <f>IF(B118="","",ROW()-1)</f>
        <v/>
      </c>
      <c r="B118" s="9" t="n"/>
      <c r="C118" s="8">
        <f>IF($W118="","",IF(INDEX(기본자료!$C$2:$C$501,$W118)="","",INDEX(기본자료!$C$2:$C$501,$W118)))</f>
        <v/>
      </c>
      <c r="D118" s="8">
        <f>IF($W118="","",IF(INDEX(기본자료!$J$2:$J$501,$W118)="","",INDEX(기본자료!$J$2:$J$501,$W118)))</f>
        <v/>
      </c>
      <c r="E118" s="10">
        <f>IF($W118="","",IF(INDEX(기본자료!$K$2:$K$501,$W118)="","",IF(NOT(ISNUMBER(INDEX(기본자료!$K$2:$K$501,$W118))),INDEX(기본자료!$K$2:$K$501,$W118),IF(INDEX(기본자료!$K$2:$K$501,$W118)&lt;1000000,INDEX(기본자료!$K$2:$K$501,$W118),IF(AND(INDEX(기본자료!$K$2:$K$501,$W118)&gt;=10000101,INT(MOD(INDEX(기본자료!$K$2:$K$501,$W118),10000)/100)&gt;=1,INT(MOD(INDEX(기본자료!$K$2:$K$501,$W118),10000)/100)&lt;=12,MOD(INDEX(기본자료!$K$2:$K$501,$W118),100)&gt;=1,MOD(INDEX(기본자료!$K$2:$K$501,$W118),100)&lt;=31),DATE(INT(INDEX(기본자료!$K$2:$K$501,$W118)/10000),INT(MOD(INDEX(기본자료!$K$2:$K$501,$W118),10000)/100),MOD(INDEX(기본자료!$K$2:$K$501,$W118),100)),INDEX(기본자료!$K$2:$K$501,$W118)&amp;"")))))</f>
        <v/>
      </c>
      <c r="F118" s="8">
        <f>IF($W118="","",IF(INDEX(기본자료!$D$2:$D$501,$W118)="","",INDEX(기본자료!$D$2:$D$501,$W118)))</f>
        <v/>
      </c>
      <c r="G118" s="8">
        <f>IF($W118="","",IF(INDEX(기본자료!$E$2:$E$501,$W118)="","",INDEX(기본자료!$E$2:$E$501,$W118)))</f>
        <v/>
      </c>
      <c r="H118" s="8">
        <f>IF($W118="","",IF(INDEX(기본자료!$F$2:$F$501,$W118)="","",INDEX(기본자료!$F$2:$F$501,$W118)))</f>
        <v/>
      </c>
      <c r="I118" s="10">
        <f>IF($W118="","",IF(INDEX(기본자료!$G$2:$G$501,$W118)="","",IF(NOT(ISNUMBER(INDEX(기본자료!$G$2:$G$501,$W118))),INDEX(기본자료!$G$2:$G$501,$W118),IF(INDEX(기본자료!$G$2:$G$501,$W118)&lt;1000000,INDEX(기본자료!$G$2:$G$501,$W118),IF(AND(INDEX(기본자료!$G$2:$G$501,$W118)&gt;=10000101,INT(MOD(INDEX(기본자료!$G$2:$G$501,$W118),10000)/100)&gt;=1,INT(MOD(INDEX(기본자료!$G$2:$G$501,$W118),10000)/100)&lt;=12,MOD(INDEX(기본자료!$G$2:$G$501,$W118),100)&gt;=1,MOD(INDEX(기본자료!$G$2:$G$501,$W118),100)&lt;=31),DATE(INT(INDEX(기본자료!$G$2:$G$501,$W118)/10000),INT(MOD(INDEX(기본자료!$G$2:$G$501,$W118),10000)/100),MOD(INDEX(기본자료!$G$2:$G$501,$W118),100)),INDEX(기본자료!$G$2:$G$501,$W118)&amp;"")))))</f>
        <v/>
      </c>
      <c r="J118" s="8">
        <f>IF($W118="","",IF(INDEX(기본자료!$H$2:$H$501,$W118)="","",INDEX(기본자료!$H$2:$H$501,$W118)))</f>
        <v/>
      </c>
      <c r="K118" s="8">
        <f>IF($W118="","",IF(INDEX(기본자료!$I$2:$I$501,$W118)="","",INDEX(기본자료!$I$2:$I$501,$W118)))</f>
        <v/>
      </c>
      <c r="L118" s="8">
        <f>IF($W118="","",IF(INDEX(기본자료!$A$2:$A$501,$W118)="","",INDEX(기본자료!$A$2:$A$501,$W118)))</f>
        <v/>
      </c>
      <c r="M118" s="5" t="n"/>
      <c r="N118" s="5" t="n"/>
      <c r="O118" s="5" t="n"/>
      <c r="P118" s="5" t="n"/>
      <c r="Q118" s="11" t="n"/>
      <c r="R118" s="11" t="n"/>
      <c r="S118" s="8">
        <f>IF(OR(B118="",Q118=""),"",IF(TODAY()&lt;Q118,"파견예정",IF(AND(R118&lt;&gt;"",TODAY()&gt;R118),"파견종료","파견중")))</f>
        <v/>
      </c>
      <c r="T118" s="12">
        <f>IF(OR(Q118="",R118=""),"",R118-Q118+1)</f>
        <v/>
      </c>
      <c r="U118" s="12">
        <f>IF(AND(S118="파견중",R118&lt;&gt;""),R118-TODAY(),"")</f>
        <v/>
      </c>
      <c r="V118" s="5" t="n"/>
      <c r="W118" s="8">
        <f>IF(B118="","",IFERROR(MATCH(B118,기본자료!$B$2:$B$501,0),IFERROR(MATCH(B118&amp;"",기본자료!$B$2:$B$501,0),IFERROR(MATCH(VALUE(B118),기본자료!$B$2:$B$501,0),""))))</f>
        <v/>
      </c>
    </row>
    <row r="119">
      <c r="A119" s="8">
        <f>IF(B119="","",ROW()-1)</f>
        <v/>
      </c>
      <c r="B119" s="9" t="n"/>
      <c r="C119" s="8">
        <f>IF($W119="","",IF(INDEX(기본자료!$C$2:$C$501,$W119)="","",INDEX(기본자료!$C$2:$C$501,$W119)))</f>
        <v/>
      </c>
      <c r="D119" s="8">
        <f>IF($W119="","",IF(INDEX(기본자료!$J$2:$J$501,$W119)="","",INDEX(기본자료!$J$2:$J$501,$W119)))</f>
        <v/>
      </c>
      <c r="E119" s="10">
        <f>IF($W119="","",IF(INDEX(기본자료!$K$2:$K$501,$W119)="","",IF(NOT(ISNUMBER(INDEX(기본자료!$K$2:$K$501,$W119))),INDEX(기본자료!$K$2:$K$501,$W119),IF(INDEX(기본자료!$K$2:$K$501,$W119)&lt;1000000,INDEX(기본자료!$K$2:$K$501,$W119),IF(AND(INDEX(기본자료!$K$2:$K$501,$W119)&gt;=10000101,INT(MOD(INDEX(기본자료!$K$2:$K$501,$W119),10000)/100)&gt;=1,INT(MOD(INDEX(기본자료!$K$2:$K$501,$W119),10000)/100)&lt;=12,MOD(INDEX(기본자료!$K$2:$K$501,$W119),100)&gt;=1,MOD(INDEX(기본자료!$K$2:$K$501,$W119),100)&lt;=31),DATE(INT(INDEX(기본자료!$K$2:$K$501,$W119)/10000),INT(MOD(INDEX(기본자료!$K$2:$K$501,$W119),10000)/100),MOD(INDEX(기본자료!$K$2:$K$501,$W119),100)),INDEX(기본자료!$K$2:$K$501,$W119)&amp;"")))))</f>
        <v/>
      </c>
      <c r="F119" s="8">
        <f>IF($W119="","",IF(INDEX(기본자료!$D$2:$D$501,$W119)="","",INDEX(기본자료!$D$2:$D$501,$W119)))</f>
        <v/>
      </c>
      <c r="G119" s="8">
        <f>IF($W119="","",IF(INDEX(기본자료!$E$2:$E$501,$W119)="","",INDEX(기본자료!$E$2:$E$501,$W119)))</f>
        <v/>
      </c>
      <c r="H119" s="8">
        <f>IF($W119="","",IF(INDEX(기본자료!$F$2:$F$501,$W119)="","",INDEX(기본자료!$F$2:$F$501,$W119)))</f>
        <v/>
      </c>
      <c r="I119" s="10">
        <f>IF($W119="","",IF(INDEX(기본자료!$G$2:$G$501,$W119)="","",IF(NOT(ISNUMBER(INDEX(기본자료!$G$2:$G$501,$W119))),INDEX(기본자료!$G$2:$G$501,$W119),IF(INDEX(기본자료!$G$2:$G$501,$W119)&lt;1000000,INDEX(기본자료!$G$2:$G$501,$W119),IF(AND(INDEX(기본자료!$G$2:$G$501,$W119)&gt;=10000101,INT(MOD(INDEX(기본자료!$G$2:$G$501,$W119),10000)/100)&gt;=1,INT(MOD(INDEX(기본자료!$G$2:$G$501,$W119),10000)/100)&lt;=12,MOD(INDEX(기본자료!$G$2:$G$501,$W119),100)&gt;=1,MOD(INDEX(기본자료!$G$2:$G$501,$W119),100)&lt;=31),DATE(INT(INDEX(기본자료!$G$2:$G$501,$W119)/10000),INT(MOD(INDEX(기본자료!$G$2:$G$501,$W119),10000)/100),MOD(INDEX(기본자료!$G$2:$G$501,$W119),100)),INDEX(기본자료!$G$2:$G$501,$W119)&amp;"")))))</f>
        <v/>
      </c>
      <c r="J119" s="8">
        <f>IF($W119="","",IF(INDEX(기본자료!$H$2:$H$501,$W119)="","",INDEX(기본자료!$H$2:$H$501,$W119)))</f>
        <v/>
      </c>
      <c r="K119" s="8">
        <f>IF($W119="","",IF(INDEX(기본자료!$I$2:$I$501,$W119)="","",INDEX(기본자료!$I$2:$I$501,$W119)))</f>
        <v/>
      </c>
      <c r="L119" s="8">
        <f>IF($W119="","",IF(INDEX(기본자료!$A$2:$A$501,$W119)="","",INDEX(기본자료!$A$2:$A$501,$W119)))</f>
        <v/>
      </c>
      <c r="M119" s="5" t="n"/>
      <c r="N119" s="5" t="n"/>
      <c r="O119" s="5" t="n"/>
      <c r="P119" s="5" t="n"/>
      <c r="Q119" s="11" t="n"/>
      <c r="R119" s="11" t="n"/>
      <c r="S119" s="8">
        <f>IF(OR(B119="",Q119=""),"",IF(TODAY()&lt;Q119,"파견예정",IF(AND(R119&lt;&gt;"",TODAY()&gt;R119),"파견종료","파견중")))</f>
        <v/>
      </c>
      <c r="T119" s="12">
        <f>IF(OR(Q119="",R119=""),"",R119-Q119+1)</f>
        <v/>
      </c>
      <c r="U119" s="12">
        <f>IF(AND(S119="파견중",R119&lt;&gt;""),R119-TODAY(),"")</f>
        <v/>
      </c>
      <c r="V119" s="5" t="n"/>
      <c r="W119" s="8">
        <f>IF(B119="","",IFERROR(MATCH(B119,기본자료!$B$2:$B$501,0),IFERROR(MATCH(B119&amp;"",기본자료!$B$2:$B$501,0),IFERROR(MATCH(VALUE(B119),기본자료!$B$2:$B$501,0),""))))</f>
        <v/>
      </c>
    </row>
    <row r="120">
      <c r="A120" s="8">
        <f>IF(B120="","",ROW()-1)</f>
        <v/>
      </c>
      <c r="B120" s="9" t="n"/>
      <c r="C120" s="8">
        <f>IF($W120="","",IF(INDEX(기본자료!$C$2:$C$501,$W120)="","",INDEX(기본자료!$C$2:$C$501,$W120)))</f>
        <v/>
      </c>
      <c r="D120" s="8">
        <f>IF($W120="","",IF(INDEX(기본자료!$J$2:$J$501,$W120)="","",INDEX(기본자료!$J$2:$J$501,$W120)))</f>
        <v/>
      </c>
      <c r="E120" s="10">
        <f>IF($W120="","",IF(INDEX(기본자료!$K$2:$K$501,$W120)="","",IF(NOT(ISNUMBER(INDEX(기본자료!$K$2:$K$501,$W120))),INDEX(기본자료!$K$2:$K$501,$W120),IF(INDEX(기본자료!$K$2:$K$501,$W120)&lt;1000000,INDEX(기본자료!$K$2:$K$501,$W120),IF(AND(INDEX(기본자료!$K$2:$K$501,$W120)&gt;=10000101,INT(MOD(INDEX(기본자료!$K$2:$K$501,$W120),10000)/100)&gt;=1,INT(MOD(INDEX(기본자료!$K$2:$K$501,$W120),10000)/100)&lt;=12,MOD(INDEX(기본자료!$K$2:$K$501,$W120),100)&gt;=1,MOD(INDEX(기본자료!$K$2:$K$501,$W120),100)&lt;=31),DATE(INT(INDEX(기본자료!$K$2:$K$501,$W120)/10000),INT(MOD(INDEX(기본자료!$K$2:$K$501,$W120),10000)/100),MOD(INDEX(기본자료!$K$2:$K$501,$W120),100)),INDEX(기본자료!$K$2:$K$501,$W120)&amp;"")))))</f>
        <v/>
      </c>
      <c r="F120" s="8">
        <f>IF($W120="","",IF(INDEX(기본자료!$D$2:$D$501,$W120)="","",INDEX(기본자료!$D$2:$D$501,$W120)))</f>
        <v/>
      </c>
      <c r="G120" s="8">
        <f>IF($W120="","",IF(INDEX(기본자료!$E$2:$E$501,$W120)="","",INDEX(기본자료!$E$2:$E$501,$W120)))</f>
        <v/>
      </c>
      <c r="H120" s="8">
        <f>IF($W120="","",IF(INDEX(기본자료!$F$2:$F$501,$W120)="","",INDEX(기본자료!$F$2:$F$501,$W120)))</f>
        <v/>
      </c>
      <c r="I120" s="10">
        <f>IF($W120="","",IF(INDEX(기본자료!$G$2:$G$501,$W120)="","",IF(NOT(ISNUMBER(INDEX(기본자료!$G$2:$G$501,$W120))),INDEX(기본자료!$G$2:$G$501,$W120),IF(INDEX(기본자료!$G$2:$G$501,$W120)&lt;1000000,INDEX(기본자료!$G$2:$G$501,$W120),IF(AND(INDEX(기본자료!$G$2:$G$501,$W120)&gt;=10000101,INT(MOD(INDEX(기본자료!$G$2:$G$501,$W120),10000)/100)&gt;=1,INT(MOD(INDEX(기본자료!$G$2:$G$501,$W120),10000)/100)&lt;=12,MOD(INDEX(기본자료!$G$2:$G$501,$W120),100)&gt;=1,MOD(INDEX(기본자료!$G$2:$G$501,$W120),100)&lt;=31),DATE(INT(INDEX(기본자료!$G$2:$G$501,$W120)/10000),INT(MOD(INDEX(기본자료!$G$2:$G$501,$W120),10000)/100),MOD(INDEX(기본자료!$G$2:$G$501,$W120),100)),INDEX(기본자료!$G$2:$G$501,$W120)&amp;"")))))</f>
        <v/>
      </c>
      <c r="J120" s="8">
        <f>IF($W120="","",IF(INDEX(기본자료!$H$2:$H$501,$W120)="","",INDEX(기본자료!$H$2:$H$501,$W120)))</f>
        <v/>
      </c>
      <c r="K120" s="8">
        <f>IF($W120="","",IF(INDEX(기본자료!$I$2:$I$501,$W120)="","",INDEX(기본자료!$I$2:$I$501,$W120)))</f>
        <v/>
      </c>
      <c r="L120" s="8">
        <f>IF($W120="","",IF(INDEX(기본자료!$A$2:$A$501,$W120)="","",INDEX(기본자료!$A$2:$A$501,$W120)))</f>
        <v/>
      </c>
      <c r="M120" s="5" t="n"/>
      <c r="N120" s="5" t="n"/>
      <c r="O120" s="5" t="n"/>
      <c r="P120" s="5" t="n"/>
      <c r="Q120" s="11" t="n"/>
      <c r="R120" s="11" t="n"/>
      <c r="S120" s="8">
        <f>IF(OR(B120="",Q120=""),"",IF(TODAY()&lt;Q120,"파견예정",IF(AND(R120&lt;&gt;"",TODAY()&gt;R120),"파견종료","파견중")))</f>
        <v/>
      </c>
      <c r="T120" s="12">
        <f>IF(OR(Q120="",R120=""),"",R120-Q120+1)</f>
        <v/>
      </c>
      <c r="U120" s="12">
        <f>IF(AND(S120="파견중",R120&lt;&gt;""),R120-TODAY(),"")</f>
        <v/>
      </c>
      <c r="V120" s="5" t="n"/>
      <c r="W120" s="8">
        <f>IF(B120="","",IFERROR(MATCH(B120,기본자료!$B$2:$B$501,0),IFERROR(MATCH(B120&amp;"",기본자료!$B$2:$B$501,0),IFERROR(MATCH(VALUE(B120),기본자료!$B$2:$B$501,0),""))))</f>
        <v/>
      </c>
    </row>
    <row r="121">
      <c r="A121" s="8">
        <f>IF(B121="","",ROW()-1)</f>
        <v/>
      </c>
      <c r="B121" s="9" t="n"/>
      <c r="C121" s="8">
        <f>IF($W121="","",IF(INDEX(기본자료!$C$2:$C$501,$W121)="","",INDEX(기본자료!$C$2:$C$501,$W121)))</f>
        <v/>
      </c>
      <c r="D121" s="8">
        <f>IF($W121="","",IF(INDEX(기본자료!$J$2:$J$501,$W121)="","",INDEX(기본자료!$J$2:$J$501,$W121)))</f>
        <v/>
      </c>
      <c r="E121" s="10">
        <f>IF($W121="","",IF(INDEX(기본자료!$K$2:$K$501,$W121)="","",IF(NOT(ISNUMBER(INDEX(기본자료!$K$2:$K$501,$W121))),INDEX(기본자료!$K$2:$K$501,$W121),IF(INDEX(기본자료!$K$2:$K$501,$W121)&lt;1000000,INDEX(기본자료!$K$2:$K$501,$W121),IF(AND(INDEX(기본자료!$K$2:$K$501,$W121)&gt;=10000101,INT(MOD(INDEX(기본자료!$K$2:$K$501,$W121),10000)/100)&gt;=1,INT(MOD(INDEX(기본자료!$K$2:$K$501,$W121),10000)/100)&lt;=12,MOD(INDEX(기본자료!$K$2:$K$501,$W121),100)&gt;=1,MOD(INDEX(기본자료!$K$2:$K$501,$W121),100)&lt;=31),DATE(INT(INDEX(기본자료!$K$2:$K$501,$W121)/10000),INT(MOD(INDEX(기본자료!$K$2:$K$501,$W121),10000)/100),MOD(INDEX(기본자료!$K$2:$K$501,$W121),100)),INDEX(기본자료!$K$2:$K$501,$W121)&amp;"")))))</f>
        <v/>
      </c>
      <c r="F121" s="8">
        <f>IF($W121="","",IF(INDEX(기본자료!$D$2:$D$501,$W121)="","",INDEX(기본자료!$D$2:$D$501,$W121)))</f>
        <v/>
      </c>
      <c r="G121" s="8">
        <f>IF($W121="","",IF(INDEX(기본자료!$E$2:$E$501,$W121)="","",INDEX(기본자료!$E$2:$E$501,$W121)))</f>
        <v/>
      </c>
      <c r="H121" s="8">
        <f>IF($W121="","",IF(INDEX(기본자료!$F$2:$F$501,$W121)="","",INDEX(기본자료!$F$2:$F$501,$W121)))</f>
        <v/>
      </c>
      <c r="I121" s="10">
        <f>IF($W121="","",IF(INDEX(기본자료!$G$2:$G$501,$W121)="","",IF(NOT(ISNUMBER(INDEX(기본자료!$G$2:$G$501,$W121))),INDEX(기본자료!$G$2:$G$501,$W121),IF(INDEX(기본자료!$G$2:$G$501,$W121)&lt;1000000,INDEX(기본자료!$G$2:$G$501,$W121),IF(AND(INDEX(기본자료!$G$2:$G$501,$W121)&gt;=10000101,INT(MOD(INDEX(기본자료!$G$2:$G$501,$W121),10000)/100)&gt;=1,INT(MOD(INDEX(기본자료!$G$2:$G$501,$W121),10000)/100)&lt;=12,MOD(INDEX(기본자료!$G$2:$G$501,$W121),100)&gt;=1,MOD(INDEX(기본자료!$G$2:$G$501,$W121),100)&lt;=31),DATE(INT(INDEX(기본자료!$G$2:$G$501,$W121)/10000),INT(MOD(INDEX(기본자료!$G$2:$G$501,$W121),10000)/100),MOD(INDEX(기본자료!$G$2:$G$501,$W121),100)),INDEX(기본자료!$G$2:$G$501,$W121)&amp;"")))))</f>
        <v/>
      </c>
      <c r="J121" s="8">
        <f>IF($W121="","",IF(INDEX(기본자료!$H$2:$H$501,$W121)="","",INDEX(기본자료!$H$2:$H$501,$W121)))</f>
        <v/>
      </c>
      <c r="K121" s="8">
        <f>IF($W121="","",IF(INDEX(기본자료!$I$2:$I$501,$W121)="","",INDEX(기본자료!$I$2:$I$501,$W121)))</f>
        <v/>
      </c>
      <c r="L121" s="8">
        <f>IF($W121="","",IF(INDEX(기본자료!$A$2:$A$501,$W121)="","",INDEX(기본자료!$A$2:$A$501,$W121)))</f>
        <v/>
      </c>
      <c r="M121" s="5" t="n"/>
      <c r="N121" s="5" t="n"/>
      <c r="O121" s="5" t="n"/>
      <c r="P121" s="5" t="n"/>
      <c r="Q121" s="11" t="n"/>
      <c r="R121" s="11" t="n"/>
      <c r="S121" s="8">
        <f>IF(OR(B121="",Q121=""),"",IF(TODAY()&lt;Q121,"파견예정",IF(AND(R121&lt;&gt;"",TODAY()&gt;R121),"파견종료","파견중")))</f>
        <v/>
      </c>
      <c r="T121" s="12">
        <f>IF(OR(Q121="",R121=""),"",R121-Q121+1)</f>
        <v/>
      </c>
      <c r="U121" s="12">
        <f>IF(AND(S121="파견중",R121&lt;&gt;""),R121-TODAY(),"")</f>
        <v/>
      </c>
      <c r="V121" s="5" t="n"/>
      <c r="W121" s="8">
        <f>IF(B121="","",IFERROR(MATCH(B121,기본자료!$B$2:$B$501,0),IFERROR(MATCH(B121&amp;"",기본자료!$B$2:$B$501,0),IFERROR(MATCH(VALUE(B121),기본자료!$B$2:$B$501,0),""))))</f>
        <v/>
      </c>
    </row>
    <row r="122">
      <c r="A122" s="8">
        <f>IF(B122="","",ROW()-1)</f>
        <v/>
      </c>
      <c r="B122" s="9" t="n"/>
      <c r="C122" s="8">
        <f>IF($W122="","",IF(INDEX(기본자료!$C$2:$C$501,$W122)="","",INDEX(기본자료!$C$2:$C$501,$W122)))</f>
        <v/>
      </c>
      <c r="D122" s="8">
        <f>IF($W122="","",IF(INDEX(기본자료!$J$2:$J$501,$W122)="","",INDEX(기본자료!$J$2:$J$501,$W122)))</f>
        <v/>
      </c>
      <c r="E122" s="10">
        <f>IF($W122="","",IF(INDEX(기본자료!$K$2:$K$501,$W122)="","",IF(NOT(ISNUMBER(INDEX(기본자료!$K$2:$K$501,$W122))),INDEX(기본자료!$K$2:$K$501,$W122),IF(INDEX(기본자료!$K$2:$K$501,$W122)&lt;1000000,INDEX(기본자료!$K$2:$K$501,$W122),IF(AND(INDEX(기본자료!$K$2:$K$501,$W122)&gt;=10000101,INT(MOD(INDEX(기본자료!$K$2:$K$501,$W122),10000)/100)&gt;=1,INT(MOD(INDEX(기본자료!$K$2:$K$501,$W122),10000)/100)&lt;=12,MOD(INDEX(기본자료!$K$2:$K$501,$W122),100)&gt;=1,MOD(INDEX(기본자료!$K$2:$K$501,$W122),100)&lt;=31),DATE(INT(INDEX(기본자료!$K$2:$K$501,$W122)/10000),INT(MOD(INDEX(기본자료!$K$2:$K$501,$W122),10000)/100),MOD(INDEX(기본자료!$K$2:$K$501,$W122),100)),INDEX(기본자료!$K$2:$K$501,$W122)&amp;"")))))</f>
        <v/>
      </c>
      <c r="F122" s="8">
        <f>IF($W122="","",IF(INDEX(기본자료!$D$2:$D$501,$W122)="","",INDEX(기본자료!$D$2:$D$501,$W122)))</f>
        <v/>
      </c>
      <c r="G122" s="8">
        <f>IF($W122="","",IF(INDEX(기본자료!$E$2:$E$501,$W122)="","",INDEX(기본자료!$E$2:$E$501,$W122)))</f>
        <v/>
      </c>
      <c r="H122" s="8">
        <f>IF($W122="","",IF(INDEX(기본자료!$F$2:$F$501,$W122)="","",INDEX(기본자료!$F$2:$F$501,$W122)))</f>
        <v/>
      </c>
      <c r="I122" s="10">
        <f>IF($W122="","",IF(INDEX(기본자료!$G$2:$G$501,$W122)="","",IF(NOT(ISNUMBER(INDEX(기본자료!$G$2:$G$501,$W122))),INDEX(기본자료!$G$2:$G$501,$W122),IF(INDEX(기본자료!$G$2:$G$501,$W122)&lt;1000000,INDEX(기본자료!$G$2:$G$501,$W122),IF(AND(INDEX(기본자료!$G$2:$G$501,$W122)&gt;=10000101,INT(MOD(INDEX(기본자료!$G$2:$G$501,$W122),10000)/100)&gt;=1,INT(MOD(INDEX(기본자료!$G$2:$G$501,$W122),10000)/100)&lt;=12,MOD(INDEX(기본자료!$G$2:$G$501,$W122),100)&gt;=1,MOD(INDEX(기본자료!$G$2:$G$501,$W122),100)&lt;=31),DATE(INT(INDEX(기본자료!$G$2:$G$501,$W122)/10000),INT(MOD(INDEX(기본자료!$G$2:$G$501,$W122),10000)/100),MOD(INDEX(기본자료!$G$2:$G$501,$W122),100)),INDEX(기본자료!$G$2:$G$501,$W122)&amp;"")))))</f>
        <v/>
      </c>
      <c r="J122" s="8">
        <f>IF($W122="","",IF(INDEX(기본자료!$H$2:$H$501,$W122)="","",INDEX(기본자료!$H$2:$H$501,$W122)))</f>
        <v/>
      </c>
      <c r="K122" s="8">
        <f>IF($W122="","",IF(INDEX(기본자료!$I$2:$I$501,$W122)="","",INDEX(기본자료!$I$2:$I$501,$W122)))</f>
        <v/>
      </c>
      <c r="L122" s="8">
        <f>IF($W122="","",IF(INDEX(기본자료!$A$2:$A$501,$W122)="","",INDEX(기본자료!$A$2:$A$501,$W122)))</f>
        <v/>
      </c>
      <c r="M122" s="5" t="n"/>
      <c r="N122" s="5" t="n"/>
      <c r="O122" s="5" t="n"/>
      <c r="P122" s="5" t="n"/>
      <c r="Q122" s="11" t="n"/>
      <c r="R122" s="11" t="n"/>
      <c r="S122" s="8">
        <f>IF(OR(B122="",Q122=""),"",IF(TODAY()&lt;Q122,"파견예정",IF(AND(R122&lt;&gt;"",TODAY()&gt;R122),"파견종료","파견중")))</f>
        <v/>
      </c>
      <c r="T122" s="12">
        <f>IF(OR(Q122="",R122=""),"",R122-Q122+1)</f>
        <v/>
      </c>
      <c r="U122" s="12">
        <f>IF(AND(S122="파견중",R122&lt;&gt;""),R122-TODAY(),"")</f>
        <v/>
      </c>
      <c r="V122" s="5" t="n"/>
      <c r="W122" s="8">
        <f>IF(B122="","",IFERROR(MATCH(B122,기본자료!$B$2:$B$501,0),IFERROR(MATCH(B122&amp;"",기본자료!$B$2:$B$501,0),IFERROR(MATCH(VALUE(B122),기본자료!$B$2:$B$501,0),""))))</f>
        <v/>
      </c>
    </row>
    <row r="123">
      <c r="A123" s="8">
        <f>IF(B123="","",ROW()-1)</f>
        <v/>
      </c>
      <c r="B123" s="9" t="n"/>
      <c r="C123" s="8">
        <f>IF($W123="","",IF(INDEX(기본자료!$C$2:$C$501,$W123)="","",INDEX(기본자료!$C$2:$C$501,$W123)))</f>
        <v/>
      </c>
      <c r="D123" s="8">
        <f>IF($W123="","",IF(INDEX(기본자료!$J$2:$J$501,$W123)="","",INDEX(기본자료!$J$2:$J$501,$W123)))</f>
        <v/>
      </c>
      <c r="E123" s="10">
        <f>IF($W123="","",IF(INDEX(기본자료!$K$2:$K$501,$W123)="","",IF(NOT(ISNUMBER(INDEX(기본자료!$K$2:$K$501,$W123))),INDEX(기본자료!$K$2:$K$501,$W123),IF(INDEX(기본자료!$K$2:$K$501,$W123)&lt;1000000,INDEX(기본자료!$K$2:$K$501,$W123),IF(AND(INDEX(기본자료!$K$2:$K$501,$W123)&gt;=10000101,INT(MOD(INDEX(기본자료!$K$2:$K$501,$W123),10000)/100)&gt;=1,INT(MOD(INDEX(기본자료!$K$2:$K$501,$W123),10000)/100)&lt;=12,MOD(INDEX(기본자료!$K$2:$K$501,$W123),100)&gt;=1,MOD(INDEX(기본자료!$K$2:$K$501,$W123),100)&lt;=31),DATE(INT(INDEX(기본자료!$K$2:$K$501,$W123)/10000),INT(MOD(INDEX(기본자료!$K$2:$K$501,$W123),10000)/100),MOD(INDEX(기본자료!$K$2:$K$501,$W123),100)),INDEX(기본자료!$K$2:$K$501,$W123)&amp;"")))))</f>
        <v/>
      </c>
      <c r="F123" s="8">
        <f>IF($W123="","",IF(INDEX(기본자료!$D$2:$D$501,$W123)="","",INDEX(기본자료!$D$2:$D$501,$W123)))</f>
        <v/>
      </c>
      <c r="G123" s="8">
        <f>IF($W123="","",IF(INDEX(기본자료!$E$2:$E$501,$W123)="","",INDEX(기본자료!$E$2:$E$501,$W123)))</f>
        <v/>
      </c>
      <c r="H123" s="8">
        <f>IF($W123="","",IF(INDEX(기본자료!$F$2:$F$501,$W123)="","",INDEX(기본자료!$F$2:$F$501,$W123)))</f>
        <v/>
      </c>
      <c r="I123" s="10">
        <f>IF($W123="","",IF(INDEX(기본자료!$G$2:$G$501,$W123)="","",IF(NOT(ISNUMBER(INDEX(기본자료!$G$2:$G$501,$W123))),INDEX(기본자료!$G$2:$G$501,$W123),IF(INDEX(기본자료!$G$2:$G$501,$W123)&lt;1000000,INDEX(기본자료!$G$2:$G$501,$W123),IF(AND(INDEX(기본자료!$G$2:$G$501,$W123)&gt;=10000101,INT(MOD(INDEX(기본자료!$G$2:$G$501,$W123),10000)/100)&gt;=1,INT(MOD(INDEX(기본자료!$G$2:$G$501,$W123),10000)/100)&lt;=12,MOD(INDEX(기본자료!$G$2:$G$501,$W123),100)&gt;=1,MOD(INDEX(기본자료!$G$2:$G$501,$W123),100)&lt;=31),DATE(INT(INDEX(기본자료!$G$2:$G$501,$W123)/10000),INT(MOD(INDEX(기본자료!$G$2:$G$501,$W123),10000)/100),MOD(INDEX(기본자료!$G$2:$G$501,$W123),100)),INDEX(기본자료!$G$2:$G$501,$W123)&amp;"")))))</f>
        <v/>
      </c>
      <c r="J123" s="8">
        <f>IF($W123="","",IF(INDEX(기본자료!$H$2:$H$501,$W123)="","",INDEX(기본자료!$H$2:$H$501,$W123)))</f>
        <v/>
      </c>
      <c r="K123" s="8">
        <f>IF($W123="","",IF(INDEX(기본자료!$I$2:$I$501,$W123)="","",INDEX(기본자료!$I$2:$I$501,$W123)))</f>
        <v/>
      </c>
      <c r="L123" s="8">
        <f>IF($W123="","",IF(INDEX(기본자료!$A$2:$A$501,$W123)="","",INDEX(기본자료!$A$2:$A$501,$W123)))</f>
        <v/>
      </c>
      <c r="M123" s="5" t="n"/>
      <c r="N123" s="5" t="n"/>
      <c r="O123" s="5" t="n"/>
      <c r="P123" s="5" t="n"/>
      <c r="Q123" s="11" t="n"/>
      <c r="R123" s="11" t="n"/>
      <c r="S123" s="8">
        <f>IF(OR(B123="",Q123=""),"",IF(TODAY()&lt;Q123,"파견예정",IF(AND(R123&lt;&gt;"",TODAY()&gt;R123),"파견종료","파견중")))</f>
        <v/>
      </c>
      <c r="T123" s="12">
        <f>IF(OR(Q123="",R123=""),"",R123-Q123+1)</f>
        <v/>
      </c>
      <c r="U123" s="12">
        <f>IF(AND(S123="파견중",R123&lt;&gt;""),R123-TODAY(),"")</f>
        <v/>
      </c>
      <c r="V123" s="5" t="n"/>
      <c r="W123" s="8">
        <f>IF(B123="","",IFERROR(MATCH(B123,기본자료!$B$2:$B$501,0),IFERROR(MATCH(B123&amp;"",기본자료!$B$2:$B$501,0),IFERROR(MATCH(VALUE(B123),기본자료!$B$2:$B$501,0),""))))</f>
        <v/>
      </c>
    </row>
    <row r="124">
      <c r="A124" s="8">
        <f>IF(B124="","",ROW()-1)</f>
        <v/>
      </c>
      <c r="B124" s="9" t="n"/>
      <c r="C124" s="8">
        <f>IF($W124="","",IF(INDEX(기본자료!$C$2:$C$501,$W124)="","",INDEX(기본자료!$C$2:$C$501,$W124)))</f>
        <v/>
      </c>
      <c r="D124" s="8">
        <f>IF($W124="","",IF(INDEX(기본자료!$J$2:$J$501,$W124)="","",INDEX(기본자료!$J$2:$J$501,$W124)))</f>
        <v/>
      </c>
      <c r="E124" s="10">
        <f>IF($W124="","",IF(INDEX(기본자료!$K$2:$K$501,$W124)="","",IF(NOT(ISNUMBER(INDEX(기본자료!$K$2:$K$501,$W124))),INDEX(기본자료!$K$2:$K$501,$W124),IF(INDEX(기본자료!$K$2:$K$501,$W124)&lt;1000000,INDEX(기본자료!$K$2:$K$501,$W124),IF(AND(INDEX(기본자료!$K$2:$K$501,$W124)&gt;=10000101,INT(MOD(INDEX(기본자료!$K$2:$K$501,$W124),10000)/100)&gt;=1,INT(MOD(INDEX(기본자료!$K$2:$K$501,$W124),10000)/100)&lt;=12,MOD(INDEX(기본자료!$K$2:$K$501,$W124),100)&gt;=1,MOD(INDEX(기본자료!$K$2:$K$501,$W124),100)&lt;=31),DATE(INT(INDEX(기본자료!$K$2:$K$501,$W124)/10000),INT(MOD(INDEX(기본자료!$K$2:$K$501,$W124),10000)/100),MOD(INDEX(기본자료!$K$2:$K$501,$W124),100)),INDEX(기본자료!$K$2:$K$501,$W124)&amp;"")))))</f>
        <v/>
      </c>
      <c r="F124" s="8">
        <f>IF($W124="","",IF(INDEX(기본자료!$D$2:$D$501,$W124)="","",INDEX(기본자료!$D$2:$D$501,$W124)))</f>
        <v/>
      </c>
      <c r="G124" s="8">
        <f>IF($W124="","",IF(INDEX(기본자료!$E$2:$E$501,$W124)="","",INDEX(기본자료!$E$2:$E$501,$W124)))</f>
        <v/>
      </c>
      <c r="H124" s="8">
        <f>IF($W124="","",IF(INDEX(기본자료!$F$2:$F$501,$W124)="","",INDEX(기본자료!$F$2:$F$501,$W124)))</f>
        <v/>
      </c>
      <c r="I124" s="10">
        <f>IF($W124="","",IF(INDEX(기본자료!$G$2:$G$501,$W124)="","",IF(NOT(ISNUMBER(INDEX(기본자료!$G$2:$G$501,$W124))),INDEX(기본자료!$G$2:$G$501,$W124),IF(INDEX(기본자료!$G$2:$G$501,$W124)&lt;1000000,INDEX(기본자료!$G$2:$G$501,$W124),IF(AND(INDEX(기본자료!$G$2:$G$501,$W124)&gt;=10000101,INT(MOD(INDEX(기본자료!$G$2:$G$501,$W124),10000)/100)&gt;=1,INT(MOD(INDEX(기본자료!$G$2:$G$501,$W124),10000)/100)&lt;=12,MOD(INDEX(기본자료!$G$2:$G$501,$W124),100)&gt;=1,MOD(INDEX(기본자료!$G$2:$G$501,$W124),100)&lt;=31),DATE(INT(INDEX(기본자료!$G$2:$G$501,$W124)/10000),INT(MOD(INDEX(기본자료!$G$2:$G$501,$W124),10000)/100),MOD(INDEX(기본자료!$G$2:$G$501,$W124),100)),INDEX(기본자료!$G$2:$G$501,$W124)&amp;"")))))</f>
        <v/>
      </c>
      <c r="J124" s="8">
        <f>IF($W124="","",IF(INDEX(기본자료!$H$2:$H$501,$W124)="","",INDEX(기본자료!$H$2:$H$501,$W124)))</f>
        <v/>
      </c>
      <c r="K124" s="8">
        <f>IF($W124="","",IF(INDEX(기본자료!$I$2:$I$501,$W124)="","",INDEX(기본자료!$I$2:$I$501,$W124)))</f>
        <v/>
      </c>
      <c r="L124" s="8">
        <f>IF($W124="","",IF(INDEX(기본자료!$A$2:$A$501,$W124)="","",INDEX(기본자료!$A$2:$A$501,$W124)))</f>
        <v/>
      </c>
      <c r="M124" s="5" t="n"/>
      <c r="N124" s="5" t="n"/>
      <c r="O124" s="5" t="n"/>
      <c r="P124" s="5" t="n"/>
      <c r="Q124" s="11" t="n"/>
      <c r="R124" s="11" t="n"/>
      <c r="S124" s="8">
        <f>IF(OR(B124="",Q124=""),"",IF(TODAY()&lt;Q124,"파견예정",IF(AND(R124&lt;&gt;"",TODAY()&gt;R124),"파견종료","파견중")))</f>
        <v/>
      </c>
      <c r="T124" s="12">
        <f>IF(OR(Q124="",R124=""),"",R124-Q124+1)</f>
        <v/>
      </c>
      <c r="U124" s="12">
        <f>IF(AND(S124="파견중",R124&lt;&gt;""),R124-TODAY(),"")</f>
        <v/>
      </c>
      <c r="V124" s="5" t="n"/>
      <c r="W124" s="8">
        <f>IF(B124="","",IFERROR(MATCH(B124,기본자료!$B$2:$B$501,0),IFERROR(MATCH(B124&amp;"",기본자료!$B$2:$B$501,0),IFERROR(MATCH(VALUE(B124),기본자료!$B$2:$B$501,0),""))))</f>
        <v/>
      </c>
    </row>
    <row r="125">
      <c r="A125" s="8">
        <f>IF(B125="","",ROW()-1)</f>
        <v/>
      </c>
      <c r="B125" s="9" t="n"/>
      <c r="C125" s="8">
        <f>IF($W125="","",IF(INDEX(기본자료!$C$2:$C$501,$W125)="","",INDEX(기본자료!$C$2:$C$501,$W125)))</f>
        <v/>
      </c>
      <c r="D125" s="8">
        <f>IF($W125="","",IF(INDEX(기본자료!$J$2:$J$501,$W125)="","",INDEX(기본자료!$J$2:$J$501,$W125)))</f>
        <v/>
      </c>
      <c r="E125" s="10">
        <f>IF($W125="","",IF(INDEX(기본자료!$K$2:$K$501,$W125)="","",IF(NOT(ISNUMBER(INDEX(기본자료!$K$2:$K$501,$W125))),INDEX(기본자료!$K$2:$K$501,$W125),IF(INDEX(기본자료!$K$2:$K$501,$W125)&lt;1000000,INDEX(기본자료!$K$2:$K$501,$W125),IF(AND(INDEX(기본자료!$K$2:$K$501,$W125)&gt;=10000101,INT(MOD(INDEX(기본자료!$K$2:$K$501,$W125),10000)/100)&gt;=1,INT(MOD(INDEX(기본자료!$K$2:$K$501,$W125),10000)/100)&lt;=12,MOD(INDEX(기본자료!$K$2:$K$501,$W125),100)&gt;=1,MOD(INDEX(기본자료!$K$2:$K$501,$W125),100)&lt;=31),DATE(INT(INDEX(기본자료!$K$2:$K$501,$W125)/10000),INT(MOD(INDEX(기본자료!$K$2:$K$501,$W125),10000)/100),MOD(INDEX(기본자료!$K$2:$K$501,$W125),100)),INDEX(기본자료!$K$2:$K$501,$W125)&amp;"")))))</f>
        <v/>
      </c>
      <c r="F125" s="8">
        <f>IF($W125="","",IF(INDEX(기본자료!$D$2:$D$501,$W125)="","",INDEX(기본자료!$D$2:$D$501,$W125)))</f>
        <v/>
      </c>
      <c r="G125" s="8">
        <f>IF($W125="","",IF(INDEX(기본자료!$E$2:$E$501,$W125)="","",INDEX(기본자료!$E$2:$E$501,$W125)))</f>
        <v/>
      </c>
      <c r="H125" s="8">
        <f>IF($W125="","",IF(INDEX(기본자료!$F$2:$F$501,$W125)="","",INDEX(기본자료!$F$2:$F$501,$W125)))</f>
        <v/>
      </c>
      <c r="I125" s="10">
        <f>IF($W125="","",IF(INDEX(기본자료!$G$2:$G$501,$W125)="","",IF(NOT(ISNUMBER(INDEX(기본자료!$G$2:$G$501,$W125))),INDEX(기본자료!$G$2:$G$501,$W125),IF(INDEX(기본자료!$G$2:$G$501,$W125)&lt;1000000,INDEX(기본자료!$G$2:$G$501,$W125),IF(AND(INDEX(기본자료!$G$2:$G$501,$W125)&gt;=10000101,INT(MOD(INDEX(기본자료!$G$2:$G$501,$W125),10000)/100)&gt;=1,INT(MOD(INDEX(기본자료!$G$2:$G$501,$W125),10000)/100)&lt;=12,MOD(INDEX(기본자료!$G$2:$G$501,$W125),100)&gt;=1,MOD(INDEX(기본자료!$G$2:$G$501,$W125),100)&lt;=31),DATE(INT(INDEX(기본자료!$G$2:$G$501,$W125)/10000),INT(MOD(INDEX(기본자료!$G$2:$G$501,$W125),10000)/100),MOD(INDEX(기본자료!$G$2:$G$501,$W125),100)),INDEX(기본자료!$G$2:$G$501,$W125)&amp;"")))))</f>
        <v/>
      </c>
      <c r="J125" s="8">
        <f>IF($W125="","",IF(INDEX(기본자료!$H$2:$H$501,$W125)="","",INDEX(기본자료!$H$2:$H$501,$W125)))</f>
        <v/>
      </c>
      <c r="K125" s="8">
        <f>IF($W125="","",IF(INDEX(기본자료!$I$2:$I$501,$W125)="","",INDEX(기본자료!$I$2:$I$501,$W125)))</f>
        <v/>
      </c>
      <c r="L125" s="8">
        <f>IF($W125="","",IF(INDEX(기본자료!$A$2:$A$501,$W125)="","",INDEX(기본자료!$A$2:$A$501,$W125)))</f>
        <v/>
      </c>
      <c r="M125" s="5" t="n"/>
      <c r="N125" s="5" t="n"/>
      <c r="O125" s="5" t="n"/>
      <c r="P125" s="5" t="n"/>
      <c r="Q125" s="11" t="n"/>
      <c r="R125" s="11" t="n"/>
      <c r="S125" s="8">
        <f>IF(OR(B125="",Q125=""),"",IF(TODAY()&lt;Q125,"파견예정",IF(AND(R125&lt;&gt;"",TODAY()&gt;R125),"파견종료","파견중")))</f>
        <v/>
      </c>
      <c r="T125" s="12">
        <f>IF(OR(Q125="",R125=""),"",R125-Q125+1)</f>
        <v/>
      </c>
      <c r="U125" s="12">
        <f>IF(AND(S125="파견중",R125&lt;&gt;""),R125-TODAY(),"")</f>
        <v/>
      </c>
      <c r="V125" s="5" t="n"/>
      <c r="W125" s="8">
        <f>IF(B125="","",IFERROR(MATCH(B125,기본자료!$B$2:$B$501,0),IFERROR(MATCH(B125&amp;"",기본자료!$B$2:$B$501,0),IFERROR(MATCH(VALUE(B125),기본자료!$B$2:$B$501,0),""))))</f>
        <v/>
      </c>
    </row>
    <row r="126">
      <c r="A126" s="8">
        <f>IF(B126="","",ROW()-1)</f>
        <v/>
      </c>
      <c r="B126" s="9" t="n"/>
      <c r="C126" s="8">
        <f>IF($W126="","",IF(INDEX(기본자료!$C$2:$C$501,$W126)="","",INDEX(기본자료!$C$2:$C$501,$W126)))</f>
        <v/>
      </c>
      <c r="D126" s="8">
        <f>IF($W126="","",IF(INDEX(기본자료!$J$2:$J$501,$W126)="","",INDEX(기본자료!$J$2:$J$501,$W126)))</f>
        <v/>
      </c>
      <c r="E126" s="10">
        <f>IF($W126="","",IF(INDEX(기본자료!$K$2:$K$501,$W126)="","",IF(NOT(ISNUMBER(INDEX(기본자료!$K$2:$K$501,$W126))),INDEX(기본자료!$K$2:$K$501,$W126),IF(INDEX(기본자료!$K$2:$K$501,$W126)&lt;1000000,INDEX(기본자료!$K$2:$K$501,$W126),IF(AND(INDEX(기본자료!$K$2:$K$501,$W126)&gt;=10000101,INT(MOD(INDEX(기본자료!$K$2:$K$501,$W126),10000)/100)&gt;=1,INT(MOD(INDEX(기본자료!$K$2:$K$501,$W126),10000)/100)&lt;=12,MOD(INDEX(기본자료!$K$2:$K$501,$W126),100)&gt;=1,MOD(INDEX(기본자료!$K$2:$K$501,$W126),100)&lt;=31),DATE(INT(INDEX(기본자료!$K$2:$K$501,$W126)/10000),INT(MOD(INDEX(기본자료!$K$2:$K$501,$W126),10000)/100),MOD(INDEX(기본자료!$K$2:$K$501,$W126),100)),INDEX(기본자료!$K$2:$K$501,$W126)&amp;"")))))</f>
        <v/>
      </c>
      <c r="F126" s="8">
        <f>IF($W126="","",IF(INDEX(기본자료!$D$2:$D$501,$W126)="","",INDEX(기본자료!$D$2:$D$501,$W126)))</f>
        <v/>
      </c>
      <c r="G126" s="8">
        <f>IF($W126="","",IF(INDEX(기본자료!$E$2:$E$501,$W126)="","",INDEX(기본자료!$E$2:$E$501,$W126)))</f>
        <v/>
      </c>
      <c r="H126" s="8">
        <f>IF($W126="","",IF(INDEX(기본자료!$F$2:$F$501,$W126)="","",INDEX(기본자료!$F$2:$F$501,$W126)))</f>
        <v/>
      </c>
      <c r="I126" s="10">
        <f>IF($W126="","",IF(INDEX(기본자료!$G$2:$G$501,$W126)="","",IF(NOT(ISNUMBER(INDEX(기본자료!$G$2:$G$501,$W126))),INDEX(기본자료!$G$2:$G$501,$W126),IF(INDEX(기본자료!$G$2:$G$501,$W126)&lt;1000000,INDEX(기본자료!$G$2:$G$501,$W126),IF(AND(INDEX(기본자료!$G$2:$G$501,$W126)&gt;=10000101,INT(MOD(INDEX(기본자료!$G$2:$G$501,$W126),10000)/100)&gt;=1,INT(MOD(INDEX(기본자료!$G$2:$G$501,$W126),10000)/100)&lt;=12,MOD(INDEX(기본자료!$G$2:$G$501,$W126),100)&gt;=1,MOD(INDEX(기본자료!$G$2:$G$501,$W126),100)&lt;=31),DATE(INT(INDEX(기본자료!$G$2:$G$501,$W126)/10000),INT(MOD(INDEX(기본자료!$G$2:$G$501,$W126),10000)/100),MOD(INDEX(기본자료!$G$2:$G$501,$W126),100)),INDEX(기본자료!$G$2:$G$501,$W126)&amp;"")))))</f>
        <v/>
      </c>
      <c r="J126" s="8">
        <f>IF($W126="","",IF(INDEX(기본자료!$H$2:$H$501,$W126)="","",INDEX(기본자료!$H$2:$H$501,$W126)))</f>
        <v/>
      </c>
      <c r="K126" s="8">
        <f>IF($W126="","",IF(INDEX(기본자료!$I$2:$I$501,$W126)="","",INDEX(기본자료!$I$2:$I$501,$W126)))</f>
        <v/>
      </c>
      <c r="L126" s="8">
        <f>IF($W126="","",IF(INDEX(기본자료!$A$2:$A$501,$W126)="","",INDEX(기본자료!$A$2:$A$501,$W126)))</f>
        <v/>
      </c>
      <c r="M126" s="5" t="n"/>
      <c r="N126" s="5" t="n"/>
      <c r="O126" s="5" t="n"/>
      <c r="P126" s="5" t="n"/>
      <c r="Q126" s="11" t="n"/>
      <c r="R126" s="11" t="n"/>
      <c r="S126" s="8">
        <f>IF(OR(B126="",Q126=""),"",IF(TODAY()&lt;Q126,"파견예정",IF(AND(R126&lt;&gt;"",TODAY()&gt;R126),"파견종료","파견중")))</f>
        <v/>
      </c>
      <c r="T126" s="12">
        <f>IF(OR(Q126="",R126=""),"",R126-Q126+1)</f>
        <v/>
      </c>
      <c r="U126" s="12">
        <f>IF(AND(S126="파견중",R126&lt;&gt;""),R126-TODAY(),"")</f>
        <v/>
      </c>
      <c r="V126" s="5" t="n"/>
      <c r="W126" s="8">
        <f>IF(B126="","",IFERROR(MATCH(B126,기본자료!$B$2:$B$501,0),IFERROR(MATCH(B126&amp;"",기본자료!$B$2:$B$501,0),IFERROR(MATCH(VALUE(B126),기본자료!$B$2:$B$501,0),""))))</f>
        <v/>
      </c>
    </row>
    <row r="127">
      <c r="A127" s="8">
        <f>IF(B127="","",ROW()-1)</f>
        <v/>
      </c>
      <c r="B127" s="9" t="n"/>
      <c r="C127" s="8">
        <f>IF($W127="","",IF(INDEX(기본자료!$C$2:$C$501,$W127)="","",INDEX(기본자료!$C$2:$C$501,$W127)))</f>
        <v/>
      </c>
      <c r="D127" s="8">
        <f>IF($W127="","",IF(INDEX(기본자료!$J$2:$J$501,$W127)="","",INDEX(기본자료!$J$2:$J$501,$W127)))</f>
        <v/>
      </c>
      <c r="E127" s="10">
        <f>IF($W127="","",IF(INDEX(기본자료!$K$2:$K$501,$W127)="","",IF(NOT(ISNUMBER(INDEX(기본자료!$K$2:$K$501,$W127))),INDEX(기본자료!$K$2:$K$501,$W127),IF(INDEX(기본자료!$K$2:$K$501,$W127)&lt;1000000,INDEX(기본자료!$K$2:$K$501,$W127),IF(AND(INDEX(기본자료!$K$2:$K$501,$W127)&gt;=10000101,INT(MOD(INDEX(기본자료!$K$2:$K$501,$W127),10000)/100)&gt;=1,INT(MOD(INDEX(기본자료!$K$2:$K$501,$W127),10000)/100)&lt;=12,MOD(INDEX(기본자료!$K$2:$K$501,$W127),100)&gt;=1,MOD(INDEX(기본자료!$K$2:$K$501,$W127),100)&lt;=31),DATE(INT(INDEX(기본자료!$K$2:$K$501,$W127)/10000),INT(MOD(INDEX(기본자료!$K$2:$K$501,$W127),10000)/100),MOD(INDEX(기본자료!$K$2:$K$501,$W127),100)),INDEX(기본자료!$K$2:$K$501,$W127)&amp;"")))))</f>
        <v/>
      </c>
      <c r="F127" s="8">
        <f>IF($W127="","",IF(INDEX(기본자료!$D$2:$D$501,$W127)="","",INDEX(기본자료!$D$2:$D$501,$W127)))</f>
        <v/>
      </c>
      <c r="G127" s="8">
        <f>IF($W127="","",IF(INDEX(기본자료!$E$2:$E$501,$W127)="","",INDEX(기본자료!$E$2:$E$501,$W127)))</f>
        <v/>
      </c>
      <c r="H127" s="8">
        <f>IF($W127="","",IF(INDEX(기본자료!$F$2:$F$501,$W127)="","",INDEX(기본자료!$F$2:$F$501,$W127)))</f>
        <v/>
      </c>
      <c r="I127" s="10">
        <f>IF($W127="","",IF(INDEX(기본자료!$G$2:$G$501,$W127)="","",IF(NOT(ISNUMBER(INDEX(기본자료!$G$2:$G$501,$W127))),INDEX(기본자료!$G$2:$G$501,$W127),IF(INDEX(기본자료!$G$2:$G$501,$W127)&lt;1000000,INDEX(기본자료!$G$2:$G$501,$W127),IF(AND(INDEX(기본자료!$G$2:$G$501,$W127)&gt;=10000101,INT(MOD(INDEX(기본자료!$G$2:$G$501,$W127),10000)/100)&gt;=1,INT(MOD(INDEX(기본자료!$G$2:$G$501,$W127),10000)/100)&lt;=12,MOD(INDEX(기본자료!$G$2:$G$501,$W127),100)&gt;=1,MOD(INDEX(기본자료!$G$2:$G$501,$W127),100)&lt;=31),DATE(INT(INDEX(기본자료!$G$2:$G$501,$W127)/10000),INT(MOD(INDEX(기본자료!$G$2:$G$501,$W127),10000)/100),MOD(INDEX(기본자료!$G$2:$G$501,$W127),100)),INDEX(기본자료!$G$2:$G$501,$W127)&amp;"")))))</f>
        <v/>
      </c>
      <c r="J127" s="8">
        <f>IF($W127="","",IF(INDEX(기본자료!$H$2:$H$501,$W127)="","",INDEX(기본자료!$H$2:$H$501,$W127)))</f>
        <v/>
      </c>
      <c r="K127" s="8">
        <f>IF($W127="","",IF(INDEX(기본자료!$I$2:$I$501,$W127)="","",INDEX(기본자료!$I$2:$I$501,$W127)))</f>
        <v/>
      </c>
      <c r="L127" s="8">
        <f>IF($W127="","",IF(INDEX(기본자료!$A$2:$A$501,$W127)="","",INDEX(기본자료!$A$2:$A$501,$W127)))</f>
        <v/>
      </c>
      <c r="M127" s="5" t="n"/>
      <c r="N127" s="5" t="n"/>
      <c r="O127" s="5" t="n"/>
      <c r="P127" s="5" t="n"/>
      <c r="Q127" s="11" t="n"/>
      <c r="R127" s="11" t="n"/>
      <c r="S127" s="8">
        <f>IF(OR(B127="",Q127=""),"",IF(TODAY()&lt;Q127,"파견예정",IF(AND(R127&lt;&gt;"",TODAY()&gt;R127),"파견종료","파견중")))</f>
        <v/>
      </c>
      <c r="T127" s="12">
        <f>IF(OR(Q127="",R127=""),"",R127-Q127+1)</f>
        <v/>
      </c>
      <c r="U127" s="12">
        <f>IF(AND(S127="파견중",R127&lt;&gt;""),R127-TODAY(),"")</f>
        <v/>
      </c>
      <c r="V127" s="5" t="n"/>
      <c r="W127" s="8">
        <f>IF(B127="","",IFERROR(MATCH(B127,기본자료!$B$2:$B$501,0),IFERROR(MATCH(B127&amp;"",기본자료!$B$2:$B$501,0),IFERROR(MATCH(VALUE(B127),기본자료!$B$2:$B$501,0),""))))</f>
        <v/>
      </c>
    </row>
    <row r="128">
      <c r="A128" s="8">
        <f>IF(B128="","",ROW()-1)</f>
        <v/>
      </c>
      <c r="B128" s="9" t="n"/>
      <c r="C128" s="8">
        <f>IF($W128="","",IF(INDEX(기본자료!$C$2:$C$501,$W128)="","",INDEX(기본자료!$C$2:$C$501,$W128)))</f>
        <v/>
      </c>
      <c r="D128" s="8">
        <f>IF($W128="","",IF(INDEX(기본자료!$J$2:$J$501,$W128)="","",INDEX(기본자료!$J$2:$J$501,$W128)))</f>
        <v/>
      </c>
      <c r="E128" s="10">
        <f>IF($W128="","",IF(INDEX(기본자료!$K$2:$K$501,$W128)="","",IF(NOT(ISNUMBER(INDEX(기본자료!$K$2:$K$501,$W128))),INDEX(기본자료!$K$2:$K$501,$W128),IF(INDEX(기본자료!$K$2:$K$501,$W128)&lt;1000000,INDEX(기본자료!$K$2:$K$501,$W128),IF(AND(INDEX(기본자료!$K$2:$K$501,$W128)&gt;=10000101,INT(MOD(INDEX(기본자료!$K$2:$K$501,$W128),10000)/100)&gt;=1,INT(MOD(INDEX(기본자료!$K$2:$K$501,$W128),10000)/100)&lt;=12,MOD(INDEX(기본자료!$K$2:$K$501,$W128),100)&gt;=1,MOD(INDEX(기본자료!$K$2:$K$501,$W128),100)&lt;=31),DATE(INT(INDEX(기본자료!$K$2:$K$501,$W128)/10000),INT(MOD(INDEX(기본자료!$K$2:$K$501,$W128),10000)/100),MOD(INDEX(기본자료!$K$2:$K$501,$W128),100)),INDEX(기본자료!$K$2:$K$501,$W128)&amp;"")))))</f>
        <v/>
      </c>
      <c r="F128" s="8">
        <f>IF($W128="","",IF(INDEX(기본자료!$D$2:$D$501,$W128)="","",INDEX(기본자료!$D$2:$D$501,$W128)))</f>
        <v/>
      </c>
      <c r="G128" s="8">
        <f>IF($W128="","",IF(INDEX(기본자료!$E$2:$E$501,$W128)="","",INDEX(기본자료!$E$2:$E$501,$W128)))</f>
        <v/>
      </c>
      <c r="H128" s="8">
        <f>IF($W128="","",IF(INDEX(기본자료!$F$2:$F$501,$W128)="","",INDEX(기본자료!$F$2:$F$501,$W128)))</f>
        <v/>
      </c>
      <c r="I128" s="10">
        <f>IF($W128="","",IF(INDEX(기본자료!$G$2:$G$501,$W128)="","",IF(NOT(ISNUMBER(INDEX(기본자료!$G$2:$G$501,$W128))),INDEX(기본자료!$G$2:$G$501,$W128),IF(INDEX(기본자료!$G$2:$G$501,$W128)&lt;1000000,INDEX(기본자료!$G$2:$G$501,$W128),IF(AND(INDEX(기본자료!$G$2:$G$501,$W128)&gt;=10000101,INT(MOD(INDEX(기본자료!$G$2:$G$501,$W128),10000)/100)&gt;=1,INT(MOD(INDEX(기본자료!$G$2:$G$501,$W128),10000)/100)&lt;=12,MOD(INDEX(기본자료!$G$2:$G$501,$W128),100)&gt;=1,MOD(INDEX(기본자료!$G$2:$G$501,$W128),100)&lt;=31),DATE(INT(INDEX(기본자료!$G$2:$G$501,$W128)/10000),INT(MOD(INDEX(기본자료!$G$2:$G$501,$W128),10000)/100),MOD(INDEX(기본자료!$G$2:$G$501,$W128),100)),INDEX(기본자료!$G$2:$G$501,$W128)&amp;"")))))</f>
        <v/>
      </c>
      <c r="J128" s="8">
        <f>IF($W128="","",IF(INDEX(기본자료!$H$2:$H$501,$W128)="","",INDEX(기본자료!$H$2:$H$501,$W128)))</f>
        <v/>
      </c>
      <c r="K128" s="8">
        <f>IF($W128="","",IF(INDEX(기본자료!$I$2:$I$501,$W128)="","",INDEX(기본자료!$I$2:$I$501,$W128)))</f>
        <v/>
      </c>
      <c r="L128" s="8">
        <f>IF($W128="","",IF(INDEX(기본자료!$A$2:$A$501,$W128)="","",INDEX(기본자료!$A$2:$A$501,$W128)))</f>
        <v/>
      </c>
      <c r="M128" s="5" t="n"/>
      <c r="N128" s="5" t="n"/>
      <c r="O128" s="5" t="n"/>
      <c r="P128" s="5" t="n"/>
      <c r="Q128" s="11" t="n"/>
      <c r="R128" s="11" t="n"/>
      <c r="S128" s="8">
        <f>IF(OR(B128="",Q128=""),"",IF(TODAY()&lt;Q128,"파견예정",IF(AND(R128&lt;&gt;"",TODAY()&gt;R128),"파견종료","파견중")))</f>
        <v/>
      </c>
      <c r="T128" s="12">
        <f>IF(OR(Q128="",R128=""),"",R128-Q128+1)</f>
        <v/>
      </c>
      <c r="U128" s="12">
        <f>IF(AND(S128="파견중",R128&lt;&gt;""),R128-TODAY(),"")</f>
        <v/>
      </c>
      <c r="V128" s="5" t="n"/>
      <c r="W128" s="8">
        <f>IF(B128="","",IFERROR(MATCH(B128,기본자료!$B$2:$B$501,0),IFERROR(MATCH(B128&amp;"",기본자료!$B$2:$B$501,0),IFERROR(MATCH(VALUE(B128),기본자료!$B$2:$B$501,0),""))))</f>
        <v/>
      </c>
    </row>
    <row r="129">
      <c r="A129" s="8">
        <f>IF(B129="","",ROW()-1)</f>
        <v/>
      </c>
      <c r="B129" s="9" t="n"/>
      <c r="C129" s="8">
        <f>IF($W129="","",IF(INDEX(기본자료!$C$2:$C$501,$W129)="","",INDEX(기본자료!$C$2:$C$501,$W129)))</f>
        <v/>
      </c>
      <c r="D129" s="8">
        <f>IF($W129="","",IF(INDEX(기본자료!$J$2:$J$501,$W129)="","",INDEX(기본자료!$J$2:$J$501,$W129)))</f>
        <v/>
      </c>
      <c r="E129" s="10">
        <f>IF($W129="","",IF(INDEX(기본자료!$K$2:$K$501,$W129)="","",IF(NOT(ISNUMBER(INDEX(기본자료!$K$2:$K$501,$W129))),INDEX(기본자료!$K$2:$K$501,$W129),IF(INDEX(기본자료!$K$2:$K$501,$W129)&lt;1000000,INDEX(기본자료!$K$2:$K$501,$W129),IF(AND(INDEX(기본자료!$K$2:$K$501,$W129)&gt;=10000101,INT(MOD(INDEX(기본자료!$K$2:$K$501,$W129),10000)/100)&gt;=1,INT(MOD(INDEX(기본자료!$K$2:$K$501,$W129),10000)/100)&lt;=12,MOD(INDEX(기본자료!$K$2:$K$501,$W129),100)&gt;=1,MOD(INDEX(기본자료!$K$2:$K$501,$W129),100)&lt;=31),DATE(INT(INDEX(기본자료!$K$2:$K$501,$W129)/10000),INT(MOD(INDEX(기본자료!$K$2:$K$501,$W129),10000)/100),MOD(INDEX(기본자료!$K$2:$K$501,$W129),100)),INDEX(기본자료!$K$2:$K$501,$W129)&amp;"")))))</f>
        <v/>
      </c>
      <c r="F129" s="8">
        <f>IF($W129="","",IF(INDEX(기본자료!$D$2:$D$501,$W129)="","",INDEX(기본자료!$D$2:$D$501,$W129)))</f>
        <v/>
      </c>
      <c r="G129" s="8">
        <f>IF($W129="","",IF(INDEX(기본자료!$E$2:$E$501,$W129)="","",INDEX(기본자료!$E$2:$E$501,$W129)))</f>
        <v/>
      </c>
      <c r="H129" s="8">
        <f>IF($W129="","",IF(INDEX(기본자료!$F$2:$F$501,$W129)="","",INDEX(기본자료!$F$2:$F$501,$W129)))</f>
        <v/>
      </c>
      <c r="I129" s="10">
        <f>IF($W129="","",IF(INDEX(기본자료!$G$2:$G$501,$W129)="","",IF(NOT(ISNUMBER(INDEX(기본자료!$G$2:$G$501,$W129))),INDEX(기본자료!$G$2:$G$501,$W129),IF(INDEX(기본자료!$G$2:$G$501,$W129)&lt;1000000,INDEX(기본자료!$G$2:$G$501,$W129),IF(AND(INDEX(기본자료!$G$2:$G$501,$W129)&gt;=10000101,INT(MOD(INDEX(기본자료!$G$2:$G$501,$W129),10000)/100)&gt;=1,INT(MOD(INDEX(기본자료!$G$2:$G$501,$W129),10000)/100)&lt;=12,MOD(INDEX(기본자료!$G$2:$G$501,$W129),100)&gt;=1,MOD(INDEX(기본자료!$G$2:$G$501,$W129),100)&lt;=31),DATE(INT(INDEX(기본자료!$G$2:$G$501,$W129)/10000),INT(MOD(INDEX(기본자료!$G$2:$G$501,$W129),10000)/100),MOD(INDEX(기본자료!$G$2:$G$501,$W129),100)),INDEX(기본자료!$G$2:$G$501,$W129)&amp;"")))))</f>
        <v/>
      </c>
      <c r="J129" s="8">
        <f>IF($W129="","",IF(INDEX(기본자료!$H$2:$H$501,$W129)="","",INDEX(기본자료!$H$2:$H$501,$W129)))</f>
        <v/>
      </c>
      <c r="K129" s="8">
        <f>IF($W129="","",IF(INDEX(기본자료!$I$2:$I$501,$W129)="","",INDEX(기본자료!$I$2:$I$501,$W129)))</f>
        <v/>
      </c>
      <c r="L129" s="8">
        <f>IF($W129="","",IF(INDEX(기본자료!$A$2:$A$501,$W129)="","",INDEX(기본자료!$A$2:$A$501,$W129)))</f>
        <v/>
      </c>
      <c r="M129" s="5" t="n"/>
      <c r="N129" s="5" t="n"/>
      <c r="O129" s="5" t="n"/>
      <c r="P129" s="5" t="n"/>
      <c r="Q129" s="11" t="n"/>
      <c r="R129" s="11" t="n"/>
      <c r="S129" s="8">
        <f>IF(OR(B129="",Q129=""),"",IF(TODAY()&lt;Q129,"파견예정",IF(AND(R129&lt;&gt;"",TODAY()&gt;R129),"파견종료","파견중")))</f>
        <v/>
      </c>
      <c r="T129" s="12">
        <f>IF(OR(Q129="",R129=""),"",R129-Q129+1)</f>
        <v/>
      </c>
      <c r="U129" s="12">
        <f>IF(AND(S129="파견중",R129&lt;&gt;""),R129-TODAY(),"")</f>
        <v/>
      </c>
      <c r="V129" s="5" t="n"/>
      <c r="W129" s="8">
        <f>IF(B129="","",IFERROR(MATCH(B129,기본자료!$B$2:$B$501,0),IFERROR(MATCH(B129&amp;"",기본자료!$B$2:$B$501,0),IFERROR(MATCH(VALUE(B129),기본자료!$B$2:$B$501,0),""))))</f>
        <v/>
      </c>
    </row>
    <row r="130">
      <c r="A130" s="8">
        <f>IF(B130="","",ROW()-1)</f>
        <v/>
      </c>
      <c r="B130" s="9" t="n"/>
      <c r="C130" s="8">
        <f>IF($W130="","",IF(INDEX(기본자료!$C$2:$C$501,$W130)="","",INDEX(기본자료!$C$2:$C$501,$W130)))</f>
        <v/>
      </c>
      <c r="D130" s="8">
        <f>IF($W130="","",IF(INDEX(기본자료!$J$2:$J$501,$W130)="","",INDEX(기본자료!$J$2:$J$501,$W130)))</f>
        <v/>
      </c>
      <c r="E130" s="10">
        <f>IF($W130="","",IF(INDEX(기본자료!$K$2:$K$501,$W130)="","",IF(NOT(ISNUMBER(INDEX(기본자료!$K$2:$K$501,$W130))),INDEX(기본자료!$K$2:$K$501,$W130),IF(INDEX(기본자료!$K$2:$K$501,$W130)&lt;1000000,INDEX(기본자료!$K$2:$K$501,$W130),IF(AND(INDEX(기본자료!$K$2:$K$501,$W130)&gt;=10000101,INT(MOD(INDEX(기본자료!$K$2:$K$501,$W130),10000)/100)&gt;=1,INT(MOD(INDEX(기본자료!$K$2:$K$501,$W130),10000)/100)&lt;=12,MOD(INDEX(기본자료!$K$2:$K$501,$W130),100)&gt;=1,MOD(INDEX(기본자료!$K$2:$K$501,$W130),100)&lt;=31),DATE(INT(INDEX(기본자료!$K$2:$K$501,$W130)/10000),INT(MOD(INDEX(기본자료!$K$2:$K$501,$W130),10000)/100),MOD(INDEX(기본자료!$K$2:$K$501,$W130),100)),INDEX(기본자료!$K$2:$K$501,$W130)&amp;"")))))</f>
        <v/>
      </c>
      <c r="F130" s="8">
        <f>IF($W130="","",IF(INDEX(기본자료!$D$2:$D$501,$W130)="","",INDEX(기본자료!$D$2:$D$501,$W130)))</f>
        <v/>
      </c>
      <c r="G130" s="8">
        <f>IF($W130="","",IF(INDEX(기본자료!$E$2:$E$501,$W130)="","",INDEX(기본자료!$E$2:$E$501,$W130)))</f>
        <v/>
      </c>
      <c r="H130" s="8">
        <f>IF($W130="","",IF(INDEX(기본자료!$F$2:$F$501,$W130)="","",INDEX(기본자료!$F$2:$F$501,$W130)))</f>
        <v/>
      </c>
      <c r="I130" s="10">
        <f>IF($W130="","",IF(INDEX(기본자료!$G$2:$G$501,$W130)="","",IF(NOT(ISNUMBER(INDEX(기본자료!$G$2:$G$501,$W130))),INDEX(기본자료!$G$2:$G$501,$W130),IF(INDEX(기본자료!$G$2:$G$501,$W130)&lt;1000000,INDEX(기본자료!$G$2:$G$501,$W130),IF(AND(INDEX(기본자료!$G$2:$G$501,$W130)&gt;=10000101,INT(MOD(INDEX(기본자료!$G$2:$G$501,$W130),10000)/100)&gt;=1,INT(MOD(INDEX(기본자료!$G$2:$G$501,$W130),10000)/100)&lt;=12,MOD(INDEX(기본자료!$G$2:$G$501,$W130),100)&gt;=1,MOD(INDEX(기본자료!$G$2:$G$501,$W130),100)&lt;=31),DATE(INT(INDEX(기본자료!$G$2:$G$501,$W130)/10000),INT(MOD(INDEX(기본자료!$G$2:$G$501,$W130),10000)/100),MOD(INDEX(기본자료!$G$2:$G$501,$W130),100)),INDEX(기본자료!$G$2:$G$501,$W130)&amp;"")))))</f>
        <v/>
      </c>
      <c r="J130" s="8">
        <f>IF($W130="","",IF(INDEX(기본자료!$H$2:$H$501,$W130)="","",INDEX(기본자료!$H$2:$H$501,$W130)))</f>
        <v/>
      </c>
      <c r="K130" s="8">
        <f>IF($W130="","",IF(INDEX(기본자료!$I$2:$I$501,$W130)="","",INDEX(기본자료!$I$2:$I$501,$W130)))</f>
        <v/>
      </c>
      <c r="L130" s="8">
        <f>IF($W130="","",IF(INDEX(기본자료!$A$2:$A$501,$W130)="","",INDEX(기본자료!$A$2:$A$501,$W130)))</f>
        <v/>
      </c>
      <c r="M130" s="5" t="n"/>
      <c r="N130" s="5" t="n"/>
      <c r="O130" s="5" t="n"/>
      <c r="P130" s="5" t="n"/>
      <c r="Q130" s="11" t="n"/>
      <c r="R130" s="11" t="n"/>
      <c r="S130" s="8">
        <f>IF(OR(B130="",Q130=""),"",IF(TODAY()&lt;Q130,"파견예정",IF(AND(R130&lt;&gt;"",TODAY()&gt;R130),"파견종료","파견중")))</f>
        <v/>
      </c>
      <c r="T130" s="12">
        <f>IF(OR(Q130="",R130=""),"",R130-Q130+1)</f>
        <v/>
      </c>
      <c r="U130" s="12">
        <f>IF(AND(S130="파견중",R130&lt;&gt;""),R130-TODAY(),"")</f>
        <v/>
      </c>
      <c r="V130" s="5" t="n"/>
      <c r="W130" s="8">
        <f>IF(B130="","",IFERROR(MATCH(B130,기본자료!$B$2:$B$501,0),IFERROR(MATCH(B130&amp;"",기본자료!$B$2:$B$501,0),IFERROR(MATCH(VALUE(B130),기본자료!$B$2:$B$501,0),""))))</f>
        <v/>
      </c>
    </row>
    <row r="131">
      <c r="A131" s="8">
        <f>IF(B131="","",ROW()-1)</f>
        <v/>
      </c>
      <c r="B131" s="9" t="n"/>
      <c r="C131" s="8">
        <f>IF($W131="","",IF(INDEX(기본자료!$C$2:$C$501,$W131)="","",INDEX(기본자료!$C$2:$C$501,$W131)))</f>
        <v/>
      </c>
      <c r="D131" s="8">
        <f>IF($W131="","",IF(INDEX(기본자료!$J$2:$J$501,$W131)="","",INDEX(기본자료!$J$2:$J$501,$W131)))</f>
        <v/>
      </c>
      <c r="E131" s="10">
        <f>IF($W131="","",IF(INDEX(기본자료!$K$2:$K$501,$W131)="","",IF(NOT(ISNUMBER(INDEX(기본자료!$K$2:$K$501,$W131))),INDEX(기본자료!$K$2:$K$501,$W131),IF(INDEX(기본자료!$K$2:$K$501,$W131)&lt;1000000,INDEX(기본자료!$K$2:$K$501,$W131),IF(AND(INDEX(기본자료!$K$2:$K$501,$W131)&gt;=10000101,INT(MOD(INDEX(기본자료!$K$2:$K$501,$W131),10000)/100)&gt;=1,INT(MOD(INDEX(기본자료!$K$2:$K$501,$W131),10000)/100)&lt;=12,MOD(INDEX(기본자료!$K$2:$K$501,$W131),100)&gt;=1,MOD(INDEX(기본자료!$K$2:$K$501,$W131),100)&lt;=31),DATE(INT(INDEX(기본자료!$K$2:$K$501,$W131)/10000),INT(MOD(INDEX(기본자료!$K$2:$K$501,$W131),10000)/100),MOD(INDEX(기본자료!$K$2:$K$501,$W131),100)),INDEX(기본자료!$K$2:$K$501,$W131)&amp;"")))))</f>
        <v/>
      </c>
      <c r="F131" s="8">
        <f>IF($W131="","",IF(INDEX(기본자료!$D$2:$D$501,$W131)="","",INDEX(기본자료!$D$2:$D$501,$W131)))</f>
        <v/>
      </c>
      <c r="G131" s="8">
        <f>IF($W131="","",IF(INDEX(기본자료!$E$2:$E$501,$W131)="","",INDEX(기본자료!$E$2:$E$501,$W131)))</f>
        <v/>
      </c>
      <c r="H131" s="8">
        <f>IF($W131="","",IF(INDEX(기본자료!$F$2:$F$501,$W131)="","",INDEX(기본자료!$F$2:$F$501,$W131)))</f>
        <v/>
      </c>
      <c r="I131" s="10">
        <f>IF($W131="","",IF(INDEX(기본자료!$G$2:$G$501,$W131)="","",IF(NOT(ISNUMBER(INDEX(기본자료!$G$2:$G$501,$W131))),INDEX(기본자료!$G$2:$G$501,$W131),IF(INDEX(기본자료!$G$2:$G$501,$W131)&lt;1000000,INDEX(기본자료!$G$2:$G$501,$W131),IF(AND(INDEX(기본자료!$G$2:$G$501,$W131)&gt;=10000101,INT(MOD(INDEX(기본자료!$G$2:$G$501,$W131),10000)/100)&gt;=1,INT(MOD(INDEX(기본자료!$G$2:$G$501,$W131),10000)/100)&lt;=12,MOD(INDEX(기본자료!$G$2:$G$501,$W131),100)&gt;=1,MOD(INDEX(기본자료!$G$2:$G$501,$W131),100)&lt;=31),DATE(INT(INDEX(기본자료!$G$2:$G$501,$W131)/10000),INT(MOD(INDEX(기본자료!$G$2:$G$501,$W131),10000)/100),MOD(INDEX(기본자료!$G$2:$G$501,$W131),100)),INDEX(기본자료!$G$2:$G$501,$W131)&amp;"")))))</f>
        <v/>
      </c>
      <c r="J131" s="8">
        <f>IF($W131="","",IF(INDEX(기본자료!$H$2:$H$501,$W131)="","",INDEX(기본자료!$H$2:$H$501,$W131)))</f>
        <v/>
      </c>
      <c r="K131" s="8">
        <f>IF($W131="","",IF(INDEX(기본자료!$I$2:$I$501,$W131)="","",INDEX(기본자료!$I$2:$I$501,$W131)))</f>
        <v/>
      </c>
      <c r="L131" s="8">
        <f>IF($W131="","",IF(INDEX(기본자료!$A$2:$A$501,$W131)="","",INDEX(기본자료!$A$2:$A$501,$W131)))</f>
        <v/>
      </c>
      <c r="M131" s="5" t="n"/>
      <c r="N131" s="5" t="n"/>
      <c r="O131" s="5" t="n"/>
      <c r="P131" s="5" t="n"/>
      <c r="Q131" s="11" t="n"/>
      <c r="R131" s="11" t="n"/>
      <c r="S131" s="8">
        <f>IF(OR(B131="",Q131=""),"",IF(TODAY()&lt;Q131,"파견예정",IF(AND(R131&lt;&gt;"",TODAY()&gt;R131),"파견종료","파견중")))</f>
        <v/>
      </c>
      <c r="T131" s="12">
        <f>IF(OR(Q131="",R131=""),"",R131-Q131+1)</f>
        <v/>
      </c>
      <c r="U131" s="12">
        <f>IF(AND(S131="파견중",R131&lt;&gt;""),R131-TODAY(),"")</f>
        <v/>
      </c>
      <c r="V131" s="5" t="n"/>
      <c r="W131" s="8">
        <f>IF(B131="","",IFERROR(MATCH(B131,기본자료!$B$2:$B$501,0),IFERROR(MATCH(B131&amp;"",기본자료!$B$2:$B$501,0),IFERROR(MATCH(VALUE(B131),기본자료!$B$2:$B$501,0),""))))</f>
        <v/>
      </c>
    </row>
    <row r="132">
      <c r="A132" s="8">
        <f>IF(B132="","",ROW()-1)</f>
        <v/>
      </c>
      <c r="B132" s="9" t="n"/>
      <c r="C132" s="8">
        <f>IF($W132="","",IF(INDEX(기본자료!$C$2:$C$501,$W132)="","",INDEX(기본자료!$C$2:$C$501,$W132)))</f>
        <v/>
      </c>
      <c r="D132" s="8">
        <f>IF($W132="","",IF(INDEX(기본자료!$J$2:$J$501,$W132)="","",INDEX(기본자료!$J$2:$J$501,$W132)))</f>
        <v/>
      </c>
      <c r="E132" s="10">
        <f>IF($W132="","",IF(INDEX(기본자료!$K$2:$K$501,$W132)="","",IF(NOT(ISNUMBER(INDEX(기본자료!$K$2:$K$501,$W132))),INDEX(기본자료!$K$2:$K$501,$W132),IF(INDEX(기본자료!$K$2:$K$501,$W132)&lt;1000000,INDEX(기본자료!$K$2:$K$501,$W132),IF(AND(INDEX(기본자료!$K$2:$K$501,$W132)&gt;=10000101,INT(MOD(INDEX(기본자료!$K$2:$K$501,$W132),10000)/100)&gt;=1,INT(MOD(INDEX(기본자료!$K$2:$K$501,$W132),10000)/100)&lt;=12,MOD(INDEX(기본자료!$K$2:$K$501,$W132),100)&gt;=1,MOD(INDEX(기본자료!$K$2:$K$501,$W132),100)&lt;=31),DATE(INT(INDEX(기본자료!$K$2:$K$501,$W132)/10000),INT(MOD(INDEX(기본자료!$K$2:$K$501,$W132),10000)/100),MOD(INDEX(기본자료!$K$2:$K$501,$W132),100)),INDEX(기본자료!$K$2:$K$501,$W132)&amp;"")))))</f>
        <v/>
      </c>
      <c r="F132" s="8">
        <f>IF($W132="","",IF(INDEX(기본자료!$D$2:$D$501,$W132)="","",INDEX(기본자료!$D$2:$D$501,$W132)))</f>
        <v/>
      </c>
      <c r="G132" s="8">
        <f>IF($W132="","",IF(INDEX(기본자료!$E$2:$E$501,$W132)="","",INDEX(기본자료!$E$2:$E$501,$W132)))</f>
        <v/>
      </c>
      <c r="H132" s="8">
        <f>IF($W132="","",IF(INDEX(기본자료!$F$2:$F$501,$W132)="","",INDEX(기본자료!$F$2:$F$501,$W132)))</f>
        <v/>
      </c>
      <c r="I132" s="10">
        <f>IF($W132="","",IF(INDEX(기본자료!$G$2:$G$501,$W132)="","",IF(NOT(ISNUMBER(INDEX(기본자료!$G$2:$G$501,$W132))),INDEX(기본자료!$G$2:$G$501,$W132),IF(INDEX(기본자료!$G$2:$G$501,$W132)&lt;1000000,INDEX(기본자료!$G$2:$G$501,$W132),IF(AND(INDEX(기본자료!$G$2:$G$501,$W132)&gt;=10000101,INT(MOD(INDEX(기본자료!$G$2:$G$501,$W132),10000)/100)&gt;=1,INT(MOD(INDEX(기본자료!$G$2:$G$501,$W132),10000)/100)&lt;=12,MOD(INDEX(기본자료!$G$2:$G$501,$W132),100)&gt;=1,MOD(INDEX(기본자료!$G$2:$G$501,$W132),100)&lt;=31),DATE(INT(INDEX(기본자료!$G$2:$G$501,$W132)/10000),INT(MOD(INDEX(기본자료!$G$2:$G$501,$W132),10000)/100),MOD(INDEX(기본자료!$G$2:$G$501,$W132),100)),INDEX(기본자료!$G$2:$G$501,$W132)&amp;"")))))</f>
        <v/>
      </c>
      <c r="J132" s="8">
        <f>IF($W132="","",IF(INDEX(기본자료!$H$2:$H$501,$W132)="","",INDEX(기본자료!$H$2:$H$501,$W132)))</f>
        <v/>
      </c>
      <c r="K132" s="8">
        <f>IF($W132="","",IF(INDEX(기본자료!$I$2:$I$501,$W132)="","",INDEX(기본자료!$I$2:$I$501,$W132)))</f>
        <v/>
      </c>
      <c r="L132" s="8">
        <f>IF($W132="","",IF(INDEX(기본자료!$A$2:$A$501,$W132)="","",INDEX(기본자료!$A$2:$A$501,$W132)))</f>
        <v/>
      </c>
      <c r="M132" s="5" t="n"/>
      <c r="N132" s="5" t="n"/>
      <c r="O132" s="5" t="n"/>
      <c r="P132" s="5" t="n"/>
      <c r="Q132" s="11" t="n"/>
      <c r="R132" s="11" t="n"/>
      <c r="S132" s="8">
        <f>IF(OR(B132="",Q132=""),"",IF(TODAY()&lt;Q132,"파견예정",IF(AND(R132&lt;&gt;"",TODAY()&gt;R132),"파견종료","파견중")))</f>
        <v/>
      </c>
      <c r="T132" s="12">
        <f>IF(OR(Q132="",R132=""),"",R132-Q132+1)</f>
        <v/>
      </c>
      <c r="U132" s="12">
        <f>IF(AND(S132="파견중",R132&lt;&gt;""),R132-TODAY(),"")</f>
        <v/>
      </c>
      <c r="V132" s="5" t="n"/>
      <c r="W132" s="8">
        <f>IF(B132="","",IFERROR(MATCH(B132,기본자료!$B$2:$B$501,0),IFERROR(MATCH(B132&amp;"",기본자료!$B$2:$B$501,0),IFERROR(MATCH(VALUE(B132),기본자료!$B$2:$B$501,0),""))))</f>
        <v/>
      </c>
    </row>
    <row r="133">
      <c r="A133" s="8">
        <f>IF(B133="","",ROW()-1)</f>
        <v/>
      </c>
      <c r="B133" s="9" t="n"/>
      <c r="C133" s="8">
        <f>IF($W133="","",IF(INDEX(기본자료!$C$2:$C$501,$W133)="","",INDEX(기본자료!$C$2:$C$501,$W133)))</f>
        <v/>
      </c>
      <c r="D133" s="8">
        <f>IF($W133="","",IF(INDEX(기본자료!$J$2:$J$501,$W133)="","",INDEX(기본자료!$J$2:$J$501,$W133)))</f>
        <v/>
      </c>
      <c r="E133" s="10">
        <f>IF($W133="","",IF(INDEX(기본자료!$K$2:$K$501,$W133)="","",IF(NOT(ISNUMBER(INDEX(기본자료!$K$2:$K$501,$W133))),INDEX(기본자료!$K$2:$K$501,$W133),IF(INDEX(기본자료!$K$2:$K$501,$W133)&lt;1000000,INDEX(기본자료!$K$2:$K$501,$W133),IF(AND(INDEX(기본자료!$K$2:$K$501,$W133)&gt;=10000101,INT(MOD(INDEX(기본자료!$K$2:$K$501,$W133),10000)/100)&gt;=1,INT(MOD(INDEX(기본자료!$K$2:$K$501,$W133),10000)/100)&lt;=12,MOD(INDEX(기본자료!$K$2:$K$501,$W133),100)&gt;=1,MOD(INDEX(기본자료!$K$2:$K$501,$W133),100)&lt;=31),DATE(INT(INDEX(기본자료!$K$2:$K$501,$W133)/10000),INT(MOD(INDEX(기본자료!$K$2:$K$501,$W133),10000)/100),MOD(INDEX(기본자료!$K$2:$K$501,$W133),100)),INDEX(기본자료!$K$2:$K$501,$W133)&amp;"")))))</f>
        <v/>
      </c>
      <c r="F133" s="8">
        <f>IF($W133="","",IF(INDEX(기본자료!$D$2:$D$501,$W133)="","",INDEX(기본자료!$D$2:$D$501,$W133)))</f>
        <v/>
      </c>
      <c r="G133" s="8">
        <f>IF($W133="","",IF(INDEX(기본자료!$E$2:$E$501,$W133)="","",INDEX(기본자료!$E$2:$E$501,$W133)))</f>
        <v/>
      </c>
      <c r="H133" s="8">
        <f>IF($W133="","",IF(INDEX(기본자료!$F$2:$F$501,$W133)="","",INDEX(기본자료!$F$2:$F$501,$W133)))</f>
        <v/>
      </c>
      <c r="I133" s="10">
        <f>IF($W133="","",IF(INDEX(기본자료!$G$2:$G$501,$W133)="","",IF(NOT(ISNUMBER(INDEX(기본자료!$G$2:$G$501,$W133))),INDEX(기본자료!$G$2:$G$501,$W133),IF(INDEX(기본자료!$G$2:$G$501,$W133)&lt;1000000,INDEX(기본자료!$G$2:$G$501,$W133),IF(AND(INDEX(기본자료!$G$2:$G$501,$W133)&gt;=10000101,INT(MOD(INDEX(기본자료!$G$2:$G$501,$W133),10000)/100)&gt;=1,INT(MOD(INDEX(기본자료!$G$2:$G$501,$W133),10000)/100)&lt;=12,MOD(INDEX(기본자료!$G$2:$G$501,$W133),100)&gt;=1,MOD(INDEX(기본자료!$G$2:$G$501,$W133),100)&lt;=31),DATE(INT(INDEX(기본자료!$G$2:$G$501,$W133)/10000),INT(MOD(INDEX(기본자료!$G$2:$G$501,$W133),10000)/100),MOD(INDEX(기본자료!$G$2:$G$501,$W133),100)),INDEX(기본자료!$G$2:$G$501,$W133)&amp;"")))))</f>
        <v/>
      </c>
      <c r="J133" s="8">
        <f>IF($W133="","",IF(INDEX(기본자료!$H$2:$H$501,$W133)="","",INDEX(기본자료!$H$2:$H$501,$W133)))</f>
        <v/>
      </c>
      <c r="K133" s="8">
        <f>IF($W133="","",IF(INDEX(기본자료!$I$2:$I$501,$W133)="","",INDEX(기본자료!$I$2:$I$501,$W133)))</f>
        <v/>
      </c>
      <c r="L133" s="8">
        <f>IF($W133="","",IF(INDEX(기본자료!$A$2:$A$501,$W133)="","",INDEX(기본자료!$A$2:$A$501,$W133)))</f>
        <v/>
      </c>
      <c r="M133" s="5" t="n"/>
      <c r="N133" s="5" t="n"/>
      <c r="O133" s="5" t="n"/>
      <c r="P133" s="5" t="n"/>
      <c r="Q133" s="11" t="n"/>
      <c r="R133" s="11" t="n"/>
      <c r="S133" s="8">
        <f>IF(OR(B133="",Q133=""),"",IF(TODAY()&lt;Q133,"파견예정",IF(AND(R133&lt;&gt;"",TODAY()&gt;R133),"파견종료","파견중")))</f>
        <v/>
      </c>
      <c r="T133" s="12">
        <f>IF(OR(Q133="",R133=""),"",R133-Q133+1)</f>
        <v/>
      </c>
      <c r="U133" s="12">
        <f>IF(AND(S133="파견중",R133&lt;&gt;""),R133-TODAY(),"")</f>
        <v/>
      </c>
      <c r="V133" s="5" t="n"/>
      <c r="W133" s="8">
        <f>IF(B133="","",IFERROR(MATCH(B133,기본자료!$B$2:$B$501,0),IFERROR(MATCH(B133&amp;"",기본자료!$B$2:$B$501,0),IFERROR(MATCH(VALUE(B133),기본자료!$B$2:$B$501,0),""))))</f>
        <v/>
      </c>
    </row>
    <row r="134">
      <c r="A134" s="8">
        <f>IF(B134="","",ROW()-1)</f>
        <v/>
      </c>
      <c r="B134" s="9" t="n"/>
      <c r="C134" s="8">
        <f>IF($W134="","",IF(INDEX(기본자료!$C$2:$C$501,$W134)="","",INDEX(기본자료!$C$2:$C$501,$W134)))</f>
        <v/>
      </c>
      <c r="D134" s="8">
        <f>IF($W134="","",IF(INDEX(기본자료!$J$2:$J$501,$W134)="","",INDEX(기본자료!$J$2:$J$501,$W134)))</f>
        <v/>
      </c>
      <c r="E134" s="10">
        <f>IF($W134="","",IF(INDEX(기본자료!$K$2:$K$501,$W134)="","",IF(NOT(ISNUMBER(INDEX(기본자료!$K$2:$K$501,$W134))),INDEX(기본자료!$K$2:$K$501,$W134),IF(INDEX(기본자료!$K$2:$K$501,$W134)&lt;1000000,INDEX(기본자료!$K$2:$K$501,$W134),IF(AND(INDEX(기본자료!$K$2:$K$501,$W134)&gt;=10000101,INT(MOD(INDEX(기본자료!$K$2:$K$501,$W134),10000)/100)&gt;=1,INT(MOD(INDEX(기본자료!$K$2:$K$501,$W134),10000)/100)&lt;=12,MOD(INDEX(기본자료!$K$2:$K$501,$W134),100)&gt;=1,MOD(INDEX(기본자료!$K$2:$K$501,$W134),100)&lt;=31),DATE(INT(INDEX(기본자료!$K$2:$K$501,$W134)/10000),INT(MOD(INDEX(기본자료!$K$2:$K$501,$W134),10000)/100),MOD(INDEX(기본자료!$K$2:$K$501,$W134),100)),INDEX(기본자료!$K$2:$K$501,$W134)&amp;"")))))</f>
        <v/>
      </c>
      <c r="F134" s="8">
        <f>IF($W134="","",IF(INDEX(기본자료!$D$2:$D$501,$W134)="","",INDEX(기본자료!$D$2:$D$501,$W134)))</f>
        <v/>
      </c>
      <c r="G134" s="8">
        <f>IF($W134="","",IF(INDEX(기본자료!$E$2:$E$501,$W134)="","",INDEX(기본자료!$E$2:$E$501,$W134)))</f>
        <v/>
      </c>
      <c r="H134" s="8">
        <f>IF($W134="","",IF(INDEX(기본자료!$F$2:$F$501,$W134)="","",INDEX(기본자료!$F$2:$F$501,$W134)))</f>
        <v/>
      </c>
      <c r="I134" s="10">
        <f>IF($W134="","",IF(INDEX(기본자료!$G$2:$G$501,$W134)="","",IF(NOT(ISNUMBER(INDEX(기본자료!$G$2:$G$501,$W134))),INDEX(기본자료!$G$2:$G$501,$W134),IF(INDEX(기본자료!$G$2:$G$501,$W134)&lt;1000000,INDEX(기본자료!$G$2:$G$501,$W134),IF(AND(INDEX(기본자료!$G$2:$G$501,$W134)&gt;=10000101,INT(MOD(INDEX(기본자료!$G$2:$G$501,$W134),10000)/100)&gt;=1,INT(MOD(INDEX(기본자료!$G$2:$G$501,$W134),10000)/100)&lt;=12,MOD(INDEX(기본자료!$G$2:$G$501,$W134),100)&gt;=1,MOD(INDEX(기본자료!$G$2:$G$501,$W134),100)&lt;=31),DATE(INT(INDEX(기본자료!$G$2:$G$501,$W134)/10000),INT(MOD(INDEX(기본자료!$G$2:$G$501,$W134),10000)/100),MOD(INDEX(기본자료!$G$2:$G$501,$W134),100)),INDEX(기본자료!$G$2:$G$501,$W134)&amp;"")))))</f>
        <v/>
      </c>
      <c r="J134" s="8">
        <f>IF($W134="","",IF(INDEX(기본자료!$H$2:$H$501,$W134)="","",INDEX(기본자료!$H$2:$H$501,$W134)))</f>
        <v/>
      </c>
      <c r="K134" s="8">
        <f>IF($W134="","",IF(INDEX(기본자료!$I$2:$I$501,$W134)="","",INDEX(기본자료!$I$2:$I$501,$W134)))</f>
        <v/>
      </c>
      <c r="L134" s="8">
        <f>IF($W134="","",IF(INDEX(기본자료!$A$2:$A$501,$W134)="","",INDEX(기본자료!$A$2:$A$501,$W134)))</f>
        <v/>
      </c>
      <c r="M134" s="5" t="n"/>
      <c r="N134" s="5" t="n"/>
      <c r="O134" s="5" t="n"/>
      <c r="P134" s="5" t="n"/>
      <c r="Q134" s="11" t="n"/>
      <c r="R134" s="11" t="n"/>
      <c r="S134" s="8">
        <f>IF(OR(B134="",Q134=""),"",IF(TODAY()&lt;Q134,"파견예정",IF(AND(R134&lt;&gt;"",TODAY()&gt;R134),"파견종료","파견중")))</f>
        <v/>
      </c>
      <c r="T134" s="12">
        <f>IF(OR(Q134="",R134=""),"",R134-Q134+1)</f>
        <v/>
      </c>
      <c r="U134" s="12">
        <f>IF(AND(S134="파견중",R134&lt;&gt;""),R134-TODAY(),"")</f>
        <v/>
      </c>
      <c r="V134" s="5" t="n"/>
      <c r="W134" s="8">
        <f>IF(B134="","",IFERROR(MATCH(B134,기본자료!$B$2:$B$501,0),IFERROR(MATCH(B134&amp;"",기본자료!$B$2:$B$501,0),IFERROR(MATCH(VALUE(B134),기본자료!$B$2:$B$501,0),""))))</f>
        <v/>
      </c>
    </row>
    <row r="135">
      <c r="A135" s="8">
        <f>IF(B135="","",ROW()-1)</f>
        <v/>
      </c>
      <c r="B135" s="9" t="n"/>
      <c r="C135" s="8">
        <f>IF($W135="","",IF(INDEX(기본자료!$C$2:$C$501,$W135)="","",INDEX(기본자료!$C$2:$C$501,$W135)))</f>
        <v/>
      </c>
      <c r="D135" s="8">
        <f>IF($W135="","",IF(INDEX(기본자료!$J$2:$J$501,$W135)="","",INDEX(기본자료!$J$2:$J$501,$W135)))</f>
        <v/>
      </c>
      <c r="E135" s="10">
        <f>IF($W135="","",IF(INDEX(기본자료!$K$2:$K$501,$W135)="","",IF(NOT(ISNUMBER(INDEX(기본자료!$K$2:$K$501,$W135))),INDEX(기본자료!$K$2:$K$501,$W135),IF(INDEX(기본자료!$K$2:$K$501,$W135)&lt;1000000,INDEX(기본자료!$K$2:$K$501,$W135),IF(AND(INDEX(기본자료!$K$2:$K$501,$W135)&gt;=10000101,INT(MOD(INDEX(기본자료!$K$2:$K$501,$W135),10000)/100)&gt;=1,INT(MOD(INDEX(기본자료!$K$2:$K$501,$W135),10000)/100)&lt;=12,MOD(INDEX(기본자료!$K$2:$K$501,$W135),100)&gt;=1,MOD(INDEX(기본자료!$K$2:$K$501,$W135),100)&lt;=31),DATE(INT(INDEX(기본자료!$K$2:$K$501,$W135)/10000),INT(MOD(INDEX(기본자료!$K$2:$K$501,$W135),10000)/100),MOD(INDEX(기본자료!$K$2:$K$501,$W135),100)),INDEX(기본자료!$K$2:$K$501,$W135)&amp;"")))))</f>
        <v/>
      </c>
      <c r="F135" s="8">
        <f>IF($W135="","",IF(INDEX(기본자료!$D$2:$D$501,$W135)="","",INDEX(기본자료!$D$2:$D$501,$W135)))</f>
        <v/>
      </c>
      <c r="G135" s="8">
        <f>IF($W135="","",IF(INDEX(기본자료!$E$2:$E$501,$W135)="","",INDEX(기본자료!$E$2:$E$501,$W135)))</f>
        <v/>
      </c>
      <c r="H135" s="8">
        <f>IF($W135="","",IF(INDEX(기본자료!$F$2:$F$501,$W135)="","",INDEX(기본자료!$F$2:$F$501,$W135)))</f>
        <v/>
      </c>
      <c r="I135" s="10">
        <f>IF($W135="","",IF(INDEX(기본자료!$G$2:$G$501,$W135)="","",IF(NOT(ISNUMBER(INDEX(기본자료!$G$2:$G$501,$W135))),INDEX(기본자료!$G$2:$G$501,$W135),IF(INDEX(기본자료!$G$2:$G$501,$W135)&lt;1000000,INDEX(기본자료!$G$2:$G$501,$W135),IF(AND(INDEX(기본자료!$G$2:$G$501,$W135)&gt;=10000101,INT(MOD(INDEX(기본자료!$G$2:$G$501,$W135),10000)/100)&gt;=1,INT(MOD(INDEX(기본자료!$G$2:$G$501,$W135),10000)/100)&lt;=12,MOD(INDEX(기본자료!$G$2:$G$501,$W135),100)&gt;=1,MOD(INDEX(기본자료!$G$2:$G$501,$W135),100)&lt;=31),DATE(INT(INDEX(기본자료!$G$2:$G$501,$W135)/10000),INT(MOD(INDEX(기본자료!$G$2:$G$501,$W135),10000)/100),MOD(INDEX(기본자료!$G$2:$G$501,$W135),100)),INDEX(기본자료!$G$2:$G$501,$W135)&amp;"")))))</f>
        <v/>
      </c>
      <c r="J135" s="8">
        <f>IF($W135="","",IF(INDEX(기본자료!$H$2:$H$501,$W135)="","",INDEX(기본자료!$H$2:$H$501,$W135)))</f>
        <v/>
      </c>
      <c r="K135" s="8">
        <f>IF($W135="","",IF(INDEX(기본자료!$I$2:$I$501,$W135)="","",INDEX(기본자료!$I$2:$I$501,$W135)))</f>
        <v/>
      </c>
      <c r="L135" s="8">
        <f>IF($W135="","",IF(INDEX(기본자료!$A$2:$A$501,$W135)="","",INDEX(기본자료!$A$2:$A$501,$W135)))</f>
        <v/>
      </c>
      <c r="M135" s="5" t="n"/>
      <c r="N135" s="5" t="n"/>
      <c r="O135" s="5" t="n"/>
      <c r="P135" s="5" t="n"/>
      <c r="Q135" s="11" t="n"/>
      <c r="R135" s="11" t="n"/>
      <c r="S135" s="8">
        <f>IF(OR(B135="",Q135=""),"",IF(TODAY()&lt;Q135,"파견예정",IF(AND(R135&lt;&gt;"",TODAY()&gt;R135),"파견종료","파견중")))</f>
        <v/>
      </c>
      <c r="T135" s="12">
        <f>IF(OR(Q135="",R135=""),"",R135-Q135+1)</f>
        <v/>
      </c>
      <c r="U135" s="12">
        <f>IF(AND(S135="파견중",R135&lt;&gt;""),R135-TODAY(),"")</f>
        <v/>
      </c>
      <c r="V135" s="5" t="n"/>
      <c r="W135" s="8">
        <f>IF(B135="","",IFERROR(MATCH(B135,기본자료!$B$2:$B$501,0),IFERROR(MATCH(B135&amp;"",기본자료!$B$2:$B$501,0),IFERROR(MATCH(VALUE(B135),기본자료!$B$2:$B$501,0),""))))</f>
        <v/>
      </c>
    </row>
    <row r="136">
      <c r="A136" s="8">
        <f>IF(B136="","",ROW()-1)</f>
        <v/>
      </c>
      <c r="B136" s="9" t="n"/>
      <c r="C136" s="8">
        <f>IF($W136="","",IF(INDEX(기본자료!$C$2:$C$501,$W136)="","",INDEX(기본자료!$C$2:$C$501,$W136)))</f>
        <v/>
      </c>
      <c r="D136" s="8">
        <f>IF($W136="","",IF(INDEX(기본자료!$J$2:$J$501,$W136)="","",INDEX(기본자료!$J$2:$J$501,$W136)))</f>
        <v/>
      </c>
      <c r="E136" s="10">
        <f>IF($W136="","",IF(INDEX(기본자료!$K$2:$K$501,$W136)="","",IF(NOT(ISNUMBER(INDEX(기본자료!$K$2:$K$501,$W136))),INDEX(기본자료!$K$2:$K$501,$W136),IF(INDEX(기본자료!$K$2:$K$501,$W136)&lt;1000000,INDEX(기본자료!$K$2:$K$501,$W136),IF(AND(INDEX(기본자료!$K$2:$K$501,$W136)&gt;=10000101,INT(MOD(INDEX(기본자료!$K$2:$K$501,$W136),10000)/100)&gt;=1,INT(MOD(INDEX(기본자료!$K$2:$K$501,$W136),10000)/100)&lt;=12,MOD(INDEX(기본자료!$K$2:$K$501,$W136),100)&gt;=1,MOD(INDEX(기본자료!$K$2:$K$501,$W136),100)&lt;=31),DATE(INT(INDEX(기본자료!$K$2:$K$501,$W136)/10000),INT(MOD(INDEX(기본자료!$K$2:$K$501,$W136),10000)/100),MOD(INDEX(기본자료!$K$2:$K$501,$W136),100)),INDEX(기본자료!$K$2:$K$501,$W136)&amp;"")))))</f>
        <v/>
      </c>
      <c r="F136" s="8">
        <f>IF($W136="","",IF(INDEX(기본자료!$D$2:$D$501,$W136)="","",INDEX(기본자료!$D$2:$D$501,$W136)))</f>
        <v/>
      </c>
      <c r="G136" s="8">
        <f>IF($W136="","",IF(INDEX(기본자료!$E$2:$E$501,$W136)="","",INDEX(기본자료!$E$2:$E$501,$W136)))</f>
        <v/>
      </c>
      <c r="H136" s="8">
        <f>IF($W136="","",IF(INDEX(기본자료!$F$2:$F$501,$W136)="","",INDEX(기본자료!$F$2:$F$501,$W136)))</f>
        <v/>
      </c>
      <c r="I136" s="10">
        <f>IF($W136="","",IF(INDEX(기본자료!$G$2:$G$501,$W136)="","",IF(NOT(ISNUMBER(INDEX(기본자료!$G$2:$G$501,$W136))),INDEX(기본자료!$G$2:$G$501,$W136),IF(INDEX(기본자료!$G$2:$G$501,$W136)&lt;1000000,INDEX(기본자료!$G$2:$G$501,$W136),IF(AND(INDEX(기본자료!$G$2:$G$501,$W136)&gt;=10000101,INT(MOD(INDEX(기본자료!$G$2:$G$501,$W136),10000)/100)&gt;=1,INT(MOD(INDEX(기본자료!$G$2:$G$501,$W136),10000)/100)&lt;=12,MOD(INDEX(기본자료!$G$2:$G$501,$W136),100)&gt;=1,MOD(INDEX(기본자료!$G$2:$G$501,$W136),100)&lt;=31),DATE(INT(INDEX(기본자료!$G$2:$G$501,$W136)/10000),INT(MOD(INDEX(기본자료!$G$2:$G$501,$W136),10000)/100),MOD(INDEX(기본자료!$G$2:$G$501,$W136),100)),INDEX(기본자료!$G$2:$G$501,$W136)&amp;"")))))</f>
        <v/>
      </c>
      <c r="J136" s="8">
        <f>IF($W136="","",IF(INDEX(기본자료!$H$2:$H$501,$W136)="","",INDEX(기본자료!$H$2:$H$501,$W136)))</f>
        <v/>
      </c>
      <c r="K136" s="8">
        <f>IF($W136="","",IF(INDEX(기본자료!$I$2:$I$501,$W136)="","",INDEX(기본자료!$I$2:$I$501,$W136)))</f>
        <v/>
      </c>
      <c r="L136" s="8">
        <f>IF($W136="","",IF(INDEX(기본자료!$A$2:$A$501,$W136)="","",INDEX(기본자료!$A$2:$A$501,$W136)))</f>
        <v/>
      </c>
      <c r="M136" s="5" t="n"/>
      <c r="N136" s="5" t="n"/>
      <c r="O136" s="5" t="n"/>
      <c r="P136" s="5" t="n"/>
      <c r="Q136" s="11" t="n"/>
      <c r="R136" s="11" t="n"/>
      <c r="S136" s="8">
        <f>IF(OR(B136="",Q136=""),"",IF(TODAY()&lt;Q136,"파견예정",IF(AND(R136&lt;&gt;"",TODAY()&gt;R136),"파견종료","파견중")))</f>
        <v/>
      </c>
      <c r="T136" s="12">
        <f>IF(OR(Q136="",R136=""),"",R136-Q136+1)</f>
        <v/>
      </c>
      <c r="U136" s="12">
        <f>IF(AND(S136="파견중",R136&lt;&gt;""),R136-TODAY(),"")</f>
        <v/>
      </c>
      <c r="V136" s="5" t="n"/>
      <c r="W136" s="8">
        <f>IF(B136="","",IFERROR(MATCH(B136,기본자료!$B$2:$B$501,0),IFERROR(MATCH(B136&amp;"",기본자료!$B$2:$B$501,0),IFERROR(MATCH(VALUE(B136),기본자료!$B$2:$B$501,0),""))))</f>
        <v/>
      </c>
    </row>
    <row r="137">
      <c r="A137" s="8">
        <f>IF(B137="","",ROW()-1)</f>
        <v/>
      </c>
      <c r="B137" s="9" t="n"/>
      <c r="C137" s="8">
        <f>IF($W137="","",IF(INDEX(기본자료!$C$2:$C$501,$W137)="","",INDEX(기본자료!$C$2:$C$501,$W137)))</f>
        <v/>
      </c>
      <c r="D137" s="8">
        <f>IF($W137="","",IF(INDEX(기본자료!$J$2:$J$501,$W137)="","",INDEX(기본자료!$J$2:$J$501,$W137)))</f>
        <v/>
      </c>
      <c r="E137" s="10">
        <f>IF($W137="","",IF(INDEX(기본자료!$K$2:$K$501,$W137)="","",IF(NOT(ISNUMBER(INDEX(기본자료!$K$2:$K$501,$W137))),INDEX(기본자료!$K$2:$K$501,$W137),IF(INDEX(기본자료!$K$2:$K$501,$W137)&lt;1000000,INDEX(기본자료!$K$2:$K$501,$W137),IF(AND(INDEX(기본자료!$K$2:$K$501,$W137)&gt;=10000101,INT(MOD(INDEX(기본자료!$K$2:$K$501,$W137),10000)/100)&gt;=1,INT(MOD(INDEX(기본자료!$K$2:$K$501,$W137),10000)/100)&lt;=12,MOD(INDEX(기본자료!$K$2:$K$501,$W137),100)&gt;=1,MOD(INDEX(기본자료!$K$2:$K$501,$W137),100)&lt;=31),DATE(INT(INDEX(기본자료!$K$2:$K$501,$W137)/10000),INT(MOD(INDEX(기본자료!$K$2:$K$501,$W137),10000)/100),MOD(INDEX(기본자료!$K$2:$K$501,$W137),100)),INDEX(기본자료!$K$2:$K$501,$W137)&amp;"")))))</f>
        <v/>
      </c>
      <c r="F137" s="8">
        <f>IF($W137="","",IF(INDEX(기본자료!$D$2:$D$501,$W137)="","",INDEX(기본자료!$D$2:$D$501,$W137)))</f>
        <v/>
      </c>
      <c r="G137" s="8">
        <f>IF($W137="","",IF(INDEX(기본자료!$E$2:$E$501,$W137)="","",INDEX(기본자료!$E$2:$E$501,$W137)))</f>
        <v/>
      </c>
      <c r="H137" s="8">
        <f>IF($W137="","",IF(INDEX(기본자료!$F$2:$F$501,$W137)="","",INDEX(기본자료!$F$2:$F$501,$W137)))</f>
        <v/>
      </c>
      <c r="I137" s="10">
        <f>IF($W137="","",IF(INDEX(기본자료!$G$2:$G$501,$W137)="","",IF(NOT(ISNUMBER(INDEX(기본자료!$G$2:$G$501,$W137))),INDEX(기본자료!$G$2:$G$501,$W137),IF(INDEX(기본자료!$G$2:$G$501,$W137)&lt;1000000,INDEX(기본자료!$G$2:$G$501,$W137),IF(AND(INDEX(기본자료!$G$2:$G$501,$W137)&gt;=10000101,INT(MOD(INDEX(기본자료!$G$2:$G$501,$W137),10000)/100)&gt;=1,INT(MOD(INDEX(기본자료!$G$2:$G$501,$W137),10000)/100)&lt;=12,MOD(INDEX(기본자료!$G$2:$G$501,$W137),100)&gt;=1,MOD(INDEX(기본자료!$G$2:$G$501,$W137),100)&lt;=31),DATE(INT(INDEX(기본자료!$G$2:$G$501,$W137)/10000),INT(MOD(INDEX(기본자료!$G$2:$G$501,$W137),10000)/100),MOD(INDEX(기본자료!$G$2:$G$501,$W137),100)),INDEX(기본자료!$G$2:$G$501,$W137)&amp;"")))))</f>
        <v/>
      </c>
      <c r="J137" s="8">
        <f>IF($W137="","",IF(INDEX(기본자료!$H$2:$H$501,$W137)="","",INDEX(기본자료!$H$2:$H$501,$W137)))</f>
        <v/>
      </c>
      <c r="K137" s="8">
        <f>IF($W137="","",IF(INDEX(기본자료!$I$2:$I$501,$W137)="","",INDEX(기본자료!$I$2:$I$501,$W137)))</f>
        <v/>
      </c>
      <c r="L137" s="8">
        <f>IF($W137="","",IF(INDEX(기본자료!$A$2:$A$501,$W137)="","",INDEX(기본자료!$A$2:$A$501,$W137)))</f>
        <v/>
      </c>
      <c r="M137" s="5" t="n"/>
      <c r="N137" s="5" t="n"/>
      <c r="O137" s="5" t="n"/>
      <c r="P137" s="5" t="n"/>
      <c r="Q137" s="11" t="n"/>
      <c r="R137" s="11" t="n"/>
      <c r="S137" s="8">
        <f>IF(OR(B137="",Q137=""),"",IF(TODAY()&lt;Q137,"파견예정",IF(AND(R137&lt;&gt;"",TODAY()&gt;R137),"파견종료","파견중")))</f>
        <v/>
      </c>
      <c r="T137" s="12">
        <f>IF(OR(Q137="",R137=""),"",R137-Q137+1)</f>
        <v/>
      </c>
      <c r="U137" s="12">
        <f>IF(AND(S137="파견중",R137&lt;&gt;""),R137-TODAY(),"")</f>
        <v/>
      </c>
      <c r="V137" s="5" t="n"/>
      <c r="W137" s="8">
        <f>IF(B137="","",IFERROR(MATCH(B137,기본자료!$B$2:$B$501,0),IFERROR(MATCH(B137&amp;"",기본자료!$B$2:$B$501,0),IFERROR(MATCH(VALUE(B137),기본자료!$B$2:$B$501,0),""))))</f>
        <v/>
      </c>
    </row>
    <row r="138">
      <c r="A138" s="8">
        <f>IF(B138="","",ROW()-1)</f>
        <v/>
      </c>
      <c r="B138" s="9" t="n"/>
      <c r="C138" s="8">
        <f>IF($W138="","",IF(INDEX(기본자료!$C$2:$C$501,$W138)="","",INDEX(기본자료!$C$2:$C$501,$W138)))</f>
        <v/>
      </c>
      <c r="D138" s="8">
        <f>IF($W138="","",IF(INDEX(기본자료!$J$2:$J$501,$W138)="","",INDEX(기본자료!$J$2:$J$501,$W138)))</f>
        <v/>
      </c>
      <c r="E138" s="10">
        <f>IF($W138="","",IF(INDEX(기본자료!$K$2:$K$501,$W138)="","",IF(NOT(ISNUMBER(INDEX(기본자료!$K$2:$K$501,$W138))),INDEX(기본자료!$K$2:$K$501,$W138),IF(INDEX(기본자료!$K$2:$K$501,$W138)&lt;1000000,INDEX(기본자료!$K$2:$K$501,$W138),IF(AND(INDEX(기본자료!$K$2:$K$501,$W138)&gt;=10000101,INT(MOD(INDEX(기본자료!$K$2:$K$501,$W138),10000)/100)&gt;=1,INT(MOD(INDEX(기본자료!$K$2:$K$501,$W138),10000)/100)&lt;=12,MOD(INDEX(기본자료!$K$2:$K$501,$W138),100)&gt;=1,MOD(INDEX(기본자료!$K$2:$K$501,$W138),100)&lt;=31),DATE(INT(INDEX(기본자료!$K$2:$K$501,$W138)/10000),INT(MOD(INDEX(기본자료!$K$2:$K$501,$W138),10000)/100),MOD(INDEX(기본자료!$K$2:$K$501,$W138),100)),INDEX(기본자료!$K$2:$K$501,$W138)&amp;"")))))</f>
        <v/>
      </c>
      <c r="F138" s="8">
        <f>IF($W138="","",IF(INDEX(기본자료!$D$2:$D$501,$W138)="","",INDEX(기본자료!$D$2:$D$501,$W138)))</f>
        <v/>
      </c>
      <c r="G138" s="8">
        <f>IF($W138="","",IF(INDEX(기본자료!$E$2:$E$501,$W138)="","",INDEX(기본자료!$E$2:$E$501,$W138)))</f>
        <v/>
      </c>
      <c r="H138" s="8">
        <f>IF($W138="","",IF(INDEX(기본자료!$F$2:$F$501,$W138)="","",INDEX(기본자료!$F$2:$F$501,$W138)))</f>
        <v/>
      </c>
      <c r="I138" s="10">
        <f>IF($W138="","",IF(INDEX(기본자료!$G$2:$G$501,$W138)="","",IF(NOT(ISNUMBER(INDEX(기본자료!$G$2:$G$501,$W138))),INDEX(기본자료!$G$2:$G$501,$W138),IF(INDEX(기본자료!$G$2:$G$501,$W138)&lt;1000000,INDEX(기본자료!$G$2:$G$501,$W138),IF(AND(INDEX(기본자료!$G$2:$G$501,$W138)&gt;=10000101,INT(MOD(INDEX(기본자료!$G$2:$G$501,$W138),10000)/100)&gt;=1,INT(MOD(INDEX(기본자료!$G$2:$G$501,$W138),10000)/100)&lt;=12,MOD(INDEX(기본자료!$G$2:$G$501,$W138),100)&gt;=1,MOD(INDEX(기본자료!$G$2:$G$501,$W138),100)&lt;=31),DATE(INT(INDEX(기본자료!$G$2:$G$501,$W138)/10000),INT(MOD(INDEX(기본자료!$G$2:$G$501,$W138),10000)/100),MOD(INDEX(기본자료!$G$2:$G$501,$W138),100)),INDEX(기본자료!$G$2:$G$501,$W138)&amp;"")))))</f>
        <v/>
      </c>
      <c r="J138" s="8">
        <f>IF($W138="","",IF(INDEX(기본자료!$H$2:$H$501,$W138)="","",INDEX(기본자료!$H$2:$H$501,$W138)))</f>
        <v/>
      </c>
      <c r="K138" s="8">
        <f>IF($W138="","",IF(INDEX(기본자료!$I$2:$I$501,$W138)="","",INDEX(기본자료!$I$2:$I$501,$W138)))</f>
        <v/>
      </c>
      <c r="L138" s="8">
        <f>IF($W138="","",IF(INDEX(기본자료!$A$2:$A$501,$W138)="","",INDEX(기본자료!$A$2:$A$501,$W138)))</f>
        <v/>
      </c>
      <c r="M138" s="5" t="n"/>
      <c r="N138" s="5" t="n"/>
      <c r="O138" s="5" t="n"/>
      <c r="P138" s="5" t="n"/>
      <c r="Q138" s="11" t="n"/>
      <c r="R138" s="11" t="n"/>
      <c r="S138" s="8">
        <f>IF(OR(B138="",Q138=""),"",IF(TODAY()&lt;Q138,"파견예정",IF(AND(R138&lt;&gt;"",TODAY()&gt;R138),"파견종료","파견중")))</f>
        <v/>
      </c>
      <c r="T138" s="12">
        <f>IF(OR(Q138="",R138=""),"",R138-Q138+1)</f>
        <v/>
      </c>
      <c r="U138" s="12">
        <f>IF(AND(S138="파견중",R138&lt;&gt;""),R138-TODAY(),"")</f>
        <v/>
      </c>
      <c r="V138" s="5" t="n"/>
      <c r="W138" s="8">
        <f>IF(B138="","",IFERROR(MATCH(B138,기본자료!$B$2:$B$501,0),IFERROR(MATCH(B138&amp;"",기본자료!$B$2:$B$501,0),IFERROR(MATCH(VALUE(B138),기본자료!$B$2:$B$501,0),""))))</f>
        <v/>
      </c>
    </row>
    <row r="139">
      <c r="A139" s="8">
        <f>IF(B139="","",ROW()-1)</f>
        <v/>
      </c>
      <c r="B139" s="9" t="n"/>
      <c r="C139" s="8">
        <f>IF($W139="","",IF(INDEX(기본자료!$C$2:$C$501,$W139)="","",INDEX(기본자료!$C$2:$C$501,$W139)))</f>
        <v/>
      </c>
      <c r="D139" s="8">
        <f>IF($W139="","",IF(INDEX(기본자료!$J$2:$J$501,$W139)="","",INDEX(기본자료!$J$2:$J$501,$W139)))</f>
        <v/>
      </c>
      <c r="E139" s="10">
        <f>IF($W139="","",IF(INDEX(기본자료!$K$2:$K$501,$W139)="","",IF(NOT(ISNUMBER(INDEX(기본자료!$K$2:$K$501,$W139))),INDEX(기본자료!$K$2:$K$501,$W139),IF(INDEX(기본자료!$K$2:$K$501,$W139)&lt;1000000,INDEX(기본자료!$K$2:$K$501,$W139),IF(AND(INDEX(기본자료!$K$2:$K$501,$W139)&gt;=10000101,INT(MOD(INDEX(기본자료!$K$2:$K$501,$W139),10000)/100)&gt;=1,INT(MOD(INDEX(기본자료!$K$2:$K$501,$W139),10000)/100)&lt;=12,MOD(INDEX(기본자료!$K$2:$K$501,$W139),100)&gt;=1,MOD(INDEX(기본자료!$K$2:$K$501,$W139),100)&lt;=31),DATE(INT(INDEX(기본자료!$K$2:$K$501,$W139)/10000),INT(MOD(INDEX(기본자료!$K$2:$K$501,$W139),10000)/100),MOD(INDEX(기본자료!$K$2:$K$501,$W139),100)),INDEX(기본자료!$K$2:$K$501,$W139)&amp;"")))))</f>
        <v/>
      </c>
      <c r="F139" s="8">
        <f>IF($W139="","",IF(INDEX(기본자료!$D$2:$D$501,$W139)="","",INDEX(기본자료!$D$2:$D$501,$W139)))</f>
        <v/>
      </c>
      <c r="G139" s="8">
        <f>IF($W139="","",IF(INDEX(기본자료!$E$2:$E$501,$W139)="","",INDEX(기본자료!$E$2:$E$501,$W139)))</f>
        <v/>
      </c>
      <c r="H139" s="8">
        <f>IF($W139="","",IF(INDEX(기본자료!$F$2:$F$501,$W139)="","",INDEX(기본자료!$F$2:$F$501,$W139)))</f>
        <v/>
      </c>
      <c r="I139" s="10">
        <f>IF($W139="","",IF(INDEX(기본자료!$G$2:$G$501,$W139)="","",IF(NOT(ISNUMBER(INDEX(기본자료!$G$2:$G$501,$W139))),INDEX(기본자료!$G$2:$G$501,$W139),IF(INDEX(기본자료!$G$2:$G$501,$W139)&lt;1000000,INDEX(기본자료!$G$2:$G$501,$W139),IF(AND(INDEX(기본자료!$G$2:$G$501,$W139)&gt;=10000101,INT(MOD(INDEX(기본자료!$G$2:$G$501,$W139),10000)/100)&gt;=1,INT(MOD(INDEX(기본자료!$G$2:$G$501,$W139),10000)/100)&lt;=12,MOD(INDEX(기본자료!$G$2:$G$501,$W139),100)&gt;=1,MOD(INDEX(기본자료!$G$2:$G$501,$W139),100)&lt;=31),DATE(INT(INDEX(기본자료!$G$2:$G$501,$W139)/10000),INT(MOD(INDEX(기본자료!$G$2:$G$501,$W139),10000)/100),MOD(INDEX(기본자료!$G$2:$G$501,$W139),100)),INDEX(기본자료!$G$2:$G$501,$W139)&amp;"")))))</f>
        <v/>
      </c>
      <c r="J139" s="8">
        <f>IF($W139="","",IF(INDEX(기본자료!$H$2:$H$501,$W139)="","",INDEX(기본자료!$H$2:$H$501,$W139)))</f>
        <v/>
      </c>
      <c r="K139" s="8">
        <f>IF($W139="","",IF(INDEX(기본자료!$I$2:$I$501,$W139)="","",INDEX(기본자료!$I$2:$I$501,$W139)))</f>
        <v/>
      </c>
      <c r="L139" s="8">
        <f>IF($W139="","",IF(INDEX(기본자료!$A$2:$A$501,$W139)="","",INDEX(기본자료!$A$2:$A$501,$W139)))</f>
        <v/>
      </c>
      <c r="M139" s="5" t="n"/>
      <c r="N139" s="5" t="n"/>
      <c r="O139" s="5" t="n"/>
      <c r="P139" s="5" t="n"/>
      <c r="Q139" s="11" t="n"/>
      <c r="R139" s="11" t="n"/>
      <c r="S139" s="8">
        <f>IF(OR(B139="",Q139=""),"",IF(TODAY()&lt;Q139,"파견예정",IF(AND(R139&lt;&gt;"",TODAY()&gt;R139),"파견종료","파견중")))</f>
        <v/>
      </c>
      <c r="T139" s="12">
        <f>IF(OR(Q139="",R139=""),"",R139-Q139+1)</f>
        <v/>
      </c>
      <c r="U139" s="12">
        <f>IF(AND(S139="파견중",R139&lt;&gt;""),R139-TODAY(),"")</f>
        <v/>
      </c>
      <c r="V139" s="5" t="n"/>
      <c r="W139" s="8">
        <f>IF(B139="","",IFERROR(MATCH(B139,기본자료!$B$2:$B$501,0),IFERROR(MATCH(B139&amp;"",기본자료!$B$2:$B$501,0),IFERROR(MATCH(VALUE(B139),기본자료!$B$2:$B$501,0),""))))</f>
        <v/>
      </c>
    </row>
    <row r="140">
      <c r="A140" s="8">
        <f>IF(B140="","",ROW()-1)</f>
        <v/>
      </c>
      <c r="B140" s="9" t="n"/>
      <c r="C140" s="8">
        <f>IF($W140="","",IF(INDEX(기본자료!$C$2:$C$501,$W140)="","",INDEX(기본자료!$C$2:$C$501,$W140)))</f>
        <v/>
      </c>
      <c r="D140" s="8">
        <f>IF($W140="","",IF(INDEX(기본자료!$J$2:$J$501,$W140)="","",INDEX(기본자료!$J$2:$J$501,$W140)))</f>
        <v/>
      </c>
      <c r="E140" s="10">
        <f>IF($W140="","",IF(INDEX(기본자료!$K$2:$K$501,$W140)="","",IF(NOT(ISNUMBER(INDEX(기본자료!$K$2:$K$501,$W140))),INDEX(기본자료!$K$2:$K$501,$W140),IF(INDEX(기본자료!$K$2:$K$501,$W140)&lt;1000000,INDEX(기본자료!$K$2:$K$501,$W140),IF(AND(INDEX(기본자료!$K$2:$K$501,$W140)&gt;=10000101,INT(MOD(INDEX(기본자료!$K$2:$K$501,$W140),10000)/100)&gt;=1,INT(MOD(INDEX(기본자료!$K$2:$K$501,$W140),10000)/100)&lt;=12,MOD(INDEX(기본자료!$K$2:$K$501,$W140),100)&gt;=1,MOD(INDEX(기본자료!$K$2:$K$501,$W140),100)&lt;=31),DATE(INT(INDEX(기본자료!$K$2:$K$501,$W140)/10000),INT(MOD(INDEX(기본자료!$K$2:$K$501,$W140),10000)/100),MOD(INDEX(기본자료!$K$2:$K$501,$W140),100)),INDEX(기본자료!$K$2:$K$501,$W140)&amp;"")))))</f>
        <v/>
      </c>
      <c r="F140" s="8">
        <f>IF($W140="","",IF(INDEX(기본자료!$D$2:$D$501,$W140)="","",INDEX(기본자료!$D$2:$D$501,$W140)))</f>
        <v/>
      </c>
      <c r="G140" s="8">
        <f>IF($W140="","",IF(INDEX(기본자료!$E$2:$E$501,$W140)="","",INDEX(기본자료!$E$2:$E$501,$W140)))</f>
        <v/>
      </c>
      <c r="H140" s="8">
        <f>IF($W140="","",IF(INDEX(기본자료!$F$2:$F$501,$W140)="","",INDEX(기본자료!$F$2:$F$501,$W140)))</f>
        <v/>
      </c>
      <c r="I140" s="10">
        <f>IF($W140="","",IF(INDEX(기본자료!$G$2:$G$501,$W140)="","",IF(NOT(ISNUMBER(INDEX(기본자료!$G$2:$G$501,$W140))),INDEX(기본자료!$G$2:$G$501,$W140),IF(INDEX(기본자료!$G$2:$G$501,$W140)&lt;1000000,INDEX(기본자료!$G$2:$G$501,$W140),IF(AND(INDEX(기본자료!$G$2:$G$501,$W140)&gt;=10000101,INT(MOD(INDEX(기본자료!$G$2:$G$501,$W140),10000)/100)&gt;=1,INT(MOD(INDEX(기본자료!$G$2:$G$501,$W140),10000)/100)&lt;=12,MOD(INDEX(기본자료!$G$2:$G$501,$W140),100)&gt;=1,MOD(INDEX(기본자료!$G$2:$G$501,$W140),100)&lt;=31),DATE(INT(INDEX(기본자료!$G$2:$G$501,$W140)/10000),INT(MOD(INDEX(기본자료!$G$2:$G$501,$W140),10000)/100),MOD(INDEX(기본자료!$G$2:$G$501,$W140),100)),INDEX(기본자료!$G$2:$G$501,$W140)&amp;"")))))</f>
        <v/>
      </c>
      <c r="J140" s="8">
        <f>IF($W140="","",IF(INDEX(기본자료!$H$2:$H$501,$W140)="","",INDEX(기본자료!$H$2:$H$501,$W140)))</f>
        <v/>
      </c>
      <c r="K140" s="8">
        <f>IF($W140="","",IF(INDEX(기본자료!$I$2:$I$501,$W140)="","",INDEX(기본자료!$I$2:$I$501,$W140)))</f>
        <v/>
      </c>
      <c r="L140" s="8">
        <f>IF($W140="","",IF(INDEX(기본자료!$A$2:$A$501,$W140)="","",INDEX(기본자료!$A$2:$A$501,$W140)))</f>
        <v/>
      </c>
      <c r="M140" s="5" t="n"/>
      <c r="N140" s="5" t="n"/>
      <c r="O140" s="5" t="n"/>
      <c r="P140" s="5" t="n"/>
      <c r="Q140" s="11" t="n"/>
      <c r="R140" s="11" t="n"/>
      <c r="S140" s="8">
        <f>IF(OR(B140="",Q140=""),"",IF(TODAY()&lt;Q140,"파견예정",IF(AND(R140&lt;&gt;"",TODAY()&gt;R140),"파견종료","파견중")))</f>
        <v/>
      </c>
      <c r="T140" s="12">
        <f>IF(OR(Q140="",R140=""),"",R140-Q140+1)</f>
        <v/>
      </c>
      <c r="U140" s="12">
        <f>IF(AND(S140="파견중",R140&lt;&gt;""),R140-TODAY(),"")</f>
        <v/>
      </c>
      <c r="V140" s="5" t="n"/>
      <c r="W140" s="8">
        <f>IF(B140="","",IFERROR(MATCH(B140,기본자료!$B$2:$B$501,0),IFERROR(MATCH(B140&amp;"",기본자료!$B$2:$B$501,0),IFERROR(MATCH(VALUE(B140),기본자료!$B$2:$B$501,0),""))))</f>
        <v/>
      </c>
    </row>
    <row r="141">
      <c r="A141" s="8">
        <f>IF(B141="","",ROW()-1)</f>
        <v/>
      </c>
      <c r="B141" s="9" t="n"/>
      <c r="C141" s="8">
        <f>IF($W141="","",IF(INDEX(기본자료!$C$2:$C$501,$W141)="","",INDEX(기본자료!$C$2:$C$501,$W141)))</f>
        <v/>
      </c>
      <c r="D141" s="8">
        <f>IF($W141="","",IF(INDEX(기본자료!$J$2:$J$501,$W141)="","",INDEX(기본자료!$J$2:$J$501,$W141)))</f>
        <v/>
      </c>
      <c r="E141" s="10">
        <f>IF($W141="","",IF(INDEX(기본자료!$K$2:$K$501,$W141)="","",IF(NOT(ISNUMBER(INDEX(기본자료!$K$2:$K$501,$W141))),INDEX(기본자료!$K$2:$K$501,$W141),IF(INDEX(기본자료!$K$2:$K$501,$W141)&lt;1000000,INDEX(기본자료!$K$2:$K$501,$W141),IF(AND(INDEX(기본자료!$K$2:$K$501,$W141)&gt;=10000101,INT(MOD(INDEX(기본자료!$K$2:$K$501,$W141),10000)/100)&gt;=1,INT(MOD(INDEX(기본자료!$K$2:$K$501,$W141),10000)/100)&lt;=12,MOD(INDEX(기본자료!$K$2:$K$501,$W141),100)&gt;=1,MOD(INDEX(기본자료!$K$2:$K$501,$W141),100)&lt;=31),DATE(INT(INDEX(기본자료!$K$2:$K$501,$W141)/10000),INT(MOD(INDEX(기본자료!$K$2:$K$501,$W141),10000)/100),MOD(INDEX(기본자료!$K$2:$K$501,$W141),100)),INDEX(기본자료!$K$2:$K$501,$W141)&amp;"")))))</f>
        <v/>
      </c>
      <c r="F141" s="8">
        <f>IF($W141="","",IF(INDEX(기본자료!$D$2:$D$501,$W141)="","",INDEX(기본자료!$D$2:$D$501,$W141)))</f>
        <v/>
      </c>
      <c r="G141" s="8">
        <f>IF($W141="","",IF(INDEX(기본자료!$E$2:$E$501,$W141)="","",INDEX(기본자료!$E$2:$E$501,$W141)))</f>
        <v/>
      </c>
      <c r="H141" s="8">
        <f>IF($W141="","",IF(INDEX(기본자료!$F$2:$F$501,$W141)="","",INDEX(기본자료!$F$2:$F$501,$W141)))</f>
        <v/>
      </c>
      <c r="I141" s="10">
        <f>IF($W141="","",IF(INDEX(기본자료!$G$2:$G$501,$W141)="","",IF(NOT(ISNUMBER(INDEX(기본자료!$G$2:$G$501,$W141))),INDEX(기본자료!$G$2:$G$501,$W141),IF(INDEX(기본자료!$G$2:$G$501,$W141)&lt;1000000,INDEX(기본자료!$G$2:$G$501,$W141),IF(AND(INDEX(기본자료!$G$2:$G$501,$W141)&gt;=10000101,INT(MOD(INDEX(기본자료!$G$2:$G$501,$W141),10000)/100)&gt;=1,INT(MOD(INDEX(기본자료!$G$2:$G$501,$W141),10000)/100)&lt;=12,MOD(INDEX(기본자료!$G$2:$G$501,$W141),100)&gt;=1,MOD(INDEX(기본자료!$G$2:$G$501,$W141),100)&lt;=31),DATE(INT(INDEX(기본자료!$G$2:$G$501,$W141)/10000),INT(MOD(INDEX(기본자료!$G$2:$G$501,$W141),10000)/100),MOD(INDEX(기본자료!$G$2:$G$501,$W141),100)),INDEX(기본자료!$G$2:$G$501,$W141)&amp;"")))))</f>
        <v/>
      </c>
      <c r="J141" s="8">
        <f>IF($W141="","",IF(INDEX(기본자료!$H$2:$H$501,$W141)="","",INDEX(기본자료!$H$2:$H$501,$W141)))</f>
        <v/>
      </c>
      <c r="K141" s="8">
        <f>IF($W141="","",IF(INDEX(기본자료!$I$2:$I$501,$W141)="","",INDEX(기본자료!$I$2:$I$501,$W141)))</f>
        <v/>
      </c>
      <c r="L141" s="8">
        <f>IF($W141="","",IF(INDEX(기본자료!$A$2:$A$501,$W141)="","",INDEX(기본자료!$A$2:$A$501,$W141)))</f>
        <v/>
      </c>
      <c r="M141" s="5" t="n"/>
      <c r="N141" s="5" t="n"/>
      <c r="O141" s="5" t="n"/>
      <c r="P141" s="5" t="n"/>
      <c r="Q141" s="11" t="n"/>
      <c r="R141" s="11" t="n"/>
      <c r="S141" s="8">
        <f>IF(OR(B141="",Q141=""),"",IF(TODAY()&lt;Q141,"파견예정",IF(AND(R141&lt;&gt;"",TODAY()&gt;R141),"파견종료","파견중")))</f>
        <v/>
      </c>
      <c r="T141" s="12">
        <f>IF(OR(Q141="",R141=""),"",R141-Q141+1)</f>
        <v/>
      </c>
      <c r="U141" s="12">
        <f>IF(AND(S141="파견중",R141&lt;&gt;""),R141-TODAY(),"")</f>
        <v/>
      </c>
      <c r="V141" s="5" t="n"/>
      <c r="W141" s="8">
        <f>IF(B141="","",IFERROR(MATCH(B141,기본자료!$B$2:$B$501,0),IFERROR(MATCH(B141&amp;"",기본자료!$B$2:$B$501,0),IFERROR(MATCH(VALUE(B141),기본자료!$B$2:$B$501,0),""))))</f>
        <v/>
      </c>
    </row>
    <row r="142">
      <c r="A142" s="8">
        <f>IF(B142="","",ROW()-1)</f>
        <v/>
      </c>
      <c r="B142" s="9" t="n"/>
      <c r="C142" s="8">
        <f>IF($W142="","",IF(INDEX(기본자료!$C$2:$C$501,$W142)="","",INDEX(기본자료!$C$2:$C$501,$W142)))</f>
        <v/>
      </c>
      <c r="D142" s="8">
        <f>IF($W142="","",IF(INDEX(기본자료!$J$2:$J$501,$W142)="","",INDEX(기본자료!$J$2:$J$501,$W142)))</f>
        <v/>
      </c>
      <c r="E142" s="10">
        <f>IF($W142="","",IF(INDEX(기본자료!$K$2:$K$501,$W142)="","",IF(NOT(ISNUMBER(INDEX(기본자료!$K$2:$K$501,$W142))),INDEX(기본자료!$K$2:$K$501,$W142),IF(INDEX(기본자료!$K$2:$K$501,$W142)&lt;1000000,INDEX(기본자료!$K$2:$K$501,$W142),IF(AND(INDEX(기본자료!$K$2:$K$501,$W142)&gt;=10000101,INT(MOD(INDEX(기본자료!$K$2:$K$501,$W142),10000)/100)&gt;=1,INT(MOD(INDEX(기본자료!$K$2:$K$501,$W142),10000)/100)&lt;=12,MOD(INDEX(기본자료!$K$2:$K$501,$W142),100)&gt;=1,MOD(INDEX(기본자료!$K$2:$K$501,$W142),100)&lt;=31),DATE(INT(INDEX(기본자료!$K$2:$K$501,$W142)/10000),INT(MOD(INDEX(기본자료!$K$2:$K$501,$W142),10000)/100),MOD(INDEX(기본자료!$K$2:$K$501,$W142),100)),INDEX(기본자료!$K$2:$K$501,$W142)&amp;"")))))</f>
        <v/>
      </c>
      <c r="F142" s="8">
        <f>IF($W142="","",IF(INDEX(기본자료!$D$2:$D$501,$W142)="","",INDEX(기본자료!$D$2:$D$501,$W142)))</f>
        <v/>
      </c>
      <c r="G142" s="8">
        <f>IF($W142="","",IF(INDEX(기본자료!$E$2:$E$501,$W142)="","",INDEX(기본자료!$E$2:$E$501,$W142)))</f>
        <v/>
      </c>
      <c r="H142" s="8">
        <f>IF($W142="","",IF(INDEX(기본자료!$F$2:$F$501,$W142)="","",INDEX(기본자료!$F$2:$F$501,$W142)))</f>
        <v/>
      </c>
      <c r="I142" s="10">
        <f>IF($W142="","",IF(INDEX(기본자료!$G$2:$G$501,$W142)="","",IF(NOT(ISNUMBER(INDEX(기본자료!$G$2:$G$501,$W142))),INDEX(기본자료!$G$2:$G$501,$W142),IF(INDEX(기본자료!$G$2:$G$501,$W142)&lt;1000000,INDEX(기본자료!$G$2:$G$501,$W142),IF(AND(INDEX(기본자료!$G$2:$G$501,$W142)&gt;=10000101,INT(MOD(INDEX(기본자료!$G$2:$G$501,$W142),10000)/100)&gt;=1,INT(MOD(INDEX(기본자료!$G$2:$G$501,$W142),10000)/100)&lt;=12,MOD(INDEX(기본자료!$G$2:$G$501,$W142),100)&gt;=1,MOD(INDEX(기본자료!$G$2:$G$501,$W142),100)&lt;=31),DATE(INT(INDEX(기본자료!$G$2:$G$501,$W142)/10000),INT(MOD(INDEX(기본자료!$G$2:$G$501,$W142),10000)/100),MOD(INDEX(기본자료!$G$2:$G$501,$W142),100)),INDEX(기본자료!$G$2:$G$501,$W142)&amp;"")))))</f>
        <v/>
      </c>
      <c r="J142" s="8">
        <f>IF($W142="","",IF(INDEX(기본자료!$H$2:$H$501,$W142)="","",INDEX(기본자료!$H$2:$H$501,$W142)))</f>
        <v/>
      </c>
      <c r="K142" s="8">
        <f>IF($W142="","",IF(INDEX(기본자료!$I$2:$I$501,$W142)="","",INDEX(기본자료!$I$2:$I$501,$W142)))</f>
        <v/>
      </c>
      <c r="L142" s="8">
        <f>IF($W142="","",IF(INDEX(기본자료!$A$2:$A$501,$W142)="","",INDEX(기본자료!$A$2:$A$501,$W142)))</f>
        <v/>
      </c>
      <c r="M142" s="5" t="n"/>
      <c r="N142" s="5" t="n"/>
      <c r="O142" s="5" t="n"/>
      <c r="P142" s="5" t="n"/>
      <c r="Q142" s="11" t="n"/>
      <c r="R142" s="11" t="n"/>
      <c r="S142" s="8">
        <f>IF(OR(B142="",Q142=""),"",IF(TODAY()&lt;Q142,"파견예정",IF(AND(R142&lt;&gt;"",TODAY()&gt;R142),"파견종료","파견중")))</f>
        <v/>
      </c>
      <c r="T142" s="12">
        <f>IF(OR(Q142="",R142=""),"",R142-Q142+1)</f>
        <v/>
      </c>
      <c r="U142" s="12">
        <f>IF(AND(S142="파견중",R142&lt;&gt;""),R142-TODAY(),"")</f>
        <v/>
      </c>
      <c r="V142" s="5" t="n"/>
      <c r="W142" s="8">
        <f>IF(B142="","",IFERROR(MATCH(B142,기본자료!$B$2:$B$501,0),IFERROR(MATCH(B142&amp;"",기본자료!$B$2:$B$501,0),IFERROR(MATCH(VALUE(B142),기본자료!$B$2:$B$501,0),""))))</f>
        <v/>
      </c>
    </row>
    <row r="143">
      <c r="A143" s="8">
        <f>IF(B143="","",ROW()-1)</f>
        <v/>
      </c>
      <c r="B143" s="9" t="n"/>
      <c r="C143" s="8">
        <f>IF($W143="","",IF(INDEX(기본자료!$C$2:$C$501,$W143)="","",INDEX(기본자료!$C$2:$C$501,$W143)))</f>
        <v/>
      </c>
      <c r="D143" s="8">
        <f>IF($W143="","",IF(INDEX(기본자료!$J$2:$J$501,$W143)="","",INDEX(기본자료!$J$2:$J$501,$W143)))</f>
        <v/>
      </c>
      <c r="E143" s="10">
        <f>IF($W143="","",IF(INDEX(기본자료!$K$2:$K$501,$W143)="","",IF(NOT(ISNUMBER(INDEX(기본자료!$K$2:$K$501,$W143))),INDEX(기본자료!$K$2:$K$501,$W143),IF(INDEX(기본자료!$K$2:$K$501,$W143)&lt;1000000,INDEX(기본자료!$K$2:$K$501,$W143),IF(AND(INDEX(기본자료!$K$2:$K$501,$W143)&gt;=10000101,INT(MOD(INDEX(기본자료!$K$2:$K$501,$W143),10000)/100)&gt;=1,INT(MOD(INDEX(기본자료!$K$2:$K$501,$W143),10000)/100)&lt;=12,MOD(INDEX(기본자료!$K$2:$K$501,$W143),100)&gt;=1,MOD(INDEX(기본자료!$K$2:$K$501,$W143),100)&lt;=31),DATE(INT(INDEX(기본자료!$K$2:$K$501,$W143)/10000),INT(MOD(INDEX(기본자료!$K$2:$K$501,$W143),10000)/100),MOD(INDEX(기본자료!$K$2:$K$501,$W143),100)),INDEX(기본자료!$K$2:$K$501,$W143)&amp;"")))))</f>
        <v/>
      </c>
      <c r="F143" s="8">
        <f>IF($W143="","",IF(INDEX(기본자료!$D$2:$D$501,$W143)="","",INDEX(기본자료!$D$2:$D$501,$W143)))</f>
        <v/>
      </c>
      <c r="G143" s="8">
        <f>IF($W143="","",IF(INDEX(기본자료!$E$2:$E$501,$W143)="","",INDEX(기본자료!$E$2:$E$501,$W143)))</f>
        <v/>
      </c>
      <c r="H143" s="8">
        <f>IF($W143="","",IF(INDEX(기본자료!$F$2:$F$501,$W143)="","",INDEX(기본자료!$F$2:$F$501,$W143)))</f>
        <v/>
      </c>
      <c r="I143" s="10">
        <f>IF($W143="","",IF(INDEX(기본자료!$G$2:$G$501,$W143)="","",IF(NOT(ISNUMBER(INDEX(기본자료!$G$2:$G$501,$W143))),INDEX(기본자료!$G$2:$G$501,$W143),IF(INDEX(기본자료!$G$2:$G$501,$W143)&lt;1000000,INDEX(기본자료!$G$2:$G$501,$W143),IF(AND(INDEX(기본자료!$G$2:$G$501,$W143)&gt;=10000101,INT(MOD(INDEX(기본자료!$G$2:$G$501,$W143),10000)/100)&gt;=1,INT(MOD(INDEX(기본자료!$G$2:$G$501,$W143),10000)/100)&lt;=12,MOD(INDEX(기본자료!$G$2:$G$501,$W143),100)&gt;=1,MOD(INDEX(기본자료!$G$2:$G$501,$W143),100)&lt;=31),DATE(INT(INDEX(기본자료!$G$2:$G$501,$W143)/10000),INT(MOD(INDEX(기본자료!$G$2:$G$501,$W143),10000)/100),MOD(INDEX(기본자료!$G$2:$G$501,$W143),100)),INDEX(기본자료!$G$2:$G$501,$W143)&amp;"")))))</f>
        <v/>
      </c>
      <c r="J143" s="8">
        <f>IF($W143="","",IF(INDEX(기본자료!$H$2:$H$501,$W143)="","",INDEX(기본자료!$H$2:$H$501,$W143)))</f>
        <v/>
      </c>
      <c r="K143" s="8">
        <f>IF($W143="","",IF(INDEX(기본자료!$I$2:$I$501,$W143)="","",INDEX(기본자료!$I$2:$I$501,$W143)))</f>
        <v/>
      </c>
      <c r="L143" s="8">
        <f>IF($W143="","",IF(INDEX(기본자료!$A$2:$A$501,$W143)="","",INDEX(기본자료!$A$2:$A$501,$W143)))</f>
        <v/>
      </c>
      <c r="M143" s="5" t="n"/>
      <c r="N143" s="5" t="n"/>
      <c r="O143" s="5" t="n"/>
      <c r="P143" s="5" t="n"/>
      <c r="Q143" s="11" t="n"/>
      <c r="R143" s="11" t="n"/>
      <c r="S143" s="8">
        <f>IF(OR(B143="",Q143=""),"",IF(TODAY()&lt;Q143,"파견예정",IF(AND(R143&lt;&gt;"",TODAY()&gt;R143),"파견종료","파견중")))</f>
        <v/>
      </c>
      <c r="T143" s="12">
        <f>IF(OR(Q143="",R143=""),"",R143-Q143+1)</f>
        <v/>
      </c>
      <c r="U143" s="12">
        <f>IF(AND(S143="파견중",R143&lt;&gt;""),R143-TODAY(),"")</f>
        <v/>
      </c>
      <c r="V143" s="5" t="n"/>
      <c r="W143" s="8">
        <f>IF(B143="","",IFERROR(MATCH(B143,기본자료!$B$2:$B$501,0),IFERROR(MATCH(B143&amp;"",기본자료!$B$2:$B$501,0),IFERROR(MATCH(VALUE(B143),기본자료!$B$2:$B$501,0),""))))</f>
        <v/>
      </c>
    </row>
    <row r="144">
      <c r="A144" s="8">
        <f>IF(B144="","",ROW()-1)</f>
        <v/>
      </c>
      <c r="B144" s="9" t="n"/>
      <c r="C144" s="8">
        <f>IF($W144="","",IF(INDEX(기본자료!$C$2:$C$501,$W144)="","",INDEX(기본자료!$C$2:$C$501,$W144)))</f>
        <v/>
      </c>
      <c r="D144" s="8">
        <f>IF($W144="","",IF(INDEX(기본자료!$J$2:$J$501,$W144)="","",INDEX(기본자료!$J$2:$J$501,$W144)))</f>
        <v/>
      </c>
      <c r="E144" s="10">
        <f>IF($W144="","",IF(INDEX(기본자료!$K$2:$K$501,$W144)="","",IF(NOT(ISNUMBER(INDEX(기본자료!$K$2:$K$501,$W144))),INDEX(기본자료!$K$2:$K$501,$W144),IF(INDEX(기본자료!$K$2:$K$501,$W144)&lt;1000000,INDEX(기본자료!$K$2:$K$501,$W144),IF(AND(INDEX(기본자료!$K$2:$K$501,$W144)&gt;=10000101,INT(MOD(INDEX(기본자료!$K$2:$K$501,$W144),10000)/100)&gt;=1,INT(MOD(INDEX(기본자료!$K$2:$K$501,$W144),10000)/100)&lt;=12,MOD(INDEX(기본자료!$K$2:$K$501,$W144),100)&gt;=1,MOD(INDEX(기본자료!$K$2:$K$501,$W144),100)&lt;=31),DATE(INT(INDEX(기본자료!$K$2:$K$501,$W144)/10000),INT(MOD(INDEX(기본자료!$K$2:$K$501,$W144),10000)/100),MOD(INDEX(기본자료!$K$2:$K$501,$W144),100)),INDEX(기본자료!$K$2:$K$501,$W144)&amp;"")))))</f>
        <v/>
      </c>
      <c r="F144" s="8">
        <f>IF($W144="","",IF(INDEX(기본자료!$D$2:$D$501,$W144)="","",INDEX(기본자료!$D$2:$D$501,$W144)))</f>
        <v/>
      </c>
      <c r="G144" s="8">
        <f>IF($W144="","",IF(INDEX(기본자료!$E$2:$E$501,$W144)="","",INDEX(기본자료!$E$2:$E$501,$W144)))</f>
        <v/>
      </c>
      <c r="H144" s="8">
        <f>IF($W144="","",IF(INDEX(기본자료!$F$2:$F$501,$W144)="","",INDEX(기본자료!$F$2:$F$501,$W144)))</f>
        <v/>
      </c>
      <c r="I144" s="10">
        <f>IF($W144="","",IF(INDEX(기본자료!$G$2:$G$501,$W144)="","",IF(NOT(ISNUMBER(INDEX(기본자료!$G$2:$G$501,$W144))),INDEX(기본자료!$G$2:$G$501,$W144),IF(INDEX(기본자료!$G$2:$G$501,$W144)&lt;1000000,INDEX(기본자료!$G$2:$G$501,$W144),IF(AND(INDEX(기본자료!$G$2:$G$501,$W144)&gt;=10000101,INT(MOD(INDEX(기본자료!$G$2:$G$501,$W144),10000)/100)&gt;=1,INT(MOD(INDEX(기본자료!$G$2:$G$501,$W144),10000)/100)&lt;=12,MOD(INDEX(기본자료!$G$2:$G$501,$W144),100)&gt;=1,MOD(INDEX(기본자료!$G$2:$G$501,$W144),100)&lt;=31),DATE(INT(INDEX(기본자료!$G$2:$G$501,$W144)/10000),INT(MOD(INDEX(기본자료!$G$2:$G$501,$W144),10000)/100),MOD(INDEX(기본자료!$G$2:$G$501,$W144),100)),INDEX(기본자료!$G$2:$G$501,$W144)&amp;"")))))</f>
        <v/>
      </c>
      <c r="J144" s="8">
        <f>IF($W144="","",IF(INDEX(기본자료!$H$2:$H$501,$W144)="","",INDEX(기본자료!$H$2:$H$501,$W144)))</f>
        <v/>
      </c>
      <c r="K144" s="8">
        <f>IF($W144="","",IF(INDEX(기본자료!$I$2:$I$501,$W144)="","",INDEX(기본자료!$I$2:$I$501,$W144)))</f>
        <v/>
      </c>
      <c r="L144" s="8">
        <f>IF($W144="","",IF(INDEX(기본자료!$A$2:$A$501,$W144)="","",INDEX(기본자료!$A$2:$A$501,$W144)))</f>
        <v/>
      </c>
      <c r="M144" s="5" t="n"/>
      <c r="N144" s="5" t="n"/>
      <c r="O144" s="5" t="n"/>
      <c r="P144" s="5" t="n"/>
      <c r="Q144" s="11" t="n"/>
      <c r="R144" s="11" t="n"/>
      <c r="S144" s="8">
        <f>IF(OR(B144="",Q144=""),"",IF(TODAY()&lt;Q144,"파견예정",IF(AND(R144&lt;&gt;"",TODAY()&gt;R144),"파견종료","파견중")))</f>
        <v/>
      </c>
      <c r="T144" s="12">
        <f>IF(OR(Q144="",R144=""),"",R144-Q144+1)</f>
        <v/>
      </c>
      <c r="U144" s="12">
        <f>IF(AND(S144="파견중",R144&lt;&gt;""),R144-TODAY(),"")</f>
        <v/>
      </c>
      <c r="V144" s="5" t="n"/>
      <c r="W144" s="8">
        <f>IF(B144="","",IFERROR(MATCH(B144,기본자료!$B$2:$B$501,0),IFERROR(MATCH(B144&amp;"",기본자료!$B$2:$B$501,0),IFERROR(MATCH(VALUE(B144),기본자료!$B$2:$B$501,0),""))))</f>
        <v/>
      </c>
    </row>
    <row r="145">
      <c r="A145" s="8">
        <f>IF(B145="","",ROW()-1)</f>
        <v/>
      </c>
      <c r="B145" s="9" t="n"/>
      <c r="C145" s="8">
        <f>IF($W145="","",IF(INDEX(기본자료!$C$2:$C$501,$W145)="","",INDEX(기본자료!$C$2:$C$501,$W145)))</f>
        <v/>
      </c>
      <c r="D145" s="8">
        <f>IF($W145="","",IF(INDEX(기본자료!$J$2:$J$501,$W145)="","",INDEX(기본자료!$J$2:$J$501,$W145)))</f>
        <v/>
      </c>
      <c r="E145" s="10">
        <f>IF($W145="","",IF(INDEX(기본자료!$K$2:$K$501,$W145)="","",IF(NOT(ISNUMBER(INDEX(기본자료!$K$2:$K$501,$W145))),INDEX(기본자료!$K$2:$K$501,$W145),IF(INDEX(기본자료!$K$2:$K$501,$W145)&lt;1000000,INDEX(기본자료!$K$2:$K$501,$W145),IF(AND(INDEX(기본자료!$K$2:$K$501,$W145)&gt;=10000101,INT(MOD(INDEX(기본자료!$K$2:$K$501,$W145),10000)/100)&gt;=1,INT(MOD(INDEX(기본자료!$K$2:$K$501,$W145),10000)/100)&lt;=12,MOD(INDEX(기본자료!$K$2:$K$501,$W145),100)&gt;=1,MOD(INDEX(기본자료!$K$2:$K$501,$W145),100)&lt;=31),DATE(INT(INDEX(기본자료!$K$2:$K$501,$W145)/10000),INT(MOD(INDEX(기본자료!$K$2:$K$501,$W145),10000)/100),MOD(INDEX(기본자료!$K$2:$K$501,$W145),100)),INDEX(기본자료!$K$2:$K$501,$W145)&amp;"")))))</f>
        <v/>
      </c>
      <c r="F145" s="8">
        <f>IF($W145="","",IF(INDEX(기본자료!$D$2:$D$501,$W145)="","",INDEX(기본자료!$D$2:$D$501,$W145)))</f>
        <v/>
      </c>
      <c r="G145" s="8">
        <f>IF($W145="","",IF(INDEX(기본자료!$E$2:$E$501,$W145)="","",INDEX(기본자료!$E$2:$E$501,$W145)))</f>
        <v/>
      </c>
      <c r="H145" s="8">
        <f>IF($W145="","",IF(INDEX(기본자료!$F$2:$F$501,$W145)="","",INDEX(기본자료!$F$2:$F$501,$W145)))</f>
        <v/>
      </c>
      <c r="I145" s="10">
        <f>IF($W145="","",IF(INDEX(기본자료!$G$2:$G$501,$W145)="","",IF(NOT(ISNUMBER(INDEX(기본자료!$G$2:$G$501,$W145))),INDEX(기본자료!$G$2:$G$501,$W145),IF(INDEX(기본자료!$G$2:$G$501,$W145)&lt;1000000,INDEX(기본자료!$G$2:$G$501,$W145),IF(AND(INDEX(기본자료!$G$2:$G$501,$W145)&gt;=10000101,INT(MOD(INDEX(기본자료!$G$2:$G$501,$W145),10000)/100)&gt;=1,INT(MOD(INDEX(기본자료!$G$2:$G$501,$W145),10000)/100)&lt;=12,MOD(INDEX(기본자료!$G$2:$G$501,$W145),100)&gt;=1,MOD(INDEX(기본자료!$G$2:$G$501,$W145),100)&lt;=31),DATE(INT(INDEX(기본자료!$G$2:$G$501,$W145)/10000),INT(MOD(INDEX(기본자료!$G$2:$G$501,$W145),10000)/100),MOD(INDEX(기본자료!$G$2:$G$501,$W145),100)),INDEX(기본자료!$G$2:$G$501,$W145)&amp;"")))))</f>
        <v/>
      </c>
      <c r="J145" s="8">
        <f>IF($W145="","",IF(INDEX(기본자료!$H$2:$H$501,$W145)="","",INDEX(기본자료!$H$2:$H$501,$W145)))</f>
        <v/>
      </c>
      <c r="K145" s="8">
        <f>IF($W145="","",IF(INDEX(기본자료!$I$2:$I$501,$W145)="","",INDEX(기본자료!$I$2:$I$501,$W145)))</f>
        <v/>
      </c>
      <c r="L145" s="8">
        <f>IF($W145="","",IF(INDEX(기본자료!$A$2:$A$501,$W145)="","",INDEX(기본자료!$A$2:$A$501,$W145)))</f>
        <v/>
      </c>
      <c r="M145" s="5" t="n"/>
      <c r="N145" s="5" t="n"/>
      <c r="O145" s="5" t="n"/>
      <c r="P145" s="5" t="n"/>
      <c r="Q145" s="11" t="n"/>
      <c r="R145" s="11" t="n"/>
      <c r="S145" s="8">
        <f>IF(OR(B145="",Q145=""),"",IF(TODAY()&lt;Q145,"파견예정",IF(AND(R145&lt;&gt;"",TODAY()&gt;R145),"파견종료","파견중")))</f>
        <v/>
      </c>
      <c r="T145" s="12">
        <f>IF(OR(Q145="",R145=""),"",R145-Q145+1)</f>
        <v/>
      </c>
      <c r="U145" s="12">
        <f>IF(AND(S145="파견중",R145&lt;&gt;""),R145-TODAY(),"")</f>
        <v/>
      </c>
      <c r="V145" s="5" t="n"/>
      <c r="W145" s="8">
        <f>IF(B145="","",IFERROR(MATCH(B145,기본자료!$B$2:$B$501,0),IFERROR(MATCH(B145&amp;"",기본자료!$B$2:$B$501,0),IFERROR(MATCH(VALUE(B145),기본자료!$B$2:$B$501,0),""))))</f>
        <v/>
      </c>
    </row>
    <row r="146">
      <c r="A146" s="8">
        <f>IF(B146="","",ROW()-1)</f>
        <v/>
      </c>
      <c r="B146" s="9" t="n"/>
      <c r="C146" s="8">
        <f>IF($W146="","",IF(INDEX(기본자료!$C$2:$C$501,$W146)="","",INDEX(기본자료!$C$2:$C$501,$W146)))</f>
        <v/>
      </c>
      <c r="D146" s="8">
        <f>IF($W146="","",IF(INDEX(기본자료!$J$2:$J$501,$W146)="","",INDEX(기본자료!$J$2:$J$501,$W146)))</f>
        <v/>
      </c>
      <c r="E146" s="10">
        <f>IF($W146="","",IF(INDEX(기본자료!$K$2:$K$501,$W146)="","",IF(NOT(ISNUMBER(INDEX(기본자료!$K$2:$K$501,$W146))),INDEX(기본자료!$K$2:$K$501,$W146),IF(INDEX(기본자료!$K$2:$K$501,$W146)&lt;1000000,INDEX(기본자료!$K$2:$K$501,$W146),IF(AND(INDEX(기본자료!$K$2:$K$501,$W146)&gt;=10000101,INT(MOD(INDEX(기본자료!$K$2:$K$501,$W146),10000)/100)&gt;=1,INT(MOD(INDEX(기본자료!$K$2:$K$501,$W146),10000)/100)&lt;=12,MOD(INDEX(기본자료!$K$2:$K$501,$W146),100)&gt;=1,MOD(INDEX(기본자료!$K$2:$K$501,$W146),100)&lt;=31),DATE(INT(INDEX(기본자료!$K$2:$K$501,$W146)/10000),INT(MOD(INDEX(기본자료!$K$2:$K$501,$W146),10000)/100),MOD(INDEX(기본자료!$K$2:$K$501,$W146),100)),INDEX(기본자료!$K$2:$K$501,$W146)&amp;"")))))</f>
        <v/>
      </c>
      <c r="F146" s="8">
        <f>IF($W146="","",IF(INDEX(기본자료!$D$2:$D$501,$W146)="","",INDEX(기본자료!$D$2:$D$501,$W146)))</f>
        <v/>
      </c>
      <c r="G146" s="8">
        <f>IF($W146="","",IF(INDEX(기본자료!$E$2:$E$501,$W146)="","",INDEX(기본자료!$E$2:$E$501,$W146)))</f>
        <v/>
      </c>
      <c r="H146" s="8">
        <f>IF($W146="","",IF(INDEX(기본자료!$F$2:$F$501,$W146)="","",INDEX(기본자료!$F$2:$F$501,$W146)))</f>
        <v/>
      </c>
      <c r="I146" s="10">
        <f>IF($W146="","",IF(INDEX(기본자료!$G$2:$G$501,$W146)="","",IF(NOT(ISNUMBER(INDEX(기본자료!$G$2:$G$501,$W146))),INDEX(기본자료!$G$2:$G$501,$W146),IF(INDEX(기본자료!$G$2:$G$501,$W146)&lt;1000000,INDEX(기본자료!$G$2:$G$501,$W146),IF(AND(INDEX(기본자료!$G$2:$G$501,$W146)&gt;=10000101,INT(MOD(INDEX(기본자료!$G$2:$G$501,$W146),10000)/100)&gt;=1,INT(MOD(INDEX(기본자료!$G$2:$G$501,$W146),10000)/100)&lt;=12,MOD(INDEX(기본자료!$G$2:$G$501,$W146),100)&gt;=1,MOD(INDEX(기본자료!$G$2:$G$501,$W146),100)&lt;=31),DATE(INT(INDEX(기본자료!$G$2:$G$501,$W146)/10000),INT(MOD(INDEX(기본자료!$G$2:$G$501,$W146),10000)/100),MOD(INDEX(기본자료!$G$2:$G$501,$W146),100)),INDEX(기본자료!$G$2:$G$501,$W146)&amp;"")))))</f>
        <v/>
      </c>
      <c r="J146" s="8">
        <f>IF($W146="","",IF(INDEX(기본자료!$H$2:$H$501,$W146)="","",INDEX(기본자료!$H$2:$H$501,$W146)))</f>
        <v/>
      </c>
      <c r="K146" s="8">
        <f>IF($W146="","",IF(INDEX(기본자료!$I$2:$I$501,$W146)="","",INDEX(기본자료!$I$2:$I$501,$W146)))</f>
        <v/>
      </c>
      <c r="L146" s="8">
        <f>IF($W146="","",IF(INDEX(기본자료!$A$2:$A$501,$W146)="","",INDEX(기본자료!$A$2:$A$501,$W146)))</f>
        <v/>
      </c>
      <c r="M146" s="5" t="n"/>
      <c r="N146" s="5" t="n"/>
      <c r="O146" s="5" t="n"/>
      <c r="P146" s="5" t="n"/>
      <c r="Q146" s="11" t="n"/>
      <c r="R146" s="11" t="n"/>
      <c r="S146" s="8">
        <f>IF(OR(B146="",Q146=""),"",IF(TODAY()&lt;Q146,"파견예정",IF(AND(R146&lt;&gt;"",TODAY()&gt;R146),"파견종료","파견중")))</f>
        <v/>
      </c>
      <c r="T146" s="12">
        <f>IF(OR(Q146="",R146=""),"",R146-Q146+1)</f>
        <v/>
      </c>
      <c r="U146" s="12">
        <f>IF(AND(S146="파견중",R146&lt;&gt;""),R146-TODAY(),"")</f>
        <v/>
      </c>
      <c r="V146" s="5" t="n"/>
      <c r="W146" s="8">
        <f>IF(B146="","",IFERROR(MATCH(B146,기본자료!$B$2:$B$501,0),IFERROR(MATCH(B146&amp;"",기본자료!$B$2:$B$501,0),IFERROR(MATCH(VALUE(B146),기본자료!$B$2:$B$501,0),""))))</f>
        <v/>
      </c>
    </row>
    <row r="147">
      <c r="A147" s="8">
        <f>IF(B147="","",ROW()-1)</f>
        <v/>
      </c>
      <c r="B147" s="9" t="n"/>
      <c r="C147" s="8">
        <f>IF($W147="","",IF(INDEX(기본자료!$C$2:$C$501,$W147)="","",INDEX(기본자료!$C$2:$C$501,$W147)))</f>
        <v/>
      </c>
      <c r="D147" s="8">
        <f>IF($W147="","",IF(INDEX(기본자료!$J$2:$J$501,$W147)="","",INDEX(기본자료!$J$2:$J$501,$W147)))</f>
        <v/>
      </c>
      <c r="E147" s="10">
        <f>IF($W147="","",IF(INDEX(기본자료!$K$2:$K$501,$W147)="","",IF(NOT(ISNUMBER(INDEX(기본자료!$K$2:$K$501,$W147))),INDEX(기본자료!$K$2:$K$501,$W147),IF(INDEX(기본자료!$K$2:$K$501,$W147)&lt;1000000,INDEX(기본자료!$K$2:$K$501,$W147),IF(AND(INDEX(기본자료!$K$2:$K$501,$W147)&gt;=10000101,INT(MOD(INDEX(기본자료!$K$2:$K$501,$W147),10000)/100)&gt;=1,INT(MOD(INDEX(기본자료!$K$2:$K$501,$W147),10000)/100)&lt;=12,MOD(INDEX(기본자료!$K$2:$K$501,$W147),100)&gt;=1,MOD(INDEX(기본자료!$K$2:$K$501,$W147),100)&lt;=31),DATE(INT(INDEX(기본자료!$K$2:$K$501,$W147)/10000),INT(MOD(INDEX(기본자료!$K$2:$K$501,$W147),10000)/100),MOD(INDEX(기본자료!$K$2:$K$501,$W147),100)),INDEX(기본자료!$K$2:$K$501,$W147)&amp;"")))))</f>
        <v/>
      </c>
      <c r="F147" s="8">
        <f>IF($W147="","",IF(INDEX(기본자료!$D$2:$D$501,$W147)="","",INDEX(기본자료!$D$2:$D$501,$W147)))</f>
        <v/>
      </c>
      <c r="G147" s="8">
        <f>IF($W147="","",IF(INDEX(기본자료!$E$2:$E$501,$W147)="","",INDEX(기본자료!$E$2:$E$501,$W147)))</f>
        <v/>
      </c>
      <c r="H147" s="8">
        <f>IF($W147="","",IF(INDEX(기본자료!$F$2:$F$501,$W147)="","",INDEX(기본자료!$F$2:$F$501,$W147)))</f>
        <v/>
      </c>
      <c r="I147" s="10">
        <f>IF($W147="","",IF(INDEX(기본자료!$G$2:$G$501,$W147)="","",IF(NOT(ISNUMBER(INDEX(기본자료!$G$2:$G$501,$W147))),INDEX(기본자료!$G$2:$G$501,$W147),IF(INDEX(기본자료!$G$2:$G$501,$W147)&lt;1000000,INDEX(기본자료!$G$2:$G$501,$W147),IF(AND(INDEX(기본자료!$G$2:$G$501,$W147)&gt;=10000101,INT(MOD(INDEX(기본자료!$G$2:$G$501,$W147),10000)/100)&gt;=1,INT(MOD(INDEX(기본자료!$G$2:$G$501,$W147),10000)/100)&lt;=12,MOD(INDEX(기본자료!$G$2:$G$501,$W147),100)&gt;=1,MOD(INDEX(기본자료!$G$2:$G$501,$W147),100)&lt;=31),DATE(INT(INDEX(기본자료!$G$2:$G$501,$W147)/10000),INT(MOD(INDEX(기본자료!$G$2:$G$501,$W147),10000)/100),MOD(INDEX(기본자료!$G$2:$G$501,$W147),100)),INDEX(기본자료!$G$2:$G$501,$W147)&amp;"")))))</f>
        <v/>
      </c>
      <c r="J147" s="8">
        <f>IF($W147="","",IF(INDEX(기본자료!$H$2:$H$501,$W147)="","",INDEX(기본자료!$H$2:$H$501,$W147)))</f>
        <v/>
      </c>
      <c r="K147" s="8">
        <f>IF($W147="","",IF(INDEX(기본자료!$I$2:$I$501,$W147)="","",INDEX(기본자료!$I$2:$I$501,$W147)))</f>
        <v/>
      </c>
      <c r="L147" s="8">
        <f>IF($W147="","",IF(INDEX(기본자료!$A$2:$A$501,$W147)="","",INDEX(기본자료!$A$2:$A$501,$W147)))</f>
        <v/>
      </c>
      <c r="M147" s="5" t="n"/>
      <c r="N147" s="5" t="n"/>
      <c r="O147" s="5" t="n"/>
      <c r="P147" s="5" t="n"/>
      <c r="Q147" s="11" t="n"/>
      <c r="R147" s="11" t="n"/>
      <c r="S147" s="8">
        <f>IF(OR(B147="",Q147=""),"",IF(TODAY()&lt;Q147,"파견예정",IF(AND(R147&lt;&gt;"",TODAY()&gt;R147),"파견종료","파견중")))</f>
        <v/>
      </c>
      <c r="T147" s="12">
        <f>IF(OR(Q147="",R147=""),"",R147-Q147+1)</f>
        <v/>
      </c>
      <c r="U147" s="12">
        <f>IF(AND(S147="파견중",R147&lt;&gt;""),R147-TODAY(),"")</f>
        <v/>
      </c>
      <c r="V147" s="5" t="n"/>
      <c r="W147" s="8">
        <f>IF(B147="","",IFERROR(MATCH(B147,기본자료!$B$2:$B$501,0),IFERROR(MATCH(B147&amp;"",기본자료!$B$2:$B$501,0),IFERROR(MATCH(VALUE(B147),기본자료!$B$2:$B$501,0),""))))</f>
        <v/>
      </c>
    </row>
    <row r="148">
      <c r="A148" s="8">
        <f>IF(B148="","",ROW()-1)</f>
        <v/>
      </c>
      <c r="B148" s="9" t="n"/>
      <c r="C148" s="8">
        <f>IF($W148="","",IF(INDEX(기본자료!$C$2:$C$501,$W148)="","",INDEX(기본자료!$C$2:$C$501,$W148)))</f>
        <v/>
      </c>
      <c r="D148" s="8">
        <f>IF($W148="","",IF(INDEX(기본자료!$J$2:$J$501,$W148)="","",INDEX(기본자료!$J$2:$J$501,$W148)))</f>
        <v/>
      </c>
      <c r="E148" s="10">
        <f>IF($W148="","",IF(INDEX(기본자료!$K$2:$K$501,$W148)="","",IF(NOT(ISNUMBER(INDEX(기본자료!$K$2:$K$501,$W148))),INDEX(기본자료!$K$2:$K$501,$W148),IF(INDEX(기본자료!$K$2:$K$501,$W148)&lt;1000000,INDEX(기본자료!$K$2:$K$501,$W148),IF(AND(INDEX(기본자료!$K$2:$K$501,$W148)&gt;=10000101,INT(MOD(INDEX(기본자료!$K$2:$K$501,$W148),10000)/100)&gt;=1,INT(MOD(INDEX(기본자료!$K$2:$K$501,$W148),10000)/100)&lt;=12,MOD(INDEX(기본자료!$K$2:$K$501,$W148),100)&gt;=1,MOD(INDEX(기본자료!$K$2:$K$501,$W148),100)&lt;=31),DATE(INT(INDEX(기본자료!$K$2:$K$501,$W148)/10000),INT(MOD(INDEX(기본자료!$K$2:$K$501,$W148),10000)/100),MOD(INDEX(기본자료!$K$2:$K$501,$W148),100)),INDEX(기본자료!$K$2:$K$501,$W148)&amp;"")))))</f>
        <v/>
      </c>
      <c r="F148" s="8">
        <f>IF($W148="","",IF(INDEX(기본자료!$D$2:$D$501,$W148)="","",INDEX(기본자료!$D$2:$D$501,$W148)))</f>
        <v/>
      </c>
      <c r="G148" s="8">
        <f>IF($W148="","",IF(INDEX(기본자료!$E$2:$E$501,$W148)="","",INDEX(기본자료!$E$2:$E$501,$W148)))</f>
        <v/>
      </c>
      <c r="H148" s="8">
        <f>IF($W148="","",IF(INDEX(기본자료!$F$2:$F$501,$W148)="","",INDEX(기본자료!$F$2:$F$501,$W148)))</f>
        <v/>
      </c>
      <c r="I148" s="10">
        <f>IF($W148="","",IF(INDEX(기본자료!$G$2:$G$501,$W148)="","",IF(NOT(ISNUMBER(INDEX(기본자료!$G$2:$G$501,$W148))),INDEX(기본자료!$G$2:$G$501,$W148),IF(INDEX(기본자료!$G$2:$G$501,$W148)&lt;1000000,INDEX(기본자료!$G$2:$G$501,$W148),IF(AND(INDEX(기본자료!$G$2:$G$501,$W148)&gt;=10000101,INT(MOD(INDEX(기본자료!$G$2:$G$501,$W148),10000)/100)&gt;=1,INT(MOD(INDEX(기본자료!$G$2:$G$501,$W148),10000)/100)&lt;=12,MOD(INDEX(기본자료!$G$2:$G$501,$W148),100)&gt;=1,MOD(INDEX(기본자료!$G$2:$G$501,$W148),100)&lt;=31),DATE(INT(INDEX(기본자료!$G$2:$G$501,$W148)/10000),INT(MOD(INDEX(기본자료!$G$2:$G$501,$W148),10000)/100),MOD(INDEX(기본자료!$G$2:$G$501,$W148),100)),INDEX(기본자료!$G$2:$G$501,$W148)&amp;"")))))</f>
        <v/>
      </c>
      <c r="J148" s="8">
        <f>IF($W148="","",IF(INDEX(기본자료!$H$2:$H$501,$W148)="","",INDEX(기본자료!$H$2:$H$501,$W148)))</f>
        <v/>
      </c>
      <c r="K148" s="8">
        <f>IF($W148="","",IF(INDEX(기본자료!$I$2:$I$501,$W148)="","",INDEX(기본자료!$I$2:$I$501,$W148)))</f>
        <v/>
      </c>
      <c r="L148" s="8">
        <f>IF($W148="","",IF(INDEX(기본자료!$A$2:$A$501,$W148)="","",INDEX(기본자료!$A$2:$A$501,$W148)))</f>
        <v/>
      </c>
      <c r="M148" s="5" t="n"/>
      <c r="N148" s="5" t="n"/>
      <c r="O148" s="5" t="n"/>
      <c r="P148" s="5" t="n"/>
      <c r="Q148" s="11" t="n"/>
      <c r="R148" s="11" t="n"/>
      <c r="S148" s="8">
        <f>IF(OR(B148="",Q148=""),"",IF(TODAY()&lt;Q148,"파견예정",IF(AND(R148&lt;&gt;"",TODAY()&gt;R148),"파견종료","파견중")))</f>
        <v/>
      </c>
      <c r="T148" s="12">
        <f>IF(OR(Q148="",R148=""),"",R148-Q148+1)</f>
        <v/>
      </c>
      <c r="U148" s="12">
        <f>IF(AND(S148="파견중",R148&lt;&gt;""),R148-TODAY(),"")</f>
        <v/>
      </c>
      <c r="V148" s="5" t="n"/>
      <c r="W148" s="8">
        <f>IF(B148="","",IFERROR(MATCH(B148,기본자료!$B$2:$B$501,0),IFERROR(MATCH(B148&amp;"",기본자료!$B$2:$B$501,0),IFERROR(MATCH(VALUE(B148),기본자료!$B$2:$B$501,0),""))))</f>
        <v/>
      </c>
    </row>
    <row r="149">
      <c r="A149" s="8">
        <f>IF(B149="","",ROW()-1)</f>
        <v/>
      </c>
      <c r="B149" s="9" t="n"/>
      <c r="C149" s="8">
        <f>IF($W149="","",IF(INDEX(기본자료!$C$2:$C$501,$W149)="","",INDEX(기본자료!$C$2:$C$501,$W149)))</f>
        <v/>
      </c>
      <c r="D149" s="8">
        <f>IF($W149="","",IF(INDEX(기본자료!$J$2:$J$501,$W149)="","",INDEX(기본자료!$J$2:$J$501,$W149)))</f>
        <v/>
      </c>
      <c r="E149" s="10">
        <f>IF($W149="","",IF(INDEX(기본자료!$K$2:$K$501,$W149)="","",IF(NOT(ISNUMBER(INDEX(기본자료!$K$2:$K$501,$W149))),INDEX(기본자료!$K$2:$K$501,$W149),IF(INDEX(기본자료!$K$2:$K$501,$W149)&lt;1000000,INDEX(기본자료!$K$2:$K$501,$W149),IF(AND(INDEX(기본자료!$K$2:$K$501,$W149)&gt;=10000101,INT(MOD(INDEX(기본자료!$K$2:$K$501,$W149),10000)/100)&gt;=1,INT(MOD(INDEX(기본자료!$K$2:$K$501,$W149),10000)/100)&lt;=12,MOD(INDEX(기본자료!$K$2:$K$501,$W149),100)&gt;=1,MOD(INDEX(기본자료!$K$2:$K$501,$W149),100)&lt;=31),DATE(INT(INDEX(기본자료!$K$2:$K$501,$W149)/10000),INT(MOD(INDEX(기본자료!$K$2:$K$501,$W149),10000)/100),MOD(INDEX(기본자료!$K$2:$K$501,$W149),100)),INDEX(기본자료!$K$2:$K$501,$W149)&amp;"")))))</f>
        <v/>
      </c>
      <c r="F149" s="8">
        <f>IF($W149="","",IF(INDEX(기본자료!$D$2:$D$501,$W149)="","",INDEX(기본자료!$D$2:$D$501,$W149)))</f>
        <v/>
      </c>
      <c r="G149" s="8">
        <f>IF($W149="","",IF(INDEX(기본자료!$E$2:$E$501,$W149)="","",INDEX(기본자료!$E$2:$E$501,$W149)))</f>
        <v/>
      </c>
      <c r="H149" s="8">
        <f>IF($W149="","",IF(INDEX(기본자료!$F$2:$F$501,$W149)="","",INDEX(기본자료!$F$2:$F$501,$W149)))</f>
        <v/>
      </c>
      <c r="I149" s="10">
        <f>IF($W149="","",IF(INDEX(기본자료!$G$2:$G$501,$W149)="","",IF(NOT(ISNUMBER(INDEX(기본자료!$G$2:$G$501,$W149))),INDEX(기본자료!$G$2:$G$501,$W149),IF(INDEX(기본자료!$G$2:$G$501,$W149)&lt;1000000,INDEX(기본자료!$G$2:$G$501,$W149),IF(AND(INDEX(기본자료!$G$2:$G$501,$W149)&gt;=10000101,INT(MOD(INDEX(기본자료!$G$2:$G$501,$W149),10000)/100)&gt;=1,INT(MOD(INDEX(기본자료!$G$2:$G$501,$W149),10000)/100)&lt;=12,MOD(INDEX(기본자료!$G$2:$G$501,$W149),100)&gt;=1,MOD(INDEX(기본자료!$G$2:$G$501,$W149),100)&lt;=31),DATE(INT(INDEX(기본자료!$G$2:$G$501,$W149)/10000),INT(MOD(INDEX(기본자료!$G$2:$G$501,$W149),10000)/100),MOD(INDEX(기본자료!$G$2:$G$501,$W149),100)),INDEX(기본자료!$G$2:$G$501,$W149)&amp;"")))))</f>
        <v/>
      </c>
      <c r="J149" s="8">
        <f>IF($W149="","",IF(INDEX(기본자료!$H$2:$H$501,$W149)="","",INDEX(기본자료!$H$2:$H$501,$W149)))</f>
        <v/>
      </c>
      <c r="K149" s="8">
        <f>IF($W149="","",IF(INDEX(기본자료!$I$2:$I$501,$W149)="","",INDEX(기본자료!$I$2:$I$501,$W149)))</f>
        <v/>
      </c>
      <c r="L149" s="8">
        <f>IF($W149="","",IF(INDEX(기본자료!$A$2:$A$501,$W149)="","",INDEX(기본자료!$A$2:$A$501,$W149)))</f>
        <v/>
      </c>
      <c r="M149" s="5" t="n"/>
      <c r="N149" s="5" t="n"/>
      <c r="O149" s="5" t="n"/>
      <c r="P149" s="5" t="n"/>
      <c r="Q149" s="11" t="n"/>
      <c r="R149" s="11" t="n"/>
      <c r="S149" s="8">
        <f>IF(OR(B149="",Q149=""),"",IF(TODAY()&lt;Q149,"파견예정",IF(AND(R149&lt;&gt;"",TODAY()&gt;R149),"파견종료","파견중")))</f>
        <v/>
      </c>
      <c r="T149" s="12">
        <f>IF(OR(Q149="",R149=""),"",R149-Q149+1)</f>
        <v/>
      </c>
      <c r="U149" s="12">
        <f>IF(AND(S149="파견중",R149&lt;&gt;""),R149-TODAY(),"")</f>
        <v/>
      </c>
      <c r="V149" s="5" t="n"/>
      <c r="W149" s="8">
        <f>IF(B149="","",IFERROR(MATCH(B149,기본자료!$B$2:$B$501,0),IFERROR(MATCH(B149&amp;"",기본자료!$B$2:$B$501,0),IFERROR(MATCH(VALUE(B149),기본자료!$B$2:$B$501,0),""))))</f>
        <v/>
      </c>
    </row>
    <row r="150">
      <c r="A150" s="8">
        <f>IF(B150="","",ROW()-1)</f>
        <v/>
      </c>
      <c r="B150" s="9" t="n"/>
      <c r="C150" s="8">
        <f>IF($W150="","",IF(INDEX(기본자료!$C$2:$C$501,$W150)="","",INDEX(기본자료!$C$2:$C$501,$W150)))</f>
        <v/>
      </c>
      <c r="D150" s="8">
        <f>IF($W150="","",IF(INDEX(기본자료!$J$2:$J$501,$W150)="","",INDEX(기본자료!$J$2:$J$501,$W150)))</f>
        <v/>
      </c>
      <c r="E150" s="10">
        <f>IF($W150="","",IF(INDEX(기본자료!$K$2:$K$501,$W150)="","",IF(NOT(ISNUMBER(INDEX(기본자료!$K$2:$K$501,$W150))),INDEX(기본자료!$K$2:$K$501,$W150),IF(INDEX(기본자료!$K$2:$K$501,$W150)&lt;1000000,INDEX(기본자료!$K$2:$K$501,$W150),IF(AND(INDEX(기본자료!$K$2:$K$501,$W150)&gt;=10000101,INT(MOD(INDEX(기본자료!$K$2:$K$501,$W150),10000)/100)&gt;=1,INT(MOD(INDEX(기본자료!$K$2:$K$501,$W150),10000)/100)&lt;=12,MOD(INDEX(기본자료!$K$2:$K$501,$W150),100)&gt;=1,MOD(INDEX(기본자료!$K$2:$K$501,$W150),100)&lt;=31),DATE(INT(INDEX(기본자료!$K$2:$K$501,$W150)/10000),INT(MOD(INDEX(기본자료!$K$2:$K$501,$W150),10000)/100),MOD(INDEX(기본자료!$K$2:$K$501,$W150),100)),INDEX(기본자료!$K$2:$K$501,$W150)&amp;"")))))</f>
        <v/>
      </c>
      <c r="F150" s="8">
        <f>IF($W150="","",IF(INDEX(기본자료!$D$2:$D$501,$W150)="","",INDEX(기본자료!$D$2:$D$501,$W150)))</f>
        <v/>
      </c>
      <c r="G150" s="8">
        <f>IF($W150="","",IF(INDEX(기본자료!$E$2:$E$501,$W150)="","",INDEX(기본자료!$E$2:$E$501,$W150)))</f>
        <v/>
      </c>
      <c r="H150" s="8">
        <f>IF($W150="","",IF(INDEX(기본자료!$F$2:$F$501,$W150)="","",INDEX(기본자료!$F$2:$F$501,$W150)))</f>
        <v/>
      </c>
      <c r="I150" s="10">
        <f>IF($W150="","",IF(INDEX(기본자료!$G$2:$G$501,$W150)="","",IF(NOT(ISNUMBER(INDEX(기본자료!$G$2:$G$501,$W150))),INDEX(기본자료!$G$2:$G$501,$W150),IF(INDEX(기본자료!$G$2:$G$501,$W150)&lt;1000000,INDEX(기본자료!$G$2:$G$501,$W150),IF(AND(INDEX(기본자료!$G$2:$G$501,$W150)&gt;=10000101,INT(MOD(INDEX(기본자료!$G$2:$G$501,$W150),10000)/100)&gt;=1,INT(MOD(INDEX(기본자료!$G$2:$G$501,$W150),10000)/100)&lt;=12,MOD(INDEX(기본자료!$G$2:$G$501,$W150),100)&gt;=1,MOD(INDEX(기본자료!$G$2:$G$501,$W150),100)&lt;=31),DATE(INT(INDEX(기본자료!$G$2:$G$501,$W150)/10000),INT(MOD(INDEX(기본자료!$G$2:$G$501,$W150),10000)/100),MOD(INDEX(기본자료!$G$2:$G$501,$W150),100)),INDEX(기본자료!$G$2:$G$501,$W150)&amp;"")))))</f>
        <v/>
      </c>
      <c r="J150" s="8">
        <f>IF($W150="","",IF(INDEX(기본자료!$H$2:$H$501,$W150)="","",INDEX(기본자료!$H$2:$H$501,$W150)))</f>
        <v/>
      </c>
      <c r="K150" s="8">
        <f>IF($W150="","",IF(INDEX(기본자료!$I$2:$I$501,$W150)="","",INDEX(기본자료!$I$2:$I$501,$W150)))</f>
        <v/>
      </c>
      <c r="L150" s="8">
        <f>IF($W150="","",IF(INDEX(기본자료!$A$2:$A$501,$W150)="","",INDEX(기본자료!$A$2:$A$501,$W150)))</f>
        <v/>
      </c>
      <c r="M150" s="5" t="n"/>
      <c r="N150" s="5" t="n"/>
      <c r="O150" s="5" t="n"/>
      <c r="P150" s="5" t="n"/>
      <c r="Q150" s="11" t="n"/>
      <c r="R150" s="11" t="n"/>
      <c r="S150" s="8">
        <f>IF(OR(B150="",Q150=""),"",IF(TODAY()&lt;Q150,"파견예정",IF(AND(R150&lt;&gt;"",TODAY()&gt;R150),"파견종료","파견중")))</f>
        <v/>
      </c>
      <c r="T150" s="12">
        <f>IF(OR(Q150="",R150=""),"",R150-Q150+1)</f>
        <v/>
      </c>
      <c r="U150" s="12">
        <f>IF(AND(S150="파견중",R150&lt;&gt;""),R150-TODAY(),"")</f>
        <v/>
      </c>
      <c r="V150" s="5" t="n"/>
      <c r="W150" s="8">
        <f>IF(B150="","",IFERROR(MATCH(B150,기본자료!$B$2:$B$501,0),IFERROR(MATCH(B150&amp;"",기본자료!$B$2:$B$501,0),IFERROR(MATCH(VALUE(B150),기본자료!$B$2:$B$501,0),""))))</f>
        <v/>
      </c>
    </row>
    <row r="151">
      <c r="A151" s="8">
        <f>IF(B151="","",ROW()-1)</f>
        <v/>
      </c>
      <c r="B151" s="9" t="n"/>
      <c r="C151" s="8">
        <f>IF($W151="","",IF(INDEX(기본자료!$C$2:$C$501,$W151)="","",INDEX(기본자료!$C$2:$C$501,$W151)))</f>
        <v/>
      </c>
      <c r="D151" s="8">
        <f>IF($W151="","",IF(INDEX(기본자료!$J$2:$J$501,$W151)="","",INDEX(기본자료!$J$2:$J$501,$W151)))</f>
        <v/>
      </c>
      <c r="E151" s="10">
        <f>IF($W151="","",IF(INDEX(기본자료!$K$2:$K$501,$W151)="","",IF(NOT(ISNUMBER(INDEX(기본자료!$K$2:$K$501,$W151))),INDEX(기본자료!$K$2:$K$501,$W151),IF(INDEX(기본자료!$K$2:$K$501,$W151)&lt;1000000,INDEX(기본자료!$K$2:$K$501,$W151),IF(AND(INDEX(기본자료!$K$2:$K$501,$W151)&gt;=10000101,INT(MOD(INDEX(기본자료!$K$2:$K$501,$W151),10000)/100)&gt;=1,INT(MOD(INDEX(기본자료!$K$2:$K$501,$W151),10000)/100)&lt;=12,MOD(INDEX(기본자료!$K$2:$K$501,$W151),100)&gt;=1,MOD(INDEX(기본자료!$K$2:$K$501,$W151),100)&lt;=31),DATE(INT(INDEX(기본자료!$K$2:$K$501,$W151)/10000),INT(MOD(INDEX(기본자료!$K$2:$K$501,$W151),10000)/100),MOD(INDEX(기본자료!$K$2:$K$501,$W151),100)),INDEX(기본자료!$K$2:$K$501,$W151)&amp;"")))))</f>
        <v/>
      </c>
      <c r="F151" s="8">
        <f>IF($W151="","",IF(INDEX(기본자료!$D$2:$D$501,$W151)="","",INDEX(기본자료!$D$2:$D$501,$W151)))</f>
        <v/>
      </c>
      <c r="G151" s="8">
        <f>IF($W151="","",IF(INDEX(기본자료!$E$2:$E$501,$W151)="","",INDEX(기본자료!$E$2:$E$501,$W151)))</f>
        <v/>
      </c>
      <c r="H151" s="8">
        <f>IF($W151="","",IF(INDEX(기본자료!$F$2:$F$501,$W151)="","",INDEX(기본자료!$F$2:$F$501,$W151)))</f>
        <v/>
      </c>
      <c r="I151" s="10">
        <f>IF($W151="","",IF(INDEX(기본자료!$G$2:$G$501,$W151)="","",IF(NOT(ISNUMBER(INDEX(기본자료!$G$2:$G$501,$W151))),INDEX(기본자료!$G$2:$G$501,$W151),IF(INDEX(기본자료!$G$2:$G$501,$W151)&lt;1000000,INDEX(기본자료!$G$2:$G$501,$W151),IF(AND(INDEX(기본자료!$G$2:$G$501,$W151)&gt;=10000101,INT(MOD(INDEX(기본자료!$G$2:$G$501,$W151),10000)/100)&gt;=1,INT(MOD(INDEX(기본자료!$G$2:$G$501,$W151),10000)/100)&lt;=12,MOD(INDEX(기본자료!$G$2:$G$501,$W151),100)&gt;=1,MOD(INDEX(기본자료!$G$2:$G$501,$W151),100)&lt;=31),DATE(INT(INDEX(기본자료!$G$2:$G$501,$W151)/10000),INT(MOD(INDEX(기본자료!$G$2:$G$501,$W151),10000)/100),MOD(INDEX(기본자료!$G$2:$G$501,$W151),100)),INDEX(기본자료!$G$2:$G$501,$W151)&amp;"")))))</f>
        <v/>
      </c>
      <c r="J151" s="8">
        <f>IF($W151="","",IF(INDEX(기본자료!$H$2:$H$501,$W151)="","",INDEX(기본자료!$H$2:$H$501,$W151)))</f>
        <v/>
      </c>
      <c r="K151" s="8">
        <f>IF($W151="","",IF(INDEX(기본자료!$I$2:$I$501,$W151)="","",INDEX(기본자료!$I$2:$I$501,$W151)))</f>
        <v/>
      </c>
      <c r="L151" s="8">
        <f>IF($W151="","",IF(INDEX(기본자료!$A$2:$A$501,$W151)="","",INDEX(기본자료!$A$2:$A$501,$W151)))</f>
        <v/>
      </c>
      <c r="M151" s="5" t="n"/>
      <c r="N151" s="5" t="n"/>
      <c r="O151" s="5" t="n"/>
      <c r="P151" s="5" t="n"/>
      <c r="Q151" s="11" t="n"/>
      <c r="R151" s="11" t="n"/>
      <c r="S151" s="8">
        <f>IF(OR(B151="",Q151=""),"",IF(TODAY()&lt;Q151,"파견예정",IF(AND(R151&lt;&gt;"",TODAY()&gt;R151),"파견종료","파견중")))</f>
        <v/>
      </c>
      <c r="T151" s="12">
        <f>IF(OR(Q151="",R151=""),"",R151-Q151+1)</f>
        <v/>
      </c>
      <c r="U151" s="12">
        <f>IF(AND(S151="파견중",R151&lt;&gt;""),R151-TODAY(),"")</f>
        <v/>
      </c>
      <c r="V151" s="5" t="n"/>
      <c r="W151" s="8">
        <f>IF(B151="","",IFERROR(MATCH(B151,기본자료!$B$2:$B$501,0),IFERROR(MATCH(B151&amp;"",기본자료!$B$2:$B$501,0),IFERROR(MATCH(VALUE(B151),기본자료!$B$2:$B$501,0),""))))</f>
        <v/>
      </c>
    </row>
    <row r="152">
      <c r="A152" s="8">
        <f>IF(B152="","",ROW()-1)</f>
        <v/>
      </c>
      <c r="B152" s="9" t="n"/>
      <c r="C152" s="8">
        <f>IF($W152="","",IF(INDEX(기본자료!$C$2:$C$501,$W152)="","",INDEX(기본자료!$C$2:$C$501,$W152)))</f>
        <v/>
      </c>
      <c r="D152" s="8">
        <f>IF($W152="","",IF(INDEX(기본자료!$J$2:$J$501,$W152)="","",INDEX(기본자료!$J$2:$J$501,$W152)))</f>
        <v/>
      </c>
      <c r="E152" s="10">
        <f>IF($W152="","",IF(INDEX(기본자료!$K$2:$K$501,$W152)="","",IF(NOT(ISNUMBER(INDEX(기본자료!$K$2:$K$501,$W152))),INDEX(기본자료!$K$2:$K$501,$W152),IF(INDEX(기본자료!$K$2:$K$501,$W152)&lt;1000000,INDEX(기본자료!$K$2:$K$501,$W152),IF(AND(INDEX(기본자료!$K$2:$K$501,$W152)&gt;=10000101,INT(MOD(INDEX(기본자료!$K$2:$K$501,$W152),10000)/100)&gt;=1,INT(MOD(INDEX(기본자료!$K$2:$K$501,$W152),10000)/100)&lt;=12,MOD(INDEX(기본자료!$K$2:$K$501,$W152),100)&gt;=1,MOD(INDEX(기본자료!$K$2:$K$501,$W152),100)&lt;=31),DATE(INT(INDEX(기본자료!$K$2:$K$501,$W152)/10000),INT(MOD(INDEX(기본자료!$K$2:$K$501,$W152),10000)/100),MOD(INDEX(기본자료!$K$2:$K$501,$W152),100)),INDEX(기본자료!$K$2:$K$501,$W152)&amp;"")))))</f>
        <v/>
      </c>
      <c r="F152" s="8">
        <f>IF($W152="","",IF(INDEX(기본자료!$D$2:$D$501,$W152)="","",INDEX(기본자료!$D$2:$D$501,$W152)))</f>
        <v/>
      </c>
      <c r="G152" s="8">
        <f>IF($W152="","",IF(INDEX(기본자료!$E$2:$E$501,$W152)="","",INDEX(기본자료!$E$2:$E$501,$W152)))</f>
        <v/>
      </c>
      <c r="H152" s="8">
        <f>IF($W152="","",IF(INDEX(기본자료!$F$2:$F$501,$W152)="","",INDEX(기본자료!$F$2:$F$501,$W152)))</f>
        <v/>
      </c>
      <c r="I152" s="10">
        <f>IF($W152="","",IF(INDEX(기본자료!$G$2:$G$501,$W152)="","",IF(NOT(ISNUMBER(INDEX(기본자료!$G$2:$G$501,$W152))),INDEX(기본자료!$G$2:$G$501,$W152),IF(INDEX(기본자료!$G$2:$G$501,$W152)&lt;1000000,INDEX(기본자료!$G$2:$G$501,$W152),IF(AND(INDEX(기본자료!$G$2:$G$501,$W152)&gt;=10000101,INT(MOD(INDEX(기본자료!$G$2:$G$501,$W152),10000)/100)&gt;=1,INT(MOD(INDEX(기본자료!$G$2:$G$501,$W152),10000)/100)&lt;=12,MOD(INDEX(기본자료!$G$2:$G$501,$W152),100)&gt;=1,MOD(INDEX(기본자료!$G$2:$G$501,$W152),100)&lt;=31),DATE(INT(INDEX(기본자료!$G$2:$G$501,$W152)/10000),INT(MOD(INDEX(기본자료!$G$2:$G$501,$W152),10000)/100),MOD(INDEX(기본자료!$G$2:$G$501,$W152),100)),INDEX(기본자료!$G$2:$G$501,$W152)&amp;"")))))</f>
        <v/>
      </c>
      <c r="J152" s="8">
        <f>IF($W152="","",IF(INDEX(기본자료!$H$2:$H$501,$W152)="","",INDEX(기본자료!$H$2:$H$501,$W152)))</f>
        <v/>
      </c>
      <c r="K152" s="8">
        <f>IF($W152="","",IF(INDEX(기본자료!$I$2:$I$501,$W152)="","",INDEX(기본자료!$I$2:$I$501,$W152)))</f>
        <v/>
      </c>
      <c r="L152" s="8">
        <f>IF($W152="","",IF(INDEX(기본자료!$A$2:$A$501,$W152)="","",INDEX(기본자료!$A$2:$A$501,$W152)))</f>
        <v/>
      </c>
      <c r="M152" s="5" t="n"/>
      <c r="N152" s="5" t="n"/>
      <c r="O152" s="5" t="n"/>
      <c r="P152" s="5" t="n"/>
      <c r="Q152" s="11" t="n"/>
      <c r="R152" s="11" t="n"/>
      <c r="S152" s="8">
        <f>IF(OR(B152="",Q152=""),"",IF(TODAY()&lt;Q152,"파견예정",IF(AND(R152&lt;&gt;"",TODAY()&gt;R152),"파견종료","파견중")))</f>
        <v/>
      </c>
      <c r="T152" s="12">
        <f>IF(OR(Q152="",R152=""),"",R152-Q152+1)</f>
        <v/>
      </c>
      <c r="U152" s="12">
        <f>IF(AND(S152="파견중",R152&lt;&gt;""),R152-TODAY(),"")</f>
        <v/>
      </c>
      <c r="V152" s="5" t="n"/>
      <c r="W152" s="8">
        <f>IF(B152="","",IFERROR(MATCH(B152,기본자료!$B$2:$B$501,0),IFERROR(MATCH(B152&amp;"",기본자료!$B$2:$B$501,0),IFERROR(MATCH(VALUE(B152),기본자료!$B$2:$B$501,0),""))))</f>
        <v/>
      </c>
    </row>
    <row r="153">
      <c r="A153" s="8">
        <f>IF(B153="","",ROW()-1)</f>
        <v/>
      </c>
      <c r="B153" s="9" t="n"/>
      <c r="C153" s="8">
        <f>IF($W153="","",IF(INDEX(기본자료!$C$2:$C$501,$W153)="","",INDEX(기본자료!$C$2:$C$501,$W153)))</f>
        <v/>
      </c>
      <c r="D153" s="8">
        <f>IF($W153="","",IF(INDEX(기본자료!$J$2:$J$501,$W153)="","",INDEX(기본자료!$J$2:$J$501,$W153)))</f>
        <v/>
      </c>
      <c r="E153" s="10">
        <f>IF($W153="","",IF(INDEX(기본자료!$K$2:$K$501,$W153)="","",IF(NOT(ISNUMBER(INDEX(기본자료!$K$2:$K$501,$W153))),INDEX(기본자료!$K$2:$K$501,$W153),IF(INDEX(기본자료!$K$2:$K$501,$W153)&lt;1000000,INDEX(기본자료!$K$2:$K$501,$W153),IF(AND(INDEX(기본자료!$K$2:$K$501,$W153)&gt;=10000101,INT(MOD(INDEX(기본자료!$K$2:$K$501,$W153),10000)/100)&gt;=1,INT(MOD(INDEX(기본자료!$K$2:$K$501,$W153),10000)/100)&lt;=12,MOD(INDEX(기본자료!$K$2:$K$501,$W153),100)&gt;=1,MOD(INDEX(기본자료!$K$2:$K$501,$W153),100)&lt;=31),DATE(INT(INDEX(기본자료!$K$2:$K$501,$W153)/10000),INT(MOD(INDEX(기본자료!$K$2:$K$501,$W153),10000)/100),MOD(INDEX(기본자료!$K$2:$K$501,$W153),100)),INDEX(기본자료!$K$2:$K$501,$W153)&amp;"")))))</f>
        <v/>
      </c>
      <c r="F153" s="8">
        <f>IF($W153="","",IF(INDEX(기본자료!$D$2:$D$501,$W153)="","",INDEX(기본자료!$D$2:$D$501,$W153)))</f>
        <v/>
      </c>
      <c r="G153" s="8">
        <f>IF($W153="","",IF(INDEX(기본자료!$E$2:$E$501,$W153)="","",INDEX(기본자료!$E$2:$E$501,$W153)))</f>
        <v/>
      </c>
      <c r="H153" s="8">
        <f>IF($W153="","",IF(INDEX(기본자료!$F$2:$F$501,$W153)="","",INDEX(기본자료!$F$2:$F$501,$W153)))</f>
        <v/>
      </c>
      <c r="I153" s="10">
        <f>IF($W153="","",IF(INDEX(기본자료!$G$2:$G$501,$W153)="","",IF(NOT(ISNUMBER(INDEX(기본자료!$G$2:$G$501,$W153))),INDEX(기본자료!$G$2:$G$501,$W153),IF(INDEX(기본자료!$G$2:$G$501,$W153)&lt;1000000,INDEX(기본자료!$G$2:$G$501,$W153),IF(AND(INDEX(기본자료!$G$2:$G$501,$W153)&gt;=10000101,INT(MOD(INDEX(기본자료!$G$2:$G$501,$W153),10000)/100)&gt;=1,INT(MOD(INDEX(기본자료!$G$2:$G$501,$W153),10000)/100)&lt;=12,MOD(INDEX(기본자료!$G$2:$G$501,$W153),100)&gt;=1,MOD(INDEX(기본자료!$G$2:$G$501,$W153),100)&lt;=31),DATE(INT(INDEX(기본자료!$G$2:$G$501,$W153)/10000),INT(MOD(INDEX(기본자료!$G$2:$G$501,$W153),10000)/100),MOD(INDEX(기본자료!$G$2:$G$501,$W153),100)),INDEX(기본자료!$G$2:$G$501,$W153)&amp;"")))))</f>
        <v/>
      </c>
      <c r="J153" s="8">
        <f>IF($W153="","",IF(INDEX(기본자료!$H$2:$H$501,$W153)="","",INDEX(기본자료!$H$2:$H$501,$W153)))</f>
        <v/>
      </c>
      <c r="K153" s="8">
        <f>IF($W153="","",IF(INDEX(기본자료!$I$2:$I$501,$W153)="","",INDEX(기본자료!$I$2:$I$501,$W153)))</f>
        <v/>
      </c>
      <c r="L153" s="8">
        <f>IF($W153="","",IF(INDEX(기본자료!$A$2:$A$501,$W153)="","",INDEX(기본자료!$A$2:$A$501,$W153)))</f>
        <v/>
      </c>
      <c r="M153" s="5" t="n"/>
      <c r="N153" s="5" t="n"/>
      <c r="O153" s="5" t="n"/>
      <c r="P153" s="5" t="n"/>
      <c r="Q153" s="11" t="n"/>
      <c r="R153" s="11" t="n"/>
      <c r="S153" s="8">
        <f>IF(OR(B153="",Q153=""),"",IF(TODAY()&lt;Q153,"파견예정",IF(AND(R153&lt;&gt;"",TODAY()&gt;R153),"파견종료","파견중")))</f>
        <v/>
      </c>
      <c r="T153" s="12">
        <f>IF(OR(Q153="",R153=""),"",R153-Q153+1)</f>
        <v/>
      </c>
      <c r="U153" s="12">
        <f>IF(AND(S153="파견중",R153&lt;&gt;""),R153-TODAY(),"")</f>
        <v/>
      </c>
      <c r="V153" s="5" t="n"/>
      <c r="W153" s="8">
        <f>IF(B153="","",IFERROR(MATCH(B153,기본자료!$B$2:$B$501,0),IFERROR(MATCH(B153&amp;"",기본자료!$B$2:$B$501,0),IFERROR(MATCH(VALUE(B153),기본자료!$B$2:$B$501,0),""))))</f>
        <v/>
      </c>
    </row>
    <row r="154">
      <c r="A154" s="8">
        <f>IF(B154="","",ROW()-1)</f>
        <v/>
      </c>
      <c r="B154" s="9" t="n"/>
      <c r="C154" s="8">
        <f>IF($W154="","",IF(INDEX(기본자료!$C$2:$C$501,$W154)="","",INDEX(기본자료!$C$2:$C$501,$W154)))</f>
        <v/>
      </c>
      <c r="D154" s="8">
        <f>IF($W154="","",IF(INDEX(기본자료!$J$2:$J$501,$W154)="","",INDEX(기본자료!$J$2:$J$501,$W154)))</f>
        <v/>
      </c>
      <c r="E154" s="10">
        <f>IF($W154="","",IF(INDEX(기본자료!$K$2:$K$501,$W154)="","",IF(NOT(ISNUMBER(INDEX(기본자료!$K$2:$K$501,$W154))),INDEX(기본자료!$K$2:$K$501,$W154),IF(INDEX(기본자료!$K$2:$K$501,$W154)&lt;1000000,INDEX(기본자료!$K$2:$K$501,$W154),IF(AND(INDEX(기본자료!$K$2:$K$501,$W154)&gt;=10000101,INT(MOD(INDEX(기본자료!$K$2:$K$501,$W154),10000)/100)&gt;=1,INT(MOD(INDEX(기본자료!$K$2:$K$501,$W154),10000)/100)&lt;=12,MOD(INDEX(기본자료!$K$2:$K$501,$W154),100)&gt;=1,MOD(INDEX(기본자료!$K$2:$K$501,$W154),100)&lt;=31),DATE(INT(INDEX(기본자료!$K$2:$K$501,$W154)/10000),INT(MOD(INDEX(기본자료!$K$2:$K$501,$W154),10000)/100),MOD(INDEX(기본자료!$K$2:$K$501,$W154),100)),INDEX(기본자료!$K$2:$K$501,$W154)&amp;"")))))</f>
        <v/>
      </c>
      <c r="F154" s="8">
        <f>IF($W154="","",IF(INDEX(기본자료!$D$2:$D$501,$W154)="","",INDEX(기본자료!$D$2:$D$501,$W154)))</f>
        <v/>
      </c>
      <c r="G154" s="8">
        <f>IF($W154="","",IF(INDEX(기본자료!$E$2:$E$501,$W154)="","",INDEX(기본자료!$E$2:$E$501,$W154)))</f>
        <v/>
      </c>
      <c r="H154" s="8">
        <f>IF($W154="","",IF(INDEX(기본자료!$F$2:$F$501,$W154)="","",INDEX(기본자료!$F$2:$F$501,$W154)))</f>
        <v/>
      </c>
      <c r="I154" s="10">
        <f>IF($W154="","",IF(INDEX(기본자료!$G$2:$G$501,$W154)="","",IF(NOT(ISNUMBER(INDEX(기본자료!$G$2:$G$501,$W154))),INDEX(기본자료!$G$2:$G$501,$W154),IF(INDEX(기본자료!$G$2:$G$501,$W154)&lt;1000000,INDEX(기본자료!$G$2:$G$501,$W154),IF(AND(INDEX(기본자료!$G$2:$G$501,$W154)&gt;=10000101,INT(MOD(INDEX(기본자료!$G$2:$G$501,$W154),10000)/100)&gt;=1,INT(MOD(INDEX(기본자료!$G$2:$G$501,$W154),10000)/100)&lt;=12,MOD(INDEX(기본자료!$G$2:$G$501,$W154),100)&gt;=1,MOD(INDEX(기본자료!$G$2:$G$501,$W154),100)&lt;=31),DATE(INT(INDEX(기본자료!$G$2:$G$501,$W154)/10000),INT(MOD(INDEX(기본자료!$G$2:$G$501,$W154),10000)/100),MOD(INDEX(기본자료!$G$2:$G$501,$W154),100)),INDEX(기본자료!$G$2:$G$501,$W154)&amp;"")))))</f>
        <v/>
      </c>
      <c r="J154" s="8">
        <f>IF($W154="","",IF(INDEX(기본자료!$H$2:$H$501,$W154)="","",INDEX(기본자료!$H$2:$H$501,$W154)))</f>
        <v/>
      </c>
      <c r="K154" s="8">
        <f>IF($W154="","",IF(INDEX(기본자료!$I$2:$I$501,$W154)="","",INDEX(기본자료!$I$2:$I$501,$W154)))</f>
        <v/>
      </c>
      <c r="L154" s="8">
        <f>IF($W154="","",IF(INDEX(기본자료!$A$2:$A$501,$W154)="","",INDEX(기본자료!$A$2:$A$501,$W154)))</f>
        <v/>
      </c>
      <c r="M154" s="5" t="n"/>
      <c r="N154" s="5" t="n"/>
      <c r="O154" s="5" t="n"/>
      <c r="P154" s="5" t="n"/>
      <c r="Q154" s="11" t="n"/>
      <c r="R154" s="11" t="n"/>
      <c r="S154" s="8">
        <f>IF(OR(B154="",Q154=""),"",IF(TODAY()&lt;Q154,"파견예정",IF(AND(R154&lt;&gt;"",TODAY()&gt;R154),"파견종료","파견중")))</f>
        <v/>
      </c>
      <c r="T154" s="12">
        <f>IF(OR(Q154="",R154=""),"",R154-Q154+1)</f>
        <v/>
      </c>
      <c r="U154" s="12">
        <f>IF(AND(S154="파견중",R154&lt;&gt;""),R154-TODAY(),"")</f>
        <v/>
      </c>
      <c r="V154" s="5" t="n"/>
      <c r="W154" s="8">
        <f>IF(B154="","",IFERROR(MATCH(B154,기본자료!$B$2:$B$501,0),IFERROR(MATCH(B154&amp;"",기본자료!$B$2:$B$501,0),IFERROR(MATCH(VALUE(B154),기본자료!$B$2:$B$501,0),""))))</f>
        <v/>
      </c>
    </row>
    <row r="155">
      <c r="A155" s="8">
        <f>IF(B155="","",ROW()-1)</f>
        <v/>
      </c>
      <c r="B155" s="9" t="n"/>
      <c r="C155" s="8">
        <f>IF($W155="","",IF(INDEX(기본자료!$C$2:$C$501,$W155)="","",INDEX(기본자료!$C$2:$C$501,$W155)))</f>
        <v/>
      </c>
      <c r="D155" s="8">
        <f>IF($W155="","",IF(INDEX(기본자료!$J$2:$J$501,$W155)="","",INDEX(기본자료!$J$2:$J$501,$W155)))</f>
        <v/>
      </c>
      <c r="E155" s="10">
        <f>IF($W155="","",IF(INDEX(기본자료!$K$2:$K$501,$W155)="","",IF(NOT(ISNUMBER(INDEX(기본자료!$K$2:$K$501,$W155))),INDEX(기본자료!$K$2:$K$501,$W155),IF(INDEX(기본자료!$K$2:$K$501,$W155)&lt;1000000,INDEX(기본자료!$K$2:$K$501,$W155),IF(AND(INDEX(기본자료!$K$2:$K$501,$W155)&gt;=10000101,INT(MOD(INDEX(기본자료!$K$2:$K$501,$W155),10000)/100)&gt;=1,INT(MOD(INDEX(기본자료!$K$2:$K$501,$W155),10000)/100)&lt;=12,MOD(INDEX(기본자료!$K$2:$K$501,$W155),100)&gt;=1,MOD(INDEX(기본자료!$K$2:$K$501,$W155),100)&lt;=31),DATE(INT(INDEX(기본자료!$K$2:$K$501,$W155)/10000),INT(MOD(INDEX(기본자료!$K$2:$K$501,$W155),10000)/100),MOD(INDEX(기본자료!$K$2:$K$501,$W155),100)),INDEX(기본자료!$K$2:$K$501,$W155)&amp;"")))))</f>
        <v/>
      </c>
      <c r="F155" s="8">
        <f>IF($W155="","",IF(INDEX(기본자료!$D$2:$D$501,$W155)="","",INDEX(기본자료!$D$2:$D$501,$W155)))</f>
        <v/>
      </c>
      <c r="G155" s="8">
        <f>IF($W155="","",IF(INDEX(기본자료!$E$2:$E$501,$W155)="","",INDEX(기본자료!$E$2:$E$501,$W155)))</f>
        <v/>
      </c>
      <c r="H155" s="8">
        <f>IF($W155="","",IF(INDEX(기본자료!$F$2:$F$501,$W155)="","",INDEX(기본자료!$F$2:$F$501,$W155)))</f>
        <v/>
      </c>
      <c r="I155" s="10">
        <f>IF($W155="","",IF(INDEX(기본자료!$G$2:$G$501,$W155)="","",IF(NOT(ISNUMBER(INDEX(기본자료!$G$2:$G$501,$W155))),INDEX(기본자료!$G$2:$G$501,$W155),IF(INDEX(기본자료!$G$2:$G$501,$W155)&lt;1000000,INDEX(기본자료!$G$2:$G$501,$W155),IF(AND(INDEX(기본자료!$G$2:$G$501,$W155)&gt;=10000101,INT(MOD(INDEX(기본자료!$G$2:$G$501,$W155),10000)/100)&gt;=1,INT(MOD(INDEX(기본자료!$G$2:$G$501,$W155),10000)/100)&lt;=12,MOD(INDEX(기본자료!$G$2:$G$501,$W155),100)&gt;=1,MOD(INDEX(기본자료!$G$2:$G$501,$W155),100)&lt;=31),DATE(INT(INDEX(기본자료!$G$2:$G$501,$W155)/10000),INT(MOD(INDEX(기본자료!$G$2:$G$501,$W155),10000)/100),MOD(INDEX(기본자료!$G$2:$G$501,$W155),100)),INDEX(기본자료!$G$2:$G$501,$W155)&amp;"")))))</f>
        <v/>
      </c>
      <c r="J155" s="8">
        <f>IF($W155="","",IF(INDEX(기본자료!$H$2:$H$501,$W155)="","",INDEX(기본자료!$H$2:$H$501,$W155)))</f>
        <v/>
      </c>
      <c r="K155" s="8">
        <f>IF($W155="","",IF(INDEX(기본자료!$I$2:$I$501,$W155)="","",INDEX(기본자료!$I$2:$I$501,$W155)))</f>
        <v/>
      </c>
      <c r="L155" s="8">
        <f>IF($W155="","",IF(INDEX(기본자료!$A$2:$A$501,$W155)="","",INDEX(기본자료!$A$2:$A$501,$W155)))</f>
        <v/>
      </c>
      <c r="M155" s="5" t="n"/>
      <c r="N155" s="5" t="n"/>
      <c r="O155" s="5" t="n"/>
      <c r="P155" s="5" t="n"/>
      <c r="Q155" s="11" t="n"/>
      <c r="R155" s="11" t="n"/>
      <c r="S155" s="8">
        <f>IF(OR(B155="",Q155=""),"",IF(TODAY()&lt;Q155,"파견예정",IF(AND(R155&lt;&gt;"",TODAY()&gt;R155),"파견종료","파견중")))</f>
        <v/>
      </c>
      <c r="T155" s="12">
        <f>IF(OR(Q155="",R155=""),"",R155-Q155+1)</f>
        <v/>
      </c>
      <c r="U155" s="12">
        <f>IF(AND(S155="파견중",R155&lt;&gt;""),R155-TODAY(),"")</f>
        <v/>
      </c>
      <c r="V155" s="5" t="n"/>
      <c r="W155" s="8">
        <f>IF(B155="","",IFERROR(MATCH(B155,기본자료!$B$2:$B$501,0),IFERROR(MATCH(B155&amp;"",기본자료!$B$2:$B$501,0),IFERROR(MATCH(VALUE(B155),기본자료!$B$2:$B$501,0),""))))</f>
        <v/>
      </c>
    </row>
    <row r="156">
      <c r="A156" s="8">
        <f>IF(B156="","",ROW()-1)</f>
        <v/>
      </c>
      <c r="B156" s="9" t="n"/>
      <c r="C156" s="8">
        <f>IF($W156="","",IF(INDEX(기본자료!$C$2:$C$501,$W156)="","",INDEX(기본자료!$C$2:$C$501,$W156)))</f>
        <v/>
      </c>
      <c r="D156" s="8">
        <f>IF($W156="","",IF(INDEX(기본자료!$J$2:$J$501,$W156)="","",INDEX(기본자료!$J$2:$J$501,$W156)))</f>
        <v/>
      </c>
      <c r="E156" s="10">
        <f>IF($W156="","",IF(INDEX(기본자료!$K$2:$K$501,$W156)="","",IF(NOT(ISNUMBER(INDEX(기본자료!$K$2:$K$501,$W156))),INDEX(기본자료!$K$2:$K$501,$W156),IF(INDEX(기본자료!$K$2:$K$501,$W156)&lt;1000000,INDEX(기본자료!$K$2:$K$501,$W156),IF(AND(INDEX(기본자료!$K$2:$K$501,$W156)&gt;=10000101,INT(MOD(INDEX(기본자료!$K$2:$K$501,$W156),10000)/100)&gt;=1,INT(MOD(INDEX(기본자료!$K$2:$K$501,$W156),10000)/100)&lt;=12,MOD(INDEX(기본자료!$K$2:$K$501,$W156),100)&gt;=1,MOD(INDEX(기본자료!$K$2:$K$501,$W156),100)&lt;=31),DATE(INT(INDEX(기본자료!$K$2:$K$501,$W156)/10000),INT(MOD(INDEX(기본자료!$K$2:$K$501,$W156),10000)/100),MOD(INDEX(기본자료!$K$2:$K$501,$W156),100)),INDEX(기본자료!$K$2:$K$501,$W156)&amp;"")))))</f>
        <v/>
      </c>
      <c r="F156" s="8">
        <f>IF($W156="","",IF(INDEX(기본자료!$D$2:$D$501,$W156)="","",INDEX(기본자료!$D$2:$D$501,$W156)))</f>
        <v/>
      </c>
      <c r="G156" s="8">
        <f>IF($W156="","",IF(INDEX(기본자료!$E$2:$E$501,$W156)="","",INDEX(기본자료!$E$2:$E$501,$W156)))</f>
        <v/>
      </c>
      <c r="H156" s="8">
        <f>IF($W156="","",IF(INDEX(기본자료!$F$2:$F$501,$W156)="","",INDEX(기본자료!$F$2:$F$501,$W156)))</f>
        <v/>
      </c>
      <c r="I156" s="10">
        <f>IF($W156="","",IF(INDEX(기본자료!$G$2:$G$501,$W156)="","",IF(NOT(ISNUMBER(INDEX(기본자료!$G$2:$G$501,$W156))),INDEX(기본자료!$G$2:$G$501,$W156),IF(INDEX(기본자료!$G$2:$G$501,$W156)&lt;1000000,INDEX(기본자료!$G$2:$G$501,$W156),IF(AND(INDEX(기본자료!$G$2:$G$501,$W156)&gt;=10000101,INT(MOD(INDEX(기본자료!$G$2:$G$501,$W156),10000)/100)&gt;=1,INT(MOD(INDEX(기본자료!$G$2:$G$501,$W156),10000)/100)&lt;=12,MOD(INDEX(기본자료!$G$2:$G$501,$W156),100)&gt;=1,MOD(INDEX(기본자료!$G$2:$G$501,$W156),100)&lt;=31),DATE(INT(INDEX(기본자료!$G$2:$G$501,$W156)/10000),INT(MOD(INDEX(기본자료!$G$2:$G$501,$W156),10000)/100),MOD(INDEX(기본자료!$G$2:$G$501,$W156),100)),INDEX(기본자료!$G$2:$G$501,$W156)&amp;"")))))</f>
        <v/>
      </c>
      <c r="J156" s="8">
        <f>IF($W156="","",IF(INDEX(기본자료!$H$2:$H$501,$W156)="","",INDEX(기본자료!$H$2:$H$501,$W156)))</f>
        <v/>
      </c>
      <c r="K156" s="8">
        <f>IF($W156="","",IF(INDEX(기본자료!$I$2:$I$501,$W156)="","",INDEX(기본자료!$I$2:$I$501,$W156)))</f>
        <v/>
      </c>
      <c r="L156" s="8">
        <f>IF($W156="","",IF(INDEX(기본자료!$A$2:$A$501,$W156)="","",INDEX(기본자료!$A$2:$A$501,$W156)))</f>
        <v/>
      </c>
      <c r="M156" s="5" t="n"/>
      <c r="N156" s="5" t="n"/>
      <c r="O156" s="5" t="n"/>
      <c r="P156" s="5" t="n"/>
      <c r="Q156" s="11" t="n"/>
      <c r="R156" s="11" t="n"/>
      <c r="S156" s="8">
        <f>IF(OR(B156="",Q156=""),"",IF(TODAY()&lt;Q156,"파견예정",IF(AND(R156&lt;&gt;"",TODAY()&gt;R156),"파견종료","파견중")))</f>
        <v/>
      </c>
      <c r="T156" s="12">
        <f>IF(OR(Q156="",R156=""),"",R156-Q156+1)</f>
        <v/>
      </c>
      <c r="U156" s="12">
        <f>IF(AND(S156="파견중",R156&lt;&gt;""),R156-TODAY(),"")</f>
        <v/>
      </c>
      <c r="V156" s="5" t="n"/>
      <c r="W156" s="8">
        <f>IF(B156="","",IFERROR(MATCH(B156,기본자료!$B$2:$B$501,0),IFERROR(MATCH(B156&amp;"",기본자료!$B$2:$B$501,0),IFERROR(MATCH(VALUE(B156),기본자료!$B$2:$B$501,0),""))))</f>
        <v/>
      </c>
    </row>
    <row r="157">
      <c r="A157" s="8">
        <f>IF(B157="","",ROW()-1)</f>
        <v/>
      </c>
      <c r="B157" s="9" t="n"/>
      <c r="C157" s="8">
        <f>IF($W157="","",IF(INDEX(기본자료!$C$2:$C$501,$W157)="","",INDEX(기본자료!$C$2:$C$501,$W157)))</f>
        <v/>
      </c>
      <c r="D157" s="8">
        <f>IF($W157="","",IF(INDEX(기본자료!$J$2:$J$501,$W157)="","",INDEX(기본자료!$J$2:$J$501,$W157)))</f>
        <v/>
      </c>
      <c r="E157" s="10">
        <f>IF($W157="","",IF(INDEX(기본자료!$K$2:$K$501,$W157)="","",IF(NOT(ISNUMBER(INDEX(기본자료!$K$2:$K$501,$W157))),INDEX(기본자료!$K$2:$K$501,$W157),IF(INDEX(기본자료!$K$2:$K$501,$W157)&lt;1000000,INDEX(기본자료!$K$2:$K$501,$W157),IF(AND(INDEX(기본자료!$K$2:$K$501,$W157)&gt;=10000101,INT(MOD(INDEX(기본자료!$K$2:$K$501,$W157),10000)/100)&gt;=1,INT(MOD(INDEX(기본자료!$K$2:$K$501,$W157),10000)/100)&lt;=12,MOD(INDEX(기본자료!$K$2:$K$501,$W157),100)&gt;=1,MOD(INDEX(기본자료!$K$2:$K$501,$W157),100)&lt;=31),DATE(INT(INDEX(기본자료!$K$2:$K$501,$W157)/10000),INT(MOD(INDEX(기본자료!$K$2:$K$501,$W157),10000)/100),MOD(INDEX(기본자료!$K$2:$K$501,$W157),100)),INDEX(기본자료!$K$2:$K$501,$W157)&amp;"")))))</f>
        <v/>
      </c>
      <c r="F157" s="8">
        <f>IF($W157="","",IF(INDEX(기본자료!$D$2:$D$501,$W157)="","",INDEX(기본자료!$D$2:$D$501,$W157)))</f>
        <v/>
      </c>
      <c r="G157" s="8">
        <f>IF($W157="","",IF(INDEX(기본자료!$E$2:$E$501,$W157)="","",INDEX(기본자료!$E$2:$E$501,$W157)))</f>
        <v/>
      </c>
      <c r="H157" s="8">
        <f>IF($W157="","",IF(INDEX(기본자료!$F$2:$F$501,$W157)="","",INDEX(기본자료!$F$2:$F$501,$W157)))</f>
        <v/>
      </c>
      <c r="I157" s="10">
        <f>IF($W157="","",IF(INDEX(기본자료!$G$2:$G$501,$W157)="","",IF(NOT(ISNUMBER(INDEX(기본자료!$G$2:$G$501,$W157))),INDEX(기본자료!$G$2:$G$501,$W157),IF(INDEX(기본자료!$G$2:$G$501,$W157)&lt;1000000,INDEX(기본자료!$G$2:$G$501,$W157),IF(AND(INDEX(기본자료!$G$2:$G$501,$W157)&gt;=10000101,INT(MOD(INDEX(기본자료!$G$2:$G$501,$W157),10000)/100)&gt;=1,INT(MOD(INDEX(기본자료!$G$2:$G$501,$W157),10000)/100)&lt;=12,MOD(INDEX(기본자료!$G$2:$G$501,$W157),100)&gt;=1,MOD(INDEX(기본자료!$G$2:$G$501,$W157),100)&lt;=31),DATE(INT(INDEX(기본자료!$G$2:$G$501,$W157)/10000),INT(MOD(INDEX(기본자료!$G$2:$G$501,$W157),10000)/100),MOD(INDEX(기본자료!$G$2:$G$501,$W157),100)),INDEX(기본자료!$G$2:$G$501,$W157)&amp;"")))))</f>
        <v/>
      </c>
      <c r="J157" s="8">
        <f>IF($W157="","",IF(INDEX(기본자료!$H$2:$H$501,$W157)="","",INDEX(기본자료!$H$2:$H$501,$W157)))</f>
        <v/>
      </c>
      <c r="K157" s="8">
        <f>IF($W157="","",IF(INDEX(기본자료!$I$2:$I$501,$W157)="","",INDEX(기본자료!$I$2:$I$501,$W157)))</f>
        <v/>
      </c>
      <c r="L157" s="8">
        <f>IF($W157="","",IF(INDEX(기본자료!$A$2:$A$501,$W157)="","",INDEX(기본자료!$A$2:$A$501,$W157)))</f>
        <v/>
      </c>
      <c r="M157" s="5" t="n"/>
      <c r="N157" s="5" t="n"/>
      <c r="O157" s="5" t="n"/>
      <c r="P157" s="5" t="n"/>
      <c r="Q157" s="11" t="n"/>
      <c r="R157" s="11" t="n"/>
      <c r="S157" s="8">
        <f>IF(OR(B157="",Q157=""),"",IF(TODAY()&lt;Q157,"파견예정",IF(AND(R157&lt;&gt;"",TODAY()&gt;R157),"파견종료","파견중")))</f>
        <v/>
      </c>
      <c r="T157" s="12">
        <f>IF(OR(Q157="",R157=""),"",R157-Q157+1)</f>
        <v/>
      </c>
      <c r="U157" s="12">
        <f>IF(AND(S157="파견중",R157&lt;&gt;""),R157-TODAY(),"")</f>
        <v/>
      </c>
      <c r="V157" s="5" t="n"/>
      <c r="W157" s="8">
        <f>IF(B157="","",IFERROR(MATCH(B157,기본자료!$B$2:$B$501,0),IFERROR(MATCH(B157&amp;"",기본자료!$B$2:$B$501,0),IFERROR(MATCH(VALUE(B157),기본자료!$B$2:$B$501,0),""))))</f>
        <v/>
      </c>
    </row>
    <row r="158">
      <c r="A158" s="8">
        <f>IF(B158="","",ROW()-1)</f>
        <v/>
      </c>
      <c r="B158" s="9" t="n"/>
      <c r="C158" s="8">
        <f>IF($W158="","",IF(INDEX(기본자료!$C$2:$C$501,$W158)="","",INDEX(기본자료!$C$2:$C$501,$W158)))</f>
        <v/>
      </c>
      <c r="D158" s="8">
        <f>IF($W158="","",IF(INDEX(기본자료!$J$2:$J$501,$W158)="","",INDEX(기본자료!$J$2:$J$501,$W158)))</f>
        <v/>
      </c>
      <c r="E158" s="10">
        <f>IF($W158="","",IF(INDEX(기본자료!$K$2:$K$501,$W158)="","",IF(NOT(ISNUMBER(INDEX(기본자료!$K$2:$K$501,$W158))),INDEX(기본자료!$K$2:$K$501,$W158),IF(INDEX(기본자료!$K$2:$K$501,$W158)&lt;1000000,INDEX(기본자료!$K$2:$K$501,$W158),IF(AND(INDEX(기본자료!$K$2:$K$501,$W158)&gt;=10000101,INT(MOD(INDEX(기본자료!$K$2:$K$501,$W158),10000)/100)&gt;=1,INT(MOD(INDEX(기본자료!$K$2:$K$501,$W158),10000)/100)&lt;=12,MOD(INDEX(기본자료!$K$2:$K$501,$W158),100)&gt;=1,MOD(INDEX(기본자료!$K$2:$K$501,$W158),100)&lt;=31),DATE(INT(INDEX(기본자료!$K$2:$K$501,$W158)/10000),INT(MOD(INDEX(기본자료!$K$2:$K$501,$W158),10000)/100),MOD(INDEX(기본자료!$K$2:$K$501,$W158),100)),INDEX(기본자료!$K$2:$K$501,$W158)&amp;"")))))</f>
        <v/>
      </c>
      <c r="F158" s="8">
        <f>IF($W158="","",IF(INDEX(기본자료!$D$2:$D$501,$W158)="","",INDEX(기본자료!$D$2:$D$501,$W158)))</f>
        <v/>
      </c>
      <c r="G158" s="8">
        <f>IF($W158="","",IF(INDEX(기본자료!$E$2:$E$501,$W158)="","",INDEX(기본자료!$E$2:$E$501,$W158)))</f>
        <v/>
      </c>
      <c r="H158" s="8">
        <f>IF($W158="","",IF(INDEX(기본자료!$F$2:$F$501,$W158)="","",INDEX(기본자료!$F$2:$F$501,$W158)))</f>
        <v/>
      </c>
      <c r="I158" s="10">
        <f>IF($W158="","",IF(INDEX(기본자료!$G$2:$G$501,$W158)="","",IF(NOT(ISNUMBER(INDEX(기본자료!$G$2:$G$501,$W158))),INDEX(기본자료!$G$2:$G$501,$W158),IF(INDEX(기본자료!$G$2:$G$501,$W158)&lt;1000000,INDEX(기본자료!$G$2:$G$501,$W158),IF(AND(INDEX(기본자료!$G$2:$G$501,$W158)&gt;=10000101,INT(MOD(INDEX(기본자료!$G$2:$G$501,$W158),10000)/100)&gt;=1,INT(MOD(INDEX(기본자료!$G$2:$G$501,$W158),10000)/100)&lt;=12,MOD(INDEX(기본자료!$G$2:$G$501,$W158),100)&gt;=1,MOD(INDEX(기본자료!$G$2:$G$501,$W158),100)&lt;=31),DATE(INT(INDEX(기본자료!$G$2:$G$501,$W158)/10000),INT(MOD(INDEX(기본자료!$G$2:$G$501,$W158),10000)/100),MOD(INDEX(기본자료!$G$2:$G$501,$W158),100)),INDEX(기본자료!$G$2:$G$501,$W158)&amp;"")))))</f>
        <v/>
      </c>
      <c r="J158" s="8">
        <f>IF($W158="","",IF(INDEX(기본자료!$H$2:$H$501,$W158)="","",INDEX(기본자료!$H$2:$H$501,$W158)))</f>
        <v/>
      </c>
      <c r="K158" s="8">
        <f>IF($W158="","",IF(INDEX(기본자료!$I$2:$I$501,$W158)="","",INDEX(기본자료!$I$2:$I$501,$W158)))</f>
        <v/>
      </c>
      <c r="L158" s="8">
        <f>IF($W158="","",IF(INDEX(기본자료!$A$2:$A$501,$W158)="","",INDEX(기본자료!$A$2:$A$501,$W158)))</f>
        <v/>
      </c>
      <c r="M158" s="5" t="n"/>
      <c r="N158" s="5" t="n"/>
      <c r="O158" s="5" t="n"/>
      <c r="P158" s="5" t="n"/>
      <c r="Q158" s="11" t="n"/>
      <c r="R158" s="11" t="n"/>
      <c r="S158" s="8">
        <f>IF(OR(B158="",Q158=""),"",IF(TODAY()&lt;Q158,"파견예정",IF(AND(R158&lt;&gt;"",TODAY()&gt;R158),"파견종료","파견중")))</f>
        <v/>
      </c>
      <c r="T158" s="12">
        <f>IF(OR(Q158="",R158=""),"",R158-Q158+1)</f>
        <v/>
      </c>
      <c r="U158" s="12">
        <f>IF(AND(S158="파견중",R158&lt;&gt;""),R158-TODAY(),"")</f>
        <v/>
      </c>
      <c r="V158" s="5" t="n"/>
      <c r="W158" s="8">
        <f>IF(B158="","",IFERROR(MATCH(B158,기본자료!$B$2:$B$501,0),IFERROR(MATCH(B158&amp;"",기본자료!$B$2:$B$501,0),IFERROR(MATCH(VALUE(B158),기본자료!$B$2:$B$501,0),""))))</f>
        <v/>
      </c>
    </row>
    <row r="159">
      <c r="A159" s="8">
        <f>IF(B159="","",ROW()-1)</f>
        <v/>
      </c>
      <c r="B159" s="9" t="n"/>
      <c r="C159" s="8">
        <f>IF($W159="","",IF(INDEX(기본자료!$C$2:$C$501,$W159)="","",INDEX(기본자료!$C$2:$C$501,$W159)))</f>
        <v/>
      </c>
      <c r="D159" s="8">
        <f>IF($W159="","",IF(INDEX(기본자료!$J$2:$J$501,$W159)="","",INDEX(기본자료!$J$2:$J$501,$W159)))</f>
        <v/>
      </c>
      <c r="E159" s="10">
        <f>IF($W159="","",IF(INDEX(기본자료!$K$2:$K$501,$W159)="","",IF(NOT(ISNUMBER(INDEX(기본자료!$K$2:$K$501,$W159))),INDEX(기본자료!$K$2:$K$501,$W159),IF(INDEX(기본자료!$K$2:$K$501,$W159)&lt;1000000,INDEX(기본자료!$K$2:$K$501,$W159),IF(AND(INDEX(기본자료!$K$2:$K$501,$W159)&gt;=10000101,INT(MOD(INDEX(기본자료!$K$2:$K$501,$W159),10000)/100)&gt;=1,INT(MOD(INDEX(기본자료!$K$2:$K$501,$W159),10000)/100)&lt;=12,MOD(INDEX(기본자료!$K$2:$K$501,$W159),100)&gt;=1,MOD(INDEX(기본자료!$K$2:$K$501,$W159),100)&lt;=31),DATE(INT(INDEX(기본자료!$K$2:$K$501,$W159)/10000),INT(MOD(INDEX(기본자료!$K$2:$K$501,$W159),10000)/100),MOD(INDEX(기본자료!$K$2:$K$501,$W159),100)),INDEX(기본자료!$K$2:$K$501,$W159)&amp;"")))))</f>
        <v/>
      </c>
      <c r="F159" s="8">
        <f>IF($W159="","",IF(INDEX(기본자료!$D$2:$D$501,$W159)="","",INDEX(기본자료!$D$2:$D$501,$W159)))</f>
        <v/>
      </c>
      <c r="G159" s="8">
        <f>IF($W159="","",IF(INDEX(기본자료!$E$2:$E$501,$W159)="","",INDEX(기본자료!$E$2:$E$501,$W159)))</f>
        <v/>
      </c>
      <c r="H159" s="8">
        <f>IF($W159="","",IF(INDEX(기본자료!$F$2:$F$501,$W159)="","",INDEX(기본자료!$F$2:$F$501,$W159)))</f>
        <v/>
      </c>
      <c r="I159" s="10">
        <f>IF($W159="","",IF(INDEX(기본자료!$G$2:$G$501,$W159)="","",IF(NOT(ISNUMBER(INDEX(기본자료!$G$2:$G$501,$W159))),INDEX(기본자료!$G$2:$G$501,$W159),IF(INDEX(기본자료!$G$2:$G$501,$W159)&lt;1000000,INDEX(기본자료!$G$2:$G$501,$W159),IF(AND(INDEX(기본자료!$G$2:$G$501,$W159)&gt;=10000101,INT(MOD(INDEX(기본자료!$G$2:$G$501,$W159),10000)/100)&gt;=1,INT(MOD(INDEX(기본자료!$G$2:$G$501,$W159),10000)/100)&lt;=12,MOD(INDEX(기본자료!$G$2:$G$501,$W159),100)&gt;=1,MOD(INDEX(기본자료!$G$2:$G$501,$W159),100)&lt;=31),DATE(INT(INDEX(기본자료!$G$2:$G$501,$W159)/10000),INT(MOD(INDEX(기본자료!$G$2:$G$501,$W159),10000)/100),MOD(INDEX(기본자료!$G$2:$G$501,$W159),100)),INDEX(기본자료!$G$2:$G$501,$W159)&amp;"")))))</f>
        <v/>
      </c>
      <c r="J159" s="8">
        <f>IF($W159="","",IF(INDEX(기본자료!$H$2:$H$501,$W159)="","",INDEX(기본자료!$H$2:$H$501,$W159)))</f>
        <v/>
      </c>
      <c r="K159" s="8">
        <f>IF($W159="","",IF(INDEX(기본자료!$I$2:$I$501,$W159)="","",INDEX(기본자료!$I$2:$I$501,$W159)))</f>
        <v/>
      </c>
      <c r="L159" s="8">
        <f>IF($W159="","",IF(INDEX(기본자료!$A$2:$A$501,$W159)="","",INDEX(기본자료!$A$2:$A$501,$W159)))</f>
        <v/>
      </c>
      <c r="M159" s="5" t="n"/>
      <c r="N159" s="5" t="n"/>
      <c r="O159" s="5" t="n"/>
      <c r="P159" s="5" t="n"/>
      <c r="Q159" s="11" t="n"/>
      <c r="R159" s="11" t="n"/>
      <c r="S159" s="8">
        <f>IF(OR(B159="",Q159=""),"",IF(TODAY()&lt;Q159,"파견예정",IF(AND(R159&lt;&gt;"",TODAY()&gt;R159),"파견종료","파견중")))</f>
        <v/>
      </c>
      <c r="T159" s="12">
        <f>IF(OR(Q159="",R159=""),"",R159-Q159+1)</f>
        <v/>
      </c>
      <c r="U159" s="12">
        <f>IF(AND(S159="파견중",R159&lt;&gt;""),R159-TODAY(),"")</f>
        <v/>
      </c>
      <c r="V159" s="5" t="n"/>
      <c r="W159" s="8">
        <f>IF(B159="","",IFERROR(MATCH(B159,기본자료!$B$2:$B$501,0),IFERROR(MATCH(B159&amp;"",기본자료!$B$2:$B$501,0),IFERROR(MATCH(VALUE(B159),기본자료!$B$2:$B$501,0),""))))</f>
        <v/>
      </c>
    </row>
    <row r="160">
      <c r="A160" s="8">
        <f>IF(B160="","",ROW()-1)</f>
        <v/>
      </c>
      <c r="B160" s="9" t="n"/>
      <c r="C160" s="8">
        <f>IF($W160="","",IF(INDEX(기본자료!$C$2:$C$501,$W160)="","",INDEX(기본자료!$C$2:$C$501,$W160)))</f>
        <v/>
      </c>
      <c r="D160" s="8">
        <f>IF($W160="","",IF(INDEX(기본자료!$J$2:$J$501,$W160)="","",INDEX(기본자료!$J$2:$J$501,$W160)))</f>
        <v/>
      </c>
      <c r="E160" s="10">
        <f>IF($W160="","",IF(INDEX(기본자료!$K$2:$K$501,$W160)="","",IF(NOT(ISNUMBER(INDEX(기본자료!$K$2:$K$501,$W160))),INDEX(기본자료!$K$2:$K$501,$W160),IF(INDEX(기본자료!$K$2:$K$501,$W160)&lt;1000000,INDEX(기본자료!$K$2:$K$501,$W160),IF(AND(INDEX(기본자료!$K$2:$K$501,$W160)&gt;=10000101,INT(MOD(INDEX(기본자료!$K$2:$K$501,$W160),10000)/100)&gt;=1,INT(MOD(INDEX(기본자료!$K$2:$K$501,$W160),10000)/100)&lt;=12,MOD(INDEX(기본자료!$K$2:$K$501,$W160),100)&gt;=1,MOD(INDEX(기본자료!$K$2:$K$501,$W160),100)&lt;=31),DATE(INT(INDEX(기본자료!$K$2:$K$501,$W160)/10000),INT(MOD(INDEX(기본자료!$K$2:$K$501,$W160),10000)/100),MOD(INDEX(기본자료!$K$2:$K$501,$W160),100)),INDEX(기본자료!$K$2:$K$501,$W160)&amp;"")))))</f>
        <v/>
      </c>
      <c r="F160" s="8">
        <f>IF($W160="","",IF(INDEX(기본자료!$D$2:$D$501,$W160)="","",INDEX(기본자료!$D$2:$D$501,$W160)))</f>
        <v/>
      </c>
      <c r="G160" s="8">
        <f>IF($W160="","",IF(INDEX(기본자료!$E$2:$E$501,$W160)="","",INDEX(기본자료!$E$2:$E$501,$W160)))</f>
        <v/>
      </c>
      <c r="H160" s="8">
        <f>IF($W160="","",IF(INDEX(기본자료!$F$2:$F$501,$W160)="","",INDEX(기본자료!$F$2:$F$501,$W160)))</f>
        <v/>
      </c>
      <c r="I160" s="10">
        <f>IF($W160="","",IF(INDEX(기본자료!$G$2:$G$501,$W160)="","",IF(NOT(ISNUMBER(INDEX(기본자료!$G$2:$G$501,$W160))),INDEX(기본자료!$G$2:$G$501,$W160),IF(INDEX(기본자료!$G$2:$G$501,$W160)&lt;1000000,INDEX(기본자료!$G$2:$G$501,$W160),IF(AND(INDEX(기본자료!$G$2:$G$501,$W160)&gt;=10000101,INT(MOD(INDEX(기본자료!$G$2:$G$501,$W160),10000)/100)&gt;=1,INT(MOD(INDEX(기본자료!$G$2:$G$501,$W160),10000)/100)&lt;=12,MOD(INDEX(기본자료!$G$2:$G$501,$W160),100)&gt;=1,MOD(INDEX(기본자료!$G$2:$G$501,$W160),100)&lt;=31),DATE(INT(INDEX(기본자료!$G$2:$G$501,$W160)/10000),INT(MOD(INDEX(기본자료!$G$2:$G$501,$W160),10000)/100),MOD(INDEX(기본자료!$G$2:$G$501,$W160),100)),INDEX(기본자료!$G$2:$G$501,$W160)&amp;"")))))</f>
        <v/>
      </c>
      <c r="J160" s="8">
        <f>IF($W160="","",IF(INDEX(기본자료!$H$2:$H$501,$W160)="","",INDEX(기본자료!$H$2:$H$501,$W160)))</f>
        <v/>
      </c>
      <c r="K160" s="8">
        <f>IF($W160="","",IF(INDEX(기본자료!$I$2:$I$501,$W160)="","",INDEX(기본자료!$I$2:$I$501,$W160)))</f>
        <v/>
      </c>
      <c r="L160" s="8">
        <f>IF($W160="","",IF(INDEX(기본자료!$A$2:$A$501,$W160)="","",INDEX(기본자료!$A$2:$A$501,$W160)))</f>
        <v/>
      </c>
      <c r="M160" s="5" t="n"/>
      <c r="N160" s="5" t="n"/>
      <c r="O160" s="5" t="n"/>
      <c r="P160" s="5" t="n"/>
      <c r="Q160" s="11" t="n"/>
      <c r="R160" s="11" t="n"/>
      <c r="S160" s="8">
        <f>IF(OR(B160="",Q160=""),"",IF(TODAY()&lt;Q160,"파견예정",IF(AND(R160&lt;&gt;"",TODAY()&gt;R160),"파견종료","파견중")))</f>
        <v/>
      </c>
      <c r="T160" s="12">
        <f>IF(OR(Q160="",R160=""),"",R160-Q160+1)</f>
        <v/>
      </c>
      <c r="U160" s="12">
        <f>IF(AND(S160="파견중",R160&lt;&gt;""),R160-TODAY(),"")</f>
        <v/>
      </c>
      <c r="V160" s="5" t="n"/>
      <c r="W160" s="8">
        <f>IF(B160="","",IFERROR(MATCH(B160,기본자료!$B$2:$B$501,0),IFERROR(MATCH(B160&amp;"",기본자료!$B$2:$B$501,0),IFERROR(MATCH(VALUE(B160),기본자료!$B$2:$B$501,0),""))))</f>
        <v/>
      </c>
    </row>
    <row r="161">
      <c r="A161" s="8">
        <f>IF(B161="","",ROW()-1)</f>
        <v/>
      </c>
      <c r="B161" s="9" t="n"/>
      <c r="C161" s="8">
        <f>IF($W161="","",IF(INDEX(기본자료!$C$2:$C$501,$W161)="","",INDEX(기본자료!$C$2:$C$501,$W161)))</f>
        <v/>
      </c>
      <c r="D161" s="8">
        <f>IF($W161="","",IF(INDEX(기본자료!$J$2:$J$501,$W161)="","",INDEX(기본자료!$J$2:$J$501,$W161)))</f>
        <v/>
      </c>
      <c r="E161" s="10">
        <f>IF($W161="","",IF(INDEX(기본자료!$K$2:$K$501,$W161)="","",IF(NOT(ISNUMBER(INDEX(기본자료!$K$2:$K$501,$W161))),INDEX(기본자료!$K$2:$K$501,$W161),IF(INDEX(기본자료!$K$2:$K$501,$W161)&lt;1000000,INDEX(기본자료!$K$2:$K$501,$W161),IF(AND(INDEX(기본자료!$K$2:$K$501,$W161)&gt;=10000101,INT(MOD(INDEX(기본자료!$K$2:$K$501,$W161),10000)/100)&gt;=1,INT(MOD(INDEX(기본자료!$K$2:$K$501,$W161),10000)/100)&lt;=12,MOD(INDEX(기본자료!$K$2:$K$501,$W161),100)&gt;=1,MOD(INDEX(기본자료!$K$2:$K$501,$W161),100)&lt;=31),DATE(INT(INDEX(기본자료!$K$2:$K$501,$W161)/10000),INT(MOD(INDEX(기본자료!$K$2:$K$501,$W161),10000)/100),MOD(INDEX(기본자료!$K$2:$K$501,$W161),100)),INDEX(기본자료!$K$2:$K$501,$W161)&amp;"")))))</f>
        <v/>
      </c>
      <c r="F161" s="8">
        <f>IF($W161="","",IF(INDEX(기본자료!$D$2:$D$501,$W161)="","",INDEX(기본자료!$D$2:$D$501,$W161)))</f>
        <v/>
      </c>
      <c r="G161" s="8">
        <f>IF($W161="","",IF(INDEX(기본자료!$E$2:$E$501,$W161)="","",INDEX(기본자료!$E$2:$E$501,$W161)))</f>
        <v/>
      </c>
      <c r="H161" s="8">
        <f>IF($W161="","",IF(INDEX(기본자료!$F$2:$F$501,$W161)="","",INDEX(기본자료!$F$2:$F$501,$W161)))</f>
        <v/>
      </c>
      <c r="I161" s="10">
        <f>IF($W161="","",IF(INDEX(기본자료!$G$2:$G$501,$W161)="","",IF(NOT(ISNUMBER(INDEX(기본자료!$G$2:$G$501,$W161))),INDEX(기본자료!$G$2:$G$501,$W161),IF(INDEX(기본자료!$G$2:$G$501,$W161)&lt;1000000,INDEX(기본자료!$G$2:$G$501,$W161),IF(AND(INDEX(기본자료!$G$2:$G$501,$W161)&gt;=10000101,INT(MOD(INDEX(기본자료!$G$2:$G$501,$W161),10000)/100)&gt;=1,INT(MOD(INDEX(기본자료!$G$2:$G$501,$W161),10000)/100)&lt;=12,MOD(INDEX(기본자료!$G$2:$G$501,$W161),100)&gt;=1,MOD(INDEX(기본자료!$G$2:$G$501,$W161),100)&lt;=31),DATE(INT(INDEX(기본자료!$G$2:$G$501,$W161)/10000),INT(MOD(INDEX(기본자료!$G$2:$G$501,$W161),10000)/100),MOD(INDEX(기본자료!$G$2:$G$501,$W161),100)),INDEX(기본자료!$G$2:$G$501,$W161)&amp;"")))))</f>
        <v/>
      </c>
      <c r="J161" s="8">
        <f>IF($W161="","",IF(INDEX(기본자료!$H$2:$H$501,$W161)="","",INDEX(기본자료!$H$2:$H$501,$W161)))</f>
        <v/>
      </c>
      <c r="K161" s="8">
        <f>IF($W161="","",IF(INDEX(기본자료!$I$2:$I$501,$W161)="","",INDEX(기본자료!$I$2:$I$501,$W161)))</f>
        <v/>
      </c>
      <c r="L161" s="8">
        <f>IF($W161="","",IF(INDEX(기본자료!$A$2:$A$501,$W161)="","",INDEX(기본자료!$A$2:$A$501,$W161)))</f>
        <v/>
      </c>
      <c r="M161" s="5" t="n"/>
      <c r="N161" s="5" t="n"/>
      <c r="O161" s="5" t="n"/>
      <c r="P161" s="5" t="n"/>
      <c r="Q161" s="11" t="n"/>
      <c r="R161" s="11" t="n"/>
      <c r="S161" s="8">
        <f>IF(OR(B161="",Q161=""),"",IF(TODAY()&lt;Q161,"파견예정",IF(AND(R161&lt;&gt;"",TODAY()&gt;R161),"파견종료","파견중")))</f>
        <v/>
      </c>
      <c r="T161" s="12">
        <f>IF(OR(Q161="",R161=""),"",R161-Q161+1)</f>
        <v/>
      </c>
      <c r="U161" s="12">
        <f>IF(AND(S161="파견중",R161&lt;&gt;""),R161-TODAY(),"")</f>
        <v/>
      </c>
      <c r="V161" s="5" t="n"/>
      <c r="W161" s="8">
        <f>IF(B161="","",IFERROR(MATCH(B161,기본자료!$B$2:$B$501,0),IFERROR(MATCH(B161&amp;"",기본자료!$B$2:$B$501,0),IFERROR(MATCH(VALUE(B161),기본자료!$B$2:$B$501,0),""))))</f>
        <v/>
      </c>
    </row>
    <row r="162">
      <c r="A162" s="8">
        <f>IF(B162="","",ROW()-1)</f>
        <v/>
      </c>
      <c r="B162" s="9" t="n"/>
      <c r="C162" s="8">
        <f>IF($W162="","",IF(INDEX(기본자료!$C$2:$C$501,$W162)="","",INDEX(기본자료!$C$2:$C$501,$W162)))</f>
        <v/>
      </c>
      <c r="D162" s="8">
        <f>IF($W162="","",IF(INDEX(기본자료!$J$2:$J$501,$W162)="","",INDEX(기본자료!$J$2:$J$501,$W162)))</f>
        <v/>
      </c>
      <c r="E162" s="10">
        <f>IF($W162="","",IF(INDEX(기본자료!$K$2:$K$501,$W162)="","",IF(NOT(ISNUMBER(INDEX(기본자료!$K$2:$K$501,$W162))),INDEX(기본자료!$K$2:$K$501,$W162),IF(INDEX(기본자료!$K$2:$K$501,$W162)&lt;1000000,INDEX(기본자료!$K$2:$K$501,$W162),IF(AND(INDEX(기본자료!$K$2:$K$501,$W162)&gt;=10000101,INT(MOD(INDEX(기본자료!$K$2:$K$501,$W162),10000)/100)&gt;=1,INT(MOD(INDEX(기본자료!$K$2:$K$501,$W162),10000)/100)&lt;=12,MOD(INDEX(기본자료!$K$2:$K$501,$W162),100)&gt;=1,MOD(INDEX(기본자료!$K$2:$K$501,$W162),100)&lt;=31),DATE(INT(INDEX(기본자료!$K$2:$K$501,$W162)/10000),INT(MOD(INDEX(기본자료!$K$2:$K$501,$W162),10000)/100),MOD(INDEX(기본자료!$K$2:$K$501,$W162),100)),INDEX(기본자료!$K$2:$K$501,$W162)&amp;"")))))</f>
        <v/>
      </c>
      <c r="F162" s="8">
        <f>IF($W162="","",IF(INDEX(기본자료!$D$2:$D$501,$W162)="","",INDEX(기본자료!$D$2:$D$501,$W162)))</f>
        <v/>
      </c>
      <c r="G162" s="8">
        <f>IF($W162="","",IF(INDEX(기본자료!$E$2:$E$501,$W162)="","",INDEX(기본자료!$E$2:$E$501,$W162)))</f>
        <v/>
      </c>
      <c r="H162" s="8">
        <f>IF($W162="","",IF(INDEX(기본자료!$F$2:$F$501,$W162)="","",INDEX(기본자료!$F$2:$F$501,$W162)))</f>
        <v/>
      </c>
      <c r="I162" s="10">
        <f>IF($W162="","",IF(INDEX(기본자료!$G$2:$G$501,$W162)="","",IF(NOT(ISNUMBER(INDEX(기본자료!$G$2:$G$501,$W162))),INDEX(기본자료!$G$2:$G$501,$W162),IF(INDEX(기본자료!$G$2:$G$501,$W162)&lt;1000000,INDEX(기본자료!$G$2:$G$501,$W162),IF(AND(INDEX(기본자료!$G$2:$G$501,$W162)&gt;=10000101,INT(MOD(INDEX(기본자료!$G$2:$G$501,$W162),10000)/100)&gt;=1,INT(MOD(INDEX(기본자료!$G$2:$G$501,$W162),10000)/100)&lt;=12,MOD(INDEX(기본자료!$G$2:$G$501,$W162),100)&gt;=1,MOD(INDEX(기본자료!$G$2:$G$501,$W162),100)&lt;=31),DATE(INT(INDEX(기본자료!$G$2:$G$501,$W162)/10000),INT(MOD(INDEX(기본자료!$G$2:$G$501,$W162),10000)/100),MOD(INDEX(기본자료!$G$2:$G$501,$W162),100)),INDEX(기본자료!$G$2:$G$501,$W162)&amp;"")))))</f>
        <v/>
      </c>
      <c r="J162" s="8">
        <f>IF($W162="","",IF(INDEX(기본자료!$H$2:$H$501,$W162)="","",INDEX(기본자료!$H$2:$H$501,$W162)))</f>
        <v/>
      </c>
      <c r="K162" s="8">
        <f>IF($W162="","",IF(INDEX(기본자료!$I$2:$I$501,$W162)="","",INDEX(기본자료!$I$2:$I$501,$W162)))</f>
        <v/>
      </c>
      <c r="L162" s="8">
        <f>IF($W162="","",IF(INDEX(기본자료!$A$2:$A$501,$W162)="","",INDEX(기본자료!$A$2:$A$501,$W162)))</f>
        <v/>
      </c>
      <c r="M162" s="5" t="n"/>
      <c r="N162" s="5" t="n"/>
      <c r="O162" s="5" t="n"/>
      <c r="P162" s="5" t="n"/>
      <c r="Q162" s="11" t="n"/>
      <c r="R162" s="11" t="n"/>
      <c r="S162" s="8">
        <f>IF(OR(B162="",Q162=""),"",IF(TODAY()&lt;Q162,"파견예정",IF(AND(R162&lt;&gt;"",TODAY()&gt;R162),"파견종료","파견중")))</f>
        <v/>
      </c>
      <c r="T162" s="12">
        <f>IF(OR(Q162="",R162=""),"",R162-Q162+1)</f>
        <v/>
      </c>
      <c r="U162" s="12">
        <f>IF(AND(S162="파견중",R162&lt;&gt;""),R162-TODAY(),"")</f>
        <v/>
      </c>
      <c r="V162" s="5" t="n"/>
      <c r="W162" s="8">
        <f>IF(B162="","",IFERROR(MATCH(B162,기본자료!$B$2:$B$501,0),IFERROR(MATCH(B162&amp;"",기본자료!$B$2:$B$501,0),IFERROR(MATCH(VALUE(B162),기본자료!$B$2:$B$501,0),""))))</f>
        <v/>
      </c>
    </row>
    <row r="163">
      <c r="A163" s="8">
        <f>IF(B163="","",ROW()-1)</f>
        <v/>
      </c>
      <c r="B163" s="9" t="n"/>
      <c r="C163" s="8">
        <f>IF($W163="","",IF(INDEX(기본자료!$C$2:$C$501,$W163)="","",INDEX(기본자료!$C$2:$C$501,$W163)))</f>
        <v/>
      </c>
      <c r="D163" s="8">
        <f>IF($W163="","",IF(INDEX(기본자료!$J$2:$J$501,$W163)="","",INDEX(기본자료!$J$2:$J$501,$W163)))</f>
        <v/>
      </c>
      <c r="E163" s="10">
        <f>IF($W163="","",IF(INDEX(기본자료!$K$2:$K$501,$W163)="","",IF(NOT(ISNUMBER(INDEX(기본자료!$K$2:$K$501,$W163))),INDEX(기본자료!$K$2:$K$501,$W163),IF(INDEX(기본자료!$K$2:$K$501,$W163)&lt;1000000,INDEX(기본자료!$K$2:$K$501,$W163),IF(AND(INDEX(기본자료!$K$2:$K$501,$W163)&gt;=10000101,INT(MOD(INDEX(기본자료!$K$2:$K$501,$W163),10000)/100)&gt;=1,INT(MOD(INDEX(기본자료!$K$2:$K$501,$W163),10000)/100)&lt;=12,MOD(INDEX(기본자료!$K$2:$K$501,$W163),100)&gt;=1,MOD(INDEX(기본자료!$K$2:$K$501,$W163),100)&lt;=31),DATE(INT(INDEX(기본자료!$K$2:$K$501,$W163)/10000),INT(MOD(INDEX(기본자료!$K$2:$K$501,$W163),10000)/100),MOD(INDEX(기본자료!$K$2:$K$501,$W163),100)),INDEX(기본자료!$K$2:$K$501,$W163)&amp;"")))))</f>
        <v/>
      </c>
      <c r="F163" s="8">
        <f>IF($W163="","",IF(INDEX(기본자료!$D$2:$D$501,$W163)="","",INDEX(기본자료!$D$2:$D$501,$W163)))</f>
        <v/>
      </c>
      <c r="G163" s="8">
        <f>IF($W163="","",IF(INDEX(기본자료!$E$2:$E$501,$W163)="","",INDEX(기본자료!$E$2:$E$501,$W163)))</f>
        <v/>
      </c>
      <c r="H163" s="8">
        <f>IF($W163="","",IF(INDEX(기본자료!$F$2:$F$501,$W163)="","",INDEX(기본자료!$F$2:$F$501,$W163)))</f>
        <v/>
      </c>
      <c r="I163" s="10">
        <f>IF($W163="","",IF(INDEX(기본자료!$G$2:$G$501,$W163)="","",IF(NOT(ISNUMBER(INDEX(기본자료!$G$2:$G$501,$W163))),INDEX(기본자료!$G$2:$G$501,$W163),IF(INDEX(기본자료!$G$2:$G$501,$W163)&lt;1000000,INDEX(기본자료!$G$2:$G$501,$W163),IF(AND(INDEX(기본자료!$G$2:$G$501,$W163)&gt;=10000101,INT(MOD(INDEX(기본자료!$G$2:$G$501,$W163),10000)/100)&gt;=1,INT(MOD(INDEX(기본자료!$G$2:$G$501,$W163),10000)/100)&lt;=12,MOD(INDEX(기본자료!$G$2:$G$501,$W163),100)&gt;=1,MOD(INDEX(기본자료!$G$2:$G$501,$W163),100)&lt;=31),DATE(INT(INDEX(기본자료!$G$2:$G$501,$W163)/10000),INT(MOD(INDEX(기본자료!$G$2:$G$501,$W163),10000)/100),MOD(INDEX(기본자료!$G$2:$G$501,$W163),100)),INDEX(기본자료!$G$2:$G$501,$W163)&amp;"")))))</f>
        <v/>
      </c>
      <c r="J163" s="8">
        <f>IF($W163="","",IF(INDEX(기본자료!$H$2:$H$501,$W163)="","",INDEX(기본자료!$H$2:$H$501,$W163)))</f>
        <v/>
      </c>
      <c r="K163" s="8">
        <f>IF($W163="","",IF(INDEX(기본자료!$I$2:$I$501,$W163)="","",INDEX(기본자료!$I$2:$I$501,$W163)))</f>
        <v/>
      </c>
      <c r="L163" s="8">
        <f>IF($W163="","",IF(INDEX(기본자료!$A$2:$A$501,$W163)="","",INDEX(기본자료!$A$2:$A$501,$W163)))</f>
        <v/>
      </c>
      <c r="M163" s="5" t="n"/>
      <c r="N163" s="5" t="n"/>
      <c r="O163" s="5" t="n"/>
      <c r="P163" s="5" t="n"/>
      <c r="Q163" s="11" t="n"/>
      <c r="R163" s="11" t="n"/>
      <c r="S163" s="8">
        <f>IF(OR(B163="",Q163=""),"",IF(TODAY()&lt;Q163,"파견예정",IF(AND(R163&lt;&gt;"",TODAY()&gt;R163),"파견종료","파견중")))</f>
        <v/>
      </c>
      <c r="T163" s="12">
        <f>IF(OR(Q163="",R163=""),"",R163-Q163+1)</f>
        <v/>
      </c>
      <c r="U163" s="12">
        <f>IF(AND(S163="파견중",R163&lt;&gt;""),R163-TODAY(),"")</f>
        <v/>
      </c>
      <c r="V163" s="5" t="n"/>
      <c r="W163" s="8">
        <f>IF(B163="","",IFERROR(MATCH(B163,기본자료!$B$2:$B$501,0),IFERROR(MATCH(B163&amp;"",기본자료!$B$2:$B$501,0),IFERROR(MATCH(VALUE(B163),기본자료!$B$2:$B$501,0),""))))</f>
        <v/>
      </c>
    </row>
    <row r="164">
      <c r="A164" s="8">
        <f>IF(B164="","",ROW()-1)</f>
        <v/>
      </c>
      <c r="B164" s="9" t="n"/>
      <c r="C164" s="8">
        <f>IF($W164="","",IF(INDEX(기본자료!$C$2:$C$501,$W164)="","",INDEX(기본자료!$C$2:$C$501,$W164)))</f>
        <v/>
      </c>
      <c r="D164" s="8">
        <f>IF($W164="","",IF(INDEX(기본자료!$J$2:$J$501,$W164)="","",INDEX(기본자료!$J$2:$J$501,$W164)))</f>
        <v/>
      </c>
      <c r="E164" s="10">
        <f>IF($W164="","",IF(INDEX(기본자료!$K$2:$K$501,$W164)="","",IF(NOT(ISNUMBER(INDEX(기본자료!$K$2:$K$501,$W164))),INDEX(기본자료!$K$2:$K$501,$W164),IF(INDEX(기본자료!$K$2:$K$501,$W164)&lt;1000000,INDEX(기본자료!$K$2:$K$501,$W164),IF(AND(INDEX(기본자료!$K$2:$K$501,$W164)&gt;=10000101,INT(MOD(INDEX(기본자료!$K$2:$K$501,$W164),10000)/100)&gt;=1,INT(MOD(INDEX(기본자료!$K$2:$K$501,$W164),10000)/100)&lt;=12,MOD(INDEX(기본자료!$K$2:$K$501,$W164),100)&gt;=1,MOD(INDEX(기본자료!$K$2:$K$501,$W164),100)&lt;=31),DATE(INT(INDEX(기본자료!$K$2:$K$501,$W164)/10000),INT(MOD(INDEX(기본자료!$K$2:$K$501,$W164),10000)/100),MOD(INDEX(기본자료!$K$2:$K$501,$W164),100)),INDEX(기본자료!$K$2:$K$501,$W164)&amp;"")))))</f>
        <v/>
      </c>
      <c r="F164" s="8">
        <f>IF($W164="","",IF(INDEX(기본자료!$D$2:$D$501,$W164)="","",INDEX(기본자료!$D$2:$D$501,$W164)))</f>
        <v/>
      </c>
      <c r="G164" s="8">
        <f>IF($W164="","",IF(INDEX(기본자료!$E$2:$E$501,$W164)="","",INDEX(기본자료!$E$2:$E$501,$W164)))</f>
        <v/>
      </c>
      <c r="H164" s="8">
        <f>IF($W164="","",IF(INDEX(기본자료!$F$2:$F$501,$W164)="","",INDEX(기본자료!$F$2:$F$501,$W164)))</f>
        <v/>
      </c>
      <c r="I164" s="10">
        <f>IF($W164="","",IF(INDEX(기본자료!$G$2:$G$501,$W164)="","",IF(NOT(ISNUMBER(INDEX(기본자료!$G$2:$G$501,$W164))),INDEX(기본자료!$G$2:$G$501,$W164),IF(INDEX(기본자료!$G$2:$G$501,$W164)&lt;1000000,INDEX(기본자료!$G$2:$G$501,$W164),IF(AND(INDEX(기본자료!$G$2:$G$501,$W164)&gt;=10000101,INT(MOD(INDEX(기본자료!$G$2:$G$501,$W164),10000)/100)&gt;=1,INT(MOD(INDEX(기본자료!$G$2:$G$501,$W164),10000)/100)&lt;=12,MOD(INDEX(기본자료!$G$2:$G$501,$W164),100)&gt;=1,MOD(INDEX(기본자료!$G$2:$G$501,$W164),100)&lt;=31),DATE(INT(INDEX(기본자료!$G$2:$G$501,$W164)/10000),INT(MOD(INDEX(기본자료!$G$2:$G$501,$W164),10000)/100),MOD(INDEX(기본자료!$G$2:$G$501,$W164),100)),INDEX(기본자료!$G$2:$G$501,$W164)&amp;"")))))</f>
        <v/>
      </c>
      <c r="J164" s="8">
        <f>IF($W164="","",IF(INDEX(기본자료!$H$2:$H$501,$W164)="","",INDEX(기본자료!$H$2:$H$501,$W164)))</f>
        <v/>
      </c>
      <c r="K164" s="8">
        <f>IF($W164="","",IF(INDEX(기본자료!$I$2:$I$501,$W164)="","",INDEX(기본자료!$I$2:$I$501,$W164)))</f>
        <v/>
      </c>
      <c r="L164" s="8">
        <f>IF($W164="","",IF(INDEX(기본자료!$A$2:$A$501,$W164)="","",INDEX(기본자료!$A$2:$A$501,$W164)))</f>
        <v/>
      </c>
      <c r="M164" s="5" t="n"/>
      <c r="N164" s="5" t="n"/>
      <c r="O164" s="5" t="n"/>
      <c r="P164" s="5" t="n"/>
      <c r="Q164" s="11" t="n"/>
      <c r="R164" s="11" t="n"/>
      <c r="S164" s="8">
        <f>IF(OR(B164="",Q164=""),"",IF(TODAY()&lt;Q164,"파견예정",IF(AND(R164&lt;&gt;"",TODAY()&gt;R164),"파견종료","파견중")))</f>
        <v/>
      </c>
      <c r="T164" s="12">
        <f>IF(OR(Q164="",R164=""),"",R164-Q164+1)</f>
        <v/>
      </c>
      <c r="U164" s="12">
        <f>IF(AND(S164="파견중",R164&lt;&gt;""),R164-TODAY(),"")</f>
        <v/>
      </c>
      <c r="V164" s="5" t="n"/>
      <c r="W164" s="8">
        <f>IF(B164="","",IFERROR(MATCH(B164,기본자료!$B$2:$B$501,0),IFERROR(MATCH(B164&amp;"",기본자료!$B$2:$B$501,0),IFERROR(MATCH(VALUE(B164),기본자료!$B$2:$B$501,0),""))))</f>
        <v/>
      </c>
    </row>
    <row r="165">
      <c r="A165" s="8">
        <f>IF(B165="","",ROW()-1)</f>
        <v/>
      </c>
      <c r="B165" s="9" t="n"/>
      <c r="C165" s="8">
        <f>IF($W165="","",IF(INDEX(기본자료!$C$2:$C$501,$W165)="","",INDEX(기본자료!$C$2:$C$501,$W165)))</f>
        <v/>
      </c>
      <c r="D165" s="8">
        <f>IF($W165="","",IF(INDEX(기본자료!$J$2:$J$501,$W165)="","",INDEX(기본자료!$J$2:$J$501,$W165)))</f>
        <v/>
      </c>
      <c r="E165" s="10">
        <f>IF($W165="","",IF(INDEX(기본자료!$K$2:$K$501,$W165)="","",IF(NOT(ISNUMBER(INDEX(기본자료!$K$2:$K$501,$W165))),INDEX(기본자료!$K$2:$K$501,$W165),IF(INDEX(기본자료!$K$2:$K$501,$W165)&lt;1000000,INDEX(기본자료!$K$2:$K$501,$W165),IF(AND(INDEX(기본자료!$K$2:$K$501,$W165)&gt;=10000101,INT(MOD(INDEX(기본자료!$K$2:$K$501,$W165),10000)/100)&gt;=1,INT(MOD(INDEX(기본자료!$K$2:$K$501,$W165),10000)/100)&lt;=12,MOD(INDEX(기본자료!$K$2:$K$501,$W165),100)&gt;=1,MOD(INDEX(기본자료!$K$2:$K$501,$W165),100)&lt;=31),DATE(INT(INDEX(기본자료!$K$2:$K$501,$W165)/10000),INT(MOD(INDEX(기본자료!$K$2:$K$501,$W165),10000)/100),MOD(INDEX(기본자료!$K$2:$K$501,$W165),100)),INDEX(기본자료!$K$2:$K$501,$W165)&amp;"")))))</f>
        <v/>
      </c>
      <c r="F165" s="8">
        <f>IF($W165="","",IF(INDEX(기본자료!$D$2:$D$501,$W165)="","",INDEX(기본자료!$D$2:$D$501,$W165)))</f>
        <v/>
      </c>
      <c r="G165" s="8">
        <f>IF($W165="","",IF(INDEX(기본자료!$E$2:$E$501,$W165)="","",INDEX(기본자료!$E$2:$E$501,$W165)))</f>
        <v/>
      </c>
      <c r="H165" s="8">
        <f>IF($W165="","",IF(INDEX(기본자료!$F$2:$F$501,$W165)="","",INDEX(기본자료!$F$2:$F$501,$W165)))</f>
        <v/>
      </c>
      <c r="I165" s="10">
        <f>IF($W165="","",IF(INDEX(기본자료!$G$2:$G$501,$W165)="","",IF(NOT(ISNUMBER(INDEX(기본자료!$G$2:$G$501,$W165))),INDEX(기본자료!$G$2:$G$501,$W165),IF(INDEX(기본자료!$G$2:$G$501,$W165)&lt;1000000,INDEX(기본자료!$G$2:$G$501,$W165),IF(AND(INDEX(기본자료!$G$2:$G$501,$W165)&gt;=10000101,INT(MOD(INDEX(기본자료!$G$2:$G$501,$W165),10000)/100)&gt;=1,INT(MOD(INDEX(기본자료!$G$2:$G$501,$W165),10000)/100)&lt;=12,MOD(INDEX(기본자료!$G$2:$G$501,$W165),100)&gt;=1,MOD(INDEX(기본자료!$G$2:$G$501,$W165),100)&lt;=31),DATE(INT(INDEX(기본자료!$G$2:$G$501,$W165)/10000),INT(MOD(INDEX(기본자료!$G$2:$G$501,$W165),10000)/100),MOD(INDEX(기본자료!$G$2:$G$501,$W165),100)),INDEX(기본자료!$G$2:$G$501,$W165)&amp;"")))))</f>
        <v/>
      </c>
      <c r="J165" s="8">
        <f>IF($W165="","",IF(INDEX(기본자료!$H$2:$H$501,$W165)="","",INDEX(기본자료!$H$2:$H$501,$W165)))</f>
        <v/>
      </c>
      <c r="K165" s="8">
        <f>IF($W165="","",IF(INDEX(기본자료!$I$2:$I$501,$W165)="","",INDEX(기본자료!$I$2:$I$501,$W165)))</f>
        <v/>
      </c>
      <c r="L165" s="8">
        <f>IF($W165="","",IF(INDEX(기본자료!$A$2:$A$501,$W165)="","",INDEX(기본자료!$A$2:$A$501,$W165)))</f>
        <v/>
      </c>
      <c r="M165" s="5" t="n"/>
      <c r="N165" s="5" t="n"/>
      <c r="O165" s="5" t="n"/>
      <c r="P165" s="5" t="n"/>
      <c r="Q165" s="11" t="n"/>
      <c r="R165" s="11" t="n"/>
      <c r="S165" s="8">
        <f>IF(OR(B165="",Q165=""),"",IF(TODAY()&lt;Q165,"파견예정",IF(AND(R165&lt;&gt;"",TODAY()&gt;R165),"파견종료","파견중")))</f>
        <v/>
      </c>
      <c r="T165" s="12">
        <f>IF(OR(Q165="",R165=""),"",R165-Q165+1)</f>
        <v/>
      </c>
      <c r="U165" s="12">
        <f>IF(AND(S165="파견중",R165&lt;&gt;""),R165-TODAY(),"")</f>
        <v/>
      </c>
      <c r="V165" s="5" t="n"/>
      <c r="W165" s="8">
        <f>IF(B165="","",IFERROR(MATCH(B165,기본자료!$B$2:$B$501,0),IFERROR(MATCH(B165&amp;"",기본자료!$B$2:$B$501,0),IFERROR(MATCH(VALUE(B165),기본자료!$B$2:$B$501,0),""))))</f>
        <v/>
      </c>
    </row>
    <row r="166">
      <c r="A166" s="8">
        <f>IF(B166="","",ROW()-1)</f>
        <v/>
      </c>
      <c r="B166" s="9" t="n"/>
      <c r="C166" s="8">
        <f>IF($W166="","",IF(INDEX(기본자료!$C$2:$C$501,$W166)="","",INDEX(기본자료!$C$2:$C$501,$W166)))</f>
        <v/>
      </c>
      <c r="D166" s="8">
        <f>IF($W166="","",IF(INDEX(기본자료!$J$2:$J$501,$W166)="","",INDEX(기본자료!$J$2:$J$501,$W166)))</f>
        <v/>
      </c>
      <c r="E166" s="10">
        <f>IF($W166="","",IF(INDEX(기본자료!$K$2:$K$501,$W166)="","",IF(NOT(ISNUMBER(INDEX(기본자료!$K$2:$K$501,$W166))),INDEX(기본자료!$K$2:$K$501,$W166),IF(INDEX(기본자료!$K$2:$K$501,$W166)&lt;1000000,INDEX(기본자료!$K$2:$K$501,$W166),IF(AND(INDEX(기본자료!$K$2:$K$501,$W166)&gt;=10000101,INT(MOD(INDEX(기본자료!$K$2:$K$501,$W166),10000)/100)&gt;=1,INT(MOD(INDEX(기본자료!$K$2:$K$501,$W166),10000)/100)&lt;=12,MOD(INDEX(기본자료!$K$2:$K$501,$W166),100)&gt;=1,MOD(INDEX(기본자료!$K$2:$K$501,$W166),100)&lt;=31),DATE(INT(INDEX(기본자료!$K$2:$K$501,$W166)/10000),INT(MOD(INDEX(기본자료!$K$2:$K$501,$W166),10000)/100),MOD(INDEX(기본자료!$K$2:$K$501,$W166),100)),INDEX(기본자료!$K$2:$K$501,$W166)&amp;"")))))</f>
        <v/>
      </c>
      <c r="F166" s="8">
        <f>IF($W166="","",IF(INDEX(기본자료!$D$2:$D$501,$W166)="","",INDEX(기본자료!$D$2:$D$501,$W166)))</f>
        <v/>
      </c>
      <c r="G166" s="8">
        <f>IF($W166="","",IF(INDEX(기본자료!$E$2:$E$501,$W166)="","",INDEX(기본자료!$E$2:$E$501,$W166)))</f>
        <v/>
      </c>
      <c r="H166" s="8">
        <f>IF($W166="","",IF(INDEX(기본자료!$F$2:$F$501,$W166)="","",INDEX(기본자료!$F$2:$F$501,$W166)))</f>
        <v/>
      </c>
      <c r="I166" s="10">
        <f>IF($W166="","",IF(INDEX(기본자료!$G$2:$G$501,$W166)="","",IF(NOT(ISNUMBER(INDEX(기본자료!$G$2:$G$501,$W166))),INDEX(기본자료!$G$2:$G$501,$W166),IF(INDEX(기본자료!$G$2:$G$501,$W166)&lt;1000000,INDEX(기본자료!$G$2:$G$501,$W166),IF(AND(INDEX(기본자료!$G$2:$G$501,$W166)&gt;=10000101,INT(MOD(INDEX(기본자료!$G$2:$G$501,$W166),10000)/100)&gt;=1,INT(MOD(INDEX(기본자료!$G$2:$G$501,$W166),10000)/100)&lt;=12,MOD(INDEX(기본자료!$G$2:$G$501,$W166),100)&gt;=1,MOD(INDEX(기본자료!$G$2:$G$501,$W166),100)&lt;=31),DATE(INT(INDEX(기본자료!$G$2:$G$501,$W166)/10000),INT(MOD(INDEX(기본자료!$G$2:$G$501,$W166),10000)/100),MOD(INDEX(기본자료!$G$2:$G$501,$W166),100)),INDEX(기본자료!$G$2:$G$501,$W166)&amp;"")))))</f>
        <v/>
      </c>
      <c r="J166" s="8">
        <f>IF($W166="","",IF(INDEX(기본자료!$H$2:$H$501,$W166)="","",INDEX(기본자료!$H$2:$H$501,$W166)))</f>
        <v/>
      </c>
      <c r="K166" s="8">
        <f>IF($W166="","",IF(INDEX(기본자료!$I$2:$I$501,$W166)="","",INDEX(기본자료!$I$2:$I$501,$W166)))</f>
        <v/>
      </c>
      <c r="L166" s="8">
        <f>IF($W166="","",IF(INDEX(기본자료!$A$2:$A$501,$W166)="","",INDEX(기본자료!$A$2:$A$501,$W166)))</f>
        <v/>
      </c>
      <c r="M166" s="5" t="n"/>
      <c r="N166" s="5" t="n"/>
      <c r="O166" s="5" t="n"/>
      <c r="P166" s="5" t="n"/>
      <c r="Q166" s="11" t="n"/>
      <c r="R166" s="11" t="n"/>
      <c r="S166" s="8">
        <f>IF(OR(B166="",Q166=""),"",IF(TODAY()&lt;Q166,"파견예정",IF(AND(R166&lt;&gt;"",TODAY()&gt;R166),"파견종료","파견중")))</f>
        <v/>
      </c>
      <c r="T166" s="12">
        <f>IF(OR(Q166="",R166=""),"",R166-Q166+1)</f>
        <v/>
      </c>
      <c r="U166" s="12">
        <f>IF(AND(S166="파견중",R166&lt;&gt;""),R166-TODAY(),"")</f>
        <v/>
      </c>
      <c r="V166" s="5" t="n"/>
      <c r="W166" s="8">
        <f>IF(B166="","",IFERROR(MATCH(B166,기본자료!$B$2:$B$501,0),IFERROR(MATCH(B166&amp;"",기본자료!$B$2:$B$501,0),IFERROR(MATCH(VALUE(B166),기본자료!$B$2:$B$501,0),""))))</f>
        <v/>
      </c>
    </row>
    <row r="167">
      <c r="A167" s="8">
        <f>IF(B167="","",ROW()-1)</f>
        <v/>
      </c>
      <c r="B167" s="9" t="n"/>
      <c r="C167" s="8">
        <f>IF($W167="","",IF(INDEX(기본자료!$C$2:$C$501,$W167)="","",INDEX(기본자료!$C$2:$C$501,$W167)))</f>
        <v/>
      </c>
      <c r="D167" s="8">
        <f>IF($W167="","",IF(INDEX(기본자료!$J$2:$J$501,$W167)="","",INDEX(기본자료!$J$2:$J$501,$W167)))</f>
        <v/>
      </c>
      <c r="E167" s="10">
        <f>IF($W167="","",IF(INDEX(기본자료!$K$2:$K$501,$W167)="","",IF(NOT(ISNUMBER(INDEX(기본자료!$K$2:$K$501,$W167))),INDEX(기본자료!$K$2:$K$501,$W167),IF(INDEX(기본자료!$K$2:$K$501,$W167)&lt;1000000,INDEX(기본자료!$K$2:$K$501,$W167),IF(AND(INDEX(기본자료!$K$2:$K$501,$W167)&gt;=10000101,INT(MOD(INDEX(기본자료!$K$2:$K$501,$W167),10000)/100)&gt;=1,INT(MOD(INDEX(기본자료!$K$2:$K$501,$W167),10000)/100)&lt;=12,MOD(INDEX(기본자료!$K$2:$K$501,$W167),100)&gt;=1,MOD(INDEX(기본자료!$K$2:$K$501,$W167),100)&lt;=31),DATE(INT(INDEX(기본자료!$K$2:$K$501,$W167)/10000),INT(MOD(INDEX(기본자료!$K$2:$K$501,$W167),10000)/100),MOD(INDEX(기본자료!$K$2:$K$501,$W167),100)),INDEX(기본자료!$K$2:$K$501,$W167)&amp;"")))))</f>
        <v/>
      </c>
      <c r="F167" s="8">
        <f>IF($W167="","",IF(INDEX(기본자료!$D$2:$D$501,$W167)="","",INDEX(기본자료!$D$2:$D$501,$W167)))</f>
        <v/>
      </c>
      <c r="G167" s="8">
        <f>IF($W167="","",IF(INDEX(기본자료!$E$2:$E$501,$W167)="","",INDEX(기본자료!$E$2:$E$501,$W167)))</f>
        <v/>
      </c>
      <c r="H167" s="8">
        <f>IF($W167="","",IF(INDEX(기본자료!$F$2:$F$501,$W167)="","",INDEX(기본자료!$F$2:$F$501,$W167)))</f>
        <v/>
      </c>
      <c r="I167" s="10">
        <f>IF($W167="","",IF(INDEX(기본자료!$G$2:$G$501,$W167)="","",IF(NOT(ISNUMBER(INDEX(기본자료!$G$2:$G$501,$W167))),INDEX(기본자료!$G$2:$G$501,$W167),IF(INDEX(기본자료!$G$2:$G$501,$W167)&lt;1000000,INDEX(기본자료!$G$2:$G$501,$W167),IF(AND(INDEX(기본자료!$G$2:$G$501,$W167)&gt;=10000101,INT(MOD(INDEX(기본자료!$G$2:$G$501,$W167),10000)/100)&gt;=1,INT(MOD(INDEX(기본자료!$G$2:$G$501,$W167),10000)/100)&lt;=12,MOD(INDEX(기본자료!$G$2:$G$501,$W167),100)&gt;=1,MOD(INDEX(기본자료!$G$2:$G$501,$W167),100)&lt;=31),DATE(INT(INDEX(기본자료!$G$2:$G$501,$W167)/10000),INT(MOD(INDEX(기본자료!$G$2:$G$501,$W167),10000)/100),MOD(INDEX(기본자료!$G$2:$G$501,$W167),100)),INDEX(기본자료!$G$2:$G$501,$W167)&amp;"")))))</f>
        <v/>
      </c>
      <c r="J167" s="8">
        <f>IF($W167="","",IF(INDEX(기본자료!$H$2:$H$501,$W167)="","",INDEX(기본자료!$H$2:$H$501,$W167)))</f>
        <v/>
      </c>
      <c r="K167" s="8">
        <f>IF($W167="","",IF(INDEX(기본자료!$I$2:$I$501,$W167)="","",INDEX(기본자료!$I$2:$I$501,$W167)))</f>
        <v/>
      </c>
      <c r="L167" s="8">
        <f>IF($W167="","",IF(INDEX(기본자료!$A$2:$A$501,$W167)="","",INDEX(기본자료!$A$2:$A$501,$W167)))</f>
        <v/>
      </c>
      <c r="M167" s="5" t="n"/>
      <c r="N167" s="5" t="n"/>
      <c r="O167" s="5" t="n"/>
      <c r="P167" s="5" t="n"/>
      <c r="Q167" s="11" t="n"/>
      <c r="R167" s="11" t="n"/>
      <c r="S167" s="8">
        <f>IF(OR(B167="",Q167=""),"",IF(TODAY()&lt;Q167,"파견예정",IF(AND(R167&lt;&gt;"",TODAY()&gt;R167),"파견종료","파견중")))</f>
        <v/>
      </c>
      <c r="T167" s="12">
        <f>IF(OR(Q167="",R167=""),"",R167-Q167+1)</f>
        <v/>
      </c>
      <c r="U167" s="12">
        <f>IF(AND(S167="파견중",R167&lt;&gt;""),R167-TODAY(),"")</f>
        <v/>
      </c>
      <c r="V167" s="5" t="n"/>
      <c r="W167" s="8">
        <f>IF(B167="","",IFERROR(MATCH(B167,기본자료!$B$2:$B$501,0),IFERROR(MATCH(B167&amp;"",기본자료!$B$2:$B$501,0),IFERROR(MATCH(VALUE(B167),기본자료!$B$2:$B$501,0),""))))</f>
        <v/>
      </c>
    </row>
    <row r="168">
      <c r="A168" s="8">
        <f>IF(B168="","",ROW()-1)</f>
        <v/>
      </c>
      <c r="B168" s="9" t="n"/>
      <c r="C168" s="8">
        <f>IF($W168="","",IF(INDEX(기본자료!$C$2:$C$501,$W168)="","",INDEX(기본자료!$C$2:$C$501,$W168)))</f>
        <v/>
      </c>
      <c r="D168" s="8">
        <f>IF($W168="","",IF(INDEX(기본자료!$J$2:$J$501,$W168)="","",INDEX(기본자료!$J$2:$J$501,$W168)))</f>
        <v/>
      </c>
      <c r="E168" s="10">
        <f>IF($W168="","",IF(INDEX(기본자료!$K$2:$K$501,$W168)="","",IF(NOT(ISNUMBER(INDEX(기본자료!$K$2:$K$501,$W168))),INDEX(기본자료!$K$2:$K$501,$W168),IF(INDEX(기본자료!$K$2:$K$501,$W168)&lt;1000000,INDEX(기본자료!$K$2:$K$501,$W168),IF(AND(INDEX(기본자료!$K$2:$K$501,$W168)&gt;=10000101,INT(MOD(INDEX(기본자료!$K$2:$K$501,$W168),10000)/100)&gt;=1,INT(MOD(INDEX(기본자료!$K$2:$K$501,$W168),10000)/100)&lt;=12,MOD(INDEX(기본자료!$K$2:$K$501,$W168),100)&gt;=1,MOD(INDEX(기본자료!$K$2:$K$501,$W168),100)&lt;=31),DATE(INT(INDEX(기본자료!$K$2:$K$501,$W168)/10000),INT(MOD(INDEX(기본자료!$K$2:$K$501,$W168),10000)/100),MOD(INDEX(기본자료!$K$2:$K$501,$W168),100)),INDEX(기본자료!$K$2:$K$501,$W168)&amp;"")))))</f>
        <v/>
      </c>
      <c r="F168" s="8">
        <f>IF($W168="","",IF(INDEX(기본자료!$D$2:$D$501,$W168)="","",INDEX(기본자료!$D$2:$D$501,$W168)))</f>
        <v/>
      </c>
      <c r="G168" s="8">
        <f>IF($W168="","",IF(INDEX(기본자료!$E$2:$E$501,$W168)="","",INDEX(기본자료!$E$2:$E$501,$W168)))</f>
        <v/>
      </c>
      <c r="H168" s="8">
        <f>IF($W168="","",IF(INDEX(기본자료!$F$2:$F$501,$W168)="","",INDEX(기본자료!$F$2:$F$501,$W168)))</f>
        <v/>
      </c>
      <c r="I168" s="10">
        <f>IF($W168="","",IF(INDEX(기본자료!$G$2:$G$501,$W168)="","",IF(NOT(ISNUMBER(INDEX(기본자료!$G$2:$G$501,$W168))),INDEX(기본자료!$G$2:$G$501,$W168),IF(INDEX(기본자료!$G$2:$G$501,$W168)&lt;1000000,INDEX(기본자료!$G$2:$G$501,$W168),IF(AND(INDEX(기본자료!$G$2:$G$501,$W168)&gt;=10000101,INT(MOD(INDEX(기본자료!$G$2:$G$501,$W168),10000)/100)&gt;=1,INT(MOD(INDEX(기본자료!$G$2:$G$501,$W168),10000)/100)&lt;=12,MOD(INDEX(기본자료!$G$2:$G$501,$W168),100)&gt;=1,MOD(INDEX(기본자료!$G$2:$G$501,$W168),100)&lt;=31),DATE(INT(INDEX(기본자료!$G$2:$G$501,$W168)/10000),INT(MOD(INDEX(기본자료!$G$2:$G$501,$W168),10000)/100),MOD(INDEX(기본자료!$G$2:$G$501,$W168),100)),INDEX(기본자료!$G$2:$G$501,$W168)&amp;"")))))</f>
        <v/>
      </c>
      <c r="J168" s="8">
        <f>IF($W168="","",IF(INDEX(기본자료!$H$2:$H$501,$W168)="","",INDEX(기본자료!$H$2:$H$501,$W168)))</f>
        <v/>
      </c>
      <c r="K168" s="8">
        <f>IF($W168="","",IF(INDEX(기본자료!$I$2:$I$501,$W168)="","",INDEX(기본자료!$I$2:$I$501,$W168)))</f>
        <v/>
      </c>
      <c r="L168" s="8">
        <f>IF($W168="","",IF(INDEX(기본자료!$A$2:$A$501,$W168)="","",INDEX(기본자료!$A$2:$A$501,$W168)))</f>
        <v/>
      </c>
      <c r="M168" s="5" t="n"/>
      <c r="N168" s="5" t="n"/>
      <c r="O168" s="5" t="n"/>
      <c r="P168" s="5" t="n"/>
      <c r="Q168" s="11" t="n"/>
      <c r="R168" s="11" t="n"/>
      <c r="S168" s="8">
        <f>IF(OR(B168="",Q168=""),"",IF(TODAY()&lt;Q168,"파견예정",IF(AND(R168&lt;&gt;"",TODAY()&gt;R168),"파견종료","파견중")))</f>
        <v/>
      </c>
      <c r="T168" s="12">
        <f>IF(OR(Q168="",R168=""),"",R168-Q168+1)</f>
        <v/>
      </c>
      <c r="U168" s="12">
        <f>IF(AND(S168="파견중",R168&lt;&gt;""),R168-TODAY(),"")</f>
        <v/>
      </c>
      <c r="V168" s="5" t="n"/>
      <c r="W168" s="8">
        <f>IF(B168="","",IFERROR(MATCH(B168,기본자료!$B$2:$B$501,0),IFERROR(MATCH(B168&amp;"",기본자료!$B$2:$B$501,0),IFERROR(MATCH(VALUE(B168),기본자료!$B$2:$B$501,0),""))))</f>
        <v/>
      </c>
    </row>
    <row r="169">
      <c r="A169" s="8">
        <f>IF(B169="","",ROW()-1)</f>
        <v/>
      </c>
      <c r="B169" s="9" t="n"/>
      <c r="C169" s="8">
        <f>IF($W169="","",IF(INDEX(기본자료!$C$2:$C$501,$W169)="","",INDEX(기본자료!$C$2:$C$501,$W169)))</f>
        <v/>
      </c>
      <c r="D169" s="8">
        <f>IF($W169="","",IF(INDEX(기본자료!$J$2:$J$501,$W169)="","",INDEX(기본자료!$J$2:$J$501,$W169)))</f>
        <v/>
      </c>
      <c r="E169" s="10">
        <f>IF($W169="","",IF(INDEX(기본자료!$K$2:$K$501,$W169)="","",IF(NOT(ISNUMBER(INDEX(기본자료!$K$2:$K$501,$W169))),INDEX(기본자료!$K$2:$K$501,$W169),IF(INDEX(기본자료!$K$2:$K$501,$W169)&lt;1000000,INDEX(기본자료!$K$2:$K$501,$W169),IF(AND(INDEX(기본자료!$K$2:$K$501,$W169)&gt;=10000101,INT(MOD(INDEX(기본자료!$K$2:$K$501,$W169),10000)/100)&gt;=1,INT(MOD(INDEX(기본자료!$K$2:$K$501,$W169),10000)/100)&lt;=12,MOD(INDEX(기본자료!$K$2:$K$501,$W169),100)&gt;=1,MOD(INDEX(기본자료!$K$2:$K$501,$W169),100)&lt;=31),DATE(INT(INDEX(기본자료!$K$2:$K$501,$W169)/10000),INT(MOD(INDEX(기본자료!$K$2:$K$501,$W169),10000)/100),MOD(INDEX(기본자료!$K$2:$K$501,$W169),100)),INDEX(기본자료!$K$2:$K$501,$W169)&amp;"")))))</f>
        <v/>
      </c>
      <c r="F169" s="8">
        <f>IF($W169="","",IF(INDEX(기본자료!$D$2:$D$501,$W169)="","",INDEX(기본자료!$D$2:$D$501,$W169)))</f>
        <v/>
      </c>
      <c r="G169" s="8">
        <f>IF($W169="","",IF(INDEX(기본자료!$E$2:$E$501,$W169)="","",INDEX(기본자료!$E$2:$E$501,$W169)))</f>
        <v/>
      </c>
      <c r="H169" s="8">
        <f>IF($W169="","",IF(INDEX(기본자료!$F$2:$F$501,$W169)="","",INDEX(기본자료!$F$2:$F$501,$W169)))</f>
        <v/>
      </c>
      <c r="I169" s="10">
        <f>IF($W169="","",IF(INDEX(기본자료!$G$2:$G$501,$W169)="","",IF(NOT(ISNUMBER(INDEX(기본자료!$G$2:$G$501,$W169))),INDEX(기본자료!$G$2:$G$501,$W169),IF(INDEX(기본자료!$G$2:$G$501,$W169)&lt;1000000,INDEX(기본자료!$G$2:$G$501,$W169),IF(AND(INDEX(기본자료!$G$2:$G$501,$W169)&gt;=10000101,INT(MOD(INDEX(기본자료!$G$2:$G$501,$W169),10000)/100)&gt;=1,INT(MOD(INDEX(기본자료!$G$2:$G$501,$W169),10000)/100)&lt;=12,MOD(INDEX(기본자료!$G$2:$G$501,$W169),100)&gt;=1,MOD(INDEX(기본자료!$G$2:$G$501,$W169),100)&lt;=31),DATE(INT(INDEX(기본자료!$G$2:$G$501,$W169)/10000),INT(MOD(INDEX(기본자료!$G$2:$G$501,$W169),10000)/100),MOD(INDEX(기본자료!$G$2:$G$501,$W169),100)),INDEX(기본자료!$G$2:$G$501,$W169)&amp;"")))))</f>
        <v/>
      </c>
      <c r="J169" s="8">
        <f>IF($W169="","",IF(INDEX(기본자료!$H$2:$H$501,$W169)="","",INDEX(기본자료!$H$2:$H$501,$W169)))</f>
        <v/>
      </c>
      <c r="K169" s="8">
        <f>IF($W169="","",IF(INDEX(기본자료!$I$2:$I$501,$W169)="","",INDEX(기본자료!$I$2:$I$501,$W169)))</f>
        <v/>
      </c>
      <c r="L169" s="8">
        <f>IF($W169="","",IF(INDEX(기본자료!$A$2:$A$501,$W169)="","",INDEX(기본자료!$A$2:$A$501,$W169)))</f>
        <v/>
      </c>
      <c r="M169" s="5" t="n"/>
      <c r="N169" s="5" t="n"/>
      <c r="O169" s="5" t="n"/>
      <c r="P169" s="5" t="n"/>
      <c r="Q169" s="11" t="n"/>
      <c r="R169" s="11" t="n"/>
      <c r="S169" s="8">
        <f>IF(OR(B169="",Q169=""),"",IF(TODAY()&lt;Q169,"파견예정",IF(AND(R169&lt;&gt;"",TODAY()&gt;R169),"파견종료","파견중")))</f>
        <v/>
      </c>
      <c r="T169" s="12">
        <f>IF(OR(Q169="",R169=""),"",R169-Q169+1)</f>
        <v/>
      </c>
      <c r="U169" s="12">
        <f>IF(AND(S169="파견중",R169&lt;&gt;""),R169-TODAY(),"")</f>
        <v/>
      </c>
      <c r="V169" s="5" t="n"/>
      <c r="W169" s="8">
        <f>IF(B169="","",IFERROR(MATCH(B169,기본자료!$B$2:$B$501,0),IFERROR(MATCH(B169&amp;"",기본자료!$B$2:$B$501,0),IFERROR(MATCH(VALUE(B169),기본자료!$B$2:$B$501,0),""))))</f>
        <v/>
      </c>
    </row>
    <row r="170">
      <c r="A170" s="8">
        <f>IF(B170="","",ROW()-1)</f>
        <v/>
      </c>
      <c r="B170" s="9" t="n"/>
      <c r="C170" s="8">
        <f>IF($W170="","",IF(INDEX(기본자료!$C$2:$C$501,$W170)="","",INDEX(기본자료!$C$2:$C$501,$W170)))</f>
        <v/>
      </c>
      <c r="D170" s="8">
        <f>IF($W170="","",IF(INDEX(기본자료!$J$2:$J$501,$W170)="","",INDEX(기본자료!$J$2:$J$501,$W170)))</f>
        <v/>
      </c>
      <c r="E170" s="10">
        <f>IF($W170="","",IF(INDEX(기본자료!$K$2:$K$501,$W170)="","",IF(NOT(ISNUMBER(INDEX(기본자료!$K$2:$K$501,$W170))),INDEX(기본자료!$K$2:$K$501,$W170),IF(INDEX(기본자료!$K$2:$K$501,$W170)&lt;1000000,INDEX(기본자료!$K$2:$K$501,$W170),IF(AND(INDEX(기본자료!$K$2:$K$501,$W170)&gt;=10000101,INT(MOD(INDEX(기본자료!$K$2:$K$501,$W170),10000)/100)&gt;=1,INT(MOD(INDEX(기본자료!$K$2:$K$501,$W170),10000)/100)&lt;=12,MOD(INDEX(기본자료!$K$2:$K$501,$W170),100)&gt;=1,MOD(INDEX(기본자료!$K$2:$K$501,$W170),100)&lt;=31),DATE(INT(INDEX(기본자료!$K$2:$K$501,$W170)/10000),INT(MOD(INDEX(기본자료!$K$2:$K$501,$W170),10000)/100),MOD(INDEX(기본자료!$K$2:$K$501,$W170),100)),INDEX(기본자료!$K$2:$K$501,$W170)&amp;"")))))</f>
        <v/>
      </c>
      <c r="F170" s="8">
        <f>IF($W170="","",IF(INDEX(기본자료!$D$2:$D$501,$W170)="","",INDEX(기본자료!$D$2:$D$501,$W170)))</f>
        <v/>
      </c>
      <c r="G170" s="8">
        <f>IF($W170="","",IF(INDEX(기본자료!$E$2:$E$501,$W170)="","",INDEX(기본자료!$E$2:$E$501,$W170)))</f>
        <v/>
      </c>
      <c r="H170" s="8">
        <f>IF($W170="","",IF(INDEX(기본자료!$F$2:$F$501,$W170)="","",INDEX(기본자료!$F$2:$F$501,$W170)))</f>
        <v/>
      </c>
      <c r="I170" s="10">
        <f>IF($W170="","",IF(INDEX(기본자료!$G$2:$G$501,$W170)="","",IF(NOT(ISNUMBER(INDEX(기본자료!$G$2:$G$501,$W170))),INDEX(기본자료!$G$2:$G$501,$W170),IF(INDEX(기본자료!$G$2:$G$501,$W170)&lt;1000000,INDEX(기본자료!$G$2:$G$501,$W170),IF(AND(INDEX(기본자료!$G$2:$G$501,$W170)&gt;=10000101,INT(MOD(INDEX(기본자료!$G$2:$G$501,$W170),10000)/100)&gt;=1,INT(MOD(INDEX(기본자료!$G$2:$G$501,$W170),10000)/100)&lt;=12,MOD(INDEX(기본자료!$G$2:$G$501,$W170),100)&gt;=1,MOD(INDEX(기본자료!$G$2:$G$501,$W170),100)&lt;=31),DATE(INT(INDEX(기본자료!$G$2:$G$501,$W170)/10000),INT(MOD(INDEX(기본자료!$G$2:$G$501,$W170),10000)/100),MOD(INDEX(기본자료!$G$2:$G$501,$W170),100)),INDEX(기본자료!$G$2:$G$501,$W170)&amp;"")))))</f>
        <v/>
      </c>
      <c r="J170" s="8">
        <f>IF($W170="","",IF(INDEX(기본자료!$H$2:$H$501,$W170)="","",INDEX(기본자료!$H$2:$H$501,$W170)))</f>
        <v/>
      </c>
      <c r="K170" s="8">
        <f>IF($W170="","",IF(INDEX(기본자료!$I$2:$I$501,$W170)="","",INDEX(기본자료!$I$2:$I$501,$W170)))</f>
        <v/>
      </c>
      <c r="L170" s="8">
        <f>IF($W170="","",IF(INDEX(기본자료!$A$2:$A$501,$W170)="","",INDEX(기본자료!$A$2:$A$501,$W170)))</f>
        <v/>
      </c>
      <c r="M170" s="5" t="n"/>
      <c r="N170" s="5" t="n"/>
      <c r="O170" s="5" t="n"/>
      <c r="P170" s="5" t="n"/>
      <c r="Q170" s="11" t="n"/>
      <c r="R170" s="11" t="n"/>
      <c r="S170" s="8">
        <f>IF(OR(B170="",Q170=""),"",IF(TODAY()&lt;Q170,"파견예정",IF(AND(R170&lt;&gt;"",TODAY()&gt;R170),"파견종료","파견중")))</f>
        <v/>
      </c>
      <c r="T170" s="12">
        <f>IF(OR(Q170="",R170=""),"",R170-Q170+1)</f>
        <v/>
      </c>
      <c r="U170" s="12">
        <f>IF(AND(S170="파견중",R170&lt;&gt;""),R170-TODAY(),"")</f>
        <v/>
      </c>
      <c r="V170" s="5" t="n"/>
      <c r="W170" s="8">
        <f>IF(B170="","",IFERROR(MATCH(B170,기본자료!$B$2:$B$501,0),IFERROR(MATCH(B170&amp;"",기본자료!$B$2:$B$501,0),IFERROR(MATCH(VALUE(B170),기본자료!$B$2:$B$501,0),""))))</f>
        <v/>
      </c>
    </row>
    <row r="171">
      <c r="A171" s="8">
        <f>IF(B171="","",ROW()-1)</f>
        <v/>
      </c>
      <c r="B171" s="9" t="n"/>
      <c r="C171" s="8">
        <f>IF($W171="","",IF(INDEX(기본자료!$C$2:$C$501,$W171)="","",INDEX(기본자료!$C$2:$C$501,$W171)))</f>
        <v/>
      </c>
      <c r="D171" s="8">
        <f>IF($W171="","",IF(INDEX(기본자료!$J$2:$J$501,$W171)="","",INDEX(기본자료!$J$2:$J$501,$W171)))</f>
        <v/>
      </c>
      <c r="E171" s="10">
        <f>IF($W171="","",IF(INDEX(기본자료!$K$2:$K$501,$W171)="","",IF(NOT(ISNUMBER(INDEX(기본자료!$K$2:$K$501,$W171))),INDEX(기본자료!$K$2:$K$501,$W171),IF(INDEX(기본자료!$K$2:$K$501,$W171)&lt;1000000,INDEX(기본자료!$K$2:$K$501,$W171),IF(AND(INDEX(기본자료!$K$2:$K$501,$W171)&gt;=10000101,INT(MOD(INDEX(기본자료!$K$2:$K$501,$W171),10000)/100)&gt;=1,INT(MOD(INDEX(기본자료!$K$2:$K$501,$W171),10000)/100)&lt;=12,MOD(INDEX(기본자료!$K$2:$K$501,$W171),100)&gt;=1,MOD(INDEX(기본자료!$K$2:$K$501,$W171),100)&lt;=31),DATE(INT(INDEX(기본자료!$K$2:$K$501,$W171)/10000),INT(MOD(INDEX(기본자료!$K$2:$K$501,$W171),10000)/100),MOD(INDEX(기본자료!$K$2:$K$501,$W171),100)),INDEX(기본자료!$K$2:$K$501,$W171)&amp;"")))))</f>
        <v/>
      </c>
      <c r="F171" s="8">
        <f>IF($W171="","",IF(INDEX(기본자료!$D$2:$D$501,$W171)="","",INDEX(기본자료!$D$2:$D$501,$W171)))</f>
        <v/>
      </c>
      <c r="G171" s="8">
        <f>IF($W171="","",IF(INDEX(기본자료!$E$2:$E$501,$W171)="","",INDEX(기본자료!$E$2:$E$501,$W171)))</f>
        <v/>
      </c>
      <c r="H171" s="8">
        <f>IF($W171="","",IF(INDEX(기본자료!$F$2:$F$501,$W171)="","",INDEX(기본자료!$F$2:$F$501,$W171)))</f>
        <v/>
      </c>
      <c r="I171" s="10">
        <f>IF($W171="","",IF(INDEX(기본자료!$G$2:$G$501,$W171)="","",IF(NOT(ISNUMBER(INDEX(기본자료!$G$2:$G$501,$W171))),INDEX(기본자료!$G$2:$G$501,$W171),IF(INDEX(기본자료!$G$2:$G$501,$W171)&lt;1000000,INDEX(기본자료!$G$2:$G$501,$W171),IF(AND(INDEX(기본자료!$G$2:$G$501,$W171)&gt;=10000101,INT(MOD(INDEX(기본자료!$G$2:$G$501,$W171),10000)/100)&gt;=1,INT(MOD(INDEX(기본자료!$G$2:$G$501,$W171),10000)/100)&lt;=12,MOD(INDEX(기본자료!$G$2:$G$501,$W171),100)&gt;=1,MOD(INDEX(기본자료!$G$2:$G$501,$W171),100)&lt;=31),DATE(INT(INDEX(기본자료!$G$2:$G$501,$W171)/10000),INT(MOD(INDEX(기본자료!$G$2:$G$501,$W171),10000)/100),MOD(INDEX(기본자료!$G$2:$G$501,$W171),100)),INDEX(기본자료!$G$2:$G$501,$W171)&amp;"")))))</f>
        <v/>
      </c>
      <c r="J171" s="8">
        <f>IF($W171="","",IF(INDEX(기본자료!$H$2:$H$501,$W171)="","",INDEX(기본자료!$H$2:$H$501,$W171)))</f>
        <v/>
      </c>
      <c r="K171" s="8">
        <f>IF($W171="","",IF(INDEX(기본자료!$I$2:$I$501,$W171)="","",INDEX(기본자료!$I$2:$I$501,$W171)))</f>
        <v/>
      </c>
      <c r="L171" s="8">
        <f>IF($W171="","",IF(INDEX(기본자료!$A$2:$A$501,$W171)="","",INDEX(기본자료!$A$2:$A$501,$W171)))</f>
        <v/>
      </c>
      <c r="M171" s="5" t="n"/>
      <c r="N171" s="5" t="n"/>
      <c r="O171" s="5" t="n"/>
      <c r="P171" s="5" t="n"/>
      <c r="Q171" s="11" t="n"/>
      <c r="R171" s="11" t="n"/>
      <c r="S171" s="8">
        <f>IF(OR(B171="",Q171=""),"",IF(TODAY()&lt;Q171,"파견예정",IF(AND(R171&lt;&gt;"",TODAY()&gt;R171),"파견종료","파견중")))</f>
        <v/>
      </c>
      <c r="T171" s="12">
        <f>IF(OR(Q171="",R171=""),"",R171-Q171+1)</f>
        <v/>
      </c>
      <c r="U171" s="12">
        <f>IF(AND(S171="파견중",R171&lt;&gt;""),R171-TODAY(),"")</f>
        <v/>
      </c>
      <c r="V171" s="5" t="n"/>
      <c r="W171" s="8">
        <f>IF(B171="","",IFERROR(MATCH(B171,기본자료!$B$2:$B$501,0),IFERROR(MATCH(B171&amp;"",기본자료!$B$2:$B$501,0),IFERROR(MATCH(VALUE(B171),기본자료!$B$2:$B$501,0),""))))</f>
        <v/>
      </c>
    </row>
    <row r="172">
      <c r="A172" s="8">
        <f>IF(B172="","",ROW()-1)</f>
        <v/>
      </c>
      <c r="B172" s="9" t="n"/>
      <c r="C172" s="8">
        <f>IF($W172="","",IF(INDEX(기본자료!$C$2:$C$501,$W172)="","",INDEX(기본자료!$C$2:$C$501,$W172)))</f>
        <v/>
      </c>
      <c r="D172" s="8">
        <f>IF($W172="","",IF(INDEX(기본자료!$J$2:$J$501,$W172)="","",INDEX(기본자료!$J$2:$J$501,$W172)))</f>
        <v/>
      </c>
      <c r="E172" s="10">
        <f>IF($W172="","",IF(INDEX(기본자료!$K$2:$K$501,$W172)="","",IF(NOT(ISNUMBER(INDEX(기본자료!$K$2:$K$501,$W172))),INDEX(기본자료!$K$2:$K$501,$W172),IF(INDEX(기본자료!$K$2:$K$501,$W172)&lt;1000000,INDEX(기본자료!$K$2:$K$501,$W172),IF(AND(INDEX(기본자료!$K$2:$K$501,$W172)&gt;=10000101,INT(MOD(INDEX(기본자료!$K$2:$K$501,$W172),10000)/100)&gt;=1,INT(MOD(INDEX(기본자료!$K$2:$K$501,$W172),10000)/100)&lt;=12,MOD(INDEX(기본자료!$K$2:$K$501,$W172),100)&gt;=1,MOD(INDEX(기본자료!$K$2:$K$501,$W172),100)&lt;=31),DATE(INT(INDEX(기본자료!$K$2:$K$501,$W172)/10000),INT(MOD(INDEX(기본자료!$K$2:$K$501,$W172),10000)/100),MOD(INDEX(기본자료!$K$2:$K$501,$W172),100)),INDEX(기본자료!$K$2:$K$501,$W172)&amp;"")))))</f>
        <v/>
      </c>
      <c r="F172" s="8">
        <f>IF($W172="","",IF(INDEX(기본자료!$D$2:$D$501,$W172)="","",INDEX(기본자료!$D$2:$D$501,$W172)))</f>
        <v/>
      </c>
      <c r="G172" s="8">
        <f>IF($W172="","",IF(INDEX(기본자료!$E$2:$E$501,$W172)="","",INDEX(기본자료!$E$2:$E$501,$W172)))</f>
        <v/>
      </c>
      <c r="H172" s="8">
        <f>IF($W172="","",IF(INDEX(기본자료!$F$2:$F$501,$W172)="","",INDEX(기본자료!$F$2:$F$501,$W172)))</f>
        <v/>
      </c>
      <c r="I172" s="10">
        <f>IF($W172="","",IF(INDEX(기본자료!$G$2:$G$501,$W172)="","",IF(NOT(ISNUMBER(INDEX(기본자료!$G$2:$G$501,$W172))),INDEX(기본자료!$G$2:$G$501,$W172),IF(INDEX(기본자료!$G$2:$G$501,$W172)&lt;1000000,INDEX(기본자료!$G$2:$G$501,$W172),IF(AND(INDEX(기본자료!$G$2:$G$501,$W172)&gt;=10000101,INT(MOD(INDEX(기본자료!$G$2:$G$501,$W172),10000)/100)&gt;=1,INT(MOD(INDEX(기본자료!$G$2:$G$501,$W172),10000)/100)&lt;=12,MOD(INDEX(기본자료!$G$2:$G$501,$W172),100)&gt;=1,MOD(INDEX(기본자료!$G$2:$G$501,$W172),100)&lt;=31),DATE(INT(INDEX(기본자료!$G$2:$G$501,$W172)/10000),INT(MOD(INDEX(기본자료!$G$2:$G$501,$W172),10000)/100),MOD(INDEX(기본자료!$G$2:$G$501,$W172),100)),INDEX(기본자료!$G$2:$G$501,$W172)&amp;"")))))</f>
        <v/>
      </c>
      <c r="J172" s="8">
        <f>IF($W172="","",IF(INDEX(기본자료!$H$2:$H$501,$W172)="","",INDEX(기본자료!$H$2:$H$501,$W172)))</f>
        <v/>
      </c>
      <c r="K172" s="8">
        <f>IF($W172="","",IF(INDEX(기본자료!$I$2:$I$501,$W172)="","",INDEX(기본자료!$I$2:$I$501,$W172)))</f>
        <v/>
      </c>
      <c r="L172" s="8">
        <f>IF($W172="","",IF(INDEX(기본자료!$A$2:$A$501,$W172)="","",INDEX(기본자료!$A$2:$A$501,$W172)))</f>
        <v/>
      </c>
      <c r="M172" s="5" t="n"/>
      <c r="N172" s="5" t="n"/>
      <c r="O172" s="5" t="n"/>
      <c r="P172" s="5" t="n"/>
      <c r="Q172" s="11" t="n"/>
      <c r="R172" s="11" t="n"/>
      <c r="S172" s="8">
        <f>IF(OR(B172="",Q172=""),"",IF(TODAY()&lt;Q172,"파견예정",IF(AND(R172&lt;&gt;"",TODAY()&gt;R172),"파견종료","파견중")))</f>
        <v/>
      </c>
      <c r="T172" s="12">
        <f>IF(OR(Q172="",R172=""),"",R172-Q172+1)</f>
        <v/>
      </c>
      <c r="U172" s="12">
        <f>IF(AND(S172="파견중",R172&lt;&gt;""),R172-TODAY(),"")</f>
        <v/>
      </c>
      <c r="V172" s="5" t="n"/>
      <c r="W172" s="8">
        <f>IF(B172="","",IFERROR(MATCH(B172,기본자료!$B$2:$B$501,0),IFERROR(MATCH(B172&amp;"",기본자료!$B$2:$B$501,0),IFERROR(MATCH(VALUE(B172),기본자료!$B$2:$B$501,0),""))))</f>
        <v/>
      </c>
    </row>
    <row r="173">
      <c r="A173" s="8">
        <f>IF(B173="","",ROW()-1)</f>
        <v/>
      </c>
      <c r="B173" s="9" t="n"/>
      <c r="C173" s="8">
        <f>IF($W173="","",IF(INDEX(기본자료!$C$2:$C$501,$W173)="","",INDEX(기본자료!$C$2:$C$501,$W173)))</f>
        <v/>
      </c>
      <c r="D173" s="8">
        <f>IF($W173="","",IF(INDEX(기본자료!$J$2:$J$501,$W173)="","",INDEX(기본자료!$J$2:$J$501,$W173)))</f>
        <v/>
      </c>
      <c r="E173" s="10">
        <f>IF($W173="","",IF(INDEX(기본자료!$K$2:$K$501,$W173)="","",IF(NOT(ISNUMBER(INDEX(기본자료!$K$2:$K$501,$W173))),INDEX(기본자료!$K$2:$K$501,$W173),IF(INDEX(기본자료!$K$2:$K$501,$W173)&lt;1000000,INDEX(기본자료!$K$2:$K$501,$W173),IF(AND(INDEX(기본자료!$K$2:$K$501,$W173)&gt;=10000101,INT(MOD(INDEX(기본자료!$K$2:$K$501,$W173),10000)/100)&gt;=1,INT(MOD(INDEX(기본자료!$K$2:$K$501,$W173),10000)/100)&lt;=12,MOD(INDEX(기본자료!$K$2:$K$501,$W173),100)&gt;=1,MOD(INDEX(기본자료!$K$2:$K$501,$W173),100)&lt;=31),DATE(INT(INDEX(기본자료!$K$2:$K$501,$W173)/10000),INT(MOD(INDEX(기본자료!$K$2:$K$501,$W173),10000)/100),MOD(INDEX(기본자료!$K$2:$K$501,$W173),100)),INDEX(기본자료!$K$2:$K$501,$W173)&amp;"")))))</f>
        <v/>
      </c>
      <c r="F173" s="8">
        <f>IF($W173="","",IF(INDEX(기본자료!$D$2:$D$501,$W173)="","",INDEX(기본자료!$D$2:$D$501,$W173)))</f>
        <v/>
      </c>
      <c r="G173" s="8">
        <f>IF($W173="","",IF(INDEX(기본자료!$E$2:$E$501,$W173)="","",INDEX(기본자료!$E$2:$E$501,$W173)))</f>
        <v/>
      </c>
      <c r="H173" s="8">
        <f>IF($W173="","",IF(INDEX(기본자료!$F$2:$F$501,$W173)="","",INDEX(기본자료!$F$2:$F$501,$W173)))</f>
        <v/>
      </c>
      <c r="I173" s="10">
        <f>IF($W173="","",IF(INDEX(기본자료!$G$2:$G$501,$W173)="","",IF(NOT(ISNUMBER(INDEX(기본자료!$G$2:$G$501,$W173))),INDEX(기본자료!$G$2:$G$501,$W173),IF(INDEX(기본자료!$G$2:$G$501,$W173)&lt;1000000,INDEX(기본자료!$G$2:$G$501,$W173),IF(AND(INDEX(기본자료!$G$2:$G$501,$W173)&gt;=10000101,INT(MOD(INDEX(기본자료!$G$2:$G$501,$W173),10000)/100)&gt;=1,INT(MOD(INDEX(기본자료!$G$2:$G$501,$W173),10000)/100)&lt;=12,MOD(INDEX(기본자료!$G$2:$G$501,$W173),100)&gt;=1,MOD(INDEX(기본자료!$G$2:$G$501,$W173),100)&lt;=31),DATE(INT(INDEX(기본자료!$G$2:$G$501,$W173)/10000),INT(MOD(INDEX(기본자료!$G$2:$G$501,$W173),10000)/100),MOD(INDEX(기본자료!$G$2:$G$501,$W173),100)),INDEX(기본자료!$G$2:$G$501,$W173)&amp;"")))))</f>
        <v/>
      </c>
      <c r="J173" s="8">
        <f>IF($W173="","",IF(INDEX(기본자료!$H$2:$H$501,$W173)="","",INDEX(기본자료!$H$2:$H$501,$W173)))</f>
        <v/>
      </c>
      <c r="K173" s="8">
        <f>IF($W173="","",IF(INDEX(기본자료!$I$2:$I$501,$W173)="","",INDEX(기본자료!$I$2:$I$501,$W173)))</f>
        <v/>
      </c>
      <c r="L173" s="8">
        <f>IF($W173="","",IF(INDEX(기본자료!$A$2:$A$501,$W173)="","",INDEX(기본자료!$A$2:$A$501,$W173)))</f>
        <v/>
      </c>
      <c r="M173" s="5" t="n"/>
      <c r="N173" s="5" t="n"/>
      <c r="O173" s="5" t="n"/>
      <c r="P173" s="5" t="n"/>
      <c r="Q173" s="11" t="n"/>
      <c r="R173" s="11" t="n"/>
      <c r="S173" s="8">
        <f>IF(OR(B173="",Q173=""),"",IF(TODAY()&lt;Q173,"파견예정",IF(AND(R173&lt;&gt;"",TODAY()&gt;R173),"파견종료","파견중")))</f>
        <v/>
      </c>
      <c r="T173" s="12">
        <f>IF(OR(Q173="",R173=""),"",R173-Q173+1)</f>
        <v/>
      </c>
      <c r="U173" s="12">
        <f>IF(AND(S173="파견중",R173&lt;&gt;""),R173-TODAY(),"")</f>
        <v/>
      </c>
      <c r="V173" s="5" t="n"/>
      <c r="W173" s="8">
        <f>IF(B173="","",IFERROR(MATCH(B173,기본자료!$B$2:$B$501,0),IFERROR(MATCH(B173&amp;"",기본자료!$B$2:$B$501,0),IFERROR(MATCH(VALUE(B173),기본자료!$B$2:$B$501,0),""))))</f>
        <v/>
      </c>
    </row>
    <row r="174">
      <c r="A174" s="8">
        <f>IF(B174="","",ROW()-1)</f>
        <v/>
      </c>
      <c r="B174" s="9" t="n"/>
      <c r="C174" s="8">
        <f>IF($W174="","",IF(INDEX(기본자료!$C$2:$C$501,$W174)="","",INDEX(기본자료!$C$2:$C$501,$W174)))</f>
        <v/>
      </c>
      <c r="D174" s="8">
        <f>IF($W174="","",IF(INDEX(기본자료!$J$2:$J$501,$W174)="","",INDEX(기본자료!$J$2:$J$501,$W174)))</f>
        <v/>
      </c>
      <c r="E174" s="10">
        <f>IF($W174="","",IF(INDEX(기본자료!$K$2:$K$501,$W174)="","",IF(NOT(ISNUMBER(INDEX(기본자료!$K$2:$K$501,$W174))),INDEX(기본자료!$K$2:$K$501,$W174),IF(INDEX(기본자료!$K$2:$K$501,$W174)&lt;1000000,INDEX(기본자료!$K$2:$K$501,$W174),IF(AND(INDEX(기본자료!$K$2:$K$501,$W174)&gt;=10000101,INT(MOD(INDEX(기본자료!$K$2:$K$501,$W174),10000)/100)&gt;=1,INT(MOD(INDEX(기본자료!$K$2:$K$501,$W174),10000)/100)&lt;=12,MOD(INDEX(기본자료!$K$2:$K$501,$W174),100)&gt;=1,MOD(INDEX(기본자료!$K$2:$K$501,$W174),100)&lt;=31),DATE(INT(INDEX(기본자료!$K$2:$K$501,$W174)/10000),INT(MOD(INDEX(기본자료!$K$2:$K$501,$W174),10000)/100),MOD(INDEX(기본자료!$K$2:$K$501,$W174),100)),INDEX(기본자료!$K$2:$K$501,$W174)&amp;"")))))</f>
        <v/>
      </c>
      <c r="F174" s="8">
        <f>IF($W174="","",IF(INDEX(기본자료!$D$2:$D$501,$W174)="","",INDEX(기본자료!$D$2:$D$501,$W174)))</f>
        <v/>
      </c>
      <c r="G174" s="8">
        <f>IF($W174="","",IF(INDEX(기본자료!$E$2:$E$501,$W174)="","",INDEX(기본자료!$E$2:$E$501,$W174)))</f>
        <v/>
      </c>
      <c r="H174" s="8">
        <f>IF($W174="","",IF(INDEX(기본자료!$F$2:$F$501,$W174)="","",INDEX(기본자료!$F$2:$F$501,$W174)))</f>
        <v/>
      </c>
      <c r="I174" s="10">
        <f>IF($W174="","",IF(INDEX(기본자료!$G$2:$G$501,$W174)="","",IF(NOT(ISNUMBER(INDEX(기본자료!$G$2:$G$501,$W174))),INDEX(기본자료!$G$2:$G$501,$W174),IF(INDEX(기본자료!$G$2:$G$501,$W174)&lt;1000000,INDEX(기본자료!$G$2:$G$501,$W174),IF(AND(INDEX(기본자료!$G$2:$G$501,$W174)&gt;=10000101,INT(MOD(INDEX(기본자료!$G$2:$G$501,$W174),10000)/100)&gt;=1,INT(MOD(INDEX(기본자료!$G$2:$G$501,$W174),10000)/100)&lt;=12,MOD(INDEX(기본자료!$G$2:$G$501,$W174),100)&gt;=1,MOD(INDEX(기본자료!$G$2:$G$501,$W174),100)&lt;=31),DATE(INT(INDEX(기본자료!$G$2:$G$501,$W174)/10000),INT(MOD(INDEX(기본자료!$G$2:$G$501,$W174),10000)/100),MOD(INDEX(기본자료!$G$2:$G$501,$W174),100)),INDEX(기본자료!$G$2:$G$501,$W174)&amp;"")))))</f>
        <v/>
      </c>
      <c r="J174" s="8">
        <f>IF($W174="","",IF(INDEX(기본자료!$H$2:$H$501,$W174)="","",INDEX(기본자료!$H$2:$H$501,$W174)))</f>
        <v/>
      </c>
      <c r="K174" s="8">
        <f>IF($W174="","",IF(INDEX(기본자료!$I$2:$I$501,$W174)="","",INDEX(기본자료!$I$2:$I$501,$W174)))</f>
        <v/>
      </c>
      <c r="L174" s="8">
        <f>IF($W174="","",IF(INDEX(기본자료!$A$2:$A$501,$W174)="","",INDEX(기본자료!$A$2:$A$501,$W174)))</f>
        <v/>
      </c>
      <c r="M174" s="5" t="n"/>
      <c r="N174" s="5" t="n"/>
      <c r="O174" s="5" t="n"/>
      <c r="P174" s="5" t="n"/>
      <c r="Q174" s="11" t="n"/>
      <c r="R174" s="11" t="n"/>
      <c r="S174" s="8">
        <f>IF(OR(B174="",Q174=""),"",IF(TODAY()&lt;Q174,"파견예정",IF(AND(R174&lt;&gt;"",TODAY()&gt;R174),"파견종료","파견중")))</f>
        <v/>
      </c>
      <c r="T174" s="12">
        <f>IF(OR(Q174="",R174=""),"",R174-Q174+1)</f>
        <v/>
      </c>
      <c r="U174" s="12">
        <f>IF(AND(S174="파견중",R174&lt;&gt;""),R174-TODAY(),"")</f>
        <v/>
      </c>
      <c r="V174" s="5" t="n"/>
      <c r="W174" s="8">
        <f>IF(B174="","",IFERROR(MATCH(B174,기본자료!$B$2:$B$501,0),IFERROR(MATCH(B174&amp;"",기본자료!$B$2:$B$501,0),IFERROR(MATCH(VALUE(B174),기본자료!$B$2:$B$501,0),""))))</f>
        <v/>
      </c>
    </row>
    <row r="175">
      <c r="A175" s="8">
        <f>IF(B175="","",ROW()-1)</f>
        <v/>
      </c>
      <c r="B175" s="9" t="n"/>
      <c r="C175" s="8">
        <f>IF($W175="","",IF(INDEX(기본자료!$C$2:$C$501,$W175)="","",INDEX(기본자료!$C$2:$C$501,$W175)))</f>
        <v/>
      </c>
      <c r="D175" s="8">
        <f>IF($W175="","",IF(INDEX(기본자료!$J$2:$J$501,$W175)="","",INDEX(기본자료!$J$2:$J$501,$W175)))</f>
        <v/>
      </c>
      <c r="E175" s="10">
        <f>IF($W175="","",IF(INDEX(기본자료!$K$2:$K$501,$W175)="","",IF(NOT(ISNUMBER(INDEX(기본자료!$K$2:$K$501,$W175))),INDEX(기본자료!$K$2:$K$501,$W175),IF(INDEX(기본자료!$K$2:$K$501,$W175)&lt;1000000,INDEX(기본자료!$K$2:$K$501,$W175),IF(AND(INDEX(기본자료!$K$2:$K$501,$W175)&gt;=10000101,INT(MOD(INDEX(기본자료!$K$2:$K$501,$W175),10000)/100)&gt;=1,INT(MOD(INDEX(기본자료!$K$2:$K$501,$W175),10000)/100)&lt;=12,MOD(INDEX(기본자료!$K$2:$K$501,$W175),100)&gt;=1,MOD(INDEX(기본자료!$K$2:$K$501,$W175),100)&lt;=31),DATE(INT(INDEX(기본자료!$K$2:$K$501,$W175)/10000),INT(MOD(INDEX(기본자료!$K$2:$K$501,$W175),10000)/100),MOD(INDEX(기본자료!$K$2:$K$501,$W175),100)),INDEX(기본자료!$K$2:$K$501,$W175)&amp;"")))))</f>
        <v/>
      </c>
      <c r="F175" s="8">
        <f>IF($W175="","",IF(INDEX(기본자료!$D$2:$D$501,$W175)="","",INDEX(기본자료!$D$2:$D$501,$W175)))</f>
        <v/>
      </c>
      <c r="G175" s="8">
        <f>IF($W175="","",IF(INDEX(기본자료!$E$2:$E$501,$W175)="","",INDEX(기본자료!$E$2:$E$501,$W175)))</f>
        <v/>
      </c>
      <c r="H175" s="8">
        <f>IF($W175="","",IF(INDEX(기본자료!$F$2:$F$501,$W175)="","",INDEX(기본자료!$F$2:$F$501,$W175)))</f>
        <v/>
      </c>
      <c r="I175" s="10">
        <f>IF($W175="","",IF(INDEX(기본자료!$G$2:$G$501,$W175)="","",IF(NOT(ISNUMBER(INDEX(기본자료!$G$2:$G$501,$W175))),INDEX(기본자료!$G$2:$G$501,$W175),IF(INDEX(기본자료!$G$2:$G$501,$W175)&lt;1000000,INDEX(기본자료!$G$2:$G$501,$W175),IF(AND(INDEX(기본자료!$G$2:$G$501,$W175)&gt;=10000101,INT(MOD(INDEX(기본자료!$G$2:$G$501,$W175),10000)/100)&gt;=1,INT(MOD(INDEX(기본자료!$G$2:$G$501,$W175),10000)/100)&lt;=12,MOD(INDEX(기본자료!$G$2:$G$501,$W175),100)&gt;=1,MOD(INDEX(기본자료!$G$2:$G$501,$W175),100)&lt;=31),DATE(INT(INDEX(기본자료!$G$2:$G$501,$W175)/10000),INT(MOD(INDEX(기본자료!$G$2:$G$501,$W175),10000)/100),MOD(INDEX(기본자료!$G$2:$G$501,$W175),100)),INDEX(기본자료!$G$2:$G$501,$W175)&amp;"")))))</f>
        <v/>
      </c>
      <c r="J175" s="8">
        <f>IF($W175="","",IF(INDEX(기본자료!$H$2:$H$501,$W175)="","",INDEX(기본자료!$H$2:$H$501,$W175)))</f>
        <v/>
      </c>
      <c r="K175" s="8">
        <f>IF($W175="","",IF(INDEX(기본자료!$I$2:$I$501,$W175)="","",INDEX(기본자료!$I$2:$I$501,$W175)))</f>
        <v/>
      </c>
      <c r="L175" s="8">
        <f>IF($W175="","",IF(INDEX(기본자료!$A$2:$A$501,$W175)="","",INDEX(기본자료!$A$2:$A$501,$W175)))</f>
        <v/>
      </c>
      <c r="M175" s="5" t="n"/>
      <c r="N175" s="5" t="n"/>
      <c r="O175" s="5" t="n"/>
      <c r="P175" s="5" t="n"/>
      <c r="Q175" s="11" t="n"/>
      <c r="R175" s="11" t="n"/>
      <c r="S175" s="8">
        <f>IF(OR(B175="",Q175=""),"",IF(TODAY()&lt;Q175,"파견예정",IF(AND(R175&lt;&gt;"",TODAY()&gt;R175),"파견종료","파견중")))</f>
        <v/>
      </c>
      <c r="T175" s="12">
        <f>IF(OR(Q175="",R175=""),"",R175-Q175+1)</f>
        <v/>
      </c>
      <c r="U175" s="12">
        <f>IF(AND(S175="파견중",R175&lt;&gt;""),R175-TODAY(),"")</f>
        <v/>
      </c>
      <c r="V175" s="5" t="n"/>
      <c r="W175" s="8">
        <f>IF(B175="","",IFERROR(MATCH(B175,기본자료!$B$2:$B$501,0),IFERROR(MATCH(B175&amp;"",기본자료!$B$2:$B$501,0),IFERROR(MATCH(VALUE(B175),기본자료!$B$2:$B$501,0),""))))</f>
        <v/>
      </c>
    </row>
    <row r="176">
      <c r="A176" s="8">
        <f>IF(B176="","",ROW()-1)</f>
        <v/>
      </c>
      <c r="B176" s="9" t="n"/>
      <c r="C176" s="8">
        <f>IF($W176="","",IF(INDEX(기본자료!$C$2:$C$501,$W176)="","",INDEX(기본자료!$C$2:$C$501,$W176)))</f>
        <v/>
      </c>
      <c r="D176" s="8">
        <f>IF($W176="","",IF(INDEX(기본자료!$J$2:$J$501,$W176)="","",INDEX(기본자료!$J$2:$J$501,$W176)))</f>
        <v/>
      </c>
      <c r="E176" s="10">
        <f>IF($W176="","",IF(INDEX(기본자료!$K$2:$K$501,$W176)="","",IF(NOT(ISNUMBER(INDEX(기본자료!$K$2:$K$501,$W176))),INDEX(기본자료!$K$2:$K$501,$W176),IF(INDEX(기본자료!$K$2:$K$501,$W176)&lt;1000000,INDEX(기본자료!$K$2:$K$501,$W176),IF(AND(INDEX(기본자료!$K$2:$K$501,$W176)&gt;=10000101,INT(MOD(INDEX(기본자료!$K$2:$K$501,$W176),10000)/100)&gt;=1,INT(MOD(INDEX(기본자료!$K$2:$K$501,$W176),10000)/100)&lt;=12,MOD(INDEX(기본자료!$K$2:$K$501,$W176),100)&gt;=1,MOD(INDEX(기본자료!$K$2:$K$501,$W176),100)&lt;=31),DATE(INT(INDEX(기본자료!$K$2:$K$501,$W176)/10000),INT(MOD(INDEX(기본자료!$K$2:$K$501,$W176),10000)/100),MOD(INDEX(기본자료!$K$2:$K$501,$W176),100)),INDEX(기본자료!$K$2:$K$501,$W176)&amp;"")))))</f>
        <v/>
      </c>
      <c r="F176" s="8">
        <f>IF($W176="","",IF(INDEX(기본자료!$D$2:$D$501,$W176)="","",INDEX(기본자료!$D$2:$D$501,$W176)))</f>
        <v/>
      </c>
      <c r="G176" s="8">
        <f>IF($W176="","",IF(INDEX(기본자료!$E$2:$E$501,$W176)="","",INDEX(기본자료!$E$2:$E$501,$W176)))</f>
        <v/>
      </c>
      <c r="H176" s="8">
        <f>IF($W176="","",IF(INDEX(기본자료!$F$2:$F$501,$W176)="","",INDEX(기본자료!$F$2:$F$501,$W176)))</f>
        <v/>
      </c>
      <c r="I176" s="10">
        <f>IF($W176="","",IF(INDEX(기본자료!$G$2:$G$501,$W176)="","",IF(NOT(ISNUMBER(INDEX(기본자료!$G$2:$G$501,$W176))),INDEX(기본자료!$G$2:$G$501,$W176),IF(INDEX(기본자료!$G$2:$G$501,$W176)&lt;1000000,INDEX(기본자료!$G$2:$G$501,$W176),IF(AND(INDEX(기본자료!$G$2:$G$501,$W176)&gt;=10000101,INT(MOD(INDEX(기본자료!$G$2:$G$501,$W176),10000)/100)&gt;=1,INT(MOD(INDEX(기본자료!$G$2:$G$501,$W176),10000)/100)&lt;=12,MOD(INDEX(기본자료!$G$2:$G$501,$W176),100)&gt;=1,MOD(INDEX(기본자료!$G$2:$G$501,$W176),100)&lt;=31),DATE(INT(INDEX(기본자료!$G$2:$G$501,$W176)/10000),INT(MOD(INDEX(기본자료!$G$2:$G$501,$W176),10000)/100),MOD(INDEX(기본자료!$G$2:$G$501,$W176),100)),INDEX(기본자료!$G$2:$G$501,$W176)&amp;"")))))</f>
        <v/>
      </c>
      <c r="J176" s="8">
        <f>IF($W176="","",IF(INDEX(기본자료!$H$2:$H$501,$W176)="","",INDEX(기본자료!$H$2:$H$501,$W176)))</f>
        <v/>
      </c>
      <c r="K176" s="8">
        <f>IF($W176="","",IF(INDEX(기본자료!$I$2:$I$501,$W176)="","",INDEX(기본자료!$I$2:$I$501,$W176)))</f>
        <v/>
      </c>
      <c r="L176" s="8">
        <f>IF($W176="","",IF(INDEX(기본자료!$A$2:$A$501,$W176)="","",INDEX(기본자료!$A$2:$A$501,$W176)))</f>
        <v/>
      </c>
      <c r="M176" s="5" t="n"/>
      <c r="N176" s="5" t="n"/>
      <c r="O176" s="5" t="n"/>
      <c r="P176" s="5" t="n"/>
      <c r="Q176" s="11" t="n"/>
      <c r="R176" s="11" t="n"/>
      <c r="S176" s="8">
        <f>IF(OR(B176="",Q176=""),"",IF(TODAY()&lt;Q176,"파견예정",IF(AND(R176&lt;&gt;"",TODAY()&gt;R176),"파견종료","파견중")))</f>
        <v/>
      </c>
      <c r="T176" s="12">
        <f>IF(OR(Q176="",R176=""),"",R176-Q176+1)</f>
        <v/>
      </c>
      <c r="U176" s="12">
        <f>IF(AND(S176="파견중",R176&lt;&gt;""),R176-TODAY(),"")</f>
        <v/>
      </c>
      <c r="V176" s="5" t="n"/>
      <c r="W176" s="8">
        <f>IF(B176="","",IFERROR(MATCH(B176,기본자료!$B$2:$B$501,0),IFERROR(MATCH(B176&amp;"",기본자료!$B$2:$B$501,0),IFERROR(MATCH(VALUE(B176),기본자료!$B$2:$B$501,0),""))))</f>
        <v/>
      </c>
    </row>
    <row r="177">
      <c r="A177" s="8">
        <f>IF(B177="","",ROW()-1)</f>
        <v/>
      </c>
      <c r="B177" s="9" t="n"/>
      <c r="C177" s="8">
        <f>IF($W177="","",IF(INDEX(기본자료!$C$2:$C$501,$W177)="","",INDEX(기본자료!$C$2:$C$501,$W177)))</f>
        <v/>
      </c>
      <c r="D177" s="8">
        <f>IF($W177="","",IF(INDEX(기본자료!$J$2:$J$501,$W177)="","",INDEX(기본자료!$J$2:$J$501,$W177)))</f>
        <v/>
      </c>
      <c r="E177" s="10">
        <f>IF($W177="","",IF(INDEX(기본자료!$K$2:$K$501,$W177)="","",IF(NOT(ISNUMBER(INDEX(기본자료!$K$2:$K$501,$W177))),INDEX(기본자료!$K$2:$K$501,$W177),IF(INDEX(기본자료!$K$2:$K$501,$W177)&lt;1000000,INDEX(기본자료!$K$2:$K$501,$W177),IF(AND(INDEX(기본자료!$K$2:$K$501,$W177)&gt;=10000101,INT(MOD(INDEX(기본자료!$K$2:$K$501,$W177),10000)/100)&gt;=1,INT(MOD(INDEX(기본자료!$K$2:$K$501,$W177),10000)/100)&lt;=12,MOD(INDEX(기본자료!$K$2:$K$501,$W177),100)&gt;=1,MOD(INDEX(기본자료!$K$2:$K$501,$W177),100)&lt;=31),DATE(INT(INDEX(기본자료!$K$2:$K$501,$W177)/10000),INT(MOD(INDEX(기본자료!$K$2:$K$501,$W177),10000)/100),MOD(INDEX(기본자료!$K$2:$K$501,$W177),100)),INDEX(기본자료!$K$2:$K$501,$W177)&amp;"")))))</f>
        <v/>
      </c>
      <c r="F177" s="8">
        <f>IF($W177="","",IF(INDEX(기본자료!$D$2:$D$501,$W177)="","",INDEX(기본자료!$D$2:$D$501,$W177)))</f>
        <v/>
      </c>
      <c r="G177" s="8">
        <f>IF($W177="","",IF(INDEX(기본자료!$E$2:$E$501,$W177)="","",INDEX(기본자료!$E$2:$E$501,$W177)))</f>
        <v/>
      </c>
      <c r="H177" s="8">
        <f>IF($W177="","",IF(INDEX(기본자료!$F$2:$F$501,$W177)="","",INDEX(기본자료!$F$2:$F$501,$W177)))</f>
        <v/>
      </c>
      <c r="I177" s="10">
        <f>IF($W177="","",IF(INDEX(기본자료!$G$2:$G$501,$W177)="","",IF(NOT(ISNUMBER(INDEX(기본자료!$G$2:$G$501,$W177))),INDEX(기본자료!$G$2:$G$501,$W177),IF(INDEX(기본자료!$G$2:$G$501,$W177)&lt;1000000,INDEX(기본자료!$G$2:$G$501,$W177),IF(AND(INDEX(기본자료!$G$2:$G$501,$W177)&gt;=10000101,INT(MOD(INDEX(기본자료!$G$2:$G$501,$W177),10000)/100)&gt;=1,INT(MOD(INDEX(기본자료!$G$2:$G$501,$W177),10000)/100)&lt;=12,MOD(INDEX(기본자료!$G$2:$G$501,$W177),100)&gt;=1,MOD(INDEX(기본자료!$G$2:$G$501,$W177),100)&lt;=31),DATE(INT(INDEX(기본자료!$G$2:$G$501,$W177)/10000),INT(MOD(INDEX(기본자료!$G$2:$G$501,$W177),10000)/100),MOD(INDEX(기본자료!$G$2:$G$501,$W177),100)),INDEX(기본자료!$G$2:$G$501,$W177)&amp;"")))))</f>
        <v/>
      </c>
      <c r="J177" s="8">
        <f>IF($W177="","",IF(INDEX(기본자료!$H$2:$H$501,$W177)="","",INDEX(기본자료!$H$2:$H$501,$W177)))</f>
        <v/>
      </c>
      <c r="K177" s="8">
        <f>IF($W177="","",IF(INDEX(기본자료!$I$2:$I$501,$W177)="","",INDEX(기본자료!$I$2:$I$501,$W177)))</f>
        <v/>
      </c>
      <c r="L177" s="8">
        <f>IF($W177="","",IF(INDEX(기본자료!$A$2:$A$501,$W177)="","",INDEX(기본자료!$A$2:$A$501,$W177)))</f>
        <v/>
      </c>
      <c r="M177" s="5" t="n"/>
      <c r="N177" s="5" t="n"/>
      <c r="O177" s="5" t="n"/>
      <c r="P177" s="5" t="n"/>
      <c r="Q177" s="11" t="n"/>
      <c r="R177" s="11" t="n"/>
      <c r="S177" s="8">
        <f>IF(OR(B177="",Q177=""),"",IF(TODAY()&lt;Q177,"파견예정",IF(AND(R177&lt;&gt;"",TODAY()&gt;R177),"파견종료","파견중")))</f>
        <v/>
      </c>
      <c r="T177" s="12">
        <f>IF(OR(Q177="",R177=""),"",R177-Q177+1)</f>
        <v/>
      </c>
      <c r="U177" s="12">
        <f>IF(AND(S177="파견중",R177&lt;&gt;""),R177-TODAY(),"")</f>
        <v/>
      </c>
      <c r="V177" s="5" t="n"/>
      <c r="W177" s="8">
        <f>IF(B177="","",IFERROR(MATCH(B177,기본자료!$B$2:$B$501,0),IFERROR(MATCH(B177&amp;"",기본자료!$B$2:$B$501,0),IFERROR(MATCH(VALUE(B177),기본자료!$B$2:$B$501,0),""))))</f>
        <v/>
      </c>
    </row>
    <row r="178">
      <c r="A178" s="8">
        <f>IF(B178="","",ROW()-1)</f>
        <v/>
      </c>
      <c r="B178" s="9" t="n"/>
      <c r="C178" s="8">
        <f>IF($W178="","",IF(INDEX(기본자료!$C$2:$C$501,$W178)="","",INDEX(기본자료!$C$2:$C$501,$W178)))</f>
        <v/>
      </c>
      <c r="D178" s="8">
        <f>IF($W178="","",IF(INDEX(기본자료!$J$2:$J$501,$W178)="","",INDEX(기본자료!$J$2:$J$501,$W178)))</f>
        <v/>
      </c>
      <c r="E178" s="10">
        <f>IF($W178="","",IF(INDEX(기본자료!$K$2:$K$501,$W178)="","",IF(NOT(ISNUMBER(INDEX(기본자료!$K$2:$K$501,$W178))),INDEX(기본자료!$K$2:$K$501,$W178),IF(INDEX(기본자료!$K$2:$K$501,$W178)&lt;1000000,INDEX(기본자료!$K$2:$K$501,$W178),IF(AND(INDEX(기본자료!$K$2:$K$501,$W178)&gt;=10000101,INT(MOD(INDEX(기본자료!$K$2:$K$501,$W178),10000)/100)&gt;=1,INT(MOD(INDEX(기본자료!$K$2:$K$501,$W178),10000)/100)&lt;=12,MOD(INDEX(기본자료!$K$2:$K$501,$W178),100)&gt;=1,MOD(INDEX(기본자료!$K$2:$K$501,$W178),100)&lt;=31),DATE(INT(INDEX(기본자료!$K$2:$K$501,$W178)/10000),INT(MOD(INDEX(기본자료!$K$2:$K$501,$W178),10000)/100),MOD(INDEX(기본자료!$K$2:$K$501,$W178),100)),INDEX(기본자료!$K$2:$K$501,$W178)&amp;"")))))</f>
        <v/>
      </c>
      <c r="F178" s="8">
        <f>IF($W178="","",IF(INDEX(기본자료!$D$2:$D$501,$W178)="","",INDEX(기본자료!$D$2:$D$501,$W178)))</f>
        <v/>
      </c>
      <c r="G178" s="8">
        <f>IF($W178="","",IF(INDEX(기본자료!$E$2:$E$501,$W178)="","",INDEX(기본자료!$E$2:$E$501,$W178)))</f>
        <v/>
      </c>
      <c r="H178" s="8">
        <f>IF($W178="","",IF(INDEX(기본자료!$F$2:$F$501,$W178)="","",INDEX(기본자료!$F$2:$F$501,$W178)))</f>
        <v/>
      </c>
      <c r="I178" s="10">
        <f>IF($W178="","",IF(INDEX(기본자료!$G$2:$G$501,$W178)="","",IF(NOT(ISNUMBER(INDEX(기본자료!$G$2:$G$501,$W178))),INDEX(기본자료!$G$2:$G$501,$W178),IF(INDEX(기본자료!$G$2:$G$501,$W178)&lt;1000000,INDEX(기본자료!$G$2:$G$501,$W178),IF(AND(INDEX(기본자료!$G$2:$G$501,$W178)&gt;=10000101,INT(MOD(INDEX(기본자료!$G$2:$G$501,$W178),10000)/100)&gt;=1,INT(MOD(INDEX(기본자료!$G$2:$G$501,$W178),10000)/100)&lt;=12,MOD(INDEX(기본자료!$G$2:$G$501,$W178),100)&gt;=1,MOD(INDEX(기본자료!$G$2:$G$501,$W178),100)&lt;=31),DATE(INT(INDEX(기본자료!$G$2:$G$501,$W178)/10000),INT(MOD(INDEX(기본자료!$G$2:$G$501,$W178),10000)/100),MOD(INDEX(기본자료!$G$2:$G$501,$W178),100)),INDEX(기본자료!$G$2:$G$501,$W178)&amp;"")))))</f>
        <v/>
      </c>
      <c r="J178" s="8">
        <f>IF($W178="","",IF(INDEX(기본자료!$H$2:$H$501,$W178)="","",INDEX(기본자료!$H$2:$H$501,$W178)))</f>
        <v/>
      </c>
      <c r="K178" s="8">
        <f>IF($W178="","",IF(INDEX(기본자료!$I$2:$I$501,$W178)="","",INDEX(기본자료!$I$2:$I$501,$W178)))</f>
        <v/>
      </c>
      <c r="L178" s="8">
        <f>IF($W178="","",IF(INDEX(기본자료!$A$2:$A$501,$W178)="","",INDEX(기본자료!$A$2:$A$501,$W178)))</f>
        <v/>
      </c>
      <c r="M178" s="5" t="n"/>
      <c r="N178" s="5" t="n"/>
      <c r="O178" s="5" t="n"/>
      <c r="P178" s="5" t="n"/>
      <c r="Q178" s="11" t="n"/>
      <c r="R178" s="11" t="n"/>
      <c r="S178" s="8">
        <f>IF(OR(B178="",Q178=""),"",IF(TODAY()&lt;Q178,"파견예정",IF(AND(R178&lt;&gt;"",TODAY()&gt;R178),"파견종료","파견중")))</f>
        <v/>
      </c>
      <c r="T178" s="12">
        <f>IF(OR(Q178="",R178=""),"",R178-Q178+1)</f>
        <v/>
      </c>
      <c r="U178" s="12">
        <f>IF(AND(S178="파견중",R178&lt;&gt;""),R178-TODAY(),"")</f>
        <v/>
      </c>
      <c r="V178" s="5" t="n"/>
      <c r="W178" s="8">
        <f>IF(B178="","",IFERROR(MATCH(B178,기본자료!$B$2:$B$501,0),IFERROR(MATCH(B178&amp;"",기본자료!$B$2:$B$501,0),IFERROR(MATCH(VALUE(B178),기본자료!$B$2:$B$501,0),""))))</f>
        <v/>
      </c>
    </row>
    <row r="179">
      <c r="A179" s="8">
        <f>IF(B179="","",ROW()-1)</f>
        <v/>
      </c>
      <c r="B179" s="9" t="n"/>
      <c r="C179" s="8">
        <f>IF($W179="","",IF(INDEX(기본자료!$C$2:$C$501,$W179)="","",INDEX(기본자료!$C$2:$C$501,$W179)))</f>
        <v/>
      </c>
      <c r="D179" s="8">
        <f>IF($W179="","",IF(INDEX(기본자료!$J$2:$J$501,$W179)="","",INDEX(기본자료!$J$2:$J$501,$W179)))</f>
        <v/>
      </c>
      <c r="E179" s="10">
        <f>IF($W179="","",IF(INDEX(기본자료!$K$2:$K$501,$W179)="","",IF(NOT(ISNUMBER(INDEX(기본자료!$K$2:$K$501,$W179))),INDEX(기본자료!$K$2:$K$501,$W179),IF(INDEX(기본자료!$K$2:$K$501,$W179)&lt;1000000,INDEX(기본자료!$K$2:$K$501,$W179),IF(AND(INDEX(기본자료!$K$2:$K$501,$W179)&gt;=10000101,INT(MOD(INDEX(기본자료!$K$2:$K$501,$W179),10000)/100)&gt;=1,INT(MOD(INDEX(기본자료!$K$2:$K$501,$W179),10000)/100)&lt;=12,MOD(INDEX(기본자료!$K$2:$K$501,$W179),100)&gt;=1,MOD(INDEX(기본자료!$K$2:$K$501,$W179),100)&lt;=31),DATE(INT(INDEX(기본자료!$K$2:$K$501,$W179)/10000),INT(MOD(INDEX(기본자료!$K$2:$K$501,$W179),10000)/100),MOD(INDEX(기본자료!$K$2:$K$501,$W179),100)),INDEX(기본자료!$K$2:$K$501,$W179)&amp;"")))))</f>
        <v/>
      </c>
      <c r="F179" s="8">
        <f>IF($W179="","",IF(INDEX(기본자료!$D$2:$D$501,$W179)="","",INDEX(기본자료!$D$2:$D$501,$W179)))</f>
        <v/>
      </c>
      <c r="G179" s="8">
        <f>IF($W179="","",IF(INDEX(기본자료!$E$2:$E$501,$W179)="","",INDEX(기본자료!$E$2:$E$501,$W179)))</f>
        <v/>
      </c>
      <c r="H179" s="8">
        <f>IF($W179="","",IF(INDEX(기본자료!$F$2:$F$501,$W179)="","",INDEX(기본자료!$F$2:$F$501,$W179)))</f>
        <v/>
      </c>
      <c r="I179" s="10">
        <f>IF($W179="","",IF(INDEX(기본자료!$G$2:$G$501,$W179)="","",IF(NOT(ISNUMBER(INDEX(기본자료!$G$2:$G$501,$W179))),INDEX(기본자료!$G$2:$G$501,$W179),IF(INDEX(기본자료!$G$2:$G$501,$W179)&lt;1000000,INDEX(기본자료!$G$2:$G$501,$W179),IF(AND(INDEX(기본자료!$G$2:$G$501,$W179)&gt;=10000101,INT(MOD(INDEX(기본자료!$G$2:$G$501,$W179),10000)/100)&gt;=1,INT(MOD(INDEX(기본자료!$G$2:$G$501,$W179),10000)/100)&lt;=12,MOD(INDEX(기본자료!$G$2:$G$501,$W179),100)&gt;=1,MOD(INDEX(기본자료!$G$2:$G$501,$W179),100)&lt;=31),DATE(INT(INDEX(기본자료!$G$2:$G$501,$W179)/10000),INT(MOD(INDEX(기본자료!$G$2:$G$501,$W179),10000)/100),MOD(INDEX(기본자료!$G$2:$G$501,$W179),100)),INDEX(기본자료!$G$2:$G$501,$W179)&amp;"")))))</f>
        <v/>
      </c>
      <c r="J179" s="8">
        <f>IF($W179="","",IF(INDEX(기본자료!$H$2:$H$501,$W179)="","",INDEX(기본자료!$H$2:$H$501,$W179)))</f>
        <v/>
      </c>
      <c r="K179" s="8">
        <f>IF($W179="","",IF(INDEX(기본자료!$I$2:$I$501,$W179)="","",INDEX(기본자료!$I$2:$I$501,$W179)))</f>
        <v/>
      </c>
      <c r="L179" s="8">
        <f>IF($W179="","",IF(INDEX(기본자료!$A$2:$A$501,$W179)="","",INDEX(기본자료!$A$2:$A$501,$W179)))</f>
        <v/>
      </c>
      <c r="M179" s="5" t="n"/>
      <c r="N179" s="5" t="n"/>
      <c r="O179" s="5" t="n"/>
      <c r="P179" s="5" t="n"/>
      <c r="Q179" s="11" t="n"/>
      <c r="R179" s="11" t="n"/>
      <c r="S179" s="8">
        <f>IF(OR(B179="",Q179=""),"",IF(TODAY()&lt;Q179,"파견예정",IF(AND(R179&lt;&gt;"",TODAY()&gt;R179),"파견종료","파견중")))</f>
        <v/>
      </c>
      <c r="T179" s="12">
        <f>IF(OR(Q179="",R179=""),"",R179-Q179+1)</f>
        <v/>
      </c>
      <c r="U179" s="12">
        <f>IF(AND(S179="파견중",R179&lt;&gt;""),R179-TODAY(),"")</f>
        <v/>
      </c>
      <c r="V179" s="5" t="n"/>
      <c r="W179" s="8">
        <f>IF(B179="","",IFERROR(MATCH(B179,기본자료!$B$2:$B$501,0),IFERROR(MATCH(B179&amp;"",기본자료!$B$2:$B$501,0),IFERROR(MATCH(VALUE(B179),기본자료!$B$2:$B$501,0),""))))</f>
        <v/>
      </c>
    </row>
    <row r="180">
      <c r="A180" s="8">
        <f>IF(B180="","",ROW()-1)</f>
        <v/>
      </c>
      <c r="B180" s="9" t="n"/>
      <c r="C180" s="8">
        <f>IF($W180="","",IF(INDEX(기본자료!$C$2:$C$501,$W180)="","",INDEX(기본자료!$C$2:$C$501,$W180)))</f>
        <v/>
      </c>
      <c r="D180" s="8">
        <f>IF($W180="","",IF(INDEX(기본자료!$J$2:$J$501,$W180)="","",INDEX(기본자료!$J$2:$J$501,$W180)))</f>
        <v/>
      </c>
      <c r="E180" s="10">
        <f>IF($W180="","",IF(INDEX(기본자료!$K$2:$K$501,$W180)="","",IF(NOT(ISNUMBER(INDEX(기본자료!$K$2:$K$501,$W180))),INDEX(기본자료!$K$2:$K$501,$W180),IF(INDEX(기본자료!$K$2:$K$501,$W180)&lt;1000000,INDEX(기본자료!$K$2:$K$501,$W180),IF(AND(INDEX(기본자료!$K$2:$K$501,$W180)&gt;=10000101,INT(MOD(INDEX(기본자료!$K$2:$K$501,$W180),10000)/100)&gt;=1,INT(MOD(INDEX(기본자료!$K$2:$K$501,$W180),10000)/100)&lt;=12,MOD(INDEX(기본자료!$K$2:$K$501,$W180),100)&gt;=1,MOD(INDEX(기본자료!$K$2:$K$501,$W180),100)&lt;=31),DATE(INT(INDEX(기본자료!$K$2:$K$501,$W180)/10000),INT(MOD(INDEX(기본자료!$K$2:$K$501,$W180),10000)/100),MOD(INDEX(기본자료!$K$2:$K$501,$W180),100)),INDEX(기본자료!$K$2:$K$501,$W180)&amp;"")))))</f>
        <v/>
      </c>
      <c r="F180" s="8">
        <f>IF($W180="","",IF(INDEX(기본자료!$D$2:$D$501,$W180)="","",INDEX(기본자료!$D$2:$D$501,$W180)))</f>
        <v/>
      </c>
      <c r="G180" s="8">
        <f>IF($W180="","",IF(INDEX(기본자료!$E$2:$E$501,$W180)="","",INDEX(기본자료!$E$2:$E$501,$W180)))</f>
        <v/>
      </c>
      <c r="H180" s="8">
        <f>IF($W180="","",IF(INDEX(기본자료!$F$2:$F$501,$W180)="","",INDEX(기본자료!$F$2:$F$501,$W180)))</f>
        <v/>
      </c>
      <c r="I180" s="10">
        <f>IF($W180="","",IF(INDEX(기본자료!$G$2:$G$501,$W180)="","",IF(NOT(ISNUMBER(INDEX(기본자료!$G$2:$G$501,$W180))),INDEX(기본자료!$G$2:$G$501,$W180),IF(INDEX(기본자료!$G$2:$G$501,$W180)&lt;1000000,INDEX(기본자료!$G$2:$G$501,$W180),IF(AND(INDEX(기본자료!$G$2:$G$501,$W180)&gt;=10000101,INT(MOD(INDEX(기본자료!$G$2:$G$501,$W180),10000)/100)&gt;=1,INT(MOD(INDEX(기본자료!$G$2:$G$501,$W180),10000)/100)&lt;=12,MOD(INDEX(기본자료!$G$2:$G$501,$W180),100)&gt;=1,MOD(INDEX(기본자료!$G$2:$G$501,$W180),100)&lt;=31),DATE(INT(INDEX(기본자료!$G$2:$G$501,$W180)/10000),INT(MOD(INDEX(기본자료!$G$2:$G$501,$W180),10000)/100),MOD(INDEX(기본자료!$G$2:$G$501,$W180),100)),INDEX(기본자료!$G$2:$G$501,$W180)&amp;"")))))</f>
        <v/>
      </c>
      <c r="J180" s="8">
        <f>IF($W180="","",IF(INDEX(기본자료!$H$2:$H$501,$W180)="","",INDEX(기본자료!$H$2:$H$501,$W180)))</f>
        <v/>
      </c>
      <c r="K180" s="8">
        <f>IF($W180="","",IF(INDEX(기본자료!$I$2:$I$501,$W180)="","",INDEX(기본자료!$I$2:$I$501,$W180)))</f>
        <v/>
      </c>
      <c r="L180" s="8">
        <f>IF($W180="","",IF(INDEX(기본자료!$A$2:$A$501,$W180)="","",INDEX(기본자료!$A$2:$A$501,$W180)))</f>
        <v/>
      </c>
      <c r="M180" s="5" t="n"/>
      <c r="N180" s="5" t="n"/>
      <c r="O180" s="5" t="n"/>
      <c r="P180" s="5" t="n"/>
      <c r="Q180" s="11" t="n"/>
      <c r="R180" s="11" t="n"/>
      <c r="S180" s="8">
        <f>IF(OR(B180="",Q180=""),"",IF(TODAY()&lt;Q180,"파견예정",IF(AND(R180&lt;&gt;"",TODAY()&gt;R180),"파견종료","파견중")))</f>
        <v/>
      </c>
      <c r="T180" s="12">
        <f>IF(OR(Q180="",R180=""),"",R180-Q180+1)</f>
        <v/>
      </c>
      <c r="U180" s="12">
        <f>IF(AND(S180="파견중",R180&lt;&gt;""),R180-TODAY(),"")</f>
        <v/>
      </c>
      <c r="V180" s="5" t="n"/>
      <c r="W180" s="8">
        <f>IF(B180="","",IFERROR(MATCH(B180,기본자료!$B$2:$B$501,0),IFERROR(MATCH(B180&amp;"",기본자료!$B$2:$B$501,0),IFERROR(MATCH(VALUE(B180),기본자료!$B$2:$B$501,0),""))))</f>
        <v/>
      </c>
    </row>
    <row r="181">
      <c r="A181" s="8">
        <f>IF(B181="","",ROW()-1)</f>
        <v/>
      </c>
      <c r="B181" s="9" t="n"/>
      <c r="C181" s="8">
        <f>IF($W181="","",IF(INDEX(기본자료!$C$2:$C$501,$W181)="","",INDEX(기본자료!$C$2:$C$501,$W181)))</f>
        <v/>
      </c>
      <c r="D181" s="8">
        <f>IF($W181="","",IF(INDEX(기본자료!$J$2:$J$501,$W181)="","",INDEX(기본자료!$J$2:$J$501,$W181)))</f>
        <v/>
      </c>
      <c r="E181" s="10">
        <f>IF($W181="","",IF(INDEX(기본자료!$K$2:$K$501,$W181)="","",IF(NOT(ISNUMBER(INDEX(기본자료!$K$2:$K$501,$W181))),INDEX(기본자료!$K$2:$K$501,$W181),IF(INDEX(기본자료!$K$2:$K$501,$W181)&lt;1000000,INDEX(기본자료!$K$2:$K$501,$W181),IF(AND(INDEX(기본자료!$K$2:$K$501,$W181)&gt;=10000101,INT(MOD(INDEX(기본자료!$K$2:$K$501,$W181),10000)/100)&gt;=1,INT(MOD(INDEX(기본자료!$K$2:$K$501,$W181),10000)/100)&lt;=12,MOD(INDEX(기본자료!$K$2:$K$501,$W181),100)&gt;=1,MOD(INDEX(기본자료!$K$2:$K$501,$W181),100)&lt;=31),DATE(INT(INDEX(기본자료!$K$2:$K$501,$W181)/10000),INT(MOD(INDEX(기본자료!$K$2:$K$501,$W181),10000)/100),MOD(INDEX(기본자료!$K$2:$K$501,$W181),100)),INDEX(기본자료!$K$2:$K$501,$W181)&amp;"")))))</f>
        <v/>
      </c>
      <c r="F181" s="8">
        <f>IF($W181="","",IF(INDEX(기본자료!$D$2:$D$501,$W181)="","",INDEX(기본자료!$D$2:$D$501,$W181)))</f>
        <v/>
      </c>
      <c r="G181" s="8">
        <f>IF($W181="","",IF(INDEX(기본자료!$E$2:$E$501,$W181)="","",INDEX(기본자료!$E$2:$E$501,$W181)))</f>
        <v/>
      </c>
      <c r="H181" s="8">
        <f>IF($W181="","",IF(INDEX(기본자료!$F$2:$F$501,$W181)="","",INDEX(기본자료!$F$2:$F$501,$W181)))</f>
        <v/>
      </c>
      <c r="I181" s="10">
        <f>IF($W181="","",IF(INDEX(기본자료!$G$2:$G$501,$W181)="","",IF(NOT(ISNUMBER(INDEX(기본자료!$G$2:$G$501,$W181))),INDEX(기본자료!$G$2:$G$501,$W181),IF(INDEX(기본자료!$G$2:$G$501,$W181)&lt;1000000,INDEX(기본자료!$G$2:$G$501,$W181),IF(AND(INDEX(기본자료!$G$2:$G$501,$W181)&gt;=10000101,INT(MOD(INDEX(기본자료!$G$2:$G$501,$W181),10000)/100)&gt;=1,INT(MOD(INDEX(기본자료!$G$2:$G$501,$W181),10000)/100)&lt;=12,MOD(INDEX(기본자료!$G$2:$G$501,$W181),100)&gt;=1,MOD(INDEX(기본자료!$G$2:$G$501,$W181),100)&lt;=31),DATE(INT(INDEX(기본자료!$G$2:$G$501,$W181)/10000),INT(MOD(INDEX(기본자료!$G$2:$G$501,$W181),10000)/100),MOD(INDEX(기본자료!$G$2:$G$501,$W181),100)),INDEX(기본자료!$G$2:$G$501,$W181)&amp;"")))))</f>
        <v/>
      </c>
      <c r="J181" s="8">
        <f>IF($W181="","",IF(INDEX(기본자료!$H$2:$H$501,$W181)="","",INDEX(기본자료!$H$2:$H$501,$W181)))</f>
        <v/>
      </c>
      <c r="K181" s="8">
        <f>IF($W181="","",IF(INDEX(기본자료!$I$2:$I$501,$W181)="","",INDEX(기본자료!$I$2:$I$501,$W181)))</f>
        <v/>
      </c>
      <c r="L181" s="8">
        <f>IF($W181="","",IF(INDEX(기본자료!$A$2:$A$501,$W181)="","",INDEX(기본자료!$A$2:$A$501,$W181)))</f>
        <v/>
      </c>
      <c r="M181" s="5" t="n"/>
      <c r="N181" s="5" t="n"/>
      <c r="O181" s="5" t="n"/>
      <c r="P181" s="5" t="n"/>
      <c r="Q181" s="11" t="n"/>
      <c r="R181" s="11" t="n"/>
      <c r="S181" s="8">
        <f>IF(OR(B181="",Q181=""),"",IF(TODAY()&lt;Q181,"파견예정",IF(AND(R181&lt;&gt;"",TODAY()&gt;R181),"파견종료","파견중")))</f>
        <v/>
      </c>
      <c r="T181" s="12">
        <f>IF(OR(Q181="",R181=""),"",R181-Q181+1)</f>
        <v/>
      </c>
      <c r="U181" s="12">
        <f>IF(AND(S181="파견중",R181&lt;&gt;""),R181-TODAY(),"")</f>
        <v/>
      </c>
      <c r="V181" s="5" t="n"/>
      <c r="W181" s="8">
        <f>IF(B181="","",IFERROR(MATCH(B181,기본자료!$B$2:$B$501,0),IFERROR(MATCH(B181&amp;"",기본자료!$B$2:$B$501,0),IFERROR(MATCH(VALUE(B181),기본자료!$B$2:$B$501,0),""))))</f>
        <v/>
      </c>
    </row>
    <row r="182">
      <c r="A182" s="8">
        <f>IF(B182="","",ROW()-1)</f>
        <v/>
      </c>
      <c r="B182" s="9" t="n"/>
      <c r="C182" s="8">
        <f>IF($W182="","",IF(INDEX(기본자료!$C$2:$C$501,$W182)="","",INDEX(기본자료!$C$2:$C$501,$W182)))</f>
        <v/>
      </c>
      <c r="D182" s="8">
        <f>IF($W182="","",IF(INDEX(기본자료!$J$2:$J$501,$W182)="","",INDEX(기본자료!$J$2:$J$501,$W182)))</f>
        <v/>
      </c>
      <c r="E182" s="10">
        <f>IF($W182="","",IF(INDEX(기본자료!$K$2:$K$501,$W182)="","",IF(NOT(ISNUMBER(INDEX(기본자료!$K$2:$K$501,$W182))),INDEX(기본자료!$K$2:$K$501,$W182),IF(INDEX(기본자료!$K$2:$K$501,$W182)&lt;1000000,INDEX(기본자료!$K$2:$K$501,$W182),IF(AND(INDEX(기본자료!$K$2:$K$501,$W182)&gt;=10000101,INT(MOD(INDEX(기본자료!$K$2:$K$501,$W182),10000)/100)&gt;=1,INT(MOD(INDEX(기본자료!$K$2:$K$501,$W182),10000)/100)&lt;=12,MOD(INDEX(기본자료!$K$2:$K$501,$W182),100)&gt;=1,MOD(INDEX(기본자료!$K$2:$K$501,$W182),100)&lt;=31),DATE(INT(INDEX(기본자료!$K$2:$K$501,$W182)/10000),INT(MOD(INDEX(기본자료!$K$2:$K$501,$W182),10000)/100),MOD(INDEX(기본자료!$K$2:$K$501,$W182),100)),INDEX(기본자료!$K$2:$K$501,$W182)&amp;"")))))</f>
        <v/>
      </c>
      <c r="F182" s="8">
        <f>IF($W182="","",IF(INDEX(기본자료!$D$2:$D$501,$W182)="","",INDEX(기본자료!$D$2:$D$501,$W182)))</f>
        <v/>
      </c>
      <c r="G182" s="8">
        <f>IF($W182="","",IF(INDEX(기본자료!$E$2:$E$501,$W182)="","",INDEX(기본자료!$E$2:$E$501,$W182)))</f>
        <v/>
      </c>
      <c r="H182" s="8">
        <f>IF($W182="","",IF(INDEX(기본자료!$F$2:$F$501,$W182)="","",INDEX(기본자료!$F$2:$F$501,$W182)))</f>
        <v/>
      </c>
      <c r="I182" s="10">
        <f>IF($W182="","",IF(INDEX(기본자료!$G$2:$G$501,$W182)="","",IF(NOT(ISNUMBER(INDEX(기본자료!$G$2:$G$501,$W182))),INDEX(기본자료!$G$2:$G$501,$W182),IF(INDEX(기본자료!$G$2:$G$501,$W182)&lt;1000000,INDEX(기본자료!$G$2:$G$501,$W182),IF(AND(INDEX(기본자료!$G$2:$G$501,$W182)&gt;=10000101,INT(MOD(INDEX(기본자료!$G$2:$G$501,$W182),10000)/100)&gt;=1,INT(MOD(INDEX(기본자료!$G$2:$G$501,$W182),10000)/100)&lt;=12,MOD(INDEX(기본자료!$G$2:$G$501,$W182),100)&gt;=1,MOD(INDEX(기본자료!$G$2:$G$501,$W182),100)&lt;=31),DATE(INT(INDEX(기본자료!$G$2:$G$501,$W182)/10000),INT(MOD(INDEX(기본자료!$G$2:$G$501,$W182),10000)/100),MOD(INDEX(기본자료!$G$2:$G$501,$W182),100)),INDEX(기본자료!$G$2:$G$501,$W182)&amp;"")))))</f>
        <v/>
      </c>
      <c r="J182" s="8">
        <f>IF($W182="","",IF(INDEX(기본자료!$H$2:$H$501,$W182)="","",INDEX(기본자료!$H$2:$H$501,$W182)))</f>
        <v/>
      </c>
      <c r="K182" s="8">
        <f>IF($W182="","",IF(INDEX(기본자료!$I$2:$I$501,$W182)="","",INDEX(기본자료!$I$2:$I$501,$W182)))</f>
        <v/>
      </c>
      <c r="L182" s="8">
        <f>IF($W182="","",IF(INDEX(기본자료!$A$2:$A$501,$W182)="","",INDEX(기본자료!$A$2:$A$501,$W182)))</f>
        <v/>
      </c>
      <c r="M182" s="5" t="n"/>
      <c r="N182" s="5" t="n"/>
      <c r="O182" s="5" t="n"/>
      <c r="P182" s="5" t="n"/>
      <c r="Q182" s="11" t="n"/>
      <c r="R182" s="11" t="n"/>
      <c r="S182" s="8">
        <f>IF(OR(B182="",Q182=""),"",IF(TODAY()&lt;Q182,"파견예정",IF(AND(R182&lt;&gt;"",TODAY()&gt;R182),"파견종료","파견중")))</f>
        <v/>
      </c>
      <c r="T182" s="12">
        <f>IF(OR(Q182="",R182=""),"",R182-Q182+1)</f>
        <v/>
      </c>
      <c r="U182" s="12">
        <f>IF(AND(S182="파견중",R182&lt;&gt;""),R182-TODAY(),"")</f>
        <v/>
      </c>
      <c r="V182" s="5" t="n"/>
      <c r="W182" s="8">
        <f>IF(B182="","",IFERROR(MATCH(B182,기본자료!$B$2:$B$501,0),IFERROR(MATCH(B182&amp;"",기본자료!$B$2:$B$501,0),IFERROR(MATCH(VALUE(B182),기본자료!$B$2:$B$501,0),""))))</f>
        <v/>
      </c>
    </row>
    <row r="183">
      <c r="A183" s="8">
        <f>IF(B183="","",ROW()-1)</f>
        <v/>
      </c>
      <c r="B183" s="9" t="n"/>
      <c r="C183" s="8">
        <f>IF($W183="","",IF(INDEX(기본자료!$C$2:$C$501,$W183)="","",INDEX(기본자료!$C$2:$C$501,$W183)))</f>
        <v/>
      </c>
      <c r="D183" s="8">
        <f>IF($W183="","",IF(INDEX(기본자료!$J$2:$J$501,$W183)="","",INDEX(기본자료!$J$2:$J$501,$W183)))</f>
        <v/>
      </c>
      <c r="E183" s="10">
        <f>IF($W183="","",IF(INDEX(기본자료!$K$2:$K$501,$W183)="","",IF(NOT(ISNUMBER(INDEX(기본자료!$K$2:$K$501,$W183))),INDEX(기본자료!$K$2:$K$501,$W183),IF(INDEX(기본자료!$K$2:$K$501,$W183)&lt;1000000,INDEX(기본자료!$K$2:$K$501,$W183),IF(AND(INDEX(기본자료!$K$2:$K$501,$W183)&gt;=10000101,INT(MOD(INDEX(기본자료!$K$2:$K$501,$W183),10000)/100)&gt;=1,INT(MOD(INDEX(기본자료!$K$2:$K$501,$W183),10000)/100)&lt;=12,MOD(INDEX(기본자료!$K$2:$K$501,$W183),100)&gt;=1,MOD(INDEX(기본자료!$K$2:$K$501,$W183),100)&lt;=31),DATE(INT(INDEX(기본자료!$K$2:$K$501,$W183)/10000),INT(MOD(INDEX(기본자료!$K$2:$K$501,$W183),10000)/100),MOD(INDEX(기본자료!$K$2:$K$501,$W183),100)),INDEX(기본자료!$K$2:$K$501,$W183)&amp;"")))))</f>
        <v/>
      </c>
      <c r="F183" s="8">
        <f>IF($W183="","",IF(INDEX(기본자료!$D$2:$D$501,$W183)="","",INDEX(기본자료!$D$2:$D$501,$W183)))</f>
        <v/>
      </c>
      <c r="G183" s="8">
        <f>IF($W183="","",IF(INDEX(기본자료!$E$2:$E$501,$W183)="","",INDEX(기본자료!$E$2:$E$501,$W183)))</f>
        <v/>
      </c>
      <c r="H183" s="8">
        <f>IF($W183="","",IF(INDEX(기본자료!$F$2:$F$501,$W183)="","",INDEX(기본자료!$F$2:$F$501,$W183)))</f>
        <v/>
      </c>
      <c r="I183" s="10">
        <f>IF($W183="","",IF(INDEX(기본자료!$G$2:$G$501,$W183)="","",IF(NOT(ISNUMBER(INDEX(기본자료!$G$2:$G$501,$W183))),INDEX(기본자료!$G$2:$G$501,$W183),IF(INDEX(기본자료!$G$2:$G$501,$W183)&lt;1000000,INDEX(기본자료!$G$2:$G$501,$W183),IF(AND(INDEX(기본자료!$G$2:$G$501,$W183)&gt;=10000101,INT(MOD(INDEX(기본자료!$G$2:$G$501,$W183),10000)/100)&gt;=1,INT(MOD(INDEX(기본자료!$G$2:$G$501,$W183),10000)/100)&lt;=12,MOD(INDEX(기본자료!$G$2:$G$501,$W183),100)&gt;=1,MOD(INDEX(기본자료!$G$2:$G$501,$W183),100)&lt;=31),DATE(INT(INDEX(기본자료!$G$2:$G$501,$W183)/10000),INT(MOD(INDEX(기본자료!$G$2:$G$501,$W183),10000)/100),MOD(INDEX(기본자료!$G$2:$G$501,$W183),100)),INDEX(기본자료!$G$2:$G$501,$W183)&amp;"")))))</f>
        <v/>
      </c>
      <c r="J183" s="8">
        <f>IF($W183="","",IF(INDEX(기본자료!$H$2:$H$501,$W183)="","",INDEX(기본자료!$H$2:$H$501,$W183)))</f>
        <v/>
      </c>
      <c r="K183" s="8">
        <f>IF($W183="","",IF(INDEX(기본자료!$I$2:$I$501,$W183)="","",INDEX(기본자료!$I$2:$I$501,$W183)))</f>
        <v/>
      </c>
      <c r="L183" s="8">
        <f>IF($W183="","",IF(INDEX(기본자료!$A$2:$A$501,$W183)="","",INDEX(기본자료!$A$2:$A$501,$W183)))</f>
        <v/>
      </c>
      <c r="M183" s="5" t="n"/>
      <c r="N183" s="5" t="n"/>
      <c r="O183" s="5" t="n"/>
      <c r="P183" s="5" t="n"/>
      <c r="Q183" s="11" t="n"/>
      <c r="R183" s="11" t="n"/>
      <c r="S183" s="8">
        <f>IF(OR(B183="",Q183=""),"",IF(TODAY()&lt;Q183,"파견예정",IF(AND(R183&lt;&gt;"",TODAY()&gt;R183),"파견종료","파견중")))</f>
        <v/>
      </c>
      <c r="T183" s="12">
        <f>IF(OR(Q183="",R183=""),"",R183-Q183+1)</f>
        <v/>
      </c>
      <c r="U183" s="12">
        <f>IF(AND(S183="파견중",R183&lt;&gt;""),R183-TODAY(),"")</f>
        <v/>
      </c>
      <c r="V183" s="5" t="n"/>
      <c r="W183" s="8">
        <f>IF(B183="","",IFERROR(MATCH(B183,기본자료!$B$2:$B$501,0),IFERROR(MATCH(B183&amp;"",기본자료!$B$2:$B$501,0),IFERROR(MATCH(VALUE(B183),기본자료!$B$2:$B$501,0),""))))</f>
        <v/>
      </c>
    </row>
    <row r="184">
      <c r="A184" s="8">
        <f>IF(B184="","",ROW()-1)</f>
        <v/>
      </c>
      <c r="B184" s="9" t="n"/>
      <c r="C184" s="8">
        <f>IF($W184="","",IF(INDEX(기본자료!$C$2:$C$501,$W184)="","",INDEX(기본자료!$C$2:$C$501,$W184)))</f>
        <v/>
      </c>
      <c r="D184" s="8">
        <f>IF($W184="","",IF(INDEX(기본자료!$J$2:$J$501,$W184)="","",INDEX(기본자료!$J$2:$J$501,$W184)))</f>
        <v/>
      </c>
      <c r="E184" s="10">
        <f>IF($W184="","",IF(INDEX(기본자료!$K$2:$K$501,$W184)="","",IF(NOT(ISNUMBER(INDEX(기본자료!$K$2:$K$501,$W184))),INDEX(기본자료!$K$2:$K$501,$W184),IF(INDEX(기본자료!$K$2:$K$501,$W184)&lt;1000000,INDEX(기본자료!$K$2:$K$501,$W184),IF(AND(INDEX(기본자료!$K$2:$K$501,$W184)&gt;=10000101,INT(MOD(INDEX(기본자료!$K$2:$K$501,$W184),10000)/100)&gt;=1,INT(MOD(INDEX(기본자료!$K$2:$K$501,$W184),10000)/100)&lt;=12,MOD(INDEX(기본자료!$K$2:$K$501,$W184),100)&gt;=1,MOD(INDEX(기본자료!$K$2:$K$501,$W184),100)&lt;=31),DATE(INT(INDEX(기본자료!$K$2:$K$501,$W184)/10000),INT(MOD(INDEX(기본자료!$K$2:$K$501,$W184),10000)/100),MOD(INDEX(기본자료!$K$2:$K$501,$W184),100)),INDEX(기본자료!$K$2:$K$501,$W184)&amp;"")))))</f>
        <v/>
      </c>
      <c r="F184" s="8">
        <f>IF($W184="","",IF(INDEX(기본자료!$D$2:$D$501,$W184)="","",INDEX(기본자료!$D$2:$D$501,$W184)))</f>
        <v/>
      </c>
      <c r="G184" s="8">
        <f>IF($W184="","",IF(INDEX(기본자료!$E$2:$E$501,$W184)="","",INDEX(기본자료!$E$2:$E$501,$W184)))</f>
        <v/>
      </c>
      <c r="H184" s="8">
        <f>IF($W184="","",IF(INDEX(기본자료!$F$2:$F$501,$W184)="","",INDEX(기본자료!$F$2:$F$501,$W184)))</f>
        <v/>
      </c>
      <c r="I184" s="10">
        <f>IF($W184="","",IF(INDEX(기본자료!$G$2:$G$501,$W184)="","",IF(NOT(ISNUMBER(INDEX(기본자료!$G$2:$G$501,$W184))),INDEX(기본자료!$G$2:$G$501,$W184),IF(INDEX(기본자료!$G$2:$G$501,$W184)&lt;1000000,INDEX(기본자료!$G$2:$G$501,$W184),IF(AND(INDEX(기본자료!$G$2:$G$501,$W184)&gt;=10000101,INT(MOD(INDEX(기본자료!$G$2:$G$501,$W184),10000)/100)&gt;=1,INT(MOD(INDEX(기본자료!$G$2:$G$501,$W184),10000)/100)&lt;=12,MOD(INDEX(기본자료!$G$2:$G$501,$W184),100)&gt;=1,MOD(INDEX(기본자료!$G$2:$G$501,$W184),100)&lt;=31),DATE(INT(INDEX(기본자료!$G$2:$G$501,$W184)/10000),INT(MOD(INDEX(기본자료!$G$2:$G$501,$W184),10000)/100),MOD(INDEX(기본자료!$G$2:$G$501,$W184),100)),INDEX(기본자료!$G$2:$G$501,$W184)&amp;"")))))</f>
        <v/>
      </c>
      <c r="J184" s="8">
        <f>IF($W184="","",IF(INDEX(기본자료!$H$2:$H$501,$W184)="","",INDEX(기본자료!$H$2:$H$501,$W184)))</f>
        <v/>
      </c>
      <c r="K184" s="8">
        <f>IF($W184="","",IF(INDEX(기본자료!$I$2:$I$501,$W184)="","",INDEX(기본자료!$I$2:$I$501,$W184)))</f>
        <v/>
      </c>
      <c r="L184" s="8">
        <f>IF($W184="","",IF(INDEX(기본자료!$A$2:$A$501,$W184)="","",INDEX(기본자료!$A$2:$A$501,$W184)))</f>
        <v/>
      </c>
      <c r="M184" s="5" t="n"/>
      <c r="N184" s="5" t="n"/>
      <c r="O184" s="5" t="n"/>
      <c r="P184" s="5" t="n"/>
      <c r="Q184" s="11" t="n"/>
      <c r="R184" s="11" t="n"/>
      <c r="S184" s="8">
        <f>IF(OR(B184="",Q184=""),"",IF(TODAY()&lt;Q184,"파견예정",IF(AND(R184&lt;&gt;"",TODAY()&gt;R184),"파견종료","파견중")))</f>
        <v/>
      </c>
      <c r="T184" s="12">
        <f>IF(OR(Q184="",R184=""),"",R184-Q184+1)</f>
        <v/>
      </c>
      <c r="U184" s="12">
        <f>IF(AND(S184="파견중",R184&lt;&gt;""),R184-TODAY(),"")</f>
        <v/>
      </c>
      <c r="V184" s="5" t="n"/>
      <c r="W184" s="8">
        <f>IF(B184="","",IFERROR(MATCH(B184,기본자료!$B$2:$B$501,0),IFERROR(MATCH(B184&amp;"",기본자료!$B$2:$B$501,0),IFERROR(MATCH(VALUE(B184),기본자료!$B$2:$B$501,0),""))))</f>
        <v/>
      </c>
    </row>
    <row r="185">
      <c r="A185" s="8">
        <f>IF(B185="","",ROW()-1)</f>
        <v/>
      </c>
      <c r="B185" s="9" t="n"/>
      <c r="C185" s="8">
        <f>IF($W185="","",IF(INDEX(기본자료!$C$2:$C$501,$W185)="","",INDEX(기본자료!$C$2:$C$501,$W185)))</f>
        <v/>
      </c>
      <c r="D185" s="8">
        <f>IF($W185="","",IF(INDEX(기본자료!$J$2:$J$501,$W185)="","",INDEX(기본자료!$J$2:$J$501,$W185)))</f>
        <v/>
      </c>
      <c r="E185" s="10">
        <f>IF($W185="","",IF(INDEX(기본자료!$K$2:$K$501,$W185)="","",IF(NOT(ISNUMBER(INDEX(기본자료!$K$2:$K$501,$W185))),INDEX(기본자료!$K$2:$K$501,$W185),IF(INDEX(기본자료!$K$2:$K$501,$W185)&lt;1000000,INDEX(기본자료!$K$2:$K$501,$W185),IF(AND(INDEX(기본자료!$K$2:$K$501,$W185)&gt;=10000101,INT(MOD(INDEX(기본자료!$K$2:$K$501,$W185),10000)/100)&gt;=1,INT(MOD(INDEX(기본자료!$K$2:$K$501,$W185),10000)/100)&lt;=12,MOD(INDEX(기본자료!$K$2:$K$501,$W185),100)&gt;=1,MOD(INDEX(기본자료!$K$2:$K$501,$W185),100)&lt;=31),DATE(INT(INDEX(기본자료!$K$2:$K$501,$W185)/10000),INT(MOD(INDEX(기본자료!$K$2:$K$501,$W185),10000)/100),MOD(INDEX(기본자료!$K$2:$K$501,$W185),100)),INDEX(기본자료!$K$2:$K$501,$W185)&amp;"")))))</f>
        <v/>
      </c>
      <c r="F185" s="8">
        <f>IF($W185="","",IF(INDEX(기본자료!$D$2:$D$501,$W185)="","",INDEX(기본자료!$D$2:$D$501,$W185)))</f>
        <v/>
      </c>
      <c r="G185" s="8">
        <f>IF($W185="","",IF(INDEX(기본자료!$E$2:$E$501,$W185)="","",INDEX(기본자료!$E$2:$E$501,$W185)))</f>
        <v/>
      </c>
      <c r="H185" s="8">
        <f>IF($W185="","",IF(INDEX(기본자료!$F$2:$F$501,$W185)="","",INDEX(기본자료!$F$2:$F$501,$W185)))</f>
        <v/>
      </c>
      <c r="I185" s="10">
        <f>IF($W185="","",IF(INDEX(기본자료!$G$2:$G$501,$W185)="","",IF(NOT(ISNUMBER(INDEX(기본자료!$G$2:$G$501,$W185))),INDEX(기본자료!$G$2:$G$501,$W185),IF(INDEX(기본자료!$G$2:$G$501,$W185)&lt;1000000,INDEX(기본자료!$G$2:$G$501,$W185),IF(AND(INDEX(기본자료!$G$2:$G$501,$W185)&gt;=10000101,INT(MOD(INDEX(기본자료!$G$2:$G$501,$W185),10000)/100)&gt;=1,INT(MOD(INDEX(기본자료!$G$2:$G$501,$W185),10000)/100)&lt;=12,MOD(INDEX(기본자료!$G$2:$G$501,$W185),100)&gt;=1,MOD(INDEX(기본자료!$G$2:$G$501,$W185),100)&lt;=31),DATE(INT(INDEX(기본자료!$G$2:$G$501,$W185)/10000),INT(MOD(INDEX(기본자료!$G$2:$G$501,$W185),10000)/100),MOD(INDEX(기본자료!$G$2:$G$501,$W185),100)),INDEX(기본자료!$G$2:$G$501,$W185)&amp;"")))))</f>
        <v/>
      </c>
      <c r="J185" s="8">
        <f>IF($W185="","",IF(INDEX(기본자료!$H$2:$H$501,$W185)="","",INDEX(기본자료!$H$2:$H$501,$W185)))</f>
        <v/>
      </c>
      <c r="K185" s="8">
        <f>IF($W185="","",IF(INDEX(기본자료!$I$2:$I$501,$W185)="","",INDEX(기본자료!$I$2:$I$501,$W185)))</f>
        <v/>
      </c>
      <c r="L185" s="8">
        <f>IF($W185="","",IF(INDEX(기본자료!$A$2:$A$501,$W185)="","",INDEX(기본자료!$A$2:$A$501,$W185)))</f>
        <v/>
      </c>
      <c r="M185" s="5" t="n"/>
      <c r="N185" s="5" t="n"/>
      <c r="O185" s="5" t="n"/>
      <c r="P185" s="5" t="n"/>
      <c r="Q185" s="11" t="n"/>
      <c r="R185" s="11" t="n"/>
      <c r="S185" s="8">
        <f>IF(OR(B185="",Q185=""),"",IF(TODAY()&lt;Q185,"파견예정",IF(AND(R185&lt;&gt;"",TODAY()&gt;R185),"파견종료","파견중")))</f>
        <v/>
      </c>
      <c r="T185" s="12">
        <f>IF(OR(Q185="",R185=""),"",R185-Q185+1)</f>
        <v/>
      </c>
      <c r="U185" s="12">
        <f>IF(AND(S185="파견중",R185&lt;&gt;""),R185-TODAY(),"")</f>
        <v/>
      </c>
      <c r="V185" s="5" t="n"/>
      <c r="W185" s="8">
        <f>IF(B185="","",IFERROR(MATCH(B185,기본자료!$B$2:$B$501,0),IFERROR(MATCH(B185&amp;"",기본자료!$B$2:$B$501,0),IFERROR(MATCH(VALUE(B185),기본자료!$B$2:$B$501,0),""))))</f>
        <v/>
      </c>
    </row>
    <row r="186">
      <c r="A186" s="8">
        <f>IF(B186="","",ROW()-1)</f>
        <v/>
      </c>
      <c r="B186" s="9" t="n"/>
      <c r="C186" s="8">
        <f>IF($W186="","",IF(INDEX(기본자료!$C$2:$C$501,$W186)="","",INDEX(기본자료!$C$2:$C$501,$W186)))</f>
        <v/>
      </c>
      <c r="D186" s="8">
        <f>IF($W186="","",IF(INDEX(기본자료!$J$2:$J$501,$W186)="","",INDEX(기본자료!$J$2:$J$501,$W186)))</f>
        <v/>
      </c>
      <c r="E186" s="10">
        <f>IF($W186="","",IF(INDEX(기본자료!$K$2:$K$501,$W186)="","",IF(NOT(ISNUMBER(INDEX(기본자료!$K$2:$K$501,$W186))),INDEX(기본자료!$K$2:$K$501,$W186),IF(INDEX(기본자료!$K$2:$K$501,$W186)&lt;1000000,INDEX(기본자료!$K$2:$K$501,$W186),IF(AND(INDEX(기본자료!$K$2:$K$501,$W186)&gt;=10000101,INT(MOD(INDEX(기본자료!$K$2:$K$501,$W186),10000)/100)&gt;=1,INT(MOD(INDEX(기본자료!$K$2:$K$501,$W186),10000)/100)&lt;=12,MOD(INDEX(기본자료!$K$2:$K$501,$W186),100)&gt;=1,MOD(INDEX(기본자료!$K$2:$K$501,$W186),100)&lt;=31),DATE(INT(INDEX(기본자료!$K$2:$K$501,$W186)/10000),INT(MOD(INDEX(기본자료!$K$2:$K$501,$W186),10000)/100),MOD(INDEX(기본자료!$K$2:$K$501,$W186),100)),INDEX(기본자료!$K$2:$K$501,$W186)&amp;"")))))</f>
        <v/>
      </c>
      <c r="F186" s="8">
        <f>IF($W186="","",IF(INDEX(기본자료!$D$2:$D$501,$W186)="","",INDEX(기본자료!$D$2:$D$501,$W186)))</f>
        <v/>
      </c>
      <c r="G186" s="8">
        <f>IF($W186="","",IF(INDEX(기본자료!$E$2:$E$501,$W186)="","",INDEX(기본자료!$E$2:$E$501,$W186)))</f>
        <v/>
      </c>
      <c r="H186" s="8">
        <f>IF($W186="","",IF(INDEX(기본자료!$F$2:$F$501,$W186)="","",INDEX(기본자료!$F$2:$F$501,$W186)))</f>
        <v/>
      </c>
      <c r="I186" s="10">
        <f>IF($W186="","",IF(INDEX(기본자료!$G$2:$G$501,$W186)="","",IF(NOT(ISNUMBER(INDEX(기본자료!$G$2:$G$501,$W186))),INDEX(기본자료!$G$2:$G$501,$W186),IF(INDEX(기본자료!$G$2:$G$501,$W186)&lt;1000000,INDEX(기본자료!$G$2:$G$501,$W186),IF(AND(INDEX(기본자료!$G$2:$G$501,$W186)&gt;=10000101,INT(MOD(INDEX(기본자료!$G$2:$G$501,$W186),10000)/100)&gt;=1,INT(MOD(INDEX(기본자료!$G$2:$G$501,$W186),10000)/100)&lt;=12,MOD(INDEX(기본자료!$G$2:$G$501,$W186),100)&gt;=1,MOD(INDEX(기본자료!$G$2:$G$501,$W186),100)&lt;=31),DATE(INT(INDEX(기본자료!$G$2:$G$501,$W186)/10000),INT(MOD(INDEX(기본자료!$G$2:$G$501,$W186),10000)/100),MOD(INDEX(기본자료!$G$2:$G$501,$W186),100)),INDEX(기본자료!$G$2:$G$501,$W186)&amp;"")))))</f>
        <v/>
      </c>
      <c r="J186" s="8">
        <f>IF($W186="","",IF(INDEX(기본자료!$H$2:$H$501,$W186)="","",INDEX(기본자료!$H$2:$H$501,$W186)))</f>
        <v/>
      </c>
      <c r="K186" s="8">
        <f>IF($W186="","",IF(INDEX(기본자료!$I$2:$I$501,$W186)="","",INDEX(기본자료!$I$2:$I$501,$W186)))</f>
        <v/>
      </c>
      <c r="L186" s="8">
        <f>IF($W186="","",IF(INDEX(기본자료!$A$2:$A$501,$W186)="","",INDEX(기본자료!$A$2:$A$501,$W186)))</f>
        <v/>
      </c>
      <c r="M186" s="5" t="n"/>
      <c r="N186" s="5" t="n"/>
      <c r="O186" s="5" t="n"/>
      <c r="P186" s="5" t="n"/>
      <c r="Q186" s="11" t="n"/>
      <c r="R186" s="11" t="n"/>
      <c r="S186" s="8">
        <f>IF(OR(B186="",Q186=""),"",IF(TODAY()&lt;Q186,"파견예정",IF(AND(R186&lt;&gt;"",TODAY()&gt;R186),"파견종료","파견중")))</f>
        <v/>
      </c>
      <c r="T186" s="12">
        <f>IF(OR(Q186="",R186=""),"",R186-Q186+1)</f>
        <v/>
      </c>
      <c r="U186" s="12">
        <f>IF(AND(S186="파견중",R186&lt;&gt;""),R186-TODAY(),"")</f>
        <v/>
      </c>
      <c r="V186" s="5" t="n"/>
      <c r="W186" s="8">
        <f>IF(B186="","",IFERROR(MATCH(B186,기본자료!$B$2:$B$501,0),IFERROR(MATCH(B186&amp;"",기본자료!$B$2:$B$501,0),IFERROR(MATCH(VALUE(B186),기본자료!$B$2:$B$501,0),""))))</f>
        <v/>
      </c>
    </row>
    <row r="187">
      <c r="A187" s="8">
        <f>IF(B187="","",ROW()-1)</f>
        <v/>
      </c>
      <c r="B187" s="9" t="n"/>
      <c r="C187" s="8">
        <f>IF($W187="","",IF(INDEX(기본자료!$C$2:$C$501,$W187)="","",INDEX(기본자료!$C$2:$C$501,$W187)))</f>
        <v/>
      </c>
      <c r="D187" s="8">
        <f>IF($W187="","",IF(INDEX(기본자료!$J$2:$J$501,$W187)="","",INDEX(기본자료!$J$2:$J$501,$W187)))</f>
        <v/>
      </c>
      <c r="E187" s="10">
        <f>IF($W187="","",IF(INDEX(기본자료!$K$2:$K$501,$W187)="","",IF(NOT(ISNUMBER(INDEX(기본자료!$K$2:$K$501,$W187))),INDEX(기본자료!$K$2:$K$501,$W187),IF(INDEX(기본자료!$K$2:$K$501,$W187)&lt;1000000,INDEX(기본자료!$K$2:$K$501,$W187),IF(AND(INDEX(기본자료!$K$2:$K$501,$W187)&gt;=10000101,INT(MOD(INDEX(기본자료!$K$2:$K$501,$W187),10000)/100)&gt;=1,INT(MOD(INDEX(기본자료!$K$2:$K$501,$W187),10000)/100)&lt;=12,MOD(INDEX(기본자료!$K$2:$K$501,$W187),100)&gt;=1,MOD(INDEX(기본자료!$K$2:$K$501,$W187),100)&lt;=31),DATE(INT(INDEX(기본자료!$K$2:$K$501,$W187)/10000),INT(MOD(INDEX(기본자료!$K$2:$K$501,$W187),10000)/100),MOD(INDEX(기본자료!$K$2:$K$501,$W187),100)),INDEX(기본자료!$K$2:$K$501,$W187)&amp;"")))))</f>
        <v/>
      </c>
      <c r="F187" s="8">
        <f>IF($W187="","",IF(INDEX(기본자료!$D$2:$D$501,$W187)="","",INDEX(기본자료!$D$2:$D$501,$W187)))</f>
        <v/>
      </c>
      <c r="G187" s="8">
        <f>IF($W187="","",IF(INDEX(기본자료!$E$2:$E$501,$W187)="","",INDEX(기본자료!$E$2:$E$501,$W187)))</f>
        <v/>
      </c>
      <c r="H187" s="8">
        <f>IF($W187="","",IF(INDEX(기본자료!$F$2:$F$501,$W187)="","",INDEX(기본자료!$F$2:$F$501,$W187)))</f>
        <v/>
      </c>
      <c r="I187" s="10">
        <f>IF($W187="","",IF(INDEX(기본자료!$G$2:$G$501,$W187)="","",IF(NOT(ISNUMBER(INDEX(기본자료!$G$2:$G$501,$W187))),INDEX(기본자료!$G$2:$G$501,$W187),IF(INDEX(기본자료!$G$2:$G$501,$W187)&lt;1000000,INDEX(기본자료!$G$2:$G$501,$W187),IF(AND(INDEX(기본자료!$G$2:$G$501,$W187)&gt;=10000101,INT(MOD(INDEX(기본자료!$G$2:$G$501,$W187),10000)/100)&gt;=1,INT(MOD(INDEX(기본자료!$G$2:$G$501,$W187),10000)/100)&lt;=12,MOD(INDEX(기본자료!$G$2:$G$501,$W187),100)&gt;=1,MOD(INDEX(기본자료!$G$2:$G$501,$W187),100)&lt;=31),DATE(INT(INDEX(기본자료!$G$2:$G$501,$W187)/10000),INT(MOD(INDEX(기본자료!$G$2:$G$501,$W187),10000)/100),MOD(INDEX(기본자료!$G$2:$G$501,$W187),100)),INDEX(기본자료!$G$2:$G$501,$W187)&amp;"")))))</f>
        <v/>
      </c>
      <c r="J187" s="8">
        <f>IF($W187="","",IF(INDEX(기본자료!$H$2:$H$501,$W187)="","",INDEX(기본자료!$H$2:$H$501,$W187)))</f>
        <v/>
      </c>
      <c r="K187" s="8">
        <f>IF($W187="","",IF(INDEX(기본자료!$I$2:$I$501,$W187)="","",INDEX(기본자료!$I$2:$I$501,$W187)))</f>
        <v/>
      </c>
      <c r="L187" s="8">
        <f>IF($W187="","",IF(INDEX(기본자료!$A$2:$A$501,$W187)="","",INDEX(기본자료!$A$2:$A$501,$W187)))</f>
        <v/>
      </c>
      <c r="M187" s="5" t="n"/>
      <c r="N187" s="5" t="n"/>
      <c r="O187" s="5" t="n"/>
      <c r="P187" s="5" t="n"/>
      <c r="Q187" s="11" t="n"/>
      <c r="R187" s="11" t="n"/>
      <c r="S187" s="8">
        <f>IF(OR(B187="",Q187=""),"",IF(TODAY()&lt;Q187,"파견예정",IF(AND(R187&lt;&gt;"",TODAY()&gt;R187),"파견종료","파견중")))</f>
        <v/>
      </c>
      <c r="T187" s="12">
        <f>IF(OR(Q187="",R187=""),"",R187-Q187+1)</f>
        <v/>
      </c>
      <c r="U187" s="12">
        <f>IF(AND(S187="파견중",R187&lt;&gt;""),R187-TODAY(),"")</f>
        <v/>
      </c>
      <c r="V187" s="5" t="n"/>
      <c r="W187" s="8">
        <f>IF(B187="","",IFERROR(MATCH(B187,기본자료!$B$2:$B$501,0),IFERROR(MATCH(B187&amp;"",기본자료!$B$2:$B$501,0),IFERROR(MATCH(VALUE(B187),기본자료!$B$2:$B$501,0),""))))</f>
        <v/>
      </c>
    </row>
    <row r="188">
      <c r="A188" s="8">
        <f>IF(B188="","",ROW()-1)</f>
        <v/>
      </c>
      <c r="B188" s="9" t="n"/>
      <c r="C188" s="8">
        <f>IF($W188="","",IF(INDEX(기본자료!$C$2:$C$501,$W188)="","",INDEX(기본자료!$C$2:$C$501,$W188)))</f>
        <v/>
      </c>
      <c r="D188" s="8">
        <f>IF($W188="","",IF(INDEX(기본자료!$J$2:$J$501,$W188)="","",INDEX(기본자료!$J$2:$J$501,$W188)))</f>
        <v/>
      </c>
      <c r="E188" s="10">
        <f>IF($W188="","",IF(INDEX(기본자료!$K$2:$K$501,$W188)="","",IF(NOT(ISNUMBER(INDEX(기본자료!$K$2:$K$501,$W188))),INDEX(기본자료!$K$2:$K$501,$W188),IF(INDEX(기본자료!$K$2:$K$501,$W188)&lt;1000000,INDEX(기본자료!$K$2:$K$501,$W188),IF(AND(INDEX(기본자료!$K$2:$K$501,$W188)&gt;=10000101,INT(MOD(INDEX(기본자료!$K$2:$K$501,$W188),10000)/100)&gt;=1,INT(MOD(INDEX(기본자료!$K$2:$K$501,$W188),10000)/100)&lt;=12,MOD(INDEX(기본자료!$K$2:$K$501,$W188),100)&gt;=1,MOD(INDEX(기본자료!$K$2:$K$501,$W188),100)&lt;=31),DATE(INT(INDEX(기본자료!$K$2:$K$501,$W188)/10000),INT(MOD(INDEX(기본자료!$K$2:$K$501,$W188),10000)/100),MOD(INDEX(기본자료!$K$2:$K$501,$W188),100)),INDEX(기본자료!$K$2:$K$501,$W188)&amp;"")))))</f>
        <v/>
      </c>
      <c r="F188" s="8">
        <f>IF($W188="","",IF(INDEX(기본자료!$D$2:$D$501,$W188)="","",INDEX(기본자료!$D$2:$D$501,$W188)))</f>
        <v/>
      </c>
      <c r="G188" s="8">
        <f>IF($W188="","",IF(INDEX(기본자료!$E$2:$E$501,$W188)="","",INDEX(기본자료!$E$2:$E$501,$W188)))</f>
        <v/>
      </c>
      <c r="H188" s="8">
        <f>IF($W188="","",IF(INDEX(기본자료!$F$2:$F$501,$W188)="","",INDEX(기본자료!$F$2:$F$501,$W188)))</f>
        <v/>
      </c>
      <c r="I188" s="10">
        <f>IF($W188="","",IF(INDEX(기본자료!$G$2:$G$501,$W188)="","",IF(NOT(ISNUMBER(INDEX(기본자료!$G$2:$G$501,$W188))),INDEX(기본자료!$G$2:$G$501,$W188),IF(INDEX(기본자료!$G$2:$G$501,$W188)&lt;1000000,INDEX(기본자료!$G$2:$G$501,$W188),IF(AND(INDEX(기본자료!$G$2:$G$501,$W188)&gt;=10000101,INT(MOD(INDEX(기본자료!$G$2:$G$501,$W188),10000)/100)&gt;=1,INT(MOD(INDEX(기본자료!$G$2:$G$501,$W188),10000)/100)&lt;=12,MOD(INDEX(기본자료!$G$2:$G$501,$W188),100)&gt;=1,MOD(INDEX(기본자료!$G$2:$G$501,$W188),100)&lt;=31),DATE(INT(INDEX(기본자료!$G$2:$G$501,$W188)/10000),INT(MOD(INDEX(기본자료!$G$2:$G$501,$W188),10000)/100),MOD(INDEX(기본자료!$G$2:$G$501,$W188),100)),INDEX(기본자료!$G$2:$G$501,$W188)&amp;"")))))</f>
        <v/>
      </c>
      <c r="J188" s="8">
        <f>IF($W188="","",IF(INDEX(기본자료!$H$2:$H$501,$W188)="","",INDEX(기본자료!$H$2:$H$501,$W188)))</f>
        <v/>
      </c>
      <c r="K188" s="8">
        <f>IF($W188="","",IF(INDEX(기본자료!$I$2:$I$501,$W188)="","",INDEX(기본자료!$I$2:$I$501,$W188)))</f>
        <v/>
      </c>
      <c r="L188" s="8">
        <f>IF($W188="","",IF(INDEX(기본자료!$A$2:$A$501,$W188)="","",INDEX(기본자료!$A$2:$A$501,$W188)))</f>
        <v/>
      </c>
      <c r="M188" s="5" t="n"/>
      <c r="N188" s="5" t="n"/>
      <c r="O188" s="5" t="n"/>
      <c r="P188" s="5" t="n"/>
      <c r="Q188" s="11" t="n"/>
      <c r="R188" s="11" t="n"/>
      <c r="S188" s="8">
        <f>IF(OR(B188="",Q188=""),"",IF(TODAY()&lt;Q188,"파견예정",IF(AND(R188&lt;&gt;"",TODAY()&gt;R188),"파견종료","파견중")))</f>
        <v/>
      </c>
      <c r="T188" s="12">
        <f>IF(OR(Q188="",R188=""),"",R188-Q188+1)</f>
        <v/>
      </c>
      <c r="U188" s="12">
        <f>IF(AND(S188="파견중",R188&lt;&gt;""),R188-TODAY(),"")</f>
        <v/>
      </c>
      <c r="V188" s="5" t="n"/>
      <c r="W188" s="8">
        <f>IF(B188="","",IFERROR(MATCH(B188,기본자료!$B$2:$B$501,0),IFERROR(MATCH(B188&amp;"",기본자료!$B$2:$B$501,0),IFERROR(MATCH(VALUE(B188),기본자료!$B$2:$B$501,0),""))))</f>
        <v/>
      </c>
    </row>
    <row r="189">
      <c r="A189" s="8">
        <f>IF(B189="","",ROW()-1)</f>
        <v/>
      </c>
      <c r="B189" s="9" t="n"/>
      <c r="C189" s="8">
        <f>IF($W189="","",IF(INDEX(기본자료!$C$2:$C$501,$W189)="","",INDEX(기본자료!$C$2:$C$501,$W189)))</f>
        <v/>
      </c>
      <c r="D189" s="8">
        <f>IF($W189="","",IF(INDEX(기본자료!$J$2:$J$501,$W189)="","",INDEX(기본자료!$J$2:$J$501,$W189)))</f>
        <v/>
      </c>
      <c r="E189" s="10">
        <f>IF($W189="","",IF(INDEX(기본자료!$K$2:$K$501,$W189)="","",IF(NOT(ISNUMBER(INDEX(기본자료!$K$2:$K$501,$W189))),INDEX(기본자료!$K$2:$K$501,$W189),IF(INDEX(기본자료!$K$2:$K$501,$W189)&lt;1000000,INDEX(기본자료!$K$2:$K$501,$W189),IF(AND(INDEX(기본자료!$K$2:$K$501,$W189)&gt;=10000101,INT(MOD(INDEX(기본자료!$K$2:$K$501,$W189),10000)/100)&gt;=1,INT(MOD(INDEX(기본자료!$K$2:$K$501,$W189),10000)/100)&lt;=12,MOD(INDEX(기본자료!$K$2:$K$501,$W189),100)&gt;=1,MOD(INDEX(기본자료!$K$2:$K$501,$W189),100)&lt;=31),DATE(INT(INDEX(기본자료!$K$2:$K$501,$W189)/10000),INT(MOD(INDEX(기본자료!$K$2:$K$501,$W189),10000)/100),MOD(INDEX(기본자료!$K$2:$K$501,$W189),100)),INDEX(기본자료!$K$2:$K$501,$W189)&amp;"")))))</f>
        <v/>
      </c>
      <c r="F189" s="8">
        <f>IF($W189="","",IF(INDEX(기본자료!$D$2:$D$501,$W189)="","",INDEX(기본자료!$D$2:$D$501,$W189)))</f>
        <v/>
      </c>
      <c r="G189" s="8">
        <f>IF($W189="","",IF(INDEX(기본자료!$E$2:$E$501,$W189)="","",INDEX(기본자료!$E$2:$E$501,$W189)))</f>
        <v/>
      </c>
      <c r="H189" s="8">
        <f>IF($W189="","",IF(INDEX(기본자료!$F$2:$F$501,$W189)="","",INDEX(기본자료!$F$2:$F$501,$W189)))</f>
        <v/>
      </c>
      <c r="I189" s="10">
        <f>IF($W189="","",IF(INDEX(기본자료!$G$2:$G$501,$W189)="","",IF(NOT(ISNUMBER(INDEX(기본자료!$G$2:$G$501,$W189))),INDEX(기본자료!$G$2:$G$501,$W189),IF(INDEX(기본자료!$G$2:$G$501,$W189)&lt;1000000,INDEX(기본자료!$G$2:$G$501,$W189),IF(AND(INDEX(기본자료!$G$2:$G$501,$W189)&gt;=10000101,INT(MOD(INDEX(기본자료!$G$2:$G$501,$W189),10000)/100)&gt;=1,INT(MOD(INDEX(기본자료!$G$2:$G$501,$W189),10000)/100)&lt;=12,MOD(INDEX(기본자료!$G$2:$G$501,$W189),100)&gt;=1,MOD(INDEX(기본자료!$G$2:$G$501,$W189),100)&lt;=31),DATE(INT(INDEX(기본자료!$G$2:$G$501,$W189)/10000),INT(MOD(INDEX(기본자료!$G$2:$G$501,$W189),10000)/100),MOD(INDEX(기본자료!$G$2:$G$501,$W189),100)),INDEX(기본자료!$G$2:$G$501,$W189)&amp;"")))))</f>
        <v/>
      </c>
      <c r="J189" s="8">
        <f>IF($W189="","",IF(INDEX(기본자료!$H$2:$H$501,$W189)="","",INDEX(기본자료!$H$2:$H$501,$W189)))</f>
        <v/>
      </c>
      <c r="K189" s="8">
        <f>IF($W189="","",IF(INDEX(기본자료!$I$2:$I$501,$W189)="","",INDEX(기본자료!$I$2:$I$501,$W189)))</f>
        <v/>
      </c>
      <c r="L189" s="8">
        <f>IF($W189="","",IF(INDEX(기본자료!$A$2:$A$501,$W189)="","",INDEX(기본자료!$A$2:$A$501,$W189)))</f>
        <v/>
      </c>
      <c r="M189" s="5" t="n"/>
      <c r="N189" s="5" t="n"/>
      <c r="O189" s="5" t="n"/>
      <c r="P189" s="5" t="n"/>
      <c r="Q189" s="11" t="n"/>
      <c r="R189" s="11" t="n"/>
      <c r="S189" s="8">
        <f>IF(OR(B189="",Q189=""),"",IF(TODAY()&lt;Q189,"파견예정",IF(AND(R189&lt;&gt;"",TODAY()&gt;R189),"파견종료","파견중")))</f>
        <v/>
      </c>
      <c r="T189" s="12">
        <f>IF(OR(Q189="",R189=""),"",R189-Q189+1)</f>
        <v/>
      </c>
      <c r="U189" s="12">
        <f>IF(AND(S189="파견중",R189&lt;&gt;""),R189-TODAY(),"")</f>
        <v/>
      </c>
      <c r="V189" s="5" t="n"/>
      <c r="W189" s="8">
        <f>IF(B189="","",IFERROR(MATCH(B189,기본자료!$B$2:$B$501,0),IFERROR(MATCH(B189&amp;"",기본자료!$B$2:$B$501,0),IFERROR(MATCH(VALUE(B189),기본자료!$B$2:$B$501,0),""))))</f>
        <v/>
      </c>
    </row>
    <row r="190">
      <c r="A190" s="8">
        <f>IF(B190="","",ROW()-1)</f>
        <v/>
      </c>
      <c r="B190" s="9" t="n"/>
      <c r="C190" s="8">
        <f>IF($W190="","",IF(INDEX(기본자료!$C$2:$C$501,$W190)="","",INDEX(기본자료!$C$2:$C$501,$W190)))</f>
        <v/>
      </c>
      <c r="D190" s="8">
        <f>IF($W190="","",IF(INDEX(기본자료!$J$2:$J$501,$W190)="","",INDEX(기본자료!$J$2:$J$501,$W190)))</f>
        <v/>
      </c>
      <c r="E190" s="10">
        <f>IF($W190="","",IF(INDEX(기본자료!$K$2:$K$501,$W190)="","",IF(NOT(ISNUMBER(INDEX(기본자료!$K$2:$K$501,$W190))),INDEX(기본자료!$K$2:$K$501,$W190),IF(INDEX(기본자료!$K$2:$K$501,$W190)&lt;1000000,INDEX(기본자료!$K$2:$K$501,$W190),IF(AND(INDEX(기본자료!$K$2:$K$501,$W190)&gt;=10000101,INT(MOD(INDEX(기본자료!$K$2:$K$501,$W190),10000)/100)&gt;=1,INT(MOD(INDEX(기본자료!$K$2:$K$501,$W190),10000)/100)&lt;=12,MOD(INDEX(기본자료!$K$2:$K$501,$W190),100)&gt;=1,MOD(INDEX(기본자료!$K$2:$K$501,$W190),100)&lt;=31),DATE(INT(INDEX(기본자료!$K$2:$K$501,$W190)/10000),INT(MOD(INDEX(기본자료!$K$2:$K$501,$W190),10000)/100),MOD(INDEX(기본자료!$K$2:$K$501,$W190),100)),INDEX(기본자료!$K$2:$K$501,$W190)&amp;"")))))</f>
        <v/>
      </c>
      <c r="F190" s="8">
        <f>IF($W190="","",IF(INDEX(기본자료!$D$2:$D$501,$W190)="","",INDEX(기본자료!$D$2:$D$501,$W190)))</f>
        <v/>
      </c>
      <c r="G190" s="8">
        <f>IF($W190="","",IF(INDEX(기본자료!$E$2:$E$501,$W190)="","",INDEX(기본자료!$E$2:$E$501,$W190)))</f>
        <v/>
      </c>
      <c r="H190" s="8">
        <f>IF($W190="","",IF(INDEX(기본자료!$F$2:$F$501,$W190)="","",INDEX(기본자료!$F$2:$F$501,$W190)))</f>
        <v/>
      </c>
      <c r="I190" s="10">
        <f>IF($W190="","",IF(INDEX(기본자료!$G$2:$G$501,$W190)="","",IF(NOT(ISNUMBER(INDEX(기본자료!$G$2:$G$501,$W190))),INDEX(기본자료!$G$2:$G$501,$W190),IF(INDEX(기본자료!$G$2:$G$501,$W190)&lt;1000000,INDEX(기본자료!$G$2:$G$501,$W190),IF(AND(INDEX(기본자료!$G$2:$G$501,$W190)&gt;=10000101,INT(MOD(INDEX(기본자료!$G$2:$G$501,$W190),10000)/100)&gt;=1,INT(MOD(INDEX(기본자료!$G$2:$G$501,$W190),10000)/100)&lt;=12,MOD(INDEX(기본자료!$G$2:$G$501,$W190),100)&gt;=1,MOD(INDEX(기본자료!$G$2:$G$501,$W190),100)&lt;=31),DATE(INT(INDEX(기본자료!$G$2:$G$501,$W190)/10000),INT(MOD(INDEX(기본자료!$G$2:$G$501,$W190),10000)/100),MOD(INDEX(기본자료!$G$2:$G$501,$W190),100)),INDEX(기본자료!$G$2:$G$501,$W190)&amp;"")))))</f>
        <v/>
      </c>
      <c r="J190" s="8">
        <f>IF($W190="","",IF(INDEX(기본자료!$H$2:$H$501,$W190)="","",INDEX(기본자료!$H$2:$H$501,$W190)))</f>
        <v/>
      </c>
      <c r="K190" s="8">
        <f>IF($W190="","",IF(INDEX(기본자료!$I$2:$I$501,$W190)="","",INDEX(기본자료!$I$2:$I$501,$W190)))</f>
        <v/>
      </c>
      <c r="L190" s="8">
        <f>IF($W190="","",IF(INDEX(기본자료!$A$2:$A$501,$W190)="","",INDEX(기본자료!$A$2:$A$501,$W190)))</f>
        <v/>
      </c>
      <c r="M190" s="5" t="n"/>
      <c r="N190" s="5" t="n"/>
      <c r="O190" s="5" t="n"/>
      <c r="P190" s="5" t="n"/>
      <c r="Q190" s="11" t="n"/>
      <c r="R190" s="11" t="n"/>
      <c r="S190" s="8">
        <f>IF(OR(B190="",Q190=""),"",IF(TODAY()&lt;Q190,"파견예정",IF(AND(R190&lt;&gt;"",TODAY()&gt;R190),"파견종료","파견중")))</f>
        <v/>
      </c>
      <c r="T190" s="12">
        <f>IF(OR(Q190="",R190=""),"",R190-Q190+1)</f>
        <v/>
      </c>
      <c r="U190" s="12">
        <f>IF(AND(S190="파견중",R190&lt;&gt;""),R190-TODAY(),"")</f>
        <v/>
      </c>
      <c r="V190" s="5" t="n"/>
      <c r="W190" s="8">
        <f>IF(B190="","",IFERROR(MATCH(B190,기본자료!$B$2:$B$501,0),IFERROR(MATCH(B190&amp;"",기본자료!$B$2:$B$501,0),IFERROR(MATCH(VALUE(B190),기본자료!$B$2:$B$501,0),""))))</f>
        <v/>
      </c>
    </row>
    <row r="191">
      <c r="A191" s="8">
        <f>IF(B191="","",ROW()-1)</f>
        <v/>
      </c>
      <c r="B191" s="9" t="n"/>
      <c r="C191" s="8">
        <f>IF($W191="","",IF(INDEX(기본자료!$C$2:$C$501,$W191)="","",INDEX(기본자료!$C$2:$C$501,$W191)))</f>
        <v/>
      </c>
      <c r="D191" s="8">
        <f>IF($W191="","",IF(INDEX(기본자료!$J$2:$J$501,$W191)="","",INDEX(기본자료!$J$2:$J$501,$W191)))</f>
        <v/>
      </c>
      <c r="E191" s="10">
        <f>IF($W191="","",IF(INDEX(기본자료!$K$2:$K$501,$W191)="","",IF(NOT(ISNUMBER(INDEX(기본자료!$K$2:$K$501,$W191))),INDEX(기본자료!$K$2:$K$501,$W191),IF(INDEX(기본자료!$K$2:$K$501,$W191)&lt;1000000,INDEX(기본자료!$K$2:$K$501,$W191),IF(AND(INDEX(기본자료!$K$2:$K$501,$W191)&gt;=10000101,INT(MOD(INDEX(기본자료!$K$2:$K$501,$W191),10000)/100)&gt;=1,INT(MOD(INDEX(기본자료!$K$2:$K$501,$W191),10000)/100)&lt;=12,MOD(INDEX(기본자료!$K$2:$K$501,$W191),100)&gt;=1,MOD(INDEX(기본자료!$K$2:$K$501,$W191),100)&lt;=31),DATE(INT(INDEX(기본자료!$K$2:$K$501,$W191)/10000),INT(MOD(INDEX(기본자료!$K$2:$K$501,$W191),10000)/100),MOD(INDEX(기본자료!$K$2:$K$501,$W191),100)),INDEX(기본자료!$K$2:$K$501,$W191)&amp;"")))))</f>
        <v/>
      </c>
      <c r="F191" s="8">
        <f>IF($W191="","",IF(INDEX(기본자료!$D$2:$D$501,$W191)="","",INDEX(기본자료!$D$2:$D$501,$W191)))</f>
        <v/>
      </c>
      <c r="G191" s="8">
        <f>IF($W191="","",IF(INDEX(기본자료!$E$2:$E$501,$W191)="","",INDEX(기본자료!$E$2:$E$501,$W191)))</f>
        <v/>
      </c>
      <c r="H191" s="8">
        <f>IF($W191="","",IF(INDEX(기본자료!$F$2:$F$501,$W191)="","",INDEX(기본자료!$F$2:$F$501,$W191)))</f>
        <v/>
      </c>
      <c r="I191" s="10">
        <f>IF($W191="","",IF(INDEX(기본자료!$G$2:$G$501,$W191)="","",IF(NOT(ISNUMBER(INDEX(기본자료!$G$2:$G$501,$W191))),INDEX(기본자료!$G$2:$G$501,$W191),IF(INDEX(기본자료!$G$2:$G$501,$W191)&lt;1000000,INDEX(기본자료!$G$2:$G$501,$W191),IF(AND(INDEX(기본자료!$G$2:$G$501,$W191)&gt;=10000101,INT(MOD(INDEX(기본자료!$G$2:$G$501,$W191),10000)/100)&gt;=1,INT(MOD(INDEX(기본자료!$G$2:$G$501,$W191),10000)/100)&lt;=12,MOD(INDEX(기본자료!$G$2:$G$501,$W191),100)&gt;=1,MOD(INDEX(기본자료!$G$2:$G$501,$W191),100)&lt;=31),DATE(INT(INDEX(기본자료!$G$2:$G$501,$W191)/10000),INT(MOD(INDEX(기본자료!$G$2:$G$501,$W191),10000)/100),MOD(INDEX(기본자료!$G$2:$G$501,$W191),100)),INDEX(기본자료!$G$2:$G$501,$W191)&amp;"")))))</f>
        <v/>
      </c>
      <c r="J191" s="8">
        <f>IF($W191="","",IF(INDEX(기본자료!$H$2:$H$501,$W191)="","",INDEX(기본자료!$H$2:$H$501,$W191)))</f>
        <v/>
      </c>
      <c r="K191" s="8">
        <f>IF($W191="","",IF(INDEX(기본자료!$I$2:$I$501,$W191)="","",INDEX(기본자료!$I$2:$I$501,$W191)))</f>
        <v/>
      </c>
      <c r="L191" s="8">
        <f>IF($W191="","",IF(INDEX(기본자료!$A$2:$A$501,$W191)="","",INDEX(기본자료!$A$2:$A$501,$W191)))</f>
        <v/>
      </c>
      <c r="M191" s="5" t="n"/>
      <c r="N191" s="5" t="n"/>
      <c r="O191" s="5" t="n"/>
      <c r="P191" s="5" t="n"/>
      <c r="Q191" s="11" t="n"/>
      <c r="R191" s="11" t="n"/>
      <c r="S191" s="8">
        <f>IF(OR(B191="",Q191=""),"",IF(TODAY()&lt;Q191,"파견예정",IF(AND(R191&lt;&gt;"",TODAY()&gt;R191),"파견종료","파견중")))</f>
        <v/>
      </c>
      <c r="T191" s="12">
        <f>IF(OR(Q191="",R191=""),"",R191-Q191+1)</f>
        <v/>
      </c>
      <c r="U191" s="12">
        <f>IF(AND(S191="파견중",R191&lt;&gt;""),R191-TODAY(),"")</f>
        <v/>
      </c>
      <c r="V191" s="5" t="n"/>
      <c r="W191" s="8">
        <f>IF(B191="","",IFERROR(MATCH(B191,기본자료!$B$2:$B$501,0),IFERROR(MATCH(B191&amp;"",기본자료!$B$2:$B$501,0),IFERROR(MATCH(VALUE(B191),기본자료!$B$2:$B$501,0),""))))</f>
        <v/>
      </c>
    </row>
    <row r="192">
      <c r="A192" s="8">
        <f>IF(B192="","",ROW()-1)</f>
        <v/>
      </c>
      <c r="B192" s="9" t="n"/>
      <c r="C192" s="8">
        <f>IF($W192="","",IF(INDEX(기본자료!$C$2:$C$501,$W192)="","",INDEX(기본자료!$C$2:$C$501,$W192)))</f>
        <v/>
      </c>
      <c r="D192" s="8">
        <f>IF($W192="","",IF(INDEX(기본자료!$J$2:$J$501,$W192)="","",INDEX(기본자료!$J$2:$J$501,$W192)))</f>
        <v/>
      </c>
      <c r="E192" s="10">
        <f>IF($W192="","",IF(INDEX(기본자료!$K$2:$K$501,$W192)="","",IF(NOT(ISNUMBER(INDEX(기본자료!$K$2:$K$501,$W192))),INDEX(기본자료!$K$2:$K$501,$W192),IF(INDEX(기본자료!$K$2:$K$501,$W192)&lt;1000000,INDEX(기본자료!$K$2:$K$501,$W192),IF(AND(INDEX(기본자료!$K$2:$K$501,$W192)&gt;=10000101,INT(MOD(INDEX(기본자료!$K$2:$K$501,$W192),10000)/100)&gt;=1,INT(MOD(INDEX(기본자료!$K$2:$K$501,$W192),10000)/100)&lt;=12,MOD(INDEX(기본자료!$K$2:$K$501,$W192),100)&gt;=1,MOD(INDEX(기본자료!$K$2:$K$501,$W192),100)&lt;=31),DATE(INT(INDEX(기본자료!$K$2:$K$501,$W192)/10000),INT(MOD(INDEX(기본자료!$K$2:$K$501,$W192),10000)/100),MOD(INDEX(기본자료!$K$2:$K$501,$W192),100)),INDEX(기본자료!$K$2:$K$501,$W192)&amp;"")))))</f>
        <v/>
      </c>
      <c r="F192" s="8">
        <f>IF($W192="","",IF(INDEX(기본자료!$D$2:$D$501,$W192)="","",INDEX(기본자료!$D$2:$D$501,$W192)))</f>
        <v/>
      </c>
      <c r="G192" s="8">
        <f>IF($W192="","",IF(INDEX(기본자료!$E$2:$E$501,$W192)="","",INDEX(기본자료!$E$2:$E$501,$W192)))</f>
        <v/>
      </c>
      <c r="H192" s="8">
        <f>IF($W192="","",IF(INDEX(기본자료!$F$2:$F$501,$W192)="","",INDEX(기본자료!$F$2:$F$501,$W192)))</f>
        <v/>
      </c>
      <c r="I192" s="10">
        <f>IF($W192="","",IF(INDEX(기본자료!$G$2:$G$501,$W192)="","",IF(NOT(ISNUMBER(INDEX(기본자료!$G$2:$G$501,$W192))),INDEX(기본자료!$G$2:$G$501,$W192),IF(INDEX(기본자료!$G$2:$G$501,$W192)&lt;1000000,INDEX(기본자료!$G$2:$G$501,$W192),IF(AND(INDEX(기본자료!$G$2:$G$501,$W192)&gt;=10000101,INT(MOD(INDEX(기본자료!$G$2:$G$501,$W192),10000)/100)&gt;=1,INT(MOD(INDEX(기본자료!$G$2:$G$501,$W192),10000)/100)&lt;=12,MOD(INDEX(기본자료!$G$2:$G$501,$W192),100)&gt;=1,MOD(INDEX(기본자료!$G$2:$G$501,$W192),100)&lt;=31),DATE(INT(INDEX(기본자료!$G$2:$G$501,$W192)/10000),INT(MOD(INDEX(기본자료!$G$2:$G$501,$W192),10000)/100),MOD(INDEX(기본자료!$G$2:$G$501,$W192),100)),INDEX(기본자료!$G$2:$G$501,$W192)&amp;"")))))</f>
        <v/>
      </c>
      <c r="J192" s="8">
        <f>IF($W192="","",IF(INDEX(기본자료!$H$2:$H$501,$W192)="","",INDEX(기본자료!$H$2:$H$501,$W192)))</f>
        <v/>
      </c>
      <c r="K192" s="8">
        <f>IF($W192="","",IF(INDEX(기본자료!$I$2:$I$501,$W192)="","",INDEX(기본자료!$I$2:$I$501,$W192)))</f>
        <v/>
      </c>
      <c r="L192" s="8">
        <f>IF($W192="","",IF(INDEX(기본자료!$A$2:$A$501,$W192)="","",INDEX(기본자료!$A$2:$A$501,$W192)))</f>
        <v/>
      </c>
      <c r="M192" s="5" t="n"/>
      <c r="N192" s="5" t="n"/>
      <c r="O192" s="5" t="n"/>
      <c r="P192" s="5" t="n"/>
      <c r="Q192" s="11" t="n"/>
      <c r="R192" s="11" t="n"/>
      <c r="S192" s="8">
        <f>IF(OR(B192="",Q192=""),"",IF(TODAY()&lt;Q192,"파견예정",IF(AND(R192&lt;&gt;"",TODAY()&gt;R192),"파견종료","파견중")))</f>
        <v/>
      </c>
      <c r="T192" s="12">
        <f>IF(OR(Q192="",R192=""),"",R192-Q192+1)</f>
        <v/>
      </c>
      <c r="U192" s="12">
        <f>IF(AND(S192="파견중",R192&lt;&gt;""),R192-TODAY(),"")</f>
        <v/>
      </c>
      <c r="V192" s="5" t="n"/>
      <c r="W192" s="8">
        <f>IF(B192="","",IFERROR(MATCH(B192,기본자료!$B$2:$B$501,0),IFERROR(MATCH(B192&amp;"",기본자료!$B$2:$B$501,0),IFERROR(MATCH(VALUE(B192),기본자료!$B$2:$B$501,0),""))))</f>
        <v/>
      </c>
    </row>
    <row r="193">
      <c r="A193" s="8">
        <f>IF(B193="","",ROW()-1)</f>
        <v/>
      </c>
      <c r="B193" s="9" t="n"/>
      <c r="C193" s="8">
        <f>IF($W193="","",IF(INDEX(기본자료!$C$2:$C$501,$W193)="","",INDEX(기본자료!$C$2:$C$501,$W193)))</f>
        <v/>
      </c>
      <c r="D193" s="8">
        <f>IF($W193="","",IF(INDEX(기본자료!$J$2:$J$501,$W193)="","",INDEX(기본자료!$J$2:$J$501,$W193)))</f>
        <v/>
      </c>
      <c r="E193" s="10">
        <f>IF($W193="","",IF(INDEX(기본자료!$K$2:$K$501,$W193)="","",IF(NOT(ISNUMBER(INDEX(기본자료!$K$2:$K$501,$W193))),INDEX(기본자료!$K$2:$K$501,$W193),IF(INDEX(기본자료!$K$2:$K$501,$W193)&lt;1000000,INDEX(기본자료!$K$2:$K$501,$W193),IF(AND(INDEX(기본자료!$K$2:$K$501,$W193)&gt;=10000101,INT(MOD(INDEX(기본자료!$K$2:$K$501,$W193),10000)/100)&gt;=1,INT(MOD(INDEX(기본자료!$K$2:$K$501,$W193),10000)/100)&lt;=12,MOD(INDEX(기본자료!$K$2:$K$501,$W193),100)&gt;=1,MOD(INDEX(기본자료!$K$2:$K$501,$W193),100)&lt;=31),DATE(INT(INDEX(기본자료!$K$2:$K$501,$W193)/10000),INT(MOD(INDEX(기본자료!$K$2:$K$501,$W193),10000)/100),MOD(INDEX(기본자료!$K$2:$K$501,$W193),100)),INDEX(기본자료!$K$2:$K$501,$W193)&amp;"")))))</f>
        <v/>
      </c>
      <c r="F193" s="8">
        <f>IF($W193="","",IF(INDEX(기본자료!$D$2:$D$501,$W193)="","",INDEX(기본자료!$D$2:$D$501,$W193)))</f>
        <v/>
      </c>
      <c r="G193" s="8">
        <f>IF($W193="","",IF(INDEX(기본자료!$E$2:$E$501,$W193)="","",INDEX(기본자료!$E$2:$E$501,$W193)))</f>
        <v/>
      </c>
      <c r="H193" s="8">
        <f>IF($W193="","",IF(INDEX(기본자료!$F$2:$F$501,$W193)="","",INDEX(기본자료!$F$2:$F$501,$W193)))</f>
        <v/>
      </c>
      <c r="I193" s="10">
        <f>IF($W193="","",IF(INDEX(기본자료!$G$2:$G$501,$W193)="","",IF(NOT(ISNUMBER(INDEX(기본자료!$G$2:$G$501,$W193))),INDEX(기본자료!$G$2:$G$501,$W193),IF(INDEX(기본자료!$G$2:$G$501,$W193)&lt;1000000,INDEX(기본자료!$G$2:$G$501,$W193),IF(AND(INDEX(기본자료!$G$2:$G$501,$W193)&gt;=10000101,INT(MOD(INDEX(기본자료!$G$2:$G$501,$W193),10000)/100)&gt;=1,INT(MOD(INDEX(기본자료!$G$2:$G$501,$W193),10000)/100)&lt;=12,MOD(INDEX(기본자료!$G$2:$G$501,$W193),100)&gt;=1,MOD(INDEX(기본자료!$G$2:$G$501,$W193),100)&lt;=31),DATE(INT(INDEX(기본자료!$G$2:$G$501,$W193)/10000),INT(MOD(INDEX(기본자료!$G$2:$G$501,$W193),10000)/100),MOD(INDEX(기본자료!$G$2:$G$501,$W193),100)),INDEX(기본자료!$G$2:$G$501,$W193)&amp;"")))))</f>
        <v/>
      </c>
      <c r="J193" s="8">
        <f>IF($W193="","",IF(INDEX(기본자료!$H$2:$H$501,$W193)="","",INDEX(기본자료!$H$2:$H$501,$W193)))</f>
        <v/>
      </c>
      <c r="K193" s="8">
        <f>IF($W193="","",IF(INDEX(기본자료!$I$2:$I$501,$W193)="","",INDEX(기본자료!$I$2:$I$501,$W193)))</f>
        <v/>
      </c>
      <c r="L193" s="8">
        <f>IF($W193="","",IF(INDEX(기본자료!$A$2:$A$501,$W193)="","",INDEX(기본자료!$A$2:$A$501,$W193)))</f>
        <v/>
      </c>
      <c r="M193" s="5" t="n"/>
      <c r="N193" s="5" t="n"/>
      <c r="O193" s="5" t="n"/>
      <c r="P193" s="5" t="n"/>
      <c r="Q193" s="11" t="n"/>
      <c r="R193" s="11" t="n"/>
      <c r="S193" s="8">
        <f>IF(OR(B193="",Q193=""),"",IF(TODAY()&lt;Q193,"파견예정",IF(AND(R193&lt;&gt;"",TODAY()&gt;R193),"파견종료","파견중")))</f>
        <v/>
      </c>
      <c r="T193" s="12">
        <f>IF(OR(Q193="",R193=""),"",R193-Q193+1)</f>
        <v/>
      </c>
      <c r="U193" s="12">
        <f>IF(AND(S193="파견중",R193&lt;&gt;""),R193-TODAY(),"")</f>
        <v/>
      </c>
      <c r="V193" s="5" t="n"/>
      <c r="W193" s="8">
        <f>IF(B193="","",IFERROR(MATCH(B193,기본자료!$B$2:$B$501,0),IFERROR(MATCH(B193&amp;"",기본자료!$B$2:$B$501,0),IFERROR(MATCH(VALUE(B193),기본자료!$B$2:$B$501,0),""))))</f>
        <v/>
      </c>
    </row>
    <row r="194">
      <c r="A194" s="8">
        <f>IF(B194="","",ROW()-1)</f>
        <v/>
      </c>
      <c r="B194" s="9" t="n"/>
      <c r="C194" s="8">
        <f>IF($W194="","",IF(INDEX(기본자료!$C$2:$C$501,$W194)="","",INDEX(기본자료!$C$2:$C$501,$W194)))</f>
        <v/>
      </c>
      <c r="D194" s="8">
        <f>IF($W194="","",IF(INDEX(기본자료!$J$2:$J$501,$W194)="","",INDEX(기본자료!$J$2:$J$501,$W194)))</f>
        <v/>
      </c>
      <c r="E194" s="10">
        <f>IF($W194="","",IF(INDEX(기본자료!$K$2:$K$501,$W194)="","",IF(NOT(ISNUMBER(INDEX(기본자료!$K$2:$K$501,$W194))),INDEX(기본자료!$K$2:$K$501,$W194),IF(INDEX(기본자료!$K$2:$K$501,$W194)&lt;1000000,INDEX(기본자료!$K$2:$K$501,$W194),IF(AND(INDEX(기본자료!$K$2:$K$501,$W194)&gt;=10000101,INT(MOD(INDEX(기본자료!$K$2:$K$501,$W194),10000)/100)&gt;=1,INT(MOD(INDEX(기본자료!$K$2:$K$501,$W194),10000)/100)&lt;=12,MOD(INDEX(기본자료!$K$2:$K$501,$W194),100)&gt;=1,MOD(INDEX(기본자료!$K$2:$K$501,$W194),100)&lt;=31),DATE(INT(INDEX(기본자료!$K$2:$K$501,$W194)/10000),INT(MOD(INDEX(기본자료!$K$2:$K$501,$W194),10000)/100),MOD(INDEX(기본자료!$K$2:$K$501,$W194),100)),INDEX(기본자료!$K$2:$K$501,$W194)&amp;"")))))</f>
        <v/>
      </c>
      <c r="F194" s="8">
        <f>IF($W194="","",IF(INDEX(기본자료!$D$2:$D$501,$W194)="","",INDEX(기본자료!$D$2:$D$501,$W194)))</f>
        <v/>
      </c>
      <c r="G194" s="8">
        <f>IF($W194="","",IF(INDEX(기본자료!$E$2:$E$501,$W194)="","",INDEX(기본자료!$E$2:$E$501,$W194)))</f>
        <v/>
      </c>
      <c r="H194" s="8">
        <f>IF($W194="","",IF(INDEX(기본자료!$F$2:$F$501,$W194)="","",INDEX(기본자료!$F$2:$F$501,$W194)))</f>
        <v/>
      </c>
      <c r="I194" s="10">
        <f>IF($W194="","",IF(INDEX(기본자료!$G$2:$G$501,$W194)="","",IF(NOT(ISNUMBER(INDEX(기본자료!$G$2:$G$501,$W194))),INDEX(기본자료!$G$2:$G$501,$W194),IF(INDEX(기본자료!$G$2:$G$501,$W194)&lt;1000000,INDEX(기본자료!$G$2:$G$501,$W194),IF(AND(INDEX(기본자료!$G$2:$G$501,$W194)&gt;=10000101,INT(MOD(INDEX(기본자료!$G$2:$G$501,$W194),10000)/100)&gt;=1,INT(MOD(INDEX(기본자료!$G$2:$G$501,$W194),10000)/100)&lt;=12,MOD(INDEX(기본자료!$G$2:$G$501,$W194),100)&gt;=1,MOD(INDEX(기본자료!$G$2:$G$501,$W194),100)&lt;=31),DATE(INT(INDEX(기본자료!$G$2:$G$501,$W194)/10000),INT(MOD(INDEX(기본자료!$G$2:$G$501,$W194),10000)/100),MOD(INDEX(기본자료!$G$2:$G$501,$W194),100)),INDEX(기본자료!$G$2:$G$501,$W194)&amp;"")))))</f>
        <v/>
      </c>
      <c r="J194" s="8">
        <f>IF($W194="","",IF(INDEX(기본자료!$H$2:$H$501,$W194)="","",INDEX(기본자료!$H$2:$H$501,$W194)))</f>
        <v/>
      </c>
      <c r="K194" s="8">
        <f>IF($W194="","",IF(INDEX(기본자료!$I$2:$I$501,$W194)="","",INDEX(기본자료!$I$2:$I$501,$W194)))</f>
        <v/>
      </c>
      <c r="L194" s="8">
        <f>IF($W194="","",IF(INDEX(기본자료!$A$2:$A$501,$W194)="","",INDEX(기본자료!$A$2:$A$501,$W194)))</f>
        <v/>
      </c>
      <c r="M194" s="5" t="n"/>
      <c r="N194" s="5" t="n"/>
      <c r="O194" s="5" t="n"/>
      <c r="P194" s="5" t="n"/>
      <c r="Q194" s="11" t="n"/>
      <c r="R194" s="11" t="n"/>
      <c r="S194" s="8">
        <f>IF(OR(B194="",Q194=""),"",IF(TODAY()&lt;Q194,"파견예정",IF(AND(R194&lt;&gt;"",TODAY()&gt;R194),"파견종료","파견중")))</f>
        <v/>
      </c>
      <c r="T194" s="12">
        <f>IF(OR(Q194="",R194=""),"",R194-Q194+1)</f>
        <v/>
      </c>
      <c r="U194" s="12">
        <f>IF(AND(S194="파견중",R194&lt;&gt;""),R194-TODAY(),"")</f>
        <v/>
      </c>
      <c r="V194" s="5" t="n"/>
      <c r="W194" s="8">
        <f>IF(B194="","",IFERROR(MATCH(B194,기본자료!$B$2:$B$501,0),IFERROR(MATCH(B194&amp;"",기본자료!$B$2:$B$501,0),IFERROR(MATCH(VALUE(B194),기본자료!$B$2:$B$501,0),""))))</f>
        <v/>
      </c>
    </row>
    <row r="195">
      <c r="A195" s="8">
        <f>IF(B195="","",ROW()-1)</f>
        <v/>
      </c>
      <c r="B195" s="9" t="n"/>
      <c r="C195" s="8">
        <f>IF($W195="","",IF(INDEX(기본자료!$C$2:$C$501,$W195)="","",INDEX(기본자료!$C$2:$C$501,$W195)))</f>
        <v/>
      </c>
      <c r="D195" s="8">
        <f>IF($W195="","",IF(INDEX(기본자료!$J$2:$J$501,$W195)="","",INDEX(기본자료!$J$2:$J$501,$W195)))</f>
        <v/>
      </c>
      <c r="E195" s="10">
        <f>IF($W195="","",IF(INDEX(기본자료!$K$2:$K$501,$W195)="","",IF(NOT(ISNUMBER(INDEX(기본자료!$K$2:$K$501,$W195))),INDEX(기본자료!$K$2:$K$501,$W195),IF(INDEX(기본자료!$K$2:$K$501,$W195)&lt;1000000,INDEX(기본자료!$K$2:$K$501,$W195),IF(AND(INDEX(기본자료!$K$2:$K$501,$W195)&gt;=10000101,INT(MOD(INDEX(기본자료!$K$2:$K$501,$W195),10000)/100)&gt;=1,INT(MOD(INDEX(기본자료!$K$2:$K$501,$W195),10000)/100)&lt;=12,MOD(INDEX(기본자료!$K$2:$K$501,$W195),100)&gt;=1,MOD(INDEX(기본자료!$K$2:$K$501,$W195),100)&lt;=31),DATE(INT(INDEX(기본자료!$K$2:$K$501,$W195)/10000),INT(MOD(INDEX(기본자료!$K$2:$K$501,$W195),10000)/100),MOD(INDEX(기본자료!$K$2:$K$501,$W195),100)),INDEX(기본자료!$K$2:$K$501,$W195)&amp;"")))))</f>
        <v/>
      </c>
      <c r="F195" s="8">
        <f>IF($W195="","",IF(INDEX(기본자료!$D$2:$D$501,$W195)="","",INDEX(기본자료!$D$2:$D$501,$W195)))</f>
        <v/>
      </c>
      <c r="G195" s="8">
        <f>IF($W195="","",IF(INDEX(기본자료!$E$2:$E$501,$W195)="","",INDEX(기본자료!$E$2:$E$501,$W195)))</f>
        <v/>
      </c>
      <c r="H195" s="8">
        <f>IF($W195="","",IF(INDEX(기본자료!$F$2:$F$501,$W195)="","",INDEX(기본자료!$F$2:$F$501,$W195)))</f>
        <v/>
      </c>
      <c r="I195" s="10">
        <f>IF($W195="","",IF(INDEX(기본자료!$G$2:$G$501,$W195)="","",IF(NOT(ISNUMBER(INDEX(기본자료!$G$2:$G$501,$W195))),INDEX(기본자료!$G$2:$G$501,$W195),IF(INDEX(기본자료!$G$2:$G$501,$W195)&lt;1000000,INDEX(기본자료!$G$2:$G$501,$W195),IF(AND(INDEX(기본자료!$G$2:$G$501,$W195)&gt;=10000101,INT(MOD(INDEX(기본자료!$G$2:$G$501,$W195),10000)/100)&gt;=1,INT(MOD(INDEX(기본자료!$G$2:$G$501,$W195),10000)/100)&lt;=12,MOD(INDEX(기본자료!$G$2:$G$501,$W195),100)&gt;=1,MOD(INDEX(기본자료!$G$2:$G$501,$W195),100)&lt;=31),DATE(INT(INDEX(기본자료!$G$2:$G$501,$W195)/10000),INT(MOD(INDEX(기본자료!$G$2:$G$501,$W195),10000)/100),MOD(INDEX(기본자료!$G$2:$G$501,$W195),100)),INDEX(기본자료!$G$2:$G$501,$W195)&amp;"")))))</f>
        <v/>
      </c>
      <c r="J195" s="8">
        <f>IF($W195="","",IF(INDEX(기본자료!$H$2:$H$501,$W195)="","",INDEX(기본자료!$H$2:$H$501,$W195)))</f>
        <v/>
      </c>
      <c r="K195" s="8">
        <f>IF($W195="","",IF(INDEX(기본자료!$I$2:$I$501,$W195)="","",INDEX(기본자료!$I$2:$I$501,$W195)))</f>
        <v/>
      </c>
      <c r="L195" s="8">
        <f>IF($W195="","",IF(INDEX(기본자료!$A$2:$A$501,$W195)="","",INDEX(기본자료!$A$2:$A$501,$W195)))</f>
        <v/>
      </c>
      <c r="M195" s="5" t="n"/>
      <c r="N195" s="5" t="n"/>
      <c r="O195" s="5" t="n"/>
      <c r="P195" s="5" t="n"/>
      <c r="Q195" s="11" t="n"/>
      <c r="R195" s="11" t="n"/>
      <c r="S195" s="8">
        <f>IF(OR(B195="",Q195=""),"",IF(TODAY()&lt;Q195,"파견예정",IF(AND(R195&lt;&gt;"",TODAY()&gt;R195),"파견종료","파견중")))</f>
        <v/>
      </c>
      <c r="T195" s="12">
        <f>IF(OR(Q195="",R195=""),"",R195-Q195+1)</f>
        <v/>
      </c>
      <c r="U195" s="12">
        <f>IF(AND(S195="파견중",R195&lt;&gt;""),R195-TODAY(),"")</f>
        <v/>
      </c>
      <c r="V195" s="5" t="n"/>
      <c r="W195" s="8">
        <f>IF(B195="","",IFERROR(MATCH(B195,기본자료!$B$2:$B$501,0),IFERROR(MATCH(B195&amp;"",기본자료!$B$2:$B$501,0),IFERROR(MATCH(VALUE(B195),기본자료!$B$2:$B$501,0),""))))</f>
        <v/>
      </c>
    </row>
    <row r="196">
      <c r="A196" s="8">
        <f>IF(B196="","",ROW()-1)</f>
        <v/>
      </c>
      <c r="B196" s="9" t="n"/>
      <c r="C196" s="8">
        <f>IF($W196="","",IF(INDEX(기본자료!$C$2:$C$501,$W196)="","",INDEX(기본자료!$C$2:$C$501,$W196)))</f>
        <v/>
      </c>
      <c r="D196" s="8">
        <f>IF($W196="","",IF(INDEX(기본자료!$J$2:$J$501,$W196)="","",INDEX(기본자료!$J$2:$J$501,$W196)))</f>
        <v/>
      </c>
      <c r="E196" s="10">
        <f>IF($W196="","",IF(INDEX(기본자료!$K$2:$K$501,$W196)="","",IF(NOT(ISNUMBER(INDEX(기본자료!$K$2:$K$501,$W196))),INDEX(기본자료!$K$2:$K$501,$W196),IF(INDEX(기본자료!$K$2:$K$501,$W196)&lt;1000000,INDEX(기본자료!$K$2:$K$501,$W196),IF(AND(INDEX(기본자료!$K$2:$K$501,$W196)&gt;=10000101,INT(MOD(INDEX(기본자료!$K$2:$K$501,$W196),10000)/100)&gt;=1,INT(MOD(INDEX(기본자료!$K$2:$K$501,$W196),10000)/100)&lt;=12,MOD(INDEX(기본자료!$K$2:$K$501,$W196),100)&gt;=1,MOD(INDEX(기본자료!$K$2:$K$501,$W196),100)&lt;=31),DATE(INT(INDEX(기본자료!$K$2:$K$501,$W196)/10000),INT(MOD(INDEX(기본자료!$K$2:$K$501,$W196),10000)/100),MOD(INDEX(기본자료!$K$2:$K$501,$W196),100)),INDEX(기본자료!$K$2:$K$501,$W196)&amp;"")))))</f>
        <v/>
      </c>
      <c r="F196" s="8">
        <f>IF($W196="","",IF(INDEX(기본자료!$D$2:$D$501,$W196)="","",INDEX(기본자료!$D$2:$D$501,$W196)))</f>
        <v/>
      </c>
      <c r="G196" s="8">
        <f>IF($W196="","",IF(INDEX(기본자료!$E$2:$E$501,$W196)="","",INDEX(기본자료!$E$2:$E$501,$W196)))</f>
        <v/>
      </c>
      <c r="H196" s="8">
        <f>IF($W196="","",IF(INDEX(기본자료!$F$2:$F$501,$W196)="","",INDEX(기본자료!$F$2:$F$501,$W196)))</f>
        <v/>
      </c>
      <c r="I196" s="10">
        <f>IF($W196="","",IF(INDEX(기본자료!$G$2:$G$501,$W196)="","",IF(NOT(ISNUMBER(INDEX(기본자료!$G$2:$G$501,$W196))),INDEX(기본자료!$G$2:$G$501,$W196),IF(INDEX(기본자료!$G$2:$G$501,$W196)&lt;1000000,INDEX(기본자료!$G$2:$G$501,$W196),IF(AND(INDEX(기본자료!$G$2:$G$501,$W196)&gt;=10000101,INT(MOD(INDEX(기본자료!$G$2:$G$501,$W196),10000)/100)&gt;=1,INT(MOD(INDEX(기본자료!$G$2:$G$501,$W196),10000)/100)&lt;=12,MOD(INDEX(기본자료!$G$2:$G$501,$W196),100)&gt;=1,MOD(INDEX(기본자료!$G$2:$G$501,$W196),100)&lt;=31),DATE(INT(INDEX(기본자료!$G$2:$G$501,$W196)/10000),INT(MOD(INDEX(기본자료!$G$2:$G$501,$W196),10000)/100),MOD(INDEX(기본자료!$G$2:$G$501,$W196),100)),INDEX(기본자료!$G$2:$G$501,$W196)&amp;"")))))</f>
        <v/>
      </c>
      <c r="J196" s="8">
        <f>IF($W196="","",IF(INDEX(기본자료!$H$2:$H$501,$W196)="","",INDEX(기본자료!$H$2:$H$501,$W196)))</f>
        <v/>
      </c>
      <c r="K196" s="8">
        <f>IF($W196="","",IF(INDEX(기본자료!$I$2:$I$501,$W196)="","",INDEX(기본자료!$I$2:$I$501,$W196)))</f>
        <v/>
      </c>
      <c r="L196" s="8">
        <f>IF($W196="","",IF(INDEX(기본자료!$A$2:$A$501,$W196)="","",INDEX(기본자료!$A$2:$A$501,$W196)))</f>
        <v/>
      </c>
      <c r="M196" s="5" t="n"/>
      <c r="N196" s="5" t="n"/>
      <c r="O196" s="5" t="n"/>
      <c r="P196" s="5" t="n"/>
      <c r="Q196" s="11" t="n"/>
      <c r="R196" s="11" t="n"/>
      <c r="S196" s="8">
        <f>IF(OR(B196="",Q196=""),"",IF(TODAY()&lt;Q196,"파견예정",IF(AND(R196&lt;&gt;"",TODAY()&gt;R196),"파견종료","파견중")))</f>
        <v/>
      </c>
      <c r="T196" s="12">
        <f>IF(OR(Q196="",R196=""),"",R196-Q196+1)</f>
        <v/>
      </c>
      <c r="U196" s="12">
        <f>IF(AND(S196="파견중",R196&lt;&gt;""),R196-TODAY(),"")</f>
        <v/>
      </c>
      <c r="V196" s="5" t="n"/>
      <c r="W196" s="8">
        <f>IF(B196="","",IFERROR(MATCH(B196,기본자료!$B$2:$B$501,0),IFERROR(MATCH(B196&amp;"",기본자료!$B$2:$B$501,0),IFERROR(MATCH(VALUE(B196),기본자료!$B$2:$B$501,0),""))))</f>
        <v/>
      </c>
    </row>
    <row r="197">
      <c r="A197" s="8">
        <f>IF(B197="","",ROW()-1)</f>
        <v/>
      </c>
      <c r="B197" s="9" t="n"/>
      <c r="C197" s="8">
        <f>IF($W197="","",IF(INDEX(기본자료!$C$2:$C$501,$W197)="","",INDEX(기본자료!$C$2:$C$501,$W197)))</f>
        <v/>
      </c>
      <c r="D197" s="8">
        <f>IF($W197="","",IF(INDEX(기본자료!$J$2:$J$501,$W197)="","",INDEX(기본자료!$J$2:$J$501,$W197)))</f>
        <v/>
      </c>
      <c r="E197" s="10">
        <f>IF($W197="","",IF(INDEX(기본자료!$K$2:$K$501,$W197)="","",IF(NOT(ISNUMBER(INDEX(기본자료!$K$2:$K$501,$W197))),INDEX(기본자료!$K$2:$K$501,$W197),IF(INDEX(기본자료!$K$2:$K$501,$W197)&lt;1000000,INDEX(기본자료!$K$2:$K$501,$W197),IF(AND(INDEX(기본자료!$K$2:$K$501,$W197)&gt;=10000101,INT(MOD(INDEX(기본자료!$K$2:$K$501,$W197),10000)/100)&gt;=1,INT(MOD(INDEX(기본자료!$K$2:$K$501,$W197),10000)/100)&lt;=12,MOD(INDEX(기본자료!$K$2:$K$501,$W197),100)&gt;=1,MOD(INDEX(기본자료!$K$2:$K$501,$W197),100)&lt;=31),DATE(INT(INDEX(기본자료!$K$2:$K$501,$W197)/10000),INT(MOD(INDEX(기본자료!$K$2:$K$501,$W197),10000)/100),MOD(INDEX(기본자료!$K$2:$K$501,$W197),100)),INDEX(기본자료!$K$2:$K$501,$W197)&amp;"")))))</f>
        <v/>
      </c>
      <c r="F197" s="8">
        <f>IF($W197="","",IF(INDEX(기본자료!$D$2:$D$501,$W197)="","",INDEX(기본자료!$D$2:$D$501,$W197)))</f>
        <v/>
      </c>
      <c r="G197" s="8">
        <f>IF($W197="","",IF(INDEX(기본자료!$E$2:$E$501,$W197)="","",INDEX(기본자료!$E$2:$E$501,$W197)))</f>
        <v/>
      </c>
      <c r="H197" s="8">
        <f>IF($W197="","",IF(INDEX(기본자료!$F$2:$F$501,$W197)="","",INDEX(기본자료!$F$2:$F$501,$W197)))</f>
        <v/>
      </c>
      <c r="I197" s="10">
        <f>IF($W197="","",IF(INDEX(기본자료!$G$2:$G$501,$W197)="","",IF(NOT(ISNUMBER(INDEX(기본자료!$G$2:$G$501,$W197))),INDEX(기본자료!$G$2:$G$501,$W197),IF(INDEX(기본자료!$G$2:$G$501,$W197)&lt;1000000,INDEX(기본자료!$G$2:$G$501,$W197),IF(AND(INDEX(기본자료!$G$2:$G$501,$W197)&gt;=10000101,INT(MOD(INDEX(기본자료!$G$2:$G$501,$W197),10000)/100)&gt;=1,INT(MOD(INDEX(기본자료!$G$2:$G$501,$W197),10000)/100)&lt;=12,MOD(INDEX(기본자료!$G$2:$G$501,$W197),100)&gt;=1,MOD(INDEX(기본자료!$G$2:$G$501,$W197),100)&lt;=31),DATE(INT(INDEX(기본자료!$G$2:$G$501,$W197)/10000),INT(MOD(INDEX(기본자료!$G$2:$G$501,$W197),10000)/100),MOD(INDEX(기본자료!$G$2:$G$501,$W197),100)),INDEX(기본자료!$G$2:$G$501,$W197)&amp;"")))))</f>
        <v/>
      </c>
      <c r="J197" s="8">
        <f>IF($W197="","",IF(INDEX(기본자료!$H$2:$H$501,$W197)="","",INDEX(기본자료!$H$2:$H$501,$W197)))</f>
        <v/>
      </c>
      <c r="K197" s="8">
        <f>IF($W197="","",IF(INDEX(기본자료!$I$2:$I$501,$W197)="","",INDEX(기본자료!$I$2:$I$501,$W197)))</f>
        <v/>
      </c>
      <c r="L197" s="8">
        <f>IF($W197="","",IF(INDEX(기본자료!$A$2:$A$501,$W197)="","",INDEX(기본자료!$A$2:$A$501,$W197)))</f>
        <v/>
      </c>
      <c r="M197" s="5" t="n"/>
      <c r="N197" s="5" t="n"/>
      <c r="O197" s="5" t="n"/>
      <c r="P197" s="5" t="n"/>
      <c r="Q197" s="11" t="n"/>
      <c r="R197" s="11" t="n"/>
      <c r="S197" s="8">
        <f>IF(OR(B197="",Q197=""),"",IF(TODAY()&lt;Q197,"파견예정",IF(AND(R197&lt;&gt;"",TODAY()&gt;R197),"파견종료","파견중")))</f>
        <v/>
      </c>
      <c r="T197" s="12">
        <f>IF(OR(Q197="",R197=""),"",R197-Q197+1)</f>
        <v/>
      </c>
      <c r="U197" s="12">
        <f>IF(AND(S197="파견중",R197&lt;&gt;""),R197-TODAY(),"")</f>
        <v/>
      </c>
      <c r="V197" s="5" t="n"/>
      <c r="W197" s="8">
        <f>IF(B197="","",IFERROR(MATCH(B197,기본자료!$B$2:$B$501,0),IFERROR(MATCH(B197&amp;"",기본자료!$B$2:$B$501,0),IFERROR(MATCH(VALUE(B197),기본자료!$B$2:$B$501,0),""))))</f>
        <v/>
      </c>
    </row>
    <row r="198">
      <c r="A198" s="8">
        <f>IF(B198="","",ROW()-1)</f>
        <v/>
      </c>
      <c r="B198" s="9" t="n"/>
      <c r="C198" s="8">
        <f>IF($W198="","",IF(INDEX(기본자료!$C$2:$C$501,$W198)="","",INDEX(기본자료!$C$2:$C$501,$W198)))</f>
        <v/>
      </c>
      <c r="D198" s="8">
        <f>IF($W198="","",IF(INDEX(기본자료!$J$2:$J$501,$W198)="","",INDEX(기본자료!$J$2:$J$501,$W198)))</f>
        <v/>
      </c>
      <c r="E198" s="10">
        <f>IF($W198="","",IF(INDEX(기본자료!$K$2:$K$501,$W198)="","",IF(NOT(ISNUMBER(INDEX(기본자료!$K$2:$K$501,$W198))),INDEX(기본자료!$K$2:$K$501,$W198),IF(INDEX(기본자료!$K$2:$K$501,$W198)&lt;1000000,INDEX(기본자료!$K$2:$K$501,$W198),IF(AND(INDEX(기본자료!$K$2:$K$501,$W198)&gt;=10000101,INT(MOD(INDEX(기본자료!$K$2:$K$501,$W198),10000)/100)&gt;=1,INT(MOD(INDEX(기본자료!$K$2:$K$501,$W198),10000)/100)&lt;=12,MOD(INDEX(기본자료!$K$2:$K$501,$W198),100)&gt;=1,MOD(INDEX(기본자료!$K$2:$K$501,$W198),100)&lt;=31),DATE(INT(INDEX(기본자료!$K$2:$K$501,$W198)/10000),INT(MOD(INDEX(기본자료!$K$2:$K$501,$W198),10000)/100),MOD(INDEX(기본자료!$K$2:$K$501,$W198),100)),INDEX(기본자료!$K$2:$K$501,$W198)&amp;"")))))</f>
        <v/>
      </c>
      <c r="F198" s="8">
        <f>IF($W198="","",IF(INDEX(기본자료!$D$2:$D$501,$W198)="","",INDEX(기본자료!$D$2:$D$501,$W198)))</f>
        <v/>
      </c>
      <c r="G198" s="8">
        <f>IF($W198="","",IF(INDEX(기본자료!$E$2:$E$501,$W198)="","",INDEX(기본자료!$E$2:$E$501,$W198)))</f>
        <v/>
      </c>
      <c r="H198" s="8">
        <f>IF($W198="","",IF(INDEX(기본자료!$F$2:$F$501,$W198)="","",INDEX(기본자료!$F$2:$F$501,$W198)))</f>
        <v/>
      </c>
      <c r="I198" s="10">
        <f>IF($W198="","",IF(INDEX(기본자료!$G$2:$G$501,$W198)="","",IF(NOT(ISNUMBER(INDEX(기본자료!$G$2:$G$501,$W198))),INDEX(기본자료!$G$2:$G$501,$W198),IF(INDEX(기본자료!$G$2:$G$501,$W198)&lt;1000000,INDEX(기본자료!$G$2:$G$501,$W198),IF(AND(INDEX(기본자료!$G$2:$G$501,$W198)&gt;=10000101,INT(MOD(INDEX(기본자료!$G$2:$G$501,$W198),10000)/100)&gt;=1,INT(MOD(INDEX(기본자료!$G$2:$G$501,$W198),10000)/100)&lt;=12,MOD(INDEX(기본자료!$G$2:$G$501,$W198),100)&gt;=1,MOD(INDEX(기본자료!$G$2:$G$501,$W198),100)&lt;=31),DATE(INT(INDEX(기본자료!$G$2:$G$501,$W198)/10000),INT(MOD(INDEX(기본자료!$G$2:$G$501,$W198),10000)/100),MOD(INDEX(기본자료!$G$2:$G$501,$W198),100)),INDEX(기본자료!$G$2:$G$501,$W198)&amp;"")))))</f>
        <v/>
      </c>
      <c r="J198" s="8">
        <f>IF($W198="","",IF(INDEX(기본자료!$H$2:$H$501,$W198)="","",INDEX(기본자료!$H$2:$H$501,$W198)))</f>
        <v/>
      </c>
      <c r="K198" s="8">
        <f>IF($W198="","",IF(INDEX(기본자료!$I$2:$I$501,$W198)="","",INDEX(기본자료!$I$2:$I$501,$W198)))</f>
        <v/>
      </c>
      <c r="L198" s="8">
        <f>IF($W198="","",IF(INDEX(기본자료!$A$2:$A$501,$W198)="","",INDEX(기본자료!$A$2:$A$501,$W198)))</f>
        <v/>
      </c>
      <c r="M198" s="5" t="n"/>
      <c r="N198" s="5" t="n"/>
      <c r="O198" s="5" t="n"/>
      <c r="P198" s="5" t="n"/>
      <c r="Q198" s="11" t="n"/>
      <c r="R198" s="11" t="n"/>
      <c r="S198" s="8">
        <f>IF(OR(B198="",Q198=""),"",IF(TODAY()&lt;Q198,"파견예정",IF(AND(R198&lt;&gt;"",TODAY()&gt;R198),"파견종료","파견중")))</f>
        <v/>
      </c>
      <c r="T198" s="12">
        <f>IF(OR(Q198="",R198=""),"",R198-Q198+1)</f>
        <v/>
      </c>
      <c r="U198" s="12">
        <f>IF(AND(S198="파견중",R198&lt;&gt;""),R198-TODAY(),"")</f>
        <v/>
      </c>
      <c r="V198" s="5" t="n"/>
      <c r="W198" s="8">
        <f>IF(B198="","",IFERROR(MATCH(B198,기본자료!$B$2:$B$501,0),IFERROR(MATCH(B198&amp;"",기본자료!$B$2:$B$501,0),IFERROR(MATCH(VALUE(B198),기본자료!$B$2:$B$501,0),""))))</f>
        <v/>
      </c>
    </row>
    <row r="199">
      <c r="A199" s="8">
        <f>IF(B199="","",ROW()-1)</f>
        <v/>
      </c>
      <c r="B199" s="9" t="n"/>
      <c r="C199" s="8">
        <f>IF($W199="","",IF(INDEX(기본자료!$C$2:$C$501,$W199)="","",INDEX(기본자료!$C$2:$C$501,$W199)))</f>
        <v/>
      </c>
      <c r="D199" s="8">
        <f>IF($W199="","",IF(INDEX(기본자료!$J$2:$J$501,$W199)="","",INDEX(기본자료!$J$2:$J$501,$W199)))</f>
        <v/>
      </c>
      <c r="E199" s="10">
        <f>IF($W199="","",IF(INDEX(기본자료!$K$2:$K$501,$W199)="","",IF(NOT(ISNUMBER(INDEX(기본자료!$K$2:$K$501,$W199))),INDEX(기본자료!$K$2:$K$501,$W199),IF(INDEX(기본자료!$K$2:$K$501,$W199)&lt;1000000,INDEX(기본자료!$K$2:$K$501,$W199),IF(AND(INDEX(기본자료!$K$2:$K$501,$W199)&gt;=10000101,INT(MOD(INDEX(기본자료!$K$2:$K$501,$W199),10000)/100)&gt;=1,INT(MOD(INDEX(기본자료!$K$2:$K$501,$W199),10000)/100)&lt;=12,MOD(INDEX(기본자료!$K$2:$K$501,$W199),100)&gt;=1,MOD(INDEX(기본자료!$K$2:$K$501,$W199),100)&lt;=31),DATE(INT(INDEX(기본자료!$K$2:$K$501,$W199)/10000),INT(MOD(INDEX(기본자료!$K$2:$K$501,$W199),10000)/100),MOD(INDEX(기본자료!$K$2:$K$501,$W199),100)),INDEX(기본자료!$K$2:$K$501,$W199)&amp;"")))))</f>
        <v/>
      </c>
      <c r="F199" s="8">
        <f>IF($W199="","",IF(INDEX(기본자료!$D$2:$D$501,$W199)="","",INDEX(기본자료!$D$2:$D$501,$W199)))</f>
        <v/>
      </c>
      <c r="G199" s="8">
        <f>IF($W199="","",IF(INDEX(기본자료!$E$2:$E$501,$W199)="","",INDEX(기본자료!$E$2:$E$501,$W199)))</f>
        <v/>
      </c>
      <c r="H199" s="8">
        <f>IF($W199="","",IF(INDEX(기본자료!$F$2:$F$501,$W199)="","",INDEX(기본자료!$F$2:$F$501,$W199)))</f>
        <v/>
      </c>
      <c r="I199" s="10">
        <f>IF($W199="","",IF(INDEX(기본자료!$G$2:$G$501,$W199)="","",IF(NOT(ISNUMBER(INDEX(기본자료!$G$2:$G$501,$W199))),INDEX(기본자료!$G$2:$G$501,$W199),IF(INDEX(기본자료!$G$2:$G$501,$W199)&lt;1000000,INDEX(기본자료!$G$2:$G$501,$W199),IF(AND(INDEX(기본자료!$G$2:$G$501,$W199)&gt;=10000101,INT(MOD(INDEX(기본자료!$G$2:$G$501,$W199),10000)/100)&gt;=1,INT(MOD(INDEX(기본자료!$G$2:$G$501,$W199),10000)/100)&lt;=12,MOD(INDEX(기본자료!$G$2:$G$501,$W199),100)&gt;=1,MOD(INDEX(기본자료!$G$2:$G$501,$W199),100)&lt;=31),DATE(INT(INDEX(기본자료!$G$2:$G$501,$W199)/10000),INT(MOD(INDEX(기본자료!$G$2:$G$501,$W199),10000)/100),MOD(INDEX(기본자료!$G$2:$G$501,$W199),100)),INDEX(기본자료!$G$2:$G$501,$W199)&amp;"")))))</f>
        <v/>
      </c>
      <c r="J199" s="8">
        <f>IF($W199="","",IF(INDEX(기본자료!$H$2:$H$501,$W199)="","",INDEX(기본자료!$H$2:$H$501,$W199)))</f>
        <v/>
      </c>
      <c r="K199" s="8">
        <f>IF($W199="","",IF(INDEX(기본자료!$I$2:$I$501,$W199)="","",INDEX(기본자료!$I$2:$I$501,$W199)))</f>
        <v/>
      </c>
      <c r="L199" s="8">
        <f>IF($W199="","",IF(INDEX(기본자료!$A$2:$A$501,$W199)="","",INDEX(기본자료!$A$2:$A$501,$W199)))</f>
        <v/>
      </c>
      <c r="M199" s="5" t="n"/>
      <c r="N199" s="5" t="n"/>
      <c r="O199" s="5" t="n"/>
      <c r="P199" s="5" t="n"/>
      <c r="Q199" s="11" t="n"/>
      <c r="R199" s="11" t="n"/>
      <c r="S199" s="8">
        <f>IF(OR(B199="",Q199=""),"",IF(TODAY()&lt;Q199,"파견예정",IF(AND(R199&lt;&gt;"",TODAY()&gt;R199),"파견종료","파견중")))</f>
        <v/>
      </c>
      <c r="T199" s="12">
        <f>IF(OR(Q199="",R199=""),"",R199-Q199+1)</f>
        <v/>
      </c>
      <c r="U199" s="12">
        <f>IF(AND(S199="파견중",R199&lt;&gt;""),R199-TODAY(),"")</f>
        <v/>
      </c>
      <c r="V199" s="5" t="n"/>
      <c r="W199" s="8">
        <f>IF(B199="","",IFERROR(MATCH(B199,기본자료!$B$2:$B$501,0),IFERROR(MATCH(B199&amp;"",기본자료!$B$2:$B$501,0),IFERROR(MATCH(VALUE(B199),기본자료!$B$2:$B$501,0),""))))</f>
        <v/>
      </c>
    </row>
    <row r="200">
      <c r="A200" s="8">
        <f>IF(B200="","",ROW()-1)</f>
        <v/>
      </c>
      <c r="B200" s="9" t="n"/>
      <c r="C200" s="8">
        <f>IF($W200="","",IF(INDEX(기본자료!$C$2:$C$501,$W200)="","",INDEX(기본자료!$C$2:$C$501,$W200)))</f>
        <v/>
      </c>
      <c r="D200" s="8">
        <f>IF($W200="","",IF(INDEX(기본자료!$J$2:$J$501,$W200)="","",INDEX(기본자료!$J$2:$J$501,$W200)))</f>
        <v/>
      </c>
      <c r="E200" s="10">
        <f>IF($W200="","",IF(INDEX(기본자료!$K$2:$K$501,$W200)="","",IF(NOT(ISNUMBER(INDEX(기본자료!$K$2:$K$501,$W200))),INDEX(기본자료!$K$2:$K$501,$W200),IF(INDEX(기본자료!$K$2:$K$501,$W200)&lt;1000000,INDEX(기본자료!$K$2:$K$501,$W200),IF(AND(INDEX(기본자료!$K$2:$K$501,$W200)&gt;=10000101,INT(MOD(INDEX(기본자료!$K$2:$K$501,$W200),10000)/100)&gt;=1,INT(MOD(INDEX(기본자료!$K$2:$K$501,$W200),10000)/100)&lt;=12,MOD(INDEX(기본자료!$K$2:$K$501,$W200),100)&gt;=1,MOD(INDEX(기본자료!$K$2:$K$501,$W200),100)&lt;=31),DATE(INT(INDEX(기본자료!$K$2:$K$501,$W200)/10000),INT(MOD(INDEX(기본자료!$K$2:$K$501,$W200),10000)/100),MOD(INDEX(기본자료!$K$2:$K$501,$W200),100)),INDEX(기본자료!$K$2:$K$501,$W200)&amp;"")))))</f>
        <v/>
      </c>
      <c r="F200" s="8">
        <f>IF($W200="","",IF(INDEX(기본자료!$D$2:$D$501,$W200)="","",INDEX(기본자료!$D$2:$D$501,$W200)))</f>
        <v/>
      </c>
      <c r="G200" s="8">
        <f>IF($W200="","",IF(INDEX(기본자료!$E$2:$E$501,$W200)="","",INDEX(기본자료!$E$2:$E$501,$W200)))</f>
        <v/>
      </c>
      <c r="H200" s="8">
        <f>IF($W200="","",IF(INDEX(기본자료!$F$2:$F$501,$W200)="","",INDEX(기본자료!$F$2:$F$501,$W200)))</f>
        <v/>
      </c>
      <c r="I200" s="10">
        <f>IF($W200="","",IF(INDEX(기본자료!$G$2:$G$501,$W200)="","",IF(NOT(ISNUMBER(INDEX(기본자료!$G$2:$G$501,$W200))),INDEX(기본자료!$G$2:$G$501,$W200),IF(INDEX(기본자료!$G$2:$G$501,$W200)&lt;1000000,INDEX(기본자료!$G$2:$G$501,$W200),IF(AND(INDEX(기본자료!$G$2:$G$501,$W200)&gt;=10000101,INT(MOD(INDEX(기본자료!$G$2:$G$501,$W200),10000)/100)&gt;=1,INT(MOD(INDEX(기본자료!$G$2:$G$501,$W200),10000)/100)&lt;=12,MOD(INDEX(기본자료!$G$2:$G$501,$W200),100)&gt;=1,MOD(INDEX(기본자료!$G$2:$G$501,$W200),100)&lt;=31),DATE(INT(INDEX(기본자료!$G$2:$G$501,$W200)/10000),INT(MOD(INDEX(기본자료!$G$2:$G$501,$W200),10000)/100),MOD(INDEX(기본자료!$G$2:$G$501,$W200),100)),INDEX(기본자료!$G$2:$G$501,$W200)&amp;"")))))</f>
        <v/>
      </c>
      <c r="J200" s="8">
        <f>IF($W200="","",IF(INDEX(기본자료!$H$2:$H$501,$W200)="","",INDEX(기본자료!$H$2:$H$501,$W200)))</f>
        <v/>
      </c>
      <c r="K200" s="8">
        <f>IF($W200="","",IF(INDEX(기본자료!$I$2:$I$501,$W200)="","",INDEX(기본자료!$I$2:$I$501,$W200)))</f>
        <v/>
      </c>
      <c r="L200" s="8">
        <f>IF($W200="","",IF(INDEX(기본자료!$A$2:$A$501,$W200)="","",INDEX(기본자료!$A$2:$A$501,$W200)))</f>
        <v/>
      </c>
      <c r="M200" s="5" t="n"/>
      <c r="N200" s="5" t="n"/>
      <c r="O200" s="5" t="n"/>
      <c r="P200" s="5" t="n"/>
      <c r="Q200" s="11" t="n"/>
      <c r="R200" s="11" t="n"/>
      <c r="S200" s="8">
        <f>IF(OR(B200="",Q200=""),"",IF(TODAY()&lt;Q200,"파견예정",IF(AND(R200&lt;&gt;"",TODAY()&gt;R200),"파견종료","파견중")))</f>
        <v/>
      </c>
      <c r="T200" s="12">
        <f>IF(OR(Q200="",R200=""),"",R200-Q200+1)</f>
        <v/>
      </c>
      <c r="U200" s="12">
        <f>IF(AND(S200="파견중",R200&lt;&gt;""),R200-TODAY(),"")</f>
        <v/>
      </c>
      <c r="V200" s="5" t="n"/>
      <c r="W200" s="8">
        <f>IF(B200="","",IFERROR(MATCH(B200,기본자료!$B$2:$B$501,0),IFERROR(MATCH(B200&amp;"",기본자료!$B$2:$B$501,0),IFERROR(MATCH(VALUE(B200),기본자료!$B$2:$B$501,0),""))))</f>
        <v/>
      </c>
    </row>
    <row r="201">
      <c r="A201" s="8">
        <f>IF(B201="","",ROW()-1)</f>
        <v/>
      </c>
      <c r="B201" s="9" t="n"/>
      <c r="C201" s="8">
        <f>IF($W201="","",IF(INDEX(기본자료!$C$2:$C$501,$W201)="","",INDEX(기본자료!$C$2:$C$501,$W201)))</f>
        <v/>
      </c>
      <c r="D201" s="8">
        <f>IF($W201="","",IF(INDEX(기본자료!$J$2:$J$501,$W201)="","",INDEX(기본자료!$J$2:$J$501,$W201)))</f>
        <v/>
      </c>
      <c r="E201" s="10">
        <f>IF($W201="","",IF(INDEX(기본자료!$K$2:$K$501,$W201)="","",IF(NOT(ISNUMBER(INDEX(기본자료!$K$2:$K$501,$W201))),INDEX(기본자료!$K$2:$K$501,$W201),IF(INDEX(기본자료!$K$2:$K$501,$W201)&lt;1000000,INDEX(기본자료!$K$2:$K$501,$W201),IF(AND(INDEX(기본자료!$K$2:$K$501,$W201)&gt;=10000101,INT(MOD(INDEX(기본자료!$K$2:$K$501,$W201),10000)/100)&gt;=1,INT(MOD(INDEX(기본자료!$K$2:$K$501,$W201),10000)/100)&lt;=12,MOD(INDEX(기본자료!$K$2:$K$501,$W201),100)&gt;=1,MOD(INDEX(기본자료!$K$2:$K$501,$W201),100)&lt;=31),DATE(INT(INDEX(기본자료!$K$2:$K$501,$W201)/10000),INT(MOD(INDEX(기본자료!$K$2:$K$501,$W201),10000)/100),MOD(INDEX(기본자료!$K$2:$K$501,$W201),100)),INDEX(기본자료!$K$2:$K$501,$W201)&amp;"")))))</f>
        <v/>
      </c>
      <c r="F201" s="8">
        <f>IF($W201="","",IF(INDEX(기본자료!$D$2:$D$501,$W201)="","",INDEX(기본자료!$D$2:$D$501,$W201)))</f>
        <v/>
      </c>
      <c r="G201" s="8">
        <f>IF($W201="","",IF(INDEX(기본자료!$E$2:$E$501,$W201)="","",INDEX(기본자료!$E$2:$E$501,$W201)))</f>
        <v/>
      </c>
      <c r="H201" s="8">
        <f>IF($W201="","",IF(INDEX(기본자료!$F$2:$F$501,$W201)="","",INDEX(기본자료!$F$2:$F$501,$W201)))</f>
        <v/>
      </c>
      <c r="I201" s="10">
        <f>IF($W201="","",IF(INDEX(기본자료!$G$2:$G$501,$W201)="","",IF(NOT(ISNUMBER(INDEX(기본자료!$G$2:$G$501,$W201))),INDEX(기본자료!$G$2:$G$501,$W201),IF(INDEX(기본자료!$G$2:$G$501,$W201)&lt;1000000,INDEX(기본자료!$G$2:$G$501,$W201),IF(AND(INDEX(기본자료!$G$2:$G$501,$W201)&gt;=10000101,INT(MOD(INDEX(기본자료!$G$2:$G$501,$W201),10000)/100)&gt;=1,INT(MOD(INDEX(기본자료!$G$2:$G$501,$W201),10000)/100)&lt;=12,MOD(INDEX(기본자료!$G$2:$G$501,$W201),100)&gt;=1,MOD(INDEX(기본자료!$G$2:$G$501,$W201),100)&lt;=31),DATE(INT(INDEX(기본자료!$G$2:$G$501,$W201)/10000),INT(MOD(INDEX(기본자료!$G$2:$G$501,$W201),10000)/100),MOD(INDEX(기본자료!$G$2:$G$501,$W201),100)),INDEX(기본자료!$G$2:$G$501,$W201)&amp;"")))))</f>
        <v/>
      </c>
      <c r="J201" s="8">
        <f>IF($W201="","",IF(INDEX(기본자료!$H$2:$H$501,$W201)="","",INDEX(기본자료!$H$2:$H$501,$W201)))</f>
        <v/>
      </c>
      <c r="K201" s="8">
        <f>IF($W201="","",IF(INDEX(기본자료!$I$2:$I$501,$W201)="","",INDEX(기본자료!$I$2:$I$501,$W201)))</f>
        <v/>
      </c>
      <c r="L201" s="8">
        <f>IF($W201="","",IF(INDEX(기본자료!$A$2:$A$501,$W201)="","",INDEX(기본자료!$A$2:$A$501,$W201)))</f>
        <v/>
      </c>
      <c r="M201" s="5" t="n"/>
      <c r="N201" s="5" t="n"/>
      <c r="O201" s="5" t="n"/>
      <c r="P201" s="5" t="n"/>
      <c r="Q201" s="11" t="n"/>
      <c r="R201" s="11" t="n"/>
      <c r="S201" s="8">
        <f>IF(OR(B201="",Q201=""),"",IF(TODAY()&lt;Q201,"파견예정",IF(AND(R201&lt;&gt;"",TODAY()&gt;R201),"파견종료","파견중")))</f>
        <v/>
      </c>
      <c r="T201" s="12">
        <f>IF(OR(Q201="",R201=""),"",R201-Q201+1)</f>
        <v/>
      </c>
      <c r="U201" s="12">
        <f>IF(AND(S201="파견중",R201&lt;&gt;""),R201-TODAY(),"")</f>
        <v/>
      </c>
      <c r="V201" s="5" t="n"/>
      <c r="W201" s="8">
        <f>IF(B201="","",IFERROR(MATCH(B201,기본자료!$B$2:$B$501,0),IFERROR(MATCH(B201&amp;"",기본자료!$B$2:$B$501,0),IFERROR(MATCH(VALUE(B201),기본자료!$B$2:$B$501,0),""))))</f>
        <v/>
      </c>
    </row>
  </sheetData>
  <conditionalFormatting sqref="B2:B201">
    <cfRule type="expression" priority="1" dxfId="0">
      <formula>AND($B2&lt;&gt;"",$W2="")</formula>
    </cfRule>
    <cfRule type="expression" priority="2" dxfId="1">
      <formula>AND($B2&lt;&gt;"",COUNTIF($B$2:$B$201,$B2)&gt;1)</formula>
    </cfRule>
  </conditionalFormatting>
  <conditionalFormatting sqref="E2:E201">
    <cfRule type="expression" priority="3" dxfId="2">
      <formula>ISTEXT($E2)</formula>
    </cfRule>
  </conditionalFormatting>
  <conditionalFormatting sqref="I2:I201">
    <cfRule type="expression" priority="4" dxfId="2">
      <formula>ISTEXT($I2)</formula>
    </cfRule>
  </conditionalFormatting>
  <conditionalFormatting sqref="S2:U201">
    <cfRule type="expression" priority="5" dxfId="3">
      <formula>$S2="파견종료"</formula>
    </cfRule>
  </conditionalFormatting>
  <conditionalFormatting sqref="A2:V201">
    <cfRule type="expression" priority="6" dxfId="4">
      <formula>AND($S2="파견중",$U2&lt;&gt;"",$U2&lt;=요약!$E$2)</formula>
    </cfRule>
  </conditionalFormatting>
  <conditionalFormatting sqref="S2:S201">
    <cfRule type="expression" priority="7" dxfId="5">
      <formula>$S2="파견중"</formula>
    </cfRule>
    <cfRule type="expression" priority="8" dxfId="6">
      <formula>$S2="파견예정"</formula>
    </cfRule>
  </conditionalFormatting>
  <conditionalFormatting sqref="O2:O201">
    <cfRule type="expression" priority="9" dxfId="7">
      <formula>AND($O2&lt;&gt;"",$M2&lt;&gt;"",$O2&lt;&gt;$M2)</formula>
    </cfRule>
  </conditionalFormatting>
  <dataValidations count="6">
    <dataValidation sqref="M2:M201" showDropDown="0" showInputMessage="0" showErrorMessage="1" allowBlank="1" errorTitle="목록 선택" error="코드표 시트의 목록에서 선택하세요." type="list">
      <formula1>=코드표!$A$2:$A$21</formula1>
    </dataValidation>
    <dataValidation sqref="N2:N201" showDropDown="0" showInputMessage="0" showErrorMessage="1" allowBlank="1" errorTitle="목록 선택" error="코드표 시트의 목록에서 선택하세요." type="list">
      <formula1>=코드표!$B$2:$B$21</formula1>
    </dataValidation>
    <dataValidation sqref="O2:O201" showDropDown="0" showInputMessage="0" showErrorMessage="1" allowBlank="1" errorTitle="목록 선택" error="코드표 시트의 목록에서 선택하세요." type="list">
      <formula1>=코드표!$A$2:$A$21</formula1>
    </dataValidation>
    <dataValidation sqref="P2:P201" showDropDown="0" showInputMessage="0" showErrorMessage="1" allowBlank="1" errorTitle="목록 선택" error="코드표 시트의 목록에서 선택하세요." type="list">
      <formula1>=코드표!$C$2:$C$21</formula1>
    </dataValidation>
    <dataValidation sqref="Q2:R201" showDropDown="0" showInputMessage="0" showErrorMessage="1" allowBlank="1" errorTitle="날짜 형식" error="yyyy-mm-dd 형식의 날짜를 입력하세요." type="date" operator="greaterThan">
      <formula1>1900-01-01</formula1>
    </dataValidation>
    <dataValidation sqref="R2:R201" showDropDown="0" showInputMessage="0" showErrorMessage="1" allowBlank="1" errorTitle="종료일 오류" error="종료일은 시작일 이후여야 합니다." type="custom">
      <formula1>OR(R2="",Q2="",R2&gt;=Q2)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K20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7" customWidth="1" min="2" max="2"/>
    <col width="10" customWidth="1" min="3" max="3"/>
    <col width="11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0" customWidth="1" min="11" max="11"/>
  </cols>
  <sheetData>
    <row r="1">
      <c r="B1" s="13" t="inlineStr">
        <is>
          <t>2026년도 하반기 인턴근무계획표(9~2월)</t>
        </is>
      </c>
    </row>
    <row r="2">
      <c r="B2" s="4" t="inlineStr">
        <is>
          <t xml:space="preserve">순번 </t>
        </is>
      </c>
      <c r="C2" s="4" t="inlineStr">
        <is>
          <t xml:space="preserve">이름 </t>
        </is>
      </c>
      <c r="D2" s="4" t="inlineStr">
        <is>
          <t>사번</t>
        </is>
      </c>
      <c r="E2" s="4" t="inlineStr">
        <is>
          <t>9월</t>
        </is>
      </c>
      <c r="F2" s="4" t="inlineStr">
        <is>
          <t>10월</t>
        </is>
      </c>
      <c r="G2" s="4" t="inlineStr">
        <is>
          <t>11월</t>
        </is>
      </c>
      <c r="H2" s="4" t="inlineStr">
        <is>
          <t>12월</t>
        </is>
      </c>
      <c r="I2" s="4" t="inlineStr">
        <is>
          <t>1월</t>
        </is>
      </c>
      <c r="J2" s="4" t="inlineStr">
        <is>
          <t xml:space="preserve">2월 </t>
        </is>
      </c>
      <c r="K2" s="4" t="inlineStr">
        <is>
          <t>비고</t>
        </is>
      </c>
    </row>
    <row r="3">
      <c r="B3" s="5" t="n">
        <v>1</v>
      </c>
      <c r="C3" s="5" t="inlineStr">
        <is>
          <t>김ㅇㅇ</t>
        </is>
      </c>
      <c r="D3" s="5" t="n">
        <v>222222</v>
      </c>
      <c r="E3" s="5" t="inlineStr">
        <is>
          <t>구리 안과</t>
        </is>
      </c>
      <c r="F3" s="5" t="inlineStr">
        <is>
          <t>구리 내과</t>
        </is>
      </c>
      <c r="G3" s="5" t="inlineStr">
        <is>
          <t>서울 핵방</t>
        </is>
      </c>
      <c r="H3" s="5" t="inlineStr">
        <is>
          <t>서울 재활의학과</t>
        </is>
      </c>
      <c r="I3" s="5" t="inlineStr">
        <is>
          <t>제주 산부</t>
        </is>
      </c>
      <c r="J3" s="5" t="inlineStr">
        <is>
          <t>서울 소아과</t>
        </is>
      </c>
      <c r="K3" s="5" t="n">
        <v>2026.03</v>
      </c>
    </row>
    <row r="4">
      <c r="B4" s="5" t="n">
        <v>2</v>
      </c>
      <c r="C4" s="5" t="inlineStr">
        <is>
          <t>이ㅇㅇ</t>
        </is>
      </c>
      <c r="D4" s="5" t="n">
        <v>222223</v>
      </c>
      <c r="E4" s="5" t="inlineStr">
        <is>
          <t>서울 내과</t>
        </is>
      </c>
      <c r="F4" s="5" t="inlineStr">
        <is>
          <t>서울 외과</t>
        </is>
      </c>
      <c r="G4" s="5" t="inlineStr">
        <is>
          <t>구리 소아과</t>
        </is>
      </c>
      <c r="H4" s="5" t="inlineStr">
        <is>
          <t>구리 산부인과</t>
        </is>
      </c>
      <c r="I4" s="5" t="inlineStr">
        <is>
          <t>제주 안과</t>
        </is>
      </c>
      <c r="J4" s="5" t="inlineStr">
        <is>
          <t>서울 가정의학과</t>
        </is>
      </c>
      <c r="K4" s="5" t="n"/>
    </row>
    <row r="5">
      <c r="B5" s="5" t="n">
        <v>3</v>
      </c>
      <c r="C5" s="5" t="inlineStr">
        <is>
          <t>박ㅇㅇ</t>
        </is>
      </c>
      <c r="D5" s="5" t="n">
        <v>222224</v>
      </c>
      <c r="E5" s="5" t="inlineStr">
        <is>
          <t>제주 외과</t>
        </is>
      </c>
      <c r="F5" s="5" t="inlineStr">
        <is>
          <t>서울 내과</t>
        </is>
      </c>
      <c r="G5" s="5" t="inlineStr">
        <is>
          <t>서울 응급의학과</t>
        </is>
      </c>
      <c r="H5" s="5" t="inlineStr">
        <is>
          <t>구리 내과</t>
        </is>
      </c>
      <c r="I5" s="5" t="inlineStr">
        <is>
          <t>서울 소아과</t>
        </is>
      </c>
      <c r="J5" s="5" t="inlineStr">
        <is>
          <t>제주 산부</t>
        </is>
      </c>
      <c r="K5" s="5" t="n"/>
    </row>
    <row r="6"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</row>
    <row r="7"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</row>
    <row r="8"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</row>
    <row r="9"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</row>
    <row r="10"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</row>
    <row r="12"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</row>
    <row r="14"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</row>
    <row r="16"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</row>
    <row r="18"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</row>
    <row r="20"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</row>
    <row r="22"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</row>
    <row r="24"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  <row r="25"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</row>
    <row r="26"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</row>
    <row r="27"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</row>
    <row r="28"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</row>
    <row r="29"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</row>
    <row r="30"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</row>
    <row r="31"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</row>
    <row r="32"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</row>
    <row r="33"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</row>
    <row r="34"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</row>
    <row r="35"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</row>
    <row r="36"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</row>
    <row r="37"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</row>
    <row r="38"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</row>
    <row r="39"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</row>
    <row r="40"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</row>
    <row r="41"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</row>
    <row r="42"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</row>
    <row r="43"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</row>
    <row r="44"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</row>
    <row r="45"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</row>
    <row r="46"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</row>
    <row r="47"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</row>
    <row r="48"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</row>
    <row r="49"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</row>
    <row r="50"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</row>
    <row r="51"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</row>
    <row r="52"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</row>
    <row r="53"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</row>
    <row r="54"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</row>
    <row r="55"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</row>
    <row r="56"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</row>
    <row r="57"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</row>
    <row r="58"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</row>
    <row r="59"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</row>
    <row r="60"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</row>
    <row r="61"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</row>
    <row r="62"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</row>
    <row r="63"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</row>
    <row r="64"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</row>
    <row r="65"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</row>
    <row r="66"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</row>
    <row r="67"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</row>
    <row r="68"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</row>
    <row r="69"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</row>
    <row r="70"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</row>
    <row r="71"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</row>
    <row r="72"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</row>
    <row r="73"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</row>
    <row r="74"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</row>
    <row r="75"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</row>
    <row r="76"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</row>
    <row r="77"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</row>
    <row r="78"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</row>
    <row r="79"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</row>
    <row r="80"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</row>
    <row r="81"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</row>
    <row r="82"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</row>
    <row r="83"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</row>
    <row r="84"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</row>
    <row r="85"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</row>
    <row r="86"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</row>
    <row r="87"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</row>
    <row r="88"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</row>
    <row r="89"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</row>
    <row r="90"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</row>
    <row r="91"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</row>
    <row r="92"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</row>
    <row r="93"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</row>
    <row r="94"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</row>
    <row r="95"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</row>
    <row r="96"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</row>
    <row r="97"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</row>
    <row r="98"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</row>
    <row r="99"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</row>
    <row r="100"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</row>
    <row r="101"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</row>
    <row r="102"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</row>
    <row r="103"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</row>
    <row r="104"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</row>
    <row r="105"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</row>
    <row r="106"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</row>
    <row r="107"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</row>
    <row r="108"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</row>
    <row r="109"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</row>
    <row r="110"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</row>
    <row r="111"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</row>
    <row r="112"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</row>
    <row r="113"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</row>
    <row r="114"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</row>
    <row r="115"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</row>
    <row r="116"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</row>
    <row r="117"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</row>
    <row r="118"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</row>
    <row r="119"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</row>
    <row r="120"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</row>
    <row r="121"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</row>
    <row r="122"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</row>
    <row r="123"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</row>
    <row r="124"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</row>
    <row r="125"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</row>
    <row r="126"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</row>
    <row r="127"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</row>
    <row r="128"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</row>
    <row r="129"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</row>
    <row r="130"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</row>
    <row r="131"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</row>
    <row r="132"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</row>
    <row r="133"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</row>
    <row r="134"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</row>
    <row r="135"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</row>
    <row r="136"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</row>
    <row r="137"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</row>
    <row r="138"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</row>
    <row r="139"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</row>
    <row r="140"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</row>
    <row r="141"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</row>
    <row r="142"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</row>
    <row r="143"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</row>
    <row r="144"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</row>
    <row r="145"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</row>
    <row r="146"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</row>
    <row r="147"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</row>
    <row r="148"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</row>
    <row r="149"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</row>
    <row r="150"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</row>
    <row r="151"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</row>
    <row r="152"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</row>
    <row r="153"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</row>
    <row r="154"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</row>
    <row r="155"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</row>
    <row r="156"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</row>
    <row r="157"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</row>
    <row r="158"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</row>
    <row r="159"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</row>
    <row r="160"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</row>
    <row r="161"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</row>
    <row r="162"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</row>
    <row r="163"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</row>
    <row r="164"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</row>
    <row r="165"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</row>
    <row r="166"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</row>
    <row r="167"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</row>
    <row r="168"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</row>
    <row r="169"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</row>
    <row r="170"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</row>
    <row r="171"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</row>
    <row r="172"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</row>
    <row r="173"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</row>
    <row r="174"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</row>
    <row r="175"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</row>
    <row r="176"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</row>
    <row r="177"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</row>
    <row r="178"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</row>
    <row r="179"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</row>
    <row r="180"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</row>
    <row r="181"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</row>
    <row r="182"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</row>
    <row r="183"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</row>
    <row r="184"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</row>
    <row r="185"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</row>
    <row r="186"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</row>
    <row r="187"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</row>
    <row r="188"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</row>
    <row r="189"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</row>
    <row r="190"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</row>
    <row r="191"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</row>
    <row r="192"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</row>
    <row r="193"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</row>
    <row r="194"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</row>
    <row r="195"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</row>
    <row r="196"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</row>
    <row r="197"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</row>
    <row r="198"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</row>
    <row r="199"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</row>
    <row r="200"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</row>
    <row r="201"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</row>
    <row r="202"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</row>
  </sheetData>
  <mergeCells count="1">
    <mergeCell ref="B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205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0" customWidth="1" min="3" max="3"/>
    <col width="10" customWidth="1" min="4" max="4"/>
    <col width="12" customWidth="1" min="5" max="5"/>
    <col width="16" customWidth="1" min="6" max="6"/>
    <col width="16" customWidth="1" min="7" max="7"/>
    <col width="16" customWidth="1" min="8" max="8"/>
    <col width="16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10" customWidth="1" min="16" max="16"/>
    <col width="3" customWidth="1" min="17" max="17"/>
    <col width="14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</cols>
  <sheetData>
    <row r="1">
      <c r="A1" s="1" t="inlineStr">
        <is>
          <t>인턴 근무 현황</t>
        </is>
      </c>
    </row>
    <row r="2">
      <c r="A2" s="3" t="inlineStr">
        <is>
          <t>기준일</t>
        </is>
      </c>
      <c r="B2" s="14">
        <f>TODAY()</f>
        <v/>
      </c>
    </row>
    <row r="3">
      <c r="A3" s="15" t="inlineStr">
        <is>
          <t>계획 월 번호(자동)</t>
        </is>
      </c>
      <c r="E3" s="15" t="inlineStr">
        <is>
          <t>이번/다음 달 위치→</t>
        </is>
      </c>
      <c r="F3" s="16">
        <f>IFERROR(MATCH(MONTH(TODAY()),$J$3:$O$3,0),"")</f>
        <v/>
      </c>
      <c r="H3" s="16">
        <f>IFERROR(MATCH(MONTH(EDATE(TODAY(),1)),$J$3:$O$3,0),"")</f>
        <v/>
      </c>
      <c r="J3" s="16">
        <f>IFERROR(VALUE(SUBSTITUTE(TRIM(J5),"월","")),"")</f>
        <v/>
      </c>
      <c r="K3" s="16">
        <f>IFERROR(VALUE(SUBSTITUTE(TRIM(K5),"월","")),"")</f>
        <v/>
      </c>
      <c r="L3" s="16">
        <f>IFERROR(VALUE(SUBSTITUTE(TRIM(L5),"월","")),"")</f>
        <v/>
      </c>
      <c r="M3" s="16">
        <f>IFERROR(VALUE(SUBSTITUTE(TRIM(M5),"월","")),"")</f>
        <v/>
      </c>
      <c r="N3" s="16">
        <f>IFERROR(VALUE(SUBSTITUTE(TRIM(N5),"월","")),"")</f>
        <v/>
      </c>
      <c r="O3" s="16">
        <f>IFERROR(VALUE(SUBSTITUTE(TRIM(O5),"월","")),"")</f>
        <v/>
      </c>
    </row>
    <row r="4">
      <c r="R4" s="3" t="inlineStr">
        <is>
          <t>월별 병원별 인턴 인원</t>
        </is>
      </c>
    </row>
    <row r="5" ht="30" customHeight="1">
      <c r="A5" s="17" t="inlineStr">
        <is>
          <t>계획행</t>
        </is>
      </c>
      <c r="B5" s="17" t="inlineStr">
        <is>
          <t>순번</t>
        </is>
      </c>
      <c r="C5" s="17" t="inlineStr">
        <is>
          <t>이름</t>
        </is>
      </c>
      <c r="D5" s="17" t="inlineStr">
        <is>
          <t>사번</t>
        </is>
      </c>
      <c r="E5" s="17" t="inlineStr">
        <is>
          <t>기본자료 확인</t>
        </is>
      </c>
      <c r="F5" s="17">
        <f>"이번 달("&amp;IF($F$3="","계획 외",MONTH(TODAY())&amp;"월")&amp;") 병원"</f>
        <v/>
      </c>
      <c r="G5" s="17" t="inlineStr">
        <is>
          <t>이번 달 진료과</t>
        </is>
      </c>
      <c r="H5" s="17">
        <f>"다음 달("&amp;IF($H$3="","계획 외",MONTH(EDATE(TODAY(),1))&amp;"월")&amp;") 병원"</f>
        <v/>
      </c>
      <c r="I5" s="17" t="inlineStr">
        <is>
          <t>다음 달 진료과</t>
        </is>
      </c>
      <c r="J5" s="17">
        <f>TRIM(인턴근무계획!E$2&amp;"")</f>
        <v/>
      </c>
      <c r="K5" s="17">
        <f>TRIM(인턴근무계획!F$2&amp;"")</f>
        <v/>
      </c>
      <c r="L5" s="17">
        <f>TRIM(인턴근무계획!G$2&amp;"")</f>
        <v/>
      </c>
      <c r="M5" s="17">
        <f>TRIM(인턴근무계획!H$2&amp;"")</f>
        <v/>
      </c>
      <c r="N5" s="17">
        <f>TRIM(인턴근무계획!I$2&amp;"")</f>
        <v/>
      </c>
      <c r="O5" s="17">
        <f>TRIM(인턴근무계획!J$2&amp;"")</f>
        <v/>
      </c>
      <c r="P5" s="17" t="inlineStr">
        <is>
          <t>비고</t>
        </is>
      </c>
      <c r="R5" s="4" t="inlineStr">
        <is>
          <t>병원</t>
        </is>
      </c>
      <c r="S5" s="4">
        <f>J5</f>
        <v/>
      </c>
      <c r="T5" s="4">
        <f>K5</f>
        <v/>
      </c>
      <c r="U5" s="4">
        <f>L5</f>
        <v/>
      </c>
      <c r="V5" s="4">
        <f>M5</f>
        <v/>
      </c>
      <c r="W5" s="4">
        <f>N5</f>
        <v/>
      </c>
      <c r="X5" s="4">
        <f>O5</f>
        <v/>
      </c>
    </row>
    <row r="6">
      <c r="A6" s="18" t="n">
        <v>1</v>
      </c>
      <c r="B6" s="19">
        <f>IF($C6="","",INDEX(인턴근무계획!$B$3:$B$202,$A6))</f>
        <v/>
      </c>
      <c r="C6" s="19">
        <f>IFERROR(TRIM(INDEX(인턴근무계획!$C$3:$C$202,$A6)&amp;""),"")</f>
        <v/>
      </c>
      <c r="D6" s="19">
        <f>IF($C6="","",INDEX(인턴근무계획!$D$3:$D$202,$A6))</f>
        <v/>
      </c>
      <c r="E6" s="19">
        <f>IF($C6="","",IF(IFERROR(MATCH($D6,기본자료!$B$2:$B$501,0),IFERROR(MATCH($D6&amp;"",기본자료!$B$2:$B$501,0),IFERROR(MATCH(VALUE($D6),기본자료!$B$2:$B$501,0),0)))&gt;0,"확인","미등록"))</f>
        <v/>
      </c>
      <c r="F6" s="19">
        <f>IF(OR($C6="",$F$3=""),"",IF(TRIM(INDEX(인턴근무계획!$E$3:$J$202,$A6,$F$3)&amp;"")="","",IFERROR(LEFT(TRIM(INDEX(인턴근무계획!$E$3:$J$202,$A6,$F$3)&amp;""),FIND(" ",TRIM(INDEX(인턴근무계획!$E$3:$J$202,$A6,$F$3)&amp;""))-1),TRIM(INDEX(인턴근무계획!$E$3:$J$202,$A6,$F$3)&amp;""))))</f>
        <v/>
      </c>
      <c r="G6" s="19">
        <f>IF(OR($C6="",$F$3=""),"",IF(TRIM(INDEX(인턴근무계획!$E$3:$J$202,$A6,$F$3)&amp;"")="","",IFERROR(MID(TRIM(INDEX(인턴근무계획!$E$3:$J$202,$A6,$F$3)&amp;""),FIND(" ",TRIM(INDEX(인턴근무계획!$E$3:$J$202,$A6,$F$3)&amp;""))+1,60),"")))</f>
        <v/>
      </c>
      <c r="H6" s="19">
        <f>IF(OR($C6="",$H$3=""),"",IF(TRIM(INDEX(인턴근무계획!$E$3:$J$202,$A6,$H$3)&amp;"")="","",IFERROR(LEFT(TRIM(INDEX(인턴근무계획!$E$3:$J$202,$A6,$H$3)&amp;""),FIND(" ",TRIM(INDEX(인턴근무계획!$E$3:$J$202,$A6,$H$3)&amp;""))-1),TRIM(INDEX(인턴근무계획!$E$3:$J$202,$A6,$H$3)&amp;""))))</f>
        <v/>
      </c>
      <c r="I6" s="19">
        <f>IF(OR($C6="",$H$3=""),"",IF(TRIM(INDEX(인턴근무계획!$E$3:$J$202,$A6,$H$3)&amp;"")="","",IFERROR(MID(TRIM(INDEX(인턴근무계획!$E$3:$J$202,$A6,$H$3)&amp;""),FIND(" ",TRIM(INDEX(인턴근무계획!$E$3:$J$202,$A6,$H$3)&amp;""))+1,60),"")))</f>
        <v/>
      </c>
      <c r="J6" s="19">
        <f>IF($C6="","",IF(TRIM(INDEX(인턴근무계획!$E$3:$J$202,$A6,1)&amp;"")="","",IFERROR(LEFT(TRIM(INDEX(인턴근무계획!$E$3:$J$202,$A6,1)&amp;""),FIND(" ",TRIM(INDEX(인턴근무계획!$E$3:$J$202,$A6,1)&amp;""))-1),TRIM(INDEX(인턴근무계획!$E$3:$J$202,$A6,1)&amp;""))))</f>
        <v/>
      </c>
      <c r="K6" s="19">
        <f>IF($C6="","",IF(TRIM(INDEX(인턴근무계획!$E$3:$J$202,$A6,2)&amp;"")="","",IFERROR(LEFT(TRIM(INDEX(인턴근무계획!$E$3:$J$202,$A6,2)&amp;""),FIND(" ",TRIM(INDEX(인턴근무계획!$E$3:$J$202,$A6,2)&amp;""))-1),TRIM(INDEX(인턴근무계획!$E$3:$J$202,$A6,2)&amp;""))))</f>
        <v/>
      </c>
      <c r="L6" s="19">
        <f>IF($C6="","",IF(TRIM(INDEX(인턴근무계획!$E$3:$J$202,$A6,3)&amp;"")="","",IFERROR(LEFT(TRIM(INDEX(인턴근무계획!$E$3:$J$202,$A6,3)&amp;""),FIND(" ",TRIM(INDEX(인턴근무계획!$E$3:$J$202,$A6,3)&amp;""))-1),TRIM(INDEX(인턴근무계획!$E$3:$J$202,$A6,3)&amp;""))))</f>
        <v/>
      </c>
      <c r="M6" s="19">
        <f>IF($C6="","",IF(TRIM(INDEX(인턴근무계획!$E$3:$J$202,$A6,4)&amp;"")="","",IFERROR(LEFT(TRIM(INDEX(인턴근무계획!$E$3:$J$202,$A6,4)&amp;""),FIND(" ",TRIM(INDEX(인턴근무계획!$E$3:$J$202,$A6,4)&amp;""))-1),TRIM(INDEX(인턴근무계획!$E$3:$J$202,$A6,4)&amp;""))))</f>
        <v/>
      </c>
      <c r="N6" s="19">
        <f>IF($C6="","",IF(TRIM(INDEX(인턴근무계획!$E$3:$J$202,$A6,5)&amp;"")="","",IFERROR(LEFT(TRIM(INDEX(인턴근무계획!$E$3:$J$202,$A6,5)&amp;""),FIND(" ",TRIM(INDEX(인턴근무계획!$E$3:$J$202,$A6,5)&amp;""))-1),TRIM(INDEX(인턴근무계획!$E$3:$J$202,$A6,5)&amp;""))))</f>
        <v/>
      </c>
      <c r="O6" s="19">
        <f>IF($C6="","",IF(TRIM(INDEX(인턴근무계획!$E$3:$J$202,$A6,6)&amp;"")="","",IFERROR(LEFT(TRIM(INDEX(인턴근무계획!$E$3:$J$202,$A6,6)&amp;""),FIND(" ",TRIM(INDEX(인턴근무계획!$E$3:$J$202,$A6,6)&amp;""))-1),TRIM(INDEX(인턴근무계획!$E$3:$J$202,$A6,6)&amp;""))))</f>
        <v/>
      </c>
      <c r="P6" s="19">
        <f>IF($C6="","",IF(INDEX(인턴근무계획!$K$3:$K$202,$A6)="","",INDEX(인턴근무계획!$K$3:$K$202,$A6)))</f>
        <v/>
      </c>
      <c r="R6" s="19">
        <f>IF(코드표!A2="","",코드표!A2)</f>
        <v/>
      </c>
      <c r="S6" s="19">
        <f>IF($R6="","",COUNTIF(J$6:J$205,$R6))</f>
        <v/>
      </c>
      <c r="T6" s="19">
        <f>IF($R6="","",COUNTIF(K$6:K$205,$R6))</f>
        <v/>
      </c>
      <c r="U6" s="19">
        <f>IF($R6="","",COUNTIF(L$6:L$205,$R6))</f>
        <v/>
      </c>
      <c r="V6" s="19">
        <f>IF($R6="","",COUNTIF(M$6:M$205,$R6))</f>
        <v/>
      </c>
      <c r="W6" s="19">
        <f>IF($R6="","",COUNTIF(N$6:N$205,$R6))</f>
        <v/>
      </c>
      <c r="X6" s="19">
        <f>IF($R6="","",COUNTIF(O$6:O$205,$R6))</f>
        <v/>
      </c>
    </row>
    <row r="7">
      <c r="A7" s="18" t="n">
        <v>2</v>
      </c>
      <c r="B7" s="19">
        <f>IF($C7="","",INDEX(인턴근무계획!$B$3:$B$202,$A7))</f>
        <v/>
      </c>
      <c r="C7" s="19">
        <f>IFERROR(TRIM(INDEX(인턴근무계획!$C$3:$C$202,$A7)&amp;""),"")</f>
        <v/>
      </c>
      <c r="D7" s="19">
        <f>IF($C7="","",INDEX(인턴근무계획!$D$3:$D$202,$A7))</f>
        <v/>
      </c>
      <c r="E7" s="19">
        <f>IF($C7="","",IF(IFERROR(MATCH($D7,기본자료!$B$2:$B$501,0),IFERROR(MATCH($D7&amp;"",기본자료!$B$2:$B$501,0),IFERROR(MATCH(VALUE($D7),기본자료!$B$2:$B$501,0),0)))&gt;0,"확인","미등록"))</f>
        <v/>
      </c>
      <c r="F7" s="19">
        <f>IF(OR($C7="",$F$3=""),"",IF(TRIM(INDEX(인턴근무계획!$E$3:$J$202,$A7,$F$3)&amp;"")="","",IFERROR(LEFT(TRIM(INDEX(인턴근무계획!$E$3:$J$202,$A7,$F$3)&amp;""),FIND(" ",TRIM(INDEX(인턴근무계획!$E$3:$J$202,$A7,$F$3)&amp;""))-1),TRIM(INDEX(인턴근무계획!$E$3:$J$202,$A7,$F$3)&amp;""))))</f>
        <v/>
      </c>
      <c r="G7" s="19">
        <f>IF(OR($C7="",$F$3=""),"",IF(TRIM(INDEX(인턴근무계획!$E$3:$J$202,$A7,$F$3)&amp;"")="","",IFERROR(MID(TRIM(INDEX(인턴근무계획!$E$3:$J$202,$A7,$F$3)&amp;""),FIND(" ",TRIM(INDEX(인턴근무계획!$E$3:$J$202,$A7,$F$3)&amp;""))+1,60),"")))</f>
        <v/>
      </c>
      <c r="H7" s="19">
        <f>IF(OR($C7="",$H$3=""),"",IF(TRIM(INDEX(인턴근무계획!$E$3:$J$202,$A7,$H$3)&amp;"")="","",IFERROR(LEFT(TRIM(INDEX(인턴근무계획!$E$3:$J$202,$A7,$H$3)&amp;""),FIND(" ",TRIM(INDEX(인턴근무계획!$E$3:$J$202,$A7,$H$3)&amp;""))-1),TRIM(INDEX(인턴근무계획!$E$3:$J$202,$A7,$H$3)&amp;""))))</f>
        <v/>
      </c>
      <c r="I7" s="19">
        <f>IF(OR($C7="",$H$3=""),"",IF(TRIM(INDEX(인턴근무계획!$E$3:$J$202,$A7,$H$3)&amp;"")="","",IFERROR(MID(TRIM(INDEX(인턴근무계획!$E$3:$J$202,$A7,$H$3)&amp;""),FIND(" ",TRIM(INDEX(인턴근무계획!$E$3:$J$202,$A7,$H$3)&amp;""))+1,60),"")))</f>
        <v/>
      </c>
      <c r="J7" s="19">
        <f>IF($C7="","",IF(TRIM(INDEX(인턴근무계획!$E$3:$J$202,$A7,1)&amp;"")="","",IFERROR(LEFT(TRIM(INDEX(인턴근무계획!$E$3:$J$202,$A7,1)&amp;""),FIND(" ",TRIM(INDEX(인턴근무계획!$E$3:$J$202,$A7,1)&amp;""))-1),TRIM(INDEX(인턴근무계획!$E$3:$J$202,$A7,1)&amp;""))))</f>
        <v/>
      </c>
      <c r="K7" s="19">
        <f>IF($C7="","",IF(TRIM(INDEX(인턴근무계획!$E$3:$J$202,$A7,2)&amp;"")="","",IFERROR(LEFT(TRIM(INDEX(인턴근무계획!$E$3:$J$202,$A7,2)&amp;""),FIND(" ",TRIM(INDEX(인턴근무계획!$E$3:$J$202,$A7,2)&amp;""))-1),TRIM(INDEX(인턴근무계획!$E$3:$J$202,$A7,2)&amp;""))))</f>
        <v/>
      </c>
      <c r="L7" s="19">
        <f>IF($C7="","",IF(TRIM(INDEX(인턴근무계획!$E$3:$J$202,$A7,3)&amp;"")="","",IFERROR(LEFT(TRIM(INDEX(인턴근무계획!$E$3:$J$202,$A7,3)&amp;""),FIND(" ",TRIM(INDEX(인턴근무계획!$E$3:$J$202,$A7,3)&amp;""))-1),TRIM(INDEX(인턴근무계획!$E$3:$J$202,$A7,3)&amp;""))))</f>
        <v/>
      </c>
      <c r="M7" s="19">
        <f>IF($C7="","",IF(TRIM(INDEX(인턴근무계획!$E$3:$J$202,$A7,4)&amp;"")="","",IFERROR(LEFT(TRIM(INDEX(인턴근무계획!$E$3:$J$202,$A7,4)&amp;""),FIND(" ",TRIM(INDEX(인턴근무계획!$E$3:$J$202,$A7,4)&amp;""))-1),TRIM(INDEX(인턴근무계획!$E$3:$J$202,$A7,4)&amp;""))))</f>
        <v/>
      </c>
      <c r="N7" s="19">
        <f>IF($C7="","",IF(TRIM(INDEX(인턴근무계획!$E$3:$J$202,$A7,5)&amp;"")="","",IFERROR(LEFT(TRIM(INDEX(인턴근무계획!$E$3:$J$202,$A7,5)&amp;""),FIND(" ",TRIM(INDEX(인턴근무계획!$E$3:$J$202,$A7,5)&amp;""))-1),TRIM(INDEX(인턴근무계획!$E$3:$J$202,$A7,5)&amp;""))))</f>
        <v/>
      </c>
      <c r="O7" s="19">
        <f>IF($C7="","",IF(TRIM(INDEX(인턴근무계획!$E$3:$J$202,$A7,6)&amp;"")="","",IFERROR(LEFT(TRIM(INDEX(인턴근무계획!$E$3:$J$202,$A7,6)&amp;""),FIND(" ",TRIM(INDEX(인턴근무계획!$E$3:$J$202,$A7,6)&amp;""))-1),TRIM(INDEX(인턴근무계획!$E$3:$J$202,$A7,6)&amp;""))))</f>
        <v/>
      </c>
      <c r="P7" s="19">
        <f>IF($C7="","",IF(INDEX(인턴근무계획!$K$3:$K$202,$A7)="","",INDEX(인턴근무계획!$K$3:$K$202,$A7)))</f>
        <v/>
      </c>
      <c r="R7" s="19">
        <f>IF(코드표!A3="","",코드표!A3)</f>
        <v/>
      </c>
      <c r="S7" s="19">
        <f>IF($R7="","",COUNTIF(J$6:J$205,$R7))</f>
        <v/>
      </c>
      <c r="T7" s="19">
        <f>IF($R7="","",COUNTIF(K$6:K$205,$R7))</f>
        <v/>
      </c>
      <c r="U7" s="19">
        <f>IF($R7="","",COUNTIF(L$6:L$205,$R7))</f>
        <v/>
      </c>
      <c r="V7" s="19">
        <f>IF($R7="","",COUNTIF(M$6:M$205,$R7))</f>
        <v/>
      </c>
      <c r="W7" s="19">
        <f>IF($R7="","",COUNTIF(N$6:N$205,$R7))</f>
        <v/>
      </c>
      <c r="X7" s="19">
        <f>IF($R7="","",COUNTIF(O$6:O$205,$R7))</f>
        <v/>
      </c>
    </row>
    <row r="8">
      <c r="A8" s="18" t="n">
        <v>3</v>
      </c>
      <c r="B8" s="19">
        <f>IF($C8="","",INDEX(인턴근무계획!$B$3:$B$202,$A8))</f>
        <v/>
      </c>
      <c r="C8" s="19">
        <f>IFERROR(TRIM(INDEX(인턴근무계획!$C$3:$C$202,$A8)&amp;""),"")</f>
        <v/>
      </c>
      <c r="D8" s="19">
        <f>IF($C8="","",INDEX(인턴근무계획!$D$3:$D$202,$A8))</f>
        <v/>
      </c>
      <c r="E8" s="19">
        <f>IF($C8="","",IF(IFERROR(MATCH($D8,기본자료!$B$2:$B$501,0),IFERROR(MATCH($D8&amp;"",기본자료!$B$2:$B$501,0),IFERROR(MATCH(VALUE($D8),기본자료!$B$2:$B$501,0),0)))&gt;0,"확인","미등록"))</f>
        <v/>
      </c>
      <c r="F8" s="19">
        <f>IF(OR($C8="",$F$3=""),"",IF(TRIM(INDEX(인턴근무계획!$E$3:$J$202,$A8,$F$3)&amp;"")="","",IFERROR(LEFT(TRIM(INDEX(인턴근무계획!$E$3:$J$202,$A8,$F$3)&amp;""),FIND(" ",TRIM(INDEX(인턴근무계획!$E$3:$J$202,$A8,$F$3)&amp;""))-1),TRIM(INDEX(인턴근무계획!$E$3:$J$202,$A8,$F$3)&amp;""))))</f>
        <v/>
      </c>
      <c r="G8" s="19">
        <f>IF(OR($C8="",$F$3=""),"",IF(TRIM(INDEX(인턴근무계획!$E$3:$J$202,$A8,$F$3)&amp;"")="","",IFERROR(MID(TRIM(INDEX(인턴근무계획!$E$3:$J$202,$A8,$F$3)&amp;""),FIND(" ",TRIM(INDEX(인턴근무계획!$E$3:$J$202,$A8,$F$3)&amp;""))+1,60),"")))</f>
        <v/>
      </c>
      <c r="H8" s="19">
        <f>IF(OR($C8="",$H$3=""),"",IF(TRIM(INDEX(인턴근무계획!$E$3:$J$202,$A8,$H$3)&amp;"")="","",IFERROR(LEFT(TRIM(INDEX(인턴근무계획!$E$3:$J$202,$A8,$H$3)&amp;""),FIND(" ",TRIM(INDEX(인턴근무계획!$E$3:$J$202,$A8,$H$3)&amp;""))-1),TRIM(INDEX(인턴근무계획!$E$3:$J$202,$A8,$H$3)&amp;""))))</f>
        <v/>
      </c>
      <c r="I8" s="19">
        <f>IF(OR($C8="",$H$3=""),"",IF(TRIM(INDEX(인턴근무계획!$E$3:$J$202,$A8,$H$3)&amp;"")="","",IFERROR(MID(TRIM(INDEX(인턴근무계획!$E$3:$J$202,$A8,$H$3)&amp;""),FIND(" ",TRIM(INDEX(인턴근무계획!$E$3:$J$202,$A8,$H$3)&amp;""))+1,60),"")))</f>
        <v/>
      </c>
      <c r="J8" s="19">
        <f>IF($C8="","",IF(TRIM(INDEX(인턴근무계획!$E$3:$J$202,$A8,1)&amp;"")="","",IFERROR(LEFT(TRIM(INDEX(인턴근무계획!$E$3:$J$202,$A8,1)&amp;""),FIND(" ",TRIM(INDEX(인턴근무계획!$E$3:$J$202,$A8,1)&amp;""))-1),TRIM(INDEX(인턴근무계획!$E$3:$J$202,$A8,1)&amp;""))))</f>
        <v/>
      </c>
      <c r="K8" s="19">
        <f>IF($C8="","",IF(TRIM(INDEX(인턴근무계획!$E$3:$J$202,$A8,2)&amp;"")="","",IFERROR(LEFT(TRIM(INDEX(인턴근무계획!$E$3:$J$202,$A8,2)&amp;""),FIND(" ",TRIM(INDEX(인턴근무계획!$E$3:$J$202,$A8,2)&amp;""))-1),TRIM(INDEX(인턴근무계획!$E$3:$J$202,$A8,2)&amp;""))))</f>
        <v/>
      </c>
      <c r="L8" s="19">
        <f>IF($C8="","",IF(TRIM(INDEX(인턴근무계획!$E$3:$J$202,$A8,3)&amp;"")="","",IFERROR(LEFT(TRIM(INDEX(인턴근무계획!$E$3:$J$202,$A8,3)&amp;""),FIND(" ",TRIM(INDEX(인턴근무계획!$E$3:$J$202,$A8,3)&amp;""))-1),TRIM(INDEX(인턴근무계획!$E$3:$J$202,$A8,3)&amp;""))))</f>
        <v/>
      </c>
      <c r="M8" s="19">
        <f>IF($C8="","",IF(TRIM(INDEX(인턴근무계획!$E$3:$J$202,$A8,4)&amp;"")="","",IFERROR(LEFT(TRIM(INDEX(인턴근무계획!$E$3:$J$202,$A8,4)&amp;""),FIND(" ",TRIM(INDEX(인턴근무계획!$E$3:$J$202,$A8,4)&amp;""))-1),TRIM(INDEX(인턴근무계획!$E$3:$J$202,$A8,4)&amp;""))))</f>
        <v/>
      </c>
      <c r="N8" s="19">
        <f>IF($C8="","",IF(TRIM(INDEX(인턴근무계획!$E$3:$J$202,$A8,5)&amp;"")="","",IFERROR(LEFT(TRIM(INDEX(인턴근무계획!$E$3:$J$202,$A8,5)&amp;""),FIND(" ",TRIM(INDEX(인턴근무계획!$E$3:$J$202,$A8,5)&amp;""))-1),TRIM(INDEX(인턴근무계획!$E$3:$J$202,$A8,5)&amp;""))))</f>
        <v/>
      </c>
      <c r="O8" s="19">
        <f>IF($C8="","",IF(TRIM(INDEX(인턴근무계획!$E$3:$J$202,$A8,6)&amp;"")="","",IFERROR(LEFT(TRIM(INDEX(인턴근무계획!$E$3:$J$202,$A8,6)&amp;""),FIND(" ",TRIM(INDEX(인턴근무계획!$E$3:$J$202,$A8,6)&amp;""))-1),TRIM(INDEX(인턴근무계획!$E$3:$J$202,$A8,6)&amp;""))))</f>
        <v/>
      </c>
      <c r="P8" s="19">
        <f>IF($C8="","",IF(INDEX(인턴근무계획!$K$3:$K$202,$A8)="","",INDEX(인턴근무계획!$K$3:$K$202,$A8)))</f>
        <v/>
      </c>
      <c r="R8" s="19">
        <f>IF(코드표!A4="","",코드표!A4)</f>
        <v/>
      </c>
      <c r="S8" s="19">
        <f>IF($R8="","",COUNTIF(J$6:J$205,$R8))</f>
        <v/>
      </c>
      <c r="T8" s="19">
        <f>IF($R8="","",COUNTIF(K$6:K$205,$R8))</f>
        <v/>
      </c>
      <c r="U8" s="19">
        <f>IF($R8="","",COUNTIF(L$6:L$205,$R8))</f>
        <v/>
      </c>
      <c r="V8" s="19">
        <f>IF($R8="","",COUNTIF(M$6:M$205,$R8))</f>
        <v/>
      </c>
      <c r="W8" s="19">
        <f>IF($R8="","",COUNTIF(N$6:N$205,$R8))</f>
        <v/>
      </c>
      <c r="X8" s="19">
        <f>IF($R8="","",COUNTIF(O$6:O$205,$R8))</f>
        <v/>
      </c>
    </row>
    <row r="9">
      <c r="A9" s="18" t="n">
        <v>4</v>
      </c>
      <c r="B9" s="19">
        <f>IF($C9="","",INDEX(인턴근무계획!$B$3:$B$202,$A9))</f>
        <v/>
      </c>
      <c r="C9" s="19">
        <f>IFERROR(TRIM(INDEX(인턴근무계획!$C$3:$C$202,$A9)&amp;""),"")</f>
        <v/>
      </c>
      <c r="D9" s="19">
        <f>IF($C9="","",INDEX(인턴근무계획!$D$3:$D$202,$A9))</f>
        <v/>
      </c>
      <c r="E9" s="19">
        <f>IF($C9="","",IF(IFERROR(MATCH($D9,기본자료!$B$2:$B$501,0),IFERROR(MATCH($D9&amp;"",기본자료!$B$2:$B$501,0),IFERROR(MATCH(VALUE($D9),기본자료!$B$2:$B$501,0),0)))&gt;0,"확인","미등록"))</f>
        <v/>
      </c>
      <c r="F9" s="19">
        <f>IF(OR($C9="",$F$3=""),"",IF(TRIM(INDEX(인턴근무계획!$E$3:$J$202,$A9,$F$3)&amp;"")="","",IFERROR(LEFT(TRIM(INDEX(인턴근무계획!$E$3:$J$202,$A9,$F$3)&amp;""),FIND(" ",TRIM(INDEX(인턴근무계획!$E$3:$J$202,$A9,$F$3)&amp;""))-1),TRIM(INDEX(인턴근무계획!$E$3:$J$202,$A9,$F$3)&amp;""))))</f>
        <v/>
      </c>
      <c r="G9" s="19">
        <f>IF(OR($C9="",$F$3=""),"",IF(TRIM(INDEX(인턴근무계획!$E$3:$J$202,$A9,$F$3)&amp;"")="","",IFERROR(MID(TRIM(INDEX(인턴근무계획!$E$3:$J$202,$A9,$F$3)&amp;""),FIND(" ",TRIM(INDEX(인턴근무계획!$E$3:$J$202,$A9,$F$3)&amp;""))+1,60),"")))</f>
        <v/>
      </c>
      <c r="H9" s="19">
        <f>IF(OR($C9="",$H$3=""),"",IF(TRIM(INDEX(인턴근무계획!$E$3:$J$202,$A9,$H$3)&amp;"")="","",IFERROR(LEFT(TRIM(INDEX(인턴근무계획!$E$3:$J$202,$A9,$H$3)&amp;""),FIND(" ",TRIM(INDEX(인턴근무계획!$E$3:$J$202,$A9,$H$3)&amp;""))-1),TRIM(INDEX(인턴근무계획!$E$3:$J$202,$A9,$H$3)&amp;""))))</f>
        <v/>
      </c>
      <c r="I9" s="19">
        <f>IF(OR($C9="",$H$3=""),"",IF(TRIM(INDEX(인턴근무계획!$E$3:$J$202,$A9,$H$3)&amp;"")="","",IFERROR(MID(TRIM(INDEX(인턴근무계획!$E$3:$J$202,$A9,$H$3)&amp;""),FIND(" ",TRIM(INDEX(인턴근무계획!$E$3:$J$202,$A9,$H$3)&amp;""))+1,60),"")))</f>
        <v/>
      </c>
      <c r="J9" s="19">
        <f>IF($C9="","",IF(TRIM(INDEX(인턴근무계획!$E$3:$J$202,$A9,1)&amp;"")="","",IFERROR(LEFT(TRIM(INDEX(인턴근무계획!$E$3:$J$202,$A9,1)&amp;""),FIND(" ",TRIM(INDEX(인턴근무계획!$E$3:$J$202,$A9,1)&amp;""))-1),TRIM(INDEX(인턴근무계획!$E$3:$J$202,$A9,1)&amp;""))))</f>
        <v/>
      </c>
      <c r="K9" s="19">
        <f>IF($C9="","",IF(TRIM(INDEX(인턴근무계획!$E$3:$J$202,$A9,2)&amp;"")="","",IFERROR(LEFT(TRIM(INDEX(인턴근무계획!$E$3:$J$202,$A9,2)&amp;""),FIND(" ",TRIM(INDEX(인턴근무계획!$E$3:$J$202,$A9,2)&amp;""))-1),TRIM(INDEX(인턴근무계획!$E$3:$J$202,$A9,2)&amp;""))))</f>
        <v/>
      </c>
      <c r="L9" s="19">
        <f>IF($C9="","",IF(TRIM(INDEX(인턴근무계획!$E$3:$J$202,$A9,3)&amp;"")="","",IFERROR(LEFT(TRIM(INDEX(인턴근무계획!$E$3:$J$202,$A9,3)&amp;""),FIND(" ",TRIM(INDEX(인턴근무계획!$E$3:$J$202,$A9,3)&amp;""))-1),TRIM(INDEX(인턴근무계획!$E$3:$J$202,$A9,3)&amp;""))))</f>
        <v/>
      </c>
      <c r="M9" s="19">
        <f>IF($C9="","",IF(TRIM(INDEX(인턴근무계획!$E$3:$J$202,$A9,4)&amp;"")="","",IFERROR(LEFT(TRIM(INDEX(인턴근무계획!$E$3:$J$202,$A9,4)&amp;""),FIND(" ",TRIM(INDEX(인턴근무계획!$E$3:$J$202,$A9,4)&amp;""))-1),TRIM(INDEX(인턴근무계획!$E$3:$J$202,$A9,4)&amp;""))))</f>
        <v/>
      </c>
      <c r="N9" s="19">
        <f>IF($C9="","",IF(TRIM(INDEX(인턴근무계획!$E$3:$J$202,$A9,5)&amp;"")="","",IFERROR(LEFT(TRIM(INDEX(인턴근무계획!$E$3:$J$202,$A9,5)&amp;""),FIND(" ",TRIM(INDEX(인턴근무계획!$E$3:$J$202,$A9,5)&amp;""))-1),TRIM(INDEX(인턴근무계획!$E$3:$J$202,$A9,5)&amp;""))))</f>
        <v/>
      </c>
      <c r="O9" s="19">
        <f>IF($C9="","",IF(TRIM(INDEX(인턴근무계획!$E$3:$J$202,$A9,6)&amp;"")="","",IFERROR(LEFT(TRIM(INDEX(인턴근무계획!$E$3:$J$202,$A9,6)&amp;""),FIND(" ",TRIM(INDEX(인턴근무계획!$E$3:$J$202,$A9,6)&amp;""))-1),TRIM(INDEX(인턴근무계획!$E$3:$J$202,$A9,6)&amp;""))))</f>
        <v/>
      </c>
      <c r="P9" s="19">
        <f>IF($C9="","",IF(INDEX(인턴근무계획!$K$3:$K$202,$A9)="","",INDEX(인턴근무계획!$K$3:$K$202,$A9)))</f>
        <v/>
      </c>
      <c r="R9" s="19">
        <f>IF(코드표!A5="","",코드표!A5)</f>
        <v/>
      </c>
      <c r="S9" s="19">
        <f>IF($R9="","",COUNTIF(J$6:J$205,$R9))</f>
        <v/>
      </c>
      <c r="T9" s="19">
        <f>IF($R9="","",COUNTIF(K$6:K$205,$R9))</f>
        <v/>
      </c>
      <c r="U9" s="19">
        <f>IF($R9="","",COUNTIF(L$6:L$205,$R9))</f>
        <v/>
      </c>
      <c r="V9" s="19">
        <f>IF($R9="","",COUNTIF(M$6:M$205,$R9))</f>
        <v/>
      </c>
      <c r="W9" s="19">
        <f>IF($R9="","",COUNTIF(N$6:N$205,$R9))</f>
        <v/>
      </c>
      <c r="X9" s="19">
        <f>IF($R9="","",COUNTIF(O$6:O$205,$R9))</f>
        <v/>
      </c>
    </row>
    <row r="10">
      <c r="A10" s="18" t="n">
        <v>5</v>
      </c>
      <c r="B10" s="19">
        <f>IF($C10="","",INDEX(인턴근무계획!$B$3:$B$202,$A10))</f>
        <v/>
      </c>
      <c r="C10" s="19">
        <f>IFERROR(TRIM(INDEX(인턴근무계획!$C$3:$C$202,$A10)&amp;""),"")</f>
        <v/>
      </c>
      <c r="D10" s="19">
        <f>IF($C10="","",INDEX(인턴근무계획!$D$3:$D$202,$A10))</f>
        <v/>
      </c>
      <c r="E10" s="19">
        <f>IF($C10="","",IF(IFERROR(MATCH($D10,기본자료!$B$2:$B$501,0),IFERROR(MATCH($D10&amp;"",기본자료!$B$2:$B$501,0),IFERROR(MATCH(VALUE($D10),기본자료!$B$2:$B$501,0),0)))&gt;0,"확인","미등록"))</f>
        <v/>
      </c>
      <c r="F10" s="19">
        <f>IF(OR($C10="",$F$3=""),"",IF(TRIM(INDEX(인턴근무계획!$E$3:$J$202,$A10,$F$3)&amp;"")="","",IFERROR(LEFT(TRIM(INDEX(인턴근무계획!$E$3:$J$202,$A10,$F$3)&amp;""),FIND(" ",TRIM(INDEX(인턴근무계획!$E$3:$J$202,$A10,$F$3)&amp;""))-1),TRIM(INDEX(인턴근무계획!$E$3:$J$202,$A10,$F$3)&amp;""))))</f>
        <v/>
      </c>
      <c r="G10" s="19">
        <f>IF(OR($C10="",$F$3=""),"",IF(TRIM(INDEX(인턴근무계획!$E$3:$J$202,$A10,$F$3)&amp;"")="","",IFERROR(MID(TRIM(INDEX(인턴근무계획!$E$3:$J$202,$A10,$F$3)&amp;""),FIND(" ",TRIM(INDEX(인턴근무계획!$E$3:$J$202,$A10,$F$3)&amp;""))+1,60),"")))</f>
        <v/>
      </c>
      <c r="H10" s="19">
        <f>IF(OR($C10="",$H$3=""),"",IF(TRIM(INDEX(인턴근무계획!$E$3:$J$202,$A10,$H$3)&amp;"")="","",IFERROR(LEFT(TRIM(INDEX(인턴근무계획!$E$3:$J$202,$A10,$H$3)&amp;""),FIND(" ",TRIM(INDEX(인턴근무계획!$E$3:$J$202,$A10,$H$3)&amp;""))-1),TRIM(INDEX(인턴근무계획!$E$3:$J$202,$A10,$H$3)&amp;""))))</f>
        <v/>
      </c>
      <c r="I10" s="19">
        <f>IF(OR($C10="",$H$3=""),"",IF(TRIM(INDEX(인턴근무계획!$E$3:$J$202,$A10,$H$3)&amp;"")="","",IFERROR(MID(TRIM(INDEX(인턴근무계획!$E$3:$J$202,$A10,$H$3)&amp;""),FIND(" ",TRIM(INDEX(인턴근무계획!$E$3:$J$202,$A10,$H$3)&amp;""))+1,60),"")))</f>
        <v/>
      </c>
      <c r="J10" s="19">
        <f>IF($C10="","",IF(TRIM(INDEX(인턴근무계획!$E$3:$J$202,$A10,1)&amp;"")="","",IFERROR(LEFT(TRIM(INDEX(인턴근무계획!$E$3:$J$202,$A10,1)&amp;""),FIND(" ",TRIM(INDEX(인턴근무계획!$E$3:$J$202,$A10,1)&amp;""))-1),TRIM(INDEX(인턴근무계획!$E$3:$J$202,$A10,1)&amp;""))))</f>
        <v/>
      </c>
      <c r="K10" s="19">
        <f>IF($C10="","",IF(TRIM(INDEX(인턴근무계획!$E$3:$J$202,$A10,2)&amp;"")="","",IFERROR(LEFT(TRIM(INDEX(인턴근무계획!$E$3:$J$202,$A10,2)&amp;""),FIND(" ",TRIM(INDEX(인턴근무계획!$E$3:$J$202,$A10,2)&amp;""))-1),TRIM(INDEX(인턴근무계획!$E$3:$J$202,$A10,2)&amp;""))))</f>
        <v/>
      </c>
      <c r="L10" s="19">
        <f>IF($C10="","",IF(TRIM(INDEX(인턴근무계획!$E$3:$J$202,$A10,3)&amp;"")="","",IFERROR(LEFT(TRIM(INDEX(인턴근무계획!$E$3:$J$202,$A10,3)&amp;""),FIND(" ",TRIM(INDEX(인턴근무계획!$E$3:$J$202,$A10,3)&amp;""))-1),TRIM(INDEX(인턴근무계획!$E$3:$J$202,$A10,3)&amp;""))))</f>
        <v/>
      </c>
      <c r="M10" s="19">
        <f>IF($C10="","",IF(TRIM(INDEX(인턴근무계획!$E$3:$J$202,$A10,4)&amp;"")="","",IFERROR(LEFT(TRIM(INDEX(인턴근무계획!$E$3:$J$202,$A10,4)&amp;""),FIND(" ",TRIM(INDEX(인턴근무계획!$E$3:$J$202,$A10,4)&amp;""))-1),TRIM(INDEX(인턴근무계획!$E$3:$J$202,$A10,4)&amp;""))))</f>
        <v/>
      </c>
      <c r="N10" s="19">
        <f>IF($C10="","",IF(TRIM(INDEX(인턴근무계획!$E$3:$J$202,$A10,5)&amp;"")="","",IFERROR(LEFT(TRIM(INDEX(인턴근무계획!$E$3:$J$202,$A10,5)&amp;""),FIND(" ",TRIM(INDEX(인턴근무계획!$E$3:$J$202,$A10,5)&amp;""))-1),TRIM(INDEX(인턴근무계획!$E$3:$J$202,$A10,5)&amp;""))))</f>
        <v/>
      </c>
      <c r="O10" s="19">
        <f>IF($C10="","",IF(TRIM(INDEX(인턴근무계획!$E$3:$J$202,$A10,6)&amp;"")="","",IFERROR(LEFT(TRIM(INDEX(인턴근무계획!$E$3:$J$202,$A10,6)&amp;""),FIND(" ",TRIM(INDEX(인턴근무계획!$E$3:$J$202,$A10,6)&amp;""))-1),TRIM(INDEX(인턴근무계획!$E$3:$J$202,$A10,6)&amp;""))))</f>
        <v/>
      </c>
      <c r="P10" s="19">
        <f>IF($C10="","",IF(INDEX(인턴근무계획!$K$3:$K$202,$A10)="","",INDEX(인턴근무계획!$K$3:$K$202,$A10)))</f>
        <v/>
      </c>
      <c r="R10" s="19">
        <f>IF(코드표!A6="","",코드표!A6)</f>
        <v/>
      </c>
      <c r="S10" s="19">
        <f>IF($R10="","",COUNTIF(J$6:J$205,$R10))</f>
        <v/>
      </c>
      <c r="T10" s="19">
        <f>IF($R10="","",COUNTIF(K$6:K$205,$R10))</f>
        <v/>
      </c>
      <c r="U10" s="19">
        <f>IF($R10="","",COUNTIF(L$6:L$205,$R10))</f>
        <v/>
      </c>
      <c r="V10" s="19">
        <f>IF($R10="","",COUNTIF(M$6:M$205,$R10))</f>
        <v/>
      </c>
      <c r="W10" s="19">
        <f>IF($R10="","",COUNTIF(N$6:N$205,$R10))</f>
        <v/>
      </c>
      <c r="X10" s="19">
        <f>IF($R10="","",COUNTIF(O$6:O$205,$R10))</f>
        <v/>
      </c>
    </row>
    <row r="11">
      <c r="A11" s="18" t="n">
        <v>6</v>
      </c>
      <c r="B11" s="19">
        <f>IF($C11="","",INDEX(인턴근무계획!$B$3:$B$202,$A11))</f>
        <v/>
      </c>
      <c r="C11" s="19">
        <f>IFERROR(TRIM(INDEX(인턴근무계획!$C$3:$C$202,$A11)&amp;""),"")</f>
        <v/>
      </c>
      <c r="D11" s="19">
        <f>IF($C11="","",INDEX(인턴근무계획!$D$3:$D$202,$A11))</f>
        <v/>
      </c>
      <c r="E11" s="19">
        <f>IF($C11="","",IF(IFERROR(MATCH($D11,기본자료!$B$2:$B$501,0),IFERROR(MATCH($D11&amp;"",기본자료!$B$2:$B$501,0),IFERROR(MATCH(VALUE($D11),기본자료!$B$2:$B$501,0),0)))&gt;0,"확인","미등록"))</f>
        <v/>
      </c>
      <c r="F11" s="19">
        <f>IF(OR($C11="",$F$3=""),"",IF(TRIM(INDEX(인턴근무계획!$E$3:$J$202,$A11,$F$3)&amp;"")="","",IFERROR(LEFT(TRIM(INDEX(인턴근무계획!$E$3:$J$202,$A11,$F$3)&amp;""),FIND(" ",TRIM(INDEX(인턴근무계획!$E$3:$J$202,$A11,$F$3)&amp;""))-1),TRIM(INDEX(인턴근무계획!$E$3:$J$202,$A11,$F$3)&amp;""))))</f>
        <v/>
      </c>
      <c r="G11" s="19">
        <f>IF(OR($C11="",$F$3=""),"",IF(TRIM(INDEX(인턴근무계획!$E$3:$J$202,$A11,$F$3)&amp;"")="","",IFERROR(MID(TRIM(INDEX(인턴근무계획!$E$3:$J$202,$A11,$F$3)&amp;""),FIND(" ",TRIM(INDEX(인턴근무계획!$E$3:$J$202,$A11,$F$3)&amp;""))+1,60),"")))</f>
        <v/>
      </c>
      <c r="H11" s="19">
        <f>IF(OR($C11="",$H$3=""),"",IF(TRIM(INDEX(인턴근무계획!$E$3:$J$202,$A11,$H$3)&amp;"")="","",IFERROR(LEFT(TRIM(INDEX(인턴근무계획!$E$3:$J$202,$A11,$H$3)&amp;""),FIND(" ",TRIM(INDEX(인턴근무계획!$E$3:$J$202,$A11,$H$3)&amp;""))-1),TRIM(INDEX(인턴근무계획!$E$3:$J$202,$A11,$H$3)&amp;""))))</f>
        <v/>
      </c>
      <c r="I11" s="19">
        <f>IF(OR($C11="",$H$3=""),"",IF(TRIM(INDEX(인턴근무계획!$E$3:$J$202,$A11,$H$3)&amp;"")="","",IFERROR(MID(TRIM(INDEX(인턴근무계획!$E$3:$J$202,$A11,$H$3)&amp;""),FIND(" ",TRIM(INDEX(인턴근무계획!$E$3:$J$202,$A11,$H$3)&amp;""))+1,60),"")))</f>
        <v/>
      </c>
      <c r="J11" s="19">
        <f>IF($C11="","",IF(TRIM(INDEX(인턴근무계획!$E$3:$J$202,$A11,1)&amp;"")="","",IFERROR(LEFT(TRIM(INDEX(인턴근무계획!$E$3:$J$202,$A11,1)&amp;""),FIND(" ",TRIM(INDEX(인턴근무계획!$E$3:$J$202,$A11,1)&amp;""))-1),TRIM(INDEX(인턴근무계획!$E$3:$J$202,$A11,1)&amp;""))))</f>
        <v/>
      </c>
      <c r="K11" s="19">
        <f>IF($C11="","",IF(TRIM(INDEX(인턴근무계획!$E$3:$J$202,$A11,2)&amp;"")="","",IFERROR(LEFT(TRIM(INDEX(인턴근무계획!$E$3:$J$202,$A11,2)&amp;""),FIND(" ",TRIM(INDEX(인턴근무계획!$E$3:$J$202,$A11,2)&amp;""))-1),TRIM(INDEX(인턴근무계획!$E$3:$J$202,$A11,2)&amp;""))))</f>
        <v/>
      </c>
      <c r="L11" s="19">
        <f>IF($C11="","",IF(TRIM(INDEX(인턴근무계획!$E$3:$J$202,$A11,3)&amp;"")="","",IFERROR(LEFT(TRIM(INDEX(인턴근무계획!$E$3:$J$202,$A11,3)&amp;""),FIND(" ",TRIM(INDEX(인턴근무계획!$E$3:$J$202,$A11,3)&amp;""))-1),TRIM(INDEX(인턴근무계획!$E$3:$J$202,$A11,3)&amp;""))))</f>
        <v/>
      </c>
      <c r="M11" s="19">
        <f>IF($C11="","",IF(TRIM(INDEX(인턴근무계획!$E$3:$J$202,$A11,4)&amp;"")="","",IFERROR(LEFT(TRIM(INDEX(인턴근무계획!$E$3:$J$202,$A11,4)&amp;""),FIND(" ",TRIM(INDEX(인턴근무계획!$E$3:$J$202,$A11,4)&amp;""))-1),TRIM(INDEX(인턴근무계획!$E$3:$J$202,$A11,4)&amp;""))))</f>
        <v/>
      </c>
      <c r="N11" s="19">
        <f>IF($C11="","",IF(TRIM(INDEX(인턴근무계획!$E$3:$J$202,$A11,5)&amp;"")="","",IFERROR(LEFT(TRIM(INDEX(인턴근무계획!$E$3:$J$202,$A11,5)&amp;""),FIND(" ",TRIM(INDEX(인턴근무계획!$E$3:$J$202,$A11,5)&amp;""))-1),TRIM(INDEX(인턴근무계획!$E$3:$J$202,$A11,5)&amp;""))))</f>
        <v/>
      </c>
      <c r="O11" s="19">
        <f>IF($C11="","",IF(TRIM(INDEX(인턴근무계획!$E$3:$J$202,$A11,6)&amp;"")="","",IFERROR(LEFT(TRIM(INDEX(인턴근무계획!$E$3:$J$202,$A11,6)&amp;""),FIND(" ",TRIM(INDEX(인턴근무계획!$E$3:$J$202,$A11,6)&amp;""))-1),TRIM(INDEX(인턴근무계획!$E$3:$J$202,$A11,6)&amp;""))))</f>
        <v/>
      </c>
      <c r="P11" s="19">
        <f>IF($C11="","",IF(INDEX(인턴근무계획!$K$3:$K$202,$A11)="","",INDEX(인턴근무계획!$K$3:$K$202,$A11)))</f>
        <v/>
      </c>
      <c r="R11" s="19">
        <f>IF(코드표!A7="","",코드표!A7)</f>
        <v/>
      </c>
      <c r="S11" s="19">
        <f>IF($R11="","",COUNTIF(J$6:J$205,$R11))</f>
        <v/>
      </c>
      <c r="T11" s="19">
        <f>IF($R11="","",COUNTIF(K$6:K$205,$R11))</f>
        <v/>
      </c>
      <c r="U11" s="19">
        <f>IF($R11="","",COUNTIF(L$6:L$205,$R11))</f>
        <v/>
      </c>
      <c r="V11" s="19">
        <f>IF($R11="","",COUNTIF(M$6:M$205,$R11))</f>
        <v/>
      </c>
      <c r="W11" s="19">
        <f>IF($R11="","",COUNTIF(N$6:N$205,$R11))</f>
        <v/>
      </c>
      <c r="X11" s="19">
        <f>IF($R11="","",COUNTIF(O$6:O$205,$R11))</f>
        <v/>
      </c>
    </row>
    <row r="12">
      <c r="A12" s="18" t="n">
        <v>7</v>
      </c>
      <c r="B12" s="19">
        <f>IF($C12="","",INDEX(인턴근무계획!$B$3:$B$202,$A12))</f>
        <v/>
      </c>
      <c r="C12" s="19">
        <f>IFERROR(TRIM(INDEX(인턴근무계획!$C$3:$C$202,$A12)&amp;""),"")</f>
        <v/>
      </c>
      <c r="D12" s="19">
        <f>IF($C12="","",INDEX(인턴근무계획!$D$3:$D$202,$A12))</f>
        <v/>
      </c>
      <c r="E12" s="19">
        <f>IF($C12="","",IF(IFERROR(MATCH($D12,기본자료!$B$2:$B$501,0),IFERROR(MATCH($D12&amp;"",기본자료!$B$2:$B$501,0),IFERROR(MATCH(VALUE($D12),기본자료!$B$2:$B$501,0),0)))&gt;0,"확인","미등록"))</f>
        <v/>
      </c>
      <c r="F12" s="19">
        <f>IF(OR($C12="",$F$3=""),"",IF(TRIM(INDEX(인턴근무계획!$E$3:$J$202,$A12,$F$3)&amp;"")="","",IFERROR(LEFT(TRIM(INDEX(인턴근무계획!$E$3:$J$202,$A12,$F$3)&amp;""),FIND(" ",TRIM(INDEX(인턴근무계획!$E$3:$J$202,$A12,$F$3)&amp;""))-1),TRIM(INDEX(인턴근무계획!$E$3:$J$202,$A12,$F$3)&amp;""))))</f>
        <v/>
      </c>
      <c r="G12" s="19">
        <f>IF(OR($C12="",$F$3=""),"",IF(TRIM(INDEX(인턴근무계획!$E$3:$J$202,$A12,$F$3)&amp;"")="","",IFERROR(MID(TRIM(INDEX(인턴근무계획!$E$3:$J$202,$A12,$F$3)&amp;""),FIND(" ",TRIM(INDEX(인턴근무계획!$E$3:$J$202,$A12,$F$3)&amp;""))+1,60),"")))</f>
        <v/>
      </c>
      <c r="H12" s="19">
        <f>IF(OR($C12="",$H$3=""),"",IF(TRIM(INDEX(인턴근무계획!$E$3:$J$202,$A12,$H$3)&amp;"")="","",IFERROR(LEFT(TRIM(INDEX(인턴근무계획!$E$3:$J$202,$A12,$H$3)&amp;""),FIND(" ",TRIM(INDEX(인턴근무계획!$E$3:$J$202,$A12,$H$3)&amp;""))-1),TRIM(INDEX(인턴근무계획!$E$3:$J$202,$A12,$H$3)&amp;""))))</f>
        <v/>
      </c>
      <c r="I12" s="19">
        <f>IF(OR($C12="",$H$3=""),"",IF(TRIM(INDEX(인턴근무계획!$E$3:$J$202,$A12,$H$3)&amp;"")="","",IFERROR(MID(TRIM(INDEX(인턴근무계획!$E$3:$J$202,$A12,$H$3)&amp;""),FIND(" ",TRIM(INDEX(인턴근무계획!$E$3:$J$202,$A12,$H$3)&amp;""))+1,60),"")))</f>
        <v/>
      </c>
      <c r="J12" s="19">
        <f>IF($C12="","",IF(TRIM(INDEX(인턴근무계획!$E$3:$J$202,$A12,1)&amp;"")="","",IFERROR(LEFT(TRIM(INDEX(인턴근무계획!$E$3:$J$202,$A12,1)&amp;""),FIND(" ",TRIM(INDEX(인턴근무계획!$E$3:$J$202,$A12,1)&amp;""))-1),TRIM(INDEX(인턴근무계획!$E$3:$J$202,$A12,1)&amp;""))))</f>
        <v/>
      </c>
      <c r="K12" s="19">
        <f>IF($C12="","",IF(TRIM(INDEX(인턴근무계획!$E$3:$J$202,$A12,2)&amp;"")="","",IFERROR(LEFT(TRIM(INDEX(인턴근무계획!$E$3:$J$202,$A12,2)&amp;""),FIND(" ",TRIM(INDEX(인턴근무계획!$E$3:$J$202,$A12,2)&amp;""))-1),TRIM(INDEX(인턴근무계획!$E$3:$J$202,$A12,2)&amp;""))))</f>
        <v/>
      </c>
      <c r="L12" s="19">
        <f>IF($C12="","",IF(TRIM(INDEX(인턴근무계획!$E$3:$J$202,$A12,3)&amp;"")="","",IFERROR(LEFT(TRIM(INDEX(인턴근무계획!$E$3:$J$202,$A12,3)&amp;""),FIND(" ",TRIM(INDEX(인턴근무계획!$E$3:$J$202,$A12,3)&amp;""))-1),TRIM(INDEX(인턴근무계획!$E$3:$J$202,$A12,3)&amp;""))))</f>
        <v/>
      </c>
      <c r="M12" s="19">
        <f>IF($C12="","",IF(TRIM(INDEX(인턴근무계획!$E$3:$J$202,$A12,4)&amp;"")="","",IFERROR(LEFT(TRIM(INDEX(인턴근무계획!$E$3:$J$202,$A12,4)&amp;""),FIND(" ",TRIM(INDEX(인턴근무계획!$E$3:$J$202,$A12,4)&amp;""))-1),TRIM(INDEX(인턴근무계획!$E$3:$J$202,$A12,4)&amp;""))))</f>
        <v/>
      </c>
      <c r="N12" s="19">
        <f>IF($C12="","",IF(TRIM(INDEX(인턴근무계획!$E$3:$J$202,$A12,5)&amp;"")="","",IFERROR(LEFT(TRIM(INDEX(인턴근무계획!$E$3:$J$202,$A12,5)&amp;""),FIND(" ",TRIM(INDEX(인턴근무계획!$E$3:$J$202,$A12,5)&amp;""))-1),TRIM(INDEX(인턴근무계획!$E$3:$J$202,$A12,5)&amp;""))))</f>
        <v/>
      </c>
      <c r="O12" s="19">
        <f>IF($C12="","",IF(TRIM(INDEX(인턴근무계획!$E$3:$J$202,$A12,6)&amp;"")="","",IFERROR(LEFT(TRIM(INDEX(인턴근무계획!$E$3:$J$202,$A12,6)&amp;""),FIND(" ",TRIM(INDEX(인턴근무계획!$E$3:$J$202,$A12,6)&amp;""))-1),TRIM(INDEX(인턴근무계획!$E$3:$J$202,$A12,6)&amp;""))))</f>
        <v/>
      </c>
      <c r="P12" s="19">
        <f>IF($C12="","",IF(INDEX(인턴근무계획!$K$3:$K$202,$A12)="","",INDEX(인턴근무계획!$K$3:$K$202,$A12)))</f>
        <v/>
      </c>
      <c r="R12" s="19">
        <f>IF(코드표!A8="","",코드표!A8)</f>
        <v/>
      </c>
      <c r="S12" s="19">
        <f>IF($R12="","",COUNTIF(J$6:J$205,$R12))</f>
        <v/>
      </c>
      <c r="T12" s="19">
        <f>IF($R12="","",COUNTIF(K$6:K$205,$R12))</f>
        <v/>
      </c>
      <c r="U12" s="19">
        <f>IF($R12="","",COUNTIF(L$6:L$205,$R12))</f>
        <v/>
      </c>
      <c r="V12" s="19">
        <f>IF($R12="","",COUNTIF(M$6:M$205,$R12))</f>
        <v/>
      </c>
      <c r="W12" s="19">
        <f>IF($R12="","",COUNTIF(N$6:N$205,$R12))</f>
        <v/>
      </c>
      <c r="X12" s="19">
        <f>IF($R12="","",COUNTIF(O$6:O$205,$R12))</f>
        <v/>
      </c>
    </row>
    <row r="13">
      <c r="A13" s="18" t="n">
        <v>8</v>
      </c>
      <c r="B13" s="19">
        <f>IF($C13="","",INDEX(인턴근무계획!$B$3:$B$202,$A13))</f>
        <v/>
      </c>
      <c r="C13" s="19">
        <f>IFERROR(TRIM(INDEX(인턴근무계획!$C$3:$C$202,$A13)&amp;""),"")</f>
        <v/>
      </c>
      <c r="D13" s="19">
        <f>IF($C13="","",INDEX(인턴근무계획!$D$3:$D$202,$A13))</f>
        <v/>
      </c>
      <c r="E13" s="19">
        <f>IF($C13="","",IF(IFERROR(MATCH($D13,기본자료!$B$2:$B$501,0),IFERROR(MATCH($D13&amp;"",기본자료!$B$2:$B$501,0),IFERROR(MATCH(VALUE($D13),기본자료!$B$2:$B$501,0),0)))&gt;0,"확인","미등록"))</f>
        <v/>
      </c>
      <c r="F13" s="19">
        <f>IF(OR($C13="",$F$3=""),"",IF(TRIM(INDEX(인턴근무계획!$E$3:$J$202,$A13,$F$3)&amp;"")="","",IFERROR(LEFT(TRIM(INDEX(인턴근무계획!$E$3:$J$202,$A13,$F$3)&amp;""),FIND(" ",TRIM(INDEX(인턴근무계획!$E$3:$J$202,$A13,$F$3)&amp;""))-1),TRIM(INDEX(인턴근무계획!$E$3:$J$202,$A13,$F$3)&amp;""))))</f>
        <v/>
      </c>
      <c r="G13" s="19">
        <f>IF(OR($C13="",$F$3=""),"",IF(TRIM(INDEX(인턴근무계획!$E$3:$J$202,$A13,$F$3)&amp;"")="","",IFERROR(MID(TRIM(INDEX(인턴근무계획!$E$3:$J$202,$A13,$F$3)&amp;""),FIND(" ",TRIM(INDEX(인턴근무계획!$E$3:$J$202,$A13,$F$3)&amp;""))+1,60),"")))</f>
        <v/>
      </c>
      <c r="H13" s="19">
        <f>IF(OR($C13="",$H$3=""),"",IF(TRIM(INDEX(인턴근무계획!$E$3:$J$202,$A13,$H$3)&amp;"")="","",IFERROR(LEFT(TRIM(INDEX(인턴근무계획!$E$3:$J$202,$A13,$H$3)&amp;""),FIND(" ",TRIM(INDEX(인턴근무계획!$E$3:$J$202,$A13,$H$3)&amp;""))-1),TRIM(INDEX(인턴근무계획!$E$3:$J$202,$A13,$H$3)&amp;""))))</f>
        <v/>
      </c>
      <c r="I13" s="19">
        <f>IF(OR($C13="",$H$3=""),"",IF(TRIM(INDEX(인턴근무계획!$E$3:$J$202,$A13,$H$3)&amp;"")="","",IFERROR(MID(TRIM(INDEX(인턴근무계획!$E$3:$J$202,$A13,$H$3)&amp;""),FIND(" ",TRIM(INDEX(인턴근무계획!$E$3:$J$202,$A13,$H$3)&amp;""))+1,60),"")))</f>
        <v/>
      </c>
      <c r="J13" s="19">
        <f>IF($C13="","",IF(TRIM(INDEX(인턴근무계획!$E$3:$J$202,$A13,1)&amp;"")="","",IFERROR(LEFT(TRIM(INDEX(인턴근무계획!$E$3:$J$202,$A13,1)&amp;""),FIND(" ",TRIM(INDEX(인턴근무계획!$E$3:$J$202,$A13,1)&amp;""))-1),TRIM(INDEX(인턴근무계획!$E$3:$J$202,$A13,1)&amp;""))))</f>
        <v/>
      </c>
      <c r="K13" s="19">
        <f>IF($C13="","",IF(TRIM(INDEX(인턴근무계획!$E$3:$J$202,$A13,2)&amp;"")="","",IFERROR(LEFT(TRIM(INDEX(인턴근무계획!$E$3:$J$202,$A13,2)&amp;""),FIND(" ",TRIM(INDEX(인턴근무계획!$E$3:$J$202,$A13,2)&amp;""))-1),TRIM(INDEX(인턴근무계획!$E$3:$J$202,$A13,2)&amp;""))))</f>
        <v/>
      </c>
      <c r="L13" s="19">
        <f>IF($C13="","",IF(TRIM(INDEX(인턴근무계획!$E$3:$J$202,$A13,3)&amp;"")="","",IFERROR(LEFT(TRIM(INDEX(인턴근무계획!$E$3:$J$202,$A13,3)&amp;""),FIND(" ",TRIM(INDEX(인턴근무계획!$E$3:$J$202,$A13,3)&amp;""))-1),TRIM(INDEX(인턴근무계획!$E$3:$J$202,$A13,3)&amp;""))))</f>
        <v/>
      </c>
      <c r="M13" s="19">
        <f>IF($C13="","",IF(TRIM(INDEX(인턴근무계획!$E$3:$J$202,$A13,4)&amp;"")="","",IFERROR(LEFT(TRIM(INDEX(인턴근무계획!$E$3:$J$202,$A13,4)&amp;""),FIND(" ",TRIM(INDEX(인턴근무계획!$E$3:$J$202,$A13,4)&amp;""))-1),TRIM(INDEX(인턴근무계획!$E$3:$J$202,$A13,4)&amp;""))))</f>
        <v/>
      </c>
      <c r="N13" s="19">
        <f>IF($C13="","",IF(TRIM(INDEX(인턴근무계획!$E$3:$J$202,$A13,5)&amp;"")="","",IFERROR(LEFT(TRIM(INDEX(인턴근무계획!$E$3:$J$202,$A13,5)&amp;""),FIND(" ",TRIM(INDEX(인턴근무계획!$E$3:$J$202,$A13,5)&amp;""))-1),TRIM(INDEX(인턴근무계획!$E$3:$J$202,$A13,5)&amp;""))))</f>
        <v/>
      </c>
      <c r="O13" s="19">
        <f>IF($C13="","",IF(TRIM(INDEX(인턴근무계획!$E$3:$J$202,$A13,6)&amp;"")="","",IFERROR(LEFT(TRIM(INDEX(인턴근무계획!$E$3:$J$202,$A13,6)&amp;""),FIND(" ",TRIM(INDEX(인턴근무계획!$E$3:$J$202,$A13,6)&amp;""))-1),TRIM(INDEX(인턴근무계획!$E$3:$J$202,$A13,6)&amp;""))))</f>
        <v/>
      </c>
      <c r="P13" s="19">
        <f>IF($C13="","",IF(INDEX(인턴근무계획!$K$3:$K$202,$A13)="","",INDEX(인턴근무계획!$K$3:$K$202,$A13)))</f>
        <v/>
      </c>
      <c r="R13" s="19">
        <f>IF(코드표!A9="","",코드표!A9)</f>
        <v/>
      </c>
      <c r="S13" s="19">
        <f>IF($R13="","",COUNTIF(J$6:J$205,$R13))</f>
        <v/>
      </c>
      <c r="T13" s="19">
        <f>IF($R13="","",COUNTIF(K$6:K$205,$R13))</f>
        <v/>
      </c>
      <c r="U13" s="19">
        <f>IF($R13="","",COUNTIF(L$6:L$205,$R13))</f>
        <v/>
      </c>
      <c r="V13" s="19">
        <f>IF($R13="","",COUNTIF(M$6:M$205,$R13))</f>
        <v/>
      </c>
      <c r="W13" s="19">
        <f>IF($R13="","",COUNTIF(N$6:N$205,$R13))</f>
        <v/>
      </c>
      <c r="X13" s="19">
        <f>IF($R13="","",COUNTIF(O$6:O$205,$R13))</f>
        <v/>
      </c>
    </row>
    <row r="14">
      <c r="A14" s="18" t="n">
        <v>9</v>
      </c>
      <c r="B14" s="19">
        <f>IF($C14="","",INDEX(인턴근무계획!$B$3:$B$202,$A14))</f>
        <v/>
      </c>
      <c r="C14" s="19">
        <f>IFERROR(TRIM(INDEX(인턴근무계획!$C$3:$C$202,$A14)&amp;""),"")</f>
        <v/>
      </c>
      <c r="D14" s="19">
        <f>IF($C14="","",INDEX(인턴근무계획!$D$3:$D$202,$A14))</f>
        <v/>
      </c>
      <c r="E14" s="19">
        <f>IF($C14="","",IF(IFERROR(MATCH($D14,기본자료!$B$2:$B$501,0),IFERROR(MATCH($D14&amp;"",기본자료!$B$2:$B$501,0),IFERROR(MATCH(VALUE($D14),기본자료!$B$2:$B$501,0),0)))&gt;0,"확인","미등록"))</f>
        <v/>
      </c>
      <c r="F14" s="19">
        <f>IF(OR($C14="",$F$3=""),"",IF(TRIM(INDEX(인턴근무계획!$E$3:$J$202,$A14,$F$3)&amp;"")="","",IFERROR(LEFT(TRIM(INDEX(인턴근무계획!$E$3:$J$202,$A14,$F$3)&amp;""),FIND(" ",TRIM(INDEX(인턴근무계획!$E$3:$J$202,$A14,$F$3)&amp;""))-1),TRIM(INDEX(인턴근무계획!$E$3:$J$202,$A14,$F$3)&amp;""))))</f>
        <v/>
      </c>
      <c r="G14" s="19">
        <f>IF(OR($C14="",$F$3=""),"",IF(TRIM(INDEX(인턴근무계획!$E$3:$J$202,$A14,$F$3)&amp;"")="","",IFERROR(MID(TRIM(INDEX(인턴근무계획!$E$3:$J$202,$A14,$F$3)&amp;""),FIND(" ",TRIM(INDEX(인턴근무계획!$E$3:$J$202,$A14,$F$3)&amp;""))+1,60),"")))</f>
        <v/>
      </c>
      <c r="H14" s="19">
        <f>IF(OR($C14="",$H$3=""),"",IF(TRIM(INDEX(인턴근무계획!$E$3:$J$202,$A14,$H$3)&amp;"")="","",IFERROR(LEFT(TRIM(INDEX(인턴근무계획!$E$3:$J$202,$A14,$H$3)&amp;""),FIND(" ",TRIM(INDEX(인턴근무계획!$E$3:$J$202,$A14,$H$3)&amp;""))-1),TRIM(INDEX(인턴근무계획!$E$3:$J$202,$A14,$H$3)&amp;""))))</f>
        <v/>
      </c>
      <c r="I14" s="19">
        <f>IF(OR($C14="",$H$3=""),"",IF(TRIM(INDEX(인턴근무계획!$E$3:$J$202,$A14,$H$3)&amp;"")="","",IFERROR(MID(TRIM(INDEX(인턴근무계획!$E$3:$J$202,$A14,$H$3)&amp;""),FIND(" ",TRIM(INDEX(인턴근무계획!$E$3:$J$202,$A14,$H$3)&amp;""))+1,60),"")))</f>
        <v/>
      </c>
      <c r="J14" s="19">
        <f>IF($C14="","",IF(TRIM(INDEX(인턴근무계획!$E$3:$J$202,$A14,1)&amp;"")="","",IFERROR(LEFT(TRIM(INDEX(인턴근무계획!$E$3:$J$202,$A14,1)&amp;""),FIND(" ",TRIM(INDEX(인턴근무계획!$E$3:$J$202,$A14,1)&amp;""))-1),TRIM(INDEX(인턴근무계획!$E$3:$J$202,$A14,1)&amp;""))))</f>
        <v/>
      </c>
      <c r="K14" s="19">
        <f>IF($C14="","",IF(TRIM(INDEX(인턴근무계획!$E$3:$J$202,$A14,2)&amp;"")="","",IFERROR(LEFT(TRIM(INDEX(인턴근무계획!$E$3:$J$202,$A14,2)&amp;""),FIND(" ",TRIM(INDEX(인턴근무계획!$E$3:$J$202,$A14,2)&amp;""))-1),TRIM(INDEX(인턴근무계획!$E$3:$J$202,$A14,2)&amp;""))))</f>
        <v/>
      </c>
      <c r="L14" s="19">
        <f>IF($C14="","",IF(TRIM(INDEX(인턴근무계획!$E$3:$J$202,$A14,3)&amp;"")="","",IFERROR(LEFT(TRIM(INDEX(인턴근무계획!$E$3:$J$202,$A14,3)&amp;""),FIND(" ",TRIM(INDEX(인턴근무계획!$E$3:$J$202,$A14,3)&amp;""))-1),TRIM(INDEX(인턴근무계획!$E$3:$J$202,$A14,3)&amp;""))))</f>
        <v/>
      </c>
      <c r="M14" s="19">
        <f>IF($C14="","",IF(TRIM(INDEX(인턴근무계획!$E$3:$J$202,$A14,4)&amp;"")="","",IFERROR(LEFT(TRIM(INDEX(인턴근무계획!$E$3:$J$202,$A14,4)&amp;""),FIND(" ",TRIM(INDEX(인턴근무계획!$E$3:$J$202,$A14,4)&amp;""))-1),TRIM(INDEX(인턴근무계획!$E$3:$J$202,$A14,4)&amp;""))))</f>
        <v/>
      </c>
      <c r="N14" s="19">
        <f>IF($C14="","",IF(TRIM(INDEX(인턴근무계획!$E$3:$J$202,$A14,5)&amp;"")="","",IFERROR(LEFT(TRIM(INDEX(인턴근무계획!$E$3:$J$202,$A14,5)&amp;""),FIND(" ",TRIM(INDEX(인턴근무계획!$E$3:$J$202,$A14,5)&amp;""))-1),TRIM(INDEX(인턴근무계획!$E$3:$J$202,$A14,5)&amp;""))))</f>
        <v/>
      </c>
      <c r="O14" s="19">
        <f>IF($C14="","",IF(TRIM(INDEX(인턴근무계획!$E$3:$J$202,$A14,6)&amp;"")="","",IFERROR(LEFT(TRIM(INDEX(인턴근무계획!$E$3:$J$202,$A14,6)&amp;""),FIND(" ",TRIM(INDEX(인턴근무계획!$E$3:$J$202,$A14,6)&amp;""))-1),TRIM(INDEX(인턴근무계획!$E$3:$J$202,$A14,6)&amp;""))))</f>
        <v/>
      </c>
      <c r="P14" s="19">
        <f>IF($C14="","",IF(INDEX(인턴근무계획!$K$3:$K$202,$A14)="","",INDEX(인턴근무계획!$K$3:$K$202,$A14)))</f>
        <v/>
      </c>
      <c r="R14" s="19">
        <f>IF(코드표!A10="","",코드표!A10)</f>
        <v/>
      </c>
      <c r="S14" s="19">
        <f>IF($R14="","",COUNTIF(J$6:J$205,$R14))</f>
        <v/>
      </c>
      <c r="T14" s="19">
        <f>IF($R14="","",COUNTIF(K$6:K$205,$R14))</f>
        <v/>
      </c>
      <c r="U14" s="19">
        <f>IF($R14="","",COUNTIF(L$6:L$205,$R14))</f>
        <v/>
      </c>
      <c r="V14" s="19">
        <f>IF($R14="","",COUNTIF(M$6:M$205,$R14))</f>
        <v/>
      </c>
      <c r="W14" s="19">
        <f>IF($R14="","",COUNTIF(N$6:N$205,$R14))</f>
        <v/>
      </c>
      <c r="X14" s="19">
        <f>IF($R14="","",COUNTIF(O$6:O$205,$R14))</f>
        <v/>
      </c>
    </row>
    <row r="15">
      <c r="A15" s="18" t="n">
        <v>10</v>
      </c>
      <c r="B15" s="19">
        <f>IF($C15="","",INDEX(인턴근무계획!$B$3:$B$202,$A15))</f>
        <v/>
      </c>
      <c r="C15" s="19">
        <f>IFERROR(TRIM(INDEX(인턴근무계획!$C$3:$C$202,$A15)&amp;""),"")</f>
        <v/>
      </c>
      <c r="D15" s="19">
        <f>IF($C15="","",INDEX(인턴근무계획!$D$3:$D$202,$A15))</f>
        <v/>
      </c>
      <c r="E15" s="19">
        <f>IF($C15="","",IF(IFERROR(MATCH($D15,기본자료!$B$2:$B$501,0),IFERROR(MATCH($D15&amp;"",기본자료!$B$2:$B$501,0),IFERROR(MATCH(VALUE($D15),기본자료!$B$2:$B$501,0),0)))&gt;0,"확인","미등록"))</f>
        <v/>
      </c>
      <c r="F15" s="19">
        <f>IF(OR($C15="",$F$3=""),"",IF(TRIM(INDEX(인턴근무계획!$E$3:$J$202,$A15,$F$3)&amp;"")="","",IFERROR(LEFT(TRIM(INDEX(인턴근무계획!$E$3:$J$202,$A15,$F$3)&amp;""),FIND(" ",TRIM(INDEX(인턴근무계획!$E$3:$J$202,$A15,$F$3)&amp;""))-1),TRIM(INDEX(인턴근무계획!$E$3:$J$202,$A15,$F$3)&amp;""))))</f>
        <v/>
      </c>
      <c r="G15" s="19">
        <f>IF(OR($C15="",$F$3=""),"",IF(TRIM(INDEX(인턴근무계획!$E$3:$J$202,$A15,$F$3)&amp;"")="","",IFERROR(MID(TRIM(INDEX(인턴근무계획!$E$3:$J$202,$A15,$F$3)&amp;""),FIND(" ",TRIM(INDEX(인턴근무계획!$E$3:$J$202,$A15,$F$3)&amp;""))+1,60),"")))</f>
        <v/>
      </c>
      <c r="H15" s="19">
        <f>IF(OR($C15="",$H$3=""),"",IF(TRIM(INDEX(인턴근무계획!$E$3:$J$202,$A15,$H$3)&amp;"")="","",IFERROR(LEFT(TRIM(INDEX(인턴근무계획!$E$3:$J$202,$A15,$H$3)&amp;""),FIND(" ",TRIM(INDEX(인턴근무계획!$E$3:$J$202,$A15,$H$3)&amp;""))-1),TRIM(INDEX(인턴근무계획!$E$3:$J$202,$A15,$H$3)&amp;""))))</f>
        <v/>
      </c>
      <c r="I15" s="19">
        <f>IF(OR($C15="",$H$3=""),"",IF(TRIM(INDEX(인턴근무계획!$E$3:$J$202,$A15,$H$3)&amp;"")="","",IFERROR(MID(TRIM(INDEX(인턴근무계획!$E$3:$J$202,$A15,$H$3)&amp;""),FIND(" ",TRIM(INDEX(인턴근무계획!$E$3:$J$202,$A15,$H$3)&amp;""))+1,60),"")))</f>
        <v/>
      </c>
      <c r="J15" s="19">
        <f>IF($C15="","",IF(TRIM(INDEX(인턴근무계획!$E$3:$J$202,$A15,1)&amp;"")="","",IFERROR(LEFT(TRIM(INDEX(인턴근무계획!$E$3:$J$202,$A15,1)&amp;""),FIND(" ",TRIM(INDEX(인턴근무계획!$E$3:$J$202,$A15,1)&amp;""))-1),TRIM(INDEX(인턴근무계획!$E$3:$J$202,$A15,1)&amp;""))))</f>
        <v/>
      </c>
      <c r="K15" s="19">
        <f>IF($C15="","",IF(TRIM(INDEX(인턴근무계획!$E$3:$J$202,$A15,2)&amp;"")="","",IFERROR(LEFT(TRIM(INDEX(인턴근무계획!$E$3:$J$202,$A15,2)&amp;""),FIND(" ",TRIM(INDEX(인턴근무계획!$E$3:$J$202,$A15,2)&amp;""))-1),TRIM(INDEX(인턴근무계획!$E$3:$J$202,$A15,2)&amp;""))))</f>
        <v/>
      </c>
      <c r="L15" s="19">
        <f>IF($C15="","",IF(TRIM(INDEX(인턴근무계획!$E$3:$J$202,$A15,3)&amp;"")="","",IFERROR(LEFT(TRIM(INDEX(인턴근무계획!$E$3:$J$202,$A15,3)&amp;""),FIND(" ",TRIM(INDEX(인턴근무계획!$E$3:$J$202,$A15,3)&amp;""))-1),TRIM(INDEX(인턴근무계획!$E$3:$J$202,$A15,3)&amp;""))))</f>
        <v/>
      </c>
      <c r="M15" s="19">
        <f>IF($C15="","",IF(TRIM(INDEX(인턴근무계획!$E$3:$J$202,$A15,4)&amp;"")="","",IFERROR(LEFT(TRIM(INDEX(인턴근무계획!$E$3:$J$202,$A15,4)&amp;""),FIND(" ",TRIM(INDEX(인턴근무계획!$E$3:$J$202,$A15,4)&amp;""))-1),TRIM(INDEX(인턴근무계획!$E$3:$J$202,$A15,4)&amp;""))))</f>
        <v/>
      </c>
      <c r="N15" s="19">
        <f>IF($C15="","",IF(TRIM(INDEX(인턴근무계획!$E$3:$J$202,$A15,5)&amp;"")="","",IFERROR(LEFT(TRIM(INDEX(인턴근무계획!$E$3:$J$202,$A15,5)&amp;""),FIND(" ",TRIM(INDEX(인턴근무계획!$E$3:$J$202,$A15,5)&amp;""))-1),TRIM(INDEX(인턴근무계획!$E$3:$J$202,$A15,5)&amp;""))))</f>
        <v/>
      </c>
      <c r="O15" s="19">
        <f>IF($C15="","",IF(TRIM(INDEX(인턴근무계획!$E$3:$J$202,$A15,6)&amp;"")="","",IFERROR(LEFT(TRIM(INDEX(인턴근무계획!$E$3:$J$202,$A15,6)&amp;""),FIND(" ",TRIM(INDEX(인턴근무계획!$E$3:$J$202,$A15,6)&amp;""))-1),TRIM(INDEX(인턴근무계획!$E$3:$J$202,$A15,6)&amp;""))))</f>
        <v/>
      </c>
      <c r="P15" s="19">
        <f>IF($C15="","",IF(INDEX(인턴근무계획!$K$3:$K$202,$A15)="","",INDEX(인턴근무계획!$K$3:$K$202,$A15)))</f>
        <v/>
      </c>
      <c r="R15" s="19">
        <f>IF(코드표!A11="","",코드표!A11)</f>
        <v/>
      </c>
      <c r="S15" s="19">
        <f>IF($R15="","",COUNTIF(J$6:J$205,$R15))</f>
        <v/>
      </c>
      <c r="T15" s="19">
        <f>IF($R15="","",COUNTIF(K$6:K$205,$R15))</f>
        <v/>
      </c>
      <c r="U15" s="19">
        <f>IF($R15="","",COUNTIF(L$6:L$205,$R15))</f>
        <v/>
      </c>
      <c r="V15" s="19">
        <f>IF($R15="","",COUNTIF(M$6:M$205,$R15))</f>
        <v/>
      </c>
      <c r="W15" s="19">
        <f>IF($R15="","",COUNTIF(N$6:N$205,$R15))</f>
        <v/>
      </c>
      <c r="X15" s="19">
        <f>IF($R15="","",COUNTIF(O$6:O$205,$R15))</f>
        <v/>
      </c>
    </row>
    <row r="16">
      <c r="A16" s="18" t="n">
        <v>11</v>
      </c>
      <c r="B16" s="19">
        <f>IF($C16="","",INDEX(인턴근무계획!$B$3:$B$202,$A16))</f>
        <v/>
      </c>
      <c r="C16" s="19">
        <f>IFERROR(TRIM(INDEX(인턴근무계획!$C$3:$C$202,$A16)&amp;""),"")</f>
        <v/>
      </c>
      <c r="D16" s="19">
        <f>IF($C16="","",INDEX(인턴근무계획!$D$3:$D$202,$A16))</f>
        <v/>
      </c>
      <c r="E16" s="19">
        <f>IF($C16="","",IF(IFERROR(MATCH($D16,기본자료!$B$2:$B$501,0),IFERROR(MATCH($D16&amp;"",기본자료!$B$2:$B$501,0),IFERROR(MATCH(VALUE($D16),기본자료!$B$2:$B$501,0),0)))&gt;0,"확인","미등록"))</f>
        <v/>
      </c>
      <c r="F16" s="19">
        <f>IF(OR($C16="",$F$3=""),"",IF(TRIM(INDEX(인턴근무계획!$E$3:$J$202,$A16,$F$3)&amp;"")="","",IFERROR(LEFT(TRIM(INDEX(인턴근무계획!$E$3:$J$202,$A16,$F$3)&amp;""),FIND(" ",TRIM(INDEX(인턴근무계획!$E$3:$J$202,$A16,$F$3)&amp;""))-1),TRIM(INDEX(인턴근무계획!$E$3:$J$202,$A16,$F$3)&amp;""))))</f>
        <v/>
      </c>
      <c r="G16" s="19">
        <f>IF(OR($C16="",$F$3=""),"",IF(TRIM(INDEX(인턴근무계획!$E$3:$J$202,$A16,$F$3)&amp;"")="","",IFERROR(MID(TRIM(INDEX(인턴근무계획!$E$3:$J$202,$A16,$F$3)&amp;""),FIND(" ",TRIM(INDEX(인턴근무계획!$E$3:$J$202,$A16,$F$3)&amp;""))+1,60),"")))</f>
        <v/>
      </c>
      <c r="H16" s="19">
        <f>IF(OR($C16="",$H$3=""),"",IF(TRIM(INDEX(인턴근무계획!$E$3:$J$202,$A16,$H$3)&amp;"")="","",IFERROR(LEFT(TRIM(INDEX(인턴근무계획!$E$3:$J$202,$A16,$H$3)&amp;""),FIND(" ",TRIM(INDEX(인턴근무계획!$E$3:$J$202,$A16,$H$3)&amp;""))-1),TRIM(INDEX(인턴근무계획!$E$3:$J$202,$A16,$H$3)&amp;""))))</f>
        <v/>
      </c>
      <c r="I16" s="19">
        <f>IF(OR($C16="",$H$3=""),"",IF(TRIM(INDEX(인턴근무계획!$E$3:$J$202,$A16,$H$3)&amp;"")="","",IFERROR(MID(TRIM(INDEX(인턴근무계획!$E$3:$J$202,$A16,$H$3)&amp;""),FIND(" ",TRIM(INDEX(인턴근무계획!$E$3:$J$202,$A16,$H$3)&amp;""))+1,60),"")))</f>
        <v/>
      </c>
      <c r="J16" s="19">
        <f>IF($C16="","",IF(TRIM(INDEX(인턴근무계획!$E$3:$J$202,$A16,1)&amp;"")="","",IFERROR(LEFT(TRIM(INDEX(인턴근무계획!$E$3:$J$202,$A16,1)&amp;""),FIND(" ",TRIM(INDEX(인턴근무계획!$E$3:$J$202,$A16,1)&amp;""))-1),TRIM(INDEX(인턴근무계획!$E$3:$J$202,$A16,1)&amp;""))))</f>
        <v/>
      </c>
      <c r="K16" s="19">
        <f>IF($C16="","",IF(TRIM(INDEX(인턴근무계획!$E$3:$J$202,$A16,2)&amp;"")="","",IFERROR(LEFT(TRIM(INDEX(인턴근무계획!$E$3:$J$202,$A16,2)&amp;""),FIND(" ",TRIM(INDEX(인턴근무계획!$E$3:$J$202,$A16,2)&amp;""))-1),TRIM(INDEX(인턴근무계획!$E$3:$J$202,$A16,2)&amp;""))))</f>
        <v/>
      </c>
      <c r="L16" s="19">
        <f>IF($C16="","",IF(TRIM(INDEX(인턴근무계획!$E$3:$J$202,$A16,3)&amp;"")="","",IFERROR(LEFT(TRIM(INDEX(인턴근무계획!$E$3:$J$202,$A16,3)&amp;""),FIND(" ",TRIM(INDEX(인턴근무계획!$E$3:$J$202,$A16,3)&amp;""))-1),TRIM(INDEX(인턴근무계획!$E$3:$J$202,$A16,3)&amp;""))))</f>
        <v/>
      </c>
      <c r="M16" s="19">
        <f>IF($C16="","",IF(TRIM(INDEX(인턴근무계획!$E$3:$J$202,$A16,4)&amp;"")="","",IFERROR(LEFT(TRIM(INDEX(인턴근무계획!$E$3:$J$202,$A16,4)&amp;""),FIND(" ",TRIM(INDEX(인턴근무계획!$E$3:$J$202,$A16,4)&amp;""))-1),TRIM(INDEX(인턴근무계획!$E$3:$J$202,$A16,4)&amp;""))))</f>
        <v/>
      </c>
      <c r="N16" s="19">
        <f>IF($C16="","",IF(TRIM(INDEX(인턴근무계획!$E$3:$J$202,$A16,5)&amp;"")="","",IFERROR(LEFT(TRIM(INDEX(인턴근무계획!$E$3:$J$202,$A16,5)&amp;""),FIND(" ",TRIM(INDEX(인턴근무계획!$E$3:$J$202,$A16,5)&amp;""))-1),TRIM(INDEX(인턴근무계획!$E$3:$J$202,$A16,5)&amp;""))))</f>
        <v/>
      </c>
      <c r="O16" s="19">
        <f>IF($C16="","",IF(TRIM(INDEX(인턴근무계획!$E$3:$J$202,$A16,6)&amp;"")="","",IFERROR(LEFT(TRIM(INDEX(인턴근무계획!$E$3:$J$202,$A16,6)&amp;""),FIND(" ",TRIM(INDEX(인턴근무계획!$E$3:$J$202,$A16,6)&amp;""))-1),TRIM(INDEX(인턴근무계획!$E$3:$J$202,$A16,6)&amp;""))))</f>
        <v/>
      </c>
      <c r="P16" s="19">
        <f>IF($C16="","",IF(INDEX(인턴근무계획!$K$3:$K$202,$A16)="","",INDEX(인턴근무계획!$K$3:$K$202,$A16)))</f>
        <v/>
      </c>
      <c r="R16" s="19">
        <f>IF(코드표!A12="","",코드표!A12)</f>
        <v/>
      </c>
      <c r="S16" s="19">
        <f>IF($R16="","",COUNTIF(J$6:J$205,$R16))</f>
        <v/>
      </c>
      <c r="T16" s="19">
        <f>IF($R16="","",COUNTIF(K$6:K$205,$R16))</f>
        <v/>
      </c>
      <c r="U16" s="19">
        <f>IF($R16="","",COUNTIF(L$6:L$205,$R16))</f>
        <v/>
      </c>
      <c r="V16" s="19">
        <f>IF($R16="","",COUNTIF(M$6:M$205,$R16))</f>
        <v/>
      </c>
      <c r="W16" s="19">
        <f>IF($R16="","",COUNTIF(N$6:N$205,$R16))</f>
        <v/>
      </c>
      <c r="X16" s="19">
        <f>IF($R16="","",COUNTIF(O$6:O$205,$R16))</f>
        <v/>
      </c>
    </row>
    <row r="17">
      <c r="A17" s="18" t="n">
        <v>12</v>
      </c>
      <c r="B17" s="19">
        <f>IF($C17="","",INDEX(인턴근무계획!$B$3:$B$202,$A17))</f>
        <v/>
      </c>
      <c r="C17" s="19">
        <f>IFERROR(TRIM(INDEX(인턴근무계획!$C$3:$C$202,$A17)&amp;""),"")</f>
        <v/>
      </c>
      <c r="D17" s="19">
        <f>IF($C17="","",INDEX(인턴근무계획!$D$3:$D$202,$A17))</f>
        <v/>
      </c>
      <c r="E17" s="19">
        <f>IF($C17="","",IF(IFERROR(MATCH($D17,기본자료!$B$2:$B$501,0),IFERROR(MATCH($D17&amp;"",기본자료!$B$2:$B$501,0),IFERROR(MATCH(VALUE($D17),기본자료!$B$2:$B$501,0),0)))&gt;0,"확인","미등록"))</f>
        <v/>
      </c>
      <c r="F17" s="19">
        <f>IF(OR($C17="",$F$3=""),"",IF(TRIM(INDEX(인턴근무계획!$E$3:$J$202,$A17,$F$3)&amp;"")="","",IFERROR(LEFT(TRIM(INDEX(인턴근무계획!$E$3:$J$202,$A17,$F$3)&amp;""),FIND(" ",TRIM(INDEX(인턴근무계획!$E$3:$J$202,$A17,$F$3)&amp;""))-1),TRIM(INDEX(인턴근무계획!$E$3:$J$202,$A17,$F$3)&amp;""))))</f>
        <v/>
      </c>
      <c r="G17" s="19">
        <f>IF(OR($C17="",$F$3=""),"",IF(TRIM(INDEX(인턴근무계획!$E$3:$J$202,$A17,$F$3)&amp;"")="","",IFERROR(MID(TRIM(INDEX(인턴근무계획!$E$3:$J$202,$A17,$F$3)&amp;""),FIND(" ",TRIM(INDEX(인턴근무계획!$E$3:$J$202,$A17,$F$3)&amp;""))+1,60),"")))</f>
        <v/>
      </c>
      <c r="H17" s="19">
        <f>IF(OR($C17="",$H$3=""),"",IF(TRIM(INDEX(인턴근무계획!$E$3:$J$202,$A17,$H$3)&amp;"")="","",IFERROR(LEFT(TRIM(INDEX(인턴근무계획!$E$3:$J$202,$A17,$H$3)&amp;""),FIND(" ",TRIM(INDEX(인턴근무계획!$E$3:$J$202,$A17,$H$3)&amp;""))-1),TRIM(INDEX(인턴근무계획!$E$3:$J$202,$A17,$H$3)&amp;""))))</f>
        <v/>
      </c>
      <c r="I17" s="19">
        <f>IF(OR($C17="",$H$3=""),"",IF(TRIM(INDEX(인턴근무계획!$E$3:$J$202,$A17,$H$3)&amp;"")="","",IFERROR(MID(TRIM(INDEX(인턴근무계획!$E$3:$J$202,$A17,$H$3)&amp;""),FIND(" ",TRIM(INDEX(인턴근무계획!$E$3:$J$202,$A17,$H$3)&amp;""))+1,60),"")))</f>
        <v/>
      </c>
      <c r="J17" s="19">
        <f>IF($C17="","",IF(TRIM(INDEX(인턴근무계획!$E$3:$J$202,$A17,1)&amp;"")="","",IFERROR(LEFT(TRIM(INDEX(인턴근무계획!$E$3:$J$202,$A17,1)&amp;""),FIND(" ",TRIM(INDEX(인턴근무계획!$E$3:$J$202,$A17,1)&amp;""))-1),TRIM(INDEX(인턴근무계획!$E$3:$J$202,$A17,1)&amp;""))))</f>
        <v/>
      </c>
      <c r="K17" s="19">
        <f>IF($C17="","",IF(TRIM(INDEX(인턴근무계획!$E$3:$J$202,$A17,2)&amp;"")="","",IFERROR(LEFT(TRIM(INDEX(인턴근무계획!$E$3:$J$202,$A17,2)&amp;""),FIND(" ",TRIM(INDEX(인턴근무계획!$E$3:$J$202,$A17,2)&amp;""))-1),TRIM(INDEX(인턴근무계획!$E$3:$J$202,$A17,2)&amp;""))))</f>
        <v/>
      </c>
      <c r="L17" s="19">
        <f>IF($C17="","",IF(TRIM(INDEX(인턴근무계획!$E$3:$J$202,$A17,3)&amp;"")="","",IFERROR(LEFT(TRIM(INDEX(인턴근무계획!$E$3:$J$202,$A17,3)&amp;""),FIND(" ",TRIM(INDEX(인턴근무계획!$E$3:$J$202,$A17,3)&amp;""))-1),TRIM(INDEX(인턴근무계획!$E$3:$J$202,$A17,3)&amp;""))))</f>
        <v/>
      </c>
      <c r="M17" s="19">
        <f>IF($C17="","",IF(TRIM(INDEX(인턴근무계획!$E$3:$J$202,$A17,4)&amp;"")="","",IFERROR(LEFT(TRIM(INDEX(인턴근무계획!$E$3:$J$202,$A17,4)&amp;""),FIND(" ",TRIM(INDEX(인턴근무계획!$E$3:$J$202,$A17,4)&amp;""))-1),TRIM(INDEX(인턴근무계획!$E$3:$J$202,$A17,4)&amp;""))))</f>
        <v/>
      </c>
      <c r="N17" s="19">
        <f>IF($C17="","",IF(TRIM(INDEX(인턴근무계획!$E$3:$J$202,$A17,5)&amp;"")="","",IFERROR(LEFT(TRIM(INDEX(인턴근무계획!$E$3:$J$202,$A17,5)&amp;""),FIND(" ",TRIM(INDEX(인턴근무계획!$E$3:$J$202,$A17,5)&amp;""))-1),TRIM(INDEX(인턴근무계획!$E$3:$J$202,$A17,5)&amp;""))))</f>
        <v/>
      </c>
      <c r="O17" s="19">
        <f>IF($C17="","",IF(TRIM(INDEX(인턴근무계획!$E$3:$J$202,$A17,6)&amp;"")="","",IFERROR(LEFT(TRIM(INDEX(인턴근무계획!$E$3:$J$202,$A17,6)&amp;""),FIND(" ",TRIM(INDEX(인턴근무계획!$E$3:$J$202,$A17,6)&amp;""))-1),TRIM(INDEX(인턴근무계획!$E$3:$J$202,$A17,6)&amp;""))))</f>
        <v/>
      </c>
      <c r="P17" s="19">
        <f>IF($C17="","",IF(INDEX(인턴근무계획!$K$3:$K$202,$A17)="","",INDEX(인턴근무계획!$K$3:$K$202,$A17)))</f>
        <v/>
      </c>
      <c r="R17" s="19">
        <f>IF(코드표!A13="","",코드표!A13)</f>
        <v/>
      </c>
      <c r="S17" s="19">
        <f>IF($R17="","",COUNTIF(J$6:J$205,$R17))</f>
        <v/>
      </c>
      <c r="T17" s="19">
        <f>IF($R17="","",COUNTIF(K$6:K$205,$R17))</f>
        <v/>
      </c>
      <c r="U17" s="19">
        <f>IF($R17="","",COUNTIF(L$6:L$205,$R17))</f>
        <v/>
      </c>
      <c r="V17" s="19">
        <f>IF($R17="","",COUNTIF(M$6:M$205,$R17))</f>
        <v/>
      </c>
      <c r="W17" s="19">
        <f>IF($R17="","",COUNTIF(N$6:N$205,$R17))</f>
        <v/>
      </c>
      <c r="X17" s="19">
        <f>IF($R17="","",COUNTIF(O$6:O$205,$R17))</f>
        <v/>
      </c>
    </row>
    <row r="18">
      <c r="A18" s="18" t="n">
        <v>13</v>
      </c>
      <c r="B18" s="19">
        <f>IF($C18="","",INDEX(인턴근무계획!$B$3:$B$202,$A18))</f>
        <v/>
      </c>
      <c r="C18" s="19">
        <f>IFERROR(TRIM(INDEX(인턴근무계획!$C$3:$C$202,$A18)&amp;""),"")</f>
        <v/>
      </c>
      <c r="D18" s="19">
        <f>IF($C18="","",INDEX(인턴근무계획!$D$3:$D$202,$A18))</f>
        <v/>
      </c>
      <c r="E18" s="19">
        <f>IF($C18="","",IF(IFERROR(MATCH($D18,기본자료!$B$2:$B$501,0),IFERROR(MATCH($D18&amp;"",기본자료!$B$2:$B$501,0),IFERROR(MATCH(VALUE($D18),기본자료!$B$2:$B$501,0),0)))&gt;0,"확인","미등록"))</f>
        <v/>
      </c>
      <c r="F18" s="19">
        <f>IF(OR($C18="",$F$3=""),"",IF(TRIM(INDEX(인턴근무계획!$E$3:$J$202,$A18,$F$3)&amp;"")="","",IFERROR(LEFT(TRIM(INDEX(인턴근무계획!$E$3:$J$202,$A18,$F$3)&amp;""),FIND(" ",TRIM(INDEX(인턴근무계획!$E$3:$J$202,$A18,$F$3)&amp;""))-1),TRIM(INDEX(인턴근무계획!$E$3:$J$202,$A18,$F$3)&amp;""))))</f>
        <v/>
      </c>
      <c r="G18" s="19">
        <f>IF(OR($C18="",$F$3=""),"",IF(TRIM(INDEX(인턴근무계획!$E$3:$J$202,$A18,$F$3)&amp;"")="","",IFERROR(MID(TRIM(INDEX(인턴근무계획!$E$3:$J$202,$A18,$F$3)&amp;""),FIND(" ",TRIM(INDEX(인턴근무계획!$E$3:$J$202,$A18,$F$3)&amp;""))+1,60),"")))</f>
        <v/>
      </c>
      <c r="H18" s="19">
        <f>IF(OR($C18="",$H$3=""),"",IF(TRIM(INDEX(인턴근무계획!$E$3:$J$202,$A18,$H$3)&amp;"")="","",IFERROR(LEFT(TRIM(INDEX(인턴근무계획!$E$3:$J$202,$A18,$H$3)&amp;""),FIND(" ",TRIM(INDEX(인턴근무계획!$E$3:$J$202,$A18,$H$3)&amp;""))-1),TRIM(INDEX(인턴근무계획!$E$3:$J$202,$A18,$H$3)&amp;""))))</f>
        <v/>
      </c>
      <c r="I18" s="19">
        <f>IF(OR($C18="",$H$3=""),"",IF(TRIM(INDEX(인턴근무계획!$E$3:$J$202,$A18,$H$3)&amp;"")="","",IFERROR(MID(TRIM(INDEX(인턴근무계획!$E$3:$J$202,$A18,$H$3)&amp;""),FIND(" ",TRIM(INDEX(인턴근무계획!$E$3:$J$202,$A18,$H$3)&amp;""))+1,60),"")))</f>
        <v/>
      </c>
      <c r="J18" s="19">
        <f>IF($C18="","",IF(TRIM(INDEX(인턴근무계획!$E$3:$J$202,$A18,1)&amp;"")="","",IFERROR(LEFT(TRIM(INDEX(인턴근무계획!$E$3:$J$202,$A18,1)&amp;""),FIND(" ",TRIM(INDEX(인턴근무계획!$E$3:$J$202,$A18,1)&amp;""))-1),TRIM(INDEX(인턴근무계획!$E$3:$J$202,$A18,1)&amp;""))))</f>
        <v/>
      </c>
      <c r="K18" s="19">
        <f>IF($C18="","",IF(TRIM(INDEX(인턴근무계획!$E$3:$J$202,$A18,2)&amp;"")="","",IFERROR(LEFT(TRIM(INDEX(인턴근무계획!$E$3:$J$202,$A18,2)&amp;""),FIND(" ",TRIM(INDEX(인턴근무계획!$E$3:$J$202,$A18,2)&amp;""))-1),TRIM(INDEX(인턴근무계획!$E$3:$J$202,$A18,2)&amp;""))))</f>
        <v/>
      </c>
      <c r="L18" s="19">
        <f>IF($C18="","",IF(TRIM(INDEX(인턴근무계획!$E$3:$J$202,$A18,3)&amp;"")="","",IFERROR(LEFT(TRIM(INDEX(인턴근무계획!$E$3:$J$202,$A18,3)&amp;""),FIND(" ",TRIM(INDEX(인턴근무계획!$E$3:$J$202,$A18,3)&amp;""))-1),TRIM(INDEX(인턴근무계획!$E$3:$J$202,$A18,3)&amp;""))))</f>
        <v/>
      </c>
      <c r="M18" s="19">
        <f>IF($C18="","",IF(TRIM(INDEX(인턴근무계획!$E$3:$J$202,$A18,4)&amp;"")="","",IFERROR(LEFT(TRIM(INDEX(인턴근무계획!$E$3:$J$202,$A18,4)&amp;""),FIND(" ",TRIM(INDEX(인턴근무계획!$E$3:$J$202,$A18,4)&amp;""))-1),TRIM(INDEX(인턴근무계획!$E$3:$J$202,$A18,4)&amp;""))))</f>
        <v/>
      </c>
      <c r="N18" s="19">
        <f>IF($C18="","",IF(TRIM(INDEX(인턴근무계획!$E$3:$J$202,$A18,5)&amp;"")="","",IFERROR(LEFT(TRIM(INDEX(인턴근무계획!$E$3:$J$202,$A18,5)&amp;""),FIND(" ",TRIM(INDEX(인턴근무계획!$E$3:$J$202,$A18,5)&amp;""))-1),TRIM(INDEX(인턴근무계획!$E$3:$J$202,$A18,5)&amp;""))))</f>
        <v/>
      </c>
      <c r="O18" s="19">
        <f>IF($C18="","",IF(TRIM(INDEX(인턴근무계획!$E$3:$J$202,$A18,6)&amp;"")="","",IFERROR(LEFT(TRIM(INDEX(인턴근무계획!$E$3:$J$202,$A18,6)&amp;""),FIND(" ",TRIM(INDEX(인턴근무계획!$E$3:$J$202,$A18,6)&amp;""))-1),TRIM(INDEX(인턴근무계획!$E$3:$J$202,$A18,6)&amp;""))))</f>
        <v/>
      </c>
      <c r="P18" s="19">
        <f>IF($C18="","",IF(INDEX(인턴근무계획!$K$3:$K$202,$A18)="","",INDEX(인턴근무계획!$K$3:$K$202,$A18)))</f>
        <v/>
      </c>
      <c r="R18" s="19">
        <f>IF(코드표!A14="","",코드표!A14)</f>
        <v/>
      </c>
      <c r="S18" s="19">
        <f>IF($R18="","",COUNTIF(J$6:J$205,$R18))</f>
        <v/>
      </c>
      <c r="T18" s="19">
        <f>IF($R18="","",COUNTIF(K$6:K$205,$R18))</f>
        <v/>
      </c>
      <c r="U18" s="19">
        <f>IF($R18="","",COUNTIF(L$6:L$205,$R18))</f>
        <v/>
      </c>
      <c r="V18" s="19">
        <f>IF($R18="","",COUNTIF(M$6:M$205,$R18))</f>
        <v/>
      </c>
      <c r="W18" s="19">
        <f>IF($R18="","",COUNTIF(N$6:N$205,$R18))</f>
        <v/>
      </c>
      <c r="X18" s="19">
        <f>IF($R18="","",COUNTIF(O$6:O$205,$R18))</f>
        <v/>
      </c>
    </row>
    <row r="19">
      <c r="A19" s="18" t="n">
        <v>14</v>
      </c>
      <c r="B19" s="19">
        <f>IF($C19="","",INDEX(인턴근무계획!$B$3:$B$202,$A19))</f>
        <v/>
      </c>
      <c r="C19" s="19">
        <f>IFERROR(TRIM(INDEX(인턴근무계획!$C$3:$C$202,$A19)&amp;""),"")</f>
        <v/>
      </c>
      <c r="D19" s="19">
        <f>IF($C19="","",INDEX(인턴근무계획!$D$3:$D$202,$A19))</f>
        <v/>
      </c>
      <c r="E19" s="19">
        <f>IF($C19="","",IF(IFERROR(MATCH($D19,기본자료!$B$2:$B$501,0),IFERROR(MATCH($D19&amp;"",기본자료!$B$2:$B$501,0),IFERROR(MATCH(VALUE($D19),기본자료!$B$2:$B$501,0),0)))&gt;0,"확인","미등록"))</f>
        <v/>
      </c>
      <c r="F19" s="19">
        <f>IF(OR($C19="",$F$3=""),"",IF(TRIM(INDEX(인턴근무계획!$E$3:$J$202,$A19,$F$3)&amp;"")="","",IFERROR(LEFT(TRIM(INDEX(인턴근무계획!$E$3:$J$202,$A19,$F$3)&amp;""),FIND(" ",TRIM(INDEX(인턴근무계획!$E$3:$J$202,$A19,$F$3)&amp;""))-1),TRIM(INDEX(인턴근무계획!$E$3:$J$202,$A19,$F$3)&amp;""))))</f>
        <v/>
      </c>
      <c r="G19" s="19">
        <f>IF(OR($C19="",$F$3=""),"",IF(TRIM(INDEX(인턴근무계획!$E$3:$J$202,$A19,$F$3)&amp;"")="","",IFERROR(MID(TRIM(INDEX(인턴근무계획!$E$3:$J$202,$A19,$F$3)&amp;""),FIND(" ",TRIM(INDEX(인턴근무계획!$E$3:$J$202,$A19,$F$3)&amp;""))+1,60),"")))</f>
        <v/>
      </c>
      <c r="H19" s="19">
        <f>IF(OR($C19="",$H$3=""),"",IF(TRIM(INDEX(인턴근무계획!$E$3:$J$202,$A19,$H$3)&amp;"")="","",IFERROR(LEFT(TRIM(INDEX(인턴근무계획!$E$3:$J$202,$A19,$H$3)&amp;""),FIND(" ",TRIM(INDEX(인턴근무계획!$E$3:$J$202,$A19,$H$3)&amp;""))-1),TRIM(INDEX(인턴근무계획!$E$3:$J$202,$A19,$H$3)&amp;""))))</f>
        <v/>
      </c>
      <c r="I19" s="19">
        <f>IF(OR($C19="",$H$3=""),"",IF(TRIM(INDEX(인턴근무계획!$E$3:$J$202,$A19,$H$3)&amp;"")="","",IFERROR(MID(TRIM(INDEX(인턴근무계획!$E$3:$J$202,$A19,$H$3)&amp;""),FIND(" ",TRIM(INDEX(인턴근무계획!$E$3:$J$202,$A19,$H$3)&amp;""))+1,60),"")))</f>
        <v/>
      </c>
      <c r="J19" s="19">
        <f>IF($C19="","",IF(TRIM(INDEX(인턴근무계획!$E$3:$J$202,$A19,1)&amp;"")="","",IFERROR(LEFT(TRIM(INDEX(인턴근무계획!$E$3:$J$202,$A19,1)&amp;""),FIND(" ",TRIM(INDEX(인턴근무계획!$E$3:$J$202,$A19,1)&amp;""))-1),TRIM(INDEX(인턴근무계획!$E$3:$J$202,$A19,1)&amp;""))))</f>
        <v/>
      </c>
      <c r="K19" s="19">
        <f>IF($C19="","",IF(TRIM(INDEX(인턴근무계획!$E$3:$J$202,$A19,2)&amp;"")="","",IFERROR(LEFT(TRIM(INDEX(인턴근무계획!$E$3:$J$202,$A19,2)&amp;""),FIND(" ",TRIM(INDEX(인턴근무계획!$E$3:$J$202,$A19,2)&amp;""))-1),TRIM(INDEX(인턴근무계획!$E$3:$J$202,$A19,2)&amp;""))))</f>
        <v/>
      </c>
      <c r="L19" s="19">
        <f>IF($C19="","",IF(TRIM(INDEX(인턴근무계획!$E$3:$J$202,$A19,3)&amp;"")="","",IFERROR(LEFT(TRIM(INDEX(인턴근무계획!$E$3:$J$202,$A19,3)&amp;""),FIND(" ",TRIM(INDEX(인턴근무계획!$E$3:$J$202,$A19,3)&amp;""))-1),TRIM(INDEX(인턴근무계획!$E$3:$J$202,$A19,3)&amp;""))))</f>
        <v/>
      </c>
      <c r="M19" s="19">
        <f>IF($C19="","",IF(TRIM(INDEX(인턴근무계획!$E$3:$J$202,$A19,4)&amp;"")="","",IFERROR(LEFT(TRIM(INDEX(인턴근무계획!$E$3:$J$202,$A19,4)&amp;""),FIND(" ",TRIM(INDEX(인턴근무계획!$E$3:$J$202,$A19,4)&amp;""))-1),TRIM(INDEX(인턴근무계획!$E$3:$J$202,$A19,4)&amp;""))))</f>
        <v/>
      </c>
      <c r="N19" s="19">
        <f>IF($C19="","",IF(TRIM(INDEX(인턴근무계획!$E$3:$J$202,$A19,5)&amp;"")="","",IFERROR(LEFT(TRIM(INDEX(인턴근무계획!$E$3:$J$202,$A19,5)&amp;""),FIND(" ",TRIM(INDEX(인턴근무계획!$E$3:$J$202,$A19,5)&amp;""))-1),TRIM(INDEX(인턴근무계획!$E$3:$J$202,$A19,5)&amp;""))))</f>
        <v/>
      </c>
      <c r="O19" s="19">
        <f>IF($C19="","",IF(TRIM(INDEX(인턴근무계획!$E$3:$J$202,$A19,6)&amp;"")="","",IFERROR(LEFT(TRIM(INDEX(인턴근무계획!$E$3:$J$202,$A19,6)&amp;""),FIND(" ",TRIM(INDEX(인턴근무계획!$E$3:$J$202,$A19,6)&amp;""))-1),TRIM(INDEX(인턴근무계획!$E$3:$J$202,$A19,6)&amp;""))))</f>
        <v/>
      </c>
      <c r="P19" s="19">
        <f>IF($C19="","",IF(INDEX(인턴근무계획!$K$3:$K$202,$A19)="","",INDEX(인턴근무계획!$K$3:$K$202,$A19)))</f>
        <v/>
      </c>
      <c r="R19" s="19">
        <f>IF(코드표!A15="","",코드표!A15)</f>
        <v/>
      </c>
      <c r="S19" s="19">
        <f>IF($R19="","",COUNTIF(J$6:J$205,$R19))</f>
        <v/>
      </c>
      <c r="T19" s="19">
        <f>IF($R19="","",COUNTIF(K$6:K$205,$R19))</f>
        <v/>
      </c>
      <c r="U19" s="19">
        <f>IF($R19="","",COUNTIF(L$6:L$205,$R19))</f>
        <v/>
      </c>
      <c r="V19" s="19">
        <f>IF($R19="","",COUNTIF(M$6:M$205,$R19))</f>
        <v/>
      </c>
      <c r="W19" s="19">
        <f>IF($R19="","",COUNTIF(N$6:N$205,$R19))</f>
        <v/>
      </c>
      <c r="X19" s="19">
        <f>IF($R19="","",COUNTIF(O$6:O$205,$R19))</f>
        <v/>
      </c>
    </row>
    <row r="20">
      <c r="A20" s="18" t="n">
        <v>15</v>
      </c>
      <c r="B20" s="19">
        <f>IF($C20="","",INDEX(인턴근무계획!$B$3:$B$202,$A20))</f>
        <v/>
      </c>
      <c r="C20" s="19">
        <f>IFERROR(TRIM(INDEX(인턴근무계획!$C$3:$C$202,$A20)&amp;""),"")</f>
        <v/>
      </c>
      <c r="D20" s="19">
        <f>IF($C20="","",INDEX(인턴근무계획!$D$3:$D$202,$A20))</f>
        <v/>
      </c>
      <c r="E20" s="19">
        <f>IF($C20="","",IF(IFERROR(MATCH($D20,기본자료!$B$2:$B$501,0),IFERROR(MATCH($D20&amp;"",기본자료!$B$2:$B$501,0),IFERROR(MATCH(VALUE($D20),기본자료!$B$2:$B$501,0),0)))&gt;0,"확인","미등록"))</f>
        <v/>
      </c>
      <c r="F20" s="19">
        <f>IF(OR($C20="",$F$3=""),"",IF(TRIM(INDEX(인턴근무계획!$E$3:$J$202,$A20,$F$3)&amp;"")="","",IFERROR(LEFT(TRIM(INDEX(인턴근무계획!$E$3:$J$202,$A20,$F$3)&amp;""),FIND(" ",TRIM(INDEX(인턴근무계획!$E$3:$J$202,$A20,$F$3)&amp;""))-1),TRIM(INDEX(인턴근무계획!$E$3:$J$202,$A20,$F$3)&amp;""))))</f>
        <v/>
      </c>
      <c r="G20" s="19">
        <f>IF(OR($C20="",$F$3=""),"",IF(TRIM(INDEX(인턴근무계획!$E$3:$J$202,$A20,$F$3)&amp;"")="","",IFERROR(MID(TRIM(INDEX(인턴근무계획!$E$3:$J$202,$A20,$F$3)&amp;""),FIND(" ",TRIM(INDEX(인턴근무계획!$E$3:$J$202,$A20,$F$3)&amp;""))+1,60),"")))</f>
        <v/>
      </c>
      <c r="H20" s="19">
        <f>IF(OR($C20="",$H$3=""),"",IF(TRIM(INDEX(인턴근무계획!$E$3:$J$202,$A20,$H$3)&amp;"")="","",IFERROR(LEFT(TRIM(INDEX(인턴근무계획!$E$3:$J$202,$A20,$H$3)&amp;""),FIND(" ",TRIM(INDEX(인턴근무계획!$E$3:$J$202,$A20,$H$3)&amp;""))-1),TRIM(INDEX(인턴근무계획!$E$3:$J$202,$A20,$H$3)&amp;""))))</f>
        <v/>
      </c>
      <c r="I20" s="19">
        <f>IF(OR($C20="",$H$3=""),"",IF(TRIM(INDEX(인턴근무계획!$E$3:$J$202,$A20,$H$3)&amp;"")="","",IFERROR(MID(TRIM(INDEX(인턴근무계획!$E$3:$J$202,$A20,$H$3)&amp;""),FIND(" ",TRIM(INDEX(인턴근무계획!$E$3:$J$202,$A20,$H$3)&amp;""))+1,60),"")))</f>
        <v/>
      </c>
      <c r="J20" s="19">
        <f>IF($C20="","",IF(TRIM(INDEX(인턴근무계획!$E$3:$J$202,$A20,1)&amp;"")="","",IFERROR(LEFT(TRIM(INDEX(인턴근무계획!$E$3:$J$202,$A20,1)&amp;""),FIND(" ",TRIM(INDEX(인턴근무계획!$E$3:$J$202,$A20,1)&amp;""))-1),TRIM(INDEX(인턴근무계획!$E$3:$J$202,$A20,1)&amp;""))))</f>
        <v/>
      </c>
      <c r="K20" s="19">
        <f>IF($C20="","",IF(TRIM(INDEX(인턴근무계획!$E$3:$J$202,$A20,2)&amp;"")="","",IFERROR(LEFT(TRIM(INDEX(인턴근무계획!$E$3:$J$202,$A20,2)&amp;""),FIND(" ",TRIM(INDEX(인턴근무계획!$E$3:$J$202,$A20,2)&amp;""))-1),TRIM(INDEX(인턴근무계획!$E$3:$J$202,$A20,2)&amp;""))))</f>
        <v/>
      </c>
      <c r="L20" s="19">
        <f>IF($C20="","",IF(TRIM(INDEX(인턴근무계획!$E$3:$J$202,$A20,3)&amp;"")="","",IFERROR(LEFT(TRIM(INDEX(인턴근무계획!$E$3:$J$202,$A20,3)&amp;""),FIND(" ",TRIM(INDEX(인턴근무계획!$E$3:$J$202,$A20,3)&amp;""))-1),TRIM(INDEX(인턴근무계획!$E$3:$J$202,$A20,3)&amp;""))))</f>
        <v/>
      </c>
      <c r="M20" s="19">
        <f>IF($C20="","",IF(TRIM(INDEX(인턴근무계획!$E$3:$J$202,$A20,4)&amp;"")="","",IFERROR(LEFT(TRIM(INDEX(인턴근무계획!$E$3:$J$202,$A20,4)&amp;""),FIND(" ",TRIM(INDEX(인턴근무계획!$E$3:$J$202,$A20,4)&amp;""))-1),TRIM(INDEX(인턴근무계획!$E$3:$J$202,$A20,4)&amp;""))))</f>
        <v/>
      </c>
      <c r="N20" s="19">
        <f>IF($C20="","",IF(TRIM(INDEX(인턴근무계획!$E$3:$J$202,$A20,5)&amp;"")="","",IFERROR(LEFT(TRIM(INDEX(인턴근무계획!$E$3:$J$202,$A20,5)&amp;""),FIND(" ",TRIM(INDEX(인턴근무계획!$E$3:$J$202,$A20,5)&amp;""))-1),TRIM(INDEX(인턴근무계획!$E$3:$J$202,$A20,5)&amp;""))))</f>
        <v/>
      </c>
      <c r="O20" s="19">
        <f>IF($C20="","",IF(TRIM(INDEX(인턴근무계획!$E$3:$J$202,$A20,6)&amp;"")="","",IFERROR(LEFT(TRIM(INDEX(인턴근무계획!$E$3:$J$202,$A20,6)&amp;""),FIND(" ",TRIM(INDEX(인턴근무계획!$E$3:$J$202,$A20,6)&amp;""))-1),TRIM(INDEX(인턴근무계획!$E$3:$J$202,$A20,6)&amp;""))))</f>
        <v/>
      </c>
      <c r="P20" s="19">
        <f>IF($C20="","",IF(INDEX(인턴근무계획!$K$3:$K$202,$A20)="","",INDEX(인턴근무계획!$K$3:$K$202,$A20)))</f>
        <v/>
      </c>
      <c r="R20" s="19">
        <f>IF(코드표!A16="","",코드표!A16)</f>
        <v/>
      </c>
      <c r="S20" s="19">
        <f>IF($R20="","",COUNTIF(J$6:J$205,$R20))</f>
        <v/>
      </c>
      <c r="T20" s="19">
        <f>IF($R20="","",COUNTIF(K$6:K$205,$R20))</f>
        <v/>
      </c>
      <c r="U20" s="19">
        <f>IF($R20="","",COUNTIF(L$6:L$205,$R20))</f>
        <v/>
      </c>
      <c r="V20" s="19">
        <f>IF($R20="","",COUNTIF(M$6:M$205,$R20))</f>
        <v/>
      </c>
      <c r="W20" s="19">
        <f>IF($R20="","",COUNTIF(N$6:N$205,$R20))</f>
        <v/>
      </c>
      <c r="X20" s="19">
        <f>IF($R20="","",COUNTIF(O$6:O$205,$R20))</f>
        <v/>
      </c>
    </row>
    <row r="21">
      <c r="A21" s="18" t="n">
        <v>16</v>
      </c>
      <c r="B21" s="19">
        <f>IF($C21="","",INDEX(인턴근무계획!$B$3:$B$202,$A21))</f>
        <v/>
      </c>
      <c r="C21" s="19">
        <f>IFERROR(TRIM(INDEX(인턴근무계획!$C$3:$C$202,$A21)&amp;""),"")</f>
        <v/>
      </c>
      <c r="D21" s="19">
        <f>IF($C21="","",INDEX(인턴근무계획!$D$3:$D$202,$A21))</f>
        <v/>
      </c>
      <c r="E21" s="19">
        <f>IF($C21="","",IF(IFERROR(MATCH($D21,기본자료!$B$2:$B$501,0),IFERROR(MATCH($D21&amp;"",기본자료!$B$2:$B$501,0),IFERROR(MATCH(VALUE($D21),기본자료!$B$2:$B$501,0),0)))&gt;0,"확인","미등록"))</f>
        <v/>
      </c>
      <c r="F21" s="19">
        <f>IF(OR($C21="",$F$3=""),"",IF(TRIM(INDEX(인턴근무계획!$E$3:$J$202,$A21,$F$3)&amp;"")="","",IFERROR(LEFT(TRIM(INDEX(인턴근무계획!$E$3:$J$202,$A21,$F$3)&amp;""),FIND(" ",TRIM(INDEX(인턴근무계획!$E$3:$J$202,$A21,$F$3)&amp;""))-1),TRIM(INDEX(인턴근무계획!$E$3:$J$202,$A21,$F$3)&amp;""))))</f>
        <v/>
      </c>
      <c r="G21" s="19">
        <f>IF(OR($C21="",$F$3=""),"",IF(TRIM(INDEX(인턴근무계획!$E$3:$J$202,$A21,$F$3)&amp;"")="","",IFERROR(MID(TRIM(INDEX(인턴근무계획!$E$3:$J$202,$A21,$F$3)&amp;""),FIND(" ",TRIM(INDEX(인턴근무계획!$E$3:$J$202,$A21,$F$3)&amp;""))+1,60),"")))</f>
        <v/>
      </c>
      <c r="H21" s="19">
        <f>IF(OR($C21="",$H$3=""),"",IF(TRIM(INDEX(인턴근무계획!$E$3:$J$202,$A21,$H$3)&amp;"")="","",IFERROR(LEFT(TRIM(INDEX(인턴근무계획!$E$3:$J$202,$A21,$H$3)&amp;""),FIND(" ",TRIM(INDEX(인턴근무계획!$E$3:$J$202,$A21,$H$3)&amp;""))-1),TRIM(INDEX(인턴근무계획!$E$3:$J$202,$A21,$H$3)&amp;""))))</f>
        <v/>
      </c>
      <c r="I21" s="19">
        <f>IF(OR($C21="",$H$3=""),"",IF(TRIM(INDEX(인턴근무계획!$E$3:$J$202,$A21,$H$3)&amp;"")="","",IFERROR(MID(TRIM(INDEX(인턴근무계획!$E$3:$J$202,$A21,$H$3)&amp;""),FIND(" ",TRIM(INDEX(인턴근무계획!$E$3:$J$202,$A21,$H$3)&amp;""))+1,60),"")))</f>
        <v/>
      </c>
      <c r="J21" s="19">
        <f>IF($C21="","",IF(TRIM(INDEX(인턴근무계획!$E$3:$J$202,$A21,1)&amp;"")="","",IFERROR(LEFT(TRIM(INDEX(인턴근무계획!$E$3:$J$202,$A21,1)&amp;""),FIND(" ",TRIM(INDEX(인턴근무계획!$E$3:$J$202,$A21,1)&amp;""))-1),TRIM(INDEX(인턴근무계획!$E$3:$J$202,$A21,1)&amp;""))))</f>
        <v/>
      </c>
      <c r="K21" s="19">
        <f>IF($C21="","",IF(TRIM(INDEX(인턴근무계획!$E$3:$J$202,$A21,2)&amp;"")="","",IFERROR(LEFT(TRIM(INDEX(인턴근무계획!$E$3:$J$202,$A21,2)&amp;""),FIND(" ",TRIM(INDEX(인턴근무계획!$E$3:$J$202,$A21,2)&amp;""))-1),TRIM(INDEX(인턴근무계획!$E$3:$J$202,$A21,2)&amp;""))))</f>
        <v/>
      </c>
      <c r="L21" s="19">
        <f>IF($C21="","",IF(TRIM(INDEX(인턴근무계획!$E$3:$J$202,$A21,3)&amp;"")="","",IFERROR(LEFT(TRIM(INDEX(인턴근무계획!$E$3:$J$202,$A21,3)&amp;""),FIND(" ",TRIM(INDEX(인턴근무계획!$E$3:$J$202,$A21,3)&amp;""))-1),TRIM(INDEX(인턴근무계획!$E$3:$J$202,$A21,3)&amp;""))))</f>
        <v/>
      </c>
      <c r="M21" s="19">
        <f>IF($C21="","",IF(TRIM(INDEX(인턴근무계획!$E$3:$J$202,$A21,4)&amp;"")="","",IFERROR(LEFT(TRIM(INDEX(인턴근무계획!$E$3:$J$202,$A21,4)&amp;""),FIND(" ",TRIM(INDEX(인턴근무계획!$E$3:$J$202,$A21,4)&amp;""))-1),TRIM(INDEX(인턴근무계획!$E$3:$J$202,$A21,4)&amp;""))))</f>
        <v/>
      </c>
      <c r="N21" s="19">
        <f>IF($C21="","",IF(TRIM(INDEX(인턴근무계획!$E$3:$J$202,$A21,5)&amp;"")="","",IFERROR(LEFT(TRIM(INDEX(인턴근무계획!$E$3:$J$202,$A21,5)&amp;""),FIND(" ",TRIM(INDEX(인턴근무계획!$E$3:$J$202,$A21,5)&amp;""))-1),TRIM(INDEX(인턴근무계획!$E$3:$J$202,$A21,5)&amp;""))))</f>
        <v/>
      </c>
      <c r="O21" s="19">
        <f>IF($C21="","",IF(TRIM(INDEX(인턴근무계획!$E$3:$J$202,$A21,6)&amp;"")="","",IFERROR(LEFT(TRIM(INDEX(인턴근무계획!$E$3:$J$202,$A21,6)&amp;""),FIND(" ",TRIM(INDEX(인턴근무계획!$E$3:$J$202,$A21,6)&amp;""))-1),TRIM(INDEX(인턴근무계획!$E$3:$J$202,$A21,6)&amp;""))))</f>
        <v/>
      </c>
      <c r="P21" s="19">
        <f>IF($C21="","",IF(INDEX(인턴근무계획!$K$3:$K$202,$A21)="","",INDEX(인턴근무계획!$K$3:$K$202,$A21)))</f>
        <v/>
      </c>
      <c r="R21" s="19">
        <f>IF(코드표!A17="","",코드표!A17)</f>
        <v/>
      </c>
      <c r="S21" s="19">
        <f>IF($R21="","",COUNTIF(J$6:J$205,$R21))</f>
        <v/>
      </c>
      <c r="T21" s="19">
        <f>IF($R21="","",COUNTIF(K$6:K$205,$R21))</f>
        <v/>
      </c>
      <c r="U21" s="19">
        <f>IF($R21="","",COUNTIF(L$6:L$205,$R21))</f>
        <v/>
      </c>
      <c r="V21" s="19">
        <f>IF($R21="","",COUNTIF(M$6:M$205,$R21))</f>
        <v/>
      </c>
      <c r="W21" s="19">
        <f>IF($R21="","",COUNTIF(N$6:N$205,$R21))</f>
        <v/>
      </c>
      <c r="X21" s="19">
        <f>IF($R21="","",COUNTIF(O$6:O$205,$R21))</f>
        <v/>
      </c>
    </row>
    <row r="22">
      <c r="A22" s="18" t="n">
        <v>17</v>
      </c>
      <c r="B22" s="19">
        <f>IF($C22="","",INDEX(인턴근무계획!$B$3:$B$202,$A22))</f>
        <v/>
      </c>
      <c r="C22" s="19">
        <f>IFERROR(TRIM(INDEX(인턴근무계획!$C$3:$C$202,$A22)&amp;""),"")</f>
        <v/>
      </c>
      <c r="D22" s="19">
        <f>IF($C22="","",INDEX(인턴근무계획!$D$3:$D$202,$A22))</f>
        <v/>
      </c>
      <c r="E22" s="19">
        <f>IF($C22="","",IF(IFERROR(MATCH($D22,기본자료!$B$2:$B$501,0),IFERROR(MATCH($D22&amp;"",기본자료!$B$2:$B$501,0),IFERROR(MATCH(VALUE($D22),기본자료!$B$2:$B$501,0),0)))&gt;0,"확인","미등록"))</f>
        <v/>
      </c>
      <c r="F22" s="19">
        <f>IF(OR($C22="",$F$3=""),"",IF(TRIM(INDEX(인턴근무계획!$E$3:$J$202,$A22,$F$3)&amp;"")="","",IFERROR(LEFT(TRIM(INDEX(인턴근무계획!$E$3:$J$202,$A22,$F$3)&amp;""),FIND(" ",TRIM(INDEX(인턴근무계획!$E$3:$J$202,$A22,$F$3)&amp;""))-1),TRIM(INDEX(인턴근무계획!$E$3:$J$202,$A22,$F$3)&amp;""))))</f>
        <v/>
      </c>
      <c r="G22" s="19">
        <f>IF(OR($C22="",$F$3=""),"",IF(TRIM(INDEX(인턴근무계획!$E$3:$J$202,$A22,$F$3)&amp;"")="","",IFERROR(MID(TRIM(INDEX(인턴근무계획!$E$3:$J$202,$A22,$F$3)&amp;""),FIND(" ",TRIM(INDEX(인턴근무계획!$E$3:$J$202,$A22,$F$3)&amp;""))+1,60),"")))</f>
        <v/>
      </c>
      <c r="H22" s="19">
        <f>IF(OR($C22="",$H$3=""),"",IF(TRIM(INDEX(인턴근무계획!$E$3:$J$202,$A22,$H$3)&amp;"")="","",IFERROR(LEFT(TRIM(INDEX(인턴근무계획!$E$3:$J$202,$A22,$H$3)&amp;""),FIND(" ",TRIM(INDEX(인턴근무계획!$E$3:$J$202,$A22,$H$3)&amp;""))-1),TRIM(INDEX(인턴근무계획!$E$3:$J$202,$A22,$H$3)&amp;""))))</f>
        <v/>
      </c>
      <c r="I22" s="19">
        <f>IF(OR($C22="",$H$3=""),"",IF(TRIM(INDEX(인턴근무계획!$E$3:$J$202,$A22,$H$3)&amp;"")="","",IFERROR(MID(TRIM(INDEX(인턴근무계획!$E$3:$J$202,$A22,$H$3)&amp;""),FIND(" ",TRIM(INDEX(인턴근무계획!$E$3:$J$202,$A22,$H$3)&amp;""))+1,60),"")))</f>
        <v/>
      </c>
      <c r="J22" s="19">
        <f>IF($C22="","",IF(TRIM(INDEX(인턴근무계획!$E$3:$J$202,$A22,1)&amp;"")="","",IFERROR(LEFT(TRIM(INDEX(인턴근무계획!$E$3:$J$202,$A22,1)&amp;""),FIND(" ",TRIM(INDEX(인턴근무계획!$E$3:$J$202,$A22,1)&amp;""))-1),TRIM(INDEX(인턴근무계획!$E$3:$J$202,$A22,1)&amp;""))))</f>
        <v/>
      </c>
      <c r="K22" s="19">
        <f>IF($C22="","",IF(TRIM(INDEX(인턴근무계획!$E$3:$J$202,$A22,2)&amp;"")="","",IFERROR(LEFT(TRIM(INDEX(인턴근무계획!$E$3:$J$202,$A22,2)&amp;""),FIND(" ",TRIM(INDEX(인턴근무계획!$E$3:$J$202,$A22,2)&amp;""))-1),TRIM(INDEX(인턴근무계획!$E$3:$J$202,$A22,2)&amp;""))))</f>
        <v/>
      </c>
      <c r="L22" s="19">
        <f>IF($C22="","",IF(TRIM(INDEX(인턴근무계획!$E$3:$J$202,$A22,3)&amp;"")="","",IFERROR(LEFT(TRIM(INDEX(인턴근무계획!$E$3:$J$202,$A22,3)&amp;""),FIND(" ",TRIM(INDEX(인턴근무계획!$E$3:$J$202,$A22,3)&amp;""))-1),TRIM(INDEX(인턴근무계획!$E$3:$J$202,$A22,3)&amp;""))))</f>
        <v/>
      </c>
      <c r="M22" s="19">
        <f>IF($C22="","",IF(TRIM(INDEX(인턴근무계획!$E$3:$J$202,$A22,4)&amp;"")="","",IFERROR(LEFT(TRIM(INDEX(인턴근무계획!$E$3:$J$202,$A22,4)&amp;""),FIND(" ",TRIM(INDEX(인턴근무계획!$E$3:$J$202,$A22,4)&amp;""))-1),TRIM(INDEX(인턴근무계획!$E$3:$J$202,$A22,4)&amp;""))))</f>
        <v/>
      </c>
      <c r="N22" s="19">
        <f>IF($C22="","",IF(TRIM(INDEX(인턴근무계획!$E$3:$J$202,$A22,5)&amp;"")="","",IFERROR(LEFT(TRIM(INDEX(인턴근무계획!$E$3:$J$202,$A22,5)&amp;""),FIND(" ",TRIM(INDEX(인턴근무계획!$E$3:$J$202,$A22,5)&amp;""))-1),TRIM(INDEX(인턴근무계획!$E$3:$J$202,$A22,5)&amp;""))))</f>
        <v/>
      </c>
      <c r="O22" s="19">
        <f>IF($C22="","",IF(TRIM(INDEX(인턴근무계획!$E$3:$J$202,$A22,6)&amp;"")="","",IFERROR(LEFT(TRIM(INDEX(인턴근무계획!$E$3:$J$202,$A22,6)&amp;""),FIND(" ",TRIM(INDEX(인턴근무계획!$E$3:$J$202,$A22,6)&amp;""))-1),TRIM(INDEX(인턴근무계획!$E$3:$J$202,$A22,6)&amp;""))))</f>
        <v/>
      </c>
      <c r="P22" s="19">
        <f>IF($C22="","",IF(INDEX(인턴근무계획!$K$3:$K$202,$A22)="","",INDEX(인턴근무계획!$K$3:$K$202,$A22)))</f>
        <v/>
      </c>
      <c r="R22" s="19">
        <f>IF(코드표!A18="","",코드표!A18)</f>
        <v/>
      </c>
      <c r="S22" s="19">
        <f>IF($R22="","",COUNTIF(J$6:J$205,$R22))</f>
        <v/>
      </c>
      <c r="T22" s="19">
        <f>IF($R22="","",COUNTIF(K$6:K$205,$R22))</f>
        <v/>
      </c>
      <c r="U22" s="19">
        <f>IF($R22="","",COUNTIF(L$6:L$205,$R22))</f>
        <v/>
      </c>
      <c r="V22" s="19">
        <f>IF($R22="","",COUNTIF(M$6:M$205,$R22))</f>
        <v/>
      </c>
      <c r="W22" s="19">
        <f>IF($R22="","",COUNTIF(N$6:N$205,$R22))</f>
        <v/>
      </c>
      <c r="X22" s="19">
        <f>IF($R22="","",COUNTIF(O$6:O$205,$R22))</f>
        <v/>
      </c>
    </row>
    <row r="23">
      <c r="A23" s="18" t="n">
        <v>18</v>
      </c>
      <c r="B23" s="19">
        <f>IF($C23="","",INDEX(인턴근무계획!$B$3:$B$202,$A23))</f>
        <v/>
      </c>
      <c r="C23" s="19">
        <f>IFERROR(TRIM(INDEX(인턴근무계획!$C$3:$C$202,$A23)&amp;""),"")</f>
        <v/>
      </c>
      <c r="D23" s="19">
        <f>IF($C23="","",INDEX(인턴근무계획!$D$3:$D$202,$A23))</f>
        <v/>
      </c>
      <c r="E23" s="19">
        <f>IF($C23="","",IF(IFERROR(MATCH($D23,기본자료!$B$2:$B$501,0),IFERROR(MATCH($D23&amp;"",기본자료!$B$2:$B$501,0),IFERROR(MATCH(VALUE($D23),기본자료!$B$2:$B$501,0),0)))&gt;0,"확인","미등록"))</f>
        <v/>
      </c>
      <c r="F23" s="19">
        <f>IF(OR($C23="",$F$3=""),"",IF(TRIM(INDEX(인턴근무계획!$E$3:$J$202,$A23,$F$3)&amp;"")="","",IFERROR(LEFT(TRIM(INDEX(인턴근무계획!$E$3:$J$202,$A23,$F$3)&amp;""),FIND(" ",TRIM(INDEX(인턴근무계획!$E$3:$J$202,$A23,$F$3)&amp;""))-1),TRIM(INDEX(인턴근무계획!$E$3:$J$202,$A23,$F$3)&amp;""))))</f>
        <v/>
      </c>
      <c r="G23" s="19">
        <f>IF(OR($C23="",$F$3=""),"",IF(TRIM(INDEX(인턴근무계획!$E$3:$J$202,$A23,$F$3)&amp;"")="","",IFERROR(MID(TRIM(INDEX(인턴근무계획!$E$3:$J$202,$A23,$F$3)&amp;""),FIND(" ",TRIM(INDEX(인턴근무계획!$E$3:$J$202,$A23,$F$3)&amp;""))+1,60),"")))</f>
        <v/>
      </c>
      <c r="H23" s="19">
        <f>IF(OR($C23="",$H$3=""),"",IF(TRIM(INDEX(인턴근무계획!$E$3:$J$202,$A23,$H$3)&amp;"")="","",IFERROR(LEFT(TRIM(INDEX(인턴근무계획!$E$3:$J$202,$A23,$H$3)&amp;""),FIND(" ",TRIM(INDEX(인턴근무계획!$E$3:$J$202,$A23,$H$3)&amp;""))-1),TRIM(INDEX(인턴근무계획!$E$3:$J$202,$A23,$H$3)&amp;""))))</f>
        <v/>
      </c>
      <c r="I23" s="19">
        <f>IF(OR($C23="",$H$3=""),"",IF(TRIM(INDEX(인턴근무계획!$E$3:$J$202,$A23,$H$3)&amp;"")="","",IFERROR(MID(TRIM(INDEX(인턴근무계획!$E$3:$J$202,$A23,$H$3)&amp;""),FIND(" ",TRIM(INDEX(인턴근무계획!$E$3:$J$202,$A23,$H$3)&amp;""))+1,60),"")))</f>
        <v/>
      </c>
      <c r="J23" s="19">
        <f>IF($C23="","",IF(TRIM(INDEX(인턴근무계획!$E$3:$J$202,$A23,1)&amp;"")="","",IFERROR(LEFT(TRIM(INDEX(인턴근무계획!$E$3:$J$202,$A23,1)&amp;""),FIND(" ",TRIM(INDEX(인턴근무계획!$E$3:$J$202,$A23,1)&amp;""))-1),TRIM(INDEX(인턴근무계획!$E$3:$J$202,$A23,1)&amp;""))))</f>
        <v/>
      </c>
      <c r="K23" s="19">
        <f>IF($C23="","",IF(TRIM(INDEX(인턴근무계획!$E$3:$J$202,$A23,2)&amp;"")="","",IFERROR(LEFT(TRIM(INDEX(인턴근무계획!$E$3:$J$202,$A23,2)&amp;""),FIND(" ",TRIM(INDEX(인턴근무계획!$E$3:$J$202,$A23,2)&amp;""))-1),TRIM(INDEX(인턴근무계획!$E$3:$J$202,$A23,2)&amp;""))))</f>
        <v/>
      </c>
      <c r="L23" s="19">
        <f>IF($C23="","",IF(TRIM(INDEX(인턴근무계획!$E$3:$J$202,$A23,3)&amp;"")="","",IFERROR(LEFT(TRIM(INDEX(인턴근무계획!$E$3:$J$202,$A23,3)&amp;""),FIND(" ",TRIM(INDEX(인턴근무계획!$E$3:$J$202,$A23,3)&amp;""))-1),TRIM(INDEX(인턴근무계획!$E$3:$J$202,$A23,3)&amp;""))))</f>
        <v/>
      </c>
      <c r="M23" s="19">
        <f>IF($C23="","",IF(TRIM(INDEX(인턴근무계획!$E$3:$J$202,$A23,4)&amp;"")="","",IFERROR(LEFT(TRIM(INDEX(인턴근무계획!$E$3:$J$202,$A23,4)&amp;""),FIND(" ",TRIM(INDEX(인턴근무계획!$E$3:$J$202,$A23,4)&amp;""))-1),TRIM(INDEX(인턴근무계획!$E$3:$J$202,$A23,4)&amp;""))))</f>
        <v/>
      </c>
      <c r="N23" s="19">
        <f>IF($C23="","",IF(TRIM(INDEX(인턴근무계획!$E$3:$J$202,$A23,5)&amp;"")="","",IFERROR(LEFT(TRIM(INDEX(인턴근무계획!$E$3:$J$202,$A23,5)&amp;""),FIND(" ",TRIM(INDEX(인턴근무계획!$E$3:$J$202,$A23,5)&amp;""))-1),TRIM(INDEX(인턴근무계획!$E$3:$J$202,$A23,5)&amp;""))))</f>
        <v/>
      </c>
      <c r="O23" s="19">
        <f>IF($C23="","",IF(TRIM(INDEX(인턴근무계획!$E$3:$J$202,$A23,6)&amp;"")="","",IFERROR(LEFT(TRIM(INDEX(인턴근무계획!$E$3:$J$202,$A23,6)&amp;""),FIND(" ",TRIM(INDEX(인턴근무계획!$E$3:$J$202,$A23,6)&amp;""))-1),TRIM(INDEX(인턴근무계획!$E$3:$J$202,$A23,6)&amp;""))))</f>
        <v/>
      </c>
      <c r="P23" s="19">
        <f>IF($C23="","",IF(INDEX(인턴근무계획!$K$3:$K$202,$A23)="","",INDEX(인턴근무계획!$K$3:$K$202,$A23)))</f>
        <v/>
      </c>
      <c r="R23" s="19">
        <f>IF(코드표!A19="","",코드표!A19)</f>
        <v/>
      </c>
      <c r="S23" s="19">
        <f>IF($R23="","",COUNTIF(J$6:J$205,$R23))</f>
        <v/>
      </c>
      <c r="T23" s="19">
        <f>IF($R23="","",COUNTIF(K$6:K$205,$R23))</f>
        <v/>
      </c>
      <c r="U23" s="19">
        <f>IF($R23="","",COUNTIF(L$6:L$205,$R23))</f>
        <v/>
      </c>
      <c r="V23" s="19">
        <f>IF($R23="","",COUNTIF(M$6:M$205,$R23))</f>
        <v/>
      </c>
      <c r="W23" s="19">
        <f>IF($R23="","",COUNTIF(N$6:N$205,$R23))</f>
        <v/>
      </c>
      <c r="X23" s="19">
        <f>IF($R23="","",COUNTIF(O$6:O$205,$R23))</f>
        <v/>
      </c>
    </row>
    <row r="24">
      <c r="A24" s="18" t="n">
        <v>19</v>
      </c>
      <c r="B24" s="19">
        <f>IF($C24="","",INDEX(인턴근무계획!$B$3:$B$202,$A24))</f>
        <v/>
      </c>
      <c r="C24" s="19">
        <f>IFERROR(TRIM(INDEX(인턴근무계획!$C$3:$C$202,$A24)&amp;""),"")</f>
        <v/>
      </c>
      <c r="D24" s="19">
        <f>IF($C24="","",INDEX(인턴근무계획!$D$3:$D$202,$A24))</f>
        <v/>
      </c>
      <c r="E24" s="19">
        <f>IF($C24="","",IF(IFERROR(MATCH($D24,기본자료!$B$2:$B$501,0),IFERROR(MATCH($D24&amp;"",기본자료!$B$2:$B$501,0),IFERROR(MATCH(VALUE($D24),기본자료!$B$2:$B$501,0),0)))&gt;0,"확인","미등록"))</f>
        <v/>
      </c>
      <c r="F24" s="19">
        <f>IF(OR($C24="",$F$3=""),"",IF(TRIM(INDEX(인턴근무계획!$E$3:$J$202,$A24,$F$3)&amp;"")="","",IFERROR(LEFT(TRIM(INDEX(인턴근무계획!$E$3:$J$202,$A24,$F$3)&amp;""),FIND(" ",TRIM(INDEX(인턴근무계획!$E$3:$J$202,$A24,$F$3)&amp;""))-1),TRIM(INDEX(인턴근무계획!$E$3:$J$202,$A24,$F$3)&amp;""))))</f>
        <v/>
      </c>
      <c r="G24" s="19">
        <f>IF(OR($C24="",$F$3=""),"",IF(TRIM(INDEX(인턴근무계획!$E$3:$J$202,$A24,$F$3)&amp;"")="","",IFERROR(MID(TRIM(INDEX(인턴근무계획!$E$3:$J$202,$A24,$F$3)&amp;""),FIND(" ",TRIM(INDEX(인턴근무계획!$E$3:$J$202,$A24,$F$3)&amp;""))+1,60),"")))</f>
        <v/>
      </c>
      <c r="H24" s="19">
        <f>IF(OR($C24="",$H$3=""),"",IF(TRIM(INDEX(인턴근무계획!$E$3:$J$202,$A24,$H$3)&amp;"")="","",IFERROR(LEFT(TRIM(INDEX(인턴근무계획!$E$3:$J$202,$A24,$H$3)&amp;""),FIND(" ",TRIM(INDEX(인턴근무계획!$E$3:$J$202,$A24,$H$3)&amp;""))-1),TRIM(INDEX(인턴근무계획!$E$3:$J$202,$A24,$H$3)&amp;""))))</f>
        <v/>
      </c>
      <c r="I24" s="19">
        <f>IF(OR($C24="",$H$3=""),"",IF(TRIM(INDEX(인턴근무계획!$E$3:$J$202,$A24,$H$3)&amp;"")="","",IFERROR(MID(TRIM(INDEX(인턴근무계획!$E$3:$J$202,$A24,$H$3)&amp;""),FIND(" ",TRIM(INDEX(인턴근무계획!$E$3:$J$202,$A24,$H$3)&amp;""))+1,60),"")))</f>
        <v/>
      </c>
      <c r="J24" s="19">
        <f>IF($C24="","",IF(TRIM(INDEX(인턴근무계획!$E$3:$J$202,$A24,1)&amp;"")="","",IFERROR(LEFT(TRIM(INDEX(인턴근무계획!$E$3:$J$202,$A24,1)&amp;""),FIND(" ",TRIM(INDEX(인턴근무계획!$E$3:$J$202,$A24,1)&amp;""))-1),TRIM(INDEX(인턴근무계획!$E$3:$J$202,$A24,1)&amp;""))))</f>
        <v/>
      </c>
      <c r="K24" s="19">
        <f>IF($C24="","",IF(TRIM(INDEX(인턴근무계획!$E$3:$J$202,$A24,2)&amp;"")="","",IFERROR(LEFT(TRIM(INDEX(인턴근무계획!$E$3:$J$202,$A24,2)&amp;""),FIND(" ",TRIM(INDEX(인턴근무계획!$E$3:$J$202,$A24,2)&amp;""))-1),TRIM(INDEX(인턴근무계획!$E$3:$J$202,$A24,2)&amp;""))))</f>
        <v/>
      </c>
      <c r="L24" s="19">
        <f>IF($C24="","",IF(TRIM(INDEX(인턴근무계획!$E$3:$J$202,$A24,3)&amp;"")="","",IFERROR(LEFT(TRIM(INDEX(인턴근무계획!$E$3:$J$202,$A24,3)&amp;""),FIND(" ",TRIM(INDEX(인턴근무계획!$E$3:$J$202,$A24,3)&amp;""))-1),TRIM(INDEX(인턴근무계획!$E$3:$J$202,$A24,3)&amp;""))))</f>
        <v/>
      </c>
      <c r="M24" s="19">
        <f>IF($C24="","",IF(TRIM(INDEX(인턴근무계획!$E$3:$J$202,$A24,4)&amp;"")="","",IFERROR(LEFT(TRIM(INDEX(인턴근무계획!$E$3:$J$202,$A24,4)&amp;""),FIND(" ",TRIM(INDEX(인턴근무계획!$E$3:$J$202,$A24,4)&amp;""))-1),TRIM(INDEX(인턴근무계획!$E$3:$J$202,$A24,4)&amp;""))))</f>
        <v/>
      </c>
      <c r="N24" s="19">
        <f>IF($C24="","",IF(TRIM(INDEX(인턴근무계획!$E$3:$J$202,$A24,5)&amp;"")="","",IFERROR(LEFT(TRIM(INDEX(인턴근무계획!$E$3:$J$202,$A24,5)&amp;""),FIND(" ",TRIM(INDEX(인턴근무계획!$E$3:$J$202,$A24,5)&amp;""))-1),TRIM(INDEX(인턴근무계획!$E$3:$J$202,$A24,5)&amp;""))))</f>
        <v/>
      </c>
      <c r="O24" s="19">
        <f>IF($C24="","",IF(TRIM(INDEX(인턴근무계획!$E$3:$J$202,$A24,6)&amp;"")="","",IFERROR(LEFT(TRIM(INDEX(인턴근무계획!$E$3:$J$202,$A24,6)&amp;""),FIND(" ",TRIM(INDEX(인턴근무계획!$E$3:$J$202,$A24,6)&amp;""))-1),TRIM(INDEX(인턴근무계획!$E$3:$J$202,$A24,6)&amp;""))))</f>
        <v/>
      </c>
      <c r="P24" s="19">
        <f>IF($C24="","",IF(INDEX(인턴근무계획!$K$3:$K$202,$A24)="","",INDEX(인턴근무계획!$K$3:$K$202,$A24)))</f>
        <v/>
      </c>
      <c r="R24" s="19">
        <f>IF(코드표!A20="","",코드표!A20)</f>
        <v/>
      </c>
      <c r="S24" s="19">
        <f>IF($R24="","",COUNTIF(J$6:J$205,$R24))</f>
        <v/>
      </c>
      <c r="T24" s="19">
        <f>IF($R24="","",COUNTIF(K$6:K$205,$R24))</f>
        <v/>
      </c>
      <c r="U24" s="19">
        <f>IF($R24="","",COUNTIF(L$6:L$205,$R24))</f>
        <v/>
      </c>
      <c r="V24" s="19">
        <f>IF($R24="","",COUNTIF(M$6:M$205,$R24))</f>
        <v/>
      </c>
      <c r="W24" s="19">
        <f>IF($R24="","",COUNTIF(N$6:N$205,$R24))</f>
        <v/>
      </c>
      <c r="X24" s="19">
        <f>IF($R24="","",COUNTIF(O$6:O$205,$R24))</f>
        <v/>
      </c>
    </row>
    <row r="25">
      <c r="A25" s="18" t="n">
        <v>20</v>
      </c>
      <c r="B25" s="19">
        <f>IF($C25="","",INDEX(인턴근무계획!$B$3:$B$202,$A25))</f>
        <v/>
      </c>
      <c r="C25" s="19">
        <f>IFERROR(TRIM(INDEX(인턴근무계획!$C$3:$C$202,$A25)&amp;""),"")</f>
        <v/>
      </c>
      <c r="D25" s="19">
        <f>IF($C25="","",INDEX(인턴근무계획!$D$3:$D$202,$A25))</f>
        <v/>
      </c>
      <c r="E25" s="19">
        <f>IF($C25="","",IF(IFERROR(MATCH($D25,기본자료!$B$2:$B$501,0),IFERROR(MATCH($D25&amp;"",기본자료!$B$2:$B$501,0),IFERROR(MATCH(VALUE($D25),기본자료!$B$2:$B$501,0),0)))&gt;0,"확인","미등록"))</f>
        <v/>
      </c>
      <c r="F25" s="19">
        <f>IF(OR($C25="",$F$3=""),"",IF(TRIM(INDEX(인턴근무계획!$E$3:$J$202,$A25,$F$3)&amp;"")="","",IFERROR(LEFT(TRIM(INDEX(인턴근무계획!$E$3:$J$202,$A25,$F$3)&amp;""),FIND(" ",TRIM(INDEX(인턴근무계획!$E$3:$J$202,$A25,$F$3)&amp;""))-1),TRIM(INDEX(인턴근무계획!$E$3:$J$202,$A25,$F$3)&amp;""))))</f>
        <v/>
      </c>
      <c r="G25" s="19">
        <f>IF(OR($C25="",$F$3=""),"",IF(TRIM(INDEX(인턴근무계획!$E$3:$J$202,$A25,$F$3)&amp;"")="","",IFERROR(MID(TRIM(INDEX(인턴근무계획!$E$3:$J$202,$A25,$F$3)&amp;""),FIND(" ",TRIM(INDEX(인턴근무계획!$E$3:$J$202,$A25,$F$3)&amp;""))+1,60),"")))</f>
        <v/>
      </c>
      <c r="H25" s="19">
        <f>IF(OR($C25="",$H$3=""),"",IF(TRIM(INDEX(인턴근무계획!$E$3:$J$202,$A25,$H$3)&amp;"")="","",IFERROR(LEFT(TRIM(INDEX(인턴근무계획!$E$3:$J$202,$A25,$H$3)&amp;""),FIND(" ",TRIM(INDEX(인턴근무계획!$E$3:$J$202,$A25,$H$3)&amp;""))-1),TRIM(INDEX(인턴근무계획!$E$3:$J$202,$A25,$H$3)&amp;""))))</f>
        <v/>
      </c>
      <c r="I25" s="19">
        <f>IF(OR($C25="",$H$3=""),"",IF(TRIM(INDEX(인턴근무계획!$E$3:$J$202,$A25,$H$3)&amp;"")="","",IFERROR(MID(TRIM(INDEX(인턴근무계획!$E$3:$J$202,$A25,$H$3)&amp;""),FIND(" ",TRIM(INDEX(인턴근무계획!$E$3:$J$202,$A25,$H$3)&amp;""))+1,60),"")))</f>
        <v/>
      </c>
      <c r="J25" s="19">
        <f>IF($C25="","",IF(TRIM(INDEX(인턴근무계획!$E$3:$J$202,$A25,1)&amp;"")="","",IFERROR(LEFT(TRIM(INDEX(인턴근무계획!$E$3:$J$202,$A25,1)&amp;""),FIND(" ",TRIM(INDEX(인턴근무계획!$E$3:$J$202,$A25,1)&amp;""))-1),TRIM(INDEX(인턴근무계획!$E$3:$J$202,$A25,1)&amp;""))))</f>
        <v/>
      </c>
      <c r="K25" s="19">
        <f>IF($C25="","",IF(TRIM(INDEX(인턴근무계획!$E$3:$J$202,$A25,2)&amp;"")="","",IFERROR(LEFT(TRIM(INDEX(인턴근무계획!$E$3:$J$202,$A25,2)&amp;""),FIND(" ",TRIM(INDEX(인턴근무계획!$E$3:$J$202,$A25,2)&amp;""))-1),TRIM(INDEX(인턴근무계획!$E$3:$J$202,$A25,2)&amp;""))))</f>
        <v/>
      </c>
      <c r="L25" s="19">
        <f>IF($C25="","",IF(TRIM(INDEX(인턴근무계획!$E$3:$J$202,$A25,3)&amp;"")="","",IFERROR(LEFT(TRIM(INDEX(인턴근무계획!$E$3:$J$202,$A25,3)&amp;""),FIND(" ",TRIM(INDEX(인턴근무계획!$E$3:$J$202,$A25,3)&amp;""))-1),TRIM(INDEX(인턴근무계획!$E$3:$J$202,$A25,3)&amp;""))))</f>
        <v/>
      </c>
      <c r="M25" s="19">
        <f>IF($C25="","",IF(TRIM(INDEX(인턴근무계획!$E$3:$J$202,$A25,4)&amp;"")="","",IFERROR(LEFT(TRIM(INDEX(인턴근무계획!$E$3:$J$202,$A25,4)&amp;""),FIND(" ",TRIM(INDEX(인턴근무계획!$E$3:$J$202,$A25,4)&amp;""))-1),TRIM(INDEX(인턴근무계획!$E$3:$J$202,$A25,4)&amp;""))))</f>
        <v/>
      </c>
      <c r="N25" s="19">
        <f>IF($C25="","",IF(TRIM(INDEX(인턴근무계획!$E$3:$J$202,$A25,5)&amp;"")="","",IFERROR(LEFT(TRIM(INDEX(인턴근무계획!$E$3:$J$202,$A25,5)&amp;""),FIND(" ",TRIM(INDEX(인턴근무계획!$E$3:$J$202,$A25,5)&amp;""))-1),TRIM(INDEX(인턴근무계획!$E$3:$J$202,$A25,5)&amp;""))))</f>
        <v/>
      </c>
      <c r="O25" s="19">
        <f>IF($C25="","",IF(TRIM(INDEX(인턴근무계획!$E$3:$J$202,$A25,6)&amp;"")="","",IFERROR(LEFT(TRIM(INDEX(인턴근무계획!$E$3:$J$202,$A25,6)&amp;""),FIND(" ",TRIM(INDEX(인턴근무계획!$E$3:$J$202,$A25,6)&amp;""))-1),TRIM(INDEX(인턴근무계획!$E$3:$J$202,$A25,6)&amp;""))))</f>
        <v/>
      </c>
      <c r="P25" s="19">
        <f>IF($C25="","",IF(INDEX(인턴근무계획!$K$3:$K$202,$A25)="","",INDEX(인턴근무계획!$K$3:$K$202,$A25)))</f>
        <v/>
      </c>
      <c r="R25" s="19">
        <f>IF(코드표!A21="","",코드표!A21)</f>
        <v/>
      </c>
      <c r="S25" s="19">
        <f>IF($R25="","",COUNTIF(J$6:J$205,$R25))</f>
        <v/>
      </c>
      <c r="T25" s="19">
        <f>IF($R25="","",COUNTIF(K$6:K$205,$R25))</f>
        <v/>
      </c>
      <c r="U25" s="19">
        <f>IF($R25="","",COUNTIF(L$6:L$205,$R25))</f>
        <v/>
      </c>
      <c r="V25" s="19">
        <f>IF($R25="","",COUNTIF(M$6:M$205,$R25))</f>
        <v/>
      </c>
      <c r="W25" s="19">
        <f>IF($R25="","",COUNTIF(N$6:N$205,$R25))</f>
        <v/>
      </c>
      <c r="X25" s="19">
        <f>IF($R25="","",COUNTIF(O$6:O$205,$R25))</f>
        <v/>
      </c>
    </row>
    <row r="26">
      <c r="A26" s="18" t="n">
        <v>21</v>
      </c>
      <c r="B26" s="19">
        <f>IF($C26="","",INDEX(인턴근무계획!$B$3:$B$202,$A26))</f>
        <v/>
      </c>
      <c r="C26" s="19">
        <f>IFERROR(TRIM(INDEX(인턴근무계획!$C$3:$C$202,$A26)&amp;""),"")</f>
        <v/>
      </c>
      <c r="D26" s="19">
        <f>IF($C26="","",INDEX(인턴근무계획!$D$3:$D$202,$A26))</f>
        <v/>
      </c>
      <c r="E26" s="19">
        <f>IF($C26="","",IF(IFERROR(MATCH($D26,기본자료!$B$2:$B$501,0),IFERROR(MATCH($D26&amp;"",기본자료!$B$2:$B$501,0),IFERROR(MATCH(VALUE($D26),기본자료!$B$2:$B$501,0),0)))&gt;0,"확인","미등록"))</f>
        <v/>
      </c>
      <c r="F26" s="19">
        <f>IF(OR($C26="",$F$3=""),"",IF(TRIM(INDEX(인턴근무계획!$E$3:$J$202,$A26,$F$3)&amp;"")="","",IFERROR(LEFT(TRIM(INDEX(인턴근무계획!$E$3:$J$202,$A26,$F$3)&amp;""),FIND(" ",TRIM(INDEX(인턴근무계획!$E$3:$J$202,$A26,$F$3)&amp;""))-1),TRIM(INDEX(인턴근무계획!$E$3:$J$202,$A26,$F$3)&amp;""))))</f>
        <v/>
      </c>
      <c r="G26" s="19">
        <f>IF(OR($C26="",$F$3=""),"",IF(TRIM(INDEX(인턴근무계획!$E$3:$J$202,$A26,$F$3)&amp;"")="","",IFERROR(MID(TRIM(INDEX(인턴근무계획!$E$3:$J$202,$A26,$F$3)&amp;""),FIND(" ",TRIM(INDEX(인턴근무계획!$E$3:$J$202,$A26,$F$3)&amp;""))+1,60),"")))</f>
        <v/>
      </c>
      <c r="H26" s="19">
        <f>IF(OR($C26="",$H$3=""),"",IF(TRIM(INDEX(인턴근무계획!$E$3:$J$202,$A26,$H$3)&amp;"")="","",IFERROR(LEFT(TRIM(INDEX(인턴근무계획!$E$3:$J$202,$A26,$H$3)&amp;""),FIND(" ",TRIM(INDEX(인턴근무계획!$E$3:$J$202,$A26,$H$3)&amp;""))-1),TRIM(INDEX(인턴근무계획!$E$3:$J$202,$A26,$H$3)&amp;""))))</f>
        <v/>
      </c>
      <c r="I26" s="19">
        <f>IF(OR($C26="",$H$3=""),"",IF(TRIM(INDEX(인턴근무계획!$E$3:$J$202,$A26,$H$3)&amp;"")="","",IFERROR(MID(TRIM(INDEX(인턴근무계획!$E$3:$J$202,$A26,$H$3)&amp;""),FIND(" ",TRIM(INDEX(인턴근무계획!$E$3:$J$202,$A26,$H$3)&amp;""))+1,60),"")))</f>
        <v/>
      </c>
      <c r="J26" s="19">
        <f>IF($C26="","",IF(TRIM(INDEX(인턴근무계획!$E$3:$J$202,$A26,1)&amp;"")="","",IFERROR(LEFT(TRIM(INDEX(인턴근무계획!$E$3:$J$202,$A26,1)&amp;""),FIND(" ",TRIM(INDEX(인턴근무계획!$E$3:$J$202,$A26,1)&amp;""))-1),TRIM(INDEX(인턴근무계획!$E$3:$J$202,$A26,1)&amp;""))))</f>
        <v/>
      </c>
      <c r="K26" s="19">
        <f>IF($C26="","",IF(TRIM(INDEX(인턴근무계획!$E$3:$J$202,$A26,2)&amp;"")="","",IFERROR(LEFT(TRIM(INDEX(인턴근무계획!$E$3:$J$202,$A26,2)&amp;""),FIND(" ",TRIM(INDEX(인턴근무계획!$E$3:$J$202,$A26,2)&amp;""))-1),TRIM(INDEX(인턴근무계획!$E$3:$J$202,$A26,2)&amp;""))))</f>
        <v/>
      </c>
      <c r="L26" s="19">
        <f>IF($C26="","",IF(TRIM(INDEX(인턴근무계획!$E$3:$J$202,$A26,3)&amp;"")="","",IFERROR(LEFT(TRIM(INDEX(인턴근무계획!$E$3:$J$202,$A26,3)&amp;""),FIND(" ",TRIM(INDEX(인턴근무계획!$E$3:$J$202,$A26,3)&amp;""))-1),TRIM(INDEX(인턴근무계획!$E$3:$J$202,$A26,3)&amp;""))))</f>
        <v/>
      </c>
      <c r="M26" s="19">
        <f>IF($C26="","",IF(TRIM(INDEX(인턴근무계획!$E$3:$J$202,$A26,4)&amp;"")="","",IFERROR(LEFT(TRIM(INDEX(인턴근무계획!$E$3:$J$202,$A26,4)&amp;""),FIND(" ",TRIM(INDEX(인턴근무계획!$E$3:$J$202,$A26,4)&amp;""))-1),TRIM(INDEX(인턴근무계획!$E$3:$J$202,$A26,4)&amp;""))))</f>
        <v/>
      </c>
      <c r="N26" s="19">
        <f>IF($C26="","",IF(TRIM(INDEX(인턴근무계획!$E$3:$J$202,$A26,5)&amp;"")="","",IFERROR(LEFT(TRIM(INDEX(인턴근무계획!$E$3:$J$202,$A26,5)&amp;""),FIND(" ",TRIM(INDEX(인턴근무계획!$E$3:$J$202,$A26,5)&amp;""))-1),TRIM(INDEX(인턴근무계획!$E$3:$J$202,$A26,5)&amp;""))))</f>
        <v/>
      </c>
      <c r="O26" s="19">
        <f>IF($C26="","",IF(TRIM(INDEX(인턴근무계획!$E$3:$J$202,$A26,6)&amp;"")="","",IFERROR(LEFT(TRIM(INDEX(인턴근무계획!$E$3:$J$202,$A26,6)&amp;""),FIND(" ",TRIM(INDEX(인턴근무계획!$E$3:$J$202,$A26,6)&amp;""))-1),TRIM(INDEX(인턴근무계획!$E$3:$J$202,$A26,6)&amp;""))))</f>
        <v/>
      </c>
      <c r="P26" s="19">
        <f>IF($C26="","",IF(INDEX(인턴근무계획!$K$3:$K$202,$A26)="","",INDEX(인턴근무계획!$K$3:$K$202,$A26)))</f>
        <v/>
      </c>
      <c r="R26" s="20" t="inlineStr">
        <is>
          <t>합계</t>
        </is>
      </c>
      <c r="S26" s="20">
        <f>SUM(S6:S25)</f>
        <v/>
      </c>
      <c r="T26" s="20">
        <f>SUM(T6:T25)</f>
        <v/>
      </c>
      <c r="U26" s="20">
        <f>SUM(U6:U25)</f>
        <v/>
      </c>
      <c r="V26" s="20">
        <f>SUM(V6:V25)</f>
        <v/>
      </c>
      <c r="W26" s="20">
        <f>SUM(W6:W25)</f>
        <v/>
      </c>
      <c r="X26" s="20">
        <f>SUM(X6:X25)</f>
        <v/>
      </c>
    </row>
    <row r="27">
      <c r="A27" s="18" t="n">
        <v>22</v>
      </c>
      <c r="B27" s="19">
        <f>IF($C27="","",INDEX(인턴근무계획!$B$3:$B$202,$A27))</f>
        <v/>
      </c>
      <c r="C27" s="19">
        <f>IFERROR(TRIM(INDEX(인턴근무계획!$C$3:$C$202,$A27)&amp;""),"")</f>
        <v/>
      </c>
      <c r="D27" s="19">
        <f>IF($C27="","",INDEX(인턴근무계획!$D$3:$D$202,$A27))</f>
        <v/>
      </c>
      <c r="E27" s="19">
        <f>IF($C27="","",IF(IFERROR(MATCH($D27,기본자료!$B$2:$B$501,0),IFERROR(MATCH($D27&amp;"",기본자료!$B$2:$B$501,0),IFERROR(MATCH(VALUE($D27),기본자료!$B$2:$B$501,0),0)))&gt;0,"확인","미등록"))</f>
        <v/>
      </c>
      <c r="F27" s="19">
        <f>IF(OR($C27="",$F$3=""),"",IF(TRIM(INDEX(인턴근무계획!$E$3:$J$202,$A27,$F$3)&amp;"")="","",IFERROR(LEFT(TRIM(INDEX(인턴근무계획!$E$3:$J$202,$A27,$F$3)&amp;""),FIND(" ",TRIM(INDEX(인턴근무계획!$E$3:$J$202,$A27,$F$3)&amp;""))-1),TRIM(INDEX(인턴근무계획!$E$3:$J$202,$A27,$F$3)&amp;""))))</f>
        <v/>
      </c>
      <c r="G27" s="19">
        <f>IF(OR($C27="",$F$3=""),"",IF(TRIM(INDEX(인턴근무계획!$E$3:$J$202,$A27,$F$3)&amp;"")="","",IFERROR(MID(TRIM(INDEX(인턴근무계획!$E$3:$J$202,$A27,$F$3)&amp;""),FIND(" ",TRIM(INDEX(인턴근무계획!$E$3:$J$202,$A27,$F$3)&amp;""))+1,60),"")))</f>
        <v/>
      </c>
      <c r="H27" s="19">
        <f>IF(OR($C27="",$H$3=""),"",IF(TRIM(INDEX(인턴근무계획!$E$3:$J$202,$A27,$H$3)&amp;"")="","",IFERROR(LEFT(TRIM(INDEX(인턴근무계획!$E$3:$J$202,$A27,$H$3)&amp;""),FIND(" ",TRIM(INDEX(인턴근무계획!$E$3:$J$202,$A27,$H$3)&amp;""))-1),TRIM(INDEX(인턴근무계획!$E$3:$J$202,$A27,$H$3)&amp;""))))</f>
        <v/>
      </c>
      <c r="I27" s="19">
        <f>IF(OR($C27="",$H$3=""),"",IF(TRIM(INDEX(인턴근무계획!$E$3:$J$202,$A27,$H$3)&amp;"")="","",IFERROR(MID(TRIM(INDEX(인턴근무계획!$E$3:$J$202,$A27,$H$3)&amp;""),FIND(" ",TRIM(INDEX(인턴근무계획!$E$3:$J$202,$A27,$H$3)&amp;""))+1,60),"")))</f>
        <v/>
      </c>
      <c r="J27" s="19">
        <f>IF($C27="","",IF(TRIM(INDEX(인턴근무계획!$E$3:$J$202,$A27,1)&amp;"")="","",IFERROR(LEFT(TRIM(INDEX(인턴근무계획!$E$3:$J$202,$A27,1)&amp;""),FIND(" ",TRIM(INDEX(인턴근무계획!$E$3:$J$202,$A27,1)&amp;""))-1),TRIM(INDEX(인턴근무계획!$E$3:$J$202,$A27,1)&amp;""))))</f>
        <v/>
      </c>
      <c r="K27" s="19">
        <f>IF($C27="","",IF(TRIM(INDEX(인턴근무계획!$E$3:$J$202,$A27,2)&amp;"")="","",IFERROR(LEFT(TRIM(INDEX(인턴근무계획!$E$3:$J$202,$A27,2)&amp;""),FIND(" ",TRIM(INDEX(인턴근무계획!$E$3:$J$202,$A27,2)&amp;""))-1),TRIM(INDEX(인턴근무계획!$E$3:$J$202,$A27,2)&amp;""))))</f>
        <v/>
      </c>
      <c r="L27" s="19">
        <f>IF($C27="","",IF(TRIM(INDEX(인턴근무계획!$E$3:$J$202,$A27,3)&amp;"")="","",IFERROR(LEFT(TRIM(INDEX(인턴근무계획!$E$3:$J$202,$A27,3)&amp;""),FIND(" ",TRIM(INDEX(인턴근무계획!$E$3:$J$202,$A27,3)&amp;""))-1),TRIM(INDEX(인턴근무계획!$E$3:$J$202,$A27,3)&amp;""))))</f>
        <v/>
      </c>
      <c r="M27" s="19">
        <f>IF($C27="","",IF(TRIM(INDEX(인턴근무계획!$E$3:$J$202,$A27,4)&amp;"")="","",IFERROR(LEFT(TRIM(INDEX(인턴근무계획!$E$3:$J$202,$A27,4)&amp;""),FIND(" ",TRIM(INDEX(인턴근무계획!$E$3:$J$202,$A27,4)&amp;""))-1),TRIM(INDEX(인턴근무계획!$E$3:$J$202,$A27,4)&amp;""))))</f>
        <v/>
      </c>
      <c r="N27" s="19">
        <f>IF($C27="","",IF(TRIM(INDEX(인턴근무계획!$E$3:$J$202,$A27,5)&amp;"")="","",IFERROR(LEFT(TRIM(INDEX(인턴근무계획!$E$3:$J$202,$A27,5)&amp;""),FIND(" ",TRIM(INDEX(인턴근무계획!$E$3:$J$202,$A27,5)&amp;""))-1),TRIM(INDEX(인턴근무계획!$E$3:$J$202,$A27,5)&amp;""))))</f>
        <v/>
      </c>
      <c r="O27" s="19">
        <f>IF($C27="","",IF(TRIM(INDEX(인턴근무계획!$E$3:$J$202,$A27,6)&amp;"")="","",IFERROR(LEFT(TRIM(INDEX(인턴근무계획!$E$3:$J$202,$A27,6)&amp;""),FIND(" ",TRIM(INDEX(인턴근무계획!$E$3:$J$202,$A27,6)&amp;""))-1),TRIM(INDEX(인턴근무계획!$E$3:$J$202,$A27,6)&amp;""))))</f>
        <v/>
      </c>
      <c r="P27" s="19">
        <f>IF($C27="","",IF(INDEX(인턴근무계획!$K$3:$K$202,$A27)="","",INDEX(인턴근무계획!$K$3:$K$202,$A27)))</f>
        <v/>
      </c>
      <c r="R27" s="15" t="inlineStr">
        <is>
          <t>※ 코드표에 없는 병원명은 합계에서 제외됩니다. 합계가 인원과 다르면 코드표를 확인하세요.</t>
        </is>
      </c>
    </row>
    <row r="28">
      <c r="A28" s="18" t="n">
        <v>23</v>
      </c>
      <c r="B28" s="19">
        <f>IF($C28="","",INDEX(인턴근무계획!$B$3:$B$202,$A28))</f>
        <v/>
      </c>
      <c r="C28" s="19">
        <f>IFERROR(TRIM(INDEX(인턴근무계획!$C$3:$C$202,$A28)&amp;""),"")</f>
        <v/>
      </c>
      <c r="D28" s="19">
        <f>IF($C28="","",INDEX(인턴근무계획!$D$3:$D$202,$A28))</f>
        <v/>
      </c>
      <c r="E28" s="19">
        <f>IF($C28="","",IF(IFERROR(MATCH($D28,기본자료!$B$2:$B$501,0),IFERROR(MATCH($D28&amp;"",기본자료!$B$2:$B$501,0),IFERROR(MATCH(VALUE($D28),기본자료!$B$2:$B$501,0),0)))&gt;0,"확인","미등록"))</f>
        <v/>
      </c>
      <c r="F28" s="19">
        <f>IF(OR($C28="",$F$3=""),"",IF(TRIM(INDEX(인턴근무계획!$E$3:$J$202,$A28,$F$3)&amp;"")="","",IFERROR(LEFT(TRIM(INDEX(인턴근무계획!$E$3:$J$202,$A28,$F$3)&amp;""),FIND(" ",TRIM(INDEX(인턴근무계획!$E$3:$J$202,$A28,$F$3)&amp;""))-1),TRIM(INDEX(인턴근무계획!$E$3:$J$202,$A28,$F$3)&amp;""))))</f>
        <v/>
      </c>
      <c r="G28" s="19">
        <f>IF(OR($C28="",$F$3=""),"",IF(TRIM(INDEX(인턴근무계획!$E$3:$J$202,$A28,$F$3)&amp;"")="","",IFERROR(MID(TRIM(INDEX(인턴근무계획!$E$3:$J$202,$A28,$F$3)&amp;""),FIND(" ",TRIM(INDEX(인턴근무계획!$E$3:$J$202,$A28,$F$3)&amp;""))+1,60),"")))</f>
        <v/>
      </c>
      <c r="H28" s="19">
        <f>IF(OR($C28="",$H$3=""),"",IF(TRIM(INDEX(인턴근무계획!$E$3:$J$202,$A28,$H$3)&amp;"")="","",IFERROR(LEFT(TRIM(INDEX(인턴근무계획!$E$3:$J$202,$A28,$H$3)&amp;""),FIND(" ",TRIM(INDEX(인턴근무계획!$E$3:$J$202,$A28,$H$3)&amp;""))-1),TRIM(INDEX(인턴근무계획!$E$3:$J$202,$A28,$H$3)&amp;""))))</f>
        <v/>
      </c>
      <c r="I28" s="19">
        <f>IF(OR($C28="",$H$3=""),"",IF(TRIM(INDEX(인턴근무계획!$E$3:$J$202,$A28,$H$3)&amp;"")="","",IFERROR(MID(TRIM(INDEX(인턴근무계획!$E$3:$J$202,$A28,$H$3)&amp;""),FIND(" ",TRIM(INDEX(인턴근무계획!$E$3:$J$202,$A28,$H$3)&amp;""))+1,60),"")))</f>
        <v/>
      </c>
      <c r="J28" s="19">
        <f>IF($C28="","",IF(TRIM(INDEX(인턴근무계획!$E$3:$J$202,$A28,1)&amp;"")="","",IFERROR(LEFT(TRIM(INDEX(인턴근무계획!$E$3:$J$202,$A28,1)&amp;""),FIND(" ",TRIM(INDEX(인턴근무계획!$E$3:$J$202,$A28,1)&amp;""))-1),TRIM(INDEX(인턴근무계획!$E$3:$J$202,$A28,1)&amp;""))))</f>
        <v/>
      </c>
      <c r="K28" s="19">
        <f>IF($C28="","",IF(TRIM(INDEX(인턴근무계획!$E$3:$J$202,$A28,2)&amp;"")="","",IFERROR(LEFT(TRIM(INDEX(인턴근무계획!$E$3:$J$202,$A28,2)&amp;""),FIND(" ",TRIM(INDEX(인턴근무계획!$E$3:$J$202,$A28,2)&amp;""))-1),TRIM(INDEX(인턴근무계획!$E$3:$J$202,$A28,2)&amp;""))))</f>
        <v/>
      </c>
      <c r="L28" s="19">
        <f>IF($C28="","",IF(TRIM(INDEX(인턴근무계획!$E$3:$J$202,$A28,3)&amp;"")="","",IFERROR(LEFT(TRIM(INDEX(인턴근무계획!$E$3:$J$202,$A28,3)&amp;""),FIND(" ",TRIM(INDEX(인턴근무계획!$E$3:$J$202,$A28,3)&amp;""))-1),TRIM(INDEX(인턴근무계획!$E$3:$J$202,$A28,3)&amp;""))))</f>
        <v/>
      </c>
      <c r="M28" s="19">
        <f>IF($C28="","",IF(TRIM(INDEX(인턴근무계획!$E$3:$J$202,$A28,4)&amp;"")="","",IFERROR(LEFT(TRIM(INDEX(인턴근무계획!$E$3:$J$202,$A28,4)&amp;""),FIND(" ",TRIM(INDEX(인턴근무계획!$E$3:$J$202,$A28,4)&amp;""))-1),TRIM(INDEX(인턴근무계획!$E$3:$J$202,$A28,4)&amp;""))))</f>
        <v/>
      </c>
      <c r="N28" s="19">
        <f>IF($C28="","",IF(TRIM(INDEX(인턴근무계획!$E$3:$J$202,$A28,5)&amp;"")="","",IFERROR(LEFT(TRIM(INDEX(인턴근무계획!$E$3:$J$202,$A28,5)&amp;""),FIND(" ",TRIM(INDEX(인턴근무계획!$E$3:$J$202,$A28,5)&amp;""))-1),TRIM(INDEX(인턴근무계획!$E$3:$J$202,$A28,5)&amp;""))))</f>
        <v/>
      </c>
      <c r="O28" s="19">
        <f>IF($C28="","",IF(TRIM(INDEX(인턴근무계획!$E$3:$J$202,$A28,6)&amp;"")="","",IFERROR(LEFT(TRIM(INDEX(인턴근무계획!$E$3:$J$202,$A28,6)&amp;""),FIND(" ",TRIM(INDEX(인턴근무계획!$E$3:$J$202,$A28,6)&amp;""))-1),TRIM(INDEX(인턴근무계획!$E$3:$J$202,$A28,6)&amp;""))))</f>
        <v/>
      </c>
      <c r="P28" s="19">
        <f>IF($C28="","",IF(INDEX(인턴근무계획!$K$3:$K$202,$A28)="","",INDEX(인턴근무계획!$K$3:$K$202,$A28)))</f>
        <v/>
      </c>
    </row>
    <row r="29">
      <c r="A29" s="18" t="n">
        <v>24</v>
      </c>
      <c r="B29" s="19">
        <f>IF($C29="","",INDEX(인턴근무계획!$B$3:$B$202,$A29))</f>
        <v/>
      </c>
      <c r="C29" s="19">
        <f>IFERROR(TRIM(INDEX(인턴근무계획!$C$3:$C$202,$A29)&amp;""),"")</f>
        <v/>
      </c>
      <c r="D29" s="19">
        <f>IF($C29="","",INDEX(인턴근무계획!$D$3:$D$202,$A29))</f>
        <v/>
      </c>
      <c r="E29" s="19">
        <f>IF($C29="","",IF(IFERROR(MATCH($D29,기본자료!$B$2:$B$501,0),IFERROR(MATCH($D29&amp;"",기본자료!$B$2:$B$501,0),IFERROR(MATCH(VALUE($D29),기본자료!$B$2:$B$501,0),0)))&gt;0,"확인","미등록"))</f>
        <v/>
      </c>
      <c r="F29" s="19">
        <f>IF(OR($C29="",$F$3=""),"",IF(TRIM(INDEX(인턴근무계획!$E$3:$J$202,$A29,$F$3)&amp;"")="","",IFERROR(LEFT(TRIM(INDEX(인턴근무계획!$E$3:$J$202,$A29,$F$3)&amp;""),FIND(" ",TRIM(INDEX(인턴근무계획!$E$3:$J$202,$A29,$F$3)&amp;""))-1),TRIM(INDEX(인턴근무계획!$E$3:$J$202,$A29,$F$3)&amp;""))))</f>
        <v/>
      </c>
      <c r="G29" s="19">
        <f>IF(OR($C29="",$F$3=""),"",IF(TRIM(INDEX(인턴근무계획!$E$3:$J$202,$A29,$F$3)&amp;"")="","",IFERROR(MID(TRIM(INDEX(인턴근무계획!$E$3:$J$202,$A29,$F$3)&amp;""),FIND(" ",TRIM(INDEX(인턴근무계획!$E$3:$J$202,$A29,$F$3)&amp;""))+1,60),"")))</f>
        <v/>
      </c>
      <c r="H29" s="19">
        <f>IF(OR($C29="",$H$3=""),"",IF(TRIM(INDEX(인턴근무계획!$E$3:$J$202,$A29,$H$3)&amp;"")="","",IFERROR(LEFT(TRIM(INDEX(인턴근무계획!$E$3:$J$202,$A29,$H$3)&amp;""),FIND(" ",TRIM(INDEX(인턴근무계획!$E$3:$J$202,$A29,$H$3)&amp;""))-1),TRIM(INDEX(인턴근무계획!$E$3:$J$202,$A29,$H$3)&amp;""))))</f>
        <v/>
      </c>
      <c r="I29" s="19">
        <f>IF(OR($C29="",$H$3=""),"",IF(TRIM(INDEX(인턴근무계획!$E$3:$J$202,$A29,$H$3)&amp;"")="","",IFERROR(MID(TRIM(INDEX(인턴근무계획!$E$3:$J$202,$A29,$H$3)&amp;""),FIND(" ",TRIM(INDEX(인턴근무계획!$E$3:$J$202,$A29,$H$3)&amp;""))+1,60),"")))</f>
        <v/>
      </c>
      <c r="J29" s="19">
        <f>IF($C29="","",IF(TRIM(INDEX(인턴근무계획!$E$3:$J$202,$A29,1)&amp;"")="","",IFERROR(LEFT(TRIM(INDEX(인턴근무계획!$E$3:$J$202,$A29,1)&amp;""),FIND(" ",TRIM(INDEX(인턴근무계획!$E$3:$J$202,$A29,1)&amp;""))-1),TRIM(INDEX(인턴근무계획!$E$3:$J$202,$A29,1)&amp;""))))</f>
        <v/>
      </c>
      <c r="K29" s="19">
        <f>IF($C29="","",IF(TRIM(INDEX(인턴근무계획!$E$3:$J$202,$A29,2)&amp;"")="","",IFERROR(LEFT(TRIM(INDEX(인턴근무계획!$E$3:$J$202,$A29,2)&amp;""),FIND(" ",TRIM(INDEX(인턴근무계획!$E$3:$J$202,$A29,2)&amp;""))-1),TRIM(INDEX(인턴근무계획!$E$3:$J$202,$A29,2)&amp;""))))</f>
        <v/>
      </c>
      <c r="L29" s="19">
        <f>IF($C29="","",IF(TRIM(INDEX(인턴근무계획!$E$3:$J$202,$A29,3)&amp;"")="","",IFERROR(LEFT(TRIM(INDEX(인턴근무계획!$E$3:$J$202,$A29,3)&amp;""),FIND(" ",TRIM(INDEX(인턴근무계획!$E$3:$J$202,$A29,3)&amp;""))-1),TRIM(INDEX(인턴근무계획!$E$3:$J$202,$A29,3)&amp;""))))</f>
        <v/>
      </c>
      <c r="M29" s="19">
        <f>IF($C29="","",IF(TRIM(INDEX(인턴근무계획!$E$3:$J$202,$A29,4)&amp;"")="","",IFERROR(LEFT(TRIM(INDEX(인턴근무계획!$E$3:$J$202,$A29,4)&amp;""),FIND(" ",TRIM(INDEX(인턴근무계획!$E$3:$J$202,$A29,4)&amp;""))-1),TRIM(INDEX(인턴근무계획!$E$3:$J$202,$A29,4)&amp;""))))</f>
        <v/>
      </c>
      <c r="N29" s="19">
        <f>IF($C29="","",IF(TRIM(INDEX(인턴근무계획!$E$3:$J$202,$A29,5)&amp;"")="","",IFERROR(LEFT(TRIM(INDEX(인턴근무계획!$E$3:$J$202,$A29,5)&amp;""),FIND(" ",TRIM(INDEX(인턴근무계획!$E$3:$J$202,$A29,5)&amp;""))-1),TRIM(INDEX(인턴근무계획!$E$3:$J$202,$A29,5)&amp;""))))</f>
        <v/>
      </c>
      <c r="O29" s="19">
        <f>IF($C29="","",IF(TRIM(INDEX(인턴근무계획!$E$3:$J$202,$A29,6)&amp;"")="","",IFERROR(LEFT(TRIM(INDEX(인턴근무계획!$E$3:$J$202,$A29,6)&amp;""),FIND(" ",TRIM(INDEX(인턴근무계획!$E$3:$J$202,$A29,6)&amp;""))-1),TRIM(INDEX(인턴근무계획!$E$3:$J$202,$A29,6)&amp;""))))</f>
        <v/>
      </c>
      <c r="P29" s="19">
        <f>IF($C29="","",IF(INDEX(인턴근무계획!$K$3:$K$202,$A29)="","",INDEX(인턴근무계획!$K$3:$K$202,$A29)))</f>
        <v/>
      </c>
    </row>
    <row r="30">
      <c r="A30" s="18" t="n">
        <v>25</v>
      </c>
      <c r="B30" s="19">
        <f>IF($C30="","",INDEX(인턴근무계획!$B$3:$B$202,$A30))</f>
        <v/>
      </c>
      <c r="C30" s="19">
        <f>IFERROR(TRIM(INDEX(인턴근무계획!$C$3:$C$202,$A30)&amp;""),"")</f>
        <v/>
      </c>
      <c r="D30" s="19">
        <f>IF($C30="","",INDEX(인턴근무계획!$D$3:$D$202,$A30))</f>
        <v/>
      </c>
      <c r="E30" s="19">
        <f>IF($C30="","",IF(IFERROR(MATCH($D30,기본자료!$B$2:$B$501,0),IFERROR(MATCH($D30&amp;"",기본자료!$B$2:$B$501,0),IFERROR(MATCH(VALUE($D30),기본자료!$B$2:$B$501,0),0)))&gt;0,"확인","미등록"))</f>
        <v/>
      </c>
      <c r="F30" s="19">
        <f>IF(OR($C30="",$F$3=""),"",IF(TRIM(INDEX(인턴근무계획!$E$3:$J$202,$A30,$F$3)&amp;"")="","",IFERROR(LEFT(TRIM(INDEX(인턴근무계획!$E$3:$J$202,$A30,$F$3)&amp;""),FIND(" ",TRIM(INDEX(인턴근무계획!$E$3:$J$202,$A30,$F$3)&amp;""))-1),TRIM(INDEX(인턴근무계획!$E$3:$J$202,$A30,$F$3)&amp;""))))</f>
        <v/>
      </c>
      <c r="G30" s="19">
        <f>IF(OR($C30="",$F$3=""),"",IF(TRIM(INDEX(인턴근무계획!$E$3:$J$202,$A30,$F$3)&amp;"")="","",IFERROR(MID(TRIM(INDEX(인턴근무계획!$E$3:$J$202,$A30,$F$3)&amp;""),FIND(" ",TRIM(INDEX(인턴근무계획!$E$3:$J$202,$A30,$F$3)&amp;""))+1,60),"")))</f>
        <v/>
      </c>
      <c r="H30" s="19">
        <f>IF(OR($C30="",$H$3=""),"",IF(TRIM(INDEX(인턴근무계획!$E$3:$J$202,$A30,$H$3)&amp;"")="","",IFERROR(LEFT(TRIM(INDEX(인턴근무계획!$E$3:$J$202,$A30,$H$3)&amp;""),FIND(" ",TRIM(INDEX(인턴근무계획!$E$3:$J$202,$A30,$H$3)&amp;""))-1),TRIM(INDEX(인턴근무계획!$E$3:$J$202,$A30,$H$3)&amp;""))))</f>
        <v/>
      </c>
      <c r="I30" s="19">
        <f>IF(OR($C30="",$H$3=""),"",IF(TRIM(INDEX(인턴근무계획!$E$3:$J$202,$A30,$H$3)&amp;"")="","",IFERROR(MID(TRIM(INDEX(인턴근무계획!$E$3:$J$202,$A30,$H$3)&amp;""),FIND(" ",TRIM(INDEX(인턴근무계획!$E$3:$J$202,$A30,$H$3)&amp;""))+1,60),"")))</f>
        <v/>
      </c>
      <c r="J30" s="19">
        <f>IF($C30="","",IF(TRIM(INDEX(인턴근무계획!$E$3:$J$202,$A30,1)&amp;"")="","",IFERROR(LEFT(TRIM(INDEX(인턴근무계획!$E$3:$J$202,$A30,1)&amp;""),FIND(" ",TRIM(INDEX(인턴근무계획!$E$3:$J$202,$A30,1)&amp;""))-1),TRIM(INDEX(인턴근무계획!$E$3:$J$202,$A30,1)&amp;""))))</f>
        <v/>
      </c>
      <c r="K30" s="19">
        <f>IF($C30="","",IF(TRIM(INDEX(인턴근무계획!$E$3:$J$202,$A30,2)&amp;"")="","",IFERROR(LEFT(TRIM(INDEX(인턴근무계획!$E$3:$J$202,$A30,2)&amp;""),FIND(" ",TRIM(INDEX(인턴근무계획!$E$3:$J$202,$A30,2)&amp;""))-1),TRIM(INDEX(인턴근무계획!$E$3:$J$202,$A30,2)&amp;""))))</f>
        <v/>
      </c>
      <c r="L30" s="19">
        <f>IF($C30="","",IF(TRIM(INDEX(인턴근무계획!$E$3:$J$202,$A30,3)&amp;"")="","",IFERROR(LEFT(TRIM(INDEX(인턴근무계획!$E$3:$J$202,$A30,3)&amp;""),FIND(" ",TRIM(INDEX(인턴근무계획!$E$3:$J$202,$A30,3)&amp;""))-1),TRIM(INDEX(인턴근무계획!$E$3:$J$202,$A30,3)&amp;""))))</f>
        <v/>
      </c>
      <c r="M30" s="19">
        <f>IF($C30="","",IF(TRIM(INDEX(인턴근무계획!$E$3:$J$202,$A30,4)&amp;"")="","",IFERROR(LEFT(TRIM(INDEX(인턴근무계획!$E$3:$J$202,$A30,4)&amp;""),FIND(" ",TRIM(INDEX(인턴근무계획!$E$3:$J$202,$A30,4)&amp;""))-1),TRIM(INDEX(인턴근무계획!$E$3:$J$202,$A30,4)&amp;""))))</f>
        <v/>
      </c>
      <c r="N30" s="19">
        <f>IF($C30="","",IF(TRIM(INDEX(인턴근무계획!$E$3:$J$202,$A30,5)&amp;"")="","",IFERROR(LEFT(TRIM(INDEX(인턴근무계획!$E$3:$J$202,$A30,5)&amp;""),FIND(" ",TRIM(INDEX(인턴근무계획!$E$3:$J$202,$A30,5)&amp;""))-1),TRIM(INDEX(인턴근무계획!$E$3:$J$202,$A30,5)&amp;""))))</f>
        <v/>
      </c>
      <c r="O30" s="19">
        <f>IF($C30="","",IF(TRIM(INDEX(인턴근무계획!$E$3:$J$202,$A30,6)&amp;"")="","",IFERROR(LEFT(TRIM(INDEX(인턴근무계획!$E$3:$J$202,$A30,6)&amp;""),FIND(" ",TRIM(INDEX(인턴근무계획!$E$3:$J$202,$A30,6)&amp;""))-1),TRIM(INDEX(인턴근무계획!$E$3:$J$202,$A30,6)&amp;""))))</f>
        <v/>
      </c>
      <c r="P30" s="19">
        <f>IF($C30="","",IF(INDEX(인턴근무계획!$K$3:$K$202,$A30)="","",INDEX(인턴근무계획!$K$3:$K$202,$A30)))</f>
        <v/>
      </c>
    </row>
    <row r="31">
      <c r="A31" s="18" t="n">
        <v>26</v>
      </c>
      <c r="B31" s="19">
        <f>IF($C31="","",INDEX(인턴근무계획!$B$3:$B$202,$A31))</f>
        <v/>
      </c>
      <c r="C31" s="19">
        <f>IFERROR(TRIM(INDEX(인턴근무계획!$C$3:$C$202,$A31)&amp;""),"")</f>
        <v/>
      </c>
      <c r="D31" s="19">
        <f>IF($C31="","",INDEX(인턴근무계획!$D$3:$D$202,$A31))</f>
        <v/>
      </c>
      <c r="E31" s="19">
        <f>IF($C31="","",IF(IFERROR(MATCH($D31,기본자료!$B$2:$B$501,0),IFERROR(MATCH($D31&amp;"",기본자료!$B$2:$B$501,0),IFERROR(MATCH(VALUE($D31),기본자료!$B$2:$B$501,0),0)))&gt;0,"확인","미등록"))</f>
        <v/>
      </c>
      <c r="F31" s="19">
        <f>IF(OR($C31="",$F$3=""),"",IF(TRIM(INDEX(인턴근무계획!$E$3:$J$202,$A31,$F$3)&amp;"")="","",IFERROR(LEFT(TRIM(INDEX(인턴근무계획!$E$3:$J$202,$A31,$F$3)&amp;""),FIND(" ",TRIM(INDEX(인턴근무계획!$E$3:$J$202,$A31,$F$3)&amp;""))-1),TRIM(INDEX(인턴근무계획!$E$3:$J$202,$A31,$F$3)&amp;""))))</f>
        <v/>
      </c>
      <c r="G31" s="19">
        <f>IF(OR($C31="",$F$3=""),"",IF(TRIM(INDEX(인턴근무계획!$E$3:$J$202,$A31,$F$3)&amp;"")="","",IFERROR(MID(TRIM(INDEX(인턴근무계획!$E$3:$J$202,$A31,$F$3)&amp;""),FIND(" ",TRIM(INDEX(인턴근무계획!$E$3:$J$202,$A31,$F$3)&amp;""))+1,60),"")))</f>
        <v/>
      </c>
      <c r="H31" s="19">
        <f>IF(OR($C31="",$H$3=""),"",IF(TRIM(INDEX(인턴근무계획!$E$3:$J$202,$A31,$H$3)&amp;"")="","",IFERROR(LEFT(TRIM(INDEX(인턴근무계획!$E$3:$J$202,$A31,$H$3)&amp;""),FIND(" ",TRIM(INDEX(인턴근무계획!$E$3:$J$202,$A31,$H$3)&amp;""))-1),TRIM(INDEX(인턴근무계획!$E$3:$J$202,$A31,$H$3)&amp;""))))</f>
        <v/>
      </c>
      <c r="I31" s="19">
        <f>IF(OR($C31="",$H$3=""),"",IF(TRIM(INDEX(인턴근무계획!$E$3:$J$202,$A31,$H$3)&amp;"")="","",IFERROR(MID(TRIM(INDEX(인턴근무계획!$E$3:$J$202,$A31,$H$3)&amp;""),FIND(" ",TRIM(INDEX(인턴근무계획!$E$3:$J$202,$A31,$H$3)&amp;""))+1,60),"")))</f>
        <v/>
      </c>
      <c r="J31" s="19">
        <f>IF($C31="","",IF(TRIM(INDEX(인턴근무계획!$E$3:$J$202,$A31,1)&amp;"")="","",IFERROR(LEFT(TRIM(INDEX(인턴근무계획!$E$3:$J$202,$A31,1)&amp;""),FIND(" ",TRIM(INDEX(인턴근무계획!$E$3:$J$202,$A31,1)&amp;""))-1),TRIM(INDEX(인턴근무계획!$E$3:$J$202,$A31,1)&amp;""))))</f>
        <v/>
      </c>
      <c r="K31" s="19">
        <f>IF($C31="","",IF(TRIM(INDEX(인턴근무계획!$E$3:$J$202,$A31,2)&amp;"")="","",IFERROR(LEFT(TRIM(INDEX(인턴근무계획!$E$3:$J$202,$A31,2)&amp;""),FIND(" ",TRIM(INDEX(인턴근무계획!$E$3:$J$202,$A31,2)&amp;""))-1),TRIM(INDEX(인턴근무계획!$E$3:$J$202,$A31,2)&amp;""))))</f>
        <v/>
      </c>
      <c r="L31" s="19">
        <f>IF($C31="","",IF(TRIM(INDEX(인턴근무계획!$E$3:$J$202,$A31,3)&amp;"")="","",IFERROR(LEFT(TRIM(INDEX(인턴근무계획!$E$3:$J$202,$A31,3)&amp;""),FIND(" ",TRIM(INDEX(인턴근무계획!$E$3:$J$202,$A31,3)&amp;""))-1),TRIM(INDEX(인턴근무계획!$E$3:$J$202,$A31,3)&amp;""))))</f>
        <v/>
      </c>
      <c r="M31" s="19">
        <f>IF($C31="","",IF(TRIM(INDEX(인턴근무계획!$E$3:$J$202,$A31,4)&amp;"")="","",IFERROR(LEFT(TRIM(INDEX(인턴근무계획!$E$3:$J$202,$A31,4)&amp;""),FIND(" ",TRIM(INDEX(인턴근무계획!$E$3:$J$202,$A31,4)&amp;""))-1),TRIM(INDEX(인턴근무계획!$E$3:$J$202,$A31,4)&amp;""))))</f>
        <v/>
      </c>
      <c r="N31" s="19">
        <f>IF($C31="","",IF(TRIM(INDEX(인턴근무계획!$E$3:$J$202,$A31,5)&amp;"")="","",IFERROR(LEFT(TRIM(INDEX(인턴근무계획!$E$3:$J$202,$A31,5)&amp;""),FIND(" ",TRIM(INDEX(인턴근무계획!$E$3:$J$202,$A31,5)&amp;""))-1),TRIM(INDEX(인턴근무계획!$E$3:$J$202,$A31,5)&amp;""))))</f>
        <v/>
      </c>
      <c r="O31" s="19">
        <f>IF($C31="","",IF(TRIM(INDEX(인턴근무계획!$E$3:$J$202,$A31,6)&amp;"")="","",IFERROR(LEFT(TRIM(INDEX(인턴근무계획!$E$3:$J$202,$A31,6)&amp;""),FIND(" ",TRIM(INDEX(인턴근무계획!$E$3:$J$202,$A31,6)&amp;""))-1),TRIM(INDEX(인턴근무계획!$E$3:$J$202,$A31,6)&amp;""))))</f>
        <v/>
      </c>
      <c r="P31" s="19">
        <f>IF($C31="","",IF(INDEX(인턴근무계획!$K$3:$K$202,$A31)="","",INDEX(인턴근무계획!$K$3:$K$202,$A31)))</f>
        <v/>
      </c>
    </row>
    <row r="32">
      <c r="A32" s="18" t="n">
        <v>27</v>
      </c>
      <c r="B32" s="19">
        <f>IF($C32="","",INDEX(인턴근무계획!$B$3:$B$202,$A32))</f>
        <v/>
      </c>
      <c r="C32" s="19">
        <f>IFERROR(TRIM(INDEX(인턴근무계획!$C$3:$C$202,$A32)&amp;""),"")</f>
        <v/>
      </c>
      <c r="D32" s="19">
        <f>IF($C32="","",INDEX(인턴근무계획!$D$3:$D$202,$A32))</f>
        <v/>
      </c>
      <c r="E32" s="19">
        <f>IF($C32="","",IF(IFERROR(MATCH($D32,기본자료!$B$2:$B$501,0),IFERROR(MATCH($D32&amp;"",기본자료!$B$2:$B$501,0),IFERROR(MATCH(VALUE($D32),기본자료!$B$2:$B$501,0),0)))&gt;0,"확인","미등록"))</f>
        <v/>
      </c>
      <c r="F32" s="19">
        <f>IF(OR($C32="",$F$3=""),"",IF(TRIM(INDEX(인턴근무계획!$E$3:$J$202,$A32,$F$3)&amp;"")="","",IFERROR(LEFT(TRIM(INDEX(인턴근무계획!$E$3:$J$202,$A32,$F$3)&amp;""),FIND(" ",TRIM(INDEX(인턴근무계획!$E$3:$J$202,$A32,$F$3)&amp;""))-1),TRIM(INDEX(인턴근무계획!$E$3:$J$202,$A32,$F$3)&amp;""))))</f>
        <v/>
      </c>
      <c r="G32" s="19">
        <f>IF(OR($C32="",$F$3=""),"",IF(TRIM(INDEX(인턴근무계획!$E$3:$J$202,$A32,$F$3)&amp;"")="","",IFERROR(MID(TRIM(INDEX(인턴근무계획!$E$3:$J$202,$A32,$F$3)&amp;""),FIND(" ",TRIM(INDEX(인턴근무계획!$E$3:$J$202,$A32,$F$3)&amp;""))+1,60),"")))</f>
        <v/>
      </c>
      <c r="H32" s="19">
        <f>IF(OR($C32="",$H$3=""),"",IF(TRIM(INDEX(인턴근무계획!$E$3:$J$202,$A32,$H$3)&amp;"")="","",IFERROR(LEFT(TRIM(INDEX(인턴근무계획!$E$3:$J$202,$A32,$H$3)&amp;""),FIND(" ",TRIM(INDEX(인턴근무계획!$E$3:$J$202,$A32,$H$3)&amp;""))-1),TRIM(INDEX(인턴근무계획!$E$3:$J$202,$A32,$H$3)&amp;""))))</f>
        <v/>
      </c>
      <c r="I32" s="19">
        <f>IF(OR($C32="",$H$3=""),"",IF(TRIM(INDEX(인턴근무계획!$E$3:$J$202,$A32,$H$3)&amp;"")="","",IFERROR(MID(TRIM(INDEX(인턴근무계획!$E$3:$J$202,$A32,$H$3)&amp;""),FIND(" ",TRIM(INDEX(인턴근무계획!$E$3:$J$202,$A32,$H$3)&amp;""))+1,60),"")))</f>
        <v/>
      </c>
      <c r="J32" s="19">
        <f>IF($C32="","",IF(TRIM(INDEX(인턴근무계획!$E$3:$J$202,$A32,1)&amp;"")="","",IFERROR(LEFT(TRIM(INDEX(인턴근무계획!$E$3:$J$202,$A32,1)&amp;""),FIND(" ",TRIM(INDEX(인턴근무계획!$E$3:$J$202,$A32,1)&amp;""))-1),TRIM(INDEX(인턴근무계획!$E$3:$J$202,$A32,1)&amp;""))))</f>
        <v/>
      </c>
      <c r="K32" s="19">
        <f>IF($C32="","",IF(TRIM(INDEX(인턴근무계획!$E$3:$J$202,$A32,2)&amp;"")="","",IFERROR(LEFT(TRIM(INDEX(인턴근무계획!$E$3:$J$202,$A32,2)&amp;""),FIND(" ",TRIM(INDEX(인턴근무계획!$E$3:$J$202,$A32,2)&amp;""))-1),TRIM(INDEX(인턴근무계획!$E$3:$J$202,$A32,2)&amp;""))))</f>
        <v/>
      </c>
      <c r="L32" s="19">
        <f>IF($C32="","",IF(TRIM(INDEX(인턴근무계획!$E$3:$J$202,$A32,3)&amp;"")="","",IFERROR(LEFT(TRIM(INDEX(인턴근무계획!$E$3:$J$202,$A32,3)&amp;""),FIND(" ",TRIM(INDEX(인턴근무계획!$E$3:$J$202,$A32,3)&amp;""))-1),TRIM(INDEX(인턴근무계획!$E$3:$J$202,$A32,3)&amp;""))))</f>
        <v/>
      </c>
      <c r="M32" s="19">
        <f>IF($C32="","",IF(TRIM(INDEX(인턴근무계획!$E$3:$J$202,$A32,4)&amp;"")="","",IFERROR(LEFT(TRIM(INDEX(인턴근무계획!$E$3:$J$202,$A32,4)&amp;""),FIND(" ",TRIM(INDEX(인턴근무계획!$E$3:$J$202,$A32,4)&amp;""))-1),TRIM(INDEX(인턴근무계획!$E$3:$J$202,$A32,4)&amp;""))))</f>
        <v/>
      </c>
      <c r="N32" s="19">
        <f>IF($C32="","",IF(TRIM(INDEX(인턴근무계획!$E$3:$J$202,$A32,5)&amp;"")="","",IFERROR(LEFT(TRIM(INDEX(인턴근무계획!$E$3:$J$202,$A32,5)&amp;""),FIND(" ",TRIM(INDEX(인턴근무계획!$E$3:$J$202,$A32,5)&amp;""))-1),TRIM(INDEX(인턴근무계획!$E$3:$J$202,$A32,5)&amp;""))))</f>
        <v/>
      </c>
      <c r="O32" s="19">
        <f>IF($C32="","",IF(TRIM(INDEX(인턴근무계획!$E$3:$J$202,$A32,6)&amp;"")="","",IFERROR(LEFT(TRIM(INDEX(인턴근무계획!$E$3:$J$202,$A32,6)&amp;""),FIND(" ",TRIM(INDEX(인턴근무계획!$E$3:$J$202,$A32,6)&amp;""))-1),TRIM(INDEX(인턴근무계획!$E$3:$J$202,$A32,6)&amp;""))))</f>
        <v/>
      </c>
      <c r="P32" s="19">
        <f>IF($C32="","",IF(INDEX(인턴근무계획!$K$3:$K$202,$A32)="","",INDEX(인턴근무계획!$K$3:$K$202,$A32)))</f>
        <v/>
      </c>
    </row>
    <row r="33">
      <c r="A33" s="18" t="n">
        <v>28</v>
      </c>
      <c r="B33" s="19">
        <f>IF($C33="","",INDEX(인턴근무계획!$B$3:$B$202,$A33))</f>
        <v/>
      </c>
      <c r="C33" s="19">
        <f>IFERROR(TRIM(INDEX(인턴근무계획!$C$3:$C$202,$A33)&amp;""),"")</f>
        <v/>
      </c>
      <c r="D33" s="19">
        <f>IF($C33="","",INDEX(인턴근무계획!$D$3:$D$202,$A33))</f>
        <v/>
      </c>
      <c r="E33" s="19">
        <f>IF($C33="","",IF(IFERROR(MATCH($D33,기본자료!$B$2:$B$501,0),IFERROR(MATCH($D33&amp;"",기본자료!$B$2:$B$501,0),IFERROR(MATCH(VALUE($D33),기본자료!$B$2:$B$501,0),0)))&gt;0,"확인","미등록"))</f>
        <v/>
      </c>
      <c r="F33" s="19">
        <f>IF(OR($C33="",$F$3=""),"",IF(TRIM(INDEX(인턴근무계획!$E$3:$J$202,$A33,$F$3)&amp;"")="","",IFERROR(LEFT(TRIM(INDEX(인턴근무계획!$E$3:$J$202,$A33,$F$3)&amp;""),FIND(" ",TRIM(INDEX(인턴근무계획!$E$3:$J$202,$A33,$F$3)&amp;""))-1),TRIM(INDEX(인턴근무계획!$E$3:$J$202,$A33,$F$3)&amp;""))))</f>
        <v/>
      </c>
      <c r="G33" s="19">
        <f>IF(OR($C33="",$F$3=""),"",IF(TRIM(INDEX(인턴근무계획!$E$3:$J$202,$A33,$F$3)&amp;"")="","",IFERROR(MID(TRIM(INDEX(인턴근무계획!$E$3:$J$202,$A33,$F$3)&amp;""),FIND(" ",TRIM(INDEX(인턴근무계획!$E$3:$J$202,$A33,$F$3)&amp;""))+1,60),"")))</f>
        <v/>
      </c>
      <c r="H33" s="19">
        <f>IF(OR($C33="",$H$3=""),"",IF(TRIM(INDEX(인턴근무계획!$E$3:$J$202,$A33,$H$3)&amp;"")="","",IFERROR(LEFT(TRIM(INDEX(인턴근무계획!$E$3:$J$202,$A33,$H$3)&amp;""),FIND(" ",TRIM(INDEX(인턴근무계획!$E$3:$J$202,$A33,$H$3)&amp;""))-1),TRIM(INDEX(인턴근무계획!$E$3:$J$202,$A33,$H$3)&amp;""))))</f>
        <v/>
      </c>
      <c r="I33" s="19">
        <f>IF(OR($C33="",$H$3=""),"",IF(TRIM(INDEX(인턴근무계획!$E$3:$J$202,$A33,$H$3)&amp;"")="","",IFERROR(MID(TRIM(INDEX(인턴근무계획!$E$3:$J$202,$A33,$H$3)&amp;""),FIND(" ",TRIM(INDEX(인턴근무계획!$E$3:$J$202,$A33,$H$3)&amp;""))+1,60),"")))</f>
        <v/>
      </c>
      <c r="J33" s="19">
        <f>IF($C33="","",IF(TRIM(INDEX(인턴근무계획!$E$3:$J$202,$A33,1)&amp;"")="","",IFERROR(LEFT(TRIM(INDEX(인턴근무계획!$E$3:$J$202,$A33,1)&amp;""),FIND(" ",TRIM(INDEX(인턴근무계획!$E$3:$J$202,$A33,1)&amp;""))-1),TRIM(INDEX(인턴근무계획!$E$3:$J$202,$A33,1)&amp;""))))</f>
        <v/>
      </c>
      <c r="K33" s="19">
        <f>IF($C33="","",IF(TRIM(INDEX(인턴근무계획!$E$3:$J$202,$A33,2)&amp;"")="","",IFERROR(LEFT(TRIM(INDEX(인턴근무계획!$E$3:$J$202,$A33,2)&amp;""),FIND(" ",TRIM(INDEX(인턴근무계획!$E$3:$J$202,$A33,2)&amp;""))-1),TRIM(INDEX(인턴근무계획!$E$3:$J$202,$A33,2)&amp;""))))</f>
        <v/>
      </c>
      <c r="L33" s="19">
        <f>IF($C33="","",IF(TRIM(INDEX(인턴근무계획!$E$3:$J$202,$A33,3)&amp;"")="","",IFERROR(LEFT(TRIM(INDEX(인턴근무계획!$E$3:$J$202,$A33,3)&amp;""),FIND(" ",TRIM(INDEX(인턴근무계획!$E$3:$J$202,$A33,3)&amp;""))-1),TRIM(INDEX(인턴근무계획!$E$3:$J$202,$A33,3)&amp;""))))</f>
        <v/>
      </c>
      <c r="M33" s="19">
        <f>IF($C33="","",IF(TRIM(INDEX(인턴근무계획!$E$3:$J$202,$A33,4)&amp;"")="","",IFERROR(LEFT(TRIM(INDEX(인턴근무계획!$E$3:$J$202,$A33,4)&amp;""),FIND(" ",TRIM(INDEX(인턴근무계획!$E$3:$J$202,$A33,4)&amp;""))-1),TRIM(INDEX(인턴근무계획!$E$3:$J$202,$A33,4)&amp;""))))</f>
        <v/>
      </c>
      <c r="N33" s="19">
        <f>IF($C33="","",IF(TRIM(INDEX(인턴근무계획!$E$3:$J$202,$A33,5)&amp;"")="","",IFERROR(LEFT(TRIM(INDEX(인턴근무계획!$E$3:$J$202,$A33,5)&amp;""),FIND(" ",TRIM(INDEX(인턴근무계획!$E$3:$J$202,$A33,5)&amp;""))-1),TRIM(INDEX(인턴근무계획!$E$3:$J$202,$A33,5)&amp;""))))</f>
        <v/>
      </c>
      <c r="O33" s="19">
        <f>IF($C33="","",IF(TRIM(INDEX(인턴근무계획!$E$3:$J$202,$A33,6)&amp;"")="","",IFERROR(LEFT(TRIM(INDEX(인턴근무계획!$E$3:$J$202,$A33,6)&amp;""),FIND(" ",TRIM(INDEX(인턴근무계획!$E$3:$J$202,$A33,6)&amp;""))-1),TRIM(INDEX(인턴근무계획!$E$3:$J$202,$A33,6)&amp;""))))</f>
        <v/>
      </c>
      <c r="P33" s="19">
        <f>IF($C33="","",IF(INDEX(인턴근무계획!$K$3:$K$202,$A33)="","",INDEX(인턴근무계획!$K$3:$K$202,$A33)))</f>
        <v/>
      </c>
    </row>
    <row r="34">
      <c r="A34" s="18" t="n">
        <v>29</v>
      </c>
      <c r="B34" s="19">
        <f>IF($C34="","",INDEX(인턴근무계획!$B$3:$B$202,$A34))</f>
        <v/>
      </c>
      <c r="C34" s="19">
        <f>IFERROR(TRIM(INDEX(인턴근무계획!$C$3:$C$202,$A34)&amp;""),"")</f>
        <v/>
      </c>
      <c r="D34" s="19">
        <f>IF($C34="","",INDEX(인턴근무계획!$D$3:$D$202,$A34))</f>
        <v/>
      </c>
      <c r="E34" s="19">
        <f>IF($C34="","",IF(IFERROR(MATCH($D34,기본자료!$B$2:$B$501,0),IFERROR(MATCH($D34&amp;"",기본자료!$B$2:$B$501,0),IFERROR(MATCH(VALUE($D34),기본자료!$B$2:$B$501,0),0)))&gt;0,"확인","미등록"))</f>
        <v/>
      </c>
      <c r="F34" s="19">
        <f>IF(OR($C34="",$F$3=""),"",IF(TRIM(INDEX(인턴근무계획!$E$3:$J$202,$A34,$F$3)&amp;"")="","",IFERROR(LEFT(TRIM(INDEX(인턴근무계획!$E$3:$J$202,$A34,$F$3)&amp;""),FIND(" ",TRIM(INDEX(인턴근무계획!$E$3:$J$202,$A34,$F$3)&amp;""))-1),TRIM(INDEX(인턴근무계획!$E$3:$J$202,$A34,$F$3)&amp;""))))</f>
        <v/>
      </c>
      <c r="G34" s="19">
        <f>IF(OR($C34="",$F$3=""),"",IF(TRIM(INDEX(인턴근무계획!$E$3:$J$202,$A34,$F$3)&amp;"")="","",IFERROR(MID(TRIM(INDEX(인턴근무계획!$E$3:$J$202,$A34,$F$3)&amp;""),FIND(" ",TRIM(INDEX(인턴근무계획!$E$3:$J$202,$A34,$F$3)&amp;""))+1,60),"")))</f>
        <v/>
      </c>
      <c r="H34" s="19">
        <f>IF(OR($C34="",$H$3=""),"",IF(TRIM(INDEX(인턴근무계획!$E$3:$J$202,$A34,$H$3)&amp;"")="","",IFERROR(LEFT(TRIM(INDEX(인턴근무계획!$E$3:$J$202,$A34,$H$3)&amp;""),FIND(" ",TRIM(INDEX(인턴근무계획!$E$3:$J$202,$A34,$H$3)&amp;""))-1),TRIM(INDEX(인턴근무계획!$E$3:$J$202,$A34,$H$3)&amp;""))))</f>
        <v/>
      </c>
      <c r="I34" s="19">
        <f>IF(OR($C34="",$H$3=""),"",IF(TRIM(INDEX(인턴근무계획!$E$3:$J$202,$A34,$H$3)&amp;"")="","",IFERROR(MID(TRIM(INDEX(인턴근무계획!$E$3:$J$202,$A34,$H$3)&amp;""),FIND(" ",TRIM(INDEX(인턴근무계획!$E$3:$J$202,$A34,$H$3)&amp;""))+1,60),"")))</f>
        <v/>
      </c>
      <c r="J34" s="19">
        <f>IF($C34="","",IF(TRIM(INDEX(인턴근무계획!$E$3:$J$202,$A34,1)&amp;"")="","",IFERROR(LEFT(TRIM(INDEX(인턴근무계획!$E$3:$J$202,$A34,1)&amp;""),FIND(" ",TRIM(INDEX(인턴근무계획!$E$3:$J$202,$A34,1)&amp;""))-1),TRIM(INDEX(인턴근무계획!$E$3:$J$202,$A34,1)&amp;""))))</f>
        <v/>
      </c>
      <c r="K34" s="19">
        <f>IF($C34="","",IF(TRIM(INDEX(인턴근무계획!$E$3:$J$202,$A34,2)&amp;"")="","",IFERROR(LEFT(TRIM(INDEX(인턴근무계획!$E$3:$J$202,$A34,2)&amp;""),FIND(" ",TRIM(INDEX(인턴근무계획!$E$3:$J$202,$A34,2)&amp;""))-1),TRIM(INDEX(인턴근무계획!$E$3:$J$202,$A34,2)&amp;""))))</f>
        <v/>
      </c>
      <c r="L34" s="19">
        <f>IF($C34="","",IF(TRIM(INDEX(인턴근무계획!$E$3:$J$202,$A34,3)&amp;"")="","",IFERROR(LEFT(TRIM(INDEX(인턴근무계획!$E$3:$J$202,$A34,3)&amp;""),FIND(" ",TRIM(INDEX(인턴근무계획!$E$3:$J$202,$A34,3)&amp;""))-1),TRIM(INDEX(인턴근무계획!$E$3:$J$202,$A34,3)&amp;""))))</f>
        <v/>
      </c>
      <c r="M34" s="19">
        <f>IF($C34="","",IF(TRIM(INDEX(인턴근무계획!$E$3:$J$202,$A34,4)&amp;"")="","",IFERROR(LEFT(TRIM(INDEX(인턴근무계획!$E$3:$J$202,$A34,4)&amp;""),FIND(" ",TRIM(INDEX(인턴근무계획!$E$3:$J$202,$A34,4)&amp;""))-1),TRIM(INDEX(인턴근무계획!$E$3:$J$202,$A34,4)&amp;""))))</f>
        <v/>
      </c>
      <c r="N34" s="19">
        <f>IF($C34="","",IF(TRIM(INDEX(인턴근무계획!$E$3:$J$202,$A34,5)&amp;"")="","",IFERROR(LEFT(TRIM(INDEX(인턴근무계획!$E$3:$J$202,$A34,5)&amp;""),FIND(" ",TRIM(INDEX(인턴근무계획!$E$3:$J$202,$A34,5)&amp;""))-1),TRIM(INDEX(인턴근무계획!$E$3:$J$202,$A34,5)&amp;""))))</f>
        <v/>
      </c>
      <c r="O34" s="19">
        <f>IF($C34="","",IF(TRIM(INDEX(인턴근무계획!$E$3:$J$202,$A34,6)&amp;"")="","",IFERROR(LEFT(TRIM(INDEX(인턴근무계획!$E$3:$J$202,$A34,6)&amp;""),FIND(" ",TRIM(INDEX(인턴근무계획!$E$3:$J$202,$A34,6)&amp;""))-1),TRIM(INDEX(인턴근무계획!$E$3:$J$202,$A34,6)&amp;""))))</f>
        <v/>
      </c>
      <c r="P34" s="19">
        <f>IF($C34="","",IF(INDEX(인턴근무계획!$K$3:$K$202,$A34)="","",INDEX(인턴근무계획!$K$3:$K$202,$A34)))</f>
        <v/>
      </c>
    </row>
    <row r="35">
      <c r="A35" s="18" t="n">
        <v>30</v>
      </c>
      <c r="B35" s="19">
        <f>IF($C35="","",INDEX(인턴근무계획!$B$3:$B$202,$A35))</f>
        <v/>
      </c>
      <c r="C35" s="19">
        <f>IFERROR(TRIM(INDEX(인턴근무계획!$C$3:$C$202,$A35)&amp;""),"")</f>
        <v/>
      </c>
      <c r="D35" s="19">
        <f>IF($C35="","",INDEX(인턴근무계획!$D$3:$D$202,$A35))</f>
        <v/>
      </c>
      <c r="E35" s="19">
        <f>IF($C35="","",IF(IFERROR(MATCH($D35,기본자료!$B$2:$B$501,0),IFERROR(MATCH($D35&amp;"",기본자료!$B$2:$B$501,0),IFERROR(MATCH(VALUE($D35),기본자료!$B$2:$B$501,0),0)))&gt;0,"확인","미등록"))</f>
        <v/>
      </c>
      <c r="F35" s="19">
        <f>IF(OR($C35="",$F$3=""),"",IF(TRIM(INDEX(인턴근무계획!$E$3:$J$202,$A35,$F$3)&amp;"")="","",IFERROR(LEFT(TRIM(INDEX(인턴근무계획!$E$3:$J$202,$A35,$F$3)&amp;""),FIND(" ",TRIM(INDEX(인턴근무계획!$E$3:$J$202,$A35,$F$3)&amp;""))-1),TRIM(INDEX(인턴근무계획!$E$3:$J$202,$A35,$F$3)&amp;""))))</f>
        <v/>
      </c>
      <c r="G35" s="19">
        <f>IF(OR($C35="",$F$3=""),"",IF(TRIM(INDEX(인턴근무계획!$E$3:$J$202,$A35,$F$3)&amp;"")="","",IFERROR(MID(TRIM(INDEX(인턴근무계획!$E$3:$J$202,$A35,$F$3)&amp;""),FIND(" ",TRIM(INDEX(인턴근무계획!$E$3:$J$202,$A35,$F$3)&amp;""))+1,60),"")))</f>
        <v/>
      </c>
      <c r="H35" s="19">
        <f>IF(OR($C35="",$H$3=""),"",IF(TRIM(INDEX(인턴근무계획!$E$3:$J$202,$A35,$H$3)&amp;"")="","",IFERROR(LEFT(TRIM(INDEX(인턴근무계획!$E$3:$J$202,$A35,$H$3)&amp;""),FIND(" ",TRIM(INDEX(인턴근무계획!$E$3:$J$202,$A35,$H$3)&amp;""))-1),TRIM(INDEX(인턴근무계획!$E$3:$J$202,$A35,$H$3)&amp;""))))</f>
        <v/>
      </c>
      <c r="I35" s="19">
        <f>IF(OR($C35="",$H$3=""),"",IF(TRIM(INDEX(인턴근무계획!$E$3:$J$202,$A35,$H$3)&amp;"")="","",IFERROR(MID(TRIM(INDEX(인턴근무계획!$E$3:$J$202,$A35,$H$3)&amp;""),FIND(" ",TRIM(INDEX(인턴근무계획!$E$3:$J$202,$A35,$H$3)&amp;""))+1,60),"")))</f>
        <v/>
      </c>
      <c r="J35" s="19">
        <f>IF($C35="","",IF(TRIM(INDEX(인턴근무계획!$E$3:$J$202,$A35,1)&amp;"")="","",IFERROR(LEFT(TRIM(INDEX(인턴근무계획!$E$3:$J$202,$A35,1)&amp;""),FIND(" ",TRIM(INDEX(인턴근무계획!$E$3:$J$202,$A35,1)&amp;""))-1),TRIM(INDEX(인턴근무계획!$E$3:$J$202,$A35,1)&amp;""))))</f>
        <v/>
      </c>
      <c r="K35" s="19">
        <f>IF($C35="","",IF(TRIM(INDEX(인턴근무계획!$E$3:$J$202,$A35,2)&amp;"")="","",IFERROR(LEFT(TRIM(INDEX(인턴근무계획!$E$3:$J$202,$A35,2)&amp;""),FIND(" ",TRIM(INDEX(인턴근무계획!$E$3:$J$202,$A35,2)&amp;""))-1),TRIM(INDEX(인턴근무계획!$E$3:$J$202,$A35,2)&amp;""))))</f>
        <v/>
      </c>
      <c r="L35" s="19">
        <f>IF($C35="","",IF(TRIM(INDEX(인턴근무계획!$E$3:$J$202,$A35,3)&amp;"")="","",IFERROR(LEFT(TRIM(INDEX(인턴근무계획!$E$3:$J$202,$A35,3)&amp;""),FIND(" ",TRIM(INDEX(인턴근무계획!$E$3:$J$202,$A35,3)&amp;""))-1),TRIM(INDEX(인턴근무계획!$E$3:$J$202,$A35,3)&amp;""))))</f>
        <v/>
      </c>
      <c r="M35" s="19">
        <f>IF($C35="","",IF(TRIM(INDEX(인턴근무계획!$E$3:$J$202,$A35,4)&amp;"")="","",IFERROR(LEFT(TRIM(INDEX(인턴근무계획!$E$3:$J$202,$A35,4)&amp;""),FIND(" ",TRIM(INDEX(인턴근무계획!$E$3:$J$202,$A35,4)&amp;""))-1),TRIM(INDEX(인턴근무계획!$E$3:$J$202,$A35,4)&amp;""))))</f>
        <v/>
      </c>
      <c r="N35" s="19">
        <f>IF($C35="","",IF(TRIM(INDEX(인턴근무계획!$E$3:$J$202,$A35,5)&amp;"")="","",IFERROR(LEFT(TRIM(INDEX(인턴근무계획!$E$3:$J$202,$A35,5)&amp;""),FIND(" ",TRIM(INDEX(인턴근무계획!$E$3:$J$202,$A35,5)&amp;""))-1),TRIM(INDEX(인턴근무계획!$E$3:$J$202,$A35,5)&amp;""))))</f>
        <v/>
      </c>
      <c r="O35" s="19">
        <f>IF($C35="","",IF(TRIM(INDEX(인턴근무계획!$E$3:$J$202,$A35,6)&amp;"")="","",IFERROR(LEFT(TRIM(INDEX(인턴근무계획!$E$3:$J$202,$A35,6)&amp;""),FIND(" ",TRIM(INDEX(인턴근무계획!$E$3:$J$202,$A35,6)&amp;""))-1),TRIM(INDEX(인턴근무계획!$E$3:$J$202,$A35,6)&amp;""))))</f>
        <v/>
      </c>
      <c r="P35" s="19">
        <f>IF($C35="","",IF(INDEX(인턴근무계획!$K$3:$K$202,$A35)="","",INDEX(인턴근무계획!$K$3:$K$202,$A35)))</f>
        <v/>
      </c>
    </row>
    <row r="36">
      <c r="A36" s="18" t="n">
        <v>31</v>
      </c>
      <c r="B36" s="19">
        <f>IF($C36="","",INDEX(인턴근무계획!$B$3:$B$202,$A36))</f>
        <v/>
      </c>
      <c r="C36" s="19">
        <f>IFERROR(TRIM(INDEX(인턴근무계획!$C$3:$C$202,$A36)&amp;""),"")</f>
        <v/>
      </c>
      <c r="D36" s="19">
        <f>IF($C36="","",INDEX(인턴근무계획!$D$3:$D$202,$A36))</f>
        <v/>
      </c>
      <c r="E36" s="19">
        <f>IF($C36="","",IF(IFERROR(MATCH($D36,기본자료!$B$2:$B$501,0),IFERROR(MATCH($D36&amp;"",기본자료!$B$2:$B$501,0),IFERROR(MATCH(VALUE($D36),기본자료!$B$2:$B$501,0),0)))&gt;0,"확인","미등록"))</f>
        <v/>
      </c>
      <c r="F36" s="19">
        <f>IF(OR($C36="",$F$3=""),"",IF(TRIM(INDEX(인턴근무계획!$E$3:$J$202,$A36,$F$3)&amp;"")="","",IFERROR(LEFT(TRIM(INDEX(인턴근무계획!$E$3:$J$202,$A36,$F$3)&amp;""),FIND(" ",TRIM(INDEX(인턴근무계획!$E$3:$J$202,$A36,$F$3)&amp;""))-1),TRIM(INDEX(인턴근무계획!$E$3:$J$202,$A36,$F$3)&amp;""))))</f>
        <v/>
      </c>
      <c r="G36" s="19">
        <f>IF(OR($C36="",$F$3=""),"",IF(TRIM(INDEX(인턴근무계획!$E$3:$J$202,$A36,$F$3)&amp;"")="","",IFERROR(MID(TRIM(INDEX(인턴근무계획!$E$3:$J$202,$A36,$F$3)&amp;""),FIND(" ",TRIM(INDEX(인턴근무계획!$E$3:$J$202,$A36,$F$3)&amp;""))+1,60),"")))</f>
        <v/>
      </c>
      <c r="H36" s="19">
        <f>IF(OR($C36="",$H$3=""),"",IF(TRIM(INDEX(인턴근무계획!$E$3:$J$202,$A36,$H$3)&amp;"")="","",IFERROR(LEFT(TRIM(INDEX(인턴근무계획!$E$3:$J$202,$A36,$H$3)&amp;""),FIND(" ",TRIM(INDEX(인턴근무계획!$E$3:$J$202,$A36,$H$3)&amp;""))-1),TRIM(INDEX(인턴근무계획!$E$3:$J$202,$A36,$H$3)&amp;""))))</f>
        <v/>
      </c>
      <c r="I36" s="19">
        <f>IF(OR($C36="",$H$3=""),"",IF(TRIM(INDEX(인턴근무계획!$E$3:$J$202,$A36,$H$3)&amp;"")="","",IFERROR(MID(TRIM(INDEX(인턴근무계획!$E$3:$J$202,$A36,$H$3)&amp;""),FIND(" ",TRIM(INDEX(인턴근무계획!$E$3:$J$202,$A36,$H$3)&amp;""))+1,60),"")))</f>
        <v/>
      </c>
      <c r="J36" s="19">
        <f>IF($C36="","",IF(TRIM(INDEX(인턴근무계획!$E$3:$J$202,$A36,1)&amp;"")="","",IFERROR(LEFT(TRIM(INDEX(인턴근무계획!$E$3:$J$202,$A36,1)&amp;""),FIND(" ",TRIM(INDEX(인턴근무계획!$E$3:$J$202,$A36,1)&amp;""))-1),TRIM(INDEX(인턴근무계획!$E$3:$J$202,$A36,1)&amp;""))))</f>
        <v/>
      </c>
      <c r="K36" s="19">
        <f>IF($C36="","",IF(TRIM(INDEX(인턴근무계획!$E$3:$J$202,$A36,2)&amp;"")="","",IFERROR(LEFT(TRIM(INDEX(인턴근무계획!$E$3:$J$202,$A36,2)&amp;""),FIND(" ",TRIM(INDEX(인턴근무계획!$E$3:$J$202,$A36,2)&amp;""))-1),TRIM(INDEX(인턴근무계획!$E$3:$J$202,$A36,2)&amp;""))))</f>
        <v/>
      </c>
      <c r="L36" s="19">
        <f>IF($C36="","",IF(TRIM(INDEX(인턴근무계획!$E$3:$J$202,$A36,3)&amp;"")="","",IFERROR(LEFT(TRIM(INDEX(인턴근무계획!$E$3:$J$202,$A36,3)&amp;""),FIND(" ",TRIM(INDEX(인턴근무계획!$E$3:$J$202,$A36,3)&amp;""))-1),TRIM(INDEX(인턴근무계획!$E$3:$J$202,$A36,3)&amp;""))))</f>
        <v/>
      </c>
      <c r="M36" s="19">
        <f>IF($C36="","",IF(TRIM(INDEX(인턴근무계획!$E$3:$J$202,$A36,4)&amp;"")="","",IFERROR(LEFT(TRIM(INDEX(인턴근무계획!$E$3:$J$202,$A36,4)&amp;""),FIND(" ",TRIM(INDEX(인턴근무계획!$E$3:$J$202,$A36,4)&amp;""))-1),TRIM(INDEX(인턴근무계획!$E$3:$J$202,$A36,4)&amp;""))))</f>
        <v/>
      </c>
      <c r="N36" s="19">
        <f>IF($C36="","",IF(TRIM(INDEX(인턴근무계획!$E$3:$J$202,$A36,5)&amp;"")="","",IFERROR(LEFT(TRIM(INDEX(인턴근무계획!$E$3:$J$202,$A36,5)&amp;""),FIND(" ",TRIM(INDEX(인턴근무계획!$E$3:$J$202,$A36,5)&amp;""))-1),TRIM(INDEX(인턴근무계획!$E$3:$J$202,$A36,5)&amp;""))))</f>
        <v/>
      </c>
      <c r="O36" s="19">
        <f>IF($C36="","",IF(TRIM(INDEX(인턴근무계획!$E$3:$J$202,$A36,6)&amp;"")="","",IFERROR(LEFT(TRIM(INDEX(인턴근무계획!$E$3:$J$202,$A36,6)&amp;""),FIND(" ",TRIM(INDEX(인턴근무계획!$E$3:$J$202,$A36,6)&amp;""))-1),TRIM(INDEX(인턴근무계획!$E$3:$J$202,$A36,6)&amp;""))))</f>
        <v/>
      </c>
      <c r="P36" s="19">
        <f>IF($C36="","",IF(INDEX(인턴근무계획!$K$3:$K$202,$A36)="","",INDEX(인턴근무계획!$K$3:$K$202,$A36)))</f>
        <v/>
      </c>
    </row>
    <row r="37">
      <c r="A37" s="18" t="n">
        <v>32</v>
      </c>
      <c r="B37" s="19">
        <f>IF($C37="","",INDEX(인턴근무계획!$B$3:$B$202,$A37))</f>
        <v/>
      </c>
      <c r="C37" s="19">
        <f>IFERROR(TRIM(INDEX(인턴근무계획!$C$3:$C$202,$A37)&amp;""),"")</f>
        <v/>
      </c>
      <c r="D37" s="19">
        <f>IF($C37="","",INDEX(인턴근무계획!$D$3:$D$202,$A37))</f>
        <v/>
      </c>
      <c r="E37" s="19">
        <f>IF($C37="","",IF(IFERROR(MATCH($D37,기본자료!$B$2:$B$501,0),IFERROR(MATCH($D37&amp;"",기본자료!$B$2:$B$501,0),IFERROR(MATCH(VALUE($D37),기본자료!$B$2:$B$501,0),0)))&gt;0,"확인","미등록"))</f>
        <v/>
      </c>
      <c r="F37" s="19">
        <f>IF(OR($C37="",$F$3=""),"",IF(TRIM(INDEX(인턴근무계획!$E$3:$J$202,$A37,$F$3)&amp;"")="","",IFERROR(LEFT(TRIM(INDEX(인턴근무계획!$E$3:$J$202,$A37,$F$3)&amp;""),FIND(" ",TRIM(INDEX(인턴근무계획!$E$3:$J$202,$A37,$F$3)&amp;""))-1),TRIM(INDEX(인턴근무계획!$E$3:$J$202,$A37,$F$3)&amp;""))))</f>
        <v/>
      </c>
      <c r="G37" s="19">
        <f>IF(OR($C37="",$F$3=""),"",IF(TRIM(INDEX(인턴근무계획!$E$3:$J$202,$A37,$F$3)&amp;"")="","",IFERROR(MID(TRIM(INDEX(인턴근무계획!$E$3:$J$202,$A37,$F$3)&amp;""),FIND(" ",TRIM(INDEX(인턴근무계획!$E$3:$J$202,$A37,$F$3)&amp;""))+1,60),"")))</f>
        <v/>
      </c>
      <c r="H37" s="19">
        <f>IF(OR($C37="",$H$3=""),"",IF(TRIM(INDEX(인턴근무계획!$E$3:$J$202,$A37,$H$3)&amp;"")="","",IFERROR(LEFT(TRIM(INDEX(인턴근무계획!$E$3:$J$202,$A37,$H$3)&amp;""),FIND(" ",TRIM(INDEX(인턴근무계획!$E$3:$J$202,$A37,$H$3)&amp;""))-1),TRIM(INDEX(인턴근무계획!$E$3:$J$202,$A37,$H$3)&amp;""))))</f>
        <v/>
      </c>
      <c r="I37" s="19">
        <f>IF(OR($C37="",$H$3=""),"",IF(TRIM(INDEX(인턴근무계획!$E$3:$J$202,$A37,$H$3)&amp;"")="","",IFERROR(MID(TRIM(INDEX(인턴근무계획!$E$3:$J$202,$A37,$H$3)&amp;""),FIND(" ",TRIM(INDEX(인턴근무계획!$E$3:$J$202,$A37,$H$3)&amp;""))+1,60),"")))</f>
        <v/>
      </c>
      <c r="J37" s="19">
        <f>IF($C37="","",IF(TRIM(INDEX(인턴근무계획!$E$3:$J$202,$A37,1)&amp;"")="","",IFERROR(LEFT(TRIM(INDEX(인턴근무계획!$E$3:$J$202,$A37,1)&amp;""),FIND(" ",TRIM(INDEX(인턴근무계획!$E$3:$J$202,$A37,1)&amp;""))-1),TRIM(INDEX(인턴근무계획!$E$3:$J$202,$A37,1)&amp;""))))</f>
        <v/>
      </c>
      <c r="K37" s="19">
        <f>IF($C37="","",IF(TRIM(INDEX(인턴근무계획!$E$3:$J$202,$A37,2)&amp;"")="","",IFERROR(LEFT(TRIM(INDEX(인턴근무계획!$E$3:$J$202,$A37,2)&amp;""),FIND(" ",TRIM(INDEX(인턴근무계획!$E$3:$J$202,$A37,2)&amp;""))-1),TRIM(INDEX(인턴근무계획!$E$3:$J$202,$A37,2)&amp;""))))</f>
        <v/>
      </c>
      <c r="L37" s="19">
        <f>IF($C37="","",IF(TRIM(INDEX(인턴근무계획!$E$3:$J$202,$A37,3)&amp;"")="","",IFERROR(LEFT(TRIM(INDEX(인턴근무계획!$E$3:$J$202,$A37,3)&amp;""),FIND(" ",TRIM(INDEX(인턴근무계획!$E$3:$J$202,$A37,3)&amp;""))-1),TRIM(INDEX(인턴근무계획!$E$3:$J$202,$A37,3)&amp;""))))</f>
        <v/>
      </c>
      <c r="M37" s="19">
        <f>IF($C37="","",IF(TRIM(INDEX(인턴근무계획!$E$3:$J$202,$A37,4)&amp;"")="","",IFERROR(LEFT(TRIM(INDEX(인턴근무계획!$E$3:$J$202,$A37,4)&amp;""),FIND(" ",TRIM(INDEX(인턴근무계획!$E$3:$J$202,$A37,4)&amp;""))-1),TRIM(INDEX(인턴근무계획!$E$3:$J$202,$A37,4)&amp;""))))</f>
        <v/>
      </c>
      <c r="N37" s="19">
        <f>IF($C37="","",IF(TRIM(INDEX(인턴근무계획!$E$3:$J$202,$A37,5)&amp;"")="","",IFERROR(LEFT(TRIM(INDEX(인턴근무계획!$E$3:$J$202,$A37,5)&amp;""),FIND(" ",TRIM(INDEX(인턴근무계획!$E$3:$J$202,$A37,5)&amp;""))-1),TRIM(INDEX(인턴근무계획!$E$3:$J$202,$A37,5)&amp;""))))</f>
        <v/>
      </c>
      <c r="O37" s="19">
        <f>IF($C37="","",IF(TRIM(INDEX(인턴근무계획!$E$3:$J$202,$A37,6)&amp;"")="","",IFERROR(LEFT(TRIM(INDEX(인턴근무계획!$E$3:$J$202,$A37,6)&amp;""),FIND(" ",TRIM(INDEX(인턴근무계획!$E$3:$J$202,$A37,6)&amp;""))-1),TRIM(INDEX(인턴근무계획!$E$3:$J$202,$A37,6)&amp;""))))</f>
        <v/>
      </c>
      <c r="P37" s="19">
        <f>IF($C37="","",IF(INDEX(인턴근무계획!$K$3:$K$202,$A37)="","",INDEX(인턴근무계획!$K$3:$K$202,$A37)))</f>
        <v/>
      </c>
    </row>
    <row r="38">
      <c r="A38" s="18" t="n">
        <v>33</v>
      </c>
      <c r="B38" s="19">
        <f>IF($C38="","",INDEX(인턴근무계획!$B$3:$B$202,$A38))</f>
        <v/>
      </c>
      <c r="C38" s="19">
        <f>IFERROR(TRIM(INDEX(인턴근무계획!$C$3:$C$202,$A38)&amp;""),"")</f>
        <v/>
      </c>
      <c r="D38" s="19">
        <f>IF($C38="","",INDEX(인턴근무계획!$D$3:$D$202,$A38))</f>
        <v/>
      </c>
      <c r="E38" s="19">
        <f>IF($C38="","",IF(IFERROR(MATCH($D38,기본자료!$B$2:$B$501,0),IFERROR(MATCH($D38&amp;"",기본자료!$B$2:$B$501,0),IFERROR(MATCH(VALUE($D38),기본자료!$B$2:$B$501,0),0)))&gt;0,"확인","미등록"))</f>
        <v/>
      </c>
      <c r="F38" s="19">
        <f>IF(OR($C38="",$F$3=""),"",IF(TRIM(INDEX(인턴근무계획!$E$3:$J$202,$A38,$F$3)&amp;"")="","",IFERROR(LEFT(TRIM(INDEX(인턴근무계획!$E$3:$J$202,$A38,$F$3)&amp;""),FIND(" ",TRIM(INDEX(인턴근무계획!$E$3:$J$202,$A38,$F$3)&amp;""))-1),TRIM(INDEX(인턴근무계획!$E$3:$J$202,$A38,$F$3)&amp;""))))</f>
        <v/>
      </c>
      <c r="G38" s="19">
        <f>IF(OR($C38="",$F$3=""),"",IF(TRIM(INDEX(인턴근무계획!$E$3:$J$202,$A38,$F$3)&amp;"")="","",IFERROR(MID(TRIM(INDEX(인턴근무계획!$E$3:$J$202,$A38,$F$3)&amp;""),FIND(" ",TRIM(INDEX(인턴근무계획!$E$3:$J$202,$A38,$F$3)&amp;""))+1,60),"")))</f>
        <v/>
      </c>
      <c r="H38" s="19">
        <f>IF(OR($C38="",$H$3=""),"",IF(TRIM(INDEX(인턴근무계획!$E$3:$J$202,$A38,$H$3)&amp;"")="","",IFERROR(LEFT(TRIM(INDEX(인턴근무계획!$E$3:$J$202,$A38,$H$3)&amp;""),FIND(" ",TRIM(INDEX(인턴근무계획!$E$3:$J$202,$A38,$H$3)&amp;""))-1),TRIM(INDEX(인턴근무계획!$E$3:$J$202,$A38,$H$3)&amp;""))))</f>
        <v/>
      </c>
      <c r="I38" s="19">
        <f>IF(OR($C38="",$H$3=""),"",IF(TRIM(INDEX(인턴근무계획!$E$3:$J$202,$A38,$H$3)&amp;"")="","",IFERROR(MID(TRIM(INDEX(인턴근무계획!$E$3:$J$202,$A38,$H$3)&amp;""),FIND(" ",TRIM(INDEX(인턴근무계획!$E$3:$J$202,$A38,$H$3)&amp;""))+1,60),"")))</f>
        <v/>
      </c>
      <c r="J38" s="19">
        <f>IF($C38="","",IF(TRIM(INDEX(인턴근무계획!$E$3:$J$202,$A38,1)&amp;"")="","",IFERROR(LEFT(TRIM(INDEX(인턴근무계획!$E$3:$J$202,$A38,1)&amp;""),FIND(" ",TRIM(INDEX(인턴근무계획!$E$3:$J$202,$A38,1)&amp;""))-1),TRIM(INDEX(인턴근무계획!$E$3:$J$202,$A38,1)&amp;""))))</f>
        <v/>
      </c>
      <c r="K38" s="19">
        <f>IF($C38="","",IF(TRIM(INDEX(인턴근무계획!$E$3:$J$202,$A38,2)&amp;"")="","",IFERROR(LEFT(TRIM(INDEX(인턴근무계획!$E$3:$J$202,$A38,2)&amp;""),FIND(" ",TRIM(INDEX(인턴근무계획!$E$3:$J$202,$A38,2)&amp;""))-1),TRIM(INDEX(인턴근무계획!$E$3:$J$202,$A38,2)&amp;""))))</f>
        <v/>
      </c>
      <c r="L38" s="19">
        <f>IF($C38="","",IF(TRIM(INDEX(인턴근무계획!$E$3:$J$202,$A38,3)&amp;"")="","",IFERROR(LEFT(TRIM(INDEX(인턴근무계획!$E$3:$J$202,$A38,3)&amp;""),FIND(" ",TRIM(INDEX(인턴근무계획!$E$3:$J$202,$A38,3)&amp;""))-1),TRIM(INDEX(인턴근무계획!$E$3:$J$202,$A38,3)&amp;""))))</f>
        <v/>
      </c>
      <c r="M38" s="19">
        <f>IF($C38="","",IF(TRIM(INDEX(인턴근무계획!$E$3:$J$202,$A38,4)&amp;"")="","",IFERROR(LEFT(TRIM(INDEX(인턴근무계획!$E$3:$J$202,$A38,4)&amp;""),FIND(" ",TRIM(INDEX(인턴근무계획!$E$3:$J$202,$A38,4)&amp;""))-1),TRIM(INDEX(인턴근무계획!$E$3:$J$202,$A38,4)&amp;""))))</f>
        <v/>
      </c>
      <c r="N38" s="19">
        <f>IF($C38="","",IF(TRIM(INDEX(인턴근무계획!$E$3:$J$202,$A38,5)&amp;"")="","",IFERROR(LEFT(TRIM(INDEX(인턴근무계획!$E$3:$J$202,$A38,5)&amp;""),FIND(" ",TRIM(INDEX(인턴근무계획!$E$3:$J$202,$A38,5)&amp;""))-1),TRIM(INDEX(인턴근무계획!$E$3:$J$202,$A38,5)&amp;""))))</f>
        <v/>
      </c>
      <c r="O38" s="19">
        <f>IF($C38="","",IF(TRIM(INDEX(인턴근무계획!$E$3:$J$202,$A38,6)&amp;"")="","",IFERROR(LEFT(TRIM(INDEX(인턴근무계획!$E$3:$J$202,$A38,6)&amp;""),FIND(" ",TRIM(INDEX(인턴근무계획!$E$3:$J$202,$A38,6)&amp;""))-1),TRIM(INDEX(인턴근무계획!$E$3:$J$202,$A38,6)&amp;""))))</f>
        <v/>
      </c>
      <c r="P38" s="19">
        <f>IF($C38="","",IF(INDEX(인턴근무계획!$K$3:$K$202,$A38)="","",INDEX(인턴근무계획!$K$3:$K$202,$A38)))</f>
        <v/>
      </c>
    </row>
    <row r="39">
      <c r="A39" s="18" t="n">
        <v>34</v>
      </c>
      <c r="B39" s="19">
        <f>IF($C39="","",INDEX(인턴근무계획!$B$3:$B$202,$A39))</f>
        <v/>
      </c>
      <c r="C39" s="19">
        <f>IFERROR(TRIM(INDEX(인턴근무계획!$C$3:$C$202,$A39)&amp;""),"")</f>
        <v/>
      </c>
      <c r="D39" s="19">
        <f>IF($C39="","",INDEX(인턴근무계획!$D$3:$D$202,$A39))</f>
        <v/>
      </c>
      <c r="E39" s="19">
        <f>IF($C39="","",IF(IFERROR(MATCH($D39,기본자료!$B$2:$B$501,0),IFERROR(MATCH($D39&amp;"",기본자료!$B$2:$B$501,0),IFERROR(MATCH(VALUE($D39),기본자료!$B$2:$B$501,0),0)))&gt;0,"확인","미등록"))</f>
        <v/>
      </c>
      <c r="F39" s="19">
        <f>IF(OR($C39="",$F$3=""),"",IF(TRIM(INDEX(인턴근무계획!$E$3:$J$202,$A39,$F$3)&amp;"")="","",IFERROR(LEFT(TRIM(INDEX(인턴근무계획!$E$3:$J$202,$A39,$F$3)&amp;""),FIND(" ",TRIM(INDEX(인턴근무계획!$E$3:$J$202,$A39,$F$3)&amp;""))-1),TRIM(INDEX(인턴근무계획!$E$3:$J$202,$A39,$F$3)&amp;""))))</f>
        <v/>
      </c>
      <c r="G39" s="19">
        <f>IF(OR($C39="",$F$3=""),"",IF(TRIM(INDEX(인턴근무계획!$E$3:$J$202,$A39,$F$3)&amp;"")="","",IFERROR(MID(TRIM(INDEX(인턴근무계획!$E$3:$J$202,$A39,$F$3)&amp;""),FIND(" ",TRIM(INDEX(인턴근무계획!$E$3:$J$202,$A39,$F$3)&amp;""))+1,60),"")))</f>
        <v/>
      </c>
      <c r="H39" s="19">
        <f>IF(OR($C39="",$H$3=""),"",IF(TRIM(INDEX(인턴근무계획!$E$3:$J$202,$A39,$H$3)&amp;"")="","",IFERROR(LEFT(TRIM(INDEX(인턴근무계획!$E$3:$J$202,$A39,$H$3)&amp;""),FIND(" ",TRIM(INDEX(인턴근무계획!$E$3:$J$202,$A39,$H$3)&amp;""))-1),TRIM(INDEX(인턴근무계획!$E$3:$J$202,$A39,$H$3)&amp;""))))</f>
        <v/>
      </c>
      <c r="I39" s="19">
        <f>IF(OR($C39="",$H$3=""),"",IF(TRIM(INDEX(인턴근무계획!$E$3:$J$202,$A39,$H$3)&amp;"")="","",IFERROR(MID(TRIM(INDEX(인턴근무계획!$E$3:$J$202,$A39,$H$3)&amp;""),FIND(" ",TRIM(INDEX(인턴근무계획!$E$3:$J$202,$A39,$H$3)&amp;""))+1,60),"")))</f>
        <v/>
      </c>
      <c r="J39" s="19">
        <f>IF($C39="","",IF(TRIM(INDEX(인턴근무계획!$E$3:$J$202,$A39,1)&amp;"")="","",IFERROR(LEFT(TRIM(INDEX(인턴근무계획!$E$3:$J$202,$A39,1)&amp;""),FIND(" ",TRIM(INDEX(인턴근무계획!$E$3:$J$202,$A39,1)&amp;""))-1),TRIM(INDEX(인턴근무계획!$E$3:$J$202,$A39,1)&amp;""))))</f>
        <v/>
      </c>
      <c r="K39" s="19">
        <f>IF($C39="","",IF(TRIM(INDEX(인턴근무계획!$E$3:$J$202,$A39,2)&amp;"")="","",IFERROR(LEFT(TRIM(INDEX(인턴근무계획!$E$3:$J$202,$A39,2)&amp;""),FIND(" ",TRIM(INDEX(인턴근무계획!$E$3:$J$202,$A39,2)&amp;""))-1),TRIM(INDEX(인턴근무계획!$E$3:$J$202,$A39,2)&amp;""))))</f>
        <v/>
      </c>
      <c r="L39" s="19">
        <f>IF($C39="","",IF(TRIM(INDEX(인턴근무계획!$E$3:$J$202,$A39,3)&amp;"")="","",IFERROR(LEFT(TRIM(INDEX(인턴근무계획!$E$3:$J$202,$A39,3)&amp;""),FIND(" ",TRIM(INDEX(인턴근무계획!$E$3:$J$202,$A39,3)&amp;""))-1),TRIM(INDEX(인턴근무계획!$E$3:$J$202,$A39,3)&amp;""))))</f>
        <v/>
      </c>
      <c r="M39" s="19">
        <f>IF($C39="","",IF(TRIM(INDEX(인턴근무계획!$E$3:$J$202,$A39,4)&amp;"")="","",IFERROR(LEFT(TRIM(INDEX(인턴근무계획!$E$3:$J$202,$A39,4)&amp;""),FIND(" ",TRIM(INDEX(인턴근무계획!$E$3:$J$202,$A39,4)&amp;""))-1),TRIM(INDEX(인턴근무계획!$E$3:$J$202,$A39,4)&amp;""))))</f>
        <v/>
      </c>
      <c r="N39" s="19">
        <f>IF($C39="","",IF(TRIM(INDEX(인턴근무계획!$E$3:$J$202,$A39,5)&amp;"")="","",IFERROR(LEFT(TRIM(INDEX(인턴근무계획!$E$3:$J$202,$A39,5)&amp;""),FIND(" ",TRIM(INDEX(인턴근무계획!$E$3:$J$202,$A39,5)&amp;""))-1),TRIM(INDEX(인턴근무계획!$E$3:$J$202,$A39,5)&amp;""))))</f>
        <v/>
      </c>
      <c r="O39" s="19">
        <f>IF($C39="","",IF(TRIM(INDEX(인턴근무계획!$E$3:$J$202,$A39,6)&amp;"")="","",IFERROR(LEFT(TRIM(INDEX(인턴근무계획!$E$3:$J$202,$A39,6)&amp;""),FIND(" ",TRIM(INDEX(인턴근무계획!$E$3:$J$202,$A39,6)&amp;""))-1),TRIM(INDEX(인턴근무계획!$E$3:$J$202,$A39,6)&amp;""))))</f>
        <v/>
      </c>
      <c r="P39" s="19">
        <f>IF($C39="","",IF(INDEX(인턴근무계획!$K$3:$K$202,$A39)="","",INDEX(인턴근무계획!$K$3:$K$202,$A39)))</f>
        <v/>
      </c>
    </row>
    <row r="40">
      <c r="A40" s="18" t="n">
        <v>35</v>
      </c>
      <c r="B40" s="19">
        <f>IF($C40="","",INDEX(인턴근무계획!$B$3:$B$202,$A40))</f>
        <v/>
      </c>
      <c r="C40" s="19">
        <f>IFERROR(TRIM(INDEX(인턴근무계획!$C$3:$C$202,$A40)&amp;""),"")</f>
        <v/>
      </c>
      <c r="D40" s="19">
        <f>IF($C40="","",INDEX(인턴근무계획!$D$3:$D$202,$A40))</f>
        <v/>
      </c>
      <c r="E40" s="19">
        <f>IF($C40="","",IF(IFERROR(MATCH($D40,기본자료!$B$2:$B$501,0),IFERROR(MATCH($D40&amp;"",기본자료!$B$2:$B$501,0),IFERROR(MATCH(VALUE($D40),기본자료!$B$2:$B$501,0),0)))&gt;0,"확인","미등록"))</f>
        <v/>
      </c>
      <c r="F40" s="19">
        <f>IF(OR($C40="",$F$3=""),"",IF(TRIM(INDEX(인턴근무계획!$E$3:$J$202,$A40,$F$3)&amp;"")="","",IFERROR(LEFT(TRIM(INDEX(인턴근무계획!$E$3:$J$202,$A40,$F$3)&amp;""),FIND(" ",TRIM(INDEX(인턴근무계획!$E$3:$J$202,$A40,$F$3)&amp;""))-1),TRIM(INDEX(인턴근무계획!$E$3:$J$202,$A40,$F$3)&amp;""))))</f>
        <v/>
      </c>
      <c r="G40" s="19">
        <f>IF(OR($C40="",$F$3=""),"",IF(TRIM(INDEX(인턴근무계획!$E$3:$J$202,$A40,$F$3)&amp;"")="","",IFERROR(MID(TRIM(INDEX(인턴근무계획!$E$3:$J$202,$A40,$F$3)&amp;""),FIND(" ",TRIM(INDEX(인턴근무계획!$E$3:$J$202,$A40,$F$3)&amp;""))+1,60),"")))</f>
        <v/>
      </c>
      <c r="H40" s="19">
        <f>IF(OR($C40="",$H$3=""),"",IF(TRIM(INDEX(인턴근무계획!$E$3:$J$202,$A40,$H$3)&amp;"")="","",IFERROR(LEFT(TRIM(INDEX(인턴근무계획!$E$3:$J$202,$A40,$H$3)&amp;""),FIND(" ",TRIM(INDEX(인턴근무계획!$E$3:$J$202,$A40,$H$3)&amp;""))-1),TRIM(INDEX(인턴근무계획!$E$3:$J$202,$A40,$H$3)&amp;""))))</f>
        <v/>
      </c>
      <c r="I40" s="19">
        <f>IF(OR($C40="",$H$3=""),"",IF(TRIM(INDEX(인턴근무계획!$E$3:$J$202,$A40,$H$3)&amp;"")="","",IFERROR(MID(TRIM(INDEX(인턴근무계획!$E$3:$J$202,$A40,$H$3)&amp;""),FIND(" ",TRIM(INDEX(인턴근무계획!$E$3:$J$202,$A40,$H$3)&amp;""))+1,60),"")))</f>
        <v/>
      </c>
      <c r="J40" s="19">
        <f>IF($C40="","",IF(TRIM(INDEX(인턴근무계획!$E$3:$J$202,$A40,1)&amp;"")="","",IFERROR(LEFT(TRIM(INDEX(인턴근무계획!$E$3:$J$202,$A40,1)&amp;""),FIND(" ",TRIM(INDEX(인턴근무계획!$E$3:$J$202,$A40,1)&amp;""))-1),TRIM(INDEX(인턴근무계획!$E$3:$J$202,$A40,1)&amp;""))))</f>
        <v/>
      </c>
      <c r="K40" s="19">
        <f>IF($C40="","",IF(TRIM(INDEX(인턴근무계획!$E$3:$J$202,$A40,2)&amp;"")="","",IFERROR(LEFT(TRIM(INDEX(인턴근무계획!$E$3:$J$202,$A40,2)&amp;""),FIND(" ",TRIM(INDEX(인턴근무계획!$E$3:$J$202,$A40,2)&amp;""))-1),TRIM(INDEX(인턴근무계획!$E$3:$J$202,$A40,2)&amp;""))))</f>
        <v/>
      </c>
      <c r="L40" s="19">
        <f>IF($C40="","",IF(TRIM(INDEX(인턴근무계획!$E$3:$J$202,$A40,3)&amp;"")="","",IFERROR(LEFT(TRIM(INDEX(인턴근무계획!$E$3:$J$202,$A40,3)&amp;""),FIND(" ",TRIM(INDEX(인턴근무계획!$E$3:$J$202,$A40,3)&amp;""))-1),TRIM(INDEX(인턴근무계획!$E$3:$J$202,$A40,3)&amp;""))))</f>
        <v/>
      </c>
      <c r="M40" s="19">
        <f>IF($C40="","",IF(TRIM(INDEX(인턴근무계획!$E$3:$J$202,$A40,4)&amp;"")="","",IFERROR(LEFT(TRIM(INDEX(인턴근무계획!$E$3:$J$202,$A40,4)&amp;""),FIND(" ",TRIM(INDEX(인턴근무계획!$E$3:$J$202,$A40,4)&amp;""))-1),TRIM(INDEX(인턴근무계획!$E$3:$J$202,$A40,4)&amp;""))))</f>
        <v/>
      </c>
      <c r="N40" s="19">
        <f>IF($C40="","",IF(TRIM(INDEX(인턴근무계획!$E$3:$J$202,$A40,5)&amp;"")="","",IFERROR(LEFT(TRIM(INDEX(인턴근무계획!$E$3:$J$202,$A40,5)&amp;""),FIND(" ",TRIM(INDEX(인턴근무계획!$E$3:$J$202,$A40,5)&amp;""))-1),TRIM(INDEX(인턴근무계획!$E$3:$J$202,$A40,5)&amp;""))))</f>
        <v/>
      </c>
      <c r="O40" s="19">
        <f>IF($C40="","",IF(TRIM(INDEX(인턴근무계획!$E$3:$J$202,$A40,6)&amp;"")="","",IFERROR(LEFT(TRIM(INDEX(인턴근무계획!$E$3:$J$202,$A40,6)&amp;""),FIND(" ",TRIM(INDEX(인턴근무계획!$E$3:$J$202,$A40,6)&amp;""))-1),TRIM(INDEX(인턴근무계획!$E$3:$J$202,$A40,6)&amp;""))))</f>
        <v/>
      </c>
      <c r="P40" s="19">
        <f>IF($C40="","",IF(INDEX(인턴근무계획!$K$3:$K$202,$A40)="","",INDEX(인턴근무계획!$K$3:$K$202,$A40)))</f>
        <v/>
      </c>
    </row>
    <row r="41">
      <c r="A41" s="18" t="n">
        <v>36</v>
      </c>
      <c r="B41" s="19">
        <f>IF($C41="","",INDEX(인턴근무계획!$B$3:$B$202,$A41))</f>
        <v/>
      </c>
      <c r="C41" s="19">
        <f>IFERROR(TRIM(INDEX(인턴근무계획!$C$3:$C$202,$A41)&amp;""),"")</f>
        <v/>
      </c>
      <c r="D41" s="19">
        <f>IF($C41="","",INDEX(인턴근무계획!$D$3:$D$202,$A41))</f>
        <v/>
      </c>
      <c r="E41" s="19">
        <f>IF($C41="","",IF(IFERROR(MATCH($D41,기본자료!$B$2:$B$501,0),IFERROR(MATCH($D41&amp;"",기본자료!$B$2:$B$501,0),IFERROR(MATCH(VALUE($D41),기본자료!$B$2:$B$501,0),0)))&gt;0,"확인","미등록"))</f>
        <v/>
      </c>
      <c r="F41" s="19">
        <f>IF(OR($C41="",$F$3=""),"",IF(TRIM(INDEX(인턴근무계획!$E$3:$J$202,$A41,$F$3)&amp;"")="","",IFERROR(LEFT(TRIM(INDEX(인턴근무계획!$E$3:$J$202,$A41,$F$3)&amp;""),FIND(" ",TRIM(INDEX(인턴근무계획!$E$3:$J$202,$A41,$F$3)&amp;""))-1),TRIM(INDEX(인턴근무계획!$E$3:$J$202,$A41,$F$3)&amp;""))))</f>
        <v/>
      </c>
      <c r="G41" s="19">
        <f>IF(OR($C41="",$F$3=""),"",IF(TRIM(INDEX(인턴근무계획!$E$3:$J$202,$A41,$F$3)&amp;"")="","",IFERROR(MID(TRIM(INDEX(인턴근무계획!$E$3:$J$202,$A41,$F$3)&amp;""),FIND(" ",TRIM(INDEX(인턴근무계획!$E$3:$J$202,$A41,$F$3)&amp;""))+1,60),"")))</f>
        <v/>
      </c>
      <c r="H41" s="19">
        <f>IF(OR($C41="",$H$3=""),"",IF(TRIM(INDEX(인턴근무계획!$E$3:$J$202,$A41,$H$3)&amp;"")="","",IFERROR(LEFT(TRIM(INDEX(인턴근무계획!$E$3:$J$202,$A41,$H$3)&amp;""),FIND(" ",TRIM(INDEX(인턴근무계획!$E$3:$J$202,$A41,$H$3)&amp;""))-1),TRIM(INDEX(인턴근무계획!$E$3:$J$202,$A41,$H$3)&amp;""))))</f>
        <v/>
      </c>
      <c r="I41" s="19">
        <f>IF(OR($C41="",$H$3=""),"",IF(TRIM(INDEX(인턴근무계획!$E$3:$J$202,$A41,$H$3)&amp;"")="","",IFERROR(MID(TRIM(INDEX(인턴근무계획!$E$3:$J$202,$A41,$H$3)&amp;""),FIND(" ",TRIM(INDEX(인턴근무계획!$E$3:$J$202,$A41,$H$3)&amp;""))+1,60),"")))</f>
        <v/>
      </c>
      <c r="J41" s="19">
        <f>IF($C41="","",IF(TRIM(INDEX(인턴근무계획!$E$3:$J$202,$A41,1)&amp;"")="","",IFERROR(LEFT(TRIM(INDEX(인턴근무계획!$E$3:$J$202,$A41,1)&amp;""),FIND(" ",TRIM(INDEX(인턴근무계획!$E$3:$J$202,$A41,1)&amp;""))-1),TRIM(INDEX(인턴근무계획!$E$3:$J$202,$A41,1)&amp;""))))</f>
        <v/>
      </c>
      <c r="K41" s="19">
        <f>IF($C41="","",IF(TRIM(INDEX(인턴근무계획!$E$3:$J$202,$A41,2)&amp;"")="","",IFERROR(LEFT(TRIM(INDEX(인턴근무계획!$E$3:$J$202,$A41,2)&amp;""),FIND(" ",TRIM(INDEX(인턴근무계획!$E$3:$J$202,$A41,2)&amp;""))-1),TRIM(INDEX(인턴근무계획!$E$3:$J$202,$A41,2)&amp;""))))</f>
        <v/>
      </c>
      <c r="L41" s="19">
        <f>IF($C41="","",IF(TRIM(INDEX(인턴근무계획!$E$3:$J$202,$A41,3)&amp;"")="","",IFERROR(LEFT(TRIM(INDEX(인턴근무계획!$E$3:$J$202,$A41,3)&amp;""),FIND(" ",TRIM(INDEX(인턴근무계획!$E$3:$J$202,$A41,3)&amp;""))-1),TRIM(INDEX(인턴근무계획!$E$3:$J$202,$A41,3)&amp;""))))</f>
        <v/>
      </c>
      <c r="M41" s="19">
        <f>IF($C41="","",IF(TRIM(INDEX(인턴근무계획!$E$3:$J$202,$A41,4)&amp;"")="","",IFERROR(LEFT(TRIM(INDEX(인턴근무계획!$E$3:$J$202,$A41,4)&amp;""),FIND(" ",TRIM(INDEX(인턴근무계획!$E$3:$J$202,$A41,4)&amp;""))-1),TRIM(INDEX(인턴근무계획!$E$3:$J$202,$A41,4)&amp;""))))</f>
        <v/>
      </c>
      <c r="N41" s="19">
        <f>IF($C41="","",IF(TRIM(INDEX(인턴근무계획!$E$3:$J$202,$A41,5)&amp;"")="","",IFERROR(LEFT(TRIM(INDEX(인턴근무계획!$E$3:$J$202,$A41,5)&amp;""),FIND(" ",TRIM(INDEX(인턴근무계획!$E$3:$J$202,$A41,5)&amp;""))-1),TRIM(INDEX(인턴근무계획!$E$3:$J$202,$A41,5)&amp;""))))</f>
        <v/>
      </c>
      <c r="O41" s="19">
        <f>IF($C41="","",IF(TRIM(INDEX(인턴근무계획!$E$3:$J$202,$A41,6)&amp;"")="","",IFERROR(LEFT(TRIM(INDEX(인턴근무계획!$E$3:$J$202,$A41,6)&amp;""),FIND(" ",TRIM(INDEX(인턴근무계획!$E$3:$J$202,$A41,6)&amp;""))-1),TRIM(INDEX(인턴근무계획!$E$3:$J$202,$A41,6)&amp;""))))</f>
        <v/>
      </c>
      <c r="P41" s="19">
        <f>IF($C41="","",IF(INDEX(인턴근무계획!$K$3:$K$202,$A41)="","",INDEX(인턴근무계획!$K$3:$K$202,$A41)))</f>
        <v/>
      </c>
    </row>
    <row r="42">
      <c r="A42" s="18" t="n">
        <v>37</v>
      </c>
      <c r="B42" s="19">
        <f>IF($C42="","",INDEX(인턴근무계획!$B$3:$B$202,$A42))</f>
        <v/>
      </c>
      <c r="C42" s="19">
        <f>IFERROR(TRIM(INDEX(인턴근무계획!$C$3:$C$202,$A42)&amp;""),"")</f>
        <v/>
      </c>
      <c r="D42" s="19">
        <f>IF($C42="","",INDEX(인턴근무계획!$D$3:$D$202,$A42))</f>
        <v/>
      </c>
      <c r="E42" s="19">
        <f>IF($C42="","",IF(IFERROR(MATCH($D42,기본자료!$B$2:$B$501,0),IFERROR(MATCH($D42&amp;"",기본자료!$B$2:$B$501,0),IFERROR(MATCH(VALUE($D42),기본자료!$B$2:$B$501,0),0)))&gt;0,"확인","미등록"))</f>
        <v/>
      </c>
      <c r="F42" s="19">
        <f>IF(OR($C42="",$F$3=""),"",IF(TRIM(INDEX(인턴근무계획!$E$3:$J$202,$A42,$F$3)&amp;"")="","",IFERROR(LEFT(TRIM(INDEX(인턴근무계획!$E$3:$J$202,$A42,$F$3)&amp;""),FIND(" ",TRIM(INDEX(인턴근무계획!$E$3:$J$202,$A42,$F$3)&amp;""))-1),TRIM(INDEX(인턴근무계획!$E$3:$J$202,$A42,$F$3)&amp;""))))</f>
        <v/>
      </c>
      <c r="G42" s="19">
        <f>IF(OR($C42="",$F$3=""),"",IF(TRIM(INDEX(인턴근무계획!$E$3:$J$202,$A42,$F$3)&amp;"")="","",IFERROR(MID(TRIM(INDEX(인턴근무계획!$E$3:$J$202,$A42,$F$3)&amp;""),FIND(" ",TRIM(INDEX(인턴근무계획!$E$3:$J$202,$A42,$F$3)&amp;""))+1,60),"")))</f>
        <v/>
      </c>
      <c r="H42" s="19">
        <f>IF(OR($C42="",$H$3=""),"",IF(TRIM(INDEX(인턴근무계획!$E$3:$J$202,$A42,$H$3)&amp;"")="","",IFERROR(LEFT(TRIM(INDEX(인턴근무계획!$E$3:$J$202,$A42,$H$3)&amp;""),FIND(" ",TRIM(INDEX(인턴근무계획!$E$3:$J$202,$A42,$H$3)&amp;""))-1),TRIM(INDEX(인턴근무계획!$E$3:$J$202,$A42,$H$3)&amp;""))))</f>
        <v/>
      </c>
      <c r="I42" s="19">
        <f>IF(OR($C42="",$H$3=""),"",IF(TRIM(INDEX(인턴근무계획!$E$3:$J$202,$A42,$H$3)&amp;"")="","",IFERROR(MID(TRIM(INDEX(인턴근무계획!$E$3:$J$202,$A42,$H$3)&amp;""),FIND(" ",TRIM(INDEX(인턴근무계획!$E$3:$J$202,$A42,$H$3)&amp;""))+1,60),"")))</f>
        <v/>
      </c>
      <c r="J42" s="19">
        <f>IF($C42="","",IF(TRIM(INDEX(인턴근무계획!$E$3:$J$202,$A42,1)&amp;"")="","",IFERROR(LEFT(TRIM(INDEX(인턴근무계획!$E$3:$J$202,$A42,1)&amp;""),FIND(" ",TRIM(INDEX(인턴근무계획!$E$3:$J$202,$A42,1)&amp;""))-1),TRIM(INDEX(인턴근무계획!$E$3:$J$202,$A42,1)&amp;""))))</f>
        <v/>
      </c>
      <c r="K42" s="19">
        <f>IF($C42="","",IF(TRIM(INDEX(인턴근무계획!$E$3:$J$202,$A42,2)&amp;"")="","",IFERROR(LEFT(TRIM(INDEX(인턴근무계획!$E$3:$J$202,$A42,2)&amp;""),FIND(" ",TRIM(INDEX(인턴근무계획!$E$3:$J$202,$A42,2)&amp;""))-1),TRIM(INDEX(인턴근무계획!$E$3:$J$202,$A42,2)&amp;""))))</f>
        <v/>
      </c>
      <c r="L42" s="19">
        <f>IF($C42="","",IF(TRIM(INDEX(인턴근무계획!$E$3:$J$202,$A42,3)&amp;"")="","",IFERROR(LEFT(TRIM(INDEX(인턴근무계획!$E$3:$J$202,$A42,3)&amp;""),FIND(" ",TRIM(INDEX(인턴근무계획!$E$3:$J$202,$A42,3)&amp;""))-1),TRIM(INDEX(인턴근무계획!$E$3:$J$202,$A42,3)&amp;""))))</f>
        <v/>
      </c>
      <c r="M42" s="19">
        <f>IF($C42="","",IF(TRIM(INDEX(인턴근무계획!$E$3:$J$202,$A42,4)&amp;"")="","",IFERROR(LEFT(TRIM(INDEX(인턴근무계획!$E$3:$J$202,$A42,4)&amp;""),FIND(" ",TRIM(INDEX(인턴근무계획!$E$3:$J$202,$A42,4)&amp;""))-1),TRIM(INDEX(인턴근무계획!$E$3:$J$202,$A42,4)&amp;""))))</f>
        <v/>
      </c>
      <c r="N42" s="19">
        <f>IF($C42="","",IF(TRIM(INDEX(인턴근무계획!$E$3:$J$202,$A42,5)&amp;"")="","",IFERROR(LEFT(TRIM(INDEX(인턴근무계획!$E$3:$J$202,$A42,5)&amp;""),FIND(" ",TRIM(INDEX(인턴근무계획!$E$3:$J$202,$A42,5)&amp;""))-1),TRIM(INDEX(인턴근무계획!$E$3:$J$202,$A42,5)&amp;""))))</f>
        <v/>
      </c>
      <c r="O42" s="19">
        <f>IF($C42="","",IF(TRIM(INDEX(인턴근무계획!$E$3:$J$202,$A42,6)&amp;"")="","",IFERROR(LEFT(TRIM(INDEX(인턴근무계획!$E$3:$J$202,$A42,6)&amp;""),FIND(" ",TRIM(INDEX(인턴근무계획!$E$3:$J$202,$A42,6)&amp;""))-1),TRIM(INDEX(인턴근무계획!$E$3:$J$202,$A42,6)&amp;""))))</f>
        <v/>
      </c>
      <c r="P42" s="19">
        <f>IF($C42="","",IF(INDEX(인턴근무계획!$K$3:$K$202,$A42)="","",INDEX(인턴근무계획!$K$3:$K$202,$A42)))</f>
        <v/>
      </c>
    </row>
    <row r="43">
      <c r="A43" s="18" t="n">
        <v>38</v>
      </c>
      <c r="B43" s="19">
        <f>IF($C43="","",INDEX(인턴근무계획!$B$3:$B$202,$A43))</f>
        <v/>
      </c>
      <c r="C43" s="19">
        <f>IFERROR(TRIM(INDEX(인턴근무계획!$C$3:$C$202,$A43)&amp;""),"")</f>
        <v/>
      </c>
      <c r="D43" s="19">
        <f>IF($C43="","",INDEX(인턴근무계획!$D$3:$D$202,$A43))</f>
        <v/>
      </c>
      <c r="E43" s="19">
        <f>IF($C43="","",IF(IFERROR(MATCH($D43,기본자료!$B$2:$B$501,0),IFERROR(MATCH($D43&amp;"",기본자료!$B$2:$B$501,0),IFERROR(MATCH(VALUE($D43),기본자료!$B$2:$B$501,0),0)))&gt;0,"확인","미등록"))</f>
        <v/>
      </c>
      <c r="F43" s="19">
        <f>IF(OR($C43="",$F$3=""),"",IF(TRIM(INDEX(인턴근무계획!$E$3:$J$202,$A43,$F$3)&amp;"")="","",IFERROR(LEFT(TRIM(INDEX(인턴근무계획!$E$3:$J$202,$A43,$F$3)&amp;""),FIND(" ",TRIM(INDEX(인턴근무계획!$E$3:$J$202,$A43,$F$3)&amp;""))-1),TRIM(INDEX(인턴근무계획!$E$3:$J$202,$A43,$F$3)&amp;""))))</f>
        <v/>
      </c>
      <c r="G43" s="19">
        <f>IF(OR($C43="",$F$3=""),"",IF(TRIM(INDEX(인턴근무계획!$E$3:$J$202,$A43,$F$3)&amp;"")="","",IFERROR(MID(TRIM(INDEX(인턴근무계획!$E$3:$J$202,$A43,$F$3)&amp;""),FIND(" ",TRIM(INDEX(인턴근무계획!$E$3:$J$202,$A43,$F$3)&amp;""))+1,60),"")))</f>
        <v/>
      </c>
      <c r="H43" s="19">
        <f>IF(OR($C43="",$H$3=""),"",IF(TRIM(INDEX(인턴근무계획!$E$3:$J$202,$A43,$H$3)&amp;"")="","",IFERROR(LEFT(TRIM(INDEX(인턴근무계획!$E$3:$J$202,$A43,$H$3)&amp;""),FIND(" ",TRIM(INDEX(인턴근무계획!$E$3:$J$202,$A43,$H$3)&amp;""))-1),TRIM(INDEX(인턴근무계획!$E$3:$J$202,$A43,$H$3)&amp;""))))</f>
        <v/>
      </c>
      <c r="I43" s="19">
        <f>IF(OR($C43="",$H$3=""),"",IF(TRIM(INDEX(인턴근무계획!$E$3:$J$202,$A43,$H$3)&amp;"")="","",IFERROR(MID(TRIM(INDEX(인턴근무계획!$E$3:$J$202,$A43,$H$3)&amp;""),FIND(" ",TRIM(INDEX(인턴근무계획!$E$3:$J$202,$A43,$H$3)&amp;""))+1,60),"")))</f>
        <v/>
      </c>
      <c r="J43" s="19">
        <f>IF($C43="","",IF(TRIM(INDEX(인턴근무계획!$E$3:$J$202,$A43,1)&amp;"")="","",IFERROR(LEFT(TRIM(INDEX(인턴근무계획!$E$3:$J$202,$A43,1)&amp;""),FIND(" ",TRIM(INDEX(인턴근무계획!$E$3:$J$202,$A43,1)&amp;""))-1),TRIM(INDEX(인턴근무계획!$E$3:$J$202,$A43,1)&amp;""))))</f>
        <v/>
      </c>
      <c r="K43" s="19">
        <f>IF($C43="","",IF(TRIM(INDEX(인턴근무계획!$E$3:$J$202,$A43,2)&amp;"")="","",IFERROR(LEFT(TRIM(INDEX(인턴근무계획!$E$3:$J$202,$A43,2)&amp;""),FIND(" ",TRIM(INDEX(인턴근무계획!$E$3:$J$202,$A43,2)&amp;""))-1),TRIM(INDEX(인턴근무계획!$E$3:$J$202,$A43,2)&amp;""))))</f>
        <v/>
      </c>
      <c r="L43" s="19">
        <f>IF($C43="","",IF(TRIM(INDEX(인턴근무계획!$E$3:$J$202,$A43,3)&amp;"")="","",IFERROR(LEFT(TRIM(INDEX(인턴근무계획!$E$3:$J$202,$A43,3)&amp;""),FIND(" ",TRIM(INDEX(인턴근무계획!$E$3:$J$202,$A43,3)&amp;""))-1),TRIM(INDEX(인턴근무계획!$E$3:$J$202,$A43,3)&amp;""))))</f>
        <v/>
      </c>
      <c r="M43" s="19">
        <f>IF($C43="","",IF(TRIM(INDEX(인턴근무계획!$E$3:$J$202,$A43,4)&amp;"")="","",IFERROR(LEFT(TRIM(INDEX(인턴근무계획!$E$3:$J$202,$A43,4)&amp;""),FIND(" ",TRIM(INDEX(인턴근무계획!$E$3:$J$202,$A43,4)&amp;""))-1),TRIM(INDEX(인턴근무계획!$E$3:$J$202,$A43,4)&amp;""))))</f>
        <v/>
      </c>
      <c r="N43" s="19">
        <f>IF($C43="","",IF(TRIM(INDEX(인턴근무계획!$E$3:$J$202,$A43,5)&amp;"")="","",IFERROR(LEFT(TRIM(INDEX(인턴근무계획!$E$3:$J$202,$A43,5)&amp;""),FIND(" ",TRIM(INDEX(인턴근무계획!$E$3:$J$202,$A43,5)&amp;""))-1),TRIM(INDEX(인턴근무계획!$E$3:$J$202,$A43,5)&amp;""))))</f>
        <v/>
      </c>
      <c r="O43" s="19">
        <f>IF($C43="","",IF(TRIM(INDEX(인턴근무계획!$E$3:$J$202,$A43,6)&amp;"")="","",IFERROR(LEFT(TRIM(INDEX(인턴근무계획!$E$3:$J$202,$A43,6)&amp;""),FIND(" ",TRIM(INDEX(인턴근무계획!$E$3:$J$202,$A43,6)&amp;""))-1),TRIM(INDEX(인턴근무계획!$E$3:$J$202,$A43,6)&amp;""))))</f>
        <v/>
      </c>
      <c r="P43" s="19">
        <f>IF($C43="","",IF(INDEX(인턴근무계획!$K$3:$K$202,$A43)="","",INDEX(인턴근무계획!$K$3:$K$202,$A43)))</f>
        <v/>
      </c>
    </row>
    <row r="44">
      <c r="A44" s="18" t="n">
        <v>39</v>
      </c>
      <c r="B44" s="19">
        <f>IF($C44="","",INDEX(인턴근무계획!$B$3:$B$202,$A44))</f>
        <v/>
      </c>
      <c r="C44" s="19">
        <f>IFERROR(TRIM(INDEX(인턴근무계획!$C$3:$C$202,$A44)&amp;""),"")</f>
        <v/>
      </c>
      <c r="D44" s="19">
        <f>IF($C44="","",INDEX(인턴근무계획!$D$3:$D$202,$A44))</f>
        <v/>
      </c>
      <c r="E44" s="19">
        <f>IF($C44="","",IF(IFERROR(MATCH($D44,기본자료!$B$2:$B$501,0),IFERROR(MATCH($D44&amp;"",기본자료!$B$2:$B$501,0),IFERROR(MATCH(VALUE($D44),기본자료!$B$2:$B$501,0),0)))&gt;0,"확인","미등록"))</f>
        <v/>
      </c>
      <c r="F44" s="19">
        <f>IF(OR($C44="",$F$3=""),"",IF(TRIM(INDEX(인턴근무계획!$E$3:$J$202,$A44,$F$3)&amp;"")="","",IFERROR(LEFT(TRIM(INDEX(인턴근무계획!$E$3:$J$202,$A44,$F$3)&amp;""),FIND(" ",TRIM(INDEX(인턴근무계획!$E$3:$J$202,$A44,$F$3)&amp;""))-1),TRIM(INDEX(인턴근무계획!$E$3:$J$202,$A44,$F$3)&amp;""))))</f>
        <v/>
      </c>
      <c r="G44" s="19">
        <f>IF(OR($C44="",$F$3=""),"",IF(TRIM(INDEX(인턴근무계획!$E$3:$J$202,$A44,$F$3)&amp;"")="","",IFERROR(MID(TRIM(INDEX(인턴근무계획!$E$3:$J$202,$A44,$F$3)&amp;""),FIND(" ",TRIM(INDEX(인턴근무계획!$E$3:$J$202,$A44,$F$3)&amp;""))+1,60),"")))</f>
        <v/>
      </c>
      <c r="H44" s="19">
        <f>IF(OR($C44="",$H$3=""),"",IF(TRIM(INDEX(인턴근무계획!$E$3:$J$202,$A44,$H$3)&amp;"")="","",IFERROR(LEFT(TRIM(INDEX(인턴근무계획!$E$3:$J$202,$A44,$H$3)&amp;""),FIND(" ",TRIM(INDEX(인턴근무계획!$E$3:$J$202,$A44,$H$3)&amp;""))-1),TRIM(INDEX(인턴근무계획!$E$3:$J$202,$A44,$H$3)&amp;""))))</f>
        <v/>
      </c>
      <c r="I44" s="19">
        <f>IF(OR($C44="",$H$3=""),"",IF(TRIM(INDEX(인턴근무계획!$E$3:$J$202,$A44,$H$3)&amp;"")="","",IFERROR(MID(TRIM(INDEX(인턴근무계획!$E$3:$J$202,$A44,$H$3)&amp;""),FIND(" ",TRIM(INDEX(인턴근무계획!$E$3:$J$202,$A44,$H$3)&amp;""))+1,60),"")))</f>
        <v/>
      </c>
      <c r="J44" s="19">
        <f>IF($C44="","",IF(TRIM(INDEX(인턴근무계획!$E$3:$J$202,$A44,1)&amp;"")="","",IFERROR(LEFT(TRIM(INDEX(인턴근무계획!$E$3:$J$202,$A44,1)&amp;""),FIND(" ",TRIM(INDEX(인턴근무계획!$E$3:$J$202,$A44,1)&amp;""))-1),TRIM(INDEX(인턴근무계획!$E$3:$J$202,$A44,1)&amp;""))))</f>
        <v/>
      </c>
      <c r="K44" s="19">
        <f>IF($C44="","",IF(TRIM(INDEX(인턴근무계획!$E$3:$J$202,$A44,2)&amp;"")="","",IFERROR(LEFT(TRIM(INDEX(인턴근무계획!$E$3:$J$202,$A44,2)&amp;""),FIND(" ",TRIM(INDEX(인턴근무계획!$E$3:$J$202,$A44,2)&amp;""))-1),TRIM(INDEX(인턴근무계획!$E$3:$J$202,$A44,2)&amp;""))))</f>
        <v/>
      </c>
      <c r="L44" s="19">
        <f>IF($C44="","",IF(TRIM(INDEX(인턴근무계획!$E$3:$J$202,$A44,3)&amp;"")="","",IFERROR(LEFT(TRIM(INDEX(인턴근무계획!$E$3:$J$202,$A44,3)&amp;""),FIND(" ",TRIM(INDEX(인턴근무계획!$E$3:$J$202,$A44,3)&amp;""))-1),TRIM(INDEX(인턴근무계획!$E$3:$J$202,$A44,3)&amp;""))))</f>
        <v/>
      </c>
      <c r="M44" s="19">
        <f>IF($C44="","",IF(TRIM(INDEX(인턴근무계획!$E$3:$J$202,$A44,4)&amp;"")="","",IFERROR(LEFT(TRIM(INDEX(인턴근무계획!$E$3:$J$202,$A44,4)&amp;""),FIND(" ",TRIM(INDEX(인턴근무계획!$E$3:$J$202,$A44,4)&amp;""))-1),TRIM(INDEX(인턴근무계획!$E$3:$J$202,$A44,4)&amp;""))))</f>
        <v/>
      </c>
      <c r="N44" s="19">
        <f>IF($C44="","",IF(TRIM(INDEX(인턴근무계획!$E$3:$J$202,$A44,5)&amp;"")="","",IFERROR(LEFT(TRIM(INDEX(인턴근무계획!$E$3:$J$202,$A44,5)&amp;""),FIND(" ",TRIM(INDEX(인턴근무계획!$E$3:$J$202,$A44,5)&amp;""))-1),TRIM(INDEX(인턴근무계획!$E$3:$J$202,$A44,5)&amp;""))))</f>
        <v/>
      </c>
      <c r="O44" s="19">
        <f>IF($C44="","",IF(TRIM(INDEX(인턴근무계획!$E$3:$J$202,$A44,6)&amp;"")="","",IFERROR(LEFT(TRIM(INDEX(인턴근무계획!$E$3:$J$202,$A44,6)&amp;""),FIND(" ",TRIM(INDEX(인턴근무계획!$E$3:$J$202,$A44,6)&amp;""))-1),TRIM(INDEX(인턴근무계획!$E$3:$J$202,$A44,6)&amp;""))))</f>
        <v/>
      </c>
      <c r="P44" s="19">
        <f>IF($C44="","",IF(INDEX(인턴근무계획!$K$3:$K$202,$A44)="","",INDEX(인턴근무계획!$K$3:$K$202,$A44)))</f>
        <v/>
      </c>
    </row>
    <row r="45">
      <c r="A45" s="18" t="n">
        <v>40</v>
      </c>
      <c r="B45" s="19">
        <f>IF($C45="","",INDEX(인턴근무계획!$B$3:$B$202,$A45))</f>
        <v/>
      </c>
      <c r="C45" s="19">
        <f>IFERROR(TRIM(INDEX(인턴근무계획!$C$3:$C$202,$A45)&amp;""),"")</f>
        <v/>
      </c>
      <c r="D45" s="19">
        <f>IF($C45="","",INDEX(인턴근무계획!$D$3:$D$202,$A45))</f>
        <v/>
      </c>
      <c r="E45" s="19">
        <f>IF($C45="","",IF(IFERROR(MATCH($D45,기본자료!$B$2:$B$501,0),IFERROR(MATCH($D45&amp;"",기본자료!$B$2:$B$501,0),IFERROR(MATCH(VALUE($D45),기본자료!$B$2:$B$501,0),0)))&gt;0,"확인","미등록"))</f>
        <v/>
      </c>
      <c r="F45" s="19">
        <f>IF(OR($C45="",$F$3=""),"",IF(TRIM(INDEX(인턴근무계획!$E$3:$J$202,$A45,$F$3)&amp;"")="","",IFERROR(LEFT(TRIM(INDEX(인턴근무계획!$E$3:$J$202,$A45,$F$3)&amp;""),FIND(" ",TRIM(INDEX(인턴근무계획!$E$3:$J$202,$A45,$F$3)&amp;""))-1),TRIM(INDEX(인턴근무계획!$E$3:$J$202,$A45,$F$3)&amp;""))))</f>
        <v/>
      </c>
      <c r="G45" s="19">
        <f>IF(OR($C45="",$F$3=""),"",IF(TRIM(INDEX(인턴근무계획!$E$3:$J$202,$A45,$F$3)&amp;"")="","",IFERROR(MID(TRIM(INDEX(인턴근무계획!$E$3:$J$202,$A45,$F$3)&amp;""),FIND(" ",TRIM(INDEX(인턴근무계획!$E$3:$J$202,$A45,$F$3)&amp;""))+1,60),"")))</f>
        <v/>
      </c>
      <c r="H45" s="19">
        <f>IF(OR($C45="",$H$3=""),"",IF(TRIM(INDEX(인턴근무계획!$E$3:$J$202,$A45,$H$3)&amp;"")="","",IFERROR(LEFT(TRIM(INDEX(인턴근무계획!$E$3:$J$202,$A45,$H$3)&amp;""),FIND(" ",TRIM(INDEX(인턴근무계획!$E$3:$J$202,$A45,$H$3)&amp;""))-1),TRIM(INDEX(인턴근무계획!$E$3:$J$202,$A45,$H$3)&amp;""))))</f>
        <v/>
      </c>
      <c r="I45" s="19">
        <f>IF(OR($C45="",$H$3=""),"",IF(TRIM(INDEX(인턴근무계획!$E$3:$J$202,$A45,$H$3)&amp;"")="","",IFERROR(MID(TRIM(INDEX(인턴근무계획!$E$3:$J$202,$A45,$H$3)&amp;""),FIND(" ",TRIM(INDEX(인턴근무계획!$E$3:$J$202,$A45,$H$3)&amp;""))+1,60),"")))</f>
        <v/>
      </c>
      <c r="J45" s="19">
        <f>IF($C45="","",IF(TRIM(INDEX(인턴근무계획!$E$3:$J$202,$A45,1)&amp;"")="","",IFERROR(LEFT(TRIM(INDEX(인턴근무계획!$E$3:$J$202,$A45,1)&amp;""),FIND(" ",TRIM(INDEX(인턴근무계획!$E$3:$J$202,$A45,1)&amp;""))-1),TRIM(INDEX(인턴근무계획!$E$3:$J$202,$A45,1)&amp;""))))</f>
        <v/>
      </c>
      <c r="K45" s="19">
        <f>IF($C45="","",IF(TRIM(INDEX(인턴근무계획!$E$3:$J$202,$A45,2)&amp;"")="","",IFERROR(LEFT(TRIM(INDEX(인턴근무계획!$E$3:$J$202,$A45,2)&amp;""),FIND(" ",TRIM(INDEX(인턴근무계획!$E$3:$J$202,$A45,2)&amp;""))-1),TRIM(INDEX(인턴근무계획!$E$3:$J$202,$A45,2)&amp;""))))</f>
        <v/>
      </c>
      <c r="L45" s="19">
        <f>IF($C45="","",IF(TRIM(INDEX(인턴근무계획!$E$3:$J$202,$A45,3)&amp;"")="","",IFERROR(LEFT(TRIM(INDEX(인턴근무계획!$E$3:$J$202,$A45,3)&amp;""),FIND(" ",TRIM(INDEX(인턴근무계획!$E$3:$J$202,$A45,3)&amp;""))-1),TRIM(INDEX(인턴근무계획!$E$3:$J$202,$A45,3)&amp;""))))</f>
        <v/>
      </c>
      <c r="M45" s="19">
        <f>IF($C45="","",IF(TRIM(INDEX(인턴근무계획!$E$3:$J$202,$A45,4)&amp;"")="","",IFERROR(LEFT(TRIM(INDEX(인턴근무계획!$E$3:$J$202,$A45,4)&amp;""),FIND(" ",TRIM(INDEX(인턴근무계획!$E$3:$J$202,$A45,4)&amp;""))-1),TRIM(INDEX(인턴근무계획!$E$3:$J$202,$A45,4)&amp;""))))</f>
        <v/>
      </c>
      <c r="N45" s="19">
        <f>IF($C45="","",IF(TRIM(INDEX(인턴근무계획!$E$3:$J$202,$A45,5)&amp;"")="","",IFERROR(LEFT(TRIM(INDEX(인턴근무계획!$E$3:$J$202,$A45,5)&amp;""),FIND(" ",TRIM(INDEX(인턴근무계획!$E$3:$J$202,$A45,5)&amp;""))-1),TRIM(INDEX(인턴근무계획!$E$3:$J$202,$A45,5)&amp;""))))</f>
        <v/>
      </c>
      <c r="O45" s="19">
        <f>IF($C45="","",IF(TRIM(INDEX(인턴근무계획!$E$3:$J$202,$A45,6)&amp;"")="","",IFERROR(LEFT(TRIM(INDEX(인턴근무계획!$E$3:$J$202,$A45,6)&amp;""),FIND(" ",TRIM(INDEX(인턴근무계획!$E$3:$J$202,$A45,6)&amp;""))-1),TRIM(INDEX(인턴근무계획!$E$3:$J$202,$A45,6)&amp;""))))</f>
        <v/>
      </c>
      <c r="P45" s="19">
        <f>IF($C45="","",IF(INDEX(인턴근무계획!$K$3:$K$202,$A45)="","",INDEX(인턴근무계획!$K$3:$K$202,$A45)))</f>
        <v/>
      </c>
    </row>
    <row r="46">
      <c r="A46" s="18" t="n">
        <v>41</v>
      </c>
      <c r="B46" s="19">
        <f>IF($C46="","",INDEX(인턴근무계획!$B$3:$B$202,$A46))</f>
        <v/>
      </c>
      <c r="C46" s="19">
        <f>IFERROR(TRIM(INDEX(인턴근무계획!$C$3:$C$202,$A46)&amp;""),"")</f>
        <v/>
      </c>
      <c r="D46" s="19">
        <f>IF($C46="","",INDEX(인턴근무계획!$D$3:$D$202,$A46))</f>
        <v/>
      </c>
      <c r="E46" s="19">
        <f>IF($C46="","",IF(IFERROR(MATCH($D46,기본자료!$B$2:$B$501,0),IFERROR(MATCH($D46&amp;"",기본자료!$B$2:$B$501,0),IFERROR(MATCH(VALUE($D46),기본자료!$B$2:$B$501,0),0)))&gt;0,"확인","미등록"))</f>
        <v/>
      </c>
      <c r="F46" s="19">
        <f>IF(OR($C46="",$F$3=""),"",IF(TRIM(INDEX(인턴근무계획!$E$3:$J$202,$A46,$F$3)&amp;"")="","",IFERROR(LEFT(TRIM(INDEX(인턴근무계획!$E$3:$J$202,$A46,$F$3)&amp;""),FIND(" ",TRIM(INDEX(인턴근무계획!$E$3:$J$202,$A46,$F$3)&amp;""))-1),TRIM(INDEX(인턴근무계획!$E$3:$J$202,$A46,$F$3)&amp;""))))</f>
        <v/>
      </c>
      <c r="G46" s="19">
        <f>IF(OR($C46="",$F$3=""),"",IF(TRIM(INDEX(인턴근무계획!$E$3:$J$202,$A46,$F$3)&amp;"")="","",IFERROR(MID(TRIM(INDEX(인턴근무계획!$E$3:$J$202,$A46,$F$3)&amp;""),FIND(" ",TRIM(INDEX(인턴근무계획!$E$3:$J$202,$A46,$F$3)&amp;""))+1,60),"")))</f>
        <v/>
      </c>
      <c r="H46" s="19">
        <f>IF(OR($C46="",$H$3=""),"",IF(TRIM(INDEX(인턴근무계획!$E$3:$J$202,$A46,$H$3)&amp;"")="","",IFERROR(LEFT(TRIM(INDEX(인턴근무계획!$E$3:$J$202,$A46,$H$3)&amp;""),FIND(" ",TRIM(INDEX(인턴근무계획!$E$3:$J$202,$A46,$H$3)&amp;""))-1),TRIM(INDEX(인턴근무계획!$E$3:$J$202,$A46,$H$3)&amp;""))))</f>
        <v/>
      </c>
      <c r="I46" s="19">
        <f>IF(OR($C46="",$H$3=""),"",IF(TRIM(INDEX(인턴근무계획!$E$3:$J$202,$A46,$H$3)&amp;"")="","",IFERROR(MID(TRIM(INDEX(인턴근무계획!$E$3:$J$202,$A46,$H$3)&amp;""),FIND(" ",TRIM(INDEX(인턴근무계획!$E$3:$J$202,$A46,$H$3)&amp;""))+1,60),"")))</f>
        <v/>
      </c>
      <c r="J46" s="19">
        <f>IF($C46="","",IF(TRIM(INDEX(인턴근무계획!$E$3:$J$202,$A46,1)&amp;"")="","",IFERROR(LEFT(TRIM(INDEX(인턴근무계획!$E$3:$J$202,$A46,1)&amp;""),FIND(" ",TRIM(INDEX(인턴근무계획!$E$3:$J$202,$A46,1)&amp;""))-1),TRIM(INDEX(인턴근무계획!$E$3:$J$202,$A46,1)&amp;""))))</f>
        <v/>
      </c>
      <c r="K46" s="19">
        <f>IF($C46="","",IF(TRIM(INDEX(인턴근무계획!$E$3:$J$202,$A46,2)&amp;"")="","",IFERROR(LEFT(TRIM(INDEX(인턴근무계획!$E$3:$J$202,$A46,2)&amp;""),FIND(" ",TRIM(INDEX(인턴근무계획!$E$3:$J$202,$A46,2)&amp;""))-1),TRIM(INDEX(인턴근무계획!$E$3:$J$202,$A46,2)&amp;""))))</f>
        <v/>
      </c>
      <c r="L46" s="19">
        <f>IF($C46="","",IF(TRIM(INDEX(인턴근무계획!$E$3:$J$202,$A46,3)&amp;"")="","",IFERROR(LEFT(TRIM(INDEX(인턴근무계획!$E$3:$J$202,$A46,3)&amp;""),FIND(" ",TRIM(INDEX(인턴근무계획!$E$3:$J$202,$A46,3)&amp;""))-1),TRIM(INDEX(인턴근무계획!$E$3:$J$202,$A46,3)&amp;""))))</f>
        <v/>
      </c>
      <c r="M46" s="19">
        <f>IF($C46="","",IF(TRIM(INDEX(인턴근무계획!$E$3:$J$202,$A46,4)&amp;"")="","",IFERROR(LEFT(TRIM(INDEX(인턴근무계획!$E$3:$J$202,$A46,4)&amp;""),FIND(" ",TRIM(INDEX(인턴근무계획!$E$3:$J$202,$A46,4)&amp;""))-1),TRIM(INDEX(인턴근무계획!$E$3:$J$202,$A46,4)&amp;""))))</f>
        <v/>
      </c>
      <c r="N46" s="19">
        <f>IF($C46="","",IF(TRIM(INDEX(인턴근무계획!$E$3:$J$202,$A46,5)&amp;"")="","",IFERROR(LEFT(TRIM(INDEX(인턴근무계획!$E$3:$J$202,$A46,5)&amp;""),FIND(" ",TRIM(INDEX(인턴근무계획!$E$3:$J$202,$A46,5)&amp;""))-1),TRIM(INDEX(인턴근무계획!$E$3:$J$202,$A46,5)&amp;""))))</f>
        <v/>
      </c>
      <c r="O46" s="19">
        <f>IF($C46="","",IF(TRIM(INDEX(인턴근무계획!$E$3:$J$202,$A46,6)&amp;"")="","",IFERROR(LEFT(TRIM(INDEX(인턴근무계획!$E$3:$J$202,$A46,6)&amp;""),FIND(" ",TRIM(INDEX(인턴근무계획!$E$3:$J$202,$A46,6)&amp;""))-1),TRIM(INDEX(인턴근무계획!$E$3:$J$202,$A46,6)&amp;""))))</f>
        <v/>
      </c>
      <c r="P46" s="19">
        <f>IF($C46="","",IF(INDEX(인턴근무계획!$K$3:$K$202,$A46)="","",INDEX(인턴근무계획!$K$3:$K$202,$A46)))</f>
        <v/>
      </c>
    </row>
    <row r="47">
      <c r="A47" s="18" t="n">
        <v>42</v>
      </c>
      <c r="B47" s="19">
        <f>IF($C47="","",INDEX(인턴근무계획!$B$3:$B$202,$A47))</f>
        <v/>
      </c>
      <c r="C47" s="19">
        <f>IFERROR(TRIM(INDEX(인턴근무계획!$C$3:$C$202,$A47)&amp;""),"")</f>
        <v/>
      </c>
      <c r="D47" s="19">
        <f>IF($C47="","",INDEX(인턴근무계획!$D$3:$D$202,$A47))</f>
        <v/>
      </c>
      <c r="E47" s="19">
        <f>IF($C47="","",IF(IFERROR(MATCH($D47,기본자료!$B$2:$B$501,0),IFERROR(MATCH($D47&amp;"",기본자료!$B$2:$B$501,0),IFERROR(MATCH(VALUE($D47),기본자료!$B$2:$B$501,0),0)))&gt;0,"확인","미등록"))</f>
        <v/>
      </c>
      <c r="F47" s="19">
        <f>IF(OR($C47="",$F$3=""),"",IF(TRIM(INDEX(인턴근무계획!$E$3:$J$202,$A47,$F$3)&amp;"")="","",IFERROR(LEFT(TRIM(INDEX(인턴근무계획!$E$3:$J$202,$A47,$F$3)&amp;""),FIND(" ",TRIM(INDEX(인턴근무계획!$E$3:$J$202,$A47,$F$3)&amp;""))-1),TRIM(INDEX(인턴근무계획!$E$3:$J$202,$A47,$F$3)&amp;""))))</f>
        <v/>
      </c>
      <c r="G47" s="19">
        <f>IF(OR($C47="",$F$3=""),"",IF(TRIM(INDEX(인턴근무계획!$E$3:$J$202,$A47,$F$3)&amp;"")="","",IFERROR(MID(TRIM(INDEX(인턴근무계획!$E$3:$J$202,$A47,$F$3)&amp;""),FIND(" ",TRIM(INDEX(인턴근무계획!$E$3:$J$202,$A47,$F$3)&amp;""))+1,60),"")))</f>
        <v/>
      </c>
      <c r="H47" s="19">
        <f>IF(OR($C47="",$H$3=""),"",IF(TRIM(INDEX(인턴근무계획!$E$3:$J$202,$A47,$H$3)&amp;"")="","",IFERROR(LEFT(TRIM(INDEX(인턴근무계획!$E$3:$J$202,$A47,$H$3)&amp;""),FIND(" ",TRIM(INDEX(인턴근무계획!$E$3:$J$202,$A47,$H$3)&amp;""))-1),TRIM(INDEX(인턴근무계획!$E$3:$J$202,$A47,$H$3)&amp;""))))</f>
        <v/>
      </c>
      <c r="I47" s="19">
        <f>IF(OR($C47="",$H$3=""),"",IF(TRIM(INDEX(인턴근무계획!$E$3:$J$202,$A47,$H$3)&amp;"")="","",IFERROR(MID(TRIM(INDEX(인턴근무계획!$E$3:$J$202,$A47,$H$3)&amp;""),FIND(" ",TRIM(INDEX(인턴근무계획!$E$3:$J$202,$A47,$H$3)&amp;""))+1,60),"")))</f>
        <v/>
      </c>
      <c r="J47" s="19">
        <f>IF($C47="","",IF(TRIM(INDEX(인턴근무계획!$E$3:$J$202,$A47,1)&amp;"")="","",IFERROR(LEFT(TRIM(INDEX(인턴근무계획!$E$3:$J$202,$A47,1)&amp;""),FIND(" ",TRIM(INDEX(인턴근무계획!$E$3:$J$202,$A47,1)&amp;""))-1),TRIM(INDEX(인턴근무계획!$E$3:$J$202,$A47,1)&amp;""))))</f>
        <v/>
      </c>
      <c r="K47" s="19">
        <f>IF($C47="","",IF(TRIM(INDEX(인턴근무계획!$E$3:$J$202,$A47,2)&amp;"")="","",IFERROR(LEFT(TRIM(INDEX(인턴근무계획!$E$3:$J$202,$A47,2)&amp;""),FIND(" ",TRIM(INDEX(인턴근무계획!$E$3:$J$202,$A47,2)&amp;""))-1),TRIM(INDEX(인턴근무계획!$E$3:$J$202,$A47,2)&amp;""))))</f>
        <v/>
      </c>
      <c r="L47" s="19">
        <f>IF($C47="","",IF(TRIM(INDEX(인턴근무계획!$E$3:$J$202,$A47,3)&amp;"")="","",IFERROR(LEFT(TRIM(INDEX(인턴근무계획!$E$3:$J$202,$A47,3)&amp;""),FIND(" ",TRIM(INDEX(인턴근무계획!$E$3:$J$202,$A47,3)&amp;""))-1),TRIM(INDEX(인턴근무계획!$E$3:$J$202,$A47,3)&amp;""))))</f>
        <v/>
      </c>
      <c r="M47" s="19">
        <f>IF($C47="","",IF(TRIM(INDEX(인턴근무계획!$E$3:$J$202,$A47,4)&amp;"")="","",IFERROR(LEFT(TRIM(INDEX(인턴근무계획!$E$3:$J$202,$A47,4)&amp;""),FIND(" ",TRIM(INDEX(인턴근무계획!$E$3:$J$202,$A47,4)&amp;""))-1),TRIM(INDEX(인턴근무계획!$E$3:$J$202,$A47,4)&amp;""))))</f>
        <v/>
      </c>
      <c r="N47" s="19">
        <f>IF($C47="","",IF(TRIM(INDEX(인턴근무계획!$E$3:$J$202,$A47,5)&amp;"")="","",IFERROR(LEFT(TRIM(INDEX(인턴근무계획!$E$3:$J$202,$A47,5)&amp;""),FIND(" ",TRIM(INDEX(인턴근무계획!$E$3:$J$202,$A47,5)&amp;""))-1),TRIM(INDEX(인턴근무계획!$E$3:$J$202,$A47,5)&amp;""))))</f>
        <v/>
      </c>
      <c r="O47" s="19">
        <f>IF($C47="","",IF(TRIM(INDEX(인턴근무계획!$E$3:$J$202,$A47,6)&amp;"")="","",IFERROR(LEFT(TRIM(INDEX(인턴근무계획!$E$3:$J$202,$A47,6)&amp;""),FIND(" ",TRIM(INDEX(인턴근무계획!$E$3:$J$202,$A47,6)&amp;""))-1),TRIM(INDEX(인턴근무계획!$E$3:$J$202,$A47,6)&amp;""))))</f>
        <v/>
      </c>
      <c r="P47" s="19">
        <f>IF($C47="","",IF(INDEX(인턴근무계획!$K$3:$K$202,$A47)="","",INDEX(인턴근무계획!$K$3:$K$202,$A47)))</f>
        <v/>
      </c>
    </row>
    <row r="48">
      <c r="A48" s="18" t="n">
        <v>43</v>
      </c>
      <c r="B48" s="19">
        <f>IF($C48="","",INDEX(인턴근무계획!$B$3:$B$202,$A48))</f>
        <v/>
      </c>
      <c r="C48" s="19">
        <f>IFERROR(TRIM(INDEX(인턴근무계획!$C$3:$C$202,$A48)&amp;""),"")</f>
        <v/>
      </c>
      <c r="D48" s="19">
        <f>IF($C48="","",INDEX(인턴근무계획!$D$3:$D$202,$A48))</f>
        <v/>
      </c>
      <c r="E48" s="19">
        <f>IF($C48="","",IF(IFERROR(MATCH($D48,기본자료!$B$2:$B$501,0),IFERROR(MATCH($D48&amp;"",기본자료!$B$2:$B$501,0),IFERROR(MATCH(VALUE($D48),기본자료!$B$2:$B$501,0),0)))&gt;0,"확인","미등록"))</f>
        <v/>
      </c>
      <c r="F48" s="19">
        <f>IF(OR($C48="",$F$3=""),"",IF(TRIM(INDEX(인턴근무계획!$E$3:$J$202,$A48,$F$3)&amp;"")="","",IFERROR(LEFT(TRIM(INDEX(인턴근무계획!$E$3:$J$202,$A48,$F$3)&amp;""),FIND(" ",TRIM(INDEX(인턴근무계획!$E$3:$J$202,$A48,$F$3)&amp;""))-1),TRIM(INDEX(인턴근무계획!$E$3:$J$202,$A48,$F$3)&amp;""))))</f>
        <v/>
      </c>
      <c r="G48" s="19">
        <f>IF(OR($C48="",$F$3=""),"",IF(TRIM(INDEX(인턴근무계획!$E$3:$J$202,$A48,$F$3)&amp;"")="","",IFERROR(MID(TRIM(INDEX(인턴근무계획!$E$3:$J$202,$A48,$F$3)&amp;""),FIND(" ",TRIM(INDEX(인턴근무계획!$E$3:$J$202,$A48,$F$3)&amp;""))+1,60),"")))</f>
        <v/>
      </c>
      <c r="H48" s="19">
        <f>IF(OR($C48="",$H$3=""),"",IF(TRIM(INDEX(인턴근무계획!$E$3:$J$202,$A48,$H$3)&amp;"")="","",IFERROR(LEFT(TRIM(INDEX(인턴근무계획!$E$3:$J$202,$A48,$H$3)&amp;""),FIND(" ",TRIM(INDEX(인턴근무계획!$E$3:$J$202,$A48,$H$3)&amp;""))-1),TRIM(INDEX(인턴근무계획!$E$3:$J$202,$A48,$H$3)&amp;""))))</f>
        <v/>
      </c>
      <c r="I48" s="19">
        <f>IF(OR($C48="",$H$3=""),"",IF(TRIM(INDEX(인턴근무계획!$E$3:$J$202,$A48,$H$3)&amp;"")="","",IFERROR(MID(TRIM(INDEX(인턴근무계획!$E$3:$J$202,$A48,$H$3)&amp;""),FIND(" ",TRIM(INDEX(인턴근무계획!$E$3:$J$202,$A48,$H$3)&amp;""))+1,60),"")))</f>
        <v/>
      </c>
      <c r="J48" s="19">
        <f>IF($C48="","",IF(TRIM(INDEX(인턴근무계획!$E$3:$J$202,$A48,1)&amp;"")="","",IFERROR(LEFT(TRIM(INDEX(인턴근무계획!$E$3:$J$202,$A48,1)&amp;""),FIND(" ",TRIM(INDEX(인턴근무계획!$E$3:$J$202,$A48,1)&amp;""))-1),TRIM(INDEX(인턴근무계획!$E$3:$J$202,$A48,1)&amp;""))))</f>
        <v/>
      </c>
      <c r="K48" s="19">
        <f>IF($C48="","",IF(TRIM(INDEX(인턴근무계획!$E$3:$J$202,$A48,2)&amp;"")="","",IFERROR(LEFT(TRIM(INDEX(인턴근무계획!$E$3:$J$202,$A48,2)&amp;""),FIND(" ",TRIM(INDEX(인턴근무계획!$E$3:$J$202,$A48,2)&amp;""))-1),TRIM(INDEX(인턴근무계획!$E$3:$J$202,$A48,2)&amp;""))))</f>
        <v/>
      </c>
      <c r="L48" s="19">
        <f>IF($C48="","",IF(TRIM(INDEX(인턴근무계획!$E$3:$J$202,$A48,3)&amp;"")="","",IFERROR(LEFT(TRIM(INDEX(인턴근무계획!$E$3:$J$202,$A48,3)&amp;""),FIND(" ",TRIM(INDEX(인턴근무계획!$E$3:$J$202,$A48,3)&amp;""))-1),TRIM(INDEX(인턴근무계획!$E$3:$J$202,$A48,3)&amp;""))))</f>
        <v/>
      </c>
      <c r="M48" s="19">
        <f>IF($C48="","",IF(TRIM(INDEX(인턴근무계획!$E$3:$J$202,$A48,4)&amp;"")="","",IFERROR(LEFT(TRIM(INDEX(인턴근무계획!$E$3:$J$202,$A48,4)&amp;""),FIND(" ",TRIM(INDEX(인턴근무계획!$E$3:$J$202,$A48,4)&amp;""))-1),TRIM(INDEX(인턴근무계획!$E$3:$J$202,$A48,4)&amp;""))))</f>
        <v/>
      </c>
      <c r="N48" s="19">
        <f>IF($C48="","",IF(TRIM(INDEX(인턴근무계획!$E$3:$J$202,$A48,5)&amp;"")="","",IFERROR(LEFT(TRIM(INDEX(인턴근무계획!$E$3:$J$202,$A48,5)&amp;""),FIND(" ",TRIM(INDEX(인턴근무계획!$E$3:$J$202,$A48,5)&amp;""))-1),TRIM(INDEX(인턴근무계획!$E$3:$J$202,$A48,5)&amp;""))))</f>
        <v/>
      </c>
      <c r="O48" s="19">
        <f>IF($C48="","",IF(TRIM(INDEX(인턴근무계획!$E$3:$J$202,$A48,6)&amp;"")="","",IFERROR(LEFT(TRIM(INDEX(인턴근무계획!$E$3:$J$202,$A48,6)&amp;""),FIND(" ",TRIM(INDEX(인턴근무계획!$E$3:$J$202,$A48,6)&amp;""))-1),TRIM(INDEX(인턴근무계획!$E$3:$J$202,$A48,6)&amp;""))))</f>
        <v/>
      </c>
      <c r="P48" s="19">
        <f>IF($C48="","",IF(INDEX(인턴근무계획!$K$3:$K$202,$A48)="","",INDEX(인턴근무계획!$K$3:$K$202,$A48)))</f>
        <v/>
      </c>
    </row>
    <row r="49">
      <c r="A49" s="18" t="n">
        <v>44</v>
      </c>
      <c r="B49" s="19">
        <f>IF($C49="","",INDEX(인턴근무계획!$B$3:$B$202,$A49))</f>
        <v/>
      </c>
      <c r="C49" s="19">
        <f>IFERROR(TRIM(INDEX(인턴근무계획!$C$3:$C$202,$A49)&amp;""),"")</f>
        <v/>
      </c>
      <c r="D49" s="19">
        <f>IF($C49="","",INDEX(인턴근무계획!$D$3:$D$202,$A49))</f>
        <v/>
      </c>
      <c r="E49" s="19">
        <f>IF($C49="","",IF(IFERROR(MATCH($D49,기본자료!$B$2:$B$501,0),IFERROR(MATCH($D49&amp;"",기본자료!$B$2:$B$501,0),IFERROR(MATCH(VALUE($D49),기본자료!$B$2:$B$501,0),0)))&gt;0,"확인","미등록"))</f>
        <v/>
      </c>
      <c r="F49" s="19">
        <f>IF(OR($C49="",$F$3=""),"",IF(TRIM(INDEX(인턴근무계획!$E$3:$J$202,$A49,$F$3)&amp;"")="","",IFERROR(LEFT(TRIM(INDEX(인턴근무계획!$E$3:$J$202,$A49,$F$3)&amp;""),FIND(" ",TRIM(INDEX(인턴근무계획!$E$3:$J$202,$A49,$F$3)&amp;""))-1),TRIM(INDEX(인턴근무계획!$E$3:$J$202,$A49,$F$3)&amp;""))))</f>
        <v/>
      </c>
      <c r="G49" s="19">
        <f>IF(OR($C49="",$F$3=""),"",IF(TRIM(INDEX(인턴근무계획!$E$3:$J$202,$A49,$F$3)&amp;"")="","",IFERROR(MID(TRIM(INDEX(인턴근무계획!$E$3:$J$202,$A49,$F$3)&amp;""),FIND(" ",TRIM(INDEX(인턴근무계획!$E$3:$J$202,$A49,$F$3)&amp;""))+1,60),"")))</f>
        <v/>
      </c>
      <c r="H49" s="19">
        <f>IF(OR($C49="",$H$3=""),"",IF(TRIM(INDEX(인턴근무계획!$E$3:$J$202,$A49,$H$3)&amp;"")="","",IFERROR(LEFT(TRIM(INDEX(인턴근무계획!$E$3:$J$202,$A49,$H$3)&amp;""),FIND(" ",TRIM(INDEX(인턴근무계획!$E$3:$J$202,$A49,$H$3)&amp;""))-1),TRIM(INDEX(인턴근무계획!$E$3:$J$202,$A49,$H$3)&amp;""))))</f>
        <v/>
      </c>
      <c r="I49" s="19">
        <f>IF(OR($C49="",$H$3=""),"",IF(TRIM(INDEX(인턴근무계획!$E$3:$J$202,$A49,$H$3)&amp;"")="","",IFERROR(MID(TRIM(INDEX(인턴근무계획!$E$3:$J$202,$A49,$H$3)&amp;""),FIND(" ",TRIM(INDEX(인턴근무계획!$E$3:$J$202,$A49,$H$3)&amp;""))+1,60),"")))</f>
        <v/>
      </c>
      <c r="J49" s="19">
        <f>IF($C49="","",IF(TRIM(INDEX(인턴근무계획!$E$3:$J$202,$A49,1)&amp;"")="","",IFERROR(LEFT(TRIM(INDEX(인턴근무계획!$E$3:$J$202,$A49,1)&amp;""),FIND(" ",TRIM(INDEX(인턴근무계획!$E$3:$J$202,$A49,1)&amp;""))-1),TRIM(INDEX(인턴근무계획!$E$3:$J$202,$A49,1)&amp;""))))</f>
        <v/>
      </c>
      <c r="K49" s="19">
        <f>IF($C49="","",IF(TRIM(INDEX(인턴근무계획!$E$3:$J$202,$A49,2)&amp;"")="","",IFERROR(LEFT(TRIM(INDEX(인턴근무계획!$E$3:$J$202,$A49,2)&amp;""),FIND(" ",TRIM(INDEX(인턴근무계획!$E$3:$J$202,$A49,2)&amp;""))-1),TRIM(INDEX(인턴근무계획!$E$3:$J$202,$A49,2)&amp;""))))</f>
        <v/>
      </c>
      <c r="L49" s="19">
        <f>IF($C49="","",IF(TRIM(INDEX(인턴근무계획!$E$3:$J$202,$A49,3)&amp;"")="","",IFERROR(LEFT(TRIM(INDEX(인턴근무계획!$E$3:$J$202,$A49,3)&amp;""),FIND(" ",TRIM(INDEX(인턴근무계획!$E$3:$J$202,$A49,3)&amp;""))-1),TRIM(INDEX(인턴근무계획!$E$3:$J$202,$A49,3)&amp;""))))</f>
        <v/>
      </c>
      <c r="M49" s="19">
        <f>IF($C49="","",IF(TRIM(INDEX(인턴근무계획!$E$3:$J$202,$A49,4)&amp;"")="","",IFERROR(LEFT(TRIM(INDEX(인턴근무계획!$E$3:$J$202,$A49,4)&amp;""),FIND(" ",TRIM(INDEX(인턴근무계획!$E$3:$J$202,$A49,4)&amp;""))-1),TRIM(INDEX(인턴근무계획!$E$3:$J$202,$A49,4)&amp;""))))</f>
        <v/>
      </c>
      <c r="N49" s="19">
        <f>IF($C49="","",IF(TRIM(INDEX(인턴근무계획!$E$3:$J$202,$A49,5)&amp;"")="","",IFERROR(LEFT(TRIM(INDEX(인턴근무계획!$E$3:$J$202,$A49,5)&amp;""),FIND(" ",TRIM(INDEX(인턴근무계획!$E$3:$J$202,$A49,5)&amp;""))-1),TRIM(INDEX(인턴근무계획!$E$3:$J$202,$A49,5)&amp;""))))</f>
        <v/>
      </c>
      <c r="O49" s="19">
        <f>IF($C49="","",IF(TRIM(INDEX(인턴근무계획!$E$3:$J$202,$A49,6)&amp;"")="","",IFERROR(LEFT(TRIM(INDEX(인턴근무계획!$E$3:$J$202,$A49,6)&amp;""),FIND(" ",TRIM(INDEX(인턴근무계획!$E$3:$J$202,$A49,6)&amp;""))-1),TRIM(INDEX(인턴근무계획!$E$3:$J$202,$A49,6)&amp;""))))</f>
        <v/>
      </c>
      <c r="P49" s="19">
        <f>IF($C49="","",IF(INDEX(인턴근무계획!$K$3:$K$202,$A49)="","",INDEX(인턴근무계획!$K$3:$K$202,$A49)))</f>
        <v/>
      </c>
    </row>
    <row r="50">
      <c r="A50" s="18" t="n">
        <v>45</v>
      </c>
      <c r="B50" s="19">
        <f>IF($C50="","",INDEX(인턴근무계획!$B$3:$B$202,$A50))</f>
        <v/>
      </c>
      <c r="C50" s="19">
        <f>IFERROR(TRIM(INDEX(인턴근무계획!$C$3:$C$202,$A50)&amp;""),"")</f>
        <v/>
      </c>
      <c r="D50" s="19">
        <f>IF($C50="","",INDEX(인턴근무계획!$D$3:$D$202,$A50))</f>
        <v/>
      </c>
      <c r="E50" s="19">
        <f>IF($C50="","",IF(IFERROR(MATCH($D50,기본자료!$B$2:$B$501,0),IFERROR(MATCH($D50&amp;"",기본자료!$B$2:$B$501,0),IFERROR(MATCH(VALUE($D50),기본자료!$B$2:$B$501,0),0)))&gt;0,"확인","미등록"))</f>
        <v/>
      </c>
      <c r="F50" s="19">
        <f>IF(OR($C50="",$F$3=""),"",IF(TRIM(INDEX(인턴근무계획!$E$3:$J$202,$A50,$F$3)&amp;"")="","",IFERROR(LEFT(TRIM(INDEX(인턴근무계획!$E$3:$J$202,$A50,$F$3)&amp;""),FIND(" ",TRIM(INDEX(인턴근무계획!$E$3:$J$202,$A50,$F$3)&amp;""))-1),TRIM(INDEX(인턴근무계획!$E$3:$J$202,$A50,$F$3)&amp;""))))</f>
        <v/>
      </c>
      <c r="G50" s="19">
        <f>IF(OR($C50="",$F$3=""),"",IF(TRIM(INDEX(인턴근무계획!$E$3:$J$202,$A50,$F$3)&amp;"")="","",IFERROR(MID(TRIM(INDEX(인턴근무계획!$E$3:$J$202,$A50,$F$3)&amp;""),FIND(" ",TRIM(INDEX(인턴근무계획!$E$3:$J$202,$A50,$F$3)&amp;""))+1,60),"")))</f>
        <v/>
      </c>
      <c r="H50" s="19">
        <f>IF(OR($C50="",$H$3=""),"",IF(TRIM(INDEX(인턴근무계획!$E$3:$J$202,$A50,$H$3)&amp;"")="","",IFERROR(LEFT(TRIM(INDEX(인턴근무계획!$E$3:$J$202,$A50,$H$3)&amp;""),FIND(" ",TRIM(INDEX(인턴근무계획!$E$3:$J$202,$A50,$H$3)&amp;""))-1),TRIM(INDEX(인턴근무계획!$E$3:$J$202,$A50,$H$3)&amp;""))))</f>
        <v/>
      </c>
      <c r="I50" s="19">
        <f>IF(OR($C50="",$H$3=""),"",IF(TRIM(INDEX(인턴근무계획!$E$3:$J$202,$A50,$H$3)&amp;"")="","",IFERROR(MID(TRIM(INDEX(인턴근무계획!$E$3:$J$202,$A50,$H$3)&amp;""),FIND(" ",TRIM(INDEX(인턴근무계획!$E$3:$J$202,$A50,$H$3)&amp;""))+1,60),"")))</f>
        <v/>
      </c>
      <c r="J50" s="19">
        <f>IF($C50="","",IF(TRIM(INDEX(인턴근무계획!$E$3:$J$202,$A50,1)&amp;"")="","",IFERROR(LEFT(TRIM(INDEX(인턴근무계획!$E$3:$J$202,$A50,1)&amp;""),FIND(" ",TRIM(INDEX(인턴근무계획!$E$3:$J$202,$A50,1)&amp;""))-1),TRIM(INDEX(인턴근무계획!$E$3:$J$202,$A50,1)&amp;""))))</f>
        <v/>
      </c>
      <c r="K50" s="19">
        <f>IF($C50="","",IF(TRIM(INDEX(인턴근무계획!$E$3:$J$202,$A50,2)&amp;"")="","",IFERROR(LEFT(TRIM(INDEX(인턴근무계획!$E$3:$J$202,$A50,2)&amp;""),FIND(" ",TRIM(INDEX(인턴근무계획!$E$3:$J$202,$A50,2)&amp;""))-1),TRIM(INDEX(인턴근무계획!$E$3:$J$202,$A50,2)&amp;""))))</f>
        <v/>
      </c>
      <c r="L50" s="19">
        <f>IF($C50="","",IF(TRIM(INDEX(인턴근무계획!$E$3:$J$202,$A50,3)&amp;"")="","",IFERROR(LEFT(TRIM(INDEX(인턴근무계획!$E$3:$J$202,$A50,3)&amp;""),FIND(" ",TRIM(INDEX(인턴근무계획!$E$3:$J$202,$A50,3)&amp;""))-1),TRIM(INDEX(인턴근무계획!$E$3:$J$202,$A50,3)&amp;""))))</f>
        <v/>
      </c>
      <c r="M50" s="19">
        <f>IF($C50="","",IF(TRIM(INDEX(인턴근무계획!$E$3:$J$202,$A50,4)&amp;"")="","",IFERROR(LEFT(TRIM(INDEX(인턴근무계획!$E$3:$J$202,$A50,4)&amp;""),FIND(" ",TRIM(INDEX(인턴근무계획!$E$3:$J$202,$A50,4)&amp;""))-1),TRIM(INDEX(인턴근무계획!$E$3:$J$202,$A50,4)&amp;""))))</f>
        <v/>
      </c>
      <c r="N50" s="19">
        <f>IF($C50="","",IF(TRIM(INDEX(인턴근무계획!$E$3:$J$202,$A50,5)&amp;"")="","",IFERROR(LEFT(TRIM(INDEX(인턴근무계획!$E$3:$J$202,$A50,5)&amp;""),FIND(" ",TRIM(INDEX(인턴근무계획!$E$3:$J$202,$A50,5)&amp;""))-1),TRIM(INDEX(인턴근무계획!$E$3:$J$202,$A50,5)&amp;""))))</f>
        <v/>
      </c>
      <c r="O50" s="19">
        <f>IF($C50="","",IF(TRIM(INDEX(인턴근무계획!$E$3:$J$202,$A50,6)&amp;"")="","",IFERROR(LEFT(TRIM(INDEX(인턴근무계획!$E$3:$J$202,$A50,6)&amp;""),FIND(" ",TRIM(INDEX(인턴근무계획!$E$3:$J$202,$A50,6)&amp;""))-1),TRIM(INDEX(인턴근무계획!$E$3:$J$202,$A50,6)&amp;""))))</f>
        <v/>
      </c>
      <c r="P50" s="19">
        <f>IF($C50="","",IF(INDEX(인턴근무계획!$K$3:$K$202,$A50)="","",INDEX(인턴근무계획!$K$3:$K$202,$A50)))</f>
        <v/>
      </c>
    </row>
    <row r="51">
      <c r="A51" s="18" t="n">
        <v>46</v>
      </c>
      <c r="B51" s="19">
        <f>IF($C51="","",INDEX(인턴근무계획!$B$3:$B$202,$A51))</f>
        <v/>
      </c>
      <c r="C51" s="19">
        <f>IFERROR(TRIM(INDEX(인턴근무계획!$C$3:$C$202,$A51)&amp;""),"")</f>
        <v/>
      </c>
      <c r="D51" s="19">
        <f>IF($C51="","",INDEX(인턴근무계획!$D$3:$D$202,$A51))</f>
        <v/>
      </c>
      <c r="E51" s="19">
        <f>IF($C51="","",IF(IFERROR(MATCH($D51,기본자료!$B$2:$B$501,0),IFERROR(MATCH($D51&amp;"",기본자료!$B$2:$B$501,0),IFERROR(MATCH(VALUE($D51),기본자료!$B$2:$B$501,0),0)))&gt;0,"확인","미등록"))</f>
        <v/>
      </c>
      <c r="F51" s="19">
        <f>IF(OR($C51="",$F$3=""),"",IF(TRIM(INDEX(인턴근무계획!$E$3:$J$202,$A51,$F$3)&amp;"")="","",IFERROR(LEFT(TRIM(INDEX(인턴근무계획!$E$3:$J$202,$A51,$F$3)&amp;""),FIND(" ",TRIM(INDEX(인턴근무계획!$E$3:$J$202,$A51,$F$3)&amp;""))-1),TRIM(INDEX(인턴근무계획!$E$3:$J$202,$A51,$F$3)&amp;""))))</f>
        <v/>
      </c>
      <c r="G51" s="19">
        <f>IF(OR($C51="",$F$3=""),"",IF(TRIM(INDEX(인턴근무계획!$E$3:$J$202,$A51,$F$3)&amp;"")="","",IFERROR(MID(TRIM(INDEX(인턴근무계획!$E$3:$J$202,$A51,$F$3)&amp;""),FIND(" ",TRIM(INDEX(인턴근무계획!$E$3:$J$202,$A51,$F$3)&amp;""))+1,60),"")))</f>
        <v/>
      </c>
      <c r="H51" s="19">
        <f>IF(OR($C51="",$H$3=""),"",IF(TRIM(INDEX(인턴근무계획!$E$3:$J$202,$A51,$H$3)&amp;"")="","",IFERROR(LEFT(TRIM(INDEX(인턴근무계획!$E$3:$J$202,$A51,$H$3)&amp;""),FIND(" ",TRIM(INDEX(인턴근무계획!$E$3:$J$202,$A51,$H$3)&amp;""))-1),TRIM(INDEX(인턴근무계획!$E$3:$J$202,$A51,$H$3)&amp;""))))</f>
        <v/>
      </c>
      <c r="I51" s="19">
        <f>IF(OR($C51="",$H$3=""),"",IF(TRIM(INDEX(인턴근무계획!$E$3:$J$202,$A51,$H$3)&amp;"")="","",IFERROR(MID(TRIM(INDEX(인턴근무계획!$E$3:$J$202,$A51,$H$3)&amp;""),FIND(" ",TRIM(INDEX(인턴근무계획!$E$3:$J$202,$A51,$H$3)&amp;""))+1,60),"")))</f>
        <v/>
      </c>
      <c r="J51" s="19">
        <f>IF($C51="","",IF(TRIM(INDEX(인턴근무계획!$E$3:$J$202,$A51,1)&amp;"")="","",IFERROR(LEFT(TRIM(INDEX(인턴근무계획!$E$3:$J$202,$A51,1)&amp;""),FIND(" ",TRIM(INDEX(인턴근무계획!$E$3:$J$202,$A51,1)&amp;""))-1),TRIM(INDEX(인턴근무계획!$E$3:$J$202,$A51,1)&amp;""))))</f>
        <v/>
      </c>
      <c r="K51" s="19">
        <f>IF($C51="","",IF(TRIM(INDEX(인턴근무계획!$E$3:$J$202,$A51,2)&amp;"")="","",IFERROR(LEFT(TRIM(INDEX(인턴근무계획!$E$3:$J$202,$A51,2)&amp;""),FIND(" ",TRIM(INDEX(인턴근무계획!$E$3:$J$202,$A51,2)&amp;""))-1),TRIM(INDEX(인턴근무계획!$E$3:$J$202,$A51,2)&amp;""))))</f>
        <v/>
      </c>
      <c r="L51" s="19">
        <f>IF($C51="","",IF(TRIM(INDEX(인턴근무계획!$E$3:$J$202,$A51,3)&amp;"")="","",IFERROR(LEFT(TRIM(INDEX(인턴근무계획!$E$3:$J$202,$A51,3)&amp;""),FIND(" ",TRIM(INDEX(인턴근무계획!$E$3:$J$202,$A51,3)&amp;""))-1),TRIM(INDEX(인턴근무계획!$E$3:$J$202,$A51,3)&amp;""))))</f>
        <v/>
      </c>
      <c r="M51" s="19">
        <f>IF($C51="","",IF(TRIM(INDEX(인턴근무계획!$E$3:$J$202,$A51,4)&amp;"")="","",IFERROR(LEFT(TRIM(INDEX(인턴근무계획!$E$3:$J$202,$A51,4)&amp;""),FIND(" ",TRIM(INDEX(인턴근무계획!$E$3:$J$202,$A51,4)&amp;""))-1),TRIM(INDEX(인턴근무계획!$E$3:$J$202,$A51,4)&amp;""))))</f>
        <v/>
      </c>
      <c r="N51" s="19">
        <f>IF($C51="","",IF(TRIM(INDEX(인턴근무계획!$E$3:$J$202,$A51,5)&amp;"")="","",IFERROR(LEFT(TRIM(INDEX(인턴근무계획!$E$3:$J$202,$A51,5)&amp;""),FIND(" ",TRIM(INDEX(인턴근무계획!$E$3:$J$202,$A51,5)&amp;""))-1),TRIM(INDEX(인턴근무계획!$E$3:$J$202,$A51,5)&amp;""))))</f>
        <v/>
      </c>
      <c r="O51" s="19">
        <f>IF($C51="","",IF(TRIM(INDEX(인턴근무계획!$E$3:$J$202,$A51,6)&amp;"")="","",IFERROR(LEFT(TRIM(INDEX(인턴근무계획!$E$3:$J$202,$A51,6)&amp;""),FIND(" ",TRIM(INDEX(인턴근무계획!$E$3:$J$202,$A51,6)&amp;""))-1),TRIM(INDEX(인턴근무계획!$E$3:$J$202,$A51,6)&amp;""))))</f>
        <v/>
      </c>
      <c r="P51" s="19">
        <f>IF($C51="","",IF(INDEX(인턴근무계획!$K$3:$K$202,$A51)="","",INDEX(인턴근무계획!$K$3:$K$202,$A51)))</f>
        <v/>
      </c>
    </row>
    <row r="52">
      <c r="A52" s="18" t="n">
        <v>47</v>
      </c>
      <c r="B52" s="19">
        <f>IF($C52="","",INDEX(인턴근무계획!$B$3:$B$202,$A52))</f>
        <v/>
      </c>
      <c r="C52" s="19">
        <f>IFERROR(TRIM(INDEX(인턴근무계획!$C$3:$C$202,$A52)&amp;""),"")</f>
        <v/>
      </c>
      <c r="D52" s="19">
        <f>IF($C52="","",INDEX(인턴근무계획!$D$3:$D$202,$A52))</f>
        <v/>
      </c>
      <c r="E52" s="19">
        <f>IF($C52="","",IF(IFERROR(MATCH($D52,기본자료!$B$2:$B$501,0),IFERROR(MATCH($D52&amp;"",기본자료!$B$2:$B$501,0),IFERROR(MATCH(VALUE($D52),기본자료!$B$2:$B$501,0),0)))&gt;0,"확인","미등록"))</f>
        <v/>
      </c>
      <c r="F52" s="19">
        <f>IF(OR($C52="",$F$3=""),"",IF(TRIM(INDEX(인턴근무계획!$E$3:$J$202,$A52,$F$3)&amp;"")="","",IFERROR(LEFT(TRIM(INDEX(인턴근무계획!$E$3:$J$202,$A52,$F$3)&amp;""),FIND(" ",TRIM(INDEX(인턴근무계획!$E$3:$J$202,$A52,$F$3)&amp;""))-1),TRIM(INDEX(인턴근무계획!$E$3:$J$202,$A52,$F$3)&amp;""))))</f>
        <v/>
      </c>
      <c r="G52" s="19">
        <f>IF(OR($C52="",$F$3=""),"",IF(TRIM(INDEX(인턴근무계획!$E$3:$J$202,$A52,$F$3)&amp;"")="","",IFERROR(MID(TRIM(INDEX(인턴근무계획!$E$3:$J$202,$A52,$F$3)&amp;""),FIND(" ",TRIM(INDEX(인턴근무계획!$E$3:$J$202,$A52,$F$3)&amp;""))+1,60),"")))</f>
        <v/>
      </c>
      <c r="H52" s="19">
        <f>IF(OR($C52="",$H$3=""),"",IF(TRIM(INDEX(인턴근무계획!$E$3:$J$202,$A52,$H$3)&amp;"")="","",IFERROR(LEFT(TRIM(INDEX(인턴근무계획!$E$3:$J$202,$A52,$H$3)&amp;""),FIND(" ",TRIM(INDEX(인턴근무계획!$E$3:$J$202,$A52,$H$3)&amp;""))-1),TRIM(INDEX(인턴근무계획!$E$3:$J$202,$A52,$H$3)&amp;""))))</f>
        <v/>
      </c>
      <c r="I52" s="19">
        <f>IF(OR($C52="",$H$3=""),"",IF(TRIM(INDEX(인턴근무계획!$E$3:$J$202,$A52,$H$3)&amp;"")="","",IFERROR(MID(TRIM(INDEX(인턴근무계획!$E$3:$J$202,$A52,$H$3)&amp;""),FIND(" ",TRIM(INDEX(인턴근무계획!$E$3:$J$202,$A52,$H$3)&amp;""))+1,60),"")))</f>
        <v/>
      </c>
      <c r="J52" s="19">
        <f>IF($C52="","",IF(TRIM(INDEX(인턴근무계획!$E$3:$J$202,$A52,1)&amp;"")="","",IFERROR(LEFT(TRIM(INDEX(인턴근무계획!$E$3:$J$202,$A52,1)&amp;""),FIND(" ",TRIM(INDEX(인턴근무계획!$E$3:$J$202,$A52,1)&amp;""))-1),TRIM(INDEX(인턴근무계획!$E$3:$J$202,$A52,1)&amp;""))))</f>
        <v/>
      </c>
      <c r="K52" s="19">
        <f>IF($C52="","",IF(TRIM(INDEX(인턴근무계획!$E$3:$J$202,$A52,2)&amp;"")="","",IFERROR(LEFT(TRIM(INDEX(인턴근무계획!$E$3:$J$202,$A52,2)&amp;""),FIND(" ",TRIM(INDEX(인턴근무계획!$E$3:$J$202,$A52,2)&amp;""))-1),TRIM(INDEX(인턴근무계획!$E$3:$J$202,$A52,2)&amp;""))))</f>
        <v/>
      </c>
      <c r="L52" s="19">
        <f>IF($C52="","",IF(TRIM(INDEX(인턴근무계획!$E$3:$J$202,$A52,3)&amp;"")="","",IFERROR(LEFT(TRIM(INDEX(인턴근무계획!$E$3:$J$202,$A52,3)&amp;""),FIND(" ",TRIM(INDEX(인턴근무계획!$E$3:$J$202,$A52,3)&amp;""))-1),TRIM(INDEX(인턴근무계획!$E$3:$J$202,$A52,3)&amp;""))))</f>
        <v/>
      </c>
      <c r="M52" s="19">
        <f>IF($C52="","",IF(TRIM(INDEX(인턴근무계획!$E$3:$J$202,$A52,4)&amp;"")="","",IFERROR(LEFT(TRIM(INDEX(인턴근무계획!$E$3:$J$202,$A52,4)&amp;""),FIND(" ",TRIM(INDEX(인턴근무계획!$E$3:$J$202,$A52,4)&amp;""))-1),TRIM(INDEX(인턴근무계획!$E$3:$J$202,$A52,4)&amp;""))))</f>
        <v/>
      </c>
      <c r="N52" s="19">
        <f>IF($C52="","",IF(TRIM(INDEX(인턴근무계획!$E$3:$J$202,$A52,5)&amp;"")="","",IFERROR(LEFT(TRIM(INDEX(인턴근무계획!$E$3:$J$202,$A52,5)&amp;""),FIND(" ",TRIM(INDEX(인턴근무계획!$E$3:$J$202,$A52,5)&amp;""))-1),TRIM(INDEX(인턴근무계획!$E$3:$J$202,$A52,5)&amp;""))))</f>
        <v/>
      </c>
      <c r="O52" s="19">
        <f>IF($C52="","",IF(TRIM(INDEX(인턴근무계획!$E$3:$J$202,$A52,6)&amp;"")="","",IFERROR(LEFT(TRIM(INDEX(인턴근무계획!$E$3:$J$202,$A52,6)&amp;""),FIND(" ",TRIM(INDEX(인턴근무계획!$E$3:$J$202,$A52,6)&amp;""))-1),TRIM(INDEX(인턴근무계획!$E$3:$J$202,$A52,6)&amp;""))))</f>
        <v/>
      </c>
      <c r="P52" s="19">
        <f>IF($C52="","",IF(INDEX(인턴근무계획!$K$3:$K$202,$A52)="","",INDEX(인턴근무계획!$K$3:$K$202,$A52)))</f>
        <v/>
      </c>
    </row>
    <row r="53">
      <c r="A53" s="18" t="n">
        <v>48</v>
      </c>
      <c r="B53" s="19">
        <f>IF($C53="","",INDEX(인턴근무계획!$B$3:$B$202,$A53))</f>
        <v/>
      </c>
      <c r="C53" s="19">
        <f>IFERROR(TRIM(INDEX(인턴근무계획!$C$3:$C$202,$A53)&amp;""),"")</f>
        <v/>
      </c>
      <c r="D53" s="19">
        <f>IF($C53="","",INDEX(인턴근무계획!$D$3:$D$202,$A53))</f>
        <v/>
      </c>
      <c r="E53" s="19">
        <f>IF($C53="","",IF(IFERROR(MATCH($D53,기본자료!$B$2:$B$501,0),IFERROR(MATCH($D53&amp;"",기본자료!$B$2:$B$501,0),IFERROR(MATCH(VALUE($D53),기본자료!$B$2:$B$501,0),0)))&gt;0,"확인","미등록"))</f>
        <v/>
      </c>
      <c r="F53" s="19">
        <f>IF(OR($C53="",$F$3=""),"",IF(TRIM(INDEX(인턴근무계획!$E$3:$J$202,$A53,$F$3)&amp;"")="","",IFERROR(LEFT(TRIM(INDEX(인턴근무계획!$E$3:$J$202,$A53,$F$3)&amp;""),FIND(" ",TRIM(INDEX(인턴근무계획!$E$3:$J$202,$A53,$F$3)&amp;""))-1),TRIM(INDEX(인턴근무계획!$E$3:$J$202,$A53,$F$3)&amp;""))))</f>
        <v/>
      </c>
      <c r="G53" s="19">
        <f>IF(OR($C53="",$F$3=""),"",IF(TRIM(INDEX(인턴근무계획!$E$3:$J$202,$A53,$F$3)&amp;"")="","",IFERROR(MID(TRIM(INDEX(인턴근무계획!$E$3:$J$202,$A53,$F$3)&amp;""),FIND(" ",TRIM(INDEX(인턴근무계획!$E$3:$J$202,$A53,$F$3)&amp;""))+1,60),"")))</f>
        <v/>
      </c>
      <c r="H53" s="19">
        <f>IF(OR($C53="",$H$3=""),"",IF(TRIM(INDEX(인턴근무계획!$E$3:$J$202,$A53,$H$3)&amp;"")="","",IFERROR(LEFT(TRIM(INDEX(인턴근무계획!$E$3:$J$202,$A53,$H$3)&amp;""),FIND(" ",TRIM(INDEX(인턴근무계획!$E$3:$J$202,$A53,$H$3)&amp;""))-1),TRIM(INDEX(인턴근무계획!$E$3:$J$202,$A53,$H$3)&amp;""))))</f>
        <v/>
      </c>
      <c r="I53" s="19">
        <f>IF(OR($C53="",$H$3=""),"",IF(TRIM(INDEX(인턴근무계획!$E$3:$J$202,$A53,$H$3)&amp;"")="","",IFERROR(MID(TRIM(INDEX(인턴근무계획!$E$3:$J$202,$A53,$H$3)&amp;""),FIND(" ",TRIM(INDEX(인턴근무계획!$E$3:$J$202,$A53,$H$3)&amp;""))+1,60),"")))</f>
        <v/>
      </c>
      <c r="J53" s="19">
        <f>IF($C53="","",IF(TRIM(INDEX(인턴근무계획!$E$3:$J$202,$A53,1)&amp;"")="","",IFERROR(LEFT(TRIM(INDEX(인턴근무계획!$E$3:$J$202,$A53,1)&amp;""),FIND(" ",TRIM(INDEX(인턴근무계획!$E$3:$J$202,$A53,1)&amp;""))-1),TRIM(INDEX(인턴근무계획!$E$3:$J$202,$A53,1)&amp;""))))</f>
        <v/>
      </c>
      <c r="K53" s="19">
        <f>IF($C53="","",IF(TRIM(INDEX(인턴근무계획!$E$3:$J$202,$A53,2)&amp;"")="","",IFERROR(LEFT(TRIM(INDEX(인턴근무계획!$E$3:$J$202,$A53,2)&amp;""),FIND(" ",TRIM(INDEX(인턴근무계획!$E$3:$J$202,$A53,2)&amp;""))-1),TRIM(INDEX(인턴근무계획!$E$3:$J$202,$A53,2)&amp;""))))</f>
        <v/>
      </c>
      <c r="L53" s="19">
        <f>IF($C53="","",IF(TRIM(INDEX(인턴근무계획!$E$3:$J$202,$A53,3)&amp;"")="","",IFERROR(LEFT(TRIM(INDEX(인턴근무계획!$E$3:$J$202,$A53,3)&amp;""),FIND(" ",TRIM(INDEX(인턴근무계획!$E$3:$J$202,$A53,3)&amp;""))-1),TRIM(INDEX(인턴근무계획!$E$3:$J$202,$A53,3)&amp;""))))</f>
        <v/>
      </c>
      <c r="M53" s="19">
        <f>IF($C53="","",IF(TRIM(INDEX(인턴근무계획!$E$3:$J$202,$A53,4)&amp;"")="","",IFERROR(LEFT(TRIM(INDEX(인턴근무계획!$E$3:$J$202,$A53,4)&amp;""),FIND(" ",TRIM(INDEX(인턴근무계획!$E$3:$J$202,$A53,4)&amp;""))-1),TRIM(INDEX(인턴근무계획!$E$3:$J$202,$A53,4)&amp;""))))</f>
        <v/>
      </c>
      <c r="N53" s="19">
        <f>IF($C53="","",IF(TRIM(INDEX(인턴근무계획!$E$3:$J$202,$A53,5)&amp;"")="","",IFERROR(LEFT(TRIM(INDEX(인턴근무계획!$E$3:$J$202,$A53,5)&amp;""),FIND(" ",TRIM(INDEX(인턴근무계획!$E$3:$J$202,$A53,5)&amp;""))-1),TRIM(INDEX(인턴근무계획!$E$3:$J$202,$A53,5)&amp;""))))</f>
        <v/>
      </c>
      <c r="O53" s="19">
        <f>IF($C53="","",IF(TRIM(INDEX(인턴근무계획!$E$3:$J$202,$A53,6)&amp;"")="","",IFERROR(LEFT(TRIM(INDEX(인턴근무계획!$E$3:$J$202,$A53,6)&amp;""),FIND(" ",TRIM(INDEX(인턴근무계획!$E$3:$J$202,$A53,6)&amp;""))-1),TRIM(INDEX(인턴근무계획!$E$3:$J$202,$A53,6)&amp;""))))</f>
        <v/>
      </c>
      <c r="P53" s="19">
        <f>IF($C53="","",IF(INDEX(인턴근무계획!$K$3:$K$202,$A53)="","",INDEX(인턴근무계획!$K$3:$K$202,$A53)))</f>
        <v/>
      </c>
    </row>
    <row r="54">
      <c r="A54" s="18" t="n">
        <v>49</v>
      </c>
      <c r="B54" s="19">
        <f>IF($C54="","",INDEX(인턴근무계획!$B$3:$B$202,$A54))</f>
        <v/>
      </c>
      <c r="C54" s="19">
        <f>IFERROR(TRIM(INDEX(인턴근무계획!$C$3:$C$202,$A54)&amp;""),"")</f>
        <v/>
      </c>
      <c r="D54" s="19">
        <f>IF($C54="","",INDEX(인턴근무계획!$D$3:$D$202,$A54))</f>
        <v/>
      </c>
      <c r="E54" s="19">
        <f>IF($C54="","",IF(IFERROR(MATCH($D54,기본자료!$B$2:$B$501,0),IFERROR(MATCH($D54&amp;"",기본자료!$B$2:$B$501,0),IFERROR(MATCH(VALUE($D54),기본자료!$B$2:$B$501,0),0)))&gt;0,"확인","미등록"))</f>
        <v/>
      </c>
      <c r="F54" s="19">
        <f>IF(OR($C54="",$F$3=""),"",IF(TRIM(INDEX(인턴근무계획!$E$3:$J$202,$A54,$F$3)&amp;"")="","",IFERROR(LEFT(TRIM(INDEX(인턴근무계획!$E$3:$J$202,$A54,$F$3)&amp;""),FIND(" ",TRIM(INDEX(인턴근무계획!$E$3:$J$202,$A54,$F$3)&amp;""))-1),TRIM(INDEX(인턴근무계획!$E$3:$J$202,$A54,$F$3)&amp;""))))</f>
        <v/>
      </c>
      <c r="G54" s="19">
        <f>IF(OR($C54="",$F$3=""),"",IF(TRIM(INDEX(인턴근무계획!$E$3:$J$202,$A54,$F$3)&amp;"")="","",IFERROR(MID(TRIM(INDEX(인턴근무계획!$E$3:$J$202,$A54,$F$3)&amp;""),FIND(" ",TRIM(INDEX(인턴근무계획!$E$3:$J$202,$A54,$F$3)&amp;""))+1,60),"")))</f>
        <v/>
      </c>
      <c r="H54" s="19">
        <f>IF(OR($C54="",$H$3=""),"",IF(TRIM(INDEX(인턴근무계획!$E$3:$J$202,$A54,$H$3)&amp;"")="","",IFERROR(LEFT(TRIM(INDEX(인턴근무계획!$E$3:$J$202,$A54,$H$3)&amp;""),FIND(" ",TRIM(INDEX(인턴근무계획!$E$3:$J$202,$A54,$H$3)&amp;""))-1),TRIM(INDEX(인턴근무계획!$E$3:$J$202,$A54,$H$3)&amp;""))))</f>
        <v/>
      </c>
      <c r="I54" s="19">
        <f>IF(OR($C54="",$H$3=""),"",IF(TRIM(INDEX(인턴근무계획!$E$3:$J$202,$A54,$H$3)&amp;"")="","",IFERROR(MID(TRIM(INDEX(인턴근무계획!$E$3:$J$202,$A54,$H$3)&amp;""),FIND(" ",TRIM(INDEX(인턴근무계획!$E$3:$J$202,$A54,$H$3)&amp;""))+1,60),"")))</f>
        <v/>
      </c>
      <c r="J54" s="19">
        <f>IF($C54="","",IF(TRIM(INDEX(인턴근무계획!$E$3:$J$202,$A54,1)&amp;"")="","",IFERROR(LEFT(TRIM(INDEX(인턴근무계획!$E$3:$J$202,$A54,1)&amp;""),FIND(" ",TRIM(INDEX(인턴근무계획!$E$3:$J$202,$A54,1)&amp;""))-1),TRIM(INDEX(인턴근무계획!$E$3:$J$202,$A54,1)&amp;""))))</f>
        <v/>
      </c>
      <c r="K54" s="19">
        <f>IF($C54="","",IF(TRIM(INDEX(인턴근무계획!$E$3:$J$202,$A54,2)&amp;"")="","",IFERROR(LEFT(TRIM(INDEX(인턴근무계획!$E$3:$J$202,$A54,2)&amp;""),FIND(" ",TRIM(INDEX(인턴근무계획!$E$3:$J$202,$A54,2)&amp;""))-1),TRIM(INDEX(인턴근무계획!$E$3:$J$202,$A54,2)&amp;""))))</f>
        <v/>
      </c>
      <c r="L54" s="19">
        <f>IF($C54="","",IF(TRIM(INDEX(인턴근무계획!$E$3:$J$202,$A54,3)&amp;"")="","",IFERROR(LEFT(TRIM(INDEX(인턴근무계획!$E$3:$J$202,$A54,3)&amp;""),FIND(" ",TRIM(INDEX(인턴근무계획!$E$3:$J$202,$A54,3)&amp;""))-1),TRIM(INDEX(인턴근무계획!$E$3:$J$202,$A54,3)&amp;""))))</f>
        <v/>
      </c>
      <c r="M54" s="19">
        <f>IF($C54="","",IF(TRIM(INDEX(인턴근무계획!$E$3:$J$202,$A54,4)&amp;"")="","",IFERROR(LEFT(TRIM(INDEX(인턴근무계획!$E$3:$J$202,$A54,4)&amp;""),FIND(" ",TRIM(INDEX(인턴근무계획!$E$3:$J$202,$A54,4)&amp;""))-1),TRIM(INDEX(인턴근무계획!$E$3:$J$202,$A54,4)&amp;""))))</f>
        <v/>
      </c>
      <c r="N54" s="19">
        <f>IF($C54="","",IF(TRIM(INDEX(인턴근무계획!$E$3:$J$202,$A54,5)&amp;"")="","",IFERROR(LEFT(TRIM(INDEX(인턴근무계획!$E$3:$J$202,$A54,5)&amp;""),FIND(" ",TRIM(INDEX(인턴근무계획!$E$3:$J$202,$A54,5)&amp;""))-1),TRIM(INDEX(인턴근무계획!$E$3:$J$202,$A54,5)&amp;""))))</f>
        <v/>
      </c>
      <c r="O54" s="19">
        <f>IF($C54="","",IF(TRIM(INDEX(인턴근무계획!$E$3:$J$202,$A54,6)&amp;"")="","",IFERROR(LEFT(TRIM(INDEX(인턴근무계획!$E$3:$J$202,$A54,6)&amp;""),FIND(" ",TRIM(INDEX(인턴근무계획!$E$3:$J$202,$A54,6)&amp;""))-1),TRIM(INDEX(인턴근무계획!$E$3:$J$202,$A54,6)&amp;""))))</f>
        <v/>
      </c>
      <c r="P54" s="19">
        <f>IF($C54="","",IF(INDEX(인턴근무계획!$K$3:$K$202,$A54)="","",INDEX(인턴근무계획!$K$3:$K$202,$A54)))</f>
        <v/>
      </c>
    </row>
    <row r="55">
      <c r="A55" s="18" t="n">
        <v>50</v>
      </c>
      <c r="B55" s="19">
        <f>IF($C55="","",INDEX(인턴근무계획!$B$3:$B$202,$A55))</f>
        <v/>
      </c>
      <c r="C55" s="19">
        <f>IFERROR(TRIM(INDEX(인턴근무계획!$C$3:$C$202,$A55)&amp;""),"")</f>
        <v/>
      </c>
      <c r="D55" s="19">
        <f>IF($C55="","",INDEX(인턴근무계획!$D$3:$D$202,$A55))</f>
        <v/>
      </c>
      <c r="E55" s="19">
        <f>IF($C55="","",IF(IFERROR(MATCH($D55,기본자료!$B$2:$B$501,0),IFERROR(MATCH($D55&amp;"",기본자료!$B$2:$B$501,0),IFERROR(MATCH(VALUE($D55),기본자료!$B$2:$B$501,0),0)))&gt;0,"확인","미등록"))</f>
        <v/>
      </c>
      <c r="F55" s="19">
        <f>IF(OR($C55="",$F$3=""),"",IF(TRIM(INDEX(인턴근무계획!$E$3:$J$202,$A55,$F$3)&amp;"")="","",IFERROR(LEFT(TRIM(INDEX(인턴근무계획!$E$3:$J$202,$A55,$F$3)&amp;""),FIND(" ",TRIM(INDEX(인턴근무계획!$E$3:$J$202,$A55,$F$3)&amp;""))-1),TRIM(INDEX(인턴근무계획!$E$3:$J$202,$A55,$F$3)&amp;""))))</f>
        <v/>
      </c>
      <c r="G55" s="19">
        <f>IF(OR($C55="",$F$3=""),"",IF(TRIM(INDEX(인턴근무계획!$E$3:$J$202,$A55,$F$3)&amp;"")="","",IFERROR(MID(TRIM(INDEX(인턴근무계획!$E$3:$J$202,$A55,$F$3)&amp;""),FIND(" ",TRIM(INDEX(인턴근무계획!$E$3:$J$202,$A55,$F$3)&amp;""))+1,60),"")))</f>
        <v/>
      </c>
      <c r="H55" s="19">
        <f>IF(OR($C55="",$H$3=""),"",IF(TRIM(INDEX(인턴근무계획!$E$3:$J$202,$A55,$H$3)&amp;"")="","",IFERROR(LEFT(TRIM(INDEX(인턴근무계획!$E$3:$J$202,$A55,$H$3)&amp;""),FIND(" ",TRIM(INDEX(인턴근무계획!$E$3:$J$202,$A55,$H$3)&amp;""))-1),TRIM(INDEX(인턴근무계획!$E$3:$J$202,$A55,$H$3)&amp;""))))</f>
        <v/>
      </c>
      <c r="I55" s="19">
        <f>IF(OR($C55="",$H$3=""),"",IF(TRIM(INDEX(인턴근무계획!$E$3:$J$202,$A55,$H$3)&amp;"")="","",IFERROR(MID(TRIM(INDEX(인턴근무계획!$E$3:$J$202,$A55,$H$3)&amp;""),FIND(" ",TRIM(INDEX(인턴근무계획!$E$3:$J$202,$A55,$H$3)&amp;""))+1,60),"")))</f>
        <v/>
      </c>
      <c r="J55" s="19">
        <f>IF($C55="","",IF(TRIM(INDEX(인턴근무계획!$E$3:$J$202,$A55,1)&amp;"")="","",IFERROR(LEFT(TRIM(INDEX(인턴근무계획!$E$3:$J$202,$A55,1)&amp;""),FIND(" ",TRIM(INDEX(인턴근무계획!$E$3:$J$202,$A55,1)&amp;""))-1),TRIM(INDEX(인턴근무계획!$E$3:$J$202,$A55,1)&amp;""))))</f>
        <v/>
      </c>
      <c r="K55" s="19">
        <f>IF($C55="","",IF(TRIM(INDEX(인턴근무계획!$E$3:$J$202,$A55,2)&amp;"")="","",IFERROR(LEFT(TRIM(INDEX(인턴근무계획!$E$3:$J$202,$A55,2)&amp;""),FIND(" ",TRIM(INDEX(인턴근무계획!$E$3:$J$202,$A55,2)&amp;""))-1),TRIM(INDEX(인턴근무계획!$E$3:$J$202,$A55,2)&amp;""))))</f>
        <v/>
      </c>
      <c r="L55" s="19">
        <f>IF($C55="","",IF(TRIM(INDEX(인턴근무계획!$E$3:$J$202,$A55,3)&amp;"")="","",IFERROR(LEFT(TRIM(INDEX(인턴근무계획!$E$3:$J$202,$A55,3)&amp;""),FIND(" ",TRIM(INDEX(인턴근무계획!$E$3:$J$202,$A55,3)&amp;""))-1),TRIM(INDEX(인턴근무계획!$E$3:$J$202,$A55,3)&amp;""))))</f>
        <v/>
      </c>
      <c r="M55" s="19">
        <f>IF($C55="","",IF(TRIM(INDEX(인턴근무계획!$E$3:$J$202,$A55,4)&amp;"")="","",IFERROR(LEFT(TRIM(INDEX(인턴근무계획!$E$3:$J$202,$A55,4)&amp;""),FIND(" ",TRIM(INDEX(인턴근무계획!$E$3:$J$202,$A55,4)&amp;""))-1),TRIM(INDEX(인턴근무계획!$E$3:$J$202,$A55,4)&amp;""))))</f>
        <v/>
      </c>
      <c r="N55" s="19">
        <f>IF($C55="","",IF(TRIM(INDEX(인턴근무계획!$E$3:$J$202,$A55,5)&amp;"")="","",IFERROR(LEFT(TRIM(INDEX(인턴근무계획!$E$3:$J$202,$A55,5)&amp;""),FIND(" ",TRIM(INDEX(인턴근무계획!$E$3:$J$202,$A55,5)&amp;""))-1),TRIM(INDEX(인턴근무계획!$E$3:$J$202,$A55,5)&amp;""))))</f>
        <v/>
      </c>
      <c r="O55" s="19">
        <f>IF($C55="","",IF(TRIM(INDEX(인턴근무계획!$E$3:$J$202,$A55,6)&amp;"")="","",IFERROR(LEFT(TRIM(INDEX(인턴근무계획!$E$3:$J$202,$A55,6)&amp;""),FIND(" ",TRIM(INDEX(인턴근무계획!$E$3:$J$202,$A55,6)&amp;""))-1),TRIM(INDEX(인턴근무계획!$E$3:$J$202,$A55,6)&amp;""))))</f>
        <v/>
      </c>
      <c r="P55" s="19">
        <f>IF($C55="","",IF(INDEX(인턴근무계획!$K$3:$K$202,$A55)="","",INDEX(인턴근무계획!$K$3:$K$202,$A55)))</f>
        <v/>
      </c>
    </row>
    <row r="56">
      <c r="A56" s="18" t="n">
        <v>51</v>
      </c>
      <c r="B56" s="19">
        <f>IF($C56="","",INDEX(인턴근무계획!$B$3:$B$202,$A56))</f>
        <v/>
      </c>
      <c r="C56" s="19">
        <f>IFERROR(TRIM(INDEX(인턴근무계획!$C$3:$C$202,$A56)&amp;""),"")</f>
        <v/>
      </c>
      <c r="D56" s="19">
        <f>IF($C56="","",INDEX(인턴근무계획!$D$3:$D$202,$A56))</f>
        <v/>
      </c>
      <c r="E56" s="19">
        <f>IF($C56="","",IF(IFERROR(MATCH($D56,기본자료!$B$2:$B$501,0),IFERROR(MATCH($D56&amp;"",기본자료!$B$2:$B$501,0),IFERROR(MATCH(VALUE($D56),기본자료!$B$2:$B$501,0),0)))&gt;0,"확인","미등록"))</f>
        <v/>
      </c>
      <c r="F56" s="19">
        <f>IF(OR($C56="",$F$3=""),"",IF(TRIM(INDEX(인턴근무계획!$E$3:$J$202,$A56,$F$3)&amp;"")="","",IFERROR(LEFT(TRIM(INDEX(인턴근무계획!$E$3:$J$202,$A56,$F$3)&amp;""),FIND(" ",TRIM(INDEX(인턴근무계획!$E$3:$J$202,$A56,$F$3)&amp;""))-1),TRIM(INDEX(인턴근무계획!$E$3:$J$202,$A56,$F$3)&amp;""))))</f>
        <v/>
      </c>
      <c r="G56" s="19">
        <f>IF(OR($C56="",$F$3=""),"",IF(TRIM(INDEX(인턴근무계획!$E$3:$J$202,$A56,$F$3)&amp;"")="","",IFERROR(MID(TRIM(INDEX(인턴근무계획!$E$3:$J$202,$A56,$F$3)&amp;""),FIND(" ",TRIM(INDEX(인턴근무계획!$E$3:$J$202,$A56,$F$3)&amp;""))+1,60),"")))</f>
        <v/>
      </c>
      <c r="H56" s="19">
        <f>IF(OR($C56="",$H$3=""),"",IF(TRIM(INDEX(인턴근무계획!$E$3:$J$202,$A56,$H$3)&amp;"")="","",IFERROR(LEFT(TRIM(INDEX(인턴근무계획!$E$3:$J$202,$A56,$H$3)&amp;""),FIND(" ",TRIM(INDEX(인턴근무계획!$E$3:$J$202,$A56,$H$3)&amp;""))-1),TRIM(INDEX(인턴근무계획!$E$3:$J$202,$A56,$H$3)&amp;""))))</f>
        <v/>
      </c>
      <c r="I56" s="19">
        <f>IF(OR($C56="",$H$3=""),"",IF(TRIM(INDEX(인턴근무계획!$E$3:$J$202,$A56,$H$3)&amp;"")="","",IFERROR(MID(TRIM(INDEX(인턴근무계획!$E$3:$J$202,$A56,$H$3)&amp;""),FIND(" ",TRIM(INDEX(인턴근무계획!$E$3:$J$202,$A56,$H$3)&amp;""))+1,60),"")))</f>
        <v/>
      </c>
      <c r="J56" s="19">
        <f>IF($C56="","",IF(TRIM(INDEX(인턴근무계획!$E$3:$J$202,$A56,1)&amp;"")="","",IFERROR(LEFT(TRIM(INDEX(인턴근무계획!$E$3:$J$202,$A56,1)&amp;""),FIND(" ",TRIM(INDEX(인턴근무계획!$E$3:$J$202,$A56,1)&amp;""))-1),TRIM(INDEX(인턴근무계획!$E$3:$J$202,$A56,1)&amp;""))))</f>
        <v/>
      </c>
      <c r="K56" s="19">
        <f>IF($C56="","",IF(TRIM(INDEX(인턴근무계획!$E$3:$J$202,$A56,2)&amp;"")="","",IFERROR(LEFT(TRIM(INDEX(인턴근무계획!$E$3:$J$202,$A56,2)&amp;""),FIND(" ",TRIM(INDEX(인턴근무계획!$E$3:$J$202,$A56,2)&amp;""))-1),TRIM(INDEX(인턴근무계획!$E$3:$J$202,$A56,2)&amp;""))))</f>
        <v/>
      </c>
      <c r="L56" s="19">
        <f>IF($C56="","",IF(TRIM(INDEX(인턴근무계획!$E$3:$J$202,$A56,3)&amp;"")="","",IFERROR(LEFT(TRIM(INDEX(인턴근무계획!$E$3:$J$202,$A56,3)&amp;""),FIND(" ",TRIM(INDEX(인턴근무계획!$E$3:$J$202,$A56,3)&amp;""))-1),TRIM(INDEX(인턴근무계획!$E$3:$J$202,$A56,3)&amp;""))))</f>
        <v/>
      </c>
      <c r="M56" s="19">
        <f>IF($C56="","",IF(TRIM(INDEX(인턴근무계획!$E$3:$J$202,$A56,4)&amp;"")="","",IFERROR(LEFT(TRIM(INDEX(인턴근무계획!$E$3:$J$202,$A56,4)&amp;""),FIND(" ",TRIM(INDEX(인턴근무계획!$E$3:$J$202,$A56,4)&amp;""))-1),TRIM(INDEX(인턴근무계획!$E$3:$J$202,$A56,4)&amp;""))))</f>
        <v/>
      </c>
      <c r="N56" s="19">
        <f>IF($C56="","",IF(TRIM(INDEX(인턴근무계획!$E$3:$J$202,$A56,5)&amp;"")="","",IFERROR(LEFT(TRIM(INDEX(인턴근무계획!$E$3:$J$202,$A56,5)&amp;""),FIND(" ",TRIM(INDEX(인턴근무계획!$E$3:$J$202,$A56,5)&amp;""))-1),TRIM(INDEX(인턴근무계획!$E$3:$J$202,$A56,5)&amp;""))))</f>
        <v/>
      </c>
      <c r="O56" s="19">
        <f>IF($C56="","",IF(TRIM(INDEX(인턴근무계획!$E$3:$J$202,$A56,6)&amp;"")="","",IFERROR(LEFT(TRIM(INDEX(인턴근무계획!$E$3:$J$202,$A56,6)&amp;""),FIND(" ",TRIM(INDEX(인턴근무계획!$E$3:$J$202,$A56,6)&amp;""))-1),TRIM(INDEX(인턴근무계획!$E$3:$J$202,$A56,6)&amp;""))))</f>
        <v/>
      </c>
      <c r="P56" s="19">
        <f>IF($C56="","",IF(INDEX(인턴근무계획!$K$3:$K$202,$A56)="","",INDEX(인턴근무계획!$K$3:$K$202,$A56)))</f>
        <v/>
      </c>
    </row>
    <row r="57">
      <c r="A57" s="18" t="n">
        <v>52</v>
      </c>
      <c r="B57" s="19">
        <f>IF($C57="","",INDEX(인턴근무계획!$B$3:$B$202,$A57))</f>
        <v/>
      </c>
      <c r="C57" s="19">
        <f>IFERROR(TRIM(INDEX(인턴근무계획!$C$3:$C$202,$A57)&amp;""),"")</f>
        <v/>
      </c>
      <c r="D57" s="19">
        <f>IF($C57="","",INDEX(인턴근무계획!$D$3:$D$202,$A57))</f>
        <v/>
      </c>
      <c r="E57" s="19">
        <f>IF($C57="","",IF(IFERROR(MATCH($D57,기본자료!$B$2:$B$501,0),IFERROR(MATCH($D57&amp;"",기본자료!$B$2:$B$501,0),IFERROR(MATCH(VALUE($D57),기본자료!$B$2:$B$501,0),0)))&gt;0,"확인","미등록"))</f>
        <v/>
      </c>
      <c r="F57" s="19">
        <f>IF(OR($C57="",$F$3=""),"",IF(TRIM(INDEX(인턴근무계획!$E$3:$J$202,$A57,$F$3)&amp;"")="","",IFERROR(LEFT(TRIM(INDEX(인턴근무계획!$E$3:$J$202,$A57,$F$3)&amp;""),FIND(" ",TRIM(INDEX(인턴근무계획!$E$3:$J$202,$A57,$F$3)&amp;""))-1),TRIM(INDEX(인턴근무계획!$E$3:$J$202,$A57,$F$3)&amp;""))))</f>
        <v/>
      </c>
      <c r="G57" s="19">
        <f>IF(OR($C57="",$F$3=""),"",IF(TRIM(INDEX(인턴근무계획!$E$3:$J$202,$A57,$F$3)&amp;"")="","",IFERROR(MID(TRIM(INDEX(인턴근무계획!$E$3:$J$202,$A57,$F$3)&amp;""),FIND(" ",TRIM(INDEX(인턴근무계획!$E$3:$J$202,$A57,$F$3)&amp;""))+1,60),"")))</f>
        <v/>
      </c>
      <c r="H57" s="19">
        <f>IF(OR($C57="",$H$3=""),"",IF(TRIM(INDEX(인턴근무계획!$E$3:$J$202,$A57,$H$3)&amp;"")="","",IFERROR(LEFT(TRIM(INDEX(인턴근무계획!$E$3:$J$202,$A57,$H$3)&amp;""),FIND(" ",TRIM(INDEX(인턴근무계획!$E$3:$J$202,$A57,$H$3)&amp;""))-1),TRIM(INDEX(인턴근무계획!$E$3:$J$202,$A57,$H$3)&amp;""))))</f>
        <v/>
      </c>
      <c r="I57" s="19">
        <f>IF(OR($C57="",$H$3=""),"",IF(TRIM(INDEX(인턴근무계획!$E$3:$J$202,$A57,$H$3)&amp;"")="","",IFERROR(MID(TRIM(INDEX(인턴근무계획!$E$3:$J$202,$A57,$H$3)&amp;""),FIND(" ",TRIM(INDEX(인턴근무계획!$E$3:$J$202,$A57,$H$3)&amp;""))+1,60),"")))</f>
        <v/>
      </c>
      <c r="J57" s="19">
        <f>IF($C57="","",IF(TRIM(INDEX(인턴근무계획!$E$3:$J$202,$A57,1)&amp;"")="","",IFERROR(LEFT(TRIM(INDEX(인턴근무계획!$E$3:$J$202,$A57,1)&amp;""),FIND(" ",TRIM(INDEX(인턴근무계획!$E$3:$J$202,$A57,1)&amp;""))-1),TRIM(INDEX(인턴근무계획!$E$3:$J$202,$A57,1)&amp;""))))</f>
        <v/>
      </c>
      <c r="K57" s="19">
        <f>IF($C57="","",IF(TRIM(INDEX(인턴근무계획!$E$3:$J$202,$A57,2)&amp;"")="","",IFERROR(LEFT(TRIM(INDEX(인턴근무계획!$E$3:$J$202,$A57,2)&amp;""),FIND(" ",TRIM(INDEX(인턴근무계획!$E$3:$J$202,$A57,2)&amp;""))-1),TRIM(INDEX(인턴근무계획!$E$3:$J$202,$A57,2)&amp;""))))</f>
        <v/>
      </c>
      <c r="L57" s="19">
        <f>IF($C57="","",IF(TRIM(INDEX(인턴근무계획!$E$3:$J$202,$A57,3)&amp;"")="","",IFERROR(LEFT(TRIM(INDEX(인턴근무계획!$E$3:$J$202,$A57,3)&amp;""),FIND(" ",TRIM(INDEX(인턴근무계획!$E$3:$J$202,$A57,3)&amp;""))-1),TRIM(INDEX(인턴근무계획!$E$3:$J$202,$A57,3)&amp;""))))</f>
        <v/>
      </c>
      <c r="M57" s="19">
        <f>IF($C57="","",IF(TRIM(INDEX(인턴근무계획!$E$3:$J$202,$A57,4)&amp;"")="","",IFERROR(LEFT(TRIM(INDEX(인턴근무계획!$E$3:$J$202,$A57,4)&amp;""),FIND(" ",TRIM(INDEX(인턴근무계획!$E$3:$J$202,$A57,4)&amp;""))-1),TRIM(INDEX(인턴근무계획!$E$3:$J$202,$A57,4)&amp;""))))</f>
        <v/>
      </c>
      <c r="N57" s="19">
        <f>IF($C57="","",IF(TRIM(INDEX(인턴근무계획!$E$3:$J$202,$A57,5)&amp;"")="","",IFERROR(LEFT(TRIM(INDEX(인턴근무계획!$E$3:$J$202,$A57,5)&amp;""),FIND(" ",TRIM(INDEX(인턴근무계획!$E$3:$J$202,$A57,5)&amp;""))-1),TRIM(INDEX(인턴근무계획!$E$3:$J$202,$A57,5)&amp;""))))</f>
        <v/>
      </c>
      <c r="O57" s="19">
        <f>IF($C57="","",IF(TRIM(INDEX(인턴근무계획!$E$3:$J$202,$A57,6)&amp;"")="","",IFERROR(LEFT(TRIM(INDEX(인턴근무계획!$E$3:$J$202,$A57,6)&amp;""),FIND(" ",TRIM(INDEX(인턴근무계획!$E$3:$J$202,$A57,6)&amp;""))-1),TRIM(INDEX(인턴근무계획!$E$3:$J$202,$A57,6)&amp;""))))</f>
        <v/>
      </c>
      <c r="P57" s="19">
        <f>IF($C57="","",IF(INDEX(인턴근무계획!$K$3:$K$202,$A57)="","",INDEX(인턴근무계획!$K$3:$K$202,$A57)))</f>
        <v/>
      </c>
    </row>
    <row r="58">
      <c r="A58" s="18" t="n">
        <v>53</v>
      </c>
      <c r="B58" s="19">
        <f>IF($C58="","",INDEX(인턴근무계획!$B$3:$B$202,$A58))</f>
        <v/>
      </c>
      <c r="C58" s="19">
        <f>IFERROR(TRIM(INDEX(인턴근무계획!$C$3:$C$202,$A58)&amp;""),"")</f>
        <v/>
      </c>
      <c r="D58" s="19">
        <f>IF($C58="","",INDEX(인턴근무계획!$D$3:$D$202,$A58))</f>
        <v/>
      </c>
      <c r="E58" s="19">
        <f>IF($C58="","",IF(IFERROR(MATCH($D58,기본자료!$B$2:$B$501,0),IFERROR(MATCH($D58&amp;"",기본자료!$B$2:$B$501,0),IFERROR(MATCH(VALUE($D58),기본자료!$B$2:$B$501,0),0)))&gt;0,"확인","미등록"))</f>
        <v/>
      </c>
      <c r="F58" s="19">
        <f>IF(OR($C58="",$F$3=""),"",IF(TRIM(INDEX(인턴근무계획!$E$3:$J$202,$A58,$F$3)&amp;"")="","",IFERROR(LEFT(TRIM(INDEX(인턴근무계획!$E$3:$J$202,$A58,$F$3)&amp;""),FIND(" ",TRIM(INDEX(인턴근무계획!$E$3:$J$202,$A58,$F$3)&amp;""))-1),TRIM(INDEX(인턴근무계획!$E$3:$J$202,$A58,$F$3)&amp;""))))</f>
        <v/>
      </c>
      <c r="G58" s="19">
        <f>IF(OR($C58="",$F$3=""),"",IF(TRIM(INDEX(인턴근무계획!$E$3:$J$202,$A58,$F$3)&amp;"")="","",IFERROR(MID(TRIM(INDEX(인턴근무계획!$E$3:$J$202,$A58,$F$3)&amp;""),FIND(" ",TRIM(INDEX(인턴근무계획!$E$3:$J$202,$A58,$F$3)&amp;""))+1,60),"")))</f>
        <v/>
      </c>
      <c r="H58" s="19">
        <f>IF(OR($C58="",$H$3=""),"",IF(TRIM(INDEX(인턴근무계획!$E$3:$J$202,$A58,$H$3)&amp;"")="","",IFERROR(LEFT(TRIM(INDEX(인턴근무계획!$E$3:$J$202,$A58,$H$3)&amp;""),FIND(" ",TRIM(INDEX(인턴근무계획!$E$3:$J$202,$A58,$H$3)&amp;""))-1),TRIM(INDEX(인턴근무계획!$E$3:$J$202,$A58,$H$3)&amp;""))))</f>
        <v/>
      </c>
      <c r="I58" s="19">
        <f>IF(OR($C58="",$H$3=""),"",IF(TRIM(INDEX(인턴근무계획!$E$3:$J$202,$A58,$H$3)&amp;"")="","",IFERROR(MID(TRIM(INDEX(인턴근무계획!$E$3:$J$202,$A58,$H$3)&amp;""),FIND(" ",TRIM(INDEX(인턴근무계획!$E$3:$J$202,$A58,$H$3)&amp;""))+1,60),"")))</f>
        <v/>
      </c>
      <c r="J58" s="19">
        <f>IF($C58="","",IF(TRIM(INDEX(인턴근무계획!$E$3:$J$202,$A58,1)&amp;"")="","",IFERROR(LEFT(TRIM(INDEX(인턴근무계획!$E$3:$J$202,$A58,1)&amp;""),FIND(" ",TRIM(INDEX(인턴근무계획!$E$3:$J$202,$A58,1)&amp;""))-1),TRIM(INDEX(인턴근무계획!$E$3:$J$202,$A58,1)&amp;""))))</f>
        <v/>
      </c>
      <c r="K58" s="19">
        <f>IF($C58="","",IF(TRIM(INDEX(인턴근무계획!$E$3:$J$202,$A58,2)&amp;"")="","",IFERROR(LEFT(TRIM(INDEX(인턴근무계획!$E$3:$J$202,$A58,2)&amp;""),FIND(" ",TRIM(INDEX(인턴근무계획!$E$3:$J$202,$A58,2)&amp;""))-1),TRIM(INDEX(인턴근무계획!$E$3:$J$202,$A58,2)&amp;""))))</f>
        <v/>
      </c>
      <c r="L58" s="19">
        <f>IF($C58="","",IF(TRIM(INDEX(인턴근무계획!$E$3:$J$202,$A58,3)&amp;"")="","",IFERROR(LEFT(TRIM(INDEX(인턴근무계획!$E$3:$J$202,$A58,3)&amp;""),FIND(" ",TRIM(INDEX(인턴근무계획!$E$3:$J$202,$A58,3)&amp;""))-1),TRIM(INDEX(인턴근무계획!$E$3:$J$202,$A58,3)&amp;""))))</f>
        <v/>
      </c>
      <c r="M58" s="19">
        <f>IF($C58="","",IF(TRIM(INDEX(인턴근무계획!$E$3:$J$202,$A58,4)&amp;"")="","",IFERROR(LEFT(TRIM(INDEX(인턴근무계획!$E$3:$J$202,$A58,4)&amp;""),FIND(" ",TRIM(INDEX(인턴근무계획!$E$3:$J$202,$A58,4)&amp;""))-1),TRIM(INDEX(인턴근무계획!$E$3:$J$202,$A58,4)&amp;""))))</f>
        <v/>
      </c>
      <c r="N58" s="19">
        <f>IF($C58="","",IF(TRIM(INDEX(인턴근무계획!$E$3:$J$202,$A58,5)&amp;"")="","",IFERROR(LEFT(TRIM(INDEX(인턴근무계획!$E$3:$J$202,$A58,5)&amp;""),FIND(" ",TRIM(INDEX(인턴근무계획!$E$3:$J$202,$A58,5)&amp;""))-1),TRIM(INDEX(인턴근무계획!$E$3:$J$202,$A58,5)&amp;""))))</f>
        <v/>
      </c>
      <c r="O58" s="19">
        <f>IF($C58="","",IF(TRIM(INDEX(인턴근무계획!$E$3:$J$202,$A58,6)&amp;"")="","",IFERROR(LEFT(TRIM(INDEX(인턴근무계획!$E$3:$J$202,$A58,6)&amp;""),FIND(" ",TRIM(INDEX(인턴근무계획!$E$3:$J$202,$A58,6)&amp;""))-1),TRIM(INDEX(인턴근무계획!$E$3:$J$202,$A58,6)&amp;""))))</f>
        <v/>
      </c>
      <c r="P58" s="19">
        <f>IF($C58="","",IF(INDEX(인턴근무계획!$K$3:$K$202,$A58)="","",INDEX(인턴근무계획!$K$3:$K$202,$A58)))</f>
        <v/>
      </c>
    </row>
    <row r="59">
      <c r="A59" s="18" t="n">
        <v>54</v>
      </c>
      <c r="B59" s="19">
        <f>IF($C59="","",INDEX(인턴근무계획!$B$3:$B$202,$A59))</f>
        <v/>
      </c>
      <c r="C59" s="19">
        <f>IFERROR(TRIM(INDEX(인턴근무계획!$C$3:$C$202,$A59)&amp;""),"")</f>
        <v/>
      </c>
      <c r="D59" s="19">
        <f>IF($C59="","",INDEX(인턴근무계획!$D$3:$D$202,$A59))</f>
        <v/>
      </c>
      <c r="E59" s="19">
        <f>IF($C59="","",IF(IFERROR(MATCH($D59,기본자료!$B$2:$B$501,0),IFERROR(MATCH($D59&amp;"",기본자료!$B$2:$B$501,0),IFERROR(MATCH(VALUE($D59),기본자료!$B$2:$B$501,0),0)))&gt;0,"확인","미등록"))</f>
        <v/>
      </c>
      <c r="F59" s="19">
        <f>IF(OR($C59="",$F$3=""),"",IF(TRIM(INDEX(인턴근무계획!$E$3:$J$202,$A59,$F$3)&amp;"")="","",IFERROR(LEFT(TRIM(INDEX(인턴근무계획!$E$3:$J$202,$A59,$F$3)&amp;""),FIND(" ",TRIM(INDEX(인턴근무계획!$E$3:$J$202,$A59,$F$3)&amp;""))-1),TRIM(INDEX(인턴근무계획!$E$3:$J$202,$A59,$F$3)&amp;""))))</f>
        <v/>
      </c>
      <c r="G59" s="19">
        <f>IF(OR($C59="",$F$3=""),"",IF(TRIM(INDEX(인턴근무계획!$E$3:$J$202,$A59,$F$3)&amp;"")="","",IFERROR(MID(TRIM(INDEX(인턴근무계획!$E$3:$J$202,$A59,$F$3)&amp;""),FIND(" ",TRIM(INDEX(인턴근무계획!$E$3:$J$202,$A59,$F$3)&amp;""))+1,60),"")))</f>
        <v/>
      </c>
      <c r="H59" s="19">
        <f>IF(OR($C59="",$H$3=""),"",IF(TRIM(INDEX(인턴근무계획!$E$3:$J$202,$A59,$H$3)&amp;"")="","",IFERROR(LEFT(TRIM(INDEX(인턴근무계획!$E$3:$J$202,$A59,$H$3)&amp;""),FIND(" ",TRIM(INDEX(인턴근무계획!$E$3:$J$202,$A59,$H$3)&amp;""))-1),TRIM(INDEX(인턴근무계획!$E$3:$J$202,$A59,$H$3)&amp;""))))</f>
        <v/>
      </c>
      <c r="I59" s="19">
        <f>IF(OR($C59="",$H$3=""),"",IF(TRIM(INDEX(인턴근무계획!$E$3:$J$202,$A59,$H$3)&amp;"")="","",IFERROR(MID(TRIM(INDEX(인턴근무계획!$E$3:$J$202,$A59,$H$3)&amp;""),FIND(" ",TRIM(INDEX(인턴근무계획!$E$3:$J$202,$A59,$H$3)&amp;""))+1,60),"")))</f>
        <v/>
      </c>
      <c r="J59" s="19">
        <f>IF($C59="","",IF(TRIM(INDEX(인턴근무계획!$E$3:$J$202,$A59,1)&amp;"")="","",IFERROR(LEFT(TRIM(INDEX(인턴근무계획!$E$3:$J$202,$A59,1)&amp;""),FIND(" ",TRIM(INDEX(인턴근무계획!$E$3:$J$202,$A59,1)&amp;""))-1),TRIM(INDEX(인턴근무계획!$E$3:$J$202,$A59,1)&amp;""))))</f>
        <v/>
      </c>
      <c r="K59" s="19">
        <f>IF($C59="","",IF(TRIM(INDEX(인턴근무계획!$E$3:$J$202,$A59,2)&amp;"")="","",IFERROR(LEFT(TRIM(INDEX(인턴근무계획!$E$3:$J$202,$A59,2)&amp;""),FIND(" ",TRIM(INDEX(인턴근무계획!$E$3:$J$202,$A59,2)&amp;""))-1),TRIM(INDEX(인턴근무계획!$E$3:$J$202,$A59,2)&amp;""))))</f>
        <v/>
      </c>
      <c r="L59" s="19">
        <f>IF($C59="","",IF(TRIM(INDEX(인턴근무계획!$E$3:$J$202,$A59,3)&amp;"")="","",IFERROR(LEFT(TRIM(INDEX(인턴근무계획!$E$3:$J$202,$A59,3)&amp;""),FIND(" ",TRIM(INDEX(인턴근무계획!$E$3:$J$202,$A59,3)&amp;""))-1),TRIM(INDEX(인턴근무계획!$E$3:$J$202,$A59,3)&amp;""))))</f>
        <v/>
      </c>
      <c r="M59" s="19">
        <f>IF($C59="","",IF(TRIM(INDEX(인턴근무계획!$E$3:$J$202,$A59,4)&amp;"")="","",IFERROR(LEFT(TRIM(INDEX(인턴근무계획!$E$3:$J$202,$A59,4)&amp;""),FIND(" ",TRIM(INDEX(인턴근무계획!$E$3:$J$202,$A59,4)&amp;""))-1),TRIM(INDEX(인턴근무계획!$E$3:$J$202,$A59,4)&amp;""))))</f>
        <v/>
      </c>
      <c r="N59" s="19">
        <f>IF($C59="","",IF(TRIM(INDEX(인턴근무계획!$E$3:$J$202,$A59,5)&amp;"")="","",IFERROR(LEFT(TRIM(INDEX(인턴근무계획!$E$3:$J$202,$A59,5)&amp;""),FIND(" ",TRIM(INDEX(인턴근무계획!$E$3:$J$202,$A59,5)&amp;""))-1),TRIM(INDEX(인턴근무계획!$E$3:$J$202,$A59,5)&amp;""))))</f>
        <v/>
      </c>
      <c r="O59" s="19">
        <f>IF($C59="","",IF(TRIM(INDEX(인턴근무계획!$E$3:$J$202,$A59,6)&amp;"")="","",IFERROR(LEFT(TRIM(INDEX(인턴근무계획!$E$3:$J$202,$A59,6)&amp;""),FIND(" ",TRIM(INDEX(인턴근무계획!$E$3:$J$202,$A59,6)&amp;""))-1),TRIM(INDEX(인턴근무계획!$E$3:$J$202,$A59,6)&amp;""))))</f>
        <v/>
      </c>
      <c r="P59" s="19">
        <f>IF($C59="","",IF(INDEX(인턴근무계획!$K$3:$K$202,$A59)="","",INDEX(인턴근무계획!$K$3:$K$202,$A59)))</f>
        <v/>
      </c>
    </row>
    <row r="60">
      <c r="A60" s="18" t="n">
        <v>55</v>
      </c>
      <c r="B60" s="19">
        <f>IF($C60="","",INDEX(인턴근무계획!$B$3:$B$202,$A60))</f>
        <v/>
      </c>
      <c r="C60" s="19">
        <f>IFERROR(TRIM(INDEX(인턴근무계획!$C$3:$C$202,$A60)&amp;""),"")</f>
        <v/>
      </c>
      <c r="D60" s="19">
        <f>IF($C60="","",INDEX(인턴근무계획!$D$3:$D$202,$A60))</f>
        <v/>
      </c>
      <c r="E60" s="19">
        <f>IF($C60="","",IF(IFERROR(MATCH($D60,기본자료!$B$2:$B$501,0),IFERROR(MATCH($D60&amp;"",기본자료!$B$2:$B$501,0),IFERROR(MATCH(VALUE($D60),기본자료!$B$2:$B$501,0),0)))&gt;0,"확인","미등록"))</f>
        <v/>
      </c>
      <c r="F60" s="19">
        <f>IF(OR($C60="",$F$3=""),"",IF(TRIM(INDEX(인턴근무계획!$E$3:$J$202,$A60,$F$3)&amp;"")="","",IFERROR(LEFT(TRIM(INDEX(인턴근무계획!$E$3:$J$202,$A60,$F$3)&amp;""),FIND(" ",TRIM(INDEX(인턴근무계획!$E$3:$J$202,$A60,$F$3)&amp;""))-1),TRIM(INDEX(인턴근무계획!$E$3:$J$202,$A60,$F$3)&amp;""))))</f>
        <v/>
      </c>
      <c r="G60" s="19">
        <f>IF(OR($C60="",$F$3=""),"",IF(TRIM(INDEX(인턴근무계획!$E$3:$J$202,$A60,$F$3)&amp;"")="","",IFERROR(MID(TRIM(INDEX(인턴근무계획!$E$3:$J$202,$A60,$F$3)&amp;""),FIND(" ",TRIM(INDEX(인턴근무계획!$E$3:$J$202,$A60,$F$3)&amp;""))+1,60),"")))</f>
        <v/>
      </c>
      <c r="H60" s="19">
        <f>IF(OR($C60="",$H$3=""),"",IF(TRIM(INDEX(인턴근무계획!$E$3:$J$202,$A60,$H$3)&amp;"")="","",IFERROR(LEFT(TRIM(INDEX(인턴근무계획!$E$3:$J$202,$A60,$H$3)&amp;""),FIND(" ",TRIM(INDEX(인턴근무계획!$E$3:$J$202,$A60,$H$3)&amp;""))-1),TRIM(INDEX(인턴근무계획!$E$3:$J$202,$A60,$H$3)&amp;""))))</f>
        <v/>
      </c>
      <c r="I60" s="19">
        <f>IF(OR($C60="",$H$3=""),"",IF(TRIM(INDEX(인턴근무계획!$E$3:$J$202,$A60,$H$3)&amp;"")="","",IFERROR(MID(TRIM(INDEX(인턴근무계획!$E$3:$J$202,$A60,$H$3)&amp;""),FIND(" ",TRIM(INDEX(인턴근무계획!$E$3:$J$202,$A60,$H$3)&amp;""))+1,60),"")))</f>
        <v/>
      </c>
      <c r="J60" s="19">
        <f>IF($C60="","",IF(TRIM(INDEX(인턴근무계획!$E$3:$J$202,$A60,1)&amp;"")="","",IFERROR(LEFT(TRIM(INDEX(인턴근무계획!$E$3:$J$202,$A60,1)&amp;""),FIND(" ",TRIM(INDEX(인턴근무계획!$E$3:$J$202,$A60,1)&amp;""))-1),TRIM(INDEX(인턴근무계획!$E$3:$J$202,$A60,1)&amp;""))))</f>
        <v/>
      </c>
      <c r="K60" s="19">
        <f>IF($C60="","",IF(TRIM(INDEX(인턴근무계획!$E$3:$J$202,$A60,2)&amp;"")="","",IFERROR(LEFT(TRIM(INDEX(인턴근무계획!$E$3:$J$202,$A60,2)&amp;""),FIND(" ",TRIM(INDEX(인턴근무계획!$E$3:$J$202,$A60,2)&amp;""))-1),TRIM(INDEX(인턴근무계획!$E$3:$J$202,$A60,2)&amp;""))))</f>
        <v/>
      </c>
      <c r="L60" s="19">
        <f>IF($C60="","",IF(TRIM(INDEX(인턴근무계획!$E$3:$J$202,$A60,3)&amp;"")="","",IFERROR(LEFT(TRIM(INDEX(인턴근무계획!$E$3:$J$202,$A60,3)&amp;""),FIND(" ",TRIM(INDEX(인턴근무계획!$E$3:$J$202,$A60,3)&amp;""))-1),TRIM(INDEX(인턴근무계획!$E$3:$J$202,$A60,3)&amp;""))))</f>
        <v/>
      </c>
      <c r="M60" s="19">
        <f>IF($C60="","",IF(TRIM(INDEX(인턴근무계획!$E$3:$J$202,$A60,4)&amp;"")="","",IFERROR(LEFT(TRIM(INDEX(인턴근무계획!$E$3:$J$202,$A60,4)&amp;""),FIND(" ",TRIM(INDEX(인턴근무계획!$E$3:$J$202,$A60,4)&amp;""))-1),TRIM(INDEX(인턴근무계획!$E$3:$J$202,$A60,4)&amp;""))))</f>
        <v/>
      </c>
      <c r="N60" s="19">
        <f>IF($C60="","",IF(TRIM(INDEX(인턴근무계획!$E$3:$J$202,$A60,5)&amp;"")="","",IFERROR(LEFT(TRIM(INDEX(인턴근무계획!$E$3:$J$202,$A60,5)&amp;""),FIND(" ",TRIM(INDEX(인턴근무계획!$E$3:$J$202,$A60,5)&amp;""))-1),TRIM(INDEX(인턴근무계획!$E$3:$J$202,$A60,5)&amp;""))))</f>
        <v/>
      </c>
      <c r="O60" s="19">
        <f>IF($C60="","",IF(TRIM(INDEX(인턴근무계획!$E$3:$J$202,$A60,6)&amp;"")="","",IFERROR(LEFT(TRIM(INDEX(인턴근무계획!$E$3:$J$202,$A60,6)&amp;""),FIND(" ",TRIM(INDEX(인턴근무계획!$E$3:$J$202,$A60,6)&amp;""))-1),TRIM(INDEX(인턴근무계획!$E$3:$J$202,$A60,6)&amp;""))))</f>
        <v/>
      </c>
      <c r="P60" s="19">
        <f>IF($C60="","",IF(INDEX(인턴근무계획!$K$3:$K$202,$A60)="","",INDEX(인턴근무계획!$K$3:$K$202,$A60)))</f>
        <v/>
      </c>
    </row>
    <row r="61">
      <c r="A61" s="18" t="n">
        <v>56</v>
      </c>
      <c r="B61" s="19">
        <f>IF($C61="","",INDEX(인턴근무계획!$B$3:$B$202,$A61))</f>
        <v/>
      </c>
      <c r="C61" s="19">
        <f>IFERROR(TRIM(INDEX(인턴근무계획!$C$3:$C$202,$A61)&amp;""),"")</f>
        <v/>
      </c>
      <c r="D61" s="19">
        <f>IF($C61="","",INDEX(인턴근무계획!$D$3:$D$202,$A61))</f>
        <v/>
      </c>
      <c r="E61" s="19">
        <f>IF($C61="","",IF(IFERROR(MATCH($D61,기본자료!$B$2:$B$501,0),IFERROR(MATCH($D61&amp;"",기본자료!$B$2:$B$501,0),IFERROR(MATCH(VALUE($D61),기본자료!$B$2:$B$501,0),0)))&gt;0,"확인","미등록"))</f>
        <v/>
      </c>
      <c r="F61" s="19">
        <f>IF(OR($C61="",$F$3=""),"",IF(TRIM(INDEX(인턴근무계획!$E$3:$J$202,$A61,$F$3)&amp;"")="","",IFERROR(LEFT(TRIM(INDEX(인턴근무계획!$E$3:$J$202,$A61,$F$3)&amp;""),FIND(" ",TRIM(INDEX(인턴근무계획!$E$3:$J$202,$A61,$F$3)&amp;""))-1),TRIM(INDEX(인턴근무계획!$E$3:$J$202,$A61,$F$3)&amp;""))))</f>
        <v/>
      </c>
      <c r="G61" s="19">
        <f>IF(OR($C61="",$F$3=""),"",IF(TRIM(INDEX(인턴근무계획!$E$3:$J$202,$A61,$F$3)&amp;"")="","",IFERROR(MID(TRIM(INDEX(인턴근무계획!$E$3:$J$202,$A61,$F$3)&amp;""),FIND(" ",TRIM(INDEX(인턴근무계획!$E$3:$J$202,$A61,$F$3)&amp;""))+1,60),"")))</f>
        <v/>
      </c>
      <c r="H61" s="19">
        <f>IF(OR($C61="",$H$3=""),"",IF(TRIM(INDEX(인턴근무계획!$E$3:$J$202,$A61,$H$3)&amp;"")="","",IFERROR(LEFT(TRIM(INDEX(인턴근무계획!$E$3:$J$202,$A61,$H$3)&amp;""),FIND(" ",TRIM(INDEX(인턴근무계획!$E$3:$J$202,$A61,$H$3)&amp;""))-1),TRIM(INDEX(인턴근무계획!$E$3:$J$202,$A61,$H$3)&amp;""))))</f>
        <v/>
      </c>
      <c r="I61" s="19">
        <f>IF(OR($C61="",$H$3=""),"",IF(TRIM(INDEX(인턴근무계획!$E$3:$J$202,$A61,$H$3)&amp;"")="","",IFERROR(MID(TRIM(INDEX(인턴근무계획!$E$3:$J$202,$A61,$H$3)&amp;""),FIND(" ",TRIM(INDEX(인턴근무계획!$E$3:$J$202,$A61,$H$3)&amp;""))+1,60),"")))</f>
        <v/>
      </c>
      <c r="J61" s="19">
        <f>IF($C61="","",IF(TRIM(INDEX(인턴근무계획!$E$3:$J$202,$A61,1)&amp;"")="","",IFERROR(LEFT(TRIM(INDEX(인턴근무계획!$E$3:$J$202,$A61,1)&amp;""),FIND(" ",TRIM(INDEX(인턴근무계획!$E$3:$J$202,$A61,1)&amp;""))-1),TRIM(INDEX(인턴근무계획!$E$3:$J$202,$A61,1)&amp;""))))</f>
        <v/>
      </c>
      <c r="K61" s="19">
        <f>IF($C61="","",IF(TRIM(INDEX(인턴근무계획!$E$3:$J$202,$A61,2)&amp;"")="","",IFERROR(LEFT(TRIM(INDEX(인턴근무계획!$E$3:$J$202,$A61,2)&amp;""),FIND(" ",TRIM(INDEX(인턴근무계획!$E$3:$J$202,$A61,2)&amp;""))-1),TRIM(INDEX(인턴근무계획!$E$3:$J$202,$A61,2)&amp;""))))</f>
        <v/>
      </c>
      <c r="L61" s="19">
        <f>IF($C61="","",IF(TRIM(INDEX(인턴근무계획!$E$3:$J$202,$A61,3)&amp;"")="","",IFERROR(LEFT(TRIM(INDEX(인턴근무계획!$E$3:$J$202,$A61,3)&amp;""),FIND(" ",TRIM(INDEX(인턴근무계획!$E$3:$J$202,$A61,3)&amp;""))-1),TRIM(INDEX(인턴근무계획!$E$3:$J$202,$A61,3)&amp;""))))</f>
        <v/>
      </c>
      <c r="M61" s="19">
        <f>IF($C61="","",IF(TRIM(INDEX(인턴근무계획!$E$3:$J$202,$A61,4)&amp;"")="","",IFERROR(LEFT(TRIM(INDEX(인턴근무계획!$E$3:$J$202,$A61,4)&amp;""),FIND(" ",TRIM(INDEX(인턴근무계획!$E$3:$J$202,$A61,4)&amp;""))-1),TRIM(INDEX(인턴근무계획!$E$3:$J$202,$A61,4)&amp;""))))</f>
        <v/>
      </c>
      <c r="N61" s="19">
        <f>IF($C61="","",IF(TRIM(INDEX(인턴근무계획!$E$3:$J$202,$A61,5)&amp;"")="","",IFERROR(LEFT(TRIM(INDEX(인턴근무계획!$E$3:$J$202,$A61,5)&amp;""),FIND(" ",TRIM(INDEX(인턴근무계획!$E$3:$J$202,$A61,5)&amp;""))-1),TRIM(INDEX(인턴근무계획!$E$3:$J$202,$A61,5)&amp;""))))</f>
        <v/>
      </c>
      <c r="O61" s="19">
        <f>IF($C61="","",IF(TRIM(INDEX(인턴근무계획!$E$3:$J$202,$A61,6)&amp;"")="","",IFERROR(LEFT(TRIM(INDEX(인턴근무계획!$E$3:$J$202,$A61,6)&amp;""),FIND(" ",TRIM(INDEX(인턴근무계획!$E$3:$J$202,$A61,6)&amp;""))-1),TRIM(INDEX(인턴근무계획!$E$3:$J$202,$A61,6)&amp;""))))</f>
        <v/>
      </c>
      <c r="P61" s="19">
        <f>IF($C61="","",IF(INDEX(인턴근무계획!$K$3:$K$202,$A61)="","",INDEX(인턴근무계획!$K$3:$K$202,$A61)))</f>
        <v/>
      </c>
    </row>
    <row r="62">
      <c r="A62" s="18" t="n">
        <v>57</v>
      </c>
      <c r="B62" s="19">
        <f>IF($C62="","",INDEX(인턴근무계획!$B$3:$B$202,$A62))</f>
        <v/>
      </c>
      <c r="C62" s="19">
        <f>IFERROR(TRIM(INDEX(인턴근무계획!$C$3:$C$202,$A62)&amp;""),"")</f>
        <v/>
      </c>
      <c r="D62" s="19">
        <f>IF($C62="","",INDEX(인턴근무계획!$D$3:$D$202,$A62))</f>
        <v/>
      </c>
      <c r="E62" s="19">
        <f>IF($C62="","",IF(IFERROR(MATCH($D62,기본자료!$B$2:$B$501,0),IFERROR(MATCH($D62&amp;"",기본자료!$B$2:$B$501,0),IFERROR(MATCH(VALUE($D62),기본자료!$B$2:$B$501,0),0)))&gt;0,"확인","미등록"))</f>
        <v/>
      </c>
      <c r="F62" s="19">
        <f>IF(OR($C62="",$F$3=""),"",IF(TRIM(INDEX(인턴근무계획!$E$3:$J$202,$A62,$F$3)&amp;"")="","",IFERROR(LEFT(TRIM(INDEX(인턴근무계획!$E$3:$J$202,$A62,$F$3)&amp;""),FIND(" ",TRIM(INDEX(인턴근무계획!$E$3:$J$202,$A62,$F$3)&amp;""))-1),TRIM(INDEX(인턴근무계획!$E$3:$J$202,$A62,$F$3)&amp;""))))</f>
        <v/>
      </c>
      <c r="G62" s="19">
        <f>IF(OR($C62="",$F$3=""),"",IF(TRIM(INDEX(인턴근무계획!$E$3:$J$202,$A62,$F$3)&amp;"")="","",IFERROR(MID(TRIM(INDEX(인턴근무계획!$E$3:$J$202,$A62,$F$3)&amp;""),FIND(" ",TRIM(INDEX(인턴근무계획!$E$3:$J$202,$A62,$F$3)&amp;""))+1,60),"")))</f>
        <v/>
      </c>
      <c r="H62" s="19">
        <f>IF(OR($C62="",$H$3=""),"",IF(TRIM(INDEX(인턴근무계획!$E$3:$J$202,$A62,$H$3)&amp;"")="","",IFERROR(LEFT(TRIM(INDEX(인턴근무계획!$E$3:$J$202,$A62,$H$3)&amp;""),FIND(" ",TRIM(INDEX(인턴근무계획!$E$3:$J$202,$A62,$H$3)&amp;""))-1),TRIM(INDEX(인턴근무계획!$E$3:$J$202,$A62,$H$3)&amp;""))))</f>
        <v/>
      </c>
      <c r="I62" s="19">
        <f>IF(OR($C62="",$H$3=""),"",IF(TRIM(INDEX(인턴근무계획!$E$3:$J$202,$A62,$H$3)&amp;"")="","",IFERROR(MID(TRIM(INDEX(인턴근무계획!$E$3:$J$202,$A62,$H$3)&amp;""),FIND(" ",TRIM(INDEX(인턴근무계획!$E$3:$J$202,$A62,$H$3)&amp;""))+1,60),"")))</f>
        <v/>
      </c>
      <c r="J62" s="19">
        <f>IF($C62="","",IF(TRIM(INDEX(인턴근무계획!$E$3:$J$202,$A62,1)&amp;"")="","",IFERROR(LEFT(TRIM(INDEX(인턴근무계획!$E$3:$J$202,$A62,1)&amp;""),FIND(" ",TRIM(INDEX(인턴근무계획!$E$3:$J$202,$A62,1)&amp;""))-1),TRIM(INDEX(인턴근무계획!$E$3:$J$202,$A62,1)&amp;""))))</f>
        <v/>
      </c>
      <c r="K62" s="19">
        <f>IF($C62="","",IF(TRIM(INDEX(인턴근무계획!$E$3:$J$202,$A62,2)&amp;"")="","",IFERROR(LEFT(TRIM(INDEX(인턴근무계획!$E$3:$J$202,$A62,2)&amp;""),FIND(" ",TRIM(INDEX(인턴근무계획!$E$3:$J$202,$A62,2)&amp;""))-1),TRIM(INDEX(인턴근무계획!$E$3:$J$202,$A62,2)&amp;""))))</f>
        <v/>
      </c>
      <c r="L62" s="19">
        <f>IF($C62="","",IF(TRIM(INDEX(인턴근무계획!$E$3:$J$202,$A62,3)&amp;"")="","",IFERROR(LEFT(TRIM(INDEX(인턴근무계획!$E$3:$J$202,$A62,3)&amp;""),FIND(" ",TRIM(INDEX(인턴근무계획!$E$3:$J$202,$A62,3)&amp;""))-1),TRIM(INDEX(인턴근무계획!$E$3:$J$202,$A62,3)&amp;""))))</f>
        <v/>
      </c>
      <c r="M62" s="19">
        <f>IF($C62="","",IF(TRIM(INDEX(인턴근무계획!$E$3:$J$202,$A62,4)&amp;"")="","",IFERROR(LEFT(TRIM(INDEX(인턴근무계획!$E$3:$J$202,$A62,4)&amp;""),FIND(" ",TRIM(INDEX(인턴근무계획!$E$3:$J$202,$A62,4)&amp;""))-1),TRIM(INDEX(인턴근무계획!$E$3:$J$202,$A62,4)&amp;""))))</f>
        <v/>
      </c>
      <c r="N62" s="19">
        <f>IF($C62="","",IF(TRIM(INDEX(인턴근무계획!$E$3:$J$202,$A62,5)&amp;"")="","",IFERROR(LEFT(TRIM(INDEX(인턴근무계획!$E$3:$J$202,$A62,5)&amp;""),FIND(" ",TRIM(INDEX(인턴근무계획!$E$3:$J$202,$A62,5)&amp;""))-1),TRIM(INDEX(인턴근무계획!$E$3:$J$202,$A62,5)&amp;""))))</f>
        <v/>
      </c>
      <c r="O62" s="19">
        <f>IF($C62="","",IF(TRIM(INDEX(인턴근무계획!$E$3:$J$202,$A62,6)&amp;"")="","",IFERROR(LEFT(TRIM(INDEX(인턴근무계획!$E$3:$J$202,$A62,6)&amp;""),FIND(" ",TRIM(INDEX(인턴근무계획!$E$3:$J$202,$A62,6)&amp;""))-1),TRIM(INDEX(인턴근무계획!$E$3:$J$202,$A62,6)&amp;""))))</f>
        <v/>
      </c>
      <c r="P62" s="19">
        <f>IF($C62="","",IF(INDEX(인턴근무계획!$K$3:$K$202,$A62)="","",INDEX(인턴근무계획!$K$3:$K$202,$A62)))</f>
        <v/>
      </c>
    </row>
    <row r="63">
      <c r="A63" s="18" t="n">
        <v>58</v>
      </c>
      <c r="B63" s="19">
        <f>IF($C63="","",INDEX(인턴근무계획!$B$3:$B$202,$A63))</f>
        <v/>
      </c>
      <c r="C63" s="19">
        <f>IFERROR(TRIM(INDEX(인턴근무계획!$C$3:$C$202,$A63)&amp;""),"")</f>
        <v/>
      </c>
      <c r="D63" s="19">
        <f>IF($C63="","",INDEX(인턴근무계획!$D$3:$D$202,$A63))</f>
        <v/>
      </c>
      <c r="E63" s="19">
        <f>IF($C63="","",IF(IFERROR(MATCH($D63,기본자료!$B$2:$B$501,0),IFERROR(MATCH($D63&amp;"",기본자료!$B$2:$B$501,0),IFERROR(MATCH(VALUE($D63),기본자료!$B$2:$B$501,0),0)))&gt;0,"확인","미등록"))</f>
        <v/>
      </c>
      <c r="F63" s="19">
        <f>IF(OR($C63="",$F$3=""),"",IF(TRIM(INDEX(인턴근무계획!$E$3:$J$202,$A63,$F$3)&amp;"")="","",IFERROR(LEFT(TRIM(INDEX(인턴근무계획!$E$3:$J$202,$A63,$F$3)&amp;""),FIND(" ",TRIM(INDEX(인턴근무계획!$E$3:$J$202,$A63,$F$3)&amp;""))-1),TRIM(INDEX(인턴근무계획!$E$3:$J$202,$A63,$F$3)&amp;""))))</f>
        <v/>
      </c>
      <c r="G63" s="19">
        <f>IF(OR($C63="",$F$3=""),"",IF(TRIM(INDEX(인턴근무계획!$E$3:$J$202,$A63,$F$3)&amp;"")="","",IFERROR(MID(TRIM(INDEX(인턴근무계획!$E$3:$J$202,$A63,$F$3)&amp;""),FIND(" ",TRIM(INDEX(인턴근무계획!$E$3:$J$202,$A63,$F$3)&amp;""))+1,60),"")))</f>
        <v/>
      </c>
      <c r="H63" s="19">
        <f>IF(OR($C63="",$H$3=""),"",IF(TRIM(INDEX(인턴근무계획!$E$3:$J$202,$A63,$H$3)&amp;"")="","",IFERROR(LEFT(TRIM(INDEX(인턴근무계획!$E$3:$J$202,$A63,$H$3)&amp;""),FIND(" ",TRIM(INDEX(인턴근무계획!$E$3:$J$202,$A63,$H$3)&amp;""))-1),TRIM(INDEX(인턴근무계획!$E$3:$J$202,$A63,$H$3)&amp;""))))</f>
        <v/>
      </c>
      <c r="I63" s="19">
        <f>IF(OR($C63="",$H$3=""),"",IF(TRIM(INDEX(인턴근무계획!$E$3:$J$202,$A63,$H$3)&amp;"")="","",IFERROR(MID(TRIM(INDEX(인턴근무계획!$E$3:$J$202,$A63,$H$3)&amp;""),FIND(" ",TRIM(INDEX(인턴근무계획!$E$3:$J$202,$A63,$H$3)&amp;""))+1,60),"")))</f>
        <v/>
      </c>
      <c r="J63" s="19">
        <f>IF($C63="","",IF(TRIM(INDEX(인턴근무계획!$E$3:$J$202,$A63,1)&amp;"")="","",IFERROR(LEFT(TRIM(INDEX(인턴근무계획!$E$3:$J$202,$A63,1)&amp;""),FIND(" ",TRIM(INDEX(인턴근무계획!$E$3:$J$202,$A63,1)&amp;""))-1),TRIM(INDEX(인턴근무계획!$E$3:$J$202,$A63,1)&amp;""))))</f>
        <v/>
      </c>
      <c r="K63" s="19">
        <f>IF($C63="","",IF(TRIM(INDEX(인턴근무계획!$E$3:$J$202,$A63,2)&amp;"")="","",IFERROR(LEFT(TRIM(INDEX(인턴근무계획!$E$3:$J$202,$A63,2)&amp;""),FIND(" ",TRIM(INDEX(인턴근무계획!$E$3:$J$202,$A63,2)&amp;""))-1),TRIM(INDEX(인턴근무계획!$E$3:$J$202,$A63,2)&amp;""))))</f>
        <v/>
      </c>
      <c r="L63" s="19">
        <f>IF($C63="","",IF(TRIM(INDEX(인턴근무계획!$E$3:$J$202,$A63,3)&amp;"")="","",IFERROR(LEFT(TRIM(INDEX(인턴근무계획!$E$3:$J$202,$A63,3)&amp;""),FIND(" ",TRIM(INDEX(인턴근무계획!$E$3:$J$202,$A63,3)&amp;""))-1),TRIM(INDEX(인턴근무계획!$E$3:$J$202,$A63,3)&amp;""))))</f>
        <v/>
      </c>
      <c r="M63" s="19">
        <f>IF($C63="","",IF(TRIM(INDEX(인턴근무계획!$E$3:$J$202,$A63,4)&amp;"")="","",IFERROR(LEFT(TRIM(INDEX(인턴근무계획!$E$3:$J$202,$A63,4)&amp;""),FIND(" ",TRIM(INDEX(인턴근무계획!$E$3:$J$202,$A63,4)&amp;""))-1),TRIM(INDEX(인턴근무계획!$E$3:$J$202,$A63,4)&amp;""))))</f>
        <v/>
      </c>
      <c r="N63" s="19">
        <f>IF($C63="","",IF(TRIM(INDEX(인턴근무계획!$E$3:$J$202,$A63,5)&amp;"")="","",IFERROR(LEFT(TRIM(INDEX(인턴근무계획!$E$3:$J$202,$A63,5)&amp;""),FIND(" ",TRIM(INDEX(인턴근무계획!$E$3:$J$202,$A63,5)&amp;""))-1),TRIM(INDEX(인턴근무계획!$E$3:$J$202,$A63,5)&amp;""))))</f>
        <v/>
      </c>
      <c r="O63" s="19">
        <f>IF($C63="","",IF(TRIM(INDEX(인턴근무계획!$E$3:$J$202,$A63,6)&amp;"")="","",IFERROR(LEFT(TRIM(INDEX(인턴근무계획!$E$3:$J$202,$A63,6)&amp;""),FIND(" ",TRIM(INDEX(인턴근무계획!$E$3:$J$202,$A63,6)&amp;""))-1),TRIM(INDEX(인턴근무계획!$E$3:$J$202,$A63,6)&amp;""))))</f>
        <v/>
      </c>
      <c r="P63" s="19">
        <f>IF($C63="","",IF(INDEX(인턴근무계획!$K$3:$K$202,$A63)="","",INDEX(인턴근무계획!$K$3:$K$202,$A63)))</f>
        <v/>
      </c>
    </row>
    <row r="64">
      <c r="A64" s="18" t="n">
        <v>59</v>
      </c>
      <c r="B64" s="19">
        <f>IF($C64="","",INDEX(인턴근무계획!$B$3:$B$202,$A64))</f>
        <v/>
      </c>
      <c r="C64" s="19">
        <f>IFERROR(TRIM(INDEX(인턴근무계획!$C$3:$C$202,$A64)&amp;""),"")</f>
        <v/>
      </c>
      <c r="D64" s="19">
        <f>IF($C64="","",INDEX(인턴근무계획!$D$3:$D$202,$A64))</f>
        <v/>
      </c>
      <c r="E64" s="19">
        <f>IF($C64="","",IF(IFERROR(MATCH($D64,기본자료!$B$2:$B$501,0),IFERROR(MATCH($D64&amp;"",기본자료!$B$2:$B$501,0),IFERROR(MATCH(VALUE($D64),기본자료!$B$2:$B$501,0),0)))&gt;0,"확인","미등록"))</f>
        <v/>
      </c>
      <c r="F64" s="19">
        <f>IF(OR($C64="",$F$3=""),"",IF(TRIM(INDEX(인턴근무계획!$E$3:$J$202,$A64,$F$3)&amp;"")="","",IFERROR(LEFT(TRIM(INDEX(인턴근무계획!$E$3:$J$202,$A64,$F$3)&amp;""),FIND(" ",TRIM(INDEX(인턴근무계획!$E$3:$J$202,$A64,$F$3)&amp;""))-1),TRIM(INDEX(인턴근무계획!$E$3:$J$202,$A64,$F$3)&amp;""))))</f>
        <v/>
      </c>
      <c r="G64" s="19">
        <f>IF(OR($C64="",$F$3=""),"",IF(TRIM(INDEX(인턴근무계획!$E$3:$J$202,$A64,$F$3)&amp;"")="","",IFERROR(MID(TRIM(INDEX(인턴근무계획!$E$3:$J$202,$A64,$F$3)&amp;""),FIND(" ",TRIM(INDEX(인턴근무계획!$E$3:$J$202,$A64,$F$3)&amp;""))+1,60),"")))</f>
        <v/>
      </c>
      <c r="H64" s="19">
        <f>IF(OR($C64="",$H$3=""),"",IF(TRIM(INDEX(인턴근무계획!$E$3:$J$202,$A64,$H$3)&amp;"")="","",IFERROR(LEFT(TRIM(INDEX(인턴근무계획!$E$3:$J$202,$A64,$H$3)&amp;""),FIND(" ",TRIM(INDEX(인턴근무계획!$E$3:$J$202,$A64,$H$3)&amp;""))-1),TRIM(INDEX(인턴근무계획!$E$3:$J$202,$A64,$H$3)&amp;""))))</f>
        <v/>
      </c>
      <c r="I64" s="19">
        <f>IF(OR($C64="",$H$3=""),"",IF(TRIM(INDEX(인턴근무계획!$E$3:$J$202,$A64,$H$3)&amp;"")="","",IFERROR(MID(TRIM(INDEX(인턴근무계획!$E$3:$J$202,$A64,$H$3)&amp;""),FIND(" ",TRIM(INDEX(인턴근무계획!$E$3:$J$202,$A64,$H$3)&amp;""))+1,60),"")))</f>
        <v/>
      </c>
      <c r="J64" s="19">
        <f>IF($C64="","",IF(TRIM(INDEX(인턴근무계획!$E$3:$J$202,$A64,1)&amp;"")="","",IFERROR(LEFT(TRIM(INDEX(인턴근무계획!$E$3:$J$202,$A64,1)&amp;""),FIND(" ",TRIM(INDEX(인턴근무계획!$E$3:$J$202,$A64,1)&amp;""))-1),TRIM(INDEX(인턴근무계획!$E$3:$J$202,$A64,1)&amp;""))))</f>
        <v/>
      </c>
      <c r="K64" s="19">
        <f>IF($C64="","",IF(TRIM(INDEX(인턴근무계획!$E$3:$J$202,$A64,2)&amp;"")="","",IFERROR(LEFT(TRIM(INDEX(인턴근무계획!$E$3:$J$202,$A64,2)&amp;""),FIND(" ",TRIM(INDEX(인턴근무계획!$E$3:$J$202,$A64,2)&amp;""))-1),TRIM(INDEX(인턴근무계획!$E$3:$J$202,$A64,2)&amp;""))))</f>
        <v/>
      </c>
      <c r="L64" s="19">
        <f>IF($C64="","",IF(TRIM(INDEX(인턴근무계획!$E$3:$J$202,$A64,3)&amp;"")="","",IFERROR(LEFT(TRIM(INDEX(인턴근무계획!$E$3:$J$202,$A64,3)&amp;""),FIND(" ",TRIM(INDEX(인턴근무계획!$E$3:$J$202,$A64,3)&amp;""))-1),TRIM(INDEX(인턴근무계획!$E$3:$J$202,$A64,3)&amp;""))))</f>
        <v/>
      </c>
      <c r="M64" s="19">
        <f>IF($C64="","",IF(TRIM(INDEX(인턴근무계획!$E$3:$J$202,$A64,4)&amp;"")="","",IFERROR(LEFT(TRIM(INDEX(인턴근무계획!$E$3:$J$202,$A64,4)&amp;""),FIND(" ",TRIM(INDEX(인턴근무계획!$E$3:$J$202,$A64,4)&amp;""))-1),TRIM(INDEX(인턴근무계획!$E$3:$J$202,$A64,4)&amp;""))))</f>
        <v/>
      </c>
      <c r="N64" s="19">
        <f>IF($C64="","",IF(TRIM(INDEX(인턴근무계획!$E$3:$J$202,$A64,5)&amp;"")="","",IFERROR(LEFT(TRIM(INDEX(인턴근무계획!$E$3:$J$202,$A64,5)&amp;""),FIND(" ",TRIM(INDEX(인턴근무계획!$E$3:$J$202,$A64,5)&amp;""))-1),TRIM(INDEX(인턴근무계획!$E$3:$J$202,$A64,5)&amp;""))))</f>
        <v/>
      </c>
      <c r="O64" s="19">
        <f>IF($C64="","",IF(TRIM(INDEX(인턴근무계획!$E$3:$J$202,$A64,6)&amp;"")="","",IFERROR(LEFT(TRIM(INDEX(인턴근무계획!$E$3:$J$202,$A64,6)&amp;""),FIND(" ",TRIM(INDEX(인턴근무계획!$E$3:$J$202,$A64,6)&amp;""))-1),TRIM(INDEX(인턴근무계획!$E$3:$J$202,$A64,6)&amp;""))))</f>
        <v/>
      </c>
      <c r="P64" s="19">
        <f>IF($C64="","",IF(INDEX(인턴근무계획!$K$3:$K$202,$A64)="","",INDEX(인턴근무계획!$K$3:$K$202,$A64)))</f>
        <v/>
      </c>
    </row>
    <row r="65">
      <c r="A65" s="18" t="n">
        <v>60</v>
      </c>
      <c r="B65" s="19">
        <f>IF($C65="","",INDEX(인턴근무계획!$B$3:$B$202,$A65))</f>
        <v/>
      </c>
      <c r="C65" s="19">
        <f>IFERROR(TRIM(INDEX(인턴근무계획!$C$3:$C$202,$A65)&amp;""),"")</f>
        <v/>
      </c>
      <c r="D65" s="19">
        <f>IF($C65="","",INDEX(인턴근무계획!$D$3:$D$202,$A65))</f>
        <v/>
      </c>
      <c r="E65" s="19">
        <f>IF($C65="","",IF(IFERROR(MATCH($D65,기본자료!$B$2:$B$501,0),IFERROR(MATCH($D65&amp;"",기본자료!$B$2:$B$501,0),IFERROR(MATCH(VALUE($D65),기본자료!$B$2:$B$501,0),0)))&gt;0,"확인","미등록"))</f>
        <v/>
      </c>
      <c r="F65" s="19">
        <f>IF(OR($C65="",$F$3=""),"",IF(TRIM(INDEX(인턴근무계획!$E$3:$J$202,$A65,$F$3)&amp;"")="","",IFERROR(LEFT(TRIM(INDEX(인턴근무계획!$E$3:$J$202,$A65,$F$3)&amp;""),FIND(" ",TRIM(INDEX(인턴근무계획!$E$3:$J$202,$A65,$F$3)&amp;""))-1),TRIM(INDEX(인턴근무계획!$E$3:$J$202,$A65,$F$3)&amp;""))))</f>
        <v/>
      </c>
      <c r="G65" s="19">
        <f>IF(OR($C65="",$F$3=""),"",IF(TRIM(INDEX(인턴근무계획!$E$3:$J$202,$A65,$F$3)&amp;"")="","",IFERROR(MID(TRIM(INDEX(인턴근무계획!$E$3:$J$202,$A65,$F$3)&amp;""),FIND(" ",TRIM(INDEX(인턴근무계획!$E$3:$J$202,$A65,$F$3)&amp;""))+1,60),"")))</f>
        <v/>
      </c>
      <c r="H65" s="19">
        <f>IF(OR($C65="",$H$3=""),"",IF(TRIM(INDEX(인턴근무계획!$E$3:$J$202,$A65,$H$3)&amp;"")="","",IFERROR(LEFT(TRIM(INDEX(인턴근무계획!$E$3:$J$202,$A65,$H$3)&amp;""),FIND(" ",TRIM(INDEX(인턴근무계획!$E$3:$J$202,$A65,$H$3)&amp;""))-1),TRIM(INDEX(인턴근무계획!$E$3:$J$202,$A65,$H$3)&amp;""))))</f>
        <v/>
      </c>
      <c r="I65" s="19">
        <f>IF(OR($C65="",$H$3=""),"",IF(TRIM(INDEX(인턴근무계획!$E$3:$J$202,$A65,$H$3)&amp;"")="","",IFERROR(MID(TRIM(INDEX(인턴근무계획!$E$3:$J$202,$A65,$H$3)&amp;""),FIND(" ",TRIM(INDEX(인턴근무계획!$E$3:$J$202,$A65,$H$3)&amp;""))+1,60),"")))</f>
        <v/>
      </c>
      <c r="J65" s="19">
        <f>IF($C65="","",IF(TRIM(INDEX(인턴근무계획!$E$3:$J$202,$A65,1)&amp;"")="","",IFERROR(LEFT(TRIM(INDEX(인턴근무계획!$E$3:$J$202,$A65,1)&amp;""),FIND(" ",TRIM(INDEX(인턴근무계획!$E$3:$J$202,$A65,1)&amp;""))-1),TRIM(INDEX(인턴근무계획!$E$3:$J$202,$A65,1)&amp;""))))</f>
        <v/>
      </c>
      <c r="K65" s="19">
        <f>IF($C65="","",IF(TRIM(INDEX(인턴근무계획!$E$3:$J$202,$A65,2)&amp;"")="","",IFERROR(LEFT(TRIM(INDEX(인턴근무계획!$E$3:$J$202,$A65,2)&amp;""),FIND(" ",TRIM(INDEX(인턴근무계획!$E$3:$J$202,$A65,2)&amp;""))-1),TRIM(INDEX(인턴근무계획!$E$3:$J$202,$A65,2)&amp;""))))</f>
        <v/>
      </c>
      <c r="L65" s="19">
        <f>IF($C65="","",IF(TRIM(INDEX(인턴근무계획!$E$3:$J$202,$A65,3)&amp;"")="","",IFERROR(LEFT(TRIM(INDEX(인턴근무계획!$E$3:$J$202,$A65,3)&amp;""),FIND(" ",TRIM(INDEX(인턴근무계획!$E$3:$J$202,$A65,3)&amp;""))-1),TRIM(INDEX(인턴근무계획!$E$3:$J$202,$A65,3)&amp;""))))</f>
        <v/>
      </c>
      <c r="M65" s="19">
        <f>IF($C65="","",IF(TRIM(INDEX(인턴근무계획!$E$3:$J$202,$A65,4)&amp;"")="","",IFERROR(LEFT(TRIM(INDEX(인턴근무계획!$E$3:$J$202,$A65,4)&amp;""),FIND(" ",TRIM(INDEX(인턴근무계획!$E$3:$J$202,$A65,4)&amp;""))-1),TRIM(INDEX(인턴근무계획!$E$3:$J$202,$A65,4)&amp;""))))</f>
        <v/>
      </c>
      <c r="N65" s="19">
        <f>IF($C65="","",IF(TRIM(INDEX(인턴근무계획!$E$3:$J$202,$A65,5)&amp;"")="","",IFERROR(LEFT(TRIM(INDEX(인턴근무계획!$E$3:$J$202,$A65,5)&amp;""),FIND(" ",TRIM(INDEX(인턴근무계획!$E$3:$J$202,$A65,5)&amp;""))-1),TRIM(INDEX(인턴근무계획!$E$3:$J$202,$A65,5)&amp;""))))</f>
        <v/>
      </c>
      <c r="O65" s="19">
        <f>IF($C65="","",IF(TRIM(INDEX(인턴근무계획!$E$3:$J$202,$A65,6)&amp;"")="","",IFERROR(LEFT(TRIM(INDEX(인턴근무계획!$E$3:$J$202,$A65,6)&amp;""),FIND(" ",TRIM(INDEX(인턴근무계획!$E$3:$J$202,$A65,6)&amp;""))-1),TRIM(INDEX(인턴근무계획!$E$3:$J$202,$A65,6)&amp;""))))</f>
        <v/>
      </c>
      <c r="P65" s="19">
        <f>IF($C65="","",IF(INDEX(인턴근무계획!$K$3:$K$202,$A65)="","",INDEX(인턴근무계획!$K$3:$K$202,$A65)))</f>
        <v/>
      </c>
    </row>
    <row r="66">
      <c r="A66" s="18" t="n">
        <v>61</v>
      </c>
      <c r="B66" s="19">
        <f>IF($C66="","",INDEX(인턴근무계획!$B$3:$B$202,$A66))</f>
        <v/>
      </c>
      <c r="C66" s="19">
        <f>IFERROR(TRIM(INDEX(인턴근무계획!$C$3:$C$202,$A66)&amp;""),"")</f>
        <v/>
      </c>
      <c r="D66" s="19">
        <f>IF($C66="","",INDEX(인턴근무계획!$D$3:$D$202,$A66))</f>
        <v/>
      </c>
      <c r="E66" s="19">
        <f>IF($C66="","",IF(IFERROR(MATCH($D66,기본자료!$B$2:$B$501,0),IFERROR(MATCH($D66&amp;"",기본자료!$B$2:$B$501,0),IFERROR(MATCH(VALUE($D66),기본자료!$B$2:$B$501,0),0)))&gt;0,"확인","미등록"))</f>
        <v/>
      </c>
      <c r="F66" s="19">
        <f>IF(OR($C66="",$F$3=""),"",IF(TRIM(INDEX(인턴근무계획!$E$3:$J$202,$A66,$F$3)&amp;"")="","",IFERROR(LEFT(TRIM(INDEX(인턴근무계획!$E$3:$J$202,$A66,$F$3)&amp;""),FIND(" ",TRIM(INDEX(인턴근무계획!$E$3:$J$202,$A66,$F$3)&amp;""))-1),TRIM(INDEX(인턴근무계획!$E$3:$J$202,$A66,$F$3)&amp;""))))</f>
        <v/>
      </c>
      <c r="G66" s="19">
        <f>IF(OR($C66="",$F$3=""),"",IF(TRIM(INDEX(인턴근무계획!$E$3:$J$202,$A66,$F$3)&amp;"")="","",IFERROR(MID(TRIM(INDEX(인턴근무계획!$E$3:$J$202,$A66,$F$3)&amp;""),FIND(" ",TRIM(INDEX(인턴근무계획!$E$3:$J$202,$A66,$F$3)&amp;""))+1,60),"")))</f>
        <v/>
      </c>
      <c r="H66" s="19">
        <f>IF(OR($C66="",$H$3=""),"",IF(TRIM(INDEX(인턴근무계획!$E$3:$J$202,$A66,$H$3)&amp;"")="","",IFERROR(LEFT(TRIM(INDEX(인턴근무계획!$E$3:$J$202,$A66,$H$3)&amp;""),FIND(" ",TRIM(INDEX(인턴근무계획!$E$3:$J$202,$A66,$H$3)&amp;""))-1),TRIM(INDEX(인턴근무계획!$E$3:$J$202,$A66,$H$3)&amp;""))))</f>
        <v/>
      </c>
      <c r="I66" s="19">
        <f>IF(OR($C66="",$H$3=""),"",IF(TRIM(INDEX(인턴근무계획!$E$3:$J$202,$A66,$H$3)&amp;"")="","",IFERROR(MID(TRIM(INDEX(인턴근무계획!$E$3:$J$202,$A66,$H$3)&amp;""),FIND(" ",TRIM(INDEX(인턴근무계획!$E$3:$J$202,$A66,$H$3)&amp;""))+1,60),"")))</f>
        <v/>
      </c>
      <c r="J66" s="19">
        <f>IF($C66="","",IF(TRIM(INDEX(인턴근무계획!$E$3:$J$202,$A66,1)&amp;"")="","",IFERROR(LEFT(TRIM(INDEX(인턴근무계획!$E$3:$J$202,$A66,1)&amp;""),FIND(" ",TRIM(INDEX(인턴근무계획!$E$3:$J$202,$A66,1)&amp;""))-1),TRIM(INDEX(인턴근무계획!$E$3:$J$202,$A66,1)&amp;""))))</f>
        <v/>
      </c>
      <c r="K66" s="19">
        <f>IF($C66="","",IF(TRIM(INDEX(인턴근무계획!$E$3:$J$202,$A66,2)&amp;"")="","",IFERROR(LEFT(TRIM(INDEX(인턴근무계획!$E$3:$J$202,$A66,2)&amp;""),FIND(" ",TRIM(INDEX(인턴근무계획!$E$3:$J$202,$A66,2)&amp;""))-1),TRIM(INDEX(인턴근무계획!$E$3:$J$202,$A66,2)&amp;""))))</f>
        <v/>
      </c>
      <c r="L66" s="19">
        <f>IF($C66="","",IF(TRIM(INDEX(인턴근무계획!$E$3:$J$202,$A66,3)&amp;"")="","",IFERROR(LEFT(TRIM(INDEX(인턴근무계획!$E$3:$J$202,$A66,3)&amp;""),FIND(" ",TRIM(INDEX(인턴근무계획!$E$3:$J$202,$A66,3)&amp;""))-1),TRIM(INDEX(인턴근무계획!$E$3:$J$202,$A66,3)&amp;""))))</f>
        <v/>
      </c>
      <c r="M66" s="19">
        <f>IF($C66="","",IF(TRIM(INDEX(인턴근무계획!$E$3:$J$202,$A66,4)&amp;"")="","",IFERROR(LEFT(TRIM(INDEX(인턴근무계획!$E$3:$J$202,$A66,4)&amp;""),FIND(" ",TRIM(INDEX(인턴근무계획!$E$3:$J$202,$A66,4)&amp;""))-1),TRIM(INDEX(인턴근무계획!$E$3:$J$202,$A66,4)&amp;""))))</f>
        <v/>
      </c>
      <c r="N66" s="19">
        <f>IF($C66="","",IF(TRIM(INDEX(인턴근무계획!$E$3:$J$202,$A66,5)&amp;"")="","",IFERROR(LEFT(TRIM(INDEX(인턴근무계획!$E$3:$J$202,$A66,5)&amp;""),FIND(" ",TRIM(INDEX(인턴근무계획!$E$3:$J$202,$A66,5)&amp;""))-1),TRIM(INDEX(인턴근무계획!$E$3:$J$202,$A66,5)&amp;""))))</f>
        <v/>
      </c>
      <c r="O66" s="19">
        <f>IF($C66="","",IF(TRIM(INDEX(인턴근무계획!$E$3:$J$202,$A66,6)&amp;"")="","",IFERROR(LEFT(TRIM(INDEX(인턴근무계획!$E$3:$J$202,$A66,6)&amp;""),FIND(" ",TRIM(INDEX(인턴근무계획!$E$3:$J$202,$A66,6)&amp;""))-1),TRIM(INDEX(인턴근무계획!$E$3:$J$202,$A66,6)&amp;""))))</f>
        <v/>
      </c>
      <c r="P66" s="19">
        <f>IF($C66="","",IF(INDEX(인턴근무계획!$K$3:$K$202,$A66)="","",INDEX(인턴근무계획!$K$3:$K$202,$A66)))</f>
        <v/>
      </c>
    </row>
    <row r="67">
      <c r="A67" s="18" t="n">
        <v>62</v>
      </c>
      <c r="B67" s="19">
        <f>IF($C67="","",INDEX(인턴근무계획!$B$3:$B$202,$A67))</f>
        <v/>
      </c>
      <c r="C67" s="19">
        <f>IFERROR(TRIM(INDEX(인턴근무계획!$C$3:$C$202,$A67)&amp;""),"")</f>
        <v/>
      </c>
      <c r="D67" s="19">
        <f>IF($C67="","",INDEX(인턴근무계획!$D$3:$D$202,$A67))</f>
        <v/>
      </c>
      <c r="E67" s="19">
        <f>IF($C67="","",IF(IFERROR(MATCH($D67,기본자료!$B$2:$B$501,0),IFERROR(MATCH($D67&amp;"",기본자료!$B$2:$B$501,0),IFERROR(MATCH(VALUE($D67),기본자료!$B$2:$B$501,0),0)))&gt;0,"확인","미등록"))</f>
        <v/>
      </c>
      <c r="F67" s="19">
        <f>IF(OR($C67="",$F$3=""),"",IF(TRIM(INDEX(인턴근무계획!$E$3:$J$202,$A67,$F$3)&amp;"")="","",IFERROR(LEFT(TRIM(INDEX(인턴근무계획!$E$3:$J$202,$A67,$F$3)&amp;""),FIND(" ",TRIM(INDEX(인턴근무계획!$E$3:$J$202,$A67,$F$3)&amp;""))-1),TRIM(INDEX(인턴근무계획!$E$3:$J$202,$A67,$F$3)&amp;""))))</f>
        <v/>
      </c>
      <c r="G67" s="19">
        <f>IF(OR($C67="",$F$3=""),"",IF(TRIM(INDEX(인턴근무계획!$E$3:$J$202,$A67,$F$3)&amp;"")="","",IFERROR(MID(TRIM(INDEX(인턴근무계획!$E$3:$J$202,$A67,$F$3)&amp;""),FIND(" ",TRIM(INDEX(인턴근무계획!$E$3:$J$202,$A67,$F$3)&amp;""))+1,60),"")))</f>
        <v/>
      </c>
      <c r="H67" s="19">
        <f>IF(OR($C67="",$H$3=""),"",IF(TRIM(INDEX(인턴근무계획!$E$3:$J$202,$A67,$H$3)&amp;"")="","",IFERROR(LEFT(TRIM(INDEX(인턴근무계획!$E$3:$J$202,$A67,$H$3)&amp;""),FIND(" ",TRIM(INDEX(인턴근무계획!$E$3:$J$202,$A67,$H$3)&amp;""))-1),TRIM(INDEX(인턴근무계획!$E$3:$J$202,$A67,$H$3)&amp;""))))</f>
        <v/>
      </c>
      <c r="I67" s="19">
        <f>IF(OR($C67="",$H$3=""),"",IF(TRIM(INDEX(인턴근무계획!$E$3:$J$202,$A67,$H$3)&amp;"")="","",IFERROR(MID(TRIM(INDEX(인턴근무계획!$E$3:$J$202,$A67,$H$3)&amp;""),FIND(" ",TRIM(INDEX(인턴근무계획!$E$3:$J$202,$A67,$H$3)&amp;""))+1,60),"")))</f>
        <v/>
      </c>
      <c r="J67" s="19">
        <f>IF($C67="","",IF(TRIM(INDEX(인턴근무계획!$E$3:$J$202,$A67,1)&amp;"")="","",IFERROR(LEFT(TRIM(INDEX(인턴근무계획!$E$3:$J$202,$A67,1)&amp;""),FIND(" ",TRIM(INDEX(인턴근무계획!$E$3:$J$202,$A67,1)&amp;""))-1),TRIM(INDEX(인턴근무계획!$E$3:$J$202,$A67,1)&amp;""))))</f>
        <v/>
      </c>
      <c r="K67" s="19">
        <f>IF($C67="","",IF(TRIM(INDEX(인턴근무계획!$E$3:$J$202,$A67,2)&amp;"")="","",IFERROR(LEFT(TRIM(INDEX(인턴근무계획!$E$3:$J$202,$A67,2)&amp;""),FIND(" ",TRIM(INDEX(인턴근무계획!$E$3:$J$202,$A67,2)&amp;""))-1),TRIM(INDEX(인턴근무계획!$E$3:$J$202,$A67,2)&amp;""))))</f>
        <v/>
      </c>
      <c r="L67" s="19">
        <f>IF($C67="","",IF(TRIM(INDEX(인턴근무계획!$E$3:$J$202,$A67,3)&amp;"")="","",IFERROR(LEFT(TRIM(INDEX(인턴근무계획!$E$3:$J$202,$A67,3)&amp;""),FIND(" ",TRIM(INDEX(인턴근무계획!$E$3:$J$202,$A67,3)&amp;""))-1),TRIM(INDEX(인턴근무계획!$E$3:$J$202,$A67,3)&amp;""))))</f>
        <v/>
      </c>
      <c r="M67" s="19">
        <f>IF($C67="","",IF(TRIM(INDEX(인턴근무계획!$E$3:$J$202,$A67,4)&amp;"")="","",IFERROR(LEFT(TRIM(INDEX(인턴근무계획!$E$3:$J$202,$A67,4)&amp;""),FIND(" ",TRIM(INDEX(인턴근무계획!$E$3:$J$202,$A67,4)&amp;""))-1),TRIM(INDEX(인턴근무계획!$E$3:$J$202,$A67,4)&amp;""))))</f>
        <v/>
      </c>
      <c r="N67" s="19">
        <f>IF($C67="","",IF(TRIM(INDEX(인턴근무계획!$E$3:$J$202,$A67,5)&amp;"")="","",IFERROR(LEFT(TRIM(INDEX(인턴근무계획!$E$3:$J$202,$A67,5)&amp;""),FIND(" ",TRIM(INDEX(인턴근무계획!$E$3:$J$202,$A67,5)&amp;""))-1),TRIM(INDEX(인턴근무계획!$E$3:$J$202,$A67,5)&amp;""))))</f>
        <v/>
      </c>
      <c r="O67" s="19">
        <f>IF($C67="","",IF(TRIM(INDEX(인턴근무계획!$E$3:$J$202,$A67,6)&amp;"")="","",IFERROR(LEFT(TRIM(INDEX(인턴근무계획!$E$3:$J$202,$A67,6)&amp;""),FIND(" ",TRIM(INDEX(인턴근무계획!$E$3:$J$202,$A67,6)&amp;""))-1),TRIM(INDEX(인턴근무계획!$E$3:$J$202,$A67,6)&amp;""))))</f>
        <v/>
      </c>
      <c r="P67" s="19">
        <f>IF($C67="","",IF(INDEX(인턴근무계획!$K$3:$K$202,$A67)="","",INDEX(인턴근무계획!$K$3:$K$202,$A67)))</f>
        <v/>
      </c>
    </row>
    <row r="68">
      <c r="A68" s="18" t="n">
        <v>63</v>
      </c>
      <c r="B68" s="19">
        <f>IF($C68="","",INDEX(인턴근무계획!$B$3:$B$202,$A68))</f>
        <v/>
      </c>
      <c r="C68" s="19">
        <f>IFERROR(TRIM(INDEX(인턴근무계획!$C$3:$C$202,$A68)&amp;""),"")</f>
        <v/>
      </c>
      <c r="D68" s="19">
        <f>IF($C68="","",INDEX(인턴근무계획!$D$3:$D$202,$A68))</f>
        <v/>
      </c>
      <c r="E68" s="19">
        <f>IF($C68="","",IF(IFERROR(MATCH($D68,기본자료!$B$2:$B$501,0),IFERROR(MATCH($D68&amp;"",기본자료!$B$2:$B$501,0),IFERROR(MATCH(VALUE($D68),기본자료!$B$2:$B$501,0),0)))&gt;0,"확인","미등록"))</f>
        <v/>
      </c>
      <c r="F68" s="19">
        <f>IF(OR($C68="",$F$3=""),"",IF(TRIM(INDEX(인턴근무계획!$E$3:$J$202,$A68,$F$3)&amp;"")="","",IFERROR(LEFT(TRIM(INDEX(인턴근무계획!$E$3:$J$202,$A68,$F$3)&amp;""),FIND(" ",TRIM(INDEX(인턴근무계획!$E$3:$J$202,$A68,$F$3)&amp;""))-1),TRIM(INDEX(인턴근무계획!$E$3:$J$202,$A68,$F$3)&amp;""))))</f>
        <v/>
      </c>
      <c r="G68" s="19">
        <f>IF(OR($C68="",$F$3=""),"",IF(TRIM(INDEX(인턴근무계획!$E$3:$J$202,$A68,$F$3)&amp;"")="","",IFERROR(MID(TRIM(INDEX(인턴근무계획!$E$3:$J$202,$A68,$F$3)&amp;""),FIND(" ",TRIM(INDEX(인턴근무계획!$E$3:$J$202,$A68,$F$3)&amp;""))+1,60),"")))</f>
        <v/>
      </c>
      <c r="H68" s="19">
        <f>IF(OR($C68="",$H$3=""),"",IF(TRIM(INDEX(인턴근무계획!$E$3:$J$202,$A68,$H$3)&amp;"")="","",IFERROR(LEFT(TRIM(INDEX(인턴근무계획!$E$3:$J$202,$A68,$H$3)&amp;""),FIND(" ",TRIM(INDEX(인턴근무계획!$E$3:$J$202,$A68,$H$3)&amp;""))-1),TRIM(INDEX(인턴근무계획!$E$3:$J$202,$A68,$H$3)&amp;""))))</f>
        <v/>
      </c>
      <c r="I68" s="19">
        <f>IF(OR($C68="",$H$3=""),"",IF(TRIM(INDEX(인턴근무계획!$E$3:$J$202,$A68,$H$3)&amp;"")="","",IFERROR(MID(TRIM(INDEX(인턴근무계획!$E$3:$J$202,$A68,$H$3)&amp;""),FIND(" ",TRIM(INDEX(인턴근무계획!$E$3:$J$202,$A68,$H$3)&amp;""))+1,60),"")))</f>
        <v/>
      </c>
      <c r="J68" s="19">
        <f>IF($C68="","",IF(TRIM(INDEX(인턴근무계획!$E$3:$J$202,$A68,1)&amp;"")="","",IFERROR(LEFT(TRIM(INDEX(인턴근무계획!$E$3:$J$202,$A68,1)&amp;""),FIND(" ",TRIM(INDEX(인턴근무계획!$E$3:$J$202,$A68,1)&amp;""))-1),TRIM(INDEX(인턴근무계획!$E$3:$J$202,$A68,1)&amp;""))))</f>
        <v/>
      </c>
      <c r="K68" s="19">
        <f>IF($C68="","",IF(TRIM(INDEX(인턴근무계획!$E$3:$J$202,$A68,2)&amp;"")="","",IFERROR(LEFT(TRIM(INDEX(인턴근무계획!$E$3:$J$202,$A68,2)&amp;""),FIND(" ",TRIM(INDEX(인턴근무계획!$E$3:$J$202,$A68,2)&amp;""))-1),TRIM(INDEX(인턴근무계획!$E$3:$J$202,$A68,2)&amp;""))))</f>
        <v/>
      </c>
      <c r="L68" s="19">
        <f>IF($C68="","",IF(TRIM(INDEX(인턴근무계획!$E$3:$J$202,$A68,3)&amp;"")="","",IFERROR(LEFT(TRIM(INDEX(인턴근무계획!$E$3:$J$202,$A68,3)&amp;""),FIND(" ",TRIM(INDEX(인턴근무계획!$E$3:$J$202,$A68,3)&amp;""))-1),TRIM(INDEX(인턴근무계획!$E$3:$J$202,$A68,3)&amp;""))))</f>
        <v/>
      </c>
      <c r="M68" s="19">
        <f>IF($C68="","",IF(TRIM(INDEX(인턴근무계획!$E$3:$J$202,$A68,4)&amp;"")="","",IFERROR(LEFT(TRIM(INDEX(인턴근무계획!$E$3:$J$202,$A68,4)&amp;""),FIND(" ",TRIM(INDEX(인턴근무계획!$E$3:$J$202,$A68,4)&amp;""))-1),TRIM(INDEX(인턴근무계획!$E$3:$J$202,$A68,4)&amp;""))))</f>
        <v/>
      </c>
      <c r="N68" s="19">
        <f>IF($C68="","",IF(TRIM(INDEX(인턴근무계획!$E$3:$J$202,$A68,5)&amp;"")="","",IFERROR(LEFT(TRIM(INDEX(인턴근무계획!$E$3:$J$202,$A68,5)&amp;""),FIND(" ",TRIM(INDEX(인턴근무계획!$E$3:$J$202,$A68,5)&amp;""))-1),TRIM(INDEX(인턴근무계획!$E$3:$J$202,$A68,5)&amp;""))))</f>
        <v/>
      </c>
      <c r="O68" s="19">
        <f>IF($C68="","",IF(TRIM(INDEX(인턴근무계획!$E$3:$J$202,$A68,6)&amp;"")="","",IFERROR(LEFT(TRIM(INDEX(인턴근무계획!$E$3:$J$202,$A68,6)&amp;""),FIND(" ",TRIM(INDEX(인턴근무계획!$E$3:$J$202,$A68,6)&amp;""))-1),TRIM(INDEX(인턴근무계획!$E$3:$J$202,$A68,6)&amp;""))))</f>
        <v/>
      </c>
      <c r="P68" s="19">
        <f>IF($C68="","",IF(INDEX(인턴근무계획!$K$3:$K$202,$A68)="","",INDEX(인턴근무계획!$K$3:$K$202,$A68)))</f>
        <v/>
      </c>
    </row>
    <row r="69">
      <c r="A69" s="18" t="n">
        <v>64</v>
      </c>
      <c r="B69" s="19">
        <f>IF($C69="","",INDEX(인턴근무계획!$B$3:$B$202,$A69))</f>
        <v/>
      </c>
      <c r="C69" s="19">
        <f>IFERROR(TRIM(INDEX(인턴근무계획!$C$3:$C$202,$A69)&amp;""),"")</f>
        <v/>
      </c>
      <c r="D69" s="19">
        <f>IF($C69="","",INDEX(인턴근무계획!$D$3:$D$202,$A69))</f>
        <v/>
      </c>
      <c r="E69" s="19">
        <f>IF($C69="","",IF(IFERROR(MATCH($D69,기본자료!$B$2:$B$501,0),IFERROR(MATCH($D69&amp;"",기본자료!$B$2:$B$501,0),IFERROR(MATCH(VALUE($D69),기본자료!$B$2:$B$501,0),0)))&gt;0,"확인","미등록"))</f>
        <v/>
      </c>
      <c r="F69" s="19">
        <f>IF(OR($C69="",$F$3=""),"",IF(TRIM(INDEX(인턴근무계획!$E$3:$J$202,$A69,$F$3)&amp;"")="","",IFERROR(LEFT(TRIM(INDEX(인턴근무계획!$E$3:$J$202,$A69,$F$3)&amp;""),FIND(" ",TRIM(INDEX(인턴근무계획!$E$3:$J$202,$A69,$F$3)&amp;""))-1),TRIM(INDEX(인턴근무계획!$E$3:$J$202,$A69,$F$3)&amp;""))))</f>
        <v/>
      </c>
      <c r="G69" s="19">
        <f>IF(OR($C69="",$F$3=""),"",IF(TRIM(INDEX(인턴근무계획!$E$3:$J$202,$A69,$F$3)&amp;"")="","",IFERROR(MID(TRIM(INDEX(인턴근무계획!$E$3:$J$202,$A69,$F$3)&amp;""),FIND(" ",TRIM(INDEX(인턴근무계획!$E$3:$J$202,$A69,$F$3)&amp;""))+1,60),"")))</f>
        <v/>
      </c>
      <c r="H69" s="19">
        <f>IF(OR($C69="",$H$3=""),"",IF(TRIM(INDEX(인턴근무계획!$E$3:$J$202,$A69,$H$3)&amp;"")="","",IFERROR(LEFT(TRIM(INDEX(인턴근무계획!$E$3:$J$202,$A69,$H$3)&amp;""),FIND(" ",TRIM(INDEX(인턴근무계획!$E$3:$J$202,$A69,$H$3)&amp;""))-1),TRIM(INDEX(인턴근무계획!$E$3:$J$202,$A69,$H$3)&amp;""))))</f>
        <v/>
      </c>
      <c r="I69" s="19">
        <f>IF(OR($C69="",$H$3=""),"",IF(TRIM(INDEX(인턴근무계획!$E$3:$J$202,$A69,$H$3)&amp;"")="","",IFERROR(MID(TRIM(INDEX(인턴근무계획!$E$3:$J$202,$A69,$H$3)&amp;""),FIND(" ",TRIM(INDEX(인턴근무계획!$E$3:$J$202,$A69,$H$3)&amp;""))+1,60),"")))</f>
        <v/>
      </c>
      <c r="J69" s="19">
        <f>IF($C69="","",IF(TRIM(INDEX(인턴근무계획!$E$3:$J$202,$A69,1)&amp;"")="","",IFERROR(LEFT(TRIM(INDEX(인턴근무계획!$E$3:$J$202,$A69,1)&amp;""),FIND(" ",TRIM(INDEX(인턴근무계획!$E$3:$J$202,$A69,1)&amp;""))-1),TRIM(INDEX(인턴근무계획!$E$3:$J$202,$A69,1)&amp;""))))</f>
        <v/>
      </c>
      <c r="K69" s="19">
        <f>IF($C69="","",IF(TRIM(INDEX(인턴근무계획!$E$3:$J$202,$A69,2)&amp;"")="","",IFERROR(LEFT(TRIM(INDEX(인턴근무계획!$E$3:$J$202,$A69,2)&amp;""),FIND(" ",TRIM(INDEX(인턴근무계획!$E$3:$J$202,$A69,2)&amp;""))-1),TRIM(INDEX(인턴근무계획!$E$3:$J$202,$A69,2)&amp;""))))</f>
        <v/>
      </c>
      <c r="L69" s="19">
        <f>IF($C69="","",IF(TRIM(INDEX(인턴근무계획!$E$3:$J$202,$A69,3)&amp;"")="","",IFERROR(LEFT(TRIM(INDEX(인턴근무계획!$E$3:$J$202,$A69,3)&amp;""),FIND(" ",TRIM(INDEX(인턴근무계획!$E$3:$J$202,$A69,3)&amp;""))-1),TRIM(INDEX(인턴근무계획!$E$3:$J$202,$A69,3)&amp;""))))</f>
        <v/>
      </c>
      <c r="M69" s="19">
        <f>IF($C69="","",IF(TRIM(INDEX(인턴근무계획!$E$3:$J$202,$A69,4)&amp;"")="","",IFERROR(LEFT(TRIM(INDEX(인턴근무계획!$E$3:$J$202,$A69,4)&amp;""),FIND(" ",TRIM(INDEX(인턴근무계획!$E$3:$J$202,$A69,4)&amp;""))-1),TRIM(INDEX(인턴근무계획!$E$3:$J$202,$A69,4)&amp;""))))</f>
        <v/>
      </c>
      <c r="N69" s="19">
        <f>IF($C69="","",IF(TRIM(INDEX(인턴근무계획!$E$3:$J$202,$A69,5)&amp;"")="","",IFERROR(LEFT(TRIM(INDEX(인턴근무계획!$E$3:$J$202,$A69,5)&amp;""),FIND(" ",TRIM(INDEX(인턴근무계획!$E$3:$J$202,$A69,5)&amp;""))-1),TRIM(INDEX(인턴근무계획!$E$3:$J$202,$A69,5)&amp;""))))</f>
        <v/>
      </c>
      <c r="O69" s="19">
        <f>IF($C69="","",IF(TRIM(INDEX(인턴근무계획!$E$3:$J$202,$A69,6)&amp;"")="","",IFERROR(LEFT(TRIM(INDEX(인턴근무계획!$E$3:$J$202,$A69,6)&amp;""),FIND(" ",TRIM(INDEX(인턴근무계획!$E$3:$J$202,$A69,6)&amp;""))-1),TRIM(INDEX(인턴근무계획!$E$3:$J$202,$A69,6)&amp;""))))</f>
        <v/>
      </c>
      <c r="P69" s="19">
        <f>IF($C69="","",IF(INDEX(인턴근무계획!$K$3:$K$202,$A69)="","",INDEX(인턴근무계획!$K$3:$K$202,$A69)))</f>
        <v/>
      </c>
    </row>
    <row r="70">
      <c r="A70" s="18" t="n">
        <v>65</v>
      </c>
      <c r="B70" s="19">
        <f>IF($C70="","",INDEX(인턴근무계획!$B$3:$B$202,$A70))</f>
        <v/>
      </c>
      <c r="C70" s="19">
        <f>IFERROR(TRIM(INDEX(인턴근무계획!$C$3:$C$202,$A70)&amp;""),"")</f>
        <v/>
      </c>
      <c r="D70" s="19">
        <f>IF($C70="","",INDEX(인턴근무계획!$D$3:$D$202,$A70))</f>
        <v/>
      </c>
      <c r="E70" s="19">
        <f>IF($C70="","",IF(IFERROR(MATCH($D70,기본자료!$B$2:$B$501,0),IFERROR(MATCH($D70&amp;"",기본자료!$B$2:$B$501,0),IFERROR(MATCH(VALUE($D70),기본자료!$B$2:$B$501,0),0)))&gt;0,"확인","미등록"))</f>
        <v/>
      </c>
      <c r="F70" s="19">
        <f>IF(OR($C70="",$F$3=""),"",IF(TRIM(INDEX(인턴근무계획!$E$3:$J$202,$A70,$F$3)&amp;"")="","",IFERROR(LEFT(TRIM(INDEX(인턴근무계획!$E$3:$J$202,$A70,$F$3)&amp;""),FIND(" ",TRIM(INDEX(인턴근무계획!$E$3:$J$202,$A70,$F$3)&amp;""))-1),TRIM(INDEX(인턴근무계획!$E$3:$J$202,$A70,$F$3)&amp;""))))</f>
        <v/>
      </c>
      <c r="G70" s="19">
        <f>IF(OR($C70="",$F$3=""),"",IF(TRIM(INDEX(인턴근무계획!$E$3:$J$202,$A70,$F$3)&amp;"")="","",IFERROR(MID(TRIM(INDEX(인턴근무계획!$E$3:$J$202,$A70,$F$3)&amp;""),FIND(" ",TRIM(INDEX(인턴근무계획!$E$3:$J$202,$A70,$F$3)&amp;""))+1,60),"")))</f>
        <v/>
      </c>
      <c r="H70" s="19">
        <f>IF(OR($C70="",$H$3=""),"",IF(TRIM(INDEX(인턴근무계획!$E$3:$J$202,$A70,$H$3)&amp;"")="","",IFERROR(LEFT(TRIM(INDEX(인턴근무계획!$E$3:$J$202,$A70,$H$3)&amp;""),FIND(" ",TRIM(INDEX(인턴근무계획!$E$3:$J$202,$A70,$H$3)&amp;""))-1),TRIM(INDEX(인턴근무계획!$E$3:$J$202,$A70,$H$3)&amp;""))))</f>
        <v/>
      </c>
      <c r="I70" s="19">
        <f>IF(OR($C70="",$H$3=""),"",IF(TRIM(INDEX(인턴근무계획!$E$3:$J$202,$A70,$H$3)&amp;"")="","",IFERROR(MID(TRIM(INDEX(인턴근무계획!$E$3:$J$202,$A70,$H$3)&amp;""),FIND(" ",TRIM(INDEX(인턴근무계획!$E$3:$J$202,$A70,$H$3)&amp;""))+1,60),"")))</f>
        <v/>
      </c>
      <c r="J70" s="19">
        <f>IF($C70="","",IF(TRIM(INDEX(인턴근무계획!$E$3:$J$202,$A70,1)&amp;"")="","",IFERROR(LEFT(TRIM(INDEX(인턴근무계획!$E$3:$J$202,$A70,1)&amp;""),FIND(" ",TRIM(INDEX(인턴근무계획!$E$3:$J$202,$A70,1)&amp;""))-1),TRIM(INDEX(인턴근무계획!$E$3:$J$202,$A70,1)&amp;""))))</f>
        <v/>
      </c>
      <c r="K70" s="19">
        <f>IF($C70="","",IF(TRIM(INDEX(인턴근무계획!$E$3:$J$202,$A70,2)&amp;"")="","",IFERROR(LEFT(TRIM(INDEX(인턴근무계획!$E$3:$J$202,$A70,2)&amp;""),FIND(" ",TRIM(INDEX(인턴근무계획!$E$3:$J$202,$A70,2)&amp;""))-1),TRIM(INDEX(인턴근무계획!$E$3:$J$202,$A70,2)&amp;""))))</f>
        <v/>
      </c>
      <c r="L70" s="19">
        <f>IF($C70="","",IF(TRIM(INDEX(인턴근무계획!$E$3:$J$202,$A70,3)&amp;"")="","",IFERROR(LEFT(TRIM(INDEX(인턴근무계획!$E$3:$J$202,$A70,3)&amp;""),FIND(" ",TRIM(INDEX(인턴근무계획!$E$3:$J$202,$A70,3)&amp;""))-1),TRIM(INDEX(인턴근무계획!$E$3:$J$202,$A70,3)&amp;""))))</f>
        <v/>
      </c>
      <c r="M70" s="19">
        <f>IF($C70="","",IF(TRIM(INDEX(인턴근무계획!$E$3:$J$202,$A70,4)&amp;"")="","",IFERROR(LEFT(TRIM(INDEX(인턴근무계획!$E$3:$J$202,$A70,4)&amp;""),FIND(" ",TRIM(INDEX(인턴근무계획!$E$3:$J$202,$A70,4)&amp;""))-1),TRIM(INDEX(인턴근무계획!$E$3:$J$202,$A70,4)&amp;""))))</f>
        <v/>
      </c>
      <c r="N70" s="19">
        <f>IF($C70="","",IF(TRIM(INDEX(인턴근무계획!$E$3:$J$202,$A70,5)&amp;"")="","",IFERROR(LEFT(TRIM(INDEX(인턴근무계획!$E$3:$J$202,$A70,5)&amp;""),FIND(" ",TRIM(INDEX(인턴근무계획!$E$3:$J$202,$A70,5)&amp;""))-1),TRIM(INDEX(인턴근무계획!$E$3:$J$202,$A70,5)&amp;""))))</f>
        <v/>
      </c>
      <c r="O70" s="19">
        <f>IF($C70="","",IF(TRIM(INDEX(인턴근무계획!$E$3:$J$202,$A70,6)&amp;"")="","",IFERROR(LEFT(TRIM(INDEX(인턴근무계획!$E$3:$J$202,$A70,6)&amp;""),FIND(" ",TRIM(INDEX(인턴근무계획!$E$3:$J$202,$A70,6)&amp;""))-1),TRIM(INDEX(인턴근무계획!$E$3:$J$202,$A70,6)&amp;""))))</f>
        <v/>
      </c>
      <c r="P70" s="19">
        <f>IF($C70="","",IF(INDEX(인턴근무계획!$K$3:$K$202,$A70)="","",INDEX(인턴근무계획!$K$3:$K$202,$A70)))</f>
        <v/>
      </c>
    </row>
    <row r="71">
      <c r="A71" s="18" t="n">
        <v>66</v>
      </c>
      <c r="B71" s="19">
        <f>IF($C71="","",INDEX(인턴근무계획!$B$3:$B$202,$A71))</f>
        <v/>
      </c>
      <c r="C71" s="19">
        <f>IFERROR(TRIM(INDEX(인턴근무계획!$C$3:$C$202,$A71)&amp;""),"")</f>
        <v/>
      </c>
      <c r="D71" s="19">
        <f>IF($C71="","",INDEX(인턴근무계획!$D$3:$D$202,$A71))</f>
        <v/>
      </c>
      <c r="E71" s="19">
        <f>IF($C71="","",IF(IFERROR(MATCH($D71,기본자료!$B$2:$B$501,0),IFERROR(MATCH($D71&amp;"",기본자료!$B$2:$B$501,0),IFERROR(MATCH(VALUE($D71),기본자료!$B$2:$B$501,0),0)))&gt;0,"확인","미등록"))</f>
        <v/>
      </c>
      <c r="F71" s="19">
        <f>IF(OR($C71="",$F$3=""),"",IF(TRIM(INDEX(인턴근무계획!$E$3:$J$202,$A71,$F$3)&amp;"")="","",IFERROR(LEFT(TRIM(INDEX(인턴근무계획!$E$3:$J$202,$A71,$F$3)&amp;""),FIND(" ",TRIM(INDEX(인턴근무계획!$E$3:$J$202,$A71,$F$3)&amp;""))-1),TRIM(INDEX(인턴근무계획!$E$3:$J$202,$A71,$F$3)&amp;""))))</f>
        <v/>
      </c>
      <c r="G71" s="19">
        <f>IF(OR($C71="",$F$3=""),"",IF(TRIM(INDEX(인턴근무계획!$E$3:$J$202,$A71,$F$3)&amp;"")="","",IFERROR(MID(TRIM(INDEX(인턴근무계획!$E$3:$J$202,$A71,$F$3)&amp;""),FIND(" ",TRIM(INDEX(인턴근무계획!$E$3:$J$202,$A71,$F$3)&amp;""))+1,60),"")))</f>
        <v/>
      </c>
      <c r="H71" s="19">
        <f>IF(OR($C71="",$H$3=""),"",IF(TRIM(INDEX(인턴근무계획!$E$3:$J$202,$A71,$H$3)&amp;"")="","",IFERROR(LEFT(TRIM(INDEX(인턴근무계획!$E$3:$J$202,$A71,$H$3)&amp;""),FIND(" ",TRIM(INDEX(인턴근무계획!$E$3:$J$202,$A71,$H$3)&amp;""))-1),TRIM(INDEX(인턴근무계획!$E$3:$J$202,$A71,$H$3)&amp;""))))</f>
        <v/>
      </c>
      <c r="I71" s="19">
        <f>IF(OR($C71="",$H$3=""),"",IF(TRIM(INDEX(인턴근무계획!$E$3:$J$202,$A71,$H$3)&amp;"")="","",IFERROR(MID(TRIM(INDEX(인턴근무계획!$E$3:$J$202,$A71,$H$3)&amp;""),FIND(" ",TRIM(INDEX(인턴근무계획!$E$3:$J$202,$A71,$H$3)&amp;""))+1,60),"")))</f>
        <v/>
      </c>
      <c r="J71" s="19">
        <f>IF($C71="","",IF(TRIM(INDEX(인턴근무계획!$E$3:$J$202,$A71,1)&amp;"")="","",IFERROR(LEFT(TRIM(INDEX(인턴근무계획!$E$3:$J$202,$A71,1)&amp;""),FIND(" ",TRIM(INDEX(인턴근무계획!$E$3:$J$202,$A71,1)&amp;""))-1),TRIM(INDEX(인턴근무계획!$E$3:$J$202,$A71,1)&amp;""))))</f>
        <v/>
      </c>
      <c r="K71" s="19">
        <f>IF($C71="","",IF(TRIM(INDEX(인턴근무계획!$E$3:$J$202,$A71,2)&amp;"")="","",IFERROR(LEFT(TRIM(INDEX(인턴근무계획!$E$3:$J$202,$A71,2)&amp;""),FIND(" ",TRIM(INDEX(인턴근무계획!$E$3:$J$202,$A71,2)&amp;""))-1),TRIM(INDEX(인턴근무계획!$E$3:$J$202,$A71,2)&amp;""))))</f>
        <v/>
      </c>
      <c r="L71" s="19">
        <f>IF($C71="","",IF(TRIM(INDEX(인턴근무계획!$E$3:$J$202,$A71,3)&amp;"")="","",IFERROR(LEFT(TRIM(INDEX(인턴근무계획!$E$3:$J$202,$A71,3)&amp;""),FIND(" ",TRIM(INDEX(인턴근무계획!$E$3:$J$202,$A71,3)&amp;""))-1),TRIM(INDEX(인턴근무계획!$E$3:$J$202,$A71,3)&amp;""))))</f>
        <v/>
      </c>
      <c r="M71" s="19">
        <f>IF($C71="","",IF(TRIM(INDEX(인턴근무계획!$E$3:$J$202,$A71,4)&amp;"")="","",IFERROR(LEFT(TRIM(INDEX(인턴근무계획!$E$3:$J$202,$A71,4)&amp;""),FIND(" ",TRIM(INDEX(인턴근무계획!$E$3:$J$202,$A71,4)&amp;""))-1),TRIM(INDEX(인턴근무계획!$E$3:$J$202,$A71,4)&amp;""))))</f>
        <v/>
      </c>
      <c r="N71" s="19">
        <f>IF($C71="","",IF(TRIM(INDEX(인턴근무계획!$E$3:$J$202,$A71,5)&amp;"")="","",IFERROR(LEFT(TRIM(INDEX(인턴근무계획!$E$3:$J$202,$A71,5)&amp;""),FIND(" ",TRIM(INDEX(인턴근무계획!$E$3:$J$202,$A71,5)&amp;""))-1),TRIM(INDEX(인턴근무계획!$E$3:$J$202,$A71,5)&amp;""))))</f>
        <v/>
      </c>
      <c r="O71" s="19">
        <f>IF($C71="","",IF(TRIM(INDEX(인턴근무계획!$E$3:$J$202,$A71,6)&amp;"")="","",IFERROR(LEFT(TRIM(INDEX(인턴근무계획!$E$3:$J$202,$A71,6)&amp;""),FIND(" ",TRIM(INDEX(인턴근무계획!$E$3:$J$202,$A71,6)&amp;""))-1),TRIM(INDEX(인턴근무계획!$E$3:$J$202,$A71,6)&amp;""))))</f>
        <v/>
      </c>
      <c r="P71" s="19">
        <f>IF($C71="","",IF(INDEX(인턴근무계획!$K$3:$K$202,$A71)="","",INDEX(인턴근무계획!$K$3:$K$202,$A71)))</f>
        <v/>
      </c>
    </row>
    <row r="72">
      <c r="A72" s="18" t="n">
        <v>67</v>
      </c>
      <c r="B72" s="19">
        <f>IF($C72="","",INDEX(인턴근무계획!$B$3:$B$202,$A72))</f>
        <v/>
      </c>
      <c r="C72" s="19">
        <f>IFERROR(TRIM(INDEX(인턴근무계획!$C$3:$C$202,$A72)&amp;""),"")</f>
        <v/>
      </c>
      <c r="D72" s="19">
        <f>IF($C72="","",INDEX(인턴근무계획!$D$3:$D$202,$A72))</f>
        <v/>
      </c>
      <c r="E72" s="19">
        <f>IF($C72="","",IF(IFERROR(MATCH($D72,기본자료!$B$2:$B$501,0),IFERROR(MATCH($D72&amp;"",기본자료!$B$2:$B$501,0),IFERROR(MATCH(VALUE($D72),기본자료!$B$2:$B$501,0),0)))&gt;0,"확인","미등록"))</f>
        <v/>
      </c>
      <c r="F72" s="19">
        <f>IF(OR($C72="",$F$3=""),"",IF(TRIM(INDEX(인턴근무계획!$E$3:$J$202,$A72,$F$3)&amp;"")="","",IFERROR(LEFT(TRIM(INDEX(인턴근무계획!$E$3:$J$202,$A72,$F$3)&amp;""),FIND(" ",TRIM(INDEX(인턴근무계획!$E$3:$J$202,$A72,$F$3)&amp;""))-1),TRIM(INDEX(인턴근무계획!$E$3:$J$202,$A72,$F$3)&amp;""))))</f>
        <v/>
      </c>
      <c r="G72" s="19">
        <f>IF(OR($C72="",$F$3=""),"",IF(TRIM(INDEX(인턴근무계획!$E$3:$J$202,$A72,$F$3)&amp;"")="","",IFERROR(MID(TRIM(INDEX(인턴근무계획!$E$3:$J$202,$A72,$F$3)&amp;""),FIND(" ",TRIM(INDEX(인턴근무계획!$E$3:$J$202,$A72,$F$3)&amp;""))+1,60),"")))</f>
        <v/>
      </c>
      <c r="H72" s="19">
        <f>IF(OR($C72="",$H$3=""),"",IF(TRIM(INDEX(인턴근무계획!$E$3:$J$202,$A72,$H$3)&amp;"")="","",IFERROR(LEFT(TRIM(INDEX(인턴근무계획!$E$3:$J$202,$A72,$H$3)&amp;""),FIND(" ",TRIM(INDEX(인턴근무계획!$E$3:$J$202,$A72,$H$3)&amp;""))-1),TRIM(INDEX(인턴근무계획!$E$3:$J$202,$A72,$H$3)&amp;""))))</f>
        <v/>
      </c>
      <c r="I72" s="19">
        <f>IF(OR($C72="",$H$3=""),"",IF(TRIM(INDEX(인턴근무계획!$E$3:$J$202,$A72,$H$3)&amp;"")="","",IFERROR(MID(TRIM(INDEX(인턴근무계획!$E$3:$J$202,$A72,$H$3)&amp;""),FIND(" ",TRIM(INDEX(인턴근무계획!$E$3:$J$202,$A72,$H$3)&amp;""))+1,60),"")))</f>
        <v/>
      </c>
      <c r="J72" s="19">
        <f>IF($C72="","",IF(TRIM(INDEX(인턴근무계획!$E$3:$J$202,$A72,1)&amp;"")="","",IFERROR(LEFT(TRIM(INDEX(인턴근무계획!$E$3:$J$202,$A72,1)&amp;""),FIND(" ",TRIM(INDEX(인턴근무계획!$E$3:$J$202,$A72,1)&amp;""))-1),TRIM(INDEX(인턴근무계획!$E$3:$J$202,$A72,1)&amp;""))))</f>
        <v/>
      </c>
      <c r="K72" s="19">
        <f>IF($C72="","",IF(TRIM(INDEX(인턴근무계획!$E$3:$J$202,$A72,2)&amp;"")="","",IFERROR(LEFT(TRIM(INDEX(인턴근무계획!$E$3:$J$202,$A72,2)&amp;""),FIND(" ",TRIM(INDEX(인턴근무계획!$E$3:$J$202,$A72,2)&amp;""))-1),TRIM(INDEX(인턴근무계획!$E$3:$J$202,$A72,2)&amp;""))))</f>
        <v/>
      </c>
      <c r="L72" s="19">
        <f>IF($C72="","",IF(TRIM(INDEX(인턴근무계획!$E$3:$J$202,$A72,3)&amp;"")="","",IFERROR(LEFT(TRIM(INDEX(인턴근무계획!$E$3:$J$202,$A72,3)&amp;""),FIND(" ",TRIM(INDEX(인턴근무계획!$E$3:$J$202,$A72,3)&amp;""))-1),TRIM(INDEX(인턴근무계획!$E$3:$J$202,$A72,3)&amp;""))))</f>
        <v/>
      </c>
      <c r="M72" s="19">
        <f>IF($C72="","",IF(TRIM(INDEX(인턴근무계획!$E$3:$J$202,$A72,4)&amp;"")="","",IFERROR(LEFT(TRIM(INDEX(인턴근무계획!$E$3:$J$202,$A72,4)&amp;""),FIND(" ",TRIM(INDEX(인턴근무계획!$E$3:$J$202,$A72,4)&amp;""))-1),TRIM(INDEX(인턴근무계획!$E$3:$J$202,$A72,4)&amp;""))))</f>
        <v/>
      </c>
      <c r="N72" s="19">
        <f>IF($C72="","",IF(TRIM(INDEX(인턴근무계획!$E$3:$J$202,$A72,5)&amp;"")="","",IFERROR(LEFT(TRIM(INDEX(인턴근무계획!$E$3:$J$202,$A72,5)&amp;""),FIND(" ",TRIM(INDEX(인턴근무계획!$E$3:$J$202,$A72,5)&amp;""))-1),TRIM(INDEX(인턴근무계획!$E$3:$J$202,$A72,5)&amp;""))))</f>
        <v/>
      </c>
      <c r="O72" s="19">
        <f>IF($C72="","",IF(TRIM(INDEX(인턴근무계획!$E$3:$J$202,$A72,6)&amp;"")="","",IFERROR(LEFT(TRIM(INDEX(인턴근무계획!$E$3:$J$202,$A72,6)&amp;""),FIND(" ",TRIM(INDEX(인턴근무계획!$E$3:$J$202,$A72,6)&amp;""))-1),TRIM(INDEX(인턴근무계획!$E$3:$J$202,$A72,6)&amp;""))))</f>
        <v/>
      </c>
      <c r="P72" s="19">
        <f>IF($C72="","",IF(INDEX(인턴근무계획!$K$3:$K$202,$A72)="","",INDEX(인턴근무계획!$K$3:$K$202,$A72)))</f>
        <v/>
      </c>
    </row>
    <row r="73">
      <c r="A73" s="18" t="n">
        <v>68</v>
      </c>
      <c r="B73" s="19">
        <f>IF($C73="","",INDEX(인턴근무계획!$B$3:$B$202,$A73))</f>
        <v/>
      </c>
      <c r="C73" s="19">
        <f>IFERROR(TRIM(INDEX(인턴근무계획!$C$3:$C$202,$A73)&amp;""),"")</f>
        <v/>
      </c>
      <c r="D73" s="19">
        <f>IF($C73="","",INDEX(인턴근무계획!$D$3:$D$202,$A73))</f>
        <v/>
      </c>
      <c r="E73" s="19">
        <f>IF($C73="","",IF(IFERROR(MATCH($D73,기본자료!$B$2:$B$501,0),IFERROR(MATCH($D73&amp;"",기본자료!$B$2:$B$501,0),IFERROR(MATCH(VALUE($D73),기본자료!$B$2:$B$501,0),0)))&gt;0,"확인","미등록"))</f>
        <v/>
      </c>
      <c r="F73" s="19">
        <f>IF(OR($C73="",$F$3=""),"",IF(TRIM(INDEX(인턴근무계획!$E$3:$J$202,$A73,$F$3)&amp;"")="","",IFERROR(LEFT(TRIM(INDEX(인턴근무계획!$E$3:$J$202,$A73,$F$3)&amp;""),FIND(" ",TRIM(INDEX(인턴근무계획!$E$3:$J$202,$A73,$F$3)&amp;""))-1),TRIM(INDEX(인턴근무계획!$E$3:$J$202,$A73,$F$3)&amp;""))))</f>
        <v/>
      </c>
      <c r="G73" s="19">
        <f>IF(OR($C73="",$F$3=""),"",IF(TRIM(INDEX(인턴근무계획!$E$3:$J$202,$A73,$F$3)&amp;"")="","",IFERROR(MID(TRIM(INDEX(인턴근무계획!$E$3:$J$202,$A73,$F$3)&amp;""),FIND(" ",TRIM(INDEX(인턴근무계획!$E$3:$J$202,$A73,$F$3)&amp;""))+1,60),"")))</f>
        <v/>
      </c>
      <c r="H73" s="19">
        <f>IF(OR($C73="",$H$3=""),"",IF(TRIM(INDEX(인턴근무계획!$E$3:$J$202,$A73,$H$3)&amp;"")="","",IFERROR(LEFT(TRIM(INDEX(인턴근무계획!$E$3:$J$202,$A73,$H$3)&amp;""),FIND(" ",TRIM(INDEX(인턴근무계획!$E$3:$J$202,$A73,$H$3)&amp;""))-1),TRIM(INDEX(인턴근무계획!$E$3:$J$202,$A73,$H$3)&amp;""))))</f>
        <v/>
      </c>
      <c r="I73" s="19">
        <f>IF(OR($C73="",$H$3=""),"",IF(TRIM(INDEX(인턴근무계획!$E$3:$J$202,$A73,$H$3)&amp;"")="","",IFERROR(MID(TRIM(INDEX(인턴근무계획!$E$3:$J$202,$A73,$H$3)&amp;""),FIND(" ",TRIM(INDEX(인턴근무계획!$E$3:$J$202,$A73,$H$3)&amp;""))+1,60),"")))</f>
        <v/>
      </c>
      <c r="J73" s="19">
        <f>IF($C73="","",IF(TRIM(INDEX(인턴근무계획!$E$3:$J$202,$A73,1)&amp;"")="","",IFERROR(LEFT(TRIM(INDEX(인턴근무계획!$E$3:$J$202,$A73,1)&amp;""),FIND(" ",TRIM(INDEX(인턴근무계획!$E$3:$J$202,$A73,1)&amp;""))-1),TRIM(INDEX(인턴근무계획!$E$3:$J$202,$A73,1)&amp;""))))</f>
        <v/>
      </c>
      <c r="K73" s="19">
        <f>IF($C73="","",IF(TRIM(INDEX(인턴근무계획!$E$3:$J$202,$A73,2)&amp;"")="","",IFERROR(LEFT(TRIM(INDEX(인턴근무계획!$E$3:$J$202,$A73,2)&amp;""),FIND(" ",TRIM(INDEX(인턴근무계획!$E$3:$J$202,$A73,2)&amp;""))-1),TRIM(INDEX(인턴근무계획!$E$3:$J$202,$A73,2)&amp;""))))</f>
        <v/>
      </c>
      <c r="L73" s="19">
        <f>IF($C73="","",IF(TRIM(INDEX(인턴근무계획!$E$3:$J$202,$A73,3)&amp;"")="","",IFERROR(LEFT(TRIM(INDEX(인턴근무계획!$E$3:$J$202,$A73,3)&amp;""),FIND(" ",TRIM(INDEX(인턴근무계획!$E$3:$J$202,$A73,3)&amp;""))-1),TRIM(INDEX(인턴근무계획!$E$3:$J$202,$A73,3)&amp;""))))</f>
        <v/>
      </c>
      <c r="M73" s="19">
        <f>IF($C73="","",IF(TRIM(INDEX(인턴근무계획!$E$3:$J$202,$A73,4)&amp;"")="","",IFERROR(LEFT(TRIM(INDEX(인턴근무계획!$E$3:$J$202,$A73,4)&amp;""),FIND(" ",TRIM(INDEX(인턴근무계획!$E$3:$J$202,$A73,4)&amp;""))-1),TRIM(INDEX(인턴근무계획!$E$3:$J$202,$A73,4)&amp;""))))</f>
        <v/>
      </c>
      <c r="N73" s="19">
        <f>IF($C73="","",IF(TRIM(INDEX(인턴근무계획!$E$3:$J$202,$A73,5)&amp;"")="","",IFERROR(LEFT(TRIM(INDEX(인턴근무계획!$E$3:$J$202,$A73,5)&amp;""),FIND(" ",TRIM(INDEX(인턴근무계획!$E$3:$J$202,$A73,5)&amp;""))-1),TRIM(INDEX(인턴근무계획!$E$3:$J$202,$A73,5)&amp;""))))</f>
        <v/>
      </c>
      <c r="O73" s="19">
        <f>IF($C73="","",IF(TRIM(INDEX(인턴근무계획!$E$3:$J$202,$A73,6)&amp;"")="","",IFERROR(LEFT(TRIM(INDEX(인턴근무계획!$E$3:$J$202,$A73,6)&amp;""),FIND(" ",TRIM(INDEX(인턴근무계획!$E$3:$J$202,$A73,6)&amp;""))-1),TRIM(INDEX(인턴근무계획!$E$3:$J$202,$A73,6)&amp;""))))</f>
        <v/>
      </c>
      <c r="P73" s="19">
        <f>IF($C73="","",IF(INDEX(인턴근무계획!$K$3:$K$202,$A73)="","",INDEX(인턴근무계획!$K$3:$K$202,$A73)))</f>
        <v/>
      </c>
    </row>
    <row r="74">
      <c r="A74" s="18" t="n">
        <v>69</v>
      </c>
      <c r="B74" s="19">
        <f>IF($C74="","",INDEX(인턴근무계획!$B$3:$B$202,$A74))</f>
        <v/>
      </c>
      <c r="C74" s="19">
        <f>IFERROR(TRIM(INDEX(인턴근무계획!$C$3:$C$202,$A74)&amp;""),"")</f>
        <v/>
      </c>
      <c r="D74" s="19">
        <f>IF($C74="","",INDEX(인턴근무계획!$D$3:$D$202,$A74))</f>
        <v/>
      </c>
      <c r="E74" s="19">
        <f>IF($C74="","",IF(IFERROR(MATCH($D74,기본자료!$B$2:$B$501,0),IFERROR(MATCH($D74&amp;"",기본자료!$B$2:$B$501,0),IFERROR(MATCH(VALUE($D74),기본자료!$B$2:$B$501,0),0)))&gt;0,"확인","미등록"))</f>
        <v/>
      </c>
      <c r="F74" s="19">
        <f>IF(OR($C74="",$F$3=""),"",IF(TRIM(INDEX(인턴근무계획!$E$3:$J$202,$A74,$F$3)&amp;"")="","",IFERROR(LEFT(TRIM(INDEX(인턴근무계획!$E$3:$J$202,$A74,$F$3)&amp;""),FIND(" ",TRIM(INDEX(인턴근무계획!$E$3:$J$202,$A74,$F$3)&amp;""))-1),TRIM(INDEX(인턴근무계획!$E$3:$J$202,$A74,$F$3)&amp;""))))</f>
        <v/>
      </c>
      <c r="G74" s="19">
        <f>IF(OR($C74="",$F$3=""),"",IF(TRIM(INDEX(인턴근무계획!$E$3:$J$202,$A74,$F$3)&amp;"")="","",IFERROR(MID(TRIM(INDEX(인턴근무계획!$E$3:$J$202,$A74,$F$3)&amp;""),FIND(" ",TRIM(INDEX(인턴근무계획!$E$3:$J$202,$A74,$F$3)&amp;""))+1,60),"")))</f>
        <v/>
      </c>
      <c r="H74" s="19">
        <f>IF(OR($C74="",$H$3=""),"",IF(TRIM(INDEX(인턴근무계획!$E$3:$J$202,$A74,$H$3)&amp;"")="","",IFERROR(LEFT(TRIM(INDEX(인턴근무계획!$E$3:$J$202,$A74,$H$3)&amp;""),FIND(" ",TRIM(INDEX(인턴근무계획!$E$3:$J$202,$A74,$H$3)&amp;""))-1),TRIM(INDEX(인턴근무계획!$E$3:$J$202,$A74,$H$3)&amp;""))))</f>
        <v/>
      </c>
      <c r="I74" s="19">
        <f>IF(OR($C74="",$H$3=""),"",IF(TRIM(INDEX(인턴근무계획!$E$3:$J$202,$A74,$H$3)&amp;"")="","",IFERROR(MID(TRIM(INDEX(인턴근무계획!$E$3:$J$202,$A74,$H$3)&amp;""),FIND(" ",TRIM(INDEX(인턴근무계획!$E$3:$J$202,$A74,$H$3)&amp;""))+1,60),"")))</f>
        <v/>
      </c>
      <c r="J74" s="19">
        <f>IF($C74="","",IF(TRIM(INDEX(인턴근무계획!$E$3:$J$202,$A74,1)&amp;"")="","",IFERROR(LEFT(TRIM(INDEX(인턴근무계획!$E$3:$J$202,$A74,1)&amp;""),FIND(" ",TRIM(INDEX(인턴근무계획!$E$3:$J$202,$A74,1)&amp;""))-1),TRIM(INDEX(인턴근무계획!$E$3:$J$202,$A74,1)&amp;""))))</f>
        <v/>
      </c>
      <c r="K74" s="19">
        <f>IF($C74="","",IF(TRIM(INDEX(인턴근무계획!$E$3:$J$202,$A74,2)&amp;"")="","",IFERROR(LEFT(TRIM(INDEX(인턴근무계획!$E$3:$J$202,$A74,2)&amp;""),FIND(" ",TRIM(INDEX(인턴근무계획!$E$3:$J$202,$A74,2)&amp;""))-1),TRIM(INDEX(인턴근무계획!$E$3:$J$202,$A74,2)&amp;""))))</f>
        <v/>
      </c>
      <c r="L74" s="19">
        <f>IF($C74="","",IF(TRIM(INDEX(인턴근무계획!$E$3:$J$202,$A74,3)&amp;"")="","",IFERROR(LEFT(TRIM(INDEX(인턴근무계획!$E$3:$J$202,$A74,3)&amp;""),FIND(" ",TRIM(INDEX(인턴근무계획!$E$3:$J$202,$A74,3)&amp;""))-1),TRIM(INDEX(인턴근무계획!$E$3:$J$202,$A74,3)&amp;""))))</f>
        <v/>
      </c>
      <c r="M74" s="19">
        <f>IF($C74="","",IF(TRIM(INDEX(인턴근무계획!$E$3:$J$202,$A74,4)&amp;"")="","",IFERROR(LEFT(TRIM(INDEX(인턴근무계획!$E$3:$J$202,$A74,4)&amp;""),FIND(" ",TRIM(INDEX(인턴근무계획!$E$3:$J$202,$A74,4)&amp;""))-1),TRIM(INDEX(인턴근무계획!$E$3:$J$202,$A74,4)&amp;""))))</f>
        <v/>
      </c>
      <c r="N74" s="19">
        <f>IF($C74="","",IF(TRIM(INDEX(인턴근무계획!$E$3:$J$202,$A74,5)&amp;"")="","",IFERROR(LEFT(TRIM(INDEX(인턴근무계획!$E$3:$J$202,$A74,5)&amp;""),FIND(" ",TRIM(INDEX(인턴근무계획!$E$3:$J$202,$A74,5)&amp;""))-1),TRIM(INDEX(인턴근무계획!$E$3:$J$202,$A74,5)&amp;""))))</f>
        <v/>
      </c>
      <c r="O74" s="19">
        <f>IF($C74="","",IF(TRIM(INDEX(인턴근무계획!$E$3:$J$202,$A74,6)&amp;"")="","",IFERROR(LEFT(TRIM(INDEX(인턴근무계획!$E$3:$J$202,$A74,6)&amp;""),FIND(" ",TRIM(INDEX(인턴근무계획!$E$3:$J$202,$A74,6)&amp;""))-1),TRIM(INDEX(인턴근무계획!$E$3:$J$202,$A74,6)&amp;""))))</f>
        <v/>
      </c>
      <c r="P74" s="19">
        <f>IF($C74="","",IF(INDEX(인턴근무계획!$K$3:$K$202,$A74)="","",INDEX(인턴근무계획!$K$3:$K$202,$A74)))</f>
        <v/>
      </c>
    </row>
    <row r="75">
      <c r="A75" s="18" t="n">
        <v>70</v>
      </c>
      <c r="B75" s="19">
        <f>IF($C75="","",INDEX(인턴근무계획!$B$3:$B$202,$A75))</f>
        <v/>
      </c>
      <c r="C75" s="19">
        <f>IFERROR(TRIM(INDEX(인턴근무계획!$C$3:$C$202,$A75)&amp;""),"")</f>
        <v/>
      </c>
      <c r="D75" s="19">
        <f>IF($C75="","",INDEX(인턴근무계획!$D$3:$D$202,$A75))</f>
        <v/>
      </c>
      <c r="E75" s="19">
        <f>IF($C75="","",IF(IFERROR(MATCH($D75,기본자료!$B$2:$B$501,0),IFERROR(MATCH($D75&amp;"",기본자료!$B$2:$B$501,0),IFERROR(MATCH(VALUE($D75),기본자료!$B$2:$B$501,0),0)))&gt;0,"확인","미등록"))</f>
        <v/>
      </c>
      <c r="F75" s="19">
        <f>IF(OR($C75="",$F$3=""),"",IF(TRIM(INDEX(인턴근무계획!$E$3:$J$202,$A75,$F$3)&amp;"")="","",IFERROR(LEFT(TRIM(INDEX(인턴근무계획!$E$3:$J$202,$A75,$F$3)&amp;""),FIND(" ",TRIM(INDEX(인턴근무계획!$E$3:$J$202,$A75,$F$3)&amp;""))-1),TRIM(INDEX(인턴근무계획!$E$3:$J$202,$A75,$F$3)&amp;""))))</f>
        <v/>
      </c>
      <c r="G75" s="19">
        <f>IF(OR($C75="",$F$3=""),"",IF(TRIM(INDEX(인턴근무계획!$E$3:$J$202,$A75,$F$3)&amp;"")="","",IFERROR(MID(TRIM(INDEX(인턴근무계획!$E$3:$J$202,$A75,$F$3)&amp;""),FIND(" ",TRIM(INDEX(인턴근무계획!$E$3:$J$202,$A75,$F$3)&amp;""))+1,60),"")))</f>
        <v/>
      </c>
      <c r="H75" s="19">
        <f>IF(OR($C75="",$H$3=""),"",IF(TRIM(INDEX(인턴근무계획!$E$3:$J$202,$A75,$H$3)&amp;"")="","",IFERROR(LEFT(TRIM(INDEX(인턴근무계획!$E$3:$J$202,$A75,$H$3)&amp;""),FIND(" ",TRIM(INDEX(인턴근무계획!$E$3:$J$202,$A75,$H$3)&amp;""))-1),TRIM(INDEX(인턴근무계획!$E$3:$J$202,$A75,$H$3)&amp;""))))</f>
        <v/>
      </c>
      <c r="I75" s="19">
        <f>IF(OR($C75="",$H$3=""),"",IF(TRIM(INDEX(인턴근무계획!$E$3:$J$202,$A75,$H$3)&amp;"")="","",IFERROR(MID(TRIM(INDEX(인턴근무계획!$E$3:$J$202,$A75,$H$3)&amp;""),FIND(" ",TRIM(INDEX(인턴근무계획!$E$3:$J$202,$A75,$H$3)&amp;""))+1,60),"")))</f>
        <v/>
      </c>
      <c r="J75" s="19">
        <f>IF($C75="","",IF(TRIM(INDEX(인턴근무계획!$E$3:$J$202,$A75,1)&amp;"")="","",IFERROR(LEFT(TRIM(INDEX(인턴근무계획!$E$3:$J$202,$A75,1)&amp;""),FIND(" ",TRIM(INDEX(인턴근무계획!$E$3:$J$202,$A75,1)&amp;""))-1),TRIM(INDEX(인턴근무계획!$E$3:$J$202,$A75,1)&amp;""))))</f>
        <v/>
      </c>
      <c r="K75" s="19">
        <f>IF($C75="","",IF(TRIM(INDEX(인턴근무계획!$E$3:$J$202,$A75,2)&amp;"")="","",IFERROR(LEFT(TRIM(INDEX(인턴근무계획!$E$3:$J$202,$A75,2)&amp;""),FIND(" ",TRIM(INDEX(인턴근무계획!$E$3:$J$202,$A75,2)&amp;""))-1),TRIM(INDEX(인턴근무계획!$E$3:$J$202,$A75,2)&amp;""))))</f>
        <v/>
      </c>
      <c r="L75" s="19">
        <f>IF($C75="","",IF(TRIM(INDEX(인턴근무계획!$E$3:$J$202,$A75,3)&amp;"")="","",IFERROR(LEFT(TRIM(INDEX(인턴근무계획!$E$3:$J$202,$A75,3)&amp;""),FIND(" ",TRIM(INDEX(인턴근무계획!$E$3:$J$202,$A75,3)&amp;""))-1),TRIM(INDEX(인턴근무계획!$E$3:$J$202,$A75,3)&amp;""))))</f>
        <v/>
      </c>
      <c r="M75" s="19">
        <f>IF($C75="","",IF(TRIM(INDEX(인턴근무계획!$E$3:$J$202,$A75,4)&amp;"")="","",IFERROR(LEFT(TRIM(INDEX(인턴근무계획!$E$3:$J$202,$A75,4)&amp;""),FIND(" ",TRIM(INDEX(인턴근무계획!$E$3:$J$202,$A75,4)&amp;""))-1),TRIM(INDEX(인턴근무계획!$E$3:$J$202,$A75,4)&amp;""))))</f>
        <v/>
      </c>
      <c r="N75" s="19">
        <f>IF($C75="","",IF(TRIM(INDEX(인턴근무계획!$E$3:$J$202,$A75,5)&amp;"")="","",IFERROR(LEFT(TRIM(INDEX(인턴근무계획!$E$3:$J$202,$A75,5)&amp;""),FIND(" ",TRIM(INDEX(인턴근무계획!$E$3:$J$202,$A75,5)&amp;""))-1),TRIM(INDEX(인턴근무계획!$E$3:$J$202,$A75,5)&amp;""))))</f>
        <v/>
      </c>
      <c r="O75" s="19">
        <f>IF($C75="","",IF(TRIM(INDEX(인턴근무계획!$E$3:$J$202,$A75,6)&amp;"")="","",IFERROR(LEFT(TRIM(INDEX(인턴근무계획!$E$3:$J$202,$A75,6)&amp;""),FIND(" ",TRIM(INDEX(인턴근무계획!$E$3:$J$202,$A75,6)&amp;""))-1),TRIM(INDEX(인턴근무계획!$E$3:$J$202,$A75,6)&amp;""))))</f>
        <v/>
      </c>
      <c r="P75" s="19">
        <f>IF($C75="","",IF(INDEX(인턴근무계획!$K$3:$K$202,$A75)="","",INDEX(인턴근무계획!$K$3:$K$202,$A75)))</f>
        <v/>
      </c>
    </row>
    <row r="76">
      <c r="A76" s="18" t="n">
        <v>71</v>
      </c>
      <c r="B76" s="19">
        <f>IF($C76="","",INDEX(인턴근무계획!$B$3:$B$202,$A76))</f>
        <v/>
      </c>
      <c r="C76" s="19">
        <f>IFERROR(TRIM(INDEX(인턴근무계획!$C$3:$C$202,$A76)&amp;""),"")</f>
        <v/>
      </c>
      <c r="D76" s="19">
        <f>IF($C76="","",INDEX(인턴근무계획!$D$3:$D$202,$A76))</f>
        <v/>
      </c>
      <c r="E76" s="19">
        <f>IF($C76="","",IF(IFERROR(MATCH($D76,기본자료!$B$2:$B$501,0),IFERROR(MATCH($D76&amp;"",기본자료!$B$2:$B$501,0),IFERROR(MATCH(VALUE($D76),기본자료!$B$2:$B$501,0),0)))&gt;0,"확인","미등록"))</f>
        <v/>
      </c>
      <c r="F76" s="19">
        <f>IF(OR($C76="",$F$3=""),"",IF(TRIM(INDEX(인턴근무계획!$E$3:$J$202,$A76,$F$3)&amp;"")="","",IFERROR(LEFT(TRIM(INDEX(인턴근무계획!$E$3:$J$202,$A76,$F$3)&amp;""),FIND(" ",TRIM(INDEX(인턴근무계획!$E$3:$J$202,$A76,$F$3)&amp;""))-1),TRIM(INDEX(인턴근무계획!$E$3:$J$202,$A76,$F$3)&amp;""))))</f>
        <v/>
      </c>
      <c r="G76" s="19">
        <f>IF(OR($C76="",$F$3=""),"",IF(TRIM(INDEX(인턴근무계획!$E$3:$J$202,$A76,$F$3)&amp;"")="","",IFERROR(MID(TRIM(INDEX(인턴근무계획!$E$3:$J$202,$A76,$F$3)&amp;""),FIND(" ",TRIM(INDEX(인턴근무계획!$E$3:$J$202,$A76,$F$3)&amp;""))+1,60),"")))</f>
        <v/>
      </c>
      <c r="H76" s="19">
        <f>IF(OR($C76="",$H$3=""),"",IF(TRIM(INDEX(인턴근무계획!$E$3:$J$202,$A76,$H$3)&amp;"")="","",IFERROR(LEFT(TRIM(INDEX(인턴근무계획!$E$3:$J$202,$A76,$H$3)&amp;""),FIND(" ",TRIM(INDEX(인턴근무계획!$E$3:$J$202,$A76,$H$3)&amp;""))-1),TRIM(INDEX(인턴근무계획!$E$3:$J$202,$A76,$H$3)&amp;""))))</f>
        <v/>
      </c>
      <c r="I76" s="19">
        <f>IF(OR($C76="",$H$3=""),"",IF(TRIM(INDEX(인턴근무계획!$E$3:$J$202,$A76,$H$3)&amp;"")="","",IFERROR(MID(TRIM(INDEX(인턴근무계획!$E$3:$J$202,$A76,$H$3)&amp;""),FIND(" ",TRIM(INDEX(인턴근무계획!$E$3:$J$202,$A76,$H$3)&amp;""))+1,60),"")))</f>
        <v/>
      </c>
      <c r="J76" s="19">
        <f>IF($C76="","",IF(TRIM(INDEX(인턴근무계획!$E$3:$J$202,$A76,1)&amp;"")="","",IFERROR(LEFT(TRIM(INDEX(인턴근무계획!$E$3:$J$202,$A76,1)&amp;""),FIND(" ",TRIM(INDEX(인턴근무계획!$E$3:$J$202,$A76,1)&amp;""))-1),TRIM(INDEX(인턴근무계획!$E$3:$J$202,$A76,1)&amp;""))))</f>
        <v/>
      </c>
      <c r="K76" s="19">
        <f>IF($C76="","",IF(TRIM(INDEX(인턴근무계획!$E$3:$J$202,$A76,2)&amp;"")="","",IFERROR(LEFT(TRIM(INDEX(인턴근무계획!$E$3:$J$202,$A76,2)&amp;""),FIND(" ",TRIM(INDEX(인턴근무계획!$E$3:$J$202,$A76,2)&amp;""))-1),TRIM(INDEX(인턴근무계획!$E$3:$J$202,$A76,2)&amp;""))))</f>
        <v/>
      </c>
      <c r="L76" s="19">
        <f>IF($C76="","",IF(TRIM(INDEX(인턴근무계획!$E$3:$J$202,$A76,3)&amp;"")="","",IFERROR(LEFT(TRIM(INDEX(인턴근무계획!$E$3:$J$202,$A76,3)&amp;""),FIND(" ",TRIM(INDEX(인턴근무계획!$E$3:$J$202,$A76,3)&amp;""))-1),TRIM(INDEX(인턴근무계획!$E$3:$J$202,$A76,3)&amp;""))))</f>
        <v/>
      </c>
      <c r="M76" s="19">
        <f>IF($C76="","",IF(TRIM(INDEX(인턴근무계획!$E$3:$J$202,$A76,4)&amp;"")="","",IFERROR(LEFT(TRIM(INDEX(인턴근무계획!$E$3:$J$202,$A76,4)&amp;""),FIND(" ",TRIM(INDEX(인턴근무계획!$E$3:$J$202,$A76,4)&amp;""))-1),TRIM(INDEX(인턴근무계획!$E$3:$J$202,$A76,4)&amp;""))))</f>
        <v/>
      </c>
      <c r="N76" s="19">
        <f>IF($C76="","",IF(TRIM(INDEX(인턴근무계획!$E$3:$J$202,$A76,5)&amp;"")="","",IFERROR(LEFT(TRIM(INDEX(인턴근무계획!$E$3:$J$202,$A76,5)&amp;""),FIND(" ",TRIM(INDEX(인턴근무계획!$E$3:$J$202,$A76,5)&amp;""))-1),TRIM(INDEX(인턴근무계획!$E$3:$J$202,$A76,5)&amp;""))))</f>
        <v/>
      </c>
      <c r="O76" s="19">
        <f>IF($C76="","",IF(TRIM(INDEX(인턴근무계획!$E$3:$J$202,$A76,6)&amp;"")="","",IFERROR(LEFT(TRIM(INDEX(인턴근무계획!$E$3:$J$202,$A76,6)&amp;""),FIND(" ",TRIM(INDEX(인턴근무계획!$E$3:$J$202,$A76,6)&amp;""))-1),TRIM(INDEX(인턴근무계획!$E$3:$J$202,$A76,6)&amp;""))))</f>
        <v/>
      </c>
      <c r="P76" s="19">
        <f>IF($C76="","",IF(INDEX(인턴근무계획!$K$3:$K$202,$A76)="","",INDEX(인턴근무계획!$K$3:$K$202,$A76)))</f>
        <v/>
      </c>
    </row>
    <row r="77">
      <c r="A77" s="18" t="n">
        <v>72</v>
      </c>
      <c r="B77" s="19">
        <f>IF($C77="","",INDEX(인턴근무계획!$B$3:$B$202,$A77))</f>
        <v/>
      </c>
      <c r="C77" s="19">
        <f>IFERROR(TRIM(INDEX(인턴근무계획!$C$3:$C$202,$A77)&amp;""),"")</f>
        <v/>
      </c>
      <c r="D77" s="19">
        <f>IF($C77="","",INDEX(인턴근무계획!$D$3:$D$202,$A77))</f>
        <v/>
      </c>
      <c r="E77" s="19">
        <f>IF($C77="","",IF(IFERROR(MATCH($D77,기본자료!$B$2:$B$501,0),IFERROR(MATCH($D77&amp;"",기본자료!$B$2:$B$501,0),IFERROR(MATCH(VALUE($D77),기본자료!$B$2:$B$501,0),0)))&gt;0,"확인","미등록"))</f>
        <v/>
      </c>
      <c r="F77" s="19">
        <f>IF(OR($C77="",$F$3=""),"",IF(TRIM(INDEX(인턴근무계획!$E$3:$J$202,$A77,$F$3)&amp;"")="","",IFERROR(LEFT(TRIM(INDEX(인턴근무계획!$E$3:$J$202,$A77,$F$3)&amp;""),FIND(" ",TRIM(INDEX(인턴근무계획!$E$3:$J$202,$A77,$F$3)&amp;""))-1),TRIM(INDEX(인턴근무계획!$E$3:$J$202,$A77,$F$3)&amp;""))))</f>
        <v/>
      </c>
      <c r="G77" s="19">
        <f>IF(OR($C77="",$F$3=""),"",IF(TRIM(INDEX(인턴근무계획!$E$3:$J$202,$A77,$F$3)&amp;"")="","",IFERROR(MID(TRIM(INDEX(인턴근무계획!$E$3:$J$202,$A77,$F$3)&amp;""),FIND(" ",TRIM(INDEX(인턴근무계획!$E$3:$J$202,$A77,$F$3)&amp;""))+1,60),"")))</f>
        <v/>
      </c>
      <c r="H77" s="19">
        <f>IF(OR($C77="",$H$3=""),"",IF(TRIM(INDEX(인턴근무계획!$E$3:$J$202,$A77,$H$3)&amp;"")="","",IFERROR(LEFT(TRIM(INDEX(인턴근무계획!$E$3:$J$202,$A77,$H$3)&amp;""),FIND(" ",TRIM(INDEX(인턴근무계획!$E$3:$J$202,$A77,$H$3)&amp;""))-1),TRIM(INDEX(인턴근무계획!$E$3:$J$202,$A77,$H$3)&amp;""))))</f>
        <v/>
      </c>
      <c r="I77" s="19">
        <f>IF(OR($C77="",$H$3=""),"",IF(TRIM(INDEX(인턴근무계획!$E$3:$J$202,$A77,$H$3)&amp;"")="","",IFERROR(MID(TRIM(INDEX(인턴근무계획!$E$3:$J$202,$A77,$H$3)&amp;""),FIND(" ",TRIM(INDEX(인턴근무계획!$E$3:$J$202,$A77,$H$3)&amp;""))+1,60),"")))</f>
        <v/>
      </c>
      <c r="J77" s="19">
        <f>IF($C77="","",IF(TRIM(INDEX(인턴근무계획!$E$3:$J$202,$A77,1)&amp;"")="","",IFERROR(LEFT(TRIM(INDEX(인턴근무계획!$E$3:$J$202,$A77,1)&amp;""),FIND(" ",TRIM(INDEX(인턴근무계획!$E$3:$J$202,$A77,1)&amp;""))-1),TRIM(INDEX(인턴근무계획!$E$3:$J$202,$A77,1)&amp;""))))</f>
        <v/>
      </c>
      <c r="K77" s="19">
        <f>IF($C77="","",IF(TRIM(INDEX(인턴근무계획!$E$3:$J$202,$A77,2)&amp;"")="","",IFERROR(LEFT(TRIM(INDEX(인턴근무계획!$E$3:$J$202,$A77,2)&amp;""),FIND(" ",TRIM(INDEX(인턴근무계획!$E$3:$J$202,$A77,2)&amp;""))-1),TRIM(INDEX(인턴근무계획!$E$3:$J$202,$A77,2)&amp;""))))</f>
        <v/>
      </c>
      <c r="L77" s="19">
        <f>IF($C77="","",IF(TRIM(INDEX(인턴근무계획!$E$3:$J$202,$A77,3)&amp;"")="","",IFERROR(LEFT(TRIM(INDEX(인턴근무계획!$E$3:$J$202,$A77,3)&amp;""),FIND(" ",TRIM(INDEX(인턴근무계획!$E$3:$J$202,$A77,3)&amp;""))-1),TRIM(INDEX(인턴근무계획!$E$3:$J$202,$A77,3)&amp;""))))</f>
        <v/>
      </c>
      <c r="M77" s="19">
        <f>IF($C77="","",IF(TRIM(INDEX(인턴근무계획!$E$3:$J$202,$A77,4)&amp;"")="","",IFERROR(LEFT(TRIM(INDEX(인턴근무계획!$E$3:$J$202,$A77,4)&amp;""),FIND(" ",TRIM(INDEX(인턴근무계획!$E$3:$J$202,$A77,4)&amp;""))-1),TRIM(INDEX(인턴근무계획!$E$3:$J$202,$A77,4)&amp;""))))</f>
        <v/>
      </c>
      <c r="N77" s="19">
        <f>IF($C77="","",IF(TRIM(INDEX(인턴근무계획!$E$3:$J$202,$A77,5)&amp;"")="","",IFERROR(LEFT(TRIM(INDEX(인턴근무계획!$E$3:$J$202,$A77,5)&amp;""),FIND(" ",TRIM(INDEX(인턴근무계획!$E$3:$J$202,$A77,5)&amp;""))-1),TRIM(INDEX(인턴근무계획!$E$3:$J$202,$A77,5)&amp;""))))</f>
        <v/>
      </c>
      <c r="O77" s="19">
        <f>IF($C77="","",IF(TRIM(INDEX(인턴근무계획!$E$3:$J$202,$A77,6)&amp;"")="","",IFERROR(LEFT(TRIM(INDEX(인턴근무계획!$E$3:$J$202,$A77,6)&amp;""),FIND(" ",TRIM(INDEX(인턴근무계획!$E$3:$J$202,$A77,6)&amp;""))-1),TRIM(INDEX(인턴근무계획!$E$3:$J$202,$A77,6)&amp;""))))</f>
        <v/>
      </c>
      <c r="P77" s="19">
        <f>IF($C77="","",IF(INDEX(인턴근무계획!$K$3:$K$202,$A77)="","",INDEX(인턴근무계획!$K$3:$K$202,$A77)))</f>
        <v/>
      </c>
    </row>
    <row r="78">
      <c r="A78" s="18" t="n">
        <v>73</v>
      </c>
      <c r="B78" s="19">
        <f>IF($C78="","",INDEX(인턴근무계획!$B$3:$B$202,$A78))</f>
        <v/>
      </c>
      <c r="C78" s="19">
        <f>IFERROR(TRIM(INDEX(인턴근무계획!$C$3:$C$202,$A78)&amp;""),"")</f>
        <v/>
      </c>
      <c r="D78" s="19">
        <f>IF($C78="","",INDEX(인턴근무계획!$D$3:$D$202,$A78))</f>
        <v/>
      </c>
      <c r="E78" s="19">
        <f>IF($C78="","",IF(IFERROR(MATCH($D78,기본자료!$B$2:$B$501,0),IFERROR(MATCH($D78&amp;"",기본자료!$B$2:$B$501,0),IFERROR(MATCH(VALUE($D78),기본자료!$B$2:$B$501,0),0)))&gt;0,"확인","미등록"))</f>
        <v/>
      </c>
      <c r="F78" s="19">
        <f>IF(OR($C78="",$F$3=""),"",IF(TRIM(INDEX(인턴근무계획!$E$3:$J$202,$A78,$F$3)&amp;"")="","",IFERROR(LEFT(TRIM(INDEX(인턴근무계획!$E$3:$J$202,$A78,$F$3)&amp;""),FIND(" ",TRIM(INDEX(인턴근무계획!$E$3:$J$202,$A78,$F$3)&amp;""))-1),TRIM(INDEX(인턴근무계획!$E$3:$J$202,$A78,$F$3)&amp;""))))</f>
        <v/>
      </c>
      <c r="G78" s="19">
        <f>IF(OR($C78="",$F$3=""),"",IF(TRIM(INDEX(인턴근무계획!$E$3:$J$202,$A78,$F$3)&amp;"")="","",IFERROR(MID(TRIM(INDEX(인턴근무계획!$E$3:$J$202,$A78,$F$3)&amp;""),FIND(" ",TRIM(INDEX(인턴근무계획!$E$3:$J$202,$A78,$F$3)&amp;""))+1,60),"")))</f>
        <v/>
      </c>
      <c r="H78" s="19">
        <f>IF(OR($C78="",$H$3=""),"",IF(TRIM(INDEX(인턴근무계획!$E$3:$J$202,$A78,$H$3)&amp;"")="","",IFERROR(LEFT(TRIM(INDEX(인턴근무계획!$E$3:$J$202,$A78,$H$3)&amp;""),FIND(" ",TRIM(INDEX(인턴근무계획!$E$3:$J$202,$A78,$H$3)&amp;""))-1),TRIM(INDEX(인턴근무계획!$E$3:$J$202,$A78,$H$3)&amp;""))))</f>
        <v/>
      </c>
      <c r="I78" s="19">
        <f>IF(OR($C78="",$H$3=""),"",IF(TRIM(INDEX(인턴근무계획!$E$3:$J$202,$A78,$H$3)&amp;"")="","",IFERROR(MID(TRIM(INDEX(인턴근무계획!$E$3:$J$202,$A78,$H$3)&amp;""),FIND(" ",TRIM(INDEX(인턴근무계획!$E$3:$J$202,$A78,$H$3)&amp;""))+1,60),"")))</f>
        <v/>
      </c>
      <c r="J78" s="19">
        <f>IF($C78="","",IF(TRIM(INDEX(인턴근무계획!$E$3:$J$202,$A78,1)&amp;"")="","",IFERROR(LEFT(TRIM(INDEX(인턴근무계획!$E$3:$J$202,$A78,1)&amp;""),FIND(" ",TRIM(INDEX(인턴근무계획!$E$3:$J$202,$A78,1)&amp;""))-1),TRIM(INDEX(인턴근무계획!$E$3:$J$202,$A78,1)&amp;""))))</f>
        <v/>
      </c>
      <c r="K78" s="19">
        <f>IF($C78="","",IF(TRIM(INDEX(인턴근무계획!$E$3:$J$202,$A78,2)&amp;"")="","",IFERROR(LEFT(TRIM(INDEX(인턴근무계획!$E$3:$J$202,$A78,2)&amp;""),FIND(" ",TRIM(INDEX(인턴근무계획!$E$3:$J$202,$A78,2)&amp;""))-1),TRIM(INDEX(인턴근무계획!$E$3:$J$202,$A78,2)&amp;""))))</f>
        <v/>
      </c>
      <c r="L78" s="19">
        <f>IF($C78="","",IF(TRIM(INDEX(인턴근무계획!$E$3:$J$202,$A78,3)&amp;"")="","",IFERROR(LEFT(TRIM(INDEX(인턴근무계획!$E$3:$J$202,$A78,3)&amp;""),FIND(" ",TRIM(INDEX(인턴근무계획!$E$3:$J$202,$A78,3)&amp;""))-1),TRIM(INDEX(인턴근무계획!$E$3:$J$202,$A78,3)&amp;""))))</f>
        <v/>
      </c>
      <c r="M78" s="19">
        <f>IF($C78="","",IF(TRIM(INDEX(인턴근무계획!$E$3:$J$202,$A78,4)&amp;"")="","",IFERROR(LEFT(TRIM(INDEX(인턴근무계획!$E$3:$J$202,$A78,4)&amp;""),FIND(" ",TRIM(INDEX(인턴근무계획!$E$3:$J$202,$A78,4)&amp;""))-1),TRIM(INDEX(인턴근무계획!$E$3:$J$202,$A78,4)&amp;""))))</f>
        <v/>
      </c>
      <c r="N78" s="19">
        <f>IF($C78="","",IF(TRIM(INDEX(인턴근무계획!$E$3:$J$202,$A78,5)&amp;"")="","",IFERROR(LEFT(TRIM(INDEX(인턴근무계획!$E$3:$J$202,$A78,5)&amp;""),FIND(" ",TRIM(INDEX(인턴근무계획!$E$3:$J$202,$A78,5)&amp;""))-1),TRIM(INDEX(인턴근무계획!$E$3:$J$202,$A78,5)&amp;""))))</f>
        <v/>
      </c>
      <c r="O78" s="19">
        <f>IF($C78="","",IF(TRIM(INDEX(인턴근무계획!$E$3:$J$202,$A78,6)&amp;"")="","",IFERROR(LEFT(TRIM(INDEX(인턴근무계획!$E$3:$J$202,$A78,6)&amp;""),FIND(" ",TRIM(INDEX(인턴근무계획!$E$3:$J$202,$A78,6)&amp;""))-1),TRIM(INDEX(인턴근무계획!$E$3:$J$202,$A78,6)&amp;""))))</f>
        <v/>
      </c>
      <c r="P78" s="19">
        <f>IF($C78="","",IF(INDEX(인턴근무계획!$K$3:$K$202,$A78)="","",INDEX(인턴근무계획!$K$3:$K$202,$A78)))</f>
        <v/>
      </c>
    </row>
    <row r="79">
      <c r="A79" s="18" t="n">
        <v>74</v>
      </c>
      <c r="B79" s="19">
        <f>IF($C79="","",INDEX(인턴근무계획!$B$3:$B$202,$A79))</f>
        <v/>
      </c>
      <c r="C79" s="19">
        <f>IFERROR(TRIM(INDEX(인턴근무계획!$C$3:$C$202,$A79)&amp;""),"")</f>
        <v/>
      </c>
      <c r="D79" s="19">
        <f>IF($C79="","",INDEX(인턴근무계획!$D$3:$D$202,$A79))</f>
        <v/>
      </c>
      <c r="E79" s="19">
        <f>IF($C79="","",IF(IFERROR(MATCH($D79,기본자료!$B$2:$B$501,0),IFERROR(MATCH($D79&amp;"",기본자료!$B$2:$B$501,0),IFERROR(MATCH(VALUE($D79),기본자료!$B$2:$B$501,0),0)))&gt;0,"확인","미등록"))</f>
        <v/>
      </c>
      <c r="F79" s="19">
        <f>IF(OR($C79="",$F$3=""),"",IF(TRIM(INDEX(인턴근무계획!$E$3:$J$202,$A79,$F$3)&amp;"")="","",IFERROR(LEFT(TRIM(INDEX(인턴근무계획!$E$3:$J$202,$A79,$F$3)&amp;""),FIND(" ",TRIM(INDEX(인턴근무계획!$E$3:$J$202,$A79,$F$3)&amp;""))-1),TRIM(INDEX(인턴근무계획!$E$3:$J$202,$A79,$F$3)&amp;""))))</f>
        <v/>
      </c>
      <c r="G79" s="19">
        <f>IF(OR($C79="",$F$3=""),"",IF(TRIM(INDEX(인턴근무계획!$E$3:$J$202,$A79,$F$3)&amp;"")="","",IFERROR(MID(TRIM(INDEX(인턴근무계획!$E$3:$J$202,$A79,$F$3)&amp;""),FIND(" ",TRIM(INDEX(인턴근무계획!$E$3:$J$202,$A79,$F$3)&amp;""))+1,60),"")))</f>
        <v/>
      </c>
      <c r="H79" s="19">
        <f>IF(OR($C79="",$H$3=""),"",IF(TRIM(INDEX(인턴근무계획!$E$3:$J$202,$A79,$H$3)&amp;"")="","",IFERROR(LEFT(TRIM(INDEX(인턴근무계획!$E$3:$J$202,$A79,$H$3)&amp;""),FIND(" ",TRIM(INDEX(인턴근무계획!$E$3:$J$202,$A79,$H$3)&amp;""))-1),TRIM(INDEX(인턴근무계획!$E$3:$J$202,$A79,$H$3)&amp;""))))</f>
        <v/>
      </c>
      <c r="I79" s="19">
        <f>IF(OR($C79="",$H$3=""),"",IF(TRIM(INDEX(인턴근무계획!$E$3:$J$202,$A79,$H$3)&amp;"")="","",IFERROR(MID(TRIM(INDEX(인턴근무계획!$E$3:$J$202,$A79,$H$3)&amp;""),FIND(" ",TRIM(INDEX(인턴근무계획!$E$3:$J$202,$A79,$H$3)&amp;""))+1,60),"")))</f>
        <v/>
      </c>
      <c r="J79" s="19">
        <f>IF($C79="","",IF(TRIM(INDEX(인턴근무계획!$E$3:$J$202,$A79,1)&amp;"")="","",IFERROR(LEFT(TRIM(INDEX(인턴근무계획!$E$3:$J$202,$A79,1)&amp;""),FIND(" ",TRIM(INDEX(인턴근무계획!$E$3:$J$202,$A79,1)&amp;""))-1),TRIM(INDEX(인턴근무계획!$E$3:$J$202,$A79,1)&amp;""))))</f>
        <v/>
      </c>
      <c r="K79" s="19">
        <f>IF($C79="","",IF(TRIM(INDEX(인턴근무계획!$E$3:$J$202,$A79,2)&amp;"")="","",IFERROR(LEFT(TRIM(INDEX(인턴근무계획!$E$3:$J$202,$A79,2)&amp;""),FIND(" ",TRIM(INDEX(인턴근무계획!$E$3:$J$202,$A79,2)&amp;""))-1),TRIM(INDEX(인턴근무계획!$E$3:$J$202,$A79,2)&amp;""))))</f>
        <v/>
      </c>
      <c r="L79" s="19">
        <f>IF($C79="","",IF(TRIM(INDEX(인턴근무계획!$E$3:$J$202,$A79,3)&amp;"")="","",IFERROR(LEFT(TRIM(INDEX(인턴근무계획!$E$3:$J$202,$A79,3)&amp;""),FIND(" ",TRIM(INDEX(인턴근무계획!$E$3:$J$202,$A79,3)&amp;""))-1),TRIM(INDEX(인턴근무계획!$E$3:$J$202,$A79,3)&amp;""))))</f>
        <v/>
      </c>
      <c r="M79" s="19">
        <f>IF($C79="","",IF(TRIM(INDEX(인턴근무계획!$E$3:$J$202,$A79,4)&amp;"")="","",IFERROR(LEFT(TRIM(INDEX(인턴근무계획!$E$3:$J$202,$A79,4)&amp;""),FIND(" ",TRIM(INDEX(인턴근무계획!$E$3:$J$202,$A79,4)&amp;""))-1),TRIM(INDEX(인턴근무계획!$E$3:$J$202,$A79,4)&amp;""))))</f>
        <v/>
      </c>
      <c r="N79" s="19">
        <f>IF($C79="","",IF(TRIM(INDEX(인턴근무계획!$E$3:$J$202,$A79,5)&amp;"")="","",IFERROR(LEFT(TRIM(INDEX(인턴근무계획!$E$3:$J$202,$A79,5)&amp;""),FIND(" ",TRIM(INDEX(인턴근무계획!$E$3:$J$202,$A79,5)&amp;""))-1),TRIM(INDEX(인턴근무계획!$E$3:$J$202,$A79,5)&amp;""))))</f>
        <v/>
      </c>
      <c r="O79" s="19">
        <f>IF($C79="","",IF(TRIM(INDEX(인턴근무계획!$E$3:$J$202,$A79,6)&amp;"")="","",IFERROR(LEFT(TRIM(INDEX(인턴근무계획!$E$3:$J$202,$A79,6)&amp;""),FIND(" ",TRIM(INDEX(인턴근무계획!$E$3:$J$202,$A79,6)&amp;""))-1),TRIM(INDEX(인턴근무계획!$E$3:$J$202,$A79,6)&amp;""))))</f>
        <v/>
      </c>
      <c r="P79" s="19">
        <f>IF($C79="","",IF(INDEX(인턴근무계획!$K$3:$K$202,$A79)="","",INDEX(인턴근무계획!$K$3:$K$202,$A79)))</f>
        <v/>
      </c>
    </row>
    <row r="80">
      <c r="A80" s="18" t="n">
        <v>75</v>
      </c>
      <c r="B80" s="19">
        <f>IF($C80="","",INDEX(인턴근무계획!$B$3:$B$202,$A80))</f>
        <v/>
      </c>
      <c r="C80" s="19">
        <f>IFERROR(TRIM(INDEX(인턴근무계획!$C$3:$C$202,$A80)&amp;""),"")</f>
        <v/>
      </c>
      <c r="D80" s="19">
        <f>IF($C80="","",INDEX(인턴근무계획!$D$3:$D$202,$A80))</f>
        <v/>
      </c>
      <c r="E80" s="19">
        <f>IF($C80="","",IF(IFERROR(MATCH($D80,기본자료!$B$2:$B$501,0),IFERROR(MATCH($D80&amp;"",기본자료!$B$2:$B$501,0),IFERROR(MATCH(VALUE($D80),기본자료!$B$2:$B$501,0),0)))&gt;0,"확인","미등록"))</f>
        <v/>
      </c>
      <c r="F80" s="19">
        <f>IF(OR($C80="",$F$3=""),"",IF(TRIM(INDEX(인턴근무계획!$E$3:$J$202,$A80,$F$3)&amp;"")="","",IFERROR(LEFT(TRIM(INDEX(인턴근무계획!$E$3:$J$202,$A80,$F$3)&amp;""),FIND(" ",TRIM(INDEX(인턴근무계획!$E$3:$J$202,$A80,$F$3)&amp;""))-1),TRIM(INDEX(인턴근무계획!$E$3:$J$202,$A80,$F$3)&amp;""))))</f>
        <v/>
      </c>
      <c r="G80" s="19">
        <f>IF(OR($C80="",$F$3=""),"",IF(TRIM(INDEX(인턴근무계획!$E$3:$J$202,$A80,$F$3)&amp;"")="","",IFERROR(MID(TRIM(INDEX(인턴근무계획!$E$3:$J$202,$A80,$F$3)&amp;""),FIND(" ",TRIM(INDEX(인턴근무계획!$E$3:$J$202,$A80,$F$3)&amp;""))+1,60),"")))</f>
        <v/>
      </c>
      <c r="H80" s="19">
        <f>IF(OR($C80="",$H$3=""),"",IF(TRIM(INDEX(인턴근무계획!$E$3:$J$202,$A80,$H$3)&amp;"")="","",IFERROR(LEFT(TRIM(INDEX(인턴근무계획!$E$3:$J$202,$A80,$H$3)&amp;""),FIND(" ",TRIM(INDEX(인턴근무계획!$E$3:$J$202,$A80,$H$3)&amp;""))-1),TRIM(INDEX(인턴근무계획!$E$3:$J$202,$A80,$H$3)&amp;""))))</f>
        <v/>
      </c>
      <c r="I80" s="19">
        <f>IF(OR($C80="",$H$3=""),"",IF(TRIM(INDEX(인턴근무계획!$E$3:$J$202,$A80,$H$3)&amp;"")="","",IFERROR(MID(TRIM(INDEX(인턴근무계획!$E$3:$J$202,$A80,$H$3)&amp;""),FIND(" ",TRIM(INDEX(인턴근무계획!$E$3:$J$202,$A80,$H$3)&amp;""))+1,60),"")))</f>
        <v/>
      </c>
      <c r="J80" s="19">
        <f>IF($C80="","",IF(TRIM(INDEX(인턴근무계획!$E$3:$J$202,$A80,1)&amp;"")="","",IFERROR(LEFT(TRIM(INDEX(인턴근무계획!$E$3:$J$202,$A80,1)&amp;""),FIND(" ",TRIM(INDEX(인턴근무계획!$E$3:$J$202,$A80,1)&amp;""))-1),TRIM(INDEX(인턴근무계획!$E$3:$J$202,$A80,1)&amp;""))))</f>
        <v/>
      </c>
      <c r="K80" s="19">
        <f>IF($C80="","",IF(TRIM(INDEX(인턴근무계획!$E$3:$J$202,$A80,2)&amp;"")="","",IFERROR(LEFT(TRIM(INDEX(인턴근무계획!$E$3:$J$202,$A80,2)&amp;""),FIND(" ",TRIM(INDEX(인턴근무계획!$E$3:$J$202,$A80,2)&amp;""))-1),TRIM(INDEX(인턴근무계획!$E$3:$J$202,$A80,2)&amp;""))))</f>
        <v/>
      </c>
      <c r="L80" s="19">
        <f>IF($C80="","",IF(TRIM(INDEX(인턴근무계획!$E$3:$J$202,$A80,3)&amp;"")="","",IFERROR(LEFT(TRIM(INDEX(인턴근무계획!$E$3:$J$202,$A80,3)&amp;""),FIND(" ",TRIM(INDEX(인턴근무계획!$E$3:$J$202,$A80,3)&amp;""))-1),TRIM(INDEX(인턴근무계획!$E$3:$J$202,$A80,3)&amp;""))))</f>
        <v/>
      </c>
      <c r="M80" s="19">
        <f>IF($C80="","",IF(TRIM(INDEX(인턴근무계획!$E$3:$J$202,$A80,4)&amp;"")="","",IFERROR(LEFT(TRIM(INDEX(인턴근무계획!$E$3:$J$202,$A80,4)&amp;""),FIND(" ",TRIM(INDEX(인턴근무계획!$E$3:$J$202,$A80,4)&amp;""))-1),TRIM(INDEX(인턴근무계획!$E$3:$J$202,$A80,4)&amp;""))))</f>
        <v/>
      </c>
      <c r="N80" s="19">
        <f>IF($C80="","",IF(TRIM(INDEX(인턴근무계획!$E$3:$J$202,$A80,5)&amp;"")="","",IFERROR(LEFT(TRIM(INDEX(인턴근무계획!$E$3:$J$202,$A80,5)&amp;""),FIND(" ",TRIM(INDEX(인턴근무계획!$E$3:$J$202,$A80,5)&amp;""))-1),TRIM(INDEX(인턴근무계획!$E$3:$J$202,$A80,5)&amp;""))))</f>
        <v/>
      </c>
      <c r="O80" s="19">
        <f>IF($C80="","",IF(TRIM(INDEX(인턴근무계획!$E$3:$J$202,$A80,6)&amp;"")="","",IFERROR(LEFT(TRIM(INDEX(인턴근무계획!$E$3:$J$202,$A80,6)&amp;""),FIND(" ",TRIM(INDEX(인턴근무계획!$E$3:$J$202,$A80,6)&amp;""))-1),TRIM(INDEX(인턴근무계획!$E$3:$J$202,$A80,6)&amp;""))))</f>
        <v/>
      </c>
      <c r="P80" s="19">
        <f>IF($C80="","",IF(INDEX(인턴근무계획!$K$3:$K$202,$A80)="","",INDEX(인턴근무계획!$K$3:$K$202,$A80)))</f>
        <v/>
      </c>
    </row>
    <row r="81">
      <c r="A81" s="18" t="n">
        <v>76</v>
      </c>
      <c r="B81" s="19">
        <f>IF($C81="","",INDEX(인턴근무계획!$B$3:$B$202,$A81))</f>
        <v/>
      </c>
      <c r="C81" s="19">
        <f>IFERROR(TRIM(INDEX(인턴근무계획!$C$3:$C$202,$A81)&amp;""),"")</f>
        <v/>
      </c>
      <c r="D81" s="19">
        <f>IF($C81="","",INDEX(인턴근무계획!$D$3:$D$202,$A81))</f>
        <v/>
      </c>
      <c r="E81" s="19">
        <f>IF($C81="","",IF(IFERROR(MATCH($D81,기본자료!$B$2:$B$501,0),IFERROR(MATCH($D81&amp;"",기본자료!$B$2:$B$501,0),IFERROR(MATCH(VALUE($D81),기본자료!$B$2:$B$501,0),0)))&gt;0,"확인","미등록"))</f>
        <v/>
      </c>
      <c r="F81" s="19">
        <f>IF(OR($C81="",$F$3=""),"",IF(TRIM(INDEX(인턴근무계획!$E$3:$J$202,$A81,$F$3)&amp;"")="","",IFERROR(LEFT(TRIM(INDEX(인턴근무계획!$E$3:$J$202,$A81,$F$3)&amp;""),FIND(" ",TRIM(INDEX(인턴근무계획!$E$3:$J$202,$A81,$F$3)&amp;""))-1),TRIM(INDEX(인턴근무계획!$E$3:$J$202,$A81,$F$3)&amp;""))))</f>
        <v/>
      </c>
      <c r="G81" s="19">
        <f>IF(OR($C81="",$F$3=""),"",IF(TRIM(INDEX(인턴근무계획!$E$3:$J$202,$A81,$F$3)&amp;"")="","",IFERROR(MID(TRIM(INDEX(인턴근무계획!$E$3:$J$202,$A81,$F$3)&amp;""),FIND(" ",TRIM(INDEX(인턴근무계획!$E$3:$J$202,$A81,$F$3)&amp;""))+1,60),"")))</f>
        <v/>
      </c>
      <c r="H81" s="19">
        <f>IF(OR($C81="",$H$3=""),"",IF(TRIM(INDEX(인턴근무계획!$E$3:$J$202,$A81,$H$3)&amp;"")="","",IFERROR(LEFT(TRIM(INDEX(인턴근무계획!$E$3:$J$202,$A81,$H$3)&amp;""),FIND(" ",TRIM(INDEX(인턴근무계획!$E$3:$J$202,$A81,$H$3)&amp;""))-1),TRIM(INDEX(인턴근무계획!$E$3:$J$202,$A81,$H$3)&amp;""))))</f>
        <v/>
      </c>
      <c r="I81" s="19">
        <f>IF(OR($C81="",$H$3=""),"",IF(TRIM(INDEX(인턴근무계획!$E$3:$J$202,$A81,$H$3)&amp;"")="","",IFERROR(MID(TRIM(INDEX(인턴근무계획!$E$3:$J$202,$A81,$H$3)&amp;""),FIND(" ",TRIM(INDEX(인턴근무계획!$E$3:$J$202,$A81,$H$3)&amp;""))+1,60),"")))</f>
        <v/>
      </c>
      <c r="J81" s="19">
        <f>IF($C81="","",IF(TRIM(INDEX(인턴근무계획!$E$3:$J$202,$A81,1)&amp;"")="","",IFERROR(LEFT(TRIM(INDEX(인턴근무계획!$E$3:$J$202,$A81,1)&amp;""),FIND(" ",TRIM(INDEX(인턴근무계획!$E$3:$J$202,$A81,1)&amp;""))-1),TRIM(INDEX(인턴근무계획!$E$3:$J$202,$A81,1)&amp;""))))</f>
        <v/>
      </c>
      <c r="K81" s="19">
        <f>IF($C81="","",IF(TRIM(INDEX(인턴근무계획!$E$3:$J$202,$A81,2)&amp;"")="","",IFERROR(LEFT(TRIM(INDEX(인턴근무계획!$E$3:$J$202,$A81,2)&amp;""),FIND(" ",TRIM(INDEX(인턴근무계획!$E$3:$J$202,$A81,2)&amp;""))-1),TRIM(INDEX(인턴근무계획!$E$3:$J$202,$A81,2)&amp;""))))</f>
        <v/>
      </c>
      <c r="L81" s="19">
        <f>IF($C81="","",IF(TRIM(INDEX(인턴근무계획!$E$3:$J$202,$A81,3)&amp;"")="","",IFERROR(LEFT(TRIM(INDEX(인턴근무계획!$E$3:$J$202,$A81,3)&amp;""),FIND(" ",TRIM(INDEX(인턴근무계획!$E$3:$J$202,$A81,3)&amp;""))-1),TRIM(INDEX(인턴근무계획!$E$3:$J$202,$A81,3)&amp;""))))</f>
        <v/>
      </c>
      <c r="M81" s="19">
        <f>IF($C81="","",IF(TRIM(INDEX(인턴근무계획!$E$3:$J$202,$A81,4)&amp;"")="","",IFERROR(LEFT(TRIM(INDEX(인턴근무계획!$E$3:$J$202,$A81,4)&amp;""),FIND(" ",TRIM(INDEX(인턴근무계획!$E$3:$J$202,$A81,4)&amp;""))-1),TRIM(INDEX(인턴근무계획!$E$3:$J$202,$A81,4)&amp;""))))</f>
        <v/>
      </c>
      <c r="N81" s="19">
        <f>IF($C81="","",IF(TRIM(INDEX(인턴근무계획!$E$3:$J$202,$A81,5)&amp;"")="","",IFERROR(LEFT(TRIM(INDEX(인턴근무계획!$E$3:$J$202,$A81,5)&amp;""),FIND(" ",TRIM(INDEX(인턴근무계획!$E$3:$J$202,$A81,5)&amp;""))-1),TRIM(INDEX(인턴근무계획!$E$3:$J$202,$A81,5)&amp;""))))</f>
        <v/>
      </c>
      <c r="O81" s="19">
        <f>IF($C81="","",IF(TRIM(INDEX(인턴근무계획!$E$3:$J$202,$A81,6)&amp;"")="","",IFERROR(LEFT(TRIM(INDEX(인턴근무계획!$E$3:$J$202,$A81,6)&amp;""),FIND(" ",TRIM(INDEX(인턴근무계획!$E$3:$J$202,$A81,6)&amp;""))-1),TRIM(INDEX(인턴근무계획!$E$3:$J$202,$A81,6)&amp;""))))</f>
        <v/>
      </c>
      <c r="P81" s="19">
        <f>IF($C81="","",IF(INDEX(인턴근무계획!$K$3:$K$202,$A81)="","",INDEX(인턴근무계획!$K$3:$K$202,$A81)))</f>
        <v/>
      </c>
    </row>
    <row r="82">
      <c r="A82" s="18" t="n">
        <v>77</v>
      </c>
      <c r="B82" s="19">
        <f>IF($C82="","",INDEX(인턴근무계획!$B$3:$B$202,$A82))</f>
        <v/>
      </c>
      <c r="C82" s="19">
        <f>IFERROR(TRIM(INDEX(인턴근무계획!$C$3:$C$202,$A82)&amp;""),"")</f>
        <v/>
      </c>
      <c r="D82" s="19">
        <f>IF($C82="","",INDEX(인턴근무계획!$D$3:$D$202,$A82))</f>
        <v/>
      </c>
      <c r="E82" s="19">
        <f>IF($C82="","",IF(IFERROR(MATCH($D82,기본자료!$B$2:$B$501,0),IFERROR(MATCH($D82&amp;"",기본자료!$B$2:$B$501,0),IFERROR(MATCH(VALUE($D82),기본자료!$B$2:$B$501,0),0)))&gt;0,"확인","미등록"))</f>
        <v/>
      </c>
      <c r="F82" s="19">
        <f>IF(OR($C82="",$F$3=""),"",IF(TRIM(INDEX(인턴근무계획!$E$3:$J$202,$A82,$F$3)&amp;"")="","",IFERROR(LEFT(TRIM(INDEX(인턴근무계획!$E$3:$J$202,$A82,$F$3)&amp;""),FIND(" ",TRIM(INDEX(인턴근무계획!$E$3:$J$202,$A82,$F$3)&amp;""))-1),TRIM(INDEX(인턴근무계획!$E$3:$J$202,$A82,$F$3)&amp;""))))</f>
        <v/>
      </c>
      <c r="G82" s="19">
        <f>IF(OR($C82="",$F$3=""),"",IF(TRIM(INDEX(인턴근무계획!$E$3:$J$202,$A82,$F$3)&amp;"")="","",IFERROR(MID(TRIM(INDEX(인턴근무계획!$E$3:$J$202,$A82,$F$3)&amp;""),FIND(" ",TRIM(INDEX(인턴근무계획!$E$3:$J$202,$A82,$F$3)&amp;""))+1,60),"")))</f>
        <v/>
      </c>
      <c r="H82" s="19">
        <f>IF(OR($C82="",$H$3=""),"",IF(TRIM(INDEX(인턴근무계획!$E$3:$J$202,$A82,$H$3)&amp;"")="","",IFERROR(LEFT(TRIM(INDEX(인턴근무계획!$E$3:$J$202,$A82,$H$3)&amp;""),FIND(" ",TRIM(INDEX(인턴근무계획!$E$3:$J$202,$A82,$H$3)&amp;""))-1),TRIM(INDEX(인턴근무계획!$E$3:$J$202,$A82,$H$3)&amp;""))))</f>
        <v/>
      </c>
      <c r="I82" s="19">
        <f>IF(OR($C82="",$H$3=""),"",IF(TRIM(INDEX(인턴근무계획!$E$3:$J$202,$A82,$H$3)&amp;"")="","",IFERROR(MID(TRIM(INDEX(인턴근무계획!$E$3:$J$202,$A82,$H$3)&amp;""),FIND(" ",TRIM(INDEX(인턴근무계획!$E$3:$J$202,$A82,$H$3)&amp;""))+1,60),"")))</f>
        <v/>
      </c>
      <c r="J82" s="19">
        <f>IF($C82="","",IF(TRIM(INDEX(인턴근무계획!$E$3:$J$202,$A82,1)&amp;"")="","",IFERROR(LEFT(TRIM(INDEX(인턴근무계획!$E$3:$J$202,$A82,1)&amp;""),FIND(" ",TRIM(INDEX(인턴근무계획!$E$3:$J$202,$A82,1)&amp;""))-1),TRIM(INDEX(인턴근무계획!$E$3:$J$202,$A82,1)&amp;""))))</f>
        <v/>
      </c>
      <c r="K82" s="19">
        <f>IF($C82="","",IF(TRIM(INDEX(인턴근무계획!$E$3:$J$202,$A82,2)&amp;"")="","",IFERROR(LEFT(TRIM(INDEX(인턴근무계획!$E$3:$J$202,$A82,2)&amp;""),FIND(" ",TRIM(INDEX(인턴근무계획!$E$3:$J$202,$A82,2)&amp;""))-1),TRIM(INDEX(인턴근무계획!$E$3:$J$202,$A82,2)&amp;""))))</f>
        <v/>
      </c>
      <c r="L82" s="19">
        <f>IF($C82="","",IF(TRIM(INDEX(인턴근무계획!$E$3:$J$202,$A82,3)&amp;"")="","",IFERROR(LEFT(TRIM(INDEX(인턴근무계획!$E$3:$J$202,$A82,3)&amp;""),FIND(" ",TRIM(INDEX(인턴근무계획!$E$3:$J$202,$A82,3)&amp;""))-1),TRIM(INDEX(인턴근무계획!$E$3:$J$202,$A82,3)&amp;""))))</f>
        <v/>
      </c>
      <c r="M82" s="19">
        <f>IF($C82="","",IF(TRIM(INDEX(인턴근무계획!$E$3:$J$202,$A82,4)&amp;"")="","",IFERROR(LEFT(TRIM(INDEX(인턴근무계획!$E$3:$J$202,$A82,4)&amp;""),FIND(" ",TRIM(INDEX(인턴근무계획!$E$3:$J$202,$A82,4)&amp;""))-1),TRIM(INDEX(인턴근무계획!$E$3:$J$202,$A82,4)&amp;""))))</f>
        <v/>
      </c>
      <c r="N82" s="19">
        <f>IF($C82="","",IF(TRIM(INDEX(인턴근무계획!$E$3:$J$202,$A82,5)&amp;"")="","",IFERROR(LEFT(TRIM(INDEX(인턴근무계획!$E$3:$J$202,$A82,5)&amp;""),FIND(" ",TRIM(INDEX(인턴근무계획!$E$3:$J$202,$A82,5)&amp;""))-1),TRIM(INDEX(인턴근무계획!$E$3:$J$202,$A82,5)&amp;""))))</f>
        <v/>
      </c>
      <c r="O82" s="19">
        <f>IF($C82="","",IF(TRIM(INDEX(인턴근무계획!$E$3:$J$202,$A82,6)&amp;"")="","",IFERROR(LEFT(TRIM(INDEX(인턴근무계획!$E$3:$J$202,$A82,6)&amp;""),FIND(" ",TRIM(INDEX(인턴근무계획!$E$3:$J$202,$A82,6)&amp;""))-1),TRIM(INDEX(인턴근무계획!$E$3:$J$202,$A82,6)&amp;""))))</f>
        <v/>
      </c>
      <c r="P82" s="19">
        <f>IF($C82="","",IF(INDEX(인턴근무계획!$K$3:$K$202,$A82)="","",INDEX(인턴근무계획!$K$3:$K$202,$A82)))</f>
        <v/>
      </c>
    </row>
    <row r="83">
      <c r="A83" s="18" t="n">
        <v>78</v>
      </c>
      <c r="B83" s="19">
        <f>IF($C83="","",INDEX(인턴근무계획!$B$3:$B$202,$A83))</f>
        <v/>
      </c>
      <c r="C83" s="19">
        <f>IFERROR(TRIM(INDEX(인턴근무계획!$C$3:$C$202,$A83)&amp;""),"")</f>
        <v/>
      </c>
      <c r="D83" s="19">
        <f>IF($C83="","",INDEX(인턴근무계획!$D$3:$D$202,$A83))</f>
        <v/>
      </c>
      <c r="E83" s="19">
        <f>IF($C83="","",IF(IFERROR(MATCH($D83,기본자료!$B$2:$B$501,0),IFERROR(MATCH($D83&amp;"",기본자료!$B$2:$B$501,0),IFERROR(MATCH(VALUE($D83),기본자료!$B$2:$B$501,0),0)))&gt;0,"확인","미등록"))</f>
        <v/>
      </c>
      <c r="F83" s="19">
        <f>IF(OR($C83="",$F$3=""),"",IF(TRIM(INDEX(인턴근무계획!$E$3:$J$202,$A83,$F$3)&amp;"")="","",IFERROR(LEFT(TRIM(INDEX(인턴근무계획!$E$3:$J$202,$A83,$F$3)&amp;""),FIND(" ",TRIM(INDEX(인턴근무계획!$E$3:$J$202,$A83,$F$3)&amp;""))-1),TRIM(INDEX(인턴근무계획!$E$3:$J$202,$A83,$F$3)&amp;""))))</f>
        <v/>
      </c>
      <c r="G83" s="19">
        <f>IF(OR($C83="",$F$3=""),"",IF(TRIM(INDEX(인턴근무계획!$E$3:$J$202,$A83,$F$3)&amp;"")="","",IFERROR(MID(TRIM(INDEX(인턴근무계획!$E$3:$J$202,$A83,$F$3)&amp;""),FIND(" ",TRIM(INDEX(인턴근무계획!$E$3:$J$202,$A83,$F$3)&amp;""))+1,60),"")))</f>
        <v/>
      </c>
      <c r="H83" s="19">
        <f>IF(OR($C83="",$H$3=""),"",IF(TRIM(INDEX(인턴근무계획!$E$3:$J$202,$A83,$H$3)&amp;"")="","",IFERROR(LEFT(TRIM(INDEX(인턴근무계획!$E$3:$J$202,$A83,$H$3)&amp;""),FIND(" ",TRIM(INDEX(인턴근무계획!$E$3:$J$202,$A83,$H$3)&amp;""))-1),TRIM(INDEX(인턴근무계획!$E$3:$J$202,$A83,$H$3)&amp;""))))</f>
        <v/>
      </c>
      <c r="I83" s="19">
        <f>IF(OR($C83="",$H$3=""),"",IF(TRIM(INDEX(인턴근무계획!$E$3:$J$202,$A83,$H$3)&amp;"")="","",IFERROR(MID(TRIM(INDEX(인턴근무계획!$E$3:$J$202,$A83,$H$3)&amp;""),FIND(" ",TRIM(INDEX(인턴근무계획!$E$3:$J$202,$A83,$H$3)&amp;""))+1,60),"")))</f>
        <v/>
      </c>
      <c r="J83" s="19">
        <f>IF($C83="","",IF(TRIM(INDEX(인턴근무계획!$E$3:$J$202,$A83,1)&amp;"")="","",IFERROR(LEFT(TRIM(INDEX(인턴근무계획!$E$3:$J$202,$A83,1)&amp;""),FIND(" ",TRIM(INDEX(인턴근무계획!$E$3:$J$202,$A83,1)&amp;""))-1),TRIM(INDEX(인턴근무계획!$E$3:$J$202,$A83,1)&amp;""))))</f>
        <v/>
      </c>
      <c r="K83" s="19">
        <f>IF($C83="","",IF(TRIM(INDEX(인턴근무계획!$E$3:$J$202,$A83,2)&amp;"")="","",IFERROR(LEFT(TRIM(INDEX(인턴근무계획!$E$3:$J$202,$A83,2)&amp;""),FIND(" ",TRIM(INDEX(인턴근무계획!$E$3:$J$202,$A83,2)&amp;""))-1),TRIM(INDEX(인턴근무계획!$E$3:$J$202,$A83,2)&amp;""))))</f>
        <v/>
      </c>
      <c r="L83" s="19">
        <f>IF($C83="","",IF(TRIM(INDEX(인턴근무계획!$E$3:$J$202,$A83,3)&amp;"")="","",IFERROR(LEFT(TRIM(INDEX(인턴근무계획!$E$3:$J$202,$A83,3)&amp;""),FIND(" ",TRIM(INDEX(인턴근무계획!$E$3:$J$202,$A83,3)&amp;""))-1),TRIM(INDEX(인턴근무계획!$E$3:$J$202,$A83,3)&amp;""))))</f>
        <v/>
      </c>
      <c r="M83" s="19">
        <f>IF($C83="","",IF(TRIM(INDEX(인턴근무계획!$E$3:$J$202,$A83,4)&amp;"")="","",IFERROR(LEFT(TRIM(INDEX(인턴근무계획!$E$3:$J$202,$A83,4)&amp;""),FIND(" ",TRIM(INDEX(인턴근무계획!$E$3:$J$202,$A83,4)&amp;""))-1),TRIM(INDEX(인턴근무계획!$E$3:$J$202,$A83,4)&amp;""))))</f>
        <v/>
      </c>
      <c r="N83" s="19">
        <f>IF($C83="","",IF(TRIM(INDEX(인턴근무계획!$E$3:$J$202,$A83,5)&amp;"")="","",IFERROR(LEFT(TRIM(INDEX(인턴근무계획!$E$3:$J$202,$A83,5)&amp;""),FIND(" ",TRIM(INDEX(인턴근무계획!$E$3:$J$202,$A83,5)&amp;""))-1),TRIM(INDEX(인턴근무계획!$E$3:$J$202,$A83,5)&amp;""))))</f>
        <v/>
      </c>
      <c r="O83" s="19">
        <f>IF($C83="","",IF(TRIM(INDEX(인턴근무계획!$E$3:$J$202,$A83,6)&amp;"")="","",IFERROR(LEFT(TRIM(INDEX(인턴근무계획!$E$3:$J$202,$A83,6)&amp;""),FIND(" ",TRIM(INDEX(인턴근무계획!$E$3:$J$202,$A83,6)&amp;""))-1),TRIM(INDEX(인턴근무계획!$E$3:$J$202,$A83,6)&amp;""))))</f>
        <v/>
      </c>
      <c r="P83" s="19">
        <f>IF($C83="","",IF(INDEX(인턴근무계획!$K$3:$K$202,$A83)="","",INDEX(인턴근무계획!$K$3:$K$202,$A83)))</f>
        <v/>
      </c>
    </row>
    <row r="84">
      <c r="A84" s="18" t="n">
        <v>79</v>
      </c>
      <c r="B84" s="19">
        <f>IF($C84="","",INDEX(인턴근무계획!$B$3:$B$202,$A84))</f>
        <v/>
      </c>
      <c r="C84" s="19">
        <f>IFERROR(TRIM(INDEX(인턴근무계획!$C$3:$C$202,$A84)&amp;""),"")</f>
        <v/>
      </c>
      <c r="D84" s="19">
        <f>IF($C84="","",INDEX(인턴근무계획!$D$3:$D$202,$A84))</f>
        <v/>
      </c>
      <c r="E84" s="19">
        <f>IF($C84="","",IF(IFERROR(MATCH($D84,기본자료!$B$2:$B$501,0),IFERROR(MATCH($D84&amp;"",기본자료!$B$2:$B$501,0),IFERROR(MATCH(VALUE($D84),기본자료!$B$2:$B$501,0),0)))&gt;0,"확인","미등록"))</f>
        <v/>
      </c>
      <c r="F84" s="19">
        <f>IF(OR($C84="",$F$3=""),"",IF(TRIM(INDEX(인턴근무계획!$E$3:$J$202,$A84,$F$3)&amp;"")="","",IFERROR(LEFT(TRIM(INDEX(인턴근무계획!$E$3:$J$202,$A84,$F$3)&amp;""),FIND(" ",TRIM(INDEX(인턴근무계획!$E$3:$J$202,$A84,$F$3)&amp;""))-1),TRIM(INDEX(인턴근무계획!$E$3:$J$202,$A84,$F$3)&amp;""))))</f>
        <v/>
      </c>
      <c r="G84" s="19">
        <f>IF(OR($C84="",$F$3=""),"",IF(TRIM(INDEX(인턴근무계획!$E$3:$J$202,$A84,$F$3)&amp;"")="","",IFERROR(MID(TRIM(INDEX(인턴근무계획!$E$3:$J$202,$A84,$F$3)&amp;""),FIND(" ",TRIM(INDEX(인턴근무계획!$E$3:$J$202,$A84,$F$3)&amp;""))+1,60),"")))</f>
        <v/>
      </c>
      <c r="H84" s="19">
        <f>IF(OR($C84="",$H$3=""),"",IF(TRIM(INDEX(인턴근무계획!$E$3:$J$202,$A84,$H$3)&amp;"")="","",IFERROR(LEFT(TRIM(INDEX(인턴근무계획!$E$3:$J$202,$A84,$H$3)&amp;""),FIND(" ",TRIM(INDEX(인턴근무계획!$E$3:$J$202,$A84,$H$3)&amp;""))-1),TRIM(INDEX(인턴근무계획!$E$3:$J$202,$A84,$H$3)&amp;""))))</f>
        <v/>
      </c>
      <c r="I84" s="19">
        <f>IF(OR($C84="",$H$3=""),"",IF(TRIM(INDEX(인턴근무계획!$E$3:$J$202,$A84,$H$3)&amp;"")="","",IFERROR(MID(TRIM(INDEX(인턴근무계획!$E$3:$J$202,$A84,$H$3)&amp;""),FIND(" ",TRIM(INDEX(인턴근무계획!$E$3:$J$202,$A84,$H$3)&amp;""))+1,60),"")))</f>
        <v/>
      </c>
      <c r="J84" s="19">
        <f>IF($C84="","",IF(TRIM(INDEX(인턴근무계획!$E$3:$J$202,$A84,1)&amp;"")="","",IFERROR(LEFT(TRIM(INDEX(인턴근무계획!$E$3:$J$202,$A84,1)&amp;""),FIND(" ",TRIM(INDEX(인턴근무계획!$E$3:$J$202,$A84,1)&amp;""))-1),TRIM(INDEX(인턴근무계획!$E$3:$J$202,$A84,1)&amp;""))))</f>
        <v/>
      </c>
      <c r="K84" s="19">
        <f>IF($C84="","",IF(TRIM(INDEX(인턴근무계획!$E$3:$J$202,$A84,2)&amp;"")="","",IFERROR(LEFT(TRIM(INDEX(인턴근무계획!$E$3:$J$202,$A84,2)&amp;""),FIND(" ",TRIM(INDEX(인턴근무계획!$E$3:$J$202,$A84,2)&amp;""))-1),TRIM(INDEX(인턴근무계획!$E$3:$J$202,$A84,2)&amp;""))))</f>
        <v/>
      </c>
      <c r="L84" s="19">
        <f>IF($C84="","",IF(TRIM(INDEX(인턴근무계획!$E$3:$J$202,$A84,3)&amp;"")="","",IFERROR(LEFT(TRIM(INDEX(인턴근무계획!$E$3:$J$202,$A84,3)&amp;""),FIND(" ",TRIM(INDEX(인턴근무계획!$E$3:$J$202,$A84,3)&amp;""))-1),TRIM(INDEX(인턴근무계획!$E$3:$J$202,$A84,3)&amp;""))))</f>
        <v/>
      </c>
      <c r="M84" s="19">
        <f>IF($C84="","",IF(TRIM(INDEX(인턴근무계획!$E$3:$J$202,$A84,4)&amp;"")="","",IFERROR(LEFT(TRIM(INDEX(인턴근무계획!$E$3:$J$202,$A84,4)&amp;""),FIND(" ",TRIM(INDEX(인턴근무계획!$E$3:$J$202,$A84,4)&amp;""))-1),TRIM(INDEX(인턴근무계획!$E$3:$J$202,$A84,4)&amp;""))))</f>
        <v/>
      </c>
      <c r="N84" s="19">
        <f>IF($C84="","",IF(TRIM(INDEX(인턴근무계획!$E$3:$J$202,$A84,5)&amp;"")="","",IFERROR(LEFT(TRIM(INDEX(인턴근무계획!$E$3:$J$202,$A84,5)&amp;""),FIND(" ",TRIM(INDEX(인턴근무계획!$E$3:$J$202,$A84,5)&amp;""))-1),TRIM(INDEX(인턴근무계획!$E$3:$J$202,$A84,5)&amp;""))))</f>
        <v/>
      </c>
      <c r="O84" s="19">
        <f>IF($C84="","",IF(TRIM(INDEX(인턴근무계획!$E$3:$J$202,$A84,6)&amp;"")="","",IFERROR(LEFT(TRIM(INDEX(인턴근무계획!$E$3:$J$202,$A84,6)&amp;""),FIND(" ",TRIM(INDEX(인턴근무계획!$E$3:$J$202,$A84,6)&amp;""))-1),TRIM(INDEX(인턴근무계획!$E$3:$J$202,$A84,6)&amp;""))))</f>
        <v/>
      </c>
      <c r="P84" s="19">
        <f>IF($C84="","",IF(INDEX(인턴근무계획!$K$3:$K$202,$A84)="","",INDEX(인턴근무계획!$K$3:$K$202,$A84)))</f>
        <v/>
      </c>
    </row>
    <row r="85">
      <c r="A85" s="18" t="n">
        <v>80</v>
      </c>
      <c r="B85" s="19">
        <f>IF($C85="","",INDEX(인턴근무계획!$B$3:$B$202,$A85))</f>
        <v/>
      </c>
      <c r="C85" s="19">
        <f>IFERROR(TRIM(INDEX(인턴근무계획!$C$3:$C$202,$A85)&amp;""),"")</f>
        <v/>
      </c>
      <c r="D85" s="19">
        <f>IF($C85="","",INDEX(인턴근무계획!$D$3:$D$202,$A85))</f>
        <v/>
      </c>
      <c r="E85" s="19">
        <f>IF($C85="","",IF(IFERROR(MATCH($D85,기본자료!$B$2:$B$501,0),IFERROR(MATCH($D85&amp;"",기본자료!$B$2:$B$501,0),IFERROR(MATCH(VALUE($D85),기본자료!$B$2:$B$501,0),0)))&gt;0,"확인","미등록"))</f>
        <v/>
      </c>
      <c r="F85" s="19">
        <f>IF(OR($C85="",$F$3=""),"",IF(TRIM(INDEX(인턴근무계획!$E$3:$J$202,$A85,$F$3)&amp;"")="","",IFERROR(LEFT(TRIM(INDEX(인턴근무계획!$E$3:$J$202,$A85,$F$3)&amp;""),FIND(" ",TRIM(INDEX(인턴근무계획!$E$3:$J$202,$A85,$F$3)&amp;""))-1),TRIM(INDEX(인턴근무계획!$E$3:$J$202,$A85,$F$3)&amp;""))))</f>
        <v/>
      </c>
      <c r="G85" s="19">
        <f>IF(OR($C85="",$F$3=""),"",IF(TRIM(INDEX(인턴근무계획!$E$3:$J$202,$A85,$F$3)&amp;"")="","",IFERROR(MID(TRIM(INDEX(인턴근무계획!$E$3:$J$202,$A85,$F$3)&amp;""),FIND(" ",TRIM(INDEX(인턴근무계획!$E$3:$J$202,$A85,$F$3)&amp;""))+1,60),"")))</f>
        <v/>
      </c>
      <c r="H85" s="19">
        <f>IF(OR($C85="",$H$3=""),"",IF(TRIM(INDEX(인턴근무계획!$E$3:$J$202,$A85,$H$3)&amp;"")="","",IFERROR(LEFT(TRIM(INDEX(인턴근무계획!$E$3:$J$202,$A85,$H$3)&amp;""),FIND(" ",TRIM(INDEX(인턴근무계획!$E$3:$J$202,$A85,$H$3)&amp;""))-1),TRIM(INDEX(인턴근무계획!$E$3:$J$202,$A85,$H$3)&amp;""))))</f>
        <v/>
      </c>
      <c r="I85" s="19">
        <f>IF(OR($C85="",$H$3=""),"",IF(TRIM(INDEX(인턴근무계획!$E$3:$J$202,$A85,$H$3)&amp;"")="","",IFERROR(MID(TRIM(INDEX(인턴근무계획!$E$3:$J$202,$A85,$H$3)&amp;""),FIND(" ",TRIM(INDEX(인턴근무계획!$E$3:$J$202,$A85,$H$3)&amp;""))+1,60),"")))</f>
        <v/>
      </c>
      <c r="J85" s="19">
        <f>IF($C85="","",IF(TRIM(INDEX(인턴근무계획!$E$3:$J$202,$A85,1)&amp;"")="","",IFERROR(LEFT(TRIM(INDEX(인턴근무계획!$E$3:$J$202,$A85,1)&amp;""),FIND(" ",TRIM(INDEX(인턴근무계획!$E$3:$J$202,$A85,1)&amp;""))-1),TRIM(INDEX(인턴근무계획!$E$3:$J$202,$A85,1)&amp;""))))</f>
        <v/>
      </c>
      <c r="K85" s="19">
        <f>IF($C85="","",IF(TRIM(INDEX(인턴근무계획!$E$3:$J$202,$A85,2)&amp;"")="","",IFERROR(LEFT(TRIM(INDEX(인턴근무계획!$E$3:$J$202,$A85,2)&amp;""),FIND(" ",TRIM(INDEX(인턴근무계획!$E$3:$J$202,$A85,2)&amp;""))-1),TRIM(INDEX(인턴근무계획!$E$3:$J$202,$A85,2)&amp;""))))</f>
        <v/>
      </c>
      <c r="L85" s="19">
        <f>IF($C85="","",IF(TRIM(INDEX(인턴근무계획!$E$3:$J$202,$A85,3)&amp;"")="","",IFERROR(LEFT(TRIM(INDEX(인턴근무계획!$E$3:$J$202,$A85,3)&amp;""),FIND(" ",TRIM(INDEX(인턴근무계획!$E$3:$J$202,$A85,3)&amp;""))-1),TRIM(INDEX(인턴근무계획!$E$3:$J$202,$A85,3)&amp;""))))</f>
        <v/>
      </c>
      <c r="M85" s="19">
        <f>IF($C85="","",IF(TRIM(INDEX(인턴근무계획!$E$3:$J$202,$A85,4)&amp;"")="","",IFERROR(LEFT(TRIM(INDEX(인턴근무계획!$E$3:$J$202,$A85,4)&amp;""),FIND(" ",TRIM(INDEX(인턴근무계획!$E$3:$J$202,$A85,4)&amp;""))-1),TRIM(INDEX(인턴근무계획!$E$3:$J$202,$A85,4)&amp;""))))</f>
        <v/>
      </c>
      <c r="N85" s="19">
        <f>IF($C85="","",IF(TRIM(INDEX(인턴근무계획!$E$3:$J$202,$A85,5)&amp;"")="","",IFERROR(LEFT(TRIM(INDEX(인턴근무계획!$E$3:$J$202,$A85,5)&amp;""),FIND(" ",TRIM(INDEX(인턴근무계획!$E$3:$J$202,$A85,5)&amp;""))-1),TRIM(INDEX(인턴근무계획!$E$3:$J$202,$A85,5)&amp;""))))</f>
        <v/>
      </c>
      <c r="O85" s="19">
        <f>IF($C85="","",IF(TRIM(INDEX(인턴근무계획!$E$3:$J$202,$A85,6)&amp;"")="","",IFERROR(LEFT(TRIM(INDEX(인턴근무계획!$E$3:$J$202,$A85,6)&amp;""),FIND(" ",TRIM(INDEX(인턴근무계획!$E$3:$J$202,$A85,6)&amp;""))-1),TRIM(INDEX(인턴근무계획!$E$3:$J$202,$A85,6)&amp;""))))</f>
        <v/>
      </c>
      <c r="P85" s="19">
        <f>IF($C85="","",IF(INDEX(인턴근무계획!$K$3:$K$202,$A85)="","",INDEX(인턴근무계획!$K$3:$K$202,$A85)))</f>
        <v/>
      </c>
    </row>
    <row r="86">
      <c r="A86" s="18" t="n">
        <v>81</v>
      </c>
      <c r="B86" s="19">
        <f>IF($C86="","",INDEX(인턴근무계획!$B$3:$B$202,$A86))</f>
        <v/>
      </c>
      <c r="C86" s="19">
        <f>IFERROR(TRIM(INDEX(인턴근무계획!$C$3:$C$202,$A86)&amp;""),"")</f>
        <v/>
      </c>
      <c r="D86" s="19">
        <f>IF($C86="","",INDEX(인턴근무계획!$D$3:$D$202,$A86))</f>
        <v/>
      </c>
      <c r="E86" s="19">
        <f>IF($C86="","",IF(IFERROR(MATCH($D86,기본자료!$B$2:$B$501,0),IFERROR(MATCH($D86&amp;"",기본자료!$B$2:$B$501,0),IFERROR(MATCH(VALUE($D86),기본자료!$B$2:$B$501,0),0)))&gt;0,"확인","미등록"))</f>
        <v/>
      </c>
      <c r="F86" s="19">
        <f>IF(OR($C86="",$F$3=""),"",IF(TRIM(INDEX(인턴근무계획!$E$3:$J$202,$A86,$F$3)&amp;"")="","",IFERROR(LEFT(TRIM(INDEX(인턴근무계획!$E$3:$J$202,$A86,$F$3)&amp;""),FIND(" ",TRIM(INDEX(인턴근무계획!$E$3:$J$202,$A86,$F$3)&amp;""))-1),TRIM(INDEX(인턴근무계획!$E$3:$J$202,$A86,$F$3)&amp;""))))</f>
        <v/>
      </c>
      <c r="G86" s="19">
        <f>IF(OR($C86="",$F$3=""),"",IF(TRIM(INDEX(인턴근무계획!$E$3:$J$202,$A86,$F$3)&amp;"")="","",IFERROR(MID(TRIM(INDEX(인턴근무계획!$E$3:$J$202,$A86,$F$3)&amp;""),FIND(" ",TRIM(INDEX(인턴근무계획!$E$3:$J$202,$A86,$F$3)&amp;""))+1,60),"")))</f>
        <v/>
      </c>
      <c r="H86" s="19">
        <f>IF(OR($C86="",$H$3=""),"",IF(TRIM(INDEX(인턴근무계획!$E$3:$J$202,$A86,$H$3)&amp;"")="","",IFERROR(LEFT(TRIM(INDEX(인턴근무계획!$E$3:$J$202,$A86,$H$3)&amp;""),FIND(" ",TRIM(INDEX(인턴근무계획!$E$3:$J$202,$A86,$H$3)&amp;""))-1),TRIM(INDEX(인턴근무계획!$E$3:$J$202,$A86,$H$3)&amp;""))))</f>
        <v/>
      </c>
      <c r="I86" s="19">
        <f>IF(OR($C86="",$H$3=""),"",IF(TRIM(INDEX(인턴근무계획!$E$3:$J$202,$A86,$H$3)&amp;"")="","",IFERROR(MID(TRIM(INDEX(인턴근무계획!$E$3:$J$202,$A86,$H$3)&amp;""),FIND(" ",TRIM(INDEX(인턴근무계획!$E$3:$J$202,$A86,$H$3)&amp;""))+1,60),"")))</f>
        <v/>
      </c>
      <c r="J86" s="19">
        <f>IF($C86="","",IF(TRIM(INDEX(인턴근무계획!$E$3:$J$202,$A86,1)&amp;"")="","",IFERROR(LEFT(TRIM(INDEX(인턴근무계획!$E$3:$J$202,$A86,1)&amp;""),FIND(" ",TRIM(INDEX(인턴근무계획!$E$3:$J$202,$A86,1)&amp;""))-1),TRIM(INDEX(인턴근무계획!$E$3:$J$202,$A86,1)&amp;""))))</f>
        <v/>
      </c>
      <c r="K86" s="19">
        <f>IF($C86="","",IF(TRIM(INDEX(인턴근무계획!$E$3:$J$202,$A86,2)&amp;"")="","",IFERROR(LEFT(TRIM(INDEX(인턴근무계획!$E$3:$J$202,$A86,2)&amp;""),FIND(" ",TRIM(INDEX(인턴근무계획!$E$3:$J$202,$A86,2)&amp;""))-1),TRIM(INDEX(인턴근무계획!$E$3:$J$202,$A86,2)&amp;""))))</f>
        <v/>
      </c>
      <c r="L86" s="19">
        <f>IF($C86="","",IF(TRIM(INDEX(인턴근무계획!$E$3:$J$202,$A86,3)&amp;"")="","",IFERROR(LEFT(TRIM(INDEX(인턴근무계획!$E$3:$J$202,$A86,3)&amp;""),FIND(" ",TRIM(INDEX(인턴근무계획!$E$3:$J$202,$A86,3)&amp;""))-1),TRIM(INDEX(인턴근무계획!$E$3:$J$202,$A86,3)&amp;""))))</f>
        <v/>
      </c>
      <c r="M86" s="19">
        <f>IF($C86="","",IF(TRIM(INDEX(인턴근무계획!$E$3:$J$202,$A86,4)&amp;"")="","",IFERROR(LEFT(TRIM(INDEX(인턴근무계획!$E$3:$J$202,$A86,4)&amp;""),FIND(" ",TRIM(INDEX(인턴근무계획!$E$3:$J$202,$A86,4)&amp;""))-1),TRIM(INDEX(인턴근무계획!$E$3:$J$202,$A86,4)&amp;""))))</f>
        <v/>
      </c>
      <c r="N86" s="19">
        <f>IF($C86="","",IF(TRIM(INDEX(인턴근무계획!$E$3:$J$202,$A86,5)&amp;"")="","",IFERROR(LEFT(TRIM(INDEX(인턴근무계획!$E$3:$J$202,$A86,5)&amp;""),FIND(" ",TRIM(INDEX(인턴근무계획!$E$3:$J$202,$A86,5)&amp;""))-1),TRIM(INDEX(인턴근무계획!$E$3:$J$202,$A86,5)&amp;""))))</f>
        <v/>
      </c>
      <c r="O86" s="19">
        <f>IF($C86="","",IF(TRIM(INDEX(인턴근무계획!$E$3:$J$202,$A86,6)&amp;"")="","",IFERROR(LEFT(TRIM(INDEX(인턴근무계획!$E$3:$J$202,$A86,6)&amp;""),FIND(" ",TRIM(INDEX(인턴근무계획!$E$3:$J$202,$A86,6)&amp;""))-1),TRIM(INDEX(인턴근무계획!$E$3:$J$202,$A86,6)&amp;""))))</f>
        <v/>
      </c>
      <c r="P86" s="19">
        <f>IF($C86="","",IF(INDEX(인턴근무계획!$K$3:$K$202,$A86)="","",INDEX(인턴근무계획!$K$3:$K$202,$A86)))</f>
        <v/>
      </c>
    </row>
    <row r="87">
      <c r="A87" s="18" t="n">
        <v>82</v>
      </c>
      <c r="B87" s="19">
        <f>IF($C87="","",INDEX(인턴근무계획!$B$3:$B$202,$A87))</f>
        <v/>
      </c>
      <c r="C87" s="19">
        <f>IFERROR(TRIM(INDEX(인턴근무계획!$C$3:$C$202,$A87)&amp;""),"")</f>
        <v/>
      </c>
      <c r="D87" s="19">
        <f>IF($C87="","",INDEX(인턴근무계획!$D$3:$D$202,$A87))</f>
        <v/>
      </c>
      <c r="E87" s="19">
        <f>IF($C87="","",IF(IFERROR(MATCH($D87,기본자료!$B$2:$B$501,0),IFERROR(MATCH($D87&amp;"",기본자료!$B$2:$B$501,0),IFERROR(MATCH(VALUE($D87),기본자료!$B$2:$B$501,0),0)))&gt;0,"확인","미등록"))</f>
        <v/>
      </c>
      <c r="F87" s="19">
        <f>IF(OR($C87="",$F$3=""),"",IF(TRIM(INDEX(인턴근무계획!$E$3:$J$202,$A87,$F$3)&amp;"")="","",IFERROR(LEFT(TRIM(INDEX(인턴근무계획!$E$3:$J$202,$A87,$F$3)&amp;""),FIND(" ",TRIM(INDEX(인턴근무계획!$E$3:$J$202,$A87,$F$3)&amp;""))-1),TRIM(INDEX(인턴근무계획!$E$3:$J$202,$A87,$F$3)&amp;""))))</f>
        <v/>
      </c>
      <c r="G87" s="19">
        <f>IF(OR($C87="",$F$3=""),"",IF(TRIM(INDEX(인턴근무계획!$E$3:$J$202,$A87,$F$3)&amp;"")="","",IFERROR(MID(TRIM(INDEX(인턴근무계획!$E$3:$J$202,$A87,$F$3)&amp;""),FIND(" ",TRIM(INDEX(인턴근무계획!$E$3:$J$202,$A87,$F$3)&amp;""))+1,60),"")))</f>
        <v/>
      </c>
      <c r="H87" s="19">
        <f>IF(OR($C87="",$H$3=""),"",IF(TRIM(INDEX(인턴근무계획!$E$3:$J$202,$A87,$H$3)&amp;"")="","",IFERROR(LEFT(TRIM(INDEX(인턴근무계획!$E$3:$J$202,$A87,$H$3)&amp;""),FIND(" ",TRIM(INDEX(인턴근무계획!$E$3:$J$202,$A87,$H$3)&amp;""))-1),TRIM(INDEX(인턴근무계획!$E$3:$J$202,$A87,$H$3)&amp;""))))</f>
        <v/>
      </c>
      <c r="I87" s="19">
        <f>IF(OR($C87="",$H$3=""),"",IF(TRIM(INDEX(인턴근무계획!$E$3:$J$202,$A87,$H$3)&amp;"")="","",IFERROR(MID(TRIM(INDEX(인턴근무계획!$E$3:$J$202,$A87,$H$3)&amp;""),FIND(" ",TRIM(INDEX(인턴근무계획!$E$3:$J$202,$A87,$H$3)&amp;""))+1,60),"")))</f>
        <v/>
      </c>
      <c r="J87" s="19">
        <f>IF($C87="","",IF(TRIM(INDEX(인턴근무계획!$E$3:$J$202,$A87,1)&amp;"")="","",IFERROR(LEFT(TRIM(INDEX(인턴근무계획!$E$3:$J$202,$A87,1)&amp;""),FIND(" ",TRIM(INDEX(인턴근무계획!$E$3:$J$202,$A87,1)&amp;""))-1),TRIM(INDEX(인턴근무계획!$E$3:$J$202,$A87,1)&amp;""))))</f>
        <v/>
      </c>
      <c r="K87" s="19">
        <f>IF($C87="","",IF(TRIM(INDEX(인턴근무계획!$E$3:$J$202,$A87,2)&amp;"")="","",IFERROR(LEFT(TRIM(INDEX(인턴근무계획!$E$3:$J$202,$A87,2)&amp;""),FIND(" ",TRIM(INDEX(인턴근무계획!$E$3:$J$202,$A87,2)&amp;""))-1),TRIM(INDEX(인턴근무계획!$E$3:$J$202,$A87,2)&amp;""))))</f>
        <v/>
      </c>
      <c r="L87" s="19">
        <f>IF($C87="","",IF(TRIM(INDEX(인턴근무계획!$E$3:$J$202,$A87,3)&amp;"")="","",IFERROR(LEFT(TRIM(INDEX(인턴근무계획!$E$3:$J$202,$A87,3)&amp;""),FIND(" ",TRIM(INDEX(인턴근무계획!$E$3:$J$202,$A87,3)&amp;""))-1),TRIM(INDEX(인턴근무계획!$E$3:$J$202,$A87,3)&amp;""))))</f>
        <v/>
      </c>
      <c r="M87" s="19">
        <f>IF($C87="","",IF(TRIM(INDEX(인턴근무계획!$E$3:$J$202,$A87,4)&amp;"")="","",IFERROR(LEFT(TRIM(INDEX(인턴근무계획!$E$3:$J$202,$A87,4)&amp;""),FIND(" ",TRIM(INDEX(인턴근무계획!$E$3:$J$202,$A87,4)&amp;""))-1),TRIM(INDEX(인턴근무계획!$E$3:$J$202,$A87,4)&amp;""))))</f>
        <v/>
      </c>
      <c r="N87" s="19">
        <f>IF($C87="","",IF(TRIM(INDEX(인턴근무계획!$E$3:$J$202,$A87,5)&amp;"")="","",IFERROR(LEFT(TRIM(INDEX(인턴근무계획!$E$3:$J$202,$A87,5)&amp;""),FIND(" ",TRIM(INDEX(인턴근무계획!$E$3:$J$202,$A87,5)&amp;""))-1),TRIM(INDEX(인턴근무계획!$E$3:$J$202,$A87,5)&amp;""))))</f>
        <v/>
      </c>
      <c r="O87" s="19">
        <f>IF($C87="","",IF(TRIM(INDEX(인턴근무계획!$E$3:$J$202,$A87,6)&amp;"")="","",IFERROR(LEFT(TRIM(INDEX(인턴근무계획!$E$3:$J$202,$A87,6)&amp;""),FIND(" ",TRIM(INDEX(인턴근무계획!$E$3:$J$202,$A87,6)&amp;""))-1),TRIM(INDEX(인턴근무계획!$E$3:$J$202,$A87,6)&amp;""))))</f>
        <v/>
      </c>
      <c r="P87" s="19">
        <f>IF($C87="","",IF(INDEX(인턴근무계획!$K$3:$K$202,$A87)="","",INDEX(인턴근무계획!$K$3:$K$202,$A87)))</f>
        <v/>
      </c>
    </row>
    <row r="88">
      <c r="A88" s="18" t="n">
        <v>83</v>
      </c>
      <c r="B88" s="19">
        <f>IF($C88="","",INDEX(인턴근무계획!$B$3:$B$202,$A88))</f>
        <v/>
      </c>
      <c r="C88" s="19">
        <f>IFERROR(TRIM(INDEX(인턴근무계획!$C$3:$C$202,$A88)&amp;""),"")</f>
        <v/>
      </c>
      <c r="D88" s="19">
        <f>IF($C88="","",INDEX(인턴근무계획!$D$3:$D$202,$A88))</f>
        <v/>
      </c>
      <c r="E88" s="19">
        <f>IF($C88="","",IF(IFERROR(MATCH($D88,기본자료!$B$2:$B$501,0),IFERROR(MATCH($D88&amp;"",기본자료!$B$2:$B$501,0),IFERROR(MATCH(VALUE($D88),기본자료!$B$2:$B$501,0),0)))&gt;0,"확인","미등록"))</f>
        <v/>
      </c>
      <c r="F88" s="19">
        <f>IF(OR($C88="",$F$3=""),"",IF(TRIM(INDEX(인턴근무계획!$E$3:$J$202,$A88,$F$3)&amp;"")="","",IFERROR(LEFT(TRIM(INDEX(인턴근무계획!$E$3:$J$202,$A88,$F$3)&amp;""),FIND(" ",TRIM(INDEX(인턴근무계획!$E$3:$J$202,$A88,$F$3)&amp;""))-1),TRIM(INDEX(인턴근무계획!$E$3:$J$202,$A88,$F$3)&amp;""))))</f>
        <v/>
      </c>
      <c r="G88" s="19">
        <f>IF(OR($C88="",$F$3=""),"",IF(TRIM(INDEX(인턴근무계획!$E$3:$J$202,$A88,$F$3)&amp;"")="","",IFERROR(MID(TRIM(INDEX(인턴근무계획!$E$3:$J$202,$A88,$F$3)&amp;""),FIND(" ",TRIM(INDEX(인턴근무계획!$E$3:$J$202,$A88,$F$3)&amp;""))+1,60),"")))</f>
        <v/>
      </c>
      <c r="H88" s="19">
        <f>IF(OR($C88="",$H$3=""),"",IF(TRIM(INDEX(인턴근무계획!$E$3:$J$202,$A88,$H$3)&amp;"")="","",IFERROR(LEFT(TRIM(INDEX(인턴근무계획!$E$3:$J$202,$A88,$H$3)&amp;""),FIND(" ",TRIM(INDEX(인턴근무계획!$E$3:$J$202,$A88,$H$3)&amp;""))-1),TRIM(INDEX(인턴근무계획!$E$3:$J$202,$A88,$H$3)&amp;""))))</f>
        <v/>
      </c>
      <c r="I88" s="19">
        <f>IF(OR($C88="",$H$3=""),"",IF(TRIM(INDEX(인턴근무계획!$E$3:$J$202,$A88,$H$3)&amp;"")="","",IFERROR(MID(TRIM(INDEX(인턴근무계획!$E$3:$J$202,$A88,$H$3)&amp;""),FIND(" ",TRIM(INDEX(인턴근무계획!$E$3:$J$202,$A88,$H$3)&amp;""))+1,60),"")))</f>
        <v/>
      </c>
      <c r="J88" s="19">
        <f>IF($C88="","",IF(TRIM(INDEX(인턴근무계획!$E$3:$J$202,$A88,1)&amp;"")="","",IFERROR(LEFT(TRIM(INDEX(인턴근무계획!$E$3:$J$202,$A88,1)&amp;""),FIND(" ",TRIM(INDEX(인턴근무계획!$E$3:$J$202,$A88,1)&amp;""))-1),TRIM(INDEX(인턴근무계획!$E$3:$J$202,$A88,1)&amp;""))))</f>
        <v/>
      </c>
      <c r="K88" s="19">
        <f>IF($C88="","",IF(TRIM(INDEX(인턴근무계획!$E$3:$J$202,$A88,2)&amp;"")="","",IFERROR(LEFT(TRIM(INDEX(인턴근무계획!$E$3:$J$202,$A88,2)&amp;""),FIND(" ",TRIM(INDEX(인턴근무계획!$E$3:$J$202,$A88,2)&amp;""))-1),TRIM(INDEX(인턴근무계획!$E$3:$J$202,$A88,2)&amp;""))))</f>
        <v/>
      </c>
      <c r="L88" s="19">
        <f>IF($C88="","",IF(TRIM(INDEX(인턴근무계획!$E$3:$J$202,$A88,3)&amp;"")="","",IFERROR(LEFT(TRIM(INDEX(인턴근무계획!$E$3:$J$202,$A88,3)&amp;""),FIND(" ",TRIM(INDEX(인턴근무계획!$E$3:$J$202,$A88,3)&amp;""))-1),TRIM(INDEX(인턴근무계획!$E$3:$J$202,$A88,3)&amp;""))))</f>
        <v/>
      </c>
      <c r="M88" s="19">
        <f>IF($C88="","",IF(TRIM(INDEX(인턴근무계획!$E$3:$J$202,$A88,4)&amp;"")="","",IFERROR(LEFT(TRIM(INDEX(인턴근무계획!$E$3:$J$202,$A88,4)&amp;""),FIND(" ",TRIM(INDEX(인턴근무계획!$E$3:$J$202,$A88,4)&amp;""))-1),TRIM(INDEX(인턴근무계획!$E$3:$J$202,$A88,4)&amp;""))))</f>
        <v/>
      </c>
      <c r="N88" s="19">
        <f>IF($C88="","",IF(TRIM(INDEX(인턴근무계획!$E$3:$J$202,$A88,5)&amp;"")="","",IFERROR(LEFT(TRIM(INDEX(인턴근무계획!$E$3:$J$202,$A88,5)&amp;""),FIND(" ",TRIM(INDEX(인턴근무계획!$E$3:$J$202,$A88,5)&amp;""))-1),TRIM(INDEX(인턴근무계획!$E$3:$J$202,$A88,5)&amp;""))))</f>
        <v/>
      </c>
      <c r="O88" s="19">
        <f>IF($C88="","",IF(TRIM(INDEX(인턴근무계획!$E$3:$J$202,$A88,6)&amp;"")="","",IFERROR(LEFT(TRIM(INDEX(인턴근무계획!$E$3:$J$202,$A88,6)&amp;""),FIND(" ",TRIM(INDEX(인턴근무계획!$E$3:$J$202,$A88,6)&amp;""))-1),TRIM(INDEX(인턴근무계획!$E$3:$J$202,$A88,6)&amp;""))))</f>
        <v/>
      </c>
      <c r="P88" s="19">
        <f>IF($C88="","",IF(INDEX(인턴근무계획!$K$3:$K$202,$A88)="","",INDEX(인턴근무계획!$K$3:$K$202,$A88)))</f>
        <v/>
      </c>
    </row>
    <row r="89">
      <c r="A89" s="18" t="n">
        <v>84</v>
      </c>
      <c r="B89" s="19">
        <f>IF($C89="","",INDEX(인턴근무계획!$B$3:$B$202,$A89))</f>
        <v/>
      </c>
      <c r="C89" s="19">
        <f>IFERROR(TRIM(INDEX(인턴근무계획!$C$3:$C$202,$A89)&amp;""),"")</f>
        <v/>
      </c>
      <c r="D89" s="19">
        <f>IF($C89="","",INDEX(인턴근무계획!$D$3:$D$202,$A89))</f>
        <v/>
      </c>
      <c r="E89" s="19">
        <f>IF($C89="","",IF(IFERROR(MATCH($D89,기본자료!$B$2:$B$501,0),IFERROR(MATCH($D89&amp;"",기본자료!$B$2:$B$501,0),IFERROR(MATCH(VALUE($D89),기본자료!$B$2:$B$501,0),0)))&gt;0,"확인","미등록"))</f>
        <v/>
      </c>
      <c r="F89" s="19">
        <f>IF(OR($C89="",$F$3=""),"",IF(TRIM(INDEX(인턴근무계획!$E$3:$J$202,$A89,$F$3)&amp;"")="","",IFERROR(LEFT(TRIM(INDEX(인턴근무계획!$E$3:$J$202,$A89,$F$3)&amp;""),FIND(" ",TRIM(INDEX(인턴근무계획!$E$3:$J$202,$A89,$F$3)&amp;""))-1),TRIM(INDEX(인턴근무계획!$E$3:$J$202,$A89,$F$3)&amp;""))))</f>
        <v/>
      </c>
      <c r="G89" s="19">
        <f>IF(OR($C89="",$F$3=""),"",IF(TRIM(INDEX(인턴근무계획!$E$3:$J$202,$A89,$F$3)&amp;"")="","",IFERROR(MID(TRIM(INDEX(인턴근무계획!$E$3:$J$202,$A89,$F$3)&amp;""),FIND(" ",TRIM(INDEX(인턴근무계획!$E$3:$J$202,$A89,$F$3)&amp;""))+1,60),"")))</f>
        <v/>
      </c>
      <c r="H89" s="19">
        <f>IF(OR($C89="",$H$3=""),"",IF(TRIM(INDEX(인턴근무계획!$E$3:$J$202,$A89,$H$3)&amp;"")="","",IFERROR(LEFT(TRIM(INDEX(인턴근무계획!$E$3:$J$202,$A89,$H$3)&amp;""),FIND(" ",TRIM(INDEX(인턴근무계획!$E$3:$J$202,$A89,$H$3)&amp;""))-1),TRIM(INDEX(인턴근무계획!$E$3:$J$202,$A89,$H$3)&amp;""))))</f>
        <v/>
      </c>
      <c r="I89" s="19">
        <f>IF(OR($C89="",$H$3=""),"",IF(TRIM(INDEX(인턴근무계획!$E$3:$J$202,$A89,$H$3)&amp;"")="","",IFERROR(MID(TRIM(INDEX(인턴근무계획!$E$3:$J$202,$A89,$H$3)&amp;""),FIND(" ",TRIM(INDEX(인턴근무계획!$E$3:$J$202,$A89,$H$3)&amp;""))+1,60),"")))</f>
        <v/>
      </c>
      <c r="J89" s="19">
        <f>IF($C89="","",IF(TRIM(INDEX(인턴근무계획!$E$3:$J$202,$A89,1)&amp;"")="","",IFERROR(LEFT(TRIM(INDEX(인턴근무계획!$E$3:$J$202,$A89,1)&amp;""),FIND(" ",TRIM(INDEX(인턴근무계획!$E$3:$J$202,$A89,1)&amp;""))-1),TRIM(INDEX(인턴근무계획!$E$3:$J$202,$A89,1)&amp;""))))</f>
        <v/>
      </c>
      <c r="K89" s="19">
        <f>IF($C89="","",IF(TRIM(INDEX(인턴근무계획!$E$3:$J$202,$A89,2)&amp;"")="","",IFERROR(LEFT(TRIM(INDEX(인턴근무계획!$E$3:$J$202,$A89,2)&amp;""),FIND(" ",TRIM(INDEX(인턴근무계획!$E$3:$J$202,$A89,2)&amp;""))-1),TRIM(INDEX(인턴근무계획!$E$3:$J$202,$A89,2)&amp;""))))</f>
        <v/>
      </c>
      <c r="L89" s="19">
        <f>IF($C89="","",IF(TRIM(INDEX(인턴근무계획!$E$3:$J$202,$A89,3)&amp;"")="","",IFERROR(LEFT(TRIM(INDEX(인턴근무계획!$E$3:$J$202,$A89,3)&amp;""),FIND(" ",TRIM(INDEX(인턴근무계획!$E$3:$J$202,$A89,3)&amp;""))-1),TRIM(INDEX(인턴근무계획!$E$3:$J$202,$A89,3)&amp;""))))</f>
        <v/>
      </c>
      <c r="M89" s="19">
        <f>IF($C89="","",IF(TRIM(INDEX(인턴근무계획!$E$3:$J$202,$A89,4)&amp;"")="","",IFERROR(LEFT(TRIM(INDEX(인턴근무계획!$E$3:$J$202,$A89,4)&amp;""),FIND(" ",TRIM(INDEX(인턴근무계획!$E$3:$J$202,$A89,4)&amp;""))-1),TRIM(INDEX(인턴근무계획!$E$3:$J$202,$A89,4)&amp;""))))</f>
        <v/>
      </c>
      <c r="N89" s="19">
        <f>IF($C89="","",IF(TRIM(INDEX(인턴근무계획!$E$3:$J$202,$A89,5)&amp;"")="","",IFERROR(LEFT(TRIM(INDEX(인턴근무계획!$E$3:$J$202,$A89,5)&amp;""),FIND(" ",TRIM(INDEX(인턴근무계획!$E$3:$J$202,$A89,5)&amp;""))-1),TRIM(INDEX(인턴근무계획!$E$3:$J$202,$A89,5)&amp;""))))</f>
        <v/>
      </c>
      <c r="O89" s="19">
        <f>IF($C89="","",IF(TRIM(INDEX(인턴근무계획!$E$3:$J$202,$A89,6)&amp;"")="","",IFERROR(LEFT(TRIM(INDEX(인턴근무계획!$E$3:$J$202,$A89,6)&amp;""),FIND(" ",TRIM(INDEX(인턴근무계획!$E$3:$J$202,$A89,6)&amp;""))-1),TRIM(INDEX(인턴근무계획!$E$3:$J$202,$A89,6)&amp;""))))</f>
        <v/>
      </c>
      <c r="P89" s="19">
        <f>IF($C89="","",IF(INDEX(인턴근무계획!$K$3:$K$202,$A89)="","",INDEX(인턴근무계획!$K$3:$K$202,$A89)))</f>
        <v/>
      </c>
    </row>
    <row r="90">
      <c r="A90" s="18" t="n">
        <v>85</v>
      </c>
      <c r="B90" s="19">
        <f>IF($C90="","",INDEX(인턴근무계획!$B$3:$B$202,$A90))</f>
        <v/>
      </c>
      <c r="C90" s="19">
        <f>IFERROR(TRIM(INDEX(인턴근무계획!$C$3:$C$202,$A90)&amp;""),"")</f>
        <v/>
      </c>
      <c r="D90" s="19">
        <f>IF($C90="","",INDEX(인턴근무계획!$D$3:$D$202,$A90))</f>
        <v/>
      </c>
      <c r="E90" s="19">
        <f>IF($C90="","",IF(IFERROR(MATCH($D90,기본자료!$B$2:$B$501,0),IFERROR(MATCH($D90&amp;"",기본자료!$B$2:$B$501,0),IFERROR(MATCH(VALUE($D90),기본자료!$B$2:$B$501,0),0)))&gt;0,"확인","미등록"))</f>
        <v/>
      </c>
      <c r="F90" s="19">
        <f>IF(OR($C90="",$F$3=""),"",IF(TRIM(INDEX(인턴근무계획!$E$3:$J$202,$A90,$F$3)&amp;"")="","",IFERROR(LEFT(TRIM(INDEX(인턴근무계획!$E$3:$J$202,$A90,$F$3)&amp;""),FIND(" ",TRIM(INDEX(인턴근무계획!$E$3:$J$202,$A90,$F$3)&amp;""))-1),TRIM(INDEX(인턴근무계획!$E$3:$J$202,$A90,$F$3)&amp;""))))</f>
        <v/>
      </c>
      <c r="G90" s="19">
        <f>IF(OR($C90="",$F$3=""),"",IF(TRIM(INDEX(인턴근무계획!$E$3:$J$202,$A90,$F$3)&amp;"")="","",IFERROR(MID(TRIM(INDEX(인턴근무계획!$E$3:$J$202,$A90,$F$3)&amp;""),FIND(" ",TRIM(INDEX(인턴근무계획!$E$3:$J$202,$A90,$F$3)&amp;""))+1,60),"")))</f>
        <v/>
      </c>
      <c r="H90" s="19">
        <f>IF(OR($C90="",$H$3=""),"",IF(TRIM(INDEX(인턴근무계획!$E$3:$J$202,$A90,$H$3)&amp;"")="","",IFERROR(LEFT(TRIM(INDEX(인턴근무계획!$E$3:$J$202,$A90,$H$3)&amp;""),FIND(" ",TRIM(INDEX(인턴근무계획!$E$3:$J$202,$A90,$H$3)&amp;""))-1),TRIM(INDEX(인턴근무계획!$E$3:$J$202,$A90,$H$3)&amp;""))))</f>
        <v/>
      </c>
      <c r="I90" s="19">
        <f>IF(OR($C90="",$H$3=""),"",IF(TRIM(INDEX(인턴근무계획!$E$3:$J$202,$A90,$H$3)&amp;"")="","",IFERROR(MID(TRIM(INDEX(인턴근무계획!$E$3:$J$202,$A90,$H$3)&amp;""),FIND(" ",TRIM(INDEX(인턴근무계획!$E$3:$J$202,$A90,$H$3)&amp;""))+1,60),"")))</f>
        <v/>
      </c>
      <c r="J90" s="19">
        <f>IF($C90="","",IF(TRIM(INDEX(인턴근무계획!$E$3:$J$202,$A90,1)&amp;"")="","",IFERROR(LEFT(TRIM(INDEX(인턴근무계획!$E$3:$J$202,$A90,1)&amp;""),FIND(" ",TRIM(INDEX(인턴근무계획!$E$3:$J$202,$A90,1)&amp;""))-1),TRIM(INDEX(인턴근무계획!$E$3:$J$202,$A90,1)&amp;""))))</f>
        <v/>
      </c>
      <c r="K90" s="19">
        <f>IF($C90="","",IF(TRIM(INDEX(인턴근무계획!$E$3:$J$202,$A90,2)&amp;"")="","",IFERROR(LEFT(TRIM(INDEX(인턴근무계획!$E$3:$J$202,$A90,2)&amp;""),FIND(" ",TRIM(INDEX(인턴근무계획!$E$3:$J$202,$A90,2)&amp;""))-1),TRIM(INDEX(인턴근무계획!$E$3:$J$202,$A90,2)&amp;""))))</f>
        <v/>
      </c>
      <c r="L90" s="19">
        <f>IF($C90="","",IF(TRIM(INDEX(인턴근무계획!$E$3:$J$202,$A90,3)&amp;"")="","",IFERROR(LEFT(TRIM(INDEX(인턴근무계획!$E$3:$J$202,$A90,3)&amp;""),FIND(" ",TRIM(INDEX(인턴근무계획!$E$3:$J$202,$A90,3)&amp;""))-1),TRIM(INDEX(인턴근무계획!$E$3:$J$202,$A90,3)&amp;""))))</f>
        <v/>
      </c>
      <c r="M90" s="19">
        <f>IF($C90="","",IF(TRIM(INDEX(인턴근무계획!$E$3:$J$202,$A90,4)&amp;"")="","",IFERROR(LEFT(TRIM(INDEX(인턴근무계획!$E$3:$J$202,$A90,4)&amp;""),FIND(" ",TRIM(INDEX(인턴근무계획!$E$3:$J$202,$A90,4)&amp;""))-1),TRIM(INDEX(인턴근무계획!$E$3:$J$202,$A90,4)&amp;""))))</f>
        <v/>
      </c>
      <c r="N90" s="19">
        <f>IF($C90="","",IF(TRIM(INDEX(인턴근무계획!$E$3:$J$202,$A90,5)&amp;"")="","",IFERROR(LEFT(TRIM(INDEX(인턴근무계획!$E$3:$J$202,$A90,5)&amp;""),FIND(" ",TRIM(INDEX(인턴근무계획!$E$3:$J$202,$A90,5)&amp;""))-1),TRIM(INDEX(인턴근무계획!$E$3:$J$202,$A90,5)&amp;""))))</f>
        <v/>
      </c>
      <c r="O90" s="19">
        <f>IF($C90="","",IF(TRIM(INDEX(인턴근무계획!$E$3:$J$202,$A90,6)&amp;"")="","",IFERROR(LEFT(TRIM(INDEX(인턴근무계획!$E$3:$J$202,$A90,6)&amp;""),FIND(" ",TRIM(INDEX(인턴근무계획!$E$3:$J$202,$A90,6)&amp;""))-1),TRIM(INDEX(인턴근무계획!$E$3:$J$202,$A90,6)&amp;""))))</f>
        <v/>
      </c>
      <c r="P90" s="19">
        <f>IF($C90="","",IF(INDEX(인턴근무계획!$K$3:$K$202,$A90)="","",INDEX(인턴근무계획!$K$3:$K$202,$A90)))</f>
        <v/>
      </c>
    </row>
    <row r="91">
      <c r="A91" s="18" t="n">
        <v>86</v>
      </c>
      <c r="B91" s="19">
        <f>IF($C91="","",INDEX(인턴근무계획!$B$3:$B$202,$A91))</f>
        <v/>
      </c>
      <c r="C91" s="19">
        <f>IFERROR(TRIM(INDEX(인턴근무계획!$C$3:$C$202,$A91)&amp;""),"")</f>
        <v/>
      </c>
      <c r="D91" s="19">
        <f>IF($C91="","",INDEX(인턴근무계획!$D$3:$D$202,$A91))</f>
        <v/>
      </c>
      <c r="E91" s="19">
        <f>IF($C91="","",IF(IFERROR(MATCH($D91,기본자료!$B$2:$B$501,0),IFERROR(MATCH($D91&amp;"",기본자료!$B$2:$B$501,0),IFERROR(MATCH(VALUE($D91),기본자료!$B$2:$B$501,0),0)))&gt;0,"확인","미등록"))</f>
        <v/>
      </c>
      <c r="F91" s="19">
        <f>IF(OR($C91="",$F$3=""),"",IF(TRIM(INDEX(인턴근무계획!$E$3:$J$202,$A91,$F$3)&amp;"")="","",IFERROR(LEFT(TRIM(INDEX(인턴근무계획!$E$3:$J$202,$A91,$F$3)&amp;""),FIND(" ",TRIM(INDEX(인턴근무계획!$E$3:$J$202,$A91,$F$3)&amp;""))-1),TRIM(INDEX(인턴근무계획!$E$3:$J$202,$A91,$F$3)&amp;""))))</f>
        <v/>
      </c>
      <c r="G91" s="19">
        <f>IF(OR($C91="",$F$3=""),"",IF(TRIM(INDEX(인턴근무계획!$E$3:$J$202,$A91,$F$3)&amp;"")="","",IFERROR(MID(TRIM(INDEX(인턴근무계획!$E$3:$J$202,$A91,$F$3)&amp;""),FIND(" ",TRIM(INDEX(인턴근무계획!$E$3:$J$202,$A91,$F$3)&amp;""))+1,60),"")))</f>
        <v/>
      </c>
      <c r="H91" s="19">
        <f>IF(OR($C91="",$H$3=""),"",IF(TRIM(INDEX(인턴근무계획!$E$3:$J$202,$A91,$H$3)&amp;"")="","",IFERROR(LEFT(TRIM(INDEX(인턴근무계획!$E$3:$J$202,$A91,$H$3)&amp;""),FIND(" ",TRIM(INDEX(인턴근무계획!$E$3:$J$202,$A91,$H$3)&amp;""))-1),TRIM(INDEX(인턴근무계획!$E$3:$J$202,$A91,$H$3)&amp;""))))</f>
        <v/>
      </c>
      <c r="I91" s="19">
        <f>IF(OR($C91="",$H$3=""),"",IF(TRIM(INDEX(인턴근무계획!$E$3:$J$202,$A91,$H$3)&amp;"")="","",IFERROR(MID(TRIM(INDEX(인턴근무계획!$E$3:$J$202,$A91,$H$3)&amp;""),FIND(" ",TRIM(INDEX(인턴근무계획!$E$3:$J$202,$A91,$H$3)&amp;""))+1,60),"")))</f>
        <v/>
      </c>
      <c r="J91" s="19">
        <f>IF($C91="","",IF(TRIM(INDEX(인턴근무계획!$E$3:$J$202,$A91,1)&amp;"")="","",IFERROR(LEFT(TRIM(INDEX(인턴근무계획!$E$3:$J$202,$A91,1)&amp;""),FIND(" ",TRIM(INDEX(인턴근무계획!$E$3:$J$202,$A91,1)&amp;""))-1),TRIM(INDEX(인턴근무계획!$E$3:$J$202,$A91,1)&amp;""))))</f>
        <v/>
      </c>
      <c r="K91" s="19">
        <f>IF($C91="","",IF(TRIM(INDEX(인턴근무계획!$E$3:$J$202,$A91,2)&amp;"")="","",IFERROR(LEFT(TRIM(INDEX(인턴근무계획!$E$3:$J$202,$A91,2)&amp;""),FIND(" ",TRIM(INDEX(인턴근무계획!$E$3:$J$202,$A91,2)&amp;""))-1),TRIM(INDEX(인턴근무계획!$E$3:$J$202,$A91,2)&amp;""))))</f>
        <v/>
      </c>
      <c r="L91" s="19">
        <f>IF($C91="","",IF(TRIM(INDEX(인턴근무계획!$E$3:$J$202,$A91,3)&amp;"")="","",IFERROR(LEFT(TRIM(INDEX(인턴근무계획!$E$3:$J$202,$A91,3)&amp;""),FIND(" ",TRIM(INDEX(인턴근무계획!$E$3:$J$202,$A91,3)&amp;""))-1),TRIM(INDEX(인턴근무계획!$E$3:$J$202,$A91,3)&amp;""))))</f>
        <v/>
      </c>
      <c r="M91" s="19">
        <f>IF($C91="","",IF(TRIM(INDEX(인턴근무계획!$E$3:$J$202,$A91,4)&amp;"")="","",IFERROR(LEFT(TRIM(INDEX(인턴근무계획!$E$3:$J$202,$A91,4)&amp;""),FIND(" ",TRIM(INDEX(인턴근무계획!$E$3:$J$202,$A91,4)&amp;""))-1),TRIM(INDEX(인턴근무계획!$E$3:$J$202,$A91,4)&amp;""))))</f>
        <v/>
      </c>
      <c r="N91" s="19">
        <f>IF($C91="","",IF(TRIM(INDEX(인턴근무계획!$E$3:$J$202,$A91,5)&amp;"")="","",IFERROR(LEFT(TRIM(INDEX(인턴근무계획!$E$3:$J$202,$A91,5)&amp;""),FIND(" ",TRIM(INDEX(인턴근무계획!$E$3:$J$202,$A91,5)&amp;""))-1),TRIM(INDEX(인턴근무계획!$E$3:$J$202,$A91,5)&amp;""))))</f>
        <v/>
      </c>
      <c r="O91" s="19">
        <f>IF($C91="","",IF(TRIM(INDEX(인턴근무계획!$E$3:$J$202,$A91,6)&amp;"")="","",IFERROR(LEFT(TRIM(INDEX(인턴근무계획!$E$3:$J$202,$A91,6)&amp;""),FIND(" ",TRIM(INDEX(인턴근무계획!$E$3:$J$202,$A91,6)&amp;""))-1),TRIM(INDEX(인턴근무계획!$E$3:$J$202,$A91,6)&amp;""))))</f>
        <v/>
      </c>
      <c r="P91" s="19">
        <f>IF($C91="","",IF(INDEX(인턴근무계획!$K$3:$K$202,$A91)="","",INDEX(인턴근무계획!$K$3:$K$202,$A91)))</f>
        <v/>
      </c>
    </row>
    <row r="92">
      <c r="A92" s="18" t="n">
        <v>87</v>
      </c>
      <c r="B92" s="19">
        <f>IF($C92="","",INDEX(인턴근무계획!$B$3:$B$202,$A92))</f>
        <v/>
      </c>
      <c r="C92" s="19">
        <f>IFERROR(TRIM(INDEX(인턴근무계획!$C$3:$C$202,$A92)&amp;""),"")</f>
        <v/>
      </c>
      <c r="D92" s="19">
        <f>IF($C92="","",INDEX(인턴근무계획!$D$3:$D$202,$A92))</f>
        <v/>
      </c>
      <c r="E92" s="19">
        <f>IF($C92="","",IF(IFERROR(MATCH($D92,기본자료!$B$2:$B$501,0),IFERROR(MATCH($D92&amp;"",기본자료!$B$2:$B$501,0),IFERROR(MATCH(VALUE($D92),기본자료!$B$2:$B$501,0),0)))&gt;0,"확인","미등록"))</f>
        <v/>
      </c>
      <c r="F92" s="19">
        <f>IF(OR($C92="",$F$3=""),"",IF(TRIM(INDEX(인턴근무계획!$E$3:$J$202,$A92,$F$3)&amp;"")="","",IFERROR(LEFT(TRIM(INDEX(인턴근무계획!$E$3:$J$202,$A92,$F$3)&amp;""),FIND(" ",TRIM(INDEX(인턴근무계획!$E$3:$J$202,$A92,$F$3)&amp;""))-1),TRIM(INDEX(인턴근무계획!$E$3:$J$202,$A92,$F$3)&amp;""))))</f>
        <v/>
      </c>
      <c r="G92" s="19">
        <f>IF(OR($C92="",$F$3=""),"",IF(TRIM(INDEX(인턴근무계획!$E$3:$J$202,$A92,$F$3)&amp;"")="","",IFERROR(MID(TRIM(INDEX(인턴근무계획!$E$3:$J$202,$A92,$F$3)&amp;""),FIND(" ",TRIM(INDEX(인턴근무계획!$E$3:$J$202,$A92,$F$3)&amp;""))+1,60),"")))</f>
        <v/>
      </c>
      <c r="H92" s="19">
        <f>IF(OR($C92="",$H$3=""),"",IF(TRIM(INDEX(인턴근무계획!$E$3:$J$202,$A92,$H$3)&amp;"")="","",IFERROR(LEFT(TRIM(INDEX(인턴근무계획!$E$3:$J$202,$A92,$H$3)&amp;""),FIND(" ",TRIM(INDEX(인턴근무계획!$E$3:$J$202,$A92,$H$3)&amp;""))-1),TRIM(INDEX(인턴근무계획!$E$3:$J$202,$A92,$H$3)&amp;""))))</f>
        <v/>
      </c>
      <c r="I92" s="19">
        <f>IF(OR($C92="",$H$3=""),"",IF(TRIM(INDEX(인턴근무계획!$E$3:$J$202,$A92,$H$3)&amp;"")="","",IFERROR(MID(TRIM(INDEX(인턴근무계획!$E$3:$J$202,$A92,$H$3)&amp;""),FIND(" ",TRIM(INDEX(인턴근무계획!$E$3:$J$202,$A92,$H$3)&amp;""))+1,60),"")))</f>
        <v/>
      </c>
      <c r="J92" s="19">
        <f>IF($C92="","",IF(TRIM(INDEX(인턴근무계획!$E$3:$J$202,$A92,1)&amp;"")="","",IFERROR(LEFT(TRIM(INDEX(인턴근무계획!$E$3:$J$202,$A92,1)&amp;""),FIND(" ",TRIM(INDEX(인턴근무계획!$E$3:$J$202,$A92,1)&amp;""))-1),TRIM(INDEX(인턴근무계획!$E$3:$J$202,$A92,1)&amp;""))))</f>
        <v/>
      </c>
      <c r="K92" s="19">
        <f>IF($C92="","",IF(TRIM(INDEX(인턴근무계획!$E$3:$J$202,$A92,2)&amp;"")="","",IFERROR(LEFT(TRIM(INDEX(인턴근무계획!$E$3:$J$202,$A92,2)&amp;""),FIND(" ",TRIM(INDEX(인턴근무계획!$E$3:$J$202,$A92,2)&amp;""))-1),TRIM(INDEX(인턴근무계획!$E$3:$J$202,$A92,2)&amp;""))))</f>
        <v/>
      </c>
      <c r="L92" s="19">
        <f>IF($C92="","",IF(TRIM(INDEX(인턴근무계획!$E$3:$J$202,$A92,3)&amp;"")="","",IFERROR(LEFT(TRIM(INDEX(인턴근무계획!$E$3:$J$202,$A92,3)&amp;""),FIND(" ",TRIM(INDEX(인턴근무계획!$E$3:$J$202,$A92,3)&amp;""))-1),TRIM(INDEX(인턴근무계획!$E$3:$J$202,$A92,3)&amp;""))))</f>
        <v/>
      </c>
      <c r="M92" s="19">
        <f>IF($C92="","",IF(TRIM(INDEX(인턴근무계획!$E$3:$J$202,$A92,4)&amp;"")="","",IFERROR(LEFT(TRIM(INDEX(인턴근무계획!$E$3:$J$202,$A92,4)&amp;""),FIND(" ",TRIM(INDEX(인턴근무계획!$E$3:$J$202,$A92,4)&amp;""))-1),TRIM(INDEX(인턴근무계획!$E$3:$J$202,$A92,4)&amp;""))))</f>
        <v/>
      </c>
      <c r="N92" s="19">
        <f>IF($C92="","",IF(TRIM(INDEX(인턴근무계획!$E$3:$J$202,$A92,5)&amp;"")="","",IFERROR(LEFT(TRIM(INDEX(인턴근무계획!$E$3:$J$202,$A92,5)&amp;""),FIND(" ",TRIM(INDEX(인턴근무계획!$E$3:$J$202,$A92,5)&amp;""))-1),TRIM(INDEX(인턴근무계획!$E$3:$J$202,$A92,5)&amp;""))))</f>
        <v/>
      </c>
      <c r="O92" s="19">
        <f>IF($C92="","",IF(TRIM(INDEX(인턴근무계획!$E$3:$J$202,$A92,6)&amp;"")="","",IFERROR(LEFT(TRIM(INDEX(인턴근무계획!$E$3:$J$202,$A92,6)&amp;""),FIND(" ",TRIM(INDEX(인턴근무계획!$E$3:$J$202,$A92,6)&amp;""))-1),TRIM(INDEX(인턴근무계획!$E$3:$J$202,$A92,6)&amp;""))))</f>
        <v/>
      </c>
      <c r="P92" s="19">
        <f>IF($C92="","",IF(INDEX(인턴근무계획!$K$3:$K$202,$A92)="","",INDEX(인턴근무계획!$K$3:$K$202,$A92)))</f>
        <v/>
      </c>
    </row>
    <row r="93">
      <c r="A93" s="18" t="n">
        <v>88</v>
      </c>
      <c r="B93" s="19">
        <f>IF($C93="","",INDEX(인턴근무계획!$B$3:$B$202,$A93))</f>
        <v/>
      </c>
      <c r="C93" s="19">
        <f>IFERROR(TRIM(INDEX(인턴근무계획!$C$3:$C$202,$A93)&amp;""),"")</f>
        <v/>
      </c>
      <c r="D93" s="19">
        <f>IF($C93="","",INDEX(인턴근무계획!$D$3:$D$202,$A93))</f>
        <v/>
      </c>
      <c r="E93" s="19">
        <f>IF($C93="","",IF(IFERROR(MATCH($D93,기본자료!$B$2:$B$501,0),IFERROR(MATCH($D93&amp;"",기본자료!$B$2:$B$501,0),IFERROR(MATCH(VALUE($D93),기본자료!$B$2:$B$501,0),0)))&gt;0,"확인","미등록"))</f>
        <v/>
      </c>
      <c r="F93" s="19">
        <f>IF(OR($C93="",$F$3=""),"",IF(TRIM(INDEX(인턴근무계획!$E$3:$J$202,$A93,$F$3)&amp;"")="","",IFERROR(LEFT(TRIM(INDEX(인턴근무계획!$E$3:$J$202,$A93,$F$3)&amp;""),FIND(" ",TRIM(INDEX(인턴근무계획!$E$3:$J$202,$A93,$F$3)&amp;""))-1),TRIM(INDEX(인턴근무계획!$E$3:$J$202,$A93,$F$3)&amp;""))))</f>
        <v/>
      </c>
      <c r="G93" s="19">
        <f>IF(OR($C93="",$F$3=""),"",IF(TRIM(INDEX(인턴근무계획!$E$3:$J$202,$A93,$F$3)&amp;"")="","",IFERROR(MID(TRIM(INDEX(인턴근무계획!$E$3:$J$202,$A93,$F$3)&amp;""),FIND(" ",TRIM(INDEX(인턴근무계획!$E$3:$J$202,$A93,$F$3)&amp;""))+1,60),"")))</f>
        <v/>
      </c>
      <c r="H93" s="19">
        <f>IF(OR($C93="",$H$3=""),"",IF(TRIM(INDEX(인턴근무계획!$E$3:$J$202,$A93,$H$3)&amp;"")="","",IFERROR(LEFT(TRIM(INDEX(인턴근무계획!$E$3:$J$202,$A93,$H$3)&amp;""),FIND(" ",TRIM(INDEX(인턴근무계획!$E$3:$J$202,$A93,$H$3)&amp;""))-1),TRIM(INDEX(인턴근무계획!$E$3:$J$202,$A93,$H$3)&amp;""))))</f>
        <v/>
      </c>
      <c r="I93" s="19">
        <f>IF(OR($C93="",$H$3=""),"",IF(TRIM(INDEX(인턴근무계획!$E$3:$J$202,$A93,$H$3)&amp;"")="","",IFERROR(MID(TRIM(INDEX(인턴근무계획!$E$3:$J$202,$A93,$H$3)&amp;""),FIND(" ",TRIM(INDEX(인턴근무계획!$E$3:$J$202,$A93,$H$3)&amp;""))+1,60),"")))</f>
        <v/>
      </c>
      <c r="J93" s="19">
        <f>IF($C93="","",IF(TRIM(INDEX(인턴근무계획!$E$3:$J$202,$A93,1)&amp;"")="","",IFERROR(LEFT(TRIM(INDEX(인턴근무계획!$E$3:$J$202,$A93,1)&amp;""),FIND(" ",TRIM(INDEX(인턴근무계획!$E$3:$J$202,$A93,1)&amp;""))-1),TRIM(INDEX(인턴근무계획!$E$3:$J$202,$A93,1)&amp;""))))</f>
        <v/>
      </c>
      <c r="K93" s="19">
        <f>IF($C93="","",IF(TRIM(INDEX(인턴근무계획!$E$3:$J$202,$A93,2)&amp;"")="","",IFERROR(LEFT(TRIM(INDEX(인턴근무계획!$E$3:$J$202,$A93,2)&amp;""),FIND(" ",TRIM(INDEX(인턴근무계획!$E$3:$J$202,$A93,2)&amp;""))-1),TRIM(INDEX(인턴근무계획!$E$3:$J$202,$A93,2)&amp;""))))</f>
        <v/>
      </c>
      <c r="L93" s="19">
        <f>IF($C93="","",IF(TRIM(INDEX(인턴근무계획!$E$3:$J$202,$A93,3)&amp;"")="","",IFERROR(LEFT(TRIM(INDEX(인턴근무계획!$E$3:$J$202,$A93,3)&amp;""),FIND(" ",TRIM(INDEX(인턴근무계획!$E$3:$J$202,$A93,3)&amp;""))-1),TRIM(INDEX(인턴근무계획!$E$3:$J$202,$A93,3)&amp;""))))</f>
        <v/>
      </c>
      <c r="M93" s="19">
        <f>IF($C93="","",IF(TRIM(INDEX(인턴근무계획!$E$3:$J$202,$A93,4)&amp;"")="","",IFERROR(LEFT(TRIM(INDEX(인턴근무계획!$E$3:$J$202,$A93,4)&amp;""),FIND(" ",TRIM(INDEX(인턴근무계획!$E$3:$J$202,$A93,4)&amp;""))-1),TRIM(INDEX(인턴근무계획!$E$3:$J$202,$A93,4)&amp;""))))</f>
        <v/>
      </c>
      <c r="N93" s="19">
        <f>IF($C93="","",IF(TRIM(INDEX(인턴근무계획!$E$3:$J$202,$A93,5)&amp;"")="","",IFERROR(LEFT(TRIM(INDEX(인턴근무계획!$E$3:$J$202,$A93,5)&amp;""),FIND(" ",TRIM(INDEX(인턴근무계획!$E$3:$J$202,$A93,5)&amp;""))-1),TRIM(INDEX(인턴근무계획!$E$3:$J$202,$A93,5)&amp;""))))</f>
        <v/>
      </c>
      <c r="O93" s="19">
        <f>IF($C93="","",IF(TRIM(INDEX(인턴근무계획!$E$3:$J$202,$A93,6)&amp;"")="","",IFERROR(LEFT(TRIM(INDEX(인턴근무계획!$E$3:$J$202,$A93,6)&amp;""),FIND(" ",TRIM(INDEX(인턴근무계획!$E$3:$J$202,$A93,6)&amp;""))-1),TRIM(INDEX(인턴근무계획!$E$3:$J$202,$A93,6)&amp;""))))</f>
        <v/>
      </c>
      <c r="P93" s="19">
        <f>IF($C93="","",IF(INDEX(인턴근무계획!$K$3:$K$202,$A93)="","",INDEX(인턴근무계획!$K$3:$K$202,$A93)))</f>
        <v/>
      </c>
    </row>
    <row r="94">
      <c r="A94" s="18" t="n">
        <v>89</v>
      </c>
      <c r="B94" s="19">
        <f>IF($C94="","",INDEX(인턴근무계획!$B$3:$B$202,$A94))</f>
        <v/>
      </c>
      <c r="C94" s="19">
        <f>IFERROR(TRIM(INDEX(인턴근무계획!$C$3:$C$202,$A94)&amp;""),"")</f>
        <v/>
      </c>
      <c r="D94" s="19">
        <f>IF($C94="","",INDEX(인턴근무계획!$D$3:$D$202,$A94))</f>
        <v/>
      </c>
      <c r="E94" s="19">
        <f>IF($C94="","",IF(IFERROR(MATCH($D94,기본자료!$B$2:$B$501,0),IFERROR(MATCH($D94&amp;"",기본자료!$B$2:$B$501,0),IFERROR(MATCH(VALUE($D94),기본자료!$B$2:$B$501,0),0)))&gt;0,"확인","미등록"))</f>
        <v/>
      </c>
      <c r="F94" s="19">
        <f>IF(OR($C94="",$F$3=""),"",IF(TRIM(INDEX(인턴근무계획!$E$3:$J$202,$A94,$F$3)&amp;"")="","",IFERROR(LEFT(TRIM(INDEX(인턴근무계획!$E$3:$J$202,$A94,$F$3)&amp;""),FIND(" ",TRIM(INDEX(인턴근무계획!$E$3:$J$202,$A94,$F$3)&amp;""))-1),TRIM(INDEX(인턴근무계획!$E$3:$J$202,$A94,$F$3)&amp;""))))</f>
        <v/>
      </c>
      <c r="G94" s="19">
        <f>IF(OR($C94="",$F$3=""),"",IF(TRIM(INDEX(인턴근무계획!$E$3:$J$202,$A94,$F$3)&amp;"")="","",IFERROR(MID(TRIM(INDEX(인턴근무계획!$E$3:$J$202,$A94,$F$3)&amp;""),FIND(" ",TRIM(INDEX(인턴근무계획!$E$3:$J$202,$A94,$F$3)&amp;""))+1,60),"")))</f>
        <v/>
      </c>
      <c r="H94" s="19">
        <f>IF(OR($C94="",$H$3=""),"",IF(TRIM(INDEX(인턴근무계획!$E$3:$J$202,$A94,$H$3)&amp;"")="","",IFERROR(LEFT(TRIM(INDEX(인턴근무계획!$E$3:$J$202,$A94,$H$3)&amp;""),FIND(" ",TRIM(INDEX(인턴근무계획!$E$3:$J$202,$A94,$H$3)&amp;""))-1),TRIM(INDEX(인턴근무계획!$E$3:$J$202,$A94,$H$3)&amp;""))))</f>
        <v/>
      </c>
      <c r="I94" s="19">
        <f>IF(OR($C94="",$H$3=""),"",IF(TRIM(INDEX(인턴근무계획!$E$3:$J$202,$A94,$H$3)&amp;"")="","",IFERROR(MID(TRIM(INDEX(인턴근무계획!$E$3:$J$202,$A94,$H$3)&amp;""),FIND(" ",TRIM(INDEX(인턴근무계획!$E$3:$J$202,$A94,$H$3)&amp;""))+1,60),"")))</f>
        <v/>
      </c>
      <c r="J94" s="19">
        <f>IF($C94="","",IF(TRIM(INDEX(인턴근무계획!$E$3:$J$202,$A94,1)&amp;"")="","",IFERROR(LEFT(TRIM(INDEX(인턴근무계획!$E$3:$J$202,$A94,1)&amp;""),FIND(" ",TRIM(INDEX(인턴근무계획!$E$3:$J$202,$A94,1)&amp;""))-1),TRIM(INDEX(인턴근무계획!$E$3:$J$202,$A94,1)&amp;""))))</f>
        <v/>
      </c>
      <c r="K94" s="19">
        <f>IF($C94="","",IF(TRIM(INDEX(인턴근무계획!$E$3:$J$202,$A94,2)&amp;"")="","",IFERROR(LEFT(TRIM(INDEX(인턴근무계획!$E$3:$J$202,$A94,2)&amp;""),FIND(" ",TRIM(INDEX(인턴근무계획!$E$3:$J$202,$A94,2)&amp;""))-1),TRIM(INDEX(인턴근무계획!$E$3:$J$202,$A94,2)&amp;""))))</f>
        <v/>
      </c>
      <c r="L94" s="19">
        <f>IF($C94="","",IF(TRIM(INDEX(인턴근무계획!$E$3:$J$202,$A94,3)&amp;"")="","",IFERROR(LEFT(TRIM(INDEX(인턴근무계획!$E$3:$J$202,$A94,3)&amp;""),FIND(" ",TRIM(INDEX(인턴근무계획!$E$3:$J$202,$A94,3)&amp;""))-1),TRIM(INDEX(인턴근무계획!$E$3:$J$202,$A94,3)&amp;""))))</f>
        <v/>
      </c>
      <c r="M94" s="19">
        <f>IF($C94="","",IF(TRIM(INDEX(인턴근무계획!$E$3:$J$202,$A94,4)&amp;"")="","",IFERROR(LEFT(TRIM(INDEX(인턴근무계획!$E$3:$J$202,$A94,4)&amp;""),FIND(" ",TRIM(INDEX(인턴근무계획!$E$3:$J$202,$A94,4)&amp;""))-1),TRIM(INDEX(인턴근무계획!$E$3:$J$202,$A94,4)&amp;""))))</f>
        <v/>
      </c>
      <c r="N94" s="19">
        <f>IF($C94="","",IF(TRIM(INDEX(인턴근무계획!$E$3:$J$202,$A94,5)&amp;"")="","",IFERROR(LEFT(TRIM(INDEX(인턴근무계획!$E$3:$J$202,$A94,5)&amp;""),FIND(" ",TRIM(INDEX(인턴근무계획!$E$3:$J$202,$A94,5)&amp;""))-1),TRIM(INDEX(인턴근무계획!$E$3:$J$202,$A94,5)&amp;""))))</f>
        <v/>
      </c>
      <c r="O94" s="19">
        <f>IF($C94="","",IF(TRIM(INDEX(인턴근무계획!$E$3:$J$202,$A94,6)&amp;"")="","",IFERROR(LEFT(TRIM(INDEX(인턴근무계획!$E$3:$J$202,$A94,6)&amp;""),FIND(" ",TRIM(INDEX(인턴근무계획!$E$3:$J$202,$A94,6)&amp;""))-1),TRIM(INDEX(인턴근무계획!$E$3:$J$202,$A94,6)&amp;""))))</f>
        <v/>
      </c>
      <c r="P94" s="19">
        <f>IF($C94="","",IF(INDEX(인턴근무계획!$K$3:$K$202,$A94)="","",INDEX(인턴근무계획!$K$3:$K$202,$A94)))</f>
        <v/>
      </c>
    </row>
    <row r="95">
      <c r="A95" s="18" t="n">
        <v>90</v>
      </c>
      <c r="B95" s="19">
        <f>IF($C95="","",INDEX(인턴근무계획!$B$3:$B$202,$A95))</f>
        <v/>
      </c>
      <c r="C95" s="19">
        <f>IFERROR(TRIM(INDEX(인턴근무계획!$C$3:$C$202,$A95)&amp;""),"")</f>
        <v/>
      </c>
      <c r="D95" s="19">
        <f>IF($C95="","",INDEX(인턴근무계획!$D$3:$D$202,$A95))</f>
        <v/>
      </c>
      <c r="E95" s="19">
        <f>IF($C95="","",IF(IFERROR(MATCH($D95,기본자료!$B$2:$B$501,0),IFERROR(MATCH($D95&amp;"",기본자료!$B$2:$B$501,0),IFERROR(MATCH(VALUE($D95),기본자료!$B$2:$B$501,0),0)))&gt;0,"확인","미등록"))</f>
        <v/>
      </c>
      <c r="F95" s="19">
        <f>IF(OR($C95="",$F$3=""),"",IF(TRIM(INDEX(인턴근무계획!$E$3:$J$202,$A95,$F$3)&amp;"")="","",IFERROR(LEFT(TRIM(INDEX(인턴근무계획!$E$3:$J$202,$A95,$F$3)&amp;""),FIND(" ",TRIM(INDEX(인턴근무계획!$E$3:$J$202,$A95,$F$3)&amp;""))-1),TRIM(INDEX(인턴근무계획!$E$3:$J$202,$A95,$F$3)&amp;""))))</f>
        <v/>
      </c>
      <c r="G95" s="19">
        <f>IF(OR($C95="",$F$3=""),"",IF(TRIM(INDEX(인턴근무계획!$E$3:$J$202,$A95,$F$3)&amp;"")="","",IFERROR(MID(TRIM(INDEX(인턴근무계획!$E$3:$J$202,$A95,$F$3)&amp;""),FIND(" ",TRIM(INDEX(인턴근무계획!$E$3:$J$202,$A95,$F$3)&amp;""))+1,60),"")))</f>
        <v/>
      </c>
      <c r="H95" s="19">
        <f>IF(OR($C95="",$H$3=""),"",IF(TRIM(INDEX(인턴근무계획!$E$3:$J$202,$A95,$H$3)&amp;"")="","",IFERROR(LEFT(TRIM(INDEX(인턴근무계획!$E$3:$J$202,$A95,$H$3)&amp;""),FIND(" ",TRIM(INDEX(인턴근무계획!$E$3:$J$202,$A95,$H$3)&amp;""))-1),TRIM(INDEX(인턴근무계획!$E$3:$J$202,$A95,$H$3)&amp;""))))</f>
        <v/>
      </c>
      <c r="I95" s="19">
        <f>IF(OR($C95="",$H$3=""),"",IF(TRIM(INDEX(인턴근무계획!$E$3:$J$202,$A95,$H$3)&amp;"")="","",IFERROR(MID(TRIM(INDEX(인턴근무계획!$E$3:$J$202,$A95,$H$3)&amp;""),FIND(" ",TRIM(INDEX(인턴근무계획!$E$3:$J$202,$A95,$H$3)&amp;""))+1,60),"")))</f>
        <v/>
      </c>
      <c r="J95" s="19">
        <f>IF($C95="","",IF(TRIM(INDEX(인턴근무계획!$E$3:$J$202,$A95,1)&amp;"")="","",IFERROR(LEFT(TRIM(INDEX(인턴근무계획!$E$3:$J$202,$A95,1)&amp;""),FIND(" ",TRIM(INDEX(인턴근무계획!$E$3:$J$202,$A95,1)&amp;""))-1),TRIM(INDEX(인턴근무계획!$E$3:$J$202,$A95,1)&amp;""))))</f>
        <v/>
      </c>
      <c r="K95" s="19">
        <f>IF($C95="","",IF(TRIM(INDEX(인턴근무계획!$E$3:$J$202,$A95,2)&amp;"")="","",IFERROR(LEFT(TRIM(INDEX(인턴근무계획!$E$3:$J$202,$A95,2)&amp;""),FIND(" ",TRIM(INDEX(인턴근무계획!$E$3:$J$202,$A95,2)&amp;""))-1),TRIM(INDEX(인턴근무계획!$E$3:$J$202,$A95,2)&amp;""))))</f>
        <v/>
      </c>
      <c r="L95" s="19">
        <f>IF($C95="","",IF(TRIM(INDEX(인턴근무계획!$E$3:$J$202,$A95,3)&amp;"")="","",IFERROR(LEFT(TRIM(INDEX(인턴근무계획!$E$3:$J$202,$A95,3)&amp;""),FIND(" ",TRIM(INDEX(인턴근무계획!$E$3:$J$202,$A95,3)&amp;""))-1),TRIM(INDEX(인턴근무계획!$E$3:$J$202,$A95,3)&amp;""))))</f>
        <v/>
      </c>
      <c r="M95" s="19">
        <f>IF($C95="","",IF(TRIM(INDEX(인턴근무계획!$E$3:$J$202,$A95,4)&amp;"")="","",IFERROR(LEFT(TRIM(INDEX(인턴근무계획!$E$3:$J$202,$A95,4)&amp;""),FIND(" ",TRIM(INDEX(인턴근무계획!$E$3:$J$202,$A95,4)&amp;""))-1),TRIM(INDEX(인턴근무계획!$E$3:$J$202,$A95,4)&amp;""))))</f>
        <v/>
      </c>
      <c r="N95" s="19">
        <f>IF($C95="","",IF(TRIM(INDEX(인턴근무계획!$E$3:$J$202,$A95,5)&amp;"")="","",IFERROR(LEFT(TRIM(INDEX(인턴근무계획!$E$3:$J$202,$A95,5)&amp;""),FIND(" ",TRIM(INDEX(인턴근무계획!$E$3:$J$202,$A95,5)&amp;""))-1),TRIM(INDEX(인턴근무계획!$E$3:$J$202,$A95,5)&amp;""))))</f>
        <v/>
      </c>
      <c r="O95" s="19">
        <f>IF($C95="","",IF(TRIM(INDEX(인턴근무계획!$E$3:$J$202,$A95,6)&amp;"")="","",IFERROR(LEFT(TRIM(INDEX(인턴근무계획!$E$3:$J$202,$A95,6)&amp;""),FIND(" ",TRIM(INDEX(인턴근무계획!$E$3:$J$202,$A95,6)&amp;""))-1),TRIM(INDEX(인턴근무계획!$E$3:$J$202,$A95,6)&amp;""))))</f>
        <v/>
      </c>
      <c r="P95" s="19">
        <f>IF($C95="","",IF(INDEX(인턴근무계획!$K$3:$K$202,$A95)="","",INDEX(인턴근무계획!$K$3:$K$202,$A95)))</f>
        <v/>
      </c>
    </row>
    <row r="96">
      <c r="A96" s="18" t="n">
        <v>91</v>
      </c>
      <c r="B96" s="19">
        <f>IF($C96="","",INDEX(인턴근무계획!$B$3:$B$202,$A96))</f>
        <v/>
      </c>
      <c r="C96" s="19">
        <f>IFERROR(TRIM(INDEX(인턴근무계획!$C$3:$C$202,$A96)&amp;""),"")</f>
        <v/>
      </c>
      <c r="D96" s="19">
        <f>IF($C96="","",INDEX(인턴근무계획!$D$3:$D$202,$A96))</f>
        <v/>
      </c>
      <c r="E96" s="19">
        <f>IF($C96="","",IF(IFERROR(MATCH($D96,기본자료!$B$2:$B$501,0),IFERROR(MATCH($D96&amp;"",기본자료!$B$2:$B$501,0),IFERROR(MATCH(VALUE($D96),기본자료!$B$2:$B$501,0),0)))&gt;0,"확인","미등록"))</f>
        <v/>
      </c>
      <c r="F96" s="19">
        <f>IF(OR($C96="",$F$3=""),"",IF(TRIM(INDEX(인턴근무계획!$E$3:$J$202,$A96,$F$3)&amp;"")="","",IFERROR(LEFT(TRIM(INDEX(인턴근무계획!$E$3:$J$202,$A96,$F$3)&amp;""),FIND(" ",TRIM(INDEX(인턴근무계획!$E$3:$J$202,$A96,$F$3)&amp;""))-1),TRIM(INDEX(인턴근무계획!$E$3:$J$202,$A96,$F$3)&amp;""))))</f>
        <v/>
      </c>
      <c r="G96" s="19">
        <f>IF(OR($C96="",$F$3=""),"",IF(TRIM(INDEX(인턴근무계획!$E$3:$J$202,$A96,$F$3)&amp;"")="","",IFERROR(MID(TRIM(INDEX(인턴근무계획!$E$3:$J$202,$A96,$F$3)&amp;""),FIND(" ",TRIM(INDEX(인턴근무계획!$E$3:$J$202,$A96,$F$3)&amp;""))+1,60),"")))</f>
        <v/>
      </c>
      <c r="H96" s="19">
        <f>IF(OR($C96="",$H$3=""),"",IF(TRIM(INDEX(인턴근무계획!$E$3:$J$202,$A96,$H$3)&amp;"")="","",IFERROR(LEFT(TRIM(INDEX(인턴근무계획!$E$3:$J$202,$A96,$H$3)&amp;""),FIND(" ",TRIM(INDEX(인턴근무계획!$E$3:$J$202,$A96,$H$3)&amp;""))-1),TRIM(INDEX(인턴근무계획!$E$3:$J$202,$A96,$H$3)&amp;""))))</f>
        <v/>
      </c>
      <c r="I96" s="19">
        <f>IF(OR($C96="",$H$3=""),"",IF(TRIM(INDEX(인턴근무계획!$E$3:$J$202,$A96,$H$3)&amp;"")="","",IFERROR(MID(TRIM(INDEX(인턴근무계획!$E$3:$J$202,$A96,$H$3)&amp;""),FIND(" ",TRIM(INDEX(인턴근무계획!$E$3:$J$202,$A96,$H$3)&amp;""))+1,60),"")))</f>
        <v/>
      </c>
      <c r="J96" s="19">
        <f>IF($C96="","",IF(TRIM(INDEX(인턴근무계획!$E$3:$J$202,$A96,1)&amp;"")="","",IFERROR(LEFT(TRIM(INDEX(인턴근무계획!$E$3:$J$202,$A96,1)&amp;""),FIND(" ",TRIM(INDEX(인턴근무계획!$E$3:$J$202,$A96,1)&amp;""))-1),TRIM(INDEX(인턴근무계획!$E$3:$J$202,$A96,1)&amp;""))))</f>
        <v/>
      </c>
      <c r="K96" s="19">
        <f>IF($C96="","",IF(TRIM(INDEX(인턴근무계획!$E$3:$J$202,$A96,2)&amp;"")="","",IFERROR(LEFT(TRIM(INDEX(인턴근무계획!$E$3:$J$202,$A96,2)&amp;""),FIND(" ",TRIM(INDEX(인턴근무계획!$E$3:$J$202,$A96,2)&amp;""))-1),TRIM(INDEX(인턴근무계획!$E$3:$J$202,$A96,2)&amp;""))))</f>
        <v/>
      </c>
      <c r="L96" s="19">
        <f>IF($C96="","",IF(TRIM(INDEX(인턴근무계획!$E$3:$J$202,$A96,3)&amp;"")="","",IFERROR(LEFT(TRIM(INDEX(인턴근무계획!$E$3:$J$202,$A96,3)&amp;""),FIND(" ",TRIM(INDEX(인턴근무계획!$E$3:$J$202,$A96,3)&amp;""))-1),TRIM(INDEX(인턴근무계획!$E$3:$J$202,$A96,3)&amp;""))))</f>
        <v/>
      </c>
      <c r="M96" s="19">
        <f>IF($C96="","",IF(TRIM(INDEX(인턴근무계획!$E$3:$J$202,$A96,4)&amp;"")="","",IFERROR(LEFT(TRIM(INDEX(인턴근무계획!$E$3:$J$202,$A96,4)&amp;""),FIND(" ",TRIM(INDEX(인턴근무계획!$E$3:$J$202,$A96,4)&amp;""))-1),TRIM(INDEX(인턴근무계획!$E$3:$J$202,$A96,4)&amp;""))))</f>
        <v/>
      </c>
      <c r="N96" s="19">
        <f>IF($C96="","",IF(TRIM(INDEX(인턴근무계획!$E$3:$J$202,$A96,5)&amp;"")="","",IFERROR(LEFT(TRIM(INDEX(인턴근무계획!$E$3:$J$202,$A96,5)&amp;""),FIND(" ",TRIM(INDEX(인턴근무계획!$E$3:$J$202,$A96,5)&amp;""))-1),TRIM(INDEX(인턴근무계획!$E$3:$J$202,$A96,5)&amp;""))))</f>
        <v/>
      </c>
      <c r="O96" s="19">
        <f>IF($C96="","",IF(TRIM(INDEX(인턴근무계획!$E$3:$J$202,$A96,6)&amp;"")="","",IFERROR(LEFT(TRIM(INDEX(인턴근무계획!$E$3:$J$202,$A96,6)&amp;""),FIND(" ",TRIM(INDEX(인턴근무계획!$E$3:$J$202,$A96,6)&amp;""))-1),TRIM(INDEX(인턴근무계획!$E$3:$J$202,$A96,6)&amp;""))))</f>
        <v/>
      </c>
      <c r="P96" s="19">
        <f>IF($C96="","",IF(INDEX(인턴근무계획!$K$3:$K$202,$A96)="","",INDEX(인턴근무계획!$K$3:$K$202,$A96)))</f>
        <v/>
      </c>
    </row>
    <row r="97">
      <c r="A97" s="18" t="n">
        <v>92</v>
      </c>
      <c r="B97" s="19">
        <f>IF($C97="","",INDEX(인턴근무계획!$B$3:$B$202,$A97))</f>
        <v/>
      </c>
      <c r="C97" s="19">
        <f>IFERROR(TRIM(INDEX(인턴근무계획!$C$3:$C$202,$A97)&amp;""),"")</f>
        <v/>
      </c>
      <c r="D97" s="19">
        <f>IF($C97="","",INDEX(인턴근무계획!$D$3:$D$202,$A97))</f>
        <v/>
      </c>
      <c r="E97" s="19">
        <f>IF($C97="","",IF(IFERROR(MATCH($D97,기본자료!$B$2:$B$501,0),IFERROR(MATCH($D97&amp;"",기본자료!$B$2:$B$501,0),IFERROR(MATCH(VALUE($D97),기본자료!$B$2:$B$501,0),0)))&gt;0,"확인","미등록"))</f>
        <v/>
      </c>
      <c r="F97" s="19">
        <f>IF(OR($C97="",$F$3=""),"",IF(TRIM(INDEX(인턴근무계획!$E$3:$J$202,$A97,$F$3)&amp;"")="","",IFERROR(LEFT(TRIM(INDEX(인턴근무계획!$E$3:$J$202,$A97,$F$3)&amp;""),FIND(" ",TRIM(INDEX(인턴근무계획!$E$3:$J$202,$A97,$F$3)&amp;""))-1),TRIM(INDEX(인턴근무계획!$E$3:$J$202,$A97,$F$3)&amp;""))))</f>
        <v/>
      </c>
      <c r="G97" s="19">
        <f>IF(OR($C97="",$F$3=""),"",IF(TRIM(INDEX(인턴근무계획!$E$3:$J$202,$A97,$F$3)&amp;"")="","",IFERROR(MID(TRIM(INDEX(인턴근무계획!$E$3:$J$202,$A97,$F$3)&amp;""),FIND(" ",TRIM(INDEX(인턴근무계획!$E$3:$J$202,$A97,$F$3)&amp;""))+1,60),"")))</f>
        <v/>
      </c>
      <c r="H97" s="19">
        <f>IF(OR($C97="",$H$3=""),"",IF(TRIM(INDEX(인턴근무계획!$E$3:$J$202,$A97,$H$3)&amp;"")="","",IFERROR(LEFT(TRIM(INDEX(인턴근무계획!$E$3:$J$202,$A97,$H$3)&amp;""),FIND(" ",TRIM(INDEX(인턴근무계획!$E$3:$J$202,$A97,$H$3)&amp;""))-1),TRIM(INDEX(인턴근무계획!$E$3:$J$202,$A97,$H$3)&amp;""))))</f>
        <v/>
      </c>
      <c r="I97" s="19">
        <f>IF(OR($C97="",$H$3=""),"",IF(TRIM(INDEX(인턴근무계획!$E$3:$J$202,$A97,$H$3)&amp;"")="","",IFERROR(MID(TRIM(INDEX(인턴근무계획!$E$3:$J$202,$A97,$H$3)&amp;""),FIND(" ",TRIM(INDEX(인턴근무계획!$E$3:$J$202,$A97,$H$3)&amp;""))+1,60),"")))</f>
        <v/>
      </c>
      <c r="J97" s="19">
        <f>IF($C97="","",IF(TRIM(INDEX(인턴근무계획!$E$3:$J$202,$A97,1)&amp;"")="","",IFERROR(LEFT(TRIM(INDEX(인턴근무계획!$E$3:$J$202,$A97,1)&amp;""),FIND(" ",TRIM(INDEX(인턴근무계획!$E$3:$J$202,$A97,1)&amp;""))-1),TRIM(INDEX(인턴근무계획!$E$3:$J$202,$A97,1)&amp;""))))</f>
        <v/>
      </c>
      <c r="K97" s="19">
        <f>IF($C97="","",IF(TRIM(INDEX(인턴근무계획!$E$3:$J$202,$A97,2)&amp;"")="","",IFERROR(LEFT(TRIM(INDEX(인턴근무계획!$E$3:$J$202,$A97,2)&amp;""),FIND(" ",TRIM(INDEX(인턴근무계획!$E$3:$J$202,$A97,2)&amp;""))-1),TRIM(INDEX(인턴근무계획!$E$3:$J$202,$A97,2)&amp;""))))</f>
        <v/>
      </c>
      <c r="L97" s="19">
        <f>IF($C97="","",IF(TRIM(INDEX(인턴근무계획!$E$3:$J$202,$A97,3)&amp;"")="","",IFERROR(LEFT(TRIM(INDEX(인턴근무계획!$E$3:$J$202,$A97,3)&amp;""),FIND(" ",TRIM(INDEX(인턴근무계획!$E$3:$J$202,$A97,3)&amp;""))-1),TRIM(INDEX(인턴근무계획!$E$3:$J$202,$A97,3)&amp;""))))</f>
        <v/>
      </c>
      <c r="M97" s="19">
        <f>IF($C97="","",IF(TRIM(INDEX(인턴근무계획!$E$3:$J$202,$A97,4)&amp;"")="","",IFERROR(LEFT(TRIM(INDEX(인턴근무계획!$E$3:$J$202,$A97,4)&amp;""),FIND(" ",TRIM(INDEX(인턴근무계획!$E$3:$J$202,$A97,4)&amp;""))-1),TRIM(INDEX(인턴근무계획!$E$3:$J$202,$A97,4)&amp;""))))</f>
        <v/>
      </c>
      <c r="N97" s="19">
        <f>IF($C97="","",IF(TRIM(INDEX(인턴근무계획!$E$3:$J$202,$A97,5)&amp;"")="","",IFERROR(LEFT(TRIM(INDEX(인턴근무계획!$E$3:$J$202,$A97,5)&amp;""),FIND(" ",TRIM(INDEX(인턴근무계획!$E$3:$J$202,$A97,5)&amp;""))-1),TRIM(INDEX(인턴근무계획!$E$3:$J$202,$A97,5)&amp;""))))</f>
        <v/>
      </c>
      <c r="O97" s="19">
        <f>IF($C97="","",IF(TRIM(INDEX(인턴근무계획!$E$3:$J$202,$A97,6)&amp;"")="","",IFERROR(LEFT(TRIM(INDEX(인턴근무계획!$E$3:$J$202,$A97,6)&amp;""),FIND(" ",TRIM(INDEX(인턴근무계획!$E$3:$J$202,$A97,6)&amp;""))-1),TRIM(INDEX(인턴근무계획!$E$3:$J$202,$A97,6)&amp;""))))</f>
        <v/>
      </c>
      <c r="P97" s="19">
        <f>IF($C97="","",IF(INDEX(인턴근무계획!$K$3:$K$202,$A97)="","",INDEX(인턴근무계획!$K$3:$K$202,$A97)))</f>
        <v/>
      </c>
    </row>
    <row r="98">
      <c r="A98" s="18" t="n">
        <v>93</v>
      </c>
      <c r="B98" s="19">
        <f>IF($C98="","",INDEX(인턴근무계획!$B$3:$B$202,$A98))</f>
        <v/>
      </c>
      <c r="C98" s="19">
        <f>IFERROR(TRIM(INDEX(인턴근무계획!$C$3:$C$202,$A98)&amp;""),"")</f>
        <v/>
      </c>
      <c r="D98" s="19">
        <f>IF($C98="","",INDEX(인턴근무계획!$D$3:$D$202,$A98))</f>
        <v/>
      </c>
      <c r="E98" s="19">
        <f>IF($C98="","",IF(IFERROR(MATCH($D98,기본자료!$B$2:$B$501,0),IFERROR(MATCH($D98&amp;"",기본자료!$B$2:$B$501,0),IFERROR(MATCH(VALUE($D98),기본자료!$B$2:$B$501,0),0)))&gt;0,"확인","미등록"))</f>
        <v/>
      </c>
      <c r="F98" s="19">
        <f>IF(OR($C98="",$F$3=""),"",IF(TRIM(INDEX(인턴근무계획!$E$3:$J$202,$A98,$F$3)&amp;"")="","",IFERROR(LEFT(TRIM(INDEX(인턴근무계획!$E$3:$J$202,$A98,$F$3)&amp;""),FIND(" ",TRIM(INDEX(인턴근무계획!$E$3:$J$202,$A98,$F$3)&amp;""))-1),TRIM(INDEX(인턴근무계획!$E$3:$J$202,$A98,$F$3)&amp;""))))</f>
        <v/>
      </c>
      <c r="G98" s="19">
        <f>IF(OR($C98="",$F$3=""),"",IF(TRIM(INDEX(인턴근무계획!$E$3:$J$202,$A98,$F$3)&amp;"")="","",IFERROR(MID(TRIM(INDEX(인턴근무계획!$E$3:$J$202,$A98,$F$3)&amp;""),FIND(" ",TRIM(INDEX(인턴근무계획!$E$3:$J$202,$A98,$F$3)&amp;""))+1,60),"")))</f>
        <v/>
      </c>
      <c r="H98" s="19">
        <f>IF(OR($C98="",$H$3=""),"",IF(TRIM(INDEX(인턴근무계획!$E$3:$J$202,$A98,$H$3)&amp;"")="","",IFERROR(LEFT(TRIM(INDEX(인턴근무계획!$E$3:$J$202,$A98,$H$3)&amp;""),FIND(" ",TRIM(INDEX(인턴근무계획!$E$3:$J$202,$A98,$H$3)&amp;""))-1),TRIM(INDEX(인턴근무계획!$E$3:$J$202,$A98,$H$3)&amp;""))))</f>
        <v/>
      </c>
      <c r="I98" s="19">
        <f>IF(OR($C98="",$H$3=""),"",IF(TRIM(INDEX(인턴근무계획!$E$3:$J$202,$A98,$H$3)&amp;"")="","",IFERROR(MID(TRIM(INDEX(인턴근무계획!$E$3:$J$202,$A98,$H$3)&amp;""),FIND(" ",TRIM(INDEX(인턴근무계획!$E$3:$J$202,$A98,$H$3)&amp;""))+1,60),"")))</f>
        <v/>
      </c>
      <c r="J98" s="19">
        <f>IF($C98="","",IF(TRIM(INDEX(인턴근무계획!$E$3:$J$202,$A98,1)&amp;"")="","",IFERROR(LEFT(TRIM(INDEX(인턴근무계획!$E$3:$J$202,$A98,1)&amp;""),FIND(" ",TRIM(INDEX(인턴근무계획!$E$3:$J$202,$A98,1)&amp;""))-1),TRIM(INDEX(인턴근무계획!$E$3:$J$202,$A98,1)&amp;""))))</f>
        <v/>
      </c>
      <c r="K98" s="19">
        <f>IF($C98="","",IF(TRIM(INDEX(인턴근무계획!$E$3:$J$202,$A98,2)&amp;"")="","",IFERROR(LEFT(TRIM(INDEX(인턴근무계획!$E$3:$J$202,$A98,2)&amp;""),FIND(" ",TRIM(INDEX(인턴근무계획!$E$3:$J$202,$A98,2)&amp;""))-1),TRIM(INDEX(인턴근무계획!$E$3:$J$202,$A98,2)&amp;""))))</f>
        <v/>
      </c>
      <c r="L98" s="19">
        <f>IF($C98="","",IF(TRIM(INDEX(인턴근무계획!$E$3:$J$202,$A98,3)&amp;"")="","",IFERROR(LEFT(TRIM(INDEX(인턴근무계획!$E$3:$J$202,$A98,3)&amp;""),FIND(" ",TRIM(INDEX(인턴근무계획!$E$3:$J$202,$A98,3)&amp;""))-1),TRIM(INDEX(인턴근무계획!$E$3:$J$202,$A98,3)&amp;""))))</f>
        <v/>
      </c>
      <c r="M98" s="19">
        <f>IF($C98="","",IF(TRIM(INDEX(인턴근무계획!$E$3:$J$202,$A98,4)&amp;"")="","",IFERROR(LEFT(TRIM(INDEX(인턴근무계획!$E$3:$J$202,$A98,4)&amp;""),FIND(" ",TRIM(INDEX(인턴근무계획!$E$3:$J$202,$A98,4)&amp;""))-1),TRIM(INDEX(인턴근무계획!$E$3:$J$202,$A98,4)&amp;""))))</f>
        <v/>
      </c>
      <c r="N98" s="19">
        <f>IF($C98="","",IF(TRIM(INDEX(인턴근무계획!$E$3:$J$202,$A98,5)&amp;"")="","",IFERROR(LEFT(TRIM(INDEX(인턴근무계획!$E$3:$J$202,$A98,5)&amp;""),FIND(" ",TRIM(INDEX(인턴근무계획!$E$3:$J$202,$A98,5)&amp;""))-1),TRIM(INDEX(인턴근무계획!$E$3:$J$202,$A98,5)&amp;""))))</f>
        <v/>
      </c>
      <c r="O98" s="19">
        <f>IF($C98="","",IF(TRIM(INDEX(인턴근무계획!$E$3:$J$202,$A98,6)&amp;"")="","",IFERROR(LEFT(TRIM(INDEX(인턴근무계획!$E$3:$J$202,$A98,6)&amp;""),FIND(" ",TRIM(INDEX(인턴근무계획!$E$3:$J$202,$A98,6)&amp;""))-1),TRIM(INDEX(인턴근무계획!$E$3:$J$202,$A98,6)&amp;""))))</f>
        <v/>
      </c>
      <c r="P98" s="19">
        <f>IF($C98="","",IF(INDEX(인턴근무계획!$K$3:$K$202,$A98)="","",INDEX(인턴근무계획!$K$3:$K$202,$A98)))</f>
        <v/>
      </c>
    </row>
    <row r="99">
      <c r="A99" s="18" t="n">
        <v>94</v>
      </c>
      <c r="B99" s="19">
        <f>IF($C99="","",INDEX(인턴근무계획!$B$3:$B$202,$A99))</f>
        <v/>
      </c>
      <c r="C99" s="19">
        <f>IFERROR(TRIM(INDEX(인턴근무계획!$C$3:$C$202,$A99)&amp;""),"")</f>
        <v/>
      </c>
      <c r="D99" s="19">
        <f>IF($C99="","",INDEX(인턴근무계획!$D$3:$D$202,$A99))</f>
        <v/>
      </c>
      <c r="E99" s="19">
        <f>IF($C99="","",IF(IFERROR(MATCH($D99,기본자료!$B$2:$B$501,0),IFERROR(MATCH($D99&amp;"",기본자료!$B$2:$B$501,0),IFERROR(MATCH(VALUE($D99),기본자료!$B$2:$B$501,0),0)))&gt;0,"확인","미등록"))</f>
        <v/>
      </c>
      <c r="F99" s="19">
        <f>IF(OR($C99="",$F$3=""),"",IF(TRIM(INDEX(인턴근무계획!$E$3:$J$202,$A99,$F$3)&amp;"")="","",IFERROR(LEFT(TRIM(INDEX(인턴근무계획!$E$3:$J$202,$A99,$F$3)&amp;""),FIND(" ",TRIM(INDEX(인턴근무계획!$E$3:$J$202,$A99,$F$3)&amp;""))-1),TRIM(INDEX(인턴근무계획!$E$3:$J$202,$A99,$F$3)&amp;""))))</f>
        <v/>
      </c>
      <c r="G99" s="19">
        <f>IF(OR($C99="",$F$3=""),"",IF(TRIM(INDEX(인턴근무계획!$E$3:$J$202,$A99,$F$3)&amp;"")="","",IFERROR(MID(TRIM(INDEX(인턴근무계획!$E$3:$J$202,$A99,$F$3)&amp;""),FIND(" ",TRIM(INDEX(인턴근무계획!$E$3:$J$202,$A99,$F$3)&amp;""))+1,60),"")))</f>
        <v/>
      </c>
      <c r="H99" s="19">
        <f>IF(OR($C99="",$H$3=""),"",IF(TRIM(INDEX(인턴근무계획!$E$3:$J$202,$A99,$H$3)&amp;"")="","",IFERROR(LEFT(TRIM(INDEX(인턴근무계획!$E$3:$J$202,$A99,$H$3)&amp;""),FIND(" ",TRIM(INDEX(인턴근무계획!$E$3:$J$202,$A99,$H$3)&amp;""))-1),TRIM(INDEX(인턴근무계획!$E$3:$J$202,$A99,$H$3)&amp;""))))</f>
        <v/>
      </c>
      <c r="I99" s="19">
        <f>IF(OR($C99="",$H$3=""),"",IF(TRIM(INDEX(인턴근무계획!$E$3:$J$202,$A99,$H$3)&amp;"")="","",IFERROR(MID(TRIM(INDEX(인턴근무계획!$E$3:$J$202,$A99,$H$3)&amp;""),FIND(" ",TRIM(INDEX(인턴근무계획!$E$3:$J$202,$A99,$H$3)&amp;""))+1,60),"")))</f>
        <v/>
      </c>
      <c r="J99" s="19">
        <f>IF($C99="","",IF(TRIM(INDEX(인턴근무계획!$E$3:$J$202,$A99,1)&amp;"")="","",IFERROR(LEFT(TRIM(INDEX(인턴근무계획!$E$3:$J$202,$A99,1)&amp;""),FIND(" ",TRIM(INDEX(인턴근무계획!$E$3:$J$202,$A99,1)&amp;""))-1),TRIM(INDEX(인턴근무계획!$E$3:$J$202,$A99,1)&amp;""))))</f>
        <v/>
      </c>
      <c r="K99" s="19">
        <f>IF($C99="","",IF(TRIM(INDEX(인턴근무계획!$E$3:$J$202,$A99,2)&amp;"")="","",IFERROR(LEFT(TRIM(INDEX(인턴근무계획!$E$3:$J$202,$A99,2)&amp;""),FIND(" ",TRIM(INDEX(인턴근무계획!$E$3:$J$202,$A99,2)&amp;""))-1),TRIM(INDEX(인턴근무계획!$E$3:$J$202,$A99,2)&amp;""))))</f>
        <v/>
      </c>
      <c r="L99" s="19">
        <f>IF($C99="","",IF(TRIM(INDEX(인턴근무계획!$E$3:$J$202,$A99,3)&amp;"")="","",IFERROR(LEFT(TRIM(INDEX(인턴근무계획!$E$3:$J$202,$A99,3)&amp;""),FIND(" ",TRIM(INDEX(인턴근무계획!$E$3:$J$202,$A99,3)&amp;""))-1),TRIM(INDEX(인턴근무계획!$E$3:$J$202,$A99,3)&amp;""))))</f>
        <v/>
      </c>
      <c r="M99" s="19">
        <f>IF($C99="","",IF(TRIM(INDEX(인턴근무계획!$E$3:$J$202,$A99,4)&amp;"")="","",IFERROR(LEFT(TRIM(INDEX(인턴근무계획!$E$3:$J$202,$A99,4)&amp;""),FIND(" ",TRIM(INDEX(인턴근무계획!$E$3:$J$202,$A99,4)&amp;""))-1),TRIM(INDEX(인턴근무계획!$E$3:$J$202,$A99,4)&amp;""))))</f>
        <v/>
      </c>
      <c r="N99" s="19">
        <f>IF($C99="","",IF(TRIM(INDEX(인턴근무계획!$E$3:$J$202,$A99,5)&amp;"")="","",IFERROR(LEFT(TRIM(INDEX(인턴근무계획!$E$3:$J$202,$A99,5)&amp;""),FIND(" ",TRIM(INDEX(인턴근무계획!$E$3:$J$202,$A99,5)&amp;""))-1),TRIM(INDEX(인턴근무계획!$E$3:$J$202,$A99,5)&amp;""))))</f>
        <v/>
      </c>
      <c r="O99" s="19">
        <f>IF($C99="","",IF(TRIM(INDEX(인턴근무계획!$E$3:$J$202,$A99,6)&amp;"")="","",IFERROR(LEFT(TRIM(INDEX(인턴근무계획!$E$3:$J$202,$A99,6)&amp;""),FIND(" ",TRIM(INDEX(인턴근무계획!$E$3:$J$202,$A99,6)&amp;""))-1),TRIM(INDEX(인턴근무계획!$E$3:$J$202,$A99,6)&amp;""))))</f>
        <v/>
      </c>
      <c r="P99" s="19">
        <f>IF($C99="","",IF(INDEX(인턴근무계획!$K$3:$K$202,$A99)="","",INDEX(인턴근무계획!$K$3:$K$202,$A99)))</f>
        <v/>
      </c>
    </row>
    <row r="100">
      <c r="A100" s="18" t="n">
        <v>95</v>
      </c>
      <c r="B100" s="19">
        <f>IF($C100="","",INDEX(인턴근무계획!$B$3:$B$202,$A100))</f>
        <v/>
      </c>
      <c r="C100" s="19">
        <f>IFERROR(TRIM(INDEX(인턴근무계획!$C$3:$C$202,$A100)&amp;""),"")</f>
        <v/>
      </c>
      <c r="D100" s="19">
        <f>IF($C100="","",INDEX(인턴근무계획!$D$3:$D$202,$A100))</f>
        <v/>
      </c>
      <c r="E100" s="19">
        <f>IF($C100="","",IF(IFERROR(MATCH($D100,기본자료!$B$2:$B$501,0),IFERROR(MATCH($D100&amp;"",기본자료!$B$2:$B$501,0),IFERROR(MATCH(VALUE($D100),기본자료!$B$2:$B$501,0),0)))&gt;0,"확인","미등록"))</f>
        <v/>
      </c>
      <c r="F100" s="19">
        <f>IF(OR($C100="",$F$3=""),"",IF(TRIM(INDEX(인턴근무계획!$E$3:$J$202,$A100,$F$3)&amp;"")="","",IFERROR(LEFT(TRIM(INDEX(인턴근무계획!$E$3:$J$202,$A100,$F$3)&amp;""),FIND(" ",TRIM(INDEX(인턴근무계획!$E$3:$J$202,$A100,$F$3)&amp;""))-1),TRIM(INDEX(인턴근무계획!$E$3:$J$202,$A100,$F$3)&amp;""))))</f>
        <v/>
      </c>
      <c r="G100" s="19">
        <f>IF(OR($C100="",$F$3=""),"",IF(TRIM(INDEX(인턴근무계획!$E$3:$J$202,$A100,$F$3)&amp;"")="","",IFERROR(MID(TRIM(INDEX(인턴근무계획!$E$3:$J$202,$A100,$F$3)&amp;""),FIND(" ",TRIM(INDEX(인턴근무계획!$E$3:$J$202,$A100,$F$3)&amp;""))+1,60),"")))</f>
        <v/>
      </c>
      <c r="H100" s="19">
        <f>IF(OR($C100="",$H$3=""),"",IF(TRIM(INDEX(인턴근무계획!$E$3:$J$202,$A100,$H$3)&amp;"")="","",IFERROR(LEFT(TRIM(INDEX(인턴근무계획!$E$3:$J$202,$A100,$H$3)&amp;""),FIND(" ",TRIM(INDEX(인턴근무계획!$E$3:$J$202,$A100,$H$3)&amp;""))-1),TRIM(INDEX(인턴근무계획!$E$3:$J$202,$A100,$H$3)&amp;""))))</f>
        <v/>
      </c>
      <c r="I100" s="19">
        <f>IF(OR($C100="",$H$3=""),"",IF(TRIM(INDEX(인턴근무계획!$E$3:$J$202,$A100,$H$3)&amp;"")="","",IFERROR(MID(TRIM(INDEX(인턴근무계획!$E$3:$J$202,$A100,$H$3)&amp;""),FIND(" ",TRIM(INDEX(인턴근무계획!$E$3:$J$202,$A100,$H$3)&amp;""))+1,60),"")))</f>
        <v/>
      </c>
      <c r="J100" s="19">
        <f>IF($C100="","",IF(TRIM(INDEX(인턴근무계획!$E$3:$J$202,$A100,1)&amp;"")="","",IFERROR(LEFT(TRIM(INDEX(인턴근무계획!$E$3:$J$202,$A100,1)&amp;""),FIND(" ",TRIM(INDEX(인턴근무계획!$E$3:$J$202,$A100,1)&amp;""))-1),TRIM(INDEX(인턴근무계획!$E$3:$J$202,$A100,1)&amp;""))))</f>
        <v/>
      </c>
      <c r="K100" s="19">
        <f>IF($C100="","",IF(TRIM(INDEX(인턴근무계획!$E$3:$J$202,$A100,2)&amp;"")="","",IFERROR(LEFT(TRIM(INDEX(인턴근무계획!$E$3:$J$202,$A100,2)&amp;""),FIND(" ",TRIM(INDEX(인턴근무계획!$E$3:$J$202,$A100,2)&amp;""))-1),TRIM(INDEX(인턴근무계획!$E$3:$J$202,$A100,2)&amp;""))))</f>
        <v/>
      </c>
      <c r="L100" s="19">
        <f>IF($C100="","",IF(TRIM(INDEX(인턴근무계획!$E$3:$J$202,$A100,3)&amp;"")="","",IFERROR(LEFT(TRIM(INDEX(인턴근무계획!$E$3:$J$202,$A100,3)&amp;""),FIND(" ",TRIM(INDEX(인턴근무계획!$E$3:$J$202,$A100,3)&amp;""))-1),TRIM(INDEX(인턴근무계획!$E$3:$J$202,$A100,3)&amp;""))))</f>
        <v/>
      </c>
      <c r="M100" s="19">
        <f>IF($C100="","",IF(TRIM(INDEX(인턴근무계획!$E$3:$J$202,$A100,4)&amp;"")="","",IFERROR(LEFT(TRIM(INDEX(인턴근무계획!$E$3:$J$202,$A100,4)&amp;""),FIND(" ",TRIM(INDEX(인턴근무계획!$E$3:$J$202,$A100,4)&amp;""))-1),TRIM(INDEX(인턴근무계획!$E$3:$J$202,$A100,4)&amp;""))))</f>
        <v/>
      </c>
      <c r="N100" s="19">
        <f>IF($C100="","",IF(TRIM(INDEX(인턴근무계획!$E$3:$J$202,$A100,5)&amp;"")="","",IFERROR(LEFT(TRIM(INDEX(인턴근무계획!$E$3:$J$202,$A100,5)&amp;""),FIND(" ",TRIM(INDEX(인턴근무계획!$E$3:$J$202,$A100,5)&amp;""))-1),TRIM(INDEX(인턴근무계획!$E$3:$J$202,$A100,5)&amp;""))))</f>
        <v/>
      </c>
      <c r="O100" s="19">
        <f>IF($C100="","",IF(TRIM(INDEX(인턴근무계획!$E$3:$J$202,$A100,6)&amp;"")="","",IFERROR(LEFT(TRIM(INDEX(인턴근무계획!$E$3:$J$202,$A100,6)&amp;""),FIND(" ",TRIM(INDEX(인턴근무계획!$E$3:$J$202,$A100,6)&amp;""))-1),TRIM(INDEX(인턴근무계획!$E$3:$J$202,$A100,6)&amp;""))))</f>
        <v/>
      </c>
      <c r="P100" s="19">
        <f>IF($C100="","",IF(INDEX(인턴근무계획!$K$3:$K$202,$A100)="","",INDEX(인턴근무계획!$K$3:$K$202,$A100)))</f>
        <v/>
      </c>
    </row>
    <row r="101">
      <c r="A101" s="18" t="n">
        <v>96</v>
      </c>
      <c r="B101" s="19">
        <f>IF($C101="","",INDEX(인턴근무계획!$B$3:$B$202,$A101))</f>
        <v/>
      </c>
      <c r="C101" s="19">
        <f>IFERROR(TRIM(INDEX(인턴근무계획!$C$3:$C$202,$A101)&amp;""),"")</f>
        <v/>
      </c>
      <c r="D101" s="19">
        <f>IF($C101="","",INDEX(인턴근무계획!$D$3:$D$202,$A101))</f>
        <v/>
      </c>
      <c r="E101" s="19">
        <f>IF($C101="","",IF(IFERROR(MATCH($D101,기본자료!$B$2:$B$501,0),IFERROR(MATCH($D101&amp;"",기본자료!$B$2:$B$501,0),IFERROR(MATCH(VALUE($D101),기본자료!$B$2:$B$501,0),0)))&gt;0,"확인","미등록"))</f>
        <v/>
      </c>
      <c r="F101" s="19">
        <f>IF(OR($C101="",$F$3=""),"",IF(TRIM(INDEX(인턴근무계획!$E$3:$J$202,$A101,$F$3)&amp;"")="","",IFERROR(LEFT(TRIM(INDEX(인턴근무계획!$E$3:$J$202,$A101,$F$3)&amp;""),FIND(" ",TRIM(INDEX(인턴근무계획!$E$3:$J$202,$A101,$F$3)&amp;""))-1),TRIM(INDEX(인턴근무계획!$E$3:$J$202,$A101,$F$3)&amp;""))))</f>
        <v/>
      </c>
      <c r="G101" s="19">
        <f>IF(OR($C101="",$F$3=""),"",IF(TRIM(INDEX(인턴근무계획!$E$3:$J$202,$A101,$F$3)&amp;"")="","",IFERROR(MID(TRIM(INDEX(인턴근무계획!$E$3:$J$202,$A101,$F$3)&amp;""),FIND(" ",TRIM(INDEX(인턴근무계획!$E$3:$J$202,$A101,$F$3)&amp;""))+1,60),"")))</f>
        <v/>
      </c>
      <c r="H101" s="19">
        <f>IF(OR($C101="",$H$3=""),"",IF(TRIM(INDEX(인턴근무계획!$E$3:$J$202,$A101,$H$3)&amp;"")="","",IFERROR(LEFT(TRIM(INDEX(인턴근무계획!$E$3:$J$202,$A101,$H$3)&amp;""),FIND(" ",TRIM(INDEX(인턴근무계획!$E$3:$J$202,$A101,$H$3)&amp;""))-1),TRIM(INDEX(인턴근무계획!$E$3:$J$202,$A101,$H$3)&amp;""))))</f>
        <v/>
      </c>
      <c r="I101" s="19">
        <f>IF(OR($C101="",$H$3=""),"",IF(TRIM(INDEX(인턴근무계획!$E$3:$J$202,$A101,$H$3)&amp;"")="","",IFERROR(MID(TRIM(INDEX(인턴근무계획!$E$3:$J$202,$A101,$H$3)&amp;""),FIND(" ",TRIM(INDEX(인턴근무계획!$E$3:$J$202,$A101,$H$3)&amp;""))+1,60),"")))</f>
        <v/>
      </c>
      <c r="J101" s="19">
        <f>IF($C101="","",IF(TRIM(INDEX(인턴근무계획!$E$3:$J$202,$A101,1)&amp;"")="","",IFERROR(LEFT(TRIM(INDEX(인턴근무계획!$E$3:$J$202,$A101,1)&amp;""),FIND(" ",TRIM(INDEX(인턴근무계획!$E$3:$J$202,$A101,1)&amp;""))-1),TRIM(INDEX(인턴근무계획!$E$3:$J$202,$A101,1)&amp;""))))</f>
        <v/>
      </c>
      <c r="K101" s="19">
        <f>IF($C101="","",IF(TRIM(INDEX(인턴근무계획!$E$3:$J$202,$A101,2)&amp;"")="","",IFERROR(LEFT(TRIM(INDEX(인턴근무계획!$E$3:$J$202,$A101,2)&amp;""),FIND(" ",TRIM(INDEX(인턴근무계획!$E$3:$J$202,$A101,2)&amp;""))-1),TRIM(INDEX(인턴근무계획!$E$3:$J$202,$A101,2)&amp;""))))</f>
        <v/>
      </c>
      <c r="L101" s="19">
        <f>IF($C101="","",IF(TRIM(INDEX(인턴근무계획!$E$3:$J$202,$A101,3)&amp;"")="","",IFERROR(LEFT(TRIM(INDEX(인턴근무계획!$E$3:$J$202,$A101,3)&amp;""),FIND(" ",TRIM(INDEX(인턴근무계획!$E$3:$J$202,$A101,3)&amp;""))-1),TRIM(INDEX(인턴근무계획!$E$3:$J$202,$A101,3)&amp;""))))</f>
        <v/>
      </c>
      <c r="M101" s="19">
        <f>IF($C101="","",IF(TRIM(INDEX(인턴근무계획!$E$3:$J$202,$A101,4)&amp;"")="","",IFERROR(LEFT(TRIM(INDEX(인턴근무계획!$E$3:$J$202,$A101,4)&amp;""),FIND(" ",TRIM(INDEX(인턴근무계획!$E$3:$J$202,$A101,4)&amp;""))-1),TRIM(INDEX(인턴근무계획!$E$3:$J$202,$A101,4)&amp;""))))</f>
        <v/>
      </c>
      <c r="N101" s="19">
        <f>IF($C101="","",IF(TRIM(INDEX(인턴근무계획!$E$3:$J$202,$A101,5)&amp;"")="","",IFERROR(LEFT(TRIM(INDEX(인턴근무계획!$E$3:$J$202,$A101,5)&amp;""),FIND(" ",TRIM(INDEX(인턴근무계획!$E$3:$J$202,$A101,5)&amp;""))-1),TRIM(INDEX(인턴근무계획!$E$3:$J$202,$A101,5)&amp;""))))</f>
        <v/>
      </c>
      <c r="O101" s="19">
        <f>IF($C101="","",IF(TRIM(INDEX(인턴근무계획!$E$3:$J$202,$A101,6)&amp;"")="","",IFERROR(LEFT(TRIM(INDEX(인턴근무계획!$E$3:$J$202,$A101,6)&amp;""),FIND(" ",TRIM(INDEX(인턴근무계획!$E$3:$J$202,$A101,6)&amp;""))-1),TRIM(INDEX(인턴근무계획!$E$3:$J$202,$A101,6)&amp;""))))</f>
        <v/>
      </c>
      <c r="P101" s="19">
        <f>IF($C101="","",IF(INDEX(인턴근무계획!$K$3:$K$202,$A101)="","",INDEX(인턴근무계획!$K$3:$K$202,$A101)))</f>
        <v/>
      </c>
    </row>
    <row r="102">
      <c r="A102" s="18" t="n">
        <v>97</v>
      </c>
      <c r="B102" s="19">
        <f>IF($C102="","",INDEX(인턴근무계획!$B$3:$B$202,$A102))</f>
        <v/>
      </c>
      <c r="C102" s="19">
        <f>IFERROR(TRIM(INDEX(인턴근무계획!$C$3:$C$202,$A102)&amp;""),"")</f>
        <v/>
      </c>
      <c r="D102" s="19">
        <f>IF($C102="","",INDEX(인턴근무계획!$D$3:$D$202,$A102))</f>
        <v/>
      </c>
      <c r="E102" s="19">
        <f>IF($C102="","",IF(IFERROR(MATCH($D102,기본자료!$B$2:$B$501,0),IFERROR(MATCH($D102&amp;"",기본자료!$B$2:$B$501,0),IFERROR(MATCH(VALUE($D102),기본자료!$B$2:$B$501,0),0)))&gt;0,"확인","미등록"))</f>
        <v/>
      </c>
      <c r="F102" s="19">
        <f>IF(OR($C102="",$F$3=""),"",IF(TRIM(INDEX(인턴근무계획!$E$3:$J$202,$A102,$F$3)&amp;"")="","",IFERROR(LEFT(TRIM(INDEX(인턴근무계획!$E$3:$J$202,$A102,$F$3)&amp;""),FIND(" ",TRIM(INDEX(인턴근무계획!$E$3:$J$202,$A102,$F$3)&amp;""))-1),TRIM(INDEX(인턴근무계획!$E$3:$J$202,$A102,$F$3)&amp;""))))</f>
        <v/>
      </c>
      <c r="G102" s="19">
        <f>IF(OR($C102="",$F$3=""),"",IF(TRIM(INDEX(인턴근무계획!$E$3:$J$202,$A102,$F$3)&amp;"")="","",IFERROR(MID(TRIM(INDEX(인턴근무계획!$E$3:$J$202,$A102,$F$3)&amp;""),FIND(" ",TRIM(INDEX(인턴근무계획!$E$3:$J$202,$A102,$F$3)&amp;""))+1,60),"")))</f>
        <v/>
      </c>
      <c r="H102" s="19">
        <f>IF(OR($C102="",$H$3=""),"",IF(TRIM(INDEX(인턴근무계획!$E$3:$J$202,$A102,$H$3)&amp;"")="","",IFERROR(LEFT(TRIM(INDEX(인턴근무계획!$E$3:$J$202,$A102,$H$3)&amp;""),FIND(" ",TRIM(INDEX(인턴근무계획!$E$3:$J$202,$A102,$H$3)&amp;""))-1),TRIM(INDEX(인턴근무계획!$E$3:$J$202,$A102,$H$3)&amp;""))))</f>
        <v/>
      </c>
      <c r="I102" s="19">
        <f>IF(OR($C102="",$H$3=""),"",IF(TRIM(INDEX(인턴근무계획!$E$3:$J$202,$A102,$H$3)&amp;"")="","",IFERROR(MID(TRIM(INDEX(인턴근무계획!$E$3:$J$202,$A102,$H$3)&amp;""),FIND(" ",TRIM(INDEX(인턴근무계획!$E$3:$J$202,$A102,$H$3)&amp;""))+1,60),"")))</f>
        <v/>
      </c>
      <c r="J102" s="19">
        <f>IF($C102="","",IF(TRIM(INDEX(인턴근무계획!$E$3:$J$202,$A102,1)&amp;"")="","",IFERROR(LEFT(TRIM(INDEX(인턴근무계획!$E$3:$J$202,$A102,1)&amp;""),FIND(" ",TRIM(INDEX(인턴근무계획!$E$3:$J$202,$A102,1)&amp;""))-1),TRIM(INDEX(인턴근무계획!$E$3:$J$202,$A102,1)&amp;""))))</f>
        <v/>
      </c>
      <c r="K102" s="19">
        <f>IF($C102="","",IF(TRIM(INDEX(인턴근무계획!$E$3:$J$202,$A102,2)&amp;"")="","",IFERROR(LEFT(TRIM(INDEX(인턴근무계획!$E$3:$J$202,$A102,2)&amp;""),FIND(" ",TRIM(INDEX(인턴근무계획!$E$3:$J$202,$A102,2)&amp;""))-1),TRIM(INDEX(인턴근무계획!$E$3:$J$202,$A102,2)&amp;""))))</f>
        <v/>
      </c>
      <c r="L102" s="19">
        <f>IF($C102="","",IF(TRIM(INDEX(인턴근무계획!$E$3:$J$202,$A102,3)&amp;"")="","",IFERROR(LEFT(TRIM(INDEX(인턴근무계획!$E$3:$J$202,$A102,3)&amp;""),FIND(" ",TRIM(INDEX(인턴근무계획!$E$3:$J$202,$A102,3)&amp;""))-1),TRIM(INDEX(인턴근무계획!$E$3:$J$202,$A102,3)&amp;""))))</f>
        <v/>
      </c>
      <c r="M102" s="19">
        <f>IF($C102="","",IF(TRIM(INDEX(인턴근무계획!$E$3:$J$202,$A102,4)&amp;"")="","",IFERROR(LEFT(TRIM(INDEX(인턴근무계획!$E$3:$J$202,$A102,4)&amp;""),FIND(" ",TRIM(INDEX(인턴근무계획!$E$3:$J$202,$A102,4)&amp;""))-1),TRIM(INDEX(인턴근무계획!$E$3:$J$202,$A102,4)&amp;""))))</f>
        <v/>
      </c>
      <c r="N102" s="19">
        <f>IF($C102="","",IF(TRIM(INDEX(인턴근무계획!$E$3:$J$202,$A102,5)&amp;"")="","",IFERROR(LEFT(TRIM(INDEX(인턴근무계획!$E$3:$J$202,$A102,5)&amp;""),FIND(" ",TRIM(INDEX(인턴근무계획!$E$3:$J$202,$A102,5)&amp;""))-1),TRIM(INDEX(인턴근무계획!$E$3:$J$202,$A102,5)&amp;""))))</f>
        <v/>
      </c>
      <c r="O102" s="19">
        <f>IF($C102="","",IF(TRIM(INDEX(인턴근무계획!$E$3:$J$202,$A102,6)&amp;"")="","",IFERROR(LEFT(TRIM(INDEX(인턴근무계획!$E$3:$J$202,$A102,6)&amp;""),FIND(" ",TRIM(INDEX(인턴근무계획!$E$3:$J$202,$A102,6)&amp;""))-1),TRIM(INDEX(인턴근무계획!$E$3:$J$202,$A102,6)&amp;""))))</f>
        <v/>
      </c>
      <c r="P102" s="19">
        <f>IF($C102="","",IF(INDEX(인턴근무계획!$K$3:$K$202,$A102)="","",INDEX(인턴근무계획!$K$3:$K$202,$A102)))</f>
        <v/>
      </c>
    </row>
    <row r="103">
      <c r="A103" s="18" t="n">
        <v>98</v>
      </c>
      <c r="B103" s="19">
        <f>IF($C103="","",INDEX(인턴근무계획!$B$3:$B$202,$A103))</f>
        <v/>
      </c>
      <c r="C103" s="19">
        <f>IFERROR(TRIM(INDEX(인턴근무계획!$C$3:$C$202,$A103)&amp;""),"")</f>
        <v/>
      </c>
      <c r="D103" s="19">
        <f>IF($C103="","",INDEX(인턴근무계획!$D$3:$D$202,$A103))</f>
        <v/>
      </c>
      <c r="E103" s="19">
        <f>IF($C103="","",IF(IFERROR(MATCH($D103,기본자료!$B$2:$B$501,0),IFERROR(MATCH($D103&amp;"",기본자료!$B$2:$B$501,0),IFERROR(MATCH(VALUE($D103),기본자료!$B$2:$B$501,0),0)))&gt;0,"확인","미등록"))</f>
        <v/>
      </c>
      <c r="F103" s="19">
        <f>IF(OR($C103="",$F$3=""),"",IF(TRIM(INDEX(인턴근무계획!$E$3:$J$202,$A103,$F$3)&amp;"")="","",IFERROR(LEFT(TRIM(INDEX(인턴근무계획!$E$3:$J$202,$A103,$F$3)&amp;""),FIND(" ",TRIM(INDEX(인턴근무계획!$E$3:$J$202,$A103,$F$3)&amp;""))-1),TRIM(INDEX(인턴근무계획!$E$3:$J$202,$A103,$F$3)&amp;""))))</f>
        <v/>
      </c>
      <c r="G103" s="19">
        <f>IF(OR($C103="",$F$3=""),"",IF(TRIM(INDEX(인턴근무계획!$E$3:$J$202,$A103,$F$3)&amp;"")="","",IFERROR(MID(TRIM(INDEX(인턴근무계획!$E$3:$J$202,$A103,$F$3)&amp;""),FIND(" ",TRIM(INDEX(인턴근무계획!$E$3:$J$202,$A103,$F$3)&amp;""))+1,60),"")))</f>
        <v/>
      </c>
      <c r="H103" s="19">
        <f>IF(OR($C103="",$H$3=""),"",IF(TRIM(INDEX(인턴근무계획!$E$3:$J$202,$A103,$H$3)&amp;"")="","",IFERROR(LEFT(TRIM(INDEX(인턴근무계획!$E$3:$J$202,$A103,$H$3)&amp;""),FIND(" ",TRIM(INDEX(인턴근무계획!$E$3:$J$202,$A103,$H$3)&amp;""))-1),TRIM(INDEX(인턴근무계획!$E$3:$J$202,$A103,$H$3)&amp;""))))</f>
        <v/>
      </c>
      <c r="I103" s="19">
        <f>IF(OR($C103="",$H$3=""),"",IF(TRIM(INDEX(인턴근무계획!$E$3:$J$202,$A103,$H$3)&amp;"")="","",IFERROR(MID(TRIM(INDEX(인턴근무계획!$E$3:$J$202,$A103,$H$3)&amp;""),FIND(" ",TRIM(INDEX(인턴근무계획!$E$3:$J$202,$A103,$H$3)&amp;""))+1,60),"")))</f>
        <v/>
      </c>
      <c r="J103" s="19">
        <f>IF($C103="","",IF(TRIM(INDEX(인턴근무계획!$E$3:$J$202,$A103,1)&amp;"")="","",IFERROR(LEFT(TRIM(INDEX(인턴근무계획!$E$3:$J$202,$A103,1)&amp;""),FIND(" ",TRIM(INDEX(인턴근무계획!$E$3:$J$202,$A103,1)&amp;""))-1),TRIM(INDEX(인턴근무계획!$E$3:$J$202,$A103,1)&amp;""))))</f>
        <v/>
      </c>
      <c r="K103" s="19">
        <f>IF($C103="","",IF(TRIM(INDEX(인턴근무계획!$E$3:$J$202,$A103,2)&amp;"")="","",IFERROR(LEFT(TRIM(INDEX(인턴근무계획!$E$3:$J$202,$A103,2)&amp;""),FIND(" ",TRIM(INDEX(인턴근무계획!$E$3:$J$202,$A103,2)&amp;""))-1),TRIM(INDEX(인턴근무계획!$E$3:$J$202,$A103,2)&amp;""))))</f>
        <v/>
      </c>
      <c r="L103" s="19">
        <f>IF($C103="","",IF(TRIM(INDEX(인턴근무계획!$E$3:$J$202,$A103,3)&amp;"")="","",IFERROR(LEFT(TRIM(INDEX(인턴근무계획!$E$3:$J$202,$A103,3)&amp;""),FIND(" ",TRIM(INDEX(인턴근무계획!$E$3:$J$202,$A103,3)&amp;""))-1),TRIM(INDEX(인턴근무계획!$E$3:$J$202,$A103,3)&amp;""))))</f>
        <v/>
      </c>
      <c r="M103" s="19">
        <f>IF($C103="","",IF(TRIM(INDEX(인턴근무계획!$E$3:$J$202,$A103,4)&amp;"")="","",IFERROR(LEFT(TRIM(INDEX(인턴근무계획!$E$3:$J$202,$A103,4)&amp;""),FIND(" ",TRIM(INDEX(인턴근무계획!$E$3:$J$202,$A103,4)&amp;""))-1),TRIM(INDEX(인턴근무계획!$E$3:$J$202,$A103,4)&amp;""))))</f>
        <v/>
      </c>
      <c r="N103" s="19">
        <f>IF($C103="","",IF(TRIM(INDEX(인턴근무계획!$E$3:$J$202,$A103,5)&amp;"")="","",IFERROR(LEFT(TRIM(INDEX(인턴근무계획!$E$3:$J$202,$A103,5)&amp;""),FIND(" ",TRIM(INDEX(인턴근무계획!$E$3:$J$202,$A103,5)&amp;""))-1),TRIM(INDEX(인턴근무계획!$E$3:$J$202,$A103,5)&amp;""))))</f>
        <v/>
      </c>
      <c r="O103" s="19">
        <f>IF($C103="","",IF(TRIM(INDEX(인턴근무계획!$E$3:$J$202,$A103,6)&amp;"")="","",IFERROR(LEFT(TRIM(INDEX(인턴근무계획!$E$3:$J$202,$A103,6)&amp;""),FIND(" ",TRIM(INDEX(인턴근무계획!$E$3:$J$202,$A103,6)&amp;""))-1),TRIM(INDEX(인턴근무계획!$E$3:$J$202,$A103,6)&amp;""))))</f>
        <v/>
      </c>
      <c r="P103" s="19">
        <f>IF($C103="","",IF(INDEX(인턴근무계획!$K$3:$K$202,$A103)="","",INDEX(인턴근무계획!$K$3:$K$202,$A103)))</f>
        <v/>
      </c>
    </row>
    <row r="104">
      <c r="A104" s="18" t="n">
        <v>99</v>
      </c>
      <c r="B104" s="19">
        <f>IF($C104="","",INDEX(인턴근무계획!$B$3:$B$202,$A104))</f>
        <v/>
      </c>
      <c r="C104" s="19">
        <f>IFERROR(TRIM(INDEX(인턴근무계획!$C$3:$C$202,$A104)&amp;""),"")</f>
        <v/>
      </c>
      <c r="D104" s="19">
        <f>IF($C104="","",INDEX(인턴근무계획!$D$3:$D$202,$A104))</f>
        <v/>
      </c>
      <c r="E104" s="19">
        <f>IF($C104="","",IF(IFERROR(MATCH($D104,기본자료!$B$2:$B$501,0),IFERROR(MATCH($D104&amp;"",기본자료!$B$2:$B$501,0),IFERROR(MATCH(VALUE($D104),기본자료!$B$2:$B$501,0),0)))&gt;0,"확인","미등록"))</f>
        <v/>
      </c>
      <c r="F104" s="19">
        <f>IF(OR($C104="",$F$3=""),"",IF(TRIM(INDEX(인턴근무계획!$E$3:$J$202,$A104,$F$3)&amp;"")="","",IFERROR(LEFT(TRIM(INDEX(인턴근무계획!$E$3:$J$202,$A104,$F$3)&amp;""),FIND(" ",TRIM(INDEX(인턴근무계획!$E$3:$J$202,$A104,$F$3)&amp;""))-1),TRIM(INDEX(인턴근무계획!$E$3:$J$202,$A104,$F$3)&amp;""))))</f>
        <v/>
      </c>
      <c r="G104" s="19">
        <f>IF(OR($C104="",$F$3=""),"",IF(TRIM(INDEX(인턴근무계획!$E$3:$J$202,$A104,$F$3)&amp;"")="","",IFERROR(MID(TRIM(INDEX(인턴근무계획!$E$3:$J$202,$A104,$F$3)&amp;""),FIND(" ",TRIM(INDEX(인턴근무계획!$E$3:$J$202,$A104,$F$3)&amp;""))+1,60),"")))</f>
        <v/>
      </c>
      <c r="H104" s="19">
        <f>IF(OR($C104="",$H$3=""),"",IF(TRIM(INDEX(인턴근무계획!$E$3:$J$202,$A104,$H$3)&amp;"")="","",IFERROR(LEFT(TRIM(INDEX(인턴근무계획!$E$3:$J$202,$A104,$H$3)&amp;""),FIND(" ",TRIM(INDEX(인턴근무계획!$E$3:$J$202,$A104,$H$3)&amp;""))-1),TRIM(INDEX(인턴근무계획!$E$3:$J$202,$A104,$H$3)&amp;""))))</f>
        <v/>
      </c>
      <c r="I104" s="19">
        <f>IF(OR($C104="",$H$3=""),"",IF(TRIM(INDEX(인턴근무계획!$E$3:$J$202,$A104,$H$3)&amp;"")="","",IFERROR(MID(TRIM(INDEX(인턴근무계획!$E$3:$J$202,$A104,$H$3)&amp;""),FIND(" ",TRIM(INDEX(인턴근무계획!$E$3:$J$202,$A104,$H$3)&amp;""))+1,60),"")))</f>
        <v/>
      </c>
      <c r="J104" s="19">
        <f>IF($C104="","",IF(TRIM(INDEX(인턴근무계획!$E$3:$J$202,$A104,1)&amp;"")="","",IFERROR(LEFT(TRIM(INDEX(인턴근무계획!$E$3:$J$202,$A104,1)&amp;""),FIND(" ",TRIM(INDEX(인턴근무계획!$E$3:$J$202,$A104,1)&amp;""))-1),TRIM(INDEX(인턴근무계획!$E$3:$J$202,$A104,1)&amp;""))))</f>
        <v/>
      </c>
      <c r="K104" s="19">
        <f>IF($C104="","",IF(TRIM(INDEX(인턴근무계획!$E$3:$J$202,$A104,2)&amp;"")="","",IFERROR(LEFT(TRIM(INDEX(인턴근무계획!$E$3:$J$202,$A104,2)&amp;""),FIND(" ",TRIM(INDEX(인턴근무계획!$E$3:$J$202,$A104,2)&amp;""))-1),TRIM(INDEX(인턴근무계획!$E$3:$J$202,$A104,2)&amp;""))))</f>
        <v/>
      </c>
      <c r="L104" s="19">
        <f>IF($C104="","",IF(TRIM(INDEX(인턴근무계획!$E$3:$J$202,$A104,3)&amp;"")="","",IFERROR(LEFT(TRIM(INDEX(인턴근무계획!$E$3:$J$202,$A104,3)&amp;""),FIND(" ",TRIM(INDEX(인턴근무계획!$E$3:$J$202,$A104,3)&amp;""))-1),TRIM(INDEX(인턴근무계획!$E$3:$J$202,$A104,3)&amp;""))))</f>
        <v/>
      </c>
      <c r="M104" s="19">
        <f>IF($C104="","",IF(TRIM(INDEX(인턴근무계획!$E$3:$J$202,$A104,4)&amp;"")="","",IFERROR(LEFT(TRIM(INDEX(인턴근무계획!$E$3:$J$202,$A104,4)&amp;""),FIND(" ",TRIM(INDEX(인턴근무계획!$E$3:$J$202,$A104,4)&amp;""))-1),TRIM(INDEX(인턴근무계획!$E$3:$J$202,$A104,4)&amp;""))))</f>
        <v/>
      </c>
      <c r="N104" s="19">
        <f>IF($C104="","",IF(TRIM(INDEX(인턴근무계획!$E$3:$J$202,$A104,5)&amp;"")="","",IFERROR(LEFT(TRIM(INDEX(인턴근무계획!$E$3:$J$202,$A104,5)&amp;""),FIND(" ",TRIM(INDEX(인턴근무계획!$E$3:$J$202,$A104,5)&amp;""))-1),TRIM(INDEX(인턴근무계획!$E$3:$J$202,$A104,5)&amp;""))))</f>
        <v/>
      </c>
      <c r="O104" s="19">
        <f>IF($C104="","",IF(TRIM(INDEX(인턴근무계획!$E$3:$J$202,$A104,6)&amp;"")="","",IFERROR(LEFT(TRIM(INDEX(인턴근무계획!$E$3:$J$202,$A104,6)&amp;""),FIND(" ",TRIM(INDEX(인턴근무계획!$E$3:$J$202,$A104,6)&amp;""))-1),TRIM(INDEX(인턴근무계획!$E$3:$J$202,$A104,6)&amp;""))))</f>
        <v/>
      </c>
      <c r="P104" s="19">
        <f>IF($C104="","",IF(INDEX(인턴근무계획!$K$3:$K$202,$A104)="","",INDEX(인턴근무계획!$K$3:$K$202,$A104)))</f>
        <v/>
      </c>
    </row>
    <row r="105">
      <c r="A105" s="18" t="n">
        <v>100</v>
      </c>
      <c r="B105" s="19">
        <f>IF($C105="","",INDEX(인턴근무계획!$B$3:$B$202,$A105))</f>
        <v/>
      </c>
      <c r="C105" s="19">
        <f>IFERROR(TRIM(INDEX(인턴근무계획!$C$3:$C$202,$A105)&amp;""),"")</f>
        <v/>
      </c>
      <c r="D105" s="19">
        <f>IF($C105="","",INDEX(인턴근무계획!$D$3:$D$202,$A105))</f>
        <v/>
      </c>
      <c r="E105" s="19">
        <f>IF($C105="","",IF(IFERROR(MATCH($D105,기본자료!$B$2:$B$501,0),IFERROR(MATCH($D105&amp;"",기본자료!$B$2:$B$501,0),IFERROR(MATCH(VALUE($D105),기본자료!$B$2:$B$501,0),0)))&gt;0,"확인","미등록"))</f>
        <v/>
      </c>
      <c r="F105" s="19">
        <f>IF(OR($C105="",$F$3=""),"",IF(TRIM(INDEX(인턴근무계획!$E$3:$J$202,$A105,$F$3)&amp;"")="","",IFERROR(LEFT(TRIM(INDEX(인턴근무계획!$E$3:$J$202,$A105,$F$3)&amp;""),FIND(" ",TRIM(INDEX(인턴근무계획!$E$3:$J$202,$A105,$F$3)&amp;""))-1),TRIM(INDEX(인턴근무계획!$E$3:$J$202,$A105,$F$3)&amp;""))))</f>
        <v/>
      </c>
      <c r="G105" s="19">
        <f>IF(OR($C105="",$F$3=""),"",IF(TRIM(INDEX(인턴근무계획!$E$3:$J$202,$A105,$F$3)&amp;"")="","",IFERROR(MID(TRIM(INDEX(인턴근무계획!$E$3:$J$202,$A105,$F$3)&amp;""),FIND(" ",TRIM(INDEX(인턴근무계획!$E$3:$J$202,$A105,$F$3)&amp;""))+1,60),"")))</f>
        <v/>
      </c>
      <c r="H105" s="19">
        <f>IF(OR($C105="",$H$3=""),"",IF(TRIM(INDEX(인턴근무계획!$E$3:$J$202,$A105,$H$3)&amp;"")="","",IFERROR(LEFT(TRIM(INDEX(인턴근무계획!$E$3:$J$202,$A105,$H$3)&amp;""),FIND(" ",TRIM(INDEX(인턴근무계획!$E$3:$J$202,$A105,$H$3)&amp;""))-1),TRIM(INDEX(인턴근무계획!$E$3:$J$202,$A105,$H$3)&amp;""))))</f>
        <v/>
      </c>
      <c r="I105" s="19">
        <f>IF(OR($C105="",$H$3=""),"",IF(TRIM(INDEX(인턴근무계획!$E$3:$J$202,$A105,$H$3)&amp;"")="","",IFERROR(MID(TRIM(INDEX(인턴근무계획!$E$3:$J$202,$A105,$H$3)&amp;""),FIND(" ",TRIM(INDEX(인턴근무계획!$E$3:$J$202,$A105,$H$3)&amp;""))+1,60),"")))</f>
        <v/>
      </c>
      <c r="J105" s="19">
        <f>IF($C105="","",IF(TRIM(INDEX(인턴근무계획!$E$3:$J$202,$A105,1)&amp;"")="","",IFERROR(LEFT(TRIM(INDEX(인턴근무계획!$E$3:$J$202,$A105,1)&amp;""),FIND(" ",TRIM(INDEX(인턴근무계획!$E$3:$J$202,$A105,1)&amp;""))-1),TRIM(INDEX(인턴근무계획!$E$3:$J$202,$A105,1)&amp;""))))</f>
        <v/>
      </c>
      <c r="K105" s="19">
        <f>IF($C105="","",IF(TRIM(INDEX(인턴근무계획!$E$3:$J$202,$A105,2)&amp;"")="","",IFERROR(LEFT(TRIM(INDEX(인턴근무계획!$E$3:$J$202,$A105,2)&amp;""),FIND(" ",TRIM(INDEX(인턴근무계획!$E$3:$J$202,$A105,2)&amp;""))-1),TRIM(INDEX(인턴근무계획!$E$3:$J$202,$A105,2)&amp;""))))</f>
        <v/>
      </c>
      <c r="L105" s="19">
        <f>IF($C105="","",IF(TRIM(INDEX(인턴근무계획!$E$3:$J$202,$A105,3)&amp;"")="","",IFERROR(LEFT(TRIM(INDEX(인턴근무계획!$E$3:$J$202,$A105,3)&amp;""),FIND(" ",TRIM(INDEX(인턴근무계획!$E$3:$J$202,$A105,3)&amp;""))-1),TRIM(INDEX(인턴근무계획!$E$3:$J$202,$A105,3)&amp;""))))</f>
        <v/>
      </c>
      <c r="M105" s="19">
        <f>IF($C105="","",IF(TRIM(INDEX(인턴근무계획!$E$3:$J$202,$A105,4)&amp;"")="","",IFERROR(LEFT(TRIM(INDEX(인턴근무계획!$E$3:$J$202,$A105,4)&amp;""),FIND(" ",TRIM(INDEX(인턴근무계획!$E$3:$J$202,$A105,4)&amp;""))-1),TRIM(INDEX(인턴근무계획!$E$3:$J$202,$A105,4)&amp;""))))</f>
        <v/>
      </c>
      <c r="N105" s="19">
        <f>IF($C105="","",IF(TRIM(INDEX(인턴근무계획!$E$3:$J$202,$A105,5)&amp;"")="","",IFERROR(LEFT(TRIM(INDEX(인턴근무계획!$E$3:$J$202,$A105,5)&amp;""),FIND(" ",TRIM(INDEX(인턴근무계획!$E$3:$J$202,$A105,5)&amp;""))-1),TRIM(INDEX(인턴근무계획!$E$3:$J$202,$A105,5)&amp;""))))</f>
        <v/>
      </c>
      <c r="O105" s="19">
        <f>IF($C105="","",IF(TRIM(INDEX(인턴근무계획!$E$3:$J$202,$A105,6)&amp;"")="","",IFERROR(LEFT(TRIM(INDEX(인턴근무계획!$E$3:$J$202,$A105,6)&amp;""),FIND(" ",TRIM(INDEX(인턴근무계획!$E$3:$J$202,$A105,6)&amp;""))-1),TRIM(INDEX(인턴근무계획!$E$3:$J$202,$A105,6)&amp;""))))</f>
        <v/>
      </c>
      <c r="P105" s="19">
        <f>IF($C105="","",IF(INDEX(인턴근무계획!$K$3:$K$202,$A105)="","",INDEX(인턴근무계획!$K$3:$K$202,$A105)))</f>
        <v/>
      </c>
    </row>
    <row r="106">
      <c r="A106" s="18" t="n">
        <v>101</v>
      </c>
      <c r="B106" s="19">
        <f>IF($C106="","",INDEX(인턴근무계획!$B$3:$B$202,$A106))</f>
        <v/>
      </c>
      <c r="C106" s="19">
        <f>IFERROR(TRIM(INDEX(인턴근무계획!$C$3:$C$202,$A106)&amp;""),"")</f>
        <v/>
      </c>
      <c r="D106" s="19">
        <f>IF($C106="","",INDEX(인턴근무계획!$D$3:$D$202,$A106))</f>
        <v/>
      </c>
      <c r="E106" s="19">
        <f>IF($C106="","",IF(IFERROR(MATCH($D106,기본자료!$B$2:$B$501,0),IFERROR(MATCH($D106&amp;"",기본자료!$B$2:$B$501,0),IFERROR(MATCH(VALUE($D106),기본자료!$B$2:$B$501,0),0)))&gt;0,"확인","미등록"))</f>
        <v/>
      </c>
      <c r="F106" s="19">
        <f>IF(OR($C106="",$F$3=""),"",IF(TRIM(INDEX(인턴근무계획!$E$3:$J$202,$A106,$F$3)&amp;"")="","",IFERROR(LEFT(TRIM(INDEX(인턴근무계획!$E$3:$J$202,$A106,$F$3)&amp;""),FIND(" ",TRIM(INDEX(인턴근무계획!$E$3:$J$202,$A106,$F$3)&amp;""))-1),TRIM(INDEX(인턴근무계획!$E$3:$J$202,$A106,$F$3)&amp;""))))</f>
        <v/>
      </c>
      <c r="G106" s="19">
        <f>IF(OR($C106="",$F$3=""),"",IF(TRIM(INDEX(인턴근무계획!$E$3:$J$202,$A106,$F$3)&amp;"")="","",IFERROR(MID(TRIM(INDEX(인턴근무계획!$E$3:$J$202,$A106,$F$3)&amp;""),FIND(" ",TRIM(INDEX(인턴근무계획!$E$3:$J$202,$A106,$F$3)&amp;""))+1,60),"")))</f>
        <v/>
      </c>
      <c r="H106" s="19">
        <f>IF(OR($C106="",$H$3=""),"",IF(TRIM(INDEX(인턴근무계획!$E$3:$J$202,$A106,$H$3)&amp;"")="","",IFERROR(LEFT(TRIM(INDEX(인턴근무계획!$E$3:$J$202,$A106,$H$3)&amp;""),FIND(" ",TRIM(INDEX(인턴근무계획!$E$3:$J$202,$A106,$H$3)&amp;""))-1),TRIM(INDEX(인턴근무계획!$E$3:$J$202,$A106,$H$3)&amp;""))))</f>
        <v/>
      </c>
      <c r="I106" s="19">
        <f>IF(OR($C106="",$H$3=""),"",IF(TRIM(INDEX(인턴근무계획!$E$3:$J$202,$A106,$H$3)&amp;"")="","",IFERROR(MID(TRIM(INDEX(인턴근무계획!$E$3:$J$202,$A106,$H$3)&amp;""),FIND(" ",TRIM(INDEX(인턴근무계획!$E$3:$J$202,$A106,$H$3)&amp;""))+1,60),"")))</f>
        <v/>
      </c>
      <c r="J106" s="19">
        <f>IF($C106="","",IF(TRIM(INDEX(인턴근무계획!$E$3:$J$202,$A106,1)&amp;"")="","",IFERROR(LEFT(TRIM(INDEX(인턴근무계획!$E$3:$J$202,$A106,1)&amp;""),FIND(" ",TRIM(INDEX(인턴근무계획!$E$3:$J$202,$A106,1)&amp;""))-1),TRIM(INDEX(인턴근무계획!$E$3:$J$202,$A106,1)&amp;""))))</f>
        <v/>
      </c>
      <c r="K106" s="19">
        <f>IF($C106="","",IF(TRIM(INDEX(인턴근무계획!$E$3:$J$202,$A106,2)&amp;"")="","",IFERROR(LEFT(TRIM(INDEX(인턴근무계획!$E$3:$J$202,$A106,2)&amp;""),FIND(" ",TRIM(INDEX(인턴근무계획!$E$3:$J$202,$A106,2)&amp;""))-1),TRIM(INDEX(인턴근무계획!$E$3:$J$202,$A106,2)&amp;""))))</f>
        <v/>
      </c>
      <c r="L106" s="19">
        <f>IF($C106="","",IF(TRIM(INDEX(인턴근무계획!$E$3:$J$202,$A106,3)&amp;"")="","",IFERROR(LEFT(TRIM(INDEX(인턴근무계획!$E$3:$J$202,$A106,3)&amp;""),FIND(" ",TRIM(INDEX(인턴근무계획!$E$3:$J$202,$A106,3)&amp;""))-1),TRIM(INDEX(인턴근무계획!$E$3:$J$202,$A106,3)&amp;""))))</f>
        <v/>
      </c>
      <c r="M106" s="19">
        <f>IF($C106="","",IF(TRIM(INDEX(인턴근무계획!$E$3:$J$202,$A106,4)&amp;"")="","",IFERROR(LEFT(TRIM(INDEX(인턴근무계획!$E$3:$J$202,$A106,4)&amp;""),FIND(" ",TRIM(INDEX(인턴근무계획!$E$3:$J$202,$A106,4)&amp;""))-1),TRIM(INDEX(인턴근무계획!$E$3:$J$202,$A106,4)&amp;""))))</f>
        <v/>
      </c>
      <c r="N106" s="19">
        <f>IF($C106="","",IF(TRIM(INDEX(인턴근무계획!$E$3:$J$202,$A106,5)&amp;"")="","",IFERROR(LEFT(TRIM(INDEX(인턴근무계획!$E$3:$J$202,$A106,5)&amp;""),FIND(" ",TRIM(INDEX(인턴근무계획!$E$3:$J$202,$A106,5)&amp;""))-1),TRIM(INDEX(인턴근무계획!$E$3:$J$202,$A106,5)&amp;""))))</f>
        <v/>
      </c>
      <c r="O106" s="19">
        <f>IF($C106="","",IF(TRIM(INDEX(인턴근무계획!$E$3:$J$202,$A106,6)&amp;"")="","",IFERROR(LEFT(TRIM(INDEX(인턴근무계획!$E$3:$J$202,$A106,6)&amp;""),FIND(" ",TRIM(INDEX(인턴근무계획!$E$3:$J$202,$A106,6)&amp;""))-1),TRIM(INDEX(인턴근무계획!$E$3:$J$202,$A106,6)&amp;""))))</f>
        <v/>
      </c>
      <c r="P106" s="19">
        <f>IF($C106="","",IF(INDEX(인턴근무계획!$K$3:$K$202,$A106)="","",INDEX(인턴근무계획!$K$3:$K$202,$A106)))</f>
        <v/>
      </c>
    </row>
    <row r="107">
      <c r="A107" s="18" t="n">
        <v>102</v>
      </c>
      <c r="B107" s="19">
        <f>IF($C107="","",INDEX(인턴근무계획!$B$3:$B$202,$A107))</f>
        <v/>
      </c>
      <c r="C107" s="19">
        <f>IFERROR(TRIM(INDEX(인턴근무계획!$C$3:$C$202,$A107)&amp;""),"")</f>
        <v/>
      </c>
      <c r="D107" s="19">
        <f>IF($C107="","",INDEX(인턴근무계획!$D$3:$D$202,$A107))</f>
        <v/>
      </c>
      <c r="E107" s="19">
        <f>IF($C107="","",IF(IFERROR(MATCH($D107,기본자료!$B$2:$B$501,0),IFERROR(MATCH($D107&amp;"",기본자료!$B$2:$B$501,0),IFERROR(MATCH(VALUE($D107),기본자료!$B$2:$B$501,0),0)))&gt;0,"확인","미등록"))</f>
        <v/>
      </c>
      <c r="F107" s="19">
        <f>IF(OR($C107="",$F$3=""),"",IF(TRIM(INDEX(인턴근무계획!$E$3:$J$202,$A107,$F$3)&amp;"")="","",IFERROR(LEFT(TRIM(INDEX(인턴근무계획!$E$3:$J$202,$A107,$F$3)&amp;""),FIND(" ",TRIM(INDEX(인턴근무계획!$E$3:$J$202,$A107,$F$3)&amp;""))-1),TRIM(INDEX(인턴근무계획!$E$3:$J$202,$A107,$F$3)&amp;""))))</f>
        <v/>
      </c>
      <c r="G107" s="19">
        <f>IF(OR($C107="",$F$3=""),"",IF(TRIM(INDEX(인턴근무계획!$E$3:$J$202,$A107,$F$3)&amp;"")="","",IFERROR(MID(TRIM(INDEX(인턴근무계획!$E$3:$J$202,$A107,$F$3)&amp;""),FIND(" ",TRIM(INDEX(인턴근무계획!$E$3:$J$202,$A107,$F$3)&amp;""))+1,60),"")))</f>
        <v/>
      </c>
      <c r="H107" s="19">
        <f>IF(OR($C107="",$H$3=""),"",IF(TRIM(INDEX(인턴근무계획!$E$3:$J$202,$A107,$H$3)&amp;"")="","",IFERROR(LEFT(TRIM(INDEX(인턴근무계획!$E$3:$J$202,$A107,$H$3)&amp;""),FIND(" ",TRIM(INDEX(인턴근무계획!$E$3:$J$202,$A107,$H$3)&amp;""))-1),TRIM(INDEX(인턴근무계획!$E$3:$J$202,$A107,$H$3)&amp;""))))</f>
        <v/>
      </c>
      <c r="I107" s="19">
        <f>IF(OR($C107="",$H$3=""),"",IF(TRIM(INDEX(인턴근무계획!$E$3:$J$202,$A107,$H$3)&amp;"")="","",IFERROR(MID(TRIM(INDEX(인턴근무계획!$E$3:$J$202,$A107,$H$3)&amp;""),FIND(" ",TRIM(INDEX(인턴근무계획!$E$3:$J$202,$A107,$H$3)&amp;""))+1,60),"")))</f>
        <v/>
      </c>
      <c r="J107" s="19">
        <f>IF($C107="","",IF(TRIM(INDEX(인턴근무계획!$E$3:$J$202,$A107,1)&amp;"")="","",IFERROR(LEFT(TRIM(INDEX(인턴근무계획!$E$3:$J$202,$A107,1)&amp;""),FIND(" ",TRIM(INDEX(인턴근무계획!$E$3:$J$202,$A107,1)&amp;""))-1),TRIM(INDEX(인턴근무계획!$E$3:$J$202,$A107,1)&amp;""))))</f>
        <v/>
      </c>
      <c r="K107" s="19">
        <f>IF($C107="","",IF(TRIM(INDEX(인턴근무계획!$E$3:$J$202,$A107,2)&amp;"")="","",IFERROR(LEFT(TRIM(INDEX(인턴근무계획!$E$3:$J$202,$A107,2)&amp;""),FIND(" ",TRIM(INDEX(인턴근무계획!$E$3:$J$202,$A107,2)&amp;""))-1),TRIM(INDEX(인턴근무계획!$E$3:$J$202,$A107,2)&amp;""))))</f>
        <v/>
      </c>
      <c r="L107" s="19">
        <f>IF($C107="","",IF(TRIM(INDEX(인턴근무계획!$E$3:$J$202,$A107,3)&amp;"")="","",IFERROR(LEFT(TRIM(INDEX(인턴근무계획!$E$3:$J$202,$A107,3)&amp;""),FIND(" ",TRIM(INDEX(인턴근무계획!$E$3:$J$202,$A107,3)&amp;""))-1),TRIM(INDEX(인턴근무계획!$E$3:$J$202,$A107,3)&amp;""))))</f>
        <v/>
      </c>
      <c r="M107" s="19">
        <f>IF($C107="","",IF(TRIM(INDEX(인턴근무계획!$E$3:$J$202,$A107,4)&amp;"")="","",IFERROR(LEFT(TRIM(INDEX(인턴근무계획!$E$3:$J$202,$A107,4)&amp;""),FIND(" ",TRIM(INDEX(인턴근무계획!$E$3:$J$202,$A107,4)&amp;""))-1),TRIM(INDEX(인턴근무계획!$E$3:$J$202,$A107,4)&amp;""))))</f>
        <v/>
      </c>
      <c r="N107" s="19">
        <f>IF($C107="","",IF(TRIM(INDEX(인턴근무계획!$E$3:$J$202,$A107,5)&amp;"")="","",IFERROR(LEFT(TRIM(INDEX(인턴근무계획!$E$3:$J$202,$A107,5)&amp;""),FIND(" ",TRIM(INDEX(인턴근무계획!$E$3:$J$202,$A107,5)&amp;""))-1),TRIM(INDEX(인턴근무계획!$E$3:$J$202,$A107,5)&amp;""))))</f>
        <v/>
      </c>
      <c r="O107" s="19">
        <f>IF($C107="","",IF(TRIM(INDEX(인턴근무계획!$E$3:$J$202,$A107,6)&amp;"")="","",IFERROR(LEFT(TRIM(INDEX(인턴근무계획!$E$3:$J$202,$A107,6)&amp;""),FIND(" ",TRIM(INDEX(인턴근무계획!$E$3:$J$202,$A107,6)&amp;""))-1),TRIM(INDEX(인턴근무계획!$E$3:$J$202,$A107,6)&amp;""))))</f>
        <v/>
      </c>
      <c r="P107" s="19">
        <f>IF($C107="","",IF(INDEX(인턴근무계획!$K$3:$K$202,$A107)="","",INDEX(인턴근무계획!$K$3:$K$202,$A107)))</f>
        <v/>
      </c>
    </row>
    <row r="108">
      <c r="A108" s="18" t="n">
        <v>103</v>
      </c>
      <c r="B108" s="19">
        <f>IF($C108="","",INDEX(인턴근무계획!$B$3:$B$202,$A108))</f>
        <v/>
      </c>
      <c r="C108" s="19">
        <f>IFERROR(TRIM(INDEX(인턴근무계획!$C$3:$C$202,$A108)&amp;""),"")</f>
        <v/>
      </c>
      <c r="D108" s="19">
        <f>IF($C108="","",INDEX(인턴근무계획!$D$3:$D$202,$A108))</f>
        <v/>
      </c>
      <c r="E108" s="19">
        <f>IF($C108="","",IF(IFERROR(MATCH($D108,기본자료!$B$2:$B$501,0),IFERROR(MATCH($D108&amp;"",기본자료!$B$2:$B$501,0),IFERROR(MATCH(VALUE($D108),기본자료!$B$2:$B$501,0),0)))&gt;0,"확인","미등록"))</f>
        <v/>
      </c>
      <c r="F108" s="19">
        <f>IF(OR($C108="",$F$3=""),"",IF(TRIM(INDEX(인턴근무계획!$E$3:$J$202,$A108,$F$3)&amp;"")="","",IFERROR(LEFT(TRIM(INDEX(인턴근무계획!$E$3:$J$202,$A108,$F$3)&amp;""),FIND(" ",TRIM(INDEX(인턴근무계획!$E$3:$J$202,$A108,$F$3)&amp;""))-1),TRIM(INDEX(인턴근무계획!$E$3:$J$202,$A108,$F$3)&amp;""))))</f>
        <v/>
      </c>
      <c r="G108" s="19">
        <f>IF(OR($C108="",$F$3=""),"",IF(TRIM(INDEX(인턴근무계획!$E$3:$J$202,$A108,$F$3)&amp;"")="","",IFERROR(MID(TRIM(INDEX(인턴근무계획!$E$3:$J$202,$A108,$F$3)&amp;""),FIND(" ",TRIM(INDEX(인턴근무계획!$E$3:$J$202,$A108,$F$3)&amp;""))+1,60),"")))</f>
        <v/>
      </c>
      <c r="H108" s="19">
        <f>IF(OR($C108="",$H$3=""),"",IF(TRIM(INDEX(인턴근무계획!$E$3:$J$202,$A108,$H$3)&amp;"")="","",IFERROR(LEFT(TRIM(INDEX(인턴근무계획!$E$3:$J$202,$A108,$H$3)&amp;""),FIND(" ",TRIM(INDEX(인턴근무계획!$E$3:$J$202,$A108,$H$3)&amp;""))-1),TRIM(INDEX(인턴근무계획!$E$3:$J$202,$A108,$H$3)&amp;""))))</f>
        <v/>
      </c>
      <c r="I108" s="19">
        <f>IF(OR($C108="",$H$3=""),"",IF(TRIM(INDEX(인턴근무계획!$E$3:$J$202,$A108,$H$3)&amp;"")="","",IFERROR(MID(TRIM(INDEX(인턴근무계획!$E$3:$J$202,$A108,$H$3)&amp;""),FIND(" ",TRIM(INDEX(인턴근무계획!$E$3:$J$202,$A108,$H$3)&amp;""))+1,60),"")))</f>
        <v/>
      </c>
      <c r="J108" s="19">
        <f>IF($C108="","",IF(TRIM(INDEX(인턴근무계획!$E$3:$J$202,$A108,1)&amp;"")="","",IFERROR(LEFT(TRIM(INDEX(인턴근무계획!$E$3:$J$202,$A108,1)&amp;""),FIND(" ",TRIM(INDEX(인턴근무계획!$E$3:$J$202,$A108,1)&amp;""))-1),TRIM(INDEX(인턴근무계획!$E$3:$J$202,$A108,1)&amp;""))))</f>
        <v/>
      </c>
      <c r="K108" s="19">
        <f>IF($C108="","",IF(TRIM(INDEX(인턴근무계획!$E$3:$J$202,$A108,2)&amp;"")="","",IFERROR(LEFT(TRIM(INDEX(인턴근무계획!$E$3:$J$202,$A108,2)&amp;""),FIND(" ",TRIM(INDEX(인턴근무계획!$E$3:$J$202,$A108,2)&amp;""))-1),TRIM(INDEX(인턴근무계획!$E$3:$J$202,$A108,2)&amp;""))))</f>
        <v/>
      </c>
      <c r="L108" s="19">
        <f>IF($C108="","",IF(TRIM(INDEX(인턴근무계획!$E$3:$J$202,$A108,3)&amp;"")="","",IFERROR(LEFT(TRIM(INDEX(인턴근무계획!$E$3:$J$202,$A108,3)&amp;""),FIND(" ",TRIM(INDEX(인턴근무계획!$E$3:$J$202,$A108,3)&amp;""))-1),TRIM(INDEX(인턴근무계획!$E$3:$J$202,$A108,3)&amp;""))))</f>
        <v/>
      </c>
      <c r="M108" s="19">
        <f>IF($C108="","",IF(TRIM(INDEX(인턴근무계획!$E$3:$J$202,$A108,4)&amp;"")="","",IFERROR(LEFT(TRIM(INDEX(인턴근무계획!$E$3:$J$202,$A108,4)&amp;""),FIND(" ",TRIM(INDEX(인턴근무계획!$E$3:$J$202,$A108,4)&amp;""))-1),TRIM(INDEX(인턴근무계획!$E$3:$J$202,$A108,4)&amp;""))))</f>
        <v/>
      </c>
      <c r="N108" s="19">
        <f>IF($C108="","",IF(TRIM(INDEX(인턴근무계획!$E$3:$J$202,$A108,5)&amp;"")="","",IFERROR(LEFT(TRIM(INDEX(인턴근무계획!$E$3:$J$202,$A108,5)&amp;""),FIND(" ",TRIM(INDEX(인턴근무계획!$E$3:$J$202,$A108,5)&amp;""))-1),TRIM(INDEX(인턴근무계획!$E$3:$J$202,$A108,5)&amp;""))))</f>
        <v/>
      </c>
      <c r="O108" s="19">
        <f>IF($C108="","",IF(TRIM(INDEX(인턴근무계획!$E$3:$J$202,$A108,6)&amp;"")="","",IFERROR(LEFT(TRIM(INDEX(인턴근무계획!$E$3:$J$202,$A108,6)&amp;""),FIND(" ",TRIM(INDEX(인턴근무계획!$E$3:$J$202,$A108,6)&amp;""))-1),TRIM(INDEX(인턴근무계획!$E$3:$J$202,$A108,6)&amp;""))))</f>
        <v/>
      </c>
      <c r="P108" s="19">
        <f>IF($C108="","",IF(INDEX(인턴근무계획!$K$3:$K$202,$A108)="","",INDEX(인턴근무계획!$K$3:$K$202,$A108)))</f>
        <v/>
      </c>
    </row>
    <row r="109">
      <c r="A109" s="18" t="n">
        <v>104</v>
      </c>
      <c r="B109" s="19">
        <f>IF($C109="","",INDEX(인턴근무계획!$B$3:$B$202,$A109))</f>
        <v/>
      </c>
      <c r="C109" s="19">
        <f>IFERROR(TRIM(INDEX(인턴근무계획!$C$3:$C$202,$A109)&amp;""),"")</f>
        <v/>
      </c>
      <c r="D109" s="19">
        <f>IF($C109="","",INDEX(인턴근무계획!$D$3:$D$202,$A109))</f>
        <v/>
      </c>
      <c r="E109" s="19">
        <f>IF($C109="","",IF(IFERROR(MATCH($D109,기본자료!$B$2:$B$501,0),IFERROR(MATCH($D109&amp;"",기본자료!$B$2:$B$501,0),IFERROR(MATCH(VALUE($D109),기본자료!$B$2:$B$501,0),0)))&gt;0,"확인","미등록"))</f>
        <v/>
      </c>
      <c r="F109" s="19">
        <f>IF(OR($C109="",$F$3=""),"",IF(TRIM(INDEX(인턴근무계획!$E$3:$J$202,$A109,$F$3)&amp;"")="","",IFERROR(LEFT(TRIM(INDEX(인턴근무계획!$E$3:$J$202,$A109,$F$3)&amp;""),FIND(" ",TRIM(INDEX(인턴근무계획!$E$3:$J$202,$A109,$F$3)&amp;""))-1),TRIM(INDEX(인턴근무계획!$E$3:$J$202,$A109,$F$3)&amp;""))))</f>
        <v/>
      </c>
      <c r="G109" s="19">
        <f>IF(OR($C109="",$F$3=""),"",IF(TRIM(INDEX(인턴근무계획!$E$3:$J$202,$A109,$F$3)&amp;"")="","",IFERROR(MID(TRIM(INDEX(인턴근무계획!$E$3:$J$202,$A109,$F$3)&amp;""),FIND(" ",TRIM(INDEX(인턴근무계획!$E$3:$J$202,$A109,$F$3)&amp;""))+1,60),"")))</f>
        <v/>
      </c>
      <c r="H109" s="19">
        <f>IF(OR($C109="",$H$3=""),"",IF(TRIM(INDEX(인턴근무계획!$E$3:$J$202,$A109,$H$3)&amp;"")="","",IFERROR(LEFT(TRIM(INDEX(인턴근무계획!$E$3:$J$202,$A109,$H$3)&amp;""),FIND(" ",TRIM(INDEX(인턴근무계획!$E$3:$J$202,$A109,$H$3)&amp;""))-1),TRIM(INDEX(인턴근무계획!$E$3:$J$202,$A109,$H$3)&amp;""))))</f>
        <v/>
      </c>
      <c r="I109" s="19">
        <f>IF(OR($C109="",$H$3=""),"",IF(TRIM(INDEX(인턴근무계획!$E$3:$J$202,$A109,$H$3)&amp;"")="","",IFERROR(MID(TRIM(INDEX(인턴근무계획!$E$3:$J$202,$A109,$H$3)&amp;""),FIND(" ",TRIM(INDEX(인턴근무계획!$E$3:$J$202,$A109,$H$3)&amp;""))+1,60),"")))</f>
        <v/>
      </c>
      <c r="J109" s="19">
        <f>IF($C109="","",IF(TRIM(INDEX(인턴근무계획!$E$3:$J$202,$A109,1)&amp;"")="","",IFERROR(LEFT(TRIM(INDEX(인턴근무계획!$E$3:$J$202,$A109,1)&amp;""),FIND(" ",TRIM(INDEX(인턴근무계획!$E$3:$J$202,$A109,1)&amp;""))-1),TRIM(INDEX(인턴근무계획!$E$3:$J$202,$A109,1)&amp;""))))</f>
        <v/>
      </c>
      <c r="K109" s="19">
        <f>IF($C109="","",IF(TRIM(INDEX(인턴근무계획!$E$3:$J$202,$A109,2)&amp;"")="","",IFERROR(LEFT(TRIM(INDEX(인턴근무계획!$E$3:$J$202,$A109,2)&amp;""),FIND(" ",TRIM(INDEX(인턴근무계획!$E$3:$J$202,$A109,2)&amp;""))-1),TRIM(INDEX(인턴근무계획!$E$3:$J$202,$A109,2)&amp;""))))</f>
        <v/>
      </c>
      <c r="L109" s="19">
        <f>IF($C109="","",IF(TRIM(INDEX(인턴근무계획!$E$3:$J$202,$A109,3)&amp;"")="","",IFERROR(LEFT(TRIM(INDEX(인턴근무계획!$E$3:$J$202,$A109,3)&amp;""),FIND(" ",TRIM(INDEX(인턴근무계획!$E$3:$J$202,$A109,3)&amp;""))-1),TRIM(INDEX(인턴근무계획!$E$3:$J$202,$A109,3)&amp;""))))</f>
        <v/>
      </c>
      <c r="M109" s="19">
        <f>IF($C109="","",IF(TRIM(INDEX(인턴근무계획!$E$3:$J$202,$A109,4)&amp;"")="","",IFERROR(LEFT(TRIM(INDEX(인턴근무계획!$E$3:$J$202,$A109,4)&amp;""),FIND(" ",TRIM(INDEX(인턴근무계획!$E$3:$J$202,$A109,4)&amp;""))-1),TRIM(INDEX(인턴근무계획!$E$3:$J$202,$A109,4)&amp;""))))</f>
        <v/>
      </c>
      <c r="N109" s="19">
        <f>IF($C109="","",IF(TRIM(INDEX(인턴근무계획!$E$3:$J$202,$A109,5)&amp;"")="","",IFERROR(LEFT(TRIM(INDEX(인턴근무계획!$E$3:$J$202,$A109,5)&amp;""),FIND(" ",TRIM(INDEX(인턴근무계획!$E$3:$J$202,$A109,5)&amp;""))-1),TRIM(INDEX(인턴근무계획!$E$3:$J$202,$A109,5)&amp;""))))</f>
        <v/>
      </c>
      <c r="O109" s="19">
        <f>IF($C109="","",IF(TRIM(INDEX(인턴근무계획!$E$3:$J$202,$A109,6)&amp;"")="","",IFERROR(LEFT(TRIM(INDEX(인턴근무계획!$E$3:$J$202,$A109,6)&amp;""),FIND(" ",TRIM(INDEX(인턴근무계획!$E$3:$J$202,$A109,6)&amp;""))-1),TRIM(INDEX(인턴근무계획!$E$3:$J$202,$A109,6)&amp;""))))</f>
        <v/>
      </c>
      <c r="P109" s="19">
        <f>IF($C109="","",IF(INDEX(인턴근무계획!$K$3:$K$202,$A109)="","",INDEX(인턴근무계획!$K$3:$K$202,$A109)))</f>
        <v/>
      </c>
    </row>
    <row r="110">
      <c r="A110" s="18" t="n">
        <v>105</v>
      </c>
      <c r="B110" s="19">
        <f>IF($C110="","",INDEX(인턴근무계획!$B$3:$B$202,$A110))</f>
        <v/>
      </c>
      <c r="C110" s="19">
        <f>IFERROR(TRIM(INDEX(인턴근무계획!$C$3:$C$202,$A110)&amp;""),"")</f>
        <v/>
      </c>
      <c r="D110" s="19">
        <f>IF($C110="","",INDEX(인턴근무계획!$D$3:$D$202,$A110))</f>
        <v/>
      </c>
      <c r="E110" s="19">
        <f>IF($C110="","",IF(IFERROR(MATCH($D110,기본자료!$B$2:$B$501,0),IFERROR(MATCH($D110&amp;"",기본자료!$B$2:$B$501,0),IFERROR(MATCH(VALUE($D110),기본자료!$B$2:$B$501,0),0)))&gt;0,"확인","미등록"))</f>
        <v/>
      </c>
      <c r="F110" s="19">
        <f>IF(OR($C110="",$F$3=""),"",IF(TRIM(INDEX(인턴근무계획!$E$3:$J$202,$A110,$F$3)&amp;"")="","",IFERROR(LEFT(TRIM(INDEX(인턴근무계획!$E$3:$J$202,$A110,$F$3)&amp;""),FIND(" ",TRIM(INDEX(인턴근무계획!$E$3:$J$202,$A110,$F$3)&amp;""))-1),TRIM(INDEX(인턴근무계획!$E$3:$J$202,$A110,$F$3)&amp;""))))</f>
        <v/>
      </c>
      <c r="G110" s="19">
        <f>IF(OR($C110="",$F$3=""),"",IF(TRIM(INDEX(인턴근무계획!$E$3:$J$202,$A110,$F$3)&amp;"")="","",IFERROR(MID(TRIM(INDEX(인턴근무계획!$E$3:$J$202,$A110,$F$3)&amp;""),FIND(" ",TRIM(INDEX(인턴근무계획!$E$3:$J$202,$A110,$F$3)&amp;""))+1,60),"")))</f>
        <v/>
      </c>
      <c r="H110" s="19">
        <f>IF(OR($C110="",$H$3=""),"",IF(TRIM(INDEX(인턴근무계획!$E$3:$J$202,$A110,$H$3)&amp;"")="","",IFERROR(LEFT(TRIM(INDEX(인턴근무계획!$E$3:$J$202,$A110,$H$3)&amp;""),FIND(" ",TRIM(INDEX(인턴근무계획!$E$3:$J$202,$A110,$H$3)&amp;""))-1),TRIM(INDEX(인턴근무계획!$E$3:$J$202,$A110,$H$3)&amp;""))))</f>
        <v/>
      </c>
      <c r="I110" s="19">
        <f>IF(OR($C110="",$H$3=""),"",IF(TRIM(INDEX(인턴근무계획!$E$3:$J$202,$A110,$H$3)&amp;"")="","",IFERROR(MID(TRIM(INDEX(인턴근무계획!$E$3:$J$202,$A110,$H$3)&amp;""),FIND(" ",TRIM(INDEX(인턴근무계획!$E$3:$J$202,$A110,$H$3)&amp;""))+1,60),"")))</f>
        <v/>
      </c>
      <c r="J110" s="19">
        <f>IF($C110="","",IF(TRIM(INDEX(인턴근무계획!$E$3:$J$202,$A110,1)&amp;"")="","",IFERROR(LEFT(TRIM(INDEX(인턴근무계획!$E$3:$J$202,$A110,1)&amp;""),FIND(" ",TRIM(INDEX(인턴근무계획!$E$3:$J$202,$A110,1)&amp;""))-1),TRIM(INDEX(인턴근무계획!$E$3:$J$202,$A110,1)&amp;""))))</f>
        <v/>
      </c>
      <c r="K110" s="19">
        <f>IF($C110="","",IF(TRIM(INDEX(인턴근무계획!$E$3:$J$202,$A110,2)&amp;"")="","",IFERROR(LEFT(TRIM(INDEX(인턴근무계획!$E$3:$J$202,$A110,2)&amp;""),FIND(" ",TRIM(INDEX(인턴근무계획!$E$3:$J$202,$A110,2)&amp;""))-1),TRIM(INDEX(인턴근무계획!$E$3:$J$202,$A110,2)&amp;""))))</f>
        <v/>
      </c>
      <c r="L110" s="19">
        <f>IF($C110="","",IF(TRIM(INDEX(인턴근무계획!$E$3:$J$202,$A110,3)&amp;"")="","",IFERROR(LEFT(TRIM(INDEX(인턴근무계획!$E$3:$J$202,$A110,3)&amp;""),FIND(" ",TRIM(INDEX(인턴근무계획!$E$3:$J$202,$A110,3)&amp;""))-1),TRIM(INDEX(인턴근무계획!$E$3:$J$202,$A110,3)&amp;""))))</f>
        <v/>
      </c>
      <c r="M110" s="19">
        <f>IF($C110="","",IF(TRIM(INDEX(인턴근무계획!$E$3:$J$202,$A110,4)&amp;"")="","",IFERROR(LEFT(TRIM(INDEX(인턴근무계획!$E$3:$J$202,$A110,4)&amp;""),FIND(" ",TRIM(INDEX(인턴근무계획!$E$3:$J$202,$A110,4)&amp;""))-1),TRIM(INDEX(인턴근무계획!$E$3:$J$202,$A110,4)&amp;""))))</f>
        <v/>
      </c>
      <c r="N110" s="19">
        <f>IF($C110="","",IF(TRIM(INDEX(인턴근무계획!$E$3:$J$202,$A110,5)&amp;"")="","",IFERROR(LEFT(TRIM(INDEX(인턴근무계획!$E$3:$J$202,$A110,5)&amp;""),FIND(" ",TRIM(INDEX(인턴근무계획!$E$3:$J$202,$A110,5)&amp;""))-1),TRIM(INDEX(인턴근무계획!$E$3:$J$202,$A110,5)&amp;""))))</f>
        <v/>
      </c>
      <c r="O110" s="19">
        <f>IF($C110="","",IF(TRIM(INDEX(인턴근무계획!$E$3:$J$202,$A110,6)&amp;"")="","",IFERROR(LEFT(TRIM(INDEX(인턴근무계획!$E$3:$J$202,$A110,6)&amp;""),FIND(" ",TRIM(INDEX(인턴근무계획!$E$3:$J$202,$A110,6)&amp;""))-1),TRIM(INDEX(인턴근무계획!$E$3:$J$202,$A110,6)&amp;""))))</f>
        <v/>
      </c>
      <c r="P110" s="19">
        <f>IF($C110="","",IF(INDEX(인턴근무계획!$K$3:$K$202,$A110)="","",INDEX(인턴근무계획!$K$3:$K$202,$A110)))</f>
        <v/>
      </c>
    </row>
    <row r="111">
      <c r="A111" s="18" t="n">
        <v>106</v>
      </c>
      <c r="B111" s="19">
        <f>IF($C111="","",INDEX(인턴근무계획!$B$3:$B$202,$A111))</f>
        <v/>
      </c>
      <c r="C111" s="19">
        <f>IFERROR(TRIM(INDEX(인턴근무계획!$C$3:$C$202,$A111)&amp;""),"")</f>
        <v/>
      </c>
      <c r="D111" s="19">
        <f>IF($C111="","",INDEX(인턴근무계획!$D$3:$D$202,$A111))</f>
        <v/>
      </c>
      <c r="E111" s="19">
        <f>IF($C111="","",IF(IFERROR(MATCH($D111,기본자료!$B$2:$B$501,0),IFERROR(MATCH($D111&amp;"",기본자료!$B$2:$B$501,0),IFERROR(MATCH(VALUE($D111),기본자료!$B$2:$B$501,0),0)))&gt;0,"확인","미등록"))</f>
        <v/>
      </c>
      <c r="F111" s="19">
        <f>IF(OR($C111="",$F$3=""),"",IF(TRIM(INDEX(인턴근무계획!$E$3:$J$202,$A111,$F$3)&amp;"")="","",IFERROR(LEFT(TRIM(INDEX(인턴근무계획!$E$3:$J$202,$A111,$F$3)&amp;""),FIND(" ",TRIM(INDEX(인턴근무계획!$E$3:$J$202,$A111,$F$3)&amp;""))-1),TRIM(INDEX(인턴근무계획!$E$3:$J$202,$A111,$F$3)&amp;""))))</f>
        <v/>
      </c>
      <c r="G111" s="19">
        <f>IF(OR($C111="",$F$3=""),"",IF(TRIM(INDEX(인턴근무계획!$E$3:$J$202,$A111,$F$3)&amp;"")="","",IFERROR(MID(TRIM(INDEX(인턴근무계획!$E$3:$J$202,$A111,$F$3)&amp;""),FIND(" ",TRIM(INDEX(인턴근무계획!$E$3:$J$202,$A111,$F$3)&amp;""))+1,60),"")))</f>
        <v/>
      </c>
      <c r="H111" s="19">
        <f>IF(OR($C111="",$H$3=""),"",IF(TRIM(INDEX(인턴근무계획!$E$3:$J$202,$A111,$H$3)&amp;"")="","",IFERROR(LEFT(TRIM(INDEX(인턴근무계획!$E$3:$J$202,$A111,$H$3)&amp;""),FIND(" ",TRIM(INDEX(인턴근무계획!$E$3:$J$202,$A111,$H$3)&amp;""))-1),TRIM(INDEX(인턴근무계획!$E$3:$J$202,$A111,$H$3)&amp;""))))</f>
        <v/>
      </c>
      <c r="I111" s="19">
        <f>IF(OR($C111="",$H$3=""),"",IF(TRIM(INDEX(인턴근무계획!$E$3:$J$202,$A111,$H$3)&amp;"")="","",IFERROR(MID(TRIM(INDEX(인턴근무계획!$E$3:$J$202,$A111,$H$3)&amp;""),FIND(" ",TRIM(INDEX(인턴근무계획!$E$3:$J$202,$A111,$H$3)&amp;""))+1,60),"")))</f>
        <v/>
      </c>
      <c r="J111" s="19">
        <f>IF($C111="","",IF(TRIM(INDEX(인턴근무계획!$E$3:$J$202,$A111,1)&amp;"")="","",IFERROR(LEFT(TRIM(INDEX(인턴근무계획!$E$3:$J$202,$A111,1)&amp;""),FIND(" ",TRIM(INDEX(인턴근무계획!$E$3:$J$202,$A111,1)&amp;""))-1),TRIM(INDEX(인턴근무계획!$E$3:$J$202,$A111,1)&amp;""))))</f>
        <v/>
      </c>
      <c r="K111" s="19">
        <f>IF($C111="","",IF(TRIM(INDEX(인턴근무계획!$E$3:$J$202,$A111,2)&amp;"")="","",IFERROR(LEFT(TRIM(INDEX(인턴근무계획!$E$3:$J$202,$A111,2)&amp;""),FIND(" ",TRIM(INDEX(인턴근무계획!$E$3:$J$202,$A111,2)&amp;""))-1),TRIM(INDEX(인턴근무계획!$E$3:$J$202,$A111,2)&amp;""))))</f>
        <v/>
      </c>
      <c r="L111" s="19">
        <f>IF($C111="","",IF(TRIM(INDEX(인턴근무계획!$E$3:$J$202,$A111,3)&amp;"")="","",IFERROR(LEFT(TRIM(INDEX(인턴근무계획!$E$3:$J$202,$A111,3)&amp;""),FIND(" ",TRIM(INDEX(인턴근무계획!$E$3:$J$202,$A111,3)&amp;""))-1),TRIM(INDEX(인턴근무계획!$E$3:$J$202,$A111,3)&amp;""))))</f>
        <v/>
      </c>
      <c r="M111" s="19">
        <f>IF($C111="","",IF(TRIM(INDEX(인턴근무계획!$E$3:$J$202,$A111,4)&amp;"")="","",IFERROR(LEFT(TRIM(INDEX(인턴근무계획!$E$3:$J$202,$A111,4)&amp;""),FIND(" ",TRIM(INDEX(인턴근무계획!$E$3:$J$202,$A111,4)&amp;""))-1),TRIM(INDEX(인턴근무계획!$E$3:$J$202,$A111,4)&amp;""))))</f>
        <v/>
      </c>
      <c r="N111" s="19">
        <f>IF($C111="","",IF(TRIM(INDEX(인턴근무계획!$E$3:$J$202,$A111,5)&amp;"")="","",IFERROR(LEFT(TRIM(INDEX(인턴근무계획!$E$3:$J$202,$A111,5)&amp;""),FIND(" ",TRIM(INDEX(인턴근무계획!$E$3:$J$202,$A111,5)&amp;""))-1),TRIM(INDEX(인턴근무계획!$E$3:$J$202,$A111,5)&amp;""))))</f>
        <v/>
      </c>
      <c r="O111" s="19">
        <f>IF($C111="","",IF(TRIM(INDEX(인턴근무계획!$E$3:$J$202,$A111,6)&amp;"")="","",IFERROR(LEFT(TRIM(INDEX(인턴근무계획!$E$3:$J$202,$A111,6)&amp;""),FIND(" ",TRIM(INDEX(인턴근무계획!$E$3:$J$202,$A111,6)&amp;""))-1),TRIM(INDEX(인턴근무계획!$E$3:$J$202,$A111,6)&amp;""))))</f>
        <v/>
      </c>
      <c r="P111" s="19">
        <f>IF($C111="","",IF(INDEX(인턴근무계획!$K$3:$K$202,$A111)="","",INDEX(인턴근무계획!$K$3:$K$202,$A111)))</f>
        <v/>
      </c>
    </row>
    <row r="112">
      <c r="A112" s="18" t="n">
        <v>107</v>
      </c>
      <c r="B112" s="19">
        <f>IF($C112="","",INDEX(인턴근무계획!$B$3:$B$202,$A112))</f>
        <v/>
      </c>
      <c r="C112" s="19">
        <f>IFERROR(TRIM(INDEX(인턴근무계획!$C$3:$C$202,$A112)&amp;""),"")</f>
        <v/>
      </c>
      <c r="D112" s="19">
        <f>IF($C112="","",INDEX(인턴근무계획!$D$3:$D$202,$A112))</f>
        <v/>
      </c>
      <c r="E112" s="19">
        <f>IF($C112="","",IF(IFERROR(MATCH($D112,기본자료!$B$2:$B$501,0),IFERROR(MATCH($D112&amp;"",기본자료!$B$2:$B$501,0),IFERROR(MATCH(VALUE($D112),기본자료!$B$2:$B$501,0),0)))&gt;0,"확인","미등록"))</f>
        <v/>
      </c>
      <c r="F112" s="19">
        <f>IF(OR($C112="",$F$3=""),"",IF(TRIM(INDEX(인턴근무계획!$E$3:$J$202,$A112,$F$3)&amp;"")="","",IFERROR(LEFT(TRIM(INDEX(인턴근무계획!$E$3:$J$202,$A112,$F$3)&amp;""),FIND(" ",TRIM(INDEX(인턴근무계획!$E$3:$J$202,$A112,$F$3)&amp;""))-1),TRIM(INDEX(인턴근무계획!$E$3:$J$202,$A112,$F$3)&amp;""))))</f>
        <v/>
      </c>
      <c r="G112" s="19">
        <f>IF(OR($C112="",$F$3=""),"",IF(TRIM(INDEX(인턴근무계획!$E$3:$J$202,$A112,$F$3)&amp;"")="","",IFERROR(MID(TRIM(INDEX(인턴근무계획!$E$3:$J$202,$A112,$F$3)&amp;""),FIND(" ",TRIM(INDEX(인턴근무계획!$E$3:$J$202,$A112,$F$3)&amp;""))+1,60),"")))</f>
        <v/>
      </c>
      <c r="H112" s="19">
        <f>IF(OR($C112="",$H$3=""),"",IF(TRIM(INDEX(인턴근무계획!$E$3:$J$202,$A112,$H$3)&amp;"")="","",IFERROR(LEFT(TRIM(INDEX(인턴근무계획!$E$3:$J$202,$A112,$H$3)&amp;""),FIND(" ",TRIM(INDEX(인턴근무계획!$E$3:$J$202,$A112,$H$3)&amp;""))-1),TRIM(INDEX(인턴근무계획!$E$3:$J$202,$A112,$H$3)&amp;""))))</f>
        <v/>
      </c>
      <c r="I112" s="19">
        <f>IF(OR($C112="",$H$3=""),"",IF(TRIM(INDEX(인턴근무계획!$E$3:$J$202,$A112,$H$3)&amp;"")="","",IFERROR(MID(TRIM(INDEX(인턴근무계획!$E$3:$J$202,$A112,$H$3)&amp;""),FIND(" ",TRIM(INDEX(인턴근무계획!$E$3:$J$202,$A112,$H$3)&amp;""))+1,60),"")))</f>
        <v/>
      </c>
      <c r="J112" s="19">
        <f>IF($C112="","",IF(TRIM(INDEX(인턴근무계획!$E$3:$J$202,$A112,1)&amp;"")="","",IFERROR(LEFT(TRIM(INDEX(인턴근무계획!$E$3:$J$202,$A112,1)&amp;""),FIND(" ",TRIM(INDEX(인턴근무계획!$E$3:$J$202,$A112,1)&amp;""))-1),TRIM(INDEX(인턴근무계획!$E$3:$J$202,$A112,1)&amp;""))))</f>
        <v/>
      </c>
      <c r="K112" s="19">
        <f>IF($C112="","",IF(TRIM(INDEX(인턴근무계획!$E$3:$J$202,$A112,2)&amp;"")="","",IFERROR(LEFT(TRIM(INDEX(인턴근무계획!$E$3:$J$202,$A112,2)&amp;""),FIND(" ",TRIM(INDEX(인턴근무계획!$E$3:$J$202,$A112,2)&amp;""))-1),TRIM(INDEX(인턴근무계획!$E$3:$J$202,$A112,2)&amp;""))))</f>
        <v/>
      </c>
      <c r="L112" s="19">
        <f>IF($C112="","",IF(TRIM(INDEX(인턴근무계획!$E$3:$J$202,$A112,3)&amp;"")="","",IFERROR(LEFT(TRIM(INDEX(인턴근무계획!$E$3:$J$202,$A112,3)&amp;""),FIND(" ",TRIM(INDEX(인턴근무계획!$E$3:$J$202,$A112,3)&amp;""))-1),TRIM(INDEX(인턴근무계획!$E$3:$J$202,$A112,3)&amp;""))))</f>
        <v/>
      </c>
      <c r="M112" s="19">
        <f>IF($C112="","",IF(TRIM(INDEX(인턴근무계획!$E$3:$J$202,$A112,4)&amp;"")="","",IFERROR(LEFT(TRIM(INDEX(인턴근무계획!$E$3:$J$202,$A112,4)&amp;""),FIND(" ",TRIM(INDEX(인턴근무계획!$E$3:$J$202,$A112,4)&amp;""))-1),TRIM(INDEX(인턴근무계획!$E$3:$J$202,$A112,4)&amp;""))))</f>
        <v/>
      </c>
      <c r="N112" s="19">
        <f>IF($C112="","",IF(TRIM(INDEX(인턴근무계획!$E$3:$J$202,$A112,5)&amp;"")="","",IFERROR(LEFT(TRIM(INDEX(인턴근무계획!$E$3:$J$202,$A112,5)&amp;""),FIND(" ",TRIM(INDEX(인턴근무계획!$E$3:$J$202,$A112,5)&amp;""))-1),TRIM(INDEX(인턴근무계획!$E$3:$J$202,$A112,5)&amp;""))))</f>
        <v/>
      </c>
      <c r="O112" s="19">
        <f>IF($C112="","",IF(TRIM(INDEX(인턴근무계획!$E$3:$J$202,$A112,6)&amp;"")="","",IFERROR(LEFT(TRIM(INDEX(인턴근무계획!$E$3:$J$202,$A112,6)&amp;""),FIND(" ",TRIM(INDEX(인턴근무계획!$E$3:$J$202,$A112,6)&amp;""))-1),TRIM(INDEX(인턴근무계획!$E$3:$J$202,$A112,6)&amp;""))))</f>
        <v/>
      </c>
      <c r="P112" s="19">
        <f>IF($C112="","",IF(INDEX(인턴근무계획!$K$3:$K$202,$A112)="","",INDEX(인턴근무계획!$K$3:$K$202,$A112)))</f>
        <v/>
      </c>
    </row>
    <row r="113">
      <c r="A113" s="18" t="n">
        <v>108</v>
      </c>
      <c r="B113" s="19">
        <f>IF($C113="","",INDEX(인턴근무계획!$B$3:$B$202,$A113))</f>
        <v/>
      </c>
      <c r="C113" s="19">
        <f>IFERROR(TRIM(INDEX(인턴근무계획!$C$3:$C$202,$A113)&amp;""),"")</f>
        <v/>
      </c>
      <c r="D113" s="19">
        <f>IF($C113="","",INDEX(인턴근무계획!$D$3:$D$202,$A113))</f>
        <v/>
      </c>
      <c r="E113" s="19">
        <f>IF($C113="","",IF(IFERROR(MATCH($D113,기본자료!$B$2:$B$501,0),IFERROR(MATCH($D113&amp;"",기본자료!$B$2:$B$501,0),IFERROR(MATCH(VALUE($D113),기본자료!$B$2:$B$501,0),0)))&gt;0,"확인","미등록"))</f>
        <v/>
      </c>
      <c r="F113" s="19">
        <f>IF(OR($C113="",$F$3=""),"",IF(TRIM(INDEX(인턴근무계획!$E$3:$J$202,$A113,$F$3)&amp;"")="","",IFERROR(LEFT(TRIM(INDEX(인턴근무계획!$E$3:$J$202,$A113,$F$3)&amp;""),FIND(" ",TRIM(INDEX(인턴근무계획!$E$3:$J$202,$A113,$F$3)&amp;""))-1),TRIM(INDEX(인턴근무계획!$E$3:$J$202,$A113,$F$3)&amp;""))))</f>
        <v/>
      </c>
      <c r="G113" s="19">
        <f>IF(OR($C113="",$F$3=""),"",IF(TRIM(INDEX(인턴근무계획!$E$3:$J$202,$A113,$F$3)&amp;"")="","",IFERROR(MID(TRIM(INDEX(인턴근무계획!$E$3:$J$202,$A113,$F$3)&amp;""),FIND(" ",TRIM(INDEX(인턴근무계획!$E$3:$J$202,$A113,$F$3)&amp;""))+1,60),"")))</f>
        <v/>
      </c>
      <c r="H113" s="19">
        <f>IF(OR($C113="",$H$3=""),"",IF(TRIM(INDEX(인턴근무계획!$E$3:$J$202,$A113,$H$3)&amp;"")="","",IFERROR(LEFT(TRIM(INDEX(인턴근무계획!$E$3:$J$202,$A113,$H$3)&amp;""),FIND(" ",TRIM(INDEX(인턴근무계획!$E$3:$J$202,$A113,$H$3)&amp;""))-1),TRIM(INDEX(인턴근무계획!$E$3:$J$202,$A113,$H$3)&amp;""))))</f>
        <v/>
      </c>
      <c r="I113" s="19">
        <f>IF(OR($C113="",$H$3=""),"",IF(TRIM(INDEX(인턴근무계획!$E$3:$J$202,$A113,$H$3)&amp;"")="","",IFERROR(MID(TRIM(INDEX(인턴근무계획!$E$3:$J$202,$A113,$H$3)&amp;""),FIND(" ",TRIM(INDEX(인턴근무계획!$E$3:$J$202,$A113,$H$3)&amp;""))+1,60),"")))</f>
        <v/>
      </c>
      <c r="J113" s="19">
        <f>IF($C113="","",IF(TRIM(INDEX(인턴근무계획!$E$3:$J$202,$A113,1)&amp;"")="","",IFERROR(LEFT(TRIM(INDEX(인턴근무계획!$E$3:$J$202,$A113,1)&amp;""),FIND(" ",TRIM(INDEX(인턴근무계획!$E$3:$J$202,$A113,1)&amp;""))-1),TRIM(INDEX(인턴근무계획!$E$3:$J$202,$A113,1)&amp;""))))</f>
        <v/>
      </c>
      <c r="K113" s="19">
        <f>IF($C113="","",IF(TRIM(INDEX(인턴근무계획!$E$3:$J$202,$A113,2)&amp;"")="","",IFERROR(LEFT(TRIM(INDEX(인턴근무계획!$E$3:$J$202,$A113,2)&amp;""),FIND(" ",TRIM(INDEX(인턴근무계획!$E$3:$J$202,$A113,2)&amp;""))-1),TRIM(INDEX(인턴근무계획!$E$3:$J$202,$A113,2)&amp;""))))</f>
        <v/>
      </c>
      <c r="L113" s="19">
        <f>IF($C113="","",IF(TRIM(INDEX(인턴근무계획!$E$3:$J$202,$A113,3)&amp;"")="","",IFERROR(LEFT(TRIM(INDEX(인턴근무계획!$E$3:$J$202,$A113,3)&amp;""),FIND(" ",TRIM(INDEX(인턴근무계획!$E$3:$J$202,$A113,3)&amp;""))-1),TRIM(INDEX(인턴근무계획!$E$3:$J$202,$A113,3)&amp;""))))</f>
        <v/>
      </c>
      <c r="M113" s="19">
        <f>IF($C113="","",IF(TRIM(INDEX(인턴근무계획!$E$3:$J$202,$A113,4)&amp;"")="","",IFERROR(LEFT(TRIM(INDEX(인턴근무계획!$E$3:$J$202,$A113,4)&amp;""),FIND(" ",TRIM(INDEX(인턴근무계획!$E$3:$J$202,$A113,4)&amp;""))-1),TRIM(INDEX(인턴근무계획!$E$3:$J$202,$A113,4)&amp;""))))</f>
        <v/>
      </c>
      <c r="N113" s="19">
        <f>IF($C113="","",IF(TRIM(INDEX(인턴근무계획!$E$3:$J$202,$A113,5)&amp;"")="","",IFERROR(LEFT(TRIM(INDEX(인턴근무계획!$E$3:$J$202,$A113,5)&amp;""),FIND(" ",TRIM(INDEX(인턴근무계획!$E$3:$J$202,$A113,5)&amp;""))-1),TRIM(INDEX(인턴근무계획!$E$3:$J$202,$A113,5)&amp;""))))</f>
        <v/>
      </c>
      <c r="O113" s="19">
        <f>IF($C113="","",IF(TRIM(INDEX(인턴근무계획!$E$3:$J$202,$A113,6)&amp;"")="","",IFERROR(LEFT(TRIM(INDEX(인턴근무계획!$E$3:$J$202,$A113,6)&amp;""),FIND(" ",TRIM(INDEX(인턴근무계획!$E$3:$J$202,$A113,6)&amp;""))-1),TRIM(INDEX(인턴근무계획!$E$3:$J$202,$A113,6)&amp;""))))</f>
        <v/>
      </c>
      <c r="P113" s="19">
        <f>IF($C113="","",IF(INDEX(인턴근무계획!$K$3:$K$202,$A113)="","",INDEX(인턴근무계획!$K$3:$K$202,$A113)))</f>
        <v/>
      </c>
    </row>
    <row r="114">
      <c r="A114" s="18" t="n">
        <v>109</v>
      </c>
      <c r="B114" s="19">
        <f>IF($C114="","",INDEX(인턴근무계획!$B$3:$B$202,$A114))</f>
        <v/>
      </c>
      <c r="C114" s="19">
        <f>IFERROR(TRIM(INDEX(인턴근무계획!$C$3:$C$202,$A114)&amp;""),"")</f>
        <v/>
      </c>
      <c r="D114" s="19">
        <f>IF($C114="","",INDEX(인턴근무계획!$D$3:$D$202,$A114))</f>
        <v/>
      </c>
      <c r="E114" s="19">
        <f>IF($C114="","",IF(IFERROR(MATCH($D114,기본자료!$B$2:$B$501,0),IFERROR(MATCH($D114&amp;"",기본자료!$B$2:$B$501,0),IFERROR(MATCH(VALUE($D114),기본자료!$B$2:$B$501,0),0)))&gt;0,"확인","미등록"))</f>
        <v/>
      </c>
      <c r="F114" s="19">
        <f>IF(OR($C114="",$F$3=""),"",IF(TRIM(INDEX(인턴근무계획!$E$3:$J$202,$A114,$F$3)&amp;"")="","",IFERROR(LEFT(TRIM(INDEX(인턴근무계획!$E$3:$J$202,$A114,$F$3)&amp;""),FIND(" ",TRIM(INDEX(인턴근무계획!$E$3:$J$202,$A114,$F$3)&amp;""))-1),TRIM(INDEX(인턴근무계획!$E$3:$J$202,$A114,$F$3)&amp;""))))</f>
        <v/>
      </c>
      <c r="G114" s="19">
        <f>IF(OR($C114="",$F$3=""),"",IF(TRIM(INDEX(인턴근무계획!$E$3:$J$202,$A114,$F$3)&amp;"")="","",IFERROR(MID(TRIM(INDEX(인턴근무계획!$E$3:$J$202,$A114,$F$3)&amp;""),FIND(" ",TRIM(INDEX(인턴근무계획!$E$3:$J$202,$A114,$F$3)&amp;""))+1,60),"")))</f>
        <v/>
      </c>
      <c r="H114" s="19">
        <f>IF(OR($C114="",$H$3=""),"",IF(TRIM(INDEX(인턴근무계획!$E$3:$J$202,$A114,$H$3)&amp;"")="","",IFERROR(LEFT(TRIM(INDEX(인턴근무계획!$E$3:$J$202,$A114,$H$3)&amp;""),FIND(" ",TRIM(INDEX(인턴근무계획!$E$3:$J$202,$A114,$H$3)&amp;""))-1),TRIM(INDEX(인턴근무계획!$E$3:$J$202,$A114,$H$3)&amp;""))))</f>
        <v/>
      </c>
      <c r="I114" s="19">
        <f>IF(OR($C114="",$H$3=""),"",IF(TRIM(INDEX(인턴근무계획!$E$3:$J$202,$A114,$H$3)&amp;"")="","",IFERROR(MID(TRIM(INDEX(인턴근무계획!$E$3:$J$202,$A114,$H$3)&amp;""),FIND(" ",TRIM(INDEX(인턴근무계획!$E$3:$J$202,$A114,$H$3)&amp;""))+1,60),"")))</f>
        <v/>
      </c>
      <c r="J114" s="19">
        <f>IF($C114="","",IF(TRIM(INDEX(인턴근무계획!$E$3:$J$202,$A114,1)&amp;"")="","",IFERROR(LEFT(TRIM(INDEX(인턴근무계획!$E$3:$J$202,$A114,1)&amp;""),FIND(" ",TRIM(INDEX(인턴근무계획!$E$3:$J$202,$A114,1)&amp;""))-1),TRIM(INDEX(인턴근무계획!$E$3:$J$202,$A114,1)&amp;""))))</f>
        <v/>
      </c>
      <c r="K114" s="19">
        <f>IF($C114="","",IF(TRIM(INDEX(인턴근무계획!$E$3:$J$202,$A114,2)&amp;"")="","",IFERROR(LEFT(TRIM(INDEX(인턴근무계획!$E$3:$J$202,$A114,2)&amp;""),FIND(" ",TRIM(INDEX(인턴근무계획!$E$3:$J$202,$A114,2)&amp;""))-1),TRIM(INDEX(인턴근무계획!$E$3:$J$202,$A114,2)&amp;""))))</f>
        <v/>
      </c>
      <c r="L114" s="19">
        <f>IF($C114="","",IF(TRIM(INDEX(인턴근무계획!$E$3:$J$202,$A114,3)&amp;"")="","",IFERROR(LEFT(TRIM(INDEX(인턴근무계획!$E$3:$J$202,$A114,3)&amp;""),FIND(" ",TRIM(INDEX(인턴근무계획!$E$3:$J$202,$A114,3)&amp;""))-1),TRIM(INDEX(인턴근무계획!$E$3:$J$202,$A114,3)&amp;""))))</f>
        <v/>
      </c>
      <c r="M114" s="19">
        <f>IF($C114="","",IF(TRIM(INDEX(인턴근무계획!$E$3:$J$202,$A114,4)&amp;"")="","",IFERROR(LEFT(TRIM(INDEX(인턴근무계획!$E$3:$J$202,$A114,4)&amp;""),FIND(" ",TRIM(INDEX(인턴근무계획!$E$3:$J$202,$A114,4)&amp;""))-1),TRIM(INDEX(인턴근무계획!$E$3:$J$202,$A114,4)&amp;""))))</f>
        <v/>
      </c>
      <c r="N114" s="19">
        <f>IF($C114="","",IF(TRIM(INDEX(인턴근무계획!$E$3:$J$202,$A114,5)&amp;"")="","",IFERROR(LEFT(TRIM(INDEX(인턴근무계획!$E$3:$J$202,$A114,5)&amp;""),FIND(" ",TRIM(INDEX(인턴근무계획!$E$3:$J$202,$A114,5)&amp;""))-1),TRIM(INDEX(인턴근무계획!$E$3:$J$202,$A114,5)&amp;""))))</f>
        <v/>
      </c>
      <c r="O114" s="19">
        <f>IF($C114="","",IF(TRIM(INDEX(인턴근무계획!$E$3:$J$202,$A114,6)&amp;"")="","",IFERROR(LEFT(TRIM(INDEX(인턴근무계획!$E$3:$J$202,$A114,6)&amp;""),FIND(" ",TRIM(INDEX(인턴근무계획!$E$3:$J$202,$A114,6)&amp;""))-1),TRIM(INDEX(인턴근무계획!$E$3:$J$202,$A114,6)&amp;""))))</f>
        <v/>
      </c>
      <c r="P114" s="19">
        <f>IF($C114="","",IF(INDEX(인턴근무계획!$K$3:$K$202,$A114)="","",INDEX(인턴근무계획!$K$3:$K$202,$A114)))</f>
        <v/>
      </c>
    </row>
    <row r="115">
      <c r="A115" s="18" t="n">
        <v>110</v>
      </c>
      <c r="B115" s="19">
        <f>IF($C115="","",INDEX(인턴근무계획!$B$3:$B$202,$A115))</f>
        <v/>
      </c>
      <c r="C115" s="19">
        <f>IFERROR(TRIM(INDEX(인턴근무계획!$C$3:$C$202,$A115)&amp;""),"")</f>
        <v/>
      </c>
      <c r="D115" s="19">
        <f>IF($C115="","",INDEX(인턴근무계획!$D$3:$D$202,$A115))</f>
        <v/>
      </c>
      <c r="E115" s="19">
        <f>IF($C115="","",IF(IFERROR(MATCH($D115,기본자료!$B$2:$B$501,0),IFERROR(MATCH($D115&amp;"",기본자료!$B$2:$B$501,0),IFERROR(MATCH(VALUE($D115),기본자료!$B$2:$B$501,0),0)))&gt;0,"확인","미등록"))</f>
        <v/>
      </c>
      <c r="F115" s="19">
        <f>IF(OR($C115="",$F$3=""),"",IF(TRIM(INDEX(인턴근무계획!$E$3:$J$202,$A115,$F$3)&amp;"")="","",IFERROR(LEFT(TRIM(INDEX(인턴근무계획!$E$3:$J$202,$A115,$F$3)&amp;""),FIND(" ",TRIM(INDEX(인턴근무계획!$E$3:$J$202,$A115,$F$3)&amp;""))-1),TRIM(INDEX(인턴근무계획!$E$3:$J$202,$A115,$F$3)&amp;""))))</f>
        <v/>
      </c>
      <c r="G115" s="19">
        <f>IF(OR($C115="",$F$3=""),"",IF(TRIM(INDEX(인턴근무계획!$E$3:$J$202,$A115,$F$3)&amp;"")="","",IFERROR(MID(TRIM(INDEX(인턴근무계획!$E$3:$J$202,$A115,$F$3)&amp;""),FIND(" ",TRIM(INDEX(인턴근무계획!$E$3:$J$202,$A115,$F$3)&amp;""))+1,60),"")))</f>
        <v/>
      </c>
      <c r="H115" s="19">
        <f>IF(OR($C115="",$H$3=""),"",IF(TRIM(INDEX(인턴근무계획!$E$3:$J$202,$A115,$H$3)&amp;"")="","",IFERROR(LEFT(TRIM(INDEX(인턴근무계획!$E$3:$J$202,$A115,$H$3)&amp;""),FIND(" ",TRIM(INDEX(인턴근무계획!$E$3:$J$202,$A115,$H$3)&amp;""))-1),TRIM(INDEX(인턴근무계획!$E$3:$J$202,$A115,$H$3)&amp;""))))</f>
        <v/>
      </c>
      <c r="I115" s="19">
        <f>IF(OR($C115="",$H$3=""),"",IF(TRIM(INDEX(인턴근무계획!$E$3:$J$202,$A115,$H$3)&amp;"")="","",IFERROR(MID(TRIM(INDEX(인턴근무계획!$E$3:$J$202,$A115,$H$3)&amp;""),FIND(" ",TRIM(INDEX(인턴근무계획!$E$3:$J$202,$A115,$H$3)&amp;""))+1,60),"")))</f>
        <v/>
      </c>
      <c r="J115" s="19">
        <f>IF($C115="","",IF(TRIM(INDEX(인턴근무계획!$E$3:$J$202,$A115,1)&amp;"")="","",IFERROR(LEFT(TRIM(INDEX(인턴근무계획!$E$3:$J$202,$A115,1)&amp;""),FIND(" ",TRIM(INDEX(인턴근무계획!$E$3:$J$202,$A115,1)&amp;""))-1),TRIM(INDEX(인턴근무계획!$E$3:$J$202,$A115,1)&amp;""))))</f>
        <v/>
      </c>
      <c r="K115" s="19">
        <f>IF($C115="","",IF(TRIM(INDEX(인턴근무계획!$E$3:$J$202,$A115,2)&amp;"")="","",IFERROR(LEFT(TRIM(INDEX(인턴근무계획!$E$3:$J$202,$A115,2)&amp;""),FIND(" ",TRIM(INDEX(인턴근무계획!$E$3:$J$202,$A115,2)&amp;""))-1),TRIM(INDEX(인턴근무계획!$E$3:$J$202,$A115,2)&amp;""))))</f>
        <v/>
      </c>
      <c r="L115" s="19">
        <f>IF($C115="","",IF(TRIM(INDEX(인턴근무계획!$E$3:$J$202,$A115,3)&amp;"")="","",IFERROR(LEFT(TRIM(INDEX(인턴근무계획!$E$3:$J$202,$A115,3)&amp;""),FIND(" ",TRIM(INDEX(인턴근무계획!$E$3:$J$202,$A115,3)&amp;""))-1),TRIM(INDEX(인턴근무계획!$E$3:$J$202,$A115,3)&amp;""))))</f>
        <v/>
      </c>
      <c r="M115" s="19">
        <f>IF($C115="","",IF(TRIM(INDEX(인턴근무계획!$E$3:$J$202,$A115,4)&amp;"")="","",IFERROR(LEFT(TRIM(INDEX(인턴근무계획!$E$3:$J$202,$A115,4)&amp;""),FIND(" ",TRIM(INDEX(인턴근무계획!$E$3:$J$202,$A115,4)&amp;""))-1),TRIM(INDEX(인턴근무계획!$E$3:$J$202,$A115,4)&amp;""))))</f>
        <v/>
      </c>
      <c r="N115" s="19">
        <f>IF($C115="","",IF(TRIM(INDEX(인턴근무계획!$E$3:$J$202,$A115,5)&amp;"")="","",IFERROR(LEFT(TRIM(INDEX(인턴근무계획!$E$3:$J$202,$A115,5)&amp;""),FIND(" ",TRIM(INDEX(인턴근무계획!$E$3:$J$202,$A115,5)&amp;""))-1),TRIM(INDEX(인턴근무계획!$E$3:$J$202,$A115,5)&amp;""))))</f>
        <v/>
      </c>
      <c r="O115" s="19">
        <f>IF($C115="","",IF(TRIM(INDEX(인턴근무계획!$E$3:$J$202,$A115,6)&amp;"")="","",IFERROR(LEFT(TRIM(INDEX(인턴근무계획!$E$3:$J$202,$A115,6)&amp;""),FIND(" ",TRIM(INDEX(인턴근무계획!$E$3:$J$202,$A115,6)&amp;""))-1),TRIM(INDEX(인턴근무계획!$E$3:$J$202,$A115,6)&amp;""))))</f>
        <v/>
      </c>
      <c r="P115" s="19">
        <f>IF($C115="","",IF(INDEX(인턴근무계획!$K$3:$K$202,$A115)="","",INDEX(인턴근무계획!$K$3:$K$202,$A115)))</f>
        <v/>
      </c>
    </row>
    <row r="116">
      <c r="A116" s="18" t="n">
        <v>111</v>
      </c>
      <c r="B116" s="19">
        <f>IF($C116="","",INDEX(인턴근무계획!$B$3:$B$202,$A116))</f>
        <v/>
      </c>
      <c r="C116" s="19">
        <f>IFERROR(TRIM(INDEX(인턴근무계획!$C$3:$C$202,$A116)&amp;""),"")</f>
        <v/>
      </c>
      <c r="D116" s="19">
        <f>IF($C116="","",INDEX(인턴근무계획!$D$3:$D$202,$A116))</f>
        <v/>
      </c>
      <c r="E116" s="19">
        <f>IF($C116="","",IF(IFERROR(MATCH($D116,기본자료!$B$2:$B$501,0),IFERROR(MATCH($D116&amp;"",기본자료!$B$2:$B$501,0),IFERROR(MATCH(VALUE($D116),기본자료!$B$2:$B$501,0),0)))&gt;0,"확인","미등록"))</f>
        <v/>
      </c>
      <c r="F116" s="19">
        <f>IF(OR($C116="",$F$3=""),"",IF(TRIM(INDEX(인턴근무계획!$E$3:$J$202,$A116,$F$3)&amp;"")="","",IFERROR(LEFT(TRIM(INDEX(인턴근무계획!$E$3:$J$202,$A116,$F$3)&amp;""),FIND(" ",TRIM(INDEX(인턴근무계획!$E$3:$J$202,$A116,$F$3)&amp;""))-1),TRIM(INDEX(인턴근무계획!$E$3:$J$202,$A116,$F$3)&amp;""))))</f>
        <v/>
      </c>
      <c r="G116" s="19">
        <f>IF(OR($C116="",$F$3=""),"",IF(TRIM(INDEX(인턴근무계획!$E$3:$J$202,$A116,$F$3)&amp;"")="","",IFERROR(MID(TRIM(INDEX(인턴근무계획!$E$3:$J$202,$A116,$F$3)&amp;""),FIND(" ",TRIM(INDEX(인턴근무계획!$E$3:$J$202,$A116,$F$3)&amp;""))+1,60),"")))</f>
        <v/>
      </c>
      <c r="H116" s="19">
        <f>IF(OR($C116="",$H$3=""),"",IF(TRIM(INDEX(인턴근무계획!$E$3:$J$202,$A116,$H$3)&amp;"")="","",IFERROR(LEFT(TRIM(INDEX(인턴근무계획!$E$3:$J$202,$A116,$H$3)&amp;""),FIND(" ",TRIM(INDEX(인턴근무계획!$E$3:$J$202,$A116,$H$3)&amp;""))-1),TRIM(INDEX(인턴근무계획!$E$3:$J$202,$A116,$H$3)&amp;""))))</f>
        <v/>
      </c>
      <c r="I116" s="19">
        <f>IF(OR($C116="",$H$3=""),"",IF(TRIM(INDEX(인턴근무계획!$E$3:$J$202,$A116,$H$3)&amp;"")="","",IFERROR(MID(TRIM(INDEX(인턴근무계획!$E$3:$J$202,$A116,$H$3)&amp;""),FIND(" ",TRIM(INDEX(인턴근무계획!$E$3:$J$202,$A116,$H$3)&amp;""))+1,60),"")))</f>
        <v/>
      </c>
      <c r="J116" s="19">
        <f>IF($C116="","",IF(TRIM(INDEX(인턴근무계획!$E$3:$J$202,$A116,1)&amp;"")="","",IFERROR(LEFT(TRIM(INDEX(인턴근무계획!$E$3:$J$202,$A116,1)&amp;""),FIND(" ",TRIM(INDEX(인턴근무계획!$E$3:$J$202,$A116,1)&amp;""))-1),TRIM(INDEX(인턴근무계획!$E$3:$J$202,$A116,1)&amp;""))))</f>
        <v/>
      </c>
      <c r="K116" s="19">
        <f>IF($C116="","",IF(TRIM(INDEX(인턴근무계획!$E$3:$J$202,$A116,2)&amp;"")="","",IFERROR(LEFT(TRIM(INDEX(인턴근무계획!$E$3:$J$202,$A116,2)&amp;""),FIND(" ",TRIM(INDEX(인턴근무계획!$E$3:$J$202,$A116,2)&amp;""))-1),TRIM(INDEX(인턴근무계획!$E$3:$J$202,$A116,2)&amp;""))))</f>
        <v/>
      </c>
      <c r="L116" s="19">
        <f>IF($C116="","",IF(TRIM(INDEX(인턴근무계획!$E$3:$J$202,$A116,3)&amp;"")="","",IFERROR(LEFT(TRIM(INDEX(인턴근무계획!$E$3:$J$202,$A116,3)&amp;""),FIND(" ",TRIM(INDEX(인턴근무계획!$E$3:$J$202,$A116,3)&amp;""))-1),TRIM(INDEX(인턴근무계획!$E$3:$J$202,$A116,3)&amp;""))))</f>
        <v/>
      </c>
      <c r="M116" s="19">
        <f>IF($C116="","",IF(TRIM(INDEX(인턴근무계획!$E$3:$J$202,$A116,4)&amp;"")="","",IFERROR(LEFT(TRIM(INDEX(인턴근무계획!$E$3:$J$202,$A116,4)&amp;""),FIND(" ",TRIM(INDEX(인턴근무계획!$E$3:$J$202,$A116,4)&amp;""))-1),TRIM(INDEX(인턴근무계획!$E$3:$J$202,$A116,4)&amp;""))))</f>
        <v/>
      </c>
      <c r="N116" s="19">
        <f>IF($C116="","",IF(TRIM(INDEX(인턴근무계획!$E$3:$J$202,$A116,5)&amp;"")="","",IFERROR(LEFT(TRIM(INDEX(인턴근무계획!$E$3:$J$202,$A116,5)&amp;""),FIND(" ",TRIM(INDEX(인턴근무계획!$E$3:$J$202,$A116,5)&amp;""))-1),TRIM(INDEX(인턴근무계획!$E$3:$J$202,$A116,5)&amp;""))))</f>
        <v/>
      </c>
      <c r="O116" s="19">
        <f>IF($C116="","",IF(TRIM(INDEX(인턴근무계획!$E$3:$J$202,$A116,6)&amp;"")="","",IFERROR(LEFT(TRIM(INDEX(인턴근무계획!$E$3:$J$202,$A116,6)&amp;""),FIND(" ",TRIM(INDEX(인턴근무계획!$E$3:$J$202,$A116,6)&amp;""))-1),TRIM(INDEX(인턴근무계획!$E$3:$J$202,$A116,6)&amp;""))))</f>
        <v/>
      </c>
      <c r="P116" s="19">
        <f>IF($C116="","",IF(INDEX(인턴근무계획!$K$3:$K$202,$A116)="","",INDEX(인턴근무계획!$K$3:$K$202,$A116)))</f>
        <v/>
      </c>
    </row>
    <row r="117">
      <c r="A117" s="18" t="n">
        <v>112</v>
      </c>
      <c r="B117" s="19">
        <f>IF($C117="","",INDEX(인턴근무계획!$B$3:$B$202,$A117))</f>
        <v/>
      </c>
      <c r="C117" s="19">
        <f>IFERROR(TRIM(INDEX(인턴근무계획!$C$3:$C$202,$A117)&amp;""),"")</f>
        <v/>
      </c>
      <c r="D117" s="19">
        <f>IF($C117="","",INDEX(인턴근무계획!$D$3:$D$202,$A117))</f>
        <v/>
      </c>
      <c r="E117" s="19">
        <f>IF($C117="","",IF(IFERROR(MATCH($D117,기본자료!$B$2:$B$501,0),IFERROR(MATCH($D117&amp;"",기본자료!$B$2:$B$501,0),IFERROR(MATCH(VALUE($D117),기본자료!$B$2:$B$501,0),0)))&gt;0,"확인","미등록"))</f>
        <v/>
      </c>
      <c r="F117" s="19">
        <f>IF(OR($C117="",$F$3=""),"",IF(TRIM(INDEX(인턴근무계획!$E$3:$J$202,$A117,$F$3)&amp;"")="","",IFERROR(LEFT(TRIM(INDEX(인턴근무계획!$E$3:$J$202,$A117,$F$3)&amp;""),FIND(" ",TRIM(INDEX(인턴근무계획!$E$3:$J$202,$A117,$F$3)&amp;""))-1),TRIM(INDEX(인턴근무계획!$E$3:$J$202,$A117,$F$3)&amp;""))))</f>
        <v/>
      </c>
      <c r="G117" s="19">
        <f>IF(OR($C117="",$F$3=""),"",IF(TRIM(INDEX(인턴근무계획!$E$3:$J$202,$A117,$F$3)&amp;"")="","",IFERROR(MID(TRIM(INDEX(인턴근무계획!$E$3:$J$202,$A117,$F$3)&amp;""),FIND(" ",TRIM(INDEX(인턴근무계획!$E$3:$J$202,$A117,$F$3)&amp;""))+1,60),"")))</f>
        <v/>
      </c>
      <c r="H117" s="19">
        <f>IF(OR($C117="",$H$3=""),"",IF(TRIM(INDEX(인턴근무계획!$E$3:$J$202,$A117,$H$3)&amp;"")="","",IFERROR(LEFT(TRIM(INDEX(인턴근무계획!$E$3:$J$202,$A117,$H$3)&amp;""),FIND(" ",TRIM(INDEX(인턴근무계획!$E$3:$J$202,$A117,$H$3)&amp;""))-1),TRIM(INDEX(인턴근무계획!$E$3:$J$202,$A117,$H$3)&amp;""))))</f>
        <v/>
      </c>
      <c r="I117" s="19">
        <f>IF(OR($C117="",$H$3=""),"",IF(TRIM(INDEX(인턴근무계획!$E$3:$J$202,$A117,$H$3)&amp;"")="","",IFERROR(MID(TRIM(INDEX(인턴근무계획!$E$3:$J$202,$A117,$H$3)&amp;""),FIND(" ",TRIM(INDEX(인턴근무계획!$E$3:$J$202,$A117,$H$3)&amp;""))+1,60),"")))</f>
        <v/>
      </c>
      <c r="J117" s="19">
        <f>IF($C117="","",IF(TRIM(INDEX(인턴근무계획!$E$3:$J$202,$A117,1)&amp;"")="","",IFERROR(LEFT(TRIM(INDEX(인턴근무계획!$E$3:$J$202,$A117,1)&amp;""),FIND(" ",TRIM(INDEX(인턴근무계획!$E$3:$J$202,$A117,1)&amp;""))-1),TRIM(INDEX(인턴근무계획!$E$3:$J$202,$A117,1)&amp;""))))</f>
        <v/>
      </c>
      <c r="K117" s="19">
        <f>IF($C117="","",IF(TRIM(INDEX(인턴근무계획!$E$3:$J$202,$A117,2)&amp;"")="","",IFERROR(LEFT(TRIM(INDEX(인턴근무계획!$E$3:$J$202,$A117,2)&amp;""),FIND(" ",TRIM(INDEX(인턴근무계획!$E$3:$J$202,$A117,2)&amp;""))-1),TRIM(INDEX(인턴근무계획!$E$3:$J$202,$A117,2)&amp;""))))</f>
        <v/>
      </c>
      <c r="L117" s="19">
        <f>IF($C117="","",IF(TRIM(INDEX(인턴근무계획!$E$3:$J$202,$A117,3)&amp;"")="","",IFERROR(LEFT(TRIM(INDEX(인턴근무계획!$E$3:$J$202,$A117,3)&amp;""),FIND(" ",TRIM(INDEX(인턴근무계획!$E$3:$J$202,$A117,3)&amp;""))-1),TRIM(INDEX(인턴근무계획!$E$3:$J$202,$A117,3)&amp;""))))</f>
        <v/>
      </c>
      <c r="M117" s="19">
        <f>IF($C117="","",IF(TRIM(INDEX(인턴근무계획!$E$3:$J$202,$A117,4)&amp;"")="","",IFERROR(LEFT(TRIM(INDEX(인턴근무계획!$E$3:$J$202,$A117,4)&amp;""),FIND(" ",TRIM(INDEX(인턴근무계획!$E$3:$J$202,$A117,4)&amp;""))-1),TRIM(INDEX(인턴근무계획!$E$3:$J$202,$A117,4)&amp;""))))</f>
        <v/>
      </c>
      <c r="N117" s="19">
        <f>IF($C117="","",IF(TRIM(INDEX(인턴근무계획!$E$3:$J$202,$A117,5)&amp;"")="","",IFERROR(LEFT(TRIM(INDEX(인턴근무계획!$E$3:$J$202,$A117,5)&amp;""),FIND(" ",TRIM(INDEX(인턴근무계획!$E$3:$J$202,$A117,5)&amp;""))-1),TRIM(INDEX(인턴근무계획!$E$3:$J$202,$A117,5)&amp;""))))</f>
        <v/>
      </c>
      <c r="O117" s="19">
        <f>IF($C117="","",IF(TRIM(INDEX(인턴근무계획!$E$3:$J$202,$A117,6)&amp;"")="","",IFERROR(LEFT(TRIM(INDEX(인턴근무계획!$E$3:$J$202,$A117,6)&amp;""),FIND(" ",TRIM(INDEX(인턴근무계획!$E$3:$J$202,$A117,6)&amp;""))-1),TRIM(INDEX(인턴근무계획!$E$3:$J$202,$A117,6)&amp;""))))</f>
        <v/>
      </c>
      <c r="P117" s="19">
        <f>IF($C117="","",IF(INDEX(인턴근무계획!$K$3:$K$202,$A117)="","",INDEX(인턴근무계획!$K$3:$K$202,$A117)))</f>
        <v/>
      </c>
    </row>
    <row r="118">
      <c r="A118" s="18" t="n">
        <v>113</v>
      </c>
      <c r="B118" s="19">
        <f>IF($C118="","",INDEX(인턴근무계획!$B$3:$B$202,$A118))</f>
        <v/>
      </c>
      <c r="C118" s="19">
        <f>IFERROR(TRIM(INDEX(인턴근무계획!$C$3:$C$202,$A118)&amp;""),"")</f>
        <v/>
      </c>
      <c r="D118" s="19">
        <f>IF($C118="","",INDEX(인턴근무계획!$D$3:$D$202,$A118))</f>
        <v/>
      </c>
      <c r="E118" s="19">
        <f>IF($C118="","",IF(IFERROR(MATCH($D118,기본자료!$B$2:$B$501,0),IFERROR(MATCH($D118&amp;"",기본자료!$B$2:$B$501,0),IFERROR(MATCH(VALUE($D118),기본자료!$B$2:$B$501,0),0)))&gt;0,"확인","미등록"))</f>
        <v/>
      </c>
      <c r="F118" s="19">
        <f>IF(OR($C118="",$F$3=""),"",IF(TRIM(INDEX(인턴근무계획!$E$3:$J$202,$A118,$F$3)&amp;"")="","",IFERROR(LEFT(TRIM(INDEX(인턴근무계획!$E$3:$J$202,$A118,$F$3)&amp;""),FIND(" ",TRIM(INDEX(인턴근무계획!$E$3:$J$202,$A118,$F$3)&amp;""))-1),TRIM(INDEX(인턴근무계획!$E$3:$J$202,$A118,$F$3)&amp;""))))</f>
        <v/>
      </c>
      <c r="G118" s="19">
        <f>IF(OR($C118="",$F$3=""),"",IF(TRIM(INDEX(인턴근무계획!$E$3:$J$202,$A118,$F$3)&amp;"")="","",IFERROR(MID(TRIM(INDEX(인턴근무계획!$E$3:$J$202,$A118,$F$3)&amp;""),FIND(" ",TRIM(INDEX(인턴근무계획!$E$3:$J$202,$A118,$F$3)&amp;""))+1,60),"")))</f>
        <v/>
      </c>
      <c r="H118" s="19">
        <f>IF(OR($C118="",$H$3=""),"",IF(TRIM(INDEX(인턴근무계획!$E$3:$J$202,$A118,$H$3)&amp;"")="","",IFERROR(LEFT(TRIM(INDEX(인턴근무계획!$E$3:$J$202,$A118,$H$3)&amp;""),FIND(" ",TRIM(INDEX(인턴근무계획!$E$3:$J$202,$A118,$H$3)&amp;""))-1),TRIM(INDEX(인턴근무계획!$E$3:$J$202,$A118,$H$3)&amp;""))))</f>
        <v/>
      </c>
      <c r="I118" s="19">
        <f>IF(OR($C118="",$H$3=""),"",IF(TRIM(INDEX(인턴근무계획!$E$3:$J$202,$A118,$H$3)&amp;"")="","",IFERROR(MID(TRIM(INDEX(인턴근무계획!$E$3:$J$202,$A118,$H$3)&amp;""),FIND(" ",TRIM(INDEX(인턴근무계획!$E$3:$J$202,$A118,$H$3)&amp;""))+1,60),"")))</f>
        <v/>
      </c>
      <c r="J118" s="19">
        <f>IF($C118="","",IF(TRIM(INDEX(인턴근무계획!$E$3:$J$202,$A118,1)&amp;"")="","",IFERROR(LEFT(TRIM(INDEX(인턴근무계획!$E$3:$J$202,$A118,1)&amp;""),FIND(" ",TRIM(INDEX(인턴근무계획!$E$3:$J$202,$A118,1)&amp;""))-1),TRIM(INDEX(인턴근무계획!$E$3:$J$202,$A118,1)&amp;""))))</f>
        <v/>
      </c>
      <c r="K118" s="19">
        <f>IF($C118="","",IF(TRIM(INDEX(인턴근무계획!$E$3:$J$202,$A118,2)&amp;"")="","",IFERROR(LEFT(TRIM(INDEX(인턴근무계획!$E$3:$J$202,$A118,2)&amp;""),FIND(" ",TRIM(INDEX(인턴근무계획!$E$3:$J$202,$A118,2)&amp;""))-1),TRIM(INDEX(인턴근무계획!$E$3:$J$202,$A118,2)&amp;""))))</f>
        <v/>
      </c>
      <c r="L118" s="19">
        <f>IF($C118="","",IF(TRIM(INDEX(인턴근무계획!$E$3:$J$202,$A118,3)&amp;"")="","",IFERROR(LEFT(TRIM(INDEX(인턴근무계획!$E$3:$J$202,$A118,3)&amp;""),FIND(" ",TRIM(INDEX(인턴근무계획!$E$3:$J$202,$A118,3)&amp;""))-1),TRIM(INDEX(인턴근무계획!$E$3:$J$202,$A118,3)&amp;""))))</f>
        <v/>
      </c>
      <c r="M118" s="19">
        <f>IF($C118="","",IF(TRIM(INDEX(인턴근무계획!$E$3:$J$202,$A118,4)&amp;"")="","",IFERROR(LEFT(TRIM(INDEX(인턴근무계획!$E$3:$J$202,$A118,4)&amp;""),FIND(" ",TRIM(INDEX(인턴근무계획!$E$3:$J$202,$A118,4)&amp;""))-1),TRIM(INDEX(인턴근무계획!$E$3:$J$202,$A118,4)&amp;""))))</f>
        <v/>
      </c>
      <c r="N118" s="19">
        <f>IF($C118="","",IF(TRIM(INDEX(인턴근무계획!$E$3:$J$202,$A118,5)&amp;"")="","",IFERROR(LEFT(TRIM(INDEX(인턴근무계획!$E$3:$J$202,$A118,5)&amp;""),FIND(" ",TRIM(INDEX(인턴근무계획!$E$3:$J$202,$A118,5)&amp;""))-1),TRIM(INDEX(인턴근무계획!$E$3:$J$202,$A118,5)&amp;""))))</f>
        <v/>
      </c>
      <c r="O118" s="19">
        <f>IF($C118="","",IF(TRIM(INDEX(인턴근무계획!$E$3:$J$202,$A118,6)&amp;"")="","",IFERROR(LEFT(TRIM(INDEX(인턴근무계획!$E$3:$J$202,$A118,6)&amp;""),FIND(" ",TRIM(INDEX(인턴근무계획!$E$3:$J$202,$A118,6)&amp;""))-1),TRIM(INDEX(인턴근무계획!$E$3:$J$202,$A118,6)&amp;""))))</f>
        <v/>
      </c>
      <c r="P118" s="19">
        <f>IF($C118="","",IF(INDEX(인턴근무계획!$K$3:$K$202,$A118)="","",INDEX(인턴근무계획!$K$3:$K$202,$A118)))</f>
        <v/>
      </c>
    </row>
    <row r="119">
      <c r="A119" s="18" t="n">
        <v>114</v>
      </c>
      <c r="B119" s="19">
        <f>IF($C119="","",INDEX(인턴근무계획!$B$3:$B$202,$A119))</f>
        <v/>
      </c>
      <c r="C119" s="19">
        <f>IFERROR(TRIM(INDEX(인턴근무계획!$C$3:$C$202,$A119)&amp;""),"")</f>
        <v/>
      </c>
      <c r="D119" s="19">
        <f>IF($C119="","",INDEX(인턴근무계획!$D$3:$D$202,$A119))</f>
        <v/>
      </c>
      <c r="E119" s="19">
        <f>IF($C119="","",IF(IFERROR(MATCH($D119,기본자료!$B$2:$B$501,0),IFERROR(MATCH($D119&amp;"",기본자료!$B$2:$B$501,0),IFERROR(MATCH(VALUE($D119),기본자료!$B$2:$B$501,0),0)))&gt;0,"확인","미등록"))</f>
        <v/>
      </c>
      <c r="F119" s="19">
        <f>IF(OR($C119="",$F$3=""),"",IF(TRIM(INDEX(인턴근무계획!$E$3:$J$202,$A119,$F$3)&amp;"")="","",IFERROR(LEFT(TRIM(INDEX(인턴근무계획!$E$3:$J$202,$A119,$F$3)&amp;""),FIND(" ",TRIM(INDEX(인턴근무계획!$E$3:$J$202,$A119,$F$3)&amp;""))-1),TRIM(INDEX(인턴근무계획!$E$3:$J$202,$A119,$F$3)&amp;""))))</f>
        <v/>
      </c>
      <c r="G119" s="19">
        <f>IF(OR($C119="",$F$3=""),"",IF(TRIM(INDEX(인턴근무계획!$E$3:$J$202,$A119,$F$3)&amp;"")="","",IFERROR(MID(TRIM(INDEX(인턴근무계획!$E$3:$J$202,$A119,$F$3)&amp;""),FIND(" ",TRIM(INDEX(인턴근무계획!$E$3:$J$202,$A119,$F$3)&amp;""))+1,60),"")))</f>
        <v/>
      </c>
      <c r="H119" s="19">
        <f>IF(OR($C119="",$H$3=""),"",IF(TRIM(INDEX(인턴근무계획!$E$3:$J$202,$A119,$H$3)&amp;"")="","",IFERROR(LEFT(TRIM(INDEX(인턴근무계획!$E$3:$J$202,$A119,$H$3)&amp;""),FIND(" ",TRIM(INDEX(인턴근무계획!$E$3:$J$202,$A119,$H$3)&amp;""))-1),TRIM(INDEX(인턴근무계획!$E$3:$J$202,$A119,$H$3)&amp;""))))</f>
        <v/>
      </c>
      <c r="I119" s="19">
        <f>IF(OR($C119="",$H$3=""),"",IF(TRIM(INDEX(인턴근무계획!$E$3:$J$202,$A119,$H$3)&amp;"")="","",IFERROR(MID(TRIM(INDEX(인턴근무계획!$E$3:$J$202,$A119,$H$3)&amp;""),FIND(" ",TRIM(INDEX(인턴근무계획!$E$3:$J$202,$A119,$H$3)&amp;""))+1,60),"")))</f>
        <v/>
      </c>
      <c r="J119" s="19">
        <f>IF($C119="","",IF(TRIM(INDEX(인턴근무계획!$E$3:$J$202,$A119,1)&amp;"")="","",IFERROR(LEFT(TRIM(INDEX(인턴근무계획!$E$3:$J$202,$A119,1)&amp;""),FIND(" ",TRIM(INDEX(인턴근무계획!$E$3:$J$202,$A119,1)&amp;""))-1),TRIM(INDEX(인턴근무계획!$E$3:$J$202,$A119,1)&amp;""))))</f>
        <v/>
      </c>
      <c r="K119" s="19">
        <f>IF($C119="","",IF(TRIM(INDEX(인턴근무계획!$E$3:$J$202,$A119,2)&amp;"")="","",IFERROR(LEFT(TRIM(INDEX(인턴근무계획!$E$3:$J$202,$A119,2)&amp;""),FIND(" ",TRIM(INDEX(인턴근무계획!$E$3:$J$202,$A119,2)&amp;""))-1),TRIM(INDEX(인턴근무계획!$E$3:$J$202,$A119,2)&amp;""))))</f>
        <v/>
      </c>
      <c r="L119" s="19">
        <f>IF($C119="","",IF(TRIM(INDEX(인턴근무계획!$E$3:$J$202,$A119,3)&amp;"")="","",IFERROR(LEFT(TRIM(INDEX(인턴근무계획!$E$3:$J$202,$A119,3)&amp;""),FIND(" ",TRIM(INDEX(인턴근무계획!$E$3:$J$202,$A119,3)&amp;""))-1),TRIM(INDEX(인턴근무계획!$E$3:$J$202,$A119,3)&amp;""))))</f>
        <v/>
      </c>
      <c r="M119" s="19">
        <f>IF($C119="","",IF(TRIM(INDEX(인턴근무계획!$E$3:$J$202,$A119,4)&amp;"")="","",IFERROR(LEFT(TRIM(INDEX(인턴근무계획!$E$3:$J$202,$A119,4)&amp;""),FIND(" ",TRIM(INDEX(인턴근무계획!$E$3:$J$202,$A119,4)&amp;""))-1),TRIM(INDEX(인턴근무계획!$E$3:$J$202,$A119,4)&amp;""))))</f>
        <v/>
      </c>
      <c r="N119" s="19">
        <f>IF($C119="","",IF(TRIM(INDEX(인턴근무계획!$E$3:$J$202,$A119,5)&amp;"")="","",IFERROR(LEFT(TRIM(INDEX(인턴근무계획!$E$3:$J$202,$A119,5)&amp;""),FIND(" ",TRIM(INDEX(인턴근무계획!$E$3:$J$202,$A119,5)&amp;""))-1),TRIM(INDEX(인턴근무계획!$E$3:$J$202,$A119,5)&amp;""))))</f>
        <v/>
      </c>
      <c r="O119" s="19">
        <f>IF($C119="","",IF(TRIM(INDEX(인턴근무계획!$E$3:$J$202,$A119,6)&amp;"")="","",IFERROR(LEFT(TRIM(INDEX(인턴근무계획!$E$3:$J$202,$A119,6)&amp;""),FIND(" ",TRIM(INDEX(인턴근무계획!$E$3:$J$202,$A119,6)&amp;""))-1),TRIM(INDEX(인턴근무계획!$E$3:$J$202,$A119,6)&amp;""))))</f>
        <v/>
      </c>
      <c r="P119" s="19">
        <f>IF($C119="","",IF(INDEX(인턴근무계획!$K$3:$K$202,$A119)="","",INDEX(인턴근무계획!$K$3:$K$202,$A119)))</f>
        <v/>
      </c>
    </row>
    <row r="120">
      <c r="A120" s="18" t="n">
        <v>115</v>
      </c>
      <c r="B120" s="19">
        <f>IF($C120="","",INDEX(인턴근무계획!$B$3:$B$202,$A120))</f>
        <v/>
      </c>
      <c r="C120" s="19">
        <f>IFERROR(TRIM(INDEX(인턴근무계획!$C$3:$C$202,$A120)&amp;""),"")</f>
        <v/>
      </c>
      <c r="D120" s="19">
        <f>IF($C120="","",INDEX(인턴근무계획!$D$3:$D$202,$A120))</f>
        <v/>
      </c>
      <c r="E120" s="19">
        <f>IF($C120="","",IF(IFERROR(MATCH($D120,기본자료!$B$2:$B$501,0),IFERROR(MATCH($D120&amp;"",기본자료!$B$2:$B$501,0),IFERROR(MATCH(VALUE($D120),기본자료!$B$2:$B$501,0),0)))&gt;0,"확인","미등록"))</f>
        <v/>
      </c>
      <c r="F120" s="19">
        <f>IF(OR($C120="",$F$3=""),"",IF(TRIM(INDEX(인턴근무계획!$E$3:$J$202,$A120,$F$3)&amp;"")="","",IFERROR(LEFT(TRIM(INDEX(인턴근무계획!$E$3:$J$202,$A120,$F$3)&amp;""),FIND(" ",TRIM(INDEX(인턴근무계획!$E$3:$J$202,$A120,$F$3)&amp;""))-1),TRIM(INDEX(인턴근무계획!$E$3:$J$202,$A120,$F$3)&amp;""))))</f>
        <v/>
      </c>
      <c r="G120" s="19">
        <f>IF(OR($C120="",$F$3=""),"",IF(TRIM(INDEX(인턴근무계획!$E$3:$J$202,$A120,$F$3)&amp;"")="","",IFERROR(MID(TRIM(INDEX(인턴근무계획!$E$3:$J$202,$A120,$F$3)&amp;""),FIND(" ",TRIM(INDEX(인턴근무계획!$E$3:$J$202,$A120,$F$3)&amp;""))+1,60),"")))</f>
        <v/>
      </c>
      <c r="H120" s="19">
        <f>IF(OR($C120="",$H$3=""),"",IF(TRIM(INDEX(인턴근무계획!$E$3:$J$202,$A120,$H$3)&amp;"")="","",IFERROR(LEFT(TRIM(INDEX(인턴근무계획!$E$3:$J$202,$A120,$H$3)&amp;""),FIND(" ",TRIM(INDEX(인턴근무계획!$E$3:$J$202,$A120,$H$3)&amp;""))-1),TRIM(INDEX(인턴근무계획!$E$3:$J$202,$A120,$H$3)&amp;""))))</f>
        <v/>
      </c>
      <c r="I120" s="19">
        <f>IF(OR($C120="",$H$3=""),"",IF(TRIM(INDEX(인턴근무계획!$E$3:$J$202,$A120,$H$3)&amp;"")="","",IFERROR(MID(TRIM(INDEX(인턴근무계획!$E$3:$J$202,$A120,$H$3)&amp;""),FIND(" ",TRIM(INDEX(인턴근무계획!$E$3:$J$202,$A120,$H$3)&amp;""))+1,60),"")))</f>
        <v/>
      </c>
      <c r="J120" s="19">
        <f>IF($C120="","",IF(TRIM(INDEX(인턴근무계획!$E$3:$J$202,$A120,1)&amp;"")="","",IFERROR(LEFT(TRIM(INDEX(인턴근무계획!$E$3:$J$202,$A120,1)&amp;""),FIND(" ",TRIM(INDEX(인턴근무계획!$E$3:$J$202,$A120,1)&amp;""))-1),TRIM(INDEX(인턴근무계획!$E$3:$J$202,$A120,1)&amp;""))))</f>
        <v/>
      </c>
      <c r="K120" s="19">
        <f>IF($C120="","",IF(TRIM(INDEX(인턴근무계획!$E$3:$J$202,$A120,2)&amp;"")="","",IFERROR(LEFT(TRIM(INDEX(인턴근무계획!$E$3:$J$202,$A120,2)&amp;""),FIND(" ",TRIM(INDEX(인턴근무계획!$E$3:$J$202,$A120,2)&amp;""))-1),TRIM(INDEX(인턴근무계획!$E$3:$J$202,$A120,2)&amp;""))))</f>
        <v/>
      </c>
      <c r="L120" s="19">
        <f>IF($C120="","",IF(TRIM(INDEX(인턴근무계획!$E$3:$J$202,$A120,3)&amp;"")="","",IFERROR(LEFT(TRIM(INDEX(인턴근무계획!$E$3:$J$202,$A120,3)&amp;""),FIND(" ",TRIM(INDEX(인턴근무계획!$E$3:$J$202,$A120,3)&amp;""))-1),TRIM(INDEX(인턴근무계획!$E$3:$J$202,$A120,3)&amp;""))))</f>
        <v/>
      </c>
      <c r="M120" s="19">
        <f>IF($C120="","",IF(TRIM(INDEX(인턴근무계획!$E$3:$J$202,$A120,4)&amp;"")="","",IFERROR(LEFT(TRIM(INDEX(인턴근무계획!$E$3:$J$202,$A120,4)&amp;""),FIND(" ",TRIM(INDEX(인턴근무계획!$E$3:$J$202,$A120,4)&amp;""))-1),TRIM(INDEX(인턴근무계획!$E$3:$J$202,$A120,4)&amp;""))))</f>
        <v/>
      </c>
      <c r="N120" s="19">
        <f>IF($C120="","",IF(TRIM(INDEX(인턴근무계획!$E$3:$J$202,$A120,5)&amp;"")="","",IFERROR(LEFT(TRIM(INDEX(인턴근무계획!$E$3:$J$202,$A120,5)&amp;""),FIND(" ",TRIM(INDEX(인턴근무계획!$E$3:$J$202,$A120,5)&amp;""))-1),TRIM(INDEX(인턴근무계획!$E$3:$J$202,$A120,5)&amp;""))))</f>
        <v/>
      </c>
      <c r="O120" s="19">
        <f>IF($C120="","",IF(TRIM(INDEX(인턴근무계획!$E$3:$J$202,$A120,6)&amp;"")="","",IFERROR(LEFT(TRIM(INDEX(인턴근무계획!$E$3:$J$202,$A120,6)&amp;""),FIND(" ",TRIM(INDEX(인턴근무계획!$E$3:$J$202,$A120,6)&amp;""))-1),TRIM(INDEX(인턴근무계획!$E$3:$J$202,$A120,6)&amp;""))))</f>
        <v/>
      </c>
      <c r="P120" s="19">
        <f>IF($C120="","",IF(INDEX(인턴근무계획!$K$3:$K$202,$A120)="","",INDEX(인턴근무계획!$K$3:$K$202,$A120)))</f>
        <v/>
      </c>
    </row>
    <row r="121">
      <c r="A121" s="18" t="n">
        <v>116</v>
      </c>
      <c r="B121" s="19">
        <f>IF($C121="","",INDEX(인턴근무계획!$B$3:$B$202,$A121))</f>
        <v/>
      </c>
      <c r="C121" s="19">
        <f>IFERROR(TRIM(INDEX(인턴근무계획!$C$3:$C$202,$A121)&amp;""),"")</f>
        <v/>
      </c>
      <c r="D121" s="19">
        <f>IF($C121="","",INDEX(인턴근무계획!$D$3:$D$202,$A121))</f>
        <v/>
      </c>
      <c r="E121" s="19">
        <f>IF($C121="","",IF(IFERROR(MATCH($D121,기본자료!$B$2:$B$501,0),IFERROR(MATCH($D121&amp;"",기본자료!$B$2:$B$501,0),IFERROR(MATCH(VALUE($D121),기본자료!$B$2:$B$501,0),0)))&gt;0,"확인","미등록"))</f>
        <v/>
      </c>
      <c r="F121" s="19">
        <f>IF(OR($C121="",$F$3=""),"",IF(TRIM(INDEX(인턴근무계획!$E$3:$J$202,$A121,$F$3)&amp;"")="","",IFERROR(LEFT(TRIM(INDEX(인턴근무계획!$E$3:$J$202,$A121,$F$3)&amp;""),FIND(" ",TRIM(INDEX(인턴근무계획!$E$3:$J$202,$A121,$F$3)&amp;""))-1),TRIM(INDEX(인턴근무계획!$E$3:$J$202,$A121,$F$3)&amp;""))))</f>
        <v/>
      </c>
      <c r="G121" s="19">
        <f>IF(OR($C121="",$F$3=""),"",IF(TRIM(INDEX(인턴근무계획!$E$3:$J$202,$A121,$F$3)&amp;"")="","",IFERROR(MID(TRIM(INDEX(인턴근무계획!$E$3:$J$202,$A121,$F$3)&amp;""),FIND(" ",TRIM(INDEX(인턴근무계획!$E$3:$J$202,$A121,$F$3)&amp;""))+1,60),"")))</f>
        <v/>
      </c>
      <c r="H121" s="19">
        <f>IF(OR($C121="",$H$3=""),"",IF(TRIM(INDEX(인턴근무계획!$E$3:$J$202,$A121,$H$3)&amp;"")="","",IFERROR(LEFT(TRIM(INDEX(인턴근무계획!$E$3:$J$202,$A121,$H$3)&amp;""),FIND(" ",TRIM(INDEX(인턴근무계획!$E$3:$J$202,$A121,$H$3)&amp;""))-1),TRIM(INDEX(인턴근무계획!$E$3:$J$202,$A121,$H$3)&amp;""))))</f>
        <v/>
      </c>
      <c r="I121" s="19">
        <f>IF(OR($C121="",$H$3=""),"",IF(TRIM(INDEX(인턴근무계획!$E$3:$J$202,$A121,$H$3)&amp;"")="","",IFERROR(MID(TRIM(INDEX(인턴근무계획!$E$3:$J$202,$A121,$H$3)&amp;""),FIND(" ",TRIM(INDEX(인턴근무계획!$E$3:$J$202,$A121,$H$3)&amp;""))+1,60),"")))</f>
        <v/>
      </c>
      <c r="J121" s="19">
        <f>IF($C121="","",IF(TRIM(INDEX(인턴근무계획!$E$3:$J$202,$A121,1)&amp;"")="","",IFERROR(LEFT(TRIM(INDEX(인턴근무계획!$E$3:$J$202,$A121,1)&amp;""),FIND(" ",TRIM(INDEX(인턴근무계획!$E$3:$J$202,$A121,1)&amp;""))-1),TRIM(INDEX(인턴근무계획!$E$3:$J$202,$A121,1)&amp;""))))</f>
        <v/>
      </c>
      <c r="K121" s="19">
        <f>IF($C121="","",IF(TRIM(INDEX(인턴근무계획!$E$3:$J$202,$A121,2)&amp;"")="","",IFERROR(LEFT(TRIM(INDEX(인턴근무계획!$E$3:$J$202,$A121,2)&amp;""),FIND(" ",TRIM(INDEX(인턴근무계획!$E$3:$J$202,$A121,2)&amp;""))-1),TRIM(INDEX(인턴근무계획!$E$3:$J$202,$A121,2)&amp;""))))</f>
        <v/>
      </c>
      <c r="L121" s="19">
        <f>IF($C121="","",IF(TRIM(INDEX(인턴근무계획!$E$3:$J$202,$A121,3)&amp;"")="","",IFERROR(LEFT(TRIM(INDEX(인턴근무계획!$E$3:$J$202,$A121,3)&amp;""),FIND(" ",TRIM(INDEX(인턴근무계획!$E$3:$J$202,$A121,3)&amp;""))-1),TRIM(INDEX(인턴근무계획!$E$3:$J$202,$A121,3)&amp;""))))</f>
        <v/>
      </c>
      <c r="M121" s="19">
        <f>IF($C121="","",IF(TRIM(INDEX(인턴근무계획!$E$3:$J$202,$A121,4)&amp;"")="","",IFERROR(LEFT(TRIM(INDEX(인턴근무계획!$E$3:$J$202,$A121,4)&amp;""),FIND(" ",TRIM(INDEX(인턴근무계획!$E$3:$J$202,$A121,4)&amp;""))-1),TRIM(INDEX(인턴근무계획!$E$3:$J$202,$A121,4)&amp;""))))</f>
        <v/>
      </c>
      <c r="N121" s="19">
        <f>IF($C121="","",IF(TRIM(INDEX(인턴근무계획!$E$3:$J$202,$A121,5)&amp;"")="","",IFERROR(LEFT(TRIM(INDEX(인턴근무계획!$E$3:$J$202,$A121,5)&amp;""),FIND(" ",TRIM(INDEX(인턴근무계획!$E$3:$J$202,$A121,5)&amp;""))-1),TRIM(INDEX(인턴근무계획!$E$3:$J$202,$A121,5)&amp;""))))</f>
        <v/>
      </c>
      <c r="O121" s="19">
        <f>IF($C121="","",IF(TRIM(INDEX(인턴근무계획!$E$3:$J$202,$A121,6)&amp;"")="","",IFERROR(LEFT(TRIM(INDEX(인턴근무계획!$E$3:$J$202,$A121,6)&amp;""),FIND(" ",TRIM(INDEX(인턴근무계획!$E$3:$J$202,$A121,6)&amp;""))-1),TRIM(INDEX(인턴근무계획!$E$3:$J$202,$A121,6)&amp;""))))</f>
        <v/>
      </c>
      <c r="P121" s="19">
        <f>IF($C121="","",IF(INDEX(인턴근무계획!$K$3:$K$202,$A121)="","",INDEX(인턴근무계획!$K$3:$K$202,$A121)))</f>
        <v/>
      </c>
    </row>
    <row r="122">
      <c r="A122" s="18" t="n">
        <v>117</v>
      </c>
      <c r="B122" s="19">
        <f>IF($C122="","",INDEX(인턴근무계획!$B$3:$B$202,$A122))</f>
        <v/>
      </c>
      <c r="C122" s="19">
        <f>IFERROR(TRIM(INDEX(인턴근무계획!$C$3:$C$202,$A122)&amp;""),"")</f>
        <v/>
      </c>
      <c r="D122" s="19">
        <f>IF($C122="","",INDEX(인턴근무계획!$D$3:$D$202,$A122))</f>
        <v/>
      </c>
      <c r="E122" s="19">
        <f>IF($C122="","",IF(IFERROR(MATCH($D122,기본자료!$B$2:$B$501,0),IFERROR(MATCH($D122&amp;"",기본자료!$B$2:$B$501,0),IFERROR(MATCH(VALUE($D122),기본자료!$B$2:$B$501,0),0)))&gt;0,"확인","미등록"))</f>
        <v/>
      </c>
      <c r="F122" s="19">
        <f>IF(OR($C122="",$F$3=""),"",IF(TRIM(INDEX(인턴근무계획!$E$3:$J$202,$A122,$F$3)&amp;"")="","",IFERROR(LEFT(TRIM(INDEX(인턴근무계획!$E$3:$J$202,$A122,$F$3)&amp;""),FIND(" ",TRIM(INDEX(인턴근무계획!$E$3:$J$202,$A122,$F$3)&amp;""))-1),TRIM(INDEX(인턴근무계획!$E$3:$J$202,$A122,$F$3)&amp;""))))</f>
        <v/>
      </c>
      <c r="G122" s="19">
        <f>IF(OR($C122="",$F$3=""),"",IF(TRIM(INDEX(인턴근무계획!$E$3:$J$202,$A122,$F$3)&amp;"")="","",IFERROR(MID(TRIM(INDEX(인턴근무계획!$E$3:$J$202,$A122,$F$3)&amp;""),FIND(" ",TRIM(INDEX(인턴근무계획!$E$3:$J$202,$A122,$F$3)&amp;""))+1,60),"")))</f>
        <v/>
      </c>
      <c r="H122" s="19">
        <f>IF(OR($C122="",$H$3=""),"",IF(TRIM(INDEX(인턴근무계획!$E$3:$J$202,$A122,$H$3)&amp;"")="","",IFERROR(LEFT(TRIM(INDEX(인턴근무계획!$E$3:$J$202,$A122,$H$3)&amp;""),FIND(" ",TRIM(INDEX(인턴근무계획!$E$3:$J$202,$A122,$H$3)&amp;""))-1),TRIM(INDEX(인턴근무계획!$E$3:$J$202,$A122,$H$3)&amp;""))))</f>
        <v/>
      </c>
      <c r="I122" s="19">
        <f>IF(OR($C122="",$H$3=""),"",IF(TRIM(INDEX(인턴근무계획!$E$3:$J$202,$A122,$H$3)&amp;"")="","",IFERROR(MID(TRIM(INDEX(인턴근무계획!$E$3:$J$202,$A122,$H$3)&amp;""),FIND(" ",TRIM(INDEX(인턴근무계획!$E$3:$J$202,$A122,$H$3)&amp;""))+1,60),"")))</f>
        <v/>
      </c>
      <c r="J122" s="19">
        <f>IF($C122="","",IF(TRIM(INDEX(인턴근무계획!$E$3:$J$202,$A122,1)&amp;"")="","",IFERROR(LEFT(TRIM(INDEX(인턴근무계획!$E$3:$J$202,$A122,1)&amp;""),FIND(" ",TRIM(INDEX(인턴근무계획!$E$3:$J$202,$A122,1)&amp;""))-1),TRIM(INDEX(인턴근무계획!$E$3:$J$202,$A122,1)&amp;""))))</f>
        <v/>
      </c>
      <c r="K122" s="19">
        <f>IF($C122="","",IF(TRIM(INDEX(인턴근무계획!$E$3:$J$202,$A122,2)&amp;"")="","",IFERROR(LEFT(TRIM(INDEX(인턴근무계획!$E$3:$J$202,$A122,2)&amp;""),FIND(" ",TRIM(INDEX(인턴근무계획!$E$3:$J$202,$A122,2)&amp;""))-1),TRIM(INDEX(인턴근무계획!$E$3:$J$202,$A122,2)&amp;""))))</f>
        <v/>
      </c>
      <c r="L122" s="19">
        <f>IF($C122="","",IF(TRIM(INDEX(인턴근무계획!$E$3:$J$202,$A122,3)&amp;"")="","",IFERROR(LEFT(TRIM(INDEX(인턴근무계획!$E$3:$J$202,$A122,3)&amp;""),FIND(" ",TRIM(INDEX(인턴근무계획!$E$3:$J$202,$A122,3)&amp;""))-1),TRIM(INDEX(인턴근무계획!$E$3:$J$202,$A122,3)&amp;""))))</f>
        <v/>
      </c>
      <c r="M122" s="19">
        <f>IF($C122="","",IF(TRIM(INDEX(인턴근무계획!$E$3:$J$202,$A122,4)&amp;"")="","",IFERROR(LEFT(TRIM(INDEX(인턴근무계획!$E$3:$J$202,$A122,4)&amp;""),FIND(" ",TRIM(INDEX(인턴근무계획!$E$3:$J$202,$A122,4)&amp;""))-1),TRIM(INDEX(인턴근무계획!$E$3:$J$202,$A122,4)&amp;""))))</f>
        <v/>
      </c>
      <c r="N122" s="19">
        <f>IF($C122="","",IF(TRIM(INDEX(인턴근무계획!$E$3:$J$202,$A122,5)&amp;"")="","",IFERROR(LEFT(TRIM(INDEX(인턴근무계획!$E$3:$J$202,$A122,5)&amp;""),FIND(" ",TRIM(INDEX(인턴근무계획!$E$3:$J$202,$A122,5)&amp;""))-1),TRIM(INDEX(인턴근무계획!$E$3:$J$202,$A122,5)&amp;""))))</f>
        <v/>
      </c>
      <c r="O122" s="19">
        <f>IF($C122="","",IF(TRIM(INDEX(인턴근무계획!$E$3:$J$202,$A122,6)&amp;"")="","",IFERROR(LEFT(TRIM(INDEX(인턴근무계획!$E$3:$J$202,$A122,6)&amp;""),FIND(" ",TRIM(INDEX(인턴근무계획!$E$3:$J$202,$A122,6)&amp;""))-1),TRIM(INDEX(인턴근무계획!$E$3:$J$202,$A122,6)&amp;""))))</f>
        <v/>
      </c>
      <c r="P122" s="19">
        <f>IF($C122="","",IF(INDEX(인턴근무계획!$K$3:$K$202,$A122)="","",INDEX(인턴근무계획!$K$3:$K$202,$A122)))</f>
        <v/>
      </c>
    </row>
    <row r="123">
      <c r="A123" s="18" t="n">
        <v>118</v>
      </c>
      <c r="B123" s="19">
        <f>IF($C123="","",INDEX(인턴근무계획!$B$3:$B$202,$A123))</f>
        <v/>
      </c>
      <c r="C123" s="19">
        <f>IFERROR(TRIM(INDEX(인턴근무계획!$C$3:$C$202,$A123)&amp;""),"")</f>
        <v/>
      </c>
      <c r="D123" s="19">
        <f>IF($C123="","",INDEX(인턴근무계획!$D$3:$D$202,$A123))</f>
        <v/>
      </c>
      <c r="E123" s="19">
        <f>IF($C123="","",IF(IFERROR(MATCH($D123,기본자료!$B$2:$B$501,0),IFERROR(MATCH($D123&amp;"",기본자료!$B$2:$B$501,0),IFERROR(MATCH(VALUE($D123),기본자료!$B$2:$B$501,0),0)))&gt;0,"확인","미등록"))</f>
        <v/>
      </c>
      <c r="F123" s="19">
        <f>IF(OR($C123="",$F$3=""),"",IF(TRIM(INDEX(인턴근무계획!$E$3:$J$202,$A123,$F$3)&amp;"")="","",IFERROR(LEFT(TRIM(INDEX(인턴근무계획!$E$3:$J$202,$A123,$F$3)&amp;""),FIND(" ",TRIM(INDEX(인턴근무계획!$E$3:$J$202,$A123,$F$3)&amp;""))-1),TRIM(INDEX(인턴근무계획!$E$3:$J$202,$A123,$F$3)&amp;""))))</f>
        <v/>
      </c>
      <c r="G123" s="19">
        <f>IF(OR($C123="",$F$3=""),"",IF(TRIM(INDEX(인턴근무계획!$E$3:$J$202,$A123,$F$3)&amp;"")="","",IFERROR(MID(TRIM(INDEX(인턴근무계획!$E$3:$J$202,$A123,$F$3)&amp;""),FIND(" ",TRIM(INDEX(인턴근무계획!$E$3:$J$202,$A123,$F$3)&amp;""))+1,60),"")))</f>
        <v/>
      </c>
      <c r="H123" s="19">
        <f>IF(OR($C123="",$H$3=""),"",IF(TRIM(INDEX(인턴근무계획!$E$3:$J$202,$A123,$H$3)&amp;"")="","",IFERROR(LEFT(TRIM(INDEX(인턴근무계획!$E$3:$J$202,$A123,$H$3)&amp;""),FIND(" ",TRIM(INDEX(인턴근무계획!$E$3:$J$202,$A123,$H$3)&amp;""))-1),TRIM(INDEX(인턴근무계획!$E$3:$J$202,$A123,$H$3)&amp;""))))</f>
        <v/>
      </c>
      <c r="I123" s="19">
        <f>IF(OR($C123="",$H$3=""),"",IF(TRIM(INDEX(인턴근무계획!$E$3:$J$202,$A123,$H$3)&amp;"")="","",IFERROR(MID(TRIM(INDEX(인턴근무계획!$E$3:$J$202,$A123,$H$3)&amp;""),FIND(" ",TRIM(INDEX(인턴근무계획!$E$3:$J$202,$A123,$H$3)&amp;""))+1,60),"")))</f>
        <v/>
      </c>
      <c r="J123" s="19">
        <f>IF($C123="","",IF(TRIM(INDEX(인턴근무계획!$E$3:$J$202,$A123,1)&amp;"")="","",IFERROR(LEFT(TRIM(INDEX(인턴근무계획!$E$3:$J$202,$A123,1)&amp;""),FIND(" ",TRIM(INDEX(인턴근무계획!$E$3:$J$202,$A123,1)&amp;""))-1),TRIM(INDEX(인턴근무계획!$E$3:$J$202,$A123,1)&amp;""))))</f>
        <v/>
      </c>
      <c r="K123" s="19">
        <f>IF($C123="","",IF(TRIM(INDEX(인턴근무계획!$E$3:$J$202,$A123,2)&amp;"")="","",IFERROR(LEFT(TRIM(INDEX(인턴근무계획!$E$3:$J$202,$A123,2)&amp;""),FIND(" ",TRIM(INDEX(인턴근무계획!$E$3:$J$202,$A123,2)&amp;""))-1),TRIM(INDEX(인턴근무계획!$E$3:$J$202,$A123,2)&amp;""))))</f>
        <v/>
      </c>
      <c r="L123" s="19">
        <f>IF($C123="","",IF(TRIM(INDEX(인턴근무계획!$E$3:$J$202,$A123,3)&amp;"")="","",IFERROR(LEFT(TRIM(INDEX(인턴근무계획!$E$3:$J$202,$A123,3)&amp;""),FIND(" ",TRIM(INDEX(인턴근무계획!$E$3:$J$202,$A123,3)&amp;""))-1),TRIM(INDEX(인턴근무계획!$E$3:$J$202,$A123,3)&amp;""))))</f>
        <v/>
      </c>
      <c r="M123" s="19">
        <f>IF($C123="","",IF(TRIM(INDEX(인턴근무계획!$E$3:$J$202,$A123,4)&amp;"")="","",IFERROR(LEFT(TRIM(INDEX(인턴근무계획!$E$3:$J$202,$A123,4)&amp;""),FIND(" ",TRIM(INDEX(인턴근무계획!$E$3:$J$202,$A123,4)&amp;""))-1),TRIM(INDEX(인턴근무계획!$E$3:$J$202,$A123,4)&amp;""))))</f>
        <v/>
      </c>
      <c r="N123" s="19">
        <f>IF($C123="","",IF(TRIM(INDEX(인턴근무계획!$E$3:$J$202,$A123,5)&amp;"")="","",IFERROR(LEFT(TRIM(INDEX(인턴근무계획!$E$3:$J$202,$A123,5)&amp;""),FIND(" ",TRIM(INDEX(인턴근무계획!$E$3:$J$202,$A123,5)&amp;""))-1),TRIM(INDEX(인턴근무계획!$E$3:$J$202,$A123,5)&amp;""))))</f>
        <v/>
      </c>
      <c r="O123" s="19">
        <f>IF($C123="","",IF(TRIM(INDEX(인턴근무계획!$E$3:$J$202,$A123,6)&amp;"")="","",IFERROR(LEFT(TRIM(INDEX(인턴근무계획!$E$3:$J$202,$A123,6)&amp;""),FIND(" ",TRIM(INDEX(인턴근무계획!$E$3:$J$202,$A123,6)&amp;""))-1),TRIM(INDEX(인턴근무계획!$E$3:$J$202,$A123,6)&amp;""))))</f>
        <v/>
      </c>
      <c r="P123" s="19">
        <f>IF($C123="","",IF(INDEX(인턴근무계획!$K$3:$K$202,$A123)="","",INDEX(인턴근무계획!$K$3:$K$202,$A123)))</f>
        <v/>
      </c>
    </row>
    <row r="124">
      <c r="A124" s="18" t="n">
        <v>119</v>
      </c>
      <c r="B124" s="19">
        <f>IF($C124="","",INDEX(인턴근무계획!$B$3:$B$202,$A124))</f>
        <v/>
      </c>
      <c r="C124" s="19">
        <f>IFERROR(TRIM(INDEX(인턴근무계획!$C$3:$C$202,$A124)&amp;""),"")</f>
        <v/>
      </c>
      <c r="D124" s="19">
        <f>IF($C124="","",INDEX(인턴근무계획!$D$3:$D$202,$A124))</f>
        <v/>
      </c>
      <c r="E124" s="19">
        <f>IF($C124="","",IF(IFERROR(MATCH($D124,기본자료!$B$2:$B$501,0),IFERROR(MATCH($D124&amp;"",기본자료!$B$2:$B$501,0),IFERROR(MATCH(VALUE($D124),기본자료!$B$2:$B$501,0),0)))&gt;0,"확인","미등록"))</f>
        <v/>
      </c>
      <c r="F124" s="19">
        <f>IF(OR($C124="",$F$3=""),"",IF(TRIM(INDEX(인턴근무계획!$E$3:$J$202,$A124,$F$3)&amp;"")="","",IFERROR(LEFT(TRIM(INDEX(인턴근무계획!$E$3:$J$202,$A124,$F$3)&amp;""),FIND(" ",TRIM(INDEX(인턴근무계획!$E$3:$J$202,$A124,$F$3)&amp;""))-1),TRIM(INDEX(인턴근무계획!$E$3:$J$202,$A124,$F$3)&amp;""))))</f>
        <v/>
      </c>
      <c r="G124" s="19">
        <f>IF(OR($C124="",$F$3=""),"",IF(TRIM(INDEX(인턴근무계획!$E$3:$J$202,$A124,$F$3)&amp;"")="","",IFERROR(MID(TRIM(INDEX(인턴근무계획!$E$3:$J$202,$A124,$F$3)&amp;""),FIND(" ",TRIM(INDEX(인턴근무계획!$E$3:$J$202,$A124,$F$3)&amp;""))+1,60),"")))</f>
        <v/>
      </c>
      <c r="H124" s="19">
        <f>IF(OR($C124="",$H$3=""),"",IF(TRIM(INDEX(인턴근무계획!$E$3:$J$202,$A124,$H$3)&amp;"")="","",IFERROR(LEFT(TRIM(INDEX(인턴근무계획!$E$3:$J$202,$A124,$H$3)&amp;""),FIND(" ",TRIM(INDEX(인턴근무계획!$E$3:$J$202,$A124,$H$3)&amp;""))-1),TRIM(INDEX(인턴근무계획!$E$3:$J$202,$A124,$H$3)&amp;""))))</f>
        <v/>
      </c>
      <c r="I124" s="19">
        <f>IF(OR($C124="",$H$3=""),"",IF(TRIM(INDEX(인턴근무계획!$E$3:$J$202,$A124,$H$3)&amp;"")="","",IFERROR(MID(TRIM(INDEX(인턴근무계획!$E$3:$J$202,$A124,$H$3)&amp;""),FIND(" ",TRIM(INDEX(인턴근무계획!$E$3:$J$202,$A124,$H$3)&amp;""))+1,60),"")))</f>
        <v/>
      </c>
      <c r="J124" s="19">
        <f>IF($C124="","",IF(TRIM(INDEX(인턴근무계획!$E$3:$J$202,$A124,1)&amp;"")="","",IFERROR(LEFT(TRIM(INDEX(인턴근무계획!$E$3:$J$202,$A124,1)&amp;""),FIND(" ",TRIM(INDEX(인턴근무계획!$E$3:$J$202,$A124,1)&amp;""))-1),TRIM(INDEX(인턴근무계획!$E$3:$J$202,$A124,1)&amp;""))))</f>
        <v/>
      </c>
      <c r="K124" s="19">
        <f>IF($C124="","",IF(TRIM(INDEX(인턴근무계획!$E$3:$J$202,$A124,2)&amp;"")="","",IFERROR(LEFT(TRIM(INDEX(인턴근무계획!$E$3:$J$202,$A124,2)&amp;""),FIND(" ",TRIM(INDEX(인턴근무계획!$E$3:$J$202,$A124,2)&amp;""))-1),TRIM(INDEX(인턴근무계획!$E$3:$J$202,$A124,2)&amp;""))))</f>
        <v/>
      </c>
      <c r="L124" s="19">
        <f>IF($C124="","",IF(TRIM(INDEX(인턴근무계획!$E$3:$J$202,$A124,3)&amp;"")="","",IFERROR(LEFT(TRIM(INDEX(인턴근무계획!$E$3:$J$202,$A124,3)&amp;""),FIND(" ",TRIM(INDEX(인턴근무계획!$E$3:$J$202,$A124,3)&amp;""))-1),TRIM(INDEX(인턴근무계획!$E$3:$J$202,$A124,3)&amp;""))))</f>
        <v/>
      </c>
      <c r="M124" s="19">
        <f>IF($C124="","",IF(TRIM(INDEX(인턴근무계획!$E$3:$J$202,$A124,4)&amp;"")="","",IFERROR(LEFT(TRIM(INDEX(인턴근무계획!$E$3:$J$202,$A124,4)&amp;""),FIND(" ",TRIM(INDEX(인턴근무계획!$E$3:$J$202,$A124,4)&amp;""))-1),TRIM(INDEX(인턴근무계획!$E$3:$J$202,$A124,4)&amp;""))))</f>
        <v/>
      </c>
      <c r="N124" s="19">
        <f>IF($C124="","",IF(TRIM(INDEX(인턴근무계획!$E$3:$J$202,$A124,5)&amp;"")="","",IFERROR(LEFT(TRIM(INDEX(인턴근무계획!$E$3:$J$202,$A124,5)&amp;""),FIND(" ",TRIM(INDEX(인턴근무계획!$E$3:$J$202,$A124,5)&amp;""))-1),TRIM(INDEX(인턴근무계획!$E$3:$J$202,$A124,5)&amp;""))))</f>
        <v/>
      </c>
      <c r="O124" s="19">
        <f>IF($C124="","",IF(TRIM(INDEX(인턴근무계획!$E$3:$J$202,$A124,6)&amp;"")="","",IFERROR(LEFT(TRIM(INDEX(인턴근무계획!$E$3:$J$202,$A124,6)&amp;""),FIND(" ",TRIM(INDEX(인턴근무계획!$E$3:$J$202,$A124,6)&amp;""))-1),TRIM(INDEX(인턴근무계획!$E$3:$J$202,$A124,6)&amp;""))))</f>
        <v/>
      </c>
      <c r="P124" s="19">
        <f>IF($C124="","",IF(INDEX(인턴근무계획!$K$3:$K$202,$A124)="","",INDEX(인턴근무계획!$K$3:$K$202,$A124)))</f>
        <v/>
      </c>
    </row>
    <row r="125">
      <c r="A125" s="18" t="n">
        <v>120</v>
      </c>
      <c r="B125" s="19">
        <f>IF($C125="","",INDEX(인턴근무계획!$B$3:$B$202,$A125))</f>
        <v/>
      </c>
      <c r="C125" s="19">
        <f>IFERROR(TRIM(INDEX(인턴근무계획!$C$3:$C$202,$A125)&amp;""),"")</f>
        <v/>
      </c>
      <c r="D125" s="19">
        <f>IF($C125="","",INDEX(인턴근무계획!$D$3:$D$202,$A125))</f>
        <v/>
      </c>
      <c r="E125" s="19">
        <f>IF($C125="","",IF(IFERROR(MATCH($D125,기본자료!$B$2:$B$501,0),IFERROR(MATCH($D125&amp;"",기본자료!$B$2:$B$501,0),IFERROR(MATCH(VALUE($D125),기본자료!$B$2:$B$501,0),0)))&gt;0,"확인","미등록"))</f>
        <v/>
      </c>
      <c r="F125" s="19">
        <f>IF(OR($C125="",$F$3=""),"",IF(TRIM(INDEX(인턴근무계획!$E$3:$J$202,$A125,$F$3)&amp;"")="","",IFERROR(LEFT(TRIM(INDEX(인턴근무계획!$E$3:$J$202,$A125,$F$3)&amp;""),FIND(" ",TRIM(INDEX(인턴근무계획!$E$3:$J$202,$A125,$F$3)&amp;""))-1),TRIM(INDEX(인턴근무계획!$E$3:$J$202,$A125,$F$3)&amp;""))))</f>
        <v/>
      </c>
      <c r="G125" s="19">
        <f>IF(OR($C125="",$F$3=""),"",IF(TRIM(INDEX(인턴근무계획!$E$3:$J$202,$A125,$F$3)&amp;"")="","",IFERROR(MID(TRIM(INDEX(인턴근무계획!$E$3:$J$202,$A125,$F$3)&amp;""),FIND(" ",TRIM(INDEX(인턴근무계획!$E$3:$J$202,$A125,$F$3)&amp;""))+1,60),"")))</f>
        <v/>
      </c>
      <c r="H125" s="19">
        <f>IF(OR($C125="",$H$3=""),"",IF(TRIM(INDEX(인턴근무계획!$E$3:$J$202,$A125,$H$3)&amp;"")="","",IFERROR(LEFT(TRIM(INDEX(인턴근무계획!$E$3:$J$202,$A125,$H$3)&amp;""),FIND(" ",TRIM(INDEX(인턴근무계획!$E$3:$J$202,$A125,$H$3)&amp;""))-1),TRIM(INDEX(인턴근무계획!$E$3:$J$202,$A125,$H$3)&amp;""))))</f>
        <v/>
      </c>
      <c r="I125" s="19">
        <f>IF(OR($C125="",$H$3=""),"",IF(TRIM(INDEX(인턴근무계획!$E$3:$J$202,$A125,$H$3)&amp;"")="","",IFERROR(MID(TRIM(INDEX(인턴근무계획!$E$3:$J$202,$A125,$H$3)&amp;""),FIND(" ",TRIM(INDEX(인턴근무계획!$E$3:$J$202,$A125,$H$3)&amp;""))+1,60),"")))</f>
        <v/>
      </c>
      <c r="J125" s="19">
        <f>IF($C125="","",IF(TRIM(INDEX(인턴근무계획!$E$3:$J$202,$A125,1)&amp;"")="","",IFERROR(LEFT(TRIM(INDEX(인턴근무계획!$E$3:$J$202,$A125,1)&amp;""),FIND(" ",TRIM(INDEX(인턴근무계획!$E$3:$J$202,$A125,1)&amp;""))-1),TRIM(INDEX(인턴근무계획!$E$3:$J$202,$A125,1)&amp;""))))</f>
        <v/>
      </c>
      <c r="K125" s="19">
        <f>IF($C125="","",IF(TRIM(INDEX(인턴근무계획!$E$3:$J$202,$A125,2)&amp;"")="","",IFERROR(LEFT(TRIM(INDEX(인턴근무계획!$E$3:$J$202,$A125,2)&amp;""),FIND(" ",TRIM(INDEX(인턴근무계획!$E$3:$J$202,$A125,2)&amp;""))-1),TRIM(INDEX(인턴근무계획!$E$3:$J$202,$A125,2)&amp;""))))</f>
        <v/>
      </c>
      <c r="L125" s="19">
        <f>IF($C125="","",IF(TRIM(INDEX(인턴근무계획!$E$3:$J$202,$A125,3)&amp;"")="","",IFERROR(LEFT(TRIM(INDEX(인턴근무계획!$E$3:$J$202,$A125,3)&amp;""),FIND(" ",TRIM(INDEX(인턴근무계획!$E$3:$J$202,$A125,3)&amp;""))-1),TRIM(INDEX(인턴근무계획!$E$3:$J$202,$A125,3)&amp;""))))</f>
        <v/>
      </c>
      <c r="M125" s="19">
        <f>IF($C125="","",IF(TRIM(INDEX(인턴근무계획!$E$3:$J$202,$A125,4)&amp;"")="","",IFERROR(LEFT(TRIM(INDEX(인턴근무계획!$E$3:$J$202,$A125,4)&amp;""),FIND(" ",TRIM(INDEX(인턴근무계획!$E$3:$J$202,$A125,4)&amp;""))-1),TRIM(INDEX(인턴근무계획!$E$3:$J$202,$A125,4)&amp;""))))</f>
        <v/>
      </c>
      <c r="N125" s="19">
        <f>IF($C125="","",IF(TRIM(INDEX(인턴근무계획!$E$3:$J$202,$A125,5)&amp;"")="","",IFERROR(LEFT(TRIM(INDEX(인턴근무계획!$E$3:$J$202,$A125,5)&amp;""),FIND(" ",TRIM(INDEX(인턴근무계획!$E$3:$J$202,$A125,5)&amp;""))-1),TRIM(INDEX(인턴근무계획!$E$3:$J$202,$A125,5)&amp;""))))</f>
        <v/>
      </c>
      <c r="O125" s="19">
        <f>IF($C125="","",IF(TRIM(INDEX(인턴근무계획!$E$3:$J$202,$A125,6)&amp;"")="","",IFERROR(LEFT(TRIM(INDEX(인턴근무계획!$E$3:$J$202,$A125,6)&amp;""),FIND(" ",TRIM(INDEX(인턴근무계획!$E$3:$J$202,$A125,6)&amp;""))-1),TRIM(INDEX(인턴근무계획!$E$3:$J$202,$A125,6)&amp;""))))</f>
        <v/>
      </c>
      <c r="P125" s="19">
        <f>IF($C125="","",IF(INDEX(인턴근무계획!$K$3:$K$202,$A125)="","",INDEX(인턴근무계획!$K$3:$K$202,$A125)))</f>
        <v/>
      </c>
    </row>
    <row r="126">
      <c r="A126" s="18" t="n">
        <v>121</v>
      </c>
      <c r="B126" s="19">
        <f>IF($C126="","",INDEX(인턴근무계획!$B$3:$B$202,$A126))</f>
        <v/>
      </c>
      <c r="C126" s="19">
        <f>IFERROR(TRIM(INDEX(인턴근무계획!$C$3:$C$202,$A126)&amp;""),"")</f>
        <v/>
      </c>
      <c r="D126" s="19">
        <f>IF($C126="","",INDEX(인턴근무계획!$D$3:$D$202,$A126))</f>
        <v/>
      </c>
      <c r="E126" s="19">
        <f>IF($C126="","",IF(IFERROR(MATCH($D126,기본자료!$B$2:$B$501,0),IFERROR(MATCH($D126&amp;"",기본자료!$B$2:$B$501,0),IFERROR(MATCH(VALUE($D126),기본자료!$B$2:$B$501,0),0)))&gt;0,"확인","미등록"))</f>
        <v/>
      </c>
      <c r="F126" s="19">
        <f>IF(OR($C126="",$F$3=""),"",IF(TRIM(INDEX(인턴근무계획!$E$3:$J$202,$A126,$F$3)&amp;"")="","",IFERROR(LEFT(TRIM(INDEX(인턴근무계획!$E$3:$J$202,$A126,$F$3)&amp;""),FIND(" ",TRIM(INDEX(인턴근무계획!$E$3:$J$202,$A126,$F$3)&amp;""))-1),TRIM(INDEX(인턴근무계획!$E$3:$J$202,$A126,$F$3)&amp;""))))</f>
        <v/>
      </c>
      <c r="G126" s="19">
        <f>IF(OR($C126="",$F$3=""),"",IF(TRIM(INDEX(인턴근무계획!$E$3:$J$202,$A126,$F$3)&amp;"")="","",IFERROR(MID(TRIM(INDEX(인턴근무계획!$E$3:$J$202,$A126,$F$3)&amp;""),FIND(" ",TRIM(INDEX(인턴근무계획!$E$3:$J$202,$A126,$F$3)&amp;""))+1,60),"")))</f>
        <v/>
      </c>
      <c r="H126" s="19">
        <f>IF(OR($C126="",$H$3=""),"",IF(TRIM(INDEX(인턴근무계획!$E$3:$J$202,$A126,$H$3)&amp;"")="","",IFERROR(LEFT(TRIM(INDEX(인턴근무계획!$E$3:$J$202,$A126,$H$3)&amp;""),FIND(" ",TRIM(INDEX(인턴근무계획!$E$3:$J$202,$A126,$H$3)&amp;""))-1),TRIM(INDEX(인턴근무계획!$E$3:$J$202,$A126,$H$3)&amp;""))))</f>
        <v/>
      </c>
      <c r="I126" s="19">
        <f>IF(OR($C126="",$H$3=""),"",IF(TRIM(INDEX(인턴근무계획!$E$3:$J$202,$A126,$H$3)&amp;"")="","",IFERROR(MID(TRIM(INDEX(인턴근무계획!$E$3:$J$202,$A126,$H$3)&amp;""),FIND(" ",TRIM(INDEX(인턴근무계획!$E$3:$J$202,$A126,$H$3)&amp;""))+1,60),"")))</f>
        <v/>
      </c>
      <c r="J126" s="19">
        <f>IF($C126="","",IF(TRIM(INDEX(인턴근무계획!$E$3:$J$202,$A126,1)&amp;"")="","",IFERROR(LEFT(TRIM(INDEX(인턴근무계획!$E$3:$J$202,$A126,1)&amp;""),FIND(" ",TRIM(INDEX(인턴근무계획!$E$3:$J$202,$A126,1)&amp;""))-1),TRIM(INDEX(인턴근무계획!$E$3:$J$202,$A126,1)&amp;""))))</f>
        <v/>
      </c>
      <c r="K126" s="19">
        <f>IF($C126="","",IF(TRIM(INDEX(인턴근무계획!$E$3:$J$202,$A126,2)&amp;"")="","",IFERROR(LEFT(TRIM(INDEX(인턴근무계획!$E$3:$J$202,$A126,2)&amp;""),FIND(" ",TRIM(INDEX(인턴근무계획!$E$3:$J$202,$A126,2)&amp;""))-1),TRIM(INDEX(인턴근무계획!$E$3:$J$202,$A126,2)&amp;""))))</f>
        <v/>
      </c>
      <c r="L126" s="19">
        <f>IF($C126="","",IF(TRIM(INDEX(인턴근무계획!$E$3:$J$202,$A126,3)&amp;"")="","",IFERROR(LEFT(TRIM(INDEX(인턴근무계획!$E$3:$J$202,$A126,3)&amp;""),FIND(" ",TRIM(INDEX(인턴근무계획!$E$3:$J$202,$A126,3)&amp;""))-1),TRIM(INDEX(인턴근무계획!$E$3:$J$202,$A126,3)&amp;""))))</f>
        <v/>
      </c>
      <c r="M126" s="19">
        <f>IF($C126="","",IF(TRIM(INDEX(인턴근무계획!$E$3:$J$202,$A126,4)&amp;"")="","",IFERROR(LEFT(TRIM(INDEX(인턴근무계획!$E$3:$J$202,$A126,4)&amp;""),FIND(" ",TRIM(INDEX(인턴근무계획!$E$3:$J$202,$A126,4)&amp;""))-1),TRIM(INDEX(인턴근무계획!$E$3:$J$202,$A126,4)&amp;""))))</f>
        <v/>
      </c>
      <c r="N126" s="19">
        <f>IF($C126="","",IF(TRIM(INDEX(인턴근무계획!$E$3:$J$202,$A126,5)&amp;"")="","",IFERROR(LEFT(TRIM(INDEX(인턴근무계획!$E$3:$J$202,$A126,5)&amp;""),FIND(" ",TRIM(INDEX(인턴근무계획!$E$3:$J$202,$A126,5)&amp;""))-1),TRIM(INDEX(인턴근무계획!$E$3:$J$202,$A126,5)&amp;""))))</f>
        <v/>
      </c>
      <c r="O126" s="19">
        <f>IF($C126="","",IF(TRIM(INDEX(인턴근무계획!$E$3:$J$202,$A126,6)&amp;"")="","",IFERROR(LEFT(TRIM(INDEX(인턴근무계획!$E$3:$J$202,$A126,6)&amp;""),FIND(" ",TRIM(INDEX(인턴근무계획!$E$3:$J$202,$A126,6)&amp;""))-1),TRIM(INDEX(인턴근무계획!$E$3:$J$202,$A126,6)&amp;""))))</f>
        <v/>
      </c>
      <c r="P126" s="19">
        <f>IF($C126="","",IF(INDEX(인턴근무계획!$K$3:$K$202,$A126)="","",INDEX(인턴근무계획!$K$3:$K$202,$A126)))</f>
        <v/>
      </c>
    </row>
    <row r="127">
      <c r="A127" s="18" t="n">
        <v>122</v>
      </c>
      <c r="B127" s="19">
        <f>IF($C127="","",INDEX(인턴근무계획!$B$3:$B$202,$A127))</f>
        <v/>
      </c>
      <c r="C127" s="19">
        <f>IFERROR(TRIM(INDEX(인턴근무계획!$C$3:$C$202,$A127)&amp;""),"")</f>
        <v/>
      </c>
      <c r="D127" s="19">
        <f>IF($C127="","",INDEX(인턴근무계획!$D$3:$D$202,$A127))</f>
        <v/>
      </c>
      <c r="E127" s="19">
        <f>IF($C127="","",IF(IFERROR(MATCH($D127,기본자료!$B$2:$B$501,0),IFERROR(MATCH($D127&amp;"",기본자료!$B$2:$B$501,0),IFERROR(MATCH(VALUE($D127),기본자료!$B$2:$B$501,0),0)))&gt;0,"확인","미등록"))</f>
        <v/>
      </c>
      <c r="F127" s="19">
        <f>IF(OR($C127="",$F$3=""),"",IF(TRIM(INDEX(인턴근무계획!$E$3:$J$202,$A127,$F$3)&amp;"")="","",IFERROR(LEFT(TRIM(INDEX(인턴근무계획!$E$3:$J$202,$A127,$F$3)&amp;""),FIND(" ",TRIM(INDEX(인턴근무계획!$E$3:$J$202,$A127,$F$3)&amp;""))-1),TRIM(INDEX(인턴근무계획!$E$3:$J$202,$A127,$F$3)&amp;""))))</f>
        <v/>
      </c>
      <c r="G127" s="19">
        <f>IF(OR($C127="",$F$3=""),"",IF(TRIM(INDEX(인턴근무계획!$E$3:$J$202,$A127,$F$3)&amp;"")="","",IFERROR(MID(TRIM(INDEX(인턴근무계획!$E$3:$J$202,$A127,$F$3)&amp;""),FIND(" ",TRIM(INDEX(인턴근무계획!$E$3:$J$202,$A127,$F$3)&amp;""))+1,60),"")))</f>
        <v/>
      </c>
      <c r="H127" s="19">
        <f>IF(OR($C127="",$H$3=""),"",IF(TRIM(INDEX(인턴근무계획!$E$3:$J$202,$A127,$H$3)&amp;"")="","",IFERROR(LEFT(TRIM(INDEX(인턴근무계획!$E$3:$J$202,$A127,$H$3)&amp;""),FIND(" ",TRIM(INDEX(인턴근무계획!$E$3:$J$202,$A127,$H$3)&amp;""))-1),TRIM(INDEX(인턴근무계획!$E$3:$J$202,$A127,$H$3)&amp;""))))</f>
        <v/>
      </c>
      <c r="I127" s="19">
        <f>IF(OR($C127="",$H$3=""),"",IF(TRIM(INDEX(인턴근무계획!$E$3:$J$202,$A127,$H$3)&amp;"")="","",IFERROR(MID(TRIM(INDEX(인턴근무계획!$E$3:$J$202,$A127,$H$3)&amp;""),FIND(" ",TRIM(INDEX(인턴근무계획!$E$3:$J$202,$A127,$H$3)&amp;""))+1,60),"")))</f>
        <v/>
      </c>
      <c r="J127" s="19">
        <f>IF($C127="","",IF(TRIM(INDEX(인턴근무계획!$E$3:$J$202,$A127,1)&amp;"")="","",IFERROR(LEFT(TRIM(INDEX(인턴근무계획!$E$3:$J$202,$A127,1)&amp;""),FIND(" ",TRIM(INDEX(인턴근무계획!$E$3:$J$202,$A127,1)&amp;""))-1),TRIM(INDEX(인턴근무계획!$E$3:$J$202,$A127,1)&amp;""))))</f>
        <v/>
      </c>
      <c r="K127" s="19">
        <f>IF($C127="","",IF(TRIM(INDEX(인턴근무계획!$E$3:$J$202,$A127,2)&amp;"")="","",IFERROR(LEFT(TRIM(INDEX(인턴근무계획!$E$3:$J$202,$A127,2)&amp;""),FIND(" ",TRIM(INDEX(인턴근무계획!$E$3:$J$202,$A127,2)&amp;""))-1),TRIM(INDEX(인턴근무계획!$E$3:$J$202,$A127,2)&amp;""))))</f>
        <v/>
      </c>
      <c r="L127" s="19">
        <f>IF($C127="","",IF(TRIM(INDEX(인턴근무계획!$E$3:$J$202,$A127,3)&amp;"")="","",IFERROR(LEFT(TRIM(INDEX(인턴근무계획!$E$3:$J$202,$A127,3)&amp;""),FIND(" ",TRIM(INDEX(인턴근무계획!$E$3:$J$202,$A127,3)&amp;""))-1),TRIM(INDEX(인턴근무계획!$E$3:$J$202,$A127,3)&amp;""))))</f>
        <v/>
      </c>
      <c r="M127" s="19">
        <f>IF($C127="","",IF(TRIM(INDEX(인턴근무계획!$E$3:$J$202,$A127,4)&amp;"")="","",IFERROR(LEFT(TRIM(INDEX(인턴근무계획!$E$3:$J$202,$A127,4)&amp;""),FIND(" ",TRIM(INDEX(인턴근무계획!$E$3:$J$202,$A127,4)&amp;""))-1),TRIM(INDEX(인턴근무계획!$E$3:$J$202,$A127,4)&amp;""))))</f>
        <v/>
      </c>
      <c r="N127" s="19">
        <f>IF($C127="","",IF(TRIM(INDEX(인턴근무계획!$E$3:$J$202,$A127,5)&amp;"")="","",IFERROR(LEFT(TRIM(INDEX(인턴근무계획!$E$3:$J$202,$A127,5)&amp;""),FIND(" ",TRIM(INDEX(인턴근무계획!$E$3:$J$202,$A127,5)&amp;""))-1),TRIM(INDEX(인턴근무계획!$E$3:$J$202,$A127,5)&amp;""))))</f>
        <v/>
      </c>
      <c r="O127" s="19">
        <f>IF($C127="","",IF(TRIM(INDEX(인턴근무계획!$E$3:$J$202,$A127,6)&amp;"")="","",IFERROR(LEFT(TRIM(INDEX(인턴근무계획!$E$3:$J$202,$A127,6)&amp;""),FIND(" ",TRIM(INDEX(인턴근무계획!$E$3:$J$202,$A127,6)&amp;""))-1),TRIM(INDEX(인턴근무계획!$E$3:$J$202,$A127,6)&amp;""))))</f>
        <v/>
      </c>
      <c r="P127" s="19">
        <f>IF($C127="","",IF(INDEX(인턴근무계획!$K$3:$K$202,$A127)="","",INDEX(인턴근무계획!$K$3:$K$202,$A127)))</f>
        <v/>
      </c>
    </row>
    <row r="128">
      <c r="A128" s="18" t="n">
        <v>123</v>
      </c>
      <c r="B128" s="19">
        <f>IF($C128="","",INDEX(인턴근무계획!$B$3:$B$202,$A128))</f>
        <v/>
      </c>
      <c r="C128" s="19">
        <f>IFERROR(TRIM(INDEX(인턴근무계획!$C$3:$C$202,$A128)&amp;""),"")</f>
        <v/>
      </c>
      <c r="D128" s="19">
        <f>IF($C128="","",INDEX(인턴근무계획!$D$3:$D$202,$A128))</f>
        <v/>
      </c>
      <c r="E128" s="19">
        <f>IF($C128="","",IF(IFERROR(MATCH($D128,기본자료!$B$2:$B$501,0),IFERROR(MATCH($D128&amp;"",기본자료!$B$2:$B$501,0),IFERROR(MATCH(VALUE($D128),기본자료!$B$2:$B$501,0),0)))&gt;0,"확인","미등록"))</f>
        <v/>
      </c>
      <c r="F128" s="19">
        <f>IF(OR($C128="",$F$3=""),"",IF(TRIM(INDEX(인턴근무계획!$E$3:$J$202,$A128,$F$3)&amp;"")="","",IFERROR(LEFT(TRIM(INDEX(인턴근무계획!$E$3:$J$202,$A128,$F$3)&amp;""),FIND(" ",TRIM(INDEX(인턴근무계획!$E$3:$J$202,$A128,$F$3)&amp;""))-1),TRIM(INDEX(인턴근무계획!$E$3:$J$202,$A128,$F$3)&amp;""))))</f>
        <v/>
      </c>
      <c r="G128" s="19">
        <f>IF(OR($C128="",$F$3=""),"",IF(TRIM(INDEX(인턴근무계획!$E$3:$J$202,$A128,$F$3)&amp;"")="","",IFERROR(MID(TRIM(INDEX(인턴근무계획!$E$3:$J$202,$A128,$F$3)&amp;""),FIND(" ",TRIM(INDEX(인턴근무계획!$E$3:$J$202,$A128,$F$3)&amp;""))+1,60),"")))</f>
        <v/>
      </c>
      <c r="H128" s="19">
        <f>IF(OR($C128="",$H$3=""),"",IF(TRIM(INDEX(인턴근무계획!$E$3:$J$202,$A128,$H$3)&amp;"")="","",IFERROR(LEFT(TRIM(INDEX(인턴근무계획!$E$3:$J$202,$A128,$H$3)&amp;""),FIND(" ",TRIM(INDEX(인턴근무계획!$E$3:$J$202,$A128,$H$3)&amp;""))-1),TRIM(INDEX(인턴근무계획!$E$3:$J$202,$A128,$H$3)&amp;""))))</f>
        <v/>
      </c>
      <c r="I128" s="19">
        <f>IF(OR($C128="",$H$3=""),"",IF(TRIM(INDEX(인턴근무계획!$E$3:$J$202,$A128,$H$3)&amp;"")="","",IFERROR(MID(TRIM(INDEX(인턴근무계획!$E$3:$J$202,$A128,$H$3)&amp;""),FIND(" ",TRIM(INDEX(인턴근무계획!$E$3:$J$202,$A128,$H$3)&amp;""))+1,60),"")))</f>
        <v/>
      </c>
      <c r="J128" s="19">
        <f>IF($C128="","",IF(TRIM(INDEX(인턴근무계획!$E$3:$J$202,$A128,1)&amp;"")="","",IFERROR(LEFT(TRIM(INDEX(인턴근무계획!$E$3:$J$202,$A128,1)&amp;""),FIND(" ",TRIM(INDEX(인턴근무계획!$E$3:$J$202,$A128,1)&amp;""))-1),TRIM(INDEX(인턴근무계획!$E$3:$J$202,$A128,1)&amp;""))))</f>
        <v/>
      </c>
      <c r="K128" s="19">
        <f>IF($C128="","",IF(TRIM(INDEX(인턴근무계획!$E$3:$J$202,$A128,2)&amp;"")="","",IFERROR(LEFT(TRIM(INDEX(인턴근무계획!$E$3:$J$202,$A128,2)&amp;""),FIND(" ",TRIM(INDEX(인턴근무계획!$E$3:$J$202,$A128,2)&amp;""))-1),TRIM(INDEX(인턴근무계획!$E$3:$J$202,$A128,2)&amp;""))))</f>
        <v/>
      </c>
      <c r="L128" s="19">
        <f>IF($C128="","",IF(TRIM(INDEX(인턴근무계획!$E$3:$J$202,$A128,3)&amp;"")="","",IFERROR(LEFT(TRIM(INDEX(인턴근무계획!$E$3:$J$202,$A128,3)&amp;""),FIND(" ",TRIM(INDEX(인턴근무계획!$E$3:$J$202,$A128,3)&amp;""))-1),TRIM(INDEX(인턴근무계획!$E$3:$J$202,$A128,3)&amp;""))))</f>
        <v/>
      </c>
      <c r="M128" s="19">
        <f>IF($C128="","",IF(TRIM(INDEX(인턴근무계획!$E$3:$J$202,$A128,4)&amp;"")="","",IFERROR(LEFT(TRIM(INDEX(인턴근무계획!$E$3:$J$202,$A128,4)&amp;""),FIND(" ",TRIM(INDEX(인턴근무계획!$E$3:$J$202,$A128,4)&amp;""))-1),TRIM(INDEX(인턴근무계획!$E$3:$J$202,$A128,4)&amp;""))))</f>
        <v/>
      </c>
      <c r="N128" s="19">
        <f>IF($C128="","",IF(TRIM(INDEX(인턴근무계획!$E$3:$J$202,$A128,5)&amp;"")="","",IFERROR(LEFT(TRIM(INDEX(인턴근무계획!$E$3:$J$202,$A128,5)&amp;""),FIND(" ",TRIM(INDEX(인턴근무계획!$E$3:$J$202,$A128,5)&amp;""))-1),TRIM(INDEX(인턴근무계획!$E$3:$J$202,$A128,5)&amp;""))))</f>
        <v/>
      </c>
      <c r="O128" s="19">
        <f>IF($C128="","",IF(TRIM(INDEX(인턴근무계획!$E$3:$J$202,$A128,6)&amp;"")="","",IFERROR(LEFT(TRIM(INDEX(인턴근무계획!$E$3:$J$202,$A128,6)&amp;""),FIND(" ",TRIM(INDEX(인턴근무계획!$E$3:$J$202,$A128,6)&amp;""))-1),TRIM(INDEX(인턴근무계획!$E$3:$J$202,$A128,6)&amp;""))))</f>
        <v/>
      </c>
      <c r="P128" s="19">
        <f>IF($C128="","",IF(INDEX(인턴근무계획!$K$3:$K$202,$A128)="","",INDEX(인턴근무계획!$K$3:$K$202,$A128)))</f>
        <v/>
      </c>
    </row>
    <row r="129">
      <c r="A129" s="18" t="n">
        <v>124</v>
      </c>
      <c r="B129" s="19">
        <f>IF($C129="","",INDEX(인턴근무계획!$B$3:$B$202,$A129))</f>
        <v/>
      </c>
      <c r="C129" s="19">
        <f>IFERROR(TRIM(INDEX(인턴근무계획!$C$3:$C$202,$A129)&amp;""),"")</f>
        <v/>
      </c>
      <c r="D129" s="19">
        <f>IF($C129="","",INDEX(인턴근무계획!$D$3:$D$202,$A129))</f>
        <v/>
      </c>
      <c r="E129" s="19">
        <f>IF($C129="","",IF(IFERROR(MATCH($D129,기본자료!$B$2:$B$501,0),IFERROR(MATCH($D129&amp;"",기본자료!$B$2:$B$501,0),IFERROR(MATCH(VALUE($D129),기본자료!$B$2:$B$501,0),0)))&gt;0,"확인","미등록"))</f>
        <v/>
      </c>
      <c r="F129" s="19">
        <f>IF(OR($C129="",$F$3=""),"",IF(TRIM(INDEX(인턴근무계획!$E$3:$J$202,$A129,$F$3)&amp;"")="","",IFERROR(LEFT(TRIM(INDEX(인턴근무계획!$E$3:$J$202,$A129,$F$3)&amp;""),FIND(" ",TRIM(INDEX(인턴근무계획!$E$3:$J$202,$A129,$F$3)&amp;""))-1),TRIM(INDEX(인턴근무계획!$E$3:$J$202,$A129,$F$3)&amp;""))))</f>
        <v/>
      </c>
      <c r="G129" s="19">
        <f>IF(OR($C129="",$F$3=""),"",IF(TRIM(INDEX(인턴근무계획!$E$3:$J$202,$A129,$F$3)&amp;"")="","",IFERROR(MID(TRIM(INDEX(인턴근무계획!$E$3:$J$202,$A129,$F$3)&amp;""),FIND(" ",TRIM(INDEX(인턴근무계획!$E$3:$J$202,$A129,$F$3)&amp;""))+1,60),"")))</f>
        <v/>
      </c>
      <c r="H129" s="19">
        <f>IF(OR($C129="",$H$3=""),"",IF(TRIM(INDEX(인턴근무계획!$E$3:$J$202,$A129,$H$3)&amp;"")="","",IFERROR(LEFT(TRIM(INDEX(인턴근무계획!$E$3:$J$202,$A129,$H$3)&amp;""),FIND(" ",TRIM(INDEX(인턴근무계획!$E$3:$J$202,$A129,$H$3)&amp;""))-1),TRIM(INDEX(인턴근무계획!$E$3:$J$202,$A129,$H$3)&amp;""))))</f>
        <v/>
      </c>
      <c r="I129" s="19">
        <f>IF(OR($C129="",$H$3=""),"",IF(TRIM(INDEX(인턴근무계획!$E$3:$J$202,$A129,$H$3)&amp;"")="","",IFERROR(MID(TRIM(INDEX(인턴근무계획!$E$3:$J$202,$A129,$H$3)&amp;""),FIND(" ",TRIM(INDEX(인턴근무계획!$E$3:$J$202,$A129,$H$3)&amp;""))+1,60),"")))</f>
        <v/>
      </c>
      <c r="J129" s="19">
        <f>IF($C129="","",IF(TRIM(INDEX(인턴근무계획!$E$3:$J$202,$A129,1)&amp;"")="","",IFERROR(LEFT(TRIM(INDEX(인턴근무계획!$E$3:$J$202,$A129,1)&amp;""),FIND(" ",TRIM(INDEX(인턴근무계획!$E$3:$J$202,$A129,1)&amp;""))-1),TRIM(INDEX(인턴근무계획!$E$3:$J$202,$A129,1)&amp;""))))</f>
        <v/>
      </c>
      <c r="K129" s="19">
        <f>IF($C129="","",IF(TRIM(INDEX(인턴근무계획!$E$3:$J$202,$A129,2)&amp;"")="","",IFERROR(LEFT(TRIM(INDEX(인턴근무계획!$E$3:$J$202,$A129,2)&amp;""),FIND(" ",TRIM(INDEX(인턴근무계획!$E$3:$J$202,$A129,2)&amp;""))-1),TRIM(INDEX(인턴근무계획!$E$3:$J$202,$A129,2)&amp;""))))</f>
        <v/>
      </c>
      <c r="L129" s="19">
        <f>IF($C129="","",IF(TRIM(INDEX(인턴근무계획!$E$3:$J$202,$A129,3)&amp;"")="","",IFERROR(LEFT(TRIM(INDEX(인턴근무계획!$E$3:$J$202,$A129,3)&amp;""),FIND(" ",TRIM(INDEX(인턴근무계획!$E$3:$J$202,$A129,3)&amp;""))-1),TRIM(INDEX(인턴근무계획!$E$3:$J$202,$A129,3)&amp;""))))</f>
        <v/>
      </c>
      <c r="M129" s="19">
        <f>IF($C129="","",IF(TRIM(INDEX(인턴근무계획!$E$3:$J$202,$A129,4)&amp;"")="","",IFERROR(LEFT(TRIM(INDEX(인턴근무계획!$E$3:$J$202,$A129,4)&amp;""),FIND(" ",TRIM(INDEX(인턴근무계획!$E$3:$J$202,$A129,4)&amp;""))-1),TRIM(INDEX(인턴근무계획!$E$3:$J$202,$A129,4)&amp;""))))</f>
        <v/>
      </c>
      <c r="N129" s="19">
        <f>IF($C129="","",IF(TRIM(INDEX(인턴근무계획!$E$3:$J$202,$A129,5)&amp;"")="","",IFERROR(LEFT(TRIM(INDEX(인턴근무계획!$E$3:$J$202,$A129,5)&amp;""),FIND(" ",TRIM(INDEX(인턴근무계획!$E$3:$J$202,$A129,5)&amp;""))-1),TRIM(INDEX(인턴근무계획!$E$3:$J$202,$A129,5)&amp;""))))</f>
        <v/>
      </c>
      <c r="O129" s="19">
        <f>IF($C129="","",IF(TRIM(INDEX(인턴근무계획!$E$3:$J$202,$A129,6)&amp;"")="","",IFERROR(LEFT(TRIM(INDEX(인턴근무계획!$E$3:$J$202,$A129,6)&amp;""),FIND(" ",TRIM(INDEX(인턴근무계획!$E$3:$J$202,$A129,6)&amp;""))-1),TRIM(INDEX(인턴근무계획!$E$3:$J$202,$A129,6)&amp;""))))</f>
        <v/>
      </c>
      <c r="P129" s="19">
        <f>IF($C129="","",IF(INDEX(인턴근무계획!$K$3:$K$202,$A129)="","",INDEX(인턴근무계획!$K$3:$K$202,$A129)))</f>
        <v/>
      </c>
    </row>
    <row r="130">
      <c r="A130" s="18" t="n">
        <v>125</v>
      </c>
      <c r="B130" s="19">
        <f>IF($C130="","",INDEX(인턴근무계획!$B$3:$B$202,$A130))</f>
        <v/>
      </c>
      <c r="C130" s="19">
        <f>IFERROR(TRIM(INDEX(인턴근무계획!$C$3:$C$202,$A130)&amp;""),"")</f>
        <v/>
      </c>
      <c r="D130" s="19">
        <f>IF($C130="","",INDEX(인턴근무계획!$D$3:$D$202,$A130))</f>
        <v/>
      </c>
      <c r="E130" s="19">
        <f>IF($C130="","",IF(IFERROR(MATCH($D130,기본자료!$B$2:$B$501,0),IFERROR(MATCH($D130&amp;"",기본자료!$B$2:$B$501,0),IFERROR(MATCH(VALUE($D130),기본자료!$B$2:$B$501,0),0)))&gt;0,"확인","미등록"))</f>
        <v/>
      </c>
      <c r="F130" s="19">
        <f>IF(OR($C130="",$F$3=""),"",IF(TRIM(INDEX(인턴근무계획!$E$3:$J$202,$A130,$F$3)&amp;"")="","",IFERROR(LEFT(TRIM(INDEX(인턴근무계획!$E$3:$J$202,$A130,$F$3)&amp;""),FIND(" ",TRIM(INDEX(인턴근무계획!$E$3:$J$202,$A130,$F$3)&amp;""))-1),TRIM(INDEX(인턴근무계획!$E$3:$J$202,$A130,$F$3)&amp;""))))</f>
        <v/>
      </c>
      <c r="G130" s="19">
        <f>IF(OR($C130="",$F$3=""),"",IF(TRIM(INDEX(인턴근무계획!$E$3:$J$202,$A130,$F$3)&amp;"")="","",IFERROR(MID(TRIM(INDEX(인턴근무계획!$E$3:$J$202,$A130,$F$3)&amp;""),FIND(" ",TRIM(INDEX(인턴근무계획!$E$3:$J$202,$A130,$F$3)&amp;""))+1,60),"")))</f>
        <v/>
      </c>
      <c r="H130" s="19">
        <f>IF(OR($C130="",$H$3=""),"",IF(TRIM(INDEX(인턴근무계획!$E$3:$J$202,$A130,$H$3)&amp;"")="","",IFERROR(LEFT(TRIM(INDEX(인턴근무계획!$E$3:$J$202,$A130,$H$3)&amp;""),FIND(" ",TRIM(INDEX(인턴근무계획!$E$3:$J$202,$A130,$H$3)&amp;""))-1),TRIM(INDEX(인턴근무계획!$E$3:$J$202,$A130,$H$3)&amp;""))))</f>
        <v/>
      </c>
      <c r="I130" s="19">
        <f>IF(OR($C130="",$H$3=""),"",IF(TRIM(INDEX(인턴근무계획!$E$3:$J$202,$A130,$H$3)&amp;"")="","",IFERROR(MID(TRIM(INDEX(인턴근무계획!$E$3:$J$202,$A130,$H$3)&amp;""),FIND(" ",TRIM(INDEX(인턴근무계획!$E$3:$J$202,$A130,$H$3)&amp;""))+1,60),"")))</f>
        <v/>
      </c>
      <c r="J130" s="19">
        <f>IF($C130="","",IF(TRIM(INDEX(인턴근무계획!$E$3:$J$202,$A130,1)&amp;"")="","",IFERROR(LEFT(TRIM(INDEX(인턴근무계획!$E$3:$J$202,$A130,1)&amp;""),FIND(" ",TRIM(INDEX(인턴근무계획!$E$3:$J$202,$A130,1)&amp;""))-1),TRIM(INDEX(인턴근무계획!$E$3:$J$202,$A130,1)&amp;""))))</f>
        <v/>
      </c>
      <c r="K130" s="19">
        <f>IF($C130="","",IF(TRIM(INDEX(인턴근무계획!$E$3:$J$202,$A130,2)&amp;"")="","",IFERROR(LEFT(TRIM(INDEX(인턴근무계획!$E$3:$J$202,$A130,2)&amp;""),FIND(" ",TRIM(INDEX(인턴근무계획!$E$3:$J$202,$A130,2)&amp;""))-1),TRIM(INDEX(인턴근무계획!$E$3:$J$202,$A130,2)&amp;""))))</f>
        <v/>
      </c>
      <c r="L130" s="19">
        <f>IF($C130="","",IF(TRIM(INDEX(인턴근무계획!$E$3:$J$202,$A130,3)&amp;"")="","",IFERROR(LEFT(TRIM(INDEX(인턴근무계획!$E$3:$J$202,$A130,3)&amp;""),FIND(" ",TRIM(INDEX(인턴근무계획!$E$3:$J$202,$A130,3)&amp;""))-1),TRIM(INDEX(인턴근무계획!$E$3:$J$202,$A130,3)&amp;""))))</f>
        <v/>
      </c>
      <c r="M130" s="19">
        <f>IF($C130="","",IF(TRIM(INDEX(인턴근무계획!$E$3:$J$202,$A130,4)&amp;"")="","",IFERROR(LEFT(TRIM(INDEX(인턴근무계획!$E$3:$J$202,$A130,4)&amp;""),FIND(" ",TRIM(INDEX(인턴근무계획!$E$3:$J$202,$A130,4)&amp;""))-1),TRIM(INDEX(인턴근무계획!$E$3:$J$202,$A130,4)&amp;""))))</f>
        <v/>
      </c>
      <c r="N130" s="19">
        <f>IF($C130="","",IF(TRIM(INDEX(인턴근무계획!$E$3:$J$202,$A130,5)&amp;"")="","",IFERROR(LEFT(TRIM(INDEX(인턴근무계획!$E$3:$J$202,$A130,5)&amp;""),FIND(" ",TRIM(INDEX(인턴근무계획!$E$3:$J$202,$A130,5)&amp;""))-1),TRIM(INDEX(인턴근무계획!$E$3:$J$202,$A130,5)&amp;""))))</f>
        <v/>
      </c>
      <c r="O130" s="19">
        <f>IF($C130="","",IF(TRIM(INDEX(인턴근무계획!$E$3:$J$202,$A130,6)&amp;"")="","",IFERROR(LEFT(TRIM(INDEX(인턴근무계획!$E$3:$J$202,$A130,6)&amp;""),FIND(" ",TRIM(INDEX(인턴근무계획!$E$3:$J$202,$A130,6)&amp;""))-1),TRIM(INDEX(인턴근무계획!$E$3:$J$202,$A130,6)&amp;""))))</f>
        <v/>
      </c>
      <c r="P130" s="19">
        <f>IF($C130="","",IF(INDEX(인턴근무계획!$K$3:$K$202,$A130)="","",INDEX(인턴근무계획!$K$3:$K$202,$A130)))</f>
        <v/>
      </c>
    </row>
    <row r="131">
      <c r="A131" s="18" t="n">
        <v>126</v>
      </c>
      <c r="B131" s="19">
        <f>IF($C131="","",INDEX(인턴근무계획!$B$3:$B$202,$A131))</f>
        <v/>
      </c>
      <c r="C131" s="19">
        <f>IFERROR(TRIM(INDEX(인턴근무계획!$C$3:$C$202,$A131)&amp;""),"")</f>
        <v/>
      </c>
      <c r="D131" s="19">
        <f>IF($C131="","",INDEX(인턴근무계획!$D$3:$D$202,$A131))</f>
        <v/>
      </c>
      <c r="E131" s="19">
        <f>IF($C131="","",IF(IFERROR(MATCH($D131,기본자료!$B$2:$B$501,0),IFERROR(MATCH($D131&amp;"",기본자료!$B$2:$B$501,0),IFERROR(MATCH(VALUE($D131),기본자료!$B$2:$B$501,0),0)))&gt;0,"확인","미등록"))</f>
        <v/>
      </c>
      <c r="F131" s="19">
        <f>IF(OR($C131="",$F$3=""),"",IF(TRIM(INDEX(인턴근무계획!$E$3:$J$202,$A131,$F$3)&amp;"")="","",IFERROR(LEFT(TRIM(INDEX(인턴근무계획!$E$3:$J$202,$A131,$F$3)&amp;""),FIND(" ",TRIM(INDEX(인턴근무계획!$E$3:$J$202,$A131,$F$3)&amp;""))-1),TRIM(INDEX(인턴근무계획!$E$3:$J$202,$A131,$F$3)&amp;""))))</f>
        <v/>
      </c>
      <c r="G131" s="19">
        <f>IF(OR($C131="",$F$3=""),"",IF(TRIM(INDEX(인턴근무계획!$E$3:$J$202,$A131,$F$3)&amp;"")="","",IFERROR(MID(TRIM(INDEX(인턴근무계획!$E$3:$J$202,$A131,$F$3)&amp;""),FIND(" ",TRIM(INDEX(인턴근무계획!$E$3:$J$202,$A131,$F$3)&amp;""))+1,60),"")))</f>
        <v/>
      </c>
      <c r="H131" s="19">
        <f>IF(OR($C131="",$H$3=""),"",IF(TRIM(INDEX(인턴근무계획!$E$3:$J$202,$A131,$H$3)&amp;"")="","",IFERROR(LEFT(TRIM(INDEX(인턴근무계획!$E$3:$J$202,$A131,$H$3)&amp;""),FIND(" ",TRIM(INDEX(인턴근무계획!$E$3:$J$202,$A131,$H$3)&amp;""))-1),TRIM(INDEX(인턴근무계획!$E$3:$J$202,$A131,$H$3)&amp;""))))</f>
        <v/>
      </c>
      <c r="I131" s="19">
        <f>IF(OR($C131="",$H$3=""),"",IF(TRIM(INDEX(인턴근무계획!$E$3:$J$202,$A131,$H$3)&amp;"")="","",IFERROR(MID(TRIM(INDEX(인턴근무계획!$E$3:$J$202,$A131,$H$3)&amp;""),FIND(" ",TRIM(INDEX(인턴근무계획!$E$3:$J$202,$A131,$H$3)&amp;""))+1,60),"")))</f>
        <v/>
      </c>
      <c r="J131" s="19">
        <f>IF($C131="","",IF(TRIM(INDEX(인턴근무계획!$E$3:$J$202,$A131,1)&amp;"")="","",IFERROR(LEFT(TRIM(INDEX(인턴근무계획!$E$3:$J$202,$A131,1)&amp;""),FIND(" ",TRIM(INDEX(인턴근무계획!$E$3:$J$202,$A131,1)&amp;""))-1),TRIM(INDEX(인턴근무계획!$E$3:$J$202,$A131,1)&amp;""))))</f>
        <v/>
      </c>
      <c r="K131" s="19">
        <f>IF($C131="","",IF(TRIM(INDEX(인턴근무계획!$E$3:$J$202,$A131,2)&amp;"")="","",IFERROR(LEFT(TRIM(INDEX(인턴근무계획!$E$3:$J$202,$A131,2)&amp;""),FIND(" ",TRIM(INDEX(인턴근무계획!$E$3:$J$202,$A131,2)&amp;""))-1),TRIM(INDEX(인턴근무계획!$E$3:$J$202,$A131,2)&amp;""))))</f>
        <v/>
      </c>
      <c r="L131" s="19">
        <f>IF($C131="","",IF(TRIM(INDEX(인턴근무계획!$E$3:$J$202,$A131,3)&amp;"")="","",IFERROR(LEFT(TRIM(INDEX(인턴근무계획!$E$3:$J$202,$A131,3)&amp;""),FIND(" ",TRIM(INDEX(인턴근무계획!$E$3:$J$202,$A131,3)&amp;""))-1),TRIM(INDEX(인턴근무계획!$E$3:$J$202,$A131,3)&amp;""))))</f>
        <v/>
      </c>
      <c r="M131" s="19">
        <f>IF($C131="","",IF(TRIM(INDEX(인턴근무계획!$E$3:$J$202,$A131,4)&amp;"")="","",IFERROR(LEFT(TRIM(INDEX(인턴근무계획!$E$3:$J$202,$A131,4)&amp;""),FIND(" ",TRIM(INDEX(인턴근무계획!$E$3:$J$202,$A131,4)&amp;""))-1),TRIM(INDEX(인턴근무계획!$E$3:$J$202,$A131,4)&amp;""))))</f>
        <v/>
      </c>
      <c r="N131" s="19">
        <f>IF($C131="","",IF(TRIM(INDEX(인턴근무계획!$E$3:$J$202,$A131,5)&amp;"")="","",IFERROR(LEFT(TRIM(INDEX(인턴근무계획!$E$3:$J$202,$A131,5)&amp;""),FIND(" ",TRIM(INDEX(인턴근무계획!$E$3:$J$202,$A131,5)&amp;""))-1),TRIM(INDEX(인턴근무계획!$E$3:$J$202,$A131,5)&amp;""))))</f>
        <v/>
      </c>
      <c r="O131" s="19">
        <f>IF($C131="","",IF(TRIM(INDEX(인턴근무계획!$E$3:$J$202,$A131,6)&amp;"")="","",IFERROR(LEFT(TRIM(INDEX(인턴근무계획!$E$3:$J$202,$A131,6)&amp;""),FIND(" ",TRIM(INDEX(인턴근무계획!$E$3:$J$202,$A131,6)&amp;""))-1),TRIM(INDEX(인턴근무계획!$E$3:$J$202,$A131,6)&amp;""))))</f>
        <v/>
      </c>
      <c r="P131" s="19">
        <f>IF($C131="","",IF(INDEX(인턴근무계획!$K$3:$K$202,$A131)="","",INDEX(인턴근무계획!$K$3:$K$202,$A131)))</f>
        <v/>
      </c>
    </row>
    <row r="132">
      <c r="A132" s="18" t="n">
        <v>127</v>
      </c>
      <c r="B132" s="19">
        <f>IF($C132="","",INDEX(인턴근무계획!$B$3:$B$202,$A132))</f>
        <v/>
      </c>
      <c r="C132" s="19">
        <f>IFERROR(TRIM(INDEX(인턴근무계획!$C$3:$C$202,$A132)&amp;""),"")</f>
        <v/>
      </c>
      <c r="D132" s="19">
        <f>IF($C132="","",INDEX(인턴근무계획!$D$3:$D$202,$A132))</f>
        <v/>
      </c>
      <c r="E132" s="19">
        <f>IF($C132="","",IF(IFERROR(MATCH($D132,기본자료!$B$2:$B$501,0),IFERROR(MATCH($D132&amp;"",기본자료!$B$2:$B$501,0),IFERROR(MATCH(VALUE($D132),기본자료!$B$2:$B$501,0),0)))&gt;0,"확인","미등록"))</f>
        <v/>
      </c>
      <c r="F132" s="19">
        <f>IF(OR($C132="",$F$3=""),"",IF(TRIM(INDEX(인턴근무계획!$E$3:$J$202,$A132,$F$3)&amp;"")="","",IFERROR(LEFT(TRIM(INDEX(인턴근무계획!$E$3:$J$202,$A132,$F$3)&amp;""),FIND(" ",TRIM(INDEX(인턴근무계획!$E$3:$J$202,$A132,$F$3)&amp;""))-1),TRIM(INDEX(인턴근무계획!$E$3:$J$202,$A132,$F$3)&amp;""))))</f>
        <v/>
      </c>
      <c r="G132" s="19">
        <f>IF(OR($C132="",$F$3=""),"",IF(TRIM(INDEX(인턴근무계획!$E$3:$J$202,$A132,$F$3)&amp;"")="","",IFERROR(MID(TRIM(INDEX(인턴근무계획!$E$3:$J$202,$A132,$F$3)&amp;""),FIND(" ",TRIM(INDEX(인턴근무계획!$E$3:$J$202,$A132,$F$3)&amp;""))+1,60),"")))</f>
        <v/>
      </c>
      <c r="H132" s="19">
        <f>IF(OR($C132="",$H$3=""),"",IF(TRIM(INDEX(인턴근무계획!$E$3:$J$202,$A132,$H$3)&amp;"")="","",IFERROR(LEFT(TRIM(INDEX(인턴근무계획!$E$3:$J$202,$A132,$H$3)&amp;""),FIND(" ",TRIM(INDEX(인턴근무계획!$E$3:$J$202,$A132,$H$3)&amp;""))-1),TRIM(INDEX(인턴근무계획!$E$3:$J$202,$A132,$H$3)&amp;""))))</f>
        <v/>
      </c>
      <c r="I132" s="19">
        <f>IF(OR($C132="",$H$3=""),"",IF(TRIM(INDEX(인턴근무계획!$E$3:$J$202,$A132,$H$3)&amp;"")="","",IFERROR(MID(TRIM(INDEX(인턴근무계획!$E$3:$J$202,$A132,$H$3)&amp;""),FIND(" ",TRIM(INDEX(인턴근무계획!$E$3:$J$202,$A132,$H$3)&amp;""))+1,60),"")))</f>
        <v/>
      </c>
      <c r="J132" s="19">
        <f>IF($C132="","",IF(TRIM(INDEX(인턴근무계획!$E$3:$J$202,$A132,1)&amp;"")="","",IFERROR(LEFT(TRIM(INDEX(인턴근무계획!$E$3:$J$202,$A132,1)&amp;""),FIND(" ",TRIM(INDEX(인턴근무계획!$E$3:$J$202,$A132,1)&amp;""))-1),TRIM(INDEX(인턴근무계획!$E$3:$J$202,$A132,1)&amp;""))))</f>
        <v/>
      </c>
      <c r="K132" s="19">
        <f>IF($C132="","",IF(TRIM(INDEX(인턴근무계획!$E$3:$J$202,$A132,2)&amp;"")="","",IFERROR(LEFT(TRIM(INDEX(인턴근무계획!$E$3:$J$202,$A132,2)&amp;""),FIND(" ",TRIM(INDEX(인턴근무계획!$E$3:$J$202,$A132,2)&amp;""))-1),TRIM(INDEX(인턴근무계획!$E$3:$J$202,$A132,2)&amp;""))))</f>
        <v/>
      </c>
      <c r="L132" s="19">
        <f>IF($C132="","",IF(TRIM(INDEX(인턴근무계획!$E$3:$J$202,$A132,3)&amp;"")="","",IFERROR(LEFT(TRIM(INDEX(인턴근무계획!$E$3:$J$202,$A132,3)&amp;""),FIND(" ",TRIM(INDEX(인턴근무계획!$E$3:$J$202,$A132,3)&amp;""))-1),TRIM(INDEX(인턴근무계획!$E$3:$J$202,$A132,3)&amp;""))))</f>
        <v/>
      </c>
      <c r="M132" s="19">
        <f>IF($C132="","",IF(TRIM(INDEX(인턴근무계획!$E$3:$J$202,$A132,4)&amp;"")="","",IFERROR(LEFT(TRIM(INDEX(인턴근무계획!$E$3:$J$202,$A132,4)&amp;""),FIND(" ",TRIM(INDEX(인턴근무계획!$E$3:$J$202,$A132,4)&amp;""))-1),TRIM(INDEX(인턴근무계획!$E$3:$J$202,$A132,4)&amp;""))))</f>
        <v/>
      </c>
      <c r="N132" s="19">
        <f>IF($C132="","",IF(TRIM(INDEX(인턴근무계획!$E$3:$J$202,$A132,5)&amp;"")="","",IFERROR(LEFT(TRIM(INDEX(인턴근무계획!$E$3:$J$202,$A132,5)&amp;""),FIND(" ",TRIM(INDEX(인턴근무계획!$E$3:$J$202,$A132,5)&amp;""))-1),TRIM(INDEX(인턴근무계획!$E$3:$J$202,$A132,5)&amp;""))))</f>
        <v/>
      </c>
      <c r="O132" s="19">
        <f>IF($C132="","",IF(TRIM(INDEX(인턴근무계획!$E$3:$J$202,$A132,6)&amp;"")="","",IFERROR(LEFT(TRIM(INDEX(인턴근무계획!$E$3:$J$202,$A132,6)&amp;""),FIND(" ",TRIM(INDEX(인턴근무계획!$E$3:$J$202,$A132,6)&amp;""))-1),TRIM(INDEX(인턴근무계획!$E$3:$J$202,$A132,6)&amp;""))))</f>
        <v/>
      </c>
      <c r="P132" s="19">
        <f>IF($C132="","",IF(INDEX(인턴근무계획!$K$3:$K$202,$A132)="","",INDEX(인턴근무계획!$K$3:$K$202,$A132)))</f>
        <v/>
      </c>
    </row>
    <row r="133">
      <c r="A133" s="18" t="n">
        <v>128</v>
      </c>
      <c r="B133" s="19">
        <f>IF($C133="","",INDEX(인턴근무계획!$B$3:$B$202,$A133))</f>
        <v/>
      </c>
      <c r="C133" s="19">
        <f>IFERROR(TRIM(INDEX(인턴근무계획!$C$3:$C$202,$A133)&amp;""),"")</f>
        <v/>
      </c>
      <c r="D133" s="19">
        <f>IF($C133="","",INDEX(인턴근무계획!$D$3:$D$202,$A133))</f>
        <v/>
      </c>
      <c r="E133" s="19">
        <f>IF($C133="","",IF(IFERROR(MATCH($D133,기본자료!$B$2:$B$501,0),IFERROR(MATCH($D133&amp;"",기본자료!$B$2:$B$501,0),IFERROR(MATCH(VALUE($D133),기본자료!$B$2:$B$501,0),0)))&gt;0,"확인","미등록"))</f>
        <v/>
      </c>
      <c r="F133" s="19">
        <f>IF(OR($C133="",$F$3=""),"",IF(TRIM(INDEX(인턴근무계획!$E$3:$J$202,$A133,$F$3)&amp;"")="","",IFERROR(LEFT(TRIM(INDEX(인턴근무계획!$E$3:$J$202,$A133,$F$3)&amp;""),FIND(" ",TRIM(INDEX(인턴근무계획!$E$3:$J$202,$A133,$F$3)&amp;""))-1),TRIM(INDEX(인턴근무계획!$E$3:$J$202,$A133,$F$3)&amp;""))))</f>
        <v/>
      </c>
      <c r="G133" s="19">
        <f>IF(OR($C133="",$F$3=""),"",IF(TRIM(INDEX(인턴근무계획!$E$3:$J$202,$A133,$F$3)&amp;"")="","",IFERROR(MID(TRIM(INDEX(인턴근무계획!$E$3:$J$202,$A133,$F$3)&amp;""),FIND(" ",TRIM(INDEX(인턴근무계획!$E$3:$J$202,$A133,$F$3)&amp;""))+1,60),"")))</f>
        <v/>
      </c>
      <c r="H133" s="19">
        <f>IF(OR($C133="",$H$3=""),"",IF(TRIM(INDEX(인턴근무계획!$E$3:$J$202,$A133,$H$3)&amp;"")="","",IFERROR(LEFT(TRIM(INDEX(인턴근무계획!$E$3:$J$202,$A133,$H$3)&amp;""),FIND(" ",TRIM(INDEX(인턴근무계획!$E$3:$J$202,$A133,$H$3)&amp;""))-1),TRIM(INDEX(인턴근무계획!$E$3:$J$202,$A133,$H$3)&amp;""))))</f>
        <v/>
      </c>
      <c r="I133" s="19">
        <f>IF(OR($C133="",$H$3=""),"",IF(TRIM(INDEX(인턴근무계획!$E$3:$J$202,$A133,$H$3)&amp;"")="","",IFERROR(MID(TRIM(INDEX(인턴근무계획!$E$3:$J$202,$A133,$H$3)&amp;""),FIND(" ",TRIM(INDEX(인턴근무계획!$E$3:$J$202,$A133,$H$3)&amp;""))+1,60),"")))</f>
        <v/>
      </c>
      <c r="J133" s="19">
        <f>IF($C133="","",IF(TRIM(INDEX(인턴근무계획!$E$3:$J$202,$A133,1)&amp;"")="","",IFERROR(LEFT(TRIM(INDEX(인턴근무계획!$E$3:$J$202,$A133,1)&amp;""),FIND(" ",TRIM(INDEX(인턴근무계획!$E$3:$J$202,$A133,1)&amp;""))-1),TRIM(INDEX(인턴근무계획!$E$3:$J$202,$A133,1)&amp;""))))</f>
        <v/>
      </c>
      <c r="K133" s="19">
        <f>IF($C133="","",IF(TRIM(INDEX(인턴근무계획!$E$3:$J$202,$A133,2)&amp;"")="","",IFERROR(LEFT(TRIM(INDEX(인턴근무계획!$E$3:$J$202,$A133,2)&amp;""),FIND(" ",TRIM(INDEX(인턴근무계획!$E$3:$J$202,$A133,2)&amp;""))-1),TRIM(INDEX(인턴근무계획!$E$3:$J$202,$A133,2)&amp;""))))</f>
        <v/>
      </c>
      <c r="L133" s="19">
        <f>IF($C133="","",IF(TRIM(INDEX(인턴근무계획!$E$3:$J$202,$A133,3)&amp;"")="","",IFERROR(LEFT(TRIM(INDEX(인턴근무계획!$E$3:$J$202,$A133,3)&amp;""),FIND(" ",TRIM(INDEX(인턴근무계획!$E$3:$J$202,$A133,3)&amp;""))-1),TRIM(INDEX(인턴근무계획!$E$3:$J$202,$A133,3)&amp;""))))</f>
        <v/>
      </c>
      <c r="M133" s="19">
        <f>IF($C133="","",IF(TRIM(INDEX(인턴근무계획!$E$3:$J$202,$A133,4)&amp;"")="","",IFERROR(LEFT(TRIM(INDEX(인턴근무계획!$E$3:$J$202,$A133,4)&amp;""),FIND(" ",TRIM(INDEX(인턴근무계획!$E$3:$J$202,$A133,4)&amp;""))-1),TRIM(INDEX(인턴근무계획!$E$3:$J$202,$A133,4)&amp;""))))</f>
        <v/>
      </c>
      <c r="N133" s="19">
        <f>IF($C133="","",IF(TRIM(INDEX(인턴근무계획!$E$3:$J$202,$A133,5)&amp;"")="","",IFERROR(LEFT(TRIM(INDEX(인턴근무계획!$E$3:$J$202,$A133,5)&amp;""),FIND(" ",TRIM(INDEX(인턴근무계획!$E$3:$J$202,$A133,5)&amp;""))-1),TRIM(INDEX(인턴근무계획!$E$3:$J$202,$A133,5)&amp;""))))</f>
        <v/>
      </c>
      <c r="O133" s="19">
        <f>IF($C133="","",IF(TRIM(INDEX(인턴근무계획!$E$3:$J$202,$A133,6)&amp;"")="","",IFERROR(LEFT(TRIM(INDEX(인턴근무계획!$E$3:$J$202,$A133,6)&amp;""),FIND(" ",TRIM(INDEX(인턴근무계획!$E$3:$J$202,$A133,6)&amp;""))-1),TRIM(INDEX(인턴근무계획!$E$3:$J$202,$A133,6)&amp;""))))</f>
        <v/>
      </c>
      <c r="P133" s="19">
        <f>IF($C133="","",IF(INDEX(인턴근무계획!$K$3:$K$202,$A133)="","",INDEX(인턴근무계획!$K$3:$K$202,$A133)))</f>
        <v/>
      </c>
    </row>
    <row r="134">
      <c r="A134" s="18" t="n">
        <v>129</v>
      </c>
      <c r="B134" s="19">
        <f>IF($C134="","",INDEX(인턴근무계획!$B$3:$B$202,$A134))</f>
        <v/>
      </c>
      <c r="C134" s="19">
        <f>IFERROR(TRIM(INDEX(인턴근무계획!$C$3:$C$202,$A134)&amp;""),"")</f>
        <v/>
      </c>
      <c r="D134" s="19">
        <f>IF($C134="","",INDEX(인턴근무계획!$D$3:$D$202,$A134))</f>
        <v/>
      </c>
      <c r="E134" s="19">
        <f>IF($C134="","",IF(IFERROR(MATCH($D134,기본자료!$B$2:$B$501,0),IFERROR(MATCH($D134&amp;"",기본자료!$B$2:$B$501,0),IFERROR(MATCH(VALUE($D134),기본자료!$B$2:$B$501,0),0)))&gt;0,"확인","미등록"))</f>
        <v/>
      </c>
      <c r="F134" s="19">
        <f>IF(OR($C134="",$F$3=""),"",IF(TRIM(INDEX(인턴근무계획!$E$3:$J$202,$A134,$F$3)&amp;"")="","",IFERROR(LEFT(TRIM(INDEX(인턴근무계획!$E$3:$J$202,$A134,$F$3)&amp;""),FIND(" ",TRIM(INDEX(인턴근무계획!$E$3:$J$202,$A134,$F$3)&amp;""))-1),TRIM(INDEX(인턴근무계획!$E$3:$J$202,$A134,$F$3)&amp;""))))</f>
        <v/>
      </c>
      <c r="G134" s="19">
        <f>IF(OR($C134="",$F$3=""),"",IF(TRIM(INDEX(인턴근무계획!$E$3:$J$202,$A134,$F$3)&amp;"")="","",IFERROR(MID(TRIM(INDEX(인턴근무계획!$E$3:$J$202,$A134,$F$3)&amp;""),FIND(" ",TRIM(INDEX(인턴근무계획!$E$3:$J$202,$A134,$F$3)&amp;""))+1,60),"")))</f>
        <v/>
      </c>
      <c r="H134" s="19">
        <f>IF(OR($C134="",$H$3=""),"",IF(TRIM(INDEX(인턴근무계획!$E$3:$J$202,$A134,$H$3)&amp;"")="","",IFERROR(LEFT(TRIM(INDEX(인턴근무계획!$E$3:$J$202,$A134,$H$3)&amp;""),FIND(" ",TRIM(INDEX(인턴근무계획!$E$3:$J$202,$A134,$H$3)&amp;""))-1),TRIM(INDEX(인턴근무계획!$E$3:$J$202,$A134,$H$3)&amp;""))))</f>
        <v/>
      </c>
      <c r="I134" s="19">
        <f>IF(OR($C134="",$H$3=""),"",IF(TRIM(INDEX(인턴근무계획!$E$3:$J$202,$A134,$H$3)&amp;"")="","",IFERROR(MID(TRIM(INDEX(인턴근무계획!$E$3:$J$202,$A134,$H$3)&amp;""),FIND(" ",TRIM(INDEX(인턴근무계획!$E$3:$J$202,$A134,$H$3)&amp;""))+1,60),"")))</f>
        <v/>
      </c>
      <c r="J134" s="19">
        <f>IF($C134="","",IF(TRIM(INDEX(인턴근무계획!$E$3:$J$202,$A134,1)&amp;"")="","",IFERROR(LEFT(TRIM(INDEX(인턴근무계획!$E$3:$J$202,$A134,1)&amp;""),FIND(" ",TRIM(INDEX(인턴근무계획!$E$3:$J$202,$A134,1)&amp;""))-1),TRIM(INDEX(인턴근무계획!$E$3:$J$202,$A134,1)&amp;""))))</f>
        <v/>
      </c>
      <c r="K134" s="19">
        <f>IF($C134="","",IF(TRIM(INDEX(인턴근무계획!$E$3:$J$202,$A134,2)&amp;"")="","",IFERROR(LEFT(TRIM(INDEX(인턴근무계획!$E$3:$J$202,$A134,2)&amp;""),FIND(" ",TRIM(INDEX(인턴근무계획!$E$3:$J$202,$A134,2)&amp;""))-1),TRIM(INDEX(인턴근무계획!$E$3:$J$202,$A134,2)&amp;""))))</f>
        <v/>
      </c>
      <c r="L134" s="19">
        <f>IF($C134="","",IF(TRIM(INDEX(인턴근무계획!$E$3:$J$202,$A134,3)&amp;"")="","",IFERROR(LEFT(TRIM(INDEX(인턴근무계획!$E$3:$J$202,$A134,3)&amp;""),FIND(" ",TRIM(INDEX(인턴근무계획!$E$3:$J$202,$A134,3)&amp;""))-1),TRIM(INDEX(인턴근무계획!$E$3:$J$202,$A134,3)&amp;""))))</f>
        <v/>
      </c>
      <c r="M134" s="19">
        <f>IF($C134="","",IF(TRIM(INDEX(인턴근무계획!$E$3:$J$202,$A134,4)&amp;"")="","",IFERROR(LEFT(TRIM(INDEX(인턴근무계획!$E$3:$J$202,$A134,4)&amp;""),FIND(" ",TRIM(INDEX(인턴근무계획!$E$3:$J$202,$A134,4)&amp;""))-1),TRIM(INDEX(인턴근무계획!$E$3:$J$202,$A134,4)&amp;""))))</f>
        <v/>
      </c>
      <c r="N134" s="19">
        <f>IF($C134="","",IF(TRIM(INDEX(인턴근무계획!$E$3:$J$202,$A134,5)&amp;"")="","",IFERROR(LEFT(TRIM(INDEX(인턴근무계획!$E$3:$J$202,$A134,5)&amp;""),FIND(" ",TRIM(INDEX(인턴근무계획!$E$3:$J$202,$A134,5)&amp;""))-1),TRIM(INDEX(인턴근무계획!$E$3:$J$202,$A134,5)&amp;""))))</f>
        <v/>
      </c>
      <c r="O134" s="19">
        <f>IF($C134="","",IF(TRIM(INDEX(인턴근무계획!$E$3:$J$202,$A134,6)&amp;"")="","",IFERROR(LEFT(TRIM(INDEX(인턴근무계획!$E$3:$J$202,$A134,6)&amp;""),FIND(" ",TRIM(INDEX(인턴근무계획!$E$3:$J$202,$A134,6)&amp;""))-1),TRIM(INDEX(인턴근무계획!$E$3:$J$202,$A134,6)&amp;""))))</f>
        <v/>
      </c>
      <c r="P134" s="19">
        <f>IF($C134="","",IF(INDEX(인턴근무계획!$K$3:$K$202,$A134)="","",INDEX(인턴근무계획!$K$3:$K$202,$A134)))</f>
        <v/>
      </c>
    </row>
    <row r="135">
      <c r="A135" s="18" t="n">
        <v>130</v>
      </c>
      <c r="B135" s="19">
        <f>IF($C135="","",INDEX(인턴근무계획!$B$3:$B$202,$A135))</f>
        <v/>
      </c>
      <c r="C135" s="19">
        <f>IFERROR(TRIM(INDEX(인턴근무계획!$C$3:$C$202,$A135)&amp;""),"")</f>
        <v/>
      </c>
      <c r="D135" s="19">
        <f>IF($C135="","",INDEX(인턴근무계획!$D$3:$D$202,$A135))</f>
        <v/>
      </c>
      <c r="E135" s="19">
        <f>IF($C135="","",IF(IFERROR(MATCH($D135,기본자료!$B$2:$B$501,0),IFERROR(MATCH($D135&amp;"",기본자료!$B$2:$B$501,0),IFERROR(MATCH(VALUE($D135),기본자료!$B$2:$B$501,0),0)))&gt;0,"확인","미등록"))</f>
        <v/>
      </c>
      <c r="F135" s="19">
        <f>IF(OR($C135="",$F$3=""),"",IF(TRIM(INDEX(인턴근무계획!$E$3:$J$202,$A135,$F$3)&amp;"")="","",IFERROR(LEFT(TRIM(INDEX(인턴근무계획!$E$3:$J$202,$A135,$F$3)&amp;""),FIND(" ",TRIM(INDEX(인턴근무계획!$E$3:$J$202,$A135,$F$3)&amp;""))-1),TRIM(INDEX(인턴근무계획!$E$3:$J$202,$A135,$F$3)&amp;""))))</f>
        <v/>
      </c>
      <c r="G135" s="19">
        <f>IF(OR($C135="",$F$3=""),"",IF(TRIM(INDEX(인턴근무계획!$E$3:$J$202,$A135,$F$3)&amp;"")="","",IFERROR(MID(TRIM(INDEX(인턴근무계획!$E$3:$J$202,$A135,$F$3)&amp;""),FIND(" ",TRIM(INDEX(인턴근무계획!$E$3:$J$202,$A135,$F$3)&amp;""))+1,60),"")))</f>
        <v/>
      </c>
      <c r="H135" s="19">
        <f>IF(OR($C135="",$H$3=""),"",IF(TRIM(INDEX(인턴근무계획!$E$3:$J$202,$A135,$H$3)&amp;"")="","",IFERROR(LEFT(TRIM(INDEX(인턴근무계획!$E$3:$J$202,$A135,$H$3)&amp;""),FIND(" ",TRIM(INDEX(인턴근무계획!$E$3:$J$202,$A135,$H$3)&amp;""))-1),TRIM(INDEX(인턴근무계획!$E$3:$J$202,$A135,$H$3)&amp;""))))</f>
        <v/>
      </c>
      <c r="I135" s="19">
        <f>IF(OR($C135="",$H$3=""),"",IF(TRIM(INDEX(인턴근무계획!$E$3:$J$202,$A135,$H$3)&amp;"")="","",IFERROR(MID(TRIM(INDEX(인턴근무계획!$E$3:$J$202,$A135,$H$3)&amp;""),FIND(" ",TRIM(INDEX(인턴근무계획!$E$3:$J$202,$A135,$H$3)&amp;""))+1,60),"")))</f>
        <v/>
      </c>
      <c r="J135" s="19">
        <f>IF($C135="","",IF(TRIM(INDEX(인턴근무계획!$E$3:$J$202,$A135,1)&amp;"")="","",IFERROR(LEFT(TRIM(INDEX(인턴근무계획!$E$3:$J$202,$A135,1)&amp;""),FIND(" ",TRIM(INDEX(인턴근무계획!$E$3:$J$202,$A135,1)&amp;""))-1),TRIM(INDEX(인턴근무계획!$E$3:$J$202,$A135,1)&amp;""))))</f>
        <v/>
      </c>
      <c r="K135" s="19">
        <f>IF($C135="","",IF(TRIM(INDEX(인턴근무계획!$E$3:$J$202,$A135,2)&amp;"")="","",IFERROR(LEFT(TRIM(INDEX(인턴근무계획!$E$3:$J$202,$A135,2)&amp;""),FIND(" ",TRIM(INDEX(인턴근무계획!$E$3:$J$202,$A135,2)&amp;""))-1),TRIM(INDEX(인턴근무계획!$E$3:$J$202,$A135,2)&amp;""))))</f>
        <v/>
      </c>
      <c r="L135" s="19">
        <f>IF($C135="","",IF(TRIM(INDEX(인턴근무계획!$E$3:$J$202,$A135,3)&amp;"")="","",IFERROR(LEFT(TRIM(INDEX(인턴근무계획!$E$3:$J$202,$A135,3)&amp;""),FIND(" ",TRIM(INDEX(인턴근무계획!$E$3:$J$202,$A135,3)&amp;""))-1),TRIM(INDEX(인턴근무계획!$E$3:$J$202,$A135,3)&amp;""))))</f>
        <v/>
      </c>
      <c r="M135" s="19">
        <f>IF($C135="","",IF(TRIM(INDEX(인턴근무계획!$E$3:$J$202,$A135,4)&amp;"")="","",IFERROR(LEFT(TRIM(INDEX(인턴근무계획!$E$3:$J$202,$A135,4)&amp;""),FIND(" ",TRIM(INDEX(인턴근무계획!$E$3:$J$202,$A135,4)&amp;""))-1),TRIM(INDEX(인턴근무계획!$E$3:$J$202,$A135,4)&amp;""))))</f>
        <v/>
      </c>
      <c r="N135" s="19">
        <f>IF($C135="","",IF(TRIM(INDEX(인턴근무계획!$E$3:$J$202,$A135,5)&amp;"")="","",IFERROR(LEFT(TRIM(INDEX(인턴근무계획!$E$3:$J$202,$A135,5)&amp;""),FIND(" ",TRIM(INDEX(인턴근무계획!$E$3:$J$202,$A135,5)&amp;""))-1),TRIM(INDEX(인턴근무계획!$E$3:$J$202,$A135,5)&amp;""))))</f>
        <v/>
      </c>
      <c r="O135" s="19">
        <f>IF($C135="","",IF(TRIM(INDEX(인턴근무계획!$E$3:$J$202,$A135,6)&amp;"")="","",IFERROR(LEFT(TRIM(INDEX(인턴근무계획!$E$3:$J$202,$A135,6)&amp;""),FIND(" ",TRIM(INDEX(인턴근무계획!$E$3:$J$202,$A135,6)&amp;""))-1),TRIM(INDEX(인턴근무계획!$E$3:$J$202,$A135,6)&amp;""))))</f>
        <v/>
      </c>
      <c r="P135" s="19">
        <f>IF($C135="","",IF(INDEX(인턴근무계획!$K$3:$K$202,$A135)="","",INDEX(인턴근무계획!$K$3:$K$202,$A135)))</f>
        <v/>
      </c>
    </row>
    <row r="136">
      <c r="A136" s="18" t="n">
        <v>131</v>
      </c>
      <c r="B136" s="19">
        <f>IF($C136="","",INDEX(인턴근무계획!$B$3:$B$202,$A136))</f>
        <v/>
      </c>
      <c r="C136" s="19">
        <f>IFERROR(TRIM(INDEX(인턴근무계획!$C$3:$C$202,$A136)&amp;""),"")</f>
        <v/>
      </c>
      <c r="D136" s="19">
        <f>IF($C136="","",INDEX(인턴근무계획!$D$3:$D$202,$A136))</f>
        <v/>
      </c>
      <c r="E136" s="19">
        <f>IF($C136="","",IF(IFERROR(MATCH($D136,기본자료!$B$2:$B$501,0),IFERROR(MATCH($D136&amp;"",기본자료!$B$2:$B$501,0),IFERROR(MATCH(VALUE($D136),기본자료!$B$2:$B$501,0),0)))&gt;0,"확인","미등록"))</f>
        <v/>
      </c>
      <c r="F136" s="19">
        <f>IF(OR($C136="",$F$3=""),"",IF(TRIM(INDEX(인턴근무계획!$E$3:$J$202,$A136,$F$3)&amp;"")="","",IFERROR(LEFT(TRIM(INDEX(인턴근무계획!$E$3:$J$202,$A136,$F$3)&amp;""),FIND(" ",TRIM(INDEX(인턴근무계획!$E$3:$J$202,$A136,$F$3)&amp;""))-1),TRIM(INDEX(인턴근무계획!$E$3:$J$202,$A136,$F$3)&amp;""))))</f>
        <v/>
      </c>
      <c r="G136" s="19">
        <f>IF(OR($C136="",$F$3=""),"",IF(TRIM(INDEX(인턴근무계획!$E$3:$J$202,$A136,$F$3)&amp;"")="","",IFERROR(MID(TRIM(INDEX(인턴근무계획!$E$3:$J$202,$A136,$F$3)&amp;""),FIND(" ",TRIM(INDEX(인턴근무계획!$E$3:$J$202,$A136,$F$3)&amp;""))+1,60),"")))</f>
        <v/>
      </c>
      <c r="H136" s="19">
        <f>IF(OR($C136="",$H$3=""),"",IF(TRIM(INDEX(인턴근무계획!$E$3:$J$202,$A136,$H$3)&amp;"")="","",IFERROR(LEFT(TRIM(INDEX(인턴근무계획!$E$3:$J$202,$A136,$H$3)&amp;""),FIND(" ",TRIM(INDEX(인턴근무계획!$E$3:$J$202,$A136,$H$3)&amp;""))-1),TRIM(INDEX(인턴근무계획!$E$3:$J$202,$A136,$H$3)&amp;""))))</f>
        <v/>
      </c>
      <c r="I136" s="19">
        <f>IF(OR($C136="",$H$3=""),"",IF(TRIM(INDEX(인턴근무계획!$E$3:$J$202,$A136,$H$3)&amp;"")="","",IFERROR(MID(TRIM(INDEX(인턴근무계획!$E$3:$J$202,$A136,$H$3)&amp;""),FIND(" ",TRIM(INDEX(인턴근무계획!$E$3:$J$202,$A136,$H$3)&amp;""))+1,60),"")))</f>
        <v/>
      </c>
      <c r="J136" s="19">
        <f>IF($C136="","",IF(TRIM(INDEX(인턴근무계획!$E$3:$J$202,$A136,1)&amp;"")="","",IFERROR(LEFT(TRIM(INDEX(인턴근무계획!$E$3:$J$202,$A136,1)&amp;""),FIND(" ",TRIM(INDEX(인턴근무계획!$E$3:$J$202,$A136,1)&amp;""))-1),TRIM(INDEX(인턴근무계획!$E$3:$J$202,$A136,1)&amp;""))))</f>
        <v/>
      </c>
      <c r="K136" s="19">
        <f>IF($C136="","",IF(TRIM(INDEX(인턴근무계획!$E$3:$J$202,$A136,2)&amp;"")="","",IFERROR(LEFT(TRIM(INDEX(인턴근무계획!$E$3:$J$202,$A136,2)&amp;""),FIND(" ",TRIM(INDEX(인턴근무계획!$E$3:$J$202,$A136,2)&amp;""))-1),TRIM(INDEX(인턴근무계획!$E$3:$J$202,$A136,2)&amp;""))))</f>
        <v/>
      </c>
      <c r="L136" s="19">
        <f>IF($C136="","",IF(TRIM(INDEX(인턴근무계획!$E$3:$J$202,$A136,3)&amp;"")="","",IFERROR(LEFT(TRIM(INDEX(인턴근무계획!$E$3:$J$202,$A136,3)&amp;""),FIND(" ",TRIM(INDEX(인턴근무계획!$E$3:$J$202,$A136,3)&amp;""))-1),TRIM(INDEX(인턴근무계획!$E$3:$J$202,$A136,3)&amp;""))))</f>
        <v/>
      </c>
      <c r="M136" s="19">
        <f>IF($C136="","",IF(TRIM(INDEX(인턴근무계획!$E$3:$J$202,$A136,4)&amp;"")="","",IFERROR(LEFT(TRIM(INDEX(인턴근무계획!$E$3:$J$202,$A136,4)&amp;""),FIND(" ",TRIM(INDEX(인턴근무계획!$E$3:$J$202,$A136,4)&amp;""))-1),TRIM(INDEX(인턴근무계획!$E$3:$J$202,$A136,4)&amp;""))))</f>
        <v/>
      </c>
      <c r="N136" s="19">
        <f>IF($C136="","",IF(TRIM(INDEX(인턴근무계획!$E$3:$J$202,$A136,5)&amp;"")="","",IFERROR(LEFT(TRIM(INDEX(인턴근무계획!$E$3:$J$202,$A136,5)&amp;""),FIND(" ",TRIM(INDEX(인턴근무계획!$E$3:$J$202,$A136,5)&amp;""))-1),TRIM(INDEX(인턴근무계획!$E$3:$J$202,$A136,5)&amp;""))))</f>
        <v/>
      </c>
      <c r="O136" s="19">
        <f>IF($C136="","",IF(TRIM(INDEX(인턴근무계획!$E$3:$J$202,$A136,6)&amp;"")="","",IFERROR(LEFT(TRIM(INDEX(인턴근무계획!$E$3:$J$202,$A136,6)&amp;""),FIND(" ",TRIM(INDEX(인턴근무계획!$E$3:$J$202,$A136,6)&amp;""))-1),TRIM(INDEX(인턴근무계획!$E$3:$J$202,$A136,6)&amp;""))))</f>
        <v/>
      </c>
      <c r="P136" s="19">
        <f>IF($C136="","",IF(INDEX(인턴근무계획!$K$3:$K$202,$A136)="","",INDEX(인턴근무계획!$K$3:$K$202,$A136)))</f>
        <v/>
      </c>
    </row>
    <row r="137">
      <c r="A137" s="18" t="n">
        <v>132</v>
      </c>
      <c r="B137" s="19">
        <f>IF($C137="","",INDEX(인턴근무계획!$B$3:$B$202,$A137))</f>
        <v/>
      </c>
      <c r="C137" s="19">
        <f>IFERROR(TRIM(INDEX(인턴근무계획!$C$3:$C$202,$A137)&amp;""),"")</f>
        <v/>
      </c>
      <c r="D137" s="19">
        <f>IF($C137="","",INDEX(인턴근무계획!$D$3:$D$202,$A137))</f>
        <v/>
      </c>
      <c r="E137" s="19">
        <f>IF($C137="","",IF(IFERROR(MATCH($D137,기본자료!$B$2:$B$501,0),IFERROR(MATCH($D137&amp;"",기본자료!$B$2:$B$501,0),IFERROR(MATCH(VALUE($D137),기본자료!$B$2:$B$501,0),0)))&gt;0,"확인","미등록"))</f>
        <v/>
      </c>
      <c r="F137" s="19">
        <f>IF(OR($C137="",$F$3=""),"",IF(TRIM(INDEX(인턴근무계획!$E$3:$J$202,$A137,$F$3)&amp;"")="","",IFERROR(LEFT(TRIM(INDEX(인턴근무계획!$E$3:$J$202,$A137,$F$3)&amp;""),FIND(" ",TRIM(INDEX(인턴근무계획!$E$3:$J$202,$A137,$F$3)&amp;""))-1),TRIM(INDEX(인턴근무계획!$E$3:$J$202,$A137,$F$3)&amp;""))))</f>
        <v/>
      </c>
      <c r="G137" s="19">
        <f>IF(OR($C137="",$F$3=""),"",IF(TRIM(INDEX(인턴근무계획!$E$3:$J$202,$A137,$F$3)&amp;"")="","",IFERROR(MID(TRIM(INDEX(인턴근무계획!$E$3:$J$202,$A137,$F$3)&amp;""),FIND(" ",TRIM(INDEX(인턴근무계획!$E$3:$J$202,$A137,$F$3)&amp;""))+1,60),"")))</f>
        <v/>
      </c>
      <c r="H137" s="19">
        <f>IF(OR($C137="",$H$3=""),"",IF(TRIM(INDEX(인턴근무계획!$E$3:$J$202,$A137,$H$3)&amp;"")="","",IFERROR(LEFT(TRIM(INDEX(인턴근무계획!$E$3:$J$202,$A137,$H$3)&amp;""),FIND(" ",TRIM(INDEX(인턴근무계획!$E$3:$J$202,$A137,$H$3)&amp;""))-1),TRIM(INDEX(인턴근무계획!$E$3:$J$202,$A137,$H$3)&amp;""))))</f>
        <v/>
      </c>
      <c r="I137" s="19">
        <f>IF(OR($C137="",$H$3=""),"",IF(TRIM(INDEX(인턴근무계획!$E$3:$J$202,$A137,$H$3)&amp;"")="","",IFERROR(MID(TRIM(INDEX(인턴근무계획!$E$3:$J$202,$A137,$H$3)&amp;""),FIND(" ",TRIM(INDEX(인턴근무계획!$E$3:$J$202,$A137,$H$3)&amp;""))+1,60),"")))</f>
        <v/>
      </c>
      <c r="J137" s="19">
        <f>IF($C137="","",IF(TRIM(INDEX(인턴근무계획!$E$3:$J$202,$A137,1)&amp;"")="","",IFERROR(LEFT(TRIM(INDEX(인턴근무계획!$E$3:$J$202,$A137,1)&amp;""),FIND(" ",TRIM(INDEX(인턴근무계획!$E$3:$J$202,$A137,1)&amp;""))-1),TRIM(INDEX(인턴근무계획!$E$3:$J$202,$A137,1)&amp;""))))</f>
        <v/>
      </c>
      <c r="K137" s="19">
        <f>IF($C137="","",IF(TRIM(INDEX(인턴근무계획!$E$3:$J$202,$A137,2)&amp;"")="","",IFERROR(LEFT(TRIM(INDEX(인턴근무계획!$E$3:$J$202,$A137,2)&amp;""),FIND(" ",TRIM(INDEX(인턴근무계획!$E$3:$J$202,$A137,2)&amp;""))-1),TRIM(INDEX(인턴근무계획!$E$3:$J$202,$A137,2)&amp;""))))</f>
        <v/>
      </c>
      <c r="L137" s="19">
        <f>IF($C137="","",IF(TRIM(INDEX(인턴근무계획!$E$3:$J$202,$A137,3)&amp;"")="","",IFERROR(LEFT(TRIM(INDEX(인턴근무계획!$E$3:$J$202,$A137,3)&amp;""),FIND(" ",TRIM(INDEX(인턴근무계획!$E$3:$J$202,$A137,3)&amp;""))-1),TRIM(INDEX(인턴근무계획!$E$3:$J$202,$A137,3)&amp;""))))</f>
        <v/>
      </c>
      <c r="M137" s="19">
        <f>IF($C137="","",IF(TRIM(INDEX(인턴근무계획!$E$3:$J$202,$A137,4)&amp;"")="","",IFERROR(LEFT(TRIM(INDEX(인턴근무계획!$E$3:$J$202,$A137,4)&amp;""),FIND(" ",TRIM(INDEX(인턴근무계획!$E$3:$J$202,$A137,4)&amp;""))-1),TRIM(INDEX(인턴근무계획!$E$3:$J$202,$A137,4)&amp;""))))</f>
        <v/>
      </c>
      <c r="N137" s="19">
        <f>IF($C137="","",IF(TRIM(INDEX(인턴근무계획!$E$3:$J$202,$A137,5)&amp;"")="","",IFERROR(LEFT(TRIM(INDEX(인턴근무계획!$E$3:$J$202,$A137,5)&amp;""),FIND(" ",TRIM(INDEX(인턴근무계획!$E$3:$J$202,$A137,5)&amp;""))-1),TRIM(INDEX(인턴근무계획!$E$3:$J$202,$A137,5)&amp;""))))</f>
        <v/>
      </c>
      <c r="O137" s="19">
        <f>IF($C137="","",IF(TRIM(INDEX(인턴근무계획!$E$3:$J$202,$A137,6)&amp;"")="","",IFERROR(LEFT(TRIM(INDEX(인턴근무계획!$E$3:$J$202,$A137,6)&amp;""),FIND(" ",TRIM(INDEX(인턴근무계획!$E$3:$J$202,$A137,6)&amp;""))-1),TRIM(INDEX(인턴근무계획!$E$3:$J$202,$A137,6)&amp;""))))</f>
        <v/>
      </c>
      <c r="P137" s="19">
        <f>IF($C137="","",IF(INDEX(인턴근무계획!$K$3:$K$202,$A137)="","",INDEX(인턴근무계획!$K$3:$K$202,$A137)))</f>
        <v/>
      </c>
    </row>
    <row r="138">
      <c r="A138" s="18" t="n">
        <v>133</v>
      </c>
      <c r="B138" s="19">
        <f>IF($C138="","",INDEX(인턴근무계획!$B$3:$B$202,$A138))</f>
        <v/>
      </c>
      <c r="C138" s="19">
        <f>IFERROR(TRIM(INDEX(인턴근무계획!$C$3:$C$202,$A138)&amp;""),"")</f>
        <v/>
      </c>
      <c r="D138" s="19">
        <f>IF($C138="","",INDEX(인턴근무계획!$D$3:$D$202,$A138))</f>
        <v/>
      </c>
      <c r="E138" s="19">
        <f>IF($C138="","",IF(IFERROR(MATCH($D138,기본자료!$B$2:$B$501,0),IFERROR(MATCH($D138&amp;"",기본자료!$B$2:$B$501,0),IFERROR(MATCH(VALUE($D138),기본자료!$B$2:$B$501,0),0)))&gt;0,"확인","미등록"))</f>
        <v/>
      </c>
      <c r="F138" s="19">
        <f>IF(OR($C138="",$F$3=""),"",IF(TRIM(INDEX(인턴근무계획!$E$3:$J$202,$A138,$F$3)&amp;"")="","",IFERROR(LEFT(TRIM(INDEX(인턴근무계획!$E$3:$J$202,$A138,$F$3)&amp;""),FIND(" ",TRIM(INDEX(인턴근무계획!$E$3:$J$202,$A138,$F$3)&amp;""))-1),TRIM(INDEX(인턴근무계획!$E$3:$J$202,$A138,$F$3)&amp;""))))</f>
        <v/>
      </c>
      <c r="G138" s="19">
        <f>IF(OR($C138="",$F$3=""),"",IF(TRIM(INDEX(인턴근무계획!$E$3:$J$202,$A138,$F$3)&amp;"")="","",IFERROR(MID(TRIM(INDEX(인턴근무계획!$E$3:$J$202,$A138,$F$3)&amp;""),FIND(" ",TRIM(INDEX(인턴근무계획!$E$3:$J$202,$A138,$F$3)&amp;""))+1,60),"")))</f>
        <v/>
      </c>
      <c r="H138" s="19">
        <f>IF(OR($C138="",$H$3=""),"",IF(TRIM(INDEX(인턴근무계획!$E$3:$J$202,$A138,$H$3)&amp;"")="","",IFERROR(LEFT(TRIM(INDEX(인턴근무계획!$E$3:$J$202,$A138,$H$3)&amp;""),FIND(" ",TRIM(INDEX(인턴근무계획!$E$3:$J$202,$A138,$H$3)&amp;""))-1),TRIM(INDEX(인턴근무계획!$E$3:$J$202,$A138,$H$3)&amp;""))))</f>
        <v/>
      </c>
      <c r="I138" s="19">
        <f>IF(OR($C138="",$H$3=""),"",IF(TRIM(INDEX(인턴근무계획!$E$3:$J$202,$A138,$H$3)&amp;"")="","",IFERROR(MID(TRIM(INDEX(인턴근무계획!$E$3:$J$202,$A138,$H$3)&amp;""),FIND(" ",TRIM(INDEX(인턴근무계획!$E$3:$J$202,$A138,$H$3)&amp;""))+1,60),"")))</f>
        <v/>
      </c>
      <c r="J138" s="19">
        <f>IF($C138="","",IF(TRIM(INDEX(인턴근무계획!$E$3:$J$202,$A138,1)&amp;"")="","",IFERROR(LEFT(TRIM(INDEX(인턴근무계획!$E$3:$J$202,$A138,1)&amp;""),FIND(" ",TRIM(INDEX(인턴근무계획!$E$3:$J$202,$A138,1)&amp;""))-1),TRIM(INDEX(인턴근무계획!$E$3:$J$202,$A138,1)&amp;""))))</f>
        <v/>
      </c>
      <c r="K138" s="19">
        <f>IF($C138="","",IF(TRIM(INDEX(인턴근무계획!$E$3:$J$202,$A138,2)&amp;"")="","",IFERROR(LEFT(TRIM(INDEX(인턴근무계획!$E$3:$J$202,$A138,2)&amp;""),FIND(" ",TRIM(INDEX(인턴근무계획!$E$3:$J$202,$A138,2)&amp;""))-1),TRIM(INDEX(인턴근무계획!$E$3:$J$202,$A138,2)&amp;""))))</f>
        <v/>
      </c>
      <c r="L138" s="19">
        <f>IF($C138="","",IF(TRIM(INDEX(인턴근무계획!$E$3:$J$202,$A138,3)&amp;"")="","",IFERROR(LEFT(TRIM(INDEX(인턴근무계획!$E$3:$J$202,$A138,3)&amp;""),FIND(" ",TRIM(INDEX(인턴근무계획!$E$3:$J$202,$A138,3)&amp;""))-1),TRIM(INDEX(인턴근무계획!$E$3:$J$202,$A138,3)&amp;""))))</f>
        <v/>
      </c>
      <c r="M138" s="19">
        <f>IF($C138="","",IF(TRIM(INDEX(인턴근무계획!$E$3:$J$202,$A138,4)&amp;"")="","",IFERROR(LEFT(TRIM(INDEX(인턴근무계획!$E$3:$J$202,$A138,4)&amp;""),FIND(" ",TRIM(INDEX(인턴근무계획!$E$3:$J$202,$A138,4)&amp;""))-1),TRIM(INDEX(인턴근무계획!$E$3:$J$202,$A138,4)&amp;""))))</f>
        <v/>
      </c>
      <c r="N138" s="19">
        <f>IF($C138="","",IF(TRIM(INDEX(인턴근무계획!$E$3:$J$202,$A138,5)&amp;"")="","",IFERROR(LEFT(TRIM(INDEX(인턴근무계획!$E$3:$J$202,$A138,5)&amp;""),FIND(" ",TRIM(INDEX(인턴근무계획!$E$3:$J$202,$A138,5)&amp;""))-1),TRIM(INDEX(인턴근무계획!$E$3:$J$202,$A138,5)&amp;""))))</f>
        <v/>
      </c>
      <c r="O138" s="19">
        <f>IF($C138="","",IF(TRIM(INDEX(인턴근무계획!$E$3:$J$202,$A138,6)&amp;"")="","",IFERROR(LEFT(TRIM(INDEX(인턴근무계획!$E$3:$J$202,$A138,6)&amp;""),FIND(" ",TRIM(INDEX(인턴근무계획!$E$3:$J$202,$A138,6)&amp;""))-1),TRIM(INDEX(인턴근무계획!$E$3:$J$202,$A138,6)&amp;""))))</f>
        <v/>
      </c>
      <c r="P138" s="19">
        <f>IF($C138="","",IF(INDEX(인턴근무계획!$K$3:$K$202,$A138)="","",INDEX(인턴근무계획!$K$3:$K$202,$A138)))</f>
        <v/>
      </c>
    </row>
    <row r="139">
      <c r="A139" s="18" t="n">
        <v>134</v>
      </c>
      <c r="B139" s="19">
        <f>IF($C139="","",INDEX(인턴근무계획!$B$3:$B$202,$A139))</f>
        <v/>
      </c>
      <c r="C139" s="19">
        <f>IFERROR(TRIM(INDEX(인턴근무계획!$C$3:$C$202,$A139)&amp;""),"")</f>
        <v/>
      </c>
      <c r="D139" s="19">
        <f>IF($C139="","",INDEX(인턴근무계획!$D$3:$D$202,$A139))</f>
        <v/>
      </c>
      <c r="E139" s="19">
        <f>IF($C139="","",IF(IFERROR(MATCH($D139,기본자료!$B$2:$B$501,0),IFERROR(MATCH($D139&amp;"",기본자료!$B$2:$B$501,0),IFERROR(MATCH(VALUE($D139),기본자료!$B$2:$B$501,0),0)))&gt;0,"확인","미등록"))</f>
        <v/>
      </c>
      <c r="F139" s="19">
        <f>IF(OR($C139="",$F$3=""),"",IF(TRIM(INDEX(인턴근무계획!$E$3:$J$202,$A139,$F$3)&amp;"")="","",IFERROR(LEFT(TRIM(INDEX(인턴근무계획!$E$3:$J$202,$A139,$F$3)&amp;""),FIND(" ",TRIM(INDEX(인턴근무계획!$E$3:$J$202,$A139,$F$3)&amp;""))-1),TRIM(INDEX(인턴근무계획!$E$3:$J$202,$A139,$F$3)&amp;""))))</f>
        <v/>
      </c>
      <c r="G139" s="19">
        <f>IF(OR($C139="",$F$3=""),"",IF(TRIM(INDEX(인턴근무계획!$E$3:$J$202,$A139,$F$3)&amp;"")="","",IFERROR(MID(TRIM(INDEX(인턴근무계획!$E$3:$J$202,$A139,$F$3)&amp;""),FIND(" ",TRIM(INDEX(인턴근무계획!$E$3:$J$202,$A139,$F$3)&amp;""))+1,60),"")))</f>
        <v/>
      </c>
      <c r="H139" s="19">
        <f>IF(OR($C139="",$H$3=""),"",IF(TRIM(INDEX(인턴근무계획!$E$3:$J$202,$A139,$H$3)&amp;"")="","",IFERROR(LEFT(TRIM(INDEX(인턴근무계획!$E$3:$J$202,$A139,$H$3)&amp;""),FIND(" ",TRIM(INDEX(인턴근무계획!$E$3:$J$202,$A139,$H$3)&amp;""))-1),TRIM(INDEX(인턴근무계획!$E$3:$J$202,$A139,$H$3)&amp;""))))</f>
        <v/>
      </c>
      <c r="I139" s="19">
        <f>IF(OR($C139="",$H$3=""),"",IF(TRIM(INDEX(인턴근무계획!$E$3:$J$202,$A139,$H$3)&amp;"")="","",IFERROR(MID(TRIM(INDEX(인턴근무계획!$E$3:$J$202,$A139,$H$3)&amp;""),FIND(" ",TRIM(INDEX(인턴근무계획!$E$3:$J$202,$A139,$H$3)&amp;""))+1,60),"")))</f>
        <v/>
      </c>
      <c r="J139" s="19">
        <f>IF($C139="","",IF(TRIM(INDEX(인턴근무계획!$E$3:$J$202,$A139,1)&amp;"")="","",IFERROR(LEFT(TRIM(INDEX(인턴근무계획!$E$3:$J$202,$A139,1)&amp;""),FIND(" ",TRIM(INDEX(인턴근무계획!$E$3:$J$202,$A139,1)&amp;""))-1),TRIM(INDEX(인턴근무계획!$E$3:$J$202,$A139,1)&amp;""))))</f>
        <v/>
      </c>
      <c r="K139" s="19">
        <f>IF($C139="","",IF(TRIM(INDEX(인턴근무계획!$E$3:$J$202,$A139,2)&amp;"")="","",IFERROR(LEFT(TRIM(INDEX(인턴근무계획!$E$3:$J$202,$A139,2)&amp;""),FIND(" ",TRIM(INDEX(인턴근무계획!$E$3:$J$202,$A139,2)&amp;""))-1),TRIM(INDEX(인턴근무계획!$E$3:$J$202,$A139,2)&amp;""))))</f>
        <v/>
      </c>
      <c r="L139" s="19">
        <f>IF($C139="","",IF(TRIM(INDEX(인턴근무계획!$E$3:$J$202,$A139,3)&amp;"")="","",IFERROR(LEFT(TRIM(INDEX(인턴근무계획!$E$3:$J$202,$A139,3)&amp;""),FIND(" ",TRIM(INDEX(인턴근무계획!$E$3:$J$202,$A139,3)&amp;""))-1),TRIM(INDEX(인턴근무계획!$E$3:$J$202,$A139,3)&amp;""))))</f>
        <v/>
      </c>
      <c r="M139" s="19">
        <f>IF($C139="","",IF(TRIM(INDEX(인턴근무계획!$E$3:$J$202,$A139,4)&amp;"")="","",IFERROR(LEFT(TRIM(INDEX(인턴근무계획!$E$3:$J$202,$A139,4)&amp;""),FIND(" ",TRIM(INDEX(인턴근무계획!$E$3:$J$202,$A139,4)&amp;""))-1),TRIM(INDEX(인턴근무계획!$E$3:$J$202,$A139,4)&amp;""))))</f>
        <v/>
      </c>
      <c r="N139" s="19">
        <f>IF($C139="","",IF(TRIM(INDEX(인턴근무계획!$E$3:$J$202,$A139,5)&amp;"")="","",IFERROR(LEFT(TRIM(INDEX(인턴근무계획!$E$3:$J$202,$A139,5)&amp;""),FIND(" ",TRIM(INDEX(인턴근무계획!$E$3:$J$202,$A139,5)&amp;""))-1),TRIM(INDEX(인턴근무계획!$E$3:$J$202,$A139,5)&amp;""))))</f>
        <v/>
      </c>
      <c r="O139" s="19">
        <f>IF($C139="","",IF(TRIM(INDEX(인턴근무계획!$E$3:$J$202,$A139,6)&amp;"")="","",IFERROR(LEFT(TRIM(INDEX(인턴근무계획!$E$3:$J$202,$A139,6)&amp;""),FIND(" ",TRIM(INDEX(인턴근무계획!$E$3:$J$202,$A139,6)&amp;""))-1),TRIM(INDEX(인턴근무계획!$E$3:$J$202,$A139,6)&amp;""))))</f>
        <v/>
      </c>
      <c r="P139" s="19">
        <f>IF($C139="","",IF(INDEX(인턴근무계획!$K$3:$K$202,$A139)="","",INDEX(인턴근무계획!$K$3:$K$202,$A139)))</f>
        <v/>
      </c>
    </row>
    <row r="140">
      <c r="A140" s="18" t="n">
        <v>135</v>
      </c>
      <c r="B140" s="19">
        <f>IF($C140="","",INDEX(인턴근무계획!$B$3:$B$202,$A140))</f>
        <v/>
      </c>
      <c r="C140" s="19">
        <f>IFERROR(TRIM(INDEX(인턴근무계획!$C$3:$C$202,$A140)&amp;""),"")</f>
        <v/>
      </c>
      <c r="D140" s="19">
        <f>IF($C140="","",INDEX(인턴근무계획!$D$3:$D$202,$A140))</f>
        <v/>
      </c>
      <c r="E140" s="19">
        <f>IF($C140="","",IF(IFERROR(MATCH($D140,기본자료!$B$2:$B$501,0),IFERROR(MATCH($D140&amp;"",기본자료!$B$2:$B$501,0),IFERROR(MATCH(VALUE($D140),기본자료!$B$2:$B$501,0),0)))&gt;0,"확인","미등록"))</f>
        <v/>
      </c>
      <c r="F140" s="19">
        <f>IF(OR($C140="",$F$3=""),"",IF(TRIM(INDEX(인턴근무계획!$E$3:$J$202,$A140,$F$3)&amp;"")="","",IFERROR(LEFT(TRIM(INDEX(인턴근무계획!$E$3:$J$202,$A140,$F$3)&amp;""),FIND(" ",TRIM(INDEX(인턴근무계획!$E$3:$J$202,$A140,$F$3)&amp;""))-1),TRIM(INDEX(인턴근무계획!$E$3:$J$202,$A140,$F$3)&amp;""))))</f>
        <v/>
      </c>
      <c r="G140" s="19">
        <f>IF(OR($C140="",$F$3=""),"",IF(TRIM(INDEX(인턴근무계획!$E$3:$J$202,$A140,$F$3)&amp;"")="","",IFERROR(MID(TRIM(INDEX(인턴근무계획!$E$3:$J$202,$A140,$F$3)&amp;""),FIND(" ",TRIM(INDEX(인턴근무계획!$E$3:$J$202,$A140,$F$3)&amp;""))+1,60),"")))</f>
        <v/>
      </c>
      <c r="H140" s="19">
        <f>IF(OR($C140="",$H$3=""),"",IF(TRIM(INDEX(인턴근무계획!$E$3:$J$202,$A140,$H$3)&amp;"")="","",IFERROR(LEFT(TRIM(INDEX(인턴근무계획!$E$3:$J$202,$A140,$H$3)&amp;""),FIND(" ",TRIM(INDEX(인턴근무계획!$E$3:$J$202,$A140,$H$3)&amp;""))-1),TRIM(INDEX(인턴근무계획!$E$3:$J$202,$A140,$H$3)&amp;""))))</f>
        <v/>
      </c>
      <c r="I140" s="19">
        <f>IF(OR($C140="",$H$3=""),"",IF(TRIM(INDEX(인턴근무계획!$E$3:$J$202,$A140,$H$3)&amp;"")="","",IFERROR(MID(TRIM(INDEX(인턴근무계획!$E$3:$J$202,$A140,$H$3)&amp;""),FIND(" ",TRIM(INDEX(인턴근무계획!$E$3:$J$202,$A140,$H$3)&amp;""))+1,60),"")))</f>
        <v/>
      </c>
      <c r="J140" s="19">
        <f>IF($C140="","",IF(TRIM(INDEX(인턴근무계획!$E$3:$J$202,$A140,1)&amp;"")="","",IFERROR(LEFT(TRIM(INDEX(인턴근무계획!$E$3:$J$202,$A140,1)&amp;""),FIND(" ",TRIM(INDEX(인턴근무계획!$E$3:$J$202,$A140,1)&amp;""))-1),TRIM(INDEX(인턴근무계획!$E$3:$J$202,$A140,1)&amp;""))))</f>
        <v/>
      </c>
      <c r="K140" s="19">
        <f>IF($C140="","",IF(TRIM(INDEX(인턴근무계획!$E$3:$J$202,$A140,2)&amp;"")="","",IFERROR(LEFT(TRIM(INDEX(인턴근무계획!$E$3:$J$202,$A140,2)&amp;""),FIND(" ",TRIM(INDEX(인턴근무계획!$E$3:$J$202,$A140,2)&amp;""))-1),TRIM(INDEX(인턴근무계획!$E$3:$J$202,$A140,2)&amp;""))))</f>
        <v/>
      </c>
      <c r="L140" s="19">
        <f>IF($C140="","",IF(TRIM(INDEX(인턴근무계획!$E$3:$J$202,$A140,3)&amp;"")="","",IFERROR(LEFT(TRIM(INDEX(인턴근무계획!$E$3:$J$202,$A140,3)&amp;""),FIND(" ",TRIM(INDEX(인턴근무계획!$E$3:$J$202,$A140,3)&amp;""))-1),TRIM(INDEX(인턴근무계획!$E$3:$J$202,$A140,3)&amp;""))))</f>
        <v/>
      </c>
      <c r="M140" s="19">
        <f>IF($C140="","",IF(TRIM(INDEX(인턴근무계획!$E$3:$J$202,$A140,4)&amp;"")="","",IFERROR(LEFT(TRIM(INDEX(인턴근무계획!$E$3:$J$202,$A140,4)&amp;""),FIND(" ",TRIM(INDEX(인턴근무계획!$E$3:$J$202,$A140,4)&amp;""))-1),TRIM(INDEX(인턴근무계획!$E$3:$J$202,$A140,4)&amp;""))))</f>
        <v/>
      </c>
      <c r="N140" s="19">
        <f>IF($C140="","",IF(TRIM(INDEX(인턴근무계획!$E$3:$J$202,$A140,5)&amp;"")="","",IFERROR(LEFT(TRIM(INDEX(인턴근무계획!$E$3:$J$202,$A140,5)&amp;""),FIND(" ",TRIM(INDEX(인턴근무계획!$E$3:$J$202,$A140,5)&amp;""))-1),TRIM(INDEX(인턴근무계획!$E$3:$J$202,$A140,5)&amp;""))))</f>
        <v/>
      </c>
      <c r="O140" s="19">
        <f>IF($C140="","",IF(TRIM(INDEX(인턴근무계획!$E$3:$J$202,$A140,6)&amp;"")="","",IFERROR(LEFT(TRIM(INDEX(인턴근무계획!$E$3:$J$202,$A140,6)&amp;""),FIND(" ",TRIM(INDEX(인턴근무계획!$E$3:$J$202,$A140,6)&amp;""))-1),TRIM(INDEX(인턴근무계획!$E$3:$J$202,$A140,6)&amp;""))))</f>
        <v/>
      </c>
      <c r="P140" s="19">
        <f>IF($C140="","",IF(INDEX(인턴근무계획!$K$3:$K$202,$A140)="","",INDEX(인턴근무계획!$K$3:$K$202,$A140)))</f>
        <v/>
      </c>
    </row>
    <row r="141">
      <c r="A141" s="18" t="n">
        <v>136</v>
      </c>
      <c r="B141" s="19">
        <f>IF($C141="","",INDEX(인턴근무계획!$B$3:$B$202,$A141))</f>
        <v/>
      </c>
      <c r="C141" s="19">
        <f>IFERROR(TRIM(INDEX(인턴근무계획!$C$3:$C$202,$A141)&amp;""),"")</f>
        <v/>
      </c>
      <c r="D141" s="19">
        <f>IF($C141="","",INDEX(인턴근무계획!$D$3:$D$202,$A141))</f>
        <v/>
      </c>
      <c r="E141" s="19">
        <f>IF($C141="","",IF(IFERROR(MATCH($D141,기본자료!$B$2:$B$501,0),IFERROR(MATCH($D141&amp;"",기본자료!$B$2:$B$501,0),IFERROR(MATCH(VALUE($D141),기본자료!$B$2:$B$501,0),0)))&gt;0,"확인","미등록"))</f>
        <v/>
      </c>
      <c r="F141" s="19">
        <f>IF(OR($C141="",$F$3=""),"",IF(TRIM(INDEX(인턴근무계획!$E$3:$J$202,$A141,$F$3)&amp;"")="","",IFERROR(LEFT(TRIM(INDEX(인턴근무계획!$E$3:$J$202,$A141,$F$3)&amp;""),FIND(" ",TRIM(INDEX(인턴근무계획!$E$3:$J$202,$A141,$F$3)&amp;""))-1),TRIM(INDEX(인턴근무계획!$E$3:$J$202,$A141,$F$3)&amp;""))))</f>
        <v/>
      </c>
      <c r="G141" s="19">
        <f>IF(OR($C141="",$F$3=""),"",IF(TRIM(INDEX(인턴근무계획!$E$3:$J$202,$A141,$F$3)&amp;"")="","",IFERROR(MID(TRIM(INDEX(인턴근무계획!$E$3:$J$202,$A141,$F$3)&amp;""),FIND(" ",TRIM(INDEX(인턴근무계획!$E$3:$J$202,$A141,$F$3)&amp;""))+1,60),"")))</f>
        <v/>
      </c>
      <c r="H141" s="19">
        <f>IF(OR($C141="",$H$3=""),"",IF(TRIM(INDEX(인턴근무계획!$E$3:$J$202,$A141,$H$3)&amp;"")="","",IFERROR(LEFT(TRIM(INDEX(인턴근무계획!$E$3:$J$202,$A141,$H$3)&amp;""),FIND(" ",TRIM(INDEX(인턴근무계획!$E$3:$J$202,$A141,$H$3)&amp;""))-1),TRIM(INDEX(인턴근무계획!$E$3:$J$202,$A141,$H$3)&amp;""))))</f>
        <v/>
      </c>
      <c r="I141" s="19">
        <f>IF(OR($C141="",$H$3=""),"",IF(TRIM(INDEX(인턴근무계획!$E$3:$J$202,$A141,$H$3)&amp;"")="","",IFERROR(MID(TRIM(INDEX(인턴근무계획!$E$3:$J$202,$A141,$H$3)&amp;""),FIND(" ",TRIM(INDEX(인턴근무계획!$E$3:$J$202,$A141,$H$3)&amp;""))+1,60),"")))</f>
        <v/>
      </c>
      <c r="J141" s="19">
        <f>IF($C141="","",IF(TRIM(INDEX(인턴근무계획!$E$3:$J$202,$A141,1)&amp;"")="","",IFERROR(LEFT(TRIM(INDEX(인턴근무계획!$E$3:$J$202,$A141,1)&amp;""),FIND(" ",TRIM(INDEX(인턴근무계획!$E$3:$J$202,$A141,1)&amp;""))-1),TRIM(INDEX(인턴근무계획!$E$3:$J$202,$A141,1)&amp;""))))</f>
        <v/>
      </c>
      <c r="K141" s="19">
        <f>IF($C141="","",IF(TRIM(INDEX(인턴근무계획!$E$3:$J$202,$A141,2)&amp;"")="","",IFERROR(LEFT(TRIM(INDEX(인턴근무계획!$E$3:$J$202,$A141,2)&amp;""),FIND(" ",TRIM(INDEX(인턴근무계획!$E$3:$J$202,$A141,2)&amp;""))-1),TRIM(INDEX(인턴근무계획!$E$3:$J$202,$A141,2)&amp;""))))</f>
        <v/>
      </c>
      <c r="L141" s="19">
        <f>IF($C141="","",IF(TRIM(INDEX(인턴근무계획!$E$3:$J$202,$A141,3)&amp;"")="","",IFERROR(LEFT(TRIM(INDEX(인턴근무계획!$E$3:$J$202,$A141,3)&amp;""),FIND(" ",TRIM(INDEX(인턴근무계획!$E$3:$J$202,$A141,3)&amp;""))-1),TRIM(INDEX(인턴근무계획!$E$3:$J$202,$A141,3)&amp;""))))</f>
        <v/>
      </c>
      <c r="M141" s="19">
        <f>IF($C141="","",IF(TRIM(INDEX(인턴근무계획!$E$3:$J$202,$A141,4)&amp;"")="","",IFERROR(LEFT(TRIM(INDEX(인턴근무계획!$E$3:$J$202,$A141,4)&amp;""),FIND(" ",TRIM(INDEX(인턴근무계획!$E$3:$J$202,$A141,4)&amp;""))-1),TRIM(INDEX(인턴근무계획!$E$3:$J$202,$A141,4)&amp;""))))</f>
        <v/>
      </c>
      <c r="N141" s="19">
        <f>IF($C141="","",IF(TRIM(INDEX(인턴근무계획!$E$3:$J$202,$A141,5)&amp;"")="","",IFERROR(LEFT(TRIM(INDEX(인턴근무계획!$E$3:$J$202,$A141,5)&amp;""),FIND(" ",TRIM(INDEX(인턴근무계획!$E$3:$J$202,$A141,5)&amp;""))-1),TRIM(INDEX(인턴근무계획!$E$3:$J$202,$A141,5)&amp;""))))</f>
        <v/>
      </c>
      <c r="O141" s="19">
        <f>IF($C141="","",IF(TRIM(INDEX(인턴근무계획!$E$3:$J$202,$A141,6)&amp;"")="","",IFERROR(LEFT(TRIM(INDEX(인턴근무계획!$E$3:$J$202,$A141,6)&amp;""),FIND(" ",TRIM(INDEX(인턴근무계획!$E$3:$J$202,$A141,6)&amp;""))-1),TRIM(INDEX(인턴근무계획!$E$3:$J$202,$A141,6)&amp;""))))</f>
        <v/>
      </c>
      <c r="P141" s="19">
        <f>IF($C141="","",IF(INDEX(인턴근무계획!$K$3:$K$202,$A141)="","",INDEX(인턴근무계획!$K$3:$K$202,$A141)))</f>
        <v/>
      </c>
    </row>
    <row r="142">
      <c r="A142" s="18" t="n">
        <v>137</v>
      </c>
      <c r="B142" s="19">
        <f>IF($C142="","",INDEX(인턴근무계획!$B$3:$B$202,$A142))</f>
        <v/>
      </c>
      <c r="C142" s="19">
        <f>IFERROR(TRIM(INDEX(인턴근무계획!$C$3:$C$202,$A142)&amp;""),"")</f>
        <v/>
      </c>
      <c r="D142" s="19">
        <f>IF($C142="","",INDEX(인턴근무계획!$D$3:$D$202,$A142))</f>
        <v/>
      </c>
      <c r="E142" s="19">
        <f>IF($C142="","",IF(IFERROR(MATCH($D142,기본자료!$B$2:$B$501,0),IFERROR(MATCH($D142&amp;"",기본자료!$B$2:$B$501,0),IFERROR(MATCH(VALUE($D142),기본자료!$B$2:$B$501,0),0)))&gt;0,"확인","미등록"))</f>
        <v/>
      </c>
      <c r="F142" s="19">
        <f>IF(OR($C142="",$F$3=""),"",IF(TRIM(INDEX(인턴근무계획!$E$3:$J$202,$A142,$F$3)&amp;"")="","",IFERROR(LEFT(TRIM(INDEX(인턴근무계획!$E$3:$J$202,$A142,$F$3)&amp;""),FIND(" ",TRIM(INDEX(인턴근무계획!$E$3:$J$202,$A142,$F$3)&amp;""))-1),TRIM(INDEX(인턴근무계획!$E$3:$J$202,$A142,$F$3)&amp;""))))</f>
        <v/>
      </c>
      <c r="G142" s="19">
        <f>IF(OR($C142="",$F$3=""),"",IF(TRIM(INDEX(인턴근무계획!$E$3:$J$202,$A142,$F$3)&amp;"")="","",IFERROR(MID(TRIM(INDEX(인턴근무계획!$E$3:$J$202,$A142,$F$3)&amp;""),FIND(" ",TRIM(INDEX(인턴근무계획!$E$3:$J$202,$A142,$F$3)&amp;""))+1,60),"")))</f>
        <v/>
      </c>
      <c r="H142" s="19">
        <f>IF(OR($C142="",$H$3=""),"",IF(TRIM(INDEX(인턴근무계획!$E$3:$J$202,$A142,$H$3)&amp;"")="","",IFERROR(LEFT(TRIM(INDEX(인턴근무계획!$E$3:$J$202,$A142,$H$3)&amp;""),FIND(" ",TRIM(INDEX(인턴근무계획!$E$3:$J$202,$A142,$H$3)&amp;""))-1),TRIM(INDEX(인턴근무계획!$E$3:$J$202,$A142,$H$3)&amp;""))))</f>
        <v/>
      </c>
      <c r="I142" s="19">
        <f>IF(OR($C142="",$H$3=""),"",IF(TRIM(INDEX(인턴근무계획!$E$3:$J$202,$A142,$H$3)&amp;"")="","",IFERROR(MID(TRIM(INDEX(인턴근무계획!$E$3:$J$202,$A142,$H$3)&amp;""),FIND(" ",TRIM(INDEX(인턴근무계획!$E$3:$J$202,$A142,$H$3)&amp;""))+1,60),"")))</f>
        <v/>
      </c>
      <c r="J142" s="19">
        <f>IF($C142="","",IF(TRIM(INDEX(인턴근무계획!$E$3:$J$202,$A142,1)&amp;"")="","",IFERROR(LEFT(TRIM(INDEX(인턴근무계획!$E$3:$J$202,$A142,1)&amp;""),FIND(" ",TRIM(INDEX(인턴근무계획!$E$3:$J$202,$A142,1)&amp;""))-1),TRIM(INDEX(인턴근무계획!$E$3:$J$202,$A142,1)&amp;""))))</f>
        <v/>
      </c>
      <c r="K142" s="19">
        <f>IF($C142="","",IF(TRIM(INDEX(인턴근무계획!$E$3:$J$202,$A142,2)&amp;"")="","",IFERROR(LEFT(TRIM(INDEX(인턴근무계획!$E$3:$J$202,$A142,2)&amp;""),FIND(" ",TRIM(INDEX(인턴근무계획!$E$3:$J$202,$A142,2)&amp;""))-1),TRIM(INDEX(인턴근무계획!$E$3:$J$202,$A142,2)&amp;""))))</f>
        <v/>
      </c>
      <c r="L142" s="19">
        <f>IF($C142="","",IF(TRIM(INDEX(인턴근무계획!$E$3:$J$202,$A142,3)&amp;"")="","",IFERROR(LEFT(TRIM(INDEX(인턴근무계획!$E$3:$J$202,$A142,3)&amp;""),FIND(" ",TRIM(INDEX(인턴근무계획!$E$3:$J$202,$A142,3)&amp;""))-1),TRIM(INDEX(인턴근무계획!$E$3:$J$202,$A142,3)&amp;""))))</f>
        <v/>
      </c>
      <c r="M142" s="19">
        <f>IF($C142="","",IF(TRIM(INDEX(인턴근무계획!$E$3:$J$202,$A142,4)&amp;"")="","",IFERROR(LEFT(TRIM(INDEX(인턴근무계획!$E$3:$J$202,$A142,4)&amp;""),FIND(" ",TRIM(INDEX(인턴근무계획!$E$3:$J$202,$A142,4)&amp;""))-1),TRIM(INDEX(인턴근무계획!$E$3:$J$202,$A142,4)&amp;""))))</f>
        <v/>
      </c>
      <c r="N142" s="19">
        <f>IF($C142="","",IF(TRIM(INDEX(인턴근무계획!$E$3:$J$202,$A142,5)&amp;"")="","",IFERROR(LEFT(TRIM(INDEX(인턴근무계획!$E$3:$J$202,$A142,5)&amp;""),FIND(" ",TRIM(INDEX(인턴근무계획!$E$3:$J$202,$A142,5)&amp;""))-1),TRIM(INDEX(인턴근무계획!$E$3:$J$202,$A142,5)&amp;""))))</f>
        <v/>
      </c>
      <c r="O142" s="19">
        <f>IF($C142="","",IF(TRIM(INDEX(인턴근무계획!$E$3:$J$202,$A142,6)&amp;"")="","",IFERROR(LEFT(TRIM(INDEX(인턴근무계획!$E$3:$J$202,$A142,6)&amp;""),FIND(" ",TRIM(INDEX(인턴근무계획!$E$3:$J$202,$A142,6)&amp;""))-1),TRIM(INDEX(인턴근무계획!$E$3:$J$202,$A142,6)&amp;""))))</f>
        <v/>
      </c>
      <c r="P142" s="19">
        <f>IF($C142="","",IF(INDEX(인턴근무계획!$K$3:$K$202,$A142)="","",INDEX(인턴근무계획!$K$3:$K$202,$A142)))</f>
        <v/>
      </c>
    </row>
    <row r="143">
      <c r="A143" s="18" t="n">
        <v>138</v>
      </c>
      <c r="B143" s="19">
        <f>IF($C143="","",INDEX(인턴근무계획!$B$3:$B$202,$A143))</f>
        <v/>
      </c>
      <c r="C143" s="19">
        <f>IFERROR(TRIM(INDEX(인턴근무계획!$C$3:$C$202,$A143)&amp;""),"")</f>
        <v/>
      </c>
      <c r="D143" s="19">
        <f>IF($C143="","",INDEX(인턴근무계획!$D$3:$D$202,$A143))</f>
        <v/>
      </c>
      <c r="E143" s="19">
        <f>IF($C143="","",IF(IFERROR(MATCH($D143,기본자료!$B$2:$B$501,0),IFERROR(MATCH($D143&amp;"",기본자료!$B$2:$B$501,0),IFERROR(MATCH(VALUE($D143),기본자료!$B$2:$B$501,0),0)))&gt;0,"확인","미등록"))</f>
        <v/>
      </c>
      <c r="F143" s="19">
        <f>IF(OR($C143="",$F$3=""),"",IF(TRIM(INDEX(인턴근무계획!$E$3:$J$202,$A143,$F$3)&amp;"")="","",IFERROR(LEFT(TRIM(INDEX(인턴근무계획!$E$3:$J$202,$A143,$F$3)&amp;""),FIND(" ",TRIM(INDEX(인턴근무계획!$E$3:$J$202,$A143,$F$3)&amp;""))-1),TRIM(INDEX(인턴근무계획!$E$3:$J$202,$A143,$F$3)&amp;""))))</f>
        <v/>
      </c>
      <c r="G143" s="19">
        <f>IF(OR($C143="",$F$3=""),"",IF(TRIM(INDEX(인턴근무계획!$E$3:$J$202,$A143,$F$3)&amp;"")="","",IFERROR(MID(TRIM(INDEX(인턴근무계획!$E$3:$J$202,$A143,$F$3)&amp;""),FIND(" ",TRIM(INDEX(인턴근무계획!$E$3:$J$202,$A143,$F$3)&amp;""))+1,60),"")))</f>
        <v/>
      </c>
      <c r="H143" s="19">
        <f>IF(OR($C143="",$H$3=""),"",IF(TRIM(INDEX(인턴근무계획!$E$3:$J$202,$A143,$H$3)&amp;"")="","",IFERROR(LEFT(TRIM(INDEX(인턴근무계획!$E$3:$J$202,$A143,$H$3)&amp;""),FIND(" ",TRIM(INDEX(인턴근무계획!$E$3:$J$202,$A143,$H$3)&amp;""))-1),TRIM(INDEX(인턴근무계획!$E$3:$J$202,$A143,$H$3)&amp;""))))</f>
        <v/>
      </c>
      <c r="I143" s="19">
        <f>IF(OR($C143="",$H$3=""),"",IF(TRIM(INDEX(인턴근무계획!$E$3:$J$202,$A143,$H$3)&amp;"")="","",IFERROR(MID(TRIM(INDEX(인턴근무계획!$E$3:$J$202,$A143,$H$3)&amp;""),FIND(" ",TRIM(INDEX(인턴근무계획!$E$3:$J$202,$A143,$H$3)&amp;""))+1,60),"")))</f>
        <v/>
      </c>
      <c r="J143" s="19">
        <f>IF($C143="","",IF(TRIM(INDEX(인턴근무계획!$E$3:$J$202,$A143,1)&amp;"")="","",IFERROR(LEFT(TRIM(INDEX(인턴근무계획!$E$3:$J$202,$A143,1)&amp;""),FIND(" ",TRIM(INDEX(인턴근무계획!$E$3:$J$202,$A143,1)&amp;""))-1),TRIM(INDEX(인턴근무계획!$E$3:$J$202,$A143,1)&amp;""))))</f>
        <v/>
      </c>
      <c r="K143" s="19">
        <f>IF($C143="","",IF(TRIM(INDEX(인턴근무계획!$E$3:$J$202,$A143,2)&amp;"")="","",IFERROR(LEFT(TRIM(INDEX(인턴근무계획!$E$3:$J$202,$A143,2)&amp;""),FIND(" ",TRIM(INDEX(인턴근무계획!$E$3:$J$202,$A143,2)&amp;""))-1),TRIM(INDEX(인턴근무계획!$E$3:$J$202,$A143,2)&amp;""))))</f>
        <v/>
      </c>
      <c r="L143" s="19">
        <f>IF($C143="","",IF(TRIM(INDEX(인턴근무계획!$E$3:$J$202,$A143,3)&amp;"")="","",IFERROR(LEFT(TRIM(INDEX(인턴근무계획!$E$3:$J$202,$A143,3)&amp;""),FIND(" ",TRIM(INDEX(인턴근무계획!$E$3:$J$202,$A143,3)&amp;""))-1),TRIM(INDEX(인턴근무계획!$E$3:$J$202,$A143,3)&amp;""))))</f>
        <v/>
      </c>
      <c r="M143" s="19">
        <f>IF($C143="","",IF(TRIM(INDEX(인턴근무계획!$E$3:$J$202,$A143,4)&amp;"")="","",IFERROR(LEFT(TRIM(INDEX(인턴근무계획!$E$3:$J$202,$A143,4)&amp;""),FIND(" ",TRIM(INDEX(인턴근무계획!$E$3:$J$202,$A143,4)&amp;""))-1),TRIM(INDEX(인턴근무계획!$E$3:$J$202,$A143,4)&amp;""))))</f>
        <v/>
      </c>
      <c r="N143" s="19">
        <f>IF($C143="","",IF(TRIM(INDEX(인턴근무계획!$E$3:$J$202,$A143,5)&amp;"")="","",IFERROR(LEFT(TRIM(INDEX(인턴근무계획!$E$3:$J$202,$A143,5)&amp;""),FIND(" ",TRIM(INDEX(인턴근무계획!$E$3:$J$202,$A143,5)&amp;""))-1),TRIM(INDEX(인턴근무계획!$E$3:$J$202,$A143,5)&amp;""))))</f>
        <v/>
      </c>
      <c r="O143" s="19">
        <f>IF($C143="","",IF(TRIM(INDEX(인턴근무계획!$E$3:$J$202,$A143,6)&amp;"")="","",IFERROR(LEFT(TRIM(INDEX(인턴근무계획!$E$3:$J$202,$A143,6)&amp;""),FIND(" ",TRIM(INDEX(인턴근무계획!$E$3:$J$202,$A143,6)&amp;""))-1),TRIM(INDEX(인턴근무계획!$E$3:$J$202,$A143,6)&amp;""))))</f>
        <v/>
      </c>
      <c r="P143" s="19">
        <f>IF($C143="","",IF(INDEX(인턴근무계획!$K$3:$K$202,$A143)="","",INDEX(인턴근무계획!$K$3:$K$202,$A143)))</f>
        <v/>
      </c>
    </row>
    <row r="144">
      <c r="A144" s="18" t="n">
        <v>139</v>
      </c>
      <c r="B144" s="19">
        <f>IF($C144="","",INDEX(인턴근무계획!$B$3:$B$202,$A144))</f>
        <v/>
      </c>
      <c r="C144" s="19">
        <f>IFERROR(TRIM(INDEX(인턴근무계획!$C$3:$C$202,$A144)&amp;""),"")</f>
        <v/>
      </c>
      <c r="D144" s="19">
        <f>IF($C144="","",INDEX(인턴근무계획!$D$3:$D$202,$A144))</f>
        <v/>
      </c>
      <c r="E144" s="19">
        <f>IF($C144="","",IF(IFERROR(MATCH($D144,기본자료!$B$2:$B$501,0),IFERROR(MATCH($D144&amp;"",기본자료!$B$2:$B$501,0),IFERROR(MATCH(VALUE($D144),기본자료!$B$2:$B$501,0),0)))&gt;0,"확인","미등록"))</f>
        <v/>
      </c>
      <c r="F144" s="19">
        <f>IF(OR($C144="",$F$3=""),"",IF(TRIM(INDEX(인턴근무계획!$E$3:$J$202,$A144,$F$3)&amp;"")="","",IFERROR(LEFT(TRIM(INDEX(인턴근무계획!$E$3:$J$202,$A144,$F$3)&amp;""),FIND(" ",TRIM(INDEX(인턴근무계획!$E$3:$J$202,$A144,$F$3)&amp;""))-1),TRIM(INDEX(인턴근무계획!$E$3:$J$202,$A144,$F$3)&amp;""))))</f>
        <v/>
      </c>
      <c r="G144" s="19">
        <f>IF(OR($C144="",$F$3=""),"",IF(TRIM(INDEX(인턴근무계획!$E$3:$J$202,$A144,$F$3)&amp;"")="","",IFERROR(MID(TRIM(INDEX(인턴근무계획!$E$3:$J$202,$A144,$F$3)&amp;""),FIND(" ",TRIM(INDEX(인턴근무계획!$E$3:$J$202,$A144,$F$3)&amp;""))+1,60),"")))</f>
        <v/>
      </c>
      <c r="H144" s="19">
        <f>IF(OR($C144="",$H$3=""),"",IF(TRIM(INDEX(인턴근무계획!$E$3:$J$202,$A144,$H$3)&amp;"")="","",IFERROR(LEFT(TRIM(INDEX(인턴근무계획!$E$3:$J$202,$A144,$H$3)&amp;""),FIND(" ",TRIM(INDEX(인턴근무계획!$E$3:$J$202,$A144,$H$3)&amp;""))-1),TRIM(INDEX(인턴근무계획!$E$3:$J$202,$A144,$H$3)&amp;""))))</f>
        <v/>
      </c>
      <c r="I144" s="19">
        <f>IF(OR($C144="",$H$3=""),"",IF(TRIM(INDEX(인턴근무계획!$E$3:$J$202,$A144,$H$3)&amp;"")="","",IFERROR(MID(TRIM(INDEX(인턴근무계획!$E$3:$J$202,$A144,$H$3)&amp;""),FIND(" ",TRIM(INDEX(인턴근무계획!$E$3:$J$202,$A144,$H$3)&amp;""))+1,60),"")))</f>
        <v/>
      </c>
      <c r="J144" s="19">
        <f>IF($C144="","",IF(TRIM(INDEX(인턴근무계획!$E$3:$J$202,$A144,1)&amp;"")="","",IFERROR(LEFT(TRIM(INDEX(인턴근무계획!$E$3:$J$202,$A144,1)&amp;""),FIND(" ",TRIM(INDEX(인턴근무계획!$E$3:$J$202,$A144,1)&amp;""))-1),TRIM(INDEX(인턴근무계획!$E$3:$J$202,$A144,1)&amp;""))))</f>
        <v/>
      </c>
      <c r="K144" s="19">
        <f>IF($C144="","",IF(TRIM(INDEX(인턴근무계획!$E$3:$J$202,$A144,2)&amp;"")="","",IFERROR(LEFT(TRIM(INDEX(인턴근무계획!$E$3:$J$202,$A144,2)&amp;""),FIND(" ",TRIM(INDEX(인턴근무계획!$E$3:$J$202,$A144,2)&amp;""))-1),TRIM(INDEX(인턴근무계획!$E$3:$J$202,$A144,2)&amp;""))))</f>
        <v/>
      </c>
      <c r="L144" s="19">
        <f>IF($C144="","",IF(TRIM(INDEX(인턴근무계획!$E$3:$J$202,$A144,3)&amp;"")="","",IFERROR(LEFT(TRIM(INDEX(인턴근무계획!$E$3:$J$202,$A144,3)&amp;""),FIND(" ",TRIM(INDEX(인턴근무계획!$E$3:$J$202,$A144,3)&amp;""))-1),TRIM(INDEX(인턴근무계획!$E$3:$J$202,$A144,3)&amp;""))))</f>
        <v/>
      </c>
      <c r="M144" s="19">
        <f>IF($C144="","",IF(TRIM(INDEX(인턴근무계획!$E$3:$J$202,$A144,4)&amp;"")="","",IFERROR(LEFT(TRIM(INDEX(인턴근무계획!$E$3:$J$202,$A144,4)&amp;""),FIND(" ",TRIM(INDEX(인턴근무계획!$E$3:$J$202,$A144,4)&amp;""))-1),TRIM(INDEX(인턴근무계획!$E$3:$J$202,$A144,4)&amp;""))))</f>
        <v/>
      </c>
      <c r="N144" s="19">
        <f>IF($C144="","",IF(TRIM(INDEX(인턴근무계획!$E$3:$J$202,$A144,5)&amp;"")="","",IFERROR(LEFT(TRIM(INDEX(인턴근무계획!$E$3:$J$202,$A144,5)&amp;""),FIND(" ",TRIM(INDEX(인턴근무계획!$E$3:$J$202,$A144,5)&amp;""))-1),TRIM(INDEX(인턴근무계획!$E$3:$J$202,$A144,5)&amp;""))))</f>
        <v/>
      </c>
      <c r="O144" s="19">
        <f>IF($C144="","",IF(TRIM(INDEX(인턴근무계획!$E$3:$J$202,$A144,6)&amp;"")="","",IFERROR(LEFT(TRIM(INDEX(인턴근무계획!$E$3:$J$202,$A144,6)&amp;""),FIND(" ",TRIM(INDEX(인턴근무계획!$E$3:$J$202,$A144,6)&amp;""))-1),TRIM(INDEX(인턴근무계획!$E$3:$J$202,$A144,6)&amp;""))))</f>
        <v/>
      </c>
      <c r="P144" s="19">
        <f>IF($C144="","",IF(INDEX(인턴근무계획!$K$3:$K$202,$A144)="","",INDEX(인턴근무계획!$K$3:$K$202,$A144)))</f>
        <v/>
      </c>
    </row>
    <row r="145">
      <c r="A145" s="18" t="n">
        <v>140</v>
      </c>
      <c r="B145" s="19">
        <f>IF($C145="","",INDEX(인턴근무계획!$B$3:$B$202,$A145))</f>
        <v/>
      </c>
      <c r="C145" s="19">
        <f>IFERROR(TRIM(INDEX(인턴근무계획!$C$3:$C$202,$A145)&amp;""),"")</f>
        <v/>
      </c>
      <c r="D145" s="19">
        <f>IF($C145="","",INDEX(인턴근무계획!$D$3:$D$202,$A145))</f>
        <v/>
      </c>
      <c r="E145" s="19">
        <f>IF($C145="","",IF(IFERROR(MATCH($D145,기본자료!$B$2:$B$501,0),IFERROR(MATCH($D145&amp;"",기본자료!$B$2:$B$501,0),IFERROR(MATCH(VALUE($D145),기본자료!$B$2:$B$501,0),0)))&gt;0,"확인","미등록"))</f>
        <v/>
      </c>
      <c r="F145" s="19">
        <f>IF(OR($C145="",$F$3=""),"",IF(TRIM(INDEX(인턴근무계획!$E$3:$J$202,$A145,$F$3)&amp;"")="","",IFERROR(LEFT(TRIM(INDEX(인턴근무계획!$E$3:$J$202,$A145,$F$3)&amp;""),FIND(" ",TRIM(INDEX(인턴근무계획!$E$3:$J$202,$A145,$F$3)&amp;""))-1),TRIM(INDEX(인턴근무계획!$E$3:$J$202,$A145,$F$3)&amp;""))))</f>
        <v/>
      </c>
      <c r="G145" s="19">
        <f>IF(OR($C145="",$F$3=""),"",IF(TRIM(INDEX(인턴근무계획!$E$3:$J$202,$A145,$F$3)&amp;"")="","",IFERROR(MID(TRIM(INDEX(인턴근무계획!$E$3:$J$202,$A145,$F$3)&amp;""),FIND(" ",TRIM(INDEX(인턴근무계획!$E$3:$J$202,$A145,$F$3)&amp;""))+1,60),"")))</f>
        <v/>
      </c>
      <c r="H145" s="19">
        <f>IF(OR($C145="",$H$3=""),"",IF(TRIM(INDEX(인턴근무계획!$E$3:$J$202,$A145,$H$3)&amp;"")="","",IFERROR(LEFT(TRIM(INDEX(인턴근무계획!$E$3:$J$202,$A145,$H$3)&amp;""),FIND(" ",TRIM(INDEX(인턴근무계획!$E$3:$J$202,$A145,$H$3)&amp;""))-1),TRIM(INDEX(인턴근무계획!$E$3:$J$202,$A145,$H$3)&amp;""))))</f>
        <v/>
      </c>
      <c r="I145" s="19">
        <f>IF(OR($C145="",$H$3=""),"",IF(TRIM(INDEX(인턴근무계획!$E$3:$J$202,$A145,$H$3)&amp;"")="","",IFERROR(MID(TRIM(INDEX(인턴근무계획!$E$3:$J$202,$A145,$H$3)&amp;""),FIND(" ",TRIM(INDEX(인턴근무계획!$E$3:$J$202,$A145,$H$3)&amp;""))+1,60),"")))</f>
        <v/>
      </c>
      <c r="J145" s="19">
        <f>IF($C145="","",IF(TRIM(INDEX(인턴근무계획!$E$3:$J$202,$A145,1)&amp;"")="","",IFERROR(LEFT(TRIM(INDEX(인턴근무계획!$E$3:$J$202,$A145,1)&amp;""),FIND(" ",TRIM(INDEX(인턴근무계획!$E$3:$J$202,$A145,1)&amp;""))-1),TRIM(INDEX(인턴근무계획!$E$3:$J$202,$A145,1)&amp;""))))</f>
        <v/>
      </c>
      <c r="K145" s="19">
        <f>IF($C145="","",IF(TRIM(INDEX(인턴근무계획!$E$3:$J$202,$A145,2)&amp;"")="","",IFERROR(LEFT(TRIM(INDEX(인턴근무계획!$E$3:$J$202,$A145,2)&amp;""),FIND(" ",TRIM(INDEX(인턴근무계획!$E$3:$J$202,$A145,2)&amp;""))-1),TRIM(INDEX(인턴근무계획!$E$3:$J$202,$A145,2)&amp;""))))</f>
        <v/>
      </c>
      <c r="L145" s="19">
        <f>IF($C145="","",IF(TRIM(INDEX(인턴근무계획!$E$3:$J$202,$A145,3)&amp;"")="","",IFERROR(LEFT(TRIM(INDEX(인턴근무계획!$E$3:$J$202,$A145,3)&amp;""),FIND(" ",TRIM(INDEX(인턴근무계획!$E$3:$J$202,$A145,3)&amp;""))-1),TRIM(INDEX(인턴근무계획!$E$3:$J$202,$A145,3)&amp;""))))</f>
        <v/>
      </c>
      <c r="M145" s="19">
        <f>IF($C145="","",IF(TRIM(INDEX(인턴근무계획!$E$3:$J$202,$A145,4)&amp;"")="","",IFERROR(LEFT(TRIM(INDEX(인턴근무계획!$E$3:$J$202,$A145,4)&amp;""),FIND(" ",TRIM(INDEX(인턴근무계획!$E$3:$J$202,$A145,4)&amp;""))-1),TRIM(INDEX(인턴근무계획!$E$3:$J$202,$A145,4)&amp;""))))</f>
        <v/>
      </c>
      <c r="N145" s="19">
        <f>IF($C145="","",IF(TRIM(INDEX(인턴근무계획!$E$3:$J$202,$A145,5)&amp;"")="","",IFERROR(LEFT(TRIM(INDEX(인턴근무계획!$E$3:$J$202,$A145,5)&amp;""),FIND(" ",TRIM(INDEX(인턴근무계획!$E$3:$J$202,$A145,5)&amp;""))-1),TRIM(INDEX(인턴근무계획!$E$3:$J$202,$A145,5)&amp;""))))</f>
        <v/>
      </c>
      <c r="O145" s="19">
        <f>IF($C145="","",IF(TRIM(INDEX(인턴근무계획!$E$3:$J$202,$A145,6)&amp;"")="","",IFERROR(LEFT(TRIM(INDEX(인턴근무계획!$E$3:$J$202,$A145,6)&amp;""),FIND(" ",TRIM(INDEX(인턴근무계획!$E$3:$J$202,$A145,6)&amp;""))-1),TRIM(INDEX(인턴근무계획!$E$3:$J$202,$A145,6)&amp;""))))</f>
        <v/>
      </c>
      <c r="P145" s="19">
        <f>IF($C145="","",IF(INDEX(인턴근무계획!$K$3:$K$202,$A145)="","",INDEX(인턴근무계획!$K$3:$K$202,$A145)))</f>
        <v/>
      </c>
    </row>
    <row r="146">
      <c r="A146" s="18" t="n">
        <v>141</v>
      </c>
      <c r="B146" s="19">
        <f>IF($C146="","",INDEX(인턴근무계획!$B$3:$B$202,$A146))</f>
        <v/>
      </c>
      <c r="C146" s="19">
        <f>IFERROR(TRIM(INDEX(인턴근무계획!$C$3:$C$202,$A146)&amp;""),"")</f>
        <v/>
      </c>
      <c r="D146" s="19">
        <f>IF($C146="","",INDEX(인턴근무계획!$D$3:$D$202,$A146))</f>
        <v/>
      </c>
      <c r="E146" s="19">
        <f>IF($C146="","",IF(IFERROR(MATCH($D146,기본자료!$B$2:$B$501,0),IFERROR(MATCH($D146&amp;"",기본자료!$B$2:$B$501,0),IFERROR(MATCH(VALUE($D146),기본자료!$B$2:$B$501,0),0)))&gt;0,"확인","미등록"))</f>
        <v/>
      </c>
      <c r="F146" s="19">
        <f>IF(OR($C146="",$F$3=""),"",IF(TRIM(INDEX(인턴근무계획!$E$3:$J$202,$A146,$F$3)&amp;"")="","",IFERROR(LEFT(TRIM(INDEX(인턴근무계획!$E$3:$J$202,$A146,$F$3)&amp;""),FIND(" ",TRIM(INDEX(인턴근무계획!$E$3:$J$202,$A146,$F$3)&amp;""))-1),TRIM(INDEX(인턴근무계획!$E$3:$J$202,$A146,$F$3)&amp;""))))</f>
        <v/>
      </c>
      <c r="G146" s="19">
        <f>IF(OR($C146="",$F$3=""),"",IF(TRIM(INDEX(인턴근무계획!$E$3:$J$202,$A146,$F$3)&amp;"")="","",IFERROR(MID(TRIM(INDEX(인턴근무계획!$E$3:$J$202,$A146,$F$3)&amp;""),FIND(" ",TRIM(INDEX(인턴근무계획!$E$3:$J$202,$A146,$F$3)&amp;""))+1,60),"")))</f>
        <v/>
      </c>
      <c r="H146" s="19">
        <f>IF(OR($C146="",$H$3=""),"",IF(TRIM(INDEX(인턴근무계획!$E$3:$J$202,$A146,$H$3)&amp;"")="","",IFERROR(LEFT(TRIM(INDEX(인턴근무계획!$E$3:$J$202,$A146,$H$3)&amp;""),FIND(" ",TRIM(INDEX(인턴근무계획!$E$3:$J$202,$A146,$H$3)&amp;""))-1),TRIM(INDEX(인턴근무계획!$E$3:$J$202,$A146,$H$3)&amp;""))))</f>
        <v/>
      </c>
      <c r="I146" s="19">
        <f>IF(OR($C146="",$H$3=""),"",IF(TRIM(INDEX(인턴근무계획!$E$3:$J$202,$A146,$H$3)&amp;"")="","",IFERROR(MID(TRIM(INDEX(인턴근무계획!$E$3:$J$202,$A146,$H$3)&amp;""),FIND(" ",TRIM(INDEX(인턴근무계획!$E$3:$J$202,$A146,$H$3)&amp;""))+1,60),"")))</f>
        <v/>
      </c>
      <c r="J146" s="19">
        <f>IF($C146="","",IF(TRIM(INDEX(인턴근무계획!$E$3:$J$202,$A146,1)&amp;"")="","",IFERROR(LEFT(TRIM(INDEX(인턴근무계획!$E$3:$J$202,$A146,1)&amp;""),FIND(" ",TRIM(INDEX(인턴근무계획!$E$3:$J$202,$A146,1)&amp;""))-1),TRIM(INDEX(인턴근무계획!$E$3:$J$202,$A146,1)&amp;""))))</f>
        <v/>
      </c>
      <c r="K146" s="19">
        <f>IF($C146="","",IF(TRIM(INDEX(인턴근무계획!$E$3:$J$202,$A146,2)&amp;"")="","",IFERROR(LEFT(TRIM(INDEX(인턴근무계획!$E$3:$J$202,$A146,2)&amp;""),FIND(" ",TRIM(INDEX(인턴근무계획!$E$3:$J$202,$A146,2)&amp;""))-1),TRIM(INDEX(인턴근무계획!$E$3:$J$202,$A146,2)&amp;""))))</f>
        <v/>
      </c>
      <c r="L146" s="19">
        <f>IF($C146="","",IF(TRIM(INDEX(인턴근무계획!$E$3:$J$202,$A146,3)&amp;"")="","",IFERROR(LEFT(TRIM(INDEX(인턴근무계획!$E$3:$J$202,$A146,3)&amp;""),FIND(" ",TRIM(INDEX(인턴근무계획!$E$3:$J$202,$A146,3)&amp;""))-1),TRIM(INDEX(인턴근무계획!$E$3:$J$202,$A146,3)&amp;""))))</f>
        <v/>
      </c>
      <c r="M146" s="19">
        <f>IF($C146="","",IF(TRIM(INDEX(인턴근무계획!$E$3:$J$202,$A146,4)&amp;"")="","",IFERROR(LEFT(TRIM(INDEX(인턴근무계획!$E$3:$J$202,$A146,4)&amp;""),FIND(" ",TRIM(INDEX(인턴근무계획!$E$3:$J$202,$A146,4)&amp;""))-1),TRIM(INDEX(인턴근무계획!$E$3:$J$202,$A146,4)&amp;""))))</f>
        <v/>
      </c>
      <c r="N146" s="19">
        <f>IF($C146="","",IF(TRIM(INDEX(인턴근무계획!$E$3:$J$202,$A146,5)&amp;"")="","",IFERROR(LEFT(TRIM(INDEX(인턴근무계획!$E$3:$J$202,$A146,5)&amp;""),FIND(" ",TRIM(INDEX(인턴근무계획!$E$3:$J$202,$A146,5)&amp;""))-1),TRIM(INDEX(인턴근무계획!$E$3:$J$202,$A146,5)&amp;""))))</f>
        <v/>
      </c>
      <c r="O146" s="19">
        <f>IF($C146="","",IF(TRIM(INDEX(인턴근무계획!$E$3:$J$202,$A146,6)&amp;"")="","",IFERROR(LEFT(TRIM(INDEX(인턴근무계획!$E$3:$J$202,$A146,6)&amp;""),FIND(" ",TRIM(INDEX(인턴근무계획!$E$3:$J$202,$A146,6)&amp;""))-1),TRIM(INDEX(인턴근무계획!$E$3:$J$202,$A146,6)&amp;""))))</f>
        <v/>
      </c>
      <c r="P146" s="19">
        <f>IF($C146="","",IF(INDEX(인턴근무계획!$K$3:$K$202,$A146)="","",INDEX(인턴근무계획!$K$3:$K$202,$A146)))</f>
        <v/>
      </c>
    </row>
    <row r="147">
      <c r="A147" s="18" t="n">
        <v>142</v>
      </c>
      <c r="B147" s="19">
        <f>IF($C147="","",INDEX(인턴근무계획!$B$3:$B$202,$A147))</f>
        <v/>
      </c>
      <c r="C147" s="19">
        <f>IFERROR(TRIM(INDEX(인턴근무계획!$C$3:$C$202,$A147)&amp;""),"")</f>
        <v/>
      </c>
      <c r="D147" s="19">
        <f>IF($C147="","",INDEX(인턴근무계획!$D$3:$D$202,$A147))</f>
        <v/>
      </c>
      <c r="E147" s="19">
        <f>IF($C147="","",IF(IFERROR(MATCH($D147,기본자료!$B$2:$B$501,0),IFERROR(MATCH($D147&amp;"",기본자료!$B$2:$B$501,0),IFERROR(MATCH(VALUE($D147),기본자료!$B$2:$B$501,0),0)))&gt;0,"확인","미등록"))</f>
        <v/>
      </c>
      <c r="F147" s="19">
        <f>IF(OR($C147="",$F$3=""),"",IF(TRIM(INDEX(인턴근무계획!$E$3:$J$202,$A147,$F$3)&amp;"")="","",IFERROR(LEFT(TRIM(INDEX(인턴근무계획!$E$3:$J$202,$A147,$F$3)&amp;""),FIND(" ",TRIM(INDEX(인턴근무계획!$E$3:$J$202,$A147,$F$3)&amp;""))-1),TRIM(INDEX(인턴근무계획!$E$3:$J$202,$A147,$F$3)&amp;""))))</f>
        <v/>
      </c>
      <c r="G147" s="19">
        <f>IF(OR($C147="",$F$3=""),"",IF(TRIM(INDEX(인턴근무계획!$E$3:$J$202,$A147,$F$3)&amp;"")="","",IFERROR(MID(TRIM(INDEX(인턴근무계획!$E$3:$J$202,$A147,$F$3)&amp;""),FIND(" ",TRIM(INDEX(인턴근무계획!$E$3:$J$202,$A147,$F$3)&amp;""))+1,60),"")))</f>
        <v/>
      </c>
      <c r="H147" s="19">
        <f>IF(OR($C147="",$H$3=""),"",IF(TRIM(INDEX(인턴근무계획!$E$3:$J$202,$A147,$H$3)&amp;"")="","",IFERROR(LEFT(TRIM(INDEX(인턴근무계획!$E$3:$J$202,$A147,$H$3)&amp;""),FIND(" ",TRIM(INDEX(인턴근무계획!$E$3:$J$202,$A147,$H$3)&amp;""))-1),TRIM(INDEX(인턴근무계획!$E$3:$J$202,$A147,$H$3)&amp;""))))</f>
        <v/>
      </c>
      <c r="I147" s="19">
        <f>IF(OR($C147="",$H$3=""),"",IF(TRIM(INDEX(인턴근무계획!$E$3:$J$202,$A147,$H$3)&amp;"")="","",IFERROR(MID(TRIM(INDEX(인턴근무계획!$E$3:$J$202,$A147,$H$3)&amp;""),FIND(" ",TRIM(INDEX(인턴근무계획!$E$3:$J$202,$A147,$H$3)&amp;""))+1,60),"")))</f>
        <v/>
      </c>
      <c r="J147" s="19">
        <f>IF($C147="","",IF(TRIM(INDEX(인턴근무계획!$E$3:$J$202,$A147,1)&amp;"")="","",IFERROR(LEFT(TRIM(INDEX(인턴근무계획!$E$3:$J$202,$A147,1)&amp;""),FIND(" ",TRIM(INDEX(인턴근무계획!$E$3:$J$202,$A147,1)&amp;""))-1),TRIM(INDEX(인턴근무계획!$E$3:$J$202,$A147,1)&amp;""))))</f>
        <v/>
      </c>
      <c r="K147" s="19">
        <f>IF($C147="","",IF(TRIM(INDEX(인턴근무계획!$E$3:$J$202,$A147,2)&amp;"")="","",IFERROR(LEFT(TRIM(INDEX(인턴근무계획!$E$3:$J$202,$A147,2)&amp;""),FIND(" ",TRIM(INDEX(인턴근무계획!$E$3:$J$202,$A147,2)&amp;""))-1),TRIM(INDEX(인턴근무계획!$E$3:$J$202,$A147,2)&amp;""))))</f>
        <v/>
      </c>
      <c r="L147" s="19">
        <f>IF($C147="","",IF(TRIM(INDEX(인턴근무계획!$E$3:$J$202,$A147,3)&amp;"")="","",IFERROR(LEFT(TRIM(INDEX(인턴근무계획!$E$3:$J$202,$A147,3)&amp;""),FIND(" ",TRIM(INDEX(인턴근무계획!$E$3:$J$202,$A147,3)&amp;""))-1),TRIM(INDEX(인턴근무계획!$E$3:$J$202,$A147,3)&amp;""))))</f>
        <v/>
      </c>
      <c r="M147" s="19">
        <f>IF($C147="","",IF(TRIM(INDEX(인턴근무계획!$E$3:$J$202,$A147,4)&amp;"")="","",IFERROR(LEFT(TRIM(INDEX(인턴근무계획!$E$3:$J$202,$A147,4)&amp;""),FIND(" ",TRIM(INDEX(인턴근무계획!$E$3:$J$202,$A147,4)&amp;""))-1),TRIM(INDEX(인턴근무계획!$E$3:$J$202,$A147,4)&amp;""))))</f>
        <v/>
      </c>
      <c r="N147" s="19">
        <f>IF($C147="","",IF(TRIM(INDEX(인턴근무계획!$E$3:$J$202,$A147,5)&amp;"")="","",IFERROR(LEFT(TRIM(INDEX(인턴근무계획!$E$3:$J$202,$A147,5)&amp;""),FIND(" ",TRIM(INDEX(인턴근무계획!$E$3:$J$202,$A147,5)&amp;""))-1),TRIM(INDEX(인턴근무계획!$E$3:$J$202,$A147,5)&amp;""))))</f>
        <v/>
      </c>
      <c r="O147" s="19">
        <f>IF($C147="","",IF(TRIM(INDEX(인턴근무계획!$E$3:$J$202,$A147,6)&amp;"")="","",IFERROR(LEFT(TRIM(INDEX(인턴근무계획!$E$3:$J$202,$A147,6)&amp;""),FIND(" ",TRIM(INDEX(인턴근무계획!$E$3:$J$202,$A147,6)&amp;""))-1),TRIM(INDEX(인턴근무계획!$E$3:$J$202,$A147,6)&amp;""))))</f>
        <v/>
      </c>
      <c r="P147" s="19">
        <f>IF($C147="","",IF(INDEX(인턴근무계획!$K$3:$K$202,$A147)="","",INDEX(인턴근무계획!$K$3:$K$202,$A147)))</f>
        <v/>
      </c>
    </row>
    <row r="148">
      <c r="A148" s="18" t="n">
        <v>143</v>
      </c>
      <c r="B148" s="19">
        <f>IF($C148="","",INDEX(인턴근무계획!$B$3:$B$202,$A148))</f>
        <v/>
      </c>
      <c r="C148" s="19">
        <f>IFERROR(TRIM(INDEX(인턴근무계획!$C$3:$C$202,$A148)&amp;""),"")</f>
        <v/>
      </c>
      <c r="D148" s="19">
        <f>IF($C148="","",INDEX(인턴근무계획!$D$3:$D$202,$A148))</f>
        <v/>
      </c>
      <c r="E148" s="19">
        <f>IF($C148="","",IF(IFERROR(MATCH($D148,기본자료!$B$2:$B$501,0),IFERROR(MATCH($D148&amp;"",기본자료!$B$2:$B$501,0),IFERROR(MATCH(VALUE($D148),기본자료!$B$2:$B$501,0),0)))&gt;0,"확인","미등록"))</f>
        <v/>
      </c>
      <c r="F148" s="19">
        <f>IF(OR($C148="",$F$3=""),"",IF(TRIM(INDEX(인턴근무계획!$E$3:$J$202,$A148,$F$3)&amp;"")="","",IFERROR(LEFT(TRIM(INDEX(인턴근무계획!$E$3:$J$202,$A148,$F$3)&amp;""),FIND(" ",TRIM(INDEX(인턴근무계획!$E$3:$J$202,$A148,$F$3)&amp;""))-1),TRIM(INDEX(인턴근무계획!$E$3:$J$202,$A148,$F$3)&amp;""))))</f>
        <v/>
      </c>
      <c r="G148" s="19">
        <f>IF(OR($C148="",$F$3=""),"",IF(TRIM(INDEX(인턴근무계획!$E$3:$J$202,$A148,$F$3)&amp;"")="","",IFERROR(MID(TRIM(INDEX(인턴근무계획!$E$3:$J$202,$A148,$F$3)&amp;""),FIND(" ",TRIM(INDEX(인턴근무계획!$E$3:$J$202,$A148,$F$3)&amp;""))+1,60),"")))</f>
        <v/>
      </c>
      <c r="H148" s="19">
        <f>IF(OR($C148="",$H$3=""),"",IF(TRIM(INDEX(인턴근무계획!$E$3:$J$202,$A148,$H$3)&amp;"")="","",IFERROR(LEFT(TRIM(INDEX(인턴근무계획!$E$3:$J$202,$A148,$H$3)&amp;""),FIND(" ",TRIM(INDEX(인턴근무계획!$E$3:$J$202,$A148,$H$3)&amp;""))-1),TRIM(INDEX(인턴근무계획!$E$3:$J$202,$A148,$H$3)&amp;""))))</f>
        <v/>
      </c>
      <c r="I148" s="19">
        <f>IF(OR($C148="",$H$3=""),"",IF(TRIM(INDEX(인턴근무계획!$E$3:$J$202,$A148,$H$3)&amp;"")="","",IFERROR(MID(TRIM(INDEX(인턴근무계획!$E$3:$J$202,$A148,$H$3)&amp;""),FIND(" ",TRIM(INDEX(인턴근무계획!$E$3:$J$202,$A148,$H$3)&amp;""))+1,60),"")))</f>
        <v/>
      </c>
      <c r="J148" s="19">
        <f>IF($C148="","",IF(TRIM(INDEX(인턴근무계획!$E$3:$J$202,$A148,1)&amp;"")="","",IFERROR(LEFT(TRIM(INDEX(인턴근무계획!$E$3:$J$202,$A148,1)&amp;""),FIND(" ",TRIM(INDEX(인턴근무계획!$E$3:$J$202,$A148,1)&amp;""))-1),TRIM(INDEX(인턴근무계획!$E$3:$J$202,$A148,1)&amp;""))))</f>
        <v/>
      </c>
      <c r="K148" s="19">
        <f>IF($C148="","",IF(TRIM(INDEX(인턴근무계획!$E$3:$J$202,$A148,2)&amp;"")="","",IFERROR(LEFT(TRIM(INDEX(인턴근무계획!$E$3:$J$202,$A148,2)&amp;""),FIND(" ",TRIM(INDEX(인턴근무계획!$E$3:$J$202,$A148,2)&amp;""))-1),TRIM(INDEX(인턴근무계획!$E$3:$J$202,$A148,2)&amp;""))))</f>
        <v/>
      </c>
      <c r="L148" s="19">
        <f>IF($C148="","",IF(TRIM(INDEX(인턴근무계획!$E$3:$J$202,$A148,3)&amp;"")="","",IFERROR(LEFT(TRIM(INDEX(인턴근무계획!$E$3:$J$202,$A148,3)&amp;""),FIND(" ",TRIM(INDEX(인턴근무계획!$E$3:$J$202,$A148,3)&amp;""))-1),TRIM(INDEX(인턴근무계획!$E$3:$J$202,$A148,3)&amp;""))))</f>
        <v/>
      </c>
      <c r="M148" s="19">
        <f>IF($C148="","",IF(TRIM(INDEX(인턴근무계획!$E$3:$J$202,$A148,4)&amp;"")="","",IFERROR(LEFT(TRIM(INDEX(인턴근무계획!$E$3:$J$202,$A148,4)&amp;""),FIND(" ",TRIM(INDEX(인턴근무계획!$E$3:$J$202,$A148,4)&amp;""))-1),TRIM(INDEX(인턴근무계획!$E$3:$J$202,$A148,4)&amp;""))))</f>
        <v/>
      </c>
      <c r="N148" s="19">
        <f>IF($C148="","",IF(TRIM(INDEX(인턴근무계획!$E$3:$J$202,$A148,5)&amp;"")="","",IFERROR(LEFT(TRIM(INDEX(인턴근무계획!$E$3:$J$202,$A148,5)&amp;""),FIND(" ",TRIM(INDEX(인턴근무계획!$E$3:$J$202,$A148,5)&amp;""))-1),TRIM(INDEX(인턴근무계획!$E$3:$J$202,$A148,5)&amp;""))))</f>
        <v/>
      </c>
      <c r="O148" s="19">
        <f>IF($C148="","",IF(TRIM(INDEX(인턴근무계획!$E$3:$J$202,$A148,6)&amp;"")="","",IFERROR(LEFT(TRIM(INDEX(인턴근무계획!$E$3:$J$202,$A148,6)&amp;""),FIND(" ",TRIM(INDEX(인턴근무계획!$E$3:$J$202,$A148,6)&amp;""))-1),TRIM(INDEX(인턴근무계획!$E$3:$J$202,$A148,6)&amp;""))))</f>
        <v/>
      </c>
      <c r="P148" s="19">
        <f>IF($C148="","",IF(INDEX(인턴근무계획!$K$3:$K$202,$A148)="","",INDEX(인턴근무계획!$K$3:$K$202,$A148)))</f>
        <v/>
      </c>
    </row>
    <row r="149">
      <c r="A149" s="18" t="n">
        <v>144</v>
      </c>
      <c r="B149" s="19">
        <f>IF($C149="","",INDEX(인턴근무계획!$B$3:$B$202,$A149))</f>
        <v/>
      </c>
      <c r="C149" s="19">
        <f>IFERROR(TRIM(INDEX(인턴근무계획!$C$3:$C$202,$A149)&amp;""),"")</f>
        <v/>
      </c>
      <c r="D149" s="19">
        <f>IF($C149="","",INDEX(인턴근무계획!$D$3:$D$202,$A149))</f>
        <v/>
      </c>
      <c r="E149" s="19">
        <f>IF($C149="","",IF(IFERROR(MATCH($D149,기본자료!$B$2:$B$501,0),IFERROR(MATCH($D149&amp;"",기본자료!$B$2:$B$501,0),IFERROR(MATCH(VALUE($D149),기본자료!$B$2:$B$501,0),0)))&gt;0,"확인","미등록"))</f>
        <v/>
      </c>
      <c r="F149" s="19">
        <f>IF(OR($C149="",$F$3=""),"",IF(TRIM(INDEX(인턴근무계획!$E$3:$J$202,$A149,$F$3)&amp;"")="","",IFERROR(LEFT(TRIM(INDEX(인턴근무계획!$E$3:$J$202,$A149,$F$3)&amp;""),FIND(" ",TRIM(INDEX(인턴근무계획!$E$3:$J$202,$A149,$F$3)&amp;""))-1),TRIM(INDEX(인턴근무계획!$E$3:$J$202,$A149,$F$3)&amp;""))))</f>
        <v/>
      </c>
      <c r="G149" s="19">
        <f>IF(OR($C149="",$F$3=""),"",IF(TRIM(INDEX(인턴근무계획!$E$3:$J$202,$A149,$F$3)&amp;"")="","",IFERROR(MID(TRIM(INDEX(인턴근무계획!$E$3:$J$202,$A149,$F$3)&amp;""),FIND(" ",TRIM(INDEX(인턴근무계획!$E$3:$J$202,$A149,$F$3)&amp;""))+1,60),"")))</f>
        <v/>
      </c>
      <c r="H149" s="19">
        <f>IF(OR($C149="",$H$3=""),"",IF(TRIM(INDEX(인턴근무계획!$E$3:$J$202,$A149,$H$3)&amp;"")="","",IFERROR(LEFT(TRIM(INDEX(인턴근무계획!$E$3:$J$202,$A149,$H$3)&amp;""),FIND(" ",TRIM(INDEX(인턴근무계획!$E$3:$J$202,$A149,$H$3)&amp;""))-1),TRIM(INDEX(인턴근무계획!$E$3:$J$202,$A149,$H$3)&amp;""))))</f>
        <v/>
      </c>
      <c r="I149" s="19">
        <f>IF(OR($C149="",$H$3=""),"",IF(TRIM(INDEX(인턴근무계획!$E$3:$J$202,$A149,$H$3)&amp;"")="","",IFERROR(MID(TRIM(INDEX(인턴근무계획!$E$3:$J$202,$A149,$H$3)&amp;""),FIND(" ",TRIM(INDEX(인턴근무계획!$E$3:$J$202,$A149,$H$3)&amp;""))+1,60),"")))</f>
        <v/>
      </c>
      <c r="J149" s="19">
        <f>IF($C149="","",IF(TRIM(INDEX(인턴근무계획!$E$3:$J$202,$A149,1)&amp;"")="","",IFERROR(LEFT(TRIM(INDEX(인턴근무계획!$E$3:$J$202,$A149,1)&amp;""),FIND(" ",TRIM(INDEX(인턴근무계획!$E$3:$J$202,$A149,1)&amp;""))-1),TRIM(INDEX(인턴근무계획!$E$3:$J$202,$A149,1)&amp;""))))</f>
        <v/>
      </c>
      <c r="K149" s="19">
        <f>IF($C149="","",IF(TRIM(INDEX(인턴근무계획!$E$3:$J$202,$A149,2)&amp;"")="","",IFERROR(LEFT(TRIM(INDEX(인턴근무계획!$E$3:$J$202,$A149,2)&amp;""),FIND(" ",TRIM(INDEX(인턴근무계획!$E$3:$J$202,$A149,2)&amp;""))-1),TRIM(INDEX(인턴근무계획!$E$3:$J$202,$A149,2)&amp;""))))</f>
        <v/>
      </c>
      <c r="L149" s="19">
        <f>IF($C149="","",IF(TRIM(INDEX(인턴근무계획!$E$3:$J$202,$A149,3)&amp;"")="","",IFERROR(LEFT(TRIM(INDEX(인턴근무계획!$E$3:$J$202,$A149,3)&amp;""),FIND(" ",TRIM(INDEX(인턴근무계획!$E$3:$J$202,$A149,3)&amp;""))-1),TRIM(INDEX(인턴근무계획!$E$3:$J$202,$A149,3)&amp;""))))</f>
        <v/>
      </c>
      <c r="M149" s="19">
        <f>IF($C149="","",IF(TRIM(INDEX(인턴근무계획!$E$3:$J$202,$A149,4)&amp;"")="","",IFERROR(LEFT(TRIM(INDEX(인턴근무계획!$E$3:$J$202,$A149,4)&amp;""),FIND(" ",TRIM(INDEX(인턴근무계획!$E$3:$J$202,$A149,4)&amp;""))-1),TRIM(INDEX(인턴근무계획!$E$3:$J$202,$A149,4)&amp;""))))</f>
        <v/>
      </c>
      <c r="N149" s="19">
        <f>IF($C149="","",IF(TRIM(INDEX(인턴근무계획!$E$3:$J$202,$A149,5)&amp;"")="","",IFERROR(LEFT(TRIM(INDEX(인턴근무계획!$E$3:$J$202,$A149,5)&amp;""),FIND(" ",TRIM(INDEX(인턴근무계획!$E$3:$J$202,$A149,5)&amp;""))-1),TRIM(INDEX(인턴근무계획!$E$3:$J$202,$A149,5)&amp;""))))</f>
        <v/>
      </c>
      <c r="O149" s="19">
        <f>IF($C149="","",IF(TRIM(INDEX(인턴근무계획!$E$3:$J$202,$A149,6)&amp;"")="","",IFERROR(LEFT(TRIM(INDEX(인턴근무계획!$E$3:$J$202,$A149,6)&amp;""),FIND(" ",TRIM(INDEX(인턴근무계획!$E$3:$J$202,$A149,6)&amp;""))-1),TRIM(INDEX(인턴근무계획!$E$3:$J$202,$A149,6)&amp;""))))</f>
        <v/>
      </c>
      <c r="P149" s="19">
        <f>IF($C149="","",IF(INDEX(인턴근무계획!$K$3:$K$202,$A149)="","",INDEX(인턴근무계획!$K$3:$K$202,$A149)))</f>
        <v/>
      </c>
    </row>
    <row r="150">
      <c r="A150" s="18" t="n">
        <v>145</v>
      </c>
      <c r="B150" s="19">
        <f>IF($C150="","",INDEX(인턴근무계획!$B$3:$B$202,$A150))</f>
        <v/>
      </c>
      <c r="C150" s="19">
        <f>IFERROR(TRIM(INDEX(인턴근무계획!$C$3:$C$202,$A150)&amp;""),"")</f>
        <v/>
      </c>
      <c r="D150" s="19">
        <f>IF($C150="","",INDEX(인턴근무계획!$D$3:$D$202,$A150))</f>
        <v/>
      </c>
      <c r="E150" s="19">
        <f>IF($C150="","",IF(IFERROR(MATCH($D150,기본자료!$B$2:$B$501,0),IFERROR(MATCH($D150&amp;"",기본자료!$B$2:$B$501,0),IFERROR(MATCH(VALUE($D150),기본자료!$B$2:$B$501,0),0)))&gt;0,"확인","미등록"))</f>
        <v/>
      </c>
      <c r="F150" s="19">
        <f>IF(OR($C150="",$F$3=""),"",IF(TRIM(INDEX(인턴근무계획!$E$3:$J$202,$A150,$F$3)&amp;"")="","",IFERROR(LEFT(TRIM(INDEX(인턴근무계획!$E$3:$J$202,$A150,$F$3)&amp;""),FIND(" ",TRIM(INDEX(인턴근무계획!$E$3:$J$202,$A150,$F$3)&amp;""))-1),TRIM(INDEX(인턴근무계획!$E$3:$J$202,$A150,$F$3)&amp;""))))</f>
        <v/>
      </c>
      <c r="G150" s="19">
        <f>IF(OR($C150="",$F$3=""),"",IF(TRIM(INDEX(인턴근무계획!$E$3:$J$202,$A150,$F$3)&amp;"")="","",IFERROR(MID(TRIM(INDEX(인턴근무계획!$E$3:$J$202,$A150,$F$3)&amp;""),FIND(" ",TRIM(INDEX(인턴근무계획!$E$3:$J$202,$A150,$F$3)&amp;""))+1,60),"")))</f>
        <v/>
      </c>
      <c r="H150" s="19">
        <f>IF(OR($C150="",$H$3=""),"",IF(TRIM(INDEX(인턴근무계획!$E$3:$J$202,$A150,$H$3)&amp;"")="","",IFERROR(LEFT(TRIM(INDEX(인턴근무계획!$E$3:$J$202,$A150,$H$3)&amp;""),FIND(" ",TRIM(INDEX(인턴근무계획!$E$3:$J$202,$A150,$H$3)&amp;""))-1),TRIM(INDEX(인턴근무계획!$E$3:$J$202,$A150,$H$3)&amp;""))))</f>
        <v/>
      </c>
      <c r="I150" s="19">
        <f>IF(OR($C150="",$H$3=""),"",IF(TRIM(INDEX(인턴근무계획!$E$3:$J$202,$A150,$H$3)&amp;"")="","",IFERROR(MID(TRIM(INDEX(인턴근무계획!$E$3:$J$202,$A150,$H$3)&amp;""),FIND(" ",TRIM(INDEX(인턴근무계획!$E$3:$J$202,$A150,$H$3)&amp;""))+1,60),"")))</f>
        <v/>
      </c>
      <c r="J150" s="19">
        <f>IF($C150="","",IF(TRIM(INDEX(인턴근무계획!$E$3:$J$202,$A150,1)&amp;"")="","",IFERROR(LEFT(TRIM(INDEX(인턴근무계획!$E$3:$J$202,$A150,1)&amp;""),FIND(" ",TRIM(INDEX(인턴근무계획!$E$3:$J$202,$A150,1)&amp;""))-1),TRIM(INDEX(인턴근무계획!$E$3:$J$202,$A150,1)&amp;""))))</f>
        <v/>
      </c>
      <c r="K150" s="19">
        <f>IF($C150="","",IF(TRIM(INDEX(인턴근무계획!$E$3:$J$202,$A150,2)&amp;"")="","",IFERROR(LEFT(TRIM(INDEX(인턴근무계획!$E$3:$J$202,$A150,2)&amp;""),FIND(" ",TRIM(INDEX(인턴근무계획!$E$3:$J$202,$A150,2)&amp;""))-1),TRIM(INDEX(인턴근무계획!$E$3:$J$202,$A150,2)&amp;""))))</f>
        <v/>
      </c>
      <c r="L150" s="19">
        <f>IF($C150="","",IF(TRIM(INDEX(인턴근무계획!$E$3:$J$202,$A150,3)&amp;"")="","",IFERROR(LEFT(TRIM(INDEX(인턴근무계획!$E$3:$J$202,$A150,3)&amp;""),FIND(" ",TRIM(INDEX(인턴근무계획!$E$3:$J$202,$A150,3)&amp;""))-1),TRIM(INDEX(인턴근무계획!$E$3:$J$202,$A150,3)&amp;""))))</f>
        <v/>
      </c>
      <c r="M150" s="19">
        <f>IF($C150="","",IF(TRIM(INDEX(인턴근무계획!$E$3:$J$202,$A150,4)&amp;"")="","",IFERROR(LEFT(TRIM(INDEX(인턴근무계획!$E$3:$J$202,$A150,4)&amp;""),FIND(" ",TRIM(INDEX(인턴근무계획!$E$3:$J$202,$A150,4)&amp;""))-1),TRIM(INDEX(인턴근무계획!$E$3:$J$202,$A150,4)&amp;""))))</f>
        <v/>
      </c>
      <c r="N150" s="19">
        <f>IF($C150="","",IF(TRIM(INDEX(인턴근무계획!$E$3:$J$202,$A150,5)&amp;"")="","",IFERROR(LEFT(TRIM(INDEX(인턴근무계획!$E$3:$J$202,$A150,5)&amp;""),FIND(" ",TRIM(INDEX(인턴근무계획!$E$3:$J$202,$A150,5)&amp;""))-1),TRIM(INDEX(인턴근무계획!$E$3:$J$202,$A150,5)&amp;""))))</f>
        <v/>
      </c>
      <c r="O150" s="19">
        <f>IF($C150="","",IF(TRIM(INDEX(인턴근무계획!$E$3:$J$202,$A150,6)&amp;"")="","",IFERROR(LEFT(TRIM(INDEX(인턴근무계획!$E$3:$J$202,$A150,6)&amp;""),FIND(" ",TRIM(INDEX(인턴근무계획!$E$3:$J$202,$A150,6)&amp;""))-1),TRIM(INDEX(인턴근무계획!$E$3:$J$202,$A150,6)&amp;""))))</f>
        <v/>
      </c>
      <c r="P150" s="19">
        <f>IF($C150="","",IF(INDEX(인턴근무계획!$K$3:$K$202,$A150)="","",INDEX(인턴근무계획!$K$3:$K$202,$A150)))</f>
        <v/>
      </c>
    </row>
    <row r="151">
      <c r="A151" s="18" t="n">
        <v>146</v>
      </c>
      <c r="B151" s="19">
        <f>IF($C151="","",INDEX(인턴근무계획!$B$3:$B$202,$A151))</f>
        <v/>
      </c>
      <c r="C151" s="19">
        <f>IFERROR(TRIM(INDEX(인턴근무계획!$C$3:$C$202,$A151)&amp;""),"")</f>
        <v/>
      </c>
      <c r="D151" s="19">
        <f>IF($C151="","",INDEX(인턴근무계획!$D$3:$D$202,$A151))</f>
        <v/>
      </c>
      <c r="E151" s="19">
        <f>IF($C151="","",IF(IFERROR(MATCH($D151,기본자료!$B$2:$B$501,0),IFERROR(MATCH($D151&amp;"",기본자료!$B$2:$B$501,0),IFERROR(MATCH(VALUE($D151),기본자료!$B$2:$B$501,0),0)))&gt;0,"확인","미등록"))</f>
        <v/>
      </c>
      <c r="F151" s="19">
        <f>IF(OR($C151="",$F$3=""),"",IF(TRIM(INDEX(인턴근무계획!$E$3:$J$202,$A151,$F$3)&amp;"")="","",IFERROR(LEFT(TRIM(INDEX(인턴근무계획!$E$3:$J$202,$A151,$F$3)&amp;""),FIND(" ",TRIM(INDEX(인턴근무계획!$E$3:$J$202,$A151,$F$3)&amp;""))-1),TRIM(INDEX(인턴근무계획!$E$3:$J$202,$A151,$F$3)&amp;""))))</f>
        <v/>
      </c>
      <c r="G151" s="19">
        <f>IF(OR($C151="",$F$3=""),"",IF(TRIM(INDEX(인턴근무계획!$E$3:$J$202,$A151,$F$3)&amp;"")="","",IFERROR(MID(TRIM(INDEX(인턴근무계획!$E$3:$J$202,$A151,$F$3)&amp;""),FIND(" ",TRIM(INDEX(인턴근무계획!$E$3:$J$202,$A151,$F$3)&amp;""))+1,60),"")))</f>
        <v/>
      </c>
      <c r="H151" s="19">
        <f>IF(OR($C151="",$H$3=""),"",IF(TRIM(INDEX(인턴근무계획!$E$3:$J$202,$A151,$H$3)&amp;"")="","",IFERROR(LEFT(TRIM(INDEX(인턴근무계획!$E$3:$J$202,$A151,$H$3)&amp;""),FIND(" ",TRIM(INDEX(인턴근무계획!$E$3:$J$202,$A151,$H$3)&amp;""))-1),TRIM(INDEX(인턴근무계획!$E$3:$J$202,$A151,$H$3)&amp;""))))</f>
        <v/>
      </c>
      <c r="I151" s="19">
        <f>IF(OR($C151="",$H$3=""),"",IF(TRIM(INDEX(인턴근무계획!$E$3:$J$202,$A151,$H$3)&amp;"")="","",IFERROR(MID(TRIM(INDEX(인턴근무계획!$E$3:$J$202,$A151,$H$3)&amp;""),FIND(" ",TRIM(INDEX(인턴근무계획!$E$3:$J$202,$A151,$H$3)&amp;""))+1,60),"")))</f>
        <v/>
      </c>
      <c r="J151" s="19">
        <f>IF($C151="","",IF(TRIM(INDEX(인턴근무계획!$E$3:$J$202,$A151,1)&amp;"")="","",IFERROR(LEFT(TRIM(INDEX(인턴근무계획!$E$3:$J$202,$A151,1)&amp;""),FIND(" ",TRIM(INDEX(인턴근무계획!$E$3:$J$202,$A151,1)&amp;""))-1),TRIM(INDEX(인턴근무계획!$E$3:$J$202,$A151,1)&amp;""))))</f>
        <v/>
      </c>
      <c r="K151" s="19">
        <f>IF($C151="","",IF(TRIM(INDEX(인턴근무계획!$E$3:$J$202,$A151,2)&amp;"")="","",IFERROR(LEFT(TRIM(INDEX(인턴근무계획!$E$3:$J$202,$A151,2)&amp;""),FIND(" ",TRIM(INDEX(인턴근무계획!$E$3:$J$202,$A151,2)&amp;""))-1),TRIM(INDEX(인턴근무계획!$E$3:$J$202,$A151,2)&amp;""))))</f>
        <v/>
      </c>
      <c r="L151" s="19">
        <f>IF($C151="","",IF(TRIM(INDEX(인턴근무계획!$E$3:$J$202,$A151,3)&amp;"")="","",IFERROR(LEFT(TRIM(INDEX(인턴근무계획!$E$3:$J$202,$A151,3)&amp;""),FIND(" ",TRIM(INDEX(인턴근무계획!$E$3:$J$202,$A151,3)&amp;""))-1),TRIM(INDEX(인턴근무계획!$E$3:$J$202,$A151,3)&amp;""))))</f>
        <v/>
      </c>
      <c r="M151" s="19">
        <f>IF($C151="","",IF(TRIM(INDEX(인턴근무계획!$E$3:$J$202,$A151,4)&amp;"")="","",IFERROR(LEFT(TRIM(INDEX(인턴근무계획!$E$3:$J$202,$A151,4)&amp;""),FIND(" ",TRIM(INDEX(인턴근무계획!$E$3:$J$202,$A151,4)&amp;""))-1),TRIM(INDEX(인턴근무계획!$E$3:$J$202,$A151,4)&amp;""))))</f>
        <v/>
      </c>
      <c r="N151" s="19">
        <f>IF($C151="","",IF(TRIM(INDEX(인턴근무계획!$E$3:$J$202,$A151,5)&amp;"")="","",IFERROR(LEFT(TRIM(INDEX(인턴근무계획!$E$3:$J$202,$A151,5)&amp;""),FIND(" ",TRIM(INDEX(인턴근무계획!$E$3:$J$202,$A151,5)&amp;""))-1),TRIM(INDEX(인턴근무계획!$E$3:$J$202,$A151,5)&amp;""))))</f>
        <v/>
      </c>
      <c r="O151" s="19">
        <f>IF($C151="","",IF(TRIM(INDEX(인턴근무계획!$E$3:$J$202,$A151,6)&amp;"")="","",IFERROR(LEFT(TRIM(INDEX(인턴근무계획!$E$3:$J$202,$A151,6)&amp;""),FIND(" ",TRIM(INDEX(인턴근무계획!$E$3:$J$202,$A151,6)&amp;""))-1),TRIM(INDEX(인턴근무계획!$E$3:$J$202,$A151,6)&amp;""))))</f>
        <v/>
      </c>
      <c r="P151" s="19">
        <f>IF($C151="","",IF(INDEX(인턴근무계획!$K$3:$K$202,$A151)="","",INDEX(인턴근무계획!$K$3:$K$202,$A151)))</f>
        <v/>
      </c>
    </row>
    <row r="152">
      <c r="A152" s="18" t="n">
        <v>147</v>
      </c>
      <c r="B152" s="19">
        <f>IF($C152="","",INDEX(인턴근무계획!$B$3:$B$202,$A152))</f>
        <v/>
      </c>
      <c r="C152" s="19">
        <f>IFERROR(TRIM(INDEX(인턴근무계획!$C$3:$C$202,$A152)&amp;""),"")</f>
        <v/>
      </c>
      <c r="D152" s="19">
        <f>IF($C152="","",INDEX(인턴근무계획!$D$3:$D$202,$A152))</f>
        <v/>
      </c>
      <c r="E152" s="19">
        <f>IF($C152="","",IF(IFERROR(MATCH($D152,기본자료!$B$2:$B$501,0),IFERROR(MATCH($D152&amp;"",기본자료!$B$2:$B$501,0),IFERROR(MATCH(VALUE($D152),기본자료!$B$2:$B$501,0),0)))&gt;0,"확인","미등록"))</f>
        <v/>
      </c>
      <c r="F152" s="19">
        <f>IF(OR($C152="",$F$3=""),"",IF(TRIM(INDEX(인턴근무계획!$E$3:$J$202,$A152,$F$3)&amp;"")="","",IFERROR(LEFT(TRIM(INDEX(인턴근무계획!$E$3:$J$202,$A152,$F$3)&amp;""),FIND(" ",TRIM(INDEX(인턴근무계획!$E$3:$J$202,$A152,$F$3)&amp;""))-1),TRIM(INDEX(인턴근무계획!$E$3:$J$202,$A152,$F$3)&amp;""))))</f>
        <v/>
      </c>
      <c r="G152" s="19">
        <f>IF(OR($C152="",$F$3=""),"",IF(TRIM(INDEX(인턴근무계획!$E$3:$J$202,$A152,$F$3)&amp;"")="","",IFERROR(MID(TRIM(INDEX(인턴근무계획!$E$3:$J$202,$A152,$F$3)&amp;""),FIND(" ",TRIM(INDEX(인턴근무계획!$E$3:$J$202,$A152,$F$3)&amp;""))+1,60),"")))</f>
        <v/>
      </c>
      <c r="H152" s="19">
        <f>IF(OR($C152="",$H$3=""),"",IF(TRIM(INDEX(인턴근무계획!$E$3:$J$202,$A152,$H$3)&amp;"")="","",IFERROR(LEFT(TRIM(INDEX(인턴근무계획!$E$3:$J$202,$A152,$H$3)&amp;""),FIND(" ",TRIM(INDEX(인턴근무계획!$E$3:$J$202,$A152,$H$3)&amp;""))-1),TRIM(INDEX(인턴근무계획!$E$3:$J$202,$A152,$H$3)&amp;""))))</f>
        <v/>
      </c>
      <c r="I152" s="19">
        <f>IF(OR($C152="",$H$3=""),"",IF(TRIM(INDEX(인턴근무계획!$E$3:$J$202,$A152,$H$3)&amp;"")="","",IFERROR(MID(TRIM(INDEX(인턴근무계획!$E$3:$J$202,$A152,$H$3)&amp;""),FIND(" ",TRIM(INDEX(인턴근무계획!$E$3:$J$202,$A152,$H$3)&amp;""))+1,60),"")))</f>
        <v/>
      </c>
      <c r="J152" s="19">
        <f>IF($C152="","",IF(TRIM(INDEX(인턴근무계획!$E$3:$J$202,$A152,1)&amp;"")="","",IFERROR(LEFT(TRIM(INDEX(인턴근무계획!$E$3:$J$202,$A152,1)&amp;""),FIND(" ",TRIM(INDEX(인턴근무계획!$E$3:$J$202,$A152,1)&amp;""))-1),TRIM(INDEX(인턴근무계획!$E$3:$J$202,$A152,1)&amp;""))))</f>
        <v/>
      </c>
      <c r="K152" s="19">
        <f>IF($C152="","",IF(TRIM(INDEX(인턴근무계획!$E$3:$J$202,$A152,2)&amp;"")="","",IFERROR(LEFT(TRIM(INDEX(인턴근무계획!$E$3:$J$202,$A152,2)&amp;""),FIND(" ",TRIM(INDEX(인턴근무계획!$E$3:$J$202,$A152,2)&amp;""))-1),TRIM(INDEX(인턴근무계획!$E$3:$J$202,$A152,2)&amp;""))))</f>
        <v/>
      </c>
      <c r="L152" s="19">
        <f>IF($C152="","",IF(TRIM(INDEX(인턴근무계획!$E$3:$J$202,$A152,3)&amp;"")="","",IFERROR(LEFT(TRIM(INDEX(인턴근무계획!$E$3:$J$202,$A152,3)&amp;""),FIND(" ",TRIM(INDEX(인턴근무계획!$E$3:$J$202,$A152,3)&amp;""))-1),TRIM(INDEX(인턴근무계획!$E$3:$J$202,$A152,3)&amp;""))))</f>
        <v/>
      </c>
      <c r="M152" s="19">
        <f>IF($C152="","",IF(TRIM(INDEX(인턴근무계획!$E$3:$J$202,$A152,4)&amp;"")="","",IFERROR(LEFT(TRIM(INDEX(인턴근무계획!$E$3:$J$202,$A152,4)&amp;""),FIND(" ",TRIM(INDEX(인턴근무계획!$E$3:$J$202,$A152,4)&amp;""))-1),TRIM(INDEX(인턴근무계획!$E$3:$J$202,$A152,4)&amp;""))))</f>
        <v/>
      </c>
      <c r="N152" s="19">
        <f>IF($C152="","",IF(TRIM(INDEX(인턴근무계획!$E$3:$J$202,$A152,5)&amp;"")="","",IFERROR(LEFT(TRIM(INDEX(인턴근무계획!$E$3:$J$202,$A152,5)&amp;""),FIND(" ",TRIM(INDEX(인턴근무계획!$E$3:$J$202,$A152,5)&amp;""))-1),TRIM(INDEX(인턴근무계획!$E$3:$J$202,$A152,5)&amp;""))))</f>
        <v/>
      </c>
      <c r="O152" s="19">
        <f>IF($C152="","",IF(TRIM(INDEX(인턴근무계획!$E$3:$J$202,$A152,6)&amp;"")="","",IFERROR(LEFT(TRIM(INDEX(인턴근무계획!$E$3:$J$202,$A152,6)&amp;""),FIND(" ",TRIM(INDEX(인턴근무계획!$E$3:$J$202,$A152,6)&amp;""))-1),TRIM(INDEX(인턴근무계획!$E$3:$J$202,$A152,6)&amp;""))))</f>
        <v/>
      </c>
      <c r="P152" s="19">
        <f>IF($C152="","",IF(INDEX(인턴근무계획!$K$3:$K$202,$A152)="","",INDEX(인턴근무계획!$K$3:$K$202,$A152)))</f>
        <v/>
      </c>
    </row>
    <row r="153">
      <c r="A153" s="18" t="n">
        <v>148</v>
      </c>
      <c r="B153" s="19">
        <f>IF($C153="","",INDEX(인턴근무계획!$B$3:$B$202,$A153))</f>
        <v/>
      </c>
      <c r="C153" s="19">
        <f>IFERROR(TRIM(INDEX(인턴근무계획!$C$3:$C$202,$A153)&amp;""),"")</f>
        <v/>
      </c>
      <c r="D153" s="19">
        <f>IF($C153="","",INDEX(인턴근무계획!$D$3:$D$202,$A153))</f>
        <v/>
      </c>
      <c r="E153" s="19">
        <f>IF($C153="","",IF(IFERROR(MATCH($D153,기본자료!$B$2:$B$501,0),IFERROR(MATCH($D153&amp;"",기본자료!$B$2:$B$501,0),IFERROR(MATCH(VALUE($D153),기본자료!$B$2:$B$501,0),0)))&gt;0,"확인","미등록"))</f>
        <v/>
      </c>
      <c r="F153" s="19">
        <f>IF(OR($C153="",$F$3=""),"",IF(TRIM(INDEX(인턴근무계획!$E$3:$J$202,$A153,$F$3)&amp;"")="","",IFERROR(LEFT(TRIM(INDEX(인턴근무계획!$E$3:$J$202,$A153,$F$3)&amp;""),FIND(" ",TRIM(INDEX(인턴근무계획!$E$3:$J$202,$A153,$F$3)&amp;""))-1),TRIM(INDEX(인턴근무계획!$E$3:$J$202,$A153,$F$3)&amp;""))))</f>
        <v/>
      </c>
      <c r="G153" s="19">
        <f>IF(OR($C153="",$F$3=""),"",IF(TRIM(INDEX(인턴근무계획!$E$3:$J$202,$A153,$F$3)&amp;"")="","",IFERROR(MID(TRIM(INDEX(인턴근무계획!$E$3:$J$202,$A153,$F$3)&amp;""),FIND(" ",TRIM(INDEX(인턴근무계획!$E$3:$J$202,$A153,$F$3)&amp;""))+1,60),"")))</f>
        <v/>
      </c>
      <c r="H153" s="19">
        <f>IF(OR($C153="",$H$3=""),"",IF(TRIM(INDEX(인턴근무계획!$E$3:$J$202,$A153,$H$3)&amp;"")="","",IFERROR(LEFT(TRIM(INDEX(인턴근무계획!$E$3:$J$202,$A153,$H$3)&amp;""),FIND(" ",TRIM(INDEX(인턴근무계획!$E$3:$J$202,$A153,$H$3)&amp;""))-1),TRIM(INDEX(인턴근무계획!$E$3:$J$202,$A153,$H$3)&amp;""))))</f>
        <v/>
      </c>
      <c r="I153" s="19">
        <f>IF(OR($C153="",$H$3=""),"",IF(TRIM(INDEX(인턴근무계획!$E$3:$J$202,$A153,$H$3)&amp;"")="","",IFERROR(MID(TRIM(INDEX(인턴근무계획!$E$3:$J$202,$A153,$H$3)&amp;""),FIND(" ",TRIM(INDEX(인턴근무계획!$E$3:$J$202,$A153,$H$3)&amp;""))+1,60),"")))</f>
        <v/>
      </c>
      <c r="J153" s="19">
        <f>IF($C153="","",IF(TRIM(INDEX(인턴근무계획!$E$3:$J$202,$A153,1)&amp;"")="","",IFERROR(LEFT(TRIM(INDEX(인턴근무계획!$E$3:$J$202,$A153,1)&amp;""),FIND(" ",TRIM(INDEX(인턴근무계획!$E$3:$J$202,$A153,1)&amp;""))-1),TRIM(INDEX(인턴근무계획!$E$3:$J$202,$A153,1)&amp;""))))</f>
        <v/>
      </c>
      <c r="K153" s="19">
        <f>IF($C153="","",IF(TRIM(INDEX(인턴근무계획!$E$3:$J$202,$A153,2)&amp;"")="","",IFERROR(LEFT(TRIM(INDEX(인턴근무계획!$E$3:$J$202,$A153,2)&amp;""),FIND(" ",TRIM(INDEX(인턴근무계획!$E$3:$J$202,$A153,2)&amp;""))-1),TRIM(INDEX(인턴근무계획!$E$3:$J$202,$A153,2)&amp;""))))</f>
        <v/>
      </c>
      <c r="L153" s="19">
        <f>IF($C153="","",IF(TRIM(INDEX(인턴근무계획!$E$3:$J$202,$A153,3)&amp;"")="","",IFERROR(LEFT(TRIM(INDEX(인턴근무계획!$E$3:$J$202,$A153,3)&amp;""),FIND(" ",TRIM(INDEX(인턴근무계획!$E$3:$J$202,$A153,3)&amp;""))-1),TRIM(INDEX(인턴근무계획!$E$3:$J$202,$A153,3)&amp;""))))</f>
        <v/>
      </c>
      <c r="M153" s="19">
        <f>IF($C153="","",IF(TRIM(INDEX(인턴근무계획!$E$3:$J$202,$A153,4)&amp;"")="","",IFERROR(LEFT(TRIM(INDEX(인턴근무계획!$E$3:$J$202,$A153,4)&amp;""),FIND(" ",TRIM(INDEX(인턴근무계획!$E$3:$J$202,$A153,4)&amp;""))-1),TRIM(INDEX(인턴근무계획!$E$3:$J$202,$A153,4)&amp;""))))</f>
        <v/>
      </c>
      <c r="N153" s="19">
        <f>IF($C153="","",IF(TRIM(INDEX(인턴근무계획!$E$3:$J$202,$A153,5)&amp;"")="","",IFERROR(LEFT(TRIM(INDEX(인턴근무계획!$E$3:$J$202,$A153,5)&amp;""),FIND(" ",TRIM(INDEX(인턴근무계획!$E$3:$J$202,$A153,5)&amp;""))-1),TRIM(INDEX(인턴근무계획!$E$3:$J$202,$A153,5)&amp;""))))</f>
        <v/>
      </c>
      <c r="O153" s="19">
        <f>IF($C153="","",IF(TRIM(INDEX(인턴근무계획!$E$3:$J$202,$A153,6)&amp;"")="","",IFERROR(LEFT(TRIM(INDEX(인턴근무계획!$E$3:$J$202,$A153,6)&amp;""),FIND(" ",TRIM(INDEX(인턴근무계획!$E$3:$J$202,$A153,6)&amp;""))-1),TRIM(INDEX(인턴근무계획!$E$3:$J$202,$A153,6)&amp;""))))</f>
        <v/>
      </c>
      <c r="P153" s="19">
        <f>IF($C153="","",IF(INDEX(인턴근무계획!$K$3:$K$202,$A153)="","",INDEX(인턴근무계획!$K$3:$K$202,$A153)))</f>
        <v/>
      </c>
    </row>
    <row r="154">
      <c r="A154" s="18" t="n">
        <v>149</v>
      </c>
      <c r="B154" s="19">
        <f>IF($C154="","",INDEX(인턴근무계획!$B$3:$B$202,$A154))</f>
        <v/>
      </c>
      <c r="C154" s="19">
        <f>IFERROR(TRIM(INDEX(인턴근무계획!$C$3:$C$202,$A154)&amp;""),"")</f>
        <v/>
      </c>
      <c r="D154" s="19">
        <f>IF($C154="","",INDEX(인턴근무계획!$D$3:$D$202,$A154))</f>
        <v/>
      </c>
      <c r="E154" s="19">
        <f>IF($C154="","",IF(IFERROR(MATCH($D154,기본자료!$B$2:$B$501,0),IFERROR(MATCH($D154&amp;"",기본자료!$B$2:$B$501,0),IFERROR(MATCH(VALUE($D154),기본자료!$B$2:$B$501,0),0)))&gt;0,"확인","미등록"))</f>
        <v/>
      </c>
      <c r="F154" s="19">
        <f>IF(OR($C154="",$F$3=""),"",IF(TRIM(INDEX(인턴근무계획!$E$3:$J$202,$A154,$F$3)&amp;"")="","",IFERROR(LEFT(TRIM(INDEX(인턴근무계획!$E$3:$J$202,$A154,$F$3)&amp;""),FIND(" ",TRIM(INDEX(인턴근무계획!$E$3:$J$202,$A154,$F$3)&amp;""))-1),TRIM(INDEX(인턴근무계획!$E$3:$J$202,$A154,$F$3)&amp;""))))</f>
        <v/>
      </c>
      <c r="G154" s="19">
        <f>IF(OR($C154="",$F$3=""),"",IF(TRIM(INDEX(인턴근무계획!$E$3:$J$202,$A154,$F$3)&amp;"")="","",IFERROR(MID(TRIM(INDEX(인턴근무계획!$E$3:$J$202,$A154,$F$3)&amp;""),FIND(" ",TRIM(INDEX(인턴근무계획!$E$3:$J$202,$A154,$F$3)&amp;""))+1,60),"")))</f>
        <v/>
      </c>
      <c r="H154" s="19">
        <f>IF(OR($C154="",$H$3=""),"",IF(TRIM(INDEX(인턴근무계획!$E$3:$J$202,$A154,$H$3)&amp;"")="","",IFERROR(LEFT(TRIM(INDEX(인턴근무계획!$E$3:$J$202,$A154,$H$3)&amp;""),FIND(" ",TRIM(INDEX(인턴근무계획!$E$3:$J$202,$A154,$H$3)&amp;""))-1),TRIM(INDEX(인턴근무계획!$E$3:$J$202,$A154,$H$3)&amp;""))))</f>
        <v/>
      </c>
      <c r="I154" s="19">
        <f>IF(OR($C154="",$H$3=""),"",IF(TRIM(INDEX(인턴근무계획!$E$3:$J$202,$A154,$H$3)&amp;"")="","",IFERROR(MID(TRIM(INDEX(인턴근무계획!$E$3:$J$202,$A154,$H$3)&amp;""),FIND(" ",TRIM(INDEX(인턴근무계획!$E$3:$J$202,$A154,$H$3)&amp;""))+1,60),"")))</f>
        <v/>
      </c>
      <c r="J154" s="19">
        <f>IF($C154="","",IF(TRIM(INDEX(인턴근무계획!$E$3:$J$202,$A154,1)&amp;"")="","",IFERROR(LEFT(TRIM(INDEX(인턴근무계획!$E$3:$J$202,$A154,1)&amp;""),FIND(" ",TRIM(INDEX(인턴근무계획!$E$3:$J$202,$A154,1)&amp;""))-1),TRIM(INDEX(인턴근무계획!$E$3:$J$202,$A154,1)&amp;""))))</f>
        <v/>
      </c>
      <c r="K154" s="19">
        <f>IF($C154="","",IF(TRIM(INDEX(인턴근무계획!$E$3:$J$202,$A154,2)&amp;"")="","",IFERROR(LEFT(TRIM(INDEX(인턴근무계획!$E$3:$J$202,$A154,2)&amp;""),FIND(" ",TRIM(INDEX(인턴근무계획!$E$3:$J$202,$A154,2)&amp;""))-1),TRIM(INDEX(인턴근무계획!$E$3:$J$202,$A154,2)&amp;""))))</f>
        <v/>
      </c>
      <c r="L154" s="19">
        <f>IF($C154="","",IF(TRIM(INDEX(인턴근무계획!$E$3:$J$202,$A154,3)&amp;"")="","",IFERROR(LEFT(TRIM(INDEX(인턴근무계획!$E$3:$J$202,$A154,3)&amp;""),FIND(" ",TRIM(INDEX(인턴근무계획!$E$3:$J$202,$A154,3)&amp;""))-1),TRIM(INDEX(인턴근무계획!$E$3:$J$202,$A154,3)&amp;""))))</f>
        <v/>
      </c>
      <c r="M154" s="19">
        <f>IF($C154="","",IF(TRIM(INDEX(인턴근무계획!$E$3:$J$202,$A154,4)&amp;"")="","",IFERROR(LEFT(TRIM(INDEX(인턴근무계획!$E$3:$J$202,$A154,4)&amp;""),FIND(" ",TRIM(INDEX(인턴근무계획!$E$3:$J$202,$A154,4)&amp;""))-1),TRIM(INDEX(인턴근무계획!$E$3:$J$202,$A154,4)&amp;""))))</f>
        <v/>
      </c>
      <c r="N154" s="19">
        <f>IF($C154="","",IF(TRIM(INDEX(인턴근무계획!$E$3:$J$202,$A154,5)&amp;"")="","",IFERROR(LEFT(TRIM(INDEX(인턴근무계획!$E$3:$J$202,$A154,5)&amp;""),FIND(" ",TRIM(INDEX(인턴근무계획!$E$3:$J$202,$A154,5)&amp;""))-1),TRIM(INDEX(인턴근무계획!$E$3:$J$202,$A154,5)&amp;""))))</f>
        <v/>
      </c>
      <c r="O154" s="19">
        <f>IF($C154="","",IF(TRIM(INDEX(인턴근무계획!$E$3:$J$202,$A154,6)&amp;"")="","",IFERROR(LEFT(TRIM(INDEX(인턴근무계획!$E$3:$J$202,$A154,6)&amp;""),FIND(" ",TRIM(INDEX(인턴근무계획!$E$3:$J$202,$A154,6)&amp;""))-1),TRIM(INDEX(인턴근무계획!$E$3:$J$202,$A154,6)&amp;""))))</f>
        <v/>
      </c>
      <c r="P154" s="19">
        <f>IF($C154="","",IF(INDEX(인턴근무계획!$K$3:$K$202,$A154)="","",INDEX(인턴근무계획!$K$3:$K$202,$A154)))</f>
        <v/>
      </c>
    </row>
    <row r="155">
      <c r="A155" s="18" t="n">
        <v>150</v>
      </c>
      <c r="B155" s="19">
        <f>IF($C155="","",INDEX(인턴근무계획!$B$3:$B$202,$A155))</f>
        <v/>
      </c>
      <c r="C155" s="19">
        <f>IFERROR(TRIM(INDEX(인턴근무계획!$C$3:$C$202,$A155)&amp;""),"")</f>
        <v/>
      </c>
      <c r="D155" s="19">
        <f>IF($C155="","",INDEX(인턴근무계획!$D$3:$D$202,$A155))</f>
        <v/>
      </c>
      <c r="E155" s="19">
        <f>IF($C155="","",IF(IFERROR(MATCH($D155,기본자료!$B$2:$B$501,0),IFERROR(MATCH($D155&amp;"",기본자료!$B$2:$B$501,0),IFERROR(MATCH(VALUE($D155),기본자료!$B$2:$B$501,0),0)))&gt;0,"확인","미등록"))</f>
        <v/>
      </c>
      <c r="F155" s="19">
        <f>IF(OR($C155="",$F$3=""),"",IF(TRIM(INDEX(인턴근무계획!$E$3:$J$202,$A155,$F$3)&amp;"")="","",IFERROR(LEFT(TRIM(INDEX(인턴근무계획!$E$3:$J$202,$A155,$F$3)&amp;""),FIND(" ",TRIM(INDEX(인턴근무계획!$E$3:$J$202,$A155,$F$3)&amp;""))-1),TRIM(INDEX(인턴근무계획!$E$3:$J$202,$A155,$F$3)&amp;""))))</f>
        <v/>
      </c>
      <c r="G155" s="19">
        <f>IF(OR($C155="",$F$3=""),"",IF(TRIM(INDEX(인턴근무계획!$E$3:$J$202,$A155,$F$3)&amp;"")="","",IFERROR(MID(TRIM(INDEX(인턴근무계획!$E$3:$J$202,$A155,$F$3)&amp;""),FIND(" ",TRIM(INDEX(인턴근무계획!$E$3:$J$202,$A155,$F$3)&amp;""))+1,60),"")))</f>
        <v/>
      </c>
      <c r="H155" s="19">
        <f>IF(OR($C155="",$H$3=""),"",IF(TRIM(INDEX(인턴근무계획!$E$3:$J$202,$A155,$H$3)&amp;"")="","",IFERROR(LEFT(TRIM(INDEX(인턴근무계획!$E$3:$J$202,$A155,$H$3)&amp;""),FIND(" ",TRIM(INDEX(인턴근무계획!$E$3:$J$202,$A155,$H$3)&amp;""))-1),TRIM(INDEX(인턴근무계획!$E$3:$J$202,$A155,$H$3)&amp;""))))</f>
        <v/>
      </c>
      <c r="I155" s="19">
        <f>IF(OR($C155="",$H$3=""),"",IF(TRIM(INDEX(인턴근무계획!$E$3:$J$202,$A155,$H$3)&amp;"")="","",IFERROR(MID(TRIM(INDEX(인턴근무계획!$E$3:$J$202,$A155,$H$3)&amp;""),FIND(" ",TRIM(INDEX(인턴근무계획!$E$3:$J$202,$A155,$H$3)&amp;""))+1,60),"")))</f>
        <v/>
      </c>
      <c r="J155" s="19">
        <f>IF($C155="","",IF(TRIM(INDEX(인턴근무계획!$E$3:$J$202,$A155,1)&amp;"")="","",IFERROR(LEFT(TRIM(INDEX(인턴근무계획!$E$3:$J$202,$A155,1)&amp;""),FIND(" ",TRIM(INDEX(인턴근무계획!$E$3:$J$202,$A155,1)&amp;""))-1),TRIM(INDEX(인턴근무계획!$E$3:$J$202,$A155,1)&amp;""))))</f>
        <v/>
      </c>
      <c r="K155" s="19">
        <f>IF($C155="","",IF(TRIM(INDEX(인턴근무계획!$E$3:$J$202,$A155,2)&amp;"")="","",IFERROR(LEFT(TRIM(INDEX(인턴근무계획!$E$3:$J$202,$A155,2)&amp;""),FIND(" ",TRIM(INDEX(인턴근무계획!$E$3:$J$202,$A155,2)&amp;""))-1),TRIM(INDEX(인턴근무계획!$E$3:$J$202,$A155,2)&amp;""))))</f>
        <v/>
      </c>
      <c r="L155" s="19">
        <f>IF($C155="","",IF(TRIM(INDEX(인턴근무계획!$E$3:$J$202,$A155,3)&amp;"")="","",IFERROR(LEFT(TRIM(INDEX(인턴근무계획!$E$3:$J$202,$A155,3)&amp;""),FIND(" ",TRIM(INDEX(인턴근무계획!$E$3:$J$202,$A155,3)&amp;""))-1),TRIM(INDEX(인턴근무계획!$E$3:$J$202,$A155,3)&amp;""))))</f>
        <v/>
      </c>
      <c r="M155" s="19">
        <f>IF($C155="","",IF(TRIM(INDEX(인턴근무계획!$E$3:$J$202,$A155,4)&amp;"")="","",IFERROR(LEFT(TRIM(INDEX(인턴근무계획!$E$3:$J$202,$A155,4)&amp;""),FIND(" ",TRIM(INDEX(인턴근무계획!$E$3:$J$202,$A155,4)&amp;""))-1),TRIM(INDEX(인턴근무계획!$E$3:$J$202,$A155,4)&amp;""))))</f>
        <v/>
      </c>
      <c r="N155" s="19">
        <f>IF($C155="","",IF(TRIM(INDEX(인턴근무계획!$E$3:$J$202,$A155,5)&amp;"")="","",IFERROR(LEFT(TRIM(INDEX(인턴근무계획!$E$3:$J$202,$A155,5)&amp;""),FIND(" ",TRIM(INDEX(인턴근무계획!$E$3:$J$202,$A155,5)&amp;""))-1),TRIM(INDEX(인턴근무계획!$E$3:$J$202,$A155,5)&amp;""))))</f>
        <v/>
      </c>
      <c r="O155" s="19">
        <f>IF($C155="","",IF(TRIM(INDEX(인턴근무계획!$E$3:$J$202,$A155,6)&amp;"")="","",IFERROR(LEFT(TRIM(INDEX(인턴근무계획!$E$3:$J$202,$A155,6)&amp;""),FIND(" ",TRIM(INDEX(인턴근무계획!$E$3:$J$202,$A155,6)&amp;""))-1),TRIM(INDEX(인턴근무계획!$E$3:$J$202,$A155,6)&amp;""))))</f>
        <v/>
      </c>
      <c r="P155" s="19">
        <f>IF($C155="","",IF(INDEX(인턴근무계획!$K$3:$K$202,$A155)="","",INDEX(인턴근무계획!$K$3:$K$202,$A155)))</f>
        <v/>
      </c>
    </row>
    <row r="156">
      <c r="A156" s="18" t="n">
        <v>151</v>
      </c>
      <c r="B156" s="19">
        <f>IF($C156="","",INDEX(인턴근무계획!$B$3:$B$202,$A156))</f>
        <v/>
      </c>
      <c r="C156" s="19">
        <f>IFERROR(TRIM(INDEX(인턴근무계획!$C$3:$C$202,$A156)&amp;""),"")</f>
        <v/>
      </c>
      <c r="D156" s="19">
        <f>IF($C156="","",INDEX(인턴근무계획!$D$3:$D$202,$A156))</f>
        <v/>
      </c>
      <c r="E156" s="19">
        <f>IF($C156="","",IF(IFERROR(MATCH($D156,기본자료!$B$2:$B$501,0),IFERROR(MATCH($D156&amp;"",기본자료!$B$2:$B$501,0),IFERROR(MATCH(VALUE($D156),기본자료!$B$2:$B$501,0),0)))&gt;0,"확인","미등록"))</f>
        <v/>
      </c>
      <c r="F156" s="19">
        <f>IF(OR($C156="",$F$3=""),"",IF(TRIM(INDEX(인턴근무계획!$E$3:$J$202,$A156,$F$3)&amp;"")="","",IFERROR(LEFT(TRIM(INDEX(인턴근무계획!$E$3:$J$202,$A156,$F$3)&amp;""),FIND(" ",TRIM(INDEX(인턴근무계획!$E$3:$J$202,$A156,$F$3)&amp;""))-1),TRIM(INDEX(인턴근무계획!$E$3:$J$202,$A156,$F$3)&amp;""))))</f>
        <v/>
      </c>
      <c r="G156" s="19">
        <f>IF(OR($C156="",$F$3=""),"",IF(TRIM(INDEX(인턴근무계획!$E$3:$J$202,$A156,$F$3)&amp;"")="","",IFERROR(MID(TRIM(INDEX(인턴근무계획!$E$3:$J$202,$A156,$F$3)&amp;""),FIND(" ",TRIM(INDEX(인턴근무계획!$E$3:$J$202,$A156,$F$3)&amp;""))+1,60),"")))</f>
        <v/>
      </c>
      <c r="H156" s="19">
        <f>IF(OR($C156="",$H$3=""),"",IF(TRIM(INDEX(인턴근무계획!$E$3:$J$202,$A156,$H$3)&amp;"")="","",IFERROR(LEFT(TRIM(INDEX(인턴근무계획!$E$3:$J$202,$A156,$H$3)&amp;""),FIND(" ",TRIM(INDEX(인턴근무계획!$E$3:$J$202,$A156,$H$3)&amp;""))-1),TRIM(INDEX(인턴근무계획!$E$3:$J$202,$A156,$H$3)&amp;""))))</f>
        <v/>
      </c>
      <c r="I156" s="19">
        <f>IF(OR($C156="",$H$3=""),"",IF(TRIM(INDEX(인턴근무계획!$E$3:$J$202,$A156,$H$3)&amp;"")="","",IFERROR(MID(TRIM(INDEX(인턴근무계획!$E$3:$J$202,$A156,$H$3)&amp;""),FIND(" ",TRIM(INDEX(인턴근무계획!$E$3:$J$202,$A156,$H$3)&amp;""))+1,60),"")))</f>
        <v/>
      </c>
      <c r="J156" s="19">
        <f>IF($C156="","",IF(TRIM(INDEX(인턴근무계획!$E$3:$J$202,$A156,1)&amp;"")="","",IFERROR(LEFT(TRIM(INDEX(인턴근무계획!$E$3:$J$202,$A156,1)&amp;""),FIND(" ",TRIM(INDEX(인턴근무계획!$E$3:$J$202,$A156,1)&amp;""))-1),TRIM(INDEX(인턴근무계획!$E$3:$J$202,$A156,1)&amp;""))))</f>
        <v/>
      </c>
      <c r="K156" s="19">
        <f>IF($C156="","",IF(TRIM(INDEX(인턴근무계획!$E$3:$J$202,$A156,2)&amp;"")="","",IFERROR(LEFT(TRIM(INDEX(인턴근무계획!$E$3:$J$202,$A156,2)&amp;""),FIND(" ",TRIM(INDEX(인턴근무계획!$E$3:$J$202,$A156,2)&amp;""))-1),TRIM(INDEX(인턴근무계획!$E$3:$J$202,$A156,2)&amp;""))))</f>
        <v/>
      </c>
      <c r="L156" s="19">
        <f>IF($C156="","",IF(TRIM(INDEX(인턴근무계획!$E$3:$J$202,$A156,3)&amp;"")="","",IFERROR(LEFT(TRIM(INDEX(인턴근무계획!$E$3:$J$202,$A156,3)&amp;""),FIND(" ",TRIM(INDEX(인턴근무계획!$E$3:$J$202,$A156,3)&amp;""))-1),TRIM(INDEX(인턴근무계획!$E$3:$J$202,$A156,3)&amp;""))))</f>
        <v/>
      </c>
      <c r="M156" s="19">
        <f>IF($C156="","",IF(TRIM(INDEX(인턴근무계획!$E$3:$J$202,$A156,4)&amp;"")="","",IFERROR(LEFT(TRIM(INDEX(인턴근무계획!$E$3:$J$202,$A156,4)&amp;""),FIND(" ",TRIM(INDEX(인턴근무계획!$E$3:$J$202,$A156,4)&amp;""))-1),TRIM(INDEX(인턴근무계획!$E$3:$J$202,$A156,4)&amp;""))))</f>
        <v/>
      </c>
      <c r="N156" s="19">
        <f>IF($C156="","",IF(TRIM(INDEX(인턴근무계획!$E$3:$J$202,$A156,5)&amp;"")="","",IFERROR(LEFT(TRIM(INDEX(인턴근무계획!$E$3:$J$202,$A156,5)&amp;""),FIND(" ",TRIM(INDEX(인턴근무계획!$E$3:$J$202,$A156,5)&amp;""))-1),TRIM(INDEX(인턴근무계획!$E$3:$J$202,$A156,5)&amp;""))))</f>
        <v/>
      </c>
      <c r="O156" s="19">
        <f>IF($C156="","",IF(TRIM(INDEX(인턴근무계획!$E$3:$J$202,$A156,6)&amp;"")="","",IFERROR(LEFT(TRIM(INDEX(인턴근무계획!$E$3:$J$202,$A156,6)&amp;""),FIND(" ",TRIM(INDEX(인턴근무계획!$E$3:$J$202,$A156,6)&amp;""))-1),TRIM(INDEX(인턴근무계획!$E$3:$J$202,$A156,6)&amp;""))))</f>
        <v/>
      </c>
      <c r="P156" s="19">
        <f>IF($C156="","",IF(INDEX(인턴근무계획!$K$3:$K$202,$A156)="","",INDEX(인턴근무계획!$K$3:$K$202,$A156)))</f>
        <v/>
      </c>
    </row>
    <row r="157">
      <c r="A157" s="18" t="n">
        <v>152</v>
      </c>
      <c r="B157" s="19">
        <f>IF($C157="","",INDEX(인턴근무계획!$B$3:$B$202,$A157))</f>
        <v/>
      </c>
      <c r="C157" s="19">
        <f>IFERROR(TRIM(INDEX(인턴근무계획!$C$3:$C$202,$A157)&amp;""),"")</f>
        <v/>
      </c>
      <c r="D157" s="19">
        <f>IF($C157="","",INDEX(인턴근무계획!$D$3:$D$202,$A157))</f>
        <v/>
      </c>
      <c r="E157" s="19">
        <f>IF($C157="","",IF(IFERROR(MATCH($D157,기본자료!$B$2:$B$501,0),IFERROR(MATCH($D157&amp;"",기본자료!$B$2:$B$501,0),IFERROR(MATCH(VALUE($D157),기본자료!$B$2:$B$501,0),0)))&gt;0,"확인","미등록"))</f>
        <v/>
      </c>
      <c r="F157" s="19">
        <f>IF(OR($C157="",$F$3=""),"",IF(TRIM(INDEX(인턴근무계획!$E$3:$J$202,$A157,$F$3)&amp;"")="","",IFERROR(LEFT(TRIM(INDEX(인턴근무계획!$E$3:$J$202,$A157,$F$3)&amp;""),FIND(" ",TRIM(INDEX(인턴근무계획!$E$3:$J$202,$A157,$F$3)&amp;""))-1),TRIM(INDEX(인턴근무계획!$E$3:$J$202,$A157,$F$3)&amp;""))))</f>
        <v/>
      </c>
      <c r="G157" s="19">
        <f>IF(OR($C157="",$F$3=""),"",IF(TRIM(INDEX(인턴근무계획!$E$3:$J$202,$A157,$F$3)&amp;"")="","",IFERROR(MID(TRIM(INDEX(인턴근무계획!$E$3:$J$202,$A157,$F$3)&amp;""),FIND(" ",TRIM(INDEX(인턴근무계획!$E$3:$J$202,$A157,$F$3)&amp;""))+1,60),"")))</f>
        <v/>
      </c>
      <c r="H157" s="19">
        <f>IF(OR($C157="",$H$3=""),"",IF(TRIM(INDEX(인턴근무계획!$E$3:$J$202,$A157,$H$3)&amp;"")="","",IFERROR(LEFT(TRIM(INDEX(인턴근무계획!$E$3:$J$202,$A157,$H$3)&amp;""),FIND(" ",TRIM(INDEX(인턴근무계획!$E$3:$J$202,$A157,$H$3)&amp;""))-1),TRIM(INDEX(인턴근무계획!$E$3:$J$202,$A157,$H$3)&amp;""))))</f>
        <v/>
      </c>
      <c r="I157" s="19">
        <f>IF(OR($C157="",$H$3=""),"",IF(TRIM(INDEX(인턴근무계획!$E$3:$J$202,$A157,$H$3)&amp;"")="","",IFERROR(MID(TRIM(INDEX(인턴근무계획!$E$3:$J$202,$A157,$H$3)&amp;""),FIND(" ",TRIM(INDEX(인턴근무계획!$E$3:$J$202,$A157,$H$3)&amp;""))+1,60),"")))</f>
        <v/>
      </c>
      <c r="J157" s="19">
        <f>IF($C157="","",IF(TRIM(INDEX(인턴근무계획!$E$3:$J$202,$A157,1)&amp;"")="","",IFERROR(LEFT(TRIM(INDEX(인턴근무계획!$E$3:$J$202,$A157,1)&amp;""),FIND(" ",TRIM(INDEX(인턴근무계획!$E$3:$J$202,$A157,1)&amp;""))-1),TRIM(INDEX(인턴근무계획!$E$3:$J$202,$A157,1)&amp;""))))</f>
        <v/>
      </c>
      <c r="K157" s="19">
        <f>IF($C157="","",IF(TRIM(INDEX(인턴근무계획!$E$3:$J$202,$A157,2)&amp;"")="","",IFERROR(LEFT(TRIM(INDEX(인턴근무계획!$E$3:$J$202,$A157,2)&amp;""),FIND(" ",TRIM(INDEX(인턴근무계획!$E$3:$J$202,$A157,2)&amp;""))-1),TRIM(INDEX(인턴근무계획!$E$3:$J$202,$A157,2)&amp;""))))</f>
        <v/>
      </c>
      <c r="L157" s="19">
        <f>IF($C157="","",IF(TRIM(INDEX(인턴근무계획!$E$3:$J$202,$A157,3)&amp;"")="","",IFERROR(LEFT(TRIM(INDEX(인턴근무계획!$E$3:$J$202,$A157,3)&amp;""),FIND(" ",TRIM(INDEX(인턴근무계획!$E$3:$J$202,$A157,3)&amp;""))-1),TRIM(INDEX(인턴근무계획!$E$3:$J$202,$A157,3)&amp;""))))</f>
        <v/>
      </c>
      <c r="M157" s="19">
        <f>IF($C157="","",IF(TRIM(INDEX(인턴근무계획!$E$3:$J$202,$A157,4)&amp;"")="","",IFERROR(LEFT(TRIM(INDEX(인턴근무계획!$E$3:$J$202,$A157,4)&amp;""),FIND(" ",TRIM(INDEX(인턴근무계획!$E$3:$J$202,$A157,4)&amp;""))-1),TRIM(INDEX(인턴근무계획!$E$3:$J$202,$A157,4)&amp;""))))</f>
        <v/>
      </c>
      <c r="N157" s="19">
        <f>IF($C157="","",IF(TRIM(INDEX(인턴근무계획!$E$3:$J$202,$A157,5)&amp;"")="","",IFERROR(LEFT(TRIM(INDEX(인턴근무계획!$E$3:$J$202,$A157,5)&amp;""),FIND(" ",TRIM(INDEX(인턴근무계획!$E$3:$J$202,$A157,5)&amp;""))-1),TRIM(INDEX(인턴근무계획!$E$3:$J$202,$A157,5)&amp;""))))</f>
        <v/>
      </c>
      <c r="O157" s="19">
        <f>IF($C157="","",IF(TRIM(INDEX(인턴근무계획!$E$3:$J$202,$A157,6)&amp;"")="","",IFERROR(LEFT(TRIM(INDEX(인턴근무계획!$E$3:$J$202,$A157,6)&amp;""),FIND(" ",TRIM(INDEX(인턴근무계획!$E$3:$J$202,$A157,6)&amp;""))-1),TRIM(INDEX(인턴근무계획!$E$3:$J$202,$A157,6)&amp;""))))</f>
        <v/>
      </c>
      <c r="P157" s="19">
        <f>IF($C157="","",IF(INDEX(인턴근무계획!$K$3:$K$202,$A157)="","",INDEX(인턴근무계획!$K$3:$K$202,$A157)))</f>
        <v/>
      </c>
    </row>
    <row r="158">
      <c r="A158" s="18" t="n">
        <v>153</v>
      </c>
      <c r="B158" s="19">
        <f>IF($C158="","",INDEX(인턴근무계획!$B$3:$B$202,$A158))</f>
        <v/>
      </c>
      <c r="C158" s="19">
        <f>IFERROR(TRIM(INDEX(인턴근무계획!$C$3:$C$202,$A158)&amp;""),"")</f>
        <v/>
      </c>
      <c r="D158" s="19">
        <f>IF($C158="","",INDEX(인턴근무계획!$D$3:$D$202,$A158))</f>
        <v/>
      </c>
      <c r="E158" s="19">
        <f>IF($C158="","",IF(IFERROR(MATCH($D158,기본자료!$B$2:$B$501,0),IFERROR(MATCH($D158&amp;"",기본자료!$B$2:$B$501,0),IFERROR(MATCH(VALUE($D158),기본자료!$B$2:$B$501,0),0)))&gt;0,"확인","미등록"))</f>
        <v/>
      </c>
      <c r="F158" s="19">
        <f>IF(OR($C158="",$F$3=""),"",IF(TRIM(INDEX(인턴근무계획!$E$3:$J$202,$A158,$F$3)&amp;"")="","",IFERROR(LEFT(TRIM(INDEX(인턴근무계획!$E$3:$J$202,$A158,$F$3)&amp;""),FIND(" ",TRIM(INDEX(인턴근무계획!$E$3:$J$202,$A158,$F$3)&amp;""))-1),TRIM(INDEX(인턴근무계획!$E$3:$J$202,$A158,$F$3)&amp;""))))</f>
        <v/>
      </c>
      <c r="G158" s="19">
        <f>IF(OR($C158="",$F$3=""),"",IF(TRIM(INDEX(인턴근무계획!$E$3:$J$202,$A158,$F$3)&amp;"")="","",IFERROR(MID(TRIM(INDEX(인턴근무계획!$E$3:$J$202,$A158,$F$3)&amp;""),FIND(" ",TRIM(INDEX(인턴근무계획!$E$3:$J$202,$A158,$F$3)&amp;""))+1,60),"")))</f>
        <v/>
      </c>
      <c r="H158" s="19">
        <f>IF(OR($C158="",$H$3=""),"",IF(TRIM(INDEX(인턴근무계획!$E$3:$J$202,$A158,$H$3)&amp;"")="","",IFERROR(LEFT(TRIM(INDEX(인턴근무계획!$E$3:$J$202,$A158,$H$3)&amp;""),FIND(" ",TRIM(INDEX(인턴근무계획!$E$3:$J$202,$A158,$H$3)&amp;""))-1),TRIM(INDEX(인턴근무계획!$E$3:$J$202,$A158,$H$3)&amp;""))))</f>
        <v/>
      </c>
      <c r="I158" s="19">
        <f>IF(OR($C158="",$H$3=""),"",IF(TRIM(INDEX(인턴근무계획!$E$3:$J$202,$A158,$H$3)&amp;"")="","",IFERROR(MID(TRIM(INDEX(인턴근무계획!$E$3:$J$202,$A158,$H$3)&amp;""),FIND(" ",TRIM(INDEX(인턴근무계획!$E$3:$J$202,$A158,$H$3)&amp;""))+1,60),"")))</f>
        <v/>
      </c>
      <c r="J158" s="19">
        <f>IF($C158="","",IF(TRIM(INDEX(인턴근무계획!$E$3:$J$202,$A158,1)&amp;"")="","",IFERROR(LEFT(TRIM(INDEX(인턴근무계획!$E$3:$J$202,$A158,1)&amp;""),FIND(" ",TRIM(INDEX(인턴근무계획!$E$3:$J$202,$A158,1)&amp;""))-1),TRIM(INDEX(인턴근무계획!$E$3:$J$202,$A158,1)&amp;""))))</f>
        <v/>
      </c>
      <c r="K158" s="19">
        <f>IF($C158="","",IF(TRIM(INDEX(인턴근무계획!$E$3:$J$202,$A158,2)&amp;"")="","",IFERROR(LEFT(TRIM(INDEX(인턴근무계획!$E$3:$J$202,$A158,2)&amp;""),FIND(" ",TRIM(INDEX(인턴근무계획!$E$3:$J$202,$A158,2)&amp;""))-1),TRIM(INDEX(인턴근무계획!$E$3:$J$202,$A158,2)&amp;""))))</f>
        <v/>
      </c>
      <c r="L158" s="19">
        <f>IF($C158="","",IF(TRIM(INDEX(인턴근무계획!$E$3:$J$202,$A158,3)&amp;"")="","",IFERROR(LEFT(TRIM(INDEX(인턴근무계획!$E$3:$J$202,$A158,3)&amp;""),FIND(" ",TRIM(INDEX(인턴근무계획!$E$3:$J$202,$A158,3)&amp;""))-1),TRIM(INDEX(인턴근무계획!$E$3:$J$202,$A158,3)&amp;""))))</f>
        <v/>
      </c>
      <c r="M158" s="19">
        <f>IF($C158="","",IF(TRIM(INDEX(인턴근무계획!$E$3:$J$202,$A158,4)&amp;"")="","",IFERROR(LEFT(TRIM(INDEX(인턴근무계획!$E$3:$J$202,$A158,4)&amp;""),FIND(" ",TRIM(INDEX(인턴근무계획!$E$3:$J$202,$A158,4)&amp;""))-1),TRIM(INDEX(인턴근무계획!$E$3:$J$202,$A158,4)&amp;""))))</f>
        <v/>
      </c>
      <c r="N158" s="19">
        <f>IF($C158="","",IF(TRIM(INDEX(인턴근무계획!$E$3:$J$202,$A158,5)&amp;"")="","",IFERROR(LEFT(TRIM(INDEX(인턴근무계획!$E$3:$J$202,$A158,5)&amp;""),FIND(" ",TRIM(INDEX(인턴근무계획!$E$3:$J$202,$A158,5)&amp;""))-1),TRIM(INDEX(인턴근무계획!$E$3:$J$202,$A158,5)&amp;""))))</f>
        <v/>
      </c>
      <c r="O158" s="19">
        <f>IF($C158="","",IF(TRIM(INDEX(인턴근무계획!$E$3:$J$202,$A158,6)&amp;"")="","",IFERROR(LEFT(TRIM(INDEX(인턴근무계획!$E$3:$J$202,$A158,6)&amp;""),FIND(" ",TRIM(INDEX(인턴근무계획!$E$3:$J$202,$A158,6)&amp;""))-1),TRIM(INDEX(인턴근무계획!$E$3:$J$202,$A158,6)&amp;""))))</f>
        <v/>
      </c>
      <c r="P158" s="19">
        <f>IF($C158="","",IF(INDEX(인턴근무계획!$K$3:$K$202,$A158)="","",INDEX(인턴근무계획!$K$3:$K$202,$A158)))</f>
        <v/>
      </c>
    </row>
    <row r="159">
      <c r="A159" s="18" t="n">
        <v>154</v>
      </c>
      <c r="B159" s="19">
        <f>IF($C159="","",INDEX(인턴근무계획!$B$3:$B$202,$A159))</f>
        <v/>
      </c>
      <c r="C159" s="19">
        <f>IFERROR(TRIM(INDEX(인턴근무계획!$C$3:$C$202,$A159)&amp;""),"")</f>
        <v/>
      </c>
      <c r="D159" s="19">
        <f>IF($C159="","",INDEX(인턴근무계획!$D$3:$D$202,$A159))</f>
        <v/>
      </c>
      <c r="E159" s="19">
        <f>IF($C159="","",IF(IFERROR(MATCH($D159,기본자료!$B$2:$B$501,0),IFERROR(MATCH($D159&amp;"",기본자료!$B$2:$B$501,0),IFERROR(MATCH(VALUE($D159),기본자료!$B$2:$B$501,0),0)))&gt;0,"확인","미등록"))</f>
        <v/>
      </c>
      <c r="F159" s="19">
        <f>IF(OR($C159="",$F$3=""),"",IF(TRIM(INDEX(인턴근무계획!$E$3:$J$202,$A159,$F$3)&amp;"")="","",IFERROR(LEFT(TRIM(INDEX(인턴근무계획!$E$3:$J$202,$A159,$F$3)&amp;""),FIND(" ",TRIM(INDEX(인턴근무계획!$E$3:$J$202,$A159,$F$3)&amp;""))-1),TRIM(INDEX(인턴근무계획!$E$3:$J$202,$A159,$F$3)&amp;""))))</f>
        <v/>
      </c>
      <c r="G159" s="19">
        <f>IF(OR($C159="",$F$3=""),"",IF(TRIM(INDEX(인턴근무계획!$E$3:$J$202,$A159,$F$3)&amp;"")="","",IFERROR(MID(TRIM(INDEX(인턴근무계획!$E$3:$J$202,$A159,$F$3)&amp;""),FIND(" ",TRIM(INDEX(인턴근무계획!$E$3:$J$202,$A159,$F$3)&amp;""))+1,60),"")))</f>
        <v/>
      </c>
      <c r="H159" s="19">
        <f>IF(OR($C159="",$H$3=""),"",IF(TRIM(INDEX(인턴근무계획!$E$3:$J$202,$A159,$H$3)&amp;"")="","",IFERROR(LEFT(TRIM(INDEX(인턴근무계획!$E$3:$J$202,$A159,$H$3)&amp;""),FIND(" ",TRIM(INDEX(인턴근무계획!$E$3:$J$202,$A159,$H$3)&amp;""))-1),TRIM(INDEX(인턴근무계획!$E$3:$J$202,$A159,$H$3)&amp;""))))</f>
        <v/>
      </c>
      <c r="I159" s="19">
        <f>IF(OR($C159="",$H$3=""),"",IF(TRIM(INDEX(인턴근무계획!$E$3:$J$202,$A159,$H$3)&amp;"")="","",IFERROR(MID(TRIM(INDEX(인턴근무계획!$E$3:$J$202,$A159,$H$3)&amp;""),FIND(" ",TRIM(INDEX(인턴근무계획!$E$3:$J$202,$A159,$H$3)&amp;""))+1,60),"")))</f>
        <v/>
      </c>
      <c r="J159" s="19">
        <f>IF($C159="","",IF(TRIM(INDEX(인턴근무계획!$E$3:$J$202,$A159,1)&amp;"")="","",IFERROR(LEFT(TRIM(INDEX(인턴근무계획!$E$3:$J$202,$A159,1)&amp;""),FIND(" ",TRIM(INDEX(인턴근무계획!$E$3:$J$202,$A159,1)&amp;""))-1),TRIM(INDEX(인턴근무계획!$E$3:$J$202,$A159,1)&amp;""))))</f>
        <v/>
      </c>
      <c r="K159" s="19">
        <f>IF($C159="","",IF(TRIM(INDEX(인턴근무계획!$E$3:$J$202,$A159,2)&amp;"")="","",IFERROR(LEFT(TRIM(INDEX(인턴근무계획!$E$3:$J$202,$A159,2)&amp;""),FIND(" ",TRIM(INDEX(인턴근무계획!$E$3:$J$202,$A159,2)&amp;""))-1),TRIM(INDEX(인턴근무계획!$E$3:$J$202,$A159,2)&amp;""))))</f>
        <v/>
      </c>
      <c r="L159" s="19">
        <f>IF($C159="","",IF(TRIM(INDEX(인턴근무계획!$E$3:$J$202,$A159,3)&amp;"")="","",IFERROR(LEFT(TRIM(INDEX(인턴근무계획!$E$3:$J$202,$A159,3)&amp;""),FIND(" ",TRIM(INDEX(인턴근무계획!$E$3:$J$202,$A159,3)&amp;""))-1),TRIM(INDEX(인턴근무계획!$E$3:$J$202,$A159,3)&amp;""))))</f>
        <v/>
      </c>
      <c r="M159" s="19">
        <f>IF($C159="","",IF(TRIM(INDEX(인턴근무계획!$E$3:$J$202,$A159,4)&amp;"")="","",IFERROR(LEFT(TRIM(INDEX(인턴근무계획!$E$3:$J$202,$A159,4)&amp;""),FIND(" ",TRIM(INDEX(인턴근무계획!$E$3:$J$202,$A159,4)&amp;""))-1),TRIM(INDEX(인턴근무계획!$E$3:$J$202,$A159,4)&amp;""))))</f>
        <v/>
      </c>
      <c r="N159" s="19">
        <f>IF($C159="","",IF(TRIM(INDEX(인턴근무계획!$E$3:$J$202,$A159,5)&amp;"")="","",IFERROR(LEFT(TRIM(INDEX(인턴근무계획!$E$3:$J$202,$A159,5)&amp;""),FIND(" ",TRIM(INDEX(인턴근무계획!$E$3:$J$202,$A159,5)&amp;""))-1),TRIM(INDEX(인턴근무계획!$E$3:$J$202,$A159,5)&amp;""))))</f>
        <v/>
      </c>
      <c r="O159" s="19">
        <f>IF($C159="","",IF(TRIM(INDEX(인턴근무계획!$E$3:$J$202,$A159,6)&amp;"")="","",IFERROR(LEFT(TRIM(INDEX(인턴근무계획!$E$3:$J$202,$A159,6)&amp;""),FIND(" ",TRIM(INDEX(인턴근무계획!$E$3:$J$202,$A159,6)&amp;""))-1),TRIM(INDEX(인턴근무계획!$E$3:$J$202,$A159,6)&amp;""))))</f>
        <v/>
      </c>
      <c r="P159" s="19">
        <f>IF($C159="","",IF(INDEX(인턴근무계획!$K$3:$K$202,$A159)="","",INDEX(인턴근무계획!$K$3:$K$202,$A159)))</f>
        <v/>
      </c>
    </row>
    <row r="160">
      <c r="A160" s="18" t="n">
        <v>155</v>
      </c>
      <c r="B160" s="19">
        <f>IF($C160="","",INDEX(인턴근무계획!$B$3:$B$202,$A160))</f>
        <v/>
      </c>
      <c r="C160" s="19">
        <f>IFERROR(TRIM(INDEX(인턴근무계획!$C$3:$C$202,$A160)&amp;""),"")</f>
        <v/>
      </c>
      <c r="D160" s="19">
        <f>IF($C160="","",INDEX(인턴근무계획!$D$3:$D$202,$A160))</f>
        <v/>
      </c>
      <c r="E160" s="19">
        <f>IF($C160="","",IF(IFERROR(MATCH($D160,기본자료!$B$2:$B$501,0),IFERROR(MATCH($D160&amp;"",기본자료!$B$2:$B$501,0),IFERROR(MATCH(VALUE($D160),기본자료!$B$2:$B$501,0),0)))&gt;0,"확인","미등록"))</f>
        <v/>
      </c>
      <c r="F160" s="19">
        <f>IF(OR($C160="",$F$3=""),"",IF(TRIM(INDEX(인턴근무계획!$E$3:$J$202,$A160,$F$3)&amp;"")="","",IFERROR(LEFT(TRIM(INDEX(인턴근무계획!$E$3:$J$202,$A160,$F$3)&amp;""),FIND(" ",TRIM(INDEX(인턴근무계획!$E$3:$J$202,$A160,$F$3)&amp;""))-1),TRIM(INDEX(인턴근무계획!$E$3:$J$202,$A160,$F$3)&amp;""))))</f>
        <v/>
      </c>
      <c r="G160" s="19">
        <f>IF(OR($C160="",$F$3=""),"",IF(TRIM(INDEX(인턴근무계획!$E$3:$J$202,$A160,$F$3)&amp;"")="","",IFERROR(MID(TRIM(INDEX(인턴근무계획!$E$3:$J$202,$A160,$F$3)&amp;""),FIND(" ",TRIM(INDEX(인턴근무계획!$E$3:$J$202,$A160,$F$3)&amp;""))+1,60),"")))</f>
        <v/>
      </c>
      <c r="H160" s="19">
        <f>IF(OR($C160="",$H$3=""),"",IF(TRIM(INDEX(인턴근무계획!$E$3:$J$202,$A160,$H$3)&amp;"")="","",IFERROR(LEFT(TRIM(INDEX(인턴근무계획!$E$3:$J$202,$A160,$H$3)&amp;""),FIND(" ",TRIM(INDEX(인턴근무계획!$E$3:$J$202,$A160,$H$3)&amp;""))-1),TRIM(INDEX(인턴근무계획!$E$3:$J$202,$A160,$H$3)&amp;""))))</f>
        <v/>
      </c>
      <c r="I160" s="19">
        <f>IF(OR($C160="",$H$3=""),"",IF(TRIM(INDEX(인턴근무계획!$E$3:$J$202,$A160,$H$3)&amp;"")="","",IFERROR(MID(TRIM(INDEX(인턴근무계획!$E$3:$J$202,$A160,$H$3)&amp;""),FIND(" ",TRIM(INDEX(인턴근무계획!$E$3:$J$202,$A160,$H$3)&amp;""))+1,60),"")))</f>
        <v/>
      </c>
      <c r="J160" s="19">
        <f>IF($C160="","",IF(TRIM(INDEX(인턴근무계획!$E$3:$J$202,$A160,1)&amp;"")="","",IFERROR(LEFT(TRIM(INDEX(인턴근무계획!$E$3:$J$202,$A160,1)&amp;""),FIND(" ",TRIM(INDEX(인턴근무계획!$E$3:$J$202,$A160,1)&amp;""))-1),TRIM(INDEX(인턴근무계획!$E$3:$J$202,$A160,1)&amp;""))))</f>
        <v/>
      </c>
      <c r="K160" s="19">
        <f>IF($C160="","",IF(TRIM(INDEX(인턴근무계획!$E$3:$J$202,$A160,2)&amp;"")="","",IFERROR(LEFT(TRIM(INDEX(인턴근무계획!$E$3:$J$202,$A160,2)&amp;""),FIND(" ",TRIM(INDEX(인턴근무계획!$E$3:$J$202,$A160,2)&amp;""))-1),TRIM(INDEX(인턴근무계획!$E$3:$J$202,$A160,2)&amp;""))))</f>
        <v/>
      </c>
      <c r="L160" s="19">
        <f>IF($C160="","",IF(TRIM(INDEX(인턴근무계획!$E$3:$J$202,$A160,3)&amp;"")="","",IFERROR(LEFT(TRIM(INDEX(인턴근무계획!$E$3:$J$202,$A160,3)&amp;""),FIND(" ",TRIM(INDEX(인턴근무계획!$E$3:$J$202,$A160,3)&amp;""))-1),TRIM(INDEX(인턴근무계획!$E$3:$J$202,$A160,3)&amp;""))))</f>
        <v/>
      </c>
      <c r="M160" s="19">
        <f>IF($C160="","",IF(TRIM(INDEX(인턴근무계획!$E$3:$J$202,$A160,4)&amp;"")="","",IFERROR(LEFT(TRIM(INDEX(인턴근무계획!$E$3:$J$202,$A160,4)&amp;""),FIND(" ",TRIM(INDEX(인턴근무계획!$E$3:$J$202,$A160,4)&amp;""))-1),TRIM(INDEX(인턴근무계획!$E$3:$J$202,$A160,4)&amp;""))))</f>
        <v/>
      </c>
      <c r="N160" s="19">
        <f>IF($C160="","",IF(TRIM(INDEX(인턴근무계획!$E$3:$J$202,$A160,5)&amp;"")="","",IFERROR(LEFT(TRIM(INDEX(인턴근무계획!$E$3:$J$202,$A160,5)&amp;""),FIND(" ",TRIM(INDEX(인턴근무계획!$E$3:$J$202,$A160,5)&amp;""))-1),TRIM(INDEX(인턴근무계획!$E$3:$J$202,$A160,5)&amp;""))))</f>
        <v/>
      </c>
      <c r="O160" s="19">
        <f>IF($C160="","",IF(TRIM(INDEX(인턴근무계획!$E$3:$J$202,$A160,6)&amp;"")="","",IFERROR(LEFT(TRIM(INDEX(인턴근무계획!$E$3:$J$202,$A160,6)&amp;""),FIND(" ",TRIM(INDEX(인턴근무계획!$E$3:$J$202,$A160,6)&amp;""))-1),TRIM(INDEX(인턴근무계획!$E$3:$J$202,$A160,6)&amp;""))))</f>
        <v/>
      </c>
      <c r="P160" s="19">
        <f>IF($C160="","",IF(INDEX(인턴근무계획!$K$3:$K$202,$A160)="","",INDEX(인턴근무계획!$K$3:$K$202,$A160)))</f>
        <v/>
      </c>
    </row>
    <row r="161">
      <c r="A161" s="18" t="n">
        <v>156</v>
      </c>
      <c r="B161" s="19">
        <f>IF($C161="","",INDEX(인턴근무계획!$B$3:$B$202,$A161))</f>
        <v/>
      </c>
      <c r="C161" s="19">
        <f>IFERROR(TRIM(INDEX(인턴근무계획!$C$3:$C$202,$A161)&amp;""),"")</f>
        <v/>
      </c>
      <c r="D161" s="19">
        <f>IF($C161="","",INDEX(인턴근무계획!$D$3:$D$202,$A161))</f>
        <v/>
      </c>
      <c r="E161" s="19">
        <f>IF($C161="","",IF(IFERROR(MATCH($D161,기본자료!$B$2:$B$501,0),IFERROR(MATCH($D161&amp;"",기본자료!$B$2:$B$501,0),IFERROR(MATCH(VALUE($D161),기본자료!$B$2:$B$501,0),0)))&gt;0,"확인","미등록"))</f>
        <v/>
      </c>
      <c r="F161" s="19">
        <f>IF(OR($C161="",$F$3=""),"",IF(TRIM(INDEX(인턴근무계획!$E$3:$J$202,$A161,$F$3)&amp;"")="","",IFERROR(LEFT(TRIM(INDEX(인턴근무계획!$E$3:$J$202,$A161,$F$3)&amp;""),FIND(" ",TRIM(INDEX(인턴근무계획!$E$3:$J$202,$A161,$F$3)&amp;""))-1),TRIM(INDEX(인턴근무계획!$E$3:$J$202,$A161,$F$3)&amp;""))))</f>
        <v/>
      </c>
      <c r="G161" s="19">
        <f>IF(OR($C161="",$F$3=""),"",IF(TRIM(INDEX(인턴근무계획!$E$3:$J$202,$A161,$F$3)&amp;"")="","",IFERROR(MID(TRIM(INDEX(인턴근무계획!$E$3:$J$202,$A161,$F$3)&amp;""),FIND(" ",TRIM(INDEX(인턴근무계획!$E$3:$J$202,$A161,$F$3)&amp;""))+1,60),"")))</f>
        <v/>
      </c>
      <c r="H161" s="19">
        <f>IF(OR($C161="",$H$3=""),"",IF(TRIM(INDEX(인턴근무계획!$E$3:$J$202,$A161,$H$3)&amp;"")="","",IFERROR(LEFT(TRIM(INDEX(인턴근무계획!$E$3:$J$202,$A161,$H$3)&amp;""),FIND(" ",TRIM(INDEX(인턴근무계획!$E$3:$J$202,$A161,$H$3)&amp;""))-1),TRIM(INDEX(인턴근무계획!$E$3:$J$202,$A161,$H$3)&amp;""))))</f>
        <v/>
      </c>
      <c r="I161" s="19">
        <f>IF(OR($C161="",$H$3=""),"",IF(TRIM(INDEX(인턴근무계획!$E$3:$J$202,$A161,$H$3)&amp;"")="","",IFERROR(MID(TRIM(INDEX(인턴근무계획!$E$3:$J$202,$A161,$H$3)&amp;""),FIND(" ",TRIM(INDEX(인턴근무계획!$E$3:$J$202,$A161,$H$3)&amp;""))+1,60),"")))</f>
        <v/>
      </c>
      <c r="J161" s="19">
        <f>IF($C161="","",IF(TRIM(INDEX(인턴근무계획!$E$3:$J$202,$A161,1)&amp;"")="","",IFERROR(LEFT(TRIM(INDEX(인턴근무계획!$E$3:$J$202,$A161,1)&amp;""),FIND(" ",TRIM(INDEX(인턴근무계획!$E$3:$J$202,$A161,1)&amp;""))-1),TRIM(INDEX(인턴근무계획!$E$3:$J$202,$A161,1)&amp;""))))</f>
        <v/>
      </c>
      <c r="K161" s="19">
        <f>IF($C161="","",IF(TRIM(INDEX(인턴근무계획!$E$3:$J$202,$A161,2)&amp;"")="","",IFERROR(LEFT(TRIM(INDEX(인턴근무계획!$E$3:$J$202,$A161,2)&amp;""),FIND(" ",TRIM(INDEX(인턴근무계획!$E$3:$J$202,$A161,2)&amp;""))-1),TRIM(INDEX(인턴근무계획!$E$3:$J$202,$A161,2)&amp;""))))</f>
        <v/>
      </c>
      <c r="L161" s="19">
        <f>IF($C161="","",IF(TRIM(INDEX(인턴근무계획!$E$3:$J$202,$A161,3)&amp;"")="","",IFERROR(LEFT(TRIM(INDEX(인턴근무계획!$E$3:$J$202,$A161,3)&amp;""),FIND(" ",TRIM(INDEX(인턴근무계획!$E$3:$J$202,$A161,3)&amp;""))-1),TRIM(INDEX(인턴근무계획!$E$3:$J$202,$A161,3)&amp;""))))</f>
        <v/>
      </c>
      <c r="M161" s="19">
        <f>IF($C161="","",IF(TRIM(INDEX(인턴근무계획!$E$3:$J$202,$A161,4)&amp;"")="","",IFERROR(LEFT(TRIM(INDEX(인턴근무계획!$E$3:$J$202,$A161,4)&amp;""),FIND(" ",TRIM(INDEX(인턴근무계획!$E$3:$J$202,$A161,4)&amp;""))-1),TRIM(INDEX(인턴근무계획!$E$3:$J$202,$A161,4)&amp;""))))</f>
        <v/>
      </c>
      <c r="N161" s="19">
        <f>IF($C161="","",IF(TRIM(INDEX(인턴근무계획!$E$3:$J$202,$A161,5)&amp;"")="","",IFERROR(LEFT(TRIM(INDEX(인턴근무계획!$E$3:$J$202,$A161,5)&amp;""),FIND(" ",TRIM(INDEX(인턴근무계획!$E$3:$J$202,$A161,5)&amp;""))-1),TRIM(INDEX(인턴근무계획!$E$3:$J$202,$A161,5)&amp;""))))</f>
        <v/>
      </c>
      <c r="O161" s="19">
        <f>IF($C161="","",IF(TRIM(INDEX(인턴근무계획!$E$3:$J$202,$A161,6)&amp;"")="","",IFERROR(LEFT(TRIM(INDEX(인턴근무계획!$E$3:$J$202,$A161,6)&amp;""),FIND(" ",TRIM(INDEX(인턴근무계획!$E$3:$J$202,$A161,6)&amp;""))-1),TRIM(INDEX(인턴근무계획!$E$3:$J$202,$A161,6)&amp;""))))</f>
        <v/>
      </c>
      <c r="P161" s="19">
        <f>IF($C161="","",IF(INDEX(인턴근무계획!$K$3:$K$202,$A161)="","",INDEX(인턴근무계획!$K$3:$K$202,$A161)))</f>
        <v/>
      </c>
    </row>
    <row r="162">
      <c r="A162" s="18" t="n">
        <v>157</v>
      </c>
      <c r="B162" s="19">
        <f>IF($C162="","",INDEX(인턴근무계획!$B$3:$B$202,$A162))</f>
        <v/>
      </c>
      <c r="C162" s="19">
        <f>IFERROR(TRIM(INDEX(인턴근무계획!$C$3:$C$202,$A162)&amp;""),"")</f>
        <v/>
      </c>
      <c r="D162" s="19">
        <f>IF($C162="","",INDEX(인턴근무계획!$D$3:$D$202,$A162))</f>
        <v/>
      </c>
      <c r="E162" s="19">
        <f>IF($C162="","",IF(IFERROR(MATCH($D162,기본자료!$B$2:$B$501,0),IFERROR(MATCH($D162&amp;"",기본자료!$B$2:$B$501,0),IFERROR(MATCH(VALUE($D162),기본자료!$B$2:$B$501,0),0)))&gt;0,"확인","미등록"))</f>
        <v/>
      </c>
      <c r="F162" s="19">
        <f>IF(OR($C162="",$F$3=""),"",IF(TRIM(INDEX(인턴근무계획!$E$3:$J$202,$A162,$F$3)&amp;"")="","",IFERROR(LEFT(TRIM(INDEX(인턴근무계획!$E$3:$J$202,$A162,$F$3)&amp;""),FIND(" ",TRIM(INDEX(인턴근무계획!$E$3:$J$202,$A162,$F$3)&amp;""))-1),TRIM(INDEX(인턴근무계획!$E$3:$J$202,$A162,$F$3)&amp;""))))</f>
        <v/>
      </c>
      <c r="G162" s="19">
        <f>IF(OR($C162="",$F$3=""),"",IF(TRIM(INDEX(인턴근무계획!$E$3:$J$202,$A162,$F$3)&amp;"")="","",IFERROR(MID(TRIM(INDEX(인턴근무계획!$E$3:$J$202,$A162,$F$3)&amp;""),FIND(" ",TRIM(INDEX(인턴근무계획!$E$3:$J$202,$A162,$F$3)&amp;""))+1,60),"")))</f>
        <v/>
      </c>
      <c r="H162" s="19">
        <f>IF(OR($C162="",$H$3=""),"",IF(TRIM(INDEX(인턴근무계획!$E$3:$J$202,$A162,$H$3)&amp;"")="","",IFERROR(LEFT(TRIM(INDEX(인턴근무계획!$E$3:$J$202,$A162,$H$3)&amp;""),FIND(" ",TRIM(INDEX(인턴근무계획!$E$3:$J$202,$A162,$H$3)&amp;""))-1),TRIM(INDEX(인턴근무계획!$E$3:$J$202,$A162,$H$3)&amp;""))))</f>
        <v/>
      </c>
      <c r="I162" s="19">
        <f>IF(OR($C162="",$H$3=""),"",IF(TRIM(INDEX(인턴근무계획!$E$3:$J$202,$A162,$H$3)&amp;"")="","",IFERROR(MID(TRIM(INDEX(인턴근무계획!$E$3:$J$202,$A162,$H$3)&amp;""),FIND(" ",TRIM(INDEX(인턴근무계획!$E$3:$J$202,$A162,$H$3)&amp;""))+1,60),"")))</f>
        <v/>
      </c>
      <c r="J162" s="19">
        <f>IF($C162="","",IF(TRIM(INDEX(인턴근무계획!$E$3:$J$202,$A162,1)&amp;"")="","",IFERROR(LEFT(TRIM(INDEX(인턴근무계획!$E$3:$J$202,$A162,1)&amp;""),FIND(" ",TRIM(INDEX(인턴근무계획!$E$3:$J$202,$A162,1)&amp;""))-1),TRIM(INDEX(인턴근무계획!$E$3:$J$202,$A162,1)&amp;""))))</f>
        <v/>
      </c>
      <c r="K162" s="19">
        <f>IF($C162="","",IF(TRIM(INDEX(인턴근무계획!$E$3:$J$202,$A162,2)&amp;"")="","",IFERROR(LEFT(TRIM(INDEX(인턴근무계획!$E$3:$J$202,$A162,2)&amp;""),FIND(" ",TRIM(INDEX(인턴근무계획!$E$3:$J$202,$A162,2)&amp;""))-1),TRIM(INDEX(인턴근무계획!$E$3:$J$202,$A162,2)&amp;""))))</f>
        <v/>
      </c>
      <c r="L162" s="19">
        <f>IF($C162="","",IF(TRIM(INDEX(인턴근무계획!$E$3:$J$202,$A162,3)&amp;"")="","",IFERROR(LEFT(TRIM(INDEX(인턴근무계획!$E$3:$J$202,$A162,3)&amp;""),FIND(" ",TRIM(INDEX(인턴근무계획!$E$3:$J$202,$A162,3)&amp;""))-1),TRIM(INDEX(인턴근무계획!$E$3:$J$202,$A162,3)&amp;""))))</f>
        <v/>
      </c>
      <c r="M162" s="19">
        <f>IF($C162="","",IF(TRIM(INDEX(인턴근무계획!$E$3:$J$202,$A162,4)&amp;"")="","",IFERROR(LEFT(TRIM(INDEX(인턴근무계획!$E$3:$J$202,$A162,4)&amp;""),FIND(" ",TRIM(INDEX(인턴근무계획!$E$3:$J$202,$A162,4)&amp;""))-1),TRIM(INDEX(인턴근무계획!$E$3:$J$202,$A162,4)&amp;""))))</f>
        <v/>
      </c>
      <c r="N162" s="19">
        <f>IF($C162="","",IF(TRIM(INDEX(인턴근무계획!$E$3:$J$202,$A162,5)&amp;"")="","",IFERROR(LEFT(TRIM(INDEX(인턴근무계획!$E$3:$J$202,$A162,5)&amp;""),FIND(" ",TRIM(INDEX(인턴근무계획!$E$3:$J$202,$A162,5)&amp;""))-1),TRIM(INDEX(인턴근무계획!$E$3:$J$202,$A162,5)&amp;""))))</f>
        <v/>
      </c>
      <c r="O162" s="19">
        <f>IF($C162="","",IF(TRIM(INDEX(인턴근무계획!$E$3:$J$202,$A162,6)&amp;"")="","",IFERROR(LEFT(TRIM(INDEX(인턴근무계획!$E$3:$J$202,$A162,6)&amp;""),FIND(" ",TRIM(INDEX(인턴근무계획!$E$3:$J$202,$A162,6)&amp;""))-1),TRIM(INDEX(인턴근무계획!$E$3:$J$202,$A162,6)&amp;""))))</f>
        <v/>
      </c>
      <c r="P162" s="19">
        <f>IF($C162="","",IF(INDEX(인턴근무계획!$K$3:$K$202,$A162)="","",INDEX(인턴근무계획!$K$3:$K$202,$A162)))</f>
        <v/>
      </c>
    </row>
    <row r="163">
      <c r="A163" s="18" t="n">
        <v>158</v>
      </c>
      <c r="B163" s="19">
        <f>IF($C163="","",INDEX(인턴근무계획!$B$3:$B$202,$A163))</f>
        <v/>
      </c>
      <c r="C163" s="19">
        <f>IFERROR(TRIM(INDEX(인턴근무계획!$C$3:$C$202,$A163)&amp;""),"")</f>
        <v/>
      </c>
      <c r="D163" s="19">
        <f>IF($C163="","",INDEX(인턴근무계획!$D$3:$D$202,$A163))</f>
        <v/>
      </c>
      <c r="E163" s="19">
        <f>IF($C163="","",IF(IFERROR(MATCH($D163,기본자료!$B$2:$B$501,0),IFERROR(MATCH($D163&amp;"",기본자료!$B$2:$B$501,0),IFERROR(MATCH(VALUE($D163),기본자료!$B$2:$B$501,0),0)))&gt;0,"확인","미등록"))</f>
        <v/>
      </c>
      <c r="F163" s="19">
        <f>IF(OR($C163="",$F$3=""),"",IF(TRIM(INDEX(인턴근무계획!$E$3:$J$202,$A163,$F$3)&amp;"")="","",IFERROR(LEFT(TRIM(INDEX(인턴근무계획!$E$3:$J$202,$A163,$F$3)&amp;""),FIND(" ",TRIM(INDEX(인턴근무계획!$E$3:$J$202,$A163,$F$3)&amp;""))-1),TRIM(INDEX(인턴근무계획!$E$3:$J$202,$A163,$F$3)&amp;""))))</f>
        <v/>
      </c>
      <c r="G163" s="19">
        <f>IF(OR($C163="",$F$3=""),"",IF(TRIM(INDEX(인턴근무계획!$E$3:$J$202,$A163,$F$3)&amp;"")="","",IFERROR(MID(TRIM(INDEX(인턴근무계획!$E$3:$J$202,$A163,$F$3)&amp;""),FIND(" ",TRIM(INDEX(인턴근무계획!$E$3:$J$202,$A163,$F$3)&amp;""))+1,60),"")))</f>
        <v/>
      </c>
      <c r="H163" s="19">
        <f>IF(OR($C163="",$H$3=""),"",IF(TRIM(INDEX(인턴근무계획!$E$3:$J$202,$A163,$H$3)&amp;"")="","",IFERROR(LEFT(TRIM(INDEX(인턴근무계획!$E$3:$J$202,$A163,$H$3)&amp;""),FIND(" ",TRIM(INDEX(인턴근무계획!$E$3:$J$202,$A163,$H$3)&amp;""))-1),TRIM(INDEX(인턴근무계획!$E$3:$J$202,$A163,$H$3)&amp;""))))</f>
        <v/>
      </c>
      <c r="I163" s="19">
        <f>IF(OR($C163="",$H$3=""),"",IF(TRIM(INDEX(인턴근무계획!$E$3:$J$202,$A163,$H$3)&amp;"")="","",IFERROR(MID(TRIM(INDEX(인턴근무계획!$E$3:$J$202,$A163,$H$3)&amp;""),FIND(" ",TRIM(INDEX(인턴근무계획!$E$3:$J$202,$A163,$H$3)&amp;""))+1,60),"")))</f>
        <v/>
      </c>
      <c r="J163" s="19">
        <f>IF($C163="","",IF(TRIM(INDEX(인턴근무계획!$E$3:$J$202,$A163,1)&amp;"")="","",IFERROR(LEFT(TRIM(INDEX(인턴근무계획!$E$3:$J$202,$A163,1)&amp;""),FIND(" ",TRIM(INDEX(인턴근무계획!$E$3:$J$202,$A163,1)&amp;""))-1),TRIM(INDEX(인턴근무계획!$E$3:$J$202,$A163,1)&amp;""))))</f>
        <v/>
      </c>
      <c r="K163" s="19">
        <f>IF($C163="","",IF(TRIM(INDEX(인턴근무계획!$E$3:$J$202,$A163,2)&amp;"")="","",IFERROR(LEFT(TRIM(INDEX(인턴근무계획!$E$3:$J$202,$A163,2)&amp;""),FIND(" ",TRIM(INDEX(인턴근무계획!$E$3:$J$202,$A163,2)&amp;""))-1),TRIM(INDEX(인턴근무계획!$E$3:$J$202,$A163,2)&amp;""))))</f>
        <v/>
      </c>
      <c r="L163" s="19">
        <f>IF($C163="","",IF(TRIM(INDEX(인턴근무계획!$E$3:$J$202,$A163,3)&amp;"")="","",IFERROR(LEFT(TRIM(INDEX(인턴근무계획!$E$3:$J$202,$A163,3)&amp;""),FIND(" ",TRIM(INDEX(인턴근무계획!$E$3:$J$202,$A163,3)&amp;""))-1),TRIM(INDEX(인턴근무계획!$E$3:$J$202,$A163,3)&amp;""))))</f>
        <v/>
      </c>
      <c r="M163" s="19">
        <f>IF($C163="","",IF(TRIM(INDEX(인턴근무계획!$E$3:$J$202,$A163,4)&amp;"")="","",IFERROR(LEFT(TRIM(INDEX(인턴근무계획!$E$3:$J$202,$A163,4)&amp;""),FIND(" ",TRIM(INDEX(인턴근무계획!$E$3:$J$202,$A163,4)&amp;""))-1),TRIM(INDEX(인턴근무계획!$E$3:$J$202,$A163,4)&amp;""))))</f>
        <v/>
      </c>
      <c r="N163" s="19">
        <f>IF($C163="","",IF(TRIM(INDEX(인턴근무계획!$E$3:$J$202,$A163,5)&amp;"")="","",IFERROR(LEFT(TRIM(INDEX(인턴근무계획!$E$3:$J$202,$A163,5)&amp;""),FIND(" ",TRIM(INDEX(인턴근무계획!$E$3:$J$202,$A163,5)&amp;""))-1),TRIM(INDEX(인턴근무계획!$E$3:$J$202,$A163,5)&amp;""))))</f>
        <v/>
      </c>
      <c r="O163" s="19">
        <f>IF($C163="","",IF(TRIM(INDEX(인턴근무계획!$E$3:$J$202,$A163,6)&amp;"")="","",IFERROR(LEFT(TRIM(INDEX(인턴근무계획!$E$3:$J$202,$A163,6)&amp;""),FIND(" ",TRIM(INDEX(인턴근무계획!$E$3:$J$202,$A163,6)&amp;""))-1),TRIM(INDEX(인턴근무계획!$E$3:$J$202,$A163,6)&amp;""))))</f>
        <v/>
      </c>
      <c r="P163" s="19">
        <f>IF($C163="","",IF(INDEX(인턴근무계획!$K$3:$K$202,$A163)="","",INDEX(인턴근무계획!$K$3:$K$202,$A163)))</f>
        <v/>
      </c>
    </row>
    <row r="164">
      <c r="A164" s="18" t="n">
        <v>159</v>
      </c>
      <c r="B164" s="19">
        <f>IF($C164="","",INDEX(인턴근무계획!$B$3:$B$202,$A164))</f>
        <v/>
      </c>
      <c r="C164" s="19">
        <f>IFERROR(TRIM(INDEX(인턴근무계획!$C$3:$C$202,$A164)&amp;""),"")</f>
        <v/>
      </c>
      <c r="D164" s="19">
        <f>IF($C164="","",INDEX(인턴근무계획!$D$3:$D$202,$A164))</f>
        <v/>
      </c>
      <c r="E164" s="19">
        <f>IF($C164="","",IF(IFERROR(MATCH($D164,기본자료!$B$2:$B$501,0),IFERROR(MATCH($D164&amp;"",기본자료!$B$2:$B$501,0),IFERROR(MATCH(VALUE($D164),기본자료!$B$2:$B$501,0),0)))&gt;0,"확인","미등록"))</f>
        <v/>
      </c>
      <c r="F164" s="19">
        <f>IF(OR($C164="",$F$3=""),"",IF(TRIM(INDEX(인턴근무계획!$E$3:$J$202,$A164,$F$3)&amp;"")="","",IFERROR(LEFT(TRIM(INDEX(인턴근무계획!$E$3:$J$202,$A164,$F$3)&amp;""),FIND(" ",TRIM(INDEX(인턴근무계획!$E$3:$J$202,$A164,$F$3)&amp;""))-1),TRIM(INDEX(인턴근무계획!$E$3:$J$202,$A164,$F$3)&amp;""))))</f>
        <v/>
      </c>
      <c r="G164" s="19">
        <f>IF(OR($C164="",$F$3=""),"",IF(TRIM(INDEX(인턴근무계획!$E$3:$J$202,$A164,$F$3)&amp;"")="","",IFERROR(MID(TRIM(INDEX(인턴근무계획!$E$3:$J$202,$A164,$F$3)&amp;""),FIND(" ",TRIM(INDEX(인턴근무계획!$E$3:$J$202,$A164,$F$3)&amp;""))+1,60),"")))</f>
        <v/>
      </c>
      <c r="H164" s="19">
        <f>IF(OR($C164="",$H$3=""),"",IF(TRIM(INDEX(인턴근무계획!$E$3:$J$202,$A164,$H$3)&amp;"")="","",IFERROR(LEFT(TRIM(INDEX(인턴근무계획!$E$3:$J$202,$A164,$H$3)&amp;""),FIND(" ",TRIM(INDEX(인턴근무계획!$E$3:$J$202,$A164,$H$3)&amp;""))-1),TRIM(INDEX(인턴근무계획!$E$3:$J$202,$A164,$H$3)&amp;""))))</f>
        <v/>
      </c>
      <c r="I164" s="19">
        <f>IF(OR($C164="",$H$3=""),"",IF(TRIM(INDEX(인턴근무계획!$E$3:$J$202,$A164,$H$3)&amp;"")="","",IFERROR(MID(TRIM(INDEX(인턴근무계획!$E$3:$J$202,$A164,$H$3)&amp;""),FIND(" ",TRIM(INDEX(인턴근무계획!$E$3:$J$202,$A164,$H$3)&amp;""))+1,60),"")))</f>
        <v/>
      </c>
      <c r="J164" s="19">
        <f>IF($C164="","",IF(TRIM(INDEX(인턴근무계획!$E$3:$J$202,$A164,1)&amp;"")="","",IFERROR(LEFT(TRIM(INDEX(인턴근무계획!$E$3:$J$202,$A164,1)&amp;""),FIND(" ",TRIM(INDEX(인턴근무계획!$E$3:$J$202,$A164,1)&amp;""))-1),TRIM(INDEX(인턴근무계획!$E$3:$J$202,$A164,1)&amp;""))))</f>
        <v/>
      </c>
      <c r="K164" s="19">
        <f>IF($C164="","",IF(TRIM(INDEX(인턴근무계획!$E$3:$J$202,$A164,2)&amp;"")="","",IFERROR(LEFT(TRIM(INDEX(인턴근무계획!$E$3:$J$202,$A164,2)&amp;""),FIND(" ",TRIM(INDEX(인턴근무계획!$E$3:$J$202,$A164,2)&amp;""))-1),TRIM(INDEX(인턴근무계획!$E$3:$J$202,$A164,2)&amp;""))))</f>
        <v/>
      </c>
      <c r="L164" s="19">
        <f>IF($C164="","",IF(TRIM(INDEX(인턴근무계획!$E$3:$J$202,$A164,3)&amp;"")="","",IFERROR(LEFT(TRIM(INDEX(인턴근무계획!$E$3:$J$202,$A164,3)&amp;""),FIND(" ",TRIM(INDEX(인턴근무계획!$E$3:$J$202,$A164,3)&amp;""))-1),TRIM(INDEX(인턴근무계획!$E$3:$J$202,$A164,3)&amp;""))))</f>
        <v/>
      </c>
      <c r="M164" s="19">
        <f>IF($C164="","",IF(TRIM(INDEX(인턴근무계획!$E$3:$J$202,$A164,4)&amp;"")="","",IFERROR(LEFT(TRIM(INDEX(인턴근무계획!$E$3:$J$202,$A164,4)&amp;""),FIND(" ",TRIM(INDEX(인턴근무계획!$E$3:$J$202,$A164,4)&amp;""))-1),TRIM(INDEX(인턴근무계획!$E$3:$J$202,$A164,4)&amp;""))))</f>
        <v/>
      </c>
      <c r="N164" s="19">
        <f>IF($C164="","",IF(TRIM(INDEX(인턴근무계획!$E$3:$J$202,$A164,5)&amp;"")="","",IFERROR(LEFT(TRIM(INDEX(인턴근무계획!$E$3:$J$202,$A164,5)&amp;""),FIND(" ",TRIM(INDEX(인턴근무계획!$E$3:$J$202,$A164,5)&amp;""))-1),TRIM(INDEX(인턴근무계획!$E$3:$J$202,$A164,5)&amp;""))))</f>
        <v/>
      </c>
      <c r="O164" s="19">
        <f>IF($C164="","",IF(TRIM(INDEX(인턴근무계획!$E$3:$J$202,$A164,6)&amp;"")="","",IFERROR(LEFT(TRIM(INDEX(인턴근무계획!$E$3:$J$202,$A164,6)&amp;""),FIND(" ",TRIM(INDEX(인턴근무계획!$E$3:$J$202,$A164,6)&amp;""))-1),TRIM(INDEX(인턴근무계획!$E$3:$J$202,$A164,6)&amp;""))))</f>
        <v/>
      </c>
      <c r="P164" s="19">
        <f>IF($C164="","",IF(INDEX(인턴근무계획!$K$3:$K$202,$A164)="","",INDEX(인턴근무계획!$K$3:$K$202,$A164)))</f>
        <v/>
      </c>
    </row>
    <row r="165">
      <c r="A165" s="18" t="n">
        <v>160</v>
      </c>
      <c r="B165" s="19">
        <f>IF($C165="","",INDEX(인턴근무계획!$B$3:$B$202,$A165))</f>
        <v/>
      </c>
      <c r="C165" s="19">
        <f>IFERROR(TRIM(INDEX(인턴근무계획!$C$3:$C$202,$A165)&amp;""),"")</f>
        <v/>
      </c>
      <c r="D165" s="19">
        <f>IF($C165="","",INDEX(인턴근무계획!$D$3:$D$202,$A165))</f>
        <v/>
      </c>
      <c r="E165" s="19">
        <f>IF($C165="","",IF(IFERROR(MATCH($D165,기본자료!$B$2:$B$501,0),IFERROR(MATCH($D165&amp;"",기본자료!$B$2:$B$501,0),IFERROR(MATCH(VALUE($D165),기본자료!$B$2:$B$501,0),0)))&gt;0,"확인","미등록"))</f>
        <v/>
      </c>
      <c r="F165" s="19">
        <f>IF(OR($C165="",$F$3=""),"",IF(TRIM(INDEX(인턴근무계획!$E$3:$J$202,$A165,$F$3)&amp;"")="","",IFERROR(LEFT(TRIM(INDEX(인턴근무계획!$E$3:$J$202,$A165,$F$3)&amp;""),FIND(" ",TRIM(INDEX(인턴근무계획!$E$3:$J$202,$A165,$F$3)&amp;""))-1),TRIM(INDEX(인턴근무계획!$E$3:$J$202,$A165,$F$3)&amp;""))))</f>
        <v/>
      </c>
      <c r="G165" s="19">
        <f>IF(OR($C165="",$F$3=""),"",IF(TRIM(INDEX(인턴근무계획!$E$3:$J$202,$A165,$F$3)&amp;"")="","",IFERROR(MID(TRIM(INDEX(인턴근무계획!$E$3:$J$202,$A165,$F$3)&amp;""),FIND(" ",TRIM(INDEX(인턴근무계획!$E$3:$J$202,$A165,$F$3)&amp;""))+1,60),"")))</f>
        <v/>
      </c>
      <c r="H165" s="19">
        <f>IF(OR($C165="",$H$3=""),"",IF(TRIM(INDEX(인턴근무계획!$E$3:$J$202,$A165,$H$3)&amp;"")="","",IFERROR(LEFT(TRIM(INDEX(인턴근무계획!$E$3:$J$202,$A165,$H$3)&amp;""),FIND(" ",TRIM(INDEX(인턴근무계획!$E$3:$J$202,$A165,$H$3)&amp;""))-1),TRIM(INDEX(인턴근무계획!$E$3:$J$202,$A165,$H$3)&amp;""))))</f>
        <v/>
      </c>
      <c r="I165" s="19">
        <f>IF(OR($C165="",$H$3=""),"",IF(TRIM(INDEX(인턴근무계획!$E$3:$J$202,$A165,$H$3)&amp;"")="","",IFERROR(MID(TRIM(INDEX(인턴근무계획!$E$3:$J$202,$A165,$H$3)&amp;""),FIND(" ",TRIM(INDEX(인턴근무계획!$E$3:$J$202,$A165,$H$3)&amp;""))+1,60),"")))</f>
        <v/>
      </c>
      <c r="J165" s="19">
        <f>IF($C165="","",IF(TRIM(INDEX(인턴근무계획!$E$3:$J$202,$A165,1)&amp;"")="","",IFERROR(LEFT(TRIM(INDEX(인턴근무계획!$E$3:$J$202,$A165,1)&amp;""),FIND(" ",TRIM(INDEX(인턴근무계획!$E$3:$J$202,$A165,1)&amp;""))-1),TRIM(INDEX(인턴근무계획!$E$3:$J$202,$A165,1)&amp;""))))</f>
        <v/>
      </c>
      <c r="K165" s="19">
        <f>IF($C165="","",IF(TRIM(INDEX(인턴근무계획!$E$3:$J$202,$A165,2)&amp;"")="","",IFERROR(LEFT(TRIM(INDEX(인턴근무계획!$E$3:$J$202,$A165,2)&amp;""),FIND(" ",TRIM(INDEX(인턴근무계획!$E$3:$J$202,$A165,2)&amp;""))-1),TRIM(INDEX(인턴근무계획!$E$3:$J$202,$A165,2)&amp;""))))</f>
        <v/>
      </c>
      <c r="L165" s="19">
        <f>IF($C165="","",IF(TRIM(INDEX(인턴근무계획!$E$3:$J$202,$A165,3)&amp;"")="","",IFERROR(LEFT(TRIM(INDEX(인턴근무계획!$E$3:$J$202,$A165,3)&amp;""),FIND(" ",TRIM(INDEX(인턴근무계획!$E$3:$J$202,$A165,3)&amp;""))-1),TRIM(INDEX(인턴근무계획!$E$3:$J$202,$A165,3)&amp;""))))</f>
        <v/>
      </c>
      <c r="M165" s="19">
        <f>IF($C165="","",IF(TRIM(INDEX(인턴근무계획!$E$3:$J$202,$A165,4)&amp;"")="","",IFERROR(LEFT(TRIM(INDEX(인턴근무계획!$E$3:$J$202,$A165,4)&amp;""),FIND(" ",TRIM(INDEX(인턴근무계획!$E$3:$J$202,$A165,4)&amp;""))-1),TRIM(INDEX(인턴근무계획!$E$3:$J$202,$A165,4)&amp;""))))</f>
        <v/>
      </c>
      <c r="N165" s="19">
        <f>IF($C165="","",IF(TRIM(INDEX(인턴근무계획!$E$3:$J$202,$A165,5)&amp;"")="","",IFERROR(LEFT(TRIM(INDEX(인턴근무계획!$E$3:$J$202,$A165,5)&amp;""),FIND(" ",TRIM(INDEX(인턴근무계획!$E$3:$J$202,$A165,5)&amp;""))-1),TRIM(INDEX(인턴근무계획!$E$3:$J$202,$A165,5)&amp;""))))</f>
        <v/>
      </c>
      <c r="O165" s="19">
        <f>IF($C165="","",IF(TRIM(INDEX(인턴근무계획!$E$3:$J$202,$A165,6)&amp;"")="","",IFERROR(LEFT(TRIM(INDEX(인턴근무계획!$E$3:$J$202,$A165,6)&amp;""),FIND(" ",TRIM(INDEX(인턴근무계획!$E$3:$J$202,$A165,6)&amp;""))-1),TRIM(INDEX(인턴근무계획!$E$3:$J$202,$A165,6)&amp;""))))</f>
        <v/>
      </c>
      <c r="P165" s="19">
        <f>IF($C165="","",IF(INDEX(인턴근무계획!$K$3:$K$202,$A165)="","",INDEX(인턴근무계획!$K$3:$K$202,$A165)))</f>
        <v/>
      </c>
    </row>
    <row r="166">
      <c r="A166" s="18" t="n">
        <v>161</v>
      </c>
      <c r="B166" s="19">
        <f>IF($C166="","",INDEX(인턴근무계획!$B$3:$B$202,$A166))</f>
        <v/>
      </c>
      <c r="C166" s="19">
        <f>IFERROR(TRIM(INDEX(인턴근무계획!$C$3:$C$202,$A166)&amp;""),"")</f>
        <v/>
      </c>
      <c r="D166" s="19">
        <f>IF($C166="","",INDEX(인턴근무계획!$D$3:$D$202,$A166))</f>
        <v/>
      </c>
      <c r="E166" s="19">
        <f>IF($C166="","",IF(IFERROR(MATCH($D166,기본자료!$B$2:$B$501,0),IFERROR(MATCH($D166&amp;"",기본자료!$B$2:$B$501,0),IFERROR(MATCH(VALUE($D166),기본자료!$B$2:$B$501,0),0)))&gt;0,"확인","미등록"))</f>
        <v/>
      </c>
      <c r="F166" s="19">
        <f>IF(OR($C166="",$F$3=""),"",IF(TRIM(INDEX(인턴근무계획!$E$3:$J$202,$A166,$F$3)&amp;"")="","",IFERROR(LEFT(TRIM(INDEX(인턴근무계획!$E$3:$J$202,$A166,$F$3)&amp;""),FIND(" ",TRIM(INDEX(인턴근무계획!$E$3:$J$202,$A166,$F$3)&amp;""))-1),TRIM(INDEX(인턴근무계획!$E$3:$J$202,$A166,$F$3)&amp;""))))</f>
        <v/>
      </c>
      <c r="G166" s="19">
        <f>IF(OR($C166="",$F$3=""),"",IF(TRIM(INDEX(인턴근무계획!$E$3:$J$202,$A166,$F$3)&amp;"")="","",IFERROR(MID(TRIM(INDEX(인턴근무계획!$E$3:$J$202,$A166,$F$3)&amp;""),FIND(" ",TRIM(INDEX(인턴근무계획!$E$3:$J$202,$A166,$F$3)&amp;""))+1,60),"")))</f>
        <v/>
      </c>
      <c r="H166" s="19">
        <f>IF(OR($C166="",$H$3=""),"",IF(TRIM(INDEX(인턴근무계획!$E$3:$J$202,$A166,$H$3)&amp;"")="","",IFERROR(LEFT(TRIM(INDEX(인턴근무계획!$E$3:$J$202,$A166,$H$3)&amp;""),FIND(" ",TRIM(INDEX(인턴근무계획!$E$3:$J$202,$A166,$H$3)&amp;""))-1),TRIM(INDEX(인턴근무계획!$E$3:$J$202,$A166,$H$3)&amp;""))))</f>
        <v/>
      </c>
      <c r="I166" s="19">
        <f>IF(OR($C166="",$H$3=""),"",IF(TRIM(INDEX(인턴근무계획!$E$3:$J$202,$A166,$H$3)&amp;"")="","",IFERROR(MID(TRIM(INDEX(인턴근무계획!$E$3:$J$202,$A166,$H$3)&amp;""),FIND(" ",TRIM(INDEX(인턴근무계획!$E$3:$J$202,$A166,$H$3)&amp;""))+1,60),"")))</f>
        <v/>
      </c>
      <c r="J166" s="19">
        <f>IF($C166="","",IF(TRIM(INDEX(인턴근무계획!$E$3:$J$202,$A166,1)&amp;"")="","",IFERROR(LEFT(TRIM(INDEX(인턴근무계획!$E$3:$J$202,$A166,1)&amp;""),FIND(" ",TRIM(INDEX(인턴근무계획!$E$3:$J$202,$A166,1)&amp;""))-1),TRIM(INDEX(인턴근무계획!$E$3:$J$202,$A166,1)&amp;""))))</f>
        <v/>
      </c>
      <c r="K166" s="19">
        <f>IF($C166="","",IF(TRIM(INDEX(인턴근무계획!$E$3:$J$202,$A166,2)&amp;"")="","",IFERROR(LEFT(TRIM(INDEX(인턴근무계획!$E$3:$J$202,$A166,2)&amp;""),FIND(" ",TRIM(INDEX(인턴근무계획!$E$3:$J$202,$A166,2)&amp;""))-1),TRIM(INDEX(인턴근무계획!$E$3:$J$202,$A166,2)&amp;""))))</f>
        <v/>
      </c>
      <c r="L166" s="19">
        <f>IF($C166="","",IF(TRIM(INDEX(인턴근무계획!$E$3:$J$202,$A166,3)&amp;"")="","",IFERROR(LEFT(TRIM(INDEX(인턴근무계획!$E$3:$J$202,$A166,3)&amp;""),FIND(" ",TRIM(INDEX(인턴근무계획!$E$3:$J$202,$A166,3)&amp;""))-1),TRIM(INDEX(인턴근무계획!$E$3:$J$202,$A166,3)&amp;""))))</f>
        <v/>
      </c>
      <c r="M166" s="19">
        <f>IF($C166="","",IF(TRIM(INDEX(인턴근무계획!$E$3:$J$202,$A166,4)&amp;"")="","",IFERROR(LEFT(TRIM(INDEX(인턴근무계획!$E$3:$J$202,$A166,4)&amp;""),FIND(" ",TRIM(INDEX(인턴근무계획!$E$3:$J$202,$A166,4)&amp;""))-1),TRIM(INDEX(인턴근무계획!$E$3:$J$202,$A166,4)&amp;""))))</f>
        <v/>
      </c>
      <c r="N166" s="19">
        <f>IF($C166="","",IF(TRIM(INDEX(인턴근무계획!$E$3:$J$202,$A166,5)&amp;"")="","",IFERROR(LEFT(TRIM(INDEX(인턴근무계획!$E$3:$J$202,$A166,5)&amp;""),FIND(" ",TRIM(INDEX(인턴근무계획!$E$3:$J$202,$A166,5)&amp;""))-1),TRIM(INDEX(인턴근무계획!$E$3:$J$202,$A166,5)&amp;""))))</f>
        <v/>
      </c>
      <c r="O166" s="19">
        <f>IF($C166="","",IF(TRIM(INDEX(인턴근무계획!$E$3:$J$202,$A166,6)&amp;"")="","",IFERROR(LEFT(TRIM(INDEX(인턴근무계획!$E$3:$J$202,$A166,6)&amp;""),FIND(" ",TRIM(INDEX(인턴근무계획!$E$3:$J$202,$A166,6)&amp;""))-1),TRIM(INDEX(인턴근무계획!$E$3:$J$202,$A166,6)&amp;""))))</f>
        <v/>
      </c>
      <c r="P166" s="19">
        <f>IF($C166="","",IF(INDEX(인턴근무계획!$K$3:$K$202,$A166)="","",INDEX(인턴근무계획!$K$3:$K$202,$A166)))</f>
        <v/>
      </c>
    </row>
    <row r="167">
      <c r="A167" s="18" t="n">
        <v>162</v>
      </c>
      <c r="B167" s="19">
        <f>IF($C167="","",INDEX(인턴근무계획!$B$3:$B$202,$A167))</f>
        <v/>
      </c>
      <c r="C167" s="19">
        <f>IFERROR(TRIM(INDEX(인턴근무계획!$C$3:$C$202,$A167)&amp;""),"")</f>
        <v/>
      </c>
      <c r="D167" s="19">
        <f>IF($C167="","",INDEX(인턴근무계획!$D$3:$D$202,$A167))</f>
        <v/>
      </c>
      <c r="E167" s="19">
        <f>IF($C167="","",IF(IFERROR(MATCH($D167,기본자료!$B$2:$B$501,0),IFERROR(MATCH($D167&amp;"",기본자료!$B$2:$B$501,0),IFERROR(MATCH(VALUE($D167),기본자료!$B$2:$B$501,0),0)))&gt;0,"확인","미등록"))</f>
        <v/>
      </c>
      <c r="F167" s="19">
        <f>IF(OR($C167="",$F$3=""),"",IF(TRIM(INDEX(인턴근무계획!$E$3:$J$202,$A167,$F$3)&amp;"")="","",IFERROR(LEFT(TRIM(INDEX(인턴근무계획!$E$3:$J$202,$A167,$F$3)&amp;""),FIND(" ",TRIM(INDEX(인턴근무계획!$E$3:$J$202,$A167,$F$3)&amp;""))-1),TRIM(INDEX(인턴근무계획!$E$3:$J$202,$A167,$F$3)&amp;""))))</f>
        <v/>
      </c>
      <c r="G167" s="19">
        <f>IF(OR($C167="",$F$3=""),"",IF(TRIM(INDEX(인턴근무계획!$E$3:$J$202,$A167,$F$3)&amp;"")="","",IFERROR(MID(TRIM(INDEX(인턴근무계획!$E$3:$J$202,$A167,$F$3)&amp;""),FIND(" ",TRIM(INDEX(인턴근무계획!$E$3:$J$202,$A167,$F$3)&amp;""))+1,60),"")))</f>
        <v/>
      </c>
      <c r="H167" s="19">
        <f>IF(OR($C167="",$H$3=""),"",IF(TRIM(INDEX(인턴근무계획!$E$3:$J$202,$A167,$H$3)&amp;"")="","",IFERROR(LEFT(TRIM(INDEX(인턴근무계획!$E$3:$J$202,$A167,$H$3)&amp;""),FIND(" ",TRIM(INDEX(인턴근무계획!$E$3:$J$202,$A167,$H$3)&amp;""))-1),TRIM(INDEX(인턴근무계획!$E$3:$J$202,$A167,$H$3)&amp;""))))</f>
        <v/>
      </c>
      <c r="I167" s="19">
        <f>IF(OR($C167="",$H$3=""),"",IF(TRIM(INDEX(인턴근무계획!$E$3:$J$202,$A167,$H$3)&amp;"")="","",IFERROR(MID(TRIM(INDEX(인턴근무계획!$E$3:$J$202,$A167,$H$3)&amp;""),FIND(" ",TRIM(INDEX(인턴근무계획!$E$3:$J$202,$A167,$H$3)&amp;""))+1,60),"")))</f>
        <v/>
      </c>
      <c r="J167" s="19">
        <f>IF($C167="","",IF(TRIM(INDEX(인턴근무계획!$E$3:$J$202,$A167,1)&amp;"")="","",IFERROR(LEFT(TRIM(INDEX(인턴근무계획!$E$3:$J$202,$A167,1)&amp;""),FIND(" ",TRIM(INDEX(인턴근무계획!$E$3:$J$202,$A167,1)&amp;""))-1),TRIM(INDEX(인턴근무계획!$E$3:$J$202,$A167,1)&amp;""))))</f>
        <v/>
      </c>
      <c r="K167" s="19">
        <f>IF($C167="","",IF(TRIM(INDEX(인턴근무계획!$E$3:$J$202,$A167,2)&amp;"")="","",IFERROR(LEFT(TRIM(INDEX(인턴근무계획!$E$3:$J$202,$A167,2)&amp;""),FIND(" ",TRIM(INDEX(인턴근무계획!$E$3:$J$202,$A167,2)&amp;""))-1),TRIM(INDEX(인턴근무계획!$E$3:$J$202,$A167,2)&amp;""))))</f>
        <v/>
      </c>
      <c r="L167" s="19">
        <f>IF($C167="","",IF(TRIM(INDEX(인턴근무계획!$E$3:$J$202,$A167,3)&amp;"")="","",IFERROR(LEFT(TRIM(INDEX(인턴근무계획!$E$3:$J$202,$A167,3)&amp;""),FIND(" ",TRIM(INDEX(인턴근무계획!$E$3:$J$202,$A167,3)&amp;""))-1),TRIM(INDEX(인턴근무계획!$E$3:$J$202,$A167,3)&amp;""))))</f>
        <v/>
      </c>
      <c r="M167" s="19">
        <f>IF($C167="","",IF(TRIM(INDEX(인턴근무계획!$E$3:$J$202,$A167,4)&amp;"")="","",IFERROR(LEFT(TRIM(INDEX(인턴근무계획!$E$3:$J$202,$A167,4)&amp;""),FIND(" ",TRIM(INDEX(인턴근무계획!$E$3:$J$202,$A167,4)&amp;""))-1),TRIM(INDEX(인턴근무계획!$E$3:$J$202,$A167,4)&amp;""))))</f>
        <v/>
      </c>
      <c r="N167" s="19">
        <f>IF($C167="","",IF(TRIM(INDEX(인턴근무계획!$E$3:$J$202,$A167,5)&amp;"")="","",IFERROR(LEFT(TRIM(INDEX(인턴근무계획!$E$3:$J$202,$A167,5)&amp;""),FIND(" ",TRIM(INDEX(인턴근무계획!$E$3:$J$202,$A167,5)&amp;""))-1),TRIM(INDEX(인턴근무계획!$E$3:$J$202,$A167,5)&amp;""))))</f>
        <v/>
      </c>
      <c r="O167" s="19">
        <f>IF($C167="","",IF(TRIM(INDEX(인턴근무계획!$E$3:$J$202,$A167,6)&amp;"")="","",IFERROR(LEFT(TRIM(INDEX(인턴근무계획!$E$3:$J$202,$A167,6)&amp;""),FIND(" ",TRIM(INDEX(인턴근무계획!$E$3:$J$202,$A167,6)&amp;""))-1),TRIM(INDEX(인턴근무계획!$E$3:$J$202,$A167,6)&amp;""))))</f>
        <v/>
      </c>
      <c r="P167" s="19">
        <f>IF($C167="","",IF(INDEX(인턴근무계획!$K$3:$K$202,$A167)="","",INDEX(인턴근무계획!$K$3:$K$202,$A167)))</f>
        <v/>
      </c>
    </row>
    <row r="168">
      <c r="A168" s="18" t="n">
        <v>163</v>
      </c>
      <c r="B168" s="19">
        <f>IF($C168="","",INDEX(인턴근무계획!$B$3:$B$202,$A168))</f>
        <v/>
      </c>
      <c r="C168" s="19">
        <f>IFERROR(TRIM(INDEX(인턴근무계획!$C$3:$C$202,$A168)&amp;""),"")</f>
        <v/>
      </c>
      <c r="D168" s="19">
        <f>IF($C168="","",INDEX(인턴근무계획!$D$3:$D$202,$A168))</f>
        <v/>
      </c>
      <c r="E168" s="19">
        <f>IF($C168="","",IF(IFERROR(MATCH($D168,기본자료!$B$2:$B$501,0),IFERROR(MATCH($D168&amp;"",기본자료!$B$2:$B$501,0),IFERROR(MATCH(VALUE($D168),기본자료!$B$2:$B$501,0),0)))&gt;0,"확인","미등록"))</f>
        <v/>
      </c>
      <c r="F168" s="19">
        <f>IF(OR($C168="",$F$3=""),"",IF(TRIM(INDEX(인턴근무계획!$E$3:$J$202,$A168,$F$3)&amp;"")="","",IFERROR(LEFT(TRIM(INDEX(인턴근무계획!$E$3:$J$202,$A168,$F$3)&amp;""),FIND(" ",TRIM(INDEX(인턴근무계획!$E$3:$J$202,$A168,$F$3)&amp;""))-1),TRIM(INDEX(인턴근무계획!$E$3:$J$202,$A168,$F$3)&amp;""))))</f>
        <v/>
      </c>
      <c r="G168" s="19">
        <f>IF(OR($C168="",$F$3=""),"",IF(TRIM(INDEX(인턴근무계획!$E$3:$J$202,$A168,$F$3)&amp;"")="","",IFERROR(MID(TRIM(INDEX(인턴근무계획!$E$3:$J$202,$A168,$F$3)&amp;""),FIND(" ",TRIM(INDEX(인턴근무계획!$E$3:$J$202,$A168,$F$3)&amp;""))+1,60),"")))</f>
        <v/>
      </c>
      <c r="H168" s="19">
        <f>IF(OR($C168="",$H$3=""),"",IF(TRIM(INDEX(인턴근무계획!$E$3:$J$202,$A168,$H$3)&amp;"")="","",IFERROR(LEFT(TRIM(INDEX(인턴근무계획!$E$3:$J$202,$A168,$H$3)&amp;""),FIND(" ",TRIM(INDEX(인턴근무계획!$E$3:$J$202,$A168,$H$3)&amp;""))-1),TRIM(INDEX(인턴근무계획!$E$3:$J$202,$A168,$H$3)&amp;""))))</f>
        <v/>
      </c>
      <c r="I168" s="19">
        <f>IF(OR($C168="",$H$3=""),"",IF(TRIM(INDEX(인턴근무계획!$E$3:$J$202,$A168,$H$3)&amp;"")="","",IFERROR(MID(TRIM(INDEX(인턴근무계획!$E$3:$J$202,$A168,$H$3)&amp;""),FIND(" ",TRIM(INDEX(인턴근무계획!$E$3:$J$202,$A168,$H$3)&amp;""))+1,60),"")))</f>
        <v/>
      </c>
      <c r="J168" s="19">
        <f>IF($C168="","",IF(TRIM(INDEX(인턴근무계획!$E$3:$J$202,$A168,1)&amp;"")="","",IFERROR(LEFT(TRIM(INDEX(인턴근무계획!$E$3:$J$202,$A168,1)&amp;""),FIND(" ",TRIM(INDEX(인턴근무계획!$E$3:$J$202,$A168,1)&amp;""))-1),TRIM(INDEX(인턴근무계획!$E$3:$J$202,$A168,1)&amp;""))))</f>
        <v/>
      </c>
      <c r="K168" s="19">
        <f>IF($C168="","",IF(TRIM(INDEX(인턴근무계획!$E$3:$J$202,$A168,2)&amp;"")="","",IFERROR(LEFT(TRIM(INDEX(인턴근무계획!$E$3:$J$202,$A168,2)&amp;""),FIND(" ",TRIM(INDEX(인턴근무계획!$E$3:$J$202,$A168,2)&amp;""))-1),TRIM(INDEX(인턴근무계획!$E$3:$J$202,$A168,2)&amp;""))))</f>
        <v/>
      </c>
      <c r="L168" s="19">
        <f>IF($C168="","",IF(TRIM(INDEX(인턴근무계획!$E$3:$J$202,$A168,3)&amp;"")="","",IFERROR(LEFT(TRIM(INDEX(인턴근무계획!$E$3:$J$202,$A168,3)&amp;""),FIND(" ",TRIM(INDEX(인턴근무계획!$E$3:$J$202,$A168,3)&amp;""))-1),TRIM(INDEX(인턴근무계획!$E$3:$J$202,$A168,3)&amp;""))))</f>
        <v/>
      </c>
      <c r="M168" s="19">
        <f>IF($C168="","",IF(TRIM(INDEX(인턴근무계획!$E$3:$J$202,$A168,4)&amp;"")="","",IFERROR(LEFT(TRIM(INDEX(인턴근무계획!$E$3:$J$202,$A168,4)&amp;""),FIND(" ",TRIM(INDEX(인턴근무계획!$E$3:$J$202,$A168,4)&amp;""))-1),TRIM(INDEX(인턴근무계획!$E$3:$J$202,$A168,4)&amp;""))))</f>
        <v/>
      </c>
      <c r="N168" s="19">
        <f>IF($C168="","",IF(TRIM(INDEX(인턴근무계획!$E$3:$J$202,$A168,5)&amp;"")="","",IFERROR(LEFT(TRIM(INDEX(인턴근무계획!$E$3:$J$202,$A168,5)&amp;""),FIND(" ",TRIM(INDEX(인턴근무계획!$E$3:$J$202,$A168,5)&amp;""))-1),TRIM(INDEX(인턴근무계획!$E$3:$J$202,$A168,5)&amp;""))))</f>
        <v/>
      </c>
      <c r="O168" s="19">
        <f>IF($C168="","",IF(TRIM(INDEX(인턴근무계획!$E$3:$J$202,$A168,6)&amp;"")="","",IFERROR(LEFT(TRIM(INDEX(인턴근무계획!$E$3:$J$202,$A168,6)&amp;""),FIND(" ",TRIM(INDEX(인턴근무계획!$E$3:$J$202,$A168,6)&amp;""))-1),TRIM(INDEX(인턴근무계획!$E$3:$J$202,$A168,6)&amp;""))))</f>
        <v/>
      </c>
      <c r="P168" s="19">
        <f>IF($C168="","",IF(INDEX(인턴근무계획!$K$3:$K$202,$A168)="","",INDEX(인턴근무계획!$K$3:$K$202,$A168)))</f>
        <v/>
      </c>
    </row>
    <row r="169">
      <c r="A169" s="18" t="n">
        <v>164</v>
      </c>
      <c r="B169" s="19">
        <f>IF($C169="","",INDEX(인턴근무계획!$B$3:$B$202,$A169))</f>
        <v/>
      </c>
      <c r="C169" s="19">
        <f>IFERROR(TRIM(INDEX(인턴근무계획!$C$3:$C$202,$A169)&amp;""),"")</f>
        <v/>
      </c>
      <c r="D169" s="19">
        <f>IF($C169="","",INDEX(인턴근무계획!$D$3:$D$202,$A169))</f>
        <v/>
      </c>
      <c r="E169" s="19">
        <f>IF($C169="","",IF(IFERROR(MATCH($D169,기본자료!$B$2:$B$501,0),IFERROR(MATCH($D169&amp;"",기본자료!$B$2:$B$501,0),IFERROR(MATCH(VALUE($D169),기본자료!$B$2:$B$501,0),0)))&gt;0,"확인","미등록"))</f>
        <v/>
      </c>
      <c r="F169" s="19">
        <f>IF(OR($C169="",$F$3=""),"",IF(TRIM(INDEX(인턴근무계획!$E$3:$J$202,$A169,$F$3)&amp;"")="","",IFERROR(LEFT(TRIM(INDEX(인턴근무계획!$E$3:$J$202,$A169,$F$3)&amp;""),FIND(" ",TRIM(INDEX(인턴근무계획!$E$3:$J$202,$A169,$F$3)&amp;""))-1),TRIM(INDEX(인턴근무계획!$E$3:$J$202,$A169,$F$3)&amp;""))))</f>
        <v/>
      </c>
      <c r="G169" s="19">
        <f>IF(OR($C169="",$F$3=""),"",IF(TRIM(INDEX(인턴근무계획!$E$3:$J$202,$A169,$F$3)&amp;"")="","",IFERROR(MID(TRIM(INDEX(인턴근무계획!$E$3:$J$202,$A169,$F$3)&amp;""),FIND(" ",TRIM(INDEX(인턴근무계획!$E$3:$J$202,$A169,$F$3)&amp;""))+1,60),"")))</f>
        <v/>
      </c>
      <c r="H169" s="19">
        <f>IF(OR($C169="",$H$3=""),"",IF(TRIM(INDEX(인턴근무계획!$E$3:$J$202,$A169,$H$3)&amp;"")="","",IFERROR(LEFT(TRIM(INDEX(인턴근무계획!$E$3:$J$202,$A169,$H$3)&amp;""),FIND(" ",TRIM(INDEX(인턴근무계획!$E$3:$J$202,$A169,$H$3)&amp;""))-1),TRIM(INDEX(인턴근무계획!$E$3:$J$202,$A169,$H$3)&amp;""))))</f>
        <v/>
      </c>
      <c r="I169" s="19">
        <f>IF(OR($C169="",$H$3=""),"",IF(TRIM(INDEX(인턴근무계획!$E$3:$J$202,$A169,$H$3)&amp;"")="","",IFERROR(MID(TRIM(INDEX(인턴근무계획!$E$3:$J$202,$A169,$H$3)&amp;""),FIND(" ",TRIM(INDEX(인턴근무계획!$E$3:$J$202,$A169,$H$3)&amp;""))+1,60),"")))</f>
        <v/>
      </c>
      <c r="J169" s="19">
        <f>IF($C169="","",IF(TRIM(INDEX(인턴근무계획!$E$3:$J$202,$A169,1)&amp;"")="","",IFERROR(LEFT(TRIM(INDEX(인턴근무계획!$E$3:$J$202,$A169,1)&amp;""),FIND(" ",TRIM(INDEX(인턴근무계획!$E$3:$J$202,$A169,1)&amp;""))-1),TRIM(INDEX(인턴근무계획!$E$3:$J$202,$A169,1)&amp;""))))</f>
        <v/>
      </c>
      <c r="K169" s="19">
        <f>IF($C169="","",IF(TRIM(INDEX(인턴근무계획!$E$3:$J$202,$A169,2)&amp;"")="","",IFERROR(LEFT(TRIM(INDEX(인턴근무계획!$E$3:$J$202,$A169,2)&amp;""),FIND(" ",TRIM(INDEX(인턴근무계획!$E$3:$J$202,$A169,2)&amp;""))-1),TRIM(INDEX(인턴근무계획!$E$3:$J$202,$A169,2)&amp;""))))</f>
        <v/>
      </c>
      <c r="L169" s="19">
        <f>IF($C169="","",IF(TRIM(INDEX(인턴근무계획!$E$3:$J$202,$A169,3)&amp;"")="","",IFERROR(LEFT(TRIM(INDEX(인턴근무계획!$E$3:$J$202,$A169,3)&amp;""),FIND(" ",TRIM(INDEX(인턴근무계획!$E$3:$J$202,$A169,3)&amp;""))-1),TRIM(INDEX(인턴근무계획!$E$3:$J$202,$A169,3)&amp;""))))</f>
        <v/>
      </c>
      <c r="M169" s="19">
        <f>IF($C169="","",IF(TRIM(INDEX(인턴근무계획!$E$3:$J$202,$A169,4)&amp;"")="","",IFERROR(LEFT(TRIM(INDEX(인턴근무계획!$E$3:$J$202,$A169,4)&amp;""),FIND(" ",TRIM(INDEX(인턴근무계획!$E$3:$J$202,$A169,4)&amp;""))-1),TRIM(INDEX(인턴근무계획!$E$3:$J$202,$A169,4)&amp;""))))</f>
        <v/>
      </c>
      <c r="N169" s="19">
        <f>IF($C169="","",IF(TRIM(INDEX(인턴근무계획!$E$3:$J$202,$A169,5)&amp;"")="","",IFERROR(LEFT(TRIM(INDEX(인턴근무계획!$E$3:$J$202,$A169,5)&amp;""),FIND(" ",TRIM(INDEX(인턴근무계획!$E$3:$J$202,$A169,5)&amp;""))-1),TRIM(INDEX(인턴근무계획!$E$3:$J$202,$A169,5)&amp;""))))</f>
        <v/>
      </c>
      <c r="O169" s="19">
        <f>IF($C169="","",IF(TRIM(INDEX(인턴근무계획!$E$3:$J$202,$A169,6)&amp;"")="","",IFERROR(LEFT(TRIM(INDEX(인턴근무계획!$E$3:$J$202,$A169,6)&amp;""),FIND(" ",TRIM(INDEX(인턴근무계획!$E$3:$J$202,$A169,6)&amp;""))-1),TRIM(INDEX(인턴근무계획!$E$3:$J$202,$A169,6)&amp;""))))</f>
        <v/>
      </c>
      <c r="P169" s="19">
        <f>IF($C169="","",IF(INDEX(인턴근무계획!$K$3:$K$202,$A169)="","",INDEX(인턴근무계획!$K$3:$K$202,$A169)))</f>
        <v/>
      </c>
    </row>
    <row r="170">
      <c r="A170" s="18" t="n">
        <v>165</v>
      </c>
      <c r="B170" s="19">
        <f>IF($C170="","",INDEX(인턴근무계획!$B$3:$B$202,$A170))</f>
        <v/>
      </c>
      <c r="C170" s="19">
        <f>IFERROR(TRIM(INDEX(인턴근무계획!$C$3:$C$202,$A170)&amp;""),"")</f>
        <v/>
      </c>
      <c r="D170" s="19">
        <f>IF($C170="","",INDEX(인턴근무계획!$D$3:$D$202,$A170))</f>
        <v/>
      </c>
      <c r="E170" s="19">
        <f>IF($C170="","",IF(IFERROR(MATCH($D170,기본자료!$B$2:$B$501,0),IFERROR(MATCH($D170&amp;"",기본자료!$B$2:$B$501,0),IFERROR(MATCH(VALUE($D170),기본자료!$B$2:$B$501,0),0)))&gt;0,"확인","미등록"))</f>
        <v/>
      </c>
      <c r="F170" s="19">
        <f>IF(OR($C170="",$F$3=""),"",IF(TRIM(INDEX(인턴근무계획!$E$3:$J$202,$A170,$F$3)&amp;"")="","",IFERROR(LEFT(TRIM(INDEX(인턴근무계획!$E$3:$J$202,$A170,$F$3)&amp;""),FIND(" ",TRIM(INDEX(인턴근무계획!$E$3:$J$202,$A170,$F$3)&amp;""))-1),TRIM(INDEX(인턴근무계획!$E$3:$J$202,$A170,$F$3)&amp;""))))</f>
        <v/>
      </c>
      <c r="G170" s="19">
        <f>IF(OR($C170="",$F$3=""),"",IF(TRIM(INDEX(인턴근무계획!$E$3:$J$202,$A170,$F$3)&amp;"")="","",IFERROR(MID(TRIM(INDEX(인턴근무계획!$E$3:$J$202,$A170,$F$3)&amp;""),FIND(" ",TRIM(INDEX(인턴근무계획!$E$3:$J$202,$A170,$F$3)&amp;""))+1,60),"")))</f>
        <v/>
      </c>
      <c r="H170" s="19">
        <f>IF(OR($C170="",$H$3=""),"",IF(TRIM(INDEX(인턴근무계획!$E$3:$J$202,$A170,$H$3)&amp;"")="","",IFERROR(LEFT(TRIM(INDEX(인턴근무계획!$E$3:$J$202,$A170,$H$3)&amp;""),FIND(" ",TRIM(INDEX(인턴근무계획!$E$3:$J$202,$A170,$H$3)&amp;""))-1),TRIM(INDEX(인턴근무계획!$E$3:$J$202,$A170,$H$3)&amp;""))))</f>
        <v/>
      </c>
      <c r="I170" s="19">
        <f>IF(OR($C170="",$H$3=""),"",IF(TRIM(INDEX(인턴근무계획!$E$3:$J$202,$A170,$H$3)&amp;"")="","",IFERROR(MID(TRIM(INDEX(인턴근무계획!$E$3:$J$202,$A170,$H$3)&amp;""),FIND(" ",TRIM(INDEX(인턴근무계획!$E$3:$J$202,$A170,$H$3)&amp;""))+1,60),"")))</f>
        <v/>
      </c>
      <c r="J170" s="19">
        <f>IF($C170="","",IF(TRIM(INDEX(인턴근무계획!$E$3:$J$202,$A170,1)&amp;"")="","",IFERROR(LEFT(TRIM(INDEX(인턴근무계획!$E$3:$J$202,$A170,1)&amp;""),FIND(" ",TRIM(INDEX(인턴근무계획!$E$3:$J$202,$A170,1)&amp;""))-1),TRIM(INDEX(인턴근무계획!$E$3:$J$202,$A170,1)&amp;""))))</f>
        <v/>
      </c>
      <c r="K170" s="19">
        <f>IF($C170="","",IF(TRIM(INDEX(인턴근무계획!$E$3:$J$202,$A170,2)&amp;"")="","",IFERROR(LEFT(TRIM(INDEX(인턴근무계획!$E$3:$J$202,$A170,2)&amp;""),FIND(" ",TRIM(INDEX(인턴근무계획!$E$3:$J$202,$A170,2)&amp;""))-1),TRIM(INDEX(인턴근무계획!$E$3:$J$202,$A170,2)&amp;""))))</f>
        <v/>
      </c>
      <c r="L170" s="19">
        <f>IF($C170="","",IF(TRIM(INDEX(인턴근무계획!$E$3:$J$202,$A170,3)&amp;"")="","",IFERROR(LEFT(TRIM(INDEX(인턴근무계획!$E$3:$J$202,$A170,3)&amp;""),FIND(" ",TRIM(INDEX(인턴근무계획!$E$3:$J$202,$A170,3)&amp;""))-1),TRIM(INDEX(인턴근무계획!$E$3:$J$202,$A170,3)&amp;""))))</f>
        <v/>
      </c>
      <c r="M170" s="19">
        <f>IF($C170="","",IF(TRIM(INDEX(인턴근무계획!$E$3:$J$202,$A170,4)&amp;"")="","",IFERROR(LEFT(TRIM(INDEX(인턴근무계획!$E$3:$J$202,$A170,4)&amp;""),FIND(" ",TRIM(INDEX(인턴근무계획!$E$3:$J$202,$A170,4)&amp;""))-1),TRIM(INDEX(인턴근무계획!$E$3:$J$202,$A170,4)&amp;""))))</f>
        <v/>
      </c>
      <c r="N170" s="19">
        <f>IF($C170="","",IF(TRIM(INDEX(인턴근무계획!$E$3:$J$202,$A170,5)&amp;"")="","",IFERROR(LEFT(TRIM(INDEX(인턴근무계획!$E$3:$J$202,$A170,5)&amp;""),FIND(" ",TRIM(INDEX(인턴근무계획!$E$3:$J$202,$A170,5)&amp;""))-1),TRIM(INDEX(인턴근무계획!$E$3:$J$202,$A170,5)&amp;""))))</f>
        <v/>
      </c>
      <c r="O170" s="19">
        <f>IF($C170="","",IF(TRIM(INDEX(인턴근무계획!$E$3:$J$202,$A170,6)&amp;"")="","",IFERROR(LEFT(TRIM(INDEX(인턴근무계획!$E$3:$J$202,$A170,6)&amp;""),FIND(" ",TRIM(INDEX(인턴근무계획!$E$3:$J$202,$A170,6)&amp;""))-1),TRIM(INDEX(인턴근무계획!$E$3:$J$202,$A170,6)&amp;""))))</f>
        <v/>
      </c>
      <c r="P170" s="19">
        <f>IF($C170="","",IF(INDEX(인턴근무계획!$K$3:$K$202,$A170)="","",INDEX(인턴근무계획!$K$3:$K$202,$A170)))</f>
        <v/>
      </c>
    </row>
    <row r="171">
      <c r="A171" s="18" t="n">
        <v>166</v>
      </c>
      <c r="B171" s="19">
        <f>IF($C171="","",INDEX(인턴근무계획!$B$3:$B$202,$A171))</f>
        <v/>
      </c>
      <c r="C171" s="19">
        <f>IFERROR(TRIM(INDEX(인턴근무계획!$C$3:$C$202,$A171)&amp;""),"")</f>
        <v/>
      </c>
      <c r="D171" s="19">
        <f>IF($C171="","",INDEX(인턴근무계획!$D$3:$D$202,$A171))</f>
        <v/>
      </c>
      <c r="E171" s="19">
        <f>IF($C171="","",IF(IFERROR(MATCH($D171,기본자료!$B$2:$B$501,0),IFERROR(MATCH($D171&amp;"",기본자료!$B$2:$B$501,0),IFERROR(MATCH(VALUE($D171),기본자료!$B$2:$B$501,0),0)))&gt;0,"확인","미등록"))</f>
        <v/>
      </c>
      <c r="F171" s="19">
        <f>IF(OR($C171="",$F$3=""),"",IF(TRIM(INDEX(인턴근무계획!$E$3:$J$202,$A171,$F$3)&amp;"")="","",IFERROR(LEFT(TRIM(INDEX(인턴근무계획!$E$3:$J$202,$A171,$F$3)&amp;""),FIND(" ",TRIM(INDEX(인턴근무계획!$E$3:$J$202,$A171,$F$3)&amp;""))-1),TRIM(INDEX(인턴근무계획!$E$3:$J$202,$A171,$F$3)&amp;""))))</f>
        <v/>
      </c>
      <c r="G171" s="19">
        <f>IF(OR($C171="",$F$3=""),"",IF(TRIM(INDEX(인턴근무계획!$E$3:$J$202,$A171,$F$3)&amp;"")="","",IFERROR(MID(TRIM(INDEX(인턴근무계획!$E$3:$J$202,$A171,$F$3)&amp;""),FIND(" ",TRIM(INDEX(인턴근무계획!$E$3:$J$202,$A171,$F$3)&amp;""))+1,60),"")))</f>
        <v/>
      </c>
      <c r="H171" s="19">
        <f>IF(OR($C171="",$H$3=""),"",IF(TRIM(INDEX(인턴근무계획!$E$3:$J$202,$A171,$H$3)&amp;"")="","",IFERROR(LEFT(TRIM(INDEX(인턴근무계획!$E$3:$J$202,$A171,$H$3)&amp;""),FIND(" ",TRIM(INDEX(인턴근무계획!$E$3:$J$202,$A171,$H$3)&amp;""))-1),TRIM(INDEX(인턴근무계획!$E$3:$J$202,$A171,$H$3)&amp;""))))</f>
        <v/>
      </c>
      <c r="I171" s="19">
        <f>IF(OR($C171="",$H$3=""),"",IF(TRIM(INDEX(인턴근무계획!$E$3:$J$202,$A171,$H$3)&amp;"")="","",IFERROR(MID(TRIM(INDEX(인턴근무계획!$E$3:$J$202,$A171,$H$3)&amp;""),FIND(" ",TRIM(INDEX(인턴근무계획!$E$3:$J$202,$A171,$H$3)&amp;""))+1,60),"")))</f>
        <v/>
      </c>
      <c r="J171" s="19">
        <f>IF($C171="","",IF(TRIM(INDEX(인턴근무계획!$E$3:$J$202,$A171,1)&amp;"")="","",IFERROR(LEFT(TRIM(INDEX(인턴근무계획!$E$3:$J$202,$A171,1)&amp;""),FIND(" ",TRIM(INDEX(인턴근무계획!$E$3:$J$202,$A171,1)&amp;""))-1),TRIM(INDEX(인턴근무계획!$E$3:$J$202,$A171,1)&amp;""))))</f>
        <v/>
      </c>
      <c r="K171" s="19">
        <f>IF($C171="","",IF(TRIM(INDEX(인턴근무계획!$E$3:$J$202,$A171,2)&amp;"")="","",IFERROR(LEFT(TRIM(INDEX(인턴근무계획!$E$3:$J$202,$A171,2)&amp;""),FIND(" ",TRIM(INDEX(인턴근무계획!$E$3:$J$202,$A171,2)&amp;""))-1),TRIM(INDEX(인턴근무계획!$E$3:$J$202,$A171,2)&amp;""))))</f>
        <v/>
      </c>
      <c r="L171" s="19">
        <f>IF($C171="","",IF(TRIM(INDEX(인턴근무계획!$E$3:$J$202,$A171,3)&amp;"")="","",IFERROR(LEFT(TRIM(INDEX(인턴근무계획!$E$3:$J$202,$A171,3)&amp;""),FIND(" ",TRIM(INDEX(인턴근무계획!$E$3:$J$202,$A171,3)&amp;""))-1),TRIM(INDEX(인턴근무계획!$E$3:$J$202,$A171,3)&amp;""))))</f>
        <v/>
      </c>
      <c r="M171" s="19">
        <f>IF($C171="","",IF(TRIM(INDEX(인턴근무계획!$E$3:$J$202,$A171,4)&amp;"")="","",IFERROR(LEFT(TRIM(INDEX(인턴근무계획!$E$3:$J$202,$A171,4)&amp;""),FIND(" ",TRIM(INDEX(인턴근무계획!$E$3:$J$202,$A171,4)&amp;""))-1),TRIM(INDEX(인턴근무계획!$E$3:$J$202,$A171,4)&amp;""))))</f>
        <v/>
      </c>
      <c r="N171" s="19">
        <f>IF($C171="","",IF(TRIM(INDEX(인턴근무계획!$E$3:$J$202,$A171,5)&amp;"")="","",IFERROR(LEFT(TRIM(INDEX(인턴근무계획!$E$3:$J$202,$A171,5)&amp;""),FIND(" ",TRIM(INDEX(인턴근무계획!$E$3:$J$202,$A171,5)&amp;""))-1),TRIM(INDEX(인턴근무계획!$E$3:$J$202,$A171,5)&amp;""))))</f>
        <v/>
      </c>
      <c r="O171" s="19">
        <f>IF($C171="","",IF(TRIM(INDEX(인턴근무계획!$E$3:$J$202,$A171,6)&amp;"")="","",IFERROR(LEFT(TRIM(INDEX(인턴근무계획!$E$3:$J$202,$A171,6)&amp;""),FIND(" ",TRIM(INDEX(인턴근무계획!$E$3:$J$202,$A171,6)&amp;""))-1),TRIM(INDEX(인턴근무계획!$E$3:$J$202,$A171,6)&amp;""))))</f>
        <v/>
      </c>
      <c r="P171" s="19">
        <f>IF($C171="","",IF(INDEX(인턴근무계획!$K$3:$K$202,$A171)="","",INDEX(인턴근무계획!$K$3:$K$202,$A171)))</f>
        <v/>
      </c>
    </row>
    <row r="172">
      <c r="A172" s="18" t="n">
        <v>167</v>
      </c>
      <c r="B172" s="19">
        <f>IF($C172="","",INDEX(인턴근무계획!$B$3:$B$202,$A172))</f>
        <v/>
      </c>
      <c r="C172" s="19">
        <f>IFERROR(TRIM(INDEX(인턴근무계획!$C$3:$C$202,$A172)&amp;""),"")</f>
        <v/>
      </c>
      <c r="D172" s="19">
        <f>IF($C172="","",INDEX(인턴근무계획!$D$3:$D$202,$A172))</f>
        <v/>
      </c>
      <c r="E172" s="19">
        <f>IF($C172="","",IF(IFERROR(MATCH($D172,기본자료!$B$2:$B$501,0),IFERROR(MATCH($D172&amp;"",기본자료!$B$2:$B$501,0),IFERROR(MATCH(VALUE($D172),기본자료!$B$2:$B$501,0),0)))&gt;0,"확인","미등록"))</f>
        <v/>
      </c>
      <c r="F172" s="19">
        <f>IF(OR($C172="",$F$3=""),"",IF(TRIM(INDEX(인턴근무계획!$E$3:$J$202,$A172,$F$3)&amp;"")="","",IFERROR(LEFT(TRIM(INDEX(인턴근무계획!$E$3:$J$202,$A172,$F$3)&amp;""),FIND(" ",TRIM(INDEX(인턴근무계획!$E$3:$J$202,$A172,$F$3)&amp;""))-1),TRIM(INDEX(인턴근무계획!$E$3:$J$202,$A172,$F$3)&amp;""))))</f>
        <v/>
      </c>
      <c r="G172" s="19">
        <f>IF(OR($C172="",$F$3=""),"",IF(TRIM(INDEX(인턴근무계획!$E$3:$J$202,$A172,$F$3)&amp;"")="","",IFERROR(MID(TRIM(INDEX(인턴근무계획!$E$3:$J$202,$A172,$F$3)&amp;""),FIND(" ",TRIM(INDEX(인턴근무계획!$E$3:$J$202,$A172,$F$3)&amp;""))+1,60),"")))</f>
        <v/>
      </c>
      <c r="H172" s="19">
        <f>IF(OR($C172="",$H$3=""),"",IF(TRIM(INDEX(인턴근무계획!$E$3:$J$202,$A172,$H$3)&amp;"")="","",IFERROR(LEFT(TRIM(INDEX(인턴근무계획!$E$3:$J$202,$A172,$H$3)&amp;""),FIND(" ",TRIM(INDEX(인턴근무계획!$E$3:$J$202,$A172,$H$3)&amp;""))-1),TRIM(INDEX(인턴근무계획!$E$3:$J$202,$A172,$H$3)&amp;""))))</f>
        <v/>
      </c>
      <c r="I172" s="19">
        <f>IF(OR($C172="",$H$3=""),"",IF(TRIM(INDEX(인턴근무계획!$E$3:$J$202,$A172,$H$3)&amp;"")="","",IFERROR(MID(TRIM(INDEX(인턴근무계획!$E$3:$J$202,$A172,$H$3)&amp;""),FIND(" ",TRIM(INDEX(인턴근무계획!$E$3:$J$202,$A172,$H$3)&amp;""))+1,60),"")))</f>
        <v/>
      </c>
      <c r="J172" s="19">
        <f>IF($C172="","",IF(TRIM(INDEX(인턴근무계획!$E$3:$J$202,$A172,1)&amp;"")="","",IFERROR(LEFT(TRIM(INDEX(인턴근무계획!$E$3:$J$202,$A172,1)&amp;""),FIND(" ",TRIM(INDEX(인턴근무계획!$E$3:$J$202,$A172,1)&amp;""))-1),TRIM(INDEX(인턴근무계획!$E$3:$J$202,$A172,1)&amp;""))))</f>
        <v/>
      </c>
      <c r="K172" s="19">
        <f>IF($C172="","",IF(TRIM(INDEX(인턴근무계획!$E$3:$J$202,$A172,2)&amp;"")="","",IFERROR(LEFT(TRIM(INDEX(인턴근무계획!$E$3:$J$202,$A172,2)&amp;""),FIND(" ",TRIM(INDEX(인턴근무계획!$E$3:$J$202,$A172,2)&amp;""))-1),TRIM(INDEX(인턴근무계획!$E$3:$J$202,$A172,2)&amp;""))))</f>
        <v/>
      </c>
      <c r="L172" s="19">
        <f>IF($C172="","",IF(TRIM(INDEX(인턴근무계획!$E$3:$J$202,$A172,3)&amp;"")="","",IFERROR(LEFT(TRIM(INDEX(인턴근무계획!$E$3:$J$202,$A172,3)&amp;""),FIND(" ",TRIM(INDEX(인턴근무계획!$E$3:$J$202,$A172,3)&amp;""))-1),TRIM(INDEX(인턴근무계획!$E$3:$J$202,$A172,3)&amp;""))))</f>
        <v/>
      </c>
      <c r="M172" s="19">
        <f>IF($C172="","",IF(TRIM(INDEX(인턴근무계획!$E$3:$J$202,$A172,4)&amp;"")="","",IFERROR(LEFT(TRIM(INDEX(인턴근무계획!$E$3:$J$202,$A172,4)&amp;""),FIND(" ",TRIM(INDEX(인턴근무계획!$E$3:$J$202,$A172,4)&amp;""))-1),TRIM(INDEX(인턴근무계획!$E$3:$J$202,$A172,4)&amp;""))))</f>
        <v/>
      </c>
      <c r="N172" s="19">
        <f>IF($C172="","",IF(TRIM(INDEX(인턴근무계획!$E$3:$J$202,$A172,5)&amp;"")="","",IFERROR(LEFT(TRIM(INDEX(인턴근무계획!$E$3:$J$202,$A172,5)&amp;""),FIND(" ",TRIM(INDEX(인턴근무계획!$E$3:$J$202,$A172,5)&amp;""))-1),TRIM(INDEX(인턴근무계획!$E$3:$J$202,$A172,5)&amp;""))))</f>
        <v/>
      </c>
      <c r="O172" s="19">
        <f>IF($C172="","",IF(TRIM(INDEX(인턴근무계획!$E$3:$J$202,$A172,6)&amp;"")="","",IFERROR(LEFT(TRIM(INDEX(인턴근무계획!$E$3:$J$202,$A172,6)&amp;""),FIND(" ",TRIM(INDEX(인턴근무계획!$E$3:$J$202,$A172,6)&amp;""))-1),TRIM(INDEX(인턴근무계획!$E$3:$J$202,$A172,6)&amp;""))))</f>
        <v/>
      </c>
      <c r="P172" s="19">
        <f>IF($C172="","",IF(INDEX(인턴근무계획!$K$3:$K$202,$A172)="","",INDEX(인턴근무계획!$K$3:$K$202,$A172)))</f>
        <v/>
      </c>
    </row>
    <row r="173">
      <c r="A173" s="18" t="n">
        <v>168</v>
      </c>
      <c r="B173" s="19">
        <f>IF($C173="","",INDEX(인턴근무계획!$B$3:$B$202,$A173))</f>
        <v/>
      </c>
      <c r="C173" s="19">
        <f>IFERROR(TRIM(INDEX(인턴근무계획!$C$3:$C$202,$A173)&amp;""),"")</f>
        <v/>
      </c>
      <c r="D173" s="19">
        <f>IF($C173="","",INDEX(인턴근무계획!$D$3:$D$202,$A173))</f>
        <v/>
      </c>
      <c r="E173" s="19">
        <f>IF($C173="","",IF(IFERROR(MATCH($D173,기본자료!$B$2:$B$501,0),IFERROR(MATCH($D173&amp;"",기본자료!$B$2:$B$501,0),IFERROR(MATCH(VALUE($D173),기본자료!$B$2:$B$501,0),0)))&gt;0,"확인","미등록"))</f>
        <v/>
      </c>
      <c r="F173" s="19">
        <f>IF(OR($C173="",$F$3=""),"",IF(TRIM(INDEX(인턴근무계획!$E$3:$J$202,$A173,$F$3)&amp;"")="","",IFERROR(LEFT(TRIM(INDEX(인턴근무계획!$E$3:$J$202,$A173,$F$3)&amp;""),FIND(" ",TRIM(INDEX(인턴근무계획!$E$3:$J$202,$A173,$F$3)&amp;""))-1),TRIM(INDEX(인턴근무계획!$E$3:$J$202,$A173,$F$3)&amp;""))))</f>
        <v/>
      </c>
      <c r="G173" s="19">
        <f>IF(OR($C173="",$F$3=""),"",IF(TRIM(INDEX(인턴근무계획!$E$3:$J$202,$A173,$F$3)&amp;"")="","",IFERROR(MID(TRIM(INDEX(인턴근무계획!$E$3:$J$202,$A173,$F$3)&amp;""),FIND(" ",TRIM(INDEX(인턴근무계획!$E$3:$J$202,$A173,$F$3)&amp;""))+1,60),"")))</f>
        <v/>
      </c>
      <c r="H173" s="19">
        <f>IF(OR($C173="",$H$3=""),"",IF(TRIM(INDEX(인턴근무계획!$E$3:$J$202,$A173,$H$3)&amp;"")="","",IFERROR(LEFT(TRIM(INDEX(인턴근무계획!$E$3:$J$202,$A173,$H$3)&amp;""),FIND(" ",TRIM(INDEX(인턴근무계획!$E$3:$J$202,$A173,$H$3)&amp;""))-1),TRIM(INDEX(인턴근무계획!$E$3:$J$202,$A173,$H$3)&amp;""))))</f>
        <v/>
      </c>
      <c r="I173" s="19">
        <f>IF(OR($C173="",$H$3=""),"",IF(TRIM(INDEX(인턴근무계획!$E$3:$J$202,$A173,$H$3)&amp;"")="","",IFERROR(MID(TRIM(INDEX(인턴근무계획!$E$3:$J$202,$A173,$H$3)&amp;""),FIND(" ",TRIM(INDEX(인턴근무계획!$E$3:$J$202,$A173,$H$3)&amp;""))+1,60),"")))</f>
        <v/>
      </c>
      <c r="J173" s="19">
        <f>IF($C173="","",IF(TRIM(INDEX(인턴근무계획!$E$3:$J$202,$A173,1)&amp;"")="","",IFERROR(LEFT(TRIM(INDEX(인턴근무계획!$E$3:$J$202,$A173,1)&amp;""),FIND(" ",TRIM(INDEX(인턴근무계획!$E$3:$J$202,$A173,1)&amp;""))-1),TRIM(INDEX(인턴근무계획!$E$3:$J$202,$A173,1)&amp;""))))</f>
        <v/>
      </c>
      <c r="K173" s="19">
        <f>IF($C173="","",IF(TRIM(INDEX(인턴근무계획!$E$3:$J$202,$A173,2)&amp;"")="","",IFERROR(LEFT(TRIM(INDEX(인턴근무계획!$E$3:$J$202,$A173,2)&amp;""),FIND(" ",TRIM(INDEX(인턴근무계획!$E$3:$J$202,$A173,2)&amp;""))-1),TRIM(INDEX(인턴근무계획!$E$3:$J$202,$A173,2)&amp;""))))</f>
        <v/>
      </c>
      <c r="L173" s="19">
        <f>IF($C173="","",IF(TRIM(INDEX(인턴근무계획!$E$3:$J$202,$A173,3)&amp;"")="","",IFERROR(LEFT(TRIM(INDEX(인턴근무계획!$E$3:$J$202,$A173,3)&amp;""),FIND(" ",TRIM(INDEX(인턴근무계획!$E$3:$J$202,$A173,3)&amp;""))-1),TRIM(INDEX(인턴근무계획!$E$3:$J$202,$A173,3)&amp;""))))</f>
        <v/>
      </c>
      <c r="M173" s="19">
        <f>IF($C173="","",IF(TRIM(INDEX(인턴근무계획!$E$3:$J$202,$A173,4)&amp;"")="","",IFERROR(LEFT(TRIM(INDEX(인턴근무계획!$E$3:$J$202,$A173,4)&amp;""),FIND(" ",TRIM(INDEX(인턴근무계획!$E$3:$J$202,$A173,4)&amp;""))-1),TRIM(INDEX(인턴근무계획!$E$3:$J$202,$A173,4)&amp;""))))</f>
        <v/>
      </c>
      <c r="N173" s="19">
        <f>IF($C173="","",IF(TRIM(INDEX(인턴근무계획!$E$3:$J$202,$A173,5)&amp;"")="","",IFERROR(LEFT(TRIM(INDEX(인턴근무계획!$E$3:$J$202,$A173,5)&amp;""),FIND(" ",TRIM(INDEX(인턴근무계획!$E$3:$J$202,$A173,5)&amp;""))-1),TRIM(INDEX(인턴근무계획!$E$3:$J$202,$A173,5)&amp;""))))</f>
        <v/>
      </c>
      <c r="O173" s="19">
        <f>IF($C173="","",IF(TRIM(INDEX(인턴근무계획!$E$3:$J$202,$A173,6)&amp;"")="","",IFERROR(LEFT(TRIM(INDEX(인턴근무계획!$E$3:$J$202,$A173,6)&amp;""),FIND(" ",TRIM(INDEX(인턴근무계획!$E$3:$J$202,$A173,6)&amp;""))-1),TRIM(INDEX(인턴근무계획!$E$3:$J$202,$A173,6)&amp;""))))</f>
        <v/>
      </c>
      <c r="P173" s="19">
        <f>IF($C173="","",IF(INDEX(인턴근무계획!$K$3:$K$202,$A173)="","",INDEX(인턴근무계획!$K$3:$K$202,$A173)))</f>
        <v/>
      </c>
    </row>
    <row r="174">
      <c r="A174" s="18" t="n">
        <v>169</v>
      </c>
      <c r="B174" s="19">
        <f>IF($C174="","",INDEX(인턴근무계획!$B$3:$B$202,$A174))</f>
        <v/>
      </c>
      <c r="C174" s="19">
        <f>IFERROR(TRIM(INDEX(인턴근무계획!$C$3:$C$202,$A174)&amp;""),"")</f>
        <v/>
      </c>
      <c r="D174" s="19">
        <f>IF($C174="","",INDEX(인턴근무계획!$D$3:$D$202,$A174))</f>
        <v/>
      </c>
      <c r="E174" s="19">
        <f>IF($C174="","",IF(IFERROR(MATCH($D174,기본자료!$B$2:$B$501,0),IFERROR(MATCH($D174&amp;"",기본자료!$B$2:$B$501,0),IFERROR(MATCH(VALUE($D174),기본자료!$B$2:$B$501,0),0)))&gt;0,"확인","미등록"))</f>
        <v/>
      </c>
      <c r="F174" s="19">
        <f>IF(OR($C174="",$F$3=""),"",IF(TRIM(INDEX(인턴근무계획!$E$3:$J$202,$A174,$F$3)&amp;"")="","",IFERROR(LEFT(TRIM(INDEX(인턴근무계획!$E$3:$J$202,$A174,$F$3)&amp;""),FIND(" ",TRIM(INDEX(인턴근무계획!$E$3:$J$202,$A174,$F$3)&amp;""))-1),TRIM(INDEX(인턴근무계획!$E$3:$J$202,$A174,$F$3)&amp;""))))</f>
        <v/>
      </c>
      <c r="G174" s="19">
        <f>IF(OR($C174="",$F$3=""),"",IF(TRIM(INDEX(인턴근무계획!$E$3:$J$202,$A174,$F$3)&amp;"")="","",IFERROR(MID(TRIM(INDEX(인턴근무계획!$E$3:$J$202,$A174,$F$3)&amp;""),FIND(" ",TRIM(INDEX(인턴근무계획!$E$3:$J$202,$A174,$F$3)&amp;""))+1,60),"")))</f>
        <v/>
      </c>
      <c r="H174" s="19">
        <f>IF(OR($C174="",$H$3=""),"",IF(TRIM(INDEX(인턴근무계획!$E$3:$J$202,$A174,$H$3)&amp;"")="","",IFERROR(LEFT(TRIM(INDEX(인턴근무계획!$E$3:$J$202,$A174,$H$3)&amp;""),FIND(" ",TRIM(INDEX(인턴근무계획!$E$3:$J$202,$A174,$H$3)&amp;""))-1),TRIM(INDEX(인턴근무계획!$E$3:$J$202,$A174,$H$3)&amp;""))))</f>
        <v/>
      </c>
      <c r="I174" s="19">
        <f>IF(OR($C174="",$H$3=""),"",IF(TRIM(INDEX(인턴근무계획!$E$3:$J$202,$A174,$H$3)&amp;"")="","",IFERROR(MID(TRIM(INDEX(인턴근무계획!$E$3:$J$202,$A174,$H$3)&amp;""),FIND(" ",TRIM(INDEX(인턴근무계획!$E$3:$J$202,$A174,$H$3)&amp;""))+1,60),"")))</f>
        <v/>
      </c>
      <c r="J174" s="19">
        <f>IF($C174="","",IF(TRIM(INDEX(인턴근무계획!$E$3:$J$202,$A174,1)&amp;"")="","",IFERROR(LEFT(TRIM(INDEX(인턴근무계획!$E$3:$J$202,$A174,1)&amp;""),FIND(" ",TRIM(INDEX(인턴근무계획!$E$3:$J$202,$A174,1)&amp;""))-1),TRIM(INDEX(인턴근무계획!$E$3:$J$202,$A174,1)&amp;""))))</f>
        <v/>
      </c>
      <c r="K174" s="19">
        <f>IF($C174="","",IF(TRIM(INDEX(인턴근무계획!$E$3:$J$202,$A174,2)&amp;"")="","",IFERROR(LEFT(TRIM(INDEX(인턴근무계획!$E$3:$J$202,$A174,2)&amp;""),FIND(" ",TRIM(INDEX(인턴근무계획!$E$3:$J$202,$A174,2)&amp;""))-1),TRIM(INDEX(인턴근무계획!$E$3:$J$202,$A174,2)&amp;""))))</f>
        <v/>
      </c>
      <c r="L174" s="19">
        <f>IF($C174="","",IF(TRIM(INDEX(인턴근무계획!$E$3:$J$202,$A174,3)&amp;"")="","",IFERROR(LEFT(TRIM(INDEX(인턴근무계획!$E$3:$J$202,$A174,3)&amp;""),FIND(" ",TRIM(INDEX(인턴근무계획!$E$3:$J$202,$A174,3)&amp;""))-1),TRIM(INDEX(인턴근무계획!$E$3:$J$202,$A174,3)&amp;""))))</f>
        <v/>
      </c>
      <c r="M174" s="19">
        <f>IF($C174="","",IF(TRIM(INDEX(인턴근무계획!$E$3:$J$202,$A174,4)&amp;"")="","",IFERROR(LEFT(TRIM(INDEX(인턴근무계획!$E$3:$J$202,$A174,4)&amp;""),FIND(" ",TRIM(INDEX(인턴근무계획!$E$3:$J$202,$A174,4)&amp;""))-1),TRIM(INDEX(인턴근무계획!$E$3:$J$202,$A174,4)&amp;""))))</f>
        <v/>
      </c>
      <c r="N174" s="19">
        <f>IF($C174="","",IF(TRIM(INDEX(인턴근무계획!$E$3:$J$202,$A174,5)&amp;"")="","",IFERROR(LEFT(TRIM(INDEX(인턴근무계획!$E$3:$J$202,$A174,5)&amp;""),FIND(" ",TRIM(INDEX(인턴근무계획!$E$3:$J$202,$A174,5)&amp;""))-1),TRIM(INDEX(인턴근무계획!$E$3:$J$202,$A174,5)&amp;""))))</f>
        <v/>
      </c>
      <c r="O174" s="19">
        <f>IF($C174="","",IF(TRIM(INDEX(인턴근무계획!$E$3:$J$202,$A174,6)&amp;"")="","",IFERROR(LEFT(TRIM(INDEX(인턴근무계획!$E$3:$J$202,$A174,6)&amp;""),FIND(" ",TRIM(INDEX(인턴근무계획!$E$3:$J$202,$A174,6)&amp;""))-1),TRIM(INDEX(인턴근무계획!$E$3:$J$202,$A174,6)&amp;""))))</f>
        <v/>
      </c>
      <c r="P174" s="19">
        <f>IF($C174="","",IF(INDEX(인턴근무계획!$K$3:$K$202,$A174)="","",INDEX(인턴근무계획!$K$3:$K$202,$A174)))</f>
        <v/>
      </c>
    </row>
    <row r="175">
      <c r="A175" s="18" t="n">
        <v>170</v>
      </c>
      <c r="B175" s="19">
        <f>IF($C175="","",INDEX(인턴근무계획!$B$3:$B$202,$A175))</f>
        <v/>
      </c>
      <c r="C175" s="19">
        <f>IFERROR(TRIM(INDEX(인턴근무계획!$C$3:$C$202,$A175)&amp;""),"")</f>
        <v/>
      </c>
      <c r="D175" s="19">
        <f>IF($C175="","",INDEX(인턴근무계획!$D$3:$D$202,$A175))</f>
        <v/>
      </c>
      <c r="E175" s="19">
        <f>IF($C175="","",IF(IFERROR(MATCH($D175,기본자료!$B$2:$B$501,0),IFERROR(MATCH($D175&amp;"",기본자료!$B$2:$B$501,0),IFERROR(MATCH(VALUE($D175),기본자료!$B$2:$B$501,0),0)))&gt;0,"확인","미등록"))</f>
        <v/>
      </c>
      <c r="F175" s="19">
        <f>IF(OR($C175="",$F$3=""),"",IF(TRIM(INDEX(인턴근무계획!$E$3:$J$202,$A175,$F$3)&amp;"")="","",IFERROR(LEFT(TRIM(INDEX(인턴근무계획!$E$3:$J$202,$A175,$F$3)&amp;""),FIND(" ",TRIM(INDEX(인턴근무계획!$E$3:$J$202,$A175,$F$3)&amp;""))-1),TRIM(INDEX(인턴근무계획!$E$3:$J$202,$A175,$F$3)&amp;""))))</f>
        <v/>
      </c>
      <c r="G175" s="19">
        <f>IF(OR($C175="",$F$3=""),"",IF(TRIM(INDEX(인턴근무계획!$E$3:$J$202,$A175,$F$3)&amp;"")="","",IFERROR(MID(TRIM(INDEX(인턴근무계획!$E$3:$J$202,$A175,$F$3)&amp;""),FIND(" ",TRIM(INDEX(인턴근무계획!$E$3:$J$202,$A175,$F$3)&amp;""))+1,60),"")))</f>
        <v/>
      </c>
      <c r="H175" s="19">
        <f>IF(OR($C175="",$H$3=""),"",IF(TRIM(INDEX(인턴근무계획!$E$3:$J$202,$A175,$H$3)&amp;"")="","",IFERROR(LEFT(TRIM(INDEX(인턴근무계획!$E$3:$J$202,$A175,$H$3)&amp;""),FIND(" ",TRIM(INDEX(인턴근무계획!$E$3:$J$202,$A175,$H$3)&amp;""))-1),TRIM(INDEX(인턴근무계획!$E$3:$J$202,$A175,$H$3)&amp;""))))</f>
        <v/>
      </c>
      <c r="I175" s="19">
        <f>IF(OR($C175="",$H$3=""),"",IF(TRIM(INDEX(인턴근무계획!$E$3:$J$202,$A175,$H$3)&amp;"")="","",IFERROR(MID(TRIM(INDEX(인턴근무계획!$E$3:$J$202,$A175,$H$3)&amp;""),FIND(" ",TRIM(INDEX(인턴근무계획!$E$3:$J$202,$A175,$H$3)&amp;""))+1,60),"")))</f>
        <v/>
      </c>
      <c r="J175" s="19">
        <f>IF($C175="","",IF(TRIM(INDEX(인턴근무계획!$E$3:$J$202,$A175,1)&amp;"")="","",IFERROR(LEFT(TRIM(INDEX(인턴근무계획!$E$3:$J$202,$A175,1)&amp;""),FIND(" ",TRIM(INDEX(인턴근무계획!$E$3:$J$202,$A175,1)&amp;""))-1),TRIM(INDEX(인턴근무계획!$E$3:$J$202,$A175,1)&amp;""))))</f>
        <v/>
      </c>
      <c r="K175" s="19">
        <f>IF($C175="","",IF(TRIM(INDEX(인턴근무계획!$E$3:$J$202,$A175,2)&amp;"")="","",IFERROR(LEFT(TRIM(INDEX(인턴근무계획!$E$3:$J$202,$A175,2)&amp;""),FIND(" ",TRIM(INDEX(인턴근무계획!$E$3:$J$202,$A175,2)&amp;""))-1),TRIM(INDEX(인턴근무계획!$E$3:$J$202,$A175,2)&amp;""))))</f>
        <v/>
      </c>
      <c r="L175" s="19">
        <f>IF($C175="","",IF(TRIM(INDEX(인턴근무계획!$E$3:$J$202,$A175,3)&amp;"")="","",IFERROR(LEFT(TRIM(INDEX(인턴근무계획!$E$3:$J$202,$A175,3)&amp;""),FIND(" ",TRIM(INDEX(인턴근무계획!$E$3:$J$202,$A175,3)&amp;""))-1),TRIM(INDEX(인턴근무계획!$E$3:$J$202,$A175,3)&amp;""))))</f>
        <v/>
      </c>
      <c r="M175" s="19">
        <f>IF($C175="","",IF(TRIM(INDEX(인턴근무계획!$E$3:$J$202,$A175,4)&amp;"")="","",IFERROR(LEFT(TRIM(INDEX(인턴근무계획!$E$3:$J$202,$A175,4)&amp;""),FIND(" ",TRIM(INDEX(인턴근무계획!$E$3:$J$202,$A175,4)&amp;""))-1),TRIM(INDEX(인턴근무계획!$E$3:$J$202,$A175,4)&amp;""))))</f>
        <v/>
      </c>
      <c r="N175" s="19">
        <f>IF($C175="","",IF(TRIM(INDEX(인턴근무계획!$E$3:$J$202,$A175,5)&amp;"")="","",IFERROR(LEFT(TRIM(INDEX(인턴근무계획!$E$3:$J$202,$A175,5)&amp;""),FIND(" ",TRIM(INDEX(인턴근무계획!$E$3:$J$202,$A175,5)&amp;""))-1),TRIM(INDEX(인턴근무계획!$E$3:$J$202,$A175,5)&amp;""))))</f>
        <v/>
      </c>
      <c r="O175" s="19">
        <f>IF($C175="","",IF(TRIM(INDEX(인턴근무계획!$E$3:$J$202,$A175,6)&amp;"")="","",IFERROR(LEFT(TRIM(INDEX(인턴근무계획!$E$3:$J$202,$A175,6)&amp;""),FIND(" ",TRIM(INDEX(인턴근무계획!$E$3:$J$202,$A175,6)&amp;""))-1),TRIM(INDEX(인턴근무계획!$E$3:$J$202,$A175,6)&amp;""))))</f>
        <v/>
      </c>
      <c r="P175" s="19">
        <f>IF($C175="","",IF(INDEX(인턴근무계획!$K$3:$K$202,$A175)="","",INDEX(인턴근무계획!$K$3:$K$202,$A175)))</f>
        <v/>
      </c>
    </row>
    <row r="176">
      <c r="A176" s="18" t="n">
        <v>171</v>
      </c>
      <c r="B176" s="19">
        <f>IF($C176="","",INDEX(인턴근무계획!$B$3:$B$202,$A176))</f>
        <v/>
      </c>
      <c r="C176" s="19">
        <f>IFERROR(TRIM(INDEX(인턴근무계획!$C$3:$C$202,$A176)&amp;""),"")</f>
        <v/>
      </c>
      <c r="D176" s="19">
        <f>IF($C176="","",INDEX(인턴근무계획!$D$3:$D$202,$A176))</f>
        <v/>
      </c>
      <c r="E176" s="19">
        <f>IF($C176="","",IF(IFERROR(MATCH($D176,기본자료!$B$2:$B$501,0),IFERROR(MATCH($D176&amp;"",기본자료!$B$2:$B$501,0),IFERROR(MATCH(VALUE($D176),기본자료!$B$2:$B$501,0),0)))&gt;0,"확인","미등록"))</f>
        <v/>
      </c>
      <c r="F176" s="19">
        <f>IF(OR($C176="",$F$3=""),"",IF(TRIM(INDEX(인턴근무계획!$E$3:$J$202,$A176,$F$3)&amp;"")="","",IFERROR(LEFT(TRIM(INDEX(인턴근무계획!$E$3:$J$202,$A176,$F$3)&amp;""),FIND(" ",TRIM(INDEX(인턴근무계획!$E$3:$J$202,$A176,$F$3)&amp;""))-1),TRIM(INDEX(인턴근무계획!$E$3:$J$202,$A176,$F$3)&amp;""))))</f>
        <v/>
      </c>
      <c r="G176" s="19">
        <f>IF(OR($C176="",$F$3=""),"",IF(TRIM(INDEX(인턴근무계획!$E$3:$J$202,$A176,$F$3)&amp;"")="","",IFERROR(MID(TRIM(INDEX(인턴근무계획!$E$3:$J$202,$A176,$F$3)&amp;""),FIND(" ",TRIM(INDEX(인턴근무계획!$E$3:$J$202,$A176,$F$3)&amp;""))+1,60),"")))</f>
        <v/>
      </c>
      <c r="H176" s="19">
        <f>IF(OR($C176="",$H$3=""),"",IF(TRIM(INDEX(인턴근무계획!$E$3:$J$202,$A176,$H$3)&amp;"")="","",IFERROR(LEFT(TRIM(INDEX(인턴근무계획!$E$3:$J$202,$A176,$H$3)&amp;""),FIND(" ",TRIM(INDEX(인턴근무계획!$E$3:$J$202,$A176,$H$3)&amp;""))-1),TRIM(INDEX(인턴근무계획!$E$3:$J$202,$A176,$H$3)&amp;""))))</f>
        <v/>
      </c>
      <c r="I176" s="19">
        <f>IF(OR($C176="",$H$3=""),"",IF(TRIM(INDEX(인턴근무계획!$E$3:$J$202,$A176,$H$3)&amp;"")="","",IFERROR(MID(TRIM(INDEX(인턴근무계획!$E$3:$J$202,$A176,$H$3)&amp;""),FIND(" ",TRIM(INDEX(인턴근무계획!$E$3:$J$202,$A176,$H$3)&amp;""))+1,60),"")))</f>
        <v/>
      </c>
      <c r="J176" s="19">
        <f>IF($C176="","",IF(TRIM(INDEX(인턴근무계획!$E$3:$J$202,$A176,1)&amp;"")="","",IFERROR(LEFT(TRIM(INDEX(인턴근무계획!$E$3:$J$202,$A176,1)&amp;""),FIND(" ",TRIM(INDEX(인턴근무계획!$E$3:$J$202,$A176,1)&amp;""))-1),TRIM(INDEX(인턴근무계획!$E$3:$J$202,$A176,1)&amp;""))))</f>
        <v/>
      </c>
      <c r="K176" s="19">
        <f>IF($C176="","",IF(TRIM(INDEX(인턴근무계획!$E$3:$J$202,$A176,2)&amp;"")="","",IFERROR(LEFT(TRIM(INDEX(인턴근무계획!$E$3:$J$202,$A176,2)&amp;""),FIND(" ",TRIM(INDEX(인턴근무계획!$E$3:$J$202,$A176,2)&amp;""))-1),TRIM(INDEX(인턴근무계획!$E$3:$J$202,$A176,2)&amp;""))))</f>
        <v/>
      </c>
      <c r="L176" s="19">
        <f>IF($C176="","",IF(TRIM(INDEX(인턴근무계획!$E$3:$J$202,$A176,3)&amp;"")="","",IFERROR(LEFT(TRIM(INDEX(인턴근무계획!$E$3:$J$202,$A176,3)&amp;""),FIND(" ",TRIM(INDEX(인턴근무계획!$E$3:$J$202,$A176,3)&amp;""))-1),TRIM(INDEX(인턴근무계획!$E$3:$J$202,$A176,3)&amp;""))))</f>
        <v/>
      </c>
      <c r="M176" s="19">
        <f>IF($C176="","",IF(TRIM(INDEX(인턴근무계획!$E$3:$J$202,$A176,4)&amp;"")="","",IFERROR(LEFT(TRIM(INDEX(인턴근무계획!$E$3:$J$202,$A176,4)&amp;""),FIND(" ",TRIM(INDEX(인턴근무계획!$E$3:$J$202,$A176,4)&amp;""))-1),TRIM(INDEX(인턴근무계획!$E$3:$J$202,$A176,4)&amp;""))))</f>
        <v/>
      </c>
      <c r="N176" s="19">
        <f>IF($C176="","",IF(TRIM(INDEX(인턴근무계획!$E$3:$J$202,$A176,5)&amp;"")="","",IFERROR(LEFT(TRIM(INDEX(인턴근무계획!$E$3:$J$202,$A176,5)&amp;""),FIND(" ",TRIM(INDEX(인턴근무계획!$E$3:$J$202,$A176,5)&amp;""))-1),TRIM(INDEX(인턴근무계획!$E$3:$J$202,$A176,5)&amp;""))))</f>
        <v/>
      </c>
      <c r="O176" s="19">
        <f>IF($C176="","",IF(TRIM(INDEX(인턴근무계획!$E$3:$J$202,$A176,6)&amp;"")="","",IFERROR(LEFT(TRIM(INDEX(인턴근무계획!$E$3:$J$202,$A176,6)&amp;""),FIND(" ",TRIM(INDEX(인턴근무계획!$E$3:$J$202,$A176,6)&amp;""))-1),TRIM(INDEX(인턴근무계획!$E$3:$J$202,$A176,6)&amp;""))))</f>
        <v/>
      </c>
      <c r="P176" s="19">
        <f>IF($C176="","",IF(INDEX(인턴근무계획!$K$3:$K$202,$A176)="","",INDEX(인턴근무계획!$K$3:$K$202,$A176)))</f>
        <v/>
      </c>
    </row>
    <row r="177">
      <c r="A177" s="18" t="n">
        <v>172</v>
      </c>
      <c r="B177" s="19">
        <f>IF($C177="","",INDEX(인턴근무계획!$B$3:$B$202,$A177))</f>
        <v/>
      </c>
      <c r="C177" s="19">
        <f>IFERROR(TRIM(INDEX(인턴근무계획!$C$3:$C$202,$A177)&amp;""),"")</f>
        <v/>
      </c>
      <c r="D177" s="19">
        <f>IF($C177="","",INDEX(인턴근무계획!$D$3:$D$202,$A177))</f>
        <v/>
      </c>
      <c r="E177" s="19">
        <f>IF($C177="","",IF(IFERROR(MATCH($D177,기본자료!$B$2:$B$501,0),IFERROR(MATCH($D177&amp;"",기본자료!$B$2:$B$501,0),IFERROR(MATCH(VALUE($D177),기본자료!$B$2:$B$501,0),0)))&gt;0,"확인","미등록"))</f>
        <v/>
      </c>
      <c r="F177" s="19">
        <f>IF(OR($C177="",$F$3=""),"",IF(TRIM(INDEX(인턴근무계획!$E$3:$J$202,$A177,$F$3)&amp;"")="","",IFERROR(LEFT(TRIM(INDEX(인턴근무계획!$E$3:$J$202,$A177,$F$3)&amp;""),FIND(" ",TRIM(INDEX(인턴근무계획!$E$3:$J$202,$A177,$F$3)&amp;""))-1),TRIM(INDEX(인턴근무계획!$E$3:$J$202,$A177,$F$3)&amp;""))))</f>
        <v/>
      </c>
      <c r="G177" s="19">
        <f>IF(OR($C177="",$F$3=""),"",IF(TRIM(INDEX(인턴근무계획!$E$3:$J$202,$A177,$F$3)&amp;"")="","",IFERROR(MID(TRIM(INDEX(인턴근무계획!$E$3:$J$202,$A177,$F$3)&amp;""),FIND(" ",TRIM(INDEX(인턴근무계획!$E$3:$J$202,$A177,$F$3)&amp;""))+1,60),"")))</f>
        <v/>
      </c>
      <c r="H177" s="19">
        <f>IF(OR($C177="",$H$3=""),"",IF(TRIM(INDEX(인턴근무계획!$E$3:$J$202,$A177,$H$3)&amp;"")="","",IFERROR(LEFT(TRIM(INDEX(인턴근무계획!$E$3:$J$202,$A177,$H$3)&amp;""),FIND(" ",TRIM(INDEX(인턴근무계획!$E$3:$J$202,$A177,$H$3)&amp;""))-1),TRIM(INDEX(인턴근무계획!$E$3:$J$202,$A177,$H$3)&amp;""))))</f>
        <v/>
      </c>
      <c r="I177" s="19">
        <f>IF(OR($C177="",$H$3=""),"",IF(TRIM(INDEX(인턴근무계획!$E$3:$J$202,$A177,$H$3)&amp;"")="","",IFERROR(MID(TRIM(INDEX(인턴근무계획!$E$3:$J$202,$A177,$H$3)&amp;""),FIND(" ",TRIM(INDEX(인턴근무계획!$E$3:$J$202,$A177,$H$3)&amp;""))+1,60),"")))</f>
        <v/>
      </c>
      <c r="J177" s="19">
        <f>IF($C177="","",IF(TRIM(INDEX(인턴근무계획!$E$3:$J$202,$A177,1)&amp;"")="","",IFERROR(LEFT(TRIM(INDEX(인턴근무계획!$E$3:$J$202,$A177,1)&amp;""),FIND(" ",TRIM(INDEX(인턴근무계획!$E$3:$J$202,$A177,1)&amp;""))-1),TRIM(INDEX(인턴근무계획!$E$3:$J$202,$A177,1)&amp;""))))</f>
        <v/>
      </c>
      <c r="K177" s="19">
        <f>IF($C177="","",IF(TRIM(INDEX(인턴근무계획!$E$3:$J$202,$A177,2)&amp;"")="","",IFERROR(LEFT(TRIM(INDEX(인턴근무계획!$E$3:$J$202,$A177,2)&amp;""),FIND(" ",TRIM(INDEX(인턴근무계획!$E$3:$J$202,$A177,2)&amp;""))-1),TRIM(INDEX(인턴근무계획!$E$3:$J$202,$A177,2)&amp;""))))</f>
        <v/>
      </c>
      <c r="L177" s="19">
        <f>IF($C177="","",IF(TRIM(INDEX(인턴근무계획!$E$3:$J$202,$A177,3)&amp;"")="","",IFERROR(LEFT(TRIM(INDEX(인턴근무계획!$E$3:$J$202,$A177,3)&amp;""),FIND(" ",TRIM(INDEX(인턴근무계획!$E$3:$J$202,$A177,3)&amp;""))-1),TRIM(INDEX(인턴근무계획!$E$3:$J$202,$A177,3)&amp;""))))</f>
        <v/>
      </c>
      <c r="M177" s="19">
        <f>IF($C177="","",IF(TRIM(INDEX(인턴근무계획!$E$3:$J$202,$A177,4)&amp;"")="","",IFERROR(LEFT(TRIM(INDEX(인턴근무계획!$E$3:$J$202,$A177,4)&amp;""),FIND(" ",TRIM(INDEX(인턴근무계획!$E$3:$J$202,$A177,4)&amp;""))-1),TRIM(INDEX(인턴근무계획!$E$3:$J$202,$A177,4)&amp;""))))</f>
        <v/>
      </c>
      <c r="N177" s="19">
        <f>IF($C177="","",IF(TRIM(INDEX(인턴근무계획!$E$3:$J$202,$A177,5)&amp;"")="","",IFERROR(LEFT(TRIM(INDEX(인턴근무계획!$E$3:$J$202,$A177,5)&amp;""),FIND(" ",TRIM(INDEX(인턴근무계획!$E$3:$J$202,$A177,5)&amp;""))-1),TRIM(INDEX(인턴근무계획!$E$3:$J$202,$A177,5)&amp;""))))</f>
        <v/>
      </c>
      <c r="O177" s="19">
        <f>IF($C177="","",IF(TRIM(INDEX(인턴근무계획!$E$3:$J$202,$A177,6)&amp;"")="","",IFERROR(LEFT(TRIM(INDEX(인턴근무계획!$E$3:$J$202,$A177,6)&amp;""),FIND(" ",TRIM(INDEX(인턴근무계획!$E$3:$J$202,$A177,6)&amp;""))-1),TRIM(INDEX(인턴근무계획!$E$3:$J$202,$A177,6)&amp;""))))</f>
        <v/>
      </c>
      <c r="P177" s="19">
        <f>IF($C177="","",IF(INDEX(인턴근무계획!$K$3:$K$202,$A177)="","",INDEX(인턴근무계획!$K$3:$K$202,$A177)))</f>
        <v/>
      </c>
    </row>
    <row r="178">
      <c r="A178" s="18" t="n">
        <v>173</v>
      </c>
      <c r="B178" s="19">
        <f>IF($C178="","",INDEX(인턴근무계획!$B$3:$B$202,$A178))</f>
        <v/>
      </c>
      <c r="C178" s="19">
        <f>IFERROR(TRIM(INDEX(인턴근무계획!$C$3:$C$202,$A178)&amp;""),"")</f>
        <v/>
      </c>
      <c r="D178" s="19">
        <f>IF($C178="","",INDEX(인턴근무계획!$D$3:$D$202,$A178))</f>
        <v/>
      </c>
      <c r="E178" s="19">
        <f>IF($C178="","",IF(IFERROR(MATCH($D178,기본자료!$B$2:$B$501,0),IFERROR(MATCH($D178&amp;"",기본자료!$B$2:$B$501,0),IFERROR(MATCH(VALUE($D178),기본자료!$B$2:$B$501,0),0)))&gt;0,"확인","미등록"))</f>
        <v/>
      </c>
      <c r="F178" s="19">
        <f>IF(OR($C178="",$F$3=""),"",IF(TRIM(INDEX(인턴근무계획!$E$3:$J$202,$A178,$F$3)&amp;"")="","",IFERROR(LEFT(TRIM(INDEX(인턴근무계획!$E$3:$J$202,$A178,$F$3)&amp;""),FIND(" ",TRIM(INDEX(인턴근무계획!$E$3:$J$202,$A178,$F$3)&amp;""))-1),TRIM(INDEX(인턴근무계획!$E$3:$J$202,$A178,$F$3)&amp;""))))</f>
        <v/>
      </c>
      <c r="G178" s="19">
        <f>IF(OR($C178="",$F$3=""),"",IF(TRIM(INDEX(인턴근무계획!$E$3:$J$202,$A178,$F$3)&amp;"")="","",IFERROR(MID(TRIM(INDEX(인턴근무계획!$E$3:$J$202,$A178,$F$3)&amp;""),FIND(" ",TRIM(INDEX(인턴근무계획!$E$3:$J$202,$A178,$F$3)&amp;""))+1,60),"")))</f>
        <v/>
      </c>
      <c r="H178" s="19">
        <f>IF(OR($C178="",$H$3=""),"",IF(TRIM(INDEX(인턴근무계획!$E$3:$J$202,$A178,$H$3)&amp;"")="","",IFERROR(LEFT(TRIM(INDEX(인턴근무계획!$E$3:$J$202,$A178,$H$3)&amp;""),FIND(" ",TRIM(INDEX(인턴근무계획!$E$3:$J$202,$A178,$H$3)&amp;""))-1),TRIM(INDEX(인턴근무계획!$E$3:$J$202,$A178,$H$3)&amp;""))))</f>
        <v/>
      </c>
      <c r="I178" s="19">
        <f>IF(OR($C178="",$H$3=""),"",IF(TRIM(INDEX(인턴근무계획!$E$3:$J$202,$A178,$H$3)&amp;"")="","",IFERROR(MID(TRIM(INDEX(인턴근무계획!$E$3:$J$202,$A178,$H$3)&amp;""),FIND(" ",TRIM(INDEX(인턴근무계획!$E$3:$J$202,$A178,$H$3)&amp;""))+1,60),"")))</f>
        <v/>
      </c>
      <c r="J178" s="19">
        <f>IF($C178="","",IF(TRIM(INDEX(인턴근무계획!$E$3:$J$202,$A178,1)&amp;"")="","",IFERROR(LEFT(TRIM(INDEX(인턴근무계획!$E$3:$J$202,$A178,1)&amp;""),FIND(" ",TRIM(INDEX(인턴근무계획!$E$3:$J$202,$A178,1)&amp;""))-1),TRIM(INDEX(인턴근무계획!$E$3:$J$202,$A178,1)&amp;""))))</f>
        <v/>
      </c>
      <c r="K178" s="19">
        <f>IF($C178="","",IF(TRIM(INDEX(인턴근무계획!$E$3:$J$202,$A178,2)&amp;"")="","",IFERROR(LEFT(TRIM(INDEX(인턴근무계획!$E$3:$J$202,$A178,2)&amp;""),FIND(" ",TRIM(INDEX(인턴근무계획!$E$3:$J$202,$A178,2)&amp;""))-1),TRIM(INDEX(인턴근무계획!$E$3:$J$202,$A178,2)&amp;""))))</f>
        <v/>
      </c>
      <c r="L178" s="19">
        <f>IF($C178="","",IF(TRIM(INDEX(인턴근무계획!$E$3:$J$202,$A178,3)&amp;"")="","",IFERROR(LEFT(TRIM(INDEX(인턴근무계획!$E$3:$J$202,$A178,3)&amp;""),FIND(" ",TRIM(INDEX(인턴근무계획!$E$3:$J$202,$A178,3)&amp;""))-1),TRIM(INDEX(인턴근무계획!$E$3:$J$202,$A178,3)&amp;""))))</f>
        <v/>
      </c>
      <c r="M178" s="19">
        <f>IF($C178="","",IF(TRIM(INDEX(인턴근무계획!$E$3:$J$202,$A178,4)&amp;"")="","",IFERROR(LEFT(TRIM(INDEX(인턴근무계획!$E$3:$J$202,$A178,4)&amp;""),FIND(" ",TRIM(INDEX(인턴근무계획!$E$3:$J$202,$A178,4)&amp;""))-1),TRIM(INDEX(인턴근무계획!$E$3:$J$202,$A178,4)&amp;""))))</f>
        <v/>
      </c>
      <c r="N178" s="19">
        <f>IF($C178="","",IF(TRIM(INDEX(인턴근무계획!$E$3:$J$202,$A178,5)&amp;"")="","",IFERROR(LEFT(TRIM(INDEX(인턴근무계획!$E$3:$J$202,$A178,5)&amp;""),FIND(" ",TRIM(INDEX(인턴근무계획!$E$3:$J$202,$A178,5)&amp;""))-1),TRIM(INDEX(인턴근무계획!$E$3:$J$202,$A178,5)&amp;""))))</f>
        <v/>
      </c>
      <c r="O178" s="19">
        <f>IF($C178="","",IF(TRIM(INDEX(인턴근무계획!$E$3:$J$202,$A178,6)&amp;"")="","",IFERROR(LEFT(TRIM(INDEX(인턴근무계획!$E$3:$J$202,$A178,6)&amp;""),FIND(" ",TRIM(INDEX(인턴근무계획!$E$3:$J$202,$A178,6)&amp;""))-1),TRIM(INDEX(인턴근무계획!$E$3:$J$202,$A178,6)&amp;""))))</f>
        <v/>
      </c>
      <c r="P178" s="19">
        <f>IF($C178="","",IF(INDEX(인턴근무계획!$K$3:$K$202,$A178)="","",INDEX(인턴근무계획!$K$3:$K$202,$A178)))</f>
        <v/>
      </c>
    </row>
    <row r="179">
      <c r="A179" s="18" t="n">
        <v>174</v>
      </c>
      <c r="B179" s="19">
        <f>IF($C179="","",INDEX(인턴근무계획!$B$3:$B$202,$A179))</f>
        <v/>
      </c>
      <c r="C179" s="19">
        <f>IFERROR(TRIM(INDEX(인턴근무계획!$C$3:$C$202,$A179)&amp;""),"")</f>
        <v/>
      </c>
      <c r="D179" s="19">
        <f>IF($C179="","",INDEX(인턴근무계획!$D$3:$D$202,$A179))</f>
        <v/>
      </c>
      <c r="E179" s="19">
        <f>IF($C179="","",IF(IFERROR(MATCH($D179,기본자료!$B$2:$B$501,0),IFERROR(MATCH($D179&amp;"",기본자료!$B$2:$B$501,0),IFERROR(MATCH(VALUE($D179),기본자료!$B$2:$B$501,0),0)))&gt;0,"확인","미등록"))</f>
        <v/>
      </c>
      <c r="F179" s="19">
        <f>IF(OR($C179="",$F$3=""),"",IF(TRIM(INDEX(인턴근무계획!$E$3:$J$202,$A179,$F$3)&amp;"")="","",IFERROR(LEFT(TRIM(INDEX(인턴근무계획!$E$3:$J$202,$A179,$F$3)&amp;""),FIND(" ",TRIM(INDEX(인턴근무계획!$E$3:$J$202,$A179,$F$3)&amp;""))-1),TRIM(INDEX(인턴근무계획!$E$3:$J$202,$A179,$F$3)&amp;""))))</f>
        <v/>
      </c>
      <c r="G179" s="19">
        <f>IF(OR($C179="",$F$3=""),"",IF(TRIM(INDEX(인턴근무계획!$E$3:$J$202,$A179,$F$3)&amp;"")="","",IFERROR(MID(TRIM(INDEX(인턴근무계획!$E$3:$J$202,$A179,$F$3)&amp;""),FIND(" ",TRIM(INDEX(인턴근무계획!$E$3:$J$202,$A179,$F$3)&amp;""))+1,60),"")))</f>
        <v/>
      </c>
      <c r="H179" s="19">
        <f>IF(OR($C179="",$H$3=""),"",IF(TRIM(INDEX(인턴근무계획!$E$3:$J$202,$A179,$H$3)&amp;"")="","",IFERROR(LEFT(TRIM(INDEX(인턴근무계획!$E$3:$J$202,$A179,$H$3)&amp;""),FIND(" ",TRIM(INDEX(인턴근무계획!$E$3:$J$202,$A179,$H$3)&amp;""))-1),TRIM(INDEX(인턴근무계획!$E$3:$J$202,$A179,$H$3)&amp;""))))</f>
        <v/>
      </c>
      <c r="I179" s="19">
        <f>IF(OR($C179="",$H$3=""),"",IF(TRIM(INDEX(인턴근무계획!$E$3:$J$202,$A179,$H$3)&amp;"")="","",IFERROR(MID(TRIM(INDEX(인턴근무계획!$E$3:$J$202,$A179,$H$3)&amp;""),FIND(" ",TRIM(INDEX(인턴근무계획!$E$3:$J$202,$A179,$H$3)&amp;""))+1,60),"")))</f>
        <v/>
      </c>
      <c r="J179" s="19">
        <f>IF($C179="","",IF(TRIM(INDEX(인턴근무계획!$E$3:$J$202,$A179,1)&amp;"")="","",IFERROR(LEFT(TRIM(INDEX(인턴근무계획!$E$3:$J$202,$A179,1)&amp;""),FIND(" ",TRIM(INDEX(인턴근무계획!$E$3:$J$202,$A179,1)&amp;""))-1),TRIM(INDEX(인턴근무계획!$E$3:$J$202,$A179,1)&amp;""))))</f>
        <v/>
      </c>
      <c r="K179" s="19">
        <f>IF($C179="","",IF(TRIM(INDEX(인턴근무계획!$E$3:$J$202,$A179,2)&amp;"")="","",IFERROR(LEFT(TRIM(INDEX(인턴근무계획!$E$3:$J$202,$A179,2)&amp;""),FIND(" ",TRIM(INDEX(인턴근무계획!$E$3:$J$202,$A179,2)&amp;""))-1),TRIM(INDEX(인턴근무계획!$E$3:$J$202,$A179,2)&amp;""))))</f>
        <v/>
      </c>
      <c r="L179" s="19">
        <f>IF($C179="","",IF(TRIM(INDEX(인턴근무계획!$E$3:$J$202,$A179,3)&amp;"")="","",IFERROR(LEFT(TRIM(INDEX(인턴근무계획!$E$3:$J$202,$A179,3)&amp;""),FIND(" ",TRIM(INDEX(인턴근무계획!$E$3:$J$202,$A179,3)&amp;""))-1),TRIM(INDEX(인턴근무계획!$E$3:$J$202,$A179,3)&amp;""))))</f>
        <v/>
      </c>
      <c r="M179" s="19">
        <f>IF($C179="","",IF(TRIM(INDEX(인턴근무계획!$E$3:$J$202,$A179,4)&amp;"")="","",IFERROR(LEFT(TRIM(INDEX(인턴근무계획!$E$3:$J$202,$A179,4)&amp;""),FIND(" ",TRIM(INDEX(인턴근무계획!$E$3:$J$202,$A179,4)&amp;""))-1),TRIM(INDEX(인턴근무계획!$E$3:$J$202,$A179,4)&amp;""))))</f>
        <v/>
      </c>
      <c r="N179" s="19">
        <f>IF($C179="","",IF(TRIM(INDEX(인턴근무계획!$E$3:$J$202,$A179,5)&amp;"")="","",IFERROR(LEFT(TRIM(INDEX(인턴근무계획!$E$3:$J$202,$A179,5)&amp;""),FIND(" ",TRIM(INDEX(인턴근무계획!$E$3:$J$202,$A179,5)&amp;""))-1),TRIM(INDEX(인턴근무계획!$E$3:$J$202,$A179,5)&amp;""))))</f>
        <v/>
      </c>
      <c r="O179" s="19">
        <f>IF($C179="","",IF(TRIM(INDEX(인턴근무계획!$E$3:$J$202,$A179,6)&amp;"")="","",IFERROR(LEFT(TRIM(INDEX(인턴근무계획!$E$3:$J$202,$A179,6)&amp;""),FIND(" ",TRIM(INDEX(인턴근무계획!$E$3:$J$202,$A179,6)&amp;""))-1),TRIM(INDEX(인턴근무계획!$E$3:$J$202,$A179,6)&amp;""))))</f>
        <v/>
      </c>
      <c r="P179" s="19">
        <f>IF($C179="","",IF(INDEX(인턴근무계획!$K$3:$K$202,$A179)="","",INDEX(인턴근무계획!$K$3:$K$202,$A179)))</f>
        <v/>
      </c>
    </row>
    <row r="180">
      <c r="A180" s="18" t="n">
        <v>175</v>
      </c>
      <c r="B180" s="19">
        <f>IF($C180="","",INDEX(인턴근무계획!$B$3:$B$202,$A180))</f>
        <v/>
      </c>
      <c r="C180" s="19">
        <f>IFERROR(TRIM(INDEX(인턴근무계획!$C$3:$C$202,$A180)&amp;""),"")</f>
        <v/>
      </c>
      <c r="D180" s="19">
        <f>IF($C180="","",INDEX(인턴근무계획!$D$3:$D$202,$A180))</f>
        <v/>
      </c>
      <c r="E180" s="19">
        <f>IF($C180="","",IF(IFERROR(MATCH($D180,기본자료!$B$2:$B$501,0),IFERROR(MATCH($D180&amp;"",기본자료!$B$2:$B$501,0),IFERROR(MATCH(VALUE($D180),기본자료!$B$2:$B$501,0),0)))&gt;0,"확인","미등록"))</f>
        <v/>
      </c>
      <c r="F180" s="19">
        <f>IF(OR($C180="",$F$3=""),"",IF(TRIM(INDEX(인턴근무계획!$E$3:$J$202,$A180,$F$3)&amp;"")="","",IFERROR(LEFT(TRIM(INDEX(인턴근무계획!$E$3:$J$202,$A180,$F$3)&amp;""),FIND(" ",TRIM(INDEX(인턴근무계획!$E$3:$J$202,$A180,$F$3)&amp;""))-1),TRIM(INDEX(인턴근무계획!$E$3:$J$202,$A180,$F$3)&amp;""))))</f>
        <v/>
      </c>
      <c r="G180" s="19">
        <f>IF(OR($C180="",$F$3=""),"",IF(TRIM(INDEX(인턴근무계획!$E$3:$J$202,$A180,$F$3)&amp;"")="","",IFERROR(MID(TRIM(INDEX(인턴근무계획!$E$3:$J$202,$A180,$F$3)&amp;""),FIND(" ",TRIM(INDEX(인턴근무계획!$E$3:$J$202,$A180,$F$3)&amp;""))+1,60),"")))</f>
        <v/>
      </c>
      <c r="H180" s="19">
        <f>IF(OR($C180="",$H$3=""),"",IF(TRIM(INDEX(인턴근무계획!$E$3:$J$202,$A180,$H$3)&amp;"")="","",IFERROR(LEFT(TRIM(INDEX(인턴근무계획!$E$3:$J$202,$A180,$H$3)&amp;""),FIND(" ",TRIM(INDEX(인턴근무계획!$E$3:$J$202,$A180,$H$3)&amp;""))-1),TRIM(INDEX(인턴근무계획!$E$3:$J$202,$A180,$H$3)&amp;""))))</f>
        <v/>
      </c>
      <c r="I180" s="19">
        <f>IF(OR($C180="",$H$3=""),"",IF(TRIM(INDEX(인턴근무계획!$E$3:$J$202,$A180,$H$3)&amp;"")="","",IFERROR(MID(TRIM(INDEX(인턴근무계획!$E$3:$J$202,$A180,$H$3)&amp;""),FIND(" ",TRIM(INDEX(인턴근무계획!$E$3:$J$202,$A180,$H$3)&amp;""))+1,60),"")))</f>
        <v/>
      </c>
      <c r="J180" s="19">
        <f>IF($C180="","",IF(TRIM(INDEX(인턴근무계획!$E$3:$J$202,$A180,1)&amp;"")="","",IFERROR(LEFT(TRIM(INDEX(인턴근무계획!$E$3:$J$202,$A180,1)&amp;""),FIND(" ",TRIM(INDEX(인턴근무계획!$E$3:$J$202,$A180,1)&amp;""))-1),TRIM(INDEX(인턴근무계획!$E$3:$J$202,$A180,1)&amp;""))))</f>
        <v/>
      </c>
      <c r="K180" s="19">
        <f>IF($C180="","",IF(TRIM(INDEX(인턴근무계획!$E$3:$J$202,$A180,2)&amp;"")="","",IFERROR(LEFT(TRIM(INDEX(인턴근무계획!$E$3:$J$202,$A180,2)&amp;""),FIND(" ",TRIM(INDEX(인턴근무계획!$E$3:$J$202,$A180,2)&amp;""))-1),TRIM(INDEX(인턴근무계획!$E$3:$J$202,$A180,2)&amp;""))))</f>
        <v/>
      </c>
      <c r="L180" s="19">
        <f>IF($C180="","",IF(TRIM(INDEX(인턴근무계획!$E$3:$J$202,$A180,3)&amp;"")="","",IFERROR(LEFT(TRIM(INDEX(인턴근무계획!$E$3:$J$202,$A180,3)&amp;""),FIND(" ",TRIM(INDEX(인턴근무계획!$E$3:$J$202,$A180,3)&amp;""))-1),TRIM(INDEX(인턴근무계획!$E$3:$J$202,$A180,3)&amp;""))))</f>
        <v/>
      </c>
      <c r="M180" s="19">
        <f>IF($C180="","",IF(TRIM(INDEX(인턴근무계획!$E$3:$J$202,$A180,4)&amp;"")="","",IFERROR(LEFT(TRIM(INDEX(인턴근무계획!$E$3:$J$202,$A180,4)&amp;""),FIND(" ",TRIM(INDEX(인턴근무계획!$E$3:$J$202,$A180,4)&amp;""))-1),TRIM(INDEX(인턴근무계획!$E$3:$J$202,$A180,4)&amp;""))))</f>
        <v/>
      </c>
      <c r="N180" s="19">
        <f>IF($C180="","",IF(TRIM(INDEX(인턴근무계획!$E$3:$J$202,$A180,5)&amp;"")="","",IFERROR(LEFT(TRIM(INDEX(인턴근무계획!$E$3:$J$202,$A180,5)&amp;""),FIND(" ",TRIM(INDEX(인턴근무계획!$E$3:$J$202,$A180,5)&amp;""))-1),TRIM(INDEX(인턴근무계획!$E$3:$J$202,$A180,5)&amp;""))))</f>
        <v/>
      </c>
      <c r="O180" s="19">
        <f>IF($C180="","",IF(TRIM(INDEX(인턴근무계획!$E$3:$J$202,$A180,6)&amp;"")="","",IFERROR(LEFT(TRIM(INDEX(인턴근무계획!$E$3:$J$202,$A180,6)&amp;""),FIND(" ",TRIM(INDEX(인턴근무계획!$E$3:$J$202,$A180,6)&amp;""))-1),TRIM(INDEX(인턴근무계획!$E$3:$J$202,$A180,6)&amp;""))))</f>
        <v/>
      </c>
      <c r="P180" s="19">
        <f>IF($C180="","",IF(INDEX(인턴근무계획!$K$3:$K$202,$A180)="","",INDEX(인턴근무계획!$K$3:$K$202,$A180)))</f>
        <v/>
      </c>
    </row>
    <row r="181">
      <c r="A181" s="18" t="n">
        <v>176</v>
      </c>
      <c r="B181" s="19">
        <f>IF($C181="","",INDEX(인턴근무계획!$B$3:$B$202,$A181))</f>
        <v/>
      </c>
      <c r="C181" s="19">
        <f>IFERROR(TRIM(INDEX(인턴근무계획!$C$3:$C$202,$A181)&amp;""),"")</f>
        <v/>
      </c>
      <c r="D181" s="19">
        <f>IF($C181="","",INDEX(인턴근무계획!$D$3:$D$202,$A181))</f>
        <v/>
      </c>
      <c r="E181" s="19">
        <f>IF($C181="","",IF(IFERROR(MATCH($D181,기본자료!$B$2:$B$501,0),IFERROR(MATCH($D181&amp;"",기본자료!$B$2:$B$501,0),IFERROR(MATCH(VALUE($D181),기본자료!$B$2:$B$501,0),0)))&gt;0,"확인","미등록"))</f>
        <v/>
      </c>
      <c r="F181" s="19">
        <f>IF(OR($C181="",$F$3=""),"",IF(TRIM(INDEX(인턴근무계획!$E$3:$J$202,$A181,$F$3)&amp;"")="","",IFERROR(LEFT(TRIM(INDEX(인턴근무계획!$E$3:$J$202,$A181,$F$3)&amp;""),FIND(" ",TRIM(INDEX(인턴근무계획!$E$3:$J$202,$A181,$F$3)&amp;""))-1),TRIM(INDEX(인턴근무계획!$E$3:$J$202,$A181,$F$3)&amp;""))))</f>
        <v/>
      </c>
      <c r="G181" s="19">
        <f>IF(OR($C181="",$F$3=""),"",IF(TRIM(INDEX(인턴근무계획!$E$3:$J$202,$A181,$F$3)&amp;"")="","",IFERROR(MID(TRIM(INDEX(인턴근무계획!$E$3:$J$202,$A181,$F$3)&amp;""),FIND(" ",TRIM(INDEX(인턴근무계획!$E$3:$J$202,$A181,$F$3)&amp;""))+1,60),"")))</f>
        <v/>
      </c>
      <c r="H181" s="19">
        <f>IF(OR($C181="",$H$3=""),"",IF(TRIM(INDEX(인턴근무계획!$E$3:$J$202,$A181,$H$3)&amp;"")="","",IFERROR(LEFT(TRIM(INDEX(인턴근무계획!$E$3:$J$202,$A181,$H$3)&amp;""),FIND(" ",TRIM(INDEX(인턴근무계획!$E$3:$J$202,$A181,$H$3)&amp;""))-1),TRIM(INDEX(인턴근무계획!$E$3:$J$202,$A181,$H$3)&amp;""))))</f>
        <v/>
      </c>
      <c r="I181" s="19">
        <f>IF(OR($C181="",$H$3=""),"",IF(TRIM(INDEX(인턴근무계획!$E$3:$J$202,$A181,$H$3)&amp;"")="","",IFERROR(MID(TRIM(INDEX(인턴근무계획!$E$3:$J$202,$A181,$H$3)&amp;""),FIND(" ",TRIM(INDEX(인턴근무계획!$E$3:$J$202,$A181,$H$3)&amp;""))+1,60),"")))</f>
        <v/>
      </c>
      <c r="J181" s="19">
        <f>IF($C181="","",IF(TRIM(INDEX(인턴근무계획!$E$3:$J$202,$A181,1)&amp;"")="","",IFERROR(LEFT(TRIM(INDEX(인턴근무계획!$E$3:$J$202,$A181,1)&amp;""),FIND(" ",TRIM(INDEX(인턴근무계획!$E$3:$J$202,$A181,1)&amp;""))-1),TRIM(INDEX(인턴근무계획!$E$3:$J$202,$A181,1)&amp;""))))</f>
        <v/>
      </c>
      <c r="K181" s="19">
        <f>IF($C181="","",IF(TRIM(INDEX(인턴근무계획!$E$3:$J$202,$A181,2)&amp;"")="","",IFERROR(LEFT(TRIM(INDEX(인턴근무계획!$E$3:$J$202,$A181,2)&amp;""),FIND(" ",TRIM(INDEX(인턴근무계획!$E$3:$J$202,$A181,2)&amp;""))-1),TRIM(INDEX(인턴근무계획!$E$3:$J$202,$A181,2)&amp;""))))</f>
        <v/>
      </c>
      <c r="L181" s="19">
        <f>IF($C181="","",IF(TRIM(INDEX(인턴근무계획!$E$3:$J$202,$A181,3)&amp;"")="","",IFERROR(LEFT(TRIM(INDEX(인턴근무계획!$E$3:$J$202,$A181,3)&amp;""),FIND(" ",TRIM(INDEX(인턴근무계획!$E$3:$J$202,$A181,3)&amp;""))-1),TRIM(INDEX(인턴근무계획!$E$3:$J$202,$A181,3)&amp;""))))</f>
        <v/>
      </c>
      <c r="M181" s="19">
        <f>IF($C181="","",IF(TRIM(INDEX(인턴근무계획!$E$3:$J$202,$A181,4)&amp;"")="","",IFERROR(LEFT(TRIM(INDEX(인턴근무계획!$E$3:$J$202,$A181,4)&amp;""),FIND(" ",TRIM(INDEX(인턴근무계획!$E$3:$J$202,$A181,4)&amp;""))-1),TRIM(INDEX(인턴근무계획!$E$3:$J$202,$A181,4)&amp;""))))</f>
        <v/>
      </c>
      <c r="N181" s="19">
        <f>IF($C181="","",IF(TRIM(INDEX(인턴근무계획!$E$3:$J$202,$A181,5)&amp;"")="","",IFERROR(LEFT(TRIM(INDEX(인턴근무계획!$E$3:$J$202,$A181,5)&amp;""),FIND(" ",TRIM(INDEX(인턴근무계획!$E$3:$J$202,$A181,5)&amp;""))-1),TRIM(INDEX(인턴근무계획!$E$3:$J$202,$A181,5)&amp;""))))</f>
        <v/>
      </c>
      <c r="O181" s="19">
        <f>IF($C181="","",IF(TRIM(INDEX(인턴근무계획!$E$3:$J$202,$A181,6)&amp;"")="","",IFERROR(LEFT(TRIM(INDEX(인턴근무계획!$E$3:$J$202,$A181,6)&amp;""),FIND(" ",TRIM(INDEX(인턴근무계획!$E$3:$J$202,$A181,6)&amp;""))-1),TRIM(INDEX(인턴근무계획!$E$3:$J$202,$A181,6)&amp;""))))</f>
        <v/>
      </c>
      <c r="P181" s="19">
        <f>IF($C181="","",IF(INDEX(인턴근무계획!$K$3:$K$202,$A181)="","",INDEX(인턴근무계획!$K$3:$K$202,$A181)))</f>
        <v/>
      </c>
    </row>
    <row r="182">
      <c r="A182" s="18" t="n">
        <v>177</v>
      </c>
      <c r="B182" s="19">
        <f>IF($C182="","",INDEX(인턴근무계획!$B$3:$B$202,$A182))</f>
        <v/>
      </c>
      <c r="C182" s="19">
        <f>IFERROR(TRIM(INDEX(인턴근무계획!$C$3:$C$202,$A182)&amp;""),"")</f>
        <v/>
      </c>
      <c r="D182" s="19">
        <f>IF($C182="","",INDEX(인턴근무계획!$D$3:$D$202,$A182))</f>
        <v/>
      </c>
      <c r="E182" s="19">
        <f>IF($C182="","",IF(IFERROR(MATCH($D182,기본자료!$B$2:$B$501,0),IFERROR(MATCH($D182&amp;"",기본자료!$B$2:$B$501,0),IFERROR(MATCH(VALUE($D182),기본자료!$B$2:$B$501,0),0)))&gt;0,"확인","미등록"))</f>
        <v/>
      </c>
      <c r="F182" s="19">
        <f>IF(OR($C182="",$F$3=""),"",IF(TRIM(INDEX(인턴근무계획!$E$3:$J$202,$A182,$F$3)&amp;"")="","",IFERROR(LEFT(TRIM(INDEX(인턴근무계획!$E$3:$J$202,$A182,$F$3)&amp;""),FIND(" ",TRIM(INDEX(인턴근무계획!$E$3:$J$202,$A182,$F$3)&amp;""))-1),TRIM(INDEX(인턴근무계획!$E$3:$J$202,$A182,$F$3)&amp;""))))</f>
        <v/>
      </c>
      <c r="G182" s="19">
        <f>IF(OR($C182="",$F$3=""),"",IF(TRIM(INDEX(인턴근무계획!$E$3:$J$202,$A182,$F$3)&amp;"")="","",IFERROR(MID(TRIM(INDEX(인턴근무계획!$E$3:$J$202,$A182,$F$3)&amp;""),FIND(" ",TRIM(INDEX(인턴근무계획!$E$3:$J$202,$A182,$F$3)&amp;""))+1,60),"")))</f>
        <v/>
      </c>
      <c r="H182" s="19">
        <f>IF(OR($C182="",$H$3=""),"",IF(TRIM(INDEX(인턴근무계획!$E$3:$J$202,$A182,$H$3)&amp;"")="","",IFERROR(LEFT(TRIM(INDEX(인턴근무계획!$E$3:$J$202,$A182,$H$3)&amp;""),FIND(" ",TRIM(INDEX(인턴근무계획!$E$3:$J$202,$A182,$H$3)&amp;""))-1),TRIM(INDEX(인턴근무계획!$E$3:$J$202,$A182,$H$3)&amp;""))))</f>
        <v/>
      </c>
      <c r="I182" s="19">
        <f>IF(OR($C182="",$H$3=""),"",IF(TRIM(INDEX(인턴근무계획!$E$3:$J$202,$A182,$H$3)&amp;"")="","",IFERROR(MID(TRIM(INDEX(인턴근무계획!$E$3:$J$202,$A182,$H$3)&amp;""),FIND(" ",TRIM(INDEX(인턴근무계획!$E$3:$J$202,$A182,$H$3)&amp;""))+1,60),"")))</f>
        <v/>
      </c>
      <c r="J182" s="19">
        <f>IF($C182="","",IF(TRIM(INDEX(인턴근무계획!$E$3:$J$202,$A182,1)&amp;"")="","",IFERROR(LEFT(TRIM(INDEX(인턴근무계획!$E$3:$J$202,$A182,1)&amp;""),FIND(" ",TRIM(INDEX(인턴근무계획!$E$3:$J$202,$A182,1)&amp;""))-1),TRIM(INDEX(인턴근무계획!$E$3:$J$202,$A182,1)&amp;""))))</f>
        <v/>
      </c>
      <c r="K182" s="19">
        <f>IF($C182="","",IF(TRIM(INDEX(인턴근무계획!$E$3:$J$202,$A182,2)&amp;"")="","",IFERROR(LEFT(TRIM(INDEX(인턴근무계획!$E$3:$J$202,$A182,2)&amp;""),FIND(" ",TRIM(INDEX(인턴근무계획!$E$3:$J$202,$A182,2)&amp;""))-1),TRIM(INDEX(인턴근무계획!$E$3:$J$202,$A182,2)&amp;""))))</f>
        <v/>
      </c>
      <c r="L182" s="19">
        <f>IF($C182="","",IF(TRIM(INDEX(인턴근무계획!$E$3:$J$202,$A182,3)&amp;"")="","",IFERROR(LEFT(TRIM(INDEX(인턴근무계획!$E$3:$J$202,$A182,3)&amp;""),FIND(" ",TRIM(INDEX(인턴근무계획!$E$3:$J$202,$A182,3)&amp;""))-1),TRIM(INDEX(인턴근무계획!$E$3:$J$202,$A182,3)&amp;""))))</f>
        <v/>
      </c>
      <c r="M182" s="19">
        <f>IF($C182="","",IF(TRIM(INDEX(인턴근무계획!$E$3:$J$202,$A182,4)&amp;"")="","",IFERROR(LEFT(TRIM(INDEX(인턴근무계획!$E$3:$J$202,$A182,4)&amp;""),FIND(" ",TRIM(INDEX(인턴근무계획!$E$3:$J$202,$A182,4)&amp;""))-1),TRIM(INDEX(인턴근무계획!$E$3:$J$202,$A182,4)&amp;""))))</f>
        <v/>
      </c>
      <c r="N182" s="19">
        <f>IF($C182="","",IF(TRIM(INDEX(인턴근무계획!$E$3:$J$202,$A182,5)&amp;"")="","",IFERROR(LEFT(TRIM(INDEX(인턴근무계획!$E$3:$J$202,$A182,5)&amp;""),FIND(" ",TRIM(INDEX(인턴근무계획!$E$3:$J$202,$A182,5)&amp;""))-1),TRIM(INDEX(인턴근무계획!$E$3:$J$202,$A182,5)&amp;""))))</f>
        <v/>
      </c>
      <c r="O182" s="19">
        <f>IF($C182="","",IF(TRIM(INDEX(인턴근무계획!$E$3:$J$202,$A182,6)&amp;"")="","",IFERROR(LEFT(TRIM(INDEX(인턴근무계획!$E$3:$J$202,$A182,6)&amp;""),FIND(" ",TRIM(INDEX(인턴근무계획!$E$3:$J$202,$A182,6)&amp;""))-1),TRIM(INDEX(인턴근무계획!$E$3:$J$202,$A182,6)&amp;""))))</f>
        <v/>
      </c>
      <c r="P182" s="19">
        <f>IF($C182="","",IF(INDEX(인턴근무계획!$K$3:$K$202,$A182)="","",INDEX(인턴근무계획!$K$3:$K$202,$A182)))</f>
        <v/>
      </c>
    </row>
    <row r="183">
      <c r="A183" s="18" t="n">
        <v>178</v>
      </c>
      <c r="B183" s="19">
        <f>IF($C183="","",INDEX(인턴근무계획!$B$3:$B$202,$A183))</f>
        <v/>
      </c>
      <c r="C183" s="19">
        <f>IFERROR(TRIM(INDEX(인턴근무계획!$C$3:$C$202,$A183)&amp;""),"")</f>
        <v/>
      </c>
      <c r="D183" s="19">
        <f>IF($C183="","",INDEX(인턴근무계획!$D$3:$D$202,$A183))</f>
        <v/>
      </c>
      <c r="E183" s="19">
        <f>IF($C183="","",IF(IFERROR(MATCH($D183,기본자료!$B$2:$B$501,0),IFERROR(MATCH($D183&amp;"",기본자료!$B$2:$B$501,0),IFERROR(MATCH(VALUE($D183),기본자료!$B$2:$B$501,0),0)))&gt;0,"확인","미등록"))</f>
        <v/>
      </c>
      <c r="F183" s="19">
        <f>IF(OR($C183="",$F$3=""),"",IF(TRIM(INDEX(인턴근무계획!$E$3:$J$202,$A183,$F$3)&amp;"")="","",IFERROR(LEFT(TRIM(INDEX(인턴근무계획!$E$3:$J$202,$A183,$F$3)&amp;""),FIND(" ",TRIM(INDEX(인턴근무계획!$E$3:$J$202,$A183,$F$3)&amp;""))-1),TRIM(INDEX(인턴근무계획!$E$3:$J$202,$A183,$F$3)&amp;""))))</f>
        <v/>
      </c>
      <c r="G183" s="19">
        <f>IF(OR($C183="",$F$3=""),"",IF(TRIM(INDEX(인턴근무계획!$E$3:$J$202,$A183,$F$3)&amp;"")="","",IFERROR(MID(TRIM(INDEX(인턴근무계획!$E$3:$J$202,$A183,$F$3)&amp;""),FIND(" ",TRIM(INDEX(인턴근무계획!$E$3:$J$202,$A183,$F$3)&amp;""))+1,60),"")))</f>
        <v/>
      </c>
      <c r="H183" s="19">
        <f>IF(OR($C183="",$H$3=""),"",IF(TRIM(INDEX(인턴근무계획!$E$3:$J$202,$A183,$H$3)&amp;"")="","",IFERROR(LEFT(TRIM(INDEX(인턴근무계획!$E$3:$J$202,$A183,$H$3)&amp;""),FIND(" ",TRIM(INDEX(인턴근무계획!$E$3:$J$202,$A183,$H$3)&amp;""))-1),TRIM(INDEX(인턴근무계획!$E$3:$J$202,$A183,$H$3)&amp;""))))</f>
        <v/>
      </c>
      <c r="I183" s="19">
        <f>IF(OR($C183="",$H$3=""),"",IF(TRIM(INDEX(인턴근무계획!$E$3:$J$202,$A183,$H$3)&amp;"")="","",IFERROR(MID(TRIM(INDEX(인턴근무계획!$E$3:$J$202,$A183,$H$3)&amp;""),FIND(" ",TRIM(INDEX(인턴근무계획!$E$3:$J$202,$A183,$H$3)&amp;""))+1,60),"")))</f>
        <v/>
      </c>
      <c r="J183" s="19">
        <f>IF($C183="","",IF(TRIM(INDEX(인턴근무계획!$E$3:$J$202,$A183,1)&amp;"")="","",IFERROR(LEFT(TRIM(INDEX(인턴근무계획!$E$3:$J$202,$A183,1)&amp;""),FIND(" ",TRIM(INDEX(인턴근무계획!$E$3:$J$202,$A183,1)&amp;""))-1),TRIM(INDEX(인턴근무계획!$E$3:$J$202,$A183,1)&amp;""))))</f>
        <v/>
      </c>
      <c r="K183" s="19">
        <f>IF($C183="","",IF(TRIM(INDEX(인턴근무계획!$E$3:$J$202,$A183,2)&amp;"")="","",IFERROR(LEFT(TRIM(INDEX(인턴근무계획!$E$3:$J$202,$A183,2)&amp;""),FIND(" ",TRIM(INDEX(인턴근무계획!$E$3:$J$202,$A183,2)&amp;""))-1),TRIM(INDEX(인턴근무계획!$E$3:$J$202,$A183,2)&amp;""))))</f>
        <v/>
      </c>
      <c r="L183" s="19">
        <f>IF($C183="","",IF(TRIM(INDEX(인턴근무계획!$E$3:$J$202,$A183,3)&amp;"")="","",IFERROR(LEFT(TRIM(INDEX(인턴근무계획!$E$3:$J$202,$A183,3)&amp;""),FIND(" ",TRIM(INDEX(인턴근무계획!$E$3:$J$202,$A183,3)&amp;""))-1),TRIM(INDEX(인턴근무계획!$E$3:$J$202,$A183,3)&amp;""))))</f>
        <v/>
      </c>
      <c r="M183" s="19">
        <f>IF($C183="","",IF(TRIM(INDEX(인턴근무계획!$E$3:$J$202,$A183,4)&amp;"")="","",IFERROR(LEFT(TRIM(INDEX(인턴근무계획!$E$3:$J$202,$A183,4)&amp;""),FIND(" ",TRIM(INDEX(인턴근무계획!$E$3:$J$202,$A183,4)&amp;""))-1),TRIM(INDEX(인턴근무계획!$E$3:$J$202,$A183,4)&amp;""))))</f>
        <v/>
      </c>
      <c r="N183" s="19">
        <f>IF($C183="","",IF(TRIM(INDEX(인턴근무계획!$E$3:$J$202,$A183,5)&amp;"")="","",IFERROR(LEFT(TRIM(INDEX(인턴근무계획!$E$3:$J$202,$A183,5)&amp;""),FIND(" ",TRIM(INDEX(인턴근무계획!$E$3:$J$202,$A183,5)&amp;""))-1),TRIM(INDEX(인턴근무계획!$E$3:$J$202,$A183,5)&amp;""))))</f>
        <v/>
      </c>
      <c r="O183" s="19">
        <f>IF($C183="","",IF(TRIM(INDEX(인턴근무계획!$E$3:$J$202,$A183,6)&amp;"")="","",IFERROR(LEFT(TRIM(INDEX(인턴근무계획!$E$3:$J$202,$A183,6)&amp;""),FIND(" ",TRIM(INDEX(인턴근무계획!$E$3:$J$202,$A183,6)&amp;""))-1),TRIM(INDEX(인턴근무계획!$E$3:$J$202,$A183,6)&amp;""))))</f>
        <v/>
      </c>
      <c r="P183" s="19">
        <f>IF($C183="","",IF(INDEX(인턴근무계획!$K$3:$K$202,$A183)="","",INDEX(인턴근무계획!$K$3:$K$202,$A183)))</f>
        <v/>
      </c>
    </row>
    <row r="184">
      <c r="A184" s="18" t="n">
        <v>179</v>
      </c>
      <c r="B184" s="19">
        <f>IF($C184="","",INDEX(인턴근무계획!$B$3:$B$202,$A184))</f>
        <v/>
      </c>
      <c r="C184" s="19">
        <f>IFERROR(TRIM(INDEX(인턴근무계획!$C$3:$C$202,$A184)&amp;""),"")</f>
        <v/>
      </c>
      <c r="D184" s="19">
        <f>IF($C184="","",INDEX(인턴근무계획!$D$3:$D$202,$A184))</f>
        <v/>
      </c>
      <c r="E184" s="19">
        <f>IF($C184="","",IF(IFERROR(MATCH($D184,기본자료!$B$2:$B$501,0),IFERROR(MATCH($D184&amp;"",기본자료!$B$2:$B$501,0),IFERROR(MATCH(VALUE($D184),기본자료!$B$2:$B$501,0),0)))&gt;0,"확인","미등록"))</f>
        <v/>
      </c>
      <c r="F184" s="19">
        <f>IF(OR($C184="",$F$3=""),"",IF(TRIM(INDEX(인턴근무계획!$E$3:$J$202,$A184,$F$3)&amp;"")="","",IFERROR(LEFT(TRIM(INDEX(인턴근무계획!$E$3:$J$202,$A184,$F$3)&amp;""),FIND(" ",TRIM(INDEX(인턴근무계획!$E$3:$J$202,$A184,$F$3)&amp;""))-1),TRIM(INDEX(인턴근무계획!$E$3:$J$202,$A184,$F$3)&amp;""))))</f>
        <v/>
      </c>
      <c r="G184" s="19">
        <f>IF(OR($C184="",$F$3=""),"",IF(TRIM(INDEX(인턴근무계획!$E$3:$J$202,$A184,$F$3)&amp;"")="","",IFERROR(MID(TRIM(INDEX(인턴근무계획!$E$3:$J$202,$A184,$F$3)&amp;""),FIND(" ",TRIM(INDEX(인턴근무계획!$E$3:$J$202,$A184,$F$3)&amp;""))+1,60),"")))</f>
        <v/>
      </c>
      <c r="H184" s="19">
        <f>IF(OR($C184="",$H$3=""),"",IF(TRIM(INDEX(인턴근무계획!$E$3:$J$202,$A184,$H$3)&amp;"")="","",IFERROR(LEFT(TRIM(INDEX(인턴근무계획!$E$3:$J$202,$A184,$H$3)&amp;""),FIND(" ",TRIM(INDEX(인턴근무계획!$E$3:$J$202,$A184,$H$3)&amp;""))-1),TRIM(INDEX(인턴근무계획!$E$3:$J$202,$A184,$H$3)&amp;""))))</f>
        <v/>
      </c>
      <c r="I184" s="19">
        <f>IF(OR($C184="",$H$3=""),"",IF(TRIM(INDEX(인턴근무계획!$E$3:$J$202,$A184,$H$3)&amp;"")="","",IFERROR(MID(TRIM(INDEX(인턴근무계획!$E$3:$J$202,$A184,$H$3)&amp;""),FIND(" ",TRIM(INDEX(인턴근무계획!$E$3:$J$202,$A184,$H$3)&amp;""))+1,60),"")))</f>
        <v/>
      </c>
      <c r="J184" s="19">
        <f>IF($C184="","",IF(TRIM(INDEX(인턴근무계획!$E$3:$J$202,$A184,1)&amp;"")="","",IFERROR(LEFT(TRIM(INDEX(인턴근무계획!$E$3:$J$202,$A184,1)&amp;""),FIND(" ",TRIM(INDEX(인턴근무계획!$E$3:$J$202,$A184,1)&amp;""))-1),TRIM(INDEX(인턴근무계획!$E$3:$J$202,$A184,1)&amp;""))))</f>
        <v/>
      </c>
      <c r="K184" s="19">
        <f>IF($C184="","",IF(TRIM(INDEX(인턴근무계획!$E$3:$J$202,$A184,2)&amp;"")="","",IFERROR(LEFT(TRIM(INDEX(인턴근무계획!$E$3:$J$202,$A184,2)&amp;""),FIND(" ",TRIM(INDEX(인턴근무계획!$E$3:$J$202,$A184,2)&amp;""))-1),TRIM(INDEX(인턴근무계획!$E$3:$J$202,$A184,2)&amp;""))))</f>
        <v/>
      </c>
      <c r="L184" s="19">
        <f>IF($C184="","",IF(TRIM(INDEX(인턴근무계획!$E$3:$J$202,$A184,3)&amp;"")="","",IFERROR(LEFT(TRIM(INDEX(인턴근무계획!$E$3:$J$202,$A184,3)&amp;""),FIND(" ",TRIM(INDEX(인턴근무계획!$E$3:$J$202,$A184,3)&amp;""))-1),TRIM(INDEX(인턴근무계획!$E$3:$J$202,$A184,3)&amp;""))))</f>
        <v/>
      </c>
      <c r="M184" s="19">
        <f>IF($C184="","",IF(TRIM(INDEX(인턴근무계획!$E$3:$J$202,$A184,4)&amp;"")="","",IFERROR(LEFT(TRIM(INDEX(인턴근무계획!$E$3:$J$202,$A184,4)&amp;""),FIND(" ",TRIM(INDEX(인턴근무계획!$E$3:$J$202,$A184,4)&amp;""))-1),TRIM(INDEX(인턴근무계획!$E$3:$J$202,$A184,4)&amp;""))))</f>
        <v/>
      </c>
      <c r="N184" s="19">
        <f>IF($C184="","",IF(TRIM(INDEX(인턴근무계획!$E$3:$J$202,$A184,5)&amp;"")="","",IFERROR(LEFT(TRIM(INDEX(인턴근무계획!$E$3:$J$202,$A184,5)&amp;""),FIND(" ",TRIM(INDEX(인턴근무계획!$E$3:$J$202,$A184,5)&amp;""))-1),TRIM(INDEX(인턴근무계획!$E$3:$J$202,$A184,5)&amp;""))))</f>
        <v/>
      </c>
      <c r="O184" s="19">
        <f>IF($C184="","",IF(TRIM(INDEX(인턴근무계획!$E$3:$J$202,$A184,6)&amp;"")="","",IFERROR(LEFT(TRIM(INDEX(인턴근무계획!$E$3:$J$202,$A184,6)&amp;""),FIND(" ",TRIM(INDEX(인턴근무계획!$E$3:$J$202,$A184,6)&amp;""))-1),TRIM(INDEX(인턴근무계획!$E$3:$J$202,$A184,6)&amp;""))))</f>
        <v/>
      </c>
      <c r="P184" s="19">
        <f>IF($C184="","",IF(INDEX(인턴근무계획!$K$3:$K$202,$A184)="","",INDEX(인턴근무계획!$K$3:$K$202,$A184)))</f>
        <v/>
      </c>
    </row>
    <row r="185">
      <c r="A185" s="18" t="n">
        <v>180</v>
      </c>
      <c r="B185" s="19">
        <f>IF($C185="","",INDEX(인턴근무계획!$B$3:$B$202,$A185))</f>
        <v/>
      </c>
      <c r="C185" s="19">
        <f>IFERROR(TRIM(INDEX(인턴근무계획!$C$3:$C$202,$A185)&amp;""),"")</f>
        <v/>
      </c>
      <c r="D185" s="19">
        <f>IF($C185="","",INDEX(인턴근무계획!$D$3:$D$202,$A185))</f>
        <v/>
      </c>
      <c r="E185" s="19">
        <f>IF($C185="","",IF(IFERROR(MATCH($D185,기본자료!$B$2:$B$501,0),IFERROR(MATCH($D185&amp;"",기본자료!$B$2:$B$501,0),IFERROR(MATCH(VALUE($D185),기본자료!$B$2:$B$501,0),0)))&gt;0,"확인","미등록"))</f>
        <v/>
      </c>
      <c r="F185" s="19">
        <f>IF(OR($C185="",$F$3=""),"",IF(TRIM(INDEX(인턴근무계획!$E$3:$J$202,$A185,$F$3)&amp;"")="","",IFERROR(LEFT(TRIM(INDEX(인턴근무계획!$E$3:$J$202,$A185,$F$3)&amp;""),FIND(" ",TRIM(INDEX(인턴근무계획!$E$3:$J$202,$A185,$F$3)&amp;""))-1),TRIM(INDEX(인턴근무계획!$E$3:$J$202,$A185,$F$3)&amp;""))))</f>
        <v/>
      </c>
      <c r="G185" s="19">
        <f>IF(OR($C185="",$F$3=""),"",IF(TRIM(INDEX(인턴근무계획!$E$3:$J$202,$A185,$F$3)&amp;"")="","",IFERROR(MID(TRIM(INDEX(인턴근무계획!$E$3:$J$202,$A185,$F$3)&amp;""),FIND(" ",TRIM(INDEX(인턴근무계획!$E$3:$J$202,$A185,$F$3)&amp;""))+1,60),"")))</f>
        <v/>
      </c>
      <c r="H185" s="19">
        <f>IF(OR($C185="",$H$3=""),"",IF(TRIM(INDEX(인턴근무계획!$E$3:$J$202,$A185,$H$3)&amp;"")="","",IFERROR(LEFT(TRIM(INDEX(인턴근무계획!$E$3:$J$202,$A185,$H$3)&amp;""),FIND(" ",TRIM(INDEX(인턴근무계획!$E$3:$J$202,$A185,$H$3)&amp;""))-1),TRIM(INDEX(인턴근무계획!$E$3:$J$202,$A185,$H$3)&amp;""))))</f>
        <v/>
      </c>
      <c r="I185" s="19">
        <f>IF(OR($C185="",$H$3=""),"",IF(TRIM(INDEX(인턴근무계획!$E$3:$J$202,$A185,$H$3)&amp;"")="","",IFERROR(MID(TRIM(INDEX(인턴근무계획!$E$3:$J$202,$A185,$H$3)&amp;""),FIND(" ",TRIM(INDEX(인턴근무계획!$E$3:$J$202,$A185,$H$3)&amp;""))+1,60),"")))</f>
        <v/>
      </c>
      <c r="J185" s="19">
        <f>IF($C185="","",IF(TRIM(INDEX(인턴근무계획!$E$3:$J$202,$A185,1)&amp;"")="","",IFERROR(LEFT(TRIM(INDEX(인턴근무계획!$E$3:$J$202,$A185,1)&amp;""),FIND(" ",TRIM(INDEX(인턴근무계획!$E$3:$J$202,$A185,1)&amp;""))-1),TRIM(INDEX(인턴근무계획!$E$3:$J$202,$A185,1)&amp;""))))</f>
        <v/>
      </c>
      <c r="K185" s="19">
        <f>IF($C185="","",IF(TRIM(INDEX(인턴근무계획!$E$3:$J$202,$A185,2)&amp;"")="","",IFERROR(LEFT(TRIM(INDEX(인턴근무계획!$E$3:$J$202,$A185,2)&amp;""),FIND(" ",TRIM(INDEX(인턴근무계획!$E$3:$J$202,$A185,2)&amp;""))-1),TRIM(INDEX(인턴근무계획!$E$3:$J$202,$A185,2)&amp;""))))</f>
        <v/>
      </c>
      <c r="L185" s="19">
        <f>IF($C185="","",IF(TRIM(INDEX(인턴근무계획!$E$3:$J$202,$A185,3)&amp;"")="","",IFERROR(LEFT(TRIM(INDEX(인턴근무계획!$E$3:$J$202,$A185,3)&amp;""),FIND(" ",TRIM(INDEX(인턴근무계획!$E$3:$J$202,$A185,3)&amp;""))-1),TRIM(INDEX(인턴근무계획!$E$3:$J$202,$A185,3)&amp;""))))</f>
        <v/>
      </c>
      <c r="M185" s="19">
        <f>IF($C185="","",IF(TRIM(INDEX(인턴근무계획!$E$3:$J$202,$A185,4)&amp;"")="","",IFERROR(LEFT(TRIM(INDEX(인턴근무계획!$E$3:$J$202,$A185,4)&amp;""),FIND(" ",TRIM(INDEX(인턴근무계획!$E$3:$J$202,$A185,4)&amp;""))-1),TRIM(INDEX(인턴근무계획!$E$3:$J$202,$A185,4)&amp;""))))</f>
        <v/>
      </c>
      <c r="N185" s="19">
        <f>IF($C185="","",IF(TRIM(INDEX(인턴근무계획!$E$3:$J$202,$A185,5)&amp;"")="","",IFERROR(LEFT(TRIM(INDEX(인턴근무계획!$E$3:$J$202,$A185,5)&amp;""),FIND(" ",TRIM(INDEX(인턴근무계획!$E$3:$J$202,$A185,5)&amp;""))-1),TRIM(INDEX(인턴근무계획!$E$3:$J$202,$A185,5)&amp;""))))</f>
        <v/>
      </c>
      <c r="O185" s="19">
        <f>IF($C185="","",IF(TRIM(INDEX(인턴근무계획!$E$3:$J$202,$A185,6)&amp;"")="","",IFERROR(LEFT(TRIM(INDEX(인턴근무계획!$E$3:$J$202,$A185,6)&amp;""),FIND(" ",TRIM(INDEX(인턴근무계획!$E$3:$J$202,$A185,6)&amp;""))-1),TRIM(INDEX(인턴근무계획!$E$3:$J$202,$A185,6)&amp;""))))</f>
        <v/>
      </c>
      <c r="P185" s="19">
        <f>IF($C185="","",IF(INDEX(인턴근무계획!$K$3:$K$202,$A185)="","",INDEX(인턴근무계획!$K$3:$K$202,$A185)))</f>
        <v/>
      </c>
    </row>
    <row r="186">
      <c r="A186" s="18" t="n">
        <v>181</v>
      </c>
      <c r="B186" s="19">
        <f>IF($C186="","",INDEX(인턴근무계획!$B$3:$B$202,$A186))</f>
        <v/>
      </c>
      <c r="C186" s="19">
        <f>IFERROR(TRIM(INDEX(인턴근무계획!$C$3:$C$202,$A186)&amp;""),"")</f>
        <v/>
      </c>
      <c r="D186" s="19">
        <f>IF($C186="","",INDEX(인턴근무계획!$D$3:$D$202,$A186))</f>
        <v/>
      </c>
      <c r="E186" s="19">
        <f>IF($C186="","",IF(IFERROR(MATCH($D186,기본자료!$B$2:$B$501,0),IFERROR(MATCH($D186&amp;"",기본자료!$B$2:$B$501,0),IFERROR(MATCH(VALUE($D186),기본자료!$B$2:$B$501,0),0)))&gt;0,"확인","미등록"))</f>
        <v/>
      </c>
      <c r="F186" s="19">
        <f>IF(OR($C186="",$F$3=""),"",IF(TRIM(INDEX(인턴근무계획!$E$3:$J$202,$A186,$F$3)&amp;"")="","",IFERROR(LEFT(TRIM(INDEX(인턴근무계획!$E$3:$J$202,$A186,$F$3)&amp;""),FIND(" ",TRIM(INDEX(인턴근무계획!$E$3:$J$202,$A186,$F$3)&amp;""))-1),TRIM(INDEX(인턴근무계획!$E$3:$J$202,$A186,$F$3)&amp;""))))</f>
        <v/>
      </c>
      <c r="G186" s="19">
        <f>IF(OR($C186="",$F$3=""),"",IF(TRIM(INDEX(인턴근무계획!$E$3:$J$202,$A186,$F$3)&amp;"")="","",IFERROR(MID(TRIM(INDEX(인턴근무계획!$E$3:$J$202,$A186,$F$3)&amp;""),FIND(" ",TRIM(INDEX(인턴근무계획!$E$3:$J$202,$A186,$F$3)&amp;""))+1,60),"")))</f>
        <v/>
      </c>
      <c r="H186" s="19">
        <f>IF(OR($C186="",$H$3=""),"",IF(TRIM(INDEX(인턴근무계획!$E$3:$J$202,$A186,$H$3)&amp;"")="","",IFERROR(LEFT(TRIM(INDEX(인턴근무계획!$E$3:$J$202,$A186,$H$3)&amp;""),FIND(" ",TRIM(INDEX(인턴근무계획!$E$3:$J$202,$A186,$H$3)&amp;""))-1),TRIM(INDEX(인턴근무계획!$E$3:$J$202,$A186,$H$3)&amp;""))))</f>
        <v/>
      </c>
      <c r="I186" s="19">
        <f>IF(OR($C186="",$H$3=""),"",IF(TRIM(INDEX(인턴근무계획!$E$3:$J$202,$A186,$H$3)&amp;"")="","",IFERROR(MID(TRIM(INDEX(인턴근무계획!$E$3:$J$202,$A186,$H$3)&amp;""),FIND(" ",TRIM(INDEX(인턴근무계획!$E$3:$J$202,$A186,$H$3)&amp;""))+1,60),"")))</f>
        <v/>
      </c>
      <c r="J186" s="19">
        <f>IF($C186="","",IF(TRIM(INDEX(인턴근무계획!$E$3:$J$202,$A186,1)&amp;"")="","",IFERROR(LEFT(TRIM(INDEX(인턴근무계획!$E$3:$J$202,$A186,1)&amp;""),FIND(" ",TRIM(INDEX(인턴근무계획!$E$3:$J$202,$A186,1)&amp;""))-1),TRIM(INDEX(인턴근무계획!$E$3:$J$202,$A186,1)&amp;""))))</f>
        <v/>
      </c>
      <c r="K186" s="19">
        <f>IF($C186="","",IF(TRIM(INDEX(인턴근무계획!$E$3:$J$202,$A186,2)&amp;"")="","",IFERROR(LEFT(TRIM(INDEX(인턴근무계획!$E$3:$J$202,$A186,2)&amp;""),FIND(" ",TRIM(INDEX(인턴근무계획!$E$3:$J$202,$A186,2)&amp;""))-1),TRIM(INDEX(인턴근무계획!$E$3:$J$202,$A186,2)&amp;""))))</f>
        <v/>
      </c>
      <c r="L186" s="19">
        <f>IF($C186="","",IF(TRIM(INDEX(인턴근무계획!$E$3:$J$202,$A186,3)&amp;"")="","",IFERROR(LEFT(TRIM(INDEX(인턴근무계획!$E$3:$J$202,$A186,3)&amp;""),FIND(" ",TRIM(INDEX(인턴근무계획!$E$3:$J$202,$A186,3)&amp;""))-1),TRIM(INDEX(인턴근무계획!$E$3:$J$202,$A186,3)&amp;""))))</f>
        <v/>
      </c>
      <c r="M186" s="19">
        <f>IF($C186="","",IF(TRIM(INDEX(인턴근무계획!$E$3:$J$202,$A186,4)&amp;"")="","",IFERROR(LEFT(TRIM(INDEX(인턴근무계획!$E$3:$J$202,$A186,4)&amp;""),FIND(" ",TRIM(INDEX(인턴근무계획!$E$3:$J$202,$A186,4)&amp;""))-1),TRIM(INDEX(인턴근무계획!$E$3:$J$202,$A186,4)&amp;""))))</f>
        <v/>
      </c>
      <c r="N186" s="19">
        <f>IF($C186="","",IF(TRIM(INDEX(인턴근무계획!$E$3:$J$202,$A186,5)&amp;"")="","",IFERROR(LEFT(TRIM(INDEX(인턴근무계획!$E$3:$J$202,$A186,5)&amp;""),FIND(" ",TRIM(INDEX(인턴근무계획!$E$3:$J$202,$A186,5)&amp;""))-1),TRIM(INDEX(인턴근무계획!$E$3:$J$202,$A186,5)&amp;""))))</f>
        <v/>
      </c>
      <c r="O186" s="19">
        <f>IF($C186="","",IF(TRIM(INDEX(인턴근무계획!$E$3:$J$202,$A186,6)&amp;"")="","",IFERROR(LEFT(TRIM(INDEX(인턴근무계획!$E$3:$J$202,$A186,6)&amp;""),FIND(" ",TRIM(INDEX(인턴근무계획!$E$3:$J$202,$A186,6)&amp;""))-1),TRIM(INDEX(인턴근무계획!$E$3:$J$202,$A186,6)&amp;""))))</f>
        <v/>
      </c>
      <c r="P186" s="19">
        <f>IF($C186="","",IF(INDEX(인턴근무계획!$K$3:$K$202,$A186)="","",INDEX(인턴근무계획!$K$3:$K$202,$A186)))</f>
        <v/>
      </c>
    </row>
    <row r="187">
      <c r="A187" s="18" t="n">
        <v>182</v>
      </c>
      <c r="B187" s="19">
        <f>IF($C187="","",INDEX(인턴근무계획!$B$3:$B$202,$A187))</f>
        <v/>
      </c>
      <c r="C187" s="19">
        <f>IFERROR(TRIM(INDEX(인턴근무계획!$C$3:$C$202,$A187)&amp;""),"")</f>
        <v/>
      </c>
      <c r="D187" s="19">
        <f>IF($C187="","",INDEX(인턴근무계획!$D$3:$D$202,$A187))</f>
        <v/>
      </c>
      <c r="E187" s="19">
        <f>IF($C187="","",IF(IFERROR(MATCH($D187,기본자료!$B$2:$B$501,0),IFERROR(MATCH($D187&amp;"",기본자료!$B$2:$B$501,0),IFERROR(MATCH(VALUE($D187),기본자료!$B$2:$B$501,0),0)))&gt;0,"확인","미등록"))</f>
        <v/>
      </c>
      <c r="F187" s="19">
        <f>IF(OR($C187="",$F$3=""),"",IF(TRIM(INDEX(인턴근무계획!$E$3:$J$202,$A187,$F$3)&amp;"")="","",IFERROR(LEFT(TRIM(INDEX(인턴근무계획!$E$3:$J$202,$A187,$F$3)&amp;""),FIND(" ",TRIM(INDEX(인턴근무계획!$E$3:$J$202,$A187,$F$3)&amp;""))-1),TRIM(INDEX(인턴근무계획!$E$3:$J$202,$A187,$F$3)&amp;""))))</f>
        <v/>
      </c>
      <c r="G187" s="19">
        <f>IF(OR($C187="",$F$3=""),"",IF(TRIM(INDEX(인턴근무계획!$E$3:$J$202,$A187,$F$3)&amp;"")="","",IFERROR(MID(TRIM(INDEX(인턴근무계획!$E$3:$J$202,$A187,$F$3)&amp;""),FIND(" ",TRIM(INDEX(인턴근무계획!$E$3:$J$202,$A187,$F$3)&amp;""))+1,60),"")))</f>
        <v/>
      </c>
      <c r="H187" s="19">
        <f>IF(OR($C187="",$H$3=""),"",IF(TRIM(INDEX(인턴근무계획!$E$3:$J$202,$A187,$H$3)&amp;"")="","",IFERROR(LEFT(TRIM(INDEX(인턴근무계획!$E$3:$J$202,$A187,$H$3)&amp;""),FIND(" ",TRIM(INDEX(인턴근무계획!$E$3:$J$202,$A187,$H$3)&amp;""))-1),TRIM(INDEX(인턴근무계획!$E$3:$J$202,$A187,$H$3)&amp;""))))</f>
        <v/>
      </c>
      <c r="I187" s="19">
        <f>IF(OR($C187="",$H$3=""),"",IF(TRIM(INDEX(인턴근무계획!$E$3:$J$202,$A187,$H$3)&amp;"")="","",IFERROR(MID(TRIM(INDEX(인턴근무계획!$E$3:$J$202,$A187,$H$3)&amp;""),FIND(" ",TRIM(INDEX(인턴근무계획!$E$3:$J$202,$A187,$H$3)&amp;""))+1,60),"")))</f>
        <v/>
      </c>
      <c r="J187" s="19">
        <f>IF($C187="","",IF(TRIM(INDEX(인턴근무계획!$E$3:$J$202,$A187,1)&amp;"")="","",IFERROR(LEFT(TRIM(INDEX(인턴근무계획!$E$3:$J$202,$A187,1)&amp;""),FIND(" ",TRIM(INDEX(인턴근무계획!$E$3:$J$202,$A187,1)&amp;""))-1),TRIM(INDEX(인턴근무계획!$E$3:$J$202,$A187,1)&amp;""))))</f>
        <v/>
      </c>
      <c r="K187" s="19">
        <f>IF($C187="","",IF(TRIM(INDEX(인턴근무계획!$E$3:$J$202,$A187,2)&amp;"")="","",IFERROR(LEFT(TRIM(INDEX(인턴근무계획!$E$3:$J$202,$A187,2)&amp;""),FIND(" ",TRIM(INDEX(인턴근무계획!$E$3:$J$202,$A187,2)&amp;""))-1),TRIM(INDEX(인턴근무계획!$E$3:$J$202,$A187,2)&amp;""))))</f>
        <v/>
      </c>
      <c r="L187" s="19">
        <f>IF($C187="","",IF(TRIM(INDEX(인턴근무계획!$E$3:$J$202,$A187,3)&amp;"")="","",IFERROR(LEFT(TRIM(INDEX(인턴근무계획!$E$3:$J$202,$A187,3)&amp;""),FIND(" ",TRIM(INDEX(인턴근무계획!$E$3:$J$202,$A187,3)&amp;""))-1),TRIM(INDEX(인턴근무계획!$E$3:$J$202,$A187,3)&amp;""))))</f>
        <v/>
      </c>
      <c r="M187" s="19">
        <f>IF($C187="","",IF(TRIM(INDEX(인턴근무계획!$E$3:$J$202,$A187,4)&amp;"")="","",IFERROR(LEFT(TRIM(INDEX(인턴근무계획!$E$3:$J$202,$A187,4)&amp;""),FIND(" ",TRIM(INDEX(인턴근무계획!$E$3:$J$202,$A187,4)&amp;""))-1),TRIM(INDEX(인턴근무계획!$E$3:$J$202,$A187,4)&amp;""))))</f>
        <v/>
      </c>
      <c r="N187" s="19">
        <f>IF($C187="","",IF(TRIM(INDEX(인턴근무계획!$E$3:$J$202,$A187,5)&amp;"")="","",IFERROR(LEFT(TRIM(INDEX(인턴근무계획!$E$3:$J$202,$A187,5)&amp;""),FIND(" ",TRIM(INDEX(인턴근무계획!$E$3:$J$202,$A187,5)&amp;""))-1),TRIM(INDEX(인턴근무계획!$E$3:$J$202,$A187,5)&amp;""))))</f>
        <v/>
      </c>
      <c r="O187" s="19">
        <f>IF($C187="","",IF(TRIM(INDEX(인턴근무계획!$E$3:$J$202,$A187,6)&amp;"")="","",IFERROR(LEFT(TRIM(INDEX(인턴근무계획!$E$3:$J$202,$A187,6)&amp;""),FIND(" ",TRIM(INDEX(인턴근무계획!$E$3:$J$202,$A187,6)&amp;""))-1),TRIM(INDEX(인턴근무계획!$E$3:$J$202,$A187,6)&amp;""))))</f>
        <v/>
      </c>
      <c r="P187" s="19">
        <f>IF($C187="","",IF(INDEX(인턴근무계획!$K$3:$K$202,$A187)="","",INDEX(인턴근무계획!$K$3:$K$202,$A187)))</f>
        <v/>
      </c>
    </row>
    <row r="188">
      <c r="A188" s="18" t="n">
        <v>183</v>
      </c>
      <c r="B188" s="19">
        <f>IF($C188="","",INDEX(인턴근무계획!$B$3:$B$202,$A188))</f>
        <v/>
      </c>
      <c r="C188" s="19">
        <f>IFERROR(TRIM(INDEX(인턴근무계획!$C$3:$C$202,$A188)&amp;""),"")</f>
        <v/>
      </c>
      <c r="D188" s="19">
        <f>IF($C188="","",INDEX(인턴근무계획!$D$3:$D$202,$A188))</f>
        <v/>
      </c>
      <c r="E188" s="19">
        <f>IF($C188="","",IF(IFERROR(MATCH($D188,기본자료!$B$2:$B$501,0),IFERROR(MATCH($D188&amp;"",기본자료!$B$2:$B$501,0),IFERROR(MATCH(VALUE($D188),기본자료!$B$2:$B$501,0),0)))&gt;0,"확인","미등록"))</f>
        <v/>
      </c>
      <c r="F188" s="19">
        <f>IF(OR($C188="",$F$3=""),"",IF(TRIM(INDEX(인턴근무계획!$E$3:$J$202,$A188,$F$3)&amp;"")="","",IFERROR(LEFT(TRIM(INDEX(인턴근무계획!$E$3:$J$202,$A188,$F$3)&amp;""),FIND(" ",TRIM(INDEX(인턴근무계획!$E$3:$J$202,$A188,$F$3)&amp;""))-1),TRIM(INDEX(인턴근무계획!$E$3:$J$202,$A188,$F$3)&amp;""))))</f>
        <v/>
      </c>
      <c r="G188" s="19">
        <f>IF(OR($C188="",$F$3=""),"",IF(TRIM(INDEX(인턴근무계획!$E$3:$J$202,$A188,$F$3)&amp;"")="","",IFERROR(MID(TRIM(INDEX(인턴근무계획!$E$3:$J$202,$A188,$F$3)&amp;""),FIND(" ",TRIM(INDEX(인턴근무계획!$E$3:$J$202,$A188,$F$3)&amp;""))+1,60),"")))</f>
        <v/>
      </c>
      <c r="H188" s="19">
        <f>IF(OR($C188="",$H$3=""),"",IF(TRIM(INDEX(인턴근무계획!$E$3:$J$202,$A188,$H$3)&amp;"")="","",IFERROR(LEFT(TRIM(INDEX(인턴근무계획!$E$3:$J$202,$A188,$H$3)&amp;""),FIND(" ",TRIM(INDEX(인턴근무계획!$E$3:$J$202,$A188,$H$3)&amp;""))-1),TRIM(INDEX(인턴근무계획!$E$3:$J$202,$A188,$H$3)&amp;""))))</f>
        <v/>
      </c>
      <c r="I188" s="19">
        <f>IF(OR($C188="",$H$3=""),"",IF(TRIM(INDEX(인턴근무계획!$E$3:$J$202,$A188,$H$3)&amp;"")="","",IFERROR(MID(TRIM(INDEX(인턴근무계획!$E$3:$J$202,$A188,$H$3)&amp;""),FIND(" ",TRIM(INDEX(인턴근무계획!$E$3:$J$202,$A188,$H$3)&amp;""))+1,60),"")))</f>
        <v/>
      </c>
      <c r="J188" s="19">
        <f>IF($C188="","",IF(TRIM(INDEX(인턴근무계획!$E$3:$J$202,$A188,1)&amp;"")="","",IFERROR(LEFT(TRIM(INDEX(인턴근무계획!$E$3:$J$202,$A188,1)&amp;""),FIND(" ",TRIM(INDEX(인턴근무계획!$E$3:$J$202,$A188,1)&amp;""))-1),TRIM(INDEX(인턴근무계획!$E$3:$J$202,$A188,1)&amp;""))))</f>
        <v/>
      </c>
      <c r="K188" s="19">
        <f>IF($C188="","",IF(TRIM(INDEX(인턴근무계획!$E$3:$J$202,$A188,2)&amp;"")="","",IFERROR(LEFT(TRIM(INDEX(인턴근무계획!$E$3:$J$202,$A188,2)&amp;""),FIND(" ",TRIM(INDEX(인턴근무계획!$E$3:$J$202,$A188,2)&amp;""))-1),TRIM(INDEX(인턴근무계획!$E$3:$J$202,$A188,2)&amp;""))))</f>
        <v/>
      </c>
      <c r="L188" s="19">
        <f>IF($C188="","",IF(TRIM(INDEX(인턴근무계획!$E$3:$J$202,$A188,3)&amp;"")="","",IFERROR(LEFT(TRIM(INDEX(인턴근무계획!$E$3:$J$202,$A188,3)&amp;""),FIND(" ",TRIM(INDEX(인턴근무계획!$E$3:$J$202,$A188,3)&amp;""))-1),TRIM(INDEX(인턴근무계획!$E$3:$J$202,$A188,3)&amp;""))))</f>
        <v/>
      </c>
      <c r="M188" s="19">
        <f>IF($C188="","",IF(TRIM(INDEX(인턴근무계획!$E$3:$J$202,$A188,4)&amp;"")="","",IFERROR(LEFT(TRIM(INDEX(인턴근무계획!$E$3:$J$202,$A188,4)&amp;""),FIND(" ",TRIM(INDEX(인턴근무계획!$E$3:$J$202,$A188,4)&amp;""))-1),TRIM(INDEX(인턴근무계획!$E$3:$J$202,$A188,4)&amp;""))))</f>
        <v/>
      </c>
      <c r="N188" s="19">
        <f>IF($C188="","",IF(TRIM(INDEX(인턴근무계획!$E$3:$J$202,$A188,5)&amp;"")="","",IFERROR(LEFT(TRIM(INDEX(인턴근무계획!$E$3:$J$202,$A188,5)&amp;""),FIND(" ",TRIM(INDEX(인턴근무계획!$E$3:$J$202,$A188,5)&amp;""))-1),TRIM(INDEX(인턴근무계획!$E$3:$J$202,$A188,5)&amp;""))))</f>
        <v/>
      </c>
      <c r="O188" s="19">
        <f>IF($C188="","",IF(TRIM(INDEX(인턴근무계획!$E$3:$J$202,$A188,6)&amp;"")="","",IFERROR(LEFT(TRIM(INDEX(인턴근무계획!$E$3:$J$202,$A188,6)&amp;""),FIND(" ",TRIM(INDEX(인턴근무계획!$E$3:$J$202,$A188,6)&amp;""))-1),TRIM(INDEX(인턴근무계획!$E$3:$J$202,$A188,6)&amp;""))))</f>
        <v/>
      </c>
      <c r="P188" s="19">
        <f>IF($C188="","",IF(INDEX(인턴근무계획!$K$3:$K$202,$A188)="","",INDEX(인턴근무계획!$K$3:$K$202,$A188)))</f>
        <v/>
      </c>
    </row>
    <row r="189">
      <c r="A189" s="18" t="n">
        <v>184</v>
      </c>
      <c r="B189" s="19">
        <f>IF($C189="","",INDEX(인턴근무계획!$B$3:$B$202,$A189))</f>
        <v/>
      </c>
      <c r="C189" s="19">
        <f>IFERROR(TRIM(INDEX(인턴근무계획!$C$3:$C$202,$A189)&amp;""),"")</f>
        <v/>
      </c>
      <c r="D189" s="19">
        <f>IF($C189="","",INDEX(인턴근무계획!$D$3:$D$202,$A189))</f>
        <v/>
      </c>
      <c r="E189" s="19">
        <f>IF($C189="","",IF(IFERROR(MATCH($D189,기본자료!$B$2:$B$501,0),IFERROR(MATCH($D189&amp;"",기본자료!$B$2:$B$501,0),IFERROR(MATCH(VALUE($D189),기본자료!$B$2:$B$501,0),0)))&gt;0,"확인","미등록"))</f>
        <v/>
      </c>
      <c r="F189" s="19">
        <f>IF(OR($C189="",$F$3=""),"",IF(TRIM(INDEX(인턴근무계획!$E$3:$J$202,$A189,$F$3)&amp;"")="","",IFERROR(LEFT(TRIM(INDEX(인턴근무계획!$E$3:$J$202,$A189,$F$3)&amp;""),FIND(" ",TRIM(INDEX(인턴근무계획!$E$3:$J$202,$A189,$F$3)&amp;""))-1),TRIM(INDEX(인턴근무계획!$E$3:$J$202,$A189,$F$3)&amp;""))))</f>
        <v/>
      </c>
      <c r="G189" s="19">
        <f>IF(OR($C189="",$F$3=""),"",IF(TRIM(INDEX(인턴근무계획!$E$3:$J$202,$A189,$F$3)&amp;"")="","",IFERROR(MID(TRIM(INDEX(인턴근무계획!$E$3:$J$202,$A189,$F$3)&amp;""),FIND(" ",TRIM(INDEX(인턴근무계획!$E$3:$J$202,$A189,$F$3)&amp;""))+1,60),"")))</f>
        <v/>
      </c>
      <c r="H189" s="19">
        <f>IF(OR($C189="",$H$3=""),"",IF(TRIM(INDEX(인턴근무계획!$E$3:$J$202,$A189,$H$3)&amp;"")="","",IFERROR(LEFT(TRIM(INDEX(인턴근무계획!$E$3:$J$202,$A189,$H$3)&amp;""),FIND(" ",TRIM(INDEX(인턴근무계획!$E$3:$J$202,$A189,$H$3)&amp;""))-1),TRIM(INDEX(인턴근무계획!$E$3:$J$202,$A189,$H$3)&amp;""))))</f>
        <v/>
      </c>
      <c r="I189" s="19">
        <f>IF(OR($C189="",$H$3=""),"",IF(TRIM(INDEX(인턴근무계획!$E$3:$J$202,$A189,$H$3)&amp;"")="","",IFERROR(MID(TRIM(INDEX(인턴근무계획!$E$3:$J$202,$A189,$H$3)&amp;""),FIND(" ",TRIM(INDEX(인턴근무계획!$E$3:$J$202,$A189,$H$3)&amp;""))+1,60),"")))</f>
        <v/>
      </c>
      <c r="J189" s="19">
        <f>IF($C189="","",IF(TRIM(INDEX(인턴근무계획!$E$3:$J$202,$A189,1)&amp;"")="","",IFERROR(LEFT(TRIM(INDEX(인턴근무계획!$E$3:$J$202,$A189,1)&amp;""),FIND(" ",TRIM(INDEX(인턴근무계획!$E$3:$J$202,$A189,1)&amp;""))-1),TRIM(INDEX(인턴근무계획!$E$3:$J$202,$A189,1)&amp;""))))</f>
        <v/>
      </c>
      <c r="K189" s="19">
        <f>IF($C189="","",IF(TRIM(INDEX(인턴근무계획!$E$3:$J$202,$A189,2)&amp;"")="","",IFERROR(LEFT(TRIM(INDEX(인턴근무계획!$E$3:$J$202,$A189,2)&amp;""),FIND(" ",TRIM(INDEX(인턴근무계획!$E$3:$J$202,$A189,2)&amp;""))-1),TRIM(INDEX(인턴근무계획!$E$3:$J$202,$A189,2)&amp;""))))</f>
        <v/>
      </c>
      <c r="L189" s="19">
        <f>IF($C189="","",IF(TRIM(INDEX(인턴근무계획!$E$3:$J$202,$A189,3)&amp;"")="","",IFERROR(LEFT(TRIM(INDEX(인턴근무계획!$E$3:$J$202,$A189,3)&amp;""),FIND(" ",TRIM(INDEX(인턴근무계획!$E$3:$J$202,$A189,3)&amp;""))-1),TRIM(INDEX(인턴근무계획!$E$3:$J$202,$A189,3)&amp;""))))</f>
        <v/>
      </c>
      <c r="M189" s="19">
        <f>IF($C189="","",IF(TRIM(INDEX(인턴근무계획!$E$3:$J$202,$A189,4)&amp;"")="","",IFERROR(LEFT(TRIM(INDEX(인턴근무계획!$E$3:$J$202,$A189,4)&amp;""),FIND(" ",TRIM(INDEX(인턴근무계획!$E$3:$J$202,$A189,4)&amp;""))-1),TRIM(INDEX(인턴근무계획!$E$3:$J$202,$A189,4)&amp;""))))</f>
        <v/>
      </c>
      <c r="N189" s="19">
        <f>IF($C189="","",IF(TRIM(INDEX(인턴근무계획!$E$3:$J$202,$A189,5)&amp;"")="","",IFERROR(LEFT(TRIM(INDEX(인턴근무계획!$E$3:$J$202,$A189,5)&amp;""),FIND(" ",TRIM(INDEX(인턴근무계획!$E$3:$J$202,$A189,5)&amp;""))-1),TRIM(INDEX(인턴근무계획!$E$3:$J$202,$A189,5)&amp;""))))</f>
        <v/>
      </c>
      <c r="O189" s="19">
        <f>IF($C189="","",IF(TRIM(INDEX(인턴근무계획!$E$3:$J$202,$A189,6)&amp;"")="","",IFERROR(LEFT(TRIM(INDEX(인턴근무계획!$E$3:$J$202,$A189,6)&amp;""),FIND(" ",TRIM(INDEX(인턴근무계획!$E$3:$J$202,$A189,6)&amp;""))-1),TRIM(INDEX(인턴근무계획!$E$3:$J$202,$A189,6)&amp;""))))</f>
        <v/>
      </c>
      <c r="P189" s="19">
        <f>IF($C189="","",IF(INDEX(인턴근무계획!$K$3:$K$202,$A189)="","",INDEX(인턴근무계획!$K$3:$K$202,$A189)))</f>
        <v/>
      </c>
    </row>
    <row r="190">
      <c r="A190" s="18" t="n">
        <v>185</v>
      </c>
      <c r="B190" s="19">
        <f>IF($C190="","",INDEX(인턴근무계획!$B$3:$B$202,$A190))</f>
        <v/>
      </c>
      <c r="C190" s="19">
        <f>IFERROR(TRIM(INDEX(인턴근무계획!$C$3:$C$202,$A190)&amp;""),"")</f>
        <v/>
      </c>
      <c r="D190" s="19">
        <f>IF($C190="","",INDEX(인턴근무계획!$D$3:$D$202,$A190))</f>
        <v/>
      </c>
      <c r="E190" s="19">
        <f>IF($C190="","",IF(IFERROR(MATCH($D190,기본자료!$B$2:$B$501,0),IFERROR(MATCH($D190&amp;"",기본자료!$B$2:$B$501,0),IFERROR(MATCH(VALUE($D190),기본자료!$B$2:$B$501,0),0)))&gt;0,"확인","미등록"))</f>
        <v/>
      </c>
      <c r="F190" s="19">
        <f>IF(OR($C190="",$F$3=""),"",IF(TRIM(INDEX(인턴근무계획!$E$3:$J$202,$A190,$F$3)&amp;"")="","",IFERROR(LEFT(TRIM(INDEX(인턴근무계획!$E$3:$J$202,$A190,$F$3)&amp;""),FIND(" ",TRIM(INDEX(인턴근무계획!$E$3:$J$202,$A190,$F$3)&amp;""))-1),TRIM(INDEX(인턴근무계획!$E$3:$J$202,$A190,$F$3)&amp;""))))</f>
        <v/>
      </c>
      <c r="G190" s="19">
        <f>IF(OR($C190="",$F$3=""),"",IF(TRIM(INDEX(인턴근무계획!$E$3:$J$202,$A190,$F$3)&amp;"")="","",IFERROR(MID(TRIM(INDEX(인턴근무계획!$E$3:$J$202,$A190,$F$3)&amp;""),FIND(" ",TRIM(INDEX(인턴근무계획!$E$3:$J$202,$A190,$F$3)&amp;""))+1,60),"")))</f>
        <v/>
      </c>
      <c r="H190" s="19">
        <f>IF(OR($C190="",$H$3=""),"",IF(TRIM(INDEX(인턴근무계획!$E$3:$J$202,$A190,$H$3)&amp;"")="","",IFERROR(LEFT(TRIM(INDEX(인턴근무계획!$E$3:$J$202,$A190,$H$3)&amp;""),FIND(" ",TRIM(INDEX(인턴근무계획!$E$3:$J$202,$A190,$H$3)&amp;""))-1),TRIM(INDEX(인턴근무계획!$E$3:$J$202,$A190,$H$3)&amp;""))))</f>
        <v/>
      </c>
      <c r="I190" s="19">
        <f>IF(OR($C190="",$H$3=""),"",IF(TRIM(INDEX(인턴근무계획!$E$3:$J$202,$A190,$H$3)&amp;"")="","",IFERROR(MID(TRIM(INDEX(인턴근무계획!$E$3:$J$202,$A190,$H$3)&amp;""),FIND(" ",TRIM(INDEX(인턴근무계획!$E$3:$J$202,$A190,$H$3)&amp;""))+1,60),"")))</f>
        <v/>
      </c>
      <c r="J190" s="19">
        <f>IF($C190="","",IF(TRIM(INDEX(인턴근무계획!$E$3:$J$202,$A190,1)&amp;"")="","",IFERROR(LEFT(TRIM(INDEX(인턴근무계획!$E$3:$J$202,$A190,1)&amp;""),FIND(" ",TRIM(INDEX(인턴근무계획!$E$3:$J$202,$A190,1)&amp;""))-1),TRIM(INDEX(인턴근무계획!$E$3:$J$202,$A190,1)&amp;""))))</f>
        <v/>
      </c>
      <c r="K190" s="19">
        <f>IF($C190="","",IF(TRIM(INDEX(인턴근무계획!$E$3:$J$202,$A190,2)&amp;"")="","",IFERROR(LEFT(TRIM(INDEX(인턴근무계획!$E$3:$J$202,$A190,2)&amp;""),FIND(" ",TRIM(INDEX(인턴근무계획!$E$3:$J$202,$A190,2)&amp;""))-1),TRIM(INDEX(인턴근무계획!$E$3:$J$202,$A190,2)&amp;""))))</f>
        <v/>
      </c>
      <c r="L190" s="19">
        <f>IF($C190="","",IF(TRIM(INDEX(인턴근무계획!$E$3:$J$202,$A190,3)&amp;"")="","",IFERROR(LEFT(TRIM(INDEX(인턴근무계획!$E$3:$J$202,$A190,3)&amp;""),FIND(" ",TRIM(INDEX(인턴근무계획!$E$3:$J$202,$A190,3)&amp;""))-1),TRIM(INDEX(인턴근무계획!$E$3:$J$202,$A190,3)&amp;""))))</f>
        <v/>
      </c>
      <c r="M190" s="19">
        <f>IF($C190="","",IF(TRIM(INDEX(인턴근무계획!$E$3:$J$202,$A190,4)&amp;"")="","",IFERROR(LEFT(TRIM(INDEX(인턴근무계획!$E$3:$J$202,$A190,4)&amp;""),FIND(" ",TRIM(INDEX(인턴근무계획!$E$3:$J$202,$A190,4)&amp;""))-1),TRIM(INDEX(인턴근무계획!$E$3:$J$202,$A190,4)&amp;""))))</f>
        <v/>
      </c>
      <c r="N190" s="19">
        <f>IF($C190="","",IF(TRIM(INDEX(인턴근무계획!$E$3:$J$202,$A190,5)&amp;"")="","",IFERROR(LEFT(TRIM(INDEX(인턴근무계획!$E$3:$J$202,$A190,5)&amp;""),FIND(" ",TRIM(INDEX(인턴근무계획!$E$3:$J$202,$A190,5)&amp;""))-1),TRIM(INDEX(인턴근무계획!$E$3:$J$202,$A190,5)&amp;""))))</f>
        <v/>
      </c>
      <c r="O190" s="19">
        <f>IF($C190="","",IF(TRIM(INDEX(인턴근무계획!$E$3:$J$202,$A190,6)&amp;"")="","",IFERROR(LEFT(TRIM(INDEX(인턴근무계획!$E$3:$J$202,$A190,6)&amp;""),FIND(" ",TRIM(INDEX(인턴근무계획!$E$3:$J$202,$A190,6)&amp;""))-1),TRIM(INDEX(인턴근무계획!$E$3:$J$202,$A190,6)&amp;""))))</f>
        <v/>
      </c>
      <c r="P190" s="19">
        <f>IF($C190="","",IF(INDEX(인턴근무계획!$K$3:$K$202,$A190)="","",INDEX(인턴근무계획!$K$3:$K$202,$A190)))</f>
        <v/>
      </c>
    </row>
    <row r="191">
      <c r="A191" s="18" t="n">
        <v>186</v>
      </c>
      <c r="B191" s="19">
        <f>IF($C191="","",INDEX(인턴근무계획!$B$3:$B$202,$A191))</f>
        <v/>
      </c>
      <c r="C191" s="19">
        <f>IFERROR(TRIM(INDEX(인턴근무계획!$C$3:$C$202,$A191)&amp;""),"")</f>
        <v/>
      </c>
      <c r="D191" s="19">
        <f>IF($C191="","",INDEX(인턴근무계획!$D$3:$D$202,$A191))</f>
        <v/>
      </c>
      <c r="E191" s="19">
        <f>IF($C191="","",IF(IFERROR(MATCH($D191,기본자료!$B$2:$B$501,0),IFERROR(MATCH($D191&amp;"",기본자료!$B$2:$B$501,0),IFERROR(MATCH(VALUE($D191),기본자료!$B$2:$B$501,0),0)))&gt;0,"확인","미등록"))</f>
        <v/>
      </c>
      <c r="F191" s="19">
        <f>IF(OR($C191="",$F$3=""),"",IF(TRIM(INDEX(인턴근무계획!$E$3:$J$202,$A191,$F$3)&amp;"")="","",IFERROR(LEFT(TRIM(INDEX(인턴근무계획!$E$3:$J$202,$A191,$F$3)&amp;""),FIND(" ",TRIM(INDEX(인턴근무계획!$E$3:$J$202,$A191,$F$3)&amp;""))-1),TRIM(INDEX(인턴근무계획!$E$3:$J$202,$A191,$F$3)&amp;""))))</f>
        <v/>
      </c>
      <c r="G191" s="19">
        <f>IF(OR($C191="",$F$3=""),"",IF(TRIM(INDEX(인턴근무계획!$E$3:$J$202,$A191,$F$3)&amp;"")="","",IFERROR(MID(TRIM(INDEX(인턴근무계획!$E$3:$J$202,$A191,$F$3)&amp;""),FIND(" ",TRIM(INDEX(인턴근무계획!$E$3:$J$202,$A191,$F$3)&amp;""))+1,60),"")))</f>
        <v/>
      </c>
      <c r="H191" s="19">
        <f>IF(OR($C191="",$H$3=""),"",IF(TRIM(INDEX(인턴근무계획!$E$3:$J$202,$A191,$H$3)&amp;"")="","",IFERROR(LEFT(TRIM(INDEX(인턴근무계획!$E$3:$J$202,$A191,$H$3)&amp;""),FIND(" ",TRIM(INDEX(인턴근무계획!$E$3:$J$202,$A191,$H$3)&amp;""))-1),TRIM(INDEX(인턴근무계획!$E$3:$J$202,$A191,$H$3)&amp;""))))</f>
        <v/>
      </c>
      <c r="I191" s="19">
        <f>IF(OR($C191="",$H$3=""),"",IF(TRIM(INDEX(인턴근무계획!$E$3:$J$202,$A191,$H$3)&amp;"")="","",IFERROR(MID(TRIM(INDEX(인턴근무계획!$E$3:$J$202,$A191,$H$3)&amp;""),FIND(" ",TRIM(INDEX(인턴근무계획!$E$3:$J$202,$A191,$H$3)&amp;""))+1,60),"")))</f>
        <v/>
      </c>
      <c r="J191" s="19">
        <f>IF($C191="","",IF(TRIM(INDEX(인턴근무계획!$E$3:$J$202,$A191,1)&amp;"")="","",IFERROR(LEFT(TRIM(INDEX(인턴근무계획!$E$3:$J$202,$A191,1)&amp;""),FIND(" ",TRIM(INDEX(인턴근무계획!$E$3:$J$202,$A191,1)&amp;""))-1),TRIM(INDEX(인턴근무계획!$E$3:$J$202,$A191,1)&amp;""))))</f>
        <v/>
      </c>
      <c r="K191" s="19">
        <f>IF($C191="","",IF(TRIM(INDEX(인턴근무계획!$E$3:$J$202,$A191,2)&amp;"")="","",IFERROR(LEFT(TRIM(INDEX(인턴근무계획!$E$3:$J$202,$A191,2)&amp;""),FIND(" ",TRIM(INDEX(인턴근무계획!$E$3:$J$202,$A191,2)&amp;""))-1),TRIM(INDEX(인턴근무계획!$E$3:$J$202,$A191,2)&amp;""))))</f>
        <v/>
      </c>
      <c r="L191" s="19">
        <f>IF($C191="","",IF(TRIM(INDEX(인턴근무계획!$E$3:$J$202,$A191,3)&amp;"")="","",IFERROR(LEFT(TRIM(INDEX(인턴근무계획!$E$3:$J$202,$A191,3)&amp;""),FIND(" ",TRIM(INDEX(인턴근무계획!$E$3:$J$202,$A191,3)&amp;""))-1),TRIM(INDEX(인턴근무계획!$E$3:$J$202,$A191,3)&amp;""))))</f>
        <v/>
      </c>
      <c r="M191" s="19">
        <f>IF($C191="","",IF(TRIM(INDEX(인턴근무계획!$E$3:$J$202,$A191,4)&amp;"")="","",IFERROR(LEFT(TRIM(INDEX(인턴근무계획!$E$3:$J$202,$A191,4)&amp;""),FIND(" ",TRIM(INDEX(인턴근무계획!$E$3:$J$202,$A191,4)&amp;""))-1),TRIM(INDEX(인턴근무계획!$E$3:$J$202,$A191,4)&amp;""))))</f>
        <v/>
      </c>
      <c r="N191" s="19">
        <f>IF($C191="","",IF(TRIM(INDEX(인턴근무계획!$E$3:$J$202,$A191,5)&amp;"")="","",IFERROR(LEFT(TRIM(INDEX(인턴근무계획!$E$3:$J$202,$A191,5)&amp;""),FIND(" ",TRIM(INDEX(인턴근무계획!$E$3:$J$202,$A191,5)&amp;""))-1),TRIM(INDEX(인턴근무계획!$E$3:$J$202,$A191,5)&amp;""))))</f>
        <v/>
      </c>
      <c r="O191" s="19">
        <f>IF($C191="","",IF(TRIM(INDEX(인턴근무계획!$E$3:$J$202,$A191,6)&amp;"")="","",IFERROR(LEFT(TRIM(INDEX(인턴근무계획!$E$3:$J$202,$A191,6)&amp;""),FIND(" ",TRIM(INDEX(인턴근무계획!$E$3:$J$202,$A191,6)&amp;""))-1),TRIM(INDEX(인턴근무계획!$E$3:$J$202,$A191,6)&amp;""))))</f>
        <v/>
      </c>
      <c r="P191" s="19">
        <f>IF($C191="","",IF(INDEX(인턴근무계획!$K$3:$K$202,$A191)="","",INDEX(인턴근무계획!$K$3:$K$202,$A191)))</f>
        <v/>
      </c>
    </row>
    <row r="192">
      <c r="A192" s="18" t="n">
        <v>187</v>
      </c>
      <c r="B192" s="19">
        <f>IF($C192="","",INDEX(인턴근무계획!$B$3:$B$202,$A192))</f>
        <v/>
      </c>
      <c r="C192" s="19">
        <f>IFERROR(TRIM(INDEX(인턴근무계획!$C$3:$C$202,$A192)&amp;""),"")</f>
        <v/>
      </c>
      <c r="D192" s="19">
        <f>IF($C192="","",INDEX(인턴근무계획!$D$3:$D$202,$A192))</f>
        <v/>
      </c>
      <c r="E192" s="19">
        <f>IF($C192="","",IF(IFERROR(MATCH($D192,기본자료!$B$2:$B$501,0),IFERROR(MATCH($D192&amp;"",기본자료!$B$2:$B$501,0),IFERROR(MATCH(VALUE($D192),기본자료!$B$2:$B$501,0),0)))&gt;0,"확인","미등록"))</f>
        <v/>
      </c>
      <c r="F192" s="19">
        <f>IF(OR($C192="",$F$3=""),"",IF(TRIM(INDEX(인턴근무계획!$E$3:$J$202,$A192,$F$3)&amp;"")="","",IFERROR(LEFT(TRIM(INDEX(인턴근무계획!$E$3:$J$202,$A192,$F$3)&amp;""),FIND(" ",TRIM(INDEX(인턴근무계획!$E$3:$J$202,$A192,$F$3)&amp;""))-1),TRIM(INDEX(인턴근무계획!$E$3:$J$202,$A192,$F$3)&amp;""))))</f>
        <v/>
      </c>
      <c r="G192" s="19">
        <f>IF(OR($C192="",$F$3=""),"",IF(TRIM(INDEX(인턴근무계획!$E$3:$J$202,$A192,$F$3)&amp;"")="","",IFERROR(MID(TRIM(INDEX(인턴근무계획!$E$3:$J$202,$A192,$F$3)&amp;""),FIND(" ",TRIM(INDEX(인턴근무계획!$E$3:$J$202,$A192,$F$3)&amp;""))+1,60),"")))</f>
        <v/>
      </c>
      <c r="H192" s="19">
        <f>IF(OR($C192="",$H$3=""),"",IF(TRIM(INDEX(인턴근무계획!$E$3:$J$202,$A192,$H$3)&amp;"")="","",IFERROR(LEFT(TRIM(INDEX(인턴근무계획!$E$3:$J$202,$A192,$H$3)&amp;""),FIND(" ",TRIM(INDEX(인턴근무계획!$E$3:$J$202,$A192,$H$3)&amp;""))-1),TRIM(INDEX(인턴근무계획!$E$3:$J$202,$A192,$H$3)&amp;""))))</f>
        <v/>
      </c>
      <c r="I192" s="19">
        <f>IF(OR($C192="",$H$3=""),"",IF(TRIM(INDEX(인턴근무계획!$E$3:$J$202,$A192,$H$3)&amp;"")="","",IFERROR(MID(TRIM(INDEX(인턴근무계획!$E$3:$J$202,$A192,$H$3)&amp;""),FIND(" ",TRIM(INDEX(인턴근무계획!$E$3:$J$202,$A192,$H$3)&amp;""))+1,60),"")))</f>
        <v/>
      </c>
      <c r="J192" s="19">
        <f>IF($C192="","",IF(TRIM(INDEX(인턴근무계획!$E$3:$J$202,$A192,1)&amp;"")="","",IFERROR(LEFT(TRIM(INDEX(인턴근무계획!$E$3:$J$202,$A192,1)&amp;""),FIND(" ",TRIM(INDEX(인턴근무계획!$E$3:$J$202,$A192,1)&amp;""))-1),TRIM(INDEX(인턴근무계획!$E$3:$J$202,$A192,1)&amp;""))))</f>
        <v/>
      </c>
      <c r="K192" s="19">
        <f>IF($C192="","",IF(TRIM(INDEX(인턴근무계획!$E$3:$J$202,$A192,2)&amp;"")="","",IFERROR(LEFT(TRIM(INDEX(인턴근무계획!$E$3:$J$202,$A192,2)&amp;""),FIND(" ",TRIM(INDEX(인턴근무계획!$E$3:$J$202,$A192,2)&amp;""))-1),TRIM(INDEX(인턴근무계획!$E$3:$J$202,$A192,2)&amp;""))))</f>
        <v/>
      </c>
      <c r="L192" s="19">
        <f>IF($C192="","",IF(TRIM(INDEX(인턴근무계획!$E$3:$J$202,$A192,3)&amp;"")="","",IFERROR(LEFT(TRIM(INDEX(인턴근무계획!$E$3:$J$202,$A192,3)&amp;""),FIND(" ",TRIM(INDEX(인턴근무계획!$E$3:$J$202,$A192,3)&amp;""))-1),TRIM(INDEX(인턴근무계획!$E$3:$J$202,$A192,3)&amp;""))))</f>
        <v/>
      </c>
      <c r="M192" s="19">
        <f>IF($C192="","",IF(TRIM(INDEX(인턴근무계획!$E$3:$J$202,$A192,4)&amp;"")="","",IFERROR(LEFT(TRIM(INDEX(인턴근무계획!$E$3:$J$202,$A192,4)&amp;""),FIND(" ",TRIM(INDEX(인턴근무계획!$E$3:$J$202,$A192,4)&amp;""))-1),TRIM(INDEX(인턴근무계획!$E$3:$J$202,$A192,4)&amp;""))))</f>
        <v/>
      </c>
      <c r="N192" s="19">
        <f>IF($C192="","",IF(TRIM(INDEX(인턴근무계획!$E$3:$J$202,$A192,5)&amp;"")="","",IFERROR(LEFT(TRIM(INDEX(인턴근무계획!$E$3:$J$202,$A192,5)&amp;""),FIND(" ",TRIM(INDEX(인턴근무계획!$E$3:$J$202,$A192,5)&amp;""))-1),TRIM(INDEX(인턴근무계획!$E$3:$J$202,$A192,5)&amp;""))))</f>
        <v/>
      </c>
      <c r="O192" s="19">
        <f>IF($C192="","",IF(TRIM(INDEX(인턴근무계획!$E$3:$J$202,$A192,6)&amp;"")="","",IFERROR(LEFT(TRIM(INDEX(인턴근무계획!$E$3:$J$202,$A192,6)&amp;""),FIND(" ",TRIM(INDEX(인턴근무계획!$E$3:$J$202,$A192,6)&amp;""))-1),TRIM(INDEX(인턴근무계획!$E$3:$J$202,$A192,6)&amp;""))))</f>
        <v/>
      </c>
      <c r="P192" s="19">
        <f>IF($C192="","",IF(INDEX(인턴근무계획!$K$3:$K$202,$A192)="","",INDEX(인턴근무계획!$K$3:$K$202,$A192)))</f>
        <v/>
      </c>
    </row>
    <row r="193">
      <c r="A193" s="18" t="n">
        <v>188</v>
      </c>
      <c r="B193" s="19">
        <f>IF($C193="","",INDEX(인턴근무계획!$B$3:$B$202,$A193))</f>
        <v/>
      </c>
      <c r="C193" s="19">
        <f>IFERROR(TRIM(INDEX(인턴근무계획!$C$3:$C$202,$A193)&amp;""),"")</f>
        <v/>
      </c>
      <c r="D193" s="19">
        <f>IF($C193="","",INDEX(인턴근무계획!$D$3:$D$202,$A193))</f>
        <v/>
      </c>
      <c r="E193" s="19">
        <f>IF($C193="","",IF(IFERROR(MATCH($D193,기본자료!$B$2:$B$501,0),IFERROR(MATCH($D193&amp;"",기본자료!$B$2:$B$501,0),IFERROR(MATCH(VALUE($D193),기본자료!$B$2:$B$501,0),0)))&gt;0,"확인","미등록"))</f>
        <v/>
      </c>
      <c r="F193" s="19">
        <f>IF(OR($C193="",$F$3=""),"",IF(TRIM(INDEX(인턴근무계획!$E$3:$J$202,$A193,$F$3)&amp;"")="","",IFERROR(LEFT(TRIM(INDEX(인턴근무계획!$E$3:$J$202,$A193,$F$3)&amp;""),FIND(" ",TRIM(INDEX(인턴근무계획!$E$3:$J$202,$A193,$F$3)&amp;""))-1),TRIM(INDEX(인턴근무계획!$E$3:$J$202,$A193,$F$3)&amp;""))))</f>
        <v/>
      </c>
      <c r="G193" s="19">
        <f>IF(OR($C193="",$F$3=""),"",IF(TRIM(INDEX(인턴근무계획!$E$3:$J$202,$A193,$F$3)&amp;"")="","",IFERROR(MID(TRIM(INDEX(인턴근무계획!$E$3:$J$202,$A193,$F$3)&amp;""),FIND(" ",TRIM(INDEX(인턴근무계획!$E$3:$J$202,$A193,$F$3)&amp;""))+1,60),"")))</f>
        <v/>
      </c>
      <c r="H193" s="19">
        <f>IF(OR($C193="",$H$3=""),"",IF(TRIM(INDEX(인턴근무계획!$E$3:$J$202,$A193,$H$3)&amp;"")="","",IFERROR(LEFT(TRIM(INDEX(인턴근무계획!$E$3:$J$202,$A193,$H$3)&amp;""),FIND(" ",TRIM(INDEX(인턴근무계획!$E$3:$J$202,$A193,$H$3)&amp;""))-1),TRIM(INDEX(인턴근무계획!$E$3:$J$202,$A193,$H$3)&amp;""))))</f>
        <v/>
      </c>
      <c r="I193" s="19">
        <f>IF(OR($C193="",$H$3=""),"",IF(TRIM(INDEX(인턴근무계획!$E$3:$J$202,$A193,$H$3)&amp;"")="","",IFERROR(MID(TRIM(INDEX(인턴근무계획!$E$3:$J$202,$A193,$H$3)&amp;""),FIND(" ",TRIM(INDEX(인턴근무계획!$E$3:$J$202,$A193,$H$3)&amp;""))+1,60),"")))</f>
        <v/>
      </c>
      <c r="J193" s="19">
        <f>IF($C193="","",IF(TRIM(INDEX(인턴근무계획!$E$3:$J$202,$A193,1)&amp;"")="","",IFERROR(LEFT(TRIM(INDEX(인턴근무계획!$E$3:$J$202,$A193,1)&amp;""),FIND(" ",TRIM(INDEX(인턴근무계획!$E$3:$J$202,$A193,1)&amp;""))-1),TRIM(INDEX(인턴근무계획!$E$3:$J$202,$A193,1)&amp;""))))</f>
        <v/>
      </c>
      <c r="K193" s="19">
        <f>IF($C193="","",IF(TRIM(INDEX(인턴근무계획!$E$3:$J$202,$A193,2)&amp;"")="","",IFERROR(LEFT(TRIM(INDEX(인턴근무계획!$E$3:$J$202,$A193,2)&amp;""),FIND(" ",TRIM(INDEX(인턴근무계획!$E$3:$J$202,$A193,2)&amp;""))-1),TRIM(INDEX(인턴근무계획!$E$3:$J$202,$A193,2)&amp;""))))</f>
        <v/>
      </c>
      <c r="L193" s="19">
        <f>IF($C193="","",IF(TRIM(INDEX(인턴근무계획!$E$3:$J$202,$A193,3)&amp;"")="","",IFERROR(LEFT(TRIM(INDEX(인턴근무계획!$E$3:$J$202,$A193,3)&amp;""),FIND(" ",TRIM(INDEX(인턴근무계획!$E$3:$J$202,$A193,3)&amp;""))-1),TRIM(INDEX(인턴근무계획!$E$3:$J$202,$A193,3)&amp;""))))</f>
        <v/>
      </c>
      <c r="M193" s="19">
        <f>IF($C193="","",IF(TRIM(INDEX(인턴근무계획!$E$3:$J$202,$A193,4)&amp;"")="","",IFERROR(LEFT(TRIM(INDEX(인턴근무계획!$E$3:$J$202,$A193,4)&amp;""),FIND(" ",TRIM(INDEX(인턴근무계획!$E$3:$J$202,$A193,4)&amp;""))-1),TRIM(INDEX(인턴근무계획!$E$3:$J$202,$A193,4)&amp;""))))</f>
        <v/>
      </c>
      <c r="N193" s="19">
        <f>IF($C193="","",IF(TRIM(INDEX(인턴근무계획!$E$3:$J$202,$A193,5)&amp;"")="","",IFERROR(LEFT(TRIM(INDEX(인턴근무계획!$E$3:$J$202,$A193,5)&amp;""),FIND(" ",TRIM(INDEX(인턴근무계획!$E$3:$J$202,$A193,5)&amp;""))-1),TRIM(INDEX(인턴근무계획!$E$3:$J$202,$A193,5)&amp;""))))</f>
        <v/>
      </c>
      <c r="O193" s="19">
        <f>IF($C193="","",IF(TRIM(INDEX(인턴근무계획!$E$3:$J$202,$A193,6)&amp;"")="","",IFERROR(LEFT(TRIM(INDEX(인턴근무계획!$E$3:$J$202,$A193,6)&amp;""),FIND(" ",TRIM(INDEX(인턴근무계획!$E$3:$J$202,$A193,6)&amp;""))-1),TRIM(INDEX(인턴근무계획!$E$3:$J$202,$A193,6)&amp;""))))</f>
        <v/>
      </c>
      <c r="P193" s="19">
        <f>IF($C193="","",IF(INDEX(인턴근무계획!$K$3:$K$202,$A193)="","",INDEX(인턴근무계획!$K$3:$K$202,$A193)))</f>
        <v/>
      </c>
    </row>
    <row r="194">
      <c r="A194" s="18" t="n">
        <v>189</v>
      </c>
      <c r="B194" s="19">
        <f>IF($C194="","",INDEX(인턴근무계획!$B$3:$B$202,$A194))</f>
        <v/>
      </c>
      <c r="C194" s="19">
        <f>IFERROR(TRIM(INDEX(인턴근무계획!$C$3:$C$202,$A194)&amp;""),"")</f>
        <v/>
      </c>
      <c r="D194" s="19">
        <f>IF($C194="","",INDEX(인턴근무계획!$D$3:$D$202,$A194))</f>
        <v/>
      </c>
      <c r="E194" s="19">
        <f>IF($C194="","",IF(IFERROR(MATCH($D194,기본자료!$B$2:$B$501,0),IFERROR(MATCH($D194&amp;"",기본자료!$B$2:$B$501,0),IFERROR(MATCH(VALUE($D194),기본자료!$B$2:$B$501,0),0)))&gt;0,"확인","미등록"))</f>
        <v/>
      </c>
      <c r="F194" s="19">
        <f>IF(OR($C194="",$F$3=""),"",IF(TRIM(INDEX(인턴근무계획!$E$3:$J$202,$A194,$F$3)&amp;"")="","",IFERROR(LEFT(TRIM(INDEX(인턴근무계획!$E$3:$J$202,$A194,$F$3)&amp;""),FIND(" ",TRIM(INDEX(인턴근무계획!$E$3:$J$202,$A194,$F$3)&amp;""))-1),TRIM(INDEX(인턴근무계획!$E$3:$J$202,$A194,$F$3)&amp;""))))</f>
        <v/>
      </c>
      <c r="G194" s="19">
        <f>IF(OR($C194="",$F$3=""),"",IF(TRIM(INDEX(인턴근무계획!$E$3:$J$202,$A194,$F$3)&amp;"")="","",IFERROR(MID(TRIM(INDEX(인턴근무계획!$E$3:$J$202,$A194,$F$3)&amp;""),FIND(" ",TRIM(INDEX(인턴근무계획!$E$3:$J$202,$A194,$F$3)&amp;""))+1,60),"")))</f>
        <v/>
      </c>
      <c r="H194" s="19">
        <f>IF(OR($C194="",$H$3=""),"",IF(TRIM(INDEX(인턴근무계획!$E$3:$J$202,$A194,$H$3)&amp;"")="","",IFERROR(LEFT(TRIM(INDEX(인턴근무계획!$E$3:$J$202,$A194,$H$3)&amp;""),FIND(" ",TRIM(INDEX(인턴근무계획!$E$3:$J$202,$A194,$H$3)&amp;""))-1),TRIM(INDEX(인턴근무계획!$E$3:$J$202,$A194,$H$3)&amp;""))))</f>
        <v/>
      </c>
      <c r="I194" s="19">
        <f>IF(OR($C194="",$H$3=""),"",IF(TRIM(INDEX(인턴근무계획!$E$3:$J$202,$A194,$H$3)&amp;"")="","",IFERROR(MID(TRIM(INDEX(인턴근무계획!$E$3:$J$202,$A194,$H$3)&amp;""),FIND(" ",TRIM(INDEX(인턴근무계획!$E$3:$J$202,$A194,$H$3)&amp;""))+1,60),"")))</f>
        <v/>
      </c>
      <c r="J194" s="19">
        <f>IF($C194="","",IF(TRIM(INDEX(인턴근무계획!$E$3:$J$202,$A194,1)&amp;"")="","",IFERROR(LEFT(TRIM(INDEX(인턴근무계획!$E$3:$J$202,$A194,1)&amp;""),FIND(" ",TRIM(INDEX(인턴근무계획!$E$3:$J$202,$A194,1)&amp;""))-1),TRIM(INDEX(인턴근무계획!$E$3:$J$202,$A194,1)&amp;""))))</f>
        <v/>
      </c>
      <c r="K194" s="19">
        <f>IF($C194="","",IF(TRIM(INDEX(인턴근무계획!$E$3:$J$202,$A194,2)&amp;"")="","",IFERROR(LEFT(TRIM(INDEX(인턴근무계획!$E$3:$J$202,$A194,2)&amp;""),FIND(" ",TRIM(INDEX(인턴근무계획!$E$3:$J$202,$A194,2)&amp;""))-1),TRIM(INDEX(인턴근무계획!$E$3:$J$202,$A194,2)&amp;""))))</f>
        <v/>
      </c>
      <c r="L194" s="19">
        <f>IF($C194="","",IF(TRIM(INDEX(인턴근무계획!$E$3:$J$202,$A194,3)&amp;"")="","",IFERROR(LEFT(TRIM(INDEX(인턴근무계획!$E$3:$J$202,$A194,3)&amp;""),FIND(" ",TRIM(INDEX(인턴근무계획!$E$3:$J$202,$A194,3)&amp;""))-1),TRIM(INDEX(인턴근무계획!$E$3:$J$202,$A194,3)&amp;""))))</f>
        <v/>
      </c>
      <c r="M194" s="19">
        <f>IF($C194="","",IF(TRIM(INDEX(인턴근무계획!$E$3:$J$202,$A194,4)&amp;"")="","",IFERROR(LEFT(TRIM(INDEX(인턴근무계획!$E$3:$J$202,$A194,4)&amp;""),FIND(" ",TRIM(INDEX(인턴근무계획!$E$3:$J$202,$A194,4)&amp;""))-1),TRIM(INDEX(인턴근무계획!$E$3:$J$202,$A194,4)&amp;""))))</f>
        <v/>
      </c>
      <c r="N194" s="19">
        <f>IF($C194="","",IF(TRIM(INDEX(인턴근무계획!$E$3:$J$202,$A194,5)&amp;"")="","",IFERROR(LEFT(TRIM(INDEX(인턴근무계획!$E$3:$J$202,$A194,5)&amp;""),FIND(" ",TRIM(INDEX(인턴근무계획!$E$3:$J$202,$A194,5)&amp;""))-1),TRIM(INDEX(인턴근무계획!$E$3:$J$202,$A194,5)&amp;""))))</f>
        <v/>
      </c>
      <c r="O194" s="19">
        <f>IF($C194="","",IF(TRIM(INDEX(인턴근무계획!$E$3:$J$202,$A194,6)&amp;"")="","",IFERROR(LEFT(TRIM(INDEX(인턴근무계획!$E$3:$J$202,$A194,6)&amp;""),FIND(" ",TRIM(INDEX(인턴근무계획!$E$3:$J$202,$A194,6)&amp;""))-1),TRIM(INDEX(인턴근무계획!$E$3:$J$202,$A194,6)&amp;""))))</f>
        <v/>
      </c>
      <c r="P194" s="19">
        <f>IF($C194="","",IF(INDEX(인턴근무계획!$K$3:$K$202,$A194)="","",INDEX(인턴근무계획!$K$3:$K$202,$A194)))</f>
        <v/>
      </c>
    </row>
    <row r="195">
      <c r="A195" s="18" t="n">
        <v>190</v>
      </c>
      <c r="B195" s="19">
        <f>IF($C195="","",INDEX(인턴근무계획!$B$3:$B$202,$A195))</f>
        <v/>
      </c>
      <c r="C195" s="19">
        <f>IFERROR(TRIM(INDEX(인턴근무계획!$C$3:$C$202,$A195)&amp;""),"")</f>
        <v/>
      </c>
      <c r="D195" s="19">
        <f>IF($C195="","",INDEX(인턴근무계획!$D$3:$D$202,$A195))</f>
        <v/>
      </c>
      <c r="E195" s="19">
        <f>IF($C195="","",IF(IFERROR(MATCH($D195,기본자료!$B$2:$B$501,0),IFERROR(MATCH($D195&amp;"",기본자료!$B$2:$B$501,0),IFERROR(MATCH(VALUE($D195),기본자료!$B$2:$B$501,0),0)))&gt;0,"확인","미등록"))</f>
        <v/>
      </c>
      <c r="F195" s="19">
        <f>IF(OR($C195="",$F$3=""),"",IF(TRIM(INDEX(인턴근무계획!$E$3:$J$202,$A195,$F$3)&amp;"")="","",IFERROR(LEFT(TRIM(INDEX(인턴근무계획!$E$3:$J$202,$A195,$F$3)&amp;""),FIND(" ",TRIM(INDEX(인턴근무계획!$E$3:$J$202,$A195,$F$3)&amp;""))-1),TRIM(INDEX(인턴근무계획!$E$3:$J$202,$A195,$F$3)&amp;""))))</f>
        <v/>
      </c>
      <c r="G195" s="19">
        <f>IF(OR($C195="",$F$3=""),"",IF(TRIM(INDEX(인턴근무계획!$E$3:$J$202,$A195,$F$3)&amp;"")="","",IFERROR(MID(TRIM(INDEX(인턴근무계획!$E$3:$J$202,$A195,$F$3)&amp;""),FIND(" ",TRIM(INDEX(인턴근무계획!$E$3:$J$202,$A195,$F$3)&amp;""))+1,60),"")))</f>
        <v/>
      </c>
      <c r="H195" s="19">
        <f>IF(OR($C195="",$H$3=""),"",IF(TRIM(INDEX(인턴근무계획!$E$3:$J$202,$A195,$H$3)&amp;"")="","",IFERROR(LEFT(TRIM(INDEX(인턴근무계획!$E$3:$J$202,$A195,$H$3)&amp;""),FIND(" ",TRIM(INDEX(인턴근무계획!$E$3:$J$202,$A195,$H$3)&amp;""))-1),TRIM(INDEX(인턴근무계획!$E$3:$J$202,$A195,$H$3)&amp;""))))</f>
        <v/>
      </c>
      <c r="I195" s="19">
        <f>IF(OR($C195="",$H$3=""),"",IF(TRIM(INDEX(인턴근무계획!$E$3:$J$202,$A195,$H$3)&amp;"")="","",IFERROR(MID(TRIM(INDEX(인턴근무계획!$E$3:$J$202,$A195,$H$3)&amp;""),FIND(" ",TRIM(INDEX(인턴근무계획!$E$3:$J$202,$A195,$H$3)&amp;""))+1,60),"")))</f>
        <v/>
      </c>
      <c r="J195" s="19">
        <f>IF($C195="","",IF(TRIM(INDEX(인턴근무계획!$E$3:$J$202,$A195,1)&amp;"")="","",IFERROR(LEFT(TRIM(INDEX(인턴근무계획!$E$3:$J$202,$A195,1)&amp;""),FIND(" ",TRIM(INDEX(인턴근무계획!$E$3:$J$202,$A195,1)&amp;""))-1),TRIM(INDEX(인턴근무계획!$E$3:$J$202,$A195,1)&amp;""))))</f>
        <v/>
      </c>
      <c r="K195" s="19">
        <f>IF($C195="","",IF(TRIM(INDEX(인턴근무계획!$E$3:$J$202,$A195,2)&amp;"")="","",IFERROR(LEFT(TRIM(INDEX(인턴근무계획!$E$3:$J$202,$A195,2)&amp;""),FIND(" ",TRIM(INDEX(인턴근무계획!$E$3:$J$202,$A195,2)&amp;""))-1),TRIM(INDEX(인턴근무계획!$E$3:$J$202,$A195,2)&amp;""))))</f>
        <v/>
      </c>
      <c r="L195" s="19">
        <f>IF($C195="","",IF(TRIM(INDEX(인턴근무계획!$E$3:$J$202,$A195,3)&amp;"")="","",IFERROR(LEFT(TRIM(INDEX(인턴근무계획!$E$3:$J$202,$A195,3)&amp;""),FIND(" ",TRIM(INDEX(인턴근무계획!$E$3:$J$202,$A195,3)&amp;""))-1),TRIM(INDEX(인턴근무계획!$E$3:$J$202,$A195,3)&amp;""))))</f>
        <v/>
      </c>
      <c r="M195" s="19">
        <f>IF($C195="","",IF(TRIM(INDEX(인턴근무계획!$E$3:$J$202,$A195,4)&amp;"")="","",IFERROR(LEFT(TRIM(INDEX(인턴근무계획!$E$3:$J$202,$A195,4)&amp;""),FIND(" ",TRIM(INDEX(인턴근무계획!$E$3:$J$202,$A195,4)&amp;""))-1),TRIM(INDEX(인턴근무계획!$E$3:$J$202,$A195,4)&amp;""))))</f>
        <v/>
      </c>
      <c r="N195" s="19">
        <f>IF($C195="","",IF(TRIM(INDEX(인턴근무계획!$E$3:$J$202,$A195,5)&amp;"")="","",IFERROR(LEFT(TRIM(INDEX(인턴근무계획!$E$3:$J$202,$A195,5)&amp;""),FIND(" ",TRIM(INDEX(인턴근무계획!$E$3:$J$202,$A195,5)&amp;""))-1),TRIM(INDEX(인턴근무계획!$E$3:$J$202,$A195,5)&amp;""))))</f>
        <v/>
      </c>
      <c r="O195" s="19">
        <f>IF($C195="","",IF(TRIM(INDEX(인턴근무계획!$E$3:$J$202,$A195,6)&amp;"")="","",IFERROR(LEFT(TRIM(INDEX(인턴근무계획!$E$3:$J$202,$A195,6)&amp;""),FIND(" ",TRIM(INDEX(인턴근무계획!$E$3:$J$202,$A195,6)&amp;""))-1),TRIM(INDEX(인턴근무계획!$E$3:$J$202,$A195,6)&amp;""))))</f>
        <v/>
      </c>
      <c r="P195" s="19">
        <f>IF($C195="","",IF(INDEX(인턴근무계획!$K$3:$K$202,$A195)="","",INDEX(인턴근무계획!$K$3:$K$202,$A195)))</f>
        <v/>
      </c>
    </row>
    <row r="196">
      <c r="A196" s="18" t="n">
        <v>191</v>
      </c>
      <c r="B196" s="19">
        <f>IF($C196="","",INDEX(인턴근무계획!$B$3:$B$202,$A196))</f>
        <v/>
      </c>
      <c r="C196" s="19">
        <f>IFERROR(TRIM(INDEX(인턴근무계획!$C$3:$C$202,$A196)&amp;""),"")</f>
        <v/>
      </c>
      <c r="D196" s="19">
        <f>IF($C196="","",INDEX(인턴근무계획!$D$3:$D$202,$A196))</f>
        <v/>
      </c>
      <c r="E196" s="19">
        <f>IF($C196="","",IF(IFERROR(MATCH($D196,기본자료!$B$2:$B$501,0),IFERROR(MATCH($D196&amp;"",기본자료!$B$2:$B$501,0),IFERROR(MATCH(VALUE($D196),기본자료!$B$2:$B$501,0),0)))&gt;0,"확인","미등록"))</f>
        <v/>
      </c>
      <c r="F196" s="19">
        <f>IF(OR($C196="",$F$3=""),"",IF(TRIM(INDEX(인턴근무계획!$E$3:$J$202,$A196,$F$3)&amp;"")="","",IFERROR(LEFT(TRIM(INDEX(인턴근무계획!$E$3:$J$202,$A196,$F$3)&amp;""),FIND(" ",TRIM(INDEX(인턴근무계획!$E$3:$J$202,$A196,$F$3)&amp;""))-1),TRIM(INDEX(인턴근무계획!$E$3:$J$202,$A196,$F$3)&amp;""))))</f>
        <v/>
      </c>
      <c r="G196" s="19">
        <f>IF(OR($C196="",$F$3=""),"",IF(TRIM(INDEX(인턴근무계획!$E$3:$J$202,$A196,$F$3)&amp;"")="","",IFERROR(MID(TRIM(INDEX(인턴근무계획!$E$3:$J$202,$A196,$F$3)&amp;""),FIND(" ",TRIM(INDEX(인턴근무계획!$E$3:$J$202,$A196,$F$3)&amp;""))+1,60),"")))</f>
        <v/>
      </c>
      <c r="H196" s="19">
        <f>IF(OR($C196="",$H$3=""),"",IF(TRIM(INDEX(인턴근무계획!$E$3:$J$202,$A196,$H$3)&amp;"")="","",IFERROR(LEFT(TRIM(INDEX(인턴근무계획!$E$3:$J$202,$A196,$H$3)&amp;""),FIND(" ",TRIM(INDEX(인턴근무계획!$E$3:$J$202,$A196,$H$3)&amp;""))-1),TRIM(INDEX(인턴근무계획!$E$3:$J$202,$A196,$H$3)&amp;""))))</f>
        <v/>
      </c>
      <c r="I196" s="19">
        <f>IF(OR($C196="",$H$3=""),"",IF(TRIM(INDEX(인턴근무계획!$E$3:$J$202,$A196,$H$3)&amp;"")="","",IFERROR(MID(TRIM(INDEX(인턴근무계획!$E$3:$J$202,$A196,$H$3)&amp;""),FIND(" ",TRIM(INDEX(인턴근무계획!$E$3:$J$202,$A196,$H$3)&amp;""))+1,60),"")))</f>
        <v/>
      </c>
      <c r="J196" s="19">
        <f>IF($C196="","",IF(TRIM(INDEX(인턴근무계획!$E$3:$J$202,$A196,1)&amp;"")="","",IFERROR(LEFT(TRIM(INDEX(인턴근무계획!$E$3:$J$202,$A196,1)&amp;""),FIND(" ",TRIM(INDEX(인턴근무계획!$E$3:$J$202,$A196,1)&amp;""))-1),TRIM(INDEX(인턴근무계획!$E$3:$J$202,$A196,1)&amp;""))))</f>
        <v/>
      </c>
      <c r="K196" s="19">
        <f>IF($C196="","",IF(TRIM(INDEX(인턴근무계획!$E$3:$J$202,$A196,2)&amp;"")="","",IFERROR(LEFT(TRIM(INDEX(인턴근무계획!$E$3:$J$202,$A196,2)&amp;""),FIND(" ",TRIM(INDEX(인턴근무계획!$E$3:$J$202,$A196,2)&amp;""))-1),TRIM(INDEX(인턴근무계획!$E$3:$J$202,$A196,2)&amp;""))))</f>
        <v/>
      </c>
      <c r="L196" s="19">
        <f>IF($C196="","",IF(TRIM(INDEX(인턴근무계획!$E$3:$J$202,$A196,3)&amp;"")="","",IFERROR(LEFT(TRIM(INDEX(인턴근무계획!$E$3:$J$202,$A196,3)&amp;""),FIND(" ",TRIM(INDEX(인턴근무계획!$E$3:$J$202,$A196,3)&amp;""))-1),TRIM(INDEX(인턴근무계획!$E$3:$J$202,$A196,3)&amp;""))))</f>
        <v/>
      </c>
      <c r="M196" s="19">
        <f>IF($C196="","",IF(TRIM(INDEX(인턴근무계획!$E$3:$J$202,$A196,4)&amp;"")="","",IFERROR(LEFT(TRIM(INDEX(인턴근무계획!$E$3:$J$202,$A196,4)&amp;""),FIND(" ",TRIM(INDEX(인턴근무계획!$E$3:$J$202,$A196,4)&amp;""))-1),TRIM(INDEX(인턴근무계획!$E$3:$J$202,$A196,4)&amp;""))))</f>
        <v/>
      </c>
      <c r="N196" s="19">
        <f>IF($C196="","",IF(TRIM(INDEX(인턴근무계획!$E$3:$J$202,$A196,5)&amp;"")="","",IFERROR(LEFT(TRIM(INDEX(인턴근무계획!$E$3:$J$202,$A196,5)&amp;""),FIND(" ",TRIM(INDEX(인턴근무계획!$E$3:$J$202,$A196,5)&amp;""))-1),TRIM(INDEX(인턴근무계획!$E$3:$J$202,$A196,5)&amp;""))))</f>
        <v/>
      </c>
      <c r="O196" s="19">
        <f>IF($C196="","",IF(TRIM(INDEX(인턴근무계획!$E$3:$J$202,$A196,6)&amp;"")="","",IFERROR(LEFT(TRIM(INDEX(인턴근무계획!$E$3:$J$202,$A196,6)&amp;""),FIND(" ",TRIM(INDEX(인턴근무계획!$E$3:$J$202,$A196,6)&amp;""))-1),TRIM(INDEX(인턴근무계획!$E$3:$J$202,$A196,6)&amp;""))))</f>
        <v/>
      </c>
      <c r="P196" s="19">
        <f>IF($C196="","",IF(INDEX(인턴근무계획!$K$3:$K$202,$A196)="","",INDEX(인턴근무계획!$K$3:$K$202,$A196)))</f>
        <v/>
      </c>
    </row>
    <row r="197">
      <c r="A197" s="18" t="n">
        <v>192</v>
      </c>
      <c r="B197" s="19">
        <f>IF($C197="","",INDEX(인턴근무계획!$B$3:$B$202,$A197))</f>
        <v/>
      </c>
      <c r="C197" s="19">
        <f>IFERROR(TRIM(INDEX(인턴근무계획!$C$3:$C$202,$A197)&amp;""),"")</f>
        <v/>
      </c>
      <c r="D197" s="19">
        <f>IF($C197="","",INDEX(인턴근무계획!$D$3:$D$202,$A197))</f>
        <v/>
      </c>
      <c r="E197" s="19">
        <f>IF($C197="","",IF(IFERROR(MATCH($D197,기본자료!$B$2:$B$501,0),IFERROR(MATCH($D197&amp;"",기본자료!$B$2:$B$501,0),IFERROR(MATCH(VALUE($D197),기본자료!$B$2:$B$501,0),0)))&gt;0,"확인","미등록"))</f>
        <v/>
      </c>
      <c r="F197" s="19">
        <f>IF(OR($C197="",$F$3=""),"",IF(TRIM(INDEX(인턴근무계획!$E$3:$J$202,$A197,$F$3)&amp;"")="","",IFERROR(LEFT(TRIM(INDEX(인턴근무계획!$E$3:$J$202,$A197,$F$3)&amp;""),FIND(" ",TRIM(INDEX(인턴근무계획!$E$3:$J$202,$A197,$F$3)&amp;""))-1),TRIM(INDEX(인턴근무계획!$E$3:$J$202,$A197,$F$3)&amp;""))))</f>
        <v/>
      </c>
      <c r="G197" s="19">
        <f>IF(OR($C197="",$F$3=""),"",IF(TRIM(INDEX(인턴근무계획!$E$3:$J$202,$A197,$F$3)&amp;"")="","",IFERROR(MID(TRIM(INDEX(인턴근무계획!$E$3:$J$202,$A197,$F$3)&amp;""),FIND(" ",TRIM(INDEX(인턴근무계획!$E$3:$J$202,$A197,$F$3)&amp;""))+1,60),"")))</f>
        <v/>
      </c>
      <c r="H197" s="19">
        <f>IF(OR($C197="",$H$3=""),"",IF(TRIM(INDEX(인턴근무계획!$E$3:$J$202,$A197,$H$3)&amp;"")="","",IFERROR(LEFT(TRIM(INDEX(인턴근무계획!$E$3:$J$202,$A197,$H$3)&amp;""),FIND(" ",TRIM(INDEX(인턴근무계획!$E$3:$J$202,$A197,$H$3)&amp;""))-1),TRIM(INDEX(인턴근무계획!$E$3:$J$202,$A197,$H$3)&amp;""))))</f>
        <v/>
      </c>
      <c r="I197" s="19">
        <f>IF(OR($C197="",$H$3=""),"",IF(TRIM(INDEX(인턴근무계획!$E$3:$J$202,$A197,$H$3)&amp;"")="","",IFERROR(MID(TRIM(INDEX(인턴근무계획!$E$3:$J$202,$A197,$H$3)&amp;""),FIND(" ",TRIM(INDEX(인턴근무계획!$E$3:$J$202,$A197,$H$3)&amp;""))+1,60),"")))</f>
        <v/>
      </c>
      <c r="J197" s="19">
        <f>IF($C197="","",IF(TRIM(INDEX(인턴근무계획!$E$3:$J$202,$A197,1)&amp;"")="","",IFERROR(LEFT(TRIM(INDEX(인턴근무계획!$E$3:$J$202,$A197,1)&amp;""),FIND(" ",TRIM(INDEX(인턴근무계획!$E$3:$J$202,$A197,1)&amp;""))-1),TRIM(INDEX(인턴근무계획!$E$3:$J$202,$A197,1)&amp;""))))</f>
        <v/>
      </c>
      <c r="K197" s="19">
        <f>IF($C197="","",IF(TRIM(INDEX(인턴근무계획!$E$3:$J$202,$A197,2)&amp;"")="","",IFERROR(LEFT(TRIM(INDEX(인턴근무계획!$E$3:$J$202,$A197,2)&amp;""),FIND(" ",TRIM(INDEX(인턴근무계획!$E$3:$J$202,$A197,2)&amp;""))-1),TRIM(INDEX(인턴근무계획!$E$3:$J$202,$A197,2)&amp;""))))</f>
        <v/>
      </c>
      <c r="L197" s="19">
        <f>IF($C197="","",IF(TRIM(INDEX(인턴근무계획!$E$3:$J$202,$A197,3)&amp;"")="","",IFERROR(LEFT(TRIM(INDEX(인턴근무계획!$E$3:$J$202,$A197,3)&amp;""),FIND(" ",TRIM(INDEX(인턴근무계획!$E$3:$J$202,$A197,3)&amp;""))-1),TRIM(INDEX(인턴근무계획!$E$3:$J$202,$A197,3)&amp;""))))</f>
        <v/>
      </c>
      <c r="M197" s="19">
        <f>IF($C197="","",IF(TRIM(INDEX(인턴근무계획!$E$3:$J$202,$A197,4)&amp;"")="","",IFERROR(LEFT(TRIM(INDEX(인턴근무계획!$E$3:$J$202,$A197,4)&amp;""),FIND(" ",TRIM(INDEX(인턴근무계획!$E$3:$J$202,$A197,4)&amp;""))-1),TRIM(INDEX(인턴근무계획!$E$3:$J$202,$A197,4)&amp;""))))</f>
        <v/>
      </c>
      <c r="N197" s="19">
        <f>IF($C197="","",IF(TRIM(INDEX(인턴근무계획!$E$3:$J$202,$A197,5)&amp;"")="","",IFERROR(LEFT(TRIM(INDEX(인턴근무계획!$E$3:$J$202,$A197,5)&amp;""),FIND(" ",TRIM(INDEX(인턴근무계획!$E$3:$J$202,$A197,5)&amp;""))-1),TRIM(INDEX(인턴근무계획!$E$3:$J$202,$A197,5)&amp;""))))</f>
        <v/>
      </c>
      <c r="O197" s="19">
        <f>IF($C197="","",IF(TRIM(INDEX(인턴근무계획!$E$3:$J$202,$A197,6)&amp;"")="","",IFERROR(LEFT(TRIM(INDEX(인턴근무계획!$E$3:$J$202,$A197,6)&amp;""),FIND(" ",TRIM(INDEX(인턴근무계획!$E$3:$J$202,$A197,6)&amp;""))-1),TRIM(INDEX(인턴근무계획!$E$3:$J$202,$A197,6)&amp;""))))</f>
        <v/>
      </c>
      <c r="P197" s="19">
        <f>IF($C197="","",IF(INDEX(인턴근무계획!$K$3:$K$202,$A197)="","",INDEX(인턴근무계획!$K$3:$K$202,$A197)))</f>
        <v/>
      </c>
    </row>
    <row r="198">
      <c r="A198" s="18" t="n">
        <v>193</v>
      </c>
      <c r="B198" s="19">
        <f>IF($C198="","",INDEX(인턴근무계획!$B$3:$B$202,$A198))</f>
        <v/>
      </c>
      <c r="C198" s="19">
        <f>IFERROR(TRIM(INDEX(인턴근무계획!$C$3:$C$202,$A198)&amp;""),"")</f>
        <v/>
      </c>
      <c r="D198" s="19">
        <f>IF($C198="","",INDEX(인턴근무계획!$D$3:$D$202,$A198))</f>
        <v/>
      </c>
      <c r="E198" s="19">
        <f>IF($C198="","",IF(IFERROR(MATCH($D198,기본자료!$B$2:$B$501,0),IFERROR(MATCH($D198&amp;"",기본자료!$B$2:$B$501,0),IFERROR(MATCH(VALUE($D198),기본자료!$B$2:$B$501,0),0)))&gt;0,"확인","미등록"))</f>
        <v/>
      </c>
      <c r="F198" s="19">
        <f>IF(OR($C198="",$F$3=""),"",IF(TRIM(INDEX(인턴근무계획!$E$3:$J$202,$A198,$F$3)&amp;"")="","",IFERROR(LEFT(TRIM(INDEX(인턴근무계획!$E$3:$J$202,$A198,$F$3)&amp;""),FIND(" ",TRIM(INDEX(인턴근무계획!$E$3:$J$202,$A198,$F$3)&amp;""))-1),TRIM(INDEX(인턴근무계획!$E$3:$J$202,$A198,$F$3)&amp;""))))</f>
        <v/>
      </c>
      <c r="G198" s="19">
        <f>IF(OR($C198="",$F$3=""),"",IF(TRIM(INDEX(인턴근무계획!$E$3:$J$202,$A198,$F$3)&amp;"")="","",IFERROR(MID(TRIM(INDEX(인턴근무계획!$E$3:$J$202,$A198,$F$3)&amp;""),FIND(" ",TRIM(INDEX(인턴근무계획!$E$3:$J$202,$A198,$F$3)&amp;""))+1,60),"")))</f>
        <v/>
      </c>
      <c r="H198" s="19">
        <f>IF(OR($C198="",$H$3=""),"",IF(TRIM(INDEX(인턴근무계획!$E$3:$J$202,$A198,$H$3)&amp;"")="","",IFERROR(LEFT(TRIM(INDEX(인턴근무계획!$E$3:$J$202,$A198,$H$3)&amp;""),FIND(" ",TRIM(INDEX(인턴근무계획!$E$3:$J$202,$A198,$H$3)&amp;""))-1),TRIM(INDEX(인턴근무계획!$E$3:$J$202,$A198,$H$3)&amp;""))))</f>
        <v/>
      </c>
      <c r="I198" s="19">
        <f>IF(OR($C198="",$H$3=""),"",IF(TRIM(INDEX(인턴근무계획!$E$3:$J$202,$A198,$H$3)&amp;"")="","",IFERROR(MID(TRIM(INDEX(인턴근무계획!$E$3:$J$202,$A198,$H$3)&amp;""),FIND(" ",TRIM(INDEX(인턴근무계획!$E$3:$J$202,$A198,$H$3)&amp;""))+1,60),"")))</f>
        <v/>
      </c>
      <c r="J198" s="19">
        <f>IF($C198="","",IF(TRIM(INDEX(인턴근무계획!$E$3:$J$202,$A198,1)&amp;"")="","",IFERROR(LEFT(TRIM(INDEX(인턴근무계획!$E$3:$J$202,$A198,1)&amp;""),FIND(" ",TRIM(INDEX(인턴근무계획!$E$3:$J$202,$A198,1)&amp;""))-1),TRIM(INDEX(인턴근무계획!$E$3:$J$202,$A198,1)&amp;""))))</f>
        <v/>
      </c>
      <c r="K198" s="19">
        <f>IF($C198="","",IF(TRIM(INDEX(인턴근무계획!$E$3:$J$202,$A198,2)&amp;"")="","",IFERROR(LEFT(TRIM(INDEX(인턴근무계획!$E$3:$J$202,$A198,2)&amp;""),FIND(" ",TRIM(INDEX(인턴근무계획!$E$3:$J$202,$A198,2)&amp;""))-1),TRIM(INDEX(인턴근무계획!$E$3:$J$202,$A198,2)&amp;""))))</f>
        <v/>
      </c>
      <c r="L198" s="19">
        <f>IF($C198="","",IF(TRIM(INDEX(인턴근무계획!$E$3:$J$202,$A198,3)&amp;"")="","",IFERROR(LEFT(TRIM(INDEX(인턴근무계획!$E$3:$J$202,$A198,3)&amp;""),FIND(" ",TRIM(INDEX(인턴근무계획!$E$3:$J$202,$A198,3)&amp;""))-1),TRIM(INDEX(인턴근무계획!$E$3:$J$202,$A198,3)&amp;""))))</f>
        <v/>
      </c>
      <c r="M198" s="19">
        <f>IF($C198="","",IF(TRIM(INDEX(인턴근무계획!$E$3:$J$202,$A198,4)&amp;"")="","",IFERROR(LEFT(TRIM(INDEX(인턴근무계획!$E$3:$J$202,$A198,4)&amp;""),FIND(" ",TRIM(INDEX(인턴근무계획!$E$3:$J$202,$A198,4)&amp;""))-1),TRIM(INDEX(인턴근무계획!$E$3:$J$202,$A198,4)&amp;""))))</f>
        <v/>
      </c>
      <c r="N198" s="19">
        <f>IF($C198="","",IF(TRIM(INDEX(인턴근무계획!$E$3:$J$202,$A198,5)&amp;"")="","",IFERROR(LEFT(TRIM(INDEX(인턴근무계획!$E$3:$J$202,$A198,5)&amp;""),FIND(" ",TRIM(INDEX(인턴근무계획!$E$3:$J$202,$A198,5)&amp;""))-1),TRIM(INDEX(인턴근무계획!$E$3:$J$202,$A198,5)&amp;""))))</f>
        <v/>
      </c>
      <c r="O198" s="19">
        <f>IF($C198="","",IF(TRIM(INDEX(인턴근무계획!$E$3:$J$202,$A198,6)&amp;"")="","",IFERROR(LEFT(TRIM(INDEX(인턴근무계획!$E$3:$J$202,$A198,6)&amp;""),FIND(" ",TRIM(INDEX(인턴근무계획!$E$3:$J$202,$A198,6)&amp;""))-1),TRIM(INDEX(인턴근무계획!$E$3:$J$202,$A198,6)&amp;""))))</f>
        <v/>
      </c>
      <c r="P198" s="19">
        <f>IF($C198="","",IF(INDEX(인턴근무계획!$K$3:$K$202,$A198)="","",INDEX(인턴근무계획!$K$3:$K$202,$A198)))</f>
        <v/>
      </c>
    </row>
    <row r="199">
      <c r="A199" s="18" t="n">
        <v>194</v>
      </c>
      <c r="B199" s="19">
        <f>IF($C199="","",INDEX(인턴근무계획!$B$3:$B$202,$A199))</f>
        <v/>
      </c>
      <c r="C199" s="19">
        <f>IFERROR(TRIM(INDEX(인턴근무계획!$C$3:$C$202,$A199)&amp;""),"")</f>
        <v/>
      </c>
      <c r="D199" s="19">
        <f>IF($C199="","",INDEX(인턴근무계획!$D$3:$D$202,$A199))</f>
        <v/>
      </c>
      <c r="E199" s="19">
        <f>IF($C199="","",IF(IFERROR(MATCH($D199,기본자료!$B$2:$B$501,0),IFERROR(MATCH($D199&amp;"",기본자료!$B$2:$B$501,0),IFERROR(MATCH(VALUE($D199),기본자료!$B$2:$B$501,0),0)))&gt;0,"확인","미등록"))</f>
        <v/>
      </c>
      <c r="F199" s="19">
        <f>IF(OR($C199="",$F$3=""),"",IF(TRIM(INDEX(인턴근무계획!$E$3:$J$202,$A199,$F$3)&amp;"")="","",IFERROR(LEFT(TRIM(INDEX(인턴근무계획!$E$3:$J$202,$A199,$F$3)&amp;""),FIND(" ",TRIM(INDEX(인턴근무계획!$E$3:$J$202,$A199,$F$3)&amp;""))-1),TRIM(INDEX(인턴근무계획!$E$3:$J$202,$A199,$F$3)&amp;""))))</f>
        <v/>
      </c>
      <c r="G199" s="19">
        <f>IF(OR($C199="",$F$3=""),"",IF(TRIM(INDEX(인턴근무계획!$E$3:$J$202,$A199,$F$3)&amp;"")="","",IFERROR(MID(TRIM(INDEX(인턴근무계획!$E$3:$J$202,$A199,$F$3)&amp;""),FIND(" ",TRIM(INDEX(인턴근무계획!$E$3:$J$202,$A199,$F$3)&amp;""))+1,60),"")))</f>
        <v/>
      </c>
      <c r="H199" s="19">
        <f>IF(OR($C199="",$H$3=""),"",IF(TRIM(INDEX(인턴근무계획!$E$3:$J$202,$A199,$H$3)&amp;"")="","",IFERROR(LEFT(TRIM(INDEX(인턴근무계획!$E$3:$J$202,$A199,$H$3)&amp;""),FIND(" ",TRIM(INDEX(인턴근무계획!$E$3:$J$202,$A199,$H$3)&amp;""))-1),TRIM(INDEX(인턴근무계획!$E$3:$J$202,$A199,$H$3)&amp;""))))</f>
        <v/>
      </c>
      <c r="I199" s="19">
        <f>IF(OR($C199="",$H$3=""),"",IF(TRIM(INDEX(인턴근무계획!$E$3:$J$202,$A199,$H$3)&amp;"")="","",IFERROR(MID(TRIM(INDEX(인턴근무계획!$E$3:$J$202,$A199,$H$3)&amp;""),FIND(" ",TRIM(INDEX(인턴근무계획!$E$3:$J$202,$A199,$H$3)&amp;""))+1,60),"")))</f>
        <v/>
      </c>
      <c r="J199" s="19">
        <f>IF($C199="","",IF(TRIM(INDEX(인턴근무계획!$E$3:$J$202,$A199,1)&amp;"")="","",IFERROR(LEFT(TRIM(INDEX(인턴근무계획!$E$3:$J$202,$A199,1)&amp;""),FIND(" ",TRIM(INDEX(인턴근무계획!$E$3:$J$202,$A199,1)&amp;""))-1),TRIM(INDEX(인턴근무계획!$E$3:$J$202,$A199,1)&amp;""))))</f>
        <v/>
      </c>
      <c r="K199" s="19">
        <f>IF($C199="","",IF(TRIM(INDEX(인턴근무계획!$E$3:$J$202,$A199,2)&amp;"")="","",IFERROR(LEFT(TRIM(INDEX(인턴근무계획!$E$3:$J$202,$A199,2)&amp;""),FIND(" ",TRIM(INDEX(인턴근무계획!$E$3:$J$202,$A199,2)&amp;""))-1),TRIM(INDEX(인턴근무계획!$E$3:$J$202,$A199,2)&amp;""))))</f>
        <v/>
      </c>
      <c r="L199" s="19">
        <f>IF($C199="","",IF(TRIM(INDEX(인턴근무계획!$E$3:$J$202,$A199,3)&amp;"")="","",IFERROR(LEFT(TRIM(INDEX(인턴근무계획!$E$3:$J$202,$A199,3)&amp;""),FIND(" ",TRIM(INDEX(인턴근무계획!$E$3:$J$202,$A199,3)&amp;""))-1),TRIM(INDEX(인턴근무계획!$E$3:$J$202,$A199,3)&amp;""))))</f>
        <v/>
      </c>
      <c r="M199" s="19">
        <f>IF($C199="","",IF(TRIM(INDEX(인턴근무계획!$E$3:$J$202,$A199,4)&amp;"")="","",IFERROR(LEFT(TRIM(INDEX(인턴근무계획!$E$3:$J$202,$A199,4)&amp;""),FIND(" ",TRIM(INDEX(인턴근무계획!$E$3:$J$202,$A199,4)&amp;""))-1),TRIM(INDEX(인턴근무계획!$E$3:$J$202,$A199,4)&amp;""))))</f>
        <v/>
      </c>
      <c r="N199" s="19">
        <f>IF($C199="","",IF(TRIM(INDEX(인턴근무계획!$E$3:$J$202,$A199,5)&amp;"")="","",IFERROR(LEFT(TRIM(INDEX(인턴근무계획!$E$3:$J$202,$A199,5)&amp;""),FIND(" ",TRIM(INDEX(인턴근무계획!$E$3:$J$202,$A199,5)&amp;""))-1),TRIM(INDEX(인턴근무계획!$E$3:$J$202,$A199,5)&amp;""))))</f>
        <v/>
      </c>
      <c r="O199" s="19">
        <f>IF($C199="","",IF(TRIM(INDEX(인턴근무계획!$E$3:$J$202,$A199,6)&amp;"")="","",IFERROR(LEFT(TRIM(INDEX(인턴근무계획!$E$3:$J$202,$A199,6)&amp;""),FIND(" ",TRIM(INDEX(인턴근무계획!$E$3:$J$202,$A199,6)&amp;""))-1),TRIM(INDEX(인턴근무계획!$E$3:$J$202,$A199,6)&amp;""))))</f>
        <v/>
      </c>
      <c r="P199" s="19">
        <f>IF($C199="","",IF(INDEX(인턴근무계획!$K$3:$K$202,$A199)="","",INDEX(인턴근무계획!$K$3:$K$202,$A199)))</f>
        <v/>
      </c>
    </row>
    <row r="200">
      <c r="A200" s="18" t="n">
        <v>195</v>
      </c>
      <c r="B200" s="19">
        <f>IF($C200="","",INDEX(인턴근무계획!$B$3:$B$202,$A200))</f>
        <v/>
      </c>
      <c r="C200" s="19">
        <f>IFERROR(TRIM(INDEX(인턴근무계획!$C$3:$C$202,$A200)&amp;""),"")</f>
        <v/>
      </c>
      <c r="D200" s="19">
        <f>IF($C200="","",INDEX(인턴근무계획!$D$3:$D$202,$A200))</f>
        <v/>
      </c>
      <c r="E200" s="19">
        <f>IF($C200="","",IF(IFERROR(MATCH($D200,기본자료!$B$2:$B$501,0),IFERROR(MATCH($D200&amp;"",기본자료!$B$2:$B$501,0),IFERROR(MATCH(VALUE($D200),기본자료!$B$2:$B$501,0),0)))&gt;0,"확인","미등록"))</f>
        <v/>
      </c>
      <c r="F200" s="19">
        <f>IF(OR($C200="",$F$3=""),"",IF(TRIM(INDEX(인턴근무계획!$E$3:$J$202,$A200,$F$3)&amp;"")="","",IFERROR(LEFT(TRIM(INDEX(인턴근무계획!$E$3:$J$202,$A200,$F$3)&amp;""),FIND(" ",TRIM(INDEX(인턴근무계획!$E$3:$J$202,$A200,$F$3)&amp;""))-1),TRIM(INDEX(인턴근무계획!$E$3:$J$202,$A200,$F$3)&amp;""))))</f>
        <v/>
      </c>
      <c r="G200" s="19">
        <f>IF(OR($C200="",$F$3=""),"",IF(TRIM(INDEX(인턴근무계획!$E$3:$J$202,$A200,$F$3)&amp;"")="","",IFERROR(MID(TRIM(INDEX(인턴근무계획!$E$3:$J$202,$A200,$F$3)&amp;""),FIND(" ",TRIM(INDEX(인턴근무계획!$E$3:$J$202,$A200,$F$3)&amp;""))+1,60),"")))</f>
        <v/>
      </c>
      <c r="H200" s="19">
        <f>IF(OR($C200="",$H$3=""),"",IF(TRIM(INDEX(인턴근무계획!$E$3:$J$202,$A200,$H$3)&amp;"")="","",IFERROR(LEFT(TRIM(INDEX(인턴근무계획!$E$3:$J$202,$A200,$H$3)&amp;""),FIND(" ",TRIM(INDEX(인턴근무계획!$E$3:$J$202,$A200,$H$3)&amp;""))-1),TRIM(INDEX(인턴근무계획!$E$3:$J$202,$A200,$H$3)&amp;""))))</f>
        <v/>
      </c>
      <c r="I200" s="19">
        <f>IF(OR($C200="",$H$3=""),"",IF(TRIM(INDEX(인턴근무계획!$E$3:$J$202,$A200,$H$3)&amp;"")="","",IFERROR(MID(TRIM(INDEX(인턴근무계획!$E$3:$J$202,$A200,$H$3)&amp;""),FIND(" ",TRIM(INDEX(인턴근무계획!$E$3:$J$202,$A200,$H$3)&amp;""))+1,60),"")))</f>
        <v/>
      </c>
      <c r="J200" s="19">
        <f>IF($C200="","",IF(TRIM(INDEX(인턴근무계획!$E$3:$J$202,$A200,1)&amp;"")="","",IFERROR(LEFT(TRIM(INDEX(인턴근무계획!$E$3:$J$202,$A200,1)&amp;""),FIND(" ",TRIM(INDEX(인턴근무계획!$E$3:$J$202,$A200,1)&amp;""))-1),TRIM(INDEX(인턴근무계획!$E$3:$J$202,$A200,1)&amp;""))))</f>
        <v/>
      </c>
      <c r="K200" s="19">
        <f>IF($C200="","",IF(TRIM(INDEX(인턴근무계획!$E$3:$J$202,$A200,2)&amp;"")="","",IFERROR(LEFT(TRIM(INDEX(인턴근무계획!$E$3:$J$202,$A200,2)&amp;""),FIND(" ",TRIM(INDEX(인턴근무계획!$E$3:$J$202,$A200,2)&amp;""))-1),TRIM(INDEX(인턴근무계획!$E$3:$J$202,$A200,2)&amp;""))))</f>
        <v/>
      </c>
      <c r="L200" s="19">
        <f>IF($C200="","",IF(TRIM(INDEX(인턴근무계획!$E$3:$J$202,$A200,3)&amp;"")="","",IFERROR(LEFT(TRIM(INDEX(인턴근무계획!$E$3:$J$202,$A200,3)&amp;""),FIND(" ",TRIM(INDEX(인턴근무계획!$E$3:$J$202,$A200,3)&amp;""))-1),TRIM(INDEX(인턴근무계획!$E$3:$J$202,$A200,3)&amp;""))))</f>
        <v/>
      </c>
      <c r="M200" s="19">
        <f>IF($C200="","",IF(TRIM(INDEX(인턴근무계획!$E$3:$J$202,$A200,4)&amp;"")="","",IFERROR(LEFT(TRIM(INDEX(인턴근무계획!$E$3:$J$202,$A200,4)&amp;""),FIND(" ",TRIM(INDEX(인턴근무계획!$E$3:$J$202,$A200,4)&amp;""))-1),TRIM(INDEX(인턴근무계획!$E$3:$J$202,$A200,4)&amp;""))))</f>
        <v/>
      </c>
      <c r="N200" s="19">
        <f>IF($C200="","",IF(TRIM(INDEX(인턴근무계획!$E$3:$J$202,$A200,5)&amp;"")="","",IFERROR(LEFT(TRIM(INDEX(인턴근무계획!$E$3:$J$202,$A200,5)&amp;""),FIND(" ",TRIM(INDEX(인턴근무계획!$E$3:$J$202,$A200,5)&amp;""))-1),TRIM(INDEX(인턴근무계획!$E$3:$J$202,$A200,5)&amp;""))))</f>
        <v/>
      </c>
      <c r="O200" s="19">
        <f>IF($C200="","",IF(TRIM(INDEX(인턴근무계획!$E$3:$J$202,$A200,6)&amp;"")="","",IFERROR(LEFT(TRIM(INDEX(인턴근무계획!$E$3:$J$202,$A200,6)&amp;""),FIND(" ",TRIM(INDEX(인턴근무계획!$E$3:$J$202,$A200,6)&amp;""))-1),TRIM(INDEX(인턴근무계획!$E$3:$J$202,$A200,6)&amp;""))))</f>
        <v/>
      </c>
      <c r="P200" s="19">
        <f>IF($C200="","",IF(INDEX(인턴근무계획!$K$3:$K$202,$A200)="","",INDEX(인턴근무계획!$K$3:$K$202,$A200)))</f>
        <v/>
      </c>
    </row>
    <row r="201">
      <c r="A201" s="18" t="n">
        <v>196</v>
      </c>
      <c r="B201" s="19">
        <f>IF($C201="","",INDEX(인턴근무계획!$B$3:$B$202,$A201))</f>
        <v/>
      </c>
      <c r="C201" s="19">
        <f>IFERROR(TRIM(INDEX(인턴근무계획!$C$3:$C$202,$A201)&amp;""),"")</f>
        <v/>
      </c>
      <c r="D201" s="19">
        <f>IF($C201="","",INDEX(인턴근무계획!$D$3:$D$202,$A201))</f>
        <v/>
      </c>
      <c r="E201" s="19">
        <f>IF($C201="","",IF(IFERROR(MATCH($D201,기본자료!$B$2:$B$501,0),IFERROR(MATCH($D201&amp;"",기본자료!$B$2:$B$501,0),IFERROR(MATCH(VALUE($D201),기본자료!$B$2:$B$501,0),0)))&gt;0,"확인","미등록"))</f>
        <v/>
      </c>
      <c r="F201" s="19">
        <f>IF(OR($C201="",$F$3=""),"",IF(TRIM(INDEX(인턴근무계획!$E$3:$J$202,$A201,$F$3)&amp;"")="","",IFERROR(LEFT(TRIM(INDEX(인턴근무계획!$E$3:$J$202,$A201,$F$3)&amp;""),FIND(" ",TRIM(INDEX(인턴근무계획!$E$3:$J$202,$A201,$F$3)&amp;""))-1),TRIM(INDEX(인턴근무계획!$E$3:$J$202,$A201,$F$3)&amp;""))))</f>
        <v/>
      </c>
      <c r="G201" s="19">
        <f>IF(OR($C201="",$F$3=""),"",IF(TRIM(INDEX(인턴근무계획!$E$3:$J$202,$A201,$F$3)&amp;"")="","",IFERROR(MID(TRIM(INDEX(인턴근무계획!$E$3:$J$202,$A201,$F$3)&amp;""),FIND(" ",TRIM(INDEX(인턴근무계획!$E$3:$J$202,$A201,$F$3)&amp;""))+1,60),"")))</f>
        <v/>
      </c>
      <c r="H201" s="19">
        <f>IF(OR($C201="",$H$3=""),"",IF(TRIM(INDEX(인턴근무계획!$E$3:$J$202,$A201,$H$3)&amp;"")="","",IFERROR(LEFT(TRIM(INDEX(인턴근무계획!$E$3:$J$202,$A201,$H$3)&amp;""),FIND(" ",TRIM(INDEX(인턴근무계획!$E$3:$J$202,$A201,$H$3)&amp;""))-1),TRIM(INDEX(인턴근무계획!$E$3:$J$202,$A201,$H$3)&amp;""))))</f>
        <v/>
      </c>
      <c r="I201" s="19">
        <f>IF(OR($C201="",$H$3=""),"",IF(TRIM(INDEX(인턴근무계획!$E$3:$J$202,$A201,$H$3)&amp;"")="","",IFERROR(MID(TRIM(INDEX(인턴근무계획!$E$3:$J$202,$A201,$H$3)&amp;""),FIND(" ",TRIM(INDEX(인턴근무계획!$E$3:$J$202,$A201,$H$3)&amp;""))+1,60),"")))</f>
        <v/>
      </c>
      <c r="J201" s="19">
        <f>IF($C201="","",IF(TRIM(INDEX(인턴근무계획!$E$3:$J$202,$A201,1)&amp;"")="","",IFERROR(LEFT(TRIM(INDEX(인턴근무계획!$E$3:$J$202,$A201,1)&amp;""),FIND(" ",TRIM(INDEX(인턴근무계획!$E$3:$J$202,$A201,1)&amp;""))-1),TRIM(INDEX(인턴근무계획!$E$3:$J$202,$A201,1)&amp;""))))</f>
        <v/>
      </c>
      <c r="K201" s="19">
        <f>IF($C201="","",IF(TRIM(INDEX(인턴근무계획!$E$3:$J$202,$A201,2)&amp;"")="","",IFERROR(LEFT(TRIM(INDEX(인턴근무계획!$E$3:$J$202,$A201,2)&amp;""),FIND(" ",TRIM(INDEX(인턴근무계획!$E$3:$J$202,$A201,2)&amp;""))-1),TRIM(INDEX(인턴근무계획!$E$3:$J$202,$A201,2)&amp;""))))</f>
        <v/>
      </c>
      <c r="L201" s="19">
        <f>IF($C201="","",IF(TRIM(INDEX(인턴근무계획!$E$3:$J$202,$A201,3)&amp;"")="","",IFERROR(LEFT(TRIM(INDEX(인턴근무계획!$E$3:$J$202,$A201,3)&amp;""),FIND(" ",TRIM(INDEX(인턴근무계획!$E$3:$J$202,$A201,3)&amp;""))-1),TRIM(INDEX(인턴근무계획!$E$3:$J$202,$A201,3)&amp;""))))</f>
        <v/>
      </c>
      <c r="M201" s="19">
        <f>IF($C201="","",IF(TRIM(INDEX(인턴근무계획!$E$3:$J$202,$A201,4)&amp;"")="","",IFERROR(LEFT(TRIM(INDEX(인턴근무계획!$E$3:$J$202,$A201,4)&amp;""),FIND(" ",TRIM(INDEX(인턴근무계획!$E$3:$J$202,$A201,4)&amp;""))-1),TRIM(INDEX(인턴근무계획!$E$3:$J$202,$A201,4)&amp;""))))</f>
        <v/>
      </c>
      <c r="N201" s="19">
        <f>IF($C201="","",IF(TRIM(INDEX(인턴근무계획!$E$3:$J$202,$A201,5)&amp;"")="","",IFERROR(LEFT(TRIM(INDEX(인턴근무계획!$E$3:$J$202,$A201,5)&amp;""),FIND(" ",TRIM(INDEX(인턴근무계획!$E$3:$J$202,$A201,5)&amp;""))-1),TRIM(INDEX(인턴근무계획!$E$3:$J$202,$A201,5)&amp;""))))</f>
        <v/>
      </c>
      <c r="O201" s="19">
        <f>IF($C201="","",IF(TRIM(INDEX(인턴근무계획!$E$3:$J$202,$A201,6)&amp;"")="","",IFERROR(LEFT(TRIM(INDEX(인턴근무계획!$E$3:$J$202,$A201,6)&amp;""),FIND(" ",TRIM(INDEX(인턴근무계획!$E$3:$J$202,$A201,6)&amp;""))-1),TRIM(INDEX(인턴근무계획!$E$3:$J$202,$A201,6)&amp;""))))</f>
        <v/>
      </c>
      <c r="P201" s="19">
        <f>IF($C201="","",IF(INDEX(인턴근무계획!$K$3:$K$202,$A201)="","",INDEX(인턴근무계획!$K$3:$K$202,$A201)))</f>
        <v/>
      </c>
    </row>
    <row r="202">
      <c r="A202" s="18" t="n">
        <v>197</v>
      </c>
      <c r="B202" s="19">
        <f>IF($C202="","",INDEX(인턴근무계획!$B$3:$B$202,$A202))</f>
        <v/>
      </c>
      <c r="C202" s="19">
        <f>IFERROR(TRIM(INDEX(인턴근무계획!$C$3:$C$202,$A202)&amp;""),"")</f>
        <v/>
      </c>
      <c r="D202" s="19">
        <f>IF($C202="","",INDEX(인턴근무계획!$D$3:$D$202,$A202))</f>
        <v/>
      </c>
      <c r="E202" s="19">
        <f>IF($C202="","",IF(IFERROR(MATCH($D202,기본자료!$B$2:$B$501,0),IFERROR(MATCH($D202&amp;"",기본자료!$B$2:$B$501,0),IFERROR(MATCH(VALUE($D202),기본자료!$B$2:$B$501,0),0)))&gt;0,"확인","미등록"))</f>
        <v/>
      </c>
      <c r="F202" s="19">
        <f>IF(OR($C202="",$F$3=""),"",IF(TRIM(INDEX(인턴근무계획!$E$3:$J$202,$A202,$F$3)&amp;"")="","",IFERROR(LEFT(TRIM(INDEX(인턴근무계획!$E$3:$J$202,$A202,$F$3)&amp;""),FIND(" ",TRIM(INDEX(인턴근무계획!$E$3:$J$202,$A202,$F$3)&amp;""))-1),TRIM(INDEX(인턴근무계획!$E$3:$J$202,$A202,$F$3)&amp;""))))</f>
        <v/>
      </c>
      <c r="G202" s="19">
        <f>IF(OR($C202="",$F$3=""),"",IF(TRIM(INDEX(인턴근무계획!$E$3:$J$202,$A202,$F$3)&amp;"")="","",IFERROR(MID(TRIM(INDEX(인턴근무계획!$E$3:$J$202,$A202,$F$3)&amp;""),FIND(" ",TRIM(INDEX(인턴근무계획!$E$3:$J$202,$A202,$F$3)&amp;""))+1,60),"")))</f>
        <v/>
      </c>
      <c r="H202" s="19">
        <f>IF(OR($C202="",$H$3=""),"",IF(TRIM(INDEX(인턴근무계획!$E$3:$J$202,$A202,$H$3)&amp;"")="","",IFERROR(LEFT(TRIM(INDEX(인턴근무계획!$E$3:$J$202,$A202,$H$3)&amp;""),FIND(" ",TRIM(INDEX(인턴근무계획!$E$3:$J$202,$A202,$H$3)&amp;""))-1),TRIM(INDEX(인턴근무계획!$E$3:$J$202,$A202,$H$3)&amp;""))))</f>
        <v/>
      </c>
      <c r="I202" s="19">
        <f>IF(OR($C202="",$H$3=""),"",IF(TRIM(INDEX(인턴근무계획!$E$3:$J$202,$A202,$H$3)&amp;"")="","",IFERROR(MID(TRIM(INDEX(인턴근무계획!$E$3:$J$202,$A202,$H$3)&amp;""),FIND(" ",TRIM(INDEX(인턴근무계획!$E$3:$J$202,$A202,$H$3)&amp;""))+1,60),"")))</f>
        <v/>
      </c>
      <c r="J202" s="19">
        <f>IF($C202="","",IF(TRIM(INDEX(인턴근무계획!$E$3:$J$202,$A202,1)&amp;"")="","",IFERROR(LEFT(TRIM(INDEX(인턴근무계획!$E$3:$J$202,$A202,1)&amp;""),FIND(" ",TRIM(INDEX(인턴근무계획!$E$3:$J$202,$A202,1)&amp;""))-1),TRIM(INDEX(인턴근무계획!$E$3:$J$202,$A202,1)&amp;""))))</f>
        <v/>
      </c>
      <c r="K202" s="19">
        <f>IF($C202="","",IF(TRIM(INDEX(인턴근무계획!$E$3:$J$202,$A202,2)&amp;"")="","",IFERROR(LEFT(TRIM(INDEX(인턴근무계획!$E$3:$J$202,$A202,2)&amp;""),FIND(" ",TRIM(INDEX(인턴근무계획!$E$3:$J$202,$A202,2)&amp;""))-1),TRIM(INDEX(인턴근무계획!$E$3:$J$202,$A202,2)&amp;""))))</f>
        <v/>
      </c>
      <c r="L202" s="19">
        <f>IF($C202="","",IF(TRIM(INDEX(인턴근무계획!$E$3:$J$202,$A202,3)&amp;"")="","",IFERROR(LEFT(TRIM(INDEX(인턴근무계획!$E$3:$J$202,$A202,3)&amp;""),FIND(" ",TRIM(INDEX(인턴근무계획!$E$3:$J$202,$A202,3)&amp;""))-1),TRIM(INDEX(인턴근무계획!$E$3:$J$202,$A202,3)&amp;""))))</f>
        <v/>
      </c>
      <c r="M202" s="19">
        <f>IF($C202="","",IF(TRIM(INDEX(인턴근무계획!$E$3:$J$202,$A202,4)&amp;"")="","",IFERROR(LEFT(TRIM(INDEX(인턴근무계획!$E$3:$J$202,$A202,4)&amp;""),FIND(" ",TRIM(INDEX(인턴근무계획!$E$3:$J$202,$A202,4)&amp;""))-1),TRIM(INDEX(인턴근무계획!$E$3:$J$202,$A202,4)&amp;""))))</f>
        <v/>
      </c>
      <c r="N202" s="19">
        <f>IF($C202="","",IF(TRIM(INDEX(인턴근무계획!$E$3:$J$202,$A202,5)&amp;"")="","",IFERROR(LEFT(TRIM(INDEX(인턴근무계획!$E$3:$J$202,$A202,5)&amp;""),FIND(" ",TRIM(INDEX(인턴근무계획!$E$3:$J$202,$A202,5)&amp;""))-1),TRIM(INDEX(인턴근무계획!$E$3:$J$202,$A202,5)&amp;""))))</f>
        <v/>
      </c>
      <c r="O202" s="19">
        <f>IF($C202="","",IF(TRIM(INDEX(인턴근무계획!$E$3:$J$202,$A202,6)&amp;"")="","",IFERROR(LEFT(TRIM(INDEX(인턴근무계획!$E$3:$J$202,$A202,6)&amp;""),FIND(" ",TRIM(INDEX(인턴근무계획!$E$3:$J$202,$A202,6)&amp;""))-1),TRIM(INDEX(인턴근무계획!$E$3:$J$202,$A202,6)&amp;""))))</f>
        <v/>
      </c>
      <c r="P202" s="19">
        <f>IF($C202="","",IF(INDEX(인턴근무계획!$K$3:$K$202,$A202)="","",INDEX(인턴근무계획!$K$3:$K$202,$A202)))</f>
        <v/>
      </c>
    </row>
    <row r="203">
      <c r="A203" s="18" t="n">
        <v>198</v>
      </c>
      <c r="B203" s="19">
        <f>IF($C203="","",INDEX(인턴근무계획!$B$3:$B$202,$A203))</f>
        <v/>
      </c>
      <c r="C203" s="19">
        <f>IFERROR(TRIM(INDEX(인턴근무계획!$C$3:$C$202,$A203)&amp;""),"")</f>
        <v/>
      </c>
      <c r="D203" s="19">
        <f>IF($C203="","",INDEX(인턴근무계획!$D$3:$D$202,$A203))</f>
        <v/>
      </c>
      <c r="E203" s="19">
        <f>IF($C203="","",IF(IFERROR(MATCH($D203,기본자료!$B$2:$B$501,0),IFERROR(MATCH($D203&amp;"",기본자료!$B$2:$B$501,0),IFERROR(MATCH(VALUE($D203),기본자료!$B$2:$B$501,0),0)))&gt;0,"확인","미등록"))</f>
        <v/>
      </c>
      <c r="F203" s="19">
        <f>IF(OR($C203="",$F$3=""),"",IF(TRIM(INDEX(인턴근무계획!$E$3:$J$202,$A203,$F$3)&amp;"")="","",IFERROR(LEFT(TRIM(INDEX(인턴근무계획!$E$3:$J$202,$A203,$F$3)&amp;""),FIND(" ",TRIM(INDEX(인턴근무계획!$E$3:$J$202,$A203,$F$3)&amp;""))-1),TRIM(INDEX(인턴근무계획!$E$3:$J$202,$A203,$F$3)&amp;""))))</f>
        <v/>
      </c>
      <c r="G203" s="19">
        <f>IF(OR($C203="",$F$3=""),"",IF(TRIM(INDEX(인턴근무계획!$E$3:$J$202,$A203,$F$3)&amp;"")="","",IFERROR(MID(TRIM(INDEX(인턴근무계획!$E$3:$J$202,$A203,$F$3)&amp;""),FIND(" ",TRIM(INDEX(인턴근무계획!$E$3:$J$202,$A203,$F$3)&amp;""))+1,60),"")))</f>
        <v/>
      </c>
      <c r="H203" s="19">
        <f>IF(OR($C203="",$H$3=""),"",IF(TRIM(INDEX(인턴근무계획!$E$3:$J$202,$A203,$H$3)&amp;"")="","",IFERROR(LEFT(TRIM(INDEX(인턴근무계획!$E$3:$J$202,$A203,$H$3)&amp;""),FIND(" ",TRIM(INDEX(인턴근무계획!$E$3:$J$202,$A203,$H$3)&amp;""))-1),TRIM(INDEX(인턴근무계획!$E$3:$J$202,$A203,$H$3)&amp;""))))</f>
        <v/>
      </c>
      <c r="I203" s="19">
        <f>IF(OR($C203="",$H$3=""),"",IF(TRIM(INDEX(인턴근무계획!$E$3:$J$202,$A203,$H$3)&amp;"")="","",IFERROR(MID(TRIM(INDEX(인턴근무계획!$E$3:$J$202,$A203,$H$3)&amp;""),FIND(" ",TRIM(INDEX(인턴근무계획!$E$3:$J$202,$A203,$H$3)&amp;""))+1,60),"")))</f>
        <v/>
      </c>
      <c r="J203" s="19">
        <f>IF($C203="","",IF(TRIM(INDEX(인턴근무계획!$E$3:$J$202,$A203,1)&amp;"")="","",IFERROR(LEFT(TRIM(INDEX(인턴근무계획!$E$3:$J$202,$A203,1)&amp;""),FIND(" ",TRIM(INDEX(인턴근무계획!$E$3:$J$202,$A203,1)&amp;""))-1),TRIM(INDEX(인턴근무계획!$E$3:$J$202,$A203,1)&amp;""))))</f>
        <v/>
      </c>
      <c r="K203" s="19">
        <f>IF($C203="","",IF(TRIM(INDEX(인턴근무계획!$E$3:$J$202,$A203,2)&amp;"")="","",IFERROR(LEFT(TRIM(INDEX(인턴근무계획!$E$3:$J$202,$A203,2)&amp;""),FIND(" ",TRIM(INDEX(인턴근무계획!$E$3:$J$202,$A203,2)&amp;""))-1),TRIM(INDEX(인턴근무계획!$E$3:$J$202,$A203,2)&amp;""))))</f>
        <v/>
      </c>
      <c r="L203" s="19">
        <f>IF($C203="","",IF(TRIM(INDEX(인턴근무계획!$E$3:$J$202,$A203,3)&amp;"")="","",IFERROR(LEFT(TRIM(INDEX(인턴근무계획!$E$3:$J$202,$A203,3)&amp;""),FIND(" ",TRIM(INDEX(인턴근무계획!$E$3:$J$202,$A203,3)&amp;""))-1),TRIM(INDEX(인턴근무계획!$E$3:$J$202,$A203,3)&amp;""))))</f>
        <v/>
      </c>
      <c r="M203" s="19">
        <f>IF($C203="","",IF(TRIM(INDEX(인턴근무계획!$E$3:$J$202,$A203,4)&amp;"")="","",IFERROR(LEFT(TRIM(INDEX(인턴근무계획!$E$3:$J$202,$A203,4)&amp;""),FIND(" ",TRIM(INDEX(인턴근무계획!$E$3:$J$202,$A203,4)&amp;""))-1),TRIM(INDEX(인턴근무계획!$E$3:$J$202,$A203,4)&amp;""))))</f>
        <v/>
      </c>
      <c r="N203" s="19">
        <f>IF($C203="","",IF(TRIM(INDEX(인턴근무계획!$E$3:$J$202,$A203,5)&amp;"")="","",IFERROR(LEFT(TRIM(INDEX(인턴근무계획!$E$3:$J$202,$A203,5)&amp;""),FIND(" ",TRIM(INDEX(인턴근무계획!$E$3:$J$202,$A203,5)&amp;""))-1),TRIM(INDEX(인턴근무계획!$E$3:$J$202,$A203,5)&amp;""))))</f>
        <v/>
      </c>
      <c r="O203" s="19">
        <f>IF($C203="","",IF(TRIM(INDEX(인턴근무계획!$E$3:$J$202,$A203,6)&amp;"")="","",IFERROR(LEFT(TRIM(INDEX(인턴근무계획!$E$3:$J$202,$A203,6)&amp;""),FIND(" ",TRIM(INDEX(인턴근무계획!$E$3:$J$202,$A203,6)&amp;""))-1),TRIM(INDEX(인턴근무계획!$E$3:$J$202,$A203,6)&amp;""))))</f>
        <v/>
      </c>
      <c r="P203" s="19">
        <f>IF($C203="","",IF(INDEX(인턴근무계획!$K$3:$K$202,$A203)="","",INDEX(인턴근무계획!$K$3:$K$202,$A203)))</f>
        <v/>
      </c>
    </row>
    <row r="204">
      <c r="A204" s="18" t="n">
        <v>199</v>
      </c>
      <c r="B204" s="19">
        <f>IF($C204="","",INDEX(인턴근무계획!$B$3:$B$202,$A204))</f>
        <v/>
      </c>
      <c r="C204" s="19">
        <f>IFERROR(TRIM(INDEX(인턴근무계획!$C$3:$C$202,$A204)&amp;""),"")</f>
        <v/>
      </c>
      <c r="D204" s="19">
        <f>IF($C204="","",INDEX(인턴근무계획!$D$3:$D$202,$A204))</f>
        <v/>
      </c>
      <c r="E204" s="19">
        <f>IF($C204="","",IF(IFERROR(MATCH($D204,기본자료!$B$2:$B$501,0),IFERROR(MATCH($D204&amp;"",기본자료!$B$2:$B$501,0),IFERROR(MATCH(VALUE($D204),기본자료!$B$2:$B$501,0),0)))&gt;0,"확인","미등록"))</f>
        <v/>
      </c>
      <c r="F204" s="19">
        <f>IF(OR($C204="",$F$3=""),"",IF(TRIM(INDEX(인턴근무계획!$E$3:$J$202,$A204,$F$3)&amp;"")="","",IFERROR(LEFT(TRIM(INDEX(인턴근무계획!$E$3:$J$202,$A204,$F$3)&amp;""),FIND(" ",TRIM(INDEX(인턴근무계획!$E$3:$J$202,$A204,$F$3)&amp;""))-1),TRIM(INDEX(인턴근무계획!$E$3:$J$202,$A204,$F$3)&amp;""))))</f>
        <v/>
      </c>
      <c r="G204" s="19">
        <f>IF(OR($C204="",$F$3=""),"",IF(TRIM(INDEX(인턴근무계획!$E$3:$J$202,$A204,$F$3)&amp;"")="","",IFERROR(MID(TRIM(INDEX(인턴근무계획!$E$3:$J$202,$A204,$F$3)&amp;""),FIND(" ",TRIM(INDEX(인턴근무계획!$E$3:$J$202,$A204,$F$3)&amp;""))+1,60),"")))</f>
        <v/>
      </c>
      <c r="H204" s="19">
        <f>IF(OR($C204="",$H$3=""),"",IF(TRIM(INDEX(인턴근무계획!$E$3:$J$202,$A204,$H$3)&amp;"")="","",IFERROR(LEFT(TRIM(INDEX(인턴근무계획!$E$3:$J$202,$A204,$H$3)&amp;""),FIND(" ",TRIM(INDEX(인턴근무계획!$E$3:$J$202,$A204,$H$3)&amp;""))-1),TRIM(INDEX(인턴근무계획!$E$3:$J$202,$A204,$H$3)&amp;""))))</f>
        <v/>
      </c>
      <c r="I204" s="19">
        <f>IF(OR($C204="",$H$3=""),"",IF(TRIM(INDEX(인턴근무계획!$E$3:$J$202,$A204,$H$3)&amp;"")="","",IFERROR(MID(TRIM(INDEX(인턴근무계획!$E$3:$J$202,$A204,$H$3)&amp;""),FIND(" ",TRIM(INDEX(인턴근무계획!$E$3:$J$202,$A204,$H$3)&amp;""))+1,60),"")))</f>
        <v/>
      </c>
      <c r="J204" s="19">
        <f>IF($C204="","",IF(TRIM(INDEX(인턴근무계획!$E$3:$J$202,$A204,1)&amp;"")="","",IFERROR(LEFT(TRIM(INDEX(인턴근무계획!$E$3:$J$202,$A204,1)&amp;""),FIND(" ",TRIM(INDEX(인턴근무계획!$E$3:$J$202,$A204,1)&amp;""))-1),TRIM(INDEX(인턴근무계획!$E$3:$J$202,$A204,1)&amp;""))))</f>
        <v/>
      </c>
      <c r="K204" s="19">
        <f>IF($C204="","",IF(TRIM(INDEX(인턴근무계획!$E$3:$J$202,$A204,2)&amp;"")="","",IFERROR(LEFT(TRIM(INDEX(인턴근무계획!$E$3:$J$202,$A204,2)&amp;""),FIND(" ",TRIM(INDEX(인턴근무계획!$E$3:$J$202,$A204,2)&amp;""))-1),TRIM(INDEX(인턴근무계획!$E$3:$J$202,$A204,2)&amp;""))))</f>
        <v/>
      </c>
      <c r="L204" s="19">
        <f>IF($C204="","",IF(TRIM(INDEX(인턴근무계획!$E$3:$J$202,$A204,3)&amp;"")="","",IFERROR(LEFT(TRIM(INDEX(인턴근무계획!$E$3:$J$202,$A204,3)&amp;""),FIND(" ",TRIM(INDEX(인턴근무계획!$E$3:$J$202,$A204,3)&amp;""))-1),TRIM(INDEX(인턴근무계획!$E$3:$J$202,$A204,3)&amp;""))))</f>
        <v/>
      </c>
      <c r="M204" s="19">
        <f>IF($C204="","",IF(TRIM(INDEX(인턴근무계획!$E$3:$J$202,$A204,4)&amp;"")="","",IFERROR(LEFT(TRIM(INDEX(인턴근무계획!$E$3:$J$202,$A204,4)&amp;""),FIND(" ",TRIM(INDEX(인턴근무계획!$E$3:$J$202,$A204,4)&amp;""))-1),TRIM(INDEX(인턴근무계획!$E$3:$J$202,$A204,4)&amp;""))))</f>
        <v/>
      </c>
      <c r="N204" s="19">
        <f>IF($C204="","",IF(TRIM(INDEX(인턴근무계획!$E$3:$J$202,$A204,5)&amp;"")="","",IFERROR(LEFT(TRIM(INDEX(인턴근무계획!$E$3:$J$202,$A204,5)&amp;""),FIND(" ",TRIM(INDEX(인턴근무계획!$E$3:$J$202,$A204,5)&amp;""))-1),TRIM(INDEX(인턴근무계획!$E$3:$J$202,$A204,5)&amp;""))))</f>
        <v/>
      </c>
      <c r="O204" s="19">
        <f>IF($C204="","",IF(TRIM(INDEX(인턴근무계획!$E$3:$J$202,$A204,6)&amp;"")="","",IFERROR(LEFT(TRIM(INDEX(인턴근무계획!$E$3:$J$202,$A204,6)&amp;""),FIND(" ",TRIM(INDEX(인턴근무계획!$E$3:$J$202,$A204,6)&amp;""))-1),TRIM(INDEX(인턴근무계획!$E$3:$J$202,$A204,6)&amp;""))))</f>
        <v/>
      </c>
      <c r="P204" s="19">
        <f>IF($C204="","",IF(INDEX(인턴근무계획!$K$3:$K$202,$A204)="","",INDEX(인턴근무계획!$K$3:$K$202,$A204)))</f>
        <v/>
      </c>
    </row>
    <row r="205">
      <c r="A205" s="18" t="n">
        <v>200</v>
      </c>
      <c r="B205" s="19">
        <f>IF($C205="","",INDEX(인턴근무계획!$B$3:$B$202,$A205))</f>
        <v/>
      </c>
      <c r="C205" s="19">
        <f>IFERROR(TRIM(INDEX(인턴근무계획!$C$3:$C$202,$A205)&amp;""),"")</f>
        <v/>
      </c>
      <c r="D205" s="19">
        <f>IF($C205="","",INDEX(인턴근무계획!$D$3:$D$202,$A205))</f>
        <v/>
      </c>
      <c r="E205" s="19">
        <f>IF($C205="","",IF(IFERROR(MATCH($D205,기본자료!$B$2:$B$501,0),IFERROR(MATCH($D205&amp;"",기본자료!$B$2:$B$501,0),IFERROR(MATCH(VALUE($D205),기본자료!$B$2:$B$501,0),0)))&gt;0,"확인","미등록"))</f>
        <v/>
      </c>
      <c r="F205" s="19">
        <f>IF(OR($C205="",$F$3=""),"",IF(TRIM(INDEX(인턴근무계획!$E$3:$J$202,$A205,$F$3)&amp;"")="","",IFERROR(LEFT(TRIM(INDEX(인턴근무계획!$E$3:$J$202,$A205,$F$3)&amp;""),FIND(" ",TRIM(INDEX(인턴근무계획!$E$3:$J$202,$A205,$F$3)&amp;""))-1),TRIM(INDEX(인턴근무계획!$E$3:$J$202,$A205,$F$3)&amp;""))))</f>
        <v/>
      </c>
      <c r="G205" s="19">
        <f>IF(OR($C205="",$F$3=""),"",IF(TRIM(INDEX(인턴근무계획!$E$3:$J$202,$A205,$F$3)&amp;"")="","",IFERROR(MID(TRIM(INDEX(인턴근무계획!$E$3:$J$202,$A205,$F$3)&amp;""),FIND(" ",TRIM(INDEX(인턴근무계획!$E$3:$J$202,$A205,$F$3)&amp;""))+1,60),"")))</f>
        <v/>
      </c>
      <c r="H205" s="19">
        <f>IF(OR($C205="",$H$3=""),"",IF(TRIM(INDEX(인턴근무계획!$E$3:$J$202,$A205,$H$3)&amp;"")="","",IFERROR(LEFT(TRIM(INDEX(인턴근무계획!$E$3:$J$202,$A205,$H$3)&amp;""),FIND(" ",TRIM(INDEX(인턴근무계획!$E$3:$J$202,$A205,$H$3)&amp;""))-1),TRIM(INDEX(인턴근무계획!$E$3:$J$202,$A205,$H$3)&amp;""))))</f>
        <v/>
      </c>
      <c r="I205" s="19">
        <f>IF(OR($C205="",$H$3=""),"",IF(TRIM(INDEX(인턴근무계획!$E$3:$J$202,$A205,$H$3)&amp;"")="","",IFERROR(MID(TRIM(INDEX(인턴근무계획!$E$3:$J$202,$A205,$H$3)&amp;""),FIND(" ",TRIM(INDEX(인턴근무계획!$E$3:$J$202,$A205,$H$3)&amp;""))+1,60),"")))</f>
        <v/>
      </c>
      <c r="J205" s="19">
        <f>IF($C205="","",IF(TRIM(INDEX(인턴근무계획!$E$3:$J$202,$A205,1)&amp;"")="","",IFERROR(LEFT(TRIM(INDEX(인턴근무계획!$E$3:$J$202,$A205,1)&amp;""),FIND(" ",TRIM(INDEX(인턴근무계획!$E$3:$J$202,$A205,1)&amp;""))-1),TRIM(INDEX(인턴근무계획!$E$3:$J$202,$A205,1)&amp;""))))</f>
        <v/>
      </c>
      <c r="K205" s="19">
        <f>IF($C205="","",IF(TRIM(INDEX(인턴근무계획!$E$3:$J$202,$A205,2)&amp;"")="","",IFERROR(LEFT(TRIM(INDEX(인턴근무계획!$E$3:$J$202,$A205,2)&amp;""),FIND(" ",TRIM(INDEX(인턴근무계획!$E$3:$J$202,$A205,2)&amp;""))-1),TRIM(INDEX(인턴근무계획!$E$3:$J$202,$A205,2)&amp;""))))</f>
        <v/>
      </c>
      <c r="L205" s="19">
        <f>IF($C205="","",IF(TRIM(INDEX(인턴근무계획!$E$3:$J$202,$A205,3)&amp;"")="","",IFERROR(LEFT(TRIM(INDEX(인턴근무계획!$E$3:$J$202,$A205,3)&amp;""),FIND(" ",TRIM(INDEX(인턴근무계획!$E$3:$J$202,$A205,3)&amp;""))-1),TRIM(INDEX(인턴근무계획!$E$3:$J$202,$A205,3)&amp;""))))</f>
        <v/>
      </c>
      <c r="M205" s="19">
        <f>IF($C205="","",IF(TRIM(INDEX(인턴근무계획!$E$3:$J$202,$A205,4)&amp;"")="","",IFERROR(LEFT(TRIM(INDEX(인턴근무계획!$E$3:$J$202,$A205,4)&amp;""),FIND(" ",TRIM(INDEX(인턴근무계획!$E$3:$J$202,$A205,4)&amp;""))-1),TRIM(INDEX(인턴근무계획!$E$3:$J$202,$A205,4)&amp;""))))</f>
        <v/>
      </c>
      <c r="N205" s="19">
        <f>IF($C205="","",IF(TRIM(INDEX(인턴근무계획!$E$3:$J$202,$A205,5)&amp;"")="","",IFERROR(LEFT(TRIM(INDEX(인턴근무계획!$E$3:$J$202,$A205,5)&amp;""),FIND(" ",TRIM(INDEX(인턴근무계획!$E$3:$J$202,$A205,5)&amp;""))-1),TRIM(INDEX(인턴근무계획!$E$3:$J$202,$A205,5)&amp;""))))</f>
        <v/>
      </c>
      <c r="O205" s="19">
        <f>IF($C205="","",IF(TRIM(INDEX(인턴근무계획!$E$3:$J$202,$A205,6)&amp;"")="","",IFERROR(LEFT(TRIM(INDEX(인턴근무계획!$E$3:$J$202,$A205,6)&amp;""),FIND(" ",TRIM(INDEX(인턴근무계획!$E$3:$J$202,$A205,6)&amp;""))-1),TRIM(INDEX(인턴근무계획!$E$3:$J$202,$A205,6)&amp;""))))</f>
        <v/>
      </c>
      <c r="P205" s="19">
        <f>IF($C205="","",IF(INDEX(인턴근무계획!$K$3:$K$202,$A205)="","",INDEX(인턴근무계획!$K$3:$K$202,$A205)))</f>
        <v/>
      </c>
    </row>
  </sheetData>
  <autoFilter ref="A5:P205"/>
  <conditionalFormatting sqref="E6:E205">
    <cfRule type="expression" priority="1" dxfId="8">
      <formula>$E6="미등록"</formula>
    </cfRule>
  </conditionalFormatting>
  <conditionalFormatting sqref="J5:O205">
    <cfRule type="expression" priority="2" dxfId="9">
      <formula>J$3=MONTH(TODAY())</formula>
    </cfRule>
  </conditionalFormatting>
  <conditionalFormatting sqref="F6:G205">
    <cfRule type="expression" priority="3" dxfId="9">
      <formula>$F$3&lt;&gt;""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3" customWidth="1" min="3" max="3"/>
    <col width="14" customWidth="1" min="4" max="4"/>
    <col width="12" customWidth="1" min="5" max="5"/>
    <col width="12" customWidth="1" min="6" max="6"/>
    <col width="16" customWidth="1" min="7" max="7"/>
    <col width="3" customWidth="1" min="8" max="8"/>
    <col width="18" customWidth="1" min="9" max="9"/>
    <col width="10" customWidth="1" min="10" max="10"/>
  </cols>
  <sheetData>
    <row r="1">
      <c r="A1" s="1" t="inlineStr">
        <is>
          <t>파견 현황 요약</t>
        </is>
      </c>
    </row>
    <row r="2">
      <c r="A2" s="3" t="inlineStr">
        <is>
          <t>기준일</t>
        </is>
      </c>
      <c r="B2" s="14">
        <f>TODAY()</f>
        <v/>
      </c>
      <c r="D2" s="3" t="inlineStr">
        <is>
          <t>종료 임박 기준(일)</t>
        </is>
      </c>
      <c r="E2" s="21" t="n">
        <v>30</v>
      </c>
      <c r="F2" s="2" t="inlineStr">
        <is>
          <t>← 변경 가능 (전공의명단 주황색 강조에도 반영)</t>
        </is>
      </c>
    </row>
    <row r="4">
      <c r="A4" s="4" t="inlineStr">
        <is>
          <t>파견상태</t>
        </is>
      </c>
      <c r="B4" s="4" t="inlineStr">
        <is>
          <t>인원</t>
        </is>
      </c>
      <c r="D4" s="4" t="inlineStr">
        <is>
          <t>병원</t>
        </is>
      </c>
      <c r="E4" s="4" t="inlineStr">
        <is>
          <t>현재 근무</t>
        </is>
      </c>
      <c r="F4" s="4" t="inlineStr">
        <is>
          <t>급여 지급</t>
        </is>
      </c>
      <c r="G4" s="4" t="inlineStr">
        <is>
          <t>파견중(근무기준)</t>
        </is>
      </c>
      <c r="I4" s="4" t="inlineStr">
        <is>
          <t>진료과</t>
        </is>
      </c>
      <c r="J4" s="4" t="inlineStr">
        <is>
          <t>인원</t>
        </is>
      </c>
    </row>
    <row r="5">
      <c r="A5" s="19" t="inlineStr">
        <is>
          <t>파견중</t>
        </is>
      </c>
      <c r="B5" s="19">
        <f>COUNTIF(전공의명단!$S$2:$S$201,A5)</f>
        <v/>
      </c>
      <c r="D5" s="19">
        <f>IF(코드표!A2="","",코드표!A2)</f>
        <v/>
      </c>
      <c r="E5" s="19">
        <f>IF(D5="","",COUNTIF(전공의명단!$M$2:$M$201,D5))</f>
        <v/>
      </c>
      <c r="F5" s="19">
        <f>IF(D5="","",COUNTIF(전공의명단!$O$2:$O$201,D5))</f>
        <v/>
      </c>
      <c r="G5" s="19">
        <f>IF(D5="","",COUNTIFS(전공의명단!$M$2:$M$201,D5,전공의명단!$S$2:$S$201,"파견중"))</f>
        <v/>
      </c>
      <c r="I5" s="19">
        <f>IF(코드표!B2="","",코드표!B2)</f>
        <v/>
      </c>
      <c r="J5" s="19">
        <f>IF(I5="","",COUNTIF(전공의명단!$N$2:$N$201,I5))</f>
        <v/>
      </c>
    </row>
    <row r="6">
      <c r="A6" s="19" t="inlineStr">
        <is>
          <t>파견예정</t>
        </is>
      </c>
      <c r="B6" s="19">
        <f>COUNTIF(전공의명단!$S$2:$S$201,A6)</f>
        <v/>
      </c>
      <c r="D6" s="19">
        <f>IF(코드표!A3="","",코드표!A3)</f>
        <v/>
      </c>
      <c r="E6" s="19">
        <f>IF(D6="","",COUNTIF(전공의명단!$M$2:$M$201,D6))</f>
        <v/>
      </c>
      <c r="F6" s="19">
        <f>IF(D6="","",COUNTIF(전공의명단!$O$2:$O$201,D6))</f>
        <v/>
      </c>
      <c r="G6" s="19">
        <f>IF(D6="","",COUNTIFS(전공의명단!$M$2:$M$201,D6,전공의명단!$S$2:$S$201,"파견중"))</f>
        <v/>
      </c>
      <c r="I6" s="19">
        <f>IF(코드표!B3="","",코드표!B3)</f>
        <v/>
      </c>
      <c r="J6" s="19">
        <f>IF(I6="","",COUNTIF(전공의명단!$N$2:$N$201,I6))</f>
        <v/>
      </c>
    </row>
    <row r="7">
      <c r="A7" s="19" t="inlineStr">
        <is>
          <t>파견종료</t>
        </is>
      </c>
      <c r="B7" s="19">
        <f>COUNTIF(전공의명단!$S$2:$S$201,A7)</f>
        <v/>
      </c>
      <c r="D7" s="19">
        <f>IF(코드표!A4="","",코드표!A4)</f>
        <v/>
      </c>
      <c r="E7" s="19">
        <f>IF(D7="","",COUNTIF(전공의명단!$M$2:$M$201,D7))</f>
        <v/>
      </c>
      <c r="F7" s="19">
        <f>IF(D7="","",COUNTIF(전공의명단!$O$2:$O$201,D7))</f>
        <v/>
      </c>
      <c r="G7" s="19">
        <f>IF(D7="","",COUNTIFS(전공의명단!$M$2:$M$201,D7,전공의명단!$S$2:$S$201,"파견중"))</f>
        <v/>
      </c>
      <c r="I7" s="19">
        <f>IF(코드표!B4="","",코드표!B4)</f>
        <v/>
      </c>
      <c r="J7" s="19">
        <f>IF(I7="","",COUNTIF(전공의명단!$N$2:$N$201,I7))</f>
        <v/>
      </c>
    </row>
    <row r="8">
      <c r="A8" s="20" t="inlineStr">
        <is>
          <t>명단 등록 인원</t>
        </is>
      </c>
      <c r="B8" s="20">
        <f>COUNTA(전공의명단!$B$2:$B$201)</f>
        <v/>
      </c>
      <c r="D8" s="19">
        <f>IF(코드표!A5="","",코드표!A5)</f>
        <v/>
      </c>
      <c r="E8" s="19">
        <f>IF(D8="","",COUNTIF(전공의명단!$M$2:$M$201,D8))</f>
        <v/>
      </c>
      <c r="F8" s="19">
        <f>IF(D8="","",COUNTIF(전공의명단!$O$2:$O$201,D8))</f>
        <v/>
      </c>
      <c r="G8" s="19">
        <f>IF(D8="","",COUNTIFS(전공의명단!$M$2:$M$201,D8,전공의명단!$S$2:$S$201,"파견중"))</f>
        <v/>
      </c>
      <c r="I8" s="19">
        <f>IF(코드표!B5="","",코드표!B5)</f>
        <v/>
      </c>
      <c r="J8" s="19">
        <f>IF(I8="","",COUNTIF(전공의명단!$N$2:$N$201,I8))</f>
        <v/>
      </c>
    </row>
    <row r="9">
      <c r="A9" s="19" t="inlineStr">
        <is>
          <t>종료 임박(파견중)</t>
        </is>
      </c>
      <c r="B9" s="19">
        <f>COUNTIFS(전공의명단!$S$2:$S$201,"파견중",전공의명단!$U$2:$U$201,"&lt;="&amp;$E$2)</f>
        <v/>
      </c>
      <c r="D9" s="19">
        <f>IF(코드표!A6="","",코드표!A6)</f>
        <v/>
      </c>
      <c r="E9" s="19">
        <f>IF(D9="","",COUNTIF(전공의명단!$M$2:$M$201,D9))</f>
        <v/>
      </c>
      <c r="F9" s="19">
        <f>IF(D9="","",COUNTIF(전공의명단!$O$2:$O$201,D9))</f>
        <v/>
      </c>
      <c r="G9" s="19">
        <f>IF(D9="","",COUNTIFS(전공의명단!$M$2:$M$201,D9,전공의명단!$S$2:$S$201,"파견중"))</f>
        <v/>
      </c>
      <c r="I9" s="19">
        <f>IF(코드표!B6="","",코드표!B6)</f>
        <v/>
      </c>
      <c r="J9" s="19">
        <f>IF(I9="","",COUNTIF(전공의명단!$N$2:$N$201,I9))</f>
        <v/>
      </c>
    </row>
    <row r="10">
      <c r="D10" s="19">
        <f>IF(코드표!A7="","",코드표!A7)</f>
        <v/>
      </c>
      <c r="E10" s="19">
        <f>IF(D10="","",COUNTIF(전공의명단!$M$2:$M$201,D10))</f>
        <v/>
      </c>
      <c r="F10" s="19">
        <f>IF(D10="","",COUNTIF(전공의명단!$O$2:$O$201,D10))</f>
        <v/>
      </c>
      <c r="G10" s="19">
        <f>IF(D10="","",COUNTIFS(전공의명단!$M$2:$M$201,D10,전공의명단!$S$2:$S$201,"파견중"))</f>
        <v/>
      </c>
      <c r="I10" s="19">
        <f>IF(코드표!B7="","",코드표!B7)</f>
        <v/>
      </c>
      <c r="J10" s="19">
        <f>IF(I10="","",COUNTIF(전공의명단!$N$2:$N$201,I10))</f>
        <v/>
      </c>
    </row>
    <row r="11">
      <c r="D11" s="19">
        <f>IF(코드표!A8="","",코드표!A8)</f>
        <v/>
      </c>
      <c r="E11" s="19">
        <f>IF(D11="","",COUNTIF(전공의명단!$M$2:$M$201,D11))</f>
        <v/>
      </c>
      <c r="F11" s="19">
        <f>IF(D11="","",COUNTIF(전공의명단!$O$2:$O$201,D11))</f>
        <v/>
      </c>
      <c r="G11" s="19">
        <f>IF(D11="","",COUNTIFS(전공의명단!$M$2:$M$201,D11,전공의명단!$S$2:$S$201,"파견중"))</f>
        <v/>
      </c>
      <c r="I11" s="19">
        <f>IF(코드표!B8="","",코드표!B8)</f>
        <v/>
      </c>
      <c r="J11" s="19">
        <f>IF(I11="","",COUNTIF(전공의명단!$N$2:$N$201,I11))</f>
        <v/>
      </c>
    </row>
    <row r="12">
      <c r="A12" s="4" t="inlineStr">
        <is>
          <t>파견종류</t>
        </is>
      </c>
      <c r="B12" s="4" t="inlineStr">
        <is>
          <t>인원</t>
        </is>
      </c>
      <c r="D12" s="19">
        <f>IF(코드표!A9="","",코드표!A9)</f>
        <v/>
      </c>
      <c r="E12" s="19">
        <f>IF(D12="","",COUNTIF(전공의명단!$M$2:$M$201,D12))</f>
        <v/>
      </c>
      <c r="F12" s="19">
        <f>IF(D12="","",COUNTIF(전공의명단!$O$2:$O$201,D12))</f>
        <v/>
      </c>
      <c r="G12" s="19">
        <f>IF(D12="","",COUNTIFS(전공의명단!$M$2:$M$201,D12,전공의명단!$S$2:$S$201,"파견중"))</f>
        <v/>
      </c>
      <c r="I12" s="19">
        <f>IF(코드표!B9="","",코드표!B9)</f>
        <v/>
      </c>
      <c r="J12" s="19">
        <f>IF(I12="","",COUNTIF(전공의명단!$N$2:$N$201,I12))</f>
        <v/>
      </c>
    </row>
    <row r="13">
      <c r="A13" s="19">
        <f>IF(코드표!C2="","",코드표!C2)</f>
        <v/>
      </c>
      <c r="B13" s="19">
        <f>IF(A13="","",COUNTIF(전공의명단!$P$2:$P$201,A13))</f>
        <v/>
      </c>
      <c r="D13" s="19">
        <f>IF(코드표!A10="","",코드표!A10)</f>
        <v/>
      </c>
      <c r="E13" s="19">
        <f>IF(D13="","",COUNTIF(전공의명단!$M$2:$M$201,D13))</f>
        <v/>
      </c>
      <c r="F13" s="19">
        <f>IF(D13="","",COUNTIF(전공의명단!$O$2:$O$201,D13))</f>
        <v/>
      </c>
      <c r="G13" s="19">
        <f>IF(D13="","",COUNTIFS(전공의명단!$M$2:$M$201,D13,전공의명단!$S$2:$S$201,"파견중"))</f>
        <v/>
      </c>
      <c r="I13" s="19">
        <f>IF(코드표!B10="","",코드표!B10)</f>
        <v/>
      </c>
      <c r="J13" s="19">
        <f>IF(I13="","",COUNTIF(전공의명단!$N$2:$N$201,I13))</f>
        <v/>
      </c>
    </row>
    <row r="14">
      <c r="A14" s="19">
        <f>IF(코드표!C3="","",코드표!C3)</f>
        <v/>
      </c>
      <c r="B14" s="19">
        <f>IF(A14="","",COUNTIF(전공의명단!$P$2:$P$201,A14))</f>
        <v/>
      </c>
      <c r="D14" s="19">
        <f>IF(코드표!A11="","",코드표!A11)</f>
        <v/>
      </c>
      <c r="E14" s="19">
        <f>IF(D14="","",COUNTIF(전공의명단!$M$2:$M$201,D14))</f>
        <v/>
      </c>
      <c r="F14" s="19">
        <f>IF(D14="","",COUNTIF(전공의명단!$O$2:$O$201,D14))</f>
        <v/>
      </c>
      <c r="G14" s="19">
        <f>IF(D14="","",COUNTIFS(전공의명단!$M$2:$M$201,D14,전공의명단!$S$2:$S$201,"파견중"))</f>
        <v/>
      </c>
      <c r="I14" s="19">
        <f>IF(코드표!B11="","",코드표!B11)</f>
        <v/>
      </c>
      <c r="J14" s="19">
        <f>IF(I14="","",COUNTIF(전공의명단!$N$2:$N$201,I14))</f>
        <v/>
      </c>
    </row>
    <row r="15">
      <c r="A15" s="19">
        <f>IF(코드표!C4="","",코드표!C4)</f>
        <v/>
      </c>
      <c r="B15" s="19">
        <f>IF(A15="","",COUNTIF(전공의명단!$P$2:$P$201,A15))</f>
        <v/>
      </c>
      <c r="D15" s="19">
        <f>IF(코드표!A12="","",코드표!A12)</f>
        <v/>
      </c>
      <c r="E15" s="19">
        <f>IF(D15="","",COUNTIF(전공의명단!$M$2:$M$201,D15))</f>
        <v/>
      </c>
      <c r="F15" s="19">
        <f>IF(D15="","",COUNTIF(전공의명단!$O$2:$O$201,D15))</f>
        <v/>
      </c>
      <c r="G15" s="19">
        <f>IF(D15="","",COUNTIFS(전공의명단!$M$2:$M$201,D15,전공의명단!$S$2:$S$201,"파견중"))</f>
        <v/>
      </c>
      <c r="I15" s="19">
        <f>IF(코드표!B12="","",코드표!B12)</f>
        <v/>
      </c>
      <c r="J15" s="19">
        <f>IF(I15="","",COUNTIF(전공의명단!$N$2:$N$201,I15))</f>
        <v/>
      </c>
    </row>
    <row r="16">
      <c r="A16" s="19">
        <f>IF(코드표!C5="","",코드표!C5)</f>
        <v/>
      </c>
      <c r="B16" s="19">
        <f>IF(A16="","",COUNTIF(전공의명단!$P$2:$P$201,A16))</f>
        <v/>
      </c>
      <c r="D16" s="19">
        <f>IF(코드표!A13="","",코드표!A13)</f>
        <v/>
      </c>
      <c r="E16" s="19">
        <f>IF(D16="","",COUNTIF(전공의명단!$M$2:$M$201,D16))</f>
        <v/>
      </c>
      <c r="F16" s="19">
        <f>IF(D16="","",COUNTIF(전공의명단!$O$2:$O$201,D16))</f>
        <v/>
      </c>
      <c r="G16" s="19">
        <f>IF(D16="","",COUNTIFS(전공의명단!$M$2:$M$201,D16,전공의명단!$S$2:$S$201,"파견중"))</f>
        <v/>
      </c>
      <c r="I16" s="19">
        <f>IF(코드표!B13="","",코드표!B13)</f>
        <v/>
      </c>
      <c r="J16" s="19">
        <f>IF(I16="","",COUNTIF(전공의명단!$N$2:$N$201,I16))</f>
        <v/>
      </c>
    </row>
    <row r="17">
      <c r="A17" s="19">
        <f>IF(코드표!C6="","",코드표!C6)</f>
        <v/>
      </c>
      <c r="B17" s="19">
        <f>IF(A17="","",COUNTIF(전공의명단!$P$2:$P$201,A17))</f>
        <v/>
      </c>
      <c r="D17" s="19">
        <f>IF(코드표!A14="","",코드표!A14)</f>
        <v/>
      </c>
      <c r="E17" s="19">
        <f>IF(D17="","",COUNTIF(전공의명단!$M$2:$M$201,D17))</f>
        <v/>
      </c>
      <c r="F17" s="19">
        <f>IF(D17="","",COUNTIF(전공의명단!$O$2:$O$201,D17))</f>
        <v/>
      </c>
      <c r="G17" s="19">
        <f>IF(D17="","",COUNTIFS(전공의명단!$M$2:$M$201,D17,전공의명단!$S$2:$S$201,"파견중"))</f>
        <v/>
      </c>
      <c r="I17" s="19">
        <f>IF(코드표!B14="","",코드표!B14)</f>
        <v/>
      </c>
      <c r="J17" s="19">
        <f>IF(I17="","",COUNTIF(전공의명단!$N$2:$N$201,I17))</f>
        <v/>
      </c>
    </row>
    <row r="18">
      <c r="A18" s="19">
        <f>IF(코드표!C7="","",코드표!C7)</f>
        <v/>
      </c>
      <c r="B18" s="19">
        <f>IF(A18="","",COUNTIF(전공의명단!$P$2:$P$201,A18))</f>
        <v/>
      </c>
      <c r="D18" s="19">
        <f>IF(코드표!A15="","",코드표!A15)</f>
        <v/>
      </c>
      <c r="E18" s="19">
        <f>IF(D18="","",COUNTIF(전공의명단!$M$2:$M$201,D18))</f>
        <v/>
      </c>
      <c r="F18" s="19">
        <f>IF(D18="","",COUNTIF(전공의명단!$O$2:$O$201,D18))</f>
        <v/>
      </c>
      <c r="G18" s="19">
        <f>IF(D18="","",COUNTIFS(전공의명단!$M$2:$M$201,D18,전공의명단!$S$2:$S$201,"파견중"))</f>
        <v/>
      </c>
      <c r="I18" s="19">
        <f>IF(코드표!B15="","",코드표!B15)</f>
        <v/>
      </c>
      <c r="J18" s="19">
        <f>IF(I18="","",COUNTIF(전공의명단!$N$2:$N$201,I18))</f>
        <v/>
      </c>
    </row>
    <row r="19">
      <c r="A19" s="19">
        <f>IF(코드표!C8="","",코드표!C8)</f>
        <v/>
      </c>
      <c r="B19" s="19">
        <f>IF(A19="","",COUNTIF(전공의명단!$P$2:$P$201,A19))</f>
        <v/>
      </c>
      <c r="D19" s="19">
        <f>IF(코드표!A16="","",코드표!A16)</f>
        <v/>
      </c>
      <c r="E19" s="19">
        <f>IF(D19="","",COUNTIF(전공의명단!$M$2:$M$201,D19))</f>
        <v/>
      </c>
      <c r="F19" s="19">
        <f>IF(D19="","",COUNTIF(전공의명단!$O$2:$O$201,D19))</f>
        <v/>
      </c>
      <c r="G19" s="19">
        <f>IF(D19="","",COUNTIFS(전공의명단!$M$2:$M$201,D19,전공의명단!$S$2:$S$201,"파견중"))</f>
        <v/>
      </c>
      <c r="I19" s="19">
        <f>IF(코드표!B16="","",코드표!B16)</f>
        <v/>
      </c>
      <c r="J19" s="19">
        <f>IF(I19="","",COUNTIF(전공의명단!$N$2:$N$201,I19))</f>
        <v/>
      </c>
    </row>
    <row r="20">
      <c r="A20" s="19">
        <f>IF(코드표!C9="","",코드표!C9)</f>
        <v/>
      </c>
      <c r="B20" s="19">
        <f>IF(A20="","",COUNTIF(전공의명단!$P$2:$P$201,A20))</f>
        <v/>
      </c>
      <c r="D20" s="19">
        <f>IF(코드표!A17="","",코드표!A17)</f>
        <v/>
      </c>
      <c r="E20" s="19">
        <f>IF(D20="","",COUNTIF(전공의명단!$M$2:$M$201,D20))</f>
        <v/>
      </c>
      <c r="F20" s="19">
        <f>IF(D20="","",COUNTIF(전공의명단!$O$2:$O$201,D20))</f>
        <v/>
      </c>
      <c r="G20" s="19">
        <f>IF(D20="","",COUNTIFS(전공의명단!$M$2:$M$201,D20,전공의명단!$S$2:$S$201,"파견중"))</f>
        <v/>
      </c>
      <c r="I20" s="19">
        <f>IF(코드표!B17="","",코드표!B17)</f>
        <v/>
      </c>
      <c r="J20" s="19">
        <f>IF(I20="","",COUNTIF(전공의명단!$N$2:$N$201,I20))</f>
        <v/>
      </c>
    </row>
    <row r="21">
      <c r="D21" s="19">
        <f>IF(코드표!A18="","",코드표!A18)</f>
        <v/>
      </c>
      <c r="E21" s="19">
        <f>IF(D21="","",COUNTIF(전공의명단!$M$2:$M$201,D21))</f>
        <v/>
      </c>
      <c r="F21" s="19">
        <f>IF(D21="","",COUNTIF(전공의명단!$O$2:$O$201,D21))</f>
        <v/>
      </c>
      <c r="G21" s="19">
        <f>IF(D21="","",COUNTIFS(전공의명단!$M$2:$M$201,D21,전공의명단!$S$2:$S$201,"파견중"))</f>
        <v/>
      </c>
      <c r="I21" s="19">
        <f>IF(코드표!B18="","",코드표!B18)</f>
        <v/>
      </c>
      <c r="J21" s="19">
        <f>IF(I21="","",COUNTIF(전공의명단!$N$2:$N$201,I21))</f>
        <v/>
      </c>
    </row>
    <row r="22">
      <c r="A22" s="4" t="inlineStr">
        <is>
          <t>데이터 점검</t>
        </is>
      </c>
      <c r="B22" s="4" t="inlineStr">
        <is>
          <t>건수</t>
        </is>
      </c>
      <c r="D22" s="19">
        <f>IF(코드표!A19="","",코드표!A19)</f>
        <v/>
      </c>
      <c r="E22" s="19">
        <f>IF(D22="","",COUNTIF(전공의명단!$M$2:$M$201,D22))</f>
        <v/>
      </c>
      <c r="F22" s="19">
        <f>IF(D22="","",COUNTIF(전공의명단!$O$2:$O$201,D22))</f>
        <v/>
      </c>
      <c r="G22" s="19">
        <f>IF(D22="","",COUNTIFS(전공의명단!$M$2:$M$201,D22,전공의명단!$S$2:$S$201,"파견중"))</f>
        <v/>
      </c>
      <c r="I22" s="19">
        <f>IF(코드표!B19="","",코드표!B19)</f>
        <v/>
      </c>
      <c r="J22" s="19">
        <f>IF(I22="","",COUNTIF(전공의명단!$N$2:$N$201,I22))</f>
        <v/>
      </c>
    </row>
    <row r="23">
      <c r="A23" s="19" t="inlineStr">
        <is>
          <t>기본자료 인원</t>
        </is>
      </c>
      <c r="B23" s="19">
        <f>COUNTA(기본자료!$B$2:$B$501)</f>
        <v/>
      </c>
      <c r="D23" s="19">
        <f>IF(코드표!A20="","",코드표!A20)</f>
        <v/>
      </c>
      <c r="E23" s="19">
        <f>IF(D23="","",COUNTIF(전공의명단!$M$2:$M$201,D23))</f>
        <v/>
      </c>
      <c r="F23" s="19">
        <f>IF(D23="","",COUNTIF(전공의명단!$O$2:$O$201,D23))</f>
        <v/>
      </c>
      <c r="G23" s="19">
        <f>IF(D23="","",COUNTIFS(전공의명단!$M$2:$M$201,D23,전공의명단!$S$2:$S$201,"파견중"))</f>
        <v/>
      </c>
      <c r="I23" s="19">
        <f>IF(코드표!B20="","",코드표!B20)</f>
        <v/>
      </c>
      <c r="J23" s="19">
        <f>IF(I23="","",COUNTIF(전공의명단!$N$2:$N$201,I23))</f>
        <v/>
      </c>
    </row>
    <row r="24">
      <c r="A24" s="19" t="inlineStr">
        <is>
          <t>기본자료 재직 인원</t>
        </is>
      </c>
      <c r="B24" s="19">
        <f>COUNTIF(기본자료!$A$2:$A$501,"재직")</f>
        <v/>
      </c>
      <c r="D24" s="19">
        <f>IF(코드표!A21="","",코드표!A21)</f>
        <v/>
      </c>
      <c r="E24" s="19">
        <f>IF(D24="","",COUNTIF(전공의명단!$M$2:$M$201,D24))</f>
        <v/>
      </c>
      <c r="F24" s="19">
        <f>IF(D24="","",COUNTIF(전공의명단!$O$2:$O$201,D24))</f>
        <v/>
      </c>
      <c r="G24" s="19">
        <f>IF(D24="","",COUNTIFS(전공의명단!$M$2:$M$201,D24,전공의명단!$S$2:$S$201,"파견중"))</f>
        <v/>
      </c>
      <c r="I24" s="19">
        <f>IF(코드표!B21="","",코드표!B21)</f>
        <v/>
      </c>
      <c r="J24" s="19">
        <f>IF(I24="","",COUNTIF(전공의명단!$N$2:$N$201,I24))</f>
        <v/>
      </c>
    </row>
    <row r="25">
      <c r="A25" s="19" t="inlineStr">
        <is>
          <t>기본자료에 없는 사번</t>
        </is>
      </c>
      <c r="B25" s="19">
        <f>SUMPRODUCT((전공의명단!$B$2:$B$201&lt;&gt;"")*(전공의명단!$W$2:$W$201=""))</f>
        <v/>
      </c>
    </row>
    <row r="26">
      <c r="A26" s="19" t="inlineStr">
        <is>
          <t>명단 중복 사번</t>
        </is>
      </c>
      <c r="B26" s="19">
        <f>SUMPRODUCT((전공의명단!$B$2:$B$201&lt;&gt;"")*(COUNTIF(전공의명단!$B$2:$B$201,전공의명단!$B$2:$B$201)&gt;1))</f>
        <v/>
      </c>
    </row>
    <row r="27">
      <c r="A27" s="19" t="inlineStr">
        <is>
          <t>날짜 형식 오류(생년월일/수련개시일)</t>
        </is>
      </c>
      <c r="B27" s="19">
        <f>SUMPRODUCT((전공의명단!$E$2:$E$201&lt;&gt;"")*1)-COUNT(전공의명단!$E$2:$E$201)+SUMPRODUCT((전공의명단!$I$2:$I$201&lt;&gt;"")*1)-COUNT(전공의명단!$I$2:$I$201)</f>
        <v/>
      </c>
    </row>
  </sheetData>
  <conditionalFormatting sqref="B25:B27">
    <cfRule type="expression" priority="1" dxfId="8">
      <formula>B25&gt;0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4" t="inlineStr">
        <is>
          <t>병원</t>
        </is>
      </c>
      <c r="B1" s="4" t="inlineStr">
        <is>
          <t>진료과</t>
        </is>
      </c>
      <c r="C1" s="4" t="inlineStr">
        <is>
          <t>파견종류</t>
        </is>
      </c>
      <c r="E1" s="2" t="inlineStr">
        <is>
          <t>※ 파란 글씨 칸이 드롭다운 목록입니다. 여기서 추가·수정하면 입력 목록과 요약이 같이 바뀝니다. (병원 목록은 기본자료의 '근무지' 표기와 맞추면 편합니다)</t>
        </is>
      </c>
    </row>
    <row r="2">
      <c r="A2" s="5" t="inlineStr">
        <is>
          <t>서울</t>
        </is>
      </c>
      <c r="B2" s="5" t="inlineStr">
        <is>
          <t>가정의학과</t>
        </is>
      </c>
      <c r="C2" s="5" t="inlineStr">
        <is>
          <t>수련 파견</t>
        </is>
      </c>
    </row>
    <row r="3">
      <c r="A3" s="5" t="inlineStr">
        <is>
          <t>구리</t>
        </is>
      </c>
      <c r="B3" s="5" t="inlineStr">
        <is>
          <t>내과</t>
        </is>
      </c>
      <c r="C3" s="5" t="inlineStr">
        <is>
          <t>교육 파견</t>
        </is>
      </c>
    </row>
    <row r="4">
      <c r="A4" s="5" t="inlineStr">
        <is>
          <t>제주</t>
        </is>
      </c>
      <c r="B4" s="5" t="inlineStr">
        <is>
          <t>외과</t>
        </is>
      </c>
      <c r="C4" s="5" t="inlineStr">
        <is>
          <t>지원 파견</t>
        </is>
      </c>
    </row>
    <row r="5">
      <c r="A5" s="5" t="n"/>
      <c r="B5" s="5" t="inlineStr">
        <is>
          <t>소아청소년과</t>
        </is>
      </c>
      <c r="C5" s="5" t="inlineStr">
        <is>
          <t>기타</t>
        </is>
      </c>
    </row>
    <row r="6">
      <c r="A6" s="5" t="n"/>
      <c r="B6" s="5" t="inlineStr">
        <is>
          <t>산부인과</t>
        </is>
      </c>
      <c r="C6" s="5" t="n"/>
    </row>
    <row r="7">
      <c r="A7" s="5" t="n"/>
      <c r="B7" s="5" t="inlineStr">
        <is>
          <t>정형외과</t>
        </is>
      </c>
      <c r="C7" s="5" t="n"/>
    </row>
    <row r="8">
      <c r="A8" s="5" t="n"/>
      <c r="B8" s="5" t="inlineStr">
        <is>
          <t>마취통증의학과</t>
        </is>
      </c>
      <c r="C8" s="5" t="n"/>
    </row>
    <row r="9">
      <c r="A9" s="5" t="n"/>
      <c r="B9" s="5" t="inlineStr">
        <is>
          <t>영상의학과</t>
        </is>
      </c>
      <c r="C9" s="5" t="n"/>
    </row>
    <row r="10">
      <c r="A10" s="5" t="n"/>
      <c r="B10" s="5" t="inlineStr">
        <is>
          <t>응급의학과</t>
        </is>
      </c>
      <c r="C10" s="5" t="n"/>
    </row>
    <row r="11">
      <c r="A11" s="5" t="n"/>
      <c r="B11" s="5" t="n"/>
      <c r="C11" s="5" t="n"/>
    </row>
    <row r="12">
      <c r="A12" s="5" t="n"/>
      <c r="B12" s="5" t="n"/>
      <c r="C12" s="5" t="n"/>
    </row>
    <row r="13">
      <c r="A13" s="5" t="n"/>
      <c r="B13" s="5" t="n"/>
      <c r="C13" s="5" t="n"/>
    </row>
    <row r="14">
      <c r="A14" s="5" t="n"/>
      <c r="B14" s="5" t="n"/>
      <c r="C14" s="5" t="n"/>
    </row>
    <row r="15">
      <c r="A15" s="5" t="n"/>
      <c r="B15" s="5" t="n"/>
      <c r="C15" s="5" t="n"/>
    </row>
    <row r="16">
      <c r="A16" s="5" t="n"/>
      <c r="B16" s="5" t="n"/>
      <c r="C16" s="5" t="n"/>
    </row>
    <row r="17">
      <c r="A17" s="5" t="n"/>
      <c r="B17" s="5" t="n"/>
      <c r="C17" s="5" t="n"/>
    </row>
    <row r="18">
      <c r="A18" s="5" t="n"/>
      <c r="B18" s="5" t="n"/>
      <c r="C18" s="5" t="n"/>
    </row>
    <row r="19">
      <c r="A19" s="5" t="n"/>
      <c r="B19" s="5" t="n"/>
      <c r="C19" s="5" t="n"/>
    </row>
    <row r="20">
      <c r="A20" s="5" t="n"/>
      <c r="B20" s="5" t="n"/>
      <c r="C20" s="5" t="n"/>
    </row>
    <row r="21">
      <c r="A21" s="5" t="n"/>
      <c r="B21" s="5" t="n"/>
      <c r="C21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2026-10-03T08:39:49Z</dcterms:created>
  <dcterms:modified xsi:type="dcterms:W3CDTF">2026-10-03T08:39:49Z</dcterms:modified>
</cp:coreProperties>
</file>